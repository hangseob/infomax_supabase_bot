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now\Downloads\"/>
    </mc:Choice>
  </mc:AlternateContent>
  <xr:revisionPtr revIDLastSave="0" documentId="13_ncr:1_{0E763D6A-8458-49AC-A6DF-42B547D12661}" xr6:coauthVersionLast="47" xr6:coauthVersionMax="47" xr10:uidLastSave="{00000000-0000-0000-0000-000000000000}"/>
  <bookViews>
    <workbookView xWindow="1725" yWindow="270" windowWidth="28110" windowHeight="14955" xr2:uid="{56BAC582-C9B7-4751-AA38-08F3958DA1F2}"/>
  </bookViews>
  <sheets>
    <sheet name="Matrix" sheetId="1" r:id="rId1"/>
    <sheet name="개별종목" sheetId="3" r:id="rId2"/>
    <sheet name="data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K43" i="3" a="1"/>
  <c r="K43" i="3" s="1"/>
  <c r="P43" i="3" s="1"/>
  <c r="J43" i="3" a="1"/>
  <c r="J43" i="3" s="1"/>
  <c r="O43" i="3" s="1"/>
  <c r="I43" i="3" a="1"/>
  <c r="I43" i="3" s="1"/>
  <c r="N43" i="3" s="1"/>
  <c r="H43" i="3" a="1"/>
  <c r="H43" i="3" s="1"/>
  <c r="M43" i="3" s="1"/>
  <c r="F43" i="3" a="1"/>
  <c r="F43" i="3" s="1"/>
  <c r="E43" i="3" a="1"/>
  <c r="E43" i="3" s="1"/>
  <c r="D43" i="3" a="1"/>
  <c r="D43" i="3" s="1"/>
  <c r="C43" i="3" a="1"/>
  <c r="C43" i="3" s="1"/>
  <c r="K42" i="3" a="1"/>
  <c r="K42" i="3" s="1"/>
  <c r="P42" i="3" s="1"/>
  <c r="J42" i="3" a="1"/>
  <c r="J42" i="3" s="1"/>
  <c r="O42" i="3" s="1"/>
  <c r="I42" i="3" a="1"/>
  <c r="I42" i="3" s="1"/>
  <c r="N42" i="3" s="1"/>
  <c r="H42" i="3" a="1"/>
  <c r="H42" i="3" s="1"/>
  <c r="M42" i="3" s="1"/>
  <c r="F42" i="3" a="1"/>
  <c r="F42" i="3" s="1"/>
  <c r="E42" i="3" a="1"/>
  <c r="E42" i="3" s="1"/>
  <c r="D42" i="3" a="1"/>
  <c r="D42" i="3" s="1"/>
  <c r="C42" i="3" a="1"/>
  <c r="C42" i="3" s="1"/>
  <c r="K41" i="3" a="1"/>
  <c r="K41" i="3" s="1"/>
  <c r="P41" i="3" s="1"/>
  <c r="J41" i="3" a="1"/>
  <c r="J41" i="3" s="1"/>
  <c r="O41" i="3" s="1"/>
  <c r="I41" i="3" a="1"/>
  <c r="I41" i="3" s="1"/>
  <c r="N41" i="3" s="1"/>
  <c r="H41" i="3" a="1"/>
  <c r="H41" i="3" s="1"/>
  <c r="M41" i="3" s="1"/>
  <c r="F41" i="3" a="1"/>
  <c r="F41" i="3" s="1"/>
  <c r="E41" i="3" a="1"/>
  <c r="E41" i="3" s="1"/>
  <c r="D41" i="3" a="1"/>
  <c r="D41" i="3" s="1"/>
  <c r="C41" i="3" a="1"/>
  <c r="C41" i="3" s="1"/>
  <c r="K40" i="3" a="1"/>
  <c r="K40" i="3" s="1"/>
  <c r="P40" i="3" s="1"/>
  <c r="J40" i="3" a="1"/>
  <c r="J40" i="3" s="1"/>
  <c r="O40" i="3" s="1"/>
  <c r="I40" i="3" a="1"/>
  <c r="I40" i="3" s="1"/>
  <c r="N40" i="3" s="1"/>
  <c r="H40" i="3" a="1"/>
  <c r="H40" i="3" s="1"/>
  <c r="M40" i="3" s="1"/>
  <c r="F40" i="3" a="1"/>
  <c r="F40" i="3" s="1"/>
  <c r="E40" i="3" a="1"/>
  <c r="E40" i="3" s="1"/>
  <c r="D40" i="3" a="1"/>
  <c r="D40" i="3" s="1"/>
  <c r="C40" i="3" a="1"/>
  <c r="C40" i="3" s="1"/>
  <c r="K39" i="3" a="1"/>
  <c r="K39" i="3" s="1"/>
  <c r="P39" i="3" s="1"/>
  <c r="J39" i="3" a="1"/>
  <c r="J39" i="3" s="1"/>
  <c r="O39" i="3" s="1"/>
  <c r="I39" i="3" a="1"/>
  <c r="I39" i="3" s="1"/>
  <c r="N39" i="3" s="1"/>
  <c r="H39" i="3" a="1"/>
  <c r="H39" i="3" s="1"/>
  <c r="M39" i="3" s="1"/>
  <c r="F39" i="3" a="1"/>
  <c r="F39" i="3" s="1"/>
  <c r="E39" i="3" a="1"/>
  <c r="E39" i="3" s="1"/>
  <c r="D39" i="3" a="1"/>
  <c r="D39" i="3" s="1"/>
  <c r="C39" i="3" a="1"/>
  <c r="C39" i="3" s="1"/>
  <c r="K38" i="3" a="1"/>
  <c r="K38" i="3" s="1"/>
  <c r="P38" i="3" s="1"/>
  <c r="J38" i="3" a="1"/>
  <c r="J38" i="3" s="1"/>
  <c r="O38" i="3" s="1"/>
  <c r="I38" i="3" a="1"/>
  <c r="I38" i="3" s="1"/>
  <c r="N38" i="3" s="1"/>
  <c r="H38" i="3" a="1"/>
  <c r="H38" i="3" s="1"/>
  <c r="M38" i="3" s="1"/>
  <c r="F38" i="3" a="1"/>
  <c r="F38" i="3" s="1"/>
  <c r="E38" i="3" a="1"/>
  <c r="E38" i="3" s="1"/>
  <c r="D38" i="3" a="1"/>
  <c r="D38" i="3" s="1"/>
  <c r="C38" i="3" a="1"/>
  <c r="C38" i="3" s="1"/>
  <c r="K37" i="3" a="1"/>
  <c r="K37" i="3" s="1"/>
  <c r="P37" i="3" s="1"/>
  <c r="J37" i="3" a="1"/>
  <c r="J37" i="3" s="1"/>
  <c r="O37" i="3" s="1"/>
  <c r="I37" i="3" a="1"/>
  <c r="I37" i="3" s="1"/>
  <c r="N37" i="3" s="1"/>
  <c r="H37" i="3" a="1"/>
  <c r="H37" i="3" s="1"/>
  <c r="M37" i="3" s="1"/>
  <c r="F37" i="3" a="1"/>
  <c r="F37" i="3" s="1"/>
  <c r="E37" i="3" a="1"/>
  <c r="E37" i="3" s="1"/>
  <c r="D37" i="3" a="1"/>
  <c r="D37" i="3" s="1"/>
  <c r="C37" i="3"/>
  <c r="C37" i="3" a="1"/>
  <c r="K36" i="3" a="1"/>
  <c r="K36" i="3" s="1"/>
  <c r="P36" i="3" s="1"/>
  <c r="J36" i="3" a="1"/>
  <c r="J36" i="3" s="1"/>
  <c r="O36" i="3" s="1"/>
  <c r="I36" i="3" a="1"/>
  <c r="I36" i="3" s="1"/>
  <c r="N36" i="3" s="1"/>
  <c r="H36" i="3" a="1"/>
  <c r="H36" i="3" s="1"/>
  <c r="M36" i="3" s="1"/>
  <c r="F36" i="3" a="1"/>
  <c r="F36" i="3" s="1"/>
  <c r="E36" i="3" a="1"/>
  <c r="E36" i="3" s="1"/>
  <c r="D36" i="3" a="1"/>
  <c r="D36" i="3" s="1"/>
  <c r="C36" i="3" a="1"/>
  <c r="C36" i="3" s="1"/>
  <c r="K35" i="3" a="1"/>
  <c r="K35" i="3" s="1"/>
  <c r="P35" i="3" s="1"/>
  <c r="J35" i="3" a="1"/>
  <c r="J35" i="3" s="1"/>
  <c r="O35" i="3" s="1"/>
  <c r="I35" i="3" a="1"/>
  <c r="I35" i="3" s="1"/>
  <c r="N35" i="3" s="1"/>
  <c r="H35" i="3" a="1"/>
  <c r="H35" i="3" s="1"/>
  <c r="M35" i="3" s="1"/>
  <c r="F35" i="3" a="1"/>
  <c r="F35" i="3" s="1"/>
  <c r="E35" i="3" a="1"/>
  <c r="E35" i="3" s="1"/>
  <c r="D35" i="3"/>
  <c r="D35" i="3" a="1"/>
  <c r="C35" i="3" a="1"/>
  <c r="C35" i="3" s="1"/>
  <c r="K34" i="3" a="1"/>
  <c r="K34" i="3" s="1"/>
  <c r="P34" i="3" s="1"/>
  <c r="J34" i="3" a="1"/>
  <c r="J34" i="3" s="1"/>
  <c r="O34" i="3" s="1"/>
  <c r="I34" i="3" a="1"/>
  <c r="I34" i="3" s="1"/>
  <c r="N34" i="3" s="1"/>
  <c r="H34" i="3" a="1"/>
  <c r="H34" i="3" s="1"/>
  <c r="M34" i="3" s="1"/>
  <c r="F34" i="3" a="1"/>
  <c r="F34" i="3" s="1"/>
  <c r="E34" i="3" a="1"/>
  <c r="E34" i="3" s="1"/>
  <c r="D34" i="3" a="1"/>
  <c r="D34" i="3" s="1"/>
  <c r="C34" i="3" a="1"/>
  <c r="C34" i="3" s="1"/>
  <c r="K33" i="3" a="1"/>
  <c r="K33" i="3" s="1"/>
  <c r="P33" i="3" s="1"/>
  <c r="J33" i="3" a="1"/>
  <c r="J33" i="3" s="1"/>
  <c r="O33" i="3" s="1"/>
  <c r="I33" i="3" a="1"/>
  <c r="I33" i="3" s="1"/>
  <c r="N33" i="3" s="1"/>
  <c r="H33" i="3" a="1"/>
  <c r="H33" i="3" s="1"/>
  <c r="M33" i="3" s="1"/>
  <c r="F33" i="3" a="1"/>
  <c r="F33" i="3" s="1"/>
  <c r="E33" i="3" a="1"/>
  <c r="E33" i="3" s="1"/>
  <c r="D33" i="3" a="1"/>
  <c r="D33" i="3" s="1"/>
  <c r="C33" i="3"/>
  <c r="C33" i="3" a="1"/>
  <c r="K32" i="3" a="1"/>
  <c r="K32" i="3" s="1"/>
  <c r="P32" i="3" s="1"/>
  <c r="J32" i="3" a="1"/>
  <c r="J32" i="3" s="1"/>
  <c r="O32" i="3" s="1"/>
  <c r="I32" i="3" a="1"/>
  <c r="I32" i="3" s="1"/>
  <c r="N32" i="3" s="1"/>
  <c r="H32" i="3" a="1"/>
  <c r="H32" i="3" s="1"/>
  <c r="M32" i="3" s="1"/>
  <c r="F32" i="3" a="1"/>
  <c r="F32" i="3" s="1"/>
  <c r="E32" i="3" a="1"/>
  <c r="E32" i="3" s="1"/>
  <c r="D32" i="3" a="1"/>
  <c r="D32" i="3" s="1"/>
  <c r="C32" i="3" a="1"/>
  <c r="C32" i="3" s="1"/>
  <c r="K31" i="3" a="1"/>
  <c r="K31" i="3" s="1"/>
  <c r="P31" i="3" s="1"/>
  <c r="J31" i="3" a="1"/>
  <c r="J31" i="3" s="1"/>
  <c r="O31" i="3" s="1"/>
  <c r="I31" i="3" a="1"/>
  <c r="I31" i="3" s="1"/>
  <c r="N31" i="3" s="1"/>
  <c r="H31" i="3" a="1"/>
  <c r="H31" i="3" s="1"/>
  <c r="M31" i="3" s="1"/>
  <c r="F31" i="3" a="1"/>
  <c r="F31" i="3" s="1"/>
  <c r="E31" i="3" a="1"/>
  <c r="E31" i="3" s="1"/>
  <c r="D31" i="3"/>
  <c r="D31" i="3" a="1"/>
  <c r="C31" i="3" a="1"/>
  <c r="C31" i="3" s="1"/>
  <c r="K30" i="3" a="1"/>
  <c r="K30" i="3" s="1"/>
  <c r="P30" i="3" s="1"/>
  <c r="J30" i="3" a="1"/>
  <c r="J30" i="3" s="1"/>
  <c r="O30" i="3" s="1"/>
  <c r="I30" i="3" a="1"/>
  <c r="I30" i="3" s="1"/>
  <c r="N30" i="3" s="1"/>
  <c r="H30" i="3" a="1"/>
  <c r="H30" i="3" s="1"/>
  <c r="M30" i="3" s="1"/>
  <c r="F30" i="3" a="1"/>
  <c r="F30" i="3" s="1"/>
  <c r="E30" i="3" a="1"/>
  <c r="E30" i="3" s="1"/>
  <c r="D30" i="3" a="1"/>
  <c r="D30" i="3" s="1"/>
  <c r="C30" i="3" a="1"/>
  <c r="C30" i="3" s="1"/>
  <c r="K29" i="3" a="1"/>
  <c r="K29" i="3" s="1"/>
  <c r="P29" i="3" s="1"/>
  <c r="J29" i="3" a="1"/>
  <c r="J29" i="3" s="1"/>
  <c r="O29" i="3" s="1"/>
  <c r="I29" i="3" a="1"/>
  <c r="I29" i="3" s="1"/>
  <c r="N29" i="3" s="1"/>
  <c r="H29" i="3" a="1"/>
  <c r="H29" i="3" s="1"/>
  <c r="M29" i="3" s="1"/>
  <c r="F29" i="3" a="1"/>
  <c r="F29" i="3" s="1"/>
  <c r="E29" i="3" a="1"/>
  <c r="E29" i="3" s="1"/>
  <c r="D29" i="3" a="1"/>
  <c r="D29" i="3" s="1"/>
  <c r="C29" i="3" a="1"/>
  <c r="C29" i="3" s="1"/>
  <c r="K28" i="3" a="1"/>
  <c r="K28" i="3" s="1"/>
  <c r="P28" i="3" s="1"/>
  <c r="J28" i="3" a="1"/>
  <c r="J28" i="3" s="1"/>
  <c r="O28" i="3" s="1"/>
  <c r="I28" i="3" a="1"/>
  <c r="I28" i="3" s="1"/>
  <c r="N28" i="3" s="1"/>
  <c r="H28" i="3" a="1"/>
  <c r="H28" i="3" s="1"/>
  <c r="M28" i="3" s="1"/>
  <c r="F28" i="3" a="1"/>
  <c r="F28" i="3" s="1"/>
  <c r="E28" i="3" a="1"/>
  <c r="E28" i="3" s="1"/>
  <c r="D28" i="3" a="1"/>
  <c r="D28" i="3" s="1"/>
  <c r="C28" i="3" a="1"/>
  <c r="C28" i="3" s="1"/>
  <c r="K27" i="3" a="1"/>
  <c r="K27" i="3" s="1"/>
  <c r="P27" i="3" s="1"/>
  <c r="J27" i="3" a="1"/>
  <c r="J27" i="3" s="1"/>
  <c r="O27" i="3" s="1"/>
  <c r="I27" i="3" a="1"/>
  <c r="I27" i="3" s="1"/>
  <c r="N27" i="3" s="1"/>
  <c r="H27" i="3" a="1"/>
  <c r="H27" i="3" s="1"/>
  <c r="M27" i="3" s="1"/>
  <c r="F27" i="3" a="1"/>
  <c r="F27" i="3" s="1"/>
  <c r="E27" i="3" a="1"/>
  <c r="E27" i="3" s="1"/>
  <c r="D27" i="3" a="1"/>
  <c r="D27" i="3" s="1"/>
  <c r="C27" i="3" a="1"/>
  <c r="C27" i="3" s="1"/>
  <c r="K26" i="3" a="1"/>
  <c r="K26" i="3" s="1"/>
  <c r="P26" i="3" s="1"/>
  <c r="J26" i="3" a="1"/>
  <c r="J26" i="3" s="1"/>
  <c r="O26" i="3" s="1"/>
  <c r="I26" i="3" a="1"/>
  <c r="I26" i="3" s="1"/>
  <c r="N26" i="3" s="1"/>
  <c r="H26" i="3" a="1"/>
  <c r="H26" i="3" s="1"/>
  <c r="M26" i="3" s="1"/>
  <c r="F26" i="3" a="1"/>
  <c r="F26" i="3" s="1"/>
  <c r="E26" i="3" a="1"/>
  <c r="E26" i="3" s="1"/>
  <c r="D26" i="3" a="1"/>
  <c r="D26" i="3" s="1"/>
  <c r="C26" i="3" a="1"/>
  <c r="C26" i="3" s="1"/>
  <c r="K25" i="3" a="1"/>
  <c r="K25" i="3" s="1"/>
  <c r="P25" i="3" s="1"/>
  <c r="J25" i="3" a="1"/>
  <c r="J25" i="3" s="1"/>
  <c r="O25" i="3" s="1"/>
  <c r="I25" i="3" a="1"/>
  <c r="I25" i="3" s="1"/>
  <c r="N25" i="3" s="1"/>
  <c r="H25" i="3" a="1"/>
  <c r="H25" i="3" s="1"/>
  <c r="M25" i="3" s="1"/>
  <c r="F25" i="3" a="1"/>
  <c r="F25" i="3" s="1"/>
  <c r="E25" i="3" a="1"/>
  <c r="E25" i="3" s="1"/>
  <c r="D25" i="3" a="1"/>
  <c r="D25" i="3" s="1"/>
  <c r="C25" i="3" a="1"/>
  <c r="C25" i="3" s="1"/>
  <c r="K24" i="3" a="1"/>
  <c r="K24" i="3" s="1"/>
  <c r="P24" i="3" s="1"/>
  <c r="J24" i="3" a="1"/>
  <c r="J24" i="3" s="1"/>
  <c r="O24" i="3" s="1"/>
  <c r="I24" i="3" a="1"/>
  <c r="I24" i="3" s="1"/>
  <c r="N24" i="3" s="1"/>
  <c r="H24" i="3" a="1"/>
  <c r="H24" i="3" s="1"/>
  <c r="M24" i="3" s="1"/>
  <c r="F24" i="3" a="1"/>
  <c r="F24" i="3" s="1"/>
  <c r="E24" i="3" a="1"/>
  <c r="E24" i="3" s="1"/>
  <c r="D24" i="3" a="1"/>
  <c r="D24" i="3" s="1"/>
  <c r="C24" i="3" a="1"/>
  <c r="C24" i="3" s="1"/>
  <c r="K23" i="3" a="1"/>
  <c r="K23" i="3" s="1"/>
  <c r="P23" i="3" s="1"/>
  <c r="J23" i="3" a="1"/>
  <c r="J23" i="3" s="1"/>
  <c r="O23" i="3" s="1"/>
  <c r="I23" i="3" a="1"/>
  <c r="I23" i="3" s="1"/>
  <c r="N23" i="3" s="1"/>
  <c r="H23" i="3" a="1"/>
  <c r="H23" i="3" s="1"/>
  <c r="M23" i="3" s="1"/>
  <c r="F23" i="3" a="1"/>
  <c r="F23" i="3" s="1"/>
  <c r="E23" i="3" a="1"/>
  <c r="E23" i="3" s="1"/>
  <c r="D23" i="3" a="1"/>
  <c r="D23" i="3" s="1"/>
  <c r="C23" i="3" a="1"/>
  <c r="C23" i="3" s="1"/>
  <c r="K22" i="3" a="1"/>
  <c r="K22" i="3" s="1"/>
  <c r="P22" i="3" s="1"/>
  <c r="J22" i="3" a="1"/>
  <c r="J22" i="3" s="1"/>
  <c r="O22" i="3" s="1"/>
  <c r="I22" i="3" a="1"/>
  <c r="I22" i="3" s="1"/>
  <c r="N22" i="3" s="1"/>
  <c r="H22" i="3" a="1"/>
  <c r="H22" i="3" s="1"/>
  <c r="M22" i="3" s="1"/>
  <c r="F22" i="3" a="1"/>
  <c r="F22" i="3" s="1"/>
  <c r="E22" i="3" a="1"/>
  <c r="E22" i="3" s="1"/>
  <c r="D22" i="3" a="1"/>
  <c r="D22" i="3" s="1"/>
  <c r="C22" i="3" a="1"/>
  <c r="C22" i="3" s="1"/>
  <c r="C55" i="3" a="1"/>
  <c r="C55" i="3" s="1"/>
  <c r="D55" i="3" a="1"/>
  <c r="D55" i="3" s="1"/>
  <c r="E55" i="3" a="1"/>
  <c r="E55" i="3" s="1"/>
  <c r="F55" i="3" a="1"/>
  <c r="F55" i="3" s="1"/>
  <c r="H55" i="3" a="1"/>
  <c r="H55" i="3" s="1"/>
  <c r="M55" i="3" s="1"/>
  <c r="I55" i="3" a="1"/>
  <c r="I55" i="3" s="1"/>
  <c r="N55" i="3" s="1"/>
  <c r="J55" i="3" a="1"/>
  <c r="J55" i="3" s="1"/>
  <c r="O55" i="3" s="1"/>
  <c r="K55" i="3" a="1"/>
  <c r="K55" i="3" s="1"/>
  <c r="P55" i="3" s="1"/>
  <c r="C56" i="3" a="1"/>
  <c r="C56" i="3" s="1"/>
  <c r="D56" i="3" a="1"/>
  <c r="D56" i="3" s="1"/>
  <c r="E56" i="3" a="1"/>
  <c r="E56" i="3" s="1"/>
  <c r="F56" i="3" a="1"/>
  <c r="F56" i="3" s="1"/>
  <c r="H56" i="3" a="1"/>
  <c r="H56" i="3" s="1"/>
  <c r="M56" i="3" s="1"/>
  <c r="I56" i="3" a="1"/>
  <c r="I56" i="3" s="1"/>
  <c r="N56" i="3" s="1"/>
  <c r="J56" i="3" a="1"/>
  <c r="J56" i="3" s="1"/>
  <c r="O56" i="3" s="1"/>
  <c r="K56" i="3" a="1"/>
  <c r="K56" i="3" s="1"/>
  <c r="P56" i="3" s="1"/>
  <c r="C57" i="3" a="1"/>
  <c r="C57" i="3" s="1"/>
  <c r="D57" i="3" a="1"/>
  <c r="D57" i="3" s="1"/>
  <c r="E57" i="3" a="1"/>
  <c r="E57" i="3" s="1"/>
  <c r="F57" i="3" a="1"/>
  <c r="F57" i="3" s="1"/>
  <c r="H57" i="3" a="1"/>
  <c r="H57" i="3" s="1"/>
  <c r="M57" i="3" s="1"/>
  <c r="I57" i="3" a="1"/>
  <c r="I57" i="3" s="1"/>
  <c r="N57" i="3" s="1"/>
  <c r="J57" i="3" a="1"/>
  <c r="J57" i="3" s="1"/>
  <c r="O57" i="3" s="1"/>
  <c r="K57" i="3" a="1"/>
  <c r="K57" i="3" s="1"/>
  <c r="P57" i="3" s="1"/>
  <c r="K54" i="3" a="1"/>
  <c r="K54" i="3" s="1"/>
  <c r="P54" i="3" s="1"/>
  <c r="J54" i="3" a="1"/>
  <c r="J54" i="3" s="1"/>
  <c r="O54" i="3" s="1"/>
  <c r="I54" i="3" a="1"/>
  <c r="I54" i="3" s="1"/>
  <c r="N54" i="3" s="1"/>
  <c r="H54" i="3" a="1"/>
  <c r="H54" i="3" s="1"/>
  <c r="M54" i="3" s="1"/>
  <c r="F54" i="3" a="1"/>
  <c r="F54" i="3" s="1"/>
  <c r="E54" i="3" a="1"/>
  <c r="E54" i="3" s="1"/>
  <c r="D54" i="3" a="1"/>
  <c r="D54" i="3" s="1"/>
  <c r="C54" i="3" a="1"/>
  <c r="C54" i="3" s="1"/>
  <c r="K53" i="3" a="1"/>
  <c r="K53" i="3" s="1"/>
  <c r="P53" i="3" s="1"/>
  <c r="J53" i="3" a="1"/>
  <c r="J53" i="3" s="1"/>
  <c r="O53" i="3" s="1"/>
  <c r="I53" i="3" a="1"/>
  <c r="I53" i="3" s="1"/>
  <c r="N53" i="3" s="1"/>
  <c r="H53" i="3" a="1"/>
  <c r="H53" i="3" s="1"/>
  <c r="M53" i="3" s="1"/>
  <c r="F53" i="3" a="1"/>
  <c r="F53" i="3" s="1"/>
  <c r="E53" i="3" a="1"/>
  <c r="E53" i="3" s="1"/>
  <c r="D53" i="3" a="1"/>
  <c r="D53" i="3" s="1"/>
  <c r="C53" i="3" a="1"/>
  <c r="C53" i="3" s="1"/>
  <c r="K52" i="3" a="1"/>
  <c r="K52" i="3" s="1"/>
  <c r="P52" i="3" s="1"/>
  <c r="J52" i="3" a="1"/>
  <c r="J52" i="3" s="1"/>
  <c r="O52" i="3" s="1"/>
  <c r="I52" i="3" a="1"/>
  <c r="I52" i="3" s="1"/>
  <c r="N52" i="3" s="1"/>
  <c r="H52" i="3" a="1"/>
  <c r="H52" i="3" s="1"/>
  <c r="M52" i="3" s="1"/>
  <c r="F52" i="3" a="1"/>
  <c r="F52" i="3" s="1"/>
  <c r="E52" i="3" a="1"/>
  <c r="E52" i="3" s="1"/>
  <c r="D52" i="3" a="1"/>
  <c r="D52" i="3" s="1"/>
  <c r="C52" i="3" a="1"/>
  <c r="C52" i="3" s="1"/>
  <c r="K51" i="3" a="1"/>
  <c r="K51" i="3" s="1"/>
  <c r="P51" i="3" s="1"/>
  <c r="J51" i="3" a="1"/>
  <c r="J51" i="3" s="1"/>
  <c r="O51" i="3" s="1"/>
  <c r="I51" i="3" a="1"/>
  <c r="I51" i="3" s="1"/>
  <c r="N51" i="3" s="1"/>
  <c r="H51" i="3" a="1"/>
  <c r="H51" i="3" s="1"/>
  <c r="M51" i="3" s="1"/>
  <c r="F51" i="3" a="1"/>
  <c r="F51" i="3" s="1"/>
  <c r="E51" i="3" a="1"/>
  <c r="E51" i="3" s="1"/>
  <c r="D51" i="3" a="1"/>
  <c r="D51" i="3" s="1"/>
  <c r="C51" i="3" a="1"/>
  <c r="C51" i="3" s="1"/>
  <c r="K50" i="3" a="1"/>
  <c r="K50" i="3" s="1"/>
  <c r="P50" i="3" s="1"/>
  <c r="J50" i="3" a="1"/>
  <c r="J50" i="3" s="1"/>
  <c r="O50" i="3" s="1"/>
  <c r="I50" i="3" a="1"/>
  <c r="I50" i="3" s="1"/>
  <c r="N50" i="3" s="1"/>
  <c r="H50" i="3" a="1"/>
  <c r="H50" i="3" s="1"/>
  <c r="M50" i="3" s="1"/>
  <c r="F50" i="3" a="1"/>
  <c r="F50" i="3" s="1"/>
  <c r="E50" i="3" a="1"/>
  <c r="E50" i="3" s="1"/>
  <c r="D50" i="3" a="1"/>
  <c r="D50" i="3" s="1"/>
  <c r="C50" i="3" a="1"/>
  <c r="C50" i="3" s="1"/>
  <c r="K49" i="3" a="1"/>
  <c r="K49" i="3" s="1"/>
  <c r="P49" i="3" s="1"/>
  <c r="J49" i="3" a="1"/>
  <c r="J49" i="3" s="1"/>
  <c r="O49" i="3" s="1"/>
  <c r="I49" i="3" a="1"/>
  <c r="I49" i="3" s="1"/>
  <c r="N49" i="3" s="1"/>
  <c r="H49" i="3" a="1"/>
  <c r="H49" i="3" s="1"/>
  <c r="M49" i="3" s="1"/>
  <c r="F49" i="3" a="1"/>
  <c r="F49" i="3" s="1"/>
  <c r="E49" i="3" a="1"/>
  <c r="E49" i="3" s="1"/>
  <c r="D49" i="3" a="1"/>
  <c r="D49" i="3" s="1"/>
  <c r="C49" i="3"/>
  <c r="C49" i="3" a="1"/>
  <c r="K48" i="3" a="1"/>
  <c r="K48" i="3" s="1"/>
  <c r="P48" i="3" s="1"/>
  <c r="J48" i="3" a="1"/>
  <c r="J48" i="3" s="1"/>
  <c r="O48" i="3" s="1"/>
  <c r="I48" i="3" a="1"/>
  <c r="I48" i="3" s="1"/>
  <c r="N48" i="3" s="1"/>
  <c r="H48" i="3" a="1"/>
  <c r="H48" i="3" s="1"/>
  <c r="M48" i="3" s="1"/>
  <c r="F48" i="3" a="1"/>
  <c r="F48" i="3" s="1"/>
  <c r="E48" i="3" a="1"/>
  <c r="E48" i="3" s="1"/>
  <c r="D48" i="3" a="1"/>
  <c r="D48" i="3" s="1"/>
  <c r="C48" i="3" a="1"/>
  <c r="C48" i="3" s="1"/>
  <c r="K47" i="3" a="1"/>
  <c r="K47" i="3" s="1"/>
  <c r="P47" i="3" s="1"/>
  <c r="J47" i="3" a="1"/>
  <c r="J47" i="3" s="1"/>
  <c r="O47" i="3" s="1"/>
  <c r="I47" i="3" a="1"/>
  <c r="I47" i="3" s="1"/>
  <c r="N47" i="3" s="1"/>
  <c r="H47" i="3" a="1"/>
  <c r="H47" i="3" s="1"/>
  <c r="M47" i="3" s="1"/>
  <c r="F47" i="3" a="1"/>
  <c r="F47" i="3" s="1"/>
  <c r="E47" i="3" a="1"/>
  <c r="E47" i="3" s="1"/>
  <c r="D47" i="3" a="1"/>
  <c r="D47" i="3" s="1"/>
  <c r="C47" i="3" a="1"/>
  <c r="C47" i="3" s="1"/>
  <c r="K46" i="3" a="1"/>
  <c r="K46" i="3" s="1"/>
  <c r="P46" i="3" s="1"/>
  <c r="J46" i="3" a="1"/>
  <c r="J46" i="3" s="1"/>
  <c r="O46" i="3" s="1"/>
  <c r="I46" i="3" a="1"/>
  <c r="I46" i="3" s="1"/>
  <c r="N46" i="3" s="1"/>
  <c r="H46" i="3" a="1"/>
  <c r="H46" i="3" s="1"/>
  <c r="M46" i="3" s="1"/>
  <c r="F46" i="3" a="1"/>
  <c r="F46" i="3" s="1"/>
  <c r="E46" i="3" a="1"/>
  <c r="E46" i="3" s="1"/>
  <c r="D46" i="3" a="1"/>
  <c r="D46" i="3" s="1"/>
  <c r="C46" i="3" a="1"/>
  <c r="C46" i="3" s="1"/>
  <c r="K45" i="3" a="1"/>
  <c r="K45" i="3" s="1"/>
  <c r="P45" i="3" s="1"/>
  <c r="J45" i="3" a="1"/>
  <c r="J45" i="3" s="1"/>
  <c r="O45" i="3" s="1"/>
  <c r="I45" i="3" a="1"/>
  <c r="I45" i="3" s="1"/>
  <c r="N45" i="3" s="1"/>
  <c r="H45" i="3" a="1"/>
  <c r="H45" i="3" s="1"/>
  <c r="M45" i="3" s="1"/>
  <c r="F45" i="3" a="1"/>
  <c r="F45" i="3" s="1"/>
  <c r="E45" i="3" a="1"/>
  <c r="E45" i="3" s="1"/>
  <c r="D45" i="3" a="1"/>
  <c r="D45" i="3" s="1"/>
  <c r="C45" i="3" a="1"/>
  <c r="C45" i="3" s="1"/>
  <c r="K44" i="3" a="1"/>
  <c r="K44" i="3" s="1"/>
  <c r="P44" i="3" s="1"/>
  <c r="J44" i="3" a="1"/>
  <c r="J44" i="3" s="1"/>
  <c r="O44" i="3" s="1"/>
  <c r="I44" i="3" a="1"/>
  <c r="I44" i="3" s="1"/>
  <c r="N44" i="3" s="1"/>
  <c r="H44" i="3" a="1"/>
  <c r="H44" i="3" s="1"/>
  <c r="M44" i="3" s="1"/>
  <c r="F44" i="3" a="1"/>
  <c r="F44" i="3" s="1"/>
  <c r="E44" i="3" a="1"/>
  <c r="E44" i="3" s="1"/>
  <c r="D44" i="3" a="1"/>
  <c r="D44" i="3" s="1"/>
  <c r="C44" i="3" a="1"/>
  <c r="C44" i="3" s="1"/>
  <c r="D4" i="2"/>
  <c r="K6" i="3" s="1"/>
  <c r="F9" i="3" a="1"/>
  <c r="I9" i="3" a="1"/>
  <c r="E10" i="3" a="1"/>
  <c r="F11" i="3" a="1"/>
  <c r="J11" i="3" a="1"/>
  <c r="F12" i="3" a="1"/>
  <c r="I12" i="3" a="1"/>
  <c r="H13" i="3" a="1"/>
  <c r="F14" i="3" a="1"/>
  <c r="E15" i="3" a="1"/>
  <c r="I15" i="3" a="1"/>
  <c r="H16" i="3" a="1"/>
  <c r="J16" i="3" a="1"/>
  <c r="F17" i="3" a="1"/>
  <c r="I17" i="3" a="1"/>
  <c r="E18" i="3" a="1"/>
  <c r="F19" i="3" a="1"/>
  <c r="J19" i="3" a="1"/>
  <c r="F20" i="3" a="1"/>
  <c r="I20" i="3" a="1"/>
  <c r="H21" i="3" a="1"/>
  <c r="D21" i="3" a="1"/>
  <c r="D20" i="3" a="1"/>
  <c r="D19" i="3" a="1"/>
  <c r="D18" i="3" a="1"/>
  <c r="D17" i="3" a="1"/>
  <c r="D16" i="3" a="1"/>
  <c r="D15" i="3" a="1"/>
  <c r="D14" i="3" a="1"/>
  <c r="D12" i="3" a="1"/>
  <c r="D11" i="3" a="1"/>
  <c r="D10" i="3" a="1"/>
  <c r="D9" i="3" a="1"/>
  <c r="J9" i="3" a="1"/>
  <c r="I10" i="3" a="1"/>
  <c r="K10" i="3" a="1"/>
  <c r="H11" i="3" a="1"/>
  <c r="K11" i="3" a="1"/>
  <c r="E13" i="3" a="1"/>
  <c r="K13" i="3" a="1"/>
  <c r="H14" i="3" a="1"/>
  <c r="J14" i="3" a="1"/>
  <c r="E16" i="3" a="1"/>
  <c r="K16" i="3" a="1"/>
  <c r="J17" i="3" a="1"/>
  <c r="I18" i="3" a="1"/>
  <c r="K18" i="3" a="1"/>
  <c r="H19" i="3" a="1"/>
  <c r="K19" i="3" a="1"/>
  <c r="E21" i="3" a="1"/>
  <c r="K21" i="3" a="1"/>
  <c r="C18" i="3" a="1"/>
  <c r="C14" i="3" a="1"/>
  <c r="I11" i="3" a="1"/>
  <c r="H12" i="3" a="1"/>
  <c r="F13" i="3" a="1"/>
  <c r="E14" i="3" a="1"/>
  <c r="J15" i="3" a="1"/>
  <c r="I16" i="3" a="1"/>
  <c r="H17" i="3" a="1"/>
  <c r="F18" i="3" a="1"/>
  <c r="E19" i="3" a="1"/>
  <c r="J20" i="3" a="1"/>
  <c r="I21" i="3" a="1"/>
  <c r="C17" i="3" a="1"/>
  <c r="D13" i="3" a="1"/>
  <c r="C11" i="3" a="1"/>
  <c r="C9" i="3" a="1"/>
  <c r="E9" i="3" a="1"/>
  <c r="K9" i="3" a="1"/>
  <c r="J10" i="3" a="1"/>
  <c r="K14" i="3" a="1"/>
  <c r="K15" i="3" a="1"/>
  <c r="H18" i="3" a="1"/>
  <c r="E20" i="3" a="1"/>
  <c r="K20" i="3" a="1"/>
  <c r="J21" i="3" a="1"/>
  <c r="C20" i="3" a="1"/>
  <c r="C16" i="3" a="1"/>
  <c r="C13" i="3" a="1"/>
  <c r="H9" i="3" a="1"/>
  <c r="F10" i="3" a="1"/>
  <c r="E11" i="3" a="1"/>
  <c r="J12" i="3" a="1"/>
  <c r="I13" i="3" a="1"/>
  <c r="F15" i="3" a="1"/>
  <c r="F16" i="3" a="1"/>
  <c r="I19" i="3" a="1"/>
  <c r="H20" i="3" a="1"/>
  <c r="F21" i="3" a="1"/>
  <c r="C19" i="3" a="1"/>
  <c r="C15" i="3" a="1"/>
  <c r="C12" i="3" a="1"/>
  <c r="C10" i="3" a="1"/>
  <c r="H10" i="3" a="1"/>
  <c r="E12" i="3" a="1"/>
  <c r="K12" i="3" a="1"/>
  <c r="J13" i="3" a="1"/>
  <c r="I14" i="3" a="1"/>
  <c r="E17" i="3" a="1"/>
  <c r="K17" i="3" a="1"/>
  <c r="J18" i="3" a="1"/>
  <c r="C21" i="3" a="1"/>
  <c r="H15" i="3" a="1"/>
  <c r="K8" i="3" a="1"/>
  <c r="C8" i="3" a="1"/>
  <c r="D8" i="3" a="1"/>
  <c r="G40" i="3" l="1"/>
  <c r="G43" i="3"/>
  <c r="H6" i="3"/>
  <c r="E6" i="3"/>
  <c r="G33" i="3"/>
  <c r="G34" i="3"/>
  <c r="G27" i="3"/>
  <c r="G28" i="3"/>
  <c r="G31" i="3"/>
  <c r="G32" i="3"/>
  <c r="F6" i="3"/>
  <c r="G30" i="3"/>
  <c r="G42" i="3"/>
  <c r="I6" i="3"/>
  <c r="G48" i="3"/>
  <c r="J6" i="3"/>
  <c r="G36" i="3"/>
  <c r="G37" i="3"/>
  <c r="G35" i="3"/>
  <c r="G25" i="3"/>
  <c r="G26" i="3"/>
  <c r="G29" i="3"/>
  <c r="G38" i="3"/>
  <c r="G39" i="3"/>
  <c r="G41" i="3"/>
  <c r="G22" i="3"/>
  <c r="G24" i="3"/>
  <c r="G23" i="3"/>
  <c r="G57" i="3"/>
  <c r="G56" i="3"/>
  <c r="G55" i="3"/>
  <c r="G53" i="3"/>
  <c r="G45" i="3"/>
  <c r="G49" i="3"/>
  <c r="G54" i="3"/>
  <c r="G44" i="3"/>
  <c r="G46" i="3"/>
  <c r="G47" i="3"/>
  <c r="G50" i="3"/>
  <c r="G51" i="3"/>
  <c r="G52" i="3"/>
  <c r="H15" i="3"/>
  <c r="M15" i="3" s="1"/>
  <c r="C21" i="3"/>
  <c r="J18" i="3"/>
  <c r="O18" i="3" s="1"/>
  <c r="K17" i="3"/>
  <c r="P17" i="3" s="1"/>
  <c r="E17" i="3"/>
  <c r="I14" i="3"/>
  <c r="N14" i="3" s="1"/>
  <c r="J13" i="3"/>
  <c r="O13" i="3" s="1"/>
  <c r="K12" i="3"/>
  <c r="P12" i="3" s="1"/>
  <c r="E12" i="3"/>
  <c r="H10" i="3"/>
  <c r="M10" i="3" s="1"/>
  <c r="C10" i="3"/>
  <c r="C12" i="3"/>
  <c r="C15" i="3"/>
  <c r="C19" i="3"/>
  <c r="F21" i="3"/>
  <c r="H20" i="3"/>
  <c r="M20" i="3" s="1"/>
  <c r="I19" i="3"/>
  <c r="N19" i="3" s="1"/>
  <c r="F16" i="3"/>
  <c r="F15" i="3"/>
  <c r="I13" i="3"/>
  <c r="N13" i="3" s="1"/>
  <c r="J12" i="3"/>
  <c r="O12" i="3" s="1"/>
  <c r="E11" i="3"/>
  <c r="F10" i="3"/>
  <c r="H9" i="3"/>
  <c r="M9" i="3" s="1"/>
  <c r="C13" i="3"/>
  <c r="C16" i="3"/>
  <c r="C20" i="3"/>
  <c r="J21" i="3"/>
  <c r="O21" i="3" s="1"/>
  <c r="K20" i="3"/>
  <c r="P20" i="3" s="1"/>
  <c r="E20" i="3"/>
  <c r="H18" i="3"/>
  <c r="M18" i="3" s="1"/>
  <c r="K15" i="3"/>
  <c r="P15" i="3" s="1"/>
  <c r="K14" i="3"/>
  <c r="P14" i="3" s="1"/>
  <c r="J10" i="3"/>
  <c r="O10" i="3" s="1"/>
  <c r="K9" i="3"/>
  <c r="P9" i="3" s="1"/>
  <c r="E9" i="3"/>
  <c r="C9" i="3"/>
  <c r="C11" i="3"/>
  <c r="D13" i="3"/>
  <c r="C17" i="3"/>
  <c r="I21" i="3"/>
  <c r="N21" i="3" s="1"/>
  <c r="J20" i="3"/>
  <c r="O20" i="3" s="1"/>
  <c r="E19" i="3"/>
  <c r="F18" i="3"/>
  <c r="H17" i="3"/>
  <c r="M17" i="3" s="1"/>
  <c r="I16" i="3"/>
  <c r="N16" i="3" s="1"/>
  <c r="J15" i="3"/>
  <c r="O15" i="3" s="1"/>
  <c r="E14" i="3"/>
  <c r="F13" i="3"/>
  <c r="H12" i="3"/>
  <c r="M12" i="3" s="1"/>
  <c r="I11" i="3"/>
  <c r="N11" i="3" s="1"/>
  <c r="C14" i="3"/>
  <c r="C18" i="3"/>
  <c r="K21" i="3"/>
  <c r="P21" i="3" s="1"/>
  <c r="E21" i="3"/>
  <c r="K19" i="3"/>
  <c r="P19" i="3" s="1"/>
  <c r="H19" i="3"/>
  <c r="M19" i="3" s="1"/>
  <c r="K18" i="3"/>
  <c r="P18" i="3" s="1"/>
  <c r="I18" i="3"/>
  <c r="N18" i="3" s="1"/>
  <c r="J17" i="3"/>
  <c r="O17" i="3" s="1"/>
  <c r="K16" i="3"/>
  <c r="P16" i="3" s="1"/>
  <c r="E16" i="3"/>
  <c r="J14" i="3"/>
  <c r="O14" i="3" s="1"/>
  <c r="H14" i="3"/>
  <c r="M14" i="3" s="1"/>
  <c r="K13" i="3"/>
  <c r="P13" i="3" s="1"/>
  <c r="E13" i="3"/>
  <c r="K11" i="3"/>
  <c r="P11" i="3" s="1"/>
  <c r="H11" i="3"/>
  <c r="M11" i="3" s="1"/>
  <c r="K10" i="3"/>
  <c r="P10" i="3" s="1"/>
  <c r="I10" i="3"/>
  <c r="N10" i="3" s="1"/>
  <c r="J9" i="3"/>
  <c r="O9" i="3" s="1"/>
  <c r="D9" i="3"/>
  <c r="D10" i="3"/>
  <c r="D11" i="3"/>
  <c r="D12" i="3"/>
  <c r="D14" i="3"/>
  <c r="D15" i="3"/>
  <c r="D16" i="3"/>
  <c r="D17" i="3"/>
  <c r="D18" i="3"/>
  <c r="D19" i="3"/>
  <c r="D20" i="3"/>
  <c r="D21" i="3"/>
  <c r="H21" i="3"/>
  <c r="M21" i="3" s="1"/>
  <c r="I20" i="3"/>
  <c r="N20" i="3" s="1"/>
  <c r="F20" i="3"/>
  <c r="J19" i="3"/>
  <c r="O19" i="3" s="1"/>
  <c r="F19" i="3"/>
  <c r="E18" i="3"/>
  <c r="I17" i="3"/>
  <c r="N17" i="3" s="1"/>
  <c r="F17" i="3"/>
  <c r="J16" i="3"/>
  <c r="O16" i="3" s="1"/>
  <c r="H16" i="3"/>
  <c r="M16" i="3" s="1"/>
  <c r="I15" i="3"/>
  <c r="N15" i="3" s="1"/>
  <c r="E15" i="3"/>
  <c r="F14" i="3"/>
  <c r="H13" i="3"/>
  <c r="M13" i="3" s="1"/>
  <c r="I12" i="3"/>
  <c r="N12" i="3" s="1"/>
  <c r="F12" i="3"/>
  <c r="J11" i="3"/>
  <c r="O11" i="3" s="1"/>
  <c r="F11" i="3"/>
  <c r="E10" i="3"/>
  <c r="I9" i="3"/>
  <c r="N9" i="3" s="1"/>
  <c r="F9" i="3"/>
  <c r="K8" i="3"/>
  <c r="P8" i="3" s="1"/>
  <c r="D8" i="3"/>
  <c r="C8" i="3"/>
  <c r="H8" i="3" a="1"/>
  <c r="I8" i="3" a="1"/>
  <c r="J8" i="3" a="1"/>
  <c r="F8" i="3" a="1"/>
  <c r="E8" i="3" a="1"/>
  <c r="H8" i="3" l="1"/>
  <c r="E8" i="3"/>
  <c r="G21" i="3"/>
  <c r="G14" i="3"/>
  <c r="F8" i="3"/>
  <c r="J8" i="3"/>
  <c r="O8" i="3" s="1"/>
  <c r="I8" i="3"/>
  <c r="N8" i="3" s="1"/>
  <c r="G19" i="3"/>
  <c r="G17" i="3"/>
  <c r="G10" i="3"/>
  <c r="G20" i="3"/>
  <c r="G11" i="3"/>
  <c r="G18" i="3"/>
  <c r="G9" i="3"/>
  <c r="G13" i="3"/>
  <c r="G16" i="3"/>
  <c r="G12" i="3"/>
  <c r="G15" i="3"/>
  <c r="B5" i="3"/>
  <c r="CN62" i="2" a="1"/>
  <c r="CN62" i="2" s="1"/>
  <c r="CM62" i="2" a="1"/>
  <c r="CM62" i="2" s="1"/>
  <c r="CL62" i="2" a="1"/>
  <c r="CL62" i="2" s="1"/>
  <c r="CK62" i="2" a="1"/>
  <c r="CK62" i="2" s="1"/>
  <c r="CJ62" i="2" a="1"/>
  <c r="CJ62" i="2" s="1"/>
  <c r="CI62" i="2" a="1"/>
  <c r="CI62" i="2" s="1"/>
  <c r="CH62" i="2" a="1"/>
  <c r="CH62" i="2" s="1"/>
  <c r="CG62" i="2" a="1"/>
  <c r="CG62" i="2" s="1"/>
  <c r="CF62" i="2" a="1"/>
  <c r="CF62" i="2" s="1"/>
  <c r="CE62" i="2" a="1"/>
  <c r="CE62" i="2" s="1"/>
  <c r="CD62" i="2" a="1"/>
  <c r="CD62" i="2" s="1"/>
  <c r="CC62" i="2" a="1"/>
  <c r="CC62" i="2" s="1"/>
  <c r="CB62" i="2" a="1"/>
  <c r="CB62" i="2" s="1"/>
  <c r="CA62" i="2" a="1"/>
  <c r="CA62" i="2" s="1"/>
  <c r="BZ62" i="2" a="1"/>
  <c r="BZ62" i="2" s="1"/>
  <c r="BY62" i="2" a="1"/>
  <c r="BY62" i="2" s="1"/>
  <c r="CN61" i="2" a="1"/>
  <c r="CN61" i="2" s="1"/>
  <c r="CM61" i="2" a="1"/>
  <c r="CM61" i="2" s="1"/>
  <c r="CL61" i="2" a="1"/>
  <c r="CL61" i="2" s="1"/>
  <c r="CK61" i="2" a="1"/>
  <c r="CK61" i="2" s="1"/>
  <c r="CJ61" i="2" a="1"/>
  <c r="CJ61" i="2" s="1"/>
  <c r="CI61" i="2" a="1"/>
  <c r="CI61" i="2" s="1"/>
  <c r="CH61" i="2" a="1"/>
  <c r="CH61" i="2" s="1"/>
  <c r="CG61" i="2" a="1"/>
  <c r="CG61" i="2" s="1"/>
  <c r="CF61" i="2" a="1"/>
  <c r="CF61" i="2" s="1"/>
  <c r="CE61" i="2" a="1"/>
  <c r="CE61" i="2" s="1"/>
  <c r="CD61" i="2" a="1"/>
  <c r="CD61" i="2" s="1"/>
  <c r="CC61" i="2" a="1"/>
  <c r="CC61" i="2" s="1"/>
  <c r="CB61" i="2" a="1"/>
  <c r="CB61" i="2" s="1"/>
  <c r="CA61" i="2" a="1"/>
  <c r="CA61" i="2" s="1"/>
  <c r="BZ61" i="2" a="1"/>
  <c r="BZ61" i="2" s="1"/>
  <c r="BY61" i="2" a="1"/>
  <c r="BY61" i="2" s="1"/>
  <c r="CN60" i="2" a="1"/>
  <c r="CN60" i="2" s="1"/>
  <c r="CM60" i="2" a="1"/>
  <c r="CM60" i="2" s="1"/>
  <c r="CL60" i="2" a="1"/>
  <c r="CL60" i="2" s="1"/>
  <c r="CK60" i="2" a="1"/>
  <c r="CK60" i="2" s="1"/>
  <c r="CJ60" i="2" a="1"/>
  <c r="CJ60" i="2" s="1"/>
  <c r="CI60" i="2" a="1"/>
  <c r="CI60" i="2" s="1"/>
  <c r="CH60" i="2" a="1"/>
  <c r="CH60" i="2" s="1"/>
  <c r="CG60" i="2" a="1"/>
  <c r="CG60" i="2" s="1"/>
  <c r="CF60" i="2" a="1"/>
  <c r="CF60" i="2" s="1"/>
  <c r="CE60" i="2" a="1"/>
  <c r="CE60" i="2" s="1"/>
  <c r="CD60" i="2" a="1"/>
  <c r="CD60" i="2" s="1"/>
  <c r="CC60" i="2" a="1"/>
  <c r="CC60" i="2" s="1"/>
  <c r="CB60" i="2" a="1"/>
  <c r="CB60" i="2" s="1"/>
  <c r="CA60" i="2" a="1"/>
  <c r="CA60" i="2" s="1"/>
  <c r="BZ60" i="2" a="1"/>
  <c r="BZ60" i="2" s="1"/>
  <c r="BY60" i="2" a="1"/>
  <c r="BY60" i="2" s="1"/>
  <c r="CN59" i="2" a="1"/>
  <c r="CN59" i="2" s="1"/>
  <c r="CM59" i="2" a="1"/>
  <c r="CM59" i="2" s="1"/>
  <c r="CL59" i="2" a="1"/>
  <c r="CL59" i="2" s="1"/>
  <c r="CK59" i="2" a="1"/>
  <c r="CK59" i="2" s="1"/>
  <c r="CJ59" i="2" a="1"/>
  <c r="CJ59" i="2" s="1"/>
  <c r="CI59" i="2" a="1"/>
  <c r="CI59" i="2" s="1"/>
  <c r="CH59" i="2" a="1"/>
  <c r="CH59" i="2" s="1"/>
  <c r="CG59" i="2" a="1"/>
  <c r="CG59" i="2" s="1"/>
  <c r="CF59" i="2" a="1"/>
  <c r="CF59" i="2" s="1"/>
  <c r="CE59" i="2" a="1"/>
  <c r="CE59" i="2" s="1"/>
  <c r="CD59" i="2" a="1"/>
  <c r="CD59" i="2" s="1"/>
  <c r="CC59" i="2" a="1"/>
  <c r="CC59" i="2" s="1"/>
  <c r="CB59" i="2" a="1"/>
  <c r="CB59" i="2" s="1"/>
  <c r="CA59" i="2" a="1"/>
  <c r="CA59" i="2" s="1"/>
  <c r="BZ59" i="2" a="1"/>
  <c r="BZ59" i="2" s="1"/>
  <c r="BY59" i="2" a="1"/>
  <c r="BY59" i="2" s="1"/>
  <c r="CN58" i="2" a="1"/>
  <c r="CN58" i="2" s="1"/>
  <c r="CM58" i="2" a="1"/>
  <c r="CM58" i="2" s="1"/>
  <c r="CL58" i="2" a="1"/>
  <c r="CL58" i="2" s="1"/>
  <c r="CK58" i="2" a="1"/>
  <c r="CK58" i="2" s="1"/>
  <c r="CJ58" i="2" a="1"/>
  <c r="CJ58" i="2" s="1"/>
  <c r="CI58" i="2" a="1"/>
  <c r="CI58" i="2" s="1"/>
  <c r="CH58" i="2" a="1"/>
  <c r="CH58" i="2" s="1"/>
  <c r="CG58" i="2" a="1"/>
  <c r="CG58" i="2" s="1"/>
  <c r="CF58" i="2" a="1"/>
  <c r="CF58" i="2" s="1"/>
  <c r="CE58" i="2" a="1"/>
  <c r="CE58" i="2" s="1"/>
  <c r="CD58" i="2" a="1"/>
  <c r="CD58" i="2" s="1"/>
  <c r="CC58" i="2" a="1"/>
  <c r="CC58" i="2" s="1"/>
  <c r="CB58" i="2" a="1"/>
  <c r="CB58" i="2" s="1"/>
  <c r="CA58" i="2" a="1"/>
  <c r="CA58" i="2" s="1"/>
  <c r="BZ58" i="2" a="1"/>
  <c r="BZ58" i="2" s="1"/>
  <c r="BY58" i="2" a="1"/>
  <c r="BY58" i="2" s="1"/>
  <c r="CN57" i="2" a="1"/>
  <c r="CN57" i="2" s="1"/>
  <c r="CM57" i="2" a="1"/>
  <c r="CM57" i="2" s="1"/>
  <c r="CL57" i="2" a="1"/>
  <c r="CL57" i="2" s="1"/>
  <c r="CK57" i="2" a="1"/>
  <c r="CK57" i="2" s="1"/>
  <c r="CJ57" i="2" a="1"/>
  <c r="CJ57" i="2" s="1"/>
  <c r="CI57" i="2" a="1"/>
  <c r="CI57" i="2" s="1"/>
  <c r="CH57" i="2" a="1"/>
  <c r="CH57" i="2" s="1"/>
  <c r="CG57" i="2" a="1"/>
  <c r="CG57" i="2" s="1"/>
  <c r="CF57" i="2" a="1"/>
  <c r="CF57" i="2" s="1"/>
  <c r="CE57" i="2" a="1"/>
  <c r="CE57" i="2" s="1"/>
  <c r="CD57" i="2" a="1"/>
  <c r="CD57" i="2" s="1"/>
  <c r="CC57" i="2" a="1"/>
  <c r="CC57" i="2" s="1"/>
  <c r="CB57" i="2" a="1"/>
  <c r="CB57" i="2" s="1"/>
  <c r="CA57" i="2" a="1"/>
  <c r="CA57" i="2" s="1"/>
  <c r="BZ57" i="2" a="1"/>
  <c r="BZ57" i="2" s="1"/>
  <c r="BY57" i="2" a="1"/>
  <c r="BY57" i="2" s="1"/>
  <c r="CN56" i="2" a="1"/>
  <c r="CN56" i="2" s="1"/>
  <c r="CM56" i="2" a="1"/>
  <c r="CM56" i="2" s="1"/>
  <c r="CL56" i="2" a="1"/>
  <c r="CL56" i="2" s="1"/>
  <c r="CK56" i="2" a="1"/>
  <c r="CK56" i="2" s="1"/>
  <c r="CJ56" i="2" a="1"/>
  <c r="CJ56" i="2" s="1"/>
  <c r="CI56" i="2" a="1"/>
  <c r="CI56" i="2" s="1"/>
  <c r="CH56" i="2" a="1"/>
  <c r="CH56" i="2" s="1"/>
  <c r="CG56" i="2" a="1"/>
  <c r="CG56" i="2" s="1"/>
  <c r="CF56" i="2" a="1"/>
  <c r="CF56" i="2" s="1"/>
  <c r="CE56" i="2" a="1"/>
  <c r="CE56" i="2" s="1"/>
  <c r="CD56" i="2" a="1"/>
  <c r="CD56" i="2" s="1"/>
  <c r="CC56" i="2" a="1"/>
  <c r="CC56" i="2" s="1"/>
  <c r="CB56" i="2" a="1"/>
  <c r="CB56" i="2" s="1"/>
  <c r="CA56" i="2" a="1"/>
  <c r="CA56" i="2" s="1"/>
  <c r="BZ56" i="2" a="1"/>
  <c r="BZ56" i="2" s="1"/>
  <c r="BY56" i="2" a="1"/>
  <c r="BY56" i="2" s="1"/>
  <c r="CN26" i="2" a="1"/>
  <c r="CN26" i="2" s="1"/>
  <c r="CM26" i="2" a="1"/>
  <c r="CM26" i="2" s="1"/>
  <c r="CL26" i="2" a="1"/>
  <c r="CL26" i="2" s="1"/>
  <c r="CK26" i="2" a="1"/>
  <c r="CK26" i="2" s="1"/>
  <c r="CJ26" i="2" a="1"/>
  <c r="CJ26" i="2" s="1"/>
  <c r="CI26" i="2" a="1"/>
  <c r="CI26" i="2" s="1"/>
  <c r="CH26" i="2"/>
  <c r="CH26" i="2" a="1"/>
  <c r="CG26" i="2" a="1"/>
  <c r="CG26" i="2" s="1"/>
  <c r="CF26" i="2" a="1"/>
  <c r="CF26" i="2" s="1"/>
  <c r="CE26" i="2" a="1"/>
  <c r="CE26" i="2" s="1"/>
  <c r="CD26" i="2" a="1"/>
  <c r="CD26" i="2" s="1"/>
  <c r="CC26" i="2" a="1"/>
  <c r="CC26" i="2" s="1"/>
  <c r="CB26" i="2" a="1"/>
  <c r="CB26" i="2" s="1"/>
  <c r="CA26" i="2" a="1"/>
  <c r="CA26" i="2" s="1"/>
  <c r="BZ26" i="2" a="1"/>
  <c r="BZ26" i="2" s="1"/>
  <c r="BY26" i="2" a="1"/>
  <c r="BY26" i="2" s="1"/>
  <c r="CN24" i="2" a="1"/>
  <c r="CN24" i="2" s="1"/>
  <c r="CM24" i="2" a="1"/>
  <c r="CM24" i="2" s="1"/>
  <c r="CL24" i="2" a="1"/>
  <c r="CL24" i="2" s="1"/>
  <c r="CK24" i="2" a="1"/>
  <c r="CK24" i="2" s="1"/>
  <c r="CJ24" i="2" a="1"/>
  <c r="CJ24" i="2" s="1"/>
  <c r="CI24" i="2" a="1"/>
  <c r="CI24" i="2" s="1"/>
  <c r="CH24" i="2" a="1"/>
  <c r="CH24" i="2" s="1"/>
  <c r="CG24" i="2" a="1"/>
  <c r="CG24" i="2" s="1"/>
  <c r="CF24" i="2" a="1"/>
  <c r="CF24" i="2" s="1"/>
  <c r="CE24" i="2" a="1"/>
  <c r="CE24" i="2" s="1"/>
  <c r="CD24" i="2" a="1"/>
  <c r="CD24" i="2" s="1"/>
  <c r="CC24" i="2" a="1"/>
  <c r="CC24" i="2" s="1"/>
  <c r="CB24" i="2" a="1"/>
  <c r="CB24" i="2" s="1"/>
  <c r="CA24" i="2" a="1"/>
  <c r="CA24" i="2" s="1"/>
  <c r="BZ24" i="2" a="1"/>
  <c r="BZ24" i="2" s="1"/>
  <c r="BY24" i="2" a="1"/>
  <c r="BY24" i="2" s="1"/>
  <c r="CN21" i="2" a="1"/>
  <c r="CN21" i="2" s="1"/>
  <c r="CM21" i="2" a="1"/>
  <c r="CM21" i="2" s="1"/>
  <c r="CL21" i="2" a="1"/>
  <c r="CL21" i="2" s="1"/>
  <c r="CK21" i="2" a="1"/>
  <c r="CK21" i="2" s="1"/>
  <c r="CJ21" i="2" a="1"/>
  <c r="CJ21" i="2" s="1"/>
  <c r="CI21" i="2" a="1"/>
  <c r="CI21" i="2" s="1"/>
  <c r="CH21" i="2" a="1"/>
  <c r="CH21" i="2" s="1"/>
  <c r="CG21" i="2" a="1"/>
  <c r="CG21" i="2" s="1"/>
  <c r="CF21" i="2" a="1"/>
  <c r="CF21" i="2" s="1"/>
  <c r="CE21" i="2" a="1"/>
  <c r="CE21" i="2" s="1"/>
  <c r="CD21" i="2" a="1"/>
  <c r="CD21" i="2" s="1"/>
  <c r="CC21" i="2" a="1"/>
  <c r="CC21" i="2" s="1"/>
  <c r="CB21" i="2" a="1"/>
  <c r="CB21" i="2" s="1"/>
  <c r="CA21" i="2" a="1"/>
  <c r="CA21" i="2" s="1"/>
  <c r="BZ21" i="2"/>
  <c r="BZ21" i="2" a="1"/>
  <c r="BY21" i="2" a="1"/>
  <c r="BY21" i="2" s="1"/>
  <c r="CN12" i="2" a="1"/>
  <c r="CN12" i="2" s="1"/>
  <c r="CM12" i="2" a="1"/>
  <c r="CM12" i="2" s="1"/>
  <c r="CL12" i="2" a="1"/>
  <c r="CL12" i="2" s="1"/>
  <c r="CK12" i="2" a="1"/>
  <c r="CK12" i="2" s="1"/>
  <c r="CJ12" i="2" a="1"/>
  <c r="CJ12" i="2" s="1"/>
  <c r="CI12" i="2" a="1"/>
  <c r="CI12" i="2" s="1"/>
  <c r="CH12" i="2" a="1"/>
  <c r="CH12" i="2" s="1"/>
  <c r="CG12" i="2" a="1"/>
  <c r="CG12" i="2" s="1"/>
  <c r="CF12" i="2" a="1"/>
  <c r="CF12" i="2" s="1"/>
  <c r="CE12" i="2" a="1"/>
  <c r="CE12" i="2" s="1"/>
  <c r="CD12" i="2" a="1"/>
  <c r="CD12" i="2" s="1"/>
  <c r="CC12" i="2" a="1"/>
  <c r="CC12" i="2" s="1"/>
  <c r="CB12" i="2" a="1"/>
  <c r="CB12" i="2" s="1"/>
  <c r="CA12" i="2" a="1"/>
  <c r="CA12" i="2" s="1"/>
  <c r="BZ12" i="2" a="1"/>
  <c r="BZ12" i="2" s="1"/>
  <c r="BY12" i="2" a="1"/>
  <c r="BY12" i="2" s="1"/>
  <c r="BX55" i="2" a="1"/>
  <c r="BX55" i="2" s="1"/>
  <c r="BW55" i="2" a="1"/>
  <c r="BW55" i="2" s="1"/>
  <c r="BV55" i="2" a="1"/>
  <c r="BV55" i="2" s="1"/>
  <c r="BU55" i="2" a="1"/>
  <c r="BU55" i="2" s="1"/>
  <c r="BT55" i="2" a="1"/>
  <c r="BT55" i="2" s="1"/>
  <c r="BS55" i="2" a="1"/>
  <c r="BS55" i="2" s="1"/>
  <c r="BR55" i="2" a="1"/>
  <c r="BR55" i="2" s="1"/>
  <c r="BQ55" i="2" a="1"/>
  <c r="BQ55" i="2" s="1"/>
  <c r="BP55" i="2" a="1"/>
  <c r="BP55" i="2" s="1"/>
  <c r="BO55" i="2" a="1"/>
  <c r="BO55" i="2" s="1"/>
  <c r="BN55" i="2" a="1"/>
  <c r="BN55" i="2" s="1"/>
  <c r="BM55" i="2" a="1"/>
  <c r="BM55" i="2" s="1"/>
  <c r="BL55" i="2" a="1"/>
  <c r="BL55" i="2" s="1"/>
  <c r="BK55" i="2" a="1"/>
  <c r="BK55" i="2" s="1"/>
  <c r="BJ55" i="2" a="1"/>
  <c r="BJ55" i="2" s="1"/>
  <c r="BI55" i="2" a="1"/>
  <c r="BI55" i="2" s="1"/>
  <c r="BX54" i="2" a="1"/>
  <c r="BX54" i="2" s="1"/>
  <c r="BW54" i="2" a="1"/>
  <c r="BW54" i="2" s="1"/>
  <c r="BV54" i="2" a="1"/>
  <c r="BV54" i="2" s="1"/>
  <c r="BU54" i="2" a="1"/>
  <c r="BU54" i="2" s="1"/>
  <c r="BT54" i="2" a="1"/>
  <c r="BT54" i="2" s="1"/>
  <c r="BS54" i="2" a="1"/>
  <c r="BS54" i="2" s="1"/>
  <c r="BR54" i="2" a="1"/>
  <c r="BR54" i="2" s="1"/>
  <c r="BQ54" i="2" a="1"/>
  <c r="BQ54" i="2" s="1"/>
  <c r="BP54" i="2" a="1"/>
  <c r="BP54" i="2" s="1"/>
  <c r="BO54" i="2" a="1"/>
  <c r="BO54" i="2" s="1"/>
  <c r="BN54" i="2" a="1"/>
  <c r="BN54" i="2" s="1"/>
  <c r="BM54" i="2" a="1"/>
  <c r="BM54" i="2" s="1"/>
  <c r="BL54" i="2" a="1"/>
  <c r="BL54" i="2" s="1"/>
  <c r="BK54" i="2" a="1"/>
  <c r="BK54" i="2" s="1"/>
  <c r="BJ54" i="2" a="1"/>
  <c r="BJ54" i="2" s="1"/>
  <c r="BI54" i="2" a="1"/>
  <c r="BI54" i="2" s="1"/>
  <c r="BX53" i="2" a="1"/>
  <c r="BX53" i="2" s="1"/>
  <c r="BW53" i="2" a="1"/>
  <c r="BW53" i="2" s="1"/>
  <c r="BV53" i="2" a="1"/>
  <c r="BV53" i="2" s="1"/>
  <c r="BU53" i="2" a="1"/>
  <c r="BU53" i="2" s="1"/>
  <c r="BT53" i="2" a="1"/>
  <c r="BT53" i="2" s="1"/>
  <c r="BS53" i="2" a="1"/>
  <c r="BS53" i="2" s="1"/>
  <c r="BR53" i="2" a="1"/>
  <c r="BR53" i="2" s="1"/>
  <c r="BQ53" i="2" a="1"/>
  <c r="BQ53" i="2" s="1"/>
  <c r="BP53" i="2" a="1"/>
  <c r="BP53" i="2" s="1"/>
  <c r="BO53" i="2" a="1"/>
  <c r="BO53" i="2" s="1"/>
  <c r="BN53" i="2" a="1"/>
  <c r="BN53" i="2" s="1"/>
  <c r="BM53" i="2" a="1"/>
  <c r="BM53" i="2" s="1"/>
  <c r="BL53" i="2" a="1"/>
  <c r="BL53" i="2" s="1"/>
  <c r="BK53" i="2" a="1"/>
  <c r="BK53" i="2" s="1"/>
  <c r="BJ53" i="2" a="1"/>
  <c r="BJ53" i="2" s="1"/>
  <c r="BI53" i="2" a="1"/>
  <c r="BI53" i="2" s="1"/>
  <c r="BX52" i="2" a="1"/>
  <c r="BX52" i="2" s="1"/>
  <c r="BW52" i="2" a="1"/>
  <c r="BW52" i="2" s="1"/>
  <c r="BV52" i="2" a="1"/>
  <c r="BV52" i="2" s="1"/>
  <c r="BU52" i="2" a="1"/>
  <c r="BU52" i="2" s="1"/>
  <c r="BT52" i="2" a="1"/>
  <c r="BT52" i="2" s="1"/>
  <c r="BS52" i="2" a="1"/>
  <c r="BS52" i="2" s="1"/>
  <c r="BR52" i="2" a="1"/>
  <c r="BR52" i="2" s="1"/>
  <c r="BQ52" i="2" a="1"/>
  <c r="BQ52" i="2" s="1"/>
  <c r="BP52" i="2" a="1"/>
  <c r="BP52" i="2" s="1"/>
  <c r="BO52" i="2" a="1"/>
  <c r="BO52" i="2" s="1"/>
  <c r="BN52" i="2" a="1"/>
  <c r="BN52" i="2" s="1"/>
  <c r="BM52" i="2" a="1"/>
  <c r="BM52" i="2" s="1"/>
  <c r="BL52" i="2" a="1"/>
  <c r="BL52" i="2" s="1"/>
  <c r="BK52" i="2" a="1"/>
  <c r="BK52" i="2" s="1"/>
  <c r="BJ52" i="2" a="1"/>
  <c r="BJ52" i="2" s="1"/>
  <c r="BI52" i="2" a="1"/>
  <c r="BI52" i="2" s="1"/>
  <c r="BX26" i="2" a="1"/>
  <c r="BX26" i="2" s="1"/>
  <c r="BW26" i="2" a="1"/>
  <c r="BW26" i="2" s="1"/>
  <c r="BV26" i="2" a="1"/>
  <c r="BV26" i="2" s="1"/>
  <c r="BU26" i="2" a="1"/>
  <c r="BU26" i="2" s="1"/>
  <c r="BT26" i="2" a="1"/>
  <c r="BT26" i="2" s="1"/>
  <c r="BS26" i="2" a="1"/>
  <c r="BS26" i="2" s="1"/>
  <c r="BR26" i="2" a="1"/>
  <c r="BR26" i="2" s="1"/>
  <c r="BQ26" i="2" a="1"/>
  <c r="BQ26" i="2" s="1"/>
  <c r="BP26" i="2" a="1"/>
  <c r="BP26" i="2" s="1"/>
  <c r="BO26" i="2" a="1"/>
  <c r="BO26" i="2" s="1"/>
  <c r="BN26" i="2" a="1"/>
  <c r="BN26" i="2" s="1"/>
  <c r="BM26" i="2" a="1"/>
  <c r="BM26" i="2" s="1"/>
  <c r="BL26" i="2" a="1"/>
  <c r="BL26" i="2" s="1"/>
  <c r="BK26" i="2" a="1"/>
  <c r="BK26" i="2" s="1"/>
  <c r="BJ26" i="2" a="1"/>
  <c r="BJ26" i="2" s="1"/>
  <c r="BI26" i="2" a="1"/>
  <c r="BI26" i="2" s="1"/>
  <c r="BX24" i="2" a="1"/>
  <c r="BX24" i="2" s="1"/>
  <c r="BW24" i="2" a="1"/>
  <c r="BW24" i="2" s="1"/>
  <c r="BV24" i="2" a="1"/>
  <c r="BV24" i="2" s="1"/>
  <c r="BU24" i="2" a="1"/>
  <c r="BU24" i="2" s="1"/>
  <c r="BT24" i="2" a="1"/>
  <c r="BT24" i="2" s="1"/>
  <c r="BS24" i="2" a="1"/>
  <c r="BS24" i="2" s="1"/>
  <c r="BR24" i="2" a="1"/>
  <c r="BR24" i="2" s="1"/>
  <c r="BQ24" i="2" a="1"/>
  <c r="BQ24" i="2" s="1"/>
  <c r="BP24" i="2" a="1"/>
  <c r="BP24" i="2" s="1"/>
  <c r="BO24" i="2" a="1"/>
  <c r="BO24" i="2" s="1"/>
  <c r="BN24" i="2" a="1"/>
  <c r="BN24" i="2" s="1"/>
  <c r="BM24" i="2" a="1"/>
  <c r="BM24" i="2" s="1"/>
  <c r="BL24" i="2" a="1"/>
  <c r="BL24" i="2" s="1"/>
  <c r="BK24" i="2" a="1"/>
  <c r="BK24" i="2" s="1"/>
  <c r="BJ24" i="2" a="1"/>
  <c r="BJ24" i="2" s="1"/>
  <c r="BI24" i="2" a="1"/>
  <c r="BI24" i="2" s="1"/>
  <c r="BX21" i="2" a="1"/>
  <c r="BX21" i="2" s="1"/>
  <c r="BW21" i="2" a="1"/>
  <c r="BW21" i="2" s="1"/>
  <c r="BV21" i="2" a="1"/>
  <c r="BV21" i="2" s="1"/>
  <c r="BU21" i="2" a="1"/>
  <c r="BU21" i="2" s="1"/>
  <c r="BT21" i="2" a="1"/>
  <c r="BT21" i="2" s="1"/>
  <c r="BS21" i="2" a="1"/>
  <c r="BS21" i="2" s="1"/>
  <c r="BR21" i="2" a="1"/>
  <c r="BR21" i="2" s="1"/>
  <c r="BQ21" i="2" a="1"/>
  <c r="BQ21" i="2" s="1"/>
  <c r="BP21" i="2" a="1"/>
  <c r="BP21" i="2" s="1"/>
  <c r="BO21" i="2" a="1"/>
  <c r="BO21" i="2" s="1"/>
  <c r="BN21" i="2" a="1"/>
  <c r="BN21" i="2" s="1"/>
  <c r="BM21" i="2" a="1"/>
  <c r="BM21" i="2" s="1"/>
  <c r="BL21" i="2"/>
  <c r="BL21" i="2" a="1"/>
  <c r="BK21" i="2" a="1"/>
  <c r="BK21" i="2" s="1"/>
  <c r="BJ21" i="2" a="1"/>
  <c r="BJ21" i="2" s="1"/>
  <c r="BI21" i="2" a="1"/>
  <c r="BI21" i="2" s="1"/>
  <c r="BH62" i="2" a="1"/>
  <c r="BH62" i="2" s="1"/>
  <c r="BG62" i="2" a="1"/>
  <c r="BG62" i="2" s="1"/>
  <c r="BF62" i="2" a="1"/>
  <c r="BF62" i="2" s="1"/>
  <c r="BE62" i="2" a="1"/>
  <c r="BE62" i="2" s="1"/>
  <c r="BD62" i="2" a="1"/>
  <c r="BD62" i="2" s="1"/>
  <c r="BC62" i="2" a="1"/>
  <c r="BC62" i="2" s="1"/>
  <c r="BB62" i="2" a="1"/>
  <c r="BB62" i="2" s="1"/>
  <c r="BA62" i="2" a="1"/>
  <c r="BA62" i="2" s="1"/>
  <c r="AZ62" i="2" a="1"/>
  <c r="AZ62" i="2" s="1"/>
  <c r="AY62" i="2" a="1"/>
  <c r="AY62" i="2" s="1"/>
  <c r="AX62" i="2" a="1"/>
  <c r="AX62" i="2" s="1"/>
  <c r="AW62" i="2" a="1"/>
  <c r="AW62" i="2" s="1"/>
  <c r="AV62" i="2" a="1"/>
  <c r="AV62" i="2" s="1"/>
  <c r="AU62" i="2" a="1"/>
  <c r="AU62" i="2" s="1"/>
  <c r="AT62" i="2" a="1"/>
  <c r="AT62" i="2" s="1"/>
  <c r="AS62" i="2" a="1"/>
  <c r="AS62" i="2" s="1"/>
  <c r="BH61" i="2" a="1"/>
  <c r="BH61" i="2" s="1"/>
  <c r="BG61" i="2" a="1"/>
  <c r="BG61" i="2" s="1"/>
  <c r="BF61" i="2" a="1"/>
  <c r="BF61" i="2" s="1"/>
  <c r="BE61" i="2" a="1"/>
  <c r="BE61" i="2" s="1"/>
  <c r="BD61" i="2" a="1"/>
  <c r="BD61" i="2" s="1"/>
  <c r="BC61" i="2" a="1"/>
  <c r="BC61" i="2" s="1"/>
  <c r="BB61" i="2" a="1"/>
  <c r="BB61" i="2" s="1"/>
  <c r="BA61" i="2" a="1"/>
  <c r="BA61" i="2" s="1"/>
  <c r="AZ61" i="2" a="1"/>
  <c r="AZ61" i="2" s="1"/>
  <c r="AY61" i="2" a="1"/>
  <c r="AY61" i="2" s="1"/>
  <c r="AX61" i="2" a="1"/>
  <c r="AX61" i="2" s="1"/>
  <c r="AW61" i="2" a="1"/>
  <c r="AW61" i="2" s="1"/>
  <c r="AV61" i="2" a="1"/>
  <c r="AV61" i="2" s="1"/>
  <c r="AU61" i="2" a="1"/>
  <c r="AU61" i="2" s="1"/>
  <c r="AT61" i="2" a="1"/>
  <c r="AT61" i="2" s="1"/>
  <c r="AS61" i="2" a="1"/>
  <c r="AS61" i="2" s="1"/>
  <c r="BH60" i="2" a="1"/>
  <c r="BH60" i="2" s="1"/>
  <c r="BG60" i="2" a="1"/>
  <c r="BG60" i="2" s="1"/>
  <c r="BF60" i="2" a="1"/>
  <c r="BF60" i="2" s="1"/>
  <c r="BE60" i="2" a="1"/>
  <c r="BE60" i="2" s="1"/>
  <c r="BD60" i="2" a="1"/>
  <c r="BD60" i="2" s="1"/>
  <c r="BC60" i="2" a="1"/>
  <c r="BC60" i="2" s="1"/>
  <c r="BB60" i="2" a="1"/>
  <c r="BB60" i="2" s="1"/>
  <c r="BA60" i="2" a="1"/>
  <c r="BA60" i="2" s="1"/>
  <c r="AZ60" i="2" a="1"/>
  <c r="AZ60" i="2" s="1"/>
  <c r="AY60" i="2" a="1"/>
  <c r="AY60" i="2" s="1"/>
  <c r="AX60" i="2" a="1"/>
  <c r="AX60" i="2" s="1"/>
  <c r="AW60" i="2" a="1"/>
  <c r="AW60" i="2" s="1"/>
  <c r="AV60" i="2" a="1"/>
  <c r="AV60" i="2" s="1"/>
  <c r="AU60" i="2" a="1"/>
  <c r="AU60" i="2" s="1"/>
  <c r="AT60" i="2" a="1"/>
  <c r="AT60" i="2" s="1"/>
  <c r="AS60" i="2" a="1"/>
  <c r="AS60" i="2" s="1"/>
  <c r="BH59" i="2" a="1"/>
  <c r="BH59" i="2" s="1"/>
  <c r="BG59" i="2" a="1"/>
  <c r="BG59" i="2" s="1"/>
  <c r="BF59" i="2" a="1"/>
  <c r="BF59" i="2" s="1"/>
  <c r="BE59" i="2" a="1"/>
  <c r="BE59" i="2" s="1"/>
  <c r="BD59" i="2" a="1"/>
  <c r="BD59" i="2" s="1"/>
  <c r="BC59" i="2" a="1"/>
  <c r="BC59" i="2" s="1"/>
  <c r="BB59" i="2" a="1"/>
  <c r="BB59" i="2" s="1"/>
  <c r="BA59" i="2" a="1"/>
  <c r="BA59" i="2" s="1"/>
  <c r="AZ59" i="2" a="1"/>
  <c r="AZ59" i="2" s="1"/>
  <c r="AY59" i="2" a="1"/>
  <c r="AY59" i="2" s="1"/>
  <c r="AX59" i="2" a="1"/>
  <c r="AX59" i="2" s="1"/>
  <c r="AW59" i="2" a="1"/>
  <c r="AW59" i="2" s="1"/>
  <c r="AV59" i="2" a="1"/>
  <c r="AV59" i="2" s="1"/>
  <c r="AU59" i="2" a="1"/>
  <c r="AU59" i="2" s="1"/>
  <c r="AT59" i="2" a="1"/>
  <c r="AT59" i="2" s="1"/>
  <c r="AS59" i="2" a="1"/>
  <c r="AS59" i="2" s="1"/>
  <c r="BH58" i="2" a="1"/>
  <c r="BH58" i="2" s="1"/>
  <c r="BG58" i="2" a="1"/>
  <c r="BG58" i="2" s="1"/>
  <c r="BF58" i="2" a="1"/>
  <c r="BF58" i="2" s="1"/>
  <c r="BE58" i="2" a="1"/>
  <c r="BE58" i="2" s="1"/>
  <c r="BD58" i="2" a="1"/>
  <c r="BD58" i="2" s="1"/>
  <c r="BC58" i="2" a="1"/>
  <c r="BC58" i="2" s="1"/>
  <c r="BB58" i="2" a="1"/>
  <c r="BB58" i="2" s="1"/>
  <c r="BA58" i="2" a="1"/>
  <c r="BA58" i="2" s="1"/>
  <c r="AZ58" i="2" a="1"/>
  <c r="AZ58" i="2" s="1"/>
  <c r="AY58" i="2" a="1"/>
  <c r="AY58" i="2" s="1"/>
  <c r="AX58" i="2" a="1"/>
  <c r="AX58" i="2" s="1"/>
  <c r="AW58" i="2" a="1"/>
  <c r="AW58" i="2" s="1"/>
  <c r="AV58" i="2" a="1"/>
  <c r="AV58" i="2" s="1"/>
  <c r="AU58" i="2" a="1"/>
  <c r="AU58" i="2" s="1"/>
  <c r="AT58" i="2" a="1"/>
  <c r="AT58" i="2" s="1"/>
  <c r="AS58" i="2" a="1"/>
  <c r="AS58" i="2" s="1"/>
  <c r="BH57" i="2" a="1"/>
  <c r="BH57" i="2" s="1"/>
  <c r="BG57" i="2" a="1"/>
  <c r="BG57" i="2" s="1"/>
  <c r="BF57" i="2" a="1"/>
  <c r="BF57" i="2" s="1"/>
  <c r="BE57" i="2" a="1"/>
  <c r="BE57" i="2" s="1"/>
  <c r="BD57" i="2" a="1"/>
  <c r="BD57" i="2" s="1"/>
  <c r="BC57" i="2" a="1"/>
  <c r="BC57" i="2" s="1"/>
  <c r="BB57" i="2" a="1"/>
  <c r="BB57" i="2" s="1"/>
  <c r="BA57" i="2" a="1"/>
  <c r="BA57" i="2" s="1"/>
  <c r="AZ57" i="2" a="1"/>
  <c r="AZ57" i="2" s="1"/>
  <c r="AY57" i="2" a="1"/>
  <c r="AY57" i="2" s="1"/>
  <c r="AX57" i="2" a="1"/>
  <c r="AX57" i="2" s="1"/>
  <c r="AW57" i="2" a="1"/>
  <c r="AW57" i="2" s="1"/>
  <c r="AV57" i="2" a="1"/>
  <c r="AV57" i="2" s="1"/>
  <c r="AU57" i="2" a="1"/>
  <c r="AU57" i="2" s="1"/>
  <c r="AT57" i="2" a="1"/>
  <c r="AT57" i="2" s="1"/>
  <c r="AS57" i="2" a="1"/>
  <c r="AS57" i="2" s="1"/>
  <c r="BH56" i="2" a="1"/>
  <c r="BH56" i="2" s="1"/>
  <c r="BG56" i="2" a="1"/>
  <c r="BG56" i="2" s="1"/>
  <c r="BF56" i="2" a="1"/>
  <c r="BF56" i="2" s="1"/>
  <c r="BE56" i="2" a="1"/>
  <c r="BE56" i="2" s="1"/>
  <c r="BD56" i="2" a="1"/>
  <c r="BD56" i="2" s="1"/>
  <c r="BC56" i="2" a="1"/>
  <c r="BC56" i="2" s="1"/>
  <c r="BB56" i="2" a="1"/>
  <c r="BB56" i="2" s="1"/>
  <c r="BA56" i="2" a="1"/>
  <c r="BA56" i="2" s="1"/>
  <c r="AZ56" i="2" a="1"/>
  <c r="AZ56" i="2" s="1"/>
  <c r="AY56" i="2" a="1"/>
  <c r="AY56" i="2" s="1"/>
  <c r="AX56" i="2" a="1"/>
  <c r="AX56" i="2" s="1"/>
  <c r="AW56" i="2" a="1"/>
  <c r="AW56" i="2" s="1"/>
  <c r="AV56" i="2" a="1"/>
  <c r="AV56" i="2" s="1"/>
  <c r="AU56" i="2" a="1"/>
  <c r="AU56" i="2" s="1"/>
  <c r="AT56" i="2" a="1"/>
  <c r="AT56" i="2" s="1"/>
  <c r="AS56" i="2" a="1"/>
  <c r="AS56" i="2" s="1"/>
  <c r="BH26" i="2" a="1"/>
  <c r="BH26" i="2" s="1"/>
  <c r="BG26" i="2" a="1"/>
  <c r="BG26" i="2" s="1"/>
  <c r="BF26" i="2" a="1"/>
  <c r="BF26" i="2" s="1"/>
  <c r="BE26" i="2" a="1"/>
  <c r="BE26" i="2" s="1"/>
  <c r="BD26" i="2" a="1"/>
  <c r="BD26" i="2" s="1"/>
  <c r="BC26" i="2" a="1"/>
  <c r="BC26" i="2" s="1"/>
  <c r="BB26" i="2" a="1"/>
  <c r="BB26" i="2" s="1"/>
  <c r="BA26" i="2" a="1"/>
  <c r="BA26" i="2" s="1"/>
  <c r="AZ26" i="2" a="1"/>
  <c r="AZ26" i="2" s="1"/>
  <c r="AY26" i="2" a="1"/>
  <c r="AY26" i="2" s="1"/>
  <c r="AX26" i="2" a="1"/>
  <c r="AX26" i="2" s="1"/>
  <c r="AW26" i="2" a="1"/>
  <c r="AW26" i="2" s="1"/>
  <c r="AV26" i="2" a="1"/>
  <c r="AV26" i="2" s="1"/>
  <c r="AU26" i="2" a="1"/>
  <c r="AU26" i="2" s="1"/>
  <c r="AT26" i="2" a="1"/>
  <c r="AT26" i="2" s="1"/>
  <c r="AS26" i="2" a="1"/>
  <c r="AS26" i="2" s="1"/>
  <c r="BH24" i="2" a="1"/>
  <c r="BH24" i="2" s="1"/>
  <c r="BG24" i="2" a="1"/>
  <c r="BG24" i="2" s="1"/>
  <c r="BF24" i="2" a="1"/>
  <c r="BF24" i="2" s="1"/>
  <c r="BE24" i="2" a="1"/>
  <c r="BE24" i="2" s="1"/>
  <c r="BD24" i="2" a="1"/>
  <c r="BD24" i="2" s="1"/>
  <c r="BC24" i="2" a="1"/>
  <c r="BC24" i="2" s="1"/>
  <c r="BB24" i="2" a="1"/>
  <c r="BB24" i="2" s="1"/>
  <c r="BA24" i="2" a="1"/>
  <c r="BA24" i="2" s="1"/>
  <c r="AZ24" i="2" a="1"/>
  <c r="AZ24" i="2" s="1"/>
  <c r="AY24" i="2" a="1"/>
  <c r="AY24" i="2" s="1"/>
  <c r="AX24" i="2" a="1"/>
  <c r="AX24" i="2" s="1"/>
  <c r="AW24" i="2" a="1"/>
  <c r="AW24" i="2" s="1"/>
  <c r="AV24" i="2" a="1"/>
  <c r="AV24" i="2" s="1"/>
  <c r="AU24" i="2" a="1"/>
  <c r="AU24" i="2" s="1"/>
  <c r="AT24" i="2" a="1"/>
  <c r="AT24" i="2" s="1"/>
  <c r="AS24" i="2" a="1"/>
  <c r="AS24" i="2" s="1"/>
  <c r="BH21" i="2" a="1"/>
  <c r="BH21" i="2" s="1"/>
  <c r="BG21" i="2" a="1"/>
  <c r="BG21" i="2" s="1"/>
  <c r="BF21" i="2" a="1"/>
  <c r="BF21" i="2" s="1"/>
  <c r="BE21" i="2" a="1"/>
  <c r="BE21" i="2" s="1"/>
  <c r="BD21" i="2" a="1"/>
  <c r="BD21" i="2" s="1"/>
  <c r="BC21" i="2" a="1"/>
  <c r="BC21" i="2" s="1"/>
  <c r="BB21" i="2" a="1"/>
  <c r="BB21" i="2" s="1"/>
  <c r="BA21" i="2" a="1"/>
  <c r="BA21" i="2" s="1"/>
  <c r="AZ21" i="2" a="1"/>
  <c r="AZ21" i="2" s="1"/>
  <c r="AY21" i="2" a="1"/>
  <c r="AY21" i="2" s="1"/>
  <c r="AX21" i="2" a="1"/>
  <c r="AX21" i="2" s="1"/>
  <c r="AW21" i="2" a="1"/>
  <c r="AW21" i="2" s="1"/>
  <c r="AV21" i="2" a="1"/>
  <c r="AV21" i="2" s="1"/>
  <c r="AU21" i="2" a="1"/>
  <c r="AU21" i="2" s="1"/>
  <c r="AT21" i="2" a="1"/>
  <c r="AT21" i="2" s="1"/>
  <c r="AS21" i="2" a="1"/>
  <c r="AS21" i="2" s="1"/>
  <c r="BH12" i="2" a="1"/>
  <c r="BH12" i="2" s="1"/>
  <c r="BG12" i="2" a="1"/>
  <c r="BG12" i="2" s="1"/>
  <c r="BF12" i="2" a="1"/>
  <c r="BF12" i="2" s="1"/>
  <c r="BE12" i="2" a="1"/>
  <c r="BE12" i="2" s="1"/>
  <c r="BD12" i="2" a="1"/>
  <c r="BD12" i="2" s="1"/>
  <c r="BC12" i="2" a="1"/>
  <c r="BC12" i="2" s="1"/>
  <c r="BB12" i="2" a="1"/>
  <c r="BB12" i="2" s="1"/>
  <c r="BA12" i="2" a="1"/>
  <c r="BA12" i="2" s="1"/>
  <c r="AZ12" i="2" a="1"/>
  <c r="AZ12" i="2" s="1"/>
  <c r="AY12" i="2" a="1"/>
  <c r="AY12" i="2" s="1"/>
  <c r="AX12" i="2" a="1"/>
  <c r="AX12" i="2" s="1"/>
  <c r="AW12" i="2" a="1"/>
  <c r="AW12" i="2" s="1"/>
  <c r="AV12" i="2" a="1"/>
  <c r="AV12" i="2" s="1"/>
  <c r="AU12" i="2" a="1"/>
  <c r="AU12" i="2" s="1"/>
  <c r="AT12" i="2" a="1"/>
  <c r="AT12" i="2" s="1"/>
  <c r="AS12" i="2" a="1"/>
  <c r="AS12" i="2" s="1"/>
  <c r="AR62" i="2" a="1"/>
  <c r="AR62" i="2" s="1"/>
  <c r="AQ62" i="2" a="1"/>
  <c r="AQ62" i="2" s="1"/>
  <c r="AP62" i="2" a="1"/>
  <c r="AP62" i="2" s="1"/>
  <c r="AO62" i="2" a="1"/>
  <c r="AO62" i="2" s="1"/>
  <c r="AN62" i="2" a="1"/>
  <c r="AN62" i="2" s="1"/>
  <c r="AM62" i="2" a="1"/>
  <c r="AM62" i="2" s="1"/>
  <c r="AL62" i="2" a="1"/>
  <c r="AL62" i="2" s="1"/>
  <c r="AK62" i="2" a="1"/>
  <c r="AK62" i="2" s="1"/>
  <c r="AJ62" i="2" a="1"/>
  <c r="AJ62" i="2" s="1"/>
  <c r="AI62" i="2" a="1"/>
  <c r="AI62" i="2" s="1"/>
  <c r="AH62" i="2" a="1"/>
  <c r="AH62" i="2" s="1"/>
  <c r="AG62" i="2" a="1"/>
  <c r="AG62" i="2" s="1"/>
  <c r="AF62" i="2" a="1"/>
  <c r="AF62" i="2" s="1"/>
  <c r="AE62" i="2" a="1"/>
  <c r="AE62" i="2" s="1"/>
  <c r="AD62" i="2" a="1"/>
  <c r="AD62" i="2" s="1"/>
  <c r="AC62" i="2" a="1"/>
  <c r="AC62" i="2" s="1"/>
  <c r="AR61" i="2" a="1"/>
  <c r="AR61" i="2" s="1"/>
  <c r="AQ61" i="2" a="1"/>
  <c r="AQ61" i="2" s="1"/>
  <c r="AP61" i="2" a="1"/>
  <c r="AP61" i="2" s="1"/>
  <c r="AO61" i="2" a="1"/>
  <c r="AO61" i="2" s="1"/>
  <c r="AN61" i="2" a="1"/>
  <c r="AN61" i="2" s="1"/>
  <c r="AM61" i="2" a="1"/>
  <c r="AM61" i="2" s="1"/>
  <c r="AL61" i="2" a="1"/>
  <c r="AL61" i="2" s="1"/>
  <c r="AK61" i="2" a="1"/>
  <c r="AK61" i="2" s="1"/>
  <c r="AJ61" i="2" a="1"/>
  <c r="AJ61" i="2" s="1"/>
  <c r="AI61" i="2" a="1"/>
  <c r="AI61" i="2" s="1"/>
  <c r="AH61" i="2" a="1"/>
  <c r="AH61" i="2" s="1"/>
  <c r="AG61" i="2" a="1"/>
  <c r="AG61" i="2" s="1"/>
  <c r="AF61" i="2" a="1"/>
  <c r="AF61" i="2" s="1"/>
  <c r="AE61" i="2" a="1"/>
  <c r="AE61" i="2" s="1"/>
  <c r="AD61" i="2" a="1"/>
  <c r="AD61" i="2" s="1"/>
  <c r="AC61" i="2" a="1"/>
  <c r="AC61" i="2" s="1"/>
  <c r="AR60" i="2" a="1"/>
  <c r="AR60" i="2" s="1"/>
  <c r="AQ60" i="2" a="1"/>
  <c r="AQ60" i="2" s="1"/>
  <c r="AP60" i="2" a="1"/>
  <c r="AP60" i="2" s="1"/>
  <c r="AO60" i="2" a="1"/>
  <c r="AO60" i="2" s="1"/>
  <c r="AN60" i="2" a="1"/>
  <c r="AN60" i="2" s="1"/>
  <c r="AM60" i="2" a="1"/>
  <c r="AM60" i="2" s="1"/>
  <c r="AL60" i="2" a="1"/>
  <c r="AL60" i="2" s="1"/>
  <c r="AK60" i="2" a="1"/>
  <c r="AK60" i="2" s="1"/>
  <c r="AJ60" i="2" a="1"/>
  <c r="AJ60" i="2" s="1"/>
  <c r="AI60" i="2" a="1"/>
  <c r="AI60" i="2" s="1"/>
  <c r="AH60" i="2" a="1"/>
  <c r="AH60" i="2" s="1"/>
  <c r="AG60" i="2" a="1"/>
  <c r="AG60" i="2" s="1"/>
  <c r="AF60" i="2" a="1"/>
  <c r="AF60" i="2" s="1"/>
  <c r="AE60" i="2" a="1"/>
  <c r="AE60" i="2" s="1"/>
  <c r="AD60" i="2" a="1"/>
  <c r="AD60" i="2" s="1"/>
  <c r="AC60" i="2" a="1"/>
  <c r="AC60" i="2" s="1"/>
  <c r="AR59" i="2" a="1"/>
  <c r="AR59" i="2" s="1"/>
  <c r="AQ59" i="2" a="1"/>
  <c r="AQ59" i="2" s="1"/>
  <c r="AP59" i="2" a="1"/>
  <c r="AP59" i="2" s="1"/>
  <c r="AO59" i="2" a="1"/>
  <c r="AO59" i="2" s="1"/>
  <c r="AN59" i="2" a="1"/>
  <c r="AN59" i="2" s="1"/>
  <c r="AM59" i="2" a="1"/>
  <c r="AM59" i="2" s="1"/>
  <c r="AL59" i="2" a="1"/>
  <c r="AL59" i="2" s="1"/>
  <c r="AK59" i="2" a="1"/>
  <c r="AK59" i="2" s="1"/>
  <c r="AJ59" i="2" a="1"/>
  <c r="AJ59" i="2" s="1"/>
  <c r="AI59" i="2" a="1"/>
  <c r="AI59" i="2" s="1"/>
  <c r="AH59" i="2" a="1"/>
  <c r="AH59" i="2" s="1"/>
  <c r="AG59" i="2" a="1"/>
  <c r="AG59" i="2" s="1"/>
  <c r="AF59" i="2" a="1"/>
  <c r="AF59" i="2" s="1"/>
  <c r="AE59" i="2" a="1"/>
  <c r="AE59" i="2" s="1"/>
  <c r="AD59" i="2" a="1"/>
  <c r="AD59" i="2" s="1"/>
  <c r="AC59" i="2" a="1"/>
  <c r="AC59" i="2" s="1"/>
  <c r="AR58" i="2" a="1"/>
  <c r="AR58" i="2" s="1"/>
  <c r="AQ58" i="2" a="1"/>
  <c r="AQ58" i="2" s="1"/>
  <c r="AP58" i="2" a="1"/>
  <c r="AP58" i="2" s="1"/>
  <c r="AO58" i="2" a="1"/>
  <c r="AO58" i="2" s="1"/>
  <c r="AN58" i="2" a="1"/>
  <c r="AN58" i="2" s="1"/>
  <c r="AM58" i="2" a="1"/>
  <c r="AM58" i="2" s="1"/>
  <c r="AL58" i="2" a="1"/>
  <c r="AL58" i="2" s="1"/>
  <c r="AK58" i="2" a="1"/>
  <c r="AK58" i="2" s="1"/>
  <c r="AJ58" i="2" a="1"/>
  <c r="AJ58" i="2" s="1"/>
  <c r="AI58" i="2" a="1"/>
  <c r="AI58" i="2" s="1"/>
  <c r="AH58" i="2" a="1"/>
  <c r="AH58" i="2" s="1"/>
  <c r="AG58" i="2" a="1"/>
  <c r="AG58" i="2" s="1"/>
  <c r="AF58" i="2" a="1"/>
  <c r="AF58" i="2" s="1"/>
  <c r="AE58" i="2" a="1"/>
  <c r="AE58" i="2" s="1"/>
  <c r="AD58" i="2" a="1"/>
  <c r="AD58" i="2" s="1"/>
  <c r="AC58" i="2" a="1"/>
  <c r="AC58" i="2" s="1"/>
  <c r="AR57" i="2"/>
  <c r="AR57" i="2" a="1"/>
  <c r="AQ57" i="2" a="1"/>
  <c r="AQ57" i="2" s="1"/>
  <c r="AP57" i="2" a="1"/>
  <c r="AP57" i="2" s="1"/>
  <c r="AO57" i="2" a="1"/>
  <c r="AO57" i="2" s="1"/>
  <c r="AN57" i="2" a="1"/>
  <c r="AN57" i="2" s="1"/>
  <c r="AM57" i="2" a="1"/>
  <c r="AM57" i="2" s="1"/>
  <c r="AL57" i="2" a="1"/>
  <c r="AL57" i="2" s="1"/>
  <c r="AK57" i="2" a="1"/>
  <c r="AK57" i="2" s="1"/>
  <c r="AJ57" i="2" a="1"/>
  <c r="AJ57" i="2" s="1"/>
  <c r="AI57" i="2" a="1"/>
  <c r="AI57" i="2" s="1"/>
  <c r="AH57" i="2" a="1"/>
  <c r="AH57" i="2" s="1"/>
  <c r="AG57" i="2" a="1"/>
  <c r="AG57" i="2" s="1"/>
  <c r="AF57" i="2" a="1"/>
  <c r="AF57" i="2" s="1"/>
  <c r="AE57" i="2" a="1"/>
  <c r="AE57" i="2" s="1"/>
  <c r="AD57" i="2" a="1"/>
  <c r="AD57" i="2" s="1"/>
  <c r="AC57" i="2" a="1"/>
  <c r="AC57" i="2" s="1"/>
  <c r="AR56" i="2" a="1"/>
  <c r="AR56" i="2" s="1"/>
  <c r="AQ56" i="2" a="1"/>
  <c r="AQ56" i="2" s="1"/>
  <c r="AP56" i="2" a="1"/>
  <c r="AP56" i="2" s="1"/>
  <c r="AO56" i="2" a="1"/>
  <c r="AO56" i="2" s="1"/>
  <c r="AN56" i="2" a="1"/>
  <c r="AN56" i="2" s="1"/>
  <c r="AM56" i="2" a="1"/>
  <c r="AM56" i="2" s="1"/>
  <c r="AL56" i="2" a="1"/>
  <c r="AL56" i="2" s="1"/>
  <c r="AK56" i="2" a="1"/>
  <c r="AK56" i="2" s="1"/>
  <c r="AJ56" i="2" a="1"/>
  <c r="AJ56" i="2" s="1"/>
  <c r="AI56" i="2" a="1"/>
  <c r="AI56" i="2" s="1"/>
  <c r="AH56" i="2" a="1"/>
  <c r="AH56" i="2" s="1"/>
  <c r="AG56" i="2" a="1"/>
  <c r="AG56" i="2" s="1"/>
  <c r="AF56" i="2" a="1"/>
  <c r="AF56" i="2" s="1"/>
  <c r="AE56" i="2" a="1"/>
  <c r="AE56" i="2" s="1"/>
  <c r="AD56" i="2" a="1"/>
  <c r="AD56" i="2" s="1"/>
  <c r="AC56" i="2" a="1"/>
  <c r="AC56" i="2" s="1"/>
  <c r="AR42" i="2" a="1"/>
  <c r="AR42" i="2" s="1"/>
  <c r="AQ42" i="2" a="1"/>
  <c r="AQ42" i="2" s="1"/>
  <c r="AP42" i="2" a="1"/>
  <c r="AP42" i="2" s="1"/>
  <c r="AO42" i="2" a="1"/>
  <c r="AO42" i="2" s="1"/>
  <c r="AN42" i="2" a="1"/>
  <c r="AN42" i="2" s="1"/>
  <c r="AM42" i="2" a="1"/>
  <c r="AM42" i="2" s="1"/>
  <c r="AL42" i="2" a="1"/>
  <c r="AL42" i="2" s="1"/>
  <c r="AK42" i="2" a="1"/>
  <c r="AK42" i="2" s="1"/>
  <c r="AJ42" i="2" a="1"/>
  <c r="AJ42" i="2" s="1"/>
  <c r="AI42" i="2" a="1"/>
  <c r="AI42" i="2" s="1"/>
  <c r="AH42" i="2" a="1"/>
  <c r="AH42" i="2" s="1"/>
  <c r="AG42" i="2" a="1"/>
  <c r="AG42" i="2" s="1"/>
  <c r="AF42" i="2" a="1"/>
  <c r="AF42" i="2" s="1"/>
  <c r="AE42" i="2" a="1"/>
  <c r="AE42" i="2" s="1"/>
  <c r="AD42" i="2" a="1"/>
  <c r="AD42" i="2" s="1"/>
  <c r="AC42" i="2" a="1"/>
  <c r="AC42" i="2" s="1"/>
  <c r="AR41" i="2" a="1"/>
  <c r="AR41" i="2" s="1"/>
  <c r="AQ41" i="2" a="1"/>
  <c r="AQ41" i="2" s="1"/>
  <c r="AP41" i="2" a="1"/>
  <c r="AP41" i="2" s="1"/>
  <c r="AO41" i="2" a="1"/>
  <c r="AO41" i="2" s="1"/>
  <c r="AN41" i="2" a="1"/>
  <c r="AN41" i="2" s="1"/>
  <c r="AM41" i="2" a="1"/>
  <c r="AM41" i="2" s="1"/>
  <c r="AL41" i="2" a="1"/>
  <c r="AL41" i="2" s="1"/>
  <c r="AK41" i="2" a="1"/>
  <c r="AK41" i="2" s="1"/>
  <c r="AJ41" i="2" a="1"/>
  <c r="AJ41" i="2" s="1"/>
  <c r="AI41" i="2" a="1"/>
  <c r="AI41" i="2" s="1"/>
  <c r="AH41" i="2" a="1"/>
  <c r="AH41" i="2" s="1"/>
  <c r="AG41" i="2" a="1"/>
  <c r="AG41" i="2" s="1"/>
  <c r="AF41" i="2" a="1"/>
  <c r="AF41" i="2" s="1"/>
  <c r="AE41" i="2" a="1"/>
  <c r="AE41" i="2" s="1"/>
  <c r="AD41" i="2" a="1"/>
  <c r="AD41" i="2" s="1"/>
  <c r="AC41" i="2" a="1"/>
  <c r="AC41" i="2" s="1"/>
  <c r="AR40" i="2" a="1"/>
  <c r="AR40" i="2" s="1"/>
  <c r="AQ40" i="2" a="1"/>
  <c r="AQ40" i="2" s="1"/>
  <c r="AP40" i="2" a="1"/>
  <c r="AP40" i="2" s="1"/>
  <c r="AO40" i="2" a="1"/>
  <c r="AO40" i="2" s="1"/>
  <c r="AN40" i="2" a="1"/>
  <c r="AN40" i="2" s="1"/>
  <c r="AM40" i="2" a="1"/>
  <c r="AM40" i="2" s="1"/>
  <c r="AL40" i="2" a="1"/>
  <c r="AL40" i="2" s="1"/>
  <c r="AK40" i="2" a="1"/>
  <c r="AK40" i="2" s="1"/>
  <c r="AJ40" i="2" a="1"/>
  <c r="AJ40" i="2" s="1"/>
  <c r="AI40" i="2" a="1"/>
  <c r="AI40" i="2" s="1"/>
  <c r="AH40" i="2" a="1"/>
  <c r="AH40" i="2" s="1"/>
  <c r="AG40" i="2" a="1"/>
  <c r="AG40" i="2" s="1"/>
  <c r="AF40" i="2" a="1"/>
  <c r="AF40" i="2" s="1"/>
  <c r="AE40" i="2" a="1"/>
  <c r="AE40" i="2" s="1"/>
  <c r="AD40" i="2" a="1"/>
  <c r="AD40" i="2" s="1"/>
  <c r="AC40" i="2" a="1"/>
  <c r="AC40" i="2" s="1"/>
  <c r="AR33" i="2" a="1"/>
  <c r="AR33" i="2" s="1"/>
  <c r="AQ33" i="2" a="1"/>
  <c r="AQ33" i="2" s="1"/>
  <c r="AP33" i="2" a="1"/>
  <c r="AP33" i="2" s="1"/>
  <c r="AO33" i="2" a="1"/>
  <c r="AO33" i="2" s="1"/>
  <c r="AN33" i="2" a="1"/>
  <c r="AN33" i="2" s="1"/>
  <c r="AM33" i="2" a="1"/>
  <c r="AM33" i="2" s="1"/>
  <c r="AL33" i="2" a="1"/>
  <c r="AL33" i="2" s="1"/>
  <c r="AK33" i="2" a="1"/>
  <c r="AK33" i="2" s="1"/>
  <c r="AJ33" i="2" a="1"/>
  <c r="AJ33" i="2" s="1"/>
  <c r="AI33" i="2" a="1"/>
  <c r="AI33" i="2" s="1"/>
  <c r="AH33" i="2" a="1"/>
  <c r="AH33" i="2" s="1"/>
  <c r="AG33" i="2" a="1"/>
  <c r="AG33" i="2" s="1"/>
  <c r="AF33" i="2" a="1"/>
  <c r="AF33" i="2" s="1"/>
  <c r="AE33" i="2" a="1"/>
  <c r="AE33" i="2" s="1"/>
  <c r="AD33" i="2" a="1"/>
  <c r="AD33" i="2" s="1"/>
  <c r="AC33" i="2" a="1"/>
  <c r="AC33" i="2" s="1"/>
  <c r="AR32" i="2" a="1"/>
  <c r="AR32" i="2" s="1"/>
  <c r="AQ32" i="2" a="1"/>
  <c r="AQ32" i="2" s="1"/>
  <c r="AP32" i="2" a="1"/>
  <c r="AP32" i="2" s="1"/>
  <c r="AO32" i="2" a="1"/>
  <c r="AO32" i="2" s="1"/>
  <c r="AN32" i="2" a="1"/>
  <c r="AN32" i="2" s="1"/>
  <c r="AM32" i="2" a="1"/>
  <c r="AM32" i="2" s="1"/>
  <c r="AL32" i="2" a="1"/>
  <c r="AL32" i="2" s="1"/>
  <c r="AK32" i="2" a="1"/>
  <c r="AK32" i="2" s="1"/>
  <c r="AJ32" i="2" a="1"/>
  <c r="AJ32" i="2" s="1"/>
  <c r="AI32" i="2" a="1"/>
  <c r="AI32" i="2" s="1"/>
  <c r="AH32" i="2" a="1"/>
  <c r="AH32" i="2" s="1"/>
  <c r="AG32" i="2" a="1"/>
  <c r="AG32" i="2" s="1"/>
  <c r="AF32" i="2" a="1"/>
  <c r="AF32" i="2" s="1"/>
  <c r="AE32" i="2" a="1"/>
  <c r="AE32" i="2" s="1"/>
  <c r="AD32" i="2" a="1"/>
  <c r="AD32" i="2" s="1"/>
  <c r="AC32" i="2" a="1"/>
  <c r="AC32" i="2" s="1"/>
  <c r="DD82" i="2" a="1"/>
  <c r="DD82" i="2" s="1"/>
  <c r="DC82" i="2" a="1"/>
  <c r="DC82" i="2" s="1"/>
  <c r="DB82" i="2" a="1"/>
  <c r="DB82" i="2" s="1"/>
  <c r="DA82" i="2" a="1"/>
  <c r="DA82" i="2" s="1"/>
  <c r="CZ82" i="2" a="1"/>
  <c r="CZ82" i="2" s="1"/>
  <c r="CY82" i="2" a="1"/>
  <c r="CY82" i="2" s="1"/>
  <c r="CX82" i="2" a="1"/>
  <c r="CX82" i="2" s="1"/>
  <c r="CW82" i="2" a="1"/>
  <c r="CW82" i="2" s="1"/>
  <c r="CV82" i="2" a="1"/>
  <c r="CV82" i="2" s="1"/>
  <c r="CU82" i="2" a="1"/>
  <c r="CU82" i="2" s="1"/>
  <c r="CT82" i="2" a="1"/>
  <c r="CT82" i="2" s="1"/>
  <c r="CS82" i="2" a="1"/>
  <c r="CS82" i="2" s="1"/>
  <c r="CR82" i="2" a="1"/>
  <c r="CR82" i="2" s="1"/>
  <c r="CQ82" i="2" a="1"/>
  <c r="CQ82" i="2" s="1"/>
  <c r="CP82" i="2" a="1"/>
  <c r="CP82" i="2" s="1"/>
  <c r="CO82" i="2" a="1"/>
  <c r="CO82" i="2" s="1"/>
  <c r="DD81" i="2" a="1"/>
  <c r="DD81" i="2" s="1"/>
  <c r="DC81" i="2" a="1"/>
  <c r="DC81" i="2" s="1"/>
  <c r="DB81" i="2" a="1"/>
  <c r="DB81" i="2" s="1"/>
  <c r="DA81" i="2" a="1"/>
  <c r="DA81" i="2" s="1"/>
  <c r="CZ81" i="2" a="1"/>
  <c r="CZ81" i="2" s="1"/>
  <c r="CY81" i="2" a="1"/>
  <c r="CY81" i="2" s="1"/>
  <c r="CX81" i="2" a="1"/>
  <c r="CX81" i="2" s="1"/>
  <c r="CW81" i="2" a="1"/>
  <c r="CW81" i="2" s="1"/>
  <c r="CV81" i="2" a="1"/>
  <c r="CV81" i="2" s="1"/>
  <c r="CU81" i="2" a="1"/>
  <c r="CU81" i="2" s="1"/>
  <c r="CT81" i="2" a="1"/>
  <c r="CT81" i="2" s="1"/>
  <c r="CS81" i="2" a="1"/>
  <c r="CS81" i="2" s="1"/>
  <c r="CR81" i="2" a="1"/>
  <c r="CR81" i="2" s="1"/>
  <c r="CQ81" i="2" a="1"/>
  <c r="CQ81" i="2" s="1"/>
  <c r="CP81" i="2" a="1"/>
  <c r="CP81" i="2" s="1"/>
  <c r="CO81" i="2" a="1"/>
  <c r="CO81" i="2" s="1"/>
  <c r="DD80" i="2" a="1"/>
  <c r="DD80" i="2" s="1"/>
  <c r="DC80" i="2" a="1"/>
  <c r="DC80" i="2" s="1"/>
  <c r="DB80" i="2" a="1"/>
  <c r="DB80" i="2" s="1"/>
  <c r="DA80" i="2" a="1"/>
  <c r="DA80" i="2" s="1"/>
  <c r="CZ80" i="2" a="1"/>
  <c r="CZ80" i="2" s="1"/>
  <c r="CY80" i="2" a="1"/>
  <c r="CY80" i="2" s="1"/>
  <c r="CX80" i="2" a="1"/>
  <c r="CX80" i="2" s="1"/>
  <c r="CW80" i="2" a="1"/>
  <c r="CW80" i="2" s="1"/>
  <c r="CV80" i="2" a="1"/>
  <c r="CV80" i="2" s="1"/>
  <c r="CU80" i="2" a="1"/>
  <c r="CU80" i="2" s="1"/>
  <c r="CT80" i="2" a="1"/>
  <c r="CT80" i="2" s="1"/>
  <c r="CS80" i="2" a="1"/>
  <c r="CS80" i="2" s="1"/>
  <c r="CR80" i="2" a="1"/>
  <c r="CR80" i="2" s="1"/>
  <c r="CQ80" i="2" a="1"/>
  <c r="CQ80" i="2" s="1"/>
  <c r="CP80" i="2" a="1"/>
  <c r="CP80" i="2" s="1"/>
  <c r="CO80" i="2" a="1"/>
  <c r="CO80" i="2" s="1"/>
  <c r="DD76" i="2" a="1"/>
  <c r="DD76" i="2" s="1"/>
  <c r="DC76" i="2" a="1"/>
  <c r="DC76" i="2" s="1"/>
  <c r="DB76" i="2" a="1"/>
  <c r="DB76" i="2" s="1"/>
  <c r="DA76" i="2" a="1"/>
  <c r="DA76" i="2" s="1"/>
  <c r="CZ76" i="2" a="1"/>
  <c r="CZ76" i="2" s="1"/>
  <c r="CY76" i="2" a="1"/>
  <c r="CY76" i="2" s="1"/>
  <c r="CX76" i="2" a="1"/>
  <c r="CX76" i="2" s="1"/>
  <c r="CW76" i="2" a="1"/>
  <c r="CW76" i="2" s="1"/>
  <c r="CV76" i="2" a="1"/>
  <c r="CV76" i="2" s="1"/>
  <c r="CU76" i="2" a="1"/>
  <c r="CU76" i="2" s="1"/>
  <c r="CT76" i="2" a="1"/>
  <c r="CT76" i="2" s="1"/>
  <c r="CS76" i="2" a="1"/>
  <c r="CS76" i="2" s="1"/>
  <c r="CR76" i="2" a="1"/>
  <c r="CR76" i="2" s="1"/>
  <c r="CQ76" i="2" a="1"/>
  <c r="CQ76" i="2" s="1"/>
  <c r="CP76" i="2" a="1"/>
  <c r="CP76" i="2" s="1"/>
  <c r="CO76" i="2" a="1"/>
  <c r="CO76" i="2" s="1"/>
  <c r="DD74" i="2" a="1"/>
  <c r="DD74" i="2" s="1"/>
  <c r="DC74" i="2" a="1"/>
  <c r="DC74" i="2" s="1"/>
  <c r="DB74" i="2" a="1"/>
  <c r="DB74" i="2" s="1"/>
  <c r="DA74" i="2" a="1"/>
  <c r="DA74" i="2" s="1"/>
  <c r="CZ74" i="2" a="1"/>
  <c r="CZ74" i="2" s="1"/>
  <c r="CY74" i="2" a="1"/>
  <c r="CY74" i="2" s="1"/>
  <c r="CX74" i="2" a="1"/>
  <c r="CX74" i="2" s="1"/>
  <c r="CW74" i="2" a="1"/>
  <c r="CW74" i="2" s="1"/>
  <c r="CV74" i="2" a="1"/>
  <c r="CV74" i="2" s="1"/>
  <c r="CU74" i="2" a="1"/>
  <c r="CU74" i="2" s="1"/>
  <c r="CT74" i="2" a="1"/>
  <c r="CT74" i="2" s="1"/>
  <c r="CS74" i="2" a="1"/>
  <c r="CS74" i="2" s="1"/>
  <c r="CR74" i="2" a="1"/>
  <c r="CR74" i="2" s="1"/>
  <c r="CQ74" i="2" a="1"/>
  <c r="CQ74" i="2" s="1"/>
  <c r="CP74" i="2" a="1"/>
  <c r="CP74" i="2" s="1"/>
  <c r="CO74" i="2" a="1"/>
  <c r="CO74" i="2" s="1"/>
  <c r="DD62" i="2" a="1"/>
  <c r="DD62" i="2" s="1"/>
  <c r="DC62" i="2" a="1"/>
  <c r="DC62" i="2" s="1"/>
  <c r="DB62" i="2" a="1"/>
  <c r="DB62" i="2" s="1"/>
  <c r="DA62" i="2" a="1"/>
  <c r="DA62" i="2" s="1"/>
  <c r="CZ62" i="2" a="1"/>
  <c r="CZ62" i="2" s="1"/>
  <c r="CY62" i="2" a="1"/>
  <c r="CY62" i="2" s="1"/>
  <c r="CX62" i="2" a="1"/>
  <c r="CX62" i="2" s="1"/>
  <c r="CW62" i="2" a="1"/>
  <c r="CW62" i="2" s="1"/>
  <c r="CV62" i="2" a="1"/>
  <c r="CV62" i="2" s="1"/>
  <c r="CU62" i="2" a="1"/>
  <c r="CU62" i="2" s="1"/>
  <c r="CT62" i="2" a="1"/>
  <c r="CT62" i="2" s="1"/>
  <c r="CS62" i="2" a="1"/>
  <c r="CS62" i="2" s="1"/>
  <c r="CR62" i="2" a="1"/>
  <c r="CR62" i="2" s="1"/>
  <c r="CQ62" i="2" a="1"/>
  <c r="CQ62" i="2" s="1"/>
  <c r="CP62" i="2" a="1"/>
  <c r="CP62" i="2" s="1"/>
  <c r="CO62" i="2" a="1"/>
  <c r="CO62" i="2" s="1"/>
  <c r="DD61" i="2" a="1"/>
  <c r="DD61" i="2" s="1"/>
  <c r="DC61" i="2" a="1"/>
  <c r="DC61" i="2" s="1"/>
  <c r="DB61" i="2" a="1"/>
  <c r="DB61" i="2" s="1"/>
  <c r="DA61" i="2" a="1"/>
  <c r="DA61" i="2" s="1"/>
  <c r="CZ61" i="2" a="1"/>
  <c r="CZ61" i="2" s="1"/>
  <c r="CY61" i="2" a="1"/>
  <c r="CY61" i="2" s="1"/>
  <c r="CX61" i="2" a="1"/>
  <c r="CX61" i="2" s="1"/>
  <c r="CW61" i="2" a="1"/>
  <c r="CW61" i="2" s="1"/>
  <c r="CV61" i="2" a="1"/>
  <c r="CV61" i="2" s="1"/>
  <c r="CU61" i="2" a="1"/>
  <c r="CU61" i="2" s="1"/>
  <c r="CT61" i="2" a="1"/>
  <c r="CT61" i="2" s="1"/>
  <c r="CS61" i="2" a="1"/>
  <c r="CS61" i="2" s="1"/>
  <c r="CR61" i="2" a="1"/>
  <c r="CR61" i="2" s="1"/>
  <c r="CQ61" i="2" a="1"/>
  <c r="CQ61" i="2" s="1"/>
  <c r="CP61" i="2" a="1"/>
  <c r="CP61" i="2" s="1"/>
  <c r="CO61" i="2" a="1"/>
  <c r="CO61" i="2" s="1"/>
  <c r="DD60" i="2" a="1"/>
  <c r="DD60" i="2" s="1"/>
  <c r="DC60" i="2" a="1"/>
  <c r="DC60" i="2" s="1"/>
  <c r="DB60" i="2" a="1"/>
  <c r="DB60" i="2" s="1"/>
  <c r="DA60" i="2" a="1"/>
  <c r="DA60" i="2" s="1"/>
  <c r="CZ60" i="2" a="1"/>
  <c r="CZ60" i="2" s="1"/>
  <c r="CY60" i="2" a="1"/>
  <c r="CY60" i="2" s="1"/>
  <c r="CX60" i="2" a="1"/>
  <c r="CX60" i="2" s="1"/>
  <c r="CW60" i="2" a="1"/>
  <c r="CW60" i="2" s="1"/>
  <c r="CV60" i="2" a="1"/>
  <c r="CV60" i="2" s="1"/>
  <c r="CU60" i="2" a="1"/>
  <c r="CU60" i="2" s="1"/>
  <c r="CT60" i="2" a="1"/>
  <c r="CT60" i="2" s="1"/>
  <c r="CS60" i="2" a="1"/>
  <c r="CS60" i="2" s="1"/>
  <c r="CR60" i="2" a="1"/>
  <c r="CR60" i="2" s="1"/>
  <c r="CQ60" i="2" a="1"/>
  <c r="CQ60" i="2" s="1"/>
  <c r="CP60" i="2" a="1"/>
  <c r="CP60" i="2" s="1"/>
  <c r="CO60" i="2" a="1"/>
  <c r="CO60" i="2" s="1"/>
  <c r="DD59" i="2" a="1"/>
  <c r="DD59" i="2" s="1"/>
  <c r="DC59" i="2" a="1"/>
  <c r="DC59" i="2" s="1"/>
  <c r="DB59" i="2" a="1"/>
  <c r="DB59" i="2" s="1"/>
  <c r="DA59" i="2" a="1"/>
  <c r="DA59" i="2" s="1"/>
  <c r="CZ59" i="2" a="1"/>
  <c r="CZ59" i="2" s="1"/>
  <c r="CY59" i="2" a="1"/>
  <c r="CY59" i="2" s="1"/>
  <c r="CX59" i="2" a="1"/>
  <c r="CX59" i="2" s="1"/>
  <c r="CW59" i="2" a="1"/>
  <c r="CW59" i="2" s="1"/>
  <c r="CV59" i="2" a="1"/>
  <c r="CV59" i="2" s="1"/>
  <c r="CU59" i="2" a="1"/>
  <c r="CU59" i="2" s="1"/>
  <c r="CT59" i="2" a="1"/>
  <c r="CT59" i="2" s="1"/>
  <c r="CS59" i="2" a="1"/>
  <c r="CS59" i="2" s="1"/>
  <c r="CR59" i="2" a="1"/>
  <c r="CR59" i="2" s="1"/>
  <c r="CQ59" i="2" a="1"/>
  <c r="CQ59" i="2" s="1"/>
  <c r="CP59" i="2" a="1"/>
  <c r="CP59" i="2" s="1"/>
  <c r="CO59" i="2" a="1"/>
  <c r="CO59" i="2" s="1"/>
  <c r="DD58" i="2" a="1"/>
  <c r="DD58" i="2" s="1"/>
  <c r="DC58" i="2" a="1"/>
  <c r="DC58" i="2" s="1"/>
  <c r="DB58" i="2" a="1"/>
  <c r="DB58" i="2" s="1"/>
  <c r="DA58" i="2" a="1"/>
  <c r="DA58" i="2" s="1"/>
  <c r="CZ58" i="2" a="1"/>
  <c r="CZ58" i="2" s="1"/>
  <c r="CY58" i="2" a="1"/>
  <c r="CY58" i="2" s="1"/>
  <c r="CX58" i="2" a="1"/>
  <c r="CX58" i="2" s="1"/>
  <c r="CW58" i="2" a="1"/>
  <c r="CW58" i="2" s="1"/>
  <c r="CV58" i="2" a="1"/>
  <c r="CV58" i="2" s="1"/>
  <c r="CU58" i="2" a="1"/>
  <c r="CU58" i="2" s="1"/>
  <c r="CT58" i="2" a="1"/>
  <c r="CT58" i="2" s="1"/>
  <c r="CS58" i="2" a="1"/>
  <c r="CS58" i="2" s="1"/>
  <c r="CR58" i="2" a="1"/>
  <c r="CR58" i="2" s="1"/>
  <c r="CQ58" i="2" a="1"/>
  <c r="CQ58" i="2" s="1"/>
  <c r="CP58" i="2" a="1"/>
  <c r="CP58" i="2" s="1"/>
  <c r="CO58" i="2" a="1"/>
  <c r="CO58" i="2" s="1"/>
  <c r="DD57" i="2" a="1"/>
  <c r="DD57" i="2" s="1"/>
  <c r="DC57" i="2" a="1"/>
  <c r="DC57" i="2" s="1"/>
  <c r="DB57" i="2" a="1"/>
  <c r="DB57" i="2" s="1"/>
  <c r="DA57" i="2" a="1"/>
  <c r="DA57" i="2" s="1"/>
  <c r="CZ57" i="2" a="1"/>
  <c r="CZ57" i="2" s="1"/>
  <c r="CY57" i="2" a="1"/>
  <c r="CY57" i="2" s="1"/>
  <c r="CX57" i="2" a="1"/>
  <c r="CX57" i="2" s="1"/>
  <c r="CW57" i="2" a="1"/>
  <c r="CW57" i="2" s="1"/>
  <c r="CV57" i="2" a="1"/>
  <c r="CV57" i="2" s="1"/>
  <c r="CU57" i="2" a="1"/>
  <c r="CU57" i="2" s="1"/>
  <c r="CT57" i="2" a="1"/>
  <c r="CT57" i="2" s="1"/>
  <c r="CS57" i="2" a="1"/>
  <c r="CS57" i="2" s="1"/>
  <c r="CR57" i="2" a="1"/>
  <c r="CR57" i="2" s="1"/>
  <c r="CQ57" i="2" a="1"/>
  <c r="CQ57" i="2" s="1"/>
  <c r="CP57" i="2" a="1"/>
  <c r="CP57" i="2" s="1"/>
  <c r="CO57" i="2" a="1"/>
  <c r="CO57" i="2" s="1"/>
  <c r="DD56" i="2" a="1"/>
  <c r="DD56" i="2" s="1"/>
  <c r="DC56" i="2" a="1"/>
  <c r="DC56" i="2" s="1"/>
  <c r="DB56" i="2" a="1"/>
  <c r="DB56" i="2" s="1"/>
  <c r="DA56" i="2" a="1"/>
  <c r="DA56" i="2" s="1"/>
  <c r="CZ56" i="2" a="1"/>
  <c r="CZ56" i="2" s="1"/>
  <c r="CY56" i="2" a="1"/>
  <c r="CY56" i="2" s="1"/>
  <c r="CX56" i="2" a="1"/>
  <c r="CX56" i="2" s="1"/>
  <c r="CW56" i="2" a="1"/>
  <c r="CW56" i="2" s="1"/>
  <c r="CV56" i="2" a="1"/>
  <c r="CV56" i="2" s="1"/>
  <c r="CU56" i="2" a="1"/>
  <c r="CU56" i="2" s="1"/>
  <c r="CT56" i="2" a="1"/>
  <c r="CT56" i="2" s="1"/>
  <c r="CS56" i="2" a="1"/>
  <c r="CS56" i="2" s="1"/>
  <c r="CR56" i="2" a="1"/>
  <c r="CR56" i="2" s="1"/>
  <c r="CQ56" i="2" a="1"/>
  <c r="CQ56" i="2" s="1"/>
  <c r="CP56" i="2" a="1"/>
  <c r="CP56" i="2" s="1"/>
  <c r="CO56" i="2" a="1"/>
  <c r="CO56" i="2" s="1"/>
  <c r="DD51" i="2" a="1"/>
  <c r="DD51" i="2" s="1"/>
  <c r="DC51" i="2" a="1"/>
  <c r="DC51" i="2" s="1"/>
  <c r="DB51" i="2" a="1"/>
  <c r="DB51" i="2" s="1"/>
  <c r="DA51" i="2" a="1"/>
  <c r="DA51" i="2" s="1"/>
  <c r="CZ51" i="2" a="1"/>
  <c r="CZ51" i="2" s="1"/>
  <c r="CY51" i="2" a="1"/>
  <c r="CY51" i="2" s="1"/>
  <c r="CX51" i="2" a="1"/>
  <c r="CX51" i="2" s="1"/>
  <c r="CW51" i="2" a="1"/>
  <c r="CW51" i="2" s="1"/>
  <c r="CV51" i="2" a="1"/>
  <c r="CV51" i="2" s="1"/>
  <c r="CU51" i="2" a="1"/>
  <c r="CU51" i="2" s="1"/>
  <c r="CT51" i="2" a="1"/>
  <c r="CT51" i="2" s="1"/>
  <c r="CS51" i="2" a="1"/>
  <c r="CS51" i="2" s="1"/>
  <c r="CR51" i="2" a="1"/>
  <c r="CR51" i="2" s="1"/>
  <c r="CQ51" i="2" a="1"/>
  <c r="CQ51" i="2" s="1"/>
  <c r="CP51" i="2" a="1"/>
  <c r="CP51" i="2" s="1"/>
  <c r="CO51" i="2" a="1"/>
  <c r="CO51" i="2" s="1"/>
  <c r="DD50" i="2" a="1"/>
  <c r="DD50" i="2" s="1"/>
  <c r="DC50" i="2" a="1"/>
  <c r="DC50" i="2" s="1"/>
  <c r="DB50" i="2" a="1"/>
  <c r="DB50" i="2" s="1"/>
  <c r="DA50" i="2" a="1"/>
  <c r="DA50" i="2" s="1"/>
  <c r="CZ50" i="2" a="1"/>
  <c r="CZ50" i="2" s="1"/>
  <c r="CY50" i="2" a="1"/>
  <c r="CY50" i="2" s="1"/>
  <c r="CX50" i="2" a="1"/>
  <c r="CX50" i="2" s="1"/>
  <c r="CW50" i="2" a="1"/>
  <c r="CW50" i="2" s="1"/>
  <c r="CV50" i="2" a="1"/>
  <c r="CV50" i="2" s="1"/>
  <c r="CU50" i="2" a="1"/>
  <c r="CU50" i="2" s="1"/>
  <c r="CT50" i="2" a="1"/>
  <c r="CT50" i="2" s="1"/>
  <c r="CS50" i="2" a="1"/>
  <c r="CS50" i="2" s="1"/>
  <c r="CR50" i="2" a="1"/>
  <c r="CR50" i="2" s="1"/>
  <c r="CQ50" i="2" a="1"/>
  <c r="CQ50" i="2" s="1"/>
  <c r="CP50" i="2" a="1"/>
  <c r="CP50" i="2" s="1"/>
  <c r="CO50" i="2" a="1"/>
  <c r="CO50" i="2" s="1"/>
  <c r="DD49" i="2" a="1"/>
  <c r="DD49" i="2" s="1"/>
  <c r="DC49" i="2" a="1"/>
  <c r="DC49" i="2" s="1"/>
  <c r="DB49" i="2" a="1"/>
  <c r="DB49" i="2" s="1"/>
  <c r="DA49" i="2" a="1"/>
  <c r="DA49" i="2" s="1"/>
  <c r="CZ49" i="2" a="1"/>
  <c r="CZ49" i="2" s="1"/>
  <c r="CY49" i="2" a="1"/>
  <c r="CY49" i="2" s="1"/>
  <c r="CX49" i="2" a="1"/>
  <c r="CX49" i="2" s="1"/>
  <c r="CW49" i="2" a="1"/>
  <c r="CW49" i="2" s="1"/>
  <c r="CV49" i="2" a="1"/>
  <c r="CV49" i="2" s="1"/>
  <c r="CU49" i="2" a="1"/>
  <c r="CU49" i="2" s="1"/>
  <c r="CT49" i="2" a="1"/>
  <c r="CT49" i="2" s="1"/>
  <c r="CS49" i="2" a="1"/>
  <c r="CS49" i="2" s="1"/>
  <c r="CR49" i="2" a="1"/>
  <c r="CR49" i="2" s="1"/>
  <c r="CQ49" i="2" a="1"/>
  <c r="CQ49" i="2" s="1"/>
  <c r="CP49" i="2" a="1"/>
  <c r="CP49" i="2" s="1"/>
  <c r="CO49" i="2" a="1"/>
  <c r="CO49" i="2" s="1"/>
  <c r="DD48" i="2" a="1"/>
  <c r="DD48" i="2" s="1"/>
  <c r="DC48" i="2" a="1"/>
  <c r="DC48" i="2" s="1"/>
  <c r="DB48" i="2" a="1"/>
  <c r="DB48" i="2" s="1"/>
  <c r="DA48" i="2" a="1"/>
  <c r="DA48" i="2" s="1"/>
  <c r="CZ48" i="2" a="1"/>
  <c r="CZ48" i="2" s="1"/>
  <c r="CY48" i="2" a="1"/>
  <c r="CY48" i="2" s="1"/>
  <c r="CX48" i="2" a="1"/>
  <c r="CX48" i="2" s="1"/>
  <c r="CW48" i="2" a="1"/>
  <c r="CW48" i="2" s="1"/>
  <c r="CV48" i="2" a="1"/>
  <c r="CV48" i="2" s="1"/>
  <c r="CU48" i="2" a="1"/>
  <c r="CU48" i="2" s="1"/>
  <c r="CT48" i="2" a="1"/>
  <c r="CT48" i="2" s="1"/>
  <c r="CS48" i="2"/>
  <c r="CS48" i="2" a="1"/>
  <c r="CR48" i="2" a="1"/>
  <c r="CR48" i="2" s="1"/>
  <c r="CQ48" i="2" a="1"/>
  <c r="CQ48" i="2" s="1"/>
  <c r="CP48" i="2" a="1"/>
  <c r="CP48" i="2" s="1"/>
  <c r="CO48" i="2" a="1"/>
  <c r="CO48" i="2" s="1"/>
  <c r="DD47" i="2" a="1"/>
  <c r="DD47" i="2" s="1"/>
  <c r="DC47" i="2" a="1"/>
  <c r="DC47" i="2" s="1"/>
  <c r="DB47" i="2" a="1"/>
  <c r="DB47" i="2" s="1"/>
  <c r="DA47" i="2" a="1"/>
  <c r="DA47" i="2" s="1"/>
  <c r="CZ47" i="2" a="1"/>
  <c r="CZ47" i="2" s="1"/>
  <c r="CY47" i="2" a="1"/>
  <c r="CY47" i="2" s="1"/>
  <c r="CX47" i="2" a="1"/>
  <c r="CX47" i="2" s="1"/>
  <c r="CW47" i="2" a="1"/>
  <c r="CW47" i="2" s="1"/>
  <c r="CV47" i="2" a="1"/>
  <c r="CV47" i="2" s="1"/>
  <c r="CU47" i="2" a="1"/>
  <c r="CU47" i="2" s="1"/>
  <c r="CT47" i="2" a="1"/>
  <c r="CT47" i="2" s="1"/>
  <c r="CS47" i="2" a="1"/>
  <c r="CS47" i="2" s="1"/>
  <c r="CR47" i="2" a="1"/>
  <c r="CR47" i="2" s="1"/>
  <c r="CQ47" i="2" a="1"/>
  <c r="CQ47" i="2" s="1"/>
  <c r="CP47" i="2" a="1"/>
  <c r="CP47" i="2" s="1"/>
  <c r="CO47" i="2" a="1"/>
  <c r="CO47" i="2" s="1"/>
  <c r="DD46" i="2" a="1"/>
  <c r="DD46" i="2" s="1"/>
  <c r="DC46" i="2" a="1"/>
  <c r="DC46" i="2" s="1"/>
  <c r="DB46" i="2" a="1"/>
  <c r="DB46" i="2" s="1"/>
  <c r="DA46" i="2" a="1"/>
  <c r="DA46" i="2" s="1"/>
  <c r="CZ46" i="2" a="1"/>
  <c r="CZ46" i="2" s="1"/>
  <c r="CY46" i="2" a="1"/>
  <c r="CY46" i="2" s="1"/>
  <c r="CX46" i="2" a="1"/>
  <c r="CX46" i="2" s="1"/>
  <c r="CW46" i="2" a="1"/>
  <c r="CW46" i="2" s="1"/>
  <c r="CV46" i="2" a="1"/>
  <c r="CV46" i="2" s="1"/>
  <c r="CU46" i="2" a="1"/>
  <c r="CU46" i="2" s="1"/>
  <c r="CT46" i="2" a="1"/>
  <c r="CT46" i="2" s="1"/>
  <c r="CS46" i="2" a="1"/>
  <c r="CS46" i="2" s="1"/>
  <c r="CR46" i="2" a="1"/>
  <c r="CR46" i="2" s="1"/>
  <c r="CQ46" i="2" a="1"/>
  <c r="CQ46" i="2" s="1"/>
  <c r="CP46" i="2" a="1"/>
  <c r="CP46" i="2" s="1"/>
  <c r="CO46" i="2" a="1"/>
  <c r="CO46" i="2" s="1"/>
  <c r="DD45" i="2" a="1"/>
  <c r="DD45" i="2" s="1"/>
  <c r="DC45" i="2" a="1"/>
  <c r="DC45" i="2" s="1"/>
  <c r="DB45" i="2" a="1"/>
  <c r="DB45" i="2" s="1"/>
  <c r="DA45" i="2" a="1"/>
  <c r="DA45" i="2" s="1"/>
  <c r="CZ45" i="2" a="1"/>
  <c r="CZ45" i="2" s="1"/>
  <c r="CY45" i="2" a="1"/>
  <c r="CY45" i="2" s="1"/>
  <c r="CX45" i="2" a="1"/>
  <c r="CX45" i="2" s="1"/>
  <c r="CW45" i="2" a="1"/>
  <c r="CW45" i="2" s="1"/>
  <c r="CV45" i="2" a="1"/>
  <c r="CV45" i="2" s="1"/>
  <c r="CU45" i="2" a="1"/>
  <c r="CU45" i="2" s="1"/>
  <c r="CT45" i="2" a="1"/>
  <c r="CT45" i="2" s="1"/>
  <c r="CS45" i="2" a="1"/>
  <c r="CS45" i="2" s="1"/>
  <c r="CR45" i="2" a="1"/>
  <c r="CR45" i="2" s="1"/>
  <c r="CQ45" i="2" a="1"/>
  <c r="CQ45" i="2" s="1"/>
  <c r="CP45" i="2" a="1"/>
  <c r="CP45" i="2" s="1"/>
  <c r="CO45" i="2" a="1"/>
  <c r="CO45" i="2" s="1"/>
  <c r="DD44" i="2" a="1"/>
  <c r="DD44" i="2" s="1"/>
  <c r="DC44" i="2" a="1"/>
  <c r="DC44" i="2" s="1"/>
  <c r="DB44" i="2" a="1"/>
  <c r="DB44" i="2" s="1"/>
  <c r="DA44" i="2" a="1"/>
  <c r="DA44" i="2" s="1"/>
  <c r="CZ44" i="2" a="1"/>
  <c r="CZ44" i="2" s="1"/>
  <c r="CY44" i="2" a="1"/>
  <c r="CY44" i="2" s="1"/>
  <c r="CX44" i="2" a="1"/>
  <c r="CX44" i="2" s="1"/>
  <c r="CW44" i="2" a="1"/>
  <c r="CW44" i="2" s="1"/>
  <c r="CV44" i="2" a="1"/>
  <c r="CV44" i="2" s="1"/>
  <c r="CU44" i="2" a="1"/>
  <c r="CU44" i="2" s="1"/>
  <c r="CT44" i="2" a="1"/>
  <c r="CT44" i="2" s="1"/>
  <c r="CS44" i="2" a="1"/>
  <c r="CS44" i="2" s="1"/>
  <c r="CR44" i="2" a="1"/>
  <c r="CR44" i="2" s="1"/>
  <c r="CQ44" i="2" a="1"/>
  <c r="CQ44" i="2" s="1"/>
  <c r="CP44" i="2" a="1"/>
  <c r="CP44" i="2" s="1"/>
  <c r="CO44" i="2" a="1"/>
  <c r="CO44" i="2" s="1"/>
  <c r="DD43" i="2" a="1"/>
  <c r="DD43" i="2" s="1"/>
  <c r="DC43" i="2" a="1"/>
  <c r="DC43" i="2" s="1"/>
  <c r="DB43" i="2" a="1"/>
  <c r="DB43" i="2" s="1"/>
  <c r="DA43" i="2" a="1"/>
  <c r="DA43" i="2" s="1"/>
  <c r="CZ43" i="2" a="1"/>
  <c r="CZ43" i="2" s="1"/>
  <c r="CY43" i="2" a="1"/>
  <c r="CY43" i="2" s="1"/>
  <c r="CX43" i="2" a="1"/>
  <c r="CX43" i="2" s="1"/>
  <c r="CW43" i="2" a="1"/>
  <c r="CW43" i="2" s="1"/>
  <c r="CV43" i="2" a="1"/>
  <c r="CV43" i="2" s="1"/>
  <c r="CU43" i="2" a="1"/>
  <c r="CU43" i="2" s="1"/>
  <c r="CT43" i="2" a="1"/>
  <c r="CT43" i="2" s="1"/>
  <c r="CS43" i="2" a="1"/>
  <c r="CS43" i="2" s="1"/>
  <c r="CR43" i="2" a="1"/>
  <c r="CR43" i="2" s="1"/>
  <c r="CQ43" i="2"/>
  <c r="CQ43" i="2" a="1"/>
  <c r="CP43" i="2" a="1"/>
  <c r="CP43" i="2" s="1"/>
  <c r="CO43" i="2" a="1"/>
  <c r="CO43" i="2" s="1"/>
  <c r="DD42" i="2" a="1"/>
  <c r="DD42" i="2" s="1"/>
  <c r="DC42" i="2" a="1"/>
  <c r="DC42" i="2" s="1"/>
  <c r="DB42" i="2" a="1"/>
  <c r="DB42" i="2" s="1"/>
  <c r="DA42" i="2" a="1"/>
  <c r="DA42" i="2" s="1"/>
  <c r="CZ42" i="2" a="1"/>
  <c r="CZ42" i="2" s="1"/>
  <c r="CY42" i="2" a="1"/>
  <c r="CY42" i="2" s="1"/>
  <c r="CX42" i="2" a="1"/>
  <c r="CX42" i="2" s="1"/>
  <c r="CW42" i="2" a="1"/>
  <c r="CW42" i="2" s="1"/>
  <c r="CV42" i="2" a="1"/>
  <c r="CV42" i="2" s="1"/>
  <c r="CU42" i="2" a="1"/>
  <c r="CU42" i="2" s="1"/>
  <c r="CT42" i="2" a="1"/>
  <c r="CT42" i="2" s="1"/>
  <c r="CS42" i="2" a="1"/>
  <c r="CS42" i="2" s="1"/>
  <c r="CR42" i="2" a="1"/>
  <c r="CR42" i="2" s="1"/>
  <c r="CQ42" i="2" a="1"/>
  <c r="CQ42" i="2" s="1"/>
  <c r="CP42" i="2" a="1"/>
  <c r="CP42" i="2" s="1"/>
  <c r="CO42" i="2" a="1"/>
  <c r="CO42" i="2" s="1"/>
  <c r="DD40" i="2" a="1"/>
  <c r="DD40" i="2" s="1"/>
  <c r="DC40" i="2" a="1"/>
  <c r="DC40" i="2" s="1"/>
  <c r="DB40" i="2" a="1"/>
  <c r="DB40" i="2" s="1"/>
  <c r="DA40" i="2" a="1"/>
  <c r="DA40" i="2" s="1"/>
  <c r="CZ40" i="2" a="1"/>
  <c r="CZ40" i="2" s="1"/>
  <c r="CY40" i="2" a="1"/>
  <c r="CY40" i="2" s="1"/>
  <c r="CX40" i="2" a="1"/>
  <c r="CX40" i="2" s="1"/>
  <c r="CW40" i="2" a="1"/>
  <c r="CW40" i="2" s="1"/>
  <c r="CV40" i="2" a="1"/>
  <c r="CV40" i="2" s="1"/>
  <c r="CU40" i="2" a="1"/>
  <c r="CU40" i="2" s="1"/>
  <c r="CT40" i="2" a="1"/>
  <c r="CT40" i="2" s="1"/>
  <c r="CS40" i="2" a="1"/>
  <c r="CS40" i="2" s="1"/>
  <c r="CR40" i="2" a="1"/>
  <c r="CR40" i="2" s="1"/>
  <c r="CQ40" i="2" a="1"/>
  <c r="CQ40" i="2" s="1"/>
  <c r="CP40" i="2" a="1"/>
  <c r="CP40" i="2" s="1"/>
  <c r="CO40" i="2" a="1"/>
  <c r="CO40" i="2" s="1"/>
  <c r="DD33" i="2" a="1"/>
  <c r="DD33" i="2" s="1"/>
  <c r="DC33" i="2" a="1"/>
  <c r="DC33" i="2" s="1"/>
  <c r="DB33" i="2" a="1"/>
  <c r="DB33" i="2" s="1"/>
  <c r="DA33" i="2" a="1"/>
  <c r="DA33" i="2" s="1"/>
  <c r="CZ33" i="2" a="1"/>
  <c r="CZ33" i="2" s="1"/>
  <c r="CY33" i="2" a="1"/>
  <c r="CY33" i="2" s="1"/>
  <c r="CX33" i="2" a="1"/>
  <c r="CX33" i="2" s="1"/>
  <c r="CW33" i="2" a="1"/>
  <c r="CW33" i="2" s="1"/>
  <c r="CV33" i="2" a="1"/>
  <c r="CV33" i="2" s="1"/>
  <c r="CU33" i="2" a="1"/>
  <c r="CU33" i="2" s="1"/>
  <c r="CT33" i="2" a="1"/>
  <c r="CT33" i="2" s="1"/>
  <c r="CS33" i="2" a="1"/>
  <c r="CS33" i="2" s="1"/>
  <c r="CR33" i="2" a="1"/>
  <c r="CR33" i="2" s="1"/>
  <c r="CQ33" i="2" a="1"/>
  <c r="CQ33" i="2" s="1"/>
  <c r="CP33" i="2" a="1"/>
  <c r="CP33" i="2" s="1"/>
  <c r="CO33" i="2" a="1"/>
  <c r="CO33" i="2" s="1"/>
  <c r="DD32" i="2" a="1"/>
  <c r="DD32" i="2" s="1"/>
  <c r="DC32" i="2" a="1"/>
  <c r="DC32" i="2" s="1"/>
  <c r="DB32" i="2" a="1"/>
  <c r="DB32" i="2" s="1"/>
  <c r="DA32" i="2" a="1"/>
  <c r="DA32" i="2" s="1"/>
  <c r="CZ32" i="2" a="1"/>
  <c r="CZ32" i="2" s="1"/>
  <c r="CY32" i="2" a="1"/>
  <c r="CY32" i="2" s="1"/>
  <c r="CX32" i="2" a="1"/>
  <c r="CX32" i="2" s="1"/>
  <c r="CW32" i="2" a="1"/>
  <c r="CW32" i="2" s="1"/>
  <c r="CV32" i="2" a="1"/>
  <c r="CV32" i="2" s="1"/>
  <c r="CU32" i="2" a="1"/>
  <c r="CU32" i="2" s="1"/>
  <c r="CT32" i="2" a="1"/>
  <c r="CT32" i="2" s="1"/>
  <c r="CS32" i="2" a="1"/>
  <c r="CS32" i="2" s="1"/>
  <c r="CR32" i="2" a="1"/>
  <c r="CR32" i="2" s="1"/>
  <c r="CQ32" i="2" a="1"/>
  <c r="CQ32" i="2" s="1"/>
  <c r="CP32" i="2" a="1"/>
  <c r="CP32" i="2" s="1"/>
  <c r="CO32" i="2" a="1"/>
  <c r="CO32" i="2" s="1"/>
  <c r="DD30" i="2" a="1"/>
  <c r="DD30" i="2" s="1"/>
  <c r="DC30" i="2" a="1"/>
  <c r="DC30" i="2" s="1"/>
  <c r="DB30" i="2" a="1"/>
  <c r="DB30" i="2" s="1"/>
  <c r="DA30" i="2" a="1"/>
  <c r="DA30" i="2" s="1"/>
  <c r="CZ30" i="2" a="1"/>
  <c r="CZ30" i="2" s="1"/>
  <c r="CY30" i="2" a="1"/>
  <c r="CY30" i="2" s="1"/>
  <c r="CX30" i="2" a="1"/>
  <c r="CX30" i="2" s="1"/>
  <c r="CW30" i="2" a="1"/>
  <c r="CW30" i="2" s="1"/>
  <c r="CV30" i="2" a="1"/>
  <c r="CV30" i="2" s="1"/>
  <c r="CU30" i="2"/>
  <c r="CU30" i="2" a="1"/>
  <c r="CT30" i="2" a="1"/>
  <c r="CT30" i="2" s="1"/>
  <c r="CS30" i="2" a="1"/>
  <c r="CS30" i="2" s="1"/>
  <c r="CR30" i="2" a="1"/>
  <c r="CR30" i="2" s="1"/>
  <c r="CQ30" i="2" a="1"/>
  <c r="CQ30" i="2" s="1"/>
  <c r="CP30" i="2" a="1"/>
  <c r="CP30" i="2" s="1"/>
  <c r="CO30" i="2" a="1"/>
  <c r="CO30" i="2" s="1"/>
  <c r="DD28" i="2" a="1"/>
  <c r="DD28" i="2" s="1"/>
  <c r="DC28" i="2" a="1"/>
  <c r="DC28" i="2" s="1"/>
  <c r="DB28" i="2" a="1"/>
  <c r="DB28" i="2" s="1"/>
  <c r="DA28" i="2" a="1"/>
  <c r="DA28" i="2" s="1"/>
  <c r="CZ28" i="2" a="1"/>
  <c r="CZ28" i="2" s="1"/>
  <c r="CY28" i="2" a="1"/>
  <c r="CY28" i="2" s="1"/>
  <c r="CX28" i="2" a="1"/>
  <c r="CX28" i="2" s="1"/>
  <c r="CW28" i="2" a="1"/>
  <c r="CW28" i="2" s="1"/>
  <c r="CV28" i="2" a="1"/>
  <c r="CV28" i="2" s="1"/>
  <c r="CU28" i="2" a="1"/>
  <c r="CU28" i="2" s="1"/>
  <c r="CT28" i="2" a="1"/>
  <c r="CT28" i="2" s="1"/>
  <c r="CS28" i="2" a="1"/>
  <c r="CS28" i="2" s="1"/>
  <c r="CR28" i="2" a="1"/>
  <c r="CR28" i="2" s="1"/>
  <c r="CQ28" i="2" a="1"/>
  <c r="CQ28" i="2" s="1"/>
  <c r="CP28" i="2" a="1"/>
  <c r="CP28" i="2" s="1"/>
  <c r="CO28" i="2" a="1"/>
  <c r="CO28" i="2" s="1"/>
  <c r="DD26" i="2" a="1"/>
  <c r="DD26" i="2" s="1"/>
  <c r="DC26" i="2" a="1"/>
  <c r="DC26" i="2" s="1"/>
  <c r="DB26" i="2" a="1"/>
  <c r="DB26" i="2" s="1"/>
  <c r="DA26" i="2" a="1"/>
  <c r="DA26" i="2" s="1"/>
  <c r="CZ26" i="2" a="1"/>
  <c r="CZ26" i="2" s="1"/>
  <c r="CY26" i="2" a="1"/>
  <c r="CY26" i="2" s="1"/>
  <c r="CX26" i="2" a="1"/>
  <c r="CX26" i="2" s="1"/>
  <c r="CW26" i="2" a="1"/>
  <c r="CW26" i="2" s="1"/>
  <c r="CV26" i="2" a="1"/>
  <c r="CV26" i="2" s="1"/>
  <c r="CU26" i="2" a="1"/>
  <c r="CU26" i="2" s="1"/>
  <c r="CT26" i="2" a="1"/>
  <c r="CT26" i="2" s="1"/>
  <c r="CS26" i="2" a="1"/>
  <c r="CS26" i="2" s="1"/>
  <c r="CR26" i="2" a="1"/>
  <c r="CR26" i="2" s="1"/>
  <c r="CQ26" i="2" a="1"/>
  <c r="CQ26" i="2" s="1"/>
  <c r="CP26" i="2" a="1"/>
  <c r="CP26" i="2" s="1"/>
  <c r="CO26" i="2" a="1"/>
  <c r="CO26" i="2" s="1"/>
  <c r="DD24" i="2" a="1"/>
  <c r="DD24" i="2" s="1"/>
  <c r="DC24" i="2" a="1"/>
  <c r="DC24" i="2" s="1"/>
  <c r="DB24" i="2" a="1"/>
  <c r="DB24" i="2" s="1"/>
  <c r="DA24" i="2" a="1"/>
  <c r="DA24" i="2" s="1"/>
  <c r="CZ24" i="2" a="1"/>
  <c r="CZ24" i="2" s="1"/>
  <c r="CY24" i="2" a="1"/>
  <c r="CY24" i="2" s="1"/>
  <c r="CX24" i="2" a="1"/>
  <c r="CX24" i="2" s="1"/>
  <c r="CW24" i="2" a="1"/>
  <c r="CW24" i="2" s="1"/>
  <c r="CV24" i="2" a="1"/>
  <c r="CV24" i="2" s="1"/>
  <c r="CU24" i="2" a="1"/>
  <c r="CU24" i="2" s="1"/>
  <c r="CT24" i="2" a="1"/>
  <c r="CT24" i="2" s="1"/>
  <c r="CS24" i="2" a="1"/>
  <c r="CS24" i="2" s="1"/>
  <c r="CR24" i="2" a="1"/>
  <c r="CR24" i="2" s="1"/>
  <c r="CQ24" i="2" a="1"/>
  <c r="CQ24" i="2" s="1"/>
  <c r="CP24" i="2" a="1"/>
  <c r="CP24" i="2" s="1"/>
  <c r="CO24" i="2" a="1"/>
  <c r="CO24" i="2" s="1"/>
  <c r="DD21" i="2" a="1"/>
  <c r="DD21" i="2" s="1"/>
  <c r="DC21" i="2" a="1"/>
  <c r="DC21" i="2" s="1"/>
  <c r="DB21" i="2" a="1"/>
  <c r="DB21" i="2" s="1"/>
  <c r="DA21" i="2" a="1"/>
  <c r="DA21" i="2" s="1"/>
  <c r="CZ21" i="2" a="1"/>
  <c r="CZ21" i="2" s="1"/>
  <c r="CY21" i="2" a="1"/>
  <c r="CY21" i="2" s="1"/>
  <c r="CX21" i="2" a="1"/>
  <c r="CX21" i="2" s="1"/>
  <c r="CW21" i="2" a="1"/>
  <c r="CW21" i="2" s="1"/>
  <c r="CV21" i="2" a="1"/>
  <c r="CV21" i="2" s="1"/>
  <c r="CU21" i="2" a="1"/>
  <c r="CU21" i="2" s="1"/>
  <c r="CT21" i="2" a="1"/>
  <c r="CT21" i="2" s="1"/>
  <c r="CS21" i="2" a="1"/>
  <c r="CS21" i="2" s="1"/>
  <c r="CR21" i="2" a="1"/>
  <c r="CR21" i="2" s="1"/>
  <c r="CQ21" i="2" a="1"/>
  <c r="CQ21" i="2" s="1"/>
  <c r="CP21" i="2" a="1"/>
  <c r="CP21" i="2" s="1"/>
  <c r="CO21" i="2" a="1"/>
  <c r="CO21" i="2" s="1"/>
  <c r="DD19" i="2" a="1"/>
  <c r="DD19" i="2" s="1"/>
  <c r="DC19" i="2" a="1"/>
  <c r="DC19" i="2" s="1"/>
  <c r="DB19" i="2" a="1"/>
  <c r="DB19" i="2" s="1"/>
  <c r="DA19" i="2" a="1"/>
  <c r="DA19" i="2" s="1"/>
  <c r="CZ19" i="2" a="1"/>
  <c r="CZ19" i="2" s="1"/>
  <c r="CY19" i="2" a="1"/>
  <c r="CY19" i="2" s="1"/>
  <c r="CX19" i="2" a="1"/>
  <c r="CX19" i="2" s="1"/>
  <c r="CW19" i="2" a="1"/>
  <c r="CW19" i="2" s="1"/>
  <c r="CV19" i="2" a="1"/>
  <c r="CV19" i="2" s="1"/>
  <c r="CU19" i="2" a="1"/>
  <c r="CU19" i="2" s="1"/>
  <c r="CT19" i="2" a="1"/>
  <c r="CT19" i="2" s="1"/>
  <c r="CS19" i="2" a="1"/>
  <c r="CS19" i="2" s="1"/>
  <c r="CR19" i="2" a="1"/>
  <c r="CR19" i="2" s="1"/>
  <c r="CQ19" i="2" a="1"/>
  <c r="CQ19" i="2" s="1"/>
  <c r="CP19" i="2" a="1"/>
  <c r="CP19" i="2" s="1"/>
  <c r="CO19" i="2" a="1"/>
  <c r="CO19" i="2" s="1"/>
  <c r="DD12" i="2" a="1"/>
  <c r="DD12" i="2" s="1"/>
  <c r="DC12" i="2" a="1"/>
  <c r="DC12" i="2" s="1"/>
  <c r="DB12" i="2" a="1"/>
  <c r="DB12" i="2" s="1"/>
  <c r="DA12" i="2" a="1"/>
  <c r="DA12" i="2" s="1"/>
  <c r="CZ12" i="2" a="1"/>
  <c r="CZ12" i="2" s="1"/>
  <c r="CY12" i="2" a="1"/>
  <c r="CY12" i="2" s="1"/>
  <c r="CX12" i="2" a="1"/>
  <c r="CX12" i="2" s="1"/>
  <c r="CW12" i="2" a="1"/>
  <c r="CW12" i="2" s="1"/>
  <c r="CV12" i="2" a="1"/>
  <c r="CV12" i="2" s="1"/>
  <c r="CU12" i="2" a="1"/>
  <c r="CU12" i="2" s="1"/>
  <c r="CT12" i="2"/>
  <c r="CT12" i="2" a="1"/>
  <c r="CS12" i="2" a="1"/>
  <c r="CS12" i="2" s="1"/>
  <c r="CR12" i="2" a="1"/>
  <c r="CR12" i="2" s="1"/>
  <c r="CQ12" i="2" a="1"/>
  <c r="CQ12" i="2" s="1"/>
  <c r="CP12" i="2" a="1"/>
  <c r="CP12" i="2" s="1"/>
  <c r="CO12" i="2" a="1"/>
  <c r="CO12" i="2" s="1"/>
  <c r="D6" i="1"/>
  <c r="K21" i="1" a="1"/>
  <c r="N21" i="1" a="1"/>
  <c r="P21" i="1" a="1"/>
  <c r="E21" i="1" a="1"/>
  <c r="O21" i="1" a="1"/>
  <c r="F21" i="1" a="1"/>
  <c r="G21" i="1" a="1"/>
  <c r="Q21" i="1" a="1"/>
  <c r="M21" i="1" a="1"/>
  <c r="J21" i="1" a="1"/>
  <c r="L21" i="1" a="1"/>
  <c r="H21" i="1" a="1"/>
  <c r="R21" i="1" a="1"/>
  <c r="I21" i="1" a="1"/>
  <c r="S21" i="1" a="1"/>
  <c r="T21" i="1" a="1"/>
  <c r="CL22" i="2" a="1"/>
  <c r="BS22" i="2" a="1"/>
  <c r="CD22" i="2" a="1"/>
  <c r="AQ22" i="2" a="1"/>
  <c r="AC22" i="2" a="1"/>
  <c r="AM22" i="2" a="1"/>
  <c r="AW22" i="2" a="1"/>
  <c r="BG22" i="2" a="1"/>
  <c r="BQ22" i="2" a="1"/>
  <c r="CA22" i="2" a="1"/>
  <c r="CK22" i="2" a="1"/>
  <c r="CU22" i="2" a="1"/>
  <c r="CX22" i="2" a="1"/>
  <c r="AD22" i="2" a="1"/>
  <c r="AX22" i="2" a="1"/>
  <c r="CM22" i="2" a="1"/>
  <c r="AZ22" i="2" a="1"/>
  <c r="BU22" i="2" a="1"/>
  <c r="CY22" i="2" a="1"/>
  <c r="AH22" i="2" a="1"/>
  <c r="AR22" i="2" a="1"/>
  <c r="BB22" i="2" a="1"/>
  <c r="BL22" i="2" a="1"/>
  <c r="BV22" i="2" a="1"/>
  <c r="CF22" i="2" a="1"/>
  <c r="CP22" i="2" a="1"/>
  <c r="CZ22" i="2" a="1"/>
  <c r="AN22" i="2" a="1"/>
  <c r="BR22" i="2" a="1"/>
  <c r="AY22" i="2" a="1"/>
  <c r="AP22" i="2" a="1"/>
  <c r="CN22" i="2" a="1"/>
  <c r="AG22" i="2" a="1"/>
  <c r="BK22" i="2" a="1"/>
  <c r="AS22" i="2" a="1"/>
  <c r="DA22" i="2" a="1"/>
  <c r="AJ22" i="2" a="1"/>
  <c r="AT22" i="2" a="1"/>
  <c r="BD22" i="2" a="1"/>
  <c r="BN22" i="2" a="1"/>
  <c r="BX22" i="2" a="1"/>
  <c r="CH22" i="2" a="1"/>
  <c r="CR22" i="2" a="1"/>
  <c r="DB22" i="2" a="1"/>
  <c r="CV22" i="2" a="1"/>
  <c r="BI22" i="2" a="1"/>
  <c r="AF22" i="2" a="1"/>
  <c r="CE22" i="2" a="1"/>
  <c r="BM22" i="2" a="1"/>
  <c r="CQ22" i="2" a="1"/>
  <c r="BE22" i="2" a="1"/>
  <c r="BO22" i="2" a="1"/>
  <c r="CS22" i="2" a="1"/>
  <c r="DC22" i="2" a="1"/>
  <c r="CB22" i="2" a="1"/>
  <c r="AO22" i="2" a="1"/>
  <c r="CW22" i="2" a="1"/>
  <c r="BT22" i="2" a="1"/>
  <c r="CO22" i="2" a="1"/>
  <c r="BC22" i="2" a="1"/>
  <c r="BW22" i="2" a="1"/>
  <c r="AK22" i="2" a="1"/>
  <c r="AU22" i="2" a="1"/>
  <c r="CI22" i="2" a="1"/>
  <c r="AL22" i="2" a="1"/>
  <c r="BF22" i="2" a="1"/>
  <c r="BP22" i="2" a="1"/>
  <c r="BZ22" i="2" a="1"/>
  <c r="CJ22" i="2" a="1"/>
  <c r="CT22" i="2" a="1"/>
  <c r="DD22" i="2" a="1"/>
  <c r="BH22" i="2" a="1"/>
  <c r="AE22" i="2" a="1"/>
  <c r="CC22" i="2" a="1"/>
  <c r="BJ22" i="2" a="1"/>
  <c r="BA22" i="2" a="1"/>
  <c r="AI22" i="2" a="1"/>
  <c r="CG22" i="2" a="1"/>
  <c r="BY22" i="2" a="1"/>
  <c r="AV22" i="2" a="1"/>
  <c r="G9" i="1" a="1"/>
  <c r="T21" i="1" l="1"/>
  <c r="S21" i="1"/>
  <c r="I21" i="1"/>
  <c r="R21" i="1"/>
  <c r="H21" i="1"/>
  <c r="L21" i="1"/>
  <c r="J21" i="1"/>
  <c r="M21" i="1"/>
  <c r="Q21" i="1"/>
  <c r="G21" i="1"/>
  <c r="F21" i="1"/>
  <c r="O21" i="1"/>
  <c r="E21" i="1"/>
  <c r="P21" i="1"/>
  <c r="N21" i="1"/>
  <c r="K21" i="1"/>
  <c r="AV22" i="2"/>
  <c r="BY22" i="2"/>
  <c r="CG22" i="2"/>
  <c r="AI22" i="2"/>
  <c r="BA22" i="2"/>
  <c r="BJ22" i="2"/>
  <c r="CC22" i="2"/>
  <c r="AE22" i="2"/>
  <c r="BH22" i="2"/>
  <c r="DD22" i="2"/>
  <c r="CT22" i="2"/>
  <c r="CJ22" i="2"/>
  <c r="BZ22" i="2"/>
  <c r="BP22" i="2"/>
  <c r="BF22" i="2"/>
  <c r="AL22" i="2"/>
  <c r="CI22" i="2"/>
  <c r="AU22" i="2"/>
  <c r="AK22" i="2"/>
  <c r="BW22" i="2"/>
  <c r="BC22" i="2"/>
  <c r="CO22" i="2"/>
  <c r="BT22" i="2"/>
  <c r="CW22" i="2"/>
  <c r="AO22" i="2"/>
  <c r="CB22" i="2"/>
  <c r="DC22" i="2"/>
  <c r="CS22" i="2"/>
  <c r="BO22" i="2"/>
  <c r="BE22" i="2"/>
  <c r="CQ22" i="2"/>
  <c r="BM22" i="2"/>
  <c r="CE22" i="2"/>
  <c r="AF22" i="2"/>
  <c r="BI22" i="2"/>
  <c r="CV22" i="2"/>
  <c r="DB22" i="2"/>
  <c r="CR22" i="2"/>
  <c r="CH22" i="2"/>
  <c r="BX22" i="2"/>
  <c r="BN22" i="2"/>
  <c r="BD22" i="2"/>
  <c r="AT22" i="2"/>
  <c r="AJ22" i="2"/>
  <c r="DA22" i="2"/>
  <c r="AS22" i="2"/>
  <c r="BK22" i="2"/>
  <c r="AG22" i="2"/>
  <c r="CN22" i="2"/>
  <c r="AP22" i="2"/>
  <c r="AY22" i="2"/>
  <c r="BR22" i="2"/>
  <c r="AN22" i="2"/>
  <c r="CZ22" i="2"/>
  <c r="CP22" i="2"/>
  <c r="CF22" i="2"/>
  <c r="BV22" i="2"/>
  <c r="BL22" i="2"/>
  <c r="BB22" i="2"/>
  <c r="AR22" i="2"/>
  <c r="AH22" i="2"/>
  <c r="CY22" i="2"/>
  <c r="BU22" i="2"/>
  <c r="AZ22" i="2"/>
  <c r="CM22" i="2"/>
  <c r="AX22" i="2"/>
  <c r="AD22" i="2"/>
  <c r="CX22" i="2"/>
  <c r="CU22" i="2"/>
  <c r="CK22" i="2"/>
  <c r="CA22" i="2"/>
  <c r="BQ22" i="2"/>
  <c r="BG22" i="2"/>
  <c r="AW22" i="2"/>
  <c r="AM22" i="2"/>
  <c r="AC22" i="2"/>
  <c r="AQ22" i="2"/>
  <c r="CD22" i="2"/>
  <c r="BS22" i="2"/>
  <c r="CL22" i="2"/>
  <c r="G9" i="1"/>
  <c r="M8" i="3"/>
  <c r="G8" i="3" s="1"/>
  <c r="CK68" i="2" a="1"/>
  <c r="BY82" i="2" a="1"/>
  <c r="CG77" i="2" a="1"/>
  <c r="BY72" i="2" a="1"/>
  <c r="CH13" i="2" a="1"/>
  <c r="CD41" i="2" a="1"/>
  <c r="BK42" i="2" a="1"/>
  <c r="CK33" i="2" a="1"/>
  <c r="CK35" i="2" a="1"/>
  <c r="CI45" i="2" a="1"/>
  <c r="CM53" i="2" a="1"/>
  <c r="BY81" i="2" a="1"/>
  <c r="CM69" i="2" a="1"/>
  <c r="CF11" i="2" a="1"/>
  <c r="CN76" i="2" a="1"/>
  <c r="CN32" i="2" a="1"/>
  <c r="CK19" i="2" a="1"/>
  <c r="BZ82" i="2" a="1"/>
  <c r="CJ47" i="2" a="1"/>
  <c r="BW77" i="2" a="1"/>
  <c r="CF46" i="2" a="1"/>
  <c r="BP64" i="2" a="1"/>
  <c r="BV69" i="2" a="1"/>
  <c r="BX44" i="2" a="1"/>
  <c r="AV69" i="2" a="1"/>
  <c r="BH45" i="2" a="1"/>
  <c r="CE36" i="2" a="1"/>
  <c r="CI71" i="2" a="1"/>
  <c r="CG63" i="2" a="1"/>
  <c r="CH49" i="2" a="1"/>
  <c r="CM38" i="2" a="1"/>
  <c r="CM55" i="2" a="1"/>
  <c r="CK17" i="2" a="1"/>
  <c r="BZ31" i="2" a="1"/>
  <c r="CE16" i="2" a="1"/>
  <c r="CG25" i="2" a="1"/>
  <c r="BI46" i="2" a="1"/>
  <c r="CI18" i="2" a="1"/>
  <c r="BR57" i="2" a="1"/>
  <c r="BV15" i="2" a="1"/>
  <c r="BA42" i="2" a="1"/>
  <c r="CA74" i="2" a="1"/>
  <c r="BZ20" i="2" a="1"/>
  <c r="CN17" i="2" a="1"/>
  <c r="BU71" i="2" a="1"/>
  <c r="CL67" i="2" a="1"/>
  <c r="BS14" i="2" a="1"/>
  <c r="BV31" i="2" a="1"/>
  <c r="CG20" i="2" a="1"/>
  <c r="CN49" i="2" a="1"/>
  <c r="BO67" i="2" a="1"/>
  <c r="AS38" i="2" a="1"/>
  <c r="CM18" i="2" a="1"/>
  <c r="BQ19" i="2" a="1"/>
  <c r="BV78" i="2" a="1"/>
  <c r="BV9" i="2" a="1"/>
  <c r="CF15" i="2" a="1"/>
  <c r="CJ42" i="2" a="1"/>
  <c r="BT25" i="2" a="1"/>
  <c r="BZ42" i="2" a="1"/>
  <c r="CI15" i="2" a="1"/>
  <c r="BP9" i="2" a="1"/>
  <c r="AU66" i="2" a="1"/>
  <c r="BY15" i="2" a="1"/>
  <c r="BU77" i="2" a="1"/>
  <c r="BK23" i="2" a="1"/>
  <c r="BD69" i="2" a="1"/>
  <c r="CE70" i="2" a="1"/>
  <c r="BM74" i="2" a="1"/>
  <c r="BO81" i="2" a="1"/>
  <c r="BL77" i="2" a="1"/>
  <c r="BN48" i="2" a="1"/>
  <c r="BB67" i="2" a="1"/>
  <c r="BF81" i="2" a="1"/>
  <c r="CG71" i="2" a="1"/>
  <c r="BW15" i="2" a="1"/>
  <c r="BO63" i="2" a="1"/>
  <c r="AW37" i="2" a="1"/>
  <c r="BB11" i="2" a="1"/>
  <c r="AI55" i="2" a="1"/>
  <c r="BU17" i="2" a="1"/>
  <c r="BN27" i="2" a="1"/>
  <c r="BH40" i="2" a="1"/>
  <c r="AW18" i="2" a="1"/>
  <c r="AD64" i="2" a="1"/>
  <c r="BD73" i="2" a="1"/>
  <c r="BJ45" i="2" a="1"/>
  <c r="BV40" i="2" a="1"/>
  <c r="BQ36" i="2" a="1"/>
  <c r="BN62" i="2" a="1"/>
  <c r="AT53" i="2" a="1"/>
  <c r="CK66" i="2" a="1"/>
  <c r="CH67" i="2" a="1"/>
  <c r="CN67" i="2" a="1"/>
  <c r="BY68" i="2" a="1"/>
  <c r="CH10" i="2" a="1"/>
  <c r="CM54" i="2" a="1"/>
  <c r="BK40" i="2" a="1"/>
  <c r="CB70" i="2" a="1"/>
  <c r="CC33" i="2" a="1"/>
  <c r="CA43" i="2" a="1"/>
  <c r="CL32" i="2" a="1"/>
  <c r="CD45" i="2" a="1"/>
  <c r="CM65" i="2" a="1"/>
  <c r="CF9" i="2" a="1"/>
  <c r="CF49" i="2" a="1"/>
  <c r="CF29" i="2" a="1"/>
  <c r="CK13" i="2" a="1"/>
  <c r="CC77" i="2" a="1"/>
  <c r="CG31" i="2" a="1"/>
  <c r="BU72" i="2" a="1"/>
  <c r="CL28" i="2" a="1"/>
  <c r="BO57" i="2" a="1"/>
  <c r="BT64" i="2" a="1"/>
  <c r="BT34" i="2" a="1"/>
  <c r="AV67" i="2" a="1"/>
  <c r="AX82" i="2" a="1"/>
  <c r="CD52" i="2" a="1"/>
  <c r="CI67" i="2" a="1"/>
  <c r="BY46" i="2" a="1"/>
  <c r="CI19" i="2" a="1"/>
  <c r="CF83" i="2" a="1"/>
  <c r="CH31" i="2" a="1"/>
  <c r="CE18" i="2" a="1"/>
  <c r="CA73" i="2" a="1"/>
  <c r="CD33" i="2" a="1"/>
  <c r="CG17" i="2" a="1"/>
  <c r="BI43" i="2" a="1"/>
  <c r="BR82" i="2" a="1"/>
  <c r="BR43" i="2" a="1"/>
  <c r="BX47" i="2" a="1"/>
  <c r="BD75" i="2" a="1"/>
  <c r="CL82" i="2" a="1"/>
  <c r="CH11" i="2" a="1"/>
  <c r="CN11" i="2" a="1"/>
  <c r="BU66" i="2" a="1"/>
  <c r="CC29" i="2" a="1"/>
  <c r="BK12" i="2" a="1"/>
  <c r="BT79" i="2" a="1"/>
  <c r="CB44" i="2" a="1"/>
  <c r="BI75" i="2" a="1"/>
  <c r="BT23" i="2" a="1"/>
  <c r="BG52" i="2" a="1"/>
  <c r="CL33" i="2" a="1"/>
  <c r="BQ17" i="2" a="1"/>
  <c r="BV66" i="2" a="1"/>
  <c r="BT19" i="2" a="1"/>
  <c r="BZ54" i="2" a="1"/>
  <c r="CB42" i="2" a="1"/>
  <c r="BN29" i="2" a="1"/>
  <c r="CG29" i="2" a="1"/>
  <c r="CB39" i="2" a="1"/>
  <c r="BX41" i="2" a="1"/>
  <c r="AS42" i="2" a="1"/>
  <c r="CC73" i="2" a="1"/>
  <c r="BL75" i="2" a="1"/>
  <c r="BK16" i="2" a="1"/>
  <c r="AV66" i="2" a="1"/>
  <c r="CJ76" i="2" a="1"/>
  <c r="BN74" i="2" a="1"/>
  <c r="BI76" i="2" a="1"/>
  <c r="BM60" i="2" a="1"/>
  <c r="BL35" i="2" a="1"/>
  <c r="AT65" i="2" a="1"/>
  <c r="BA83" i="2" a="1"/>
  <c r="CB81" i="2" a="1"/>
  <c r="BW11" i="2" a="1"/>
  <c r="AZ81" i="2" a="1"/>
  <c r="BC34" i="2" a="1"/>
  <c r="AZ11" i="2" a="1"/>
  <c r="BZ83" i="2" a="1"/>
  <c r="BU13" i="2" a="1"/>
  <c r="BT13" i="2" a="1"/>
  <c r="AY44" i="2" a="1"/>
  <c r="AW17" i="2" a="1"/>
  <c r="AD53" i="2" a="1"/>
  <c r="CN68" i="2" a="1"/>
  <c r="BJ29" i="2" a="1"/>
  <c r="BT12" i="2" a="1"/>
  <c r="BQ32" i="2" a="1"/>
  <c r="BV41" i="2" a="1"/>
  <c r="AW80" i="2" a="1"/>
  <c r="BD36" i="2" a="1"/>
  <c r="CD17" i="2" a="1"/>
  <c r="BR48" i="2" a="1"/>
  <c r="AZ63" i="2" a="1"/>
  <c r="AW30" i="2" a="1"/>
  <c r="AJ76" i="2" a="1"/>
  <c r="CB23" i="2" a="1"/>
  <c r="BR59" i="2" a="1"/>
  <c r="AX65" i="2" a="1"/>
  <c r="BA51" i="2" a="1"/>
  <c r="BK81" i="2" a="1"/>
  <c r="CK64" i="2" a="1"/>
  <c r="CF53" i="2" a="1"/>
  <c r="CJ54" i="2" a="1"/>
  <c r="BY64" i="2" a="1"/>
  <c r="CL71" i="2" a="1"/>
  <c r="CB35" i="2" a="1"/>
  <c r="CA82" i="2" a="1"/>
  <c r="CM51" i="2" a="1"/>
  <c r="CL64" i="2" a="1"/>
  <c r="CI40" i="2" a="1"/>
  <c r="CH28" i="2" a="1"/>
  <c r="CK51" i="2" a="1"/>
  <c r="BZ80" i="2" a="1"/>
  <c r="BY79" i="2" a="1"/>
  <c r="CF35" i="2" a="1"/>
  <c r="BY71" i="2" a="1"/>
  <c r="CE30" i="2" a="1"/>
  <c r="CG75" i="2" a="1"/>
  <c r="CG27" i="2" a="1"/>
  <c r="BU68" i="2" a="1"/>
  <c r="CL20" i="2" a="1"/>
  <c r="BO49" i="2" a="1"/>
  <c r="BK59" i="2" a="1"/>
  <c r="BV19" i="2" a="1"/>
  <c r="AV65" i="2" a="1"/>
  <c r="AY71" i="2" a="1"/>
  <c r="CB30" i="2" a="1"/>
  <c r="CI64" i="2" a="1"/>
  <c r="BY38" i="2" a="1"/>
  <c r="CA52" i="2" a="1"/>
  <c r="CK50" i="2" a="1"/>
  <c r="CM75" i="2" a="1"/>
  <c r="CD37" i="2" a="1"/>
  <c r="CI66" i="2" a="1"/>
  <c r="CE10" i="2" a="1"/>
  <c r="CG11" i="2" a="1"/>
  <c r="BQ40" i="2" a="1"/>
  <c r="BK80" i="2" a="1"/>
  <c r="BR33" i="2" a="1"/>
  <c r="BT15" i="2" a="1"/>
  <c r="BC53" i="2" a="1"/>
  <c r="CG78" i="2" a="1"/>
  <c r="CC54" i="2" a="1"/>
  <c r="BZ71" i="2" a="1"/>
  <c r="BU61" i="2" a="1"/>
  <c r="CC15" i="2" a="1"/>
  <c r="BK9" i="2" a="1"/>
  <c r="BN45" i="2" a="1"/>
  <c r="CE9" i="2" a="1"/>
  <c r="BO51" i="2" a="1"/>
  <c r="BL14" i="2" a="1"/>
  <c r="BC39" i="2" a="1"/>
  <c r="CD34" i="2" a="1"/>
  <c r="BQ15" i="2" a="1"/>
  <c r="BL51" i="2" a="1"/>
  <c r="BV50" i="2" a="1"/>
  <c r="CJ35" i="2" a="1"/>
  <c r="CD43" i="2" a="1"/>
  <c r="BX15" i="2" a="1"/>
  <c r="CG14" i="2" a="1"/>
  <c r="BR76" i="2" a="1"/>
  <c r="BT41" i="2" a="1"/>
  <c r="CL81" i="2" a="1"/>
  <c r="CF47" i="2" a="1"/>
  <c r="CJ50" i="2" a="1"/>
  <c r="CD76" i="2" a="1"/>
  <c r="CF71" i="2" a="1"/>
  <c r="CI23" i="2" a="1"/>
  <c r="CA77" i="2" a="1"/>
  <c r="CA81" i="2" a="1"/>
  <c r="CH50" i="2" a="1"/>
  <c r="CI37" i="2" a="1"/>
  <c r="BZ25" i="2" a="1"/>
  <c r="CI29" i="2" a="1"/>
  <c r="CC81" i="2" a="1"/>
  <c r="CB66" i="2" a="1"/>
  <c r="BZ30" i="2" a="1"/>
  <c r="BY65" i="2" a="1"/>
  <c r="CM9" i="2" a="1"/>
  <c r="CB52" i="2" a="1"/>
  <c r="CG19" i="2" a="1"/>
  <c r="BU64" i="2" a="1"/>
  <c r="CL16" i="2" a="1"/>
  <c r="BO45" i="2" a="1"/>
  <c r="BR47" i="2" a="1"/>
  <c r="BR66" i="2" a="1"/>
  <c r="AV63" i="2" a="1"/>
  <c r="BB51" i="2" a="1"/>
  <c r="CJ23" i="2" a="1"/>
  <c r="CH78" i="2" a="1"/>
  <c r="CF68" i="2" a="1"/>
  <c r="BJ79" i="2" a="1"/>
  <c r="CJ32" i="2" a="1"/>
  <c r="CA67" i="2" a="1"/>
  <c r="CI17" i="2" a="1"/>
  <c r="CH74" i="2" a="1"/>
  <c r="BJ76" i="2" a="1"/>
  <c r="CM29" i="2" a="1"/>
  <c r="BI38" i="2" a="1"/>
  <c r="BP68" i="2" a="1"/>
  <c r="BR17" i="2" a="1"/>
  <c r="BN35" i="2" a="1"/>
  <c r="BH47" i="2" a="1"/>
  <c r="CK45" i="2" a="1"/>
  <c r="CN74" i="2" a="1"/>
  <c r="BZ44" i="2" a="1"/>
  <c r="BI57" i="2" a="1"/>
  <c r="CE27" i="2" a="1"/>
  <c r="BX78" i="2" a="1"/>
  <c r="BN12" i="2" a="1"/>
  <c r="CD40" i="2" a="1"/>
  <c r="BO40" i="2" a="1"/>
  <c r="BL18" i="2" a="1"/>
  <c r="AZ33" i="2" a="1"/>
  <c r="CA30" i="2" a="1"/>
  <c r="BQ13" i="2" a="1"/>
  <c r="BN40" i="2" a="1"/>
  <c r="BT11" i="2" a="1"/>
  <c r="CG18" i="2" a="1"/>
  <c r="CL34" i="2" a="1"/>
  <c r="BL61" i="2" a="1"/>
  <c r="CM23" i="2" a="1"/>
  <c r="BP62" i="2" a="1"/>
  <c r="BW59" i="2" a="1"/>
  <c r="BG44" i="2" a="1"/>
  <c r="CH81" i="2" a="1"/>
  <c r="BI56" i="2" a="1"/>
  <c r="BX73" i="2" a="1"/>
  <c r="BB81" i="2" a="1"/>
  <c r="BY78" i="2" a="1"/>
  <c r="BM58" i="2" a="1"/>
  <c r="BR65" i="2" a="1"/>
  <c r="BM39" i="2" a="1"/>
  <c r="BS67" i="2" a="1"/>
  <c r="AT54" i="2" a="1"/>
  <c r="AW43" i="2" a="1"/>
  <c r="CM49" i="2" a="1"/>
  <c r="BT70" i="2" a="1"/>
  <c r="AZ69" i="2" a="1"/>
  <c r="BG19" i="2" a="1"/>
  <c r="AJ82" i="2" a="1"/>
  <c r="CE35" i="2" a="1"/>
  <c r="BO75" i="2" a="1"/>
  <c r="AX71" i="2" a="1"/>
  <c r="AV25" i="2" a="1"/>
  <c r="AS9" i="2" a="1"/>
  <c r="AP48" i="2" a="1"/>
  <c r="BZ35" i="2" a="1"/>
  <c r="BW78" i="2" a="1"/>
  <c r="BX29" i="2" a="1"/>
  <c r="BQ20" i="2" a="1"/>
  <c r="BW71" i="2" a="1"/>
  <c r="BG81" i="2" a="1"/>
  <c r="AV46" i="2" a="1"/>
  <c r="CH41" i="2" a="1"/>
  <c r="BR12" i="2" a="1"/>
  <c r="AT75" i="2" a="1"/>
  <c r="AX31" i="2" a="1"/>
  <c r="AR70" i="2" a="1"/>
  <c r="CN54" i="2" a="1"/>
  <c r="BJ20" i="2" a="1"/>
  <c r="BE78" i="2" a="1"/>
  <c r="BG48" i="2" a="1"/>
  <c r="BJ57" i="2" a="1"/>
  <c r="BN60" i="2" a="1"/>
  <c r="AU54" i="2" a="1"/>
  <c r="BF33" i="2" a="1"/>
  <c r="BQ73" i="2" a="1"/>
  <c r="AX16" i="2" a="1"/>
  <c r="CM32" i="2" a="1"/>
  <c r="BA78" i="2" a="1"/>
  <c r="AT11" i="2" a="1"/>
  <c r="AF36" i="2" a="1"/>
  <c r="BO13" i="2" a="1"/>
  <c r="BT18" i="2" a="1"/>
  <c r="BA34" i="2" a="1"/>
  <c r="AI25" i="2" a="1"/>
  <c r="AP15" i="2" a="1"/>
  <c r="CY68" i="2" a="1"/>
  <c r="CD27" i="2" a="1"/>
  <c r="AZ66" i="2" a="1"/>
  <c r="AJ79" i="2" a="1"/>
  <c r="BR67" i="2" a="1"/>
  <c r="BD19" i="2" a="1"/>
  <c r="AQ81" i="2" a="1"/>
  <c r="CC25" i="2" a="1"/>
  <c r="BS68" i="2" a="1"/>
  <c r="BD80" i="2" a="1"/>
  <c r="AD77" i="2" a="1"/>
  <c r="CL77" i="2" a="1"/>
  <c r="CF39" i="2" a="1"/>
  <c r="CA48" i="2" a="1"/>
  <c r="CB83" i="2" a="1"/>
  <c r="CL55" i="2" a="1"/>
  <c r="CE13" i="2" a="1"/>
  <c r="CC72" i="2" a="1"/>
  <c r="CA75" i="2" a="1"/>
  <c r="CF41" i="2" a="1"/>
  <c r="CA35" i="2" a="1"/>
  <c r="BZ19" i="2" a="1"/>
  <c r="CE15" i="2" a="1"/>
  <c r="CJ74" i="2" a="1"/>
  <c r="CN52" i="2" a="1"/>
  <c r="CM77" i="2" a="1"/>
  <c r="CK81" i="2" a="1"/>
  <c r="CE52" i="2" a="1"/>
  <c r="CM44" i="2" a="1"/>
  <c r="CG15" i="2" a="1"/>
  <c r="BU60" i="2" a="1"/>
  <c r="CL11" i="2" a="1"/>
  <c r="BO41" i="2" a="1"/>
  <c r="BR39" i="2" a="1"/>
  <c r="BP40" i="2" a="1"/>
  <c r="AV54" i="2" a="1"/>
  <c r="BB43" i="2" a="1"/>
  <c r="CJ17" i="2" a="1"/>
  <c r="CC78" i="2" a="1"/>
  <c r="CF40" i="2" a="1"/>
  <c r="BK82" i="2" a="1"/>
  <c r="CN27" i="2" a="1"/>
  <c r="CH75" i="2" a="1"/>
  <c r="BJ77" i="2" a="1"/>
  <c r="CN73" i="2" a="1"/>
  <c r="BX68" i="2" a="1"/>
  <c r="CA16" i="2" a="1"/>
  <c r="CG68" i="2" a="1"/>
  <c r="BP58" i="2" a="1"/>
  <c r="BO82" i="2" a="1"/>
  <c r="BV42" i="2" a="1"/>
  <c r="BH42" i="2" a="1"/>
  <c r="CC35" i="2" a="1"/>
  <c r="CK27" i="2" a="1"/>
  <c r="CF69" i="2" a="1"/>
  <c r="BQ50" i="2" a="1"/>
  <c r="CH64" i="2" a="1"/>
  <c r="BK71" i="2" a="1"/>
  <c r="BL56" i="2" a="1"/>
  <c r="CA27" i="2" a="1"/>
  <c r="BK34" i="2" a="1"/>
  <c r="BH78" i="2" a="1"/>
  <c r="AT45" i="2" a="1"/>
  <c r="CG73" i="2" a="1"/>
  <c r="BQ11" i="2" a="1"/>
  <c r="BP29" i="2" a="1"/>
  <c r="BC80" i="2" a="1"/>
  <c r="CB36" i="2" a="1"/>
  <c r="BP70" i="2" a="1"/>
  <c r="CL73" i="2" a="1"/>
  <c r="CH32" i="2" a="1"/>
  <c r="CA46" i="2" a="1"/>
  <c r="CG76" i="2" a="1"/>
  <c r="CC50" i="2" a="1"/>
  <c r="CL46" i="2" a="1"/>
  <c r="CK69" i="2" a="1"/>
  <c r="CK71" i="2" a="1"/>
  <c r="BZ32" i="2" a="1"/>
  <c r="CN80" i="2" a="1"/>
  <c r="CH16" i="2" a="1"/>
  <c r="CL38" i="2" a="1"/>
  <c r="CN66" i="2" a="1"/>
  <c r="BZ46" i="2" a="1"/>
  <c r="CI72" i="2" a="1"/>
  <c r="CD67" i="2" a="1"/>
  <c r="CL66" i="2" a="1"/>
  <c r="CM39" i="2" a="1"/>
  <c r="CG10" i="2" a="1"/>
  <c r="BQ57" i="2" a="1"/>
  <c r="BY83" i="2" a="1"/>
  <c r="BS37" i="2" a="1"/>
  <c r="BR31" i="2" a="1"/>
  <c r="BL15" i="2" a="1"/>
  <c r="BB82" i="2" a="1"/>
  <c r="AS39" i="2" a="1"/>
  <c r="CJ13" i="2" a="1"/>
  <c r="CJ73" i="2" a="1"/>
  <c r="BZ28" i="2" a="1"/>
  <c r="BX72" i="2" a="1"/>
  <c r="CF23" i="2" a="1"/>
  <c r="CF64" i="2" a="1"/>
  <c r="BX70" i="2" a="1"/>
  <c r="CA49" i="2" a="1"/>
  <c r="BS56" i="2" a="1"/>
  <c r="CL45" i="2" a="1"/>
  <c r="CK83" i="2" a="1"/>
  <c r="BO48" i="2" a="1"/>
  <c r="BN73" i="2" a="1"/>
  <c r="BH82" i="2" a="1"/>
  <c r="AY76" i="2" a="1"/>
  <c r="CF43" i="2" a="1"/>
  <c r="CB46" i="2" a="1"/>
  <c r="CG30" i="2" a="1"/>
  <c r="BI48" i="2" a="1"/>
  <c r="CM50" i="2" a="1"/>
  <c r="BK63" i="2" a="1"/>
  <c r="BQ70" i="2" a="1"/>
  <c r="BU83" i="2" a="1"/>
  <c r="BS28" i="2" a="1"/>
  <c r="AV72" i="2" a="1"/>
  <c r="BE37" i="2" a="1"/>
  <c r="BM80" i="2" a="1"/>
  <c r="BQ9" i="2" a="1"/>
  <c r="BQ83" i="2" a="1"/>
  <c r="BC76" i="2" a="1"/>
  <c r="BZ53" i="2" a="1"/>
  <c r="BO50" i="2" a="1"/>
  <c r="BN9" i="2" a="1"/>
  <c r="CB48" i="2" a="1"/>
  <c r="BS36" i="2" a="1"/>
  <c r="BH81" i="2" a="1"/>
  <c r="AU53" i="2" a="1"/>
  <c r="CD74" i="2" a="1"/>
  <c r="BI41" i="2" a="1"/>
  <c r="BR35" i="2" a="1"/>
  <c r="AV74" i="2" a="1"/>
  <c r="CJ19" i="2" a="1"/>
  <c r="BM46" i="2" a="1"/>
  <c r="BJ49" i="2" a="1"/>
  <c r="BQ30" i="2" a="1"/>
  <c r="BT36" i="2" a="1"/>
  <c r="AW78" i="2" a="1"/>
  <c r="BD77" i="2" a="1"/>
  <c r="CD13" i="2" a="1"/>
  <c r="BR40" i="2" a="1"/>
  <c r="AZ54" i="2" a="1"/>
  <c r="BB17" i="2" a="1"/>
  <c r="AJ74" i="2" a="1"/>
  <c r="CB17" i="2" a="1"/>
  <c r="BJ48" i="2" a="1"/>
  <c r="AX63" i="2" a="1"/>
  <c r="BB29" i="2" a="1"/>
  <c r="AE76" i="2" a="1"/>
  <c r="AC53" i="2" a="1"/>
  <c r="CN55" i="2" a="1"/>
  <c r="BQ63" i="2" a="1"/>
  <c r="BD53" i="2" a="1"/>
  <c r="BQ12" i="2" a="1"/>
  <c r="BL9" i="2" a="1"/>
  <c r="BA69" i="2" a="1"/>
  <c r="AX35" i="2" a="1"/>
  <c r="CC11" i="2" a="1"/>
  <c r="BL62" i="2" a="1"/>
  <c r="BF83" i="2" a="1"/>
  <c r="AX19" i="2" a="1"/>
  <c r="AL77" i="2" a="1"/>
  <c r="BY20" i="2" a="1"/>
  <c r="BJ67" i="2" a="1"/>
  <c r="AS67" i="2" a="1"/>
  <c r="CN37" i="2" a="1"/>
  <c r="BJ23" i="2" a="1"/>
  <c r="BN43" i="2" a="1"/>
  <c r="CK76" i="2" a="1"/>
  <c r="CH30" i="2" a="1"/>
  <c r="CA44" i="2" a="1"/>
  <c r="CG54" i="2" a="1"/>
  <c r="CH42" i="2" a="1"/>
  <c r="BJ82" i="2" a="1"/>
  <c r="CC67" i="2" a="1"/>
  <c r="CC69" i="2" a="1"/>
  <c r="CH29" i="2" a="1"/>
  <c r="CI55" i="2" a="1"/>
  <c r="BZ14" i="2" a="1"/>
  <c r="BJ80" i="2" a="1"/>
  <c r="CB50" i="2" a="1"/>
  <c r="BZ38" i="2" a="1"/>
  <c r="CA69" i="2" a="1"/>
  <c r="BY47" i="2" a="1"/>
  <c r="CI27" i="2" a="1"/>
  <c r="CM34" i="2" a="1"/>
  <c r="CM31" i="2" a="1"/>
  <c r="BQ51" i="2" a="1"/>
  <c r="CL53" i="2" a="1"/>
  <c r="BS35" i="2" a="1"/>
  <c r="BR19" i="2" a="1"/>
  <c r="BT69" i="2" a="1"/>
  <c r="BB78" i="2" a="1"/>
  <c r="BA79" i="2" a="1"/>
  <c r="CA78" i="2" a="1"/>
  <c r="CN69" i="2" a="1"/>
  <c r="CH20" i="2" a="1"/>
  <c r="BX64" i="2" a="1"/>
  <c r="CN18" i="2" a="1"/>
  <c r="CJ49" i="2" a="1"/>
  <c r="BS57" i="2" a="1"/>
  <c r="CI41" i="2" a="1"/>
  <c r="BS45" i="2" a="1"/>
  <c r="CD48" i="2" a="1"/>
  <c r="CG55" i="2" a="1"/>
  <c r="BO43" i="2" a="1"/>
  <c r="BN65" i="2" a="1"/>
  <c r="BH77" i="2" a="1"/>
  <c r="BB47" i="2" a="1"/>
  <c r="CM81" i="2" a="1"/>
  <c r="CL39" i="2" a="1"/>
  <c r="CG23" i="2" a="1"/>
  <c r="BI45" i="2" a="1"/>
  <c r="CE14" i="2" a="1"/>
  <c r="BR51" i="2" a="1"/>
  <c r="BT73" i="2" a="1"/>
  <c r="BU73" i="2" a="1"/>
  <c r="BK19" i="2" a="1"/>
  <c r="BD68" i="2" a="1"/>
  <c r="CE66" i="2" a="1"/>
  <c r="BN82" i="2" a="1"/>
  <c r="BN83" i="2" a="1"/>
  <c r="BN70" i="2" a="1"/>
  <c r="AT73" i="2" a="1"/>
  <c r="CN79" i="2" a="1"/>
  <c r="BO39" i="2" a="1"/>
  <c r="BH83" i="2" a="1"/>
  <c r="CM11" i="2" a="1"/>
  <c r="BK31" i="2" a="1"/>
  <c r="BH74" i="2" a="1"/>
  <c r="BE39" i="2" a="1"/>
  <c r="CH18" i="2" a="1"/>
  <c r="CG72" i="2" a="1"/>
  <c r="BR9" i="2" a="1"/>
  <c r="BA55" i="2" a="1"/>
  <c r="CJ14" i="2" a="1"/>
  <c r="BM42" i="2" a="1"/>
  <c r="BJ41" i="2" a="1"/>
  <c r="BQ25" i="2" a="1"/>
  <c r="BT16" i="2" a="1"/>
  <c r="AW74" i="2" a="1"/>
  <c r="AV50" i="2" a="1"/>
  <c r="CA55" i="2" a="1"/>
  <c r="BR20" i="2" a="1"/>
  <c r="AT79" i="2" a="1"/>
  <c r="AX33" i="2" a="1"/>
  <c r="AR71" i="2" a="1"/>
  <c r="CF66" i="2" a="1"/>
  <c r="BJ32" i="2" a="1"/>
  <c r="BE82" i="2" a="1"/>
  <c r="BD42" i="2" a="1"/>
  <c r="AP72" i="2" a="1"/>
  <c r="AF44" i="2" a="1"/>
  <c r="CA25" i="2" a="1"/>
  <c r="BT56" i="2" a="1"/>
  <c r="BF79" i="2" a="1"/>
  <c r="BT82" i="2" a="1"/>
  <c r="BN39" i="2" a="1"/>
  <c r="AS55" i="2" a="1"/>
  <c r="BF80" i="2" a="1"/>
  <c r="CL43" i="2" a="1"/>
  <c r="BR68" i="2" a="1"/>
  <c r="AW53" i="2" a="1"/>
  <c r="AX15" i="2" a="1"/>
  <c r="AL73" i="2" a="1"/>
  <c r="CM20" i="2" a="1"/>
  <c r="BI80" i="2" a="1"/>
  <c r="BG71" i="2" a="1"/>
  <c r="CL72" i="2" a="1"/>
  <c r="BJ9" i="2" a="1"/>
  <c r="BL65" i="2" a="1"/>
  <c r="BF41" i="2" a="1"/>
  <c r="AY30" i="2" a="1"/>
  <c r="BP32" i="2" a="1"/>
  <c r="BH29" i="2" a="1"/>
  <c r="BU43" i="2" a="1"/>
  <c r="AW48" i="2" a="1"/>
  <c r="AE78" i="2" a="1"/>
  <c r="CG33" i="2" a="1"/>
  <c r="BV63" i="2" a="1"/>
  <c r="BT47" i="2" a="1"/>
  <c r="BB10" i="2" a="1"/>
  <c r="AM53" i="2" a="1"/>
  <c r="AO13" i="2" a="1"/>
  <c r="AT72" i="2" a="1"/>
  <c r="CC53" i="2" a="1"/>
  <c r="AS51" i="2" a="1"/>
  <c r="AF82" i="2" a="1"/>
  <c r="CB78" i="2" a="1"/>
  <c r="CM82" i="2" a="1"/>
  <c r="CA42" i="2" a="1"/>
  <c r="BY48" i="2" a="1"/>
  <c r="CH34" i="2" a="1"/>
  <c r="BJ78" i="2" a="1"/>
  <c r="CC64" i="2" a="1"/>
  <c r="CC66" i="2" a="1"/>
  <c r="CM79" i="2" a="1"/>
  <c r="CN48" i="2" a="1"/>
  <c r="BZ10" i="2" a="1"/>
  <c r="BJ75" i="2" a="1"/>
  <c r="CM45" i="2" a="1"/>
  <c r="CK73" i="2" a="1"/>
  <c r="CA65" i="2" a="1"/>
  <c r="BY41" i="2" a="1"/>
  <c r="CJ71" i="2" a="1"/>
  <c r="CI53" i="2" a="1"/>
  <c r="CM19" i="2" a="1"/>
  <c r="BQ49" i="2" a="1"/>
  <c r="CH39" i="2" a="1"/>
  <c r="BS33" i="2" a="1"/>
  <c r="BR11" i="2" a="1"/>
  <c r="BN31" i="2" a="1"/>
  <c r="BB74" i="2" a="1"/>
  <c r="BG50" i="2" a="1"/>
  <c r="CC70" i="2" a="1"/>
  <c r="CJ51" i="2" a="1"/>
  <c r="BZ17" i="2" a="1"/>
  <c r="BX58" i="2" a="1"/>
  <c r="CN15" i="2" a="1"/>
  <c r="CI42" i="2" a="1"/>
  <c r="BS46" i="2" a="1"/>
  <c r="CI34" i="2" a="1"/>
  <c r="BS38" i="2" a="1"/>
  <c r="CC63" i="2" a="1"/>
  <c r="CG40" i="2" a="1"/>
  <c r="BO38" i="2" a="1"/>
  <c r="BS58" i="2" a="1"/>
  <c r="BD72" i="2" a="1"/>
  <c r="AS40" i="2" a="1"/>
  <c r="CI70" i="2" a="1"/>
  <c r="CB43" i="2" a="1"/>
  <c r="CG16" i="2" a="1"/>
  <c r="BQ42" i="2" a="1"/>
  <c r="BR78" i="2" a="1"/>
  <c r="BR41" i="2" a="1"/>
  <c r="CL80" i="2" a="1"/>
  <c r="BU70" i="2" a="1"/>
  <c r="BK14" i="2" a="1"/>
  <c r="BD65" i="2" a="1"/>
  <c r="CG79" i="2" a="1"/>
  <c r="BM72" i="2" a="1"/>
  <c r="BV74" i="2" a="1"/>
  <c r="BS59" i="2" a="1"/>
  <c r="AT71" i="2" a="1"/>
  <c r="CA23" i="2" a="1"/>
  <c r="BK33" i="2" a="1"/>
  <c r="BH75" i="2" a="1"/>
  <c r="BU78" i="2" a="1"/>
  <c r="BK25" i="2" a="1"/>
  <c r="BD70" i="2" a="1"/>
  <c r="CE75" i="2" a="1"/>
  <c r="CK25" i="2" a="1"/>
  <c r="CD69" i="2" a="1"/>
  <c r="BL68" i="2" a="1"/>
  <c r="AU67" i="2" a="1"/>
  <c r="CJ72" i="2" a="1"/>
  <c r="BM38" i="2" a="1"/>
  <c r="BJ33" i="2" a="1"/>
  <c r="BQ18" i="2" a="1"/>
  <c r="BN49" i="2" a="1"/>
  <c r="BG77" i="2" a="1"/>
  <c r="AX41" i="2" a="1"/>
  <c r="BY77" i="2" a="1"/>
  <c r="BS78" i="2" a="1"/>
  <c r="AV79" i="2" a="1"/>
  <c r="AX29" i="2" a="1"/>
  <c r="AL83" i="2" a="1"/>
  <c r="BZ41" i="2" a="1"/>
  <c r="BJ12" i="2" a="1"/>
  <c r="BE74" i="2" a="1"/>
  <c r="AS31" i="2" a="1"/>
  <c r="AP70" i="2" a="1"/>
  <c r="AF37" i="2" a="1"/>
  <c r="BM78" i="2" a="1"/>
  <c r="BK64" i="2" a="1"/>
  <c r="BH51" i="2" a="1"/>
  <c r="CG82" i="2" a="1"/>
  <c r="CM78" i="2" a="1"/>
  <c r="CA40" i="2" a="1"/>
  <c r="BY44" i="2" a="1"/>
  <c r="CH63" i="2" a="1"/>
  <c r="BJ74" i="2" a="1"/>
  <c r="CL79" i="2" a="1"/>
  <c r="CL83" i="2" a="1"/>
  <c r="CM73" i="2" a="1"/>
  <c r="CN38" i="2" a="1"/>
  <c r="CF80" i="2" a="1"/>
  <c r="BK78" i="2" a="1"/>
  <c r="CM41" i="2" a="1"/>
  <c r="CK53" i="2" a="1"/>
  <c r="CH79" i="2" a="1"/>
  <c r="BY33" i="2" a="1"/>
  <c r="BJ81" i="2" a="1"/>
  <c r="CN35" i="2" a="1"/>
  <c r="CA11" i="2" a="1"/>
  <c r="BQ47" i="2" a="1"/>
  <c r="CJ67" i="2" a="1"/>
  <c r="BS31" i="2" a="1"/>
  <c r="BT77" i="2" a="1"/>
  <c r="BT51" i="2" a="1"/>
  <c r="AV78" i="2" a="1"/>
  <c r="BG42" i="2" a="1"/>
  <c r="CC65" i="2" a="1"/>
  <c r="CA47" i="2" a="1"/>
  <c r="BZ13" i="2" a="1"/>
  <c r="BK51" i="2" a="1"/>
  <c r="CF13" i="2" a="1"/>
  <c r="CI35" i="2" a="1"/>
  <c r="BK39" i="2" a="1"/>
  <c r="CD50" i="2" a="1"/>
  <c r="CM68" i="2" a="1"/>
  <c r="CB33" i="2" a="1"/>
  <c r="CJ65" i="2" a="1"/>
  <c r="BK35" i="2" a="1"/>
  <c r="BW69" i="2" a="1"/>
  <c r="AV70" i="2" a="1"/>
  <c r="BC70" i="2" a="1"/>
  <c r="CH83" i="2" a="1"/>
  <c r="BX83" i="2" a="1"/>
  <c r="CG9" i="2" a="1"/>
  <c r="BI40" i="2" a="1"/>
  <c r="BP77" i="2" a="1"/>
  <c r="BR29" i="2" a="1"/>
  <c r="CF37" i="2" a="1"/>
  <c r="BU59" i="2" a="1"/>
  <c r="BX82" i="2" a="1"/>
  <c r="BD54" i="2" a="1"/>
  <c r="CE42" i="2" a="1"/>
  <c r="BM64" i="2" a="1"/>
  <c r="BR69" i="2" a="1"/>
  <c r="BT44" i="2" a="1"/>
  <c r="AT69" i="2" a="1"/>
  <c r="BU82" i="2" a="1"/>
  <c r="BK28" i="2" a="1"/>
  <c r="BD71" i="2" a="1"/>
  <c r="BN76" i="2" a="1"/>
  <c r="BS16" i="2" a="1"/>
  <c r="BD66" i="2" a="1"/>
  <c r="BZ77" i="2" a="1"/>
  <c r="BJ83" i="2" a="1"/>
  <c r="CF79" i="2" a="1"/>
  <c r="BR72" i="2" a="1"/>
  <c r="BA49" i="2" a="1"/>
  <c r="CA63" i="2" a="1"/>
  <c r="BI36" i="2" a="1"/>
  <c r="AV68" i="2" a="1"/>
  <c r="BQ14" i="2" a="1"/>
  <c r="BX19" i="2" a="1"/>
  <c r="BA71" i="2" a="1"/>
  <c r="AX37" i="2" a="1"/>
  <c r="CC20" i="2" a="1"/>
  <c r="BN67" i="2" a="1"/>
  <c r="BA67" i="2" a="1"/>
  <c r="AX23" i="2" a="1"/>
  <c r="AL79" i="2" a="1"/>
  <c r="BY32" i="2" a="1"/>
  <c r="BO72" i="2" a="1"/>
  <c r="AS72" i="2" a="1"/>
  <c r="AS27" i="2" a="1"/>
  <c r="AG81" i="2" a="1"/>
  <c r="AF31" i="2" a="1"/>
  <c r="BM70" i="2" a="1"/>
  <c r="BP45" i="2" a="1"/>
  <c r="AS37" i="2" a="1"/>
  <c r="BR61" i="2" a="1"/>
  <c r="BQ66" i="2" a="1"/>
  <c r="AY63" i="2" a="1"/>
  <c r="BE42" i="2" a="1"/>
  <c r="BR81" i="2" a="1"/>
  <c r="BL17" i="2" a="1"/>
  <c r="BF74" i="2" a="1"/>
  <c r="BC9" i="2" a="1"/>
  <c r="AO70" i="2" a="1"/>
  <c r="CM10" i="2" a="1"/>
  <c r="BL31" i="2" a="1"/>
  <c r="BB41" i="2" a="1"/>
  <c r="CA15" i="2" a="1"/>
  <c r="BQ67" i="2" a="1"/>
  <c r="BC78" i="2" a="1"/>
  <c r="BG64" i="2" a="1"/>
  <c r="AT25" i="2" a="1"/>
  <c r="BN51" i="2" a="1"/>
  <c r="BB25" i="2" a="1"/>
  <c r="BU20" i="2" a="1"/>
  <c r="BE51" i="2" a="1"/>
  <c r="AH70" i="2" a="1"/>
  <c r="CD11" i="2" a="1"/>
  <c r="BR30" i="2" a="1"/>
  <c r="BH64" i="2" a="1"/>
  <c r="AR77" i="2" a="1"/>
  <c r="AC45" i="2" a="1"/>
  <c r="CD70" i="2" a="1"/>
  <c r="CM74" i="2" a="1"/>
  <c r="CA38" i="2" a="1"/>
  <c r="BY40" i="2" a="1"/>
  <c r="CJ48" i="2" a="1"/>
  <c r="BP79" i="2" a="1"/>
  <c r="CL74" i="2" a="1"/>
  <c r="CL78" i="2" a="1"/>
  <c r="CA71" i="2" a="1"/>
  <c r="CF31" i="2" a="1"/>
  <c r="CJ64" i="2" a="1"/>
  <c r="BX71" i="2" a="1"/>
  <c r="CM37" i="2" a="1"/>
  <c r="CJ39" i="2" a="1"/>
  <c r="CH73" i="2" a="1"/>
  <c r="CF44" i="2" a="1"/>
  <c r="BP83" i="2" a="1"/>
  <c r="CN28" i="2" a="1"/>
  <c r="CL37" i="2" a="1"/>
  <c r="BQ45" i="2" a="1"/>
  <c r="CC31" i="2" a="1"/>
  <c r="BS29" i="2" a="1"/>
  <c r="BL72" i="2" a="1"/>
  <c r="BT9" i="2" a="1"/>
  <c r="BE71" i="2" a="1"/>
  <c r="BC37" i="2" a="1"/>
  <c r="CL75" i="2" a="1"/>
  <c r="CI43" i="2" a="1"/>
  <c r="BZ9" i="2" a="1"/>
  <c r="BK47" i="2" a="1"/>
  <c r="CN9" i="2" a="1"/>
  <c r="CK52" i="2" a="1"/>
  <c r="CM70" i="2" a="1"/>
  <c r="CF30" i="2" a="1"/>
  <c r="BZ74" i="2" a="1"/>
  <c r="CA17" i="2" a="1"/>
  <c r="CD30" i="2" a="1"/>
  <c r="BS32" i="2" a="1"/>
  <c r="BL49" i="2" a="1"/>
  <c r="BD67" i="2" a="1"/>
  <c r="BG46" i="2" a="1"/>
  <c r="CC76" i="2" a="1"/>
  <c r="BI81" i="2" a="1"/>
  <c r="CM27" i="2" a="1"/>
  <c r="CI79" i="2" a="1"/>
  <c r="BP66" i="2" a="1"/>
  <c r="BR15" i="2" a="1"/>
  <c r="CJ81" i="2" a="1"/>
  <c r="BI50" i="2" a="1"/>
  <c r="BT68" i="2" a="1"/>
  <c r="BB80" i="2" a="1"/>
  <c r="CN45" i="2" a="1"/>
  <c r="BM57" i="2" a="1"/>
  <c r="BI64" i="2" a="1"/>
  <c r="BV33" i="2" a="1"/>
  <c r="AT67" i="2" a="1"/>
  <c r="BW81" i="2" a="1"/>
  <c r="BS18" i="2" a="1"/>
  <c r="CC45" i="2" a="1"/>
  <c r="BU65" i="2" a="1"/>
  <c r="BK11" i="2" a="1"/>
  <c r="BD63" i="2" a="1"/>
  <c r="CE48" i="2" a="1"/>
  <c r="BS41" i="2" a="1"/>
  <c r="CL23" i="2" a="1"/>
  <c r="BN38" i="2" a="1"/>
  <c r="BH41" i="2" a="1"/>
  <c r="BZ43" i="2" a="1"/>
  <c r="BI34" i="2" a="1"/>
  <c r="AV80" i="2" a="1"/>
  <c r="BQ10" i="2" a="1"/>
  <c r="BT61" i="2" a="1"/>
  <c r="AS66" i="2" a="1"/>
  <c r="AX34" i="2" a="1"/>
  <c r="CE23" i="2" a="1"/>
  <c r="BW80" i="2" a="1"/>
  <c r="BG72" i="2" a="1"/>
  <c r="AX17" i="2" a="1"/>
  <c r="AL75" i="2" a="1"/>
  <c r="BY11" i="2" a="1"/>
  <c r="BQ61" i="2" a="1"/>
  <c r="AY83" i="2" a="1"/>
  <c r="AS19" i="2" a="1"/>
  <c r="AG77" i="2" a="1"/>
  <c r="CG65" i="2" a="1"/>
  <c r="BM56" i="2" a="1"/>
  <c r="BN32" i="2" a="1"/>
  <c r="AT43" i="2" a="1"/>
  <c r="BJ43" i="2" a="1"/>
  <c r="BX35" i="2" a="1"/>
  <c r="AX50" i="2" a="1"/>
  <c r="AZ38" i="2" a="1"/>
  <c r="BP73" i="2" a="1"/>
  <c r="BO61" i="2" a="1"/>
  <c r="AZ50" i="2" a="1"/>
  <c r="BB27" i="2" a="1"/>
  <c r="AP79" i="2" a="1"/>
  <c r="BW83" i="2" a="1"/>
  <c r="BS71" i="2" a="1"/>
  <c r="BE63" i="2" a="1"/>
  <c r="CD55" i="2" a="1"/>
  <c r="BQ59" i="2" a="1"/>
  <c r="BC73" i="2" a="1"/>
  <c r="BC50" i="2" a="1"/>
  <c r="CD73" i="2" a="1"/>
  <c r="AZ79" i="2" a="1"/>
  <c r="AZ9" i="2" a="1"/>
  <c r="BU12" i="2" a="1"/>
  <c r="AT37" i="2" a="1"/>
  <c r="AG79" i="2" a="1"/>
  <c r="CH37" i="2" a="1"/>
  <c r="BR10" i="2" a="1"/>
  <c r="BY63" i="2" a="1"/>
  <c r="CA72" i="2" a="1"/>
  <c r="CA36" i="2" a="1"/>
  <c r="BY36" i="2" a="1"/>
  <c r="CK32" i="2" a="1"/>
  <c r="BK74" i="2" a="1"/>
  <c r="CK74" i="2" a="1"/>
  <c r="CK82" i="2" a="1"/>
  <c r="CI68" i="2" a="1"/>
  <c r="CI82" i="2" a="1"/>
  <c r="CH48" i="2" a="1"/>
  <c r="BX66" i="2" a="1"/>
  <c r="CM33" i="2" a="1"/>
  <c r="CA79" i="2" a="1"/>
  <c r="CJ77" i="2" a="1"/>
  <c r="BZ29" i="2" a="1"/>
  <c r="BP75" i="2" a="1"/>
  <c r="CN23" i="2" a="1"/>
  <c r="CN51" i="2" a="1"/>
  <c r="BQ43" i="2" a="1"/>
  <c r="CC19" i="2" a="1"/>
  <c r="BS27" i="2" a="1"/>
  <c r="BS66" i="2" a="1"/>
  <c r="BP56" i="2" a="1"/>
  <c r="BA66" i="2" a="1"/>
  <c r="AZ34" i="2" a="1"/>
  <c r="CB76" i="2" a="1"/>
  <c r="CI39" i="2" a="1"/>
  <c r="CH66" i="2" a="1"/>
  <c r="BS43" i="2" a="1"/>
  <c r="BY74" i="2" a="1"/>
  <c r="CN30" i="2" a="1"/>
  <c r="BZ76" i="2" a="1"/>
  <c r="BY66" i="2" a="1"/>
  <c r="CB54" i="2" a="1"/>
  <c r="CL50" i="2" a="1"/>
  <c r="CL19" i="2" a="1"/>
  <c r="BK30" i="2" a="1"/>
  <c r="BP35" i="2" a="1"/>
  <c r="BD64" i="2" a="1"/>
  <c r="BC38" i="2" a="1"/>
  <c r="CJ63" i="2" a="1"/>
  <c r="BX63" i="2" a="1"/>
  <c r="CA14" i="2" a="1"/>
  <c r="CG66" i="2" a="1"/>
  <c r="BO56" i="2" a="1"/>
  <c r="BQ79" i="2" a="1"/>
  <c r="CL69" i="2" a="1"/>
  <c r="BQ44" i="2" a="1"/>
  <c r="BR49" i="2" a="1"/>
  <c r="BB73" i="2" a="1"/>
  <c r="CJ27" i="2" a="1"/>
  <c r="BM49" i="2" a="1"/>
  <c r="BW58" i="2" a="1"/>
  <c r="BX18" i="2" a="1"/>
  <c r="CG74" i="2" a="1"/>
  <c r="BU69" i="2" a="1"/>
  <c r="BK13" i="2" a="1"/>
  <c r="CI69" i="2" a="1"/>
  <c r="BQ56" i="2" a="1"/>
  <c r="BS76" i="2" a="1"/>
  <c r="AV53" i="2" a="1"/>
  <c r="CE34" i="2" a="1"/>
  <c r="CM46" i="2" a="1"/>
  <c r="CL9" i="2" a="1"/>
  <c r="BO73" i="2" a="1"/>
  <c r="BC68" i="2" a="1"/>
  <c r="CL65" i="2" a="1"/>
  <c r="BI32" i="2" a="1"/>
  <c r="BA45" i="2" a="1"/>
  <c r="BO78" i="2" a="1"/>
  <c r="BO80" i="2" a="1"/>
  <c r="BA82" i="2" a="1"/>
  <c r="AU64" i="2" a="1"/>
  <c r="CD39" i="2" a="1"/>
  <c r="BN57" i="2" a="1"/>
  <c r="AS49" i="2" a="1"/>
  <c r="BC13" i="2" a="1"/>
  <c r="AF80" i="2" a="1"/>
  <c r="CL41" i="2" a="1"/>
  <c r="BK68" i="2" a="1"/>
  <c r="BF52" i="2" a="1"/>
  <c r="AS15" i="2" a="1"/>
  <c r="AQ83" i="2" a="1"/>
  <c r="CB65" i="2" a="1"/>
  <c r="BM44" i="2" a="1"/>
  <c r="BX79" i="2" a="1"/>
  <c r="CE38" i="2" a="1"/>
  <c r="BJ27" i="2" a="1"/>
  <c r="BV56" i="2" a="1"/>
  <c r="AX46" i="2" a="1"/>
  <c r="AY48" i="2" a="1"/>
  <c r="BW57" i="2" a="1"/>
  <c r="BV35" i="2" a="1"/>
  <c r="AZ42" i="2" a="1"/>
  <c r="AY42" i="2" a="1"/>
  <c r="AK69" i="2" a="1"/>
  <c r="BM65" i="2" a="1"/>
  <c r="BV45" i="2" a="1"/>
  <c r="AU46" i="2" a="1"/>
  <c r="CL48" i="2" a="1"/>
  <c r="BK72" i="2" a="1"/>
  <c r="BB70" i="2" a="1"/>
  <c r="BC46" i="2" a="1"/>
  <c r="CF34" i="2" a="1"/>
  <c r="BY52" i="2" a="1"/>
  <c r="CA70" i="2" a="1"/>
  <c r="CA34" i="2" a="1"/>
  <c r="CC74" i="2" a="1"/>
  <c r="CK28" i="2" a="1"/>
  <c r="BX69" i="2" a="1"/>
  <c r="CB74" i="2" a="1"/>
  <c r="CB82" i="2" a="1"/>
  <c r="CI65" i="2" a="1"/>
  <c r="BY73" i="2" a="1"/>
  <c r="CH38" i="2" a="1"/>
  <c r="BX60" i="2" a="1"/>
  <c r="CF63" i="2" a="1"/>
  <c r="CA83" i="2" a="1"/>
  <c r="CN71" i="2" a="1"/>
  <c r="BZ23" i="2" a="1"/>
  <c r="BX67" i="2" a="1"/>
  <c r="CF19" i="2" a="1"/>
  <c r="CD36" i="2" a="1"/>
  <c r="BQ41" i="2" a="1"/>
  <c r="CC10" i="2" a="1"/>
  <c r="BS23" i="2" a="1"/>
  <c r="BN61" i="2" a="1"/>
  <c r="BX31" i="2" a="1"/>
  <c r="AS83" i="2" a="1"/>
  <c r="AY66" i="2" a="1"/>
  <c r="BZ64" i="2" a="1"/>
  <c r="CI36" i="2" a="1"/>
  <c r="CH46" i="2" a="1"/>
  <c r="BS40" i="2" a="1"/>
  <c r="CE55" i="2" a="1"/>
  <c r="BY69" i="2" a="1"/>
  <c r="CB63" i="2" a="1"/>
  <c r="CN63" i="2" a="1"/>
  <c r="CM40" i="2" a="1"/>
  <c r="BU81" i="2" a="1"/>
  <c r="CL14" i="2" a="1"/>
  <c r="BK27" i="2" a="1"/>
  <c r="BN18" i="2" a="1"/>
  <c r="AV55" i="2" a="1"/>
  <c r="BH33" i="2" a="1"/>
  <c r="CI46" i="2" a="1"/>
  <c r="BS49" i="2" a="1"/>
  <c r="CN75" i="2" a="1"/>
  <c r="CK75" i="2" a="1"/>
  <c r="BO47" i="2" a="1"/>
  <c r="BS70" i="2" a="1"/>
  <c r="BY49" i="2" a="1"/>
  <c r="BI39" i="2" a="1"/>
  <c r="BR27" i="2" a="1"/>
  <c r="BE70" i="2" a="1"/>
  <c r="CJ18" i="2" a="1"/>
  <c r="BM45" i="2" a="1"/>
  <c r="BJ47" i="2" a="1"/>
  <c r="BT65" i="2" a="1"/>
  <c r="CM80" i="2" a="1"/>
  <c r="BU58" i="2" a="1"/>
  <c r="BS81" i="2" a="1"/>
  <c r="CA45" i="2" a="1"/>
  <c r="BI47" i="2" a="1"/>
  <c r="BV61" i="2" a="1"/>
  <c r="BB76" i="2" a="1"/>
  <c r="CB32" i="2" a="1"/>
  <c r="CN20" i="2" a="1"/>
  <c r="CH35" i="2" a="1"/>
  <c r="BV39" i="2" a="1"/>
  <c r="BH48" i="2" a="1"/>
  <c r="CJ33" i="2" a="1"/>
  <c r="BI30" i="2" a="1"/>
  <c r="AX74" i="2" a="1"/>
  <c r="BW66" i="2" a="1"/>
  <c r="BX13" i="2" a="1"/>
  <c r="BG69" i="2" a="1"/>
  <c r="BE46" i="2" a="1"/>
  <c r="CE11" i="2" a="1"/>
  <c r="BP31" i="2" a="1"/>
  <c r="BD41" i="2" a="1"/>
  <c r="BC10" i="2" a="1"/>
  <c r="AO72" i="2" a="1"/>
  <c r="CA32" i="2" a="1"/>
  <c r="BP41" i="2" a="1"/>
  <c r="BF44" i="2" a="1"/>
  <c r="BA11" i="2" a="1"/>
  <c r="CK48" i="2" a="1"/>
  <c r="CA68" i="2" a="1"/>
  <c r="CF75" i="2" a="1"/>
  <c r="CF51" i="2" a="1"/>
  <c r="CK20" i="2" a="1"/>
  <c r="BX65" i="2" a="1"/>
  <c r="CD72" i="2" a="1"/>
  <c r="CN64" i="2" a="1"/>
  <c r="CH82" i="2" a="1"/>
  <c r="BY67" i="2" a="1"/>
  <c r="CH69" i="2" a="1"/>
  <c r="BK57" i="2" a="1"/>
  <c r="CN43" i="2" a="1"/>
  <c r="CC71" i="2" a="1"/>
  <c r="CJ53" i="2" a="1"/>
  <c r="BZ18" i="2" a="1"/>
  <c r="BX59" i="2" a="1"/>
  <c r="CN16" i="2" a="1"/>
  <c r="CD51" i="2" a="1"/>
  <c r="BQ39" i="2" a="1"/>
  <c r="CE19" i="2" a="1"/>
  <c r="BS19" i="2" a="1"/>
  <c r="BO79" i="2" a="1"/>
  <c r="BT10" i="2" a="1"/>
  <c r="BG70" i="2" a="1"/>
  <c r="AT47" i="2" a="1"/>
  <c r="CK47" i="2" a="1"/>
  <c r="CA33" i="2" a="1"/>
  <c r="CN82" i="2" a="1"/>
  <c r="CE80" i="2" a="1"/>
  <c r="BZ48" i="2" a="1"/>
  <c r="CB75" i="2" a="1"/>
  <c r="CM42" i="2" a="1"/>
  <c r="BY42" i="2" a="1"/>
  <c r="BZ68" i="2" a="1"/>
  <c r="BU75" i="2" a="1"/>
  <c r="BY76" i="2" a="1"/>
  <c r="BS20" i="2" a="1"/>
  <c r="BJ68" i="2" a="1"/>
  <c r="BB83" i="2" a="1"/>
  <c r="AT51" i="2" a="1"/>
  <c r="CA39" i="2" a="1"/>
  <c r="BK43" i="2" a="1"/>
  <c r="CD44" i="2" a="1"/>
  <c r="CG48" i="2" a="1"/>
  <c r="BO42" i="2" a="1"/>
  <c r="BL64" i="2" a="1"/>
  <c r="BZ11" i="2" a="1"/>
  <c r="CG64" i="2" a="1"/>
  <c r="BQ76" i="2" a="1"/>
  <c r="BA53" i="2" a="1"/>
  <c r="CJ11" i="2" a="1"/>
  <c r="BM41" i="2" a="1"/>
  <c r="BJ39" i="2" a="1"/>
  <c r="BL38" i="2" a="1"/>
  <c r="CJ55" i="2" a="1"/>
  <c r="BI49" i="2" a="1"/>
  <c r="BK67" i="2" a="1"/>
  <c r="CI74" i="2" a="1"/>
  <c r="BI42" i="2" a="1"/>
  <c r="BR37" i="2" a="1"/>
  <c r="AV76" i="2" a="1"/>
  <c r="CJ20" i="2" a="1"/>
  <c r="CF81" i="2" a="1"/>
  <c r="CC23" i="2" a="1"/>
  <c r="BI63" i="2" a="1"/>
  <c r="BA80" i="2" a="1"/>
  <c r="BY23" i="2" a="1"/>
  <c r="BI28" i="2" a="1"/>
  <c r="BC36" i="2" a="1"/>
  <c r="BJ51" i="2" a="1"/>
  <c r="BT45" i="2" a="1"/>
  <c r="AX52" i="2" a="1"/>
  <c r="AZ40" i="2" a="1"/>
  <c r="BR73" i="2" a="1"/>
  <c r="BJ72" i="2" a="1"/>
  <c r="BC64" i="2" a="1"/>
  <c r="BB36" i="2" a="1"/>
  <c r="AP83" i="2" a="1"/>
  <c r="BM81" i="2" a="1"/>
  <c r="BN16" i="2" a="1"/>
  <c r="AY74" i="2" a="1"/>
  <c r="BA9" i="2" a="1"/>
  <c r="AK70" i="2" a="1"/>
  <c r="CD31" i="2" a="1"/>
  <c r="BI33" i="2" a="1"/>
  <c r="BX46" i="2" a="1"/>
  <c r="CK49" i="2" a="1"/>
  <c r="BL76" i="2" a="1"/>
  <c r="BP16" i="2" a="1"/>
  <c r="AY78" i="2" a="1"/>
  <c r="AY29" i="2" a="1"/>
  <c r="BW37" i="2" a="1"/>
  <c r="CK46" i="2" a="1"/>
  <c r="CA66" i="2" a="1"/>
  <c r="CB64" i="2" a="1"/>
  <c r="CF36" i="2" a="1"/>
  <c r="CK16" i="2" a="1"/>
  <c r="BX61" i="2" a="1"/>
  <c r="BY55" i="2" a="1"/>
  <c r="CD68" i="2" a="1"/>
  <c r="CH77" i="2" a="1"/>
  <c r="CD80" i="2" a="1"/>
  <c r="CJ44" i="2" a="1"/>
  <c r="BS50" i="2" a="1"/>
  <c r="CJ31" i="2" a="1"/>
  <c r="CK65" i="2" a="1"/>
  <c r="CI47" i="2" a="1"/>
  <c r="CH14" i="2" a="1"/>
  <c r="BS51" i="2" a="1"/>
  <c r="CN13" i="2" a="1"/>
  <c r="CA31" i="2" a="1"/>
  <c r="CI83" i="2" a="1"/>
  <c r="CL35" i="2" a="1"/>
  <c r="BS17" i="2" a="1"/>
  <c r="BT67" i="2" a="1"/>
  <c r="BP25" i="2" a="1"/>
  <c r="BA52" i="2" a="1"/>
  <c r="BE40" i="2" a="1"/>
  <c r="CC42" i="2" a="1"/>
  <c r="CD54" i="2" a="1"/>
  <c r="CF52" i="2" a="1"/>
  <c r="CM71" i="2" a="1"/>
  <c r="BZ36" i="2" a="1"/>
  <c r="BY43" i="2" a="1"/>
  <c r="CF73" i="2" a="1"/>
  <c r="CF48" i="2" a="1"/>
  <c r="CJ29" i="2" a="1"/>
  <c r="BN80" i="2" a="1"/>
  <c r="CA51" i="2" a="1"/>
  <c r="CK44" i="2" a="1"/>
  <c r="CA64" i="2" a="1"/>
  <c r="CI51" i="2" a="1"/>
  <c r="CL29" i="2" a="1"/>
  <c r="CK11" i="2" a="1"/>
  <c r="BK58" i="2" a="1"/>
  <c r="BY50" i="2" a="1"/>
  <c r="BY54" i="2" a="1"/>
  <c r="CC80" i="2" a="1"/>
  <c r="CK77" i="2" a="1"/>
  <c r="CK30" i="2" a="1"/>
  <c r="BS47" i="2" a="1"/>
  <c r="CF28" i="2" a="1"/>
  <c r="CL76" i="2" a="1"/>
  <c r="CI44" i="2" a="1"/>
  <c r="CH9" i="2" a="1"/>
  <c r="BS48" i="2" a="1"/>
  <c r="CF10" i="2" a="1"/>
  <c r="CA19" i="2" a="1"/>
  <c r="CG70" i="2" a="1"/>
  <c r="CD35" i="2" a="1"/>
  <c r="BS15" i="2" a="1"/>
  <c r="BP51" i="2" a="1"/>
  <c r="BP57" i="2" a="1"/>
  <c r="BA48" i="2" a="1"/>
  <c r="BE36" i="2" a="1"/>
  <c r="CC37" i="2" a="1"/>
  <c r="CN42" i="2" a="1"/>
  <c r="CK29" i="2" a="1"/>
  <c r="CM66" i="2" a="1"/>
  <c r="CF82" i="2" a="1"/>
  <c r="CI63" i="2" a="1"/>
  <c r="CJ30" i="2" a="1"/>
  <c r="CH25" i="2" a="1"/>
  <c r="CN19" i="2" a="1"/>
  <c r="BW73" i="2" a="1"/>
  <c r="CN78" i="2" a="1"/>
  <c r="BK15" i="2" a="1"/>
  <c r="BX36" i="2" a="1"/>
  <c r="AV82" i="2" a="1"/>
  <c r="CE83" i="2" a="1"/>
  <c r="CN40" i="2" a="1"/>
  <c r="CM64" i="2" a="1"/>
  <c r="CN83" i="2" a="1"/>
  <c r="CK42" i="2" a="1"/>
  <c r="CH80" i="2" a="1"/>
  <c r="CN44" i="2" a="1"/>
  <c r="CH27" i="2" a="1"/>
  <c r="CB38" i="2" a="1"/>
  <c r="BK56" i="2" a="1"/>
  <c r="CC47" i="2" a="1"/>
  <c r="CC49" i="2" a="1"/>
  <c r="CJ79" i="2" a="1"/>
  <c r="CD71" i="2" a="1"/>
  <c r="CK23" i="2" a="1"/>
  <c r="BK45" i="2" a="1"/>
  <c r="CF25" i="2" a="1"/>
  <c r="CB80" i="2" a="1"/>
  <c r="CA41" i="2" a="1"/>
  <c r="CB69" i="2" a="1"/>
  <c r="BS44" i="2" a="1"/>
  <c r="CD63" i="2" a="1"/>
  <c r="CI9" i="2" a="1"/>
  <c r="CD81" i="2" a="1"/>
  <c r="CI30" i="2" a="1"/>
  <c r="BS13" i="2" a="1"/>
  <c r="BL41" i="2" a="1"/>
  <c r="BV12" i="2" a="1"/>
  <c r="BA44" i="2" a="1"/>
  <c r="CE72" i="2" a="1"/>
  <c r="CF72" i="2" a="1"/>
  <c r="CF32" i="2" a="1"/>
  <c r="CK18" i="2" a="1"/>
  <c r="BZ78" i="2" a="1"/>
  <c r="CJ43" i="2" a="1"/>
  <c r="BZ27" i="2" a="1"/>
  <c r="CK67" i="2" a="1"/>
  <c r="BZ15" i="2" a="1"/>
  <c r="CN14" i="2" a="1"/>
  <c r="BU67" i="2" a="1"/>
  <c r="CJ34" i="2" a="1"/>
  <c r="BS12" i="2" a="1"/>
  <c r="BX16" i="2" a="1"/>
  <c r="BE72" i="2" a="1"/>
  <c r="CE68" i="2" a="1"/>
  <c r="CA80" i="2" a="1"/>
  <c r="CK40" i="2" a="1"/>
  <c r="CH76" i="2" a="1"/>
  <c r="CN36" i="2" a="1"/>
  <c r="CH23" i="2" a="1"/>
  <c r="CE25" i="2" a="1"/>
  <c r="BK50" i="2" a="1"/>
  <c r="CC44" i="2" a="1"/>
  <c r="CC46" i="2" a="1"/>
  <c r="CG81" i="2" a="1"/>
  <c r="CG50" i="2" a="1"/>
  <c r="CK15" i="2" a="1"/>
  <c r="BS42" i="2" a="1"/>
  <c r="CF20" i="2" a="1"/>
  <c r="CD66" i="2" a="1"/>
  <c r="CA37" i="2" a="1"/>
  <c r="CL51" i="2" a="1"/>
  <c r="BK41" i="2" a="1"/>
  <c r="CL63" i="2" a="1"/>
  <c r="CL36" i="2" a="1"/>
  <c r="CB77" i="2" a="1"/>
  <c r="CA9" i="2" a="1"/>
  <c r="BS11" i="2" a="1"/>
  <c r="BN30" i="2" a="1"/>
  <c r="BH80" i="2" a="1"/>
  <c r="BD83" i="2" a="1"/>
  <c r="CE64" i="2" a="1"/>
  <c r="CF45" i="2" a="1"/>
  <c r="CI80" i="2" a="1"/>
  <c r="CK10" i="2" a="1"/>
  <c r="CJ82" i="2" a="1"/>
  <c r="CC68" i="2" a="1"/>
  <c r="BZ16" i="2" a="1"/>
  <c r="CK78" i="2" a="1"/>
  <c r="BY75" i="2" a="1"/>
  <c r="BZ70" i="2" a="1"/>
  <c r="BU62" i="2" a="1"/>
  <c r="CC17" i="2" a="1"/>
  <c r="BK10" i="2" a="1"/>
  <c r="BL50" i="2" a="1"/>
  <c r="BA64" i="2" a="1"/>
  <c r="CC83" i="2" a="1"/>
  <c r="CD78" i="2" a="1"/>
  <c r="CM47" i="2" a="1"/>
  <c r="CL44" i="2" a="1"/>
  <c r="CL18" i="2" a="1"/>
  <c r="BK29" i="2" a="1"/>
  <c r="BL33" i="2" a="1"/>
  <c r="CM35" i="2" a="1"/>
  <c r="CF67" i="2" a="1"/>
  <c r="BL63" i="2" a="1"/>
  <c r="BE65" i="2" a="1"/>
  <c r="CH55" i="2" a="1"/>
  <c r="BQ31" i="2" a="1"/>
  <c r="BO77" i="2" a="1"/>
  <c r="BX49" i="2" a="1"/>
  <c r="BZ69" i="2" a="1"/>
  <c r="CG44" i="2" a="1"/>
  <c r="BL60" i="2" a="1"/>
  <c r="BK49" i="2" a="1"/>
  <c r="CL25" i="2" a="1"/>
  <c r="BP43" i="2" a="1"/>
  <c r="CA76" i="2" a="1"/>
  <c r="CK38" i="2" a="1"/>
  <c r="CC82" i="2" a="1"/>
  <c r="CN31" i="2" a="1"/>
  <c r="CH19" i="2" a="1"/>
  <c r="CI14" i="2" a="1"/>
  <c r="BK48" i="2" a="1"/>
  <c r="CK41" i="2" a="1"/>
  <c r="CK43" i="2" a="1"/>
  <c r="BZ66" i="2" a="1"/>
  <c r="BY45" i="2" a="1"/>
  <c r="CK9" i="2" a="1"/>
  <c r="BS39" i="2" a="1"/>
  <c r="CF18" i="2" a="1"/>
  <c r="CC48" i="2" a="1"/>
  <c r="CI33" i="2" a="1"/>
  <c r="CH36" i="2" a="1"/>
  <c r="BK38" i="2" a="1"/>
  <c r="BZ50" i="2" a="1"/>
  <c r="BU80" i="2" a="1"/>
  <c r="CG51" i="2" a="1"/>
  <c r="BR80" i="2" a="1"/>
  <c r="BS9" i="2" a="1"/>
  <c r="BP15" i="2" a="1"/>
  <c r="BH76" i="2" a="1"/>
  <c r="AS74" i="2" a="1"/>
  <c r="CK72" i="2" a="1"/>
  <c r="CK36" i="2" a="1"/>
  <c r="CJ83" i="2" a="1"/>
  <c r="CN29" i="2" a="1"/>
  <c r="CH17" i="2" a="1"/>
  <c r="CL47" i="2" a="1"/>
  <c r="BK46" i="2" a="1"/>
  <c r="CC39" i="2" a="1"/>
  <c r="CC41" i="2" a="1"/>
  <c r="CJ52" i="2" a="1"/>
  <c r="BY39" i="2" a="1"/>
  <c r="CE28" i="2" a="1"/>
  <c r="CE82" i="2" a="1"/>
  <c r="CF16" i="2" a="1"/>
  <c r="CC43" i="2" a="1"/>
  <c r="CJ66" i="2" a="1"/>
  <c r="CI54" i="2" a="1"/>
  <c r="CM72" i="2" a="1"/>
  <c r="BZ40" i="2" a="1"/>
  <c r="BU76" i="2" a="1"/>
  <c r="CG42" i="2" a="1"/>
  <c r="BI83" i="2" a="1"/>
  <c r="BQ80" i="2" a="1"/>
  <c r="BL71" i="2" a="1"/>
  <c r="AV73" i="2" a="1"/>
  <c r="BG55" i="2" a="1"/>
  <c r="CB55" i="2" a="1"/>
  <c r="CM83" i="2" a="1"/>
  <c r="CD82" i="2" a="1"/>
  <c r="CE54" i="2" a="1"/>
  <c r="CM48" i="2" a="1"/>
  <c r="BY53" i="2" a="1"/>
  <c r="CH44" i="2" a="1"/>
  <c r="CK39" i="2" a="1"/>
  <c r="CJ36" i="2" a="1"/>
  <c r="BY80" i="2" a="1"/>
  <c r="BI51" i="2" a="1"/>
  <c r="CC51" i="2" a="1"/>
  <c r="BT72" i="2" a="1"/>
  <c r="BK66" i="2" a="1"/>
  <c r="AY54" i="2" a="1"/>
  <c r="CE40" i="2" a="1"/>
  <c r="BY37" i="2" a="1"/>
  <c r="CN47" i="2" a="1"/>
  <c r="BU74" i="2" a="1"/>
  <c r="CB73" i="2" a="1"/>
  <c r="BK20" i="2" a="1"/>
  <c r="BO65" i="2" a="1"/>
  <c r="CL68" i="2" a="1"/>
  <c r="CC13" i="2" a="1"/>
  <c r="BL34" i="2" a="1"/>
  <c r="AY77" i="2" a="1"/>
  <c r="BY19" i="2" a="1"/>
  <c r="BQ27" i="2" a="1"/>
  <c r="BO66" i="2" a="1"/>
  <c r="BX51" i="2" a="1"/>
  <c r="CM63" i="2" a="1"/>
  <c r="CL15" i="2" a="1"/>
  <c r="BL23" i="2" a="1"/>
  <c r="CN25" i="2" a="1"/>
  <c r="CH43" i="2" a="1"/>
  <c r="BT42" i="2" a="1"/>
  <c r="BH50" i="2" a="1"/>
  <c r="CJ41" i="2" a="1"/>
  <c r="CB41" i="2" a="1"/>
  <c r="BK36" i="2" a="1"/>
  <c r="BH79" i="2" a="1"/>
  <c r="AT49" i="2" a="1"/>
  <c r="CM13" i="2" a="1"/>
  <c r="BI12" i="2" a="1"/>
  <c r="CF50" i="2" a="1"/>
  <c r="BO58" i="2" a="1"/>
  <c r="BB72" i="2" a="1"/>
  <c r="BC49" i="2" a="1"/>
  <c r="AY15" i="2" a="1"/>
  <c r="BW27" i="2" a="1"/>
  <c r="BO59" i="2" a="1"/>
  <c r="BD34" i="2" a="1"/>
  <c r="BH14" i="2" a="1"/>
  <c r="AC77" i="2" a="1"/>
  <c r="BU29" i="2" a="1"/>
  <c r="BV10" i="2" a="1"/>
  <c r="BF37" i="2" a="1"/>
  <c r="BC16" i="2" a="1"/>
  <c r="AO52" i="2" a="1"/>
  <c r="BF78" i="2" a="1"/>
  <c r="BS73" i="2" a="1"/>
  <c r="BJ66" i="2" a="1"/>
  <c r="BM51" i="2" a="1"/>
  <c r="BL27" i="2" a="1"/>
  <c r="AT64" i="2" a="1"/>
  <c r="AW65" i="2" a="1"/>
  <c r="CG53" i="2" a="1"/>
  <c r="BW9" i="2" a="1"/>
  <c r="AZ77" i="2" a="1"/>
  <c r="BG31" i="2" a="1"/>
  <c r="CK70" i="2" a="1"/>
  <c r="CK34" i="2" a="1"/>
  <c r="CJ75" i="2" a="1"/>
  <c r="CI78" i="2" a="1"/>
  <c r="CH15" i="2" a="1"/>
  <c r="BZ55" i="2" a="1"/>
  <c r="BK44" i="2" a="1"/>
  <c r="CC36" i="2" a="1"/>
  <c r="CC38" i="2" a="1"/>
  <c r="CI48" i="2" a="1"/>
  <c r="BY34" i="2" a="1"/>
  <c r="CI11" i="2" a="1"/>
  <c r="CE74" i="2" a="1"/>
  <c r="CF14" i="2" a="1"/>
  <c r="CK37" i="2" a="1"/>
  <c r="CN46" i="2" a="1"/>
  <c r="CK31" i="2" a="1"/>
  <c r="CM67" i="2" a="1"/>
  <c r="CB68" i="2" a="1"/>
  <c r="BL83" i="2" a="1"/>
  <c r="CG34" i="2" a="1"/>
  <c r="BP72" i="2" a="1"/>
  <c r="BK75" i="2" a="1"/>
  <c r="BJ60" i="2" a="1"/>
  <c r="AV71" i="2" a="1"/>
  <c r="BH49" i="2" a="1"/>
  <c r="CE44" i="2" a="1"/>
  <c r="CM76" i="2" a="1"/>
  <c r="CB79" i="2" a="1"/>
  <c r="CD49" i="2" a="1"/>
  <c r="CM43" i="2" a="1"/>
  <c r="CC40" i="2" a="1"/>
  <c r="CJ40" i="2" a="1"/>
  <c r="CH54" i="2" a="1"/>
  <c r="CK14" i="2" a="1"/>
  <c r="CG32" i="2" a="1"/>
  <c r="BQ48" i="2" a="1"/>
  <c r="CK55" i="2" a="1"/>
  <c r="BV65" i="2" a="1"/>
  <c r="BL10" i="2" a="1"/>
  <c r="BA47" i="2" a="1"/>
  <c r="BZ65" i="2" a="1"/>
  <c r="CL31" i="2" a="1"/>
  <c r="CF27" i="2" a="1"/>
  <c r="BL79" i="2" a="1"/>
  <c r="CH47" i="2" a="1"/>
  <c r="BK17" i="2" a="1"/>
  <c r="BV47" i="2" a="1"/>
  <c r="CH51" i="2" a="1"/>
  <c r="BZ51" i="2" a="1"/>
  <c r="BP42" i="2" a="1"/>
  <c r="BB49" i="2" a="1"/>
  <c r="BY10" i="2" a="1"/>
  <c r="BQ23" i="2" a="1"/>
  <c r="BJ61" i="2" a="1"/>
  <c r="BT29" i="2" a="1"/>
  <c r="CN39" i="2" a="1"/>
  <c r="CE63" i="2" a="1"/>
  <c r="BX57" i="2" a="1"/>
  <c r="CN10" i="2" a="1"/>
  <c r="CC27" i="2" a="1"/>
  <c r="BV72" i="2" a="1"/>
  <c r="BH43" i="2" a="1"/>
  <c r="BY27" i="2" a="1"/>
  <c r="BZ63" i="2" a="1"/>
  <c r="BS30" i="2" a="1"/>
  <c r="BH73" i="2" a="1"/>
  <c r="BE38" i="2" a="1"/>
  <c r="BM82" i="2" a="1"/>
  <c r="BI10" i="2" a="1"/>
  <c r="BY9" i="2" a="1"/>
  <c r="BI69" i="2" a="1"/>
  <c r="AT70" i="2" a="1"/>
  <c r="BC45" i="2" a="1"/>
  <c r="BE28" i="2" a="1"/>
  <c r="BW19" i="2" a="1"/>
  <c r="BV11" i="2" a="1"/>
  <c r="AT48" i="2" a="1"/>
  <c r="AT29" i="2" a="1"/>
  <c r="AI66" i="2" a="1"/>
  <c r="BU23" i="2" a="1"/>
  <c r="BV32" i="2" a="1"/>
  <c r="AW67" i="2" a="1"/>
  <c r="BG37" i="2" a="1"/>
  <c r="AD68" i="2" a="1"/>
  <c r="BB45" i="2" a="1"/>
  <c r="BW62" i="2" a="1"/>
  <c r="BJ70" i="2" a="1"/>
  <c r="BM43" i="2" a="1"/>
  <c r="BO76" i="2" a="1"/>
  <c r="CC75" i="2" a="1"/>
  <c r="BZ72" i="2" a="1"/>
  <c r="BN46" i="2" a="1"/>
  <c r="BZ39" i="2" a="1"/>
  <c r="CD77" i="2" a="1"/>
  <c r="BX76" i="2" a="1"/>
  <c r="CA54" i="2" a="1"/>
  <c r="BC40" i="2" a="1"/>
  <c r="CN50" i="2" a="1"/>
  <c r="AX44" i="2" a="1"/>
  <c r="BT46" i="2" a="1"/>
  <c r="AJ78" i="2" a="1"/>
  <c r="AU77" i="2" a="1"/>
  <c r="AE69" i="2" a="1"/>
  <c r="BQ64" i="2" a="1"/>
  <c r="BV75" i="2" a="1"/>
  <c r="BC43" i="2" a="1"/>
  <c r="BW29" i="2" a="1"/>
  <c r="AS45" i="2" a="1"/>
  <c r="AV11" i="2" a="1"/>
  <c r="BU41" i="2" a="1"/>
  <c r="AX73" i="2" a="1"/>
  <c r="BM48" i="2" a="1"/>
  <c r="BT76" i="2" a="1"/>
  <c r="BC42" i="2" a="1"/>
  <c r="BW39" i="2" a="1"/>
  <c r="BD18" i="2" a="1"/>
  <c r="BM69" i="2" a="1"/>
  <c r="BD50" i="2" a="1"/>
  <c r="AO53" i="2" a="1"/>
  <c r="BO29" i="2" a="1"/>
  <c r="BT49" i="2" a="1"/>
  <c r="AD79" i="2" a="1"/>
  <c r="AC19" i="2" a="1"/>
  <c r="AP14" i="2" a="1"/>
  <c r="AZ41" i="2" a="1"/>
  <c r="BL11" i="2" a="1"/>
  <c r="BE14" i="2" a="1"/>
  <c r="BJ36" i="2" a="1"/>
  <c r="BB37" i="2" a="1"/>
  <c r="AM68" i="2" a="1"/>
  <c r="BR75" i="2" a="1"/>
  <c r="CD65" i="2" a="1"/>
  <c r="AT41" i="2" a="1"/>
  <c r="AJ50" i="2" a="1"/>
  <c r="AL27" i="2" a="1"/>
  <c r="AR23" i="2" a="1"/>
  <c r="AX36" i="2" a="1"/>
  <c r="BS64" i="2" a="1"/>
  <c r="AX20" i="2" a="1"/>
  <c r="BY28" i="2" a="1"/>
  <c r="AS70" i="2" a="1"/>
  <c r="CF33" i="2" a="1"/>
  <c r="CI76" i="2" a="1"/>
  <c r="BV80" i="2" a="1"/>
  <c r="BY31" i="2" a="1"/>
  <c r="CD32" i="2" a="1"/>
  <c r="BS69" i="2" a="1"/>
  <c r="BU63" i="2" a="1"/>
  <c r="BH34" i="2" a="1"/>
  <c r="BY17" i="2" a="1"/>
  <c r="AX83" i="2" a="1"/>
  <c r="BX20" i="2" a="1"/>
  <c r="AP75" i="2" a="1"/>
  <c r="AX67" i="2" a="1"/>
  <c r="AO63" i="2" a="1"/>
  <c r="BX30" i="2" a="1"/>
  <c r="BI61" i="2" a="1"/>
  <c r="AS77" i="2" a="1"/>
  <c r="BW23" i="2" a="1"/>
  <c r="BB52" i="2" a="1"/>
  <c r="AV9" i="2" a="1"/>
  <c r="BU35" i="2" a="1"/>
  <c r="AX69" i="2" a="1"/>
  <c r="BM40" i="2" a="1"/>
  <c r="BP14" i="2" a="1"/>
  <c r="BF73" i="2" a="1"/>
  <c r="BW30" i="2" a="1"/>
  <c r="BG65" i="2" a="1"/>
  <c r="BU32" i="2" a="1"/>
  <c r="AS30" i="2" a="1"/>
  <c r="AD67" i="2" a="1"/>
  <c r="BO23" i="2" a="1"/>
  <c r="BH72" i="2" a="1"/>
  <c r="AF79" i="2" a="1"/>
  <c r="AN74" i="2" a="1"/>
  <c r="AK54" i="2" a="1"/>
  <c r="AY40" i="2" a="1"/>
  <c r="BL69" i="2" a="1"/>
  <c r="AT15" i="2" a="1"/>
  <c r="BS75" i="2" a="1"/>
  <c r="AS29" i="2" a="1"/>
  <c r="AE73" i="2" a="1"/>
  <c r="BP67" i="2" a="1"/>
  <c r="CD46" i="2" a="1"/>
  <c r="BG23" i="2" a="1"/>
  <c r="AI83" i="2" a="1"/>
  <c r="AL18" i="2" a="1"/>
  <c r="AG11" i="2" a="1"/>
  <c r="BE52" i="2" a="1"/>
  <c r="BP47" i="2" a="1"/>
  <c r="AU13" i="2" a="1"/>
  <c r="CL52" i="2" a="1"/>
  <c r="BF50" i="2" a="1"/>
  <c r="BH13" i="2" a="1"/>
  <c r="AF34" i="2" a="1"/>
  <c r="BO11" i="2" a="1"/>
  <c r="BN37" i="2" a="1"/>
  <c r="AZ30" i="2" a="1"/>
  <c r="AI23" i="2" a="1"/>
  <c r="AM11" i="2" a="1"/>
  <c r="BZ49" i="2" a="1"/>
  <c r="BO18" i="2" a="1"/>
  <c r="AD36" i="2" a="1"/>
  <c r="CP70" i="2" a="1"/>
  <c r="CN53" i="2" a="1"/>
  <c r="BC33" i="2" a="1"/>
  <c r="AF52" i="2" a="1"/>
  <c r="AG35" i="2" a="1"/>
  <c r="CB31" i="2" a="1"/>
  <c r="AU39" i="2" a="1"/>
  <c r="AJ53" i="2" a="1"/>
  <c r="AP53" i="2" a="1"/>
  <c r="AQ12" i="2" a="1"/>
  <c r="CU79" i="2" a="1"/>
  <c r="BB28" i="2" a="1"/>
  <c r="AO9" i="2" a="1"/>
  <c r="AO75" i="2" a="1"/>
  <c r="CR79" i="2" a="1"/>
  <c r="CR35" i="2" a="1"/>
  <c r="DB35" i="2" a="1"/>
  <c r="CU36" i="2" a="1"/>
  <c r="CX52" i="2" a="1"/>
  <c r="CQ31" i="2" a="1"/>
  <c r="CY37" i="2" a="1"/>
  <c r="CI81" i="2" a="1"/>
  <c r="AY38" i="2" a="1"/>
  <c r="AP51" i="2" a="1"/>
  <c r="AN66" i="2" a="1"/>
  <c r="CW67" i="2" a="1"/>
  <c r="CY10" i="2" a="1"/>
  <c r="BF51" i="2" a="1"/>
  <c r="AQ82" i="2" a="1"/>
  <c r="AP28" i="2" a="1"/>
  <c r="AN14" i="2" a="1"/>
  <c r="AT80" i="2" a="1"/>
  <c r="AF72" i="2" a="1"/>
  <c r="AK38" i="2" a="1"/>
  <c r="AN64" i="2" a="1"/>
  <c r="DC75" i="2" a="1"/>
  <c r="BM9" i="2" a="1"/>
  <c r="AJ36" i="2" a="1"/>
  <c r="BF69" i="2" a="1"/>
  <c r="AM69" i="2" a="1"/>
  <c r="CP64" i="2" a="1"/>
  <c r="BY70" i="2" a="1"/>
  <c r="CG52" i="2" a="1"/>
  <c r="CE32" i="2" a="1"/>
  <c r="BQ37" i="2" a="1"/>
  <c r="BR45" i="2" a="1"/>
  <c r="BA68" i="2" a="1"/>
  <c r="BQ46" i="2" a="1"/>
  <c r="CE46" i="2" a="1"/>
  <c r="CA10" i="2" a="1"/>
  <c r="BA73" i="2" a="1"/>
  <c r="BL42" i="2" a="1"/>
  <c r="AG68" i="2" a="1"/>
  <c r="AU50" i="2" a="1"/>
  <c r="AP50" i="2" a="1"/>
  <c r="BQ78" i="2" a="1"/>
  <c r="BL43" i="2" a="1"/>
  <c r="AW47" i="2" a="1"/>
  <c r="BW17" i="2" a="1"/>
  <c r="BA39" i="2" a="1"/>
  <c r="AJ80" i="2" a="1"/>
  <c r="BU31" i="2" a="1"/>
  <c r="AX54" i="2" a="1"/>
  <c r="BI35" i="2" a="1"/>
  <c r="BT27" i="2" a="1"/>
  <c r="BC75" i="2" a="1"/>
  <c r="BW18" i="2" a="1"/>
  <c r="AX28" i="2" a="1"/>
  <c r="BW72" i="2" a="1"/>
  <c r="AS23" i="2" a="1"/>
  <c r="AD55" i="2" a="1"/>
  <c r="BO17" i="2" a="1"/>
  <c r="AT78" i="2" a="1"/>
  <c r="AP82" i="2" a="1"/>
  <c r="AK50" i="2" a="1"/>
  <c r="AR27" i="2" a="1"/>
  <c r="AY28" i="2" a="1"/>
  <c r="BL12" i="2" a="1"/>
  <c r="AJ72" i="2" a="1"/>
  <c r="BI73" i="2" a="1"/>
  <c r="AS20" i="2" a="1"/>
  <c r="AO64" i="2" a="1"/>
  <c r="BW50" i="2" a="1"/>
  <c r="BU50" i="2" a="1"/>
  <c r="AT28" i="2" a="1"/>
  <c r="AC54" i="2" a="1"/>
  <c r="AL14" i="2" a="1"/>
  <c r="DD78" i="2" a="1"/>
  <c r="AZ39" i="2" a="1"/>
  <c r="BL67" i="2" a="1"/>
  <c r="AT31" i="2" a="1"/>
  <c r="BM77" i="2" a="1"/>
  <c r="BG68" i="2" a="1"/>
  <c r="BF10" i="2" a="1"/>
  <c r="CD79" i="2" a="1"/>
  <c r="BW82" i="2" a="1"/>
  <c r="BV46" i="2" a="1"/>
  <c r="AZ18" i="2" a="1"/>
  <c r="AH83" i="2" a="1"/>
  <c r="AR38" i="2" a="1"/>
  <c r="BU47" i="2" a="1"/>
  <c r="BT66" i="2" a="1"/>
  <c r="AO15" i="2" a="1"/>
  <c r="DD39" i="2" a="1"/>
  <c r="BU40" i="2" a="1"/>
  <c r="BG18" i="2" a="1"/>
  <c r="AL49" i="2" a="1"/>
  <c r="AG25" i="2" a="1"/>
  <c r="CJ37" i="2" a="1"/>
  <c r="AU42" i="2" a="1"/>
  <c r="AQ64" i="2" a="1"/>
  <c r="AL45" i="2" a="1"/>
  <c r="AD37" i="2" a="1"/>
  <c r="CP67" i="2" a="1"/>
  <c r="BD13" i="2" a="1"/>
  <c r="CS83" i="2" a="1"/>
  <c r="AG55" i="2" a="1"/>
  <c r="CT70" i="2" a="1"/>
  <c r="CR25" i="2" a="1"/>
  <c r="CW13" i="2" a="1"/>
  <c r="DD25" i="2" a="1"/>
  <c r="CP38" i="2" a="1"/>
  <c r="CP41" i="2" a="1"/>
  <c r="CZ41" i="2" a="1"/>
  <c r="CF78" i="2" a="1"/>
  <c r="AX18" i="2" a="1"/>
  <c r="AF38" i="2" a="1"/>
  <c r="AI26" i="2" a="1"/>
  <c r="CV63" i="2" a="1"/>
  <c r="DB34" i="2" a="1"/>
  <c r="AU72" i="2" a="1"/>
  <c r="AD70" i="2" a="1"/>
  <c r="AP24" i="2" a="1"/>
  <c r="AN10" i="2" a="1"/>
  <c r="AW69" i="2" a="1"/>
  <c r="AD80" i="2" a="1"/>
  <c r="AK34" i="2" a="1"/>
  <c r="AN25" i="2" a="1"/>
  <c r="CZ70" i="2" a="1"/>
  <c r="BX74" i="2" a="1"/>
  <c r="AK16" i="2" a="1"/>
  <c r="AT42" i="2" a="1"/>
  <c r="AO19" i="2" a="1"/>
  <c r="CO66" i="2" a="1"/>
  <c r="CZ79" i="2" a="1"/>
  <c r="DD70" i="2" a="1"/>
  <c r="CE20" i="2" a="1"/>
  <c r="CE78" i="2" a="1"/>
  <c r="BI77" i="2" a="1"/>
  <c r="BQ35" i="2" a="1"/>
  <c r="BR23" i="2" a="1"/>
  <c r="AS75" i="2" a="1"/>
  <c r="CI10" i="2" a="1"/>
  <c r="CJ28" i="2" a="1"/>
  <c r="BM47" i="2" a="1"/>
  <c r="BC55" i="2" a="1"/>
  <c r="BO74" i="2" a="1"/>
  <c r="AN73" i="2" a="1"/>
  <c r="BD82" i="2" a="1"/>
  <c r="AQ70" i="2" a="1"/>
  <c r="BP44" i="2" a="1"/>
  <c r="BT28" i="2" a="1"/>
  <c r="BD40" i="2" a="1"/>
  <c r="BW13" i="2" a="1"/>
  <c r="BG51" i="2" a="1"/>
  <c r="AR72" i="2" a="1"/>
  <c r="BU27" i="2" a="1"/>
  <c r="BG78" i="2" a="1"/>
  <c r="BI31" i="2" a="1"/>
  <c r="BL20" i="2" a="1"/>
  <c r="BB64" i="2" a="1"/>
  <c r="BW10" i="2" a="1"/>
  <c r="AU10" i="2" a="1"/>
  <c r="BJ44" i="2" a="1"/>
  <c r="AS16" i="2" a="1"/>
  <c r="AH51" i="2" a="1"/>
  <c r="BO9" i="2" a="1"/>
  <c r="BA65" i="2" a="1"/>
  <c r="AC68" i="2" a="1"/>
  <c r="AL39" i="2" a="1"/>
  <c r="AG13" i="2" a="1"/>
  <c r="AY16" i="2" a="1"/>
  <c r="AZ75" i="2" a="1"/>
  <c r="AL80" i="2" a="1"/>
  <c r="BP23" i="2" a="1"/>
  <c r="AS14" i="2" a="1"/>
  <c r="AH80" i="2" a="1"/>
  <c r="BW42" i="2" a="1"/>
  <c r="BM28" i="2" a="1"/>
  <c r="BF30" i="2" a="1"/>
  <c r="AI43" i="2" a="1"/>
  <c r="AL10" i="2" a="1"/>
  <c r="CX78" i="2" a="1"/>
  <c r="AY34" i="2" a="1"/>
  <c r="BK83" i="2" a="1"/>
  <c r="AS34" i="2" a="1"/>
  <c r="BU51" i="2" a="1"/>
  <c r="BF77" i="2" a="1"/>
  <c r="AE81" i="2" a="1"/>
  <c r="CG45" i="2" a="1"/>
  <c r="BK69" i="2" a="1"/>
  <c r="BP80" i="2" a="1"/>
  <c r="BE27" i="2" a="1"/>
  <c r="AM64" i="2" a="1"/>
  <c r="AR19" i="2" a="1"/>
  <c r="BV79" i="2" a="1"/>
  <c r="BP74" i="2" a="1"/>
  <c r="AJ44" i="2" a="1"/>
  <c r="DD35" i="2" a="1"/>
  <c r="CN70" i="2" a="1"/>
  <c r="CJ78" i="2" a="1"/>
  <c r="CE76" i="2" a="1"/>
  <c r="BQ33" i="2" a="1"/>
  <c r="BN75" i="2" a="1"/>
  <c r="BA50" i="2" a="1"/>
  <c r="CI25" i="2" a="1"/>
  <c r="BY13" i="2" a="1"/>
  <c r="BQ34" i="2" a="1"/>
  <c r="AW51" i="2" a="1"/>
  <c r="BN64" i="2" a="1"/>
  <c r="AR65" i="2" a="1"/>
  <c r="AW52" i="2" a="1"/>
  <c r="CG37" i="2" a="1"/>
  <c r="BP11" i="2" a="1"/>
  <c r="BN33" i="2" a="1"/>
  <c r="BG63" i="2" a="1"/>
  <c r="BT75" i="2" a="1"/>
  <c r="AU38" i="2" a="1"/>
  <c r="AL81" i="2" a="1"/>
  <c r="BU19" i="2" a="1"/>
  <c r="BF48" i="2" a="1"/>
  <c r="BI27" i="2" a="1"/>
  <c r="BC83" i="2" a="1"/>
  <c r="AW77" i="2" a="1"/>
  <c r="BV67" i="2" a="1"/>
  <c r="AY50" i="2" a="1"/>
  <c r="BV82" i="2" a="1"/>
  <c r="AS11" i="2" a="1"/>
  <c r="AH48" i="2" a="1"/>
  <c r="BQ74" i="2" a="1"/>
  <c r="AS48" i="2" a="1"/>
  <c r="AJ65" i="2" a="1"/>
  <c r="AL29" i="2" a="1"/>
  <c r="DD79" i="2" a="1"/>
  <c r="CI77" i="2" a="1"/>
  <c r="AT81" i="2" a="1"/>
  <c r="AQ69" i="2" a="1"/>
  <c r="BT40" i="2" a="1"/>
  <c r="BA10" i="2" a="1"/>
  <c r="AD66" i="2" a="1"/>
  <c r="BO36" i="2" a="1"/>
  <c r="BV81" i="2" a="1"/>
  <c r="BF18" i="2" a="1"/>
  <c r="AQ34" i="2" a="1"/>
  <c r="AO47" i="2" a="1"/>
  <c r="DC78" i="2" a="1"/>
  <c r="AY25" i="2" a="1"/>
  <c r="BV60" i="2" a="1"/>
  <c r="BH23" i="2" a="1"/>
  <c r="BU36" i="2" a="1"/>
  <c r="AV37" i="2" a="1"/>
  <c r="AE75" i="2" a="1"/>
  <c r="CF42" i="2" a="1"/>
  <c r="BT58" i="2" a="1"/>
  <c r="AZ80" i="2" a="1"/>
  <c r="AZ10" i="2" a="1"/>
  <c r="AE51" i="2" a="1"/>
  <c r="BB66" i="2" a="1"/>
  <c r="BL47" i="2" a="1"/>
  <c r="CE73" i="2" a="1"/>
  <c r="AJ23" i="2" a="1"/>
  <c r="CK80" i="2" a="1"/>
  <c r="CM36" i="2" a="1"/>
  <c r="CF17" i="2" a="1"/>
  <c r="BQ29" i="2" a="1"/>
  <c r="BT59" i="2" a="1"/>
  <c r="BA43" i="2" a="1"/>
  <c r="BR74" i="2" a="1"/>
  <c r="CM25" i="2" a="1"/>
  <c r="BJ35" i="2" a="1"/>
  <c r="BD38" i="2" a="1"/>
  <c r="AZ73" i="2" a="1"/>
  <c r="AR54" i="2" a="1"/>
  <c r="AV39" i="2" a="1"/>
  <c r="CD18" i="2" a="1"/>
  <c r="BP50" i="2" a="1"/>
  <c r="BV38" i="2" a="1"/>
  <c r="AX39" i="2" a="1"/>
  <c r="BK65" i="2" a="1"/>
  <c r="AU68" i="2" a="1"/>
  <c r="AF76" i="2" a="1"/>
  <c r="BU15" i="2" a="1"/>
  <c r="AY72" i="2" a="1"/>
  <c r="BI19" i="2" a="1"/>
  <c r="AT68" i="2" a="1"/>
  <c r="AS64" i="2" a="1"/>
  <c r="BR36" i="2" a="1"/>
  <c r="BH17" i="2" a="1"/>
  <c r="BJ59" i="2" a="1"/>
  <c r="AT33" i="2" a="1"/>
  <c r="AC64" i="2" a="1"/>
  <c r="BR46" i="2" a="1"/>
  <c r="BE54" i="2" a="1"/>
  <c r="AC75" i="2" a="1"/>
  <c r="AL20" i="2" a="1"/>
  <c r="CX79" i="2" a="1"/>
  <c r="CG47" i="2" a="1"/>
  <c r="AW70" i="2" a="1"/>
  <c r="AO68" i="2" a="1"/>
  <c r="BL30" i="2" a="1"/>
  <c r="BE29" i="2" a="1"/>
  <c r="AD54" i="2" a="1"/>
  <c r="BO32" i="2" a="1"/>
  <c r="BJ25" i="2" a="1"/>
  <c r="AY11" i="2" a="1"/>
  <c r="AI28" i="2" a="1"/>
  <c r="AD26" i="2" a="1"/>
  <c r="CY71" i="2" a="1"/>
  <c r="AY14" i="2" a="1"/>
  <c r="BV44" i="2" a="1"/>
  <c r="BF76" i="2" a="1"/>
  <c r="BU28" i="2" a="1"/>
  <c r="BF35" i="2" a="1"/>
  <c r="AP71" i="2" a="1"/>
  <c r="CD16" i="2" a="1"/>
  <c r="BR38" i="2" a="1"/>
  <c r="BH68" i="2" a="1"/>
  <c r="AR81" i="2" a="1"/>
  <c r="AC47" i="2" a="1"/>
  <c r="AU70" i="2" a="1"/>
  <c r="BX43" i="2" a="1"/>
  <c r="BM36" i="2" a="1"/>
  <c r="AC11" i="2" a="1"/>
  <c r="CW64" i="2" a="1"/>
  <c r="BV76" i="2" a="1"/>
  <c r="BA16" i="2" a="1"/>
  <c r="AN38" i="2" a="1"/>
  <c r="AI9" i="2" a="1"/>
  <c r="BM18" i="2" a="1"/>
  <c r="AY49" i="2" a="1"/>
  <c r="AH69" i="2" a="1"/>
  <c r="BM33" i="2" a="1"/>
  <c r="AE45" i="2" a="1"/>
  <c r="CY36" i="2" a="1"/>
  <c r="AR47" i="2" a="1"/>
  <c r="DB77" i="2" a="1"/>
  <c r="AI51" i="2" a="1"/>
  <c r="AV40" i="2" a="1"/>
  <c r="CW31" i="2" a="1"/>
  <c r="AW55" i="2" a="1"/>
  <c r="CO52" i="2" a="1"/>
  <c r="CS14" i="2" a="1"/>
  <c r="CX27" i="2" a="1"/>
  <c r="CT16" i="2" a="1"/>
  <c r="BW60" i="2" a="1"/>
  <c r="AP77" i="2" a="1"/>
  <c r="BK76" i="2" a="1"/>
  <c r="AK52" i="2" a="1"/>
  <c r="CU65" i="2" a="1"/>
  <c r="CB20" i="2" a="1"/>
  <c r="BF36" i="2" a="1"/>
  <c r="AH82" i="2" a="1"/>
  <c r="AC52" i="2" a="1"/>
  <c r="AH16" i="2" a="1"/>
  <c r="BA76" i="2" a="1"/>
  <c r="AK68" i="2" a="1"/>
  <c r="AK19" i="2" a="1"/>
  <c r="AC51" i="2" a="1"/>
  <c r="CR68" i="2" a="1"/>
  <c r="BA75" i="2" a="1"/>
  <c r="AR46" i="2" a="1"/>
  <c r="AU31" i="2" a="1"/>
  <c r="CV83" i="2" a="1"/>
  <c r="DA35" i="2" a="1"/>
  <c r="CR37" i="2" a="1"/>
  <c r="CP37" i="2" a="1"/>
  <c r="CY78" i="2" a="1"/>
  <c r="DC52" i="2" a="1"/>
  <c r="DC70" i="2" a="1"/>
  <c r="BJ16" i="2" a="1"/>
  <c r="CB19" i="2" a="1"/>
  <c r="CZ78" i="2" a="1"/>
  <c r="AS80" i="2" a="1"/>
  <c r="AP18" i="2" a="1"/>
  <c r="AS46" i="2" a="1"/>
  <c r="AK27" i="2" a="1"/>
  <c r="CQ63" i="2" a="1"/>
  <c r="AO50" i="2" a="1"/>
  <c r="AM36" i="2" a="1"/>
  <c r="CP54" i="2" a="1"/>
  <c r="AN69" i="2" a="1"/>
  <c r="AC78" i="2" a="1"/>
  <c r="AL31" i="2" a="1"/>
  <c r="BZ52" i="2" a="1"/>
  <c r="AL67" i="2" a="1"/>
  <c r="AE12" i="2" a="1"/>
  <c r="AN75" i="2" a="1"/>
  <c r="AG30" i="2" a="1"/>
  <c r="CK63" i="2" a="1"/>
  <c r="CF54" i="2" a="1"/>
  <c r="CG46" i="2" a="1"/>
  <c r="BJ31" i="2" a="1"/>
  <c r="BX12" i="2" a="1"/>
  <c r="AU71" i="2" a="1"/>
  <c r="BP60" i="2" a="1"/>
  <c r="CE50" i="2" a="1"/>
  <c r="BJ17" i="2" a="1"/>
  <c r="AZ36" i="2" a="1"/>
  <c r="AZ65" i="2" a="1"/>
  <c r="CB53" i="2" a="1"/>
  <c r="AV51" i="2" a="1"/>
  <c r="CD9" i="2" a="1"/>
  <c r="BN13" i="2" a="1"/>
  <c r="BV77" i="2" a="1"/>
  <c r="BE50" i="2" a="1"/>
  <c r="BR32" i="2" a="1"/>
  <c r="AW41" i="2" a="1"/>
  <c r="AN81" i="2" a="1"/>
  <c r="BU11" i="2" a="1"/>
  <c r="AW44" i="2" a="1"/>
  <c r="BI15" i="2" a="1"/>
  <c r="BB65" i="2" a="1"/>
  <c r="AX47" i="2" a="1"/>
  <c r="BX75" i="2" a="1"/>
  <c r="AJ81" i="2" a="1"/>
  <c r="BN36" i="2" a="1"/>
  <c r="BD47" i="2" a="1"/>
  <c r="AF45" i="2" a="1"/>
  <c r="BN71" i="2" a="1"/>
  <c r="BD81" i="2" a="1"/>
  <c r="AQ54" i="2" a="1"/>
  <c r="AL15" i="2" a="1"/>
  <c r="CX73" i="2" a="1"/>
  <c r="CH70" i="2" a="1"/>
  <c r="AU69" i="2" a="1"/>
  <c r="AR66" i="2" a="1"/>
  <c r="BX33" i="2" a="1"/>
  <c r="AY37" i="2" a="1"/>
  <c r="AH50" i="2" a="1"/>
  <c r="BO28" i="2" a="1"/>
  <c r="BK60" i="2" a="1"/>
  <c r="BE23" i="2" a="1"/>
  <c r="AI24" i="2" a="1"/>
  <c r="AM13" i="2" a="1"/>
  <c r="CY67" i="2" a="1"/>
  <c r="CG67" i="2" a="1"/>
  <c r="BX37" i="2" a="1"/>
  <c r="BB9" i="2" a="1"/>
  <c r="BU16" i="2" a="1"/>
  <c r="BH38" i="2" a="1"/>
  <c r="AG82" i="2" a="1"/>
  <c r="CH65" i="2" a="1"/>
  <c r="BR18" i="2" a="1"/>
  <c r="BH53" i="2" a="1"/>
  <c r="AR73" i="2" a="1"/>
  <c r="AC43" i="2" a="1"/>
  <c r="AV44" i="2" a="1"/>
  <c r="BE76" i="2" a="1"/>
  <c r="BS82" i="2" a="1"/>
  <c r="AO31" i="2" a="1"/>
  <c r="CS38" i="2" a="1"/>
  <c r="BN28" i="2" a="1"/>
  <c r="AW10" i="2" a="1"/>
  <c r="AI31" i="2" a="1"/>
  <c r="AD39" i="2" a="1"/>
  <c r="BI66" i="2" a="1"/>
  <c r="BF27" i="2" a="1"/>
  <c r="AN46" i="2" a="1"/>
  <c r="BI74" i="2" a="1"/>
  <c r="AE24" i="2" a="1"/>
  <c r="CO29" i="2" a="1"/>
  <c r="AN28" i="2" a="1"/>
  <c r="CO72" i="2" a="1"/>
  <c r="AH30" i="2" a="1"/>
  <c r="AO81" i="2" a="1"/>
  <c r="CW34" i="2" a="1"/>
  <c r="BD11" i="2" a="1"/>
  <c r="CW38" i="2" a="1"/>
  <c r="CU17" i="2" a="1"/>
  <c r="CY23" i="2" a="1"/>
  <c r="CU13" i="2" a="1"/>
  <c r="BH66" i="2" a="1"/>
  <c r="CE67" i="2" a="1"/>
  <c r="BY51" i="2" a="1"/>
  <c r="CA29" i="2" a="1"/>
  <c r="CF38" i="2" a="1"/>
  <c r="BJ19" i="2" a="1"/>
  <c r="CL30" i="2" a="1"/>
  <c r="AS36" i="2" a="1"/>
  <c r="BO44" i="2" a="1"/>
  <c r="CD42" i="2" a="1"/>
  <c r="BX81" i="2" a="1"/>
  <c r="AY36" i="2" a="1"/>
  <c r="AZ46" i="2" a="1"/>
  <c r="CB29" i="2" a="1"/>
  <c r="BD31" i="2" a="1"/>
  <c r="CH45" i="2" a="1"/>
  <c r="BC81" i="2" a="1"/>
  <c r="BC79" i="2" a="1"/>
  <c r="AY33" i="2" a="1"/>
  <c r="BS72" i="2" a="1"/>
  <c r="BD45" i="2" a="1"/>
  <c r="AP69" i="2" a="1"/>
  <c r="BT80" i="2" a="1"/>
  <c r="AX81" i="2" a="1"/>
  <c r="BI11" i="2" a="1"/>
  <c r="BB63" i="2" a="1"/>
  <c r="BC52" i="2" a="1"/>
  <c r="BN25" i="2" a="1"/>
  <c r="AJ73" i="2" a="1"/>
  <c r="BX50" i="2" a="1"/>
  <c r="BC31" i="2" a="1"/>
  <c r="CI73" i="2" a="1"/>
  <c r="BS60" i="2" a="1"/>
  <c r="AS76" i="2" a="1"/>
  <c r="AD51" i="2" a="1"/>
  <c r="CH40" i="2" a="1"/>
  <c r="CM14" i="2" a="1"/>
  <c r="CL17" i="2" a="1"/>
  <c r="BJ11" i="2" a="1"/>
  <c r="CB71" i="2" a="1"/>
  <c r="BC35" i="2" a="1"/>
  <c r="BS10" i="2" a="1"/>
  <c r="CB37" i="2" a="1"/>
  <c r="BJ73" i="2" a="1"/>
  <c r="AY31" i="2" a="1"/>
  <c r="AY73" i="2" a="1"/>
  <c r="BM73" i="2" a="1"/>
  <c r="BG16" i="2" a="1"/>
  <c r="AV64" i="2" a="1"/>
  <c r="CJ10" i="2" a="1"/>
  <c r="BC74" i="2" a="1"/>
  <c r="AY23" i="2" a="1"/>
  <c r="BN42" i="2" a="1"/>
  <c r="BD25" i="2" a="1"/>
  <c r="AR63" i="2" a="1"/>
  <c r="BI70" i="2" a="1"/>
  <c r="AV43" i="2" a="1"/>
  <c r="BI68" i="2" a="1"/>
  <c r="BB54" i="2" a="1"/>
  <c r="BC71" i="2" a="1"/>
  <c r="BX40" i="2" a="1"/>
  <c r="AL82" i="2" a="1"/>
  <c r="BV57" i="2" a="1"/>
  <c r="BC25" i="2" a="1"/>
  <c r="CN65" i="2" a="1"/>
  <c r="BW65" i="2" a="1"/>
  <c r="AV34" i="2" a="1"/>
  <c r="AJ48" i="2" a="1"/>
  <c r="AG51" i="2" a="1"/>
  <c r="CO77" i="2" a="1"/>
  <c r="BR77" i="2" a="1"/>
  <c r="BA37" i="2" a="1"/>
  <c r="AI63" i="2" a="1"/>
  <c r="AU79" i="2" a="1"/>
  <c r="BC23" i="2" a="1"/>
  <c r="AC55" i="2" a="1"/>
  <c r="BO16" i="2" a="1"/>
  <c r="BV64" i="2" a="1"/>
  <c r="AZ20" i="2" a="1"/>
  <c r="AM66" i="2" a="1"/>
  <c r="AR24" i="2" a="1"/>
  <c r="CX71" i="2" a="1"/>
  <c r="CD19" i="2" a="1"/>
  <c r="AZ64" i="2" a="1"/>
  <c r="AJ77" i="2" a="1"/>
  <c r="BI62" i="2" a="1"/>
  <c r="AV18" i="2" a="1"/>
  <c r="AQ79" i="2" a="1"/>
  <c r="CC18" i="2" a="1"/>
  <c r="BL66" i="2" a="1"/>
  <c r="AW68" i="2" a="1"/>
  <c r="AD75" i="2" a="1"/>
  <c r="AC30" i="2" a="1"/>
  <c r="CH71" i="2" a="1"/>
  <c r="BD27" i="2" a="1"/>
  <c r="AW71" i="2" a="1"/>
  <c r="AG15" i="2" a="1"/>
  <c r="CW55" i="2" a="1"/>
  <c r="BP36" i="2" a="1"/>
  <c r="AU30" i="2" a="1"/>
  <c r="AF23" i="2" a="1"/>
  <c r="AE11" i="2" a="1"/>
  <c r="BP19" i="2" a="1"/>
  <c r="BG9" i="2" a="1"/>
  <c r="AQ30" i="2" a="1"/>
  <c r="AS69" i="2" a="1"/>
  <c r="AO34" i="2" a="1"/>
  <c r="CP35" i="2" a="1"/>
  <c r="AH31" i="2" a="1"/>
  <c r="CQ53" i="2" a="1"/>
  <c r="AG21" i="2" a="1"/>
  <c r="AD13" i="2" a="1"/>
  <c r="CP14" i="2" a="1"/>
  <c r="AL19" i="2" a="1"/>
  <c r="DA14" i="2" a="1"/>
  <c r="BF67" i="2" a="1"/>
  <c r="CW9" i="2" a="1"/>
  <c r="AW45" i="2" a="1"/>
  <c r="AZ28" i="2" a="1"/>
  <c r="BU34" i="2" a="1"/>
  <c r="BR50" i="2" a="1"/>
  <c r="AR9" i="2" a="1"/>
  <c r="DD38" i="2" a="1"/>
  <c r="BM35" i="2" a="1"/>
  <c r="AV16" i="2" a="1"/>
  <c r="AR48" i="2" a="1"/>
  <c r="AG23" i="2" a="1"/>
  <c r="BY14" i="2" a="1"/>
  <c r="AW38" i="2" a="1"/>
  <c r="AQ55" i="2" a="1"/>
  <c r="AL43" i="2" a="1"/>
  <c r="AD27" i="2" a="1"/>
  <c r="DC65" i="2" a="1"/>
  <c r="BD10" i="2" a="1"/>
  <c r="CP79" i="2" a="1"/>
  <c r="AL66" i="2" a="1"/>
  <c r="CQ69" i="2" a="1"/>
  <c r="CO54" i="2" a="1"/>
  <c r="CS27" i="2" a="1"/>
  <c r="CP25" i="2" a="1"/>
  <c r="DA29" i="2" a="1"/>
  <c r="CE51" i="2" a="1"/>
  <c r="BU79" i="2" a="1"/>
  <c r="CI50" i="2" a="1"/>
  <c r="BQ71" i="2" a="1"/>
  <c r="CI31" i="2" a="1"/>
  <c r="CJ15" i="2" a="1"/>
  <c r="BT60" i="2" a="1"/>
  <c r="BM66" i="2" a="1"/>
  <c r="BJ65" i="2" a="1"/>
  <c r="AY27" i="2" a="1"/>
  <c r="BB44" i="2" a="1"/>
  <c r="BU57" i="2" a="1"/>
  <c r="AW25" i="2" a="1"/>
  <c r="BE69" i="2" a="1"/>
  <c r="CM30" i="2" a="1"/>
  <c r="BB71" i="2" a="1"/>
  <c r="AY17" i="2" a="1"/>
  <c r="BI71" i="2" a="1"/>
  <c r="AV17" i="2" a="1"/>
  <c r="AR52" i="2" a="1"/>
  <c r="BJ40" i="2" a="1"/>
  <c r="BB34" i="2" a="1"/>
  <c r="BJ37" i="2" a="1"/>
  <c r="AW83" i="2" a="1"/>
  <c r="BE41" i="2" a="1"/>
  <c r="BT35" i="2" a="1"/>
  <c r="AL74" i="2" a="1"/>
  <c r="BN11" i="2" a="1"/>
  <c r="BC17" i="2" a="1"/>
  <c r="CD25" i="2" a="1"/>
  <c r="BP39" i="2" a="1"/>
  <c r="AW36" i="2" a="1"/>
  <c r="AN63" i="2" a="1"/>
  <c r="AD30" i="2" a="1"/>
  <c r="CP73" i="2" a="1"/>
  <c r="BW51" i="2" a="1"/>
  <c r="AU36" i="2" a="1"/>
  <c r="CN72" i="2" a="1"/>
  <c r="AX68" i="2" a="1"/>
  <c r="BC15" i="2" a="1"/>
  <c r="AF43" i="2" a="1"/>
  <c r="BO12" i="2" a="1"/>
  <c r="BV18" i="2" a="1"/>
  <c r="AW35" i="2" a="1"/>
  <c r="AE52" i="2" a="1"/>
  <c r="AO11" i="2" a="1"/>
  <c r="CT66" i="2" a="1"/>
  <c r="CL49" i="2" a="1"/>
  <c r="AT77" i="2" a="1"/>
  <c r="AJ71" i="2" a="1"/>
  <c r="BJ28" i="2" a="1"/>
  <c r="BB23" i="2" a="1"/>
  <c r="AK71" i="2" a="1"/>
  <c r="CE17" i="2" a="1"/>
  <c r="BL78" i="2" a="1"/>
  <c r="BF82" i="2" a="1"/>
  <c r="AG72" i="2" a="1"/>
  <c r="AC26" i="2" a="1"/>
  <c r="CI20" i="2" a="1"/>
  <c r="AS25" i="2" a="1"/>
  <c r="BA38" i="2" a="1"/>
  <c r="CY83" i="2" a="1"/>
  <c r="DC37" i="2" a="1"/>
  <c r="BT43" i="2" a="1"/>
  <c r="AU18" i="2" a="1"/>
  <c r="AC82" i="2" a="1"/>
  <c r="AR37" i="2" a="1"/>
  <c r="BT38" i="2" a="1"/>
  <c r="AY46" i="2" a="1"/>
  <c r="AQ26" i="2" a="1"/>
  <c r="AV36" i="2" a="1"/>
  <c r="AE9" i="2" a="1"/>
  <c r="CW53" i="2" a="1"/>
  <c r="AF67" i="2" a="1"/>
  <c r="CW69" i="2" a="1"/>
  <c r="AQ11" i="2" a="1"/>
  <c r="AJ45" i="2" a="1"/>
  <c r="CW15" i="2" a="1"/>
  <c r="AO12" i="2" a="1"/>
  <c r="CO18" i="2" a="1"/>
  <c r="AU29" i="2" a="1"/>
  <c r="CW68" i="2" a="1"/>
  <c r="BN19" i="2" a="1"/>
  <c r="AG70" i="2" a="1"/>
  <c r="BJ56" i="2" a="1"/>
  <c r="BN63" i="2" a="1"/>
  <c r="AJ35" i="2" a="1"/>
  <c r="DD34" i="2" a="1"/>
  <c r="BM15" i="2" a="1"/>
  <c r="BB39" i="2" a="1"/>
  <c r="AN65" i="2" a="1"/>
  <c r="AI16" i="2" a="1"/>
  <c r="BW75" i="2" a="1"/>
  <c r="BG29" i="2" a="1"/>
  <c r="AJ51" i="2" a="1"/>
  <c r="AL30" i="2" a="1"/>
  <c r="AM46" i="2" a="1"/>
  <c r="CX53" i="2" a="1"/>
  <c r="AQ76" i="2" a="1"/>
  <c r="DD75" i="2" a="1"/>
  <c r="AN47" i="2" a="1"/>
  <c r="CR75" i="2" a="1"/>
  <c r="CV16" i="2" a="1"/>
  <c r="CT10" i="2" a="1"/>
  <c r="CY17" i="2" a="1"/>
  <c r="CV23" i="2" a="1"/>
  <c r="BI58" i="2" a="1"/>
  <c r="CG38" i="2" a="1"/>
  <c r="BS62" i="2" a="1"/>
  <c r="BN14" i="2" a="1"/>
  <c r="CG83" i="2" a="1"/>
  <c r="CJ9" i="2" a="1"/>
  <c r="BX77" i="2" a="1"/>
  <c r="BM50" i="2" a="1"/>
  <c r="BP17" i="2" a="1"/>
  <c r="AY19" i="2" a="1"/>
  <c r="BA35" i="2" a="1"/>
  <c r="BU45" i="2" a="1"/>
  <c r="AY41" i="2" a="1"/>
  <c r="CJ16" i="2" a="1"/>
  <c r="CA50" i="2" a="1"/>
  <c r="BB68" i="2" a="1"/>
  <c r="BG39" i="2" a="1"/>
  <c r="BT17" i="2" a="1"/>
  <c r="AY45" i="2" a="1"/>
  <c r="AH68" i="2" a="1"/>
  <c r="BI78" i="2" a="1"/>
  <c r="BE47" i="2" a="1"/>
  <c r="BT74" i="2" a="1"/>
  <c r="AW79" i="2" a="1"/>
  <c r="BE68" i="2" a="1"/>
  <c r="AZ68" i="2" a="1"/>
  <c r="AO71" i="2" a="1"/>
  <c r="BP18" i="2" a="1"/>
  <c r="BB31" i="2" a="1"/>
  <c r="CC30" i="2" a="1"/>
  <c r="CC79" i="2" a="1"/>
  <c r="BD28" i="2" a="1"/>
  <c r="AN44" i="2" a="1"/>
  <c r="AP64" i="2" a="1"/>
  <c r="BB55" i="2" a="1"/>
  <c r="BW36" i="2" a="1"/>
  <c r="AW39" i="2" a="1"/>
  <c r="CN33" i="2" a="1"/>
  <c r="AX53" i="2" a="1"/>
  <c r="CE31" i="2" a="1"/>
  <c r="CH52" i="2" a="1"/>
  <c r="BW61" i="2" a="1"/>
  <c r="BV68" i="2" a="1"/>
  <c r="CB67" i="2" a="1"/>
  <c r="BZ67" i="2" a="1"/>
  <c r="BV30" i="2" a="1"/>
  <c r="BI25" i="2" a="1"/>
  <c r="BV49" i="2" a="1"/>
  <c r="CG43" i="2" a="1"/>
  <c r="BG43" i="2" a="1"/>
  <c r="BU37" i="2" a="1"/>
  <c r="BC32" i="2" a="1"/>
  <c r="CB40" i="2" a="1"/>
  <c r="CA18" i="2" a="1"/>
  <c r="AT66" i="2" a="1"/>
  <c r="BB18" i="2" a="1"/>
  <c r="BL36" i="2" a="1"/>
  <c r="AX27" i="2" a="1"/>
  <c r="AI64" i="2" a="1"/>
  <c r="BN56" i="2" a="1"/>
  <c r="BH36" i="2" a="1"/>
  <c r="BV58" i="2" a="1"/>
  <c r="AW75" i="2" a="1"/>
  <c r="AX40" i="2" a="1"/>
  <c r="AZ53" i="2" a="1"/>
  <c r="AP73" i="2" a="1"/>
  <c r="AU83" i="2" a="1"/>
  <c r="BB15" i="2" a="1"/>
  <c r="CC9" i="2" a="1"/>
  <c r="CB14" i="2" a="1"/>
  <c r="BD48" i="2" a="1"/>
  <c r="AI36" i="2" a="1"/>
  <c r="AM28" i="2" a="1"/>
  <c r="BG83" i="2" a="1"/>
  <c r="BW28" i="2" a="1"/>
  <c r="BD30" i="2" a="1"/>
  <c r="CB10" i="2" a="1"/>
  <c r="BG74" i="2" a="1"/>
  <c r="AT9" i="2" a="1"/>
  <c r="CG69" i="2" a="1"/>
  <c r="BV71" i="2" a="1"/>
  <c r="BX9" i="2" a="1"/>
  <c r="AR83" i="2" a="1"/>
  <c r="AC44" i="2" a="1"/>
  <c r="AJ37" i="2" a="1"/>
  <c r="BB69" i="2" a="1"/>
  <c r="CH53" i="2" a="1"/>
  <c r="AS47" i="2" a="1"/>
  <c r="AF78" i="2" a="1"/>
  <c r="BV62" i="2" a="1"/>
  <c r="AS28" i="2" a="1"/>
  <c r="AE68" i="2" a="1"/>
  <c r="CL54" i="2" a="1"/>
  <c r="BL29" i="2" a="1"/>
  <c r="BB42" i="2" a="1"/>
  <c r="AM72" i="2" a="1"/>
  <c r="AO17" i="2" a="1"/>
  <c r="BT83" i="2" a="1"/>
  <c r="BE66" i="2" a="1"/>
  <c r="AY9" i="2" a="1"/>
  <c r="CW78" i="2" a="1"/>
  <c r="CT27" i="2" a="1"/>
  <c r="AU80" i="2" a="1"/>
  <c r="BH9" i="2" a="1"/>
  <c r="AQ50" i="2" a="1"/>
  <c r="AJ9" i="2" a="1"/>
  <c r="BK18" i="2" a="1"/>
  <c r="CL27" i="2" a="1"/>
  <c r="BP27" i="2" a="1"/>
  <c r="BL28" i="2" a="1"/>
  <c r="CI75" i="2" a="1"/>
  <c r="BZ47" i="2" a="1"/>
  <c r="BV36" i="2" a="1"/>
  <c r="BI20" i="2" a="1"/>
  <c r="BX14" i="2" a="1"/>
  <c r="CD23" i="2" a="1"/>
  <c r="AV29" i="2" a="1"/>
  <c r="BU33" i="2" a="1"/>
  <c r="BC28" i="2" a="1"/>
  <c r="BI37" i="2" a="1"/>
  <c r="BM76" i="2" a="1"/>
  <c r="AT55" i="2" a="1"/>
  <c r="CD83" i="2" a="1"/>
  <c r="BX11" i="2" a="1"/>
  <c r="BC11" i="2" a="1"/>
  <c r="CE71" i="2" a="1"/>
  <c r="BT20" i="2" a="1"/>
  <c r="AU34" i="2" a="1"/>
  <c r="BP37" i="2" a="1"/>
  <c r="BG79" i="2" a="1"/>
  <c r="BE44" i="2" a="1"/>
  <c r="AV75" i="2" a="1"/>
  <c r="AM71" i="2" a="1"/>
  <c r="AX70" i="2" a="1"/>
  <c r="AE83" i="2" a="1"/>
  <c r="CH72" i="2" a="1"/>
  <c r="CM28" i="2" a="1"/>
  <c r="BF32" i="2" a="1"/>
  <c r="AI29" i="2" a="1"/>
  <c r="AE65" i="2" a="1"/>
  <c r="AY79" i="2" a="1"/>
  <c r="BW16" i="2" a="1"/>
  <c r="BG15" i="2" a="1"/>
  <c r="CJ45" i="2" a="1"/>
  <c r="BI82" i="2" a="1"/>
  <c r="CL13" i="2" a="1"/>
  <c r="BX28" i="2" a="1"/>
  <c r="BS79" i="2" a="1"/>
  <c r="CG80" i="2" a="1"/>
  <c r="CF77" i="2" a="1"/>
  <c r="BP46" i="2" a="1"/>
  <c r="BI18" i="2" a="1"/>
  <c r="BL32" i="2" a="1"/>
  <c r="BP65" i="2" a="1"/>
  <c r="BD14" i="2" a="1"/>
  <c r="BU9" i="2" a="1"/>
  <c r="BC20" i="2" a="1"/>
  <c r="BI29" i="2" a="1"/>
  <c r="BM68" i="2" a="1"/>
  <c r="AW76" i="2" a="1"/>
  <c r="CG35" i="2" a="1"/>
  <c r="BT33" i="2" a="1"/>
  <c r="BH32" i="2" a="1"/>
  <c r="CJ80" i="2" a="1"/>
  <c r="BN41" i="2" a="1"/>
  <c r="BG28" i="2" a="1"/>
  <c r="BN20" i="2" a="1"/>
  <c r="BA72" i="2" a="1"/>
  <c r="AZ35" i="2" a="1"/>
  <c r="AY65" i="2" a="1"/>
  <c r="AR53" i="2" a="1"/>
  <c r="AX55" i="2" a="1"/>
  <c r="AH73" i="2" a="1"/>
  <c r="CI28" i="2" a="1"/>
  <c r="BM67" i="2" a="1"/>
  <c r="BF20" i="2" a="1"/>
  <c r="AI20" i="2" a="1"/>
  <c r="AJ39" i="2" a="1"/>
  <c r="AX43" i="2" a="1"/>
  <c r="BS83" i="2" a="1"/>
  <c r="BG38" i="2" a="1"/>
  <c r="CA13" i="2" a="1"/>
  <c r="AX79" i="2" a="1"/>
  <c r="AE82" i="2" a="1"/>
  <c r="CF55" i="2" a="1"/>
  <c r="BR42" i="2" a="1"/>
  <c r="BH55" i="2" a="1"/>
  <c r="AN70" i="2" a="1"/>
  <c r="AC31" i="2" a="1"/>
  <c r="AC17" i="2" a="1"/>
  <c r="BG75" i="2" a="1"/>
  <c r="BW47" i="2" a="1"/>
  <c r="AY69" i="2" a="1"/>
  <c r="AO67" i="2" a="1"/>
  <c r="BV29" i="2" a="1"/>
  <c r="BA13" i="2" a="1"/>
  <c r="AO55" i="2" a="1"/>
  <c r="BP63" i="2" a="1"/>
  <c r="CF70" i="2" a="1"/>
  <c r="AT46" i="2" a="1"/>
  <c r="AQ65" i="2" a="1"/>
  <c r="AL46" i="2" a="1"/>
  <c r="AZ70" i="2" a="1"/>
  <c r="AG75" i="2" a="1"/>
  <c r="AD81" i="2" a="1"/>
  <c r="CT63" i="2" a="1"/>
  <c r="CQ20" i="2" a="1"/>
  <c r="BF53" i="2" a="1"/>
  <c r="AM73" i="2" a="1"/>
  <c r="AP39" i="2" a="1"/>
  <c r="AE35" i="2" a="1"/>
  <c r="AZ78" i="2" a="1"/>
  <c r="AV13" i="2" a="1"/>
  <c r="AM50" i="2" a="1"/>
  <c r="AO79" i="2" a="1"/>
  <c r="CU83" i="2" a="1"/>
  <c r="CV17" i="2" a="1"/>
  <c r="AC76" i="2" a="1"/>
  <c r="BM23" i="2" a="1"/>
  <c r="AE43" i="2" a="1"/>
  <c r="CO79" i="2" a="1"/>
  <c r="CR10" i="2" a="1"/>
  <c r="DB53" i="2" a="1"/>
  <c r="CX10" i="2" a="1"/>
  <c r="AF64" i="2" a="1"/>
  <c r="CO37" i="2" a="1"/>
  <c r="CE39" i="2" a="1"/>
  <c r="AY20" i="2" a="1"/>
  <c r="BC65" i="2" a="1"/>
  <c r="AZ76" i="2" a="1"/>
  <c r="AM37" i="2" a="1"/>
  <c r="CS31" i="2" a="1"/>
  <c r="BT32" i="2" a="1"/>
  <c r="AY39" i="2" a="1"/>
  <c r="AF26" i="2" a="1"/>
  <c r="AJ17" i="2" a="1"/>
  <c r="BJ63" i="2" a="1"/>
  <c r="BG13" i="2" a="1"/>
  <c r="AQ36" i="2" a="1"/>
  <c r="AU74" i="2" a="1"/>
  <c r="AF9" i="2" a="1"/>
  <c r="CP39" i="2" a="1"/>
  <c r="AI48" i="2" a="1"/>
  <c r="CQ64" i="2" a="1"/>
  <c r="AG47" i="2" a="1"/>
  <c r="AH35" i="2" a="1"/>
  <c r="CP17" i="2" a="1"/>
  <c r="AI50" i="2" a="1"/>
  <c r="DA17" i="2" a="1"/>
  <c r="BY30" i="2" a="1"/>
  <c r="CW11" i="2" a="1"/>
  <c r="BA70" i="2" a="1"/>
  <c r="BP59" i="2" a="1"/>
  <c r="AN72" i="2" a="1"/>
  <c r="BT50" i="2" a="1"/>
  <c r="BK37" i="2" a="1"/>
  <c r="AW64" i="2" a="1"/>
  <c r="CN34" i="2" a="1"/>
  <c r="CG36" i="2" a="1"/>
  <c r="CC34" i="2" a="1"/>
  <c r="BT31" i="2" a="1"/>
  <c r="BI16" i="2" a="1"/>
  <c r="BT39" i="2" a="1"/>
  <c r="BW49" i="2" a="1"/>
  <c r="AT18" i="2" a="1"/>
  <c r="BW64" i="2" a="1"/>
  <c r="BD9" i="2" a="1"/>
  <c r="BI23" i="2" a="1"/>
  <c r="BQ28" i="2" a="1"/>
  <c r="BG73" i="2" a="1"/>
  <c r="CD29" i="2" a="1"/>
  <c r="BP30" i="2" a="1"/>
  <c r="BH28" i="2" a="1"/>
  <c r="CE43" i="2" a="1"/>
  <c r="BR70" i="2" a="1"/>
  <c r="BB79" i="2" a="1"/>
  <c r="BQ72" i="2" a="1"/>
  <c r="AS68" i="2" a="1"/>
  <c r="AY18" i="2" a="1"/>
  <c r="BD79" i="2" a="1"/>
  <c r="AI65" i="2" a="1"/>
  <c r="BG82" i="2" a="1"/>
  <c r="AG74" i="2" a="1"/>
  <c r="BR79" i="2" a="1"/>
  <c r="BM32" i="2" a="1"/>
  <c r="BV20" i="2" a="1"/>
  <c r="BS34" i="2" a="1"/>
  <c r="BA46" i="2" a="1"/>
  <c r="BY35" i="2" a="1"/>
  <c r="CL10" i="2" a="1"/>
  <c r="CI38" i="2" a="1"/>
  <c r="BD55" i="2" a="1"/>
  <c r="BI14" i="2" a="1"/>
  <c r="BC82" i="2" a="1"/>
  <c r="BW41" i="2" a="1"/>
  <c r="AS35" i="2" a="1"/>
  <c r="BQ60" i="2" a="1"/>
  <c r="AE80" i="2" a="1"/>
  <c r="BI17" i="2" a="1"/>
  <c r="BQ16" i="2" a="1"/>
  <c r="BB77" i="2" a="1"/>
  <c r="BK32" i="2" a="1"/>
  <c r="AS82" i="2" a="1"/>
  <c r="CA53" i="2" a="1"/>
  <c r="BO46" i="2" a="1"/>
  <c r="BZ34" i="2" a="1"/>
  <c r="BB75" i="2" a="1"/>
  <c r="BW70" i="2" a="1"/>
  <c r="BC77" i="2" a="1"/>
  <c r="BW35" i="2" a="1"/>
  <c r="BH30" i="2" a="1"/>
  <c r="BX34" i="2" a="1"/>
  <c r="AQ75" i="2" a="1"/>
  <c r="BI13" i="2" a="1"/>
  <c r="BI72" i="2" a="1"/>
  <c r="AX42" i="2" a="1"/>
  <c r="CC32" i="2" a="1"/>
  <c r="AZ71" i="2" a="1"/>
  <c r="BH16" i="2" a="1"/>
  <c r="CB13" i="2" a="1"/>
  <c r="BQ58" i="2" a="1"/>
  <c r="CE79" i="2" a="1"/>
  <c r="BX38" i="2" a="1"/>
  <c r="BA74" i="2" a="1"/>
  <c r="CJ46" i="2" a="1"/>
  <c r="BA41" i="2" a="1"/>
  <c r="CJ70" i="2" a="1"/>
  <c r="AU48" i="2" a="1"/>
  <c r="AK83" i="2" a="1"/>
  <c r="BW56" i="2" a="1"/>
  <c r="BJ42" i="2" a="1"/>
  <c r="AZ25" i="2" a="1"/>
  <c r="AC38" i="2" a="1"/>
  <c r="AC14" i="2" a="1"/>
  <c r="BD39" i="2" a="1"/>
  <c r="BL70" i="2" a="1"/>
  <c r="AU9" i="2" a="1"/>
  <c r="BU39" i="2" a="1"/>
  <c r="BF39" i="2" a="1"/>
  <c r="AG83" i="2" a="1"/>
  <c r="CB72" i="2" a="1"/>
  <c r="BL58" i="2" a="1"/>
  <c r="AZ49" i="2" a="1"/>
  <c r="AN79" i="2" a="1"/>
  <c r="AG18" i="2" a="1"/>
  <c r="AD44" i="2" a="1"/>
  <c r="BC44" i="2" a="1"/>
  <c r="BW14" i="2" a="1"/>
  <c r="BE35" i="2" a="1"/>
  <c r="CE77" i="2" a="1"/>
  <c r="BP10" i="2" a="1"/>
  <c r="BE34" i="2" a="1"/>
  <c r="AH52" i="2" a="1"/>
  <c r="BD76" i="2" a="1"/>
  <c r="BS25" i="2" a="1"/>
  <c r="BH46" i="2" a="1"/>
  <c r="BX62" i="2" a="1"/>
  <c r="BR13" i="2" a="1"/>
  <c r="CG28" i="2" a="1"/>
  <c r="AW54" i="2" a="1"/>
  <c r="BI60" i="2" a="1"/>
  <c r="AT63" i="2" a="1"/>
  <c r="BW31" i="2" a="1"/>
  <c r="BH25" i="2" a="1"/>
  <c r="BK70" i="2" a="1"/>
  <c r="AK79" i="2" a="1"/>
  <c r="BV83" i="2" a="1"/>
  <c r="BJ13" i="2" a="1"/>
  <c r="BE67" i="2" a="1"/>
  <c r="CI32" i="2" a="1"/>
  <c r="AZ67" i="2" a="1"/>
  <c r="BB40" i="2" a="1"/>
  <c r="BZ73" i="2" a="1"/>
  <c r="BX10" i="2" a="1"/>
  <c r="BY29" i="2" a="1"/>
  <c r="BV23" i="2" a="1"/>
  <c r="AX49" i="2" a="1"/>
  <c r="CI13" i="2" a="1"/>
  <c r="AU40" i="2" a="1"/>
  <c r="CB15" i="2" a="1"/>
  <c r="AV47" i="2" a="1"/>
  <c r="AK73" i="2" a="1"/>
  <c r="BW44" i="2" a="1"/>
  <c r="BT57" i="2" a="1"/>
  <c r="AZ14" i="2" a="1"/>
  <c r="AC34" i="2" a="1"/>
  <c r="AC10" i="2" a="1"/>
  <c r="AV52" i="2" a="1"/>
  <c r="BT63" i="2" a="1"/>
  <c r="AT38" i="2" a="1"/>
  <c r="BU30" i="2" a="1"/>
  <c r="BE43" i="2" a="1"/>
  <c r="AG78" i="2" a="1"/>
  <c r="CE29" i="2" a="1"/>
  <c r="BR60" i="2" a="1"/>
  <c r="BB50" i="2" a="1"/>
  <c r="AJ63" i="2" a="1"/>
  <c r="AK66" i="2" a="1"/>
  <c r="AO23" i="2" a="1"/>
  <c r="AW49" i="2" a="1"/>
  <c r="BL80" i="2" a="1"/>
  <c r="BG27" i="2" a="1"/>
  <c r="CE47" i="2" a="1"/>
  <c r="AU75" i="2" a="1"/>
  <c r="BC29" i="2" a="1"/>
  <c r="AP49" i="2" a="1"/>
  <c r="BO31" i="2" a="1"/>
  <c r="BR71" i="2" a="1"/>
  <c r="BF28" i="2" a="1"/>
  <c r="AI47" i="2" a="1"/>
  <c r="AL13" i="2" a="1"/>
  <c r="BH31" i="2" a="1"/>
  <c r="CG41" i="2" a="1"/>
  <c r="AM55" i="2" a="1"/>
  <c r="CV53" i="2" a="1"/>
  <c r="CT13" i="2" a="1"/>
  <c r="AU45" i="2" a="1"/>
  <c r="AK74" i="2" a="1"/>
  <c r="AP20" i="2" a="1"/>
  <c r="AF66" i="2" a="1"/>
  <c r="AU63" i="2" a="1"/>
  <c r="AD74" i="2" a="1"/>
  <c r="AK29" i="2" a="1"/>
  <c r="AH54" i="2" a="1"/>
  <c r="DB65" i="2" a="1"/>
  <c r="BX23" i="2" a="1"/>
  <c r="AK10" i="2" a="1"/>
  <c r="AV45" i="2" a="1"/>
  <c r="AE66" i="2" a="1"/>
  <c r="CV37" i="2" a="1"/>
  <c r="CS53" i="2" a="1"/>
  <c r="CY38" i="2" a="1"/>
  <c r="CT15" i="2" a="1"/>
  <c r="DD65" i="2" a="1"/>
  <c r="AD73" i="2" a="1"/>
  <c r="AY80" i="2" a="1"/>
  <c r="BN59" i="2" a="1"/>
  <c r="AT14" i="2" a="1"/>
  <c r="AT40" i="2" a="1"/>
  <c r="DD72" i="2" a="1"/>
  <c r="DB25" i="2" a="1"/>
  <c r="AU76" i="2" a="1"/>
  <c r="BE15" i="2" a="1"/>
  <c r="BC41" i="2" a="1"/>
  <c r="BL57" i="2" a="1"/>
  <c r="CN81" i="2" a="1"/>
  <c r="BI44" i="2" a="1"/>
  <c r="BN69" i="2" a="1"/>
  <c r="CG13" i="2" a="1"/>
  <c r="AS41" i="2" a="1"/>
  <c r="BZ81" i="2" a="1"/>
  <c r="AW82" i="2" a="1"/>
  <c r="BX80" i="2" a="1"/>
  <c r="BH18" i="2" a="1"/>
  <c r="BV16" i="2" a="1"/>
  <c r="AF69" i="2" a="1"/>
  <c r="BJ15" i="2" a="1"/>
  <c r="BJ69" i="2" a="1"/>
  <c r="BC51" i="2" a="1"/>
  <c r="BW45" i="2" a="1"/>
  <c r="AT83" i="2" a="1"/>
  <c r="AT19" i="2" a="1"/>
  <c r="CD38" i="2" a="1"/>
  <c r="BS61" i="2" a="1"/>
  <c r="BW79" i="2" a="1"/>
  <c r="BK62" i="2" a="1"/>
  <c r="AX45" i="2" a="1"/>
  <c r="CL42" i="2" a="1"/>
  <c r="AT44" i="2" a="1"/>
  <c r="BZ33" i="2" a="1"/>
  <c r="BG20" i="2" a="1"/>
  <c r="AI76" i="2" a="1"/>
  <c r="BO37" i="2" a="1"/>
  <c r="BO69" i="2" a="1"/>
  <c r="AX10" i="2" a="1"/>
  <c r="AC28" i="2" a="1"/>
  <c r="AO48" i="2" a="1"/>
  <c r="AX38" i="2" a="1"/>
  <c r="BN79" i="2" a="1"/>
  <c r="BH27" i="2" a="1"/>
  <c r="BU18" i="2" a="1"/>
  <c r="BG32" i="2" a="1"/>
  <c r="AK72" i="2" a="1"/>
  <c r="CD47" i="2" a="1"/>
  <c r="BN34" i="2" a="1"/>
  <c r="BG49" i="2" a="1"/>
  <c r="AP67" i="2" a="1"/>
  <c r="AK48" i="2" a="1"/>
  <c r="AM12" i="2" a="1"/>
  <c r="BD37" i="2" a="1"/>
  <c r="BR56" i="2" a="1"/>
  <c r="BG35" i="2" a="1"/>
  <c r="CB27" i="2" a="1"/>
  <c r="AX66" i="2" a="1"/>
  <c r="BC19" i="2" a="1"/>
  <c r="AN76" i="2" a="1"/>
  <c r="BO27" i="2" a="1"/>
  <c r="BS80" i="2" a="1"/>
  <c r="BF16" i="2" a="1"/>
  <c r="CB51" i="2" a="1"/>
  <c r="BR64" i="2" a="1"/>
  <c r="CE53" i="2" a="1"/>
  <c r="BQ38" i="2" a="1"/>
  <c r="BP76" i="2" a="1"/>
  <c r="CM17" i="2" a="1"/>
  <c r="BE64" i="2" a="1"/>
  <c r="CJ25" i="2" a="1"/>
  <c r="AX48" i="2" a="1"/>
  <c r="BV59" i="2" a="1"/>
  <c r="AX11" i="2" a="1"/>
  <c r="BP34" i="2" a="1"/>
  <c r="AI80" i="2" a="1"/>
  <c r="BO70" i="2" a="1"/>
  <c r="CD10" i="2" a="1"/>
  <c r="AL11" i="2" a="1"/>
  <c r="BL48" i="2" a="1"/>
  <c r="BR25" i="2" a="1"/>
  <c r="AL37" i="2" a="1"/>
  <c r="BA63" i="2" a="1"/>
  <c r="AS10" i="2" a="1"/>
  <c r="BN50" i="2" a="1"/>
  <c r="AQ72" i="2" a="1"/>
  <c r="AF74" i="2" a="1"/>
  <c r="AH81" i="2" a="1"/>
  <c r="BW68" i="2" a="1"/>
  <c r="AL65" i="2" a="1"/>
  <c r="AO36" i="2" a="1"/>
  <c r="BB20" i="2" a="1"/>
  <c r="BZ79" i="2" a="1"/>
  <c r="CY53" i="2" a="1"/>
  <c r="BO62" i="2" a="1"/>
  <c r="BP61" i="2" a="1"/>
  <c r="AJ29" i="2" a="1"/>
  <c r="AU65" i="2" a="1"/>
  <c r="BQ81" i="2" a="1"/>
  <c r="AM45" i="2" a="1"/>
  <c r="AZ52" i="2" a="1"/>
  <c r="AW20" i="2" a="1"/>
  <c r="CK54" i="2" a="1"/>
  <c r="AQ38" i="2" a="1"/>
  <c r="AI67" i="2" a="1"/>
  <c r="CW73" i="2" a="1"/>
  <c r="BX42" i="2" a="1"/>
  <c r="AQ71" i="2" a="1"/>
  <c r="AF18" i="2" a="1"/>
  <c r="AR80" i="2" a="1"/>
  <c r="BO71" i="2" a="1"/>
  <c r="DD69" i="2" a="1"/>
  <c r="AO14" i="2" a="1"/>
  <c r="AF63" i="2" a="1"/>
  <c r="CX37" i="2" a="1"/>
  <c r="CS64" i="2" a="1"/>
  <c r="DB20" i="2" a="1"/>
  <c r="DB72" i="2" a="1"/>
  <c r="CD15" i="2" a="1"/>
  <c r="BO34" i="2" a="1"/>
  <c r="CY70" i="2" a="1"/>
  <c r="BL81" i="2" a="1"/>
  <c r="AM79" i="2" a="1"/>
  <c r="AG31" i="2" a="1"/>
  <c r="BL82" i="2" a="1"/>
  <c r="AI69" i="2" a="1"/>
  <c r="BF49" i="2" a="1"/>
  <c r="DB69" i="2" a="1"/>
  <c r="AN54" i="2" a="1"/>
  <c r="BZ37" i="2" a="1"/>
  <c r="CW75" i="2" a="1"/>
  <c r="CR23" i="2" a="1"/>
  <c r="CX65" i="2" a="1"/>
  <c r="CY39" i="2" a="1"/>
  <c r="CZ25" i="2" a="1"/>
  <c r="BE48" i="2" a="1"/>
  <c r="BY25" i="2" a="1"/>
  <c r="AJ31" i="2" a="1"/>
  <c r="BS77" i="2" a="1"/>
  <c r="AF25" i="2" a="1"/>
  <c r="BN77" i="2" a="1"/>
  <c r="AN67" i="2" a="1"/>
  <c r="CZ73" i="2" a="1"/>
  <c r="AJ30" i="2" a="1"/>
  <c r="CQ79" i="2" a="1"/>
  <c r="CS16" i="2" a="1"/>
  <c r="DD14" i="2" a="1"/>
  <c r="CU20" i="2" a="1"/>
  <c r="CZ75" i="2" a="1"/>
  <c r="BF70" i="2" a="1"/>
  <c r="AP36" i="2" a="1"/>
  <c r="AV81" i="2" a="1"/>
  <c r="AK26" i="2" a="1"/>
  <c r="CS65" i="2" a="1"/>
  <c r="AX76" i="2" a="1"/>
  <c r="AZ44" i="2" a="1"/>
  <c r="AJ20" i="2" a="1"/>
  <c r="AU44" i="2" a="1"/>
  <c r="CE45" i="2" a="1"/>
  <c r="AF54" i="2" a="1"/>
  <c r="BG67" i="2" a="1"/>
  <c r="BC14" i="2" a="1"/>
  <c r="CM15" i="2" a="1"/>
  <c r="AN31" i="2" a="1"/>
  <c r="AY68" i="2" a="1"/>
  <c r="CZ68" i="2" a="1"/>
  <c r="BR62" i="2" a="1"/>
  <c r="AQ46" i="2" a="1"/>
  <c r="AH10" i="2" a="1"/>
  <c r="AF73" i="2" a="1"/>
  <c r="BG14" i="2" a="1"/>
  <c r="DD63" i="2" a="1"/>
  <c r="AJ43" i="2" a="1"/>
  <c r="AD31" i="2" a="1"/>
  <c r="CO63" i="2" a="1"/>
  <c r="CZ67" i="2" a="1"/>
  <c r="AI46" i="2" a="1"/>
  <c r="DD55" i="2" a="1"/>
  <c r="BP69" i="2" a="1"/>
  <c r="BO14" i="2" a="1"/>
  <c r="CX67" i="2" a="1"/>
  <c r="BJ58" i="2" a="1"/>
  <c r="AL72" i="2" a="1"/>
  <c r="AI12" i="2" a="1"/>
  <c r="BS65" i="2" a="1"/>
  <c r="AJ66" i="2" a="1"/>
  <c r="AT35" i="2" a="1"/>
  <c r="CY64" i="2" a="1"/>
  <c r="AN24" i="2" a="1"/>
  <c r="BL74" i="2" a="1"/>
  <c r="BL19" i="2" a="1"/>
  <c r="CR16" i="2" a="1"/>
  <c r="CQ37" i="2" a="1"/>
  <c r="CW65" i="2" a="1"/>
  <c r="DD18" i="2" a="1"/>
  <c r="AW31" i="2" a="1"/>
  <c r="BP13" i="2" a="1"/>
  <c r="AP52" i="2" a="1"/>
  <c r="BV17" i="2" a="1"/>
  <c r="AF68" i="2" a="1"/>
  <c r="BX39" i="2" a="1"/>
  <c r="AM48" i="2" a="1"/>
  <c r="CV73" i="2" a="1"/>
  <c r="AM38" i="2" a="1"/>
  <c r="CQ73" i="2" a="1"/>
  <c r="DB36" i="2" a="1"/>
  <c r="CO41" i="2" a="1"/>
  <c r="BD35" i="2" a="1"/>
  <c r="CO70" i="2" a="1"/>
  <c r="BE73" i="2" a="1"/>
  <c r="AP26" i="2" a="1"/>
  <c r="AV42" i="2" a="1"/>
  <c r="AC18" i="2" a="1"/>
  <c r="CO69" i="2" a="1"/>
  <c r="CQ78" i="2" a="1"/>
  <c r="DB71" i="2" a="1"/>
  <c r="DB38" i="2" a="1"/>
  <c r="DD68" i="2" a="1"/>
  <c r="CX34" i="2" a="1"/>
  <c r="AC15" i="2" a="1"/>
  <c r="BJ38" i="2" a="1"/>
  <c r="AJ46" i="2" a="1"/>
  <c r="AO21" i="2" a="1"/>
  <c r="AH19" i="2" a="1"/>
  <c r="BE10" i="2" a="1"/>
  <c r="DA41" i="2" a="1"/>
  <c r="BC47" i="2" a="1"/>
  <c r="AV33" i="2" a="1"/>
  <c r="AO27" i="2" a="1"/>
  <c r="AV41" i="2" a="1"/>
  <c r="BL59" i="2" a="1"/>
  <c r="AJ27" i="2" a="1"/>
  <c r="BD33" i="2" a="1"/>
  <c r="AW23" i="2" a="1"/>
  <c r="BU42" i="2" a="1"/>
  <c r="AI27" i="2" a="1"/>
  <c r="BC63" i="2" a="1"/>
  <c r="CT78" i="2" a="1"/>
  <c r="BF68" i="2" a="1"/>
  <c r="AF27" i="2" a="1"/>
  <c r="BM83" i="2" a="1"/>
  <c r="AD82" i="2" a="1"/>
  <c r="BB38" i="2" a="1"/>
  <c r="DC54" i="2" a="1"/>
  <c r="AJ21" i="2" a="1"/>
  <c r="AP66" i="2" a="1"/>
  <c r="DD17" i="2" a="1"/>
  <c r="CP53" i="2" a="1"/>
  <c r="AG45" i="2" a="1"/>
  <c r="CY16" i="2" a="1"/>
  <c r="BW12" i="2" a="1"/>
  <c r="CB25" i="2" a="1"/>
  <c r="CT54" i="2" a="1"/>
  <c r="BQ65" i="2" a="1"/>
  <c r="AO80" i="2" a="1"/>
  <c r="AK63" i="2" a="1"/>
  <c r="BL73" i="2" a="1"/>
  <c r="AC79" i="2" a="1"/>
  <c r="BB35" i="2" a="1"/>
  <c r="CQ52" i="2" a="1"/>
  <c r="AH27" i="2" a="1"/>
  <c r="BL46" i="2" a="1"/>
  <c r="BD17" i="2" a="1"/>
  <c r="CZ11" i="2" a="1"/>
  <c r="CU75" i="2" a="1"/>
  <c r="CO23" i="2" a="1"/>
  <c r="CW41" i="2" a="1"/>
  <c r="CH33" i="2" a="1"/>
  <c r="AU73" i="2" a="1"/>
  <c r="AM31" i="2" a="1"/>
  <c r="BV48" i="2" a="1"/>
  <c r="AQ48" i="2" a="1"/>
  <c r="BH71" i="2" a="1"/>
  <c r="AK37" i="2" a="1"/>
  <c r="DA66" i="2" a="1"/>
  <c r="CV79" i="2" a="1"/>
  <c r="DA72" i="2" a="1"/>
  <c r="BD46" i="2" a="1"/>
  <c r="BR63" i="2" a="1"/>
  <c r="BW32" i="2" a="1"/>
  <c r="CT52" i="2" a="1"/>
  <c r="BF43" i="2" a="1"/>
  <c r="AE18" i="2" a="1"/>
  <c r="BB46" i="2" a="1"/>
  <c r="AL47" i="2" a="1"/>
  <c r="CS68" i="2" a="1"/>
  <c r="CQ72" i="2" a="1"/>
  <c r="CE81" i="2" a="1"/>
  <c r="CW17" i="2" a="1"/>
  <c r="DA10" i="2" a="1"/>
  <c r="DB14" i="2" a="1"/>
  <c r="AM16" i="2" a="1"/>
  <c r="BQ68" i="2" a="1"/>
  <c r="CO83" i="2" a="1"/>
  <c r="CB45" i="2" a="1"/>
  <c r="AH14" i="2" a="1"/>
  <c r="AR49" i="2" a="1"/>
  <c r="DD23" i="2" a="1"/>
  <c r="AC12" i="2" a="1"/>
  <c r="AW16" i="2" a="1"/>
  <c r="CQ68" i="2" a="1"/>
  <c r="BV37" i="2" a="1"/>
  <c r="CS15" i="2" a="1"/>
  <c r="AG37" i="2" a="1"/>
  <c r="AK64" i="2" a="1"/>
  <c r="AG12" i="2" a="1"/>
  <c r="AP31" i="2" a="1"/>
  <c r="AE67" i="2" a="1"/>
  <c r="AM78" i="2" a="1"/>
  <c r="CR72" i="2" a="1"/>
  <c r="AM75" i="2" a="1"/>
  <c r="CL70" i="2" a="1"/>
  <c r="AG53" i="2" a="1"/>
  <c r="BD74" i="2" a="1"/>
  <c r="DD53" i="2" a="1"/>
  <c r="AD16" i="2" a="1"/>
  <c r="BM27" i="2" a="1"/>
  <c r="DD71" i="2" a="1"/>
  <c r="CJ68" i="2" a="1"/>
  <c r="BZ75" i="2" a="1"/>
  <c r="CY72" i="2" a="1"/>
  <c r="AW33" i="2" a="1"/>
  <c r="BV28" i="2" a="1"/>
  <c r="AC13" i="2" a="1"/>
  <c r="AX32" i="2" a="1"/>
  <c r="AG76" i="2" a="1"/>
  <c r="BM20" i="2" a="1"/>
  <c r="AC36" i="2" a="1"/>
  <c r="AE79" i="2" a="1"/>
  <c r="CP69" i="2" a="1"/>
  <c r="BG76" i="2" a="1"/>
  <c r="AH64" i="2" a="1"/>
  <c r="BU38" i="2" a="1"/>
  <c r="AG71" i="2" a="1"/>
  <c r="AT13" i="2" a="1"/>
  <c r="CO64" i="2" a="1"/>
  <c r="AO29" i="2" a="1"/>
  <c r="AJ14" i="2" a="1"/>
  <c r="CS11" i="2" a="1"/>
  <c r="CQ29" i="2" a="1"/>
  <c r="AR36" i="2" a="1"/>
  <c r="CY25" i="2" a="1"/>
  <c r="BP12" i="2" a="1"/>
  <c r="BM16" i="2" a="1"/>
  <c r="CZ72" i="2" a="1"/>
  <c r="BT81" i="2" a="1"/>
  <c r="AQ68" i="2" a="1"/>
  <c r="AD35" i="2" a="1"/>
  <c r="AZ74" i="2" a="1"/>
  <c r="AN48" i="2" a="1"/>
  <c r="AY35" i="2" a="1"/>
  <c r="DA55" i="2" a="1"/>
  <c r="AC49" i="2" a="1"/>
  <c r="BE49" i="2" a="1"/>
  <c r="AE70" i="2" a="1"/>
  <c r="CZ9" i="2" a="1"/>
  <c r="CR54" i="2" a="1"/>
  <c r="CU14" i="2" a="1"/>
  <c r="DB37" i="2" a="1"/>
  <c r="BW43" i="2" a="1"/>
  <c r="BF25" i="2" a="1"/>
  <c r="CX75" i="2" a="1"/>
  <c r="BF72" i="2" a="1"/>
  <c r="AP37" i="2" a="1"/>
  <c r="AT76" i="2" a="1"/>
  <c r="AK18" i="2" a="1"/>
  <c r="DA70" i="2" a="1"/>
  <c r="CT73" i="2" a="1"/>
  <c r="BE9" i="2" a="1"/>
  <c r="AH29" i="2" a="1"/>
  <c r="AC71" i="2" a="1"/>
  <c r="AS79" i="2" a="1"/>
  <c r="CV65" i="2" a="1"/>
  <c r="AW50" i="2" a="1"/>
  <c r="AC48" i="2" a="1"/>
  <c r="AT50" i="2" a="1"/>
  <c r="AL26" i="2" a="1"/>
  <c r="CY29" i="2" a="1"/>
  <c r="CT75" i="2" a="1"/>
  <c r="BE19" i="2" a="1"/>
  <c r="BD43" i="2" a="1"/>
  <c r="CU23" i="2" a="1"/>
  <c r="CU16" i="2" a="1"/>
  <c r="CZ83" i="2" a="1"/>
  <c r="BI67" i="2" a="1"/>
  <c r="CV67" i="2" a="1"/>
  <c r="BJ14" i="2" a="1"/>
  <c r="AF13" i="2" a="1"/>
  <c r="AQ17" i="2" a="1"/>
  <c r="DA20" i="2" a="1"/>
  <c r="CT64" i="2" a="1"/>
  <c r="AJ64" i="2" a="1"/>
  <c r="CO73" i="2" a="1"/>
  <c r="AD28" i="2" a="1"/>
  <c r="BE25" i="2" a="1"/>
  <c r="AI10" i="2" a="1"/>
  <c r="BM71" i="2" a="1"/>
  <c r="AO16" i="2" a="1"/>
  <c r="AG20" i="2" a="1"/>
  <c r="DA77" i="2" a="1"/>
  <c r="AQ16" i="2" a="1"/>
  <c r="CW18" i="2" a="1"/>
  <c r="AF48" i="2" a="1"/>
  <c r="AM76" i="2" a="1"/>
  <c r="AR21" i="2" a="1"/>
  <c r="CS35" i="2" a="1"/>
  <c r="BQ75" i="2" a="1"/>
  <c r="AR12" i="2" a="1"/>
  <c r="AH12" i="2" a="1"/>
  <c r="DC18" i="2" a="1"/>
  <c r="CU52" i="2" a="1"/>
  <c r="AD48" i="2" a="1"/>
  <c r="CA28" i="2" a="1"/>
  <c r="CQ66" i="2" a="1"/>
  <c r="BE17" i="2" a="1"/>
  <c r="AM44" i="2" a="1"/>
  <c r="CZ10" i="2" a="1"/>
  <c r="AJ13" i="2" a="1"/>
  <c r="CP78" i="2" a="1"/>
  <c r="AM47" i="2" a="1"/>
  <c r="AH53" i="2" a="1"/>
  <c r="CR83" i="2" a="1"/>
  <c r="CW71" i="2" a="1"/>
  <c r="AJ28" i="2" a="1"/>
  <c r="AI70" i="2" a="1"/>
  <c r="CZ39" i="2" a="1"/>
  <c r="AI73" i="2" a="1"/>
  <c r="CV41" i="2" a="1"/>
  <c r="BJ34" i="2" a="1"/>
  <c r="CT83" i="2" a="1"/>
  <c r="CR38" i="2" a="1"/>
  <c r="AD29" i="2" a="1"/>
  <c r="CT39" i="2" a="1"/>
  <c r="BN72" i="2" a="1"/>
  <c r="DA23" i="2" a="1"/>
  <c r="AD69" i="2" a="1"/>
  <c r="AE27" i="2" a="1"/>
  <c r="BW33" i="2" a="1"/>
  <c r="CA20" i="2" a="1"/>
  <c r="BC48" i="2" a="1"/>
  <c r="BC30" i="2" a="1"/>
  <c r="BH70" i="2" a="1"/>
  <c r="AI81" i="2" a="1"/>
  <c r="AX9" i="2" a="1"/>
  <c r="AK77" i="2" a="1"/>
  <c r="BP33" i="2" a="1"/>
  <c r="AC21" i="2" a="1"/>
  <c r="AM67" i="2" a="1"/>
  <c r="CV64" i="2" a="1"/>
  <c r="AY67" i="2" a="1"/>
  <c r="AP46" i="2" a="1"/>
  <c r="BV73" i="2" a="1"/>
  <c r="AC70" i="2" a="1"/>
  <c r="AG66" i="2" a="1"/>
  <c r="CX41" i="2" a="1"/>
  <c r="AJ68" i="2" a="1"/>
  <c r="AE21" i="2" a="1"/>
  <c r="CP18" i="2" a="1"/>
  <c r="DA38" i="2" a="1"/>
  <c r="CQ83" i="2" a="1"/>
  <c r="BM79" i="2" a="1"/>
  <c r="AZ55" i="2" a="1"/>
  <c r="BX32" i="2" a="1"/>
  <c r="CV52" i="2" a="1"/>
  <c r="BL13" i="2" a="1"/>
  <c r="AG67" i="2" a="1"/>
  <c r="AH9" i="2" a="1"/>
  <c r="BH65" i="2" a="1"/>
  <c r="AC65" i="2" a="1"/>
  <c r="BF11" i="2" a="1"/>
  <c r="CX72" i="2" a="1"/>
  <c r="AD18" i="2" a="1"/>
  <c r="BA29" i="2" a="1"/>
  <c r="AD38" i="2" a="1"/>
  <c r="DB16" i="2" a="1"/>
  <c r="CU34" i="2" a="1"/>
  <c r="BA77" i="2" a="1"/>
  <c r="CX18" i="2" a="1"/>
  <c r="BK73" i="2" a="1"/>
  <c r="AR79" i="2" a="1"/>
  <c r="CZ77" i="2" a="1"/>
  <c r="BE77" i="2" a="1"/>
  <c r="AP27" i="2" a="1"/>
  <c r="AY64" i="2" a="1"/>
  <c r="AK49" i="2" a="1"/>
  <c r="CP52" i="2" a="1"/>
  <c r="CS73" i="2" a="1"/>
  <c r="AI17" i="2" a="1"/>
  <c r="AJ19" i="2" a="1"/>
  <c r="AD9" i="2" a="1"/>
  <c r="BB14" i="2" a="1"/>
  <c r="DC72" i="2" a="1"/>
  <c r="AY55" i="2" a="1"/>
  <c r="AG27" i="2" a="1"/>
  <c r="BD20" i="2" a="1"/>
  <c r="BO60" i="2" a="1"/>
  <c r="CX36" i="2" a="1"/>
  <c r="CY54" i="2" a="1"/>
  <c r="AL24" i="2" a="1"/>
  <c r="AE53" i="2" a="1"/>
  <c r="BN23" i="2" a="1"/>
  <c r="AZ37" i="2" a="1"/>
  <c r="CY69" i="2" a="1"/>
  <c r="BX45" i="2" a="1"/>
  <c r="BV14" i="2" a="1"/>
  <c r="BF42" i="2" a="1"/>
  <c r="AY53" i="2" a="1"/>
  <c r="AW28" i="2" a="1"/>
  <c r="AT74" i="2" a="1"/>
  <c r="AR44" i="2" a="1"/>
  <c r="AL78" i="2" a="1"/>
  <c r="AE71" i="2" a="1"/>
  <c r="BV43" i="2" a="1"/>
  <c r="AP55" i="2" a="1"/>
  <c r="AD63" i="2" a="1"/>
  <c r="CV71" i="2" a="1"/>
  <c r="AY82" i="2" a="1"/>
  <c r="AP35" i="2" a="1"/>
  <c r="BL25" i="2" a="1"/>
  <c r="AM70" i="2" a="1"/>
  <c r="AL48" i="2" a="1"/>
  <c r="CR36" i="2" a="1"/>
  <c r="AR25" i="2" a="1"/>
  <c r="AF10" i="2" a="1"/>
  <c r="CO27" i="2" a="1"/>
  <c r="CW70" i="2" a="1"/>
  <c r="DC73" i="2" a="1"/>
  <c r="BB48" i="2" a="1"/>
  <c r="AZ48" i="2" a="1"/>
  <c r="AS52" i="2" a="1"/>
  <c r="DC69" i="2" a="1"/>
  <c r="BW74" i="2" a="1"/>
  <c r="AL63" i="2" a="1"/>
  <c r="AR31" i="2" a="1"/>
  <c r="AS50" i="2" a="1"/>
  <c r="AI45" i="2" a="1"/>
  <c r="AQ80" i="2" a="1"/>
  <c r="CY41" i="2" a="1"/>
  <c r="AD10" i="2" a="1"/>
  <c r="AM82" i="2" a="1"/>
  <c r="AJ24" i="2" a="1"/>
  <c r="AR26" i="2" a="1"/>
  <c r="CO11" i="2" a="1"/>
  <c r="AM80" i="2" a="1"/>
  <c r="CX14" i="2" a="1"/>
  <c r="BL37" i="2" a="1"/>
  <c r="AX51" i="2" a="1"/>
  <c r="CT53" i="2" a="1"/>
  <c r="BF47" i="2" a="1"/>
  <c r="AC50" i="2" a="1"/>
  <c r="AX77" i="2" a="1"/>
  <c r="AL28" i="2" a="1"/>
  <c r="CQ34" i="2" a="1"/>
  <c r="DB55" i="2" a="1"/>
  <c r="AK11" i="2" a="1"/>
  <c r="CQ70" i="2" a="1"/>
  <c r="AM43" i="2" a="1"/>
  <c r="BN78" i="2" a="1"/>
  <c r="CU63" i="2" a="1"/>
  <c r="BD23" i="2" a="1"/>
  <c r="AI14" i="2" a="1"/>
  <c r="BF29" i="2" a="1"/>
  <c r="BE79" i="2" a="1"/>
  <c r="CU37" i="2" a="1"/>
  <c r="DD64" i="2" a="1"/>
  <c r="AO35" i="2" a="1"/>
  <c r="AK9" i="2" a="1"/>
  <c r="AL64" i="2" a="1"/>
  <c r="BR44" i="2" a="1"/>
  <c r="CT65" i="2" a="1"/>
  <c r="BF64" i="2" a="1"/>
  <c r="CY11" i="2" a="1"/>
  <c r="BH54" i="2" a="1"/>
  <c r="DA83" i="2" a="1"/>
  <c r="AF12" i="2" a="1"/>
  <c r="CO9" i="2" a="1"/>
  <c r="DC38" i="2" a="1"/>
  <c r="AM52" i="2" a="1"/>
  <c r="AU47" i="2" a="1"/>
  <c r="CZ64" i="2" a="1"/>
  <c r="AT82" i="2" a="1"/>
  <c r="AE37" i="2" a="1"/>
  <c r="AD72" i="2" a="1"/>
  <c r="AU78" i="2" a="1"/>
  <c r="AO26" i="2" a="1"/>
  <c r="BA17" i="2" a="1"/>
  <c r="CS54" i="2" a="1"/>
  <c r="CY63" i="2" a="1"/>
  <c r="AI72" i="2" a="1"/>
  <c r="AM15" i="2" a="1"/>
  <c r="CR65" i="2" a="1"/>
  <c r="CU70" i="2" a="1"/>
  <c r="AO46" i="2" a="1"/>
  <c r="CR66" i="2" a="1"/>
  <c r="CX68" i="2" a="1"/>
  <c r="CR77" i="2" a="1"/>
  <c r="AH21" i="2" a="1"/>
  <c r="CV68" i="2" a="1"/>
  <c r="BD52" i="2" a="1"/>
  <c r="DC34" i="2" a="1"/>
  <c r="AW72" i="2" a="1"/>
  <c r="AV14" i="2" a="1"/>
  <c r="AY70" i="2" a="1"/>
  <c r="BF13" i="2" a="1"/>
  <c r="AS44" i="2" a="1"/>
  <c r="CO75" i="2" a="1"/>
  <c r="AP81" i="2" a="1"/>
  <c r="AH76" i="2" a="1"/>
  <c r="AV77" i="2" a="1"/>
  <c r="AL35" i="2" a="1"/>
  <c r="AF46" i="2" a="1"/>
  <c r="CU66" i="2" a="1"/>
  <c r="AW42" i="2" a="1"/>
  <c r="AP29" i="2" a="1"/>
  <c r="BP20" i="2" a="1"/>
  <c r="AD52" i="2" a="1"/>
  <c r="AN29" i="2" a="1"/>
  <c r="CZ27" i="2" a="1"/>
  <c r="DC79" i="2" a="1"/>
  <c r="AO28" i="2" a="1"/>
  <c r="CR17" i="2" a="1"/>
  <c r="CV20" i="2" a="1"/>
  <c r="CY55" i="2" a="1"/>
  <c r="AU11" i="2" a="1"/>
  <c r="BH19" i="2" a="1"/>
  <c r="AU37" i="2" a="1"/>
  <c r="CU54" i="2" a="1"/>
  <c r="BN15" i="2" a="1"/>
  <c r="AL51" i="2" a="1"/>
  <c r="AJ15" i="2" a="1"/>
  <c r="BG66" i="2" a="1"/>
  <c r="AQ29" i="2" a="1"/>
  <c r="AH78" i="2" a="1"/>
  <c r="CV35" i="2" a="1"/>
  <c r="AD24" i="2" a="1"/>
  <c r="AC73" i="2" a="1"/>
  <c r="AR28" i="2" a="1"/>
  <c r="CX66" i="2" a="1"/>
  <c r="CW25" i="2" a="1"/>
  <c r="AN21" i="2" a="1"/>
  <c r="CT17" i="2" a="1"/>
  <c r="AV83" i="2" a="1"/>
  <c r="CB34" i="2" a="1"/>
  <c r="CV66" i="2" a="1"/>
  <c r="AT34" i="2" a="1"/>
  <c r="AG29" i="2" a="1"/>
  <c r="AV27" i="2" a="1"/>
  <c r="BJ46" i="2" a="1"/>
  <c r="DA37" i="2" a="1"/>
  <c r="CS66" i="2" a="1"/>
  <c r="CW79" i="2" a="1"/>
  <c r="CO68" i="2" a="1"/>
  <c r="AX64" i="2" a="1"/>
  <c r="DD41" i="2" a="1"/>
  <c r="BA30" i="2" a="1"/>
  <c r="BG10" i="2" a="1"/>
  <c r="BD29" i="2" a="1"/>
  <c r="DB73" i="2" a="1"/>
  <c r="AD19" i="2" a="1"/>
  <c r="BG47" i="2" a="1"/>
  <c r="AS65" i="2" a="1"/>
  <c r="AZ47" i="2" a="1"/>
  <c r="AR11" i="2" a="1"/>
  <c r="CW16" i="2" a="1"/>
  <c r="AM74" i="2" a="1"/>
  <c r="AC20" i="2" a="1"/>
  <c r="AG69" i="2" a="1"/>
  <c r="AM83" i="2" a="1"/>
  <c r="BH20" i="2" a="1"/>
  <c r="AQ73" i="2" a="1"/>
  <c r="CC28" i="2" a="1"/>
  <c r="AE77" i="2" a="1"/>
  <c r="AW63" i="2" a="1"/>
  <c r="CT55" i="2" a="1"/>
  <c r="AR64" i="2" a="1"/>
  <c r="AD65" i="2" a="1"/>
  <c r="AZ45" i="2" a="1"/>
  <c r="AL25" i="2" a="1"/>
  <c r="CJ38" i="2" a="1"/>
  <c r="CU55" i="2" a="1"/>
  <c r="BF40" i="2" a="1"/>
  <c r="AP25" i="2" a="1"/>
  <c r="BL40" i="2" a="1"/>
  <c r="AJ49" i="2" a="1"/>
  <c r="AH34" i="2" a="1"/>
  <c r="CO38" i="2" a="1"/>
  <c r="DB70" i="2" a="1"/>
  <c r="AM24" i="2" a="1"/>
  <c r="CR13" i="2" a="1"/>
  <c r="DA11" i="2" a="1"/>
  <c r="CZ69" i="2" a="1"/>
  <c r="AJ70" i="2" a="1"/>
  <c r="AJ75" i="2" a="1"/>
  <c r="BG40" i="2" a="1"/>
  <c r="CZ66" i="2" a="1"/>
  <c r="BF66" i="2" a="1"/>
  <c r="AN45" i="2" a="1"/>
  <c r="AR67" i="2" a="1"/>
  <c r="BA36" i="2" a="1"/>
  <c r="AQ25" i="2" a="1"/>
  <c r="AI49" i="2" a="1"/>
  <c r="CU27" i="2" a="1"/>
  <c r="AR43" i="2" a="1"/>
  <c r="AN23" i="2" a="1"/>
  <c r="CT71" i="2" a="1"/>
  <c r="CY27" i="2" a="1"/>
  <c r="DB31" i="2" a="1"/>
  <c r="AD17" i="2" a="1"/>
  <c r="CO31" i="2" a="1"/>
  <c r="AV23" i="2" a="1"/>
  <c r="AZ83" i="2" a="1"/>
  <c r="CU64" i="2" a="1"/>
  <c r="AV28" i="2" a="1"/>
  <c r="AI15" i="2" a="1"/>
  <c r="BF31" i="2" a="1"/>
  <c r="BF65" i="2" a="1"/>
  <c r="CZ38" i="2" a="1"/>
  <c r="CX70" i="2" a="1"/>
  <c r="CS67" i="2" a="1"/>
  <c r="DC63" i="2" a="1"/>
  <c r="DA53" i="2" a="1"/>
  <c r="AY51" i="2" a="1"/>
  <c r="DD29" i="2" a="1"/>
  <c r="AW11" i="2" a="1"/>
  <c r="AE13" i="2" a="1"/>
  <c r="AZ31" i="2" a="1"/>
  <c r="AU15" i="2" a="1"/>
  <c r="CV13" i="2" a="1"/>
  <c r="BL39" i="2" a="1"/>
  <c r="DA64" i="2" a="1"/>
  <c r="DD66" i="2" a="1"/>
  <c r="AJ16" i="2" a="1"/>
  <c r="AL76" i="2" a="1"/>
  <c r="CV55" i="2" a="1"/>
  <c r="BG53" i="2" a="1"/>
  <c r="BI9" i="2" a="1"/>
  <c r="AU35" i="2" a="1"/>
  <c r="CP63" i="2" a="1"/>
  <c r="DB79" i="2" a="1"/>
  <c r="CZ31" i="2" a="1"/>
  <c r="BJ18" i="2" a="1"/>
  <c r="BC66" i="2" a="1"/>
  <c r="AN18" i="2" a="1"/>
  <c r="CU10" i="2" a="1"/>
  <c r="AM10" i="2" a="1"/>
  <c r="CE37" i="2" a="1"/>
  <c r="AQ14" i="2" a="1"/>
  <c r="DA9" i="2" a="1"/>
  <c r="BH63" i="2" a="1"/>
  <c r="AF14" i="2" a="1"/>
  <c r="CS71" i="2" a="1"/>
  <c r="CS25" i="2" a="1"/>
  <c r="AE20" i="2" a="1"/>
  <c r="CZ29" i="2" a="1"/>
  <c r="AV10" i="2" a="1"/>
  <c r="AO65" i="2" a="1"/>
  <c r="BT62" i="2" a="1"/>
  <c r="AH72" i="2" a="1"/>
  <c r="AZ32" i="2" a="1"/>
  <c r="BB53" i="2" a="1"/>
  <c r="AO69" i="2" a="1"/>
  <c r="AF47" i="2" a="1"/>
  <c r="AU41" i="2" a="1"/>
  <c r="AL17" i="2" a="1"/>
  <c r="BR83" i="2" a="1"/>
  <c r="CS29" i="2" a="1"/>
  <c r="BE45" i="2" a="1"/>
  <c r="AM17" i="2" a="1"/>
  <c r="BH67" i="2" a="1"/>
  <c r="AI38" i="2" a="1"/>
  <c r="AI77" i="2" a="1"/>
  <c r="CE49" i="2" a="1"/>
  <c r="CY65" i="2" a="1"/>
  <c r="AC9" i="2" a="1"/>
  <c r="CW20" i="2" a="1"/>
  <c r="DA18" i="2" a="1"/>
  <c r="CX54" i="2" a="1"/>
  <c r="BU25" i="2" a="1"/>
  <c r="BY16" i="2" a="1"/>
  <c r="AT17" i="2" a="1"/>
  <c r="DA27" i="2" a="1"/>
  <c r="BE81" i="2" a="1"/>
  <c r="AI37" i="2" a="1"/>
  <c r="AE44" i="2" a="1"/>
  <c r="AV35" i="2" a="1"/>
  <c r="AQ20" i="2" a="1"/>
  <c r="AH28" i="2" a="1"/>
  <c r="DA31" i="2" a="1"/>
  <c r="AR10" i="2" a="1"/>
  <c r="AH47" i="2" a="1"/>
  <c r="CY66" i="2" a="1"/>
  <c r="CO13" i="2" a="1"/>
  <c r="DA13" i="2" a="1"/>
  <c r="AC80" i="2" a="1"/>
  <c r="CZ15" i="2" a="1"/>
  <c r="AW32" i="2" a="1"/>
  <c r="BE20" i="2" a="1"/>
  <c r="CR55" i="2" a="1"/>
  <c r="BA32" i="2" a="1"/>
  <c r="AG50" i="2" a="1"/>
  <c r="BG11" i="2" a="1"/>
  <c r="BH37" i="2" a="1"/>
  <c r="CV25" i="2" a="1"/>
  <c r="BJ10" i="2" a="1"/>
  <c r="CX55" i="2" a="1"/>
  <c r="CQ35" i="2" a="1"/>
  <c r="CR69" i="2" a="1"/>
  <c r="AK75" i="2" a="1"/>
  <c r="CS39" i="2" a="1"/>
  <c r="AU32" i="2" a="1"/>
  <c r="AM23" i="2" a="1"/>
  <c r="BB30" i="2" a="1"/>
  <c r="AI68" i="2" a="1"/>
  <c r="BI65" i="2" a="1"/>
  <c r="BG80" i="2" a="1"/>
  <c r="DC53" i="2" a="1"/>
  <c r="CP55" i="2" a="1"/>
  <c r="CQ65" i="2" a="1"/>
  <c r="BU14" i="2" a="1"/>
  <c r="DA68" i="2" a="1"/>
  <c r="BC72" i="2" a="1"/>
  <c r="AV49" i="2" a="1"/>
  <c r="BF17" i="2" a="1"/>
  <c r="CZ55" i="2" a="1"/>
  <c r="AN30" i="2" a="1"/>
  <c r="DB9" i="2" a="1"/>
  <c r="AT39" i="2" a="1"/>
  <c r="AN20" i="2" a="1"/>
  <c r="AQ15" i="2" a="1"/>
  <c r="CR64" i="2" a="1"/>
  <c r="CR70" i="2" a="1"/>
  <c r="BM25" i="2" a="1"/>
  <c r="AK55" i="2" a="1"/>
  <c r="CP11" i="2" a="1"/>
  <c r="AY52" i="2" a="1"/>
  <c r="CV27" i="2" a="1"/>
  <c r="BU44" i="2" a="1"/>
  <c r="CT18" i="2" a="1"/>
  <c r="CC55" i="2" a="1"/>
  <c r="AL52" i="2" a="1"/>
  <c r="DC20" i="2" a="1"/>
  <c r="AU27" i="2" a="1"/>
  <c r="BF54" i="2" a="1"/>
  <c r="CY31" i="2" a="1"/>
  <c r="CX35" i="2" a="1"/>
  <c r="CW72" i="2" a="1"/>
  <c r="CC52" i="2" a="1"/>
  <c r="CZ65" i="2" a="1"/>
  <c r="BE32" i="2" a="1"/>
  <c r="AK53" i="2" a="1"/>
  <c r="AR82" i="2" a="1"/>
  <c r="AN36" i="2" a="1"/>
  <c r="CV31" i="2" a="1"/>
  <c r="AU52" i="2" a="1"/>
  <c r="CU53" i="2" a="1"/>
  <c r="AT23" i="2" a="1"/>
  <c r="AH25" i="2" a="1"/>
  <c r="AH77" i="2" a="1"/>
  <c r="CS17" i="2" a="1"/>
  <c r="BE55" i="2" a="1"/>
  <c r="AW46" i="2" a="1"/>
  <c r="BN47" i="2" a="1"/>
  <c r="AE10" i="2" a="1"/>
  <c r="CU77" i="2" a="1"/>
  <c r="CP31" i="2" a="1"/>
  <c r="BF46" i="2" a="1"/>
  <c r="AC83" i="2" a="1"/>
  <c r="CS37" i="2" a="1"/>
  <c r="AS81" i="2" a="1"/>
  <c r="AM54" i="2" a="1"/>
  <c r="CZ34" i="2" a="1"/>
  <c r="AP17" i="2" a="1"/>
  <c r="CS52" i="2" a="1"/>
  <c r="BM17" i="2" a="1"/>
  <c r="CS78" i="2" a="1"/>
  <c r="AV32" i="2" a="1"/>
  <c r="CS41" i="2" a="1"/>
  <c r="AW34" i="2" a="1"/>
  <c r="BG34" i="2" a="1"/>
  <c r="CP34" i="2" a="1"/>
  <c r="CR52" i="2" a="1"/>
  <c r="CI49" i="2" a="1"/>
  <c r="BP71" i="2" a="1"/>
  <c r="BR28" i="2" a="1"/>
  <c r="AK81" i="2" a="1"/>
  <c r="BB16" i="2" a="1"/>
  <c r="AW66" i="2" a="1"/>
  <c r="CJ69" i="2" a="1"/>
  <c r="AF39" i="2" a="1"/>
  <c r="BG33" i="2" a="1"/>
  <c r="AL9" i="2" a="1"/>
  <c r="BW38" i="2" a="1"/>
  <c r="CS34" i="2" a="1"/>
  <c r="BC67" i="2" a="1"/>
  <c r="AE55" i="2" a="1"/>
  <c r="BH52" i="2" a="1"/>
  <c r="AQ21" i="2" a="1"/>
  <c r="AG24" i="2" a="1"/>
  <c r="BM29" i="2" a="1"/>
  <c r="DA63" i="2" a="1"/>
  <c r="CP83" i="2" a="1"/>
  <c r="AD15" i="2" a="1"/>
  <c r="CT34" i="2" a="1"/>
  <c r="CQ41" i="2" a="1"/>
  <c r="BN81" i="2" a="1"/>
  <c r="BN66" i="2" a="1"/>
  <c r="AF83" i="2" a="1"/>
  <c r="CZ53" i="2" a="1"/>
  <c r="AS71" i="2" a="1"/>
  <c r="AF30" i="2" a="1"/>
  <c r="AE31" i="2" a="1"/>
  <c r="AV15" i="2" a="1"/>
  <c r="AR69" i="2" a="1"/>
  <c r="AG19" i="2" a="1"/>
  <c r="CR41" i="2" a="1"/>
  <c r="AI71" i="2" a="1"/>
  <c r="AH26" i="2" a="1"/>
  <c r="CP71" i="2" a="1"/>
  <c r="CS20" i="2" a="1"/>
  <c r="CO15" i="2" a="1"/>
  <c r="AN17" i="2" a="1"/>
  <c r="CV9" i="2" a="1"/>
  <c r="AN77" i="2" a="1"/>
  <c r="BI59" i="2" a="1"/>
  <c r="DD31" i="2" a="1"/>
  <c r="AW13" i="2" a="1"/>
  <c r="AH15" i="2" a="1"/>
  <c r="BA33" i="2" a="1"/>
  <c r="CY14" i="2" a="1"/>
  <c r="BE75" i="2" a="1"/>
  <c r="AV20" i="2" a="1"/>
  <c r="CU29" i="2" a="1"/>
  <c r="CQ75" i="2" a="1"/>
  <c r="BH35" i="2" a="1"/>
  <c r="AZ19" i="2" a="1"/>
  <c r="CV29" i="2" a="1"/>
  <c r="CV77" i="2" a="1"/>
  <c r="AU20" i="2" a="1"/>
  <c r="AP65" i="2" a="1"/>
  <c r="CX11" i="2" a="1"/>
  <c r="DD36" i="2" a="1"/>
  <c r="BX48" i="2" a="1"/>
  <c r="AH13" i="2" a="1"/>
  <c r="AZ23" i="2" a="1"/>
  <c r="DC64" i="2" a="1"/>
  <c r="AE16" i="2" a="1"/>
  <c r="CO16" i="2" a="1"/>
  <c r="BS63" i="2" a="1"/>
  <c r="CP77" i="2" a="1"/>
  <c r="DC17" i="2" a="1"/>
  <c r="BV34" i="2" a="1"/>
  <c r="AF21" i="2" a="1"/>
  <c r="BG36" i="2" a="1"/>
  <c r="AQ10" i="2" a="1"/>
  <c r="AO20" i="2" a="1"/>
  <c r="DC23" i="2" a="1"/>
  <c r="CI52" i="2" a="1"/>
  <c r="AS32" i="2" a="1"/>
  <c r="AM27" i="2" a="1"/>
  <c r="BJ30" i="2" a="1"/>
  <c r="BQ77" i="2" a="1"/>
  <c r="BU49" i="2" a="1"/>
  <c r="BO33" i="2" a="1"/>
  <c r="BT30" i="2" a="1"/>
  <c r="AP47" i="2" a="1"/>
  <c r="AR75" i="2" a="1"/>
  <c r="BA81" i="2" a="1"/>
  <c r="BO83" i="2" a="1"/>
  <c r="CD53" i="2" a="1"/>
  <c r="AV19" i="2" a="1"/>
  <c r="AO43" i="2" a="1"/>
  <c r="BL16" i="2" a="1"/>
  <c r="DC31" i="2" a="1"/>
  <c r="BA28" i="2" a="1"/>
  <c r="AG46" i="2" a="1"/>
  <c r="AW73" i="2" a="1"/>
  <c r="AH79" i="2" a="1"/>
  <c r="CW77" i="2" a="1"/>
  <c r="AE23" i="2" a="1"/>
  <c r="BQ62" i="2" a="1"/>
  <c r="BM12" i="2" a="1"/>
  <c r="AX78" i="2" a="1"/>
  <c r="AF35" i="2" a="1"/>
  <c r="AF75" i="2" a="1"/>
  <c r="AV48" i="2" a="1"/>
  <c r="BQ69" i="2" a="1"/>
  <c r="CF74" i="2" a="1"/>
  <c r="BC69" i="2" a="1"/>
  <c r="AD21" i="2" a="1"/>
  <c r="BD16" i="2" a="1"/>
  <c r="CT41" i="2" a="1"/>
  <c r="BD51" i="2" a="1"/>
  <c r="AH17" i="2" a="1"/>
  <c r="AS78" i="2" a="1"/>
  <c r="AM63" i="2" a="1"/>
  <c r="AG16" i="2" a="1"/>
  <c r="AS54" i="2" a="1"/>
  <c r="CE33" i="2" a="1"/>
  <c r="BM37" i="2" a="1"/>
  <c r="CQ36" i="2" a="1"/>
  <c r="DC13" i="2" a="1"/>
  <c r="CZ37" i="2" a="1"/>
  <c r="BC27" i="2" a="1"/>
  <c r="AS63" i="2" a="1"/>
  <c r="AE50" i="2" a="1"/>
  <c r="DC41" i="2" a="1"/>
  <c r="AV38" i="2" a="1"/>
  <c r="AC74" i="2" a="1"/>
  <c r="AO51" i="2" a="1"/>
  <c r="BF23" i="2" a="1"/>
  <c r="AM49" i="2" a="1"/>
  <c r="AJ12" i="2" a="1"/>
  <c r="CP27" i="2" a="1"/>
  <c r="AM19" i="2" a="1"/>
  <c r="AQ9" i="2" a="1"/>
  <c r="CY35" i="2" a="1"/>
  <c r="BF38" i="2" a="1"/>
  <c r="DC16" i="2" a="1"/>
  <c r="DA71" i="2" a="1"/>
  <c r="AR51" i="2" a="1"/>
  <c r="AX72" i="2" a="1"/>
  <c r="AG80" i="2" a="1"/>
  <c r="CS72" i="2" a="1"/>
  <c r="AU14" i="2" a="1"/>
  <c r="AP63" i="2" a="1"/>
  <c r="AW14" i="2" a="1"/>
  <c r="AQ44" i="2" a="1"/>
  <c r="BF63" i="2" a="1"/>
  <c r="AU19" i="2" a="1"/>
  <c r="CP29" i="2" a="1"/>
  <c r="CY15" i="2" a="1"/>
  <c r="CR73" i="2" a="1"/>
  <c r="BO68" i="2" a="1"/>
  <c r="CU69" i="2" a="1"/>
  <c r="AL70" i="2" a="1"/>
  <c r="AN12" i="2" a="1"/>
  <c r="AG73" i="2" a="1"/>
  <c r="AG48" i="2" a="1"/>
  <c r="AY47" i="2" a="1"/>
  <c r="AI74" i="2" a="1"/>
  <c r="CR27" i="2" a="1"/>
  <c r="DD27" i="2" a="1"/>
  <c r="CR63" i="2" a="1"/>
  <c r="AJ69" i="2" a="1"/>
  <c r="CO78" i="2" a="1"/>
  <c r="BA20" i="2" a="1"/>
  <c r="AG63" i="2" a="1"/>
  <c r="AP76" i="2" a="1"/>
  <c r="AU55" i="2" a="1"/>
  <c r="CX39" i="2" a="1"/>
  <c r="CX63" i="2" a="1"/>
  <c r="AI44" i="2" a="1"/>
  <c r="DC68" i="2" a="1"/>
  <c r="CS77" i="2" a="1"/>
  <c r="CY73" i="2" a="1"/>
  <c r="CE41" i="2" a="1"/>
  <c r="BF75" i="2" a="1"/>
  <c r="CQ67" i="2" a="1"/>
  <c r="CY34" i="2" a="1"/>
  <c r="AQ43" i="2" a="1"/>
  <c r="AL54" i="2" a="1"/>
  <c r="AH65" i="2" a="1"/>
  <c r="CS69" i="2" a="1"/>
  <c r="BF19" i="2" a="1"/>
  <c r="DB67" i="2" a="1"/>
  <c r="CR39" i="2" a="1"/>
  <c r="BP81" i="2" a="1"/>
  <c r="AY10" i="2" a="1"/>
  <c r="AY32" i="2" a="1"/>
  <c r="CQ15" i="2" a="1"/>
  <c r="AT27" i="2" a="1"/>
  <c r="AU81" i="2" a="1"/>
  <c r="BW67" i="2" a="1"/>
  <c r="AX25" i="2" a="1"/>
  <c r="CG49" i="2" a="1"/>
  <c r="AP78" i="2" a="1"/>
  <c r="CG39" i="2" a="1"/>
  <c r="BT78" i="2" a="1"/>
  <c r="BE16" i="2" a="1"/>
  <c r="BH44" i="2" a="1"/>
  <c r="AY13" i="2" a="1"/>
  <c r="AX14" i="2" a="1"/>
  <c r="CD20" i="2" a="1"/>
  <c r="AL53" i="2" a="1"/>
  <c r="CC16" i="2" a="1"/>
  <c r="BN10" i="2" a="1"/>
  <c r="BW48" i="2" a="1"/>
  <c r="BG54" i="2" a="1"/>
  <c r="BW20" i="2" a="1"/>
  <c r="AJ67" i="2" a="1"/>
  <c r="CQ11" i="2" a="1"/>
  <c r="AM81" i="2" a="1"/>
  <c r="AD20" i="2" a="1"/>
  <c r="BA40" i="2" a="1"/>
  <c r="AK39" i="2" a="1"/>
  <c r="AM26" i="2" a="1"/>
  <c r="BE30" i="2" a="1"/>
  <c r="AU82" i="2" a="1"/>
  <c r="AP9" i="2" a="1"/>
  <c r="CV18" i="2" a="1"/>
  <c r="CZ18" i="2" a="1"/>
  <c r="CX20" i="2" a="1"/>
  <c r="AO54" i="2" a="1"/>
  <c r="AS17" i="2" a="1"/>
  <c r="AL16" i="2" a="1"/>
  <c r="DC29" i="2" a="1"/>
  <c r="BG30" i="2" a="1"/>
  <c r="AQ49" i="2" a="1"/>
  <c r="CE65" i="2" a="1"/>
  <c r="AT36" i="2" a="1"/>
  <c r="AK28" i="2" a="1"/>
  <c r="AE19" i="2" a="1"/>
  <c r="DD15" i="2" a="1"/>
  <c r="CT69" i="2" a="1"/>
  <c r="AR39" i="2" a="1"/>
  <c r="CU41" i="2" a="1"/>
  <c r="AD11" i="2" a="1"/>
  <c r="CP10" i="2" a="1"/>
  <c r="CS63" i="2" a="1"/>
  <c r="CV69" i="2" a="1"/>
  <c r="AS13" i="2" a="1"/>
  <c r="BO25" i="2" a="1"/>
  <c r="CT25" i="2" a="1"/>
  <c r="AL71" i="2" a="1"/>
  <c r="AN13" i="2" a="1"/>
  <c r="AF77" i="2" a="1"/>
  <c r="AG43" i="2" a="1"/>
  <c r="AU23" i="2" a="1"/>
  <c r="AI39" i="2" a="1"/>
  <c r="CO14" i="2" a="1"/>
  <c r="BM62" i="2" a="1"/>
  <c r="AT32" i="2" a="1"/>
  <c r="BH15" i="2" a="1"/>
  <c r="CN77" i="2" a="1"/>
  <c r="AI19" i="2" a="1"/>
  <c r="BI79" i="2" a="1"/>
  <c r="BN68" i="2" a="1"/>
  <c r="BW40" i="2" a="1"/>
  <c r="AD83" i="2" a="1"/>
  <c r="BR58" i="2" a="1"/>
  <c r="AD49" i="2" a="1"/>
  <c r="CQ9" i="2" a="1"/>
  <c r="AO82" i="2" a="1"/>
  <c r="AM18" i="2" a="1"/>
  <c r="BD32" i="2" a="1"/>
  <c r="AK35" i="2" a="1"/>
  <c r="AG10" i="2" a="1"/>
  <c r="AO77" i="2" a="1"/>
  <c r="AY75" i="2" a="1"/>
  <c r="DA73" i="2" a="1"/>
  <c r="DB11" i="2" a="1"/>
  <c r="DD10" i="2" a="1"/>
  <c r="CX15" i="2" a="1"/>
  <c r="BO30" i="2" a="1"/>
  <c r="BE33" i="2" a="1"/>
  <c r="AR17" i="2" a="1"/>
  <c r="CO36" i="2" a="1"/>
  <c r="BA25" i="2" a="1"/>
  <c r="AP45" i="2" a="1"/>
  <c r="BP28" i="2" a="1"/>
  <c r="AN68" i="2" a="1"/>
  <c r="CL40" i="2" a="1"/>
  <c r="BO20" i="2" a="1"/>
  <c r="AC37" i="2" a="1"/>
  <c r="BW25" i="2" a="1"/>
  <c r="AV30" i="2" a="1"/>
  <c r="BO19" i="2" a="1"/>
  <c r="AJ54" i="2" a="1"/>
  <c r="AT52" i="2" a="1"/>
  <c r="AC35" i="2" a="1"/>
  <c r="CN41" i="2" a="1"/>
  <c r="AC72" i="2" a="1"/>
  <c r="AE25" i="2" a="1"/>
  <c r="BF15" i="2" a="1"/>
  <c r="AK20" i="2" a="1"/>
  <c r="CQ71" i="2" a="1"/>
  <c r="AI52" i="2" a="1"/>
  <c r="BE18" i="2" a="1"/>
  <c r="DD54" i="2" a="1"/>
  <c r="AN26" i="2" a="1"/>
  <c r="AP13" i="2" a="1"/>
  <c r="CZ17" i="2" a="1"/>
  <c r="AW40" i="2" a="1"/>
  <c r="AQ77" i="2" a="1"/>
  <c r="AK67" i="2" a="1"/>
  <c r="CQ14" i="2" a="1"/>
  <c r="AW9" i="2" a="1"/>
  <c r="AP34" i="2" a="1"/>
  <c r="BM14" i="2" a="1"/>
  <c r="BB13" i="2" a="1"/>
  <c r="AK51" i="2" a="1"/>
  <c r="AR20" i="2" a="1"/>
  <c r="BF45" i="2" a="1"/>
  <c r="CW83" i="2" a="1"/>
  <c r="AF16" i="2" a="1"/>
  <c r="DB17" i="2" a="1"/>
  <c r="CR78" i="2" a="1"/>
  <c r="DD9" i="2" a="1"/>
  <c r="DC27" i="2" a="1"/>
  <c r="CU11" i="2" a="1"/>
  <c r="AH49" i="2" a="1"/>
  <c r="AQ45" i="2" a="1"/>
  <c r="CW36" i="2" a="1"/>
  <c r="AH74" i="2" a="1"/>
  <c r="CB9" i="2" a="1"/>
  <c r="AN50" i="2" a="1"/>
  <c r="AE34" i="2" a="1"/>
  <c r="AH44" i="2" a="1"/>
  <c r="AG52" i="2" a="1"/>
  <c r="AS53" i="2" a="1"/>
  <c r="AE49" i="2" a="1"/>
  <c r="BM61" i="2" a="1"/>
  <c r="BQ82" i="2" a="1"/>
  <c r="AC27" i="2" a="1"/>
  <c r="BR16" i="2" a="1"/>
  <c r="AS33" i="2" a="1"/>
  <c r="BO15" i="2" a="1"/>
  <c r="AJ52" i="2" a="1"/>
  <c r="AX30" i="2" a="1"/>
  <c r="AX75" i="2" a="1"/>
  <c r="AC24" i="2" a="1"/>
  <c r="BU10" i="2" a="1"/>
  <c r="BK61" i="2" a="1"/>
  <c r="AC23" i="2" a="1"/>
  <c r="AZ72" i="2" a="1"/>
  <c r="AS18" i="2" a="1"/>
  <c r="BK77" i="2" a="1"/>
  <c r="AN49" i="2" a="1"/>
  <c r="AJ83" i="2" a="1"/>
  <c r="AL23" i="2" a="1"/>
  <c r="BM19" i="2" a="1"/>
  <c r="AG54" i="2" a="1"/>
  <c r="AN11" i="2" a="1"/>
  <c r="AZ17" i="2" a="1"/>
  <c r="AL34" i="2" a="1"/>
  <c r="CV72" i="2" a="1"/>
  <c r="AD12" i="2" a="1"/>
  <c r="AI75" i="2" a="1"/>
  <c r="DB75" i="2" a="1"/>
  <c r="DA79" i="2" a="1"/>
  <c r="CX25" i="2" a="1"/>
  <c r="BE83" i="2" a="1"/>
  <c r="BD78" i="2" a="1"/>
  <c r="CD28" i="2" a="1"/>
  <c r="AG9" i="2" a="1"/>
  <c r="CE69" i="2" a="1"/>
  <c r="AU16" i="2" a="1"/>
  <c r="AE17" i="2" a="1"/>
  <c r="BS74" i="2" a="1"/>
  <c r="AR78" i="2" a="1"/>
  <c r="BM13" i="2" a="1"/>
  <c r="CS79" i="2" a="1"/>
  <c r="AU33" i="2" a="1"/>
  <c r="CS55" i="2" a="1"/>
  <c r="AR16" i="2" a="1"/>
  <c r="CS70" i="2" a="1"/>
  <c r="CQ77" i="2" a="1"/>
  <c r="AG34" i="2" a="1"/>
  <c r="CO67" i="2" a="1"/>
  <c r="CT36" i="2" a="1"/>
  <c r="BO10" i="2" a="1"/>
  <c r="AL44" i="2" a="1"/>
  <c r="BM63" i="2" a="1"/>
  <c r="AC63" i="2" a="1"/>
  <c r="BM10" i="2" a="1"/>
  <c r="AN35" i="2" a="1"/>
  <c r="AM39" i="2" a="1"/>
  <c r="AP54" i="2" a="1"/>
  <c r="AE30" i="2" a="1"/>
  <c r="AK13" i="2" a="1"/>
  <c r="CT67" i="2" a="1"/>
  <c r="DA39" i="2" a="1"/>
  <c r="AO37" i="2" a="1"/>
  <c r="BW63" i="2" a="1"/>
  <c r="AH66" i="2" a="1"/>
  <c r="BT14" i="2" a="1"/>
  <c r="AK47" i="2" a="1"/>
  <c r="CU78" i="2" a="1"/>
  <c r="AJ26" i="2" a="1"/>
  <c r="AO38" i="2" a="1"/>
  <c r="AM35" i="2" a="1"/>
  <c r="DD11" i="2" a="1"/>
  <c r="BX56" i="2" a="1"/>
  <c r="BG17" i="2" a="1"/>
  <c r="CZ63" i="2" a="1"/>
  <c r="AC29" i="2" a="1"/>
  <c r="BV27" i="2" a="1"/>
  <c r="AL68" i="2" a="1"/>
  <c r="DA54" i="2" a="1"/>
  <c r="BT71" i="2" a="1"/>
  <c r="BV70" i="2" a="1"/>
  <c r="AO49" i="2" a="1"/>
  <c r="CU9" i="2" a="1"/>
  <c r="AF24" i="2" a="1"/>
  <c r="AD45" i="2" a="1"/>
  <c r="AE26" i="2" a="1"/>
  <c r="DA67" i="2" a="1"/>
  <c r="AR68" i="2" a="1"/>
  <c r="AN51" i="2" a="1"/>
  <c r="AF51" i="2" a="1"/>
  <c r="CO71" i="2" a="1"/>
  <c r="BV25" i="2" a="1"/>
  <c r="DC9" i="2" a="1"/>
  <c r="AW15" i="2" a="1"/>
  <c r="CQ38" i="2" a="1"/>
  <c r="AP80" i="2" a="1"/>
  <c r="AK31" i="2" a="1"/>
  <c r="CV54" i="2" a="1"/>
  <c r="CO34" i="2" a="1"/>
  <c r="CP23" i="2" a="1"/>
  <c r="AF28" i="2" a="1"/>
  <c r="AF17" i="2" a="1"/>
  <c r="AQ39" i="2" a="1"/>
  <c r="CQ10" i="2" a="1"/>
  <c r="BJ71" i="2" a="1"/>
  <c r="BG45" i="2" a="1"/>
  <c r="AQ18" i="2" a="1"/>
  <c r="AQ28" i="2" a="1"/>
  <c r="AN71" i="2" a="1"/>
  <c r="AZ29" i="2" a="1"/>
  <c r="CB28" i="2" a="1"/>
  <c r="AC16" i="2" a="1"/>
  <c r="AY43" i="2" a="1"/>
  <c r="CX83" i="2" a="1"/>
  <c r="CP13" i="2" a="1"/>
  <c r="CK79" i="2" a="1"/>
  <c r="AF71" i="2" a="1"/>
  <c r="CV14" i="2" a="1"/>
  <c r="AV31" i="2" a="1"/>
  <c r="AQ47" i="2" a="1"/>
  <c r="AM34" i="2" a="1"/>
  <c r="AR29" i="2" a="1"/>
  <c r="CW54" i="2" a="1"/>
  <c r="DD37" i="2" a="1"/>
  <c r="AO76" i="2" a="1"/>
  <c r="BU56" i="2" a="1"/>
  <c r="DB68" i="2" a="1"/>
  <c r="BC54" i="2" a="1"/>
  <c r="CW35" i="2" a="1"/>
  <c r="AK78" i="2" a="1"/>
  <c r="CO65" i="2" a="1"/>
  <c r="AK44" i="2" a="1"/>
  <c r="CB49" i="2" a="1"/>
  <c r="CQ23" i="2" a="1"/>
  <c r="CO39" i="2" a="1"/>
  <c r="DC39" i="2" a="1"/>
  <c r="CV15" i="2" a="1"/>
  <c r="BT37" i="2" a="1"/>
  <c r="BA23" i="2" a="1"/>
  <c r="AQ13" i="2" a="1"/>
  <c r="AU49" i="2" a="1"/>
  <c r="DB13" i="2" a="1"/>
  <c r="CX23" i="2" a="1"/>
  <c r="CV11" i="2" a="1"/>
  <c r="AF15" i="2" a="1"/>
  <c r="AR76" i="2" a="1"/>
  <c r="CQ13" i="2" a="1"/>
  <c r="AF65" i="2" a="1"/>
  <c r="AP11" i="2" a="1"/>
  <c r="AR13" i="2" a="1"/>
  <c r="AI18" i="2" a="1"/>
  <c r="AI54" i="2" a="1"/>
  <c r="CX64" i="2" a="1"/>
  <c r="AS73" i="2" a="1"/>
  <c r="AQ19" i="2" a="1"/>
  <c r="CT11" i="2" a="1"/>
  <c r="CQ16" i="2" a="1"/>
  <c r="CR14" i="2" a="1"/>
  <c r="DB66" i="2" a="1"/>
  <c r="CY75" i="2" a="1"/>
  <c r="AP23" i="2" a="1"/>
  <c r="CR67" i="2" a="1"/>
  <c r="AG26" i="2" a="1"/>
  <c r="BN58" i="2" a="1"/>
  <c r="AO10" i="2" a="1"/>
  <c r="AM29" i="2" a="1"/>
  <c r="AC81" i="2" a="1"/>
  <c r="AK46" i="2" a="1"/>
  <c r="AO25" i="2" a="1"/>
  <c r="AO18" i="2" a="1"/>
  <c r="AZ27" i="2" a="1"/>
  <c r="CV75" i="2" a="1"/>
  <c r="DB18" i="2" a="1"/>
  <c r="BM75" i="2" a="1"/>
  <c r="AN83" i="2" a="1"/>
  <c r="CP16" i="2" a="1"/>
  <c r="AC69" i="2" a="1"/>
  <c r="AD43" i="2" a="1"/>
  <c r="CV78" i="2" a="1"/>
  <c r="CY77" i="2" a="1"/>
  <c r="CU39" i="2" a="1"/>
  <c r="CS36" i="2" a="1"/>
  <c r="AN80" i="2" a="1"/>
  <c r="AD71" i="2" a="1"/>
  <c r="DA34" i="2" a="1"/>
  <c r="BB32" i="2" a="1"/>
  <c r="CR11" i="2" a="1"/>
  <c r="AI53" i="2" a="1"/>
  <c r="CY18" i="2" a="1"/>
  <c r="AL38" i="2" a="1"/>
  <c r="AO83" i="2" a="1"/>
  <c r="BX17" i="2" a="1"/>
  <c r="CR20" i="2" a="1"/>
  <c r="AZ15" i="2" a="1"/>
  <c r="CZ16" i="2" a="1"/>
  <c r="AP68" i="2" a="1"/>
  <c r="BZ45" i="2" a="1"/>
  <c r="CT72" i="2" a="1"/>
  <c r="CU71" i="2" a="1"/>
  <c r="CT37" i="2" a="1"/>
  <c r="AJ47" i="2" a="1"/>
  <c r="CW39" i="2" a="1"/>
  <c r="AP43" i="2" a="1"/>
  <c r="AL50" i="2" a="1"/>
  <c r="AP21" i="2" a="1"/>
  <c r="CP75" i="2" a="1"/>
  <c r="CT20" i="2" a="1"/>
  <c r="AH18" i="2" a="1"/>
  <c r="CT35" i="2" a="1"/>
  <c r="BG41" i="2" a="1"/>
  <c r="AP12" i="2" a="1"/>
  <c r="CV38" i="2" a="1"/>
  <c r="CU31" i="2" a="1"/>
  <c r="AH46" i="2" a="1"/>
  <c r="CU15" i="2" a="1"/>
  <c r="BM59" i="2" a="1"/>
  <c r="BE13" i="2" a="1"/>
  <c r="CI16" i="2" a="1"/>
  <c r="AK25" i="2" a="1"/>
  <c r="CU73" i="2" a="1"/>
  <c r="CX77" i="2" a="1"/>
  <c r="CV70" i="2" a="1"/>
  <c r="AY81" i="2" a="1"/>
  <c r="AN37" i="2" a="1"/>
  <c r="AH67" i="2" a="1"/>
  <c r="DB64" i="2" a="1"/>
  <c r="AE48" i="2" a="1"/>
  <c r="AK17" i="2" a="1"/>
  <c r="CO25" i="2" a="1"/>
  <c r="DC36" i="2" a="1"/>
  <c r="AX13" i="2" a="1"/>
  <c r="DD67" i="2" a="1"/>
  <c r="BN17" i="2" a="1"/>
  <c r="AC46" i="2" a="1"/>
  <c r="AN55" i="2" a="1"/>
  <c r="CR15" i="2" a="1"/>
  <c r="AC39" i="2" a="1"/>
  <c r="BU46" i="2" a="1"/>
  <c r="DB54" i="2" a="1"/>
  <c r="DC11" i="2" a="1"/>
  <c r="CS10" i="2" a="1"/>
  <c r="CT29" i="2" a="1"/>
  <c r="AQ51" i="2" a="1"/>
  <c r="AD14" i="2" a="1"/>
  <c r="CX16" i="2" a="1"/>
  <c r="CV39" i="2" a="1"/>
  <c r="CO10" i="2" a="1"/>
  <c r="AF19" i="2" a="1"/>
  <c r="BE11" i="2" a="1"/>
  <c r="AH24" i="2" a="1"/>
  <c r="AE47" i="2" a="1"/>
  <c r="AZ51" i="2" a="1"/>
  <c r="CO55" i="2" a="1"/>
  <c r="CQ27" i="2" a="1"/>
  <c r="BW34" i="2" a="1"/>
  <c r="AF11" i="2" a="1"/>
  <c r="AH39" i="2" a="1"/>
  <c r="CQ18" i="2" a="1"/>
  <c r="AF81" i="2" a="1"/>
  <c r="DC71" i="2" a="1"/>
  <c r="DA65" i="2" a="1"/>
  <c r="AM9" i="2" a="1"/>
  <c r="AQ24" i="2" a="1"/>
  <c r="CR9" i="2" a="1"/>
  <c r="AR34" i="2" a="1"/>
  <c r="BW76" i="2" a="1"/>
  <c r="BG25" i="2" a="1"/>
  <c r="DB39" i="2" a="1"/>
  <c r="AP30" i="2" a="1"/>
  <c r="CT77" i="2" a="1"/>
  <c r="AH11" i="2" a="1"/>
  <c r="CU18" i="2" a="1"/>
  <c r="AK23" i="2" a="1"/>
  <c r="AJ55" i="2" a="1"/>
  <c r="AT10" i="2" a="1"/>
  <c r="AN9" i="2" a="1"/>
  <c r="AL36" i="2" a="1"/>
  <c r="BA18" i="2" a="1"/>
  <c r="BA31" i="2" a="1"/>
  <c r="CQ55" i="2" a="1"/>
  <c r="AM20" i="2" a="1"/>
  <c r="BM30" i="2" a="1"/>
  <c r="BE80" i="2" a="1"/>
  <c r="DC83" i="2" a="1"/>
  <c r="CY52" i="2" a="1"/>
  <c r="DB41" i="2" a="1"/>
  <c r="AK45" i="2" a="1"/>
  <c r="AD23" i="2" a="1"/>
  <c r="DB52" i="2" a="1"/>
  <c r="DC35" i="2" a="1"/>
  <c r="AH45" i="2" a="1"/>
  <c r="CR29" i="2" a="1"/>
  <c r="AJ25" i="2" a="1"/>
  <c r="BN44" i="2" a="1"/>
  <c r="AI82" i="2" a="1"/>
  <c r="CP15" i="2" a="1"/>
  <c r="CZ54" i="2" a="1"/>
  <c r="DD20" i="2" a="1"/>
  <c r="CS23" i="2" a="1"/>
  <c r="CT68" i="2" a="1"/>
  <c r="AM14" i="2" a="1"/>
  <c r="CS75" i="2" a="1"/>
  <c r="BL44" i="2" a="1"/>
  <c r="AZ82" i="2" a="1"/>
  <c r="AR35" i="2" a="1"/>
  <c r="BH69" i="2" a="1"/>
  <c r="CF65" i="2" a="1"/>
  <c r="CW14" i="2" a="1"/>
  <c r="AI11" i="2" a="1"/>
  <c r="BP78" i="2" a="1"/>
  <c r="CZ13" i="2" a="1"/>
  <c r="AW29" i="2" a="1"/>
  <c r="AZ43" i="2" a="1"/>
  <c r="AF29" i="2" a="1"/>
  <c r="BO35" i="2" a="1"/>
  <c r="DB78" i="2" a="1"/>
  <c r="CW37" i="2" a="1"/>
  <c r="BY18" i="2" a="1"/>
  <c r="AK24" i="2" a="1"/>
  <c r="AJ10" i="2" a="1"/>
  <c r="DC66" i="2" a="1"/>
  <c r="CQ17" i="2" a="1"/>
  <c r="AN78" i="2" a="1"/>
  <c r="CO17" i="2" a="1"/>
  <c r="AR18" i="2" a="1"/>
  <c r="BP48" i="2" a="1"/>
  <c r="AI35" i="2" a="1"/>
  <c r="CO35" i="2" a="1"/>
  <c r="CZ20" i="2" a="1"/>
  <c r="DA16" i="2" a="1"/>
  <c r="AH37" i="2" a="1"/>
  <c r="AD25" i="2" a="1"/>
  <c r="BA19" i="2" a="1"/>
  <c r="AJ34" i="2" a="1"/>
  <c r="AK12" i="2" a="1"/>
  <c r="CQ54" i="2" a="1"/>
  <c r="DD77" i="2" a="1"/>
  <c r="CX69" i="2" a="1"/>
  <c r="DD52" i="2" a="1"/>
  <c r="CO53" i="2" a="1"/>
  <c r="AP74" i="2" a="1"/>
  <c r="BE53" i="2" a="1"/>
  <c r="CY13" i="2" a="1"/>
  <c r="BH39" i="2" a="1"/>
  <c r="AN82" i="2" a="1"/>
  <c r="AE36" i="2" a="1"/>
  <c r="AS43" i="2" a="1"/>
  <c r="AG64" i="2" a="1"/>
  <c r="CW23" i="2" a="1"/>
  <c r="BA14" i="2" a="1"/>
  <c r="CB16" i="2" a="1"/>
  <c r="AR45" i="2" a="1"/>
  <c r="CX38" i="2" a="1"/>
  <c r="CB11" i="2" a="1"/>
  <c r="AE54" i="2" a="1"/>
  <c r="CR71" i="2" a="1"/>
  <c r="CY9" i="2" a="1"/>
  <c r="AF70" i="2" a="1"/>
  <c r="AG28" i="2" a="1"/>
  <c r="DA25" i="2" a="1"/>
  <c r="AH20" i="2" a="1"/>
  <c r="CM16" i="2" a="1"/>
  <c r="AJ11" i="2" a="1"/>
  <c r="DA52" i="2" a="1"/>
  <c r="BV51" i="2" a="1"/>
  <c r="AQ53" i="2" a="1"/>
  <c r="CU72" i="2" a="1"/>
  <c r="AT20" i="2" a="1"/>
  <c r="AK15" i="2" a="1"/>
  <c r="AU51" i="2" a="1"/>
  <c r="CQ39" i="2" a="1"/>
  <c r="BK79" i="2" a="1"/>
  <c r="DD73" i="2" a="1"/>
  <c r="BB19" i="2" a="1"/>
  <c r="AN19" i="2" a="1"/>
  <c r="AL55" i="2" a="1"/>
  <c r="CP65" i="2" a="1"/>
  <c r="AD50" i="2" a="1"/>
  <c r="CW63" i="2" a="1"/>
  <c r="BD44" i="2" a="1"/>
  <c r="AH75" i="2" a="1"/>
  <c r="BF55" i="2" a="1"/>
  <c r="AJ18" i="2" a="1"/>
  <c r="CZ14" i="2" a="1"/>
  <c r="CX31" i="2" a="1"/>
  <c r="CT23" i="2" a="1"/>
  <c r="AP44" i="2" a="1"/>
  <c r="AR15" i="2" a="1"/>
  <c r="DD16" i="2" a="1"/>
  <c r="CT14" i="2" a="1"/>
  <c r="AZ16" i="2" a="1"/>
  <c r="CX17" i="2" a="1"/>
  <c r="AI79" i="2" a="1"/>
  <c r="CX29" i="2" a="1"/>
  <c r="CD75" i="2" a="1"/>
  <c r="DB63" i="2" a="1"/>
  <c r="CS13" i="2" a="1"/>
  <c r="CZ71" i="2" a="1"/>
  <c r="CD14" i="2" a="1"/>
  <c r="AE28" i="2" a="1"/>
  <c r="AL12" i="2" a="1"/>
  <c r="AW27" i="2" a="1"/>
  <c r="AI30" i="2" a="1"/>
  <c r="AL21" i="2" a="1"/>
  <c r="CV10" i="2" a="1"/>
  <c r="AU28" i="2" a="1"/>
  <c r="BX25" i="2" a="1"/>
  <c r="DA78" i="2" a="1"/>
  <c r="CZ35" i="2" a="1"/>
  <c r="BM11" i="2" a="1"/>
  <c r="CY79" i="2" a="1"/>
  <c r="DC15" i="2" a="1"/>
  <c r="DB29" i="2" a="1"/>
  <c r="AQ66" i="2" a="1"/>
  <c r="AO45" i="2" a="1"/>
  <c r="CR53" i="2" a="1"/>
  <c r="CU68" i="2" a="1"/>
  <c r="BM31" i="2" a="1"/>
  <c r="AN16" i="2" a="1"/>
  <c r="BV13" i="2" a="1"/>
  <c r="BL45" i="2" a="1"/>
  <c r="AH23" i="2" a="1"/>
  <c r="CV36" i="2" a="1"/>
  <c r="DB15" i="2" a="1"/>
  <c r="CZ36" i="2" a="1"/>
  <c r="AK80" i="2" a="1"/>
  <c r="CB47" i="2" a="1"/>
  <c r="AQ52" i="2" a="1"/>
  <c r="AK82" i="2" a="1"/>
  <c r="AK14" i="2" a="1"/>
  <c r="AD76" i="2" a="1"/>
  <c r="AE15" i="2" a="1"/>
  <c r="DC14" i="2" a="1"/>
  <c r="AD78" i="2" a="1"/>
  <c r="CW27" i="2" a="1"/>
  <c r="AQ37" i="2" a="1"/>
  <c r="AG17" i="2" a="1"/>
  <c r="AD34" i="2" a="1"/>
  <c r="AG49" i="2" a="1"/>
  <c r="AT16" i="2" a="1"/>
  <c r="AE38" i="2" a="1"/>
  <c r="CW66" i="2" a="1"/>
  <c r="AE63" i="2" a="1"/>
  <c r="BF9" i="2" a="1"/>
  <c r="BD49" i="2" a="1"/>
  <c r="CX9" i="2" a="1"/>
  <c r="BU48" i="2" a="1"/>
  <c r="AM21" i="2" a="1"/>
  <c r="BC18" i="2" a="1"/>
  <c r="AR74" i="2" a="1"/>
  <c r="DC67" i="2" a="1"/>
  <c r="AP16" i="2" a="1"/>
  <c r="CR34" i="2" a="1"/>
  <c r="AZ13" i="2" a="1"/>
  <c r="CU67" i="2" a="1"/>
  <c r="CS9" i="2" a="1"/>
  <c r="DA36" i="2" a="1"/>
  <c r="AQ78" i="2" a="1"/>
  <c r="BP82" i="2" a="1"/>
  <c r="AN52" i="2" a="1"/>
  <c r="CQ25" i="2" a="1"/>
  <c r="BT48" i="2" a="1"/>
  <c r="AH71" i="2" a="1"/>
  <c r="AH55" i="2" a="1"/>
  <c r="AO24" i="2" a="1"/>
  <c r="CR31" i="2" a="1"/>
  <c r="CW29" i="2" a="1"/>
  <c r="AO39" i="2" a="1"/>
  <c r="BE31" i="2" a="1"/>
  <c r="CY20" i="2" a="1"/>
  <c r="AR55" i="2" a="1"/>
  <c r="CO20" i="2" a="1"/>
  <c r="AR14" i="2" a="1"/>
  <c r="BA27" i="2" a="1"/>
  <c r="CR18" i="2" a="1"/>
  <c r="AN34" i="2" a="1"/>
  <c r="DD83" i="2" a="1"/>
  <c r="CM52" i="2" a="1"/>
  <c r="AW19" i="2" a="1"/>
  <c r="BR34" i="2" a="1"/>
  <c r="AP38" i="2" a="1"/>
  <c r="AF53" i="2" a="1"/>
  <c r="CW10" i="2" a="1"/>
  <c r="CU35" i="2" a="1"/>
  <c r="AQ67" i="2" a="1"/>
  <c r="AN43" i="2" a="1"/>
  <c r="CV34" i="2" a="1"/>
  <c r="BP49" i="2" a="1"/>
  <c r="AI34" i="2" a="1"/>
  <c r="AM30" i="2" a="1"/>
  <c r="DD13" i="2" a="1"/>
  <c r="BR14" i="2" a="1"/>
  <c r="AU25" i="2" a="1"/>
  <c r="AN39" i="2" a="1"/>
  <c r="CP20" i="2" a="1"/>
  <c r="AF20" i="2" a="1"/>
  <c r="AO74" i="2" a="1"/>
  <c r="BH11" i="2" a="1"/>
  <c r="AW81" i="2" a="1"/>
  <c r="AP19" i="2" a="1"/>
  <c r="DB83" i="2" a="1"/>
  <c r="CU25" i="2" a="1"/>
  <c r="CS18" i="2" a="1"/>
  <c r="AR50" i="2" a="1"/>
  <c r="AG38" i="2" a="1"/>
  <c r="DC10" i="2" a="1"/>
  <c r="BX27" i="2" a="1"/>
  <c r="AQ23" i="2" a="1"/>
  <c r="AT30" i="2" a="1"/>
  <c r="CP72" i="2" a="1"/>
  <c r="BA15" i="2" a="1"/>
  <c r="AK30" i="2" a="1"/>
  <c r="AE72" i="2" a="1"/>
  <c r="AN27" i="2" a="1"/>
  <c r="BF34" i="2" a="1"/>
  <c r="AG44" i="2" a="1"/>
  <c r="DC77" i="2" a="1"/>
  <c r="CT79" i="2" a="1"/>
  <c r="DB10" i="2" a="1"/>
  <c r="AQ35" i="2" a="1"/>
  <c r="AR30" i="2" a="1"/>
  <c r="DC25" i="2" a="1"/>
  <c r="AQ74" i="2" a="1"/>
  <c r="AM65" i="2" a="1"/>
  <c r="AQ31" i="2" a="1"/>
  <c r="DA15" i="2" a="1"/>
  <c r="BF14" i="2" a="1"/>
  <c r="AM77" i="2" a="1"/>
  <c r="AK43" i="2" a="1"/>
  <c r="AU43" i="2" a="1"/>
  <c r="AG39" i="2" a="1"/>
  <c r="BP38" i="2" a="1"/>
  <c r="DC55" i="2" a="1"/>
  <c r="AQ27" i="2" a="1"/>
  <c r="CP68" i="2" a="1"/>
  <c r="BJ64" i="2" a="1"/>
  <c r="CZ52" i="2" a="1"/>
  <c r="AG14" i="2" a="1"/>
  <c r="AD46" i="2" a="1"/>
  <c r="AU17" i="2" a="1"/>
  <c r="AF49" i="2" a="1"/>
  <c r="AD47" i="2" a="1"/>
  <c r="CZ23" i="2" a="1"/>
  <c r="AI21" i="2" a="1"/>
  <c r="CU38" i="2" a="1"/>
  <c r="AK65" i="2" a="1"/>
  <c r="AI13" i="2" a="1"/>
  <c r="AH63" i="2" a="1"/>
  <c r="BD15" i="2" a="1"/>
  <c r="AO30" i="2" a="1"/>
  <c r="CT31" i="2" a="1"/>
  <c r="AO73" i="2" a="1"/>
  <c r="BB33" i="2" a="1"/>
  <c r="AE29" i="2" a="1"/>
  <c r="AK76" i="2" a="1"/>
  <c r="CX13" i="2" a="1"/>
  <c r="AI78" i="2" a="1"/>
  <c r="AK36" i="2" a="1"/>
  <c r="AH36" i="2" a="1"/>
  <c r="CT38" i="2" a="1"/>
  <c r="AQ63" i="2" a="1"/>
  <c r="AO78" i="2" a="1"/>
  <c r="AK21" i="2" a="1"/>
  <c r="CP36" i="2" a="1"/>
  <c r="AF55" i="2" a="1"/>
  <c r="AP10" i="2" a="1"/>
  <c r="DB27" i="2" a="1"/>
  <c r="AM51" i="2" a="1"/>
  <c r="CH68" i="2" a="1"/>
  <c r="BA54" i="2" a="1"/>
  <c r="CT9" i="2" a="1"/>
  <c r="BH10" i="2" a="1"/>
  <c r="AH43" i="2" a="1"/>
  <c r="AF50" i="2" a="1"/>
  <c r="AH38" i="2" a="1"/>
  <c r="AE39" i="2" a="1"/>
  <c r="AC66" i="2" a="1"/>
  <c r="CC14" i="2" a="1"/>
  <c r="BW46" i="2" a="1"/>
  <c r="AE46" i="2" a="1"/>
  <c r="DA69" i="2" a="1"/>
  <c r="AE74" i="2" a="1"/>
  <c r="CB18" i="2" a="1"/>
  <c r="CF76" i="2" a="1"/>
  <c r="AJ38" i="2" a="1"/>
  <c r="AN15" i="2" a="1"/>
  <c r="CP66" i="2" a="1"/>
  <c r="AO66" i="2" a="1"/>
  <c r="BM34" i="2" a="1"/>
  <c r="BF71" i="2" a="1"/>
  <c r="AE64" i="2" a="1"/>
  <c r="AL69" i="2" a="1"/>
  <c r="AE14" i="2" a="1"/>
  <c r="AG36" i="2" a="1"/>
  <c r="DB23" i="2" a="1"/>
  <c r="AN53" i="2" a="1"/>
  <c r="AM25" i="2" a="1"/>
  <c r="AO44" i="2" a="1"/>
  <c r="CP9" i="2" a="1"/>
  <c r="AC25" i="2" a="1"/>
  <c r="BO64" i="2" a="1"/>
  <c r="BJ62" i="2" a="1"/>
  <c r="AC67" i="2" a="1"/>
  <c r="CD64" i="2" a="1"/>
  <c r="CW52" i="2" a="1"/>
  <c r="AX80" i="2" a="1"/>
  <c r="DA75" i="2" a="1"/>
  <c r="AG65" i="2" a="1"/>
  <c r="BJ50" i="2" a="1"/>
  <c r="T23" i="1" a="1"/>
  <c r="G59" i="1" a="1"/>
  <c r="R20" i="1" a="1"/>
  <c r="G61" i="1" a="1"/>
  <c r="Q20" i="1" a="1"/>
  <c r="K20" i="1" a="1"/>
  <c r="J25" i="1" a="1"/>
  <c r="K57" i="1" a="1"/>
  <c r="F56" i="1" a="1"/>
  <c r="K60" i="1" a="1"/>
  <c r="F55" i="1" a="1"/>
  <c r="R23" i="1" a="1"/>
  <c r="E60" i="1" a="1"/>
  <c r="E25" i="1" a="1"/>
  <c r="F57" i="1" a="1"/>
  <c r="M57" i="1" a="1"/>
  <c r="O23" i="1" a="1"/>
  <c r="L59" i="1" a="1"/>
  <c r="N20" i="1" a="1"/>
  <c r="H59" i="1" a="1"/>
  <c r="Q58" i="1" a="1"/>
  <c r="F60" i="1" a="1"/>
  <c r="R61" i="1" a="1"/>
  <c r="K61" i="1" a="1"/>
  <c r="P23" i="1" a="1"/>
  <c r="M55" i="1" a="1"/>
  <c r="S61" i="1" a="1"/>
  <c r="H61" i="1" a="1"/>
  <c r="S25" i="1" a="1"/>
  <c r="H20" i="1" a="1"/>
  <c r="N60" i="1" a="1"/>
  <c r="O59" i="1" a="1"/>
  <c r="H58" i="1" a="1"/>
  <c r="R58" i="1" a="1"/>
  <c r="L60" i="1" a="1"/>
  <c r="P59" i="1" a="1"/>
  <c r="J55" i="1" a="1"/>
  <c r="S20" i="1" a="1"/>
  <c r="F59" i="1" a="1"/>
  <c r="E20" i="1" a="1"/>
  <c r="H57" i="1" a="1"/>
  <c r="M25" i="1" a="1"/>
  <c r="H23" i="1" a="1"/>
  <c r="M23" i="1" a="1"/>
  <c r="S57" i="1" a="1"/>
  <c r="S58" i="1" a="1"/>
  <c r="I55" i="1" a="1"/>
  <c r="E55" i="1" a="1"/>
  <c r="P58" i="1" a="1"/>
  <c r="H56" i="1" a="1"/>
  <c r="M61" i="1" a="1"/>
  <c r="E23" i="1" a="1"/>
  <c r="I20" i="1" a="1"/>
  <c r="S60" i="1" a="1"/>
  <c r="Q57" i="1" a="1"/>
  <c r="M59" i="1" a="1"/>
  <c r="J59" i="1" a="1"/>
  <c r="K25" i="1" a="1"/>
  <c r="E59" i="1" a="1"/>
  <c r="R57" i="1" a="1"/>
  <c r="L61" i="1" a="1"/>
  <c r="O25" i="1" a="1"/>
  <c r="T56" i="1" a="1"/>
  <c r="G23" i="1" a="1"/>
  <c r="H55" i="1" a="1"/>
  <c r="T57" i="1" a="1"/>
  <c r="G58" i="1" a="1"/>
  <c r="S55" i="1" a="1"/>
  <c r="Q56" i="1" a="1"/>
  <c r="L20" i="1" a="1"/>
  <c r="K55" i="1" a="1"/>
  <c r="O58" i="1" a="1"/>
  <c r="M60" i="1" a="1"/>
  <c r="H60" i="1" a="1"/>
  <c r="N23" i="1" a="1"/>
  <c r="Q59" i="1" a="1"/>
  <c r="Q55" i="1" a="1"/>
  <c r="I23" i="1" a="1"/>
  <c r="Q60" i="1" a="1"/>
  <c r="O57" i="1" a="1"/>
  <c r="P60" i="1" a="1"/>
  <c r="I57" i="1" a="1"/>
  <c r="G20" i="1" a="1"/>
  <c r="E56" i="1" a="1"/>
  <c r="G56" i="1" a="1"/>
  <c r="F25" i="1" a="1"/>
  <c r="N57" i="1" a="1"/>
  <c r="O56" i="1" a="1"/>
  <c r="J60" i="1" a="1"/>
  <c r="I59" i="1" a="1"/>
  <c r="R60" i="1" a="1"/>
  <c r="I25" i="1" a="1"/>
  <c r="M56" i="1" a="1"/>
  <c r="F20" i="1" a="1"/>
  <c r="L56" i="1" a="1"/>
  <c r="J57" i="1" a="1"/>
  <c r="N61" i="1" a="1"/>
  <c r="H25" i="1" a="1"/>
  <c r="M58" i="1" a="1"/>
  <c r="P57" i="1" a="1"/>
  <c r="L55" i="1" a="1"/>
  <c r="M20" i="1" a="1"/>
  <c r="T61" i="1" a="1"/>
  <c r="I56" i="1" a="1"/>
  <c r="G55" i="1" a="1"/>
  <c r="N55" i="1" a="1"/>
  <c r="F61" i="1" a="1"/>
  <c r="G25" i="1" a="1"/>
  <c r="N56" i="1" a="1"/>
  <c r="R56" i="1" a="1"/>
  <c r="R59" i="1" a="1"/>
  <c r="G57" i="1" a="1"/>
  <c r="L23" i="1" a="1"/>
  <c r="E58" i="1" a="1"/>
  <c r="I60" i="1" a="1"/>
  <c r="J20" i="1" a="1"/>
  <c r="P25" i="1" a="1"/>
  <c r="P56" i="1" a="1"/>
  <c r="E57" i="1" a="1"/>
  <c r="S56" i="1" a="1"/>
  <c r="R25" i="1" a="1"/>
  <c r="N59" i="1" a="1"/>
  <c r="O55" i="1" a="1"/>
  <c r="J23" i="1" a="1"/>
  <c r="K23" i="1" a="1"/>
  <c r="T58" i="1" a="1"/>
  <c r="K56" i="1" a="1"/>
  <c r="K59" i="1" a="1"/>
  <c r="R55" i="1" a="1"/>
  <c r="L58" i="1" a="1"/>
  <c r="P61" i="1" a="1"/>
  <c r="Q25" i="1" a="1"/>
  <c r="P55" i="1" a="1"/>
  <c r="S59" i="1" a="1"/>
  <c r="F58" i="1" a="1"/>
  <c r="T60" i="1" a="1"/>
  <c r="O20" i="1" a="1"/>
  <c r="K58" i="1" a="1"/>
  <c r="G60" i="1" a="1"/>
  <c r="O60" i="1" a="1"/>
  <c r="N25" i="1" a="1"/>
  <c r="F23" i="1" a="1"/>
  <c r="I61" i="1" a="1"/>
  <c r="T25" i="1" a="1"/>
  <c r="I58" i="1" a="1"/>
  <c r="P20" i="1" a="1"/>
  <c r="J56" i="1" a="1"/>
  <c r="T55" i="1" a="1"/>
  <c r="N58" i="1" a="1"/>
  <c r="S23" i="1" a="1"/>
  <c r="Q23" i="1" a="1"/>
  <c r="J61" i="1" a="1"/>
  <c r="J58" i="1" a="1"/>
  <c r="E61" i="1" a="1"/>
  <c r="T59" i="1" a="1"/>
  <c r="O61" i="1" a="1"/>
  <c r="L57" i="1" a="1"/>
  <c r="Q61" i="1" a="1"/>
  <c r="T20" i="1" a="1"/>
  <c r="L25" i="1" a="1"/>
  <c r="Q47" i="1" a="1"/>
  <c r="R48" i="1" a="1"/>
  <c r="G51" i="1" a="1"/>
  <c r="J67" i="1" a="1"/>
  <c r="Q74" i="1" a="1"/>
  <c r="F24" i="1" a="1"/>
  <c r="N10" i="1" a="1"/>
  <c r="R8" i="1" a="1"/>
  <c r="L50" i="1" a="1"/>
  <c r="E27" i="1" a="1"/>
  <c r="O36" i="1" a="1"/>
  <c r="L33" i="1" a="1"/>
  <c r="L73" i="1" a="1"/>
  <c r="E39" i="1" a="1"/>
  <c r="R52" i="1" a="1"/>
  <c r="G11" i="1" a="1"/>
  <c r="M82" i="1" a="1"/>
  <c r="I65" i="1" a="1"/>
  <c r="H49" i="1" a="1"/>
  <c r="S50" i="1" a="1"/>
  <c r="N38" i="1" a="1"/>
  <c r="Q80" i="1" a="1"/>
  <c r="K67" i="1" a="1"/>
  <c r="K31" i="1" a="1"/>
  <c r="H69" i="1" a="1"/>
  <c r="S42" i="1" a="1"/>
  <c r="J46" i="1" a="1"/>
  <c r="O50" i="1" a="1"/>
  <c r="P41" i="1" a="1"/>
  <c r="E71" i="1" a="1"/>
  <c r="T78" i="1" a="1"/>
  <c r="L66" i="1" a="1"/>
  <c r="N68" i="1" a="1"/>
  <c r="T14" i="1" a="1"/>
  <c r="N32" i="1" a="1"/>
  <c r="N75" i="1" a="1"/>
  <c r="S49" i="1" a="1"/>
  <c r="G52" i="1" a="1"/>
  <c r="G49" i="1" a="1"/>
  <c r="F43" i="1" a="1"/>
  <c r="Q29" i="1" a="1"/>
  <c r="R22" i="1" a="1"/>
  <c r="K42" i="1" a="1"/>
  <c r="N52" i="1" a="1"/>
  <c r="S64" i="1" a="1"/>
  <c r="R70" i="1" a="1"/>
  <c r="R72" i="1" a="1"/>
  <c r="G65" i="1" a="1"/>
  <c r="T48" i="1" a="1"/>
  <c r="M53" i="1" a="1"/>
  <c r="I48" i="1" a="1"/>
  <c r="R67" i="1" a="1"/>
  <c r="E13" i="1" a="1"/>
  <c r="S48" i="1" a="1"/>
  <c r="M63" i="1" a="1"/>
  <c r="H32" i="1" a="1"/>
  <c r="K65" i="1" a="1"/>
  <c r="G8" i="1" a="1"/>
  <c r="H46" i="1" a="1"/>
  <c r="N45" i="1" a="1"/>
  <c r="H39" i="1" a="1"/>
  <c r="R31" i="1" a="1"/>
  <c r="I69" i="1" a="1"/>
  <c r="M81" i="1" a="1"/>
  <c r="J71" i="1" a="1"/>
  <c r="E15" i="1" a="1"/>
  <c r="F18" i="1" a="1"/>
  <c r="K62" i="1" a="1"/>
  <c r="L16" i="1" a="1"/>
  <c r="M14" i="1" a="1"/>
  <c r="Q16" i="1" a="1"/>
  <c r="F80" i="1" a="1"/>
  <c r="P13" i="1" a="1"/>
  <c r="G48" i="1" a="1"/>
  <c r="L34" i="1" a="1"/>
  <c r="G14" i="1" a="1"/>
  <c r="H34" i="1" a="1"/>
  <c r="N62" i="1" a="1"/>
  <c r="J22" i="1" a="1"/>
  <c r="G72" i="1" a="1"/>
  <c r="M67" i="1" a="1"/>
  <c r="G66" i="1" a="1"/>
  <c r="N17" i="1" a="1"/>
  <c r="R32" i="1" a="1"/>
  <c r="S10" i="1" a="1"/>
  <c r="J13" i="1" a="1"/>
  <c r="L38" i="1" a="1"/>
  <c r="J38" i="1" a="1"/>
  <c r="I27" i="1" a="1"/>
  <c r="H16" i="1" a="1"/>
  <c r="J49" i="1" a="1"/>
  <c r="F69" i="1" a="1"/>
  <c r="L68" i="1" a="1"/>
  <c r="J16" i="1" a="1"/>
  <c r="T32" i="1" a="1"/>
  <c r="G54" i="1" a="1"/>
  <c r="O32" i="1" a="1"/>
  <c r="O68" i="1" a="1"/>
  <c r="G64" i="1" a="1"/>
  <c r="P64" i="1" a="1"/>
  <c r="K78" i="1" a="1"/>
  <c r="R66" i="1" a="1"/>
  <c r="K11" i="1" a="1"/>
  <c r="Q39" i="1" a="1"/>
  <c r="K82" i="1" a="1"/>
  <c r="M18" i="1" a="1"/>
  <c r="Q82" i="1" a="1"/>
  <c r="I34" i="1" a="1"/>
  <c r="Q64" i="1" a="1"/>
  <c r="H63" i="1" a="1"/>
  <c r="S11" i="1" a="1"/>
  <c r="K51" i="1" a="1"/>
  <c r="E81" i="1" a="1"/>
  <c r="O34" i="1" a="1"/>
  <c r="S68" i="1" a="1"/>
  <c r="K15" i="1" a="1"/>
  <c r="I11" i="1" a="1"/>
  <c r="M47" i="1" a="1"/>
  <c r="F79" i="1" a="1"/>
  <c r="L81" i="1" a="1"/>
  <c r="R18" i="1" a="1"/>
  <c r="T36" i="1" a="1"/>
  <c r="E11" i="1" a="1"/>
  <c r="S80" i="1" a="1"/>
  <c r="H71" i="1" a="1"/>
  <c r="R79" i="1" a="1"/>
  <c r="E12" i="1" a="1"/>
  <c r="O53" i="1" a="1"/>
  <c r="K35" i="1" a="1"/>
  <c r="M70" i="1" a="1"/>
  <c r="L35" i="1" a="1"/>
  <c r="O13" i="1" a="1"/>
  <c r="N29" i="1" a="1"/>
  <c r="M49" i="1" a="1"/>
  <c r="S81" i="1" a="1"/>
  <c r="E19" i="1" a="1"/>
  <c r="T82" i="1" a="1"/>
  <c r="R44" i="1" a="1"/>
  <c r="J15" i="1" a="1"/>
  <c r="R30" i="1" a="1"/>
  <c r="H53" i="1" a="1"/>
  <c r="S28" i="1" a="1"/>
  <c r="H54" i="1" a="1"/>
  <c r="N33" i="1" a="1"/>
  <c r="M79" i="1" a="1"/>
  <c r="E63" i="1" a="1"/>
  <c r="M48" i="1" a="1"/>
  <c r="N28" i="1" a="1"/>
  <c r="L64" i="1" a="1"/>
  <c r="J30" i="1" a="1"/>
  <c r="Q36" i="1" a="1"/>
  <c r="N44" i="1" a="1"/>
  <c r="N69" i="1" a="1"/>
  <c r="N9" i="1" a="1"/>
  <c r="E70" i="1" a="1"/>
  <c r="Q15" i="1" a="1"/>
  <c r="K70" i="1" a="1"/>
  <c r="F67" i="1" a="1"/>
  <c r="K40" i="1" a="1"/>
  <c r="J68" i="1" a="1"/>
  <c r="K72" i="1" a="1"/>
  <c r="L62" i="1" a="1"/>
  <c r="M37" i="1" a="1"/>
  <c r="O77" i="1" a="1"/>
  <c r="E32" i="1" a="1"/>
  <c r="I18" i="1" a="1"/>
  <c r="I82" i="1" a="1"/>
  <c r="T80" i="1" a="1"/>
  <c r="J34" i="1" a="1"/>
  <c r="L39" i="1" a="1"/>
  <c r="M26" i="1" a="1"/>
  <c r="R13" i="1" a="1"/>
  <c r="R27" i="1" a="1"/>
  <c r="I68" i="1" a="1"/>
  <c r="G47" i="1" a="1"/>
  <c r="G43" i="1" a="1"/>
  <c r="T68" i="1" a="1"/>
  <c r="F77" i="1" a="1"/>
  <c r="T63" i="1" a="1"/>
  <c r="P24" i="1" a="1"/>
  <c r="F27" i="1" a="1"/>
  <c r="I9" i="1" a="1"/>
  <c r="O28" i="1" a="1"/>
  <c r="T65" i="1" a="1"/>
  <c r="T29" i="1" a="1"/>
  <c r="F40" i="1" a="1"/>
  <c r="P73" i="1" a="1"/>
  <c r="L13" i="1" a="1"/>
  <c r="T52" i="1" a="1"/>
  <c r="L32" i="1" a="1"/>
  <c r="Q78" i="1" a="1"/>
  <c r="T53" i="1" a="1"/>
  <c r="E16" i="1" a="1"/>
  <c r="O45" i="1" a="1"/>
  <c r="F28" i="1" a="1"/>
  <c r="P75" i="1" a="1"/>
  <c r="M15" i="1" a="1"/>
  <c r="L36" i="1" a="1"/>
  <c r="K22" i="1" a="1"/>
  <c r="O8" i="1" a="1"/>
  <c r="T64" i="1" a="1"/>
  <c r="Q75" i="1" a="1"/>
  <c r="H40" i="1" a="1"/>
  <c r="T66" i="1" a="1"/>
  <c r="T54" i="1" a="1"/>
  <c r="O12" i="1" a="1"/>
  <c r="P47" i="1" a="1"/>
  <c r="E50" i="1" a="1"/>
  <c r="O74" i="1" a="1"/>
  <c r="J75" i="1" a="1"/>
  <c r="J26" i="1" a="1"/>
  <c r="S26" i="1" a="1"/>
  <c r="P53" i="1" a="1"/>
  <c r="T33" i="1" a="1"/>
  <c r="N36" i="1" a="1"/>
  <c r="L18" i="1" a="1"/>
  <c r="E43" i="1" a="1"/>
  <c r="L19" i="1" a="1"/>
  <c r="T35" i="1" a="1"/>
  <c r="I72" i="1" a="1"/>
  <c r="J29" i="1" a="1"/>
  <c r="S65" i="1" a="1"/>
  <c r="N24" i="1" a="1"/>
  <c r="G12" i="1" a="1"/>
  <c r="H47" i="1" a="1"/>
  <c r="P16" i="1" a="1"/>
  <c r="H14" i="1" a="1"/>
  <c r="S72" i="1" a="1"/>
  <c r="O31" i="1" a="1"/>
  <c r="T46" i="1" a="1"/>
  <c r="M72" i="1" a="1"/>
  <c r="Q66" i="1" a="1"/>
  <c r="F9" i="1" a="1"/>
  <c r="I52" i="1" a="1"/>
  <c r="L51" i="1" a="1"/>
  <c r="P22" i="1" a="1"/>
  <c r="O63" i="1" a="1"/>
  <c r="O10" i="1" a="1"/>
  <c r="R17" i="1" a="1"/>
  <c r="I80" i="1" a="1"/>
  <c r="O73" i="1" a="1"/>
  <c r="F53" i="1" a="1"/>
  <c r="S35" i="1" a="1"/>
  <c r="P8" i="1" a="1"/>
  <c r="N77" i="1" a="1"/>
  <c r="P81" i="1" a="1"/>
  <c r="K47" i="1" a="1"/>
  <c r="I13" i="1" a="1"/>
  <c r="R73" i="1" a="1"/>
  <c r="O81" i="1" a="1"/>
  <c r="I19" i="1" a="1"/>
  <c r="E72" i="1" a="1"/>
  <c r="G17" i="1" a="1"/>
  <c r="G80" i="1" a="1"/>
  <c r="G31" i="1" a="1"/>
  <c r="Q68" i="1" a="1"/>
  <c r="H81" i="1" a="1"/>
  <c r="Q32" i="1" a="1"/>
  <c r="R63" i="1" a="1"/>
  <c r="Q24" i="1" a="1"/>
  <c r="O33" i="1" a="1"/>
  <c r="F62" i="1" a="1"/>
  <c r="O64" i="1" a="1"/>
  <c r="O75" i="1" a="1"/>
  <c r="J48" i="1" a="1"/>
  <c r="O46" i="1" a="1"/>
  <c r="M68" i="1" a="1"/>
  <c r="P10" i="1" a="1"/>
  <c r="G13" i="1" a="1"/>
  <c r="P79" i="1" a="1"/>
  <c r="F76" i="1" a="1"/>
  <c r="P80" i="1" a="1"/>
  <c r="Q8" i="1" a="1"/>
  <c r="T26" i="1" a="1"/>
  <c r="H33" i="1" a="1"/>
  <c r="T38" i="1" a="1"/>
  <c r="O39" i="1" a="1"/>
  <c r="N34" i="1" a="1"/>
  <c r="F37" i="1" a="1"/>
  <c r="H26" i="1" a="1"/>
  <c r="F35" i="1" a="1"/>
  <c r="P77" i="1" a="1"/>
  <c r="S69" i="1" a="1"/>
  <c r="Q10" i="1" a="1"/>
  <c r="L72" i="1" a="1"/>
  <c r="G42" i="1" a="1"/>
  <c r="E22" i="1" a="1"/>
  <c r="K46" i="1" a="1"/>
  <c r="P71" i="1" a="1"/>
  <c r="R82" i="1" a="1"/>
  <c r="O66" i="1" a="1"/>
  <c r="R47" i="1" a="1"/>
  <c r="K76" i="1" a="1"/>
  <c r="M73" i="1" a="1"/>
  <c r="M75" i="1" a="1"/>
  <c r="I40" i="1" a="1"/>
  <c r="R78" i="1" a="1"/>
  <c r="I10" i="1" a="1"/>
  <c r="S75" i="1" a="1"/>
  <c r="L17" i="1" a="1"/>
  <c r="T72" i="1" a="1"/>
  <c r="F41" i="1" a="1"/>
  <c r="F16" i="1" a="1"/>
  <c r="N78" i="1" a="1"/>
  <c r="L82" i="1" a="1"/>
  <c r="H31" i="1" a="1"/>
  <c r="G19" i="1" a="1"/>
  <c r="T50" i="1" a="1"/>
  <c r="I47" i="1" a="1"/>
  <c r="H73" i="1" a="1"/>
  <c r="F49" i="1" a="1"/>
  <c r="H9" i="1" a="1"/>
  <c r="P69" i="1" a="1"/>
  <c r="I66" i="1" a="1"/>
  <c r="M71" i="1" a="1"/>
  <c r="I8" i="1" a="1"/>
  <c r="J19" i="1" a="1"/>
  <c r="S70" i="1" a="1"/>
  <c r="O19" i="1" a="1"/>
  <c r="N76" i="1" a="1"/>
  <c r="G34" i="1" a="1"/>
  <c r="H35" i="1" a="1"/>
  <c r="F72" i="1" a="1"/>
  <c r="N41" i="1" a="1"/>
  <c r="N12" i="1" a="1"/>
  <c r="H67" i="1" a="1"/>
  <c r="G79" i="1" a="1"/>
  <c r="Q30" i="1" a="1"/>
  <c r="P40" i="1" a="1"/>
  <c r="N71" i="1" a="1"/>
  <c r="R19" i="1" a="1"/>
  <c r="O42" i="1" a="1"/>
  <c r="R68" i="1" a="1"/>
  <c r="I50" i="1" a="1"/>
  <c r="Q54" i="1" a="1"/>
  <c r="T45" i="1" a="1"/>
  <c r="M41" i="1" a="1"/>
  <c r="J82" i="1" a="1"/>
  <c r="L9" i="1" a="1"/>
  <c r="F39" i="1" a="1"/>
  <c r="P62" i="1" a="1"/>
  <c r="M51" i="1" a="1"/>
  <c r="T18" i="1" a="1"/>
  <c r="O54" i="1" a="1"/>
  <c r="P46" i="1" a="1"/>
  <c r="N14" i="1" a="1"/>
  <c r="R69" i="1" a="1"/>
  <c r="H72" i="1" a="1"/>
  <c r="O72" i="1" a="1"/>
  <c r="Q49" i="1" a="1"/>
  <c r="Q41" i="1" a="1"/>
  <c r="O16" i="1" a="1"/>
  <c r="O40" i="1" a="1"/>
  <c r="K28" i="1" a="1"/>
  <c r="M28" i="1" a="1"/>
  <c r="M52" i="1" a="1"/>
  <c r="J69" i="1" a="1"/>
  <c r="K80" i="1" a="1"/>
  <c r="E46" i="1" a="1"/>
  <c r="N70" i="1" a="1"/>
  <c r="K54" i="1" a="1"/>
  <c r="E34" i="1" a="1"/>
  <c r="S44" i="1" a="1"/>
  <c r="I37" i="1" a="1"/>
  <c r="P39" i="1" a="1"/>
  <c r="R34" i="1" a="1"/>
  <c r="P49" i="1" a="1"/>
  <c r="T62" i="1" a="1"/>
  <c r="F46" i="1" a="1"/>
  <c r="N11" i="1" a="1"/>
  <c r="F19" i="1" a="1"/>
  <c r="T67" i="1" a="1"/>
  <c r="N50" i="1" a="1"/>
  <c r="L76" i="1" a="1"/>
  <c r="K68" i="1" a="1"/>
  <c r="N13" i="1" a="1"/>
  <c r="L65" i="1" a="1"/>
  <c r="S16" i="1" a="1"/>
  <c r="M38" i="1" a="1"/>
  <c r="F70" i="1" a="1"/>
  <c r="R46" i="1" a="1"/>
  <c r="F44" i="1" a="1"/>
  <c r="L78" i="1" a="1"/>
  <c r="S41" i="1" a="1"/>
  <c r="M66" i="1" a="1"/>
  <c r="R38" i="1" a="1"/>
  <c r="P68" i="1" a="1"/>
  <c r="Q69" i="1" a="1"/>
  <c r="G24" i="1" a="1"/>
  <c r="H75" i="1" a="1"/>
  <c r="P72" i="1" a="1"/>
  <c r="G44" i="1" a="1"/>
  <c r="M35" i="1" a="1"/>
  <c r="T76" i="1" a="1"/>
  <c r="E35" i="1" a="1"/>
  <c r="I74" i="1" a="1"/>
  <c r="I49" i="1" a="1"/>
  <c r="M69" i="1" a="1"/>
  <c r="Q81" i="1" a="1"/>
  <c r="S47" i="1" a="1"/>
  <c r="O35" i="1" a="1"/>
  <c r="N80" i="1" a="1"/>
  <c r="S17" i="1" a="1"/>
  <c r="G76" i="1" a="1"/>
  <c r="N82" i="1" a="1"/>
  <c r="E78" i="1" a="1"/>
  <c r="H65" i="1" a="1"/>
  <c r="N30" i="1" a="1"/>
  <c r="Q40" i="1" a="1"/>
  <c r="I70" i="1" a="1"/>
  <c r="K24" i="1" a="1"/>
  <c r="N39" i="1" a="1"/>
  <c r="E75" i="1" a="1"/>
  <c r="E24" i="1" a="1"/>
  <c r="K19" i="1" a="1"/>
  <c r="R28" i="1" a="1"/>
  <c r="E10" i="1" a="1"/>
  <c r="O38" i="1" a="1"/>
  <c r="H30" i="1" a="1"/>
  <c r="J63" i="1" a="1"/>
  <c r="H70" i="1" a="1"/>
  <c r="M74" i="1" a="1"/>
  <c r="N40" i="1" a="1"/>
  <c r="T79" i="1" a="1"/>
  <c r="K38" i="1" a="1"/>
  <c r="L28" i="1" a="1"/>
  <c r="P42" i="1" a="1"/>
  <c r="L46" i="1" a="1"/>
  <c r="I36" i="1" a="1"/>
  <c r="H42" i="1" a="1"/>
  <c r="J41" i="1" a="1"/>
  <c r="K41" i="1" a="1"/>
  <c r="O49" i="1" a="1"/>
  <c r="K13" i="1" a="1"/>
  <c r="R41" i="1" a="1"/>
  <c r="M24" i="1" a="1"/>
  <c r="M65" i="1" a="1"/>
  <c r="O41" i="1" a="1"/>
  <c r="K50" i="1" a="1"/>
  <c r="T73" i="1" a="1"/>
  <c r="K32" i="1" a="1"/>
  <c r="Q76" i="1" a="1"/>
  <c r="H51" i="1" a="1"/>
  <c r="I51" i="1" a="1"/>
  <c r="L79" i="1" a="1"/>
  <c r="F38" i="1" a="1"/>
  <c r="S43" i="1" a="1"/>
  <c r="N66" i="1" a="1"/>
  <c r="O70" i="1" a="1"/>
  <c r="M45" i="1" a="1"/>
  <c r="N74" i="1" a="1"/>
  <c r="E30" i="1" a="1"/>
  <c r="T31" i="1" a="1"/>
  <c r="Q71" i="1" a="1"/>
  <c r="J53" i="1" a="1"/>
  <c r="K33" i="1" a="1"/>
  <c r="J47" i="1" a="1"/>
  <c r="F36" i="1" a="1"/>
  <c r="P37" i="1" a="1"/>
  <c r="J72" i="1" a="1"/>
  <c r="Q11" i="1" a="1"/>
  <c r="T10" i="1" a="1"/>
  <c r="J40" i="1" a="1"/>
  <c r="S67" i="1" a="1"/>
  <c r="K8" i="1" a="1"/>
  <c r="E77" i="1" a="1"/>
  <c r="K63" i="1" a="1"/>
  <c r="G41" i="1" a="1"/>
  <c r="O37" i="1" a="1"/>
  <c r="P74" i="1" a="1"/>
  <c r="Q52" i="1" a="1"/>
  <c r="J33" i="1" a="1"/>
  <c r="J65" i="1" a="1"/>
  <c r="P32" i="1" a="1"/>
  <c r="L24" i="1" a="1"/>
  <c r="O9" i="1" a="1"/>
  <c r="F11" i="1" a="1"/>
  <c r="F47" i="1" a="1"/>
  <c r="S9" i="1" a="1"/>
  <c r="K66" i="1" a="1"/>
  <c r="H15" i="1" a="1"/>
  <c r="S37" i="1" a="1"/>
  <c r="R16" i="1" a="1"/>
  <c r="H13" i="1" a="1"/>
  <c r="I78" i="1" a="1"/>
  <c r="L70" i="1" a="1"/>
  <c r="J50" i="1" a="1"/>
  <c r="H36" i="1" a="1"/>
  <c r="H66" i="1" a="1"/>
  <c r="Q37" i="1" a="1"/>
  <c r="P43" i="1" a="1"/>
  <c r="I54" i="1" a="1"/>
  <c r="L44" i="1" a="1"/>
  <c r="H78" i="1" a="1"/>
  <c r="R76" i="1" a="1"/>
  <c r="I38" i="1" a="1"/>
  <c r="K79" i="1" a="1"/>
  <c r="H52" i="1" a="1"/>
  <c r="L52" i="1" a="1"/>
  <c r="F68" i="1" a="1"/>
  <c r="M9" i="1" a="1"/>
  <c r="F30" i="1" a="1"/>
  <c r="G68" i="1" a="1"/>
  <c r="H41" i="1" a="1"/>
  <c r="S46" i="1" a="1"/>
  <c r="P31" i="1" a="1"/>
  <c r="E67" i="1" a="1"/>
  <c r="R45" i="1" a="1"/>
  <c r="E53" i="1" a="1"/>
  <c r="M17" i="1" a="1"/>
  <c r="M42" i="1" a="1"/>
  <c r="O26" i="1" a="1"/>
  <c r="R77" i="1" a="1"/>
  <c r="S31" i="1" a="1"/>
  <c r="H29" i="1" a="1"/>
  <c r="S52" i="1" a="1"/>
  <c r="R65" i="1" a="1"/>
  <c r="E54" i="1" a="1"/>
  <c r="T77" i="1" a="1"/>
  <c r="G63" i="1" a="1"/>
  <c r="T75" i="1" a="1"/>
  <c r="J39" i="1" a="1"/>
  <c r="F81" i="1" a="1"/>
  <c r="F34" i="1" a="1"/>
  <c r="M8" i="1" a="1"/>
  <c r="M29" i="1" a="1"/>
  <c r="F63" i="1" a="1"/>
  <c r="P65" i="1" a="1"/>
  <c r="H37" i="1" a="1"/>
  <c r="S53" i="1" a="1"/>
  <c r="Q38" i="1" a="1"/>
  <c r="O29" i="1" a="1"/>
  <c r="J78" i="1" a="1"/>
  <c r="L67" i="1" a="1"/>
  <c r="G10" i="1" a="1"/>
  <c r="O11" i="1" a="1"/>
  <c r="R53" i="1" a="1"/>
  <c r="L42" i="1" a="1"/>
  <c r="K43" i="1" a="1"/>
  <c r="P54" i="1" a="1"/>
  <c r="J31" i="1" a="1"/>
  <c r="F65" i="1" a="1"/>
  <c r="I22" i="1" a="1"/>
  <c r="S40" i="1" a="1"/>
  <c r="F14" i="1" a="1"/>
  <c r="S33" i="1" a="1"/>
  <c r="J27" i="1" a="1"/>
  <c r="R62" i="1" a="1"/>
  <c r="F45" i="1" a="1"/>
  <c r="G77" i="1" a="1"/>
  <c r="Q27" i="1" a="1"/>
  <c r="S19" i="1" a="1"/>
  <c r="J74" i="1" a="1"/>
  <c r="F64" i="1" a="1"/>
  <c r="L49" i="1" a="1"/>
  <c r="K44" i="1" a="1"/>
  <c r="I39" i="1" a="1"/>
  <c r="F22" i="1" a="1"/>
  <c r="M36" i="1" a="1"/>
  <c r="P67" i="1" a="1"/>
  <c r="H44" i="1" a="1"/>
  <c r="L69" i="1" a="1"/>
  <c r="F17" i="1" a="1"/>
  <c r="R9" i="1" a="1"/>
  <c r="T47" i="1" a="1"/>
  <c r="T27" i="1" a="1"/>
  <c r="N48" i="1" a="1"/>
  <c r="P63" i="1" a="1"/>
  <c r="O78" i="1" a="1"/>
  <c r="E9" i="1" a="1"/>
  <c r="S36" i="1" a="1"/>
  <c r="I31" i="1" a="1"/>
  <c r="N47" i="1" a="1"/>
  <c r="R12" i="1" a="1"/>
  <c r="M39" i="1" a="1"/>
  <c r="I81" i="1" a="1"/>
  <c r="K16" i="1" a="1"/>
  <c r="T42" i="1" a="1"/>
  <c r="P17" i="1" a="1"/>
  <c r="G33" i="1" a="1"/>
  <c r="N26" i="1" a="1"/>
  <c r="S74" i="1" a="1"/>
  <c r="K49" i="1" a="1"/>
  <c r="N67" i="1" a="1"/>
  <c r="I32" i="1" a="1"/>
  <c r="R29" i="1" a="1"/>
  <c r="S77" i="1" a="1"/>
  <c r="E48" i="1" a="1"/>
  <c r="S76" i="1" a="1"/>
  <c r="S29" i="1" a="1"/>
  <c r="S32" i="1" a="1"/>
  <c r="Q45" i="1" a="1"/>
  <c r="S8" i="1" a="1"/>
  <c r="K9" i="1" a="1"/>
  <c r="G29" i="1" a="1"/>
  <c r="H62" i="1" a="1"/>
  <c r="I17" i="1" a="1"/>
  <c r="J77" i="1" a="1"/>
  <c r="H28" i="1" a="1"/>
  <c r="T16" i="1" a="1"/>
  <c r="T22" i="1" a="1"/>
  <c r="G62" i="1" a="1"/>
  <c r="Q31" i="1" a="1"/>
  <c r="O27" i="1" a="1"/>
  <c r="L47" i="1" a="1"/>
  <c r="E52" i="1" a="1"/>
  <c r="O82" i="1" a="1"/>
  <c r="E79" i="1" a="1"/>
  <c r="H74" i="1" a="1"/>
  <c r="H12" i="1" a="1"/>
  <c r="J14" i="1" a="1"/>
  <c r="L37" i="1" a="1"/>
  <c r="I30" i="1" a="1"/>
  <c r="P28" i="1" a="1"/>
  <c r="N8" i="1" a="1"/>
  <c r="Q43" i="1" a="1"/>
  <c r="O79" i="1" a="1"/>
  <c r="N53" i="1" a="1"/>
  <c r="P36" i="1" a="1"/>
  <c r="J62" i="1" a="1"/>
  <c r="G74" i="1" a="1"/>
  <c r="T19" i="1" a="1"/>
  <c r="G46" i="1" a="1"/>
  <c r="R37" i="1" a="1"/>
  <c r="S78" i="1" a="1"/>
  <c r="R26" i="1" a="1"/>
  <c r="G27" i="1" a="1"/>
  <c r="T74" i="1" a="1"/>
  <c r="N19" i="1" a="1"/>
  <c r="G22" i="1" a="1"/>
  <c r="O30" i="1" a="1"/>
  <c r="Q9" i="1" a="1"/>
  <c r="T71" i="1" a="1"/>
  <c r="P50" i="1" a="1"/>
  <c r="N46" i="1" a="1"/>
  <c r="I44" i="1" a="1"/>
  <c r="M27" i="1" a="1"/>
  <c r="I29" i="1" a="1"/>
  <c r="J28" i="1" a="1"/>
  <c r="E26" i="1" a="1"/>
  <c r="S27" i="1" a="1"/>
  <c r="P66" i="1" a="1"/>
  <c r="P76" i="1" a="1"/>
  <c r="Q50" i="1" a="1"/>
  <c r="E28" i="1" a="1"/>
  <c r="I41" i="1" a="1"/>
  <c r="O76" i="1" a="1"/>
  <c r="R51" i="1" a="1"/>
  <c r="M78" i="1" a="1"/>
  <c r="P52" i="1" a="1"/>
  <c r="J70" i="1" a="1"/>
  <c r="H38" i="1" a="1"/>
  <c r="N65" i="1" a="1"/>
  <c r="N54" i="1" a="1"/>
  <c r="G30" i="1" a="1"/>
  <c r="G40" i="1" a="1"/>
  <c r="I42" i="1" a="1"/>
  <c r="J18" i="1" a="1"/>
  <c r="T43" i="1" a="1"/>
  <c r="Q26" i="1" a="1"/>
  <c r="G18" i="1" a="1"/>
  <c r="P82" i="1" a="1"/>
  <c r="E80" i="1" a="1"/>
  <c r="I79" i="1" a="1"/>
  <c r="T30" i="1" a="1"/>
  <c r="P35" i="1" a="1"/>
  <c r="N16" i="1" a="1"/>
  <c r="O67" i="1" a="1"/>
  <c r="L10" i="1" a="1"/>
  <c r="F26" i="1" a="1"/>
  <c r="K17" i="1" a="1"/>
  <c r="F82" i="1" a="1"/>
  <c r="H24" i="1" a="1"/>
  <c r="S62" i="1" a="1"/>
  <c r="E36" i="1" a="1"/>
  <c r="L54" i="1" a="1"/>
  <c r="J51" i="1" a="1"/>
  <c r="M43" i="1" a="1"/>
  <c r="N72" i="1" a="1"/>
  <c r="M11" i="1" a="1"/>
  <c r="Q22" i="1" a="1"/>
  <c r="O15" i="1" a="1"/>
  <c r="G26" i="1" a="1"/>
  <c r="E42" i="1" a="1"/>
  <c r="T40" i="1" a="1"/>
  <c r="T81" i="1" a="1"/>
  <c r="E45" i="1" a="1"/>
  <c r="O48" i="1" a="1"/>
  <c r="R33" i="1" a="1"/>
  <c r="K30" i="1" a="1"/>
  <c r="R75" i="1" a="1"/>
  <c r="I28" i="1" a="1"/>
  <c r="G82" i="1" a="1"/>
  <c r="P11" i="1" a="1"/>
  <c r="E73" i="1" a="1"/>
  <c r="S71" i="1" a="1"/>
  <c r="G69" i="1" a="1"/>
  <c r="J45" i="1" a="1"/>
  <c r="S24" i="1" a="1"/>
  <c r="K26" i="1" a="1"/>
  <c r="I35" i="1" a="1"/>
  <c r="K10" i="1" a="1"/>
  <c r="I75" i="1" a="1"/>
  <c r="P33" i="1" a="1"/>
  <c r="R54" i="1" a="1"/>
  <c r="I33" i="1" a="1"/>
  <c r="K48" i="1" a="1"/>
  <c r="E38" i="1" a="1"/>
  <c r="J37" i="1" a="1"/>
  <c r="J43" i="1" a="1"/>
  <c r="J32" i="1" a="1"/>
  <c r="F42" i="1" a="1"/>
  <c r="E8" i="1" a="1"/>
  <c r="E76" i="1" a="1"/>
  <c r="L45" i="1" a="1"/>
  <c r="H27" i="1" a="1"/>
  <c r="T13" i="1" a="1"/>
  <c r="H82" i="1" a="1"/>
  <c r="L29" i="1" a="1"/>
  <c r="K12" i="1" a="1"/>
  <c r="J24" i="1" a="1"/>
  <c r="F33" i="1" a="1"/>
  <c r="H80" i="1" a="1"/>
  <c r="T15" i="1" a="1"/>
  <c r="T8" i="1" a="1"/>
  <c r="J73" i="1" a="1"/>
  <c r="G81" i="1" a="1"/>
  <c r="F73" i="1" a="1"/>
  <c r="E66" i="1" a="1"/>
  <c r="S22" i="1" a="1"/>
  <c r="Q14" i="1" a="1"/>
  <c r="Q62" i="1" a="1"/>
  <c r="K73" i="1" a="1"/>
  <c r="R36" i="1" a="1"/>
  <c r="T70" i="1" a="1"/>
  <c r="L14" i="1" a="1"/>
  <c r="I24" i="1" a="1"/>
  <c r="R15" i="1" a="1"/>
  <c r="H76" i="1" a="1"/>
  <c r="F50" i="1" a="1"/>
  <c r="E17" i="1" a="1"/>
  <c r="K74" i="1" a="1"/>
  <c r="J35" i="1" a="1"/>
  <c r="H50" i="1" a="1"/>
  <c r="K29" i="1" a="1"/>
  <c r="Q34" i="1" a="1"/>
  <c r="P78" i="1" a="1"/>
  <c r="I26" i="1" a="1"/>
  <c r="H11" i="1" a="1"/>
  <c r="E47" i="1" a="1"/>
  <c r="J42" i="1" a="1"/>
  <c r="I14" i="1" a="1"/>
  <c r="O80" i="1" a="1"/>
  <c r="E14" i="1" a="1"/>
  <c r="N35" i="1" a="1"/>
  <c r="J76" i="1" a="1"/>
  <c r="R80" i="1" a="1"/>
  <c r="L74" i="1" a="1"/>
  <c r="I12" i="1" a="1"/>
  <c r="H8" i="1" a="1"/>
  <c r="K69" i="1" a="1"/>
  <c r="J81" i="1" a="1"/>
  <c r="G71" i="1" a="1"/>
  <c r="F66" i="1" a="1"/>
  <c r="L15" i="1" a="1"/>
  <c r="M32" i="1" a="1"/>
  <c r="Q51" i="1" a="1"/>
  <c r="M44" i="1" a="1"/>
  <c r="Q35" i="1" a="1"/>
  <c r="H18" i="1" a="1"/>
  <c r="J44" i="1" a="1"/>
  <c r="O44" i="1" a="1"/>
  <c r="Q44" i="1" a="1"/>
  <c r="E64" i="1" a="1"/>
  <c r="H45" i="1" a="1"/>
  <c r="N43" i="1" a="1"/>
  <c r="S63" i="1" a="1"/>
  <c r="S79" i="1" a="1"/>
  <c r="F71" i="1" a="1"/>
  <c r="S14" i="1" a="1"/>
  <c r="L41" i="1" a="1"/>
  <c r="P38" i="1" a="1"/>
  <c r="K36" i="1" a="1"/>
  <c r="Q65" i="1" a="1"/>
  <c r="J66" i="1" a="1"/>
  <c r="T17" i="1" a="1"/>
  <c r="J10" i="1" a="1"/>
  <c r="E51" i="1" a="1"/>
  <c r="O17" i="1" a="1"/>
  <c r="K18" i="1" a="1"/>
  <c r="N37" i="1" a="1"/>
  <c r="R64" i="1" a="1"/>
  <c r="L53" i="1" a="1"/>
  <c r="N63" i="1" a="1"/>
  <c r="R71" i="1" a="1"/>
  <c r="J54" i="1" a="1"/>
  <c r="S18" i="1" a="1"/>
  <c r="L77" i="1" a="1"/>
  <c r="I46" i="1" a="1"/>
  <c r="Q28" i="1" a="1"/>
  <c r="O71" i="1" a="1"/>
  <c r="L63" i="1" a="1"/>
  <c r="O24" i="1" a="1"/>
  <c r="R40" i="1" a="1"/>
  <c r="T9" i="1" a="1"/>
  <c r="P27" i="1" a="1"/>
  <c r="J64" i="1" a="1"/>
  <c r="S73" i="1" a="1"/>
  <c r="Q42" i="1" a="1"/>
  <c r="S51" i="1" a="1"/>
  <c r="E40" i="1" a="1"/>
  <c r="S45" i="1" a="1"/>
  <c r="N27" i="1" a="1"/>
  <c r="G38" i="1" a="1"/>
  <c r="H68" i="1" a="1"/>
  <c r="H22" i="1" a="1"/>
  <c r="L26" i="1" a="1"/>
  <c r="O62" i="1" a="1"/>
  <c r="F32" i="1" a="1"/>
  <c r="Q12" i="1" a="1"/>
  <c r="N79" i="1" a="1"/>
  <c r="G45" i="1" a="1"/>
  <c r="P51" i="1" a="1"/>
  <c r="M40" i="1" a="1"/>
  <c r="N81" i="1" a="1"/>
  <c r="T49" i="1" a="1"/>
  <c r="K45" i="1" a="1"/>
  <c r="I16" i="1" a="1"/>
  <c r="S13" i="1" a="1"/>
  <c r="S30" i="1" a="1"/>
  <c r="K64" i="1" a="1"/>
  <c r="Q72" i="1" a="1"/>
  <c r="G73" i="1" a="1"/>
  <c r="I76" i="1" a="1"/>
  <c r="K81" i="1" a="1"/>
  <c r="F48" i="1" a="1"/>
  <c r="R10" i="1" a="1"/>
  <c r="I67" i="1" a="1"/>
  <c r="I45" i="1" a="1"/>
  <c r="R14" i="1" a="1"/>
  <c r="R81" i="1" a="1"/>
  <c r="G28" i="1" a="1"/>
  <c r="N15" i="1" a="1"/>
  <c r="Q73" i="1" a="1"/>
  <c r="S15" i="1" a="1"/>
  <c r="H64" i="1" a="1"/>
  <c r="F54" i="1" a="1"/>
  <c r="M31" i="1" a="1"/>
  <c r="P44" i="1" a="1"/>
  <c r="L75" i="1" a="1"/>
  <c r="Q77" i="1" a="1"/>
  <c r="R39" i="1" a="1"/>
  <c r="H19" i="1" a="1"/>
  <c r="S82" i="1" a="1"/>
  <c r="O69" i="1" a="1"/>
  <c r="F8" i="1" a="1"/>
  <c r="F75" i="1" a="1"/>
  <c r="T51" i="1" a="1"/>
  <c r="J9" i="1" a="1"/>
  <c r="N31" i="1" a="1"/>
  <c r="O51" i="1" a="1"/>
  <c r="M62" i="1" a="1"/>
  <c r="R50" i="1" a="1"/>
  <c r="E44" i="1" a="1"/>
  <c r="J36" i="1" a="1"/>
  <c r="I43" i="1" a="1"/>
  <c r="H17" i="1" a="1"/>
  <c r="M22" i="1" a="1"/>
  <c r="T11" i="1" a="1"/>
  <c r="I77" i="1" a="1"/>
  <c r="K14" i="1" a="1"/>
  <c r="J8" i="1" a="1"/>
  <c r="N73" i="1" a="1"/>
  <c r="P15" i="1" a="1"/>
  <c r="P14" i="1" a="1"/>
  <c r="M13" i="1" a="1"/>
  <c r="H43" i="1" a="1"/>
  <c r="M34" i="1" a="1"/>
  <c r="K77" i="1" a="1"/>
  <c r="I64" i="1" a="1"/>
  <c r="Q70" i="1" a="1"/>
  <c r="L48" i="1" a="1"/>
  <c r="K52" i="1" a="1"/>
  <c r="E41" i="1" a="1"/>
  <c r="Q67" i="1" a="1"/>
  <c r="F13" i="1" a="1"/>
  <c r="P9" i="1" a="1"/>
  <c r="K37" i="1" a="1"/>
  <c r="G75" i="1" a="1"/>
  <c r="P29" i="1" a="1"/>
  <c r="O65" i="1" a="1"/>
  <c r="P34" i="1" a="1"/>
  <c r="M33" i="1" a="1"/>
  <c r="P70" i="1" a="1"/>
  <c r="T12" i="1" a="1"/>
  <c r="F51" i="1" a="1"/>
  <c r="O43" i="1" a="1"/>
  <c r="L80" i="1" a="1"/>
  <c r="Q33" i="1" a="1"/>
  <c r="O22" i="1" a="1"/>
  <c r="R43" i="1" a="1"/>
  <c r="K75" i="1" a="1"/>
  <c r="M16" i="1" a="1"/>
  <c r="M64" i="1" a="1"/>
  <c r="G36" i="1" a="1"/>
  <c r="M50" i="1" a="1"/>
  <c r="E29" i="1" a="1"/>
  <c r="K53" i="1" a="1"/>
  <c r="G16" i="1" a="1"/>
  <c r="I73" i="1" a="1"/>
  <c r="E65" i="1" a="1"/>
  <c r="F78" i="1" a="1"/>
  <c r="O14" i="1" a="1"/>
  <c r="G37" i="1" a="1"/>
  <c r="G78" i="1" a="1"/>
  <c r="G39" i="1" a="1"/>
  <c r="Q48" i="1" a="1"/>
  <c r="F12" i="1" a="1"/>
  <c r="E33" i="1" a="1"/>
  <c r="N18" i="1" a="1"/>
  <c r="I15" i="1" a="1"/>
  <c r="H79" i="1" a="1"/>
  <c r="E18" i="1" a="1"/>
  <c r="N64" i="1" a="1"/>
  <c r="Q17" i="1" a="1"/>
  <c r="Q19" i="1" a="1"/>
  <c r="M80" i="1" a="1"/>
  <c r="Q63" i="1" a="1"/>
  <c r="L27" i="1" a="1"/>
  <c r="Q18" i="1" a="1"/>
  <c r="T44" i="1" a="1"/>
  <c r="F52" i="1" a="1"/>
  <c r="M77" i="1" a="1"/>
  <c r="Q46" i="1" a="1"/>
  <c r="G53" i="1" a="1"/>
  <c r="L11" i="1" a="1"/>
  <c r="J79" i="1" a="1"/>
  <c r="P19" i="1" a="1"/>
  <c r="M19" i="1" a="1"/>
  <c r="R11" i="1" a="1"/>
  <c r="T24" i="1" a="1"/>
  <c r="M46" i="1" a="1"/>
  <c r="P26" i="1" a="1"/>
  <c r="J12" i="1" a="1"/>
  <c r="J11" i="1" a="1"/>
  <c r="N42" i="1" a="1"/>
  <c r="M76" i="1" a="1"/>
  <c r="S38" i="1" a="1"/>
  <c r="E31" i="1" a="1"/>
  <c r="L12" i="1" a="1"/>
  <c r="O18" i="1" a="1"/>
  <c r="G67" i="1" a="1"/>
  <c r="R42" i="1" a="1"/>
  <c r="F15" i="1" a="1"/>
  <c r="N51" i="1" a="1"/>
  <c r="T69" i="1" a="1"/>
  <c r="L30" i="1" a="1"/>
  <c r="G70" i="1" a="1"/>
  <c r="H10" i="1" a="1"/>
  <c r="F31" i="1" a="1"/>
  <c r="K34" i="1" a="1"/>
  <c r="P18" i="1" a="1"/>
  <c r="L22" i="1" a="1"/>
  <c r="K71" i="1" a="1"/>
  <c r="P30" i="1" a="1"/>
  <c r="E82" i="1" a="1"/>
  <c r="E74" i="1" a="1"/>
  <c r="T37" i="1" a="1"/>
  <c r="N49" i="1" a="1"/>
  <c r="E49" i="1" a="1"/>
  <c r="S34" i="1" a="1"/>
  <c r="P48" i="1" a="1"/>
  <c r="M30" i="1" a="1"/>
  <c r="F74" i="1" a="1"/>
  <c r="R35" i="1" a="1"/>
  <c r="F10" i="1" a="1"/>
  <c r="J80" i="1" a="1"/>
  <c r="M54" i="1" a="1"/>
  <c r="G32" i="1" a="1"/>
  <c r="R74" i="1" a="1"/>
  <c r="O52" i="1" a="1"/>
  <c r="Q53" i="1" a="1"/>
  <c r="L40" i="1" a="1"/>
  <c r="S12" i="1" a="1"/>
  <c r="K27" i="1" a="1"/>
  <c r="P45" i="1" a="1"/>
  <c r="T41" i="1" a="1"/>
  <c r="T34" i="1" a="1"/>
  <c r="O47" i="1" a="1"/>
  <c r="L43" i="1" a="1"/>
  <c r="J52" i="1" a="1"/>
  <c r="G50" i="1" a="1"/>
  <c r="L71" i="1" a="1"/>
  <c r="E62" i="1" a="1"/>
  <c r="L8" i="1" a="1"/>
  <c r="T28" i="1" a="1"/>
  <c r="G35" i="1" a="1"/>
  <c r="E37" i="1" a="1"/>
  <c r="F29" i="1" a="1"/>
  <c r="S39" i="1" a="1"/>
  <c r="J17" i="1" a="1"/>
  <c r="H77" i="1" a="1"/>
  <c r="K39" i="1" a="1"/>
  <c r="Q79" i="1" a="1"/>
  <c r="S54" i="1" a="1"/>
  <c r="G15" i="1" a="1"/>
  <c r="R49" i="1" a="1"/>
  <c r="R24" i="1" a="1"/>
  <c r="I63" i="1" a="1"/>
  <c r="M12" i="1" a="1"/>
  <c r="I71" i="1" a="1"/>
  <c r="Q13" i="1" a="1"/>
  <c r="T39" i="1" a="1"/>
  <c r="E68" i="1" a="1"/>
  <c r="M10" i="1" a="1"/>
  <c r="I53" i="1" a="1"/>
  <c r="H48" i="1" a="1"/>
  <c r="N22" i="1" a="1"/>
  <c r="L31" i="1" a="1"/>
  <c r="P12" i="1" a="1"/>
  <c r="E69" i="1" a="1"/>
  <c r="I62" i="1" a="1"/>
  <c r="S66" i="1" a="1"/>
  <c r="M22" i="2" l="1"/>
  <c r="U22" i="2"/>
  <c r="AB22" i="2"/>
  <c r="AA22" i="2"/>
  <c r="X22" i="2"/>
  <c r="Z22" i="2"/>
  <c r="O22" i="2"/>
  <c r="N22" i="2"/>
  <c r="V22" i="2"/>
  <c r="W22" i="2"/>
  <c r="P22" i="2"/>
  <c r="Y22" i="2"/>
  <c r="T22" i="2"/>
  <c r="S22" i="2"/>
  <c r="Q22" i="2"/>
  <c r="R22" i="2"/>
  <c r="S66" i="1"/>
  <c r="I62" i="1"/>
  <c r="E69" i="1"/>
  <c r="P12" i="1"/>
  <c r="L31" i="1"/>
  <c r="N22" i="1"/>
  <c r="H48" i="1"/>
  <c r="I53" i="1"/>
  <c r="M10" i="1"/>
  <c r="E68" i="1"/>
  <c r="T39" i="1"/>
  <c r="Q13" i="1"/>
  <c r="I71" i="1"/>
  <c r="M12" i="1"/>
  <c r="I63" i="1"/>
  <c r="R24" i="1"/>
  <c r="R49" i="1"/>
  <c r="G15" i="1"/>
  <c r="S54" i="1"/>
  <c r="Q79" i="1"/>
  <c r="K39" i="1"/>
  <c r="H77" i="1"/>
  <c r="J17" i="1"/>
  <c r="S39" i="1"/>
  <c r="F29" i="1"/>
  <c r="E37" i="1"/>
  <c r="G35" i="1"/>
  <c r="T28" i="1"/>
  <c r="L8" i="1"/>
  <c r="E62" i="1"/>
  <c r="L71" i="1"/>
  <c r="G50" i="1"/>
  <c r="J52" i="1"/>
  <c r="L43" i="1"/>
  <c r="O47" i="1"/>
  <c r="T34" i="1"/>
  <c r="T41" i="1"/>
  <c r="P45" i="1"/>
  <c r="K27" i="1"/>
  <c r="S12" i="1"/>
  <c r="L40" i="1"/>
  <c r="Q53" i="1"/>
  <c r="O52" i="1"/>
  <c r="R74" i="1"/>
  <c r="G32" i="1"/>
  <c r="M54" i="1"/>
  <c r="J80" i="1"/>
  <c r="F10" i="1"/>
  <c r="R35" i="1"/>
  <c r="F74" i="1"/>
  <c r="M30" i="1"/>
  <c r="P48" i="1"/>
  <c r="S34" i="1"/>
  <c r="E49" i="1"/>
  <c r="N49" i="1"/>
  <c r="T37" i="1"/>
  <c r="E74" i="1"/>
  <c r="E82" i="1"/>
  <c r="P30" i="1"/>
  <c r="K71" i="1"/>
  <c r="L22" i="1"/>
  <c r="P18" i="1"/>
  <c r="K34" i="1"/>
  <c r="F31" i="1"/>
  <c r="H10" i="1"/>
  <c r="G70" i="1"/>
  <c r="L30" i="1"/>
  <c r="T69" i="1"/>
  <c r="N51" i="1"/>
  <c r="F15" i="1"/>
  <c r="R42" i="1"/>
  <c r="G67" i="1"/>
  <c r="O18" i="1"/>
  <c r="L12" i="1"/>
  <c r="E31" i="1"/>
  <c r="S38" i="1"/>
  <c r="M76" i="1"/>
  <c r="N42" i="1"/>
  <c r="J11" i="1"/>
  <c r="J12" i="1"/>
  <c r="P26" i="1"/>
  <c r="M46" i="1"/>
  <c r="T24" i="1"/>
  <c r="R11" i="1"/>
  <c r="M19" i="1"/>
  <c r="P19" i="1"/>
  <c r="J79" i="1"/>
  <c r="L11" i="1"/>
  <c r="G53" i="1"/>
  <c r="Q46" i="1"/>
  <c r="M77" i="1"/>
  <c r="F52" i="1"/>
  <c r="T44" i="1"/>
  <c r="Q18" i="1"/>
  <c r="L27" i="1"/>
  <c r="Q63" i="1"/>
  <c r="M80" i="1"/>
  <c r="Q19" i="1"/>
  <c r="Q17" i="1"/>
  <c r="N64" i="1"/>
  <c r="E18" i="1"/>
  <c r="H79" i="1"/>
  <c r="I15" i="1"/>
  <c r="N18" i="1"/>
  <c r="E33" i="1"/>
  <c r="F12" i="1"/>
  <c r="Q48" i="1"/>
  <c r="G39" i="1"/>
  <c r="G78" i="1"/>
  <c r="G37" i="1"/>
  <c r="O14" i="1"/>
  <c r="F78" i="1"/>
  <c r="E65" i="1"/>
  <c r="I73" i="1"/>
  <c r="G16" i="1"/>
  <c r="K53" i="1"/>
  <c r="E29" i="1"/>
  <c r="M50" i="1"/>
  <c r="G36" i="1"/>
  <c r="M64" i="1"/>
  <c r="M16" i="1"/>
  <c r="K75" i="1"/>
  <c r="R43" i="1"/>
  <c r="O22" i="1"/>
  <c r="Q33" i="1"/>
  <c r="L80" i="1"/>
  <c r="O43" i="1"/>
  <c r="F51" i="1"/>
  <c r="T12" i="1"/>
  <c r="P70" i="1"/>
  <c r="M33" i="1"/>
  <c r="P34" i="1"/>
  <c r="O65" i="1"/>
  <c r="P29" i="1"/>
  <c r="G75" i="1"/>
  <c r="K37" i="1"/>
  <c r="P9" i="1"/>
  <c r="F13" i="1"/>
  <c r="Q67" i="1"/>
  <c r="E41" i="1"/>
  <c r="K52" i="1"/>
  <c r="L48" i="1"/>
  <c r="Q70" i="1"/>
  <c r="I64" i="1"/>
  <c r="K77" i="1"/>
  <c r="M34" i="1"/>
  <c r="H43" i="1"/>
  <c r="M13" i="1"/>
  <c r="P14" i="1"/>
  <c r="P15" i="1"/>
  <c r="N73" i="1"/>
  <c r="J8" i="1"/>
  <c r="K14" i="1"/>
  <c r="I77" i="1"/>
  <c r="T11" i="1"/>
  <c r="M22" i="1"/>
  <c r="H17" i="1"/>
  <c r="I43" i="1"/>
  <c r="J36" i="1"/>
  <c r="E44" i="1"/>
  <c r="R50" i="1"/>
  <c r="M62" i="1"/>
  <c r="O51" i="1"/>
  <c r="N31" i="1"/>
  <c r="J9" i="1"/>
  <c r="T51" i="1"/>
  <c r="F75" i="1"/>
  <c r="F8" i="1"/>
  <c r="O69" i="1"/>
  <c r="S82" i="1"/>
  <c r="H19" i="1"/>
  <c r="R39" i="1"/>
  <c r="Q77" i="1"/>
  <c r="L75" i="1"/>
  <c r="P44" i="1"/>
  <c r="M31" i="1"/>
  <c r="F54" i="1"/>
  <c r="H64" i="1"/>
  <c r="S15" i="1"/>
  <c r="Q73" i="1"/>
  <c r="N15" i="1"/>
  <c r="G28" i="1"/>
  <c r="R81" i="1"/>
  <c r="R14" i="1"/>
  <c r="I45" i="1"/>
  <c r="I67" i="1"/>
  <c r="R10" i="1"/>
  <c r="F48" i="1"/>
  <c r="K81" i="1"/>
  <c r="I76" i="1"/>
  <c r="G73" i="1"/>
  <c r="Q72" i="1"/>
  <c r="K64" i="1"/>
  <c r="S30" i="1"/>
  <c r="S13" i="1"/>
  <c r="I16" i="1"/>
  <c r="K45" i="1"/>
  <c r="T49" i="1"/>
  <c r="N81" i="1"/>
  <c r="M40" i="1"/>
  <c r="P51" i="1"/>
  <c r="G45" i="1"/>
  <c r="N79" i="1"/>
  <c r="Q12" i="1"/>
  <c r="F32" i="1"/>
  <c r="O62" i="1"/>
  <c r="L26" i="1"/>
  <c r="H22" i="1"/>
  <c r="H68" i="1"/>
  <c r="G38" i="1"/>
  <c r="N27" i="1"/>
  <c r="S45" i="1"/>
  <c r="E40" i="1"/>
  <c r="S51" i="1"/>
  <c r="Q42" i="1"/>
  <c r="S73" i="1"/>
  <c r="J64" i="1"/>
  <c r="P27" i="1"/>
  <c r="T9" i="1"/>
  <c r="R40" i="1"/>
  <c r="O24" i="1"/>
  <c r="L63" i="1"/>
  <c r="O71" i="1"/>
  <c r="Q28" i="1"/>
  <c r="I46" i="1"/>
  <c r="L77" i="1"/>
  <c r="S18" i="1"/>
  <c r="J54" i="1"/>
  <c r="R71" i="1"/>
  <c r="N63" i="1"/>
  <c r="L53" i="1"/>
  <c r="R64" i="1"/>
  <c r="N37" i="1"/>
  <c r="K18" i="1"/>
  <c r="O17" i="1"/>
  <c r="E51" i="1"/>
  <c r="J10" i="1"/>
  <c r="T17" i="1"/>
  <c r="J66" i="1"/>
  <c r="Q65" i="1"/>
  <c r="K36" i="1"/>
  <c r="P38" i="1"/>
  <c r="L41" i="1"/>
  <c r="S14" i="1"/>
  <c r="F71" i="1"/>
  <c r="S79" i="1"/>
  <c r="S63" i="1"/>
  <c r="N43" i="1"/>
  <c r="H45" i="1"/>
  <c r="E64" i="1"/>
  <c r="Q44" i="1"/>
  <c r="O44" i="1"/>
  <c r="J44" i="1"/>
  <c r="H18" i="1"/>
  <c r="Q35" i="1"/>
  <c r="M44" i="1"/>
  <c r="Q51" i="1"/>
  <c r="M32" i="1"/>
  <c r="L15" i="1"/>
  <c r="F66" i="1"/>
  <c r="G71" i="1"/>
  <c r="J81" i="1"/>
  <c r="K69" i="1"/>
  <c r="H8" i="1"/>
  <c r="I12" i="1"/>
  <c r="L74" i="1"/>
  <c r="R80" i="1"/>
  <c r="J76" i="1"/>
  <c r="N35" i="1"/>
  <c r="E14" i="1"/>
  <c r="O80" i="1"/>
  <c r="I14" i="1"/>
  <c r="J42" i="1"/>
  <c r="E47" i="1"/>
  <c r="H11" i="1"/>
  <c r="I26" i="1"/>
  <c r="P78" i="1"/>
  <c r="Q34" i="1"/>
  <c r="K29" i="1"/>
  <c r="H50" i="1"/>
  <c r="J35" i="1"/>
  <c r="K74" i="1"/>
  <c r="E17" i="1"/>
  <c r="F50" i="1"/>
  <c r="H76" i="1"/>
  <c r="R15" i="1"/>
  <c r="I24" i="1"/>
  <c r="L14" i="1"/>
  <c r="T70" i="1"/>
  <c r="R36" i="1"/>
  <c r="K73" i="1"/>
  <c r="Q62" i="1"/>
  <c r="Q14" i="1"/>
  <c r="S22" i="1"/>
  <c r="E66" i="1"/>
  <c r="F73" i="1"/>
  <c r="G81" i="1"/>
  <c r="J73" i="1"/>
  <c r="T8" i="1"/>
  <c r="T15" i="1"/>
  <c r="H80" i="1"/>
  <c r="F33" i="1"/>
  <c r="J24" i="1"/>
  <c r="K12" i="1"/>
  <c r="L29" i="1"/>
  <c r="H82" i="1"/>
  <c r="T13" i="1"/>
  <c r="H27" i="1"/>
  <c r="L45" i="1"/>
  <c r="E76" i="1"/>
  <c r="E8" i="1"/>
  <c r="F42" i="1"/>
  <c r="J32" i="1"/>
  <c r="J43" i="1"/>
  <c r="J37" i="1"/>
  <c r="E38" i="1"/>
  <c r="K48" i="1"/>
  <c r="I33" i="1"/>
  <c r="R54" i="1"/>
  <c r="P33" i="1"/>
  <c r="I75" i="1"/>
  <c r="K10" i="1"/>
  <c r="I35" i="1"/>
  <c r="K26" i="1"/>
  <c r="S24" i="1"/>
  <c r="J45" i="1"/>
  <c r="G69" i="1"/>
  <c r="S71" i="1"/>
  <c r="E73" i="1"/>
  <c r="P11" i="1"/>
  <c r="G82" i="1"/>
  <c r="I28" i="1"/>
  <c r="R75" i="1"/>
  <c r="K30" i="1"/>
  <c r="R33" i="1"/>
  <c r="O48" i="1"/>
  <c r="E45" i="1"/>
  <c r="T81" i="1"/>
  <c r="T40" i="1"/>
  <c r="E42" i="1"/>
  <c r="G26" i="1"/>
  <c r="O15" i="1"/>
  <c r="Q22" i="1"/>
  <c r="M11" i="1"/>
  <c r="N72" i="1"/>
  <c r="M43" i="1"/>
  <c r="J51" i="1"/>
  <c r="L54" i="1"/>
  <c r="E36" i="1"/>
  <c r="S62" i="1"/>
  <c r="H24" i="1"/>
  <c r="F82" i="1"/>
  <c r="K17" i="1"/>
  <c r="F26" i="1"/>
  <c r="L10" i="1"/>
  <c r="O67" i="1"/>
  <c r="N16" i="1"/>
  <c r="P35" i="1"/>
  <c r="T30" i="1"/>
  <c r="I79" i="1"/>
  <c r="E80" i="1"/>
  <c r="P82" i="1"/>
  <c r="G18" i="1"/>
  <c r="Q26" i="1"/>
  <c r="T43" i="1"/>
  <c r="J18" i="1"/>
  <c r="I42" i="1"/>
  <c r="G40" i="1"/>
  <c r="G30" i="1"/>
  <c r="N54" i="1"/>
  <c r="N65" i="1"/>
  <c r="H38" i="1"/>
  <c r="J70" i="1"/>
  <c r="P52" i="1"/>
  <c r="M78" i="1"/>
  <c r="R51" i="1"/>
  <c r="O76" i="1"/>
  <c r="I41" i="1"/>
  <c r="E28" i="1"/>
  <c r="Q50" i="1"/>
  <c r="P76" i="1"/>
  <c r="P66" i="1"/>
  <c r="S27" i="1"/>
  <c r="E26" i="1"/>
  <c r="J28" i="1"/>
  <c r="I29" i="1"/>
  <c r="M27" i="1"/>
  <c r="I44" i="1"/>
  <c r="N46" i="1"/>
  <c r="P50" i="1"/>
  <c r="T71" i="1"/>
  <c r="Q9" i="1"/>
  <c r="O30" i="1"/>
  <c r="G22" i="1"/>
  <c r="N19" i="1"/>
  <c r="T74" i="1"/>
  <c r="G27" i="1"/>
  <c r="R26" i="1"/>
  <c r="S78" i="1"/>
  <c r="R37" i="1"/>
  <c r="G46" i="1"/>
  <c r="T19" i="1"/>
  <c r="G74" i="1"/>
  <c r="J62" i="1"/>
  <c r="P36" i="1"/>
  <c r="N53" i="1"/>
  <c r="O79" i="1"/>
  <c r="Q43" i="1"/>
  <c r="N8" i="1"/>
  <c r="P28" i="1"/>
  <c r="I30" i="1"/>
  <c r="L37" i="1"/>
  <c r="J14" i="1"/>
  <c r="H12" i="1"/>
  <c r="H74" i="1"/>
  <c r="E79" i="1"/>
  <c r="O82" i="1"/>
  <c r="E52" i="1"/>
  <c r="L47" i="1"/>
  <c r="O27" i="1"/>
  <c r="Q31" i="1"/>
  <c r="G62" i="1"/>
  <c r="T22" i="1"/>
  <c r="T16" i="1"/>
  <c r="H28" i="1"/>
  <c r="J77" i="1"/>
  <c r="I17" i="1"/>
  <c r="H62" i="1"/>
  <c r="G29" i="1"/>
  <c r="K9" i="1"/>
  <c r="S8" i="1"/>
  <c r="Q45" i="1"/>
  <c r="S32" i="1"/>
  <c r="S29" i="1"/>
  <c r="S76" i="1"/>
  <c r="E48" i="1"/>
  <c r="S77" i="1"/>
  <c r="R29" i="1"/>
  <c r="I32" i="1"/>
  <c r="N67" i="1"/>
  <c r="K49" i="1"/>
  <c r="S74" i="1"/>
  <c r="N26" i="1"/>
  <c r="G33" i="1"/>
  <c r="P17" i="1"/>
  <c r="T42" i="1"/>
  <c r="K16" i="1"/>
  <c r="I81" i="1"/>
  <c r="M39" i="1"/>
  <c r="R12" i="1"/>
  <c r="N47" i="1"/>
  <c r="I31" i="1"/>
  <c r="S36" i="1"/>
  <c r="E9" i="1"/>
  <c r="O78" i="1"/>
  <c r="P63" i="1"/>
  <c r="N48" i="1"/>
  <c r="T27" i="1"/>
  <c r="T47" i="1"/>
  <c r="R9" i="1"/>
  <c r="F17" i="1"/>
  <c r="L69" i="1"/>
  <c r="H44" i="1"/>
  <c r="P67" i="1"/>
  <c r="M36" i="1"/>
  <c r="F22" i="1"/>
  <c r="I39" i="1"/>
  <c r="K44" i="1"/>
  <c r="L49" i="1"/>
  <c r="F64" i="1"/>
  <c r="J74" i="1"/>
  <c r="S19" i="1"/>
  <c r="Q27" i="1"/>
  <c r="G77" i="1"/>
  <c r="F45" i="1"/>
  <c r="R62" i="1"/>
  <c r="J27" i="1"/>
  <c r="S33" i="1"/>
  <c r="F14" i="1"/>
  <c r="S40" i="1"/>
  <c r="I22" i="1"/>
  <c r="F65" i="1"/>
  <c r="J31" i="1"/>
  <c r="P54" i="1"/>
  <c r="K43" i="1"/>
  <c r="L42" i="1"/>
  <c r="R53" i="1"/>
  <c r="O11" i="1"/>
  <c r="G10" i="1"/>
  <c r="L67" i="1"/>
  <c r="J78" i="1"/>
  <c r="O29" i="1"/>
  <c r="Q38" i="1"/>
  <c r="S53" i="1"/>
  <c r="H37" i="1"/>
  <c r="P65" i="1"/>
  <c r="F63" i="1"/>
  <c r="M29" i="1"/>
  <c r="M8" i="1"/>
  <c r="F34" i="1"/>
  <c r="F81" i="1"/>
  <c r="J39" i="1"/>
  <c r="T75" i="1"/>
  <c r="G63" i="1"/>
  <c r="T77" i="1"/>
  <c r="E54" i="1"/>
  <c r="R65" i="1"/>
  <c r="S52" i="1"/>
  <c r="H29" i="1"/>
  <c r="S31" i="1"/>
  <c r="R77" i="1"/>
  <c r="O26" i="1"/>
  <c r="M42" i="1"/>
  <c r="M17" i="1"/>
  <c r="E53" i="1"/>
  <c r="R45" i="1"/>
  <c r="E67" i="1"/>
  <c r="P31" i="1"/>
  <c r="S46" i="1"/>
  <c r="H41" i="1"/>
  <c r="G68" i="1"/>
  <c r="F30" i="1"/>
  <c r="M9" i="1"/>
  <c r="F68" i="1"/>
  <c r="L52" i="1"/>
  <c r="H52" i="1"/>
  <c r="K79" i="1"/>
  <c r="I38" i="1"/>
  <c r="R76" i="1"/>
  <c r="H78" i="1"/>
  <c r="L44" i="1"/>
  <c r="I54" i="1"/>
  <c r="P43" i="1"/>
  <c r="Q37" i="1"/>
  <c r="H66" i="1"/>
  <c r="H36" i="1"/>
  <c r="J50" i="1"/>
  <c r="L70" i="1"/>
  <c r="I78" i="1"/>
  <c r="H13" i="1"/>
  <c r="R16" i="1"/>
  <c r="S37" i="1"/>
  <c r="H15" i="1"/>
  <c r="K66" i="1"/>
  <c r="S9" i="1"/>
  <c r="F47" i="1"/>
  <c r="F11" i="1"/>
  <c r="O9" i="1"/>
  <c r="L24" i="1"/>
  <c r="P32" i="1"/>
  <c r="J65" i="1"/>
  <c r="J33" i="1"/>
  <c r="Q52" i="1"/>
  <c r="P74" i="1"/>
  <c r="O37" i="1"/>
  <c r="G41" i="1"/>
  <c r="K63" i="1"/>
  <c r="E77" i="1"/>
  <c r="K8" i="1"/>
  <c r="S67" i="1"/>
  <c r="J40" i="1"/>
  <c r="T10" i="1"/>
  <c r="Q11" i="1"/>
  <c r="J72" i="1"/>
  <c r="P37" i="1"/>
  <c r="F36" i="1"/>
  <c r="J47" i="1"/>
  <c r="K33" i="1"/>
  <c r="J53" i="1"/>
  <c r="Q71" i="1"/>
  <c r="T31" i="1"/>
  <c r="E30" i="1"/>
  <c r="N74" i="1"/>
  <c r="M45" i="1"/>
  <c r="O70" i="1"/>
  <c r="N66" i="1"/>
  <c r="S43" i="1"/>
  <c r="F38" i="1"/>
  <c r="L79" i="1"/>
  <c r="I51" i="1"/>
  <c r="H51" i="1"/>
  <c r="Q76" i="1"/>
  <c r="K32" i="1"/>
  <c r="T73" i="1"/>
  <c r="K50" i="1"/>
  <c r="O41" i="1"/>
  <c r="M65" i="1"/>
  <c r="M24" i="1"/>
  <c r="R41" i="1"/>
  <c r="K13" i="1"/>
  <c r="O49" i="1"/>
  <c r="K41" i="1"/>
  <c r="J41" i="1"/>
  <c r="H42" i="1"/>
  <c r="I36" i="1"/>
  <c r="L46" i="1"/>
  <c r="P42" i="1"/>
  <c r="L28" i="1"/>
  <c r="K38" i="1"/>
  <c r="T79" i="1"/>
  <c r="N40" i="1"/>
  <c r="M74" i="1"/>
  <c r="H70" i="1"/>
  <c r="J63" i="1"/>
  <c r="H30" i="1"/>
  <c r="O38" i="1"/>
  <c r="E10" i="1"/>
  <c r="R28" i="1"/>
  <c r="K19" i="1"/>
  <c r="E24" i="1"/>
  <c r="E75" i="1"/>
  <c r="N39" i="1"/>
  <c r="K24" i="1"/>
  <c r="I70" i="1"/>
  <c r="Q40" i="1"/>
  <c r="N30" i="1"/>
  <c r="H65" i="1"/>
  <c r="E78" i="1"/>
  <c r="N82" i="1"/>
  <c r="G76" i="1"/>
  <c r="S17" i="1"/>
  <c r="N80" i="1"/>
  <c r="O35" i="1"/>
  <c r="S47" i="1"/>
  <c r="Q81" i="1"/>
  <c r="M69" i="1"/>
  <c r="I49" i="1"/>
  <c r="I74" i="1"/>
  <c r="E35" i="1"/>
  <c r="T76" i="1"/>
  <c r="M35" i="1"/>
  <c r="G44" i="1"/>
  <c r="P72" i="1"/>
  <c r="H75" i="1"/>
  <c r="G24" i="1"/>
  <c r="Q69" i="1"/>
  <c r="P68" i="1"/>
  <c r="R38" i="1"/>
  <c r="M66" i="1"/>
  <c r="S41" i="1"/>
  <c r="L78" i="1"/>
  <c r="F44" i="1"/>
  <c r="R46" i="1"/>
  <c r="F70" i="1"/>
  <c r="M38" i="1"/>
  <c r="S16" i="1"/>
  <c r="L65" i="1"/>
  <c r="N13" i="1"/>
  <c r="K68" i="1"/>
  <c r="L76" i="1"/>
  <c r="N50" i="1"/>
  <c r="T67" i="1"/>
  <c r="F19" i="1"/>
  <c r="N11" i="1"/>
  <c r="F46" i="1"/>
  <c r="T62" i="1"/>
  <c r="P49" i="1"/>
  <c r="R34" i="1"/>
  <c r="P39" i="1"/>
  <c r="I37" i="1"/>
  <c r="S44" i="1"/>
  <c r="E34" i="1"/>
  <c r="K54" i="1"/>
  <c r="N70" i="1"/>
  <c r="E46" i="1"/>
  <c r="K80" i="1"/>
  <c r="J69" i="1"/>
  <c r="M52" i="1"/>
  <c r="M28" i="1"/>
  <c r="K28" i="1"/>
  <c r="O40" i="1"/>
  <c r="O16" i="1"/>
  <c r="Q41" i="1"/>
  <c r="Q49" i="1"/>
  <c r="O72" i="1"/>
  <c r="H72" i="1"/>
  <c r="R69" i="1"/>
  <c r="N14" i="1"/>
  <c r="P46" i="1"/>
  <c r="O54" i="1"/>
  <c r="T18" i="1"/>
  <c r="M51" i="1"/>
  <c r="P62" i="1"/>
  <c r="F39" i="1"/>
  <c r="L9" i="1"/>
  <c r="J82" i="1"/>
  <c r="M41" i="1"/>
  <c r="T45" i="1"/>
  <c r="Q54" i="1"/>
  <c r="I50" i="1"/>
  <c r="R68" i="1"/>
  <c r="O42" i="1"/>
  <c r="R19" i="1"/>
  <c r="N71" i="1"/>
  <c r="P40" i="1"/>
  <c r="Q30" i="1"/>
  <c r="G79" i="1"/>
  <c r="H67" i="1"/>
  <c r="N12" i="1"/>
  <c r="N41" i="1"/>
  <c r="F72" i="1"/>
  <c r="H35" i="1"/>
  <c r="G34" i="1"/>
  <c r="N76" i="1"/>
  <c r="O19" i="1"/>
  <c r="S70" i="1"/>
  <c r="J19" i="1"/>
  <c r="I8" i="1"/>
  <c r="M71" i="1"/>
  <c r="I66" i="1"/>
  <c r="P69" i="1"/>
  <c r="H9" i="1"/>
  <c r="F49" i="1"/>
  <c r="H73" i="1"/>
  <c r="I47" i="1"/>
  <c r="T50" i="1"/>
  <c r="G19" i="1"/>
  <c r="H31" i="1"/>
  <c r="L82" i="1"/>
  <c r="N78" i="1"/>
  <c r="F16" i="1"/>
  <c r="F41" i="1"/>
  <c r="T72" i="1"/>
  <c r="L17" i="1"/>
  <c r="S75" i="1"/>
  <c r="I10" i="1"/>
  <c r="R78" i="1"/>
  <c r="I40" i="1"/>
  <c r="M75" i="1"/>
  <c r="M73" i="1"/>
  <c r="K76" i="1"/>
  <c r="R47" i="1"/>
  <c r="O66" i="1"/>
  <c r="R82" i="1"/>
  <c r="P71" i="1"/>
  <c r="K46" i="1"/>
  <c r="E22" i="1"/>
  <c r="G42" i="1"/>
  <c r="L72" i="1"/>
  <c r="Q10" i="1"/>
  <c r="S69" i="1"/>
  <c r="P77" i="1"/>
  <c r="F35" i="1"/>
  <c r="H26" i="1"/>
  <c r="F37" i="1"/>
  <c r="N34" i="1"/>
  <c r="O39" i="1"/>
  <c r="T38" i="1"/>
  <c r="H33" i="1"/>
  <c r="T26" i="1"/>
  <c r="Q8" i="1"/>
  <c r="P80" i="1"/>
  <c r="F76" i="1"/>
  <c r="P79" i="1"/>
  <c r="G13" i="1"/>
  <c r="P10" i="1"/>
  <c r="M68" i="1"/>
  <c r="O46" i="1"/>
  <c r="J48" i="1"/>
  <c r="O75" i="1"/>
  <c r="O64" i="1"/>
  <c r="F62" i="1"/>
  <c r="O33" i="1"/>
  <c r="Q24" i="1"/>
  <c r="R63" i="1"/>
  <c r="Q32" i="1"/>
  <c r="H81" i="1"/>
  <c r="Q68" i="1"/>
  <c r="G31" i="1"/>
  <c r="G80" i="1"/>
  <c r="G17" i="1"/>
  <c r="E72" i="1"/>
  <c r="I19" i="1"/>
  <c r="O81" i="1"/>
  <c r="R73" i="1"/>
  <c r="I13" i="1"/>
  <c r="K47" i="1"/>
  <c r="P81" i="1"/>
  <c r="N77" i="1"/>
  <c r="P8" i="1"/>
  <c r="S35" i="1"/>
  <c r="F53" i="1"/>
  <c r="O73" i="1"/>
  <c r="I80" i="1"/>
  <c r="R17" i="1"/>
  <c r="O10" i="1"/>
  <c r="O63" i="1"/>
  <c r="P22" i="1"/>
  <c r="L51" i="1"/>
  <c r="I52" i="1"/>
  <c r="F9" i="1"/>
  <c r="Q66" i="1"/>
  <c r="M72" i="1"/>
  <c r="T46" i="1"/>
  <c r="O31" i="1"/>
  <c r="S72" i="1"/>
  <c r="H14" i="1"/>
  <c r="P16" i="1"/>
  <c r="H47" i="1"/>
  <c r="G12" i="1"/>
  <c r="N24" i="1"/>
  <c r="S65" i="1"/>
  <c r="J29" i="1"/>
  <c r="I72" i="1"/>
  <c r="T35" i="1"/>
  <c r="L19" i="1"/>
  <c r="E43" i="1"/>
  <c r="L18" i="1"/>
  <c r="N36" i="1"/>
  <c r="T33" i="1"/>
  <c r="P53" i="1"/>
  <c r="S26" i="1"/>
  <c r="J26" i="1"/>
  <c r="J75" i="1"/>
  <c r="O74" i="1"/>
  <c r="E50" i="1"/>
  <c r="P47" i="1"/>
  <c r="O12" i="1"/>
  <c r="T54" i="1"/>
  <c r="T66" i="1"/>
  <c r="H40" i="1"/>
  <c r="Q75" i="1"/>
  <c r="T64" i="1"/>
  <c r="O8" i="1"/>
  <c r="K22" i="1"/>
  <c r="L36" i="1"/>
  <c r="M15" i="1"/>
  <c r="P75" i="1"/>
  <c r="F28" i="1"/>
  <c r="O45" i="1"/>
  <c r="E16" i="1"/>
  <c r="T53" i="1"/>
  <c r="Q78" i="1"/>
  <c r="L32" i="1"/>
  <c r="T52" i="1"/>
  <c r="L13" i="1"/>
  <c r="P73" i="1"/>
  <c r="F40" i="1"/>
  <c r="T29" i="1"/>
  <c r="T65" i="1"/>
  <c r="O28" i="1"/>
  <c r="I9" i="1"/>
  <c r="F27" i="1"/>
  <c r="P24" i="1"/>
  <c r="T63" i="1"/>
  <c r="F77" i="1"/>
  <c r="T68" i="1"/>
  <c r="G43" i="1"/>
  <c r="G47" i="1"/>
  <c r="I68" i="1"/>
  <c r="R27" i="1"/>
  <c r="R13" i="1"/>
  <c r="M26" i="1"/>
  <c r="L39" i="1"/>
  <c r="J34" i="1"/>
  <c r="T80" i="1"/>
  <c r="I82" i="1"/>
  <c r="I18" i="1"/>
  <c r="E32" i="1"/>
  <c r="O77" i="1"/>
  <c r="M37" i="1"/>
  <c r="L62" i="1"/>
  <c r="K72" i="1"/>
  <c r="J68" i="1"/>
  <c r="K40" i="1"/>
  <c r="F67" i="1"/>
  <c r="K70" i="1"/>
  <c r="Q15" i="1"/>
  <c r="E70" i="1"/>
  <c r="N9" i="1"/>
  <c r="N69" i="1"/>
  <c r="N44" i="1"/>
  <c r="Q36" i="1"/>
  <c r="J30" i="1"/>
  <c r="L64" i="1"/>
  <c r="N28" i="1"/>
  <c r="M48" i="1"/>
  <c r="E63" i="1"/>
  <c r="M79" i="1"/>
  <c r="N33" i="1"/>
  <c r="H54" i="1"/>
  <c r="S28" i="1"/>
  <c r="H53" i="1"/>
  <c r="R30" i="1"/>
  <c r="J15" i="1"/>
  <c r="R44" i="1"/>
  <c r="T82" i="1"/>
  <c r="E19" i="1"/>
  <c r="S81" i="1"/>
  <c r="M49" i="1"/>
  <c r="N29" i="1"/>
  <c r="O13" i="1"/>
  <c r="L35" i="1"/>
  <c r="M70" i="1"/>
  <c r="K35" i="1"/>
  <c r="O53" i="1"/>
  <c r="E12" i="1"/>
  <c r="R79" i="1"/>
  <c r="H71" i="1"/>
  <c r="S80" i="1"/>
  <c r="E11" i="1"/>
  <c r="T36" i="1"/>
  <c r="R18" i="1"/>
  <c r="L81" i="1"/>
  <c r="F79" i="1"/>
  <c r="M47" i="1"/>
  <c r="I11" i="1"/>
  <c r="K15" i="1"/>
  <c r="S68" i="1"/>
  <c r="O34" i="1"/>
  <c r="E81" i="1"/>
  <c r="K51" i="1"/>
  <c r="S11" i="1"/>
  <c r="H63" i="1"/>
  <c r="Q64" i="1"/>
  <c r="I34" i="1"/>
  <c r="Q82" i="1"/>
  <c r="M18" i="1"/>
  <c r="K82" i="1"/>
  <c r="Q39" i="1"/>
  <c r="K11" i="1"/>
  <c r="R66" i="1"/>
  <c r="K78" i="1"/>
  <c r="P64" i="1"/>
  <c r="G64" i="1"/>
  <c r="O68" i="1"/>
  <c r="O32" i="1"/>
  <c r="G54" i="1"/>
  <c r="T32" i="1"/>
  <c r="J16" i="1"/>
  <c r="L68" i="1"/>
  <c r="F69" i="1"/>
  <c r="J49" i="1"/>
  <c r="H16" i="1"/>
  <c r="I27" i="1"/>
  <c r="J38" i="1"/>
  <c r="L38" i="1"/>
  <c r="J13" i="1"/>
  <c r="S10" i="1"/>
  <c r="R32" i="1"/>
  <c r="N17" i="1"/>
  <c r="G66" i="1"/>
  <c r="M67" i="1"/>
  <c r="G72" i="1"/>
  <c r="J22" i="1"/>
  <c r="N62" i="1"/>
  <c r="H34" i="1"/>
  <c r="G14" i="1"/>
  <c r="L34" i="1"/>
  <c r="G48" i="1"/>
  <c r="P13" i="1"/>
  <c r="F80" i="1"/>
  <c r="Q16" i="1"/>
  <c r="M14" i="1"/>
  <c r="L16" i="1"/>
  <c r="K62" i="1"/>
  <c r="F18" i="1"/>
  <c r="E15" i="1"/>
  <c r="J71" i="1"/>
  <c r="M81" i="1"/>
  <c r="I69" i="1"/>
  <c r="R31" i="1"/>
  <c r="H39" i="1"/>
  <c r="N45" i="1"/>
  <c r="H46" i="1"/>
  <c r="G8" i="1"/>
  <c r="K65" i="1"/>
  <c r="H32" i="1"/>
  <c r="M63" i="1"/>
  <c r="S48" i="1"/>
  <c r="E13" i="1"/>
  <c r="R67" i="1"/>
  <c r="I48" i="1"/>
  <c r="M53" i="1"/>
  <c r="T48" i="1"/>
  <c r="G65" i="1"/>
  <c r="R72" i="1"/>
  <c r="R70" i="1"/>
  <c r="S64" i="1"/>
  <c r="N52" i="1"/>
  <c r="K42" i="1"/>
  <c r="R22" i="1"/>
  <c r="Q29" i="1"/>
  <c r="F43" i="1"/>
  <c r="G49" i="1"/>
  <c r="G52" i="1"/>
  <c r="S49" i="1"/>
  <c r="N75" i="1"/>
  <c r="N32" i="1"/>
  <c r="T14" i="1"/>
  <c r="N68" i="1"/>
  <c r="L66" i="1"/>
  <c r="T78" i="1"/>
  <c r="E71" i="1"/>
  <c r="P41" i="1"/>
  <c r="O50" i="1"/>
  <c r="J46" i="1"/>
  <c r="S42" i="1"/>
  <c r="H69" i="1"/>
  <c r="K31" i="1"/>
  <c r="K67" i="1"/>
  <c r="Q80" i="1"/>
  <c r="N38" i="1"/>
  <c r="S50" i="1"/>
  <c r="H49" i="1"/>
  <c r="I65" i="1"/>
  <c r="M82" i="1"/>
  <c r="G11" i="1"/>
  <c r="R52" i="1"/>
  <c r="E39" i="1"/>
  <c r="L73" i="1"/>
  <c r="L33" i="1"/>
  <c r="O36" i="1"/>
  <c r="E27" i="1"/>
  <c r="L50" i="1"/>
  <c r="R8" i="1"/>
  <c r="N10" i="1"/>
  <c r="F24" i="1"/>
  <c r="Q74" i="1"/>
  <c r="J67" i="1"/>
  <c r="G51" i="1"/>
  <c r="R48" i="1"/>
  <c r="Q47" i="1"/>
  <c r="L25" i="1"/>
  <c r="T20" i="1"/>
  <c r="Q61" i="1"/>
  <c r="L57" i="1"/>
  <c r="O61" i="1"/>
  <c r="T59" i="1"/>
  <c r="E61" i="1"/>
  <c r="J58" i="1"/>
  <c r="J61" i="1"/>
  <c r="Q23" i="1"/>
  <c r="S23" i="1"/>
  <c r="N58" i="1"/>
  <c r="T55" i="1"/>
  <c r="J56" i="1"/>
  <c r="P20" i="1"/>
  <c r="I58" i="1"/>
  <c r="T25" i="1"/>
  <c r="I61" i="1"/>
  <c r="F23" i="1"/>
  <c r="N25" i="1"/>
  <c r="O60" i="1"/>
  <c r="G60" i="1"/>
  <c r="K58" i="1"/>
  <c r="O20" i="1"/>
  <c r="T60" i="1"/>
  <c r="F58" i="1"/>
  <c r="S59" i="1"/>
  <c r="P55" i="1"/>
  <c r="Q25" i="1"/>
  <c r="P61" i="1"/>
  <c r="L58" i="1"/>
  <c r="R55" i="1"/>
  <c r="K59" i="1"/>
  <c r="K56" i="1"/>
  <c r="T58" i="1"/>
  <c r="K23" i="1"/>
  <c r="J23" i="1"/>
  <c r="O55" i="1"/>
  <c r="N59" i="1"/>
  <c r="R25" i="1"/>
  <c r="S56" i="1"/>
  <c r="E57" i="1"/>
  <c r="P56" i="1"/>
  <c r="P25" i="1"/>
  <c r="J20" i="1"/>
  <c r="I60" i="1"/>
  <c r="E58" i="1"/>
  <c r="L23" i="1"/>
  <c r="G57" i="1"/>
  <c r="R59" i="1"/>
  <c r="R56" i="1"/>
  <c r="N56" i="1"/>
  <c r="G25" i="1"/>
  <c r="F61" i="1"/>
  <c r="N55" i="1"/>
  <c r="G55" i="1"/>
  <c r="I56" i="1"/>
  <c r="T61" i="1"/>
  <c r="M20" i="1"/>
  <c r="L55" i="1"/>
  <c r="P57" i="1"/>
  <c r="M58" i="1"/>
  <c r="H25" i="1"/>
  <c r="N61" i="1"/>
  <c r="J57" i="1"/>
  <c r="L56" i="1"/>
  <c r="F20" i="1"/>
  <c r="M56" i="1"/>
  <c r="I25" i="1"/>
  <c r="R60" i="1"/>
  <c r="I59" i="1"/>
  <c r="J60" i="1"/>
  <c r="O56" i="1"/>
  <c r="N57" i="1"/>
  <c r="F25" i="1"/>
  <c r="G56" i="1"/>
  <c r="E56" i="1"/>
  <c r="G20" i="1"/>
  <c r="I57" i="1"/>
  <c r="P60" i="1"/>
  <c r="O57" i="1"/>
  <c r="Q60" i="1"/>
  <c r="I23" i="1"/>
  <c r="Q55" i="1"/>
  <c r="Q59" i="1"/>
  <c r="N23" i="1"/>
  <c r="H60" i="1"/>
  <c r="M60" i="1"/>
  <c r="O58" i="1"/>
  <c r="K55" i="1"/>
  <c r="L20" i="1"/>
  <c r="Q56" i="1"/>
  <c r="S55" i="1"/>
  <c r="G58" i="1"/>
  <c r="T57" i="1"/>
  <c r="H55" i="1"/>
  <c r="G23" i="1"/>
  <c r="T56" i="1"/>
  <c r="O25" i="1"/>
  <c r="L61" i="1"/>
  <c r="R57" i="1"/>
  <c r="E59" i="1"/>
  <c r="K25" i="1"/>
  <c r="J59" i="1"/>
  <c r="M59" i="1"/>
  <c r="Q57" i="1"/>
  <c r="S60" i="1"/>
  <c r="I20" i="1"/>
  <c r="E23" i="1"/>
  <c r="M61" i="1"/>
  <c r="H56" i="1"/>
  <c r="P58" i="1"/>
  <c r="E55" i="1"/>
  <c r="I55" i="1"/>
  <c r="S58" i="1"/>
  <c r="S57" i="1"/>
  <c r="M23" i="1"/>
  <c r="H23" i="1"/>
  <c r="M25" i="1"/>
  <c r="H57" i="1"/>
  <c r="E20" i="1"/>
  <c r="F59" i="1"/>
  <c r="S20" i="1"/>
  <c r="J55" i="1"/>
  <c r="P59" i="1"/>
  <c r="L60" i="1"/>
  <c r="R58" i="1"/>
  <c r="H58" i="1"/>
  <c r="O59" i="1"/>
  <c r="N60" i="1"/>
  <c r="H20" i="1"/>
  <c r="S25" i="1"/>
  <c r="H61" i="1"/>
  <c r="S61" i="1"/>
  <c r="M55" i="1"/>
  <c r="P23" i="1"/>
  <c r="K61" i="1"/>
  <c r="R61" i="1"/>
  <c r="F60" i="1"/>
  <c r="Q58" i="1"/>
  <c r="H59" i="1"/>
  <c r="N20" i="1"/>
  <c r="L59" i="1"/>
  <c r="O23" i="1"/>
  <c r="M57" i="1"/>
  <c r="F57" i="1"/>
  <c r="E25" i="1"/>
  <c r="E60" i="1"/>
  <c r="R23" i="1"/>
  <c r="F55" i="1"/>
  <c r="K60" i="1"/>
  <c r="F56" i="1"/>
  <c r="K57" i="1"/>
  <c r="J25" i="1"/>
  <c r="K20" i="1"/>
  <c r="Q20" i="1"/>
  <c r="G61" i="1"/>
  <c r="R20" i="1"/>
  <c r="G59" i="1"/>
  <c r="T23" i="1"/>
  <c r="BJ50" i="2"/>
  <c r="AG65" i="2"/>
  <c r="DA75" i="2"/>
  <c r="AX80" i="2"/>
  <c r="CW52" i="2"/>
  <c r="CD64" i="2"/>
  <c r="AC67" i="2"/>
  <c r="BJ62" i="2"/>
  <c r="N62" i="2" s="1"/>
  <c r="BO64" i="2"/>
  <c r="AC25" i="2"/>
  <c r="CP9" i="2"/>
  <c r="AO44" i="2"/>
  <c r="AM25" i="2"/>
  <c r="AN53" i="2"/>
  <c r="DB23" i="2"/>
  <c r="AG36" i="2"/>
  <c r="AE14" i="2"/>
  <c r="AL69" i="2"/>
  <c r="AE64" i="2"/>
  <c r="BF71" i="2"/>
  <c r="BM34" i="2"/>
  <c r="AO66" i="2"/>
  <c r="CP66" i="2"/>
  <c r="AN15" i="2"/>
  <c r="AJ38" i="2"/>
  <c r="CF76" i="2"/>
  <c r="CB18" i="2"/>
  <c r="AE74" i="2"/>
  <c r="DA69" i="2"/>
  <c r="AE46" i="2"/>
  <c r="BW46" i="2"/>
  <c r="CC14" i="2"/>
  <c r="AC66" i="2"/>
  <c r="AE39" i="2"/>
  <c r="AH38" i="2"/>
  <c r="AF50" i="2"/>
  <c r="AH43" i="2"/>
  <c r="BH10" i="2"/>
  <c r="CT9" i="2"/>
  <c r="BA54" i="2"/>
  <c r="CH68" i="2"/>
  <c r="AM51" i="2"/>
  <c r="DB27" i="2"/>
  <c r="AP10" i="2"/>
  <c r="AF55" i="2"/>
  <c r="CP36" i="2"/>
  <c r="AK21" i="2"/>
  <c r="U21" i="2" s="1"/>
  <c r="AO78" i="2"/>
  <c r="AQ63" i="2"/>
  <c r="CT38" i="2"/>
  <c r="AH36" i="2"/>
  <c r="AK36" i="2"/>
  <c r="AI78" i="2"/>
  <c r="CX13" i="2"/>
  <c r="AK76" i="2"/>
  <c r="AE29" i="2"/>
  <c r="BB33" i="2"/>
  <c r="AO73" i="2"/>
  <c r="CT31" i="2"/>
  <c r="AO30" i="2"/>
  <c r="BD15" i="2"/>
  <c r="AH63" i="2"/>
  <c r="AI13" i="2"/>
  <c r="AK65" i="2"/>
  <c r="CU38" i="2"/>
  <c r="AI21" i="2"/>
  <c r="S21" i="2" s="1"/>
  <c r="CZ23" i="2"/>
  <c r="AD47" i="2"/>
  <c r="AF49" i="2"/>
  <c r="AU17" i="2"/>
  <c r="AD46" i="2"/>
  <c r="AG14" i="2"/>
  <c r="CZ52" i="2"/>
  <c r="BJ64" i="2"/>
  <c r="CP68" i="2"/>
  <c r="AQ27" i="2"/>
  <c r="DC55" i="2"/>
  <c r="BP38" i="2"/>
  <c r="AG39" i="2"/>
  <c r="AU43" i="2"/>
  <c r="AK43" i="2"/>
  <c r="AM77" i="2"/>
  <c r="BF14" i="2"/>
  <c r="DA15" i="2"/>
  <c r="AQ31" i="2"/>
  <c r="AM65" i="2"/>
  <c r="AQ74" i="2"/>
  <c r="DC25" i="2"/>
  <c r="AR30" i="2"/>
  <c r="AQ35" i="2"/>
  <c r="DB10" i="2"/>
  <c r="CT79" i="2"/>
  <c r="DC77" i="2"/>
  <c r="AG44" i="2"/>
  <c r="BF34" i="2"/>
  <c r="AN27" i="2"/>
  <c r="AE72" i="2"/>
  <c r="AK30" i="2"/>
  <c r="BA15" i="2"/>
  <c r="CP72" i="2"/>
  <c r="AT30" i="2"/>
  <c r="AQ23" i="2"/>
  <c r="BX27" i="2"/>
  <c r="DC10" i="2"/>
  <c r="AG38" i="2"/>
  <c r="AR50" i="2"/>
  <c r="CS18" i="2"/>
  <c r="CU25" i="2"/>
  <c r="DB83" i="2"/>
  <c r="AP19" i="2"/>
  <c r="AW81" i="2"/>
  <c r="BH11" i="2"/>
  <c r="AO74" i="2"/>
  <c r="AF20" i="2"/>
  <c r="CP20" i="2"/>
  <c r="AN39" i="2"/>
  <c r="AU25" i="2"/>
  <c r="BR14" i="2"/>
  <c r="DD13" i="2"/>
  <c r="AM30" i="2"/>
  <c r="AI34" i="2"/>
  <c r="BP49" i="2"/>
  <c r="CV34" i="2"/>
  <c r="AN43" i="2"/>
  <c r="AQ67" i="2"/>
  <c r="CU35" i="2"/>
  <c r="CW10" i="2"/>
  <c r="AF53" i="2"/>
  <c r="AP38" i="2"/>
  <c r="BR34" i="2"/>
  <c r="AW19" i="2"/>
  <c r="CM52" i="2"/>
  <c r="DD83" i="2"/>
  <c r="AN34" i="2"/>
  <c r="CR18" i="2"/>
  <c r="BA27" i="2"/>
  <c r="AR14" i="2"/>
  <c r="CO20" i="2"/>
  <c r="AR55" i="2"/>
  <c r="CY20" i="2"/>
  <c r="BE31" i="2"/>
  <c r="AO39" i="2"/>
  <c r="CW29" i="2"/>
  <c r="CR31" i="2"/>
  <c r="AO24" i="2"/>
  <c r="Y24" i="2" s="1"/>
  <c r="AH55" i="2"/>
  <c r="AH71" i="2"/>
  <c r="BT48" i="2"/>
  <c r="CQ25" i="2"/>
  <c r="AN52" i="2"/>
  <c r="BP82" i="2"/>
  <c r="AQ78" i="2"/>
  <c r="DA36" i="2"/>
  <c r="CS9" i="2"/>
  <c r="CU67" i="2"/>
  <c r="AZ13" i="2"/>
  <c r="CR34" i="2"/>
  <c r="AP16" i="2"/>
  <c r="DC67" i="2"/>
  <c r="AR74" i="2"/>
  <c r="BC18" i="2"/>
  <c r="AM21" i="2"/>
  <c r="W21" i="2" s="1"/>
  <c r="BU48" i="2"/>
  <c r="CX9" i="2"/>
  <c r="BD49" i="2"/>
  <c r="BF9" i="2"/>
  <c r="AE63" i="2"/>
  <c r="CW66" i="2"/>
  <c r="AE38" i="2"/>
  <c r="AT16" i="2"/>
  <c r="AG49" i="2"/>
  <c r="AD34" i="2"/>
  <c r="AG17" i="2"/>
  <c r="AQ37" i="2"/>
  <c r="CW27" i="2"/>
  <c r="AD78" i="2"/>
  <c r="DC14" i="2"/>
  <c r="AE15" i="2"/>
  <c r="AD76" i="2"/>
  <c r="AK14" i="2"/>
  <c r="AK82" i="2"/>
  <c r="AQ52" i="2"/>
  <c r="CB47" i="2"/>
  <c r="AK80" i="2"/>
  <c r="CZ36" i="2"/>
  <c r="DB15" i="2"/>
  <c r="CV36" i="2"/>
  <c r="AH23" i="2"/>
  <c r="BL45" i="2"/>
  <c r="BV13" i="2"/>
  <c r="AN16" i="2"/>
  <c r="BM31" i="2"/>
  <c r="CU68" i="2"/>
  <c r="CR53" i="2"/>
  <c r="AO45" i="2"/>
  <c r="AQ66" i="2"/>
  <c r="DB29" i="2"/>
  <c r="DC15" i="2"/>
  <c r="CY79" i="2"/>
  <c r="BM11" i="2"/>
  <c r="CZ35" i="2"/>
  <c r="DA78" i="2"/>
  <c r="BX25" i="2"/>
  <c r="AU28" i="2"/>
  <c r="CV10" i="2"/>
  <c r="AL21" i="2"/>
  <c r="V21" i="2" s="1"/>
  <c r="AI30" i="2"/>
  <c r="AW27" i="2"/>
  <c r="AL12" i="2"/>
  <c r="AE28" i="2"/>
  <c r="CD14" i="2"/>
  <c r="CZ71" i="2"/>
  <c r="CS13" i="2"/>
  <c r="DB63" i="2"/>
  <c r="CD75" i="2"/>
  <c r="CX29" i="2"/>
  <c r="AI79" i="2"/>
  <c r="CX17" i="2"/>
  <c r="AZ16" i="2"/>
  <c r="CT14" i="2"/>
  <c r="DD16" i="2"/>
  <c r="AR15" i="2"/>
  <c r="AP44" i="2"/>
  <c r="CT23" i="2"/>
  <c r="CX31" i="2"/>
  <c r="CZ14" i="2"/>
  <c r="AJ18" i="2"/>
  <c r="BF55" i="2"/>
  <c r="AH75" i="2"/>
  <c r="BD44" i="2"/>
  <c r="CW63" i="2"/>
  <c r="AD50" i="2"/>
  <c r="CP65" i="2"/>
  <c r="AL55" i="2"/>
  <c r="AN19" i="2"/>
  <c r="BB19" i="2"/>
  <c r="DD73" i="2"/>
  <c r="BK79" i="2"/>
  <c r="CQ39" i="2"/>
  <c r="AU51" i="2"/>
  <c r="AK15" i="2"/>
  <c r="AT20" i="2"/>
  <c r="CU72" i="2"/>
  <c r="AQ53" i="2"/>
  <c r="BV51" i="2"/>
  <c r="DA52" i="2"/>
  <c r="AJ11" i="2"/>
  <c r="CM16" i="2"/>
  <c r="AH20" i="2"/>
  <c r="DA25" i="2"/>
  <c r="AG28" i="2"/>
  <c r="AF70" i="2"/>
  <c r="CY9" i="2"/>
  <c r="CR71" i="2"/>
  <c r="AE54" i="2"/>
  <c r="CB11" i="2"/>
  <c r="CX38" i="2"/>
  <c r="AR45" i="2"/>
  <c r="CB16" i="2"/>
  <c r="BA14" i="2"/>
  <c r="CW23" i="2"/>
  <c r="AG64" i="2"/>
  <c r="AS43" i="2"/>
  <c r="AE36" i="2"/>
  <c r="AN82" i="2"/>
  <c r="BH39" i="2"/>
  <c r="CY13" i="2"/>
  <c r="BE53" i="2"/>
  <c r="AP74" i="2"/>
  <c r="CO53" i="2"/>
  <c r="DD52" i="2"/>
  <c r="CX69" i="2"/>
  <c r="DD77" i="2"/>
  <c r="CQ54" i="2"/>
  <c r="AK12" i="2"/>
  <c r="AJ34" i="2"/>
  <c r="BA19" i="2"/>
  <c r="AD25" i="2"/>
  <c r="AH37" i="2"/>
  <c r="DA16" i="2"/>
  <c r="CZ20" i="2"/>
  <c r="CO35" i="2"/>
  <c r="AI35" i="2"/>
  <c r="BP48" i="2"/>
  <c r="AR18" i="2"/>
  <c r="CO17" i="2"/>
  <c r="AN78" i="2"/>
  <c r="CQ17" i="2"/>
  <c r="DC66" i="2"/>
  <c r="AJ10" i="2"/>
  <c r="AK24" i="2"/>
  <c r="U24" i="2" s="1"/>
  <c r="BY18" i="2"/>
  <c r="CW37" i="2"/>
  <c r="DB78" i="2"/>
  <c r="BO35" i="2"/>
  <c r="AF29" i="2"/>
  <c r="AZ43" i="2"/>
  <c r="AW29" i="2"/>
  <c r="CZ13" i="2"/>
  <c r="BP78" i="2"/>
  <c r="AI11" i="2"/>
  <c r="CW14" i="2"/>
  <c r="CF65" i="2"/>
  <c r="BH69" i="2"/>
  <c r="AR35" i="2"/>
  <c r="AZ82" i="2"/>
  <c r="BL44" i="2"/>
  <c r="CS75" i="2"/>
  <c r="AM14" i="2"/>
  <c r="CT68" i="2"/>
  <c r="CS23" i="2"/>
  <c r="DD20" i="2"/>
  <c r="CZ54" i="2"/>
  <c r="CP15" i="2"/>
  <c r="AI82" i="2"/>
  <c r="BN44" i="2"/>
  <c r="AJ25" i="2"/>
  <c r="CR29" i="2"/>
  <c r="AH45" i="2"/>
  <c r="DC35" i="2"/>
  <c r="DB52" i="2"/>
  <c r="AD23" i="2"/>
  <c r="AK45" i="2"/>
  <c r="DB41" i="2"/>
  <c r="CY52" i="2"/>
  <c r="DC83" i="2"/>
  <c r="BE80" i="2"/>
  <c r="BM30" i="2"/>
  <c r="AM20" i="2"/>
  <c r="CQ55" i="2"/>
  <c r="BA31" i="2"/>
  <c r="BA18" i="2"/>
  <c r="AL36" i="2"/>
  <c r="AN9" i="2"/>
  <c r="AT10" i="2"/>
  <c r="AJ55" i="2"/>
  <c r="AK23" i="2"/>
  <c r="CU18" i="2"/>
  <c r="AH11" i="2"/>
  <c r="CT77" i="2"/>
  <c r="AP30" i="2"/>
  <c r="DB39" i="2"/>
  <c r="BG25" i="2"/>
  <c r="BW76" i="2"/>
  <c r="AR34" i="2"/>
  <c r="CR9" i="2"/>
  <c r="AQ24" i="2"/>
  <c r="AA24" i="2" s="1"/>
  <c r="AM9" i="2"/>
  <c r="DA65" i="2"/>
  <c r="DC71" i="2"/>
  <c r="AF81" i="2"/>
  <c r="CQ18" i="2"/>
  <c r="AH39" i="2"/>
  <c r="AF11" i="2"/>
  <c r="BW34" i="2"/>
  <c r="CQ27" i="2"/>
  <c r="CO55" i="2"/>
  <c r="AZ51" i="2"/>
  <c r="AE47" i="2"/>
  <c r="AH24" i="2"/>
  <c r="R24" i="2" s="1"/>
  <c r="BE11" i="2"/>
  <c r="AF19" i="2"/>
  <c r="CO10" i="2"/>
  <c r="CV39" i="2"/>
  <c r="CX16" i="2"/>
  <c r="AD14" i="2"/>
  <c r="AQ51" i="2"/>
  <c r="CT29" i="2"/>
  <c r="CS10" i="2"/>
  <c r="DC11" i="2"/>
  <c r="DB54" i="2"/>
  <c r="BU46" i="2"/>
  <c r="AC39" i="2"/>
  <c r="CR15" i="2"/>
  <c r="AN55" i="2"/>
  <c r="AC46" i="2"/>
  <c r="BN17" i="2"/>
  <c r="DD67" i="2"/>
  <c r="AX13" i="2"/>
  <c r="DC36" i="2"/>
  <c r="CO25" i="2"/>
  <c r="AK17" i="2"/>
  <c r="AE48" i="2"/>
  <c r="DB64" i="2"/>
  <c r="AH67" i="2"/>
  <c r="AN37" i="2"/>
  <c r="AY81" i="2"/>
  <c r="CV70" i="2"/>
  <c r="CX77" i="2"/>
  <c r="CU73" i="2"/>
  <c r="AK25" i="2"/>
  <c r="CI16" i="2"/>
  <c r="BE13" i="2"/>
  <c r="BM59" i="2"/>
  <c r="Q59" i="2" s="1"/>
  <c r="CU15" i="2"/>
  <c r="AH46" i="2"/>
  <c r="CU31" i="2"/>
  <c r="CV38" i="2"/>
  <c r="AP12" i="2"/>
  <c r="BG41" i="2"/>
  <c r="CT35" i="2"/>
  <c r="AH18" i="2"/>
  <c r="CT20" i="2"/>
  <c r="CP75" i="2"/>
  <c r="AP21" i="2"/>
  <c r="Z21" i="2" s="1"/>
  <c r="AL50" i="2"/>
  <c r="AP43" i="2"/>
  <c r="CW39" i="2"/>
  <c r="AJ47" i="2"/>
  <c r="CT37" i="2"/>
  <c r="CU71" i="2"/>
  <c r="CT72" i="2"/>
  <c r="BZ45" i="2"/>
  <c r="AP68" i="2"/>
  <c r="CZ16" i="2"/>
  <c r="AZ15" i="2"/>
  <c r="CR20" i="2"/>
  <c r="BX17" i="2"/>
  <c r="AO83" i="2"/>
  <c r="AL38" i="2"/>
  <c r="CY18" i="2"/>
  <c r="AI53" i="2"/>
  <c r="CR11" i="2"/>
  <c r="BB32" i="2"/>
  <c r="DA34" i="2"/>
  <c r="AD71" i="2"/>
  <c r="AN80" i="2"/>
  <c r="CS36" i="2"/>
  <c r="CU39" i="2"/>
  <c r="CY77" i="2"/>
  <c r="CV78" i="2"/>
  <c r="AD43" i="2"/>
  <c r="AC69" i="2"/>
  <c r="CP16" i="2"/>
  <c r="AN83" i="2"/>
  <c r="BM75" i="2"/>
  <c r="DB18" i="2"/>
  <c r="CV75" i="2"/>
  <c r="AZ27" i="2"/>
  <c r="AO18" i="2"/>
  <c r="AO25" i="2"/>
  <c r="AK46" i="2"/>
  <c r="AC81" i="2"/>
  <c r="AM29" i="2"/>
  <c r="AO10" i="2"/>
  <c r="BN58" i="2"/>
  <c r="R58" i="2" s="1"/>
  <c r="AG26" i="2"/>
  <c r="Q26" i="2" s="1"/>
  <c r="CR67" i="2"/>
  <c r="AP23" i="2"/>
  <c r="CY75" i="2"/>
  <c r="DB66" i="2"/>
  <c r="CR14" i="2"/>
  <c r="CQ16" i="2"/>
  <c r="CT11" i="2"/>
  <c r="AQ19" i="2"/>
  <c r="AS73" i="2"/>
  <c r="CX64" i="2"/>
  <c r="AI54" i="2"/>
  <c r="AI18" i="2"/>
  <c r="AR13" i="2"/>
  <c r="AP11" i="2"/>
  <c r="AF65" i="2"/>
  <c r="CQ13" i="2"/>
  <c r="AR76" i="2"/>
  <c r="AF15" i="2"/>
  <c r="CV11" i="2"/>
  <c r="CX23" i="2"/>
  <c r="DB13" i="2"/>
  <c r="AU49" i="2"/>
  <c r="AQ13" i="2"/>
  <c r="BA23" i="2"/>
  <c r="BT37" i="2"/>
  <c r="CV15" i="2"/>
  <c r="DC39" i="2"/>
  <c r="CO39" i="2"/>
  <c r="CQ23" i="2"/>
  <c r="CB49" i="2"/>
  <c r="AK44" i="2"/>
  <c r="CO65" i="2"/>
  <c r="AK78" i="2"/>
  <c r="CW35" i="2"/>
  <c r="BC54" i="2"/>
  <c r="DB68" i="2"/>
  <c r="BU56" i="2"/>
  <c r="Y56" i="2" s="1"/>
  <c r="AO76" i="2"/>
  <c r="DD37" i="2"/>
  <c r="CW54" i="2"/>
  <c r="AR29" i="2"/>
  <c r="AM34" i="2"/>
  <c r="AQ47" i="2"/>
  <c r="AV31" i="2"/>
  <c r="CV14" i="2"/>
  <c r="AF71" i="2"/>
  <c r="CK79" i="2"/>
  <c r="CP13" i="2"/>
  <c r="CX83" i="2"/>
  <c r="AY43" i="2"/>
  <c r="AC16" i="2"/>
  <c r="CB28" i="2"/>
  <c r="AZ29" i="2"/>
  <c r="AN71" i="2"/>
  <c r="AQ28" i="2"/>
  <c r="AQ18" i="2"/>
  <c r="BG45" i="2"/>
  <c r="BJ71" i="2"/>
  <c r="CQ10" i="2"/>
  <c r="AQ39" i="2"/>
  <c r="AF17" i="2"/>
  <c r="AF28" i="2"/>
  <c r="CP23" i="2"/>
  <c r="CO34" i="2"/>
  <c r="CV54" i="2"/>
  <c r="AK31" i="2"/>
  <c r="AP80" i="2"/>
  <c r="CQ38" i="2"/>
  <c r="AW15" i="2"/>
  <c r="DC9" i="2"/>
  <c r="BV25" i="2"/>
  <c r="CO71" i="2"/>
  <c r="AF51" i="2"/>
  <c r="AN51" i="2"/>
  <c r="AR68" i="2"/>
  <c r="DA67" i="2"/>
  <c r="AE26" i="2"/>
  <c r="O26" i="2" s="1"/>
  <c r="AD45" i="2"/>
  <c r="AF24" i="2"/>
  <c r="P24" i="2" s="1"/>
  <c r="CU9" i="2"/>
  <c r="AO49" i="2"/>
  <c r="BV70" i="2"/>
  <c r="BT71" i="2"/>
  <c r="DA54" i="2"/>
  <c r="AL68" i="2"/>
  <c r="BV27" i="2"/>
  <c r="AC29" i="2"/>
  <c r="CZ63" i="2"/>
  <c r="BG17" i="2"/>
  <c r="BX56" i="2"/>
  <c r="AB56" i="2" s="1"/>
  <c r="DD11" i="2"/>
  <c r="AM35" i="2"/>
  <c r="AO38" i="2"/>
  <c r="AJ26" i="2"/>
  <c r="T26" i="2" s="1"/>
  <c r="CU78" i="2"/>
  <c r="AK47" i="2"/>
  <c r="BT14" i="2"/>
  <c r="AH66" i="2"/>
  <c r="BW63" i="2"/>
  <c r="AO37" i="2"/>
  <c r="DA39" i="2"/>
  <c r="CT67" i="2"/>
  <c r="AK13" i="2"/>
  <c r="AE30" i="2"/>
  <c r="AP54" i="2"/>
  <c r="AM39" i="2"/>
  <c r="AN35" i="2"/>
  <c r="BM10" i="2"/>
  <c r="AC63" i="2"/>
  <c r="BM63" i="2"/>
  <c r="AL44" i="2"/>
  <c r="BO10" i="2"/>
  <c r="CT36" i="2"/>
  <c r="CO67" i="2"/>
  <c r="AG34" i="2"/>
  <c r="CQ77" i="2"/>
  <c r="CS70" i="2"/>
  <c r="AR16" i="2"/>
  <c r="CS55" i="2"/>
  <c r="AU33" i="2"/>
  <c r="CS79" i="2"/>
  <c r="BM13" i="2"/>
  <c r="AR78" i="2"/>
  <c r="BS74" i="2"/>
  <c r="AE17" i="2"/>
  <c r="AU16" i="2"/>
  <c r="CE69" i="2"/>
  <c r="AG9" i="2"/>
  <c r="CD28" i="2"/>
  <c r="BD78" i="2"/>
  <c r="BE83" i="2"/>
  <c r="CX25" i="2"/>
  <c r="DA79" i="2"/>
  <c r="DB75" i="2"/>
  <c r="AI75" i="2"/>
  <c r="AD12" i="2"/>
  <c r="CV72" i="2"/>
  <c r="AL34" i="2"/>
  <c r="AZ17" i="2"/>
  <c r="AN11" i="2"/>
  <c r="AG54" i="2"/>
  <c r="BM19" i="2"/>
  <c r="AL23" i="2"/>
  <c r="AJ83" i="2"/>
  <c r="AN49" i="2"/>
  <c r="BK77" i="2"/>
  <c r="AS18" i="2"/>
  <c r="AZ72" i="2"/>
  <c r="AC23" i="2"/>
  <c r="BK61" i="2"/>
  <c r="O61" i="2" s="1"/>
  <c r="BU10" i="2"/>
  <c r="AC24" i="2"/>
  <c r="M24" i="2" s="1"/>
  <c r="AX75" i="2"/>
  <c r="AX30" i="2"/>
  <c r="AJ52" i="2"/>
  <c r="BO15" i="2"/>
  <c r="AS33" i="2"/>
  <c r="BR16" i="2"/>
  <c r="AC27" i="2"/>
  <c r="BQ82" i="2"/>
  <c r="BM61" i="2"/>
  <c r="Q61" i="2" s="1"/>
  <c r="AE49" i="2"/>
  <c r="AS53" i="2"/>
  <c r="AG52" i="2"/>
  <c r="AH44" i="2"/>
  <c r="AE34" i="2"/>
  <c r="AN50" i="2"/>
  <c r="CB9" i="2"/>
  <c r="AH74" i="2"/>
  <c r="CW36" i="2"/>
  <c r="AQ45" i="2"/>
  <c r="AH49" i="2"/>
  <c r="CU11" i="2"/>
  <c r="DC27" i="2"/>
  <c r="DD9" i="2"/>
  <c r="CR78" i="2"/>
  <c r="DB17" i="2"/>
  <c r="AF16" i="2"/>
  <c r="CW83" i="2"/>
  <c r="BF45" i="2"/>
  <c r="AR20" i="2"/>
  <c r="AK51" i="2"/>
  <c r="BB13" i="2"/>
  <c r="BM14" i="2"/>
  <c r="AP34" i="2"/>
  <c r="AW9" i="2"/>
  <c r="CQ14" i="2"/>
  <c r="AK67" i="2"/>
  <c r="AQ77" i="2"/>
  <c r="AW40" i="2"/>
  <c r="CZ17" i="2"/>
  <c r="AP13" i="2"/>
  <c r="AN26" i="2"/>
  <c r="X26" i="2" s="1"/>
  <c r="DD54" i="2"/>
  <c r="BE18" i="2"/>
  <c r="AI52" i="2"/>
  <c r="CQ71" i="2"/>
  <c r="AK20" i="2"/>
  <c r="BF15" i="2"/>
  <c r="AE25" i="2"/>
  <c r="AC72" i="2"/>
  <c r="CN41" i="2"/>
  <c r="AC35" i="2"/>
  <c r="AT52" i="2"/>
  <c r="AJ54" i="2"/>
  <c r="BO19" i="2"/>
  <c r="AV30" i="2"/>
  <c r="BW25" i="2"/>
  <c r="AC37" i="2"/>
  <c r="BO20" i="2"/>
  <c r="CL40" i="2"/>
  <c r="AN68" i="2"/>
  <c r="BP28" i="2"/>
  <c r="AP45" i="2"/>
  <c r="BA25" i="2"/>
  <c r="CO36" i="2"/>
  <c r="AR17" i="2"/>
  <c r="BE33" i="2"/>
  <c r="BO30" i="2"/>
  <c r="CX15" i="2"/>
  <c r="DD10" i="2"/>
  <c r="DB11" i="2"/>
  <c r="DA73" i="2"/>
  <c r="AY75" i="2"/>
  <c r="AO77" i="2"/>
  <c r="AG10" i="2"/>
  <c r="AK35" i="2"/>
  <c r="BD32" i="2"/>
  <c r="AM18" i="2"/>
  <c r="AO82" i="2"/>
  <c r="CQ9" i="2"/>
  <c r="AD49" i="2"/>
  <c r="BR58" i="2"/>
  <c r="V58" i="2" s="1"/>
  <c r="AD83" i="2"/>
  <c r="BW40" i="2"/>
  <c r="BN68" i="2"/>
  <c r="BI79" i="2"/>
  <c r="AI19" i="2"/>
  <c r="CN77" i="2"/>
  <c r="BH15" i="2"/>
  <c r="AT32" i="2"/>
  <c r="BM62" i="2"/>
  <c r="Q62" i="2" s="1"/>
  <c r="CO14" i="2"/>
  <c r="AI39" i="2"/>
  <c r="AU23" i="2"/>
  <c r="AG43" i="2"/>
  <c r="AF77" i="2"/>
  <c r="AN13" i="2"/>
  <c r="AL71" i="2"/>
  <c r="CT25" i="2"/>
  <c r="BO25" i="2"/>
  <c r="AS13" i="2"/>
  <c r="CV69" i="2"/>
  <c r="CS63" i="2"/>
  <c r="CP10" i="2"/>
  <c r="AD11" i="2"/>
  <c r="CU41" i="2"/>
  <c r="AR39" i="2"/>
  <c r="CT69" i="2"/>
  <c r="DD15" i="2"/>
  <c r="AE19" i="2"/>
  <c r="AK28" i="2"/>
  <c r="AT36" i="2"/>
  <c r="CE65" i="2"/>
  <c r="AQ49" i="2"/>
  <c r="BG30" i="2"/>
  <c r="DC29" i="2"/>
  <c r="AL16" i="2"/>
  <c r="AS17" i="2"/>
  <c r="AO54" i="2"/>
  <c r="CX20" i="2"/>
  <c r="CZ18" i="2"/>
  <c r="CV18" i="2"/>
  <c r="AP9" i="2"/>
  <c r="AU82" i="2"/>
  <c r="BE30" i="2"/>
  <c r="AM26" i="2"/>
  <c r="W26" i="2" s="1"/>
  <c r="AK39" i="2"/>
  <c r="BA40" i="2"/>
  <c r="AD20" i="2"/>
  <c r="AM81" i="2"/>
  <c r="CQ11" i="2"/>
  <c r="AJ67" i="2"/>
  <c r="BW20" i="2"/>
  <c r="BG54" i="2"/>
  <c r="BW48" i="2"/>
  <c r="BN10" i="2"/>
  <c r="CC16" i="2"/>
  <c r="AL53" i="2"/>
  <c r="CD20" i="2"/>
  <c r="AX14" i="2"/>
  <c r="AY13" i="2"/>
  <c r="BH44" i="2"/>
  <c r="BE16" i="2"/>
  <c r="BT78" i="2"/>
  <c r="CG39" i="2"/>
  <c r="AP78" i="2"/>
  <c r="CG49" i="2"/>
  <c r="AX25" i="2"/>
  <c r="BW67" i="2"/>
  <c r="AU81" i="2"/>
  <c r="AT27" i="2"/>
  <c r="CQ15" i="2"/>
  <c r="AY32" i="2"/>
  <c r="AY10" i="2"/>
  <c r="BP81" i="2"/>
  <c r="CR39" i="2"/>
  <c r="DB67" i="2"/>
  <c r="BF19" i="2"/>
  <c r="CS69" i="2"/>
  <c r="AH65" i="2"/>
  <c r="AL54" i="2"/>
  <c r="AQ43" i="2"/>
  <c r="CY34" i="2"/>
  <c r="CQ67" i="2"/>
  <c r="BF75" i="2"/>
  <c r="CE41" i="2"/>
  <c r="CY73" i="2"/>
  <c r="CS77" i="2"/>
  <c r="DC68" i="2"/>
  <c r="AI44" i="2"/>
  <c r="CX63" i="2"/>
  <c r="CX39" i="2"/>
  <c r="AU55" i="2"/>
  <c r="AP76" i="2"/>
  <c r="AG63" i="2"/>
  <c r="BA20" i="2"/>
  <c r="CO78" i="2"/>
  <c r="AJ69" i="2"/>
  <c r="CR63" i="2"/>
  <c r="DD27" i="2"/>
  <c r="CR27" i="2"/>
  <c r="AI74" i="2"/>
  <c r="AY47" i="2"/>
  <c r="AG48" i="2"/>
  <c r="AG73" i="2"/>
  <c r="AN12" i="2"/>
  <c r="AL70" i="2"/>
  <c r="CU69" i="2"/>
  <c r="BO68" i="2"/>
  <c r="CR73" i="2"/>
  <c r="CY15" i="2"/>
  <c r="CP29" i="2"/>
  <c r="AU19" i="2"/>
  <c r="BF63" i="2"/>
  <c r="AQ44" i="2"/>
  <c r="AW14" i="2"/>
  <c r="AP63" i="2"/>
  <c r="AU14" i="2"/>
  <c r="CS72" i="2"/>
  <c r="AG80" i="2"/>
  <c r="AX72" i="2"/>
  <c r="AR51" i="2"/>
  <c r="DA71" i="2"/>
  <c r="DC16" i="2"/>
  <c r="BF38" i="2"/>
  <c r="CY35" i="2"/>
  <c r="AQ9" i="2"/>
  <c r="AM19" i="2"/>
  <c r="CP27" i="2"/>
  <c r="AJ12" i="2"/>
  <c r="AM49" i="2"/>
  <c r="BF23" i="2"/>
  <c r="AO51" i="2"/>
  <c r="AC74" i="2"/>
  <c r="AV38" i="2"/>
  <c r="DC41" i="2"/>
  <c r="AE50" i="2"/>
  <c r="AS63" i="2"/>
  <c r="BC27" i="2"/>
  <c r="CZ37" i="2"/>
  <c r="DC13" i="2"/>
  <c r="CQ36" i="2"/>
  <c r="BM37" i="2"/>
  <c r="CE33" i="2"/>
  <c r="AS54" i="2"/>
  <c r="AG16" i="2"/>
  <c r="AM63" i="2"/>
  <c r="AS78" i="2"/>
  <c r="AH17" i="2"/>
  <c r="BD51" i="2"/>
  <c r="CT41" i="2"/>
  <c r="BD16" i="2"/>
  <c r="AD21" i="2"/>
  <c r="N21" i="2" s="1"/>
  <c r="BC69" i="2"/>
  <c r="CF74" i="2"/>
  <c r="BQ69" i="2"/>
  <c r="AV48" i="2"/>
  <c r="AF75" i="2"/>
  <c r="AF35" i="2"/>
  <c r="AX78" i="2"/>
  <c r="BM12" i="2"/>
  <c r="BQ62" i="2"/>
  <c r="U62" i="2" s="1"/>
  <c r="AE23" i="2"/>
  <c r="CW77" i="2"/>
  <c r="AH79" i="2"/>
  <c r="AW73" i="2"/>
  <c r="AG46" i="2"/>
  <c r="BA28" i="2"/>
  <c r="DC31" i="2"/>
  <c r="BL16" i="2"/>
  <c r="AO43" i="2"/>
  <c r="AV19" i="2"/>
  <c r="CD53" i="2"/>
  <c r="BO83" i="2"/>
  <c r="BA81" i="2"/>
  <c r="AR75" i="2"/>
  <c r="AP47" i="2"/>
  <c r="BT30" i="2"/>
  <c r="BO33" i="2"/>
  <c r="BU49" i="2"/>
  <c r="BQ77" i="2"/>
  <c r="BJ30" i="2"/>
  <c r="AM27" i="2"/>
  <c r="AS32" i="2"/>
  <c r="CI52" i="2"/>
  <c r="DC23" i="2"/>
  <c r="AO20" i="2"/>
  <c r="AQ10" i="2"/>
  <c r="BG36" i="2"/>
  <c r="AF21" i="2"/>
  <c r="P21" i="2" s="1"/>
  <c r="BV34" i="2"/>
  <c r="DC17" i="2"/>
  <c r="CP77" i="2"/>
  <c r="BS63" i="2"/>
  <c r="CO16" i="2"/>
  <c r="AE16" i="2"/>
  <c r="DC64" i="2"/>
  <c r="AZ23" i="2"/>
  <c r="AH13" i="2"/>
  <c r="BX48" i="2"/>
  <c r="DD36" i="2"/>
  <c r="CX11" i="2"/>
  <c r="AP65" i="2"/>
  <c r="AU20" i="2"/>
  <c r="CV77" i="2"/>
  <c r="CV29" i="2"/>
  <c r="AZ19" i="2"/>
  <c r="BH35" i="2"/>
  <c r="CQ75" i="2"/>
  <c r="CU29" i="2"/>
  <c r="AV20" i="2"/>
  <c r="BE75" i="2"/>
  <c r="CY14" i="2"/>
  <c r="BA33" i="2"/>
  <c r="AH15" i="2"/>
  <c r="AW13" i="2"/>
  <c r="DD31" i="2"/>
  <c r="BI59" i="2"/>
  <c r="M59" i="2" s="1"/>
  <c r="AN77" i="2"/>
  <c r="CV9" i="2"/>
  <c r="AN17" i="2"/>
  <c r="CO15" i="2"/>
  <c r="CS20" i="2"/>
  <c r="CP71" i="2"/>
  <c r="AH26" i="2"/>
  <c r="R26" i="2" s="1"/>
  <c r="AI71" i="2"/>
  <c r="CR41" i="2"/>
  <c r="AG19" i="2"/>
  <c r="AR69" i="2"/>
  <c r="AV15" i="2"/>
  <c r="AE31" i="2"/>
  <c r="AF30" i="2"/>
  <c r="AS71" i="2"/>
  <c r="CZ53" i="2"/>
  <c r="AF83" i="2"/>
  <c r="BN66" i="2"/>
  <c r="BN81" i="2"/>
  <c r="CQ41" i="2"/>
  <c r="CT34" i="2"/>
  <c r="AD15" i="2"/>
  <c r="CP83" i="2"/>
  <c r="DA63" i="2"/>
  <c r="BM29" i="2"/>
  <c r="AG24" i="2"/>
  <c r="Q24" i="2" s="1"/>
  <c r="AQ21" i="2"/>
  <c r="AA21" i="2" s="1"/>
  <c r="BH52" i="2"/>
  <c r="AE55" i="2"/>
  <c r="BC67" i="2"/>
  <c r="CS34" i="2"/>
  <c r="BW38" i="2"/>
  <c r="AL9" i="2"/>
  <c r="BG33" i="2"/>
  <c r="AF39" i="2"/>
  <c r="CJ69" i="2"/>
  <c r="AW66" i="2"/>
  <c r="BB16" i="2"/>
  <c r="AK81" i="2"/>
  <c r="BR28" i="2"/>
  <c r="BP71" i="2"/>
  <c r="CI49" i="2"/>
  <c r="CR52" i="2"/>
  <c r="CP34" i="2"/>
  <c r="BG34" i="2"/>
  <c r="AW34" i="2"/>
  <c r="CS41" i="2"/>
  <c r="AV32" i="2"/>
  <c r="CS78" i="2"/>
  <c r="BM17" i="2"/>
  <c r="CS52" i="2"/>
  <c r="AP17" i="2"/>
  <c r="CZ34" i="2"/>
  <c r="AM54" i="2"/>
  <c r="AS81" i="2"/>
  <c r="CS37" i="2"/>
  <c r="AC83" i="2"/>
  <c r="BF46" i="2"/>
  <c r="CP31" i="2"/>
  <c r="CU77" i="2"/>
  <c r="AE10" i="2"/>
  <c r="BN47" i="2"/>
  <c r="AW46" i="2"/>
  <c r="BE55" i="2"/>
  <c r="CS17" i="2"/>
  <c r="AH77" i="2"/>
  <c r="AH25" i="2"/>
  <c r="AT23" i="2"/>
  <c r="CU53" i="2"/>
  <c r="AU52" i="2"/>
  <c r="CV31" i="2"/>
  <c r="AN36" i="2"/>
  <c r="AR82" i="2"/>
  <c r="AK53" i="2"/>
  <c r="BE32" i="2"/>
  <c r="CZ65" i="2"/>
  <c r="CC52" i="2"/>
  <c r="CW72" i="2"/>
  <c r="CX35" i="2"/>
  <c r="CY31" i="2"/>
  <c r="BF54" i="2"/>
  <c r="AU27" i="2"/>
  <c r="DC20" i="2"/>
  <c r="AL52" i="2"/>
  <c r="CC55" i="2"/>
  <c r="CT18" i="2"/>
  <c r="BU44" i="2"/>
  <c r="CV27" i="2"/>
  <c r="AY52" i="2"/>
  <c r="CP11" i="2"/>
  <c r="AK55" i="2"/>
  <c r="BM25" i="2"/>
  <c r="CR70" i="2"/>
  <c r="CR64" i="2"/>
  <c r="AQ15" i="2"/>
  <c r="AN20" i="2"/>
  <c r="AT39" i="2"/>
  <c r="DB9" i="2"/>
  <c r="AN30" i="2"/>
  <c r="CZ55" i="2"/>
  <c r="BF17" i="2"/>
  <c r="AV49" i="2"/>
  <c r="BC72" i="2"/>
  <c r="DA68" i="2"/>
  <c r="BU14" i="2"/>
  <c r="CQ65" i="2"/>
  <c r="CP55" i="2"/>
  <c r="DC53" i="2"/>
  <c r="BG80" i="2"/>
  <c r="BI65" i="2"/>
  <c r="AI68" i="2"/>
  <c r="BB30" i="2"/>
  <c r="AM23" i="2"/>
  <c r="AU32" i="2"/>
  <c r="CS39" i="2"/>
  <c r="AK75" i="2"/>
  <c r="CR69" i="2"/>
  <c r="CQ35" i="2"/>
  <c r="CX55" i="2"/>
  <c r="BJ10" i="2"/>
  <c r="CV25" i="2"/>
  <c r="BH37" i="2"/>
  <c r="BG11" i="2"/>
  <c r="AG50" i="2"/>
  <c r="BA32" i="2"/>
  <c r="CR55" i="2"/>
  <c r="BE20" i="2"/>
  <c r="AW32" i="2"/>
  <c r="CZ15" i="2"/>
  <c r="AC80" i="2"/>
  <c r="DA13" i="2"/>
  <c r="CO13" i="2"/>
  <c r="CY66" i="2"/>
  <c r="AH47" i="2"/>
  <c r="AR10" i="2"/>
  <c r="DA31" i="2"/>
  <c r="AH28" i="2"/>
  <c r="AQ20" i="2"/>
  <c r="AV35" i="2"/>
  <c r="AE44" i="2"/>
  <c r="AI37" i="2"/>
  <c r="BE81" i="2"/>
  <c r="DA27" i="2"/>
  <c r="AT17" i="2"/>
  <c r="BY16" i="2"/>
  <c r="BU25" i="2"/>
  <c r="CX54" i="2"/>
  <c r="DA18" i="2"/>
  <c r="CW20" i="2"/>
  <c r="AC9" i="2"/>
  <c r="CY65" i="2"/>
  <c r="CE49" i="2"/>
  <c r="AI77" i="2"/>
  <c r="AI38" i="2"/>
  <c r="BH67" i="2"/>
  <c r="AM17" i="2"/>
  <c r="BE45" i="2"/>
  <c r="CS29" i="2"/>
  <c r="BR83" i="2"/>
  <c r="AL17" i="2"/>
  <c r="AU41" i="2"/>
  <c r="AF47" i="2"/>
  <c r="AO69" i="2"/>
  <c r="BB53" i="2"/>
  <c r="AZ32" i="2"/>
  <c r="AH72" i="2"/>
  <c r="BT62" i="2"/>
  <c r="X62" i="2" s="1"/>
  <c r="AO65" i="2"/>
  <c r="AV10" i="2"/>
  <c r="CZ29" i="2"/>
  <c r="AE20" i="2"/>
  <c r="CS25" i="2"/>
  <c r="CS71" i="2"/>
  <c r="AF14" i="2"/>
  <c r="BH63" i="2"/>
  <c r="DA9" i="2"/>
  <c r="AQ14" i="2"/>
  <c r="CE37" i="2"/>
  <c r="AM10" i="2"/>
  <c r="CU10" i="2"/>
  <c r="AN18" i="2"/>
  <c r="BC66" i="2"/>
  <c r="BJ18" i="2"/>
  <c r="CZ31" i="2"/>
  <c r="DB79" i="2"/>
  <c r="CP63" i="2"/>
  <c r="AU35" i="2"/>
  <c r="BI9" i="2"/>
  <c r="BG53" i="2"/>
  <c r="CV55" i="2"/>
  <c r="AL76" i="2"/>
  <c r="AJ16" i="2"/>
  <c r="DD66" i="2"/>
  <c r="DA64" i="2"/>
  <c r="BL39" i="2"/>
  <c r="CV13" i="2"/>
  <c r="AU15" i="2"/>
  <c r="AZ31" i="2"/>
  <c r="AE13" i="2"/>
  <c r="AW11" i="2"/>
  <c r="DD29" i="2"/>
  <c r="AY51" i="2"/>
  <c r="DA53" i="2"/>
  <c r="DC63" i="2"/>
  <c r="CS67" i="2"/>
  <c r="CX70" i="2"/>
  <c r="CZ38" i="2"/>
  <c r="BF65" i="2"/>
  <c r="BF31" i="2"/>
  <c r="AI15" i="2"/>
  <c r="AV28" i="2"/>
  <c r="CU64" i="2"/>
  <c r="AZ83" i="2"/>
  <c r="AV23" i="2"/>
  <c r="CO31" i="2"/>
  <c r="AD17" i="2"/>
  <c r="DB31" i="2"/>
  <c r="CY27" i="2"/>
  <c r="CT71" i="2"/>
  <c r="AN23" i="2"/>
  <c r="AR43" i="2"/>
  <c r="CU27" i="2"/>
  <c r="AI49" i="2"/>
  <c r="AQ25" i="2"/>
  <c r="BA36" i="2"/>
  <c r="AR67" i="2"/>
  <c r="AN45" i="2"/>
  <c r="BF66" i="2"/>
  <c r="CZ66" i="2"/>
  <c r="BG40" i="2"/>
  <c r="AJ75" i="2"/>
  <c r="AJ70" i="2"/>
  <c r="CZ69" i="2"/>
  <c r="DA11" i="2"/>
  <c r="CR13" i="2"/>
  <c r="AM24" i="2"/>
  <c r="W24" i="2" s="1"/>
  <c r="DB70" i="2"/>
  <c r="CO38" i="2"/>
  <c r="AH34" i="2"/>
  <c r="AJ49" i="2"/>
  <c r="BL40" i="2"/>
  <c r="AP25" i="2"/>
  <c r="BF40" i="2"/>
  <c r="CU55" i="2"/>
  <c r="CJ38" i="2"/>
  <c r="AL25" i="2"/>
  <c r="AZ45" i="2"/>
  <c r="AD65" i="2"/>
  <c r="AR64" i="2"/>
  <c r="CT55" i="2"/>
  <c r="AW63" i="2"/>
  <c r="AE77" i="2"/>
  <c r="CC28" i="2"/>
  <c r="AQ73" i="2"/>
  <c r="BH20" i="2"/>
  <c r="AM83" i="2"/>
  <c r="AG69" i="2"/>
  <c r="AC20" i="2"/>
  <c r="AM74" i="2"/>
  <c r="CW16" i="2"/>
  <c r="AR11" i="2"/>
  <c r="AZ47" i="2"/>
  <c r="AS65" i="2"/>
  <c r="BG47" i="2"/>
  <c r="AD19" i="2"/>
  <c r="DB73" i="2"/>
  <c r="BD29" i="2"/>
  <c r="BG10" i="2"/>
  <c r="BA30" i="2"/>
  <c r="DD41" i="2"/>
  <c r="AX64" i="2"/>
  <c r="CO68" i="2"/>
  <c r="CW79" i="2"/>
  <c r="CS66" i="2"/>
  <c r="DA37" i="2"/>
  <c r="BJ46" i="2"/>
  <c r="AV27" i="2"/>
  <c r="AG29" i="2"/>
  <c r="AT34" i="2"/>
  <c r="CV66" i="2"/>
  <c r="CB34" i="2"/>
  <c r="AV83" i="2"/>
  <c r="CT17" i="2"/>
  <c r="AN21" i="2"/>
  <c r="X21" i="2" s="1"/>
  <c r="CW25" i="2"/>
  <c r="CX66" i="2"/>
  <c r="AR28" i="2"/>
  <c r="AC73" i="2"/>
  <c r="AD24" i="2"/>
  <c r="N24" i="2" s="1"/>
  <c r="CV35" i="2"/>
  <c r="AH78" i="2"/>
  <c r="AQ29" i="2"/>
  <c r="BG66" i="2"/>
  <c r="AJ15" i="2"/>
  <c r="AL51" i="2"/>
  <c r="BN15" i="2"/>
  <c r="CU54" i="2"/>
  <c r="AU37" i="2"/>
  <c r="BH19" i="2"/>
  <c r="AU11" i="2"/>
  <c r="CY55" i="2"/>
  <c r="CV20" i="2"/>
  <c r="CR17" i="2"/>
  <c r="AO28" i="2"/>
  <c r="DC79" i="2"/>
  <c r="CZ27" i="2"/>
  <c r="AN29" i="2"/>
  <c r="AD52" i="2"/>
  <c r="BP20" i="2"/>
  <c r="AP29" i="2"/>
  <c r="AW42" i="2"/>
  <c r="CU66" i="2"/>
  <c r="AF46" i="2"/>
  <c r="AL35" i="2"/>
  <c r="AV77" i="2"/>
  <c r="AH76" i="2"/>
  <c r="AP81" i="2"/>
  <c r="CO75" i="2"/>
  <c r="AS44" i="2"/>
  <c r="BF13" i="2"/>
  <c r="AY70" i="2"/>
  <c r="AV14" i="2"/>
  <c r="AW72" i="2"/>
  <c r="DC34" i="2"/>
  <c r="BD52" i="2"/>
  <c r="CV68" i="2"/>
  <c r="AH21" i="2"/>
  <c r="R21" i="2" s="1"/>
  <c r="CR77" i="2"/>
  <c r="CX68" i="2"/>
  <c r="CR66" i="2"/>
  <c r="AO46" i="2"/>
  <c r="CU70" i="2"/>
  <c r="CR65" i="2"/>
  <c r="AM15" i="2"/>
  <c r="AI72" i="2"/>
  <c r="CY63" i="2"/>
  <c r="CS54" i="2"/>
  <c r="BA17" i="2"/>
  <c r="AO26" i="2"/>
  <c r="Y26" i="2" s="1"/>
  <c r="AU78" i="2"/>
  <c r="AD72" i="2"/>
  <c r="AE37" i="2"/>
  <c r="AT82" i="2"/>
  <c r="CZ64" i="2"/>
  <c r="AU47" i="2"/>
  <c r="AM52" i="2"/>
  <c r="DC38" i="2"/>
  <c r="CO9" i="2"/>
  <c r="AF12" i="2"/>
  <c r="DA83" i="2"/>
  <c r="BH54" i="2"/>
  <c r="CY11" i="2"/>
  <c r="BF64" i="2"/>
  <c r="CT65" i="2"/>
  <c r="BR44" i="2"/>
  <c r="AL64" i="2"/>
  <c r="AK9" i="2"/>
  <c r="AO35" i="2"/>
  <c r="DD64" i="2"/>
  <c r="CU37" i="2"/>
  <c r="BE79" i="2"/>
  <c r="BF29" i="2"/>
  <c r="AI14" i="2"/>
  <c r="BD23" i="2"/>
  <c r="CU63" i="2"/>
  <c r="BN78" i="2"/>
  <c r="AM43" i="2"/>
  <c r="CQ70" i="2"/>
  <c r="AK11" i="2"/>
  <c r="DB55" i="2"/>
  <c r="CQ34" i="2"/>
  <c r="AL28" i="2"/>
  <c r="AX77" i="2"/>
  <c r="AC50" i="2"/>
  <c r="BF47" i="2"/>
  <c r="CT53" i="2"/>
  <c r="AX51" i="2"/>
  <c r="BL37" i="2"/>
  <c r="CX14" i="2"/>
  <c r="AM80" i="2"/>
  <c r="CO11" i="2"/>
  <c r="AR26" i="2"/>
  <c r="AB26" i="2" s="1"/>
  <c r="AJ24" i="2"/>
  <c r="T24" i="2" s="1"/>
  <c r="AM82" i="2"/>
  <c r="AD10" i="2"/>
  <c r="CY41" i="2"/>
  <c r="AQ80" i="2"/>
  <c r="AI45" i="2"/>
  <c r="AS50" i="2"/>
  <c r="AR31" i="2"/>
  <c r="AL63" i="2"/>
  <c r="BW74" i="2"/>
  <c r="DC69" i="2"/>
  <c r="AS52" i="2"/>
  <c r="AZ48" i="2"/>
  <c r="BB48" i="2"/>
  <c r="DC73" i="2"/>
  <c r="CW70" i="2"/>
  <c r="CO27" i="2"/>
  <c r="AF10" i="2"/>
  <c r="AR25" i="2"/>
  <c r="CR36" i="2"/>
  <c r="AL48" i="2"/>
  <c r="AM70" i="2"/>
  <c r="BL25" i="2"/>
  <c r="AP35" i="2"/>
  <c r="AY82" i="2"/>
  <c r="CV71" i="2"/>
  <c r="AD63" i="2"/>
  <c r="AP55" i="2"/>
  <c r="BV43" i="2"/>
  <c r="AE71" i="2"/>
  <c r="AL78" i="2"/>
  <c r="AR44" i="2"/>
  <c r="AT74" i="2"/>
  <c r="AW28" i="2"/>
  <c r="AY53" i="2"/>
  <c r="BF42" i="2"/>
  <c r="BV14" i="2"/>
  <c r="BX45" i="2"/>
  <c r="CY69" i="2"/>
  <c r="AZ37" i="2"/>
  <c r="BN23" i="2"/>
  <c r="AE53" i="2"/>
  <c r="AL24" i="2"/>
  <c r="V24" i="2" s="1"/>
  <c r="CY54" i="2"/>
  <c r="CX36" i="2"/>
  <c r="BO60" i="2"/>
  <c r="S60" i="2" s="1"/>
  <c r="BD20" i="2"/>
  <c r="AG27" i="2"/>
  <c r="AY55" i="2"/>
  <c r="DC72" i="2"/>
  <c r="BB14" i="2"/>
  <c r="AD9" i="2"/>
  <c r="AJ19" i="2"/>
  <c r="AI17" i="2"/>
  <c r="CS73" i="2"/>
  <c r="CP52" i="2"/>
  <c r="AK49" i="2"/>
  <c r="AY64" i="2"/>
  <c r="AP27" i="2"/>
  <c r="BE77" i="2"/>
  <c r="CZ77" i="2"/>
  <c r="AR79" i="2"/>
  <c r="BK73" i="2"/>
  <c r="CX18" i="2"/>
  <c r="BA77" i="2"/>
  <c r="CU34" i="2"/>
  <c r="DB16" i="2"/>
  <c r="AD38" i="2"/>
  <c r="BA29" i="2"/>
  <c r="AD18" i="2"/>
  <c r="CX72" i="2"/>
  <c r="BF11" i="2"/>
  <c r="AC65" i="2"/>
  <c r="BH65" i="2"/>
  <c r="AH9" i="2"/>
  <c r="AG67" i="2"/>
  <c r="BL13" i="2"/>
  <c r="CV52" i="2"/>
  <c r="BX32" i="2"/>
  <c r="AZ55" i="2"/>
  <c r="BM79" i="2"/>
  <c r="CQ83" i="2"/>
  <c r="DA38" i="2"/>
  <c r="CP18" i="2"/>
  <c r="AE21" i="2"/>
  <c r="O21" i="2" s="1"/>
  <c r="AJ68" i="2"/>
  <c r="CX41" i="2"/>
  <c r="AG66" i="2"/>
  <c r="AC70" i="2"/>
  <c r="BV73" i="2"/>
  <c r="AP46" i="2"/>
  <c r="AY67" i="2"/>
  <c r="CV64" i="2"/>
  <c r="AM67" i="2"/>
  <c r="AC21" i="2"/>
  <c r="M21" i="2" s="1"/>
  <c r="BP33" i="2"/>
  <c r="AK77" i="2"/>
  <c r="AX9" i="2"/>
  <c r="AI81" i="2"/>
  <c r="BH70" i="2"/>
  <c r="BC30" i="2"/>
  <c r="BC48" i="2"/>
  <c r="CA20" i="2"/>
  <c r="BW33" i="2"/>
  <c r="AE27" i="2"/>
  <c r="AD69" i="2"/>
  <c r="DA23" i="2"/>
  <c r="BN72" i="2"/>
  <c r="CT39" i="2"/>
  <c r="AD29" i="2"/>
  <c r="CR38" i="2"/>
  <c r="CT83" i="2"/>
  <c r="BJ34" i="2"/>
  <c r="CV41" i="2"/>
  <c r="AI73" i="2"/>
  <c r="CZ39" i="2"/>
  <c r="AI70" i="2"/>
  <c r="AJ28" i="2"/>
  <c r="CW71" i="2"/>
  <c r="CR83" i="2"/>
  <c r="AH53" i="2"/>
  <c r="AM47" i="2"/>
  <c r="CP78" i="2"/>
  <c r="AJ13" i="2"/>
  <c r="CZ10" i="2"/>
  <c r="AM44" i="2"/>
  <c r="BE17" i="2"/>
  <c r="CQ66" i="2"/>
  <c r="CA28" i="2"/>
  <c r="AD48" i="2"/>
  <c r="CU52" i="2"/>
  <c r="DC18" i="2"/>
  <c r="AH12" i="2"/>
  <c r="AR12" i="2"/>
  <c r="BQ75" i="2"/>
  <c r="CS35" i="2"/>
  <c r="AR21" i="2"/>
  <c r="AB21" i="2" s="1"/>
  <c r="AM76" i="2"/>
  <c r="AF48" i="2"/>
  <c r="CW18" i="2"/>
  <c r="AQ16" i="2"/>
  <c r="DA77" i="2"/>
  <c r="AG20" i="2"/>
  <c r="AO16" i="2"/>
  <c r="BM71" i="2"/>
  <c r="AI10" i="2"/>
  <c r="BE25" i="2"/>
  <c r="AD28" i="2"/>
  <c r="CO73" i="2"/>
  <c r="AJ64" i="2"/>
  <c r="CT64" i="2"/>
  <c r="DA20" i="2"/>
  <c r="AQ17" i="2"/>
  <c r="AF13" i="2"/>
  <c r="BJ14" i="2"/>
  <c r="CV67" i="2"/>
  <c r="BI67" i="2"/>
  <c r="CZ83" i="2"/>
  <c r="CU16" i="2"/>
  <c r="CU23" i="2"/>
  <c r="BD43" i="2"/>
  <c r="BE19" i="2"/>
  <c r="CT75" i="2"/>
  <c r="CY29" i="2"/>
  <c r="AL26" i="2"/>
  <c r="V26" i="2" s="1"/>
  <c r="AT50" i="2"/>
  <c r="AC48" i="2"/>
  <c r="AW50" i="2"/>
  <c r="CV65" i="2"/>
  <c r="AS79" i="2"/>
  <c r="AC71" i="2"/>
  <c r="AH29" i="2"/>
  <c r="BE9" i="2"/>
  <c r="CT73" i="2"/>
  <c r="DA70" i="2"/>
  <c r="AK18" i="2"/>
  <c r="AT76" i="2"/>
  <c r="AP37" i="2"/>
  <c r="BF72" i="2"/>
  <c r="CX75" i="2"/>
  <c r="BF25" i="2"/>
  <c r="BW43" i="2"/>
  <c r="DB37" i="2"/>
  <c r="CU14" i="2"/>
  <c r="CR54" i="2"/>
  <c r="CZ9" i="2"/>
  <c r="AE70" i="2"/>
  <c r="BE49" i="2"/>
  <c r="AC49" i="2"/>
  <c r="DA55" i="2"/>
  <c r="AY35" i="2"/>
  <c r="AN48" i="2"/>
  <c r="AZ74" i="2"/>
  <c r="AD35" i="2"/>
  <c r="AQ68" i="2"/>
  <c r="BT81" i="2"/>
  <c r="CZ72" i="2"/>
  <c r="BM16" i="2"/>
  <c r="BP12" i="2"/>
  <c r="CY25" i="2"/>
  <c r="AR36" i="2"/>
  <c r="CQ29" i="2"/>
  <c r="CS11" i="2"/>
  <c r="AJ14" i="2"/>
  <c r="AO29" i="2"/>
  <c r="CO64" i="2"/>
  <c r="AT13" i="2"/>
  <c r="AG71" i="2"/>
  <c r="BU38" i="2"/>
  <c r="AH64" i="2"/>
  <c r="BG76" i="2"/>
  <c r="CP69" i="2"/>
  <c r="AE79" i="2"/>
  <c r="AC36" i="2"/>
  <c r="BM20" i="2"/>
  <c r="AG76" i="2"/>
  <c r="AX32" i="2"/>
  <c r="AC13" i="2"/>
  <c r="BV28" i="2"/>
  <c r="AW33" i="2"/>
  <c r="CY72" i="2"/>
  <c r="BZ75" i="2"/>
  <c r="CJ68" i="2"/>
  <c r="DD71" i="2"/>
  <c r="BM27" i="2"/>
  <c r="AD16" i="2"/>
  <c r="DD53" i="2"/>
  <c r="BD74" i="2"/>
  <c r="AG53" i="2"/>
  <c r="CL70" i="2"/>
  <c r="AM75" i="2"/>
  <c r="CR72" i="2"/>
  <c r="AM78" i="2"/>
  <c r="AE67" i="2"/>
  <c r="AP31" i="2"/>
  <c r="AG12" i="2"/>
  <c r="AK64" i="2"/>
  <c r="AG37" i="2"/>
  <c r="CS15" i="2"/>
  <c r="BV37" i="2"/>
  <c r="CQ68" i="2"/>
  <c r="AW16" i="2"/>
  <c r="AC12" i="2"/>
  <c r="DD23" i="2"/>
  <c r="AR49" i="2"/>
  <c r="AH14" i="2"/>
  <c r="CB45" i="2"/>
  <c r="CO83" i="2"/>
  <c r="BQ68" i="2"/>
  <c r="AM16" i="2"/>
  <c r="DB14" i="2"/>
  <c r="DA10" i="2"/>
  <c r="CW17" i="2"/>
  <c r="CE81" i="2"/>
  <c r="CQ72" i="2"/>
  <c r="CS68" i="2"/>
  <c r="AL47" i="2"/>
  <c r="BB46" i="2"/>
  <c r="AE18" i="2"/>
  <c r="BF43" i="2"/>
  <c r="CT52" i="2"/>
  <c r="BW32" i="2"/>
  <c r="BR63" i="2"/>
  <c r="BD46" i="2"/>
  <c r="DA72" i="2"/>
  <c r="CV79" i="2"/>
  <c r="DA66" i="2"/>
  <c r="AK37" i="2"/>
  <c r="BH71" i="2"/>
  <c r="AQ48" i="2"/>
  <c r="BV48" i="2"/>
  <c r="AM31" i="2"/>
  <c r="AU73" i="2"/>
  <c r="CH33" i="2"/>
  <c r="CW41" i="2"/>
  <c r="CO23" i="2"/>
  <c r="CU75" i="2"/>
  <c r="CZ11" i="2"/>
  <c r="BD17" i="2"/>
  <c r="BL46" i="2"/>
  <c r="AH27" i="2"/>
  <c r="CQ52" i="2"/>
  <c r="BB35" i="2"/>
  <c r="AC79" i="2"/>
  <c r="BL73" i="2"/>
  <c r="AK63" i="2"/>
  <c r="AO80" i="2"/>
  <c r="BQ65" i="2"/>
  <c r="CT54" i="2"/>
  <c r="CB25" i="2"/>
  <c r="BW12" i="2"/>
  <c r="CY16" i="2"/>
  <c r="AG45" i="2"/>
  <c r="CP53" i="2"/>
  <c r="DD17" i="2"/>
  <c r="AP66" i="2"/>
  <c r="AJ21" i="2"/>
  <c r="T21" i="2" s="1"/>
  <c r="DC54" i="2"/>
  <c r="BB38" i="2"/>
  <c r="AD82" i="2"/>
  <c r="BM83" i="2"/>
  <c r="AF27" i="2"/>
  <c r="BF68" i="2"/>
  <c r="CT78" i="2"/>
  <c r="BC63" i="2"/>
  <c r="AI27" i="2"/>
  <c r="BU42" i="2"/>
  <c r="AW23" i="2"/>
  <c r="BD33" i="2"/>
  <c r="AJ27" i="2"/>
  <c r="BL59" i="2"/>
  <c r="P59" i="2" s="1"/>
  <c r="AV41" i="2"/>
  <c r="AO27" i="2"/>
  <c r="AV33" i="2"/>
  <c r="BC47" i="2"/>
  <c r="DA41" i="2"/>
  <c r="BE10" i="2"/>
  <c r="AH19" i="2"/>
  <c r="AO21" i="2"/>
  <c r="Y21" i="2" s="1"/>
  <c r="AJ46" i="2"/>
  <c r="BJ38" i="2"/>
  <c r="AC15" i="2"/>
  <c r="CX34" i="2"/>
  <c r="DD68" i="2"/>
  <c r="DB38" i="2"/>
  <c r="DB71" i="2"/>
  <c r="CQ78" i="2"/>
  <c r="CO69" i="2"/>
  <c r="AC18" i="2"/>
  <c r="AV42" i="2"/>
  <c r="AP26" i="2"/>
  <c r="Z26" i="2" s="1"/>
  <c r="BE73" i="2"/>
  <c r="CO70" i="2"/>
  <c r="BD35" i="2"/>
  <c r="CO41" i="2"/>
  <c r="DB36" i="2"/>
  <c r="CQ73" i="2"/>
  <c r="AM38" i="2"/>
  <c r="CV73" i="2"/>
  <c r="AM48" i="2"/>
  <c r="BX39" i="2"/>
  <c r="AF68" i="2"/>
  <c r="BV17" i="2"/>
  <c r="AP52" i="2"/>
  <c r="BP13" i="2"/>
  <c r="AW31" i="2"/>
  <c r="DD18" i="2"/>
  <c r="CW65" i="2"/>
  <c r="CQ37" i="2"/>
  <c r="CR16" i="2"/>
  <c r="BL19" i="2"/>
  <c r="BL74" i="2"/>
  <c r="AN24" i="2"/>
  <c r="X24" i="2" s="1"/>
  <c r="CY64" i="2"/>
  <c r="AT35" i="2"/>
  <c r="AJ66" i="2"/>
  <c r="BS65" i="2"/>
  <c r="AI12" i="2"/>
  <c r="AL72" i="2"/>
  <c r="BJ58" i="2"/>
  <c r="N58" i="2" s="1"/>
  <c r="CX67" i="2"/>
  <c r="BO14" i="2"/>
  <c r="BP69" i="2"/>
  <c r="DD55" i="2"/>
  <c r="AI46" i="2"/>
  <c r="CZ67" i="2"/>
  <c r="CO63" i="2"/>
  <c r="AD31" i="2"/>
  <c r="AJ43" i="2"/>
  <c r="DD63" i="2"/>
  <c r="BG14" i="2"/>
  <c r="AF73" i="2"/>
  <c r="AH10" i="2"/>
  <c r="AQ46" i="2"/>
  <c r="BR62" i="2"/>
  <c r="V62" i="2" s="1"/>
  <c r="CZ68" i="2"/>
  <c r="AY68" i="2"/>
  <c r="AN31" i="2"/>
  <c r="CM15" i="2"/>
  <c r="BC14" i="2"/>
  <c r="BG67" i="2"/>
  <c r="AF54" i="2"/>
  <c r="CE45" i="2"/>
  <c r="AU44" i="2"/>
  <c r="AJ20" i="2"/>
  <c r="AZ44" i="2"/>
  <c r="AX76" i="2"/>
  <c r="CS65" i="2"/>
  <c r="AK26" i="2"/>
  <c r="U26" i="2" s="1"/>
  <c r="AV81" i="2"/>
  <c r="AP36" i="2"/>
  <c r="BF70" i="2"/>
  <c r="CZ75" i="2"/>
  <c r="CU20" i="2"/>
  <c r="DD14" i="2"/>
  <c r="CS16" i="2"/>
  <c r="CQ79" i="2"/>
  <c r="AJ30" i="2"/>
  <c r="CZ73" i="2"/>
  <c r="AN67" i="2"/>
  <c r="BN77" i="2"/>
  <c r="AF25" i="2"/>
  <c r="BS77" i="2"/>
  <c r="AJ31" i="2"/>
  <c r="BY25" i="2"/>
  <c r="BE48" i="2"/>
  <c r="CZ25" i="2"/>
  <c r="CY39" i="2"/>
  <c r="CX65" i="2"/>
  <c r="CR23" i="2"/>
  <c r="CW75" i="2"/>
  <c r="BZ37" i="2"/>
  <c r="AN54" i="2"/>
  <c r="DB69" i="2"/>
  <c r="BF49" i="2"/>
  <c r="AI69" i="2"/>
  <c r="BL82" i="2"/>
  <c r="AG31" i="2"/>
  <c r="AM79" i="2"/>
  <c r="BL81" i="2"/>
  <c r="CY70" i="2"/>
  <c r="BO34" i="2"/>
  <c r="CD15" i="2"/>
  <c r="DB72" i="2"/>
  <c r="DB20" i="2"/>
  <c r="CS64" i="2"/>
  <c r="CX37" i="2"/>
  <c r="AF63" i="2"/>
  <c r="AO14" i="2"/>
  <c r="DD69" i="2"/>
  <c r="BO71" i="2"/>
  <c r="AR80" i="2"/>
  <c r="AF18" i="2"/>
  <c r="AQ71" i="2"/>
  <c r="BX42" i="2"/>
  <c r="CW73" i="2"/>
  <c r="AI67" i="2"/>
  <c r="AQ38" i="2"/>
  <c r="CK54" i="2"/>
  <c r="AW20" i="2"/>
  <c r="AZ52" i="2"/>
  <c r="AM45" i="2"/>
  <c r="BQ81" i="2"/>
  <c r="AU65" i="2"/>
  <c r="AJ29" i="2"/>
  <c r="BP61" i="2"/>
  <c r="T61" i="2" s="1"/>
  <c r="BO62" i="2"/>
  <c r="S62" i="2" s="1"/>
  <c r="CY53" i="2"/>
  <c r="BZ79" i="2"/>
  <c r="BB20" i="2"/>
  <c r="AO36" i="2"/>
  <c r="AL65" i="2"/>
  <c r="BW68" i="2"/>
  <c r="AH81" i="2"/>
  <c r="AF74" i="2"/>
  <c r="AQ72" i="2"/>
  <c r="BN50" i="2"/>
  <c r="AS10" i="2"/>
  <c r="BA63" i="2"/>
  <c r="AL37" i="2"/>
  <c r="BR25" i="2"/>
  <c r="BL48" i="2"/>
  <c r="AL11" i="2"/>
  <c r="CD10" i="2"/>
  <c r="BO70" i="2"/>
  <c r="AI80" i="2"/>
  <c r="BP34" i="2"/>
  <c r="AX11" i="2"/>
  <c r="BV59" i="2"/>
  <c r="Z59" i="2" s="1"/>
  <c r="AX48" i="2"/>
  <c r="CJ25" i="2"/>
  <c r="BE64" i="2"/>
  <c r="CM17" i="2"/>
  <c r="BP76" i="2"/>
  <c r="BQ38" i="2"/>
  <c r="CE53" i="2"/>
  <c r="BR64" i="2"/>
  <c r="CB51" i="2"/>
  <c r="BF16" i="2"/>
  <c r="BS80" i="2"/>
  <c r="BO27" i="2"/>
  <c r="AN76" i="2"/>
  <c r="BC19" i="2"/>
  <c r="AX66" i="2"/>
  <c r="CB27" i="2"/>
  <c r="BG35" i="2"/>
  <c r="BR56" i="2"/>
  <c r="V56" i="2" s="1"/>
  <c r="BD37" i="2"/>
  <c r="AM12" i="2"/>
  <c r="AK48" i="2"/>
  <c r="AP67" i="2"/>
  <c r="BG49" i="2"/>
  <c r="BN34" i="2"/>
  <c r="CD47" i="2"/>
  <c r="AK72" i="2"/>
  <c r="BG32" i="2"/>
  <c r="BU18" i="2"/>
  <c r="BH27" i="2"/>
  <c r="BN79" i="2"/>
  <c r="AX38" i="2"/>
  <c r="AO48" i="2"/>
  <c r="AC28" i="2"/>
  <c r="AX10" i="2"/>
  <c r="BO69" i="2"/>
  <c r="BO37" i="2"/>
  <c r="AI76" i="2"/>
  <c r="BG20" i="2"/>
  <c r="BZ33" i="2"/>
  <c r="AT44" i="2"/>
  <c r="CL42" i="2"/>
  <c r="AX45" i="2"/>
  <c r="BK62" i="2"/>
  <c r="O62" i="2" s="1"/>
  <c r="BW79" i="2"/>
  <c r="BS61" i="2"/>
  <c r="W61" i="2" s="1"/>
  <c r="CD38" i="2"/>
  <c r="AT19" i="2"/>
  <c r="AT83" i="2"/>
  <c r="BW45" i="2"/>
  <c r="BC51" i="2"/>
  <c r="BJ69" i="2"/>
  <c r="BJ15" i="2"/>
  <c r="AF69" i="2"/>
  <c r="BV16" i="2"/>
  <c r="BH18" i="2"/>
  <c r="BX80" i="2"/>
  <c r="AW82" i="2"/>
  <c r="BZ81" i="2"/>
  <c r="AS41" i="2"/>
  <c r="CG13" i="2"/>
  <c r="BN69" i="2"/>
  <c r="BI44" i="2"/>
  <c r="CN81" i="2"/>
  <c r="BL57" i="2"/>
  <c r="P57" i="2" s="1"/>
  <c r="BC41" i="2"/>
  <c r="BE15" i="2"/>
  <c r="AU76" i="2"/>
  <c r="DB25" i="2"/>
  <c r="DD72" i="2"/>
  <c r="AT40" i="2"/>
  <c r="AT14" i="2"/>
  <c r="BN59" i="2"/>
  <c r="R59" i="2" s="1"/>
  <c r="AY80" i="2"/>
  <c r="AD73" i="2"/>
  <c r="DD65" i="2"/>
  <c r="CT15" i="2"/>
  <c r="CY38" i="2"/>
  <c r="CS53" i="2"/>
  <c r="CV37" i="2"/>
  <c r="AE66" i="2"/>
  <c r="AV45" i="2"/>
  <c r="AK10" i="2"/>
  <c r="BX23" i="2"/>
  <c r="DB65" i="2"/>
  <c r="AH54" i="2"/>
  <c r="AK29" i="2"/>
  <c r="AD74" i="2"/>
  <c r="AU63" i="2"/>
  <c r="AF66" i="2"/>
  <c r="AP20" i="2"/>
  <c r="AK74" i="2"/>
  <c r="AU45" i="2"/>
  <c r="CT13" i="2"/>
  <c r="CV53" i="2"/>
  <c r="AM55" i="2"/>
  <c r="CG41" i="2"/>
  <c r="BH31" i="2"/>
  <c r="AL13" i="2"/>
  <c r="AI47" i="2"/>
  <c r="BF28" i="2"/>
  <c r="BR71" i="2"/>
  <c r="BO31" i="2"/>
  <c r="AP49" i="2"/>
  <c r="BC29" i="2"/>
  <c r="AU75" i="2"/>
  <c r="CE47" i="2"/>
  <c r="BG27" i="2"/>
  <c r="BL80" i="2"/>
  <c r="AW49" i="2"/>
  <c r="AO23" i="2"/>
  <c r="AK66" i="2"/>
  <c r="AJ63" i="2"/>
  <c r="BB50" i="2"/>
  <c r="BR60" i="2"/>
  <c r="V60" i="2" s="1"/>
  <c r="CE29" i="2"/>
  <c r="AG78" i="2"/>
  <c r="BE43" i="2"/>
  <c r="BU30" i="2"/>
  <c r="AT38" i="2"/>
  <c r="BT63" i="2"/>
  <c r="AV52" i="2"/>
  <c r="AC10" i="2"/>
  <c r="AC34" i="2"/>
  <c r="AZ14" i="2"/>
  <c r="BT57" i="2"/>
  <c r="X57" i="2" s="1"/>
  <c r="BW44" i="2"/>
  <c r="AK73" i="2"/>
  <c r="AV47" i="2"/>
  <c r="CB15" i="2"/>
  <c r="AU40" i="2"/>
  <c r="CI13" i="2"/>
  <c r="AX49" i="2"/>
  <c r="BV23" i="2"/>
  <c r="BY29" i="2"/>
  <c r="BX10" i="2"/>
  <c r="BZ73" i="2"/>
  <c r="BB40" i="2"/>
  <c r="AZ67" i="2"/>
  <c r="CI32" i="2"/>
  <c r="BE67" i="2"/>
  <c r="BJ13" i="2"/>
  <c r="BV83" i="2"/>
  <c r="AK79" i="2"/>
  <c r="BK70" i="2"/>
  <c r="BH25" i="2"/>
  <c r="BW31" i="2"/>
  <c r="AT63" i="2"/>
  <c r="BI60" i="2"/>
  <c r="M60" i="2" s="1"/>
  <c r="AW54" i="2"/>
  <c r="CG28" i="2"/>
  <c r="BR13" i="2"/>
  <c r="BX62" i="2"/>
  <c r="AB62" i="2" s="1"/>
  <c r="BH46" i="2"/>
  <c r="BS25" i="2"/>
  <c r="BD76" i="2"/>
  <c r="AH52" i="2"/>
  <c r="BE34" i="2"/>
  <c r="BP10" i="2"/>
  <c r="CE77" i="2"/>
  <c r="BE35" i="2"/>
  <c r="BW14" i="2"/>
  <c r="BC44" i="2"/>
  <c r="AD44" i="2"/>
  <c r="AG18" i="2"/>
  <c r="AN79" i="2"/>
  <c r="AZ49" i="2"/>
  <c r="BL58" i="2"/>
  <c r="P58" i="2" s="1"/>
  <c r="CB72" i="2"/>
  <c r="AG83" i="2"/>
  <c r="BF39" i="2"/>
  <c r="BU39" i="2"/>
  <c r="AU9" i="2"/>
  <c r="BL70" i="2"/>
  <c r="BD39" i="2"/>
  <c r="AC14" i="2"/>
  <c r="AC38" i="2"/>
  <c r="AZ25" i="2"/>
  <c r="BJ42" i="2"/>
  <c r="BW56" i="2"/>
  <c r="AA56" i="2" s="1"/>
  <c r="AK83" i="2"/>
  <c r="AU48" i="2"/>
  <c r="CJ70" i="2"/>
  <c r="BA41" i="2"/>
  <c r="CJ46" i="2"/>
  <c r="BA74" i="2"/>
  <c r="BX38" i="2"/>
  <c r="CE79" i="2"/>
  <c r="BQ58" i="2"/>
  <c r="U58" i="2" s="1"/>
  <c r="CB13" i="2"/>
  <c r="BH16" i="2"/>
  <c r="AZ71" i="2"/>
  <c r="CC32" i="2"/>
  <c r="AX42" i="2"/>
  <c r="BI72" i="2"/>
  <c r="BI13" i="2"/>
  <c r="AQ75" i="2"/>
  <c r="BX34" i="2"/>
  <c r="BH30" i="2"/>
  <c r="BW35" i="2"/>
  <c r="BC77" i="2"/>
  <c r="BW70" i="2"/>
  <c r="BB75" i="2"/>
  <c r="BZ34" i="2"/>
  <c r="BO46" i="2"/>
  <c r="CA53" i="2"/>
  <c r="AS82" i="2"/>
  <c r="BK32" i="2"/>
  <c r="BB77" i="2"/>
  <c r="BQ16" i="2"/>
  <c r="BI17" i="2"/>
  <c r="AE80" i="2"/>
  <c r="BQ60" i="2"/>
  <c r="U60" i="2" s="1"/>
  <c r="AS35" i="2"/>
  <c r="BW41" i="2"/>
  <c r="BC82" i="2"/>
  <c r="BI14" i="2"/>
  <c r="BD55" i="2"/>
  <c r="CI38" i="2"/>
  <c r="CL10" i="2"/>
  <c r="BY35" i="2"/>
  <c r="BA46" i="2"/>
  <c r="BS34" i="2"/>
  <c r="BV20" i="2"/>
  <c r="BM32" i="2"/>
  <c r="BR79" i="2"/>
  <c r="AG74" i="2"/>
  <c r="BG82" i="2"/>
  <c r="AI65" i="2"/>
  <c r="BD79" i="2"/>
  <c r="AY18" i="2"/>
  <c r="AS68" i="2"/>
  <c r="BQ72" i="2"/>
  <c r="BB79" i="2"/>
  <c r="BR70" i="2"/>
  <c r="CE43" i="2"/>
  <c r="BH28" i="2"/>
  <c r="BP30" i="2"/>
  <c r="CD29" i="2"/>
  <c r="BG73" i="2"/>
  <c r="BQ28" i="2"/>
  <c r="BI23" i="2"/>
  <c r="BD9" i="2"/>
  <c r="BW64" i="2"/>
  <c r="AT18" i="2"/>
  <c r="BW49" i="2"/>
  <c r="BT39" i="2"/>
  <c r="BI16" i="2"/>
  <c r="BT31" i="2"/>
  <c r="CC34" i="2"/>
  <c r="CG36" i="2"/>
  <c r="CN34" i="2"/>
  <c r="AW64" i="2"/>
  <c r="BK37" i="2"/>
  <c r="BT50" i="2"/>
  <c r="AN72" i="2"/>
  <c r="BP59" i="2"/>
  <c r="T59" i="2" s="1"/>
  <c r="BA70" i="2"/>
  <c r="CW11" i="2"/>
  <c r="BY30" i="2"/>
  <c r="DA17" i="2"/>
  <c r="AI50" i="2"/>
  <c r="CP17" i="2"/>
  <c r="AH35" i="2"/>
  <c r="AG47" i="2"/>
  <c r="CQ64" i="2"/>
  <c r="AI48" i="2"/>
  <c r="CP39" i="2"/>
  <c r="AF9" i="2"/>
  <c r="AU74" i="2"/>
  <c r="AQ36" i="2"/>
  <c r="BG13" i="2"/>
  <c r="BJ63" i="2"/>
  <c r="AJ17" i="2"/>
  <c r="AF26" i="2"/>
  <c r="P26" i="2" s="1"/>
  <c r="AY39" i="2"/>
  <c r="BT32" i="2"/>
  <c r="CS31" i="2"/>
  <c r="AM37" i="2"/>
  <c r="AZ76" i="2"/>
  <c r="BC65" i="2"/>
  <c r="AY20" i="2"/>
  <c r="CE39" i="2"/>
  <c r="CO37" i="2"/>
  <c r="AF64" i="2"/>
  <c r="CX10" i="2"/>
  <c r="DB53" i="2"/>
  <c r="CR10" i="2"/>
  <c r="CO79" i="2"/>
  <c r="AE43" i="2"/>
  <c r="BM23" i="2"/>
  <c r="AC76" i="2"/>
  <c r="CV17" i="2"/>
  <c r="CU83" i="2"/>
  <c r="AO79" i="2"/>
  <c r="AM50" i="2"/>
  <c r="AV13" i="2"/>
  <c r="AZ78" i="2"/>
  <c r="AE35" i="2"/>
  <c r="AP39" i="2"/>
  <c r="AM73" i="2"/>
  <c r="BF53" i="2"/>
  <c r="CQ20" i="2"/>
  <c r="CT63" i="2"/>
  <c r="AD81" i="2"/>
  <c r="AG75" i="2"/>
  <c r="AZ70" i="2"/>
  <c r="AL46" i="2"/>
  <c r="AQ65" i="2"/>
  <c r="AT46" i="2"/>
  <c r="CF70" i="2"/>
  <c r="BP63" i="2"/>
  <c r="AO55" i="2"/>
  <c r="BA13" i="2"/>
  <c r="BV29" i="2"/>
  <c r="AO67" i="2"/>
  <c r="AY69" i="2"/>
  <c r="BW47" i="2"/>
  <c r="BG75" i="2"/>
  <c r="AC17" i="2"/>
  <c r="AC31" i="2"/>
  <c r="AN70" i="2"/>
  <c r="BH55" i="2"/>
  <c r="BR42" i="2"/>
  <c r="CF55" i="2"/>
  <c r="AE82" i="2"/>
  <c r="AX79" i="2"/>
  <c r="CA13" i="2"/>
  <c r="BG38" i="2"/>
  <c r="BS83" i="2"/>
  <c r="AX43" i="2"/>
  <c r="AJ39" i="2"/>
  <c r="AI20" i="2"/>
  <c r="BF20" i="2"/>
  <c r="BM67" i="2"/>
  <c r="CI28" i="2"/>
  <c r="AH73" i="2"/>
  <c r="AX55" i="2"/>
  <c r="AR53" i="2"/>
  <c r="AY65" i="2"/>
  <c r="AZ35" i="2"/>
  <c r="BA72" i="2"/>
  <c r="BN20" i="2"/>
  <c r="BG28" i="2"/>
  <c r="BN41" i="2"/>
  <c r="CJ80" i="2"/>
  <c r="BH32" i="2"/>
  <c r="BT33" i="2"/>
  <c r="CG35" i="2"/>
  <c r="AW76" i="2"/>
  <c r="BM68" i="2"/>
  <c r="BI29" i="2"/>
  <c r="BC20" i="2"/>
  <c r="BU9" i="2"/>
  <c r="BD14" i="2"/>
  <c r="BP65" i="2"/>
  <c r="BL32" i="2"/>
  <c r="BI18" i="2"/>
  <c r="BP46" i="2"/>
  <c r="CF77" i="2"/>
  <c r="CG80" i="2"/>
  <c r="BS79" i="2"/>
  <c r="BX28" i="2"/>
  <c r="CL13" i="2"/>
  <c r="BI82" i="2"/>
  <c r="CJ45" i="2"/>
  <c r="BG15" i="2"/>
  <c r="BW16" i="2"/>
  <c r="AY79" i="2"/>
  <c r="AE65" i="2"/>
  <c r="AI29" i="2"/>
  <c r="BF32" i="2"/>
  <c r="CM28" i="2"/>
  <c r="CH72" i="2"/>
  <c r="AE83" i="2"/>
  <c r="AX70" i="2"/>
  <c r="AM71" i="2"/>
  <c r="AV75" i="2"/>
  <c r="BE44" i="2"/>
  <c r="BG79" i="2"/>
  <c r="BP37" i="2"/>
  <c r="AU34" i="2"/>
  <c r="BT20" i="2"/>
  <c r="CE71" i="2"/>
  <c r="BC11" i="2"/>
  <c r="BX11" i="2"/>
  <c r="CD83" i="2"/>
  <c r="AT55" i="2"/>
  <c r="BM76" i="2"/>
  <c r="BI37" i="2"/>
  <c r="BC28" i="2"/>
  <c r="BU33" i="2"/>
  <c r="AV29" i="2"/>
  <c r="CD23" i="2"/>
  <c r="BX14" i="2"/>
  <c r="BI20" i="2"/>
  <c r="BV36" i="2"/>
  <c r="BZ47" i="2"/>
  <c r="CI75" i="2"/>
  <c r="BL28" i="2"/>
  <c r="BP27" i="2"/>
  <c r="CL27" i="2"/>
  <c r="BK18" i="2"/>
  <c r="AJ9" i="2"/>
  <c r="AQ50" i="2"/>
  <c r="BH9" i="2"/>
  <c r="AU80" i="2"/>
  <c r="CT27" i="2"/>
  <c r="CW78" i="2"/>
  <c r="AY9" i="2"/>
  <c r="BE66" i="2"/>
  <c r="BT83" i="2"/>
  <c r="AO17" i="2"/>
  <c r="AM72" i="2"/>
  <c r="BB42" i="2"/>
  <c r="BL29" i="2"/>
  <c r="CL54" i="2"/>
  <c r="AE68" i="2"/>
  <c r="AS28" i="2"/>
  <c r="BV62" i="2"/>
  <c r="Z62" i="2" s="1"/>
  <c r="AF78" i="2"/>
  <c r="AS47" i="2"/>
  <c r="CH53" i="2"/>
  <c r="BB69" i="2"/>
  <c r="AJ37" i="2"/>
  <c r="AC44" i="2"/>
  <c r="AR83" i="2"/>
  <c r="BX9" i="2"/>
  <c r="BV71" i="2"/>
  <c r="CG69" i="2"/>
  <c r="AT9" i="2"/>
  <c r="BG74" i="2"/>
  <c r="CB10" i="2"/>
  <c r="BD30" i="2"/>
  <c r="BW28" i="2"/>
  <c r="BG83" i="2"/>
  <c r="AM28" i="2"/>
  <c r="AI36" i="2"/>
  <c r="BD48" i="2"/>
  <c r="CB14" i="2"/>
  <c r="CC9" i="2"/>
  <c r="BB15" i="2"/>
  <c r="AU83" i="2"/>
  <c r="AP73" i="2"/>
  <c r="AZ53" i="2"/>
  <c r="AX40" i="2"/>
  <c r="AW75" i="2"/>
  <c r="BV58" i="2"/>
  <c r="Z58" i="2" s="1"/>
  <c r="BH36" i="2"/>
  <c r="BN56" i="2"/>
  <c r="R56" i="2" s="1"/>
  <c r="AI64" i="2"/>
  <c r="AX27" i="2"/>
  <c r="BL36" i="2"/>
  <c r="BB18" i="2"/>
  <c r="AT66" i="2"/>
  <c r="CA18" i="2"/>
  <c r="CB40" i="2"/>
  <c r="BC32" i="2"/>
  <c r="BU37" i="2"/>
  <c r="BG43" i="2"/>
  <c r="CG43" i="2"/>
  <c r="BV49" i="2"/>
  <c r="BI25" i="2"/>
  <c r="BV30" i="2"/>
  <c r="BZ67" i="2"/>
  <c r="CB67" i="2"/>
  <c r="BV68" i="2"/>
  <c r="BW61" i="2"/>
  <c r="AA61" i="2" s="1"/>
  <c r="CH52" i="2"/>
  <c r="CE31" i="2"/>
  <c r="AX53" i="2"/>
  <c r="CN33" i="2"/>
  <c r="AW39" i="2"/>
  <c r="BW36" i="2"/>
  <c r="BB55" i="2"/>
  <c r="AP64" i="2"/>
  <c r="AN44" i="2"/>
  <c r="BD28" i="2"/>
  <c r="CC79" i="2"/>
  <c r="CC30" i="2"/>
  <c r="BB31" i="2"/>
  <c r="BP18" i="2"/>
  <c r="AO71" i="2"/>
  <c r="AZ68" i="2"/>
  <c r="BE68" i="2"/>
  <c r="AW79" i="2"/>
  <c r="BT74" i="2"/>
  <c r="BE47" i="2"/>
  <c r="BI78" i="2"/>
  <c r="AH68" i="2"/>
  <c r="AY45" i="2"/>
  <c r="BT17" i="2"/>
  <c r="BG39" i="2"/>
  <c r="BB68" i="2"/>
  <c r="CA50" i="2"/>
  <c r="CJ16" i="2"/>
  <c r="AY41" i="2"/>
  <c r="BU45" i="2"/>
  <c r="BA35" i="2"/>
  <c r="AY19" i="2"/>
  <c r="BP17" i="2"/>
  <c r="BM50" i="2"/>
  <c r="BX77" i="2"/>
  <c r="CJ9" i="2"/>
  <c r="CG83" i="2"/>
  <c r="BN14" i="2"/>
  <c r="BS62" i="2"/>
  <c r="W62" i="2" s="1"/>
  <c r="CG38" i="2"/>
  <c r="BI58" i="2"/>
  <c r="M58" i="2" s="1"/>
  <c r="CV23" i="2"/>
  <c r="CY17" i="2"/>
  <c r="CT10" i="2"/>
  <c r="CV16" i="2"/>
  <c r="CR75" i="2"/>
  <c r="AN47" i="2"/>
  <c r="DD75" i="2"/>
  <c r="AQ76" i="2"/>
  <c r="CX53" i="2"/>
  <c r="AM46" i="2"/>
  <c r="AL30" i="2"/>
  <c r="AJ51" i="2"/>
  <c r="BG29" i="2"/>
  <c r="BW75" i="2"/>
  <c r="AI16" i="2"/>
  <c r="AN65" i="2"/>
  <c r="BB39" i="2"/>
  <c r="BM15" i="2"/>
  <c r="DD34" i="2"/>
  <c r="AJ35" i="2"/>
  <c r="BN63" i="2"/>
  <c r="BJ56" i="2"/>
  <c r="N56" i="2" s="1"/>
  <c r="AG70" i="2"/>
  <c r="BN19" i="2"/>
  <c r="CW68" i="2"/>
  <c r="AU29" i="2"/>
  <c r="CO18" i="2"/>
  <c r="AO12" i="2"/>
  <c r="CW15" i="2"/>
  <c r="AJ45" i="2"/>
  <c r="AQ11" i="2"/>
  <c r="CW69" i="2"/>
  <c r="AF67" i="2"/>
  <c r="CW53" i="2"/>
  <c r="AE9" i="2"/>
  <c r="AV36" i="2"/>
  <c r="AQ26" i="2"/>
  <c r="AA26" i="2" s="1"/>
  <c r="AY46" i="2"/>
  <c r="BT38" i="2"/>
  <c r="AR37" i="2"/>
  <c r="AC82" i="2"/>
  <c r="AU18" i="2"/>
  <c r="BT43" i="2"/>
  <c r="DC37" i="2"/>
  <c r="CY83" i="2"/>
  <c r="BA38" i="2"/>
  <c r="AS25" i="2"/>
  <c r="CI20" i="2"/>
  <c r="AC26" i="2"/>
  <c r="M26" i="2" s="1"/>
  <c r="AG72" i="2"/>
  <c r="BF82" i="2"/>
  <c r="BL78" i="2"/>
  <c r="CE17" i="2"/>
  <c r="AK71" i="2"/>
  <c r="BB23" i="2"/>
  <c r="BJ28" i="2"/>
  <c r="AJ71" i="2"/>
  <c r="AT77" i="2"/>
  <c r="CL49" i="2"/>
  <c r="CT66" i="2"/>
  <c r="AO11" i="2"/>
  <c r="AE52" i="2"/>
  <c r="AW35" i="2"/>
  <c r="BV18" i="2"/>
  <c r="BO12" i="2"/>
  <c r="AF43" i="2"/>
  <c r="BC15" i="2"/>
  <c r="AX68" i="2"/>
  <c r="CN72" i="2"/>
  <c r="AU36" i="2"/>
  <c r="BW51" i="2"/>
  <c r="CP73" i="2"/>
  <c r="AD30" i="2"/>
  <c r="AN63" i="2"/>
  <c r="AW36" i="2"/>
  <c r="BP39" i="2"/>
  <c r="CD25" i="2"/>
  <c r="BC17" i="2"/>
  <c r="BN11" i="2"/>
  <c r="AL74" i="2"/>
  <c r="BT35" i="2"/>
  <c r="BE41" i="2"/>
  <c r="AW83" i="2"/>
  <c r="BJ37" i="2"/>
  <c r="BB34" i="2"/>
  <c r="BJ40" i="2"/>
  <c r="AR52" i="2"/>
  <c r="AV17" i="2"/>
  <c r="BI71" i="2"/>
  <c r="AY17" i="2"/>
  <c r="BB71" i="2"/>
  <c r="CM30" i="2"/>
  <c r="BE69" i="2"/>
  <c r="AW25" i="2"/>
  <c r="BU57" i="2"/>
  <c r="Y57" i="2" s="1"/>
  <c r="BB44" i="2"/>
  <c r="AY27" i="2"/>
  <c r="BJ65" i="2"/>
  <c r="BM66" i="2"/>
  <c r="BT60" i="2"/>
  <c r="X60" i="2" s="1"/>
  <c r="CJ15" i="2"/>
  <c r="CI31" i="2"/>
  <c r="BQ71" i="2"/>
  <c r="CI50" i="2"/>
  <c r="BU79" i="2"/>
  <c r="CE51" i="2"/>
  <c r="DA29" i="2"/>
  <c r="CP25" i="2"/>
  <c r="CS27" i="2"/>
  <c r="CO54" i="2"/>
  <c r="CQ69" i="2"/>
  <c r="AL66" i="2"/>
  <c r="CP79" i="2"/>
  <c r="BD10" i="2"/>
  <c r="DC65" i="2"/>
  <c r="AD27" i="2"/>
  <c r="AL43" i="2"/>
  <c r="AQ55" i="2"/>
  <c r="AW38" i="2"/>
  <c r="BY14" i="2"/>
  <c r="AG23" i="2"/>
  <c r="AR48" i="2"/>
  <c r="AV16" i="2"/>
  <c r="BM35" i="2"/>
  <c r="DD38" i="2"/>
  <c r="AR9" i="2"/>
  <c r="BR50" i="2"/>
  <c r="BU34" i="2"/>
  <c r="AZ28" i="2"/>
  <c r="AW45" i="2"/>
  <c r="CW9" i="2"/>
  <c r="BF67" i="2"/>
  <c r="DA14" i="2"/>
  <c r="AL19" i="2"/>
  <c r="CP14" i="2"/>
  <c r="AD13" i="2"/>
  <c r="AG21" i="2"/>
  <c r="Q21" i="2" s="1"/>
  <c r="CQ53" i="2"/>
  <c r="AH31" i="2"/>
  <c r="CP35" i="2"/>
  <c r="AO34" i="2"/>
  <c r="AS69" i="2"/>
  <c r="AQ30" i="2"/>
  <c r="BG9" i="2"/>
  <c r="BP19" i="2"/>
  <c r="AE11" i="2"/>
  <c r="AF23" i="2"/>
  <c r="AU30" i="2"/>
  <c r="BP36" i="2"/>
  <c r="CW55" i="2"/>
  <c r="AG15" i="2"/>
  <c r="AW71" i="2"/>
  <c r="BD27" i="2"/>
  <c r="CH71" i="2"/>
  <c r="AC30" i="2"/>
  <c r="AD75" i="2"/>
  <c r="AW68" i="2"/>
  <c r="BL66" i="2"/>
  <c r="CC18" i="2"/>
  <c r="AQ79" i="2"/>
  <c r="AV18" i="2"/>
  <c r="BI62" i="2"/>
  <c r="M62" i="2" s="1"/>
  <c r="AJ77" i="2"/>
  <c r="AZ64" i="2"/>
  <c r="CD19" i="2"/>
  <c r="CX71" i="2"/>
  <c r="AR24" i="2"/>
  <c r="AB24" i="2" s="1"/>
  <c r="AM66" i="2"/>
  <c r="AZ20" i="2"/>
  <c r="BV64" i="2"/>
  <c r="BO16" i="2"/>
  <c r="AC55" i="2"/>
  <c r="BC23" i="2"/>
  <c r="AU79" i="2"/>
  <c r="AI63" i="2"/>
  <c r="BA37" i="2"/>
  <c r="BR77" i="2"/>
  <c r="CO77" i="2"/>
  <c r="AG51" i="2"/>
  <c r="AJ48" i="2"/>
  <c r="AV34" i="2"/>
  <c r="BW65" i="2"/>
  <c r="CN65" i="2"/>
  <c r="BC25" i="2"/>
  <c r="BV57" i="2"/>
  <c r="Z57" i="2" s="1"/>
  <c r="AL82" i="2"/>
  <c r="BX40" i="2"/>
  <c r="BC71" i="2"/>
  <c r="BB54" i="2"/>
  <c r="BI68" i="2"/>
  <c r="AV43" i="2"/>
  <c r="BI70" i="2"/>
  <c r="AR63" i="2"/>
  <c r="BD25" i="2"/>
  <c r="BN42" i="2"/>
  <c r="AY23" i="2"/>
  <c r="BC74" i="2"/>
  <c r="CJ10" i="2"/>
  <c r="AV64" i="2"/>
  <c r="BG16" i="2"/>
  <c r="BM73" i="2"/>
  <c r="AY73" i="2"/>
  <c r="AY31" i="2"/>
  <c r="BJ73" i="2"/>
  <c r="CB37" i="2"/>
  <c r="BS10" i="2"/>
  <c r="BC35" i="2"/>
  <c r="CB71" i="2"/>
  <c r="BJ11" i="2"/>
  <c r="CL17" i="2"/>
  <c r="CM14" i="2"/>
  <c r="CH40" i="2"/>
  <c r="AD51" i="2"/>
  <c r="AS76" i="2"/>
  <c r="BS60" i="2"/>
  <c r="W60" i="2" s="1"/>
  <c r="CI73" i="2"/>
  <c r="BC31" i="2"/>
  <c r="BX50" i="2"/>
  <c r="AJ73" i="2"/>
  <c r="BN25" i="2"/>
  <c r="BC52" i="2"/>
  <c r="BB63" i="2"/>
  <c r="BI11" i="2"/>
  <c r="AX81" i="2"/>
  <c r="BT80" i="2"/>
  <c r="AP69" i="2"/>
  <c r="BD45" i="2"/>
  <c r="BS72" i="2"/>
  <c r="AY33" i="2"/>
  <c r="BC79" i="2"/>
  <c r="BC81" i="2"/>
  <c r="CH45" i="2"/>
  <c r="BD31" i="2"/>
  <c r="CB29" i="2"/>
  <c r="AZ46" i="2"/>
  <c r="AY36" i="2"/>
  <c r="BX81" i="2"/>
  <c r="CD42" i="2"/>
  <c r="BO44" i="2"/>
  <c r="AS36" i="2"/>
  <c r="CL30" i="2"/>
  <c r="BJ19" i="2"/>
  <c r="CF38" i="2"/>
  <c r="CA29" i="2"/>
  <c r="BY51" i="2"/>
  <c r="CE67" i="2"/>
  <c r="BH66" i="2"/>
  <c r="CU13" i="2"/>
  <c r="CY23" i="2"/>
  <c r="CU17" i="2"/>
  <c r="CW38" i="2"/>
  <c r="BD11" i="2"/>
  <c r="CW34" i="2"/>
  <c r="AO81" i="2"/>
  <c r="AH30" i="2"/>
  <c r="CO72" i="2"/>
  <c r="AN28" i="2"/>
  <c r="CO29" i="2"/>
  <c r="AE24" i="2"/>
  <c r="O24" i="2" s="1"/>
  <c r="BI74" i="2"/>
  <c r="AN46" i="2"/>
  <c r="BF27" i="2"/>
  <c r="BI66" i="2"/>
  <c r="AD39" i="2"/>
  <c r="AI31" i="2"/>
  <c r="AW10" i="2"/>
  <c r="BN28" i="2"/>
  <c r="CS38" i="2"/>
  <c r="AO31" i="2"/>
  <c r="BS82" i="2"/>
  <c r="BE76" i="2"/>
  <c r="AV44" i="2"/>
  <c r="AC43" i="2"/>
  <c r="AR73" i="2"/>
  <c r="BH53" i="2"/>
  <c r="BR18" i="2"/>
  <c r="CH65" i="2"/>
  <c r="AG82" i="2"/>
  <c r="BH38" i="2"/>
  <c r="BU16" i="2"/>
  <c r="BB9" i="2"/>
  <c r="BX37" i="2"/>
  <c r="CG67" i="2"/>
  <c r="CY67" i="2"/>
  <c r="AM13" i="2"/>
  <c r="AI24" i="2"/>
  <c r="S24" i="2" s="1"/>
  <c r="BE23" i="2"/>
  <c r="BK60" i="2"/>
  <c r="O60" i="2" s="1"/>
  <c r="BO28" i="2"/>
  <c r="AH50" i="2"/>
  <c r="AY37" i="2"/>
  <c r="BX33" i="2"/>
  <c r="AR66" i="2"/>
  <c r="AU69" i="2"/>
  <c r="CH70" i="2"/>
  <c r="CX73" i="2"/>
  <c r="AL15" i="2"/>
  <c r="AQ54" i="2"/>
  <c r="BD81" i="2"/>
  <c r="BN71" i="2"/>
  <c r="AF45" i="2"/>
  <c r="BD47" i="2"/>
  <c r="BN36" i="2"/>
  <c r="AJ81" i="2"/>
  <c r="BX75" i="2"/>
  <c r="AX47" i="2"/>
  <c r="BB65" i="2"/>
  <c r="BI15" i="2"/>
  <c r="AW44" i="2"/>
  <c r="BU11" i="2"/>
  <c r="AN81" i="2"/>
  <c r="AW41" i="2"/>
  <c r="BR32" i="2"/>
  <c r="BE50" i="2"/>
  <c r="BV77" i="2"/>
  <c r="BN13" i="2"/>
  <c r="CD9" i="2"/>
  <c r="AV51" i="2"/>
  <c r="CB53" i="2"/>
  <c r="AZ65" i="2"/>
  <c r="AZ36" i="2"/>
  <c r="BJ17" i="2"/>
  <c r="CE50" i="2"/>
  <c r="BP60" i="2"/>
  <c r="T60" i="2" s="1"/>
  <c r="AU71" i="2"/>
  <c r="BX12" i="2"/>
  <c r="BJ31" i="2"/>
  <c r="CG46" i="2"/>
  <c r="CF54" i="2"/>
  <c r="CK63" i="2"/>
  <c r="AG30" i="2"/>
  <c r="AN75" i="2"/>
  <c r="AE12" i="2"/>
  <c r="AL67" i="2"/>
  <c r="BZ52" i="2"/>
  <c r="AL31" i="2"/>
  <c r="AC78" i="2"/>
  <c r="AN69" i="2"/>
  <c r="CP54" i="2"/>
  <c r="AM36" i="2"/>
  <c r="AO50" i="2"/>
  <c r="CQ63" i="2"/>
  <c r="AK27" i="2"/>
  <c r="AS46" i="2"/>
  <c r="AP18" i="2"/>
  <c r="AS80" i="2"/>
  <c r="CZ78" i="2"/>
  <c r="CB19" i="2"/>
  <c r="BJ16" i="2"/>
  <c r="DC70" i="2"/>
  <c r="DC52" i="2"/>
  <c r="CY78" i="2"/>
  <c r="CP37" i="2"/>
  <c r="CR37" i="2"/>
  <c r="DA35" i="2"/>
  <c r="CV83" i="2"/>
  <c r="AU31" i="2"/>
  <c r="AR46" i="2"/>
  <c r="BA75" i="2"/>
  <c r="CR68" i="2"/>
  <c r="AC51" i="2"/>
  <c r="AK19" i="2"/>
  <c r="AK68" i="2"/>
  <c r="BA76" i="2"/>
  <c r="AH16" i="2"/>
  <c r="AC52" i="2"/>
  <c r="AH82" i="2"/>
  <c r="BF36" i="2"/>
  <c r="CB20" i="2"/>
  <c r="CU65" i="2"/>
  <c r="AK52" i="2"/>
  <c r="BK76" i="2"/>
  <c r="AP77" i="2"/>
  <c r="BW60" i="2"/>
  <c r="AA60" i="2" s="1"/>
  <c r="CT16" i="2"/>
  <c r="CX27" i="2"/>
  <c r="CS14" i="2"/>
  <c r="CO52" i="2"/>
  <c r="AW55" i="2"/>
  <c r="CW31" i="2"/>
  <c r="AV40" i="2"/>
  <c r="AI51" i="2"/>
  <c r="DB77" i="2"/>
  <c r="AR47" i="2"/>
  <c r="CY36" i="2"/>
  <c r="AE45" i="2"/>
  <c r="BM33" i="2"/>
  <c r="AH69" i="2"/>
  <c r="AY49" i="2"/>
  <c r="BM18" i="2"/>
  <c r="AI9" i="2"/>
  <c r="AN38" i="2"/>
  <c r="BA16" i="2"/>
  <c r="BV76" i="2"/>
  <c r="CW64" i="2"/>
  <c r="AC11" i="2"/>
  <c r="BM36" i="2"/>
  <c r="BX43" i="2"/>
  <c r="AU70" i="2"/>
  <c r="AC47" i="2"/>
  <c r="AR81" i="2"/>
  <c r="BH68" i="2"/>
  <c r="BR38" i="2"/>
  <c r="CD16" i="2"/>
  <c r="AP71" i="2"/>
  <c r="BF35" i="2"/>
  <c r="BU28" i="2"/>
  <c r="BF76" i="2"/>
  <c r="BV44" i="2"/>
  <c r="AY14" i="2"/>
  <c r="CY71" i="2"/>
  <c r="AD26" i="2"/>
  <c r="N26" i="2" s="1"/>
  <c r="AI28" i="2"/>
  <c r="AY11" i="2"/>
  <c r="BJ25" i="2"/>
  <c r="BO32" i="2"/>
  <c r="AD54" i="2"/>
  <c r="BE29" i="2"/>
  <c r="BL30" i="2"/>
  <c r="AO68" i="2"/>
  <c r="AW70" i="2"/>
  <c r="CG47" i="2"/>
  <c r="CX79" i="2"/>
  <c r="AL20" i="2"/>
  <c r="AC75" i="2"/>
  <c r="BE54" i="2"/>
  <c r="BR46" i="2"/>
  <c r="AC64" i="2"/>
  <c r="AT33" i="2"/>
  <c r="BJ59" i="2"/>
  <c r="N59" i="2" s="1"/>
  <c r="BH17" i="2"/>
  <c r="BR36" i="2"/>
  <c r="AS64" i="2"/>
  <c r="AT68" i="2"/>
  <c r="BI19" i="2"/>
  <c r="AY72" i="2"/>
  <c r="BU15" i="2"/>
  <c r="AF76" i="2"/>
  <c r="AU68" i="2"/>
  <c r="BK65" i="2"/>
  <c r="AX39" i="2"/>
  <c r="BV38" i="2"/>
  <c r="BP50" i="2"/>
  <c r="CD18" i="2"/>
  <c r="AV39" i="2"/>
  <c r="AR54" i="2"/>
  <c r="AZ73" i="2"/>
  <c r="BD38" i="2"/>
  <c r="BJ35" i="2"/>
  <c r="CM25" i="2"/>
  <c r="BR74" i="2"/>
  <c r="BA43" i="2"/>
  <c r="BT59" i="2"/>
  <c r="X59" i="2" s="1"/>
  <c r="BQ29" i="2"/>
  <c r="CF17" i="2"/>
  <c r="CM36" i="2"/>
  <c r="CK80" i="2"/>
  <c r="AJ23" i="2"/>
  <c r="CE73" i="2"/>
  <c r="BL47" i="2"/>
  <c r="BB66" i="2"/>
  <c r="AE51" i="2"/>
  <c r="AZ10" i="2"/>
  <c r="AZ80" i="2"/>
  <c r="BT58" i="2"/>
  <c r="X58" i="2" s="1"/>
  <c r="CF42" i="2"/>
  <c r="AE75" i="2"/>
  <c r="AV37" i="2"/>
  <c r="BU36" i="2"/>
  <c r="BH23" i="2"/>
  <c r="BV60" i="2"/>
  <c r="Z60" i="2" s="1"/>
  <c r="AY25" i="2"/>
  <c r="DC78" i="2"/>
  <c r="AO47" i="2"/>
  <c r="AQ34" i="2"/>
  <c r="BF18" i="2"/>
  <c r="BV81" i="2"/>
  <c r="BO36" i="2"/>
  <c r="AD66" i="2"/>
  <c r="BA10" i="2"/>
  <c r="BT40" i="2"/>
  <c r="AQ69" i="2"/>
  <c r="AT81" i="2"/>
  <c r="CI77" i="2"/>
  <c r="DD79" i="2"/>
  <c r="AL29" i="2"/>
  <c r="AJ65" i="2"/>
  <c r="AS48" i="2"/>
  <c r="BQ74" i="2"/>
  <c r="AH48" i="2"/>
  <c r="AS11" i="2"/>
  <c r="BV82" i="2"/>
  <c r="AY50" i="2"/>
  <c r="BV67" i="2"/>
  <c r="AW77" i="2"/>
  <c r="BC83" i="2"/>
  <c r="BI27" i="2"/>
  <c r="BF48" i="2"/>
  <c r="BU19" i="2"/>
  <c r="AL81" i="2"/>
  <c r="AU38" i="2"/>
  <c r="BT75" i="2"/>
  <c r="BG63" i="2"/>
  <c r="BN33" i="2"/>
  <c r="BP11" i="2"/>
  <c r="CG37" i="2"/>
  <c r="AW52" i="2"/>
  <c r="AR65" i="2"/>
  <c r="BN64" i="2"/>
  <c r="AW51" i="2"/>
  <c r="BQ34" i="2"/>
  <c r="BY13" i="2"/>
  <c r="CI25" i="2"/>
  <c r="BA50" i="2"/>
  <c r="BN75" i="2"/>
  <c r="BQ33" i="2"/>
  <c r="CE76" i="2"/>
  <c r="CJ78" i="2"/>
  <c r="CN70" i="2"/>
  <c r="DD35" i="2"/>
  <c r="AJ44" i="2"/>
  <c r="BP74" i="2"/>
  <c r="BV79" i="2"/>
  <c r="AR19" i="2"/>
  <c r="AM64" i="2"/>
  <c r="BE27" i="2"/>
  <c r="BP80" i="2"/>
  <c r="BK69" i="2"/>
  <c r="CG45" i="2"/>
  <c r="AE81" i="2"/>
  <c r="BF77" i="2"/>
  <c r="BU51" i="2"/>
  <c r="AS34" i="2"/>
  <c r="BK83" i="2"/>
  <c r="AY34" i="2"/>
  <c r="CX78" i="2"/>
  <c r="AL10" i="2"/>
  <c r="AI43" i="2"/>
  <c r="BF30" i="2"/>
  <c r="BM28" i="2"/>
  <c r="BW42" i="2"/>
  <c r="AH80" i="2"/>
  <c r="AS14" i="2"/>
  <c r="BP23" i="2"/>
  <c r="AL80" i="2"/>
  <c r="AZ75" i="2"/>
  <c r="AY16" i="2"/>
  <c r="AG13" i="2"/>
  <c r="AL39" i="2"/>
  <c r="AC68" i="2"/>
  <c r="BA65" i="2"/>
  <c r="BO9" i="2"/>
  <c r="AH51" i="2"/>
  <c r="AS16" i="2"/>
  <c r="BJ44" i="2"/>
  <c r="AU10" i="2"/>
  <c r="BW10" i="2"/>
  <c r="BB64" i="2"/>
  <c r="BL20" i="2"/>
  <c r="BI31" i="2"/>
  <c r="BG78" i="2"/>
  <c r="BU27" i="2"/>
  <c r="AR72" i="2"/>
  <c r="BG51" i="2"/>
  <c r="BW13" i="2"/>
  <c r="BD40" i="2"/>
  <c r="BT28" i="2"/>
  <c r="BP44" i="2"/>
  <c r="AQ70" i="2"/>
  <c r="BD82" i="2"/>
  <c r="AN73" i="2"/>
  <c r="BO74" i="2"/>
  <c r="BC55" i="2"/>
  <c r="BM47" i="2"/>
  <c r="CJ28" i="2"/>
  <c r="CI10" i="2"/>
  <c r="AS75" i="2"/>
  <c r="BR23" i="2"/>
  <c r="BQ35" i="2"/>
  <c r="BI77" i="2"/>
  <c r="CE78" i="2"/>
  <c r="CE20" i="2"/>
  <c r="DD70" i="2"/>
  <c r="CZ79" i="2"/>
  <c r="CO66" i="2"/>
  <c r="AO19" i="2"/>
  <c r="AT42" i="2"/>
  <c r="AK16" i="2"/>
  <c r="BX74" i="2"/>
  <c r="CZ70" i="2"/>
  <c r="AN25" i="2"/>
  <c r="AK34" i="2"/>
  <c r="AD80" i="2"/>
  <c r="AW69" i="2"/>
  <c r="AN10" i="2"/>
  <c r="AP24" i="2"/>
  <c r="Z24" i="2" s="1"/>
  <c r="AD70" i="2"/>
  <c r="AU72" i="2"/>
  <c r="DB34" i="2"/>
  <c r="CV63" i="2"/>
  <c r="AI26" i="2"/>
  <c r="S26" i="2" s="1"/>
  <c r="AF38" i="2"/>
  <c r="AX18" i="2"/>
  <c r="CF78" i="2"/>
  <c r="CZ41" i="2"/>
  <c r="CP41" i="2"/>
  <c r="CP38" i="2"/>
  <c r="DD25" i="2"/>
  <c r="CW13" i="2"/>
  <c r="CR25" i="2"/>
  <c r="CT70" i="2"/>
  <c r="AG55" i="2"/>
  <c r="CS83" i="2"/>
  <c r="BD13" i="2"/>
  <c r="CP67" i="2"/>
  <c r="AD37" i="2"/>
  <c r="AL45" i="2"/>
  <c r="AQ64" i="2"/>
  <c r="AU42" i="2"/>
  <c r="CJ37" i="2"/>
  <c r="AG25" i="2"/>
  <c r="AL49" i="2"/>
  <c r="BG18" i="2"/>
  <c r="BU40" i="2"/>
  <c r="DD39" i="2"/>
  <c r="AO15" i="2"/>
  <c r="BT66" i="2"/>
  <c r="BU47" i="2"/>
  <c r="AR38" i="2"/>
  <c r="AH83" i="2"/>
  <c r="AZ18" i="2"/>
  <c r="BV46" i="2"/>
  <c r="BW82" i="2"/>
  <c r="CD79" i="2"/>
  <c r="BF10" i="2"/>
  <c r="BG68" i="2"/>
  <c r="BM77" i="2"/>
  <c r="AT31" i="2"/>
  <c r="BL67" i="2"/>
  <c r="AZ39" i="2"/>
  <c r="DD78" i="2"/>
  <c r="AL14" i="2"/>
  <c r="AC54" i="2"/>
  <c r="AT28" i="2"/>
  <c r="BU50" i="2"/>
  <c r="BW50" i="2"/>
  <c r="AO64" i="2"/>
  <c r="AS20" i="2"/>
  <c r="BI73" i="2"/>
  <c r="AJ72" i="2"/>
  <c r="BL12" i="2"/>
  <c r="AY28" i="2"/>
  <c r="AR27" i="2"/>
  <c r="AK50" i="2"/>
  <c r="AP82" i="2"/>
  <c r="AT78" i="2"/>
  <c r="BO17" i="2"/>
  <c r="AD55" i="2"/>
  <c r="AS23" i="2"/>
  <c r="BW72" i="2"/>
  <c r="AX28" i="2"/>
  <c r="BW18" i="2"/>
  <c r="BC75" i="2"/>
  <c r="BT27" i="2"/>
  <c r="BI35" i="2"/>
  <c r="AX54" i="2"/>
  <c r="BU31" i="2"/>
  <c r="AJ80" i="2"/>
  <c r="BA39" i="2"/>
  <c r="BW17" i="2"/>
  <c r="AW47" i="2"/>
  <c r="BL43" i="2"/>
  <c r="BQ78" i="2"/>
  <c r="AP50" i="2"/>
  <c r="AU50" i="2"/>
  <c r="AG68" i="2"/>
  <c r="BL42" i="2"/>
  <c r="BA73" i="2"/>
  <c r="CA10" i="2"/>
  <c r="CE46" i="2"/>
  <c r="BQ46" i="2"/>
  <c r="BA68" i="2"/>
  <c r="BR45" i="2"/>
  <c r="BQ37" i="2"/>
  <c r="CE32" i="2"/>
  <c r="CG52" i="2"/>
  <c r="BY70" i="2"/>
  <c r="CP64" i="2"/>
  <c r="AM69" i="2"/>
  <c r="BF69" i="2"/>
  <c r="AJ36" i="2"/>
  <c r="BM9" i="2"/>
  <c r="DC75" i="2"/>
  <c r="AN64" i="2"/>
  <c r="AK38" i="2"/>
  <c r="AF72" i="2"/>
  <c r="AT80" i="2"/>
  <c r="AN14" i="2"/>
  <c r="AP28" i="2"/>
  <c r="AQ82" i="2"/>
  <c r="BF51" i="2"/>
  <c r="CY10" i="2"/>
  <c r="CW67" i="2"/>
  <c r="AN66" i="2"/>
  <c r="AP51" i="2"/>
  <c r="AY38" i="2"/>
  <c r="CI81" i="2"/>
  <c r="CY37" i="2"/>
  <c r="CQ31" i="2"/>
  <c r="CX52" i="2"/>
  <c r="CU36" i="2"/>
  <c r="DB35" i="2"/>
  <c r="CR35" i="2"/>
  <c r="CR79" i="2"/>
  <c r="AO75" i="2"/>
  <c r="AO9" i="2"/>
  <c r="BB28" i="2"/>
  <c r="CU79" i="2"/>
  <c r="AQ12" i="2"/>
  <c r="AP53" i="2"/>
  <c r="AJ53" i="2"/>
  <c r="AU39" i="2"/>
  <c r="CB31" i="2"/>
  <c r="AG35" i="2"/>
  <c r="AF52" i="2"/>
  <c r="BC33" i="2"/>
  <c r="CN53" i="2"/>
  <c r="CP70" i="2"/>
  <c r="AD36" i="2"/>
  <c r="BO18" i="2"/>
  <c r="BZ49" i="2"/>
  <c r="AM11" i="2"/>
  <c r="AI23" i="2"/>
  <c r="AZ30" i="2"/>
  <c r="BN37" i="2"/>
  <c r="BO11" i="2"/>
  <c r="AF34" i="2"/>
  <c r="BH13" i="2"/>
  <c r="BF50" i="2"/>
  <c r="CL52" i="2"/>
  <c r="AU13" i="2"/>
  <c r="BP47" i="2"/>
  <c r="BE52" i="2"/>
  <c r="AG11" i="2"/>
  <c r="AL18" i="2"/>
  <c r="AI83" i="2"/>
  <c r="BG23" i="2"/>
  <c r="CD46" i="2"/>
  <c r="BP67" i="2"/>
  <c r="AE73" i="2"/>
  <c r="AS29" i="2"/>
  <c r="BS75" i="2"/>
  <c r="AT15" i="2"/>
  <c r="BL69" i="2"/>
  <c r="AY40" i="2"/>
  <c r="AK54" i="2"/>
  <c r="AN74" i="2"/>
  <c r="AF79" i="2"/>
  <c r="BH72" i="2"/>
  <c r="BO23" i="2"/>
  <c r="AD67" i="2"/>
  <c r="AS30" i="2"/>
  <c r="BU32" i="2"/>
  <c r="BG65" i="2"/>
  <c r="BW30" i="2"/>
  <c r="BF73" i="2"/>
  <c r="BP14" i="2"/>
  <c r="BM40" i="2"/>
  <c r="AX69" i="2"/>
  <c r="BU35" i="2"/>
  <c r="AV9" i="2"/>
  <c r="BB52" i="2"/>
  <c r="BW23" i="2"/>
  <c r="AS77" i="2"/>
  <c r="BI61" i="2"/>
  <c r="M61" i="2" s="1"/>
  <c r="BX30" i="2"/>
  <c r="AO63" i="2"/>
  <c r="AX67" i="2"/>
  <c r="AP75" i="2"/>
  <c r="BX20" i="2"/>
  <c r="AX83" i="2"/>
  <c r="BY17" i="2"/>
  <c r="BH34" i="2"/>
  <c r="BU63" i="2"/>
  <c r="BS69" i="2"/>
  <c r="CD32" i="2"/>
  <c r="BY31" i="2"/>
  <c r="BV80" i="2"/>
  <c r="CI76" i="2"/>
  <c r="CF33" i="2"/>
  <c r="AS70" i="2"/>
  <c r="BY28" i="2"/>
  <c r="AX20" i="2"/>
  <c r="BS64" i="2"/>
  <c r="AX36" i="2"/>
  <c r="AR23" i="2"/>
  <c r="AL27" i="2"/>
  <c r="AJ50" i="2"/>
  <c r="AT41" i="2"/>
  <c r="CD65" i="2"/>
  <c r="BR75" i="2"/>
  <c r="AM68" i="2"/>
  <c r="BB37" i="2"/>
  <c r="BJ36" i="2"/>
  <c r="BE14" i="2"/>
  <c r="BL11" i="2"/>
  <c r="AZ41" i="2"/>
  <c r="AP14" i="2"/>
  <c r="AC19" i="2"/>
  <c r="AD79" i="2"/>
  <c r="BT49" i="2"/>
  <c r="BO29" i="2"/>
  <c r="AO53" i="2"/>
  <c r="BD50" i="2"/>
  <c r="BM69" i="2"/>
  <c r="BD18" i="2"/>
  <c r="BW39" i="2"/>
  <c r="BC42" i="2"/>
  <c r="BT76" i="2"/>
  <c r="BM48" i="2"/>
  <c r="AX73" i="2"/>
  <c r="BU41" i="2"/>
  <c r="AV11" i="2"/>
  <c r="AS45" i="2"/>
  <c r="BW29" i="2"/>
  <c r="BC43" i="2"/>
  <c r="BV75" i="2"/>
  <c r="BQ64" i="2"/>
  <c r="AE69" i="2"/>
  <c r="AU77" i="2"/>
  <c r="AJ78" i="2"/>
  <c r="BT46" i="2"/>
  <c r="AX44" i="2"/>
  <c r="CN50" i="2"/>
  <c r="BC40" i="2"/>
  <c r="CA54" i="2"/>
  <c r="BX76" i="2"/>
  <c r="CD77" i="2"/>
  <c r="BZ39" i="2"/>
  <c r="BN46" i="2"/>
  <c r="BZ72" i="2"/>
  <c r="CC75" i="2"/>
  <c r="BO76" i="2"/>
  <c r="BM43" i="2"/>
  <c r="BJ70" i="2"/>
  <c r="BW62" i="2"/>
  <c r="AA62" i="2" s="1"/>
  <c r="BB45" i="2"/>
  <c r="AD68" i="2"/>
  <c r="BG37" i="2"/>
  <c r="AW67" i="2"/>
  <c r="BV32" i="2"/>
  <c r="BU23" i="2"/>
  <c r="AI66" i="2"/>
  <c r="AT29" i="2"/>
  <c r="AT48" i="2"/>
  <c r="BV11" i="2"/>
  <c r="BW19" i="2"/>
  <c r="BE28" i="2"/>
  <c r="BC45" i="2"/>
  <c r="AT70" i="2"/>
  <c r="BI69" i="2"/>
  <c r="BY9" i="2"/>
  <c r="BI10" i="2"/>
  <c r="BM82" i="2"/>
  <c r="BE38" i="2"/>
  <c r="BH73" i="2"/>
  <c r="BS30" i="2"/>
  <c r="BZ63" i="2"/>
  <c r="BY27" i="2"/>
  <c r="BH43" i="2"/>
  <c r="BV72" i="2"/>
  <c r="CC27" i="2"/>
  <c r="CN10" i="2"/>
  <c r="BX57" i="2"/>
  <c r="AB57" i="2" s="1"/>
  <c r="CE63" i="2"/>
  <c r="CN39" i="2"/>
  <c r="BT29" i="2"/>
  <c r="BJ61" i="2"/>
  <c r="N61" i="2" s="1"/>
  <c r="BQ23" i="2"/>
  <c r="BY10" i="2"/>
  <c r="BB49" i="2"/>
  <c r="BP42" i="2"/>
  <c r="BZ51" i="2"/>
  <c r="CH51" i="2"/>
  <c r="BV47" i="2"/>
  <c r="BK17" i="2"/>
  <c r="CH47" i="2"/>
  <c r="BL79" i="2"/>
  <c r="CF27" i="2"/>
  <c r="CL31" i="2"/>
  <c r="BZ65" i="2"/>
  <c r="BA47" i="2"/>
  <c r="BL10" i="2"/>
  <c r="BV65" i="2"/>
  <c r="CK55" i="2"/>
  <c r="BQ48" i="2"/>
  <c r="CG32" i="2"/>
  <c r="CK14" i="2"/>
  <c r="CH54" i="2"/>
  <c r="CJ40" i="2"/>
  <c r="CC40" i="2"/>
  <c r="CM43" i="2"/>
  <c r="CD49" i="2"/>
  <c r="CB79" i="2"/>
  <c r="CM76" i="2"/>
  <c r="CE44" i="2"/>
  <c r="BH49" i="2"/>
  <c r="AV71" i="2"/>
  <c r="BJ60" i="2"/>
  <c r="N60" i="2" s="1"/>
  <c r="BK75" i="2"/>
  <c r="BP72" i="2"/>
  <c r="CG34" i="2"/>
  <c r="BL83" i="2"/>
  <c r="CB68" i="2"/>
  <c r="CM67" i="2"/>
  <c r="CK31" i="2"/>
  <c r="CN46" i="2"/>
  <c r="CK37" i="2"/>
  <c r="CF14" i="2"/>
  <c r="CE74" i="2"/>
  <c r="CI11" i="2"/>
  <c r="BY34" i="2"/>
  <c r="CI48" i="2"/>
  <c r="CC38" i="2"/>
  <c r="CC36" i="2"/>
  <c r="BK44" i="2"/>
  <c r="BZ55" i="2"/>
  <c r="CH15" i="2"/>
  <c r="CI78" i="2"/>
  <c r="CJ75" i="2"/>
  <c r="CK34" i="2"/>
  <c r="CK70" i="2"/>
  <c r="BG31" i="2"/>
  <c r="AZ77" i="2"/>
  <c r="BW9" i="2"/>
  <c r="CG53" i="2"/>
  <c r="AW65" i="2"/>
  <c r="AT64" i="2"/>
  <c r="BL27" i="2"/>
  <c r="BM51" i="2"/>
  <c r="BJ66" i="2"/>
  <c r="BS73" i="2"/>
  <c r="BF78" i="2"/>
  <c r="AO52" i="2"/>
  <c r="BC16" i="2"/>
  <c r="BF37" i="2"/>
  <c r="BV10" i="2"/>
  <c r="BU29" i="2"/>
  <c r="AC77" i="2"/>
  <c r="BH14" i="2"/>
  <c r="BD34" i="2"/>
  <c r="BO59" i="2"/>
  <c r="S59" i="2" s="1"/>
  <c r="BW27" i="2"/>
  <c r="AY15" i="2"/>
  <c r="BC49" i="2"/>
  <c r="BB72" i="2"/>
  <c r="BO58" i="2"/>
  <c r="S58" i="2" s="1"/>
  <c r="CF50" i="2"/>
  <c r="BI12" i="2"/>
  <c r="CM13" i="2"/>
  <c r="AT49" i="2"/>
  <c r="BH79" i="2"/>
  <c r="BK36" i="2"/>
  <c r="CB41" i="2"/>
  <c r="CJ41" i="2"/>
  <c r="BH50" i="2"/>
  <c r="BT42" i="2"/>
  <c r="CH43" i="2"/>
  <c r="CN25" i="2"/>
  <c r="BL23" i="2"/>
  <c r="CL15" i="2"/>
  <c r="CM63" i="2"/>
  <c r="BX51" i="2"/>
  <c r="BO66" i="2"/>
  <c r="BQ27" i="2"/>
  <c r="BY19" i="2"/>
  <c r="AY77" i="2"/>
  <c r="BL34" i="2"/>
  <c r="CC13" i="2"/>
  <c r="CL68" i="2"/>
  <c r="BO65" i="2"/>
  <c r="BK20" i="2"/>
  <c r="CB73" i="2"/>
  <c r="BU74" i="2"/>
  <c r="CN47" i="2"/>
  <c r="BY37" i="2"/>
  <c r="CE40" i="2"/>
  <c r="AY54" i="2"/>
  <c r="BK66" i="2"/>
  <c r="BT72" i="2"/>
  <c r="CC51" i="2"/>
  <c r="BI51" i="2"/>
  <c r="BY80" i="2"/>
  <c r="CJ36" i="2"/>
  <c r="CK39" i="2"/>
  <c r="CH44" i="2"/>
  <c r="BY53" i="2"/>
  <c r="CM48" i="2"/>
  <c r="CE54" i="2"/>
  <c r="CD82" i="2"/>
  <c r="CM83" i="2"/>
  <c r="CB55" i="2"/>
  <c r="BG55" i="2"/>
  <c r="AV73" i="2"/>
  <c r="BL71" i="2"/>
  <c r="BQ80" i="2"/>
  <c r="BI83" i="2"/>
  <c r="CG42" i="2"/>
  <c r="BU76" i="2"/>
  <c r="BZ40" i="2"/>
  <c r="CM72" i="2"/>
  <c r="CI54" i="2"/>
  <c r="CJ66" i="2"/>
  <c r="CC43" i="2"/>
  <c r="CF16" i="2"/>
  <c r="CE82" i="2"/>
  <c r="CE28" i="2"/>
  <c r="BY39" i="2"/>
  <c r="CJ52" i="2"/>
  <c r="CC41" i="2"/>
  <c r="CC39" i="2"/>
  <c r="BK46" i="2"/>
  <c r="CL47" i="2"/>
  <c r="CH17" i="2"/>
  <c r="CN29" i="2"/>
  <c r="CJ83" i="2"/>
  <c r="CK36" i="2"/>
  <c r="CK72" i="2"/>
  <c r="AS74" i="2"/>
  <c r="BH76" i="2"/>
  <c r="BP15" i="2"/>
  <c r="BS9" i="2"/>
  <c r="BR80" i="2"/>
  <c r="CG51" i="2"/>
  <c r="BU80" i="2"/>
  <c r="BZ50" i="2"/>
  <c r="BK38" i="2"/>
  <c r="CH36" i="2"/>
  <c r="CI33" i="2"/>
  <c r="CC48" i="2"/>
  <c r="CF18" i="2"/>
  <c r="BS39" i="2"/>
  <c r="CK9" i="2"/>
  <c r="BY45" i="2"/>
  <c r="BZ66" i="2"/>
  <c r="CK43" i="2"/>
  <c r="CK41" i="2"/>
  <c r="BK48" i="2"/>
  <c r="CI14" i="2"/>
  <c r="CH19" i="2"/>
  <c r="CN31" i="2"/>
  <c r="CC82" i="2"/>
  <c r="CK38" i="2"/>
  <c r="CA76" i="2"/>
  <c r="BP43" i="2"/>
  <c r="CL25" i="2"/>
  <c r="BK49" i="2"/>
  <c r="BL60" i="2"/>
  <c r="P60" i="2" s="1"/>
  <c r="CG44" i="2"/>
  <c r="BZ69" i="2"/>
  <c r="BX49" i="2"/>
  <c r="BO77" i="2"/>
  <c r="BQ31" i="2"/>
  <c r="CH55" i="2"/>
  <c r="BE65" i="2"/>
  <c r="BL63" i="2"/>
  <c r="CF67" i="2"/>
  <c r="CM35" i="2"/>
  <c r="BL33" i="2"/>
  <c r="BK29" i="2"/>
  <c r="CL18" i="2"/>
  <c r="CL44" i="2"/>
  <c r="CM47" i="2"/>
  <c r="CD78" i="2"/>
  <c r="CC83" i="2"/>
  <c r="BA64" i="2"/>
  <c r="BL50" i="2"/>
  <c r="BK10" i="2"/>
  <c r="CC17" i="2"/>
  <c r="BU62" i="2"/>
  <c r="Y62" i="2" s="1"/>
  <c r="BZ70" i="2"/>
  <c r="BY75" i="2"/>
  <c r="CK78" i="2"/>
  <c r="BZ16" i="2"/>
  <c r="CC68" i="2"/>
  <c r="CJ82" i="2"/>
  <c r="CK10" i="2"/>
  <c r="CI80" i="2"/>
  <c r="CF45" i="2"/>
  <c r="CE64" i="2"/>
  <c r="BD83" i="2"/>
  <c r="BH80" i="2"/>
  <c r="BN30" i="2"/>
  <c r="BS11" i="2"/>
  <c r="CA9" i="2"/>
  <c r="CB77" i="2"/>
  <c r="CL36" i="2"/>
  <c r="CL63" i="2"/>
  <c r="BK41" i="2"/>
  <c r="CL51" i="2"/>
  <c r="CA37" i="2"/>
  <c r="CD66" i="2"/>
  <c r="CF20" i="2"/>
  <c r="BS42" i="2"/>
  <c r="CK15" i="2"/>
  <c r="CG50" i="2"/>
  <c r="CG81" i="2"/>
  <c r="CC46" i="2"/>
  <c r="CC44" i="2"/>
  <c r="BK50" i="2"/>
  <c r="CE25" i="2"/>
  <c r="CH23" i="2"/>
  <c r="CN36" i="2"/>
  <c r="CH76" i="2"/>
  <c r="CK40" i="2"/>
  <c r="CA80" i="2"/>
  <c r="CE68" i="2"/>
  <c r="BE72" i="2"/>
  <c r="BX16" i="2"/>
  <c r="BS12" i="2"/>
  <c r="CJ34" i="2"/>
  <c r="BU67" i="2"/>
  <c r="CN14" i="2"/>
  <c r="BZ15" i="2"/>
  <c r="CK67" i="2"/>
  <c r="BZ27" i="2"/>
  <c r="CJ43" i="2"/>
  <c r="BZ78" i="2"/>
  <c r="CK18" i="2"/>
  <c r="CF32" i="2"/>
  <c r="CF72" i="2"/>
  <c r="CE72" i="2"/>
  <c r="BA44" i="2"/>
  <c r="BV12" i="2"/>
  <c r="BL41" i="2"/>
  <c r="BS13" i="2"/>
  <c r="CI30" i="2"/>
  <c r="CD81" i="2"/>
  <c r="CI9" i="2"/>
  <c r="CD63" i="2"/>
  <c r="BS44" i="2"/>
  <c r="CB69" i="2"/>
  <c r="CA41" i="2"/>
  <c r="CB80" i="2"/>
  <c r="CF25" i="2"/>
  <c r="BK45" i="2"/>
  <c r="CK23" i="2"/>
  <c r="CD71" i="2"/>
  <c r="CJ79" i="2"/>
  <c r="CC49" i="2"/>
  <c r="CC47" i="2"/>
  <c r="BK56" i="2"/>
  <c r="O56" i="2" s="1"/>
  <c r="CB38" i="2"/>
  <c r="CH27" i="2"/>
  <c r="CN44" i="2"/>
  <c r="CH80" i="2"/>
  <c r="CK42" i="2"/>
  <c r="CN83" i="2"/>
  <c r="CM64" i="2"/>
  <c r="CN40" i="2"/>
  <c r="CE83" i="2"/>
  <c r="AV82" i="2"/>
  <c r="BX36" i="2"/>
  <c r="BK15" i="2"/>
  <c r="CN78" i="2"/>
  <c r="BW73" i="2"/>
  <c r="CN19" i="2"/>
  <c r="CH25" i="2"/>
  <c r="CJ30" i="2"/>
  <c r="CI63" i="2"/>
  <c r="CF82" i="2"/>
  <c r="CM66" i="2"/>
  <c r="CK29" i="2"/>
  <c r="CN42" i="2"/>
  <c r="CC37" i="2"/>
  <c r="BE36" i="2"/>
  <c r="BA48" i="2"/>
  <c r="BP57" i="2"/>
  <c r="T57" i="2" s="1"/>
  <c r="BP51" i="2"/>
  <c r="BS15" i="2"/>
  <c r="CD35" i="2"/>
  <c r="CG70" i="2"/>
  <c r="CA19" i="2"/>
  <c r="CF10" i="2"/>
  <c r="BS48" i="2"/>
  <c r="CH9" i="2"/>
  <c r="CI44" i="2"/>
  <c r="CL76" i="2"/>
  <c r="CF28" i="2"/>
  <c r="BS47" i="2"/>
  <c r="CK30" i="2"/>
  <c r="CK77" i="2"/>
  <c r="CC80" i="2"/>
  <c r="BY54" i="2"/>
  <c r="BY50" i="2"/>
  <c r="BK58" i="2"/>
  <c r="O58" i="2" s="1"/>
  <c r="CK11" i="2"/>
  <c r="CL29" i="2"/>
  <c r="CI51" i="2"/>
  <c r="CA64" i="2"/>
  <c r="CK44" i="2"/>
  <c r="CA51" i="2"/>
  <c r="BN80" i="2"/>
  <c r="CJ29" i="2"/>
  <c r="CF48" i="2"/>
  <c r="CF73" i="2"/>
  <c r="BY43" i="2"/>
  <c r="BZ36" i="2"/>
  <c r="CM71" i="2"/>
  <c r="CF52" i="2"/>
  <c r="CD54" i="2"/>
  <c r="CC42" i="2"/>
  <c r="BE40" i="2"/>
  <c r="BA52" i="2"/>
  <c r="BP25" i="2"/>
  <c r="BT67" i="2"/>
  <c r="BS17" i="2"/>
  <c r="CL35" i="2"/>
  <c r="CI83" i="2"/>
  <c r="CA31" i="2"/>
  <c r="CN13" i="2"/>
  <c r="BS51" i="2"/>
  <c r="CH14" i="2"/>
  <c r="CI47" i="2"/>
  <c r="CK65" i="2"/>
  <c r="CJ31" i="2"/>
  <c r="BS50" i="2"/>
  <c r="CJ44" i="2"/>
  <c r="CD80" i="2"/>
  <c r="CH77" i="2"/>
  <c r="CD68" i="2"/>
  <c r="BY55" i="2"/>
  <c r="BX61" i="2"/>
  <c r="AB61" i="2" s="1"/>
  <c r="CK16" i="2"/>
  <c r="CF36" i="2"/>
  <c r="CB64" i="2"/>
  <c r="CA66" i="2"/>
  <c r="CK46" i="2"/>
  <c r="BW37" i="2"/>
  <c r="AY29" i="2"/>
  <c r="AY78" i="2"/>
  <c r="BP16" i="2"/>
  <c r="BL76" i="2"/>
  <c r="CK49" i="2"/>
  <c r="BX46" i="2"/>
  <c r="BI33" i="2"/>
  <c r="CD31" i="2"/>
  <c r="AK70" i="2"/>
  <c r="BA9" i="2"/>
  <c r="AY74" i="2"/>
  <c r="BN16" i="2"/>
  <c r="BM81" i="2"/>
  <c r="AP83" i="2"/>
  <c r="BB36" i="2"/>
  <c r="BC64" i="2"/>
  <c r="BJ72" i="2"/>
  <c r="BR73" i="2"/>
  <c r="AZ40" i="2"/>
  <c r="AX52" i="2"/>
  <c r="BT45" i="2"/>
  <c r="BJ51" i="2"/>
  <c r="BC36" i="2"/>
  <c r="BI28" i="2"/>
  <c r="BY23" i="2"/>
  <c r="BA80" i="2"/>
  <c r="BI63" i="2"/>
  <c r="CC23" i="2"/>
  <c r="CF81" i="2"/>
  <c r="CJ20" i="2"/>
  <c r="AV76" i="2"/>
  <c r="BR37" i="2"/>
  <c r="BI42" i="2"/>
  <c r="CI74" i="2"/>
  <c r="BK67" i="2"/>
  <c r="BI49" i="2"/>
  <c r="CJ55" i="2"/>
  <c r="BL38" i="2"/>
  <c r="BJ39" i="2"/>
  <c r="BM41" i="2"/>
  <c r="CJ11" i="2"/>
  <c r="BA53" i="2"/>
  <c r="BQ76" i="2"/>
  <c r="CG64" i="2"/>
  <c r="BZ11" i="2"/>
  <c r="BL64" i="2"/>
  <c r="BO42" i="2"/>
  <c r="CG48" i="2"/>
  <c r="CD44" i="2"/>
  <c r="BK43" i="2"/>
  <c r="CA39" i="2"/>
  <c r="AT51" i="2"/>
  <c r="BB83" i="2"/>
  <c r="BJ68" i="2"/>
  <c r="BS20" i="2"/>
  <c r="BY76" i="2"/>
  <c r="BU75" i="2"/>
  <c r="BZ68" i="2"/>
  <c r="BY42" i="2"/>
  <c r="CM42" i="2"/>
  <c r="CB75" i="2"/>
  <c r="BZ48" i="2"/>
  <c r="CE80" i="2"/>
  <c r="CN82" i="2"/>
  <c r="CA33" i="2"/>
  <c r="CK47" i="2"/>
  <c r="AT47" i="2"/>
  <c r="BG70" i="2"/>
  <c r="BT10" i="2"/>
  <c r="BO79" i="2"/>
  <c r="BS19" i="2"/>
  <c r="CE19" i="2"/>
  <c r="BQ39" i="2"/>
  <c r="CD51" i="2"/>
  <c r="CN16" i="2"/>
  <c r="BX59" i="2"/>
  <c r="AB59" i="2" s="1"/>
  <c r="BZ18" i="2"/>
  <c r="CJ53" i="2"/>
  <c r="CC71" i="2"/>
  <c r="CN43" i="2"/>
  <c r="BK57" i="2"/>
  <c r="O57" i="2" s="1"/>
  <c r="CH69" i="2"/>
  <c r="BY67" i="2"/>
  <c r="CH82" i="2"/>
  <c r="CN64" i="2"/>
  <c r="CD72" i="2"/>
  <c r="BX65" i="2"/>
  <c r="CK20" i="2"/>
  <c r="CF51" i="2"/>
  <c r="CF75" i="2"/>
  <c r="CA68" i="2"/>
  <c r="CK48" i="2"/>
  <c r="BA11" i="2"/>
  <c r="BF44" i="2"/>
  <c r="BP41" i="2"/>
  <c r="CA32" i="2"/>
  <c r="AO72" i="2"/>
  <c r="BC10" i="2"/>
  <c r="BD41" i="2"/>
  <c r="BP31" i="2"/>
  <c r="CE11" i="2"/>
  <c r="BE46" i="2"/>
  <c r="BG69" i="2"/>
  <c r="BX13" i="2"/>
  <c r="BW66" i="2"/>
  <c r="AX74" i="2"/>
  <c r="BI30" i="2"/>
  <c r="CJ33" i="2"/>
  <c r="BH48" i="2"/>
  <c r="BV39" i="2"/>
  <c r="CH35" i="2"/>
  <c r="CN20" i="2"/>
  <c r="CB32" i="2"/>
  <c r="BB76" i="2"/>
  <c r="BV61" i="2"/>
  <c r="Z61" i="2" s="1"/>
  <c r="BI47" i="2"/>
  <c r="CA45" i="2"/>
  <c r="BS81" i="2"/>
  <c r="BU58" i="2"/>
  <c r="Y58" i="2" s="1"/>
  <c r="CM80" i="2"/>
  <c r="BT65" i="2"/>
  <c r="BJ47" i="2"/>
  <c r="BM45" i="2"/>
  <c r="CJ18" i="2"/>
  <c r="BE70" i="2"/>
  <c r="BR27" i="2"/>
  <c r="BI39" i="2"/>
  <c r="BY49" i="2"/>
  <c r="BS70" i="2"/>
  <c r="BO47" i="2"/>
  <c r="CK75" i="2"/>
  <c r="CN75" i="2"/>
  <c r="BS49" i="2"/>
  <c r="CI46" i="2"/>
  <c r="BH33" i="2"/>
  <c r="AV55" i="2"/>
  <c r="BN18" i="2"/>
  <c r="BK27" i="2"/>
  <c r="CL14" i="2"/>
  <c r="BU81" i="2"/>
  <c r="CM40" i="2"/>
  <c r="CN63" i="2"/>
  <c r="CB63" i="2"/>
  <c r="BY69" i="2"/>
  <c r="CE55" i="2"/>
  <c r="BS40" i="2"/>
  <c r="CH46" i="2"/>
  <c r="CI36" i="2"/>
  <c r="BZ64" i="2"/>
  <c r="AY66" i="2"/>
  <c r="AS83" i="2"/>
  <c r="BX31" i="2"/>
  <c r="BN61" i="2"/>
  <c r="R61" i="2" s="1"/>
  <c r="BS23" i="2"/>
  <c r="CC10" i="2"/>
  <c r="BQ41" i="2"/>
  <c r="CD36" i="2"/>
  <c r="CF19" i="2"/>
  <c r="BX67" i="2"/>
  <c r="BZ23" i="2"/>
  <c r="CN71" i="2"/>
  <c r="CA83" i="2"/>
  <c r="CF63" i="2"/>
  <c r="BX60" i="2"/>
  <c r="AB60" i="2" s="1"/>
  <c r="CH38" i="2"/>
  <c r="BY73" i="2"/>
  <c r="CI65" i="2"/>
  <c r="CB82" i="2"/>
  <c r="CB74" i="2"/>
  <c r="BX69" i="2"/>
  <c r="CK28" i="2"/>
  <c r="CC74" i="2"/>
  <c r="CA34" i="2"/>
  <c r="CA70" i="2"/>
  <c r="BY52" i="2"/>
  <c r="CF34" i="2"/>
  <c r="BC46" i="2"/>
  <c r="BB70" i="2"/>
  <c r="BK72" i="2"/>
  <c r="CL48" i="2"/>
  <c r="AU46" i="2"/>
  <c r="BV45" i="2"/>
  <c r="BM65" i="2"/>
  <c r="AK69" i="2"/>
  <c r="AY42" i="2"/>
  <c r="AZ42" i="2"/>
  <c r="BV35" i="2"/>
  <c r="BW57" i="2"/>
  <c r="AA57" i="2" s="1"/>
  <c r="AY48" i="2"/>
  <c r="AX46" i="2"/>
  <c r="BV56" i="2"/>
  <c r="Z56" i="2" s="1"/>
  <c r="BJ27" i="2"/>
  <c r="CE38" i="2"/>
  <c r="BX79" i="2"/>
  <c r="BM44" i="2"/>
  <c r="CB65" i="2"/>
  <c r="AQ83" i="2"/>
  <c r="AS15" i="2"/>
  <c r="BF52" i="2"/>
  <c r="BK68" i="2"/>
  <c r="CL41" i="2"/>
  <c r="AF80" i="2"/>
  <c r="BC13" i="2"/>
  <c r="AS49" i="2"/>
  <c r="BN57" i="2"/>
  <c r="R57" i="2" s="1"/>
  <c r="CD39" i="2"/>
  <c r="AU64" i="2"/>
  <c r="BA82" i="2"/>
  <c r="BO80" i="2"/>
  <c r="BO78" i="2"/>
  <c r="BA45" i="2"/>
  <c r="BI32" i="2"/>
  <c r="CL65" i="2"/>
  <c r="BC68" i="2"/>
  <c r="BO73" i="2"/>
  <c r="CL9" i="2"/>
  <c r="CM46" i="2"/>
  <c r="CE34" i="2"/>
  <c r="AV53" i="2"/>
  <c r="BS76" i="2"/>
  <c r="BQ56" i="2"/>
  <c r="U56" i="2" s="1"/>
  <c r="CI69" i="2"/>
  <c r="BK13" i="2"/>
  <c r="BU69" i="2"/>
  <c r="CG74" i="2"/>
  <c r="BX18" i="2"/>
  <c r="BW58" i="2"/>
  <c r="AA58" i="2" s="1"/>
  <c r="BM49" i="2"/>
  <c r="CJ27" i="2"/>
  <c r="BB73" i="2"/>
  <c r="BR49" i="2"/>
  <c r="BQ44" i="2"/>
  <c r="CL69" i="2"/>
  <c r="BQ79" i="2"/>
  <c r="BO56" i="2"/>
  <c r="S56" i="2" s="1"/>
  <c r="CG66" i="2"/>
  <c r="CA14" i="2"/>
  <c r="BX63" i="2"/>
  <c r="CJ63" i="2"/>
  <c r="BC38" i="2"/>
  <c r="BD64" i="2"/>
  <c r="BP35" i="2"/>
  <c r="BK30" i="2"/>
  <c r="CL19" i="2"/>
  <c r="CL50" i="2"/>
  <c r="CB54" i="2"/>
  <c r="BY66" i="2"/>
  <c r="BZ76" i="2"/>
  <c r="CN30" i="2"/>
  <c r="BY74" i="2"/>
  <c r="BS43" i="2"/>
  <c r="CH66" i="2"/>
  <c r="CI39" i="2"/>
  <c r="CB76" i="2"/>
  <c r="AZ34" i="2"/>
  <c r="BA66" i="2"/>
  <c r="BP56" i="2"/>
  <c r="T56" i="2" s="1"/>
  <c r="BS66" i="2"/>
  <c r="BS27" i="2"/>
  <c r="CC19" i="2"/>
  <c r="BQ43" i="2"/>
  <c r="CN51" i="2"/>
  <c r="CN23" i="2"/>
  <c r="BP75" i="2"/>
  <c r="BZ29" i="2"/>
  <c r="CJ77" i="2"/>
  <c r="CA79" i="2"/>
  <c r="CM33" i="2"/>
  <c r="BX66" i="2"/>
  <c r="CH48" i="2"/>
  <c r="CI82" i="2"/>
  <c r="CI68" i="2"/>
  <c r="CK82" i="2"/>
  <c r="CK74" i="2"/>
  <c r="BK74" i="2"/>
  <c r="CK32" i="2"/>
  <c r="BY36" i="2"/>
  <c r="CA36" i="2"/>
  <c r="CA72" i="2"/>
  <c r="BY63" i="2"/>
  <c r="BR10" i="2"/>
  <c r="CH37" i="2"/>
  <c r="AG79" i="2"/>
  <c r="AT37" i="2"/>
  <c r="BU12" i="2"/>
  <c r="AZ9" i="2"/>
  <c r="AZ79" i="2"/>
  <c r="CD73" i="2"/>
  <c r="BC50" i="2"/>
  <c r="BC73" i="2"/>
  <c r="BQ59" i="2"/>
  <c r="U59" i="2" s="1"/>
  <c r="CD55" i="2"/>
  <c r="BE63" i="2"/>
  <c r="BS71" i="2"/>
  <c r="BW83" i="2"/>
  <c r="AP79" i="2"/>
  <c r="BB27" i="2"/>
  <c r="AZ50" i="2"/>
  <c r="BO61" i="2"/>
  <c r="S61" i="2" s="1"/>
  <c r="BP73" i="2"/>
  <c r="AZ38" i="2"/>
  <c r="AX50" i="2"/>
  <c r="BX35" i="2"/>
  <c r="BJ43" i="2"/>
  <c r="AT43" i="2"/>
  <c r="BN32" i="2"/>
  <c r="BM56" i="2"/>
  <c r="Q56" i="2" s="1"/>
  <c r="CG65" i="2"/>
  <c r="AG77" i="2"/>
  <c r="AS19" i="2"/>
  <c r="AY83" i="2"/>
  <c r="BQ61" i="2"/>
  <c r="U61" i="2" s="1"/>
  <c r="BY11" i="2"/>
  <c r="AL75" i="2"/>
  <c r="AX17" i="2"/>
  <c r="BG72" i="2"/>
  <c r="BW80" i="2"/>
  <c r="CE23" i="2"/>
  <c r="AX34" i="2"/>
  <c r="AS66" i="2"/>
  <c r="BT61" i="2"/>
  <c r="X61" i="2" s="1"/>
  <c r="BQ10" i="2"/>
  <c r="AV80" i="2"/>
  <c r="BI34" i="2"/>
  <c r="BZ43" i="2"/>
  <c r="BH41" i="2"/>
  <c r="BN38" i="2"/>
  <c r="CL23" i="2"/>
  <c r="BS41" i="2"/>
  <c r="CE48" i="2"/>
  <c r="BD63" i="2"/>
  <c r="BK11" i="2"/>
  <c r="BU65" i="2"/>
  <c r="CC45" i="2"/>
  <c r="BS18" i="2"/>
  <c r="BW81" i="2"/>
  <c r="AT67" i="2"/>
  <c r="BV33" i="2"/>
  <c r="BI64" i="2"/>
  <c r="BM57" i="2"/>
  <c r="Q57" i="2" s="1"/>
  <c r="CN45" i="2"/>
  <c r="BB80" i="2"/>
  <c r="BT68" i="2"/>
  <c r="BI50" i="2"/>
  <c r="CJ81" i="2"/>
  <c r="BR15" i="2"/>
  <c r="BP66" i="2"/>
  <c r="CI79" i="2"/>
  <c r="CM27" i="2"/>
  <c r="BI81" i="2"/>
  <c r="CC76" i="2"/>
  <c r="BG46" i="2"/>
  <c r="BD67" i="2"/>
  <c r="BL49" i="2"/>
  <c r="BS32" i="2"/>
  <c r="CD30" i="2"/>
  <c r="CA17" i="2"/>
  <c r="BZ74" i="2"/>
  <c r="CF30" i="2"/>
  <c r="CM70" i="2"/>
  <c r="CK52" i="2"/>
  <c r="CN9" i="2"/>
  <c r="BK47" i="2"/>
  <c r="BZ9" i="2"/>
  <c r="CI43" i="2"/>
  <c r="CL75" i="2"/>
  <c r="BC37" i="2"/>
  <c r="BE71" i="2"/>
  <c r="BT9" i="2"/>
  <c r="BL72" i="2"/>
  <c r="BS29" i="2"/>
  <c r="CC31" i="2"/>
  <c r="BQ45" i="2"/>
  <c r="CL37" i="2"/>
  <c r="CN28" i="2"/>
  <c r="BP83" i="2"/>
  <c r="CF44" i="2"/>
  <c r="CH73" i="2"/>
  <c r="CJ39" i="2"/>
  <c r="CM37" i="2"/>
  <c r="BX71" i="2"/>
  <c r="CJ64" i="2"/>
  <c r="CF31" i="2"/>
  <c r="CA71" i="2"/>
  <c r="CL78" i="2"/>
  <c r="CL74" i="2"/>
  <c r="BP79" i="2"/>
  <c r="CJ48" i="2"/>
  <c r="BY40" i="2"/>
  <c r="CA38" i="2"/>
  <c r="CM74" i="2"/>
  <c r="CD70" i="2"/>
  <c r="AC45" i="2"/>
  <c r="AR77" i="2"/>
  <c r="BH64" i="2"/>
  <c r="BR30" i="2"/>
  <c r="CD11" i="2"/>
  <c r="AH70" i="2"/>
  <c r="BE51" i="2"/>
  <c r="BU20" i="2"/>
  <c r="BB25" i="2"/>
  <c r="BN51" i="2"/>
  <c r="AT25" i="2"/>
  <c r="BG64" i="2"/>
  <c r="BC78" i="2"/>
  <c r="BQ67" i="2"/>
  <c r="CA15" i="2"/>
  <c r="BB41" i="2"/>
  <c r="BL31" i="2"/>
  <c r="CM10" i="2"/>
  <c r="AO70" i="2"/>
  <c r="BC9" i="2"/>
  <c r="BF74" i="2"/>
  <c r="BL17" i="2"/>
  <c r="BR81" i="2"/>
  <c r="BE42" i="2"/>
  <c r="AY63" i="2"/>
  <c r="BQ66" i="2"/>
  <c r="BR61" i="2"/>
  <c r="V61" i="2" s="1"/>
  <c r="AS37" i="2"/>
  <c r="BP45" i="2"/>
  <c r="BM70" i="2"/>
  <c r="AF31" i="2"/>
  <c r="AG81" i="2"/>
  <c r="AS27" i="2"/>
  <c r="AS72" i="2"/>
  <c r="BO72" i="2"/>
  <c r="BY32" i="2"/>
  <c r="AL79" i="2"/>
  <c r="AX23" i="2"/>
  <c r="BA67" i="2"/>
  <c r="BN67" i="2"/>
  <c r="CC20" i="2"/>
  <c r="AX37" i="2"/>
  <c r="BA71" i="2"/>
  <c r="BX19" i="2"/>
  <c r="BQ14" i="2"/>
  <c r="AV68" i="2"/>
  <c r="BI36" i="2"/>
  <c r="CA63" i="2"/>
  <c r="BA49" i="2"/>
  <c r="BR72" i="2"/>
  <c r="CF79" i="2"/>
  <c r="BJ83" i="2"/>
  <c r="BZ77" i="2"/>
  <c r="BD66" i="2"/>
  <c r="BS16" i="2"/>
  <c r="BN76" i="2"/>
  <c r="BD71" i="2"/>
  <c r="BK28" i="2"/>
  <c r="BU82" i="2"/>
  <c r="AT69" i="2"/>
  <c r="BT44" i="2"/>
  <c r="BR69" i="2"/>
  <c r="BM64" i="2"/>
  <c r="CE42" i="2"/>
  <c r="BD54" i="2"/>
  <c r="BX82" i="2"/>
  <c r="BU59" i="2"/>
  <c r="Y59" i="2" s="1"/>
  <c r="CF37" i="2"/>
  <c r="BR29" i="2"/>
  <c r="BP77" i="2"/>
  <c r="BI40" i="2"/>
  <c r="CG9" i="2"/>
  <c r="BX83" i="2"/>
  <c r="CH83" i="2"/>
  <c r="BC70" i="2"/>
  <c r="AV70" i="2"/>
  <c r="BW69" i="2"/>
  <c r="BK35" i="2"/>
  <c r="CJ65" i="2"/>
  <c r="CB33" i="2"/>
  <c r="CM68" i="2"/>
  <c r="CD50" i="2"/>
  <c r="BK39" i="2"/>
  <c r="CI35" i="2"/>
  <c r="CF13" i="2"/>
  <c r="BK51" i="2"/>
  <c r="BZ13" i="2"/>
  <c r="CA47" i="2"/>
  <c r="CC65" i="2"/>
  <c r="BG42" i="2"/>
  <c r="AV78" i="2"/>
  <c r="BT51" i="2"/>
  <c r="BT77" i="2"/>
  <c r="BS31" i="2"/>
  <c r="CJ67" i="2"/>
  <c r="BQ47" i="2"/>
  <c r="CA11" i="2"/>
  <c r="CN35" i="2"/>
  <c r="BJ81" i="2"/>
  <c r="BY33" i="2"/>
  <c r="CH79" i="2"/>
  <c r="CK53" i="2"/>
  <c r="CM41" i="2"/>
  <c r="BK78" i="2"/>
  <c r="CF80" i="2"/>
  <c r="CN38" i="2"/>
  <c r="CM73" i="2"/>
  <c r="CL83" i="2"/>
  <c r="CL79" i="2"/>
  <c r="BJ74" i="2"/>
  <c r="CH63" i="2"/>
  <c r="BY44" i="2"/>
  <c r="CA40" i="2"/>
  <c r="CM78" i="2"/>
  <c r="CG82" i="2"/>
  <c r="BH51" i="2"/>
  <c r="BK64" i="2"/>
  <c r="BM78" i="2"/>
  <c r="AF37" i="2"/>
  <c r="AP70" i="2"/>
  <c r="AS31" i="2"/>
  <c r="BE74" i="2"/>
  <c r="BJ12" i="2"/>
  <c r="BZ41" i="2"/>
  <c r="AL83" i="2"/>
  <c r="AX29" i="2"/>
  <c r="AV79" i="2"/>
  <c r="BS78" i="2"/>
  <c r="BY77" i="2"/>
  <c r="AX41" i="2"/>
  <c r="BG77" i="2"/>
  <c r="BN49" i="2"/>
  <c r="BQ18" i="2"/>
  <c r="BJ33" i="2"/>
  <c r="BM38" i="2"/>
  <c r="CJ72" i="2"/>
  <c r="AU67" i="2"/>
  <c r="BL68" i="2"/>
  <c r="CD69" i="2"/>
  <c r="CK25" i="2"/>
  <c r="CE75" i="2"/>
  <c r="BD70" i="2"/>
  <c r="BK25" i="2"/>
  <c r="BU78" i="2"/>
  <c r="BH75" i="2"/>
  <c r="BK33" i="2"/>
  <c r="CA23" i="2"/>
  <c r="AT71" i="2"/>
  <c r="BS59" i="2"/>
  <c r="W59" i="2" s="1"/>
  <c r="BV74" i="2"/>
  <c r="BM72" i="2"/>
  <c r="CG79" i="2"/>
  <c r="BD65" i="2"/>
  <c r="BK14" i="2"/>
  <c r="BU70" i="2"/>
  <c r="CL80" i="2"/>
  <c r="BR41" i="2"/>
  <c r="BR78" i="2"/>
  <c r="BQ42" i="2"/>
  <c r="CG16" i="2"/>
  <c r="CB43" i="2"/>
  <c r="CI70" i="2"/>
  <c r="AS40" i="2"/>
  <c r="BD72" i="2"/>
  <c r="BS58" i="2"/>
  <c r="W58" i="2" s="1"/>
  <c r="BO38" i="2"/>
  <c r="CG40" i="2"/>
  <c r="CC63" i="2"/>
  <c r="BS38" i="2"/>
  <c r="CI34" i="2"/>
  <c r="BS46" i="2"/>
  <c r="CI42" i="2"/>
  <c r="CN15" i="2"/>
  <c r="BX58" i="2"/>
  <c r="AB58" i="2" s="1"/>
  <c r="BZ17" i="2"/>
  <c r="CJ51" i="2"/>
  <c r="CC70" i="2"/>
  <c r="BG50" i="2"/>
  <c r="BB74" i="2"/>
  <c r="BN31" i="2"/>
  <c r="BR11" i="2"/>
  <c r="BS33" i="2"/>
  <c r="CH39" i="2"/>
  <c r="BQ49" i="2"/>
  <c r="CM19" i="2"/>
  <c r="CI53" i="2"/>
  <c r="CJ71" i="2"/>
  <c r="BY41" i="2"/>
  <c r="CA65" i="2"/>
  <c r="CK73" i="2"/>
  <c r="CM45" i="2"/>
  <c r="BJ75" i="2"/>
  <c r="BZ10" i="2"/>
  <c r="CN48" i="2"/>
  <c r="CM79" i="2"/>
  <c r="CC66" i="2"/>
  <c r="CC64" i="2"/>
  <c r="BJ78" i="2"/>
  <c r="CH34" i="2"/>
  <c r="BY48" i="2"/>
  <c r="CA42" i="2"/>
  <c r="CM82" i="2"/>
  <c r="CB78" i="2"/>
  <c r="AF82" i="2"/>
  <c r="AS51" i="2"/>
  <c r="CC53" i="2"/>
  <c r="AT72" i="2"/>
  <c r="AO13" i="2"/>
  <c r="AM53" i="2"/>
  <c r="BB10" i="2"/>
  <c r="BT47" i="2"/>
  <c r="BV63" i="2"/>
  <c r="CG33" i="2"/>
  <c r="AE78" i="2"/>
  <c r="AW48" i="2"/>
  <c r="BU43" i="2"/>
  <c r="BH29" i="2"/>
  <c r="BP32" i="2"/>
  <c r="AY30" i="2"/>
  <c r="BF41" i="2"/>
  <c r="BL65" i="2"/>
  <c r="BJ9" i="2"/>
  <c r="CL72" i="2"/>
  <c r="BG71" i="2"/>
  <c r="BI80" i="2"/>
  <c r="CM20" i="2"/>
  <c r="AL73" i="2"/>
  <c r="AX15" i="2"/>
  <c r="AW53" i="2"/>
  <c r="BR68" i="2"/>
  <c r="CL43" i="2"/>
  <c r="BF80" i="2"/>
  <c r="AS55" i="2"/>
  <c r="BN39" i="2"/>
  <c r="BT82" i="2"/>
  <c r="BF79" i="2"/>
  <c r="BT56" i="2"/>
  <c r="X56" i="2" s="1"/>
  <c r="CA25" i="2"/>
  <c r="AF44" i="2"/>
  <c r="AP72" i="2"/>
  <c r="BD42" i="2"/>
  <c r="BE82" i="2"/>
  <c r="BJ32" i="2"/>
  <c r="CF66" i="2"/>
  <c r="AR71" i="2"/>
  <c r="AX33" i="2"/>
  <c r="AT79" i="2"/>
  <c r="BR20" i="2"/>
  <c r="CA55" i="2"/>
  <c r="AV50" i="2"/>
  <c r="AW74" i="2"/>
  <c r="BT16" i="2"/>
  <c r="BQ25" i="2"/>
  <c r="BJ41" i="2"/>
  <c r="BM42" i="2"/>
  <c r="CJ14" i="2"/>
  <c r="BA55" i="2"/>
  <c r="BR9" i="2"/>
  <c r="CG72" i="2"/>
  <c r="CH18" i="2"/>
  <c r="BE39" i="2"/>
  <c r="BH74" i="2"/>
  <c r="BK31" i="2"/>
  <c r="CM11" i="2"/>
  <c r="BH83" i="2"/>
  <c r="BO39" i="2"/>
  <c r="CN79" i="2"/>
  <c r="AT73" i="2"/>
  <c r="BN70" i="2"/>
  <c r="BN83" i="2"/>
  <c r="BN82" i="2"/>
  <c r="CE66" i="2"/>
  <c r="BD68" i="2"/>
  <c r="BK19" i="2"/>
  <c r="BU73" i="2"/>
  <c r="BT73" i="2"/>
  <c r="BR51" i="2"/>
  <c r="CE14" i="2"/>
  <c r="BI45" i="2"/>
  <c r="CG23" i="2"/>
  <c r="CL39" i="2"/>
  <c r="CM81" i="2"/>
  <c r="BB47" i="2"/>
  <c r="BH77" i="2"/>
  <c r="BN65" i="2"/>
  <c r="BO43" i="2"/>
  <c r="CG55" i="2"/>
  <c r="CD48" i="2"/>
  <c r="BS45" i="2"/>
  <c r="CI41" i="2"/>
  <c r="BS57" i="2"/>
  <c r="W57" i="2" s="1"/>
  <c r="CJ49" i="2"/>
  <c r="CN18" i="2"/>
  <c r="BX64" i="2"/>
  <c r="CH20" i="2"/>
  <c r="CN69" i="2"/>
  <c r="CA78" i="2"/>
  <c r="BA79" i="2"/>
  <c r="BB78" i="2"/>
  <c r="BT69" i="2"/>
  <c r="BR19" i="2"/>
  <c r="BS35" i="2"/>
  <c r="CL53" i="2"/>
  <c r="BQ51" i="2"/>
  <c r="CM31" i="2"/>
  <c r="CM34" i="2"/>
  <c r="CI27" i="2"/>
  <c r="BY47" i="2"/>
  <c r="CA69" i="2"/>
  <c r="BZ38" i="2"/>
  <c r="CB50" i="2"/>
  <c r="BJ80" i="2"/>
  <c r="BZ14" i="2"/>
  <c r="CI55" i="2"/>
  <c r="CH29" i="2"/>
  <c r="CC69" i="2"/>
  <c r="CC67" i="2"/>
  <c r="BJ82" i="2"/>
  <c r="CH42" i="2"/>
  <c r="CG54" i="2"/>
  <c r="CA44" i="2"/>
  <c r="CH30" i="2"/>
  <c r="CK76" i="2"/>
  <c r="BN43" i="2"/>
  <c r="BJ23" i="2"/>
  <c r="CN37" i="2"/>
  <c r="AS67" i="2"/>
  <c r="BJ67" i="2"/>
  <c r="BY20" i="2"/>
  <c r="AL77" i="2"/>
  <c r="AX19" i="2"/>
  <c r="BF83" i="2"/>
  <c r="BL62" i="2"/>
  <c r="P62" i="2" s="1"/>
  <c r="CC11" i="2"/>
  <c r="AX35" i="2"/>
  <c r="BA69" i="2"/>
  <c r="BL9" i="2"/>
  <c r="BQ12" i="2"/>
  <c r="BD53" i="2"/>
  <c r="BQ63" i="2"/>
  <c r="CN55" i="2"/>
  <c r="AC53" i="2"/>
  <c r="AE76" i="2"/>
  <c r="BB29" i="2"/>
  <c r="AX63" i="2"/>
  <c r="BJ48" i="2"/>
  <c r="CB17" i="2"/>
  <c r="AJ74" i="2"/>
  <c r="BB17" i="2"/>
  <c r="AZ54" i="2"/>
  <c r="BR40" i="2"/>
  <c r="CD13" i="2"/>
  <c r="BD77" i="2"/>
  <c r="AW78" i="2"/>
  <c r="BT36" i="2"/>
  <c r="BQ30" i="2"/>
  <c r="BJ49" i="2"/>
  <c r="BM46" i="2"/>
  <c r="CJ19" i="2"/>
  <c r="AV74" i="2"/>
  <c r="BR35" i="2"/>
  <c r="BI41" i="2"/>
  <c r="CD74" i="2"/>
  <c r="AU53" i="2"/>
  <c r="BH81" i="2"/>
  <c r="BS36" i="2"/>
  <c r="CB48" i="2"/>
  <c r="BN9" i="2"/>
  <c r="BO50" i="2"/>
  <c r="BZ53" i="2"/>
  <c r="BC76" i="2"/>
  <c r="BQ83" i="2"/>
  <c r="BQ9" i="2"/>
  <c r="BM80" i="2"/>
  <c r="BE37" i="2"/>
  <c r="AV72" i="2"/>
  <c r="BS28" i="2"/>
  <c r="BU83" i="2"/>
  <c r="BQ70" i="2"/>
  <c r="BK63" i="2"/>
  <c r="CM50" i="2"/>
  <c r="BI48" i="2"/>
  <c r="CG30" i="2"/>
  <c r="CB46" i="2"/>
  <c r="CF43" i="2"/>
  <c r="AY76" i="2"/>
  <c r="BH82" i="2"/>
  <c r="BN73" i="2"/>
  <c r="BO48" i="2"/>
  <c r="CK83" i="2"/>
  <c r="CL45" i="2"/>
  <c r="BS56" i="2"/>
  <c r="W56" i="2" s="1"/>
  <c r="CA49" i="2"/>
  <c r="BX70" i="2"/>
  <c r="CF64" i="2"/>
  <c r="CF23" i="2"/>
  <c r="BX72" i="2"/>
  <c r="BZ28" i="2"/>
  <c r="CJ73" i="2"/>
  <c r="CJ13" i="2"/>
  <c r="AS39" i="2"/>
  <c r="BB82" i="2"/>
  <c r="BL15" i="2"/>
  <c r="BR31" i="2"/>
  <c r="BS37" i="2"/>
  <c r="BY83" i="2"/>
  <c r="BQ57" i="2"/>
  <c r="U57" i="2" s="1"/>
  <c r="CG10" i="2"/>
  <c r="CM39" i="2"/>
  <c r="CL66" i="2"/>
  <c r="CD67" i="2"/>
  <c r="CI72" i="2"/>
  <c r="BZ46" i="2"/>
  <c r="CN66" i="2"/>
  <c r="CL38" i="2"/>
  <c r="CH16" i="2"/>
  <c r="CN80" i="2"/>
  <c r="BZ32" i="2"/>
  <c r="CK71" i="2"/>
  <c r="CK69" i="2"/>
  <c r="CL46" i="2"/>
  <c r="CC50" i="2"/>
  <c r="CG76" i="2"/>
  <c r="CA46" i="2"/>
  <c r="CH32" i="2"/>
  <c r="CL73" i="2"/>
  <c r="BP70" i="2"/>
  <c r="CB36" i="2"/>
  <c r="BC80" i="2"/>
  <c r="BP29" i="2"/>
  <c r="BQ11" i="2"/>
  <c r="CG73" i="2"/>
  <c r="AT45" i="2"/>
  <c r="BH78" i="2"/>
  <c r="BK34" i="2"/>
  <c r="CA27" i="2"/>
  <c r="BL56" i="2"/>
  <c r="P56" i="2" s="1"/>
  <c r="BK71" i="2"/>
  <c r="CH64" i="2"/>
  <c r="BQ50" i="2"/>
  <c r="CF69" i="2"/>
  <c r="CK27" i="2"/>
  <c r="CC35" i="2"/>
  <c r="BH42" i="2"/>
  <c r="BV42" i="2"/>
  <c r="BO82" i="2"/>
  <c r="BP58" i="2"/>
  <c r="T58" i="2" s="1"/>
  <c r="CG68" i="2"/>
  <c r="CA16" i="2"/>
  <c r="BX68" i="2"/>
  <c r="CN73" i="2"/>
  <c r="BJ77" i="2"/>
  <c r="CH75" i="2"/>
  <c r="CN27" i="2"/>
  <c r="BK82" i="2"/>
  <c r="CF40" i="2"/>
  <c r="CC78" i="2"/>
  <c r="CJ17" i="2"/>
  <c r="BB43" i="2"/>
  <c r="AV54" i="2"/>
  <c r="BP40" i="2"/>
  <c r="BR39" i="2"/>
  <c r="BO41" i="2"/>
  <c r="CL11" i="2"/>
  <c r="BU60" i="2"/>
  <c r="Y60" i="2" s="1"/>
  <c r="CG15" i="2"/>
  <c r="CM44" i="2"/>
  <c r="CE52" i="2"/>
  <c r="CK81" i="2"/>
  <c r="CM77" i="2"/>
  <c r="CN52" i="2"/>
  <c r="CJ74" i="2"/>
  <c r="CE15" i="2"/>
  <c r="BZ19" i="2"/>
  <c r="CA35" i="2"/>
  <c r="CF41" i="2"/>
  <c r="CA75" i="2"/>
  <c r="CC72" i="2"/>
  <c r="CE13" i="2"/>
  <c r="CL55" i="2"/>
  <c r="CB83" i="2"/>
  <c r="CA48" i="2"/>
  <c r="CF39" i="2"/>
  <c r="CL77" i="2"/>
  <c r="AD77" i="2"/>
  <c r="BD80" i="2"/>
  <c r="BS68" i="2"/>
  <c r="CC25" i="2"/>
  <c r="AQ81" i="2"/>
  <c r="BD19" i="2"/>
  <c r="BR67" i="2"/>
  <c r="AJ79" i="2"/>
  <c r="AZ66" i="2"/>
  <c r="CD27" i="2"/>
  <c r="CY68" i="2"/>
  <c r="AP15" i="2"/>
  <c r="AI25" i="2"/>
  <c r="BA34" i="2"/>
  <c r="BT18" i="2"/>
  <c r="BO13" i="2"/>
  <c r="AF36" i="2"/>
  <c r="AT11" i="2"/>
  <c r="BA78" i="2"/>
  <c r="CM32" i="2"/>
  <c r="AX16" i="2"/>
  <c r="BQ73" i="2"/>
  <c r="BF33" i="2"/>
  <c r="AU54" i="2"/>
  <c r="BN60" i="2"/>
  <c r="R60" i="2" s="1"/>
  <c r="BJ57" i="2"/>
  <c r="N57" i="2" s="1"/>
  <c r="BG48" i="2"/>
  <c r="BE78" i="2"/>
  <c r="BJ20" i="2"/>
  <c r="CN54" i="2"/>
  <c r="AR70" i="2"/>
  <c r="AX31" i="2"/>
  <c r="AT75" i="2"/>
  <c r="BR12" i="2"/>
  <c r="CH41" i="2"/>
  <c r="AV46" i="2"/>
  <c r="BG81" i="2"/>
  <c r="BW71" i="2"/>
  <c r="BQ20" i="2"/>
  <c r="BX29" i="2"/>
  <c r="BW78" i="2"/>
  <c r="BZ35" i="2"/>
  <c r="AP48" i="2"/>
  <c r="AS9" i="2"/>
  <c r="AV25" i="2"/>
  <c r="AX71" i="2"/>
  <c r="BO75" i="2"/>
  <c r="CE35" i="2"/>
  <c r="AJ82" i="2"/>
  <c r="BG19" i="2"/>
  <c r="AZ69" i="2"/>
  <c r="BT70" i="2"/>
  <c r="CM49" i="2"/>
  <c r="AW43" i="2"/>
  <c r="AT54" i="2"/>
  <c r="BS67" i="2"/>
  <c r="BM39" i="2"/>
  <c r="BR65" i="2"/>
  <c r="BM58" i="2"/>
  <c r="Q58" i="2" s="1"/>
  <c r="BY78" i="2"/>
  <c r="BB81" i="2"/>
  <c r="BX73" i="2"/>
  <c r="BI56" i="2"/>
  <c r="M56" i="2" s="1"/>
  <c r="CH81" i="2"/>
  <c r="BG44" i="2"/>
  <c r="BW59" i="2"/>
  <c r="AA59" i="2" s="1"/>
  <c r="BP62" i="2"/>
  <c r="T62" i="2" s="1"/>
  <c r="CM23" i="2"/>
  <c r="BL61" i="2"/>
  <c r="P61" i="2" s="1"/>
  <c r="CL34" i="2"/>
  <c r="CG18" i="2"/>
  <c r="BT11" i="2"/>
  <c r="BN40" i="2"/>
  <c r="BQ13" i="2"/>
  <c r="CA30" i="2"/>
  <c r="AZ33" i="2"/>
  <c r="BL18" i="2"/>
  <c r="BO40" i="2"/>
  <c r="CD40" i="2"/>
  <c r="BN12" i="2"/>
  <c r="BX78" i="2"/>
  <c r="CE27" i="2"/>
  <c r="BI57" i="2"/>
  <c r="M57" i="2" s="1"/>
  <c r="BZ44" i="2"/>
  <c r="CN74" i="2"/>
  <c r="CK45" i="2"/>
  <c r="BH47" i="2"/>
  <c r="BN35" i="2"/>
  <c r="BR17" i="2"/>
  <c r="BP68" i="2"/>
  <c r="BI38" i="2"/>
  <c r="CM29" i="2"/>
  <c r="BJ76" i="2"/>
  <c r="CH74" i="2"/>
  <c r="CI17" i="2"/>
  <c r="CA67" i="2"/>
  <c r="CJ32" i="2"/>
  <c r="BJ79" i="2"/>
  <c r="CF68" i="2"/>
  <c r="CH78" i="2"/>
  <c r="CJ23" i="2"/>
  <c r="BB51" i="2"/>
  <c r="AV63" i="2"/>
  <c r="BR66" i="2"/>
  <c r="BR47" i="2"/>
  <c r="BO45" i="2"/>
  <c r="CL16" i="2"/>
  <c r="BU64" i="2"/>
  <c r="CG19" i="2"/>
  <c r="CB52" i="2"/>
  <c r="CM9" i="2"/>
  <c r="BY65" i="2"/>
  <c r="BZ30" i="2"/>
  <c r="CB66" i="2"/>
  <c r="CC81" i="2"/>
  <c r="CI29" i="2"/>
  <c r="BZ25" i="2"/>
  <c r="CI37" i="2"/>
  <c r="CH50" i="2"/>
  <c r="CA81" i="2"/>
  <c r="CA77" i="2"/>
  <c r="CI23" i="2"/>
  <c r="CF71" i="2"/>
  <c r="CD76" i="2"/>
  <c r="CJ50" i="2"/>
  <c r="CF47" i="2"/>
  <c r="CL81" i="2"/>
  <c r="BT41" i="2"/>
  <c r="BR76" i="2"/>
  <c r="CG14" i="2"/>
  <c r="BX15" i="2"/>
  <c r="CD43" i="2"/>
  <c r="CJ35" i="2"/>
  <c r="BV50" i="2"/>
  <c r="BL51" i="2"/>
  <c r="BQ15" i="2"/>
  <c r="CD34" i="2"/>
  <c r="BC39" i="2"/>
  <c r="BL14" i="2"/>
  <c r="BO51" i="2"/>
  <c r="CE9" i="2"/>
  <c r="BN45" i="2"/>
  <c r="BK9" i="2"/>
  <c r="CC15" i="2"/>
  <c r="BU61" i="2"/>
  <c r="Y61" i="2" s="1"/>
  <c r="BZ71" i="2"/>
  <c r="CC54" i="2"/>
  <c r="CG78" i="2"/>
  <c r="BC53" i="2"/>
  <c r="BT15" i="2"/>
  <c r="BR33" i="2"/>
  <c r="BK80" i="2"/>
  <c r="BQ40" i="2"/>
  <c r="CG11" i="2"/>
  <c r="CE10" i="2"/>
  <c r="CI66" i="2"/>
  <c r="CD37" i="2"/>
  <c r="CM75" i="2"/>
  <c r="CK50" i="2"/>
  <c r="CA52" i="2"/>
  <c r="BY38" i="2"/>
  <c r="CI64" i="2"/>
  <c r="CB30" i="2"/>
  <c r="AY71" i="2"/>
  <c r="AV65" i="2"/>
  <c r="BV19" i="2"/>
  <c r="BK59" i="2"/>
  <c r="O59" i="2" s="1"/>
  <c r="BO49" i="2"/>
  <c r="CL20" i="2"/>
  <c r="BU68" i="2"/>
  <c r="CG27" i="2"/>
  <c r="CG75" i="2"/>
  <c r="CE30" i="2"/>
  <c r="BY71" i="2"/>
  <c r="CF35" i="2"/>
  <c r="BY79" i="2"/>
  <c r="BZ80" i="2"/>
  <c r="CK51" i="2"/>
  <c r="CH28" i="2"/>
  <c r="CI40" i="2"/>
  <c r="CL64" i="2"/>
  <c r="CM51" i="2"/>
  <c r="CA82" i="2"/>
  <c r="CB35" i="2"/>
  <c r="CL71" i="2"/>
  <c r="BY64" i="2"/>
  <c r="CJ54" i="2"/>
  <c r="CF53" i="2"/>
  <c r="CK64" i="2"/>
  <c r="BK81" i="2"/>
  <c r="BA51" i="2"/>
  <c r="AX65" i="2"/>
  <c r="BR59" i="2"/>
  <c r="V59" i="2" s="1"/>
  <c r="CB23" i="2"/>
  <c r="AJ76" i="2"/>
  <c r="AW30" i="2"/>
  <c r="AZ63" i="2"/>
  <c r="BR48" i="2"/>
  <c r="CD17" i="2"/>
  <c r="BD36" i="2"/>
  <c r="AW80" i="2"/>
  <c r="BV41" i="2"/>
  <c r="BQ32" i="2"/>
  <c r="BT12" i="2"/>
  <c r="BJ29" i="2"/>
  <c r="CN68" i="2"/>
  <c r="AD53" i="2"/>
  <c r="AW17" i="2"/>
  <c r="AY44" i="2"/>
  <c r="BT13" i="2"/>
  <c r="BU13" i="2"/>
  <c r="BZ83" i="2"/>
  <c r="AZ11" i="2"/>
  <c r="BC34" i="2"/>
  <c r="AZ81" i="2"/>
  <c r="BW11" i="2"/>
  <c r="CB81" i="2"/>
  <c r="BA83" i="2"/>
  <c r="AT65" i="2"/>
  <c r="BL35" i="2"/>
  <c r="BM60" i="2"/>
  <c r="Q60" i="2" s="1"/>
  <c r="BI76" i="2"/>
  <c r="BN74" i="2"/>
  <c r="CJ76" i="2"/>
  <c r="AV66" i="2"/>
  <c r="BK16" i="2"/>
  <c r="BL75" i="2"/>
  <c r="CC73" i="2"/>
  <c r="AS42" i="2"/>
  <c r="BX41" i="2"/>
  <c r="CB39" i="2"/>
  <c r="CG29" i="2"/>
  <c r="BN29" i="2"/>
  <c r="CB42" i="2"/>
  <c r="BZ54" i="2"/>
  <c r="BT19" i="2"/>
  <c r="BV66" i="2"/>
  <c r="BQ17" i="2"/>
  <c r="CL33" i="2"/>
  <c r="BG52" i="2"/>
  <c r="BT23" i="2"/>
  <c r="BI75" i="2"/>
  <c r="CB44" i="2"/>
  <c r="BT79" i="2"/>
  <c r="BK12" i="2"/>
  <c r="CC29" i="2"/>
  <c r="BU66" i="2"/>
  <c r="CN11" i="2"/>
  <c r="CH11" i="2"/>
  <c r="CL82" i="2"/>
  <c r="BD75" i="2"/>
  <c r="BX47" i="2"/>
  <c r="BR43" i="2"/>
  <c r="BR82" i="2"/>
  <c r="BI43" i="2"/>
  <c r="CG17" i="2"/>
  <c r="CD33" i="2"/>
  <c r="CA73" i="2"/>
  <c r="CE18" i="2"/>
  <c r="CH31" i="2"/>
  <c r="CF83" i="2"/>
  <c r="CI19" i="2"/>
  <c r="BY46" i="2"/>
  <c r="CI67" i="2"/>
  <c r="CD52" i="2"/>
  <c r="AX82" i="2"/>
  <c r="AV67" i="2"/>
  <c r="BT34" i="2"/>
  <c r="BT64" i="2"/>
  <c r="BO57" i="2"/>
  <c r="S57" i="2" s="1"/>
  <c r="CL28" i="2"/>
  <c r="BU72" i="2"/>
  <c r="CG31" i="2"/>
  <c r="CC77" i="2"/>
  <c r="CK13" i="2"/>
  <c r="CF29" i="2"/>
  <c r="CF49" i="2"/>
  <c r="CF9" i="2"/>
  <c r="CM65" i="2"/>
  <c r="CD45" i="2"/>
  <c r="CL32" i="2"/>
  <c r="CA43" i="2"/>
  <c r="CC33" i="2"/>
  <c r="CB70" i="2"/>
  <c r="BK40" i="2"/>
  <c r="CM54" i="2"/>
  <c r="CH10" i="2"/>
  <c r="BY68" i="2"/>
  <c r="CN67" i="2"/>
  <c r="CH67" i="2"/>
  <c r="CK66" i="2"/>
  <c r="AT53" i="2"/>
  <c r="BN62" i="2"/>
  <c r="R62" i="2" s="1"/>
  <c r="BQ36" i="2"/>
  <c r="BV40" i="2"/>
  <c r="BJ45" i="2"/>
  <c r="BD73" i="2"/>
  <c r="AD64" i="2"/>
  <c r="AW18" i="2"/>
  <c r="BH40" i="2"/>
  <c r="BN27" i="2"/>
  <c r="BU17" i="2"/>
  <c r="AI55" i="2"/>
  <c r="BB11" i="2"/>
  <c r="AW37" i="2"/>
  <c r="BO63" i="2"/>
  <c r="BW15" i="2"/>
  <c r="CG71" i="2"/>
  <c r="BF81" i="2"/>
  <c r="BB67" i="2"/>
  <c r="BN48" i="2"/>
  <c r="BL77" i="2"/>
  <c r="BO81" i="2"/>
  <c r="BM74" i="2"/>
  <c r="CE70" i="2"/>
  <c r="BD69" i="2"/>
  <c r="BK23" i="2"/>
  <c r="BU77" i="2"/>
  <c r="BY15" i="2"/>
  <c r="AU66" i="2"/>
  <c r="BP9" i="2"/>
  <c r="CI15" i="2"/>
  <c r="BZ42" i="2"/>
  <c r="BT25" i="2"/>
  <c r="CJ42" i="2"/>
  <c r="CF15" i="2"/>
  <c r="BV9" i="2"/>
  <c r="BV78" i="2"/>
  <c r="BQ19" i="2"/>
  <c r="CM18" i="2"/>
  <c r="AS38" i="2"/>
  <c r="BO67" i="2"/>
  <c r="CN49" i="2"/>
  <c r="CG20" i="2"/>
  <c r="BV31" i="2"/>
  <c r="BS14" i="2"/>
  <c r="CL67" i="2"/>
  <c r="BU71" i="2"/>
  <c r="CN17" i="2"/>
  <c r="BZ20" i="2"/>
  <c r="CA74" i="2"/>
  <c r="BA42" i="2"/>
  <c r="BV15" i="2"/>
  <c r="BR57" i="2"/>
  <c r="V57" i="2" s="1"/>
  <c r="CI18" i="2"/>
  <c r="BI46" i="2"/>
  <c r="CG25" i="2"/>
  <c r="CE16" i="2"/>
  <c r="BZ31" i="2"/>
  <c r="CK17" i="2"/>
  <c r="CM55" i="2"/>
  <c r="CM38" i="2"/>
  <c r="CH49" i="2"/>
  <c r="CG63" i="2"/>
  <c r="CI71" i="2"/>
  <c r="CE36" i="2"/>
  <c r="BH45" i="2"/>
  <c r="AV69" i="2"/>
  <c r="BX44" i="2"/>
  <c r="BV69" i="2"/>
  <c r="BP64" i="2"/>
  <c r="CF46" i="2"/>
  <c r="BW77" i="2"/>
  <c r="CJ47" i="2"/>
  <c r="BZ82" i="2"/>
  <c r="CK19" i="2"/>
  <c r="CN32" i="2"/>
  <c r="CN76" i="2"/>
  <c r="CF11" i="2"/>
  <c r="CM69" i="2"/>
  <c r="BY81" i="2"/>
  <c r="CM53" i="2"/>
  <c r="CI45" i="2"/>
  <c r="CK35" i="2"/>
  <c r="CK33" i="2"/>
  <c r="BK42" i="2"/>
  <c r="CD41" i="2"/>
  <c r="CH13" i="2"/>
  <c r="BY72" i="2"/>
  <c r="CG77" i="2"/>
  <c r="BY82" i="2"/>
  <c r="CK68" i="2"/>
  <c r="Q12" i="2" l="1"/>
  <c r="S55" i="2"/>
  <c r="R33" i="2"/>
  <c r="AA32" i="2"/>
  <c r="N41" i="2"/>
  <c r="Z75" i="2"/>
  <c r="AA12" i="2"/>
  <c r="O42" i="2"/>
  <c r="R31" i="2"/>
  <c r="S69" i="2"/>
  <c r="Q67" i="2"/>
  <c r="Y35" i="2"/>
  <c r="M29" i="2"/>
  <c r="Z80" i="2"/>
  <c r="X9" i="2"/>
  <c r="Q44" i="2"/>
  <c r="X28" i="2"/>
  <c r="AB12" i="2"/>
  <c r="V45" i="2"/>
  <c r="Y13" i="2"/>
  <c r="V77" i="2"/>
  <c r="R41" i="2"/>
  <c r="T53" i="2"/>
  <c r="T44" i="2"/>
  <c r="AB81" i="2"/>
  <c r="M51" i="2"/>
  <c r="Y50" i="2"/>
  <c r="P45" i="2"/>
  <c r="X46" i="2"/>
  <c r="Y34" i="2"/>
  <c r="R68" i="2"/>
  <c r="Q83" i="2"/>
  <c r="Q31" i="2"/>
  <c r="S12" i="2"/>
  <c r="M13" i="2"/>
  <c r="Z37" i="2"/>
  <c r="T28" i="2"/>
  <c r="X23" i="2"/>
  <c r="O44" i="2"/>
  <c r="T69" i="2"/>
  <c r="V53" i="2"/>
  <c r="V71" i="2"/>
  <c r="T55" i="2"/>
  <c r="P29" i="2"/>
  <c r="T34" i="2"/>
  <c r="AA66" i="2"/>
  <c r="N78" i="2"/>
  <c r="X27" i="2"/>
  <c r="O29" i="2"/>
  <c r="R54" i="2"/>
  <c r="AB33" i="2"/>
  <c r="O39" i="2"/>
  <c r="X41" i="2"/>
  <c r="W42" i="2"/>
  <c r="Q82" i="2"/>
  <c r="AB32" i="2"/>
  <c r="R19" i="2"/>
  <c r="Z28" i="2"/>
  <c r="U42" i="2"/>
  <c r="Y63" i="2"/>
  <c r="V15" i="2"/>
  <c r="V43" i="2"/>
  <c r="R40" i="2"/>
  <c r="AA71" i="2"/>
  <c r="P33" i="2"/>
  <c r="O67" i="2"/>
  <c r="N17" i="2"/>
  <c r="X20" i="2"/>
  <c r="Z76" i="2"/>
  <c r="Y77" i="2"/>
  <c r="X49" i="2"/>
  <c r="N43" i="2"/>
  <c r="U36" i="2"/>
  <c r="Z82" i="2"/>
  <c r="AB80" i="2"/>
  <c r="V67" i="2"/>
  <c r="P80" i="2"/>
  <c r="Q23" i="2"/>
  <c r="T74" i="2"/>
  <c r="P40" i="2"/>
  <c r="M40" i="2"/>
  <c r="Q72" i="2"/>
  <c r="Q46" i="2"/>
  <c r="V27" i="2"/>
  <c r="AA46" i="2"/>
  <c r="U33" i="2"/>
  <c r="O17" i="2"/>
  <c r="Z54" i="2"/>
  <c r="N50" i="2"/>
  <c r="U79" i="2"/>
  <c r="AA42" i="2"/>
  <c r="N67" i="2"/>
  <c r="Q25" i="2"/>
  <c r="Y11" i="2"/>
  <c r="M82" i="2"/>
  <c r="O43" i="2"/>
  <c r="T30" i="2"/>
  <c r="P10" i="2"/>
  <c r="T49" i="2"/>
  <c r="R74" i="2"/>
  <c r="Q36" i="2"/>
  <c r="AA81" i="2"/>
  <c r="W53" i="2"/>
  <c r="Z53" i="2"/>
  <c r="AA82" i="2"/>
  <c r="V81" i="2"/>
  <c r="Y68" i="2"/>
  <c r="M47" i="2"/>
  <c r="W36" i="2"/>
  <c r="T48" i="2"/>
  <c r="AA79" i="2"/>
  <c r="V74" i="2"/>
  <c r="AB37" i="2"/>
  <c r="AA65" i="2"/>
  <c r="P9" i="2"/>
  <c r="S67" i="2"/>
  <c r="U64" i="2"/>
  <c r="R32" i="2"/>
  <c r="S70" i="2"/>
  <c r="U77" i="2"/>
  <c r="W74" i="2"/>
  <c r="R34" i="2"/>
  <c r="W10" i="2"/>
  <c r="U81" i="2"/>
  <c r="Z47" i="2"/>
  <c r="O50" i="2"/>
  <c r="Z63" i="2"/>
  <c r="V16" i="2"/>
  <c r="X13" i="2"/>
  <c r="X32" i="2"/>
  <c r="U67" i="2"/>
  <c r="Q9" i="2"/>
  <c r="AA19" i="2"/>
  <c r="S82" i="2"/>
  <c r="U12" i="2"/>
  <c r="U76" i="2"/>
  <c r="R38" i="2"/>
  <c r="AB23" i="2"/>
  <c r="U54" i="2"/>
  <c r="N37" i="2"/>
  <c r="M11" i="2"/>
  <c r="V31" i="2"/>
  <c r="N75" i="2"/>
  <c r="N27" i="2"/>
  <c r="AA50" i="2"/>
  <c r="N81" i="2"/>
  <c r="Q47" i="2"/>
  <c r="Y27" i="2"/>
  <c r="Q45" i="2"/>
  <c r="R12" i="2"/>
  <c r="M65" i="2"/>
  <c r="AB10" i="2"/>
  <c r="Y32" i="2"/>
  <c r="U25" i="2"/>
  <c r="P81" i="2"/>
  <c r="O65" i="2"/>
  <c r="P66" i="2"/>
  <c r="AA38" i="2"/>
  <c r="X31" i="2"/>
  <c r="W38" i="2"/>
  <c r="Q37" i="2"/>
  <c r="W76" i="2"/>
  <c r="W80" i="2"/>
  <c r="V17" i="2"/>
  <c r="P75" i="2"/>
  <c r="W18" i="2"/>
  <c r="M23" i="2"/>
  <c r="R46" i="2"/>
  <c r="X39" i="2"/>
  <c r="AA27" i="2"/>
  <c r="O54" i="2"/>
  <c r="O82" i="2"/>
  <c r="U75" i="2"/>
  <c r="M48" i="2"/>
  <c r="P12" i="2"/>
  <c r="S19" i="2"/>
  <c r="N45" i="2"/>
  <c r="R67" i="2"/>
  <c r="AA67" i="2"/>
  <c r="P55" i="2"/>
  <c r="Z15" i="2"/>
  <c r="Y64" i="2"/>
  <c r="Y67" i="2"/>
  <c r="W55" i="2"/>
  <c r="X74" i="2"/>
  <c r="N54" i="2"/>
  <c r="N77" i="2"/>
  <c r="Q52" i="2"/>
  <c r="Z70" i="2"/>
  <c r="Z39" i="2"/>
  <c r="AB53" i="2"/>
  <c r="AB54" i="2"/>
  <c r="V82" i="2"/>
  <c r="P43" i="2"/>
  <c r="T71" i="2"/>
  <c r="AA15" i="2"/>
  <c r="Y51" i="2"/>
  <c r="U39" i="2"/>
  <c r="Y72" i="2"/>
  <c r="X10" i="2"/>
  <c r="O81" i="2"/>
  <c r="AB42" i="2"/>
  <c r="Q27" i="2"/>
  <c r="P44" i="2"/>
  <c r="M68" i="2"/>
  <c r="P16" i="2"/>
  <c r="Y70" i="2"/>
  <c r="N79" i="2"/>
  <c r="AA9" i="2"/>
  <c r="Y76" i="2"/>
  <c r="AA77" i="2"/>
  <c r="M63" i="2"/>
  <c r="M37" i="2"/>
  <c r="M46" i="2"/>
  <c r="P50" i="2"/>
  <c r="N66" i="2"/>
  <c r="T73" i="2"/>
  <c r="Q51" i="2"/>
  <c r="V46" i="2"/>
  <c r="U73" i="2"/>
  <c r="N74" i="2"/>
  <c r="AA72" i="2"/>
  <c r="T66" i="2"/>
  <c r="Z66" i="2"/>
  <c r="Q76" i="2"/>
  <c r="U18" i="2"/>
  <c r="Z42" i="2"/>
  <c r="Q29" i="2"/>
  <c r="M20" i="2"/>
  <c r="AA20" i="2"/>
  <c r="O16" i="2"/>
  <c r="AB75" i="2"/>
  <c r="P77" i="2"/>
  <c r="U35" i="2"/>
  <c r="X50" i="2"/>
  <c r="X35" i="2"/>
  <c r="Z68" i="2"/>
  <c r="P11" i="2"/>
  <c r="V55" i="2"/>
  <c r="AA37" i="2"/>
  <c r="X34" i="2"/>
  <c r="P20" i="2"/>
  <c r="X53" i="2"/>
  <c r="Z48" i="2"/>
  <c r="Z33" i="2"/>
  <c r="V73" i="2"/>
  <c r="T40" i="2"/>
  <c r="T50" i="2"/>
  <c r="P79" i="2"/>
  <c r="X14" i="2"/>
  <c r="N55" i="2"/>
  <c r="AA64" i="2"/>
  <c r="S43" i="2"/>
  <c r="T23" i="2"/>
  <c r="P76" i="2"/>
  <c r="AB46" i="2"/>
  <c r="X69" i="2"/>
  <c r="AA54" i="2"/>
  <c r="AA55" i="2"/>
  <c r="AB83" i="2"/>
  <c r="S48" i="2"/>
  <c r="Q74" i="2"/>
  <c r="U29" i="2"/>
  <c r="U72" i="2"/>
  <c r="P74" i="2"/>
  <c r="Z31" i="2"/>
  <c r="AA68" i="2"/>
  <c r="S73" i="2"/>
  <c r="R9" i="2"/>
  <c r="U9" i="2"/>
  <c r="Z81" i="2"/>
  <c r="Q69" i="2"/>
  <c r="AA14" i="2"/>
  <c r="R28" i="2"/>
  <c r="M83" i="2"/>
  <c r="P83" i="2"/>
  <c r="R15" i="2"/>
  <c r="AA44" i="2"/>
  <c r="Q63" i="2"/>
  <c r="Q43" i="2"/>
  <c r="Q10" i="2"/>
  <c r="O34" i="2"/>
  <c r="W39" i="2"/>
  <c r="U31" i="2"/>
  <c r="P71" i="2"/>
  <c r="M69" i="2"/>
  <c r="M39" i="2"/>
  <c r="R39" i="2"/>
  <c r="V36" i="2"/>
  <c r="Q17" i="2"/>
  <c r="Y74" i="2"/>
  <c r="S78" i="2"/>
  <c r="M66" i="2"/>
  <c r="W25" i="2"/>
  <c r="P82" i="2"/>
  <c r="Y42" i="2"/>
  <c r="Z79" i="2"/>
  <c r="W40" i="2"/>
  <c r="S40" i="2"/>
  <c r="Y75" i="2"/>
  <c r="U38" i="2"/>
  <c r="AA34" i="2"/>
  <c r="R30" i="2"/>
  <c r="S63" i="2"/>
  <c r="M30" i="2"/>
  <c r="O9" i="2"/>
  <c r="S16" i="2"/>
  <c r="Z73" i="2"/>
  <c r="T9" i="2"/>
  <c r="R35" i="2"/>
  <c r="U41" i="2"/>
  <c r="N44" i="2"/>
  <c r="M34" i="2"/>
  <c r="Z49" i="2"/>
  <c r="V65" i="2"/>
  <c r="P73" i="2"/>
  <c r="P41" i="2"/>
  <c r="W31" i="2"/>
  <c r="X48" i="2"/>
  <c r="R29" i="2"/>
  <c r="N9" i="2"/>
  <c r="AB44" i="2"/>
  <c r="M50" i="2"/>
  <c r="W15" i="2"/>
  <c r="V35" i="2"/>
  <c r="T15" i="2"/>
  <c r="AA73" i="2"/>
  <c r="P14" i="2"/>
  <c r="S38" i="2"/>
  <c r="R47" i="2"/>
  <c r="O32" i="2"/>
  <c r="U53" i="2"/>
  <c r="W54" i="2"/>
  <c r="AA33" i="2"/>
  <c r="P30" i="2"/>
  <c r="T67" i="2"/>
  <c r="M35" i="2"/>
  <c r="V23" i="2"/>
  <c r="AB78" i="2"/>
  <c r="U13" i="2"/>
  <c r="AA47" i="2"/>
  <c r="AA13" i="2"/>
  <c r="T10" i="2"/>
  <c r="O28" i="2"/>
  <c r="X52" i="2"/>
  <c r="Z19" i="2"/>
  <c r="AA35" i="2"/>
  <c r="O46" i="2"/>
  <c r="M25" i="2"/>
  <c r="X64" i="2"/>
  <c r="U50" i="2"/>
  <c r="Y47" i="2"/>
  <c r="AB73" i="2"/>
  <c r="Y81" i="2"/>
  <c r="V19" i="2"/>
  <c r="X63" i="2"/>
  <c r="U71" i="2"/>
  <c r="Y71" i="2"/>
  <c r="M10" i="2"/>
  <c r="U10" i="2"/>
  <c r="Z67" i="2"/>
  <c r="Y36" i="2"/>
  <c r="Z36" i="2"/>
  <c r="M71" i="2"/>
  <c r="Z46" i="2"/>
  <c r="V78" i="2"/>
  <c r="P46" i="2"/>
  <c r="S77" i="2"/>
  <c r="W23" i="2"/>
  <c r="AB82" i="2"/>
  <c r="V9" i="2"/>
  <c r="O31" i="2"/>
  <c r="Y43" i="2"/>
  <c r="W49" i="2"/>
  <c r="U28" i="2"/>
  <c r="U51" i="2"/>
  <c r="O49" i="2"/>
  <c r="P28" i="2"/>
  <c r="W34" i="2"/>
  <c r="Z23" i="2"/>
  <c r="T47" i="2"/>
  <c r="W20" i="2"/>
  <c r="W14" i="2"/>
  <c r="Z74" i="2"/>
  <c r="R20" i="2"/>
  <c r="R75" i="2"/>
  <c r="V12" i="2"/>
  <c r="O38" i="2"/>
  <c r="Z38" i="2"/>
  <c r="AB30" i="2"/>
  <c r="P49" i="2"/>
  <c r="AA63" i="2"/>
  <c r="T35" i="2"/>
  <c r="U49" i="2"/>
  <c r="R70" i="2"/>
  <c r="V10" i="2"/>
  <c r="Q75" i="2"/>
  <c r="X79" i="2"/>
  <c r="N35" i="2"/>
  <c r="W83" i="2"/>
  <c r="Q68" i="2"/>
  <c r="T37" i="2"/>
  <c r="Q18" i="2"/>
  <c r="P18" i="2"/>
  <c r="O79" i="2"/>
  <c r="T19" i="2"/>
  <c r="S72" i="2"/>
  <c r="V51" i="2"/>
  <c r="S39" i="2"/>
  <c r="T83" i="2"/>
  <c r="O30" i="2"/>
  <c r="Q28" i="2"/>
  <c r="X16" i="2"/>
  <c r="Q49" i="2"/>
  <c r="N46" i="2"/>
  <c r="R36" i="2"/>
  <c r="O76" i="2"/>
  <c r="Z50" i="2"/>
  <c r="W75" i="2"/>
  <c r="N64" i="2"/>
  <c r="M53" i="2"/>
  <c r="AB77" i="2"/>
  <c r="V75" i="2"/>
  <c r="Z83" i="2"/>
  <c r="Y40" i="2"/>
  <c r="S66" i="2"/>
  <c r="Y53" i="2"/>
  <c r="S23" i="2"/>
  <c r="AB27" i="2"/>
  <c r="N80" i="2"/>
  <c r="R51" i="2"/>
  <c r="S28" i="2"/>
  <c r="Z77" i="2"/>
  <c r="O12" i="2"/>
  <c r="AB66" i="2"/>
  <c r="M43" i="2"/>
  <c r="N51" i="2"/>
  <c r="AB63" i="2"/>
  <c r="N30" i="2"/>
  <c r="P67" i="2"/>
  <c r="X70" i="2"/>
  <c r="S50" i="2"/>
  <c r="U48" i="2"/>
  <c r="P42" i="2"/>
  <c r="T27" i="2"/>
  <c r="AA48" i="2"/>
  <c r="W16" i="2"/>
  <c r="R64" i="2"/>
  <c r="T64" i="2"/>
  <c r="N48" i="2"/>
  <c r="N29" i="2"/>
  <c r="N18" i="2"/>
  <c r="O71" i="2"/>
  <c r="V28" i="2"/>
  <c r="AA29" i="2"/>
  <c r="O77" i="2"/>
  <c r="T70" i="2"/>
  <c r="T16" i="2"/>
  <c r="X36" i="2"/>
  <c r="Z17" i="2"/>
  <c r="T12" i="2"/>
  <c r="S44" i="2"/>
  <c r="W81" i="2"/>
  <c r="O19" i="2"/>
  <c r="N32" i="2"/>
  <c r="M72" i="2"/>
  <c r="AB20" i="2"/>
  <c r="Q54" i="2"/>
  <c r="Y49" i="2"/>
  <c r="P17" i="2"/>
  <c r="AB29" i="2"/>
  <c r="W9" i="2"/>
  <c r="R23" i="2"/>
  <c r="P53" i="2"/>
  <c r="N47" i="2"/>
  <c r="Y78" i="2"/>
  <c r="O74" i="2"/>
  <c r="V47" i="2"/>
  <c r="Y45" i="2"/>
  <c r="W17" i="2"/>
  <c r="Z34" i="2"/>
  <c r="AB71" i="2"/>
  <c r="Y9" i="2"/>
  <c r="P72" i="2"/>
  <c r="P64" i="2"/>
  <c r="X54" i="2"/>
  <c r="R10" i="2"/>
  <c r="W78" i="2"/>
  <c r="AA17" i="2"/>
  <c r="P39" i="2"/>
  <c r="AB40" i="2"/>
  <c r="P36" i="2"/>
  <c r="X42" i="2"/>
  <c r="M45" i="2"/>
  <c r="W11" i="2"/>
  <c r="Q55" i="2"/>
  <c r="U34" i="2"/>
  <c r="X38" i="2"/>
  <c r="X75" i="2"/>
  <c r="Q41" i="2"/>
  <c r="M55" i="2"/>
  <c r="V66" i="2"/>
  <c r="T51" i="2"/>
  <c r="P78" i="2"/>
  <c r="M31" i="2"/>
  <c r="W73" i="2"/>
  <c r="U83" i="2"/>
  <c r="O66" i="2"/>
  <c r="W12" i="2"/>
  <c r="Y14" i="2"/>
  <c r="T43" i="2"/>
  <c r="M18" i="2"/>
  <c r="X33" i="2"/>
  <c r="Q53" i="2"/>
  <c r="M49" i="2"/>
  <c r="M70" i="2"/>
  <c r="V63" i="2"/>
  <c r="Y46" i="2"/>
  <c r="Q42" i="2"/>
  <c r="R78" i="2"/>
  <c r="T75" i="2"/>
  <c r="V76" i="2"/>
  <c r="O20" i="2"/>
  <c r="S68" i="2"/>
  <c r="U55" i="2"/>
  <c r="AB69" i="2"/>
  <c r="R17" i="2"/>
  <c r="N20" i="2"/>
  <c r="O25" i="2"/>
  <c r="X11" i="2"/>
  <c r="O33" i="2"/>
  <c r="Y37" i="2"/>
  <c r="AA39" i="2"/>
  <c r="X80" i="2"/>
  <c r="Z43" i="2"/>
  <c r="AA51" i="2"/>
  <c r="X78" i="2"/>
  <c r="T11" i="2"/>
  <c r="T18" i="2"/>
  <c r="S30" i="2"/>
  <c r="O63" i="2"/>
  <c r="R71" i="2"/>
  <c r="AA74" i="2"/>
  <c r="M67" i="2"/>
  <c r="T33" i="2"/>
  <c r="Z72" i="2"/>
  <c r="Z41" i="2"/>
  <c r="T78" i="2"/>
  <c r="T36" i="2"/>
  <c r="X25" i="2"/>
  <c r="X73" i="2"/>
  <c r="S9" i="2"/>
  <c r="U52" i="2"/>
  <c r="Q30" i="2"/>
  <c r="X81" i="2"/>
  <c r="Q15" i="2"/>
  <c r="AA11" i="2"/>
  <c r="V30" i="2"/>
  <c r="M17" i="2"/>
  <c r="S47" i="2"/>
  <c r="M41" i="2"/>
  <c r="P63" i="2"/>
  <c r="N31" i="2"/>
  <c r="U37" i="2"/>
  <c r="Q71" i="2"/>
  <c r="N28" i="2"/>
  <c r="Q66" i="2"/>
  <c r="N38" i="2"/>
  <c r="Z55" i="2"/>
  <c r="AB31" i="2"/>
  <c r="Z29" i="2"/>
  <c r="AA40" i="2"/>
  <c r="S15" i="2"/>
  <c r="M9" i="2"/>
  <c r="M80" i="2"/>
  <c r="Q19" i="2"/>
  <c r="AA10" i="2"/>
  <c r="W19" i="2"/>
  <c r="U40" i="2"/>
  <c r="M27" i="2"/>
  <c r="N71" i="2"/>
  <c r="V50" i="2"/>
  <c r="X37" i="2"/>
  <c r="N14" i="2"/>
  <c r="R55" i="2"/>
  <c r="AB50" i="2"/>
  <c r="W65" i="2"/>
  <c r="X30" i="2"/>
  <c r="M44" i="2"/>
  <c r="W41" i="2"/>
  <c r="W67" i="2"/>
  <c r="V64" i="2"/>
  <c r="AA49" i="2"/>
  <c r="AA78" i="2"/>
  <c r="Y44" i="2"/>
  <c r="V83" i="2"/>
  <c r="X65" i="2"/>
  <c r="P37" i="2"/>
  <c r="O73" i="2"/>
  <c r="T72" i="2"/>
  <c r="T45" i="2"/>
  <c r="O35" i="2"/>
  <c r="Y80" i="2"/>
  <c r="U11" i="2"/>
  <c r="AB64" i="2"/>
  <c r="O55" i="2"/>
  <c r="W63" i="2"/>
  <c r="V70" i="2"/>
  <c r="AB39" i="2"/>
  <c r="U20" i="2"/>
  <c r="AB16" i="2"/>
  <c r="R66" i="2"/>
  <c r="Y10" i="2"/>
  <c r="M77" i="2"/>
  <c r="O69" i="2"/>
  <c r="M19" i="2"/>
  <c r="N36" i="2"/>
  <c r="W69" i="2"/>
  <c r="AB38" i="2"/>
  <c r="AA70" i="2"/>
  <c r="V39" i="2"/>
  <c r="N33" i="2"/>
  <c r="Y31" i="2"/>
  <c r="S33" i="2"/>
  <c r="W32" i="2"/>
  <c r="S36" i="2"/>
  <c r="O68" i="2"/>
  <c r="V40" i="2"/>
  <c r="S76" i="2"/>
  <c r="S80" i="2"/>
  <c r="S27" i="2"/>
  <c r="U63" i="2"/>
  <c r="R14" i="2"/>
  <c r="N16" i="2"/>
  <c r="S10" i="2"/>
  <c r="W44" i="2"/>
  <c r="N69" i="2"/>
  <c r="T68" i="2"/>
  <c r="S45" i="2"/>
  <c r="N52" i="2"/>
  <c r="M73" i="2"/>
  <c r="N65" i="2"/>
  <c r="Y65" i="2"/>
  <c r="Q32" i="2"/>
  <c r="P32" i="2"/>
  <c r="S71" i="2"/>
  <c r="Q16" i="2"/>
  <c r="X12" i="2"/>
  <c r="Z78" i="2"/>
  <c r="AB17" i="2"/>
  <c r="M33" i="2"/>
  <c r="AB76" i="2"/>
  <c r="W29" i="2"/>
  <c r="V32" i="2"/>
  <c r="O36" i="2"/>
  <c r="AA53" i="2"/>
  <c r="U80" i="2"/>
  <c r="X43" i="2"/>
  <c r="U65" i="2"/>
  <c r="Z10" i="2"/>
  <c r="X15" i="2"/>
  <c r="M78" i="2"/>
  <c r="R76" i="2"/>
  <c r="R44" i="2"/>
  <c r="Q14" i="2"/>
  <c r="S32" i="2"/>
  <c r="T76" i="2"/>
  <c r="R83" i="2"/>
  <c r="R50" i="2"/>
  <c r="W46" i="2"/>
  <c r="W37" i="2"/>
  <c r="V13" i="2"/>
  <c r="O70" i="2"/>
  <c r="N63" i="2"/>
  <c r="Y20" i="2"/>
  <c r="Y33" i="2"/>
  <c r="V34" i="2"/>
  <c r="P15" i="2"/>
  <c r="AB34" i="2"/>
  <c r="AB35" i="2"/>
  <c r="AB18" i="2"/>
  <c r="X82" i="2"/>
  <c r="Q38" i="2"/>
  <c r="AA31" i="2"/>
  <c r="T38" i="2"/>
  <c r="S25" i="2"/>
  <c r="V79" i="2"/>
  <c r="Q77" i="2"/>
  <c r="U70" i="2"/>
  <c r="N68" i="2"/>
  <c r="Z14" i="2"/>
  <c r="T80" i="2"/>
  <c r="U16" i="2"/>
  <c r="Q13" i="2"/>
  <c r="AB65" i="2"/>
  <c r="M64" i="2"/>
  <c r="R69" i="2"/>
  <c r="W66" i="2"/>
  <c r="Y12" i="2"/>
  <c r="AA76" i="2"/>
  <c r="S41" i="2"/>
  <c r="X44" i="2"/>
  <c r="W28" i="2"/>
  <c r="W71" i="2"/>
  <c r="R73" i="2"/>
  <c r="AA75" i="2"/>
  <c r="M38" i="2"/>
  <c r="R52" i="2"/>
  <c r="Q78" i="2"/>
  <c r="T29" i="2"/>
  <c r="T20" i="2"/>
  <c r="S46" i="2"/>
  <c r="AB49" i="2"/>
  <c r="Y29" i="2"/>
  <c r="O27" i="2"/>
  <c r="AA80" i="2"/>
  <c r="W43" i="2"/>
  <c r="X29" i="2"/>
  <c r="AB28" i="2"/>
  <c r="X45" i="2"/>
  <c r="R25" i="2"/>
  <c r="R79" i="2"/>
  <c r="Q73" i="2"/>
  <c r="N11" i="2"/>
  <c r="S52" i="2"/>
  <c r="N12" i="2"/>
  <c r="U47" i="2"/>
  <c r="AA18" i="2"/>
  <c r="M81" i="2"/>
  <c r="O48" i="2"/>
  <c r="U45" i="2"/>
  <c r="S35" i="2"/>
  <c r="Z44" i="2"/>
  <c r="S13" i="2"/>
  <c r="P23" i="2"/>
  <c r="X72" i="2"/>
  <c r="M14" i="2"/>
  <c r="T31" i="2"/>
  <c r="T14" i="2"/>
  <c r="Y16" i="2"/>
  <c r="T13" i="2"/>
  <c r="Z35" i="2"/>
  <c r="W52" i="2"/>
  <c r="V25" i="2"/>
  <c r="AB67" i="2"/>
  <c r="R72" i="2"/>
  <c r="R77" i="2"/>
  <c r="M32" i="2"/>
  <c r="Q48" i="2"/>
  <c r="T52" i="2"/>
  <c r="S75" i="2"/>
  <c r="Q34" i="2"/>
  <c r="AB68" i="2"/>
  <c r="AA28" i="2"/>
  <c r="P65" i="2"/>
  <c r="U46" i="2"/>
  <c r="S53" i="2"/>
  <c r="R18" i="2"/>
  <c r="U17" i="2"/>
  <c r="P19" i="2"/>
  <c r="N23" i="2"/>
  <c r="Q64" i="2"/>
  <c r="AB15" i="2"/>
  <c r="AA52" i="2"/>
  <c r="Y39" i="2"/>
  <c r="AA23" i="2"/>
  <c r="W77" i="2"/>
  <c r="R63" i="2"/>
  <c r="W51" i="2"/>
  <c r="Y66" i="2"/>
  <c r="Q65" i="2"/>
  <c r="Y19" i="2"/>
  <c r="V42" i="2"/>
  <c r="O83" i="2"/>
  <c r="Y79" i="2"/>
  <c r="N73" i="2"/>
  <c r="V11" i="2"/>
  <c r="M12" i="2"/>
  <c r="Q20" i="2"/>
  <c r="N10" i="2"/>
  <c r="N19" i="2"/>
  <c r="T32" i="2"/>
  <c r="U32" i="2"/>
  <c r="Z65" i="2"/>
  <c r="W27" i="2"/>
  <c r="O23" i="2"/>
  <c r="Z9" i="2"/>
  <c r="N83" i="2"/>
  <c r="Z45" i="2"/>
  <c r="X51" i="2"/>
  <c r="X71" i="2"/>
  <c r="Z11" i="2"/>
  <c r="Y25" i="2"/>
  <c r="Z30" i="2"/>
  <c r="S11" i="2"/>
  <c r="U15" i="2"/>
  <c r="U82" i="2"/>
  <c r="S34" i="2"/>
  <c r="U43" i="2"/>
  <c r="O13" i="2"/>
  <c r="X83" i="2"/>
  <c r="X55" i="2"/>
  <c r="X19" i="2"/>
  <c r="P13" i="2"/>
  <c r="N34" i="2"/>
  <c r="R48" i="2"/>
  <c r="V41" i="2"/>
  <c r="N42" i="2"/>
  <c r="T65" i="2"/>
  <c r="O75" i="2"/>
  <c r="R82" i="2"/>
  <c r="S83" i="2"/>
  <c r="W33" i="2"/>
  <c r="Y15" i="2"/>
  <c r="X40" i="2"/>
  <c r="V29" i="2"/>
  <c r="O45" i="2"/>
  <c r="M52" i="2"/>
  <c r="Z69" i="2"/>
  <c r="O11" i="2"/>
  <c r="X47" i="2"/>
  <c r="O78" i="2"/>
  <c r="AB41" i="2"/>
  <c r="T42" i="2"/>
  <c r="V18" i="2"/>
  <c r="P52" i="2"/>
  <c r="Z51" i="2"/>
  <c r="V80" i="2"/>
  <c r="W64" i="2"/>
  <c r="M75" i="2"/>
  <c r="Z71" i="2"/>
  <c r="R16" i="2"/>
  <c r="Z18" i="2"/>
  <c r="W13" i="2"/>
  <c r="S31" i="2"/>
  <c r="W72" i="2"/>
  <c r="T17" i="2"/>
  <c r="R42" i="2"/>
  <c r="P69" i="2"/>
  <c r="M28" i="2"/>
  <c r="X76" i="2"/>
  <c r="W45" i="2"/>
  <c r="P25" i="2"/>
  <c r="P54" i="2"/>
  <c r="P68" i="2"/>
  <c r="M15" i="2"/>
  <c r="P27" i="2"/>
  <c r="W47" i="2"/>
  <c r="AB79" i="2"/>
  <c r="O53" i="2"/>
  <c r="W70" i="2"/>
  <c r="W82" i="2"/>
  <c r="Y28" i="2"/>
  <c r="AA25" i="2"/>
  <c r="Q50" i="2"/>
  <c r="V52" i="2"/>
  <c r="AB51" i="2"/>
  <c r="S74" i="2"/>
  <c r="AA43" i="2"/>
  <c r="Y38" i="2"/>
  <c r="P51" i="2"/>
  <c r="U78" i="2"/>
  <c r="AB13" i="2"/>
  <c r="Y18" i="2"/>
  <c r="V38" i="2"/>
  <c r="AA41" i="2"/>
  <c r="U14" i="2"/>
  <c r="AB74" i="2"/>
  <c r="W30" i="2"/>
  <c r="Y30" i="2"/>
  <c r="P34" i="2"/>
  <c r="S17" i="2"/>
  <c r="T41" i="2"/>
  <c r="Z64" i="2"/>
  <c r="W50" i="2"/>
  <c r="T82" i="2"/>
  <c r="Y52" i="2"/>
  <c r="Q11" i="2"/>
  <c r="Q35" i="2"/>
  <c r="X66" i="2"/>
  <c r="AB19" i="2"/>
  <c r="V20" i="2"/>
  <c r="AB47" i="2"/>
  <c r="T81" i="2"/>
  <c r="N39" i="2"/>
  <c r="Y17" i="2"/>
  <c r="S20" i="2"/>
  <c r="Y55" i="2"/>
  <c r="T63" i="2"/>
  <c r="Y48" i="2"/>
  <c r="R27" i="2"/>
  <c r="AB36" i="2"/>
  <c r="AA16" i="2"/>
  <c r="R53" i="2"/>
  <c r="V48" i="2"/>
  <c r="S14" i="2"/>
  <c r="Z40" i="2"/>
  <c r="S49" i="2"/>
  <c r="Y69" i="2"/>
  <c r="X17" i="2"/>
  <c r="V54" i="2"/>
  <c r="N49" i="2"/>
  <c r="X68" i="2"/>
  <c r="Z13" i="2"/>
  <c r="R49" i="2"/>
  <c r="W35" i="2"/>
  <c r="S18" i="2"/>
  <c r="Y83" i="2"/>
  <c r="Z12" i="2"/>
  <c r="O47" i="2"/>
  <c r="R11" i="2"/>
  <c r="R45" i="2"/>
  <c r="R37" i="2"/>
  <c r="N76" i="2"/>
  <c r="AB55" i="2"/>
  <c r="Q39" i="2"/>
  <c r="O64" i="2"/>
  <c r="R81" i="2"/>
  <c r="M36" i="2"/>
  <c r="M74" i="2"/>
  <c r="P70" i="2"/>
  <c r="Z52" i="2"/>
  <c r="M42" i="2"/>
  <c r="T79" i="2"/>
  <c r="Q81" i="2"/>
  <c r="U69" i="2"/>
  <c r="M54" i="2"/>
  <c r="AB72" i="2"/>
  <c r="U68" i="2"/>
  <c r="U27" i="2"/>
  <c r="T77" i="2"/>
  <c r="AA30" i="2"/>
  <c r="Q70" i="2"/>
  <c r="Z32" i="2"/>
  <c r="T39" i="2"/>
  <c r="M76" i="2"/>
  <c r="O80" i="2"/>
  <c r="U66" i="2"/>
  <c r="U74" i="2"/>
  <c r="V37" i="2"/>
  <c r="X67" i="2"/>
  <c r="W48" i="2"/>
  <c r="T46" i="2"/>
  <c r="N82" i="2"/>
  <c r="Q33" i="2"/>
  <c r="O37" i="2"/>
  <c r="Z25" i="2"/>
  <c r="P47" i="2"/>
  <c r="N15" i="2"/>
  <c r="Q80" i="2"/>
  <c r="R65" i="2"/>
  <c r="AA45" i="2"/>
  <c r="V44" i="2"/>
  <c r="M16" i="2"/>
  <c r="U44" i="2"/>
  <c r="S54" i="2"/>
  <c r="N25" i="2"/>
  <c r="AB45" i="2"/>
  <c r="O15" i="2"/>
  <c r="Z16" i="2"/>
  <c r="U30" i="2"/>
  <c r="Y73" i="2"/>
  <c r="V69" i="2"/>
  <c r="S65" i="2"/>
  <c r="N70" i="2"/>
  <c r="T54" i="2"/>
  <c r="V68" i="2"/>
  <c r="AA83" i="2"/>
  <c r="N13" i="2"/>
  <c r="AB52" i="2"/>
  <c r="M79" i="2"/>
  <c r="AB70" i="2"/>
  <c r="AB9" i="2"/>
  <c r="S42" i="2"/>
  <c r="N53" i="2"/>
  <c r="P31" i="2"/>
  <c r="Q79" i="2"/>
  <c r="W68" i="2"/>
  <c r="V14" i="2"/>
  <c r="V49" i="2"/>
  <c r="P38" i="2"/>
  <c r="R80" i="2"/>
  <c r="AA69" i="2"/>
  <c r="O51" i="2"/>
  <c r="S51" i="2"/>
  <c r="U19" i="2"/>
  <c r="AB48" i="2"/>
  <c r="Y41" i="2"/>
  <c r="O52" i="2"/>
  <c r="S64" i="2"/>
  <c r="S29" i="2"/>
  <c r="AA36" i="2"/>
  <c r="O40" i="2"/>
  <c r="Y23" i="2"/>
  <c r="Z20" i="2"/>
  <c r="N40" i="2"/>
  <c r="W79" i="2"/>
  <c r="V72" i="2"/>
  <c r="O18" i="2"/>
  <c r="P48" i="2"/>
  <c r="S81" i="2"/>
  <c r="Z27" i="2"/>
  <c r="AB25" i="2"/>
  <c r="N72" i="2"/>
  <c r="AB11" i="2"/>
  <c r="AB43" i="2"/>
  <c r="X18" i="2"/>
  <c r="O41" i="2"/>
  <c r="S37" i="2"/>
  <c r="O10" i="2"/>
  <c r="X77" i="2"/>
  <c r="R13" i="2"/>
  <c r="P35" i="2"/>
  <c r="Y54" i="2"/>
  <c r="Y82" i="2"/>
  <c r="Q40" i="2"/>
  <c r="U23" i="2"/>
  <c r="T25" i="2"/>
  <c r="S79" i="2"/>
  <c r="AB14" i="2"/>
  <c r="O72" i="2"/>
  <c r="V33" i="2"/>
  <c r="R43" i="2"/>
  <c r="O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<sst xmlns="http://schemas.openxmlformats.org/spreadsheetml/2006/main" count="700" uniqueCount="553">
  <si>
    <t>국채</t>
  </si>
  <si>
    <t>국고채</t>
  </si>
  <si>
    <t>3M</t>
  </si>
  <si>
    <t>1Y</t>
  </si>
  <si>
    <t>1.5Y</t>
  </si>
  <si>
    <t>2Y</t>
  </si>
  <si>
    <t>2.5Y</t>
  </si>
  <si>
    <t>3Y</t>
  </si>
  <si>
    <t>4Y</t>
  </si>
  <si>
    <t>5Y</t>
  </si>
  <si>
    <t>7Y</t>
  </si>
  <si>
    <t>10Y</t>
  </si>
  <si>
    <t>15Y</t>
  </si>
  <si>
    <t>20Y</t>
  </si>
  <si>
    <t>30Y</t>
  </si>
  <si>
    <t>50Y</t>
  </si>
  <si>
    <t>양곡,외평,재정</t>
  </si>
  <si>
    <t>국민주택1종</t>
  </si>
  <si>
    <t>복리채</t>
  </si>
  <si>
    <t>국민주택2종</t>
  </si>
  <si>
    <t>국민주택3종</t>
  </si>
  <si>
    <t>지방채</t>
  </si>
  <si>
    <t>서울도시철도</t>
  </si>
  <si>
    <t>분할거치</t>
  </si>
  <si>
    <t>지역개발채</t>
  </si>
  <si>
    <t>공사/공단채</t>
  </si>
  <si>
    <t>정부보증</t>
  </si>
  <si>
    <t>AAA</t>
  </si>
  <si>
    <t>AA+</t>
  </si>
  <si>
    <t>AA0</t>
  </si>
  <si>
    <t>AA-</t>
  </si>
  <si>
    <t>통안증권</t>
  </si>
  <si>
    <t>이표채</t>
  </si>
  <si>
    <t>할인채</t>
  </si>
  <si>
    <t>금융채</t>
  </si>
  <si>
    <t>은행채</t>
  </si>
  <si>
    <t>AAA(산금-이표)</t>
  </si>
  <si>
    <t>AAA(산금-할인)</t>
  </si>
  <si>
    <t>AAA(중금-이표)</t>
  </si>
  <si>
    <t>AAA(중금-할인)</t>
  </si>
  <si>
    <t>A+</t>
  </si>
  <si>
    <t>A0</t>
  </si>
  <si>
    <t>A-</t>
  </si>
  <si>
    <t>카드채</t>
  </si>
  <si>
    <t>BBB+</t>
  </si>
  <si>
    <t>BBB0</t>
  </si>
  <si>
    <t>BBB-</t>
  </si>
  <si>
    <t>기타금융채</t>
  </si>
  <si>
    <t>회사채</t>
  </si>
  <si>
    <t>공모/보증</t>
  </si>
  <si>
    <t>특수,우량시중은행</t>
  </si>
  <si>
    <t>시중은행</t>
  </si>
  <si>
    <t>우량지방은행</t>
  </si>
  <si>
    <t>기타금융기관</t>
  </si>
  <si>
    <t>공모/무보증</t>
  </si>
  <si>
    <t>사모/무보증</t>
  </si>
  <si>
    <t>유동화증권</t>
  </si>
  <si>
    <t>KHFC MBS/SLBS</t>
  </si>
  <si>
    <t>3월이하(당일)</t>
  </si>
  <si>
    <t>6월이하(당일)</t>
  </si>
  <si>
    <t>9월이하(당일)</t>
  </si>
  <si>
    <t>1년이하(당일)</t>
  </si>
  <si>
    <t>1.5년이하(당일)</t>
  </si>
  <si>
    <t>2년이하(당일)</t>
  </si>
  <si>
    <t>2.5년이하(당일)</t>
  </si>
  <si>
    <t>3년이하(당일)</t>
  </si>
  <si>
    <t>4년이하(당일)</t>
  </si>
  <si>
    <t>5년이하(당일)</t>
  </si>
  <si>
    <t>7년이하(당일)</t>
  </si>
  <si>
    <t>10년이하(당일)</t>
  </si>
  <si>
    <t>15년이하(당일)</t>
  </si>
  <si>
    <t>20년이하(당일)</t>
  </si>
  <si>
    <t>30년이하(당일)</t>
  </si>
  <si>
    <t>50년이하(당일)</t>
  </si>
  <si>
    <t>6M</t>
    <phoneticPr fontId="1" type="noConversion"/>
  </si>
  <si>
    <t>9M</t>
    <phoneticPr fontId="1" type="noConversion"/>
  </si>
  <si>
    <t>공사</t>
    <phoneticPr fontId="1" type="noConversion"/>
  </si>
  <si>
    <t>공단채</t>
    <phoneticPr fontId="1" type="noConversion"/>
  </si>
  <si>
    <t>BONDAVG01</t>
  </si>
  <si>
    <t>BONDAVG02</t>
  </si>
  <si>
    <t>BONDAVG03</t>
  </si>
  <si>
    <t>BONDAVG04</t>
  </si>
  <si>
    <t>BONDAVG05</t>
  </si>
  <si>
    <t>BONDAVG06</t>
  </si>
  <si>
    <t>BONDAVG09</t>
  </si>
  <si>
    <t>BONDAVG10</t>
  </si>
  <si>
    <t>BONDAVG11</t>
  </si>
  <si>
    <t>BONDAVG12</t>
  </si>
  <si>
    <t>BONDAVG13</t>
  </si>
  <si>
    <t>BONDAVG14</t>
  </si>
  <si>
    <t>BONDAVG15</t>
  </si>
  <si>
    <t>BONDAVG16</t>
  </si>
  <si>
    <t>BONDAVG17</t>
  </si>
  <si>
    <t>BONDAVG18</t>
  </si>
  <si>
    <t>BONDAVG19</t>
  </si>
  <si>
    <t>BONDAVG20</t>
  </si>
  <si>
    <t>BONDAVG21</t>
  </si>
  <si>
    <t>BONDAVG22</t>
  </si>
  <si>
    <t>BONDAVG23</t>
  </si>
  <si>
    <t>BONDAVG24</t>
  </si>
  <si>
    <t>BONDAVG25</t>
  </si>
  <si>
    <t>BONDAVG26</t>
  </si>
  <si>
    <t>BONDAVG81</t>
  </si>
  <si>
    <t>BONDAVG27</t>
  </si>
  <si>
    <t>BONDAVG28</t>
  </si>
  <si>
    <t>BONDAVG29</t>
  </si>
  <si>
    <t>BONDAVG30</t>
  </si>
  <si>
    <t>BONDAVG31</t>
  </si>
  <si>
    <t>BONDAVG32</t>
  </si>
  <si>
    <t>BONDAVG33</t>
  </si>
  <si>
    <t>BONDAVG34</t>
  </si>
  <si>
    <t>BONDAVG82</t>
  </si>
  <si>
    <t>BONDAVG36</t>
  </si>
  <si>
    <t>BONDAVG37</t>
  </si>
  <si>
    <t>BONDAVG38</t>
  </si>
  <si>
    <t>BONDAVG39</t>
  </si>
  <si>
    <t>BONDAVG40</t>
  </si>
  <si>
    <t>BONDAVG41</t>
  </si>
  <si>
    <t>BONDAVG42</t>
  </si>
  <si>
    <t>BONDAVG43</t>
  </si>
  <si>
    <t>BONDAVG44</t>
  </si>
  <si>
    <t>BONDAVG45</t>
  </si>
  <si>
    <t>BONDAVG46</t>
  </si>
  <si>
    <t>BONDAVG47</t>
  </si>
  <si>
    <t>BONDAVG48</t>
  </si>
  <si>
    <t>BONDAVG49</t>
  </si>
  <si>
    <t>BONDAVG50</t>
  </si>
  <si>
    <t>BONDAVG51</t>
  </si>
  <si>
    <t>BONDAVG52</t>
  </si>
  <si>
    <t>BONDAVG53</t>
  </si>
  <si>
    <t>BONDAVG54</t>
  </si>
  <si>
    <t>BONDAVG55</t>
  </si>
  <si>
    <t>BONDAVG56</t>
  </si>
  <si>
    <t>BONDAVG57</t>
  </si>
  <si>
    <t>BONDAVG58</t>
  </si>
  <si>
    <t>BONDAVG59</t>
  </si>
  <si>
    <t>BONDAVG60</t>
  </si>
  <si>
    <t>BONDAVG61</t>
  </si>
  <si>
    <t>BONDAVG62</t>
  </si>
  <si>
    <t>BONDAVG63</t>
  </si>
  <si>
    <t>BONDAVG64</t>
  </si>
  <si>
    <t>BONDAVG69</t>
  </si>
  <si>
    <t>BONDAVG70</t>
  </si>
  <si>
    <t>BONDAVG71</t>
  </si>
  <si>
    <t>BONDAVG72</t>
  </si>
  <si>
    <t>BONDAVG73</t>
  </si>
  <si>
    <t>BONDAVG74</t>
  </si>
  <si>
    <t>BONDAVG75</t>
  </si>
  <si>
    <t>BONDAVG76</t>
  </si>
  <si>
    <t>BONDAVG77</t>
  </si>
  <si>
    <t>BONDAVG78</t>
  </si>
  <si>
    <t>BONDAVG79</t>
  </si>
  <si>
    <t>BONDAV401</t>
  </si>
  <si>
    <t>BONDAV402</t>
  </si>
  <si>
    <t>BONDAV403</t>
  </si>
  <si>
    <t>BONDAV404</t>
  </si>
  <si>
    <t>BONDAV405</t>
  </si>
  <si>
    <t>BONDAV406</t>
  </si>
  <si>
    <t>BONDAV409</t>
  </si>
  <si>
    <t>BONDAV410</t>
  </si>
  <si>
    <t>BONDAV411</t>
  </si>
  <si>
    <t>BONDAV412</t>
  </si>
  <si>
    <t>BONDAV413</t>
  </si>
  <si>
    <t>BONDAV414</t>
  </si>
  <si>
    <t>BONDAV415</t>
  </si>
  <si>
    <t>BONDAV416</t>
  </si>
  <si>
    <t>BONDAV417</t>
  </si>
  <si>
    <t>BONDAV418</t>
  </si>
  <si>
    <t>BONDAV419</t>
  </si>
  <si>
    <t>BONDAV420</t>
  </si>
  <si>
    <t>BONDAV421</t>
  </si>
  <si>
    <t>BONDAV422</t>
  </si>
  <si>
    <t>BONDAV423</t>
  </si>
  <si>
    <t>BONDAV424</t>
  </si>
  <si>
    <t>BONDAV425</t>
  </si>
  <si>
    <t>BONDAV426</t>
  </si>
  <si>
    <t>BONDAV481</t>
  </si>
  <si>
    <t>BONDAV427</t>
  </si>
  <si>
    <t>BONDAV428</t>
  </si>
  <si>
    <t>BONDAV429</t>
  </si>
  <si>
    <t>BONDAV430</t>
  </si>
  <si>
    <t>BONDAV431</t>
  </si>
  <si>
    <t>BONDAV432</t>
  </si>
  <si>
    <t>BONDAV433</t>
  </si>
  <si>
    <t>BONDAV434</t>
  </si>
  <si>
    <t>BONDAV482</t>
  </si>
  <si>
    <t>BONDAV436</t>
  </si>
  <si>
    <t>BONDAV437</t>
  </si>
  <si>
    <t>BONDAV438</t>
  </si>
  <si>
    <t>BONDAV439</t>
  </si>
  <si>
    <t>BONDAV440</t>
  </si>
  <si>
    <t>BONDAV441</t>
  </si>
  <si>
    <t>BONDAV442</t>
  </si>
  <si>
    <t>BONDAV443</t>
  </si>
  <si>
    <t>BONDAV444</t>
  </si>
  <si>
    <t>BONDAV445</t>
  </si>
  <si>
    <t>BONDAV446</t>
  </si>
  <si>
    <t>BONDAV447</t>
  </si>
  <si>
    <t>BONDAV448</t>
  </si>
  <si>
    <t>BONDAV449</t>
  </si>
  <si>
    <t>BONDAV450</t>
  </si>
  <si>
    <t>BONDAV451</t>
  </si>
  <si>
    <t>BONDAV452</t>
  </si>
  <si>
    <t>BONDAV453</t>
  </si>
  <si>
    <t>BONDAV454</t>
  </si>
  <si>
    <t>BONDAV455</t>
  </si>
  <si>
    <t>BONDAV456</t>
  </si>
  <si>
    <t>BONDAV457</t>
  </si>
  <si>
    <t>BONDAV458</t>
  </si>
  <si>
    <t>BONDAV459</t>
  </si>
  <si>
    <t>BONDAV460</t>
  </si>
  <si>
    <t>BONDAV461</t>
  </si>
  <si>
    <t>BONDAV462</t>
  </si>
  <si>
    <t>BONDAV463</t>
  </si>
  <si>
    <t>BONDAV464</t>
  </si>
  <si>
    <t>BONDAV469</t>
  </si>
  <si>
    <t>BONDAV470</t>
  </si>
  <si>
    <t>BONDAV471</t>
  </si>
  <si>
    <t>BONDAV472</t>
  </si>
  <si>
    <t>BONDAV473</t>
  </si>
  <si>
    <t>BONDAV474</t>
  </si>
  <si>
    <t>BONDAV475</t>
  </si>
  <si>
    <t>BONDAV476</t>
  </si>
  <si>
    <t>BONDAV477</t>
  </si>
  <si>
    <t>BONDAV478</t>
  </si>
  <si>
    <t>BONDAV479</t>
  </si>
  <si>
    <t>3사</t>
    <phoneticPr fontId="1" type="noConversion"/>
  </si>
  <si>
    <t>4사</t>
    <phoneticPr fontId="1" type="noConversion"/>
  </si>
  <si>
    <t>계산</t>
    <phoneticPr fontId="1" type="noConversion"/>
  </si>
  <si>
    <t>BONDKBPA100</t>
  </si>
  <si>
    <t>BONDKBPA300</t>
  </si>
  <si>
    <t>BONDKBPA200</t>
  </si>
  <si>
    <t>BONDKBPA400</t>
  </si>
  <si>
    <t>BONDKBPB100</t>
  </si>
  <si>
    <t>BONDKBPB200</t>
  </si>
  <si>
    <t>BONDKBPC300</t>
  </si>
  <si>
    <t>BONDKBPC401</t>
  </si>
  <si>
    <t>BONDKBPC400</t>
  </si>
  <si>
    <t>BONDKBPC402</t>
  </si>
  <si>
    <t>BONDKBPC500</t>
  </si>
  <si>
    <t>BONDKBPD000</t>
  </si>
  <si>
    <t>BONDKBPD001</t>
  </si>
  <si>
    <t>BONDKBPE110</t>
  </si>
  <si>
    <t>BONDKBPE111</t>
  </si>
  <si>
    <t>BONDKBPE120</t>
  </si>
  <si>
    <t>BONDKBPE121</t>
  </si>
  <si>
    <t>BONDKBPE130</t>
  </si>
  <si>
    <t>BONDKBPE144</t>
  </si>
  <si>
    <t>BONDKBPE140</t>
  </si>
  <si>
    <t>BONDKBPE142</t>
  </si>
  <si>
    <t>BONDKBPE150</t>
  </si>
  <si>
    <t>BONDKBPE204</t>
  </si>
  <si>
    <t>BONDKBPE202</t>
  </si>
  <si>
    <t>BONDKBPE200</t>
  </si>
  <si>
    <t>BONDKBPE210</t>
  </si>
  <si>
    <t>BONDKBPE220</t>
  </si>
  <si>
    <t>BONDKBPE230</t>
  </si>
  <si>
    <t>BONDKBPE304</t>
  </si>
  <si>
    <t>BONDKBPE302</t>
  </si>
  <si>
    <t>BONDKBPE300</t>
  </si>
  <si>
    <t>BONDKBPE310</t>
  </si>
  <si>
    <t>BONDKBPE320</t>
  </si>
  <si>
    <t>BONDKBPE330</t>
  </si>
  <si>
    <t>BONDKBPE342</t>
  </si>
  <si>
    <t>BONDKBPE340</t>
  </si>
  <si>
    <t>BONDKBPE350</t>
  </si>
  <si>
    <t>BONDKBPF114</t>
  </si>
  <si>
    <t>BONDKBPF124</t>
  </si>
  <si>
    <t>BONDKBPF134</t>
  </si>
  <si>
    <t>BONDKBPF144</t>
  </si>
  <si>
    <t>BONDKBPF212</t>
  </si>
  <si>
    <t>BONDKBPF221</t>
  </si>
  <si>
    <t>BONDKBPF222</t>
  </si>
  <si>
    <t>BONDKBPF223</t>
  </si>
  <si>
    <t>BONDKBPF231</t>
  </si>
  <si>
    <t>BONDKBPF232</t>
  </si>
  <si>
    <t>BONDKBPF233</t>
  </si>
  <si>
    <t>BONDKBPF241</t>
  </si>
  <si>
    <t>BONDKBPF242</t>
  </si>
  <si>
    <t>BONDKBPF243</t>
  </si>
  <si>
    <t>BONDKBPF312</t>
  </si>
  <si>
    <t>BONDKBPF321</t>
  </si>
  <si>
    <t>BONDKBPF322</t>
  </si>
  <si>
    <t>BONDKBPF323</t>
  </si>
  <si>
    <t>BONDKBPF331</t>
  </si>
  <si>
    <t>BONDKBPF332</t>
  </si>
  <si>
    <t>BONDKBPF333</t>
  </si>
  <si>
    <t>BONDKBPF341</t>
  </si>
  <si>
    <t>BONDKBPF342</t>
  </si>
  <si>
    <t>BONDKBPF343</t>
  </si>
  <si>
    <t>BONDKBPZ001</t>
  </si>
  <si>
    <t>KAP</t>
    <phoneticPr fontId="1" type="noConversion"/>
  </si>
  <si>
    <t>KIS</t>
    <phoneticPr fontId="1" type="noConversion"/>
  </si>
  <si>
    <t>BONDKIS1013000</t>
  </si>
  <si>
    <t>BONDKIS1030000</t>
  </si>
  <si>
    <t>BONDKIS1020000</t>
  </si>
  <si>
    <t>BONDKIS2010000</t>
  </si>
  <si>
    <t>BONDKIS2020000</t>
  </si>
  <si>
    <t>BONDKIS3033110</t>
  </si>
  <si>
    <t>BONDKIS3043121</t>
  </si>
  <si>
    <t>BONDKIS3043122</t>
  </si>
  <si>
    <t>BONDKIS3043123</t>
  </si>
  <si>
    <t>BONDKIS3050000</t>
  </si>
  <si>
    <t>BONDKIS4003000</t>
  </si>
  <si>
    <t>BONDKIS5013110</t>
  </si>
  <si>
    <t>BONDKIS5023110</t>
  </si>
  <si>
    <t>BONDKIS5033110</t>
  </si>
  <si>
    <t>BONDKIS5043121</t>
  </si>
  <si>
    <t>BONDKIS5043122</t>
  </si>
  <si>
    <t>BONDKIS5043123</t>
  </si>
  <si>
    <t>BONDKIS5053131</t>
  </si>
  <si>
    <t>BONDKIS5053132</t>
  </si>
  <si>
    <t>BONDKIS5053133</t>
  </si>
  <si>
    <t>BONDKIS9999119</t>
  </si>
  <si>
    <t>BONDKIS9999111</t>
  </si>
  <si>
    <t>BONDKIS9999112</t>
  </si>
  <si>
    <t>BONDKIS9999113</t>
  </si>
  <si>
    <t>BONDKIS9999114</t>
  </si>
  <si>
    <t>BONDKIS9999115</t>
  </si>
  <si>
    <t>BONDKIS9999116</t>
  </si>
  <si>
    <t>BONDKIS9999117</t>
  </si>
  <si>
    <t>BONDKIS9999118</t>
  </si>
  <si>
    <t>BONDKIS6013121</t>
  </si>
  <si>
    <t>BONDKIS6013122</t>
  </si>
  <si>
    <t>BONDKIS6013123</t>
  </si>
  <si>
    <t>BONDKIS6013131</t>
  </si>
  <si>
    <t>BONDKIS6013132</t>
  </si>
  <si>
    <t>BONDKIS6013133</t>
  </si>
  <si>
    <t>BONDKIS6013211</t>
  </si>
  <si>
    <t>BONDKIS6013212</t>
  </si>
  <si>
    <t>BONDKIS6013213</t>
  </si>
  <si>
    <t>BONDKIS7010110</t>
  </si>
  <si>
    <t>BONDKIS7010121</t>
  </si>
  <si>
    <t>BONDKIS7010122</t>
  </si>
  <si>
    <t>BONDKIS7010123</t>
  </si>
  <si>
    <t>BONDKIS7010131</t>
  </si>
  <si>
    <t>BONDKIS7010132</t>
  </si>
  <si>
    <t>BONDKIS7010133</t>
  </si>
  <si>
    <t>BONDKIS7010211</t>
  </si>
  <si>
    <t>BONDKIS7010212</t>
  </si>
  <si>
    <t>BONDKIS7010213</t>
  </si>
  <si>
    <t>BONDKIS8010110</t>
  </si>
  <si>
    <t>BONDKIS8010121</t>
  </si>
  <si>
    <t>BONDKIS8010122</t>
  </si>
  <si>
    <t>BONDKIS8010123</t>
  </si>
  <si>
    <t>BONDKIS8010131</t>
  </si>
  <si>
    <t>BONDKIS8010132</t>
  </si>
  <si>
    <t>BONDKIS8010133</t>
  </si>
  <si>
    <t>BONDKIS8010211</t>
  </si>
  <si>
    <t>BONDKIS8010212</t>
  </si>
  <si>
    <t>BONDKIS8010213</t>
  </si>
  <si>
    <t>BONDKIS3060000</t>
  </si>
  <si>
    <t>NICE</t>
    <phoneticPr fontId="1" type="noConversion"/>
  </si>
  <si>
    <t>FN</t>
    <phoneticPr fontId="1" type="noConversion"/>
  </si>
  <si>
    <t>KOFIA</t>
    <phoneticPr fontId="1" type="noConversion"/>
  </si>
  <si>
    <t>BONDNIC1010000</t>
  </si>
  <si>
    <t>BONDNIC1030000</t>
  </si>
  <si>
    <t>BONDNIC1020000</t>
  </si>
  <si>
    <t>BONDNIC1015000</t>
  </si>
  <si>
    <t>BONDNIC2010000</t>
  </si>
  <si>
    <t>BONDNIC2020000</t>
  </si>
  <si>
    <t>BONDNIC3030110</t>
  </si>
  <si>
    <t>BONDNIC3040111</t>
  </si>
  <si>
    <t>BONDNIC3040112</t>
  </si>
  <si>
    <t>BONDNIC3040113</t>
  </si>
  <si>
    <t>BONDNIC3050000</t>
  </si>
  <si>
    <t>BONDNIC4000000</t>
  </si>
  <si>
    <t>BONDNIC5010110</t>
  </si>
  <si>
    <t>BONDNIC5020110</t>
  </si>
  <si>
    <t>BONDNIC5030110</t>
  </si>
  <si>
    <t>BONDNIC5040111</t>
  </si>
  <si>
    <t>BONDNIC5040112</t>
  </si>
  <si>
    <t>BONDNIC5040113</t>
  </si>
  <si>
    <t>BONDNIC5050111</t>
  </si>
  <si>
    <t>BONDNIC5050112</t>
  </si>
  <si>
    <t>BONDNIC5050113</t>
  </si>
  <si>
    <t>BONDNIC6040111</t>
  </si>
  <si>
    <t>BONDNIC6040112</t>
  </si>
  <si>
    <t>BONDNIC6040113</t>
  </si>
  <si>
    <t>BONDNIC6050111</t>
  </si>
  <si>
    <t>BONDNIC6050112</t>
  </si>
  <si>
    <t>BONDNIC6050113</t>
  </si>
  <si>
    <t>BONDNIC6060111</t>
  </si>
  <si>
    <t>BONDNIC6060112</t>
  </si>
  <si>
    <t>BONDNIC6060113</t>
  </si>
  <si>
    <t>BONDNIC9999118</t>
  </si>
  <si>
    <t>BONDNIC9999110</t>
  </si>
  <si>
    <t>BONDNIC9999111</t>
  </si>
  <si>
    <t>BONDNIC9999112</t>
  </si>
  <si>
    <t>BONDNIC9999113</t>
  </si>
  <si>
    <t>BONDNIC9999114</t>
  </si>
  <si>
    <t>BONDNIC9999115</t>
  </si>
  <si>
    <t>BONDNIC9999116</t>
  </si>
  <si>
    <t>BONDNIC9999117</t>
  </si>
  <si>
    <t>BONDNIC7130110</t>
  </si>
  <si>
    <t>BONDNIC7140111</t>
  </si>
  <si>
    <t>BONDNIC7140112</t>
  </si>
  <si>
    <t>BONDNIC7140113</t>
  </si>
  <si>
    <t>BONDNIC7150111</t>
  </si>
  <si>
    <t>BONDNIC7150112</t>
  </si>
  <si>
    <t>BONDNIC7150113</t>
  </si>
  <si>
    <t>BONDNIC7030110</t>
  </si>
  <si>
    <t>BONDNIC7040111</t>
  </si>
  <si>
    <t>BONDNIC7040112</t>
  </si>
  <si>
    <t>BONDNIC7040113</t>
  </si>
  <si>
    <t>BONDNIC7050111</t>
  </si>
  <si>
    <t>BONDNIC7050112</t>
  </si>
  <si>
    <t>BONDNIC7050113</t>
  </si>
  <si>
    <t>BONDNIC7060111</t>
  </si>
  <si>
    <t>BONDNIC7060112</t>
  </si>
  <si>
    <t>BONDNIC7060113</t>
  </si>
  <si>
    <t>BONDNIC8030110</t>
  </si>
  <si>
    <t>BONDNIC8040111</t>
  </si>
  <si>
    <t>BONDNIC8040112</t>
  </si>
  <si>
    <t>BONDNIC8040113</t>
  </si>
  <si>
    <t>BONDNIC8050111</t>
  </si>
  <si>
    <t>BONDNIC8050112</t>
  </si>
  <si>
    <t>BONDNIC8050113</t>
  </si>
  <si>
    <t>BONDNIC8060111</t>
  </si>
  <si>
    <t>BONDNIC8060112</t>
  </si>
  <si>
    <t>BONDNIC8060113</t>
  </si>
  <si>
    <t>BONDNIC7430110</t>
  </si>
  <si>
    <t>BONDFNP1010000</t>
  </si>
  <si>
    <t>BONDFNP1030000</t>
  </si>
  <si>
    <t>BONDFNP1020000</t>
  </si>
  <si>
    <t>BONDFNP2010000</t>
  </si>
  <si>
    <t>BONDFNP2020000</t>
  </si>
  <si>
    <t>BONDFNP3030110</t>
  </si>
  <si>
    <t>BONDFNP3040121</t>
  </si>
  <si>
    <t>BONDFNP3040122</t>
  </si>
  <si>
    <t>BONDFNP3040123</t>
  </si>
  <si>
    <t>BONDFNP3050000</t>
  </si>
  <si>
    <t>BONDFNP4000000</t>
  </si>
  <si>
    <t>BONDFNP5010110</t>
  </si>
  <si>
    <t>BONDFNP5020110</t>
  </si>
  <si>
    <t>BONDFNP5030110</t>
  </si>
  <si>
    <t>BONDFNP5040121</t>
  </si>
  <si>
    <t>BONDFNP5040122</t>
  </si>
  <si>
    <t>BONDFNP5040123</t>
  </si>
  <si>
    <t>BONDFNP5050131</t>
  </si>
  <si>
    <t>BONDFNP5050132</t>
  </si>
  <si>
    <t>BONDFNP5050133</t>
  </si>
  <si>
    <t>BONDFNP6010121</t>
  </si>
  <si>
    <t>BONDFNP6010122</t>
  </si>
  <si>
    <t>BONDFNP6010123</t>
  </si>
  <si>
    <t>BONDFNP6010131</t>
  </si>
  <si>
    <t>BONDFNP6010132</t>
  </si>
  <si>
    <t>BONDFNP6010133</t>
  </si>
  <si>
    <t>BONDFNP6010211</t>
  </si>
  <si>
    <t>BONDFNP6010212</t>
  </si>
  <si>
    <t>BONDFNP6010213</t>
  </si>
  <si>
    <t>BONDFNP9999118</t>
  </si>
  <si>
    <t>BONDFNP9999110</t>
  </si>
  <si>
    <t>BONDFNP9999111</t>
  </si>
  <si>
    <t>BONDFNP9999112</t>
  </si>
  <si>
    <t>BONDFNP9999113</t>
  </si>
  <si>
    <t>BONDFNP9999114</t>
  </si>
  <si>
    <t>BONDFNP9999115</t>
  </si>
  <si>
    <t>BONDFNP9999116</t>
  </si>
  <si>
    <t>BONDFNP9999117</t>
  </si>
  <si>
    <t>BONDFNP7020110</t>
  </si>
  <si>
    <t>BONDFNP7020120</t>
  </si>
  <si>
    <t>BONDFNP7020130</t>
  </si>
  <si>
    <t>BONDFNP7020210</t>
  </si>
  <si>
    <t>BONDFNP7010110</t>
  </si>
  <si>
    <t>BONDFNP7010121</t>
  </si>
  <si>
    <t>BONDFNP7010122</t>
  </si>
  <si>
    <t>BONDFNP7010123</t>
  </si>
  <si>
    <t>BONDFNP7010131</t>
  </si>
  <si>
    <t>BONDFNP7010132</t>
  </si>
  <si>
    <t>BONDFNP7010133</t>
  </si>
  <si>
    <t>BONDFNP7010211</t>
  </si>
  <si>
    <t>BONDFNP7010212</t>
  </si>
  <si>
    <t>BONDFNP7010213</t>
  </si>
  <si>
    <t>BONDFNP8010110</t>
  </si>
  <si>
    <t>BONDFNP8010121</t>
  </si>
  <si>
    <t>BONDFNP8010122</t>
  </si>
  <si>
    <t>BONDFNP8010123</t>
  </si>
  <si>
    <t>BONDFNP8010131</t>
  </si>
  <si>
    <t>BONDFNP8010132</t>
  </si>
  <si>
    <t>BONDFNP8010133</t>
  </si>
  <si>
    <t>BONDFNP8110211</t>
  </si>
  <si>
    <t>BONDFNP8110212</t>
  </si>
  <si>
    <t>BONDFNP8110213</t>
  </si>
  <si>
    <t>BONDFNP3060000</t>
  </si>
  <si>
    <t>BONDKSD1010000</t>
  </si>
  <si>
    <t>BONDKSD1030000</t>
  </si>
  <si>
    <t>BONDKSD1020000</t>
  </si>
  <si>
    <t>BONDKSD2010000</t>
  </si>
  <si>
    <t>BONDKSD2020000</t>
  </si>
  <si>
    <t>BONDKSD3030110</t>
  </si>
  <si>
    <t>BONDKSD3040121</t>
  </si>
  <si>
    <t>BONDKSD3040120</t>
  </si>
  <si>
    <t>BONDKSD3070000</t>
  </si>
  <si>
    <t>BONDKSD4000000</t>
  </si>
  <si>
    <t>BONDKSD5010110</t>
  </si>
  <si>
    <t>BONDKSD5020110</t>
  </si>
  <si>
    <t>BONDKSD5030110</t>
  </si>
  <si>
    <t>BONDKSD5040120</t>
  </si>
  <si>
    <t>BONDKSD5050131</t>
  </si>
  <si>
    <t>BONDKSD6010121</t>
  </si>
  <si>
    <t>BONDKSD6010122</t>
  </si>
  <si>
    <t>BONDKSD6010123</t>
  </si>
  <si>
    <t>BONDKSD6010131</t>
  </si>
  <si>
    <t>BONDKSD6010132</t>
  </si>
  <si>
    <t>BONDKSD6010133</t>
  </si>
  <si>
    <t>BONDKSD6010210</t>
  </si>
  <si>
    <t>BONDKSD7020110</t>
  </si>
  <si>
    <t>BONDKSD7020120</t>
  </si>
  <si>
    <t>BONDKSD7020130</t>
  </si>
  <si>
    <t>BONDKSD7020210</t>
  </si>
  <si>
    <t>BONDKSD7010110</t>
  </si>
  <si>
    <t>BONDKSD7010121</t>
  </si>
  <si>
    <t>BONDKSD7010122</t>
  </si>
  <si>
    <t>BONDKSD7010123</t>
  </si>
  <si>
    <t>BONDKSD7010131</t>
  </si>
  <si>
    <t>BONDKSD7010132</t>
  </si>
  <si>
    <t>BONDKSD7010133</t>
  </si>
  <si>
    <t>BONDKSD7010211</t>
  </si>
  <si>
    <t>BONDKSD7010212</t>
  </si>
  <si>
    <t>BONDKSD7010213</t>
  </si>
  <si>
    <t>BONDKSD8010110</t>
  </si>
  <si>
    <t>BONDKSD8010120</t>
  </si>
  <si>
    <t>BONDKSD8010131</t>
  </si>
  <si>
    <t>BONDKSD8010132</t>
  </si>
  <si>
    <t>BONDKSD8010133</t>
  </si>
  <si>
    <t>BONDKSD3060000</t>
  </si>
  <si>
    <t>END</t>
    <phoneticPr fontId="1" type="noConversion"/>
  </si>
  <si>
    <t>BONDKIS7020110</t>
  </si>
  <si>
    <t>BONDKIS7020120</t>
  </si>
  <si>
    <t>BONDKIS7020130</t>
  </si>
  <si>
    <t>BONDKIS7020210</t>
  </si>
  <si>
    <t xml:space="preserve"> 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</si>
  <si>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</si>
  <si>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</si>
  <si>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</si>
  <si>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KR코드</t>
    <phoneticPr fontId="1" type="noConversion"/>
  </si>
  <si>
    <t>종목명</t>
    <phoneticPr fontId="1" type="noConversion"/>
  </si>
  <si>
    <t>만기일</t>
    <phoneticPr fontId="1" type="noConversion"/>
  </si>
  <si>
    <t>개별</t>
    <phoneticPr fontId="1" type="noConversion"/>
  </si>
  <si>
    <t>한글종목명</t>
    <phoneticPr fontId="1" type="noConversion"/>
  </si>
  <si>
    <t>KR103503GCC6</t>
  </si>
  <si>
    <t>3사 평균</t>
    <phoneticPr fontId="1" type="noConversion"/>
  </si>
  <si>
    <t>4사 평균</t>
    <phoneticPr fontId="1" type="noConversion"/>
  </si>
  <si>
    <t xml:space="preserve">  시가평가 평균 산출</t>
    <phoneticPr fontId="1" type="noConversion"/>
  </si>
  <si>
    <t>커버드본드</t>
  </si>
  <si>
    <t>BONDAVG84</t>
  </si>
  <si>
    <t>BONDAV484</t>
  </si>
  <si>
    <t>BONDKBPE13C</t>
  </si>
  <si>
    <t>BONDKIS4050000</t>
  </si>
  <si>
    <t>BONDNIC4050000</t>
  </si>
  <si>
    <t>BONDFNP4050000</t>
  </si>
  <si>
    <t>BONDKSD4050000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</si>
</sst>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"/>
    <numFmt numFmtId="165" formatCode="0.000"/>
  </numFmts>
  <fonts count="8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3"/>
      <charset val="129"/>
      <scheme val="minor"/>
    </font>
    <font>
      <sz val="8"/>
      <color theme="1"/>
      <name val="Calibri"/>
      <family val="3"/>
      <charset val="129"/>
      <scheme val="minor"/>
    </font>
    <font>
      <b/>
      <sz val="9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b/>
      <sz val="14"/>
      <color theme="0"/>
      <name val="Calibri"/>
      <family val="3"/>
      <charset val="129"/>
      <scheme val="minor"/>
    </font>
    <font>
      <sz val="9"/>
      <color rgb="FF000000"/>
      <name val="Malgun Gothic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dashed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dashed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dashed">
        <color theme="0" tint="-0.2499465926084170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thin">
        <color theme="0" tint="-0.1499679555650502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0" tint="-0.14996795556505021"/>
      </left>
      <right style="medium">
        <color indexed="64"/>
      </right>
      <top style="dashed">
        <color theme="0" tint="-0.24994659260841701"/>
      </top>
      <bottom style="dashed">
        <color theme="0" tint="-0.24994659260841701"/>
      </bottom>
      <diagonal/>
    </border>
    <border>
      <left style="medium">
        <color indexed="64"/>
      </left>
      <right style="thin">
        <color theme="0" tint="-0.14996795556505021"/>
      </right>
      <top style="dashed">
        <color theme="0" tint="-0.24994659260841701"/>
      </top>
      <bottom style="thin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dashed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indexed="64"/>
      </top>
      <bottom style="dashed">
        <color theme="0" tint="-0.24994659260841701"/>
      </bottom>
      <diagonal/>
    </border>
    <border>
      <left style="thin">
        <color theme="0" tint="-0.14996795556505021"/>
      </left>
      <right style="medium">
        <color indexed="64"/>
      </right>
      <top style="thin">
        <color indexed="64"/>
      </top>
      <bottom style="dashed">
        <color theme="0" tint="-0.24994659260841701"/>
      </bottom>
      <diagonal/>
    </border>
    <border>
      <left style="medium">
        <color indexed="64"/>
      </left>
      <right style="thin">
        <color theme="0" tint="-0.14996795556505021"/>
      </right>
      <top style="dashed">
        <color theme="0" tint="-0.2499465926084170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dashed">
        <color theme="0" tint="-0.2499465926084170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dashed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" fillId="4" borderId="5" xfId="0" applyFont="1" applyFill="1" applyBorder="1">
      <alignment vertical="center"/>
    </xf>
    <xf numFmtId="0" fontId="5" fillId="4" borderId="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5" fillId="4" borderId="7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5" fillId="4" borderId="16" xfId="0" applyFont="1" applyFill="1" applyBorder="1">
      <alignment vertical="center"/>
    </xf>
    <xf numFmtId="0" fontId="0" fillId="0" borderId="1" xfId="0" applyBorder="1">
      <alignment vertical="center"/>
    </xf>
    <xf numFmtId="14" fontId="2" fillId="5" borderId="35" xfId="0" applyNumberFormat="1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4" borderId="37" xfId="0" applyFont="1" applyFill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5" fillId="4" borderId="39" xfId="0" applyFont="1" applyFill="1" applyBorder="1">
      <alignment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0" borderId="23" xfId="0" applyNumberFormat="1" applyFont="1" applyBorder="1">
      <alignment vertical="center"/>
    </xf>
    <xf numFmtId="164" fontId="5" fillId="0" borderId="24" xfId="0" applyNumberFormat="1" applyFont="1" applyBorder="1">
      <alignment vertical="center"/>
    </xf>
    <xf numFmtId="164" fontId="5" fillId="0" borderId="25" xfId="0" applyNumberFormat="1" applyFont="1" applyBorder="1">
      <alignment vertical="center"/>
    </xf>
    <xf numFmtId="164" fontId="5" fillId="0" borderId="26" xfId="0" applyNumberFormat="1" applyFont="1" applyBorder="1">
      <alignment vertical="center"/>
    </xf>
    <xf numFmtId="164" fontId="5" fillId="0" borderId="3" xfId="0" applyNumberFormat="1" applyFont="1" applyBorder="1">
      <alignment vertical="center"/>
    </xf>
    <xf numFmtId="164" fontId="5" fillId="0" borderId="27" xfId="0" applyNumberFormat="1" applyFont="1" applyBorder="1">
      <alignment vertical="center"/>
    </xf>
    <xf numFmtId="164" fontId="5" fillId="0" borderId="32" xfId="0" applyNumberFormat="1" applyFont="1" applyBorder="1">
      <alignment vertical="center"/>
    </xf>
    <xf numFmtId="164" fontId="5" fillId="0" borderId="33" xfId="0" applyNumberFormat="1" applyFont="1" applyBorder="1">
      <alignment vertical="center"/>
    </xf>
    <xf numFmtId="164" fontId="5" fillId="0" borderId="34" xfId="0" applyNumberFormat="1" applyFont="1" applyBorder="1">
      <alignment vertical="center"/>
    </xf>
    <xf numFmtId="164" fontId="5" fillId="0" borderId="28" xfId="0" applyNumberFormat="1" applyFont="1" applyBorder="1">
      <alignment vertical="center"/>
    </xf>
    <xf numFmtId="164" fontId="5" fillId="0" borderId="4" xfId="0" applyNumberFormat="1" applyFont="1" applyBorder="1">
      <alignment vertical="center"/>
    </xf>
    <xf numFmtId="164" fontId="5" fillId="0" borderId="29" xfId="0" applyNumberFormat="1" applyFont="1" applyBorder="1">
      <alignment vertical="center"/>
    </xf>
    <xf numFmtId="164" fontId="5" fillId="0" borderId="30" xfId="0" applyNumberFormat="1" applyFont="1" applyBorder="1">
      <alignment vertical="center"/>
    </xf>
    <xf numFmtId="164" fontId="5" fillId="0" borderId="2" xfId="0" applyNumberFormat="1" applyFont="1" applyBorder="1">
      <alignment vertical="center"/>
    </xf>
    <xf numFmtId="164" fontId="5" fillId="0" borderId="31" xfId="0" applyNumberFormat="1" applyFont="1" applyBorder="1">
      <alignment vertical="center"/>
    </xf>
    <xf numFmtId="164" fontId="5" fillId="0" borderId="20" xfId="0" applyNumberFormat="1" applyFont="1" applyBorder="1">
      <alignment vertical="center"/>
    </xf>
    <xf numFmtId="164" fontId="5" fillId="0" borderId="21" xfId="0" applyNumberFormat="1" applyFont="1" applyBorder="1">
      <alignment vertical="center"/>
    </xf>
    <xf numFmtId="164" fontId="5" fillId="0" borderId="22" xfId="0" applyNumberFormat="1" applyFont="1" applyBorder="1">
      <alignment vertical="center"/>
    </xf>
    <xf numFmtId="0" fontId="4" fillId="6" borderId="18" xfId="0" applyFont="1" applyFill="1" applyBorder="1" applyAlignment="1">
      <alignment horizontal="center" vertical="center"/>
    </xf>
    <xf numFmtId="164" fontId="5" fillId="6" borderId="24" xfId="0" applyNumberFormat="1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5" fillId="6" borderId="3" xfId="0" applyNumberFormat="1" applyFont="1" applyFill="1" applyBorder="1">
      <alignment vertical="center"/>
    </xf>
    <xf numFmtId="0" fontId="4" fillId="4" borderId="4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4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164" fontId="5" fillId="6" borderId="33" xfId="0" applyNumberFormat="1" applyFont="1" applyFill="1" applyBorder="1">
      <alignment vertical="center"/>
    </xf>
    <xf numFmtId="165" fontId="5" fillId="0" borderId="1" xfId="0" applyNumberFormat="1" applyFont="1" applyBorder="1">
      <alignment vertical="center"/>
    </xf>
    <xf numFmtId="0" fontId="3" fillId="7" borderId="0" xfId="0" applyFont="1" applyFill="1" applyAlignment="1">
      <alignment horizontal="center" vertical="center"/>
    </xf>
    <xf numFmtId="0" fontId="2" fillId="7" borderId="0" xfId="0" applyFont="1" applyFill="1">
      <alignment vertical="center"/>
    </xf>
    <xf numFmtId="0" fontId="0" fillId="7" borderId="0" xfId="0" applyFill="1">
      <alignment vertical="center"/>
    </xf>
    <xf numFmtId="0" fontId="6" fillId="7" borderId="0" xfId="0" applyFont="1" applyFill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5" fillId="4" borderId="44" xfId="0" applyFont="1" applyFill="1" applyBorder="1">
      <alignment vertical="center"/>
    </xf>
    <xf numFmtId="164" fontId="5" fillId="0" borderId="45" xfId="0" applyNumberFormat="1" applyFont="1" applyBorder="1">
      <alignment vertical="center"/>
    </xf>
    <xf numFmtId="164" fontId="5" fillId="0" borderId="46" xfId="0" applyNumberFormat="1" applyFont="1" applyBorder="1">
      <alignment vertical="center"/>
    </xf>
    <xf numFmtId="164" fontId="5" fillId="0" borderId="47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3.37</v>
        <stp/>
        <stp>P</stp>
        <stp>0</stp>
        <stp>IR</stp>
        <stp>BONDKBPC401</stp>
        <stp>9월이하(당일)</stp>
        <stp>45523</stp>
        <stp/>
        <tr r="AE17" s="2"/>
        <tr r="AE17" s="2"/>
      </tp>
      <tp t="s">
        <v xml:space="preserve"> </v>
        <stp/>
        <stp>P</stp>
        <stp>0</stp>
        <stp>IR</stp>
        <stp>BONDKBPA400</stp>
        <stp>9월이하(당일)</stp>
        <stp>45523</stp>
        <stp/>
        <tr r="AE12" s="2"/>
        <tr r="AE12" s="2"/>
      </tp>
      <tp>
        <v>3.4529999999999998</v>
        <stp/>
        <stp>P</stp>
        <stp>0</stp>
        <stp>IR</stp>
        <stp>BONDKBPC400</stp>
        <stp>9월이하(당일)</stp>
        <stp>45523</stp>
        <stp/>
        <tr r="AE18" s="2"/>
        <tr r="AE18" s="2"/>
      </tp>
      <tp>
        <v>3.56</v>
        <stp/>
        <stp>P</stp>
        <stp>0</stp>
        <stp>IR</stp>
        <stp>BONDKBPC402</stp>
        <stp>9월이하(당일)</stp>
        <stp>45523</stp>
        <stp/>
        <tr r="AE19" s="2"/>
        <tr r="AE19" s="2"/>
      </tp>
      <tp>
        <v>9.0609999999999999</v>
        <stp/>
        <stp>P</stp>
        <stp>0</stp>
        <stp>IR</stp>
        <stp>BONDNIC9999117</stp>
        <stp>1.5년이하(당일)</stp>
        <stp>45523</stp>
        <stp/>
        <tr r="BM51" s="2"/>
        <tr r="BM51" s="2"/>
      </tp>
      <tp>
        <v>9.6340000000000003</v>
        <stp/>
        <stp>P</stp>
        <stp>0</stp>
        <stp>IR</stp>
        <stp>BONDNIC9999117</stp>
        <stp>2.5년이하(당일)</stp>
        <stp>45523</stp>
        <stp/>
        <tr r="BO51" s="2"/>
        <tr r="BO51" s="2"/>
      </tp>
      <tp>
        <v>3.4729999999999999</v>
        <stp/>
        <stp>P</stp>
        <stp>0</stp>
        <stp>IR</stp>
        <stp>BONDFNP9999110</stp>
        <stp>1.5년이하(당일)</stp>
        <stp>45523</stp>
        <stp/>
        <tr r="CC44" s="2"/>
        <tr r="CC44" s="2"/>
      </tp>
      <tp>
        <v>3.4220000000000002</v>
        <stp/>
        <stp>P</stp>
        <stp>0</stp>
        <stp>IR</stp>
        <stp>BONDFNP9999110</stp>
        <stp>2.5년이하(당일)</stp>
        <stp>45523</stp>
        <stp/>
        <tr r="CE44" s="2"/>
        <tr r="CE44" s="2"/>
      </tp>
      <tp>
        <v>7.7850000000000001</v>
        <stp/>
        <stp>P</stp>
        <stp>0</stp>
        <stp>IR</stp>
        <stp>BONDKIS9999117</stp>
        <stp>1.5년이하(당일)</stp>
        <stp>45523</stp>
        <stp/>
        <tr r="AW41" s="2"/>
        <tr r="AW41" s="2"/>
      </tp>
      <tp>
        <v>8.3089999999999993</v>
        <stp/>
        <stp>P</stp>
        <stp>0</stp>
        <stp>IR</stp>
        <stp>BONDKIS9999117</stp>
        <stp>2.5년이하(당일)</stp>
        <stp>45523</stp>
        <stp/>
        <tr r="AY41" s="2"/>
        <tr r="AY41" s="2"/>
      </tp>
      <tp>
        <v>0</v>
        <stp/>
        <stp>P</stp>
        <stp>0</stp>
        <stp>IR</stp>
        <stp>BONDAV426</stp>
        <stp>50년이하(당일)</stp>
        <stp>45523</stp>
        <stp/>
        <tr r="T32" s="1"/>
      </tp>
      <tp>
        <v>4.78</v>
        <stp/>
        <stp>P</stp>
        <stp>0</stp>
        <stp>IR</stp>
        <stp>BONDAV426</stp>
        <stp>10년이하(당일)</stp>
        <stp>45523</stp>
        <stp/>
        <tr r="P32" s="1"/>
        <tr r="P32" s="1"/>
      </tp>
      <tp>
        <v>8.6679999999999993</v>
        <stp/>
        <stp>P</stp>
        <stp>0</stp>
        <stp>IR</stp>
        <stp>BONDAV476</stp>
        <stp>15년이하(당일)</stp>
        <stp>45523</stp>
        <stp/>
        <tr r="Q79" s="1"/>
        <tr r="Q79" s="1"/>
      </tp>
      <tp>
        <v>0</v>
        <stp/>
        <stp>P</stp>
        <stp>0</stp>
        <stp>IR</stp>
        <stp>BONDAV426</stp>
        <stp>30년이하(당일)</stp>
        <stp>45523</stp>
        <stp/>
        <tr r="S32" s="1"/>
      </tp>
      <tp>
        <v>5.0419999999999998</v>
        <stp/>
        <stp>P</stp>
        <stp>0</stp>
        <stp>IR</stp>
        <stp>BONDAV426</stp>
        <stp>20년이하(당일)</stp>
        <stp>45523</stp>
        <stp/>
        <tr r="R32" s="1"/>
        <tr r="R32" s="1"/>
      </tp>
      <tp>
        <v>0</v>
        <stp/>
        <stp>P</stp>
        <stp>0</stp>
        <stp>IR</stp>
        <stp>BONDAV427</stp>
        <stp>50년이하(당일)</stp>
        <stp>45523</stp>
        <stp/>
        <tr r="T34" s="1"/>
      </tp>
      <tp>
        <v>4.4939999999999998</v>
        <stp/>
        <stp>P</stp>
        <stp>0</stp>
        <stp>IR</stp>
        <stp>BONDAV427</stp>
        <stp>10년이하(당일)</stp>
        <stp>45523</stp>
        <stp/>
        <tr r="P34" s="1"/>
        <tr r="P34" s="1"/>
      </tp>
      <tp>
        <v>9.8670000000000009</v>
        <stp/>
        <stp>P</stp>
        <stp>0</stp>
        <stp>IR</stp>
        <stp>BONDAV477</stp>
        <stp>15년이하(당일)</stp>
        <stp>45523</stp>
        <stp/>
        <tr r="Q80" s="1"/>
        <tr r="Q80" s="1"/>
      </tp>
      <tp>
        <v>0</v>
        <stp/>
        <stp>P</stp>
        <stp>0</stp>
        <stp>IR</stp>
        <stp>BONDAV427</stp>
        <stp>30년이하(당일)</stp>
        <stp>45523</stp>
        <stp/>
        <tr r="S34" s="1"/>
      </tp>
      <tp>
        <v>5.1219999999999999</v>
        <stp/>
        <stp>P</stp>
        <stp>0</stp>
        <stp>IR</stp>
        <stp>BONDAV427</stp>
        <stp>20년이하(당일)</stp>
        <stp>45523</stp>
        <stp/>
        <tr r="R34" s="1"/>
        <tr r="R34" s="1"/>
      </tp>
      <tp>
        <v>0</v>
        <stp/>
        <stp>P</stp>
        <stp>0</stp>
        <stp>IR</stp>
        <stp>BONDAV424</stp>
        <stp>50년이하(당일)</stp>
        <stp>45523</stp>
        <stp/>
        <tr r="T30" s="1"/>
      </tp>
      <tp>
        <v>4.4859999999999998</v>
        <stp/>
        <stp>P</stp>
        <stp>0</stp>
        <stp>IR</stp>
        <stp>BONDAV424</stp>
        <stp>10년이하(당일)</stp>
        <stp>45523</stp>
        <stp/>
        <tr r="P30" s="1"/>
        <tr r="P30" s="1"/>
      </tp>
      <tp>
        <v>6.5490000000000004</v>
        <stp/>
        <stp>P</stp>
        <stp>0</stp>
        <stp>IR</stp>
        <stp>BONDAV474</stp>
        <stp>15년이하(당일)</stp>
        <stp>45523</stp>
        <stp/>
        <tr r="Q77" s="1"/>
        <tr r="Q77" s="1"/>
      </tp>
      <tp>
        <v>0</v>
        <stp/>
        <stp>P</stp>
        <stp>0</stp>
        <stp>IR</stp>
        <stp>BONDAV424</stp>
        <stp>30년이하(당일)</stp>
        <stp>45523</stp>
        <stp/>
        <tr r="S30" s="1"/>
      </tp>
      <tp>
        <v>4.7389999999999999</v>
        <stp/>
        <stp>P</stp>
        <stp>0</stp>
        <stp>IR</stp>
        <stp>BONDAV424</stp>
        <stp>20년이하(당일)</stp>
        <stp>45523</stp>
        <stp/>
        <tr r="R30" s="1"/>
        <tr r="R30" s="1"/>
      </tp>
      <tp>
        <v>0</v>
        <stp/>
        <stp>P</stp>
        <stp>0</stp>
        <stp>IR</stp>
        <stp>BONDAV425</stp>
        <stp>50년이하(당일)</stp>
        <stp>45523</stp>
        <stp/>
        <tr r="T31" s="1"/>
      </tp>
      <tp>
        <v>4.6500000000000004</v>
        <stp/>
        <stp>P</stp>
        <stp>0</stp>
        <stp>IR</stp>
        <stp>BONDAV425</stp>
        <stp>10년이하(당일)</stp>
        <stp>45523</stp>
        <stp/>
        <tr r="P31" s="1"/>
        <tr r="P31" s="1"/>
      </tp>
      <tp>
        <v>7.0720000000000001</v>
        <stp/>
        <stp>P</stp>
        <stp>0</stp>
        <stp>IR</stp>
        <stp>BONDAV475</stp>
        <stp>15년이하(당일)</stp>
        <stp>45523</stp>
        <stp/>
        <tr r="Q78" s="1"/>
        <tr r="Q78" s="1"/>
      </tp>
      <tp>
        <v>0</v>
        <stp/>
        <stp>P</stp>
        <stp>0</stp>
        <stp>IR</stp>
        <stp>BONDAV425</stp>
        <stp>30년이하(당일)</stp>
        <stp>45523</stp>
        <stp/>
        <tr r="S31" s="1"/>
      </tp>
      <tp>
        <v>4.9009999999999998</v>
        <stp/>
        <stp>P</stp>
        <stp>0</stp>
        <stp>IR</stp>
        <stp>BONDAV425</stp>
        <stp>20년이하(당일)</stp>
        <stp>45523</stp>
        <stp/>
        <tr r="R31" s="1"/>
        <tr r="R31" s="1"/>
      </tp>
      <tp>
        <v>0</v>
        <stp/>
        <stp>P</stp>
        <stp>0</stp>
        <stp>IR</stp>
        <stp>BONDAV422</stp>
        <stp>50년이하(당일)</stp>
        <stp>45523</stp>
        <stp/>
        <tr r="T28" s="1"/>
      </tp>
      <tp>
        <v>4.0030000000000001</v>
        <stp/>
        <stp>P</stp>
        <stp>0</stp>
        <stp>IR</stp>
        <stp>BONDAV422</stp>
        <stp>10년이하(당일)</stp>
        <stp>45523</stp>
        <stp/>
        <tr r="P28" s="1"/>
        <tr r="P28" s="1"/>
      </tp>
      <tp>
        <v>5.569</v>
        <stp/>
        <stp>P</stp>
        <stp>0</stp>
        <stp>IR</stp>
        <stp>BONDAV472</stp>
        <stp>15년이하(당일)</stp>
        <stp>45523</stp>
        <stp/>
        <tr r="Q75" s="1"/>
        <tr r="Q75" s="1"/>
      </tp>
      <tp>
        <v>0</v>
        <stp/>
        <stp>P</stp>
        <stp>0</stp>
        <stp>IR</stp>
        <stp>BONDAV422</stp>
        <stp>30년이하(당일)</stp>
        <stp>45523</stp>
        <stp/>
        <tr r="S28" s="1"/>
      </tp>
      <tp>
        <v>4.3029999999999999</v>
        <stp/>
        <stp>P</stp>
        <stp>0</stp>
        <stp>IR</stp>
        <stp>BONDAV422</stp>
        <stp>20년이하(당일)</stp>
        <stp>45523</stp>
        <stp/>
        <tr r="R28" s="1"/>
        <tr r="R28" s="1"/>
      </tp>
      <tp>
        <v>0</v>
        <stp/>
        <stp>P</stp>
        <stp>0</stp>
        <stp>IR</stp>
        <stp>BONDAV423</stp>
        <stp>50년이하(당일)</stp>
        <stp>45523</stp>
        <stp/>
        <tr r="T29" s="1"/>
      </tp>
      <tp>
        <v>4.2889999999999997</v>
        <stp/>
        <stp>P</stp>
        <stp>0</stp>
        <stp>IR</stp>
        <stp>BONDAV423</stp>
        <stp>10년이하(당일)</stp>
        <stp>45523</stp>
        <stp/>
        <tr r="P29" s="1"/>
        <tr r="P29" s="1"/>
      </tp>
      <tp>
        <v>6.1</v>
        <stp/>
        <stp>P</stp>
        <stp>0</stp>
        <stp>IR</stp>
        <stp>BONDAV473</stp>
        <stp>15년이하(당일)</stp>
        <stp>45523</stp>
        <stp/>
        <tr r="Q76" s="1"/>
        <tr r="Q76" s="1"/>
      </tp>
      <tp>
        <v>0</v>
        <stp/>
        <stp>P</stp>
        <stp>0</stp>
        <stp>IR</stp>
        <stp>BONDAV423</stp>
        <stp>30년이하(당일)</stp>
        <stp>45523</stp>
        <stp/>
        <tr r="S29" s="1"/>
      </tp>
      <tp>
        <v>4.53</v>
        <stp/>
        <stp>P</stp>
        <stp>0</stp>
        <stp>IR</stp>
        <stp>BONDAV423</stp>
        <stp>20년이하(당일)</stp>
        <stp>45523</stp>
        <stp/>
        <tr r="R29" s="1"/>
        <tr r="R29" s="1"/>
      </tp>
      <tp>
        <v>0</v>
        <stp/>
        <stp>P</stp>
        <stp>0</stp>
        <stp>IR</stp>
        <stp>BONDAV420</stp>
        <stp>50년이하(당일)</stp>
        <stp>45523</stp>
        <stp/>
        <tr r="T26" s="1"/>
      </tp>
      <tp>
        <v>3.5760000000000001</v>
        <stp/>
        <stp>P</stp>
        <stp>0</stp>
        <stp>IR</stp>
        <stp>BONDAV420</stp>
        <stp>10년이하(당일)</stp>
        <stp>45523</stp>
        <stp/>
        <tr r="P26" s="1"/>
        <tr r="P26" s="1"/>
      </tp>
      <tp>
        <v>4.4870000000000001</v>
        <stp/>
        <stp>P</stp>
        <stp>0</stp>
        <stp>IR</stp>
        <stp>BONDAV470</stp>
        <stp>15년이하(당일)</stp>
        <stp>45523</stp>
        <stp/>
        <tr r="Q73" s="1"/>
        <tr r="Q73" s="1"/>
      </tp>
      <tp>
        <v>0</v>
        <stp/>
        <stp>P</stp>
        <stp>0</stp>
        <stp>IR</stp>
        <stp>BONDAV420</stp>
        <stp>30년이하(당일)</stp>
        <stp>45523</stp>
        <stp/>
        <tr r="S26" s="1"/>
      </tp>
      <tp>
        <v>3.75</v>
        <stp/>
        <stp>P</stp>
        <stp>0</stp>
        <stp>IR</stp>
        <stp>BONDAV420</stp>
        <stp>20년이하(당일)</stp>
        <stp>45523</stp>
        <stp/>
        <tr r="R26" s="1"/>
        <tr r="R26" s="1"/>
      </tp>
      <tp>
        <v>0</v>
        <stp/>
        <stp>P</stp>
        <stp>0</stp>
        <stp>IR</stp>
        <stp>BONDAV421</stp>
        <stp>50년이하(당일)</stp>
        <stp>45523</stp>
        <stp/>
        <tr r="T27" s="1"/>
      </tp>
      <tp>
        <v>3.6589999999999998</v>
        <stp/>
        <stp>P</stp>
        <stp>0</stp>
        <stp>IR</stp>
        <stp>BONDAV421</stp>
        <stp>10년이하(당일)</stp>
        <stp>45523</stp>
        <stp/>
        <tr r="P27" s="1"/>
        <tr r="P27" s="1"/>
      </tp>
      <tp>
        <v>5.0759999999999996</v>
        <stp/>
        <stp>P</stp>
        <stp>0</stp>
        <stp>IR</stp>
        <stp>BONDAV471</stp>
        <stp>15년이하(당일)</stp>
        <stp>45523</stp>
        <stp/>
        <tr r="Q74" s="1"/>
        <tr r="Q74" s="1"/>
      </tp>
      <tp>
        <v>0</v>
        <stp/>
        <stp>P</stp>
        <stp>0</stp>
        <stp>IR</stp>
        <stp>BONDAV421</stp>
        <stp>30년이하(당일)</stp>
        <stp>45523</stp>
        <stp/>
        <tr r="S27" s="1"/>
      </tp>
      <tp>
        <v>3.9460000000000002</v>
        <stp/>
        <stp>P</stp>
        <stp>0</stp>
        <stp>IR</stp>
        <stp>BONDAV421</stp>
        <stp>20년이하(당일)</stp>
        <stp>45523</stp>
        <stp/>
        <tr r="R27" s="1"/>
        <tr r="R27" s="1"/>
      </tp>
      <tp>
        <v>0</v>
        <stp/>
        <stp>P</stp>
        <stp>0</stp>
        <stp>IR</stp>
        <stp>BONDAV428</stp>
        <stp>50년이하(당일)</stp>
        <stp>45523</stp>
        <stp/>
        <tr r="T35" s="1"/>
      </tp>
      <tp>
        <v>4.7169999999999996</v>
        <stp/>
        <stp>P</stp>
        <stp>0</stp>
        <stp>IR</stp>
        <stp>BONDAV428</stp>
        <stp>10년이하(당일)</stp>
        <stp>45523</stp>
        <stp/>
        <tr r="P35" s="1"/>
        <tr r="P35" s="1"/>
      </tp>
      <tp>
        <v>11.608000000000001</v>
        <stp/>
        <stp>P</stp>
        <stp>0</stp>
        <stp>IR</stp>
        <stp>BONDAV478</stp>
        <stp>15년이하(당일)</stp>
        <stp>45523</stp>
        <stp/>
        <tr r="Q81" s="1"/>
        <tr r="Q81" s="1"/>
      </tp>
      <tp>
        <v>0</v>
        <stp/>
        <stp>P</stp>
        <stp>0</stp>
        <stp>IR</stp>
        <stp>BONDAV428</stp>
        <stp>30년이하(당일)</stp>
        <stp>45523</stp>
        <stp/>
        <tr r="S35" s="1"/>
      </tp>
      <tp>
        <v>5.3719999999999999</v>
        <stp/>
        <stp>P</stp>
        <stp>0</stp>
        <stp>IR</stp>
        <stp>BONDAV428</stp>
        <stp>20년이하(당일)</stp>
        <stp>45523</stp>
        <stp/>
        <tr r="R35" s="1"/>
        <tr r="R35" s="1"/>
      </tp>
      <tp>
        <v>0</v>
        <stp/>
        <stp>P</stp>
        <stp>0</stp>
        <stp>IR</stp>
        <stp>BONDAV429</stp>
        <stp>50년이하(당일)</stp>
        <stp>45523</stp>
        <stp/>
        <tr r="T36" s="1"/>
      </tp>
      <tp>
        <v>5.4080000000000004</v>
        <stp/>
        <stp>P</stp>
        <stp>0</stp>
        <stp>IR</stp>
        <stp>BONDAV429</stp>
        <stp>10년이하(당일)</stp>
        <stp>45523</stp>
        <stp/>
        <tr r="P36" s="1"/>
        <tr r="P36" s="1"/>
      </tp>
      <tp>
        <v>3.2050000000000001</v>
        <stp/>
        <stp>P</stp>
        <stp>0</stp>
        <stp>IR</stp>
        <stp>BONDAV479</stp>
        <stp>15년이하(당일)</stp>
        <stp>45523</stp>
        <stp/>
        <tr r="Q82" s="1"/>
        <tr r="Q82" s="1"/>
      </tp>
      <tp>
        <v>0</v>
        <stp/>
        <stp>P</stp>
        <stp>0</stp>
        <stp>IR</stp>
        <stp>BONDAV429</stp>
        <stp>30년이하(당일)</stp>
        <stp>45523</stp>
        <stp/>
        <tr r="S36" s="1"/>
      </tp>
      <tp>
        <v>5.8120000000000003</v>
        <stp/>
        <stp>P</stp>
        <stp>0</stp>
        <stp>IR</stp>
        <stp>BONDAV429</stp>
        <stp>20년이하(당일)</stp>
        <stp>45523</stp>
        <stp/>
        <tr r="R36" s="1"/>
        <tr r="R36" s="1"/>
      </tp>
      <tp>
        <v>3.234</v>
        <stp/>
        <stp>P</stp>
        <stp>0</stp>
        <stp>IR</stp>
        <stp>BONDKBPC500</stp>
        <stp>9월이하(당일)</stp>
        <stp>45523</stp>
        <stp/>
        <tr r="AE15" s="2"/>
        <tr r="AE15" s="2"/>
      </tp>
      <tp>
        <v>7.7279999999999998</v>
        <stp/>
        <stp>P</stp>
        <stp>0</stp>
        <stp>IR</stp>
        <stp>BONDNIC9999116</stp>
        <stp>1.5년이하(당일)</stp>
        <stp>45523</stp>
        <stp/>
        <tr r="BM50" s="2"/>
        <tr r="BM50" s="2"/>
      </tp>
      <tp>
        <v>8.2210000000000001</v>
        <stp/>
        <stp>P</stp>
        <stp>0</stp>
        <stp>IR</stp>
        <stp>BONDNIC9999116</stp>
        <stp>2.5년이하(당일)</stp>
        <stp>45523</stp>
        <stp/>
        <tr r="BO50" s="2"/>
        <tr r="BO50" s="2"/>
      </tp>
      <tp>
        <v>3.544</v>
        <stp/>
        <stp>P</stp>
        <stp>0</stp>
        <stp>IR</stp>
        <stp>BONDFNP9999111</stp>
        <stp>1.5년이하(당일)</stp>
        <stp>45523</stp>
        <stp/>
        <tr r="CC45" s="2"/>
        <tr r="CC45" s="2"/>
      </tp>
      <tp>
        <v>3.5230000000000001</v>
        <stp/>
        <stp>P</stp>
        <stp>0</stp>
        <stp>IR</stp>
        <stp>BONDFNP9999111</stp>
        <stp>2.5년이하(당일)</stp>
        <stp>45523</stp>
        <stp/>
        <tr r="CE45" s="2"/>
        <tr r="CE45" s="2"/>
      </tp>
      <tp>
        <v>6.9960000000000004</v>
        <stp/>
        <stp>P</stp>
        <stp>0</stp>
        <stp>IR</stp>
        <stp>BONDKIS9999116</stp>
        <stp>1.5년이하(당일)</stp>
        <stp>45523</stp>
        <stp/>
        <tr r="AW40" s="2"/>
        <tr r="AW40" s="2"/>
      </tp>
      <tp>
        <v>7.3849999999999998</v>
        <stp/>
        <stp>P</stp>
        <stp>0</stp>
        <stp>IR</stp>
        <stp>BONDKIS9999116</stp>
        <stp>2.5년이하(당일)</stp>
        <stp>45523</stp>
        <stp/>
        <tr r="AY40" s="2"/>
        <tr r="AY40" s="2"/>
      </tp>
      <tp>
        <v>0</v>
        <stp/>
        <stp>P</stp>
        <stp>0</stp>
        <stp>IR</stp>
        <stp>BONDAV436</stp>
        <stp>50년이하(당일)</stp>
        <stp>45523</stp>
        <stp/>
        <tr r="T43" s="1"/>
      </tp>
      <tp>
        <v>4.4939999999999998</v>
        <stp/>
        <stp>P</stp>
        <stp>0</stp>
        <stp>IR</stp>
        <stp>BONDAV436</stp>
        <stp>10년이하(당일)</stp>
        <stp>45523</stp>
        <stp/>
        <tr r="P43" s="1"/>
        <tr r="P43" s="1"/>
      </tp>
      <tp>
        <v>0</v>
        <stp/>
        <stp>P</stp>
        <stp>0</stp>
        <stp>IR</stp>
        <stp>BONDAV436</stp>
        <stp>30년이하(당일)</stp>
        <stp>45523</stp>
        <stp/>
        <tr r="S43" s="1"/>
      </tp>
      <tp>
        <v>5.1219999999999999</v>
        <stp/>
        <stp>P</stp>
        <stp>0</stp>
        <stp>IR</stp>
        <stp>BONDAV436</stp>
        <stp>20년이하(당일)</stp>
        <stp>45523</stp>
        <stp/>
        <tr r="R43" s="1"/>
        <tr r="R43" s="1"/>
      </tp>
      <tp>
        <v>0</v>
        <stp/>
        <stp>P</stp>
        <stp>0</stp>
        <stp>IR</stp>
        <stp>BONDAV437</stp>
        <stp>50년이하(당일)</stp>
        <stp>45523</stp>
        <stp/>
        <tr r="T44" s="1"/>
      </tp>
      <tp>
        <v>4.7169999999999996</v>
        <stp/>
        <stp>P</stp>
        <stp>0</stp>
        <stp>IR</stp>
        <stp>BONDAV437</stp>
        <stp>10년이하(당일)</stp>
        <stp>45523</stp>
        <stp/>
        <tr r="P44" s="1"/>
        <tr r="P44" s="1"/>
      </tp>
      <tp>
        <v>0</v>
        <stp/>
        <stp>P</stp>
        <stp>0</stp>
        <stp>IR</stp>
        <stp>BONDAV437</stp>
        <stp>30년이하(당일)</stp>
        <stp>45523</stp>
        <stp/>
        <tr r="S44" s="1"/>
      </tp>
      <tp>
        <v>5.3719999999999999</v>
        <stp/>
        <stp>P</stp>
        <stp>0</stp>
        <stp>IR</stp>
        <stp>BONDAV437</stp>
        <stp>20년이하(당일)</stp>
        <stp>45523</stp>
        <stp/>
        <tr r="R44" s="1"/>
        <tr r="R44" s="1"/>
      </tp>
      <tp>
        <v>0</v>
        <stp/>
        <stp>P</stp>
        <stp>0</stp>
        <stp>IR</stp>
        <stp>BONDAV434</stp>
        <stp>50년이하(당일)</stp>
        <stp>45523</stp>
        <stp/>
        <tr r="T41" s="1"/>
      </tp>
      <tp>
        <v>10.438000000000001</v>
        <stp/>
        <stp>P</stp>
        <stp>0</stp>
        <stp>IR</stp>
        <stp>BONDAV434</stp>
        <stp>10년이하(당일)</stp>
        <stp>45523</stp>
        <stp/>
        <tr r="P41" s="1"/>
        <tr r="P41" s="1"/>
      </tp>
      <tp>
        <v>10.595000000000001</v>
        <stp/>
        <stp>P</stp>
        <stp>0</stp>
        <stp>IR</stp>
        <stp>BONDAV464</stp>
        <stp>15년이하(당일)</stp>
        <stp>45523</stp>
        <stp/>
        <tr r="Q71" s="1"/>
        <tr r="Q71" s="1"/>
      </tp>
      <tp>
        <v>0</v>
        <stp/>
        <stp>P</stp>
        <stp>0</stp>
        <stp>IR</stp>
        <stp>BONDAV434</stp>
        <stp>30년이하(당일)</stp>
        <stp>45523</stp>
        <stp/>
        <tr r="S41" s="1"/>
      </tp>
      <tp>
        <v>11.081</v>
        <stp/>
        <stp>P</stp>
        <stp>0</stp>
        <stp>IR</stp>
        <stp>BONDAV434</stp>
        <stp>20년이하(당일)</stp>
        <stp>45523</stp>
        <stp/>
        <tr r="R41" s="1"/>
        <tr r="R41" s="1"/>
      </tp>
      <tp>
        <v>0</v>
        <stp/>
        <stp>P</stp>
        <stp>0</stp>
        <stp>IR</stp>
        <stp>BONDAV432</stp>
        <stp>50년이하(당일)</stp>
        <stp>45523</stp>
        <stp/>
        <tr r="T39" s="1"/>
      </tp>
      <tp>
        <v>7.78</v>
        <stp/>
        <stp>P</stp>
        <stp>0</stp>
        <stp>IR</stp>
        <stp>BONDAV432</stp>
        <stp>10년이하(당일)</stp>
        <stp>45523</stp>
        <stp/>
        <tr r="P39" s="1"/>
        <tr r="P39" s="1"/>
      </tp>
      <tp>
        <v>8.01</v>
        <stp/>
        <stp>P</stp>
        <stp>0</stp>
        <stp>IR</stp>
        <stp>BONDAV462</stp>
        <stp>15년이하(당일)</stp>
        <stp>45523</stp>
        <stp/>
        <tr r="Q69" s="1"/>
        <tr r="Q69" s="1"/>
      </tp>
      <tp>
        <v>0</v>
        <stp/>
        <stp>P</stp>
        <stp>0</stp>
        <stp>IR</stp>
        <stp>BONDAV432</stp>
        <stp>30년이하(당일)</stp>
        <stp>45523</stp>
        <stp/>
        <tr r="S39" s="1"/>
      </tp>
      <tp>
        <v>8.2520000000000007</v>
        <stp/>
        <stp>P</stp>
        <stp>0</stp>
        <stp>IR</stp>
        <stp>BONDAV432</stp>
        <stp>20년이하(당일)</stp>
        <stp>45523</stp>
        <stp/>
        <tr r="R39" s="1"/>
        <tr r="R39" s="1"/>
      </tp>
      <tp>
        <v>0</v>
        <stp/>
        <stp>P</stp>
        <stp>0</stp>
        <stp>IR</stp>
        <stp>BONDAV433</stp>
        <stp>50년이하(당일)</stp>
        <stp>45523</stp>
        <stp/>
        <tr r="T40" s="1"/>
      </tp>
      <tp>
        <v>9.0779999999999994</v>
        <stp/>
        <stp>P</stp>
        <stp>0</stp>
        <stp>IR</stp>
        <stp>BONDAV433</stp>
        <stp>10년이하(당일)</stp>
        <stp>45523</stp>
        <stp/>
        <tr r="P40" s="1"/>
        <tr r="P40" s="1"/>
      </tp>
      <tp>
        <v>9.1150000000000002</v>
        <stp/>
        <stp>P</stp>
        <stp>0</stp>
        <stp>IR</stp>
        <stp>BONDAV463</stp>
        <stp>15년이하(당일)</stp>
        <stp>45523</stp>
        <stp/>
        <tr r="Q70" s="1"/>
        <tr r="Q70" s="1"/>
      </tp>
      <tp>
        <v>0</v>
        <stp/>
        <stp>P</stp>
        <stp>0</stp>
        <stp>IR</stp>
        <stp>BONDAV433</stp>
        <stp>30년이하(당일)</stp>
        <stp>45523</stp>
        <stp/>
        <tr r="S40" s="1"/>
      </tp>
      <tp>
        <v>9.7780000000000005</v>
        <stp/>
        <stp>P</stp>
        <stp>0</stp>
        <stp>IR</stp>
        <stp>BONDAV433</stp>
        <stp>20년이하(당일)</stp>
        <stp>45523</stp>
        <stp/>
        <tr r="R40" s="1"/>
        <tr r="R40" s="1"/>
      </tp>
      <tp>
        <v>0</v>
        <stp/>
        <stp>P</stp>
        <stp>0</stp>
        <stp>IR</stp>
        <stp>BONDAV430</stp>
        <stp>50년이하(당일)</stp>
        <stp>45523</stp>
        <stp/>
        <tr r="T37" s="1"/>
      </tp>
      <tp>
        <v>5.8289999999999997</v>
        <stp/>
        <stp>P</stp>
        <stp>0</stp>
        <stp>IR</stp>
        <stp>BONDAV430</stp>
        <stp>10년이하(당일)</stp>
        <stp>45523</stp>
        <stp/>
        <tr r="P37" s="1"/>
        <tr r="P37" s="1"/>
      </tp>
      <tp>
        <v>6.0060000000000002</v>
        <stp/>
        <stp>P</stp>
        <stp>0</stp>
        <stp>IR</stp>
        <stp>BONDAV460</stp>
        <stp>15년이하(당일)</stp>
        <stp>45523</stp>
        <stp/>
        <tr r="Q67" s="1"/>
        <tr r="Q67" s="1"/>
      </tp>
      <tp>
        <v>0</v>
        <stp/>
        <stp>P</stp>
        <stp>0</stp>
        <stp>IR</stp>
        <stp>BONDAV430</stp>
        <stp>30년이하(당일)</stp>
        <stp>45523</stp>
        <stp/>
        <tr r="S37" s="1"/>
      </tp>
      <tp>
        <v>6.1619999999999999</v>
        <stp/>
        <stp>P</stp>
        <stp>0</stp>
        <stp>IR</stp>
        <stp>BONDAV430</stp>
        <stp>20년이하(당일)</stp>
        <stp>45523</stp>
        <stp/>
        <tr r="R37" s="1"/>
        <tr r="R37" s="1"/>
      </tp>
      <tp>
        <v>0</v>
        <stp/>
        <stp>P</stp>
        <stp>0</stp>
        <stp>IR</stp>
        <stp>BONDAV431</stp>
        <stp>50년이하(당일)</stp>
        <stp>45523</stp>
        <stp/>
        <tr r="T38" s="1"/>
      </tp>
      <tp>
        <v>6.4809999999999999</v>
        <stp/>
        <stp>P</stp>
        <stp>0</stp>
        <stp>IR</stp>
        <stp>BONDAV431</stp>
        <stp>10년이하(당일)</stp>
        <stp>45523</stp>
        <stp/>
        <tr r="P38" s="1"/>
        <tr r="P38" s="1"/>
      </tp>
      <tp>
        <v>6.5090000000000003</v>
        <stp/>
        <stp>P</stp>
        <stp>0</stp>
        <stp>IR</stp>
        <stp>BONDAV461</stp>
        <stp>15년이하(당일)</stp>
        <stp>45523</stp>
        <stp/>
        <tr r="Q68" s="1"/>
        <tr r="Q68" s="1"/>
      </tp>
      <tp>
        <v>0</v>
        <stp/>
        <stp>P</stp>
        <stp>0</stp>
        <stp>IR</stp>
        <stp>BONDAV431</stp>
        <stp>30년이하(당일)</stp>
        <stp>45523</stp>
        <stp/>
        <tr r="S38" s="1"/>
      </tp>
      <tp>
        <v>6.819</v>
        <stp/>
        <stp>P</stp>
        <stp>0</stp>
        <stp>IR</stp>
        <stp>BONDAV431</stp>
        <stp>20년이하(당일)</stp>
        <stp>45523</stp>
        <stp/>
        <tr r="R38" s="1"/>
        <tr r="R38" s="1"/>
      </tp>
      <tp>
        <v>0</v>
        <stp/>
        <stp>P</stp>
        <stp>0</stp>
        <stp>IR</stp>
        <stp>BONDAV438</stp>
        <stp>50년이하(당일)</stp>
        <stp>45523</stp>
        <stp/>
        <tr r="T45" s="1"/>
      </tp>
      <tp>
        <v>5.4080000000000004</v>
        <stp/>
        <stp>P</stp>
        <stp>0</stp>
        <stp>IR</stp>
        <stp>BONDAV438</stp>
        <stp>10년이하(당일)</stp>
        <stp>45523</stp>
        <stp/>
        <tr r="P45" s="1"/>
        <tr r="P45" s="1"/>
      </tp>
      <tp>
        <v>0</v>
        <stp/>
        <stp>P</stp>
        <stp>0</stp>
        <stp>IR</stp>
        <stp>BONDAV438</stp>
        <stp>30년이하(당일)</stp>
        <stp>45523</stp>
        <stp/>
        <tr r="S45" s="1"/>
      </tp>
      <tp>
        <v>5.8120000000000003</v>
        <stp/>
        <stp>P</stp>
        <stp>0</stp>
        <stp>IR</stp>
        <stp>BONDAV438</stp>
        <stp>20년이하(당일)</stp>
        <stp>45523</stp>
        <stp/>
        <tr r="R45" s="1"/>
        <tr r="R45" s="1"/>
      </tp>
      <tp>
        <v>0</v>
        <stp/>
        <stp>P</stp>
        <stp>0</stp>
        <stp>IR</stp>
        <stp>BONDAV439</stp>
        <stp>50년이하(당일)</stp>
        <stp>45523</stp>
        <stp/>
        <tr r="T46" s="1"/>
      </tp>
      <tp>
        <v>5.8289999999999997</v>
        <stp/>
        <stp>P</stp>
        <stp>0</stp>
        <stp>IR</stp>
        <stp>BONDAV439</stp>
        <stp>10년이하(당일)</stp>
        <stp>45523</stp>
        <stp/>
        <tr r="P46" s="1"/>
        <tr r="P46" s="1"/>
      </tp>
      <tp>
        <v>4.1550000000000002</v>
        <stp/>
        <stp>P</stp>
        <stp>0</stp>
        <stp>IR</stp>
        <stp>BONDAV469</stp>
        <stp>15년이하(당일)</stp>
        <stp>45523</stp>
        <stp/>
        <tr r="Q72" s="1"/>
        <tr r="Q72" s="1"/>
      </tp>
      <tp>
        <v>0</v>
        <stp/>
        <stp>P</stp>
        <stp>0</stp>
        <stp>IR</stp>
        <stp>BONDAV439</stp>
        <stp>30년이하(당일)</stp>
        <stp>45523</stp>
        <stp/>
        <tr r="S46" s="1"/>
      </tp>
      <tp>
        <v>6.1619999999999999</v>
        <stp/>
        <stp>P</stp>
        <stp>0</stp>
        <stp>IR</stp>
        <stp>BONDAV439</stp>
        <stp>20년이하(당일)</stp>
        <stp>45523</stp>
        <stp/>
        <tr r="R46" s="1"/>
        <tr r="R46" s="1"/>
      </tp>
      <tp>
        <v>6.9160000000000004</v>
        <stp/>
        <stp>P</stp>
        <stp>0</stp>
        <stp>IR</stp>
        <stp>BONDNIC9999115</stp>
        <stp>1.5년이하(당일)</stp>
        <stp>45523</stp>
        <stp/>
        <tr r="BM49" s="2"/>
        <tr r="BM49" s="2"/>
      </tp>
      <tp>
        <v>7.3410000000000002</v>
        <stp/>
        <stp>P</stp>
        <stp>0</stp>
        <stp>IR</stp>
        <stp>BONDNIC9999115</stp>
        <stp>2.5년이하(당일)</stp>
        <stp>45523</stp>
        <stp/>
        <tr r="BO49" s="2"/>
        <tr r="BO49" s="2"/>
      </tp>
      <tp>
        <v>4.4130000000000003</v>
        <stp/>
        <stp>P</stp>
        <stp>0</stp>
        <stp>IR</stp>
        <stp>BONDFNP9999112</stp>
        <stp>1.5년이하(당일)</stp>
        <stp>45523</stp>
        <stp/>
        <tr r="CC46" s="2"/>
        <tr r="CC46" s="2"/>
      </tp>
      <tp>
        <v>4.4690000000000003</v>
        <stp/>
        <stp>P</stp>
        <stp>0</stp>
        <stp>IR</stp>
        <stp>BONDFNP9999112</stp>
        <stp>2.5년이하(당일)</stp>
        <stp>45523</stp>
        <stp/>
        <tr r="CE46" s="2"/>
        <tr r="CE46" s="2"/>
      </tp>
      <tp>
        <v>5.7670000000000003</v>
        <stp/>
        <stp>P</stp>
        <stp>0</stp>
        <stp>IR</stp>
        <stp>BONDKIS9999115</stp>
        <stp>1.5년이하(당일)</stp>
        <stp>45523</stp>
        <stp/>
        <tr r="AW39" s="2"/>
        <tr r="AW39" s="2"/>
      </tp>
      <tp>
        <v>5.9660000000000002</v>
        <stp/>
        <stp>P</stp>
        <stp>0</stp>
        <stp>IR</stp>
        <stp>BONDKIS9999115</stp>
        <stp>2.5년이하(당일)</stp>
        <stp>45523</stp>
        <stp/>
        <tr r="AY39" s="2"/>
        <tr r="AY39" s="2"/>
      </tp>
      <tp>
        <v>0</v>
        <stp/>
        <stp>P</stp>
        <stp>0</stp>
        <stp>IR</stp>
        <stp>BONDAV406</stp>
        <stp>50년이하(당일)</stp>
        <stp>45523</stp>
        <stp/>
        <tr r="T13" s="1"/>
      </tp>
      <tp>
        <v>3.339</v>
        <stp/>
        <stp>P</stp>
        <stp>0</stp>
        <stp>IR</stp>
        <stp>BONDAV406</stp>
        <stp>10년이하(당일)</stp>
        <stp>45523</stp>
        <stp/>
        <tr r="P13" s="1"/>
        <tr r="P13" s="1"/>
      </tp>
      <tp>
        <v>4.1769999999999996</v>
        <stp/>
        <stp>P</stp>
        <stp>0</stp>
        <stp>IR</stp>
        <stp>BONDAV456</stp>
        <stp>15년이하(당일)</stp>
        <stp>45523</stp>
        <stp/>
        <tr r="Q63" s="1"/>
        <tr r="Q63" s="1"/>
      </tp>
      <tp>
        <v>0</v>
        <stp/>
        <stp>P</stp>
        <stp>0</stp>
        <stp>IR</stp>
        <stp>BONDAV406</stp>
        <stp>30년이하(당일)</stp>
        <stp>45523</stp>
        <stp/>
        <tr r="S13" s="1"/>
      </tp>
      <tp>
        <v>3.3809999999999998</v>
        <stp/>
        <stp>P</stp>
        <stp>0</stp>
        <stp>IR</stp>
        <stp>BONDAV406</stp>
        <stp>20년이하(당일)</stp>
        <stp>45523</stp>
        <stp/>
        <tr r="R13" s="1"/>
        <tr r="R13" s="1"/>
      </tp>
      <tp>
        <v>4.7439999999999998</v>
        <stp/>
        <stp>P</stp>
        <stp>0</stp>
        <stp>IR</stp>
        <stp>BONDAV457</stp>
        <stp>15년이하(당일)</stp>
        <stp>45523</stp>
        <stp/>
        <tr r="Q64" s="1"/>
        <tr r="Q64" s="1"/>
      </tp>
      <tp>
        <v>0</v>
        <stp/>
        <stp>P</stp>
        <stp>0</stp>
        <stp>IR</stp>
        <stp>BONDAV404</stp>
        <stp>50년이하(당일)</stp>
        <stp>45523</stp>
        <stp/>
        <tr r="T11" s="1"/>
      </tp>
      <tp>
        <v>2.7450000000000001</v>
        <stp/>
        <stp>P</stp>
        <stp>0</stp>
        <stp>IR</stp>
        <stp>BONDAV404</stp>
        <stp>10년이하(당일)</stp>
        <stp>45523</stp>
        <stp/>
        <tr r="P11" s="1"/>
        <tr r="P11" s="1"/>
      </tp>
      <tp>
        <v>6.5270000000000001</v>
        <stp/>
        <stp>P</stp>
        <stp>0</stp>
        <stp>IR</stp>
        <stp>BONDAV454</stp>
        <stp>15년이하(당일)</stp>
        <stp>45523</stp>
        <stp/>
        <tr r="Q61" s="1"/>
        <tr r="Q61" s="1"/>
      </tp>
      <tp>
        <v>0</v>
        <stp/>
        <stp>P</stp>
        <stp>0</stp>
        <stp>IR</stp>
        <stp>BONDAV404</stp>
        <stp>30년이하(당일)</stp>
        <stp>45523</stp>
        <stp/>
        <tr r="S11" s="1"/>
      </tp>
      <tp>
        <v>0.71699999999999997</v>
        <stp/>
        <stp>P</stp>
        <stp>0</stp>
        <stp>IR</stp>
        <stp>BONDAV404</stp>
        <stp>20년이하(당일)</stp>
        <stp>45523</stp>
        <stp/>
        <tr r="R11" s="1"/>
        <tr r="R11" s="1"/>
      </tp>
      <tp>
        <v>0</v>
        <stp/>
        <stp>P</stp>
        <stp>0</stp>
        <stp>IR</stp>
        <stp>BONDAV405</stp>
        <stp>50년이하(당일)</stp>
        <stp>45523</stp>
        <stp/>
        <tr r="T12" s="1"/>
      </tp>
      <tp>
        <v>0</v>
        <stp/>
        <stp>P</stp>
        <stp>0</stp>
        <stp>IR</stp>
        <stp>BONDAV405</stp>
        <stp>10년이하(당일)</stp>
        <stp>45523</stp>
        <stp/>
        <tr r="P12" s="1"/>
      </tp>
      <tp>
        <v>3.8340000000000001</v>
        <stp/>
        <stp>P</stp>
        <stp>0</stp>
        <stp>IR</stp>
        <stp>BONDAV455</stp>
        <stp>15년이하(당일)</stp>
        <stp>45523</stp>
        <stp/>
        <tr r="Q62" s="1"/>
        <tr r="Q62" s="1"/>
      </tp>
      <tp>
        <v>0</v>
        <stp/>
        <stp>P</stp>
        <stp>0</stp>
        <stp>IR</stp>
        <stp>BONDAV405</stp>
        <stp>30년이하(당일)</stp>
        <stp>45523</stp>
        <stp/>
        <tr r="S12" s="1"/>
      </tp>
      <tp>
        <v>0</v>
        <stp/>
        <stp>P</stp>
        <stp>0</stp>
        <stp>IR</stp>
        <stp>BONDAV405</stp>
        <stp>20년이하(당일)</stp>
        <stp>45523</stp>
        <stp/>
        <tr r="R12" s="1"/>
      </tp>
      <tp>
        <v>0</v>
        <stp/>
        <stp>P</stp>
        <stp>0</stp>
        <stp>IR</stp>
        <stp>BONDAV402</stp>
        <stp>50년이하(당일)</stp>
        <stp>45523</stp>
        <stp/>
        <tr r="T9" s="1"/>
      </tp>
      <tp>
        <v>0</v>
        <stp/>
        <stp>P</stp>
        <stp>0</stp>
        <stp>IR</stp>
        <stp>BONDAV402</stp>
        <stp>10년이하(당일)</stp>
        <stp>45523</stp>
        <stp/>
        <tr r="P9" s="1"/>
      </tp>
      <tp>
        <v>5.6420000000000003</v>
        <stp/>
        <stp>P</stp>
        <stp>0</stp>
        <stp>IR</stp>
        <stp>BONDAV452</stp>
        <stp>15년이하(당일)</stp>
        <stp>45523</stp>
        <stp/>
        <tr r="Q59" s="1"/>
        <tr r="Q59" s="1"/>
      </tp>
      <tp>
        <v>0</v>
        <stp/>
        <stp>P</stp>
        <stp>0</stp>
        <stp>IR</stp>
        <stp>BONDAV402</stp>
        <stp>30년이하(당일)</stp>
        <stp>45523</stp>
        <stp/>
        <tr r="S9" s="1"/>
      </tp>
      <tp>
        <v>0</v>
        <stp/>
        <stp>P</stp>
        <stp>0</stp>
        <stp>IR</stp>
        <stp>BONDAV402</stp>
        <stp>20년이하(당일)</stp>
        <stp>45523</stp>
        <stp/>
        <tr r="R9" s="1"/>
      </tp>
      <tp>
        <v>0</v>
        <stp/>
        <stp>P</stp>
        <stp>0</stp>
        <stp>IR</stp>
        <stp>BONDAV403</stp>
        <stp>50년이하(당일)</stp>
        <stp>45523</stp>
        <stp/>
        <tr r="T10" s="1"/>
      </tp>
      <tp>
        <v>3.0910000000000002</v>
        <stp/>
        <stp>P</stp>
        <stp>0</stp>
        <stp>IR</stp>
        <stp>BONDAV403</stp>
        <stp>10년이하(당일)</stp>
        <stp>45523</stp>
        <stp/>
        <tr r="P10" s="1"/>
        <tr r="P10" s="1"/>
      </tp>
      <tp>
        <v>6.0069999999999997</v>
        <stp/>
        <stp>P</stp>
        <stp>0</stp>
        <stp>IR</stp>
        <stp>BONDAV453</stp>
        <stp>15년이하(당일)</stp>
        <stp>45523</stp>
        <stp/>
        <tr r="Q60" s="1"/>
        <tr r="Q60" s="1"/>
      </tp>
      <tp>
        <v>0</v>
        <stp/>
        <stp>P</stp>
        <stp>0</stp>
        <stp>IR</stp>
        <stp>BONDAV403</stp>
        <stp>30년이하(당일)</stp>
        <stp>45523</stp>
        <stp/>
        <tr r="S10" s="1"/>
      </tp>
      <tp>
        <v>3.194</v>
        <stp/>
        <stp>P</stp>
        <stp>0</stp>
        <stp>IR</stp>
        <stp>BONDAV403</stp>
        <stp>20년이하(당일)</stp>
        <stp>45523</stp>
        <stp/>
        <tr r="R10" s="1"/>
        <tr r="R10" s="1"/>
      </tp>
      <tp>
        <v>4.74</v>
        <stp/>
        <stp>P</stp>
        <stp>0</stp>
        <stp>IR</stp>
        <stp>BONDAV450</stp>
        <stp>15년이하(당일)</stp>
        <stp>45523</stp>
        <stp/>
        <tr r="Q57" s="1"/>
        <tr r="Q57" s="1"/>
      </tp>
      <tp>
        <v>2.762</v>
        <stp/>
        <stp>P</stp>
        <stp>0</stp>
        <stp>IR</stp>
        <stp>BONDAV401</stp>
        <stp>50년이하(당일)</stp>
        <stp>45523</stp>
        <stp/>
        <tr r="T8" s="1"/>
        <tr r="T8" s="1"/>
      </tp>
      <tp>
        <v>2.9750000000000001</v>
        <stp/>
        <stp>P</stp>
        <stp>0</stp>
        <stp>IR</stp>
        <stp>BONDAV401</stp>
        <stp>10년이하(당일)</stp>
        <stp>45523</stp>
        <stp/>
        <tr r="P8" s="1"/>
        <tr r="P8" s="1"/>
      </tp>
      <tp>
        <v>5.2370000000000001</v>
        <stp/>
        <stp>P</stp>
        <stp>0</stp>
        <stp>IR</stp>
        <stp>BONDAV451</stp>
        <stp>15년이하(당일)</stp>
        <stp>45523</stp>
        <stp/>
        <tr r="Q58" s="1"/>
        <tr r="Q58" s="1"/>
      </tp>
      <tp>
        <v>2.8519999999999999</v>
        <stp/>
        <stp>P</stp>
        <stp>0</stp>
        <stp>IR</stp>
        <stp>BONDAV401</stp>
        <stp>30년이하(당일)</stp>
        <stp>45523</stp>
        <stp/>
        <tr r="S8" s="1"/>
        <tr r="S8" s="1"/>
      </tp>
      <tp>
        <v>2.952</v>
        <stp/>
        <stp>P</stp>
        <stp>0</stp>
        <stp>IR</stp>
        <stp>BONDAV401</stp>
        <stp>20년이하(당일)</stp>
        <stp>45523</stp>
        <stp/>
        <tr r="R8" s="1"/>
        <tr r="R8" s="1"/>
      </tp>
      <tp>
        <v>5.218</v>
        <stp/>
        <stp>P</stp>
        <stp>0</stp>
        <stp>IR</stp>
        <stp>BONDAV458</stp>
        <stp>15년이하(당일)</stp>
        <stp>45523</stp>
        <stp/>
        <tr r="Q65" s="1"/>
        <tr r="Q65" s="1"/>
      </tp>
      <tp>
        <v>0</v>
        <stp/>
        <stp>P</stp>
        <stp>0</stp>
        <stp>IR</stp>
        <stp>BONDAV409</stp>
        <stp>50년이하(당일)</stp>
        <stp>45523</stp>
        <stp/>
        <tr r="T15" s="1"/>
      </tp>
      <tp>
        <v>3.1549999999999998</v>
        <stp/>
        <stp>P</stp>
        <stp>0</stp>
        <stp>IR</stp>
        <stp>BONDAV409</stp>
        <stp>10년이하(당일)</stp>
        <stp>45523</stp>
        <stp/>
        <tr r="P15" s="1"/>
        <tr r="P15" s="1"/>
      </tp>
      <tp>
        <v>5.6070000000000002</v>
        <stp/>
        <stp>P</stp>
        <stp>0</stp>
        <stp>IR</stp>
        <stp>BONDAV459</stp>
        <stp>15년이하(당일)</stp>
        <stp>45523</stp>
        <stp/>
        <tr r="Q66" s="1"/>
        <tr r="Q66" s="1"/>
      </tp>
      <tp>
        <v>3.165</v>
        <stp/>
        <stp>P</stp>
        <stp>0</stp>
        <stp>IR</stp>
        <stp>BONDAV409</stp>
        <stp>30년이하(당일)</stp>
        <stp>45523</stp>
        <stp/>
        <tr r="S15" s="1"/>
        <tr r="S15" s="1"/>
      </tp>
      <tp>
        <v>3.153</v>
        <stp/>
        <stp>P</stp>
        <stp>0</stp>
        <stp>IR</stp>
        <stp>BONDAV409</stp>
        <stp>20년이하(당일)</stp>
        <stp>45523</stp>
        <stp/>
        <tr r="R15" s="1"/>
        <tr r="R15" s="1"/>
      </tp>
      <tp>
        <v>5.7839999999999998</v>
        <stp/>
        <stp>P</stp>
        <stp>0</stp>
        <stp>IR</stp>
        <stp>BONDNIC9999114</stp>
        <stp>1.5년이하(당일)</stp>
        <stp>45523</stp>
        <stp/>
        <tr r="BM48" s="2"/>
        <tr r="BM48" s="2"/>
      </tp>
      <tp>
        <v>5.9589999999999996</v>
        <stp/>
        <stp>P</stp>
        <stp>0</stp>
        <stp>IR</stp>
        <stp>BONDNIC9999114</stp>
        <stp>2.5년이하(당일)</stp>
        <stp>45523</stp>
        <stp/>
        <tr r="BO48" s="2"/>
        <tr r="BO48" s="2"/>
      </tp>
      <tp>
        <v>5.1870000000000003</v>
        <stp/>
        <stp>P</stp>
        <stp>0</stp>
        <stp>IR</stp>
        <stp>BONDFNP9999113</stp>
        <stp>1.5년이하(당일)</stp>
        <stp>45523</stp>
        <stp/>
        <tr r="CC47" s="2"/>
        <tr r="CC47" s="2"/>
      </tp>
      <tp>
        <v>5.274</v>
        <stp/>
        <stp>P</stp>
        <stp>0</stp>
        <stp>IR</stp>
        <stp>BONDFNP9999113</stp>
        <stp>2.5년이하(당일)</stp>
        <stp>45523</stp>
        <stp/>
        <tr r="CE47" s="2"/>
        <tr r="CE47" s="2"/>
      </tp>
      <tp>
        <v>5.2140000000000004</v>
        <stp/>
        <stp>P</stp>
        <stp>0</stp>
        <stp>IR</stp>
        <stp>BONDKIS9999114</stp>
        <stp>1.5년이하(당일)</stp>
        <stp>45523</stp>
        <stp/>
        <tr r="AW38" s="2"/>
        <tr r="AW38" s="2"/>
      </tp>
      <tp>
        <v>5.2789999999999999</v>
        <stp/>
        <stp>P</stp>
        <stp>0</stp>
        <stp>IR</stp>
        <stp>BONDKIS9999114</stp>
        <stp>2.5년이하(당일)</stp>
        <stp>45523</stp>
        <stp/>
        <tr r="AY38" s="2"/>
        <tr r="AY38" s="2"/>
      </tp>
      <tp>
        <v>0</v>
        <stp/>
        <stp>P</stp>
        <stp>0</stp>
        <stp>IR</stp>
        <stp>BONDAV416</stp>
        <stp>50년이하(당일)</stp>
        <stp>45523</stp>
        <stp/>
        <tr r="T22" s="1"/>
      </tp>
      <tp>
        <v>3.4780000000000002</v>
        <stp/>
        <stp>P</stp>
        <stp>0</stp>
        <stp>IR</stp>
        <stp>BONDAV416</stp>
        <stp>10년이하(당일)</stp>
        <stp>45523</stp>
        <stp/>
        <tr r="P22" s="1"/>
        <tr r="P22" s="1"/>
      </tp>
      <tp>
        <v>4.7380000000000004</v>
        <stp/>
        <stp>P</stp>
        <stp>0</stp>
        <stp>IR</stp>
        <stp>BONDAV446</stp>
        <stp>15년이하(당일)</stp>
        <stp>45523</stp>
        <stp/>
        <tr r="Q53" s="1"/>
        <tr r="Q53" s="1"/>
      </tp>
      <tp>
        <v>0</v>
        <stp/>
        <stp>P</stp>
        <stp>0</stp>
        <stp>IR</stp>
        <stp>BONDAV416</stp>
        <stp>30년이하(당일)</stp>
        <stp>45523</stp>
        <stp/>
        <tr r="S22" s="1"/>
      </tp>
      <tp>
        <v>3.6419999999999999</v>
        <stp/>
        <stp>P</stp>
        <stp>0</stp>
        <stp>IR</stp>
        <stp>BONDAV416</stp>
        <stp>20년이하(당일)</stp>
        <stp>45523</stp>
        <stp/>
        <tr r="R22" s="1"/>
        <tr r="R22" s="1"/>
      </tp>
      <tp>
        <v>0</v>
        <stp/>
        <stp>P</stp>
        <stp>0</stp>
        <stp>IR</stp>
        <stp>BONDAV417</stp>
        <stp>50년이하(당일)</stp>
        <stp>45523</stp>
        <stp/>
        <tr r="T23" s="1"/>
      </tp>
      <tp>
        <v>3.5190000000000001</v>
        <stp/>
        <stp>P</stp>
        <stp>0</stp>
        <stp>IR</stp>
        <stp>BONDAV417</stp>
        <stp>10년이하(당일)</stp>
        <stp>45523</stp>
        <stp/>
        <tr r="P23" s="1"/>
        <tr r="P23" s="1"/>
      </tp>
      <tp>
        <v>5.4390000000000001</v>
        <stp/>
        <stp>P</stp>
        <stp>0</stp>
        <stp>IR</stp>
        <stp>BONDAV447</stp>
        <stp>15년이하(당일)</stp>
        <stp>45523</stp>
        <stp/>
        <tr r="Q54" s="1"/>
        <tr r="Q54" s="1"/>
      </tp>
      <tp>
        <v>0</v>
        <stp/>
        <stp>P</stp>
        <stp>0</stp>
        <stp>IR</stp>
        <stp>BONDAV417</stp>
        <stp>30년이하(당일)</stp>
        <stp>45523</stp>
        <stp/>
        <tr r="S23" s="1"/>
      </tp>
      <tp>
        <v>3.6819999999999999</v>
        <stp/>
        <stp>P</stp>
        <stp>0</stp>
        <stp>IR</stp>
        <stp>BONDAV417</stp>
        <stp>20년이하(당일)</stp>
        <stp>45523</stp>
        <stp/>
        <tr r="R23" s="1"/>
        <tr r="R23" s="1"/>
      </tp>
      <tp>
        <v>0</v>
        <stp/>
        <stp>P</stp>
        <stp>0</stp>
        <stp>IR</stp>
        <stp>BONDAV414</stp>
        <stp>50년이하(당일)</stp>
        <stp>45523</stp>
        <stp/>
        <tr r="T19" s="1"/>
      </tp>
      <tp>
        <v>0</v>
        <stp/>
        <stp>P</stp>
        <stp>0</stp>
        <stp>IR</stp>
        <stp>BONDAV414</stp>
        <stp>10년이하(당일)</stp>
        <stp>45523</stp>
        <stp/>
        <tr r="P19" s="1"/>
      </tp>
      <tp>
        <v>3.7389999999999999</v>
        <stp/>
        <stp>P</stp>
        <stp>0</stp>
        <stp>IR</stp>
        <stp>BONDAV444</stp>
        <stp>15년이하(당일)</stp>
        <stp>45523</stp>
        <stp/>
        <tr r="Q51" s="1"/>
        <tr r="Q51" s="1"/>
      </tp>
      <tp>
        <v>0</v>
        <stp/>
        <stp>P</stp>
        <stp>0</stp>
        <stp>IR</stp>
        <stp>BONDAV414</stp>
        <stp>30년이하(당일)</stp>
        <stp>45523</stp>
        <stp/>
        <tr r="S19" s="1"/>
      </tp>
      <tp>
        <v>0</v>
        <stp/>
        <stp>P</stp>
        <stp>0</stp>
        <stp>IR</stp>
        <stp>BONDAV414</stp>
        <stp>20년이하(당일)</stp>
        <stp>45523</stp>
        <stp/>
        <tr r="R19" s="1"/>
      </tp>
      <tp t="s">
        <v/>
        <stp/>
        <stp>P</stp>
        <stp>0</stp>
        <stp>IR</stp>
        <stp>BONDAV415</stp>
        <stp>50년이하(당일)</stp>
        <stp>45523</stp>
        <stp/>
        <tr r="T20" s="1"/>
        <tr r="T20" s="1"/>
      </tp>
      <tp t="s">
        <v/>
        <stp/>
        <stp>P</stp>
        <stp>0</stp>
        <stp>IR</stp>
        <stp>BONDAV415</stp>
        <stp>10년이하(당일)</stp>
        <stp>45523</stp>
        <stp/>
        <tr r="P20" s="1"/>
        <tr r="P20" s="1"/>
      </tp>
      <tp>
        <v>4.1959999999999997</v>
        <stp/>
        <stp>P</stp>
        <stp>0</stp>
        <stp>IR</stp>
        <stp>BONDAV445</stp>
        <stp>15년이하(당일)</stp>
        <stp>45523</stp>
        <stp/>
        <tr r="Q52" s="1"/>
        <tr r="Q52" s="1"/>
      </tp>
      <tp t="s">
        <v/>
        <stp/>
        <stp>P</stp>
        <stp>0</stp>
        <stp>IR</stp>
        <stp>BONDAV415</stp>
        <stp>30년이하(당일)</stp>
        <stp>45523</stp>
        <stp/>
        <tr r="S20" s="1"/>
        <tr r="S20" s="1"/>
      </tp>
      <tp t="s">
        <v/>
        <stp/>
        <stp>P</stp>
        <stp>0</stp>
        <stp>IR</stp>
        <stp>BONDAV415</stp>
        <stp>20년이하(당일)</stp>
        <stp>45523</stp>
        <stp/>
        <tr r="R20" s="1"/>
        <tr r="R20" s="1"/>
      </tp>
      <tp>
        <v>0</v>
        <stp/>
        <stp>P</stp>
        <stp>0</stp>
        <stp>IR</stp>
        <stp>BONDAV412</stp>
        <stp>50년이하(당일)</stp>
        <stp>45523</stp>
        <stp/>
        <tr r="T18" s="1"/>
      </tp>
      <tp>
        <v>3.6080000000000001</v>
        <stp/>
        <stp>P</stp>
        <stp>0</stp>
        <stp>IR</stp>
        <stp>BONDAV412</stp>
        <stp>10년이하(당일)</stp>
        <stp>45523</stp>
        <stp/>
        <tr r="P18" s="1"/>
        <tr r="P18" s="1"/>
      </tp>
      <tp>
        <v>9.5410000000000004</v>
        <stp/>
        <stp>P</stp>
        <stp>0</stp>
        <stp>IR</stp>
        <stp>BONDAV442</stp>
        <stp>15년이하(당일)</stp>
        <stp>45523</stp>
        <stp/>
        <tr r="Q49" s="1"/>
        <tr r="Q49" s="1"/>
      </tp>
      <tp>
        <v>0</v>
        <stp/>
        <stp>P</stp>
        <stp>0</stp>
        <stp>IR</stp>
        <stp>BONDAV412</stp>
        <stp>30년이하(당일)</stp>
        <stp>45523</stp>
        <stp/>
        <tr r="S18" s="1"/>
      </tp>
      <tp>
        <v>3.6789999999999998</v>
        <stp/>
        <stp>P</stp>
        <stp>0</stp>
        <stp>IR</stp>
        <stp>BONDAV412</stp>
        <stp>20년이하(당일)</stp>
        <stp>45523</stp>
        <stp/>
        <tr r="R18" s="1"/>
        <tr r="R18" s="1"/>
      </tp>
      <tp>
        <v>0</v>
        <stp/>
        <stp>P</stp>
        <stp>0</stp>
        <stp>IR</stp>
        <stp>BONDAV413</stp>
        <stp>50년이하(당일)</stp>
        <stp>45523</stp>
        <stp/>
        <tr r="T14" s="1"/>
      </tp>
      <tp>
        <v>3.093</v>
        <stp/>
        <stp>P</stp>
        <stp>0</stp>
        <stp>IR</stp>
        <stp>BONDAV413</stp>
        <stp>10년이하(당일)</stp>
        <stp>45523</stp>
        <stp/>
        <tr r="P14" s="1"/>
        <tr r="P14" s="1"/>
      </tp>
      <tp>
        <v>10.853999999999999</v>
        <stp/>
        <stp>P</stp>
        <stp>0</stp>
        <stp>IR</stp>
        <stp>BONDAV443</stp>
        <stp>15년이하(당일)</stp>
        <stp>45523</stp>
        <stp/>
        <tr r="Q50" s="1"/>
        <tr r="Q50" s="1"/>
      </tp>
      <tp>
        <v>0</v>
        <stp/>
        <stp>P</stp>
        <stp>0</stp>
        <stp>IR</stp>
        <stp>BONDAV413</stp>
        <stp>30년이하(당일)</stp>
        <stp>45523</stp>
        <stp/>
        <tr r="S14" s="1"/>
      </tp>
      <tp>
        <v>3.0790000000000002</v>
        <stp/>
        <stp>P</stp>
        <stp>0</stp>
        <stp>IR</stp>
        <stp>BONDAV413</stp>
        <stp>20년이하(당일)</stp>
        <stp>45523</stp>
        <stp/>
        <tr r="R14" s="1"/>
        <tr r="R14" s="1"/>
      </tp>
      <tp>
        <v>0</v>
        <stp/>
        <stp>P</stp>
        <stp>0</stp>
        <stp>IR</stp>
        <stp>BONDAV410</stp>
        <stp>50년이하(당일)</stp>
        <stp>45523</stp>
        <stp/>
        <tr r="T16" s="1"/>
      </tp>
      <tp>
        <v>3.3410000000000002</v>
        <stp/>
        <stp>P</stp>
        <stp>0</stp>
        <stp>IR</stp>
        <stp>BONDAV410</stp>
        <stp>10년이하(당일)</stp>
        <stp>45523</stp>
        <stp/>
        <tr r="P16" s="1"/>
        <tr r="P16" s="1"/>
      </tp>
      <tp>
        <v>6.7320000000000002</v>
        <stp/>
        <stp>P</stp>
        <stp>0</stp>
        <stp>IR</stp>
        <stp>BONDAV440</stp>
        <stp>15년이하(당일)</stp>
        <stp>45523</stp>
        <stp/>
        <tr r="Q47" s="1"/>
        <tr r="Q47" s="1"/>
      </tp>
      <tp>
        <v>0</v>
        <stp/>
        <stp>P</stp>
        <stp>0</stp>
        <stp>IR</stp>
        <stp>BONDAV410</stp>
        <stp>30년이하(당일)</stp>
        <stp>45523</stp>
        <stp/>
        <tr r="S16" s="1"/>
      </tp>
      <tp>
        <v>3.399</v>
        <stp/>
        <stp>P</stp>
        <stp>0</stp>
        <stp>IR</stp>
        <stp>BONDAV410</stp>
        <stp>20년이하(당일)</stp>
        <stp>45523</stp>
        <stp/>
        <tr r="R16" s="1"/>
        <tr r="R16" s="1"/>
      </tp>
      <tp>
        <v>0</v>
        <stp/>
        <stp>P</stp>
        <stp>0</stp>
        <stp>IR</stp>
        <stp>BONDAV411</stp>
        <stp>50년이하(당일)</stp>
        <stp>45523</stp>
        <stp/>
        <tr r="T17" s="1"/>
      </tp>
      <tp>
        <v>3.4889999999999999</v>
        <stp/>
        <stp>P</stp>
        <stp>0</stp>
        <stp>IR</stp>
        <stp>BONDAV411</stp>
        <stp>10년이하(당일)</stp>
        <stp>45523</stp>
        <stp/>
        <tr r="P17" s="1"/>
        <tr r="P17" s="1"/>
      </tp>
      <tp>
        <v>8.1310000000000002</v>
        <stp/>
        <stp>P</stp>
        <stp>0</stp>
        <stp>IR</stp>
        <stp>BONDAV441</stp>
        <stp>15년이하(당일)</stp>
        <stp>45523</stp>
        <stp/>
        <tr r="Q48" s="1"/>
        <tr r="Q48" s="1"/>
      </tp>
      <tp>
        <v>0</v>
        <stp/>
        <stp>P</stp>
        <stp>0</stp>
        <stp>IR</stp>
        <stp>BONDAV411</stp>
        <stp>30년이하(당일)</stp>
        <stp>45523</stp>
        <stp/>
        <tr r="S17" s="1"/>
      </tp>
      <tp>
        <v>3.5630000000000002</v>
        <stp/>
        <stp>P</stp>
        <stp>0</stp>
        <stp>IR</stp>
        <stp>BONDAV411</stp>
        <stp>20년이하(당일)</stp>
        <stp>45523</stp>
        <stp/>
        <tr r="R17" s="1"/>
        <tr r="R17" s="1"/>
      </tp>
      <tp>
        <v>0</v>
        <stp/>
        <stp>P</stp>
        <stp>0</stp>
        <stp>IR</stp>
        <stp>BONDAV418</stp>
        <stp>50년이하(당일)</stp>
        <stp>45523</stp>
        <stp/>
        <tr r="T24" s="1"/>
      </tp>
      <tp>
        <v>3.5049999999999999</v>
        <stp/>
        <stp>P</stp>
        <stp>0</stp>
        <stp>IR</stp>
        <stp>BONDAV418</stp>
        <stp>10년이하(당일)</stp>
        <stp>45523</stp>
        <stp/>
        <tr r="P24" s="1"/>
        <tr r="P24" s="1"/>
      </tp>
      <tp>
        <v>3.8260000000000001</v>
        <stp/>
        <stp>P</stp>
        <stp>0</stp>
        <stp>IR</stp>
        <stp>BONDAV448</stp>
        <stp>15년이하(당일)</stp>
        <stp>45523</stp>
        <stp/>
        <tr r="Q55" s="1"/>
        <tr r="Q55" s="1"/>
      </tp>
      <tp>
        <v>0</v>
        <stp/>
        <stp>P</stp>
        <stp>0</stp>
        <stp>IR</stp>
        <stp>BONDAV418</stp>
        <stp>30년이하(당일)</stp>
        <stp>45523</stp>
        <stp/>
        <tr r="S24" s="1"/>
      </tp>
      <tp>
        <v>3.6749999999999998</v>
        <stp/>
        <stp>P</stp>
        <stp>0</stp>
        <stp>IR</stp>
        <stp>BONDAV418</stp>
        <stp>20년이하(당일)</stp>
        <stp>45523</stp>
        <stp/>
        <tr r="R24" s="1"/>
        <tr r="R24" s="1"/>
      </tp>
      <tp>
        <v>0</v>
        <stp/>
        <stp>P</stp>
        <stp>0</stp>
        <stp>IR</stp>
        <stp>BONDAV419</stp>
        <stp>50년이하(당일)</stp>
        <stp>45523</stp>
        <stp/>
        <tr r="T25" s="1"/>
      </tp>
      <tp>
        <v>3.5459999999999998</v>
        <stp/>
        <stp>P</stp>
        <stp>0</stp>
        <stp>IR</stp>
        <stp>BONDAV419</stp>
        <stp>10년이하(당일)</stp>
        <stp>45523</stp>
        <stp/>
        <tr r="P25" s="1"/>
        <tr r="P25" s="1"/>
      </tp>
      <tp>
        <v>4.1849999999999996</v>
        <stp/>
        <stp>P</stp>
        <stp>0</stp>
        <stp>IR</stp>
        <stp>BONDAV449</stp>
        <stp>15년이하(당일)</stp>
        <stp>45523</stp>
        <stp/>
        <tr r="Q56" s="1"/>
        <tr r="Q56" s="1"/>
      </tp>
      <tp>
        <v>0</v>
        <stp/>
        <stp>P</stp>
        <stp>0</stp>
        <stp>IR</stp>
        <stp>BONDAV419</stp>
        <stp>30년이하(당일)</stp>
        <stp>45523</stp>
        <stp/>
        <tr r="S25" s="1"/>
      </tp>
      <tp>
        <v>3.72</v>
        <stp/>
        <stp>P</stp>
        <stp>0</stp>
        <stp>IR</stp>
        <stp>BONDAV419</stp>
        <stp>20년이하(당일)</stp>
        <stp>45523</stp>
        <stp/>
        <tr r="R25" s="1"/>
        <tr r="R25" s="1"/>
      </tp>
      <tp>
        <v>3.2959999999999998</v>
        <stp/>
        <stp>P</stp>
        <stp>0</stp>
        <stp>IR</stp>
        <stp>BONDKBPZ001</stp>
        <stp>9월이하(당일)</stp>
        <stp>45523</stp>
        <stp/>
        <tr r="AE83" s="2"/>
        <tr r="AE83" s="2"/>
      </tp>
      <tp>
        <v>3.105</v>
        <stp/>
        <stp>P</stp>
        <stp>0</stp>
        <stp>IR</stp>
        <stp>BONDKBPD001</stp>
        <stp>9월이하(당일)</stp>
        <stp>45523</stp>
        <stp/>
        <tr r="AE21" s="2"/>
        <tr r="AE21" s="2"/>
      </tp>
      <tp>
        <v>3.105</v>
        <stp/>
        <stp>P</stp>
        <stp>0</stp>
        <stp>IR</stp>
        <stp>BONDKBPD000</stp>
        <stp>9월이하(당일)</stp>
        <stp>45523</stp>
        <stp/>
        <tr r="AE20" s="2"/>
        <tr r="AE20" s="2"/>
      </tp>
      <tp t="s">
        <v>국고04250-2412(22-15)</v>
        <stp/>
        <stp>P</stp>
        <stp>0</stp>
        <stp>BND</stp>
        <stp>KR103503GCC6</stp>
        <stp>한글종목명</stp>
        <stp/>
        <stp/>
        <tr r="C8" s="3"/>
      </tp>
      <tp>
        <v>5.2439999999999998</v>
        <stp/>
        <stp>P</stp>
        <stp>0</stp>
        <stp>IR</stp>
        <stp>BONDNIC9999113</stp>
        <stp>1.5년이하(당일)</stp>
        <stp>45523</stp>
        <stp/>
        <tr r="BM47" s="2"/>
        <tr r="BM47" s="2"/>
      </tp>
      <tp>
        <v>5.3010000000000002</v>
        <stp/>
        <stp>P</stp>
        <stp>0</stp>
        <stp>IR</stp>
        <stp>BONDNIC9999113</stp>
        <stp>2.5년이하(당일)</stp>
        <stp>45523</stp>
        <stp/>
        <tr r="BO47" s="2"/>
        <tr r="BO47" s="2"/>
      </tp>
      <tp>
        <v>5.7549999999999999</v>
        <stp/>
        <stp>P</stp>
        <stp>0</stp>
        <stp>IR</stp>
        <stp>BONDFNP9999114</stp>
        <stp>1.5년이하(당일)</stp>
        <stp>45523</stp>
        <stp/>
        <tr r="CC48" s="2"/>
        <tr r="CC48" s="2"/>
      </tp>
      <tp>
        <v>5.9169999999999998</v>
        <stp/>
        <stp>P</stp>
        <stp>0</stp>
        <stp>IR</stp>
        <stp>BONDFNP9999114</stp>
        <stp>2.5년이하(당일)</stp>
        <stp>45523</stp>
        <stp/>
        <tr r="CE48" s="2"/>
        <tr r="CE48" s="2"/>
      </tp>
      <tp>
        <v>4.444</v>
        <stp/>
        <stp>P</stp>
        <stp>0</stp>
        <stp>IR</stp>
        <stp>BONDKIS9999113</stp>
        <stp>1.5년이하(당일)</stp>
        <stp>45523</stp>
        <stp/>
        <tr r="AW37" s="2"/>
        <tr r="AW37" s="2"/>
      </tp>
      <tp>
        <v>4.4960000000000004</v>
        <stp/>
        <stp>P</stp>
        <stp>0</stp>
        <stp>IR</stp>
        <stp>BONDKIS9999113</stp>
        <stp>2.5년이하(당일)</stp>
        <stp>45523</stp>
        <stp/>
        <tr r="AY37" s="2"/>
        <tr r="AY37" s="2"/>
      </tp>
      <tp>
        <v>4.9039999999999999</v>
        <stp/>
        <stp>P</stp>
        <stp>0</stp>
        <stp>IR</stp>
        <stp>BONDAV436</stp>
        <stp>15년이하(당일)</stp>
        <stp>45523</stp>
        <stp/>
        <tr r="Q43" s="1"/>
        <tr r="Q43" s="1"/>
      </tp>
      <tp>
        <v>5.149</v>
        <stp/>
        <stp>P</stp>
        <stp>0</stp>
        <stp>IR</stp>
        <stp>BONDAV437</stp>
        <stp>15년이하(당일)</stp>
        <stp>45523</stp>
        <stp/>
        <tr r="Q44" s="1"/>
        <tr r="Q44" s="1"/>
      </tp>
      <tp>
        <v>0</v>
        <stp/>
        <stp>P</stp>
        <stp>0</stp>
        <stp>IR</stp>
        <stp>BONDAV464</stp>
        <stp>50년이하(당일)</stp>
        <stp>45523</stp>
        <stp/>
        <tr r="T71" s="1"/>
      </tp>
      <tp>
        <v>10.785</v>
        <stp/>
        <stp>P</stp>
        <stp>0</stp>
        <stp>IR</stp>
        <stp>BONDAV434</stp>
        <stp>15년이하(당일)</stp>
        <stp>45523</stp>
        <stp/>
        <tr r="Q41" s="1"/>
        <tr r="Q41" s="1"/>
      </tp>
      <tp>
        <v>10.209</v>
        <stp/>
        <stp>P</stp>
        <stp>0</stp>
        <stp>IR</stp>
        <stp>BONDAV464</stp>
        <stp>10년이하(당일)</stp>
        <stp>45523</stp>
        <stp/>
        <tr r="P71" s="1"/>
        <tr r="P71" s="1"/>
      </tp>
      <tp>
        <v>0</v>
        <stp/>
        <stp>P</stp>
        <stp>0</stp>
        <stp>IR</stp>
        <stp>BONDAV464</stp>
        <stp>30년이하(당일)</stp>
        <stp>45523</stp>
        <stp/>
        <tr r="S71" s="1"/>
      </tp>
      <tp>
        <v>10.913</v>
        <stp/>
        <stp>P</stp>
        <stp>0</stp>
        <stp>IR</stp>
        <stp>BONDAV464</stp>
        <stp>20년이하(당일)</stp>
        <stp>45523</stp>
        <stp/>
        <tr r="R71" s="1"/>
        <tr r="R71" s="1"/>
      </tp>
      <tp>
        <v>0</v>
        <stp/>
        <stp>P</stp>
        <stp>0</stp>
        <stp>IR</stp>
        <stp>BONDAV462</stp>
        <stp>50년이하(당일)</stp>
        <stp>45523</stp>
        <stp/>
        <tr r="T69" s="1"/>
      </tp>
      <tp>
        <v>8.0489999999999995</v>
        <stp/>
        <stp>P</stp>
        <stp>0</stp>
        <stp>IR</stp>
        <stp>BONDAV432</stp>
        <stp>15년이하(당일)</stp>
        <stp>45523</stp>
        <stp/>
        <tr r="Q39" s="1"/>
        <tr r="Q39" s="1"/>
      </tp>
      <tp>
        <v>7.6790000000000003</v>
        <stp/>
        <stp>P</stp>
        <stp>0</stp>
        <stp>IR</stp>
        <stp>BONDAV462</stp>
        <stp>10년이하(당일)</stp>
        <stp>45523</stp>
        <stp/>
        <tr r="P69" s="1"/>
        <tr r="P69" s="1"/>
      </tp>
      <tp>
        <v>0</v>
        <stp/>
        <stp>P</stp>
        <stp>0</stp>
        <stp>IR</stp>
        <stp>BONDAV462</stp>
        <stp>30년이하(당일)</stp>
        <stp>45523</stp>
        <stp/>
        <tr r="S69" s="1"/>
      </tp>
      <tp>
        <v>8.3190000000000008</v>
        <stp/>
        <stp>P</stp>
        <stp>0</stp>
        <stp>IR</stp>
        <stp>BONDAV462</stp>
        <stp>20년이하(당일)</stp>
        <stp>45523</stp>
        <stp/>
        <tr r="R69" s="1"/>
        <tr r="R69" s="1"/>
      </tp>
      <tp>
        <v>0</v>
        <stp/>
        <stp>P</stp>
        <stp>0</stp>
        <stp>IR</stp>
        <stp>BONDAV463</stp>
        <stp>50년이하(당일)</stp>
        <stp>45523</stp>
        <stp/>
        <tr r="T70" s="1"/>
      </tp>
      <tp>
        <v>9.4510000000000005</v>
        <stp/>
        <stp>P</stp>
        <stp>0</stp>
        <stp>IR</stp>
        <stp>BONDAV433</stp>
        <stp>15년이하(당일)</stp>
        <stp>45523</stp>
        <stp/>
        <tr r="Q40" s="1"/>
        <tr r="Q40" s="1"/>
      </tp>
      <tp>
        <v>8.7759999999999998</v>
        <stp/>
        <stp>P</stp>
        <stp>0</stp>
        <stp>IR</stp>
        <stp>BONDAV463</stp>
        <stp>10년이하(당일)</stp>
        <stp>45523</stp>
        <stp/>
        <tr r="P70" s="1"/>
        <tr r="P70" s="1"/>
      </tp>
      <tp>
        <v>0</v>
        <stp/>
        <stp>P</stp>
        <stp>0</stp>
        <stp>IR</stp>
        <stp>BONDAV463</stp>
        <stp>30년이하(당일)</stp>
        <stp>45523</stp>
        <stp/>
        <tr r="S70" s="1"/>
      </tp>
      <tp>
        <v>9.4489999999999998</v>
        <stp/>
        <stp>P</stp>
        <stp>0</stp>
        <stp>IR</stp>
        <stp>BONDAV463</stp>
        <stp>20년이하(당일)</stp>
        <stp>45523</stp>
        <stp/>
        <tr r="R70" s="1"/>
        <tr r="R70" s="1"/>
      </tp>
      <tp>
        <v>0</v>
        <stp/>
        <stp>P</stp>
        <stp>0</stp>
        <stp>IR</stp>
        <stp>BONDAV460</stp>
        <stp>50년이하(당일)</stp>
        <stp>45523</stp>
        <stp/>
        <tr r="T67" s="1"/>
      </tp>
      <tp>
        <v>6.0590000000000002</v>
        <stp/>
        <stp>P</stp>
        <stp>0</stp>
        <stp>IR</stp>
        <stp>BONDAV430</stp>
        <stp>15년이하(당일)</stp>
        <stp>45523</stp>
        <stp/>
        <tr r="Q37" s="1"/>
        <tr r="Q37" s="1"/>
      </tp>
      <tp>
        <v>5.6059999999999999</v>
        <stp/>
        <stp>P</stp>
        <stp>0</stp>
        <stp>IR</stp>
        <stp>BONDAV460</stp>
        <stp>10년이하(당일)</stp>
        <stp>45523</stp>
        <stp/>
        <tr r="P67" s="1"/>
        <tr r="P67" s="1"/>
      </tp>
      <tp>
        <v>0</v>
        <stp/>
        <stp>P</stp>
        <stp>0</stp>
        <stp>IR</stp>
        <stp>BONDAV460</stp>
        <stp>30년이하(당일)</stp>
        <stp>45523</stp>
        <stp/>
        <tr r="S67" s="1"/>
      </tp>
      <tp>
        <v>6.2960000000000003</v>
        <stp/>
        <stp>P</stp>
        <stp>0</stp>
        <stp>IR</stp>
        <stp>BONDAV460</stp>
        <stp>20년이하(당일)</stp>
        <stp>45523</stp>
        <stp/>
        <tr r="R67" s="1"/>
        <tr r="R67" s="1"/>
      </tp>
      <tp>
        <v>0</v>
        <stp/>
        <stp>P</stp>
        <stp>0</stp>
        <stp>IR</stp>
        <stp>BONDAV461</stp>
        <stp>50년이하(당일)</stp>
        <stp>45523</stp>
        <stp/>
        <tr r="T68" s="1"/>
      </tp>
      <tp>
        <v>6.7320000000000002</v>
        <stp/>
        <stp>P</stp>
        <stp>0</stp>
        <stp>IR</stp>
        <stp>BONDAV431</stp>
        <stp>15년이하(당일)</stp>
        <stp>45523</stp>
        <stp/>
        <tr r="Q38" s="1"/>
        <tr r="Q38" s="1"/>
      </tp>
      <tp>
        <v>6.12</v>
        <stp/>
        <stp>P</stp>
        <stp>0</stp>
        <stp>IR</stp>
        <stp>BONDAV461</stp>
        <stp>10년이하(당일)</stp>
        <stp>45523</stp>
        <stp/>
        <tr r="P68" s="1"/>
        <tr r="P68" s="1"/>
      </tp>
      <tp>
        <v>0</v>
        <stp/>
        <stp>P</stp>
        <stp>0</stp>
        <stp>IR</stp>
        <stp>BONDAV461</stp>
        <stp>30년이하(당일)</stp>
        <stp>45523</stp>
        <stp/>
        <tr r="S68" s="1"/>
      </tp>
      <tp>
        <v>6.867</v>
        <stp/>
        <stp>P</stp>
        <stp>0</stp>
        <stp>IR</stp>
        <stp>BONDAV461</stp>
        <stp>20년이하(당일)</stp>
        <stp>45523</stp>
        <stp/>
        <tr r="R68" s="1"/>
        <tr r="R68" s="1"/>
      </tp>
      <tp>
        <v>5.6779999999999999</v>
        <stp/>
        <stp>P</stp>
        <stp>0</stp>
        <stp>IR</stp>
        <stp>BONDAV438</stp>
        <stp>15년이하(당일)</stp>
        <stp>45523</stp>
        <stp/>
        <tr r="Q45" s="1"/>
        <tr r="Q45" s="1"/>
      </tp>
      <tp>
        <v>0</v>
        <stp/>
        <stp>P</stp>
        <stp>0</stp>
        <stp>IR</stp>
        <stp>BONDAV469</stp>
        <stp>50년이하(당일)</stp>
        <stp>45523</stp>
        <stp/>
        <tr r="T72" s="1"/>
      </tp>
      <tp>
        <v>6.0590000000000002</v>
        <stp/>
        <stp>P</stp>
        <stp>0</stp>
        <stp>IR</stp>
        <stp>BONDAV439</stp>
        <stp>15년이하(당일)</stp>
        <stp>45523</stp>
        <stp/>
        <tr r="Q46" s="1"/>
        <tr r="Q46" s="1"/>
      </tp>
      <tp>
        <v>3.8809999999999998</v>
        <stp/>
        <stp>P</stp>
        <stp>0</stp>
        <stp>IR</stp>
        <stp>BONDAV469</stp>
        <stp>10년이하(당일)</stp>
        <stp>45523</stp>
        <stp/>
        <tr r="P72" s="1"/>
        <tr r="P72" s="1"/>
      </tp>
      <tp>
        <v>0</v>
        <stp/>
        <stp>P</stp>
        <stp>0</stp>
        <stp>IR</stp>
        <stp>BONDAV469</stp>
        <stp>30년이하(당일)</stp>
        <stp>45523</stp>
        <stp/>
        <tr r="S72" s="1"/>
      </tp>
      <tp>
        <v>4.3170000000000002</v>
        <stp/>
        <stp>P</stp>
        <stp>0</stp>
        <stp>IR</stp>
        <stp>BONDAV469</stp>
        <stp>20년이하(당일)</stp>
        <stp>45523</stp>
        <stp/>
        <tr r="R72" s="1"/>
        <tr r="R72" s="1"/>
      </tp>
      <tp>
        <v>3.3919999999999999</v>
        <stp/>
        <stp>P</stp>
        <stp>0</stp>
        <stp>IR</stp>
        <stp>BONDKBPE144</stp>
        <stp>9월이하(당일)</stp>
        <stp>45523</stp>
        <stp/>
        <tr r="AE28" s="2"/>
        <tr r="AE28" s="2"/>
      </tp>
      <tp>
        <v>4.5</v>
        <stp/>
        <stp>P</stp>
        <stp>0</stp>
        <stp>IR</stp>
        <stp>BONDKBPF144</stp>
        <stp>9월이하(당일)</stp>
        <stp>45523</stp>
        <stp/>
        <tr r="AE55" s="2"/>
        <tr r="AE55" s="2"/>
      </tp>
      <tp>
        <v>3.5590000000000002</v>
        <stp/>
        <stp>P</stp>
        <stp>0</stp>
        <stp>IR</stp>
        <stp>BONDKBPE140</stp>
        <stp>9월이하(당일)</stp>
        <stp>45523</stp>
        <stp/>
        <tr r="AE29" s="2"/>
        <tr r="AE29" s="2"/>
      </tp>
      <tp>
        <v>3.806</v>
        <stp/>
        <stp>P</stp>
        <stp>0</stp>
        <stp>IR</stp>
        <stp>BONDKBPE142</stp>
        <stp>9월이하(당일)</stp>
        <stp>45523</stp>
        <stp/>
        <tr r="AE30" s="2"/>
        <tr r="AE30" s="2"/>
      </tp>
      <tp>
        <v>3.8889999999999998</v>
        <stp/>
        <stp>P</stp>
        <stp>0</stp>
        <stp>IR</stp>
        <stp>BONDKBPE150</stp>
        <stp>9월이하(당일)</stp>
        <stp>45523</stp>
        <stp/>
        <tr r="AE31" s="2"/>
        <tr r="AE31" s="2"/>
      </tp>
      <tp>
        <v>3.3679999999999999</v>
        <stp/>
        <stp>P</stp>
        <stp>0</stp>
        <stp>IR</stp>
        <stp>BONDKBPF124</stp>
        <stp>9월이하(당일)</stp>
        <stp>45523</stp>
        <stp/>
        <tr r="AE53" s="2"/>
        <tr r="AE53" s="2"/>
      </tp>
      <tp>
        <v>3.3140000000000001</v>
        <stp/>
        <stp>P</stp>
        <stp>0</stp>
        <stp>IR</stp>
        <stp>BONDKBPE121</stp>
        <stp>9월이하(당일)</stp>
        <stp>45523</stp>
        <stp/>
        <tr r="AE26" s="2"/>
        <tr r="AE26" s="2"/>
      </tp>
      <tp>
        <v>3.3130000000000002</v>
        <stp/>
        <stp>P</stp>
        <stp>0</stp>
        <stp>IR</stp>
        <stp>BONDKBPE120</stp>
        <stp>9월이하(당일)</stp>
        <stp>45523</stp>
        <stp/>
        <tr r="AE25" s="2"/>
        <tr r="AE25" s="2"/>
      </tp>
      <tp>
        <v>3.5310000000000001</v>
        <stp/>
        <stp>P</stp>
        <stp>0</stp>
        <stp>IR</stp>
        <stp>BONDKBPF134</stp>
        <stp>9월이하(당일)</stp>
        <stp>45523</stp>
        <stp/>
        <tr r="AE54" s="2"/>
        <tr r="AE54" s="2"/>
      </tp>
      <tp>
        <v>3.3450000000000002</v>
        <stp/>
        <stp>P</stp>
        <stp>0</stp>
        <stp>IR</stp>
        <stp>BONDKBPE130</stp>
        <stp>9월이하(당일)</stp>
        <stp>45523</stp>
        <stp/>
        <tr r="AE27" s="2"/>
        <tr r="AE27" s="2"/>
      </tp>
      <tp>
        <v>3.33</v>
        <stp/>
        <stp>P</stp>
        <stp>0</stp>
        <stp>IR</stp>
        <stp>BONDKBPE13C</stp>
        <stp>9월이하(당일)</stp>
        <stp>45523</stp>
        <stp/>
        <tr r="AE22" s="2"/>
        <tr r="AE22" s="2"/>
      </tp>
      <tp>
        <v>3.11</v>
        <stp/>
        <stp>P</stp>
        <stp>0</stp>
        <stp>IR</stp>
        <stp>BONDKBPA100</stp>
        <stp>9월이하(당일)</stp>
        <stp>45523</stp>
        <stp/>
        <tr r="AE9" s="2"/>
        <tr r="AE9" s="2"/>
      </tp>
      <tp>
        <v>3.2530000000000001</v>
        <stp/>
        <stp>P</stp>
        <stp>0</stp>
        <stp>IR</stp>
        <stp>BONDKBPB100</stp>
        <stp>9월이하(당일)</stp>
        <stp>45523</stp>
        <stp/>
        <tr r="AE13" s="2"/>
        <tr r="AE13" s="2"/>
      </tp>
      <tp>
        <v>3.34</v>
        <stp/>
        <stp>P</stp>
        <stp>0</stp>
        <stp>IR</stp>
        <stp>BONDKBPF114</stp>
        <stp>9월이하(당일)</stp>
        <stp>45523</stp>
        <stp/>
        <tr r="AE52" s="2"/>
        <tr r="AE52" s="2"/>
      </tp>
      <tp>
        <v>3.3140000000000001</v>
        <stp/>
        <stp>P</stp>
        <stp>0</stp>
        <stp>IR</stp>
        <stp>BONDKBPE111</stp>
        <stp>9월이하(당일)</stp>
        <stp>45523</stp>
        <stp/>
        <tr r="AE24" s="2"/>
        <tr r="AE24" s="2"/>
      </tp>
      <tp>
        <v>3.3130000000000002</v>
        <stp/>
        <stp>P</stp>
        <stp>0</stp>
        <stp>IR</stp>
        <stp>BONDKBPE110</stp>
        <stp>9월이하(당일)</stp>
        <stp>45523</stp>
        <stp/>
        <tr r="AE23" s="2"/>
        <tr r="AE23" s="2"/>
      </tp>
      <tp>
        <v>4.4260000000000002</v>
        <stp/>
        <stp>P</stp>
        <stp>0</stp>
        <stp>IR</stp>
        <stp>BONDNIC9999112</stp>
        <stp>1.5년이하(당일)</stp>
        <stp>45523</stp>
        <stp/>
        <tr r="BM46" s="2"/>
        <tr r="BM46" s="2"/>
      </tp>
      <tp>
        <v>4.5149999999999997</v>
        <stp/>
        <stp>P</stp>
        <stp>0</stp>
        <stp>IR</stp>
        <stp>BONDNIC9999112</stp>
        <stp>2.5년이하(당일)</stp>
        <stp>45523</stp>
        <stp/>
        <tr r="BO46" s="2"/>
        <tr r="BO46" s="2"/>
      </tp>
      <tp>
        <v>6.9859999999999998</v>
        <stp/>
        <stp>P</stp>
        <stp>0</stp>
        <stp>IR</stp>
        <stp>BONDFNP9999115</stp>
        <stp>1.5년이하(당일)</stp>
        <stp>45523</stp>
        <stp/>
        <tr r="CC49" s="2"/>
        <tr r="CC49" s="2"/>
      </tp>
      <tp>
        <v>7.3529999999999998</v>
        <stp/>
        <stp>P</stp>
        <stp>0</stp>
        <stp>IR</stp>
        <stp>BONDFNP9999115</stp>
        <stp>2.5년이하(당일)</stp>
        <stp>45523</stp>
        <stp/>
        <tr r="CE49" s="2"/>
        <tr r="CE49" s="2"/>
      </tp>
      <tp>
        <v>3.55</v>
        <stp/>
        <stp>P</stp>
        <stp>0</stp>
        <stp>IR</stp>
        <stp>BONDKIS9999112</stp>
        <stp>1.5년이하(당일)</stp>
        <stp>45523</stp>
        <stp/>
        <tr r="AW36" s="2"/>
        <tr r="AW36" s="2"/>
      </tp>
      <tp>
        <v>3.5550000000000002</v>
        <stp/>
        <stp>P</stp>
        <stp>0</stp>
        <stp>IR</stp>
        <stp>BONDKIS9999112</stp>
        <stp>2.5년이하(당일)</stp>
        <stp>45523</stp>
        <stp/>
        <tr r="AY36" s="2"/>
        <tr r="AY36" s="2"/>
      </tp>
      <tp>
        <v>0</v>
        <stp/>
        <stp>P</stp>
        <stp>0</stp>
        <stp>IR</stp>
        <stp>BONDAV476</stp>
        <stp>50년이하(당일)</stp>
        <stp>45523</stp>
        <stp/>
        <tr r="T79" s="1"/>
      </tp>
      <tp>
        <v>4.9219999999999997</v>
        <stp/>
        <stp>P</stp>
        <stp>0</stp>
        <stp>IR</stp>
        <stp>BONDAV426</stp>
        <stp>15년이하(당일)</stp>
        <stp>45523</stp>
        <stp/>
        <tr r="Q32" s="1"/>
        <tr r="Q32" s="1"/>
      </tp>
      <tp>
        <v>8.3049999999999997</v>
        <stp/>
        <stp>P</stp>
        <stp>0</stp>
        <stp>IR</stp>
        <stp>BONDAV476</stp>
        <stp>10년이하(당일)</stp>
        <stp>45523</stp>
        <stp/>
        <tr r="P79" s="1"/>
        <tr r="P79" s="1"/>
      </tp>
      <tp>
        <v>0</v>
        <stp/>
        <stp>P</stp>
        <stp>0</stp>
        <stp>IR</stp>
        <stp>BONDAV476</stp>
        <stp>30년이하(당일)</stp>
        <stp>45523</stp>
        <stp/>
        <tr r="S79" s="1"/>
      </tp>
      <tp>
        <v>8.98</v>
        <stp/>
        <stp>P</stp>
        <stp>0</stp>
        <stp>IR</stp>
        <stp>BONDAV476</stp>
        <stp>20년이하(당일)</stp>
        <stp>45523</stp>
        <stp/>
        <tr r="R79" s="1"/>
        <tr r="R79" s="1"/>
      </tp>
      <tp>
        <v>0</v>
        <stp/>
        <stp>P</stp>
        <stp>0</stp>
        <stp>IR</stp>
        <stp>BONDAV477</stp>
        <stp>50년이하(당일)</stp>
        <stp>45523</stp>
        <stp/>
        <tr r="T80" s="1"/>
      </tp>
      <tp>
        <v>4.9039999999999999</v>
        <stp/>
        <stp>P</stp>
        <stp>0</stp>
        <stp>IR</stp>
        <stp>BONDAV427</stp>
        <stp>15년이하(당일)</stp>
        <stp>45523</stp>
        <stp/>
        <tr r="Q34" s="1"/>
        <tr r="Q34" s="1"/>
      </tp>
      <tp>
        <v>9.4819999999999993</v>
        <stp/>
        <stp>P</stp>
        <stp>0</stp>
        <stp>IR</stp>
        <stp>BONDAV477</stp>
        <stp>10년이하(당일)</stp>
        <stp>45523</stp>
        <stp/>
        <tr r="P80" s="1"/>
        <tr r="P80" s="1"/>
      </tp>
      <tp>
        <v>0</v>
        <stp/>
        <stp>P</stp>
        <stp>0</stp>
        <stp>IR</stp>
        <stp>BONDAV477</stp>
        <stp>30년이하(당일)</stp>
        <stp>45523</stp>
        <stp/>
        <tr r="S80" s="1"/>
      </tp>
      <tp>
        <v>10.211</v>
        <stp/>
        <stp>P</stp>
        <stp>0</stp>
        <stp>IR</stp>
        <stp>BONDAV477</stp>
        <stp>20년이하(당일)</stp>
        <stp>45523</stp>
        <stp/>
        <tr r="R80" s="1"/>
        <tr r="R80" s="1"/>
      </tp>
      <tp>
        <v>0</v>
        <stp/>
        <stp>P</stp>
        <stp>0</stp>
        <stp>IR</stp>
        <stp>BONDAV474</stp>
        <stp>50년이하(당일)</stp>
        <stp>45523</stp>
        <stp/>
        <tr r="T77" s="1"/>
      </tp>
      <tp>
        <v>4.6349999999999998</v>
        <stp/>
        <stp>P</stp>
        <stp>0</stp>
        <stp>IR</stp>
        <stp>BONDAV424</stp>
        <stp>15년이하(당일)</stp>
        <stp>45523</stp>
        <stp/>
        <tr r="Q30" s="1"/>
        <tr r="Q30" s="1"/>
      </tp>
      <tp>
        <v>6.1130000000000004</v>
        <stp/>
        <stp>P</stp>
        <stp>0</stp>
        <stp>IR</stp>
        <stp>BONDAV474</stp>
        <stp>10년이하(당일)</stp>
        <stp>45523</stp>
        <stp/>
        <tr r="P77" s="1"/>
        <tr r="P77" s="1"/>
      </tp>
      <tp>
        <v>0</v>
        <stp/>
        <stp>P</stp>
        <stp>0</stp>
        <stp>IR</stp>
        <stp>BONDAV474</stp>
        <stp>30년이하(당일)</stp>
        <stp>45523</stp>
        <stp/>
        <tr r="S77" s="1"/>
      </tp>
      <tp>
        <v>6.843</v>
        <stp/>
        <stp>P</stp>
        <stp>0</stp>
        <stp>IR</stp>
        <stp>BONDAV474</stp>
        <stp>20년이하(당일)</stp>
        <stp>45523</stp>
        <stp/>
        <tr r="R77" s="1"/>
        <tr r="R77" s="1"/>
      </tp>
      <tp>
        <v>0</v>
        <stp/>
        <stp>P</stp>
        <stp>0</stp>
        <stp>IR</stp>
        <stp>BONDAV475</stp>
        <stp>50년이하(당일)</stp>
        <stp>45523</stp>
        <stp/>
        <tr r="T78" s="1"/>
      </tp>
      <tp>
        <v>4.7869999999999999</v>
        <stp/>
        <stp>P</stp>
        <stp>0</stp>
        <stp>IR</stp>
        <stp>BONDAV425</stp>
        <stp>15년이하(당일)</stp>
        <stp>45523</stp>
        <stp/>
        <tr r="Q31" s="1"/>
        <tr r="Q31" s="1"/>
      </tp>
      <tp>
        <v>6.649</v>
        <stp/>
        <stp>P</stp>
        <stp>0</stp>
        <stp>IR</stp>
        <stp>BONDAV475</stp>
        <stp>10년이하(당일)</stp>
        <stp>45523</stp>
        <stp/>
        <tr r="P78" s="1"/>
        <tr r="P78" s="1"/>
      </tp>
      <tp>
        <v>0</v>
        <stp/>
        <stp>P</stp>
        <stp>0</stp>
        <stp>IR</stp>
        <stp>BONDAV475</stp>
        <stp>30년이하(당일)</stp>
        <stp>45523</stp>
        <stp/>
        <tr r="S78" s="1"/>
      </tp>
      <tp>
        <v>7.4269999999999996</v>
        <stp/>
        <stp>P</stp>
        <stp>0</stp>
        <stp>IR</stp>
        <stp>BONDAV475</stp>
        <stp>20년이하(당일)</stp>
        <stp>45523</stp>
        <stp/>
        <tr r="R78" s="1"/>
        <tr r="R78" s="1"/>
      </tp>
      <tp>
        <v>0</v>
        <stp/>
        <stp>P</stp>
        <stp>0</stp>
        <stp>IR</stp>
        <stp>BONDAV472</stp>
        <stp>50년이하(당일)</stp>
        <stp>45523</stp>
        <stp/>
        <tr r="T75" s="1"/>
      </tp>
      <tp>
        <v>4.1820000000000004</v>
        <stp/>
        <stp>P</stp>
        <stp>0</stp>
        <stp>IR</stp>
        <stp>BONDAV422</stp>
        <stp>15년이하(당일)</stp>
        <stp>45523</stp>
        <stp/>
        <tr r="Q28" s="1"/>
        <tr r="Q28" s="1"/>
      </tp>
      <tp>
        <v>4.92</v>
        <stp/>
        <stp>P</stp>
        <stp>0</stp>
        <stp>IR</stp>
        <stp>BONDAV472</stp>
        <stp>10년이하(당일)</stp>
        <stp>45523</stp>
        <stp/>
        <tr r="P75" s="1"/>
        <tr r="P75" s="1"/>
      </tp>
      <tp>
        <v>0</v>
        <stp/>
        <stp>P</stp>
        <stp>0</stp>
        <stp>IR</stp>
        <stp>BONDAV472</stp>
        <stp>30년이하(당일)</stp>
        <stp>45523</stp>
        <stp/>
        <tr r="S75" s="1"/>
      </tp>
      <tp>
        <v>5.8259999999999996</v>
        <stp/>
        <stp>P</stp>
        <stp>0</stp>
        <stp>IR</stp>
        <stp>BONDAV472</stp>
        <stp>20년이하(당일)</stp>
        <stp>45523</stp>
        <stp/>
        <tr r="R75" s="1"/>
        <tr r="R75" s="1"/>
      </tp>
      <tp>
        <v>0</v>
        <stp/>
        <stp>P</stp>
        <stp>0</stp>
        <stp>IR</stp>
        <stp>BONDAV473</stp>
        <stp>50년이하(당일)</stp>
        <stp>45523</stp>
        <stp/>
        <tr r="T76" s="1"/>
      </tp>
      <tp>
        <v>4.431</v>
        <stp/>
        <stp>P</stp>
        <stp>0</stp>
        <stp>IR</stp>
        <stp>BONDAV423</stp>
        <stp>15년이하(당일)</stp>
        <stp>45523</stp>
        <stp/>
        <tr r="Q29" s="1"/>
        <tr r="Q29" s="1"/>
      </tp>
      <tp>
        <v>5.6079999999999997</v>
        <stp/>
        <stp>P</stp>
        <stp>0</stp>
        <stp>IR</stp>
        <stp>BONDAV473</stp>
        <stp>10년이하(당일)</stp>
        <stp>45523</stp>
        <stp/>
        <tr r="P76" s="1"/>
        <tr r="P76" s="1"/>
      </tp>
      <tp>
        <v>0</v>
        <stp/>
        <stp>P</stp>
        <stp>0</stp>
        <stp>IR</stp>
        <stp>BONDAV473</stp>
        <stp>30년이하(당일)</stp>
        <stp>45523</stp>
        <stp/>
        <tr r="S76" s="1"/>
      </tp>
      <tp>
        <v>6.37</v>
        <stp/>
        <stp>P</stp>
        <stp>0</stp>
        <stp>IR</stp>
        <stp>BONDAV473</stp>
        <stp>20년이하(당일)</stp>
        <stp>45523</stp>
        <stp/>
        <tr r="R76" s="1"/>
        <tr r="R76" s="1"/>
      </tp>
      <tp>
        <v>0</v>
        <stp/>
        <stp>P</stp>
        <stp>0</stp>
        <stp>IR</stp>
        <stp>BONDAV470</stp>
        <stp>50년이하(당일)</stp>
        <stp>45523</stp>
        <stp/>
        <tr r="T73" s="1"/>
      </tp>
      <tp>
        <v>3.6840000000000002</v>
        <stp/>
        <stp>P</stp>
        <stp>0</stp>
        <stp>IR</stp>
        <stp>BONDAV420</stp>
        <stp>15년이하(당일)</stp>
        <stp>45523</stp>
        <stp/>
        <tr r="Q26" s="1"/>
        <tr r="Q26" s="1"/>
      </tp>
      <tp>
        <v>4.1769999999999996</v>
        <stp/>
        <stp>P</stp>
        <stp>0</stp>
        <stp>IR</stp>
        <stp>BONDAV470</stp>
        <stp>10년이하(당일)</stp>
        <stp>45523</stp>
        <stp/>
        <tr r="P73" s="1"/>
        <tr r="P73" s="1"/>
      </tp>
      <tp>
        <v>0</v>
        <stp/>
        <stp>P</stp>
        <stp>0</stp>
        <stp>IR</stp>
        <stp>BONDAV470</stp>
        <stp>30년이하(당일)</stp>
        <stp>45523</stp>
        <stp/>
        <tr r="S73" s="1"/>
      </tp>
      <tp>
        <v>4.6680000000000001</v>
        <stp/>
        <stp>P</stp>
        <stp>0</stp>
        <stp>IR</stp>
        <stp>BONDAV470</stp>
        <stp>20년이하(당일)</stp>
        <stp>45523</stp>
        <stp/>
        <tr r="R73" s="1"/>
        <tr r="R73" s="1"/>
      </tp>
      <tp>
        <v>0</v>
        <stp/>
        <stp>P</stp>
        <stp>0</stp>
        <stp>IR</stp>
        <stp>BONDAV471</stp>
        <stp>50년이하(당일)</stp>
        <stp>45523</stp>
        <stp/>
        <tr r="T74" s="1"/>
      </tp>
      <tp>
        <v>3.8380000000000001</v>
        <stp/>
        <stp>P</stp>
        <stp>0</stp>
        <stp>IR</stp>
        <stp>BONDAV421</stp>
        <stp>15년이하(당일)</stp>
        <stp>45523</stp>
        <stp/>
        <tr r="Q27" s="1"/>
        <tr r="Q27" s="1"/>
      </tp>
      <tp>
        <v>4.5170000000000003</v>
        <stp/>
        <stp>P</stp>
        <stp>0</stp>
        <stp>IR</stp>
        <stp>BONDAV471</stp>
        <stp>10년이하(당일)</stp>
        <stp>45523</stp>
        <stp/>
        <tr r="P74" s="1"/>
        <tr r="P74" s="1"/>
      </tp>
      <tp>
        <v>0</v>
        <stp/>
        <stp>P</stp>
        <stp>0</stp>
        <stp>IR</stp>
        <stp>BONDAV471</stp>
        <stp>30년이하(당일)</stp>
        <stp>45523</stp>
        <stp/>
        <tr r="S74" s="1"/>
      </tp>
      <tp>
        <v>5.2709999999999999</v>
        <stp/>
        <stp>P</stp>
        <stp>0</stp>
        <stp>IR</stp>
        <stp>BONDAV471</stp>
        <stp>20년이하(당일)</stp>
        <stp>45523</stp>
        <stp/>
        <tr r="R74" s="1"/>
        <tr r="R74" s="1"/>
      </tp>
      <tp>
        <v>0</v>
        <stp/>
        <stp>P</stp>
        <stp>0</stp>
        <stp>IR</stp>
        <stp>BONDAV478</stp>
        <stp>50년이하(당일)</stp>
        <stp>45523</stp>
        <stp/>
        <tr r="T81" s="1"/>
      </tp>
      <tp>
        <v>5.149</v>
        <stp/>
        <stp>P</stp>
        <stp>0</stp>
        <stp>IR</stp>
        <stp>BONDAV428</stp>
        <stp>15년이하(당일)</stp>
        <stp>45523</stp>
        <stp/>
        <tr r="Q35" s="1"/>
        <tr r="Q35" s="1"/>
      </tp>
      <tp>
        <v>11.201000000000001</v>
        <stp/>
        <stp>P</stp>
        <stp>0</stp>
        <stp>IR</stp>
        <stp>BONDAV478</stp>
        <stp>10년이하(당일)</stp>
        <stp>45523</stp>
        <stp/>
        <tr r="P81" s="1"/>
        <tr r="P81" s="1"/>
      </tp>
      <tp>
        <v>0</v>
        <stp/>
        <stp>P</stp>
        <stp>0</stp>
        <stp>IR</stp>
        <stp>BONDAV478</stp>
        <stp>30년이하(당일)</stp>
        <stp>45523</stp>
        <stp/>
        <tr r="S81" s="1"/>
      </tp>
      <tp>
        <v>11.923999999999999</v>
        <stp/>
        <stp>P</stp>
        <stp>0</stp>
        <stp>IR</stp>
        <stp>BONDAV478</stp>
        <stp>20년이하(당일)</stp>
        <stp>45523</stp>
        <stp/>
        <tr r="R81" s="1"/>
        <tr r="R81" s="1"/>
      </tp>
      <tp>
        <v>0</v>
        <stp/>
        <stp>P</stp>
        <stp>0</stp>
        <stp>IR</stp>
        <stp>BONDAV479</stp>
        <stp>50년이하(당일)</stp>
        <stp>45523</stp>
        <stp/>
        <tr r="T82" s="1"/>
      </tp>
      <tp>
        <v>5.6779999999999999</v>
        <stp/>
        <stp>P</stp>
        <stp>0</stp>
        <stp>IR</stp>
        <stp>BONDAV429</stp>
        <stp>15년이하(당일)</stp>
        <stp>45523</stp>
        <stp/>
        <tr r="Q36" s="1"/>
        <tr r="Q36" s="1"/>
      </tp>
      <tp>
        <v>3.1920000000000002</v>
        <stp/>
        <stp>P</stp>
        <stp>0</stp>
        <stp>IR</stp>
        <stp>BONDAV479</stp>
        <stp>10년이하(당일)</stp>
        <stp>45523</stp>
        <stp/>
        <tr r="P82" s="1"/>
        <tr r="P82" s="1"/>
      </tp>
      <tp>
        <v>3.1869999999999998</v>
        <stp/>
        <stp>P</stp>
        <stp>0</stp>
        <stp>IR</stp>
        <stp>BONDAV479</stp>
        <stp>30년이하(당일)</stp>
        <stp>45523</stp>
        <stp/>
        <tr r="S82" s="1"/>
        <tr r="S82" s="1"/>
      </tp>
      <tp>
        <v>3.1840000000000002</v>
        <stp/>
        <stp>P</stp>
        <stp>0</stp>
        <stp>IR</stp>
        <stp>BONDAV479</stp>
        <stp>20년이하(당일)</stp>
        <stp>45523</stp>
        <stp/>
        <tr r="R82" s="1"/>
        <tr r="R82" s="1"/>
      </tp>
      <tp>
        <v>5.22</v>
        <stp/>
        <stp>P</stp>
        <stp>0</stp>
        <stp>IR</stp>
        <stp>BONDKBPF241</stp>
        <stp>9월이하(당일)</stp>
        <stp>45523</stp>
        <stp/>
        <tr r="AE70" s="2"/>
        <tr r="AE70" s="2"/>
      </tp>
      <tp>
        <v>6.7149999999999999</v>
        <stp/>
        <stp>P</stp>
        <stp>0</stp>
        <stp>IR</stp>
        <stp>BONDKBPF243</stp>
        <stp>9월이하(당일)</stp>
        <stp>45523</stp>
        <stp/>
        <tr r="AE72" s="2"/>
        <tr r="AE72" s="2"/>
      </tp>
      <tp>
        <v>5.7880000000000003</v>
        <stp/>
        <stp>P</stp>
        <stp>0</stp>
        <stp>IR</stp>
        <stp>BONDKBPF242</stp>
        <stp>9월이하(당일)</stp>
        <stp>45523</stp>
        <stp/>
        <tr r="AE71" s="2"/>
        <tr r="AE71" s="2"/>
      </tp>
      <tp>
        <v>3.3580000000000001</v>
        <stp/>
        <stp>P</stp>
        <stp>0</stp>
        <stp>IR</stp>
        <stp>BONDKBPF221</stp>
        <stp>9월이하(당일)</stp>
        <stp>45523</stp>
        <stp/>
        <tr r="AE64" s="2"/>
        <tr r="AE64" s="2"/>
      </tp>
      <tp>
        <v>5.0250000000000004</v>
        <stp/>
        <stp>P</stp>
        <stp>0</stp>
        <stp>IR</stp>
        <stp>BONDKBPE220</stp>
        <stp>9월이하(당일)</stp>
        <stp>45523</stp>
        <stp/>
        <tr r="AE38" s="2"/>
        <tr r="AE38" s="2"/>
      </tp>
      <tp>
        <v>3.403</v>
        <stp/>
        <stp>P</stp>
        <stp>0</stp>
        <stp>IR</stp>
        <stp>BONDKBPF223</stp>
        <stp>9월이하(당일)</stp>
        <stp>45523</stp>
        <stp/>
        <tr r="AE66" s="2"/>
        <tr r="AE66" s="2"/>
      </tp>
      <tp>
        <v>3.3809999999999998</v>
        <stp/>
        <stp>P</stp>
        <stp>0</stp>
        <stp>IR</stp>
        <stp>BONDKBPF222</stp>
        <stp>9월이하(당일)</stp>
        <stp>45523</stp>
        <stp/>
        <tr r="AE65" s="2"/>
        <tr r="AE65" s="2"/>
      </tp>
      <tp>
        <v>3.5779999999999998</v>
        <stp/>
        <stp>P</stp>
        <stp>0</stp>
        <stp>IR</stp>
        <stp>BONDKBPF231</stp>
        <stp>9월이하(당일)</stp>
        <stp>45523</stp>
        <stp/>
        <tr r="AE67" s="2"/>
        <tr r="AE67" s="2"/>
      </tp>
      <tp>
        <v>5.6319999999999997</v>
        <stp/>
        <stp>P</stp>
        <stp>0</stp>
        <stp>IR</stp>
        <stp>BONDKBPE230</stp>
        <stp>9월이하(당일)</stp>
        <stp>45523</stp>
        <stp/>
        <tr r="AE39" s="2"/>
        <tr r="AE39" s="2"/>
      </tp>
      <tp>
        <v>4.0060000000000002</v>
        <stp/>
        <stp>P</stp>
        <stp>0</stp>
        <stp>IR</stp>
        <stp>BONDKBPF233</stp>
        <stp>9월이하(당일)</stp>
        <stp>45523</stp>
        <stp/>
        <tr r="AE69" s="2"/>
        <tr r="AE69" s="2"/>
      </tp>
      <tp>
        <v>3.7589999999999999</v>
        <stp/>
        <stp>P</stp>
        <stp>0</stp>
        <stp>IR</stp>
        <stp>BONDKBPF232</stp>
        <stp>9월이하(당일)</stp>
        <stp>45523</stp>
        <stp/>
        <tr r="AE68" s="2"/>
        <tr r="AE68" s="2"/>
      </tp>
      <tp>
        <v>3.3820000000000001</v>
        <stp/>
        <stp>P</stp>
        <stp>0</stp>
        <stp>IR</stp>
        <stp>BONDKBPE204</stp>
        <stp>9월이하(당일)</stp>
        <stp>45523</stp>
        <stp/>
        <tr r="AE34" s="2"/>
        <tr r="AE34" s="2"/>
      </tp>
      <tp>
        <v>2.9729999999999999</v>
        <stp/>
        <stp>P</stp>
        <stp>0</stp>
        <stp>IR</stp>
        <stp>BONDKBPA200</stp>
        <stp>9월이하(당일)</stp>
        <stp>45523</stp>
        <stp/>
        <tr r="AE11" s="2"/>
        <tr r="AE11" s="2"/>
      </tp>
      <tp>
        <v>3.2530000000000001</v>
        <stp/>
        <stp>P</stp>
        <stp>0</stp>
        <stp>IR</stp>
        <stp>BONDKBPB200</stp>
        <stp>9월이하(당일)</stp>
        <stp>45523</stp>
        <stp/>
        <tr r="AE14" s="2"/>
        <tr r="AE14" s="2"/>
      </tp>
      <tp>
        <v>3.4649999999999999</v>
        <stp/>
        <stp>P</stp>
        <stp>0</stp>
        <stp>IR</stp>
        <stp>BONDKBPE200</stp>
        <stp>9월이하(당일)</stp>
        <stp>45523</stp>
        <stp/>
        <tr r="AE36" s="2"/>
        <tr r="AE36" s="2"/>
      </tp>
      <tp>
        <v>3.4049999999999998</v>
        <stp/>
        <stp>P</stp>
        <stp>0</stp>
        <stp>IR</stp>
        <stp>BONDKBPE202</stp>
        <stp>9월이하(당일)</stp>
        <stp>45523</stp>
        <stp/>
        <tr r="AE35" s="2"/>
        <tr r="AE35" s="2"/>
      </tp>
      <tp>
        <v>4.3680000000000003</v>
        <stp/>
        <stp>P</stp>
        <stp>0</stp>
        <stp>IR</stp>
        <stp>BONDKBPE210</stp>
        <stp>9월이하(당일)</stp>
        <stp>45523</stp>
        <stp/>
        <tr r="AE37" s="2"/>
        <tr r="AE37" s="2"/>
      </tp>
      <tp>
        <v>3.33</v>
        <stp/>
        <stp>P</stp>
        <stp>0</stp>
        <stp>IR</stp>
        <stp>BONDKBPF212</stp>
        <stp>9월이하(당일)</stp>
        <stp>45523</stp>
        <stp/>
        <tr r="AE63" s="2"/>
        <tr r="AE63" s="2"/>
      </tp>
      <tp>
        <v>3.5649999999999999</v>
        <stp/>
        <stp>P</stp>
        <stp>0</stp>
        <stp>IR</stp>
        <stp>BONDNIC9999111</stp>
        <stp>1.5년이하(당일)</stp>
        <stp>45523</stp>
        <stp/>
        <tr r="BM45" s="2"/>
        <tr r="BM45" s="2"/>
      </tp>
      <tp>
        <v>3.5550000000000002</v>
        <stp/>
        <stp>P</stp>
        <stp>0</stp>
        <stp>IR</stp>
        <stp>BONDNIC9999111</stp>
        <stp>2.5년이하(당일)</stp>
        <stp>45523</stp>
        <stp/>
        <tr r="BO45" s="2"/>
        <tr r="BO45" s="2"/>
      </tp>
      <tp>
        <v>7.7690000000000001</v>
        <stp/>
        <stp>P</stp>
        <stp>0</stp>
        <stp>IR</stp>
        <stp>BONDFNP9999116</stp>
        <stp>1.5년이하(당일)</stp>
        <stp>45523</stp>
        <stp/>
        <tr r="CC50" s="2"/>
        <tr r="CC50" s="2"/>
      </tp>
      <tp>
        <v>8.26</v>
        <stp/>
        <stp>P</stp>
        <stp>0</stp>
        <stp>IR</stp>
        <stp>BONDFNP9999116</stp>
        <stp>2.5년이하(당일)</stp>
        <stp>45523</stp>
        <stp/>
        <tr r="CE50" s="2"/>
        <tr r="CE50" s="2"/>
      </tp>
      <tp>
        <v>3.492</v>
        <stp/>
        <stp>P</stp>
        <stp>0</stp>
        <stp>IR</stp>
        <stp>BONDKIS9999111</stp>
        <stp>1.5년이하(당일)</stp>
        <stp>45523</stp>
        <stp/>
        <tr r="AW35" s="2"/>
        <tr r="AW35" s="2"/>
      </tp>
      <tp>
        <v>3.4409999999999998</v>
        <stp/>
        <stp>P</stp>
        <stp>0</stp>
        <stp>IR</stp>
        <stp>BONDKIS9999111</stp>
        <stp>2.5년이하(당일)</stp>
        <stp>45523</stp>
        <stp/>
        <tr r="AY35" s="2"/>
        <tr r="AY35" s="2"/>
      </tp>
      <tp>
        <v>0</v>
        <stp/>
        <stp>P</stp>
        <stp>0</stp>
        <stp>IR</stp>
        <stp>BONDAV446</stp>
        <stp>50년이하(당일)</stp>
        <stp>45523</stp>
        <stp/>
        <tr r="T53" s="1"/>
      </tp>
      <tp>
        <v>3.5790000000000002</v>
        <stp/>
        <stp>P</stp>
        <stp>0</stp>
        <stp>IR</stp>
        <stp>BONDAV416</stp>
        <stp>15년이하(당일)</stp>
        <stp>45523</stp>
        <stp/>
        <tr r="Q22" s="1"/>
        <tr r="Q22" s="1"/>
      </tp>
      <tp>
        <v>4.3630000000000004</v>
        <stp/>
        <stp>P</stp>
        <stp>0</stp>
        <stp>IR</stp>
        <stp>BONDAV446</stp>
        <stp>10년이하(당일)</stp>
        <stp>45523</stp>
        <stp/>
        <tr r="P53" s="1"/>
        <tr r="P53" s="1"/>
      </tp>
      <tp>
        <v>0</v>
        <stp/>
        <stp>P</stp>
        <stp>0</stp>
        <stp>IR</stp>
        <stp>BONDAV446</stp>
        <stp>30년이하(당일)</stp>
        <stp>45523</stp>
        <stp/>
        <tr r="S53" s="1"/>
      </tp>
      <tp>
        <v>5.0659999999999998</v>
        <stp/>
        <stp>P</stp>
        <stp>0</stp>
        <stp>IR</stp>
        <stp>BONDAV446</stp>
        <stp>20년이하(당일)</stp>
        <stp>45523</stp>
        <stp/>
        <tr r="R53" s="1"/>
        <tr r="R53" s="1"/>
      </tp>
      <tp>
        <v>0</v>
        <stp/>
        <stp>P</stp>
        <stp>0</stp>
        <stp>IR</stp>
        <stp>BONDAV447</stp>
        <stp>50년이하(당일)</stp>
        <stp>45523</stp>
        <stp/>
        <tr r="T54" s="1"/>
      </tp>
      <tp>
        <v>3.6179999999999999</v>
        <stp/>
        <stp>P</stp>
        <stp>0</stp>
        <stp>IR</stp>
        <stp>BONDAV417</stp>
        <stp>15년이하(당일)</stp>
        <stp>45523</stp>
        <stp/>
        <tr r="Q23" s="1"/>
        <tr r="Q23" s="1"/>
      </tp>
      <tp>
        <v>5.1059999999999999</v>
        <stp/>
        <stp>P</stp>
        <stp>0</stp>
        <stp>IR</stp>
        <stp>BONDAV447</stp>
        <stp>10년이하(당일)</stp>
        <stp>45523</stp>
        <stp/>
        <tr r="P54" s="1"/>
        <tr r="P54" s="1"/>
      </tp>
      <tp>
        <v>0</v>
        <stp/>
        <stp>P</stp>
        <stp>0</stp>
        <stp>IR</stp>
        <stp>BONDAV447</stp>
        <stp>30년이하(당일)</stp>
        <stp>45523</stp>
        <stp/>
        <tr r="S54" s="1"/>
      </tp>
      <tp>
        <v>5.6580000000000004</v>
        <stp/>
        <stp>P</stp>
        <stp>0</stp>
        <stp>IR</stp>
        <stp>BONDAV447</stp>
        <stp>20년이하(당일)</stp>
        <stp>45523</stp>
        <stp/>
        <tr r="R54" s="1"/>
        <tr r="R54" s="1"/>
      </tp>
      <tp>
        <v>0</v>
        <stp/>
        <stp>P</stp>
        <stp>0</stp>
        <stp>IR</stp>
        <stp>BONDAV444</stp>
        <stp>50년이하(당일)</stp>
        <stp>45523</stp>
        <stp/>
        <tr r="T51" s="1"/>
      </tp>
      <tp>
        <v>0</v>
        <stp/>
        <stp>P</stp>
        <stp>0</stp>
        <stp>IR</stp>
        <stp>BONDAV414</stp>
        <stp>15년이하(당일)</stp>
        <stp>45523</stp>
        <stp/>
        <tr r="Q19" s="1"/>
      </tp>
      <tp>
        <v>3.581</v>
        <stp/>
        <stp>P</stp>
        <stp>0</stp>
        <stp>IR</stp>
        <stp>BONDAV444</stp>
        <stp>10년이하(당일)</stp>
        <stp>45523</stp>
        <stp/>
        <tr r="P51" s="1"/>
        <tr r="P51" s="1"/>
      </tp>
      <tp>
        <v>0</v>
        <stp/>
        <stp>P</stp>
        <stp>0</stp>
        <stp>IR</stp>
        <stp>BONDAV444</stp>
        <stp>30년이하(당일)</stp>
        <stp>45523</stp>
        <stp/>
        <tr r="S51" s="1"/>
      </tp>
      <tp>
        <v>3.8410000000000002</v>
        <stp/>
        <stp>P</stp>
        <stp>0</stp>
        <stp>IR</stp>
        <stp>BONDAV444</stp>
        <stp>20년이하(당일)</stp>
        <stp>45523</stp>
        <stp/>
        <tr r="R51" s="1"/>
        <tr r="R51" s="1"/>
      </tp>
      <tp>
        <v>0</v>
        <stp/>
        <stp>P</stp>
        <stp>0</stp>
        <stp>IR</stp>
        <stp>BONDAV445</stp>
        <stp>50년이하(당일)</stp>
        <stp>45523</stp>
        <stp/>
        <tr r="T52" s="1"/>
      </tp>
      <tp t="s">
        <v/>
        <stp/>
        <stp>P</stp>
        <stp>0</stp>
        <stp>IR</stp>
        <stp>BONDAV415</stp>
        <stp>15년이하(당일)</stp>
        <stp>45523</stp>
        <stp/>
        <tr r="Q20" s="1"/>
        <tr r="Q20" s="1"/>
      </tp>
      <tp>
        <v>3.9140000000000001</v>
        <stp/>
        <stp>P</stp>
        <stp>0</stp>
        <stp>IR</stp>
        <stp>BONDAV445</stp>
        <stp>10년이하(당일)</stp>
        <stp>45523</stp>
        <stp/>
        <tr r="P52" s="1"/>
        <tr r="P52" s="1"/>
      </tp>
      <tp>
        <v>0</v>
        <stp/>
        <stp>P</stp>
        <stp>0</stp>
        <stp>IR</stp>
        <stp>BONDAV445</stp>
        <stp>30년이하(당일)</stp>
        <stp>45523</stp>
        <stp/>
        <tr r="S52" s="1"/>
      </tp>
      <tp>
        <v>4.4779999999999998</v>
        <stp/>
        <stp>P</stp>
        <stp>0</stp>
        <stp>IR</stp>
        <stp>BONDAV445</stp>
        <stp>20년이하(당일)</stp>
        <stp>45523</stp>
        <stp/>
        <tr r="R52" s="1"/>
        <tr r="R52" s="1"/>
      </tp>
      <tp>
        <v>0</v>
        <stp/>
        <stp>P</stp>
        <stp>0</stp>
        <stp>IR</stp>
        <stp>BONDAV442</stp>
        <stp>50년이하(당일)</stp>
        <stp>45523</stp>
        <stp/>
        <tr r="T49" s="1"/>
      </tp>
      <tp>
        <v>3.6669999999999998</v>
        <stp/>
        <stp>P</stp>
        <stp>0</stp>
        <stp>IR</stp>
        <stp>BONDAV412</stp>
        <stp>15년이하(당일)</stp>
        <stp>45523</stp>
        <stp/>
        <tr r="Q18" s="1"/>
        <tr r="Q18" s="1"/>
      </tp>
      <tp>
        <v>9.1180000000000003</v>
        <stp/>
        <stp>P</stp>
        <stp>0</stp>
        <stp>IR</stp>
        <stp>BONDAV442</stp>
        <stp>10년이하(당일)</stp>
        <stp>45523</stp>
        <stp/>
        <tr r="P49" s="1"/>
        <tr r="P49" s="1"/>
      </tp>
      <tp>
        <v>0</v>
        <stp/>
        <stp>P</stp>
        <stp>0</stp>
        <stp>IR</stp>
        <stp>BONDAV442</stp>
        <stp>30년이하(당일)</stp>
        <stp>45523</stp>
        <stp/>
        <tr r="S49" s="1"/>
      </tp>
      <tp>
        <v>9.8279999999999994</v>
        <stp/>
        <stp>P</stp>
        <stp>0</stp>
        <stp>IR</stp>
        <stp>BONDAV442</stp>
        <stp>20년이하(당일)</stp>
        <stp>45523</stp>
        <stp/>
        <tr r="R49" s="1"/>
        <tr r="R49" s="1"/>
      </tp>
      <tp>
        <v>0</v>
        <stp/>
        <stp>P</stp>
        <stp>0</stp>
        <stp>IR</stp>
        <stp>BONDAV443</stp>
        <stp>50년이하(당일)</stp>
        <stp>45523</stp>
        <stp/>
        <tr r="T50" s="1"/>
      </tp>
      <tp>
        <v>3.1059999999999999</v>
        <stp/>
        <stp>P</stp>
        <stp>0</stp>
        <stp>IR</stp>
        <stp>BONDAV413</stp>
        <stp>15년이하(당일)</stp>
        <stp>45523</stp>
        <stp/>
        <tr r="Q14" s="1"/>
        <tr r="Q14" s="1"/>
      </tp>
      <tp>
        <v>10.45</v>
        <stp/>
        <stp>P</stp>
        <stp>0</stp>
        <stp>IR</stp>
        <stp>BONDAV443</stp>
        <stp>10년이하(당일)</stp>
        <stp>45523</stp>
        <stp/>
        <tr r="P50" s="1"/>
        <tr r="P50" s="1"/>
      </tp>
      <tp>
        <v>0</v>
        <stp/>
        <stp>P</stp>
        <stp>0</stp>
        <stp>IR</stp>
        <stp>BONDAV443</stp>
        <stp>30년이하(당일)</stp>
        <stp>45523</stp>
        <stp/>
        <tr r="S50" s="1"/>
      </tp>
      <tp>
        <v>11.106999999999999</v>
        <stp/>
        <stp>P</stp>
        <stp>0</stp>
        <stp>IR</stp>
        <stp>BONDAV443</stp>
        <stp>20년이하(당일)</stp>
        <stp>45523</stp>
        <stp/>
        <tr r="R50" s="1"/>
        <tr r="R50" s="1"/>
      </tp>
      <tp>
        <v>0</v>
        <stp/>
        <stp>P</stp>
        <stp>0</stp>
        <stp>IR</stp>
        <stp>BONDAV440</stp>
        <stp>50년이하(당일)</stp>
        <stp>45523</stp>
        <stp/>
        <tr r="T47" s="1"/>
      </tp>
      <tp>
        <v>3.391</v>
        <stp/>
        <stp>P</stp>
        <stp>0</stp>
        <stp>IR</stp>
        <stp>BONDAV410</stp>
        <stp>15년이하(당일)</stp>
        <stp>45523</stp>
        <stp/>
        <tr r="Q16" s="1"/>
        <tr r="Q16" s="1"/>
      </tp>
      <tp>
        <v>6.4809999999999999</v>
        <stp/>
        <stp>P</stp>
        <stp>0</stp>
        <stp>IR</stp>
        <stp>BONDAV440</stp>
        <stp>10년이하(당일)</stp>
        <stp>45523</stp>
        <stp/>
        <tr r="P47" s="1"/>
        <tr r="P47" s="1"/>
      </tp>
      <tp>
        <v>0</v>
        <stp/>
        <stp>P</stp>
        <stp>0</stp>
        <stp>IR</stp>
        <stp>BONDAV440</stp>
        <stp>30년이하(당일)</stp>
        <stp>45523</stp>
        <stp/>
        <tr r="S47" s="1"/>
      </tp>
      <tp>
        <v>6.819</v>
        <stp/>
        <stp>P</stp>
        <stp>0</stp>
        <stp>IR</stp>
        <stp>BONDAV440</stp>
        <stp>20년이하(당일)</stp>
        <stp>45523</stp>
        <stp/>
        <tr r="R47" s="1"/>
        <tr r="R47" s="1"/>
      </tp>
      <tp>
        <v>0</v>
        <stp/>
        <stp>P</stp>
        <stp>0</stp>
        <stp>IR</stp>
        <stp>BONDAV441</stp>
        <stp>50년이하(당일)</stp>
        <stp>45523</stp>
        <stp/>
        <tr r="T48" s="1"/>
      </tp>
      <tp>
        <v>3.5539999999999998</v>
        <stp/>
        <stp>P</stp>
        <stp>0</stp>
        <stp>IR</stp>
        <stp>BONDAV411</stp>
        <stp>15년이하(당일)</stp>
        <stp>45523</stp>
        <stp/>
        <tr r="Q17" s="1"/>
        <tr r="Q17" s="1"/>
      </tp>
      <tp>
        <v>7.7969999999999997</v>
        <stp/>
        <stp>P</stp>
        <stp>0</stp>
        <stp>IR</stp>
        <stp>BONDAV441</stp>
        <stp>10년이하(당일)</stp>
        <stp>45523</stp>
        <stp/>
        <tr r="P48" s="1"/>
        <tr r="P48" s="1"/>
      </tp>
      <tp>
        <v>0</v>
        <stp/>
        <stp>P</stp>
        <stp>0</stp>
        <stp>IR</stp>
        <stp>BONDAV441</stp>
        <stp>30년이하(당일)</stp>
        <stp>45523</stp>
        <stp/>
        <tr r="S48" s="1"/>
      </tp>
      <tp>
        <v>8.3260000000000005</v>
        <stp/>
        <stp>P</stp>
        <stp>0</stp>
        <stp>IR</stp>
        <stp>BONDAV441</stp>
        <stp>20년이하(당일)</stp>
        <stp>45523</stp>
        <stp/>
        <tr r="R48" s="1"/>
        <tr r="R48" s="1"/>
      </tp>
      <tp t="s">
        <v/>
        <stp/>
        <stp>P</stp>
        <stp>0</stp>
        <stp>IR</stp>
        <stp>BONDAV448</stp>
        <stp>50년이하(당일)</stp>
        <stp>45523</stp>
        <stp/>
        <tr r="T55" s="1"/>
        <tr r="T55" s="1"/>
      </tp>
      <tp>
        <v>3.6070000000000002</v>
        <stp/>
        <stp>P</stp>
        <stp>0</stp>
        <stp>IR</stp>
        <stp>BONDAV418</stp>
        <stp>15년이하(당일)</stp>
        <stp>45523</stp>
        <stp/>
        <tr r="Q24" s="1"/>
        <tr r="Q24" s="1"/>
      </tp>
      <tp>
        <v>3.6150000000000002</v>
        <stp/>
        <stp>P</stp>
        <stp>0</stp>
        <stp>IR</stp>
        <stp>BONDAV448</stp>
        <stp>10년이하(당일)</stp>
        <stp>45523</stp>
        <stp/>
        <tr r="P55" s="1"/>
        <tr r="P55" s="1"/>
      </tp>
      <tp t="s">
        <v/>
        <stp/>
        <stp>P</stp>
        <stp>0</stp>
        <stp>IR</stp>
        <stp>BONDAV448</stp>
        <stp>30년이하(당일)</stp>
        <stp>45523</stp>
        <stp/>
        <tr r="S55" s="1"/>
        <tr r="S55" s="1"/>
      </tp>
      <tp>
        <v>3.9660000000000002</v>
        <stp/>
        <stp>P</stp>
        <stp>0</stp>
        <stp>IR</stp>
        <stp>BONDAV448</stp>
        <stp>20년이하(당일)</stp>
        <stp>45523</stp>
        <stp/>
        <tr r="R55" s="1"/>
        <tr r="R55" s="1"/>
      </tp>
      <tp t="s">
        <v/>
        <stp/>
        <stp>P</stp>
        <stp>0</stp>
        <stp>IR</stp>
        <stp>BONDAV449</stp>
        <stp>50년이하(당일)</stp>
        <stp>45523</stp>
        <stp/>
        <tr r="T56" s="1"/>
        <tr r="T56" s="1"/>
      </tp>
      <tp>
        <v>3.645</v>
        <stp/>
        <stp>P</stp>
        <stp>0</stp>
        <stp>IR</stp>
        <stp>BONDAV419</stp>
        <stp>15년이하(당일)</stp>
        <stp>45523</stp>
        <stp/>
        <tr r="Q25" s="1"/>
        <tr r="Q25" s="1"/>
      </tp>
      <tp>
        <v>3.911</v>
        <stp/>
        <stp>P</stp>
        <stp>0</stp>
        <stp>IR</stp>
        <stp>BONDAV449</stp>
        <stp>10년이하(당일)</stp>
        <stp>45523</stp>
        <stp/>
        <tr r="P56" s="1"/>
        <tr r="P56" s="1"/>
      </tp>
      <tp t="s">
        <v/>
        <stp/>
        <stp>P</stp>
        <stp>0</stp>
        <stp>IR</stp>
        <stp>BONDAV449</stp>
        <stp>30년이하(당일)</stp>
        <stp>45523</stp>
        <stp/>
        <tr r="S56" s="1"/>
        <tr r="S56" s="1"/>
      </tp>
      <tp>
        <v>4.3479999999999999</v>
        <stp/>
        <stp>P</stp>
        <stp>0</stp>
        <stp>IR</stp>
        <stp>BONDAV449</stp>
        <stp>20년이하(당일)</stp>
        <stp>45523</stp>
        <stp/>
        <tr r="R56" s="1"/>
        <tr r="R56" s="1"/>
      </tp>
      <tp>
        <v>5.7569999999999997</v>
        <stp/>
        <stp>P</stp>
        <stp>0</stp>
        <stp>IR</stp>
        <stp>BONDKBPF341</stp>
        <stp>9월이하(당일)</stp>
        <stp>45523</stp>
        <stp/>
        <tr r="AE80" s="2"/>
        <tr r="AE80" s="2"/>
      </tp>
      <tp>
        <v>7.3</v>
        <stp/>
        <stp>P</stp>
        <stp>0</stp>
        <stp>IR</stp>
        <stp>BONDKBPE340</stp>
        <stp>9월이하(당일)</stp>
        <stp>45523</stp>
        <stp/>
        <tr r="AE50" s="2"/>
        <tr r="AE50" s="2"/>
      </tp>
      <tp>
        <v>7.3220000000000001</v>
        <stp/>
        <stp>P</stp>
        <stp>0</stp>
        <stp>IR</stp>
        <stp>BONDKBPF343</stp>
        <stp>9월이하(당일)</stp>
        <stp>45523</stp>
        <stp/>
        <tr r="AE82" s="2"/>
        <tr r="AE82" s="2"/>
      </tp>
      <tp>
        <v>6.585</v>
        <stp/>
        <stp>P</stp>
        <stp>0</stp>
        <stp>IR</stp>
        <stp>BONDKBPE342</stp>
        <stp>9월이하(당일)</stp>
        <stp>45523</stp>
        <stp/>
        <tr r="AE49" s="2"/>
        <tr r="AE49" s="2"/>
      </tp>
      <tp>
        <v>6.335</v>
        <stp/>
        <stp>P</stp>
        <stp>0</stp>
        <stp>IR</stp>
        <stp>BONDKBPF342</stp>
        <stp>9월이하(당일)</stp>
        <stp>45523</stp>
        <stp/>
        <tr r="AE81" s="2"/>
        <tr r="AE81" s="2"/>
      </tp>
      <tp>
        <v>8.5500000000000007</v>
        <stp/>
        <stp>P</stp>
        <stp>0</stp>
        <stp>IR</stp>
        <stp>BONDKBPE350</stp>
        <stp>9월이하(당일)</stp>
        <stp>45523</stp>
        <stp/>
        <tr r="AE51" s="2"/>
        <tr r="AE51" s="2"/>
      </tp>
      <tp>
        <v>3.5</v>
        <stp/>
        <stp>P</stp>
        <stp>0</stp>
        <stp>IR</stp>
        <stp>BONDKBPF321</stp>
        <stp>9월이하(당일)</stp>
        <stp>45523</stp>
        <stp/>
        <tr r="AE74" s="2"/>
        <tr r="AE74" s="2"/>
      </tp>
      <tp>
        <v>5.0250000000000004</v>
        <stp/>
        <stp>P</stp>
        <stp>0</stp>
        <stp>IR</stp>
        <stp>BONDKBPE320</stp>
        <stp>9월이하(당일)</stp>
        <stp>45523</stp>
        <stp/>
        <tr r="AE47" s="2"/>
        <tr r="AE47" s="2"/>
      </tp>
      <tp>
        <v>3.5750000000000002</v>
        <stp/>
        <stp>P</stp>
        <stp>0</stp>
        <stp>IR</stp>
        <stp>BONDKBPF323</stp>
        <stp>9월이하(당일)</stp>
        <stp>45523</stp>
        <stp/>
        <tr r="AE76" s="2"/>
        <tr r="AE76" s="2"/>
      </tp>
      <tp>
        <v>3.5329999999999999</v>
        <stp/>
        <stp>P</stp>
        <stp>0</stp>
        <stp>IR</stp>
        <stp>BONDKBPF322</stp>
        <stp>9월이하(당일)</stp>
        <stp>45523</stp>
        <stp/>
        <tr r="AE75" s="2"/>
        <tr r="AE75" s="2"/>
      </tp>
      <tp>
        <v>3.86</v>
        <stp/>
        <stp>P</stp>
        <stp>0</stp>
        <stp>IR</stp>
        <stp>BONDKBPF331</stp>
        <stp>9월이하(당일)</stp>
        <stp>45523</stp>
        <stp/>
        <tr r="AE77" s="2"/>
        <tr r="AE77" s="2"/>
      </tp>
      <tp>
        <v>5.6319999999999997</v>
        <stp/>
        <stp>P</stp>
        <stp>0</stp>
        <stp>IR</stp>
        <stp>BONDKBPE330</stp>
        <stp>9월이하(당일)</stp>
        <stp>45523</stp>
        <stp/>
        <tr r="AE48" s="2"/>
        <tr r="AE48" s="2"/>
      </tp>
      <tp>
        <v>4.4130000000000003</v>
        <stp/>
        <stp>P</stp>
        <stp>0</stp>
        <stp>IR</stp>
        <stp>BONDKBPF333</stp>
        <stp>9월이하(당일)</stp>
        <stp>45523</stp>
        <stp/>
        <tr r="AE79" s="2"/>
        <tr r="AE79" s="2"/>
      </tp>
      <tp>
        <v>4.0810000000000004</v>
        <stp/>
        <stp>P</stp>
        <stp>0</stp>
        <stp>IR</stp>
        <stp>BONDKBPF332</stp>
        <stp>9월이하(당일)</stp>
        <stp>45523</stp>
        <stp/>
        <tr r="AE78" s="2"/>
        <tr r="AE78" s="2"/>
      </tp>
      <tp>
        <v>3.3820000000000001</v>
        <stp/>
        <stp>P</stp>
        <stp>0</stp>
        <stp>IR</stp>
        <stp>BONDKBPE304</stp>
        <stp>9월이하(당일)</stp>
        <stp>45523</stp>
        <stp/>
        <tr r="AE43" s="2"/>
        <tr r="AE43" s="2"/>
      </tp>
      <tp>
        <v>3.1659999999999999</v>
        <stp/>
        <stp>P</stp>
        <stp>0</stp>
        <stp>IR</stp>
        <stp>BONDKBPA300</stp>
        <stp>9월이하(당일)</stp>
        <stp>45523</stp>
        <stp/>
        <tr r="AE10" s="2"/>
        <tr r="AE10" s="2"/>
      </tp>
      <tp>
        <v>3.2959999999999998</v>
        <stp/>
        <stp>P</stp>
        <stp>0</stp>
        <stp>IR</stp>
        <stp>BONDKBPC300</stp>
        <stp>9월이하(당일)</stp>
        <stp>45523</stp>
        <stp/>
        <tr r="AE16" s="2"/>
        <tr r="AE16" s="2"/>
      </tp>
      <tp>
        <v>3.4649999999999999</v>
        <stp/>
        <stp>P</stp>
        <stp>0</stp>
        <stp>IR</stp>
        <stp>BONDKBPE300</stp>
        <stp>9월이하(당일)</stp>
        <stp>45523</stp>
        <stp/>
        <tr r="AE45" s="2"/>
        <tr r="AE45" s="2"/>
      </tp>
      <tp>
        <v>3.4049999999999998</v>
        <stp/>
        <stp>P</stp>
        <stp>0</stp>
        <stp>IR</stp>
        <stp>BONDKBPE302</stp>
        <stp>9월이하(당일)</stp>
        <stp>45523</stp>
        <stp/>
        <tr r="AE44" s="2"/>
        <tr r="AE44" s="2"/>
      </tp>
      <tp>
        <v>4.3680000000000003</v>
        <stp/>
        <stp>P</stp>
        <stp>0</stp>
        <stp>IR</stp>
        <stp>BONDKBPE310</stp>
        <stp>9월이하(당일)</stp>
        <stp>45523</stp>
        <stp/>
        <tr r="AE46" s="2"/>
        <tr r="AE46" s="2"/>
      </tp>
      <tp>
        <v>3.4249999999999998</v>
        <stp/>
        <stp>P</stp>
        <stp>0</stp>
        <stp>IR</stp>
        <stp>BONDKBPF312</stp>
        <stp>9월이하(당일)</stp>
        <stp>45523</stp>
        <stp/>
        <tr r="AE73" s="2"/>
        <tr r="AE73" s="2"/>
      </tp>
      <tp>
        <v>3.4929999999999999</v>
        <stp/>
        <stp>P</stp>
        <stp>0</stp>
        <stp>IR</stp>
        <stp>BONDNIC9999110</stp>
        <stp>1.5년이하(당일)</stp>
        <stp>45523</stp>
        <stp/>
        <tr r="BM44" s="2"/>
        <tr r="BM44" s="2"/>
      </tp>
      <tp>
        <v>3.4319999999999999</v>
        <stp/>
        <stp>P</stp>
        <stp>0</stp>
        <stp>IR</stp>
        <stp>BONDNIC9999110</stp>
        <stp>2.5년이하(당일)</stp>
        <stp>45523</stp>
        <stp/>
        <tr r="BO44" s="2"/>
        <tr r="BO44" s="2"/>
      </tp>
      <tp>
        <v>9.0760000000000005</v>
        <stp/>
        <stp>P</stp>
        <stp>0</stp>
        <stp>IR</stp>
        <stp>BONDFNP9999117</stp>
        <stp>1.5년이하(당일)</stp>
        <stp>45523</stp>
        <stp/>
        <tr r="CC51" s="2"/>
        <tr r="CC51" s="2"/>
      </tp>
      <tp>
        <v>9.5969999999999995</v>
        <stp/>
        <stp>P</stp>
        <stp>0</stp>
        <stp>IR</stp>
        <stp>BONDFNP9999117</stp>
        <stp>2.5년이하(당일)</stp>
        <stp>45523</stp>
        <stp/>
        <tr r="CE51" s="2"/>
        <tr r="CE51" s="2"/>
      </tp>
      <tp>
        <v>0</v>
        <stp/>
        <stp>P</stp>
        <stp>0</stp>
        <stp>IR</stp>
        <stp>BONDAV456</stp>
        <stp>50년이하(당일)</stp>
        <stp>45523</stp>
        <stp/>
        <tr r="T63" s="1"/>
      </tp>
      <tp>
        <v>3.32</v>
        <stp/>
        <stp>P</stp>
        <stp>0</stp>
        <stp>IR</stp>
        <stp>BONDAV406</stp>
        <stp>15년이하(당일)</stp>
        <stp>45523</stp>
        <stp/>
        <tr r="Q13" s="1"/>
        <tr r="Q13" s="1"/>
      </tp>
      <tp>
        <v>3.8980000000000001</v>
        <stp/>
        <stp>P</stp>
        <stp>0</stp>
        <stp>IR</stp>
        <stp>BONDAV456</stp>
        <stp>10년이하(당일)</stp>
        <stp>45523</stp>
        <stp/>
        <tr r="P63" s="1"/>
        <tr r="P63" s="1"/>
      </tp>
      <tp>
        <v>0</v>
        <stp/>
        <stp>P</stp>
        <stp>0</stp>
        <stp>IR</stp>
        <stp>BONDAV456</stp>
        <stp>30년이하(당일)</stp>
        <stp>45523</stp>
        <stp/>
        <tr r="S63" s="1"/>
      </tp>
      <tp>
        <v>4.3390000000000004</v>
        <stp/>
        <stp>P</stp>
        <stp>0</stp>
        <stp>IR</stp>
        <stp>BONDAV456</stp>
        <stp>20년이하(당일)</stp>
        <stp>45523</stp>
        <stp/>
        <tr r="R63" s="1"/>
        <tr r="R63" s="1"/>
      </tp>
      <tp>
        <v>0</v>
        <stp/>
        <stp>P</stp>
        <stp>0</stp>
        <stp>IR</stp>
        <stp>BONDAV457</stp>
        <stp>50년이하(당일)</stp>
        <stp>45523</stp>
        <stp/>
        <tr r="T64" s="1"/>
      </tp>
      <tp>
        <v>4.2389999999999999</v>
        <stp/>
        <stp>P</stp>
        <stp>0</stp>
        <stp>IR</stp>
        <stp>BONDAV457</stp>
        <stp>10년이하(당일)</stp>
        <stp>45523</stp>
        <stp/>
        <tr r="P64" s="1"/>
        <tr r="P64" s="1"/>
      </tp>
      <tp>
        <v>0</v>
        <stp/>
        <stp>P</stp>
        <stp>0</stp>
        <stp>IR</stp>
        <stp>BONDAV457</stp>
        <stp>30년이하(당일)</stp>
        <stp>45523</stp>
        <stp/>
        <tr r="S64" s="1"/>
      </tp>
      <tp>
        <v>4.9260000000000002</v>
        <stp/>
        <stp>P</stp>
        <stp>0</stp>
        <stp>IR</stp>
        <stp>BONDAV457</stp>
        <stp>20년이하(당일)</stp>
        <stp>45523</stp>
        <stp/>
        <tr r="R64" s="1"/>
        <tr r="R64" s="1"/>
      </tp>
      <tp t="s">
        <v/>
        <stp/>
        <stp>P</stp>
        <stp>0</stp>
        <stp>IR</stp>
        <stp>BONDAV454</stp>
        <stp>50년이하(당일)</stp>
        <stp>45523</stp>
        <stp/>
        <tr r="T61" s="1"/>
        <tr r="T61" s="1"/>
      </tp>
      <tp>
        <v>0.69099999999999995</v>
        <stp/>
        <stp>P</stp>
        <stp>0</stp>
        <stp>IR</stp>
        <stp>BONDAV404</stp>
        <stp>15년이하(당일)</stp>
        <stp>45523</stp>
        <stp/>
        <tr r="Q11" s="1"/>
        <tr r="Q11" s="1"/>
      </tp>
      <tp>
        <v>6.1529999999999996</v>
        <stp/>
        <stp>P</stp>
        <stp>0</stp>
        <stp>IR</stp>
        <stp>BONDAV454</stp>
        <stp>10년이하(당일)</stp>
        <stp>45523</stp>
        <stp/>
        <tr r="P61" s="1"/>
        <tr r="P61" s="1"/>
      </tp>
      <tp t="s">
        <v/>
        <stp/>
        <stp>P</stp>
        <stp>0</stp>
        <stp>IR</stp>
        <stp>BONDAV454</stp>
        <stp>30년이하(당일)</stp>
        <stp>45523</stp>
        <stp/>
        <tr r="S61" s="1"/>
        <tr r="S61" s="1"/>
      </tp>
      <tp>
        <v>6.8090000000000002</v>
        <stp/>
        <stp>P</stp>
        <stp>0</stp>
        <stp>IR</stp>
        <stp>BONDAV454</stp>
        <stp>20년이하(당일)</stp>
        <stp>45523</stp>
        <stp/>
        <tr r="R61" s="1"/>
        <tr r="R61" s="1"/>
      </tp>
      <tp>
        <v>0</v>
        <stp/>
        <stp>P</stp>
        <stp>0</stp>
        <stp>IR</stp>
        <stp>BONDAV455</stp>
        <stp>50년이하(당일)</stp>
        <stp>45523</stp>
        <stp/>
        <tr r="T62" s="1"/>
      </tp>
      <tp>
        <v>0</v>
        <stp/>
        <stp>P</stp>
        <stp>0</stp>
        <stp>IR</stp>
        <stp>BONDAV405</stp>
        <stp>15년이하(당일)</stp>
        <stp>45523</stp>
        <stp/>
        <tr r="Q12" s="1"/>
      </tp>
      <tp>
        <v>3.609</v>
        <stp/>
        <stp>P</stp>
        <stp>0</stp>
        <stp>IR</stp>
        <stp>BONDAV455</stp>
        <stp>10년이하(당일)</stp>
        <stp>45523</stp>
        <stp/>
        <tr r="P62" s="1"/>
        <tr r="P62" s="1"/>
      </tp>
      <tp>
        <v>0</v>
        <stp/>
        <stp>P</stp>
        <stp>0</stp>
        <stp>IR</stp>
        <stp>BONDAV455</stp>
        <stp>30년이하(당일)</stp>
        <stp>45523</stp>
        <stp/>
        <tr r="S62" s="1"/>
      </tp>
      <tp>
        <v>3.964</v>
        <stp/>
        <stp>P</stp>
        <stp>0</stp>
        <stp>IR</stp>
        <stp>BONDAV455</stp>
        <stp>20년이하(당일)</stp>
        <stp>45523</stp>
        <stp/>
        <tr r="R62" s="1"/>
        <tr r="R62" s="1"/>
      </tp>
      <tp t="s">
        <v/>
        <stp/>
        <stp>P</stp>
        <stp>0</stp>
        <stp>IR</stp>
        <stp>BONDAV452</stp>
        <stp>50년이하(당일)</stp>
        <stp>45523</stp>
        <stp/>
        <tr r="T59" s="1"/>
        <tr r="T59" s="1"/>
      </tp>
      <tp>
        <v>0</v>
        <stp/>
        <stp>P</stp>
        <stp>0</stp>
        <stp>IR</stp>
        <stp>BONDAV402</stp>
        <stp>15년이하(당일)</stp>
        <stp>45523</stp>
        <stp/>
        <tr r="Q9" s="1"/>
      </tp>
      <tp>
        <v>5.1879999999999997</v>
        <stp/>
        <stp>P</stp>
        <stp>0</stp>
        <stp>IR</stp>
        <stp>BONDAV452</stp>
        <stp>10년이하(당일)</stp>
        <stp>45523</stp>
        <stp/>
        <tr r="P59" s="1"/>
        <tr r="P59" s="1"/>
      </tp>
      <tp t="s">
        <v/>
        <stp/>
        <stp>P</stp>
        <stp>0</stp>
        <stp>IR</stp>
        <stp>BONDAV452</stp>
        <stp>30년이하(당일)</stp>
        <stp>45523</stp>
        <stp/>
        <tr r="S59" s="1"/>
        <tr r="S59" s="1"/>
      </tp>
      <tp>
        <v>5.8810000000000002</v>
        <stp/>
        <stp>P</stp>
        <stp>0</stp>
        <stp>IR</stp>
        <stp>BONDAV452</stp>
        <stp>20년이하(당일)</stp>
        <stp>45523</stp>
        <stp/>
        <tr r="R59" s="1"/>
        <tr r="R59" s="1"/>
      </tp>
      <tp t="s">
        <v/>
        <stp/>
        <stp>P</stp>
        <stp>0</stp>
        <stp>IR</stp>
        <stp>BONDAV453</stp>
        <stp>50년이하(당일)</stp>
        <stp>45523</stp>
        <stp/>
        <tr r="T60" s="1"/>
        <tr r="T60" s="1"/>
      </tp>
      <tp>
        <v>3.1269999999999998</v>
        <stp/>
        <stp>P</stp>
        <stp>0</stp>
        <stp>IR</stp>
        <stp>BONDAV403</stp>
        <stp>15년이하(당일)</stp>
        <stp>45523</stp>
        <stp/>
        <tr r="Q10" s="1"/>
        <tr r="Q10" s="1"/>
      </tp>
      <tp>
        <v>5.6180000000000003</v>
        <stp/>
        <stp>P</stp>
        <stp>0</stp>
        <stp>IR</stp>
        <stp>BONDAV453</stp>
        <stp>10년이하(당일)</stp>
        <stp>45523</stp>
        <stp/>
        <tr r="P60" s="1"/>
        <tr r="P60" s="1"/>
      </tp>
      <tp t="s">
        <v/>
        <stp/>
        <stp>P</stp>
        <stp>0</stp>
        <stp>IR</stp>
        <stp>BONDAV453</stp>
        <stp>30년이하(당일)</stp>
        <stp>45523</stp>
        <stp/>
        <tr r="S60" s="1"/>
        <tr r="S60" s="1"/>
      </tp>
      <tp>
        <v>6.2389999999999999</v>
        <stp/>
        <stp>P</stp>
        <stp>0</stp>
        <stp>IR</stp>
        <stp>BONDAV453</stp>
        <stp>20년이하(당일)</stp>
        <stp>45523</stp>
        <stp/>
        <tr r="R60" s="1"/>
        <tr r="R60" s="1"/>
      </tp>
      <tp t="s">
        <v/>
        <stp/>
        <stp>P</stp>
        <stp>0</stp>
        <stp>IR</stp>
        <stp>BONDAV450</stp>
        <stp>50년이하(당일)</stp>
        <stp>45523</stp>
        <stp/>
        <tr r="T57" s="1"/>
        <tr r="T57" s="1"/>
      </tp>
      <tp>
        <v>4.2469999999999999</v>
        <stp/>
        <stp>P</stp>
        <stp>0</stp>
        <stp>IR</stp>
        <stp>BONDAV450</stp>
        <stp>10년이하(당일)</stp>
        <stp>45523</stp>
        <stp/>
        <tr r="P57" s="1"/>
        <tr r="P57" s="1"/>
      </tp>
      <tp t="s">
        <v/>
        <stp/>
        <stp>P</stp>
        <stp>0</stp>
        <stp>IR</stp>
        <stp>BONDAV450</stp>
        <stp>30년이하(당일)</stp>
        <stp>45523</stp>
        <stp/>
        <tr r="S57" s="1"/>
        <tr r="S57" s="1"/>
      </tp>
      <tp>
        <v>4.9320000000000004</v>
        <stp/>
        <stp>P</stp>
        <stp>0</stp>
        <stp>IR</stp>
        <stp>BONDAV450</stp>
        <stp>20년이하(당일)</stp>
        <stp>45523</stp>
        <stp/>
        <tr r="R57" s="1"/>
        <tr r="R57" s="1"/>
      </tp>
      <tp t="s">
        <v/>
        <stp/>
        <stp>P</stp>
        <stp>0</stp>
        <stp>IR</stp>
        <stp>BONDAV451</stp>
        <stp>50년이하(당일)</stp>
        <stp>45523</stp>
        <stp/>
        <tr r="T58" s="1"/>
        <tr r="T58" s="1"/>
      </tp>
      <tp>
        <v>2.9820000000000002</v>
        <stp/>
        <stp>P</stp>
        <stp>0</stp>
        <stp>IR</stp>
        <stp>BONDAV401</stp>
        <stp>15년이하(당일)</stp>
        <stp>45523</stp>
        <stp/>
        <tr r="Q8" s="1"/>
        <tr r="Q8" s="1"/>
      </tp>
      <tp>
        <v>4.6189999999999998</v>
        <stp/>
        <stp>P</stp>
        <stp>0</stp>
        <stp>IR</stp>
        <stp>BONDAV451</stp>
        <stp>10년이하(당일)</stp>
        <stp>45523</stp>
        <stp/>
        <tr r="P58" s="1"/>
        <tr r="P58" s="1"/>
      </tp>
      <tp t="s">
        <v/>
        <stp/>
        <stp>P</stp>
        <stp>0</stp>
        <stp>IR</stp>
        <stp>BONDAV451</stp>
        <stp>30년이하(당일)</stp>
        <stp>45523</stp>
        <stp/>
        <tr r="S58" s="1"/>
        <tr r="S58" s="1"/>
      </tp>
      <tp>
        <v>5.4690000000000003</v>
        <stp/>
        <stp>P</stp>
        <stp>0</stp>
        <stp>IR</stp>
        <stp>BONDAV451</stp>
        <stp>20년이하(당일)</stp>
        <stp>45523</stp>
        <stp/>
        <tr r="R58" s="1"/>
        <tr r="R58" s="1"/>
      </tp>
      <tp>
        <v>0</v>
        <stp/>
        <stp>P</stp>
        <stp>0</stp>
        <stp>IR</stp>
        <stp>BONDAV458</stp>
        <stp>50년이하(당일)</stp>
        <stp>45523</stp>
        <stp/>
        <tr r="T65" s="1"/>
      </tp>
      <tp>
        <v>4.6020000000000003</v>
        <stp/>
        <stp>P</stp>
        <stp>0</stp>
        <stp>IR</stp>
        <stp>BONDAV458</stp>
        <stp>10년이하(당일)</stp>
        <stp>45523</stp>
        <stp/>
        <tr r="P65" s="1"/>
        <tr r="P65" s="1"/>
      </tp>
      <tp>
        <v>0</v>
        <stp/>
        <stp>P</stp>
        <stp>0</stp>
        <stp>IR</stp>
        <stp>BONDAV458</stp>
        <stp>30년이하(당일)</stp>
        <stp>45523</stp>
        <stp/>
        <tr r="S65" s="1"/>
      </tp>
      <tp>
        <v>5.4569999999999999</v>
        <stp/>
        <stp>P</stp>
        <stp>0</stp>
        <stp>IR</stp>
        <stp>BONDAV458</stp>
        <stp>20년이하(당일)</stp>
        <stp>45523</stp>
        <stp/>
        <tr r="R65" s="1"/>
        <tr r="R65" s="1"/>
      </tp>
      <tp>
        <v>0</v>
        <stp/>
        <stp>P</stp>
        <stp>0</stp>
        <stp>IR</stp>
        <stp>BONDAV459</stp>
        <stp>50년이하(당일)</stp>
        <stp>45523</stp>
        <stp/>
        <tr r="T66" s="1"/>
      </tp>
      <tp>
        <v>3.1779999999999999</v>
        <stp/>
        <stp>P</stp>
        <stp>0</stp>
        <stp>IR</stp>
        <stp>BONDAV409</stp>
        <stp>15년이하(당일)</stp>
        <stp>45523</stp>
        <stp/>
        <tr r="Q15" s="1"/>
        <tr r="Q15" s="1"/>
      </tp>
      <tp>
        <v>5.1520000000000001</v>
        <stp/>
        <stp>P</stp>
        <stp>0</stp>
        <stp>IR</stp>
        <stp>BONDAV459</stp>
        <stp>10년이하(당일)</stp>
        <stp>45523</stp>
        <stp/>
        <tr r="P66" s="1"/>
        <tr r="P66" s="1"/>
      </tp>
      <tp>
        <v>0</v>
        <stp/>
        <stp>P</stp>
        <stp>0</stp>
        <stp>IR</stp>
        <stp>BONDAV459</stp>
        <stp>30년이하(당일)</stp>
        <stp>45523</stp>
        <stp/>
        <tr r="S66" s="1"/>
      </tp>
      <tp>
        <v>5.8630000000000004</v>
        <stp/>
        <stp>P</stp>
        <stp>0</stp>
        <stp>IR</stp>
        <stp>BONDAV459</stp>
        <stp>20년이하(당일)</stp>
        <stp>45523</stp>
        <stp/>
        <tr r="R66" s="1"/>
        <tr r="R66" s="1"/>
      </tp>
      <tp>
        <v>5.2670000000000003</v>
        <stp/>
        <stp>P</stp>
        <stp>0</stp>
        <stp>IR</stp>
        <stp>BONDKBPF341</stp>
        <stp>6월이하(당일)</stp>
        <stp>45523</stp>
        <stp/>
        <tr r="AD80" s="2"/>
        <tr r="AD80" s="2"/>
      </tp>
      <tp>
        <v>7.069</v>
        <stp/>
        <stp>P</stp>
        <stp>0</stp>
        <stp>IR</stp>
        <stp>BONDKBPE340</stp>
        <stp>6월이하(당일)</stp>
        <stp>45523</stp>
        <stp/>
        <tr r="AD50" s="2"/>
        <tr r="AD50" s="2"/>
      </tp>
      <tp>
        <v>6.6040000000000001</v>
        <stp/>
        <stp>P</stp>
        <stp>0</stp>
        <stp>IR</stp>
        <stp>BONDKBPF343</stp>
        <stp>6월이하(당일)</stp>
        <stp>45523</stp>
        <stp/>
        <tr r="AD82" s="2"/>
        <tr r="AD82" s="2"/>
      </tp>
      <tp>
        <v>6.3689999999999998</v>
        <stp/>
        <stp>P</stp>
        <stp>0</stp>
        <stp>IR</stp>
        <stp>BONDKBPE342</stp>
        <stp>6월이하(당일)</stp>
        <stp>45523</stp>
        <stp/>
        <tr r="AD49" s="2"/>
        <tr r="AD49" s="2"/>
      </tp>
      <tp>
        <v>5.782</v>
        <stp/>
        <stp>P</stp>
        <stp>0</stp>
        <stp>IR</stp>
        <stp>BONDKBPF342</stp>
        <stp>6월이하(당일)</stp>
        <stp>45523</stp>
        <stp/>
        <tr r="AD81" s="2"/>
        <tr r="AD81" s="2"/>
      </tp>
      <tp>
        <v>8.3190000000000008</v>
        <stp/>
        <stp>P</stp>
        <stp>0</stp>
        <stp>IR</stp>
        <stp>BONDKBPE350</stp>
        <stp>6월이하(당일)</stp>
        <stp>45523</stp>
        <stp/>
        <tr r="AD51" s="2"/>
        <tr r="AD51" s="2"/>
      </tp>
      <tp>
        <v>3.53</v>
        <stp/>
        <stp>P</stp>
        <stp>0</stp>
        <stp>IR</stp>
        <stp>BONDKBPF321</stp>
        <stp>6월이하(당일)</stp>
        <stp>45523</stp>
        <stp/>
        <tr r="AD74" s="2"/>
        <tr r="AD74" s="2"/>
      </tp>
      <tp>
        <v>4.9109999999999996</v>
        <stp/>
        <stp>P</stp>
        <stp>0</stp>
        <stp>IR</stp>
        <stp>BONDKBPE320</stp>
        <stp>6월이하(당일)</stp>
        <stp>45523</stp>
        <stp/>
        <tr r="AD47" s="2"/>
        <tr r="AD47" s="2"/>
      </tp>
      <tp>
        <v>3.6</v>
        <stp/>
        <stp>P</stp>
        <stp>0</stp>
        <stp>IR</stp>
        <stp>BONDKBPF323</stp>
        <stp>6월이하(당일)</stp>
        <stp>45523</stp>
        <stp/>
        <tr r="AD76" s="2"/>
        <tr r="AD76" s="2"/>
      </tp>
      <tp>
        <v>3.5649999999999999</v>
        <stp/>
        <stp>P</stp>
        <stp>0</stp>
        <stp>IR</stp>
        <stp>BONDKBPF322</stp>
        <stp>6월이하(당일)</stp>
        <stp>45523</stp>
        <stp/>
        <tr r="AD75" s="2"/>
        <tr r="AD75" s="2"/>
      </tp>
      <tp>
        <v>3.8220000000000001</v>
        <stp/>
        <stp>P</stp>
        <stp>0</stp>
        <stp>IR</stp>
        <stp>BONDKBPF331</stp>
        <stp>6월이하(당일)</stp>
        <stp>45523</stp>
        <stp/>
        <tr r="AD77" s="2"/>
        <tr r="AD77" s="2"/>
      </tp>
      <tp>
        <v>5.5419999999999998</v>
        <stp/>
        <stp>P</stp>
        <stp>0</stp>
        <stp>IR</stp>
        <stp>BONDKBPE330</stp>
        <stp>6월이하(당일)</stp>
        <stp>45523</stp>
        <stp/>
        <tr r="AD48" s="2"/>
        <tr r="AD48" s="2"/>
      </tp>
      <tp>
        <v>4.3179999999999996</v>
        <stp/>
        <stp>P</stp>
        <stp>0</stp>
        <stp>IR</stp>
        <stp>BONDKBPF333</stp>
        <stp>6월이하(당일)</stp>
        <stp>45523</stp>
        <stp/>
        <tr r="AD79" s="2"/>
        <tr r="AD79" s="2"/>
      </tp>
      <tp>
        <v>4.0229999999999997</v>
        <stp/>
        <stp>P</stp>
        <stp>0</stp>
        <stp>IR</stp>
        <stp>BONDKBPF332</stp>
        <stp>6월이하(당일)</stp>
        <stp>45523</stp>
        <stp/>
        <tr r="AD78" s="2"/>
        <tr r="AD78" s="2"/>
      </tp>
      <tp>
        <v>3.4209999999999998</v>
        <stp/>
        <stp>P</stp>
        <stp>0</stp>
        <stp>IR</stp>
        <stp>BONDKBPE304</stp>
        <stp>6월이하(당일)</stp>
        <stp>45523</stp>
        <stp/>
        <tr r="AD43" s="2"/>
        <tr r="AD43" s="2"/>
      </tp>
      <tp>
        <v>3.2610000000000001</v>
        <stp/>
        <stp>P</stp>
        <stp>0</stp>
        <stp>IR</stp>
        <stp>BONDKBPA300</stp>
        <stp>6월이하(당일)</stp>
        <stp>45523</stp>
        <stp/>
        <tr r="AD10" s="2"/>
        <tr r="AD10" s="2"/>
      </tp>
      <tp>
        <v>3.371</v>
        <stp/>
        <stp>P</stp>
        <stp>0</stp>
        <stp>IR</stp>
        <stp>BONDKBPC300</stp>
        <stp>6월이하(당일)</stp>
        <stp>45523</stp>
        <stp/>
        <tr r="AD16" s="2"/>
        <tr r="AD16" s="2"/>
      </tp>
      <tp>
        <v>3.4769999999999999</v>
        <stp/>
        <stp>P</stp>
        <stp>0</stp>
        <stp>IR</stp>
        <stp>BONDKBPE300</stp>
        <stp>6월이하(당일)</stp>
        <stp>45523</stp>
        <stp/>
        <tr r="AD45" s="2"/>
        <tr r="AD45" s="2"/>
      </tp>
      <tp>
        <v>3.4390000000000001</v>
        <stp/>
        <stp>P</stp>
        <stp>0</stp>
        <stp>IR</stp>
        <stp>BONDKBPE302</stp>
        <stp>6월이하(당일)</stp>
        <stp>45523</stp>
        <stp/>
        <tr r="AD44" s="2"/>
        <tr r="AD44" s="2"/>
      </tp>
      <tp>
        <v>4.3090000000000002</v>
        <stp/>
        <stp>P</stp>
        <stp>0</stp>
        <stp>IR</stp>
        <stp>BONDKBPE310</stp>
        <stp>6월이하(당일)</stp>
        <stp>45523</stp>
        <stp/>
        <tr r="AD46" s="2"/>
        <tr r="AD46" s="2"/>
      </tp>
      <tp>
        <v>3.4849999999999999</v>
        <stp/>
        <stp>P</stp>
        <stp>0</stp>
        <stp>IR</stp>
        <stp>BONDKBPF312</stp>
        <stp>6월이하(당일)</stp>
        <stp>45523</stp>
        <stp/>
        <tr r="AD73" s="2"/>
        <tr r="AD73" s="2"/>
      </tp>
      <tp>
        <v>3.3719999999999999</v>
        <stp/>
        <stp>P</stp>
        <stp>0</stp>
        <stp>IR</stp>
        <stp>BONDNIC3040112</stp>
        <stp>2.5년이하(당일)</stp>
        <stp>45523</stp>
        <stp/>
        <tr r="BO18" s="2"/>
        <tr r="BO18" s="2"/>
      </tp>
      <tp>
        <v>3.36</v>
        <stp/>
        <stp>P</stp>
        <stp>0</stp>
        <stp>IR</stp>
        <stp>BONDNIC3040112</stp>
        <stp>1.5년이하(당일)</stp>
        <stp>45523</stp>
        <stp/>
        <tr r="BM18" s="2"/>
        <tr r="BM18" s="2"/>
      </tp>
      <tp>
        <v>3.5649999999999999</v>
        <stp/>
        <stp>P</stp>
        <stp>0</stp>
        <stp>IR</stp>
        <stp>BONDNIC5040112</stp>
        <stp>1.5년이하(당일)</stp>
        <stp>45523</stp>
        <stp/>
        <tr r="BM29" s="2"/>
        <tr r="BM29" s="2"/>
      </tp>
      <tp>
        <v>4.1120000000000001</v>
        <stp/>
        <stp>P</stp>
        <stp>0</stp>
        <stp>IR</stp>
        <stp>BONDNIC5050113</stp>
        <stp>1.5년이하(당일)</stp>
        <stp>45523</stp>
        <stp/>
        <tr r="BM33" s="2"/>
        <tr r="BM33" s="2"/>
      </tp>
      <tp>
        <v>3.4319999999999999</v>
        <stp/>
        <stp>P</stp>
        <stp>0</stp>
        <stp>IR</stp>
        <stp>BONDNIC6040112</stp>
        <stp>2.5년이하(당일)</stp>
        <stp>45523</stp>
        <stp/>
        <tr r="BO35" s="2"/>
        <tr r="BO35" s="2"/>
      </tp>
      <tp>
        <v>5.9589999999999996</v>
        <stp/>
        <stp>P</stp>
        <stp>0</stp>
        <stp>IR</stp>
        <stp>BONDNIC6050113</stp>
        <stp>2.5년이하(당일)</stp>
        <stp>45523</stp>
        <stp/>
        <tr r="BO39" s="2"/>
        <tr r="BO39" s="2"/>
      </tp>
      <tp>
        <v>3.3620000000000001</v>
        <stp/>
        <stp>P</stp>
        <stp>0</stp>
        <stp>IR</stp>
        <stp>BONDNIC7040112</stp>
        <stp>2.5년이하(당일)</stp>
        <stp>45523</stp>
        <stp/>
        <tr r="BO65" s="2"/>
        <tr r="BO65" s="2"/>
      </tp>
      <tp>
        <v>4.3280000000000003</v>
        <stp/>
        <stp>P</stp>
        <stp>0</stp>
        <stp>IR</stp>
        <stp>BONDNIC7050113</stp>
        <stp>2.5년이하(당일)</stp>
        <stp>45523</stp>
        <stp/>
        <tr r="BO69" s="2"/>
        <tr r="BO69" s="2"/>
      </tp>
      <tp>
        <v>3.3620000000000001</v>
        <stp/>
        <stp>P</stp>
        <stp>0</stp>
        <stp>IR</stp>
        <stp>BONDNIC7140112</stp>
        <stp>2.5년이하(당일)</stp>
        <stp>45523</stp>
        <stp/>
        <tr r="BO58" s="2"/>
        <tr r="BO58" s="2"/>
      </tp>
      <tp>
        <v>4.3280000000000003</v>
        <stp/>
        <stp>P</stp>
        <stp>0</stp>
        <stp>IR</stp>
        <stp>BONDNIC7150113</stp>
        <stp>2.5년이하(당일)</stp>
        <stp>45523</stp>
        <stp/>
        <tr r="BO62" s="2"/>
        <tr r="BO62" s="2"/>
      </tp>
      <tp>
        <v>3.375</v>
        <stp/>
        <stp>P</stp>
        <stp>0</stp>
        <stp>IR</stp>
        <stp>BONDNIC7040112</stp>
        <stp>1.5년이하(당일)</stp>
        <stp>45523</stp>
        <stp/>
        <tr r="BM65" s="2"/>
        <tr r="BM65" s="2"/>
      </tp>
      <tp>
        <v>4.1360000000000001</v>
        <stp/>
        <stp>P</stp>
        <stp>0</stp>
        <stp>IR</stp>
        <stp>BONDNIC7050113</stp>
        <stp>1.5년이하(당일)</stp>
        <stp>45523</stp>
        <stp/>
        <tr r="BM69" s="2"/>
        <tr r="BM69" s="2"/>
      </tp>
      <tp>
        <v>3.375</v>
        <stp/>
        <stp>P</stp>
        <stp>0</stp>
        <stp>IR</stp>
        <stp>BONDNIC7140112</stp>
        <stp>1.5년이하(당일)</stp>
        <stp>45523</stp>
        <stp/>
        <tr r="BM58" s="2"/>
        <tr r="BM58" s="2"/>
      </tp>
      <tp>
        <v>4.1360000000000001</v>
        <stp/>
        <stp>P</stp>
        <stp>0</stp>
        <stp>IR</stp>
        <stp>BONDNIC7150113</stp>
        <stp>1.5년이하(당일)</stp>
        <stp>45523</stp>
        <stp/>
        <tr r="BM62" s="2"/>
        <tr r="BM62" s="2"/>
      </tp>
      <tp>
        <v>3.5550000000000002</v>
        <stp/>
        <stp>P</stp>
        <stp>0</stp>
        <stp>IR</stp>
        <stp>BONDNIC5040112</stp>
        <stp>2.5년이하(당일)</stp>
        <stp>45523</stp>
        <stp/>
        <tr r="BO29" s="2"/>
        <tr r="BO29" s="2"/>
      </tp>
      <tp>
        <v>4.1120000000000001</v>
        <stp/>
        <stp>P</stp>
        <stp>0</stp>
        <stp>IR</stp>
        <stp>BONDNIC5050113</stp>
        <stp>2.5년이하(당일)</stp>
        <stp>45523</stp>
        <stp/>
        <tr r="BO33" s="2"/>
        <tr r="BO33" s="2"/>
      </tp>
      <tp>
        <v>3.4929999999999999</v>
        <stp/>
        <stp>P</stp>
        <stp>0</stp>
        <stp>IR</stp>
        <stp>BONDNIC6040112</stp>
        <stp>1.5년이하(당일)</stp>
        <stp>45523</stp>
        <stp/>
        <tr r="BM35" s="2"/>
        <tr r="BM35" s="2"/>
      </tp>
      <tp>
        <v>5.7839999999999998</v>
        <stp/>
        <stp>P</stp>
        <stp>0</stp>
        <stp>IR</stp>
        <stp>BONDNIC6050113</stp>
        <stp>1.5년이하(당일)</stp>
        <stp>45523</stp>
        <stp/>
        <tr r="BM39" s="2"/>
        <tr r="BM39" s="2"/>
      </tp>
      <tp>
        <v>3.5750000000000002</v>
        <stp/>
        <stp>P</stp>
        <stp>0</stp>
        <stp>IR</stp>
        <stp>BONDNIC8040112</stp>
        <stp>1.5년이하(당일)</stp>
        <stp>45523</stp>
        <stp/>
        <tr r="BM75" s="2"/>
        <tr r="BM75" s="2"/>
      </tp>
      <tp>
        <v>4.5259999999999998</v>
        <stp/>
        <stp>P</stp>
        <stp>0</stp>
        <stp>IR</stp>
        <stp>BONDNIC8050113</stp>
        <stp>1.5년이하(당일)</stp>
        <stp>45523</stp>
        <stp/>
        <tr r="BM79" s="2"/>
        <tr r="BM79" s="2"/>
      </tp>
      <tp>
        <v>3.5720000000000001</v>
        <stp/>
        <stp>P</stp>
        <stp>0</stp>
        <stp>IR</stp>
        <stp>BONDNIC8040112</stp>
        <stp>2.5년이하(당일)</stp>
        <stp>45523</stp>
        <stp/>
        <tr r="BO75" s="2"/>
        <tr r="BO75" s="2"/>
      </tp>
      <tp>
        <v>4.758</v>
        <stp/>
        <stp>P</stp>
        <stp>0</stp>
        <stp>IR</stp>
        <stp>BONDNIC8050113</stp>
        <stp>2.5년이하(당일)</stp>
        <stp>45523</stp>
        <stp/>
        <tr r="BO79" s="2"/>
        <tr r="BO79" s="2"/>
      </tp>
      <tp>
        <v>3.06</v>
        <stp/>
        <stp>P</stp>
        <stp>0</stp>
        <stp>IR</stp>
        <stp>BONDFNP1010000</stp>
        <stp>1.5년이하(당일)</stp>
        <stp>45523</stp>
        <stp/>
        <tr r="CC9" s="2"/>
        <tr r="CC9" s="2"/>
      </tp>
      <tp>
        <v>3.1219999999999999</v>
        <stp/>
        <stp>P</stp>
        <stp>0</stp>
        <stp>IR</stp>
        <stp>BONDFNP2010000</stp>
        <stp>2.5년이하(당일)</stp>
        <stp>45523</stp>
        <stp/>
        <tr r="CE13" s="2"/>
        <tr r="CE13" s="2"/>
      </tp>
      <tp>
        <v>3.415</v>
        <stp/>
        <stp>P</stp>
        <stp>0</stp>
        <stp>IR</stp>
        <stp>BONDKIS3043122</stp>
        <stp>2.5년이하(당일)</stp>
        <stp>45523</stp>
        <stp/>
        <tr r="AY18" s="2"/>
        <tr r="AY18" s="2"/>
      </tp>
      <tp>
        <v>2.9420000000000002</v>
        <stp/>
        <stp>P</stp>
        <stp>0</stp>
        <stp>IR</stp>
        <stp>BONDFNP1010000</stp>
        <stp>2.5년이하(당일)</stp>
        <stp>45523</stp>
        <stp/>
        <tr r="CE9" s="2"/>
        <tr r="CE9" s="2"/>
      </tp>
      <tp>
        <v>3.149</v>
        <stp/>
        <stp>P</stp>
        <stp>0</stp>
        <stp>IR</stp>
        <stp>BONDFNP2010000</stp>
        <stp>1.5년이하(당일)</stp>
        <stp>45523</stp>
        <stp/>
        <tr r="CC13" s="2"/>
        <tr r="CC13" s="2"/>
      </tp>
      <tp>
        <v>3.4279999999999999</v>
        <stp/>
        <stp>P</stp>
        <stp>0</stp>
        <stp>IR</stp>
        <stp>BONDKIS3043122</stp>
        <stp>1.5년이하(당일)</stp>
        <stp>45523</stp>
        <stp/>
        <tr r="AW18" s="2"/>
        <tr r="AW18" s="2"/>
      </tp>
      <tp>
        <v>3.22</v>
        <stp/>
        <stp>P</stp>
        <stp>0</stp>
        <stp>IR</stp>
        <stp>BONDFNP5010110</stp>
        <stp>1.5년이하(당일)</stp>
        <stp>45523</stp>
        <stp/>
        <tr r="CC23" s="2"/>
        <tr r="CC23" s="2"/>
      </tp>
      <tp>
        <v>3.55</v>
        <stp/>
        <stp>P</stp>
        <stp>0</stp>
        <stp>IR</stp>
        <stp>BONDKIS5043122</stp>
        <stp>1.5년이하(당일)</stp>
        <stp>45523</stp>
        <stp/>
        <tr r="AW29" s="2"/>
        <tr r="AW29" s="2"/>
      </tp>
      <tp>
        <v>4.0860000000000003</v>
        <stp/>
        <stp>P</stp>
        <stp>0</stp>
        <stp>IR</stp>
        <stp>BONDKIS5053133</stp>
        <stp>1.5년이하(당일)</stp>
        <stp>45523</stp>
        <stp/>
        <tr r="AW33" s="2"/>
        <tr r="AW33" s="2"/>
      </tp>
      <tp>
        <v>3.2930000000000001</v>
        <stp/>
        <stp>P</stp>
        <stp>0</stp>
        <stp>IR</stp>
        <stp>BONDFNP7010110</stp>
        <stp>2.5년이하(당일)</stp>
        <stp>45523</stp>
        <stp/>
        <tr r="CE63" s="2"/>
        <tr r="CE63" s="2"/>
      </tp>
      <tp>
        <v>3.306</v>
        <stp/>
        <stp>P</stp>
        <stp>0</stp>
        <stp>IR</stp>
        <stp>BONDFNP7010110</stp>
        <stp>1.5년이하(당일)</stp>
        <stp>45523</stp>
        <stp/>
        <tr r="CC63" s="2"/>
        <tr r="CC63" s="2"/>
      </tp>
      <tp>
        <v>3.1219999999999999</v>
        <stp/>
        <stp>P</stp>
        <stp>0</stp>
        <stp>IR</stp>
        <stp>BONDFNP5010110</stp>
        <stp>2.5년이하(당일)</stp>
        <stp>45523</stp>
        <stp/>
        <tr r="CE23" s="2"/>
        <tr r="CE23" s="2"/>
      </tp>
      <tp>
        <v>3.5739999999999998</v>
        <stp/>
        <stp>P</stp>
        <stp>0</stp>
        <stp>IR</stp>
        <stp>BONDKIS5043122</stp>
        <stp>2.5년이하(당일)</stp>
        <stp>45523</stp>
        <stp/>
        <tr r="AY29" s="2"/>
        <tr r="AY29" s="2"/>
      </tp>
      <tp>
        <v>4.1139999999999999</v>
        <stp/>
        <stp>P</stp>
        <stp>0</stp>
        <stp>IR</stp>
        <stp>BONDKIS5053133</stp>
        <stp>2.5년이하(당일)</stp>
        <stp>45523</stp>
        <stp/>
        <tr r="AY33" s="2"/>
        <tr r="AY33" s="2"/>
      </tp>
      <tp>
        <v>3.448</v>
        <stp/>
        <stp>P</stp>
        <stp>0</stp>
        <stp>IR</stp>
        <stp>BONDFNP8010110</stp>
        <stp>1.5년이하(당일)</stp>
        <stp>45523</stp>
        <stp/>
        <tr r="CC73" s="2"/>
        <tr r="CC73" s="2"/>
      </tp>
      <tp>
        <v>3.448</v>
        <stp/>
        <stp>P</stp>
        <stp>0</stp>
        <stp>IR</stp>
        <stp>BONDFNP8010110</stp>
        <stp>2.5년이하(당일)</stp>
        <stp>45523</stp>
        <stp/>
        <tr r="CE73" s="2"/>
        <tr r="CE73" s="2"/>
      </tp>
      <tp>
        <v>3.2909999999999999</v>
        <stp/>
        <stp>P</stp>
        <stp>0</stp>
        <stp>IR</stp>
        <stp>BONDKIS3060000</stp>
        <stp>2.5년이하(당일)</stp>
        <stp>45523</stp>
        <stp/>
        <tr r="AY83" s="2"/>
        <tr r="AY83" s="2"/>
      </tp>
      <tp>
        <v>3.294</v>
        <stp/>
        <stp>P</stp>
        <stp>0</stp>
        <stp>IR</stp>
        <stp>BONDKIS3060000</stp>
        <stp>1.5년이하(당일)</stp>
        <stp>45523</stp>
        <stp/>
        <tr r="AW83" s="2"/>
        <tr r="AW83" s="2"/>
      </tp>
      <tp>
        <v>3.4390000000000001</v>
        <stp/>
        <stp>P</stp>
        <stp>0</stp>
        <stp>IR</stp>
        <stp>BONDFNP9999118</stp>
        <stp>1.5년이하(당일)</stp>
        <stp>45523</stp>
        <stp/>
        <tr r="CC43" s="2"/>
        <tr r="CC43" s="2"/>
      </tp>
      <tp>
        <v>3.371</v>
        <stp/>
        <stp>P</stp>
        <stp>0</stp>
        <stp>IR</stp>
        <stp>BONDFNP9999118</stp>
        <stp>2.5년이하(당일)</stp>
        <stp>45523</stp>
        <stp/>
        <tr r="CE43" s="2"/>
        <tr r="CE43" s="2"/>
      </tp>
      <tp>
        <v>4.8719999999999999</v>
        <stp/>
        <stp>P</stp>
        <stp>0</stp>
        <stp>IR</stp>
        <stp>BONDKBPF241</stp>
        <stp>6월이하(당일)</stp>
        <stp>45523</stp>
        <stp/>
        <tr r="AD70" s="2"/>
        <tr r="AD70" s="2"/>
      </tp>
      <tp>
        <v>6.1689999999999996</v>
        <stp/>
        <stp>P</stp>
        <stp>0</stp>
        <stp>IR</stp>
        <stp>BONDKBPF243</stp>
        <stp>6월이하(당일)</stp>
        <stp>45523</stp>
        <stp/>
        <tr r="AD72" s="2"/>
        <tr r="AD72" s="2"/>
      </tp>
      <tp>
        <v>5.367</v>
        <stp/>
        <stp>P</stp>
        <stp>0</stp>
        <stp>IR</stp>
        <stp>BONDKBPF242</stp>
        <stp>6월이하(당일)</stp>
        <stp>45523</stp>
        <stp/>
        <tr r="AD71" s="2"/>
        <tr r="AD71" s="2"/>
      </tp>
      <tp>
        <v>3.41</v>
        <stp/>
        <stp>P</stp>
        <stp>0</stp>
        <stp>IR</stp>
        <stp>BONDKBPF221</stp>
        <stp>6월이하(당일)</stp>
        <stp>45523</stp>
        <stp/>
        <tr r="AD64" s="2"/>
        <tr r="AD64" s="2"/>
      </tp>
      <tp>
        <v>4.9109999999999996</v>
        <stp/>
        <stp>P</stp>
        <stp>0</stp>
        <stp>IR</stp>
        <stp>BONDKBPE220</stp>
        <stp>6월이하(당일)</stp>
        <stp>45523</stp>
        <stp/>
        <tr r="AD38" s="2"/>
        <tr r="AD38" s="2"/>
      </tp>
      <tp>
        <v>3.45</v>
        <stp/>
        <stp>P</stp>
        <stp>0</stp>
        <stp>IR</stp>
        <stp>BONDKBPF223</stp>
        <stp>6월이하(당일)</stp>
        <stp>45523</stp>
        <stp/>
        <tr r="AD66" s="2"/>
        <tr r="AD66" s="2"/>
      </tp>
      <tp>
        <v>3.43</v>
        <stp/>
        <stp>P</stp>
        <stp>0</stp>
        <stp>IR</stp>
        <stp>BONDKBPF222</stp>
        <stp>6월이하(당일)</stp>
        <stp>45523</stp>
        <stp/>
        <tr r="AD65" s="2"/>
        <tr r="AD65" s="2"/>
      </tp>
      <tp>
        <v>3.5670000000000002</v>
        <stp/>
        <stp>P</stp>
        <stp>0</stp>
        <stp>IR</stp>
        <stp>BONDKBPF231</stp>
        <stp>6월이하(당일)</stp>
        <stp>45523</stp>
        <stp/>
        <tr r="AD67" s="2"/>
        <tr r="AD67" s="2"/>
      </tp>
      <tp>
        <v>5.5419999999999998</v>
        <stp/>
        <stp>P</stp>
        <stp>0</stp>
        <stp>IR</stp>
        <stp>BONDKBPE230</stp>
        <stp>6월이하(당일)</stp>
        <stp>45523</stp>
        <stp/>
        <tr r="AD39" s="2"/>
        <tr r="AD39" s="2"/>
      </tp>
      <tp>
        <v>3.9580000000000002</v>
        <stp/>
        <stp>P</stp>
        <stp>0</stp>
        <stp>IR</stp>
        <stp>BONDKBPF233</stp>
        <stp>6월이하(당일)</stp>
        <stp>45523</stp>
        <stp/>
        <tr r="AD69" s="2"/>
        <tr r="AD69" s="2"/>
      </tp>
      <tp>
        <v>3.7280000000000002</v>
        <stp/>
        <stp>P</stp>
        <stp>0</stp>
        <stp>IR</stp>
        <stp>BONDKBPF232</stp>
        <stp>6월이하(당일)</stp>
        <stp>45523</stp>
        <stp/>
        <tr r="AD68" s="2"/>
        <tr r="AD68" s="2"/>
      </tp>
      <tp>
        <v>3.4209999999999998</v>
        <stp/>
        <stp>P</stp>
        <stp>0</stp>
        <stp>IR</stp>
        <stp>BONDKBPE204</stp>
        <stp>6월이하(당일)</stp>
        <stp>45523</stp>
        <stp/>
        <tr r="AD34" s="2"/>
        <tr r="AD34" s="2"/>
      </tp>
      <tp>
        <v>3.0379999999999998</v>
        <stp/>
        <stp>P</stp>
        <stp>0</stp>
        <stp>IR</stp>
        <stp>BONDKBPA200</stp>
        <stp>6월이하(당일)</stp>
        <stp>45523</stp>
        <stp/>
        <tr r="AD11" s="2"/>
        <tr r="AD11" s="2"/>
      </tp>
      <tp>
        <v>3.3380000000000001</v>
        <stp/>
        <stp>P</stp>
        <stp>0</stp>
        <stp>IR</stp>
        <stp>BONDKBPB200</stp>
        <stp>6월이하(당일)</stp>
        <stp>45523</stp>
        <stp/>
        <tr r="AD14" s="2"/>
        <tr r="AD14" s="2"/>
      </tp>
      <tp>
        <v>3.4769999999999999</v>
        <stp/>
        <stp>P</stp>
        <stp>0</stp>
        <stp>IR</stp>
        <stp>BONDKBPE200</stp>
        <stp>6월이하(당일)</stp>
        <stp>45523</stp>
        <stp/>
        <tr r="AD36" s="2"/>
        <tr r="AD36" s="2"/>
      </tp>
      <tp>
        <v>3.4390000000000001</v>
        <stp/>
        <stp>P</stp>
        <stp>0</stp>
        <stp>IR</stp>
        <stp>BONDKBPE202</stp>
        <stp>6월이하(당일)</stp>
        <stp>45523</stp>
        <stp/>
        <tr r="AD35" s="2"/>
        <tr r="AD35" s="2"/>
      </tp>
      <tp>
        <v>4.3090000000000002</v>
        <stp/>
        <stp>P</stp>
        <stp>0</stp>
        <stp>IR</stp>
        <stp>BONDKBPE210</stp>
        <stp>6월이하(당일)</stp>
        <stp>45523</stp>
        <stp/>
        <tr r="AD37" s="2"/>
        <tr r="AD37" s="2"/>
      </tp>
      <tp>
        <v>3.3919999999999999</v>
        <stp/>
        <stp>P</stp>
        <stp>0</stp>
        <stp>IR</stp>
        <stp>BONDKBPF212</stp>
        <stp>6월이하(당일)</stp>
        <stp>45523</stp>
        <stp/>
        <tr r="AD63" s="2"/>
        <tr r="AD63" s="2"/>
      </tp>
      <tp>
        <v>3.5049999999999999</v>
        <stp/>
        <stp>P</stp>
        <stp>0</stp>
        <stp>IR</stp>
        <stp>BONDNIC3040113</stp>
        <stp>2.5년이하(당일)</stp>
        <stp>45523</stp>
        <stp/>
        <tr r="BO19" s="2"/>
        <tr r="BO19" s="2"/>
      </tp>
      <tp>
        <v>3.4940000000000002</v>
        <stp/>
        <stp>P</stp>
        <stp>0</stp>
        <stp>IR</stp>
        <stp>BONDNIC3040113</stp>
        <stp>1.5년이하(당일)</stp>
        <stp>45523</stp>
        <stp/>
        <tr r="BM19" s="2"/>
        <tr r="BM19" s="2"/>
      </tp>
      <tp>
        <v>3.81</v>
        <stp/>
        <stp>P</stp>
        <stp>0</stp>
        <stp>IR</stp>
        <stp>BONDNIC5040113</stp>
        <stp>1.5년이하(당일)</stp>
        <stp>45523</stp>
        <stp/>
        <tr r="BM30" s="2"/>
        <tr r="BM30" s="2"/>
      </tp>
      <tp>
        <v>4.0209999999999999</v>
        <stp/>
        <stp>P</stp>
        <stp>0</stp>
        <stp>IR</stp>
        <stp>BONDNIC5050112</stp>
        <stp>1.5년이하(당일)</stp>
        <stp>45523</stp>
        <stp/>
        <tr r="BM32" s="2"/>
        <tr r="BM32" s="2"/>
      </tp>
      <tp>
        <v>3.5550000000000002</v>
        <stp/>
        <stp>P</stp>
        <stp>0</stp>
        <stp>IR</stp>
        <stp>BONDNIC6040113</stp>
        <stp>2.5년이하(당일)</stp>
        <stp>45523</stp>
        <stp/>
        <tr r="BO36" s="2"/>
        <tr r="BO36" s="2"/>
      </tp>
      <tp>
        <v>5.3010000000000002</v>
        <stp/>
        <stp>P</stp>
        <stp>0</stp>
        <stp>IR</stp>
        <stp>BONDNIC6050112</stp>
        <stp>2.5년이하(당일)</stp>
        <stp>45523</stp>
        <stp/>
        <tr r="BO38" s="2"/>
        <tr r="BO38" s="2"/>
      </tp>
      <tp>
        <v>7.3410000000000002</v>
        <stp/>
        <stp>P</stp>
        <stp>0</stp>
        <stp>IR</stp>
        <stp>BONDNIC6060111</stp>
        <stp>2.5년이하(당일)</stp>
        <stp>45523</stp>
        <stp/>
        <tr r="BO40" s="2"/>
        <tr r="BO40" s="2"/>
      </tp>
      <tp>
        <v>3.4</v>
        <stp/>
        <stp>P</stp>
        <stp>0</stp>
        <stp>IR</stp>
        <stp>BONDNIC7040113</stp>
        <stp>2.5년이하(당일)</stp>
        <stp>45523</stp>
        <stp/>
        <tr r="BO66" s="2"/>
        <tr r="BO66" s="2"/>
      </tp>
      <tp>
        <v>3.9420000000000002</v>
        <stp/>
        <stp>P</stp>
        <stp>0</stp>
        <stp>IR</stp>
        <stp>BONDNIC7050112</stp>
        <stp>2.5년이하(당일)</stp>
        <stp>45523</stp>
        <stp/>
        <tr r="BO68" s="2"/>
        <tr r="BO68" s="2"/>
      </tp>
      <tp>
        <v>6.7110000000000003</v>
        <stp/>
        <stp>P</stp>
        <stp>0</stp>
        <stp>IR</stp>
        <stp>BONDNIC7060111</stp>
        <stp>2.5년이하(당일)</stp>
        <stp>45523</stp>
        <stp/>
        <tr r="BO70" s="2"/>
        <tr r="BO70" s="2"/>
      </tp>
      <tp>
        <v>3.4</v>
        <stp/>
        <stp>P</stp>
        <stp>0</stp>
        <stp>IR</stp>
        <stp>BONDNIC7140113</stp>
        <stp>2.5년이하(당일)</stp>
        <stp>45523</stp>
        <stp/>
        <tr r="BO59" s="2"/>
        <tr r="BO59" s="2"/>
      </tp>
      <tp>
        <v>3.9420000000000002</v>
        <stp/>
        <stp>P</stp>
        <stp>0</stp>
        <stp>IR</stp>
        <stp>BONDNIC7150112</stp>
        <stp>2.5년이하(당일)</stp>
        <stp>45523</stp>
        <stp/>
        <tr r="BO61" s="2"/>
        <tr r="BO61" s="2"/>
      </tp>
      <tp>
        <v>3.3969999999999998</v>
        <stp/>
        <stp>P</stp>
        <stp>0</stp>
        <stp>IR</stp>
        <stp>BONDNIC7040113</stp>
        <stp>1.5년이하(당일)</stp>
        <stp>45523</stp>
        <stp/>
        <tr r="BM66" s="2"/>
        <tr r="BM66" s="2"/>
      </tp>
      <tp>
        <v>3.8439999999999999</v>
        <stp/>
        <stp>P</stp>
        <stp>0</stp>
        <stp>IR</stp>
        <stp>BONDNIC7050112</stp>
        <stp>1.5년이하(당일)</stp>
        <stp>45523</stp>
        <stp/>
        <tr r="BM68" s="2"/>
        <tr r="BM68" s="2"/>
      </tp>
      <tp>
        <v>5.7859999999999996</v>
        <stp/>
        <stp>P</stp>
        <stp>0</stp>
        <stp>IR</stp>
        <stp>BONDNIC7060111</stp>
        <stp>1.5년이하(당일)</stp>
        <stp>45523</stp>
        <stp/>
        <tr r="BM70" s="2"/>
        <tr r="BM70" s="2"/>
      </tp>
      <tp>
        <v>3.3969999999999998</v>
        <stp/>
        <stp>P</stp>
        <stp>0</stp>
        <stp>IR</stp>
        <stp>BONDNIC7140113</stp>
        <stp>1.5년이하(당일)</stp>
        <stp>45523</stp>
        <stp/>
        <tr r="BM59" s="2"/>
        <tr r="BM59" s="2"/>
      </tp>
      <tp>
        <v>3.8439999999999999</v>
        <stp/>
        <stp>P</stp>
        <stp>0</stp>
        <stp>IR</stp>
        <stp>BONDNIC7150112</stp>
        <stp>1.5년이하(당일)</stp>
        <stp>45523</stp>
        <stp/>
        <tr r="BM61" s="2"/>
        <tr r="BM61" s="2"/>
      </tp>
      <tp>
        <v>3.7970000000000002</v>
        <stp/>
        <stp>P</stp>
        <stp>0</stp>
        <stp>IR</stp>
        <stp>BONDNIC5040113</stp>
        <stp>2.5년이하(당일)</stp>
        <stp>45523</stp>
        <stp/>
        <tr r="BO30" s="2"/>
        <tr r="BO30" s="2"/>
      </tp>
      <tp>
        <v>4.0220000000000002</v>
        <stp/>
        <stp>P</stp>
        <stp>0</stp>
        <stp>IR</stp>
        <stp>BONDNIC5050112</stp>
        <stp>2.5년이하(당일)</stp>
        <stp>45523</stp>
        <stp/>
        <tr r="BO32" s="2"/>
        <tr r="BO32" s="2"/>
      </tp>
      <tp>
        <v>3.5649999999999999</v>
        <stp/>
        <stp>P</stp>
        <stp>0</stp>
        <stp>IR</stp>
        <stp>BONDNIC6040113</stp>
        <stp>1.5년이하(당일)</stp>
        <stp>45523</stp>
        <stp/>
        <tr r="BM36" s="2"/>
        <tr r="BM36" s="2"/>
      </tp>
      <tp>
        <v>5.2439999999999998</v>
        <stp/>
        <stp>P</stp>
        <stp>0</stp>
        <stp>IR</stp>
        <stp>BONDNIC6050112</stp>
        <stp>1.5년이하(당일)</stp>
        <stp>45523</stp>
        <stp/>
        <tr r="BM38" s="2"/>
        <tr r="BM38" s="2"/>
      </tp>
      <tp>
        <v>6.9160000000000004</v>
        <stp/>
        <stp>P</stp>
        <stp>0</stp>
        <stp>IR</stp>
        <stp>BONDNIC6060111</stp>
        <stp>1.5년이하(당일)</stp>
        <stp>45523</stp>
        <stp/>
        <tr r="BM40" s="2"/>
        <tr r="BM40" s="2"/>
      </tp>
      <tp>
        <v>3.617</v>
        <stp/>
        <stp>P</stp>
        <stp>0</stp>
        <stp>IR</stp>
        <stp>BONDNIC8040113</stp>
        <stp>1.5년이하(당일)</stp>
        <stp>45523</stp>
        <stp/>
        <tr r="BM76" s="2"/>
        <tr r="BM76" s="2"/>
      </tp>
      <tp>
        <v>4.1840000000000002</v>
        <stp/>
        <stp>P</stp>
        <stp>0</stp>
        <stp>IR</stp>
        <stp>BONDNIC8050112</stp>
        <stp>1.5년이하(당일)</stp>
        <stp>45523</stp>
        <stp/>
        <tr r="BM78" s="2"/>
        <tr r="BM78" s="2"/>
      </tp>
      <tp>
        <v>6.3159999999999998</v>
        <stp/>
        <stp>P</stp>
        <stp>0</stp>
        <stp>IR</stp>
        <stp>BONDNIC8060111</stp>
        <stp>1.5년이하(당일)</stp>
        <stp>45523</stp>
        <stp/>
        <tr r="BM80" s="2"/>
        <tr r="BM80" s="2"/>
      </tp>
      <tp>
        <v>3.66</v>
        <stp/>
        <stp>P</stp>
        <stp>0</stp>
        <stp>IR</stp>
        <stp>BONDNIC8040113</stp>
        <stp>2.5년이하(당일)</stp>
        <stp>45523</stp>
        <stp/>
        <tr r="BO76" s="2"/>
        <tr r="BO76" s="2"/>
      </tp>
      <tp>
        <v>4.3220000000000001</v>
        <stp/>
        <stp>P</stp>
        <stp>0</stp>
        <stp>IR</stp>
        <stp>BONDNIC8050112</stp>
        <stp>2.5년이하(당일)</stp>
        <stp>45523</stp>
        <stp/>
        <tr r="BO78" s="2"/>
        <tr r="BO78" s="2"/>
      </tp>
      <tp>
        <v>7.2910000000000004</v>
        <stp/>
        <stp>P</stp>
        <stp>0</stp>
        <stp>IR</stp>
        <stp>BONDNIC8060111</stp>
        <stp>2.5년이하(당일)</stp>
        <stp>45523</stp>
        <stp/>
        <tr r="BO80" s="2"/>
        <tr r="BO80" s="2"/>
      </tp>
      <tp>
        <v>3.5710000000000002</v>
        <stp/>
        <stp>P</stp>
        <stp>0</stp>
        <stp>IR</stp>
        <stp>BONDKIS3043123</stp>
        <stp>2.5년이하(당일)</stp>
        <stp>45523</stp>
        <stp/>
        <tr r="AY19" s="2"/>
        <tr r="AY19" s="2"/>
      </tp>
      <tp>
        <v>3.601</v>
        <stp/>
        <stp>P</stp>
        <stp>0</stp>
        <stp>IR</stp>
        <stp>BONDKIS3043123</stp>
        <stp>1.5년이하(당일)</stp>
        <stp>45523</stp>
        <stp/>
        <tr r="AW19" s="2"/>
        <tr r="AW19" s="2"/>
      </tp>
      <tp>
        <v>6.9859999999999998</v>
        <stp/>
        <stp>P</stp>
        <stp>0</stp>
        <stp>IR</stp>
        <stp>BONDFNP6010211</stp>
        <stp>1.5년이하(당일)</stp>
        <stp>45523</stp>
        <stp/>
        <tr r="CC40" s="2"/>
        <tr r="CC40" s="2"/>
      </tp>
      <tp>
        <v>3.04</v>
        <stp/>
        <stp>P</stp>
        <stp>0</stp>
        <stp>IR</stp>
        <stp>BONDFNP4000000</stp>
        <stp>1.5년이하(당일)</stp>
        <stp>45523</stp>
        <stp/>
        <tr r="CC20" s="2"/>
        <tr r="CC20" s="2"/>
      </tp>
      <tp>
        <v>4.4690000000000003</v>
        <stp/>
        <stp>P</stp>
        <stp>0</stp>
        <stp>IR</stp>
        <stp>BONDFNP6010131</stp>
        <stp>2.5년이하(당일)</stp>
        <stp>45523</stp>
        <stp/>
        <tr r="CE37" s="2"/>
        <tr r="CE37" s="2"/>
      </tp>
      <tp>
        <v>3.371</v>
        <stp/>
        <stp>P</stp>
        <stp>0</stp>
        <stp>IR</stp>
        <stp>BONDFNP6010121</stp>
        <stp>2.5년이하(당일)</stp>
        <stp>45523</stp>
        <stp/>
        <tr r="CE34" s="2"/>
        <tr r="CE34" s="2"/>
      </tp>
      <tp>
        <v>3.8079999999999998</v>
        <stp/>
        <stp>P</stp>
        <stp>0</stp>
        <stp>IR</stp>
        <stp>BONDKIS5043123</stp>
        <stp>1.5년이하(당일)</stp>
        <stp>45523</stp>
        <stp/>
        <tr r="AW30" s="2"/>
        <tr r="AW30" s="2"/>
      </tp>
      <tp>
        <v>4.0030000000000001</v>
        <stp/>
        <stp>P</stp>
        <stp>0</stp>
        <stp>IR</stp>
        <stp>BONDKIS5053132</stp>
        <stp>1.5년이하(당일)</stp>
        <stp>45523</stp>
        <stp/>
        <tr r="AW32" s="2"/>
        <tr r="AW32" s="2"/>
      </tp>
      <tp>
        <v>5.8129999999999997</v>
        <stp/>
        <stp>P</stp>
        <stp>0</stp>
        <stp>IR</stp>
        <stp>BONDFNP7010211</stp>
        <stp>1.5년이하(당일)</stp>
        <stp>45523</stp>
        <stp/>
        <tr r="CC70" s="2"/>
        <tr r="CC70" s="2"/>
      </tp>
      <tp>
        <v>3.7829999999999999</v>
        <stp/>
        <stp>P</stp>
        <stp>0</stp>
        <stp>IR</stp>
        <stp>BONDFNP7010131</stp>
        <stp>2.5년이하(당일)</stp>
        <stp>45523</stp>
        <stp/>
        <tr r="CE67" s="2"/>
        <tr r="CE67" s="2"/>
      </tp>
      <tp>
        <v>3.331</v>
        <stp/>
        <stp>P</stp>
        <stp>0</stp>
        <stp>IR</stp>
        <stp>BONDFNP7010121</stp>
        <stp>2.5년이하(당일)</stp>
        <stp>45523</stp>
        <stp/>
        <tr r="CE64" s="2"/>
        <tr r="CE64" s="2"/>
      </tp>
      <tp>
        <v>6.7489999999999997</v>
        <stp/>
        <stp>P</stp>
        <stp>0</stp>
        <stp>IR</stp>
        <stp>BONDFNP7010211</stp>
        <stp>2.5년이하(당일)</stp>
        <stp>45523</stp>
        <stp/>
        <tr r="CE70" s="2"/>
        <tr r="CE70" s="2"/>
      </tp>
      <tp>
        <v>3.649</v>
        <stp/>
        <stp>P</stp>
        <stp>0</stp>
        <stp>IR</stp>
        <stp>BONDFNP7010131</stp>
        <stp>1.5년이하(당일)</stp>
        <stp>45523</stp>
        <stp/>
        <tr r="CC67" s="2"/>
        <tr r="CC67" s="2"/>
      </tp>
      <tp>
        <v>3.319</v>
        <stp/>
        <stp>P</stp>
        <stp>0</stp>
        <stp>IR</stp>
        <stp>BONDFNP7010121</stp>
        <stp>1.5년이하(당일)</stp>
        <stp>45523</stp>
        <stp/>
        <tr r="CC64" s="2"/>
        <tr r="CC64" s="2"/>
      </tp>
      <tp>
        <v>7.3529999999999998</v>
        <stp/>
        <stp>P</stp>
        <stp>0</stp>
        <stp>IR</stp>
        <stp>BONDFNP6010211</stp>
        <stp>2.5년이하(당일)</stp>
        <stp>45523</stp>
        <stp/>
        <tr r="CE40" s="2"/>
        <tr r="CE40" s="2"/>
      </tp>
      <tp>
        <v>2.9950000000000001</v>
        <stp/>
        <stp>P</stp>
        <stp>0</stp>
        <stp>IR</stp>
        <stp>BONDFNP4000000</stp>
        <stp>2.5년이하(당일)</stp>
        <stp>45523</stp>
        <stp/>
        <tr r="CE20" s="2"/>
        <tr r="CE20" s="2"/>
      </tp>
      <tp>
        <v>4.4130000000000003</v>
        <stp/>
        <stp>P</stp>
        <stp>0</stp>
        <stp>IR</stp>
        <stp>BONDFNP6010131</stp>
        <stp>1.5년이하(당일)</stp>
        <stp>45523</stp>
        <stp/>
        <tr r="CC37" s="2"/>
        <tr r="CC37" s="2"/>
      </tp>
      <tp>
        <v>3.4390000000000001</v>
        <stp/>
        <stp>P</stp>
        <stp>0</stp>
        <stp>IR</stp>
        <stp>BONDFNP6010121</stp>
        <stp>1.5년이하(당일)</stp>
        <stp>45523</stp>
        <stp/>
        <tr r="CC34" s="2"/>
        <tr r="CC34" s="2"/>
      </tp>
      <tp>
        <v>3.8119999999999998</v>
        <stp/>
        <stp>P</stp>
        <stp>0</stp>
        <stp>IR</stp>
        <stp>BONDKIS5043123</stp>
        <stp>2.5년이하(당일)</stp>
        <stp>45523</stp>
        <stp/>
        <tr r="AY30" s="2"/>
        <tr r="AY30" s="2"/>
      </tp>
      <tp>
        <v>4.0179999999999998</v>
        <stp/>
        <stp>P</stp>
        <stp>0</stp>
        <stp>IR</stp>
        <stp>BONDKIS5053132</stp>
        <stp>2.5년이하(당일)</stp>
        <stp>45523</stp>
        <stp/>
        <tr r="AY32" s="2"/>
        <tr r="AY32" s="2"/>
      </tp>
      <tp>
        <v>7.2350000000000003</v>
        <stp/>
        <stp>P</stp>
        <stp>0</stp>
        <stp>IR</stp>
        <stp>BONDFNP8110211</stp>
        <stp>2.5년이하(당일)</stp>
        <stp>45523</stp>
        <stp/>
        <tr r="CE80" s="2"/>
        <tr r="CE80" s="2"/>
      </tp>
      <tp>
        <v>3.952</v>
        <stp/>
        <stp>P</stp>
        <stp>0</stp>
        <stp>IR</stp>
        <stp>BONDFNP8010131</stp>
        <stp>1.5년이하(당일)</stp>
        <stp>45523</stp>
        <stp/>
        <tr r="CC77" s="2"/>
        <tr r="CC77" s="2"/>
      </tp>
      <tp>
        <v>3.4950000000000001</v>
        <stp/>
        <stp>P</stp>
        <stp>0</stp>
        <stp>IR</stp>
        <stp>BONDFNP8010121</stp>
        <stp>1.5년이하(당일)</stp>
        <stp>45523</stp>
        <stp/>
        <tr r="CC74" s="2"/>
        <tr r="CC74" s="2"/>
      </tp>
      <tp>
        <v>6.2809999999999997</v>
        <stp/>
        <stp>P</stp>
        <stp>0</stp>
        <stp>IR</stp>
        <stp>BONDFNP8110211</stp>
        <stp>1.5년이하(당일)</stp>
        <stp>45523</stp>
        <stp/>
        <tr r="CC80" s="2"/>
        <tr r="CC80" s="2"/>
      </tp>
      <tp>
        <v>4.12</v>
        <stp/>
        <stp>P</stp>
        <stp>0</stp>
        <stp>IR</stp>
        <stp>BONDFNP8010131</stp>
        <stp>2.5년이하(당일)</stp>
        <stp>45523</stp>
        <stp/>
        <tr r="CE77" s="2"/>
        <tr r="CE77" s="2"/>
      </tp>
      <tp>
        <v>3.508</v>
        <stp/>
        <stp>P</stp>
        <stp>0</stp>
        <stp>IR</stp>
        <stp>BONDFNP8010121</stp>
        <stp>2.5년이하(당일)</stp>
        <stp>45523</stp>
        <stp/>
        <tr r="CE74" s="2"/>
        <tr r="CE74" s="2"/>
      </tp>
      <tp>
        <v>3.4489999999999998</v>
        <stp/>
        <stp>P</stp>
        <stp>0</stp>
        <stp>IR</stp>
        <stp>BONDKBPE144</stp>
        <stp>6월이하(당일)</stp>
        <stp>45523</stp>
        <stp/>
        <tr r="AD28" s="2"/>
        <tr r="AD28" s="2"/>
      </tp>
      <tp>
        <v>4.1719999999999997</v>
        <stp/>
        <stp>P</stp>
        <stp>0</stp>
        <stp>IR</stp>
        <stp>BONDKBPF144</stp>
        <stp>6월이하(당일)</stp>
        <stp>45523</stp>
        <stp/>
        <tr r="AD55" s="2"/>
        <tr r="AD55" s="2"/>
      </tp>
      <tp>
        <v>3.6230000000000002</v>
        <stp/>
        <stp>P</stp>
        <stp>0</stp>
        <stp>IR</stp>
        <stp>BONDKBPE140</stp>
        <stp>6월이하(당일)</stp>
        <stp>45523</stp>
        <stp/>
        <tr r="AD29" s="2"/>
        <tr r="AD29" s="2"/>
      </tp>
      <tp>
        <v>3.8519999999999999</v>
        <stp/>
        <stp>P</stp>
        <stp>0</stp>
        <stp>IR</stp>
        <stp>BONDKBPE142</stp>
        <stp>6월이하(당일)</stp>
        <stp>45523</stp>
        <stp/>
        <tr r="AD30" s="2"/>
        <tr r="AD30" s="2"/>
      </tp>
      <tp>
        <v>3.9319999999999999</v>
        <stp/>
        <stp>P</stp>
        <stp>0</stp>
        <stp>IR</stp>
        <stp>BONDKBPE150</stp>
        <stp>6월이하(당일)</stp>
        <stp>45523</stp>
        <stp/>
        <tr r="AD31" s="2"/>
        <tr r="AD31" s="2"/>
      </tp>
      <tp>
        <v>3.4</v>
        <stp/>
        <stp>P</stp>
        <stp>0</stp>
        <stp>IR</stp>
        <stp>BONDKBPF124</stp>
        <stp>6월이하(당일)</stp>
        <stp>45523</stp>
        <stp/>
        <tr r="AD53" s="2"/>
        <tr r="AD53" s="2"/>
      </tp>
      <tp>
        <v>3.3940000000000001</v>
        <stp/>
        <stp>P</stp>
        <stp>0</stp>
        <stp>IR</stp>
        <stp>BONDKBPE121</stp>
        <stp>6월이하(당일)</stp>
        <stp>45523</stp>
        <stp/>
        <tr r="AD26" s="2"/>
        <tr r="AD26" s="2"/>
      </tp>
      <tp>
        <v>3.3940000000000001</v>
        <stp/>
        <stp>P</stp>
        <stp>0</stp>
        <stp>IR</stp>
        <stp>BONDKBPE120</stp>
        <stp>6월이하(당일)</stp>
        <stp>45523</stp>
        <stp/>
        <tr r="AD25" s="2"/>
        <tr r="AD25" s="2"/>
      </tp>
      <tp>
        <v>3.55</v>
        <stp/>
        <stp>P</stp>
        <stp>0</stp>
        <stp>IR</stp>
        <stp>BONDKBPF134</stp>
        <stp>6월이하(당일)</stp>
        <stp>45523</stp>
        <stp/>
        <tr r="AD54" s="2"/>
        <tr r="AD54" s="2"/>
      </tp>
      <tp>
        <v>3.419</v>
        <stp/>
        <stp>P</stp>
        <stp>0</stp>
        <stp>IR</stp>
        <stp>BONDKBPE130</stp>
        <stp>6월이하(당일)</stp>
        <stp>45523</stp>
        <stp/>
        <tr r="AD27" s="2"/>
        <tr r="AD27" s="2"/>
      </tp>
      <tp>
        <v>3.4039999999999999</v>
        <stp/>
        <stp>P</stp>
        <stp>0</stp>
        <stp>IR</stp>
        <stp>BONDKBPE13C</stp>
        <stp>6월이하(당일)</stp>
        <stp>45523</stp>
        <stp/>
        <tr r="AD22" s="2"/>
        <tr r="AD22" s="2"/>
      </tp>
      <tp>
        <v>3.444</v>
        <stp/>
        <stp>P</stp>
        <stp>0</stp>
        <stp>IR</stp>
        <stp>BONDKBPC401</stp>
        <stp>3월이하(당일)</stp>
        <stp>45523</stp>
        <stp/>
        <tr r="AC17" s="2"/>
        <tr r="AC17" s="2"/>
      </tp>
      <tp>
        <v>3.21</v>
        <stp/>
        <stp>P</stp>
        <stp>0</stp>
        <stp>IR</stp>
        <stp>BONDKBPA100</stp>
        <stp>6월이하(당일)</stp>
        <stp>45523</stp>
        <stp/>
        <tr r="AD9" s="2"/>
        <tr r="AD9" s="2"/>
      </tp>
      <tp t="s">
        <v xml:space="preserve"> </v>
        <stp/>
        <stp>P</stp>
        <stp>0</stp>
        <stp>IR</stp>
        <stp>BONDKBPA400</stp>
        <stp>3월이하(당일)</stp>
        <stp>45523</stp>
        <stp/>
        <tr r="AC12" s="2"/>
        <tr r="AC12" s="2"/>
      </tp>
      <tp>
        <v>3.3380000000000001</v>
        <stp/>
        <stp>P</stp>
        <stp>0</stp>
        <stp>IR</stp>
        <stp>BONDKBPB100</stp>
        <stp>6월이하(당일)</stp>
        <stp>45523</stp>
        <stp/>
        <tr r="AD13" s="2"/>
        <tr r="AD13" s="2"/>
      </tp>
      <tp>
        <v>3.504</v>
        <stp/>
        <stp>P</stp>
        <stp>0</stp>
        <stp>IR</stp>
        <stp>BONDKBPC400</stp>
        <stp>3월이하(당일)</stp>
        <stp>45523</stp>
        <stp/>
        <tr r="AC18" s="2"/>
        <tr r="AC18" s="2"/>
      </tp>
      <tp>
        <v>3.6139999999999999</v>
        <stp/>
        <stp>P</stp>
        <stp>0</stp>
        <stp>IR</stp>
        <stp>BONDKBPC402</stp>
        <stp>3월이하(당일)</stp>
        <stp>45523</stp>
        <stp/>
        <tr r="AC19" s="2"/>
        <tr r="AC19" s="2"/>
      </tp>
      <tp>
        <v>3.4020000000000001</v>
        <stp/>
        <stp>P</stp>
        <stp>0</stp>
        <stp>IR</stp>
        <stp>BONDKBPF114</stp>
        <stp>6월이하(당일)</stp>
        <stp>45523</stp>
        <stp/>
        <tr r="AD52" s="2"/>
        <tr r="AD52" s="2"/>
      </tp>
      <tp>
        <v>3.3940000000000001</v>
        <stp/>
        <stp>P</stp>
        <stp>0</stp>
        <stp>IR</stp>
        <stp>BONDKBPE111</stp>
        <stp>6월이하(당일)</stp>
        <stp>45523</stp>
        <stp/>
        <tr r="AD24" s="2"/>
        <tr r="AD24" s="2"/>
      </tp>
      <tp>
        <v>3.3940000000000001</v>
        <stp/>
        <stp>P</stp>
        <stp>0</stp>
        <stp>IR</stp>
        <stp>BONDKBPE110</stp>
        <stp>6월이하(당일)</stp>
        <stp>45523</stp>
        <stp/>
        <tr r="AD23" s="2"/>
        <tr r="AD23" s="2"/>
      </tp>
      <tp>
        <v>3.9369999999999998</v>
        <stp/>
        <stp>P</stp>
        <stp>0</stp>
        <stp>IR</stp>
        <stp>BONDNIC5050111</stp>
        <stp>1.5년이하(당일)</stp>
        <stp>45523</stp>
        <stp/>
        <tr r="BM31" s="2"/>
        <tr r="BM31" s="2"/>
      </tp>
      <tp>
        <v>4.5149999999999997</v>
        <stp/>
        <stp>P</stp>
        <stp>0</stp>
        <stp>IR</stp>
        <stp>BONDNIC6050111</stp>
        <stp>2.5년이하(당일)</stp>
        <stp>45523</stp>
        <stp/>
        <tr r="BO37" s="2"/>
        <tr r="BO37" s="2"/>
      </tp>
      <tp>
        <v>8.2210000000000001</v>
        <stp/>
        <stp>P</stp>
        <stp>0</stp>
        <stp>IR</stp>
        <stp>BONDNIC6060112</stp>
        <stp>2.5년이하(당일)</stp>
        <stp>45523</stp>
        <stp/>
        <tr r="BO41" s="2"/>
        <tr r="BO41" s="2"/>
      </tp>
      <tp>
        <v>3.7450000000000001</v>
        <stp/>
        <stp>P</stp>
        <stp>0</stp>
        <stp>IR</stp>
        <stp>BONDNIC7050111</stp>
        <stp>2.5년이하(당일)</stp>
        <stp>45523</stp>
        <stp/>
        <tr r="BO67" s="2"/>
        <tr r="BO67" s="2"/>
      </tp>
      <tp>
        <v>7.7510000000000003</v>
        <stp/>
        <stp>P</stp>
        <stp>0</stp>
        <stp>IR</stp>
        <stp>BONDNIC7060112</stp>
        <stp>2.5년이하(당일)</stp>
        <stp>45523</stp>
        <stp/>
        <tr r="BO71" s="2"/>
        <tr r="BO71" s="2"/>
      </tp>
      <tp>
        <v>3.7450000000000001</v>
        <stp/>
        <stp>P</stp>
        <stp>0</stp>
        <stp>IR</stp>
        <stp>BONDNIC7150111</stp>
        <stp>2.5년이하(당일)</stp>
        <stp>45523</stp>
        <stp/>
        <tr r="BO60" s="2"/>
        <tr r="BO60" s="2"/>
      </tp>
      <tp>
        <v>3.6629999999999998</v>
        <stp/>
        <stp>P</stp>
        <stp>0</stp>
        <stp>IR</stp>
        <stp>BONDNIC7050111</stp>
        <stp>1.5년이하(당일)</stp>
        <stp>45523</stp>
        <stp/>
        <tr r="BM67" s="2"/>
        <tr r="BM67" s="2"/>
      </tp>
      <tp>
        <v>6.5960000000000001</v>
        <stp/>
        <stp>P</stp>
        <stp>0</stp>
        <stp>IR</stp>
        <stp>BONDNIC7060112</stp>
        <stp>1.5년이하(당일)</stp>
        <stp>45523</stp>
        <stp/>
        <tr r="BM71" s="2"/>
        <tr r="BM71" s="2"/>
      </tp>
      <tp>
        <v>3.6629999999999998</v>
        <stp/>
        <stp>P</stp>
        <stp>0</stp>
        <stp>IR</stp>
        <stp>BONDNIC7150111</stp>
        <stp>1.5년이하(당일)</stp>
        <stp>45523</stp>
        <stp/>
        <tr r="BM60" s="2"/>
        <tr r="BM60" s="2"/>
      </tp>
      <tp>
        <v>3.9390000000000001</v>
        <stp/>
        <stp>P</stp>
        <stp>0</stp>
        <stp>IR</stp>
        <stp>BONDNIC5050111</stp>
        <stp>2.5년이하(당일)</stp>
        <stp>45523</stp>
        <stp/>
        <tr r="BO31" s="2"/>
        <tr r="BO31" s="2"/>
      </tp>
      <tp>
        <v>4.4260000000000002</v>
        <stp/>
        <stp>P</stp>
        <stp>0</stp>
        <stp>IR</stp>
        <stp>BONDNIC6050111</stp>
        <stp>1.5년이하(당일)</stp>
        <stp>45523</stp>
        <stp/>
        <tr r="BM37" s="2"/>
        <tr r="BM37" s="2"/>
      </tp>
      <tp>
        <v>7.7279999999999998</v>
        <stp/>
        <stp>P</stp>
        <stp>0</stp>
        <stp>IR</stp>
        <stp>BONDNIC6060112</stp>
        <stp>1.5년이하(당일)</stp>
        <stp>45523</stp>
        <stp/>
        <tr r="BM41" s="2"/>
        <tr r="BM41" s="2"/>
      </tp>
      <tp>
        <v>3.9630000000000001</v>
        <stp/>
        <stp>P</stp>
        <stp>0</stp>
        <stp>IR</stp>
        <stp>BONDNIC8050111</stp>
        <stp>1.5년이하(당일)</stp>
        <stp>45523</stp>
        <stp/>
        <tr r="BM77" s="2"/>
        <tr r="BM77" s="2"/>
      </tp>
      <tp>
        <v>7.1760000000000002</v>
        <stp/>
        <stp>P</stp>
        <stp>0</stp>
        <stp>IR</stp>
        <stp>BONDNIC8060112</stp>
        <stp>1.5년이하(당일)</stp>
        <stp>45523</stp>
        <stp/>
        <tr r="BM81" s="2"/>
        <tr r="BM81" s="2"/>
      </tp>
      <tp>
        <v>4.085</v>
        <stp/>
        <stp>P</stp>
        <stp>0</stp>
        <stp>IR</stp>
        <stp>BONDNIC8050111</stp>
        <stp>2.5년이하(당일)</stp>
        <stp>45523</stp>
        <stp/>
        <tr r="BO77" s="2"/>
        <tr r="BO77" s="2"/>
      </tp>
      <tp>
        <v>8.4009999999999998</v>
        <stp/>
        <stp>P</stp>
        <stp>0</stp>
        <stp>IR</stp>
        <stp>BONDNIC8060112</stp>
        <stp>2.5년이하(당일)</stp>
        <stp>45523</stp>
        <stp/>
        <tr r="BO81" s="2"/>
        <tr r="BO81" s="2"/>
      </tp>
      <tp>
        <v>3.1440000000000001</v>
        <stp/>
        <stp>P</stp>
        <stp>0</stp>
        <stp>IR</stp>
        <stp>BONDFNP3030110</stp>
        <stp>2.5년이하(당일)</stp>
        <stp>45523</stp>
        <stp/>
        <tr r="CE16" s="2"/>
        <tr r="CE16" s="2"/>
      </tp>
      <tp>
        <v>3.0640000000000001</v>
        <stp/>
        <stp>P</stp>
        <stp>0</stp>
        <stp>IR</stp>
        <stp>BONDFNP1030000</stp>
        <stp>1.5년이하(당일)</stp>
        <stp>45523</stp>
        <stp/>
        <tr r="CC10" s="2"/>
        <tr r="CC10" s="2"/>
      </tp>
      <tp>
        <v>3.2</v>
        <stp/>
        <stp>P</stp>
        <stp>0</stp>
        <stp>IR</stp>
        <stp>BONDFNP3030110</stp>
        <stp>1.5년이하(당일)</stp>
        <stp>45523</stp>
        <stp/>
        <tr r="CC16" s="2"/>
        <tr r="CC16" s="2"/>
      </tp>
      <tp>
        <v>3.01</v>
        <stp/>
        <stp>P</stp>
        <stp>0</stp>
        <stp>IR</stp>
        <stp>BONDFNP1030000</stp>
        <stp>2.5년이하(당일)</stp>
        <stp>45523</stp>
        <stp/>
        <tr r="CE10" s="2"/>
        <tr r="CE10" s="2"/>
      </tp>
      <tp>
        <v>3.2480000000000002</v>
        <stp/>
        <stp>P</stp>
        <stp>0</stp>
        <stp>IR</stp>
        <stp>BONDFNP5030110</stp>
        <stp>1.5년이하(당일)</stp>
        <stp>45523</stp>
        <stp/>
        <tr r="CC27" s="2"/>
        <tr r="CC27" s="2"/>
      </tp>
      <tp>
        <v>7.7690000000000001</v>
        <stp/>
        <stp>P</stp>
        <stp>0</stp>
        <stp>IR</stp>
        <stp>BONDFNP6010212</stp>
        <stp>1.5년이하(당일)</stp>
        <stp>45523</stp>
        <stp/>
        <tr r="CC41" s="2"/>
        <tr r="CC41" s="2"/>
      </tp>
      <tp>
        <v>5.274</v>
        <stp/>
        <stp>P</stp>
        <stp>0</stp>
        <stp>IR</stp>
        <stp>BONDFNP6010132</stp>
        <stp>2.5년이하(당일)</stp>
        <stp>45523</stp>
        <stp/>
        <tr r="CE38" s="2"/>
        <tr r="CE38" s="2"/>
      </tp>
      <tp>
        <v>3.4220000000000002</v>
        <stp/>
        <stp>P</stp>
        <stp>0</stp>
        <stp>IR</stp>
        <stp>BONDFNP6010122</stp>
        <stp>2.5년이하(당일)</stp>
        <stp>45523</stp>
        <stp/>
        <tr r="CE35" s="2"/>
        <tr r="CE35" s="2"/>
      </tp>
      <tp>
        <v>3.9159999999999999</v>
        <stp/>
        <stp>P</stp>
        <stp>0</stp>
        <stp>IR</stp>
        <stp>BONDKIS5053131</stp>
        <stp>1.5년이하(당일)</stp>
        <stp>45523</stp>
        <stp/>
        <tr r="AW31" s="2"/>
        <tr r="AW31" s="2"/>
      </tp>
      <tp>
        <v>6.5979999999999999</v>
        <stp/>
        <stp>P</stp>
        <stp>0</stp>
        <stp>IR</stp>
        <stp>BONDFNP7010212</stp>
        <stp>1.5년이하(당일)</stp>
        <stp>45523</stp>
        <stp/>
        <tr r="CC71" s="2"/>
        <tr r="CC71" s="2"/>
      </tp>
      <tp>
        <v>3.972</v>
        <stp/>
        <stp>P</stp>
        <stp>0</stp>
        <stp>IR</stp>
        <stp>BONDFNP7010132</stp>
        <stp>2.5년이하(당일)</stp>
        <stp>45523</stp>
        <stp/>
        <tr r="CE68" s="2"/>
        <tr r="CE68" s="2"/>
      </tp>
      <tp>
        <v>3.363</v>
        <stp/>
        <stp>P</stp>
        <stp>0</stp>
        <stp>IR</stp>
        <stp>BONDFNP7010122</stp>
        <stp>2.5년이하(당일)</stp>
        <stp>45523</stp>
        <stp/>
        <tr r="CE65" s="2"/>
        <tr r="CE65" s="2"/>
      </tp>
      <tp>
        <v>7.7469999999999999</v>
        <stp/>
        <stp>P</stp>
        <stp>0</stp>
        <stp>IR</stp>
        <stp>BONDFNP7010212</stp>
        <stp>2.5년이하(당일)</stp>
        <stp>45523</stp>
        <stp/>
        <tr r="CE71" s="2"/>
        <tr r="CE71" s="2"/>
      </tp>
      <tp>
        <v>3.8250000000000002</v>
        <stp/>
        <stp>P</stp>
        <stp>0</stp>
        <stp>IR</stp>
        <stp>BONDFNP7010132</stp>
        <stp>1.5년이하(당일)</stp>
        <stp>45523</stp>
        <stp/>
        <tr r="CC68" s="2"/>
        <tr r="CC68" s="2"/>
      </tp>
      <tp>
        <v>3.3490000000000002</v>
        <stp/>
        <stp>P</stp>
        <stp>0</stp>
        <stp>IR</stp>
        <stp>BONDFNP7010122</stp>
        <stp>1.5년이하(당일)</stp>
        <stp>45523</stp>
        <stp/>
        <tr r="CC65" s="2"/>
        <tr r="CC65" s="2"/>
      </tp>
      <tp>
        <v>3.2</v>
        <stp/>
        <stp>P</stp>
        <stp>0</stp>
        <stp>IR</stp>
        <stp>BONDFNP5030110</stp>
        <stp>2.5년이하(당일)</stp>
        <stp>45523</stp>
        <stp/>
        <tr r="CE27" s="2"/>
        <tr r="CE27" s="2"/>
      </tp>
      <tp>
        <v>8.26</v>
        <stp/>
        <stp>P</stp>
        <stp>0</stp>
        <stp>IR</stp>
        <stp>BONDFNP6010212</stp>
        <stp>2.5년이하(당일)</stp>
        <stp>45523</stp>
        <stp/>
        <tr r="CE41" s="2"/>
        <tr r="CE41" s="2"/>
      </tp>
      <tp>
        <v>5.1870000000000003</v>
        <stp/>
        <stp>P</stp>
        <stp>0</stp>
        <stp>IR</stp>
        <stp>BONDFNP6010132</stp>
        <stp>1.5년이하(당일)</stp>
        <stp>45523</stp>
        <stp/>
        <tr r="CC38" s="2"/>
        <tr r="CC38" s="2"/>
      </tp>
      <tp>
        <v>3.4729999999999999</v>
        <stp/>
        <stp>P</stp>
        <stp>0</stp>
        <stp>IR</stp>
        <stp>BONDFNP6010122</stp>
        <stp>1.5년이하(당일)</stp>
        <stp>45523</stp>
        <stp/>
        <tr r="CC35" s="2"/>
        <tr r="CC35" s="2"/>
      </tp>
      <tp>
        <v>3.9239999999999999</v>
        <stp/>
        <stp>P</stp>
        <stp>0</stp>
        <stp>IR</stp>
        <stp>BONDKIS5053131</stp>
        <stp>2.5년이하(당일)</stp>
        <stp>45523</stp>
        <stp/>
        <tr r="AY31" s="2"/>
        <tr r="AY31" s="2"/>
      </tp>
      <tp>
        <v>8.2490000000000006</v>
        <stp/>
        <stp>P</stp>
        <stp>0</stp>
        <stp>IR</stp>
        <stp>BONDFNP8110212</stp>
        <stp>2.5년이하(당일)</stp>
        <stp>45523</stp>
        <stp/>
        <tr r="CE81" s="2"/>
        <tr r="CE81" s="2"/>
      </tp>
      <tp>
        <v>4.1379999999999999</v>
        <stp/>
        <stp>P</stp>
        <stp>0</stp>
        <stp>IR</stp>
        <stp>BONDFNP8010132</stp>
        <stp>1.5년이하(당일)</stp>
        <stp>45523</stp>
        <stp/>
        <tr r="CC78" s="2"/>
        <tr r="CC78" s="2"/>
      </tp>
      <tp>
        <v>3.5339999999999998</v>
        <stp/>
        <stp>P</stp>
        <stp>0</stp>
        <stp>IR</stp>
        <stp>BONDFNP8010122</stp>
        <stp>1.5년이하(당일)</stp>
        <stp>45523</stp>
        <stp/>
        <tr r="CC75" s="2"/>
        <tr r="CC75" s="2"/>
      </tp>
      <tp>
        <v>7.0730000000000004</v>
        <stp/>
        <stp>P</stp>
        <stp>0</stp>
        <stp>IR</stp>
        <stp>BONDFNP8110212</stp>
        <stp>1.5년이하(당일)</stp>
        <stp>45523</stp>
        <stp/>
        <tr r="CC81" s="2"/>
        <tr r="CC81" s="2"/>
      </tp>
      <tp>
        <v>4.3410000000000002</v>
        <stp/>
        <stp>P</stp>
        <stp>0</stp>
        <stp>IR</stp>
        <stp>BONDFNP8010132</stp>
        <stp>2.5년이하(당일)</stp>
        <stp>45523</stp>
        <stp/>
        <tr r="CE78" s="2"/>
        <tr r="CE78" s="2"/>
      </tp>
      <tp>
        <v>3.5619999999999998</v>
        <stp/>
        <stp>P</stp>
        <stp>0</stp>
        <stp>IR</stp>
        <stp>BONDFNP8010122</stp>
        <stp>2.5년이하(당일)</stp>
        <stp>45523</stp>
        <stp/>
        <tr r="CE75" s="2"/>
        <tr r="CE75" s="2"/>
      </tp>
      <tp>
        <v>0</v>
        <stp/>
        <stp>P</stp>
        <stp>0</stp>
        <stp>IR</stp>
        <stp>BONDAV484</stp>
        <stp>50년이하(당일)</stp>
        <stp>45523</stp>
        <stp/>
        <tr r="T21" s="1"/>
      </tp>
      <tp>
        <v>3.5070000000000001</v>
        <stp/>
        <stp>P</stp>
        <stp>0</stp>
        <stp>IR</stp>
        <stp>BONDAV484</stp>
        <stp>10년이하(당일)</stp>
        <stp>45523</stp>
        <stp/>
        <tr r="P21" s="1"/>
        <tr r="P21" s="1"/>
      </tp>
      <tp>
        <v>0</v>
        <stp/>
        <stp>P</stp>
        <stp>0</stp>
        <stp>IR</stp>
        <stp>BONDAV484</stp>
        <stp>30년이하(당일)</stp>
        <stp>45523</stp>
        <stp/>
        <tr r="S21" s="1"/>
      </tp>
      <tp>
        <v>3.6840000000000002</v>
        <stp/>
        <stp>P</stp>
        <stp>0</stp>
        <stp>IR</stp>
        <stp>BONDAV484</stp>
        <stp>20년이하(당일)</stp>
        <stp>45523</stp>
        <stp/>
        <tr r="R21" s="1"/>
        <tr r="R21" s="1"/>
      </tp>
      <tp>
        <v>0</v>
        <stp/>
        <stp>P</stp>
        <stp>0</stp>
        <stp>IR</stp>
        <stp>BONDAV482</stp>
        <stp>50년이하(당일)</stp>
        <stp>45523</stp>
        <stp/>
        <tr r="T42" s="1"/>
      </tp>
      <tp>
        <v>4.32</v>
        <stp/>
        <stp>P</stp>
        <stp>0</stp>
        <stp>IR</stp>
        <stp>BONDAV482</stp>
        <stp>10년이하(당일)</stp>
        <stp>45523</stp>
        <stp/>
        <tr r="P42" s="1"/>
        <tr r="P42" s="1"/>
      </tp>
      <tp>
        <v>0</v>
        <stp/>
        <stp>P</stp>
        <stp>0</stp>
        <stp>IR</stp>
        <stp>BONDAV482</stp>
        <stp>30년이하(당일)</stp>
        <stp>45523</stp>
        <stp/>
        <tr r="S42" s="1"/>
      </tp>
      <tp>
        <v>4.93</v>
        <stp/>
        <stp>P</stp>
        <stp>0</stp>
        <stp>IR</stp>
        <stp>BONDAV482</stp>
        <stp>20년이하(당일)</stp>
        <stp>45523</stp>
        <stp/>
        <tr r="R42" s="1"/>
        <tr r="R42" s="1"/>
      </tp>
      <tp>
        <v>0</v>
        <stp/>
        <stp>P</stp>
        <stp>0</stp>
        <stp>IR</stp>
        <stp>BONDAV481</stp>
        <stp>50년이하(당일)</stp>
        <stp>45523</stp>
        <stp/>
        <tr r="T33" s="1"/>
      </tp>
      <tp>
        <v>4.32</v>
        <stp/>
        <stp>P</stp>
        <stp>0</stp>
        <stp>IR</stp>
        <stp>BONDAV481</stp>
        <stp>10년이하(당일)</stp>
        <stp>45523</stp>
        <stp/>
        <tr r="P33" s="1"/>
        <tr r="P33" s="1"/>
      </tp>
      <tp>
        <v>0</v>
        <stp/>
        <stp>P</stp>
        <stp>0</stp>
        <stp>IR</stp>
        <stp>BONDAV481</stp>
        <stp>30년이하(당일)</stp>
        <stp>45523</stp>
        <stp/>
        <tr r="S33" s="1"/>
      </tp>
      <tp>
        <v>4.93</v>
        <stp/>
        <stp>P</stp>
        <stp>0</stp>
        <stp>IR</stp>
        <stp>BONDAV481</stp>
        <stp>20년이하(당일)</stp>
        <stp>45523</stp>
        <stp/>
        <tr r="R33" s="1"/>
        <tr r="R33" s="1"/>
      </tp>
      <tp>
        <v>3.371</v>
        <stp/>
        <stp>P</stp>
        <stp>0</stp>
        <stp>IR</stp>
        <stp>BONDKBPZ001</stp>
        <stp>6월이하(당일)</stp>
        <stp>45523</stp>
        <stp/>
        <tr r="AD83" s="2"/>
        <tr r="AD83" s="2"/>
      </tp>
      <tp>
        <v>3.1850000000000001</v>
        <stp/>
        <stp>P</stp>
        <stp>0</stp>
        <stp>IR</stp>
        <stp>BONDKBPD001</stp>
        <stp>6월이하(당일)</stp>
        <stp>45523</stp>
        <stp/>
        <tr r="AD21" s="2"/>
        <tr r="AD21" s="2"/>
      </tp>
      <tp>
        <v>3.3879999999999999</v>
        <stp/>
        <stp>P</stp>
        <stp>0</stp>
        <stp>IR</stp>
        <stp>BONDKBPC500</stp>
        <stp>3월이하(당일)</stp>
        <stp>45523</stp>
        <stp/>
        <tr r="AC15" s="2"/>
        <tr r="AC15" s="2"/>
      </tp>
      <tp>
        <v>3.1850000000000001</v>
        <stp/>
        <stp>P</stp>
        <stp>0</stp>
        <stp>IR</stp>
        <stp>BONDKBPD000</stp>
        <stp>6월이하(당일)</stp>
        <stp>45523</stp>
        <stp/>
        <tr r="AD20" s="2"/>
        <tr r="AD20" s="2"/>
      </tp>
      <tp>
        <v>3.073</v>
        <stp/>
        <stp>P</stp>
        <stp>0</stp>
        <stp>IR</stp>
        <stp>BONDNIC3050000</stp>
        <stp>2.5년이하(당일)</stp>
        <stp>45523</stp>
        <stp/>
        <tr r="BO15" s="2"/>
        <tr r="BO15" s="2"/>
      </tp>
      <tp>
        <v>3.2490000000000001</v>
        <stp/>
        <stp>P</stp>
        <stp>0</stp>
        <stp>IR</stp>
        <stp>BONDNIC3040111</stp>
        <stp>2.5년이하(당일)</stp>
        <stp>45523</stp>
        <stp/>
        <tr r="BO17" s="2"/>
        <tr r="BO17" s="2"/>
      </tp>
      <tp>
        <v>3.2469999999999999</v>
        <stp/>
        <stp>P</stp>
        <stp>0</stp>
        <stp>IR</stp>
        <stp>BONDNIC3040111</stp>
        <stp>1.5년이하(당일)</stp>
        <stp>45523</stp>
        <stp/>
        <tr r="BM17" s="2"/>
        <tr r="BM17" s="2"/>
      </tp>
      <tp>
        <v>3.1110000000000002</v>
        <stp/>
        <stp>P</stp>
        <stp>0</stp>
        <stp>IR</stp>
        <stp>BONDNIC3050000</stp>
        <stp>1.5년이하(당일)</stp>
        <stp>45523</stp>
        <stp/>
        <tr r="BM15" s="2"/>
        <tr r="BM15" s="2"/>
      </tp>
      <tp>
        <v>3.379</v>
        <stp/>
        <stp>P</stp>
        <stp>0</stp>
        <stp>IR</stp>
        <stp>BONDNIC5040111</stp>
        <stp>1.5년이하(당일)</stp>
        <stp>45523</stp>
        <stp/>
        <tr r="BM28" s="2"/>
        <tr r="BM28" s="2"/>
      </tp>
      <tp>
        <v>3.3889999999999998</v>
        <stp/>
        <stp>P</stp>
        <stp>0</stp>
        <stp>IR</stp>
        <stp>BONDNIC6040111</stp>
        <stp>2.5년이하(당일)</stp>
        <stp>45523</stp>
        <stp/>
        <tr r="BO34" s="2"/>
        <tr r="BO34" s="2"/>
      </tp>
      <tp>
        <v>9.6340000000000003</v>
        <stp/>
        <stp>P</stp>
        <stp>0</stp>
        <stp>IR</stp>
        <stp>BONDNIC6060113</stp>
        <stp>2.5년이하(당일)</stp>
        <stp>45523</stp>
        <stp/>
        <tr r="BO42" s="2"/>
        <tr r="BO42" s="2"/>
      </tp>
      <tp>
        <v>3.2589999999999999</v>
        <stp/>
        <stp>P</stp>
        <stp>0</stp>
        <stp>IR</stp>
        <stp>BONDNIC4050000</stp>
        <stp>1.5년이하(당일)</stp>
        <stp>45523</stp>
        <stp/>
        <tr r="BM22" s="2"/>
        <tr r="BM22" s="2"/>
      </tp>
      <tp>
        <v>3.3250000000000002</v>
        <stp/>
        <stp>P</stp>
        <stp>0</stp>
        <stp>IR</stp>
        <stp>BONDNIC7040111</stp>
        <stp>2.5년이하(당일)</stp>
        <stp>45523</stp>
        <stp/>
        <tr r="BO64" s="2"/>
        <tr r="BO64" s="2"/>
      </tp>
      <tp>
        <v>9.0009999999999994</v>
        <stp/>
        <stp>P</stp>
        <stp>0</stp>
        <stp>IR</stp>
        <stp>BONDNIC7060113</stp>
        <stp>2.5년이하(당일)</stp>
        <stp>45523</stp>
        <stp/>
        <tr r="BO72" s="2"/>
        <tr r="BO72" s="2"/>
      </tp>
      <tp>
        <v>3.3250000000000002</v>
        <stp/>
        <stp>P</stp>
        <stp>0</stp>
        <stp>IR</stp>
        <stp>BONDNIC7140111</stp>
        <stp>2.5년이하(당일)</stp>
        <stp>45523</stp>
        <stp/>
        <tr r="BO57" s="2"/>
        <tr r="BO57" s="2"/>
      </tp>
      <tp>
        <v>3.34</v>
        <stp/>
        <stp>P</stp>
        <stp>0</stp>
        <stp>IR</stp>
        <stp>BONDNIC7040111</stp>
        <stp>1.5년이하(당일)</stp>
        <stp>45523</stp>
        <stp/>
        <tr r="BM64" s="2"/>
        <tr r="BM64" s="2"/>
      </tp>
      <tp>
        <v>7.7160000000000002</v>
        <stp/>
        <stp>P</stp>
        <stp>0</stp>
        <stp>IR</stp>
        <stp>BONDNIC7060113</stp>
        <stp>1.5년이하(당일)</stp>
        <stp>45523</stp>
        <stp/>
        <tr r="BM72" s="2"/>
        <tr r="BM72" s="2"/>
      </tp>
      <tp>
        <v>3.34</v>
        <stp/>
        <stp>P</stp>
        <stp>0</stp>
        <stp>IR</stp>
        <stp>BONDNIC7140111</stp>
        <stp>1.5년이하(당일)</stp>
        <stp>45523</stp>
        <stp/>
        <tr r="BM57" s="2"/>
        <tr r="BM57" s="2"/>
      </tp>
      <tp>
        <v>3.3239999999999998</v>
        <stp/>
        <stp>P</stp>
        <stp>0</stp>
        <stp>IR</stp>
        <stp>BONDNIC5040111</stp>
        <stp>2.5년이하(당일)</stp>
        <stp>45523</stp>
        <stp/>
        <tr r="BO28" s="2"/>
        <tr r="BO28" s="2"/>
      </tp>
      <tp>
        <v>3.46</v>
        <stp/>
        <stp>P</stp>
        <stp>0</stp>
        <stp>IR</stp>
        <stp>BONDNIC6040111</stp>
        <stp>1.5년이하(당일)</stp>
        <stp>45523</stp>
        <stp/>
        <tr r="BM34" s="2"/>
        <tr r="BM34" s="2"/>
      </tp>
      <tp>
        <v>9.0609999999999999</v>
        <stp/>
        <stp>P</stp>
        <stp>0</stp>
        <stp>IR</stp>
        <stp>BONDNIC6060113</stp>
        <stp>1.5년이하(당일)</stp>
        <stp>45523</stp>
        <stp/>
        <tr r="BM42" s="2"/>
        <tr r="BM42" s="2"/>
      </tp>
      <tp>
        <v>3.181</v>
        <stp/>
        <stp>P</stp>
        <stp>0</stp>
        <stp>IR</stp>
        <stp>BONDNIC4050000</stp>
        <stp>2.5년이하(당일)</stp>
        <stp>45523</stp>
        <stp/>
        <tr r="BO22" s="2"/>
        <tr r="BO22" s="2"/>
      </tp>
      <tp>
        <v>3.5</v>
        <stp/>
        <stp>P</stp>
        <stp>0</stp>
        <stp>IR</stp>
        <stp>BONDNIC8040111</stp>
        <stp>1.5년이하(당일)</stp>
        <stp>45523</stp>
        <stp/>
        <tr r="BM74" s="2"/>
        <tr r="BM74" s="2"/>
      </tp>
      <tp>
        <v>8.5459999999999994</v>
        <stp/>
        <stp>P</stp>
        <stp>0</stp>
        <stp>IR</stp>
        <stp>BONDNIC8060113</stp>
        <stp>1.5년이하(당일)</stp>
        <stp>45523</stp>
        <stp/>
        <tr r="BM82" s="2"/>
        <tr r="BM82" s="2"/>
      </tp>
      <tp>
        <v>3.5049999999999999</v>
        <stp/>
        <stp>P</stp>
        <stp>0</stp>
        <stp>IR</stp>
        <stp>BONDNIC8040111</stp>
        <stp>2.5년이하(당일)</stp>
        <stp>45523</stp>
        <stp/>
        <tr r="BO74" s="2"/>
        <tr r="BO74" s="2"/>
      </tp>
      <tp>
        <v>9.8810000000000002</v>
        <stp/>
        <stp>P</stp>
        <stp>0</stp>
        <stp>IR</stp>
        <stp>BONDNIC8060113</stp>
        <stp>2.5년이하(당일)</stp>
        <stp>45523</stp>
        <stp/>
        <tr r="BO82" s="2"/>
        <tr r="BO82" s="2"/>
      </tp>
      <tp>
        <v>2.8540000000000001</v>
        <stp/>
        <stp>P</stp>
        <stp>0</stp>
        <stp>IR</stp>
        <stp>BONDFNP1020000</stp>
        <stp>1.5년이하(당일)</stp>
        <stp>45523</stp>
        <stp/>
        <tr r="CC11" s="2"/>
        <tr r="CC11" s="2"/>
      </tp>
      <tp>
        <v>3.1219999999999999</v>
        <stp/>
        <stp>P</stp>
        <stp>0</stp>
        <stp>IR</stp>
        <stp>BONDFNP2020000</stp>
        <stp>2.5년이하(당일)</stp>
        <stp>45523</stp>
        <stp/>
        <tr r="CE14" s="2"/>
        <tr r="CE14" s="2"/>
      </tp>
      <tp>
        <v>3.2810000000000001</v>
        <stp/>
        <stp>P</stp>
        <stp>0</stp>
        <stp>IR</stp>
        <stp>BONDKIS3043121</stp>
        <stp>2.5년이하(당일)</stp>
        <stp>45523</stp>
        <stp/>
        <tr r="AY17" s="2"/>
        <tr r="AY17" s="2"/>
      </tp>
      <tp>
        <v>2.8149999999999999</v>
        <stp/>
        <stp>P</stp>
        <stp>0</stp>
        <stp>IR</stp>
        <stp>BONDFNP1020000</stp>
        <stp>2.5년이하(당일)</stp>
        <stp>45523</stp>
        <stp/>
        <tr r="CE11" s="2"/>
        <tr r="CE11" s="2"/>
      </tp>
      <tp>
        <v>3.149</v>
        <stp/>
        <stp>P</stp>
        <stp>0</stp>
        <stp>IR</stp>
        <stp>BONDFNP2020000</stp>
        <stp>1.5년이하(당일)</stp>
        <stp>45523</stp>
        <stp/>
        <tr r="CC14" s="2"/>
        <tr r="CC14" s="2"/>
      </tp>
      <tp>
        <v>3.2989999999999999</v>
        <stp/>
        <stp>P</stp>
        <stp>0</stp>
        <stp>IR</stp>
        <stp>BONDKIS3043121</stp>
        <stp>1.5년이하(당일)</stp>
        <stp>45523</stp>
        <stp/>
        <tr r="AW17" s="2"/>
        <tr r="AW17" s="2"/>
      </tp>
      <tp>
        <v>3.22</v>
        <stp/>
        <stp>P</stp>
        <stp>0</stp>
        <stp>IR</stp>
        <stp>BONDFNP5020110</stp>
        <stp>1.5년이하(당일)</stp>
        <stp>45523</stp>
        <stp/>
        <tr r="CC25" s="2"/>
        <tr r="CC25" s="2"/>
      </tp>
      <tp>
        <v>9.0760000000000005</v>
        <stp/>
        <stp>P</stp>
        <stp>0</stp>
        <stp>IR</stp>
        <stp>BONDFNP6010213</stp>
        <stp>1.5년이하(당일)</stp>
        <stp>45523</stp>
        <stp/>
        <tr r="CC42" s="2"/>
        <tr r="CC42" s="2"/>
      </tp>
      <tp>
        <v>5.9169999999999998</v>
        <stp/>
        <stp>P</stp>
        <stp>0</stp>
        <stp>IR</stp>
        <stp>BONDFNP6010133</stp>
        <stp>2.5년이하(당일)</stp>
        <stp>45523</stp>
        <stp/>
        <tr r="CE39" s="2"/>
        <tr r="CE39" s="2"/>
      </tp>
      <tp>
        <v>3.5230000000000001</v>
        <stp/>
        <stp>P</stp>
        <stp>0</stp>
        <stp>IR</stp>
        <stp>BONDFNP6010123</stp>
        <stp>2.5년이하(당일)</stp>
        <stp>45523</stp>
        <stp/>
        <tr r="CE36" s="2"/>
        <tr r="CE36" s="2"/>
      </tp>
      <tp>
        <v>3.35</v>
        <stp/>
        <stp>P</stp>
        <stp>0</stp>
        <stp>IR</stp>
        <stp>BONDKIS5043121</stp>
        <stp>1.5년이하(당일)</stp>
        <stp>45523</stp>
        <stp/>
        <tr r="AW28" s="2"/>
        <tr r="AW28" s="2"/>
      </tp>
      <tp>
        <v>7.7359999999999998</v>
        <stp/>
        <stp>P</stp>
        <stp>0</stp>
        <stp>IR</stp>
        <stp>BONDFNP7010213</stp>
        <stp>1.5년이하(당일)</stp>
        <stp>45523</stp>
        <stp/>
        <tr r="CC72" s="2"/>
        <tr r="CC72" s="2"/>
      </tp>
      <tp>
        <v>3.1480000000000001</v>
        <stp/>
        <stp>P</stp>
        <stp>0</stp>
        <stp>IR</stp>
        <stp>BONDFNP7020110</stp>
        <stp>2.5년이하(당일)</stp>
        <stp>45523</stp>
        <stp/>
        <tr r="CE52" s="2"/>
        <tr r="CE52" s="2"/>
      </tp>
      <tp>
        <v>3.323</v>
        <stp/>
        <stp>P</stp>
        <stp>0</stp>
        <stp>IR</stp>
        <stp>BONDFNP7020210</stp>
        <stp>1.5년이하(당일)</stp>
        <stp>45523</stp>
        <stp/>
        <tr r="CC55" s="2"/>
        <tr r="CC55" s="2"/>
      </tp>
      <tp>
        <v>4.3579999999999997</v>
        <stp/>
        <stp>P</stp>
        <stp>0</stp>
        <stp>IR</stp>
        <stp>BONDFNP7010133</stp>
        <stp>2.5년이하(당일)</stp>
        <stp>45523</stp>
        <stp/>
        <tr r="CE69" s="2"/>
        <tr r="CE69" s="2"/>
      </tp>
      <tp>
        <v>3.4289999999999998</v>
        <stp/>
        <stp>P</stp>
        <stp>0</stp>
        <stp>IR</stp>
        <stp>BONDFNP7020130</stp>
        <stp>2.5년이하(당일)</stp>
        <stp>45523</stp>
        <stp/>
        <tr r="CE54" s="2"/>
        <tr r="CE54" s="2"/>
      </tp>
      <tp>
        <v>3.399</v>
        <stp/>
        <stp>P</stp>
        <stp>0</stp>
        <stp>IR</stp>
        <stp>BONDFNP7010123</stp>
        <stp>2.5년이하(당일)</stp>
        <stp>45523</stp>
        <stp/>
        <tr r="CE66" s="2"/>
        <tr r="CE66" s="2"/>
      </tp>
      <tp>
        <v>3.254</v>
        <stp/>
        <stp>P</stp>
        <stp>0</stp>
        <stp>IR</stp>
        <stp>BONDFNP7020120</stp>
        <stp>2.5년이하(당일)</stp>
        <stp>45523</stp>
        <stp/>
        <tr r="CE53" s="2"/>
        <tr r="CE53" s="2"/>
      </tp>
      <tp>
        <v>8.984</v>
        <stp/>
        <stp>P</stp>
        <stp>0</stp>
        <stp>IR</stp>
        <stp>BONDFNP7010213</stp>
        <stp>2.5년이하(당일)</stp>
        <stp>45523</stp>
        <stp/>
        <tr r="CE72" s="2"/>
        <tr r="CE72" s="2"/>
      </tp>
      <tp>
        <v>3.2290000000000001</v>
        <stp/>
        <stp>P</stp>
        <stp>0</stp>
        <stp>IR</stp>
        <stp>BONDFNP7020110</stp>
        <stp>1.5년이하(당일)</stp>
        <stp>45523</stp>
        <stp/>
        <tr r="CC52" s="2"/>
        <tr r="CC52" s="2"/>
      </tp>
      <tp>
        <v>3.32</v>
        <stp/>
        <stp>P</stp>
        <stp>0</stp>
        <stp>IR</stp>
        <stp>BONDFNP7020210</stp>
        <stp>2.5년이하(당일)</stp>
        <stp>45523</stp>
        <stp/>
        <tr r="CE55" s="2"/>
        <tr r="CE55" s="2"/>
      </tp>
      <tp>
        <v>4.0970000000000004</v>
        <stp/>
        <stp>P</stp>
        <stp>0</stp>
        <stp>IR</stp>
        <stp>BONDFNP7010133</stp>
        <stp>1.5년이하(당일)</stp>
        <stp>45523</stp>
        <stp/>
        <tr r="CC69" s="2"/>
        <tr r="CC69" s="2"/>
      </tp>
      <tp>
        <v>3.4489999999999998</v>
        <stp/>
        <stp>P</stp>
        <stp>0</stp>
        <stp>IR</stp>
        <stp>BONDFNP7020130</stp>
        <stp>1.5년이하(당일)</stp>
        <stp>45523</stp>
        <stp/>
        <tr r="CC54" s="2"/>
        <tr r="CC54" s="2"/>
      </tp>
      <tp>
        <v>3.383</v>
        <stp/>
        <stp>P</stp>
        <stp>0</stp>
        <stp>IR</stp>
        <stp>BONDFNP7010123</stp>
        <stp>1.5년이하(당일)</stp>
        <stp>45523</stp>
        <stp/>
        <tr r="CC66" s="2"/>
        <tr r="CC66" s="2"/>
      </tp>
      <tp>
        <v>3.3</v>
        <stp/>
        <stp>P</stp>
        <stp>0</stp>
        <stp>IR</stp>
        <stp>BONDFNP7020120</stp>
        <stp>1.5년이하(당일)</stp>
        <stp>45523</stp>
        <stp/>
        <tr r="CC53" s="2"/>
        <tr r="CC53" s="2"/>
      </tp>
      <tp>
        <v>3.1219999999999999</v>
        <stp/>
        <stp>P</stp>
        <stp>0</stp>
        <stp>IR</stp>
        <stp>BONDFNP5020110</stp>
        <stp>2.5년이하(당일)</stp>
        <stp>45523</stp>
        <stp/>
        <tr r="CE25" s="2"/>
        <tr r="CE25" s="2"/>
      </tp>
      <tp>
        <v>9.5969999999999995</v>
        <stp/>
        <stp>P</stp>
        <stp>0</stp>
        <stp>IR</stp>
        <stp>BONDFNP6010213</stp>
        <stp>2.5년이하(당일)</stp>
        <stp>45523</stp>
        <stp/>
        <tr r="CE42" s="2"/>
        <tr r="CE42" s="2"/>
      </tp>
      <tp>
        <v>5.7549999999999999</v>
        <stp/>
        <stp>P</stp>
        <stp>0</stp>
        <stp>IR</stp>
        <stp>BONDFNP6010133</stp>
        <stp>1.5년이하(당일)</stp>
        <stp>45523</stp>
        <stp/>
        <tr r="CC39" s="2"/>
        <tr r="CC39" s="2"/>
      </tp>
      <tp>
        <v>3.544</v>
        <stp/>
        <stp>P</stp>
        <stp>0</stp>
        <stp>IR</stp>
        <stp>BONDFNP6010123</stp>
        <stp>1.5년이하(당일)</stp>
        <stp>45523</stp>
        <stp/>
        <tr r="CC36" s="2"/>
        <tr r="CC36" s="2"/>
      </tp>
      <tp>
        <v>3.3159999999999998</v>
        <stp/>
        <stp>P</stp>
        <stp>0</stp>
        <stp>IR</stp>
        <stp>BONDKIS5043121</stp>
        <stp>2.5년이하(당일)</stp>
        <stp>45523</stp>
        <stp/>
        <tr r="AY28" s="2"/>
        <tr r="AY28" s="2"/>
      </tp>
      <tp>
        <v>9.8160000000000007</v>
        <stp/>
        <stp>P</stp>
        <stp>0</stp>
        <stp>IR</stp>
        <stp>BONDFNP8110213</stp>
        <stp>2.5년이하(당일)</stp>
        <stp>45523</stp>
        <stp/>
        <tr r="CE82" s="2"/>
        <tr r="CE82" s="2"/>
      </tp>
      <tp>
        <v>4.4359999999999999</v>
        <stp/>
        <stp>P</stp>
        <stp>0</stp>
        <stp>IR</stp>
        <stp>BONDFNP8010133</stp>
        <stp>1.5년이하(당일)</stp>
        <stp>45523</stp>
        <stp/>
        <tr r="CC79" s="2"/>
        <tr r="CC79" s="2"/>
      </tp>
      <tp>
        <v>3.5990000000000002</v>
        <stp/>
        <stp>P</stp>
        <stp>0</stp>
        <stp>IR</stp>
        <stp>BONDFNP8010123</stp>
        <stp>1.5년이하(당일)</stp>
        <stp>45523</stp>
        <stp/>
        <tr r="CC76" s="2"/>
        <tr r="CC76" s="2"/>
      </tp>
      <tp>
        <v>8.5630000000000006</v>
        <stp/>
        <stp>P</stp>
        <stp>0</stp>
        <stp>IR</stp>
        <stp>BONDFNP8110213</stp>
        <stp>1.5년이하(당일)</stp>
        <stp>45523</stp>
        <stp/>
        <tr r="CC82" s="2"/>
        <tr r="CC82" s="2"/>
      </tp>
      <tp>
        <v>4.7729999999999997</v>
        <stp/>
        <stp>P</stp>
        <stp>0</stp>
        <stp>IR</stp>
        <stp>BONDFNP8010133</stp>
        <stp>2.5년이하(당일)</stp>
        <stp>45523</stp>
        <stp/>
        <tr r="CE79" s="2"/>
        <tr r="CE79" s="2"/>
      </tp>
      <tp>
        <v>3.6080000000000001</v>
        <stp/>
        <stp>P</stp>
        <stp>0</stp>
        <stp>IR</stp>
        <stp>BONDFNP8010123</stp>
        <stp>2.5년이하(당일)</stp>
        <stp>45523</stp>
        <stp/>
        <tr r="CE76" s="2"/>
        <tr r="CE76" s="2"/>
      </tp>
      <tp>
        <v>3.1110000000000002</v>
        <stp/>
        <stp>P</stp>
        <stp>0</stp>
        <stp>IR</stp>
        <stp>BONDKIS3050000</stp>
        <stp>2.5년이하(당일)</stp>
        <stp>45523</stp>
        <stp/>
        <tr r="AY15" s="2"/>
        <tr r="AY15" s="2"/>
      </tp>
      <tp>
        <v>3.1520000000000001</v>
        <stp/>
        <stp>P</stp>
        <stp>0</stp>
        <stp>IR</stp>
        <stp>BONDKIS3050000</stp>
        <stp>1.5년이하(당일)</stp>
        <stp>45523</stp>
        <stp/>
        <tr r="AW15" s="2"/>
        <tr r="AW15" s="2"/>
      </tp>
      <tp>
        <v>3.2589999999999999</v>
        <stp/>
        <stp>P</stp>
        <stp>0</stp>
        <stp>IR</stp>
        <stp>BONDKIS4050000</stp>
        <stp>1.5년이하(당일)</stp>
        <stp>45523</stp>
        <stp/>
        <tr r="AW22" s="2"/>
        <tr r="AW22" s="2"/>
      </tp>
      <tp>
        <v>3.2010000000000001</v>
        <stp/>
        <stp>P</stp>
        <stp>0</stp>
        <stp>IR</stp>
        <stp>BONDKIS4050000</stp>
        <stp>2.5년이하(당일)</stp>
        <stp>45523</stp>
        <stp/>
        <tr r="AY22" s="2"/>
        <tr r="AY22" s="2"/>
      </tp>
      <tp>
        <v>4.444</v>
        <stp/>
        <stp>P</stp>
        <stp>0</stp>
        <stp>IR</stp>
        <stp>BONDKBPF241</stp>
        <stp>3월이하(당일)</stp>
        <stp>45523</stp>
        <stp/>
        <tr r="AC70" s="2"/>
        <tr r="AC70" s="2"/>
      </tp>
      <tp>
        <v>5.4859999999999998</v>
        <stp/>
        <stp>P</stp>
        <stp>0</stp>
        <stp>IR</stp>
        <stp>BONDKBPF243</stp>
        <stp>3월이하(당일)</stp>
        <stp>45523</stp>
        <stp/>
        <tr r="AC72" s="2"/>
        <tr r="AC72" s="2"/>
      </tp>
      <tp>
        <v>4.7990000000000004</v>
        <stp/>
        <stp>P</stp>
        <stp>0</stp>
        <stp>IR</stp>
        <stp>BONDKBPF242</stp>
        <stp>3월이하(당일)</stp>
        <stp>45523</stp>
        <stp/>
        <tr r="AC71" s="2"/>
        <tr r="AC71" s="2"/>
      </tp>
      <tp>
        <v>3.4249999999999998</v>
        <stp/>
        <stp>P</stp>
        <stp>0</stp>
        <stp>IR</stp>
        <stp>BONDKBPF221</stp>
        <stp>3월이하(당일)</stp>
        <stp>45523</stp>
        <stp/>
        <tr r="AC64" s="2"/>
        <tr r="AC64" s="2"/>
      </tp>
      <tp>
        <v>4.5739999999999998</v>
        <stp/>
        <stp>P</stp>
        <stp>0</stp>
        <stp>IR</stp>
        <stp>BONDKBPE220</stp>
        <stp>3월이하(당일)</stp>
        <stp>45523</stp>
        <stp/>
        <tr r="AC38" s="2"/>
        <tr r="AC38" s="2"/>
      </tp>
      <tp>
        <v>3.4649999999999999</v>
        <stp/>
        <stp>P</stp>
        <stp>0</stp>
        <stp>IR</stp>
        <stp>BONDKBPF223</stp>
        <stp>3월이하(당일)</stp>
        <stp>45523</stp>
        <stp/>
        <tr r="AC66" s="2"/>
        <tr r="AC66" s="2"/>
      </tp>
      <tp>
        <v>3.4449999999999998</v>
        <stp/>
        <stp>P</stp>
        <stp>0</stp>
        <stp>IR</stp>
        <stp>BONDKBPF222</stp>
        <stp>3월이하(당일)</stp>
        <stp>45523</stp>
        <stp/>
        <tr r="AC65" s="2"/>
        <tr r="AC65" s="2"/>
      </tp>
      <tp>
        <v>3.4769999999999999</v>
        <stp/>
        <stp>P</stp>
        <stp>0</stp>
        <stp>IR</stp>
        <stp>BONDKBPF231</stp>
        <stp>3월이하(당일)</stp>
        <stp>45523</stp>
        <stp/>
        <tr r="AC67" s="2"/>
        <tr r="AC67" s="2"/>
      </tp>
      <tp>
        <v>5.0940000000000003</v>
        <stp/>
        <stp>P</stp>
        <stp>0</stp>
        <stp>IR</stp>
        <stp>BONDKBPE230</stp>
        <stp>3월이하(당일)</stp>
        <stp>45523</stp>
        <stp/>
        <tr r="AC39" s="2"/>
        <tr r="AC39" s="2"/>
      </tp>
      <tp>
        <v>3.8650000000000002</v>
        <stp/>
        <stp>P</stp>
        <stp>0</stp>
        <stp>IR</stp>
        <stp>BONDKBPF233</stp>
        <stp>3월이하(당일)</stp>
        <stp>45523</stp>
        <stp/>
        <tr r="AC69" s="2"/>
        <tr r="AC69" s="2"/>
      </tp>
      <tp>
        <v>3.6349999999999998</v>
        <stp/>
        <stp>P</stp>
        <stp>0</stp>
        <stp>IR</stp>
        <stp>BONDKBPF232</stp>
        <stp>3월이하(당일)</stp>
        <stp>45523</stp>
        <stp/>
        <tr r="AC68" s="2"/>
        <tr r="AC68" s="2"/>
      </tp>
      <tp>
        <v>3.4359999999999999</v>
        <stp/>
        <stp>P</stp>
        <stp>0</stp>
        <stp>IR</stp>
        <stp>BONDKBPE204</stp>
        <stp>3월이하(당일)</stp>
        <stp>45523</stp>
        <stp/>
        <tr r="AC34" s="2"/>
        <tr r="AC34" s="2"/>
      </tp>
      <tp>
        <v>3.1339999999999999</v>
        <stp/>
        <stp>P</stp>
        <stp>0</stp>
        <stp>IR</stp>
        <stp>BONDKBPA200</stp>
        <stp>3월이하(당일)</stp>
        <stp>45523</stp>
        <stp/>
        <tr r="AC11" s="2"/>
        <tr r="AC11" s="2"/>
      </tp>
      <tp>
        <v>3.4039999999999999</v>
        <stp/>
        <stp>P</stp>
        <stp>0</stp>
        <stp>IR</stp>
        <stp>BONDKBPB200</stp>
        <stp>3월이하(당일)</stp>
        <stp>45523</stp>
        <stp/>
        <tr r="AC14" s="2"/>
        <tr r="AC14" s="2"/>
      </tp>
      <tp>
        <v>3.4790000000000001</v>
        <stp/>
        <stp>P</stp>
        <stp>0</stp>
        <stp>IR</stp>
        <stp>BONDKBPE200</stp>
        <stp>3월이하(당일)</stp>
        <stp>45523</stp>
        <stp/>
        <tr r="AC36" s="2"/>
        <tr r="AC36" s="2"/>
      </tp>
      <tp>
        <v>3.4510000000000001</v>
        <stp/>
        <stp>P</stp>
        <stp>0</stp>
        <stp>IR</stp>
        <stp>BONDKBPE202</stp>
        <stp>3월이하(당일)</stp>
        <stp>45523</stp>
        <stp/>
        <tr r="AC35" s="2"/>
        <tr r="AC35" s="2"/>
      </tp>
      <tp>
        <v>4.01</v>
        <stp/>
        <stp>P</stp>
        <stp>0</stp>
        <stp>IR</stp>
        <stp>BONDKBPE210</stp>
        <stp>3월이하(당일)</stp>
        <stp>45523</stp>
        <stp/>
        <tr r="AC37" s="2"/>
        <tr r="AC37" s="2"/>
      </tp>
      <tp>
        <v>3.4119999999999999</v>
        <stp/>
        <stp>P</stp>
        <stp>0</stp>
        <stp>IR</stp>
        <stp>BONDKBPF212</stp>
        <stp>3월이하(당일)</stp>
        <stp>45523</stp>
        <stp/>
        <tr r="AC63" s="2"/>
        <tr r="AC63" s="2"/>
      </tp>
      <tp>
        <v>2.8769999999999998</v>
        <stp/>
        <stp>P</stp>
        <stp>0</stp>
        <stp>IR</stp>
        <stp>BONDNIC1020000</stp>
        <stp>1.5년이하(당일)</stp>
        <stp>45523</stp>
        <stp/>
        <tr r="BM11" s="2"/>
        <tr r="BM11" s="2"/>
      </tp>
      <tp>
        <v>3.0819999999999999</v>
        <stp/>
        <stp>P</stp>
        <stp>0</stp>
        <stp>IR</stp>
        <stp>BONDNIC2020000</stp>
        <stp>2.5년이하(당일)</stp>
        <stp>45523</stp>
        <stp/>
        <tr r="BO14" s="2"/>
        <tr r="BO14" s="2"/>
      </tp>
      <tp>
        <v>2.79</v>
        <stp/>
        <stp>P</stp>
        <stp>0</stp>
        <stp>IR</stp>
        <stp>BONDNIC1020000</stp>
        <stp>2.5년이하(당일)</stp>
        <stp>45523</stp>
        <stp/>
        <tr r="BO11" s="2"/>
        <tr r="BO11" s="2"/>
      </tp>
      <tp>
        <v>3.1749999999999998</v>
        <stp/>
        <stp>P</stp>
        <stp>0</stp>
        <stp>IR</stp>
        <stp>BONDNIC2020000</stp>
        <stp>1.5년이하(당일)</stp>
        <stp>45523</stp>
        <stp/>
        <tr r="BM14" s="2"/>
        <tr r="BM14" s="2"/>
      </tp>
      <tp>
        <v>3.2480000000000002</v>
        <stp/>
        <stp>P</stp>
        <stp>0</stp>
        <stp>IR</stp>
        <stp>BONDNIC5020110</stp>
        <stp>1.5년이하(당일)</stp>
        <stp>45523</stp>
        <stp/>
        <tr r="BM25" s="2"/>
        <tr r="BM25" s="2"/>
      </tp>
      <tp>
        <v>3.1320000000000001</v>
        <stp/>
        <stp>P</stp>
        <stp>0</stp>
        <stp>IR</stp>
        <stp>BONDNIC5020110</stp>
        <stp>2.5년이하(당일)</stp>
        <stp>45523</stp>
        <stp/>
        <tr r="BO25" s="2"/>
        <tr r="BO25" s="2"/>
      </tp>
      <tp>
        <v>3.081</v>
        <stp/>
        <stp>P</stp>
        <stp>0</stp>
        <stp>IR</stp>
        <stp>BONDFNP3050000</stp>
        <stp>2.5년이하(당일)</stp>
        <stp>45523</stp>
        <stp/>
        <tr r="CE15" s="2"/>
        <tr r="CE15" s="2"/>
      </tp>
      <tp>
        <v>3.242</v>
        <stp/>
        <stp>P</stp>
        <stp>0</stp>
        <stp>IR</stp>
        <stp>BONDFNP3040121</stp>
        <stp>2.5년이하(당일)</stp>
        <stp>45523</stp>
        <stp/>
        <tr r="CE17" s="2"/>
        <tr r="CE17" s="2"/>
      </tp>
      <tp>
        <v>3.2989999999999999</v>
        <stp/>
        <stp>P</stp>
        <stp>0</stp>
        <stp>IR</stp>
        <stp>BONDFNP3040121</stp>
        <stp>1.5년이하(당일)</stp>
        <stp>45523</stp>
        <stp/>
        <tr r="CC17" s="2"/>
        <tr r="CC17" s="2"/>
      </tp>
      <tp>
        <v>3.145</v>
        <stp/>
        <stp>P</stp>
        <stp>0</stp>
        <stp>IR</stp>
        <stp>BONDFNP3050000</stp>
        <stp>1.5년이하(당일)</stp>
        <stp>45523</stp>
        <stp/>
        <tr r="CC15" s="2"/>
        <tr r="CC15" s="2"/>
      </tp>
      <tp>
        <v>3.2210000000000001</v>
        <stp/>
        <stp>P</stp>
        <stp>0</stp>
        <stp>IR</stp>
        <stp>BONDFNP4050000</stp>
        <stp>1.5년이하(당일)</stp>
        <stp>45523</stp>
        <stp/>
        <tr r="CC22" s="2"/>
        <tr r="CC22" s="2"/>
      </tp>
      <tp>
        <v>3.3530000000000002</v>
        <stp/>
        <stp>P</stp>
        <stp>0</stp>
        <stp>IR</stp>
        <stp>BONDFNP5040121</stp>
        <stp>1.5년이하(당일)</stp>
        <stp>45523</stp>
        <stp/>
        <tr r="CC28" s="2"/>
        <tr r="CC28" s="2"/>
      </tp>
      <tp>
        <v>3.2330000000000001</v>
        <stp/>
        <stp>P</stp>
        <stp>0</stp>
        <stp>IR</stp>
        <stp>BONDKIS5023110</stp>
        <stp>1.5년이하(당일)</stp>
        <stp>45523</stp>
        <stp/>
        <tr r="AW25" s="2"/>
        <tr r="AW25" s="2"/>
      </tp>
      <tp>
        <v>9.14</v>
        <stp/>
        <stp>P</stp>
        <stp>0</stp>
        <stp>IR</stp>
        <stp>BONDKIS6013213</stp>
        <stp>1.5년이하(당일)</stp>
        <stp>45523</stp>
        <stp/>
        <tr r="AW51" s="2"/>
        <tr r="AW51" s="2"/>
      </tp>
      <tp>
        <v>3.5550000000000002</v>
        <stp/>
        <stp>P</stp>
        <stp>0</stp>
        <stp>IR</stp>
        <stp>BONDKIS6013123</stp>
        <stp>2.5년이하(당일)</stp>
        <stp>45523</stp>
        <stp/>
        <tr r="AY45" s="2"/>
        <tr r="AY45" s="2"/>
      </tp>
      <tp>
        <v>5.9660000000000002</v>
        <stp/>
        <stp>P</stp>
        <stp>0</stp>
        <stp>IR</stp>
        <stp>BONDKIS6013133</stp>
        <stp>2.5년이하(당일)</stp>
        <stp>45523</stp>
        <stp/>
        <tr r="AY48" s="2"/>
        <tr r="AY48" s="2"/>
      </tp>
      <tp>
        <v>3.173</v>
        <stp/>
        <stp>P</stp>
        <stp>0</stp>
        <stp>IR</stp>
        <stp>BONDFNP4050000</stp>
        <stp>2.5년이하(당일)</stp>
        <stp>45523</stp>
        <stp/>
        <tr r="CE22" s="2"/>
        <tr r="CE22" s="2"/>
      </tp>
      <tp>
        <v>3.3079999999999998</v>
        <stp/>
        <stp>P</stp>
        <stp>0</stp>
        <stp>IR</stp>
        <stp>BONDFNP5040121</stp>
        <stp>2.5년이하(당일)</stp>
        <stp>45523</stp>
        <stp/>
        <tr r="CE28" s="2"/>
        <tr r="CE28" s="2"/>
      </tp>
      <tp>
        <v>3.1360000000000001</v>
        <stp/>
        <stp>P</stp>
        <stp>0</stp>
        <stp>IR</stp>
        <stp>BONDKIS5023110</stp>
        <stp>2.5년이하(당일)</stp>
        <stp>45523</stp>
        <stp/>
        <tr r="AY25" s="2"/>
        <tr r="AY25" s="2"/>
      </tp>
      <tp>
        <v>9.6959999999999997</v>
        <stp/>
        <stp>P</stp>
        <stp>0</stp>
        <stp>IR</stp>
        <stp>BONDKIS6013213</stp>
        <stp>2.5년이하(당일)</stp>
        <stp>45523</stp>
        <stp/>
        <tr r="AY51" s="2"/>
        <tr r="AY51" s="2"/>
      </tp>
      <tp>
        <v>3.55</v>
        <stp/>
        <stp>P</stp>
        <stp>0</stp>
        <stp>IR</stp>
        <stp>BONDKIS6013123</stp>
        <stp>1.5년이하(당일)</stp>
        <stp>45523</stp>
        <stp/>
        <tr r="AW45" s="2"/>
        <tr r="AW45" s="2"/>
      </tp>
      <tp>
        <v>5.7670000000000003</v>
        <stp/>
        <stp>P</stp>
        <stp>0</stp>
        <stp>IR</stp>
        <stp>BONDKIS6013133</stp>
        <stp>1.5년이하(당일)</stp>
        <stp>45523</stp>
        <stp/>
        <tr r="AW48" s="2"/>
        <tr r="AW48" s="2"/>
      </tp>
      <tp>
        <v>2.8719999999999999</v>
        <stp/>
        <stp>P</stp>
        <stp>0</stp>
        <stp>IR</stp>
        <stp>BONDKIS1020000</stp>
        <stp>1.5년이하(당일)</stp>
        <stp>45523</stp>
        <stp/>
        <tr r="AW11" s="2"/>
        <tr r="AW11" s="2"/>
      </tp>
      <tp>
        <v>3.145</v>
        <stp/>
        <stp>P</stp>
        <stp>0</stp>
        <stp>IR</stp>
        <stp>BONDKIS2020000</stp>
        <stp>2.5년이하(당일)</stp>
        <stp>45523</stp>
        <stp/>
        <tr r="AY14" s="2"/>
        <tr r="AY14" s="2"/>
      </tp>
      <tp>
        <v>2.8250000000000002</v>
        <stp/>
        <stp>P</stp>
        <stp>0</stp>
        <stp>IR</stp>
        <stp>BONDKIS1020000</stp>
        <stp>2.5년이하(당일)</stp>
        <stp>45523</stp>
        <stp/>
        <tr r="AY11" s="2"/>
        <tr r="AY11" s="2"/>
      </tp>
      <tp>
        <v>3.1640000000000001</v>
        <stp/>
        <stp>P</stp>
        <stp>0</stp>
        <stp>IR</stp>
        <stp>BONDKIS2020000</stp>
        <stp>1.5년이하(당일)</stp>
        <stp>45523</stp>
        <stp/>
        <tr r="AW14" s="2"/>
        <tr r="AW14" s="2"/>
      </tp>
      <tp>
        <v>7.7409999999999997</v>
        <stp/>
        <stp>P</stp>
        <stp>0</stp>
        <stp>IR</stp>
        <stp>BONDKIS7010213</stp>
        <stp>1.5년이하(당일)</stp>
        <stp>45523</stp>
        <stp/>
        <tr r="AW72" s="2"/>
        <tr r="AW72" s="2"/>
      </tp>
      <tp>
        <v>3.1640000000000001</v>
        <stp/>
        <stp>P</stp>
        <stp>0</stp>
        <stp>IR</stp>
        <stp>BONDKIS7020110</stp>
        <stp>2.5년이하(당일)</stp>
        <stp>45523</stp>
        <stp/>
        <tr r="AY52" s="2"/>
        <tr r="AY52" s="2"/>
      </tp>
      <tp>
        <v>3.3380000000000001</v>
        <stp/>
        <stp>P</stp>
        <stp>0</stp>
        <stp>IR</stp>
        <stp>BONDKIS7020210</stp>
        <stp>1.5년이하(당일)</stp>
        <stp>45523</stp>
        <stp/>
        <tr r="AW55" s="2"/>
        <tr r="AW55" s="2"/>
      </tp>
      <tp>
        <v>3.4079999999999999</v>
        <stp/>
        <stp>P</stp>
        <stp>0</stp>
        <stp>IR</stp>
        <stp>BONDKIS7010123</stp>
        <stp>2.5년이하(당일)</stp>
        <stp>45523</stp>
        <stp/>
        <tr r="AY66" s="2"/>
        <tr r="AY66" s="2"/>
      </tp>
      <tp>
        <v>3.2690000000000001</v>
        <stp/>
        <stp>P</stp>
        <stp>0</stp>
        <stp>IR</stp>
        <stp>BONDKIS7020120</stp>
        <stp>2.5년이하(당일)</stp>
        <stp>45523</stp>
        <stp/>
        <tr r="AY53" s="2"/>
        <tr r="AY53" s="2"/>
      </tp>
      <tp>
        <v>4.3550000000000004</v>
        <stp/>
        <stp>P</stp>
        <stp>0</stp>
        <stp>IR</stp>
        <stp>BONDKIS7010133</stp>
        <stp>2.5년이하(당일)</stp>
        <stp>45523</stp>
        <stp/>
        <tr r="AY69" s="2"/>
        <tr r="AY69" s="2"/>
      </tp>
      <tp>
        <v>3.4449999999999998</v>
        <stp/>
        <stp>P</stp>
        <stp>0</stp>
        <stp>IR</stp>
        <stp>BONDKIS7020130</stp>
        <stp>2.5년이하(당일)</stp>
        <stp>45523</stp>
        <stp/>
        <tr r="AY54" s="2"/>
        <tr r="AY54" s="2"/>
      </tp>
      <tp>
        <v>8.9779999999999998</v>
        <stp/>
        <stp>P</stp>
        <stp>0</stp>
        <stp>IR</stp>
        <stp>BONDKIS7010213</stp>
        <stp>2.5년이하(당일)</stp>
        <stp>45523</stp>
        <stp/>
        <tr r="AY72" s="2"/>
        <tr r="AY72" s="2"/>
      </tp>
      <tp>
        <v>3.24</v>
        <stp/>
        <stp>P</stp>
        <stp>0</stp>
        <stp>IR</stp>
        <stp>BONDKIS7020110</stp>
        <stp>1.5년이하(당일)</stp>
        <stp>45523</stp>
        <stp/>
        <tr r="AW52" s="2"/>
        <tr r="AW52" s="2"/>
      </tp>
      <tp>
        <v>3.31</v>
        <stp/>
        <stp>P</stp>
        <stp>0</stp>
        <stp>IR</stp>
        <stp>BONDKIS7020210</stp>
        <stp>2.5년이하(당일)</stp>
        <stp>45523</stp>
        <stp/>
        <tr r="AY55" s="2"/>
        <tr r="AY55" s="2"/>
      </tp>
      <tp>
        <v>3.37</v>
        <stp/>
        <stp>P</stp>
        <stp>0</stp>
        <stp>IR</stp>
        <stp>BONDKIS7010123</stp>
        <stp>1.5년이하(당일)</stp>
        <stp>45523</stp>
        <stp/>
        <tr r="AW66" s="2"/>
        <tr r="AW66" s="2"/>
      </tp>
      <tp>
        <v>3.302</v>
        <stp/>
        <stp>P</stp>
        <stp>0</stp>
        <stp>IR</stp>
        <stp>BONDKIS7020120</stp>
        <stp>1.5년이하(당일)</stp>
        <stp>45523</stp>
        <stp/>
        <tr r="AW53" s="2"/>
        <tr r="AW53" s="2"/>
      </tp>
      <tp>
        <v>4.1310000000000002</v>
        <stp/>
        <stp>P</stp>
        <stp>0</stp>
        <stp>IR</stp>
        <stp>BONDKIS7010133</stp>
        <stp>1.5년이하(당일)</stp>
        <stp>45523</stp>
        <stp/>
        <tr r="AW69" s="2"/>
        <tr r="AW69" s="2"/>
      </tp>
      <tp>
        <v>3.45</v>
        <stp/>
        <stp>P</stp>
        <stp>0</stp>
        <stp>IR</stp>
        <stp>BONDKIS7020130</stp>
        <stp>1.5년이하(당일)</stp>
        <stp>45523</stp>
        <stp/>
        <tr r="AW54" s="2"/>
        <tr r="AW54" s="2"/>
      </tp>
      <tp>
        <v>9.9459999999999997</v>
        <stp/>
        <stp>P</stp>
        <stp>0</stp>
        <stp>IR</stp>
        <stp>BONDKIS8010213</stp>
        <stp>2.5년이하(당일)</stp>
        <stp>45523</stp>
        <stp/>
        <tr r="AY82" s="2"/>
        <tr r="AY82" s="2"/>
      </tp>
      <tp>
        <v>3.6379999999999999</v>
        <stp/>
        <stp>P</stp>
        <stp>0</stp>
        <stp>IR</stp>
        <stp>BONDKIS8010123</stp>
        <stp>1.5년이하(당일)</stp>
        <stp>45523</stp>
        <stp/>
        <tr r="AW76" s="2"/>
        <tr r="AW76" s="2"/>
      </tp>
      <tp>
        <v>4.4489999999999998</v>
        <stp/>
        <stp>P</stp>
        <stp>0</stp>
        <stp>IR</stp>
        <stp>BONDKIS8010133</stp>
        <stp>1.5년이하(당일)</stp>
        <stp>45523</stp>
        <stp/>
        <tr r="AW79" s="2"/>
        <tr r="AW79" s="2"/>
      </tp>
      <tp>
        <v>8.6579999999999995</v>
        <stp/>
        <stp>P</stp>
        <stp>0</stp>
        <stp>IR</stp>
        <stp>BONDKIS8010213</stp>
        <stp>1.5년이하(당일)</stp>
        <stp>45523</stp>
        <stp/>
        <tr r="AW82" s="2"/>
        <tr r="AW82" s="2"/>
      </tp>
      <tp>
        <v>3.7229999999999999</v>
        <stp/>
        <stp>P</stp>
        <stp>0</stp>
        <stp>IR</stp>
        <stp>BONDKIS8010123</stp>
        <stp>2.5년이하(당일)</stp>
        <stp>45523</stp>
        <stp/>
        <tr r="AY76" s="2"/>
        <tr r="AY76" s="2"/>
      </tp>
      <tp>
        <v>4.72</v>
        <stp/>
        <stp>P</stp>
        <stp>0</stp>
        <stp>IR</stp>
        <stp>BONDKIS8010133</stp>
        <stp>2.5년이하(당일)</stp>
        <stp>45523</stp>
        <stp/>
        <tr r="AY79" s="2"/>
        <tr r="AY79" s="2"/>
      </tp>
      <tp>
        <v>4.7229999999999999</v>
        <stp/>
        <stp>P</stp>
        <stp>0</stp>
        <stp>IR</stp>
        <stp>BONDKBPF341</stp>
        <stp>3월이하(당일)</stp>
        <stp>45523</stp>
        <stp/>
        <tr r="AC80" s="2"/>
        <tr r="AC80" s="2"/>
      </tp>
      <tp>
        <v>6.4249999999999998</v>
        <stp/>
        <stp>P</stp>
        <stp>0</stp>
        <stp>IR</stp>
        <stp>BONDKBPE340</stp>
        <stp>3월이하(당일)</stp>
        <stp>45523</stp>
        <stp/>
        <tr r="AC50" s="2"/>
        <tr r="AC50" s="2"/>
      </tp>
      <tp>
        <v>5.7939999999999996</v>
        <stp/>
        <stp>P</stp>
        <stp>0</stp>
        <stp>IR</stp>
        <stp>BONDKBPF343</stp>
        <stp>3월이하(당일)</stp>
        <stp>45523</stp>
        <stp/>
        <tr r="AC82" s="2"/>
        <tr r="AC82" s="2"/>
      </tp>
      <tp>
        <v>5.76</v>
        <stp/>
        <stp>P</stp>
        <stp>0</stp>
        <stp>IR</stp>
        <stp>BONDKBPE342</stp>
        <stp>3월이하(당일)</stp>
        <stp>45523</stp>
        <stp/>
        <tr r="AC49" s="2"/>
        <tr r="AC49" s="2"/>
      </tp>
      <tp>
        <v>5.0919999999999996</v>
        <stp/>
        <stp>P</stp>
        <stp>0</stp>
        <stp>IR</stp>
        <stp>BONDKBPF342</stp>
        <stp>3월이하(당일)</stp>
        <stp>45523</stp>
        <stp/>
        <tr r="AC81" s="2"/>
        <tr r="AC81" s="2"/>
      </tp>
      <tp>
        <v>7.5250000000000004</v>
        <stp/>
        <stp>P</stp>
        <stp>0</stp>
        <stp>IR</stp>
        <stp>BONDKBPE350</stp>
        <stp>3월이하(당일)</stp>
        <stp>45523</stp>
        <stp/>
        <tr r="AC51" s="2"/>
        <tr r="AC51" s="2"/>
      </tp>
      <tp>
        <v>3.427</v>
        <stp/>
        <stp>P</stp>
        <stp>0</stp>
        <stp>IR</stp>
        <stp>BONDKBPF321</stp>
        <stp>3월이하(당일)</stp>
        <stp>45523</stp>
        <stp/>
        <tr r="AC74" s="2"/>
        <tr r="AC74" s="2"/>
      </tp>
      <tp>
        <v>4.5739999999999998</v>
        <stp/>
        <stp>P</stp>
        <stp>0</stp>
        <stp>IR</stp>
        <stp>BONDKBPE320</stp>
        <stp>3월이하(당일)</stp>
        <stp>45523</stp>
        <stp/>
        <tr r="AC47" s="2"/>
        <tr r="AC47" s="2"/>
      </tp>
      <tp>
        <v>3.4950000000000001</v>
        <stp/>
        <stp>P</stp>
        <stp>0</stp>
        <stp>IR</stp>
        <stp>BONDKBPF323</stp>
        <stp>3월이하(당일)</stp>
        <stp>45523</stp>
        <stp/>
        <tr r="AC76" s="2"/>
        <tr r="AC76" s="2"/>
      </tp>
      <tp>
        <v>3.4550000000000001</v>
        <stp/>
        <stp>P</stp>
        <stp>0</stp>
        <stp>IR</stp>
        <stp>BONDKBPF322</stp>
        <stp>3월이하(당일)</stp>
        <stp>45523</stp>
        <stp/>
        <tr r="AC75" s="2"/>
        <tr r="AC75" s="2"/>
      </tp>
      <tp>
        <v>3.6760000000000002</v>
        <stp/>
        <stp>P</stp>
        <stp>0</stp>
        <stp>IR</stp>
        <stp>BONDKBPF331</stp>
        <stp>3월이하(당일)</stp>
        <stp>45523</stp>
        <stp/>
        <tr r="AC77" s="2"/>
        <tr r="AC77" s="2"/>
      </tp>
      <tp>
        <v>5.0940000000000003</v>
        <stp/>
        <stp>P</stp>
        <stp>0</stp>
        <stp>IR</stp>
        <stp>BONDKBPE330</stp>
        <stp>3월이하(당일)</stp>
        <stp>45523</stp>
        <stp/>
        <tr r="AC48" s="2"/>
        <tr r="AC48" s="2"/>
      </tp>
      <tp>
        <v>4.1440000000000001</v>
        <stp/>
        <stp>P</stp>
        <stp>0</stp>
        <stp>IR</stp>
        <stp>BONDKBPF333</stp>
        <stp>3월이하(당일)</stp>
        <stp>45523</stp>
        <stp/>
        <tr r="AC79" s="2"/>
        <tr r="AC79" s="2"/>
      </tp>
      <tp>
        <v>3.8540000000000001</v>
        <stp/>
        <stp>P</stp>
        <stp>0</stp>
        <stp>IR</stp>
        <stp>BONDKBPF332</stp>
        <stp>3월이하(당일)</stp>
        <stp>45523</stp>
        <stp/>
        <tr r="AC78" s="2"/>
        <tr r="AC78" s="2"/>
      </tp>
      <tp>
        <v>3.4359999999999999</v>
        <stp/>
        <stp>P</stp>
        <stp>0</stp>
        <stp>IR</stp>
        <stp>BONDKBPE304</stp>
        <stp>3월이하(당일)</stp>
        <stp>45523</stp>
        <stp/>
        <tr r="AC43" s="2"/>
        <tr r="AC43" s="2"/>
      </tp>
      <tp>
        <v>3.3479999999999999</v>
        <stp/>
        <stp>P</stp>
        <stp>0</stp>
        <stp>IR</stp>
        <stp>BONDKBPA300</stp>
        <stp>3월이하(당일)</stp>
        <stp>45523</stp>
        <stp/>
        <tr r="AC10" s="2"/>
        <tr r="AC10" s="2"/>
      </tp>
      <tp>
        <v>3.4119999999999999</v>
        <stp/>
        <stp>P</stp>
        <stp>0</stp>
        <stp>IR</stp>
        <stp>BONDKBPC300</stp>
        <stp>3월이하(당일)</stp>
        <stp>45523</stp>
        <stp/>
        <tr r="AC16" s="2"/>
        <tr r="AC16" s="2"/>
      </tp>
      <tp>
        <v>3.4790000000000001</v>
        <stp/>
        <stp>P</stp>
        <stp>0</stp>
        <stp>IR</stp>
        <stp>BONDKBPE300</stp>
        <stp>3월이하(당일)</stp>
        <stp>45523</stp>
        <stp/>
        <tr r="AC45" s="2"/>
        <tr r="AC45" s="2"/>
      </tp>
      <tp>
        <v>3.4510000000000001</v>
        <stp/>
        <stp>P</stp>
        <stp>0</stp>
        <stp>IR</stp>
        <stp>BONDKBPE302</stp>
        <stp>3월이하(당일)</stp>
        <stp>45523</stp>
        <stp/>
        <tr r="AC44" s="2"/>
        <tr r="AC44" s="2"/>
      </tp>
      <tp>
        <v>4.01</v>
        <stp/>
        <stp>P</stp>
        <stp>0</stp>
        <stp>IR</stp>
        <stp>BONDKBPE310</stp>
        <stp>3월이하(당일)</stp>
        <stp>45523</stp>
        <stp/>
        <tr r="AC46" s="2"/>
        <tr r="AC46" s="2"/>
      </tp>
      <tp>
        <v>3.4159999999999999</v>
        <stp/>
        <stp>P</stp>
        <stp>0</stp>
        <stp>IR</stp>
        <stp>BONDKBPF312</stp>
        <stp>3월이하(당일)</stp>
        <stp>45523</stp>
        <stp/>
        <tr r="AC73" s="2"/>
        <tr r="AC73" s="2"/>
      </tp>
      <tp>
        <v>3.1469999999999998</v>
        <stp/>
        <stp>P</stp>
        <stp>0</stp>
        <stp>IR</stp>
        <stp>BONDNIC3030110</stp>
        <stp>2.5년이하(당일)</stp>
        <stp>45523</stp>
        <stp/>
        <tr r="BO16" s="2"/>
        <tr r="BO16" s="2"/>
      </tp>
      <tp>
        <v>3.0819999999999999</v>
        <stp/>
        <stp>P</stp>
        <stp>0</stp>
        <stp>IR</stp>
        <stp>BONDNIC1030000</stp>
        <stp>1.5년이하(당일)</stp>
        <stp>45523</stp>
        <stp/>
        <tr r="BM10" s="2"/>
        <tr r="BM10" s="2"/>
      </tp>
      <tp>
        <v>3.1840000000000002</v>
        <stp/>
        <stp>P</stp>
        <stp>0</stp>
        <stp>IR</stp>
        <stp>BONDNIC3030110</stp>
        <stp>1.5년이하(당일)</stp>
        <stp>45523</stp>
        <stp/>
        <tr r="BM16" s="2"/>
        <tr r="BM16" s="2"/>
      </tp>
      <tp>
        <v>2.99</v>
        <stp/>
        <stp>P</stp>
        <stp>0</stp>
        <stp>IR</stp>
        <stp>BONDNIC1030000</stp>
        <stp>2.5년이하(당일)</stp>
        <stp>45523</stp>
        <stp/>
        <tr r="BO10" s="2"/>
        <tr r="BO10" s="2"/>
      </tp>
      <tp>
        <v>3.2709999999999999</v>
        <stp/>
        <stp>P</stp>
        <stp>0</stp>
        <stp>IR</stp>
        <stp>BONDNIC5030110</stp>
        <stp>1.5년이하(당일)</stp>
        <stp>45523</stp>
        <stp/>
        <tr r="BM27" s="2"/>
        <tr r="BM27" s="2"/>
      </tp>
      <tp>
        <v>3.28</v>
        <stp/>
        <stp>P</stp>
        <stp>0</stp>
        <stp>IR</stp>
        <stp>BONDNIC7030110</stp>
        <stp>2.5년이하(당일)</stp>
        <stp>45523</stp>
        <stp/>
        <tr r="BO63" s="2"/>
        <tr r="BO63" s="2"/>
      </tp>
      <tp>
        <v>3.28</v>
        <stp/>
        <stp>P</stp>
        <stp>0</stp>
        <stp>IR</stp>
        <stp>BONDNIC7130110</stp>
        <stp>2.5년이하(당일)</stp>
        <stp>45523</stp>
        <stp/>
        <tr r="BO56" s="2"/>
        <tr r="BO56" s="2"/>
      </tp>
      <tp>
        <v>3.1520000000000001</v>
        <stp/>
        <stp>P</stp>
        <stp>0</stp>
        <stp>IR</stp>
        <stp>BONDNIC7430110</stp>
        <stp>2.5년이하(당일)</stp>
        <stp>45523</stp>
        <stp/>
        <tr r="BO83" s="2"/>
        <tr r="BO83" s="2"/>
      </tp>
      <tp>
        <v>3.319</v>
        <stp/>
        <stp>P</stp>
        <stp>0</stp>
        <stp>IR</stp>
        <stp>BONDNIC7030110</stp>
        <stp>1.5년이하(당일)</stp>
        <stp>45523</stp>
        <stp/>
        <tr r="BM63" s="2"/>
        <tr r="BM63" s="2"/>
      </tp>
      <tp>
        <v>3.319</v>
        <stp/>
        <stp>P</stp>
        <stp>0</stp>
        <stp>IR</stp>
        <stp>BONDNIC7130110</stp>
        <stp>1.5년이하(당일)</stp>
        <stp>45523</stp>
        <stp/>
        <tr r="BM56" s="2"/>
        <tr r="BM56" s="2"/>
      </tp>
      <tp>
        <v>3.1840000000000002</v>
        <stp/>
        <stp>P</stp>
        <stp>0</stp>
        <stp>IR</stp>
        <stp>BONDNIC7430110</stp>
        <stp>1.5년이하(당일)</stp>
        <stp>45523</stp>
        <stp/>
        <tr r="BM83" s="2"/>
        <tr r="BM83" s="2"/>
      </tp>
      <tp>
        <v>3.2109999999999999</v>
        <stp/>
        <stp>P</stp>
        <stp>0</stp>
        <stp>IR</stp>
        <stp>BONDNIC5030110</stp>
        <stp>2.5년이하(당일)</stp>
        <stp>45523</stp>
        <stp/>
        <tr r="BO27" s="2"/>
        <tr r="BO27" s="2"/>
      </tp>
      <tp>
        <v>3.4689999999999999</v>
        <stp/>
        <stp>P</stp>
        <stp>0</stp>
        <stp>IR</stp>
        <stp>BONDNIC8030110</stp>
        <stp>1.5년이하(당일)</stp>
        <stp>45523</stp>
        <stp/>
        <tr r="BM73" s="2"/>
        <tr r="BM73" s="2"/>
      </tp>
      <tp>
        <v>3.45</v>
        <stp/>
        <stp>P</stp>
        <stp>0</stp>
        <stp>IR</stp>
        <stp>BONDNIC8030110</stp>
        <stp>2.5년이하(당일)</stp>
        <stp>45523</stp>
        <stp/>
        <tr r="BO73" s="2"/>
        <tr r="BO73" s="2"/>
      </tp>
      <tp>
        <v>3.1789999999999998</v>
        <stp/>
        <stp>P</stp>
        <stp>0</stp>
        <stp>IR</stp>
        <stp>BONDKIS3033110</stp>
        <stp>2.5년이하(당일)</stp>
        <stp>45523</stp>
        <stp/>
        <tr r="AY16" s="2"/>
        <tr r="AY16" s="2"/>
      </tp>
      <tp>
        <v>3.206</v>
        <stp/>
        <stp>P</stp>
        <stp>0</stp>
        <stp>IR</stp>
        <stp>BONDKIS3033110</stp>
        <stp>1.5년이하(당일)</stp>
        <stp>45523</stp>
        <stp/>
        <tr r="AW16" s="2"/>
        <tr r="AW16" s="2"/>
      </tp>
      <tp>
        <v>3.911</v>
        <stp/>
        <stp>P</stp>
        <stp>0</stp>
        <stp>IR</stp>
        <stp>BONDFNP5050131</stp>
        <stp>1.5년이하(당일)</stp>
        <stp>45523</stp>
        <stp/>
        <tr r="CC31" s="2"/>
        <tr r="CC31" s="2"/>
      </tp>
      <tp>
        <v>3.2530000000000001</v>
        <stp/>
        <stp>P</stp>
        <stp>0</stp>
        <stp>IR</stp>
        <stp>BONDKIS5033110</stp>
        <stp>1.5년이하(당일)</stp>
        <stp>45523</stp>
        <stp/>
        <tr r="AW27" s="2"/>
        <tr r="AW27" s="2"/>
      </tp>
      <tp>
        <v>7.7850000000000001</v>
        <stp/>
        <stp>P</stp>
        <stp>0</stp>
        <stp>IR</stp>
        <stp>BONDKIS6013212</stp>
        <stp>1.5년이하(당일)</stp>
        <stp>45523</stp>
        <stp/>
        <tr r="AW50" s="2"/>
        <tr r="AW50" s="2"/>
      </tp>
      <tp>
        <v>3.4409999999999998</v>
        <stp/>
        <stp>P</stp>
        <stp>0</stp>
        <stp>IR</stp>
        <stp>BONDKIS6013122</stp>
        <stp>2.5년이하(당일)</stp>
        <stp>45523</stp>
        <stp/>
        <tr r="AY44" s="2"/>
        <tr r="AY44" s="2"/>
      </tp>
      <tp>
        <v>5.2789999999999999</v>
        <stp/>
        <stp>P</stp>
        <stp>0</stp>
        <stp>IR</stp>
        <stp>BONDKIS6013132</stp>
        <stp>2.5년이하(당일)</stp>
        <stp>45523</stp>
        <stp/>
        <tr r="AY47" s="2"/>
        <tr r="AY47" s="2"/>
      </tp>
      <tp>
        <v>3.919</v>
        <stp/>
        <stp>P</stp>
        <stp>0</stp>
        <stp>IR</stp>
        <stp>BONDFNP5050131</stp>
        <stp>2.5년이하(당일)</stp>
        <stp>45523</stp>
        <stp/>
        <tr r="CE31" s="2"/>
        <tr r="CE31" s="2"/>
      </tp>
      <tp>
        <v>3.2210000000000001</v>
        <stp/>
        <stp>P</stp>
        <stp>0</stp>
        <stp>IR</stp>
        <stp>BONDKIS5033110</stp>
        <stp>2.5년이하(당일)</stp>
        <stp>45523</stp>
        <stp/>
        <tr r="AY27" s="2"/>
        <tr r="AY27" s="2"/>
      </tp>
      <tp>
        <v>8.3089999999999993</v>
        <stp/>
        <stp>P</stp>
        <stp>0</stp>
        <stp>IR</stp>
        <stp>BONDKIS6013212</stp>
        <stp>2.5년이하(당일)</stp>
        <stp>45523</stp>
        <stp/>
        <tr r="AY50" s="2"/>
        <tr r="AY50" s="2"/>
      </tp>
      <tp>
        <v>3.492</v>
        <stp/>
        <stp>P</stp>
        <stp>0</stp>
        <stp>IR</stp>
        <stp>BONDKIS6013122</stp>
        <stp>1.5년이하(당일)</stp>
        <stp>45523</stp>
        <stp/>
        <tr r="AW44" s="2"/>
        <tr r="AW44" s="2"/>
      </tp>
      <tp>
        <v>5.2140000000000004</v>
        <stp/>
        <stp>P</stp>
        <stp>0</stp>
        <stp>IR</stp>
        <stp>BONDKIS6013132</stp>
        <stp>1.5년이하(당일)</stp>
        <stp>45523</stp>
        <stp/>
        <tr r="AW47" s="2"/>
        <tr r="AW47" s="2"/>
      </tp>
      <tp>
        <v>3.0670000000000002</v>
        <stp/>
        <stp>P</stp>
        <stp>0</stp>
        <stp>IR</stp>
        <stp>BONDKIS1030000</stp>
        <stp>1.5년이하(당일)</stp>
        <stp>45523</stp>
        <stp/>
        <tr r="AW10" s="2"/>
        <tr r="AW10" s="2"/>
      </tp>
      <tp>
        <v>3.02</v>
        <stp/>
        <stp>P</stp>
        <stp>0</stp>
        <stp>IR</stp>
        <stp>BONDKIS1030000</stp>
        <stp>2.5년이하(당일)</stp>
        <stp>45523</stp>
        <stp/>
        <tr r="AY10" s="2"/>
        <tr r="AY10" s="2"/>
      </tp>
      <tp>
        <v>6.6159999999999997</v>
        <stp/>
        <stp>P</stp>
        <stp>0</stp>
        <stp>IR</stp>
        <stp>BONDKIS7010212</stp>
        <stp>1.5년이하(당일)</stp>
        <stp>45523</stp>
        <stp/>
        <tr r="AW71" s="2"/>
        <tr r="AW71" s="2"/>
      </tp>
      <tp>
        <v>3.371</v>
        <stp/>
        <stp>P</stp>
        <stp>0</stp>
        <stp>IR</stp>
        <stp>BONDKIS7010122</stp>
        <stp>2.5년이하(당일)</stp>
        <stp>45523</stp>
        <stp/>
        <tr r="AY65" s="2"/>
        <tr r="AY65" s="2"/>
      </tp>
      <tp>
        <v>3.96</v>
        <stp/>
        <stp>P</stp>
        <stp>0</stp>
        <stp>IR</stp>
        <stp>BONDKIS7010132</stp>
        <stp>2.5년이하(당일)</stp>
        <stp>45523</stp>
        <stp/>
        <tr r="AY68" s="2"/>
        <tr r="AY68" s="2"/>
      </tp>
      <tp>
        <v>7.7460000000000004</v>
        <stp/>
        <stp>P</stp>
        <stp>0</stp>
        <stp>IR</stp>
        <stp>BONDKIS7010212</stp>
        <stp>2.5년이하(당일)</stp>
        <stp>45523</stp>
        <stp/>
        <tr r="AY71" s="2"/>
        <tr r="AY71" s="2"/>
      </tp>
      <tp>
        <v>3.3420000000000001</v>
        <stp/>
        <stp>P</stp>
        <stp>0</stp>
        <stp>IR</stp>
        <stp>BONDKIS7010122</stp>
        <stp>1.5년이하(당일)</stp>
        <stp>45523</stp>
        <stp/>
        <tr r="AW65" s="2"/>
        <tr r="AW65" s="2"/>
      </tp>
      <tp>
        <v>3.82</v>
        <stp/>
        <stp>P</stp>
        <stp>0</stp>
        <stp>IR</stp>
        <stp>BONDKIS7010132</stp>
        <stp>1.5년이하(당일)</stp>
        <stp>45523</stp>
        <stp/>
        <tr r="AW68" s="2"/>
        <tr r="AW68" s="2"/>
      </tp>
      <tp>
        <v>8.1739999999999995</v>
        <stp/>
        <stp>P</stp>
        <stp>0</stp>
        <stp>IR</stp>
        <stp>BONDKIS8010212</stp>
        <stp>2.5년이하(당일)</stp>
        <stp>45523</stp>
        <stp/>
        <tr r="AY81" s="2"/>
        <tr r="AY81" s="2"/>
      </tp>
      <tp>
        <v>3.5910000000000002</v>
        <stp/>
        <stp>P</stp>
        <stp>0</stp>
        <stp>IR</stp>
        <stp>BONDKIS8010122</stp>
        <stp>1.5년이하(당일)</stp>
        <stp>45523</stp>
        <stp/>
        <tr r="AW75" s="2"/>
        <tr r="AW75" s="2"/>
      </tp>
      <tp>
        <v>4.1280000000000001</v>
        <stp/>
        <stp>P</stp>
        <stp>0</stp>
        <stp>IR</stp>
        <stp>BONDKIS8010132</stp>
        <stp>1.5년이하(당일)</stp>
        <stp>45523</stp>
        <stp/>
        <tr r="AW78" s="2"/>
        <tr r="AW78" s="2"/>
      </tp>
      <tp>
        <v>6.9930000000000003</v>
        <stp/>
        <stp>P</stp>
        <stp>0</stp>
        <stp>IR</stp>
        <stp>BONDKIS8010212</stp>
        <stp>1.5년이하(당일)</stp>
        <stp>45523</stp>
        <stp/>
        <tr r="AW81" s="2"/>
        <tr r="AW81" s="2"/>
      </tp>
      <tp>
        <v>3.6640000000000001</v>
        <stp/>
        <stp>P</stp>
        <stp>0</stp>
        <stp>IR</stp>
        <stp>BONDKIS8010122</stp>
        <stp>2.5년이하(당일)</stp>
        <stp>45523</stp>
        <stp/>
        <tr r="AY75" s="2"/>
        <tr r="AY75" s="2"/>
      </tp>
      <tp>
        <v>4.3150000000000004</v>
        <stp/>
        <stp>P</stp>
        <stp>0</stp>
        <stp>IR</stp>
        <stp>BONDKIS8010132</stp>
        <stp>2.5년이하(당일)</stp>
        <stp>45523</stp>
        <stp/>
        <tr r="AY78" s="2"/>
        <tr r="AY78" s="2"/>
      </tp>
      <tp>
        <v>3.4119999999999999</v>
        <stp/>
        <stp>P</stp>
        <stp>0</stp>
        <stp>IR</stp>
        <stp>BONDKBPZ001</stp>
        <stp>3월이하(당일)</stp>
        <stp>45523</stp>
        <stp/>
        <tr r="AC83" s="2"/>
        <tr r="AC83" s="2"/>
      </tp>
      <tp>
        <v>3.28</v>
        <stp/>
        <stp>P</stp>
        <stp>0</stp>
        <stp>IR</stp>
        <stp>BONDKBPD001</stp>
        <stp>3월이하(당일)</stp>
        <stp>45523</stp>
        <stp/>
        <tr r="AC21" s="2"/>
        <tr r="AC21" s="2"/>
      </tp>
      <tp>
        <v>3.3140000000000001</v>
        <stp/>
        <stp>P</stp>
        <stp>0</stp>
        <stp>IR</stp>
        <stp>BONDKBPC500</stp>
        <stp>6월이하(당일)</stp>
        <stp>45523</stp>
        <stp/>
        <tr r="AD15" s="2"/>
        <tr r="AD15" s="2"/>
      </tp>
      <tp>
        <v>3.28</v>
        <stp/>
        <stp>P</stp>
        <stp>0</stp>
        <stp>IR</stp>
        <stp>BONDKBPD000</stp>
        <stp>3월이하(당일)</stp>
        <stp>45523</stp>
        <stp/>
        <tr r="AC20" s="2"/>
        <tr r="AC20" s="2"/>
      </tp>
      <tp>
        <v>3.0419999999999998</v>
        <stp/>
        <stp>P</stp>
        <stp>0</stp>
        <stp>IR</stp>
        <stp>BONDNIC4000000</stp>
        <stp>1.5년이하(당일)</stp>
        <stp>45523</stp>
        <stp/>
        <tr r="BM20" s="2"/>
        <tr r="BM20" s="2"/>
      </tp>
      <tp>
        <v>2.9950000000000001</v>
        <stp/>
        <stp>P</stp>
        <stp>0</stp>
        <stp>IR</stp>
        <stp>BONDNIC4000000</stp>
        <stp>2.5년이하(당일)</stp>
        <stp>45523</stp>
        <stp/>
        <tr r="BO20" s="2"/>
        <tr r="BO20" s="2"/>
      </tp>
      <tp>
        <v>3.536</v>
        <stp/>
        <stp>P</stp>
        <stp>0</stp>
        <stp>IR</stp>
        <stp>BONDFNP3040123</stp>
        <stp>2.5년이하(당일)</stp>
        <stp>45523</stp>
        <stp/>
        <tr r="CE19" s="2"/>
        <tr r="CE19" s="2"/>
      </tp>
      <tp>
        <v>3.5649999999999999</v>
        <stp/>
        <stp>P</stp>
        <stp>0</stp>
        <stp>IR</stp>
        <stp>BONDFNP3040123</stp>
        <stp>1.5년이하(당일)</stp>
        <stp>45523</stp>
        <stp/>
        <tr r="CC19" s="2"/>
        <tr r="CC19" s="2"/>
      </tp>
      <tp>
        <v>4.008</v>
        <stp/>
        <stp>P</stp>
        <stp>0</stp>
        <stp>IR</stp>
        <stp>BONDFNP5050132</stp>
        <stp>1.5년이하(당일)</stp>
        <stp>45523</stp>
        <stp/>
        <tr r="CC32" s="2"/>
        <tr r="CC32" s="2"/>
      </tp>
      <tp>
        <v>3.8090000000000002</v>
        <stp/>
        <stp>P</stp>
        <stp>0</stp>
        <stp>IR</stp>
        <stp>BONDFNP5040123</stp>
        <stp>1.5년이하(당일)</stp>
        <stp>45523</stp>
        <stp/>
        <tr r="CC30" s="2"/>
        <tr r="CC30" s="2"/>
      </tp>
      <tp>
        <v>3.0419999999999998</v>
        <stp/>
        <stp>P</stp>
        <stp>0</stp>
        <stp>IR</stp>
        <stp>BONDKIS4003000</stp>
        <stp>1.5년이하(당일)</stp>
        <stp>45523</stp>
        <stp/>
        <tr r="AW20" s="2"/>
        <tr r="AW20" s="2"/>
      </tp>
      <tp>
        <v>6.9960000000000004</v>
        <stp/>
        <stp>P</stp>
        <stp>0</stp>
        <stp>IR</stp>
        <stp>BONDKIS6013211</stp>
        <stp>1.5년이하(당일)</stp>
        <stp>45523</stp>
        <stp/>
        <tr r="AW49" s="2"/>
        <tr r="AW49" s="2"/>
      </tp>
      <tp>
        <v>3.3690000000000002</v>
        <stp/>
        <stp>P</stp>
        <stp>0</stp>
        <stp>IR</stp>
        <stp>BONDKIS6013121</stp>
        <stp>2.5년이하(당일)</stp>
        <stp>45523</stp>
        <stp/>
        <tr r="AY43" s="2"/>
        <tr r="AY43" s="2"/>
      </tp>
      <tp>
        <v>4.4960000000000004</v>
        <stp/>
        <stp>P</stp>
        <stp>0</stp>
        <stp>IR</stp>
        <stp>BONDKIS6013131</stp>
        <stp>2.5년이하(당일)</stp>
        <stp>45523</stp>
        <stp/>
        <tr r="AY46" s="2"/>
        <tr r="AY46" s="2"/>
      </tp>
      <tp>
        <v>4.0190000000000001</v>
        <stp/>
        <stp>P</stp>
        <stp>0</stp>
        <stp>IR</stp>
        <stp>BONDFNP5050132</stp>
        <stp>2.5년이하(당일)</stp>
        <stp>45523</stp>
        <stp/>
        <tr r="CE32" s="2"/>
        <tr r="CE32" s="2"/>
      </tp>
      <tp>
        <v>3.8039999999999998</v>
        <stp/>
        <stp>P</stp>
        <stp>0</stp>
        <stp>IR</stp>
        <stp>BONDFNP5040123</stp>
        <stp>2.5년이하(당일)</stp>
        <stp>45523</stp>
        <stp/>
        <tr r="CE30" s="2"/>
        <tr r="CE30" s="2"/>
      </tp>
      <tp>
        <v>2.99</v>
        <stp/>
        <stp>P</stp>
        <stp>0</stp>
        <stp>IR</stp>
        <stp>BONDKIS4003000</stp>
        <stp>2.5년이하(당일)</stp>
        <stp>45523</stp>
        <stp/>
        <tr r="AY20" s="2"/>
        <tr r="AY20" s="2"/>
      </tp>
      <tp>
        <v>7.3849999999999998</v>
        <stp/>
        <stp>P</stp>
        <stp>0</stp>
        <stp>IR</stp>
        <stp>BONDKIS6013211</stp>
        <stp>2.5년이하(당일)</stp>
        <stp>45523</stp>
        <stp/>
        <tr r="AY49" s="2"/>
        <tr r="AY49" s="2"/>
      </tp>
      <tp>
        <v>3.4369999999999998</v>
        <stp/>
        <stp>P</stp>
        <stp>0</stp>
        <stp>IR</stp>
        <stp>BONDKIS6013121</stp>
        <stp>1.5년이하(당일)</stp>
        <stp>45523</stp>
        <stp/>
        <tr r="AW43" s="2"/>
        <tr r="AW43" s="2"/>
      </tp>
      <tp>
        <v>4.444</v>
        <stp/>
        <stp>P</stp>
        <stp>0</stp>
        <stp>IR</stp>
        <stp>BONDKIS6013131</stp>
        <stp>1.5년이하(당일)</stp>
        <stp>45523</stp>
        <stp/>
        <tr r="AW46" s="2"/>
        <tr r="AW46" s="2"/>
      </tp>
      <tp>
        <v>5.806</v>
        <stp/>
        <stp>P</stp>
        <stp>0</stp>
        <stp>IR</stp>
        <stp>BONDKIS7010211</stp>
        <stp>1.5년이하(당일)</stp>
        <stp>45523</stp>
        <stp/>
        <tr r="AW70" s="2"/>
        <tr r="AW70" s="2"/>
      </tp>
      <tp>
        <v>3.3460000000000001</v>
        <stp/>
        <stp>P</stp>
        <stp>0</stp>
        <stp>IR</stp>
        <stp>BONDKIS7010121</stp>
        <stp>2.5년이하(당일)</stp>
        <stp>45523</stp>
        <stp/>
        <tr r="AY64" s="2"/>
        <tr r="AY64" s="2"/>
      </tp>
      <tp>
        <v>3.7839999999999998</v>
        <stp/>
        <stp>P</stp>
        <stp>0</stp>
        <stp>IR</stp>
        <stp>BONDKIS7010131</stp>
        <stp>2.5년이하(당일)</stp>
        <stp>45523</stp>
        <stp/>
        <tr r="AY67" s="2"/>
        <tr r="AY67" s="2"/>
      </tp>
      <tp>
        <v>6.7160000000000002</v>
        <stp/>
        <stp>P</stp>
        <stp>0</stp>
        <stp>IR</stp>
        <stp>BONDKIS7010211</stp>
        <stp>2.5년이하(당일)</stp>
        <stp>45523</stp>
        <stp/>
        <tr r="AY70" s="2"/>
        <tr r="AY70" s="2"/>
      </tp>
      <tp>
        <v>3.3319999999999999</v>
        <stp/>
        <stp>P</stp>
        <stp>0</stp>
        <stp>IR</stp>
        <stp>BONDKIS7010121</stp>
        <stp>1.5년이하(당일)</stp>
        <stp>45523</stp>
        <stp/>
        <tr r="AW64" s="2"/>
        <tr r="AW64" s="2"/>
      </tp>
      <tp>
        <v>3.653</v>
        <stp/>
        <stp>P</stp>
        <stp>0</stp>
        <stp>IR</stp>
        <stp>BONDKIS7010131</stp>
        <stp>1.5년이하(당일)</stp>
        <stp>45523</stp>
        <stp/>
        <tr r="AW67" s="2"/>
        <tr r="AW67" s="2"/>
      </tp>
      <tp>
        <v>7.1239999999999997</v>
        <stp/>
        <stp>P</stp>
        <stp>0</stp>
        <stp>IR</stp>
        <stp>BONDKIS8010211</stp>
        <stp>2.5년이하(당일)</stp>
        <stp>45523</stp>
        <stp/>
        <tr r="AY80" s="2"/>
        <tr r="AY80" s="2"/>
      </tp>
      <tp>
        <v>3.5710000000000002</v>
        <stp/>
        <stp>P</stp>
        <stp>0</stp>
        <stp>IR</stp>
        <stp>BONDKIS8010121</stp>
        <stp>1.5년이하(당일)</stp>
        <stp>45523</stp>
        <stp/>
        <tr r="AW74" s="2"/>
        <tr r="AW74" s="2"/>
      </tp>
      <tp>
        <v>3.9510000000000001</v>
        <stp/>
        <stp>P</stp>
        <stp>0</stp>
        <stp>IR</stp>
        <stp>BONDKIS8010131</stp>
        <stp>1.5년이하(당일)</stp>
        <stp>45523</stp>
        <stp/>
        <tr r="AW77" s="2"/>
        <tr r="AW77" s="2"/>
      </tp>
      <tp>
        <v>6.1630000000000003</v>
        <stp/>
        <stp>P</stp>
        <stp>0</stp>
        <stp>IR</stp>
        <stp>BONDKIS8010211</stp>
        <stp>1.5년이하(당일)</stp>
        <stp>45523</stp>
        <stp/>
        <tr r="AW80" s="2"/>
        <tr r="AW80" s="2"/>
      </tp>
      <tp>
        <v>3.629</v>
        <stp/>
        <stp>P</stp>
        <stp>0</stp>
        <stp>IR</stp>
        <stp>BONDKIS8010121</stp>
        <stp>2.5년이하(당일)</stp>
        <stp>45523</stp>
        <stp/>
        <tr r="AY74" s="2"/>
        <tr r="AY74" s="2"/>
      </tp>
      <tp>
        <v>4.1289999999999996</v>
        <stp/>
        <stp>P</stp>
        <stp>0</stp>
        <stp>IR</stp>
        <stp>BONDKIS8010131</stp>
        <stp>2.5년이하(당일)</stp>
        <stp>45523</stp>
        <stp/>
        <tr r="AY77" s="2"/>
        <tr r="AY77" s="2"/>
      </tp>
      <tp>
        <v>3.4369999999999998</v>
        <stp/>
        <stp>P</stp>
        <stp>0</stp>
        <stp>IR</stp>
        <stp>BONDKIS9999119</stp>
        <stp>1.5년이하(당일)</stp>
        <stp>45523</stp>
        <stp/>
        <tr r="AW34" s="2"/>
        <tr r="AW34" s="2"/>
      </tp>
      <tp>
        <v>3.3690000000000002</v>
        <stp/>
        <stp>P</stp>
        <stp>0</stp>
        <stp>IR</stp>
        <stp>BONDKIS9999119</stp>
        <stp>2.5년이하(당일)</stp>
        <stp>45523</stp>
        <stp/>
        <tr r="AY34" s="2"/>
        <tr r="AY34" s="2"/>
      </tp>
      <tp>
        <v>3.4590000000000001</v>
        <stp/>
        <stp>P</stp>
        <stp>0</stp>
        <stp>IR</stp>
        <stp>BONDKBPE144</stp>
        <stp>3월이하(당일)</stp>
        <stp>45523</stp>
        <stp/>
        <tr r="AC28" s="2"/>
        <tr r="AC28" s="2"/>
      </tp>
      <tp>
        <v>3.8239999999999998</v>
        <stp/>
        <stp>P</stp>
        <stp>0</stp>
        <stp>IR</stp>
        <stp>BONDKBPF144</stp>
        <stp>3월이하(당일)</stp>
        <stp>45523</stp>
        <stp/>
        <tr r="AC55" s="2"/>
        <tr r="AC55" s="2"/>
      </tp>
      <tp>
        <v>3.6269999999999998</v>
        <stp/>
        <stp>P</stp>
        <stp>0</stp>
        <stp>IR</stp>
        <stp>BONDKBPE140</stp>
        <stp>3월이하(당일)</stp>
        <stp>45523</stp>
        <stp/>
        <tr r="AC29" s="2"/>
        <tr r="AC29" s="2"/>
      </tp>
      <tp>
        <v>3.782</v>
        <stp/>
        <stp>P</stp>
        <stp>0</stp>
        <stp>IR</stp>
        <stp>BONDKBPE142</stp>
        <stp>3월이하(당일)</stp>
        <stp>45523</stp>
        <stp/>
        <tr r="AC30" s="2"/>
        <tr r="AC30" s="2"/>
      </tp>
      <tp>
        <v>3.867</v>
        <stp/>
        <stp>P</stp>
        <stp>0</stp>
        <stp>IR</stp>
        <stp>BONDKBPE150</stp>
        <stp>3월이하(당일)</stp>
        <stp>45523</stp>
        <stp/>
        <tr r="AC31" s="2"/>
        <tr r="AC31" s="2"/>
      </tp>
      <tp>
        <v>3.4249999999999998</v>
        <stp/>
        <stp>P</stp>
        <stp>0</stp>
        <stp>IR</stp>
        <stp>BONDKBPF124</stp>
        <stp>3월이하(당일)</stp>
        <stp>45523</stp>
        <stp/>
        <tr r="AC53" s="2"/>
        <tr r="AC53" s="2"/>
      </tp>
      <tp>
        <v>3.411</v>
        <stp/>
        <stp>P</stp>
        <stp>0</stp>
        <stp>IR</stp>
        <stp>BONDKBPE121</stp>
        <stp>3월이하(당일)</stp>
        <stp>45523</stp>
        <stp/>
        <tr r="AC26" s="2"/>
        <tr r="AC26" s="2"/>
      </tp>
      <tp>
        <v>3.41</v>
        <stp/>
        <stp>P</stp>
        <stp>0</stp>
        <stp>IR</stp>
        <stp>BONDKBPE120</stp>
        <stp>3월이하(당일)</stp>
        <stp>45523</stp>
        <stp/>
        <tr r="AC25" s="2"/>
        <tr r="AC25" s="2"/>
      </tp>
      <tp>
        <v>3.5649999999999999</v>
        <stp/>
        <stp>P</stp>
        <stp>0</stp>
        <stp>IR</stp>
        <stp>BONDKBPF134</stp>
        <stp>3월이하(당일)</stp>
        <stp>45523</stp>
        <stp/>
        <tr r="AC54" s="2"/>
        <tr r="AC54" s="2"/>
      </tp>
      <tp>
        <v>3.4350000000000001</v>
        <stp/>
        <stp>P</stp>
        <stp>0</stp>
        <stp>IR</stp>
        <stp>BONDKBPE130</stp>
        <stp>3월이하(당일)</stp>
        <stp>45523</stp>
        <stp/>
        <tr r="AC27" s="2"/>
        <tr r="AC27" s="2"/>
      </tp>
      <tp>
        <v>3.42</v>
        <stp/>
        <stp>P</stp>
        <stp>0</stp>
        <stp>IR</stp>
        <stp>BONDKBPE13C</stp>
        <stp>3월이하(당일)</stp>
        <stp>45523</stp>
        <stp/>
        <tr r="AC22" s="2"/>
        <tr r="AC22" s="2"/>
      </tp>
      <tp>
        <v>3.44</v>
        <stp/>
        <stp>P</stp>
        <stp>0</stp>
        <stp>IR</stp>
        <stp>BONDKBPC401</stp>
        <stp>6월이하(당일)</stp>
        <stp>45523</stp>
        <stp/>
        <tr r="AD17" s="2"/>
        <tr r="AD17" s="2"/>
      </tp>
      <tp>
        <v>3.335</v>
        <stp/>
        <stp>P</stp>
        <stp>0</stp>
        <stp>IR</stp>
        <stp>BONDKBPA100</stp>
        <stp>3월이하(당일)</stp>
        <stp>45523</stp>
        <stp/>
        <tr r="AC9" s="2"/>
        <tr r="AC9" s="2"/>
      </tp>
      <tp t="s">
        <v xml:space="preserve"> </v>
        <stp/>
        <stp>P</stp>
        <stp>0</stp>
        <stp>IR</stp>
        <stp>BONDKBPA400</stp>
        <stp>6월이하(당일)</stp>
        <stp>45523</stp>
        <stp/>
        <tr r="AD12" s="2"/>
        <tr r="AD12" s="2"/>
      </tp>
      <tp>
        <v>3.4039999999999999</v>
        <stp/>
        <stp>P</stp>
        <stp>0</stp>
        <stp>IR</stp>
        <stp>BONDKBPB100</stp>
        <stp>3월이하(당일)</stp>
        <stp>45523</stp>
        <stp/>
        <tr r="AC13" s="2"/>
        <tr r="AC13" s="2"/>
      </tp>
      <tp>
        <v>3.5129999999999999</v>
        <stp/>
        <stp>P</stp>
        <stp>0</stp>
        <stp>IR</stp>
        <stp>BONDKBPC400</stp>
        <stp>6월이하(당일)</stp>
        <stp>45523</stp>
        <stp/>
        <tr r="AD18" s="2"/>
        <tr r="AD18" s="2"/>
      </tp>
      <tp>
        <v>3.625</v>
        <stp/>
        <stp>P</stp>
        <stp>0</stp>
        <stp>IR</stp>
        <stp>BONDKBPC402</stp>
        <stp>6월이하(당일)</stp>
        <stp>45523</stp>
        <stp/>
        <tr r="AD19" s="2"/>
        <tr r="AD19" s="2"/>
      </tp>
      <tp>
        <v>3.4220000000000002</v>
        <stp/>
        <stp>P</stp>
        <stp>0</stp>
        <stp>IR</stp>
        <stp>BONDKBPF114</stp>
        <stp>3월이하(당일)</stp>
        <stp>45523</stp>
        <stp/>
        <tr r="AC52" s="2"/>
        <tr r="AC52" s="2"/>
      </tp>
      <tp>
        <v>3.411</v>
        <stp/>
        <stp>P</stp>
        <stp>0</stp>
        <stp>IR</stp>
        <stp>BONDKBPE111</stp>
        <stp>3월이하(당일)</stp>
        <stp>45523</stp>
        <stp/>
        <tr r="AC24" s="2"/>
        <tr r="AC24" s="2"/>
      </tp>
      <tp>
        <v>3.41</v>
        <stp/>
        <stp>P</stp>
        <stp>0</stp>
        <stp>IR</stp>
        <stp>BONDKBPE110</stp>
        <stp>3월이하(당일)</stp>
        <stp>45523</stp>
        <stp/>
        <tr r="AC23" s="2"/>
        <tr r="AC23" s="2"/>
      </tp>
      <tp>
        <v>2.6070000000000002</v>
        <stp/>
        <stp>P</stp>
        <stp>0</stp>
        <stp>IR</stp>
        <stp>BONDNIC1015000</stp>
        <stp>1.5년이하(당일)</stp>
        <stp>45523</stp>
        <stp/>
        <tr r="BM12" s="2"/>
        <tr r="BM12" s="2"/>
      </tp>
      <tp>
        <v>2.5169999999999999</v>
        <stp/>
        <stp>P</stp>
        <stp>0</stp>
        <stp>IR</stp>
        <stp>BONDNIC1015000</stp>
        <stp>2.5년이하(당일)</stp>
        <stp>45523</stp>
        <stp/>
        <tr r="BO12" s="2"/>
        <tr r="BO12" s="2"/>
      </tp>
      <tp>
        <v>3.052</v>
        <stp/>
        <stp>P</stp>
        <stp>0</stp>
        <stp>IR</stp>
        <stp>BONDNIC1010000</stp>
        <stp>1.5년이하(당일)</stp>
        <stp>45523</stp>
        <stp/>
        <tr r="BM9" s="2"/>
        <tr r="BM9" s="2"/>
      </tp>
      <tp>
        <v>3.0819999999999999</v>
        <stp/>
        <stp>P</stp>
        <stp>0</stp>
        <stp>IR</stp>
        <stp>BONDNIC2010000</stp>
        <stp>2.5년이하(당일)</stp>
        <stp>45523</stp>
        <stp/>
        <tr r="BO13" s="2"/>
        <tr r="BO13" s="2"/>
      </tp>
      <tp>
        <v>2.9420000000000002</v>
        <stp/>
        <stp>P</stp>
        <stp>0</stp>
        <stp>IR</stp>
        <stp>BONDNIC1010000</stp>
        <stp>2.5년이하(당일)</stp>
        <stp>45523</stp>
        <stp/>
        <tr r="BO9" s="2"/>
        <tr r="BO9" s="2"/>
      </tp>
      <tp>
        <v>3.1749999999999998</v>
        <stp/>
        <stp>P</stp>
        <stp>0</stp>
        <stp>IR</stp>
        <stp>BONDNIC2010000</stp>
        <stp>1.5년이하(당일)</stp>
        <stp>45523</stp>
        <stp/>
        <tr r="BM13" s="2"/>
        <tr r="BM13" s="2"/>
      </tp>
      <tp>
        <v>3.2480000000000002</v>
        <stp/>
        <stp>P</stp>
        <stp>0</stp>
        <stp>IR</stp>
        <stp>BONDNIC5010110</stp>
        <stp>1.5년이하(당일)</stp>
        <stp>45523</stp>
        <stp/>
        <tr r="BM23" s="2"/>
        <tr r="BM23" s="2"/>
      </tp>
      <tp>
        <v>3.1320000000000001</v>
        <stp/>
        <stp>P</stp>
        <stp>0</stp>
        <stp>IR</stp>
        <stp>BONDNIC5010110</stp>
        <stp>2.5년이하(당일)</stp>
        <stp>45523</stp>
        <stp/>
        <tr r="BO23" s="2"/>
        <tr r="BO23" s="2"/>
      </tp>
      <tp>
        <v>3.46</v>
        <stp/>
        <stp>P</stp>
        <stp>0</stp>
        <stp>IR</stp>
        <stp>BONDNIC9999118</stp>
        <stp>1.5년이하(당일)</stp>
        <stp>45523</stp>
        <stp/>
        <tr r="BM43" s="2"/>
        <tr r="BM43" s="2"/>
      </tp>
      <tp>
        <v>3.3889999999999998</v>
        <stp/>
        <stp>P</stp>
        <stp>0</stp>
        <stp>IR</stp>
        <stp>BONDNIC9999118</stp>
        <stp>2.5년이하(당일)</stp>
        <stp>45523</stp>
        <stp/>
        <tr r="BO43" s="2"/>
        <tr r="BO43" s="2"/>
      </tp>
      <tp>
        <v>3.1440000000000001</v>
        <stp/>
        <stp>P</stp>
        <stp>0</stp>
        <stp>IR</stp>
        <stp>BONDFNP3060000</stp>
        <stp>2.5년이하(당일)</stp>
        <stp>45523</stp>
        <stp/>
        <tr r="CE83" s="2"/>
        <tr r="CE83" s="2"/>
      </tp>
      <tp>
        <v>3.39</v>
        <stp/>
        <stp>P</stp>
        <stp>0</stp>
        <stp>IR</stp>
        <stp>BONDFNP3040122</stp>
        <stp>2.5년이하(당일)</stp>
        <stp>45523</stp>
        <stp/>
        <tr r="CE18" s="2"/>
        <tr r="CE18" s="2"/>
      </tp>
      <tp>
        <v>3.06</v>
        <stp/>
        <stp>P</stp>
        <stp>0</stp>
        <stp>IR</stp>
        <stp>BONDKIS1013000</stp>
        <stp>1.5년이하(당일)</stp>
        <stp>45523</stp>
        <stp/>
        <tr r="AW9" s="2"/>
        <tr r="AW9" s="2"/>
      </tp>
      <tp>
        <v>3.4220000000000002</v>
        <stp/>
        <stp>P</stp>
        <stp>0</stp>
        <stp>IR</stp>
        <stp>BONDFNP3040122</stp>
        <stp>1.5년이하(당일)</stp>
        <stp>45523</stp>
        <stp/>
        <tr r="CC18" s="2"/>
        <tr r="CC18" s="2"/>
      </tp>
      <tp>
        <v>2.9449999999999998</v>
        <stp/>
        <stp>P</stp>
        <stp>0</stp>
        <stp>IR</stp>
        <stp>BONDKIS1013000</stp>
        <stp>2.5년이하(당일)</stp>
        <stp>45523</stp>
        <stp/>
        <tr r="AY9" s="2"/>
        <tr r="AY9" s="2"/>
      </tp>
      <tp>
        <v>3.2</v>
        <stp/>
        <stp>P</stp>
        <stp>0</stp>
        <stp>IR</stp>
        <stp>BONDFNP3060000</stp>
        <stp>1.5년이하(당일)</stp>
        <stp>45523</stp>
        <stp/>
        <tr r="CC83" s="2"/>
        <tr r="CC83" s="2"/>
      </tp>
      <tp>
        <v>4.1079999999999997</v>
        <stp/>
        <stp>P</stp>
        <stp>0</stp>
        <stp>IR</stp>
        <stp>BONDFNP5050133</stp>
        <stp>1.5년이하(당일)</stp>
        <stp>45523</stp>
        <stp/>
        <tr r="CC33" s="2"/>
        <tr r="CC33" s="2"/>
      </tp>
      <tp>
        <v>3.5459999999999998</v>
        <stp/>
        <stp>P</stp>
        <stp>0</stp>
        <stp>IR</stp>
        <stp>BONDFNP5040122</stp>
        <stp>1.5년이하(당일)</stp>
        <stp>45523</stp>
        <stp/>
        <tr r="CC29" s="2"/>
        <tr r="CC29" s="2"/>
      </tp>
      <tp>
        <v>3.2330000000000001</v>
        <stp/>
        <stp>P</stp>
        <stp>0</stp>
        <stp>IR</stp>
        <stp>BONDKIS5013110</stp>
        <stp>1.5년이하(당일)</stp>
        <stp>45523</stp>
        <stp/>
        <tr r="AW23" s="2"/>
        <tr r="AW23" s="2"/>
      </tp>
      <tp>
        <v>4.1189999999999998</v>
        <stp/>
        <stp>P</stp>
        <stp>0</stp>
        <stp>IR</stp>
        <stp>BONDFNP5050133</stp>
        <stp>2.5년이하(당일)</stp>
        <stp>45523</stp>
        <stp/>
        <tr r="CE33" s="2"/>
        <tr r="CE33" s="2"/>
      </tp>
      <tp>
        <v>3.5510000000000002</v>
        <stp/>
        <stp>P</stp>
        <stp>0</stp>
        <stp>IR</stp>
        <stp>BONDFNP5040122</stp>
        <stp>2.5년이하(당일)</stp>
        <stp>45523</stp>
        <stp/>
        <tr r="CE29" s="2"/>
        <tr r="CE29" s="2"/>
      </tp>
      <tp>
        <v>3.1360000000000001</v>
        <stp/>
        <stp>P</stp>
        <stp>0</stp>
        <stp>IR</stp>
        <stp>BONDKIS5013110</stp>
        <stp>2.5년이하(당일)</stp>
        <stp>45523</stp>
        <stp/>
        <tr r="AY23" s="2"/>
        <tr r="AY23" s="2"/>
      </tp>
      <tp>
        <v>3.145</v>
        <stp/>
        <stp>P</stp>
        <stp>0</stp>
        <stp>IR</stp>
        <stp>BONDKIS2010000</stp>
        <stp>2.5년이하(당일)</stp>
        <stp>45523</stp>
        <stp/>
        <tr r="AY13" s="2"/>
        <tr r="AY13" s="2"/>
      </tp>
      <tp>
        <v>3.1640000000000001</v>
        <stp/>
        <stp>P</stp>
        <stp>0</stp>
        <stp>IR</stp>
        <stp>BONDKIS2010000</stp>
        <stp>1.5년이하(당일)</stp>
        <stp>45523</stp>
        <stp/>
        <tr r="AW13" s="2"/>
        <tr r="AW13" s="2"/>
      </tp>
      <tp>
        <v>3.294</v>
        <stp/>
        <stp>P</stp>
        <stp>0</stp>
        <stp>IR</stp>
        <stp>BONDKIS7010110</stp>
        <stp>2.5년이하(당일)</stp>
        <stp>45523</stp>
        <stp/>
        <tr r="AY63" s="2"/>
        <tr r="AY63" s="2"/>
      </tp>
      <tp>
        <v>3.2810000000000001</v>
        <stp/>
        <stp>P</stp>
        <stp>0</stp>
        <stp>IR</stp>
        <stp>BONDKIS7010110</stp>
        <stp>1.5년이하(당일)</stp>
        <stp>45523</stp>
        <stp/>
        <tr r="AW63" s="2"/>
        <tr r="AW63" s="2"/>
      </tp>
      <tp>
        <v>3.49</v>
        <stp/>
        <stp>P</stp>
        <stp>0</stp>
        <stp>IR</stp>
        <stp>BONDKIS8010110</stp>
        <stp>1.5년이하(당일)</stp>
        <stp>45523</stp>
        <stp/>
        <tr r="AW73" s="2"/>
        <tr r="AW73" s="2"/>
      </tp>
      <tp>
        <v>3.5470000000000002</v>
        <stp/>
        <stp>P</stp>
        <stp>0</stp>
        <stp>IR</stp>
        <stp>BONDKIS8010110</stp>
        <stp>2.5년이하(당일)</stp>
        <stp>45523</stp>
        <stp/>
        <tr r="AY73" s="2"/>
        <tr r="AY73" s="2"/>
      </tp>
      <tp>
        <v>9.14</v>
        <stp/>
        <stp>P</stp>
        <stp>0</stp>
        <stp>IR</stp>
        <stp>BONDKIS9999118</stp>
        <stp>1.5년이하(당일)</stp>
        <stp>45523</stp>
        <stp/>
        <tr r="AW42" s="2"/>
        <tr r="AW42" s="2"/>
      </tp>
      <tp>
        <v>9.6959999999999997</v>
        <stp/>
        <stp>P</stp>
        <stp>0</stp>
        <stp>IR</stp>
        <stp>BONDKIS9999118</stp>
        <stp>2.5년이하(당일)</stp>
        <stp>45523</stp>
        <stp/>
        <tr r="AY42" s="2"/>
        <tr r="AY42" s="2"/>
      </tp>
      <tp>
        <v>3.621</v>
        <stp/>
        <stp>P</stp>
        <stp>0</stp>
        <stp>IR</stp>
        <stp>BONDAV484</stp>
        <stp>15년이하(당일)</stp>
        <stp>45523</stp>
        <stp/>
        <tr r="Q21" s="1"/>
        <tr r="Q21" s="1"/>
      </tp>
      <tp>
        <v>4.726</v>
        <stp/>
        <stp>P</stp>
        <stp>0</stp>
        <stp>IR</stp>
        <stp>BONDAV482</stp>
        <stp>15년이하(당일)</stp>
        <stp>45523</stp>
        <stp/>
        <tr r="Q42" s="1"/>
        <tr r="Q42" s="1"/>
      </tp>
      <tp>
        <v>4.726</v>
        <stp/>
        <stp>P</stp>
        <stp>0</stp>
        <stp>IR</stp>
        <stp>BONDAV481</stp>
        <stp>15년이하(당일)</stp>
        <stp>45523</stp>
        <stp/>
        <tr r="Q33" s="1"/>
        <tr r="Q33" s="1"/>
      </tp>
      <tp>
        <v>3.3889999999999998</v>
        <stp/>
        <stp>P</stp>
        <stp>0</stp>
        <stp>IR</stp>
        <stp>BONDKSD3040120</stp>
        <stp>2.5년이하(당일)</stp>
        <stp>45523</stp>
        <stp/>
        <tr r="CU18" s="2"/>
        <tr r="CU18" s="2"/>
      </tp>
      <tp>
        <v>3.4089999999999998</v>
        <stp/>
        <stp>P</stp>
        <stp>0</stp>
        <stp>IR</stp>
        <stp>BONDKSD3040120</stp>
        <stp>1.5년이하(당일)</stp>
        <stp>45523</stp>
        <stp/>
        <tr r="CS18" s="2"/>
        <tr r="CS18" s="2"/>
      </tp>
      <tp>
        <v>3.552</v>
        <stp/>
        <stp>P</stp>
        <stp>0</stp>
        <stp>IR</stp>
        <stp>BONDKSD5040120</stp>
        <stp>1.5년이하(당일)</stp>
        <stp>45523</stp>
        <stp/>
        <tr r="CS29" s="2"/>
        <tr r="CS29" s="2"/>
      </tp>
      <tp>
        <v>3.919</v>
        <stp/>
        <stp>P</stp>
        <stp>0</stp>
        <stp>IR</stp>
        <stp>BONDKSD5050131</stp>
        <stp>1.5년이하(당일)</stp>
        <stp>45523</stp>
        <stp/>
        <tr r="CS31" s="2"/>
        <tr r="CS31" s="2"/>
      </tp>
      <tp>
        <v>3.5550000000000002</v>
        <stp/>
        <stp>P</stp>
        <stp>0</stp>
        <stp>IR</stp>
        <stp>BONDKSD5040120</stp>
        <stp>2.5년이하(당일)</stp>
        <stp>45523</stp>
        <stp/>
        <tr r="CU29" s="2"/>
        <tr r="CU29" s="2"/>
      </tp>
      <tp>
        <v>3.92</v>
        <stp/>
        <stp>P</stp>
        <stp>0</stp>
        <stp>IR</stp>
        <stp>BONDKSD5050131</stp>
        <stp>2.5년이하(당일)</stp>
        <stp>45523</stp>
        <stp/>
        <tr r="CU31" s="2"/>
        <tr r="CU31" s="2"/>
      </tp>
      <tp>
        <v>3.2519999999999998</v>
        <stp/>
        <stp>P</stp>
        <stp>0</stp>
        <stp>IR</stp>
        <stp>BONDKSD3040121</stp>
        <stp>2.5년이하(당일)</stp>
        <stp>45523</stp>
        <stp/>
        <tr r="CU17" s="2"/>
        <tr r="CU17" s="2"/>
      </tp>
      <tp>
        <v>3.2839999999999998</v>
        <stp/>
        <stp>P</stp>
        <stp>0</stp>
        <stp>IR</stp>
        <stp>BONDKSD3040121</stp>
        <stp>1.5년이하(당일)</stp>
        <stp>45523</stp>
        <stp/>
        <tr r="CS17" s="2"/>
        <tr r="CS17" s="2"/>
      </tp>
      <tp>
        <v>3.2440000000000002</v>
        <stp/>
        <stp>P</stp>
        <stp>0</stp>
        <stp>IR</stp>
        <stp>BONDKSD4050000</stp>
        <stp>1.5년이하(당일)</stp>
        <stp>45523</stp>
        <stp/>
        <tr r="CS22" s="2"/>
        <tr r="CS22" s="2"/>
      </tp>
      <tp>
        <v>3.1819999999999999</v>
        <stp/>
        <stp>P</stp>
        <stp>0</stp>
        <stp>IR</stp>
        <stp>BONDKSD4050000</stp>
        <stp>2.5년이하(당일)</stp>
        <stp>45523</stp>
        <stp/>
        <tr r="CU22" s="2"/>
        <tr r="CU22" s="2"/>
      </tp>
      <tp>
        <v>3.1819999999999999</v>
        <stp/>
        <stp>P</stp>
        <stp>0</stp>
        <stp>IR</stp>
        <stp>BONDKSD3060000</stp>
        <stp>2.5년이하(당일)</stp>
        <stp>45523</stp>
        <stp/>
        <tr r="CU83" s="2"/>
        <tr r="CU83" s="2"/>
      </tp>
      <tp>
        <v>3.22</v>
        <stp/>
        <stp>P</stp>
        <stp>0</stp>
        <stp>IR</stp>
        <stp>BONDKSD3060000</stp>
        <stp>1.5년이하(당일)</stp>
        <stp>45523</stp>
        <stp/>
        <tr r="CS83" s="2"/>
        <tr r="CS83" s="2"/>
      </tp>
      <tp>
        <v>3.085</v>
        <stp/>
        <stp>P</stp>
        <stp>0</stp>
        <stp>IR</stp>
        <stp>BONDKSD3070000</stp>
        <stp>2.5년이하(당일)</stp>
        <stp>45523</stp>
        <stp/>
        <tr r="CU15" s="2"/>
        <tr r="CU15" s="2"/>
      </tp>
      <tp>
        <v>3.137</v>
        <stp/>
        <stp>P</stp>
        <stp>0</stp>
        <stp>IR</stp>
        <stp>BONDKSD3070000</stp>
        <stp>1.5년이하(당일)</stp>
        <stp>45523</stp>
        <stp/>
        <tr r="CS15" s="2"/>
        <tr r="CS15" s="2"/>
      </tp>
      <tp>
        <v>3.0419999999999998</v>
        <stp/>
        <stp>P</stp>
        <stp>0</stp>
        <stp>IR</stp>
        <stp>BONDKSD4000000</stp>
        <stp>1.5년이하(당일)</stp>
        <stp>45523</stp>
        <stp/>
        <tr r="CS20" s="2"/>
        <tr r="CS20" s="2"/>
      </tp>
      <tp>
        <v>3.3740000000000001</v>
        <stp/>
        <stp>P</stp>
        <stp>0</stp>
        <stp>IR</stp>
        <stp>BONDKSD6010121</stp>
        <stp>2.5년이하(당일)</stp>
        <stp>45523</stp>
        <stp/>
        <tr r="CU34" s="2"/>
        <tr r="CU34" s="2"/>
      </tp>
      <tp>
        <v>4.4870000000000001</v>
        <stp/>
        <stp>P</stp>
        <stp>0</stp>
        <stp>IR</stp>
        <stp>BONDKSD6010131</stp>
        <stp>2.5년이하(당일)</stp>
        <stp>45523</stp>
        <stp/>
        <tr r="CU37" s="2"/>
        <tr r="CU37" s="2"/>
      </tp>
      <tp>
        <v>5.8029999999999999</v>
        <stp/>
        <stp>P</stp>
        <stp>0</stp>
        <stp>IR</stp>
        <stp>BONDKSD7010211</stp>
        <stp>1.5년이하(당일)</stp>
        <stp>45523</stp>
        <stp/>
        <tr r="CS70" s="2"/>
        <tr r="CS70" s="2"/>
      </tp>
      <tp>
        <v>3.3340000000000001</v>
        <stp/>
        <stp>P</stp>
        <stp>0</stp>
        <stp>IR</stp>
        <stp>BONDKSD7010121</stp>
        <stp>2.5년이하(당일)</stp>
        <stp>45523</stp>
        <stp/>
        <tr r="CU64" s="2"/>
        <tr r="CU64" s="2"/>
      </tp>
      <tp>
        <v>3.7709999999999999</v>
        <stp/>
        <stp>P</stp>
        <stp>0</stp>
        <stp>IR</stp>
        <stp>BONDKSD7010131</stp>
        <stp>2.5년이하(당일)</stp>
        <stp>45523</stp>
        <stp/>
        <tr r="CU67" s="2"/>
        <tr r="CU67" s="2"/>
      </tp>
      <tp>
        <v>6.7160000000000002</v>
        <stp/>
        <stp>P</stp>
        <stp>0</stp>
        <stp>IR</stp>
        <stp>BONDKSD7010211</stp>
        <stp>2.5년이하(당일)</stp>
        <stp>45523</stp>
        <stp/>
        <tr r="CU70" s="2"/>
        <tr r="CU70" s="2"/>
      </tp>
      <tp>
        <v>3.327</v>
        <stp/>
        <stp>P</stp>
        <stp>0</stp>
        <stp>IR</stp>
        <stp>BONDKSD7010121</stp>
        <stp>1.5년이하(당일)</stp>
        <stp>45523</stp>
        <stp/>
        <tr r="CS64" s="2"/>
        <tr r="CS64" s="2"/>
      </tp>
      <tp>
        <v>3.6560000000000001</v>
        <stp/>
        <stp>P</stp>
        <stp>0</stp>
        <stp>IR</stp>
        <stp>BONDKSD7010131</stp>
        <stp>1.5년이하(당일)</stp>
        <stp>45523</stp>
        <stp/>
        <tr r="CS67" s="2"/>
        <tr r="CS67" s="2"/>
      </tp>
      <tp>
        <v>2.9929999999999999</v>
        <stp/>
        <stp>P</stp>
        <stp>0</stp>
        <stp>IR</stp>
        <stp>BONDKSD4000000</stp>
        <stp>2.5년이하(당일)</stp>
        <stp>45523</stp>
        <stp/>
        <tr r="CU20" s="2"/>
        <tr r="CU20" s="2"/>
      </tp>
      <tp>
        <v>3.4449999999999998</v>
        <stp/>
        <stp>P</stp>
        <stp>0</stp>
        <stp>IR</stp>
        <stp>BONDKSD6010121</stp>
        <stp>1.5년이하(당일)</stp>
        <stp>45523</stp>
        <stp/>
        <tr r="CS34" s="2"/>
        <tr r="CS34" s="2"/>
      </tp>
      <tp>
        <v>4.4240000000000004</v>
        <stp/>
        <stp>P</stp>
        <stp>0</stp>
        <stp>IR</stp>
        <stp>BONDKSD6010131</stp>
        <stp>1.5년이하(당일)</stp>
        <stp>45523</stp>
        <stp/>
        <tr r="CS37" s="2"/>
        <tr r="CS37" s="2"/>
      </tp>
      <tp t="s">
        <v xml:space="preserve"> </v>
        <stp/>
        <stp>P</stp>
        <stp>0</stp>
        <stp>IR</stp>
        <stp>BONDKSD8010131</stp>
        <stp>1.5년이하(당일)</stp>
        <stp>45523</stp>
        <stp/>
        <tr r="CS77" s="2"/>
        <tr r="CS77" s="2"/>
      </tp>
      <tp t="s">
        <v xml:space="preserve"> </v>
        <stp/>
        <stp>P</stp>
        <stp>0</stp>
        <stp>IR</stp>
        <stp>BONDKSD8010131</stp>
        <stp>2.5년이하(당일)</stp>
        <stp>45523</stp>
        <stp/>
        <tr r="CU77" s="2"/>
        <tr r="CU77" s="2"/>
      </tp>
      <tp>
        <v>3.056</v>
        <stp/>
        <stp>P</stp>
        <stp>0</stp>
        <stp>IR</stp>
        <stp>BONDKSD1010000</stp>
        <stp>1.5년이하(당일)</stp>
        <stp>45523</stp>
        <stp/>
        <tr r="CS9" s="2"/>
        <tr r="CS9" s="2"/>
      </tp>
      <tp>
        <v>3.1150000000000002</v>
        <stp/>
        <stp>P</stp>
        <stp>0</stp>
        <stp>IR</stp>
        <stp>BONDKSD2010000</stp>
        <stp>2.5년이하(당일)</stp>
        <stp>45523</stp>
        <stp/>
        <tr r="CU13" s="2"/>
        <tr r="CU13" s="2"/>
      </tp>
      <tp>
        <v>2.9430000000000001</v>
        <stp/>
        <stp>P</stp>
        <stp>0</stp>
        <stp>IR</stp>
        <stp>BONDKSD1010000</stp>
        <stp>2.5년이하(당일)</stp>
        <stp>45523</stp>
        <stp/>
        <tr r="CU9" s="2"/>
        <tr r="CU9" s="2"/>
      </tp>
      <tp>
        <v>3.1629999999999998</v>
        <stp/>
        <stp>P</stp>
        <stp>0</stp>
        <stp>IR</stp>
        <stp>BONDKSD2010000</stp>
        <stp>1.5년이하(당일)</stp>
        <stp>45523</stp>
        <stp/>
        <tr r="CS13" s="2"/>
        <tr r="CS13" s="2"/>
      </tp>
      <tp>
        <v>3.2320000000000002</v>
        <stp/>
        <stp>P</stp>
        <stp>0</stp>
        <stp>IR</stp>
        <stp>BONDKSD5010110</stp>
        <stp>1.5년이하(당일)</stp>
        <stp>45523</stp>
        <stp/>
        <tr r="CS23" s="2"/>
        <tr r="CS23" s="2"/>
      </tp>
      <tp>
        <v>7.7350000000000003</v>
        <stp/>
        <stp>P</stp>
        <stp>0</stp>
        <stp>IR</stp>
        <stp>BONDKSD6010210</stp>
        <stp>1.5년이하(당일)</stp>
        <stp>45523</stp>
        <stp/>
        <tr r="CS41" s="2"/>
        <tr r="CS41" s="2"/>
      </tp>
      <tp>
        <v>3.286</v>
        <stp/>
        <stp>P</stp>
        <stp>0</stp>
        <stp>IR</stp>
        <stp>BONDKSD7010110</stp>
        <stp>2.5년이하(당일)</stp>
        <stp>45523</stp>
        <stp/>
        <tr r="CU63" s="2"/>
        <tr r="CU63" s="2"/>
      </tp>
      <tp>
        <v>3.298</v>
        <stp/>
        <stp>P</stp>
        <stp>0</stp>
        <stp>IR</stp>
        <stp>BONDKSD7010110</stp>
        <stp>1.5년이하(당일)</stp>
        <stp>45523</stp>
        <stp/>
        <tr r="CS63" s="2"/>
        <tr r="CS63" s="2"/>
      </tp>
      <tp>
        <v>3.1259999999999999</v>
        <stp/>
        <stp>P</stp>
        <stp>0</stp>
        <stp>IR</stp>
        <stp>BONDKSD5010110</stp>
        <stp>2.5년이하(당일)</stp>
        <stp>45523</stp>
        <stp/>
        <tr r="CU23" s="2"/>
        <tr r="CU23" s="2"/>
      </tp>
      <tp>
        <v>8.2309999999999999</v>
        <stp/>
        <stp>P</stp>
        <stp>0</stp>
        <stp>IR</stp>
        <stp>BONDKSD6010210</stp>
        <stp>2.5년이하(당일)</stp>
        <stp>45523</stp>
        <stp/>
        <tr r="CU41" s="2"/>
        <tr r="CU41" s="2"/>
      </tp>
      <tp t="s">
        <v xml:space="preserve"> </v>
        <stp/>
        <stp>P</stp>
        <stp>0</stp>
        <stp>IR</stp>
        <stp>BONDKSD8010110</stp>
        <stp>1.5년이하(당일)</stp>
        <stp>45523</stp>
        <stp/>
        <tr r="CS73" s="2"/>
        <tr r="CS73" s="2"/>
      </tp>
      <tp t="s">
        <v xml:space="preserve"> </v>
        <stp/>
        <stp>P</stp>
        <stp>0</stp>
        <stp>IR</stp>
        <stp>BONDKSD8010120</stp>
        <stp>1.5년이하(당일)</stp>
        <stp>45523</stp>
        <stp/>
        <tr r="CS75" s="2"/>
        <tr r="CS75" s="2"/>
      </tp>
      <tp t="s">
        <v xml:space="preserve"> </v>
        <stp/>
        <stp>P</stp>
        <stp>0</stp>
        <stp>IR</stp>
        <stp>BONDKSD8010110</stp>
        <stp>2.5년이하(당일)</stp>
        <stp>45523</stp>
        <stp/>
        <tr r="CU73" s="2"/>
        <tr r="CU73" s="2"/>
      </tp>
      <tp t="s">
        <v xml:space="preserve"> </v>
        <stp/>
        <stp>P</stp>
        <stp>0</stp>
        <stp>IR</stp>
        <stp>BONDKSD8010120</stp>
        <stp>2.5년이하(당일)</stp>
        <stp>45523</stp>
        <stp/>
        <tr r="CU75" s="2"/>
        <tr r="CU75" s="2"/>
      </tp>
      <tp>
        <v>2.871</v>
        <stp/>
        <stp>P</stp>
        <stp>0</stp>
        <stp>IR</stp>
        <stp>BONDKSD1020000</stp>
        <stp>1.5년이하(당일)</stp>
        <stp>45523</stp>
        <stp/>
        <tr r="CS11" s="2"/>
        <tr r="CS11" s="2"/>
      </tp>
      <tp>
        <v>3.1150000000000002</v>
        <stp/>
        <stp>P</stp>
        <stp>0</stp>
        <stp>IR</stp>
        <stp>BONDKSD2020000</stp>
        <stp>2.5년이하(당일)</stp>
        <stp>45523</stp>
        <stp/>
        <tr r="CU14" s="2"/>
        <tr r="CU14" s="2"/>
      </tp>
      <tp>
        <v>2.8109999999999999</v>
        <stp/>
        <stp>P</stp>
        <stp>0</stp>
        <stp>IR</stp>
        <stp>BONDKSD1020000</stp>
        <stp>2.5년이하(당일)</stp>
        <stp>45523</stp>
        <stp/>
        <tr r="CU11" s="2"/>
        <tr r="CU11" s="2"/>
      </tp>
      <tp>
        <v>3.1629999999999998</v>
        <stp/>
        <stp>P</stp>
        <stp>0</stp>
        <stp>IR</stp>
        <stp>BONDKSD2020000</stp>
        <stp>1.5년이하(당일)</stp>
        <stp>45523</stp>
        <stp/>
        <tr r="CS14" s="2"/>
        <tr r="CS14" s="2"/>
      </tp>
      <tp>
        <v>3.2320000000000002</v>
        <stp/>
        <stp>P</stp>
        <stp>0</stp>
        <stp>IR</stp>
        <stp>BONDKSD5020110</stp>
        <stp>1.5년이하(당일)</stp>
        <stp>45523</stp>
        <stp/>
        <tr r="CS25" s="2"/>
        <tr r="CS25" s="2"/>
      </tp>
      <tp>
        <v>3.54</v>
        <stp/>
        <stp>P</stp>
        <stp>0</stp>
        <stp>IR</stp>
        <stp>BONDKSD6010123</stp>
        <stp>2.5년이하(당일)</stp>
        <stp>45523</stp>
        <stp/>
        <tr r="CU36" s="2"/>
        <tr r="CU36" s="2"/>
      </tp>
      <tp>
        <v>5.931</v>
        <stp/>
        <stp>P</stp>
        <stp>0</stp>
        <stp>IR</stp>
        <stp>BONDKSD6010133</stp>
        <stp>2.5년이하(당일)</stp>
        <stp>45523</stp>
        <stp/>
        <tr r="CU39" s="2"/>
        <tr r="CU39" s="2"/>
      </tp>
      <tp>
        <v>7.7329999999999997</v>
        <stp/>
        <stp>P</stp>
        <stp>0</stp>
        <stp>IR</stp>
        <stp>BONDKSD7010213</stp>
        <stp>1.5년이하(당일)</stp>
        <stp>45523</stp>
        <stp/>
        <tr r="CS72" s="2"/>
        <tr r="CS72" s="2"/>
      </tp>
      <tp>
        <v>3.2250000000000001</v>
        <stp/>
        <stp>P</stp>
        <stp>0</stp>
        <stp>IR</stp>
        <stp>BONDKSD7020110</stp>
        <stp>2.5년이하(당일)</stp>
        <stp>45523</stp>
        <stp/>
        <tr r="CU52" s="2"/>
        <tr r="CU52" s="2"/>
      </tp>
      <tp>
        <v>3.948</v>
        <stp/>
        <stp>P</stp>
        <stp>0</stp>
        <stp>IR</stp>
        <stp>BONDKSD7020210</stp>
        <stp>1.5년이하(당일)</stp>
        <stp>45523</stp>
        <stp/>
        <tr r="CS55" s="2"/>
        <tr r="CS55" s="2"/>
      </tp>
      <tp>
        <v>3.4020000000000001</v>
        <stp/>
        <stp>P</stp>
        <stp>0</stp>
        <stp>IR</stp>
        <stp>BONDKSD7010123</stp>
        <stp>2.5년이하(당일)</stp>
        <stp>45523</stp>
        <stp/>
        <tr r="CU66" s="2"/>
        <tr r="CU66" s="2"/>
      </tp>
      <tp>
        <v>3.35</v>
        <stp/>
        <stp>P</stp>
        <stp>0</stp>
        <stp>IR</stp>
        <stp>BONDKSD7020120</stp>
        <stp>2.5년이하(당일)</stp>
        <stp>45523</stp>
        <stp/>
        <tr r="CU53" s="2"/>
        <tr r="CU53" s="2"/>
      </tp>
      <tp>
        <v>4.3479999999999999</v>
        <stp/>
        <stp>P</stp>
        <stp>0</stp>
        <stp>IR</stp>
        <stp>BONDKSD7010133</stp>
        <stp>2.5년이하(당일)</stp>
        <stp>45523</stp>
        <stp/>
        <tr r="CU69" s="2"/>
        <tr r="CU69" s="2"/>
      </tp>
      <tp>
        <v>3.5649999999999999</v>
        <stp/>
        <stp>P</stp>
        <stp>0</stp>
        <stp>IR</stp>
        <stp>BONDKSD7020130</stp>
        <stp>2.5년이하(당일)</stp>
        <stp>45523</stp>
        <stp/>
        <tr r="CU54" s="2"/>
        <tr r="CU54" s="2"/>
      </tp>
      <tp>
        <v>8.9819999999999993</v>
        <stp/>
        <stp>P</stp>
        <stp>0</stp>
        <stp>IR</stp>
        <stp>BONDKSD7010213</stp>
        <stp>2.5년이하(당일)</stp>
        <stp>45523</stp>
        <stp/>
        <tr r="CU72" s="2"/>
        <tr r="CU72" s="2"/>
      </tp>
      <tp>
        <v>3.274</v>
        <stp/>
        <stp>P</stp>
        <stp>0</stp>
        <stp>IR</stp>
        <stp>BONDKSD7020110</stp>
        <stp>1.5년이하(당일)</stp>
        <stp>45523</stp>
        <stp/>
        <tr r="CS52" s="2"/>
        <tr r="CS52" s="2"/>
      </tp>
      <tp>
        <v>4.1840000000000002</v>
        <stp/>
        <stp>P</stp>
        <stp>0</stp>
        <stp>IR</stp>
        <stp>BONDKSD7020210</stp>
        <stp>2.5년이하(당일)</stp>
        <stp>45523</stp>
        <stp/>
        <tr r="CU55" s="2"/>
        <tr r="CU55" s="2"/>
      </tp>
      <tp>
        <v>3.3820000000000001</v>
        <stp/>
        <stp>P</stp>
        <stp>0</stp>
        <stp>IR</stp>
        <stp>BONDKSD7010123</stp>
        <stp>1.5년이하(당일)</stp>
        <stp>45523</stp>
        <stp/>
        <tr r="CS66" s="2"/>
        <tr r="CS66" s="2"/>
      </tp>
      <tp>
        <v>3.3410000000000002</v>
        <stp/>
        <stp>P</stp>
        <stp>0</stp>
        <stp>IR</stp>
        <stp>BONDKSD7020120</stp>
        <stp>1.5년이하(당일)</stp>
        <stp>45523</stp>
        <stp/>
        <tr r="CS53" s="2"/>
        <tr r="CS53" s="2"/>
      </tp>
      <tp>
        <v>4.1189999999999998</v>
        <stp/>
        <stp>P</stp>
        <stp>0</stp>
        <stp>IR</stp>
        <stp>BONDKSD7010133</stp>
        <stp>1.5년이하(당일)</stp>
        <stp>45523</stp>
        <stp/>
        <tr r="CS69" s="2"/>
        <tr r="CS69" s="2"/>
      </tp>
      <tp>
        <v>3.5390000000000001</v>
        <stp/>
        <stp>P</stp>
        <stp>0</stp>
        <stp>IR</stp>
        <stp>BONDKSD7020130</stp>
        <stp>1.5년이하(당일)</stp>
        <stp>45523</stp>
        <stp/>
        <tr r="CS54" s="2"/>
        <tr r="CS54" s="2"/>
      </tp>
      <tp>
        <v>3.1259999999999999</v>
        <stp/>
        <stp>P</stp>
        <stp>0</stp>
        <stp>IR</stp>
        <stp>BONDKSD5020110</stp>
        <stp>2.5년이하(당일)</stp>
        <stp>45523</stp>
        <stp/>
        <tr r="CU25" s="2"/>
        <tr r="CU25" s="2"/>
      </tp>
      <tp>
        <v>3.5510000000000002</v>
        <stp/>
        <stp>P</stp>
        <stp>0</stp>
        <stp>IR</stp>
        <stp>BONDKSD6010123</stp>
        <stp>1.5년이하(당일)</stp>
        <stp>45523</stp>
        <stp/>
        <tr r="CS36" s="2"/>
        <tr r="CS36" s="2"/>
      </tp>
      <tp>
        <v>5.7610000000000001</v>
        <stp/>
        <stp>P</stp>
        <stp>0</stp>
        <stp>IR</stp>
        <stp>BONDKSD6010133</stp>
        <stp>1.5년이하(당일)</stp>
        <stp>45523</stp>
        <stp/>
        <tr r="CS39" s="2"/>
        <tr r="CS39" s="2"/>
      </tp>
      <tp t="s">
        <v xml:space="preserve"> </v>
        <stp/>
        <stp>P</stp>
        <stp>0</stp>
        <stp>IR</stp>
        <stp>BONDKSD8010133</stp>
        <stp>1.5년이하(당일)</stp>
        <stp>45523</stp>
        <stp/>
        <tr r="CS79" s="2"/>
        <tr r="CS79" s="2"/>
      </tp>
      <tp t="s">
        <v xml:space="preserve"> </v>
        <stp/>
        <stp>P</stp>
        <stp>0</stp>
        <stp>IR</stp>
        <stp>BONDKSD8010133</stp>
        <stp>2.5년이하(당일)</stp>
        <stp>45523</stp>
        <stp/>
        <tr r="CU79" s="2"/>
        <tr r="CU79" s="2"/>
      </tp>
      <tp>
        <v>3.0739999999999998</v>
        <stp/>
        <stp>P</stp>
        <stp>0</stp>
        <stp>IR</stp>
        <stp>BONDKSD1030000</stp>
        <stp>1.5년이하(당일)</stp>
        <stp>45523</stp>
        <stp/>
        <tr r="CS10" s="2"/>
        <tr r="CS10" s="2"/>
      </tp>
      <tp>
        <v>3.153</v>
        <stp/>
        <stp>P</stp>
        <stp>0</stp>
        <stp>IR</stp>
        <stp>BONDKSD3030110</stp>
        <stp>2.5년이하(당일)</stp>
        <stp>45523</stp>
        <stp/>
        <tr r="CU16" s="2"/>
        <tr r="CU16" s="2"/>
      </tp>
      <tp>
        <v>3.0110000000000001</v>
        <stp/>
        <stp>P</stp>
        <stp>0</stp>
        <stp>IR</stp>
        <stp>BONDKSD1030000</stp>
        <stp>2.5년이하(당일)</stp>
        <stp>45523</stp>
        <stp/>
        <tr r="CU10" s="2"/>
        <tr r="CU10" s="2"/>
      </tp>
      <tp>
        <v>3.198</v>
        <stp/>
        <stp>P</stp>
        <stp>0</stp>
        <stp>IR</stp>
        <stp>BONDKSD3030110</stp>
        <stp>1.5년이하(당일)</stp>
        <stp>45523</stp>
        <stp/>
        <tr r="CS16" s="2"/>
        <tr r="CS16" s="2"/>
      </tp>
      <tp>
        <v>3.2559999999999998</v>
        <stp/>
        <stp>P</stp>
        <stp>0</stp>
        <stp>IR</stp>
        <stp>BONDKSD5030110</stp>
        <stp>1.5년이하(당일)</stp>
        <stp>45523</stp>
        <stp/>
        <tr r="CS27" s="2"/>
        <tr r="CS27" s="2"/>
      </tp>
      <tp>
        <v>3.4279999999999999</v>
        <stp/>
        <stp>P</stp>
        <stp>0</stp>
        <stp>IR</stp>
        <stp>BONDKSD6010122</stp>
        <stp>2.5년이하(당일)</stp>
        <stp>45523</stp>
        <stp/>
        <tr r="CU35" s="2"/>
        <tr r="CU35" s="2"/>
      </tp>
      <tp>
        <v>5.2779999999999996</v>
        <stp/>
        <stp>P</stp>
        <stp>0</stp>
        <stp>IR</stp>
        <stp>BONDKSD6010132</stp>
        <stp>2.5년이하(당일)</stp>
        <stp>45523</stp>
        <stp/>
        <tr r="CU38" s="2"/>
        <tr r="CU38" s="2"/>
      </tp>
      <tp>
        <v>6.6050000000000004</v>
        <stp/>
        <stp>P</stp>
        <stp>0</stp>
        <stp>IR</stp>
        <stp>BONDKSD7010212</stp>
        <stp>1.5년이하(당일)</stp>
        <stp>45523</stp>
        <stp/>
        <tr r="CS71" s="2"/>
        <tr r="CS71" s="2"/>
      </tp>
      <tp>
        <v>3.367</v>
        <stp/>
        <stp>P</stp>
        <stp>0</stp>
        <stp>IR</stp>
        <stp>BONDKSD7010122</stp>
        <stp>2.5년이하(당일)</stp>
        <stp>45523</stp>
        <stp/>
        <tr r="CU65" s="2"/>
        <tr r="CU65" s="2"/>
      </tp>
      <tp>
        <v>3.9620000000000002</v>
        <stp/>
        <stp>P</stp>
        <stp>0</stp>
        <stp>IR</stp>
        <stp>BONDKSD7010132</stp>
        <stp>2.5년이하(당일)</stp>
        <stp>45523</stp>
        <stp/>
        <tr r="CU68" s="2"/>
        <tr r="CU68" s="2"/>
      </tp>
      <tp>
        <v>7.74</v>
        <stp/>
        <stp>P</stp>
        <stp>0</stp>
        <stp>IR</stp>
        <stp>BONDKSD7010212</stp>
        <stp>2.5년이하(당일)</stp>
        <stp>45523</stp>
        <stp/>
        <tr r="CU71" s="2"/>
        <tr r="CU71" s="2"/>
      </tp>
      <tp>
        <v>3.355</v>
        <stp/>
        <stp>P</stp>
        <stp>0</stp>
        <stp>IR</stp>
        <stp>BONDKSD7010122</stp>
        <stp>1.5년이하(당일)</stp>
        <stp>45523</stp>
        <stp/>
        <tr r="CS65" s="2"/>
        <tr r="CS65" s="2"/>
      </tp>
      <tp>
        <v>3.83</v>
        <stp/>
        <stp>P</stp>
        <stp>0</stp>
        <stp>IR</stp>
        <stp>BONDKSD7010132</stp>
        <stp>1.5년이하(당일)</stp>
        <stp>45523</stp>
        <stp/>
        <tr r="CS68" s="2"/>
        <tr r="CS68" s="2"/>
      </tp>
      <tp>
        <v>3.2080000000000002</v>
        <stp/>
        <stp>P</stp>
        <stp>0</stp>
        <stp>IR</stp>
        <stp>BONDKSD5030110</stp>
        <stp>2.5년이하(당일)</stp>
        <stp>45523</stp>
        <stp/>
        <tr r="CU27" s="2"/>
        <tr r="CU27" s="2"/>
      </tp>
      <tp>
        <v>3.484</v>
        <stp/>
        <stp>P</stp>
        <stp>0</stp>
        <stp>IR</stp>
        <stp>BONDKSD6010122</stp>
        <stp>1.5년이하(당일)</stp>
        <stp>45523</stp>
        <stp/>
        <tr r="CS35" s="2"/>
        <tr r="CS35" s="2"/>
      </tp>
      <tp>
        <v>5.2039999999999997</v>
        <stp/>
        <stp>P</stp>
        <stp>0</stp>
        <stp>IR</stp>
        <stp>BONDKSD6010132</stp>
        <stp>1.5년이하(당일)</stp>
        <stp>45523</stp>
        <stp/>
        <tr r="CS38" s="2"/>
        <tr r="CS38" s="2"/>
      </tp>
      <tp t="s">
        <v xml:space="preserve"> </v>
        <stp/>
        <stp>P</stp>
        <stp>0</stp>
        <stp>IR</stp>
        <stp>BONDKSD8010132</stp>
        <stp>1.5년이하(당일)</stp>
        <stp>45523</stp>
        <stp/>
        <tr r="CS78" s="2"/>
        <tr r="CS78" s="2"/>
      </tp>
      <tp t="s">
        <v xml:space="preserve"> </v>
        <stp/>
        <stp>P</stp>
        <stp>0</stp>
        <stp>IR</stp>
        <stp>BONDKSD8010132</stp>
        <stp>2.5년이하(당일)</stp>
        <stp>45523</stp>
        <stp/>
        <tr r="CU78" s="2"/>
        <tr r="CU78" s="2"/>
      </tp>
      <tp>
        <v>3.214</v>
        <stp/>
        <stp>P</stp>
        <stp>0</stp>
        <stp>IR</stp>
        <stp>BONDAV444</stp>
        <stp>5년이하(당일)</stp>
        <stp>45523</stp>
        <stp/>
        <tr r="N51" s="1"/>
        <tr r="N51" s="1"/>
      </tp>
      <tp>
        <v>3.3809999999999998</v>
        <stp/>
        <stp>P</stp>
        <stp>0</stp>
        <stp>IR</stp>
        <stp>BONDAV445</stp>
        <stp>5년이하(당일)</stp>
        <stp>45523</stp>
        <stp/>
        <tr r="N52" s="1"/>
        <tr r="N52" s="1"/>
      </tp>
      <tp>
        <v>3.74</v>
        <stp/>
        <stp>P</stp>
        <stp>0</stp>
        <stp>IR</stp>
        <stp>BONDAV446</stp>
        <stp>5년이하(당일)</stp>
        <stp>45523</stp>
        <stp/>
        <tr r="N53" s="1"/>
        <tr r="N53" s="1"/>
      </tp>
      <tp>
        <v>4.5549999999999997</v>
        <stp/>
        <stp>P</stp>
        <stp>0</stp>
        <stp>IR</stp>
        <stp>BONDAV447</stp>
        <stp>5년이하(당일)</stp>
        <stp>45523</stp>
        <stp/>
        <tr r="N54" s="1"/>
        <tr r="N54" s="1"/>
      </tp>
      <tp>
        <v>6.1379999999999999</v>
        <stp/>
        <stp>P</stp>
        <stp>0</stp>
        <stp>IR</stp>
        <stp>BONDAV440</stp>
        <stp>5년이하(당일)</stp>
        <stp>45523</stp>
        <stp/>
        <tr r="N47" s="1"/>
        <tr r="N47" s="1"/>
      </tp>
      <tp>
        <v>7.4370000000000003</v>
        <stp/>
        <stp>P</stp>
        <stp>0</stp>
        <stp>IR</stp>
        <stp>BONDAV441</stp>
        <stp>5년이하(당일)</stp>
        <stp>45523</stp>
        <stp/>
        <tr r="N48" s="1"/>
        <tr r="N48" s="1"/>
      </tp>
      <tp>
        <v>8.4749999999999996</v>
        <stp/>
        <stp>P</stp>
        <stp>0</stp>
        <stp>IR</stp>
        <stp>BONDAV442</stp>
        <stp>5년이하(당일)</stp>
        <stp>45523</stp>
        <stp/>
        <tr r="N49" s="1"/>
        <tr r="N49" s="1"/>
      </tp>
      <tp>
        <v>9.8689999999999998</v>
        <stp/>
        <stp>P</stp>
        <stp>0</stp>
        <stp>IR</stp>
        <stp>BONDAV443</stp>
        <stp>5년이하(당일)</stp>
        <stp>45523</stp>
        <stp/>
        <tr r="N50" s="1"/>
        <tr r="N50" s="1"/>
      </tp>
      <tp>
        <v>3.2810000000000001</v>
        <stp/>
        <stp>P</stp>
        <stp>0</stp>
        <stp>IR</stp>
        <stp>BONDAV448</stp>
        <stp>5년이하(당일)</stp>
        <stp>45523</stp>
        <stp/>
        <tr r="N55" s="1"/>
        <tr r="N55" s="1"/>
      </tp>
      <tp>
        <v>3.3580000000000001</v>
        <stp/>
        <stp>P</stp>
        <stp>0</stp>
        <stp>IR</stp>
        <stp>BONDAV449</stp>
        <stp>5년이하(당일)</stp>
        <stp>45523</stp>
        <stp/>
        <tr r="N56" s="1"/>
        <tr r="N56" s="1"/>
      </tp>
      <tp>
        <v>5.3579999999999997</v>
        <stp/>
        <stp>P</stp>
        <stp>0</stp>
        <stp>IR</stp>
        <stp>BONDAV454</stp>
        <stp>5년이하(당일)</stp>
        <stp>45523</stp>
        <stp/>
        <tr r="N61" s="1"/>
        <tr r="N61" s="1"/>
      </tp>
      <tp>
        <v>3.2850000000000001</v>
        <stp/>
        <stp>P</stp>
        <stp>0</stp>
        <stp>IR</stp>
        <stp>BONDAV455</stp>
        <stp>5년이하(당일)</stp>
        <stp>45523</stp>
        <stp/>
        <tr r="N62" s="1"/>
        <tr r="N62" s="1"/>
      </tp>
      <tp>
        <v>3.363</v>
        <stp/>
        <stp>P</stp>
        <stp>0</stp>
        <stp>IR</stp>
        <stp>BONDAV456</stp>
        <stp>5년이하(당일)</stp>
        <stp>45523</stp>
        <stp/>
        <tr r="N63" s="1"/>
        <tr r="N63" s="1"/>
      </tp>
      <tp>
        <v>3.4279999999999999</v>
        <stp/>
        <stp>P</stp>
        <stp>0</stp>
        <stp>IR</stp>
        <stp>BONDAV457</stp>
        <stp>5년이하(당일)</stp>
        <stp>45523</stp>
        <stp/>
        <tr r="N64" s="1"/>
        <tr r="N64" s="1"/>
      </tp>
      <tp>
        <v>3.419</v>
        <stp/>
        <stp>P</stp>
        <stp>0</stp>
        <stp>IR</stp>
        <stp>BONDAV450</stp>
        <stp>5년이하(당일)</stp>
        <stp>45523</stp>
        <stp/>
        <tr r="N57" s="1"/>
        <tr r="N57" s="1"/>
      </tp>
      <tp>
        <v>3.5219999999999998</v>
        <stp/>
        <stp>P</stp>
        <stp>0</stp>
        <stp>IR</stp>
        <stp>BONDAV451</stp>
        <stp>5년이하(당일)</stp>
        <stp>45523</stp>
        <stp/>
        <tr r="N58" s="1"/>
        <tr r="N58" s="1"/>
      </tp>
      <tp>
        <v>4.3129999999999997</v>
        <stp/>
        <stp>P</stp>
        <stp>0</stp>
        <stp>IR</stp>
        <stp>BONDAV452</stp>
        <stp>5년이하(당일)</stp>
        <stp>45523</stp>
        <stp/>
        <tr r="N59" s="1"/>
        <tr r="N59" s="1"/>
      </tp>
      <tp>
        <v>4.7080000000000002</v>
        <stp/>
        <stp>P</stp>
        <stp>0</stp>
        <stp>IR</stp>
        <stp>BONDAV453</stp>
        <stp>5년이하(당일)</stp>
        <stp>45523</stp>
        <stp/>
        <tr r="N60" s="1"/>
        <tr r="N60" s="1"/>
      </tp>
      <tp>
        <v>3.532</v>
        <stp/>
        <stp>P</stp>
        <stp>0</stp>
        <stp>IR</stp>
        <stp>BONDAV458</stp>
        <stp>5년이하(당일)</stp>
        <stp>45523</stp>
        <stp/>
        <tr r="N65" s="1"/>
        <tr r="N65" s="1"/>
      </tp>
      <tp>
        <v>4.2969999999999997</v>
        <stp/>
        <stp>P</stp>
        <stp>0</stp>
        <stp>IR</stp>
        <stp>BONDAV459</stp>
        <stp>5년이하(당일)</stp>
        <stp>45523</stp>
        <stp/>
        <tr r="N66" s="1"/>
        <tr r="N66" s="1"/>
      </tp>
      <tp>
        <v>9.7579999999999991</v>
        <stp/>
        <stp>P</stp>
        <stp>0</stp>
        <stp>IR</stp>
        <stp>BONDAV464</stp>
        <stp>5년이하(당일)</stp>
        <stp>45523</stp>
        <stp/>
        <tr r="N71" s="1"/>
        <tr r="N71" s="1"/>
      </tp>
      <tp>
        <v>4.7149999999999999</v>
        <stp/>
        <stp>P</stp>
        <stp>0</stp>
        <stp>IR</stp>
        <stp>BONDAV460</stp>
        <stp>5년이하(당일)</stp>
        <stp>45523</stp>
        <stp/>
        <tr r="N67" s="1"/>
        <tr r="N67" s="1"/>
      </tp>
      <tp>
        <v>5.31</v>
        <stp/>
        <stp>P</stp>
        <stp>0</stp>
        <stp>IR</stp>
        <stp>BONDAV461</stp>
        <stp>5년이하(당일)</stp>
        <stp>45523</stp>
        <stp/>
        <tr r="N68" s="1"/>
        <tr r="N68" s="1"/>
      </tp>
      <tp>
        <v>7.2839999999999998</v>
        <stp/>
        <stp>P</stp>
        <stp>0</stp>
        <stp>IR</stp>
        <stp>BONDAV462</stp>
        <stp>5년이하(당일)</stp>
        <stp>45523</stp>
        <stp/>
        <tr r="N69" s="1"/>
        <tr r="N69" s="1"/>
      </tp>
      <tp>
        <v>8.3350000000000009</v>
        <stp/>
        <stp>P</stp>
        <stp>0</stp>
        <stp>IR</stp>
        <stp>BONDAV463</stp>
        <stp>5년이하(당일)</stp>
        <stp>45523</stp>
        <stp/>
        <tr r="N70" s="1"/>
        <tr r="N70" s="1"/>
      </tp>
      <tp>
        <v>3.4980000000000002</v>
        <stp/>
        <stp>P</stp>
        <stp>0</stp>
        <stp>IR</stp>
        <stp>BONDAV469</stp>
        <stp>5년이하(당일)</stp>
        <stp>45523</stp>
        <stp/>
        <tr r="N72" s="1"/>
        <tr r="N72" s="1"/>
      </tp>
      <tp>
        <v>5.1539999999999999</v>
        <stp/>
        <stp>P</stp>
        <stp>0</stp>
        <stp>IR</stp>
        <stp>BONDAV474</stp>
        <stp>5년이하(당일)</stp>
        <stp>45523</stp>
        <stp/>
        <tr r="N77" s="1"/>
        <tr r="N77" s="1"/>
      </tp>
      <tp>
        <v>5.7809999999999997</v>
        <stp/>
        <stp>P</stp>
        <stp>0</stp>
        <stp>IR</stp>
        <stp>BONDAV475</stp>
        <stp>5년이하(당일)</stp>
        <stp>45523</stp>
        <stp/>
        <tr r="N78" s="1"/>
        <tr r="N78" s="1"/>
      </tp>
      <tp>
        <v>7.8689999999999998</v>
        <stp/>
        <stp>P</stp>
        <stp>0</stp>
        <stp>IR</stp>
        <stp>BONDAV476</stp>
        <stp>5년이하(당일)</stp>
        <stp>45523</stp>
        <stp/>
        <tr r="N79" s="1"/>
        <tr r="N79" s="1"/>
      </tp>
      <tp>
        <v>8.9949999999999992</v>
        <stp/>
        <stp>P</stp>
        <stp>0</stp>
        <stp>IR</stp>
        <stp>BONDAV477</stp>
        <stp>5년이하(당일)</stp>
        <stp>45523</stp>
        <stp/>
        <tr r="N80" s="1"/>
        <tr r="N80" s="1"/>
      </tp>
      <tp>
        <v>3.6019999999999999</v>
        <stp/>
        <stp>P</stp>
        <stp>0</stp>
        <stp>IR</stp>
        <stp>BONDAV470</stp>
        <stp>5년이하(당일)</stp>
        <stp>45523</stp>
        <stp/>
        <tr r="N73" s="1"/>
        <tr r="N73" s="1"/>
      </tp>
      <tp>
        <v>3.6909999999999998</v>
        <stp/>
        <stp>P</stp>
        <stp>0</stp>
        <stp>IR</stp>
        <stp>BONDAV471</stp>
        <stp>5년이하(당일)</stp>
        <stp>45523</stp>
        <stp/>
        <tr r="N74" s="1"/>
        <tr r="N74" s="1"/>
      </tp>
      <tp>
        <v>3.8239999999999998</v>
        <stp/>
        <stp>P</stp>
        <stp>0</stp>
        <stp>IR</stp>
        <stp>BONDAV472</stp>
        <stp>5년이하(당일)</stp>
        <stp>45523</stp>
        <stp/>
        <tr r="N75" s="1"/>
        <tr r="N75" s="1"/>
      </tp>
      <tp>
        <v>4.6900000000000004</v>
        <stp/>
        <stp>P</stp>
        <stp>0</stp>
        <stp>IR</stp>
        <stp>BONDAV473</stp>
        <stp>5년이하(당일)</stp>
        <stp>45523</stp>
        <stp/>
        <tr r="N76" s="1"/>
        <tr r="N76" s="1"/>
      </tp>
      <tp>
        <v>10.706</v>
        <stp/>
        <stp>P</stp>
        <stp>0</stp>
        <stp>IR</stp>
        <stp>BONDAV478</stp>
        <stp>5년이하(당일)</stp>
        <stp>45523</stp>
        <stp/>
        <tr r="N81" s="1"/>
        <tr r="N81" s="1"/>
      </tp>
      <tp>
        <v>3.1749999999999998</v>
        <stp/>
        <stp>P</stp>
        <stp>0</stp>
        <stp>IR</stp>
        <stp>BONDAV479</stp>
        <stp>5년이하(당일)</stp>
        <stp>45523</stp>
        <stp/>
        <tr r="N82" s="1"/>
        <tr r="N82" s="1"/>
      </tp>
      <tp>
        <v>2.5649999999999999</v>
        <stp/>
        <stp>P</stp>
        <stp>0</stp>
        <stp>IR</stp>
        <stp>BONDAV404</stp>
        <stp>5년이하(당일)</stp>
        <stp>45523</stp>
        <stp/>
        <tr r="N11" s="1"/>
        <tr r="N11" s="1"/>
      </tp>
      <tp>
        <v>3.1080000000000001</v>
        <stp/>
        <stp>P</stp>
        <stp>0</stp>
        <stp>IR</stp>
        <stp>BONDAV405</stp>
        <stp>5년이하(당일)</stp>
        <stp>45523</stp>
        <stp/>
        <tr r="N12" s="1"/>
        <tr r="N12" s="1"/>
      </tp>
      <tp>
        <v>3.1080000000000001</v>
        <stp/>
        <stp>P</stp>
        <stp>0</stp>
        <stp>IR</stp>
        <stp>BONDAV406</stp>
        <stp>5년이하(당일)</stp>
        <stp>45523</stp>
        <stp/>
        <tr r="N13" s="1"/>
        <tr r="N13" s="1"/>
      </tp>
      <tp>
        <v>2.93</v>
        <stp/>
        <stp>P</stp>
        <stp>0</stp>
        <stp>IR</stp>
        <stp>BONDAV401</stp>
        <stp>5년이하(당일)</stp>
        <stp>45523</stp>
        <stp/>
        <tr r="N8" s="1"/>
        <tr r="N8" s="1"/>
      </tp>
      <tp>
        <v>3.0510000000000002</v>
        <stp/>
        <stp>P</stp>
        <stp>0</stp>
        <stp>IR</stp>
        <stp>BONDAV402</stp>
        <stp>5년이하(당일)</stp>
        <stp>45523</stp>
        <stp/>
        <tr r="N9" s="1"/>
        <tr r="N9" s="1"/>
      </tp>
      <tp>
        <v>2.8279999999999998</v>
        <stp/>
        <stp>P</stp>
        <stp>0</stp>
        <stp>IR</stp>
        <stp>BONDAV403</stp>
        <stp>5년이하(당일)</stp>
        <stp>45523</stp>
        <stp/>
        <tr r="N10" s="1"/>
        <tr r="N10" s="1"/>
      </tp>
      <tp>
        <v>3.145</v>
        <stp/>
        <stp>P</stp>
        <stp>0</stp>
        <stp>IR</stp>
        <stp>BONDAV409</stp>
        <stp>5년이하(당일)</stp>
        <stp>45523</stp>
        <stp/>
        <tr r="N15" s="1"/>
        <tr r="N15" s="1"/>
      </tp>
      <tp>
        <v>0</v>
        <stp/>
        <stp>P</stp>
        <stp>0</stp>
        <stp>IR</stp>
        <stp>BONDAV414</stp>
        <stp>5년이하(당일)</stp>
        <stp>45523</stp>
        <stp/>
        <tr r="N19" s="1"/>
      </tp>
      <tp t="s">
        <v/>
        <stp/>
        <stp>P</stp>
        <stp>0</stp>
        <stp>IR</stp>
        <stp>BONDAV415</stp>
        <stp>5년이하(당일)</stp>
        <stp>45523</stp>
        <stp/>
        <tr r="N20" s="1"/>
        <tr r="N20" s="1"/>
      </tp>
      <tp>
        <v>3.085</v>
        <stp/>
        <stp>P</stp>
        <stp>0</stp>
        <stp>IR</stp>
        <stp>BONDAV416</stp>
        <stp>5년이하(당일)</stp>
        <stp>45523</stp>
        <stp/>
        <tr r="N22" s="1"/>
        <tr r="N22" s="1"/>
      </tp>
      <tp>
        <v>3.13</v>
        <stp/>
        <stp>P</stp>
        <stp>0</stp>
        <stp>IR</stp>
        <stp>BONDAV417</stp>
        <stp>5년이하(당일)</stp>
        <stp>45523</stp>
        <stp/>
        <tr r="N23" s="1"/>
        <tr r="N23" s="1"/>
      </tp>
      <tp>
        <v>3.2669999999999999</v>
        <stp/>
        <stp>P</stp>
        <stp>0</stp>
        <stp>IR</stp>
        <stp>BONDAV410</stp>
        <stp>5년이하(당일)</stp>
        <stp>45523</stp>
        <stp/>
        <tr r="N16" s="1"/>
        <tr r="N16" s="1"/>
      </tp>
      <tp>
        <v>3.41</v>
        <stp/>
        <stp>P</stp>
        <stp>0</stp>
        <stp>IR</stp>
        <stp>BONDAV411</stp>
        <stp>5년이하(당일)</stp>
        <stp>45523</stp>
        <stp/>
        <tr r="N17" s="1"/>
        <tr r="N17" s="1"/>
      </tp>
      <tp>
        <v>3.5459999999999998</v>
        <stp/>
        <stp>P</stp>
        <stp>0</stp>
        <stp>IR</stp>
        <stp>BONDAV412</stp>
        <stp>5년이하(당일)</stp>
        <stp>45523</stp>
        <stp/>
        <tr r="N18" s="1"/>
        <tr r="N18" s="1"/>
      </tp>
      <tp>
        <v>3.0779999999999998</v>
        <stp/>
        <stp>P</stp>
        <stp>0</stp>
        <stp>IR</stp>
        <stp>BONDAV413</stp>
        <stp>5년이하(당일)</stp>
        <stp>45523</stp>
        <stp/>
        <tr r="N14" s="1"/>
        <tr r="N14" s="1"/>
      </tp>
      <tp>
        <v>3.0920000000000001</v>
        <stp/>
        <stp>P</stp>
        <stp>0</stp>
        <stp>IR</stp>
        <stp>BONDAV418</stp>
        <stp>5년이하(당일)</stp>
        <stp>45523</stp>
        <stp/>
        <tr r="N24" s="1"/>
        <tr r="N24" s="1"/>
      </tp>
      <tp>
        <v>3.1349999999999998</v>
        <stp/>
        <stp>P</stp>
        <stp>0</stp>
        <stp>IR</stp>
        <stp>BONDAV419</stp>
        <stp>5년이하(당일)</stp>
        <stp>45523</stp>
        <stp/>
        <tr r="N25" s="1"/>
        <tr r="N25" s="1"/>
      </tp>
      <tp>
        <v>3.9609999999999999</v>
        <stp/>
        <stp>P</stp>
        <stp>0</stp>
        <stp>IR</stp>
        <stp>BONDAV424</stp>
        <stp>5년이하(당일)</stp>
        <stp>45523</stp>
        <stp/>
        <tr r="N30" s="1"/>
        <tr r="N30" s="1"/>
      </tp>
      <tp>
        <v>4.0819999999999999</v>
        <stp/>
        <stp>P</stp>
        <stp>0</stp>
        <stp>IR</stp>
        <stp>BONDAV425</stp>
        <stp>5년이하(당일)</stp>
        <stp>45523</stp>
        <stp/>
        <tr r="N31" s="1"/>
        <tr r="N31" s="1"/>
      </tp>
      <tp>
        <v>4.1950000000000003</v>
        <stp/>
        <stp>P</stp>
        <stp>0</stp>
        <stp>IR</stp>
        <stp>BONDAV426</stp>
        <stp>5년이하(당일)</stp>
        <stp>45523</stp>
        <stp/>
        <tr r="N32" s="1"/>
        <tr r="N32" s="1"/>
      </tp>
      <tp>
        <v>3.54</v>
        <stp/>
        <stp>P</stp>
        <stp>0</stp>
        <stp>IR</stp>
        <stp>BONDAV427</stp>
        <stp>5년이하(당일)</stp>
        <stp>45523</stp>
        <stp/>
        <tr r="N34" s="1"/>
        <tr r="N34" s="1"/>
      </tp>
      <tp>
        <v>3.2080000000000002</v>
        <stp/>
        <stp>P</stp>
        <stp>0</stp>
        <stp>IR</stp>
        <stp>BONDAV420</stp>
        <stp>5년이하(당일)</stp>
        <stp>45523</stp>
        <stp/>
        <tr r="N26" s="1"/>
        <tr r="N26" s="1"/>
      </tp>
      <tp>
        <v>3.3159999999999998</v>
        <stp/>
        <stp>P</stp>
        <stp>0</stp>
        <stp>IR</stp>
        <stp>BONDAV421</stp>
        <stp>5년이하(당일)</stp>
        <stp>45523</stp>
        <stp/>
        <tr r="N27" s="1"/>
        <tr r="N27" s="1"/>
      </tp>
      <tp>
        <v>3.5870000000000002</v>
        <stp/>
        <stp>P</stp>
        <stp>0</stp>
        <stp>IR</stp>
        <stp>BONDAV422</stp>
        <stp>5년이하(당일)</stp>
        <stp>45523</stp>
        <stp/>
        <tr r="N28" s="1"/>
        <tr r="N28" s="1"/>
      </tp>
      <tp>
        <v>3.8239999999999998</v>
        <stp/>
        <stp>P</stp>
        <stp>0</stp>
        <stp>IR</stp>
        <stp>BONDAV423</stp>
        <stp>5년이하(당일)</stp>
        <stp>45523</stp>
        <stp/>
        <tr r="N29" s="1"/>
        <tr r="N29" s="1"/>
      </tp>
      <tp>
        <v>3.6589999999999998</v>
        <stp/>
        <stp>P</stp>
        <stp>0</stp>
        <stp>IR</stp>
        <stp>BONDAV428</stp>
        <stp>5년이하(당일)</stp>
        <stp>45523</stp>
        <stp/>
        <tr r="N35" s="1"/>
        <tr r="N35" s="1"/>
      </tp>
      <tp>
        <v>4.8150000000000004</v>
        <stp/>
        <stp>P</stp>
        <stp>0</stp>
        <stp>IR</stp>
        <stp>BONDAV429</stp>
        <stp>5년이하(당일)</stp>
        <stp>45523</stp>
        <stp/>
        <tr r="N36" s="1"/>
        <tr r="N36" s="1"/>
      </tp>
      <tp>
        <v>9.923</v>
        <stp/>
        <stp>P</stp>
        <stp>0</stp>
        <stp>IR</stp>
        <stp>BONDAV434</stp>
        <stp>5년이하(당일)</stp>
        <stp>45523</stp>
        <stp/>
        <tr r="N41" s="1"/>
        <tr r="N41" s="1"/>
      </tp>
      <tp>
        <v>3.54</v>
        <stp/>
        <stp>P</stp>
        <stp>0</stp>
        <stp>IR</stp>
        <stp>BONDAV436</stp>
        <stp>5년이하(당일)</stp>
        <stp>45523</stp>
        <stp/>
        <tr r="N43" s="1"/>
        <tr r="N43" s="1"/>
      </tp>
      <tp>
        <v>3.6589999999999998</v>
        <stp/>
        <stp>P</stp>
        <stp>0</stp>
        <stp>IR</stp>
        <stp>BONDAV437</stp>
        <stp>5년이하(당일)</stp>
        <stp>45523</stp>
        <stp/>
        <tr r="N44" s="1"/>
        <tr r="N44" s="1"/>
      </tp>
      <tp>
        <v>5.4710000000000001</v>
        <stp/>
        <stp>P</stp>
        <stp>0</stp>
        <stp>IR</stp>
        <stp>BONDAV430</stp>
        <stp>5년이하(당일)</stp>
        <stp>45523</stp>
        <stp/>
        <tr r="N37" s="1"/>
        <tr r="N37" s="1"/>
      </tp>
      <tp>
        <v>6.1379999999999999</v>
        <stp/>
        <stp>P</stp>
        <stp>0</stp>
        <stp>IR</stp>
        <stp>BONDAV431</stp>
        <stp>5년이하(당일)</stp>
        <stp>45523</stp>
        <stp/>
        <tr r="N38" s="1"/>
        <tr r="N38" s="1"/>
      </tp>
      <tp>
        <v>7.4539999999999997</v>
        <stp/>
        <stp>P</stp>
        <stp>0</stp>
        <stp>IR</stp>
        <stp>BONDAV432</stp>
        <stp>5년이하(당일)</stp>
        <stp>45523</stp>
        <stp/>
        <tr r="N39" s="1"/>
        <tr r="N39" s="1"/>
      </tp>
      <tp>
        <v>8.4819999999999993</v>
        <stp/>
        <stp>P</stp>
        <stp>0</stp>
        <stp>IR</stp>
        <stp>BONDAV433</stp>
        <stp>5년이하(당일)</stp>
        <stp>45523</stp>
        <stp/>
        <tr r="N40" s="1"/>
        <tr r="N40" s="1"/>
      </tp>
      <tp>
        <v>4.8150000000000004</v>
        <stp/>
        <stp>P</stp>
        <stp>0</stp>
        <stp>IR</stp>
        <stp>BONDAV438</stp>
        <stp>5년이하(당일)</stp>
        <stp>45523</stp>
        <stp/>
        <tr r="N45" s="1"/>
        <tr r="N45" s="1"/>
      </tp>
      <tp>
        <v>5.4710000000000001</v>
        <stp/>
        <stp>P</stp>
        <stp>0</stp>
        <stp>IR</stp>
        <stp>BONDAV439</stp>
        <stp>5년이하(당일)</stp>
        <stp>45523</stp>
        <stp/>
        <tr r="N46" s="1"/>
        <tr r="N46" s="1"/>
      </tp>
      <tp>
        <v>3.165</v>
        <stp/>
        <stp>P</stp>
        <stp>0</stp>
        <stp>IR</stp>
        <stp>BONDAV484</stp>
        <stp>5년이하(당일)</stp>
        <stp>45523</stp>
        <stp/>
        <tr r="N21" s="1"/>
        <tr r="N21" s="1"/>
      </tp>
      <tp>
        <v>3.3290000000000002</v>
        <stp/>
        <stp>P</stp>
        <stp>0</stp>
        <stp>IR</stp>
        <stp>BONDAV481</stp>
        <stp>5년이하(당일)</stp>
        <stp>45523</stp>
        <stp/>
        <tr r="N33" s="1"/>
        <tr r="N33" s="1"/>
      </tp>
      <tp>
        <v>3.3290000000000002</v>
        <stp/>
        <stp>P</stp>
        <stp>0</stp>
        <stp>IR</stp>
        <stp>BONDAV482</stp>
        <stp>5년이하(당일)</stp>
        <stp>45523</stp>
        <stp/>
        <tr r="N42" s="1"/>
        <tr r="N42" s="1"/>
      </tp>
      <tp>
        <v>3.2080000000000002</v>
        <stp/>
        <stp>P</stp>
        <stp>0</stp>
        <stp>IR</stp>
        <stp>BONDAV444</stp>
        <stp>4년이하(당일)</stp>
        <stp>45523</stp>
        <stp/>
        <tr r="M51" s="1"/>
        <tr r="M51" s="1"/>
      </tp>
      <tp>
        <v>3.355</v>
        <stp/>
        <stp>P</stp>
        <stp>0</stp>
        <stp>IR</stp>
        <stp>BONDAV445</stp>
        <stp>4년이하(당일)</stp>
        <stp>45523</stp>
        <stp/>
        <tr r="M52" s="1"/>
        <tr r="M52" s="1"/>
      </tp>
      <tp>
        <v>3.6549999999999998</v>
        <stp/>
        <stp>P</stp>
        <stp>0</stp>
        <stp>IR</stp>
        <stp>BONDAV446</stp>
        <stp>4년이하(당일)</stp>
        <stp>45523</stp>
        <stp/>
        <tr r="M53" s="1"/>
        <tr r="M53" s="1"/>
      </tp>
      <tp>
        <v>4.4450000000000003</v>
        <stp/>
        <stp>P</stp>
        <stp>0</stp>
        <stp>IR</stp>
        <stp>BONDAV447</stp>
        <stp>4년이하(당일)</stp>
        <stp>45523</stp>
        <stp/>
        <tr r="M54" s="1"/>
        <tr r="M54" s="1"/>
      </tp>
      <tp>
        <v>6.0789999999999997</v>
        <stp/>
        <stp>P</stp>
        <stp>0</stp>
        <stp>IR</stp>
        <stp>BONDAV440</stp>
        <stp>4년이하(당일)</stp>
        <stp>45523</stp>
        <stp/>
        <tr r="M47" s="1"/>
        <tr r="M47" s="1"/>
      </tp>
      <tp>
        <v>7.3920000000000003</v>
        <stp/>
        <stp>P</stp>
        <stp>0</stp>
        <stp>IR</stp>
        <stp>BONDAV441</stp>
        <stp>4년이하(당일)</stp>
        <stp>45523</stp>
        <stp/>
        <tr r="M48" s="1"/>
        <tr r="M48" s="1"/>
      </tp>
      <tp>
        <v>8.3330000000000002</v>
        <stp/>
        <stp>P</stp>
        <stp>0</stp>
        <stp>IR</stp>
        <stp>BONDAV442</stp>
        <stp>4년이하(당일)</stp>
        <stp>45523</stp>
        <stp/>
        <tr r="M49" s="1"/>
        <tr r="M49" s="1"/>
      </tp>
      <tp>
        <v>9.6920000000000002</v>
        <stp/>
        <stp>P</stp>
        <stp>0</stp>
        <stp>IR</stp>
        <stp>BONDAV443</stp>
        <stp>4년이하(당일)</stp>
        <stp>45523</stp>
        <stp/>
        <tr r="M50" s="1"/>
        <tr r="M50" s="1"/>
      </tp>
      <tp>
        <v>3.28</v>
        <stp/>
        <stp>P</stp>
        <stp>0</stp>
        <stp>IR</stp>
        <stp>BONDAV448</stp>
        <stp>4년이하(당일)</stp>
        <stp>45523</stp>
        <stp/>
        <tr r="M55" s="1"/>
        <tr r="M55" s="1"/>
      </tp>
      <tp>
        <v>3.3370000000000002</v>
        <stp/>
        <stp>P</stp>
        <stp>0</stp>
        <stp>IR</stp>
        <stp>BONDAV449</stp>
        <stp>4년이하(당일)</stp>
        <stp>45523</stp>
        <stp/>
        <tr r="M56" s="1"/>
        <tr r="M56" s="1"/>
      </tp>
      <tp>
        <v>4.9560000000000004</v>
        <stp/>
        <stp>P</stp>
        <stp>0</stp>
        <stp>IR</stp>
        <stp>BONDAV454</stp>
        <stp>4년이하(당일)</stp>
        <stp>45523</stp>
        <stp/>
        <tr r="M61" s="1"/>
        <tr r="M61" s="1"/>
      </tp>
      <tp>
        <v>3.2839999999999998</v>
        <stp/>
        <stp>P</stp>
        <stp>0</stp>
        <stp>IR</stp>
        <stp>BONDAV455</stp>
        <stp>4년이하(당일)</stp>
        <stp>45523</stp>
        <stp/>
        <tr r="M62" s="1"/>
        <tr r="M62" s="1"/>
      </tp>
      <tp>
        <v>3.3410000000000002</v>
        <stp/>
        <stp>P</stp>
        <stp>0</stp>
        <stp>IR</stp>
        <stp>BONDAV456</stp>
        <stp>4년이하(당일)</stp>
        <stp>45523</stp>
        <stp/>
        <tr r="M63" s="1"/>
        <tr r="M63" s="1"/>
      </tp>
      <tp>
        <v>3.3839999999999999</v>
        <stp/>
        <stp>P</stp>
        <stp>0</stp>
        <stp>IR</stp>
        <stp>BONDAV457</stp>
        <stp>4년이하(당일)</stp>
        <stp>45523</stp>
        <stp/>
        <tr r="M64" s="1"/>
        <tr r="M64" s="1"/>
      </tp>
      <tp>
        <v>3.3740000000000001</v>
        <stp/>
        <stp>P</stp>
        <stp>0</stp>
        <stp>IR</stp>
        <stp>BONDAV450</stp>
        <stp>4년이하(당일)</stp>
        <stp>45523</stp>
        <stp/>
        <tr r="M57" s="1"/>
        <tr r="M57" s="1"/>
      </tp>
      <tp>
        <v>3.423</v>
        <stp/>
        <stp>P</stp>
        <stp>0</stp>
        <stp>IR</stp>
        <stp>BONDAV451</stp>
        <stp>4년이하(당일)</stp>
        <stp>45523</stp>
        <stp/>
        <tr r="M58" s="1"/>
        <tr r="M58" s="1"/>
      </tp>
      <tp>
        <v>4.093</v>
        <stp/>
        <stp>P</stp>
        <stp>0</stp>
        <stp>IR</stp>
        <stp>BONDAV452</stp>
        <stp>4년이하(당일)</stp>
        <stp>45523</stp>
        <stp/>
        <tr r="M59" s="1"/>
        <tr r="M59" s="1"/>
      </tp>
      <tp>
        <v>4.4130000000000003</v>
        <stp/>
        <stp>P</stp>
        <stp>0</stp>
        <stp>IR</stp>
        <stp>BONDAV453</stp>
        <stp>4년이하(당일)</stp>
        <stp>45523</stp>
        <stp/>
        <tr r="M60" s="1"/>
        <tr r="M60" s="1"/>
      </tp>
      <tp>
        <v>3.4470000000000001</v>
        <stp/>
        <stp>P</stp>
        <stp>0</stp>
        <stp>IR</stp>
        <stp>BONDAV458</stp>
        <stp>4년이하(당일)</stp>
        <stp>45523</stp>
        <stp/>
        <tr r="M65" s="1"/>
        <tr r="M65" s="1"/>
      </tp>
      <tp>
        <v>4.069</v>
        <stp/>
        <stp>P</stp>
        <stp>0</stp>
        <stp>IR</stp>
        <stp>BONDAV459</stp>
        <stp>4년이하(당일)</stp>
        <stp>45523</stp>
        <stp/>
        <tr r="M66" s="1"/>
        <tr r="M66" s="1"/>
      </tp>
      <tp>
        <v>9.6609999999999996</v>
        <stp/>
        <stp>P</stp>
        <stp>0</stp>
        <stp>IR</stp>
        <stp>BONDAV464</stp>
        <stp>4년이하(당일)</stp>
        <stp>45523</stp>
        <stp/>
        <tr r="M71" s="1"/>
        <tr r="M71" s="1"/>
      </tp>
      <tp>
        <v>4.4160000000000004</v>
        <stp/>
        <stp>P</stp>
        <stp>0</stp>
        <stp>IR</stp>
        <stp>BONDAV460</stp>
        <stp>4년이하(당일)</stp>
        <stp>45523</stp>
        <stp/>
        <tr r="M67" s="1"/>
        <tr r="M67" s="1"/>
      </tp>
      <tp>
        <v>4.9219999999999997</v>
        <stp/>
        <stp>P</stp>
        <stp>0</stp>
        <stp>IR</stp>
        <stp>BONDAV461</stp>
        <stp>4년이하(당일)</stp>
        <stp>45523</stp>
        <stp/>
        <tr r="M68" s="1"/>
        <tr r="M68" s="1"/>
      </tp>
      <tp>
        <v>7.1959999999999997</v>
        <stp/>
        <stp>P</stp>
        <stp>0</stp>
        <stp>IR</stp>
        <stp>BONDAV462</stp>
        <stp>4년이하(당일)</stp>
        <stp>45523</stp>
        <stp/>
        <tr r="M69" s="1"/>
        <tr r="M69" s="1"/>
      </tp>
      <tp>
        <v>8.2390000000000008</v>
        <stp/>
        <stp>P</stp>
        <stp>0</stp>
        <stp>IR</stp>
        <stp>BONDAV463</stp>
        <stp>4년이하(당일)</stp>
        <stp>45523</stp>
        <stp/>
        <tr r="M70" s="1"/>
        <tr r="M70" s="1"/>
      </tp>
      <tp>
        <v>3.4750000000000001</v>
        <stp/>
        <stp>P</stp>
        <stp>0</stp>
        <stp>IR</stp>
        <stp>BONDAV469</stp>
        <stp>4년이하(당일)</stp>
        <stp>45523</stp>
        <stp/>
        <tr r="M72" s="1"/>
        <tr r="M72" s="1"/>
      </tp>
      <tp>
        <v>4.84</v>
        <stp/>
        <stp>P</stp>
        <stp>0</stp>
        <stp>IR</stp>
        <stp>BONDAV474</stp>
        <stp>4년이하(당일)</stp>
        <stp>45523</stp>
        <stp/>
        <tr r="M77" s="1"/>
        <tr r="M77" s="1"/>
      </tp>
      <tp>
        <v>5.3650000000000002</v>
        <stp/>
        <stp>P</stp>
        <stp>0</stp>
        <stp>IR</stp>
        <stp>BONDAV475</stp>
        <stp>4년이하(당일)</stp>
        <stp>45523</stp>
        <stp/>
        <tr r="M78" s="1"/>
        <tr r="M78" s="1"/>
      </tp>
      <tp>
        <v>7.7539999999999996</v>
        <stp/>
        <stp>P</stp>
        <stp>0</stp>
        <stp>IR</stp>
        <stp>BONDAV476</stp>
        <stp>4년이하(당일)</stp>
        <stp>45523</stp>
        <stp/>
        <tr r="M79" s="1"/>
        <tr r="M79" s="1"/>
      </tp>
      <tp>
        <v>8.8859999999999992</v>
        <stp/>
        <stp>P</stp>
        <stp>0</stp>
        <stp>IR</stp>
        <stp>BONDAV477</stp>
        <stp>4년이하(당일)</stp>
        <stp>45523</stp>
        <stp/>
        <tr r="M80" s="1"/>
        <tr r="M80" s="1"/>
      </tp>
      <tp>
        <v>3.5579999999999998</v>
        <stp/>
        <stp>P</stp>
        <stp>0</stp>
        <stp>IR</stp>
        <stp>BONDAV470</stp>
        <stp>4년이하(당일)</stp>
        <stp>45523</stp>
        <stp/>
        <tr r="M73" s="1"/>
        <tr r="M73" s="1"/>
      </tp>
      <tp>
        <v>3.625</v>
        <stp/>
        <stp>P</stp>
        <stp>0</stp>
        <stp>IR</stp>
        <stp>BONDAV471</stp>
        <stp>4년이하(당일)</stp>
        <stp>45523</stp>
        <stp/>
        <tr r="M74" s="1"/>
        <tr r="M74" s="1"/>
      </tp>
      <tp>
        <v>3.7210000000000001</v>
        <stp/>
        <stp>P</stp>
        <stp>0</stp>
        <stp>IR</stp>
        <stp>BONDAV472</stp>
        <stp>4년이하(당일)</stp>
        <stp>45523</stp>
        <stp/>
        <tr r="M75" s="1"/>
        <tr r="M75" s="1"/>
      </tp>
      <tp>
        <v>4.4409999999999998</v>
        <stp/>
        <stp>P</stp>
        <stp>0</stp>
        <stp>IR</stp>
        <stp>BONDAV473</stp>
        <stp>4년이하(당일)</stp>
        <stp>45523</stp>
        <stp/>
        <tr r="M76" s="1"/>
        <tr r="M76" s="1"/>
      </tp>
      <tp>
        <v>10.579000000000001</v>
        <stp/>
        <stp>P</stp>
        <stp>0</stp>
        <stp>IR</stp>
        <stp>BONDAV478</stp>
        <stp>4년이하(당일)</stp>
        <stp>45523</stp>
        <stp/>
        <tr r="M81" s="1"/>
        <tr r="M81" s="1"/>
      </tp>
      <tp>
        <v>3.173</v>
        <stp/>
        <stp>P</stp>
        <stp>0</stp>
        <stp>IR</stp>
        <stp>BONDAV479</stp>
        <stp>4년이하(당일)</stp>
        <stp>45523</stp>
        <stp/>
        <tr r="M82" s="1"/>
        <tr r="M82" s="1"/>
      </tp>
      <tp>
        <v>2.5419999999999998</v>
        <stp/>
        <stp>P</stp>
        <stp>0</stp>
        <stp>IR</stp>
        <stp>BONDAV404</stp>
        <stp>4년이하(당일)</stp>
        <stp>45523</stp>
        <stp/>
        <tr r="M11" s="1"/>
        <tr r="M11" s="1"/>
      </tp>
      <tp>
        <v>3.121</v>
        <stp/>
        <stp>P</stp>
        <stp>0</stp>
        <stp>IR</stp>
        <stp>BONDAV405</stp>
        <stp>4년이하(당일)</stp>
        <stp>45523</stp>
        <stp/>
        <tr r="M12" s="1"/>
        <tr r="M12" s="1"/>
      </tp>
      <tp>
        <v>3.121</v>
        <stp/>
        <stp>P</stp>
        <stp>0</stp>
        <stp>IR</stp>
        <stp>BONDAV406</stp>
        <stp>4년이하(당일)</stp>
        <stp>45523</stp>
        <stp/>
        <tr r="M13" s="1"/>
        <tr r="M13" s="1"/>
      </tp>
      <tp>
        <v>2.9420000000000002</v>
        <stp/>
        <stp>P</stp>
        <stp>0</stp>
        <stp>IR</stp>
        <stp>BONDAV401</stp>
        <stp>4년이하(당일)</stp>
        <stp>45523</stp>
        <stp/>
        <tr r="M8" s="1"/>
        <tr r="M8" s="1"/>
      </tp>
      <tp>
        <v>3.0089999999999999</v>
        <stp/>
        <stp>P</stp>
        <stp>0</stp>
        <stp>IR</stp>
        <stp>BONDAV402</stp>
        <stp>4년이하(당일)</stp>
        <stp>45523</stp>
        <stp/>
        <tr r="M9" s="1"/>
        <tr r="M9" s="1"/>
      </tp>
      <tp>
        <v>2.83</v>
        <stp/>
        <stp>P</stp>
        <stp>0</stp>
        <stp>IR</stp>
        <stp>BONDAV403</stp>
        <stp>4년이하(당일)</stp>
        <stp>45523</stp>
        <stp/>
        <tr r="M10" s="1"/>
        <tr r="M10" s="1"/>
      </tp>
      <tp>
        <v>3.1440000000000001</v>
        <stp/>
        <stp>P</stp>
        <stp>0</stp>
        <stp>IR</stp>
        <stp>BONDAV409</stp>
        <stp>4년이하(당일)</stp>
        <stp>45523</stp>
        <stp/>
        <tr r="M15" s="1"/>
        <tr r="M15" s="1"/>
      </tp>
      <tp>
        <v>0</v>
        <stp/>
        <stp>P</stp>
        <stp>0</stp>
        <stp>IR</stp>
        <stp>BONDAV414</stp>
        <stp>4년이하(당일)</stp>
        <stp>45523</stp>
        <stp/>
        <tr r="M19" s="1"/>
      </tp>
      <tp t="s">
        <v/>
        <stp/>
        <stp>P</stp>
        <stp>0</stp>
        <stp>IR</stp>
        <stp>BONDAV415</stp>
        <stp>4년이하(당일)</stp>
        <stp>45523</stp>
        <stp/>
        <tr r="M20" s="1"/>
        <tr r="M20" s="1"/>
      </tp>
      <tp>
        <v>3.0750000000000002</v>
        <stp/>
        <stp>P</stp>
        <stp>0</stp>
        <stp>IR</stp>
        <stp>BONDAV416</stp>
        <stp>4년이하(당일)</stp>
        <stp>45523</stp>
        <stp/>
        <tr r="M22" s="1"/>
        <tr r="M22" s="1"/>
      </tp>
      <tp>
        <v>3.1179999999999999</v>
        <stp/>
        <stp>P</stp>
        <stp>0</stp>
        <stp>IR</stp>
        <stp>BONDAV417</stp>
        <stp>4년이하(당일)</stp>
        <stp>45523</stp>
        <stp/>
        <tr r="M23" s="1"/>
        <tr r="M23" s="1"/>
      </tp>
      <tp>
        <v>3.2589999999999999</v>
        <stp/>
        <stp>P</stp>
        <stp>0</stp>
        <stp>IR</stp>
        <stp>BONDAV410</stp>
        <stp>4년이하(당일)</stp>
        <stp>45523</stp>
        <stp/>
        <tr r="M16" s="1"/>
        <tr r="M16" s="1"/>
      </tp>
      <tp>
        <v>3.399</v>
        <stp/>
        <stp>P</stp>
        <stp>0</stp>
        <stp>IR</stp>
        <stp>BONDAV411</stp>
        <stp>4년이하(당일)</stp>
        <stp>45523</stp>
        <stp/>
        <tr r="M17" s="1"/>
        <tr r="M17" s="1"/>
      </tp>
      <tp>
        <v>3.5350000000000001</v>
        <stp/>
        <stp>P</stp>
        <stp>0</stp>
        <stp>IR</stp>
        <stp>BONDAV412</stp>
        <stp>4년이하(당일)</stp>
        <stp>45523</stp>
        <stp/>
        <tr r="M18" s="1"/>
        <tr r="M18" s="1"/>
      </tp>
      <tp>
        <v>3.0659999999999998</v>
        <stp/>
        <stp>P</stp>
        <stp>0</stp>
        <stp>IR</stp>
        <stp>BONDAV413</stp>
        <stp>4년이하(당일)</stp>
        <stp>45523</stp>
        <stp/>
        <tr r="M14" s="1"/>
        <tr r="M14" s="1"/>
      </tp>
      <tp>
        <v>3.0819999999999999</v>
        <stp/>
        <stp>P</stp>
        <stp>0</stp>
        <stp>IR</stp>
        <stp>BONDAV418</stp>
        <stp>4년이하(당일)</stp>
        <stp>45523</stp>
        <stp/>
        <tr r="M24" s="1"/>
        <tr r="M24" s="1"/>
      </tp>
      <tp>
        <v>3.1230000000000002</v>
        <stp/>
        <stp>P</stp>
        <stp>0</stp>
        <stp>IR</stp>
        <stp>BONDAV419</stp>
        <stp>4년이하(당일)</stp>
        <stp>45523</stp>
        <stp/>
        <tr r="M25" s="1"/>
        <tr r="M25" s="1"/>
      </tp>
      <tp>
        <v>3.9239999999999999</v>
        <stp/>
        <stp>P</stp>
        <stp>0</stp>
        <stp>IR</stp>
        <stp>BONDAV424</stp>
        <stp>4년이하(당일)</stp>
        <stp>45523</stp>
        <stp/>
        <tr r="M30" s="1"/>
        <tr r="M30" s="1"/>
      </tp>
      <tp>
        <v>4.0279999999999996</v>
        <stp/>
        <stp>P</stp>
        <stp>0</stp>
        <stp>IR</stp>
        <stp>BONDAV425</stp>
        <stp>4년이하(당일)</stp>
        <stp>45523</stp>
        <stp/>
        <tr r="M31" s="1"/>
        <tr r="M31" s="1"/>
      </tp>
      <tp>
        <v>4.13</v>
        <stp/>
        <stp>P</stp>
        <stp>0</stp>
        <stp>IR</stp>
        <stp>BONDAV426</stp>
        <stp>4년이하(당일)</stp>
        <stp>45523</stp>
        <stp/>
        <tr r="M32" s="1"/>
        <tr r="M32" s="1"/>
      </tp>
      <tp>
        <v>3.4369999999999998</v>
        <stp/>
        <stp>P</stp>
        <stp>0</stp>
        <stp>IR</stp>
        <stp>BONDAV427</stp>
        <stp>4년이하(당일)</stp>
        <stp>45523</stp>
        <stp/>
        <tr r="M34" s="1"/>
        <tr r="M34" s="1"/>
      </tp>
      <tp>
        <v>3.2080000000000002</v>
        <stp/>
        <stp>P</stp>
        <stp>0</stp>
        <stp>IR</stp>
        <stp>BONDAV420</stp>
        <stp>4년이하(당일)</stp>
        <stp>45523</stp>
        <stp/>
        <tr r="M26" s="1"/>
        <tr r="M26" s="1"/>
      </tp>
      <tp>
        <v>3.2879999999999998</v>
        <stp/>
        <stp>P</stp>
        <stp>0</stp>
        <stp>IR</stp>
        <stp>BONDAV421</stp>
        <stp>4년이하(당일)</stp>
        <stp>45523</stp>
        <stp/>
        <tr r="M27" s="1"/>
        <tr r="M27" s="1"/>
      </tp>
      <tp>
        <v>3.5529999999999999</v>
        <stp/>
        <stp>P</stp>
        <stp>0</stp>
        <stp>IR</stp>
        <stp>BONDAV422</stp>
        <stp>4년이하(당일)</stp>
        <stp>45523</stp>
        <stp/>
        <tr r="M28" s="1"/>
        <tr r="M28" s="1"/>
      </tp>
      <tp>
        <v>3.7879999999999998</v>
        <stp/>
        <stp>P</stp>
        <stp>0</stp>
        <stp>IR</stp>
        <stp>BONDAV423</stp>
        <stp>4년이하(당일)</stp>
        <stp>45523</stp>
        <stp/>
        <tr r="M29" s="1"/>
        <tr r="M29" s="1"/>
      </tp>
      <tp>
        <v>3.5510000000000002</v>
        <stp/>
        <stp>P</stp>
        <stp>0</stp>
        <stp>IR</stp>
        <stp>BONDAV428</stp>
        <stp>4년이하(당일)</stp>
        <stp>45523</stp>
        <stp/>
        <tr r="M35" s="1"/>
        <tr r="M35" s="1"/>
      </tp>
      <tp>
        <v>4.7050000000000001</v>
        <stp/>
        <stp>P</stp>
        <stp>0</stp>
        <stp>IR</stp>
        <stp>BONDAV429</stp>
        <stp>4년이하(당일)</stp>
        <stp>45523</stp>
        <stp/>
        <tr r="M36" s="1"/>
        <tr r="M36" s="1"/>
      </tp>
      <tp>
        <v>9.7360000000000007</v>
        <stp/>
        <stp>P</stp>
        <stp>0</stp>
        <stp>IR</stp>
        <stp>BONDAV434</stp>
        <stp>4년이하(당일)</stp>
        <stp>45523</stp>
        <stp/>
        <tr r="M41" s="1"/>
        <tr r="M41" s="1"/>
      </tp>
      <tp>
        <v>3.4369999999999998</v>
        <stp/>
        <stp>P</stp>
        <stp>0</stp>
        <stp>IR</stp>
        <stp>BONDAV436</stp>
        <stp>4년이하(당일)</stp>
        <stp>45523</stp>
        <stp/>
        <tr r="M43" s="1"/>
        <tr r="M43" s="1"/>
      </tp>
      <tp>
        <v>3.5510000000000002</v>
        <stp/>
        <stp>P</stp>
        <stp>0</stp>
        <stp>IR</stp>
        <stp>BONDAV437</stp>
        <stp>4년이하(당일)</stp>
        <stp>45523</stp>
        <stp/>
        <tr r="M44" s="1"/>
        <tr r="M44" s="1"/>
      </tp>
      <tp>
        <v>5.3890000000000002</v>
        <stp/>
        <stp>P</stp>
        <stp>0</stp>
        <stp>IR</stp>
        <stp>BONDAV430</stp>
        <stp>4년이하(당일)</stp>
        <stp>45523</stp>
        <stp/>
        <tr r="M37" s="1"/>
        <tr r="M37" s="1"/>
      </tp>
      <tp>
        <v>6.0789999999999997</v>
        <stp/>
        <stp>P</stp>
        <stp>0</stp>
        <stp>IR</stp>
        <stp>BONDAV431</stp>
        <stp>4년이하(당일)</stp>
        <stp>45523</stp>
        <stp/>
        <tr r="M38" s="1"/>
        <tr r="M38" s="1"/>
      </tp>
      <tp>
        <v>7.4029999999999996</v>
        <stp/>
        <stp>P</stp>
        <stp>0</stp>
        <stp>IR</stp>
        <stp>BONDAV432</stp>
        <stp>4년이하(당일)</stp>
        <stp>45523</stp>
        <stp/>
        <tr r="M39" s="1"/>
        <tr r="M39" s="1"/>
      </tp>
      <tp>
        <v>8.3409999999999993</v>
        <stp/>
        <stp>P</stp>
        <stp>0</stp>
        <stp>IR</stp>
        <stp>BONDAV433</stp>
        <stp>4년이하(당일)</stp>
        <stp>45523</stp>
        <stp/>
        <tr r="M40" s="1"/>
        <tr r="M40" s="1"/>
      </tp>
      <tp>
        <v>4.7050000000000001</v>
        <stp/>
        <stp>P</stp>
        <stp>0</stp>
        <stp>IR</stp>
        <stp>BONDAV438</stp>
        <stp>4년이하(당일)</stp>
        <stp>45523</stp>
        <stp/>
        <tr r="M45" s="1"/>
        <tr r="M45" s="1"/>
      </tp>
      <tp>
        <v>5.3890000000000002</v>
        <stp/>
        <stp>P</stp>
        <stp>0</stp>
        <stp>IR</stp>
        <stp>BONDAV439</stp>
        <stp>4년이하(당일)</stp>
        <stp>45523</stp>
        <stp/>
        <tr r="M46" s="1"/>
        <tr r="M46" s="1"/>
      </tp>
      <tp>
        <v>3.165</v>
        <stp/>
        <stp>P</stp>
        <stp>0</stp>
        <stp>IR</stp>
        <stp>BONDAV484</stp>
        <stp>4년이하(당일)</stp>
        <stp>45523</stp>
        <stp/>
        <tr r="M21" s="1"/>
        <tr r="M21" s="1"/>
      </tp>
      <tp>
        <v>3.3180000000000001</v>
        <stp/>
        <stp>P</stp>
        <stp>0</stp>
        <stp>IR</stp>
        <stp>BONDAV481</stp>
        <stp>4년이하(당일)</stp>
        <stp>45523</stp>
        <stp/>
        <tr r="M33" s="1"/>
        <tr r="M33" s="1"/>
      </tp>
      <tp>
        <v>3.3180000000000001</v>
        <stp/>
        <stp>P</stp>
        <stp>0</stp>
        <stp>IR</stp>
        <stp>BONDAV482</stp>
        <stp>4년이하(당일)</stp>
        <stp>45523</stp>
        <stp/>
        <tr r="M42" s="1"/>
        <tr r="M42" s="1"/>
      </tp>
      <tp>
        <v>3.34</v>
        <stp/>
        <stp>P</stp>
        <stp>0</stp>
        <stp>IR</stp>
        <stp>BONDAV444</stp>
        <stp>7년이하(당일)</stp>
        <stp>45523</stp>
        <stp/>
        <tr r="O51" s="1"/>
        <tr r="O51" s="1"/>
      </tp>
      <tp>
        <v>3.5369999999999999</v>
        <stp/>
        <stp>P</stp>
        <stp>0</stp>
        <stp>IR</stp>
        <stp>BONDAV445</stp>
        <stp>7년이하(당일)</stp>
        <stp>45523</stp>
        <stp/>
        <tr r="O52" s="1"/>
        <tr r="O52" s="1"/>
      </tp>
      <tp>
        <v>3.8929999999999998</v>
        <stp/>
        <stp>P</stp>
        <stp>0</stp>
        <stp>IR</stp>
        <stp>BONDAV446</stp>
        <stp>7년이하(당일)</stp>
        <stp>45523</stp>
        <stp/>
        <tr r="O53" s="1"/>
        <tr r="O53" s="1"/>
      </tp>
      <tp>
        <v>4.6879999999999997</v>
        <stp/>
        <stp>P</stp>
        <stp>0</stp>
        <stp>IR</stp>
        <stp>BONDAV447</stp>
        <stp>7년이하(당일)</stp>
        <stp>45523</stp>
        <stp/>
        <tr r="O54" s="1"/>
        <tr r="O54" s="1"/>
      </tp>
      <tp>
        <v>6.2030000000000003</v>
        <stp/>
        <stp>P</stp>
        <stp>0</stp>
        <stp>IR</stp>
        <stp>BONDAV440</stp>
        <stp>7년이하(당일)</stp>
        <stp>45523</stp>
        <stp/>
        <tr r="O47" s="1"/>
        <tr r="O47" s="1"/>
      </tp>
      <tp>
        <v>7.49</v>
        <stp/>
        <stp>P</stp>
        <stp>0</stp>
        <stp>IR</stp>
        <stp>BONDAV441</stp>
        <stp>7년이하(당일)</stp>
        <stp>45523</stp>
        <stp/>
        <tr r="O48" s="1"/>
        <tr r="O48" s="1"/>
      </tp>
      <tp>
        <v>8.6359999999999992</v>
        <stp/>
        <stp>P</stp>
        <stp>0</stp>
        <stp>IR</stp>
        <stp>BONDAV442</stp>
        <stp>7년이하(당일)</stp>
        <stp>45523</stp>
        <stp/>
        <tr r="O49" s="1"/>
        <tr r="O49" s="1"/>
      </tp>
      <tp>
        <v>10.032999999999999</v>
        <stp/>
        <stp>P</stp>
        <stp>0</stp>
        <stp>IR</stp>
        <stp>BONDAV443</stp>
        <stp>7년이하(당일)</stp>
        <stp>45523</stp>
        <stp/>
        <tr r="O50" s="1"/>
        <tr r="O50" s="1"/>
      </tp>
      <tp>
        <v>3.3519999999999999</v>
        <stp/>
        <stp>P</stp>
        <stp>0</stp>
        <stp>IR</stp>
        <stp>BONDAV448</stp>
        <stp>7년이하(당일)</stp>
        <stp>45523</stp>
        <stp/>
        <tr r="O55" s="1"/>
        <tr r="O55" s="1"/>
      </tp>
      <tp>
        <v>3.4780000000000002</v>
        <stp/>
        <stp>P</stp>
        <stp>0</stp>
        <stp>IR</stp>
        <stp>BONDAV449</stp>
        <stp>7년이하(당일)</stp>
        <stp>45523</stp>
        <stp/>
        <tr r="O56" s="1"/>
        <tr r="O56" s="1"/>
      </tp>
      <tp>
        <v>5.5140000000000002</v>
        <stp/>
        <stp>P</stp>
        <stp>0</stp>
        <stp>IR</stp>
        <stp>BONDAV454</stp>
        <stp>7년이하(당일)</stp>
        <stp>45523</stp>
        <stp/>
        <tr r="O61" s="1"/>
        <tr r="O61" s="1"/>
      </tp>
      <tp>
        <v>3.351</v>
        <stp/>
        <stp>P</stp>
        <stp>0</stp>
        <stp>IR</stp>
        <stp>BONDAV455</stp>
        <stp>7년이하(당일)</stp>
        <stp>45523</stp>
        <stp/>
        <tr r="O62" s="1"/>
        <tr r="O62" s="1"/>
      </tp>
      <tp>
        <v>3.4870000000000001</v>
        <stp/>
        <stp>P</stp>
        <stp>0</stp>
        <stp>IR</stp>
        <stp>BONDAV456</stp>
        <stp>7년이하(당일)</stp>
        <stp>45523</stp>
        <stp/>
        <tr r="O63" s="1"/>
        <tr r="O63" s="1"/>
      </tp>
      <tp>
        <v>3.5870000000000002</v>
        <stp/>
        <stp>P</stp>
        <stp>0</stp>
        <stp>IR</stp>
        <stp>BONDAV457</stp>
        <stp>7년이하(당일)</stp>
        <stp>45523</stp>
        <stp/>
        <tr r="O64" s="1"/>
        <tr r="O64" s="1"/>
      </tp>
      <tp>
        <v>3.5760000000000001</v>
        <stp/>
        <stp>P</stp>
        <stp>0</stp>
        <stp>IR</stp>
        <stp>BONDAV450</stp>
        <stp>7년이하(당일)</stp>
        <stp>45523</stp>
        <stp/>
        <tr r="O57" s="1"/>
        <tr r="O57" s="1"/>
      </tp>
      <tp>
        <v>3.7749999999999999</v>
        <stp/>
        <stp>P</stp>
        <stp>0</stp>
        <stp>IR</stp>
        <stp>BONDAV451</stp>
        <stp>7년이하(당일)</stp>
        <stp>45523</stp>
        <stp/>
        <tr r="O58" s="1"/>
        <tr r="O58" s="1"/>
      </tp>
      <tp>
        <v>4.5410000000000004</v>
        <stp/>
        <stp>P</stp>
        <stp>0</stp>
        <stp>IR</stp>
        <stp>BONDAV452</stp>
        <stp>7년이하(당일)</stp>
        <stp>45523</stp>
        <stp/>
        <tr r="O59" s="1"/>
        <tr r="O59" s="1"/>
      </tp>
      <tp>
        <v>4.9489999999999998</v>
        <stp/>
        <stp>P</stp>
        <stp>0</stp>
        <stp>IR</stp>
        <stp>BONDAV453</stp>
        <stp>7년이하(당일)</stp>
        <stp>45523</stp>
        <stp/>
        <tr r="O60" s="1"/>
        <tr r="O60" s="1"/>
      </tp>
      <tp>
        <v>3.786</v>
        <stp/>
        <stp>P</stp>
        <stp>0</stp>
        <stp>IR</stp>
        <stp>BONDAV458</stp>
        <stp>7년이하(당일)</stp>
        <stp>45523</stp>
        <stp/>
        <tr r="O65" s="1"/>
        <tr r="O65" s="1"/>
      </tp>
      <tp>
        <v>4.4980000000000002</v>
        <stp/>
        <stp>P</stp>
        <stp>0</stp>
        <stp>IR</stp>
        <stp>BONDAV459</stp>
        <stp>7년이하(당일)</stp>
        <stp>45523</stp>
        <stp/>
        <tr r="O66" s="1"/>
        <tr r="O66" s="1"/>
      </tp>
      <tp>
        <v>9.83</v>
        <stp/>
        <stp>P</stp>
        <stp>0</stp>
        <stp>IR</stp>
        <stp>BONDAV464</stp>
        <stp>7년이하(당일)</stp>
        <stp>45523</stp>
        <stp/>
        <tr r="O71" s="1"/>
        <tr r="O71" s="1"/>
      </tp>
      <tp>
        <v>4.9320000000000004</v>
        <stp/>
        <stp>P</stp>
        <stp>0</stp>
        <stp>IR</stp>
        <stp>BONDAV460</stp>
        <stp>7년이하(당일)</stp>
        <stp>45523</stp>
        <stp/>
        <tr r="O67" s="1"/>
        <tr r="O67" s="1"/>
      </tp>
      <tp>
        <v>5.4720000000000004</v>
        <stp/>
        <stp>P</stp>
        <stp>0</stp>
        <stp>IR</stp>
        <stp>BONDAV461</stp>
        <stp>7년이하(당일)</stp>
        <stp>45523</stp>
        <stp/>
        <tr r="O68" s="1"/>
        <tr r="O68" s="1"/>
      </tp>
      <tp>
        <v>7.359</v>
        <stp/>
        <stp>P</stp>
        <stp>0</stp>
        <stp>IR</stp>
        <stp>BONDAV462</stp>
        <stp>7년이하(당일)</stp>
        <stp>45523</stp>
        <stp/>
        <tr r="O69" s="1"/>
        <tr r="O69" s="1"/>
      </tp>
      <tp>
        <v>8.4130000000000003</v>
        <stp/>
        <stp>P</stp>
        <stp>0</stp>
        <stp>IR</stp>
        <stp>BONDAV463</stp>
        <stp>7년이하(당일)</stp>
        <stp>45523</stp>
        <stp/>
        <tr r="O70" s="1"/>
        <tr r="O70" s="1"/>
      </tp>
      <tp>
        <v>3.593</v>
        <stp/>
        <stp>P</stp>
        <stp>0</stp>
        <stp>IR</stp>
        <stp>BONDAV469</stp>
        <stp>7년이하(당일)</stp>
        <stp>45523</stp>
        <stp/>
        <tr r="O72" s="1"/>
        <tr r="O72" s="1"/>
      </tp>
      <tp>
        <v>5.4089999999999998</v>
        <stp/>
        <stp>P</stp>
        <stp>0</stp>
        <stp>IR</stp>
        <stp>BONDAV474</stp>
        <stp>7년이하(당일)</stp>
        <stp>45523</stp>
        <stp/>
        <tr r="O77" s="1"/>
        <tr r="O77" s="1"/>
      </tp>
      <tp>
        <v>5.9770000000000003</v>
        <stp/>
        <stp>P</stp>
        <stp>0</stp>
        <stp>IR</stp>
        <stp>BONDAV475</stp>
        <stp>7년이하(당일)</stp>
        <stp>45523</stp>
        <stp/>
        <tr r="O78" s="1"/>
        <tr r="O78" s="1"/>
      </tp>
      <tp>
        <v>7.9560000000000004</v>
        <stp/>
        <stp>P</stp>
        <stp>0</stp>
        <stp>IR</stp>
        <stp>BONDAV476</stp>
        <stp>7년이하(당일)</stp>
        <stp>45523</stp>
        <stp/>
        <tr r="O79" s="1"/>
        <tr r="O79" s="1"/>
      </tp>
      <tp>
        <v>9.0990000000000002</v>
        <stp/>
        <stp>P</stp>
        <stp>0</stp>
        <stp>IR</stp>
        <stp>BONDAV477</stp>
        <stp>7년이하(당일)</stp>
        <stp>45523</stp>
        <stp/>
        <tr r="O80" s="1"/>
        <tr r="O80" s="1"/>
      </tp>
      <tp>
        <v>3.7480000000000002</v>
        <stp/>
        <stp>P</stp>
        <stp>0</stp>
        <stp>IR</stp>
        <stp>BONDAV470</stp>
        <stp>7년이하(당일)</stp>
        <stp>45523</stp>
        <stp/>
        <tr r="O73" s="1"/>
        <tr r="O73" s="1"/>
      </tp>
      <tp>
        <v>3.8690000000000002</v>
        <stp/>
        <stp>P</stp>
        <stp>0</stp>
        <stp>IR</stp>
        <stp>BONDAV471</stp>
        <stp>7년이하(당일)</stp>
        <stp>45523</stp>
        <stp/>
        <tr r="O74" s="1"/>
        <tr r="O74" s="1"/>
      </tp>
      <tp>
        <v>4.1059999999999999</v>
        <stp/>
        <stp>P</stp>
        <stp>0</stp>
        <stp>IR</stp>
        <stp>BONDAV472</stp>
        <stp>7년이하(당일)</stp>
        <stp>45523</stp>
        <stp/>
        <tr r="O75" s="1"/>
        <tr r="O75" s="1"/>
      </tp>
      <tp>
        <v>4.9290000000000003</v>
        <stp/>
        <stp>P</stp>
        <stp>0</stp>
        <stp>IR</stp>
        <stp>BONDAV473</stp>
        <stp>7년이하(당일)</stp>
        <stp>45523</stp>
        <stp/>
        <tr r="O76" s="1"/>
        <tr r="O76" s="1"/>
      </tp>
      <tp>
        <v>10.821999999999999</v>
        <stp/>
        <stp>P</stp>
        <stp>0</stp>
        <stp>IR</stp>
        <stp>BONDAV478</stp>
        <stp>7년이하(당일)</stp>
        <stp>45523</stp>
        <stp/>
        <tr r="O81" s="1"/>
        <tr r="O81" s="1"/>
      </tp>
      <tp>
        <v>3.1739999999999999</v>
        <stp/>
        <stp>P</stp>
        <stp>0</stp>
        <stp>IR</stp>
        <stp>BONDAV479</stp>
        <stp>7년이하(당일)</stp>
        <stp>45523</stp>
        <stp/>
        <tr r="O82" s="1"/>
        <tr r="O82" s="1"/>
      </tp>
      <tp>
        <v>2.68</v>
        <stp/>
        <stp>P</stp>
        <stp>0</stp>
        <stp>IR</stp>
        <stp>BONDAV404</stp>
        <stp>7년이하(당일)</stp>
        <stp>45523</stp>
        <stp/>
        <tr r="O11" s="1"/>
        <tr r="O11" s="1"/>
      </tp>
      <tp>
        <v>3.2909999999999999</v>
        <stp/>
        <stp>P</stp>
        <stp>0</stp>
        <stp>IR</stp>
        <stp>BONDAV405</stp>
        <stp>7년이하(당일)</stp>
        <stp>45523</stp>
        <stp/>
        <tr r="O12" s="1"/>
        <tr r="O12" s="1"/>
      </tp>
      <tp>
        <v>3.2909999999999999</v>
        <stp/>
        <stp>P</stp>
        <stp>0</stp>
        <stp>IR</stp>
        <stp>BONDAV406</stp>
        <stp>7년이하(당일)</stp>
        <stp>45523</stp>
        <stp/>
        <tr r="O13" s="1"/>
        <tr r="O13" s="1"/>
      </tp>
      <tp>
        <v>2.9809999999999999</v>
        <stp/>
        <stp>P</stp>
        <stp>0</stp>
        <stp>IR</stp>
        <stp>BONDAV401</stp>
        <stp>7년이하(당일)</stp>
        <stp>45523</stp>
        <stp/>
        <tr r="O8" s="1"/>
        <tr r="O8" s="1"/>
      </tp>
      <tp>
        <v>0</v>
        <stp/>
        <stp>P</stp>
        <stp>0</stp>
        <stp>IR</stp>
        <stp>BONDAV402</stp>
        <stp>7년이하(당일)</stp>
        <stp>45523</stp>
        <stp/>
        <tr r="O9" s="1"/>
      </tp>
      <tp>
        <v>2.9849999999999999</v>
        <stp/>
        <stp>P</stp>
        <stp>0</stp>
        <stp>IR</stp>
        <stp>BONDAV403</stp>
        <stp>7년이하(당일)</stp>
        <stp>45523</stp>
        <stp/>
        <tr r="O10" s="1"/>
        <tr r="O10" s="1"/>
      </tp>
      <tp>
        <v>3.1419999999999999</v>
        <stp/>
        <stp>P</stp>
        <stp>0</stp>
        <stp>IR</stp>
        <stp>BONDAV409</stp>
        <stp>7년이하(당일)</stp>
        <stp>45523</stp>
        <stp/>
        <tr r="O15" s="1"/>
        <tr r="O15" s="1"/>
      </tp>
      <tp>
        <v>0</v>
        <stp/>
        <stp>P</stp>
        <stp>0</stp>
        <stp>IR</stp>
        <stp>BONDAV414</stp>
        <stp>7년이하(당일)</stp>
        <stp>45523</stp>
        <stp/>
        <tr r="O19" s="1"/>
      </tp>
      <tp t="s">
        <v/>
        <stp/>
        <stp>P</stp>
        <stp>0</stp>
        <stp>IR</stp>
        <stp>BONDAV415</stp>
        <stp>7년이하(당일)</stp>
        <stp>45523</stp>
        <stp/>
        <tr r="O20" s="1"/>
        <tr r="O20" s="1"/>
      </tp>
      <tp>
        <v>3.2429999999999999</v>
        <stp/>
        <stp>P</stp>
        <stp>0</stp>
        <stp>IR</stp>
        <stp>BONDAV416</stp>
        <stp>7년이하(당일)</stp>
        <stp>45523</stp>
        <stp/>
        <tr r="O22" s="1"/>
        <tr r="O22" s="1"/>
      </tp>
      <tp>
        <v>3.278</v>
        <stp/>
        <stp>P</stp>
        <stp>0</stp>
        <stp>IR</stp>
        <stp>BONDAV417</stp>
        <stp>7년이하(당일)</stp>
        <stp>45523</stp>
        <stp/>
        <tr r="O23" s="1"/>
        <tr r="O23" s="1"/>
      </tp>
      <tp>
        <v>3.2919999999999998</v>
        <stp/>
        <stp>P</stp>
        <stp>0</stp>
        <stp>IR</stp>
        <stp>BONDAV410</stp>
        <stp>7년이하(당일)</stp>
        <stp>45523</stp>
        <stp/>
        <tr r="O16" s="1"/>
        <tr r="O16" s="1"/>
      </tp>
      <tp>
        <v>3.4340000000000002</v>
        <stp/>
        <stp>P</stp>
        <stp>0</stp>
        <stp>IR</stp>
        <stp>BONDAV411</stp>
        <stp>7년이하(당일)</stp>
        <stp>45523</stp>
        <stp/>
        <tr r="O17" s="1"/>
        <tr r="O17" s="1"/>
      </tp>
      <tp>
        <v>3.5609999999999999</v>
        <stp/>
        <stp>P</stp>
        <stp>0</stp>
        <stp>IR</stp>
        <stp>BONDAV412</stp>
        <stp>7년이하(당일)</stp>
        <stp>45523</stp>
        <stp/>
        <tr r="O18" s="1"/>
        <tr r="O18" s="1"/>
      </tp>
      <tp>
        <v>3.0830000000000002</v>
        <stp/>
        <stp>P</stp>
        <stp>0</stp>
        <stp>IR</stp>
        <stp>BONDAV413</stp>
        <stp>7년이하(당일)</stp>
        <stp>45523</stp>
        <stp/>
        <tr r="O14" s="1"/>
        <tr r="O14" s="1"/>
      </tp>
      <tp>
        <v>3.2679999999999998</v>
        <stp/>
        <stp>P</stp>
        <stp>0</stp>
        <stp>IR</stp>
        <stp>BONDAV418</stp>
        <stp>7년이하(당일)</stp>
        <stp>45523</stp>
        <stp/>
        <tr r="O24" s="1"/>
        <tr r="O24" s="1"/>
      </tp>
      <tp>
        <v>3.306</v>
        <stp/>
        <stp>P</stp>
        <stp>0</stp>
        <stp>IR</stp>
        <stp>BONDAV419</stp>
        <stp>7년이하(당일)</stp>
        <stp>45523</stp>
        <stp/>
        <tr r="O25" s="1"/>
        <tr r="O25" s="1"/>
      </tp>
      <tp>
        <v>4.1479999999999997</v>
        <stp/>
        <stp>P</stp>
        <stp>0</stp>
        <stp>IR</stp>
        <stp>BONDAV424</stp>
        <stp>7년이하(당일)</stp>
        <stp>45523</stp>
        <stp/>
        <tr r="O30" s="1"/>
        <tr r="O30" s="1"/>
      </tp>
      <tp>
        <v>4.2789999999999999</v>
        <stp/>
        <stp>P</stp>
        <stp>0</stp>
        <stp>IR</stp>
        <stp>BONDAV425</stp>
        <stp>7년이하(당일)</stp>
        <stp>45523</stp>
        <stp/>
        <tr r="O31" s="1"/>
        <tr r="O31" s="1"/>
      </tp>
      <tp>
        <v>4.3949999999999996</v>
        <stp/>
        <stp>P</stp>
        <stp>0</stp>
        <stp>IR</stp>
        <stp>BONDAV426</stp>
        <stp>7년이하(당일)</stp>
        <stp>45523</stp>
        <stp/>
        <tr r="O32" s="1"/>
        <tr r="O32" s="1"/>
      </tp>
      <tp>
        <v>3.9279999999999999</v>
        <stp/>
        <stp>P</stp>
        <stp>0</stp>
        <stp>IR</stp>
        <stp>BONDAV427</stp>
        <stp>7년이하(당일)</stp>
        <stp>45523</stp>
        <stp/>
        <tr r="O34" s="1"/>
        <tr r="O34" s="1"/>
      </tp>
      <tp>
        <v>3.3559999999999999</v>
        <stp/>
        <stp>P</stp>
        <stp>0</stp>
        <stp>IR</stp>
        <stp>BONDAV420</stp>
        <stp>7년이하(당일)</stp>
        <stp>45523</stp>
        <stp/>
        <tr r="O26" s="1"/>
        <tr r="O26" s="1"/>
      </tp>
      <tp>
        <v>3.4390000000000001</v>
        <stp/>
        <stp>P</stp>
        <stp>0</stp>
        <stp>IR</stp>
        <stp>BONDAV421</stp>
        <stp>7년이하(당일)</stp>
        <stp>45523</stp>
        <stp/>
        <tr r="O27" s="1"/>
        <tr r="O27" s="1"/>
      </tp>
      <tp>
        <v>3.7389999999999999</v>
        <stp/>
        <stp>P</stp>
        <stp>0</stp>
        <stp>IR</stp>
        <stp>BONDAV422</stp>
        <stp>7년이하(당일)</stp>
        <stp>45523</stp>
        <stp/>
        <tr r="O28" s="1"/>
        <tr r="O28" s="1"/>
      </tp>
      <tp>
        <v>3.988</v>
        <stp/>
        <stp>P</stp>
        <stp>0</stp>
        <stp>IR</stp>
        <stp>BONDAV423</stp>
        <stp>7년이하(당일)</stp>
        <stp>45523</stp>
        <stp/>
        <tr r="O29" s="1"/>
        <tr r="O29" s="1"/>
      </tp>
      <tp>
        <v>4.1310000000000002</v>
        <stp/>
        <stp>P</stp>
        <stp>0</stp>
        <stp>IR</stp>
        <stp>BONDAV428</stp>
        <stp>7년이하(당일)</stp>
        <stp>45523</stp>
        <stp/>
        <tr r="O35" s="1"/>
        <tr r="O35" s="1"/>
      </tp>
      <tp>
        <v>5.0220000000000002</v>
        <stp/>
        <stp>P</stp>
        <stp>0</stp>
        <stp>IR</stp>
        <stp>BONDAV429</stp>
        <stp>7년이하(당일)</stp>
        <stp>45523</stp>
        <stp/>
        <tr r="O36" s="1"/>
        <tr r="O36" s="1"/>
      </tp>
      <tp>
        <v>10.039999999999999</v>
        <stp/>
        <stp>P</stp>
        <stp>0</stp>
        <stp>IR</stp>
        <stp>BONDAV434</stp>
        <stp>7년이하(당일)</stp>
        <stp>45523</stp>
        <stp/>
        <tr r="O41" s="1"/>
        <tr r="O41" s="1"/>
      </tp>
      <tp>
        <v>3.9279999999999999</v>
        <stp/>
        <stp>P</stp>
        <stp>0</stp>
        <stp>IR</stp>
        <stp>BONDAV436</stp>
        <stp>7년이하(당일)</stp>
        <stp>45523</stp>
        <stp/>
        <tr r="O43" s="1"/>
        <tr r="O43" s="1"/>
      </tp>
      <tp>
        <v>4.1310000000000002</v>
        <stp/>
        <stp>P</stp>
        <stp>0</stp>
        <stp>IR</stp>
        <stp>BONDAV437</stp>
        <stp>7년이하(당일)</stp>
        <stp>45523</stp>
        <stp/>
        <tr r="O44" s="1"/>
        <tr r="O44" s="1"/>
      </tp>
      <tp>
        <v>5.5460000000000003</v>
        <stp/>
        <stp>P</stp>
        <stp>0</stp>
        <stp>IR</stp>
        <stp>BONDAV430</stp>
        <stp>7년이하(당일)</stp>
        <stp>45523</stp>
        <stp/>
        <tr r="O37" s="1"/>
        <tr r="O37" s="1"/>
      </tp>
      <tp>
        <v>6.2030000000000003</v>
        <stp/>
        <stp>P</stp>
        <stp>0</stp>
        <stp>IR</stp>
        <stp>BONDAV431</stp>
        <stp>7년이하(당일)</stp>
        <stp>45523</stp>
        <stp/>
        <tr r="O38" s="1"/>
        <tr r="O38" s="1"/>
      </tp>
      <tp>
        <v>7.5049999999999999</v>
        <stp/>
        <stp>P</stp>
        <stp>0</stp>
        <stp>IR</stp>
        <stp>BONDAV432</stp>
        <stp>7년이하(당일)</stp>
        <stp>45523</stp>
        <stp/>
        <tr r="O39" s="1"/>
        <tr r="O39" s="1"/>
      </tp>
      <tp>
        <v>8.5939999999999994</v>
        <stp/>
        <stp>P</stp>
        <stp>0</stp>
        <stp>IR</stp>
        <stp>BONDAV433</stp>
        <stp>7년이하(당일)</stp>
        <stp>45523</stp>
        <stp/>
        <tr r="O40" s="1"/>
        <tr r="O40" s="1"/>
      </tp>
      <tp>
        <v>5.0220000000000002</v>
        <stp/>
        <stp>P</stp>
        <stp>0</stp>
        <stp>IR</stp>
        <stp>BONDAV438</stp>
        <stp>7년이하(당일)</stp>
        <stp>45523</stp>
        <stp/>
        <tr r="O45" s="1"/>
        <tr r="O45" s="1"/>
      </tp>
      <tp>
        <v>5.5460000000000003</v>
        <stp/>
        <stp>P</stp>
        <stp>0</stp>
        <stp>IR</stp>
        <stp>BONDAV439</stp>
        <stp>7년이하(당일)</stp>
        <stp>45523</stp>
        <stp/>
        <tr r="O46" s="1"/>
        <tr r="O46" s="1"/>
      </tp>
      <tp>
        <v>3.2930000000000001</v>
        <stp/>
        <stp>P</stp>
        <stp>0</stp>
        <stp>IR</stp>
        <stp>BONDAV484</stp>
        <stp>7년이하(당일)</stp>
        <stp>45523</stp>
        <stp/>
        <tr r="O21" s="1"/>
        <tr r="O21" s="1"/>
      </tp>
      <tp>
        <v>3.7349999999999999</v>
        <stp/>
        <stp>P</stp>
        <stp>0</stp>
        <stp>IR</stp>
        <stp>BONDAV481</stp>
        <stp>7년이하(당일)</stp>
        <stp>45523</stp>
        <stp/>
        <tr r="O33" s="1"/>
        <tr r="O33" s="1"/>
      </tp>
      <tp>
        <v>3.7349999999999999</v>
        <stp/>
        <stp>P</stp>
        <stp>0</stp>
        <stp>IR</stp>
        <stp>BONDAV482</stp>
        <stp>7년이하(당일)</stp>
        <stp>45523</stp>
        <stp/>
        <tr r="O42" s="1"/>
        <tr r="O42" s="1"/>
      </tp>
      <tp>
        <v>3.2970000000000002</v>
        <stp/>
        <stp>P</stp>
        <stp>0</stp>
        <stp>IR</stp>
        <stp>BONDAV444</stp>
        <stp>1년이하(당일)</stp>
        <stp>45523</stp>
        <stp/>
        <tr r="H51" s="1"/>
        <tr r="H51" s="1"/>
      </tp>
      <tp>
        <v>3.3420000000000001</v>
        <stp/>
        <stp>P</stp>
        <stp>0</stp>
        <stp>IR</stp>
        <stp>BONDAV445</stp>
        <stp>1년이하(당일)</stp>
        <stp>45523</stp>
        <stp/>
        <tr r="H52" s="1"/>
        <tr r="H52" s="1"/>
      </tp>
      <tp>
        <v>3.5049999999999999</v>
        <stp/>
        <stp>P</stp>
        <stp>0</stp>
        <stp>IR</stp>
        <stp>BONDAV446</stp>
        <stp>1년이하(당일)</stp>
        <stp>45523</stp>
        <stp/>
        <tr r="H53" s="1"/>
        <tr r="H53" s="1"/>
      </tp>
      <tp>
        <v>3.8180000000000001</v>
        <stp/>
        <stp>P</stp>
        <stp>0</stp>
        <stp>IR</stp>
        <stp>BONDAV447</stp>
        <stp>1년이하(당일)</stp>
        <stp>45523</stp>
        <stp/>
        <tr r="H54" s="1"/>
        <tr r="H54" s="1"/>
      </tp>
      <tp>
        <v>5.6879999999999997</v>
        <stp/>
        <stp>P</stp>
        <stp>0</stp>
        <stp>IR</stp>
        <stp>BONDAV440</stp>
        <stp>1년이하(당일)</stp>
        <stp>45523</stp>
        <stp/>
        <tr r="H47" s="1"/>
        <tr r="H47" s="1"/>
      </tp>
      <tp>
        <v>6.86</v>
        <stp/>
        <stp>P</stp>
        <stp>0</stp>
        <stp>IR</stp>
        <stp>BONDAV441</stp>
        <stp>1년이하(당일)</stp>
        <stp>45523</stp>
        <stp/>
        <tr r="H48" s="1"/>
        <tr r="H48" s="1"/>
      </tp>
      <tp>
        <v>7.6470000000000002</v>
        <stp/>
        <stp>P</stp>
        <stp>0</stp>
        <stp>IR</stp>
        <stp>BONDAV442</stp>
        <stp>1년이하(당일)</stp>
        <stp>45523</stp>
        <stp/>
        <tr r="H49" s="1"/>
        <tr r="H49" s="1"/>
      </tp>
      <tp>
        <v>8.9540000000000006</v>
        <stp/>
        <stp>P</stp>
        <stp>0</stp>
        <stp>IR</stp>
        <stp>BONDAV443</stp>
        <stp>1년이하(당일)</stp>
        <stp>45523</stp>
        <stp/>
        <tr r="H50" s="1"/>
        <tr r="H50" s="1"/>
      </tp>
      <tp>
        <v>3.3290000000000002</v>
        <stp/>
        <stp>P</stp>
        <stp>0</stp>
        <stp>IR</stp>
        <stp>BONDAV448</stp>
        <stp>1년이하(당일)</stp>
        <stp>45523</stp>
        <stp/>
        <tr r="H55" s="1"/>
        <tr r="H55" s="1"/>
      </tp>
      <tp>
        <v>3.3380000000000001</v>
        <stp/>
        <stp>P</stp>
        <stp>0</stp>
        <stp>IR</stp>
        <stp>BONDAV449</stp>
        <stp>1년이하(당일)</stp>
        <stp>45523</stp>
        <stp/>
        <tr r="H56" s="1"/>
        <tr r="H56" s="1"/>
      </tp>
      <tp>
        <v>4.0270000000000001</v>
        <stp/>
        <stp>P</stp>
        <stp>0</stp>
        <stp>IR</stp>
        <stp>BONDAV454</stp>
        <stp>1년이하(당일)</stp>
        <stp>45523</stp>
        <stp/>
        <tr r="H61" s="1"/>
        <tr r="H61" s="1"/>
      </tp>
      <tp>
        <v>3.2879999999999998</v>
        <stp/>
        <stp>P</stp>
        <stp>0</stp>
        <stp>IR</stp>
        <stp>BONDAV455</stp>
        <stp>1년이하(당일)</stp>
        <stp>45523</stp>
        <stp/>
        <tr r="H62" s="1"/>
        <tr r="H62" s="1"/>
      </tp>
      <tp>
        <v>3.3050000000000002</v>
        <stp/>
        <stp>P</stp>
        <stp>0</stp>
        <stp>IR</stp>
        <stp>BONDAV456</stp>
        <stp>1년이하(당일)</stp>
        <stp>45523</stp>
        <stp/>
        <tr r="H63" s="1"/>
        <tr r="H63" s="1"/>
      </tp>
      <tp>
        <v>3.3279999999999998</v>
        <stp/>
        <stp>P</stp>
        <stp>0</stp>
        <stp>IR</stp>
        <stp>BONDAV457</stp>
        <stp>1년이하(당일)</stp>
        <stp>45523</stp>
        <stp/>
        <tr r="H64" s="1"/>
        <tr r="H64" s="1"/>
      </tp>
      <tp>
        <v>3.3639999999999999</v>
        <stp/>
        <stp>P</stp>
        <stp>0</stp>
        <stp>IR</stp>
        <stp>BONDAV450</stp>
        <stp>1년이하(당일)</stp>
        <stp>45523</stp>
        <stp/>
        <tr r="H57" s="1"/>
        <tr r="H57" s="1"/>
      </tp>
      <tp>
        <v>3.391</v>
        <stp/>
        <stp>P</stp>
        <stp>0</stp>
        <stp>IR</stp>
        <stp>BONDAV451</stp>
        <stp>1년이하(당일)</stp>
        <stp>45523</stp>
        <stp/>
        <tr r="H58" s="1"/>
        <tr r="H58" s="1"/>
      </tp>
      <tp>
        <v>3.5830000000000002</v>
        <stp/>
        <stp>P</stp>
        <stp>0</stp>
        <stp>IR</stp>
        <stp>BONDAV452</stp>
        <stp>1년이하(당일)</stp>
        <stp>45523</stp>
        <stp/>
        <tr r="H59" s="1"/>
        <tr r="H59" s="1"/>
      </tp>
      <tp>
        <v>3.76</v>
        <stp/>
        <stp>P</stp>
        <stp>0</stp>
        <stp>IR</stp>
        <stp>BONDAV453</stp>
        <stp>1년이하(당일)</stp>
        <stp>45523</stp>
        <stp/>
        <tr r="H60" s="1"/>
        <tr r="H60" s="1"/>
      </tp>
      <tp>
        <v>3.3570000000000002</v>
        <stp/>
        <stp>P</stp>
        <stp>0</stp>
        <stp>IR</stp>
        <stp>BONDAV458</stp>
        <stp>1년이하(당일)</stp>
        <stp>45523</stp>
        <stp/>
        <tr r="H65" s="1"/>
        <tr r="H65" s="1"/>
      </tp>
      <tp>
        <v>3.5840000000000001</v>
        <stp/>
        <stp>P</stp>
        <stp>0</stp>
        <stp>IR</stp>
        <stp>BONDAV459</stp>
        <stp>1년이하(당일)</stp>
        <stp>45523</stp>
        <stp/>
        <tr r="H66" s="1"/>
        <tr r="H66" s="1"/>
      </tp>
      <tp>
        <v>7.0720000000000001</v>
        <stp/>
        <stp>P</stp>
        <stp>0</stp>
        <stp>IR</stp>
        <stp>BONDAV464</stp>
        <stp>1년이하(당일)</stp>
        <stp>45523</stp>
        <stp/>
        <tr r="H71" s="1"/>
        <tr r="H71" s="1"/>
      </tp>
      <tp>
        <v>3.76</v>
        <stp/>
        <stp>P</stp>
        <stp>0</stp>
        <stp>IR</stp>
        <stp>BONDAV460</stp>
        <stp>1년이하(당일)</stp>
        <stp>45523</stp>
        <stp/>
        <tr r="H67" s="1"/>
        <tr r="H67" s="1"/>
      </tp>
      <tp>
        <v>4.0259999999999998</v>
        <stp/>
        <stp>P</stp>
        <stp>0</stp>
        <stp>IR</stp>
        <stp>BONDAV461</stp>
        <stp>1년이하(당일)</stp>
        <stp>45523</stp>
        <stp/>
        <tr r="H68" s="1"/>
        <tr r="H68" s="1"/>
      </tp>
      <tp>
        <v>5.3920000000000003</v>
        <stp/>
        <stp>P</stp>
        <stp>0</stp>
        <stp>IR</stp>
        <stp>BONDAV462</stp>
        <stp>1년이하(당일)</stp>
        <stp>45523</stp>
        <stp/>
        <tr r="H69" s="1"/>
        <tr r="H69" s="1"/>
      </tp>
      <tp>
        <v>6.0759999999999996</v>
        <stp/>
        <stp>P</stp>
        <stp>0</stp>
        <stp>IR</stp>
        <stp>BONDAV463</stp>
        <stp>1년이하(당일)</stp>
        <stp>45523</stp>
        <stp/>
        <tr r="H70" s="1"/>
        <tr r="H70" s="1"/>
      </tp>
      <tp>
        <v>3.4260000000000002</v>
        <stp/>
        <stp>P</stp>
        <stp>0</stp>
        <stp>IR</stp>
        <stp>BONDAV469</stp>
        <stp>1년이하(당일)</stp>
        <stp>45523</stp>
        <stp/>
        <tr r="H72" s="1"/>
        <tr r="H72" s="1"/>
      </tp>
      <tp>
        <v>4.0650000000000004</v>
        <stp/>
        <stp>P</stp>
        <stp>0</stp>
        <stp>IR</stp>
        <stp>BONDAV474</stp>
        <stp>1년이하(당일)</stp>
        <stp>45523</stp>
        <stp/>
        <tr r="H77" s="1"/>
        <tr r="H77" s="1"/>
      </tp>
      <tp>
        <v>4.3739999999999997</v>
        <stp/>
        <stp>P</stp>
        <stp>0</stp>
        <stp>IR</stp>
        <stp>BONDAV475</stp>
        <stp>1년이하(당일)</stp>
        <stp>45523</stp>
        <stp/>
        <tr r="H78" s="1"/>
        <tr r="H78" s="1"/>
      </tp>
      <tp>
        <v>5.8449999999999998</v>
        <stp/>
        <stp>P</stp>
        <stp>0</stp>
        <stp>IR</stp>
        <stp>BONDAV476</stp>
        <stp>1년이하(당일)</stp>
        <stp>45523</stp>
        <stp/>
        <tr r="H79" s="1"/>
        <tr r="H79" s="1"/>
      </tp>
      <tp>
        <v>6.58</v>
        <stp/>
        <stp>P</stp>
        <stp>0</stp>
        <stp>IR</stp>
        <stp>BONDAV477</stp>
        <stp>1년이하(당일)</stp>
        <stp>45523</stp>
        <stp/>
        <tr r="H80" s="1"/>
        <tr r="H80" s="1"/>
      </tp>
      <tp>
        <v>3.472</v>
        <stp/>
        <stp>P</stp>
        <stp>0</stp>
        <stp>IR</stp>
        <stp>BONDAV470</stp>
        <stp>1년이하(당일)</stp>
        <stp>45523</stp>
        <stp/>
        <tr r="H73" s="1"/>
        <tr r="H73" s="1"/>
      </tp>
      <tp>
        <v>3.51</v>
        <stp/>
        <stp>P</stp>
        <stp>0</stp>
        <stp>IR</stp>
        <stp>BONDAV471</stp>
        <stp>1년이하(당일)</stp>
        <stp>45523</stp>
        <stp/>
        <tr r="H74" s="1"/>
        <tr r="H74" s="1"/>
      </tp>
      <tp>
        <v>3.5619999999999998</v>
        <stp/>
        <stp>P</stp>
        <stp>0</stp>
        <stp>IR</stp>
        <stp>BONDAV472</stp>
        <stp>1년이하(당일)</stp>
        <stp>45523</stp>
        <stp/>
        <tr r="H75" s="1"/>
        <tr r="H75" s="1"/>
      </tp>
      <tp>
        <v>3.863</v>
        <stp/>
        <stp>P</stp>
        <stp>0</stp>
        <stp>IR</stp>
        <stp>BONDAV473</stp>
        <stp>1년이하(당일)</stp>
        <stp>45523</stp>
        <stp/>
        <tr r="H76" s="1"/>
        <tr r="H76" s="1"/>
      </tp>
      <tp>
        <v>7.84</v>
        <stp/>
        <stp>P</stp>
        <stp>0</stp>
        <stp>IR</stp>
        <stp>BONDAV478</stp>
        <stp>1년이하(당일)</stp>
        <stp>45523</stp>
        <stp/>
        <tr r="H81" s="1"/>
        <tr r="H81" s="1"/>
      </tp>
      <tp>
        <v>3.2759999999999998</v>
        <stp/>
        <stp>P</stp>
        <stp>0</stp>
        <stp>IR</stp>
        <stp>BONDAV479</stp>
        <stp>1년이하(당일)</stp>
        <stp>45523</stp>
        <stp/>
        <tr r="H82" s="1"/>
        <tr r="H82" s="1"/>
      </tp>
      <tp>
        <v>2.597</v>
        <stp/>
        <stp>P</stp>
        <stp>0</stp>
        <stp>IR</stp>
        <stp>BONDAV404</stp>
        <stp>1년이하(당일)</stp>
        <stp>45523</stp>
        <stp/>
        <tr r="H11" s="1"/>
        <tr r="H11" s="1"/>
      </tp>
      <tp>
        <v>3.1720000000000002</v>
        <stp/>
        <stp>P</stp>
        <stp>0</stp>
        <stp>IR</stp>
        <stp>BONDAV405</stp>
        <stp>1년이하(당일)</stp>
        <stp>45523</stp>
        <stp/>
        <tr r="H12" s="1"/>
        <tr r="H12" s="1"/>
      </tp>
      <tp>
        <v>3.1720000000000002</v>
        <stp/>
        <stp>P</stp>
        <stp>0</stp>
        <stp>IR</stp>
        <stp>BONDAV406</stp>
        <stp>1년이하(당일)</stp>
        <stp>45523</stp>
        <stp/>
        <tr r="H13" s="1"/>
        <tr r="H13" s="1"/>
      </tp>
      <tp>
        <v>3.0529999999999999</v>
        <stp/>
        <stp>P</stp>
        <stp>0</stp>
        <stp>IR</stp>
        <stp>BONDAV401</stp>
        <stp>1년이하(당일)</stp>
        <stp>45523</stp>
        <stp/>
        <tr r="H8" s="1"/>
        <tr r="H8" s="1"/>
      </tp>
      <tp>
        <v>3.089</v>
        <stp/>
        <stp>P</stp>
        <stp>0</stp>
        <stp>IR</stp>
        <stp>BONDAV402</stp>
        <stp>1년이하(당일)</stp>
        <stp>45523</stp>
        <stp/>
        <tr r="H9" s="1"/>
        <tr r="H9" s="1"/>
      </tp>
      <tp>
        <v>2.8849999999999998</v>
        <stp/>
        <stp>P</stp>
        <stp>0</stp>
        <stp>IR</stp>
        <stp>BONDAV403</stp>
        <stp>1년이하(당일)</stp>
        <stp>45523</stp>
        <stp/>
        <tr r="H10" s="1"/>
        <tr r="H10" s="1"/>
      </tp>
      <tp>
        <v>3.2570000000000001</v>
        <stp/>
        <stp>P</stp>
        <stp>0</stp>
        <stp>IR</stp>
        <stp>BONDAV409</stp>
        <stp>1년이하(당일)</stp>
        <stp>45523</stp>
        <stp/>
        <tr r="H15" s="1"/>
        <tr r="H15" s="1"/>
      </tp>
      <tp>
        <v>3.0259999999999998</v>
        <stp/>
        <stp>P</stp>
        <stp>0</stp>
        <stp>IR</stp>
        <stp>BONDAV414</stp>
        <stp>1년이하(당일)</stp>
        <stp>45523</stp>
        <stp/>
        <tr r="H19" s="1"/>
        <tr r="H19" s="1"/>
      </tp>
      <tp>
        <v>3.0219999999999998</v>
        <stp/>
        <stp>P</stp>
        <stp>0</stp>
        <stp>IR</stp>
        <stp>BONDAV415</stp>
        <stp>1년이하(당일)</stp>
        <stp>45523</stp>
        <stp/>
        <tr r="H20" s="1"/>
        <tr r="H20" s="1"/>
      </tp>
      <tp>
        <v>3.28</v>
        <stp/>
        <stp>P</stp>
        <stp>0</stp>
        <stp>IR</stp>
        <stp>BONDAV416</stp>
        <stp>1년이하(당일)</stp>
        <stp>45523</stp>
        <stp/>
        <tr r="H22" s="1"/>
        <tr r="H22" s="1"/>
      </tp>
      <tp>
        <v>3.274</v>
        <stp/>
        <stp>P</stp>
        <stp>0</stp>
        <stp>IR</stp>
        <stp>BONDAV417</stp>
        <stp>1년이하(당일)</stp>
        <stp>45523</stp>
        <stp/>
        <tr r="H23" s="1"/>
        <tr r="H23" s="1"/>
      </tp>
      <tp>
        <v>3.306</v>
        <stp/>
        <stp>P</stp>
        <stp>0</stp>
        <stp>IR</stp>
        <stp>BONDAV410</stp>
        <stp>1년이하(당일)</stp>
        <stp>45523</stp>
        <stp/>
        <tr r="H16" s="1"/>
        <tr r="H16" s="1"/>
      </tp>
      <tp>
        <v>3.41</v>
        <stp/>
        <stp>P</stp>
        <stp>0</stp>
        <stp>IR</stp>
        <stp>BONDAV411</stp>
        <stp>1년이하(당일)</stp>
        <stp>45523</stp>
        <stp/>
        <tr r="H17" s="1"/>
        <tr r="H17" s="1"/>
      </tp>
      <tp>
        <v>3.569</v>
        <stp/>
        <stp>P</stp>
        <stp>0</stp>
        <stp>IR</stp>
        <stp>BONDAV412</stp>
        <stp>1년이하(당일)</stp>
        <stp>45523</stp>
        <stp/>
        <tr r="H18" s="1"/>
        <tr r="H18" s="1"/>
      </tp>
      <tp>
        <v>3.18</v>
        <stp/>
        <stp>P</stp>
        <stp>0</stp>
        <stp>IR</stp>
        <stp>BONDAV413</stp>
        <stp>1년이하(당일)</stp>
        <stp>45523</stp>
        <stp/>
        <tr r="H14" s="1"/>
        <tr r="H14" s="1"/>
      </tp>
      <tp>
        <v>3.28</v>
        <stp/>
        <stp>P</stp>
        <stp>0</stp>
        <stp>IR</stp>
        <stp>BONDAV418</stp>
        <stp>1년이하(당일)</stp>
        <stp>45523</stp>
        <stp/>
        <tr r="H24" s="1"/>
        <tr r="H24" s="1"/>
      </tp>
      <tp>
        <v>3.274</v>
        <stp/>
        <stp>P</stp>
        <stp>0</stp>
        <stp>IR</stp>
        <stp>BONDAV419</stp>
        <stp>1년이하(당일)</stp>
        <stp>45523</stp>
        <stp/>
        <tr r="H25" s="1"/>
        <tr r="H25" s="1"/>
      </tp>
      <tp>
        <v>3.9119999999999999</v>
        <stp/>
        <stp>P</stp>
        <stp>0</stp>
        <stp>IR</stp>
        <stp>BONDAV424</stp>
        <stp>1년이하(당일)</stp>
        <stp>45523</stp>
        <stp/>
        <tr r="H30" s="1"/>
        <tr r="H30" s="1"/>
      </tp>
      <tp>
        <v>4.0030000000000001</v>
        <stp/>
        <stp>P</stp>
        <stp>0</stp>
        <stp>IR</stp>
        <stp>BONDAV425</stp>
        <stp>1년이하(당일)</stp>
        <stp>45523</stp>
        <stp/>
        <tr r="H31" s="1"/>
        <tr r="H31" s="1"/>
      </tp>
      <tp>
        <v>4.0970000000000004</v>
        <stp/>
        <stp>P</stp>
        <stp>0</stp>
        <stp>IR</stp>
        <stp>BONDAV426</stp>
        <stp>1년이하(당일)</stp>
        <stp>45523</stp>
        <stp/>
        <tr r="H32" s="1"/>
        <tr r="H32" s="1"/>
      </tp>
      <tp>
        <v>3.4260000000000002</v>
        <stp/>
        <stp>P</stp>
        <stp>0</stp>
        <stp>IR</stp>
        <stp>BONDAV427</stp>
        <stp>1년이하(당일)</stp>
        <stp>45523</stp>
        <stp/>
        <tr r="H34" s="1"/>
        <tr r="H34" s="1"/>
      </tp>
      <tp>
        <v>3.3079999999999998</v>
        <stp/>
        <stp>P</stp>
        <stp>0</stp>
        <stp>IR</stp>
        <stp>BONDAV420</stp>
        <stp>1년이하(당일)</stp>
        <stp>45523</stp>
        <stp/>
        <tr r="H26" s="1"/>
        <tr r="H26" s="1"/>
      </tp>
      <tp>
        <v>3.3730000000000002</v>
        <stp/>
        <stp>P</stp>
        <stp>0</stp>
        <stp>IR</stp>
        <stp>BONDAV421</stp>
        <stp>1년이하(당일)</stp>
        <stp>45523</stp>
        <stp/>
        <tr r="H27" s="1"/>
        <tr r="H27" s="1"/>
      </tp>
      <tp>
        <v>3.5579999999999998</v>
        <stp/>
        <stp>P</stp>
        <stp>0</stp>
        <stp>IR</stp>
        <stp>BONDAV422</stp>
        <stp>1년이하(당일)</stp>
        <stp>45523</stp>
        <stp/>
        <tr r="H28" s="1"/>
        <tr r="H28" s="1"/>
      </tp>
      <tp>
        <v>3.8180000000000001</v>
        <stp/>
        <stp>P</stp>
        <stp>0</stp>
        <stp>IR</stp>
        <stp>BONDAV423</stp>
        <stp>1년이하(당일)</stp>
        <stp>45523</stp>
        <stp/>
        <tr r="H29" s="1"/>
        <tr r="H29" s="1"/>
      </tp>
      <tp>
        <v>3.4950000000000001</v>
        <stp/>
        <stp>P</stp>
        <stp>0</stp>
        <stp>IR</stp>
        <stp>BONDAV428</stp>
        <stp>1년이하(당일)</stp>
        <stp>45523</stp>
        <stp/>
        <tr r="H35" s="1"/>
        <tr r="H35" s="1"/>
      </tp>
      <tp>
        <v>4.3869999999999996</v>
        <stp/>
        <stp>P</stp>
        <stp>0</stp>
        <stp>IR</stp>
        <stp>BONDAV429</stp>
        <stp>1년이하(당일)</stp>
        <stp>45523</stp>
        <stp/>
        <tr r="H36" s="1"/>
        <tr r="H36" s="1"/>
      </tp>
      <tp>
        <v>9.0109999999999992</v>
        <stp/>
        <stp>P</stp>
        <stp>0</stp>
        <stp>IR</stp>
        <stp>BONDAV434</stp>
        <stp>1년이하(당일)</stp>
        <stp>45523</stp>
        <stp/>
        <tr r="H41" s="1"/>
        <tr r="H41" s="1"/>
      </tp>
      <tp>
        <v>3.4260000000000002</v>
        <stp/>
        <stp>P</stp>
        <stp>0</stp>
        <stp>IR</stp>
        <stp>BONDAV436</stp>
        <stp>1년이하(당일)</stp>
        <stp>45523</stp>
        <stp/>
        <tr r="H43" s="1"/>
        <tr r="H43" s="1"/>
      </tp>
      <tp>
        <v>3.4950000000000001</v>
        <stp/>
        <stp>P</stp>
        <stp>0</stp>
        <stp>IR</stp>
        <stp>BONDAV437</stp>
        <stp>1년이하(당일)</stp>
        <stp>45523</stp>
        <stp/>
        <tr r="H44" s="1"/>
        <tr r="H44" s="1"/>
      </tp>
      <tp>
        <v>5.1280000000000001</v>
        <stp/>
        <stp>P</stp>
        <stp>0</stp>
        <stp>IR</stp>
        <stp>BONDAV430</stp>
        <stp>1년이하(당일)</stp>
        <stp>45523</stp>
        <stp/>
        <tr r="H37" s="1"/>
        <tr r="H37" s="1"/>
      </tp>
      <tp>
        <v>5.6879999999999997</v>
        <stp/>
        <stp>P</stp>
        <stp>0</stp>
        <stp>IR</stp>
        <stp>BONDAV431</stp>
        <stp>1년이하(당일)</stp>
        <stp>45523</stp>
        <stp/>
        <tr r="H38" s="1"/>
        <tr r="H38" s="1"/>
      </tp>
      <tp>
        <v>6.89</v>
        <stp/>
        <stp>P</stp>
        <stp>0</stp>
        <stp>IR</stp>
        <stp>BONDAV432</stp>
        <stp>1년이하(당일)</stp>
        <stp>45523</stp>
        <stp/>
        <tr r="H39" s="1"/>
        <tr r="H39" s="1"/>
      </tp>
      <tp>
        <v>7.6840000000000002</v>
        <stp/>
        <stp>P</stp>
        <stp>0</stp>
        <stp>IR</stp>
        <stp>BONDAV433</stp>
        <stp>1년이하(당일)</stp>
        <stp>45523</stp>
        <stp/>
        <tr r="H40" s="1"/>
        <tr r="H40" s="1"/>
      </tp>
      <tp>
        <v>4.3869999999999996</v>
        <stp/>
        <stp>P</stp>
        <stp>0</stp>
        <stp>IR</stp>
        <stp>BONDAV438</stp>
        <stp>1년이하(당일)</stp>
        <stp>45523</stp>
        <stp/>
        <tr r="H45" s="1"/>
        <tr r="H45" s="1"/>
      </tp>
      <tp>
        <v>5.1280000000000001</v>
        <stp/>
        <stp>P</stp>
        <stp>0</stp>
        <stp>IR</stp>
        <stp>BONDAV439</stp>
        <stp>1년이하(당일)</stp>
        <stp>45523</stp>
        <stp/>
        <tr r="H46" s="1"/>
        <tr r="H46" s="1"/>
      </tp>
      <tp>
        <v>3.2879999999999998</v>
        <stp/>
        <stp>P</stp>
        <stp>0</stp>
        <stp>IR</stp>
        <stp>BONDAV484</stp>
        <stp>1년이하(당일)</stp>
        <stp>45523</stp>
        <stp/>
        <tr r="H21" s="1"/>
        <tr r="H21" s="1"/>
      </tp>
      <tp>
        <v>3.395</v>
        <stp/>
        <stp>P</stp>
        <stp>0</stp>
        <stp>IR</stp>
        <stp>BONDAV481</stp>
        <stp>1년이하(당일)</stp>
        <stp>45523</stp>
        <stp/>
        <tr r="H33" s="1"/>
        <tr r="H33" s="1"/>
      </tp>
      <tp>
        <v>3.395</v>
        <stp/>
        <stp>P</stp>
        <stp>0</stp>
        <stp>IR</stp>
        <stp>BONDAV482</stp>
        <stp>1년이하(당일)</stp>
        <stp>45523</stp>
        <stp/>
        <tr r="H42" s="1"/>
        <tr r="H42" s="1"/>
      </tp>
      <tp>
        <v>3.2170000000000001</v>
        <stp/>
        <stp>P</stp>
        <stp>0</stp>
        <stp>IR</stp>
        <stp>BONDAV444</stp>
        <stp>3년이하(당일)</stp>
        <stp>45523</stp>
        <stp/>
        <tr r="L51" s="1"/>
        <tr r="L51" s="1"/>
      </tp>
      <tp>
        <v>3.3650000000000002</v>
        <stp/>
        <stp>P</stp>
        <stp>0</stp>
        <stp>IR</stp>
        <stp>BONDAV445</stp>
        <stp>3년이하(당일)</stp>
        <stp>45523</stp>
        <stp/>
        <tr r="L52" s="1"/>
        <tr r="L52" s="1"/>
      </tp>
      <tp>
        <v>3.59</v>
        <stp/>
        <stp>P</stp>
        <stp>0</stp>
        <stp>IR</stp>
        <stp>BONDAV446</stp>
        <stp>3년이하(당일)</stp>
        <stp>45523</stp>
        <stp/>
        <tr r="L53" s="1"/>
        <tr r="L53" s="1"/>
      </tp>
      <tp>
        <v>4.2969999999999997</v>
        <stp/>
        <stp>P</stp>
        <stp>0</stp>
        <stp>IR</stp>
        <stp>BONDAV447</stp>
        <stp>3년이하(당일)</stp>
        <stp>45523</stp>
        <stp/>
        <tr r="L54" s="1"/>
        <tr r="L54" s="1"/>
      </tp>
      <tp>
        <v>6.0220000000000002</v>
        <stp/>
        <stp>P</stp>
        <stp>0</stp>
        <stp>IR</stp>
        <stp>BONDAV440</stp>
        <stp>3년이하(당일)</stp>
        <stp>45523</stp>
        <stp/>
        <tr r="L47" s="1"/>
        <tr r="L47" s="1"/>
      </tp>
      <tp>
        <v>7.3819999999999997</v>
        <stp/>
        <stp>P</stp>
        <stp>0</stp>
        <stp>IR</stp>
        <stp>BONDAV441</stp>
        <stp>3년이하(당일)</stp>
        <stp>45523</stp>
        <stp/>
        <tr r="L48" s="1"/>
        <tr r="L48" s="1"/>
      </tp>
      <tp>
        <v>8.2929999999999993</v>
        <stp/>
        <stp>P</stp>
        <stp>0</stp>
        <stp>IR</stp>
        <stp>BONDAV442</stp>
        <stp>3년이하(당일)</stp>
        <stp>45523</stp>
        <stp/>
        <tr r="L49" s="1"/>
        <tr r="L49" s="1"/>
      </tp>
      <tp>
        <v>9.6430000000000007</v>
        <stp/>
        <stp>P</stp>
        <stp>0</stp>
        <stp>IR</stp>
        <stp>BONDAV443</stp>
        <stp>3년이하(당일)</stp>
        <stp>45523</stp>
        <stp/>
        <tr r="L50" s="1"/>
        <tr r="L50" s="1"/>
      </tp>
      <tp>
        <v>3.28</v>
        <stp/>
        <stp>P</stp>
        <stp>0</stp>
        <stp>IR</stp>
        <stp>BONDAV448</stp>
        <stp>3년이하(당일)</stp>
        <stp>45523</stp>
        <stp/>
        <tr r="L55" s="1"/>
        <tr r="L55" s="1"/>
      </tp>
      <tp>
        <v>3.3319999999999999</v>
        <stp/>
        <stp>P</stp>
        <stp>0</stp>
        <stp>IR</stp>
        <stp>BONDAV449</stp>
        <stp>3년이하(당일)</stp>
        <stp>45523</stp>
        <stp/>
        <tr r="L56" s="1"/>
        <tr r="L56" s="1"/>
      </tp>
      <tp>
        <v>4.5170000000000003</v>
        <stp/>
        <stp>P</stp>
        <stp>0</stp>
        <stp>IR</stp>
        <stp>BONDAV454</stp>
        <stp>3년이하(당일)</stp>
        <stp>45523</stp>
        <stp/>
        <tr r="L61" s="1"/>
        <tr r="L61" s="1"/>
      </tp>
      <tp>
        <v>3.2869999999999999</v>
        <stp/>
        <stp>P</stp>
        <stp>0</stp>
        <stp>IR</stp>
        <stp>BONDAV455</stp>
        <stp>3년이하(당일)</stp>
        <stp>45523</stp>
        <stp/>
        <tr r="L62" s="1"/>
        <tr r="L62" s="1"/>
      </tp>
      <tp>
        <v>3.3420000000000001</v>
        <stp/>
        <stp>P</stp>
        <stp>0</stp>
        <stp>IR</stp>
        <stp>BONDAV456</stp>
        <stp>3년이하(당일)</stp>
        <stp>45523</stp>
        <stp/>
        <tr r="L63" s="1"/>
        <tr r="L63" s="1"/>
      </tp>
      <tp>
        <v>3.3809999999999998</v>
        <stp/>
        <stp>P</stp>
        <stp>0</stp>
        <stp>IR</stp>
        <stp>BONDAV457</stp>
        <stp>3년이하(당일)</stp>
        <stp>45523</stp>
        <stp/>
        <tr r="L64" s="1"/>
        <tr r="L64" s="1"/>
      </tp>
      <tp>
        <v>3.3730000000000002</v>
        <stp/>
        <stp>P</stp>
        <stp>0</stp>
        <stp>IR</stp>
        <stp>BONDAV450</stp>
        <stp>3년이하(당일)</stp>
        <stp>45523</stp>
        <stp/>
        <tr r="L57" s="1"/>
        <tr r="L57" s="1"/>
      </tp>
      <tp>
        <v>3.4129999999999998</v>
        <stp/>
        <stp>P</stp>
        <stp>0</stp>
        <stp>IR</stp>
        <stp>BONDAV451</stp>
        <stp>3년이하(당일)</stp>
        <stp>45523</stp>
        <stp/>
        <tr r="L58" s="1"/>
        <tr r="L58" s="1"/>
      </tp>
      <tp>
        <v>3.7959999999999998</v>
        <stp/>
        <stp>P</stp>
        <stp>0</stp>
        <stp>IR</stp>
        <stp>BONDAV452</stp>
        <stp>3년이하(당일)</stp>
        <stp>45523</stp>
        <stp/>
        <tr r="L59" s="1"/>
        <tr r="L59" s="1"/>
      </tp>
      <tp>
        <v>4.0549999999999997</v>
        <stp/>
        <stp>P</stp>
        <stp>0</stp>
        <stp>IR</stp>
        <stp>BONDAV453</stp>
        <stp>3년이하(당일)</stp>
        <stp>45523</stp>
        <stp/>
        <tr r="L60" s="1"/>
        <tr r="L60" s="1"/>
      </tp>
      <tp>
        <v>3.427</v>
        <stp/>
        <stp>P</stp>
        <stp>0</stp>
        <stp>IR</stp>
        <stp>BONDAV458</stp>
        <stp>3년이하(당일)</stp>
        <stp>45523</stp>
        <stp/>
        <tr r="L65" s="1"/>
        <tr r="L65" s="1"/>
      </tp>
      <tp>
        <v>3.8210000000000002</v>
        <stp/>
        <stp>P</stp>
        <stp>0</stp>
        <stp>IR</stp>
        <stp>BONDAV459</stp>
        <stp>3년이하(당일)</stp>
        <stp>45523</stp>
        <stp/>
        <tr r="L66" s="1"/>
        <tr r="L66" s="1"/>
      </tp>
      <tp>
        <v>9.4009999999999998</v>
        <stp/>
        <stp>P</stp>
        <stp>0</stp>
        <stp>IR</stp>
        <stp>BONDAV464</stp>
        <stp>3년이하(당일)</stp>
        <stp>45523</stp>
        <stp/>
        <tr r="L71" s="1"/>
        <tr r="L71" s="1"/>
      </tp>
      <tp>
        <v>4.0830000000000002</v>
        <stp/>
        <stp>P</stp>
        <stp>0</stp>
        <stp>IR</stp>
        <stp>BONDAV460</stp>
        <stp>3년이하(당일)</stp>
        <stp>45523</stp>
        <stp/>
        <tr r="L67" s="1"/>
        <tr r="L67" s="1"/>
      </tp>
      <tp>
        <v>4.5259999999999998</v>
        <stp/>
        <stp>P</stp>
        <stp>0</stp>
        <stp>IR</stp>
        <stp>BONDAV461</stp>
        <stp>3년이하(당일)</stp>
        <stp>45523</stp>
        <stp/>
        <tr r="L68" s="1"/>
        <tr r="L68" s="1"/>
      </tp>
      <tp>
        <v>6.9850000000000003</v>
        <stp/>
        <stp>P</stp>
        <stp>0</stp>
        <stp>IR</stp>
        <stp>BONDAV462</stp>
        <stp>3년이하(당일)</stp>
        <stp>45523</stp>
        <stp/>
        <tr r="L69" s="1"/>
        <tr r="L69" s="1"/>
      </tp>
      <tp>
        <v>8.0229999999999997</v>
        <stp/>
        <stp>P</stp>
        <stp>0</stp>
        <stp>IR</stp>
        <stp>BONDAV463</stp>
        <stp>3년이하(당일)</stp>
        <stp>45523</stp>
        <stp/>
        <tr r="L70" s="1"/>
        <tr r="L70" s="1"/>
      </tp>
      <tp>
        <v>3.4660000000000002</v>
        <stp/>
        <stp>P</stp>
        <stp>0</stp>
        <stp>IR</stp>
        <stp>BONDAV469</stp>
        <stp>3년이하(당일)</stp>
        <stp>45523</stp>
        <stp/>
        <tr r="L72" s="1"/>
        <tr r="L72" s="1"/>
      </tp>
      <tp>
        <v>4.4779999999999998</v>
        <stp/>
        <stp>P</stp>
        <stp>0</stp>
        <stp>IR</stp>
        <stp>BONDAV474</stp>
        <stp>3년이하(당일)</stp>
        <stp>45523</stp>
        <stp/>
        <tr r="L77" s="1"/>
        <tr r="L77" s="1"/>
      </tp>
      <tp>
        <v>4.9560000000000004</v>
        <stp/>
        <stp>P</stp>
        <stp>0</stp>
        <stp>IR</stp>
        <stp>BONDAV475</stp>
        <stp>3년이하(당일)</stp>
        <stp>45523</stp>
        <stp/>
        <tr r="L78" s="1"/>
        <tr r="L78" s="1"/>
      </tp>
      <tp>
        <v>7.5190000000000001</v>
        <stp/>
        <stp>P</stp>
        <stp>0</stp>
        <stp>IR</stp>
        <stp>BONDAV476</stp>
        <stp>3년이하(당일)</stp>
        <stp>45523</stp>
        <stp/>
        <tr r="L79" s="1"/>
        <tr r="L79" s="1"/>
      </tp>
      <tp>
        <v>8.6270000000000007</v>
        <stp/>
        <stp>P</stp>
        <stp>0</stp>
        <stp>IR</stp>
        <stp>BONDAV477</stp>
        <stp>3년이하(당일)</stp>
        <stp>45523</stp>
        <stp/>
        <tr r="L80" s="1"/>
        <tr r="L80" s="1"/>
      </tp>
      <tp>
        <v>3.5459999999999998</v>
        <stp/>
        <stp>P</stp>
        <stp>0</stp>
        <stp>IR</stp>
        <stp>BONDAV470</stp>
        <stp>3년이하(당일)</stp>
        <stp>45523</stp>
        <stp/>
        <tr r="L73" s="1"/>
        <tr r="L73" s="1"/>
      </tp>
      <tp>
        <v>3.6110000000000002</v>
        <stp/>
        <stp>P</stp>
        <stp>0</stp>
        <stp>IR</stp>
        <stp>BONDAV471</stp>
        <stp>3년이하(당일)</stp>
        <stp>45523</stp>
        <stp/>
        <tr r="L74" s="1"/>
        <tr r="L74" s="1"/>
      </tp>
      <tp>
        <v>3.6840000000000002</v>
        <stp/>
        <stp>P</stp>
        <stp>0</stp>
        <stp>IR</stp>
        <stp>BONDAV472</stp>
        <stp>3년이하(당일)</stp>
        <stp>45523</stp>
        <stp/>
        <tr r="L75" s="1"/>
        <tr r="L75" s="1"/>
      </tp>
      <tp>
        <v>4.1849999999999996</v>
        <stp/>
        <stp>P</stp>
        <stp>0</stp>
        <stp>IR</stp>
        <stp>BONDAV473</stp>
        <stp>3년이하(당일)</stp>
        <stp>45523</stp>
        <stp/>
        <tr r="L76" s="1"/>
        <tr r="L76" s="1"/>
      </tp>
      <tp>
        <v>10.303000000000001</v>
        <stp/>
        <stp>P</stp>
        <stp>0</stp>
        <stp>IR</stp>
        <stp>BONDAV478</stp>
        <stp>3년이하(당일)</stp>
        <stp>45523</stp>
        <stp/>
        <tr r="L81" s="1"/>
        <tr r="L81" s="1"/>
      </tp>
      <tp>
        <v>3.1850000000000001</v>
        <stp/>
        <stp>P</stp>
        <stp>0</stp>
        <stp>IR</stp>
        <stp>BONDAV479</stp>
        <stp>3년이하(당일)</stp>
        <stp>45523</stp>
        <stp/>
        <tr r="L82" s="1"/>
        <tr r="L82" s="1"/>
      </tp>
      <tp>
        <v>2.54</v>
        <stp/>
        <stp>P</stp>
        <stp>0</stp>
        <stp>IR</stp>
        <stp>BONDAV404</stp>
        <stp>3년이하(당일)</stp>
        <stp>45523</stp>
        <stp/>
        <tr r="L11" s="1"/>
        <tr r="L11" s="1"/>
      </tp>
      <tp>
        <v>3.1269999999999998</v>
        <stp/>
        <stp>P</stp>
        <stp>0</stp>
        <stp>IR</stp>
        <stp>BONDAV405</stp>
        <stp>3년이하(당일)</stp>
        <stp>45523</stp>
        <stp/>
        <tr r="L12" s="1"/>
        <tr r="L12" s="1"/>
      </tp>
      <tp>
        <v>3.1269999999999998</v>
        <stp/>
        <stp>P</stp>
        <stp>0</stp>
        <stp>IR</stp>
        <stp>BONDAV406</stp>
        <stp>3년이하(당일)</stp>
        <stp>45523</stp>
        <stp/>
        <tr r="L13" s="1"/>
        <tr r="L13" s="1"/>
      </tp>
      <tp>
        <v>2.9220000000000002</v>
        <stp/>
        <stp>P</stp>
        <stp>0</stp>
        <stp>IR</stp>
        <stp>BONDAV401</stp>
        <stp>3년이하(당일)</stp>
        <stp>45523</stp>
        <stp/>
        <tr r="L8" s="1"/>
        <tr r="L8" s="1"/>
      </tp>
      <tp>
        <v>3.01</v>
        <stp/>
        <stp>P</stp>
        <stp>0</stp>
        <stp>IR</stp>
        <stp>BONDAV402</stp>
        <stp>3년이하(당일)</stp>
        <stp>45523</stp>
        <stp/>
        <tr r="L9" s="1"/>
        <tr r="L9" s="1"/>
      </tp>
      <tp>
        <v>2.8180000000000001</v>
        <stp/>
        <stp>P</stp>
        <stp>0</stp>
        <stp>IR</stp>
        <stp>BONDAV403</stp>
        <stp>3년이하(당일)</stp>
        <stp>45523</stp>
        <stp/>
        <tr r="L10" s="1"/>
        <tr r="L10" s="1"/>
      </tp>
      <tp>
        <v>3.153</v>
        <stp/>
        <stp>P</stp>
        <stp>0</stp>
        <stp>IR</stp>
        <stp>BONDAV409</stp>
        <stp>3년이하(당일)</stp>
        <stp>45523</stp>
        <stp/>
        <tr r="L15" s="1"/>
        <tr r="L15" s="1"/>
      </tp>
      <tp>
        <v>2.9940000000000002</v>
        <stp/>
        <stp>P</stp>
        <stp>0</stp>
        <stp>IR</stp>
        <stp>BONDAV414</stp>
        <stp>3년이하(당일)</stp>
        <stp>45523</stp>
        <stp/>
        <tr r="L19" s="1"/>
        <tr r="L19" s="1"/>
      </tp>
      <tp>
        <v>3.0030000000000001</v>
        <stp/>
        <stp>P</stp>
        <stp>0</stp>
        <stp>IR</stp>
        <stp>BONDAV415</stp>
        <stp>3년이하(당일)</stp>
        <stp>45523</stp>
        <stp/>
        <tr r="L20" s="1"/>
        <tr r="L20" s="1"/>
      </tp>
      <tp>
        <v>3.093</v>
        <stp/>
        <stp>P</stp>
        <stp>0</stp>
        <stp>IR</stp>
        <stp>BONDAV416</stp>
        <stp>3년이하(당일)</stp>
        <stp>45523</stp>
        <stp/>
        <tr r="L22" s="1"/>
        <tr r="L22" s="1"/>
      </tp>
      <tp>
        <v>3.1280000000000001</v>
        <stp/>
        <stp>P</stp>
        <stp>0</stp>
        <stp>IR</stp>
        <stp>BONDAV417</stp>
        <stp>3년이하(당일)</stp>
        <stp>45523</stp>
        <stp/>
        <tr r="L23" s="1"/>
        <tr r="L23" s="1"/>
      </tp>
      <tp>
        <v>3.2490000000000001</v>
        <stp/>
        <stp>P</stp>
        <stp>0</stp>
        <stp>IR</stp>
        <stp>BONDAV410</stp>
        <stp>3년이하(당일)</stp>
        <stp>45523</stp>
        <stp/>
        <tr r="L16" s="1"/>
        <tr r="L16" s="1"/>
      </tp>
      <tp>
        <v>3.3980000000000001</v>
        <stp/>
        <stp>P</stp>
        <stp>0</stp>
        <stp>IR</stp>
        <stp>BONDAV411</stp>
        <stp>3년이하(당일)</stp>
        <stp>45523</stp>
        <stp/>
        <tr r="L17" s="1"/>
        <tr r="L17" s="1"/>
      </tp>
      <tp>
        <v>3.536</v>
        <stp/>
        <stp>P</stp>
        <stp>0</stp>
        <stp>IR</stp>
        <stp>BONDAV412</stp>
        <stp>3년이하(당일)</stp>
        <stp>45523</stp>
        <stp/>
        <tr r="L18" s="1"/>
        <tr r="L18" s="1"/>
      </tp>
      <tp>
        <v>3.0739999999999998</v>
        <stp/>
        <stp>P</stp>
        <stp>0</stp>
        <stp>IR</stp>
        <stp>BONDAV413</stp>
        <stp>3년이하(당일)</stp>
        <stp>45523</stp>
        <stp/>
        <tr r="L14" s="1"/>
        <tr r="L14" s="1"/>
      </tp>
      <tp>
        <v>3.093</v>
        <stp/>
        <stp>P</stp>
        <stp>0</stp>
        <stp>IR</stp>
        <stp>BONDAV418</stp>
        <stp>3년이하(당일)</stp>
        <stp>45523</stp>
        <stp/>
        <tr r="L24" s="1"/>
        <tr r="L24" s="1"/>
      </tp>
      <tp>
        <v>3.1280000000000001</v>
        <stp/>
        <stp>P</stp>
        <stp>0</stp>
        <stp>IR</stp>
        <stp>BONDAV419</stp>
        <stp>3년이하(당일)</stp>
        <stp>45523</stp>
        <stp/>
        <tr r="L25" s="1"/>
        <tr r="L25" s="1"/>
      </tp>
      <tp>
        <v>3.9209999999999998</v>
        <stp/>
        <stp>P</stp>
        <stp>0</stp>
        <stp>IR</stp>
        <stp>BONDAV424</stp>
        <stp>3년이하(당일)</stp>
        <stp>45523</stp>
        <stp/>
        <tr r="L30" s="1"/>
        <tr r="L30" s="1"/>
      </tp>
      <tp>
        <v>4.024</v>
        <stp/>
        <stp>P</stp>
        <stp>0</stp>
        <stp>IR</stp>
        <stp>BONDAV425</stp>
        <stp>3년이하(당일)</stp>
        <stp>45523</stp>
        <stp/>
        <tr r="L31" s="1"/>
        <tr r="L31" s="1"/>
      </tp>
      <tp>
        <v>4.1189999999999998</v>
        <stp/>
        <stp>P</stp>
        <stp>0</stp>
        <stp>IR</stp>
        <stp>BONDAV426</stp>
        <stp>3년이하(당일)</stp>
        <stp>45523</stp>
        <stp/>
        <tr r="L32" s="1"/>
        <tr r="L32" s="1"/>
      </tp>
      <tp>
        <v>3.4249999999999998</v>
        <stp/>
        <stp>P</stp>
        <stp>0</stp>
        <stp>IR</stp>
        <stp>BONDAV427</stp>
        <stp>3년이하(당일)</stp>
        <stp>45523</stp>
        <stp/>
        <tr r="L34" s="1"/>
        <tr r="L34" s="1"/>
      </tp>
      <tp>
        <v>3.2109999999999999</v>
        <stp/>
        <stp>P</stp>
        <stp>0</stp>
        <stp>IR</stp>
        <stp>BONDAV420</stp>
        <stp>3년이하(당일)</stp>
        <stp>45523</stp>
        <stp/>
        <tr r="L26" s="1"/>
        <tr r="L26" s="1"/>
      </tp>
      <tp>
        <v>3.3039999999999998</v>
        <stp/>
        <stp>P</stp>
        <stp>0</stp>
        <stp>IR</stp>
        <stp>BONDAV421</stp>
        <stp>3년이하(당일)</stp>
        <stp>45523</stp>
        <stp/>
        <tr r="L27" s="1"/>
        <tr r="L27" s="1"/>
      </tp>
      <tp>
        <v>3.5529999999999999</v>
        <stp/>
        <stp>P</stp>
        <stp>0</stp>
        <stp>IR</stp>
        <stp>BONDAV422</stp>
        <stp>3년이하(당일)</stp>
        <stp>45523</stp>
        <stp/>
        <tr r="L28" s="1"/>
        <tr r="L28" s="1"/>
      </tp>
      <tp>
        <v>3.7970000000000002</v>
        <stp/>
        <stp>P</stp>
        <stp>0</stp>
        <stp>IR</stp>
        <stp>BONDAV423</stp>
        <stp>3년이하(당일)</stp>
        <stp>45523</stp>
        <stp/>
        <tr r="L29" s="1"/>
        <tr r="L29" s="1"/>
      </tp>
      <tp>
        <v>3.5419999999999998</v>
        <stp/>
        <stp>P</stp>
        <stp>0</stp>
        <stp>IR</stp>
        <stp>BONDAV428</stp>
        <stp>3년이하(당일)</stp>
        <stp>45523</stp>
        <stp/>
        <tr r="L35" s="1"/>
        <tr r="L35" s="1"/>
      </tp>
      <tp>
        <v>4.5609999999999999</v>
        <stp/>
        <stp>P</stp>
        <stp>0</stp>
        <stp>IR</stp>
        <stp>BONDAV429</stp>
        <stp>3년이하(당일)</stp>
        <stp>45523</stp>
        <stp/>
        <tr r="L36" s="1"/>
        <tr r="L36" s="1"/>
      </tp>
      <tp>
        <v>9.6910000000000007</v>
        <stp/>
        <stp>P</stp>
        <stp>0</stp>
        <stp>IR</stp>
        <stp>BONDAV434</stp>
        <stp>3년이하(당일)</stp>
        <stp>45523</stp>
        <stp/>
        <tr r="L41" s="1"/>
        <tr r="L41" s="1"/>
      </tp>
      <tp>
        <v>3.4249999999999998</v>
        <stp/>
        <stp>P</stp>
        <stp>0</stp>
        <stp>IR</stp>
        <stp>BONDAV436</stp>
        <stp>3년이하(당일)</stp>
        <stp>45523</stp>
        <stp/>
        <tr r="L43" s="1"/>
        <tr r="L43" s="1"/>
      </tp>
      <tp>
        <v>3.5419999999999998</v>
        <stp/>
        <stp>P</stp>
        <stp>0</stp>
        <stp>IR</stp>
        <stp>BONDAV437</stp>
        <stp>3년이하(당일)</stp>
        <stp>45523</stp>
        <stp/>
        <tr r="L44" s="1"/>
        <tr r="L44" s="1"/>
      </tp>
      <tp>
        <v>5.3440000000000003</v>
        <stp/>
        <stp>P</stp>
        <stp>0</stp>
        <stp>IR</stp>
        <stp>BONDAV430</stp>
        <stp>3년이하(당일)</stp>
        <stp>45523</stp>
        <stp/>
        <tr r="L37" s="1"/>
        <tr r="L37" s="1"/>
      </tp>
      <tp>
        <v>6.0220000000000002</v>
        <stp/>
        <stp>P</stp>
        <stp>0</stp>
        <stp>IR</stp>
        <stp>BONDAV431</stp>
        <stp>3년이하(당일)</stp>
        <stp>45523</stp>
        <stp/>
        <tr r="L38" s="1"/>
        <tr r="L38" s="1"/>
      </tp>
      <tp>
        <v>7.3949999999999996</v>
        <stp/>
        <stp>P</stp>
        <stp>0</stp>
        <stp>IR</stp>
        <stp>BONDAV432</stp>
        <stp>3년이하(당일)</stp>
        <stp>45523</stp>
        <stp/>
        <tr r="L39" s="1"/>
        <tr r="L39" s="1"/>
      </tp>
      <tp>
        <v>8.3079999999999998</v>
        <stp/>
        <stp>P</stp>
        <stp>0</stp>
        <stp>IR</stp>
        <stp>BONDAV433</stp>
        <stp>3년이하(당일)</stp>
        <stp>45523</stp>
        <stp/>
        <tr r="L40" s="1"/>
        <tr r="L40" s="1"/>
      </tp>
      <tp>
        <v>4.5609999999999999</v>
        <stp/>
        <stp>P</stp>
        <stp>0</stp>
        <stp>IR</stp>
        <stp>BONDAV438</stp>
        <stp>3년이하(당일)</stp>
        <stp>45523</stp>
        <stp/>
        <tr r="L45" s="1"/>
        <tr r="L45" s="1"/>
      </tp>
      <tp>
        <v>5.3440000000000003</v>
        <stp/>
        <stp>P</stp>
        <stp>0</stp>
        <stp>IR</stp>
        <stp>BONDAV439</stp>
        <stp>3년이하(당일)</stp>
        <stp>45523</stp>
        <stp/>
        <tr r="L46" s="1"/>
        <tr r="L46" s="1"/>
      </tp>
      <tp>
        <v>3.1659999999999999</v>
        <stp/>
        <stp>P</stp>
        <stp>0</stp>
        <stp>IR</stp>
        <stp>BONDAV484</stp>
        <stp>3년이하(당일)</stp>
        <stp>45523</stp>
        <stp/>
        <tr r="L21" s="1"/>
        <tr r="L21" s="1"/>
      </tp>
      <tp>
        <v>3.3580000000000001</v>
        <stp/>
        <stp>P</stp>
        <stp>0</stp>
        <stp>IR</stp>
        <stp>BONDAV481</stp>
        <stp>3년이하(당일)</stp>
        <stp>45523</stp>
        <stp/>
        <tr r="L33" s="1"/>
        <tr r="L33" s="1"/>
      </tp>
      <tp>
        <v>3.3580000000000001</v>
        <stp/>
        <stp>P</stp>
        <stp>0</stp>
        <stp>IR</stp>
        <stp>BONDAV482</stp>
        <stp>3년이하(당일)</stp>
        <stp>45523</stp>
        <stp/>
        <tr r="L42" s="1"/>
        <tr r="L42" s="1"/>
      </tp>
      <tp>
        <v>3.2440000000000002</v>
        <stp/>
        <stp>P</stp>
        <stp>0</stp>
        <stp>IR</stp>
        <stp>BONDAV444</stp>
        <stp>2년이하(당일)</stp>
        <stp>45523</stp>
        <stp/>
        <tr r="J51" s="1"/>
        <tr r="J51" s="1"/>
      </tp>
      <tp>
        <v>3.3410000000000002</v>
        <stp/>
        <stp>P</stp>
        <stp>0</stp>
        <stp>IR</stp>
        <stp>BONDAV445</stp>
        <stp>2년이하(당일)</stp>
        <stp>45523</stp>
        <stp/>
        <tr r="J52" s="1"/>
        <tr r="J52" s="1"/>
      </tp>
      <tp>
        <v>3.5419999999999998</v>
        <stp/>
        <stp>P</stp>
        <stp>0</stp>
        <stp>IR</stp>
        <stp>BONDAV446</stp>
        <stp>2년이하(당일)</stp>
        <stp>45523</stp>
        <stp/>
        <tr r="J53" s="1"/>
        <tr r="J53" s="1"/>
      </tp>
      <tp>
        <v>4.085</v>
        <stp/>
        <stp>P</stp>
        <stp>0</stp>
        <stp>IR</stp>
        <stp>BONDAV447</stp>
        <stp>2년이하(당일)</stp>
        <stp>45523</stp>
        <stp/>
        <tr r="J54" s="1"/>
        <tr r="J54" s="1"/>
      </tp>
      <tp>
        <v>5.85</v>
        <stp/>
        <stp>P</stp>
        <stp>0</stp>
        <stp>IR</stp>
        <stp>BONDAV440</stp>
        <stp>2년이하(당일)</stp>
        <stp>45523</stp>
        <stp/>
        <tr r="J47" s="1"/>
        <tr r="J47" s="1"/>
      </tp>
      <tp>
        <v>7.2169999999999996</v>
        <stp/>
        <stp>P</stp>
        <stp>0</stp>
        <stp>IR</stp>
        <stp>BONDAV441</stp>
        <stp>2년이하(당일)</stp>
        <stp>45523</stp>
        <stp/>
        <tr r="J48" s="1"/>
        <tr r="J48" s="1"/>
      </tp>
      <tp>
        <v>8.0549999999999997</v>
        <stp/>
        <stp>P</stp>
        <stp>0</stp>
        <stp>IR</stp>
        <stp>BONDAV442</stp>
        <stp>2년이하(당일)</stp>
        <stp>45523</stp>
        <stp/>
        <tr r="J49" s="1"/>
        <tr r="J49" s="1"/>
      </tp>
      <tp>
        <v>9.3930000000000007</v>
        <stp/>
        <stp>P</stp>
        <stp>0</stp>
        <stp>IR</stp>
        <stp>BONDAV443</stp>
        <stp>2년이하(당일)</stp>
        <stp>45523</stp>
        <stp/>
        <tr r="J50" s="1"/>
        <tr r="J50" s="1"/>
      </tp>
      <tp>
        <v>3.28</v>
        <stp/>
        <stp>P</stp>
        <stp>0</stp>
        <stp>IR</stp>
        <stp>BONDAV448</stp>
        <stp>2년이하(당일)</stp>
        <stp>45523</stp>
        <stp/>
        <tr r="J55" s="1"/>
        <tr r="J55" s="1"/>
      </tp>
      <tp>
        <v>3.3029999999999999</v>
        <stp/>
        <stp>P</stp>
        <stp>0</stp>
        <stp>IR</stp>
        <stp>BONDAV449</stp>
        <stp>2년이하(당일)</stp>
        <stp>45523</stp>
        <stp/>
        <tr r="J56" s="1"/>
        <tr r="J56" s="1"/>
      </tp>
      <tp>
        <v>4.2009999999999996</v>
        <stp/>
        <stp>P</stp>
        <stp>0</stp>
        <stp>IR</stp>
        <stp>BONDAV454</stp>
        <stp>2년이하(당일)</stp>
        <stp>45523</stp>
        <stp/>
        <tr r="J61" s="1"/>
        <tr r="J61" s="1"/>
      </tp>
      <tp>
        <v>3.286</v>
        <stp/>
        <stp>P</stp>
        <stp>0</stp>
        <stp>IR</stp>
        <stp>BONDAV455</stp>
        <stp>2년이하(당일)</stp>
        <stp>45523</stp>
        <stp/>
        <tr r="J62" s="1"/>
        <tr r="J62" s="1"/>
      </tp>
      <tp>
        <v>3.32</v>
        <stp/>
        <stp>P</stp>
        <stp>0</stp>
        <stp>IR</stp>
        <stp>BONDAV456</stp>
        <stp>2년이하(당일)</stp>
        <stp>45523</stp>
        <stp/>
        <tr r="J63" s="1"/>
        <tr r="J63" s="1"/>
      </tp>
      <tp>
        <v>3.3490000000000002</v>
        <stp/>
        <stp>P</stp>
        <stp>0</stp>
        <stp>IR</stp>
        <stp>BONDAV457</stp>
        <stp>2년이하(당일)</stp>
        <stp>45523</stp>
        <stp/>
        <tr r="J64" s="1"/>
        <tr r="J64" s="1"/>
      </tp>
      <tp>
        <v>3.3380000000000001</v>
        <stp/>
        <stp>P</stp>
        <stp>0</stp>
        <stp>IR</stp>
        <stp>BONDAV450</stp>
        <stp>2년이하(당일)</stp>
        <stp>45523</stp>
        <stp/>
        <tr r="J57" s="1"/>
        <tr r="J57" s="1"/>
      </tp>
      <tp>
        <v>3.3730000000000002</v>
        <stp/>
        <stp>P</stp>
        <stp>0</stp>
        <stp>IR</stp>
        <stp>BONDAV451</stp>
        <stp>2년이하(당일)</stp>
        <stp>45523</stp>
        <stp/>
        <tr r="J58" s="1"/>
        <tr r="J58" s="1"/>
      </tp>
      <tp>
        <v>3.7</v>
        <stp/>
        <stp>P</stp>
        <stp>0</stp>
        <stp>IR</stp>
        <stp>BONDAV452</stp>
        <stp>2년이하(당일)</stp>
        <stp>45523</stp>
        <stp/>
        <tr r="J59" s="1"/>
        <tr r="J59" s="1"/>
      </tp>
      <tp>
        <v>3.88</v>
        <stp/>
        <stp>P</stp>
        <stp>0</stp>
        <stp>IR</stp>
        <stp>BONDAV453</stp>
        <stp>2년이하(당일)</stp>
        <stp>45523</stp>
        <stp/>
        <tr r="J60" s="1"/>
        <tr r="J60" s="1"/>
      </tp>
      <tp>
        <v>3.3820000000000001</v>
        <stp/>
        <stp>P</stp>
        <stp>0</stp>
        <stp>IR</stp>
        <stp>BONDAV458</stp>
        <stp>2년이하(당일)</stp>
        <stp>45523</stp>
        <stp/>
        <tr r="J65" s="1"/>
        <tr r="J65" s="1"/>
      </tp>
      <tp>
        <v>3.6970000000000001</v>
        <stp/>
        <stp>P</stp>
        <stp>0</stp>
        <stp>IR</stp>
        <stp>BONDAV459</stp>
        <stp>2년이하(당일)</stp>
        <stp>45523</stp>
        <stp/>
        <tr r="J66" s="1"/>
        <tr r="J66" s="1"/>
      </tp>
      <tp>
        <v>8.4589999999999996</v>
        <stp/>
        <stp>P</stp>
        <stp>0</stp>
        <stp>IR</stp>
        <stp>BONDAV464</stp>
        <stp>2년이하(당일)</stp>
        <stp>45523</stp>
        <stp/>
        <tr r="J71" s="1"/>
        <tr r="J71" s="1"/>
      </tp>
      <tp>
        <v>3.8719999999999999</v>
        <stp/>
        <stp>P</stp>
        <stp>0</stp>
        <stp>IR</stp>
        <stp>BONDAV460</stp>
        <stp>2년이하(당일)</stp>
        <stp>45523</stp>
        <stp/>
        <tr r="J67" s="1"/>
        <tr r="J67" s="1"/>
      </tp>
      <tp>
        <v>4.1950000000000003</v>
        <stp/>
        <stp>P</stp>
        <stp>0</stp>
        <stp>IR</stp>
        <stp>BONDAV461</stp>
        <stp>2년이하(당일)</stp>
        <stp>45523</stp>
        <stp/>
        <tr r="J68" s="1"/>
        <tr r="J68" s="1"/>
      </tp>
      <tp>
        <v>6.3479999999999999</v>
        <stp/>
        <stp>P</stp>
        <stp>0</stp>
        <stp>IR</stp>
        <stp>BONDAV462</stp>
        <stp>2년이하(당일)</stp>
        <stp>45523</stp>
        <stp/>
        <tr r="J69" s="1"/>
        <tr r="J69" s="1"/>
      </tp>
      <tp>
        <v>7.2939999999999996</v>
        <stp/>
        <stp>P</stp>
        <stp>0</stp>
        <stp>IR</stp>
        <stp>BONDAV463</stp>
        <stp>2년이하(당일)</stp>
        <stp>45523</stp>
        <stp/>
        <tr r="J70" s="1"/>
        <tr r="J70" s="1"/>
      </tp>
      <tp>
        <v>3.448</v>
        <stp/>
        <stp>P</stp>
        <stp>0</stp>
        <stp>IR</stp>
        <stp>BONDAV469</stp>
        <stp>2년이하(당일)</stp>
        <stp>45523</stp>
        <stp/>
        <tr r="J72" s="1"/>
        <tr r="J72" s="1"/>
      </tp>
      <tp>
        <v>4.2240000000000002</v>
        <stp/>
        <stp>P</stp>
        <stp>0</stp>
        <stp>IR</stp>
        <stp>BONDAV474</stp>
        <stp>2년이하(당일)</stp>
        <stp>45523</stp>
        <stp/>
        <tr r="J77" s="1"/>
        <tr r="J77" s="1"/>
      </tp>
      <tp>
        <v>4.5839999999999996</v>
        <stp/>
        <stp>P</stp>
        <stp>0</stp>
        <stp>IR</stp>
        <stp>BONDAV475</stp>
        <stp>2년이하(당일)</stp>
        <stp>45523</stp>
        <stp/>
        <tr r="J78" s="1"/>
        <tr r="J78" s="1"/>
      </tp>
      <tp>
        <v>6.8280000000000003</v>
        <stp/>
        <stp>P</stp>
        <stp>0</stp>
        <stp>IR</stp>
        <stp>BONDAV476</stp>
        <stp>2년이하(당일)</stp>
        <stp>45523</stp>
        <stp/>
        <tr r="J79" s="1"/>
        <tr r="J79" s="1"/>
      </tp>
      <tp>
        <v>7.8339999999999996</v>
        <stp/>
        <stp>P</stp>
        <stp>0</stp>
        <stp>IR</stp>
        <stp>BONDAV477</stp>
        <stp>2년이하(당일)</stp>
        <stp>45523</stp>
        <stp/>
        <tr r="J80" s="1"/>
        <tr r="J80" s="1"/>
      </tp>
      <tp>
        <v>3.51</v>
        <stp/>
        <stp>P</stp>
        <stp>0</stp>
        <stp>IR</stp>
        <stp>BONDAV470</stp>
        <stp>2년이하(당일)</stp>
        <stp>45523</stp>
        <stp/>
        <tr r="J73" s="1"/>
        <tr r="J73" s="1"/>
      </tp>
      <tp>
        <v>3.5609999999999999</v>
        <stp/>
        <stp>P</stp>
        <stp>0</stp>
        <stp>IR</stp>
        <stp>BONDAV471</stp>
        <stp>2년이하(당일)</stp>
        <stp>45523</stp>
        <stp/>
        <tr r="J74" s="1"/>
        <tr r="J74" s="1"/>
      </tp>
      <tp>
        <v>3.6150000000000002</v>
        <stp/>
        <stp>P</stp>
        <stp>0</stp>
        <stp>IR</stp>
        <stp>BONDAV472</stp>
        <stp>2년이하(당일)</stp>
        <stp>45523</stp>
        <stp/>
        <tr r="J75" s="1"/>
        <tr r="J75" s="1"/>
      </tp>
      <tp>
        <v>4.0129999999999999</v>
        <stp/>
        <stp>P</stp>
        <stp>0</stp>
        <stp>IR</stp>
        <stp>BONDAV473</stp>
        <stp>2년이하(당일)</stp>
        <stp>45523</stp>
        <stp/>
        <tr r="J76" s="1"/>
        <tr r="J76" s="1"/>
      </tp>
      <tp>
        <v>9.3040000000000003</v>
        <stp/>
        <stp>P</stp>
        <stp>0</stp>
        <stp>IR</stp>
        <stp>BONDAV478</stp>
        <stp>2년이하(당일)</stp>
        <stp>45523</stp>
        <stp/>
        <tr r="J81" s="1"/>
        <tr r="J81" s="1"/>
      </tp>
      <tp>
        <v>3.2069999999999999</v>
        <stp/>
        <stp>P</stp>
        <stp>0</stp>
        <stp>IR</stp>
        <stp>BONDAV479</stp>
        <stp>2년이하(당일)</stp>
        <stp>45523</stp>
        <stp/>
        <tr r="J82" s="1"/>
        <tr r="J82" s="1"/>
      </tp>
      <tp>
        <v>2.577</v>
        <stp/>
        <stp>P</stp>
        <stp>0</stp>
        <stp>IR</stp>
        <stp>BONDAV404</stp>
        <stp>2년이하(당일)</stp>
        <stp>45523</stp>
        <stp/>
        <tr r="J11" s="1"/>
        <tr r="J11" s="1"/>
      </tp>
      <tp>
        <v>3.1469999999999998</v>
        <stp/>
        <stp>P</stp>
        <stp>0</stp>
        <stp>IR</stp>
        <stp>BONDAV405</stp>
        <stp>2년이하(당일)</stp>
        <stp>45523</stp>
        <stp/>
        <tr r="J12" s="1"/>
        <tr r="J12" s="1"/>
      </tp>
      <tp>
        <v>3.1480000000000001</v>
        <stp/>
        <stp>P</stp>
        <stp>0</stp>
        <stp>IR</stp>
        <stp>BONDAV406</stp>
        <stp>2년이하(당일)</stp>
        <stp>45523</stp>
        <stp/>
        <tr r="J13" s="1"/>
        <tr r="J13" s="1"/>
      </tp>
      <tp>
        <v>3.03</v>
        <stp/>
        <stp>P</stp>
        <stp>0</stp>
        <stp>IR</stp>
        <stp>BONDAV401</stp>
        <stp>2년이하(당일)</stp>
        <stp>45523</stp>
        <stp/>
        <tr r="J8" s="1"/>
        <tr r="J8" s="1"/>
      </tp>
      <tp>
        <v>3.0539999999999998</v>
        <stp/>
        <stp>P</stp>
        <stp>0</stp>
        <stp>IR</stp>
        <stp>BONDAV402</stp>
        <stp>2년이하(당일)</stp>
        <stp>45523</stp>
        <stp/>
        <tr r="J9" s="1"/>
        <tr r="J9" s="1"/>
      </tp>
      <tp>
        <v>2.851</v>
        <stp/>
        <stp>P</stp>
        <stp>0</stp>
        <stp>IR</stp>
        <stp>BONDAV403</stp>
        <stp>2년이하(당일)</stp>
        <stp>45523</stp>
        <stp/>
        <tr r="J10" s="1"/>
        <tr r="J10" s="1"/>
      </tp>
      <tp>
        <v>3.1840000000000002</v>
        <stp/>
        <stp>P</stp>
        <stp>0</stp>
        <stp>IR</stp>
        <stp>BONDAV409</stp>
        <stp>2년이하(당일)</stp>
        <stp>45523</stp>
        <stp/>
        <tr r="J15" s="1"/>
        <tr r="J15" s="1"/>
      </tp>
      <tp>
        <v>2.9870000000000001</v>
        <stp/>
        <stp>P</stp>
        <stp>0</stp>
        <stp>IR</stp>
        <stp>BONDAV414</stp>
        <stp>2년이하(당일)</stp>
        <stp>45523</stp>
        <stp/>
        <tr r="J19" s="1"/>
        <tr r="J19" s="1"/>
      </tp>
      <tp>
        <v>2.9940000000000002</v>
        <stp/>
        <stp>P</stp>
        <stp>0</stp>
        <stp>IR</stp>
        <stp>BONDAV415</stp>
        <stp>2년이하(당일)</stp>
        <stp>45523</stp>
        <stp/>
        <tr r="J20" s="1"/>
        <tr r="J20" s="1"/>
      </tp>
      <tp>
        <v>3.181</v>
        <stp/>
        <stp>P</stp>
        <stp>0</stp>
        <stp>IR</stp>
        <stp>BONDAV416</stp>
        <stp>2년이하(당일)</stp>
        <stp>45523</stp>
        <stp/>
        <tr r="J22" s="1"/>
        <tr r="J22" s="1"/>
      </tp>
      <tp>
        <v>3.198</v>
        <stp/>
        <stp>P</stp>
        <stp>0</stp>
        <stp>IR</stp>
        <stp>BONDAV417</stp>
        <stp>2년이하(당일)</stp>
        <stp>45523</stp>
        <stp/>
        <tr r="J23" s="1"/>
        <tr r="J23" s="1"/>
      </tp>
      <tp>
        <v>3.2839999999999998</v>
        <stp/>
        <stp>P</stp>
        <stp>0</stp>
        <stp>IR</stp>
        <stp>BONDAV410</stp>
        <stp>2년이하(당일)</stp>
        <stp>45523</stp>
        <stp/>
        <tr r="J16" s="1"/>
        <tr r="J16" s="1"/>
      </tp>
      <tp>
        <v>3.4129999999999998</v>
        <stp/>
        <stp>P</stp>
        <stp>0</stp>
        <stp>IR</stp>
        <stp>BONDAV411</stp>
        <stp>2년이하(당일)</stp>
        <stp>45523</stp>
        <stp/>
        <tr r="J17" s="1"/>
        <tr r="J17" s="1"/>
      </tp>
      <tp>
        <v>3.5550000000000002</v>
        <stp/>
        <stp>P</stp>
        <stp>0</stp>
        <stp>IR</stp>
        <stp>BONDAV412</stp>
        <stp>2년이하(당일)</stp>
        <stp>45523</stp>
        <stp/>
        <tr r="J18" s="1"/>
        <tr r="J18" s="1"/>
      </tp>
      <tp>
        <v>3.12</v>
        <stp/>
        <stp>P</stp>
        <stp>0</stp>
        <stp>IR</stp>
        <stp>BONDAV413</stp>
        <stp>2년이하(당일)</stp>
        <stp>45523</stp>
        <stp/>
        <tr r="J14" s="1"/>
        <tr r="J14" s="1"/>
      </tp>
      <tp>
        <v>3.181</v>
        <stp/>
        <stp>P</stp>
        <stp>0</stp>
        <stp>IR</stp>
        <stp>BONDAV418</stp>
        <stp>2년이하(당일)</stp>
        <stp>45523</stp>
        <stp/>
        <tr r="J24" s="1"/>
        <tr r="J24" s="1"/>
      </tp>
      <tp>
        <v>3.198</v>
        <stp/>
        <stp>P</stp>
        <stp>0</stp>
        <stp>IR</stp>
        <stp>BONDAV419</stp>
        <stp>2년이하(당일)</stp>
        <stp>45523</stp>
        <stp/>
        <tr r="J25" s="1"/>
        <tr r="J25" s="1"/>
      </tp>
      <tp>
        <v>3.9169999999999998</v>
        <stp/>
        <stp>P</stp>
        <stp>0</stp>
        <stp>IR</stp>
        <stp>BONDAV424</stp>
        <stp>2년이하(당일)</stp>
        <stp>45523</stp>
        <stp/>
        <tr r="J30" s="1"/>
        <tr r="J30" s="1"/>
      </tp>
      <tp>
        <v>4.0149999999999997</v>
        <stp/>
        <stp>P</stp>
        <stp>0</stp>
        <stp>IR</stp>
        <stp>BONDAV425</stp>
        <stp>2년이하(당일)</stp>
        <stp>45523</stp>
        <stp/>
        <tr r="J31" s="1"/>
        <tr r="J31" s="1"/>
      </tp>
      <tp>
        <v>4.1079999999999997</v>
        <stp/>
        <stp>P</stp>
        <stp>0</stp>
        <stp>IR</stp>
        <stp>BONDAV426</stp>
        <stp>2년이하(당일)</stp>
        <stp>45523</stp>
        <stp/>
        <tr r="J32" s="1"/>
        <tr r="J32" s="1"/>
      </tp>
      <tp>
        <v>3.4620000000000002</v>
        <stp/>
        <stp>P</stp>
        <stp>0</stp>
        <stp>IR</stp>
        <stp>BONDAV427</stp>
        <stp>2년이하(당일)</stp>
        <stp>45523</stp>
        <stp/>
        <tr r="J34" s="1"/>
        <tr r="J34" s="1"/>
      </tp>
      <tp>
        <v>3.2240000000000002</v>
        <stp/>
        <stp>P</stp>
        <stp>0</stp>
        <stp>IR</stp>
        <stp>BONDAV420</stp>
        <stp>2년이하(당일)</stp>
        <stp>45523</stp>
        <stp/>
        <tr r="J26" s="1"/>
        <tr r="J26" s="1"/>
      </tp>
      <tp>
        <v>3.327</v>
        <stp/>
        <stp>P</stp>
        <stp>0</stp>
        <stp>IR</stp>
        <stp>BONDAV421</stp>
        <stp>2년이하(당일)</stp>
        <stp>45523</stp>
        <stp/>
        <tr r="J27" s="1"/>
        <tr r="J27" s="1"/>
      </tp>
      <tp>
        <v>3.548</v>
        <stp/>
        <stp>P</stp>
        <stp>0</stp>
        <stp>IR</stp>
        <stp>BONDAV422</stp>
        <stp>2년이하(당일)</stp>
        <stp>45523</stp>
        <stp/>
        <tr r="J28" s="1"/>
        <tr r="J28" s="1"/>
      </tp>
      <tp>
        <v>3.802</v>
        <stp/>
        <stp>P</stp>
        <stp>0</stp>
        <stp>IR</stp>
        <stp>BONDAV423</stp>
        <stp>2년이하(당일)</stp>
        <stp>45523</stp>
        <stp/>
        <tr r="J29" s="1"/>
        <tr r="J29" s="1"/>
      </tp>
      <tp>
        <v>3.55</v>
        <stp/>
        <stp>P</stp>
        <stp>0</stp>
        <stp>IR</stp>
        <stp>BONDAV428</stp>
        <stp>2년이하(당일)</stp>
        <stp>45523</stp>
        <stp/>
        <tr r="J35" s="1"/>
        <tr r="J35" s="1"/>
      </tp>
      <tp>
        <v>4.4340000000000002</v>
        <stp/>
        <stp>P</stp>
        <stp>0</stp>
        <stp>IR</stp>
        <stp>BONDAV429</stp>
        <stp>2년이하(당일)</stp>
        <stp>45523</stp>
        <stp/>
        <tr r="J36" s="1"/>
        <tr r="J36" s="1"/>
      </tp>
      <tp>
        <v>9.4629999999999992</v>
        <stp/>
        <stp>P</stp>
        <stp>0</stp>
        <stp>IR</stp>
        <stp>BONDAV434</stp>
        <stp>2년이하(당일)</stp>
        <stp>45523</stp>
        <stp/>
        <tr r="J41" s="1"/>
        <tr r="J41" s="1"/>
      </tp>
      <tp>
        <v>3.4620000000000002</v>
        <stp/>
        <stp>P</stp>
        <stp>0</stp>
        <stp>IR</stp>
        <stp>BONDAV436</stp>
        <stp>2년이하(당일)</stp>
        <stp>45523</stp>
        <stp/>
        <tr r="J43" s="1"/>
        <tr r="J43" s="1"/>
      </tp>
      <tp>
        <v>3.55</v>
        <stp/>
        <stp>P</stp>
        <stp>0</stp>
        <stp>IR</stp>
        <stp>BONDAV437</stp>
        <stp>2년이하(당일)</stp>
        <stp>45523</stp>
        <stp/>
        <tr r="J44" s="1"/>
        <tr r="J44" s="1"/>
      </tp>
      <tp>
        <v>5.2569999999999997</v>
        <stp/>
        <stp>P</stp>
        <stp>0</stp>
        <stp>IR</stp>
        <stp>BONDAV430</stp>
        <stp>2년이하(당일)</stp>
        <stp>45523</stp>
        <stp/>
        <tr r="J37" s="1"/>
        <tr r="J37" s="1"/>
      </tp>
      <tp>
        <v>5.85</v>
        <stp/>
        <stp>P</stp>
        <stp>0</stp>
        <stp>IR</stp>
        <stp>BONDAV431</stp>
        <stp>2년이하(당일)</stp>
        <stp>45523</stp>
        <stp/>
        <tr r="J38" s="1"/>
        <tr r="J38" s="1"/>
      </tp>
      <tp>
        <v>7.2530000000000001</v>
        <stp/>
        <stp>P</stp>
        <stp>0</stp>
        <stp>IR</stp>
        <stp>BONDAV432</stp>
        <stp>2년이하(당일)</stp>
        <stp>45523</stp>
        <stp/>
        <tr r="J39" s="1"/>
        <tr r="J39" s="1"/>
      </tp>
      <tp>
        <v>8.0960000000000001</v>
        <stp/>
        <stp>P</stp>
        <stp>0</stp>
        <stp>IR</stp>
        <stp>BONDAV433</stp>
        <stp>2년이하(당일)</stp>
        <stp>45523</stp>
        <stp/>
        <tr r="J40" s="1"/>
        <tr r="J40" s="1"/>
      </tp>
      <tp>
        <v>4.4340000000000002</v>
        <stp/>
        <stp>P</stp>
        <stp>0</stp>
        <stp>IR</stp>
        <stp>BONDAV438</stp>
        <stp>2년이하(당일)</stp>
        <stp>45523</stp>
        <stp/>
        <tr r="J45" s="1"/>
        <tr r="J45" s="1"/>
      </tp>
      <tp>
        <v>5.2569999999999997</v>
        <stp/>
        <stp>P</stp>
        <stp>0</stp>
        <stp>IR</stp>
        <stp>BONDAV439</stp>
        <stp>2년이하(당일)</stp>
        <stp>45523</stp>
        <stp/>
        <tr r="J46" s="1"/>
        <tr r="J46" s="1"/>
      </tp>
      <tp>
        <v>3.2069999999999999</v>
        <stp/>
        <stp>P</stp>
        <stp>0</stp>
        <stp>IR</stp>
        <stp>BONDAV484</stp>
        <stp>2년이하(당일)</stp>
        <stp>45523</stp>
        <stp/>
        <tr r="J21" s="1"/>
        <tr r="J21" s="1"/>
      </tp>
      <tp>
        <v>3.4169999999999998</v>
        <stp/>
        <stp>P</stp>
        <stp>0</stp>
        <stp>IR</stp>
        <stp>BONDAV481</stp>
        <stp>2년이하(당일)</stp>
        <stp>45523</stp>
        <stp/>
        <tr r="J33" s="1"/>
        <tr r="J33" s="1"/>
      </tp>
      <tp>
        <v>3.4169999999999998</v>
        <stp/>
        <stp>P</stp>
        <stp>0</stp>
        <stp>IR</stp>
        <stp>BONDAV482</stp>
        <stp>2년이하(당일)</stp>
        <stp>45523</stp>
        <stp/>
        <tr r="J42" s="1"/>
        <tr r="J42" s="1"/>
      </tp>
      <tp>
        <v>6.8979999999999997</v>
        <stp/>
        <stp>P</stp>
        <stp>0</stp>
        <stp>IR</stp>
        <stp>BONDFNP6010211</stp>
        <stp>1년이하(당일)</stp>
        <stp>45523</stp>
        <stp/>
        <tr r="CB40" s="2"/>
        <tr r="CB40" s="2"/>
      </tp>
      <tp>
        <v>3.2709999999999999</v>
        <stp/>
        <stp>P</stp>
        <stp>0</stp>
        <stp>IR</stp>
        <stp>BONDFNP5010110</stp>
        <stp>1년이하(당일)</stp>
        <stp>45523</stp>
        <stp/>
        <tr r="CB23" s="2"/>
        <tr r="CB23" s="2"/>
      </tp>
      <tp>
        <v>3.2949999999999999</v>
        <stp/>
        <stp>P</stp>
        <stp>0</stp>
        <stp>IR</stp>
        <stp>BONDFNP7010110</stp>
        <stp>3년이하(당일)</stp>
        <stp>45523</stp>
        <stp/>
        <tr r="CF63" s="2"/>
        <tr r="CF63" s="2"/>
      </tp>
      <tp>
        <v>3.2709999999999999</v>
        <stp/>
        <stp>P</stp>
        <stp>0</stp>
        <stp>IR</stp>
        <stp>BONDFNP5020110</stp>
        <stp>1년이하(당일)</stp>
        <stp>45523</stp>
        <stp/>
        <tr r="CB25" s="2"/>
        <tr r="CB25" s="2"/>
      </tp>
      <tp>
        <v>8.9939999999999998</v>
        <stp/>
        <stp>P</stp>
        <stp>0</stp>
        <stp>IR</stp>
        <stp>BONDFNP6010213</stp>
        <stp>1년이하(당일)</stp>
        <stp>45523</stp>
        <stp/>
        <tr r="CB42" s="2"/>
        <tr r="CB42" s="2"/>
      </tp>
      <tp>
        <v>3.1320000000000001</v>
        <stp/>
        <stp>P</stp>
        <stp>0</stp>
        <stp>IR</stp>
        <stp>BONDFNP7020110</stp>
        <stp>3년이하(당일)</stp>
        <stp>45523</stp>
        <stp/>
        <tr r="CF52" s="2"/>
        <tr r="CF52" s="2"/>
      </tp>
      <tp>
        <v>3.1419999999999999</v>
        <stp/>
        <stp>P</stp>
        <stp>0</stp>
        <stp>IR</stp>
        <stp>BONDFNP3030110</stp>
        <stp>7년이하(당일)</stp>
        <stp>45523</stp>
        <stp/>
        <tr r="CI16" s="2"/>
        <tr r="CI16" s="2"/>
      </tp>
      <tp>
        <v>3.3</v>
        <stp/>
        <stp>P</stp>
        <stp>0</stp>
        <stp>IR</stp>
        <stp>BONDFNP5030110</stp>
        <stp>1년이하(당일)</stp>
        <stp>45523</stp>
        <stp/>
        <tr r="CB27" s="2"/>
        <tr r="CB27" s="2"/>
      </tp>
      <tp>
        <v>7.6859999999999999</v>
        <stp/>
        <stp>P</stp>
        <stp>0</stp>
        <stp>IR</stp>
        <stp>BONDFNP6010212</stp>
        <stp>1년이하(당일)</stp>
        <stp>45523</stp>
        <stp/>
        <tr r="CB41" s="2"/>
        <tr r="CB41" s="2"/>
      </tp>
      <tp>
        <v>3.03</v>
        <stp/>
        <stp>P</stp>
        <stp>0</stp>
        <stp>IR</stp>
        <stp>BONDFNP4000000</stp>
        <stp>1년이하(당일)</stp>
        <stp>45523</stp>
        <stp/>
        <tr r="CB20" s="2"/>
        <tr r="CB20" s="2"/>
      </tp>
      <tp>
        <v>2.9420000000000002</v>
        <stp/>
        <stp>P</stp>
        <stp>0</stp>
        <stp>IR</stp>
        <stp>BONDFNP1010000</stp>
        <stp>4년이하(당일)</stp>
        <stp>45523</stp>
        <stp/>
        <tr r="CG9" s="2"/>
        <tr r="CG9" s="2"/>
      </tp>
      <tp>
        <v>3.3039999999999998</v>
        <stp/>
        <stp>P</stp>
        <stp>0</stp>
        <stp>IR</stp>
        <stp>BONDFNP2010000</stp>
        <stp>7년이하(당일)</stp>
        <stp>45523</stp>
        <stp/>
        <tr r="CI13" s="2"/>
        <tr r="CI13" s="2"/>
      </tp>
      <tp>
        <v>2.81</v>
        <stp/>
        <stp>P</stp>
        <stp>0</stp>
        <stp>IR</stp>
        <stp>BONDFNP1020000</stp>
        <stp>4년이하(당일)</stp>
        <stp>45523</stp>
        <stp/>
        <tr r="CG11" s="2"/>
        <tr r="CG11" s="2"/>
      </tp>
      <tp>
        <v>3.3039999999999998</v>
        <stp/>
        <stp>P</stp>
        <stp>0</stp>
        <stp>IR</stp>
        <stp>BONDFNP2020000</stp>
        <stp>7년이하(당일)</stp>
        <stp>45523</stp>
        <stp/>
        <tr r="CI14" s="2"/>
        <tr r="CI14" s="2"/>
      </tp>
      <tp>
        <v>3.0049999999999999</v>
        <stp/>
        <stp>P</stp>
        <stp>0</stp>
        <stp>IR</stp>
        <stp>BONDFNP1030000</stp>
        <stp>4년이하(당일)</stp>
        <stp>45523</stp>
        <stp/>
        <tr r="CG10" s="2"/>
        <tr r="CG10" s="2"/>
      </tp>
      <tp>
        <v>3.2730000000000001</v>
        <stp/>
        <stp>P</stp>
        <stp>0</stp>
        <stp>IR</stp>
        <stp>BONDFNP4050000</stp>
        <stp>1년이하(당일)</stp>
        <stp>45523</stp>
        <stp/>
        <tr r="CB22" s="2"/>
        <tr r="CB22" s="2"/>
      </tp>
      <tp>
        <v>4.4340000000000002</v>
        <stp/>
        <stp>P</stp>
        <stp>0</stp>
        <stp>IR</stp>
        <stp>BONDFNP6010131</stp>
        <stp>2년이하(당일)</stp>
        <stp>45523</stp>
        <stp/>
        <tr r="CD37" s="2"/>
        <tr r="CD37" s="2"/>
      </tp>
      <tp>
        <v>3.839</v>
        <stp/>
        <stp>P</stp>
        <stp>0</stp>
        <stp>IR</stp>
        <stp>BONDFNP7010131</stp>
        <stp>3년이하(당일)</stp>
        <stp>45523</stp>
        <stp/>
        <tr r="CF67" s="2"/>
        <tr r="CF67" s="2"/>
      </tp>
      <tp>
        <v>5.8719999999999999</v>
        <stp/>
        <stp>P</stp>
        <stp>0</stp>
        <stp>IR</stp>
        <stp>BONDFNP6010133</stp>
        <stp>2년이하(당일)</stp>
        <stp>45523</stp>
        <stp/>
        <tr r="CD39" s="2"/>
        <tr r="CD39" s="2"/>
      </tp>
      <tp>
        <v>4.5339999999999998</v>
        <stp/>
        <stp>P</stp>
        <stp>0</stp>
        <stp>IR</stp>
        <stp>BONDFNP7010133</stp>
        <stp>3년이하(당일)</stp>
        <stp>45523</stp>
        <stp/>
        <tr r="CF69" s="2"/>
        <tr r="CF69" s="2"/>
      </tp>
      <tp>
        <v>3.431</v>
        <stp/>
        <stp>P</stp>
        <stp>0</stp>
        <stp>IR</stp>
        <stp>BONDFNP7020130</stp>
        <stp>3년이하(당일)</stp>
        <stp>45523</stp>
        <stp/>
        <tr r="CF54" s="2"/>
        <tr r="CF54" s="2"/>
      </tp>
      <tp>
        <v>5.2510000000000003</v>
        <stp/>
        <stp>P</stp>
        <stp>0</stp>
        <stp>IR</stp>
        <stp>BONDFNP6010132</stp>
        <stp>2년이하(당일)</stp>
        <stp>45523</stp>
        <stp/>
        <tr r="CD38" s="2"/>
        <tr r="CD38" s="2"/>
      </tp>
      <tp>
        <v>4.1040000000000001</v>
        <stp/>
        <stp>P</stp>
        <stp>0</stp>
        <stp>IR</stp>
        <stp>BONDFNP7010132</stp>
        <stp>3년이하(당일)</stp>
        <stp>45523</stp>
        <stp/>
        <tr r="CF68" s="2"/>
        <tr r="CF68" s="2"/>
      </tp>
      <tp>
        <v>3.907</v>
        <stp/>
        <stp>P</stp>
        <stp>0</stp>
        <stp>IR</stp>
        <stp>BONDFNP5050131</stp>
        <stp>1년이하(당일)</stp>
        <stp>45523</stp>
        <stp/>
        <tr r="CB31" s="2"/>
        <tr r="CB31" s="2"/>
      </tp>
      <tp>
        <v>4.0999999999999996</v>
        <stp/>
        <stp>P</stp>
        <stp>0</stp>
        <stp>IR</stp>
        <stp>BONDFNP5050133</stp>
        <stp>1년이하(당일)</stp>
        <stp>45523</stp>
        <stp/>
        <tr r="CB33" s="2"/>
        <tr r="CB33" s="2"/>
      </tp>
      <tp>
        <v>4</v>
        <stp/>
        <stp>P</stp>
        <stp>0</stp>
        <stp>IR</stp>
        <stp>BONDFNP5050132</stp>
        <stp>1년이하(당일)</stp>
        <stp>45523</stp>
        <stp/>
        <tr r="CB32" s="2"/>
        <tr r="CB32" s="2"/>
      </tp>
      <tp>
        <v>3.4119999999999999</v>
        <stp/>
        <stp>P</stp>
        <stp>0</stp>
        <stp>IR</stp>
        <stp>BONDFNP6010121</stp>
        <stp>2년이하(당일)</stp>
        <stp>45523</stp>
        <stp/>
        <tr r="CD34" s="2"/>
        <tr r="CD34" s="2"/>
      </tp>
      <tp>
        <v>3.3330000000000002</v>
        <stp/>
        <stp>P</stp>
        <stp>0</stp>
        <stp>IR</stp>
        <stp>BONDFNP7010121</stp>
        <stp>3년이하(당일)</stp>
        <stp>45523</stp>
        <stp/>
        <tr r="CF64" s="2"/>
        <tr r="CF64" s="2"/>
      </tp>
      <tp>
        <v>3.5379999999999998</v>
        <stp/>
        <stp>P</stp>
        <stp>0</stp>
        <stp>IR</stp>
        <stp>BONDFNP6010123</stp>
        <stp>2년이하(당일)</stp>
        <stp>45523</stp>
        <stp/>
        <tr r="CD36" s="2"/>
        <tr r="CD36" s="2"/>
      </tp>
      <tp>
        <v>3.423</v>
        <stp/>
        <stp>P</stp>
        <stp>0</stp>
        <stp>IR</stp>
        <stp>BONDFNP7010123</stp>
        <stp>3년이하(당일)</stp>
        <stp>45523</stp>
        <stp/>
        <tr r="CF66" s="2"/>
        <tr r="CF66" s="2"/>
      </tp>
      <tp>
        <v>3.26</v>
        <stp/>
        <stp>P</stp>
        <stp>0</stp>
        <stp>IR</stp>
        <stp>BONDFNP7020120</stp>
        <stp>3년이하(당일)</stp>
        <stp>45523</stp>
        <stp/>
        <tr r="CF53" s="2"/>
        <tr r="CF53" s="2"/>
      </tp>
      <tp>
        <v>3.4649999999999999</v>
        <stp/>
        <stp>P</stp>
        <stp>0</stp>
        <stp>IR</stp>
        <stp>BONDFNP6010122</stp>
        <stp>2년이하(당일)</stp>
        <stp>45523</stp>
        <stp/>
        <tr r="CD35" s="2"/>
        <tr r="CD35" s="2"/>
      </tp>
      <tp>
        <v>3.3759999999999999</v>
        <stp/>
        <stp>P</stp>
        <stp>0</stp>
        <stp>IR</stp>
        <stp>BONDFNP7010122</stp>
        <stp>3년이하(당일)</stp>
        <stp>45523</stp>
        <stp/>
        <tr r="CF65" s="2"/>
        <tr r="CF65" s="2"/>
      </tp>
      <tp>
        <v>3.2890000000000001</v>
        <stp/>
        <stp>P</stp>
        <stp>0</stp>
        <stp>IR</stp>
        <stp>BONDFNP3040121</stp>
        <stp>7년이하(당일)</stp>
        <stp>45523</stp>
        <stp/>
        <tr r="CI17" s="2"/>
        <tr r="CI17" s="2"/>
      </tp>
      <tp>
        <v>3.3679999999999999</v>
        <stp/>
        <stp>P</stp>
        <stp>0</stp>
        <stp>IR</stp>
        <stp>BONDFNP5040121</stp>
        <stp>1년이하(당일)</stp>
        <stp>45523</stp>
        <stp/>
        <tr r="CB28" s="2"/>
        <tr r="CB28" s="2"/>
      </tp>
      <tp>
        <v>3.43</v>
        <stp/>
        <stp>P</stp>
        <stp>0</stp>
        <stp>IR</stp>
        <stp>BONDFNP3040122</stp>
        <stp>7년이하(당일)</stp>
        <stp>45523</stp>
        <stp/>
        <tr r="CI18" s="2"/>
        <tr r="CI18" s="2"/>
      </tp>
      <tp>
        <v>3.5529999999999999</v>
        <stp/>
        <stp>P</stp>
        <stp>0</stp>
        <stp>IR</stp>
        <stp>BONDFNP5040122</stp>
        <stp>1년이하(당일)</stp>
        <stp>45523</stp>
        <stp/>
        <tr r="CB29" s="2"/>
        <tr r="CB29" s="2"/>
      </tp>
      <tp>
        <v>3.5550000000000002</v>
        <stp/>
        <stp>P</stp>
        <stp>0</stp>
        <stp>IR</stp>
        <stp>BONDFNP3040123</stp>
        <stp>7년이하(당일)</stp>
        <stp>45523</stp>
        <stp/>
        <tr r="CI19" s="2"/>
        <tr r="CI19" s="2"/>
      </tp>
      <tp>
        <v>3.8170000000000002</v>
        <stp/>
        <stp>P</stp>
        <stp>0</stp>
        <stp>IR</stp>
        <stp>BONDFNP5040123</stp>
        <stp>1년이하(당일)</stp>
        <stp>45523</stp>
        <stp/>
        <tr r="CB30" s="2"/>
        <tr r="CB30" s="2"/>
      </tp>
      <tp>
        <v>3.5630000000000002</v>
        <stp/>
        <stp>P</stp>
        <stp>0</stp>
        <stp>IR</stp>
        <stp>BONDNIC3040113</stp>
        <stp>7년이하(당일)</stp>
        <stp>45523</stp>
        <stp/>
        <tr r="BS19" s="2"/>
        <tr r="BS19" s="2"/>
      </tp>
      <tp>
        <v>3.8279999999999998</v>
        <stp/>
        <stp>P</stp>
        <stp>0</stp>
        <stp>IR</stp>
        <stp>BONDNIC5040113</stp>
        <stp>1년이하(당일)</stp>
        <stp>45523</stp>
        <stp/>
        <tr r="BL30" s="2"/>
        <tr r="BL30" s="2"/>
      </tp>
      <tp>
        <v>4.016</v>
        <stp/>
        <stp>P</stp>
        <stp>0</stp>
        <stp>IR</stp>
        <stp>BONDNIC5050112</stp>
        <stp>1년이하(당일)</stp>
        <stp>45523</stp>
        <stp/>
        <tr r="BL32" s="2"/>
        <tr r="BL32" s="2"/>
      </tp>
      <tp>
        <v>3.5680000000000001</v>
        <stp/>
        <stp>P</stp>
        <stp>0</stp>
        <stp>IR</stp>
        <stp>BONDNIC6040113</stp>
        <stp>2년이하(당일)</stp>
        <stp>45523</stp>
        <stp/>
        <tr r="BN36" s="2"/>
        <tr r="BN36" s="2"/>
      </tp>
      <tp>
        <v>5.2750000000000004</v>
        <stp/>
        <stp>P</stp>
        <stp>0</stp>
        <stp>IR</stp>
        <stp>BONDNIC6050112</stp>
        <stp>2년이하(당일)</stp>
        <stp>45523</stp>
        <stp/>
        <tr r="BN38" s="2"/>
        <tr r="BN38" s="2"/>
      </tp>
      <tp>
        <v>7.2309999999999999</v>
        <stp/>
        <stp>P</stp>
        <stp>0</stp>
        <stp>IR</stp>
        <stp>BONDNIC6060111</stp>
        <stp>2년이하(당일)</stp>
        <stp>45523</stp>
        <stp/>
        <tr r="BN40" s="2"/>
        <tr r="BN40" s="2"/>
      </tp>
      <tp>
        <v>3.4129999999999998</v>
        <stp/>
        <stp>P</stp>
        <stp>0</stp>
        <stp>IR</stp>
        <stp>BONDNIC7040113</stp>
        <stp>3년이하(당일)</stp>
        <stp>45523</stp>
        <stp/>
        <tr r="BP66" s="2"/>
        <tr r="BP66" s="2"/>
      </tp>
      <tp>
        <v>4.0549999999999997</v>
        <stp/>
        <stp>P</stp>
        <stp>0</stp>
        <stp>IR</stp>
        <stp>BONDNIC7050112</stp>
        <stp>3년이하(당일)</stp>
        <stp>45523</stp>
        <stp/>
        <tr r="BP68" s="2"/>
        <tr r="BP68" s="2"/>
      </tp>
      <tp>
        <v>6.9779999999999998</v>
        <stp/>
        <stp>P</stp>
        <stp>0</stp>
        <stp>IR</stp>
        <stp>BONDNIC7060111</stp>
        <stp>3년이하(당일)</stp>
        <stp>45523</stp>
        <stp/>
        <tr r="BP70" s="2"/>
        <tr r="BP70" s="2"/>
      </tp>
      <tp>
        <v>3.4390000000000001</v>
        <stp/>
        <stp>P</stp>
        <stp>0</stp>
        <stp>IR</stp>
        <stp>BONDNIC3040112</stp>
        <stp>7년이하(당일)</stp>
        <stp>45523</stp>
        <stp/>
        <tr r="BS18" s="2"/>
        <tr r="BS18" s="2"/>
      </tp>
      <tp>
        <v>3.5750000000000002</v>
        <stp/>
        <stp>P</stp>
        <stp>0</stp>
        <stp>IR</stp>
        <stp>BONDNIC5040112</stp>
        <stp>1년이하(당일)</stp>
        <stp>45523</stp>
        <stp/>
        <tr r="BL29" s="2"/>
        <tr r="BL29" s="2"/>
      </tp>
      <tp>
        <v>4.1050000000000004</v>
        <stp/>
        <stp>P</stp>
        <stp>0</stp>
        <stp>IR</stp>
        <stp>BONDNIC5050113</stp>
        <stp>1년이하(당일)</stp>
        <stp>45523</stp>
        <stp/>
        <tr r="BL33" s="2"/>
        <tr r="BL33" s="2"/>
      </tp>
      <tp>
        <v>3.4620000000000002</v>
        <stp/>
        <stp>P</stp>
        <stp>0</stp>
        <stp>IR</stp>
        <stp>BONDNIC6040112</stp>
        <stp>2년이하(당일)</stp>
        <stp>45523</stp>
        <stp/>
        <tr r="BN35" s="2"/>
        <tr r="BN35" s="2"/>
      </tp>
      <tp>
        <v>5.8789999999999996</v>
        <stp/>
        <stp>P</stp>
        <stp>0</stp>
        <stp>IR</stp>
        <stp>BONDNIC6050113</stp>
        <stp>2년이하(당일)</stp>
        <stp>45523</stp>
        <stp/>
        <tr r="BN39" s="2"/>
        <tr r="BN39" s="2"/>
      </tp>
      <tp>
        <v>3.3730000000000002</v>
        <stp/>
        <stp>P</stp>
        <stp>0</stp>
        <stp>IR</stp>
        <stp>BONDNIC7040112</stp>
        <stp>3년이하(당일)</stp>
        <stp>45523</stp>
        <stp/>
        <tr r="BP65" s="2"/>
        <tr r="BP65" s="2"/>
      </tp>
      <tp>
        <v>4.5170000000000003</v>
        <stp/>
        <stp>P</stp>
        <stp>0</stp>
        <stp>IR</stp>
        <stp>BONDNIC7050113</stp>
        <stp>3년이하(당일)</stp>
        <stp>45523</stp>
        <stp/>
        <tr r="BP69" s="2"/>
        <tr r="BP69" s="2"/>
      </tp>
      <tp>
        <v>3.28</v>
        <stp/>
        <stp>P</stp>
        <stp>0</stp>
        <stp>IR</stp>
        <stp>BONDNIC3040111</stp>
        <stp>7년이하(당일)</stp>
        <stp>45523</stp>
        <stp/>
        <tr r="BS17" s="2"/>
        <tr r="BS17" s="2"/>
      </tp>
      <tp>
        <v>3.3889999999999998</v>
        <stp/>
        <stp>P</stp>
        <stp>0</stp>
        <stp>IR</stp>
        <stp>BONDNIC5040111</stp>
        <stp>1년이하(당일)</stp>
        <stp>45523</stp>
        <stp/>
        <tr r="BL28" s="2"/>
        <tr r="BL28" s="2"/>
      </tp>
      <tp>
        <v>3.4249999999999998</v>
        <stp/>
        <stp>P</stp>
        <stp>0</stp>
        <stp>IR</stp>
        <stp>BONDNIC6040111</stp>
        <stp>2년이하(당일)</stp>
        <stp>45523</stp>
        <stp/>
        <tr r="BN34" s="2"/>
        <tr r="BN34" s="2"/>
      </tp>
      <tp>
        <v>9.4489999999999998</v>
        <stp/>
        <stp>P</stp>
        <stp>0</stp>
        <stp>IR</stp>
        <stp>BONDNIC6060113</stp>
        <stp>2년이하(당일)</stp>
        <stp>45523</stp>
        <stp/>
        <tr r="BN42" s="2"/>
        <tr r="BN42" s="2"/>
      </tp>
      <tp>
        <v>3.3319999999999999</v>
        <stp/>
        <stp>P</stp>
        <stp>0</stp>
        <stp>IR</stp>
        <stp>BONDNIC7040111</stp>
        <stp>3년이하(당일)</stp>
        <stp>45523</stp>
        <stp/>
        <tr r="BP64" s="2"/>
        <tr r="BP64" s="2"/>
      </tp>
      <tp>
        <v>9.4109999999999996</v>
        <stp/>
        <stp>P</stp>
        <stp>0</stp>
        <stp>IR</stp>
        <stp>BONDNIC7060113</stp>
        <stp>3년이하(당일)</stp>
        <stp>45523</stp>
        <stp/>
        <tr r="BP72" s="2"/>
        <tr r="BP72" s="2"/>
      </tp>
      <tp>
        <v>3.93</v>
        <stp/>
        <stp>P</stp>
        <stp>0</stp>
        <stp>IR</stp>
        <stp>BONDNIC5050111</stp>
        <stp>1년이하(당일)</stp>
        <stp>45523</stp>
        <stp/>
        <tr r="BL31" s="2"/>
        <tr r="BL31" s="2"/>
      </tp>
      <tp>
        <v>4.444</v>
        <stp/>
        <stp>P</stp>
        <stp>0</stp>
        <stp>IR</stp>
        <stp>BONDNIC6050111</stp>
        <stp>2년이하(당일)</stp>
        <stp>45523</stp>
        <stp/>
        <tr r="BN37" s="2"/>
        <tr r="BN37" s="2"/>
      </tp>
      <tp>
        <v>8.0640000000000001</v>
        <stp/>
        <stp>P</stp>
        <stp>0</stp>
        <stp>IR</stp>
        <stp>BONDNIC6060112</stp>
        <stp>2년이하(당일)</stp>
        <stp>45523</stp>
        <stp/>
        <tr r="BN41" s="2"/>
        <tr r="BN41" s="2"/>
      </tp>
      <tp>
        <v>3.7959999999999998</v>
        <stp/>
        <stp>P</stp>
        <stp>0</stp>
        <stp>IR</stp>
        <stp>BONDNIC7050111</stp>
        <stp>3년이하(당일)</stp>
        <stp>45523</stp>
        <stp/>
        <tr r="BP67" s="2"/>
        <tr r="BP67" s="2"/>
      </tp>
      <tp>
        <v>8.0250000000000004</v>
        <stp/>
        <stp>P</stp>
        <stp>0</stp>
        <stp>IR</stp>
        <stp>BONDNIC7060112</stp>
        <stp>3년이하(당일)</stp>
        <stp>45523</stp>
        <stp/>
        <tr r="BP71" s="2"/>
        <tr r="BP71" s="2"/>
      </tp>
      <tp>
        <v>3.1440000000000001</v>
        <stp/>
        <stp>P</stp>
        <stp>0</stp>
        <stp>IR</stp>
        <stp>BONDNIC3030110</stp>
        <stp>7년이하(당일)</stp>
        <stp>45523</stp>
        <stp/>
        <tr r="BS16" s="2"/>
        <tr r="BS16" s="2"/>
      </tp>
      <tp>
        <v>3.3290000000000002</v>
        <stp/>
        <stp>P</stp>
        <stp>0</stp>
        <stp>IR</stp>
        <stp>BONDNIC5030110</stp>
        <stp>1년이하(당일)</stp>
        <stp>45523</stp>
        <stp/>
        <tr r="BL27" s="2"/>
        <tr r="BL27" s="2"/>
      </tp>
      <tp>
        <v>3.28</v>
        <stp/>
        <stp>P</stp>
        <stp>0</stp>
        <stp>IR</stp>
        <stp>BONDNIC7030110</stp>
        <stp>3년이하(당일)</stp>
        <stp>45523</stp>
        <stp/>
        <tr r="BP63" s="2"/>
        <tr r="BP63" s="2"/>
      </tp>
      <tp>
        <v>3.3029999999999999</v>
        <stp/>
        <stp>P</stp>
        <stp>0</stp>
        <stp>IR</stp>
        <stp>BONDNIC5020110</stp>
        <stp>1년이하(당일)</stp>
        <stp>45523</stp>
        <stp/>
        <tr r="BL25" s="2"/>
        <tr r="BL25" s="2"/>
      </tp>
      <tp>
        <v>3.3029999999999999</v>
        <stp/>
        <stp>P</stp>
        <stp>0</stp>
        <stp>IR</stp>
        <stp>BONDNIC5010110</stp>
        <stp>1년이하(당일)</stp>
        <stp>45523</stp>
        <stp/>
        <tr r="BL23" s="2"/>
        <tr r="BL23" s="2"/>
      </tp>
      <tp>
        <v>3.4129999999999998</v>
        <stp/>
        <stp>P</stp>
        <stp>0</stp>
        <stp>IR</stp>
        <stp>BONDNIC7140113</stp>
        <stp>3년이하(당일)</stp>
        <stp>45523</stp>
        <stp/>
        <tr r="BP59" s="2"/>
        <tr r="BP59" s="2"/>
      </tp>
      <tp>
        <v>4.0549999999999997</v>
        <stp/>
        <stp>P</stp>
        <stp>0</stp>
        <stp>IR</stp>
        <stp>BONDNIC7150112</stp>
        <stp>3년이하(당일)</stp>
        <stp>45523</stp>
        <stp/>
        <tr r="BP61" s="2"/>
        <tr r="BP61" s="2"/>
      </tp>
      <tp>
        <v>3.3730000000000002</v>
        <stp/>
        <stp>P</stp>
        <stp>0</stp>
        <stp>IR</stp>
        <stp>BONDNIC7140112</stp>
        <stp>3년이하(당일)</stp>
        <stp>45523</stp>
        <stp/>
        <tr r="BP58" s="2"/>
        <tr r="BP58" s="2"/>
      </tp>
      <tp>
        <v>4.5170000000000003</v>
        <stp/>
        <stp>P</stp>
        <stp>0</stp>
        <stp>IR</stp>
        <stp>BONDNIC7150113</stp>
        <stp>3년이하(당일)</stp>
        <stp>45523</stp>
        <stp/>
        <tr r="BP62" s="2"/>
        <tr r="BP62" s="2"/>
      </tp>
      <tp>
        <v>3.3170000000000002</v>
        <stp/>
        <stp>P</stp>
        <stp>0</stp>
        <stp>IR</stp>
        <stp>BONDNIC4050000</stp>
        <stp>1년이하(당일)</stp>
        <stp>45523</stp>
        <stp/>
        <tr r="BL22" s="2"/>
        <tr r="BL22" s="2"/>
      </tp>
      <tp>
        <v>3.3319999999999999</v>
        <stp/>
        <stp>P</stp>
        <stp>0</stp>
        <stp>IR</stp>
        <stp>BONDNIC7140111</stp>
        <stp>3년이하(당일)</stp>
        <stp>45523</stp>
        <stp/>
        <tr r="BP57" s="2"/>
        <tr r="BP57" s="2"/>
      </tp>
      <tp>
        <v>3.7959999999999998</v>
        <stp/>
        <stp>P</stp>
        <stp>0</stp>
        <stp>IR</stp>
        <stp>BONDNIC7150111</stp>
        <stp>3년이하(당일)</stp>
        <stp>45523</stp>
        <stp/>
        <tr r="BP60" s="2"/>
        <tr r="BP60" s="2"/>
      </tp>
      <tp>
        <v>3.01</v>
        <stp/>
        <stp>P</stp>
        <stp>0</stp>
        <stp>IR</stp>
        <stp>BONDNIC1030000</stp>
        <stp>4년이하(당일)</stp>
        <stp>45523</stp>
        <stp/>
        <tr r="BQ10" s="2"/>
        <tr r="BQ10" s="2"/>
      </tp>
      <tp>
        <v>3.28</v>
        <stp/>
        <stp>P</stp>
        <stp>0</stp>
        <stp>IR</stp>
        <stp>BONDNIC7130110</stp>
        <stp>3년이하(당일)</stp>
        <stp>45523</stp>
        <stp/>
        <tr r="BP56" s="2"/>
        <tr r="BP56" s="2"/>
      </tp>
      <tp>
        <v>2.8170000000000002</v>
        <stp/>
        <stp>P</stp>
        <stp>0</stp>
        <stp>IR</stp>
        <stp>BONDNIC1020000</stp>
        <stp>4년이하(당일)</stp>
        <stp>45523</stp>
        <stp/>
        <tr r="BQ11" s="2"/>
        <tr r="BQ11" s="2"/>
      </tp>
      <tp>
        <v>3.27</v>
        <stp/>
        <stp>P</stp>
        <stp>0</stp>
        <stp>IR</stp>
        <stp>BONDNIC2020000</stp>
        <stp>7년이하(당일)</stp>
        <stp>45523</stp>
        <stp/>
        <tr r="BS14" s="2"/>
        <tr r="BS14" s="2"/>
      </tp>
      <tp>
        <v>2.9420000000000002</v>
        <stp/>
        <stp>P</stp>
        <stp>0</stp>
        <stp>IR</stp>
        <stp>BONDNIC1010000</stp>
        <stp>4년이하(당일)</stp>
        <stp>45523</stp>
        <stp/>
        <tr r="BQ9" s="2"/>
        <tr r="BQ9" s="2"/>
      </tp>
      <tp>
        <v>3.27</v>
        <stp/>
        <stp>P</stp>
        <stp>0</stp>
        <stp>IR</stp>
        <stp>BONDNIC2010000</stp>
        <stp>7년이하(당일)</stp>
        <stp>45523</stp>
        <stp/>
        <tr r="BS13" s="2"/>
        <tr r="BS13" s="2"/>
      </tp>
      <tp>
        <v>2.5419999999999998</v>
        <stp/>
        <stp>P</stp>
        <stp>0</stp>
        <stp>IR</stp>
        <stp>BONDNIC1015000</stp>
        <stp>4년이하(당일)</stp>
        <stp>45523</stp>
        <stp/>
        <tr r="BQ12" s="2"/>
        <tr r="BQ12" s="2"/>
      </tp>
      <tp>
        <v>3.03</v>
        <stp/>
        <stp>P</stp>
        <stp>0</stp>
        <stp>IR</stp>
        <stp>BONDNIC4000000</stp>
        <stp>1년이하(당일)</stp>
        <stp>45523</stp>
        <stp/>
        <tr r="BL20" s="2"/>
        <tr r="BL20" s="2"/>
      </tp>
      <tp>
        <v>4.32</v>
        <stp/>
        <stp>P</stp>
        <stp>0</stp>
        <stp>IR</stp>
        <stp>BONDKBPE304</stp>
        <stp>10년이하(당일)</stp>
        <stp>45523</stp>
        <stp/>
        <tr r="AN43" s="2"/>
        <tr r="AN43" s="2"/>
      </tp>
      <tp>
        <v>4.32</v>
        <stp/>
        <stp>P</stp>
        <stp>0</stp>
        <stp>IR</stp>
        <stp>BONDKBPE204</stp>
        <stp>10년이하(당일)</stp>
        <stp>45523</stp>
        <stp/>
        <tr r="AN34" s="2"/>
        <tr r="AN34" s="2"/>
      </tp>
      <tp>
        <v>5.0030000000000001</v>
        <stp/>
        <stp>P</stp>
        <stp>0</stp>
        <stp>IR</stp>
        <stp>BONDKBPE204</stp>
        <stp>20년이하(당일)</stp>
        <stp>45523</stp>
        <stp/>
        <tr r="AP34" s="2"/>
        <tr r="AP34" s="2"/>
      </tp>
      <tp>
        <v>0</v>
        <stp/>
        <stp>P</stp>
        <stp>0</stp>
        <stp>IR</stp>
        <stp>BONDKBPE304</stp>
        <stp>30년이하(당일)</stp>
        <stp>45523</stp>
        <stp/>
        <tr r="AQ43" s="2"/>
      </tp>
      <tp>
        <v>0</v>
        <stp/>
        <stp>P</stp>
        <stp>0</stp>
        <stp>IR</stp>
        <stp>BONDKBPE204</stp>
        <stp>30년이하(당일)</stp>
        <stp>45523</stp>
        <stp/>
        <tr r="AQ34" s="2"/>
      </tp>
      <tp>
        <v>5.0030000000000001</v>
        <stp/>
        <stp>P</stp>
        <stp>0</stp>
        <stp>IR</stp>
        <stp>BONDKBPE304</stp>
        <stp>20년이하(당일)</stp>
        <stp>45523</stp>
        <stp/>
        <tr r="AP43" s="2"/>
        <tr r="AP43" s="2"/>
      </tp>
      <tp>
        <v>0</v>
        <stp/>
        <stp>P</stp>
        <stp>0</stp>
        <stp>IR</stp>
        <stp>BONDKBPE304</stp>
        <stp>50년이하(당일)</stp>
        <stp>45523</stp>
        <stp/>
        <tr r="AR43" s="2"/>
      </tp>
      <tp>
        <v>0</v>
        <stp/>
        <stp>P</stp>
        <stp>0</stp>
        <stp>IR</stp>
        <stp>BONDKBPE204</stp>
        <stp>50년이하(당일)</stp>
        <stp>45523</stp>
        <stp/>
        <tr r="AR34" s="2"/>
      </tp>
      <tp>
        <v>3.2770000000000001</v>
        <stp/>
        <stp>P</stp>
        <stp>0</stp>
        <stp>IR</stp>
        <stp>BONDKIS4050000</stp>
        <stp>1년이하(당일)</stp>
        <stp>45523</stp>
        <stp/>
        <tr r="AV22" s="2"/>
        <tr r="AV22" s="2"/>
      </tp>
      <tp>
        <v>3.0030000000000001</v>
        <stp/>
        <stp>P</stp>
        <stp>0</stp>
        <stp>IR</stp>
        <stp>BONDKIS1030000</stp>
        <stp>4년이하(당일)</stp>
        <stp>45523</stp>
        <stp/>
        <tr r="BA10" s="2"/>
        <tr r="BA10" s="2"/>
      </tp>
      <tp>
        <v>3.1480000000000001</v>
        <stp/>
        <stp>P</stp>
        <stp>0</stp>
        <stp>IR</stp>
        <stp>BONDNIC7430110</stp>
        <stp>3년이하(당일)</stp>
        <stp>45523</stp>
        <stp/>
        <tr r="BP83" s="2"/>
        <tr r="BP83" s="2"/>
      </tp>
      <tp>
        <v>2.8479999999999999</v>
        <stp/>
        <stp>P</stp>
        <stp>0</stp>
        <stp>IR</stp>
        <stp>BONDKIS1020000</stp>
        <stp>4년이하(당일)</stp>
        <stp>45523</stp>
        <stp/>
        <tr r="BA11" s="2"/>
        <tr r="BA11" s="2"/>
      </tp>
      <tp>
        <v>3.2949999999999999</v>
        <stp/>
        <stp>P</stp>
        <stp>0</stp>
        <stp>IR</stp>
        <stp>BONDKIS2020000</stp>
        <stp>7년이하(당일)</stp>
        <stp>45523</stp>
        <stp/>
        <tr r="BC14" s="2"/>
        <tr r="BC14" s="2"/>
      </tp>
      <tp>
        <v>2.9449999999999998</v>
        <stp/>
        <stp>P</stp>
        <stp>0</stp>
        <stp>IR</stp>
        <stp>BONDKIS1013000</stp>
        <stp>4년이하(당일)</stp>
        <stp>45523</stp>
        <stp/>
        <tr r="BA9" s="2"/>
        <tr r="BA9" s="2"/>
      </tp>
      <tp>
        <v>3.2949999999999999</v>
        <stp/>
        <stp>P</stp>
        <stp>0</stp>
        <stp>IR</stp>
        <stp>BONDKIS2010000</stp>
        <stp>7년이하(당일)</stp>
        <stp>45523</stp>
        <stp/>
        <tr r="BC13" s="2"/>
        <tr r="BC13" s="2"/>
      </tp>
      <tp>
        <v>3.02</v>
        <stp/>
        <stp>P</stp>
        <stp>0</stp>
        <stp>IR</stp>
        <stp>BONDKIS4003000</stp>
        <stp>1년이하(당일)</stp>
        <stp>45523</stp>
        <stp/>
        <tr r="AV20" s="2"/>
        <tr r="AV20" s="2"/>
      </tp>
      <tp>
        <v>3.2879999999999998</v>
        <stp/>
        <stp>P</stp>
        <stp>0</stp>
        <stp>IR</stp>
        <stp>BONDKSD4050000</stp>
        <stp>1년이하(당일)</stp>
        <stp>45523</stp>
        <stp/>
        <tr r="CR22" s="2"/>
        <tr r="CR22" s="2"/>
      </tp>
      <tp>
        <v>2.9420000000000002</v>
        <stp/>
        <stp>P</stp>
        <stp>0</stp>
        <stp>IR</stp>
        <stp>BONDKSD1010000</stp>
        <stp>4년이하(당일)</stp>
        <stp>45523</stp>
        <stp/>
        <tr r="CW9" s="2"/>
        <tr r="CW9" s="2"/>
      </tp>
      <tp>
        <v>0</v>
        <stp/>
        <stp>P</stp>
        <stp>0</stp>
        <stp>IR</stp>
        <stp>BONDKSD2010000</stp>
        <stp>7년이하(당일)</stp>
        <stp>45523</stp>
        <stp/>
        <tr r="CY13" s="2"/>
      </tp>
      <tp>
        <v>3.0259999999999998</v>
        <stp/>
        <stp>P</stp>
        <stp>0</stp>
        <stp>IR</stp>
        <stp>BONDKSD4000000</stp>
        <stp>1년이하(당일)</stp>
        <stp>45523</stp>
        <stp/>
        <tr r="CR20" s="2"/>
        <tr r="CR20" s="2"/>
      </tp>
      <tp>
        <v>3.0089999999999999</v>
        <stp/>
        <stp>P</stp>
        <stp>0</stp>
        <stp>IR</stp>
        <stp>BONDKSD1030000</stp>
        <stp>4년이하(당일)</stp>
        <stp>45523</stp>
        <stp/>
        <tr r="CW10" s="2"/>
        <tr r="CW10" s="2"/>
      </tp>
      <tp>
        <v>2.83</v>
        <stp/>
        <stp>P</stp>
        <stp>0</stp>
        <stp>IR</stp>
        <stp>BONDKSD1020000</stp>
        <stp>4년이하(당일)</stp>
        <stp>45523</stp>
        <stp/>
        <tr r="CW11" s="2"/>
        <tr r="CW11" s="2"/>
      </tp>
      <tp>
        <v>0</v>
        <stp/>
        <stp>P</stp>
        <stp>0</stp>
        <stp>IR</stp>
        <stp>BONDKSD2020000</stp>
        <stp>7년이하(당일)</stp>
        <stp>45523</stp>
        <stp/>
        <tr r="CY14" s="2"/>
      </tp>
      <tp>
        <v>4.4800000000000004</v>
        <stp/>
        <stp>P</stp>
        <stp>0</stp>
        <stp>IR</stp>
        <stp>BONDKBPE302</stp>
        <stp>10년이하(당일)</stp>
        <stp>45523</stp>
        <stp/>
        <tr r="AN44" s="2"/>
        <tr r="AN44" s="2"/>
      </tp>
      <tp>
        <v>4.4800000000000004</v>
        <stp/>
        <stp>P</stp>
        <stp>0</stp>
        <stp>IR</stp>
        <stp>BONDKBPE202</stp>
        <stp>10년이하(당일)</stp>
        <stp>45523</stp>
        <stp/>
        <tr r="AN35" s="2"/>
        <tr r="AN35" s="2"/>
      </tp>
      <tp>
        <v>5.12</v>
        <stp/>
        <stp>P</stp>
        <stp>0</stp>
        <stp>IR</stp>
        <stp>BONDKBPE202</stp>
        <stp>20년이하(당일)</stp>
        <stp>45523</stp>
        <stp/>
        <tr r="AP35" s="2"/>
        <tr r="AP35" s="2"/>
      </tp>
      <tp>
        <v>0</v>
        <stp/>
        <stp>P</stp>
        <stp>0</stp>
        <stp>IR</stp>
        <stp>BONDKBPE302</stp>
        <stp>30년이하(당일)</stp>
        <stp>45523</stp>
        <stp/>
        <tr r="AQ44" s="2"/>
      </tp>
      <tp>
        <v>0</v>
        <stp/>
        <stp>P</stp>
        <stp>0</stp>
        <stp>IR</stp>
        <stp>BONDKBPE202</stp>
        <stp>30년이하(당일)</stp>
        <stp>45523</stp>
        <stp/>
        <tr r="AQ35" s="2"/>
      </tp>
      <tp>
        <v>5.12</v>
        <stp/>
        <stp>P</stp>
        <stp>0</stp>
        <stp>IR</stp>
        <stp>BONDKBPE302</stp>
        <stp>20년이하(당일)</stp>
        <stp>45523</stp>
        <stp/>
        <tr r="AP44" s="2"/>
        <tr r="AP44" s="2"/>
      </tp>
      <tp>
        <v>0</v>
        <stp/>
        <stp>P</stp>
        <stp>0</stp>
        <stp>IR</stp>
        <stp>BONDKBPE302</stp>
        <stp>50년이하(당일)</stp>
        <stp>45523</stp>
        <stp/>
        <tr r="AR44" s="2"/>
      </tp>
      <tp>
        <v>0</v>
        <stp/>
        <stp>P</stp>
        <stp>0</stp>
        <stp>IR</stp>
        <stp>BONDKBPE202</stp>
        <stp>50년이하(당일)</stp>
        <stp>45523</stp>
        <stp/>
        <tr r="AR35" s="2"/>
      </tp>
      <tp>
        <v>0</v>
        <stp/>
        <stp>P</stp>
        <stp>0</stp>
        <stp>IR</stp>
        <stp>BONDKBPC402</stp>
        <stp>50년이하(당일)</stp>
        <stp>45523</stp>
        <stp/>
        <tr r="AR19" s="2"/>
      </tp>
      <tp>
        <v>3.6619999999999999</v>
        <stp/>
        <stp>P</stp>
        <stp>0</stp>
        <stp>IR</stp>
        <stp>BONDKBPC402</stp>
        <stp>20년이하(당일)</stp>
        <stp>45523</stp>
        <stp/>
        <tr r="AP19" s="2"/>
        <tr r="AP19" s="2"/>
      </tp>
      <tp>
        <v>0</v>
        <stp/>
        <stp>P</stp>
        <stp>0</stp>
        <stp>IR</stp>
        <stp>BONDKBPC402</stp>
        <stp>30년이하(당일)</stp>
        <stp>45523</stp>
        <stp/>
        <tr r="AQ19" s="2"/>
      </tp>
      <tp>
        <v>3.5979999999999999</v>
        <stp/>
        <stp>P</stp>
        <stp>0</stp>
        <stp>IR</stp>
        <stp>BONDKBPC402</stp>
        <stp>10년이하(당일)</stp>
        <stp>45523</stp>
        <stp/>
        <tr r="AN19" s="2"/>
        <tr r="AN19" s="2"/>
      </tp>
      <tp>
        <v>3.133</v>
        <stp/>
        <stp>P</stp>
        <stp>0</stp>
        <stp>IR</stp>
        <stp>BONDKIS3033110</stp>
        <stp>7년이하(당일)</stp>
        <stp>45523</stp>
        <stp/>
        <tr r="BC16" s="2"/>
        <tr r="BC16" s="2"/>
      </tp>
      <tp>
        <v>3.3010000000000002</v>
        <stp/>
        <stp>P</stp>
        <stp>0</stp>
        <stp>IR</stp>
        <stp>BONDKIS5033110</stp>
        <stp>1년이하(당일)</stp>
        <stp>45523</stp>
        <stp/>
        <tr r="AV27" s="2"/>
        <tr r="AV27" s="2"/>
      </tp>
      <tp>
        <v>7.7</v>
        <stp/>
        <stp>P</stp>
        <stp>0</stp>
        <stp>IR</stp>
        <stp>BONDKIS6013212</stp>
        <stp>1년이하(당일)</stp>
        <stp>45523</stp>
        <stp/>
        <tr r="AV50" s="2"/>
        <tr r="AV50" s="2"/>
      </tp>
      <tp>
        <v>3.2730000000000001</v>
        <stp/>
        <stp>P</stp>
        <stp>0</stp>
        <stp>IR</stp>
        <stp>BONDKIS5023110</stp>
        <stp>1년이하(당일)</stp>
        <stp>45523</stp>
        <stp/>
        <tr r="AV25" s="2"/>
        <tr r="AV25" s="2"/>
      </tp>
      <tp>
        <v>9.0449999999999999</v>
        <stp/>
        <stp>P</stp>
        <stp>0</stp>
        <stp>IR</stp>
        <stp>BONDKIS6013213</stp>
        <stp>1년이하(당일)</stp>
        <stp>45523</stp>
        <stp/>
        <tr r="AV51" s="2"/>
        <tr r="AV51" s="2"/>
      </tp>
      <tp>
        <v>3.1459999999999999</v>
        <stp/>
        <stp>P</stp>
        <stp>0</stp>
        <stp>IR</stp>
        <stp>BONDKIS7020110</stp>
        <stp>3년이하(당일)</stp>
        <stp>45523</stp>
        <stp/>
        <tr r="AZ52" s="2"/>
        <tr r="AZ52" s="2"/>
      </tp>
      <tp>
        <v>3.2730000000000001</v>
        <stp/>
        <stp>P</stp>
        <stp>0</stp>
        <stp>IR</stp>
        <stp>BONDKIS5013110</stp>
        <stp>1년이하(당일)</stp>
        <stp>45523</stp>
        <stp/>
        <tr r="AV23" s="2"/>
        <tr r="AV23" s="2"/>
      </tp>
      <tp>
        <v>3.2959999999999998</v>
        <stp/>
        <stp>P</stp>
        <stp>0</stp>
        <stp>IR</stp>
        <stp>BONDKIS7010110</stp>
        <stp>3년이하(당일)</stp>
        <stp>45523</stp>
        <stp/>
        <tr r="AZ63" s="2"/>
        <tr r="AZ63" s="2"/>
      </tp>
      <tp>
        <v>6.9169999999999998</v>
        <stp/>
        <stp>P</stp>
        <stp>0</stp>
        <stp>IR</stp>
        <stp>BONDKIS6013211</stp>
        <stp>1년이하(당일)</stp>
        <stp>45523</stp>
        <stp/>
        <tr r="AV49" s="2"/>
        <tr r="AV49" s="2"/>
      </tp>
      <tp>
        <v>3.28</v>
        <stp/>
        <stp>P</stp>
        <stp>0</stp>
        <stp>IR</stp>
        <stp>BONDKSD5010110</stp>
        <stp>1년이하(당일)</stp>
        <stp>45523</stp>
        <stp/>
        <tr r="CR23" s="2"/>
        <tr r="CR23" s="2"/>
      </tp>
      <tp>
        <v>7.6470000000000002</v>
        <stp/>
        <stp>P</stp>
        <stp>0</stp>
        <stp>IR</stp>
        <stp>BONDKSD6010210</stp>
        <stp>1년이하(당일)</stp>
        <stp>45523</stp>
        <stp/>
        <tr r="CR41" s="2"/>
        <tr r="CR41" s="2"/>
      </tp>
      <tp>
        <v>3.2869999999999999</v>
        <stp/>
        <stp>P</stp>
        <stp>0</stp>
        <stp>IR</stp>
        <stp>BONDKSD7010110</stp>
        <stp>3년이하(당일)</stp>
        <stp>45523</stp>
        <stp/>
        <tr r="CV63" s="2"/>
        <tr r="CV63" s="2"/>
      </tp>
      <tp>
        <v>3.1419999999999999</v>
        <stp/>
        <stp>P</stp>
        <stp>0</stp>
        <stp>IR</stp>
        <stp>BONDKSD3030110</stp>
        <stp>7년이하(당일)</stp>
        <stp>45523</stp>
        <stp/>
        <tr r="CY16" s="2"/>
        <tr r="CY16" s="2"/>
      </tp>
      <tp>
        <v>3.3079999999999998</v>
        <stp/>
        <stp>P</stp>
        <stp>0</stp>
        <stp>IR</stp>
        <stp>BONDKSD5030110</stp>
        <stp>1년이하(당일)</stp>
        <stp>45523</stp>
        <stp/>
        <tr r="CR27" s="2"/>
        <tr r="CR27" s="2"/>
      </tp>
      <tp>
        <v>3.28</v>
        <stp/>
        <stp>P</stp>
        <stp>0</stp>
        <stp>IR</stp>
        <stp>BONDKSD5020110</stp>
        <stp>1년이하(당일)</stp>
        <stp>45523</stp>
        <stp/>
        <tr r="CR25" s="2"/>
        <tr r="CR25" s="2"/>
      </tp>
      <tp>
        <v>3.2170000000000001</v>
        <stp/>
        <stp>P</stp>
        <stp>0</stp>
        <stp>IR</stp>
        <stp>BONDKSD7020110</stp>
        <stp>3년이하(당일)</stp>
        <stp>45523</stp>
        <stp/>
        <tr r="CV52" s="2"/>
        <tr r="CV52" s="2"/>
      </tp>
      <tp>
        <v>3.157</v>
        <stp/>
        <stp>P</stp>
        <stp>0</stp>
        <stp>IR</stp>
        <stp>BONDKBPZ001</stp>
        <stp>20년이하(당일)</stp>
        <stp>45523</stp>
        <stp/>
        <tr r="AP83" s="2"/>
        <tr r="AP83" s="2"/>
      </tp>
      <tp>
        <v>3.1739999999999999</v>
        <stp/>
        <stp>P</stp>
        <stp>0</stp>
        <stp>IR</stp>
        <stp>BONDKBPZ001</stp>
        <stp>30년이하(당일)</stp>
        <stp>45523</stp>
        <stp/>
        <tr r="AQ83" s="2"/>
        <tr r="AQ83" s="2"/>
      </tp>
      <tp>
        <v>3.1709999999999998</v>
        <stp/>
        <stp>P</stp>
        <stp>0</stp>
        <stp>IR</stp>
        <stp>BONDKBPZ001</stp>
        <stp>10년이하(당일)</stp>
        <stp>45523</stp>
        <stp/>
        <tr r="AN83" s="2"/>
        <tr r="AN83" s="2"/>
      </tp>
      <tp>
        <v>0</v>
        <stp/>
        <stp>P</stp>
        <stp>0</stp>
        <stp>IR</stp>
        <stp>BONDKBPZ001</stp>
        <stp>50년이하(당일)</stp>
        <stp>45523</stp>
        <stp/>
        <tr r="AR83" s="2"/>
      </tp>
      <tp t="s">
        <v/>
        <stp/>
        <stp>P</stp>
        <stp>0</stp>
        <stp>IR</stp>
        <stp>BONDKBPD001</stp>
        <stp>20년이하(당일)</stp>
        <stp>45523</stp>
        <stp/>
        <tr r="AP21" s="2"/>
        <tr r="AP21" s="2"/>
      </tp>
      <tp t="s">
        <v/>
        <stp/>
        <stp>P</stp>
        <stp>0</stp>
        <stp>IR</stp>
        <stp>BONDKBPD001</stp>
        <stp>30년이하(당일)</stp>
        <stp>45523</stp>
        <stp/>
        <tr r="AQ21" s="2"/>
        <tr r="AQ21" s="2"/>
      </tp>
      <tp t="s">
        <v/>
        <stp/>
        <stp>P</stp>
        <stp>0</stp>
        <stp>IR</stp>
        <stp>BONDKBPD001</stp>
        <stp>10년이하(당일)</stp>
        <stp>45523</stp>
        <stp/>
        <tr r="AN21" s="2"/>
        <tr r="AN21" s="2"/>
      </tp>
      <tp t="s">
        <v/>
        <stp/>
        <stp>P</stp>
        <stp>0</stp>
        <stp>IR</stp>
        <stp>BONDKBPD001</stp>
        <stp>50년이하(당일)</stp>
        <stp>45523</stp>
        <stp/>
        <tr r="AR21" s="2"/>
        <tr r="AR21" s="2"/>
      </tp>
      <tp>
        <v>0</v>
        <stp/>
        <stp>P</stp>
        <stp>0</stp>
        <stp>IR</stp>
        <stp>BONDKBPC401</stp>
        <stp>50년이하(당일)</stp>
        <stp>45523</stp>
        <stp/>
        <tr r="AR17" s="2"/>
      </tp>
      <tp>
        <v>3.4380000000000002</v>
        <stp/>
        <stp>P</stp>
        <stp>0</stp>
        <stp>IR</stp>
        <stp>BONDKBPC401</stp>
        <stp>20년이하(당일)</stp>
        <stp>45523</stp>
        <stp/>
        <tr r="AP17" s="2"/>
        <tr r="AP17" s="2"/>
      </tp>
      <tp>
        <v>0</v>
        <stp/>
        <stp>P</stp>
        <stp>0</stp>
        <stp>IR</stp>
        <stp>BONDKBPC401</stp>
        <stp>30년이하(당일)</stp>
        <stp>45523</stp>
        <stp/>
        <tr r="AQ17" s="2"/>
      </tp>
      <tp>
        <v>3.36</v>
        <stp/>
        <stp>P</stp>
        <stp>0</stp>
        <stp>IR</stp>
        <stp>BONDKBPC401</stp>
        <stp>10년이하(당일)</stp>
        <stp>45523</stp>
        <stp/>
        <tr r="AN17" s="2"/>
        <tr r="AN17" s="2"/>
      </tp>
      <tp>
        <v>3.5630000000000002</v>
        <stp/>
        <stp>P</stp>
        <stp>0</stp>
        <stp>IR</stp>
        <stp>BONDKIS3043123</stp>
        <stp>7년이하(당일)</stp>
        <stp>45523</stp>
        <stp/>
        <tr r="BC19" s="2"/>
        <tr r="BC19" s="2"/>
      </tp>
      <tp>
        <v>3.8140000000000001</v>
        <stp/>
        <stp>P</stp>
        <stp>0</stp>
        <stp>IR</stp>
        <stp>BONDKIS5043123</stp>
        <stp>1년이하(당일)</stp>
        <stp>45523</stp>
        <stp/>
        <tr r="AV30" s="2"/>
        <tr r="AV30" s="2"/>
      </tp>
      <tp>
        <v>3.4340000000000002</v>
        <stp/>
        <stp>P</stp>
        <stp>0</stp>
        <stp>IR</stp>
        <stp>BONDKIS3043122</stp>
        <stp>7년이하(당일)</stp>
        <stp>45523</stp>
        <stp/>
        <tr r="BC18" s="2"/>
        <tr r="BC18" s="2"/>
      </tp>
      <tp>
        <v>3.5619999999999998</v>
        <stp/>
        <stp>P</stp>
        <stp>0</stp>
        <stp>IR</stp>
        <stp>BONDKIS5043122</stp>
        <stp>1년이하(당일)</stp>
        <stp>45523</stp>
        <stp/>
        <tr r="AV29" s="2"/>
        <tr r="AV29" s="2"/>
      </tp>
      <tp>
        <v>3.2930000000000001</v>
        <stp/>
        <stp>P</stp>
        <stp>0</stp>
        <stp>IR</stp>
        <stp>BONDKIS3043121</stp>
        <stp>7년이하(당일)</stp>
        <stp>45523</stp>
        <stp/>
        <tr r="BC17" s="2"/>
        <tr r="BC17" s="2"/>
      </tp>
      <tp>
        <v>3.3719999999999999</v>
        <stp/>
        <stp>P</stp>
        <stp>0</stp>
        <stp>IR</stp>
        <stp>BONDKIS5043121</stp>
        <stp>1년이하(당일)</stp>
        <stp>45523</stp>
        <stp/>
        <tr r="AV28" s="2"/>
        <tr r="AV28" s="2"/>
      </tp>
      <tp>
        <v>3.4710000000000001</v>
        <stp/>
        <stp>P</stp>
        <stp>0</stp>
        <stp>IR</stp>
        <stp>BONDKIS6013122</stp>
        <stp>2년이하(당일)</stp>
        <stp>45523</stp>
        <stp/>
        <tr r="AX44" s="2"/>
        <tr r="AX44" s="2"/>
      </tp>
      <tp>
        <v>3.3929999999999998</v>
        <stp/>
        <stp>P</stp>
        <stp>0</stp>
        <stp>IR</stp>
        <stp>BONDKIS7010122</stp>
        <stp>3년이하(당일)</stp>
        <stp>45523</stp>
        <stp/>
        <tr r="AZ65" s="2"/>
        <tr r="AZ65" s="2"/>
      </tp>
      <tp>
        <v>3.5510000000000002</v>
        <stp/>
        <stp>P</stp>
        <stp>0</stp>
        <stp>IR</stp>
        <stp>BONDKIS6013123</stp>
        <stp>2년이하(당일)</stp>
        <stp>45523</stp>
        <stp/>
        <tr r="AX45" s="2"/>
        <tr r="AX45" s="2"/>
      </tp>
      <tp>
        <v>3.4449999999999998</v>
        <stp/>
        <stp>P</stp>
        <stp>0</stp>
        <stp>IR</stp>
        <stp>BONDKIS7010123</stp>
        <stp>3년이하(당일)</stp>
        <stp>45523</stp>
        <stp/>
        <tr r="AZ66" s="2"/>
        <tr r="AZ66" s="2"/>
      </tp>
      <tp>
        <v>3.28</v>
        <stp/>
        <stp>P</stp>
        <stp>0</stp>
        <stp>IR</stp>
        <stp>BONDKIS7020120</stp>
        <stp>3년이하(당일)</stp>
        <stp>45523</stp>
        <stp/>
        <tr r="AZ53" s="2"/>
        <tr r="AZ53" s="2"/>
      </tp>
      <tp>
        <v>3.4180000000000001</v>
        <stp/>
        <stp>P</stp>
        <stp>0</stp>
        <stp>IR</stp>
        <stp>BONDKIS6013121</stp>
        <stp>2년이하(당일)</stp>
        <stp>45523</stp>
        <stp/>
        <tr r="AX43" s="2"/>
        <tr r="AX43" s="2"/>
      </tp>
      <tp>
        <v>3.355</v>
        <stp/>
        <stp>P</stp>
        <stp>0</stp>
        <stp>IR</stp>
        <stp>BONDKIS7010121</stp>
        <stp>3년이하(당일)</stp>
        <stp>45523</stp>
        <stp/>
        <tr r="AZ64" s="2"/>
        <tr r="AZ64" s="2"/>
      </tp>
      <tp>
        <v>3.2919999999999998</v>
        <stp/>
        <stp>P</stp>
        <stp>0</stp>
        <stp>IR</stp>
        <stp>BONDKSD3040121</stp>
        <stp>7년이하(당일)</stp>
        <stp>45523</stp>
        <stp/>
        <tr r="CY17" s="2"/>
        <tr r="CY17" s="2"/>
      </tp>
      <tp>
        <v>3.4340000000000002</v>
        <stp/>
        <stp>P</stp>
        <stp>0</stp>
        <stp>IR</stp>
        <stp>BONDKSD3040120</stp>
        <stp>7년이하(당일)</stp>
        <stp>45523</stp>
        <stp/>
        <tr r="CY18" s="2"/>
        <tr r="CY18" s="2"/>
      </tp>
      <tp>
        <v>3.5579999999999998</v>
        <stp/>
        <stp>P</stp>
        <stp>0</stp>
        <stp>IR</stp>
        <stp>BONDKSD5040120</stp>
        <stp>1년이하(당일)</stp>
        <stp>45523</stp>
        <stp/>
        <tr r="CR29" s="2"/>
        <tr r="CR29" s="2"/>
      </tp>
      <tp>
        <v>3.4169999999999998</v>
        <stp/>
        <stp>P</stp>
        <stp>0</stp>
        <stp>IR</stp>
        <stp>BONDKSD6010121</stp>
        <stp>2년이하(당일)</stp>
        <stp>45523</stp>
        <stp/>
        <tr r="CT34" s="2"/>
        <tr r="CT34" s="2"/>
      </tp>
      <tp>
        <v>3.3420000000000001</v>
        <stp/>
        <stp>P</stp>
        <stp>0</stp>
        <stp>IR</stp>
        <stp>BONDKSD7010121</stp>
        <stp>3년이하(당일)</stp>
        <stp>45523</stp>
        <stp/>
        <tr r="CV64" s="2"/>
        <tr r="CV64" s="2"/>
      </tp>
      <tp>
        <v>3.4620000000000002</v>
        <stp/>
        <stp>P</stp>
        <stp>0</stp>
        <stp>IR</stp>
        <stp>BONDKSD6010122</stp>
        <stp>2년이하(당일)</stp>
        <stp>45523</stp>
        <stp/>
        <tr r="CT35" s="2"/>
        <tr r="CT35" s="2"/>
      </tp>
      <tp>
        <v>3.3809999999999998</v>
        <stp/>
        <stp>P</stp>
        <stp>0</stp>
        <stp>IR</stp>
        <stp>BONDKSD7010122</stp>
        <stp>3년이하(당일)</stp>
        <stp>45523</stp>
        <stp/>
        <tr r="CV65" s="2"/>
        <tr r="CV65" s="2"/>
      </tp>
      <tp>
        <v>3.55</v>
        <stp/>
        <stp>P</stp>
        <stp>0</stp>
        <stp>IR</stp>
        <stp>BONDKSD6010123</stp>
        <stp>2년이하(당일)</stp>
        <stp>45523</stp>
        <stp/>
        <tr r="CT36" s="2"/>
        <tr r="CT36" s="2"/>
      </tp>
      <tp>
        <v>3.427</v>
        <stp/>
        <stp>P</stp>
        <stp>0</stp>
        <stp>IR</stp>
        <stp>BONDKSD7010123</stp>
        <stp>3년이하(당일)</stp>
        <stp>45523</stp>
        <stp/>
        <tr r="CV66" s="2"/>
        <tr r="CV66" s="2"/>
      </tp>
      <tp>
        <v>3.3650000000000002</v>
        <stp/>
        <stp>P</stp>
        <stp>0</stp>
        <stp>IR</stp>
        <stp>BONDKSD7020120</stp>
        <stp>3년이하(당일)</stp>
        <stp>45523</stp>
        <stp/>
        <tr r="CV53" s="2"/>
        <tr r="CV53" s="2"/>
      </tp>
      <tp>
        <v>4.7210000000000001</v>
        <stp/>
        <stp>P</stp>
        <stp>0</stp>
        <stp>IR</stp>
        <stp>BONDKBPE300</stp>
        <stp>10년이하(당일)</stp>
        <stp>45523</stp>
        <stp/>
        <tr r="AN45" s="2"/>
        <tr r="AN45" s="2"/>
      </tp>
      <tp>
        <v>11.06</v>
        <stp/>
        <stp>P</stp>
        <stp>0</stp>
        <stp>IR</stp>
        <stp>BONDKBPE350</stp>
        <stp>15년이하(당일)</stp>
        <stp>45523</stp>
        <stp/>
        <tr r="AO51" s="2"/>
        <tr r="AO51" s="2"/>
      </tp>
      <tp>
        <v>4.7210000000000001</v>
        <stp/>
        <stp>P</stp>
        <stp>0</stp>
        <stp>IR</stp>
        <stp>BONDKBPE200</stp>
        <stp>10년이하(당일)</stp>
        <stp>45523</stp>
        <stp/>
        <tr r="AN36" s="2"/>
        <tr r="AN36" s="2"/>
      </tp>
      <tp>
        <v>4.593</v>
        <stp/>
        <stp>P</stp>
        <stp>0</stp>
        <stp>IR</stp>
        <stp>BONDKBPE150</stp>
        <stp>15년이하(당일)</stp>
        <stp>45523</stp>
        <stp/>
        <tr r="AO31" s="2"/>
        <tr r="AO31" s="2"/>
      </tp>
      <tp>
        <v>5.3879999999999999</v>
        <stp/>
        <stp>P</stp>
        <stp>0</stp>
        <stp>IR</stp>
        <stp>BONDKBPE200</stp>
        <stp>20년이하(당일)</stp>
        <stp>45523</stp>
        <stp/>
        <tr r="AP36" s="2"/>
        <tr r="AP36" s="2"/>
      </tp>
      <tp>
        <v>0</v>
        <stp/>
        <stp>P</stp>
        <stp>0</stp>
        <stp>IR</stp>
        <stp>BONDKBPE300</stp>
        <stp>30년이하(당일)</stp>
        <stp>45523</stp>
        <stp/>
        <tr r="AQ45" s="2"/>
      </tp>
      <tp>
        <v>0</v>
        <stp/>
        <stp>P</stp>
        <stp>0</stp>
        <stp>IR</stp>
        <stp>BONDKBPE200</stp>
        <stp>30년이하(당일)</stp>
        <stp>45523</stp>
        <stp/>
        <tr r="AQ36" s="2"/>
      </tp>
      <tp>
        <v>5.3879999999999999</v>
        <stp/>
        <stp>P</stp>
        <stp>0</stp>
        <stp>IR</stp>
        <stp>BONDKBPE300</stp>
        <stp>20년이하(당일)</stp>
        <stp>45523</stp>
        <stp/>
        <tr r="AP45" s="2"/>
        <tr r="AP45" s="2"/>
      </tp>
      <tp>
        <v>0</v>
        <stp/>
        <stp>P</stp>
        <stp>0</stp>
        <stp>IR</stp>
        <stp>BONDKBPE300</stp>
        <stp>50년이하(당일)</stp>
        <stp>45523</stp>
        <stp/>
        <tr r="AR45" s="2"/>
      </tp>
      <tp>
        <v>0</v>
        <stp/>
        <stp>P</stp>
        <stp>0</stp>
        <stp>IR</stp>
        <stp>BONDKBPE200</stp>
        <stp>50년이하(당일)</stp>
        <stp>45523</stp>
        <stp/>
        <tr r="AR36" s="2"/>
      </tp>
      <tp t="s">
        <v/>
        <stp/>
        <stp>P</stp>
        <stp>0</stp>
        <stp>IR</stp>
        <stp>BONDKBPD000</stp>
        <stp>20년이하(당일)</stp>
        <stp>45523</stp>
        <stp/>
        <tr r="AP20" s="2"/>
        <tr r="AP20" s="2"/>
      </tp>
      <tp t="s">
        <v/>
        <stp/>
        <stp>P</stp>
        <stp>0</stp>
        <stp>IR</stp>
        <stp>BONDKBPD000</stp>
        <stp>30년이하(당일)</stp>
        <stp>45523</stp>
        <stp/>
        <tr r="AQ20" s="2"/>
        <tr r="AQ20" s="2"/>
      </tp>
      <tp t="s">
        <v/>
        <stp/>
        <stp>P</stp>
        <stp>0</stp>
        <stp>IR</stp>
        <stp>BONDKBPD000</stp>
        <stp>10년이하(당일)</stp>
        <stp>45523</stp>
        <stp/>
        <tr r="AN20" s="2"/>
        <tr r="AN20" s="2"/>
      </tp>
      <tp t="s">
        <v/>
        <stp/>
        <stp>P</stp>
        <stp>0</stp>
        <stp>IR</stp>
        <stp>BONDKBPD000</stp>
        <stp>50년이하(당일)</stp>
        <stp>45523</stp>
        <stp/>
        <tr r="AR20" s="2"/>
        <tr r="AR20" s="2"/>
      </tp>
      <tp>
        <v>2.8519999999999999</v>
        <stp/>
        <stp>P</stp>
        <stp>0</stp>
        <stp>IR</stp>
        <stp>BONDKBPA100</stp>
        <stp>30년이하(당일)</stp>
        <stp>45523</stp>
        <stp/>
        <tr r="AQ9" s="2"/>
        <tr r="AQ9" s="2"/>
      </tp>
      <tp>
        <v>0</v>
        <stp/>
        <stp>P</stp>
        <stp>0</stp>
        <stp>IR</stp>
        <stp>BONDKBPA300</stp>
        <stp>10년이하(당일)</stp>
        <stp>45523</stp>
        <stp/>
        <tr r="AN10" s="2"/>
      </tp>
      <tp>
        <v>2.952</v>
        <stp/>
        <stp>P</stp>
        <stp>0</stp>
        <stp>IR</stp>
        <stp>BONDKBPA100</stp>
        <stp>20년이하(당일)</stp>
        <stp>45523</stp>
        <stp/>
        <tr r="AP9" s="2"/>
        <tr r="AP9" s="2"/>
      </tp>
      <tp>
        <v>3.1019999999999999</v>
        <stp/>
        <stp>P</stp>
        <stp>0</stp>
        <stp>IR</stp>
        <stp>BONDKBPA200</stp>
        <stp>10년이하(당일)</stp>
        <stp>45523</stp>
        <stp/>
        <tr r="AN11" s="2"/>
        <tr r="AN11" s="2"/>
      </tp>
      <tp>
        <v>2.9750000000000001</v>
        <stp/>
        <stp>P</stp>
        <stp>0</stp>
        <stp>IR</stp>
        <stp>BONDKBPA100</stp>
        <stp>10년이하(당일)</stp>
        <stp>45523</stp>
        <stp/>
        <tr r="AN9" s="2"/>
        <tr r="AN9" s="2"/>
      </tp>
      <tp>
        <v>3.2360000000000002</v>
        <stp/>
        <stp>P</stp>
        <stp>0</stp>
        <stp>IR</stp>
        <stp>BONDKBPA200</stp>
        <stp>20년이하(당일)</stp>
        <stp>45523</stp>
        <stp/>
        <tr r="AP11" s="2"/>
        <tr r="AP11" s="2"/>
      </tp>
      <tp>
        <v>0</v>
        <stp/>
        <stp>P</stp>
        <stp>0</stp>
        <stp>IR</stp>
        <stp>BONDKBPA300</stp>
        <stp>30년이하(당일)</stp>
        <stp>45523</stp>
        <stp/>
        <tr r="AQ10" s="2"/>
      </tp>
      <tp>
        <v>0</v>
        <stp/>
        <stp>P</stp>
        <stp>0</stp>
        <stp>IR</stp>
        <stp>BONDKBPA200</stp>
        <stp>30년이하(당일)</stp>
        <stp>45523</stp>
        <stp/>
        <tr r="AQ11" s="2"/>
      </tp>
      <tp>
        <v>0</v>
        <stp/>
        <stp>P</stp>
        <stp>0</stp>
        <stp>IR</stp>
        <stp>BONDKBPA300</stp>
        <stp>20년이하(당일)</stp>
        <stp>45523</stp>
        <stp/>
        <tr r="AP10" s="2"/>
      </tp>
      <tp>
        <v>0</v>
        <stp/>
        <stp>P</stp>
        <stp>0</stp>
        <stp>IR</stp>
        <stp>BONDKBPA400</stp>
        <stp>50년이하(당일)</stp>
        <stp>45523</stp>
        <stp/>
        <tr r="AR12" s="2"/>
      </tp>
      <tp>
        <v>0</v>
        <stp/>
        <stp>P</stp>
        <stp>0</stp>
        <stp>IR</stp>
        <stp>BONDKBPA300</stp>
        <stp>50년이하(당일)</stp>
        <stp>45523</stp>
        <stp/>
        <tr r="AR10" s="2"/>
      </tp>
      <tp t="s">
        <v xml:space="preserve"> </v>
        <stp/>
        <stp>P</stp>
        <stp>0</stp>
        <stp>IR</stp>
        <stp>BONDKBPA400</stp>
        <stp>20년이하(당일)</stp>
        <stp>45523</stp>
        <stp/>
        <tr r="AP12" s="2"/>
        <tr r="AP12" s="2"/>
      </tp>
      <tp>
        <v>0</v>
        <stp/>
        <stp>P</stp>
        <stp>0</stp>
        <stp>IR</stp>
        <stp>BONDKBPA200</stp>
        <stp>50년이하(당일)</stp>
        <stp>45523</stp>
        <stp/>
        <tr r="AR11" s="2"/>
      </tp>
      <tp t="s">
        <v xml:space="preserve"> </v>
        <stp/>
        <stp>P</stp>
        <stp>0</stp>
        <stp>IR</stp>
        <stp>BONDKBPA400</stp>
        <stp>30년이하(당일)</stp>
        <stp>45523</stp>
        <stp/>
        <tr r="AQ12" s="2"/>
        <tr r="AQ12" s="2"/>
      </tp>
      <tp>
        <v>2.762</v>
        <stp/>
        <stp>P</stp>
        <stp>0</stp>
        <stp>IR</stp>
        <stp>BONDKBPA100</stp>
        <stp>50년이하(당일)</stp>
        <stp>45523</stp>
        <stp/>
        <tr r="AR9" s="2"/>
        <tr r="AR9" s="2"/>
      </tp>
      <tp t="s">
        <v xml:space="preserve"> </v>
        <stp/>
        <stp>P</stp>
        <stp>0</stp>
        <stp>IR</stp>
        <stp>BONDKBPA400</stp>
        <stp>10년이하(당일)</stp>
        <stp>45523</stp>
        <stp/>
        <tr r="AN12" s="2"/>
        <tr r="AN12" s="2"/>
      </tp>
      <tp>
        <v>3.1709999999999998</v>
        <stp/>
        <stp>P</stp>
        <stp>0</stp>
        <stp>IR</stp>
        <stp>BONDKBPC300</stp>
        <stp>10년이하(당일)</stp>
        <stp>45523</stp>
        <stp/>
        <tr r="AN16" s="2"/>
        <tr r="AN16" s="2"/>
      </tp>
      <tp>
        <v>3.1739999999999999</v>
        <stp/>
        <stp>P</stp>
        <stp>0</stp>
        <stp>IR</stp>
        <stp>BONDKBPC300</stp>
        <stp>30년이하(당일)</stp>
        <stp>45523</stp>
        <stp/>
        <tr r="AQ16" s="2"/>
        <tr r="AQ16" s="2"/>
      </tp>
      <tp>
        <v>0</v>
        <stp/>
        <stp>P</stp>
        <stp>0</stp>
        <stp>IR</stp>
        <stp>BONDKBPC500</stp>
        <stp>50년이하(당일)</stp>
        <stp>45523</stp>
        <stp/>
        <tr r="AR15" s="2"/>
      </tp>
      <tp>
        <v>3.157</v>
        <stp/>
        <stp>P</stp>
        <stp>0</stp>
        <stp>IR</stp>
        <stp>BONDKBPC300</stp>
        <stp>20년이하(당일)</stp>
        <stp>45523</stp>
        <stp/>
        <tr r="AP16" s="2"/>
        <tr r="AP16" s="2"/>
      </tp>
      <tp>
        <v>0</v>
        <stp/>
        <stp>P</stp>
        <stp>0</stp>
        <stp>IR</stp>
        <stp>BONDKBPC400</stp>
        <stp>50년이하(당일)</stp>
        <stp>45523</stp>
        <stp/>
        <tr r="AR18" s="2"/>
      </tp>
      <tp>
        <v>0</v>
        <stp/>
        <stp>P</stp>
        <stp>0</stp>
        <stp>IR</stp>
        <stp>BONDKBPC300</stp>
        <stp>50년이하(당일)</stp>
        <stp>45523</stp>
        <stp/>
        <tr r="AR16" s="2"/>
      </tp>
      <tp>
        <v>3.5720000000000001</v>
        <stp/>
        <stp>P</stp>
        <stp>0</stp>
        <stp>IR</stp>
        <stp>BONDKBPC400</stp>
        <stp>20년이하(당일)</stp>
        <stp>45523</stp>
        <stp/>
        <tr r="AP18" s="2"/>
        <tr r="AP18" s="2"/>
      </tp>
      <tp>
        <v>0</v>
        <stp/>
        <stp>P</stp>
        <stp>0</stp>
        <stp>IR</stp>
        <stp>BONDKBPC500</stp>
        <stp>30년이하(당일)</stp>
        <stp>45523</stp>
        <stp/>
        <tr r="AQ15" s="2"/>
      </tp>
      <tp>
        <v>0</v>
        <stp/>
        <stp>P</stp>
        <stp>0</stp>
        <stp>IR</stp>
        <stp>BONDKBPC400</stp>
        <stp>30년이하(당일)</stp>
        <stp>45523</stp>
        <stp/>
        <tr r="AQ18" s="2"/>
      </tp>
      <tp>
        <v>3.0910000000000002</v>
        <stp/>
        <stp>P</stp>
        <stp>0</stp>
        <stp>IR</stp>
        <stp>BONDKBPC500</stp>
        <stp>20년이하(당일)</stp>
        <stp>45523</stp>
        <stp/>
        <tr r="AP15" s="2"/>
        <tr r="AP15" s="2"/>
      </tp>
      <tp>
        <v>3.1030000000000002</v>
        <stp/>
        <stp>P</stp>
        <stp>0</stp>
        <stp>IR</stp>
        <stp>BONDKBPC500</stp>
        <stp>10년이하(당일)</stp>
        <stp>45523</stp>
        <stp/>
        <tr r="AN15" s="2"/>
        <tr r="AN15" s="2"/>
      </tp>
      <tp>
        <v>3.488</v>
        <stp/>
        <stp>P</stp>
        <stp>0</stp>
        <stp>IR</stp>
        <stp>BONDKBPC400</stp>
        <stp>10년이하(당일)</stp>
        <stp>45523</stp>
        <stp/>
        <tr r="AN18" s="2"/>
        <tr r="AN18" s="2"/>
      </tp>
      <tp>
        <v>0</v>
        <stp/>
        <stp>P</stp>
        <stp>0</stp>
        <stp>IR</stp>
        <stp>BONDKBPB100</stp>
        <stp>30년이하(당일)</stp>
        <stp>45523</stp>
        <stp/>
        <tr r="AQ13" s="2"/>
      </tp>
      <tp>
        <v>0</v>
        <stp/>
        <stp>P</stp>
        <stp>0</stp>
        <stp>IR</stp>
        <stp>BONDKBPB100</stp>
        <stp>20년이하(당일)</stp>
        <stp>45523</stp>
        <stp/>
        <tr r="AP13" s="2"/>
      </tp>
      <tp>
        <v>3.3530000000000002</v>
        <stp/>
        <stp>P</stp>
        <stp>0</stp>
        <stp>IR</stp>
        <stp>BONDKBPB200</stp>
        <stp>10년이하(당일)</stp>
        <stp>45523</stp>
        <stp/>
        <tr r="AN14" s="2"/>
        <tr r="AN14" s="2"/>
      </tp>
      <tp>
        <v>0</v>
        <stp/>
        <stp>P</stp>
        <stp>0</stp>
        <stp>IR</stp>
        <stp>BONDKBPB100</stp>
        <stp>10년이하(당일)</stp>
        <stp>45523</stp>
        <stp/>
        <tr r="AN13" s="2"/>
      </tp>
      <tp>
        <v>3.3809999999999998</v>
        <stp/>
        <stp>P</stp>
        <stp>0</stp>
        <stp>IR</stp>
        <stp>BONDKBPB200</stp>
        <stp>20년이하(당일)</stp>
        <stp>45523</stp>
        <stp/>
        <tr r="AP14" s="2"/>
        <tr r="AP14" s="2"/>
      </tp>
      <tp>
        <v>0</v>
        <stp/>
        <stp>P</stp>
        <stp>0</stp>
        <stp>IR</stp>
        <stp>BONDKBPB200</stp>
        <stp>30년이하(당일)</stp>
        <stp>45523</stp>
        <stp/>
        <tr r="AQ14" s="2"/>
      </tp>
      <tp>
        <v>0</v>
        <stp/>
        <stp>P</stp>
        <stp>0</stp>
        <stp>IR</stp>
        <stp>BONDKBPB200</stp>
        <stp>50년이하(당일)</stp>
        <stp>45523</stp>
        <stp/>
        <tr r="AR14" s="2"/>
      </tp>
      <tp>
        <v>0</v>
        <stp/>
        <stp>P</stp>
        <stp>0</stp>
        <stp>IR</stp>
        <stp>BONDKBPB100</stp>
        <stp>50년이하(당일)</stp>
        <stp>45523</stp>
        <stp/>
        <tr r="AR13" s="2"/>
      </tp>
      <tp>
        <v>3.9940000000000002</v>
        <stp/>
        <stp>P</stp>
        <stp>0</stp>
        <stp>IR</stp>
        <stp>BONDKIS5053132</stp>
        <stp>1년이하(당일)</stp>
        <stp>45523</stp>
        <stp/>
        <tr r="AV32" s="2"/>
        <tr r="AV32" s="2"/>
      </tp>
      <tp>
        <v>4.0860000000000003</v>
        <stp/>
        <stp>P</stp>
        <stp>0</stp>
        <stp>IR</stp>
        <stp>BONDKIS5053133</stp>
        <stp>1년이하(당일)</stp>
        <stp>45523</stp>
        <stp/>
        <tr r="AV33" s="2"/>
        <tr r="AV33" s="2"/>
      </tp>
      <tp>
        <v>3.9180000000000001</v>
        <stp/>
        <stp>P</stp>
        <stp>0</stp>
        <stp>IR</stp>
        <stp>BONDKIS5053131</stp>
        <stp>1년이하(당일)</stp>
        <stp>45523</stp>
        <stp/>
        <tr r="AV31" s="2"/>
        <tr r="AV31" s="2"/>
      </tp>
      <tp>
        <v>5.2670000000000003</v>
        <stp/>
        <stp>P</stp>
        <stp>0</stp>
        <stp>IR</stp>
        <stp>BONDKIS6013132</stp>
        <stp>2년이하(당일)</stp>
        <stp>45523</stp>
        <stp/>
        <tr r="AX47" s="2"/>
        <tr r="AX47" s="2"/>
      </tp>
      <tp>
        <v>4.0789999999999997</v>
        <stp/>
        <stp>P</stp>
        <stp>0</stp>
        <stp>IR</stp>
        <stp>BONDKIS7010132</stp>
        <stp>3년이하(당일)</stp>
        <stp>45523</stp>
        <stp/>
        <tr r="AZ68" s="2"/>
        <tr r="AZ68" s="2"/>
      </tp>
      <tp>
        <v>5.8659999999999997</v>
        <stp/>
        <stp>P</stp>
        <stp>0</stp>
        <stp>IR</stp>
        <stp>BONDKIS6013133</stp>
        <stp>2년이하(당일)</stp>
        <stp>45523</stp>
        <stp/>
        <tr r="AX48" s="2"/>
        <tr r="AX48" s="2"/>
      </tp>
      <tp>
        <v>4.524</v>
        <stp/>
        <stp>P</stp>
        <stp>0</stp>
        <stp>IR</stp>
        <stp>BONDKIS7010133</stp>
        <stp>3년이하(당일)</stp>
        <stp>45523</stp>
        <stp/>
        <tr r="AZ69" s="2"/>
        <tr r="AZ69" s="2"/>
      </tp>
      <tp>
        <v>3.4510000000000001</v>
        <stp/>
        <stp>P</stp>
        <stp>0</stp>
        <stp>IR</stp>
        <stp>BONDKIS7020130</stp>
        <stp>3년이하(당일)</stp>
        <stp>45523</stp>
        <stp/>
        <tr r="AZ54" s="2"/>
        <tr r="AZ54" s="2"/>
      </tp>
      <tp>
        <v>4.4320000000000004</v>
        <stp/>
        <stp>P</stp>
        <stp>0</stp>
        <stp>IR</stp>
        <stp>BONDKIS6013131</stp>
        <stp>2년이하(당일)</stp>
        <stp>45523</stp>
        <stp/>
        <tr r="AX46" s="2"/>
        <tr r="AX46" s="2"/>
      </tp>
      <tp>
        <v>3.8130000000000002</v>
        <stp/>
        <stp>P</stp>
        <stp>0</stp>
        <stp>IR</stp>
        <stp>BONDKIS7010131</stp>
        <stp>3년이하(당일)</stp>
        <stp>45523</stp>
        <stp/>
        <tr r="AZ67" s="2"/>
        <tr r="AZ67" s="2"/>
      </tp>
      <tp>
        <v>3.9119999999999999</v>
        <stp/>
        <stp>P</stp>
        <stp>0</stp>
        <stp>IR</stp>
        <stp>BONDKSD5050131</stp>
        <stp>1년이하(당일)</stp>
        <stp>45523</stp>
        <stp/>
        <tr r="CR31" s="2"/>
        <tr r="CR31" s="2"/>
      </tp>
      <tp>
        <v>4.4340000000000002</v>
        <stp/>
        <stp>P</stp>
        <stp>0</stp>
        <stp>IR</stp>
        <stp>BONDKSD6010131</stp>
        <stp>2년이하(당일)</stp>
        <stp>45523</stp>
        <stp/>
        <tr r="CT37" s="2"/>
        <tr r="CT37" s="2"/>
      </tp>
      <tp>
        <v>3.8210000000000002</v>
        <stp/>
        <stp>P</stp>
        <stp>0</stp>
        <stp>IR</stp>
        <stp>BONDKSD7010131</stp>
        <stp>3년이하(당일)</stp>
        <stp>45523</stp>
        <stp/>
        <tr r="CV67" s="2"/>
        <tr r="CV67" s="2"/>
      </tp>
      <tp>
        <v>5.2569999999999997</v>
        <stp/>
        <stp>P</stp>
        <stp>0</stp>
        <stp>IR</stp>
        <stp>BONDKSD6010132</stp>
        <stp>2년이하(당일)</stp>
        <stp>45523</stp>
        <stp/>
        <tr r="CT38" s="2"/>
        <tr r="CT38" s="2"/>
      </tp>
      <tp>
        <v>4.0830000000000002</v>
        <stp/>
        <stp>P</stp>
        <stp>0</stp>
        <stp>IR</stp>
        <stp>BONDKSD7010132</stp>
        <stp>3년이하(당일)</stp>
        <stp>45523</stp>
        <stp/>
        <tr r="CV68" s="2"/>
        <tr r="CV68" s="2"/>
      </tp>
      <tp>
        <v>5.85</v>
        <stp/>
        <stp>P</stp>
        <stp>0</stp>
        <stp>IR</stp>
        <stp>BONDKSD6010133</stp>
        <stp>2년이하(당일)</stp>
        <stp>45523</stp>
        <stp/>
        <tr r="CT39" s="2"/>
        <tr r="CT39" s="2"/>
      </tp>
      <tp>
        <v>4.5259999999999998</v>
        <stp/>
        <stp>P</stp>
        <stp>0</stp>
        <stp>IR</stp>
        <stp>BONDKSD7010133</stp>
        <stp>3년이하(당일)</stp>
        <stp>45523</stp>
        <stp/>
        <tr r="CV69" s="2"/>
        <tr r="CV69" s="2"/>
      </tp>
      <tp>
        <v>3.59</v>
        <stp/>
        <stp>P</stp>
        <stp>0</stp>
        <stp>IR</stp>
        <stp>BONDKSD7020130</stp>
        <stp>3년이하(당일)</stp>
        <stp>45523</stp>
        <stp/>
        <tr r="CV54" s="2"/>
        <tr r="CV54" s="2"/>
      </tp>
      <tp>
        <v>5.4089999999999998</v>
        <stp/>
        <stp>P</stp>
        <stp>0</stp>
        <stp>IR</stp>
        <stp>BONDFNP7010211</stp>
        <stp>1년이하(당일)</stp>
        <stp>45523</stp>
        <stp/>
        <tr r="CB70" s="2"/>
        <tr r="CB70" s="2"/>
      </tp>
      <tp>
        <v>3.2919999999999998</v>
        <stp/>
        <stp>P</stp>
        <stp>0</stp>
        <stp>IR</stp>
        <stp>BONDFNP7010110</stp>
        <stp>2년이하(당일)</stp>
        <stp>45523</stp>
        <stp/>
        <tr r="CD63" s="2"/>
        <tr r="CD63" s="2"/>
      </tp>
      <tp>
        <v>7.0739999999999998</v>
        <stp/>
        <stp>P</stp>
        <stp>0</stp>
        <stp>IR</stp>
        <stp>BONDFNP7010213</stp>
        <stp>1년이하(당일)</stp>
        <stp>45523</stp>
        <stp/>
        <tr r="CB72" s="2"/>
        <tr r="CB72" s="2"/>
      </tp>
      <tp>
        <v>3.1840000000000002</v>
        <stp/>
        <stp>P</stp>
        <stp>0</stp>
        <stp>IR</stp>
        <stp>BONDFNP7020110</stp>
        <stp>2년이하(당일)</stp>
        <stp>45523</stp>
        <stp/>
        <tr r="CD52" s="2"/>
        <tr r="CD52" s="2"/>
      </tp>
      <tp>
        <v>3.3050000000000002</v>
        <stp/>
        <stp>P</stp>
        <stp>0</stp>
        <stp>IR</stp>
        <stp>BONDFNP7020210</stp>
        <stp>1년이하(당일)</stp>
        <stp>45523</stp>
        <stp/>
        <tr r="CB55" s="2"/>
        <tr r="CB55" s="2"/>
      </tp>
      <tp>
        <v>6.0860000000000003</v>
        <stp/>
        <stp>P</stp>
        <stp>0</stp>
        <stp>IR</stp>
        <stp>BONDFNP7010212</stp>
        <stp>1년이하(당일)</stp>
        <stp>45523</stp>
        <stp/>
        <tr r="CB71" s="2"/>
        <tr r="CB71" s="2"/>
      </tp>
      <tp>
        <v>2.93</v>
        <stp/>
        <stp>P</stp>
        <stp>0</stp>
        <stp>IR</stp>
        <stp>BONDFNP1010000</stp>
        <stp>5년이하(당일)</stp>
        <stp>45523</stp>
        <stp/>
        <tr r="CH9" s="2"/>
        <tr r="CH9" s="2"/>
      </tp>
      <tp>
        <v>2.83</v>
        <stp/>
        <stp>P</stp>
        <stp>0</stp>
        <stp>IR</stp>
        <stp>BONDFNP1020000</stp>
        <stp>5년이하(당일)</stp>
        <stp>45523</stp>
        <stp/>
        <tr r="CH11" s="2"/>
        <tr r="CH11" s="2"/>
      </tp>
      <tp>
        <v>3.05</v>
        <stp/>
        <stp>P</stp>
        <stp>0</stp>
        <stp>IR</stp>
        <stp>BONDFNP1030000</stp>
        <stp>5년이하(당일)</stp>
        <stp>45523</stp>
        <stp/>
        <tr r="CH10" s="2"/>
        <tr r="CH10" s="2"/>
      </tp>
      <tp>
        <v>3.09</v>
        <stp/>
        <stp>P</stp>
        <stp>0</stp>
        <stp>IR</stp>
        <stp>BONDFNP3050000</stp>
        <stp>7년이하(당일)</stp>
        <stp>45523</stp>
        <stp/>
        <tr r="CI15" s="2"/>
        <tr r="CI15" s="2"/>
      </tp>
      <tp>
        <v>3.1419999999999999</v>
        <stp/>
        <stp>P</stp>
        <stp>0</stp>
        <stp>IR</stp>
        <stp>BONDFNP3060000</stp>
        <stp>7년이하(당일)</stp>
        <stp>45523</stp>
        <stp/>
        <tr r="CI83" s="2"/>
        <tr r="CI83" s="2"/>
      </tp>
      <tp>
        <v>4.5449999999999999</v>
        <stp/>
        <stp>P</stp>
        <stp>0</stp>
        <stp>IR</stp>
        <stp>BONDFNP6010131</stp>
        <stp>3년이하(당일)</stp>
        <stp>45523</stp>
        <stp/>
        <tr r="CF37" s="2"/>
        <tr r="CF37" s="2"/>
      </tp>
      <tp>
        <v>3.702</v>
        <stp/>
        <stp>P</stp>
        <stp>0</stp>
        <stp>IR</stp>
        <stp>BONDFNP7010131</stp>
        <stp>2년이하(당일)</stp>
        <stp>45523</stp>
        <stp/>
        <tr r="CD67" s="2"/>
        <tr r="CD67" s="2"/>
      </tp>
      <tp>
        <v>6.0149999999999997</v>
        <stp/>
        <stp>P</stp>
        <stp>0</stp>
        <stp>IR</stp>
        <stp>BONDFNP6010133</stp>
        <stp>3년이하(당일)</stp>
        <stp>45523</stp>
        <stp/>
        <tr r="CF39" s="2"/>
        <tr r="CF39" s="2"/>
      </tp>
      <tp>
        <v>4.1950000000000003</v>
        <stp/>
        <stp>P</stp>
        <stp>0</stp>
        <stp>IR</stp>
        <stp>BONDFNP7010133</stp>
        <stp>2년이하(당일)</stp>
        <stp>45523</stp>
        <stp/>
        <tr r="CD69" s="2"/>
        <tr r="CD69" s="2"/>
      </tp>
      <tp>
        <v>3.4289999999999998</v>
        <stp/>
        <stp>P</stp>
        <stp>0</stp>
        <stp>IR</stp>
        <stp>BONDFNP7020130</stp>
        <stp>2년이하(당일)</stp>
        <stp>45523</stp>
        <stp/>
        <tr r="CD54" s="2"/>
        <tr r="CD54" s="2"/>
      </tp>
      <tp>
        <v>5.3330000000000002</v>
        <stp/>
        <stp>P</stp>
        <stp>0</stp>
        <stp>IR</stp>
        <stp>BONDFNP6010132</stp>
        <stp>3년이하(당일)</stp>
        <stp>45523</stp>
        <stp/>
        <tr r="CF38" s="2"/>
        <tr r="CF38" s="2"/>
      </tp>
      <tp>
        <v>3.8769999999999998</v>
        <stp/>
        <stp>P</stp>
        <stp>0</stp>
        <stp>IR</stp>
        <stp>BONDFNP7010132</stp>
        <stp>2년이하(당일)</stp>
        <stp>45523</stp>
        <stp/>
        <tr r="CD68" s="2"/>
        <tr r="CD68" s="2"/>
      </tp>
      <tp>
        <v>3.3490000000000002</v>
        <stp/>
        <stp>P</stp>
        <stp>0</stp>
        <stp>IR</stp>
        <stp>BONDFNP6010121</stp>
        <stp>3년이하(당일)</stp>
        <stp>45523</stp>
        <stp/>
        <tr r="CF34" s="2"/>
        <tr r="CF34" s="2"/>
      </tp>
      <tp>
        <v>3.3149999999999999</v>
        <stp/>
        <stp>P</stp>
        <stp>0</stp>
        <stp>IR</stp>
        <stp>BONDFNP7010121</stp>
        <stp>2년이하(당일)</stp>
        <stp>45523</stp>
        <stp/>
        <tr r="CD64" s="2"/>
        <tr r="CD64" s="2"/>
      </tp>
      <tp>
        <v>3.5379999999999998</v>
        <stp/>
        <stp>P</stp>
        <stp>0</stp>
        <stp>IR</stp>
        <stp>BONDFNP6010123</stp>
        <stp>3년이하(당일)</stp>
        <stp>45523</stp>
        <stp/>
        <tr r="CF36" s="2"/>
        <tr r="CF36" s="2"/>
      </tp>
      <tp>
        <v>3.3820000000000001</v>
        <stp/>
        <stp>P</stp>
        <stp>0</stp>
        <stp>IR</stp>
        <stp>BONDFNP7010123</stp>
        <stp>2년이하(당일)</stp>
        <stp>45523</stp>
        <stp/>
        <tr r="CD66" s="2"/>
        <tr r="CD66" s="2"/>
      </tp>
      <tp>
        <v>3.27</v>
        <stp/>
        <stp>P</stp>
        <stp>0</stp>
        <stp>IR</stp>
        <stp>BONDFNP7020120</stp>
        <stp>2년이하(당일)</stp>
        <stp>45523</stp>
        <stp/>
        <tr r="CD53" s="2"/>
        <tr r="CD53" s="2"/>
      </tp>
      <tp>
        <v>3.4239999999999999</v>
        <stp/>
        <stp>P</stp>
        <stp>0</stp>
        <stp>IR</stp>
        <stp>BONDFNP6010122</stp>
        <stp>3년이하(당일)</stp>
        <stp>45523</stp>
        <stp/>
        <tr r="CF35" s="2"/>
        <tr r="CF35" s="2"/>
      </tp>
      <tp>
        <v>3.3479999999999999</v>
        <stp/>
        <stp>P</stp>
        <stp>0</stp>
        <stp>IR</stp>
        <stp>BONDFNP7010122</stp>
        <stp>2년이하(당일)</stp>
        <stp>45523</stp>
        <stp/>
        <tr r="CD65" s="2"/>
        <tr r="CD65" s="2"/>
      </tp>
      <tp>
        <v>3.55</v>
        <stp/>
        <stp>P</stp>
        <stp>0</stp>
        <stp>IR</stp>
        <stp>BONDNIC6040113</stp>
        <stp>3년이하(당일)</stp>
        <stp>45523</stp>
        <stp/>
        <tr r="BP36" s="2"/>
        <tr r="BP36" s="2"/>
      </tp>
      <tp>
        <v>5.3520000000000003</v>
        <stp/>
        <stp>P</stp>
        <stp>0</stp>
        <stp>IR</stp>
        <stp>BONDNIC6050112</stp>
        <stp>3년이하(당일)</stp>
        <stp>45523</stp>
        <stp/>
        <tr r="BP38" s="2"/>
        <tr r="BP38" s="2"/>
      </tp>
      <tp>
        <v>7.3970000000000002</v>
        <stp/>
        <stp>P</stp>
        <stp>0</stp>
        <stp>IR</stp>
        <stp>BONDNIC6060111</stp>
        <stp>3년이하(당일)</stp>
        <stp>45523</stp>
        <stp/>
        <tr r="BP40" s="2"/>
        <tr r="BP40" s="2"/>
      </tp>
      <tp>
        <v>3.3730000000000002</v>
        <stp/>
        <stp>P</stp>
        <stp>0</stp>
        <stp>IR</stp>
        <stp>BONDNIC7040113</stp>
        <stp>2년이하(당일)</stp>
        <stp>45523</stp>
        <stp/>
        <tr r="BN66" s="2"/>
        <tr r="BN66" s="2"/>
      </tp>
      <tp>
        <v>3.88</v>
        <stp/>
        <stp>P</stp>
        <stp>0</stp>
        <stp>IR</stp>
        <stp>BONDNIC7050112</stp>
        <stp>2년이하(당일)</stp>
        <stp>45523</stp>
        <stp/>
        <tr r="BN68" s="2"/>
        <tr r="BN68" s="2"/>
      </tp>
      <tp>
        <v>6.335</v>
        <stp/>
        <stp>P</stp>
        <stp>0</stp>
        <stp>IR</stp>
        <stp>BONDNIC7060111</stp>
        <stp>2년이하(당일)</stp>
        <stp>45523</stp>
        <stp/>
        <tr r="BN70" s="2"/>
        <tr r="BN70" s="2"/>
      </tp>
      <tp>
        <v>3.4220000000000002</v>
        <stp/>
        <stp>P</stp>
        <stp>0</stp>
        <stp>IR</stp>
        <stp>BONDNIC6040112</stp>
        <stp>3년이하(당일)</stp>
        <stp>45523</stp>
        <stp/>
        <tr r="BP35" s="2"/>
        <tr r="BP35" s="2"/>
      </tp>
      <tp>
        <v>6.0590000000000002</v>
        <stp/>
        <stp>P</stp>
        <stp>0</stp>
        <stp>IR</stp>
        <stp>BONDNIC6050113</stp>
        <stp>3년이하(당일)</stp>
        <stp>45523</stp>
        <stp/>
        <tr r="BP39" s="2"/>
        <tr r="BP39" s="2"/>
      </tp>
      <tp>
        <v>3.3380000000000001</v>
        <stp/>
        <stp>P</stp>
        <stp>0</stp>
        <stp>IR</stp>
        <stp>BONDNIC7040112</stp>
        <stp>2년이하(당일)</stp>
        <stp>45523</stp>
        <stp/>
        <tr r="BN65" s="2"/>
        <tr r="BN65" s="2"/>
      </tp>
      <tp>
        <v>4.2009999999999996</v>
        <stp/>
        <stp>P</stp>
        <stp>0</stp>
        <stp>IR</stp>
        <stp>BONDNIC7050113</stp>
        <stp>2년이하(당일)</stp>
        <stp>45523</stp>
        <stp/>
        <tr r="BN69" s="2"/>
        <tr r="BN69" s="2"/>
      </tp>
      <tp>
        <v>3.3690000000000002</v>
        <stp/>
        <stp>P</stp>
        <stp>0</stp>
        <stp>IR</stp>
        <stp>BONDNIC6040111</stp>
        <stp>3년이하(당일)</stp>
        <stp>45523</stp>
        <stp/>
        <tr r="BP34" s="2"/>
        <tr r="BP34" s="2"/>
      </tp>
      <tp>
        <v>9.6869999999999994</v>
        <stp/>
        <stp>P</stp>
        <stp>0</stp>
        <stp>IR</stp>
        <stp>BONDNIC6060113</stp>
        <stp>3년이하(당일)</stp>
        <stp>45523</stp>
        <stp/>
        <tr r="BP42" s="2"/>
        <tr r="BP42" s="2"/>
      </tp>
      <tp>
        <v>3.3029999999999999</v>
        <stp/>
        <stp>P</stp>
        <stp>0</stp>
        <stp>IR</stp>
        <stp>BONDNIC7040111</stp>
        <stp>2년이하(당일)</stp>
        <stp>45523</stp>
        <stp/>
        <tr r="BN64" s="2"/>
        <tr r="BN64" s="2"/>
      </tp>
      <tp>
        <v>8.4550000000000001</v>
        <stp/>
        <stp>P</stp>
        <stp>0</stp>
        <stp>IR</stp>
        <stp>BONDNIC7060113</stp>
        <stp>2년이하(당일)</stp>
        <stp>45523</stp>
        <stp/>
        <tr r="BN72" s="2"/>
        <tr r="BN72" s="2"/>
      </tp>
      <tp>
        <v>4.5789999999999997</v>
        <stp/>
        <stp>P</stp>
        <stp>0</stp>
        <stp>IR</stp>
        <stp>BONDNIC6050111</stp>
        <stp>3년이하(당일)</stp>
        <stp>45523</stp>
        <stp/>
        <tr r="BP37" s="2"/>
        <tr r="BP37" s="2"/>
      </tp>
      <tp>
        <v>8.282</v>
        <stp/>
        <stp>P</stp>
        <stp>0</stp>
        <stp>IR</stp>
        <stp>BONDNIC6060112</stp>
        <stp>3년이하(당일)</stp>
        <stp>45523</stp>
        <stp/>
        <tr r="BP41" s="2"/>
        <tr r="BP41" s="2"/>
      </tp>
      <tp>
        <v>3.7</v>
        <stp/>
        <stp>P</stp>
        <stp>0</stp>
        <stp>IR</stp>
        <stp>BONDNIC7050111</stp>
        <stp>2년이하(당일)</stp>
        <stp>45523</stp>
        <stp/>
        <tr r="BN67" s="2"/>
        <tr r="BN67" s="2"/>
      </tp>
      <tp>
        <v>7.2850000000000001</v>
        <stp/>
        <stp>P</stp>
        <stp>0</stp>
        <stp>IR</stp>
        <stp>BONDNIC7060112</stp>
        <stp>2년이하(당일)</stp>
        <stp>45523</stp>
        <stp/>
        <tr r="BN71" s="2"/>
        <tr r="BN71" s="2"/>
      </tp>
      <tp>
        <v>3.28</v>
        <stp/>
        <stp>P</stp>
        <stp>0</stp>
        <stp>IR</stp>
        <stp>BONDNIC7030110</stp>
        <stp>2년이하(당일)</stp>
        <stp>45523</stp>
        <stp/>
        <tr r="BN63" s="2"/>
        <tr r="BN63" s="2"/>
      </tp>
      <tp>
        <v>3.3730000000000002</v>
        <stp/>
        <stp>P</stp>
        <stp>0</stp>
        <stp>IR</stp>
        <stp>BONDNIC7140113</stp>
        <stp>2년이하(당일)</stp>
        <stp>45523</stp>
        <stp/>
        <tr r="BN59" s="2"/>
        <tr r="BN59" s="2"/>
      </tp>
      <tp>
        <v>3.88</v>
        <stp/>
        <stp>P</stp>
        <stp>0</stp>
        <stp>IR</stp>
        <stp>BONDNIC7150112</stp>
        <stp>2년이하(당일)</stp>
        <stp>45523</stp>
        <stp/>
        <tr r="BN61" s="2"/>
        <tr r="BN61" s="2"/>
      </tp>
      <tp>
        <v>3.3380000000000001</v>
        <stp/>
        <stp>P</stp>
        <stp>0</stp>
        <stp>IR</stp>
        <stp>BONDNIC7140112</stp>
        <stp>2년이하(당일)</stp>
        <stp>45523</stp>
        <stp/>
        <tr r="BN58" s="2"/>
        <tr r="BN58" s="2"/>
      </tp>
      <tp>
        <v>4.2009999999999996</v>
        <stp/>
        <stp>P</stp>
        <stp>0</stp>
        <stp>IR</stp>
        <stp>BONDNIC7150113</stp>
        <stp>2년이하(당일)</stp>
        <stp>45523</stp>
        <stp/>
        <tr r="BN62" s="2"/>
        <tr r="BN62" s="2"/>
      </tp>
      <tp>
        <v>3.0760000000000001</v>
        <stp/>
        <stp>P</stp>
        <stp>0</stp>
        <stp>IR</stp>
        <stp>BONDNIC3050000</stp>
        <stp>7년이하(당일)</stp>
        <stp>45523</stp>
        <stp/>
        <tr r="BS15" s="2"/>
        <tr r="BS15" s="2"/>
      </tp>
      <tp>
        <v>3.3029999999999999</v>
        <stp/>
        <stp>P</stp>
        <stp>0</stp>
        <stp>IR</stp>
        <stp>BONDNIC7140111</stp>
        <stp>2년이하(당일)</stp>
        <stp>45523</stp>
        <stp/>
        <tr r="BN57" s="2"/>
        <tr r="BN57" s="2"/>
      </tp>
      <tp>
        <v>3.7</v>
        <stp/>
        <stp>P</stp>
        <stp>0</stp>
        <stp>IR</stp>
        <stp>BONDNIC7150111</stp>
        <stp>2년이하(당일)</stp>
        <stp>45523</stp>
        <stp/>
        <tr r="BN60" s="2"/>
        <tr r="BN60" s="2"/>
      </tp>
      <tp>
        <v>3.05</v>
        <stp/>
        <stp>P</stp>
        <stp>0</stp>
        <stp>IR</stp>
        <stp>BONDNIC1030000</stp>
        <stp>5년이하(당일)</stp>
        <stp>45523</stp>
        <stp/>
        <tr r="BR10" s="2"/>
        <tr r="BR10" s="2"/>
      </tp>
      <tp>
        <v>3.28</v>
        <stp/>
        <stp>P</stp>
        <stp>0</stp>
        <stp>IR</stp>
        <stp>BONDNIC7130110</stp>
        <stp>2년이하(당일)</stp>
        <stp>45523</stp>
        <stp/>
        <tr r="BN56" s="2"/>
        <tr r="BN56" s="2"/>
      </tp>
      <tp>
        <v>2.84</v>
        <stp/>
        <stp>P</stp>
        <stp>0</stp>
        <stp>IR</stp>
        <stp>BONDNIC1020000</stp>
        <stp>5년이하(당일)</stp>
        <stp>45523</stp>
        <stp/>
        <tr r="BR11" s="2"/>
        <tr r="BR11" s="2"/>
      </tp>
      <tp>
        <v>2.93</v>
        <stp/>
        <stp>P</stp>
        <stp>0</stp>
        <stp>IR</stp>
        <stp>BONDNIC1010000</stp>
        <stp>5년이하(당일)</stp>
        <stp>45523</stp>
        <stp/>
        <tr r="BR9" s="2"/>
        <tr r="BR9" s="2"/>
      </tp>
      <tp>
        <v>2.5649999999999999</v>
        <stp/>
        <stp>P</stp>
        <stp>0</stp>
        <stp>IR</stp>
        <stp>BONDNIC1015000</stp>
        <stp>5년이하(당일)</stp>
        <stp>45523</stp>
        <stp/>
        <tr r="BR12" s="2"/>
        <tr r="BR12" s="2"/>
      </tp>
      <tp>
        <v>3.8180000000000001</v>
        <stp/>
        <stp>P</stp>
        <stp>0</stp>
        <stp>IR</stp>
        <stp>BONDKBPE144</stp>
        <stp>15년이하(당일)</stp>
        <stp>45523</stp>
        <stp/>
        <tr r="AO28" s="2"/>
        <tr r="AO28" s="2"/>
      </tp>
      <tp>
        <v>0</v>
        <stp/>
        <stp>P</stp>
        <stp>0</stp>
        <stp>IR</stp>
        <stp>BONDKBPF114</stp>
        <stp>30년이하(당일)</stp>
        <stp>45523</stp>
        <stp/>
        <tr r="AQ52" s="2"/>
      </tp>
      <tp>
        <v>3.9980000000000002</v>
        <stp/>
        <stp>P</stp>
        <stp>0</stp>
        <stp>IR</stp>
        <stp>BONDKBPF114</stp>
        <stp>20년이하(당일)</stp>
        <stp>45523</stp>
        <stp/>
        <tr r="AP52" s="2"/>
        <tr r="AP52" s="2"/>
      </tp>
      <tp>
        <v>3.6419999999999999</v>
        <stp/>
        <stp>P</stp>
        <stp>0</stp>
        <stp>IR</stp>
        <stp>BONDKBPF114</stp>
        <stp>10년이하(당일)</stp>
        <stp>45523</stp>
        <stp/>
        <tr r="AN52" s="2"/>
        <tr r="AN52" s="2"/>
      </tp>
      <tp>
        <v>6.8310000000000004</v>
        <stp/>
        <stp>P</stp>
        <stp>0</stp>
        <stp>IR</stp>
        <stp>BONDKBPF144</stp>
        <stp>15년이하(당일)</stp>
        <stp>45523</stp>
        <stp/>
        <tr r="AO55" s="2"/>
        <tr r="AO55" s="2"/>
      </tp>
      <tp>
        <v>0</v>
        <stp/>
        <stp>P</stp>
        <stp>0</stp>
        <stp>IR</stp>
        <stp>BONDKBPF114</stp>
        <stp>50년이하(당일)</stp>
        <stp>45523</stp>
        <stp/>
        <tr r="AR52" s="2"/>
      </tp>
      <tp>
        <v>11.444000000000001</v>
        <stp/>
        <stp>P</stp>
        <stp>0</stp>
        <stp>IR</stp>
        <stp>BONDKBPF343</stp>
        <stp>15년이하(당일)</stp>
        <stp>45523</stp>
        <stp/>
        <tr r="AO82" s="2"/>
        <tr r="AO82" s="2"/>
      </tp>
      <tp>
        <v>10.611000000000001</v>
        <stp/>
        <stp>P</stp>
        <stp>0</stp>
        <stp>IR</stp>
        <stp>BONDKBPF243</stp>
        <stp>15년이하(당일)</stp>
        <stp>45523</stp>
        <stp/>
        <tr r="AO72" s="2"/>
        <tr r="AO72" s="2"/>
      </tp>
      <tp>
        <v>3.26</v>
        <stp/>
        <stp>P</stp>
        <stp>0</stp>
        <stp>IR</stp>
        <stp>BONDKIS3060000</stp>
        <stp>7년이하(당일)</stp>
        <stp>45523</stp>
        <stp/>
        <tr r="BC83" s="2"/>
        <tr r="BC83" s="2"/>
      </tp>
      <tp>
        <v>3.0720000000000001</v>
        <stp/>
        <stp>P</stp>
        <stp>0</stp>
        <stp>IR</stp>
        <stp>BONDKIS3050000</stp>
        <stp>7년이하(당일)</stp>
        <stp>45523</stp>
        <stp/>
        <tr r="BC15" s="2"/>
        <tr r="BC15" s="2"/>
      </tp>
      <tp>
        <v>3.0569999999999999</v>
        <stp/>
        <stp>P</stp>
        <stp>0</stp>
        <stp>IR</stp>
        <stp>BONDKIS1030000</stp>
        <stp>5년이하(당일)</stp>
        <stp>45523</stp>
        <stp/>
        <tr r="BB10" s="2"/>
        <tr r="BB10" s="2"/>
      </tp>
      <tp>
        <v>3.169</v>
        <stp/>
        <stp>P</stp>
        <stp>0</stp>
        <stp>IR</stp>
        <stp>BONDNIC7430110</stp>
        <stp>2년이하(당일)</stp>
        <stp>45523</stp>
        <stp/>
        <tr r="BN83" s="2"/>
        <tr r="BN83" s="2"/>
      </tp>
      <tp>
        <v>2.827</v>
        <stp/>
        <stp>P</stp>
        <stp>0</stp>
        <stp>IR</stp>
        <stp>BONDKIS1020000</stp>
        <stp>5년이하(당일)</stp>
        <stp>45523</stp>
        <stp/>
        <tr r="BB11" s="2"/>
        <tr r="BB11" s="2"/>
      </tp>
      <tp>
        <v>2.93</v>
        <stp/>
        <stp>P</stp>
        <stp>0</stp>
        <stp>IR</stp>
        <stp>BONDKIS1013000</stp>
        <stp>5년이하(당일)</stp>
        <stp>45523</stp>
        <stp/>
        <tr r="BB9" s="2"/>
        <tr r="BB9" s="2"/>
      </tp>
      <tp>
        <v>3.0830000000000002</v>
        <stp/>
        <stp>P</stp>
        <stp>0</stp>
        <stp>IR</stp>
        <stp>BONDKSD3070000</stp>
        <stp>7년이하(당일)</stp>
        <stp>45523</stp>
        <stp/>
        <tr r="CY15" s="2"/>
        <tr r="CY15" s="2"/>
      </tp>
      <tp>
        <v>3.1739999999999999</v>
        <stp/>
        <stp>P</stp>
        <stp>0</stp>
        <stp>IR</stp>
        <stp>BONDKSD3060000</stp>
        <stp>7년이하(당일)</stp>
        <stp>45523</stp>
        <stp/>
        <tr r="CY83" s="2"/>
        <tr r="CY83" s="2"/>
      </tp>
      <tp>
        <v>2.93</v>
        <stp/>
        <stp>P</stp>
        <stp>0</stp>
        <stp>IR</stp>
        <stp>BONDKSD1010000</stp>
        <stp>5년이하(당일)</stp>
        <stp>45523</stp>
        <stp/>
        <tr r="CX9" s="2"/>
        <tr r="CX9" s="2"/>
      </tp>
      <tp>
        <v>3.0510000000000002</v>
        <stp/>
        <stp>P</stp>
        <stp>0</stp>
        <stp>IR</stp>
        <stp>BONDKSD1030000</stp>
        <stp>5년이하(당일)</stp>
        <stp>45523</stp>
        <stp/>
        <tr r="CX10" s="2"/>
        <tr r="CX10" s="2"/>
      </tp>
      <tp>
        <v>2.8279999999999998</v>
        <stp/>
        <stp>P</stp>
        <stp>0</stp>
        <stp>IR</stp>
        <stp>BONDKSD1020000</stp>
        <stp>5년이하(당일)</stp>
        <stp>45523</stp>
        <stp/>
        <tr r="CX11" s="2"/>
        <tr r="CX11" s="2"/>
      </tp>
      <tp>
        <v>8.3800000000000008</v>
        <stp/>
        <stp>P</stp>
        <stp>0</stp>
        <stp>IR</stp>
        <stp>BONDKBPE342</stp>
        <stp>15년이하(당일)</stp>
        <stp>45523</stp>
        <stp/>
        <tr r="AO49" s="2"/>
        <tr r="AO49" s="2"/>
      </tp>
      <tp>
        <v>4.3949999999999996</v>
        <stp/>
        <stp>P</stp>
        <stp>0</stp>
        <stp>IR</stp>
        <stp>BONDKBPE142</stp>
        <stp>15년이하(당일)</stp>
        <stp>45523</stp>
        <stp/>
        <tr r="AO30" s="2"/>
        <tr r="AO30" s="2"/>
      </tp>
      <tp>
        <v>3.7559999999999998</v>
        <stp/>
        <stp>P</stp>
        <stp>0</stp>
        <stp>IR</stp>
        <stp>BONDKBPF312</stp>
        <stp>10년이하(당일)</stp>
        <stp>45523</stp>
        <stp/>
        <tr r="AN73" s="2"/>
        <tr r="AN73" s="2"/>
      </tp>
      <tp>
        <v>9.9169999999999998</v>
        <stp/>
        <stp>P</stp>
        <stp>0</stp>
        <stp>IR</stp>
        <stp>BONDKBPF342</stp>
        <stp>15년이하(당일)</stp>
        <stp>45523</stp>
        <stp/>
        <tr r="AO81" s="2"/>
        <tr r="AO81" s="2"/>
      </tp>
      <tp>
        <v>3.5920000000000001</v>
        <stp/>
        <stp>P</stp>
        <stp>0</stp>
        <stp>IR</stp>
        <stp>BONDKBPF212</stp>
        <stp>10년이하(당일)</stp>
        <stp>45523</stp>
        <stp/>
        <tr r="AN63" s="2"/>
        <tr r="AN63" s="2"/>
      </tp>
      <tp>
        <v>9.0690000000000008</v>
        <stp/>
        <stp>P</stp>
        <stp>0</stp>
        <stp>IR</stp>
        <stp>BONDKBPF242</stp>
        <stp>15년이하(당일)</stp>
        <stp>45523</stp>
        <stp/>
        <tr r="AO71" s="2"/>
        <tr r="AO71" s="2"/>
      </tp>
      <tp>
        <v>3.948</v>
        <stp/>
        <stp>P</stp>
        <stp>0</stp>
        <stp>IR</stp>
        <stp>BONDKBPF212</stp>
        <stp>20년이하(당일)</stp>
        <stp>45523</stp>
        <stp/>
        <tr r="AP63" s="2"/>
        <tr r="AP63" s="2"/>
      </tp>
      <tp>
        <v>0</v>
        <stp/>
        <stp>P</stp>
        <stp>0</stp>
        <stp>IR</stp>
        <stp>BONDKBPF312</stp>
        <stp>30년이하(당일)</stp>
        <stp>45523</stp>
        <stp/>
        <tr r="AQ73" s="2"/>
      </tp>
      <tp>
        <v>0</v>
        <stp/>
        <stp>P</stp>
        <stp>0</stp>
        <stp>IR</stp>
        <stp>BONDKBPF212</stp>
        <stp>30년이하(당일)</stp>
        <stp>45523</stp>
        <stp/>
        <tr r="AQ63" s="2"/>
      </tp>
      <tp>
        <v>4.1660000000000004</v>
        <stp/>
        <stp>P</stp>
        <stp>0</stp>
        <stp>IR</stp>
        <stp>BONDKBPF312</stp>
        <stp>20년이하(당일)</stp>
        <stp>45523</stp>
        <stp/>
        <tr r="AP73" s="2"/>
        <tr r="AP73" s="2"/>
      </tp>
      <tp>
        <v>0</v>
        <stp/>
        <stp>P</stp>
        <stp>0</stp>
        <stp>IR</stp>
        <stp>BONDKBPF312</stp>
        <stp>50년이하(당일)</stp>
        <stp>45523</stp>
        <stp/>
        <tr r="AR73" s="2"/>
      </tp>
      <tp>
        <v>0</v>
        <stp/>
        <stp>P</stp>
        <stp>0</stp>
        <stp>IR</stp>
        <stp>BONDKBPF212</stp>
        <stp>50년이하(당일)</stp>
        <stp>45523</stp>
        <stp/>
        <tr r="AR63" s="2"/>
      </tp>
      <tp>
        <v>6.0629999999999997</v>
        <stp/>
        <stp>P</stp>
        <stp>0</stp>
        <stp>IR</stp>
        <stp>BONDKIS7010212</stp>
        <stp>1년이하(당일)</stp>
        <stp>45523</stp>
        <stp/>
        <tr r="AV71" s="2"/>
        <tr r="AV71" s="2"/>
      </tp>
      <tp>
        <v>7.0629999999999997</v>
        <stp/>
        <stp>P</stp>
        <stp>0</stp>
        <stp>IR</stp>
        <stp>BONDKIS7010213</stp>
        <stp>1년이하(당일)</stp>
        <stp>45523</stp>
        <stp/>
        <tr r="AV72" s="2"/>
        <tr r="AV72" s="2"/>
      </tp>
      <tp>
        <v>3.2050000000000001</v>
        <stp/>
        <stp>P</stp>
        <stp>0</stp>
        <stp>IR</stp>
        <stp>BONDKIS7020110</stp>
        <stp>2년이하(당일)</stp>
        <stp>45523</stp>
        <stp/>
        <tr r="AX52" s="2"/>
        <tr r="AX52" s="2"/>
      </tp>
      <tp>
        <v>3.2959999999999998</v>
        <stp/>
        <stp>P</stp>
        <stp>0</stp>
        <stp>IR</stp>
        <stp>BONDKIS7020210</stp>
        <stp>1년이하(당일)</stp>
        <stp>45523</stp>
        <stp/>
        <tr r="AV55" s="2"/>
        <tr r="AV55" s="2"/>
      </tp>
      <tp>
        <v>3.286</v>
        <stp/>
        <stp>P</stp>
        <stp>0</stp>
        <stp>IR</stp>
        <stp>BONDKIS7010110</stp>
        <stp>2년이하(당일)</stp>
        <stp>45523</stp>
        <stp/>
        <tr r="AX63" s="2"/>
        <tr r="AX63" s="2"/>
      </tp>
      <tp>
        <v>5.3929999999999998</v>
        <stp/>
        <stp>P</stp>
        <stp>0</stp>
        <stp>IR</stp>
        <stp>BONDKIS7010211</stp>
        <stp>1년이하(당일)</stp>
        <stp>45523</stp>
        <stp/>
        <tr r="AV70" s="2"/>
        <tr r="AV70" s="2"/>
      </tp>
      <tp>
        <v>3.286</v>
        <stp/>
        <stp>P</stp>
        <stp>0</stp>
        <stp>IR</stp>
        <stp>BONDKSD7010110</stp>
        <stp>2년이하(당일)</stp>
        <stp>45523</stp>
        <stp/>
        <tr r="CT63" s="2"/>
        <tr r="CT63" s="2"/>
      </tp>
      <tp>
        <v>5.3920000000000003</v>
        <stp/>
        <stp>P</stp>
        <stp>0</stp>
        <stp>IR</stp>
        <stp>BONDKSD7010211</stp>
        <stp>1년이하(당일)</stp>
        <stp>45523</stp>
        <stp/>
        <tr r="CR70" s="2"/>
        <tr r="CR70" s="2"/>
      </tp>
      <tp>
        <v>6.0759999999999996</v>
        <stp/>
        <stp>P</stp>
        <stp>0</stp>
        <stp>IR</stp>
        <stp>BONDKSD7010212</stp>
        <stp>1년이하(당일)</stp>
        <stp>45523</stp>
        <stp/>
        <tr r="CR71" s="2"/>
        <tr r="CR71" s="2"/>
      </tp>
      <tp>
        <v>7.0720000000000001</v>
        <stp/>
        <stp>P</stp>
        <stp>0</stp>
        <stp>IR</stp>
        <stp>BONDKSD7010213</stp>
        <stp>1년이하(당일)</stp>
        <stp>45523</stp>
        <stp/>
        <tr r="CR72" s="2"/>
        <tr r="CR72" s="2"/>
      </tp>
      <tp>
        <v>3.2440000000000002</v>
        <stp/>
        <stp>P</stp>
        <stp>0</stp>
        <stp>IR</stp>
        <stp>BONDKSD7020110</stp>
        <stp>2년이하(당일)</stp>
        <stp>45523</stp>
        <stp/>
        <tr r="CT52" s="2"/>
        <tr r="CT52" s="2"/>
      </tp>
      <tp>
        <v>3.8180000000000001</v>
        <stp/>
        <stp>P</stp>
        <stp>0</stp>
        <stp>IR</stp>
        <stp>BONDKSD7020210</stp>
        <stp>1년이하(당일)</stp>
        <stp>45523</stp>
        <stp/>
        <tr r="CR55" s="2"/>
        <tr r="CR55" s="2"/>
      </tp>
      <tp>
        <v>0</v>
        <stp/>
        <stp>P</stp>
        <stp>0</stp>
        <stp>IR</stp>
        <stp>BONDKBPE111</stp>
        <stp>30년이하(당일)</stp>
        <stp>45523</stp>
        <stp/>
        <tr r="AQ24" s="2"/>
      </tp>
      <tp>
        <v>3.6760000000000002</v>
        <stp/>
        <stp>P</stp>
        <stp>0</stp>
        <stp>IR</stp>
        <stp>BONDKBPE111</stp>
        <stp>20년이하(당일)</stp>
        <stp>45523</stp>
        <stp/>
        <tr r="AP24" s="2"/>
        <tr r="AP24" s="2"/>
      </tp>
      <tp>
        <v>3.5059999999999998</v>
        <stp/>
        <stp>P</stp>
        <stp>0</stp>
        <stp>IR</stp>
        <stp>BONDKBPE111</stp>
        <stp>10년이하(당일)</stp>
        <stp>45523</stp>
        <stp/>
        <tr r="AN24" s="2"/>
        <tr r="AN24" s="2"/>
      </tp>
      <tp>
        <v>0</v>
        <stp/>
        <stp>P</stp>
        <stp>0</stp>
        <stp>IR</stp>
        <stp>BONDKBPE111</stp>
        <stp>50년이하(당일)</stp>
        <stp>45523</stp>
        <stp/>
        <tr r="AR24" s="2"/>
      </tp>
      <tp>
        <v>8.6630000000000003</v>
        <stp/>
        <stp>P</stp>
        <stp>0</stp>
        <stp>IR</stp>
        <stp>BONDKBPF341</stp>
        <stp>15년이하(당일)</stp>
        <stp>45523</stp>
        <stp/>
        <tr r="AO80" s="2"/>
        <tr r="AO80" s="2"/>
      </tp>
      <tp>
        <v>7.9809999999999999</v>
        <stp/>
        <stp>P</stp>
        <stp>0</stp>
        <stp>IR</stp>
        <stp>BONDKBPF241</stp>
        <stp>15년이하(당일)</stp>
        <stp>45523</stp>
        <stp/>
        <tr r="AO70" s="2"/>
        <tr r="AO70" s="2"/>
      </tp>
      <tp>
        <v>3.4369999999999998</v>
        <stp/>
        <stp>P</stp>
        <stp>0</stp>
        <stp>IR</stp>
        <stp>BONDKIS6013122</stp>
        <stp>3년이하(당일)</stp>
        <stp>45523</stp>
        <stp/>
        <tr r="AZ44" s="2"/>
        <tr r="AZ44" s="2"/>
      </tp>
      <tp>
        <v>3.35</v>
        <stp/>
        <stp>P</stp>
        <stp>0</stp>
        <stp>IR</stp>
        <stp>BONDKIS7010122</stp>
        <stp>2년이하(당일)</stp>
        <stp>45523</stp>
        <stp/>
        <tr r="AX65" s="2"/>
        <tr r="AX65" s="2"/>
      </tp>
      <tp>
        <v>3.5489999999999999</v>
        <stp/>
        <stp>P</stp>
        <stp>0</stp>
        <stp>IR</stp>
        <stp>BONDKIS6013123</stp>
        <stp>3년이하(당일)</stp>
        <stp>45523</stp>
        <stp/>
        <tr r="AZ45" s="2"/>
        <tr r="AZ45" s="2"/>
      </tp>
      <tp>
        <v>3.3860000000000001</v>
        <stp/>
        <stp>P</stp>
        <stp>0</stp>
        <stp>IR</stp>
        <stp>BONDKIS7010123</stp>
        <stp>2년이하(당일)</stp>
        <stp>45523</stp>
        <stp/>
        <tr r="AX66" s="2"/>
        <tr r="AX66" s="2"/>
      </tp>
      <tp>
        <v>3.2810000000000001</v>
        <stp/>
        <stp>P</stp>
        <stp>0</stp>
        <stp>IR</stp>
        <stp>BONDKIS7020120</stp>
        <stp>2년이하(당일)</stp>
        <stp>45523</stp>
        <stp/>
        <tr r="AX53" s="2"/>
        <tr r="AX53" s="2"/>
      </tp>
      <tp>
        <v>3.3580000000000001</v>
        <stp/>
        <stp>P</stp>
        <stp>0</stp>
        <stp>IR</stp>
        <stp>BONDKIS6013121</stp>
        <stp>3년이하(당일)</stp>
        <stp>45523</stp>
        <stp/>
        <tr r="AZ43" s="2"/>
        <tr r="AZ43" s="2"/>
      </tp>
      <tp>
        <v>3.3380000000000001</v>
        <stp/>
        <stp>P</stp>
        <stp>0</stp>
        <stp>IR</stp>
        <stp>BONDKIS7010121</stp>
        <stp>2년이하(당일)</stp>
        <stp>45523</stp>
        <stp/>
        <tr r="AX64" s="2"/>
        <tr r="AX64" s="2"/>
      </tp>
      <tp>
        <v>3.3580000000000001</v>
        <stp/>
        <stp>P</stp>
        <stp>0</stp>
        <stp>IR</stp>
        <stp>BONDKSD6010121</stp>
        <stp>3년이하(당일)</stp>
        <stp>45523</stp>
        <stp/>
        <tr r="CV34" s="2"/>
        <tr r="CV34" s="2"/>
      </tp>
      <tp>
        <v>3.32</v>
        <stp/>
        <stp>P</stp>
        <stp>0</stp>
        <stp>IR</stp>
        <stp>BONDKSD7010121</stp>
        <stp>2년이하(당일)</stp>
        <stp>45523</stp>
        <stp/>
        <tr r="CT64" s="2"/>
        <tr r="CT64" s="2"/>
      </tp>
      <tp>
        <v>3.4249999999999998</v>
        <stp/>
        <stp>P</stp>
        <stp>0</stp>
        <stp>IR</stp>
        <stp>BONDKSD6010122</stp>
        <stp>3년이하(당일)</stp>
        <stp>45523</stp>
        <stp/>
        <tr r="CV35" s="2"/>
        <tr r="CV35" s="2"/>
      </tp>
      <tp>
        <v>3.3490000000000002</v>
        <stp/>
        <stp>P</stp>
        <stp>0</stp>
        <stp>IR</stp>
        <stp>BONDKSD7010122</stp>
        <stp>2년이하(당일)</stp>
        <stp>45523</stp>
        <stp/>
        <tr r="CT65" s="2"/>
        <tr r="CT65" s="2"/>
      </tp>
      <tp>
        <v>3.5419999999999998</v>
        <stp/>
        <stp>P</stp>
        <stp>0</stp>
        <stp>IR</stp>
        <stp>BONDKSD6010123</stp>
        <stp>3년이하(당일)</stp>
        <stp>45523</stp>
        <stp/>
        <tr r="CV36" s="2"/>
        <tr r="CV36" s="2"/>
      </tp>
      <tp>
        <v>3.3820000000000001</v>
        <stp/>
        <stp>P</stp>
        <stp>0</stp>
        <stp>IR</stp>
        <stp>BONDKSD7010123</stp>
        <stp>2년이하(당일)</stp>
        <stp>45523</stp>
        <stp/>
        <tr r="CT66" s="2"/>
        <tr r="CT66" s="2"/>
      </tp>
      <tp>
        <v>3.3410000000000002</v>
        <stp/>
        <stp>P</stp>
        <stp>0</stp>
        <stp>IR</stp>
        <stp>BONDKSD7020120</stp>
        <stp>2년이하(당일)</stp>
        <stp>45523</stp>
        <stp/>
        <tr r="CT53" s="2"/>
        <tr r="CT53" s="2"/>
      </tp>
      <tp>
        <v>0</v>
        <stp/>
        <stp>P</stp>
        <stp>0</stp>
        <stp>IR</stp>
        <stp>BONDKBPE110</stp>
        <stp>30년이하(당일)</stp>
        <stp>45523</stp>
        <stp/>
        <tr r="AQ23" s="2"/>
      </tp>
      <tp>
        <v>5.45</v>
        <stp/>
        <stp>P</stp>
        <stp>0</stp>
        <stp>IR</stp>
        <stp>BONDKBPE310</stp>
        <stp>10년이하(당일)</stp>
        <stp>45523</stp>
        <stp/>
        <tr r="AN46" s="2"/>
        <tr r="AN46" s="2"/>
      </tp>
      <tp>
        <v>9.81</v>
        <stp/>
        <stp>P</stp>
        <stp>0</stp>
        <stp>IR</stp>
        <stp>BONDKBPE340</stp>
        <stp>15년이하(당일)</stp>
        <stp>45523</stp>
        <stp/>
        <tr r="AO50" s="2"/>
        <tr r="AO50" s="2"/>
      </tp>
      <tp>
        <v>3.5859999999999999</v>
        <stp/>
        <stp>P</stp>
        <stp>0</stp>
        <stp>IR</stp>
        <stp>BONDKBPE110</stp>
        <stp>20년이하(당일)</stp>
        <stp>45523</stp>
        <stp/>
        <tr r="AP23" s="2"/>
        <tr r="AP23" s="2"/>
      </tp>
      <tp>
        <v>5.45</v>
        <stp/>
        <stp>P</stp>
        <stp>0</stp>
        <stp>IR</stp>
        <stp>BONDKBPE210</stp>
        <stp>10년이하(당일)</stp>
        <stp>45523</stp>
        <stp/>
        <tr r="AN37" s="2"/>
        <tr r="AN37" s="2"/>
      </tp>
      <tp>
        <v>3.4460000000000002</v>
        <stp/>
        <stp>P</stp>
        <stp>0</stp>
        <stp>IR</stp>
        <stp>BONDKBPE110</stp>
        <stp>10년이하(당일)</stp>
        <stp>45523</stp>
        <stp/>
        <tr r="AN23" s="2"/>
        <tr r="AN23" s="2"/>
      </tp>
      <tp>
        <v>4.1879999999999997</v>
        <stp/>
        <stp>P</stp>
        <stp>0</stp>
        <stp>IR</stp>
        <stp>BONDKBPE140</stp>
        <stp>15년이하(당일)</stp>
        <stp>45523</stp>
        <stp/>
        <tr r="AO29" s="2"/>
        <tr r="AO29" s="2"/>
      </tp>
      <tp>
        <v>5.87</v>
        <stp/>
        <stp>P</stp>
        <stp>0</stp>
        <stp>IR</stp>
        <stp>BONDKBPE210</stp>
        <stp>20년이하(당일)</stp>
        <stp>45523</stp>
        <stp/>
        <tr r="AP37" s="2"/>
        <tr r="AP37" s="2"/>
      </tp>
      <tp>
        <v>0</v>
        <stp/>
        <stp>P</stp>
        <stp>0</stp>
        <stp>IR</stp>
        <stp>BONDKBPE310</stp>
        <stp>30년이하(당일)</stp>
        <stp>45523</stp>
        <stp/>
        <tr r="AQ46" s="2"/>
      </tp>
      <tp>
        <v>0</v>
        <stp/>
        <stp>P</stp>
        <stp>0</stp>
        <stp>IR</stp>
        <stp>BONDKBPE210</stp>
        <stp>30년이하(당일)</stp>
        <stp>45523</stp>
        <stp/>
        <tr r="AQ37" s="2"/>
      </tp>
      <tp>
        <v>5.87</v>
        <stp/>
        <stp>P</stp>
        <stp>0</stp>
        <stp>IR</stp>
        <stp>BONDKBPE310</stp>
        <stp>20년이하(당일)</stp>
        <stp>45523</stp>
        <stp/>
        <tr r="AP46" s="2"/>
        <tr r="AP46" s="2"/>
      </tp>
      <tp>
        <v>0</v>
        <stp/>
        <stp>P</stp>
        <stp>0</stp>
        <stp>IR</stp>
        <stp>BONDKBPE310</stp>
        <stp>50년이하(당일)</stp>
        <stp>45523</stp>
        <stp/>
        <tr r="AR46" s="2"/>
      </tp>
      <tp>
        <v>0</v>
        <stp/>
        <stp>P</stp>
        <stp>0</stp>
        <stp>IR</stp>
        <stp>BONDKBPE210</stp>
        <stp>50년이하(당일)</stp>
        <stp>45523</stp>
        <stp/>
        <tr r="AR37" s="2"/>
      </tp>
      <tp>
        <v>0</v>
        <stp/>
        <stp>P</stp>
        <stp>0</stp>
        <stp>IR</stp>
        <stp>BONDKBPE110</stp>
        <stp>50년이하(당일)</stp>
        <stp>45523</stp>
        <stp/>
        <tr r="AR23" s="2"/>
      </tp>
      <tp>
        <v>5.3540000000000001</v>
        <stp/>
        <stp>P</stp>
        <stp>0</stp>
        <stp>IR</stp>
        <stp>BONDKIS6013132</stp>
        <stp>3년이하(당일)</stp>
        <stp>45523</stp>
        <stp/>
        <tr r="AZ47" s="2"/>
        <tr r="AZ47" s="2"/>
      </tp>
      <tp>
        <v>3.8730000000000002</v>
        <stp/>
        <stp>P</stp>
        <stp>0</stp>
        <stp>IR</stp>
        <stp>BONDKIS7010132</stp>
        <stp>2년이하(당일)</stp>
        <stp>45523</stp>
        <stp/>
        <tr r="AX68" s="2"/>
        <tr r="AX68" s="2"/>
      </tp>
      <tp>
        <v>6.0469999999999997</v>
        <stp/>
        <stp>P</stp>
        <stp>0</stp>
        <stp>IR</stp>
        <stp>BONDKIS6013133</stp>
        <stp>3년이하(당일)</stp>
        <stp>45523</stp>
        <stp/>
        <tr r="AZ48" s="2"/>
        <tr r="AZ48" s="2"/>
      </tp>
      <tp>
        <v>4.218</v>
        <stp/>
        <stp>P</stp>
        <stp>0</stp>
        <stp>IR</stp>
        <stp>BONDKIS7010133</stp>
        <stp>2년이하(당일)</stp>
        <stp>45523</stp>
        <stp/>
        <tr r="AX69" s="2"/>
        <tr r="AX69" s="2"/>
      </tp>
      <tp>
        <v>3.44</v>
        <stp/>
        <stp>P</stp>
        <stp>0</stp>
        <stp>IR</stp>
        <stp>BONDKIS7020130</stp>
        <stp>2년이하(당일)</stp>
        <stp>45523</stp>
        <stp/>
        <tr r="AX54" s="2"/>
        <tr r="AX54" s="2"/>
      </tp>
      <tp>
        <v>4.577</v>
        <stp/>
        <stp>P</stp>
        <stp>0</stp>
        <stp>IR</stp>
        <stp>BONDKIS6013131</stp>
        <stp>3년이하(당일)</stp>
        <stp>45523</stp>
        <stp/>
        <tr r="AZ46" s="2"/>
        <tr r="AZ46" s="2"/>
      </tp>
      <tp>
        <v>3.7</v>
        <stp/>
        <stp>P</stp>
        <stp>0</stp>
        <stp>IR</stp>
        <stp>BONDKIS7010131</stp>
        <stp>2년이하(당일)</stp>
        <stp>45523</stp>
        <stp/>
        <tr r="AX67" s="2"/>
        <tr r="AX67" s="2"/>
      </tp>
      <tp>
        <v>4.5609999999999999</v>
        <stp/>
        <stp>P</stp>
        <stp>0</stp>
        <stp>IR</stp>
        <stp>BONDKSD6010131</stp>
        <stp>3년이하(당일)</stp>
        <stp>45523</stp>
        <stp/>
        <tr r="CV37" s="2"/>
        <tr r="CV37" s="2"/>
      </tp>
      <tp>
        <v>3.6970000000000001</v>
        <stp/>
        <stp>P</stp>
        <stp>0</stp>
        <stp>IR</stp>
        <stp>BONDKSD7010131</stp>
        <stp>2년이하(당일)</stp>
        <stp>45523</stp>
        <stp/>
        <tr r="CT67" s="2"/>
        <tr r="CT67" s="2"/>
      </tp>
      <tp>
        <v>5.3440000000000003</v>
        <stp/>
        <stp>P</stp>
        <stp>0</stp>
        <stp>IR</stp>
        <stp>BONDKSD6010132</stp>
        <stp>3년이하(당일)</stp>
        <stp>45523</stp>
        <stp/>
        <tr r="CV38" s="2"/>
        <tr r="CV38" s="2"/>
      </tp>
      <tp>
        <v>3.8719999999999999</v>
        <stp/>
        <stp>P</stp>
        <stp>0</stp>
        <stp>IR</stp>
        <stp>BONDKSD7010132</stp>
        <stp>2년이하(당일)</stp>
        <stp>45523</stp>
        <stp/>
        <tr r="CT68" s="2"/>
        <tr r="CT68" s="2"/>
      </tp>
      <tp>
        <v>6.0220000000000002</v>
        <stp/>
        <stp>P</stp>
        <stp>0</stp>
        <stp>IR</stp>
        <stp>BONDKSD6010133</stp>
        <stp>3년이하(당일)</stp>
        <stp>45523</stp>
        <stp/>
        <tr r="CV39" s="2"/>
        <tr r="CV39" s="2"/>
      </tp>
      <tp>
        <v>4.1950000000000003</v>
        <stp/>
        <stp>P</stp>
        <stp>0</stp>
        <stp>IR</stp>
        <stp>BONDKSD7010133</stp>
        <stp>2년이하(당일)</stp>
        <stp>45523</stp>
        <stp/>
        <tr r="CT69" s="2"/>
        <tr r="CT69" s="2"/>
      </tp>
      <tp>
        <v>3.5419999999999998</v>
        <stp/>
        <stp>P</stp>
        <stp>0</stp>
        <stp>IR</stp>
        <stp>BONDKSD7020130</stp>
        <stp>2년이하(당일)</stp>
        <stp>45523</stp>
        <stp/>
        <tr r="CT54" s="2"/>
        <tr r="CT54" s="2"/>
      </tp>
      <tp>
        <v>7.3780000000000001</v>
        <stp/>
        <stp>P</stp>
        <stp>0</stp>
        <stp>IR</stp>
        <stp>BONDFNP6010211</stp>
        <stp>3년이하(당일)</stp>
        <stp>45523</stp>
        <stp/>
        <tr r="CF40" s="2"/>
        <tr r="CF40" s="2"/>
      </tp>
      <tp>
        <v>6.3570000000000002</v>
        <stp/>
        <stp>P</stp>
        <stp>0</stp>
        <stp>IR</stp>
        <stp>BONDFNP7010211</stp>
        <stp>2년이하(당일)</stp>
        <stp>45523</stp>
        <stp/>
        <tr r="CD70" s="2"/>
        <tr r="CD70" s="2"/>
      </tp>
      <tp>
        <v>3.0920000000000001</v>
        <stp/>
        <stp>P</stp>
        <stp>0</stp>
        <stp>IR</stp>
        <stp>BONDFNP5010110</stp>
        <stp>3년이하(당일)</stp>
        <stp>45523</stp>
        <stp/>
        <tr r="CF23" s="2"/>
        <tr r="CF23" s="2"/>
      </tp>
      <tp>
        <v>3.2869999999999999</v>
        <stp/>
        <stp>P</stp>
        <stp>0</stp>
        <stp>IR</stp>
        <stp>BONDFNP7010110</stp>
        <stp>1년이하(당일)</stp>
        <stp>45523</stp>
        <stp/>
        <tr r="CB63" s="2"/>
        <tr r="CB63" s="2"/>
      </tp>
      <tp>
        <v>3.0920000000000001</v>
        <stp/>
        <stp>P</stp>
        <stp>0</stp>
        <stp>IR</stp>
        <stp>BONDFNP5020110</stp>
        <stp>3년이하(당일)</stp>
        <stp>45523</stp>
        <stp/>
        <tr r="CF25" s="2"/>
        <tr r="CF25" s="2"/>
      </tp>
      <tp>
        <v>9.6449999999999996</v>
        <stp/>
        <stp>P</stp>
        <stp>0</stp>
        <stp>IR</stp>
        <stp>BONDFNP6010213</stp>
        <stp>3년이하(당일)</stp>
        <stp>45523</stp>
        <stp/>
        <tr r="CF42" s="2"/>
        <tr r="CF42" s="2"/>
      </tp>
      <tp>
        <v>8.4619999999999997</v>
        <stp/>
        <stp>P</stp>
        <stp>0</stp>
        <stp>IR</stp>
        <stp>BONDFNP7010213</stp>
        <stp>2년이하(당일)</stp>
        <stp>45523</stp>
        <stp/>
        <tr r="CD72" s="2"/>
        <tr r="CD72" s="2"/>
      </tp>
      <tp>
        <v>3.28</v>
        <stp/>
        <stp>P</stp>
        <stp>0</stp>
        <stp>IR</stp>
        <stp>BONDFNP7020110</stp>
        <stp>1년이하(당일)</stp>
        <stp>45523</stp>
        <stp/>
        <tr r="CB52" s="2"/>
        <tr r="CB52" s="2"/>
      </tp>
      <tp>
        <v>3.3149999999999999</v>
        <stp/>
        <stp>P</stp>
        <stp>0</stp>
        <stp>IR</stp>
        <stp>BONDFNP7020210</stp>
        <stp>2년이하(당일)</stp>
        <stp>45523</stp>
        <stp/>
        <tr r="CD55" s="2"/>
        <tr r="CD55" s="2"/>
      </tp>
      <tp>
        <v>3.14</v>
        <stp/>
        <stp>P</stp>
        <stp>0</stp>
        <stp>IR</stp>
        <stp>BONDFNP3030110</stp>
        <stp>5년이하(당일)</stp>
        <stp>45523</stp>
        <stp/>
        <tr r="CH16" s="2"/>
        <tr r="CH16" s="2"/>
      </tp>
      <tp>
        <v>3.2120000000000002</v>
        <stp/>
        <stp>P</stp>
        <stp>0</stp>
        <stp>IR</stp>
        <stp>BONDFNP5030110</stp>
        <stp>3년이하(당일)</stp>
        <stp>45523</stp>
        <stp/>
        <tr r="CF27" s="2"/>
        <tr r="CF27" s="2"/>
      </tp>
      <tp>
        <v>8.3079999999999998</v>
        <stp/>
        <stp>P</stp>
        <stp>0</stp>
        <stp>IR</stp>
        <stp>BONDFNP6010212</stp>
        <stp>3년이하(당일)</stp>
        <stp>45523</stp>
        <stp/>
        <tr r="CF41" s="2"/>
        <tr r="CF41" s="2"/>
      </tp>
      <tp>
        <v>7.3010000000000002</v>
        <stp/>
        <stp>P</stp>
        <stp>0</stp>
        <stp>IR</stp>
        <stp>BONDFNP7010212</stp>
        <stp>2년이하(당일)</stp>
        <stp>45523</stp>
        <stp/>
        <tr r="CD71" s="2"/>
        <tr r="CD71" s="2"/>
      </tp>
      <tp>
        <v>2.9950000000000001</v>
        <stp/>
        <stp>P</stp>
        <stp>0</stp>
        <stp>IR</stp>
        <stp>BONDFNP4000000</stp>
        <stp>3년이하(당일)</stp>
        <stp>45523</stp>
        <stp/>
        <tr r="CF20" s="2"/>
        <tr r="CF20" s="2"/>
      </tp>
      <tp>
        <v>3.1070000000000002</v>
        <stp/>
        <stp>P</stp>
        <stp>0</stp>
        <stp>IR</stp>
        <stp>BONDFNP2010000</stp>
        <stp>5년이하(당일)</stp>
        <stp>45523</stp>
        <stp/>
        <tr r="CH13" s="2"/>
        <tr r="CH13" s="2"/>
      </tp>
      <tp>
        <v>3.1070000000000002</v>
        <stp/>
        <stp>P</stp>
        <stp>0</stp>
        <stp>IR</stp>
        <stp>BONDFNP2020000</stp>
        <stp>5년이하(당일)</stp>
        <stp>45523</stp>
        <stp/>
        <tr r="CH14" s="2"/>
        <tr r="CH14" s="2"/>
      </tp>
      <tp>
        <v>3.0779999999999998</v>
        <stp/>
        <stp>P</stp>
        <stp>0</stp>
        <stp>IR</stp>
        <stp>BONDFNP3050000</stp>
        <stp>4년이하(당일)</stp>
        <stp>45523</stp>
        <stp/>
        <tr r="CG15" s="2"/>
        <tr r="CG15" s="2"/>
      </tp>
      <tp>
        <v>3.17</v>
        <stp/>
        <stp>P</stp>
        <stp>0</stp>
        <stp>IR</stp>
        <stp>BONDFNP4050000</stp>
        <stp>3년이하(당일)</stp>
        <stp>45523</stp>
        <stp/>
        <tr r="CF22" s="2"/>
        <tr r="CF22" s="2"/>
      </tp>
      <tp>
        <v>3.1379999999999999</v>
        <stp/>
        <stp>P</stp>
        <stp>0</stp>
        <stp>IR</stp>
        <stp>BONDFNP3060000</stp>
        <stp>4년이하(당일)</stp>
        <stp>45523</stp>
        <stp/>
        <tr r="CG83" s="2"/>
        <tr r="CG83" s="2"/>
      </tp>
      <tp>
        <v>3.585</v>
        <stp/>
        <stp>P</stp>
        <stp>0</stp>
        <stp>IR</stp>
        <stp>BONDFNP7010131</stp>
        <stp>1년이하(당일)</stp>
        <stp>45523</stp>
        <stp/>
        <tr r="CB67" s="2"/>
        <tr r="CB67" s="2"/>
      </tp>
      <tp>
        <v>4.0279999999999996</v>
        <stp/>
        <stp>P</stp>
        <stp>0</stp>
        <stp>IR</stp>
        <stp>BONDFNP7010133</stp>
        <stp>1년이하(당일)</stp>
        <stp>45523</stp>
        <stp/>
        <tr r="CB69" s="2"/>
        <tr r="CB69" s="2"/>
      </tp>
      <tp>
        <v>3.46</v>
        <stp/>
        <stp>P</stp>
        <stp>0</stp>
        <stp>IR</stp>
        <stp>BONDFNP7020130</stp>
        <stp>1년이하(당일)</stp>
        <stp>45523</stp>
        <stp/>
        <tr r="CB54" s="2"/>
        <tr r="CB54" s="2"/>
      </tp>
      <tp>
        <v>3.758</v>
        <stp/>
        <stp>P</stp>
        <stp>0</stp>
        <stp>IR</stp>
        <stp>BONDFNP7010132</stp>
        <stp>1년이하(당일)</stp>
        <stp>45523</stp>
        <stp/>
        <tr r="CB68" s="2"/>
        <tr r="CB68" s="2"/>
      </tp>
      <tp>
        <v>3.9340000000000002</v>
        <stp/>
        <stp>P</stp>
        <stp>0</stp>
        <stp>IR</stp>
        <stp>BONDFNP5050131</stp>
        <stp>3년이하(당일)</stp>
        <stp>45523</stp>
        <stp/>
        <tr r="CF31" s="2"/>
        <tr r="CF31" s="2"/>
      </tp>
      <tp>
        <v>4.1349999999999998</v>
        <stp/>
        <stp>P</stp>
        <stp>0</stp>
        <stp>IR</stp>
        <stp>BONDFNP5050133</stp>
        <stp>3년이하(당일)</stp>
        <stp>45523</stp>
        <stp/>
        <tr r="CF33" s="2"/>
        <tr r="CF33" s="2"/>
      </tp>
      <tp>
        <v>4.0350000000000001</v>
        <stp/>
        <stp>P</stp>
        <stp>0</stp>
        <stp>IR</stp>
        <stp>BONDFNP5050132</stp>
        <stp>3년이하(당일)</stp>
        <stp>45523</stp>
        <stp/>
        <tr r="CF32" s="2"/>
        <tr r="CF32" s="2"/>
      </tp>
      <tp>
        <v>3.3</v>
        <stp/>
        <stp>P</stp>
        <stp>0</stp>
        <stp>IR</stp>
        <stp>BONDFNP7010121</stp>
        <stp>1년이하(당일)</stp>
        <stp>45523</stp>
        <stp/>
        <tr r="CB64" s="2"/>
        <tr r="CB64" s="2"/>
      </tp>
      <tp>
        <v>3.3570000000000002</v>
        <stp/>
        <stp>P</stp>
        <stp>0</stp>
        <stp>IR</stp>
        <stp>BONDFNP7010123</stp>
        <stp>1년이하(당일)</stp>
        <stp>45523</stp>
        <stp/>
        <tr r="CB66" s="2"/>
        <tr r="CB66" s="2"/>
      </tp>
      <tp>
        <v>3.3340000000000001</v>
        <stp/>
        <stp>P</stp>
        <stp>0</stp>
        <stp>IR</stp>
        <stp>BONDFNP7020120</stp>
        <stp>1년이하(당일)</stp>
        <stp>45523</stp>
        <stp/>
        <tr r="CB53" s="2"/>
        <tr r="CB53" s="2"/>
      </tp>
      <tp>
        <v>3.3290000000000002</v>
        <stp/>
        <stp>P</stp>
        <stp>0</stp>
        <stp>IR</stp>
        <stp>BONDFNP7010122</stp>
        <stp>1년이하(당일)</stp>
        <stp>45523</stp>
        <stp/>
        <tr r="CB65" s="2"/>
        <tr r="CB65" s="2"/>
      </tp>
      <tp>
        <v>3.2639999999999998</v>
        <stp/>
        <stp>P</stp>
        <stp>0</stp>
        <stp>IR</stp>
        <stp>BONDFNP3040121</stp>
        <stp>5년이하(당일)</stp>
        <stp>45523</stp>
        <stp/>
        <tr r="CH17" s="2"/>
        <tr r="CH17" s="2"/>
      </tp>
      <tp>
        <v>3.3079999999999998</v>
        <stp/>
        <stp>P</stp>
        <stp>0</stp>
        <stp>IR</stp>
        <stp>BONDFNP5040121</stp>
        <stp>3년이하(당일)</stp>
        <stp>45523</stp>
        <stp/>
        <tr r="CF28" s="2"/>
        <tr r="CF28" s="2"/>
      </tp>
      <tp>
        <v>3.3980000000000001</v>
        <stp/>
        <stp>P</stp>
        <stp>0</stp>
        <stp>IR</stp>
        <stp>BONDFNP3040122</stp>
        <stp>5년이하(당일)</stp>
        <stp>45523</stp>
        <stp/>
        <tr r="CH18" s="2"/>
        <tr r="CH18" s="2"/>
      </tp>
      <tp>
        <v>3.5539999999999998</v>
        <stp/>
        <stp>P</stp>
        <stp>0</stp>
        <stp>IR</stp>
        <stp>BONDFNP5040122</stp>
        <stp>3년이하(당일)</stp>
        <stp>45523</stp>
        <stp/>
        <tr r="CF29" s="2"/>
        <tr r="CF29" s="2"/>
      </tp>
      <tp>
        <v>3.5409999999999999</v>
        <stp/>
        <stp>P</stp>
        <stp>0</stp>
        <stp>IR</stp>
        <stp>BONDFNP3040123</stp>
        <stp>5년이하(당일)</stp>
        <stp>45523</stp>
        <stp/>
        <tr r="CH19" s="2"/>
        <tr r="CH19" s="2"/>
      </tp>
      <tp>
        <v>3.8090000000000002</v>
        <stp/>
        <stp>P</stp>
        <stp>0</stp>
        <stp>IR</stp>
        <stp>BONDFNP5040123</stp>
        <stp>3년이하(당일)</stp>
        <stp>45523</stp>
        <stp/>
        <tr r="CF30" s="2"/>
        <tr r="CF30" s="2"/>
      </tp>
      <tp>
        <v>3.5329999999999999</v>
        <stp/>
        <stp>P</stp>
        <stp>0</stp>
        <stp>IR</stp>
        <stp>BONDNIC3040113</stp>
        <stp>5년이하(당일)</stp>
        <stp>45523</stp>
        <stp/>
        <tr r="BR19" s="2"/>
        <tr r="BR19" s="2"/>
      </tp>
      <tp>
        <v>3.786</v>
        <stp/>
        <stp>P</stp>
        <stp>0</stp>
        <stp>IR</stp>
        <stp>BONDNIC5040113</stp>
        <stp>3년이하(당일)</stp>
        <stp>45523</stp>
        <stp/>
        <tr r="BP30" s="2"/>
        <tr r="BP30" s="2"/>
      </tp>
      <tp>
        <v>4.0220000000000002</v>
        <stp/>
        <stp>P</stp>
        <stp>0</stp>
        <stp>IR</stp>
        <stp>BONDNIC5050112</stp>
        <stp>3년이하(당일)</stp>
        <stp>45523</stp>
        <stp/>
        <tr r="BP32" s="2"/>
        <tr r="BP32" s="2"/>
      </tp>
      <tp>
        <v>3.391</v>
        <stp/>
        <stp>P</stp>
        <stp>0</stp>
        <stp>IR</stp>
        <stp>BONDNIC7040113</stp>
        <stp>1년이하(당일)</stp>
        <stp>45523</stp>
        <stp/>
        <tr r="BL66" s="2"/>
        <tr r="BL66" s="2"/>
      </tp>
      <tp>
        <v>3.76</v>
        <stp/>
        <stp>P</stp>
        <stp>0</stp>
        <stp>IR</stp>
        <stp>BONDNIC7050112</stp>
        <stp>1년이하(당일)</stp>
        <stp>45523</stp>
        <stp/>
        <tr r="BL68" s="2"/>
        <tr r="BL68" s="2"/>
      </tp>
      <tp>
        <v>5.3840000000000003</v>
        <stp/>
        <stp>P</stp>
        <stp>0</stp>
        <stp>IR</stp>
        <stp>BONDNIC7060111</stp>
        <stp>1년이하(당일)</stp>
        <stp>45523</stp>
        <stp/>
        <tr r="BL70" s="2"/>
        <tr r="BL70" s="2"/>
      </tp>
      <tp>
        <v>3.407</v>
        <stp/>
        <stp>P</stp>
        <stp>0</stp>
        <stp>IR</stp>
        <stp>BONDNIC3040112</stp>
        <stp>5년이하(당일)</stp>
        <stp>45523</stp>
        <stp/>
        <tr r="BR18" s="2"/>
        <tr r="BR18" s="2"/>
      </tp>
      <tp>
        <v>3.5459999999999998</v>
        <stp/>
        <stp>P</stp>
        <stp>0</stp>
        <stp>IR</stp>
        <stp>BONDNIC5040112</stp>
        <stp>3년이하(당일)</stp>
        <stp>45523</stp>
        <stp/>
        <tr r="BP29" s="2"/>
        <tr r="BP29" s="2"/>
      </tp>
      <tp>
        <v>4.1120000000000001</v>
        <stp/>
        <stp>P</stp>
        <stp>0</stp>
        <stp>IR</stp>
        <stp>BONDNIC5050113</stp>
        <stp>3년이하(당일)</stp>
        <stp>45523</stp>
        <stp/>
        <tr r="BP33" s="2"/>
        <tr r="BP33" s="2"/>
      </tp>
      <tp>
        <v>3.3639999999999999</v>
        <stp/>
        <stp>P</stp>
        <stp>0</stp>
        <stp>IR</stp>
        <stp>BONDNIC7040112</stp>
        <stp>1년이하(당일)</stp>
        <stp>45523</stp>
        <stp/>
        <tr r="BL65" s="2"/>
        <tr r="BL65" s="2"/>
      </tp>
      <tp>
        <v>4.0270000000000001</v>
        <stp/>
        <stp>P</stp>
        <stp>0</stp>
        <stp>IR</stp>
        <stp>BONDNIC7050113</stp>
        <stp>1년이하(당일)</stp>
        <stp>45523</stp>
        <stp/>
        <tr r="BL69" s="2"/>
        <tr r="BL69" s="2"/>
      </tp>
      <tp>
        <v>3.2650000000000001</v>
        <stp/>
        <stp>P</stp>
        <stp>0</stp>
        <stp>IR</stp>
        <stp>BONDNIC3040111</stp>
        <stp>5년이하(당일)</stp>
        <stp>45523</stp>
        <stp/>
        <tr r="BR17" s="2"/>
        <tr r="BR17" s="2"/>
      </tp>
      <tp>
        <v>3.294</v>
        <stp/>
        <stp>P</stp>
        <stp>0</stp>
        <stp>IR</stp>
        <stp>BONDNIC5040111</stp>
        <stp>3년이하(당일)</stp>
        <stp>45523</stp>
        <stp/>
        <tr r="BP28" s="2"/>
        <tr r="BP28" s="2"/>
      </tp>
      <tp>
        <v>3.3380000000000001</v>
        <stp/>
        <stp>P</stp>
        <stp>0</stp>
        <stp>IR</stp>
        <stp>BONDNIC7040111</stp>
        <stp>1년이하(당일)</stp>
        <stp>45523</stp>
        <stp/>
        <tr r="BL64" s="2"/>
        <tr r="BL64" s="2"/>
      </tp>
      <tp>
        <v>7.0890000000000004</v>
        <stp/>
        <stp>P</stp>
        <stp>0</stp>
        <stp>IR</stp>
        <stp>BONDNIC7060113</stp>
        <stp>1년이하(당일)</stp>
        <stp>45523</stp>
        <stp/>
        <tr r="BL72" s="2"/>
        <tr r="BL72" s="2"/>
      </tp>
      <tp>
        <v>3.9140000000000001</v>
        <stp/>
        <stp>P</stp>
        <stp>0</stp>
        <stp>IR</stp>
        <stp>BONDNIC5050111</stp>
        <stp>3년이하(당일)</stp>
        <stp>45523</stp>
        <stp/>
        <tr r="BP31" s="2"/>
        <tr r="BP31" s="2"/>
      </tp>
      <tp>
        <v>3.5830000000000002</v>
        <stp/>
        <stp>P</stp>
        <stp>0</stp>
        <stp>IR</stp>
        <stp>BONDNIC7050111</stp>
        <stp>1년이하(당일)</stp>
        <stp>45523</stp>
        <stp/>
        <tr r="BL67" s="2"/>
        <tr r="BL67" s="2"/>
      </tp>
      <tp>
        <v>6.0940000000000003</v>
        <stp/>
        <stp>P</stp>
        <stp>0</stp>
        <stp>IR</stp>
        <stp>BONDNIC7060112</stp>
        <stp>1년이하(당일)</stp>
        <stp>45523</stp>
        <stp/>
        <tr r="BL71" s="2"/>
        <tr r="BL71" s="2"/>
      </tp>
      <tp>
        <v>3.1440000000000001</v>
        <stp/>
        <stp>P</stp>
        <stp>0</stp>
        <stp>IR</stp>
        <stp>BONDNIC3030110</stp>
        <stp>5년이하(당일)</stp>
        <stp>45523</stp>
        <stp/>
        <tr r="BR16" s="2"/>
        <tr r="BR16" s="2"/>
      </tp>
      <tp>
        <v>3.2010000000000001</v>
        <stp/>
        <stp>P</stp>
        <stp>0</stp>
        <stp>IR</stp>
        <stp>BONDNIC5030110</stp>
        <stp>3년이하(당일)</stp>
        <stp>45523</stp>
        <stp/>
        <tr r="BP27" s="2"/>
        <tr r="BP27" s="2"/>
      </tp>
      <tp>
        <v>3.3290000000000002</v>
        <stp/>
        <stp>P</stp>
        <stp>0</stp>
        <stp>IR</stp>
        <stp>BONDNIC7030110</stp>
        <stp>1년이하(당일)</stp>
        <stp>45523</stp>
        <stp/>
        <tr r="BL63" s="2"/>
        <tr r="BL63" s="2"/>
      </tp>
      <tp>
        <v>3.089</v>
        <stp/>
        <stp>P</stp>
        <stp>0</stp>
        <stp>IR</stp>
        <stp>BONDNIC5020110</stp>
        <stp>3년이하(당일)</stp>
        <stp>45523</stp>
        <stp/>
        <tr r="BP25" s="2"/>
        <tr r="BP25" s="2"/>
      </tp>
      <tp>
        <v>3.089</v>
        <stp/>
        <stp>P</stp>
        <stp>0</stp>
        <stp>IR</stp>
        <stp>BONDNIC5010110</stp>
        <stp>3년이하(당일)</stp>
        <stp>45523</stp>
        <stp/>
        <tr r="BP23" s="2"/>
        <tr r="BP23" s="2"/>
      </tp>
      <tp>
        <v>3.391</v>
        <stp/>
        <stp>P</stp>
        <stp>0</stp>
        <stp>IR</stp>
        <stp>BONDNIC7140113</stp>
        <stp>1년이하(당일)</stp>
        <stp>45523</stp>
        <stp/>
        <tr r="BL59" s="2"/>
        <tr r="BL59" s="2"/>
      </tp>
      <tp>
        <v>3.76</v>
        <stp/>
        <stp>P</stp>
        <stp>0</stp>
        <stp>IR</stp>
        <stp>BONDNIC7150112</stp>
        <stp>1년이하(당일)</stp>
        <stp>45523</stp>
        <stp/>
        <tr r="BL61" s="2"/>
        <tr r="BL61" s="2"/>
      </tp>
      <tp>
        <v>3.3639999999999999</v>
        <stp/>
        <stp>P</stp>
        <stp>0</stp>
        <stp>IR</stp>
        <stp>BONDNIC7140112</stp>
        <stp>1년이하(당일)</stp>
        <stp>45523</stp>
        <stp/>
        <tr r="BL58" s="2"/>
        <tr r="BL58" s="2"/>
      </tp>
      <tp>
        <v>4.0270000000000001</v>
        <stp/>
        <stp>P</stp>
        <stp>0</stp>
        <stp>IR</stp>
        <stp>BONDNIC7150113</stp>
        <stp>1년이하(당일)</stp>
        <stp>45523</stp>
        <stp/>
        <tr r="BL62" s="2"/>
        <tr r="BL62" s="2"/>
      </tp>
      <tp>
        <v>3.056</v>
        <stp/>
        <stp>P</stp>
        <stp>0</stp>
        <stp>IR</stp>
        <stp>BONDNIC3050000</stp>
        <stp>4년이하(당일)</stp>
        <stp>45523</stp>
        <stp/>
        <tr r="BQ15" s="2"/>
        <tr r="BQ15" s="2"/>
      </tp>
      <tp>
        <v>3.1509999999999998</v>
        <stp/>
        <stp>P</stp>
        <stp>0</stp>
        <stp>IR</stp>
        <stp>BONDNIC4050000</stp>
        <stp>3년이하(당일)</stp>
        <stp>45523</stp>
        <stp/>
        <tr r="BP22" s="2"/>
        <tr r="BP22" s="2"/>
      </tp>
      <tp>
        <v>3.3380000000000001</v>
        <stp/>
        <stp>P</stp>
        <stp>0</stp>
        <stp>IR</stp>
        <stp>BONDNIC7140111</stp>
        <stp>1년이하(당일)</stp>
        <stp>45523</stp>
        <stp/>
        <tr r="BL57" s="2"/>
        <tr r="BL57" s="2"/>
      </tp>
      <tp>
        <v>3.5830000000000002</v>
        <stp/>
        <stp>P</stp>
        <stp>0</stp>
        <stp>IR</stp>
        <stp>BONDNIC7150111</stp>
        <stp>1년이하(당일)</stp>
        <stp>45523</stp>
        <stp/>
        <tr r="BL60" s="2"/>
        <tr r="BL60" s="2"/>
      </tp>
      <tp>
        <v>3.3290000000000002</v>
        <stp/>
        <stp>P</stp>
        <stp>0</stp>
        <stp>IR</stp>
        <stp>BONDNIC7130110</stp>
        <stp>1년이하(당일)</stp>
        <stp>45523</stp>
        <stp/>
        <tr r="BL56" s="2"/>
        <tr r="BL56" s="2"/>
      </tp>
      <tp>
        <v>3.1219999999999999</v>
        <stp/>
        <stp>P</stp>
        <stp>0</stp>
        <stp>IR</stp>
        <stp>BONDNIC2020000</stp>
        <stp>5년이하(당일)</stp>
        <stp>45523</stp>
        <stp/>
        <tr r="BR14" s="2"/>
        <tr r="BR14" s="2"/>
      </tp>
      <tp>
        <v>3.1219999999999999</v>
        <stp/>
        <stp>P</stp>
        <stp>0</stp>
        <stp>IR</stp>
        <stp>BONDNIC2010000</stp>
        <stp>5년이하(당일)</stp>
        <stp>45523</stp>
        <stp/>
        <tr r="BR13" s="2"/>
        <tr r="BR13" s="2"/>
      </tp>
      <tp>
        <v>2.9950000000000001</v>
        <stp/>
        <stp>P</stp>
        <stp>0</stp>
        <stp>IR</stp>
        <stp>BONDNIC4000000</stp>
        <stp>3년이하(당일)</stp>
        <stp>45523</stp>
        <stp/>
        <tr r="BP20" s="2"/>
        <tr r="BP20" s="2"/>
      </tp>
      <tp>
        <v>0</v>
        <stp/>
        <stp>P</stp>
        <stp>0</stp>
        <stp>IR</stp>
        <stp>BONDKBPF124</stp>
        <stp>30년이하(당일)</stp>
        <stp>45523</stp>
        <stp/>
        <tr r="AQ53" s="2"/>
      </tp>
      <tp>
        <v>5.2679999999999998</v>
        <stp/>
        <stp>P</stp>
        <stp>0</stp>
        <stp>IR</stp>
        <stp>BONDKBPF124</stp>
        <stp>20년이하(당일)</stp>
        <stp>45523</stp>
        <stp/>
        <tr r="AP53" s="2"/>
        <tr r="AP53" s="2"/>
      </tp>
      <tp>
        <v>4.1399999999999997</v>
        <stp/>
        <stp>P</stp>
        <stp>0</stp>
        <stp>IR</stp>
        <stp>BONDKBPF124</stp>
        <stp>10년이하(당일)</stp>
        <stp>45523</stp>
        <stp/>
        <tr r="AN53" s="2"/>
        <tr r="AN53" s="2"/>
      </tp>
      <tp>
        <v>0</v>
        <stp/>
        <stp>P</stp>
        <stp>0</stp>
        <stp>IR</stp>
        <stp>BONDKBPF124</stp>
        <stp>50년이하(당일)</stp>
        <stp>45523</stp>
        <stp/>
        <tr r="AR53" s="2"/>
      </tp>
      <tp>
        <v>4.7889999999999997</v>
        <stp/>
        <stp>P</stp>
        <stp>0</stp>
        <stp>IR</stp>
        <stp>BONDKBPF323</stp>
        <stp>10년이하(당일)</stp>
        <stp>45523</stp>
        <stp/>
        <tr r="AN76" s="2"/>
        <tr r="AN76" s="2"/>
      </tp>
      <tp>
        <v>4.5640000000000001</v>
        <stp/>
        <stp>P</stp>
        <stp>0</stp>
        <stp>IR</stp>
        <stp>BONDKBPF223</stp>
        <stp>10년이하(당일)</stp>
        <stp>45523</stp>
        <stp/>
        <tr r="AN66" s="2"/>
        <tr r="AN66" s="2"/>
      </tp>
      <tp>
        <v>5.4420000000000002</v>
        <stp/>
        <stp>P</stp>
        <stp>0</stp>
        <stp>IR</stp>
        <stp>BONDKBPF223</stp>
        <stp>20년이하(당일)</stp>
        <stp>45523</stp>
        <stp/>
        <tr r="AP66" s="2"/>
        <tr r="AP66" s="2"/>
      </tp>
      <tp>
        <v>0</v>
        <stp/>
        <stp>P</stp>
        <stp>0</stp>
        <stp>IR</stp>
        <stp>BONDKBPF323</stp>
        <stp>30년이하(당일)</stp>
        <stp>45523</stp>
        <stp/>
        <tr r="AQ76" s="2"/>
      </tp>
      <tp>
        <v>0</v>
        <stp/>
        <stp>P</stp>
        <stp>0</stp>
        <stp>IR</stp>
        <stp>BONDKBPF223</stp>
        <stp>30년이하(당일)</stp>
        <stp>45523</stp>
        <stp/>
        <tr r="AQ66" s="2"/>
      </tp>
      <tp>
        <v>5.6639999999999997</v>
        <stp/>
        <stp>P</stp>
        <stp>0</stp>
        <stp>IR</stp>
        <stp>BONDKBPF323</stp>
        <stp>20년이하(당일)</stp>
        <stp>45523</stp>
        <stp/>
        <tr r="AP76" s="2"/>
        <tr r="AP76" s="2"/>
      </tp>
      <tp>
        <v>0</v>
        <stp/>
        <stp>P</stp>
        <stp>0</stp>
        <stp>IR</stp>
        <stp>BONDKBPF323</stp>
        <stp>50년이하(당일)</stp>
        <stp>45523</stp>
        <stp/>
        <tr r="AR76" s="2"/>
      </tp>
      <tp>
        <v>0</v>
        <stp/>
        <stp>P</stp>
        <stp>0</stp>
        <stp>IR</stp>
        <stp>BONDKBPF223</stp>
        <stp>50년이하(당일)</stp>
        <stp>45523</stp>
        <stp/>
        <tr r="AR66" s="2"/>
      </tp>
      <tp>
        <v>3.274</v>
        <stp/>
        <stp>P</stp>
        <stp>0</stp>
        <stp>IR</stp>
        <stp>BONDKIS3060000</stp>
        <stp>4년이하(당일)</stp>
        <stp>45523</stp>
        <stp/>
        <tr r="BA83" s="2"/>
        <tr r="BA83" s="2"/>
      </tp>
      <tp>
        <v>3.0590000000000002</v>
        <stp/>
        <stp>P</stp>
        <stp>0</stp>
        <stp>IR</stp>
        <stp>BONDKIS3050000</stp>
        <stp>4년이하(당일)</stp>
        <stp>45523</stp>
        <stp/>
        <tr r="BA15" s="2"/>
        <tr r="BA15" s="2"/>
      </tp>
      <tp>
        <v>3.18</v>
        <stp/>
        <stp>P</stp>
        <stp>0</stp>
        <stp>IR</stp>
        <stp>BONDKIS4050000</stp>
        <stp>3년이하(당일)</stp>
        <stp>45523</stp>
        <stp/>
        <tr r="AZ22" s="2"/>
        <tr r="AZ22" s="2"/>
      </tp>
      <tp>
        <v>3.26</v>
        <stp/>
        <stp>P</stp>
        <stp>0</stp>
        <stp>IR</stp>
        <stp>BONDNIC7430110</stp>
        <stp>1년이하(당일)</stp>
        <stp>45523</stp>
        <stp/>
        <tr r="BL83" s="2"/>
        <tr r="BL83" s="2"/>
      </tp>
      <tp>
        <v>3.1040000000000001</v>
        <stp/>
        <stp>P</stp>
        <stp>0</stp>
        <stp>IR</stp>
        <stp>BONDKIS2020000</stp>
        <stp>5년이하(당일)</stp>
        <stp>45523</stp>
        <stp/>
        <tr r="BB14" s="2"/>
        <tr r="BB14" s="2"/>
      </tp>
      <tp>
        <v>3.1040000000000001</v>
        <stp/>
        <stp>P</stp>
        <stp>0</stp>
        <stp>IR</stp>
        <stp>BONDKIS2010000</stp>
        <stp>5년이하(당일)</stp>
        <stp>45523</stp>
        <stp/>
        <tr r="BB13" s="2"/>
        <tr r="BB13" s="2"/>
      </tp>
      <tp>
        <v>2.992</v>
        <stp/>
        <stp>P</stp>
        <stp>0</stp>
        <stp>IR</stp>
        <stp>BONDKIS4003000</stp>
        <stp>3년이하(당일)</stp>
        <stp>45523</stp>
        <stp/>
        <tr r="AZ20" s="2"/>
        <tr r="AZ20" s="2"/>
      </tp>
      <tp>
        <v>3.1659999999999999</v>
        <stp/>
        <stp>P</stp>
        <stp>0</stp>
        <stp>IR</stp>
        <stp>BONDKSD4050000</stp>
        <stp>3년이하(당일)</stp>
        <stp>45523</stp>
        <stp/>
        <tr r="CV22" s="2"/>
        <tr r="CV22" s="2"/>
      </tp>
      <tp>
        <v>3.0659999999999998</v>
        <stp/>
        <stp>P</stp>
        <stp>0</stp>
        <stp>IR</stp>
        <stp>BONDKSD3070000</stp>
        <stp>4년이하(당일)</stp>
        <stp>45523</stp>
        <stp/>
        <tr r="CW15" s="2"/>
        <tr r="CW15" s="2"/>
      </tp>
      <tp>
        <v>3.173</v>
        <stp/>
        <stp>P</stp>
        <stp>0</stp>
        <stp>IR</stp>
        <stp>BONDKSD3060000</stp>
        <stp>4년이하(당일)</stp>
        <stp>45523</stp>
        <stp/>
        <tr r="CW83" s="2"/>
        <tr r="CW83" s="2"/>
      </tp>
      <tp>
        <v>3.1080000000000001</v>
        <stp/>
        <stp>P</stp>
        <stp>0</stp>
        <stp>IR</stp>
        <stp>BONDKSD2010000</stp>
        <stp>5년이하(당일)</stp>
        <stp>45523</stp>
        <stp/>
        <tr r="CX13" s="2"/>
        <tr r="CX13" s="2"/>
      </tp>
      <tp>
        <v>2.9940000000000002</v>
        <stp/>
        <stp>P</stp>
        <stp>0</stp>
        <stp>IR</stp>
        <stp>BONDKSD4000000</stp>
        <stp>3년이하(당일)</stp>
        <stp>45523</stp>
        <stp/>
        <tr r="CV20" s="2"/>
        <tr r="CV20" s="2"/>
      </tp>
      <tp>
        <v>3.1080000000000001</v>
        <stp/>
        <stp>P</stp>
        <stp>0</stp>
        <stp>IR</stp>
        <stp>BONDKSD2020000</stp>
        <stp>5년이하(당일)</stp>
        <stp>45523</stp>
        <stp/>
        <tr r="CX14" s="2"/>
        <tr r="CX14" s="2"/>
      </tp>
      <tp>
        <v>4.4109999999999996</v>
        <stp/>
        <stp>P</stp>
        <stp>0</stp>
        <stp>IR</stp>
        <stp>BONDKBPF322</stp>
        <stp>10년이하(당일)</stp>
        <stp>45523</stp>
        <stp/>
        <tr r="AN75" s="2"/>
        <tr r="AN75" s="2"/>
      </tp>
      <tp>
        <v>4.226</v>
        <stp/>
        <stp>P</stp>
        <stp>0</stp>
        <stp>IR</stp>
        <stp>BONDKBPF222</stp>
        <stp>10년이하(당일)</stp>
        <stp>45523</stp>
        <stp/>
        <tr r="AN65" s="2"/>
        <tr r="AN65" s="2"/>
      </tp>
      <tp>
        <v>4.9169999999999998</v>
        <stp/>
        <stp>P</stp>
        <stp>0</stp>
        <stp>IR</stp>
        <stp>BONDKBPF222</stp>
        <stp>20년이하(당일)</stp>
        <stp>45523</stp>
        <stp/>
        <tr r="AP65" s="2"/>
        <tr r="AP65" s="2"/>
      </tp>
      <tp>
        <v>0</v>
        <stp/>
        <stp>P</stp>
        <stp>0</stp>
        <stp>IR</stp>
        <stp>BONDKBPF322</stp>
        <stp>30년이하(당일)</stp>
        <stp>45523</stp>
        <stp/>
        <tr r="AQ75" s="2"/>
      </tp>
      <tp>
        <v>0</v>
        <stp/>
        <stp>P</stp>
        <stp>0</stp>
        <stp>IR</stp>
        <stp>BONDKBPF222</stp>
        <stp>30년이하(당일)</stp>
        <stp>45523</stp>
        <stp/>
        <tr r="AQ65" s="2"/>
      </tp>
      <tp>
        <v>5.1139999999999999</v>
        <stp/>
        <stp>P</stp>
        <stp>0</stp>
        <stp>IR</stp>
        <stp>BONDKBPF322</stp>
        <stp>20년이하(당일)</stp>
        <stp>45523</stp>
        <stp/>
        <tr r="AP75" s="2"/>
        <tr r="AP75" s="2"/>
      </tp>
      <tp>
        <v>0</v>
        <stp/>
        <stp>P</stp>
        <stp>0</stp>
        <stp>IR</stp>
        <stp>BONDKBPF322</stp>
        <stp>50년이하(당일)</stp>
        <stp>45523</stp>
        <stp/>
        <tr r="AR75" s="2"/>
      </tp>
      <tp>
        <v>0</v>
        <stp/>
        <stp>P</stp>
        <stp>0</stp>
        <stp>IR</stp>
        <stp>BONDKBPF222</stp>
        <stp>50년이하(당일)</stp>
        <stp>45523</stp>
        <stp/>
        <tr r="AR65" s="2"/>
      </tp>
      <tp>
        <v>3.15</v>
        <stp/>
        <stp>P</stp>
        <stp>0</stp>
        <stp>IR</stp>
        <stp>BONDKIS3033110</stp>
        <stp>5년이하(당일)</stp>
        <stp>45523</stp>
        <stp/>
        <tr r="BB16" s="2"/>
        <tr r="BB16" s="2"/>
      </tp>
      <tp>
        <v>3.2280000000000002</v>
        <stp/>
        <stp>P</stp>
        <stp>0</stp>
        <stp>IR</stp>
        <stp>BONDKIS5033110</stp>
        <stp>3년이하(당일)</stp>
        <stp>45523</stp>
        <stp/>
        <tr r="AZ27" s="2"/>
        <tr r="AZ27" s="2"/>
      </tp>
      <tp>
        <v>8.3350000000000009</v>
        <stp/>
        <stp>P</stp>
        <stp>0</stp>
        <stp>IR</stp>
        <stp>BONDKIS6013212</stp>
        <stp>3년이하(당일)</stp>
        <stp>45523</stp>
        <stp/>
        <tr r="AZ50" s="2"/>
        <tr r="AZ50" s="2"/>
      </tp>
      <tp>
        <v>7.2850000000000001</v>
        <stp/>
        <stp>P</stp>
        <stp>0</stp>
        <stp>IR</stp>
        <stp>BONDKIS7010212</stp>
        <stp>2년이하(당일)</stp>
        <stp>45523</stp>
        <stp/>
        <tr r="AX71" s="2"/>
        <tr r="AX71" s="2"/>
      </tp>
      <tp>
        <v>3.105</v>
        <stp/>
        <stp>P</stp>
        <stp>0</stp>
        <stp>IR</stp>
        <stp>BONDKIS5023110</stp>
        <stp>3년이하(당일)</stp>
        <stp>45523</stp>
        <stp/>
        <tr r="AZ25" s="2"/>
        <tr r="AZ25" s="2"/>
      </tp>
      <tp>
        <v>9.7430000000000003</v>
        <stp/>
        <stp>P</stp>
        <stp>0</stp>
        <stp>IR</stp>
        <stp>BONDKIS6013213</stp>
        <stp>3년이하(당일)</stp>
        <stp>45523</stp>
        <stp/>
        <tr r="AZ51" s="2"/>
        <tr r="AZ51" s="2"/>
      </tp>
      <tp>
        <v>8.4499999999999993</v>
        <stp/>
        <stp>P</stp>
        <stp>0</stp>
        <stp>IR</stp>
        <stp>BONDKIS7010213</stp>
        <stp>2년이하(당일)</stp>
        <stp>45523</stp>
        <stp/>
        <tr r="AX72" s="2"/>
        <tr r="AX72" s="2"/>
      </tp>
      <tp>
        <v>3.282</v>
        <stp/>
        <stp>P</stp>
        <stp>0</stp>
        <stp>IR</stp>
        <stp>BONDKIS7020110</stp>
        <stp>1년이하(당일)</stp>
        <stp>45523</stp>
        <stp/>
        <tr r="AV52" s="2"/>
        <tr r="AV52" s="2"/>
      </tp>
      <tp>
        <v>3.331</v>
        <stp/>
        <stp>P</stp>
        <stp>0</stp>
        <stp>IR</stp>
        <stp>BONDKIS7020210</stp>
        <stp>2년이하(당일)</stp>
        <stp>45523</stp>
        <stp/>
        <tr r="AX55" s="2"/>
        <tr r="AX55" s="2"/>
      </tp>
      <tp>
        <v>3.105</v>
        <stp/>
        <stp>P</stp>
        <stp>0</stp>
        <stp>IR</stp>
        <stp>BONDKIS5013110</stp>
        <stp>3년이하(당일)</stp>
        <stp>45523</stp>
        <stp/>
        <tr r="AZ23" s="2"/>
        <tr r="AZ23" s="2"/>
      </tp>
      <tp>
        <v>3.2509999999999999</v>
        <stp/>
        <stp>P</stp>
        <stp>0</stp>
        <stp>IR</stp>
        <stp>BONDKIS7010110</stp>
        <stp>1년이하(당일)</stp>
        <stp>45523</stp>
        <stp/>
        <tr r="AV63" s="2"/>
        <tr r="AV63" s="2"/>
      </tp>
      <tp>
        <v>7.4109999999999996</v>
        <stp/>
        <stp>P</stp>
        <stp>0</stp>
        <stp>IR</stp>
        <stp>BONDKIS6013211</stp>
        <stp>3년이하(당일)</stp>
        <stp>45523</stp>
        <stp/>
        <tr r="AZ49" s="2"/>
        <tr r="AZ49" s="2"/>
      </tp>
      <tp>
        <v>6.3449999999999998</v>
        <stp/>
        <stp>P</stp>
        <stp>0</stp>
        <stp>IR</stp>
        <stp>BONDKIS7010211</stp>
        <stp>2년이하(당일)</stp>
        <stp>45523</stp>
        <stp/>
        <tr r="AX70" s="2"/>
        <tr r="AX70" s="2"/>
      </tp>
      <tp>
        <v>3.093</v>
        <stp/>
        <stp>P</stp>
        <stp>0</stp>
        <stp>IR</stp>
        <stp>BONDKSD5010110</stp>
        <stp>3년이하(당일)</stp>
        <stp>45523</stp>
        <stp/>
        <tr r="CV23" s="2"/>
        <tr r="CV23" s="2"/>
      </tp>
      <tp>
        <v>8.2929999999999993</v>
        <stp/>
        <stp>P</stp>
        <stp>0</stp>
        <stp>IR</stp>
        <stp>BONDKSD6010210</stp>
        <stp>3년이하(당일)</stp>
        <stp>45523</stp>
        <stp/>
        <tr r="CV41" s="2"/>
        <tr r="CV41" s="2"/>
      </tp>
      <tp>
        <v>3.2879999999999998</v>
        <stp/>
        <stp>P</stp>
        <stp>0</stp>
        <stp>IR</stp>
        <stp>BONDKSD7010110</stp>
        <stp>1년이하(당일)</stp>
        <stp>45523</stp>
        <stp/>
        <tr r="CR63" s="2"/>
        <tr r="CR63" s="2"/>
      </tp>
      <tp>
        <v>6.3479999999999999</v>
        <stp/>
        <stp>P</stp>
        <stp>0</stp>
        <stp>IR</stp>
        <stp>BONDKSD7010211</stp>
        <stp>2년이하(당일)</stp>
        <stp>45523</stp>
        <stp/>
        <tr r="CT70" s="2"/>
        <tr r="CT70" s="2"/>
      </tp>
      <tp>
        <v>3.145</v>
        <stp/>
        <stp>P</stp>
        <stp>0</stp>
        <stp>IR</stp>
        <stp>BONDKSD3030110</stp>
        <stp>5년이하(당일)</stp>
        <stp>45523</stp>
        <stp/>
        <tr r="CX16" s="2"/>
        <tr r="CX16" s="2"/>
      </tp>
      <tp>
        <v>3.2109999999999999</v>
        <stp/>
        <stp>P</stp>
        <stp>0</stp>
        <stp>IR</stp>
        <stp>BONDKSD5030110</stp>
        <stp>3년이하(당일)</stp>
        <stp>45523</stp>
        <stp/>
        <tr r="CV27" s="2"/>
        <tr r="CV27" s="2"/>
      </tp>
      <tp>
        <v>7.2939999999999996</v>
        <stp/>
        <stp>P</stp>
        <stp>0</stp>
        <stp>IR</stp>
        <stp>BONDKSD7010212</stp>
        <stp>2년이하(당일)</stp>
        <stp>45523</stp>
        <stp/>
        <tr r="CT71" s="2"/>
        <tr r="CT71" s="2"/>
      </tp>
      <tp>
        <v>3.093</v>
        <stp/>
        <stp>P</stp>
        <stp>0</stp>
        <stp>IR</stp>
        <stp>BONDKSD5020110</stp>
        <stp>3년이하(당일)</stp>
        <stp>45523</stp>
        <stp/>
        <tr r="CV25" s="2"/>
        <tr r="CV25" s="2"/>
      </tp>
      <tp>
        <v>8.4589999999999996</v>
        <stp/>
        <stp>P</stp>
        <stp>0</stp>
        <stp>IR</stp>
        <stp>BONDKSD7010213</stp>
        <stp>2년이하(당일)</stp>
        <stp>45523</stp>
        <stp/>
        <tr r="CT72" s="2"/>
        <tr r="CT72" s="2"/>
      </tp>
      <tp>
        <v>3.2970000000000002</v>
        <stp/>
        <stp>P</stp>
        <stp>0</stp>
        <stp>IR</stp>
        <stp>BONDKSD7020110</stp>
        <stp>1년이하(당일)</stp>
        <stp>45523</stp>
        <stp/>
        <tr r="CR52" s="2"/>
        <tr r="CR52" s="2"/>
      </tp>
      <tp>
        <v>4.085</v>
        <stp/>
        <stp>P</stp>
        <stp>0</stp>
        <stp>IR</stp>
        <stp>BONDKSD7020210</stp>
        <stp>2년이하(당일)</stp>
        <stp>45523</stp>
        <stp/>
        <tr r="CT55" s="2"/>
        <tr r="CT55" s="2"/>
      </tp>
      <tp>
        <v>0</v>
        <stp/>
        <stp>P</stp>
        <stp>0</stp>
        <stp>IR</stp>
        <stp>BONDKBPE121</stp>
        <stp>30년이하(당일)</stp>
        <stp>45523</stp>
        <stp/>
        <tr r="AQ26" s="2"/>
      </tp>
      <tp>
        <v>3.7189999999999999</v>
        <stp/>
        <stp>P</stp>
        <stp>0</stp>
        <stp>IR</stp>
        <stp>BONDKBPE121</stp>
        <stp>20년이하(당일)</stp>
        <stp>45523</stp>
        <stp/>
        <tr r="AP26" s="2"/>
        <tr r="AP26" s="2"/>
      </tp>
      <tp>
        <v>3.5339999999999998</v>
        <stp/>
        <stp>P</stp>
        <stp>0</stp>
        <stp>IR</stp>
        <stp>BONDKBPE121</stp>
        <stp>10년이하(당일)</stp>
        <stp>45523</stp>
        <stp/>
        <tr r="AN26" s="2"/>
        <tr r="AN26" s="2"/>
      </tp>
      <tp>
        <v>0</v>
        <stp/>
        <stp>P</stp>
        <stp>0</stp>
        <stp>IR</stp>
        <stp>BONDKBPE121</stp>
        <stp>50년이하(당일)</stp>
        <stp>45523</stp>
        <stp/>
        <tr r="AR26" s="2"/>
      </tp>
      <tp>
        <v>4.0549999999999997</v>
        <stp/>
        <stp>P</stp>
        <stp>0</stp>
        <stp>IR</stp>
        <stp>BONDKBPF321</stp>
        <stp>10년이하(당일)</stp>
        <stp>45523</stp>
        <stp/>
        <tr r="AN74" s="2"/>
        <tr r="AN74" s="2"/>
      </tp>
      <tp>
        <v>3.86</v>
        <stp/>
        <stp>P</stp>
        <stp>0</stp>
        <stp>IR</stp>
        <stp>BONDKBPF221</stp>
        <stp>10년이하(당일)</stp>
        <stp>45523</stp>
        <stp/>
        <tr r="AN64" s="2"/>
        <tr r="AN64" s="2"/>
      </tp>
      <tp>
        <v>4.3280000000000003</v>
        <stp/>
        <stp>P</stp>
        <stp>0</stp>
        <stp>IR</stp>
        <stp>BONDKBPF221</stp>
        <stp>20년이하(당일)</stp>
        <stp>45523</stp>
        <stp/>
        <tr r="AP64" s="2"/>
        <tr r="AP64" s="2"/>
      </tp>
      <tp>
        <v>0</v>
        <stp/>
        <stp>P</stp>
        <stp>0</stp>
        <stp>IR</stp>
        <stp>BONDKBPF321</stp>
        <stp>30년이하(당일)</stp>
        <stp>45523</stp>
        <stp/>
        <tr r="AQ74" s="2"/>
      </tp>
      <tp>
        <v>0</v>
        <stp/>
        <stp>P</stp>
        <stp>0</stp>
        <stp>IR</stp>
        <stp>BONDKBPF221</stp>
        <stp>30년이하(당일)</stp>
        <stp>45523</stp>
        <stp/>
        <tr r="AQ64" s="2"/>
      </tp>
      <tp>
        <v>4.5069999999999997</v>
        <stp/>
        <stp>P</stp>
        <stp>0</stp>
        <stp>IR</stp>
        <stp>BONDKBPF321</stp>
        <stp>20년이하(당일)</stp>
        <stp>45523</stp>
        <stp/>
        <tr r="AP74" s="2"/>
        <tr r="AP74" s="2"/>
      </tp>
      <tp>
        <v>0</v>
        <stp/>
        <stp>P</stp>
        <stp>0</stp>
        <stp>IR</stp>
        <stp>BONDKBPF321</stp>
        <stp>50년이하(당일)</stp>
        <stp>45523</stp>
        <stp/>
        <tr r="AR74" s="2"/>
      </tp>
      <tp>
        <v>0</v>
        <stp/>
        <stp>P</stp>
        <stp>0</stp>
        <stp>IR</stp>
        <stp>BONDKBPF221</stp>
        <stp>50년이하(당일)</stp>
        <stp>45523</stp>
        <stp/>
        <tr r="AR64" s="2"/>
      </tp>
      <tp>
        <v>3.5539999999999998</v>
        <stp/>
        <stp>P</stp>
        <stp>0</stp>
        <stp>IR</stp>
        <stp>BONDKIS3043123</stp>
        <stp>5년이하(당일)</stp>
        <stp>45523</stp>
        <stp/>
        <tr r="BB19" s="2"/>
        <tr r="BB19" s="2"/>
      </tp>
      <tp>
        <v>3.8079999999999998</v>
        <stp/>
        <stp>P</stp>
        <stp>0</stp>
        <stp>IR</stp>
        <stp>BONDKIS5043123</stp>
        <stp>3년이하(당일)</stp>
        <stp>45523</stp>
        <stp/>
        <tr r="AZ30" s="2"/>
        <tr r="AZ30" s="2"/>
      </tp>
      <tp>
        <v>3.419</v>
        <stp/>
        <stp>P</stp>
        <stp>0</stp>
        <stp>IR</stp>
        <stp>BONDKIS3043122</stp>
        <stp>5년이하(당일)</stp>
        <stp>45523</stp>
        <stp/>
        <tr r="BB18" s="2"/>
        <tr r="BB18" s="2"/>
      </tp>
      <tp>
        <v>3.57</v>
        <stp/>
        <stp>P</stp>
        <stp>0</stp>
        <stp>IR</stp>
        <stp>BONDKIS5043122</stp>
        <stp>3년이하(당일)</stp>
        <stp>45523</stp>
        <stp/>
        <tr r="AZ29" s="2"/>
        <tr r="AZ29" s="2"/>
      </tp>
      <tp>
        <v>3.2669999999999999</v>
        <stp/>
        <stp>P</stp>
        <stp>0</stp>
        <stp>IR</stp>
        <stp>BONDKIS3043121</stp>
        <stp>5년이하(당일)</stp>
        <stp>45523</stp>
        <stp/>
        <tr r="BB17" s="2"/>
        <tr r="BB17" s="2"/>
      </tp>
      <tp>
        <v>3.3319999999999999</v>
        <stp/>
        <stp>P</stp>
        <stp>0</stp>
        <stp>IR</stp>
        <stp>BONDKIS5043121</stp>
        <stp>3년이하(당일)</stp>
        <stp>45523</stp>
        <stp/>
        <tr r="AZ28" s="2"/>
        <tr r="AZ28" s="2"/>
      </tp>
      <tp>
        <v>3.2789999999999999</v>
        <stp/>
        <stp>P</stp>
        <stp>0</stp>
        <stp>IR</stp>
        <stp>BONDKIS7010122</stp>
        <stp>1년이하(당일)</stp>
        <stp>45523</stp>
        <stp/>
        <tr r="AV65" s="2"/>
        <tr r="AV65" s="2"/>
      </tp>
      <tp>
        <v>3.3119999999999998</v>
        <stp/>
        <stp>P</stp>
        <stp>0</stp>
        <stp>IR</stp>
        <stp>BONDKIS7010123</stp>
        <stp>1년이하(당일)</stp>
        <stp>45523</stp>
        <stp/>
        <tr r="AV66" s="2"/>
        <tr r="AV66" s="2"/>
      </tp>
      <tp>
        <v>3.3370000000000002</v>
        <stp/>
        <stp>P</stp>
        <stp>0</stp>
        <stp>IR</stp>
        <stp>BONDKIS7020120</stp>
        <stp>1년이하(당일)</stp>
        <stp>45523</stp>
        <stp/>
        <tr r="AV53" s="2"/>
        <tr r="AV53" s="2"/>
      </tp>
      <tp>
        <v>3.27</v>
        <stp/>
        <stp>P</stp>
        <stp>0</stp>
        <stp>IR</stp>
        <stp>BONDKIS7010121</stp>
        <stp>1년이하(당일)</stp>
        <stp>45523</stp>
        <stp/>
        <tr r="AV64" s="2"/>
        <tr r="AV64" s="2"/>
      </tp>
      <tp>
        <v>3.2669999999999999</v>
        <stp/>
        <stp>P</stp>
        <stp>0</stp>
        <stp>IR</stp>
        <stp>BONDKSD3040121</stp>
        <stp>5년이하(당일)</stp>
        <stp>45523</stp>
        <stp/>
        <tr r="CX17" s="2"/>
        <tr r="CX17" s="2"/>
      </tp>
      <tp>
        <v>3.41</v>
        <stp/>
        <stp>P</stp>
        <stp>0</stp>
        <stp>IR</stp>
        <stp>BONDKSD3040120</stp>
        <stp>5년이하(당일)</stp>
        <stp>45523</stp>
        <stp/>
        <tr r="CX18" s="2"/>
        <tr r="CX18" s="2"/>
      </tp>
      <tp>
        <v>3.5529999999999999</v>
        <stp/>
        <stp>P</stp>
        <stp>0</stp>
        <stp>IR</stp>
        <stp>BONDKSD5040120</stp>
        <stp>3년이하(당일)</stp>
        <stp>45523</stp>
        <stp/>
        <tr r="CV29" s="2"/>
        <tr r="CV29" s="2"/>
      </tp>
      <tp>
        <v>3.3050000000000002</v>
        <stp/>
        <stp>P</stp>
        <stp>0</stp>
        <stp>IR</stp>
        <stp>BONDKSD7010121</stp>
        <stp>1년이하(당일)</stp>
        <stp>45523</stp>
        <stp/>
        <tr r="CR64" s="2"/>
        <tr r="CR64" s="2"/>
      </tp>
      <tp>
        <v>3.3279999999999998</v>
        <stp/>
        <stp>P</stp>
        <stp>0</stp>
        <stp>IR</stp>
        <stp>BONDKSD7010122</stp>
        <stp>1년이하(당일)</stp>
        <stp>45523</stp>
        <stp/>
        <tr r="CR65" s="2"/>
        <tr r="CR65" s="2"/>
      </tp>
      <tp>
        <v>3.3570000000000002</v>
        <stp/>
        <stp>P</stp>
        <stp>0</stp>
        <stp>IR</stp>
        <stp>BONDKSD7010123</stp>
        <stp>1년이하(당일)</stp>
        <stp>45523</stp>
        <stp/>
        <tr r="CR66" s="2"/>
        <tr r="CR66" s="2"/>
      </tp>
      <tp>
        <v>3.3420000000000001</v>
        <stp/>
        <stp>P</stp>
        <stp>0</stp>
        <stp>IR</stp>
        <stp>BONDKSD7020120</stp>
        <stp>1년이하(당일)</stp>
        <stp>45523</stp>
        <stp/>
        <tr r="CR53" s="2"/>
        <tr r="CR53" s="2"/>
      </tp>
      <tp>
        <v>0</v>
        <stp/>
        <stp>P</stp>
        <stp>0</stp>
        <stp>IR</stp>
        <stp>BONDKBPE120</stp>
        <stp>30년이하(당일)</stp>
        <stp>45523</stp>
        <stp/>
        <tr r="AQ25" s="2"/>
      </tp>
      <tp>
        <v>5.84</v>
        <stp/>
        <stp>P</stp>
        <stp>0</stp>
        <stp>IR</stp>
        <stp>BONDKBPE320</stp>
        <stp>10년이하(당일)</stp>
        <stp>45523</stp>
        <stp/>
        <tr r="AN47" s="2"/>
        <tr r="AN47" s="2"/>
      </tp>
      <tp>
        <v>3.629</v>
        <stp/>
        <stp>P</stp>
        <stp>0</stp>
        <stp>IR</stp>
        <stp>BONDKBPE120</stp>
        <stp>20년이하(당일)</stp>
        <stp>45523</stp>
        <stp/>
        <tr r="AP25" s="2"/>
        <tr r="AP25" s="2"/>
      </tp>
      <tp>
        <v>5.84</v>
        <stp/>
        <stp>P</stp>
        <stp>0</stp>
        <stp>IR</stp>
        <stp>BONDKBPE220</stp>
        <stp>10년이하(당일)</stp>
        <stp>45523</stp>
        <stp/>
        <tr r="AN38" s="2"/>
        <tr r="AN38" s="2"/>
      </tp>
      <tp>
        <v>3.4740000000000002</v>
        <stp/>
        <stp>P</stp>
        <stp>0</stp>
        <stp>IR</stp>
        <stp>BONDKBPE120</stp>
        <stp>10년이하(당일)</stp>
        <stp>45523</stp>
        <stp/>
        <tr r="AN25" s="2"/>
        <tr r="AN25" s="2"/>
      </tp>
      <tp>
        <v>6.1580000000000004</v>
        <stp/>
        <stp>P</stp>
        <stp>0</stp>
        <stp>IR</stp>
        <stp>BONDKBPE220</stp>
        <stp>20년이하(당일)</stp>
        <stp>45523</stp>
        <stp/>
        <tr r="AP38" s="2"/>
        <tr r="AP38" s="2"/>
      </tp>
      <tp>
        <v>0</v>
        <stp/>
        <stp>P</stp>
        <stp>0</stp>
        <stp>IR</stp>
        <stp>BONDKBPE320</stp>
        <stp>30년이하(당일)</stp>
        <stp>45523</stp>
        <stp/>
        <tr r="AQ47" s="2"/>
      </tp>
      <tp>
        <v>0</v>
        <stp/>
        <stp>P</stp>
        <stp>0</stp>
        <stp>IR</stp>
        <stp>BONDKBPE220</stp>
        <stp>30년이하(당일)</stp>
        <stp>45523</stp>
        <stp/>
        <tr r="AQ38" s="2"/>
      </tp>
      <tp>
        <v>6.1580000000000004</v>
        <stp/>
        <stp>P</stp>
        <stp>0</stp>
        <stp>IR</stp>
        <stp>BONDKBPE320</stp>
        <stp>20년이하(당일)</stp>
        <stp>45523</stp>
        <stp/>
        <tr r="AP47" s="2"/>
        <tr r="AP47" s="2"/>
      </tp>
      <tp>
        <v>0</v>
        <stp/>
        <stp>P</stp>
        <stp>0</stp>
        <stp>IR</stp>
        <stp>BONDKBPE320</stp>
        <stp>50년이하(당일)</stp>
        <stp>45523</stp>
        <stp/>
        <tr r="AR47" s="2"/>
      </tp>
      <tp>
        <v>0</v>
        <stp/>
        <stp>P</stp>
        <stp>0</stp>
        <stp>IR</stp>
        <stp>BONDKBPE220</stp>
        <stp>50년이하(당일)</stp>
        <stp>45523</stp>
        <stp/>
        <tr r="AR38" s="2"/>
      </tp>
      <tp>
        <v>0</v>
        <stp/>
        <stp>P</stp>
        <stp>0</stp>
        <stp>IR</stp>
        <stp>BONDKBPE120</stp>
        <stp>50년이하(당일)</stp>
        <stp>45523</stp>
        <stp/>
        <tr r="AR25" s="2"/>
      </tp>
      <tp>
        <v>4.016</v>
        <stp/>
        <stp>P</stp>
        <stp>0</stp>
        <stp>IR</stp>
        <stp>BONDKIS5053132</stp>
        <stp>3년이하(당일)</stp>
        <stp>45523</stp>
        <stp/>
        <tr r="AZ32" s="2"/>
        <tr r="AZ32" s="2"/>
      </tp>
      <tp>
        <v>4.1100000000000003</v>
        <stp/>
        <stp>P</stp>
        <stp>0</stp>
        <stp>IR</stp>
        <stp>BONDKIS5053133</stp>
        <stp>3년이하(당일)</stp>
        <stp>45523</stp>
        <stp/>
        <tr r="AZ33" s="2"/>
        <tr r="AZ33" s="2"/>
      </tp>
      <tp>
        <v>3.92</v>
        <stp/>
        <stp>P</stp>
        <stp>0</stp>
        <stp>IR</stp>
        <stp>BONDKIS5053131</stp>
        <stp>3년이하(당일)</stp>
        <stp>45523</stp>
        <stp/>
        <tr r="AZ31" s="2"/>
        <tr r="AZ31" s="2"/>
      </tp>
      <tp>
        <v>3.7480000000000002</v>
        <stp/>
        <stp>P</stp>
        <stp>0</stp>
        <stp>IR</stp>
        <stp>BONDKIS7010132</stp>
        <stp>1년이하(당일)</stp>
        <stp>45523</stp>
        <stp/>
        <tr r="AV68" s="2"/>
        <tr r="AV68" s="2"/>
      </tp>
      <tp>
        <v>4.016</v>
        <stp/>
        <stp>P</stp>
        <stp>0</stp>
        <stp>IR</stp>
        <stp>BONDKIS7010133</stp>
        <stp>1년이하(당일)</stp>
        <stp>45523</stp>
        <stp/>
        <tr r="AV69" s="2"/>
        <tr r="AV69" s="2"/>
      </tp>
      <tp>
        <v>3.4670000000000001</v>
        <stp/>
        <stp>P</stp>
        <stp>0</stp>
        <stp>IR</stp>
        <stp>BONDKIS7020130</stp>
        <stp>1년이하(당일)</stp>
        <stp>45523</stp>
        <stp/>
        <tr r="AV54" s="2"/>
        <tr r="AV54" s="2"/>
      </tp>
      <tp>
        <v>3.5790000000000002</v>
        <stp/>
        <stp>P</stp>
        <stp>0</stp>
        <stp>IR</stp>
        <stp>BONDKIS7010131</stp>
        <stp>1년이하(당일)</stp>
        <stp>45523</stp>
        <stp/>
        <tr r="AV67" s="2"/>
        <tr r="AV67" s="2"/>
      </tp>
      <tp>
        <v>3.9209999999999998</v>
        <stp/>
        <stp>P</stp>
        <stp>0</stp>
        <stp>IR</stp>
        <stp>BONDKSD5050131</stp>
        <stp>3년이하(당일)</stp>
        <stp>45523</stp>
        <stp/>
        <tr r="CV31" s="2"/>
        <tr r="CV31" s="2"/>
      </tp>
      <tp>
        <v>3.5840000000000001</v>
        <stp/>
        <stp>P</stp>
        <stp>0</stp>
        <stp>IR</stp>
        <stp>BONDKSD7010131</stp>
        <stp>1년이하(당일)</stp>
        <stp>45523</stp>
        <stp/>
        <tr r="CR67" s="2"/>
        <tr r="CR67" s="2"/>
      </tp>
      <tp>
        <v>3.76</v>
        <stp/>
        <stp>P</stp>
        <stp>0</stp>
        <stp>IR</stp>
        <stp>BONDKSD7010132</stp>
        <stp>1년이하(당일)</stp>
        <stp>45523</stp>
        <stp/>
        <tr r="CR68" s="2"/>
        <tr r="CR68" s="2"/>
      </tp>
      <tp>
        <v>4.0259999999999998</v>
        <stp/>
        <stp>P</stp>
        <stp>0</stp>
        <stp>IR</stp>
        <stp>BONDKSD7010133</stp>
        <stp>1년이하(당일)</stp>
        <stp>45523</stp>
        <stp/>
        <tr r="CR69" s="2"/>
        <tr r="CR69" s="2"/>
      </tp>
      <tp>
        <v>3.5049999999999999</v>
        <stp/>
        <stp>P</stp>
        <stp>0</stp>
        <stp>IR</stp>
        <stp>BONDKSD7020130</stp>
        <stp>1년이하(당일)</stp>
        <stp>45523</stp>
        <stp/>
        <tr r="CR54" s="2"/>
        <tr r="CR54" s="2"/>
      </tp>
      <tp>
        <v>0</v>
        <stp/>
        <stp>P</stp>
        <stp>0</stp>
        <stp>IR</stp>
        <stp>BONDKBPE13C</stp>
        <stp>30년이하(당일)</stp>
        <stp>45523</stp>
        <stp/>
        <tr r="AQ22" s="2"/>
      </tp>
      <tp>
        <v>3.6379999999999999</v>
        <stp/>
        <stp>P</stp>
        <stp>0</stp>
        <stp>IR</stp>
        <stp>BONDKBPE13C</stp>
        <stp>20년이하(당일)</stp>
        <stp>45523</stp>
        <stp/>
        <tr r="AP22" s="2"/>
        <tr r="AP22" s="2"/>
      </tp>
      <tp>
        <v>3.4740000000000002</v>
        <stp/>
        <stp>P</stp>
        <stp>0</stp>
        <stp>IR</stp>
        <stp>BONDKBPE13C</stp>
        <stp>10년이하(당일)</stp>
        <stp>45523</stp>
        <stp/>
        <tr r="AN22" s="2"/>
        <tr r="AN22" s="2"/>
      </tp>
      <tp>
        <v>0</v>
        <stp/>
        <stp>P</stp>
        <stp>0</stp>
        <stp>IR</stp>
        <stp>BONDKBPE13C</stp>
        <stp>50년이하(당일)</stp>
        <stp>45523</stp>
        <stp/>
        <tr r="AR22" s="2"/>
      </tp>
      <tp>
        <v>7.2409999999999997</v>
        <stp/>
        <stp>P</stp>
        <stp>0</stp>
        <stp>IR</stp>
        <stp>BONDFNP6010211</stp>
        <stp>2년이하(당일)</stp>
        <stp>45523</stp>
        <stp/>
        <tr r="CD40" s="2"/>
        <tr r="CD40" s="2"/>
      </tp>
      <tp>
        <v>7.0140000000000002</v>
        <stp/>
        <stp>P</stp>
        <stp>0</stp>
        <stp>IR</stp>
        <stp>BONDFNP7010211</stp>
        <stp>3년이하(당일)</stp>
        <stp>45523</stp>
        <stp/>
        <tr r="CF70" s="2"/>
        <tr r="CF70" s="2"/>
      </tp>
      <tp>
        <v>3.169</v>
        <stp/>
        <stp>P</stp>
        <stp>0</stp>
        <stp>IR</stp>
        <stp>BONDFNP5010110</stp>
        <stp>2년이하(당일)</stp>
        <stp>45523</stp>
        <stp/>
        <tr r="CD23" s="2"/>
        <tr r="CD23" s="2"/>
      </tp>
      <tp>
        <v>3.169</v>
        <stp/>
        <stp>P</stp>
        <stp>0</stp>
        <stp>IR</stp>
        <stp>BONDFNP5020110</stp>
        <stp>2년이하(당일)</stp>
        <stp>45523</stp>
        <stp/>
        <tr r="CD25" s="2"/>
        <tr r="CD25" s="2"/>
      </tp>
      <tp>
        <v>9.4149999999999991</v>
        <stp/>
        <stp>P</stp>
        <stp>0</stp>
        <stp>IR</stp>
        <stp>BONDFNP6010213</stp>
        <stp>2년이하(당일)</stp>
        <stp>45523</stp>
        <stp/>
        <tr r="CD42" s="2"/>
        <tr r="CD42" s="2"/>
      </tp>
      <tp>
        <v>9.4250000000000007</v>
        <stp/>
        <stp>P</stp>
        <stp>0</stp>
        <stp>IR</stp>
        <stp>BONDFNP7010213</stp>
        <stp>3년이하(당일)</stp>
        <stp>45523</stp>
        <stp/>
        <tr r="CF72" s="2"/>
        <tr r="CF72" s="2"/>
      </tp>
      <tp>
        <v>3.3239999999999998</v>
        <stp/>
        <stp>P</stp>
        <stp>0</stp>
        <stp>IR</stp>
        <stp>BONDFNP7020210</stp>
        <stp>3년이하(당일)</stp>
        <stp>45523</stp>
        <stp/>
        <tr r="CF55" s="2"/>
        <tr r="CF55" s="2"/>
      </tp>
      <tp>
        <v>3.1379999999999999</v>
        <stp/>
        <stp>P</stp>
        <stp>0</stp>
        <stp>IR</stp>
        <stp>BONDFNP3030110</stp>
        <stp>4년이하(당일)</stp>
        <stp>45523</stp>
        <stp/>
        <tr r="CG16" s="2"/>
        <tr r="CG16" s="2"/>
      </tp>
      <tp>
        <v>3.2160000000000002</v>
        <stp/>
        <stp>P</stp>
        <stp>0</stp>
        <stp>IR</stp>
        <stp>BONDFNP5030110</stp>
        <stp>2년이하(당일)</stp>
        <stp>45523</stp>
        <stp/>
        <tr r="CD27" s="2"/>
        <tr r="CD27" s="2"/>
      </tp>
      <tp>
        <v>8.0730000000000004</v>
        <stp/>
        <stp>P</stp>
        <stp>0</stp>
        <stp>IR</stp>
        <stp>BONDFNP6010212</stp>
        <stp>2년이하(당일)</stp>
        <stp>45523</stp>
        <stp/>
        <tr r="CD41" s="2"/>
        <tr r="CD41" s="2"/>
      </tp>
      <tp>
        <v>8.0350000000000001</v>
        <stp/>
        <stp>P</stp>
        <stp>0</stp>
        <stp>IR</stp>
        <stp>BONDFNP7010212</stp>
        <stp>3년이하(당일)</stp>
        <stp>45523</stp>
        <stp/>
        <tr r="CF71" s="2"/>
        <tr r="CF71" s="2"/>
      </tp>
      <tp>
        <v>2.9870000000000001</v>
        <stp/>
        <stp>P</stp>
        <stp>0</stp>
        <stp>IR</stp>
        <stp>BONDFNP4000000</stp>
        <stp>2년이하(당일)</stp>
        <stp>45523</stp>
        <stp/>
        <tr r="CD20" s="2"/>
        <tr r="CD20" s="2"/>
      </tp>
      <tp>
        <v>2.98</v>
        <stp/>
        <stp>P</stp>
        <stp>0</stp>
        <stp>IR</stp>
        <stp>BONDFNP1010000</stp>
        <stp>7년이하(당일)</stp>
        <stp>45523</stp>
        <stp/>
        <tr r="CI9" s="2"/>
        <tr r="CI9" s="2"/>
      </tp>
      <tp>
        <v>3.1219999999999999</v>
        <stp/>
        <stp>P</stp>
        <stp>0</stp>
        <stp>IR</stp>
        <stp>BONDFNP2010000</stp>
        <stp>4년이하(당일)</stp>
        <stp>45523</stp>
        <stp/>
        <tr r="CG13" s="2"/>
        <tr r="CG13" s="2"/>
      </tp>
      <tp>
        <v>3.0190000000000001</v>
        <stp/>
        <stp>P</stp>
        <stp>0</stp>
        <stp>IR</stp>
        <stp>BONDFNP1020000</stp>
        <stp>7년이하(당일)</stp>
        <stp>45523</stp>
        <stp/>
        <tr r="CI11" s="2"/>
        <tr r="CI11" s="2"/>
      </tp>
      <tp>
        <v>3.1219999999999999</v>
        <stp/>
        <stp>P</stp>
        <stp>0</stp>
        <stp>IR</stp>
        <stp>BONDFNP2020000</stp>
        <stp>4년이하(당일)</stp>
        <stp>45523</stp>
        <stp/>
        <tr r="CG14" s="2"/>
        <tr r="CG14" s="2"/>
      </tp>
      <tp>
        <v>0</v>
        <stp/>
        <stp>P</stp>
        <stp>0</stp>
        <stp>IR</stp>
        <stp>BONDFNP1030000</stp>
        <stp>7년이하(당일)</stp>
        <stp>45523</stp>
        <stp/>
        <tr r="CI10" s="2"/>
      </tp>
      <tp>
        <v>3.0840000000000001</v>
        <stp/>
        <stp>P</stp>
        <stp>0</stp>
        <stp>IR</stp>
        <stp>BONDFNP3050000</stp>
        <stp>5년이하(당일)</stp>
        <stp>45523</stp>
        <stp/>
        <tr r="CH15" s="2"/>
        <tr r="CH15" s="2"/>
      </tp>
      <tp>
        <v>3.1890000000000001</v>
        <stp/>
        <stp>P</stp>
        <stp>0</stp>
        <stp>IR</stp>
        <stp>BONDFNP4050000</stp>
        <stp>2년이하(당일)</stp>
        <stp>45523</stp>
        <stp/>
        <tr r="CD22" s="2"/>
        <tr r="CD22" s="2"/>
      </tp>
      <tp>
        <v>3.14</v>
        <stp/>
        <stp>P</stp>
        <stp>0</stp>
        <stp>IR</stp>
        <stp>BONDFNP3060000</stp>
        <stp>5년이하(당일)</stp>
        <stp>45523</stp>
        <stp/>
        <tr r="CH83" s="2"/>
        <tr r="CH83" s="2"/>
      </tp>
      <tp>
        <v>4.3810000000000002</v>
        <stp/>
        <stp>P</stp>
        <stp>0</stp>
        <stp>IR</stp>
        <stp>BONDFNP6010131</stp>
        <stp>1년이하(당일)</stp>
        <stp>45523</stp>
        <stp/>
        <tr r="CB37" s="2"/>
        <tr r="CB37" s="2"/>
      </tp>
      <tp>
        <v>5.6820000000000004</v>
        <stp/>
        <stp>P</stp>
        <stp>0</stp>
        <stp>IR</stp>
        <stp>BONDFNP6010133</stp>
        <stp>1년이하(당일)</stp>
        <stp>45523</stp>
        <stp/>
        <tr r="CB39" s="2"/>
        <tr r="CB39" s="2"/>
      </tp>
      <tp>
        <v>5.1130000000000004</v>
        <stp/>
        <stp>P</stp>
        <stp>0</stp>
        <stp>IR</stp>
        <stp>BONDFNP6010132</stp>
        <stp>1년이하(당일)</stp>
        <stp>45523</stp>
        <stp/>
        <tr r="CB38" s="2"/>
        <tr r="CB38" s="2"/>
      </tp>
      <tp>
        <v>3.903</v>
        <stp/>
        <stp>P</stp>
        <stp>0</stp>
        <stp>IR</stp>
        <stp>BONDFNP5050131</stp>
        <stp>2년이하(당일)</stp>
        <stp>45523</stp>
        <stp/>
        <tr r="CD31" s="2"/>
        <tr r="CD31" s="2"/>
      </tp>
      <tp>
        <v>4.1029999999999998</v>
        <stp/>
        <stp>P</stp>
        <stp>0</stp>
        <stp>IR</stp>
        <stp>BONDFNP5050133</stp>
        <stp>2년이하(당일)</stp>
        <stp>45523</stp>
        <stp/>
        <tr r="CD33" s="2"/>
        <tr r="CD33" s="2"/>
      </tp>
      <tp>
        <v>4.0030000000000001</v>
        <stp/>
        <stp>P</stp>
        <stp>0</stp>
        <stp>IR</stp>
        <stp>BONDFNP5050132</stp>
        <stp>2년이하(당일)</stp>
        <stp>45523</stp>
        <stp/>
        <tr r="CD32" s="2"/>
        <tr r="CD32" s="2"/>
      </tp>
      <tp>
        <v>3.3929999999999998</v>
        <stp/>
        <stp>P</stp>
        <stp>0</stp>
        <stp>IR</stp>
        <stp>BONDFNP6010121</stp>
        <stp>1년이하(당일)</stp>
        <stp>45523</stp>
        <stp/>
        <tr r="CB34" s="2"/>
        <tr r="CB34" s="2"/>
      </tp>
      <tp>
        <v>3.4809999999999999</v>
        <stp/>
        <stp>P</stp>
        <stp>0</stp>
        <stp>IR</stp>
        <stp>BONDFNP6010123</stp>
        <stp>1년이하(당일)</stp>
        <stp>45523</stp>
        <stp/>
        <tr r="CB36" s="2"/>
        <tr r="CB36" s="2"/>
      </tp>
      <tp>
        <v>3.419</v>
        <stp/>
        <stp>P</stp>
        <stp>0</stp>
        <stp>IR</stp>
        <stp>BONDFNP6010122</stp>
        <stp>1년이하(당일)</stp>
        <stp>45523</stp>
        <stp/>
        <tr r="CB35" s="2"/>
        <tr r="CB35" s="2"/>
      </tp>
      <tp>
        <v>3.262</v>
        <stp/>
        <stp>P</stp>
        <stp>0</stp>
        <stp>IR</stp>
        <stp>BONDFNP3040121</stp>
        <stp>4년이하(당일)</stp>
        <stp>45523</stp>
        <stp/>
        <tr r="CG17" s="2"/>
        <tr r="CG17" s="2"/>
      </tp>
      <tp>
        <v>3.3239999999999998</v>
        <stp/>
        <stp>P</stp>
        <stp>0</stp>
        <stp>IR</stp>
        <stp>BONDFNP5040121</stp>
        <stp>2년이하(당일)</stp>
        <stp>45523</stp>
        <stp/>
        <tr r="CD28" s="2"/>
        <tr r="CD28" s="2"/>
      </tp>
      <tp>
        <v>3.3919999999999999</v>
        <stp/>
        <stp>P</stp>
        <stp>0</stp>
        <stp>IR</stp>
        <stp>BONDFNP3040122</stp>
        <stp>4년이하(당일)</stp>
        <stp>45523</stp>
        <stp/>
        <tr r="CG18" s="2"/>
        <tr r="CG18" s="2"/>
      </tp>
      <tp>
        <v>3.5350000000000001</v>
        <stp/>
        <stp>P</stp>
        <stp>0</stp>
        <stp>IR</stp>
        <stp>BONDFNP5040122</stp>
        <stp>2년이하(당일)</stp>
        <stp>45523</stp>
        <stp/>
        <tr r="CD29" s="2"/>
        <tr r="CD29" s="2"/>
      </tp>
      <tp>
        <v>3.5369999999999999</v>
        <stp/>
        <stp>P</stp>
        <stp>0</stp>
        <stp>IR</stp>
        <stp>BONDFNP3040123</stp>
        <stp>4년이하(당일)</stp>
        <stp>45523</stp>
        <stp/>
        <tr r="CG19" s="2"/>
        <tr r="CG19" s="2"/>
      </tp>
      <tp>
        <v>3.7930000000000001</v>
        <stp/>
        <stp>P</stp>
        <stp>0</stp>
        <stp>IR</stp>
        <stp>BONDFNP5040123</stp>
        <stp>2년이하(당일)</stp>
        <stp>45523</stp>
        <stp/>
        <tr r="CD30" s="2"/>
        <tr r="CD30" s="2"/>
      </tp>
      <tp>
        <v>3.528</v>
        <stp/>
        <stp>P</stp>
        <stp>0</stp>
        <stp>IR</stp>
        <stp>BONDNIC3040113</stp>
        <stp>4년이하(당일)</stp>
        <stp>45523</stp>
        <stp/>
        <tr r="BQ19" s="2"/>
        <tr r="BQ19" s="2"/>
      </tp>
      <tp>
        <v>3.81</v>
        <stp/>
        <stp>P</stp>
        <stp>0</stp>
        <stp>IR</stp>
        <stp>BONDNIC5040113</stp>
        <stp>2년이하(당일)</stp>
        <stp>45523</stp>
        <stp/>
        <tr r="BN30" s="2"/>
        <tr r="BN30" s="2"/>
      </tp>
      <tp>
        <v>4.0220000000000002</v>
        <stp/>
        <stp>P</stp>
        <stp>0</stp>
        <stp>IR</stp>
        <stp>BONDNIC5050112</stp>
        <stp>2년이하(당일)</stp>
        <stp>45523</stp>
        <stp/>
        <tr r="BN32" s="2"/>
        <tr r="BN32" s="2"/>
      </tp>
      <tp>
        <v>3.528</v>
        <stp/>
        <stp>P</stp>
        <stp>0</stp>
        <stp>IR</stp>
        <stp>BONDNIC6040113</stp>
        <stp>1년이하(당일)</stp>
        <stp>45523</stp>
        <stp/>
        <tr r="BL36" s="2"/>
        <tr r="BL36" s="2"/>
      </tp>
      <tp>
        <v>5.17</v>
        <stp/>
        <stp>P</stp>
        <stp>0</stp>
        <stp>IR</stp>
        <stp>BONDNIC6050112</stp>
        <stp>1년이하(당일)</stp>
        <stp>45523</stp>
        <stp/>
        <tr r="BL38" s="2"/>
        <tr r="BL38" s="2"/>
      </tp>
      <tp>
        <v>6.8550000000000004</v>
        <stp/>
        <stp>P</stp>
        <stp>0</stp>
        <stp>IR</stp>
        <stp>BONDNIC6060111</stp>
        <stp>1년이하(당일)</stp>
        <stp>45523</stp>
        <stp/>
        <tr r="BL40" s="2"/>
        <tr r="BL40" s="2"/>
      </tp>
      <tp>
        <v>3.399</v>
        <stp/>
        <stp>P</stp>
        <stp>0</stp>
        <stp>IR</stp>
        <stp>BONDNIC3040112</stp>
        <stp>4년이하(당일)</stp>
        <stp>45523</stp>
        <stp/>
        <tr r="BQ18" s="2"/>
        <tr r="BQ18" s="2"/>
      </tp>
      <tp>
        <v>3.57</v>
        <stp/>
        <stp>P</stp>
        <stp>0</stp>
        <stp>IR</stp>
        <stp>BONDNIC5040112</stp>
        <stp>2년이하(당일)</stp>
        <stp>45523</stp>
        <stp/>
        <tr r="BN29" s="2"/>
        <tr r="BN29" s="2"/>
      </tp>
      <tp>
        <v>4.1120000000000001</v>
        <stp/>
        <stp>P</stp>
        <stp>0</stp>
        <stp>IR</stp>
        <stp>BONDNIC5050113</stp>
        <stp>2년이하(당일)</stp>
        <stp>45523</stp>
        <stp/>
        <tr r="BN33" s="2"/>
        <tr r="BN33" s="2"/>
      </tp>
      <tp>
        <v>3.4460000000000002</v>
        <stp/>
        <stp>P</stp>
        <stp>0</stp>
        <stp>IR</stp>
        <stp>BONDNIC6040112</stp>
        <stp>1년이하(당일)</stp>
        <stp>45523</stp>
        <stp/>
        <tr r="BL35" s="2"/>
        <tr r="BL35" s="2"/>
      </tp>
      <tp>
        <v>5.72</v>
        <stp/>
        <stp>P</stp>
        <stp>0</stp>
        <stp>IR</stp>
        <stp>BONDNIC6050113</stp>
        <stp>1년이하(당일)</stp>
        <stp>45523</stp>
        <stp/>
        <tr r="BL39" s="2"/>
        <tr r="BL39" s="2"/>
      </tp>
      <tp>
        <v>3.2559999999999998</v>
        <stp/>
        <stp>P</stp>
        <stp>0</stp>
        <stp>IR</stp>
        <stp>BONDNIC3040111</stp>
        <stp>4년이하(당일)</stp>
        <stp>45523</stp>
        <stp/>
        <tr r="BQ17" s="2"/>
        <tr r="BQ17" s="2"/>
      </tp>
      <tp>
        <v>3.343</v>
        <stp/>
        <stp>P</stp>
        <stp>0</stp>
        <stp>IR</stp>
        <stp>BONDNIC5040111</stp>
        <stp>2년이하(당일)</stp>
        <stp>45523</stp>
        <stp/>
        <tr r="BN28" s="2"/>
        <tr r="BN28" s="2"/>
      </tp>
      <tp>
        <v>3.411</v>
        <stp/>
        <stp>P</stp>
        <stp>0</stp>
        <stp>IR</stp>
        <stp>BONDNIC6040111</stp>
        <stp>1년이하(당일)</stp>
        <stp>45523</stp>
        <stp/>
        <tr r="BL34" s="2"/>
        <tr r="BL34" s="2"/>
      </tp>
      <tp>
        <v>8.9939999999999998</v>
        <stp/>
        <stp>P</stp>
        <stp>0</stp>
        <stp>IR</stp>
        <stp>BONDNIC6060113</stp>
        <stp>1년이하(당일)</stp>
        <stp>45523</stp>
        <stp/>
        <tr r="BL42" s="2"/>
        <tr r="BL42" s="2"/>
      </tp>
      <tp>
        <v>3.944</v>
        <stp/>
        <stp>P</stp>
        <stp>0</stp>
        <stp>IR</stp>
        <stp>BONDNIC5050111</stp>
        <stp>2년이하(당일)</stp>
        <stp>45523</stp>
        <stp/>
        <tr r="BN31" s="2"/>
        <tr r="BN31" s="2"/>
      </tp>
      <tp>
        <v>4.4109999999999996</v>
        <stp/>
        <stp>P</stp>
        <stp>0</stp>
        <stp>IR</stp>
        <stp>BONDNIC6050111</stp>
        <stp>1년이하(당일)</stp>
        <stp>45523</stp>
        <stp/>
        <tr r="BL37" s="2"/>
        <tr r="BL37" s="2"/>
      </tp>
      <tp>
        <v>7.6680000000000001</v>
        <stp/>
        <stp>P</stp>
        <stp>0</stp>
        <stp>IR</stp>
        <stp>BONDNIC6060112</stp>
        <stp>1년이하(당일)</stp>
        <stp>45523</stp>
        <stp/>
        <tr r="BL41" s="2"/>
        <tr r="BL41" s="2"/>
      </tp>
      <tp>
        <v>3.1440000000000001</v>
        <stp/>
        <stp>P</stp>
        <stp>0</stp>
        <stp>IR</stp>
        <stp>BONDNIC3030110</stp>
        <stp>4년이하(당일)</stp>
        <stp>45523</stp>
        <stp/>
        <tr r="BQ16" s="2"/>
        <tr r="BQ16" s="2"/>
      </tp>
      <tp>
        <v>3.2280000000000002</v>
        <stp/>
        <stp>P</stp>
        <stp>0</stp>
        <stp>IR</stp>
        <stp>BONDNIC5030110</stp>
        <stp>2년이하(당일)</stp>
        <stp>45523</stp>
        <stp/>
        <tr r="BN27" s="2"/>
        <tr r="BN27" s="2"/>
      </tp>
      <tp>
        <v>3.1930000000000001</v>
        <stp/>
        <stp>P</stp>
        <stp>0</stp>
        <stp>IR</stp>
        <stp>BONDNIC5020110</stp>
        <stp>2년이하(당일)</stp>
        <stp>45523</stp>
        <stp/>
        <tr r="BN25" s="2"/>
        <tr r="BN25" s="2"/>
      </tp>
      <tp>
        <v>3.1930000000000001</v>
        <stp/>
        <stp>P</stp>
        <stp>0</stp>
        <stp>IR</stp>
        <stp>BONDNIC5010110</stp>
        <stp>2년이하(당일)</stp>
        <stp>45523</stp>
        <stp/>
        <tr r="BN23" s="2"/>
        <tr r="BN23" s="2"/>
      </tp>
      <tp>
        <v>3.0659999999999998</v>
        <stp/>
        <stp>P</stp>
        <stp>0</stp>
        <stp>IR</stp>
        <stp>BONDNIC3050000</stp>
        <stp>5년이하(당일)</stp>
        <stp>45523</stp>
        <stp/>
        <tr r="BR15" s="2"/>
        <tr r="BR15" s="2"/>
      </tp>
      <tp>
        <v>3.198</v>
        <stp/>
        <stp>P</stp>
        <stp>0</stp>
        <stp>IR</stp>
        <stp>BONDNIC4050000</stp>
        <stp>2년이하(당일)</stp>
        <stp>45523</stp>
        <stp/>
        <tr r="BN22" s="2"/>
        <tr r="BN22" s="2"/>
      </tp>
      <tp>
        <v>0</v>
        <stp/>
        <stp>P</stp>
        <stp>0</stp>
        <stp>IR</stp>
        <stp>BONDNIC1030000</stp>
        <stp>7년이하(당일)</stp>
        <stp>45523</stp>
        <stp/>
        <tr r="BS10" s="2"/>
      </tp>
      <tp>
        <v>2.972</v>
        <stp/>
        <stp>P</stp>
        <stp>0</stp>
        <stp>IR</stp>
        <stp>BONDNIC1020000</stp>
        <stp>7년이하(당일)</stp>
        <stp>45523</stp>
        <stp/>
        <tr r="BS11" s="2"/>
        <tr r="BS11" s="2"/>
      </tp>
      <tp>
        <v>3.105</v>
        <stp/>
        <stp>P</stp>
        <stp>0</stp>
        <stp>IR</stp>
        <stp>BONDNIC2020000</stp>
        <stp>4년이하(당일)</stp>
        <stp>45523</stp>
        <stp/>
        <tr r="BQ14" s="2"/>
        <tr r="BQ14" s="2"/>
      </tp>
      <tp>
        <v>2.98</v>
        <stp/>
        <stp>P</stp>
        <stp>0</stp>
        <stp>IR</stp>
        <stp>BONDNIC1010000</stp>
        <stp>7년이하(당일)</stp>
        <stp>45523</stp>
        <stp/>
        <tr r="BS9" s="2"/>
        <tr r="BS9" s="2"/>
      </tp>
      <tp>
        <v>3.105</v>
        <stp/>
        <stp>P</stp>
        <stp>0</stp>
        <stp>IR</stp>
        <stp>BONDNIC2010000</stp>
        <stp>4년이하(당일)</stp>
        <stp>45523</stp>
        <stp/>
        <tr r="BQ13" s="2"/>
        <tr r="BQ13" s="2"/>
      </tp>
      <tp>
        <v>2.68</v>
        <stp/>
        <stp>P</stp>
        <stp>0</stp>
        <stp>IR</stp>
        <stp>BONDNIC1015000</stp>
        <stp>7년이하(당일)</stp>
        <stp>45523</stp>
        <stp/>
        <tr r="BS12" s="2"/>
        <tr r="BS12" s="2"/>
      </tp>
      <tp>
        <v>2.9870000000000001</v>
        <stp/>
        <stp>P</stp>
        <stp>0</stp>
        <stp>IR</stp>
        <stp>BONDNIC4000000</stp>
        <stp>2년이하(당일)</stp>
        <stp>45523</stp>
        <stp/>
        <tr r="BN20" s="2"/>
        <tr r="BN20" s="2"/>
      </tp>
      <tp>
        <v>0</v>
        <stp/>
        <stp>P</stp>
        <stp>0</stp>
        <stp>IR</stp>
        <stp>BONDKBPF134</stp>
        <stp>30년이하(당일)</stp>
        <stp>45523</stp>
        <stp/>
        <tr r="AQ54" s="2"/>
      </tp>
      <tp>
        <v>6.1269999999999998</v>
        <stp/>
        <stp>P</stp>
        <stp>0</stp>
        <stp>IR</stp>
        <stp>BONDKBPF134</stp>
        <stp>20년이하(당일)</stp>
        <stp>45523</stp>
        <stp/>
        <tr r="AP54" s="2"/>
        <tr r="AP54" s="2"/>
      </tp>
      <tp>
        <v>4.556</v>
        <stp/>
        <stp>P</stp>
        <stp>0</stp>
        <stp>IR</stp>
        <stp>BONDKBPF134</stp>
        <stp>10년이하(당일)</stp>
        <stp>45523</stp>
        <stp/>
        <tr r="AN54" s="2"/>
        <tr r="AN54" s="2"/>
      </tp>
      <tp>
        <v>0</v>
        <stp/>
        <stp>P</stp>
        <stp>0</stp>
        <stp>IR</stp>
        <stp>BONDKBPF134</stp>
        <stp>50년이하(당일)</stp>
        <stp>45523</stp>
        <stp/>
        <tr r="AR54" s="2"/>
      </tp>
      <tp>
        <v>6.609</v>
        <stp/>
        <stp>P</stp>
        <stp>0</stp>
        <stp>IR</stp>
        <stp>BONDKBPF333</stp>
        <stp>10년이하(당일)</stp>
        <stp>45523</stp>
        <stp/>
        <tr r="AN79" s="2"/>
        <tr r="AN79" s="2"/>
      </tp>
      <tp>
        <v>6.08</v>
        <stp/>
        <stp>P</stp>
        <stp>0</stp>
        <stp>IR</stp>
        <stp>BONDKBPF233</stp>
        <stp>10년이하(당일)</stp>
        <stp>45523</stp>
        <stp/>
        <tr r="AN69" s="2"/>
        <tr r="AN69" s="2"/>
      </tp>
      <tp>
        <v>7.0049999999999999</v>
        <stp/>
        <stp>P</stp>
        <stp>0</stp>
        <stp>IR</stp>
        <stp>BONDKBPF233</stp>
        <stp>20년이하(당일)</stp>
        <stp>45523</stp>
        <stp/>
        <tr r="AP69" s="2"/>
        <tr r="AP69" s="2"/>
      </tp>
      <tp>
        <v>0</v>
        <stp/>
        <stp>P</stp>
        <stp>0</stp>
        <stp>IR</stp>
        <stp>BONDKBPF333</stp>
        <stp>30년이하(당일)</stp>
        <stp>45523</stp>
        <stp/>
        <tr r="AQ79" s="2"/>
      </tp>
      <tp>
        <v>0</v>
        <stp/>
        <stp>P</stp>
        <stp>0</stp>
        <stp>IR</stp>
        <stp>BONDKBPF233</stp>
        <stp>30년이하(당일)</stp>
        <stp>45523</stp>
        <stp/>
        <tr r="AQ69" s="2"/>
      </tp>
      <tp>
        <v>7.5259999999999998</v>
        <stp/>
        <stp>P</stp>
        <stp>0</stp>
        <stp>IR</stp>
        <stp>BONDKBPF333</stp>
        <stp>20년이하(당일)</stp>
        <stp>45523</stp>
        <stp/>
        <tr r="AP79" s="2"/>
        <tr r="AP79" s="2"/>
      </tp>
      <tp>
        <v>0</v>
        <stp/>
        <stp>P</stp>
        <stp>0</stp>
        <stp>IR</stp>
        <stp>BONDKBPF333</stp>
        <stp>50년이하(당일)</stp>
        <stp>45523</stp>
        <stp/>
        <tr r="AR79" s="2"/>
      </tp>
      <tp>
        <v>0</v>
        <stp/>
        <stp>P</stp>
        <stp>0</stp>
        <stp>IR</stp>
        <stp>BONDKBPF233</stp>
        <stp>50년이하(당일)</stp>
        <stp>45523</stp>
        <stp/>
        <tr r="AR69" s="2"/>
      </tp>
      <tp>
        <v>3.2730000000000001</v>
        <stp/>
        <stp>P</stp>
        <stp>0</stp>
        <stp>IR</stp>
        <stp>BONDKIS3060000</stp>
        <stp>5년이하(당일)</stp>
        <stp>45523</stp>
        <stp/>
        <tr r="BB83" s="2"/>
        <tr r="BB83" s="2"/>
      </tp>
      <tp>
        <v>3.073</v>
        <stp/>
        <stp>P</stp>
        <stp>0</stp>
        <stp>IR</stp>
        <stp>BONDKIS3050000</stp>
        <stp>5년이하(당일)</stp>
        <stp>45523</stp>
        <stp/>
        <tr r="BB15" s="2"/>
        <tr r="BB15" s="2"/>
      </tp>
      <tp>
        <v>3.238</v>
        <stp/>
        <stp>P</stp>
        <stp>0</stp>
        <stp>IR</stp>
        <stp>BONDKIS4050000</stp>
        <stp>2년이하(당일)</stp>
        <stp>45523</stp>
        <stp/>
        <tr r="AX22" s="2"/>
        <tr r="AX22" s="2"/>
      </tp>
      <tp t="s">
        <v/>
        <stp/>
        <stp>P</stp>
        <stp>0</stp>
        <stp>IR</stp>
        <stp>BONDKIS1030000</stp>
        <stp>7년이하(당일)</stp>
        <stp>45523</stp>
        <stp/>
        <tr r="BC10" s="2"/>
        <tr r="BC10" s="2"/>
      </tp>
      <tp>
        <v>2.988</v>
        <stp/>
        <stp>P</stp>
        <stp>0</stp>
        <stp>IR</stp>
        <stp>BONDKIS1020000</stp>
        <stp>7년이하(당일)</stp>
        <stp>45523</stp>
        <stp/>
        <tr r="BC11" s="2"/>
        <tr r="BC11" s="2"/>
      </tp>
      <tp>
        <v>3.1280000000000001</v>
        <stp/>
        <stp>P</stp>
        <stp>0</stp>
        <stp>IR</stp>
        <stp>BONDKIS2020000</stp>
        <stp>4년이하(당일)</stp>
        <stp>45523</stp>
        <stp/>
        <tr r="BA14" s="2"/>
        <tr r="BA14" s="2"/>
      </tp>
      <tp>
        <v>2.9849999999999999</v>
        <stp/>
        <stp>P</stp>
        <stp>0</stp>
        <stp>IR</stp>
        <stp>BONDKIS1013000</stp>
        <stp>7년이하(당일)</stp>
        <stp>45523</stp>
        <stp/>
        <tr r="BC9" s="2"/>
        <tr r="BC9" s="2"/>
      </tp>
      <tp>
        <v>3.1280000000000001</v>
        <stp/>
        <stp>P</stp>
        <stp>0</stp>
        <stp>IR</stp>
        <stp>BONDKIS2010000</stp>
        <stp>4년이하(당일)</stp>
        <stp>45523</stp>
        <stp/>
        <tr r="BA13" s="2"/>
        <tr r="BA13" s="2"/>
      </tp>
      <tp>
        <v>2.9870000000000001</v>
        <stp/>
        <stp>P</stp>
        <stp>0</stp>
        <stp>IR</stp>
        <stp>BONDKIS4003000</stp>
        <stp>2년이하(당일)</stp>
        <stp>45523</stp>
        <stp/>
        <tr r="AX20" s="2"/>
        <tr r="AX20" s="2"/>
      </tp>
      <tp>
        <v>3.2069999999999999</v>
        <stp/>
        <stp>P</stp>
        <stp>0</stp>
        <stp>IR</stp>
        <stp>BONDKSD4050000</stp>
        <stp>2년이하(당일)</stp>
        <stp>45523</stp>
        <stp/>
        <tr r="CT22" s="2"/>
        <tr r="CT22" s="2"/>
      </tp>
      <tp>
        <v>3.0779999999999998</v>
        <stp/>
        <stp>P</stp>
        <stp>0</stp>
        <stp>IR</stp>
        <stp>BONDKSD3070000</stp>
        <stp>5년이하(당일)</stp>
        <stp>45523</stp>
        <stp/>
        <tr r="CX15" s="2"/>
        <tr r="CX15" s="2"/>
      </tp>
      <tp>
        <v>3.1749999999999998</v>
        <stp/>
        <stp>P</stp>
        <stp>0</stp>
        <stp>IR</stp>
        <stp>BONDKSD3060000</stp>
        <stp>5년이하(당일)</stp>
        <stp>45523</stp>
        <stp/>
        <tr r="CX83" s="2"/>
        <tr r="CX83" s="2"/>
      </tp>
      <tp>
        <v>2.9809999999999999</v>
        <stp/>
        <stp>P</stp>
        <stp>0</stp>
        <stp>IR</stp>
        <stp>BONDKSD1010000</stp>
        <stp>7년이하(당일)</stp>
        <stp>45523</stp>
        <stp/>
        <tr r="CY9" s="2"/>
        <tr r="CY9" s="2"/>
      </tp>
      <tp>
        <v>3.121</v>
        <stp/>
        <stp>P</stp>
        <stp>0</stp>
        <stp>IR</stp>
        <stp>BONDKSD2010000</stp>
        <stp>4년이하(당일)</stp>
        <stp>45523</stp>
        <stp/>
        <tr r="CW13" s="2"/>
        <tr r="CW13" s="2"/>
      </tp>
      <tp>
        <v>2.9870000000000001</v>
        <stp/>
        <stp>P</stp>
        <stp>0</stp>
        <stp>IR</stp>
        <stp>BONDKSD4000000</stp>
        <stp>2년이하(당일)</stp>
        <stp>45523</stp>
        <stp/>
        <tr r="CT20" s="2"/>
        <tr r="CT20" s="2"/>
      </tp>
      <tp>
        <v>0</v>
        <stp/>
        <stp>P</stp>
        <stp>0</stp>
        <stp>IR</stp>
        <stp>BONDKSD1030000</stp>
        <stp>7년이하(당일)</stp>
        <stp>45523</stp>
        <stp/>
        <tr r="CY10" s="2"/>
      </tp>
      <tp>
        <v>2.9849999999999999</v>
        <stp/>
        <stp>P</stp>
        <stp>0</stp>
        <stp>IR</stp>
        <stp>BONDKSD1020000</stp>
        <stp>7년이하(당일)</stp>
        <stp>45523</stp>
        <stp/>
        <tr r="CY11" s="2"/>
        <tr r="CY11" s="2"/>
      </tp>
      <tp>
        <v>3.121</v>
        <stp/>
        <stp>P</stp>
        <stp>0</stp>
        <stp>IR</stp>
        <stp>BONDKSD2020000</stp>
        <stp>4년이하(당일)</stp>
        <stp>45523</stp>
        <stp/>
        <tr r="CW14" s="2"/>
        <tr r="CW14" s="2"/>
      </tp>
      <tp>
        <v>6.0990000000000002</v>
        <stp/>
        <stp>P</stp>
        <stp>0</stp>
        <stp>IR</stp>
        <stp>BONDKBPF332</stp>
        <stp>10년이하(당일)</stp>
        <stp>45523</stp>
        <stp/>
        <tr r="AN78" s="2"/>
        <tr r="AN78" s="2"/>
      </tp>
      <tp>
        <v>5.5960000000000001</v>
        <stp/>
        <stp>P</stp>
        <stp>0</stp>
        <stp>IR</stp>
        <stp>BONDKBPF232</stp>
        <stp>10년이하(당일)</stp>
        <stp>45523</stp>
        <stp/>
        <tr r="AN68" s="2"/>
        <tr r="AN68" s="2"/>
      </tp>
      <tp>
        <v>6.3879999999999999</v>
        <stp/>
        <stp>P</stp>
        <stp>0</stp>
        <stp>IR</stp>
        <stp>BONDKBPF232</stp>
        <stp>20년이하(당일)</stp>
        <stp>45523</stp>
        <stp/>
        <tr r="AP68" s="2"/>
        <tr r="AP68" s="2"/>
      </tp>
      <tp>
        <v>0</v>
        <stp/>
        <stp>P</stp>
        <stp>0</stp>
        <stp>IR</stp>
        <stp>BONDKBPF332</stp>
        <stp>30년이하(당일)</stp>
        <stp>45523</stp>
        <stp/>
        <tr r="AQ78" s="2"/>
      </tp>
      <tp>
        <v>0</v>
        <stp/>
        <stp>P</stp>
        <stp>0</stp>
        <stp>IR</stp>
        <stp>BONDKBPF232</stp>
        <stp>30년이하(당일)</stp>
        <stp>45523</stp>
        <stp/>
        <tr r="AQ68" s="2"/>
      </tp>
      <tp>
        <v>6.9180000000000001</v>
        <stp/>
        <stp>P</stp>
        <stp>0</stp>
        <stp>IR</stp>
        <stp>BONDKBPF332</stp>
        <stp>20년이하(당일)</stp>
        <stp>45523</stp>
        <stp/>
        <tr r="AP78" s="2"/>
        <tr r="AP78" s="2"/>
      </tp>
      <tp>
        <v>0</v>
        <stp/>
        <stp>P</stp>
        <stp>0</stp>
        <stp>IR</stp>
        <stp>BONDKBPF332</stp>
        <stp>50년이하(당일)</stp>
        <stp>45523</stp>
        <stp/>
        <tr r="AR78" s="2"/>
      </tp>
      <tp>
        <v>0</v>
        <stp/>
        <stp>P</stp>
        <stp>0</stp>
        <stp>IR</stp>
        <stp>BONDKBPF232</stp>
        <stp>50년이하(당일)</stp>
        <stp>45523</stp>
        <stp/>
        <tr r="AR68" s="2"/>
      </tp>
      <tp>
        <v>3.157</v>
        <stp/>
        <stp>P</stp>
        <stp>0</stp>
        <stp>IR</stp>
        <stp>BONDKIS3033110</stp>
        <stp>4년이하(당일)</stp>
        <stp>45523</stp>
        <stp/>
        <tr r="BA16" s="2"/>
        <tr r="BA16" s="2"/>
      </tp>
      <tp>
        <v>3.234</v>
        <stp/>
        <stp>P</stp>
        <stp>0</stp>
        <stp>IR</stp>
        <stp>BONDKIS5033110</stp>
        <stp>2년이하(당일)</stp>
        <stp>45523</stp>
        <stp/>
        <tr r="AX27" s="2"/>
        <tr r="AX27" s="2"/>
      </tp>
      <tp>
        <v>8.1519999999999992</v>
        <stp/>
        <stp>P</stp>
        <stp>0</stp>
        <stp>IR</stp>
        <stp>BONDKIS6013212</stp>
        <stp>2년이하(당일)</stp>
        <stp>45523</stp>
        <stp/>
        <tr r="AX50" s="2"/>
        <tr r="AX50" s="2"/>
      </tp>
      <tp>
        <v>8.0350000000000001</v>
        <stp/>
        <stp>P</stp>
        <stp>0</stp>
        <stp>IR</stp>
        <stp>BONDKIS7010212</stp>
        <stp>3년이하(당일)</stp>
        <stp>45523</stp>
        <stp/>
        <tr r="AZ71" s="2"/>
        <tr r="AZ71" s="2"/>
      </tp>
      <tp>
        <v>3.19</v>
        <stp/>
        <stp>P</stp>
        <stp>0</stp>
        <stp>IR</stp>
        <stp>BONDKIS5023110</stp>
        <stp>2년이하(당일)</stp>
        <stp>45523</stp>
        <stp/>
        <tr r="AX25" s="2"/>
        <tr r="AX25" s="2"/>
      </tp>
      <tp>
        <v>9.5269999999999992</v>
        <stp/>
        <stp>P</stp>
        <stp>0</stp>
        <stp>IR</stp>
        <stp>BONDKIS6013213</stp>
        <stp>2년이하(당일)</stp>
        <stp>45523</stp>
        <stp/>
        <tr r="AX51" s="2"/>
        <tr r="AX51" s="2"/>
      </tp>
      <tp>
        <v>9.4019999999999992</v>
        <stp/>
        <stp>P</stp>
        <stp>0</stp>
        <stp>IR</stp>
        <stp>BONDKIS7010213</stp>
        <stp>3년이하(당일)</stp>
        <stp>45523</stp>
        <stp/>
        <tr r="AZ72" s="2"/>
        <tr r="AZ72" s="2"/>
      </tp>
      <tp>
        <v>3.306</v>
        <stp/>
        <stp>P</stp>
        <stp>0</stp>
        <stp>IR</stp>
        <stp>BONDKIS7020210</stp>
        <stp>3년이하(당일)</stp>
        <stp>45523</stp>
        <stp/>
        <tr r="AZ55" s="2"/>
        <tr r="AZ55" s="2"/>
      </tp>
      <tp>
        <v>3.19</v>
        <stp/>
        <stp>P</stp>
        <stp>0</stp>
        <stp>IR</stp>
        <stp>BONDKIS5013110</stp>
        <stp>2년이하(당일)</stp>
        <stp>45523</stp>
        <stp/>
        <tr r="AX23" s="2"/>
        <tr r="AX23" s="2"/>
      </tp>
      <tp>
        <v>7.2889999999999997</v>
        <stp/>
        <stp>P</stp>
        <stp>0</stp>
        <stp>IR</stp>
        <stp>BONDKIS6013211</stp>
        <stp>2년이하(당일)</stp>
        <stp>45523</stp>
        <stp/>
        <tr r="AX49" s="2"/>
        <tr r="AX49" s="2"/>
      </tp>
      <tp>
        <v>6.9889999999999999</v>
        <stp/>
        <stp>P</stp>
        <stp>0</stp>
        <stp>IR</stp>
        <stp>BONDKIS7010211</stp>
        <stp>3년이하(당일)</stp>
        <stp>45523</stp>
        <stp/>
        <tr r="AZ70" s="2"/>
        <tr r="AZ70" s="2"/>
      </tp>
      <tp>
        <v>3.181</v>
        <stp/>
        <stp>P</stp>
        <stp>0</stp>
        <stp>IR</stp>
        <stp>BONDKSD5010110</stp>
        <stp>2년이하(당일)</stp>
        <stp>45523</stp>
        <stp/>
        <tr r="CT23" s="2"/>
        <tr r="CT23" s="2"/>
      </tp>
      <tp>
        <v>8.0549999999999997</v>
        <stp/>
        <stp>P</stp>
        <stp>0</stp>
        <stp>IR</stp>
        <stp>BONDKSD6010210</stp>
        <stp>2년이하(당일)</stp>
        <stp>45523</stp>
        <stp/>
        <tr r="CT41" s="2"/>
        <tr r="CT41" s="2"/>
      </tp>
      <tp>
        <v>6.9850000000000003</v>
        <stp/>
        <stp>P</stp>
        <stp>0</stp>
        <stp>IR</stp>
        <stp>BONDKSD7010211</stp>
        <stp>3년이하(당일)</stp>
        <stp>45523</stp>
        <stp/>
        <tr r="CV70" s="2"/>
        <tr r="CV70" s="2"/>
      </tp>
      <tp>
        <v>3.1440000000000001</v>
        <stp/>
        <stp>P</stp>
        <stp>0</stp>
        <stp>IR</stp>
        <stp>BONDKSD3030110</stp>
        <stp>4년이하(당일)</stp>
        <stp>45523</stp>
        <stp/>
        <tr r="CW16" s="2"/>
        <tr r="CW16" s="2"/>
      </tp>
      <tp>
        <v>3.2240000000000002</v>
        <stp/>
        <stp>P</stp>
        <stp>0</stp>
        <stp>IR</stp>
        <stp>BONDKSD5030110</stp>
        <stp>2년이하(당일)</stp>
        <stp>45523</stp>
        <stp/>
        <tr r="CT27" s="2"/>
        <tr r="CT27" s="2"/>
      </tp>
      <tp>
        <v>8.0229999999999997</v>
        <stp/>
        <stp>P</stp>
        <stp>0</stp>
        <stp>IR</stp>
        <stp>BONDKSD7010212</stp>
        <stp>3년이하(당일)</stp>
        <stp>45523</stp>
        <stp/>
        <tr r="CV71" s="2"/>
        <tr r="CV71" s="2"/>
      </tp>
      <tp>
        <v>3.181</v>
        <stp/>
        <stp>P</stp>
        <stp>0</stp>
        <stp>IR</stp>
        <stp>BONDKSD5020110</stp>
        <stp>2년이하(당일)</stp>
        <stp>45523</stp>
        <stp/>
        <tr r="CT25" s="2"/>
        <tr r="CT25" s="2"/>
      </tp>
      <tp>
        <v>9.4009999999999998</v>
        <stp/>
        <stp>P</stp>
        <stp>0</stp>
        <stp>IR</stp>
        <stp>BONDKSD7010213</stp>
        <stp>3년이하(당일)</stp>
        <stp>45523</stp>
        <stp/>
        <tr r="CV72" s="2"/>
        <tr r="CV72" s="2"/>
      </tp>
      <tp>
        <v>4.2969999999999997</v>
        <stp/>
        <stp>P</stp>
        <stp>0</stp>
        <stp>IR</stp>
        <stp>BONDKSD7020210</stp>
        <stp>3년이하(당일)</stp>
        <stp>45523</stp>
        <stp/>
        <tr r="CV55" s="2"/>
        <tr r="CV55" s="2"/>
      </tp>
      <tp>
        <v>5.5579999999999998</v>
        <stp/>
        <stp>P</stp>
        <stp>0</stp>
        <stp>IR</stp>
        <stp>BONDKBPF331</stp>
        <stp>10년이하(당일)</stp>
        <stp>45523</stp>
        <stp/>
        <tr r="AN77" s="2"/>
        <tr r="AN77" s="2"/>
      </tp>
      <tp>
        <v>5.1280000000000001</v>
        <stp/>
        <stp>P</stp>
        <stp>0</stp>
        <stp>IR</stp>
        <stp>BONDKBPF231</stp>
        <stp>10년이하(당일)</stp>
        <stp>45523</stp>
        <stp/>
        <tr r="AN67" s="2"/>
        <tr r="AN67" s="2"/>
      </tp>
      <tp>
        <v>5.8380000000000001</v>
        <stp/>
        <stp>P</stp>
        <stp>0</stp>
        <stp>IR</stp>
        <stp>BONDKBPF231</stp>
        <stp>20년이하(당일)</stp>
        <stp>45523</stp>
        <stp/>
        <tr r="AP67" s="2"/>
        <tr r="AP67" s="2"/>
      </tp>
      <tp>
        <v>0</v>
        <stp/>
        <stp>P</stp>
        <stp>0</stp>
        <stp>IR</stp>
        <stp>BONDKBPF331</stp>
        <stp>30년이하(당일)</stp>
        <stp>45523</stp>
        <stp/>
        <tr r="AQ77" s="2"/>
      </tp>
      <tp>
        <v>0</v>
        <stp/>
        <stp>P</stp>
        <stp>0</stp>
        <stp>IR</stp>
        <stp>BONDKBPF231</stp>
        <stp>30년이하(당일)</stp>
        <stp>45523</stp>
        <stp/>
        <tr r="AQ67" s="2"/>
      </tp>
      <tp>
        <v>6.3179999999999996</v>
        <stp/>
        <stp>P</stp>
        <stp>0</stp>
        <stp>IR</stp>
        <stp>BONDKBPF331</stp>
        <stp>20년이하(당일)</stp>
        <stp>45523</stp>
        <stp/>
        <tr r="AP77" s="2"/>
        <tr r="AP77" s="2"/>
      </tp>
      <tp>
        <v>0</v>
        <stp/>
        <stp>P</stp>
        <stp>0</stp>
        <stp>IR</stp>
        <stp>BONDKBPF331</stp>
        <stp>50년이하(당일)</stp>
        <stp>45523</stp>
        <stp/>
        <tr r="AR77" s="2"/>
      </tp>
      <tp>
        <v>0</v>
        <stp/>
        <stp>P</stp>
        <stp>0</stp>
        <stp>IR</stp>
        <stp>BONDKBPF231</stp>
        <stp>50년이하(당일)</stp>
        <stp>45523</stp>
        <stp/>
        <tr r="AR67" s="2"/>
      </tp>
      <tp>
        <v>3.5419999999999998</v>
        <stp/>
        <stp>P</stp>
        <stp>0</stp>
        <stp>IR</stp>
        <stp>BONDKIS3043123</stp>
        <stp>4년이하(당일)</stp>
        <stp>45523</stp>
        <stp/>
        <tr r="BA19" s="2"/>
        <tr r="BA19" s="2"/>
      </tp>
      <tp>
        <v>3.8149999999999999</v>
        <stp/>
        <stp>P</stp>
        <stp>0</stp>
        <stp>IR</stp>
        <stp>BONDKIS5043123</stp>
        <stp>2년이하(당일)</stp>
        <stp>45523</stp>
        <stp/>
        <tr r="AX30" s="2"/>
        <tr r="AX30" s="2"/>
      </tp>
      <tp>
        <v>3.407</v>
        <stp/>
        <stp>P</stp>
        <stp>0</stp>
        <stp>IR</stp>
        <stp>BONDKIS3043122</stp>
        <stp>4년이하(당일)</stp>
        <stp>45523</stp>
        <stp/>
        <tr r="BA18" s="2"/>
        <tr r="BA18" s="2"/>
      </tp>
      <tp>
        <v>3.5529999999999999</v>
        <stp/>
        <stp>P</stp>
        <stp>0</stp>
        <stp>IR</stp>
        <stp>BONDKIS5043122</stp>
        <stp>2년이하(당일)</stp>
        <stp>45523</stp>
        <stp/>
        <tr r="AX29" s="2"/>
        <tr r="AX29" s="2"/>
      </tp>
      <tp>
        <v>3.2629999999999999</v>
        <stp/>
        <stp>P</stp>
        <stp>0</stp>
        <stp>IR</stp>
        <stp>BONDKIS3043121</stp>
        <stp>4년이하(당일)</stp>
        <stp>45523</stp>
        <stp/>
        <tr r="BA17" s="2"/>
        <tr r="BA17" s="2"/>
      </tp>
      <tp>
        <v>3.327</v>
        <stp/>
        <stp>P</stp>
        <stp>0</stp>
        <stp>IR</stp>
        <stp>BONDKIS5043121</stp>
        <stp>2년이하(당일)</stp>
        <stp>45523</stp>
        <stp/>
        <tr r="AX28" s="2"/>
        <tr r="AX28" s="2"/>
      </tp>
      <tp>
        <v>3.4180000000000001</v>
        <stp/>
        <stp>P</stp>
        <stp>0</stp>
        <stp>IR</stp>
        <stp>BONDKIS6013122</stp>
        <stp>1년이하(당일)</stp>
        <stp>45523</stp>
        <stp/>
        <tr r="AV44" s="2"/>
        <tr r="AV44" s="2"/>
      </tp>
      <tp>
        <v>3.4830000000000001</v>
        <stp/>
        <stp>P</stp>
        <stp>0</stp>
        <stp>IR</stp>
        <stp>BONDKIS6013123</stp>
        <stp>1년이하(당일)</stp>
        <stp>45523</stp>
        <stp/>
        <tr r="AV45" s="2"/>
        <tr r="AV45" s="2"/>
      </tp>
      <tp>
        <v>3.3809999999999998</v>
        <stp/>
        <stp>P</stp>
        <stp>0</stp>
        <stp>IR</stp>
        <stp>BONDKIS6013121</stp>
        <stp>1년이하(당일)</stp>
        <stp>45523</stp>
        <stp/>
        <tr r="AV43" s="2"/>
        <tr r="AV43" s="2"/>
      </tp>
      <tp>
        <v>3.2589999999999999</v>
        <stp/>
        <stp>P</stp>
        <stp>0</stp>
        <stp>IR</stp>
        <stp>BONDKSD3040121</stp>
        <stp>4년이하(당일)</stp>
        <stp>45523</stp>
        <stp/>
        <tr r="CW17" s="2"/>
        <tr r="CW17" s="2"/>
      </tp>
      <tp>
        <v>3.399</v>
        <stp/>
        <stp>P</stp>
        <stp>0</stp>
        <stp>IR</stp>
        <stp>BONDKSD3040120</stp>
        <stp>4년이하(당일)</stp>
        <stp>45523</stp>
        <stp/>
        <tr r="CW18" s="2"/>
        <tr r="CW18" s="2"/>
      </tp>
      <tp>
        <v>3.548</v>
        <stp/>
        <stp>P</stp>
        <stp>0</stp>
        <stp>IR</stp>
        <stp>BONDKSD5040120</stp>
        <stp>2년이하(당일)</stp>
        <stp>45523</stp>
        <stp/>
        <tr r="CT29" s="2"/>
        <tr r="CT29" s="2"/>
      </tp>
      <tp>
        <v>3.395</v>
        <stp/>
        <stp>P</stp>
        <stp>0</stp>
        <stp>IR</stp>
        <stp>BONDKSD6010121</stp>
        <stp>1년이하(당일)</stp>
        <stp>45523</stp>
        <stp/>
        <tr r="CR34" s="2"/>
        <tr r="CR34" s="2"/>
      </tp>
      <tp>
        <v>3.4260000000000002</v>
        <stp/>
        <stp>P</stp>
        <stp>0</stp>
        <stp>IR</stp>
        <stp>BONDKSD6010122</stp>
        <stp>1년이하(당일)</stp>
        <stp>45523</stp>
        <stp/>
        <tr r="CR35" s="2"/>
        <tr r="CR35" s="2"/>
      </tp>
      <tp>
        <v>3.4950000000000001</v>
        <stp/>
        <stp>P</stp>
        <stp>0</stp>
        <stp>IR</stp>
        <stp>BONDKSD6010123</stp>
        <stp>1년이하(당일)</stp>
        <stp>45523</stp>
        <stp/>
        <tr r="CR36" s="2"/>
        <tr r="CR36" s="2"/>
      </tp>
      <tp>
        <v>0</v>
        <stp/>
        <stp>P</stp>
        <stp>0</stp>
        <stp>IR</stp>
        <stp>BONDKBPE130</stp>
        <stp>30년이하(당일)</stp>
        <stp>45523</stp>
        <stp/>
        <tr r="AQ27" s="2"/>
      </tp>
      <tp>
        <v>6.4779999999999998</v>
        <stp/>
        <stp>P</stp>
        <stp>0</stp>
        <stp>IR</stp>
        <stp>BONDKBPE330</stp>
        <stp>10년이하(당일)</stp>
        <stp>45523</stp>
        <stp/>
        <tr r="AN48" s="2"/>
        <tr r="AN48" s="2"/>
      </tp>
      <tp>
        <v>3.718</v>
        <stp/>
        <stp>P</stp>
        <stp>0</stp>
        <stp>IR</stp>
        <stp>BONDKBPE130</stp>
        <stp>20년이하(당일)</stp>
        <stp>45523</stp>
        <stp/>
        <tr r="AP27" s="2"/>
        <tr r="AP27" s="2"/>
      </tp>
      <tp>
        <v>6.4779999999999998</v>
        <stp/>
        <stp>P</stp>
        <stp>0</stp>
        <stp>IR</stp>
        <stp>BONDKBPE230</stp>
        <stp>10년이하(당일)</stp>
        <stp>45523</stp>
        <stp/>
        <tr r="AN39" s="2"/>
        <tr r="AN39" s="2"/>
      </tp>
      <tp>
        <v>3.5539999999999998</v>
        <stp/>
        <stp>P</stp>
        <stp>0</stp>
        <stp>IR</stp>
        <stp>BONDKBPE130</stp>
        <stp>10년이하(당일)</stp>
        <stp>45523</stp>
        <stp/>
        <tr r="AN27" s="2"/>
        <tr r="AN27" s="2"/>
      </tp>
      <tp>
        <v>6.859</v>
        <stp/>
        <stp>P</stp>
        <stp>0</stp>
        <stp>IR</stp>
        <stp>BONDKBPE230</stp>
        <stp>20년이하(당일)</stp>
        <stp>45523</stp>
        <stp/>
        <tr r="AP39" s="2"/>
        <tr r="AP39" s="2"/>
      </tp>
      <tp>
        <v>0</v>
        <stp/>
        <stp>P</stp>
        <stp>0</stp>
        <stp>IR</stp>
        <stp>BONDKBPE330</stp>
        <stp>30년이하(당일)</stp>
        <stp>45523</stp>
        <stp/>
        <tr r="AQ48" s="2"/>
      </tp>
      <tp>
        <v>0</v>
        <stp/>
        <stp>P</stp>
        <stp>0</stp>
        <stp>IR</stp>
        <stp>BONDKBPE230</stp>
        <stp>30년이하(당일)</stp>
        <stp>45523</stp>
        <stp/>
        <tr r="AQ39" s="2"/>
      </tp>
      <tp>
        <v>6.859</v>
        <stp/>
        <stp>P</stp>
        <stp>0</stp>
        <stp>IR</stp>
        <stp>BONDKBPE330</stp>
        <stp>20년이하(당일)</stp>
        <stp>45523</stp>
        <stp/>
        <tr r="AP48" s="2"/>
        <tr r="AP48" s="2"/>
      </tp>
      <tp>
        <v>0</v>
        <stp/>
        <stp>P</stp>
        <stp>0</stp>
        <stp>IR</stp>
        <stp>BONDKBPE330</stp>
        <stp>50년이하(당일)</stp>
        <stp>45523</stp>
        <stp/>
        <tr r="AR48" s="2"/>
      </tp>
      <tp>
        <v>0</v>
        <stp/>
        <stp>P</stp>
        <stp>0</stp>
        <stp>IR</stp>
        <stp>BONDKBPE230</stp>
        <stp>50년이하(당일)</stp>
        <stp>45523</stp>
        <stp/>
        <tr r="AR39" s="2"/>
      </tp>
      <tp>
        <v>0</v>
        <stp/>
        <stp>P</stp>
        <stp>0</stp>
        <stp>IR</stp>
        <stp>BONDKBPE130</stp>
        <stp>50년이하(당일)</stp>
        <stp>45523</stp>
        <stp/>
        <tr r="AR27" s="2"/>
      </tp>
      <tp>
        <v>4.0199999999999996</v>
        <stp/>
        <stp>P</stp>
        <stp>0</stp>
        <stp>IR</stp>
        <stp>BONDKIS5053132</stp>
        <stp>2년이하(당일)</stp>
        <stp>45523</stp>
        <stp/>
        <tr r="AX32" s="2"/>
        <tr r="AX32" s="2"/>
      </tp>
      <tp>
        <v>4.1100000000000003</v>
        <stp/>
        <stp>P</stp>
        <stp>0</stp>
        <stp>IR</stp>
        <stp>BONDKIS5053133</stp>
        <stp>2년이하(당일)</stp>
        <stp>45523</stp>
        <stp/>
        <tr r="AX33" s="2"/>
        <tr r="AX33" s="2"/>
      </tp>
      <tp>
        <v>3.92</v>
        <stp/>
        <stp>P</stp>
        <stp>0</stp>
        <stp>IR</stp>
        <stp>BONDKIS5053131</stp>
        <stp>2년이하(당일)</stp>
        <stp>45523</stp>
        <stp/>
        <tr r="AX31" s="2"/>
        <tr r="AX31" s="2"/>
      </tp>
      <tp>
        <v>5.13</v>
        <stp/>
        <stp>P</stp>
        <stp>0</stp>
        <stp>IR</stp>
        <stp>BONDKIS6013132</stp>
        <stp>1년이하(당일)</stp>
        <stp>45523</stp>
        <stp/>
        <tr r="AV47" s="2"/>
        <tr r="AV47" s="2"/>
      </tp>
      <tp>
        <v>5.6849999999999996</v>
        <stp/>
        <stp>P</stp>
        <stp>0</stp>
        <stp>IR</stp>
        <stp>BONDKIS6013133</stp>
        <stp>1년이하(당일)</stp>
        <stp>45523</stp>
        <stp/>
        <tr r="AV48" s="2"/>
        <tr r="AV48" s="2"/>
      </tp>
      <tp>
        <v>4.38</v>
        <stp/>
        <stp>P</stp>
        <stp>0</stp>
        <stp>IR</stp>
        <stp>BONDKIS6013131</stp>
        <stp>1년이하(당일)</stp>
        <stp>45523</stp>
        <stp/>
        <tr r="AV46" s="2"/>
        <tr r="AV46" s="2"/>
      </tp>
      <tp>
        <v>3.9169999999999998</v>
        <stp/>
        <stp>P</stp>
        <stp>0</stp>
        <stp>IR</stp>
        <stp>BONDKSD5050131</stp>
        <stp>2년이하(당일)</stp>
        <stp>45523</stp>
        <stp/>
        <tr r="CT31" s="2"/>
        <tr r="CT31" s="2"/>
      </tp>
      <tp>
        <v>4.3869999999999996</v>
        <stp/>
        <stp>P</stp>
        <stp>0</stp>
        <stp>IR</stp>
        <stp>BONDKSD6010131</stp>
        <stp>1년이하(당일)</stp>
        <stp>45523</stp>
        <stp/>
        <tr r="CR37" s="2"/>
        <tr r="CR37" s="2"/>
      </tp>
      <tp>
        <v>5.1280000000000001</v>
        <stp/>
        <stp>P</stp>
        <stp>0</stp>
        <stp>IR</stp>
        <stp>BONDKSD6010132</stp>
        <stp>1년이하(당일)</stp>
        <stp>45523</stp>
        <stp/>
        <tr r="CR38" s="2"/>
        <tr r="CR38" s="2"/>
      </tp>
      <tp>
        <v>5.6879999999999997</v>
        <stp/>
        <stp>P</stp>
        <stp>0</stp>
        <stp>IR</stp>
        <stp>BONDKSD6010133</stp>
        <stp>1년이하(당일)</stp>
        <stp>45523</stp>
        <stp/>
        <tr r="CR39" s="2"/>
        <tr r="CR39" s="2"/>
      </tp>
      <tp>
        <v>7.4279999999999999</v>
        <stp/>
        <stp>P</stp>
        <stp>0</stp>
        <stp>IR</stp>
        <stp>BONDFNP6010211</stp>
        <stp>5년이하(당일)</stp>
        <stp>45523</stp>
        <stp/>
        <tr r="CH40" s="2"/>
        <tr r="CH40" s="2"/>
      </tp>
      <tp>
        <v>7.2140000000000004</v>
        <stp/>
        <stp>P</stp>
        <stp>0</stp>
        <stp>IR</stp>
        <stp>BONDFNP7010211</stp>
        <stp>4년이하(당일)</stp>
        <stp>45523</stp>
        <stp/>
        <tr r="CG70" s="2"/>
        <tr r="CG70" s="2"/>
      </tp>
      <tp>
        <v>3.0819999999999999</v>
        <stp/>
        <stp>P</stp>
        <stp>0</stp>
        <stp>IR</stp>
        <stp>BONDFNP5010110</stp>
        <stp>5년이하(당일)</stp>
        <stp>45523</stp>
        <stp/>
        <tr r="CH23" s="2"/>
        <tr r="CH23" s="2"/>
      </tp>
      <tp>
        <v>3.35</v>
        <stp/>
        <stp>P</stp>
        <stp>0</stp>
        <stp>IR</stp>
        <stp>BONDFNP7010110</stp>
        <stp>7년이하(당일)</stp>
        <stp>45523</stp>
        <stp/>
        <tr r="CI63" s="2"/>
        <tr r="CI63" s="2"/>
      </tp>
      <tp>
        <v>3.09</v>
        <stp/>
        <stp>P</stp>
        <stp>0</stp>
        <stp>IR</stp>
        <stp>BONDFNP5020110</stp>
        <stp>5년이하(당일)</stp>
        <stp>45523</stp>
        <stp/>
        <tr r="CH25" s="2"/>
        <tr r="CH25" s="2"/>
      </tp>
      <tp>
        <v>9.8460000000000001</v>
        <stp/>
        <stp>P</stp>
        <stp>0</stp>
        <stp>IR</stp>
        <stp>BONDFNP6010213</stp>
        <stp>5년이하(당일)</stp>
        <stp>45523</stp>
        <stp/>
        <tr r="CH42" s="2"/>
        <tr r="CH42" s="2"/>
      </tp>
      <tp>
        <v>9.6720000000000006</v>
        <stp/>
        <stp>P</stp>
        <stp>0</stp>
        <stp>IR</stp>
        <stp>BONDFNP7010213</stp>
        <stp>4년이하(당일)</stp>
        <stp>45523</stp>
        <stp/>
        <tr r="CG72" s="2"/>
        <tr r="CG72" s="2"/>
      </tp>
      <tp>
        <v>3.3029999999999999</v>
        <stp/>
        <stp>P</stp>
        <stp>0</stp>
        <stp>IR</stp>
        <stp>BONDFNP7020110</stp>
        <stp>7년이하(당일)</stp>
        <stp>45523</stp>
        <stp/>
        <tr r="CI52" s="2"/>
        <tr r="CI52" s="2"/>
      </tp>
      <tp>
        <v>3.3220000000000001</v>
        <stp/>
        <stp>P</stp>
        <stp>0</stp>
        <stp>IR</stp>
        <stp>BONDFNP7020210</stp>
        <stp>4년이하(당일)</stp>
        <stp>45523</stp>
        <stp/>
        <tr r="CG55" s="2"/>
        <tr r="CG55" s="2"/>
      </tp>
      <tp>
        <v>3.1520000000000001</v>
        <stp/>
        <stp>P</stp>
        <stp>0</stp>
        <stp>IR</stp>
        <stp>BONDFNP3030110</stp>
        <stp>3년이하(당일)</stp>
        <stp>45523</stp>
        <stp/>
        <tr r="CF16" s="2"/>
        <tr r="CF16" s="2"/>
      </tp>
      <tp>
        <v>3.21</v>
        <stp/>
        <stp>P</stp>
        <stp>0</stp>
        <stp>IR</stp>
        <stp>BONDFNP5030110</stp>
        <stp>5년이하(당일)</stp>
        <stp>45523</stp>
        <stp/>
        <tr r="CH27" s="2"/>
        <tr r="CH27" s="2"/>
      </tp>
      <tp>
        <v>8.468</v>
        <stp/>
        <stp>P</stp>
        <stp>0</stp>
        <stp>IR</stp>
        <stp>BONDFNP6010212</stp>
        <stp>5년이하(당일)</stp>
        <stp>45523</stp>
        <stp/>
        <tr r="CH41" s="2"/>
        <tr r="CH41" s="2"/>
      </tp>
      <tp>
        <v>8.2579999999999991</v>
        <stp/>
        <stp>P</stp>
        <stp>0</stp>
        <stp>IR</stp>
        <stp>BONDFNP7010212</stp>
        <stp>4년이하(당일)</stp>
        <stp>45523</stp>
        <stp/>
        <tr r="CG71" s="2"/>
        <tr r="CG71" s="2"/>
      </tp>
      <tp>
        <v>0</v>
        <stp/>
        <stp>P</stp>
        <stp>0</stp>
        <stp>IR</stp>
        <stp>BONDFNP4000000</stp>
        <stp>5년이하(당일)</stp>
        <stp>45523</stp>
        <stp/>
        <tr r="CH20" s="2"/>
      </tp>
      <tp>
        <v>3.13</v>
        <stp/>
        <stp>P</stp>
        <stp>0</stp>
        <stp>IR</stp>
        <stp>BONDFNP2010000</stp>
        <stp>3년이하(당일)</stp>
        <stp>45523</stp>
        <stp/>
        <tr r="CF13" s="2"/>
        <tr r="CF13" s="2"/>
      </tp>
      <tp>
        <v>3.13</v>
        <stp/>
        <stp>P</stp>
        <stp>0</stp>
        <stp>IR</stp>
        <stp>BONDFNP2020000</stp>
        <stp>3년이하(당일)</stp>
        <stp>45523</stp>
        <stp/>
        <tr r="CF14" s="2"/>
        <tr r="CF14" s="2"/>
      </tp>
      <tp>
        <v>3.1150000000000002</v>
        <stp/>
        <stp>P</stp>
        <stp>0</stp>
        <stp>IR</stp>
        <stp>BONDFNP3050000</stp>
        <stp>2년이하(당일)</stp>
        <stp>45523</stp>
        <stp/>
        <tr r="CD15" s="2"/>
        <tr r="CD15" s="2"/>
      </tp>
      <tp>
        <v>3.1779999999999999</v>
        <stp/>
        <stp>P</stp>
        <stp>0</stp>
        <stp>IR</stp>
        <stp>BONDFNP4050000</stp>
        <stp>5년이하(당일)</stp>
        <stp>45523</stp>
        <stp/>
        <tr r="CH22" s="2"/>
        <tr r="CH22" s="2"/>
      </tp>
      <tp>
        <v>3.18</v>
        <stp/>
        <stp>P</stp>
        <stp>0</stp>
        <stp>IR</stp>
        <stp>BONDFNP3060000</stp>
        <stp>2년이하(당일)</stp>
        <stp>45523</stp>
        <stp/>
        <tr r="CD83" s="2"/>
        <tr r="CD83" s="2"/>
      </tp>
      <tp>
        <v>4.4969999999999999</v>
        <stp/>
        <stp>P</stp>
        <stp>0</stp>
        <stp>IR</stp>
        <stp>BONDFNP7010131</stp>
        <stp>7년이하(당일)</stp>
        <stp>45523</stp>
        <stp/>
        <tr r="CI67" s="2"/>
        <tr r="CI67" s="2"/>
      </tp>
      <tp>
        <v>5.4880000000000004</v>
        <stp/>
        <stp>P</stp>
        <stp>0</stp>
        <stp>IR</stp>
        <stp>BONDFNP7010133</stp>
        <stp>7년이하(당일)</stp>
        <stp>45523</stp>
        <stp/>
        <tr r="CI69" s="2"/>
        <tr r="CI69" s="2"/>
      </tp>
      <tp>
        <v>3.6070000000000002</v>
        <stp/>
        <stp>P</stp>
        <stp>0</stp>
        <stp>IR</stp>
        <stp>BONDFNP7020130</stp>
        <stp>7년이하(당일)</stp>
        <stp>45523</stp>
        <stp/>
        <tr r="CI54" s="2"/>
        <tr r="CI54" s="2"/>
      </tp>
      <tp>
        <v>4.9340000000000002</v>
        <stp/>
        <stp>P</stp>
        <stp>0</stp>
        <stp>IR</stp>
        <stp>BONDFNP7010132</stp>
        <stp>7년이하(당일)</stp>
        <stp>45523</stp>
        <stp/>
        <tr r="CI68" s="2"/>
        <tr r="CI68" s="2"/>
      </tp>
      <tp>
        <v>3.9620000000000002</v>
        <stp/>
        <stp>P</stp>
        <stp>0</stp>
        <stp>IR</stp>
        <stp>BONDFNP5050131</stp>
        <stp>5년이하(당일)</stp>
        <stp>45523</stp>
        <stp/>
        <tr r="CH31" s="2"/>
        <tr r="CH31" s="2"/>
      </tp>
      <tp>
        <v>4.2190000000000003</v>
        <stp/>
        <stp>P</stp>
        <stp>0</stp>
        <stp>IR</stp>
        <stp>BONDFNP5050133</stp>
        <stp>5년이하(당일)</stp>
        <stp>45523</stp>
        <stp/>
        <tr r="CH33" s="2"/>
        <tr r="CH33" s="2"/>
      </tp>
      <tp>
        <v>4.0890000000000004</v>
        <stp/>
        <stp>P</stp>
        <stp>0</stp>
        <stp>IR</stp>
        <stp>BONDFNP5050132</stp>
        <stp>5년이하(당일)</stp>
        <stp>45523</stp>
        <stp/>
        <tr r="CH32" s="2"/>
        <tr r="CH32" s="2"/>
      </tp>
      <tp>
        <v>3.492</v>
        <stp/>
        <stp>P</stp>
        <stp>0</stp>
        <stp>IR</stp>
        <stp>BONDFNP7010121</stp>
        <stp>7년이하(당일)</stp>
        <stp>45523</stp>
        <stp/>
        <tr r="CI64" s="2"/>
        <tr r="CI64" s="2"/>
      </tp>
      <tp>
        <v>3.7930000000000001</v>
        <stp/>
        <stp>P</stp>
        <stp>0</stp>
        <stp>IR</stp>
        <stp>BONDFNP7010123</stp>
        <stp>7년이하(당일)</stp>
        <stp>45523</stp>
        <stp/>
        <tr r="CI66" s="2"/>
        <tr r="CI66" s="2"/>
      </tp>
      <tp>
        <v>3.4129999999999998</v>
        <stp/>
        <stp>P</stp>
        <stp>0</stp>
        <stp>IR</stp>
        <stp>BONDFNP7020120</stp>
        <stp>7년이하(당일)</stp>
        <stp>45523</stp>
        <stp/>
        <tr r="CI53" s="2"/>
        <tr r="CI53" s="2"/>
      </tp>
      <tp>
        <v>3.589</v>
        <stp/>
        <stp>P</stp>
        <stp>0</stp>
        <stp>IR</stp>
        <stp>BONDFNP7010122</stp>
        <stp>7년이하(당일)</stp>
        <stp>45523</stp>
        <stp/>
        <tr r="CI65" s="2"/>
        <tr r="CI65" s="2"/>
      </tp>
      <tp>
        <v>3.2559999999999998</v>
        <stp/>
        <stp>P</stp>
        <stp>0</stp>
        <stp>IR</stp>
        <stp>BONDFNP3040121</stp>
        <stp>3년이하(당일)</stp>
        <stp>45523</stp>
        <stp/>
        <tr r="CF17" s="2"/>
        <tr r="CF17" s="2"/>
      </tp>
      <tp>
        <v>3.3159999999999998</v>
        <stp/>
        <stp>P</stp>
        <stp>0</stp>
        <stp>IR</stp>
        <stp>BONDFNP5040121</stp>
        <stp>5년이하(당일)</stp>
        <stp>45523</stp>
        <stp/>
        <tr r="CH28" s="2"/>
        <tr r="CH28" s="2"/>
      </tp>
      <tp>
        <v>3.399</v>
        <stp/>
        <stp>P</stp>
        <stp>0</stp>
        <stp>IR</stp>
        <stp>BONDFNP3040122</stp>
        <stp>3년이하(당일)</stp>
        <stp>45523</stp>
        <stp/>
        <tr r="CF18" s="2"/>
        <tr r="CF18" s="2"/>
      </tp>
      <tp>
        <v>3.59</v>
        <stp/>
        <stp>P</stp>
        <stp>0</stp>
        <stp>IR</stp>
        <stp>BONDFNP5040122</stp>
        <stp>5년이하(당일)</stp>
        <stp>45523</stp>
        <stp/>
        <tr r="CH29" s="2"/>
        <tr r="CH29" s="2"/>
      </tp>
      <tp>
        <v>3.5419999999999998</v>
        <stp/>
        <stp>P</stp>
        <stp>0</stp>
        <stp>IR</stp>
        <stp>BONDFNP3040123</stp>
        <stp>3년이하(당일)</stp>
        <stp>45523</stp>
        <stp/>
        <tr r="CF19" s="2"/>
        <tr r="CF19" s="2"/>
      </tp>
      <tp>
        <v>3.835</v>
        <stp/>
        <stp>P</stp>
        <stp>0</stp>
        <stp>IR</stp>
        <stp>BONDFNP5040123</stp>
        <stp>5년이하(당일)</stp>
        <stp>45523</stp>
        <stp/>
        <tr r="CH30" s="2"/>
        <tr r="CH30" s="2"/>
      </tp>
      <tp>
        <v>3.5249999999999999</v>
        <stp/>
        <stp>P</stp>
        <stp>0</stp>
        <stp>IR</stp>
        <stp>BONDNIC3040113</stp>
        <stp>3년이하(당일)</stp>
        <stp>45523</stp>
        <stp/>
        <tr r="BP19" s="2"/>
        <tr r="BP19" s="2"/>
      </tp>
      <tp>
        <v>3.8170000000000002</v>
        <stp/>
        <stp>P</stp>
        <stp>0</stp>
        <stp>IR</stp>
        <stp>BONDNIC5040113</stp>
        <stp>5년이하(당일)</stp>
        <stp>45523</stp>
        <stp/>
        <tr r="BR30" s="2"/>
        <tr r="BR30" s="2"/>
      </tp>
      <tp>
        <v>4.0960000000000001</v>
        <stp/>
        <stp>P</stp>
        <stp>0</stp>
        <stp>IR</stp>
        <stp>BONDNIC5050112</stp>
        <stp>5년이하(당일)</stp>
        <stp>45523</stp>
        <stp/>
        <tr r="BR32" s="2"/>
        <tr r="BR32" s="2"/>
      </tp>
      <tp>
        <v>3.7749999999999999</v>
        <stp/>
        <stp>P</stp>
        <stp>0</stp>
        <stp>IR</stp>
        <stp>BONDNIC7040113</stp>
        <stp>7년이하(당일)</stp>
        <stp>45523</stp>
        <stp/>
        <tr r="BS66" s="2"/>
        <tr r="BS66" s="2"/>
      </tp>
      <tp>
        <v>4.9489999999999998</v>
        <stp/>
        <stp>P</stp>
        <stp>0</stp>
        <stp>IR</stp>
        <stp>BONDNIC7050112</stp>
        <stp>7년이하(당일)</stp>
        <stp>45523</stp>
        <stp/>
        <tr r="BS68" s="2"/>
        <tr r="BS68" s="2"/>
      </tp>
      <tp>
        <v>7.3760000000000003</v>
        <stp/>
        <stp>P</stp>
        <stp>0</stp>
        <stp>IR</stp>
        <stp>BONDNIC7060111</stp>
        <stp>7년이하(당일)</stp>
        <stp>45523</stp>
        <stp/>
        <tr r="BS70" s="2"/>
        <tr r="BS70" s="2"/>
      </tp>
      <tp>
        <v>3.3959999999999999</v>
        <stp/>
        <stp>P</stp>
        <stp>0</stp>
        <stp>IR</stp>
        <stp>BONDNIC3040112</stp>
        <stp>3년이하(당일)</stp>
        <stp>45523</stp>
        <stp/>
        <tr r="BP18" s="2"/>
        <tr r="BP18" s="2"/>
      </tp>
      <tp>
        <v>3.5840000000000001</v>
        <stp/>
        <stp>P</stp>
        <stp>0</stp>
        <stp>IR</stp>
        <stp>BONDNIC5040112</stp>
        <stp>5년이하(당일)</stp>
        <stp>45523</stp>
        <stp/>
        <tr r="BR29" s="2"/>
        <tr r="BR29" s="2"/>
      </tp>
      <tp>
        <v>4.1859999999999999</v>
        <stp/>
        <stp>P</stp>
        <stp>0</stp>
        <stp>IR</stp>
        <stp>BONDNIC5050113</stp>
        <stp>5년이하(당일)</stp>
        <stp>45523</stp>
        <stp/>
        <tr r="BR33" s="2"/>
        <tr r="BR33" s="2"/>
      </tp>
      <tp>
        <v>3.5760000000000001</v>
        <stp/>
        <stp>P</stp>
        <stp>0</stp>
        <stp>IR</stp>
        <stp>BONDNIC7040112</stp>
        <stp>7년이하(당일)</stp>
        <stp>45523</stp>
        <stp/>
        <tr r="BS65" s="2"/>
        <tr r="BS65" s="2"/>
      </tp>
      <tp>
        <v>5.5140000000000002</v>
        <stp/>
        <stp>P</stp>
        <stp>0</stp>
        <stp>IR</stp>
        <stp>BONDNIC7050113</stp>
        <stp>7년이하(당일)</stp>
        <stp>45523</stp>
        <stp/>
        <tr r="BS69" s="2"/>
        <tr r="BS69" s="2"/>
      </tp>
      <tp>
        <v>3.2530000000000001</v>
        <stp/>
        <stp>P</stp>
        <stp>0</stp>
        <stp>IR</stp>
        <stp>BONDNIC3040111</stp>
        <stp>3년이하(당일)</stp>
        <stp>45523</stp>
        <stp/>
        <tr r="BP17" s="2"/>
        <tr r="BP17" s="2"/>
      </tp>
      <tp>
        <v>3.3149999999999999</v>
        <stp/>
        <stp>P</stp>
        <stp>0</stp>
        <stp>IR</stp>
        <stp>BONDNIC5040111</stp>
        <stp>5년이하(당일)</stp>
        <stp>45523</stp>
        <stp/>
        <tr r="BR28" s="2"/>
        <tr r="BR28" s="2"/>
      </tp>
      <tp>
        <v>3.4780000000000002</v>
        <stp/>
        <stp>P</stp>
        <stp>0</stp>
        <stp>IR</stp>
        <stp>BONDNIC7040111</stp>
        <stp>7년이하(당일)</stp>
        <stp>45523</stp>
        <stp/>
        <tr r="BS64" s="2"/>
        <tr r="BS64" s="2"/>
      </tp>
      <tp>
        <v>9.8539999999999992</v>
        <stp/>
        <stp>P</stp>
        <stp>0</stp>
        <stp>IR</stp>
        <stp>BONDNIC7060113</stp>
        <stp>7년이하(당일)</stp>
        <stp>45523</stp>
        <stp/>
        <tr r="BS72" s="2"/>
        <tr r="BS72" s="2"/>
      </tp>
      <tp>
        <v>3.97</v>
        <stp/>
        <stp>P</stp>
        <stp>0</stp>
        <stp>IR</stp>
        <stp>BONDNIC5050111</stp>
        <stp>5년이하(당일)</stp>
        <stp>45523</stp>
        <stp/>
        <tr r="BR31" s="2"/>
        <tr r="BR31" s="2"/>
      </tp>
      <tp>
        <v>4.5410000000000004</v>
        <stp/>
        <stp>P</stp>
        <stp>0</stp>
        <stp>IR</stp>
        <stp>BONDNIC7050111</stp>
        <stp>7년이하(당일)</stp>
        <stp>45523</stp>
        <stp/>
        <tr r="BS67" s="2"/>
        <tr r="BS67" s="2"/>
      </tp>
      <tp>
        <v>8.4160000000000004</v>
        <stp/>
        <stp>P</stp>
        <stp>0</stp>
        <stp>IR</stp>
        <stp>BONDNIC7060112</stp>
        <stp>7년이하(당일)</stp>
        <stp>45523</stp>
        <stp/>
        <tr r="BS71" s="2"/>
        <tr r="BS71" s="2"/>
      </tp>
      <tp>
        <v>3.1429999999999998</v>
        <stp/>
        <stp>P</stp>
        <stp>0</stp>
        <stp>IR</stp>
        <stp>BONDNIC3030110</stp>
        <stp>3년이하(당일)</stp>
        <stp>45523</stp>
        <stp/>
        <tr r="BP16" s="2"/>
        <tr r="BP16" s="2"/>
      </tp>
      <tp>
        <v>3.206</v>
        <stp/>
        <stp>P</stp>
        <stp>0</stp>
        <stp>IR</stp>
        <stp>BONDNIC5030110</stp>
        <stp>5년이하(당일)</stp>
        <stp>45523</stp>
        <stp/>
        <tr r="BR27" s="2"/>
        <tr r="BR27" s="2"/>
      </tp>
      <tp>
        <v>3.3519999999999999</v>
        <stp/>
        <stp>P</stp>
        <stp>0</stp>
        <stp>IR</stp>
        <stp>BONDNIC7030110</stp>
        <stp>7년이하(당일)</stp>
        <stp>45523</stp>
        <stp/>
        <tr r="BS63" s="2"/>
        <tr r="BS63" s="2"/>
      </tp>
      <tp>
        <v>3.0910000000000002</v>
        <stp/>
        <stp>P</stp>
        <stp>0</stp>
        <stp>IR</stp>
        <stp>BONDNIC5020110</stp>
        <stp>5년이하(당일)</stp>
        <stp>45523</stp>
        <stp/>
        <tr r="BR25" s="2"/>
        <tr r="BR25" s="2"/>
      </tp>
      <tp>
        <v>3.081</v>
        <stp/>
        <stp>P</stp>
        <stp>0</stp>
        <stp>IR</stp>
        <stp>BONDNIC5010110</stp>
        <stp>5년이하(당일)</stp>
        <stp>45523</stp>
        <stp/>
        <tr r="BR23" s="2"/>
        <tr r="BR23" s="2"/>
      </tp>
      <tp>
        <v>3.7749999999999999</v>
        <stp/>
        <stp>P</stp>
        <stp>0</stp>
        <stp>IR</stp>
        <stp>BONDNIC7140113</stp>
        <stp>7년이하(당일)</stp>
        <stp>45523</stp>
        <stp/>
        <tr r="BS59" s="2"/>
        <tr r="BS59" s="2"/>
      </tp>
      <tp>
        <v>4.9489999999999998</v>
        <stp/>
        <stp>P</stp>
        <stp>0</stp>
        <stp>IR</stp>
        <stp>BONDNIC7150112</stp>
        <stp>7년이하(당일)</stp>
        <stp>45523</stp>
        <stp/>
        <tr r="BS61" s="2"/>
        <tr r="BS61" s="2"/>
      </tp>
      <tp>
        <v>3.5760000000000001</v>
        <stp/>
        <stp>P</stp>
        <stp>0</stp>
        <stp>IR</stp>
        <stp>BONDNIC7140112</stp>
        <stp>7년이하(당일)</stp>
        <stp>45523</stp>
        <stp/>
        <tr r="BS58" s="2"/>
        <tr r="BS58" s="2"/>
      </tp>
      <tp>
        <v>5.5140000000000002</v>
        <stp/>
        <stp>P</stp>
        <stp>0</stp>
        <stp>IR</stp>
        <stp>BONDNIC7150113</stp>
        <stp>7년이하(당일)</stp>
        <stp>45523</stp>
        <stp/>
        <tr r="BS62" s="2"/>
        <tr r="BS62" s="2"/>
      </tp>
      <tp>
        <v>3.1019999999999999</v>
        <stp/>
        <stp>P</stp>
        <stp>0</stp>
        <stp>IR</stp>
        <stp>BONDNIC3050000</stp>
        <stp>2년이하(당일)</stp>
        <stp>45523</stp>
        <stp/>
        <tr r="BN15" s="2"/>
        <tr r="BN15" s="2"/>
      </tp>
      <tp>
        <v>3.1560000000000001</v>
        <stp/>
        <stp>P</stp>
        <stp>0</stp>
        <stp>IR</stp>
        <stp>BONDNIC4050000</stp>
        <stp>5년이하(당일)</stp>
        <stp>45523</stp>
        <stp/>
        <tr r="BR22" s="2"/>
        <tr r="BR22" s="2"/>
      </tp>
      <tp>
        <v>3.4780000000000002</v>
        <stp/>
        <stp>P</stp>
        <stp>0</stp>
        <stp>IR</stp>
        <stp>BONDNIC7140111</stp>
        <stp>7년이하(당일)</stp>
        <stp>45523</stp>
        <stp/>
        <tr r="BS57" s="2"/>
        <tr r="BS57" s="2"/>
      </tp>
      <tp>
        <v>4.5410000000000004</v>
        <stp/>
        <stp>P</stp>
        <stp>0</stp>
        <stp>IR</stp>
        <stp>BONDNIC7150111</stp>
        <stp>7년이하(당일)</stp>
        <stp>45523</stp>
        <stp/>
        <tr r="BS60" s="2"/>
        <tr r="BS60" s="2"/>
      </tp>
      <tp>
        <v>3.3519999999999999</v>
        <stp/>
        <stp>P</stp>
        <stp>0</stp>
        <stp>IR</stp>
        <stp>BONDNIC7130110</stp>
        <stp>7년이하(당일)</stp>
        <stp>45523</stp>
        <stp/>
        <tr r="BS56" s="2"/>
        <tr r="BS56" s="2"/>
      </tp>
      <tp>
        <v>3.1019999999999999</v>
        <stp/>
        <stp>P</stp>
        <stp>0</stp>
        <stp>IR</stp>
        <stp>BONDNIC2020000</stp>
        <stp>3년이하(당일)</stp>
        <stp>45523</stp>
        <stp/>
        <tr r="BP14" s="2"/>
        <tr r="BP14" s="2"/>
      </tp>
      <tp>
        <v>3.1019999999999999</v>
        <stp/>
        <stp>P</stp>
        <stp>0</stp>
        <stp>IR</stp>
        <stp>BONDNIC2010000</stp>
        <stp>3년이하(당일)</stp>
        <stp>45523</stp>
        <stp/>
        <tr r="BP13" s="2"/>
        <tr r="BP13" s="2"/>
      </tp>
      <tp t="s">
        <v/>
        <stp/>
        <stp>P</stp>
        <stp>0</stp>
        <stp>IR</stp>
        <stp>BONDNIC4000000</stp>
        <stp>5년이하(당일)</stp>
        <stp>45523</stp>
        <stp/>
        <tr r="BR20" s="2"/>
        <tr r="BR20" s="2"/>
      </tp>
      <tp>
        <v>0</v>
        <stp/>
        <stp>P</stp>
        <stp>0</stp>
        <stp>IR</stp>
        <stp>BONDKBPE144</stp>
        <stp>30년이하(당일)</stp>
        <stp>45523</stp>
        <stp/>
        <tr r="AQ28" s="2"/>
      </tp>
      <tp>
        <v>3.9</v>
        <stp/>
        <stp>P</stp>
        <stp>0</stp>
        <stp>IR</stp>
        <stp>BONDKBPE144</stp>
        <stp>20년이하(당일)</stp>
        <stp>45523</stp>
        <stp/>
        <tr r="AP28" s="2"/>
        <tr r="AP28" s="2"/>
      </tp>
      <tp>
        <v>3.6070000000000002</v>
        <stp/>
        <stp>P</stp>
        <stp>0</stp>
        <stp>IR</stp>
        <stp>BONDKBPE144</stp>
        <stp>10년이하(당일)</stp>
        <stp>45523</stp>
        <stp/>
        <tr r="AN28" s="2"/>
        <tr r="AN28" s="2"/>
      </tp>
      <tp>
        <v>0</v>
        <stp/>
        <stp>P</stp>
        <stp>0</stp>
        <stp>IR</stp>
        <stp>BONDKBPE144</stp>
        <stp>50년이하(당일)</stp>
        <stp>45523</stp>
        <stp/>
        <tr r="AR28" s="2"/>
      </tp>
      <tp>
        <v>0</v>
        <stp/>
        <stp>P</stp>
        <stp>0</stp>
        <stp>IR</stp>
        <stp>BONDKBPF144</stp>
        <stp>30년이하(당일)</stp>
        <stp>45523</stp>
        <stp/>
        <tr r="AQ55" s="2"/>
      </tp>
      <tp>
        <v>7.1550000000000002</v>
        <stp/>
        <stp>P</stp>
        <stp>0</stp>
        <stp>IR</stp>
        <stp>BONDKBPF144</stp>
        <stp>20년이하(당일)</stp>
        <stp>45523</stp>
        <stp/>
        <tr r="AP55" s="2"/>
        <tr r="AP55" s="2"/>
      </tp>
      <tp>
        <v>3.875</v>
        <stp/>
        <stp>P</stp>
        <stp>0</stp>
        <stp>IR</stp>
        <stp>BONDKBPF114</stp>
        <stp>15년이하(당일)</stp>
        <stp>45523</stp>
        <stp/>
        <tr r="AO52" s="2"/>
        <tr r="AO52" s="2"/>
      </tp>
      <tp>
        <v>6.5119999999999996</v>
        <stp/>
        <stp>P</stp>
        <stp>0</stp>
        <stp>IR</stp>
        <stp>BONDKBPF144</stp>
        <stp>10년이하(당일)</stp>
        <stp>45523</stp>
        <stp/>
        <tr r="AN55" s="2"/>
        <tr r="AN55" s="2"/>
      </tp>
      <tp>
        <v>0</v>
        <stp/>
        <stp>P</stp>
        <stp>0</stp>
        <stp>IR</stp>
        <stp>BONDKBPF144</stp>
        <stp>50년이하(당일)</stp>
        <stp>45523</stp>
        <stp/>
        <tr r="AR55" s="2"/>
      </tp>
      <tp>
        <v>11.068</v>
        <stp/>
        <stp>P</stp>
        <stp>0</stp>
        <stp>IR</stp>
        <stp>BONDKBPF343</stp>
        <stp>10년이하(당일)</stp>
        <stp>45523</stp>
        <stp/>
        <tr r="AN82" s="2"/>
        <tr r="AN82" s="2"/>
      </tp>
      <tp>
        <v>10.217000000000001</v>
        <stp/>
        <stp>P</stp>
        <stp>0</stp>
        <stp>IR</stp>
        <stp>BONDKBPF243</stp>
        <stp>10년이하(당일)</stp>
        <stp>45523</stp>
        <stp/>
        <tr r="AN72" s="2"/>
        <tr r="AN72" s="2"/>
      </tp>
      <tp>
        <v>10.875999999999999</v>
        <stp/>
        <stp>P</stp>
        <stp>0</stp>
        <stp>IR</stp>
        <stp>BONDKBPF243</stp>
        <stp>20년이하(당일)</stp>
        <stp>45523</stp>
        <stp/>
        <tr r="AP72" s="2"/>
        <tr r="AP72" s="2"/>
      </tp>
      <tp>
        <v>0</v>
        <stp/>
        <stp>P</stp>
        <stp>0</stp>
        <stp>IR</stp>
        <stp>BONDKBPF343</stp>
        <stp>30년이하(당일)</stp>
        <stp>45523</stp>
        <stp/>
        <tr r="AQ82" s="2"/>
      </tp>
      <tp>
        <v>0</v>
        <stp/>
        <stp>P</stp>
        <stp>0</stp>
        <stp>IR</stp>
        <stp>BONDKBPF243</stp>
        <stp>30년이하(당일)</stp>
        <stp>45523</stp>
        <stp/>
        <tr r="AQ72" s="2"/>
      </tp>
      <tp>
        <v>11.712</v>
        <stp/>
        <stp>P</stp>
        <stp>0</stp>
        <stp>IR</stp>
        <stp>BONDKBPF343</stp>
        <stp>20년이하(당일)</stp>
        <stp>45523</stp>
        <stp/>
        <tr r="AP82" s="2"/>
        <tr r="AP82" s="2"/>
      </tp>
      <tp>
        <v>0</v>
        <stp/>
        <stp>P</stp>
        <stp>0</stp>
        <stp>IR</stp>
        <stp>BONDKBPF343</stp>
        <stp>50년이하(당일)</stp>
        <stp>45523</stp>
        <stp/>
        <tr r="AR82" s="2"/>
      </tp>
      <tp>
        <v>0</v>
        <stp/>
        <stp>P</stp>
        <stp>0</stp>
        <stp>IR</stp>
        <stp>BONDKBPF243</stp>
        <stp>50년이하(당일)</stp>
        <stp>45523</stp>
        <stp/>
        <tr r="AR72" s="2"/>
      </tp>
      <tp>
        <v>3.2949999999999999</v>
        <stp/>
        <stp>P</stp>
        <stp>0</stp>
        <stp>IR</stp>
        <stp>BONDKIS3060000</stp>
        <stp>2년이하(당일)</stp>
        <stp>45523</stp>
        <stp/>
        <tr r="AX83" s="2"/>
        <tr r="AX83" s="2"/>
      </tp>
      <tp>
        <v>3.145</v>
        <stp/>
        <stp>P</stp>
        <stp>0</stp>
        <stp>IR</stp>
        <stp>BONDKIS3050000</stp>
        <stp>2년이하(당일)</stp>
        <stp>45523</stp>
        <stp/>
        <tr r="AX15" s="2"/>
        <tr r="AX15" s="2"/>
      </tp>
      <tp>
        <v>3.169</v>
        <stp/>
        <stp>P</stp>
        <stp>0</stp>
        <stp>IR</stp>
        <stp>BONDKIS4050000</stp>
        <stp>5년이하(당일)</stp>
        <stp>45523</stp>
        <stp/>
        <tr r="BB22" s="2"/>
        <tr r="BB22" s="2"/>
      </tp>
      <tp>
        <v>3.1440000000000001</v>
        <stp/>
        <stp>P</stp>
        <stp>0</stp>
        <stp>IR</stp>
        <stp>BONDNIC7430110</stp>
        <stp>7년이하(당일)</stp>
        <stp>45523</stp>
        <stp/>
        <tr r="BS83" s="2"/>
        <tr r="BS83" s="2"/>
      </tp>
      <tp>
        <v>3.1509999999999998</v>
        <stp/>
        <stp>P</stp>
        <stp>0</stp>
        <stp>IR</stp>
        <stp>BONDKIS2020000</stp>
        <stp>3년이하(당일)</stp>
        <stp>45523</stp>
        <stp/>
        <tr r="AZ14" s="2"/>
        <tr r="AZ14" s="2"/>
      </tp>
      <tp>
        <v>3.1509999999999998</v>
        <stp/>
        <stp>P</stp>
        <stp>0</stp>
        <stp>IR</stp>
        <stp>BONDKIS2010000</stp>
        <stp>3년이하(당일)</stp>
        <stp>45523</stp>
        <stp/>
        <tr r="AZ13" s="2"/>
        <tr r="AZ13" s="2"/>
      </tp>
      <tp t="s">
        <v/>
        <stp/>
        <stp>P</stp>
        <stp>0</stp>
        <stp>IR</stp>
        <stp>BONDKIS4003000</stp>
        <stp>5년이하(당일)</stp>
        <stp>45523</stp>
        <stp/>
        <tr r="BB20" s="2"/>
        <tr r="BB20" s="2"/>
      </tp>
      <tp>
        <v>3.165</v>
        <stp/>
        <stp>P</stp>
        <stp>0</stp>
        <stp>IR</stp>
        <stp>BONDKSD4050000</stp>
        <stp>5년이하(당일)</stp>
        <stp>45523</stp>
        <stp/>
        <tr r="CX22" s="2"/>
        <tr r="CX22" s="2"/>
      </tp>
      <tp>
        <v>3.12</v>
        <stp/>
        <stp>P</stp>
        <stp>0</stp>
        <stp>IR</stp>
        <stp>BONDKSD3070000</stp>
        <stp>2년이하(당일)</stp>
        <stp>45523</stp>
        <stp/>
        <tr r="CT15" s="2"/>
        <tr r="CT15" s="2"/>
      </tp>
      <tp>
        <v>3.2069999999999999</v>
        <stp/>
        <stp>P</stp>
        <stp>0</stp>
        <stp>IR</stp>
        <stp>BONDKSD3060000</stp>
        <stp>2년이하(당일)</stp>
        <stp>45523</stp>
        <stp/>
        <tr r="CT83" s="2"/>
        <tr r="CT83" s="2"/>
      </tp>
      <tp>
        <v>3.1269999999999998</v>
        <stp/>
        <stp>P</stp>
        <stp>0</stp>
        <stp>IR</stp>
        <stp>BONDKSD2010000</stp>
        <stp>3년이하(당일)</stp>
        <stp>45523</stp>
        <stp/>
        <tr r="CV13" s="2"/>
        <tr r="CV13" s="2"/>
      </tp>
      <tp>
        <v>0</v>
        <stp/>
        <stp>P</stp>
        <stp>0</stp>
        <stp>IR</stp>
        <stp>BONDKSD4000000</stp>
        <stp>5년이하(당일)</stp>
        <stp>45523</stp>
        <stp/>
        <tr r="CX20" s="2"/>
      </tp>
      <tp>
        <v>3.1269999999999998</v>
        <stp/>
        <stp>P</stp>
        <stp>0</stp>
        <stp>IR</stp>
        <stp>BONDKSD2020000</stp>
        <stp>3년이하(당일)</stp>
        <stp>45523</stp>
        <stp/>
        <tr r="CV14" s="2"/>
        <tr r="CV14" s="2"/>
      </tp>
      <tp>
        <v>0</v>
        <stp/>
        <stp>P</stp>
        <stp>0</stp>
        <stp>IR</stp>
        <stp>BONDKBPE142</stp>
        <stp>30년이하(당일)</stp>
        <stp>45523</stp>
        <stp/>
        <tr r="AQ30" s="2"/>
      </tp>
      <tp>
        <v>7.8490000000000002</v>
        <stp/>
        <stp>P</stp>
        <stp>0</stp>
        <stp>IR</stp>
        <stp>BONDKBPE342</stp>
        <stp>10년이하(당일)</stp>
        <stp>45523</stp>
        <stp/>
        <tr r="AN49" s="2"/>
        <tr r="AN49" s="2"/>
      </tp>
      <tp>
        <v>4.4669999999999996</v>
        <stp/>
        <stp>P</stp>
        <stp>0</stp>
        <stp>IR</stp>
        <stp>BONDKBPE142</stp>
        <stp>20년이하(당일)</stp>
        <stp>45523</stp>
        <stp/>
        <tr r="AP30" s="2"/>
        <tr r="AP30" s="2"/>
      </tp>
      <tp>
        <v>4.25</v>
        <stp/>
        <stp>P</stp>
        <stp>0</stp>
        <stp>IR</stp>
        <stp>BONDKBPE142</stp>
        <stp>10년이하(당일)</stp>
        <stp>45523</stp>
        <stp/>
        <tr r="AN30" s="2"/>
        <tr r="AN30" s="2"/>
      </tp>
      <tp>
        <v>0</v>
        <stp/>
        <stp>P</stp>
        <stp>0</stp>
        <stp>IR</stp>
        <stp>BONDKBPE342</stp>
        <stp>30년이하(당일)</stp>
        <stp>45523</stp>
        <stp/>
        <tr r="AQ49" s="2"/>
      </tp>
      <tp>
        <v>8.548</v>
        <stp/>
        <stp>P</stp>
        <stp>0</stp>
        <stp>IR</stp>
        <stp>BONDKBPE342</stp>
        <stp>20년이하(당일)</stp>
        <stp>45523</stp>
        <stp/>
        <tr r="AP49" s="2"/>
        <tr r="AP49" s="2"/>
      </tp>
      <tp>
        <v>0</v>
        <stp/>
        <stp>P</stp>
        <stp>0</stp>
        <stp>IR</stp>
        <stp>BONDKBPE342</stp>
        <stp>50년이하(당일)</stp>
        <stp>45523</stp>
        <stp/>
        <tr r="AR49" s="2"/>
      </tp>
      <tp>
        <v>0</v>
        <stp/>
        <stp>P</stp>
        <stp>0</stp>
        <stp>IR</stp>
        <stp>BONDKBPE142</stp>
        <stp>50년이하(당일)</stp>
        <stp>45523</stp>
        <stp/>
        <tr r="AR30" s="2"/>
      </tp>
      <tp>
        <v>4.0140000000000002</v>
        <stp/>
        <stp>P</stp>
        <stp>0</stp>
        <stp>IR</stp>
        <stp>BONDKBPF312</stp>
        <stp>15년이하(당일)</stp>
        <stp>45523</stp>
        <stp/>
        <tr r="AO73" s="2"/>
        <tr r="AO73" s="2"/>
      </tp>
      <tp>
        <v>9.6270000000000007</v>
        <stp/>
        <stp>P</stp>
        <stp>0</stp>
        <stp>IR</stp>
        <stp>BONDKBPF342</stp>
        <stp>10년이하(당일)</stp>
        <stp>45523</stp>
        <stp/>
        <tr r="AN81" s="2"/>
        <tr r="AN81" s="2"/>
      </tp>
      <tp>
        <v>3.8250000000000002</v>
        <stp/>
        <stp>P</stp>
        <stp>0</stp>
        <stp>IR</stp>
        <stp>BONDKBPF212</stp>
        <stp>15년이하(당일)</stp>
        <stp>45523</stp>
        <stp/>
        <tr r="AO63" s="2"/>
        <tr r="AO63" s="2"/>
      </tp>
      <tp>
        <v>8.7769999999999992</v>
        <stp/>
        <stp>P</stp>
        <stp>0</stp>
        <stp>IR</stp>
        <stp>BONDKBPF242</stp>
        <stp>10년이하(당일)</stp>
        <stp>45523</stp>
        <stp/>
        <tr r="AN71" s="2"/>
        <tr r="AN71" s="2"/>
      </tp>
      <tp>
        <v>9.4060000000000006</v>
        <stp/>
        <stp>P</stp>
        <stp>0</stp>
        <stp>IR</stp>
        <stp>BONDKBPF242</stp>
        <stp>20년이하(당일)</stp>
        <stp>45523</stp>
        <stp/>
        <tr r="AP71" s="2"/>
        <tr r="AP71" s="2"/>
      </tp>
      <tp>
        <v>0</v>
        <stp/>
        <stp>P</stp>
        <stp>0</stp>
        <stp>IR</stp>
        <stp>BONDKBPF342</stp>
        <stp>30년이하(당일)</stp>
        <stp>45523</stp>
        <stp/>
        <tr r="AQ81" s="2"/>
      </tp>
      <tp>
        <v>0</v>
        <stp/>
        <stp>P</stp>
        <stp>0</stp>
        <stp>IR</stp>
        <stp>BONDKBPF242</stp>
        <stp>30년이하(당일)</stp>
        <stp>45523</stp>
        <stp/>
        <tr r="AQ71" s="2"/>
      </tp>
      <tp>
        <v>10.237</v>
        <stp/>
        <stp>P</stp>
        <stp>0</stp>
        <stp>IR</stp>
        <stp>BONDKBPF342</stp>
        <stp>20년이하(당일)</stp>
        <stp>45523</stp>
        <stp/>
        <tr r="AP81" s="2"/>
        <tr r="AP81" s="2"/>
      </tp>
      <tp>
        <v>0</v>
        <stp/>
        <stp>P</stp>
        <stp>0</stp>
        <stp>IR</stp>
        <stp>BONDKBPF342</stp>
        <stp>50년이하(당일)</stp>
        <stp>45523</stp>
        <stp/>
        <tr r="AR81" s="2"/>
      </tp>
      <tp>
        <v>0</v>
        <stp/>
        <stp>P</stp>
        <stp>0</stp>
        <stp>IR</stp>
        <stp>BONDKBPF242</stp>
        <stp>50년이하(당일)</stp>
        <stp>45523</stp>
        <stp/>
        <tr r="AR71" s="2"/>
      </tp>
      <tp>
        <v>3.173</v>
        <stp/>
        <stp>P</stp>
        <stp>0</stp>
        <stp>IR</stp>
        <stp>BONDKIS3033110</stp>
        <stp>3년이하(당일)</stp>
        <stp>45523</stp>
        <stp/>
        <tr r="AZ16" s="2"/>
        <tr r="AZ16" s="2"/>
      </tp>
      <tp>
        <v>3.214</v>
        <stp/>
        <stp>P</stp>
        <stp>0</stp>
        <stp>IR</stp>
        <stp>BONDKIS5033110</stp>
        <stp>5년이하(당일)</stp>
        <stp>45523</stp>
        <stp/>
        <tr r="BB27" s="2"/>
        <tr r="BB27" s="2"/>
      </tp>
      <tp>
        <v>8.4749999999999996</v>
        <stp/>
        <stp>P</stp>
        <stp>0</stp>
        <stp>IR</stp>
        <stp>BONDKIS6013212</stp>
        <stp>5년이하(당일)</stp>
        <stp>45523</stp>
        <stp/>
        <tr r="BB50" s="2"/>
        <tr r="BB50" s="2"/>
      </tp>
      <tp>
        <v>8.2430000000000003</v>
        <stp/>
        <stp>P</stp>
        <stp>0</stp>
        <stp>IR</stp>
        <stp>BONDKIS7010212</stp>
        <stp>4년이하(당일)</stp>
        <stp>45523</stp>
        <stp/>
        <tr r="BA71" s="2"/>
        <tr r="BA71" s="2"/>
      </tp>
      <tp>
        <v>3.0880000000000001</v>
        <stp/>
        <stp>P</stp>
        <stp>0</stp>
        <stp>IR</stp>
        <stp>BONDKIS5023110</stp>
        <stp>5년이하(당일)</stp>
        <stp>45523</stp>
        <stp/>
        <tr r="BB25" s="2"/>
        <tr r="BB25" s="2"/>
      </tp>
      <tp>
        <v>9.9580000000000002</v>
        <stp/>
        <stp>P</stp>
        <stp>0</stp>
        <stp>IR</stp>
        <stp>BONDKIS6013213</stp>
        <stp>5년이하(당일)</stp>
        <stp>45523</stp>
        <stp/>
        <tr r="BB51" s="2"/>
        <tr r="BB51" s="2"/>
      </tp>
      <tp>
        <v>9.6669999999999998</v>
        <stp/>
        <stp>P</stp>
        <stp>0</stp>
        <stp>IR</stp>
        <stp>BONDKIS7010213</stp>
        <stp>4년이하(당일)</stp>
        <stp>45523</stp>
        <stp/>
        <tr r="BA72" s="2"/>
        <tr r="BA72" s="2"/>
      </tp>
      <tp>
        <v>3.3069999999999999</v>
        <stp/>
        <stp>P</stp>
        <stp>0</stp>
        <stp>IR</stp>
        <stp>BONDKIS7020110</stp>
        <stp>7년이하(당일)</stp>
        <stp>45523</stp>
        <stp/>
        <tr r="BC52" s="2"/>
        <tr r="BC52" s="2"/>
      </tp>
      <tp>
        <v>3.2759999999999998</v>
        <stp/>
        <stp>P</stp>
        <stp>0</stp>
        <stp>IR</stp>
        <stp>BONDKIS7020210</stp>
        <stp>4년이하(당일)</stp>
        <stp>45523</stp>
        <stp/>
        <tr r="BA55" s="2"/>
        <tr r="BA55" s="2"/>
      </tp>
      <tp>
        <v>3.0880000000000001</v>
        <stp/>
        <stp>P</stp>
        <stp>0</stp>
        <stp>IR</stp>
        <stp>BONDKIS5013110</stp>
        <stp>5년이하(당일)</stp>
        <stp>45523</stp>
        <stp/>
        <tr r="BB23" s="2"/>
        <tr r="BB23" s="2"/>
      </tp>
      <tp>
        <v>3.3540000000000001</v>
        <stp/>
        <stp>P</stp>
        <stp>0</stp>
        <stp>IR</stp>
        <stp>BONDKIS7010110</stp>
        <stp>7년이하(당일)</stp>
        <stp>45523</stp>
        <stp/>
        <tr r="BC63" s="2"/>
        <tr r="BC63" s="2"/>
      </tp>
      <tp>
        <v>7.4359999999999999</v>
        <stp/>
        <stp>P</stp>
        <stp>0</stp>
        <stp>IR</stp>
        <stp>BONDKIS6013211</stp>
        <stp>5년이하(당일)</stp>
        <stp>45523</stp>
        <stp/>
        <tr r="BB49" s="2"/>
        <tr r="BB49" s="2"/>
      </tp>
      <tp>
        <v>7.1980000000000004</v>
        <stp/>
        <stp>P</stp>
        <stp>0</stp>
        <stp>IR</stp>
        <stp>BONDKIS7010211</stp>
        <stp>4년이하(당일)</stp>
        <stp>45523</stp>
        <stp/>
        <tr r="BA70" s="2"/>
        <tr r="BA70" s="2"/>
      </tp>
      <tp>
        <v>3.085</v>
        <stp/>
        <stp>P</stp>
        <stp>0</stp>
        <stp>IR</stp>
        <stp>BONDKSD5010110</stp>
        <stp>5년이하(당일)</stp>
        <stp>45523</stp>
        <stp/>
        <tr r="CX23" s="2"/>
        <tr r="CX23" s="2"/>
      </tp>
      <tp>
        <v>8.4749999999999996</v>
        <stp/>
        <stp>P</stp>
        <stp>0</stp>
        <stp>IR</stp>
        <stp>BONDKSD6010210</stp>
        <stp>5년이하(당일)</stp>
        <stp>45523</stp>
        <stp/>
        <tr r="CX41" s="2"/>
        <tr r="CX41" s="2"/>
      </tp>
      <tp>
        <v>3.351</v>
        <stp/>
        <stp>P</stp>
        <stp>0</stp>
        <stp>IR</stp>
        <stp>BONDKSD7010110</stp>
        <stp>7년이하(당일)</stp>
        <stp>45523</stp>
        <stp/>
        <tr r="CY63" s="2"/>
        <tr r="CY63" s="2"/>
      </tp>
      <tp>
        <v>7.1959999999999997</v>
        <stp/>
        <stp>P</stp>
        <stp>0</stp>
        <stp>IR</stp>
        <stp>BONDKSD7010211</stp>
        <stp>4년이하(당일)</stp>
        <stp>45523</stp>
        <stp/>
        <tr r="CW70" s="2"/>
        <tr r="CW70" s="2"/>
      </tp>
      <tp>
        <v>3.153</v>
        <stp/>
        <stp>P</stp>
        <stp>0</stp>
        <stp>IR</stp>
        <stp>BONDKSD3030110</stp>
        <stp>3년이하(당일)</stp>
        <stp>45523</stp>
        <stp/>
        <tr r="CV16" s="2"/>
        <tr r="CV16" s="2"/>
      </tp>
      <tp>
        <v>3.2080000000000002</v>
        <stp/>
        <stp>P</stp>
        <stp>0</stp>
        <stp>IR</stp>
        <stp>BONDKSD5030110</stp>
        <stp>5년이하(당일)</stp>
        <stp>45523</stp>
        <stp/>
        <tr r="CX27" s="2"/>
        <tr r="CX27" s="2"/>
      </tp>
      <tp>
        <v>8.2390000000000008</v>
        <stp/>
        <stp>P</stp>
        <stp>0</stp>
        <stp>IR</stp>
        <stp>BONDKSD7010212</stp>
        <stp>4년이하(당일)</stp>
        <stp>45523</stp>
        <stp/>
        <tr r="CW71" s="2"/>
        <tr r="CW71" s="2"/>
      </tp>
      <tp>
        <v>3.0920000000000001</v>
        <stp/>
        <stp>P</stp>
        <stp>0</stp>
        <stp>IR</stp>
        <stp>BONDKSD5020110</stp>
        <stp>5년이하(당일)</stp>
        <stp>45523</stp>
        <stp/>
        <tr r="CX25" s="2"/>
        <tr r="CX25" s="2"/>
      </tp>
      <tp>
        <v>9.6609999999999996</v>
        <stp/>
        <stp>P</stp>
        <stp>0</stp>
        <stp>IR</stp>
        <stp>BONDKSD7010213</stp>
        <stp>4년이하(당일)</stp>
        <stp>45523</stp>
        <stp/>
        <tr r="CW72" s="2"/>
        <tr r="CW72" s="2"/>
      </tp>
      <tp>
        <v>0</v>
        <stp/>
        <stp>P</stp>
        <stp>0</stp>
        <stp>IR</stp>
        <stp>BONDKSD7020110</stp>
        <stp>7년이하(당일)</stp>
        <stp>45523</stp>
        <stp/>
        <tr r="CY52" s="2"/>
      </tp>
      <tp>
        <v>0</v>
        <stp/>
        <stp>P</stp>
        <stp>0</stp>
        <stp>IR</stp>
        <stp>BONDKSD7020210</stp>
        <stp>4년이하(당일)</stp>
        <stp>45523</stp>
        <stp/>
        <tr r="CW55" s="2"/>
      </tp>
      <tp>
        <v>3.62</v>
        <stp/>
        <stp>P</stp>
        <stp>0</stp>
        <stp>IR</stp>
        <stp>BONDKBPE111</stp>
        <stp>15년이하(당일)</stp>
        <stp>45523</stp>
        <stp/>
        <tr r="AO24" s="2"/>
        <tr r="AO24" s="2"/>
      </tp>
      <tp>
        <v>8.3249999999999993</v>
        <stp/>
        <stp>P</stp>
        <stp>0</stp>
        <stp>IR</stp>
        <stp>BONDKBPF341</stp>
        <stp>10년이하(당일)</stp>
        <stp>45523</stp>
        <stp/>
        <tr r="AN80" s="2"/>
        <tr r="AN80" s="2"/>
      </tp>
      <tp>
        <v>7.6619999999999999</v>
        <stp/>
        <stp>P</stp>
        <stp>0</stp>
        <stp>IR</stp>
        <stp>BONDKBPF241</stp>
        <stp>10년이하(당일)</stp>
        <stp>45523</stp>
        <stp/>
        <tr r="AN70" s="2"/>
        <tr r="AN70" s="2"/>
      </tp>
      <tp>
        <v>8.3049999999999997</v>
        <stp/>
        <stp>P</stp>
        <stp>0</stp>
        <stp>IR</stp>
        <stp>BONDKBPF241</stp>
        <stp>20년이하(당일)</stp>
        <stp>45523</stp>
        <stp/>
        <tr r="AP70" s="2"/>
        <tr r="AP70" s="2"/>
      </tp>
      <tp>
        <v>0</v>
        <stp/>
        <stp>P</stp>
        <stp>0</stp>
        <stp>IR</stp>
        <stp>BONDKBPF341</stp>
        <stp>30년이하(당일)</stp>
        <stp>45523</stp>
        <stp/>
        <tr r="AQ80" s="2"/>
      </tp>
      <tp>
        <v>0</v>
        <stp/>
        <stp>P</stp>
        <stp>0</stp>
        <stp>IR</stp>
        <stp>BONDKBPF241</stp>
        <stp>30년이하(당일)</stp>
        <stp>45523</stp>
        <stp/>
        <tr r="AQ70" s="2"/>
      </tp>
      <tp>
        <v>8.952</v>
        <stp/>
        <stp>P</stp>
        <stp>0</stp>
        <stp>IR</stp>
        <stp>BONDKBPF341</stp>
        <stp>20년이하(당일)</stp>
        <stp>45523</stp>
        <stp/>
        <tr r="AP80" s="2"/>
        <tr r="AP80" s="2"/>
      </tp>
      <tp>
        <v>0</v>
        <stp/>
        <stp>P</stp>
        <stp>0</stp>
        <stp>IR</stp>
        <stp>BONDKBPF341</stp>
        <stp>50년이하(당일)</stp>
        <stp>45523</stp>
        <stp/>
        <tr r="AR80" s="2"/>
      </tp>
      <tp>
        <v>0</v>
        <stp/>
        <stp>P</stp>
        <stp>0</stp>
        <stp>IR</stp>
        <stp>BONDKBPF241</stp>
        <stp>50년이하(당일)</stp>
        <stp>45523</stp>
        <stp/>
        <tr r="AR70" s="2"/>
      </tp>
      <tp>
        <v>3.5590000000000002</v>
        <stp/>
        <stp>P</stp>
        <stp>0</stp>
        <stp>IR</stp>
        <stp>BONDKIS3043123</stp>
        <stp>3년이하(당일)</stp>
        <stp>45523</stp>
        <stp/>
        <tr r="AZ19" s="2"/>
        <tr r="AZ19" s="2"/>
      </tp>
      <tp>
        <v>3.8250000000000002</v>
        <stp/>
        <stp>P</stp>
        <stp>0</stp>
        <stp>IR</stp>
        <stp>BONDKIS5043123</stp>
        <stp>5년이하(당일)</stp>
        <stp>45523</stp>
        <stp/>
        <tr r="BB30" s="2"/>
        <tr r="BB30" s="2"/>
      </tp>
      <tp>
        <v>3.4129999999999998</v>
        <stp/>
        <stp>P</stp>
        <stp>0</stp>
        <stp>IR</stp>
        <stp>BONDKIS3043122</stp>
        <stp>3년이하(당일)</stp>
        <stp>45523</stp>
        <stp/>
        <tr r="AZ18" s="2"/>
        <tr r="AZ18" s="2"/>
      </tp>
      <tp>
        <v>3.5910000000000002</v>
        <stp/>
        <stp>P</stp>
        <stp>0</stp>
        <stp>IR</stp>
        <stp>BONDKIS5043122</stp>
        <stp>5년이하(당일)</stp>
        <stp>45523</stp>
        <stp/>
        <tr r="BB29" s="2"/>
        <tr r="BB29" s="2"/>
      </tp>
      <tp>
        <v>3.246</v>
        <stp/>
        <stp>P</stp>
        <stp>0</stp>
        <stp>IR</stp>
        <stp>BONDKIS3043121</stp>
        <stp>3년이하(당일)</stp>
        <stp>45523</stp>
        <stp/>
        <tr r="AZ17" s="2"/>
        <tr r="AZ17" s="2"/>
      </tp>
      <tp>
        <v>3.3460000000000001</v>
        <stp/>
        <stp>P</stp>
        <stp>0</stp>
        <stp>IR</stp>
        <stp>BONDKIS5043121</stp>
        <stp>5년이하(당일)</stp>
        <stp>45523</stp>
        <stp/>
        <tr r="BB28" s="2"/>
        <tr r="BB28" s="2"/>
      </tp>
      <tp>
        <v>3.5830000000000002</v>
        <stp/>
        <stp>P</stp>
        <stp>0</stp>
        <stp>IR</stp>
        <stp>BONDKIS7010122</stp>
        <stp>7년이하(당일)</stp>
        <stp>45523</stp>
        <stp/>
        <tr r="BC65" s="2"/>
        <tr r="BC65" s="2"/>
      </tp>
      <tp>
        <v>3.7930000000000001</v>
        <stp/>
        <stp>P</stp>
        <stp>0</stp>
        <stp>IR</stp>
        <stp>BONDKIS7010123</stp>
        <stp>7년이하(당일)</stp>
        <stp>45523</stp>
        <stp/>
        <tr r="BC66" s="2"/>
        <tr r="BC66" s="2"/>
      </tp>
      <tp>
        <v>3.419</v>
        <stp/>
        <stp>P</stp>
        <stp>0</stp>
        <stp>IR</stp>
        <stp>BONDKIS7020120</stp>
        <stp>7년이하(당일)</stp>
        <stp>45523</stp>
        <stp/>
        <tr r="BC53" s="2"/>
        <tr r="BC53" s="2"/>
      </tp>
      <tp>
        <v>3.488</v>
        <stp/>
        <stp>P</stp>
        <stp>0</stp>
        <stp>IR</stp>
        <stp>BONDKIS7010121</stp>
        <stp>7년이하(당일)</stp>
        <stp>45523</stp>
        <stp/>
        <tr r="BC64" s="2"/>
        <tr r="BC64" s="2"/>
      </tp>
      <tp>
        <v>3.2490000000000001</v>
        <stp/>
        <stp>P</stp>
        <stp>0</stp>
        <stp>IR</stp>
        <stp>BONDKSD3040121</stp>
        <stp>3년이하(당일)</stp>
        <stp>45523</stp>
        <stp/>
        <tr r="CV17" s="2"/>
        <tr r="CV17" s="2"/>
      </tp>
      <tp>
        <v>3.3980000000000001</v>
        <stp/>
        <stp>P</stp>
        <stp>0</stp>
        <stp>IR</stp>
        <stp>BONDKSD3040120</stp>
        <stp>3년이하(당일)</stp>
        <stp>45523</stp>
        <stp/>
        <tr r="CV18" s="2"/>
        <tr r="CV18" s="2"/>
      </tp>
      <tp>
        <v>3.5870000000000002</v>
        <stp/>
        <stp>P</stp>
        <stp>0</stp>
        <stp>IR</stp>
        <stp>BONDKSD5040120</stp>
        <stp>5년이하(당일)</stp>
        <stp>45523</stp>
        <stp/>
        <tr r="CX29" s="2"/>
        <tr r="CX29" s="2"/>
      </tp>
      <tp>
        <v>3.4870000000000001</v>
        <stp/>
        <stp>P</stp>
        <stp>0</stp>
        <stp>IR</stp>
        <stp>BONDKSD7010121</stp>
        <stp>7년이하(당일)</stp>
        <stp>45523</stp>
        <stp/>
        <tr r="CY64" s="2"/>
        <tr r="CY64" s="2"/>
      </tp>
      <tp>
        <v>3.5870000000000002</v>
        <stp/>
        <stp>P</stp>
        <stp>0</stp>
        <stp>IR</stp>
        <stp>BONDKSD7010122</stp>
        <stp>7년이하(당일)</stp>
        <stp>45523</stp>
        <stp/>
        <tr r="CY65" s="2"/>
        <tr r="CY65" s="2"/>
      </tp>
      <tp>
        <v>3.786</v>
        <stp/>
        <stp>P</stp>
        <stp>0</stp>
        <stp>IR</stp>
        <stp>BONDKSD7010123</stp>
        <stp>7년이하(당일)</stp>
        <stp>45523</stp>
        <stp/>
        <tr r="CY66" s="2"/>
        <tr r="CY66" s="2"/>
      </tp>
      <tp>
        <v>0</v>
        <stp/>
        <stp>P</stp>
        <stp>0</stp>
        <stp>IR</stp>
        <stp>BONDKSD7020120</stp>
        <stp>7년이하(당일)</stp>
        <stp>45523</stp>
        <stp/>
        <tr r="CY53" s="2"/>
      </tp>
      <tp>
        <v>0</v>
        <stp/>
        <stp>P</stp>
        <stp>0</stp>
        <stp>IR</stp>
        <stp>BONDKBPE140</stp>
        <stp>30년이하(당일)</stp>
        <stp>45523</stp>
        <stp/>
        <tr r="AQ29" s="2"/>
      </tp>
      <tp>
        <v>5.7610000000000001</v>
        <stp/>
        <stp>P</stp>
        <stp>0</stp>
        <stp>IR</stp>
        <stp>BONDKBPE310</stp>
        <stp>15년이하(당일)</stp>
        <stp>45523</stp>
        <stp/>
        <tr r="AO46" s="2"/>
        <tr r="AO46" s="2"/>
      </tp>
      <tp>
        <v>9.2379999999999995</v>
        <stp/>
        <stp>P</stp>
        <stp>0</stp>
        <stp>IR</stp>
        <stp>BONDKBPE340</stp>
        <stp>10년이하(당일)</stp>
        <stp>45523</stp>
        <stp/>
        <tr r="AN50" s="2"/>
        <tr r="AN50" s="2"/>
      </tp>
      <tp>
        <v>4.2789999999999999</v>
        <stp/>
        <stp>P</stp>
        <stp>0</stp>
        <stp>IR</stp>
        <stp>BONDKBPE140</stp>
        <stp>20년이하(당일)</stp>
        <stp>45523</stp>
        <stp/>
        <tr r="AP29" s="2"/>
        <tr r="AP29" s="2"/>
      </tp>
      <tp>
        <v>5.7610000000000001</v>
        <stp/>
        <stp>P</stp>
        <stp>0</stp>
        <stp>IR</stp>
        <stp>BONDKBPE210</stp>
        <stp>15년이하(당일)</stp>
        <stp>45523</stp>
        <stp/>
        <tr r="AO37" s="2"/>
        <tr r="AO37" s="2"/>
      </tp>
      <tp>
        <v>3.54</v>
        <stp/>
        <stp>P</stp>
        <stp>0</stp>
        <stp>IR</stp>
        <stp>BONDKBPE110</stp>
        <stp>15년이하(당일)</stp>
        <stp>45523</stp>
        <stp/>
        <tr r="AO23" s="2"/>
        <tr r="AO23" s="2"/>
      </tp>
      <tp>
        <v>3.9510000000000001</v>
        <stp/>
        <stp>P</stp>
        <stp>0</stp>
        <stp>IR</stp>
        <stp>BONDKBPE140</stp>
        <stp>10년이하(당일)</stp>
        <stp>45523</stp>
        <stp/>
        <tr r="AN29" s="2"/>
        <tr r="AN29" s="2"/>
      </tp>
      <tp>
        <v>0</v>
        <stp/>
        <stp>P</stp>
        <stp>0</stp>
        <stp>IR</stp>
        <stp>BONDKBPE340</stp>
        <stp>30년이하(당일)</stp>
        <stp>45523</stp>
        <stp/>
        <tr r="AQ50" s="2"/>
      </tp>
      <tp>
        <v>9.9779999999999998</v>
        <stp/>
        <stp>P</stp>
        <stp>0</stp>
        <stp>IR</stp>
        <stp>BONDKBPE340</stp>
        <stp>20년이하(당일)</stp>
        <stp>45523</stp>
        <stp/>
        <tr r="AP50" s="2"/>
        <tr r="AP50" s="2"/>
      </tp>
      <tp>
        <v>0</v>
        <stp/>
        <stp>P</stp>
        <stp>0</stp>
        <stp>IR</stp>
        <stp>BONDKBPE340</stp>
        <stp>50년이하(당일)</stp>
        <stp>45523</stp>
        <stp/>
        <tr r="AR50" s="2"/>
      </tp>
      <tp>
        <v>0</v>
        <stp/>
        <stp>P</stp>
        <stp>0</stp>
        <stp>IR</stp>
        <stp>BONDKBPE140</stp>
        <stp>50년이하(당일)</stp>
        <stp>45523</stp>
        <stp/>
        <tr r="AR29" s="2"/>
      </tp>
      <tp>
        <v>4.0609999999999999</v>
        <stp/>
        <stp>P</stp>
        <stp>0</stp>
        <stp>IR</stp>
        <stp>BONDKIS5053132</stp>
        <stp>5년이하(당일)</stp>
        <stp>45523</stp>
        <stp/>
        <tr r="BB32" s="2"/>
        <tr r="BB32" s="2"/>
      </tp>
      <tp>
        <v>4.18</v>
        <stp/>
        <stp>P</stp>
        <stp>0</stp>
        <stp>IR</stp>
        <stp>BONDKIS5053133</stp>
        <stp>5년이하(당일)</stp>
        <stp>45523</stp>
        <stp/>
        <tr r="BB33" s="2"/>
        <tr r="BB33" s="2"/>
      </tp>
      <tp>
        <v>3.95</v>
        <stp/>
        <stp>P</stp>
        <stp>0</stp>
        <stp>IR</stp>
        <stp>BONDKIS5053131</stp>
        <stp>5년이하(당일)</stp>
        <stp>45523</stp>
        <stp/>
        <tr r="BB31" s="2"/>
        <tr r="BB31" s="2"/>
      </tp>
      <tp>
        <v>4.9480000000000004</v>
        <stp/>
        <stp>P</stp>
        <stp>0</stp>
        <stp>IR</stp>
        <stp>BONDKIS7010132</stp>
        <stp>7년이하(당일)</stp>
        <stp>45523</stp>
        <stp/>
        <tr r="BC68" s="2"/>
        <tr r="BC68" s="2"/>
      </tp>
      <tp>
        <v>5.4889999999999999</v>
        <stp/>
        <stp>P</stp>
        <stp>0</stp>
        <stp>IR</stp>
        <stp>BONDKIS7010133</stp>
        <stp>7년이하(당일)</stp>
        <stp>45523</stp>
        <stp/>
        <tr r="BC69" s="2"/>
        <tr r="BC69" s="2"/>
      </tp>
      <tp>
        <v>3.5950000000000002</v>
        <stp/>
        <stp>P</stp>
        <stp>0</stp>
        <stp>IR</stp>
        <stp>BONDKIS7020130</stp>
        <stp>7년이하(당일)</stp>
        <stp>45523</stp>
        <stp/>
        <tr r="BC54" s="2"/>
        <tr r="BC54" s="2"/>
      </tp>
      <tp>
        <v>4.5030000000000001</v>
        <stp/>
        <stp>P</stp>
        <stp>0</stp>
        <stp>IR</stp>
        <stp>BONDKIS7010131</stp>
        <stp>7년이하(당일)</stp>
        <stp>45523</stp>
        <stp/>
        <tr r="BC67" s="2"/>
        <tr r="BC67" s="2"/>
      </tp>
      <tp>
        <v>3.9609999999999999</v>
        <stp/>
        <stp>P</stp>
        <stp>0</stp>
        <stp>IR</stp>
        <stp>BONDKSD5050131</stp>
        <stp>5년이하(당일)</stp>
        <stp>45523</stp>
        <stp/>
        <tr r="CX31" s="2"/>
        <tr r="CX31" s="2"/>
      </tp>
      <tp>
        <v>4.4980000000000002</v>
        <stp/>
        <stp>P</stp>
        <stp>0</stp>
        <stp>IR</stp>
        <stp>BONDKSD7010131</stp>
        <stp>7년이하(당일)</stp>
        <stp>45523</stp>
        <stp/>
        <tr r="CY67" s="2"/>
        <tr r="CY67" s="2"/>
      </tp>
      <tp>
        <v>4.9320000000000004</v>
        <stp/>
        <stp>P</stp>
        <stp>0</stp>
        <stp>IR</stp>
        <stp>BONDKSD7010132</stp>
        <stp>7년이하(당일)</stp>
        <stp>45523</stp>
        <stp/>
        <tr r="CY68" s="2"/>
        <tr r="CY68" s="2"/>
      </tp>
      <tp>
        <v>5.4720000000000004</v>
        <stp/>
        <stp>P</stp>
        <stp>0</stp>
        <stp>IR</stp>
        <stp>BONDKSD7010133</stp>
        <stp>7년이하(당일)</stp>
        <stp>45523</stp>
        <stp/>
        <tr r="CY69" s="2"/>
        <tr r="CY69" s="2"/>
      </tp>
      <tp>
        <v>0</v>
        <stp/>
        <stp>P</stp>
        <stp>0</stp>
        <stp>IR</stp>
        <stp>BONDKSD7020130</stp>
        <stp>7년이하(당일)</stp>
        <stp>45523</stp>
        <stp/>
        <tr r="CY54" s="2"/>
      </tp>
      <tp>
        <v>7.3789999999999996</v>
        <stp/>
        <stp>P</stp>
        <stp>0</stp>
        <stp>IR</stp>
        <stp>BONDFNP6010211</stp>
        <stp>4년이하(당일)</stp>
        <stp>45523</stp>
        <stp/>
        <tr r="CG40" s="2"/>
        <tr r="CG40" s="2"/>
      </tp>
      <tp>
        <v>7.3239999999999998</v>
        <stp/>
        <stp>P</stp>
        <stp>0</stp>
        <stp>IR</stp>
        <stp>BONDFNP7010211</stp>
        <stp>5년이하(당일)</stp>
        <stp>45523</stp>
        <stp/>
        <tr r="CH70" s="2"/>
        <tr r="CH70" s="2"/>
      </tp>
      <tp>
        <v>3.0779999999999998</v>
        <stp/>
        <stp>P</stp>
        <stp>0</stp>
        <stp>IR</stp>
        <stp>BONDFNP5010110</stp>
        <stp>4년이하(당일)</stp>
        <stp>45523</stp>
        <stp/>
        <tr r="CG23" s="2"/>
        <tr r="CG23" s="2"/>
      </tp>
      <tp>
        <v>3.0859999999999999</v>
        <stp/>
        <stp>P</stp>
        <stp>0</stp>
        <stp>IR</stp>
        <stp>BONDFNP5020110</stp>
        <stp>4년이하(당일)</stp>
        <stp>45523</stp>
        <stp/>
        <tr r="CG25" s="2"/>
        <tr r="CG25" s="2"/>
      </tp>
      <tp>
        <v>9.7110000000000003</v>
        <stp/>
        <stp>P</stp>
        <stp>0</stp>
        <stp>IR</stp>
        <stp>BONDFNP6010213</stp>
        <stp>4년이하(당일)</stp>
        <stp>45523</stp>
        <stp/>
        <tr r="CG42" s="2"/>
        <tr r="CG42" s="2"/>
      </tp>
      <tp>
        <v>9.8019999999999996</v>
        <stp/>
        <stp>P</stp>
        <stp>0</stp>
        <stp>IR</stp>
        <stp>BONDFNP7010213</stp>
        <stp>5년이하(당일)</stp>
        <stp>45523</stp>
        <stp/>
        <tr r="CH72" s="2"/>
        <tr r="CH72" s="2"/>
      </tp>
      <tp>
        <v>3.3340000000000001</v>
        <stp/>
        <stp>P</stp>
        <stp>0</stp>
        <stp>IR</stp>
        <stp>BONDFNP7020210</stp>
        <stp>5년이하(당일)</stp>
        <stp>45523</stp>
        <stp/>
        <tr r="CH55" s="2"/>
        <tr r="CH55" s="2"/>
      </tp>
      <tp>
        <v>3.18</v>
        <stp/>
        <stp>P</stp>
        <stp>0</stp>
        <stp>IR</stp>
        <stp>BONDFNP3030110</stp>
        <stp>2년이하(당일)</stp>
        <stp>45523</stp>
        <stp/>
        <tr r="CD16" s="2"/>
        <tr r="CD16" s="2"/>
      </tp>
      <tp>
        <v>3.2069999999999999</v>
        <stp/>
        <stp>P</stp>
        <stp>0</stp>
        <stp>IR</stp>
        <stp>BONDFNP5030110</stp>
        <stp>4년이하(당일)</stp>
        <stp>45523</stp>
        <stp/>
        <tr r="CG27" s="2"/>
        <tr r="CG27" s="2"/>
      </tp>
      <tp>
        <v>8.3409999999999993</v>
        <stp/>
        <stp>P</stp>
        <stp>0</stp>
        <stp>IR</stp>
        <stp>BONDFNP6010212</stp>
        <stp>4년이하(당일)</stp>
        <stp>45523</stp>
        <stp/>
        <tr r="CG41" s="2"/>
        <tr r="CG41" s="2"/>
      </tp>
      <tp>
        <v>8.3829999999999991</v>
        <stp/>
        <stp>P</stp>
        <stp>0</stp>
        <stp>IR</stp>
        <stp>BONDFNP7010212</stp>
        <stp>5년이하(당일)</stp>
        <stp>45523</stp>
        <stp/>
        <tr r="CH71" s="2"/>
        <tr r="CH71" s="2"/>
      </tp>
      <tp>
        <v>0</v>
        <stp/>
        <stp>P</stp>
        <stp>0</stp>
        <stp>IR</stp>
        <stp>BONDFNP4000000</stp>
        <stp>4년이하(당일)</stp>
        <stp>45523</stp>
        <stp/>
        <tr r="CG20" s="2"/>
      </tp>
      <tp>
        <v>3.0550000000000002</v>
        <stp/>
        <stp>P</stp>
        <stp>0</stp>
        <stp>IR</stp>
        <stp>BONDFNP1010000</stp>
        <stp>1년이하(당일)</stp>
        <stp>45523</stp>
        <stp/>
        <tr r="CB9" s="2"/>
        <tr r="CB9" s="2"/>
      </tp>
      <tp>
        <v>3.1480000000000001</v>
        <stp/>
        <stp>P</stp>
        <stp>0</stp>
        <stp>IR</stp>
        <stp>BONDFNP2010000</stp>
        <stp>2년이하(당일)</stp>
        <stp>45523</stp>
        <stp/>
        <tr r="CD13" s="2"/>
        <tr r="CD13" s="2"/>
      </tp>
      <tp>
        <v>2.8820000000000001</v>
        <stp/>
        <stp>P</stp>
        <stp>0</stp>
        <stp>IR</stp>
        <stp>BONDFNP1020000</stp>
        <stp>1년이하(당일)</stp>
        <stp>45523</stp>
        <stp/>
        <tr r="CB11" s="2"/>
        <tr r="CB11" s="2"/>
      </tp>
      <tp>
        <v>3.1480000000000001</v>
        <stp/>
        <stp>P</stp>
        <stp>0</stp>
        <stp>IR</stp>
        <stp>BONDFNP2020000</stp>
        <stp>2년이하(당일)</stp>
        <stp>45523</stp>
        <stp/>
        <tr r="CD14" s="2"/>
        <tr r="CD14" s="2"/>
      </tp>
      <tp>
        <v>3.0920000000000001</v>
        <stp/>
        <stp>P</stp>
        <stp>0</stp>
        <stp>IR</stp>
        <stp>BONDFNP1030000</stp>
        <stp>1년이하(당일)</stp>
        <stp>45523</stp>
        <stp/>
        <tr r="CB10" s="2"/>
        <tr r="CB10" s="2"/>
      </tp>
      <tp>
        <v>3.085</v>
        <stp/>
        <stp>P</stp>
        <stp>0</stp>
        <stp>IR</stp>
        <stp>BONDFNP3050000</stp>
        <stp>3년이하(당일)</stp>
        <stp>45523</stp>
        <stp/>
        <tr r="CF15" s="2"/>
        <tr r="CF15" s="2"/>
      </tp>
      <tp>
        <v>3.1749999999999998</v>
        <stp/>
        <stp>P</stp>
        <stp>0</stp>
        <stp>IR</stp>
        <stp>BONDFNP4050000</stp>
        <stp>4년이하(당일)</stp>
        <stp>45523</stp>
        <stp/>
        <tr r="CG22" s="2"/>
        <tr r="CG22" s="2"/>
      </tp>
      <tp>
        <v>3.1520000000000001</v>
        <stp/>
        <stp>P</stp>
        <stp>0</stp>
        <stp>IR</stp>
        <stp>BONDFNP3060000</stp>
        <stp>3년이하(당일)</stp>
        <stp>45523</stp>
        <stp/>
        <tr r="CF83" s="2"/>
        <tr r="CF83" s="2"/>
      </tp>
      <tp>
        <v>5.0350000000000001</v>
        <stp/>
        <stp>P</stp>
        <stp>0</stp>
        <stp>IR</stp>
        <stp>BONDFNP6010131</stp>
        <stp>7년이하(당일)</stp>
        <stp>45523</stp>
        <stp/>
        <tr r="CI37" s="2"/>
        <tr r="CI37" s="2"/>
      </tp>
      <tp>
        <v>6.2110000000000003</v>
        <stp/>
        <stp>P</stp>
        <stp>0</stp>
        <stp>IR</stp>
        <stp>BONDFNP6010133</stp>
        <stp>7년이하(당일)</stp>
        <stp>45523</stp>
        <stp/>
        <tr r="CI39" s="2"/>
        <tr r="CI39" s="2"/>
      </tp>
      <tp>
        <v>5.55</v>
        <stp/>
        <stp>P</stp>
        <stp>0</stp>
        <stp>IR</stp>
        <stp>BONDFNP6010132</stp>
        <stp>7년이하(당일)</stp>
        <stp>45523</stp>
        <stp/>
        <tr r="CI38" s="2"/>
        <tr r="CI38" s="2"/>
      </tp>
      <tp>
        <v>3.9390000000000001</v>
        <stp/>
        <stp>P</stp>
        <stp>0</stp>
        <stp>IR</stp>
        <stp>BONDFNP5050131</stp>
        <stp>4년이하(당일)</stp>
        <stp>45523</stp>
        <stp/>
        <tr r="CG31" s="2"/>
        <tr r="CG31" s="2"/>
      </tp>
      <tp>
        <v>4.1539999999999999</v>
        <stp/>
        <stp>P</stp>
        <stp>0</stp>
        <stp>IR</stp>
        <stp>BONDFNP5050133</stp>
        <stp>4년이하(당일)</stp>
        <stp>45523</stp>
        <stp/>
        <tr r="CG33" s="2"/>
        <tr r="CG33" s="2"/>
      </tp>
      <tp>
        <v>4.0439999999999996</v>
        <stp/>
        <stp>P</stp>
        <stp>0</stp>
        <stp>IR</stp>
        <stp>BONDFNP5050132</stp>
        <stp>4년이하(당일)</stp>
        <stp>45523</stp>
        <stp/>
        <tr r="CG32" s="2"/>
        <tr r="CG32" s="2"/>
      </tp>
      <tp>
        <v>3.7440000000000002</v>
        <stp/>
        <stp>P</stp>
        <stp>0</stp>
        <stp>IR</stp>
        <stp>BONDFNP6010121</stp>
        <stp>7년이하(당일)</stp>
        <stp>45523</stp>
        <stp/>
        <tr r="CI34" s="2"/>
        <tr r="CI34" s="2"/>
      </tp>
      <tp>
        <v>4.1269999999999998</v>
        <stp/>
        <stp>P</stp>
        <stp>0</stp>
        <stp>IR</stp>
        <stp>BONDFNP6010123</stp>
        <stp>7년이하(당일)</stp>
        <stp>45523</stp>
        <stp/>
        <tr r="CI36" s="2"/>
        <tr r="CI36" s="2"/>
      </tp>
      <tp>
        <v>3.927</v>
        <stp/>
        <stp>P</stp>
        <stp>0</stp>
        <stp>IR</stp>
        <stp>BONDFNP6010122</stp>
        <stp>7년이하(당일)</stp>
        <stp>45523</stp>
        <stp/>
        <tr r="CI35" s="2"/>
        <tr r="CI35" s="2"/>
      </tp>
      <tp>
        <v>3.2749999999999999</v>
        <stp/>
        <stp>P</stp>
        <stp>0</stp>
        <stp>IR</stp>
        <stp>BONDFNP3040121</stp>
        <stp>2년이하(당일)</stp>
        <stp>45523</stp>
        <stp/>
        <tr r="CD17" s="2"/>
        <tr r="CD17" s="2"/>
      </tp>
      <tp>
        <v>3.2970000000000002</v>
        <stp/>
        <stp>P</stp>
        <stp>0</stp>
        <stp>IR</stp>
        <stp>BONDFNP5040121</stp>
        <stp>4년이하(당일)</stp>
        <stp>45523</stp>
        <stp/>
        <tr r="CG28" s="2"/>
        <tr r="CG28" s="2"/>
      </tp>
      <tp>
        <v>3.4140000000000001</v>
        <stp/>
        <stp>P</stp>
        <stp>0</stp>
        <stp>IR</stp>
        <stp>BONDFNP3040122</stp>
        <stp>2년이하(당일)</stp>
        <stp>45523</stp>
        <stp/>
        <tr r="CD18" s="2"/>
        <tr r="CD18" s="2"/>
      </tp>
      <tp>
        <v>3.5630000000000002</v>
        <stp/>
        <stp>P</stp>
        <stp>0</stp>
        <stp>IR</stp>
        <stp>BONDFNP5040122</stp>
        <stp>4년이하(당일)</stp>
        <stp>45523</stp>
        <stp/>
        <tr r="CG29" s="2"/>
        <tr r="CG29" s="2"/>
      </tp>
      <tp>
        <v>3.56</v>
        <stp/>
        <stp>P</stp>
        <stp>0</stp>
        <stp>IR</stp>
        <stp>BONDFNP3040123</stp>
        <stp>2년이하(당일)</stp>
        <stp>45523</stp>
        <stp/>
        <tr r="CD19" s="2"/>
        <tr r="CD19" s="2"/>
      </tp>
      <tp>
        <v>3.806</v>
        <stp/>
        <stp>P</stp>
        <stp>0</stp>
        <stp>IR</stp>
        <stp>BONDFNP5040123</stp>
        <stp>4년이하(당일)</stp>
        <stp>45523</stp>
        <stp/>
        <tr r="CG30" s="2"/>
        <tr r="CG30" s="2"/>
      </tp>
      <tp>
        <v>3.5289999999999999</v>
        <stp/>
        <stp>P</stp>
        <stp>0</stp>
        <stp>IR</stp>
        <stp>BONDNIC3040113</stp>
        <stp>2년이하(당일)</stp>
        <stp>45523</stp>
        <stp/>
        <tr r="BN19" s="2"/>
        <tr r="BN19" s="2"/>
      </tp>
      <tp>
        <v>3.778</v>
        <stp/>
        <stp>P</stp>
        <stp>0</stp>
        <stp>IR</stp>
        <stp>BONDNIC5040113</stp>
        <stp>4년이하(당일)</stp>
        <stp>45523</stp>
        <stp/>
        <tr r="BQ30" s="2"/>
        <tr r="BQ30" s="2"/>
      </tp>
      <tp>
        <v>4.0490000000000004</v>
        <stp/>
        <stp>P</stp>
        <stp>0</stp>
        <stp>IR</stp>
        <stp>BONDNIC5050112</stp>
        <stp>4년이하(당일)</stp>
        <stp>45523</stp>
        <stp/>
        <tr r="BQ32" s="2"/>
        <tr r="BQ32" s="2"/>
      </tp>
      <tp>
        <v>4.1349999999999998</v>
        <stp/>
        <stp>P</stp>
        <stp>0</stp>
        <stp>IR</stp>
        <stp>BONDNIC6040113</stp>
        <stp>7년이하(당일)</stp>
        <stp>45523</stp>
        <stp/>
        <tr r="BS36" s="2"/>
        <tr r="BS36" s="2"/>
      </tp>
      <tp>
        <v>5.5590000000000002</v>
        <stp/>
        <stp>P</stp>
        <stp>0</stp>
        <stp>IR</stp>
        <stp>BONDNIC6050112</stp>
        <stp>7년이하(당일)</stp>
        <stp>45523</stp>
        <stp/>
        <tr r="BS38" s="2"/>
        <tr r="BS38" s="2"/>
      </tp>
      <tp>
        <v>7.516</v>
        <stp/>
        <stp>P</stp>
        <stp>0</stp>
        <stp>IR</stp>
        <stp>BONDNIC6060111</stp>
        <stp>7년이하(당일)</stp>
        <stp>45523</stp>
        <stp/>
        <tr r="BS40" s="2"/>
        <tr r="BS40" s="2"/>
      </tp>
      <tp>
        <v>3.3959999999999999</v>
        <stp/>
        <stp>P</stp>
        <stp>0</stp>
        <stp>IR</stp>
        <stp>BONDNIC3040112</stp>
        <stp>2년이하(당일)</stp>
        <stp>45523</stp>
        <stp/>
        <tr r="BN18" s="2"/>
        <tr r="BN18" s="2"/>
      </tp>
      <tp>
        <v>3.5550000000000002</v>
        <stp/>
        <stp>P</stp>
        <stp>0</stp>
        <stp>IR</stp>
        <stp>BONDNIC5040112</stp>
        <stp>4년이하(당일)</stp>
        <stp>45523</stp>
        <stp/>
        <tr r="BQ29" s="2"/>
        <tr r="BQ29" s="2"/>
      </tp>
      <tp>
        <v>4.1440000000000001</v>
        <stp/>
        <stp>P</stp>
        <stp>0</stp>
        <stp>IR</stp>
        <stp>BONDNIC5050113</stp>
        <stp>4년이하(당일)</stp>
        <stp>45523</stp>
        <stp/>
        <tr r="BQ33" s="2"/>
        <tr r="BQ33" s="2"/>
      </tp>
      <tp>
        <v>3.9260000000000002</v>
        <stp/>
        <stp>P</stp>
        <stp>0</stp>
        <stp>IR</stp>
        <stp>BONDNIC6040112</stp>
        <stp>7년이하(당일)</stp>
        <stp>45523</stp>
        <stp/>
        <tr r="BS35" s="2"/>
        <tr r="BS35" s="2"/>
      </tp>
      <tp>
        <v>6.2110000000000003</v>
        <stp/>
        <stp>P</stp>
        <stp>0</stp>
        <stp>IR</stp>
        <stp>BONDNIC6050113</stp>
        <stp>7년이하(당일)</stp>
        <stp>45523</stp>
        <stp/>
        <tr r="BS39" s="2"/>
        <tr r="BS39" s="2"/>
      </tp>
      <tp>
        <v>3.2730000000000001</v>
        <stp/>
        <stp>P</stp>
        <stp>0</stp>
        <stp>IR</stp>
        <stp>BONDNIC3040111</stp>
        <stp>2년이하(당일)</stp>
        <stp>45523</stp>
        <stp/>
        <tr r="BN17" s="2"/>
        <tr r="BN17" s="2"/>
      </tp>
      <tp>
        <v>3.274</v>
        <stp/>
        <stp>P</stp>
        <stp>0</stp>
        <stp>IR</stp>
        <stp>BONDNIC5040111</stp>
        <stp>4년이하(당일)</stp>
        <stp>45523</stp>
        <stp/>
        <tr r="BQ28" s="2"/>
        <tr r="BQ28" s="2"/>
      </tp>
      <tp>
        <v>3.7250000000000001</v>
        <stp/>
        <stp>P</stp>
        <stp>0</stp>
        <stp>IR</stp>
        <stp>BONDNIC6040111</stp>
        <stp>7년이하(당일)</stp>
        <stp>45523</stp>
        <stp/>
        <tr r="BS34" s="2"/>
        <tr r="BS34" s="2"/>
      </tp>
      <tp>
        <v>10.052</v>
        <stp/>
        <stp>P</stp>
        <stp>0</stp>
        <stp>IR</stp>
        <stp>BONDNIC6060113</stp>
        <stp>7년이하(당일)</stp>
        <stp>45523</stp>
        <stp/>
        <tr r="BS42" s="2"/>
        <tr r="BS42" s="2"/>
      </tp>
      <tp>
        <v>3.931</v>
        <stp/>
        <stp>P</stp>
        <stp>0</stp>
        <stp>IR</stp>
        <stp>BONDNIC5050111</stp>
        <stp>4년이하(당일)</stp>
        <stp>45523</stp>
        <stp/>
        <tr r="BQ31" s="2"/>
        <tr r="BQ31" s="2"/>
      </tp>
      <tp>
        <v>5.01</v>
        <stp/>
        <stp>P</stp>
        <stp>0</stp>
        <stp>IR</stp>
        <stp>BONDNIC6050111</stp>
        <stp>7년이하(당일)</stp>
        <stp>45523</stp>
        <stp/>
        <tr r="BS37" s="2"/>
        <tr r="BS37" s="2"/>
      </tp>
      <tp>
        <v>8.609</v>
        <stp/>
        <stp>P</stp>
        <stp>0</stp>
        <stp>IR</stp>
        <stp>BONDNIC6060112</stp>
        <stp>7년이하(당일)</stp>
        <stp>45523</stp>
        <stp/>
        <tr r="BS41" s="2"/>
        <tr r="BS41" s="2"/>
      </tp>
      <tp>
        <v>3.169</v>
        <stp/>
        <stp>P</stp>
        <stp>0</stp>
        <stp>IR</stp>
        <stp>BONDNIC3030110</stp>
        <stp>2년이하(당일)</stp>
        <stp>45523</stp>
        <stp/>
        <tr r="BN16" s="2"/>
        <tr r="BN16" s="2"/>
      </tp>
      <tp>
        <v>3.2029999999999998</v>
        <stp/>
        <stp>P</stp>
        <stp>0</stp>
        <stp>IR</stp>
        <stp>BONDNIC5030110</stp>
        <stp>4년이하(당일)</stp>
        <stp>45523</stp>
        <stp/>
        <tr r="BQ27" s="2"/>
        <tr r="BQ27" s="2"/>
      </tp>
      <tp>
        <v>3.077</v>
        <stp/>
        <stp>P</stp>
        <stp>0</stp>
        <stp>IR</stp>
        <stp>BONDNIC5020110</stp>
        <stp>4년이하(당일)</stp>
        <stp>45523</stp>
        <stp/>
        <tr r="BQ25" s="2"/>
        <tr r="BQ25" s="2"/>
      </tp>
      <tp>
        <v>3.0670000000000002</v>
        <stp/>
        <stp>P</stp>
        <stp>0</stp>
        <stp>IR</stp>
        <stp>BONDNIC5010110</stp>
        <stp>4년이하(당일)</stp>
        <stp>45523</stp>
        <stp/>
        <tr r="BQ23" s="2"/>
        <tr r="BQ23" s="2"/>
      </tp>
      <tp>
        <v>3.056</v>
        <stp/>
        <stp>P</stp>
        <stp>0</stp>
        <stp>IR</stp>
        <stp>BONDNIC3050000</stp>
        <stp>3년이하(당일)</stp>
        <stp>45523</stp>
        <stp/>
        <tr r="BP15" s="2"/>
        <tr r="BP15" s="2"/>
      </tp>
      <tp>
        <v>3.153</v>
        <stp/>
        <stp>P</stp>
        <stp>0</stp>
        <stp>IR</stp>
        <stp>BONDNIC4050000</stp>
        <stp>4년이하(당일)</stp>
        <stp>45523</stp>
        <stp/>
        <tr r="BQ22" s="2"/>
        <tr r="BQ22" s="2"/>
      </tp>
      <tp>
        <v>3.0720000000000001</v>
        <stp/>
        <stp>P</stp>
        <stp>0</stp>
        <stp>IR</stp>
        <stp>BONDNIC1030000</stp>
        <stp>1년이하(당일)</stp>
        <stp>45523</stp>
        <stp/>
        <tr r="BL10" s="2"/>
        <tr r="BL10" s="2"/>
      </tp>
      <tp>
        <v>2.867</v>
        <stp/>
        <stp>P</stp>
        <stp>0</stp>
        <stp>IR</stp>
        <stp>BONDNIC1020000</stp>
        <stp>1년이하(당일)</stp>
        <stp>45523</stp>
        <stp/>
        <tr r="BL11" s="2"/>
        <tr r="BL11" s="2"/>
      </tp>
      <tp>
        <v>3.145</v>
        <stp/>
        <stp>P</stp>
        <stp>0</stp>
        <stp>IR</stp>
        <stp>BONDNIC2020000</stp>
        <stp>2년이하(당일)</stp>
        <stp>45523</stp>
        <stp/>
        <tr r="BN14" s="2"/>
        <tr r="BN14" s="2"/>
      </tp>
      <tp>
        <v>3.052</v>
        <stp/>
        <stp>P</stp>
        <stp>0</stp>
        <stp>IR</stp>
        <stp>BONDNIC1010000</stp>
        <stp>1년이하(당일)</stp>
        <stp>45523</stp>
        <stp/>
        <tr r="BL9" s="2"/>
        <tr r="BL9" s="2"/>
      </tp>
      <tp>
        <v>3.145</v>
        <stp/>
        <stp>P</stp>
        <stp>0</stp>
        <stp>IR</stp>
        <stp>BONDNIC2010000</stp>
        <stp>2년이하(당일)</stp>
        <stp>45523</stp>
        <stp/>
        <tr r="BN13" s="2"/>
        <tr r="BN13" s="2"/>
      </tp>
      <tp>
        <v>2.597</v>
        <stp/>
        <stp>P</stp>
        <stp>0</stp>
        <stp>IR</stp>
        <stp>BONDNIC1015000</stp>
        <stp>1년이하(당일)</stp>
        <stp>45523</stp>
        <stp/>
        <tr r="BL12" s="2"/>
        <tr r="BL12" s="2"/>
      </tp>
      <tp t="s">
        <v/>
        <stp/>
        <stp>P</stp>
        <stp>0</stp>
        <stp>IR</stp>
        <stp>BONDNIC4000000</stp>
        <stp>4년이하(당일)</stp>
        <stp>45523</stp>
        <stp/>
        <tr r="BQ20" s="2"/>
        <tr r="BQ20" s="2"/>
      </tp>
      <tp>
        <v>4.7350000000000003</v>
        <stp/>
        <stp>P</stp>
        <stp>0</stp>
        <stp>IR</stp>
        <stp>BONDKBPE304</stp>
        <stp>15년이하(당일)</stp>
        <stp>45523</stp>
        <stp/>
        <tr r="AO43" s="2"/>
        <tr r="AO43" s="2"/>
      </tp>
      <tp>
        <v>4.7350000000000003</v>
        <stp/>
        <stp>P</stp>
        <stp>0</stp>
        <stp>IR</stp>
        <stp>BONDKBPE204</stp>
        <stp>15년이하(당일)</stp>
        <stp>45523</stp>
        <stp/>
        <tr r="AO34" s="2"/>
        <tr r="AO34" s="2"/>
      </tp>
      <tp>
        <v>3.2970000000000002</v>
        <stp/>
        <stp>P</stp>
        <stp>0</stp>
        <stp>IR</stp>
        <stp>BONDKIS3060000</stp>
        <stp>3년이하(당일)</stp>
        <stp>45523</stp>
        <stp/>
        <tr r="AZ83" s="2"/>
        <tr r="AZ83" s="2"/>
      </tp>
      <tp>
        <v>3.0840000000000001</v>
        <stp/>
        <stp>P</stp>
        <stp>0</stp>
        <stp>IR</stp>
        <stp>BONDKIS3050000</stp>
        <stp>3년이하(당일)</stp>
        <stp>45523</stp>
        <stp/>
        <tr r="AZ15" s="2"/>
        <tr r="AZ15" s="2"/>
      </tp>
      <tp>
        <v>3.177</v>
        <stp/>
        <stp>P</stp>
        <stp>0</stp>
        <stp>IR</stp>
        <stp>BONDKIS4050000</stp>
        <stp>4년이하(당일)</stp>
        <stp>45523</stp>
        <stp/>
        <tr r="BA22" s="2"/>
        <tr r="BA22" s="2"/>
      </tp>
      <tp>
        <v>3.0979999999999999</v>
        <stp/>
        <stp>P</stp>
        <stp>0</stp>
        <stp>IR</stp>
        <stp>BONDKIS1030000</stp>
        <stp>1년이하(당일)</stp>
        <stp>45523</stp>
        <stp/>
        <tr r="AV10" s="2"/>
        <tr r="AV10" s="2"/>
      </tp>
      <tp>
        <v>2.891</v>
        <stp/>
        <stp>P</stp>
        <stp>0</stp>
        <stp>IR</stp>
        <stp>BONDKIS1020000</stp>
        <stp>1년이하(당일)</stp>
        <stp>45523</stp>
        <stp/>
        <tr r="AV11" s="2"/>
        <tr r="AV11" s="2"/>
      </tp>
      <tp>
        <v>3.165</v>
        <stp/>
        <stp>P</stp>
        <stp>0</stp>
        <stp>IR</stp>
        <stp>BONDKIS2020000</stp>
        <stp>2년이하(당일)</stp>
        <stp>45523</stp>
        <stp/>
        <tr r="AX14" s="2"/>
        <tr r="AX14" s="2"/>
      </tp>
      <tp>
        <v>3.0550000000000002</v>
        <stp/>
        <stp>P</stp>
        <stp>0</stp>
        <stp>IR</stp>
        <stp>BONDKIS1013000</stp>
        <stp>1년이하(당일)</stp>
        <stp>45523</stp>
        <stp/>
        <tr r="AV9" s="2"/>
        <tr r="AV9" s="2"/>
      </tp>
      <tp>
        <v>3.16</v>
        <stp/>
        <stp>P</stp>
        <stp>0</stp>
        <stp>IR</stp>
        <stp>BONDKIS2010000</stp>
        <stp>2년이하(당일)</stp>
        <stp>45523</stp>
        <stp/>
        <tr r="AX13" s="2"/>
        <tr r="AX13" s="2"/>
      </tp>
      <tp t="s">
        <v/>
        <stp/>
        <stp>P</stp>
        <stp>0</stp>
        <stp>IR</stp>
        <stp>BONDKIS4003000</stp>
        <stp>4년이하(당일)</stp>
        <stp>45523</stp>
        <stp/>
        <tr r="BA20" s="2"/>
        <tr r="BA20" s="2"/>
      </tp>
      <tp>
        <v>3.165</v>
        <stp/>
        <stp>P</stp>
        <stp>0</stp>
        <stp>IR</stp>
        <stp>BONDKSD4050000</stp>
        <stp>4년이하(당일)</stp>
        <stp>45523</stp>
        <stp/>
        <tr r="CW22" s="2"/>
        <tr r="CW22" s="2"/>
      </tp>
      <tp>
        <v>3.0739999999999998</v>
        <stp/>
        <stp>P</stp>
        <stp>0</stp>
        <stp>IR</stp>
        <stp>BONDKSD3070000</stp>
        <stp>3년이하(당일)</stp>
        <stp>45523</stp>
        <stp/>
        <tr r="CV15" s="2"/>
        <tr r="CV15" s="2"/>
      </tp>
      <tp>
        <v>3.1850000000000001</v>
        <stp/>
        <stp>P</stp>
        <stp>0</stp>
        <stp>IR</stp>
        <stp>BONDKSD3060000</stp>
        <stp>3년이하(당일)</stp>
        <stp>45523</stp>
        <stp/>
        <tr r="CV83" s="2"/>
        <tr r="CV83" s="2"/>
      </tp>
      <tp>
        <v>3.0529999999999999</v>
        <stp/>
        <stp>P</stp>
        <stp>0</stp>
        <stp>IR</stp>
        <stp>BONDKSD1010000</stp>
        <stp>1년이하(당일)</stp>
        <stp>45523</stp>
        <stp/>
        <tr r="CR9" s="2"/>
        <tr r="CR9" s="2"/>
      </tp>
      <tp>
        <v>3.1469999999999998</v>
        <stp/>
        <stp>P</stp>
        <stp>0</stp>
        <stp>IR</stp>
        <stp>BONDKSD2010000</stp>
        <stp>2년이하(당일)</stp>
        <stp>45523</stp>
        <stp/>
        <tr r="CT13" s="2"/>
        <tr r="CT13" s="2"/>
      </tp>
      <tp>
        <v>0</v>
        <stp/>
        <stp>P</stp>
        <stp>0</stp>
        <stp>IR</stp>
        <stp>BONDKSD4000000</stp>
        <stp>4년이하(당일)</stp>
        <stp>45523</stp>
        <stp/>
        <tr r="CW20" s="2"/>
      </tp>
      <tp>
        <v>3.089</v>
        <stp/>
        <stp>P</stp>
        <stp>0</stp>
        <stp>IR</stp>
        <stp>BONDKSD1030000</stp>
        <stp>1년이하(당일)</stp>
        <stp>45523</stp>
        <stp/>
        <tr r="CR10" s="2"/>
        <tr r="CR10" s="2"/>
      </tp>
      <tp>
        <v>2.8849999999999998</v>
        <stp/>
        <stp>P</stp>
        <stp>0</stp>
        <stp>IR</stp>
        <stp>BONDKSD1020000</stp>
        <stp>1년이하(당일)</stp>
        <stp>45523</stp>
        <stp/>
        <tr r="CR11" s="2"/>
        <tr r="CR11" s="2"/>
      </tp>
      <tp>
        <v>3.1480000000000001</v>
        <stp/>
        <stp>P</stp>
        <stp>0</stp>
        <stp>IR</stp>
        <stp>BONDKSD2020000</stp>
        <stp>2년이하(당일)</stp>
        <stp>45523</stp>
        <stp/>
        <tr r="CT14" s="2"/>
        <tr r="CT14" s="2"/>
      </tp>
      <tp>
        <v>4.8860000000000001</v>
        <stp/>
        <stp>P</stp>
        <stp>0</stp>
        <stp>IR</stp>
        <stp>BONDKBPE302</stp>
        <stp>15년이하(당일)</stp>
        <stp>45523</stp>
        <stp/>
        <tr r="AO44" s="2"/>
        <tr r="AO44" s="2"/>
      </tp>
      <tp>
        <v>4.8860000000000001</v>
        <stp/>
        <stp>P</stp>
        <stp>0</stp>
        <stp>IR</stp>
        <stp>BONDKBPE202</stp>
        <stp>15년이하(당일)</stp>
        <stp>45523</stp>
        <stp/>
        <tr r="AO35" s="2"/>
        <tr r="AO35" s="2"/>
      </tp>
      <tp>
        <v>3.6629999999999998</v>
        <stp/>
        <stp>P</stp>
        <stp>0</stp>
        <stp>IR</stp>
        <stp>BONDKBPC402</stp>
        <stp>15년이하(당일)</stp>
        <stp>45523</stp>
        <stp/>
        <tr r="AO19" s="2"/>
        <tr r="AO19" s="2"/>
      </tp>
      <tp>
        <v>3.2050000000000001</v>
        <stp/>
        <stp>P</stp>
        <stp>0</stp>
        <stp>IR</stp>
        <stp>BONDKIS3033110</stp>
        <stp>2년이하(당일)</stp>
        <stp>45523</stp>
        <stp/>
        <tr r="AX16" s="2"/>
        <tr r="AX16" s="2"/>
      </tp>
      <tp>
        <v>3.2229999999999999</v>
        <stp/>
        <stp>P</stp>
        <stp>0</stp>
        <stp>IR</stp>
        <stp>BONDKIS5033110</stp>
        <stp>4년이하(당일)</stp>
        <stp>45523</stp>
        <stp/>
        <tr r="BA27" s="2"/>
        <tr r="BA27" s="2"/>
      </tp>
      <tp>
        <v>8.3339999999999996</v>
        <stp/>
        <stp>P</stp>
        <stp>0</stp>
        <stp>IR</stp>
        <stp>BONDKIS6013212</stp>
        <stp>4년이하(당일)</stp>
        <stp>45523</stp>
        <stp/>
        <tr r="BA50" s="2"/>
        <tr r="BA50" s="2"/>
      </tp>
      <tp>
        <v>8.3390000000000004</v>
        <stp/>
        <stp>P</stp>
        <stp>0</stp>
        <stp>IR</stp>
        <stp>BONDKIS7010212</stp>
        <stp>5년이하(당일)</stp>
        <stp>45523</stp>
        <stp/>
        <tr r="BB71" s="2"/>
        <tr r="BB71" s="2"/>
      </tp>
      <tp>
        <v>3.077</v>
        <stp/>
        <stp>P</stp>
        <stp>0</stp>
        <stp>IR</stp>
        <stp>BONDKIS5023110</stp>
        <stp>4년이하(당일)</stp>
        <stp>45523</stp>
        <stp/>
        <tr r="BA25" s="2"/>
        <tr r="BA25" s="2"/>
      </tp>
      <tp>
        <v>9.7479999999999993</v>
        <stp/>
        <stp>P</stp>
        <stp>0</stp>
        <stp>IR</stp>
        <stp>BONDKIS6013213</stp>
        <stp>4년이하(당일)</stp>
        <stp>45523</stp>
        <stp/>
        <tr r="BA51" s="2"/>
        <tr r="BA51" s="2"/>
      </tp>
      <tp>
        <v>9.7539999999999996</v>
        <stp/>
        <stp>P</stp>
        <stp>0</stp>
        <stp>IR</stp>
        <stp>BONDKIS7010213</stp>
        <stp>5년이하(당일)</stp>
        <stp>45523</stp>
        <stp/>
        <tr r="BB72" s="2"/>
        <tr r="BB72" s="2"/>
      </tp>
      <tp>
        <v>3.2770000000000001</v>
        <stp/>
        <stp>P</stp>
        <stp>0</stp>
        <stp>IR</stp>
        <stp>BONDKIS7020210</stp>
        <stp>5년이하(당일)</stp>
        <stp>45523</stp>
        <stp/>
        <tr r="BB55" s="2"/>
        <tr r="BB55" s="2"/>
      </tp>
      <tp>
        <v>3.077</v>
        <stp/>
        <stp>P</stp>
        <stp>0</stp>
        <stp>IR</stp>
        <stp>BONDKIS5013110</stp>
        <stp>4년이하(당일)</stp>
        <stp>45523</stp>
        <stp/>
        <tr r="BA23" s="2"/>
        <tr r="BA23" s="2"/>
      </tp>
      <tp>
        <v>7.4039999999999999</v>
        <stp/>
        <stp>P</stp>
        <stp>0</stp>
        <stp>IR</stp>
        <stp>BONDKIS6013211</stp>
        <stp>4년이하(당일)</stp>
        <stp>45523</stp>
        <stp/>
        <tr r="BA49" s="2"/>
        <tr r="BA49" s="2"/>
      </tp>
      <tp>
        <v>7.2850000000000001</v>
        <stp/>
        <stp>P</stp>
        <stp>0</stp>
        <stp>IR</stp>
        <stp>BONDKIS7010211</stp>
        <stp>5년이하(당일)</stp>
        <stp>45523</stp>
        <stp/>
        <tr r="BB70" s="2"/>
        <tr r="BB70" s="2"/>
      </tp>
      <tp>
        <v>3.0750000000000002</v>
        <stp/>
        <stp>P</stp>
        <stp>0</stp>
        <stp>IR</stp>
        <stp>BONDKSD5010110</stp>
        <stp>4년이하(당일)</stp>
        <stp>45523</stp>
        <stp/>
        <tr r="CW23" s="2"/>
        <tr r="CW23" s="2"/>
      </tp>
      <tp>
        <v>8.3330000000000002</v>
        <stp/>
        <stp>P</stp>
        <stp>0</stp>
        <stp>IR</stp>
        <stp>BONDKSD6010210</stp>
        <stp>4년이하(당일)</stp>
        <stp>45523</stp>
        <stp/>
        <tr r="CW41" s="2"/>
        <tr r="CW41" s="2"/>
      </tp>
      <tp>
        <v>7.2839999999999998</v>
        <stp/>
        <stp>P</stp>
        <stp>0</stp>
        <stp>IR</stp>
        <stp>BONDKSD7010211</stp>
        <stp>5년이하(당일)</stp>
        <stp>45523</stp>
        <stp/>
        <tr r="CX70" s="2"/>
        <tr r="CX70" s="2"/>
      </tp>
      <tp>
        <v>3.1840000000000002</v>
        <stp/>
        <stp>P</stp>
        <stp>0</stp>
        <stp>IR</stp>
        <stp>BONDKSD3030110</stp>
        <stp>2년이하(당일)</stp>
        <stp>45523</stp>
        <stp/>
        <tr r="CT16" s="2"/>
        <tr r="CT16" s="2"/>
      </tp>
      <tp>
        <v>3.2080000000000002</v>
        <stp/>
        <stp>P</stp>
        <stp>0</stp>
        <stp>IR</stp>
        <stp>BONDKSD5030110</stp>
        <stp>4년이하(당일)</stp>
        <stp>45523</stp>
        <stp/>
        <tr r="CW27" s="2"/>
        <tr r="CW27" s="2"/>
      </tp>
      <tp>
        <v>8.3350000000000009</v>
        <stp/>
        <stp>P</stp>
        <stp>0</stp>
        <stp>IR</stp>
        <stp>BONDKSD7010212</stp>
        <stp>5년이하(당일)</stp>
        <stp>45523</stp>
        <stp/>
        <tr r="CX71" s="2"/>
        <tr r="CX71" s="2"/>
      </tp>
      <tp>
        <v>3.0819999999999999</v>
        <stp/>
        <stp>P</stp>
        <stp>0</stp>
        <stp>IR</stp>
        <stp>BONDKSD5020110</stp>
        <stp>4년이하(당일)</stp>
        <stp>45523</stp>
        <stp/>
        <tr r="CW25" s="2"/>
        <tr r="CW25" s="2"/>
      </tp>
      <tp>
        <v>9.7579999999999991</v>
        <stp/>
        <stp>P</stp>
        <stp>0</stp>
        <stp>IR</stp>
        <stp>BONDKSD7010213</stp>
        <stp>5년이하(당일)</stp>
        <stp>45523</stp>
        <stp/>
        <tr r="CX72" s="2"/>
        <tr r="CX72" s="2"/>
      </tp>
      <tp>
        <v>4.5209999999999999</v>
        <stp/>
        <stp>P</stp>
        <stp>0</stp>
        <stp>IR</stp>
        <stp>BONDKSD7020210</stp>
        <stp>5년이하(당일)</stp>
        <stp>45523</stp>
        <stp/>
        <tr r="CX55" s="2"/>
        <tr r="CX55" s="2"/>
      </tp>
      <tp>
        <v>3.2029999999999998</v>
        <stp/>
        <stp>P</stp>
        <stp>0</stp>
        <stp>IR</stp>
        <stp>BONDKBPZ001</stp>
        <stp>15년이하(당일)</stp>
        <stp>45523</stp>
        <stp/>
        <tr r="AO83" s="2"/>
        <tr r="AO83" s="2"/>
      </tp>
      <tp t="s">
        <v/>
        <stp/>
        <stp>P</stp>
        <stp>0</stp>
        <stp>IR</stp>
        <stp>BONDKBPD001</stp>
        <stp>15년이하(당일)</stp>
        <stp>45523</stp>
        <stp/>
        <tr r="AO21" s="2"/>
        <tr r="AO21" s="2"/>
      </tp>
      <tp>
        <v>3.4409999999999998</v>
        <stp/>
        <stp>P</stp>
        <stp>0</stp>
        <stp>IR</stp>
        <stp>BONDKBPC401</stp>
        <stp>15년이하(당일)</stp>
        <stp>45523</stp>
        <stp/>
        <tr r="AO17" s="2"/>
        <tr r="AO17" s="2"/>
      </tp>
      <tp>
        <v>3.5979999999999999</v>
        <stp/>
        <stp>P</stp>
        <stp>0</stp>
        <stp>IR</stp>
        <stp>BONDKIS3043123</stp>
        <stp>2년이하(당일)</stp>
        <stp>45523</stp>
        <stp/>
        <tr r="AX19" s="2"/>
        <tr r="AX19" s="2"/>
      </tp>
      <tp>
        <v>3.7829999999999999</v>
        <stp/>
        <stp>P</stp>
        <stp>0</stp>
        <stp>IR</stp>
        <stp>BONDKIS5043123</stp>
        <stp>4년이하(당일)</stp>
        <stp>45523</stp>
        <stp/>
        <tr r="BA30" s="2"/>
        <tr r="BA30" s="2"/>
      </tp>
      <tp>
        <v>3.4279999999999999</v>
        <stp/>
        <stp>P</stp>
        <stp>0</stp>
        <stp>IR</stp>
        <stp>BONDKIS3043122</stp>
        <stp>2년이하(당일)</stp>
        <stp>45523</stp>
        <stp/>
        <tr r="AX18" s="2"/>
        <tr r="AX18" s="2"/>
      </tp>
      <tp>
        <v>3.5489999999999999</v>
        <stp/>
        <stp>P</stp>
        <stp>0</stp>
        <stp>IR</stp>
        <stp>BONDKIS5043122</stp>
        <stp>4년이하(당일)</stp>
        <stp>45523</stp>
        <stp/>
        <tr r="BA29" s="2"/>
        <tr r="BA29" s="2"/>
      </tp>
      <tp>
        <v>3.3140000000000001</v>
        <stp/>
        <stp>P</stp>
        <stp>0</stp>
        <stp>IR</stp>
        <stp>BONDKIS3043121</stp>
        <stp>2년이하(당일)</stp>
        <stp>45523</stp>
        <stp/>
        <tr r="AX17" s="2"/>
        <tr r="AX17" s="2"/>
      </tp>
      <tp>
        <v>3.3029999999999999</v>
        <stp/>
        <stp>P</stp>
        <stp>0</stp>
        <stp>IR</stp>
        <stp>BONDKIS5043121</stp>
        <stp>4년이하(당일)</stp>
        <stp>45523</stp>
        <stp/>
        <tr r="BA28" s="2"/>
        <tr r="BA28" s="2"/>
      </tp>
      <tp>
        <v>3.9489999999999998</v>
        <stp/>
        <stp>P</stp>
        <stp>0</stp>
        <stp>IR</stp>
        <stp>BONDKIS6013122</stp>
        <stp>7년이하(당일)</stp>
        <stp>45523</stp>
        <stp/>
        <tr r="BC44" s="2"/>
        <tr r="BC44" s="2"/>
      </tp>
      <tp>
        <v>4.1379999999999999</v>
        <stp/>
        <stp>P</stp>
        <stp>0</stp>
        <stp>IR</stp>
        <stp>BONDKIS6013123</stp>
        <stp>7년이하(당일)</stp>
        <stp>45523</stp>
        <stp/>
        <tr r="BC45" s="2"/>
        <tr r="BC45" s="2"/>
      </tp>
      <tp>
        <v>3.734</v>
        <stp/>
        <stp>P</stp>
        <stp>0</stp>
        <stp>IR</stp>
        <stp>BONDKIS6013121</stp>
        <stp>7년이하(당일)</stp>
        <stp>45523</stp>
        <stp/>
        <tr r="BC43" s="2"/>
        <tr r="BC43" s="2"/>
      </tp>
      <tp>
        <v>3.2839999999999998</v>
        <stp/>
        <stp>P</stp>
        <stp>0</stp>
        <stp>IR</stp>
        <stp>BONDKSD3040121</stp>
        <stp>2년이하(당일)</stp>
        <stp>45523</stp>
        <stp/>
        <tr r="CT17" s="2"/>
        <tr r="CT17" s="2"/>
      </tp>
      <tp>
        <v>3.4129999999999998</v>
        <stp/>
        <stp>P</stp>
        <stp>0</stp>
        <stp>IR</stp>
        <stp>BONDKSD3040120</stp>
        <stp>2년이하(당일)</stp>
        <stp>45523</stp>
        <stp/>
        <tr r="CT18" s="2"/>
        <tr r="CT18" s="2"/>
      </tp>
      <tp>
        <v>3.5529999999999999</v>
        <stp/>
        <stp>P</stp>
        <stp>0</stp>
        <stp>IR</stp>
        <stp>BONDKSD5040120</stp>
        <stp>4년이하(당일)</stp>
        <stp>45523</stp>
        <stp/>
        <tr r="CW29" s="2"/>
        <tr r="CW29" s="2"/>
      </tp>
      <tp>
        <v>3.7349999999999999</v>
        <stp/>
        <stp>P</stp>
        <stp>0</stp>
        <stp>IR</stp>
        <stp>BONDKSD6010121</stp>
        <stp>7년이하(당일)</stp>
        <stp>45523</stp>
        <stp/>
        <tr r="CY34" s="2"/>
        <tr r="CY34" s="2"/>
      </tp>
      <tp>
        <v>3.9279999999999999</v>
        <stp/>
        <stp>P</stp>
        <stp>0</stp>
        <stp>IR</stp>
        <stp>BONDKSD6010122</stp>
        <stp>7년이하(당일)</stp>
        <stp>45523</stp>
        <stp/>
        <tr r="CY35" s="2"/>
        <tr r="CY35" s="2"/>
      </tp>
      <tp>
        <v>4.1310000000000002</v>
        <stp/>
        <stp>P</stp>
        <stp>0</stp>
        <stp>IR</stp>
        <stp>BONDKSD6010123</stp>
        <stp>7년이하(당일)</stp>
        <stp>45523</stp>
        <stp/>
        <tr r="CY36" s="2"/>
        <tr r="CY36" s="2"/>
      </tp>
      <tp>
        <v>0</v>
        <stp/>
        <stp>P</stp>
        <stp>0</stp>
        <stp>IR</stp>
        <stp>BONDKBPE150</stp>
        <stp>30년이하(당일)</stp>
        <stp>45523</stp>
        <stp/>
        <tr r="AQ31" s="2"/>
      </tp>
      <tp>
        <v>5.1280000000000001</v>
        <stp/>
        <stp>P</stp>
        <stp>0</stp>
        <stp>IR</stp>
        <stp>BONDKBPE300</stp>
        <stp>15년이하(당일)</stp>
        <stp>45523</stp>
        <stp/>
        <tr r="AO45" s="2"/>
        <tr r="AO45" s="2"/>
      </tp>
      <tp>
        <v>10.488</v>
        <stp/>
        <stp>P</stp>
        <stp>0</stp>
        <stp>IR</stp>
        <stp>BONDKBPE350</stp>
        <stp>10년이하(당일)</stp>
        <stp>45523</stp>
        <stp/>
        <tr r="AN51" s="2"/>
        <tr r="AN51" s="2"/>
      </tp>
      <tp>
        <v>4.67</v>
        <stp/>
        <stp>P</stp>
        <stp>0</stp>
        <stp>IR</stp>
        <stp>BONDKBPE150</stp>
        <stp>20년이하(당일)</stp>
        <stp>45523</stp>
        <stp/>
        <tr r="AP31" s="2"/>
        <tr r="AP31" s="2"/>
      </tp>
      <tp>
        <v>5.1280000000000001</v>
        <stp/>
        <stp>P</stp>
        <stp>0</stp>
        <stp>IR</stp>
        <stp>BONDKBPE200</stp>
        <stp>15년이하(당일)</stp>
        <stp>45523</stp>
        <stp/>
        <tr r="AO36" s="2"/>
        <tr r="AO36" s="2"/>
      </tp>
      <tp>
        <v>4.4409999999999998</v>
        <stp/>
        <stp>P</stp>
        <stp>0</stp>
        <stp>IR</stp>
        <stp>BONDKBPE150</stp>
        <stp>10년이하(당일)</stp>
        <stp>45523</stp>
        <stp/>
        <tr r="AN31" s="2"/>
        <tr r="AN31" s="2"/>
      </tp>
      <tp>
        <v>0</v>
        <stp/>
        <stp>P</stp>
        <stp>0</stp>
        <stp>IR</stp>
        <stp>BONDKBPE350</stp>
        <stp>30년이하(당일)</stp>
        <stp>45523</stp>
        <stp/>
        <tr r="AQ51" s="2"/>
      </tp>
      <tp>
        <v>11.188000000000001</v>
        <stp/>
        <stp>P</stp>
        <stp>0</stp>
        <stp>IR</stp>
        <stp>BONDKBPE350</stp>
        <stp>20년이하(당일)</stp>
        <stp>45523</stp>
        <stp/>
        <tr r="AP51" s="2"/>
        <tr r="AP51" s="2"/>
      </tp>
      <tp>
        <v>0</v>
        <stp/>
        <stp>P</stp>
        <stp>0</stp>
        <stp>IR</stp>
        <stp>BONDKBPE350</stp>
        <stp>50년이하(당일)</stp>
        <stp>45523</stp>
        <stp/>
        <tr r="AR51" s="2"/>
      </tp>
      <tp>
        <v>0</v>
        <stp/>
        <stp>P</stp>
        <stp>0</stp>
        <stp>IR</stp>
        <stp>BONDKBPE150</stp>
        <stp>50년이하(당일)</stp>
        <stp>45523</stp>
        <stp/>
        <tr r="AR31" s="2"/>
      </tp>
      <tp t="s">
        <v/>
        <stp/>
        <stp>P</stp>
        <stp>0</stp>
        <stp>IR</stp>
        <stp>BONDKBPD000</stp>
        <stp>15년이하(당일)</stp>
        <stp>45523</stp>
        <stp/>
        <tr r="AO20" s="2"/>
        <tr r="AO20" s="2"/>
      </tp>
      <tp>
        <v>0</v>
        <stp/>
        <stp>P</stp>
        <stp>0</stp>
        <stp>IR</stp>
        <stp>BONDKBPA300</stp>
        <stp>15년이하(당일)</stp>
        <stp>45523</stp>
        <stp/>
        <tr r="AO10" s="2"/>
      </tp>
      <tp>
        <v>3.13</v>
        <stp/>
        <stp>P</stp>
        <stp>0</stp>
        <stp>IR</stp>
        <stp>BONDKBPA200</stp>
        <stp>15년이하(당일)</stp>
        <stp>45523</stp>
        <stp/>
        <tr r="AO11" s="2"/>
        <tr r="AO11" s="2"/>
      </tp>
      <tp>
        <v>2.9849999999999999</v>
        <stp/>
        <stp>P</stp>
        <stp>0</stp>
        <stp>IR</stp>
        <stp>BONDKBPA100</stp>
        <stp>15년이하(당일)</stp>
        <stp>45523</stp>
        <stp/>
        <tr r="AO9" s="2"/>
        <tr r="AO9" s="2"/>
      </tp>
      <tp t="s">
        <v xml:space="preserve"> </v>
        <stp/>
        <stp>P</stp>
        <stp>0</stp>
        <stp>IR</stp>
        <stp>BONDKBPA400</stp>
        <stp>15년이하(당일)</stp>
        <stp>45523</stp>
        <stp/>
        <tr r="AO12" s="2"/>
        <tr r="AO12" s="2"/>
      </tp>
      <tp>
        <v>3.2029999999999998</v>
        <stp/>
        <stp>P</stp>
        <stp>0</stp>
        <stp>IR</stp>
        <stp>BONDKBPC300</stp>
        <stp>15년이하(당일)</stp>
        <stp>45523</stp>
        <stp/>
        <tr r="AO16" s="2"/>
        <tr r="AO16" s="2"/>
      </tp>
      <tp>
        <v>3.13</v>
        <stp/>
        <stp>P</stp>
        <stp>0</stp>
        <stp>IR</stp>
        <stp>BONDKBPC500</stp>
        <stp>15년이하(당일)</stp>
        <stp>45523</stp>
        <stp/>
        <tr r="AO15" s="2"/>
        <tr r="AO15" s="2"/>
      </tp>
      <tp>
        <v>3.5710000000000002</v>
        <stp/>
        <stp>P</stp>
        <stp>0</stp>
        <stp>IR</stp>
        <stp>BONDKBPC400</stp>
        <stp>15년이하(당일)</stp>
        <stp>45523</stp>
        <stp/>
        <tr r="AO18" s="2"/>
        <tr r="AO18" s="2"/>
      </tp>
      <tp>
        <v>3.2629999999999999</v>
        <stp/>
        <stp>P</stp>
        <stp>0</stp>
        <stp>IR</stp>
        <stp>BONDKBPB200</stp>
        <stp>15년이하(당일)</stp>
        <stp>45523</stp>
        <stp/>
        <tr r="AO14" s="2"/>
        <tr r="AO14" s="2"/>
      </tp>
      <tp>
        <v>0</v>
        <stp/>
        <stp>P</stp>
        <stp>0</stp>
        <stp>IR</stp>
        <stp>BONDKBPB100</stp>
        <stp>15년이하(당일)</stp>
        <stp>45523</stp>
        <stp/>
        <tr r="AO13" s="2"/>
      </tp>
      <tp>
        <v>3.9929999999999999</v>
        <stp/>
        <stp>P</stp>
        <stp>0</stp>
        <stp>IR</stp>
        <stp>BONDKIS5053132</stp>
        <stp>4년이하(당일)</stp>
        <stp>45523</stp>
        <stp/>
        <tr r="BA32" s="2"/>
        <tr r="BA32" s="2"/>
      </tp>
      <tp>
        <v>4.0919999999999996</v>
        <stp/>
        <stp>P</stp>
        <stp>0</stp>
        <stp>IR</stp>
        <stp>BONDKIS5053133</stp>
        <stp>4년이하(당일)</stp>
        <stp>45523</stp>
        <stp/>
        <tr r="BA33" s="2"/>
        <tr r="BA33" s="2"/>
      </tp>
      <tp>
        <v>3.8980000000000001</v>
        <stp/>
        <stp>P</stp>
        <stp>0</stp>
        <stp>IR</stp>
        <stp>BONDKIS5053131</stp>
        <stp>4년이하(당일)</stp>
        <stp>45523</stp>
        <stp/>
        <tr r="BA31" s="2"/>
        <tr r="BA31" s="2"/>
      </tp>
      <tp>
        <v>5.5279999999999996</v>
        <stp/>
        <stp>P</stp>
        <stp>0</stp>
        <stp>IR</stp>
        <stp>BONDKIS6013132</stp>
        <stp>7년이하(당일)</stp>
        <stp>45523</stp>
        <stp/>
        <tr r="BC47" s="2"/>
        <tr r="BC47" s="2"/>
      </tp>
      <tp>
        <v>6.1959999999999997</v>
        <stp/>
        <stp>P</stp>
        <stp>0</stp>
        <stp>IR</stp>
        <stp>BONDKIS6013133</stp>
        <stp>7년이하(당일)</stp>
        <stp>45523</stp>
        <stp/>
        <tr r="BC48" s="2"/>
        <tr r="BC48" s="2"/>
      </tp>
      <tp>
        <v>5.016</v>
        <stp/>
        <stp>P</stp>
        <stp>0</stp>
        <stp>IR</stp>
        <stp>BONDKIS6013131</stp>
        <stp>7년이하(당일)</stp>
        <stp>45523</stp>
        <stp/>
        <tr r="BC46" s="2"/>
        <tr r="BC46" s="2"/>
      </tp>
      <tp>
        <v>3.9239999999999999</v>
        <stp/>
        <stp>P</stp>
        <stp>0</stp>
        <stp>IR</stp>
        <stp>BONDKSD5050131</stp>
        <stp>4년이하(당일)</stp>
        <stp>45523</stp>
        <stp/>
        <tr r="CW31" s="2"/>
        <tr r="CW31" s="2"/>
      </tp>
      <tp>
        <v>5.0220000000000002</v>
        <stp/>
        <stp>P</stp>
        <stp>0</stp>
        <stp>IR</stp>
        <stp>BONDKSD6010131</stp>
        <stp>7년이하(당일)</stp>
        <stp>45523</stp>
        <stp/>
        <tr r="CY37" s="2"/>
        <tr r="CY37" s="2"/>
      </tp>
      <tp>
        <v>5.5460000000000003</v>
        <stp/>
        <stp>P</stp>
        <stp>0</stp>
        <stp>IR</stp>
        <stp>BONDKSD6010132</stp>
        <stp>7년이하(당일)</stp>
        <stp>45523</stp>
        <stp/>
        <tr r="CY38" s="2"/>
        <tr r="CY38" s="2"/>
      </tp>
      <tp>
        <v>6.2030000000000003</v>
        <stp/>
        <stp>P</stp>
        <stp>0</stp>
        <stp>IR</stp>
        <stp>BONDKSD6010133</stp>
        <stp>7년이하(당일)</stp>
        <stp>45523</stp>
        <stp/>
        <tr r="CY39" s="2"/>
        <tr r="CY39" s="2"/>
      </tp>
      <tp>
        <v>3.5760000000000001</v>
        <stp/>
        <stp>P</stp>
        <stp>0</stp>
        <stp>IR</stp>
        <stp>BONDKBPE13C</stp>
        <stp>15년이하(당일)</stp>
        <stp>45523</stp>
        <stp/>
        <tr r="AO22" s="2"/>
        <tr r="AO22" s="2"/>
      </tp>
      <tp>
        <v>7.4969999999999999</v>
        <stp/>
        <stp>P</stp>
        <stp>0</stp>
        <stp>IR</stp>
        <stp>BONDFNP6010211</stp>
        <stp>7년이하(당일)</stp>
        <stp>45523</stp>
        <stp/>
        <tr r="CI40" s="2"/>
        <tr r="CI40" s="2"/>
      </tp>
      <tp>
        <v>3.26</v>
        <stp/>
        <stp>P</stp>
        <stp>0</stp>
        <stp>IR</stp>
        <stp>BONDFNP5010110</stp>
        <stp>7년이하(당일)</stp>
        <stp>45523</stp>
        <stp/>
        <tr r="CI23" s="2"/>
        <tr r="CI23" s="2"/>
      </tp>
      <tp>
        <v>3.2890000000000001</v>
        <stp/>
        <stp>P</stp>
        <stp>0</stp>
        <stp>IR</stp>
        <stp>BONDFNP7010110</stp>
        <stp>5년이하(당일)</stp>
        <stp>45523</stp>
        <stp/>
        <tr r="CH63" s="2"/>
        <tr r="CH63" s="2"/>
      </tp>
      <tp>
        <v>3.2839999999999998</v>
        <stp/>
        <stp>P</stp>
        <stp>0</stp>
        <stp>IR</stp>
        <stp>BONDFNP5020110</stp>
        <stp>7년이하(당일)</stp>
        <stp>45523</stp>
        <stp/>
        <tr r="CI25" s="2"/>
        <tr r="CI25" s="2"/>
      </tp>
      <tp>
        <v>10.037000000000001</v>
        <stp/>
        <stp>P</stp>
        <stp>0</stp>
        <stp>IR</stp>
        <stp>BONDFNP6010213</stp>
        <stp>7년이하(당일)</stp>
        <stp>45523</stp>
        <stp/>
        <tr r="CI42" s="2"/>
        <tr r="CI42" s="2"/>
      </tp>
      <tp>
        <v>3.1269999999999998</v>
        <stp/>
        <stp>P</stp>
        <stp>0</stp>
        <stp>IR</stp>
        <stp>BONDFNP7020110</stp>
        <stp>5년이하(당일)</stp>
        <stp>45523</stp>
        <stp/>
        <tr r="CH52" s="2"/>
        <tr r="CH52" s="2"/>
      </tp>
      <tp>
        <v>3.2519999999999998</v>
        <stp/>
        <stp>P</stp>
        <stp>0</stp>
        <stp>IR</stp>
        <stp>BONDFNP3030110</stp>
        <stp>1년이하(당일)</stp>
        <stp>45523</stp>
        <stp/>
        <tr r="CB16" s="2"/>
        <tr r="CB16" s="2"/>
      </tp>
      <tp>
        <v>3.367</v>
        <stp/>
        <stp>P</stp>
        <stp>0</stp>
        <stp>IR</stp>
        <stp>BONDFNP5030110</stp>
        <stp>7년이하(당일)</stp>
        <stp>45523</stp>
        <stp/>
        <tr r="CI27" s="2"/>
        <tr r="CI27" s="2"/>
      </tp>
      <tp>
        <v>8.6270000000000007</v>
        <stp/>
        <stp>P</stp>
        <stp>0</stp>
        <stp>IR</stp>
        <stp>BONDFNP6010212</stp>
        <stp>7년이하(당일)</stp>
        <stp>45523</stp>
        <stp/>
        <tr r="CI41" s="2"/>
        <tr r="CI41" s="2"/>
      </tp>
      <tp>
        <v>0</v>
        <stp/>
        <stp>P</stp>
        <stp>0</stp>
        <stp>IR</stp>
        <stp>BONDFNP4000000</stp>
        <stp>7년이하(당일)</stp>
        <stp>45523</stp>
        <stp/>
        <tr r="CI20" s="2"/>
      </tp>
      <tp>
        <v>3.03</v>
        <stp/>
        <stp>P</stp>
        <stp>0</stp>
        <stp>IR</stp>
        <stp>BONDFNP1010000</stp>
        <stp>2년이하(당일)</stp>
        <stp>45523</stp>
        <stp/>
        <tr r="CD9" s="2"/>
        <tr r="CD9" s="2"/>
      </tp>
      <tp>
        <v>3.177</v>
        <stp/>
        <stp>P</stp>
        <stp>0</stp>
        <stp>IR</stp>
        <stp>BONDFNP2010000</stp>
        <stp>1년이하(당일)</stp>
        <stp>45523</stp>
        <stp/>
        <tr r="CB13" s="2"/>
        <tr r="CB13" s="2"/>
      </tp>
      <tp>
        <v>2.8479999999999999</v>
        <stp/>
        <stp>P</stp>
        <stp>0</stp>
        <stp>IR</stp>
        <stp>BONDFNP1020000</stp>
        <stp>2년이하(당일)</stp>
        <stp>45523</stp>
        <stp/>
        <tr r="CD11" s="2"/>
        <tr r="CD11" s="2"/>
      </tp>
      <tp>
        <v>3.177</v>
        <stp/>
        <stp>P</stp>
        <stp>0</stp>
        <stp>IR</stp>
        <stp>BONDFNP2020000</stp>
        <stp>1년이하(당일)</stp>
        <stp>45523</stp>
        <stp/>
        <tr r="CB14" s="2"/>
        <tr r="CB14" s="2"/>
      </tp>
      <tp>
        <v>3.0529999999999999</v>
        <stp/>
        <stp>P</stp>
        <stp>0</stp>
        <stp>IR</stp>
        <stp>BONDFNP1030000</stp>
        <stp>2년이하(당일)</stp>
        <stp>45523</stp>
        <stp/>
        <tr r="CD10" s="2"/>
        <tr r="CD10" s="2"/>
      </tp>
      <tp>
        <v>3.3029999999999999</v>
        <stp/>
        <stp>P</stp>
        <stp>0</stp>
        <stp>IR</stp>
        <stp>BONDFNP4050000</stp>
        <stp>7년이하(당일)</stp>
        <stp>45523</stp>
        <stp/>
        <tr r="CI22" s="2"/>
        <tr r="CI22" s="2"/>
      </tp>
      <tp>
        <v>4.6989999999999998</v>
        <stp/>
        <stp>P</stp>
        <stp>0</stp>
        <stp>IR</stp>
        <stp>BONDFNP6010131</stp>
        <stp>4년이하(당일)</stp>
        <stp>45523</stp>
        <stp/>
        <tr r="CG37" s="2"/>
        <tr r="CG37" s="2"/>
      </tp>
      <tp>
        <v>4.3250000000000002</v>
        <stp/>
        <stp>P</stp>
        <stp>0</stp>
        <stp>IR</stp>
        <stp>BONDFNP7010131</stp>
        <stp>5년이하(당일)</stp>
        <stp>45523</stp>
        <stp/>
        <tr r="CH67" s="2"/>
        <tr r="CH67" s="2"/>
      </tp>
      <tp>
        <v>6.0650000000000004</v>
        <stp/>
        <stp>P</stp>
        <stp>0</stp>
        <stp>IR</stp>
        <stp>BONDFNP6010133</stp>
        <stp>4년이하(당일)</stp>
        <stp>45523</stp>
        <stp/>
        <tr r="CG39" s="2"/>
        <tr r="CG39" s="2"/>
      </tp>
      <tp>
        <v>5.335</v>
        <stp/>
        <stp>P</stp>
        <stp>0</stp>
        <stp>IR</stp>
        <stp>BONDFNP7010133</stp>
        <stp>5년이하(당일)</stp>
        <stp>45523</stp>
        <stp/>
        <tr r="CH69" s="2"/>
        <tr r="CH69" s="2"/>
      </tp>
      <tp>
        <v>3.4529999999999998</v>
        <stp/>
        <stp>P</stp>
        <stp>0</stp>
        <stp>IR</stp>
        <stp>BONDFNP7020130</stp>
        <stp>5년이하(당일)</stp>
        <stp>45523</stp>
        <stp/>
        <tr r="CH54" s="2"/>
        <tr r="CH54" s="2"/>
      </tp>
      <tp>
        <v>5.3810000000000002</v>
        <stp/>
        <stp>P</stp>
        <stp>0</stp>
        <stp>IR</stp>
        <stp>BONDFNP6010132</stp>
        <stp>4년이하(당일)</stp>
        <stp>45523</stp>
        <stp/>
        <tr r="CG38" s="2"/>
        <tr r="CG38" s="2"/>
      </tp>
      <tp>
        <v>4.7430000000000003</v>
        <stp/>
        <stp>P</stp>
        <stp>0</stp>
        <stp>IR</stp>
        <stp>BONDFNP7010132</stp>
        <stp>5년이하(당일)</stp>
        <stp>45523</stp>
        <stp/>
        <tr r="CH68" s="2"/>
        <tr r="CH68" s="2"/>
      </tp>
      <tp>
        <v>4.1710000000000003</v>
        <stp/>
        <stp>P</stp>
        <stp>0</stp>
        <stp>IR</stp>
        <stp>BONDFNP5050131</stp>
        <stp>7년이하(당일)</stp>
        <stp>45523</stp>
        <stp/>
        <tr r="CI31" s="2"/>
        <tr r="CI31" s="2"/>
      </tp>
      <tp>
        <v>4.4290000000000003</v>
        <stp/>
        <stp>P</stp>
        <stp>0</stp>
        <stp>IR</stp>
        <stp>BONDFNP5050133</stp>
        <stp>7년이하(당일)</stp>
        <stp>45523</stp>
        <stp/>
        <tr r="CI33" s="2"/>
        <tr r="CI33" s="2"/>
      </tp>
      <tp>
        <v>4.2990000000000004</v>
        <stp/>
        <stp>P</stp>
        <stp>0</stp>
        <stp>IR</stp>
        <stp>BONDFNP5050132</stp>
        <stp>7년이하(당일)</stp>
        <stp>45523</stp>
        <stp/>
        <tr r="CI32" s="2"/>
        <tr r="CI32" s="2"/>
      </tp>
      <tp>
        <v>3.3090000000000002</v>
        <stp/>
        <stp>P</stp>
        <stp>0</stp>
        <stp>IR</stp>
        <stp>BONDFNP6010121</stp>
        <stp>4년이하(당일)</stp>
        <stp>45523</stp>
        <stp/>
        <tr r="CG34" s="2"/>
        <tr r="CG34" s="2"/>
      </tp>
      <tp>
        <v>3.363</v>
        <stp/>
        <stp>P</stp>
        <stp>0</stp>
        <stp>IR</stp>
        <stp>BONDFNP7010121</stp>
        <stp>5년이하(당일)</stp>
        <stp>45523</stp>
        <stp/>
        <tr r="CH64" s="2"/>
        <tr r="CH64" s="2"/>
      </tp>
      <tp>
        <v>3.5459999999999998</v>
        <stp/>
        <stp>P</stp>
        <stp>0</stp>
        <stp>IR</stp>
        <stp>BONDFNP6010123</stp>
        <stp>4년이하(당일)</stp>
        <stp>45523</stp>
        <stp/>
        <tr r="CG36" s="2"/>
        <tr r="CG36" s="2"/>
      </tp>
      <tp>
        <v>3.5350000000000001</v>
        <stp/>
        <stp>P</stp>
        <stp>0</stp>
        <stp>IR</stp>
        <stp>BONDFNP7010123</stp>
        <stp>5년이하(당일)</stp>
        <stp>45523</stp>
        <stp/>
        <tr r="CH66" s="2"/>
        <tr r="CH66" s="2"/>
      </tp>
      <tp>
        <v>3.2629999999999999</v>
        <stp/>
        <stp>P</stp>
        <stp>0</stp>
        <stp>IR</stp>
        <stp>BONDFNP7020120</stp>
        <stp>5년이하(당일)</stp>
        <stp>45523</stp>
        <stp/>
        <tr r="CH53" s="2"/>
        <tr r="CH53" s="2"/>
      </tp>
      <tp>
        <v>3.4279999999999999</v>
        <stp/>
        <stp>P</stp>
        <stp>0</stp>
        <stp>IR</stp>
        <stp>BONDFNP6010122</stp>
        <stp>4년이하(당일)</stp>
        <stp>45523</stp>
        <stp/>
        <tr r="CG35" s="2"/>
        <tr r="CG35" s="2"/>
      </tp>
      <tp>
        <v>3.4319999999999999</v>
        <stp/>
        <stp>P</stp>
        <stp>0</stp>
        <stp>IR</stp>
        <stp>BONDFNP7010122</stp>
        <stp>5년이하(당일)</stp>
        <stp>45523</stp>
        <stp/>
        <tr r="CH65" s="2"/>
        <tr r="CH65" s="2"/>
      </tp>
      <tp>
        <v>3.2970000000000002</v>
        <stp/>
        <stp>P</stp>
        <stp>0</stp>
        <stp>IR</stp>
        <stp>BONDFNP3040121</stp>
        <stp>1년이하(당일)</stp>
        <stp>45523</stp>
        <stp/>
        <tr r="CB17" s="2"/>
        <tr r="CB17" s="2"/>
      </tp>
      <tp>
        <v>3.4590000000000001</v>
        <stp/>
        <stp>P</stp>
        <stp>0</stp>
        <stp>IR</stp>
        <stp>BONDFNP5040121</stp>
        <stp>7년이하(당일)</stp>
        <stp>45523</stp>
        <stp/>
        <tr r="CI28" s="2"/>
        <tr r="CI28" s="2"/>
      </tp>
      <tp>
        <v>3.4079999999999999</v>
        <stp/>
        <stp>P</stp>
        <stp>0</stp>
        <stp>IR</stp>
        <stp>BONDFNP3040122</stp>
        <stp>1년이하(당일)</stp>
        <stp>45523</stp>
        <stp/>
        <tr r="CB18" s="2"/>
        <tr r="CB18" s="2"/>
      </tp>
      <tp>
        <v>3.7549999999999999</v>
        <stp/>
        <stp>P</stp>
        <stp>0</stp>
        <stp>IR</stp>
        <stp>BONDFNP5040122</stp>
        <stp>7년이하(당일)</stp>
        <stp>45523</stp>
        <stp/>
        <tr r="CI29" s="2"/>
        <tr r="CI29" s="2"/>
      </tp>
      <tp>
        <v>3.569</v>
        <stp/>
        <stp>P</stp>
        <stp>0</stp>
        <stp>IR</stp>
        <stp>BONDFNP3040123</stp>
        <stp>1년이하(당일)</stp>
        <stp>45523</stp>
        <stp/>
        <tr r="CB19" s="2"/>
        <tr r="CB19" s="2"/>
      </tp>
      <tp>
        <v>4.0179999999999998</v>
        <stp/>
        <stp>P</stp>
        <stp>0</stp>
        <stp>IR</stp>
        <stp>BONDFNP5040123</stp>
        <stp>7년이하(당일)</stp>
        <stp>45523</stp>
        <stp/>
        <tr r="CI30" s="2"/>
        <tr r="CI30" s="2"/>
      </tp>
      <tp>
        <v>3.53</v>
        <stp/>
        <stp>P</stp>
        <stp>0</stp>
        <stp>IR</stp>
        <stp>BONDNIC3040113</stp>
        <stp>1년이하(당일)</stp>
        <stp>45523</stp>
        <stp/>
        <tr r="BL19" s="2"/>
        <tr r="BL19" s="2"/>
      </tp>
      <tp>
        <v>3.9780000000000002</v>
        <stp/>
        <stp>P</stp>
        <stp>0</stp>
        <stp>IR</stp>
        <stp>BONDNIC5040113</stp>
        <stp>7년이하(당일)</stp>
        <stp>45523</stp>
        <stp/>
        <tr r="BS30" s="2"/>
        <tr r="BS30" s="2"/>
      </tp>
      <tp>
        <v>4.2679999999999998</v>
        <stp/>
        <stp>P</stp>
        <stp>0</stp>
        <stp>IR</stp>
        <stp>BONDNIC5050112</stp>
        <stp>7년이하(당일)</stp>
        <stp>45523</stp>
        <stp/>
        <tr r="BS32" s="2"/>
        <tr r="BS32" s="2"/>
      </tp>
      <tp>
        <v>3.5579999999999998</v>
        <stp/>
        <stp>P</stp>
        <stp>0</stp>
        <stp>IR</stp>
        <stp>BONDNIC6040113</stp>
        <stp>4년이하(당일)</stp>
        <stp>45523</stp>
        <stp/>
        <tr r="BQ36" s="2"/>
        <tr r="BQ36" s="2"/>
      </tp>
      <tp>
        <v>5.3929999999999998</v>
        <stp/>
        <stp>P</stp>
        <stp>0</stp>
        <stp>IR</stp>
        <stp>BONDNIC6050112</stp>
        <stp>4년이하(당일)</stp>
        <stp>45523</stp>
        <stp/>
        <tr r="BQ38" s="2"/>
        <tr r="BQ38" s="2"/>
      </tp>
      <tp>
        <v>7.4279999999999999</v>
        <stp/>
        <stp>P</stp>
        <stp>0</stp>
        <stp>IR</stp>
        <stp>BONDNIC6060111</stp>
        <stp>4년이하(당일)</stp>
        <stp>45523</stp>
        <stp/>
        <tr r="BQ40" s="2"/>
        <tr r="BQ40" s="2"/>
      </tp>
      <tp>
        <v>3.5219999999999998</v>
        <stp/>
        <stp>P</stp>
        <stp>0</stp>
        <stp>IR</stp>
        <stp>BONDNIC7040113</stp>
        <stp>5년이하(당일)</stp>
        <stp>45523</stp>
        <stp/>
        <tr r="BR66" s="2"/>
        <tr r="BR66" s="2"/>
      </tp>
      <tp>
        <v>4.7080000000000002</v>
        <stp/>
        <stp>P</stp>
        <stp>0</stp>
        <stp>IR</stp>
        <stp>BONDNIC7050112</stp>
        <stp>5년이하(당일)</stp>
        <stp>45523</stp>
        <stp/>
        <tr r="BR68" s="2"/>
        <tr r="BR68" s="2"/>
      </tp>
      <tp>
        <v>7.306</v>
        <stp/>
        <stp>P</stp>
        <stp>0</stp>
        <stp>IR</stp>
        <stp>BONDNIC7060111</stp>
        <stp>5년이하(당일)</stp>
        <stp>45523</stp>
        <stp/>
        <tr r="BR70" s="2"/>
        <tr r="BR70" s="2"/>
      </tp>
      <tp>
        <v>3.395</v>
        <stp/>
        <stp>P</stp>
        <stp>0</stp>
        <stp>IR</stp>
        <stp>BONDNIC3040112</stp>
        <stp>1년이하(당일)</stp>
        <stp>45523</stp>
        <stp/>
        <tr r="BL18" s="2"/>
        <tr r="BL18" s="2"/>
      </tp>
      <tp>
        <v>3.7440000000000002</v>
        <stp/>
        <stp>P</stp>
        <stp>0</stp>
        <stp>IR</stp>
        <stp>BONDNIC5040112</stp>
        <stp>7년이하(당일)</stp>
        <stp>45523</stp>
        <stp/>
        <tr r="BS29" s="2"/>
        <tr r="BS29" s="2"/>
      </tp>
      <tp>
        <v>4.3680000000000003</v>
        <stp/>
        <stp>P</stp>
        <stp>0</stp>
        <stp>IR</stp>
        <stp>BONDNIC5050113</stp>
        <stp>7년이하(당일)</stp>
        <stp>45523</stp>
        <stp/>
        <tr r="BS33" s="2"/>
        <tr r="BS33" s="2"/>
      </tp>
      <tp>
        <v>3.4590000000000001</v>
        <stp/>
        <stp>P</stp>
        <stp>0</stp>
        <stp>IR</stp>
        <stp>BONDNIC6040112</stp>
        <stp>4년이하(당일)</stp>
        <stp>45523</stp>
        <stp/>
        <tr r="BQ35" s="2"/>
        <tr r="BQ35" s="2"/>
      </tp>
      <tp>
        <v>6.1070000000000002</v>
        <stp/>
        <stp>P</stp>
        <stp>0</stp>
        <stp>IR</stp>
        <stp>BONDNIC6050113</stp>
        <stp>4년이하(당일)</stp>
        <stp>45523</stp>
        <stp/>
        <tr r="BQ39" s="2"/>
        <tr r="BQ39" s="2"/>
      </tp>
      <tp>
        <v>3.419</v>
        <stp/>
        <stp>P</stp>
        <stp>0</stp>
        <stp>IR</stp>
        <stp>BONDNIC7040112</stp>
        <stp>5년이하(당일)</stp>
        <stp>45523</stp>
        <stp/>
        <tr r="BR65" s="2"/>
        <tr r="BR65" s="2"/>
      </tp>
      <tp>
        <v>5.3579999999999997</v>
        <stp/>
        <stp>P</stp>
        <stp>0</stp>
        <stp>IR</stp>
        <stp>BONDNIC7050113</stp>
        <stp>5년이하(당일)</stp>
        <stp>45523</stp>
        <stp/>
        <tr r="BR69" s="2"/>
        <tr r="BR69" s="2"/>
      </tp>
      <tp>
        <v>3.298</v>
        <stp/>
        <stp>P</stp>
        <stp>0</stp>
        <stp>IR</stp>
        <stp>BONDNIC3040111</stp>
        <stp>1년이하(당일)</stp>
        <stp>45523</stp>
        <stp/>
        <tr r="BL17" s="2"/>
        <tr r="BL17" s="2"/>
      </tp>
      <tp>
        <v>3.4420000000000002</v>
        <stp/>
        <stp>P</stp>
        <stp>0</stp>
        <stp>IR</stp>
        <stp>BONDNIC5040111</stp>
        <stp>7년이하(당일)</stp>
        <stp>45523</stp>
        <stp/>
        <tr r="BS28" s="2"/>
        <tr r="BS28" s="2"/>
      </tp>
      <tp>
        <v>3.339</v>
        <stp/>
        <stp>P</stp>
        <stp>0</stp>
        <stp>IR</stp>
        <stp>BONDNIC6040111</stp>
        <stp>4년이하(당일)</stp>
        <stp>45523</stp>
        <stp/>
        <tr r="BQ34" s="2"/>
        <tr r="BQ34" s="2"/>
      </tp>
      <tp>
        <v>9.7509999999999994</v>
        <stp/>
        <stp>P</stp>
        <stp>0</stp>
        <stp>IR</stp>
        <stp>BONDNIC6060113</stp>
        <stp>4년이하(당일)</stp>
        <stp>45523</stp>
        <stp/>
        <tr r="BQ42" s="2"/>
        <tr r="BQ42" s="2"/>
      </tp>
      <tp>
        <v>3.3580000000000001</v>
        <stp/>
        <stp>P</stp>
        <stp>0</stp>
        <stp>IR</stp>
        <stp>BONDNIC7040111</stp>
        <stp>5년이하(당일)</stp>
        <stp>45523</stp>
        <stp/>
        <tr r="BR64" s="2"/>
        <tr r="BR64" s="2"/>
      </tp>
      <tp>
        <v>9.7859999999999996</v>
        <stp/>
        <stp>P</stp>
        <stp>0</stp>
        <stp>IR</stp>
        <stp>BONDNIC7060113</stp>
        <stp>5년이하(당일)</stp>
        <stp>45523</stp>
        <stp/>
        <tr r="BR72" s="2"/>
        <tr r="BR72" s="2"/>
      </tp>
      <tp>
        <v>4.1619999999999999</v>
        <stp/>
        <stp>P</stp>
        <stp>0</stp>
        <stp>IR</stp>
        <stp>BONDNIC5050111</stp>
        <stp>7년이하(당일)</stp>
        <stp>45523</stp>
        <stp/>
        <tr r="BS31" s="2"/>
        <tr r="BS31" s="2"/>
      </tp>
      <tp>
        <v>4.7249999999999996</v>
        <stp/>
        <stp>P</stp>
        <stp>0</stp>
        <stp>IR</stp>
        <stp>BONDNIC6050111</stp>
        <stp>4년이하(당일)</stp>
        <stp>45523</stp>
        <stp/>
        <tr r="BQ37" s="2"/>
        <tr r="BQ37" s="2"/>
      </tp>
      <tp>
        <v>8.3480000000000008</v>
        <stp/>
        <stp>P</stp>
        <stp>0</stp>
        <stp>IR</stp>
        <stp>BONDNIC6060112</stp>
        <stp>4년이하(당일)</stp>
        <stp>45523</stp>
        <stp/>
        <tr r="BQ41" s="2"/>
        <tr r="BQ41" s="2"/>
      </tp>
      <tp>
        <v>4.3129999999999997</v>
        <stp/>
        <stp>P</stp>
        <stp>0</stp>
        <stp>IR</stp>
        <stp>BONDNIC7050111</stp>
        <stp>5년이하(당일)</stp>
        <stp>45523</stp>
        <stp/>
        <tr r="BR67" s="2"/>
        <tr r="BR67" s="2"/>
      </tp>
      <tp>
        <v>8.3460000000000001</v>
        <stp/>
        <stp>P</stp>
        <stp>0</stp>
        <stp>IR</stp>
        <stp>BONDNIC7060112</stp>
        <stp>5년이하(당일)</stp>
        <stp>45523</stp>
        <stp/>
        <tr r="BR71" s="2"/>
        <tr r="BR71" s="2"/>
      </tp>
      <tp>
        <v>3.26</v>
        <stp/>
        <stp>P</stp>
        <stp>0</stp>
        <stp>IR</stp>
        <stp>BONDNIC3030110</stp>
        <stp>1년이하(당일)</stp>
        <stp>45523</stp>
        <stp/>
        <tr r="BL16" s="2"/>
        <tr r="BL16" s="2"/>
      </tp>
      <tp>
        <v>3.347</v>
        <stp/>
        <stp>P</stp>
        <stp>0</stp>
        <stp>IR</stp>
        <stp>BONDNIC5030110</stp>
        <stp>7년이하(당일)</stp>
        <stp>45523</stp>
        <stp/>
        <tr r="BS27" s="2"/>
        <tr r="BS27" s="2"/>
      </tp>
      <tp>
        <v>3.2810000000000001</v>
        <stp/>
        <stp>P</stp>
        <stp>0</stp>
        <stp>IR</stp>
        <stp>BONDNIC7030110</stp>
        <stp>5년이하(당일)</stp>
        <stp>45523</stp>
        <stp/>
        <tr r="BR63" s="2"/>
        <tr r="BR63" s="2"/>
      </tp>
      <tp>
        <v>3.2679999999999998</v>
        <stp/>
        <stp>P</stp>
        <stp>0</stp>
        <stp>IR</stp>
        <stp>BONDNIC5020110</stp>
        <stp>7년이하(당일)</stp>
        <stp>45523</stp>
        <stp/>
        <tr r="BS25" s="2"/>
        <tr r="BS25" s="2"/>
      </tp>
      <tp>
        <v>3.2480000000000002</v>
        <stp/>
        <stp>P</stp>
        <stp>0</stp>
        <stp>IR</stp>
        <stp>BONDNIC5010110</stp>
        <stp>7년이하(당일)</stp>
        <stp>45523</stp>
        <stp/>
        <tr r="BS23" s="2"/>
        <tr r="BS23" s="2"/>
      </tp>
      <tp>
        <v>3.5219999999999998</v>
        <stp/>
        <stp>P</stp>
        <stp>0</stp>
        <stp>IR</stp>
        <stp>BONDNIC7140113</stp>
        <stp>5년이하(당일)</stp>
        <stp>45523</stp>
        <stp/>
        <tr r="BR59" s="2"/>
        <tr r="BR59" s="2"/>
      </tp>
      <tp>
        <v>4.7080000000000002</v>
        <stp/>
        <stp>P</stp>
        <stp>0</stp>
        <stp>IR</stp>
        <stp>BONDNIC7150112</stp>
        <stp>5년이하(당일)</stp>
        <stp>45523</stp>
        <stp/>
        <tr r="BR61" s="2"/>
        <tr r="BR61" s="2"/>
      </tp>
      <tp>
        <v>3.419</v>
        <stp/>
        <stp>P</stp>
        <stp>0</stp>
        <stp>IR</stp>
        <stp>BONDNIC7140112</stp>
        <stp>5년이하(당일)</stp>
        <stp>45523</stp>
        <stp/>
        <tr r="BR58" s="2"/>
        <tr r="BR58" s="2"/>
      </tp>
      <tp>
        <v>5.3579999999999997</v>
        <stp/>
        <stp>P</stp>
        <stp>0</stp>
        <stp>IR</stp>
        <stp>BONDNIC7150113</stp>
        <stp>5년이하(당일)</stp>
        <stp>45523</stp>
        <stp/>
        <tr r="BR62" s="2"/>
        <tr r="BR62" s="2"/>
      </tp>
      <tp>
        <v>3.2869999999999999</v>
        <stp/>
        <stp>P</stp>
        <stp>0</stp>
        <stp>IR</stp>
        <stp>BONDNIC4050000</stp>
        <stp>7년이하(당일)</stp>
        <stp>45523</stp>
        <stp/>
        <tr r="BS22" s="2"/>
        <tr r="BS22" s="2"/>
      </tp>
      <tp>
        <v>3.3580000000000001</v>
        <stp/>
        <stp>P</stp>
        <stp>0</stp>
        <stp>IR</stp>
        <stp>BONDNIC7140111</stp>
        <stp>5년이하(당일)</stp>
        <stp>45523</stp>
        <stp/>
        <tr r="BR57" s="2"/>
        <tr r="BR57" s="2"/>
      </tp>
      <tp>
        <v>4.3129999999999997</v>
        <stp/>
        <stp>P</stp>
        <stp>0</stp>
        <stp>IR</stp>
        <stp>BONDNIC7150111</stp>
        <stp>5년이하(당일)</stp>
        <stp>45523</stp>
        <stp/>
        <tr r="BR60" s="2"/>
        <tr r="BR60" s="2"/>
      </tp>
      <tp>
        <v>3.052</v>
        <stp/>
        <stp>P</stp>
        <stp>0</stp>
        <stp>IR</stp>
        <stp>BONDNIC1030000</stp>
        <stp>2년이하(당일)</stp>
        <stp>45523</stp>
        <stp/>
        <tr r="BN10" s="2"/>
        <tr r="BN10" s="2"/>
      </tp>
      <tp>
        <v>3.2810000000000001</v>
        <stp/>
        <stp>P</stp>
        <stp>0</stp>
        <stp>IR</stp>
        <stp>BONDNIC7130110</stp>
        <stp>5년이하(당일)</stp>
        <stp>45523</stp>
        <stp/>
        <tr r="BR56" s="2"/>
        <tr r="BR56" s="2"/>
      </tp>
      <tp>
        <v>2.847</v>
        <stp/>
        <stp>P</stp>
        <stp>0</stp>
        <stp>IR</stp>
        <stp>BONDNIC1020000</stp>
        <stp>2년이하(당일)</stp>
        <stp>45523</stp>
        <stp/>
        <tr r="BN11" s="2"/>
        <tr r="BN11" s="2"/>
      </tp>
      <tp>
        <v>3.1619999999999999</v>
        <stp/>
        <stp>P</stp>
        <stp>0</stp>
        <stp>IR</stp>
        <stp>BONDNIC2020000</stp>
        <stp>1년이하(당일)</stp>
        <stp>45523</stp>
        <stp/>
        <tr r="BL14" s="2"/>
        <tr r="BL14" s="2"/>
      </tp>
      <tp>
        <v>3.03</v>
        <stp/>
        <stp>P</stp>
        <stp>0</stp>
        <stp>IR</stp>
        <stp>BONDNIC1010000</stp>
        <stp>2년이하(당일)</stp>
        <stp>45523</stp>
        <stp/>
        <tr r="BN9" s="2"/>
        <tr r="BN9" s="2"/>
      </tp>
      <tp>
        <v>3.1619999999999999</v>
        <stp/>
        <stp>P</stp>
        <stp>0</stp>
        <stp>IR</stp>
        <stp>BONDNIC2010000</stp>
        <stp>1년이하(당일)</stp>
        <stp>45523</stp>
        <stp/>
        <tr r="BL13" s="2"/>
        <tr r="BL13" s="2"/>
      </tp>
      <tp>
        <v>2.577</v>
        <stp/>
        <stp>P</stp>
        <stp>0</stp>
        <stp>IR</stp>
        <stp>BONDNIC1015000</stp>
        <stp>2년이하(당일)</stp>
        <stp>45523</stp>
        <stp/>
        <tr r="BN12" s="2"/>
        <tr r="BN12" s="2"/>
      </tp>
      <tp t="s">
        <v/>
        <stp/>
        <stp>P</stp>
        <stp>0</stp>
        <stp>IR</stp>
        <stp>BONDNIC4000000</stp>
        <stp>7년이하(당일)</stp>
        <stp>45523</stp>
        <stp/>
        <tr r="BS20" s="2"/>
        <tr r="BS20" s="2"/>
      </tp>
      <tp>
        <v>5.266</v>
        <stp/>
        <stp>P</stp>
        <stp>0</stp>
        <stp>IR</stp>
        <stp>BONDKBPF134</stp>
        <stp>15년이하(당일)</stp>
        <stp>45523</stp>
        <stp/>
        <tr r="AO54" s="2"/>
        <tr r="AO54" s="2"/>
      </tp>
      <tp>
        <v>7.0419999999999998</v>
        <stp/>
        <stp>P</stp>
        <stp>0</stp>
        <stp>IR</stp>
        <stp>BONDKBPF333</stp>
        <stp>15년이하(당일)</stp>
        <stp>45523</stp>
        <stp/>
        <tr r="AO79" s="2"/>
        <tr r="AO79" s="2"/>
      </tp>
      <tp>
        <v>6.4740000000000002</v>
        <stp/>
        <stp>P</stp>
        <stp>0</stp>
        <stp>IR</stp>
        <stp>BONDKBPF233</stp>
        <stp>15년이하(당일)</stp>
        <stp>45523</stp>
        <stp/>
        <tr r="AO69" s="2"/>
        <tr r="AO69" s="2"/>
      </tp>
      <tp>
        <v>3.3279999999999998</v>
        <stp/>
        <stp>P</stp>
        <stp>0</stp>
        <stp>IR</stp>
        <stp>BONDKIS4050000</stp>
        <stp>7년이하(당일)</stp>
        <stp>45523</stp>
        <stp/>
        <tr r="BC22" s="2"/>
        <tr r="BC22" s="2"/>
      </tp>
      <tp>
        <v>3.0609999999999999</v>
        <stp/>
        <stp>P</stp>
        <stp>0</stp>
        <stp>IR</stp>
        <stp>BONDKIS1030000</stp>
        <stp>2년이하(당일)</stp>
        <stp>45523</stp>
        <stp/>
        <tr r="AX10" s="2"/>
        <tr r="AX10" s="2"/>
      </tp>
      <tp>
        <v>3.1440000000000001</v>
        <stp/>
        <stp>P</stp>
        <stp>0</stp>
        <stp>IR</stp>
        <stp>BONDNIC7430110</stp>
        <stp>5년이하(당일)</stp>
        <stp>45523</stp>
        <stp/>
        <tr r="BR83" s="2"/>
        <tr r="BR83" s="2"/>
      </tp>
      <tp>
        <v>2.8679999999999999</v>
        <stp/>
        <stp>P</stp>
        <stp>0</stp>
        <stp>IR</stp>
        <stp>BONDKIS1020000</stp>
        <stp>2년이하(당일)</stp>
        <stp>45523</stp>
        <stp/>
        <tr r="AX11" s="2"/>
        <tr r="AX11" s="2"/>
      </tp>
      <tp>
        <v>3.1739999999999999</v>
        <stp/>
        <stp>P</stp>
        <stp>0</stp>
        <stp>IR</stp>
        <stp>BONDKIS2020000</stp>
        <stp>1년이하(당일)</stp>
        <stp>45523</stp>
        <stp/>
        <tr r="AV14" s="2"/>
        <tr r="AV14" s="2"/>
      </tp>
      <tp>
        <v>3.03</v>
        <stp/>
        <stp>P</stp>
        <stp>0</stp>
        <stp>IR</stp>
        <stp>BONDKIS1013000</stp>
        <stp>2년이하(당일)</stp>
        <stp>45523</stp>
        <stp/>
        <tr r="AX9" s="2"/>
        <tr r="AX9" s="2"/>
      </tp>
      <tp>
        <v>3.1739999999999999</v>
        <stp/>
        <stp>P</stp>
        <stp>0</stp>
        <stp>IR</stp>
        <stp>BONDKIS2010000</stp>
        <stp>1년이하(당일)</stp>
        <stp>45523</stp>
        <stp/>
        <tr r="AV13" s="2"/>
        <tr r="AV13" s="2"/>
      </tp>
      <tp t="s">
        <v/>
        <stp/>
        <stp>P</stp>
        <stp>0</stp>
        <stp>IR</stp>
        <stp>BONDKIS4003000</stp>
        <stp>7년이하(당일)</stp>
        <stp>45523</stp>
        <stp/>
        <tr r="BC20" s="2"/>
        <tr r="BC20" s="2"/>
      </tp>
      <tp>
        <v>3.2930000000000001</v>
        <stp/>
        <stp>P</stp>
        <stp>0</stp>
        <stp>IR</stp>
        <stp>BONDKSD4050000</stp>
        <stp>7년이하(당일)</stp>
        <stp>45523</stp>
        <stp/>
        <tr r="CY22" s="2"/>
        <tr r="CY22" s="2"/>
      </tp>
      <tp>
        <v>3.03</v>
        <stp/>
        <stp>P</stp>
        <stp>0</stp>
        <stp>IR</stp>
        <stp>BONDKSD1010000</stp>
        <stp>2년이하(당일)</stp>
        <stp>45523</stp>
        <stp/>
        <tr r="CT9" s="2"/>
        <tr r="CT9" s="2"/>
      </tp>
      <tp>
        <v>3.1720000000000002</v>
        <stp/>
        <stp>P</stp>
        <stp>0</stp>
        <stp>IR</stp>
        <stp>BONDKSD2010000</stp>
        <stp>1년이하(당일)</stp>
        <stp>45523</stp>
        <stp/>
        <tr r="CR13" s="2"/>
        <tr r="CR13" s="2"/>
      </tp>
      <tp>
        <v>0</v>
        <stp/>
        <stp>P</stp>
        <stp>0</stp>
        <stp>IR</stp>
        <stp>BONDKSD4000000</stp>
        <stp>7년이하(당일)</stp>
        <stp>45523</stp>
        <stp/>
        <tr r="CY20" s="2"/>
      </tp>
      <tp>
        <v>3.0539999999999998</v>
        <stp/>
        <stp>P</stp>
        <stp>0</stp>
        <stp>IR</stp>
        <stp>BONDKSD1030000</stp>
        <stp>2년이하(당일)</stp>
        <stp>45523</stp>
        <stp/>
        <tr r="CT10" s="2"/>
        <tr r="CT10" s="2"/>
      </tp>
      <tp>
        <v>2.851</v>
        <stp/>
        <stp>P</stp>
        <stp>0</stp>
        <stp>IR</stp>
        <stp>BONDKSD1020000</stp>
        <stp>2년이하(당일)</stp>
        <stp>45523</stp>
        <stp/>
        <tr r="CT11" s="2"/>
        <tr r="CT11" s="2"/>
      </tp>
      <tp>
        <v>3.1720000000000002</v>
        <stp/>
        <stp>P</stp>
        <stp>0</stp>
        <stp>IR</stp>
        <stp>BONDKSD2020000</stp>
        <stp>1년이하(당일)</stp>
        <stp>45523</stp>
        <stp/>
        <tr r="CR14" s="2"/>
        <tr r="CR14" s="2"/>
      </tp>
      <tp>
        <v>6.5170000000000003</v>
        <stp/>
        <stp>P</stp>
        <stp>0</stp>
        <stp>IR</stp>
        <stp>BONDKBPF332</stp>
        <stp>15년이하(당일)</stp>
        <stp>45523</stp>
        <stp/>
        <tr r="AO78" s="2"/>
        <tr r="AO78" s="2"/>
      </tp>
      <tp>
        <v>5.984</v>
        <stp/>
        <stp>P</stp>
        <stp>0</stp>
        <stp>IR</stp>
        <stp>BONDKBPF232</stp>
        <stp>15년이하(당일)</stp>
        <stp>45523</stp>
        <stp/>
        <tr r="AO68" s="2"/>
        <tr r="AO68" s="2"/>
      </tp>
      <tp>
        <v>3.2509999999999999</v>
        <stp/>
        <stp>P</stp>
        <stp>0</stp>
        <stp>IR</stp>
        <stp>BONDKIS3033110</stp>
        <stp>1년이하(당일)</stp>
        <stp>45523</stp>
        <stp/>
        <tr r="AV16" s="2"/>
        <tr r="AV16" s="2"/>
      </tp>
      <tp>
        <v>3.3809999999999998</v>
        <stp/>
        <stp>P</stp>
        <stp>0</stp>
        <stp>IR</stp>
        <stp>BONDKIS5033110</stp>
        <stp>7년이하(당일)</stp>
        <stp>45523</stp>
        <stp/>
        <tr r="BC27" s="2"/>
        <tr r="BC27" s="2"/>
      </tp>
      <tp>
        <v>8.548</v>
        <stp/>
        <stp>P</stp>
        <stp>0</stp>
        <stp>IR</stp>
        <stp>BONDKIS6013212</stp>
        <stp>7년이하(당일)</stp>
        <stp>45523</stp>
        <stp/>
        <tr r="BC50" s="2"/>
        <tr r="BC50" s="2"/>
      </tp>
      <tp>
        <v>3.282</v>
        <stp/>
        <stp>P</stp>
        <stp>0</stp>
        <stp>IR</stp>
        <stp>BONDKIS5023110</stp>
        <stp>7년이하(당일)</stp>
        <stp>45523</stp>
        <stp/>
        <tr r="BC25" s="2"/>
        <tr r="BC25" s="2"/>
      </tp>
      <tp>
        <v>10.031000000000001</v>
        <stp/>
        <stp>P</stp>
        <stp>0</stp>
        <stp>IR</stp>
        <stp>BONDKIS6013213</stp>
        <stp>7년이하(당일)</stp>
        <stp>45523</stp>
        <stp/>
        <tr r="BC51" s="2"/>
        <tr r="BC51" s="2"/>
      </tp>
      <tp>
        <v>3.13</v>
        <stp/>
        <stp>P</stp>
        <stp>0</stp>
        <stp>IR</stp>
        <stp>BONDKIS7020110</stp>
        <stp>5년이하(당일)</stp>
        <stp>45523</stp>
        <stp/>
        <tr r="BB52" s="2"/>
        <tr r="BB52" s="2"/>
      </tp>
      <tp>
        <v>3.2570000000000001</v>
        <stp/>
        <stp>P</stp>
        <stp>0</stp>
        <stp>IR</stp>
        <stp>BONDKIS5013110</stp>
        <stp>7년이하(당일)</stp>
        <stp>45523</stp>
        <stp/>
        <tr r="BC23" s="2"/>
        <tr r="BC23" s="2"/>
      </tp>
      <tp>
        <v>3.2930000000000001</v>
        <stp/>
        <stp>P</stp>
        <stp>0</stp>
        <stp>IR</stp>
        <stp>BONDKIS7010110</stp>
        <stp>5년이하(당일)</stp>
        <stp>45523</stp>
        <stp/>
        <tr r="BB63" s="2"/>
        <tr r="BB63" s="2"/>
      </tp>
      <tp>
        <v>7.5039999999999996</v>
        <stp/>
        <stp>P</stp>
        <stp>0</stp>
        <stp>IR</stp>
        <stp>BONDKIS6013211</stp>
        <stp>7년이하(당일)</stp>
        <stp>45523</stp>
        <stp/>
        <tr r="BC49" s="2"/>
        <tr r="BC49" s="2"/>
      </tp>
      <tp>
        <v>3.2429999999999999</v>
        <stp/>
        <stp>P</stp>
        <stp>0</stp>
        <stp>IR</stp>
        <stp>BONDKSD5010110</stp>
        <stp>7년이하(당일)</stp>
        <stp>45523</stp>
        <stp/>
        <tr r="CY23" s="2"/>
        <tr r="CY23" s="2"/>
      </tp>
      <tp>
        <v>8.6359999999999992</v>
        <stp/>
        <stp>P</stp>
        <stp>0</stp>
        <stp>IR</stp>
        <stp>BONDKSD6010210</stp>
        <stp>7년이하(당일)</stp>
        <stp>45523</stp>
        <stp/>
        <tr r="CY41" s="2"/>
        <tr r="CY41" s="2"/>
      </tp>
      <tp>
        <v>3.2850000000000001</v>
        <stp/>
        <stp>P</stp>
        <stp>0</stp>
        <stp>IR</stp>
        <stp>BONDKSD7010110</stp>
        <stp>5년이하(당일)</stp>
        <stp>45523</stp>
        <stp/>
        <tr r="CX63" s="2"/>
        <tr r="CX63" s="2"/>
      </tp>
      <tp>
        <v>3.2570000000000001</v>
        <stp/>
        <stp>P</stp>
        <stp>0</stp>
        <stp>IR</stp>
        <stp>BONDKSD3030110</stp>
        <stp>1년이하(당일)</stp>
        <stp>45523</stp>
        <stp/>
        <tr r="CR16" s="2"/>
        <tr r="CR16" s="2"/>
      </tp>
      <tp>
        <v>3.3559999999999999</v>
        <stp/>
        <stp>P</stp>
        <stp>0</stp>
        <stp>IR</stp>
        <stp>BONDKSD5030110</stp>
        <stp>7년이하(당일)</stp>
        <stp>45523</stp>
        <stp/>
        <tr r="CY27" s="2"/>
        <tr r="CY27" s="2"/>
      </tp>
      <tp>
        <v>3.2679999999999998</v>
        <stp/>
        <stp>P</stp>
        <stp>0</stp>
        <stp>IR</stp>
        <stp>BONDKSD5020110</stp>
        <stp>7년이하(당일)</stp>
        <stp>45523</stp>
        <stp/>
        <tr r="CY25" s="2"/>
        <tr r="CY25" s="2"/>
      </tp>
      <tp>
        <v>3.214</v>
        <stp/>
        <stp>P</stp>
        <stp>0</stp>
        <stp>IR</stp>
        <stp>BONDKSD7020110</stp>
        <stp>5년이하(당일)</stp>
        <stp>45523</stp>
        <stp/>
        <tr r="CX52" s="2"/>
        <tr r="CX52" s="2"/>
      </tp>
      <tp>
        <v>6.0469999999999997</v>
        <stp/>
        <stp>P</stp>
        <stp>0</stp>
        <stp>IR</stp>
        <stp>BONDKBPF331</stp>
        <stp>15년이하(당일)</stp>
        <stp>45523</stp>
        <stp/>
        <tr r="AO77" s="2"/>
        <tr r="AO77" s="2"/>
      </tp>
      <tp>
        <v>5.5730000000000004</v>
        <stp/>
        <stp>P</stp>
        <stp>0</stp>
        <stp>IR</stp>
        <stp>BONDKBPF231</stp>
        <stp>15년이하(당일)</stp>
        <stp>45523</stp>
        <stp/>
        <tr r="AO67" s="2"/>
        <tr r="AO67" s="2"/>
      </tp>
      <tp>
        <v>3.6309999999999998</v>
        <stp/>
        <stp>P</stp>
        <stp>0</stp>
        <stp>IR</stp>
        <stp>BONDKIS3043123</stp>
        <stp>1년이하(당일)</stp>
        <stp>45523</stp>
        <stp/>
        <tr r="AV19" s="2"/>
        <tr r="AV19" s="2"/>
      </tp>
      <tp>
        <v>3.984</v>
        <stp/>
        <stp>P</stp>
        <stp>0</stp>
        <stp>IR</stp>
        <stp>BONDKIS5043123</stp>
        <stp>7년이하(당일)</stp>
        <stp>45523</stp>
        <stp/>
        <tr r="BC30" s="2"/>
        <tr r="BC30" s="2"/>
      </tp>
      <tp>
        <v>3.41</v>
        <stp/>
        <stp>P</stp>
        <stp>0</stp>
        <stp>IR</stp>
        <stp>BONDKIS3043122</stp>
        <stp>1년이하(당일)</stp>
        <stp>45523</stp>
        <stp/>
        <tr r="AV18" s="2"/>
        <tr r="AV18" s="2"/>
      </tp>
      <tp>
        <v>3.7330000000000001</v>
        <stp/>
        <stp>P</stp>
        <stp>0</stp>
        <stp>IR</stp>
        <stp>BONDKIS5043122</stp>
        <stp>7년이하(당일)</stp>
        <stp>45523</stp>
        <stp/>
        <tr r="BC29" s="2"/>
        <tr r="BC29" s="2"/>
      </tp>
      <tp>
        <v>3.3090000000000002</v>
        <stp/>
        <stp>P</stp>
        <stp>0</stp>
        <stp>IR</stp>
        <stp>BONDKIS3043121</stp>
        <stp>1년이하(당일)</stp>
        <stp>45523</stp>
        <stp/>
        <tr r="AV17" s="2"/>
        <tr r="AV17" s="2"/>
      </tp>
      <tp>
        <v>3.456</v>
        <stp/>
        <stp>P</stp>
        <stp>0</stp>
        <stp>IR</stp>
        <stp>BONDKIS5043121</stp>
        <stp>7년이하(당일)</stp>
        <stp>45523</stp>
        <stp/>
        <tr r="BC28" s="2"/>
        <tr r="BC28" s="2"/>
      </tp>
      <tp>
        <v>3.431</v>
        <stp/>
        <stp>P</stp>
        <stp>0</stp>
        <stp>IR</stp>
        <stp>BONDKIS6013122</stp>
        <stp>4년이하(당일)</stp>
        <stp>45523</stp>
        <stp/>
        <tr r="BA44" s="2"/>
        <tr r="BA44" s="2"/>
      </tp>
      <tp>
        <v>3.427</v>
        <stp/>
        <stp>P</stp>
        <stp>0</stp>
        <stp>IR</stp>
        <stp>BONDKIS7010122</stp>
        <stp>5년이하(당일)</stp>
        <stp>45523</stp>
        <stp/>
        <tr r="BB65" s="2"/>
        <tr r="BB65" s="2"/>
      </tp>
      <tp>
        <v>3.5569999999999999</v>
        <stp/>
        <stp>P</stp>
        <stp>0</stp>
        <stp>IR</stp>
        <stp>BONDKIS6013123</stp>
        <stp>4년이하(당일)</stp>
        <stp>45523</stp>
        <stp/>
        <tr r="BA45" s="2"/>
        <tr r="BA45" s="2"/>
      </tp>
      <tp>
        <v>3.528</v>
        <stp/>
        <stp>P</stp>
        <stp>0</stp>
        <stp>IR</stp>
        <stp>BONDKIS7010123</stp>
        <stp>5년이하(당일)</stp>
        <stp>45523</stp>
        <stp/>
        <tr r="BB66" s="2"/>
        <tr r="BB66" s="2"/>
      </tp>
      <tp>
        <v>3.28</v>
        <stp/>
        <stp>P</stp>
        <stp>0</stp>
        <stp>IR</stp>
        <stp>BONDKIS7020120</stp>
        <stp>5년이하(당일)</stp>
        <stp>45523</stp>
        <stp/>
        <tr r="BB53" s="2"/>
        <tr r="BB53" s="2"/>
      </tp>
      <tp>
        <v>3.2989999999999999</v>
        <stp/>
        <stp>P</stp>
        <stp>0</stp>
        <stp>IR</stp>
        <stp>BONDKIS6013121</stp>
        <stp>4년이하(당일)</stp>
        <stp>45523</stp>
        <stp/>
        <tr r="BA43" s="2"/>
        <tr r="BA43" s="2"/>
      </tp>
      <tp>
        <v>3.359</v>
        <stp/>
        <stp>P</stp>
        <stp>0</stp>
        <stp>IR</stp>
        <stp>BONDKIS7010121</stp>
        <stp>5년이하(당일)</stp>
        <stp>45523</stp>
        <stp/>
        <tr r="BB64" s="2"/>
        <tr r="BB64" s="2"/>
      </tp>
      <tp>
        <v>3.306</v>
        <stp/>
        <stp>P</stp>
        <stp>0</stp>
        <stp>IR</stp>
        <stp>BONDKSD3040121</stp>
        <stp>1년이하(당일)</stp>
        <stp>45523</stp>
        <stp/>
        <tr r="CR17" s="2"/>
        <tr r="CR17" s="2"/>
      </tp>
      <tp>
        <v>3.41</v>
        <stp/>
        <stp>P</stp>
        <stp>0</stp>
        <stp>IR</stp>
        <stp>BONDKSD3040120</stp>
        <stp>1년이하(당일)</stp>
        <stp>45523</stp>
        <stp/>
        <tr r="CR18" s="2"/>
        <tr r="CR18" s="2"/>
      </tp>
      <tp>
        <v>3.7389999999999999</v>
        <stp/>
        <stp>P</stp>
        <stp>0</stp>
        <stp>IR</stp>
        <stp>BONDKSD5040120</stp>
        <stp>7년이하(당일)</stp>
        <stp>45523</stp>
        <stp/>
        <tr r="CY29" s="2"/>
        <tr r="CY29" s="2"/>
      </tp>
      <tp>
        <v>3.3180000000000001</v>
        <stp/>
        <stp>P</stp>
        <stp>0</stp>
        <stp>IR</stp>
        <stp>BONDKSD6010121</stp>
        <stp>4년이하(당일)</stp>
        <stp>45523</stp>
        <stp/>
        <tr r="CW34" s="2"/>
        <tr r="CW34" s="2"/>
      </tp>
      <tp>
        <v>3.363</v>
        <stp/>
        <stp>P</stp>
        <stp>0</stp>
        <stp>IR</stp>
        <stp>BONDKSD7010121</stp>
        <stp>5년이하(당일)</stp>
        <stp>45523</stp>
        <stp/>
        <tr r="CX64" s="2"/>
        <tr r="CX64" s="2"/>
      </tp>
      <tp>
        <v>3.4369999999999998</v>
        <stp/>
        <stp>P</stp>
        <stp>0</stp>
        <stp>IR</stp>
        <stp>BONDKSD6010122</stp>
        <stp>4년이하(당일)</stp>
        <stp>45523</stp>
        <stp/>
        <tr r="CW35" s="2"/>
        <tr r="CW35" s="2"/>
      </tp>
      <tp>
        <v>3.4279999999999999</v>
        <stp/>
        <stp>P</stp>
        <stp>0</stp>
        <stp>IR</stp>
        <stp>BONDKSD7010122</stp>
        <stp>5년이하(당일)</stp>
        <stp>45523</stp>
        <stp/>
        <tr r="CX65" s="2"/>
        <tr r="CX65" s="2"/>
      </tp>
      <tp>
        <v>3.5510000000000002</v>
        <stp/>
        <stp>P</stp>
        <stp>0</stp>
        <stp>IR</stp>
        <stp>BONDKSD6010123</stp>
        <stp>4년이하(당일)</stp>
        <stp>45523</stp>
        <stp/>
        <tr r="CW36" s="2"/>
        <tr r="CW36" s="2"/>
      </tp>
      <tp>
        <v>3.532</v>
        <stp/>
        <stp>P</stp>
        <stp>0</stp>
        <stp>IR</stp>
        <stp>BONDKSD7010123</stp>
        <stp>5년이하(당일)</stp>
        <stp>45523</stp>
        <stp/>
        <tr r="CX66" s="2"/>
        <tr r="CX66" s="2"/>
      </tp>
      <tp>
        <v>3.3809999999999998</v>
        <stp/>
        <stp>P</stp>
        <stp>0</stp>
        <stp>IR</stp>
        <stp>BONDKSD7020120</stp>
        <stp>5년이하(당일)</stp>
        <stp>45523</stp>
        <stp/>
        <tr r="CX53" s="2"/>
        <tr r="CX53" s="2"/>
      </tp>
      <tp>
        <v>6.7969999999999997</v>
        <stp/>
        <stp>P</stp>
        <stp>0</stp>
        <stp>IR</stp>
        <stp>BONDKBPE330</stp>
        <stp>15년이하(당일)</stp>
        <stp>45523</stp>
        <stp/>
        <tr r="AO48" s="2"/>
        <tr r="AO48" s="2"/>
      </tp>
      <tp>
        <v>6.7969999999999997</v>
        <stp/>
        <stp>P</stp>
        <stp>0</stp>
        <stp>IR</stp>
        <stp>BONDKBPE230</stp>
        <stp>15년이하(당일)</stp>
        <stp>45523</stp>
        <stp/>
        <tr r="AO39" s="2"/>
        <tr r="AO39" s="2"/>
      </tp>
      <tp>
        <v>3.6560000000000001</v>
        <stp/>
        <stp>P</stp>
        <stp>0</stp>
        <stp>IR</stp>
        <stp>BONDKBPE130</stp>
        <stp>15년이하(당일)</stp>
        <stp>45523</stp>
        <stp/>
        <tr r="AO27" s="2"/>
        <tr r="AO27" s="2"/>
      </tp>
      <tp>
        <v>4.2699999999999996</v>
        <stp/>
        <stp>P</stp>
        <stp>0</stp>
        <stp>IR</stp>
        <stp>BONDKIS5053132</stp>
        <stp>7년이하(당일)</stp>
        <stp>45523</stp>
        <stp/>
        <tr r="BC32" s="2"/>
        <tr r="BC32" s="2"/>
      </tp>
      <tp>
        <v>4.3899999999999997</v>
        <stp/>
        <stp>P</stp>
        <stp>0</stp>
        <stp>IR</stp>
        <stp>BONDKIS5053133</stp>
        <stp>7년이하(당일)</stp>
        <stp>45523</stp>
        <stp/>
        <tr r="BC33" s="2"/>
        <tr r="BC33" s="2"/>
      </tp>
      <tp>
        <v>4.1369999999999996</v>
        <stp/>
        <stp>P</stp>
        <stp>0</stp>
        <stp>IR</stp>
        <stp>BONDKIS5053131</stp>
        <stp>7년이하(당일)</stp>
        <stp>45523</stp>
        <stp/>
        <tr r="BC31" s="2"/>
        <tr r="BC31" s="2"/>
      </tp>
      <tp>
        <v>5.3869999999999996</v>
        <stp/>
        <stp>P</stp>
        <stp>0</stp>
        <stp>IR</stp>
        <stp>BONDKIS6013132</stp>
        <stp>4년이하(당일)</stp>
        <stp>45523</stp>
        <stp/>
        <tr r="BA47" s="2"/>
        <tr r="BA47" s="2"/>
      </tp>
      <tp>
        <v>4.7300000000000004</v>
        <stp/>
        <stp>P</stp>
        <stp>0</stp>
        <stp>IR</stp>
        <stp>BONDKIS7010132</stp>
        <stp>5년이하(당일)</stp>
        <stp>45523</stp>
        <stp/>
        <tr r="BB68" s="2"/>
        <tr r="BB68" s="2"/>
      </tp>
      <tp>
        <v>6.085</v>
        <stp/>
        <stp>P</stp>
        <stp>0</stp>
        <stp>IR</stp>
        <stp>BONDKIS6013133</stp>
        <stp>4년이하(당일)</stp>
        <stp>45523</stp>
        <stp/>
        <tr r="BA48" s="2"/>
        <tr r="BA48" s="2"/>
      </tp>
      <tp>
        <v>5.33</v>
        <stp/>
        <stp>P</stp>
        <stp>0</stp>
        <stp>IR</stp>
        <stp>BONDKIS7010133</stp>
        <stp>5년이하(당일)</stp>
        <stp>45523</stp>
        <stp/>
        <tr r="BB69" s="2"/>
        <tr r="BB69" s="2"/>
      </tp>
      <tp>
        <v>3.4689999999999999</v>
        <stp/>
        <stp>P</stp>
        <stp>0</stp>
        <stp>IR</stp>
        <stp>BONDKIS7020130</stp>
        <stp>5년이하(당일)</stp>
        <stp>45523</stp>
        <stp/>
        <tr r="BB54" s="2"/>
        <tr r="BB54" s="2"/>
      </tp>
      <tp>
        <v>4.7210000000000001</v>
        <stp/>
        <stp>P</stp>
        <stp>0</stp>
        <stp>IR</stp>
        <stp>BONDKIS6013131</stp>
        <stp>4년이하(당일)</stp>
        <stp>45523</stp>
        <stp/>
        <tr r="BA46" s="2"/>
        <tr r="BA46" s="2"/>
      </tp>
      <tp>
        <v>4.2850000000000001</v>
        <stp/>
        <stp>P</stp>
        <stp>0</stp>
        <stp>IR</stp>
        <stp>BONDKIS7010131</stp>
        <stp>5년이하(당일)</stp>
        <stp>45523</stp>
        <stp/>
        <tr r="BB67" s="2"/>
        <tr r="BB67" s="2"/>
      </tp>
      <tp>
        <v>4.1479999999999997</v>
        <stp/>
        <stp>P</stp>
        <stp>0</stp>
        <stp>IR</stp>
        <stp>BONDKSD5050131</stp>
        <stp>7년이하(당일)</stp>
        <stp>45523</stp>
        <stp/>
        <tr r="CY31" s="2"/>
        <tr r="CY31" s="2"/>
      </tp>
      <tp>
        <v>4.7050000000000001</v>
        <stp/>
        <stp>P</stp>
        <stp>0</stp>
        <stp>IR</stp>
        <stp>BONDKSD6010131</stp>
        <stp>4년이하(당일)</stp>
        <stp>45523</stp>
        <stp/>
        <tr r="CW37" s="2"/>
        <tr r="CW37" s="2"/>
      </tp>
      <tp>
        <v>4.2969999999999997</v>
        <stp/>
        <stp>P</stp>
        <stp>0</stp>
        <stp>IR</stp>
        <stp>BONDKSD7010131</stp>
        <stp>5년이하(당일)</stp>
        <stp>45523</stp>
        <stp/>
        <tr r="CX67" s="2"/>
        <tr r="CX67" s="2"/>
      </tp>
      <tp>
        <v>5.3890000000000002</v>
        <stp/>
        <stp>P</stp>
        <stp>0</stp>
        <stp>IR</stp>
        <stp>BONDKSD6010132</stp>
        <stp>4년이하(당일)</stp>
        <stp>45523</stp>
        <stp/>
        <tr r="CW38" s="2"/>
        <tr r="CW38" s="2"/>
      </tp>
      <tp>
        <v>4.7149999999999999</v>
        <stp/>
        <stp>P</stp>
        <stp>0</stp>
        <stp>IR</stp>
        <stp>BONDKSD7010132</stp>
        <stp>5년이하(당일)</stp>
        <stp>45523</stp>
        <stp/>
        <tr r="CX68" s="2"/>
        <tr r="CX68" s="2"/>
      </tp>
      <tp>
        <v>6.0789999999999997</v>
        <stp/>
        <stp>P</stp>
        <stp>0</stp>
        <stp>IR</stp>
        <stp>BONDKSD6010133</stp>
        <stp>4년이하(당일)</stp>
        <stp>45523</stp>
        <stp/>
        <tr r="CW39" s="2"/>
        <tr r="CW39" s="2"/>
      </tp>
      <tp>
        <v>5.31</v>
        <stp/>
        <stp>P</stp>
        <stp>0</stp>
        <stp>IR</stp>
        <stp>BONDKSD7010133</stp>
        <stp>5년이하(당일)</stp>
        <stp>45523</stp>
        <stp/>
        <tr r="CX69" s="2"/>
        <tr r="CX69" s="2"/>
      </tp>
      <tp>
        <v>3.74</v>
        <stp/>
        <stp>P</stp>
        <stp>0</stp>
        <stp>IR</stp>
        <stp>BONDKSD7020130</stp>
        <stp>5년이하(당일)</stp>
        <stp>45523</stp>
        <stp/>
        <tr r="CX54" s="2"/>
        <tr r="CX54" s="2"/>
      </tp>
      <tp>
        <v>7.3819999999999997</v>
        <stp/>
        <stp>P</stp>
        <stp>0</stp>
        <stp>IR</stp>
        <stp>BONDFNP7010211</stp>
        <stp>7년이하(당일)</stp>
        <stp>45523</stp>
        <stp/>
        <tr r="CI70" s="2"/>
        <tr r="CI70" s="2"/>
      </tp>
      <tp>
        <v>3.2879999999999998</v>
        <stp/>
        <stp>P</stp>
        <stp>0</stp>
        <stp>IR</stp>
        <stp>BONDFNP7010110</stp>
        <stp>4년이하(당일)</stp>
        <stp>45523</stp>
        <stp/>
        <tr r="CG63" s="2"/>
        <tr r="CG63" s="2"/>
      </tp>
      <tp>
        <v>9.8439999999999994</v>
        <stp/>
        <stp>P</stp>
        <stp>0</stp>
        <stp>IR</stp>
        <stp>BONDFNP7010213</stp>
        <stp>7년이하(당일)</stp>
        <stp>45523</stp>
        <stp/>
        <tr r="CI72" s="2"/>
        <tr r="CI72" s="2"/>
      </tp>
      <tp>
        <v>3.1230000000000002</v>
        <stp/>
        <stp>P</stp>
        <stp>0</stp>
        <stp>IR</stp>
        <stp>BONDFNP7020110</stp>
        <stp>4년이하(당일)</stp>
        <stp>45523</stp>
        <stp/>
        <tr r="CG52" s="2"/>
        <tr r="CG52" s="2"/>
      </tp>
      <tp>
        <v>3.4540000000000002</v>
        <stp/>
        <stp>P</stp>
        <stp>0</stp>
        <stp>IR</stp>
        <stp>BONDFNP7020210</stp>
        <stp>7년이하(당일)</stp>
        <stp>45523</stp>
        <stp/>
        <tr r="CI55" s="2"/>
        <tr r="CI55" s="2"/>
      </tp>
      <tp>
        <v>8.4480000000000004</v>
        <stp/>
        <stp>P</stp>
        <stp>0</stp>
        <stp>IR</stp>
        <stp>BONDFNP7010212</stp>
        <stp>7년이하(당일)</stp>
        <stp>45523</stp>
        <stp/>
        <tr r="CI71" s="2"/>
        <tr r="CI71" s="2"/>
      </tp>
      <tp>
        <v>2.9220000000000002</v>
        <stp/>
        <stp>P</stp>
        <stp>0</stp>
        <stp>IR</stp>
        <stp>BONDFNP1010000</stp>
        <stp>3년이하(당일)</stp>
        <stp>45523</stp>
        <stp/>
        <tr r="CF9" s="2"/>
        <tr r="CF9" s="2"/>
      </tp>
      <tp>
        <v>2.8079999999999998</v>
        <stp/>
        <stp>P</stp>
        <stp>0</stp>
        <stp>IR</stp>
        <stp>BONDFNP1020000</stp>
        <stp>3년이하(당일)</stp>
        <stp>45523</stp>
        <stp/>
        <tr r="CF11" s="2"/>
        <tr r="CF11" s="2"/>
      </tp>
      <tp>
        <v>3.01</v>
        <stp/>
        <stp>P</stp>
        <stp>0</stp>
        <stp>IR</stp>
        <stp>BONDFNP1030000</stp>
        <stp>3년이하(당일)</stp>
        <stp>45523</stp>
        <stp/>
        <tr r="CF10" s="2"/>
        <tr r="CF10" s="2"/>
      </tp>
      <tp>
        <v>3.1760000000000002</v>
        <stp/>
        <stp>P</stp>
        <stp>0</stp>
        <stp>IR</stp>
        <stp>BONDFNP3050000</stp>
        <stp>1년이하(당일)</stp>
        <stp>45523</stp>
        <stp/>
        <tr r="CB15" s="2"/>
        <tr r="CB15" s="2"/>
      </tp>
      <tp>
        <v>3.2519999999999998</v>
        <stp/>
        <stp>P</stp>
        <stp>0</stp>
        <stp>IR</stp>
        <stp>BONDFNP3060000</stp>
        <stp>1년이하(당일)</stp>
        <stp>45523</stp>
        <stp/>
        <tr r="CB83" s="2"/>
        <tr r="CB83" s="2"/>
      </tp>
      <tp>
        <v>4.8019999999999996</v>
        <stp/>
        <stp>P</stp>
        <stp>0</stp>
        <stp>IR</stp>
        <stp>BONDFNP6010131</stp>
        <stp>5년이하(당일)</stp>
        <stp>45523</stp>
        <stp/>
        <tr r="CH37" s="2"/>
        <tr r="CH37" s="2"/>
      </tp>
      <tp>
        <v>4.0529999999999999</v>
        <stp/>
        <stp>P</stp>
        <stp>0</stp>
        <stp>IR</stp>
        <stp>BONDFNP7010131</stp>
        <stp>4년이하(당일)</stp>
        <stp>45523</stp>
        <stp/>
        <tr r="CG67" s="2"/>
        <tr r="CG67" s="2"/>
      </tp>
      <tp>
        <v>6.1360000000000001</v>
        <stp/>
        <stp>P</stp>
        <stp>0</stp>
        <stp>IR</stp>
        <stp>BONDFNP6010133</stp>
        <stp>5년이하(당일)</stp>
        <stp>45523</stp>
        <stp/>
        <tr r="CH39" s="2"/>
        <tr r="CH39" s="2"/>
      </tp>
      <tp>
        <v>4.93</v>
        <stp/>
        <stp>P</stp>
        <stp>0</stp>
        <stp>IR</stp>
        <stp>BONDFNP7010133</stp>
        <stp>4년이하(당일)</stp>
        <stp>45523</stp>
        <stp/>
        <tr r="CG69" s="2"/>
        <tr r="CG69" s="2"/>
      </tp>
      <tp>
        <v>3.43</v>
        <stp/>
        <stp>P</stp>
        <stp>0</stp>
        <stp>IR</stp>
        <stp>BONDFNP7020130</stp>
        <stp>4년이하(당일)</stp>
        <stp>45523</stp>
        <stp/>
        <tr r="CG54" s="2"/>
        <tr r="CG54" s="2"/>
      </tp>
      <tp>
        <v>5.4619999999999997</v>
        <stp/>
        <stp>P</stp>
        <stp>0</stp>
        <stp>IR</stp>
        <stp>BONDFNP6010132</stp>
        <stp>5년이하(당일)</stp>
        <stp>45523</stp>
        <stp/>
        <tr r="CH38" s="2"/>
        <tr r="CH38" s="2"/>
      </tp>
      <tp>
        <v>4.42</v>
        <stp/>
        <stp>P</stp>
        <stp>0</stp>
        <stp>IR</stp>
        <stp>BONDFNP7010132</stp>
        <stp>4년이하(당일)</stp>
        <stp>45523</stp>
        <stp/>
        <tr r="CG68" s="2"/>
        <tr r="CG68" s="2"/>
      </tp>
      <tp>
        <v>3.323</v>
        <stp/>
        <stp>P</stp>
        <stp>0</stp>
        <stp>IR</stp>
        <stp>BONDFNP6010121</stp>
        <stp>5년이하(당일)</stp>
        <stp>45523</stp>
        <stp/>
        <tr r="CH34" s="2"/>
        <tr r="CH34" s="2"/>
      </tp>
      <tp>
        <v>3.327</v>
        <stp/>
        <stp>P</stp>
        <stp>0</stp>
        <stp>IR</stp>
        <stp>BONDFNP7010121</stp>
        <stp>4년이하(당일)</stp>
        <stp>45523</stp>
        <stp/>
        <tr r="CG64" s="2"/>
        <tr r="CG64" s="2"/>
      </tp>
      <tp>
        <v>3.6549999999999998</v>
        <stp/>
        <stp>P</stp>
        <stp>0</stp>
        <stp>IR</stp>
        <stp>BONDFNP6010123</stp>
        <stp>5년이하(당일)</stp>
        <stp>45523</stp>
        <stp/>
        <tr r="CH36" s="2"/>
        <tr r="CH36" s="2"/>
      </tp>
      <tp>
        <v>3.4390000000000001</v>
        <stp/>
        <stp>P</stp>
        <stp>0</stp>
        <stp>IR</stp>
        <stp>BONDFNP7010123</stp>
        <stp>4년이하(당일)</stp>
        <stp>45523</stp>
        <stp/>
        <tr r="CG66" s="2"/>
        <tr r="CG66" s="2"/>
      </tp>
      <tp>
        <v>3.2519999999999998</v>
        <stp/>
        <stp>P</stp>
        <stp>0</stp>
        <stp>IR</stp>
        <stp>BONDFNP7020120</stp>
        <stp>4년이하(당일)</stp>
        <stp>45523</stp>
        <stp/>
        <tr r="CG53" s="2"/>
        <tr r="CG53" s="2"/>
      </tp>
      <tp>
        <v>3.5310000000000001</v>
        <stp/>
        <stp>P</stp>
        <stp>0</stp>
        <stp>IR</stp>
        <stp>BONDFNP6010122</stp>
        <stp>5년이하(당일)</stp>
        <stp>45523</stp>
        <stp/>
        <tr r="CH35" s="2"/>
        <tr r="CH35" s="2"/>
      </tp>
      <tp>
        <v>3.3730000000000002</v>
        <stp/>
        <stp>P</stp>
        <stp>0</stp>
        <stp>IR</stp>
        <stp>BONDFNP7010122</stp>
        <stp>4년이하(당일)</stp>
        <stp>45523</stp>
        <stp/>
        <tr r="CG65" s="2"/>
        <tr r="CG65" s="2"/>
      </tp>
      <tp>
        <v>3.673</v>
        <stp/>
        <stp>P</stp>
        <stp>0</stp>
        <stp>IR</stp>
        <stp>BONDNIC6040113</stp>
        <stp>5년이하(당일)</stp>
        <stp>45523</stp>
        <stp/>
        <tr r="BR36" s="2"/>
        <tr r="BR36" s="2"/>
      </tp>
      <tp>
        <v>5.4969999999999999</v>
        <stp/>
        <stp>P</stp>
        <stp>0</stp>
        <stp>IR</stp>
        <stp>BONDNIC6050112</stp>
        <stp>5년이하(당일)</stp>
        <stp>45523</stp>
        <stp/>
        <tr r="BR38" s="2"/>
        <tr r="BR38" s="2"/>
      </tp>
      <tp>
        <v>7.4989999999999997</v>
        <stp/>
        <stp>P</stp>
        <stp>0</stp>
        <stp>IR</stp>
        <stp>BONDNIC6060111</stp>
        <stp>5년이하(당일)</stp>
        <stp>45523</stp>
        <stp/>
        <tr r="BR40" s="2"/>
        <tr r="BR40" s="2"/>
      </tp>
      <tp>
        <v>3.423</v>
        <stp/>
        <stp>P</stp>
        <stp>0</stp>
        <stp>IR</stp>
        <stp>BONDNIC7040113</stp>
        <stp>4년이하(당일)</stp>
        <stp>45523</stp>
        <stp/>
        <tr r="BQ66" s="2"/>
        <tr r="BQ66" s="2"/>
      </tp>
      <tp>
        <v>4.4130000000000003</v>
        <stp/>
        <stp>P</stp>
        <stp>0</stp>
        <stp>IR</stp>
        <stp>BONDNIC7050112</stp>
        <stp>4년이하(당일)</stp>
        <stp>45523</stp>
        <stp/>
        <tr r="BQ68" s="2"/>
        <tr r="BQ68" s="2"/>
      </tp>
      <tp>
        <v>7.2069999999999999</v>
        <stp/>
        <stp>P</stp>
        <stp>0</stp>
        <stp>IR</stp>
        <stp>BONDNIC7060111</stp>
        <stp>4년이하(당일)</stp>
        <stp>45523</stp>
        <stp/>
        <tr r="BQ70" s="2"/>
        <tr r="BQ70" s="2"/>
      </tp>
      <tp>
        <v>3.5489999999999999</v>
        <stp/>
        <stp>P</stp>
        <stp>0</stp>
        <stp>IR</stp>
        <stp>BONDNIC6040112</stp>
        <stp>5년이하(당일)</stp>
        <stp>45523</stp>
        <stp/>
        <tr r="BR35" s="2"/>
        <tr r="BR35" s="2"/>
      </tp>
      <tp>
        <v>6.181</v>
        <stp/>
        <stp>P</stp>
        <stp>0</stp>
        <stp>IR</stp>
        <stp>BONDNIC6050113</stp>
        <stp>5년이하(당일)</stp>
        <stp>45523</stp>
        <stp/>
        <tr r="BR39" s="2"/>
        <tr r="BR39" s="2"/>
      </tp>
      <tp>
        <v>3.3740000000000001</v>
        <stp/>
        <stp>P</stp>
        <stp>0</stp>
        <stp>IR</stp>
        <stp>BONDNIC7040112</stp>
        <stp>4년이하(당일)</stp>
        <stp>45523</stp>
        <stp/>
        <tr r="BQ65" s="2"/>
        <tr r="BQ65" s="2"/>
      </tp>
      <tp>
        <v>4.9560000000000004</v>
        <stp/>
        <stp>P</stp>
        <stp>0</stp>
        <stp>IR</stp>
        <stp>BONDNIC7050113</stp>
        <stp>4년이하(당일)</stp>
        <stp>45523</stp>
        <stp/>
        <tr r="BQ69" s="2"/>
        <tr r="BQ69" s="2"/>
      </tp>
      <tp>
        <v>3.35</v>
        <stp/>
        <stp>P</stp>
        <stp>0</stp>
        <stp>IR</stp>
        <stp>BONDNIC6040111</stp>
        <stp>5년이하(당일)</stp>
        <stp>45523</stp>
        <stp/>
        <tr r="BR34" s="2"/>
        <tr r="BR34" s="2"/>
      </tp>
      <tp>
        <v>9.9649999999999999</v>
        <stp/>
        <stp>P</stp>
        <stp>0</stp>
        <stp>IR</stp>
        <stp>BONDNIC6060113</stp>
        <stp>5년이하(당일)</stp>
        <stp>45523</stp>
        <stp/>
        <tr r="BR42" s="2"/>
        <tr r="BR42" s="2"/>
      </tp>
      <tp>
        <v>3.3370000000000002</v>
        <stp/>
        <stp>P</stp>
        <stp>0</stp>
        <stp>IR</stp>
        <stp>BONDNIC7040111</stp>
        <stp>4년이하(당일)</stp>
        <stp>45523</stp>
        <stp/>
        <tr r="BQ64" s="2"/>
        <tr r="BQ64" s="2"/>
      </tp>
      <tp>
        <v>9.6820000000000004</v>
        <stp/>
        <stp>P</stp>
        <stp>0</stp>
        <stp>IR</stp>
        <stp>BONDNIC7060113</stp>
        <stp>4년이하(당일)</stp>
        <stp>45523</stp>
        <stp/>
        <tr r="BQ72" s="2"/>
        <tr r="BQ72" s="2"/>
      </tp>
      <tp>
        <v>4.8390000000000004</v>
        <stp/>
        <stp>P</stp>
        <stp>0</stp>
        <stp>IR</stp>
        <stp>BONDNIC6050111</stp>
        <stp>5년이하(당일)</stp>
        <stp>45523</stp>
        <stp/>
        <tr r="BR37" s="2"/>
        <tr r="BR37" s="2"/>
      </tp>
      <tp>
        <v>8.5030000000000001</v>
        <stp/>
        <stp>P</stp>
        <stp>0</stp>
        <stp>IR</stp>
        <stp>BONDNIC6060112</stp>
        <stp>5년이하(당일)</stp>
        <stp>45523</stp>
        <stp/>
        <tr r="BR41" s="2"/>
        <tr r="BR41" s="2"/>
      </tp>
      <tp>
        <v>4.093</v>
        <stp/>
        <stp>P</stp>
        <stp>0</stp>
        <stp>IR</stp>
        <stp>BONDNIC7050111</stp>
        <stp>4년이하(당일)</stp>
        <stp>45523</stp>
        <stp/>
        <tr r="BQ67" s="2"/>
        <tr r="BQ67" s="2"/>
      </tp>
      <tp>
        <v>8.2420000000000009</v>
        <stp/>
        <stp>P</stp>
        <stp>0</stp>
        <stp>IR</stp>
        <stp>BONDNIC7060112</stp>
        <stp>4년이하(당일)</stp>
        <stp>45523</stp>
        <stp/>
        <tr r="BQ71" s="2"/>
        <tr r="BQ71" s="2"/>
      </tp>
      <tp>
        <v>3.28</v>
        <stp/>
        <stp>P</stp>
        <stp>0</stp>
        <stp>IR</stp>
        <stp>BONDNIC7030110</stp>
        <stp>4년이하(당일)</stp>
        <stp>45523</stp>
        <stp/>
        <tr r="BQ63" s="2"/>
        <tr r="BQ63" s="2"/>
      </tp>
      <tp>
        <v>3.423</v>
        <stp/>
        <stp>P</stp>
        <stp>0</stp>
        <stp>IR</stp>
        <stp>BONDNIC7140113</stp>
        <stp>4년이하(당일)</stp>
        <stp>45523</stp>
        <stp/>
        <tr r="BQ59" s="2"/>
        <tr r="BQ59" s="2"/>
      </tp>
      <tp>
        <v>4.4130000000000003</v>
        <stp/>
        <stp>P</stp>
        <stp>0</stp>
        <stp>IR</stp>
        <stp>BONDNIC7150112</stp>
        <stp>4년이하(당일)</stp>
        <stp>45523</stp>
        <stp/>
        <tr r="BQ61" s="2"/>
        <tr r="BQ61" s="2"/>
      </tp>
      <tp>
        <v>3.3740000000000001</v>
        <stp/>
        <stp>P</stp>
        <stp>0</stp>
        <stp>IR</stp>
        <stp>BONDNIC7140112</stp>
        <stp>4년이하(당일)</stp>
        <stp>45523</stp>
        <stp/>
        <tr r="BQ58" s="2"/>
        <tr r="BQ58" s="2"/>
      </tp>
      <tp>
        <v>4.9560000000000004</v>
        <stp/>
        <stp>P</stp>
        <stp>0</stp>
        <stp>IR</stp>
        <stp>BONDNIC7150113</stp>
        <stp>4년이하(당일)</stp>
        <stp>45523</stp>
        <stp/>
        <tr r="BQ62" s="2"/>
        <tr r="BQ62" s="2"/>
      </tp>
      <tp>
        <v>3.181</v>
        <stp/>
        <stp>P</stp>
        <stp>0</stp>
        <stp>IR</stp>
        <stp>BONDNIC3050000</stp>
        <stp>1년이하(당일)</stp>
        <stp>45523</stp>
        <stp/>
        <tr r="BL15" s="2"/>
        <tr r="BL15" s="2"/>
      </tp>
      <tp>
        <v>3.3370000000000002</v>
        <stp/>
        <stp>P</stp>
        <stp>0</stp>
        <stp>IR</stp>
        <stp>BONDNIC7140111</stp>
        <stp>4년이하(당일)</stp>
        <stp>45523</stp>
        <stp/>
        <tr r="BQ57" s="2"/>
        <tr r="BQ57" s="2"/>
      </tp>
      <tp>
        <v>4.093</v>
        <stp/>
        <stp>P</stp>
        <stp>0</stp>
        <stp>IR</stp>
        <stp>BONDNIC7150111</stp>
        <stp>4년이하(당일)</stp>
        <stp>45523</stp>
        <stp/>
        <tr r="BQ60" s="2"/>
        <tr r="BQ60" s="2"/>
      </tp>
      <tp>
        <v>3.0070000000000001</v>
        <stp/>
        <stp>P</stp>
        <stp>0</stp>
        <stp>IR</stp>
        <stp>BONDNIC1030000</stp>
        <stp>3년이하(당일)</stp>
        <stp>45523</stp>
        <stp/>
        <tr r="BP10" s="2"/>
        <tr r="BP10" s="2"/>
      </tp>
      <tp>
        <v>3.28</v>
        <stp/>
        <stp>P</stp>
        <stp>0</stp>
        <stp>IR</stp>
        <stp>BONDNIC7130110</stp>
        <stp>4년이하(당일)</stp>
        <stp>45523</stp>
        <stp/>
        <tr r="BQ56" s="2"/>
        <tr r="BQ56" s="2"/>
      </tp>
      <tp>
        <v>2.8149999999999999</v>
        <stp/>
        <stp>P</stp>
        <stp>0</stp>
        <stp>IR</stp>
        <stp>BONDNIC1020000</stp>
        <stp>3년이하(당일)</stp>
        <stp>45523</stp>
        <stp/>
        <tr r="BP11" s="2"/>
        <tr r="BP11" s="2"/>
      </tp>
      <tp>
        <v>2.9220000000000002</v>
        <stp/>
        <stp>P</stp>
        <stp>0</stp>
        <stp>IR</stp>
        <stp>BONDNIC1010000</stp>
        <stp>3년이하(당일)</stp>
        <stp>45523</stp>
        <stp/>
        <tr r="BP9" s="2"/>
        <tr r="BP9" s="2"/>
      </tp>
      <tp>
        <v>2.54</v>
        <stp/>
        <stp>P</stp>
        <stp>0</stp>
        <stp>IR</stp>
        <stp>BONDNIC1015000</stp>
        <stp>3년이하(당일)</stp>
        <stp>45523</stp>
        <stp/>
        <tr r="BP12" s="2"/>
        <tr r="BP12" s="2"/>
      </tp>
      <tp>
        <v>4.5090000000000003</v>
        <stp/>
        <stp>P</stp>
        <stp>0</stp>
        <stp>IR</stp>
        <stp>BONDKBPF124</stp>
        <stp>15년이하(당일)</stp>
        <stp>45523</stp>
        <stp/>
        <tr r="AO53" s="2"/>
        <tr r="AO53" s="2"/>
      </tp>
      <tp>
        <v>5.4119999999999999</v>
        <stp/>
        <stp>P</stp>
        <stp>0</stp>
        <stp>IR</stp>
        <stp>BONDKBPF323</stp>
        <stp>15년이하(당일)</stp>
        <stp>45523</stp>
        <stp/>
        <tr r="AO76" s="2"/>
        <tr r="AO76" s="2"/>
      </tp>
      <tp>
        <v>5.194</v>
        <stp/>
        <stp>P</stp>
        <stp>0</stp>
        <stp>IR</stp>
        <stp>BONDKBPF223</stp>
        <stp>15년이하(당일)</stp>
        <stp>45523</stp>
        <stp/>
        <tr r="AO66" s="2"/>
        <tr r="AO66" s="2"/>
      </tp>
      <tp>
        <v>3.3279999999999998</v>
        <stp/>
        <stp>P</stp>
        <stp>0</stp>
        <stp>IR</stp>
        <stp>BONDKIS3060000</stp>
        <stp>1년이하(당일)</stp>
        <stp>45523</stp>
        <stp/>
        <tr r="AV83" s="2"/>
        <tr r="AV83" s="2"/>
      </tp>
      <tp>
        <v>3.1789999999999998</v>
        <stp/>
        <stp>P</stp>
        <stp>0</stp>
        <stp>IR</stp>
        <stp>BONDKIS3050000</stp>
        <stp>1년이하(당일)</stp>
        <stp>45523</stp>
        <stp/>
        <tr r="AV15" s="2"/>
        <tr r="AV15" s="2"/>
      </tp>
      <tp>
        <v>3.0019999999999998</v>
        <stp/>
        <stp>P</stp>
        <stp>0</stp>
        <stp>IR</stp>
        <stp>BONDKIS1030000</stp>
        <stp>3년이하(당일)</stp>
        <stp>45523</stp>
        <stp/>
        <tr r="AZ10" s="2"/>
        <tr r="AZ10" s="2"/>
      </tp>
      <tp>
        <v>3.1440000000000001</v>
        <stp/>
        <stp>P</stp>
        <stp>0</stp>
        <stp>IR</stp>
        <stp>BONDNIC7430110</stp>
        <stp>4년이하(당일)</stp>
        <stp>45523</stp>
        <stp/>
        <tr r="BQ83" s="2"/>
        <tr r="BQ83" s="2"/>
      </tp>
      <tp>
        <v>2.8279999999999998</v>
        <stp/>
        <stp>P</stp>
        <stp>0</stp>
        <stp>IR</stp>
        <stp>BONDKIS1020000</stp>
        <stp>3년이하(당일)</stp>
        <stp>45523</stp>
        <stp/>
        <tr r="AZ11" s="2"/>
        <tr r="AZ11" s="2"/>
      </tp>
      <tp>
        <v>2.9220000000000002</v>
        <stp/>
        <stp>P</stp>
        <stp>0</stp>
        <stp>IR</stp>
        <stp>BONDKIS1013000</stp>
        <stp>3년이하(당일)</stp>
        <stp>45523</stp>
        <stp/>
        <tr r="AZ9" s="2"/>
        <tr r="AZ9" s="2"/>
      </tp>
      <tp>
        <v>3.18</v>
        <stp/>
        <stp>P</stp>
        <stp>0</stp>
        <stp>IR</stp>
        <stp>BONDKSD3070000</stp>
        <stp>1년이하(당일)</stp>
        <stp>45523</stp>
        <stp/>
        <tr r="CR15" s="2"/>
        <tr r="CR15" s="2"/>
      </tp>
      <tp>
        <v>3.2759999999999998</v>
        <stp/>
        <stp>P</stp>
        <stp>0</stp>
        <stp>IR</stp>
        <stp>BONDKSD3060000</stp>
        <stp>1년이하(당일)</stp>
        <stp>45523</stp>
        <stp/>
        <tr r="CR83" s="2"/>
        <tr r="CR83" s="2"/>
      </tp>
      <tp>
        <v>2.9220000000000002</v>
        <stp/>
        <stp>P</stp>
        <stp>0</stp>
        <stp>IR</stp>
        <stp>BONDKSD1010000</stp>
        <stp>3년이하(당일)</stp>
        <stp>45523</stp>
        <stp/>
        <tr r="CV9" s="2"/>
        <tr r="CV9" s="2"/>
      </tp>
      <tp>
        <v>3.01</v>
        <stp/>
        <stp>P</stp>
        <stp>0</stp>
        <stp>IR</stp>
        <stp>BONDKSD1030000</stp>
        <stp>3년이하(당일)</stp>
        <stp>45523</stp>
        <stp/>
        <tr r="CV10" s="2"/>
        <tr r="CV10" s="2"/>
      </tp>
      <tp>
        <v>2.8180000000000001</v>
        <stp/>
        <stp>P</stp>
        <stp>0</stp>
        <stp>IR</stp>
        <stp>BONDKSD1020000</stp>
        <stp>3년이하(당일)</stp>
        <stp>45523</stp>
        <stp/>
        <tr r="CV11" s="2"/>
        <tr r="CV11" s="2"/>
      </tp>
      <tp>
        <v>4.931</v>
        <stp/>
        <stp>P</stp>
        <stp>0</stp>
        <stp>IR</stp>
        <stp>BONDKBPF322</stp>
        <stp>15년이하(당일)</stp>
        <stp>45523</stp>
        <stp/>
        <tr r="AO75" s="2"/>
        <tr r="AO75" s="2"/>
      </tp>
      <tp>
        <v>4.7359999999999998</v>
        <stp/>
        <stp>P</stp>
        <stp>0</stp>
        <stp>IR</stp>
        <stp>BONDKBPF222</stp>
        <stp>15년이하(당일)</stp>
        <stp>45523</stp>
        <stp/>
        <tr r="AO65" s="2"/>
        <tr r="AO65" s="2"/>
      </tp>
      <tp>
        <v>8.4179999999999993</v>
        <stp/>
        <stp>P</stp>
        <stp>0</stp>
        <stp>IR</stp>
        <stp>BONDKIS7010212</stp>
        <stp>7년이하(당일)</stp>
        <stp>45523</stp>
        <stp/>
        <tr r="BC71" s="2"/>
        <tr r="BC71" s="2"/>
      </tp>
      <tp>
        <v>9.8320000000000007</v>
        <stp/>
        <stp>P</stp>
        <stp>0</stp>
        <stp>IR</stp>
        <stp>BONDKIS7010213</stp>
        <stp>7년이하(당일)</stp>
        <stp>45523</stp>
        <stp/>
        <tr r="BC72" s="2"/>
        <tr r="BC72" s="2"/>
      </tp>
      <tp>
        <v>3.1259999999999999</v>
        <stp/>
        <stp>P</stp>
        <stp>0</stp>
        <stp>IR</stp>
        <stp>BONDKIS7020110</stp>
        <stp>4년이하(당일)</stp>
        <stp>45523</stp>
        <stp/>
        <tr r="BA52" s="2"/>
        <tr r="BA52" s="2"/>
      </tp>
      <tp>
        <v>3.5070000000000001</v>
        <stp/>
        <stp>P</stp>
        <stp>0</stp>
        <stp>IR</stp>
        <stp>BONDKIS7020210</stp>
        <stp>7년이하(당일)</stp>
        <stp>45523</stp>
        <stp/>
        <tr r="BC55" s="2"/>
        <tr r="BC55" s="2"/>
      </tp>
      <tp>
        <v>3.294</v>
        <stp/>
        <stp>P</stp>
        <stp>0</stp>
        <stp>IR</stp>
        <stp>BONDKIS7010110</stp>
        <stp>4년이하(당일)</stp>
        <stp>45523</stp>
        <stp/>
        <tr r="BA63" s="2"/>
        <tr r="BA63" s="2"/>
      </tp>
      <tp>
        <v>7.3630000000000004</v>
        <stp/>
        <stp>P</stp>
        <stp>0</stp>
        <stp>IR</stp>
        <stp>BONDKIS7010211</stp>
        <stp>7년이하(당일)</stp>
        <stp>45523</stp>
        <stp/>
        <tr r="BC70" s="2"/>
        <tr r="BC70" s="2"/>
      </tp>
      <tp>
        <v>3.2839999999999998</v>
        <stp/>
        <stp>P</stp>
        <stp>0</stp>
        <stp>IR</stp>
        <stp>BONDKSD7010110</stp>
        <stp>4년이하(당일)</stp>
        <stp>45523</stp>
        <stp/>
        <tr r="CW63" s="2"/>
        <tr r="CW63" s="2"/>
      </tp>
      <tp>
        <v>7.359</v>
        <stp/>
        <stp>P</stp>
        <stp>0</stp>
        <stp>IR</stp>
        <stp>BONDKSD7010211</stp>
        <stp>7년이하(당일)</stp>
        <stp>45523</stp>
        <stp/>
        <tr r="CY70" s="2"/>
        <tr r="CY70" s="2"/>
      </tp>
      <tp>
        <v>8.4130000000000003</v>
        <stp/>
        <stp>P</stp>
        <stp>0</stp>
        <stp>IR</stp>
        <stp>BONDKSD7010212</stp>
        <stp>7년이하(당일)</stp>
        <stp>45523</stp>
        <stp/>
        <tr r="CY71" s="2"/>
        <tr r="CY71" s="2"/>
      </tp>
      <tp>
        <v>9.83</v>
        <stp/>
        <stp>P</stp>
        <stp>0</stp>
        <stp>IR</stp>
        <stp>BONDKSD7010213</stp>
        <stp>7년이하(당일)</stp>
        <stp>45523</stp>
        <stp/>
        <tr r="CY72" s="2"/>
        <tr r="CY72" s="2"/>
      </tp>
      <tp>
        <v>0</v>
        <stp/>
        <stp>P</stp>
        <stp>0</stp>
        <stp>IR</stp>
        <stp>BONDKSD7020110</stp>
        <stp>4년이하(당일)</stp>
        <stp>45523</stp>
        <stp/>
        <tr r="CW52" s="2"/>
      </tp>
      <tp>
        <v>0</v>
        <stp/>
        <stp>P</stp>
        <stp>0</stp>
        <stp>IR</stp>
        <stp>BONDKSD7020210</stp>
        <stp>7년이하(당일)</stp>
        <stp>45523</stp>
        <stp/>
        <tr r="CY55" s="2"/>
      </tp>
      <tp>
        <v>3.6480000000000001</v>
        <stp/>
        <stp>P</stp>
        <stp>0</stp>
        <stp>IR</stp>
        <stp>BONDKBPE121</stp>
        <stp>15년이하(당일)</stp>
        <stp>45523</stp>
        <stp/>
        <tr r="AO26" s="2"/>
        <tr r="AO26" s="2"/>
      </tp>
      <tp>
        <v>4.3250000000000002</v>
        <stp/>
        <stp>P</stp>
        <stp>0</stp>
        <stp>IR</stp>
        <stp>BONDKBPF321</stp>
        <stp>15년이하(당일)</stp>
        <stp>45523</stp>
        <stp/>
        <tr r="AO74" s="2"/>
        <tr r="AO74" s="2"/>
      </tp>
      <tp>
        <v>4.149</v>
        <stp/>
        <stp>P</stp>
        <stp>0</stp>
        <stp>IR</stp>
        <stp>BONDKBPF221</stp>
        <stp>15년이하(당일)</stp>
        <stp>45523</stp>
        <stp/>
        <tr r="AO64" s="2"/>
        <tr r="AO64" s="2"/>
      </tp>
      <tp>
        <v>3.55</v>
        <stp/>
        <stp>P</stp>
        <stp>0</stp>
        <stp>IR</stp>
        <stp>BONDKIS6013122</stp>
        <stp>5년이하(당일)</stp>
        <stp>45523</stp>
        <stp/>
        <tr r="BB44" s="2"/>
        <tr r="BB44" s="2"/>
      </tp>
      <tp>
        <v>3.395</v>
        <stp/>
        <stp>P</stp>
        <stp>0</stp>
        <stp>IR</stp>
        <stp>BONDKIS7010122</stp>
        <stp>4년이하(당일)</stp>
        <stp>45523</stp>
        <stp/>
        <tr r="BA65" s="2"/>
        <tr r="BA65" s="2"/>
      </tp>
      <tp>
        <v>3.6539999999999999</v>
        <stp/>
        <stp>P</stp>
        <stp>0</stp>
        <stp>IR</stp>
        <stp>BONDKIS6013123</stp>
        <stp>5년이하(당일)</stp>
        <stp>45523</stp>
        <stp/>
        <tr r="BB45" s="2"/>
        <tr r="BB45" s="2"/>
      </tp>
      <tp>
        <v>3.4660000000000002</v>
        <stp/>
        <stp>P</stp>
        <stp>0</stp>
        <stp>IR</stp>
        <stp>BONDKIS7010123</stp>
        <stp>4년이하(당일)</stp>
        <stp>45523</stp>
        <stp/>
        <tr r="BA66" s="2"/>
        <tr r="BA66" s="2"/>
      </tp>
      <tp>
        <v>3.2629999999999999</v>
        <stp/>
        <stp>P</stp>
        <stp>0</stp>
        <stp>IR</stp>
        <stp>BONDKIS7020120</stp>
        <stp>4년이하(당일)</stp>
        <stp>45523</stp>
        <stp/>
        <tr r="BA53" s="2"/>
        <tr r="BA53" s="2"/>
      </tp>
      <tp>
        <v>3.3149999999999999</v>
        <stp/>
        <stp>P</stp>
        <stp>0</stp>
        <stp>IR</stp>
        <stp>BONDKIS6013121</stp>
        <stp>5년이하(당일)</stp>
        <stp>45523</stp>
        <stp/>
        <tr r="BB43" s="2"/>
        <tr r="BB43" s="2"/>
      </tp>
      <tp>
        <v>3.3570000000000002</v>
        <stp/>
        <stp>P</stp>
        <stp>0</stp>
        <stp>IR</stp>
        <stp>BONDKIS7010121</stp>
        <stp>4년이하(당일)</stp>
        <stp>45523</stp>
        <stp/>
        <tr r="BA64" s="2"/>
        <tr r="BA64" s="2"/>
      </tp>
      <tp>
        <v>3.3290000000000002</v>
        <stp/>
        <stp>P</stp>
        <stp>0</stp>
        <stp>IR</stp>
        <stp>BONDKSD6010121</stp>
        <stp>5년이하(당일)</stp>
        <stp>45523</stp>
        <stp/>
        <tr r="CX34" s="2"/>
        <tr r="CX34" s="2"/>
      </tp>
      <tp>
        <v>3.3410000000000002</v>
        <stp/>
        <stp>P</stp>
        <stp>0</stp>
        <stp>IR</stp>
        <stp>BONDKSD7010121</stp>
        <stp>4년이하(당일)</stp>
        <stp>45523</stp>
        <stp/>
        <tr r="CW64" s="2"/>
        <tr r="CW64" s="2"/>
      </tp>
      <tp>
        <v>3.54</v>
        <stp/>
        <stp>P</stp>
        <stp>0</stp>
        <stp>IR</stp>
        <stp>BONDKSD6010122</stp>
        <stp>5년이하(당일)</stp>
        <stp>45523</stp>
        <stp/>
        <tr r="CX35" s="2"/>
        <tr r="CX35" s="2"/>
      </tp>
      <tp>
        <v>3.3839999999999999</v>
        <stp/>
        <stp>P</stp>
        <stp>0</stp>
        <stp>IR</stp>
        <stp>BONDKSD7010122</stp>
        <stp>4년이하(당일)</stp>
        <stp>45523</stp>
        <stp/>
        <tr r="CW65" s="2"/>
        <tr r="CW65" s="2"/>
      </tp>
      <tp>
        <v>3.6589999999999998</v>
        <stp/>
        <stp>P</stp>
        <stp>0</stp>
        <stp>IR</stp>
        <stp>BONDKSD6010123</stp>
        <stp>5년이하(당일)</stp>
        <stp>45523</stp>
        <stp/>
        <tr r="CX36" s="2"/>
        <tr r="CX36" s="2"/>
      </tp>
      <tp>
        <v>3.4470000000000001</v>
        <stp/>
        <stp>P</stp>
        <stp>0</stp>
        <stp>IR</stp>
        <stp>BONDKSD7010123</stp>
        <stp>4년이하(당일)</stp>
        <stp>45523</stp>
        <stp/>
        <tr r="CW66" s="2"/>
        <tr r="CW66" s="2"/>
      </tp>
      <tp>
        <v>0</v>
        <stp/>
        <stp>P</stp>
        <stp>0</stp>
        <stp>IR</stp>
        <stp>BONDKSD7020120</stp>
        <stp>4년이하(당일)</stp>
        <stp>45523</stp>
        <stp/>
        <tr r="CW53" s="2"/>
      </tp>
      <tp>
        <v>6.0830000000000002</v>
        <stp/>
        <stp>P</stp>
        <stp>0</stp>
        <stp>IR</stp>
        <stp>BONDKBPE320</stp>
        <stp>15년이하(당일)</stp>
        <stp>45523</stp>
        <stp/>
        <tr r="AO47" s="2"/>
        <tr r="AO47" s="2"/>
      </tp>
      <tp>
        <v>6.0830000000000002</v>
        <stp/>
        <stp>P</stp>
        <stp>0</stp>
        <stp>IR</stp>
        <stp>BONDKBPE220</stp>
        <stp>15년이하(당일)</stp>
        <stp>45523</stp>
        <stp/>
        <tr r="AO38" s="2"/>
        <tr r="AO38" s="2"/>
      </tp>
      <tp>
        <v>3.5680000000000001</v>
        <stp/>
        <stp>P</stp>
        <stp>0</stp>
        <stp>IR</stp>
        <stp>BONDKBPE120</stp>
        <stp>15년이하(당일)</stp>
        <stp>45523</stp>
        <stp/>
        <tr r="AO25" s="2"/>
        <tr r="AO25" s="2"/>
      </tp>
      <tp>
        <v>5.4480000000000004</v>
        <stp/>
        <stp>P</stp>
        <stp>0</stp>
        <stp>IR</stp>
        <stp>BONDKIS6013132</stp>
        <stp>5년이하(당일)</stp>
        <stp>45523</stp>
        <stp/>
        <tr r="BB47" s="2"/>
        <tr r="BB47" s="2"/>
      </tp>
      <tp>
        <v>4.4029999999999996</v>
        <stp/>
        <stp>P</stp>
        <stp>0</stp>
        <stp>IR</stp>
        <stp>BONDKIS7010132</stp>
        <stp>4년이하(당일)</stp>
        <stp>45523</stp>
        <stp/>
        <tr r="BA68" s="2"/>
        <tr r="BA68" s="2"/>
      </tp>
      <tp>
        <v>6.117</v>
        <stp/>
        <stp>P</stp>
        <stp>0</stp>
        <stp>IR</stp>
        <stp>BONDKIS6013133</stp>
        <stp>5년이하(당일)</stp>
        <stp>45523</stp>
        <stp/>
        <tr r="BB48" s="2"/>
        <tr r="BB48" s="2"/>
      </tp>
      <tp>
        <v>4.9180000000000001</v>
        <stp/>
        <stp>P</stp>
        <stp>0</stp>
        <stp>IR</stp>
        <stp>BONDKIS7010133</stp>
        <stp>4년이하(당일)</stp>
        <stp>45523</stp>
        <stp/>
        <tr r="BA69" s="2"/>
        <tr r="BA69" s="2"/>
      </tp>
      <tp>
        <v>3.4260000000000002</v>
        <stp/>
        <stp>P</stp>
        <stp>0</stp>
        <stp>IR</stp>
        <stp>BONDKIS7020130</stp>
        <stp>4년이하(당일)</stp>
        <stp>45523</stp>
        <stp/>
        <tr r="BA54" s="2"/>
        <tr r="BA54" s="2"/>
      </tp>
      <tp>
        <v>4.8280000000000003</v>
        <stp/>
        <stp>P</stp>
        <stp>0</stp>
        <stp>IR</stp>
        <stp>BONDKIS6013131</stp>
        <stp>5년이하(당일)</stp>
        <stp>45523</stp>
        <stp/>
        <tr r="BB46" s="2"/>
        <tr r="BB46" s="2"/>
      </tp>
      <tp>
        <v>4.0599999999999996</v>
        <stp/>
        <stp>P</stp>
        <stp>0</stp>
        <stp>IR</stp>
        <stp>BONDKIS7010131</stp>
        <stp>4년이하(당일)</stp>
        <stp>45523</stp>
        <stp/>
        <tr r="BA67" s="2"/>
        <tr r="BA67" s="2"/>
      </tp>
      <tp>
        <v>4.8150000000000004</v>
        <stp/>
        <stp>P</stp>
        <stp>0</stp>
        <stp>IR</stp>
        <stp>BONDKSD6010131</stp>
        <stp>5년이하(당일)</stp>
        <stp>45523</stp>
        <stp/>
        <tr r="CX37" s="2"/>
        <tr r="CX37" s="2"/>
      </tp>
      <tp>
        <v>4.069</v>
        <stp/>
        <stp>P</stp>
        <stp>0</stp>
        <stp>IR</stp>
        <stp>BONDKSD7010131</stp>
        <stp>4년이하(당일)</stp>
        <stp>45523</stp>
        <stp/>
        <tr r="CW67" s="2"/>
        <tr r="CW67" s="2"/>
      </tp>
      <tp>
        <v>5.4710000000000001</v>
        <stp/>
        <stp>P</stp>
        <stp>0</stp>
        <stp>IR</stp>
        <stp>BONDKSD6010132</stp>
        <stp>5년이하(당일)</stp>
        <stp>45523</stp>
        <stp/>
        <tr r="CX38" s="2"/>
        <tr r="CX38" s="2"/>
      </tp>
      <tp>
        <v>4.4160000000000004</v>
        <stp/>
        <stp>P</stp>
        <stp>0</stp>
        <stp>IR</stp>
        <stp>BONDKSD7010132</stp>
        <stp>4년이하(당일)</stp>
        <stp>45523</stp>
        <stp/>
        <tr r="CW68" s="2"/>
        <tr r="CW68" s="2"/>
      </tp>
      <tp>
        <v>6.1379999999999999</v>
        <stp/>
        <stp>P</stp>
        <stp>0</stp>
        <stp>IR</stp>
        <stp>BONDKSD6010133</stp>
        <stp>5년이하(당일)</stp>
        <stp>45523</stp>
        <stp/>
        <tr r="CX39" s="2"/>
        <tr r="CX39" s="2"/>
      </tp>
      <tp>
        <v>4.9219999999999997</v>
        <stp/>
        <stp>P</stp>
        <stp>0</stp>
        <stp>IR</stp>
        <stp>BONDKSD7010133</stp>
        <stp>4년이하(당일)</stp>
        <stp>45523</stp>
        <stp/>
        <tr r="CW69" s="2"/>
        <tr r="CW69" s="2"/>
      </tp>
      <tp>
        <v>0</v>
        <stp/>
        <stp>P</stp>
        <stp>0</stp>
        <stp>IR</stp>
        <stp>BONDKSD7020130</stp>
        <stp>4년이하(당일)</stp>
        <stp>45523</stp>
        <stp/>
        <tr r="CW54" s="2"/>
      </tp>
      <tp>
        <v>3.4470000000000001</v>
        <stp/>
        <stp>P</stp>
        <stp>0</stp>
        <stp>IR</stp>
        <stp>BONDFNP8010110</stp>
        <stp>4년이하(당일)</stp>
        <stp>45523</stp>
        <stp/>
        <tr r="CG73" s="2"/>
        <tr r="CG73" s="2"/>
      </tp>
      <tp>
        <v>8.5030000000000001</v>
        <stp/>
        <stp>P</stp>
        <stp>0</stp>
        <stp>IR</stp>
        <stp>BONDNIC9999116</stp>
        <stp>5년이하(당일)</stp>
        <stp>45523</stp>
        <stp/>
        <tr r="BR50" s="2"/>
        <tr r="BR50" s="2"/>
      </tp>
      <tp>
        <v>9.9649999999999999</v>
        <stp/>
        <stp>P</stp>
        <stp>0</stp>
        <stp>IR</stp>
        <stp>BONDNIC9999117</stp>
        <stp>5년이하(당일)</stp>
        <stp>45523</stp>
        <stp/>
        <tr r="BR51" s="2"/>
        <tr r="BR51" s="2"/>
      </tp>
      <tp>
        <v>6.181</v>
        <stp/>
        <stp>P</stp>
        <stp>0</stp>
        <stp>IR</stp>
        <stp>BONDNIC9999114</stp>
        <stp>5년이하(당일)</stp>
        <stp>45523</stp>
        <stp/>
        <tr r="BR48" s="2"/>
        <tr r="BR48" s="2"/>
      </tp>
      <tp>
        <v>7.4989999999999997</v>
        <stp/>
        <stp>P</stp>
        <stp>0</stp>
        <stp>IR</stp>
        <stp>BONDNIC9999115</stp>
        <stp>5년이하(당일)</stp>
        <stp>45523</stp>
        <stp/>
        <tr r="BR49" s="2"/>
        <tr r="BR49" s="2"/>
      </tp>
      <tp>
        <v>4.8390000000000004</v>
        <stp/>
        <stp>P</stp>
        <stp>0</stp>
        <stp>IR</stp>
        <stp>BONDNIC9999112</stp>
        <stp>5년이하(당일)</stp>
        <stp>45523</stp>
        <stp/>
        <tr r="BR46" s="2"/>
        <tr r="BR46" s="2"/>
      </tp>
      <tp>
        <v>5.4969999999999999</v>
        <stp/>
        <stp>P</stp>
        <stp>0</stp>
        <stp>IR</stp>
        <stp>BONDNIC9999113</stp>
        <stp>5년이하(당일)</stp>
        <stp>45523</stp>
        <stp/>
        <tr r="BR47" s="2"/>
        <tr r="BR47" s="2"/>
      </tp>
      <tp>
        <v>3.5489999999999999</v>
        <stp/>
        <stp>P</stp>
        <stp>0</stp>
        <stp>IR</stp>
        <stp>BONDNIC9999110</stp>
        <stp>5년이하(당일)</stp>
        <stp>45523</stp>
        <stp/>
        <tr r="BR44" s="2"/>
        <tr r="BR44" s="2"/>
      </tp>
      <tp>
        <v>3.673</v>
        <stp/>
        <stp>P</stp>
        <stp>0</stp>
        <stp>IR</stp>
        <stp>BONDNIC9999111</stp>
        <stp>5년이하(당일)</stp>
        <stp>45523</stp>
        <stp/>
        <tr r="BR45" s="2"/>
        <tr r="BR45" s="2"/>
      </tp>
      <tp>
        <v>7.9459999999999997</v>
        <stp/>
        <stp>P</stp>
        <stp>0</stp>
        <stp>IR</stp>
        <stp>BONDFNP8110211</stp>
        <stp>7년이하(당일)</stp>
        <stp>45523</stp>
        <stp/>
        <tr r="CI80" s="2"/>
        <tr r="CI80" s="2"/>
      </tp>
      <tp>
        <v>10.882</v>
        <stp/>
        <stp>P</stp>
        <stp>0</stp>
        <stp>IR</stp>
        <stp>BONDFNP8110213</stp>
        <stp>7년이하(당일)</stp>
        <stp>45523</stp>
        <stp/>
        <tr r="CI82" s="2"/>
        <tr r="CI82" s="2"/>
      </tp>
      <tp>
        <v>9.0670000000000002</v>
        <stp/>
        <stp>P</stp>
        <stp>0</stp>
        <stp>IR</stp>
        <stp>BONDFNP8110212</stp>
        <stp>7년이하(당일)</stp>
        <stp>45523</stp>
        <stp/>
        <tr r="CI81" s="2"/>
        <tr r="CI81" s="2"/>
      </tp>
      <tp>
        <v>3.35</v>
        <stp/>
        <stp>P</stp>
        <stp>0</stp>
        <stp>IR</stp>
        <stp>BONDNIC9999118</stp>
        <stp>5년이하(당일)</stp>
        <stp>45523</stp>
        <stp/>
        <tr r="BR43" s="2"/>
        <tr r="BR43" s="2"/>
      </tp>
      <tp>
        <v>4.3970000000000002</v>
        <stp/>
        <stp>P</stp>
        <stp>0</stp>
        <stp>IR</stp>
        <stp>BONDFNP8010131</stp>
        <stp>4년이하(당일)</stp>
        <stp>45523</stp>
        <stp/>
        <tr r="CG77" s="2"/>
        <tr r="CG77" s="2"/>
      </tp>
      <tp>
        <v>5.3609999999999998</v>
        <stp/>
        <stp>P</stp>
        <stp>0</stp>
        <stp>IR</stp>
        <stp>BONDFNP8010133</stp>
        <stp>4년이하(당일)</stp>
        <stp>45523</stp>
        <stp/>
        <tr r="CG79" s="2"/>
        <tr r="CG79" s="2"/>
      </tp>
      <tp>
        <v>4.8339999999999996</v>
        <stp/>
        <stp>P</stp>
        <stp>0</stp>
        <stp>IR</stp>
        <stp>BONDFNP8010132</stp>
        <stp>4년이하(당일)</stp>
        <stp>45523</stp>
        <stp/>
        <tr r="CG78" s="2"/>
        <tr r="CG78" s="2"/>
      </tp>
      <tp>
        <v>3.5019999999999998</v>
        <stp/>
        <stp>P</stp>
        <stp>0</stp>
        <stp>IR</stp>
        <stp>BONDFNP8010121</stp>
        <stp>4년이하(당일)</stp>
        <stp>45523</stp>
        <stp/>
        <tr r="CG74" s="2"/>
        <tr r="CG74" s="2"/>
      </tp>
      <tp>
        <v>3.6829999999999998</v>
        <stp/>
        <stp>P</stp>
        <stp>0</stp>
        <stp>IR</stp>
        <stp>BONDFNP8010123</stp>
        <stp>4년이하(당일)</stp>
        <stp>45523</stp>
        <stp/>
        <tr r="CG76" s="2"/>
        <tr r="CG76" s="2"/>
      </tp>
      <tp>
        <v>3.581</v>
        <stp/>
        <stp>P</stp>
        <stp>0</stp>
        <stp>IR</stp>
        <stp>BONDFNP8010122</stp>
        <stp>4년이하(당일)</stp>
        <stp>45523</stp>
        <stp/>
        <tr r="CG75" s="2"/>
        <tr r="CG75" s="2"/>
      </tp>
      <tp>
        <v>7.4359999999999999</v>
        <stp/>
        <stp>P</stp>
        <stp>0</stp>
        <stp>IR</stp>
        <stp>BONDKIS9999116</stp>
        <stp>5년이하(당일)</stp>
        <stp>45523</stp>
        <stp/>
        <tr r="BB40" s="2"/>
        <tr r="BB40" s="2"/>
      </tp>
      <tp>
        <v>8.4749999999999996</v>
        <stp/>
        <stp>P</stp>
        <stp>0</stp>
        <stp>IR</stp>
        <stp>BONDKIS9999117</stp>
        <stp>5년이하(당일)</stp>
        <stp>45523</stp>
        <stp/>
        <tr r="BB41" s="2"/>
        <tr r="BB41" s="2"/>
      </tp>
      <tp>
        <v>5.4480000000000004</v>
        <stp/>
        <stp>P</stp>
        <stp>0</stp>
        <stp>IR</stp>
        <stp>BONDKIS9999114</stp>
        <stp>5년이하(당일)</stp>
        <stp>45523</stp>
        <stp/>
        <tr r="BB38" s="2"/>
        <tr r="BB38" s="2"/>
      </tp>
      <tp>
        <v>6.117</v>
        <stp/>
        <stp>P</stp>
        <stp>0</stp>
        <stp>IR</stp>
        <stp>BONDKIS9999115</stp>
        <stp>5년이하(당일)</stp>
        <stp>45523</stp>
        <stp/>
        <tr r="BB39" s="2"/>
        <tr r="BB39" s="2"/>
      </tp>
      <tp>
        <v>3.6539999999999999</v>
        <stp/>
        <stp>P</stp>
        <stp>0</stp>
        <stp>IR</stp>
        <stp>BONDKIS9999112</stp>
        <stp>5년이하(당일)</stp>
        <stp>45523</stp>
        <stp/>
        <tr r="BB36" s="2"/>
        <tr r="BB36" s="2"/>
      </tp>
      <tp>
        <v>4.8280000000000003</v>
        <stp/>
        <stp>P</stp>
        <stp>0</stp>
        <stp>IR</stp>
        <stp>BONDKIS9999113</stp>
        <stp>5년이하(당일)</stp>
        <stp>45523</stp>
        <stp/>
        <tr r="BB37" s="2"/>
        <tr r="BB37" s="2"/>
      </tp>
      <tp>
        <v>3.55</v>
        <stp/>
        <stp>P</stp>
        <stp>0</stp>
        <stp>IR</stp>
        <stp>BONDKIS9999111</stp>
        <stp>5년이하(당일)</stp>
        <stp>45523</stp>
        <stp/>
        <tr r="BB35" s="2"/>
        <tr r="BB35" s="2"/>
      </tp>
      <tp>
        <v>9.9580000000000002</v>
        <stp/>
        <stp>P</stp>
        <stp>0</stp>
        <stp>IR</stp>
        <stp>BONDKIS9999118</stp>
        <stp>5년이하(당일)</stp>
        <stp>45523</stp>
        <stp/>
        <tr r="BB42" s="2"/>
        <tr r="BB42" s="2"/>
      </tp>
      <tp>
        <v>3.3149999999999999</v>
        <stp/>
        <stp>P</stp>
        <stp>0</stp>
        <stp>IR</stp>
        <stp>BONDKIS9999119</stp>
        <stp>5년이하(당일)</stp>
        <stp>45523</stp>
        <stp/>
        <tr r="BB34" s="2"/>
        <tr r="BB34" s="2"/>
      </tp>
      <tp>
        <v>3.7130000000000001</v>
        <stp/>
        <stp>P</stp>
        <stp>0</stp>
        <stp>IR</stp>
        <stp>BONDNIC8040113</stp>
        <stp>4년이하(당일)</stp>
        <stp>45523</stp>
        <stp/>
        <tr r="BQ76" s="2"/>
        <tr r="BQ76" s="2"/>
      </tp>
      <tp>
        <v>4.8330000000000002</v>
        <stp/>
        <stp>P</stp>
        <stp>0</stp>
        <stp>IR</stp>
        <stp>BONDNIC8050112</stp>
        <stp>4년이하(당일)</stp>
        <stp>45523</stp>
        <stp/>
        <tr r="BQ78" s="2"/>
        <tr r="BQ78" s="2"/>
      </tp>
      <tp>
        <v>7.8369999999999997</v>
        <stp/>
        <stp>P</stp>
        <stp>0</stp>
        <stp>IR</stp>
        <stp>BONDNIC8060111</stp>
        <stp>4년이하(당일)</stp>
        <stp>45523</stp>
        <stp/>
        <tr r="BQ80" s="2"/>
        <tr r="BQ80" s="2"/>
      </tp>
      <tp>
        <v>3.6139999999999999</v>
        <stp/>
        <stp>P</stp>
        <stp>0</stp>
        <stp>IR</stp>
        <stp>BONDNIC8040112</stp>
        <stp>4년이하(당일)</stp>
        <stp>45523</stp>
        <stp/>
        <tr r="BQ75" s="2"/>
        <tr r="BQ75" s="2"/>
      </tp>
      <tp>
        <v>5.4160000000000004</v>
        <stp/>
        <stp>P</stp>
        <stp>0</stp>
        <stp>IR</stp>
        <stp>BONDNIC8050113</stp>
        <stp>4년이하(당일)</stp>
        <stp>45523</stp>
        <stp/>
        <tr r="BQ79" s="2"/>
        <tr r="BQ79" s="2"/>
      </tp>
      <tp>
        <v>3.5270000000000001</v>
        <stp/>
        <stp>P</stp>
        <stp>0</stp>
        <stp>IR</stp>
        <stp>BONDNIC8040111</stp>
        <stp>4년이하(당일)</stp>
        <stp>45523</stp>
        <stp/>
        <tr r="BQ74" s="2"/>
        <tr r="BQ74" s="2"/>
      </tp>
      <tp>
        <v>10.651999999999999</v>
        <stp/>
        <stp>P</stp>
        <stp>0</stp>
        <stp>IR</stp>
        <stp>BONDNIC8060113</stp>
        <stp>4년이하(당일)</stp>
        <stp>45523</stp>
        <stp/>
        <tr r="BQ82" s="2"/>
        <tr r="BQ82" s="2"/>
      </tp>
      <tp>
        <v>4.4630000000000001</v>
        <stp/>
        <stp>P</stp>
        <stp>0</stp>
        <stp>IR</stp>
        <stp>BONDNIC8050111</stp>
        <stp>4년이하(당일)</stp>
        <stp>45523</stp>
        <stp/>
        <tr r="BQ77" s="2"/>
        <tr r="BQ77" s="2"/>
      </tp>
      <tp>
        <v>8.9719999999999995</v>
        <stp/>
        <stp>P</stp>
        <stp>0</stp>
        <stp>IR</stp>
        <stp>BONDNIC8060112</stp>
        <stp>4년이하(당일)</stp>
        <stp>45523</stp>
        <stp/>
        <tr r="BQ81" s="2"/>
        <tr r="BQ81" s="2"/>
      </tp>
      <tp>
        <v>3.46</v>
        <stp/>
        <stp>P</stp>
        <stp>0</stp>
        <stp>IR</stp>
        <stp>BONDNIC8030110</stp>
        <stp>4년이하(당일)</stp>
        <stp>45523</stp>
        <stp/>
        <tr r="BQ73" s="2"/>
        <tr r="BQ73" s="2"/>
      </tp>
      <tp>
        <v>3.6549999999999998</v>
        <stp/>
        <stp>P</stp>
        <stp>0</stp>
        <stp>IR</stp>
        <stp>BONDFNP9999111</stp>
        <stp>5년이하(당일)</stp>
        <stp>45523</stp>
        <stp/>
        <tr r="CH45" s="2"/>
        <tr r="CH45" s="2"/>
      </tp>
      <tp>
        <v>3.5310000000000001</v>
        <stp/>
        <stp>P</stp>
        <stp>0</stp>
        <stp>IR</stp>
        <stp>BONDFNP9999110</stp>
        <stp>5년이하(당일)</stp>
        <stp>45523</stp>
        <stp/>
        <tr r="CH44" s="2"/>
        <tr r="CH44" s="2"/>
      </tp>
      <tp>
        <v>5.4619999999999997</v>
        <stp/>
        <stp>P</stp>
        <stp>0</stp>
        <stp>IR</stp>
        <stp>BONDFNP9999113</stp>
        <stp>5년이하(당일)</stp>
        <stp>45523</stp>
        <stp/>
        <tr r="CH47" s="2"/>
        <tr r="CH47" s="2"/>
      </tp>
      <tp>
        <v>4.8019999999999996</v>
        <stp/>
        <stp>P</stp>
        <stp>0</stp>
        <stp>IR</stp>
        <stp>BONDFNP9999112</stp>
        <stp>5년이하(당일)</stp>
        <stp>45523</stp>
        <stp/>
        <tr r="CH46" s="2"/>
        <tr r="CH46" s="2"/>
      </tp>
      <tp>
        <v>7.4279999999999999</v>
        <stp/>
        <stp>P</stp>
        <stp>0</stp>
        <stp>IR</stp>
        <stp>BONDFNP9999115</stp>
        <stp>5년이하(당일)</stp>
        <stp>45523</stp>
        <stp/>
        <tr r="CH49" s="2"/>
        <tr r="CH49" s="2"/>
      </tp>
      <tp>
        <v>6.1360000000000001</v>
        <stp/>
        <stp>P</stp>
        <stp>0</stp>
        <stp>IR</stp>
        <stp>BONDFNP9999114</stp>
        <stp>5년이하(당일)</stp>
        <stp>45523</stp>
        <stp/>
        <tr r="CH48" s="2"/>
        <tr r="CH48" s="2"/>
      </tp>
      <tp>
        <v>9.8460000000000001</v>
        <stp/>
        <stp>P</stp>
        <stp>0</stp>
        <stp>IR</stp>
        <stp>BONDFNP9999117</stp>
        <stp>5년이하(당일)</stp>
        <stp>45523</stp>
        <stp/>
        <tr r="CH51" s="2"/>
        <tr r="CH51" s="2"/>
      </tp>
      <tp>
        <v>8.468</v>
        <stp/>
        <stp>P</stp>
        <stp>0</stp>
        <stp>IR</stp>
        <stp>BONDFNP9999116</stp>
        <stp>5년이하(당일)</stp>
        <stp>45523</stp>
        <stp/>
        <tr r="CH50" s="2"/>
        <tr r="CH50" s="2"/>
      </tp>
      <tp>
        <v>3.323</v>
        <stp/>
        <stp>P</stp>
        <stp>0</stp>
        <stp>IR</stp>
        <stp>BONDFNP9999118</stp>
        <stp>5년이하(당일)</stp>
        <stp>45523</stp>
        <stp/>
        <tr r="CH43" s="2"/>
        <tr r="CH43" s="2"/>
      </tp>
      <tp>
        <v>8.9700000000000006</v>
        <stp/>
        <stp>P</stp>
        <stp>0</stp>
        <stp>IR</stp>
        <stp>BONDKIS8010212</stp>
        <stp>7년이하(당일)</stp>
        <stp>45523</stp>
        <stp/>
        <tr r="BC81" s="2"/>
        <tr r="BC81" s="2"/>
      </tp>
      <tp>
        <v>10.923999999999999</v>
        <stp/>
        <stp>P</stp>
        <stp>0</stp>
        <stp>IR</stp>
        <stp>BONDKIS8010213</stp>
        <stp>7년이하(당일)</stp>
        <stp>45523</stp>
        <stp/>
        <tr r="BC82" s="2"/>
        <tr r="BC82" s="2"/>
      </tp>
      <tp>
        <v>3.593</v>
        <stp/>
        <stp>P</stp>
        <stp>0</stp>
        <stp>IR</stp>
        <stp>BONDKIS8010110</stp>
        <stp>4년이하(당일)</stp>
        <stp>45523</stp>
        <stp/>
        <tr r="BA73" s="2"/>
        <tr r="BA73" s="2"/>
      </tp>
      <tp>
        <v>7.8949999999999996</v>
        <stp/>
        <stp>P</stp>
        <stp>0</stp>
        <stp>IR</stp>
        <stp>BONDKIS8010211</stp>
        <stp>7년이하(당일)</stp>
        <stp>45523</stp>
        <stp/>
        <tr r="BC80" s="2"/>
        <tr r="BC80" s="2"/>
      </tp>
      <tp t="s">
        <v xml:space="preserve"> </v>
        <stp/>
        <stp>P</stp>
        <stp>0</stp>
        <stp>IR</stp>
        <stp>BONDKSD8010110</stp>
        <stp>4년이하(당일)</stp>
        <stp>45523</stp>
        <stp/>
        <tr r="CW73" s="2"/>
        <tr r="CW73" s="2"/>
      </tp>
      <tp>
        <v>3.734</v>
        <stp/>
        <stp>P</stp>
        <stp>0</stp>
        <stp>IR</stp>
        <stp>BONDKIS8010122</stp>
        <stp>4년이하(당일)</stp>
        <stp>45523</stp>
        <stp/>
        <tr r="BA75" s="2"/>
        <tr r="BA75" s="2"/>
      </tp>
      <tp>
        <v>3.831</v>
        <stp/>
        <stp>P</stp>
        <stp>0</stp>
        <stp>IR</stp>
        <stp>BONDKIS8010123</stp>
        <stp>4년이하(당일)</stp>
        <stp>45523</stp>
        <stp/>
        <tr r="BA76" s="2"/>
        <tr r="BA76" s="2"/>
      </tp>
      <tp>
        <v>3.6859999999999999</v>
        <stp/>
        <stp>P</stp>
        <stp>0</stp>
        <stp>IR</stp>
        <stp>BONDKIS8010121</stp>
        <stp>4년이하(당일)</stp>
        <stp>45523</stp>
        <stp/>
        <tr r="BA74" s="2"/>
        <tr r="BA74" s="2"/>
      </tp>
      <tp t="s">
        <v xml:space="preserve"> </v>
        <stp/>
        <stp>P</stp>
        <stp>0</stp>
        <stp>IR</stp>
        <stp>BONDKSD8010120</stp>
        <stp>4년이하(당일)</stp>
        <stp>45523</stp>
        <stp/>
        <tr r="CW75" s="2"/>
        <tr r="CW75" s="2"/>
      </tp>
      <tp>
        <v>4.8079999999999998</v>
        <stp/>
        <stp>P</stp>
        <stp>0</stp>
        <stp>IR</stp>
        <stp>BONDKIS8010132</stp>
        <stp>4년이하(당일)</stp>
        <stp>45523</stp>
        <stp/>
        <tr r="BA78" s="2"/>
        <tr r="BA78" s="2"/>
      </tp>
      <tp>
        <v>5.3330000000000002</v>
        <stp/>
        <stp>P</stp>
        <stp>0</stp>
        <stp>IR</stp>
        <stp>BONDKIS8010133</stp>
        <stp>4년이하(당일)</stp>
        <stp>45523</stp>
        <stp/>
        <tr r="BA79" s="2"/>
        <tr r="BA79" s="2"/>
      </tp>
      <tp>
        <v>4.4550000000000001</v>
        <stp/>
        <stp>P</stp>
        <stp>0</stp>
        <stp>IR</stp>
        <stp>BONDKIS8010131</stp>
        <stp>4년이하(당일)</stp>
        <stp>45523</stp>
        <stp/>
        <tr r="BA77" s="2"/>
        <tr r="BA77" s="2"/>
      </tp>
      <tp t="s">
        <v xml:space="preserve"> </v>
        <stp/>
        <stp>P</stp>
        <stp>0</stp>
        <stp>IR</stp>
        <stp>BONDKSD8010131</stp>
        <stp>4년이하(당일)</stp>
        <stp>45523</stp>
        <stp/>
        <tr r="CW77" s="2"/>
        <tr r="CW77" s="2"/>
      </tp>
      <tp t="s">
        <v xml:space="preserve"> </v>
        <stp/>
        <stp>P</stp>
        <stp>0</stp>
        <stp>IR</stp>
        <stp>BONDKSD8010132</stp>
        <stp>4년이하(당일)</stp>
        <stp>45523</stp>
        <stp/>
        <tr r="CW78" s="2"/>
        <tr r="CW78" s="2"/>
      </tp>
      <tp t="s">
        <v xml:space="preserve"> </v>
        <stp/>
        <stp>P</stp>
        <stp>0</stp>
        <stp>IR</stp>
        <stp>BONDKSD8010133</stp>
        <stp>4년이하(당일)</stp>
        <stp>45523</stp>
        <stp/>
        <tr r="CW79" s="2"/>
        <tr r="CW79" s="2"/>
      </tp>
      <tp>
        <v>3.456</v>
        <stp/>
        <stp>P</stp>
        <stp>0</stp>
        <stp>IR</stp>
        <stp>BONDFNP8010110</stp>
        <stp>5년이하(당일)</stp>
        <stp>45523</stp>
        <stp/>
        <tr r="CH73" s="2"/>
        <tr r="CH73" s="2"/>
      </tp>
      <tp>
        <v>8.3480000000000008</v>
        <stp/>
        <stp>P</stp>
        <stp>0</stp>
        <stp>IR</stp>
        <stp>BONDNIC9999116</stp>
        <stp>4년이하(당일)</stp>
        <stp>45523</stp>
        <stp/>
        <tr r="BQ50" s="2"/>
        <tr r="BQ50" s="2"/>
      </tp>
      <tp>
        <v>9.7509999999999994</v>
        <stp/>
        <stp>P</stp>
        <stp>0</stp>
        <stp>IR</stp>
        <stp>BONDNIC9999117</stp>
        <stp>4년이하(당일)</stp>
        <stp>45523</stp>
        <stp/>
        <tr r="BQ51" s="2"/>
        <tr r="BQ51" s="2"/>
      </tp>
      <tp>
        <v>6.1070000000000002</v>
        <stp/>
        <stp>P</stp>
        <stp>0</stp>
        <stp>IR</stp>
        <stp>BONDNIC9999114</stp>
        <stp>4년이하(당일)</stp>
        <stp>45523</stp>
        <stp/>
        <tr r="BQ48" s="2"/>
        <tr r="BQ48" s="2"/>
      </tp>
      <tp>
        <v>7.4279999999999999</v>
        <stp/>
        <stp>P</stp>
        <stp>0</stp>
        <stp>IR</stp>
        <stp>BONDNIC9999115</stp>
        <stp>4년이하(당일)</stp>
        <stp>45523</stp>
        <stp/>
        <tr r="BQ49" s="2"/>
        <tr r="BQ49" s="2"/>
      </tp>
      <tp>
        <v>4.7249999999999996</v>
        <stp/>
        <stp>P</stp>
        <stp>0</stp>
        <stp>IR</stp>
        <stp>BONDNIC9999112</stp>
        <stp>4년이하(당일)</stp>
        <stp>45523</stp>
        <stp/>
        <tr r="BQ46" s="2"/>
        <tr r="BQ46" s="2"/>
      </tp>
      <tp>
        <v>5.3929999999999998</v>
        <stp/>
        <stp>P</stp>
        <stp>0</stp>
        <stp>IR</stp>
        <stp>BONDNIC9999113</stp>
        <stp>4년이하(당일)</stp>
        <stp>45523</stp>
        <stp/>
        <tr r="BQ47" s="2"/>
        <tr r="BQ47" s="2"/>
      </tp>
      <tp>
        <v>3.4590000000000001</v>
        <stp/>
        <stp>P</stp>
        <stp>0</stp>
        <stp>IR</stp>
        <stp>BONDNIC9999110</stp>
        <stp>4년이하(당일)</stp>
        <stp>45523</stp>
        <stp/>
        <tr r="BQ44" s="2"/>
        <tr r="BQ44" s="2"/>
      </tp>
      <tp>
        <v>3.5579999999999998</v>
        <stp/>
        <stp>P</stp>
        <stp>0</stp>
        <stp>IR</stp>
        <stp>BONDNIC9999111</stp>
        <stp>4년이하(당일)</stp>
        <stp>45523</stp>
        <stp/>
        <tr r="BQ45" s="2"/>
        <tr r="BQ45" s="2"/>
      </tp>
      <tp>
        <v>3.339</v>
        <stp/>
        <stp>P</stp>
        <stp>0</stp>
        <stp>IR</stp>
        <stp>BONDNIC9999118</stp>
        <stp>4년이하(당일)</stp>
        <stp>45523</stp>
        <stp/>
        <tr r="BQ43" s="2"/>
        <tr r="BQ43" s="2"/>
      </tp>
      <tp>
        <v>4.6929999999999996</v>
        <stp/>
        <stp>P</stp>
        <stp>0</stp>
        <stp>IR</stp>
        <stp>BONDFNP8010131</stp>
        <stp>5년이하(당일)</stp>
        <stp>45523</stp>
        <stp/>
        <tr r="CH77" s="2"/>
        <tr r="CH77" s="2"/>
      </tp>
      <tp>
        <v>5.7839999999999998</v>
        <stp/>
        <stp>P</stp>
        <stp>0</stp>
        <stp>IR</stp>
        <stp>BONDFNP8010133</stp>
        <stp>5년이하(당일)</stp>
        <stp>45523</stp>
        <stp/>
        <tr r="CH79" s="2"/>
        <tr r="CH79" s="2"/>
      </tp>
      <tp>
        <v>5.1639999999999997</v>
        <stp/>
        <stp>P</stp>
        <stp>0</stp>
        <stp>IR</stp>
        <stp>BONDFNP8010132</stp>
        <stp>5년이하(당일)</stp>
        <stp>45523</stp>
        <stp/>
        <tr r="CH78" s="2"/>
        <tr r="CH78" s="2"/>
      </tp>
      <tp>
        <v>3.5539999999999998</v>
        <stp/>
        <stp>P</stp>
        <stp>0</stp>
        <stp>IR</stp>
        <stp>BONDFNP8010121</stp>
        <stp>5년이하(당일)</stp>
        <stp>45523</stp>
        <stp/>
        <tr r="CH74" s="2"/>
        <tr r="CH74" s="2"/>
      </tp>
      <tp>
        <v>3.786</v>
        <stp/>
        <stp>P</stp>
        <stp>0</stp>
        <stp>IR</stp>
        <stp>BONDFNP8010123</stp>
        <stp>5년이하(당일)</stp>
        <stp>45523</stp>
        <stp/>
        <tr r="CH76" s="2"/>
        <tr r="CH76" s="2"/>
      </tp>
      <tp>
        <v>3.645</v>
        <stp/>
        <stp>P</stp>
        <stp>0</stp>
        <stp>IR</stp>
        <stp>BONDFNP8010122</stp>
        <stp>5년이하(당일)</stp>
        <stp>45523</stp>
        <stp/>
        <tr r="CH75" s="2"/>
        <tr r="CH75" s="2"/>
      </tp>
      <tp>
        <v>7.4039999999999999</v>
        <stp/>
        <stp>P</stp>
        <stp>0</stp>
        <stp>IR</stp>
        <stp>BONDKIS9999116</stp>
        <stp>4년이하(당일)</stp>
        <stp>45523</stp>
        <stp/>
        <tr r="BA40" s="2"/>
        <tr r="BA40" s="2"/>
      </tp>
      <tp>
        <v>8.3339999999999996</v>
        <stp/>
        <stp>P</stp>
        <stp>0</stp>
        <stp>IR</stp>
        <stp>BONDKIS9999117</stp>
        <stp>4년이하(당일)</stp>
        <stp>45523</stp>
        <stp/>
        <tr r="BA41" s="2"/>
        <tr r="BA41" s="2"/>
      </tp>
      <tp>
        <v>5.3869999999999996</v>
        <stp/>
        <stp>P</stp>
        <stp>0</stp>
        <stp>IR</stp>
        <stp>BONDKIS9999114</stp>
        <stp>4년이하(당일)</stp>
        <stp>45523</stp>
        <stp/>
        <tr r="BA38" s="2"/>
        <tr r="BA38" s="2"/>
      </tp>
      <tp>
        <v>6.085</v>
        <stp/>
        <stp>P</stp>
        <stp>0</stp>
        <stp>IR</stp>
        <stp>BONDKIS9999115</stp>
        <stp>4년이하(당일)</stp>
        <stp>45523</stp>
        <stp/>
        <tr r="BA39" s="2"/>
        <tr r="BA39" s="2"/>
      </tp>
      <tp>
        <v>3.5569999999999999</v>
        <stp/>
        <stp>P</stp>
        <stp>0</stp>
        <stp>IR</stp>
        <stp>BONDKIS9999112</stp>
        <stp>4년이하(당일)</stp>
        <stp>45523</stp>
        <stp/>
        <tr r="BA36" s="2"/>
        <tr r="BA36" s="2"/>
      </tp>
      <tp>
        <v>4.7210000000000001</v>
        <stp/>
        <stp>P</stp>
        <stp>0</stp>
        <stp>IR</stp>
        <stp>BONDKIS9999113</stp>
        <stp>4년이하(당일)</stp>
        <stp>45523</stp>
        <stp/>
        <tr r="BA37" s="2"/>
        <tr r="BA37" s="2"/>
      </tp>
      <tp>
        <v>3.431</v>
        <stp/>
        <stp>P</stp>
        <stp>0</stp>
        <stp>IR</stp>
        <stp>BONDKIS9999111</stp>
        <stp>4년이하(당일)</stp>
        <stp>45523</stp>
        <stp/>
        <tr r="BA35" s="2"/>
        <tr r="BA35" s="2"/>
      </tp>
      <tp>
        <v>9.7479999999999993</v>
        <stp/>
        <stp>P</stp>
        <stp>0</stp>
        <stp>IR</stp>
        <stp>BONDKIS9999118</stp>
        <stp>4년이하(당일)</stp>
        <stp>45523</stp>
        <stp/>
        <tr r="BA42" s="2"/>
        <tr r="BA42" s="2"/>
      </tp>
      <tp>
        <v>3.2989999999999999</v>
        <stp/>
        <stp>P</stp>
        <stp>0</stp>
        <stp>IR</stp>
        <stp>BONDKIS9999119</stp>
        <stp>4년이하(당일)</stp>
        <stp>45523</stp>
        <stp/>
        <tr r="BA34" s="2"/>
        <tr r="BA34" s="2"/>
      </tp>
      <tp>
        <v>3.8519999999999999</v>
        <stp/>
        <stp>P</stp>
        <stp>0</stp>
        <stp>IR</stp>
        <stp>BONDNIC8040113</stp>
        <stp>5년이하(당일)</stp>
        <stp>45523</stp>
        <stp/>
        <tr r="BR76" s="2"/>
        <tr r="BR76" s="2"/>
      </tp>
      <tp>
        <v>5.1680000000000001</v>
        <stp/>
        <stp>P</stp>
        <stp>0</stp>
        <stp>IR</stp>
        <stp>BONDNIC8050112</stp>
        <stp>5년이하(당일)</stp>
        <stp>45523</stp>
        <stp/>
        <tr r="BR78" s="2"/>
        <tr r="BR78" s="2"/>
      </tp>
      <tp>
        <v>7.9560000000000004</v>
        <stp/>
        <stp>P</stp>
        <stp>0</stp>
        <stp>IR</stp>
        <stp>BONDNIC8060111</stp>
        <stp>5년이하(당일)</stp>
        <stp>45523</stp>
        <stp/>
        <tr r="BR80" s="2"/>
        <tr r="BR80" s="2"/>
      </tp>
      <tp>
        <v>3.6989999999999998</v>
        <stp/>
        <stp>P</stp>
        <stp>0</stp>
        <stp>IR</stp>
        <stp>BONDNIC8040112</stp>
        <stp>5년이하(당일)</stp>
        <stp>45523</stp>
        <stp/>
        <tr r="BR75" s="2"/>
        <tr r="BR75" s="2"/>
      </tp>
      <tp>
        <v>5.8680000000000003</v>
        <stp/>
        <stp>P</stp>
        <stp>0</stp>
        <stp>IR</stp>
        <stp>BONDNIC8050113</stp>
        <stp>5년이하(당일)</stp>
        <stp>45523</stp>
        <stp/>
        <tr r="BR79" s="2"/>
        <tr r="BR79" s="2"/>
      </tp>
      <tp>
        <v>3.5979999999999999</v>
        <stp/>
        <stp>P</stp>
        <stp>0</stp>
        <stp>IR</stp>
        <stp>BONDNIC8040111</stp>
        <stp>5년이하(당일)</stp>
        <stp>45523</stp>
        <stp/>
        <tr r="BR74" s="2"/>
        <tr r="BR74" s="2"/>
      </tp>
      <tp>
        <v>10.756</v>
        <stp/>
        <stp>P</stp>
        <stp>0</stp>
        <stp>IR</stp>
        <stp>BONDNIC8060113</stp>
        <stp>5년이하(당일)</stp>
        <stp>45523</stp>
        <stp/>
        <tr r="BR82" s="2"/>
        <tr r="BR82" s="2"/>
      </tp>
      <tp>
        <v>4.7229999999999999</v>
        <stp/>
        <stp>P</stp>
        <stp>0</stp>
        <stp>IR</stp>
        <stp>BONDNIC8050111</stp>
        <stp>5년이하(당일)</stp>
        <stp>45523</stp>
        <stp/>
        <tr r="BR77" s="2"/>
        <tr r="BR77" s="2"/>
      </tp>
      <tp>
        <v>9.0960000000000001</v>
        <stp/>
        <stp>P</stp>
        <stp>0</stp>
        <stp>IR</stp>
        <stp>BONDNIC8060112</stp>
        <stp>5년이하(당일)</stp>
        <stp>45523</stp>
        <stp/>
        <tr r="BR81" s="2"/>
        <tr r="BR81" s="2"/>
      </tp>
      <tp>
        <v>3.5110000000000001</v>
        <stp/>
        <stp>P</stp>
        <stp>0</stp>
        <stp>IR</stp>
        <stp>BONDNIC8030110</stp>
        <stp>5년이하(당일)</stp>
        <stp>45523</stp>
        <stp/>
        <tr r="BR73" s="2"/>
        <tr r="BR73" s="2"/>
      </tp>
      <tp>
        <v>3.5459999999999998</v>
        <stp/>
        <stp>P</stp>
        <stp>0</stp>
        <stp>IR</stp>
        <stp>BONDFNP9999111</stp>
        <stp>4년이하(당일)</stp>
        <stp>45523</stp>
        <stp/>
        <tr r="CG45" s="2"/>
        <tr r="CG45" s="2"/>
      </tp>
      <tp>
        <v>3.4279999999999999</v>
        <stp/>
        <stp>P</stp>
        <stp>0</stp>
        <stp>IR</stp>
        <stp>BONDFNP9999110</stp>
        <stp>4년이하(당일)</stp>
        <stp>45523</stp>
        <stp/>
        <tr r="CG44" s="2"/>
        <tr r="CG44" s="2"/>
      </tp>
      <tp>
        <v>5.3810000000000002</v>
        <stp/>
        <stp>P</stp>
        <stp>0</stp>
        <stp>IR</stp>
        <stp>BONDFNP9999113</stp>
        <stp>4년이하(당일)</stp>
        <stp>45523</stp>
        <stp/>
        <tr r="CG47" s="2"/>
        <tr r="CG47" s="2"/>
      </tp>
      <tp>
        <v>4.6989999999999998</v>
        <stp/>
        <stp>P</stp>
        <stp>0</stp>
        <stp>IR</stp>
        <stp>BONDFNP9999112</stp>
        <stp>4년이하(당일)</stp>
        <stp>45523</stp>
        <stp/>
        <tr r="CG46" s="2"/>
        <tr r="CG46" s="2"/>
      </tp>
      <tp>
        <v>7.3789999999999996</v>
        <stp/>
        <stp>P</stp>
        <stp>0</stp>
        <stp>IR</stp>
        <stp>BONDFNP9999115</stp>
        <stp>4년이하(당일)</stp>
        <stp>45523</stp>
        <stp/>
        <tr r="CG49" s="2"/>
        <tr r="CG49" s="2"/>
      </tp>
      <tp>
        <v>6.0650000000000004</v>
        <stp/>
        <stp>P</stp>
        <stp>0</stp>
        <stp>IR</stp>
        <stp>BONDFNP9999114</stp>
        <stp>4년이하(당일)</stp>
        <stp>45523</stp>
        <stp/>
        <tr r="CG48" s="2"/>
        <tr r="CG48" s="2"/>
      </tp>
      <tp>
        <v>9.7110000000000003</v>
        <stp/>
        <stp>P</stp>
        <stp>0</stp>
        <stp>IR</stp>
        <stp>BONDFNP9999117</stp>
        <stp>4년이하(당일)</stp>
        <stp>45523</stp>
        <stp/>
        <tr r="CG51" s="2"/>
        <tr r="CG51" s="2"/>
      </tp>
      <tp>
        <v>8.3409999999999993</v>
        <stp/>
        <stp>P</stp>
        <stp>0</stp>
        <stp>IR</stp>
        <stp>BONDFNP9999116</stp>
        <stp>4년이하(당일)</stp>
        <stp>45523</stp>
        <stp/>
        <tr r="CG50" s="2"/>
        <tr r="CG50" s="2"/>
      </tp>
      <tp>
        <v>3.3090000000000002</v>
        <stp/>
        <stp>P</stp>
        <stp>0</stp>
        <stp>IR</stp>
        <stp>BONDFNP9999118</stp>
        <stp>4년이하(당일)</stp>
        <stp>45523</stp>
        <stp/>
        <tr r="CG43" s="2"/>
        <tr r="CG43" s="2"/>
      </tp>
      <tp>
        <v>3.6160000000000001</v>
        <stp/>
        <stp>P</stp>
        <stp>0</stp>
        <stp>IR</stp>
        <stp>BONDKIS8010110</stp>
        <stp>5년이하(당일)</stp>
        <stp>45523</stp>
        <stp/>
        <tr r="BB73" s="2"/>
        <tr r="BB73" s="2"/>
      </tp>
      <tp t="s">
        <v xml:space="preserve"> </v>
        <stp/>
        <stp>P</stp>
        <stp>0</stp>
        <stp>IR</stp>
        <stp>BONDKSD8010110</stp>
        <stp>5년이하(당일)</stp>
        <stp>45523</stp>
        <stp/>
        <tr r="CX73" s="2"/>
        <tr r="CX73" s="2"/>
      </tp>
      <tp>
        <v>3.79</v>
        <stp/>
        <stp>P</stp>
        <stp>0</stp>
        <stp>IR</stp>
        <stp>BONDKIS8010122</stp>
        <stp>5년이하(당일)</stp>
        <stp>45523</stp>
        <stp/>
        <tr r="BB75" s="2"/>
        <tr r="BB75" s="2"/>
      </tp>
      <tp>
        <v>3.919</v>
        <stp/>
        <stp>P</stp>
        <stp>0</stp>
        <stp>IR</stp>
        <stp>BONDKIS8010123</stp>
        <stp>5년이하(당일)</stp>
        <stp>45523</stp>
        <stp/>
        <tr r="BB76" s="2"/>
        <tr r="BB76" s="2"/>
      </tp>
      <tp>
        <v>3.7120000000000002</v>
        <stp/>
        <stp>P</stp>
        <stp>0</stp>
        <stp>IR</stp>
        <stp>BONDKIS8010121</stp>
        <stp>5년이하(당일)</stp>
        <stp>45523</stp>
        <stp/>
        <tr r="BB74" s="2"/>
        <tr r="BB74" s="2"/>
      </tp>
      <tp t="s">
        <v xml:space="preserve"> </v>
        <stp/>
        <stp>P</stp>
        <stp>0</stp>
        <stp>IR</stp>
        <stp>BONDKSD8010120</stp>
        <stp>5년이하(당일)</stp>
        <stp>45523</stp>
        <stp/>
        <tr r="CX75" s="2"/>
        <tr r="CX75" s="2"/>
      </tp>
      <tp>
        <v>5.1609999999999996</v>
        <stp/>
        <stp>P</stp>
        <stp>0</stp>
        <stp>IR</stp>
        <stp>BONDKIS8010132</stp>
        <stp>5년이하(당일)</stp>
        <stp>45523</stp>
        <stp/>
        <tr r="BB78" s="2"/>
        <tr r="BB78" s="2"/>
      </tp>
      <tp>
        <v>5.7709999999999999</v>
        <stp/>
        <stp>P</stp>
        <stp>0</stp>
        <stp>IR</stp>
        <stp>BONDKIS8010133</stp>
        <stp>5년이하(당일)</stp>
        <stp>45523</stp>
        <stp/>
        <tr r="BB79" s="2"/>
        <tr r="BB79" s="2"/>
      </tp>
      <tp>
        <v>4.7060000000000004</v>
        <stp/>
        <stp>P</stp>
        <stp>0</stp>
        <stp>IR</stp>
        <stp>BONDKIS8010131</stp>
        <stp>5년이하(당일)</stp>
        <stp>45523</stp>
        <stp/>
        <tr r="BB77" s="2"/>
        <tr r="BB77" s="2"/>
      </tp>
      <tp t="s">
        <v xml:space="preserve"> </v>
        <stp/>
        <stp>P</stp>
        <stp>0</stp>
        <stp>IR</stp>
        <stp>BONDKSD8010131</stp>
        <stp>5년이하(당일)</stp>
        <stp>45523</stp>
        <stp/>
        <tr r="CX77" s="2"/>
        <tr r="CX77" s="2"/>
      </tp>
      <tp t="s">
        <v xml:space="preserve"> </v>
        <stp/>
        <stp>P</stp>
        <stp>0</stp>
        <stp>IR</stp>
        <stp>BONDKSD8010132</stp>
        <stp>5년이하(당일)</stp>
        <stp>45523</stp>
        <stp/>
        <tr r="CX78" s="2"/>
        <tr r="CX78" s="2"/>
      </tp>
      <tp t="s">
        <v xml:space="preserve"> </v>
        <stp/>
        <stp>P</stp>
        <stp>0</stp>
        <stp>IR</stp>
        <stp>BONDKSD8010133</stp>
        <stp>5년이하(당일)</stp>
        <stp>45523</stp>
        <stp/>
        <tr r="CX79" s="2"/>
        <tr r="CX79" s="2"/>
      </tp>
      <tp>
        <v>3.2</v>
        <stp/>
        <stp>P</stp>
        <stp>0</stp>
        <stp>BND</stp>
        <stp>KR103503GCC6</stp>
        <stp>FNP 수익률(산출일)</stp>
        <stp/>
        <stp/>
        <tr r="K8" s="3"/>
      </tp>
      <tp>
        <v>3.21</v>
        <stp/>
        <stp>P</stp>
        <stp>0</stp>
        <stp>BND</stp>
        <stp>KR103503GCC6</stp>
        <stp>KBP 수익률(산출일)</stp>
        <stp/>
        <stp/>
        <tr r="H8" s="3"/>
      </tp>
      <tp>
        <v>3.2</v>
        <stp/>
        <stp>P</stp>
        <stp>0</stp>
        <stp>BND</stp>
        <stp>KR103503GCC6</stp>
        <stp>KIS 수익률(산출일)</stp>
        <stp/>
        <stp/>
        <tr r="I8" s="3"/>
      </tp>
      <tp>
        <v>3.2</v>
        <stp/>
        <stp>P</stp>
        <stp>0</stp>
        <stp>BND</stp>
        <stp>KR103503GCC6</stp>
        <stp>NIC 수익률(산출일)</stp>
        <stp/>
        <stp/>
        <tr r="J8" s="3"/>
      </tp>
      <tp>
        <v>8.609</v>
        <stp/>
        <stp>P</stp>
        <stp>0</stp>
        <stp>IR</stp>
        <stp>BONDNIC9999116</stp>
        <stp>7년이하(당일)</stp>
        <stp>45523</stp>
        <stp/>
        <tr r="BS50" s="2"/>
        <tr r="BS50" s="2"/>
      </tp>
      <tp>
        <v>10.052</v>
        <stp/>
        <stp>P</stp>
        <stp>0</stp>
        <stp>IR</stp>
        <stp>BONDNIC9999117</stp>
        <stp>7년이하(당일)</stp>
        <stp>45523</stp>
        <stp/>
        <tr r="BS51" s="2"/>
        <tr r="BS51" s="2"/>
      </tp>
      <tp>
        <v>6.2110000000000003</v>
        <stp/>
        <stp>P</stp>
        <stp>0</stp>
        <stp>IR</stp>
        <stp>BONDNIC9999114</stp>
        <stp>7년이하(당일)</stp>
        <stp>45523</stp>
        <stp/>
        <tr r="BS48" s="2"/>
        <tr r="BS48" s="2"/>
      </tp>
      <tp>
        <v>7.516</v>
        <stp/>
        <stp>P</stp>
        <stp>0</stp>
        <stp>IR</stp>
        <stp>BONDNIC9999115</stp>
        <stp>7년이하(당일)</stp>
        <stp>45523</stp>
        <stp/>
        <tr r="BS49" s="2"/>
        <tr r="BS49" s="2"/>
      </tp>
      <tp>
        <v>5.01</v>
        <stp/>
        <stp>P</stp>
        <stp>0</stp>
        <stp>IR</stp>
        <stp>BONDNIC9999112</stp>
        <stp>7년이하(당일)</stp>
        <stp>45523</stp>
        <stp/>
        <tr r="BS46" s="2"/>
        <tr r="BS46" s="2"/>
      </tp>
      <tp>
        <v>5.5590000000000002</v>
        <stp/>
        <stp>P</stp>
        <stp>0</stp>
        <stp>IR</stp>
        <stp>BONDNIC9999113</stp>
        <stp>7년이하(당일)</stp>
        <stp>45523</stp>
        <stp/>
        <tr r="BS47" s="2"/>
        <tr r="BS47" s="2"/>
      </tp>
      <tp>
        <v>3.9260000000000002</v>
        <stp/>
        <stp>P</stp>
        <stp>0</stp>
        <stp>IR</stp>
        <stp>BONDNIC9999110</stp>
        <stp>7년이하(당일)</stp>
        <stp>45523</stp>
        <stp/>
        <tr r="BS44" s="2"/>
        <tr r="BS44" s="2"/>
      </tp>
      <tp>
        <v>4.1349999999999998</v>
        <stp/>
        <stp>P</stp>
        <stp>0</stp>
        <stp>IR</stp>
        <stp>BONDNIC9999111</stp>
        <stp>7년이하(당일)</stp>
        <stp>45523</stp>
        <stp/>
        <tr r="BS45" s="2"/>
        <tr r="BS45" s="2"/>
      </tp>
      <tp>
        <v>7.8879999999999999</v>
        <stp/>
        <stp>P</stp>
        <stp>0</stp>
        <stp>IR</stp>
        <stp>BONDFNP8110211</stp>
        <stp>5년이하(당일)</stp>
        <stp>45523</stp>
        <stp/>
        <tr r="CH80" s="2"/>
        <tr r="CH80" s="2"/>
      </tp>
      <tp>
        <v>10.712</v>
        <stp/>
        <stp>P</stp>
        <stp>0</stp>
        <stp>IR</stp>
        <stp>BONDFNP8110213</stp>
        <stp>5년이하(당일)</stp>
        <stp>45523</stp>
        <stp/>
        <tr r="CH82" s="2"/>
        <tr r="CH82" s="2"/>
      </tp>
      <tp>
        <v>8.9740000000000002</v>
        <stp/>
        <stp>P</stp>
        <stp>0</stp>
        <stp>IR</stp>
        <stp>BONDFNP8110212</stp>
        <stp>5년이하(당일)</stp>
        <stp>45523</stp>
        <stp/>
        <tr r="CH81" s="2"/>
        <tr r="CH81" s="2"/>
      </tp>
      <tp>
        <v>3.7250000000000001</v>
        <stp/>
        <stp>P</stp>
        <stp>0</stp>
        <stp>IR</stp>
        <stp>BONDNIC9999118</stp>
        <stp>7년이하(당일)</stp>
        <stp>45523</stp>
        <stp/>
        <tr r="BS43" s="2"/>
        <tr r="BS43" s="2"/>
      </tp>
      <tp>
        <v>7.5039999999999996</v>
        <stp/>
        <stp>P</stp>
        <stp>0</stp>
        <stp>IR</stp>
        <stp>BONDKIS9999116</stp>
        <stp>7년이하(당일)</stp>
        <stp>45523</stp>
        <stp/>
        <tr r="BC40" s="2"/>
        <tr r="BC40" s="2"/>
      </tp>
      <tp>
        <v>8.548</v>
        <stp/>
        <stp>P</stp>
        <stp>0</stp>
        <stp>IR</stp>
        <stp>BONDKIS9999117</stp>
        <stp>7년이하(당일)</stp>
        <stp>45523</stp>
        <stp/>
        <tr r="BC41" s="2"/>
        <tr r="BC41" s="2"/>
      </tp>
      <tp>
        <v>5.5279999999999996</v>
        <stp/>
        <stp>P</stp>
        <stp>0</stp>
        <stp>IR</stp>
        <stp>BONDKIS9999114</stp>
        <stp>7년이하(당일)</stp>
        <stp>45523</stp>
        <stp/>
        <tr r="BC38" s="2"/>
        <tr r="BC38" s="2"/>
      </tp>
      <tp>
        <v>6.1959999999999997</v>
        <stp/>
        <stp>P</stp>
        <stp>0</stp>
        <stp>IR</stp>
        <stp>BONDKIS9999115</stp>
        <stp>7년이하(당일)</stp>
        <stp>45523</stp>
        <stp/>
        <tr r="BC39" s="2"/>
        <tr r="BC39" s="2"/>
      </tp>
      <tp>
        <v>4.1379999999999999</v>
        <stp/>
        <stp>P</stp>
        <stp>0</stp>
        <stp>IR</stp>
        <stp>BONDKIS9999112</stp>
        <stp>7년이하(당일)</stp>
        <stp>45523</stp>
        <stp/>
        <tr r="BC36" s="2"/>
        <tr r="BC36" s="2"/>
      </tp>
      <tp>
        <v>5.016</v>
        <stp/>
        <stp>P</stp>
        <stp>0</stp>
        <stp>IR</stp>
        <stp>BONDKIS9999113</stp>
        <stp>7년이하(당일)</stp>
        <stp>45523</stp>
        <stp/>
        <tr r="BC37" s="2"/>
        <tr r="BC37" s="2"/>
      </tp>
      <tp>
        <v>3.9489999999999998</v>
        <stp/>
        <stp>P</stp>
        <stp>0</stp>
        <stp>IR</stp>
        <stp>BONDKIS9999111</stp>
        <stp>7년이하(당일)</stp>
        <stp>45523</stp>
        <stp/>
        <tr r="BC35" s="2"/>
        <tr r="BC35" s="2"/>
      </tp>
      <tp>
        <v>10.031000000000001</v>
        <stp/>
        <stp>P</stp>
        <stp>0</stp>
        <stp>IR</stp>
        <stp>BONDKIS9999118</stp>
        <stp>7년이하(당일)</stp>
        <stp>45523</stp>
        <stp/>
        <tr r="BC42" s="2"/>
        <tr r="BC42" s="2"/>
      </tp>
      <tp>
        <v>3.734</v>
        <stp/>
        <stp>P</stp>
        <stp>0</stp>
        <stp>IR</stp>
        <stp>BONDKIS9999119</stp>
        <stp>7년이하(당일)</stp>
        <stp>45523</stp>
        <stp/>
        <tr r="BC34" s="2"/>
        <tr r="BC34" s="2"/>
      </tp>
      <tp>
        <v>4.1269999999999998</v>
        <stp/>
        <stp>P</stp>
        <stp>0</stp>
        <stp>IR</stp>
        <stp>BONDFNP9999111</stp>
        <stp>7년이하(당일)</stp>
        <stp>45523</stp>
        <stp/>
        <tr r="CI45" s="2"/>
        <tr r="CI45" s="2"/>
      </tp>
      <tp>
        <v>3.927</v>
        <stp/>
        <stp>P</stp>
        <stp>0</stp>
        <stp>IR</stp>
        <stp>BONDFNP9999110</stp>
        <stp>7년이하(당일)</stp>
        <stp>45523</stp>
        <stp/>
        <tr r="CI44" s="2"/>
        <tr r="CI44" s="2"/>
      </tp>
      <tp>
        <v>5.55</v>
        <stp/>
        <stp>P</stp>
        <stp>0</stp>
        <stp>IR</stp>
        <stp>BONDFNP9999113</stp>
        <stp>7년이하(당일)</stp>
        <stp>45523</stp>
        <stp/>
        <tr r="CI47" s="2"/>
        <tr r="CI47" s="2"/>
      </tp>
      <tp>
        <v>5.0350000000000001</v>
        <stp/>
        <stp>P</stp>
        <stp>0</stp>
        <stp>IR</stp>
        <stp>BONDFNP9999112</stp>
        <stp>7년이하(당일)</stp>
        <stp>45523</stp>
        <stp/>
        <tr r="CI46" s="2"/>
        <tr r="CI46" s="2"/>
      </tp>
      <tp>
        <v>7.4969999999999999</v>
        <stp/>
        <stp>P</stp>
        <stp>0</stp>
        <stp>IR</stp>
        <stp>BONDFNP9999115</stp>
        <stp>7년이하(당일)</stp>
        <stp>45523</stp>
        <stp/>
        <tr r="CI49" s="2"/>
        <tr r="CI49" s="2"/>
      </tp>
      <tp>
        <v>6.2110000000000003</v>
        <stp/>
        <stp>P</stp>
        <stp>0</stp>
        <stp>IR</stp>
        <stp>BONDFNP9999114</stp>
        <stp>7년이하(당일)</stp>
        <stp>45523</stp>
        <stp/>
        <tr r="CI48" s="2"/>
        <tr r="CI48" s="2"/>
      </tp>
      <tp>
        <v>10.037000000000001</v>
        <stp/>
        <stp>P</stp>
        <stp>0</stp>
        <stp>IR</stp>
        <stp>BONDFNP9999117</stp>
        <stp>7년이하(당일)</stp>
        <stp>45523</stp>
        <stp/>
        <tr r="CI51" s="2"/>
        <tr r="CI51" s="2"/>
      </tp>
      <tp>
        <v>8.6270000000000007</v>
        <stp/>
        <stp>P</stp>
        <stp>0</stp>
        <stp>IR</stp>
        <stp>BONDFNP9999116</stp>
        <stp>7년이하(당일)</stp>
        <stp>45523</stp>
        <stp/>
        <tr r="CI50" s="2"/>
        <tr r="CI50" s="2"/>
      </tp>
      <tp>
        <v>3.7440000000000002</v>
        <stp/>
        <stp>P</stp>
        <stp>0</stp>
        <stp>IR</stp>
        <stp>BONDFNP9999118</stp>
        <stp>7년이하(당일)</stp>
        <stp>45523</stp>
        <stp/>
        <tr r="CI43" s="2"/>
        <tr r="CI43" s="2"/>
      </tp>
      <tp>
        <v>8.8480000000000008</v>
        <stp/>
        <stp>P</stp>
        <stp>0</stp>
        <stp>IR</stp>
        <stp>BONDKIS8010212</stp>
        <stp>5년이하(당일)</stp>
        <stp>45523</stp>
        <stp/>
        <tr r="BB81" s="2"/>
        <tr r="BB81" s="2"/>
      </tp>
      <tp>
        <v>10.803000000000001</v>
        <stp/>
        <stp>P</stp>
        <stp>0</stp>
        <stp>IR</stp>
        <stp>BONDKIS8010213</stp>
        <stp>5년이하(당일)</stp>
        <stp>45523</stp>
        <stp/>
        <tr r="BB82" s="2"/>
        <tr r="BB82" s="2"/>
      </tp>
      <tp>
        <v>7.774</v>
        <stp/>
        <stp>P</stp>
        <stp>0</stp>
        <stp>IR</stp>
        <stp>BONDKIS8010211</stp>
        <stp>5년이하(당일)</stp>
        <stp>45523</stp>
        <stp/>
        <tr r="BB80" s="2"/>
        <tr r="BB80" s="2"/>
      </tp>
      <tp>
        <v>3.5430000000000001</v>
        <stp/>
        <stp>P</stp>
        <stp>0</stp>
        <stp>IR</stp>
        <stp>BONDFNP8010110</stp>
        <stp>7년이하(당일)</stp>
        <stp>45523</stp>
        <stp/>
        <tr r="CI73" s="2"/>
        <tr r="CI73" s="2"/>
      </tp>
      <tp>
        <v>7.7380000000000004</v>
        <stp/>
        <stp>P</stp>
        <stp>0</stp>
        <stp>IR</stp>
        <stp>BONDFNP8110211</stp>
        <stp>4년이하(당일)</stp>
        <stp>45523</stp>
        <stp/>
        <tr r="CG80" s="2"/>
        <tr r="CG80" s="2"/>
      </tp>
      <tp>
        <v>10.526</v>
        <stp/>
        <stp>P</stp>
        <stp>0</stp>
        <stp>IR</stp>
        <stp>BONDFNP8110213</stp>
        <stp>4년이하(당일)</stp>
        <stp>45523</stp>
        <stp/>
        <tr r="CG82" s="2"/>
        <tr r="CG82" s="2"/>
      </tp>
      <tp>
        <v>8.8680000000000003</v>
        <stp/>
        <stp>P</stp>
        <stp>0</stp>
        <stp>IR</stp>
        <stp>BONDFNP8110212</stp>
        <stp>4년이하(당일)</stp>
        <stp>45523</stp>
        <stp/>
        <tr r="CG81" s="2"/>
        <tr r="CG81" s="2"/>
      </tp>
      <tp>
        <v>4.899</v>
        <stp/>
        <stp>P</stp>
        <stp>0</stp>
        <stp>IR</stp>
        <stp>BONDFNP8010131</stp>
        <stp>7년이하(당일)</stp>
        <stp>45523</stp>
        <stp/>
        <tr r="CI77" s="2"/>
        <tr r="CI77" s="2"/>
      </tp>
      <tp>
        <v>5.9950000000000001</v>
        <stp/>
        <stp>P</stp>
        <stp>0</stp>
        <stp>IR</stp>
        <stp>BONDFNP8010133</stp>
        <stp>7년이하(당일)</stp>
        <stp>45523</stp>
        <stp/>
        <tr r="CI79" s="2"/>
        <tr r="CI79" s="2"/>
      </tp>
      <tp>
        <v>5.407</v>
        <stp/>
        <stp>P</stp>
        <stp>0</stp>
        <stp>IR</stp>
        <stp>BONDFNP8010132</stp>
        <stp>7년이하(당일)</stp>
        <stp>45523</stp>
        <stp/>
        <tr r="CI78" s="2"/>
        <tr r="CI78" s="2"/>
      </tp>
      <tp>
        <v>3.6880000000000002</v>
        <stp/>
        <stp>P</stp>
        <stp>0</stp>
        <stp>IR</stp>
        <stp>BONDFNP8010121</stp>
        <stp>7년이하(당일)</stp>
        <stp>45523</stp>
        <stp/>
        <tr r="CI74" s="2"/>
        <tr r="CI74" s="2"/>
      </tp>
      <tp>
        <v>4.07</v>
        <stp/>
        <stp>P</stp>
        <stp>0</stp>
        <stp>IR</stp>
        <stp>BONDFNP8010123</stp>
        <stp>7년이하(당일)</stp>
        <stp>45523</stp>
        <stp/>
        <tr r="CI76" s="2"/>
        <tr r="CI76" s="2"/>
      </tp>
      <tp>
        <v>3.7959999999999998</v>
        <stp/>
        <stp>P</stp>
        <stp>0</stp>
        <stp>IR</stp>
        <stp>BONDFNP8010122</stp>
        <stp>7년이하(당일)</stp>
        <stp>45523</stp>
        <stp/>
        <tr r="CI75" s="2"/>
        <tr r="CI75" s="2"/>
      </tp>
      <tp>
        <v>4.1050000000000004</v>
        <stp/>
        <stp>P</stp>
        <stp>0</stp>
        <stp>IR</stp>
        <stp>BONDNIC8040113</stp>
        <stp>7년이하(당일)</stp>
        <stp>45523</stp>
        <stp/>
        <tr r="BS76" s="2"/>
        <tr r="BS76" s="2"/>
      </tp>
      <tp>
        <v>5.4390000000000001</v>
        <stp/>
        <stp>P</stp>
        <stp>0</stp>
        <stp>IR</stp>
        <stp>BONDNIC8050112</stp>
        <stp>7년이하(당일)</stp>
        <stp>45523</stp>
        <stp/>
        <tr r="BS78" s="2"/>
        <tr r="BS78" s="2"/>
      </tp>
      <tp>
        <v>8.0259999999999998</v>
        <stp/>
        <stp>P</stp>
        <stp>0</stp>
        <stp>IR</stp>
        <stp>BONDNIC8060111</stp>
        <stp>7년이하(당일)</stp>
        <stp>45523</stp>
        <stp/>
        <tr r="BS80" s="2"/>
        <tr r="BS80" s="2"/>
      </tp>
      <tp>
        <v>3.8759999999999999</v>
        <stp/>
        <stp>P</stp>
        <stp>0</stp>
        <stp>IR</stp>
        <stp>BONDNIC8040112</stp>
        <stp>7년이하(당일)</stp>
        <stp>45523</stp>
        <stp/>
        <tr r="BS75" s="2"/>
        <tr r="BS75" s="2"/>
      </tp>
      <tp>
        <v>6.024</v>
        <stp/>
        <stp>P</stp>
        <stp>0</stp>
        <stp>IR</stp>
        <stp>BONDNIC8050113</stp>
        <stp>7년이하(당일)</stp>
        <stp>45523</stp>
        <stp/>
        <tr r="BS79" s="2"/>
        <tr r="BS79" s="2"/>
      </tp>
      <tp>
        <v>3.7480000000000002</v>
        <stp/>
        <stp>P</stp>
        <stp>0</stp>
        <stp>IR</stp>
        <stp>BONDNIC8040111</stp>
        <stp>7년이하(당일)</stp>
        <stp>45523</stp>
        <stp/>
        <tr r="BS74" s="2"/>
        <tr r="BS74" s="2"/>
      </tp>
      <tp>
        <v>10.824</v>
        <stp/>
        <stp>P</stp>
        <stp>0</stp>
        <stp>IR</stp>
        <stp>BONDNIC8060113</stp>
        <stp>7년이하(당일)</stp>
        <stp>45523</stp>
        <stp/>
        <tr r="BS82" s="2"/>
        <tr r="BS82" s="2"/>
      </tp>
      <tp>
        <v>4.9909999999999997</v>
        <stp/>
        <stp>P</stp>
        <stp>0</stp>
        <stp>IR</stp>
        <stp>BONDNIC8050111</stp>
        <stp>7년이하(당일)</stp>
        <stp>45523</stp>
        <stp/>
        <tr r="BS77" s="2"/>
        <tr r="BS77" s="2"/>
      </tp>
      <tp>
        <v>9.1660000000000004</v>
        <stp/>
        <stp>P</stp>
        <stp>0</stp>
        <stp>IR</stp>
        <stp>BONDNIC8060112</stp>
        <stp>7년이하(당일)</stp>
        <stp>45523</stp>
        <stp/>
        <tr r="BS81" s="2"/>
        <tr r="BS81" s="2"/>
      </tp>
      <tp>
        <v>3.6120000000000001</v>
        <stp/>
        <stp>P</stp>
        <stp>0</stp>
        <stp>IR</stp>
        <stp>BONDNIC8030110</stp>
        <stp>7년이하(당일)</stp>
        <stp>45523</stp>
        <stp/>
        <tr r="BS73" s="2"/>
        <tr r="BS73" s="2"/>
      </tp>
      <tp>
        <v>8.7240000000000002</v>
        <stp/>
        <stp>P</stp>
        <stp>0</stp>
        <stp>IR</stp>
        <stp>BONDKIS8010212</stp>
        <stp>4년이하(당일)</stp>
        <stp>45523</stp>
        <stp/>
        <tr r="BA81" s="2"/>
        <tr r="BA81" s="2"/>
      </tp>
      <tp>
        <v>10.688000000000001</v>
        <stp/>
        <stp>P</stp>
        <stp>0</stp>
        <stp>IR</stp>
        <stp>BONDKIS8010213</stp>
        <stp>4년이하(당일)</stp>
        <stp>45523</stp>
        <stp/>
        <tr r="BA82" s="2"/>
        <tr r="BA82" s="2"/>
      </tp>
      <tp>
        <v>3.714</v>
        <stp/>
        <stp>P</stp>
        <stp>0</stp>
        <stp>IR</stp>
        <stp>BONDKIS8010110</stp>
        <stp>7년이하(당일)</stp>
        <stp>45523</stp>
        <stp/>
        <tr r="BC73" s="2"/>
        <tr r="BC73" s="2"/>
      </tp>
      <tp>
        <v>7.6589999999999998</v>
        <stp/>
        <stp>P</stp>
        <stp>0</stp>
        <stp>IR</stp>
        <stp>BONDKIS8010211</stp>
        <stp>4년이하(당일)</stp>
        <stp>45523</stp>
        <stp/>
        <tr r="BA80" s="2"/>
        <tr r="BA80" s="2"/>
      </tp>
      <tp t="s">
        <v xml:space="preserve"> </v>
        <stp/>
        <stp>P</stp>
        <stp>0</stp>
        <stp>IR</stp>
        <stp>BONDKSD8010110</stp>
        <stp>7년이하(당일)</stp>
        <stp>45523</stp>
        <stp/>
        <tr r="CY73" s="2"/>
        <tr r="CY73" s="2"/>
      </tp>
      <tp>
        <v>3.9830000000000001</v>
        <stp/>
        <stp>P</stp>
        <stp>0</stp>
        <stp>IR</stp>
        <stp>BONDKIS8010122</stp>
        <stp>7년이하(당일)</stp>
        <stp>45523</stp>
        <stp/>
        <tr r="BC75" s="2"/>
        <tr r="BC75" s="2"/>
      </tp>
      <tp>
        <v>4.2240000000000002</v>
        <stp/>
        <stp>P</stp>
        <stp>0</stp>
        <stp>IR</stp>
        <stp>BONDKIS8010123</stp>
        <stp>7년이하(당일)</stp>
        <stp>45523</stp>
        <stp/>
        <tr r="BC76" s="2"/>
        <tr r="BC76" s="2"/>
      </tp>
      <tp>
        <v>3.8780000000000001</v>
        <stp/>
        <stp>P</stp>
        <stp>0</stp>
        <stp>IR</stp>
        <stp>BONDKIS8010121</stp>
        <stp>7년이하(당일)</stp>
        <stp>45523</stp>
        <stp/>
        <tr r="BC74" s="2"/>
        <tr r="BC74" s="2"/>
      </tp>
      <tp t="s">
        <v xml:space="preserve"> </v>
        <stp/>
        <stp>P</stp>
        <stp>0</stp>
        <stp>IR</stp>
        <stp>BONDKSD8010120</stp>
        <stp>7년이하(당일)</stp>
        <stp>45523</stp>
        <stp/>
        <tr r="CY75" s="2"/>
        <tr r="CY75" s="2"/>
      </tp>
      <tp>
        <v>5.4189999999999996</v>
        <stp/>
        <stp>P</stp>
        <stp>0</stp>
        <stp>IR</stp>
        <stp>BONDKIS8010132</stp>
        <stp>7년이하(당일)</stp>
        <stp>45523</stp>
        <stp/>
        <tr r="BC78" s="2"/>
        <tr r="BC78" s="2"/>
      </tp>
      <tp>
        <v>5.97</v>
        <stp/>
        <stp>P</stp>
        <stp>0</stp>
        <stp>IR</stp>
        <stp>BONDKIS8010133</stp>
        <stp>7년이하(당일)</stp>
        <stp>45523</stp>
        <stp/>
        <tr r="BC79" s="2"/>
        <tr r="BC79" s="2"/>
      </tp>
      <tp>
        <v>4.9640000000000004</v>
        <stp/>
        <stp>P</stp>
        <stp>0</stp>
        <stp>IR</stp>
        <stp>BONDKIS8010131</stp>
        <stp>7년이하(당일)</stp>
        <stp>45523</stp>
        <stp/>
        <tr r="BC77" s="2"/>
        <tr r="BC77" s="2"/>
      </tp>
      <tp t="s">
        <v xml:space="preserve"> </v>
        <stp/>
        <stp>P</stp>
        <stp>0</stp>
        <stp>IR</stp>
        <stp>BONDKSD8010131</stp>
        <stp>7년이하(당일)</stp>
        <stp>45523</stp>
        <stp/>
        <tr r="CY77" s="2"/>
        <tr r="CY77" s="2"/>
      </tp>
      <tp t="s">
        <v xml:space="preserve"> </v>
        <stp/>
        <stp>P</stp>
        <stp>0</stp>
        <stp>IR</stp>
        <stp>BONDKSD8010132</stp>
        <stp>7년이하(당일)</stp>
        <stp>45523</stp>
        <stp/>
        <tr r="CY78" s="2"/>
        <tr r="CY78" s="2"/>
      </tp>
      <tp t="s">
        <v xml:space="preserve"> </v>
        <stp/>
        <stp>P</stp>
        <stp>0</stp>
        <stp>IR</stp>
        <stp>BONDKSD8010133</stp>
        <stp>7년이하(당일)</stp>
        <stp>45523</stp>
        <stp/>
        <tr r="CY79" s="2"/>
        <tr r="CY79" s="2"/>
      </tp>
      <tp>
        <v>7.6680000000000001</v>
        <stp/>
        <stp>P</stp>
        <stp>0</stp>
        <stp>IR</stp>
        <stp>BONDNIC9999116</stp>
        <stp>1년이하(당일)</stp>
        <stp>45523</stp>
        <stp/>
        <tr r="BL50" s="2"/>
        <tr r="BL50" s="2"/>
      </tp>
      <tp>
        <v>8.9939999999999998</v>
        <stp/>
        <stp>P</stp>
        <stp>0</stp>
        <stp>IR</stp>
        <stp>BONDNIC9999117</stp>
        <stp>1년이하(당일)</stp>
        <stp>45523</stp>
        <stp/>
        <tr r="BL51" s="2"/>
        <tr r="BL51" s="2"/>
      </tp>
      <tp>
        <v>5.72</v>
        <stp/>
        <stp>P</stp>
        <stp>0</stp>
        <stp>IR</stp>
        <stp>BONDNIC9999114</stp>
        <stp>1년이하(당일)</stp>
        <stp>45523</stp>
        <stp/>
        <tr r="BL48" s="2"/>
        <tr r="BL48" s="2"/>
      </tp>
      <tp>
        <v>6.8550000000000004</v>
        <stp/>
        <stp>P</stp>
        <stp>0</stp>
        <stp>IR</stp>
        <stp>BONDNIC9999115</stp>
        <stp>1년이하(당일)</stp>
        <stp>45523</stp>
        <stp/>
        <tr r="BL49" s="2"/>
        <tr r="BL49" s="2"/>
      </tp>
      <tp>
        <v>4.4109999999999996</v>
        <stp/>
        <stp>P</stp>
        <stp>0</stp>
        <stp>IR</stp>
        <stp>BONDNIC9999112</stp>
        <stp>1년이하(당일)</stp>
        <stp>45523</stp>
        <stp/>
        <tr r="BL46" s="2"/>
        <tr r="BL46" s="2"/>
      </tp>
      <tp>
        <v>5.17</v>
        <stp/>
        <stp>P</stp>
        <stp>0</stp>
        <stp>IR</stp>
        <stp>BONDNIC9999113</stp>
        <stp>1년이하(당일)</stp>
        <stp>45523</stp>
        <stp/>
        <tr r="BL47" s="2"/>
        <tr r="BL47" s="2"/>
      </tp>
      <tp>
        <v>3.4460000000000002</v>
        <stp/>
        <stp>P</stp>
        <stp>0</stp>
        <stp>IR</stp>
        <stp>BONDNIC9999110</stp>
        <stp>1년이하(당일)</stp>
        <stp>45523</stp>
        <stp/>
        <tr r="BL44" s="2"/>
        <tr r="BL44" s="2"/>
      </tp>
      <tp>
        <v>3.528</v>
        <stp/>
        <stp>P</stp>
        <stp>0</stp>
        <stp>IR</stp>
        <stp>BONDNIC9999111</stp>
        <stp>1년이하(당일)</stp>
        <stp>45523</stp>
        <stp/>
        <tr r="BL45" s="2"/>
        <tr r="BL45" s="2"/>
      </tp>
      <tp>
        <v>7.4950000000000001</v>
        <stp/>
        <stp>P</stp>
        <stp>0</stp>
        <stp>IR</stp>
        <stp>BONDFNP8110211</stp>
        <stp>3년이하(당일)</stp>
        <stp>45523</stp>
        <stp/>
        <tr r="CF80" s="2"/>
        <tr r="CF80" s="2"/>
      </tp>
      <tp>
        <v>10.275</v>
        <stp/>
        <stp>P</stp>
        <stp>0</stp>
        <stp>IR</stp>
        <stp>BONDFNP8110213</stp>
        <stp>3년이하(당일)</stp>
        <stp>45523</stp>
        <stp/>
        <tr r="CF82" s="2"/>
        <tr r="CF82" s="2"/>
      </tp>
      <tp>
        <v>8.5980000000000008</v>
        <stp/>
        <stp>P</stp>
        <stp>0</stp>
        <stp>IR</stp>
        <stp>BONDFNP8110212</stp>
        <stp>3년이하(당일)</stp>
        <stp>45523</stp>
        <stp/>
        <tr r="CF81" s="2"/>
        <tr r="CF81" s="2"/>
      </tp>
      <tp>
        <v>3.411</v>
        <stp/>
        <stp>P</stp>
        <stp>0</stp>
        <stp>IR</stp>
        <stp>BONDNIC9999118</stp>
        <stp>1년이하(당일)</stp>
        <stp>45523</stp>
        <stp/>
        <tr r="BL43" s="2"/>
        <tr r="BL43" s="2"/>
      </tp>
      <tp>
        <v>6.9169999999999998</v>
        <stp/>
        <stp>P</stp>
        <stp>0</stp>
        <stp>IR</stp>
        <stp>BONDKIS9999116</stp>
        <stp>1년이하(당일)</stp>
        <stp>45523</stp>
        <stp/>
        <tr r="AV40" s="2"/>
        <tr r="AV40" s="2"/>
      </tp>
      <tp>
        <v>7.7</v>
        <stp/>
        <stp>P</stp>
        <stp>0</stp>
        <stp>IR</stp>
        <stp>BONDKIS9999117</stp>
        <stp>1년이하(당일)</stp>
        <stp>45523</stp>
        <stp/>
        <tr r="AV41" s="2"/>
        <tr r="AV41" s="2"/>
      </tp>
      <tp>
        <v>5.13</v>
        <stp/>
        <stp>P</stp>
        <stp>0</stp>
        <stp>IR</stp>
        <stp>BONDKIS9999114</stp>
        <stp>1년이하(당일)</stp>
        <stp>45523</stp>
        <stp/>
        <tr r="AV38" s="2"/>
        <tr r="AV38" s="2"/>
      </tp>
      <tp>
        <v>5.6849999999999996</v>
        <stp/>
        <stp>P</stp>
        <stp>0</stp>
        <stp>IR</stp>
        <stp>BONDKIS9999115</stp>
        <stp>1년이하(당일)</stp>
        <stp>45523</stp>
        <stp/>
        <tr r="AV39" s="2"/>
        <tr r="AV39" s="2"/>
      </tp>
      <tp>
        <v>3.4830000000000001</v>
        <stp/>
        <stp>P</stp>
        <stp>0</stp>
        <stp>IR</stp>
        <stp>BONDKIS9999112</stp>
        <stp>1년이하(당일)</stp>
        <stp>45523</stp>
        <stp/>
        <tr r="AV36" s="2"/>
        <tr r="AV36" s="2"/>
      </tp>
      <tp>
        <v>4.38</v>
        <stp/>
        <stp>P</stp>
        <stp>0</stp>
        <stp>IR</stp>
        <stp>BONDKIS9999113</stp>
        <stp>1년이하(당일)</stp>
        <stp>45523</stp>
        <stp/>
        <tr r="AV37" s="2"/>
        <tr r="AV37" s="2"/>
      </tp>
      <tp>
        <v>3.4180000000000001</v>
        <stp/>
        <stp>P</stp>
        <stp>0</stp>
        <stp>IR</stp>
        <stp>BONDKIS9999111</stp>
        <stp>1년이하(당일)</stp>
        <stp>45523</stp>
        <stp/>
        <tr r="AV35" s="2"/>
        <tr r="AV35" s="2"/>
      </tp>
      <tp>
        <v>9.0449999999999999</v>
        <stp/>
        <stp>P</stp>
        <stp>0</stp>
        <stp>IR</stp>
        <stp>BONDKIS9999118</stp>
        <stp>1년이하(당일)</stp>
        <stp>45523</stp>
        <stp/>
        <tr r="AV42" s="2"/>
        <tr r="AV42" s="2"/>
      </tp>
      <tp>
        <v>3.3809999999999998</v>
        <stp/>
        <stp>P</stp>
        <stp>0</stp>
        <stp>IR</stp>
        <stp>BONDKIS9999119</stp>
        <stp>1년이하(당일)</stp>
        <stp>45523</stp>
        <stp/>
        <tr r="AV34" s="2"/>
        <tr r="AV34" s="2"/>
      </tp>
      <tp>
        <v>3.4809999999999999</v>
        <stp/>
        <stp>P</stp>
        <stp>0</stp>
        <stp>IR</stp>
        <stp>BONDFNP9999111</stp>
        <stp>1년이하(당일)</stp>
        <stp>45523</stp>
        <stp/>
        <tr r="CB45" s="2"/>
        <tr r="CB45" s="2"/>
      </tp>
      <tp>
        <v>3.419</v>
        <stp/>
        <stp>P</stp>
        <stp>0</stp>
        <stp>IR</stp>
        <stp>BONDFNP9999110</stp>
        <stp>1년이하(당일)</stp>
        <stp>45523</stp>
        <stp/>
        <tr r="CB44" s="2"/>
        <tr r="CB44" s="2"/>
      </tp>
      <tp>
        <v>5.1130000000000004</v>
        <stp/>
        <stp>P</stp>
        <stp>0</stp>
        <stp>IR</stp>
        <stp>BONDFNP9999113</stp>
        <stp>1년이하(당일)</stp>
        <stp>45523</stp>
        <stp/>
        <tr r="CB47" s="2"/>
        <tr r="CB47" s="2"/>
      </tp>
      <tp>
        <v>4.3810000000000002</v>
        <stp/>
        <stp>P</stp>
        <stp>0</stp>
        <stp>IR</stp>
        <stp>BONDFNP9999112</stp>
        <stp>1년이하(당일)</stp>
        <stp>45523</stp>
        <stp/>
        <tr r="CB46" s="2"/>
        <tr r="CB46" s="2"/>
      </tp>
      <tp>
        <v>6.8979999999999997</v>
        <stp/>
        <stp>P</stp>
        <stp>0</stp>
        <stp>IR</stp>
        <stp>BONDFNP9999115</stp>
        <stp>1년이하(당일)</stp>
        <stp>45523</stp>
        <stp/>
        <tr r="CB49" s="2"/>
        <tr r="CB49" s="2"/>
      </tp>
      <tp>
        <v>5.6820000000000004</v>
        <stp/>
        <stp>P</stp>
        <stp>0</stp>
        <stp>IR</stp>
        <stp>BONDFNP9999114</stp>
        <stp>1년이하(당일)</stp>
        <stp>45523</stp>
        <stp/>
        <tr r="CB48" s="2"/>
        <tr r="CB48" s="2"/>
      </tp>
      <tp>
        <v>8.9939999999999998</v>
        <stp/>
        <stp>P</stp>
        <stp>0</stp>
        <stp>IR</stp>
        <stp>BONDFNP9999117</stp>
        <stp>1년이하(당일)</stp>
        <stp>45523</stp>
        <stp/>
        <tr r="CB51" s="2"/>
        <tr r="CB51" s="2"/>
      </tp>
      <tp>
        <v>7.6859999999999999</v>
        <stp/>
        <stp>P</stp>
        <stp>0</stp>
        <stp>IR</stp>
        <stp>BONDFNP9999116</stp>
        <stp>1년이하(당일)</stp>
        <stp>45523</stp>
        <stp/>
        <tr r="CB50" s="2"/>
        <tr r="CB50" s="2"/>
      </tp>
      <tp>
        <v>3.3929999999999998</v>
        <stp/>
        <stp>P</stp>
        <stp>0</stp>
        <stp>IR</stp>
        <stp>BONDFNP9999118</stp>
        <stp>1년이하(당일)</stp>
        <stp>45523</stp>
        <stp/>
        <tr r="CB43" s="2"/>
        <tr r="CB43" s="2"/>
      </tp>
      <tp>
        <v>8.4830000000000005</v>
        <stp/>
        <stp>P</stp>
        <stp>0</stp>
        <stp>IR</stp>
        <stp>BONDKIS8010212</stp>
        <stp>3년이하(당일)</stp>
        <stp>45523</stp>
        <stp/>
        <tr r="AZ81" s="2"/>
        <tr r="AZ81" s="2"/>
      </tp>
      <tp>
        <v>10.39</v>
        <stp/>
        <stp>P</stp>
        <stp>0</stp>
        <stp>IR</stp>
        <stp>BONDKIS8010213</stp>
        <stp>3년이하(당일)</stp>
        <stp>45523</stp>
        <stp/>
        <tr r="AZ82" s="2"/>
        <tr r="AZ82" s="2"/>
      </tp>
      <tp>
        <v>7.4169999999999998</v>
        <stp/>
        <stp>P</stp>
        <stp>0</stp>
        <stp>IR</stp>
        <stp>BONDKIS8010211</stp>
        <stp>3년이하(당일)</stp>
        <stp>45523</stp>
        <stp/>
        <tr r="AZ80" s="2"/>
        <tr r="AZ80" s="2"/>
      </tp>
      <tp>
        <v>3.4249999999999998</v>
        <stp/>
        <stp>P</stp>
        <stp>0</stp>
        <stp>IR</stp>
        <stp>BONDFNP8010110</stp>
        <stp>1년이하(당일)</stp>
        <stp>45523</stp>
        <stp/>
        <tr r="CB73" s="2"/>
        <tr r="CB73" s="2"/>
      </tp>
      <tp>
        <v>6.8140000000000001</v>
        <stp/>
        <stp>P</stp>
        <stp>0</stp>
        <stp>IR</stp>
        <stp>BONDFNP8110211</stp>
        <stp>2년이하(당일)</stp>
        <stp>45523</stp>
        <stp/>
        <tr r="CD80" s="2"/>
        <tr r="CD80" s="2"/>
      </tp>
      <tp>
        <v>9.2840000000000007</v>
        <stp/>
        <stp>P</stp>
        <stp>0</stp>
        <stp>IR</stp>
        <stp>BONDFNP8110213</stp>
        <stp>2년이하(당일)</stp>
        <stp>45523</stp>
        <stp/>
        <tr r="CD82" s="2"/>
        <tr r="CD82" s="2"/>
      </tp>
      <tp>
        <v>7.81</v>
        <stp/>
        <stp>P</stp>
        <stp>0</stp>
        <stp>IR</stp>
        <stp>BONDFNP8110212</stp>
        <stp>2년이하(당일)</stp>
        <stp>45523</stp>
        <stp/>
        <tr r="CD81" s="2"/>
        <tr r="CD81" s="2"/>
      </tp>
      <tp>
        <v>3.8719999999999999</v>
        <stp/>
        <stp>P</stp>
        <stp>0</stp>
        <stp>IR</stp>
        <stp>BONDFNP8010131</stp>
        <stp>1년이하(당일)</stp>
        <stp>45523</stp>
        <stp/>
        <tr r="CB77" s="2"/>
        <tr r="CB77" s="2"/>
      </tp>
      <tp>
        <v>4.3630000000000004</v>
        <stp/>
        <stp>P</stp>
        <stp>0</stp>
        <stp>IR</stp>
        <stp>BONDFNP8010133</stp>
        <stp>1년이하(당일)</stp>
        <stp>45523</stp>
        <stp/>
        <tr r="CB79" s="2"/>
        <tr r="CB79" s="2"/>
      </tp>
      <tp>
        <v>4.0620000000000003</v>
        <stp/>
        <stp>P</stp>
        <stp>0</stp>
        <stp>IR</stp>
        <stp>BONDFNP8010132</stp>
        <stp>1년이하(당일)</stp>
        <stp>45523</stp>
        <stp/>
        <tr r="CB78" s="2"/>
        <tr r="CB78" s="2"/>
      </tp>
      <tp>
        <v>3.4740000000000002</v>
        <stp/>
        <stp>P</stp>
        <stp>0</stp>
        <stp>IR</stp>
        <stp>BONDFNP8010121</stp>
        <stp>1년이하(당일)</stp>
        <stp>45523</stp>
        <stp/>
        <tr r="CB74" s="2"/>
        <tr r="CB74" s="2"/>
      </tp>
      <tp>
        <v>3.5739999999999998</v>
        <stp/>
        <stp>P</stp>
        <stp>0</stp>
        <stp>IR</stp>
        <stp>BONDFNP8010123</stp>
        <stp>1년이하(당일)</stp>
        <stp>45523</stp>
        <stp/>
        <tr r="CB76" s="2"/>
        <tr r="CB76" s="2"/>
      </tp>
      <tp>
        <v>3.5139999999999998</v>
        <stp/>
        <stp>P</stp>
        <stp>0</stp>
        <stp>IR</stp>
        <stp>BONDFNP8010122</stp>
        <stp>1년이하(당일)</stp>
        <stp>45523</stp>
        <stp/>
        <tr r="CB75" s="2"/>
        <tr r="CB75" s="2"/>
      </tp>
      <tp>
        <v>3.581</v>
        <stp/>
        <stp>P</stp>
        <stp>0</stp>
        <stp>IR</stp>
        <stp>BONDNIC8040113</stp>
        <stp>1년이하(당일)</stp>
        <stp>45523</stp>
        <stp/>
        <tr r="BL76" s="2"/>
        <tr r="BL76" s="2"/>
      </tp>
      <tp>
        <v>4.08</v>
        <stp/>
        <stp>P</stp>
        <stp>0</stp>
        <stp>IR</stp>
        <stp>BONDNIC8050112</stp>
        <stp>1년이하(당일)</stp>
        <stp>45523</stp>
        <stp/>
        <tr r="BL78" s="2"/>
        <tr r="BL78" s="2"/>
      </tp>
      <tp>
        <v>5.8840000000000003</v>
        <stp/>
        <stp>P</stp>
        <stp>0</stp>
        <stp>IR</stp>
        <stp>BONDNIC8060111</stp>
        <stp>1년이하(당일)</stp>
        <stp>45523</stp>
        <stp/>
        <tr r="BL80" s="2"/>
        <tr r="BL80" s="2"/>
      </tp>
      <tp>
        <v>3.5339999999999998</v>
        <stp/>
        <stp>P</stp>
        <stp>0</stp>
        <stp>IR</stp>
        <stp>BONDNIC8040112</stp>
        <stp>1년이하(당일)</stp>
        <stp>45523</stp>
        <stp/>
        <tr r="BL75" s="2"/>
        <tr r="BL75" s="2"/>
      </tp>
      <tp>
        <v>4.3869999999999996</v>
        <stp/>
        <stp>P</stp>
        <stp>0</stp>
        <stp>IR</stp>
        <stp>BONDNIC8050113</stp>
        <stp>1년이하(당일)</stp>
        <stp>45523</stp>
        <stp/>
        <tr r="BL79" s="2"/>
        <tr r="BL79" s="2"/>
      </tp>
      <tp>
        <v>3.4780000000000002</v>
        <stp/>
        <stp>P</stp>
        <stp>0</stp>
        <stp>IR</stp>
        <stp>BONDNIC8040111</stp>
        <stp>1년이하(당일)</stp>
        <stp>45523</stp>
        <stp/>
        <tr r="BL74" s="2"/>
        <tr r="BL74" s="2"/>
      </tp>
      <tp>
        <v>7.8689999999999998</v>
        <stp/>
        <stp>P</stp>
        <stp>0</stp>
        <stp>IR</stp>
        <stp>BONDNIC8060113</stp>
        <stp>1년이하(당일)</stp>
        <stp>45523</stp>
        <stp/>
        <tr r="BL82" s="2"/>
        <tr r="BL82" s="2"/>
      </tp>
      <tp>
        <v>3.863</v>
        <stp/>
        <stp>P</stp>
        <stp>0</stp>
        <stp>IR</stp>
        <stp>BONDNIC8050111</stp>
        <stp>1년이하(당일)</stp>
        <stp>45523</stp>
        <stp/>
        <tr r="BL77" s="2"/>
        <tr r="BL77" s="2"/>
      </tp>
      <tp>
        <v>6.6340000000000003</v>
        <stp/>
        <stp>P</stp>
        <stp>0</stp>
        <stp>IR</stp>
        <stp>BONDNIC8060112</stp>
        <stp>1년이하(당일)</stp>
        <stp>45523</stp>
        <stp/>
        <tr r="BL81" s="2"/>
        <tr r="BL81" s="2"/>
      </tp>
      <tp>
        <v>3.4590000000000001</v>
        <stp/>
        <stp>P</stp>
        <stp>0</stp>
        <stp>IR</stp>
        <stp>BONDNIC8030110</stp>
        <stp>1년이하(당일)</stp>
        <stp>45523</stp>
        <stp/>
        <tr r="BL73" s="2"/>
        <tr r="BL73" s="2"/>
      </tp>
      <tp>
        <v>7.69</v>
        <stp/>
        <stp>P</stp>
        <stp>0</stp>
        <stp>IR</stp>
        <stp>BONDKIS8010212</stp>
        <stp>2년이하(당일)</stp>
        <stp>45523</stp>
        <stp/>
        <tr r="AX81" s="2"/>
        <tr r="AX81" s="2"/>
      </tp>
      <tp>
        <v>9.3949999999999996</v>
        <stp/>
        <stp>P</stp>
        <stp>0</stp>
        <stp>IR</stp>
        <stp>BONDKIS8010213</stp>
        <stp>2년이하(당일)</stp>
        <stp>45523</stp>
        <stp/>
        <tr r="AX82" s="2"/>
        <tr r="AX82" s="2"/>
      </tp>
      <tp>
        <v>3.431</v>
        <stp/>
        <stp>P</stp>
        <stp>0</stp>
        <stp>IR</stp>
        <stp>BONDKIS8010110</stp>
        <stp>1년이하(당일)</stp>
        <stp>45523</stp>
        <stp/>
        <tr r="AV73" s="2"/>
        <tr r="AV73" s="2"/>
      </tp>
      <tp>
        <v>6.73</v>
        <stp/>
        <stp>P</stp>
        <stp>0</stp>
        <stp>IR</stp>
        <stp>BONDKIS8010211</stp>
        <stp>2년이하(당일)</stp>
        <stp>45523</stp>
        <stp/>
        <tr r="AX80" s="2"/>
        <tr r="AX80" s="2"/>
      </tp>
      <tp t="s">
        <v xml:space="preserve"> </v>
        <stp/>
        <stp>P</stp>
        <stp>0</stp>
        <stp>IR</stp>
        <stp>BONDKSD8010110</stp>
        <stp>1년이하(당일)</stp>
        <stp>45523</stp>
        <stp/>
        <tr r="CR73" s="2"/>
        <tr r="CR73" s="2"/>
      </tp>
      <tp>
        <v>3.4990000000000001</v>
        <stp/>
        <stp>P</stp>
        <stp>0</stp>
        <stp>IR</stp>
        <stp>BONDKIS8010122</stp>
        <stp>1년이하(당일)</stp>
        <stp>45523</stp>
        <stp/>
        <tr r="AV75" s="2"/>
        <tr r="AV75" s="2"/>
      </tp>
      <tp>
        <v>3.5489999999999999</v>
        <stp/>
        <stp>P</stp>
        <stp>0</stp>
        <stp>IR</stp>
        <stp>BONDKIS8010123</stp>
        <stp>1년이하(당일)</stp>
        <stp>45523</stp>
        <stp/>
        <tr r="AV76" s="2"/>
        <tr r="AV76" s="2"/>
      </tp>
      <tp>
        <v>3.48</v>
        <stp/>
        <stp>P</stp>
        <stp>0</stp>
        <stp>IR</stp>
        <stp>BONDKIS8010121</stp>
        <stp>1년이하(당일)</stp>
        <stp>45523</stp>
        <stp/>
        <tr r="AV74" s="2"/>
        <tr r="AV74" s="2"/>
      </tp>
      <tp t="s">
        <v xml:space="preserve"> </v>
        <stp/>
        <stp>P</stp>
        <stp>0</stp>
        <stp>IR</stp>
        <stp>BONDKSD8010120</stp>
        <stp>1년이하(당일)</stp>
        <stp>45523</stp>
        <stp/>
        <tr r="CR75" s="2"/>
        <tr r="CR75" s="2"/>
      </tp>
      <tp>
        <v>4.0250000000000004</v>
        <stp/>
        <stp>P</stp>
        <stp>0</stp>
        <stp>IR</stp>
        <stp>BONDKIS8010132</stp>
        <stp>1년이하(당일)</stp>
        <stp>45523</stp>
        <stp/>
        <tr r="AV78" s="2"/>
        <tr r="AV78" s="2"/>
      </tp>
      <tp>
        <v>4.3029999999999999</v>
        <stp/>
        <stp>P</stp>
        <stp>0</stp>
        <stp>IR</stp>
        <stp>BONDKIS8010133</stp>
        <stp>1년이하(당일)</stp>
        <stp>45523</stp>
        <stp/>
        <tr r="AV79" s="2"/>
        <tr r="AV79" s="2"/>
      </tp>
      <tp>
        <v>3.8460000000000001</v>
        <stp/>
        <stp>P</stp>
        <stp>0</stp>
        <stp>IR</stp>
        <stp>BONDKIS8010131</stp>
        <stp>1년이하(당일)</stp>
        <stp>45523</stp>
        <stp/>
        <tr r="AV77" s="2"/>
        <tr r="AV77" s="2"/>
      </tp>
      <tp t="s">
        <v xml:space="preserve"> </v>
        <stp/>
        <stp>P</stp>
        <stp>0</stp>
        <stp>IR</stp>
        <stp>BONDKSD8010131</stp>
        <stp>1년이하(당일)</stp>
        <stp>45523</stp>
        <stp/>
        <tr r="CR77" s="2"/>
        <tr r="CR77" s="2"/>
      </tp>
      <tp t="s">
        <v xml:space="preserve"> </v>
        <stp/>
        <stp>P</stp>
        <stp>0</stp>
        <stp>IR</stp>
        <stp>BONDKSD8010132</stp>
        <stp>1년이하(당일)</stp>
        <stp>45523</stp>
        <stp/>
        <tr r="CR78" s="2"/>
        <tr r="CR78" s="2"/>
      </tp>
      <tp t="s">
        <v xml:space="preserve"> </v>
        <stp/>
        <stp>P</stp>
        <stp>0</stp>
        <stp>IR</stp>
        <stp>BONDKSD8010133</stp>
        <stp>1년이하(당일)</stp>
        <stp>45523</stp>
        <stp/>
        <tr r="CR79" s="2"/>
        <tr r="CR79" s="2"/>
      </tp>
      <tp>
        <v>3.4390000000000001</v>
        <stp/>
        <stp>P</stp>
        <stp>0</stp>
        <stp>IR</stp>
        <stp>BONDFNP8010110</stp>
        <stp>2년이하(당일)</stp>
        <stp>45523</stp>
        <stp/>
        <tr r="CD73" s="2"/>
        <tr r="CD73" s="2"/>
      </tp>
      <tp>
        <v>8.282</v>
        <stp/>
        <stp>P</stp>
        <stp>0</stp>
        <stp>IR</stp>
        <stp>BONDNIC9999116</stp>
        <stp>3년이하(당일)</stp>
        <stp>45523</stp>
        <stp/>
        <tr r="BP50" s="2"/>
        <tr r="BP50" s="2"/>
      </tp>
      <tp>
        <v>9.6869999999999994</v>
        <stp/>
        <stp>P</stp>
        <stp>0</stp>
        <stp>IR</stp>
        <stp>BONDNIC9999117</stp>
        <stp>3년이하(당일)</stp>
        <stp>45523</stp>
        <stp/>
        <tr r="BP51" s="2"/>
        <tr r="BP51" s="2"/>
      </tp>
      <tp>
        <v>6.0590000000000002</v>
        <stp/>
        <stp>P</stp>
        <stp>0</stp>
        <stp>IR</stp>
        <stp>BONDNIC9999114</stp>
        <stp>3년이하(당일)</stp>
        <stp>45523</stp>
        <stp/>
        <tr r="BP48" s="2"/>
        <tr r="BP48" s="2"/>
      </tp>
      <tp>
        <v>7.3970000000000002</v>
        <stp/>
        <stp>P</stp>
        <stp>0</stp>
        <stp>IR</stp>
        <stp>BONDNIC9999115</stp>
        <stp>3년이하(당일)</stp>
        <stp>45523</stp>
        <stp/>
        <tr r="BP49" s="2"/>
        <tr r="BP49" s="2"/>
      </tp>
      <tp>
        <v>4.5789999999999997</v>
        <stp/>
        <stp>P</stp>
        <stp>0</stp>
        <stp>IR</stp>
        <stp>BONDNIC9999112</stp>
        <stp>3년이하(당일)</stp>
        <stp>45523</stp>
        <stp/>
        <tr r="BP46" s="2"/>
        <tr r="BP46" s="2"/>
      </tp>
      <tp>
        <v>5.3520000000000003</v>
        <stp/>
        <stp>P</stp>
        <stp>0</stp>
        <stp>IR</stp>
        <stp>BONDNIC9999113</stp>
        <stp>3년이하(당일)</stp>
        <stp>45523</stp>
        <stp/>
        <tr r="BP47" s="2"/>
        <tr r="BP47" s="2"/>
      </tp>
      <tp>
        <v>3.4220000000000002</v>
        <stp/>
        <stp>P</stp>
        <stp>0</stp>
        <stp>IR</stp>
        <stp>BONDNIC9999110</stp>
        <stp>3년이하(당일)</stp>
        <stp>45523</stp>
        <stp/>
        <tr r="BP44" s="2"/>
        <tr r="BP44" s="2"/>
      </tp>
      <tp>
        <v>3.55</v>
        <stp/>
        <stp>P</stp>
        <stp>0</stp>
        <stp>IR</stp>
        <stp>BONDNIC9999111</stp>
        <stp>3년이하(당일)</stp>
        <stp>45523</stp>
        <stp/>
        <tr r="BP45" s="2"/>
        <tr r="BP45" s="2"/>
      </tp>
      <tp>
        <v>5.8209999999999997</v>
        <stp/>
        <stp>P</stp>
        <stp>0</stp>
        <stp>IR</stp>
        <stp>BONDFNP8110211</stp>
        <stp>1년이하(당일)</stp>
        <stp>45523</stp>
        <stp/>
        <tr r="CB80" s="2"/>
        <tr r="CB80" s="2"/>
      </tp>
      <tp>
        <v>7.7939999999999996</v>
        <stp/>
        <stp>P</stp>
        <stp>0</stp>
        <stp>IR</stp>
        <stp>BONDFNP8110213</stp>
        <stp>1년이하(당일)</stp>
        <stp>45523</stp>
        <stp/>
        <tr r="CB82" s="2"/>
        <tr r="CB82" s="2"/>
      </tp>
      <tp>
        <v>6.5380000000000003</v>
        <stp/>
        <stp>P</stp>
        <stp>0</stp>
        <stp>IR</stp>
        <stp>BONDFNP8110212</stp>
        <stp>1년이하(당일)</stp>
        <stp>45523</stp>
        <stp/>
        <tr r="CB81" s="2"/>
        <tr r="CB81" s="2"/>
      </tp>
      <tp>
        <v>3.3690000000000002</v>
        <stp/>
        <stp>P</stp>
        <stp>0</stp>
        <stp>IR</stp>
        <stp>BONDNIC9999118</stp>
        <stp>3년이하(당일)</stp>
        <stp>45523</stp>
        <stp/>
        <tr r="BP43" s="2"/>
        <tr r="BP43" s="2"/>
      </tp>
      <tp>
        <v>4.008</v>
        <stp/>
        <stp>P</stp>
        <stp>0</stp>
        <stp>IR</stp>
        <stp>BONDFNP8010131</stp>
        <stp>2년이하(당일)</stp>
        <stp>45523</stp>
        <stp/>
        <tr r="CD77" s="2"/>
        <tr r="CD77" s="2"/>
      </tp>
      <tp>
        <v>4.5709999999999997</v>
        <stp/>
        <stp>P</stp>
        <stp>0</stp>
        <stp>IR</stp>
        <stp>BONDFNP8010133</stp>
        <stp>2년이하(당일)</stp>
        <stp>45523</stp>
        <stp/>
        <tr r="CD79" s="2"/>
        <tr r="CD79" s="2"/>
      </tp>
      <tp>
        <v>4.226</v>
        <stp/>
        <stp>P</stp>
        <stp>0</stp>
        <stp>IR</stp>
        <stp>BONDFNP8010132</stp>
        <stp>2년이하(당일)</stp>
        <stp>45523</stp>
        <stp/>
        <tr r="CD78" s="2"/>
        <tr r="CD78" s="2"/>
      </tp>
      <tp>
        <v>3.4910000000000001</v>
        <stp/>
        <stp>P</stp>
        <stp>0</stp>
        <stp>IR</stp>
        <stp>BONDFNP8010121</stp>
        <stp>2년이하(당일)</stp>
        <stp>45523</stp>
        <stp/>
        <tr r="CD74" s="2"/>
        <tr r="CD74" s="2"/>
      </tp>
      <tp>
        <v>3.597</v>
        <stp/>
        <stp>P</stp>
        <stp>0</stp>
        <stp>IR</stp>
        <stp>BONDFNP8010123</stp>
        <stp>2년이하(당일)</stp>
        <stp>45523</stp>
        <stp/>
        <tr r="CD76" s="2"/>
        <tr r="CD76" s="2"/>
      </tp>
      <tp>
        <v>3.548</v>
        <stp/>
        <stp>P</stp>
        <stp>0</stp>
        <stp>IR</stp>
        <stp>BONDFNP8010122</stp>
        <stp>2년이하(당일)</stp>
        <stp>45523</stp>
        <stp/>
        <tr r="CD75" s="2"/>
        <tr r="CD75" s="2"/>
      </tp>
      <tp>
        <v>7.4109999999999996</v>
        <stp/>
        <stp>P</stp>
        <stp>0</stp>
        <stp>IR</stp>
        <stp>BONDKIS9999116</stp>
        <stp>3년이하(당일)</stp>
        <stp>45523</stp>
        <stp/>
        <tr r="AZ40" s="2"/>
        <tr r="AZ40" s="2"/>
      </tp>
      <tp>
        <v>8.3350000000000009</v>
        <stp/>
        <stp>P</stp>
        <stp>0</stp>
        <stp>IR</stp>
        <stp>BONDKIS9999117</stp>
        <stp>3년이하(당일)</stp>
        <stp>45523</stp>
        <stp/>
        <tr r="AZ41" s="2"/>
        <tr r="AZ41" s="2"/>
      </tp>
      <tp>
        <v>5.3540000000000001</v>
        <stp/>
        <stp>P</stp>
        <stp>0</stp>
        <stp>IR</stp>
        <stp>BONDKIS9999114</stp>
        <stp>3년이하(당일)</stp>
        <stp>45523</stp>
        <stp/>
        <tr r="AZ38" s="2"/>
        <tr r="AZ38" s="2"/>
      </tp>
      <tp>
        <v>6.0469999999999997</v>
        <stp/>
        <stp>P</stp>
        <stp>0</stp>
        <stp>IR</stp>
        <stp>BONDKIS9999115</stp>
        <stp>3년이하(당일)</stp>
        <stp>45523</stp>
        <stp/>
        <tr r="AZ39" s="2"/>
        <tr r="AZ39" s="2"/>
      </tp>
      <tp>
        <v>3.5489999999999999</v>
        <stp/>
        <stp>P</stp>
        <stp>0</stp>
        <stp>IR</stp>
        <stp>BONDKIS9999112</stp>
        <stp>3년이하(당일)</stp>
        <stp>45523</stp>
        <stp/>
        <tr r="AZ36" s="2"/>
        <tr r="AZ36" s="2"/>
      </tp>
      <tp>
        <v>4.577</v>
        <stp/>
        <stp>P</stp>
        <stp>0</stp>
        <stp>IR</stp>
        <stp>BONDKIS9999113</stp>
        <stp>3년이하(당일)</stp>
        <stp>45523</stp>
        <stp/>
        <tr r="AZ37" s="2"/>
        <tr r="AZ37" s="2"/>
      </tp>
      <tp>
        <v>3.4369999999999998</v>
        <stp/>
        <stp>P</stp>
        <stp>0</stp>
        <stp>IR</stp>
        <stp>BONDKIS9999111</stp>
        <stp>3년이하(당일)</stp>
        <stp>45523</stp>
        <stp/>
        <tr r="AZ35" s="2"/>
        <tr r="AZ35" s="2"/>
      </tp>
      <tp>
        <v>9.7430000000000003</v>
        <stp/>
        <stp>P</stp>
        <stp>0</stp>
        <stp>IR</stp>
        <stp>BONDKIS9999118</stp>
        <stp>3년이하(당일)</stp>
        <stp>45523</stp>
        <stp/>
        <tr r="AZ42" s="2"/>
        <tr r="AZ42" s="2"/>
      </tp>
      <tp>
        <v>3.3580000000000001</v>
        <stp/>
        <stp>P</stp>
        <stp>0</stp>
        <stp>IR</stp>
        <stp>BONDKIS9999119</stp>
        <stp>3년이하(당일)</stp>
        <stp>45523</stp>
        <stp/>
        <tr r="AZ34" s="2"/>
        <tr r="AZ34" s="2"/>
      </tp>
      <tp>
        <v>3.613</v>
        <stp/>
        <stp>P</stp>
        <stp>0</stp>
        <stp>IR</stp>
        <stp>BONDNIC8040113</stp>
        <stp>2년이하(당일)</stp>
        <stp>45523</stp>
        <stp/>
        <tr r="BN76" s="2"/>
        <tr r="BN76" s="2"/>
      </tp>
      <tp>
        <v>4.25</v>
        <stp/>
        <stp>P</stp>
        <stp>0</stp>
        <stp>IR</stp>
        <stp>BONDNIC8050112</stp>
        <stp>2년이하(당일)</stp>
        <stp>45523</stp>
        <stp/>
        <tr r="BN78" s="2"/>
        <tr r="BN78" s="2"/>
      </tp>
      <tp>
        <v>6.8949999999999996</v>
        <stp/>
        <stp>P</stp>
        <stp>0</stp>
        <stp>IR</stp>
        <stp>BONDNIC8060111</stp>
        <stp>2년이하(당일)</stp>
        <stp>45523</stp>
        <stp/>
        <tr r="BN80" s="2"/>
        <tr r="BN80" s="2"/>
      </tp>
      <tp>
        <v>3.548</v>
        <stp/>
        <stp>P</stp>
        <stp>0</stp>
        <stp>IR</stp>
        <stp>BONDNIC8040112</stp>
        <stp>2년이하(당일)</stp>
        <stp>45523</stp>
        <stp/>
        <tr r="BN75" s="2"/>
        <tr r="BN75" s="2"/>
      </tp>
      <tp>
        <v>4.6210000000000004</v>
        <stp/>
        <stp>P</stp>
        <stp>0</stp>
        <stp>IR</stp>
        <stp>BONDNIC8050113</stp>
        <stp>2년이하(당일)</stp>
        <stp>45523</stp>
        <stp/>
        <tr r="BN79" s="2"/>
        <tr r="BN79" s="2"/>
      </tp>
      <tp>
        <v>3.4729999999999999</v>
        <stp/>
        <stp>P</stp>
        <stp>0</stp>
        <stp>IR</stp>
        <stp>BONDNIC8040111</stp>
        <stp>2년이하(당일)</stp>
        <stp>45523</stp>
        <stp/>
        <tr r="BN74" s="2"/>
        <tr r="BN74" s="2"/>
      </tp>
      <tp>
        <v>9.3149999999999995</v>
        <stp/>
        <stp>P</stp>
        <stp>0</stp>
        <stp>IR</stp>
        <stp>BONDNIC8060113</stp>
        <stp>2년이하(당일)</stp>
        <stp>45523</stp>
        <stp/>
        <tr r="BN82" s="2"/>
        <tr r="BN82" s="2"/>
      </tp>
      <tp>
        <v>4.0199999999999996</v>
        <stp/>
        <stp>P</stp>
        <stp>0</stp>
        <stp>IR</stp>
        <stp>BONDNIC8050111</stp>
        <stp>2년이하(당일)</stp>
        <stp>45523</stp>
        <stp/>
        <tr r="BN77" s="2"/>
        <tr r="BN77" s="2"/>
      </tp>
      <tp>
        <v>7.9050000000000002</v>
        <stp/>
        <stp>P</stp>
        <stp>0</stp>
        <stp>IR</stp>
        <stp>BONDNIC8060112</stp>
        <stp>2년이하(당일)</stp>
        <stp>45523</stp>
        <stp/>
        <tr r="BN81" s="2"/>
        <tr r="BN81" s="2"/>
      </tp>
      <tp>
        <v>3.44</v>
        <stp/>
        <stp>P</stp>
        <stp>0</stp>
        <stp>IR</stp>
        <stp>BONDNIC8030110</stp>
        <stp>2년이하(당일)</stp>
        <stp>45523</stp>
        <stp/>
        <tr r="BN73" s="2"/>
        <tr r="BN73" s="2"/>
      </tp>
      <tp>
        <v>3.5379999999999998</v>
        <stp/>
        <stp>P</stp>
        <stp>0</stp>
        <stp>IR</stp>
        <stp>BONDFNP9999111</stp>
        <stp>3년이하(당일)</stp>
        <stp>45523</stp>
        <stp/>
        <tr r="CF45" s="2"/>
        <tr r="CF45" s="2"/>
      </tp>
      <tp>
        <v>3.4239999999999999</v>
        <stp/>
        <stp>P</stp>
        <stp>0</stp>
        <stp>IR</stp>
        <stp>BONDFNP9999110</stp>
        <stp>3년이하(당일)</stp>
        <stp>45523</stp>
        <stp/>
        <tr r="CF44" s="2"/>
        <tr r="CF44" s="2"/>
      </tp>
      <tp>
        <v>5.3330000000000002</v>
        <stp/>
        <stp>P</stp>
        <stp>0</stp>
        <stp>IR</stp>
        <stp>BONDFNP9999113</stp>
        <stp>3년이하(당일)</stp>
        <stp>45523</stp>
        <stp/>
        <tr r="CF47" s="2"/>
        <tr r="CF47" s="2"/>
      </tp>
      <tp>
        <v>4.5449999999999999</v>
        <stp/>
        <stp>P</stp>
        <stp>0</stp>
        <stp>IR</stp>
        <stp>BONDFNP9999112</stp>
        <stp>3년이하(당일)</stp>
        <stp>45523</stp>
        <stp/>
        <tr r="CF46" s="2"/>
        <tr r="CF46" s="2"/>
      </tp>
      <tp>
        <v>7.3780000000000001</v>
        <stp/>
        <stp>P</stp>
        <stp>0</stp>
        <stp>IR</stp>
        <stp>BONDFNP9999115</stp>
        <stp>3년이하(당일)</stp>
        <stp>45523</stp>
        <stp/>
        <tr r="CF49" s="2"/>
        <tr r="CF49" s="2"/>
      </tp>
      <tp>
        <v>6.0149999999999997</v>
        <stp/>
        <stp>P</stp>
        <stp>0</stp>
        <stp>IR</stp>
        <stp>BONDFNP9999114</stp>
        <stp>3년이하(당일)</stp>
        <stp>45523</stp>
        <stp/>
        <tr r="CF48" s="2"/>
        <tr r="CF48" s="2"/>
      </tp>
      <tp>
        <v>9.6449999999999996</v>
        <stp/>
        <stp>P</stp>
        <stp>0</stp>
        <stp>IR</stp>
        <stp>BONDFNP9999117</stp>
        <stp>3년이하(당일)</stp>
        <stp>45523</stp>
        <stp/>
        <tr r="CF51" s="2"/>
        <tr r="CF51" s="2"/>
      </tp>
      <tp>
        <v>8.3079999999999998</v>
        <stp/>
        <stp>P</stp>
        <stp>0</stp>
        <stp>IR</stp>
        <stp>BONDFNP9999116</stp>
        <stp>3년이하(당일)</stp>
        <stp>45523</stp>
        <stp/>
        <tr r="CF50" s="2"/>
        <tr r="CF50" s="2"/>
      </tp>
      <tp>
        <v>3.3490000000000002</v>
        <stp/>
        <stp>P</stp>
        <stp>0</stp>
        <stp>IR</stp>
        <stp>BONDFNP9999118</stp>
        <stp>3년이하(당일)</stp>
        <stp>45523</stp>
        <stp/>
        <tr r="CF43" s="2"/>
        <tr r="CF43" s="2"/>
      </tp>
      <tp>
        <v>6.407</v>
        <stp/>
        <stp>P</stp>
        <stp>0</stp>
        <stp>IR</stp>
        <stp>BONDKIS8010212</stp>
        <stp>1년이하(당일)</stp>
        <stp>45523</stp>
        <stp/>
        <tr r="AV81" s="2"/>
        <tr r="AV81" s="2"/>
      </tp>
      <tp>
        <v>7.9470000000000001</v>
        <stp/>
        <stp>P</stp>
        <stp>0</stp>
        <stp>IR</stp>
        <stp>BONDKIS8010213</stp>
        <stp>1년이하(당일)</stp>
        <stp>45523</stp>
        <stp/>
        <tr r="AV82" s="2"/>
        <tr r="AV82" s="2"/>
      </tp>
      <tp>
        <v>3.5190000000000001</v>
        <stp/>
        <stp>P</stp>
        <stp>0</stp>
        <stp>IR</stp>
        <stp>BONDKIS8010110</stp>
        <stp>2년이하(당일)</stp>
        <stp>45523</stp>
        <stp/>
        <tr r="AX73" s="2"/>
        <tr r="AX73" s="2"/>
      </tp>
      <tp>
        <v>5.7169999999999996</v>
        <stp/>
        <stp>P</stp>
        <stp>0</stp>
        <stp>IR</stp>
        <stp>BONDKIS8010211</stp>
        <stp>1년이하(당일)</stp>
        <stp>45523</stp>
        <stp/>
        <tr r="AV80" s="2"/>
        <tr r="AV80" s="2"/>
      </tp>
      <tp t="s">
        <v xml:space="preserve"> </v>
        <stp/>
        <stp>P</stp>
        <stp>0</stp>
        <stp>IR</stp>
        <stp>BONDKSD8010110</stp>
        <stp>2년이하(당일)</stp>
        <stp>45523</stp>
        <stp/>
        <tr r="CT73" s="2"/>
        <tr r="CT73" s="2"/>
      </tp>
      <tp>
        <v>3.6230000000000002</v>
        <stp/>
        <stp>P</stp>
        <stp>0</stp>
        <stp>IR</stp>
        <stp>BONDKIS8010122</stp>
        <stp>2년이하(당일)</stp>
        <stp>45523</stp>
        <stp/>
        <tr r="AX75" s="2"/>
        <tr r="AX75" s="2"/>
      </tp>
      <tp>
        <v>3.68</v>
        <stp/>
        <stp>P</stp>
        <stp>0</stp>
        <stp>IR</stp>
        <stp>BONDKIS8010123</stp>
        <stp>2년이하(당일)</stp>
        <stp>45523</stp>
        <stp/>
        <tr r="AX76" s="2"/>
        <tr r="AX76" s="2"/>
      </tp>
      <tp>
        <v>3.601</v>
        <stp/>
        <stp>P</stp>
        <stp>0</stp>
        <stp>IR</stp>
        <stp>BONDKIS8010121</stp>
        <stp>2년이하(당일)</stp>
        <stp>45523</stp>
        <stp/>
        <tr r="AX74" s="2"/>
        <tr r="AX74" s="2"/>
      </tp>
      <tp t="s">
        <v xml:space="preserve"> </v>
        <stp/>
        <stp>P</stp>
        <stp>0</stp>
        <stp>IR</stp>
        <stp>BONDKSD8010120</stp>
        <stp>2년이하(당일)</stp>
        <stp>45523</stp>
        <stp/>
        <tr r="CT75" s="2"/>
        <tr r="CT75" s="2"/>
      </tp>
      <tp>
        <v>4.2069999999999999</v>
        <stp/>
        <stp>P</stp>
        <stp>0</stp>
        <stp>IR</stp>
        <stp>BONDKIS8010132</stp>
        <stp>2년이하(당일)</stp>
        <stp>45523</stp>
        <stp/>
        <tr r="AX78" s="2"/>
        <tr r="AX78" s="2"/>
      </tp>
      <tp>
        <v>4.5620000000000003</v>
        <stp/>
        <stp>P</stp>
        <stp>0</stp>
        <stp>IR</stp>
        <stp>BONDKIS8010133</stp>
        <stp>2년이하(당일)</stp>
        <stp>45523</stp>
        <stp/>
        <tr r="AX79" s="2"/>
        <tr r="AX79" s="2"/>
      </tp>
      <tp>
        <v>4.024</v>
        <stp/>
        <stp>P</stp>
        <stp>0</stp>
        <stp>IR</stp>
        <stp>BONDKIS8010131</stp>
        <stp>2년이하(당일)</stp>
        <stp>45523</stp>
        <stp/>
        <tr r="AX77" s="2"/>
        <tr r="AX77" s="2"/>
      </tp>
      <tp t="s">
        <v xml:space="preserve"> </v>
        <stp/>
        <stp>P</stp>
        <stp>0</stp>
        <stp>IR</stp>
        <stp>BONDKSD8010131</stp>
        <stp>2년이하(당일)</stp>
        <stp>45523</stp>
        <stp/>
        <tr r="CT77" s="2"/>
        <tr r="CT77" s="2"/>
      </tp>
      <tp t="s">
        <v xml:space="preserve"> </v>
        <stp/>
        <stp>P</stp>
        <stp>0</stp>
        <stp>IR</stp>
        <stp>BONDKSD8010132</stp>
        <stp>2년이하(당일)</stp>
        <stp>45523</stp>
        <stp/>
        <tr r="CT78" s="2"/>
        <tr r="CT78" s="2"/>
      </tp>
      <tp t="s">
        <v xml:space="preserve"> </v>
        <stp/>
        <stp>P</stp>
        <stp>0</stp>
        <stp>IR</stp>
        <stp>BONDKSD8010133</stp>
        <stp>2년이하(당일)</stp>
        <stp>45523</stp>
        <stp/>
        <tr r="CT79" s="2"/>
        <tr r="CT79" s="2"/>
      </tp>
      <tp>
        <v>3.45</v>
        <stp/>
        <stp>P</stp>
        <stp>0</stp>
        <stp>IR</stp>
        <stp>BONDFNP8010110</stp>
        <stp>3년이하(당일)</stp>
        <stp>45523</stp>
        <stp/>
        <tr r="CF73" s="2"/>
        <tr r="CF73" s="2"/>
      </tp>
      <tp>
        <v>8.0640000000000001</v>
        <stp/>
        <stp>P</stp>
        <stp>0</stp>
        <stp>IR</stp>
        <stp>BONDNIC9999116</stp>
        <stp>2년이하(당일)</stp>
        <stp>45523</stp>
        <stp/>
        <tr r="BN50" s="2"/>
        <tr r="BN50" s="2"/>
      </tp>
      <tp>
        <v>9.4489999999999998</v>
        <stp/>
        <stp>P</stp>
        <stp>0</stp>
        <stp>IR</stp>
        <stp>BONDNIC9999117</stp>
        <stp>2년이하(당일)</stp>
        <stp>45523</stp>
        <stp/>
        <tr r="BN51" s="2"/>
        <tr r="BN51" s="2"/>
      </tp>
      <tp>
        <v>5.8789999999999996</v>
        <stp/>
        <stp>P</stp>
        <stp>0</stp>
        <stp>IR</stp>
        <stp>BONDNIC9999114</stp>
        <stp>2년이하(당일)</stp>
        <stp>45523</stp>
        <stp/>
        <tr r="BN48" s="2"/>
        <tr r="BN48" s="2"/>
      </tp>
      <tp>
        <v>7.2309999999999999</v>
        <stp/>
        <stp>P</stp>
        <stp>0</stp>
        <stp>IR</stp>
        <stp>BONDNIC9999115</stp>
        <stp>2년이하(당일)</stp>
        <stp>45523</stp>
        <stp/>
        <tr r="BN49" s="2"/>
        <tr r="BN49" s="2"/>
      </tp>
      <tp>
        <v>4.444</v>
        <stp/>
        <stp>P</stp>
        <stp>0</stp>
        <stp>IR</stp>
        <stp>BONDNIC9999112</stp>
        <stp>2년이하(당일)</stp>
        <stp>45523</stp>
        <stp/>
        <tr r="BN46" s="2"/>
        <tr r="BN46" s="2"/>
      </tp>
      <tp>
        <v>5.2750000000000004</v>
        <stp/>
        <stp>P</stp>
        <stp>0</stp>
        <stp>IR</stp>
        <stp>BONDNIC9999113</stp>
        <stp>2년이하(당일)</stp>
        <stp>45523</stp>
        <stp/>
        <tr r="BN47" s="2"/>
        <tr r="BN47" s="2"/>
      </tp>
      <tp>
        <v>3.4620000000000002</v>
        <stp/>
        <stp>P</stp>
        <stp>0</stp>
        <stp>IR</stp>
        <stp>BONDNIC9999110</stp>
        <stp>2년이하(당일)</stp>
        <stp>45523</stp>
        <stp/>
        <tr r="BN44" s="2"/>
        <tr r="BN44" s="2"/>
      </tp>
      <tp>
        <v>3.5680000000000001</v>
        <stp/>
        <stp>P</stp>
        <stp>0</stp>
        <stp>IR</stp>
        <stp>BONDNIC9999111</stp>
        <stp>2년이하(당일)</stp>
        <stp>45523</stp>
        <stp/>
        <tr r="BN45" s="2"/>
        <tr r="BN45" s="2"/>
      </tp>
      <tp>
        <v>3.4249999999999998</v>
        <stp/>
        <stp>P</stp>
        <stp>0</stp>
        <stp>IR</stp>
        <stp>BONDNIC9999118</stp>
        <stp>2년이하(당일)</stp>
        <stp>45523</stp>
        <stp/>
        <tr r="BN43" s="2"/>
        <tr r="BN43" s="2"/>
      </tp>
      <tp>
        <v>4.1909999999999998</v>
        <stp/>
        <stp>P</stp>
        <stp>0</stp>
        <stp>IR</stp>
        <stp>BONDFNP8010131</stp>
        <stp>3년이하(당일)</stp>
        <stp>45523</stp>
        <stp/>
        <tr r="CF77" s="2"/>
        <tr r="CF77" s="2"/>
      </tp>
      <tp>
        <v>4.931</v>
        <stp/>
        <stp>P</stp>
        <stp>0</stp>
        <stp>IR</stp>
        <stp>BONDFNP8010133</stp>
        <stp>3년이하(당일)</stp>
        <stp>45523</stp>
        <stp/>
        <tr r="CF79" s="2"/>
        <tr r="CF79" s="2"/>
      </tp>
      <tp>
        <v>4.4889999999999999</v>
        <stp/>
        <stp>P</stp>
        <stp>0</stp>
        <stp>IR</stp>
        <stp>BONDFNP8010132</stp>
        <stp>3년이하(당일)</stp>
        <stp>45523</stp>
        <stp/>
        <tr r="CF78" s="2"/>
        <tr r="CF78" s="2"/>
      </tp>
      <tp>
        <v>3.5070000000000001</v>
        <stp/>
        <stp>P</stp>
        <stp>0</stp>
        <stp>IR</stp>
        <stp>BONDFNP8010121</stp>
        <stp>3년이하(당일)</stp>
        <stp>45523</stp>
        <stp/>
        <tr r="CF74" s="2"/>
        <tr r="CF74" s="2"/>
      </tp>
      <tp>
        <v>3.6360000000000001</v>
        <stp/>
        <stp>P</stp>
        <stp>0</stp>
        <stp>IR</stp>
        <stp>BONDFNP8010123</stp>
        <stp>3년이하(당일)</stp>
        <stp>45523</stp>
        <stp/>
        <tr r="CF76" s="2"/>
        <tr r="CF76" s="2"/>
      </tp>
      <tp>
        <v>3.5750000000000002</v>
        <stp/>
        <stp>P</stp>
        <stp>0</stp>
        <stp>IR</stp>
        <stp>BONDFNP8010122</stp>
        <stp>3년이하(당일)</stp>
        <stp>45523</stp>
        <stp/>
        <tr r="CF75" s="2"/>
        <tr r="CF75" s="2"/>
      </tp>
      <tp>
        <v>7.2889999999999997</v>
        <stp/>
        <stp>P</stp>
        <stp>0</stp>
        <stp>IR</stp>
        <stp>BONDKIS9999116</stp>
        <stp>2년이하(당일)</stp>
        <stp>45523</stp>
        <stp/>
        <tr r="AX40" s="2"/>
        <tr r="AX40" s="2"/>
      </tp>
      <tp>
        <v>8.1519999999999992</v>
        <stp/>
        <stp>P</stp>
        <stp>0</stp>
        <stp>IR</stp>
        <stp>BONDKIS9999117</stp>
        <stp>2년이하(당일)</stp>
        <stp>45523</stp>
        <stp/>
        <tr r="AX41" s="2"/>
        <tr r="AX41" s="2"/>
      </tp>
      <tp>
        <v>5.2670000000000003</v>
        <stp/>
        <stp>P</stp>
        <stp>0</stp>
        <stp>IR</stp>
        <stp>BONDKIS9999114</stp>
        <stp>2년이하(당일)</stp>
        <stp>45523</stp>
        <stp/>
        <tr r="AX38" s="2"/>
        <tr r="AX38" s="2"/>
      </tp>
      <tp>
        <v>5.8659999999999997</v>
        <stp/>
        <stp>P</stp>
        <stp>0</stp>
        <stp>IR</stp>
        <stp>BONDKIS9999115</stp>
        <stp>2년이하(당일)</stp>
        <stp>45523</stp>
        <stp/>
        <tr r="AX39" s="2"/>
        <tr r="AX39" s="2"/>
      </tp>
      <tp>
        <v>3.5510000000000002</v>
        <stp/>
        <stp>P</stp>
        <stp>0</stp>
        <stp>IR</stp>
        <stp>BONDKIS9999112</stp>
        <stp>2년이하(당일)</stp>
        <stp>45523</stp>
        <stp/>
        <tr r="AX36" s="2"/>
        <tr r="AX36" s="2"/>
      </tp>
      <tp>
        <v>4.4320000000000004</v>
        <stp/>
        <stp>P</stp>
        <stp>0</stp>
        <stp>IR</stp>
        <stp>BONDKIS9999113</stp>
        <stp>2년이하(당일)</stp>
        <stp>45523</stp>
        <stp/>
        <tr r="AX37" s="2"/>
        <tr r="AX37" s="2"/>
      </tp>
      <tp>
        <v>3.4710000000000001</v>
        <stp/>
        <stp>P</stp>
        <stp>0</stp>
        <stp>IR</stp>
        <stp>BONDKIS9999111</stp>
        <stp>2년이하(당일)</stp>
        <stp>45523</stp>
        <stp/>
        <tr r="AX35" s="2"/>
        <tr r="AX35" s="2"/>
      </tp>
      <tp>
        <v>9.5269999999999992</v>
        <stp/>
        <stp>P</stp>
        <stp>0</stp>
        <stp>IR</stp>
        <stp>BONDKIS9999118</stp>
        <stp>2년이하(당일)</stp>
        <stp>45523</stp>
        <stp/>
        <tr r="AX42" s="2"/>
        <tr r="AX42" s="2"/>
      </tp>
      <tp>
        <v>3.4180000000000001</v>
        <stp/>
        <stp>P</stp>
        <stp>0</stp>
        <stp>IR</stp>
        <stp>BONDKIS9999119</stp>
        <stp>2년이하(당일)</stp>
        <stp>45523</stp>
        <stp/>
        <tr r="AX34" s="2"/>
        <tr r="AX34" s="2"/>
      </tp>
      <tp>
        <v>3.6930000000000001</v>
        <stp/>
        <stp>P</stp>
        <stp>0</stp>
        <stp>IR</stp>
        <stp>BONDNIC8040113</stp>
        <stp>3년이하(당일)</stp>
        <stp>45523</stp>
        <stp/>
        <tr r="BP76" s="2"/>
        <tr r="BP76" s="2"/>
      </tp>
      <tp>
        <v>4.4649999999999999</v>
        <stp/>
        <stp>P</stp>
        <stp>0</stp>
        <stp>IR</stp>
        <stp>BONDNIC8050112</stp>
        <stp>3년이하(당일)</stp>
        <stp>45523</stp>
        <stp/>
        <tr r="BP78" s="2"/>
        <tr r="BP78" s="2"/>
      </tp>
      <tp>
        <v>7.5880000000000001</v>
        <stp/>
        <stp>P</stp>
        <stp>0</stp>
        <stp>IR</stp>
        <stp>BONDNIC8060111</stp>
        <stp>3년이하(당일)</stp>
        <stp>45523</stp>
        <stp/>
        <tr r="BP80" s="2"/>
        <tr r="BP80" s="2"/>
      </tp>
      <tp>
        <v>3.6030000000000002</v>
        <stp/>
        <stp>P</stp>
        <stp>0</stp>
        <stp>IR</stp>
        <stp>BONDNIC8040112</stp>
        <stp>3년이하(당일)</stp>
        <stp>45523</stp>
        <stp/>
        <tr r="BP75" s="2"/>
        <tr r="BP75" s="2"/>
      </tp>
      <tp>
        <v>4.9770000000000003</v>
        <stp/>
        <stp>P</stp>
        <stp>0</stp>
        <stp>IR</stp>
        <stp>BONDNIC8050113</stp>
        <stp>3년이하(당일)</stp>
        <stp>45523</stp>
        <stp/>
        <tr r="BP79" s="2"/>
        <tr r="BP79" s="2"/>
      </tp>
      <tp>
        <v>3.512</v>
        <stp/>
        <stp>P</stp>
        <stp>0</stp>
        <stp>IR</stp>
        <stp>BONDNIC8040111</stp>
        <stp>3년이하(당일)</stp>
        <stp>45523</stp>
        <stp/>
        <tr r="BP74" s="2"/>
        <tr r="BP74" s="2"/>
      </tp>
      <tp>
        <v>10.340999999999999</v>
        <stp/>
        <stp>P</stp>
        <stp>0</stp>
        <stp>IR</stp>
        <stp>BONDNIC8060113</stp>
        <stp>3년이하(당일)</stp>
        <stp>45523</stp>
        <stp/>
        <tr r="BP82" s="2"/>
        <tr r="BP82" s="2"/>
      </tp>
      <tp>
        <v>4.1660000000000004</v>
        <stp/>
        <stp>P</stp>
        <stp>0</stp>
        <stp>IR</stp>
        <stp>BONDNIC8050111</stp>
        <stp>3년이하(당일)</stp>
        <stp>45523</stp>
        <stp/>
        <tr r="BP77" s="2"/>
        <tr r="BP77" s="2"/>
      </tp>
      <tp>
        <v>8.7149999999999999</v>
        <stp/>
        <stp>P</stp>
        <stp>0</stp>
        <stp>IR</stp>
        <stp>BONDNIC8060112</stp>
        <stp>3년이하(당일)</stp>
        <stp>45523</stp>
        <stp/>
        <tr r="BP81" s="2"/>
        <tr r="BP81" s="2"/>
      </tp>
      <tp>
        <v>3.45</v>
        <stp/>
        <stp>P</stp>
        <stp>0</stp>
        <stp>IR</stp>
        <stp>BONDNIC8030110</stp>
        <stp>3년이하(당일)</stp>
        <stp>45523</stp>
        <stp/>
        <tr r="BP73" s="2"/>
        <tr r="BP73" s="2"/>
      </tp>
      <tp>
        <v>3.5379999999999998</v>
        <stp/>
        <stp>P</stp>
        <stp>0</stp>
        <stp>IR</stp>
        <stp>BONDFNP9999111</stp>
        <stp>2년이하(당일)</stp>
        <stp>45523</stp>
        <stp/>
        <tr r="CD45" s="2"/>
        <tr r="CD45" s="2"/>
      </tp>
      <tp>
        <v>3.4649999999999999</v>
        <stp/>
        <stp>P</stp>
        <stp>0</stp>
        <stp>IR</stp>
        <stp>BONDFNP9999110</stp>
        <stp>2년이하(당일)</stp>
        <stp>45523</stp>
        <stp/>
        <tr r="CD44" s="2"/>
        <tr r="CD44" s="2"/>
      </tp>
      <tp>
        <v>5.2510000000000003</v>
        <stp/>
        <stp>P</stp>
        <stp>0</stp>
        <stp>IR</stp>
        <stp>BONDFNP9999113</stp>
        <stp>2년이하(당일)</stp>
        <stp>45523</stp>
        <stp/>
        <tr r="CD47" s="2"/>
        <tr r="CD47" s="2"/>
      </tp>
      <tp>
        <v>4.4340000000000002</v>
        <stp/>
        <stp>P</stp>
        <stp>0</stp>
        <stp>IR</stp>
        <stp>BONDFNP9999112</stp>
        <stp>2년이하(당일)</stp>
        <stp>45523</stp>
        <stp/>
        <tr r="CD46" s="2"/>
        <tr r="CD46" s="2"/>
      </tp>
      <tp>
        <v>7.2409999999999997</v>
        <stp/>
        <stp>P</stp>
        <stp>0</stp>
        <stp>IR</stp>
        <stp>BONDFNP9999115</stp>
        <stp>2년이하(당일)</stp>
        <stp>45523</stp>
        <stp/>
        <tr r="CD49" s="2"/>
        <tr r="CD49" s="2"/>
      </tp>
      <tp>
        <v>5.8719999999999999</v>
        <stp/>
        <stp>P</stp>
        <stp>0</stp>
        <stp>IR</stp>
        <stp>BONDFNP9999114</stp>
        <stp>2년이하(당일)</stp>
        <stp>45523</stp>
        <stp/>
        <tr r="CD48" s="2"/>
        <tr r="CD48" s="2"/>
      </tp>
      <tp>
        <v>9.4149999999999991</v>
        <stp/>
        <stp>P</stp>
        <stp>0</stp>
        <stp>IR</stp>
        <stp>BONDFNP9999117</stp>
        <stp>2년이하(당일)</stp>
        <stp>45523</stp>
        <stp/>
        <tr r="CD51" s="2"/>
        <tr r="CD51" s="2"/>
      </tp>
      <tp>
        <v>8.0730000000000004</v>
        <stp/>
        <stp>P</stp>
        <stp>0</stp>
        <stp>IR</stp>
        <stp>BONDFNP9999116</stp>
        <stp>2년이하(당일)</stp>
        <stp>45523</stp>
        <stp/>
        <tr r="CD50" s="2"/>
        <tr r="CD50" s="2"/>
      </tp>
      <tp>
        <v>3.4119999999999999</v>
        <stp/>
        <stp>P</stp>
        <stp>0</stp>
        <stp>IR</stp>
        <stp>BONDFNP9999118</stp>
        <stp>2년이하(당일)</stp>
        <stp>45523</stp>
        <stp/>
        <tr r="CD43" s="2"/>
        <tr r="CD43" s="2"/>
      </tp>
      <tp>
        <v>3.5659999999999998</v>
        <stp/>
        <stp>P</stp>
        <stp>0</stp>
        <stp>IR</stp>
        <stp>BONDKIS8010110</stp>
        <stp>3년이하(당일)</stp>
        <stp>45523</stp>
        <stp/>
        <tr r="AZ73" s="2"/>
        <tr r="AZ73" s="2"/>
      </tp>
      <tp t="s">
        <v xml:space="preserve"> </v>
        <stp/>
        <stp>P</stp>
        <stp>0</stp>
        <stp>IR</stp>
        <stp>BONDKSD8010110</stp>
        <stp>3년이하(당일)</stp>
        <stp>45523</stp>
        <stp/>
        <tr r="CV73" s="2"/>
        <tr r="CV73" s="2"/>
      </tp>
      <tp>
        <v>3.7029999999999998</v>
        <stp/>
        <stp>P</stp>
        <stp>0</stp>
        <stp>IR</stp>
        <stp>BONDKIS8010122</stp>
        <stp>3년이하(당일)</stp>
        <stp>45523</stp>
        <stp/>
        <tr r="AZ75" s="2"/>
        <tr r="AZ75" s="2"/>
      </tp>
      <tp>
        <v>3.7789999999999999</v>
        <stp/>
        <stp>P</stp>
        <stp>0</stp>
        <stp>IR</stp>
        <stp>BONDKIS8010123</stp>
        <stp>3년이하(당일)</stp>
        <stp>45523</stp>
        <stp/>
        <tr r="AZ76" s="2"/>
        <tr r="AZ76" s="2"/>
      </tp>
      <tp>
        <v>3.6549999999999998</v>
        <stp/>
        <stp>P</stp>
        <stp>0</stp>
        <stp>IR</stp>
        <stp>BONDKIS8010121</stp>
        <stp>3년이하(당일)</stp>
        <stp>45523</stp>
        <stp/>
        <tr r="AZ74" s="2"/>
        <tr r="AZ74" s="2"/>
      </tp>
      <tp t="s">
        <v xml:space="preserve"> </v>
        <stp/>
        <stp>P</stp>
        <stp>0</stp>
        <stp>IR</stp>
        <stp>BONDKSD8010120</stp>
        <stp>3년이하(당일)</stp>
        <stp>45523</stp>
        <stp/>
        <tr r="CV75" s="2"/>
        <tr r="CV75" s="2"/>
      </tp>
      <tp>
        <v>4.4530000000000003</v>
        <stp/>
        <stp>P</stp>
        <stp>0</stp>
        <stp>IR</stp>
        <stp>BONDKIS8010132</stp>
        <stp>3년이하(당일)</stp>
        <stp>45523</stp>
        <stp/>
        <tr r="AZ78" s="2"/>
        <tr r="AZ78" s="2"/>
      </tp>
      <tp>
        <v>4.9080000000000004</v>
        <stp/>
        <stp>P</stp>
        <stp>0</stp>
        <stp>IR</stp>
        <stp>BONDKIS8010133</stp>
        <stp>3년이하(당일)</stp>
        <stp>45523</stp>
        <stp/>
        <tr r="AZ79" s="2"/>
        <tr r="AZ79" s="2"/>
      </tp>
      <tp>
        <v>4.1769999999999996</v>
        <stp/>
        <stp>P</stp>
        <stp>0</stp>
        <stp>IR</stp>
        <stp>BONDKIS8010131</stp>
        <stp>3년이하(당일)</stp>
        <stp>45523</stp>
        <stp/>
        <tr r="AZ77" s="2"/>
        <tr r="AZ77" s="2"/>
      </tp>
      <tp t="s">
        <v xml:space="preserve"> </v>
        <stp/>
        <stp>P</stp>
        <stp>0</stp>
        <stp>IR</stp>
        <stp>BONDKSD8010131</stp>
        <stp>3년이하(당일)</stp>
        <stp>45523</stp>
        <stp/>
        <tr r="CV77" s="2"/>
        <tr r="CV77" s="2"/>
      </tp>
      <tp t="s">
        <v xml:space="preserve"> </v>
        <stp/>
        <stp>P</stp>
        <stp>0</stp>
        <stp>IR</stp>
        <stp>BONDKSD8010132</stp>
        <stp>3년이하(당일)</stp>
        <stp>45523</stp>
        <stp/>
        <tr r="CV78" s="2"/>
        <tr r="CV78" s="2"/>
      </tp>
      <tp t="s">
        <v xml:space="preserve"> </v>
        <stp/>
        <stp>P</stp>
        <stp>0</stp>
        <stp>IR</stp>
        <stp>BONDKSD8010133</stp>
        <stp>3년이하(당일)</stp>
        <stp>45523</stp>
        <stp/>
        <tr r="CV79" s="2"/>
        <tr r="CV79" s="2"/>
      </tp>
      <tp>
        <v>3.1760000000000002</v>
        <stp/>
        <stp>P</stp>
        <stp>0</stp>
        <stp>IR</stp>
        <stp>BONDKBPE13C</stp>
        <stp>2.5년이하(당일)</stp>
        <stp>45523</stp>
        <stp/>
        <tr r="AI22" s="2"/>
        <tr r="AI22" s="2"/>
      </tp>
      <tp>
        <v>3.24</v>
        <stp/>
        <stp>P</stp>
        <stp>0</stp>
        <stp>IR</stp>
        <stp>BONDKBPE13C</stp>
        <stp>1.5년이하(당일)</stp>
        <stp>45523</stp>
        <stp/>
        <tr r="AG22" s="2"/>
        <tr r="AG22" s="2"/>
      </tp>
      <tp>
        <v>6.5570000000000004</v>
        <stp/>
        <stp>P</stp>
        <stp>0</stp>
        <stp>IR</stp>
        <stp>BONDFNP6010211</stp>
        <stp>6월이하(당일)</stp>
        <stp>45523</stp>
        <stp/>
        <tr r="BZ40" s="2"/>
        <tr r="BZ40" s="2"/>
      </tp>
      <tp>
        <v>3.38</v>
        <stp/>
        <stp>P</stp>
        <stp>0</stp>
        <stp>IR</stp>
        <stp>BONDFNP5010110</stp>
        <stp>6월이하(당일)</stp>
        <stp>45523</stp>
        <stp/>
        <tr r="BZ23" s="2"/>
        <tr r="BZ23" s="2"/>
      </tp>
      <tp>
        <v>3.38</v>
        <stp/>
        <stp>P</stp>
        <stp>0</stp>
        <stp>IR</stp>
        <stp>BONDFNP5020110</stp>
        <stp>6월이하(당일)</stp>
        <stp>45523</stp>
        <stp/>
        <tr r="BZ25" s="2"/>
        <tr r="BZ25" s="2"/>
      </tp>
      <tp>
        <v>8.593</v>
        <stp/>
        <stp>P</stp>
        <stp>0</stp>
        <stp>IR</stp>
        <stp>BONDFNP6010213</stp>
        <stp>6월이하(당일)</stp>
        <stp>45523</stp>
        <stp/>
        <tr r="BZ42" s="2"/>
        <tr r="BZ42" s="2"/>
      </tp>
      <tp>
        <v>3.4089999999999998</v>
        <stp/>
        <stp>P</stp>
        <stp>0</stp>
        <stp>IR</stp>
        <stp>BONDFNP5030110</stp>
        <stp>6월이하(당일)</stp>
        <stp>45523</stp>
        <stp/>
        <tr r="BZ27" s="2"/>
        <tr r="BZ27" s="2"/>
      </tp>
      <tp>
        <v>7.2679999999999998</v>
        <stp/>
        <stp>P</stp>
        <stp>0</stp>
        <stp>IR</stp>
        <stp>BONDFNP6010212</stp>
        <stp>6월이하(당일)</stp>
        <stp>45523</stp>
        <stp/>
        <tr r="BZ41" s="2"/>
        <tr r="BZ41" s="2"/>
      </tp>
      <tp>
        <v>3.16</v>
        <stp/>
        <stp>P</stp>
        <stp>0</stp>
        <stp>IR</stp>
        <stp>BONDFNP4000000</stp>
        <stp>6월이하(당일)</stp>
        <stp>45523</stp>
        <stp/>
        <tr r="BZ20" s="2"/>
        <tr r="BZ20" s="2"/>
      </tp>
      <tp>
        <v>3.34</v>
        <stp/>
        <stp>P</stp>
        <stp>0</stp>
        <stp>IR</stp>
        <stp>BONDFNP1010000</stp>
        <stp>3월이하(당일)</stp>
        <stp>45523</stp>
        <stp/>
        <tr r="BY9" s="2"/>
        <tr r="BY9" s="2"/>
      </tp>
      <tp>
        <v>3.1259999999999999</v>
        <stp/>
        <stp>P</stp>
        <stp>0</stp>
        <stp>IR</stp>
        <stp>BONDFNP1020000</stp>
        <stp>3월이하(당일)</stp>
        <stp>45523</stp>
        <stp/>
        <tr r="BY11" s="2"/>
        <tr r="BY11" s="2"/>
      </tp>
      <tp>
        <v>3.34</v>
        <stp/>
        <stp>P</stp>
        <stp>0</stp>
        <stp>IR</stp>
        <stp>BONDFNP1030000</stp>
        <stp>3월이하(당일)</stp>
        <stp>45523</stp>
        <stp/>
        <tr r="BY10" s="2"/>
        <tr r="BY10" s="2"/>
      </tp>
      <tp>
        <v>3.3820000000000001</v>
        <stp/>
        <stp>P</stp>
        <stp>0</stp>
        <stp>IR</stp>
        <stp>BONDFNP4050000</stp>
        <stp>6월이하(당일)</stp>
        <stp>45523</stp>
        <stp/>
        <tr r="BZ22" s="2"/>
        <tr r="BZ22" s="2"/>
      </tp>
      <tp>
        <v>3.9329999999999998</v>
        <stp/>
        <stp>P</stp>
        <stp>0</stp>
        <stp>IR</stp>
        <stp>BONDFNP5050131</stp>
        <stp>6월이하(당일)</stp>
        <stp>45523</stp>
        <stp/>
        <tr r="BZ31" s="2"/>
        <tr r="BZ31" s="2"/>
      </tp>
      <tp>
        <v>4.0999999999999996</v>
        <stp/>
        <stp>P</stp>
        <stp>0</stp>
        <stp>IR</stp>
        <stp>BONDFNP5050133</stp>
        <stp>6월이하(당일)</stp>
        <stp>45523</stp>
        <stp/>
        <tr r="BZ33" s="2"/>
        <tr r="BZ33" s="2"/>
      </tp>
      <tp>
        <v>4.01</v>
        <stp/>
        <stp>P</stp>
        <stp>0</stp>
        <stp>IR</stp>
        <stp>BONDFNP5050132</stp>
        <stp>6월이하(당일)</stp>
        <stp>45523</stp>
        <stp/>
        <tr r="BZ32" s="2"/>
        <tr r="BZ32" s="2"/>
      </tp>
      <tp>
        <v>3.44</v>
        <stp/>
        <stp>P</stp>
        <stp>0</stp>
        <stp>IR</stp>
        <stp>BONDFNP5040121</stp>
        <stp>6월이하(당일)</stp>
        <stp>45523</stp>
        <stp/>
        <tr r="BZ28" s="2"/>
        <tr r="BZ28" s="2"/>
      </tp>
      <tp>
        <v>3.61</v>
        <stp/>
        <stp>P</stp>
        <stp>0</stp>
        <stp>IR</stp>
        <stp>BONDFNP5040122</stp>
        <stp>6월이하(당일)</stp>
        <stp>45523</stp>
        <stp/>
        <tr r="BZ29" s="2"/>
        <tr r="BZ29" s="2"/>
      </tp>
      <tp>
        <v>3.8479999999999999</v>
        <stp/>
        <stp>P</stp>
        <stp>0</stp>
        <stp>IR</stp>
        <stp>BONDFNP5040123</stp>
        <stp>6월이하(당일)</stp>
        <stp>45523</stp>
        <stp/>
        <tr r="BZ30" s="2"/>
        <tr r="BZ30" s="2"/>
      </tp>
      <tp>
        <v>3.7989999999999999</v>
        <stp/>
        <stp>P</stp>
        <stp>0</stp>
        <stp>IR</stp>
        <stp>BONDNIC5040113</stp>
        <stp>6월이하(당일)</stp>
        <stp>45523</stp>
        <stp/>
        <tr r="BJ30" s="2"/>
        <tr r="BJ30" s="2"/>
      </tp>
      <tp>
        <v>3.9820000000000002</v>
        <stp/>
        <stp>P</stp>
        <stp>0</stp>
        <stp>IR</stp>
        <stp>BONDNIC5050112</stp>
        <stp>6월이하(당일)</stp>
        <stp>45523</stp>
        <stp/>
        <tr r="BJ32" s="2"/>
        <tr r="BJ32" s="2"/>
      </tp>
      <tp>
        <v>3.6259999999999999</v>
        <stp/>
        <stp>P</stp>
        <stp>0</stp>
        <stp>IR</stp>
        <stp>BONDNIC5040112</stp>
        <stp>6월이하(당일)</stp>
        <stp>45523</stp>
        <stp/>
        <tr r="BJ29" s="2"/>
        <tr r="BJ29" s="2"/>
      </tp>
      <tp>
        <v>4.069</v>
        <stp/>
        <stp>P</stp>
        <stp>0</stp>
        <stp>IR</stp>
        <stp>BONDNIC5050113</stp>
        <stp>6월이하(당일)</stp>
        <stp>45523</stp>
        <stp/>
        <tr r="BJ33" s="2"/>
        <tr r="BJ33" s="2"/>
      </tp>
      <tp>
        <v>3.4220000000000002</v>
        <stp/>
        <stp>P</stp>
        <stp>0</stp>
        <stp>IR</stp>
        <stp>BONDNIC5040111</stp>
        <stp>6월이하(당일)</stp>
        <stp>45523</stp>
        <stp/>
        <tr r="BJ28" s="2"/>
        <tr r="BJ28" s="2"/>
      </tp>
      <tp>
        <v>3.907</v>
        <stp/>
        <stp>P</stp>
        <stp>0</stp>
        <stp>IR</stp>
        <stp>BONDNIC5050111</stp>
        <stp>6월이하(당일)</stp>
        <stp>45523</stp>
        <stp/>
        <tr r="BJ31" s="2"/>
        <tr r="BJ31" s="2"/>
      </tp>
      <tp>
        <v>3.42</v>
        <stp/>
        <stp>P</stp>
        <stp>0</stp>
        <stp>IR</stp>
        <stp>BONDNIC5030110</stp>
        <stp>6월이하(당일)</stp>
        <stp>45523</stp>
        <stp/>
        <tr r="BJ27" s="2"/>
        <tr r="BJ27" s="2"/>
      </tp>
      <tp>
        <v>3.391</v>
        <stp/>
        <stp>P</stp>
        <stp>0</stp>
        <stp>IR</stp>
        <stp>BONDNIC5020110</stp>
        <stp>6월이하(당일)</stp>
        <stp>45523</stp>
        <stp/>
        <tr r="BJ25" s="2"/>
        <tr r="BJ25" s="2"/>
      </tp>
      <tp>
        <v>3.391</v>
        <stp/>
        <stp>P</stp>
        <stp>0</stp>
        <stp>IR</stp>
        <stp>BONDNIC5010110</stp>
        <stp>6월이하(당일)</stp>
        <stp>45523</stp>
        <stp/>
        <tr r="BJ23" s="2"/>
        <tr r="BJ23" s="2"/>
      </tp>
      <tp>
        <v>3.41</v>
        <stp/>
        <stp>P</stp>
        <stp>0</stp>
        <stp>IR</stp>
        <stp>BONDNIC4050000</stp>
        <stp>6월이하(당일)</stp>
        <stp>45523</stp>
        <stp/>
        <tr r="BJ22" s="2"/>
        <tr r="BJ22" s="2"/>
      </tp>
      <tp>
        <v>3.35</v>
        <stp/>
        <stp>P</stp>
        <stp>0</stp>
        <stp>IR</stp>
        <stp>BONDNIC1030000</stp>
        <stp>3월이하(당일)</stp>
        <stp>45523</stp>
        <stp/>
        <tr r="BI10" s="2"/>
        <tr r="BI10" s="2"/>
      </tp>
      <tp>
        <v>3.145</v>
        <stp/>
        <stp>P</stp>
        <stp>0</stp>
        <stp>IR</stp>
        <stp>BONDNIC1020000</stp>
        <stp>3월이하(당일)</stp>
        <stp>45523</stp>
        <stp/>
        <tr r="BI11" s="2"/>
        <tr r="BI11" s="2"/>
      </tp>
      <tp>
        <v>3.35</v>
        <stp/>
        <stp>P</stp>
        <stp>0</stp>
        <stp>IR</stp>
        <stp>BONDNIC1010000</stp>
        <stp>3월이하(당일)</stp>
        <stp>45523</stp>
        <stp/>
        <tr r="BI9" s="2"/>
        <tr r="BI9" s="2"/>
      </tp>
      <tp>
        <v>2.875</v>
        <stp/>
        <stp>P</stp>
        <stp>0</stp>
        <stp>IR</stp>
        <stp>BONDNIC1015000</stp>
        <stp>3월이하(당일)</stp>
        <stp>45523</stp>
        <stp/>
        <tr r="BI12" s="2"/>
        <tr r="BI12" s="2"/>
      </tp>
      <tp>
        <v>3.14</v>
        <stp/>
        <stp>P</stp>
        <stp>0</stp>
        <stp>IR</stp>
        <stp>BONDNIC4000000</stp>
        <stp>6월이하(당일)</stp>
        <stp>45523</stp>
        <stp/>
        <tr r="BJ20" s="2"/>
        <tr r="BJ20" s="2"/>
      </tp>
      <tp>
        <v>3.4060000000000001</v>
        <stp/>
        <stp>P</stp>
        <stp>0</stp>
        <stp>IR</stp>
        <stp>BONDKIS4050000</stp>
        <stp>6월이하(당일)</stp>
        <stp>45523</stp>
        <stp/>
        <tr r="AT22" s="2"/>
        <tr r="AT22" s="2"/>
      </tp>
      <tp>
        <v>3.34</v>
        <stp/>
        <stp>P</stp>
        <stp>0</stp>
        <stp>IR</stp>
        <stp>BONDKIS1030000</stp>
        <stp>3월이하(당일)</stp>
        <stp>45523</stp>
        <stp/>
        <tr r="AS10" s="2"/>
        <tr r="AS10" s="2"/>
      </tp>
      <tp>
        <v>3.11</v>
        <stp/>
        <stp>P</stp>
        <stp>0</stp>
        <stp>IR</stp>
        <stp>BONDKIS1020000</stp>
        <stp>3월이하(당일)</stp>
        <stp>45523</stp>
        <stp/>
        <tr r="AS11" s="2"/>
        <tr r="AS11" s="2"/>
      </tp>
      <tp>
        <v>3.33</v>
        <stp/>
        <stp>P</stp>
        <stp>0</stp>
        <stp>IR</stp>
        <stp>BONDKIS1013000</stp>
        <stp>3월이하(당일)</stp>
        <stp>45523</stp>
        <stp/>
        <tr r="AS9" s="2"/>
        <tr r="AS9" s="2"/>
      </tp>
      <tp>
        <v>3.1819999999999999</v>
        <stp/>
        <stp>P</stp>
        <stp>0</stp>
        <stp>IR</stp>
        <stp>BONDKIS4003000</stp>
        <stp>6월이하(당일)</stp>
        <stp>45523</stp>
        <stp/>
        <tr r="AT20" s="2"/>
        <tr r="AT20" s="2"/>
      </tp>
      <tp>
        <v>3.4</v>
        <stp/>
        <stp>P</stp>
        <stp>0</stp>
        <stp>IR</stp>
        <stp>BONDKSD4050000</stp>
        <stp>6월이하(당일)</stp>
        <stp>45523</stp>
        <stp/>
        <tr r="CP22" s="2"/>
        <tr r="CP22" s="2"/>
      </tp>
      <tp>
        <v>3.3380000000000001</v>
        <stp/>
        <stp>P</stp>
        <stp>0</stp>
        <stp>IR</stp>
        <stp>BONDKSD1010000</stp>
        <stp>3월이하(당일)</stp>
        <stp>45523</stp>
        <stp/>
        <tr r="CO9" s="2"/>
        <tr r="CO9" s="2"/>
      </tp>
      <tp>
        <v>3.1659999999999999</v>
        <stp/>
        <stp>P</stp>
        <stp>0</stp>
        <stp>IR</stp>
        <stp>BONDKSD4000000</stp>
        <stp>6월이하(당일)</stp>
        <stp>45523</stp>
        <stp/>
        <tr r="CP20" s="2"/>
        <tr r="CP20" s="2"/>
      </tp>
      <tp>
        <v>3.3439999999999999</v>
        <stp/>
        <stp>P</stp>
        <stp>0</stp>
        <stp>IR</stp>
        <stp>BONDKSD1030000</stp>
        <stp>3월이하(당일)</stp>
        <stp>45523</stp>
        <stp/>
        <tr r="CO10" s="2"/>
        <tr r="CO10" s="2"/>
      </tp>
      <tp>
        <v>3.1280000000000001</v>
        <stp/>
        <stp>P</stp>
        <stp>0</stp>
        <stp>IR</stp>
        <stp>BONDKSD1020000</stp>
        <stp>3월이하(당일)</stp>
        <stp>45523</stp>
        <stp/>
        <tr r="CO11" s="2"/>
        <tr r="CO11" s="2"/>
      </tp>
      <tp>
        <v>3.4220000000000002</v>
        <stp/>
        <stp>P</stp>
        <stp>0</stp>
        <stp>IR</stp>
        <stp>BONDKIS5033110</stp>
        <stp>6월이하(당일)</stp>
        <stp>45523</stp>
        <stp/>
        <tr r="AT27" s="2"/>
        <tr r="AT27" s="2"/>
      </tp>
      <tp>
        <v>7.3650000000000002</v>
        <stp/>
        <stp>P</stp>
        <stp>0</stp>
        <stp>IR</stp>
        <stp>BONDKIS6013212</stp>
        <stp>6월이하(당일)</stp>
        <stp>45523</stp>
        <stp/>
        <tr r="AT50" s="2"/>
        <tr r="AT50" s="2"/>
      </tp>
      <tp>
        <v>3.3940000000000001</v>
        <stp/>
        <stp>P</stp>
        <stp>0</stp>
        <stp>IR</stp>
        <stp>BONDKIS5023110</stp>
        <stp>6월이하(당일)</stp>
        <stp>45523</stp>
        <stp/>
        <tr r="AT25" s="2"/>
        <tr r="AT25" s="2"/>
      </tp>
      <tp>
        <v>8.7029999999999994</v>
        <stp/>
        <stp>P</stp>
        <stp>0</stp>
        <stp>IR</stp>
        <stp>BONDKIS6013213</stp>
        <stp>6월이하(당일)</stp>
        <stp>45523</stp>
        <stp/>
        <tr r="AT51" s="2"/>
        <tr r="AT51" s="2"/>
      </tp>
      <tp>
        <v>3.3940000000000001</v>
        <stp/>
        <stp>P</stp>
        <stp>0</stp>
        <stp>IR</stp>
        <stp>BONDKIS5013110</stp>
        <stp>6월이하(당일)</stp>
        <stp>45523</stp>
        <stp/>
        <tr r="AT23" s="2"/>
        <tr r="AT23" s="2"/>
      </tp>
      <tp>
        <v>6.6349999999999998</v>
        <stp/>
        <stp>P</stp>
        <stp>0</stp>
        <stp>IR</stp>
        <stp>BONDKIS6013211</stp>
        <stp>6월이하(당일)</stp>
        <stp>45523</stp>
        <stp/>
        <tr r="AT49" s="2"/>
        <tr r="AT49" s="2"/>
      </tp>
      <tp>
        <v>3.3889999999999998</v>
        <stp/>
        <stp>P</stp>
        <stp>0</stp>
        <stp>IR</stp>
        <stp>BONDKSD5010110</stp>
        <stp>6월이하(당일)</stp>
        <stp>45523</stp>
        <stp/>
        <tr r="CP23" s="2"/>
        <tr r="CP23" s="2"/>
      </tp>
      <tp>
        <v>7.2370000000000001</v>
        <stp/>
        <stp>P</stp>
        <stp>0</stp>
        <stp>IR</stp>
        <stp>BONDKSD6010210</stp>
        <stp>6월이하(당일)</stp>
        <stp>45523</stp>
        <stp/>
        <tr r="CP41" s="2"/>
        <tr r="CP41" s="2"/>
      </tp>
      <tp>
        <v>3.4169999999999998</v>
        <stp/>
        <stp>P</stp>
        <stp>0</stp>
        <stp>IR</stp>
        <stp>BONDKSD5030110</stp>
        <stp>6월이하(당일)</stp>
        <stp>45523</stp>
        <stp/>
        <tr r="CP27" s="2"/>
        <tr r="CP27" s="2"/>
      </tp>
      <tp>
        <v>3.3889999999999998</v>
        <stp/>
        <stp>P</stp>
        <stp>0</stp>
        <stp>IR</stp>
        <stp>BONDKSD5020110</stp>
        <stp>6월이하(당일)</stp>
        <stp>45523</stp>
        <stp/>
        <tr r="CP25" s="2"/>
        <tr r="CP25" s="2"/>
      </tp>
      <tp>
        <v>3.8340000000000001</v>
        <stp/>
        <stp>P</stp>
        <stp>0</stp>
        <stp>IR</stp>
        <stp>BONDKIS5043123</stp>
        <stp>6월이하(당일)</stp>
        <stp>45523</stp>
        <stp/>
        <tr r="AT30" s="2"/>
        <tr r="AT30" s="2"/>
      </tp>
      <tp>
        <v>3.6160000000000001</v>
        <stp/>
        <stp>P</stp>
        <stp>0</stp>
        <stp>IR</stp>
        <stp>BONDKIS5043122</stp>
        <stp>6월이하(당일)</stp>
        <stp>45523</stp>
        <stp/>
        <tr r="AT29" s="2"/>
        <tr r="AT29" s="2"/>
      </tp>
      <tp>
        <v>3.448</v>
        <stp/>
        <stp>P</stp>
        <stp>0</stp>
        <stp>IR</stp>
        <stp>BONDKIS5043121</stp>
        <stp>6월이하(당일)</stp>
        <stp>45523</stp>
        <stp/>
        <tr r="AT28" s="2"/>
        <tr r="AT28" s="2"/>
      </tp>
      <tp>
        <v>3.6179999999999999</v>
        <stp/>
        <stp>P</stp>
        <stp>0</stp>
        <stp>IR</stp>
        <stp>BONDKSD5040120</stp>
        <stp>6월이하(당일)</stp>
        <stp>45523</stp>
        <stp/>
        <tr r="CP29" s="2"/>
        <tr r="CP29" s="2"/>
      </tp>
      <tp>
        <v>3.9990000000000001</v>
        <stp/>
        <stp>P</stp>
        <stp>0</stp>
        <stp>IR</stp>
        <stp>BONDKIS5053132</stp>
        <stp>6월이하(당일)</stp>
        <stp>45523</stp>
        <stp/>
        <tr r="AT32" s="2"/>
        <tr r="AT32" s="2"/>
      </tp>
      <tp>
        <v>4.0890000000000004</v>
        <stp/>
        <stp>P</stp>
        <stp>0</stp>
        <stp>IR</stp>
        <stp>BONDKIS5053133</stp>
        <stp>6월이하(당일)</stp>
        <stp>45523</stp>
        <stp/>
        <tr r="AT33" s="2"/>
        <tr r="AT33" s="2"/>
      </tp>
      <tp>
        <v>3.919</v>
        <stp/>
        <stp>P</stp>
        <stp>0</stp>
        <stp>IR</stp>
        <stp>BONDKIS5053131</stp>
        <stp>6월이하(당일)</stp>
        <stp>45523</stp>
        <stp/>
        <tr r="AT31" s="2"/>
        <tr r="AT31" s="2"/>
      </tp>
      <tp>
        <v>3.9220000000000002</v>
        <stp/>
        <stp>P</stp>
        <stp>0</stp>
        <stp>IR</stp>
        <stp>BONDKSD5050131</stp>
        <stp>6월이하(당일)</stp>
        <stp>45523</stp>
        <stp/>
        <tr r="CP31" s="2"/>
        <tr r="CP31" s="2"/>
      </tp>
      <tp>
        <v>5.5250000000000004</v>
        <stp/>
        <stp>P</stp>
        <stp>0</stp>
        <stp>IR</stp>
        <stp>BONDFNP8010123</stp>
        <stp>15년이하(당일)</stp>
        <stp>45523</stp>
        <stp/>
        <tr r="CK76" s="2"/>
        <tr r="CK76" s="2"/>
      </tp>
      <tp>
        <v>5.2270000000000003</v>
        <stp/>
        <stp>P</stp>
        <stp>0</stp>
        <stp>IR</stp>
        <stp>BONDFNP7010123</stp>
        <stp>15년이하(당일)</stp>
        <stp>45523</stp>
        <stp/>
        <tr r="CK66" s="2"/>
        <tr r="CK66" s="2"/>
      </tp>
      <tp>
        <v>3.7629999999999999</v>
        <stp/>
        <stp>P</stp>
        <stp>0</stp>
        <stp>IR</stp>
        <stp>BONDFNP7020120</stp>
        <stp>15년이하(당일)</stp>
        <stp>45523</stp>
        <stp/>
        <tr r="CK53" s="2"/>
        <tr r="CK53" s="2"/>
      </tp>
      <tp>
        <v>5.1449999999999996</v>
        <stp/>
        <stp>P</stp>
        <stp>0</stp>
        <stp>IR</stp>
        <stp>BONDFNP6010123</stp>
        <stp>15년이하(당일)</stp>
        <stp>45523</stp>
        <stp/>
        <tr r="CK36" s="2"/>
        <tr r="CK36" s="2"/>
      </tp>
      <tp>
        <v>5.0369999999999999</v>
        <stp/>
        <stp>P</stp>
        <stp>0</stp>
        <stp>IR</stp>
        <stp>BONDFNP8010122</stp>
        <stp>15년이하(당일)</stp>
        <stp>45523</stp>
        <stp/>
        <tr r="CK75" s="2"/>
        <tr r="CK75" s="2"/>
      </tp>
      <tp>
        <v>4.7439999999999998</v>
        <stp/>
        <stp>P</stp>
        <stp>0</stp>
        <stp>IR</stp>
        <stp>BONDFNP7010122</stp>
        <stp>15년이하(당일)</stp>
        <stp>45523</stp>
        <stp/>
        <tr r="CK65" s="2"/>
        <tr r="CK65" s="2"/>
      </tp>
      <tp>
        <v>4.8959999999999999</v>
        <stp/>
        <stp>P</stp>
        <stp>0</stp>
        <stp>IR</stp>
        <stp>BONDFNP6010122</stp>
        <stp>15년이하(당일)</stp>
        <stp>45523</stp>
        <stp/>
        <tr r="CK35" s="2"/>
        <tr r="CK35" s="2"/>
      </tp>
      <tp>
        <v>4.4180000000000001</v>
        <stp/>
        <stp>P</stp>
        <stp>0</stp>
        <stp>IR</stp>
        <stp>BONDFNP8010121</stp>
        <stp>15년이하(당일)</stp>
        <stp>45523</stp>
        <stp/>
        <tr r="CK74" s="2"/>
        <tr r="CK74" s="2"/>
      </tp>
      <tp>
        <v>4.1870000000000003</v>
        <stp/>
        <stp>P</stp>
        <stp>0</stp>
        <stp>IR</stp>
        <stp>BONDFNP7010121</stp>
        <stp>15년이하(당일)</stp>
        <stp>45523</stp>
        <stp/>
        <tr r="CK64" s="2"/>
        <tr r="CK64" s="2"/>
      </tp>
      <tp>
        <v>4.7190000000000003</v>
        <stp/>
        <stp>P</stp>
        <stp>0</stp>
        <stp>IR</stp>
        <stp>BONDFNP6010121</stp>
        <stp>15년이하(당일)</stp>
        <stp>45523</stp>
        <stp/>
        <tr r="CK34" s="2"/>
        <tr r="CK34" s="2"/>
      </tp>
      <tp>
        <v>4.2030000000000003</v>
        <stp/>
        <stp>P</stp>
        <stp>0</stp>
        <stp>IR</stp>
        <stp>BONDFNP5040122</stp>
        <stp>15년이하(당일)</stp>
        <stp>45523</stp>
        <stp/>
        <tr r="CK29" s="2"/>
        <tr r="CK29" s="2"/>
      </tp>
      <tp>
        <v>3.581</v>
        <stp/>
        <stp>P</stp>
        <stp>0</stp>
        <stp>IR</stp>
        <stp>BONDFNP3040122</stp>
        <stp>15년이하(당일)</stp>
        <stp>45523</stp>
        <stp/>
        <tr r="CK18" s="2"/>
        <tr r="CK18" s="2"/>
      </tp>
      <tp>
        <v>4.4480000000000004</v>
        <stp/>
        <stp>P</stp>
        <stp>0</stp>
        <stp>IR</stp>
        <stp>BONDFNP5040123</stp>
        <stp>15년이하(당일)</stp>
        <stp>45523</stp>
        <stp/>
        <tr r="CK30" s="2"/>
        <tr r="CK30" s="2"/>
      </tp>
      <tp>
        <v>3.6850000000000001</v>
        <stp/>
        <stp>P</stp>
        <stp>0</stp>
        <stp>IR</stp>
        <stp>BONDFNP3040123</stp>
        <stp>15년이하(당일)</stp>
        <stp>45523</stp>
        <stp/>
        <tr r="CK19" s="2"/>
        <tr r="CK19" s="2"/>
      </tp>
      <tp>
        <v>3.8410000000000002</v>
        <stp/>
        <stp>P</stp>
        <stp>0</stp>
        <stp>IR</stp>
        <stp>BONDFNP5040121</stp>
        <stp>15년이하(당일)</stp>
        <stp>45523</stp>
        <stp/>
        <tr r="CK28" s="2"/>
        <tr r="CK28" s="2"/>
      </tp>
      <tp>
        <v>3.39</v>
        <stp/>
        <stp>P</stp>
        <stp>0</stp>
        <stp>IR</stp>
        <stp>BONDFNP3040121</stp>
        <stp>15년이하(당일)</stp>
        <stp>45523</stp>
        <stp/>
        <tr r="CK17" s="2"/>
        <tr r="CK17" s="2"/>
      </tp>
      <tp>
        <v>4.8819999999999997</v>
        <stp/>
        <stp>P</stp>
        <stp>0</stp>
        <stp>IR</stp>
        <stp>BONDFNP7010211</stp>
        <stp>6월이하(당일)</stp>
        <stp>45523</stp>
        <stp/>
        <tr r="BZ70" s="2"/>
        <tr r="BZ70" s="2"/>
      </tp>
      <tp>
        <v>6.181</v>
        <stp/>
        <stp>P</stp>
        <stp>0</stp>
        <stp>IR</stp>
        <stp>BONDFNP7010213</stp>
        <stp>6월이하(당일)</stp>
        <stp>45523</stp>
        <stp/>
        <tr r="BZ72" s="2"/>
        <tr r="BZ72" s="2"/>
      </tp>
      <tp>
        <v>3.3969999999999998</v>
        <stp/>
        <stp>P</stp>
        <stp>0</stp>
        <stp>IR</stp>
        <stp>BONDFNP7020210</stp>
        <stp>6월이하(당일)</stp>
        <stp>45523</stp>
        <stp/>
        <tr r="BZ55" s="2"/>
        <tr r="BZ55" s="2"/>
      </tp>
      <tp>
        <v>5.38</v>
        <stp/>
        <stp>P</stp>
        <stp>0</stp>
        <stp>IR</stp>
        <stp>BONDFNP7010212</stp>
        <stp>6월이하(당일)</stp>
        <stp>45523</stp>
        <stp/>
        <tr r="BZ71" s="2"/>
        <tr r="BZ71" s="2"/>
      </tp>
      <tp>
        <v>5.6029999999999998</v>
        <stp/>
        <stp>P</stp>
        <stp>0</stp>
        <stp>IR</stp>
        <stp>BONDFNP8110211</stp>
        <stp>9월이하(당일)</stp>
        <stp>45523</stp>
        <stp/>
        <tr r="CA80" s="2"/>
        <tr r="CA80" s="2"/>
      </tp>
      <tp>
        <v>7.3719999999999999</v>
        <stp/>
        <stp>P</stp>
        <stp>0</stp>
        <stp>IR</stp>
        <stp>BONDFNP8110213</stp>
        <stp>9월이하(당일)</stp>
        <stp>45523</stp>
        <stp/>
        <tr r="CA82" s="2"/>
        <tr r="CA82" s="2"/>
      </tp>
      <tp>
        <v>6.18</v>
        <stp/>
        <stp>P</stp>
        <stp>0</stp>
        <stp>IR</stp>
        <stp>BONDFNP8110212</stp>
        <stp>9월이하(당일)</stp>
        <stp>45523</stp>
        <stp/>
        <tr r="CA81" s="2"/>
        <tr r="CA81" s="2"/>
      </tp>
      <tp>
        <v>5.367</v>
        <stp/>
        <stp>P</stp>
        <stp>0</stp>
        <stp>IR</stp>
        <stp>BONDKIS7010212</stp>
        <stp>6월이하(당일)</stp>
        <stp>45523</stp>
        <stp/>
        <tr r="AT71" s="2"/>
        <tr r="AT71" s="2"/>
      </tp>
      <tp>
        <v>6.1319999999999997</v>
        <stp/>
        <stp>P</stp>
        <stp>0</stp>
        <stp>IR</stp>
        <stp>BONDKIS8010212</stp>
        <stp>9월이하(당일)</stp>
        <stp>45523</stp>
        <stp/>
        <tr r="AU81" s="2"/>
        <tr r="AU81" s="2"/>
      </tp>
      <tp>
        <v>6.1619999999999999</v>
        <stp/>
        <stp>P</stp>
        <stp>0</stp>
        <stp>IR</stp>
        <stp>BONDKIS7010213</stp>
        <stp>6월이하(당일)</stp>
        <stp>45523</stp>
        <stp/>
        <tr r="AT72" s="2"/>
        <tr r="AT72" s="2"/>
      </tp>
      <tp>
        <v>3.3660000000000001</v>
        <stp/>
        <stp>P</stp>
        <stp>0</stp>
        <stp>IR</stp>
        <stp>BONDKIS7020210</stp>
        <stp>6월이하(당일)</stp>
        <stp>45523</stp>
        <stp/>
        <tr r="AT55" s="2"/>
        <tr r="AT55" s="2"/>
      </tp>
      <tp>
        <v>7.6070000000000002</v>
        <stp/>
        <stp>P</stp>
        <stp>0</stp>
        <stp>IR</stp>
        <stp>BONDKIS8010213</stp>
        <stp>9월이하(당일)</stp>
        <stp>45523</stp>
        <stp/>
        <tr r="AU82" s="2"/>
        <tr r="AU82" s="2"/>
      </tp>
      <tp>
        <v>4.867</v>
        <stp/>
        <stp>P</stp>
        <stp>0</stp>
        <stp>IR</stp>
        <stp>BONDKIS7010211</stp>
        <stp>6월이하(당일)</stp>
        <stp>45523</stp>
        <stp/>
        <tr r="AT70" s="2"/>
        <tr r="AT70" s="2"/>
      </tp>
      <tp>
        <v>5.532</v>
        <stp/>
        <stp>P</stp>
        <stp>0</stp>
        <stp>IR</stp>
        <stp>BONDKIS8010211</stp>
        <stp>9월이하(당일)</stp>
        <stp>45523</stp>
        <stp/>
        <tr r="AU80" s="2"/>
        <tr r="AU80" s="2"/>
      </tp>
      <tp>
        <v>4.8540000000000001</v>
        <stp/>
        <stp>P</stp>
        <stp>0</stp>
        <stp>IR</stp>
        <stp>BONDKSD7010211</stp>
        <stp>6월이하(당일)</stp>
        <stp>45523</stp>
        <stp/>
        <tr r="CP70" s="2"/>
        <tr r="CP70" s="2"/>
      </tp>
      <tp>
        <v>5.3609999999999998</v>
        <stp/>
        <stp>P</stp>
        <stp>0</stp>
        <stp>IR</stp>
        <stp>BONDKSD7010212</stp>
        <stp>6월이하(당일)</stp>
        <stp>45523</stp>
        <stp/>
        <tr r="CP71" s="2"/>
        <tr r="CP71" s="2"/>
      </tp>
      <tp>
        <v>6.1630000000000003</v>
        <stp/>
        <stp>P</stp>
        <stp>0</stp>
        <stp>IR</stp>
        <stp>BONDKSD7010213</stp>
        <stp>6월이하(당일)</stp>
        <stp>45523</stp>
        <stp/>
        <tr r="CP72" s="2"/>
        <tr r="CP72" s="2"/>
      </tp>
      <tp>
        <v>3.718</v>
        <stp/>
        <stp>P</stp>
        <stp>0</stp>
        <stp>IR</stp>
        <stp>BONDKSD7020210</stp>
        <stp>6월이하(당일)</stp>
        <stp>45523</stp>
        <stp/>
        <tr r="CP55" s="2"/>
        <tr r="CP55" s="2"/>
      </tp>
      <tp>
        <v>7.0789999999999997</v>
        <stp/>
        <stp>P</stp>
        <stp>0</stp>
        <stp>IR</stp>
        <stp>BONDFNP8010133</stp>
        <stp>15년이하(당일)</stp>
        <stp>45523</stp>
        <stp/>
        <tr r="CK79" s="2"/>
        <tr r="CK79" s="2"/>
      </tp>
      <tp>
        <v>6.5129999999999999</v>
        <stp/>
        <stp>P</stp>
        <stp>0</stp>
        <stp>IR</stp>
        <stp>BONDFNP7010133</stp>
        <stp>15년이하(당일)</stp>
        <stp>45523</stp>
        <stp/>
        <tr r="CK69" s="2"/>
        <tr r="CK69" s="2"/>
      </tp>
      <tp>
        <v>4.0220000000000002</v>
        <stp/>
        <stp>P</stp>
        <stp>0</stp>
        <stp>IR</stp>
        <stp>BONDFNP7020130</stp>
        <stp>15년이하(당일)</stp>
        <stp>45523</stp>
        <stp/>
        <tr r="CK54" s="2"/>
        <tr r="CK54" s="2"/>
      </tp>
      <tp>
        <v>6.7290000000000001</v>
        <stp/>
        <stp>P</stp>
        <stp>0</stp>
        <stp>IR</stp>
        <stp>BONDFNP6010133</stp>
        <stp>15년이하(당일)</stp>
        <stp>45523</stp>
        <stp/>
        <tr r="CK39" s="2"/>
        <tr r="CK39" s="2"/>
      </tp>
      <tp>
        <v>6.57</v>
        <stp/>
        <stp>P</stp>
        <stp>0</stp>
        <stp>IR</stp>
        <stp>BONDFNP8010132</stp>
        <stp>15년이하(당일)</stp>
        <stp>45523</stp>
        <stp/>
        <tr r="CK78" s="2"/>
        <tr r="CK78" s="2"/>
      </tp>
      <tp>
        <v>6.0190000000000001</v>
        <stp/>
        <stp>P</stp>
        <stp>0</stp>
        <stp>IR</stp>
        <stp>BONDFNP7010132</stp>
        <stp>15년이하(당일)</stp>
        <stp>45523</stp>
        <stp/>
        <tr r="CK68" s="2"/>
        <tr r="CK68" s="2"/>
      </tp>
      <tp>
        <v>6.05</v>
        <stp/>
        <stp>P</stp>
        <stp>0</stp>
        <stp>IR</stp>
        <stp>BONDFNP6010132</stp>
        <stp>15년이하(당일)</stp>
        <stp>45523</stp>
        <stp/>
        <tr r="CK38" s="2"/>
        <tr r="CK38" s="2"/>
      </tp>
      <tp>
        <v>6.085</v>
        <stp/>
        <stp>P</stp>
        <stp>0</stp>
        <stp>IR</stp>
        <stp>BONDFNP8010131</stp>
        <stp>15년이하(당일)</stp>
        <stp>45523</stp>
        <stp/>
        <tr r="CK77" s="2"/>
        <tr r="CK77" s="2"/>
      </tp>
      <tp>
        <v>5.6150000000000002</v>
        <stp/>
        <stp>P</stp>
        <stp>0</stp>
        <stp>IR</stp>
        <stp>BONDFNP7010131</stp>
        <stp>15년이하(당일)</stp>
        <stp>45523</stp>
        <stp/>
        <tr r="CK67" s="2"/>
        <tr r="CK67" s="2"/>
      </tp>
      <tp>
        <v>5.6609999999999996</v>
        <stp/>
        <stp>P</stp>
        <stp>0</stp>
        <stp>IR</stp>
        <stp>BONDFNP6010131</stp>
        <stp>15년이하(당일)</stp>
        <stp>45523</stp>
        <stp/>
        <tr r="CK37" s="2"/>
        <tr r="CK37" s="2"/>
      </tp>
      <tp>
        <v>4.9240000000000004</v>
        <stp/>
        <stp>P</stp>
        <stp>0</stp>
        <stp>IR</stp>
        <stp>BONDFNP5050133</stp>
        <stp>15년이하(당일)</stp>
        <stp>45523</stp>
        <stp/>
        <tr r="CK33" s="2"/>
        <tr r="CK33" s="2"/>
      </tp>
      <tp>
        <v>4.7939999999999996</v>
        <stp/>
        <stp>P</stp>
        <stp>0</stp>
        <stp>IR</stp>
        <stp>BONDFNP5050132</stp>
        <stp>15년이하(당일)</stp>
        <stp>45523</stp>
        <stp/>
        <tr r="CK32" s="2"/>
        <tr r="CK32" s="2"/>
      </tp>
      <tp>
        <v>4.6500000000000004</v>
        <stp/>
        <stp>P</stp>
        <stp>0</stp>
        <stp>IR</stp>
        <stp>BONDFNP5050131</stp>
        <stp>15년이하(당일)</stp>
        <stp>45523</stp>
        <stp/>
        <tr r="CK31" s="2"/>
        <tr r="CK31" s="2"/>
      </tp>
      <tp>
        <v>3.3780000000000001</v>
        <stp/>
        <stp>P</stp>
        <stp>0</stp>
        <stp>IR</stp>
        <stp>BONDFNP7010110</stp>
        <stp>6월이하(당일)</stp>
        <stp>45523</stp>
        <stp/>
        <tr r="BZ63" s="2"/>
        <tr r="BZ63" s="2"/>
      </tp>
      <tp>
        <v>3.46</v>
        <stp/>
        <stp>P</stp>
        <stp>0</stp>
        <stp>IR</stp>
        <stp>BONDFNP8010110</stp>
        <stp>9월이하(당일)</stp>
        <stp>45523</stp>
        <stp/>
        <tr r="CA73" s="2"/>
        <tr r="CA73" s="2"/>
      </tp>
      <tp>
        <v>3.3889999999999998</v>
        <stp/>
        <stp>P</stp>
        <stp>0</stp>
        <stp>IR</stp>
        <stp>BONDFNP7020110</stp>
        <stp>6월이하(당일)</stp>
        <stp>45523</stp>
        <stp/>
        <tr r="BZ52" s="2"/>
        <tr r="BZ52" s="2"/>
      </tp>
      <tp>
        <v>3.3849999999999998</v>
        <stp/>
        <stp>P</stp>
        <stp>0</stp>
        <stp>IR</stp>
        <stp>BONDFNP3050000</stp>
        <stp>3월이하(당일)</stp>
        <stp>45523</stp>
        <stp/>
        <tr r="BY15" s="2"/>
        <tr r="BY15" s="2"/>
      </tp>
      <tp>
        <v>3.3889999999999998</v>
        <stp/>
        <stp>P</stp>
        <stp>0</stp>
        <stp>IR</stp>
        <stp>BONDFNP3060000</stp>
        <stp>3월이하(당일)</stp>
        <stp>45523</stp>
        <stp/>
        <tr r="BY83" s="2"/>
        <tr r="BY83" s="2"/>
      </tp>
      <tp>
        <v>3.569</v>
        <stp/>
        <stp>P</stp>
        <stp>0</stp>
        <stp>IR</stp>
        <stp>BONDFNP7010131</stp>
        <stp>6월이하(당일)</stp>
        <stp>45523</stp>
        <stp/>
        <tr r="BZ67" s="2"/>
        <tr r="BZ67" s="2"/>
      </tp>
      <tp>
        <v>3.8460000000000001</v>
        <stp/>
        <stp>P</stp>
        <stp>0</stp>
        <stp>IR</stp>
        <stp>BONDFNP8010131</stp>
        <stp>9월이하(당일)</stp>
        <stp>45523</stp>
        <stp/>
        <tr r="CA77" s="2"/>
        <tr r="CA77" s="2"/>
      </tp>
      <tp>
        <v>3.9620000000000002</v>
        <stp/>
        <stp>P</stp>
        <stp>0</stp>
        <stp>IR</stp>
        <stp>BONDFNP7010133</stp>
        <stp>6월이하(당일)</stp>
        <stp>45523</stp>
        <stp/>
        <tr r="BZ69" s="2"/>
        <tr r="BZ69" s="2"/>
      </tp>
      <tp>
        <v>3.5249999999999999</v>
        <stp/>
        <stp>P</stp>
        <stp>0</stp>
        <stp>IR</stp>
        <stp>BONDFNP7020130</stp>
        <stp>6월이하(당일)</stp>
        <stp>45523</stp>
        <stp/>
        <tr r="BZ54" s="2"/>
        <tr r="BZ54" s="2"/>
      </tp>
      <tp>
        <v>4.3150000000000004</v>
        <stp/>
        <stp>P</stp>
        <stp>0</stp>
        <stp>IR</stp>
        <stp>BONDFNP8010133</stp>
        <stp>9월이하(당일)</stp>
        <stp>45523</stp>
        <stp/>
        <tr r="CA79" s="2"/>
        <tr r="CA79" s="2"/>
      </tp>
      <tp>
        <v>3.7309999999999999</v>
        <stp/>
        <stp>P</stp>
        <stp>0</stp>
        <stp>IR</stp>
        <stp>BONDFNP7010132</stp>
        <stp>6월이하(당일)</stp>
        <stp>45523</stp>
        <stp/>
        <tr r="BZ68" s="2"/>
        <tr r="BZ68" s="2"/>
      </tp>
      <tp>
        <v>4.0330000000000004</v>
        <stp/>
        <stp>P</stp>
        <stp>0</stp>
        <stp>IR</stp>
        <stp>BONDFNP8010132</stp>
        <stp>9월이하(당일)</stp>
        <stp>45523</stp>
        <stp/>
        <tr r="CA78" s="2"/>
        <tr r="CA78" s="2"/>
      </tp>
      <tp>
        <v>3.391</v>
        <stp/>
        <stp>P</stp>
        <stp>0</stp>
        <stp>IR</stp>
        <stp>BONDFNP7010121</stp>
        <stp>6월이하(당일)</stp>
        <stp>45523</stp>
        <stp/>
        <tr r="BZ64" s="2"/>
        <tr r="BZ64" s="2"/>
      </tp>
      <tp>
        <v>3.512</v>
        <stp/>
        <stp>P</stp>
        <stp>0</stp>
        <stp>IR</stp>
        <stp>BONDFNP8010121</stp>
        <stp>9월이하(당일)</stp>
        <stp>45523</stp>
        <stp/>
        <tr r="CA74" s="2"/>
        <tr r="CA74" s="2"/>
      </tp>
      <tp>
        <v>3.444</v>
        <stp/>
        <stp>P</stp>
        <stp>0</stp>
        <stp>IR</stp>
        <stp>BONDFNP7010123</stp>
        <stp>6월이하(당일)</stp>
        <stp>45523</stp>
        <stp/>
        <tr r="BZ66" s="2"/>
        <tr r="BZ66" s="2"/>
      </tp>
      <tp>
        <v>3.4239999999999999</v>
        <stp/>
        <stp>P</stp>
        <stp>0</stp>
        <stp>IR</stp>
        <stp>BONDFNP7020120</stp>
        <stp>6월이하(당일)</stp>
        <stp>45523</stp>
        <stp/>
        <tr r="BZ53" s="2"/>
        <tr r="BZ53" s="2"/>
      </tp>
      <tp>
        <v>3.6080000000000001</v>
        <stp/>
        <stp>P</stp>
        <stp>0</stp>
        <stp>IR</stp>
        <stp>BONDFNP8010123</stp>
        <stp>9월이하(당일)</stp>
        <stp>45523</stp>
        <stp/>
        <tr r="CA76" s="2"/>
        <tr r="CA76" s="2"/>
      </tp>
      <tp>
        <v>3.4140000000000001</v>
        <stp/>
        <stp>P</stp>
        <stp>0</stp>
        <stp>IR</stp>
        <stp>BONDFNP7010122</stp>
        <stp>6월이하(당일)</stp>
        <stp>45523</stp>
        <stp/>
        <tr r="BZ65" s="2"/>
        <tr r="BZ65" s="2"/>
      </tp>
      <tp>
        <v>3.5489999999999999</v>
        <stp/>
        <stp>P</stp>
        <stp>0</stp>
        <stp>IR</stp>
        <stp>BONDFNP8010122</stp>
        <stp>9월이하(당일)</stp>
        <stp>45523</stp>
        <stp/>
        <tr r="CA75" s="2"/>
        <tr r="CA75" s="2"/>
      </tp>
      <tp>
        <v>3.4660000000000002</v>
        <stp/>
        <stp>P</stp>
        <stp>0</stp>
        <stp>IR</stp>
        <stp>BONDNIC7040113</stp>
        <stp>6월이하(당일)</stp>
        <stp>45523</stp>
        <stp/>
        <tr r="BJ66" s="2"/>
        <tr r="BJ66" s="2"/>
      </tp>
      <tp>
        <v>3.6840000000000002</v>
        <stp/>
        <stp>P</stp>
        <stp>0</stp>
        <stp>IR</stp>
        <stp>BONDNIC7050112</stp>
        <stp>6월이하(당일)</stp>
        <stp>45523</stp>
        <stp/>
        <tr r="BJ68" s="2"/>
        <tr r="BJ68" s="2"/>
      </tp>
      <tp>
        <v>4.7960000000000003</v>
        <stp/>
        <stp>P</stp>
        <stp>0</stp>
        <stp>IR</stp>
        <stp>BONDNIC7060111</stp>
        <stp>6월이하(당일)</stp>
        <stp>45523</stp>
        <stp/>
        <tr r="BJ70" s="2"/>
        <tr r="BJ70" s="2"/>
      </tp>
      <tp>
        <v>3.5910000000000002</v>
        <stp/>
        <stp>P</stp>
        <stp>0</stp>
        <stp>IR</stp>
        <stp>BONDNIC8040113</stp>
        <stp>9월이하(당일)</stp>
        <stp>45523</stp>
        <stp/>
        <tr r="BK76" s="2"/>
        <tr r="BK76" s="2"/>
      </tp>
      <tp>
        <v>4.0069999999999997</v>
        <stp/>
        <stp>P</stp>
        <stp>0</stp>
        <stp>IR</stp>
        <stp>BONDNIC8050112</stp>
        <stp>9월이하(당일)</stp>
        <stp>45523</stp>
        <stp/>
        <tr r="BK78" s="2"/>
        <tr r="BK78" s="2"/>
      </tp>
      <tp>
        <v>5.6239999999999997</v>
        <stp/>
        <stp>P</stp>
        <stp>0</stp>
        <stp>IR</stp>
        <stp>BONDNIC8060111</stp>
        <stp>9월이하(당일)</stp>
        <stp>45523</stp>
        <stp/>
        <tr r="BK80" s="2"/>
        <tr r="BK80" s="2"/>
      </tp>
      <tp>
        <v>3.4430000000000001</v>
        <stp/>
        <stp>P</stp>
        <stp>0</stp>
        <stp>IR</stp>
        <stp>BONDNIC7040112</stp>
        <stp>6월이하(당일)</stp>
        <stp>45523</stp>
        <stp/>
        <tr r="BJ65" s="2"/>
        <tr r="BJ65" s="2"/>
      </tp>
      <tp>
        <v>3.9390000000000001</v>
        <stp/>
        <stp>P</stp>
        <stp>0</stp>
        <stp>IR</stp>
        <stp>BONDNIC7050113</stp>
        <stp>6월이하(당일)</stp>
        <stp>45523</stp>
        <stp/>
        <tr r="BJ69" s="2"/>
        <tr r="BJ69" s="2"/>
      </tp>
      <tp>
        <v>3.5569999999999999</v>
        <stp/>
        <stp>P</stp>
        <stp>0</stp>
        <stp>IR</stp>
        <stp>BONDNIC8040112</stp>
        <stp>9월이하(당일)</stp>
        <stp>45523</stp>
        <stp/>
        <tr r="BK75" s="2"/>
        <tr r="BK75" s="2"/>
      </tp>
      <tp>
        <v>4.3170000000000002</v>
        <stp/>
        <stp>P</stp>
        <stp>0</stp>
        <stp>IR</stp>
        <stp>BONDNIC8050113</stp>
        <stp>9월이하(당일)</stp>
        <stp>45523</stp>
        <stp/>
        <tr r="BK79" s="2"/>
        <tr r="BK79" s="2"/>
      </tp>
      <tp>
        <v>3.4249999999999998</v>
        <stp/>
        <stp>P</stp>
        <stp>0</stp>
        <stp>IR</stp>
        <stp>BONDNIC7040111</stp>
        <stp>6월이하(당일)</stp>
        <stp>45523</stp>
        <stp/>
        <tr r="BJ64" s="2"/>
        <tr r="BJ64" s="2"/>
      </tp>
      <tp>
        <v>6.141</v>
        <stp/>
        <stp>P</stp>
        <stp>0</stp>
        <stp>IR</stp>
        <stp>BONDNIC7060113</stp>
        <stp>6월이하(당일)</stp>
        <stp>45523</stp>
        <stp/>
        <tr r="BJ72" s="2"/>
        <tr r="BJ72" s="2"/>
      </tp>
      <tp>
        <v>3.5070000000000001</v>
        <stp/>
        <stp>P</stp>
        <stp>0</stp>
        <stp>IR</stp>
        <stp>BONDNIC8040111</stp>
        <stp>9월이하(당일)</stp>
        <stp>45523</stp>
        <stp/>
        <tr r="BK74" s="2"/>
        <tr r="BK74" s="2"/>
      </tp>
      <tp>
        <v>7.4390000000000001</v>
        <stp/>
        <stp>P</stp>
        <stp>0</stp>
        <stp>IR</stp>
        <stp>BONDNIC8060113</stp>
        <stp>9월이하(당일)</stp>
        <stp>45523</stp>
        <stp/>
        <tr r="BK82" s="2"/>
        <tr r="BK82" s="2"/>
      </tp>
      <tp>
        <v>3.5449999999999999</v>
        <stp/>
        <stp>P</stp>
        <stp>0</stp>
        <stp>IR</stp>
        <stp>BONDNIC7050111</stp>
        <stp>6월이하(당일)</stp>
        <stp>45523</stp>
        <stp/>
        <tr r="BJ67" s="2"/>
        <tr r="BJ67" s="2"/>
      </tp>
      <tp>
        <v>5.3310000000000004</v>
        <stp/>
        <stp>P</stp>
        <stp>0</stp>
        <stp>IR</stp>
        <stp>BONDNIC7060112</stp>
        <stp>6월이하(당일)</stp>
        <stp>45523</stp>
        <stp/>
        <tr r="BJ71" s="2"/>
        <tr r="BJ71" s="2"/>
      </tp>
      <tp>
        <v>3.8180000000000001</v>
        <stp/>
        <stp>P</stp>
        <stp>0</stp>
        <stp>IR</stp>
        <stp>BONDNIC8050111</stp>
        <stp>9월이하(당일)</stp>
        <stp>45523</stp>
        <stp/>
        <tr r="BK77" s="2"/>
        <tr r="BK77" s="2"/>
      </tp>
      <tp>
        <v>6.2640000000000002</v>
        <stp/>
        <stp>P</stp>
        <stp>0</stp>
        <stp>IR</stp>
        <stp>BONDNIC8060112</stp>
        <stp>9월이하(당일)</stp>
        <stp>45523</stp>
        <stp/>
        <tr r="BK81" s="2"/>
        <tr r="BK81" s="2"/>
      </tp>
      <tp>
        <v>3.4079999999999999</v>
        <stp/>
        <stp>P</stp>
        <stp>0</stp>
        <stp>IR</stp>
        <stp>BONDNIC7030110</stp>
        <stp>6월이하(당일)</stp>
        <stp>45523</stp>
        <stp/>
        <tr r="BJ63" s="2"/>
        <tr r="BJ63" s="2"/>
      </tp>
      <tp>
        <v>3.4729999999999999</v>
        <stp/>
        <stp>P</stp>
        <stp>0</stp>
        <stp>IR</stp>
        <stp>BONDNIC8030110</stp>
        <stp>9월이하(당일)</stp>
        <stp>45523</stp>
        <stp/>
        <tr r="BK73" s="2"/>
        <tr r="BK73" s="2"/>
      </tp>
      <tp>
        <v>3.4660000000000002</v>
        <stp/>
        <stp>P</stp>
        <stp>0</stp>
        <stp>IR</stp>
        <stp>BONDNIC7140113</stp>
        <stp>6월이하(당일)</stp>
        <stp>45523</stp>
        <stp/>
        <tr r="BJ59" s="2"/>
        <tr r="BJ59" s="2"/>
      </tp>
      <tp>
        <v>3.6840000000000002</v>
        <stp/>
        <stp>P</stp>
        <stp>0</stp>
        <stp>IR</stp>
        <stp>BONDNIC7150112</stp>
        <stp>6월이하(당일)</stp>
        <stp>45523</stp>
        <stp/>
        <tr r="BJ61" s="2"/>
        <tr r="BJ61" s="2"/>
      </tp>
      <tp>
        <v>3.4430000000000001</v>
        <stp/>
        <stp>P</stp>
        <stp>0</stp>
        <stp>IR</stp>
        <stp>BONDNIC7140112</stp>
        <stp>6월이하(당일)</stp>
        <stp>45523</stp>
        <stp/>
        <tr r="BJ58" s="2"/>
        <tr r="BJ58" s="2"/>
      </tp>
      <tp>
        <v>3.9390000000000001</v>
        <stp/>
        <stp>P</stp>
        <stp>0</stp>
        <stp>IR</stp>
        <stp>BONDNIC7150113</stp>
        <stp>6월이하(당일)</stp>
        <stp>45523</stp>
        <stp/>
        <tr r="BJ62" s="2"/>
        <tr r="BJ62" s="2"/>
      </tp>
      <tp>
        <v>3.38</v>
        <stp/>
        <stp>P</stp>
        <stp>0</stp>
        <stp>IR</stp>
        <stp>BONDNIC3050000</stp>
        <stp>3월이하(당일)</stp>
        <stp>45523</stp>
        <stp/>
        <tr r="BI15" s="2"/>
        <tr r="BI15" s="2"/>
      </tp>
      <tp>
        <v>3.4249999999999998</v>
        <stp/>
        <stp>P</stp>
        <stp>0</stp>
        <stp>IR</stp>
        <stp>BONDNIC7140111</stp>
        <stp>6월이하(당일)</stp>
        <stp>45523</stp>
        <stp/>
        <tr r="BJ57" s="2"/>
        <tr r="BJ57" s="2"/>
      </tp>
      <tp>
        <v>3.5449999999999999</v>
        <stp/>
        <stp>P</stp>
        <stp>0</stp>
        <stp>IR</stp>
        <stp>BONDNIC7150111</stp>
        <stp>6월이하(당일)</stp>
        <stp>45523</stp>
        <stp/>
        <tr r="BJ60" s="2"/>
        <tr r="BJ60" s="2"/>
      </tp>
      <tp>
        <v>3.4079999999999999</v>
        <stp/>
        <stp>P</stp>
        <stp>0</stp>
        <stp>IR</stp>
        <stp>BONDNIC7130110</stp>
        <stp>6월이하(당일)</stp>
        <stp>45523</stp>
        <stp/>
        <tr r="BJ56" s="2"/>
        <tr r="BJ56" s="2"/>
      </tp>
      <tp>
        <v>3.339</v>
        <stp/>
        <stp>P</stp>
        <stp>0</stp>
        <stp>IR</stp>
        <stp>BONDKIS3060000</stp>
        <stp>3월이하(당일)</stp>
        <stp>45523</stp>
        <stp/>
        <tr r="AS83" s="2"/>
        <tr r="AS83" s="2"/>
      </tp>
      <tp>
        <v>3.3980000000000001</v>
        <stp/>
        <stp>P</stp>
        <stp>0</stp>
        <stp>IR</stp>
        <stp>BONDKIS3050000</stp>
        <stp>3월이하(당일)</stp>
        <stp>45523</stp>
        <stp/>
        <tr r="AS15" s="2"/>
        <tr r="AS15" s="2"/>
      </tp>
      <tp>
        <v>3.3530000000000002</v>
        <stp/>
        <stp>P</stp>
        <stp>0</stp>
        <stp>IR</stp>
        <stp>BONDNIC7430110</stp>
        <stp>6월이하(당일)</stp>
        <stp>45523</stp>
        <stp/>
        <tr r="BJ83" s="2"/>
        <tr r="BJ83" s="2"/>
      </tp>
      <tp>
        <v>3.387</v>
        <stp/>
        <stp>P</stp>
        <stp>0</stp>
        <stp>IR</stp>
        <stp>BONDKSD3070000</stp>
        <stp>3월이하(당일)</stp>
        <stp>45523</stp>
        <stp/>
        <tr r="CO15" s="2"/>
        <tr r="CO15" s="2"/>
      </tp>
      <tp>
        <v>3.38</v>
        <stp/>
        <stp>P</stp>
        <stp>0</stp>
        <stp>IR</stp>
        <stp>BONDKSD3060000</stp>
        <stp>3월이하(당일)</stp>
        <stp>45523</stp>
        <stp/>
        <tr r="CO83" s="2"/>
        <tr r="CO83" s="2"/>
      </tp>
      <tp>
        <v>3.403</v>
        <stp/>
        <stp>P</stp>
        <stp>0</stp>
        <stp>IR</stp>
        <stp>BONDKIS7020110</stp>
        <stp>6월이하(당일)</stp>
        <stp>45523</stp>
        <stp/>
        <tr r="AT52" s="2"/>
        <tr r="AT52" s="2"/>
      </tp>
      <tp>
        <v>3.3570000000000002</v>
        <stp/>
        <stp>P</stp>
        <stp>0</stp>
        <stp>IR</stp>
        <stp>BONDKIS7010110</stp>
        <stp>6월이하(당일)</stp>
        <stp>45523</stp>
        <stp/>
        <tr r="AT63" s="2"/>
        <tr r="AT63" s="2"/>
      </tp>
      <tp>
        <v>3.4740000000000002</v>
        <stp/>
        <stp>P</stp>
        <stp>0</stp>
        <stp>IR</stp>
        <stp>BONDKIS8010110</stp>
        <stp>9월이하(당일)</stp>
        <stp>45523</stp>
        <stp/>
        <tr r="AU73" s="2"/>
        <tr r="AU73" s="2"/>
      </tp>
      <tp>
        <v>3.383</v>
        <stp/>
        <stp>P</stp>
        <stp>0</stp>
        <stp>IR</stp>
        <stp>BONDKSD7010110</stp>
        <stp>6월이하(당일)</stp>
        <stp>45523</stp>
        <stp/>
        <tr r="CP63" s="2"/>
        <tr r="CP63" s="2"/>
      </tp>
      <tp t="s">
        <v xml:space="preserve"> </v>
        <stp/>
        <stp>P</stp>
        <stp>0</stp>
        <stp>IR</stp>
        <stp>BONDKSD8010110</stp>
        <stp>9월이하(당일)</stp>
        <stp>45523</stp>
        <stp/>
        <tr r="CQ73" s="2"/>
        <tr r="CQ73" s="2"/>
      </tp>
      <tp>
        <v>3.4</v>
        <stp/>
        <stp>P</stp>
        <stp>0</stp>
        <stp>IR</stp>
        <stp>BONDKSD7020110</stp>
        <stp>6월이하(당일)</stp>
        <stp>45523</stp>
        <stp/>
        <tr r="CP52" s="2"/>
        <tr r="CP52" s="2"/>
      </tp>
      <tp>
        <v>3.3849999999999998</v>
        <stp/>
        <stp>P</stp>
        <stp>0</stp>
        <stp>IR</stp>
        <stp>BONDKIS7010122</stp>
        <stp>6월이하(당일)</stp>
        <stp>45523</stp>
        <stp/>
        <tr r="AT65" s="2"/>
        <tr r="AT65" s="2"/>
      </tp>
      <tp>
        <v>3.5259999999999998</v>
        <stp/>
        <stp>P</stp>
        <stp>0</stp>
        <stp>IR</stp>
        <stp>BONDKIS8010122</stp>
        <stp>9월이하(당일)</stp>
        <stp>45523</stp>
        <stp/>
        <tr r="AU75" s="2"/>
        <tr r="AU75" s="2"/>
      </tp>
      <tp>
        <v>3.4169999999999998</v>
        <stp/>
        <stp>P</stp>
        <stp>0</stp>
        <stp>IR</stp>
        <stp>BONDKIS7010123</stp>
        <stp>6월이하(당일)</stp>
        <stp>45523</stp>
        <stp/>
        <tr r="AT66" s="2"/>
        <tr r="AT66" s="2"/>
      </tp>
      <tp>
        <v>3.4350000000000001</v>
        <stp/>
        <stp>P</stp>
        <stp>0</stp>
        <stp>IR</stp>
        <stp>BONDKIS7020120</stp>
        <stp>6월이하(당일)</stp>
        <stp>45523</stp>
        <stp/>
        <tr r="AT53" s="2"/>
        <tr r="AT53" s="2"/>
      </tp>
      <tp>
        <v>3.573</v>
        <stp/>
        <stp>P</stp>
        <stp>0</stp>
        <stp>IR</stp>
        <stp>BONDKIS8010123</stp>
        <stp>9월이하(당일)</stp>
        <stp>45523</stp>
        <stp/>
        <tr r="AU76" s="2"/>
        <tr r="AU76" s="2"/>
      </tp>
      <tp>
        <v>3.379</v>
        <stp/>
        <stp>P</stp>
        <stp>0</stp>
        <stp>IR</stp>
        <stp>BONDKIS7010121</stp>
        <stp>6월이하(당일)</stp>
        <stp>45523</stp>
        <stp/>
        <tr r="AT64" s="2"/>
        <tr r="AT64" s="2"/>
      </tp>
      <tp>
        <v>3.5070000000000001</v>
        <stp/>
        <stp>P</stp>
        <stp>0</stp>
        <stp>IR</stp>
        <stp>BONDKIS8010121</stp>
        <stp>9월이하(당일)</stp>
        <stp>45523</stp>
        <stp/>
        <tr r="AU74" s="2"/>
        <tr r="AU74" s="2"/>
      </tp>
      <tp t="s">
        <v xml:space="preserve"> </v>
        <stp/>
        <stp>P</stp>
        <stp>0</stp>
        <stp>IR</stp>
        <stp>BONDKSD8010120</stp>
        <stp>9월이하(당일)</stp>
        <stp>45523</stp>
        <stp/>
        <tr r="CQ75" s="2"/>
        <tr r="CQ75" s="2"/>
      </tp>
      <tp>
        <v>3.4009999999999998</v>
        <stp/>
        <stp>P</stp>
        <stp>0</stp>
        <stp>IR</stp>
        <stp>BONDKSD7010121</stp>
        <stp>6월이하(당일)</stp>
        <stp>45523</stp>
        <stp/>
        <tr r="CP64" s="2"/>
        <tr r="CP64" s="2"/>
      </tp>
      <tp>
        <v>3.4180000000000001</v>
        <stp/>
        <stp>P</stp>
        <stp>0</stp>
        <stp>IR</stp>
        <stp>BONDKSD7010122</stp>
        <stp>6월이하(당일)</stp>
        <stp>45523</stp>
        <stp/>
        <tr r="CP65" s="2"/>
        <tr r="CP65" s="2"/>
      </tp>
      <tp>
        <v>3.444</v>
        <stp/>
        <stp>P</stp>
        <stp>0</stp>
        <stp>IR</stp>
        <stp>BONDKSD7010123</stp>
        <stp>6월이하(당일)</stp>
        <stp>45523</stp>
        <stp/>
        <tr r="CP66" s="2"/>
        <tr r="CP66" s="2"/>
      </tp>
      <tp>
        <v>3.4249999999999998</v>
        <stp/>
        <stp>P</stp>
        <stp>0</stp>
        <stp>IR</stp>
        <stp>BONDKSD7020120</stp>
        <stp>6월이하(당일)</stp>
        <stp>45523</stp>
        <stp/>
        <tr r="CP53" s="2"/>
        <tr r="CP53" s="2"/>
      </tp>
      <tp>
        <v>3.7269999999999999</v>
        <stp/>
        <stp>P</stp>
        <stp>0</stp>
        <stp>IR</stp>
        <stp>BONDKIS7010132</stp>
        <stp>6월이하(당일)</stp>
        <stp>45523</stp>
        <stp/>
        <tr r="AT68" s="2"/>
        <tr r="AT68" s="2"/>
      </tp>
      <tp>
        <v>3.9980000000000002</v>
        <stp/>
        <stp>P</stp>
        <stp>0</stp>
        <stp>IR</stp>
        <stp>BONDKIS8010132</stp>
        <stp>9월이하(당일)</stp>
        <stp>45523</stp>
        <stp/>
        <tr r="AU78" s="2"/>
        <tr r="AU78" s="2"/>
      </tp>
      <tp>
        <v>3.972</v>
        <stp/>
        <stp>P</stp>
        <stp>0</stp>
        <stp>IR</stp>
        <stp>BONDKIS7010133</stp>
        <stp>6월이하(당일)</stp>
        <stp>45523</stp>
        <stp/>
        <tr r="AT69" s="2"/>
        <tr r="AT69" s="2"/>
      </tp>
      <tp>
        <v>3.532</v>
        <stp/>
        <stp>P</stp>
        <stp>0</stp>
        <stp>IR</stp>
        <stp>BONDKIS7020130</stp>
        <stp>6월이하(당일)</stp>
        <stp>45523</stp>
        <stp/>
        <tr r="AT54" s="2"/>
        <tr r="AT54" s="2"/>
      </tp>
      <tp>
        <v>4.2759999999999998</v>
        <stp/>
        <stp>P</stp>
        <stp>0</stp>
        <stp>IR</stp>
        <stp>BONDKIS8010133</stp>
        <stp>9월이하(당일)</stp>
        <stp>45523</stp>
        <stp/>
        <tr r="AU79" s="2"/>
        <tr r="AU79" s="2"/>
      </tp>
      <tp>
        <v>3.5659999999999998</v>
        <stp/>
        <stp>P</stp>
        <stp>0</stp>
        <stp>IR</stp>
        <stp>BONDKIS7010131</stp>
        <stp>6월이하(당일)</stp>
        <stp>45523</stp>
        <stp/>
        <tr r="AT67" s="2"/>
        <tr r="AT67" s="2"/>
      </tp>
      <tp>
        <v>3.819</v>
        <stp/>
        <stp>P</stp>
        <stp>0</stp>
        <stp>IR</stp>
        <stp>BONDKIS8010131</stp>
        <stp>9월이하(당일)</stp>
        <stp>45523</stp>
        <stp/>
        <tr r="AU77" s="2"/>
        <tr r="AU77" s="2"/>
      </tp>
      <tp>
        <v>3.5609999999999999</v>
        <stp/>
        <stp>P</stp>
        <stp>0</stp>
        <stp>IR</stp>
        <stp>BONDKSD7010131</stp>
        <stp>6월이하(당일)</stp>
        <stp>45523</stp>
        <stp/>
        <tr r="CP67" s="2"/>
        <tr r="CP67" s="2"/>
      </tp>
      <tp t="s">
        <v xml:space="preserve"> </v>
        <stp/>
        <stp>P</stp>
        <stp>0</stp>
        <stp>IR</stp>
        <stp>BONDKSD8010131</stp>
        <stp>9월이하(당일)</stp>
        <stp>45523</stp>
        <stp/>
        <tr r="CQ77" s="2"/>
        <tr r="CQ77" s="2"/>
      </tp>
      <tp>
        <v>3.7170000000000001</v>
        <stp/>
        <stp>P</stp>
        <stp>0</stp>
        <stp>IR</stp>
        <stp>BONDKSD7010132</stp>
        <stp>6월이하(당일)</stp>
        <stp>45523</stp>
        <stp/>
        <tr r="CP68" s="2"/>
        <tr r="CP68" s="2"/>
      </tp>
      <tp t="s">
        <v xml:space="preserve"> </v>
        <stp/>
        <stp>P</stp>
        <stp>0</stp>
        <stp>IR</stp>
        <stp>BONDKSD8010132</stp>
        <stp>9월이하(당일)</stp>
        <stp>45523</stp>
        <stp/>
        <tr r="CQ78" s="2"/>
        <tr r="CQ78" s="2"/>
      </tp>
      <tp>
        <v>3.9569999999999999</v>
        <stp/>
        <stp>P</stp>
        <stp>0</stp>
        <stp>IR</stp>
        <stp>BONDKSD7010133</stp>
        <stp>6월이하(당일)</stp>
        <stp>45523</stp>
        <stp/>
        <tr r="CP69" s="2"/>
        <tr r="CP69" s="2"/>
      </tp>
      <tp>
        <v>3.5379999999999998</v>
        <stp/>
        <stp>P</stp>
        <stp>0</stp>
        <stp>IR</stp>
        <stp>BONDKSD7020130</stp>
        <stp>6월이하(당일)</stp>
        <stp>45523</stp>
        <stp/>
        <tr r="CP54" s="2"/>
        <tr r="CP54" s="2"/>
      </tp>
      <tp t="s">
        <v xml:space="preserve"> </v>
        <stp/>
        <stp>P</stp>
        <stp>0</stp>
        <stp>IR</stp>
        <stp>BONDKSD8010133</stp>
        <stp>9월이하(당일)</stp>
        <stp>45523</stp>
        <stp/>
        <tr r="CQ79" s="2"/>
        <tr r="CQ79" s="2"/>
      </tp>
      <tp t="s">
        <v/>
        <stp/>
        <stp>P</stp>
        <stp>0</stp>
        <stp>IR</stp>
        <stp>BONDKIS9999114</stp>
        <stp>50년이하(당일)</stp>
        <stp>45523</stp>
        <stp/>
        <tr r="BH38" s="2"/>
        <tr r="BH38" s="2"/>
      </tp>
      <tp>
        <v>5.8339999999999996</v>
        <stp/>
        <stp>P</stp>
        <stp>0</stp>
        <stp>IR</stp>
        <stp>BONDKIS9999114</stp>
        <stp>10년이하(당일)</stp>
        <stp>45523</stp>
        <stp/>
        <tr r="BD38" s="2"/>
        <tr r="BD38" s="2"/>
      </tp>
      <tp t="s">
        <v/>
        <stp/>
        <stp>P</stp>
        <stp>0</stp>
        <stp>IR</stp>
        <stp>BONDKIS9999114</stp>
        <stp>30년이하(당일)</stp>
        <stp>45523</stp>
        <stp/>
        <tr r="BG38" s="2"/>
        <tr r="BG38" s="2"/>
      </tp>
      <tp>
        <v>6.1529999999999996</v>
        <stp/>
        <stp>P</stp>
        <stp>0</stp>
        <stp>IR</stp>
        <stp>BONDKIS9999114</stp>
        <stp>20년이하(당일)</stp>
        <stp>45523</stp>
        <stp/>
        <tr r="BF38" s="2"/>
        <tr r="BF38" s="2"/>
      </tp>
      <tp>
        <v>6.6710000000000003</v>
        <stp/>
        <stp>P</stp>
        <stp>0</stp>
        <stp>IR</stp>
        <stp>BONDNIC9999114</stp>
        <stp>15년이하(당일)</stp>
        <stp>45523</stp>
        <stp/>
        <tr r="BU48" s="2"/>
        <tr r="BU48" s="2"/>
      </tp>
      <tp t="s">
        <v/>
        <stp/>
        <stp>P</stp>
        <stp>0</stp>
        <stp>IR</stp>
        <stp>BONDKIS9999115</stp>
        <stp>50년이하(당일)</stp>
        <stp>45523</stp>
        <stp/>
        <tr r="BH39" s="2"/>
        <tr r="BH39" s="2"/>
      </tp>
      <tp>
        <v>6.4820000000000002</v>
        <stp/>
        <stp>P</stp>
        <stp>0</stp>
        <stp>IR</stp>
        <stp>BONDKIS9999115</stp>
        <stp>10년이하(당일)</stp>
        <stp>45523</stp>
        <stp/>
        <tr r="BD39" s="2"/>
        <tr r="BD39" s="2"/>
      </tp>
      <tp t="s">
        <v/>
        <stp/>
        <stp>P</stp>
        <stp>0</stp>
        <stp>IR</stp>
        <stp>BONDKIS9999115</stp>
        <stp>30년이하(당일)</stp>
        <stp>45523</stp>
        <stp/>
        <tr r="BG39" s="2"/>
        <tr r="BG39" s="2"/>
      </tp>
      <tp>
        <v>6.7919999999999998</v>
        <stp/>
        <stp>P</stp>
        <stp>0</stp>
        <stp>IR</stp>
        <stp>BONDKIS9999115</stp>
        <stp>20년이하(당일)</stp>
        <stp>45523</stp>
        <stp/>
        <tr r="BF39" s="2"/>
        <tr r="BF39" s="2"/>
      </tp>
      <tp>
        <v>8.0269999999999992</v>
        <stp/>
        <stp>P</stp>
        <stp>0</stp>
        <stp>IR</stp>
        <stp>BONDNIC9999115</stp>
        <stp>15년이하(당일)</stp>
        <stp>45523</stp>
        <stp/>
        <tr r="BU49" s="2"/>
        <tr r="BU49" s="2"/>
      </tp>
      <tp t="s">
        <v/>
        <stp/>
        <stp>P</stp>
        <stp>0</stp>
        <stp>IR</stp>
        <stp>BONDKIS9999116</stp>
        <stp>50년이하(당일)</stp>
        <stp>45523</stp>
        <stp/>
        <tr r="BH40" s="2"/>
        <tr r="BH40" s="2"/>
      </tp>
      <tp>
        <v>7.7450000000000001</v>
        <stp/>
        <stp>P</stp>
        <stp>0</stp>
        <stp>IR</stp>
        <stp>BONDKIS9999116</stp>
        <stp>10년이하(당일)</stp>
        <stp>45523</stp>
        <stp/>
        <tr r="BD40" s="2"/>
        <tr r="BD40" s="2"/>
      </tp>
      <tp t="s">
        <v/>
        <stp/>
        <stp>P</stp>
        <stp>0</stp>
        <stp>IR</stp>
        <stp>BONDKIS9999116</stp>
        <stp>30년이하(당일)</stp>
        <stp>45523</stp>
        <stp/>
        <tr r="BG40" s="2"/>
        <tr r="BG40" s="2"/>
      </tp>
      <tp>
        <v>8.1820000000000004</v>
        <stp/>
        <stp>P</stp>
        <stp>0</stp>
        <stp>IR</stp>
        <stp>BONDKIS9999116</stp>
        <stp>20년이하(당일)</stp>
        <stp>45523</stp>
        <stp/>
        <tr r="BF40" s="2"/>
        <tr r="BF40" s="2"/>
      </tp>
      <tp>
        <v>9.4870000000000001</v>
        <stp/>
        <stp>P</stp>
        <stp>0</stp>
        <stp>IR</stp>
        <stp>BONDNIC9999116</stp>
        <stp>15년이하(당일)</stp>
        <stp>45523</stp>
        <stp/>
        <tr r="BU50" s="2"/>
        <tr r="BU50" s="2"/>
      </tp>
      <tp t="s">
        <v/>
        <stp/>
        <stp>P</stp>
        <stp>0</stp>
        <stp>IR</stp>
        <stp>BONDKIS9999117</stp>
        <stp>50년이하(당일)</stp>
        <stp>45523</stp>
        <stp/>
        <tr r="BH41" s="2"/>
        <tr r="BH41" s="2"/>
      </tp>
      <tp>
        <v>9.0269999999999992</v>
        <stp/>
        <stp>P</stp>
        <stp>0</stp>
        <stp>IR</stp>
        <stp>BONDKIS9999117</stp>
        <stp>10년이하(당일)</stp>
        <stp>45523</stp>
        <stp/>
        <tr r="BD41" s="2"/>
        <tr r="BD41" s="2"/>
      </tp>
      <tp t="s">
        <v/>
        <stp/>
        <stp>P</stp>
        <stp>0</stp>
        <stp>IR</stp>
        <stp>BONDKIS9999117</stp>
        <stp>30년이하(당일)</stp>
        <stp>45523</stp>
        <stp/>
        <tr r="BG41" s="2"/>
        <tr r="BG41" s="2"/>
      </tp>
      <tp>
        <v>9.75</v>
        <stp/>
        <stp>P</stp>
        <stp>0</stp>
        <stp>IR</stp>
        <stp>BONDKIS9999117</stp>
        <stp>20년이하(당일)</stp>
        <stp>45523</stp>
        <stp/>
        <tr r="BF41" s="2"/>
        <tr r="BF41" s="2"/>
      </tp>
      <tp>
        <v>10.755000000000001</v>
        <stp/>
        <stp>P</stp>
        <stp>0</stp>
        <stp>IR</stp>
        <stp>BONDNIC9999117</stp>
        <stp>15년이하(당일)</stp>
        <stp>45523</stp>
        <stp/>
        <tr r="BU51" s="2"/>
        <tr r="BU51" s="2"/>
      </tp>
      <tp>
        <v>4.9009999999999998</v>
        <stp/>
        <stp>P</stp>
        <stp>0</stp>
        <stp>IR</stp>
        <stp>BONDNIC9999110</stp>
        <stp>15년이하(당일)</stp>
        <stp>45523</stp>
        <stp/>
        <tr r="BU44" s="2"/>
        <tr r="BU44" s="2"/>
      </tp>
      <tp t="s">
        <v/>
        <stp/>
        <stp>P</stp>
        <stp>0</stp>
        <stp>IR</stp>
        <stp>BONDKIS9999111</stp>
        <stp>50년이하(당일)</stp>
        <stp>45523</stp>
        <stp/>
        <tr r="BH35" s="2"/>
        <tr r="BH35" s="2"/>
      </tp>
      <tp>
        <v>4.5019999999999998</v>
        <stp/>
        <stp>P</stp>
        <stp>0</stp>
        <stp>IR</stp>
        <stp>BONDKIS9999111</stp>
        <stp>10년이하(당일)</stp>
        <stp>45523</stp>
        <stp/>
        <tr r="BD35" s="2"/>
        <tr r="BD35" s="2"/>
      </tp>
      <tp t="s">
        <v/>
        <stp/>
        <stp>P</stp>
        <stp>0</stp>
        <stp>IR</stp>
        <stp>BONDKIS9999111</stp>
        <stp>30년이하(당일)</stp>
        <stp>45523</stp>
        <stp/>
        <tr r="BG35" s="2"/>
        <tr r="BG35" s="2"/>
      </tp>
      <tp>
        <v>5.1210000000000004</v>
        <stp/>
        <stp>P</stp>
        <stp>0</stp>
        <stp>IR</stp>
        <stp>BONDKIS9999111</stp>
        <stp>20년이하(당일)</stp>
        <stp>45523</stp>
        <stp/>
        <tr r="BF35" s="2"/>
        <tr r="BF35" s="2"/>
      </tp>
      <tp>
        <v>5.17</v>
        <stp/>
        <stp>P</stp>
        <stp>0</stp>
        <stp>IR</stp>
        <stp>BONDNIC9999111</stp>
        <stp>15년이하(당일)</stp>
        <stp>45523</stp>
        <stp/>
        <tr r="BU45" s="2"/>
        <tr r="BU45" s="2"/>
      </tp>
      <tp t="s">
        <v/>
        <stp/>
        <stp>P</stp>
        <stp>0</stp>
        <stp>IR</stp>
        <stp>BONDKIS9999112</stp>
        <stp>50년이하(당일)</stp>
        <stp>45523</stp>
        <stp/>
        <tr r="BH36" s="2"/>
        <tr r="BH36" s="2"/>
      </tp>
      <tp>
        <v>4.702</v>
        <stp/>
        <stp>P</stp>
        <stp>0</stp>
        <stp>IR</stp>
        <stp>BONDKIS9999112</stp>
        <stp>10년이하(당일)</stp>
        <stp>45523</stp>
        <stp/>
        <tr r="BD36" s="2"/>
        <tr r="BD36" s="2"/>
      </tp>
      <tp t="s">
        <v/>
        <stp/>
        <stp>P</stp>
        <stp>0</stp>
        <stp>IR</stp>
        <stp>BONDKIS9999112</stp>
        <stp>30년이하(당일)</stp>
        <stp>45523</stp>
        <stp/>
        <tr r="BG36" s="2"/>
        <tr r="BG36" s="2"/>
      </tp>
      <tp>
        <v>5.3479999999999999</v>
        <stp/>
        <stp>P</stp>
        <stp>0</stp>
        <stp>IR</stp>
        <stp>BONDKIS9999112</stp>
        <stp>20년이하(당일)</stp>
        <stp>45523</stp>
        <stp/>
        <tr r="BF36" s="2"/>
        <tr r="BF36" s="2"/>
      </tp>
      <tp>
        <v>5.5949999999999998</v>
        <stp/>
        <stp>P</stp>
        <stp>0</stp>
        <stp>IR</stp>
        <stp>BONDNIC9999112</stp>
        <stp>15년이하(당일)</stp>
        <stp>45523</stp>
        <stp/>
        <tr r="BU46" s="2"/>
        <tr r="BU46" s="2"/>
      </tp>
      <tp t="s">
        <v/>
        <stp/>
        <stp>P</stp>
        <stp>0</stp>
        <stp>IR</stp>
        <stp>BONDKIS9999113</stp>
        <stp>50년이하(당일)</stp>
        <stp>45523</stp>
        <stp/>
        <tr r="BH37" s="2"/>
        <tr r="BH37" s="2"/>
      </tp>
      <tp>
        <v>5.3949999999999996</v>
        <stp/>
        <stp>P</stp>
        <stp>0</stp>
        <stp>IR</stp>
        <stp>BONDKIS9999113</stp>
        <stp>10년이하(당일)</stp>
        <stp>45523</stp>
        <stp/>
        <tr r="BD37" s="2"/>
        <tr r="BD37" s="2"/>
      </tp>
      <tp t="s">
        <v/>
        <stp/>
        <stp>P</stp>
        <stp>0</stp>
        <stp>IR</stp>
        <stp>BONDKIS9999113</stp>
        <stp>30년이하(당일)</stp>
        <stp>45523</stp>
        <stp/>
        <tr r="BG37" s="2"/>
        <tr r="BG37" s="2"/>
      </tp>
      <tp>
        <v>5.782</v>
        <stp/>
        <stp>P</stp>
        <stp>0</stp>
        <stp>IR</stp>
        <stp>BONDKIS9999113</stp>
        <stp>20년이하(당일)</stp>
        <stp>45523</stp>
        <stp/>
        <tr r="BF37" s="2"/>
        <tr r="BF37" s="2"/>
      </tp>
      <tp>
        <v>6.0179999999999998</v>
        <stp/>
        <stp>P</stp>
        <stp>0</stp>
        <stp>IR</stp>
        <stp>BONDNIC9999113</stp>
        <stp>15년이하(당일)</stp>
        <stp>45523</stp>
        <stp/>
        <tr r="BU47" s="2"/>
        <tr r="BU47" s="2"/>
      </tp>
      <tp>
        <v>11.661</v>
        <stp/>
        <stp>P</stp>
        <stp>0</stp>
        <stp>IR</stp>
        <stp>BONDFNP8110213</stp>
        <stp>15년이하(당일)</stp>
        <stp>45523</stp>
        <stp/>
        <tr r="CK82" s="2"/>
        <tr r="CK82" s="2"/>
      </tp>
      <tp>
        <v>3.149</v>
        <stp/>
        <stp>P</stp>
        <stp>0</stp>
        <stp>IR</stp>
        <stp>BONDFNP1020000</stp>
        <stp>15년이하(당일)</stp>
        <stp>45523</stp>
        <stp/>
        <tr r="CK11" s="2"/>
        <tr r="CK11" s="2"/>
      </tp>
      <tp>
        <v>3.3530000000000002</v>
        <stp/>
        <stp>P</stp>
        <stp>0</stp>
        <stp>IR</stp>
        <stp>BONDFNP2020000</stp>
        <stp>15년이하(당일)</stp>
        <stp>45523</stp>
        <stp/>
        <tr r="CK14" s="2"/>
        <tr r="CK14" s="2"/>
      </tp>
      <tp>
        <v>9.8699999999999992</v>
        <stp/>
        <stp>P</stp>
        <stp>0</stp>
        <stp>IR</stp>
        <stp>BONDFNP8110212</stp>
        <stp>15년이하(당일)</stp>
        <stp>45523</stp>
        <stp/>
        <tr r="CK81" s="2"/>
        <tr r="CK81" s="2"/>
      </tp>
      <tp>
        <v>0</v>
        <stp/>
        <stp>P</stp>
        <stp>0</stp>
        <stp>IR</stp>
        <stp>BONDFNP1030000</stp>
        <stp>15년이하(당일)</stp>
        <stp>45523</stp>
        <stp/>
        <tr r="CK10" s="2"/>
      </tp>
      <tp>
        <v>8.6609999999999996</v>
        <stp/>
        <stp>P</stp>
        <stp>0</stp>
        <stp>IR</stp>
        <stp>BONDFNP8110211</stp>
        <stp>15년이하(당일)</stp>
        <stp>45523</stp>
        <stp/>
        <tr r="CK80" s="2"/>
        <tr r="CK80" s="2"/>
      </tp>
      <tp>
        <v>0</v>
        <stp/>
        <stp>P</stp>
        <stp>0</stp>
        <stp>IR</stp>
        <stp>BONDFNP4000000</stp>
        <stp>15년이하(당일)</stp>
        <stp>45523</stp>
        <stp/>
        <tr r="CK20" s="2"/>
      </tp>
      <tp>
        <v>2.9820000000000002</v>
        <stp/>
        <stp>P</stp>
        <stp>0</stp>
        <stp>IR</stp>
        <stp>BONDFNP1010000</stp>
        <stp>15년이하(당일)</stp>
        <stp>45523</stp>
        <stp/>
        <tr r="CK9" s="2"/>
        <tr r="CK9" s="2"/>
      </tp>
      <tp>
        <v>0</v>
        <stp/>
        <stp>P</stp>
        <stp>0</stp>
        <stp>IR</stp>
        <stp>BONDFNP2010000</stp>
        <stp>15년이하(당일)</stp>
        <stp>45523</stp>
        <stp/>
        <tr r="CK13" s="2"/>
      </tp>
      <tp>
        <v>3.1749999999999998</v>
        <stp/>
        <stp>P</stp>
        <stp>0</stp>
        <stp>IR</stp>
        <stp>BONDFNP3060000</stp>
        <stp>15년이하(당일)</stp>
        <stp>45523</stp>
        <stp/>
        <tr r="CK83" s="2"/>
        <tr r="CK83" s="2"/>
      </tp>
      <tp t="s">
        <v/>
        <stp/>
        <stp>P</stp>
        <stp>0</stp>
        <stp>IR</stp>
        <stp>BONDKIS9999118</stp>
        <stp>50년이하(당일)</stp>
        <stp>45523</stp>
        <stp/>
        <tr r="BH42" s="2"/>
        <tr r="BH42" s="2"/>
      </tp>
      <tp>
        <v>10.412000000000001</v>
        <stp/>
        <stp>P</stp>
        <stp>0</stp>
        <stp>IR</stp>
        <stp>BONDKIS9999118</stp>
        <stp>10년이하(당일)</stp>
        <stp>45523</stp>
        <stp/>
        <tr r="BD42" s="2"/>
        <tr r="BD42" s="2"/>
      </tp>
      <tp t="s">
        <v/>
        <stp/>
        <stp>P</stp>
        <stp>0</stp>
        <stp>IR</stp>
        <stp>BONDKIS9999118</stp>
        <stp>30년이하(당일)</stp>
        <stp>45523</stp>
        <stp/>
        <tr r="BG42" s="2"/>
        <tr r="BG42" s="2"/>
      </tp>
      <tp>
        <v>11.085000000000001</v>
        <stp/>
        <stp>P</stp>
        <stp>0</stp>
        <stp>IR</stp>
        <stp>BONDKIS9999118</stp>
        <stp>20년이하(당일)</stp>
        <stp>45523</stp>
        <stp/>
        <tr r="BF42" s="2"/>
        <tr r="BF42" s="2"/>
      </tp>
      <tp>
        <v>4.6959999999999997</v>
        <stp/>
        <stp>P</stp>
        <stp>0</stp>
        <stp>IR</stp>
        <stp>BONDNIC9999118</stp>
        <stp>15년이하(당일)</stp>
        <stp>45523</stp>
        <stp/>
        <tr r="BU43" s="2"/>
        <tr r="BU43" s="2"/>
      </tp>
      <tp t="s">
        <v/>
        <stp/>
        <stp>P</stp>
        <stp>0</stp>
        <stp>IR</stp>
        <stp>BONDKIS9999119</stp>
        <stp>50년이하(당일)</stp>
        <stp>45523</stp>
        <stp/>
        <tr r="BH34" s="2"/>
        <tr r="BH34" s="2"/>
      </tp>
      <tp>
        <v>4.3209999999999997</v>
        <stp/>
        <stp>P</stp>
        <stp>0</stp>
        <stp>IR</stp>
        <stp>BONDKIS9999119</stp>
        <stp>10년이하(당일)</stp>
        <stp>45523</stp>
        <stp/>
        <tr r="BD34" s="2"/>
        <tr r="BD34" s="2"/>
      </tp>
      <tp t="s">
        <v/>
        <stp/>
        <stp>P</stp>
        <stp>0</stp>
        <stp>IR</stp>
        <stp>BONDKIS9999119</stp>
        <stp>30년이하(당일)</stp>
        <stp>45523</stp>
        <stp/>
        <tr r="BG34" s="2"/>
        <tr r="BG34" s="2"/>
      </tp>
      <tp>
        <v>4.8760000000000003</v>
        <stp/>
        <stp>P</stp>
        <stp>0</stp>
        <stp>IR</stp>
        <stp>BONDKIS9999119</stp>
        <stp>20년이하(당일)</stp>
        <stp>45523</stp>
        <stp/>
        <tr r="BF34" s="2"/>
        <tr r="BF34" s="2"/>
      </tp>
      <tp>
        <v>3.6219999999999999</v>
        <stp/>
        <stp>P</stp>
        <stp>0</stp>
        <stp>IR</stp>
        <stp>BONDFNP4050000</stp>
        <stp>15년이하(당일)</stp>
        <stp>45523</stp>
        <stp/>
        <tr r="CK22" s="2"/>
        <tr r="CK22" s="2"/>
      </tp>
      <tp>
        <v>3.1059999999999999</v>
        <stp/>
        <stp>P</stp>
        <stp>0</stp>
        <stp>IR</stp>
        <stp>BONDFNP3050000</stp>
        <stp>15년이하(당일)</stp>
        <stp>45523</stp>
        <stp/>
        <tr r="CK15" s="2"/>
        <tr r="CK15" s="2"/>
      </tp>
      <tp>
        <v>3.3889999999999998</v>
        <stp/>
        <stp>P</stp>
        <stp>0</stp>
        <stp>IR</stp>
        <stp>BONDFNP3030110</stp>
        <stp>3월이하(당일)</stp>
        <stp>45523</stp>
        <stp/>
        <tr r="BY16" s="2"/>
        <tr r="BY16" s="2"/>
      </tp>
      <tp>
        <v>7.4930000000000003</v>
        <stp/>
        <stp>P</stp>
        <stp>0</stp>
        <stp>IR</stp>
        <stp>BONDNIC9999116</stp>
        <stp>9월이하(당일)</stp>
        <stp>45523</stp>
        <stp/>
        <tr r="BK50" s="2"/>
        <tr r="BK50" s="2"/>
      </tp>
      <tp>
        <v>8.8699999999999992</v>
        <stp/>
        <stp>P</stp>
        <stp>0</stp>
        <stp>IR</stp>
        <stp>BONDNIC9999117</stp>
        <stp>9월이하(당일)</stp>
        <stp>45523</stp>
        <stp/>
        <tr r="BK51" s="2"/>
        <tr r="BK51" s="2"/>
      </tp>
      <tp>
        <v>5.633</v>
        <stp/>
        <stp>P</stp>
        <stp>0</stp>
        <stp>IR</stp>
        <stp>BONDNIC9999114</stp>
        <stp>9월이하(당일)</stp>
        <stp>45523</stp>
        <stp/>
        <tr r="BK48" s="2"/>
        <tr r="BK48" s="2"/>
      </tp>
      <tp>
        <v>6.76</v>
        <stp/>
        <stp>P</stp>
        <stp>0</stp>
        <stp>IR</stp>
        <stp>BONDNIC9999115</stp>
        <stp>9월이하(당일)</stp>
        <stp>45523</stp>
        <stp/>
        <tr r="BK49" s="2"/>
        <tr r="BK49" s="2"/>
      </tp>
      <tp>
        <v>4.3490000000000002</v>
        <stp/>
        <stp>P</stp>
        <stp>0</stp>
        <stp>IR</stp>
        <stp>BONDNIC9999112</stp>
        <stp>9월이하(당일)</stp>
        <stp>45523</stp>
        <stp/>
        <tr r="BK46" s="2"/>
        <tr r="BK46" s="2"/>
      </tp>
      <tp>
        <v>5.0389999999999997</v>
        <stp/>
        <stp>P</stp>
        <stp>0</stp>
        <stp>IR</stp>
        <stp>BONDNIC9999113</stp>
        <stp>9월이하(당일)</stp>
        <stp>45523</stp>
        <stp/>
        <tr r="BK47" s="2"/>
        <tr r="BK47" s="2"/>
      </tp>
      <tp>
        <v>3.4159999999999999</v>
        <stp/>
        <stp>P</stp>
        <stp>0</stp>
        <stp>IR</stp>
        <stp>BONDNIC9999110</stp>
        <stp>9월이하(당일)</stp>
        <stp>45523</stp>
        <stp/>
        <tr r="BK44" s="2"/>
        <tr r="BK44" s="2"/>
      </tp>
      <tp>
        <v>3.4769999999999999</v>
        <stp/>
        <stp>P</stp>
        <stp>0</stp>
        <stp>IR</stp>
        <stp>BONDNIC9999111</stp>
        <stp>9월이하(당일)</stp>
        <stp>45523</stp>
        <stp/>
        <tr r="BK45" s="2"/>
        <tr r="BK45" s="2"/>
      </tp>
      <tp>
        <v>3.4</v>
        <stp/>
        <stp>P</stp>
        <stp>0</stp>
        <stp>IR</stp>
        <stp>BONDFNP2010000</stp>
        <stp>3월이하(당일)</stp>
        <stp>45523</stp>
        <stp/>
        <tr r="BY13" s="2"/>
        <tr r="BY13" s="2"/>
      </tp>
      <tp>
        <v>3.4</v>
        <stp/>
        <stp>P</stp>
        <stp>0</stp>
        <stp>IR</stp>
        <stp>BONDFNP2020000</stp>
        <stp>3월이하(당일)</stp>
        <stp>45523</stp>
        <stp/>
        <tr r="BY14" s="2"/>
        <tr r="BY14" s="2"/>
      </tp>
      <tp>
        <v>3.39</v>
        <stp/>
        <stp>P</stp>
        <stp>0</stp>
        <stp>IR</stp>
        <stp>BONDNIC9999118</stp>
        <stp>9월이하(당일)</stp>
        <stp>45523</stp>
        <stp/>
        <tr r="BK43" s="2"/>
        <tr r="BK43" s="2"/>
      </tp>
      <tp>
        <v>4.2530000000000001</v>
        <stp/>
        <stp>P</stp>
        <stp>0</stp>
        <stp>IR</stp>
        <stp>BONDFNP6010131</stp>
        <stp>6월이하(당일)</stp>
        <stp>45523</stp>
        <stp/>
        <tr r="BZ37" s="2"/>
        <tr r="BZ37" s="2"/>
      </tp>
      <tp>
        <v>5.4989999999999997</v>
        <stp/>
        <stp>P</stp>
        <stp>0</stp>
        <stp>IR</stp>
        <stp>BONDFNP6010133</stp>
        <stp>6월이하(당일)</stp>
        <stp>45523</stp>
        <stp/>
        <tr r="BZ39" s="2"/>
        <tr r="BZ39" s="2"/>
      </tp>
      <tp>
        <v>4.8520000000000003</v>
        <stp/>
        <stp>P</stp>
        <stp>0</stp>
        <stp>IR</stp>
        <stp>BONDFNP6010132</stp>
        <stp>6월이하(당일)</stp>
        <stp>45523</stp>
        <stp/>
        <tr r="BZ38" s="2"/>
        <tr r="BZ38" s="2"/>
      </tp>
      <tp>
        <v>3.399</v>
        <stp/>
        <stp>P</stp>
        <stp>0</stp>
        <stp>IR</stp>
        <stp>BONDFNP6010121</stp>
        <stp>6월이하(당일)</stp>
        <stp>45523</stp>
        <stp/>
        <tr r="BZ34" s="2"/>
        <tr r="BZ34" s="2"/>
      </tp>
      <tp>
        <v>3.4510000000000001</v>
        <stp/>
        <stp>P</stp>
        <stp>0</stp>
        <stp>IR</stp>
        <stp>BONDFNP6010123</stp>
        <stp>6월이하(당일)</stp>
        <stp>45523</stp>
        <stp/>
        <tr r="BZ36" s="2"/>
        <tr r="BZ36" s="2"/>
      </tp>
      <tp>
        <v>3.4209999999999998</v>
        <stp/>
        <stp>P</stp>
        <stp>0</stp>
        <stp>IR</stp>
        <stp>BONDFNP6010122</stp>
        <stp>6월이하(당일)</stp>
        <stp>45523</stp>
        <stp/>
        <tr r="BZ35" s="2"/>
        <tr r="BZ35" s="2"/>
      </tp>
      <tp>
        <v>3.4119999999999999</v>
        <stp/>
        <stp>P</stp>
        <stp>0</stp>
        <stp>IR</stp>
        <stp>BONDFNP3040121</stp>
        <stp>3월이하(당일)</stp>
        <stp>45523</stp>
        <stp/>
        <tr r="BY17" s="2"/>
        <tr r="BY17" s="2"/>
      </tp>
      <tp>
        <v>3.484</v>
        <stp/>
        <stp>P</stp>
        <stp>0</stp>
        <stp>IR</stp>
        <stp>BONDFNP3040122</stp>
        <stp>3월이하(당일)</stp>
        <stp>45523</stp>
        <stp/>
        <tr r="BY18" s="2"/>
        <tr r="BY18" s="2"/>
      </tp>
      <tp>
        <v>3.6</v>
        <stp/>
        <stp>P</stp>
        <stp>0</stp>
        <stp>IR</stp>
        <stp>BONDFNP3040123</stp>
        <stp>3월이하(당일)</stp>
        <stp>45523</stp>
        <stp/>
        <tr r="BY19" s="2"/>
        <tr r="BY19" s="2"/>
      </tp>
      <tp>
        <v>6.9080000000000004</v>
        <stp/>
        <stp>P</stp>
        <stp>0</stp>
        <stp>IR</stp>
        <stp>BONDKIS9999116</stp>
        <stp>9월이하(당일)</stp>
        <stp>45523</stp>
        <stp/>
        <tr r="AU40" s="2"/>
        <tr r="AU40" s="2"/>
      </tp>
      <tp>
        <v>7.6559999999999997</v>
        <stp/>
        <stp>P</stp>
        <stp>0</stp>
        <stp>IR</stp>
        <stp>BONDKIS9999117</stp>
        <stp>9월이하(당일)</stp>
        <stp>45523</stp>
        <stp/>
        <tr r="AU41" s="2"/>
        <tr r="AU41" s="2"/>
      </tp>
      <tp>
        <v>5.0309999999999997</v>
        <stp/>
        <stp>P</stp>
        <stp>0</stp>
        <stp>IR</stp>
        <stp>BONDKIS9999114</stp>
        <stp>9월이하(당일)</stp>
        <stp>45523</stp>
        <stp/>
        <tr r="AU38" s="2"/>
        <tr r="AU38" s="2"/>
      </tp>
      <tp>
        <v>5.6769999999999996</v>
        <stp/>
        <stp>P</stp>
        <stp>0</stp>
        <stp>IR</stp>
        <stp>BONDKIS9999115</stp>
        <stp>9월이하(당일)</stp>
        <stp>45523</stp>
        <stp/>
        <tr r="AU39" s="2"/>
        <tr r="AU39" s="2"/>
      </tp>
      <tp>
        <v>3.464</v>
        <stp/>
        <stp>P</stp>
        <stp>0</stp>
        <stp>IR</stp>
        <stp>BONDKIS9999112</stp>
        <stp>9월이하(당일)</stp>
        <stp>45523</stp>
        <stp/>
        <tr r="AU36" s="2"/>
        <tr r="AU36" s="2"/>
      </tp>
      <tp>
        <v>4.375</v>
        <stp/>
        <stp>P</stp>
        <stp>0</stp>
        <stp>IR</stp>
        <stp>BONDKIS9999113</stp>
        <stp>9월이하(당일)</stp>
        <stp>45523</stp>
        <stp/>
        <tr r="AU37" s="2"/>
        <tr r="AU37" s="2"/>
      </tp>
      <tp>
        <v>3.419</v>
        <stp/>
        <stp>P</stp>
        <stp>0</stp>
        <stp>IR</stp>
        <stp>BONDKIS9999111</stp>
        <stp>9월이하(당일)</stp>
        <stp>45523</stp>
        <stp/>
        <tr r="AU35" s="2"/>
        <tr r="AU35" s="2"/>
      </tp>
      <tp>
        <v>9.0359999999999996</v>
        <stp/>
        <stp>P</stp>
        <stp>0</stp>
        <stp>IR</stp>
        <stp>BONDKIS9999118</stp>
        <stp>9월이하(당일)</stp>
        <stp>45523</stp>
        <stp/>
        <tr r="AU42" s="2"/>
        <tr r="AU42" s="2"/>
      </tp>
      <tp>
        <v>3.387</v>
        <stp/>
        <stp>P</stp>
        <stp>0</stp>
        <stp>IR</stp>
        <stp>BONDKIS9999119</stp>
        <stp>9월이하(당일)</stp>
        <stp>45523</stp>
        <stp/>
        <tr r="AU34" s="2"/>
        <tr r="AU34" s="2"/>
      </tp>
      <tp>
        <v>3.5179999999999998</v>
        <stp/>
        <stp>P</stp>
        <stp>0</stp>
        <stp>IR</stp>
        <stp>BONDNIC3040113</stp>
        <stp>3월이하(당일)</stp>
        <stp>45523</stp>
        <stp/>
        <tr r="BI19" s="2"/>
        <tr r="BI19" s="2"/>
      </tp>
      <tp>
        <v>3.4710000000000001</v>
        <stp/>
        <stp>P</stp>
        <stp>0</stp>
        <stp>IR</stp>
        <stp>BONDNIC6040113</stp>
        <stp>6월이하(당일)</stp>
        <stp>45523</stp>
        <stp/>
        <tr r="BJ36" s="2"/>
        <tr r="BJ36" s="2"/>
      </tp>
      <tp>
        <v>4.8620000000000001</v>
        <stp/>
        <stp>P</stp>
        <stp>0</stp>
        <stp>IR</stp>
        <stp>BONDNIC6050112</stp>
        <stp>6월이하(당일)</stp>
        <stp>45523</stp>
        <stp/>
        <tr r="BJ38" s="2"/>
        <tr r="BJ38" s="2"/>
      </tp>
      <tp>
        <v>6.5309999999999997</v>
        <stp/>
        <stp>P</stp>
        <stp>0</stp>
        <stp>IR</stp>
        <stp>BONDNIC6060111</stp>
        <stp>6월이하(당일)</stp>
        <stp>45523</stp>
        <stp/>
        <tr r="BJ40" s="2"/>
        <tr r="BJ40" s="2"/>
      </tp>
      <tp>
        <v>3.4180000000000001</v>
        <stp/>
        <stp>P</stp>
        <stp>0</stp>
        <stp>IR</stp>
        <stp>BONDNIC3040112</stp>
        <stp>3월이하(당일)</stp>
        <stp>45523</stp>
        <stp/>
        <tr r="BI18" s="2"/>
        <tr r="BI18" s="2"/>
      </tp>
      <tp>
        <v>3.4449999999999998</v>
        <stp/>
        <stp>P</stp>
        <stp>0</stp>
        <stp>IR</stp>
        <stp>BONDNIC6040112</stp>
        <stp>6월이하(당일)</stp>
        <stp>45523</stp>
        <stp/>
        <tr r="BJ35" s="2"/>
        <tr r="BJ35" s="2"/>
      </tp>
      <tp>
        <v>5.47</v>
        <stp/>
        <stp>P</stp>
        <stp>0</stp>
        <stp>IR</stp>
        <stp>BONDNIC6050113</stp>
        <stp>6월이하(당일)</stp>
        <stp>45523</stp>
        <stp/>
        <tr r="BJ39" s="2"/>
        <tr r="BJ39" s="2"/>
      </tp>
      <tp>
        <v>3.39</v>
        <stp/>
        <stp>P</stp>
        <stp>0</stp>
        <stp>IR</stp>
        <stp>BONDNIC3040111</stp>
        <stp>3월이하(당일)</stp>
        <stp>45523</stp>
        <stp/>
        <tr r="BI17" s="2"/>
        <tr r="BI17" s="2"/>
      </tp>
      <tp>
        <v>3.423</v>
        <stp/>
        <stp>P</stp>
        <stp>0</stp>
        <stp>IR</stp>
        <stp>BONDNIC6040111</stp>
        <stp>6월이하(당일)</stp>
        <stp>45523</stp>
        <stp/>
        <tr r="BJ34" s="2"/>
        <tr r="BJ34" s="2"/>
      </tp>
      <tp>
        <v>8.6020000000000003</v>
        <stp/>
        <stp>P</stp>
        <stp>0</stp>
        <stp>IR</stp>
        <stp>BONDNIC6060113</stp>
        <stp>6월이하(당일)</stp>
        <stp>45523</stp>
        <stp/>
        <tr r="BJ42" s="2"/>
        <tr r="BJ42" s="2"/>
      </tp>
      <tp>
        <v>4.2270000000000003</v>
        <stp/>
        <stp>P</stp>
        <stp>0</stp>
        <stp>IR</stp>
        <stp>BONDNIC6050111</stp>
        <stp>6월이하(당일)</stp>
        <stp>45523</stp>
        <stp/>
        <tr r="BJ37" s="2"/>
        <tr r="BJ37" s="2"/>
      </tp>
      <tp>
        <v>7.2489999999999997</v>
        <stp/>
        <stp>P</stp>
        <stp>0</stp>
        <stp>IR</stp>
        <stp>BONDNIC6060112</stp>
        <stp>6월이하(당일)</stp>
        <stp>45523</stp>
        <stp/>
        <tr r="BJ41" s="2"/>
        <tr r="BJ41" s="2"/>
      </tp>
      <tp>
        <v>3.38</v>
        <stp/>
        <stp>P</stp>
        <stp>0</stp>
        <stp>IR</stp>
        <stp>BONDNIC3030110</stp>
        <stp>3월이하(당일)</stp>
        <stp>45523</stp>
        <stp/>
        <tr r="BI16" s="2"/>
        <tr r="BI16" s="2"/>
      </tp>
      <tp>
        <v>3.444</v>
        <stp/>
        <stp>P</stp>
        <stp>0</stp>
        <stp>IR</stp>
        <stp>BONDFNP9999111</stp>
        <stp>9월이하(당일)</stp>
        <stp>45523</stp>
        <stp/>
        <tr r="CA45" s="2"/>
        <tr r="CA45" s="2"/>
      </tp>
      <tp>
        <v>3.391</v>
        <stp/>
        <stp>P</stp>
        <stp>0</stp>
        <stp>IR</stp>
        <stp>BONDFNP9999110</stp>
        <stp>9월이하(당일)</stp>
        <stp>45523</stp>
        <stp/>
        <tr r="CA44" s="2"/>
        <tr r="CA44" s="2"/>
      </tp>
      <tp>
        <v>5.0170000000000003</v>
        <stp/>
        <stp>P</stp>
        <stp>0</stp>
        <stp>IR</stp>
        <stp>BONDFNP9999113</stp>
        <stp>9월이하(당일)</stp>
        <stp>45523</stp>
        <stp/>
        <tr r="CA47" s="2"/>
        <tr r="CA47" s="2"/>
      </tp>
      <tp>
        <v>4.3449999999999998</v>
        <stp/>
        <stp>P</stp>
        <stp>0</stp>
        <stp>IR</stp>
        <stp>BONDFNP9999112</stp>
        <stp>9월이하(당일)</stp>
        <stp>45523</stp>
        <stp/>
        <tr r="CA46" s="2"/>
        <tr r="CA46" s="2"/>
      </tp>
      <tp>
        <v>6.8220000000000001</v>
        <stp/>
        <stp>P</stp>
        <stp>0</stp>
        <stp>IR</stp>
        <stp>BONDFNP9999115</stp>
        <stp>9월이하(당일)</stp>
        <stp>45523</stp>
        <stp/>
        <tr r="CA49" s="2"/>
        <tr r="CA49" s="2"/>
      </tp>
      <tp>
        <v>5.625</v>
        <stp/>
        <stp>P</stp>
        <stp>0</stp>
        <stp>IR</stp>
        <stp>BONDFNP9999114</stp>
        <stp>9월이하(당일)</stp>
        <stp>45523</stp>
        <stp/>
        <tr r="CA48" s="2"/>
        <tr r="CA48" s="2"/>
      </tp>
      <tp>
        <v>8.9169999999999998</v>
        <stp/>
        <stp>P</stp>
        <stp>0</stp>
        <stp>IR</stp>
        <stp>BONDFNP9999117</stp>
        <stp>9월이하(당일)</stp>
        <stp>45523</stp>
        <stp/>
        <tr r="CA51" s="2"/>
        <tr r="CA51" s="2"/>
      </tp>
      <tp>
        <v>7.5549999999999997</v>
        <stp/>
        <stp>P</stp>
        <stp>0</stp>
        <stp>IR</stp>
        <stp>BONDFNP9999116</stp>
        <stp>9월이하(당일)</stp>
        <stp>45523</stp>
        <stp/>
        <tr r="CA50" s="2"/>
        <tr r="CA50" s="2"/>
      </tp>
      <tp>
        <v>3.3679999999999999</v>
        <stp/>
        <stp>P</stp>
        <stp>0</stp>
        <stp>IR</stp>
        <stp>BONDFNP9999118</stp>
        <stp>9월이하(당일)</stp>
        <stp>45523</stp>
        <stp/>
        <tr r="CA43" s="2"/>
        <tr r="CA43" s="2"/>
      </tp>
      <tp>
        <v>3.4350000000000001</v>
        <stp/>
        <stp>P</stp>
        <stp>0</stp>
        <stp>IR</stp>
        <stp>BONDNIC2020000</stp>
        <stp>3월이하(당일)</stp>
        <stp>45523</stp>
        <stp/>
        <tr r="BI14" s="2"/>
        <tr r="BI14" s="2"/>
      </tp>
      <tp>
        <v>3.4350000000000001</v>
        <stp/>
        <stp>P</stp>
        <stp>0</stp>
        <stp>IR</stp>
        <stp>BONDNIC2010000</stp>
        <stp>3월이하(당일)</stp>
        <stp>45523</stp>
        <stp/>
        <tr r="BI13" s="2"/>
        <tr r="BI13" s="2"/>
      </tp>
      <tp>
        <v>3.4009999999999998</v>
        <stp/>
        <stp>P</stp>
        <stp>0</stp>
        <stp>IR</stp>
        <stp>BONDKIS2020000</stp>
        <stp>3월이하(당일)</stp>
        <stp>45523</stp>
        <stp/>
        <tr r="AS14" s="2"/>
        <tr r="AS14" s="2"/>
      </tp>
      <tp>
        <v>3.4009999999999998</v>
        <stp/>
        <stp>P</stp>
        <stp>0</stp>
        <stp>IR</stp>
        <stp>BONDKIS2010000</stp>
        <stp>3월이하(당일)</stp>
        <stp>45523</stp>
        <stp/>
        <tr r="AS13" s="2"/>
        <tr r="AS13" s="2"/>
      </tp>
      <tp>
        <v>3.41</v>
        <stp/>
        <stp>P</stp>
        <stp>0</stp>
        <stp>IR</stp>
        <stp>BONDKSD2010000</stp>
        <stp>3월이하(당일)</stp>
        <stp>45523</stp>
        <stp/>
        <tr r="CO13" s="2"/>
        <tr r="CO13" s="2"/>
      </tp>
      <tp>
        <v>3.41</v>
        <stp/>
        <stp>P</stp>
        <stp>0</stp>
        <stp>IR</stp>
        <stp>BONDKSD2020000</stp>
        <stp>3월이하(당일)</stp>
        <stp>45523</stp>
        <stp/>
        <tr r="CO14" s="2"/>
        <tr r="CO14" s="2"/>
      </tp>
      <tp>
        <v>3.3879999999999999</v>
        <stp/>
        <stp>P</stp>
        <stp>0</stp>
        <stp>IR</stp>
        <stp>BONDKIS3033110</stp>
        <stp>3월이하(당일)</stp>
        <stp>45523</stp>
        <stp/>
        <tr r="AS16" s="2"/>
        <tr r="AS16" s="2"/>
      </tp>
      <tp>
        <v>3.3919999999999999</v>
        <stp/>
        <stp>P</stp>
        <stp>0</stp>
        <stp>IR</stp>
        <stp>BONDKSD3030110</stp>
        <stp>3월이하(당일)</stp>
        <stp>45523</stp>
        <stp/>
        <tr r="CO16" s="2"/>
        <tr r="CO16" s="2"/>
      </tp>
      <tp>
        <v>3.6160000000000001</v>
        <stp/>
        <stp>P</stp>
        <stp>0</stp>
        <stp>IR</stp>
        <stp>BONDKIS3043123</stp>
        <stp>3월이하(당일)</stp>
        <stp>45523</stp>
        <stp/>
        <tr r="AS19" s="2"/>
        <tr r="AS19" s="2"/>
      </tp>
      <tp>
        <v>3.4809999999999999</v>
        <stp/>
        <stp>P</stp>
        <stp>0</stp>
        <stp>IR</stp>
        <stp>BONDKIS3043122</stp>
        <stp>3월이하(당일)</stp>
        <stp>45523</stp>
        <stp/>
        <tr r="AS18" s="2"/>
        <tr r="AS18" s="2"/>
      </tp>
      <tp>
        <v>3.4220000000000002</v>
        <stp/>
        <stp>P</stp>
        <stp>0</stp>
        <stp>IR</stp>
        <stp>BONDKIS3043121</stp>
        <stp>3월이하(당일)</stp>
        <stp>45523</stp>
        <stp/>
        <tr r="AS17" s="2"/>
        <tr r="AS17" s="2"/>
      </tp>
      <tp>
        <v>3.4510000000000001</v>
        <stp/>
        <stp>P</stp>
        <stp>0</stp>
        <stp>IR</stp>
        <stp>BONDKIS6013122</stp>
        <stp>6월이하(당일)</stp>
        <stp>45523</stp>
        <stp/>
        <tr r="AT44" s="2"/>
        <tr r="AT44" s="2"/>
      </tp>
      <tp>
        <v>3.4809999999999999</v>
        <stp/>
        <stp>P</stp>
        <stp>0</stp>
        <stp>IR</stp>
        <stp>BONDKIS6013123</stp>
        <stp>6월이하(당일)</stp>
        <stp>45523</stp>
        <stp/>
        <tr r="AT45" s="2"/>
        <tr r="AT45" s="2"/>
      </tp>
      <tp>
        <v>3.4169999999999998</v>
        <stp/>
        <stp>P</stp>
        <stp>0</stp>
        <stp>IR</stp>
        <stp>BONDKIS6013121</stp>
        <stp>6월이하(당일)</stp>
        <stp>45523</stp>
        <stp/>
        <tr r="AT43" s="2"/>
        <tr r="AT43" s="2"/>
      </tp>
      <tp>
        <v>3.4169999999999998</v>
        <stp/>
        <stp>P</stp>
        <stp>0</stp>
        <stp>IR</stp>
        <stp>BONDKSD3040121</stp>
        <stp>3월이하(당일)</stp>
        <stp>45523</stp>
        <stp/>
        <tr r="CO17" s="2"/>
        <tr r="CO17" s="2"/>
      </tp>
      <tp>
        <v>3.4710000000000001</v>
        <stp/>
        <stp>P</stp>
        <stp>0</stp>
        <stp>IR</stp>
        <stp>BONDKSD3040120</stp>
        <stp>3월이하(당일)</stp>
        <stp>45523</stp>
        <stp/>
        <tr r="CO18" s="2"/>
        <tr r="CO18" s="2"/>
      </tp>
      <tp>
        <v>3.415</v>
        <stp/>
        <stp>P</stp>
        <stp>0</stp>
        <stp>IR</stp>
        <stp>BONDKSD6010121</stp>
        <stp>6월이하(당일)</stp>
        <stp>45523</stp>
        <stp/>
        <tr r="CP34" s="2"/>
        <tr r="CP34" s="2"/>
      </tp>
      <tp>
        <v>3.4390000000000001</v>
        <stp/>
        <stp>P</stp>
        <stp>0</stp>
        <stp>IR</stp>
        <stp>BONDKSD6010122</stp>
        <stp>6월이하(당일)</stp>
        <stp>45523</stp>
        <stp/>
        <tr r="CP35" s="2"/>
        <tr r="CP35" s="2"/>
      </tp>
      <tp>
        <v>3.47</v>
        <stp/>
        <stp>P</stp>
        <stp>0</stp>
        <stp>IR</stp>
        <stp>BONDKSD6010123</stp>
        <stp>6월이하(당일)</stp>
        <stp>45523</stp>
        <stp/>
        <tr r="CP36" s="2"/>
        <tr r="CP36" s="2"/>
      </tp>
      <tp>
        <v>4.8929999999999998</v>
        <stp/>
        <stp>P</stp>
        <stp>0</stp>
        <stp>IR</stp>
        <stp>BONDKIS6013132</stp>
        <stp>6월이하(당일)</stp>
        <stp>45523</stp>
        <stp/>
        <tr r="AT47" s="2"/>
        <tr r="AT47" s="2"/>
      </tp>
      <tp>
        <v>5.5529999999999999</v>
        <stp/>
        <stp>P</stp>
        <stp>0</stp>
        <stp>IR</stp>
        <stp>BONDKIS6013133</stp>
        <stp>6월이하(당일)</stp>
        <stp>45523</stp>
        <stp/>
        <tr r="AT48" s="2"/>
        <tr r="AT48" s="2"/>
      </tp>
      <tp>
        <v>4.2930000000000001</v>
        <stp/>
        <stp>P</stp>
        <stp>0</stp>
        <stp>IR</stp>
        <stp>BONDKIS6013131</stp>
        <stp>6월이하(당일)</stp>
        <stp>45523</stp>
        <stp/>
        <tr r="AT46" s="2"/>
        <tr r="AT46" s="2"/>
      </tp>
      <tp>
        <v>4.2699999999999996</v>
        <stp/>
        <stp>P</stp>
        <stp>0</stp>
        <stp>IR</stp>
        <stp>BONDKSD6010131</stp>
        <stp>6월이하(당일)</stp>
        <stp>45523</stp>
        <stp/>
        <tr r="CP37" s="2"/>
        <tr r="CP37" s="2"/>
      </tp>
      <tp>
        <v>4.8789999999999996</v>
        <stp/>
        <stp>P</stp>
        <stp>0</stp>
        <stp>IR</stp>
        <stp>BONDKSD6010132</stp>
        <stp>6월이하(당일)</stp>
        <stp>45523</stp>
        <stp/>
        <tr r="CP38" s="2"/>
        <tr r="CP38" s="2"/>
      </tp>
      <tp>
        <v>5.516</v>
        <stp/>
        <stp>P</stp>
        <stp>0</stp>
        <stp>IR</stp>
        <stp>BONDKSD6010133</stp>
        <stp>6월이하(당일)</stp>
        <stp>45523</stp>
        <stp/>
        <tr r="CP39" s="2"/>
        <tr r="CP39" s="2"/>
      </tp>
      <tp>
        <v>3.6150000000000002</v>
        <stp/>
        <stp>P</stp>
        <stp>0</stp>
        <stp>IR</stp>
        <stp>BONDFNP5020110</stp>
        <stp>15년이하(당일)</stp>
        <stp>45523</stp>
        <stp/>
        <tr r="CK25" s="2"/>
        <tr r="CK25" s="2"/>
      </tp>
      <tp>
        <v>10.831</v>
        <stp/>
        <stp>P</stp>
        <stp>0</stp>
        <stp>IR</stp>
        <stp>BONDFNP6010213</stp>
        <stp>15년이하(당일)</stp>
        <stp>45523</stp>
        <stp/>
        <tr r="CK42" s="2"/>
        <tr r="CK42" s="2"/>
      </tp>
      <tp>
        <v>10.606999999999999</v>
        <stp/>
        <stp>P</stp>
        <stp>0</stp>
        <stp>IR</stp>
        <stp>BONDFNP7010213</stp>
        <stp>15년이하(당일)</stp>
        <stp>45523</stp>
        <stp/>
        <tr r="CK72" s="2"/>
        <tr r="CK72" s="2"/>
      </tp>
      <tp>
        <v>4.1369999999999996</v>
        <stp/>
        <stp>P</stp>
        <stp>0</stp>
        <stp>IR</stp>
        <stp>BONDFNP7020210</stp>
        <stp>15년이하(당일)</stp>
        <stp>45523</stp>
        <stp/>
        <tr r="CK55" s="2"/>
        <tr r="CK55" s="2"/>
      </tp>
      <tp>
        <v>3.6280000000000001</v>
        <stp/>
        <stp>P</stp>
        <stp>0</stp>
        <stp>IR</stp>
        <stp>BONDFNP7020110</stp>
        <stp>15년이하(당일)</stp>
        <stp>45523</stp>
        <stp/>
        <tr r="CK52" s="2"/>
        <tr r="CK52" s="2"/>
      </tp>
      <tp>
        <v>3.6859999999999999</v>
        <stp/>
        <stp>P</stp>
        <stp>0</stp>
        <stp>IR</stp>
        <stp>BONDFNP5030110</stp>
        <stp>15년이하(당일)</stp>
        <stp>45523</stp>
        <stp/>
        <tr r="CK27" s="2"/>
        <tr r="CK27" s="2"/>
      </tp>
      <tp>
        <v>9.4779999999999998</v>
        <stp/>
        <stp>P</stp>
        <stp>0</stp>
        <stp>IR</stp>
        <stp>BONDFNP6010212</stp>
        <stp>15년이하(당일)</stp>
        <stp>45523</stp>
        <stp/>
        <tr r="CK41" s="2"/>
        <tr r="CK41" s="2"/>
      </tp>
      <tp>
        <v>9.1379999999999999</v>
        <stp/>
        <stp>P</stp>
        <stp>0</stp>
        <stp>IR</stp>
        <stp>BONDFNP7010212</stp>
        <stp>15년이하(당일)</stp>
        <stp>45523</stp>
        <stp/>
        <tr r="CK71" s="2"/>
        <tr r="CK71" s="2"/>
      </tp>
      <tp>
        <v>3.1749999999999998</v>
        <stp/>
        <stp>P</stp>
        <stp>0</stp>
        <stp>IR</stp>
        <stp>BONDFNP3030110</stp>
        <stp>15년이하(당일)</stp>
        <stp>45523</stp>
        <stp/>
        <tr r="CK16" s="2"/>
        <tr r="CK16" s="2"/>
      </tp>
      <tp>
        <v>8.0879999999999992</v>
        <stp/>
        <stp>P</stp>
        <stp>0</stp>
        <stp>IR</stp>
        <stp>BONDFNP6010211</stp>
        <stp>15년이하(당일)</stp>
        <stp>45523</stp>
        <stp/>
        <tr r="CK40" s="2"/>
        <tr r="CK40" s="2"/>
      </tp>
      <tp>
        <v>8.0180000000000007</v>
        <stp/>
        <stp>P</stp>
        <stp>0</stp>
        <stp>IR</stp>
        <stp>BONDFNP7010211</stp>
        <stp>15년이하(당일)</stp>
        <stp>45523</stp>
        <stp/>
        <tr r="CK70" s="2"/>
        <tr r="CK70" s="2"/>
      </tp>
      <tp>
        <v>4.141</v>
        <stp/>
        <stp>P</stp>
        <stp>0</stp>
        <stp>IR</stp>
        <stp>BONDFNP8010110</stp>
        <stp>15년이하(당일)</stp>
        <stp>45523</stp>
        <stp/>
        <tr r="CK73" s="2"/>
        <tr r="CK73" s="2"/>
      </tp>
      <tp>
        <v>3.5830000000000002</v>
        <stp/>
        <stp>P</stp>
        <stp>0</stp>
        <stp>IR</stp>
        <stp>BONDFNP5010110</stp>
        <stp>15년이하(당일)</stp>
        <stp>45523</stp>
        <stp/>
        <tr r="CK23" s="2"/>
        <tr r="CK23" s="2"/>
      </tp>
      <tp>
        <v>3.8410000000000002</v>
        <stp/>
        <stp>P</stp>
        <stp>0</stp>
        <stp>IR</stp>
        <stp>BONDFNP7010110</stp>
        <stp>15년이하(당일)</stp>
        <stp>45523</stp>
        <stp/>
        <tr r="CK63" s="2"/>
        <tr r="CK63" s="2"/>
      </tp>
      <tp>
        <v>4.484</v>
        <stp/>
        <stp>P</stp>
        <stp>0</stp>
        <stp>IR</stp>
        <stp>BONDFNP7010211</stp>
        <stp>3월이하(당일)</stp>
        <stp>45523</stp>
        <stp/>
        <tr r="BY70" s="2"/>
        <tr r="BY70" s="2"/>
      </tp>
      <tp>
        <v>5.5339999999999998</v>
        <stp/>
        <stp>P</stp>
        <stp>0</stp>
        <stp>IR</stp>
        <stp>BONDFNP7010213</stp>
        <stp>3월이하(당일)</stp>
        <stp>45523</stp>
        <stp/>
        <tr r="BY72" s="2"/>
        <tr r="BY72" s="2"/>
      </tp>
      <tp>
        <v>3.4180000000000001</v>
        <stp/>
        <stp>P</stp>
        <stp>0</stp>
        <stp>IR</stp>
        <stp>BONDFNP7020210</stp>
        <stp>3월이하(당일)</stp>
        <stp>45523</stp>
        <stp/>
        <tr r="BY55" s="2"/>
        <tr r="BY55" s="2"/>
      </tp>
      <tp>
        <v>4.8540000000000001</v>
        <stp/>
        <stp>P</stp>
        <stp>0</stp>
        <stp>IR</stp>
        <stp>BONDFNP7010212</stp>
        <stp>3월이하(당일)</stp>
        <stp>45523</stp>
        <stp/>
        <tr r="BY71" s="2"/>
        <tr r="BY71" s="2"/>
      </tp>
      <tp>
        <v>4.8470000000000004</v>
        <stp/>
        <stp>P</stp>
        <stp>0</stp>
        <stp>IR</stp>
        <stp>BONDKIS7010212</stp>
        <stp>3월이하(당일)</stp>
        <stp>45523</stp>
        <stp/>
        <tr r="AS71" s="2"/>
        <tr r="AS71" s="2"/>
      </tp>
      <tp>
        <v>5.5220000000000002</v>
        <stp/>
        <stp>P</stp>
        <stp>0</stp>
        <stp>IR</stp>
        <stp>BONDKIS7010213</stp>
        <stp>3월이하(당일)</stp>
        <stp>45523</stp>
        <stp/>
        <tr r="AS72" s="2"/>
        <tr r="AS72" s="2"/>
      </tp>
      <tp>
        <v>3.375</v>
        <stp/>
        <stp>P</stp>
        <stp>0</stp>
        <stp>IR</stp>
        <stp>BONDKIS7020210</stp>
        <stp>3월이하(당일)</stp>
        <stp>45523</stp>
        <stp/>
        <tr r="AS55" s="2"/>
        <tr r="AS55" s="2"/>
      </tp>
      <tp>
        <v>4.4669999999999996</v>
        <stp/>
        <stp>P</stp>
        <stp>0</stp>
        <stp>IR</stp>
        <stp>BONDKIS7010211</stp>
        <stp>3월이하(당일)</stp>
        <stp>45523</stp>
        <stp/>
        <tr r="AS70" s="2"/>
        <tr r="AS70" s="2"/>
      </tp>
      <tp>
        <v>4.4619999999999997</v>
        <stp/>
        <stp>P</stp>
        <stp>0</stp>
        <stp>IR</stp>
        <stp>BONDKSD7010211</stp>
        <stp>3월이하(당일)</stp>
        <stp>45523</stp>
        <stp/>
        <tr r="CO70" s="2"/>
        <tr r="CO70" s="2"/>
      </tp>
      <tp>
        <v>4.8369999999999997</v>
        <stp/>
        <stp>P</stp>
        <stp>0</stp>
        <stp>IR</stp>
        <stp>BONDKSD7010212</stp>
        <stp>3월이하(당일)</stp>
        <stp>45523</stp>
        <stp/>
        <tr r="CO71" s="2"/>
        <tr r="CO71" s="2"/>
      </tp>
      <tp>
        <v>5.516</v>
        <stp/>
        <stp>P</stp>
        <stp>0</stp>
        <stp>IR</stp>
        <stp>BONDKSD7010213</stp>
        <stp>3월이하(당일)</stp>
        <stp>45523</stp>
        <stp/>
        <tr r="CO72" s="2"/>
        <tr r="CO72" s="2"/>
      </tp>
      <tp>
        <v>3.617</v>
        <stp/>
        <stp>P</stp>
        <stp>0</stp>
        <stp>IR</stp>
        <stp>BONDKSD7020210</stp>
        <stp>3월이하(당일)</stp>
        <stp>45523</stp>
        <stp/>
        <tr r="CO55" s="2"/>
        <tr r="CO55" s="2"/>
      </tp>
      <tp>
        <v>0</v>
        <stp/>
        <stp>P</stp>
        <stp>0</stp>
        <stp>IR</stp>
        <stp>BONDFNP8010133</stp>
        <stp>50년이하(당일)</stp>
        <stp>45523</stp>
        <stp/>
        <tr r="CN79" s="2"/>
      </tp>
      <tp>
        <v>6.6470000000000002</v>
        <stp/>
        <stp>P</stp>
        <stp>0</stp>
        <stp>IR</stp>
        <stp>BONDFNP8010133</stp>
        <stp>10년이하(당일)</stp>
        <stp>45523</stp>
        <stp/>
        <tr r="CJ79" s="2"/>
        <tr r="CJ79" s="2"/>
      </tp>
      <tp>
        <v>7.3570000000000002</v>
        <stp/>
        <stp>P</stp>
        <stp>0</stp>
        <stp>IR</stp>
        <stp>BONDFNP8010133</stp>
        <stp>20년이하(당일)</stp>
        <stp>45523</stp>
        <stp/>
        <tr r="CL79" s="2"/>
        <tr r="CL79" s="2"/>
      </tp>
      <tp>
        <v>0</v>
        <stp/>
        <stp>P</stp>
        <stp>0</stp>
        <stp>IR</stp>
        <stp>BONDFNP8010133</stp>
        <stp>30년이하(당일)</stp>
        <stp>45523</stp>
        <stp/>
        <tr r="CM79" s="2"/>
      </tp>
      <tp>
        <v>6.8369999999999997</v>
        <stp/>
        <stp>P</stp>
        <stp>0</stp>
        <stp>IR</stp>
        <stp>BONDFNP6010133</stp>
        <stp>20년이하(당일)</stp>
        <stp>45523</stp>
        <stp/>
        <tr r="CL39" s="2"/>
        <tr r="CL39" s="2"/>
      </tp>
      <tp>
        <v>0</v>
        <stp/>
        <stp>P</stp>
        <stp>0</stp>
        <stp>IR</stp>
        <stp>BONDFNP7010133</stp>
        <stp>30년이하(당일)</stp>
        <stp>45523</stp>
        <stp/>
        <tr r="CM69" s="2"/>
      </tp>
      <tp>
        <v>0</v>
        <stp/>
        <stp>P</stp>
        <stp>0</stp>
        <stp>IR</stp>
        <stp>BONDFNP7020130</stp>
        <stp>30년이하(당일)</stp>
        <stp>45523</stp>
        <stp/>
        <tr r="CM54" s="2"/>
      </tp>
      <tp>
        <v>0</v>
        <stp/>
        <stp>P</stp>
        <stp>0</stp>
        <stp>IR</stp>
        <stp>BONDFNP6010133</stp>
        <stp>30년이하(당일)</stp>
        <stp>45523</stp>
        <stp/>
        <tr r="CM39" s="2"/>
      </tp>
      <tp>
        <v>6.7949999999999999</v>
        <stp/>
        <stp>P</stp>
        <stp>0</stp>
        <stp>IR</stp>
        <stp>BONDFNP7010133</stp>
        <stp>20년이하(당일)</stp>
        <stp>45523</stp>
        <stp/>
        <tr r="CL69" s="2"/>
        <tr r="CL69" s="2"/>
      </tp>
      <tp>
        <v>4.133</v>
        <stp/>
        <stp>P</stp>
        <stp>0</stp>
        <stp>IR</stp>
        <stp>BONDFNP7020130</stp>
        <stp>20년이하(당일)</stp>
        <stp>45523</stp>
        <stp/>
        <tr r="CL54" s="2"/>
        <tr r="CL54" s="2"/>
      </tp>
      <tp>
        <v>6.1139999999999999</v>
        <stp/>
        <stp>P</stp>
        <stp>0</stp>
        <stp>IR</stp>
        <stp>BONDFNP7010133</stp>
        <stp>10년이하(당일)</stp>
        <stp>45523</stp>
        <stp/>
        <tr r="CJ69" s="2"/>
        <tr r="CJ69" s="2"/>
      </tp>
      <tp>
        <v>3.835</v>
        <stp/>
        <stp>P</stp>
        <stp>0</stp>
        <stp>IR</stp>
        <stp>BONDFNP7020130</stp>
        <stp>10년이하(당일)</stp>
        <stp>45523</stp>
        <stp/>
        <tr r="CJ54" s="2"/>
        <tr r="CJ54" s="2"/>
      </tp>
      <tp>
        <v>6.4859999999999998</v>
        <stp/>
        <stp>P</stp>
        <stp>0</stp>
        <stp>IR</stp>
        <stp>BONDFNP6010133</stp>
        <stp>10년이하(당일)</stp>
        <stp>45523</stp>
        <stp/>
        <tr r="CJ39" s="2"/>
        <tr r="CJ39" s="2"/>
      </tp>
      <tp>
        <v>0</v>
        <stp/>
        <stp>P</stp>
        <stp>0</stp>
        <stp>IR</stp>
        <stp>BONDFNP7010133</stp>
        <stp>50년이하(당일)</stp>
        <stp>45523</stp>
        <stp/>
        <tr r="CN69" s="2"/>
      </tp>
      <tp>
        <v>0</v>
        <stp/>
        <stp>P</stp>
        <stp>0</stp>
        <stp>IR</stp>
        <stp>BONDFNP7020130</stp>
        <stp>50년이하(당일)</stp>
        <stp>45523</stp>
        <stp/>
        <tr r="CN54" s="2"/>
      </tp>
      <tp>
        <v>0</v>
        <stp/>
        <stp>P</stp>
        <stp>0</stp>
        <stp>IR</stp>
        <stp>BONDFNP6010133</stp>
        <stp>50년이하(당일)</stp>
        <stp>45523</stp>
        <stp/>
        <tr r="CN39" s="2"/>
      </tp>
      <tp>
        <v>0</v>
        <stp/>
        <stp>P</stp>
        <stp>0</stp>
        <stp>IR</stp>
        <stp>BONDFNP8010132</stp>
        <stp>50년이하(당일)</stp>
        <stp>45523</stp>
        <stp/>
        <tr r="CN78" s="2"/>
      </tp>
      <tp>
        <v>6.1</v>
        <stp/>
        <stp>P</stp>
        <stp>0</stp>
        <stp>IR</stp>
        <stp>BONDFNP8010132</stp>
        <stp>10년이하(당일)</stp>
        <stp>45523</stp>
        <stp/>
        <tr r="CJ78" s="2"/>
        <tr r="CJ78" s="2"/>
      </tp>
      <tp>
        <v>6.78</v>
        <stp/>
        <stp>P</stp>
        <stp>0</stp>
        <stp>IR</stp>
        <stp>BONDFNP8010132</stp>
        <stp>20년이하(당일)</stp>
        <stp>45523</stp>
        <stp/>
        <tr r="CL78" s="2"/>
        <tr r="CL78" s="2"/>
      </tp>
      <tp>
        <v>0</v>
        <stp/>
        <stp>P</stp>
        <stp>0</stp>
        <stp>IR</stp>
        <stp>BONDFNP8010132</stp>
        <stp>30년이하(당일)</stp>
        <stp>45523</stp>
        <stp/>
        <tr r="CM78" s="2"/>
      </tp>
      <tp>
        <v>6.1909999999999998</v>
        <stp/>
        <stp>P</stp>
        <stp>0</stp>
        <stp>IR</stp>
        <stp>BONDFNP6010132</stp>
        <stp>20년이하(당일)</stp>
        <stp>45523</stp>
        <stp/>
        <tr r="CL38" s="2"/>
        <tr r="CL38" s="2"/>
      </tp>
      <tp>
        <v>0</v>
        <stp/>
        <stp>P</stp>
        <stp>0</stp>
        <stp>IR</stp>
        <stp>BONDFNP7010132</stp>
        <stp>30년이하(당일)</stp>
        <stp>45523</stp>
        <stp/>
        <tr r="CM68" s="2"/>
      </tp>
      <tp>
        <v>0</v>
        <stp/>
        <stp>P</stp>
        <stp>0</stp>
        <stp>IR</stp>
        <stp>BONDFNP6010132</stp>
        <stp>30년이하(당일)</stp>
        <stp>45523</stp>
        <stp/>
        <tr r="CM38" s="2"/>
      </tp>
      <tp>
        <v>6.2460000000000004</v>
        <stp/>
        <stp>P</stp>
        <stp>0</stp>
        <stp>IR</stp>
        <stp>BONDFNP7010132</stp>
        <stp>20년이하(당일)</stp>
        <stp>45523</stp>
        <stp/>
        <tr r="CL68" s="2"/>
        <tr r="CL68" s="2"/>
      </tp>
      <tp>
        <v>5.5910000000000002</v>
        <stp/>
        <stp>P</stp>
        <stp>0</stp>
        <stp>IR</stp>
        <stp>BONDFNP7010132</stp>
        <stp>10년이하(당일)</stp>
        <stp>45523</stp>
        <stp/>
        <tr r="CJ68" s="2"/>
        <tr r="CJ68" s="2"/>
      </tp>
      <tp>
        <v>5.8259999999999996</v>
        <stp/>
        <stp>P</stp>
        <stp>0</stp>
        <stp>IR</stp>
        <stp>BONDFNP6010132</stp>
        <stp>10년이하(당일)</stp>
        <stp>45523</stp>
        <stp/>
        <tr r="CJ38" s="2"/>
        <tr r="CJ38" s="2"/>
      </tp>
      <tp>
        <v>0</v>
        <stp/>
        <stp>P</stp>
        <stp>0</stp>
        <stp>IR</stp>
        <stp>BONDFNP7010132</stp>
        <stp>50년이하(당일)</stp>
        <stp>45523</stp>
        <stp/>
        <tr r="CN68" s="2"/>
      </tp>
      <tp>
        <v>0</v>
        <stp/>
        <stp>P</stp>
        <stp>0</stp>
        <stp>IR</stp>
        <stp>BONDFNP6010132</stp>
        <stp>50년이하(당일)</stp>
        <stp>45523</stp>
        <stp/>
        <tr r="CN38" s="2"/>
      </tp>
      <tp>
        <v>0</v>
        <stp/>
        <stp>P</stp>
        <stp>0</stp>
        <stp>IR</stp>
        <stp>BONDFNP8010131</stp>
        <stp>50년이하(당일)</stp>
        <stp>45523</stp>
        <stp/>
        <tr r="CN77" s="2"/>
      </tp>
      <tp>
        <v>5.5709999999999997</v>
        <stp/>
        <stp>P</stp>
        <stp>0</stp>
        <stp>IR</stp>
        <stp>BONDFNP8010131</stp>
        <stp>10년이하(당일)</stp>
        <stp>45523</stp>
        <stp/>
        <tr r="CJ77" s="2"/>
        <tr r="CJ77" s="2"/>
      </tp>
      <tp>
        <v>6.3319999999999999</v>
        <stp/>
        <stp>P</stp>
        <stp>0</stp>
        <stp>IR</stp>
        <stp>BONDFNP8010131</stp>
        <stp>20년이하(당일)</stp>
        <stp>45523</stp>
        <stp/>
        <tr r="CL77" s="2"/>
        <tr r="CL77" s="2"/>
      </tp>
      <tp>
        <v>0</v>
        <stp/>
        <stp>P</stp>
        <stp>0</stp>
        <stp>IR</stp>
        <stp>BONDFNP8010131</stp>
        <stp>30년이하(당일)</stp>
        <stp>45523</stp>
        <stp/>
        <tr r="CM77" s="2"/>
      </tp>
      <tp>
        <v>5.8170000000000002</v>
        <stp/>
        <stp>P</stp>
        <stp>0</stp>
        <stp>IR</stp>
        <stp>BONDFNP6010131</stp>
        <stp>20년이하(당일)</stp>
        <stp>45523</stp>
        <stp/>
        <tr r="CL37" s="2"/>
        <tr r="CL37" s="2"/>
      </tp>
      <tp>
        <v>0</v>
        <stp/>
        <stp>P</stp>
        <stp>0</stp>
        <stp>IR</stp>
        <stp>BONDFNP7010131</stp>
        <stp>30년이하(당일)</stp>
        <stp>45523</stp>
        <stp/>
        <tr r="CM67" s="2"/>
      </tp>
      <tp>
        <v>0</v>
        <stp/>
        <stp>P</stp>
        <stp>0</stp>
        <stp>IR</stp>
        <stp>BONDFNP6010131</stp>
        <stp>30년이하(당일)</stp>
        <stp>45523</stp>
        <stp/>
        <tr r="CM37" s="2"/>
      </tp>
      <tp>
        <v>5.8479999999999999</v>
        <stp/>
        <stp>P</stp>
        <stp>0</stp>
        <stp>IR</stp>
        <stp>BONDFNP7010131</stp>
        <stp>20년이하(당일)</stp>
        <stp>45523</stp>
        <stp/>
        <tr r="CL67" s="2"/>
        <tr r="CL67" s="2"/>
      </tp>
      <tp>
        <v>5.1340000000000003</v>
        <stp/>
        <stp>P</stp>
        <stp>0</stp>
        <stp>IR</stp>
        <stp>BONDFNP7010131</stp>
        <stp>10년이하(당일)</stp>
        <stp>45523</stp>
        <stp/>
        <tr r="CJ67" s="2"/>
        <tr r="CJ67" s="2"/>
      </tp>
      <tp>
        <v>5.4020000000000001</v>
        <stp/>
        <stp>P</stp>
        <stp>0</stp>
        <stp>IR</stp>
        <stp>BONDFNP6010131</stp>
        <stp>10년이하(당일)</stp>
        <stp>45523</stp>
        <stp/>
        <tr r="CJ37" s="2"/>
        <tr r="CJ37" s="2"/>
      </tp>
      <tp>
        <v>0</v>
        <stp/>
        <stp>P</stp>
        <stp>0</stp>
        <stp>IR</stp>
        <stp>BONDFNP7010131</stp>
        <stp>50년이하(당일)</stp>
        <stp>45523</stp>
        <stp/>
        <tr r="CN67" s="2"/>
      </tp>
      <tp>
        <v>0</v>
        <stp/>
        <stp>P</stp>
        <stp>0</stp>
        <stp>IR</stp>
        <stp>BONDFNP6010131</stp>
        <stp>50년이하(당일)</stp>
        <stp>45523</stp>
        <stp/>
        <tr r="CN37" s="2"/>
      </tp>
      <tp>
        <v>4.7839999999999998</v>
        <stp/>
        <stp>P</stp>
        <stp>0</stp>
        <stp>IR</stp>
        <stp>BONDFNP5050133</stp>
        <stp>10년이하(당일)</stp>
        <stp>45523</stp>
        <stp/>
        <tr r="CJ33" s="2"/>
        <tr r="CJ33" s="2"/>
      </tp>
      <tp>
        <v>0</v>
        <stp/>
        <stp>P</stp>
        <stp>0</stp>
        <stp>IR</stp>
        <stp>BONDFNP5050133</stp>
        <stp>30년이하(당일)</stp>
        <stp>45523</stp>
        <stp/>
        <tr r="CM33" s="2"/>
      </tp>
      <tp>
        <v>5.024</v>
        <stp/>
        <stp>P</stp>
        <stp>0</stp>
        <stp>IR</stp>
        <stp>BONDFNP5050133</stp>
        <stp>20년이하(당일)</stp>
        <stp>45523</stp>
        <stp/>
        <tr r="CL33" s="2"/>
        <tr r="CL33" s="2"/>
      </tp>
      <tp>
        <v>0</v>
        <stp/>
        <stp>P</stp>
        <stp>0</stp>
        <stp>IR</stp>
        <stp>BONDFNP5050133</stp>
        <stp>50년이하(당일)</stp>
        <stp>45523</stp>
        <stp/>
        <tr r="CN33" s="2"/>
      </tp>
      <tp>
        <v>4.6440000000000001</v>
        <stp/>
        <stp>P</stp>
        <stp>0</stp>
        <stp>IR</stp>
        <stp>BONDFNP5050132</stp>
        <stp>10년이하(당일)</stp>
        <stp>45523</stp>
        <stp/>
        <tr r="CJ32" s="2"/>
        <tr r="CJ32" s="2"/>
      </tp>
      <tp>
        <v>0</v>
        <stp/>
        <stp>P</stp>
        <stp>0</stp>
        <stp>IR</stp>
        <stp>BONDFNP5050132</stp>
        <stp>30년이하(당일)</stp>
        <stp>45523</stp>
        <stp/>
        <tr r="CM32" s="2"/>
      </tp>
      <tp>
        <v>4.8940000000000001</v>
        <stp/>
        <stp>P</stp>
        <stp>0</stp>
        <stp>IR</stp>
        <stp>BONDFNP5050132</stp>
        <stp>20년이하(당일)</stp>
        <stp>45523</stp>
        <stp/>
        <tr r="CL32" s="2"/>
        <tr r="CL32" s="2"/>
      </tp>
      <tp>
        <v>0</v>
        <stp/>
        <stp>P</stp>
        <stp>0</stp>
        <stp>IR</stp>
        <stp>BONDFNP5050132</stp>
        <stp>50년이하(당일)</stp>
        <stp>45523</stp>
        <stp/>
        <tr r="CN32" s="2"/>
      </tp>
      <tp>
        <v>4.4969999999999999</v>
        <stp/>
        <stp>P</stp>
        <stp>0</stp>
        <stp>IR</stp>
        <stp>BONDFNP5050131</stp>
        <stp>10년이하(당일)</stp>
        <stp>45523</stp>
        <stp/>
        <tr r="CJ31" s="2"/>
        <tr r="CJ31" s="2"/>
      </tp>
      <tp>
        <v>0</v>
        <stp/>
        <stp>P</stp>
        <stp>0</stp>
        <stp>IR</stp>
        <stp>BONDFNP5050131</stp>
        <stp>30년이하(당일)</stp>
        <stp>45523</stp>
        <stp/>
        <tr r="CM31" s="2"/>
      </tp>
      <tp>
        <v>4.76</v>
        <stp/>
        <stp>P</stp>
        <stp>0</stp>
        <stp>IR</stp>
        <stp>BONDFNP5050131</stp>
        <stp>20년이하(당일)</stp>
        <stp>45523</stp>
        <stp/>
        <tr r="CL31" s="2"/>
        <tr r="CL31" s="2"/>
      </tp>
      <tp>
        <v>0</v>
        <stp/>
        <stp>P</stp>
        <stp>0</stp>
        <stp>IR</stp>
        <stp>BONDFNP5050131</stp>
        <stp>50년이하(당일)</stp>
        <stp>45523</stp>
        <stp/>
        <tr r="CN31" s="2"/>
      </tp>
      <tp>
        <v>5.9240000000000004</v>
        <stp/>
        <stp>P</stp>
        <stp>0</stp>
        <stp>IR</stp>
        <stp>BONDFNP6010211</stp>
        <stp>3월이하(당일)</stp>
        <stp>45523</stp>
        <stp/>
        <tr r="BY40" s="2"/>
        <tr r="BY40" s="2"/>
      </tp>
      <tp>
        <v>3.411</v>
        <stp/>
        <stp>P</stp>
        <stp>0</stp>
        <stp>IR</stp>
        <stp>BONDFNP5010110</stp>
        <stp>3월이하(당일)</stp>
        <stp>45523</stp>
        <stp/>
        <tr r="BY23" s="2"/>
        <tr r="BY23" s="2"/>
      </tp>
      <tp>
        <v>3.411</v>
        <stp/>
        <stp>P</stp>
        <stp>0</stp>
        <stp>IR</stp>
        <stp>BONDFNP5020110</stp>
        <stp>3월이하(당일)</stp>
        <stp>45523</stp>
        <stp/>
        <tr r="BY25" s="2"/>
        <tr r="BY25" s="2"/>
      </tp>
      <tp>
        <v>7.8490000000000002</v>
        <stp/>
        <stp>P</stp>
        <stp>0</stp>
        <stp>IR</stp>
        <stp>BONDFNP6010213</stp>
        <stp>3월이하(당일)</stp>
        <stp>45523</stp>
        <stp/>
        <tr r="BY42" s="2"/>
        <tr r="BY42" s="2"/>
      </tp>
      <tp>
        <v>3.4289999999999998</v>
        <stp/>
        <stp>P</stp>
        <stp>0</stp>
        <stp>IR</stp>
        <stp>BONDFNP5030110</stp>
        <stp>3월이하(당일)</stp>
        <stp>45523</stp>
        <stp/>
        <tr r="BY27" s="2"/>
        <tr r="BY27" s="2"/>
      </tp>
      <tp>
        <v>6.569</v>
        <stp/>
        <stp>P</stp>
        <stp>0</stp>
        <stp>IR</stp>
        <stp>BONDFNP6010212</stp>
        <stp>3월이하(당일)</stp>
        <stp>45523</stp>
        <stp/>
        <tr r="BY41" s="2"/>
        <tr r="BY41" s="2"/>
      </tp>
      <tp>
        <v>3.27</v>
        <stp/>
        <stp>P</stp>
        <stp>0</stp>
        <stp>IR</stp>
        <stp>BONDFNP4000000</stp>
        <stp>3월이하(당일)</stp>
        <stp>45523</stp>
        <stp/>
        <tr r="BY20" s="2"/>
        <tr r="BY20" s="2"/>
      </tp>
      <tp>
        <v>3.2</v>
        <stp/>
        <stp>P</stp>
        <stp>0</stp>
        <stp>IR</stp>
        <stp>BONDFNP1010000</stp>
        <stp>6월이하(당일)</stp>
        <stp>45523</stp>
        <stp/>
        <tr r="BZ9" s="2"/>
        <tr r="BZ9" s="2"/>
      </tp>
      <tp>
        <v>3.0209999999999999</v>
        <stp/>
        <stp>P</stp>
        <stp>0</stp>
        <stp>IR</stp>
        <stp>BONDFNP1020000</stp>
        <stp>6월이하(당일)</stp>
        <stp>45523</stp>
        <stp/>
        <tr r="BZ11" s="2"/>
        <tr r="BZ11" s="2"/>
      </tp>
      <tp>
        <v>3.24</v>
        <stp/>
        <stp>P</stp>
        <stp>0</stp>
        <stp>IR</stp>
        <stp>BONDFNP1030000</stp>
        <stp>6월이하(당일)</stp>
        <stp>45523</stp>
        <stp/>
        <tr r="BZ10" s="2"/>
        <tr r="BZ10" s="2"/>
      </tp>
      <tp>
        <v>3.4169999999999998</v>
        <stp/>
        <stp>P</stp>
        <stp>0</stp>
        <stp>IR</stp>
        <stp>BONDFNP4050000</stp>
        <stp>3월이하(당일)</stp>
        <stp>45523</stp>
        <stp/>
        <tr r="BY22" s="2"/>
        <tr r="BY22" s="2"/>
      </tp>
      <tp>
        <v>3.87</v>
        <stp/>
        <stp>P</stp>
        <stp>0</stp>
        <stp>IR</stp>
        <stp>BONDFNP5050131</stp>
        <stp>3월이하(당일)</stp>
        <stp>45523</stp>
        <stp/>
        <tr r="BY31" s="2"/>
        <tr r="BY31" s="2"/>
      </tp>
      <tp>
        <v>4.056</v>
        <stp/>
        <stp>P</stp>
        <stp>0</stp>
        <stp>IR</stp>
        <stp>BONDFNP5050133</stp>
        <stp>3월이하(당일)</stp>
        <stp>45523</stp>
        <stp/>
        <tr r="BY33" s="2"/>
        <tr r="BY33" s="2"/>
      </tp>
      <tp>
        <v>3.9660000000000002</v>
        <stp/>
        <stp>P</stp>
        <stp>0</stp>
        <stp>IR</stp>
        <stp>BONDFNP5050132</stp>
        <stp>3월이하(당일)</stp>
        <stp>45523</stp>
        <stp/>
        <tr r="BY32" s="2"/>
        <tr r="BY32" s="2"/>
      </tp>
      <tp>
        <v>3.456</v>
        <stp/>
        <stp>P</stp>
        <stp>0</stp>
        <stp>IR</stp>
        <stp>BONDFNP5040121</stp>
        <stp>3월이하(당일)</stp>
        <stp>45523</stp>
        <stp/>
        <tr r="BY28" s="2"/>
        <tr r="BY28" s="2"/>
      </tp>
      <tp>
        <v>3.6259999999999999</v>
        <stp/>
        <stp>P</stp>
        <stp>0</stp>
        <stp>IR</stp>
        <stp>BONDFNP5040122</stp>
        <stp>3월이하(당일)</stp>
        <stp>45523</stp>
        <stp/>
        <tr r="BY29" s="2"/>
        <tr r="BY29" s="2"/>
      </tp>
      <tp>
        <v>3.7829999999999999</v>
        <stp/>
        <stp>P</stp>
        <stp>0</stp>
        <stp>IR</stp>
        <stp>BONDFNP5040123</stp>
        <stp>3월이하(당일)</stp>
        <stp>45523</stp>
        <stp/>
        <tr r="BY30" s="2"/>
        <tr r="BY30" s="2"/>
      </tp>
      <tp>
        <v>3.6949999999999998</v>
        <stp/>
        <stp>P</stp>
        <stp>0</stp>
        <stp>IR</stp>
        <stp>BONDNIC5040113</stp>
        <stp>3월이하(당일)</stp>
        <stp>45523</stp>
        <stp/>
        <tr r="BI30" s="2"/>
        <tr r="BI30" s="2"/>
      </tp>
      <tp>
        <v>3.9550000000000001</v>
        <stp/>
        <stp>P</stp>
        <stp>0</stp>
        <stp>IR</stp>
        <stp>BONDNIC5050112</stp>
        <stp>3월이하(당일)</stp>
        <stp>45523</stp>
        <stp/>
        <tr r="BI32" s="2"/>
        <tr r="BI32" s="2"/>
      </tp>
      <tp>
        <v>3.633</v>
        <stp/>
        <stp>P</stp>
        <stp>0</stp>
        <stp>IR</stp>
        <stp>BONDNIC5040112</stp>
        <stp>3월이하(당일)</stp>
        <stp>45523</stp>
        <stp/>
        <tr r="BI29" s="2"/>
        <tr r="BI29" s="2"/>
      </tp>
      <tp>
        <v>4.0449999999999999</v>
        <stp/>
        <stp>P</stp>
        <stp>0</stp>
        <stp>IR</stp>
        <stp>BONDNIC5050113</stp>
        <stp>3월이하(당일)</stp>
        <stp>45523</stp>
        <stp/>
        <tr r="BI33" s="2"/>
        <tr r="BI33" s="2"/>
      </tp>
      <tp>
        <v>3.444</v>
        <stp/>
        <stp>P</stp>
        <stp>0</stp>
        <stp>IR</stp>
        <stp>BONDNIC5040111</stp>
        <stp>3월이하(당일)</stp>
        <stp>45523</stp>
        <stp/>
        <tr r="BI28" s="2"/>
        <tr r="BI28" s="2"/>
      </tp>
      <tp>
        <v>3.8650000000000002</v>
        <stp/>
        <stp>P</stp>
        <stp>0</stp>
        <stp>IR</stp>
        <stp>BONDNIC5050111</stp>
        <stp>3월이하(당일)</stp>
        <stp>45523</stp>
        <stp/>
        <tr r="BI31" s="2"/>
        <tr r="BI31" s="2"/>
      </tp>
      <tp>
        <v>3.4420000000000002</v>
        <stp/>
        <stp>P</stp>
        <stp>0</stp>
        <stp>IR</stp>
        <stp>BONDNIC5030110</stp>
        <stp>3월이하(당일)</stp>
        <stp>45523</stp>
        <stp/>
        <tr r="BI27" s="2"/>
        <tr r="BI27" s="2"/>
      </tp>
      <tp>
        <v>3.4329999999999998</v>
        <stp/>
        <stp>P</stp>
        <stp>0</stp>
        <stp>IR</stp>
        <stp>BONDNIC5020110</stp>
        <stp>3월이하(당일)</stp>
        <stp>45523</stp>
        <stp/>
        <tr r="BI25" s="2"/>
        <tr r="BI25" s="2"/>
      </tp>
      <tp>
        <v>3.4329999999999998</v>
        <stp/>
        <stp>P</stp>
        <stp>0</stp>
        <stp>IR</stp>
        <stp>BONDNIC5010110</stp>
        <stp>3월이하(당일)</stp>
        <stp>45523</stp>
        <stp/>
        <tr r="BI23" s="2"/>
        <tr r="BI23" s="2"/>
      </tp>
      <tp>
        <v>3.4369999999999998</v>
        <stp/>
        <stp>P</stp>
        <stp>0</stp>
        <stp>IR</stp>
        <stp>BONDNIC4050000</stp>
        <stp>3월이하(당일)</stp>
        <stp>45523</stp>
        <stp/>
        <tr r="BI22" s="2"/>
        <tr r="BI22" s="2"/>
      </tp>
      <tp>
        <v>3.26</v>
        <stp/>
        <stp>P</stp>
        <stp>0</stp>
        <stp>IR</stp>
        <stp>BONDNIC1030000</stp>
        <stp>6월이하(당일)</stp>
        <stp>45523</stp>
        <stp/>
        <tr r="BJ10" s="2"/>
        <tr r="BJ10" s="2"/>
      </tp>
      <tp>
        <v>3.0550000000000002</v>
        <stp/>
        <stp>P</stp>
        <stp>0</stp>
        <stp>IR</stp>
        <stp>BONDNIC1020000</stp>
        <stp>6월이하(당일)</stp>
        <stp>45523</stp>
        <stp/>
        <tr r="BJ11" s="2"/>
        <tr r="BJ11" s="2"/>
      </tp>
      <tp>
        <v>3.2</v>
        <stp/>
        <stp>P</stp>
        <stp>0</stp>
        <stp>IR</stp>
        <stp>BONDNIC1010000</stp>
        <stp>6월이하(당일)</stp>
        <stp>45523</stp>
        <stp/>
        <tr r="BJ9" s="2"/>
        <tr r="BJ9" s="2"/>
      </tp>
      <tp>
        <v>2.7850000000000001</v>
        <stp/>
        <stp>P</stp>
        <stp>0</stp>
        <stp>IR</stp>
        <stp>BONDNIC1015000</stp>
        <stp>6월이하(당일)</stp>
        <stp>45523</stp>
        <stp/>
        <tr r="BJ12" s="2"/>
        <tr r="BJ12" s="2"/>
      </tp>
      <tp>
        <v>3.24</v>
        <stp/>
        <stp>P</stp>
        <stp>0</stp>
        <stp>IR</stp>
        <stp>BONDNIC4000000</stp>
        <stp>3월이하(당일)</stp>
        <stp>45523</stp>
        <stp/>
        <tr r="BI20" s="2"/>
        <tr r="BI20" s="2"/>
      </tp>
      <tp>
        <v>3.42</v>
        <stp/>
        <stp>P</stp>
        <stp>0</stp>
        <stp>IR</stp>
        <stp>BONDKIS4050000</stp>
        <stp>3월이하(당일)</stp>
        <stp>45523</stp>
        <stp/>
        <tr r="AS22" s="2"/>
        <tr r="AS22" s="2"/>
      </tp>
      <tp>
        <v>3.242</v>
        <stp/>
        <stp>P</stp>
        <stp>0</stp>
        <stp>IR</stp>
        <stp>BONDKIS1030000</stp>
        <stp>6월이하(당일)</stp>
        <stp>45523</stp>
        <stp/>
        <tr r="AT10" s="2"/>
        <tr r="AT10" s="2"/>
      </tp>
      <tp>
        <v>3.0470000000000002</v>
        <stp/>
        <stp>P</stp>
        <stp>0</stp>
        <stp>IR</stp>
        <stp>BONDKIS1020000</stp>
        <stp>6월이하(당일)</stp>
        <stp>45523</stp>
        <stp/>
        <tr r="AT11" s="2"/>
        <tr r="AT11" s="2"/>
      </tp>
      <tp>
        <v>3.2</v>
        <stp/>
        <stp>P</stp>
        <stp>0</stp>
        <stp>IR</stp>
        <stp>BONDKIS1013000</stp>
        <stp>6월이하(당일)</stp>
        <stp>45523</stp>
        <stp/>
        <tr r="AT9" s="2"/>
        <tr r="AT9" s="2"/>
      </tp>
      <tp>
        <v>3.2949999999999999</v>
        <stp/>
        <stp>P</stp>
        <stp>0</stp>
        <stp>IR</stp>
        <stp>BONDKIS4003000</stp>
        <stp>3월이하(당일)</stp>
        <stp>45523</stp>
        <stp/>
        <tr r="AS20" s="2"/>
        <tr r="AS20" s="2"/>
      </tp>
      <tp>
        <v>3.423</v>
        <stp/>
        <stp>P</stp>
        <stp>0</stp>
        <stp>IR</stp>
        <stp>BONDKSD4050000</stp>
        <stp>3월이하(당일)</stp>
        <stp>45523</stp>
        <stp/>
        <tr r="CO22" s="2"/>
        <tr r="CO22" s="2"/>
      </tp>
      <tp>
        <v>3.202</v>
        <stp/>
        <stp>P</stp>
        <stp>0</stp>
        <stp>IR</stp>
        <stp>BONDKSD1010000</stp>
        <stp>6월이하(당일)</stp>
        <stp>45523</stp>
        <stp/>
        <tr r="CP9" s="2"/>
        <tr r="CP9" s="2"/>
      </tp>
      <tp>
        <v>3.2709999999999999</v>
        <stp/>
        <stp>P</stp>
        <stp>0</stp>
        <stp>IR</stp>
        <stp>BONDKSD4000000</stp>
        <stp>3월이하(당일)</stp>
        <stp>45523</stp>
        <stp/>
        <tr r="CO20" s="2"/>
        <tr r="CO20" s="2"/>
      </tp>
      <tp>
        <v>3.25</v>
        <stp/>
        <stp>P</stp>
        <stp>0</stp>
        <stp>IR</stp>
        <stp>BONDKSD1030000</stp>
        <stp>6월이하(당일)</stp>
        <stp>45523</stp>
        <stp/>
        <tr r="CP10" s="2"/>
        <tr r="CP10" s="2"/>
      </tp>
      <tp>
        <v>3.04</v>
        <stp/>
        <stp>P</stp>
        <stp>0</stp>
        <stp>IR</stp>
        <stp>BONDKSD1020000</stp>
        <stp>6월이하(당일)</stp>
        <stp>45523</stp>
        <stp/>
        <tr r="CP11" s="2"/>
        <tr r="CP11" s="2"/>
      </tp>
      <tp>
        <v>3.4319999999999999</v>
        <stp/>
        <stp>P</stp>
        <stp>0</stp>
        <stp>IR</stp>
        <stp>BONDKIS5033110</stp>
        <stp>3월이하(당일)</stp>
        <stp>45523</stp>
        <stp/>
        <tr r="AS27" s="2"/>
        <tr r="AS27" s="2"/>
      </tp>
      <tp>
        <v>6.585</v>
        <stp/>
        <stp>P</stp>
        <stp>0</stp>
        <stp>IR</stp>
        <stp>BONDKIS6013212</stp>
        <stp>3월이하(당일)</stp>
        <stp>45523</stp>
        <stp/>
        <tr r="AS50" s="2"/>
        <tr r="AS50" s="2"/>
      </tp>
      <tp>
        <v>3.4119999999999999</v>
        <stp/>
        <stp>P</stp>
        <stp>0</stp>
        <stp>IR</stp>
        <stp>BONDKIS5023110</stp>
        <stp>3월이하(당일)</stp>
        <stp>45523</stp>
        <stp/>
        <tr r="AS25" s="2"/>
        <tr r="AS25" s="2"/>
      </tp>
      <tp>
        <v>7.9880000000000004</v>
        <stp/>
        <stp>P</stp>
        <stp>0</stp>
        <stp>IR</stp>
        <stp>BONDKIS6013213</stp>
        <stp>3월이하(당일)</stp>
        <stp>45523</stp>
        <stp/>
        <tr r="AS51" s="2"/>
        <tr r="AS51" s="2"/>
      </tp>
      <tp>
        <v>3.4119999999999999</v>
        <stp/>
        <stp>P</stp>
        <stp>0</stp>
        <stp>IR</stp>
        <stp>BONDKIS5013110</stp>
        <stp>3월이하(당일)</stp>
        <stp>45523</stp>
        <stp/>
        <tr r="AS23" s="2"/>
        <tr r="AS23" s="2"/>
      </tp>
      <tp>
        <v>5.9370000000000003</v>
        <stp/>
        <stp>P</stp>
        <stp>0</stp>
        <stp>IR</stp>
        <stp>BONDKIS6013211</stp>
        <stp>3월이하(당일)</stp>
        <stp>45523</stp>
        <stp/>
        <tr r="AS49" s="2"/>
        <tr r="AS49" s="2"/>
      </tp>
      <tp>
        <v>3.4159999999999999</v>
        <stp/>
        <stp>P</stp>
        <stp>0</stp>
        <stp>IR</stp>
        <stp>BONDKSD5010110</stp>
        <stp>3월이하(당일)</stp>
        <stp>45523</stp>
        <stp/>
        <tr r="CO23" s="2"/>
        <tr r="CO23" s="2"/>
      </tp>
      <tp>
        <v>6.5380000000000003</v>
        <stp/>
        <stp>P</stp>
        <stp>0</stp>
        <stp>IR</stp>
        <stp>BONDKSD6010210</stp>
        <stp>3월이하(당일)</stp>
        <stp>45523</stp>
        <stp/>
        <tr r="CO41" s="2"/>
        <tr r="CO41" s="2"/>
      </tp>
      <tp>
        <v>3.4340000000000002</v>
        <stp/>
        <stp>P</stp>
        <stp>0</stp>
        <stp>IR</stp>
        <stp>BONDKSD5030110</stp>
        <stp>3월이하(당일)</stp>
        <stp>45523</stp>
        <stp/>
        <tr r="CO27" s="2"/>
        <tr r="CO27" s="2"/>
      </tp>
      <tp>
        <v>3.4159999999999999</v>
        <stp/>
        <stp>P</stp>
        <stp>0</stp>
        <stp>IR</stp>
        <stp>BONDKSD5020110</stp>
        <stp>3월이하(당일)</stp>
        <stp>45523</stp>
        <stp/>
        <tr r="CO25" s="2"/>
        <tr r="CO25" s="2"/>
      </tp>
      <tp>
        <v>3.7650000000000001</v>
        <stp/>
        <stp>P</stp>
        <stp>0</stp>
        <stp>IR</stp>
        <stp>BONDKIS5043123</stp>
        <stp>3월이하(당일)</stp>
        <stp>45523</stp>
        <stp/>
        <tr r="AS30" s="2"/>
        <tr r="AS30" s="2"/>
      </tp>
      <tp>
        <v>3.6139999999999999</v>
        <stp/>
        <stp>P</stp>
        <stp>0</stp>
        <stp>IR</stp>
        <stp>BONDKIS5043122</stp>
        <stp>3월이하(당일)</stp>
        <stp>45523</stp>
        <stp/>
        <tr r="AS29" s="2"/>
        <tr r="AS29" s="2"/>
      </tp>
      <tp>
        <v>3.4550000000000001</v>
        <stp/>
        <stp>P</stp>
        <stp>0</stp>
        <stp>IR</stp>
        <stp>BONDKIS5043121</stp>
        <stp>3월이하(당일)</stp>
        <stp>45523</stp>
        <stp/>
        <tr r="AS28" s="2"/>
        <tr r="AS28" s="2"/>
      </tp>
      <tp>
        <v>3.625</v>
        <stp/>
        <stp>P</stp>
        <stp>0</stp>
        <stp>IR</stp>
        <stp>BONDKSD5040120</stp>
        <stp>3월이하(당일)</stp>
        <stp>45523</stp>
        <stp/>
        <tr r="CO29" s="2"/>
        <tr r="CO29" s="2"/>
      </tp>
      <tp>
        <v>3.9489999999999998</v>
        <stp/>
        <stp>P</stp>
        <stp>0</stp>
        <stp>IR</stp>
        <stp>BONDKIS5053132</stp>
        <stp>3월이하(당일)</stp>
        <stp>45523</stp>
        <stp/>
        <tr r="AS32" s="2"/>
        <tr r="AS32" s="2"/>
      </tp>
      <tp>
        <v>4.03</v>
        <stp/>
        <stp>P</stp>
        <stp>0</stp>
        <stp>IR</stp>
        <stp>BONDKIS5053133</stp>
        <stp>3월이하(당일)</stp>
        <stp>45523</stp>
        <stp/>
        <tr r="AS33" s="2"/>
        <tr r="AS33" s="2"/>
      </tp>
      <tp>
        <v>3.86</v>
        <stp/>
        <stp>P</stp>
        <stp>0</stp>
        <stp>IR</stp>
        <stp>BONDKIS5053131</stp>
        <stp>3월이하(당일)</stp>
        <stp>45523</stp>
        <stp/>
        <tr r="AS31" s="2"/>
        <tr r="AS31" s="2"/>
      </tp>
      <tp>
        <v>3.8650000000000002</v>
        <stp/>
        <stp>P</stp>
        <stp>0</stp>
        <stp>IR</stp>
        <stp>BONDKSD5050131</stp>
        <stp>3월이하(당일)</stp>
        <stp>45523</stp>
        <stp/>
        <tr r="CO31" s="2"/>
        <tr r="CO31" s="2"/>
      </tp>
      <tp>
        <v>0</v>
        <stp/>
        <stp>P</stp>
        <stp>0</stp>
        <stp>IR</stp>
        <stp>BONDFNP8010123</stp>
        <stp>50년이하(당일)</stp>
        <stp>45523</stp>
        <stp/>
        <tr r="CN76" s="2"/>
      </tp>
      <tp>
        <v>4.8470000000000004</v>
        <stp/>
        <stp>P</stp>
        <stp>0</stp>
        <stp>IR</stp>
        <stp>BONDFNP8010123</stp>
        <stp>10년이하(당일)</stp>
        <stp>45523</stp>
        <stp/>
        <tr r="CJ76" s="2"/>
        <tr r="CJ76" s="2"/>
      </tp>
      <tp>
        <v>5.782</v>
        <stp/>
        <stp>P</stp>
        <stp>0</stp>
        <stp>IR</stp>
        <stp>BONDFNP8010123</stp>
        <stp>20년이하(당일)</stp>
        <stp>45523</stp>
        <stp/>
        <tr r="CL76" s="2"/>
        <tr r="CL76" s="2"/>
      </tp>
      <tp>
        <v>0</v>
        <stp/>
        <stp>P</stp>
        <stp>0</stp>
        <stp>IR</stp>
        <stp>BONDFNP8010123</stp>
        <stp>30년이하(당일)</stp>
        <stp>45523</stp>
        <stp/>
        <tr r="CM76" s="2"/>
      </tp>
      <tp>
        <v>5.37</v>
        <stp/>
        <stp>P</stp>
        <stp>0</stp>
        <stp>IR</stp>
        <stp>BONDFNP6010123</stp>
        <stp>20년이하(당일)</stp>
        <stp>45523</stp>
        <stp/>
        <tr r="CL36" s="2"/>
        <tr r="CL36" s="2"/>
      </tp>
      <tp>
        <v>0</v>
        <stp/>
        <stp>P</stp>
        <stp>0</stp>
        <stp>IR</stp>
        <stp>BONDFNP7010123</stp>
        <stp>30년이하(당일)</stp>
        <stp>45523</stp>
        <stp/>
        <tr r="CM66" s="2"/>
      </tp>
      <tp>
        <v>0</v>
        <stp/>
        <stp>P</stp>
        <stp>0</stp>
        <stp>IR</stp>
        <stp>BONDFNP7020120</stp>
        <stp>30년이하(당일)</stp>
        <stp>45523</stp>
        <stp/>
        <tr r="CM53" s="2"/>
      </tp>
      <tp>
        <v>0</v>
        <stp/>
        <stp>P</stp>
        <stp>0</stp>
        <stp>IR</stp>
        <stp>BONDFNP6010123</stp>
        <stp>30년이하(당일)</stp>
        <stp>45523</stp>
        <stp/>
        <tr r="CM36" s="2"/>
      </tp>
      <tp>
        <v>5.4530000000000003</v>
        <stp/>
        <stp>P</stp>
        <stp>0</stp>
        <stp>IR</stp>
        <stp>BONDFNP7010123</stp>
        <stp>20년이하(당일)</stp>
        <stp>45523</stp>
        <stp/>
        <tr r="CL66" s="2"/>
        <tr r="CL66" s="2"/>
      </tp>
      <tp>
        <v>3.8540000000000001</v>
        <stp/>
        <stp>P</stp>
        <stp>0</stp>
        <stp>IR</stp>
        <stp>BONDFNP7020120</stp>
        <stp>20년이하(당일)</stp>
        <stp>45523</stp>
        <stp/>
        <tr r="CL53" s="2"/>
        <tr r="CL53" s="2"/>
      </tp>
      <tp>
        <v>4.6050000000000004</v>
        <stp/>
        <stp>P</stp>
        <stp>0</stp>
        <stp>IR</stp>
        <stp>BONDFNP7010123</stp>
        <stp>10년이하(당일)</stp>
        <stp>45523</stp>
        <stp/>
        <tr r="CJ66" s="2"/>
        <tr r="CJ66" s="2"/>
      </tp>
      <tp>
        <v>3.621</v>
        <stp/>
        <stp>P</stp>
        <stp>0</stp>
        <stp>IR</stp>
        <stp>BONDFNP7020120</stp>
        <stp>10년이하(당일)</stp>
        <stp>45523</stp>
        <stp/>
        <tr r="CJ53" s="2"/>
        <tr r="CJ53" s="2"/>
      </tp>
      <tp>
        <v>4.7110000000000003</v>
        <stp/>
        <stp>P</stp>
        <stp>0</stp>
        <stp>IR</stp>
        <stp>BONDFNP6010123</stp>
        <stp>10년이하(당일)</stp>
        <stp>45523</stp>
        <stp/>
        <tr r="CJ36" s="2"/>
        <tr r="CJ36" s="2"/>
      </tp>
      <tp>
        <v>0</v>
        <stp/>
        <stp>P</stp>
        <stp>0</stp>
        <stp>IR</stp>
        <stp>BONDFNP7010123</stp>
        <stp>50년이하(당일)</stp>
        <stp>45523</stp>
        <stp/>
        <tr r="CN66" s="2"/>
      </tp>
      <tp>
        <v>0</v>
        <stp/>
        <stp>P</stp>
        <stp>0</stp>
        <stp>IR</stp>
        <stp>BONDFNP7020120</stp>
        <stp>50년이하(당일)</stp>
        <stp>45523</stp>
        <stp/>
        <tr r="CN53" s="2"/>
      </tp>
      <tp>
        <v>0</v>
        <stp/>
        <stp>P</stp>
        <stp>0</stp>
        <stp>IR</stp>
        <stp>BONDFNP6010123</stp>
        <stp>50년이하(당일)</stp>
        <stp>45523</stp>
        <stp/>
        <tr r="CN36" s="2"/>
      </tp>
      <tp>
        <v>0</v>
        <stp/>
        <stp>P</stp>
        <stp>0</stp>
        <stp>IR</stp>
        <stp>BONDFNP8010122</stp>
        <stp>50년이하(당일)</stp>
        <stp>45523</stp>
        <stp/>
        <tr r="CN75" s="2"/>
      </tp>
      <tp>
        <v>4.4160000000000004</v>
        <stp/>
        <stp>P</stp>
        <stp>0</stp>
        <stp>IR</stp>
        <stp>BONDFNP8010122</stp>
        <stp>10년이하(당일)</stp>
        <stp>45523</stp>
        <stp/>
        <tr r="CJ75" s="2"/>
        <tr r="CJ75" s="2"/>
      </tp>
      <tp>
        <v>5.2290000000000001</v>
        <stp/>
        <stp>P</stp>
        <stp>0</stp>
        <stp>IR</stp>
        <stp>BONDFNP8010122</stp>
        <stp>20년이하(당일)</stp>
        <stp>45523</stp>
        <stp/>
        <tr r="CL75" s="2"/>
        <tr r="CL75" s="2"/>
      </tp>
      <tp>
        <v>0</v>
        <stp/>
        <stp>P</stp>
        <stp>0</stp>
        <stp>IR</stp>
        <stp>BONDFNP8010122</stp>
        <stp>30년이하(당일)</stp>
        <stp>45523</stp>
        <stp/>
        <tr r="CM75" s="2"/>
      </tp>
      <tp>
        <v>5.1349999999999998</v>
        <stp/>
        <stp>P</stp>
        <stp>0</stp>
        <stp>IR</stp>
        <stp>BONDFNP6010122</stp>
        <stp>20년이하(당일)</stp>
        <stp>45523</stp>
        <stp/>
        <tr r="CL35" s="2"/>
        <tr r="CL35" s="2"/>
      </tp>
      <tp>
        <v>0</v>
        <stp/>
        <stp>P</stp>
        <stp>0</stp>
        <stp>IR</stp>
        <stp>BONDFNP7010122</stp>
        <stp>30년이하(당일)</stp>
        <stp>45523</stp>
        <stp/>
        <tr r="CM65" s="2"/>
      </tp>
      <tp>
        <v>0</v>
        <stp/>
        <stp>P</stp>
        <stp>0</stp>
        <stp>IR</stp>
        <stp>BONDFNP6010122</stp>
        <stp>30년이하(당일)</stp>
        <stp>45523</stp>
        <stp/>
        <tr r="CM35" s="2"/>
      </tp>
      <tp>
        <v>4.9240000000000004</v>
        <stp/>
        <stp>P</stp>
        <stp>0</stp>
        <stp>IR</stp>
        <stp>BONDFNP7010122</stp>
        <stp>20년이하(당일)</stp>
        <stp>45523</stp>
        <stp/>
        <tr r="CL65" s="2"/>
        <tr r="CL65" s="2"/>
      </tp>
      <tp>
        <v>4.2300000000000004</v>
        <stp/>
        <stp>P</stp>
        <stp>0</stp>
        <stp>IR</stp>
        <stp>BONDFNP7010122</stp>
        <stp>10년이하(당일)</stp>
        <stp>45523</stp>
        <stp/>
        <tr r="CJ65" s="2"/>
        <tr r="CJ65" s="2"/>
      </tp>
      <tp>
        <v>4.4829999999999997</v>
        <stp/>
        <stp>P</stp>
        <stp>0</stp>
        <stp>IR</stp>
        <stp>BONDFNP6010122</stp>
        <stp>10년이하(당일)</stp>
        <stp>45523</stp>
        <stp/>
        <tr r="CJ35" s="2"/>
        <tr r="CJ35" s="2"/>
      </tp>
      <tp>
        <v>0</v>
        <stp/>
        <stp>P</stp>
        <stp>0</stp>
        <stp>IR</stp>
        <stp>BONDFNP7010122</stp>
        <stp>50년이하(당일)</stp>
        <stp>45523</stp>
        <stp/>
        <tr r="CN65" s="2"/>
      </tp>
      <tp>
        <v>0</v>
        <stp/>
        <stp>P</stp>
        <stp>0</stp>
        <stp>IR</stp>
        <stp>BONDFNP6010122</stp>
        <stp>50년이하(당일)</stp>
        <stp>45523</stp>
        <stp/>
        <tr r="CN35" s="2"/>
      </tp>
      <tp>
        <v>0</v>
        <stp/>
        <stp>P</stp>
        <stp>0</stp>
        <stp>IR</stp>
        <stp>BONDFNP8010121</stp>
        <stp>50년이하(당일)</stp>
        <stp>45523</stp>
        <stp/>
        <tr r="CN74" s="2"/>
      </tp>
      <tp>
        <v>4.1050000000000004</v>
        <stp/>
        <stp>P</stp>
        <stp>0</stp>
        <stp>IR</stp>
        <stp>BONDFNP8010121</stp>
        <stp>10년이하(당일)</stp>
        <stp>45523</stp>
        <stp/>
        <tr r="CJ74" s="2"/>
        <tr r="CJ74" s="2"/>
      </tp>
      <tp>
        <v>4.609</v>
        <stp/>
        <stp>P</stp>
        <stp>0</stp>
        <stp>IR</stp>
        <stp>BONDFNP8010121</stp>
        <stp>20년이하(당일)</stp>
        <stp>45523</stp>
        <stp/>
        <tr r="CL74" s="2"/>
        <tr r="CL74" s="2"/>
      </tp>
      <tp>
        <v>0</v>
        <stp/>
        <stp>P</stp>
        <stp>0</stp>
        <stp>IR</stp>
        <stp>BONDFNP8010121</stp>
        <stp>30년이하(당일)</stp>
        <stp>45523</stp>
        <stp/>
        <tr r="CM74" s="2"/>
      </tp>
      <tp>
        <v>4.9379999999999997</v>
        <stp/>
        <stp>P</stp>
        <stp>0</stp>
        <stp>IR</stp>
        <stp>BONDFNP6010121</stp>
        <stp>20년이하(당일)</stp>
        <stp>45523</stp>
        <stp/>
        <tr r="CL34" s="2"/>
        <tr r="CL34" s="2"/>
      </tp>
      <tp>
        <v>0</v>
        <stp/>
        <stp>P</stp>
        <stp>0</stp>
        <stp>IR</stp>
        <stp>BONDFNP7010121</stp>
        <stp>30년이하(당일)</stp>
        <stp>45523</stp>
        <stp/>
        <tr r="CM64" s="2"/>
      </tp>
      <tp>
        <v>0</v>
        <stp/>
        <stp>P</stp>
        <stp>0</stp>
        <stp>IR</stp>
        <stp>BONDFNP6010121</stp>
        <stp>30년이하(당일)</stp>
        <stp>45523</stp>
        <stp/>
        <tr r="CM34" s="2"/>
      </tp>
      <tp>
        <v>4.335</v>
        <stp/>
        <stp>P</stp>
        <stp>0</stp>
        <stp>IR</stp>
        <stp>BONDFNP7010121</stp>
        <stp>20년이하(당일)</stp>
        <stp>45523</stp>
        <stp/>
        <tr r="CL64" s="2"/>
        <tr r="CL64" s="2"/>
      </tp>
      <tp>
        <v>3.9060000000000001</v>
        <stp/>
        <stp>P</stp>
        <stp>0</stp>
        <stp>IR</stp>
        <stp>BONDFNP7010121</stp>
        <stp>10년이하(당일)</stp>
        <stp>45523</stp>
        <stp/>
        <tr r="CJ64" s="2"/>
        <tr r="CJ64" s="2"/>
      </tp>
      <tp>
        <v>4.3159999999999998</v>
        <stp/>
        <stp>P</stp>
        <stp>0</stp>
        <stp>IR</stp>
        <stp>BONDFNP6010121</stp>
        <stp>10년이하(당일)</stp>
        <stp>45523</stp>
        <stp/>
        <tr r="CJ34" s="2"/>
        <tr r="CJ34" s="2"/>
      </tp>
      <tp>
        <v>0</v>
        <stp/>
        <stp>P</stp>
        <stp>0</stp>
        <stp>IR</stp>
        <stp>BONDFNP7010121</stp>
        <stp>50년이하(당일)</stp>
        <stp>45523</stp>
        <stp/>
        <tr r="CN64" s="2"/>
      </tp>
      <tp>
        <v>0</v>
        <stp/>
        <stp>P</stp>
        <stp>0</stp>
        <stp>IR</stp>
        <stp>BONDFNP6010121</stp>
        <stp>50년이하(당일)</stp>
        <stp>45523</stp>
        <stp/>
        <tr r="CN34" s="2"/>
      </tp>
      <tp>
        <v>4.0039999999999996</v>
        <stp/>
        <stp>P</stp>
        <stp>0</stp>
        <stp>IR</stp>
        <stp>BONDFNP5040122</stp>
        <stp>10년이하(당일)</stp>
        <stp>45523</stp>
        <stp/>
        <tr r="CJ29" s="2"/>
        <tr r="CJ29" s="2"/>
      </tp>
      <tp>
        <v>0</v>
        <stp/>
        <stp>P</stp>
        <stp>0</stp>
        <stp>IR</stp>
        <stp>BONDFNP3040122</stp>
        <stp>50년이하(당일)</stp>
        <stp>45523</stp>
        <stp/>
        <tr r="CN18" s="2"/>
      </tp>
      <tp>
        <v>0</v>
        <stp/>
        <stp>P</stp>
        <stp>0</stp>
        <stp>IR</stp>
        <stp>BONDFNP5040122</stp>
        <stp>30년이하(당일)</stp>
        <stp>45523</stp>
        <stp/>
        <tr r="CM29" s="2"/>
      </tp>
      <tp>
        <v>4.3120000000000003</v>
        <stp/>
        <stp>P</stp>
        <stp>0</stp>
        <stp>IR</stp>
        <stp>BONDFNP5040122</stp>
        <stp>20년이하(당일)</stp>
        <stp>45523</stp>
        <stp/>
        <tr r="CL29" s="2"/>
        <tr r="CL29" s="2"/>
      </tp>
      <tp>
        <v>0</v>
        <stp/>
        <stp>P</stp>
        <stp>0</stp>
        <stp>IR</stp>
        <stp>BONDFNP3040122</stp>
        <stp>30년이하(당일)</stp>
        <stp>45523</stp>
        <stp/>
        <tr r="CM18" s="2"/>
      </tp>
      <tp>
        <v>0</v>
        <stp/>
        <stp>P</stp>
        <stp>0</stp>
        <stp>IR</stp>
        <stp>BONDFNP5040122</stp>
        <stp>50년이하(당일)</stp>
        <stp>45523</stp>
        <stp/>
        <tr r="CN29" s="2"/>
      </tp>
      <tp>
        <v>3.5680000000000001</v>
        <stp/>
        <stp>P</stp>
        <stp>0</stp>
        <stp>IR</stp>
        <stp>BONDFNP3040122</stp>
        <stp>20년이하(당일)</stp>
        <stp>45523</stp>
        <stp/>
        <tr r="CL18" s="2"/>
        <tr r="CL18" s="2"/>
      </tp>
      <tp>
        <v>3.4849999999999999</v>
        <stp/>
        <stp>P</stp>
        <stp>0</stp>
        <stp>IR</stp>
        <stp>BONDFNP3040122</stp>
        <stp>10년이하(당일)</stp>
        <stp>45523</stp>
        <stp/>
        <tr r="CJ18" s="2"/>
        <tr r="CJ18" s="2"/>
      </tp>
      <tp>
        <v>4.3029999999999999</v>
        <stp/>
        <stp>P</stp>
        <stp>0</stp>
        <stp>IR</stp>
        <stp>BONDFNP5040123</stp>
        <stp>10년이하(당일)</stp>
        <stp>45523</stp>
        <stp/>
        <tr r="CJ30" s="2"/>
        <tr r="CJ30" s="2"/>
      </tp>
      <tp>
        <v>0</v>
        <stp/>
        <stp>P</stp>
        <stp>0</stp>
        <stp>IR</stp>
        <stp>BONDFNP3040123</stp>
        <stp>50년이하(당일)</stp>
        <stp>45523</stp>
        <stp/>
        <tr r="CN19" s="2"/>
      </tp>
      <tp>
        <v>0</v>
        <stp/>
        <stp>P</stp>
        <stp>0</stp>
        <stp>IR</stp>
        <stp>BONDFNP5040123</stp>
        <stp>30년이하(당일)</stp>
        <stp>45523</stp>
        <stp/>
        <tr r="CM30" s="2"/>
      </tp>
      <tp>
        <v>4.55</v>
        <stp/>
        <stp>P</stp>
        <stp>0</stp>
        <stp>IR</stp>
        <stp>BONDFNP5040123</stp>
        <stp>20년이하(당일)</stp>
        <stp>45523</stp>
        <stp/>
        <tr r="CL30" s="2"/>
        <tr r="CL30" s="2"/>
      </tp>
      <tp>
        <v>0</v>
        <stp/>
        <stp>P</stp>
        <stp>0</stp>
        <stp>IR</stp>
        <stp>BONDFNP3040123</stp>
        <stp>30년이하(당일)</stp>
        <stp>45523</stp>
        <stp/>
        <tr r="CM19" s="2"/>
      </tp>
      <tp>
        <v>0</v>
        <stp/>
        <stp>P</stp>
        <stp>0</stp>
        <stp>IR</stp>
        <stp>BONDFNP5040123</stp>
        <stp>50년이하(당일)</stp>
        <stp>45523</stp>
        <stp/>
        <tr r="CN30" s="2"/>
      </tp>
      <tp>
        <v>3.6930000000000001</v>
        <stp/>
        <stp>P</stp>
        <stp>0</stp>
        <stp>IR</stp>
        <stp>BONDFNP3040123</stp>
        <stp>20년이하(당일)</stp>
        <stp>45523</stp>
        <stp/>
        <tr r="CL19" s="2"/>
        <tr r="CL19" s="2"/>
      </tp>
      <tp>
        <v>3.6059999999999999</v>
        <stp/>
        <stp>P</stp>
        <stp>0</stp>
        <stp>IR</stp>
        <stp>BONDFNP3040123</stp>
        <stp>10년이하(당일)</stp>
        <stp>45523</stp>
        <stp/>
        <tr r="CJ19" s="2"/>
        <tr r="CJ19" s="2"/>
      </tp>
      <tp>
        <v>3.6659999999999999</v>
        <stp/>
        <stp>P</stp>
        <stp>0</stp>
        <stp>IR</stp>
        <stp>BONDFNP5040121</stp>
        <stp>10년이하(당일)</stp>
        <stp>45523</stp>
        <stp/>
        <tr r="CJ28" s="2"/>
        <tr r="CJ28" s="2"/>
      </tp>
      <tp>
        <v>0</v>
        <stp/>
        <stp>P</stp>
        <stp>0</stp>
        <stp>IR</stp>
        <stp>BONDFNP3040121</stp>
        <stp>50년이하(당일)</stp>
        <stp>45523</stp>
        <stp/>
        <tr r="CN17" s="2"/>
      </tp>
      <tp>
        <v>0</v>
        <stp/>
        <stp>P</stp>
        <stp>0</stp>
        <stp>IR</stp>
        <stp>BONDFNP5040121</stp>
        <stp>30년이하(당일)</stp>
        <stp>45523</stp>
        <stp/>
        <tr r="CM28" s="2"/>
      </tp>
      <tp>
        <v>3.9540000000000002</v>
        <stp/>
        <stp>P</stp>
        <stp>0</stp>
        <stp>IR</stp>
        <stp>BONDFNP5040121</stp>
        <stp>20년이하(당일)</stp>
        <stp>45523</stp>
        <stp/>
        <tr r="CL28" s="2"/>
        <tr r="CL28" s="2"/>
      </tp>
      <tp>
        <v>0</v>
        <stp/>
        <stp>P</stp>
        <stp>0</stp>
        <stp>IR</stp>
        <stp>BONDFNP3040121</stp>
        <stp>30년이하(당일)</stp>
        <stp>45523</stp>
        <stp/>
        <tr r="CM17" s="2"/>
      </tp>
      <tp>
        <v>0</v>
        <stp/>
        <stp>P</stp>
        <stp>0</stp>
        <stp>IR</stp>
        <stp>BONDFNP5040121</stp>
        <stp>50년이하(당일)</stp>
        <stp>45523</stp>
        <stp/>
        <tr r="CN28" s="2"/>
      </tp>
      <tp>
        <v>3.399</v>
        <stp/>
        <stp>P</stp>
        <stp>0</stp>
        <stp>IR</stp>
        <stp>BONDFNP3040121</stp>
        <stp>20년이하(당일)</stp>
        <stp>45523</stp>
        <stp/>
        <tr r="CL17" s="2"/>
        <tr r="CL17" s="2"/>
      </tp>
      <tp>
        <v>3.3330000000000002</v>
        <stp/>
        <stp>P</stp>
        <stp>0</stp>
        <stp>IR</stp>
        <stp>BONDFNP3040121</stp>
        <stp>10년이하(당일)</stp>
        <stp>45523</stp>
        <stp/>
        <tr r="CJ17" s="2"/>
        <tr r="CJ17" s="2"/>
      </tp>
      <tp>
        <v>3.3460000000000001</v>
        <stp/>
        <stp>P</stp>
        <stp>0</stp>
        <stp>IR</stp>
        <stp>BONDFNP3030110</stp>
        <stp>6월이하(당일)</stp>
        <stp>45523</stp>
        <stp/>
        <tr r="BZ16" s="2"/>
        <tr r="BZ16" s="2"/>
      </tp>
      <tp>
        <v>3.3170000000000002</v>
        <stp/>
        <stp>P</stp>
        <stp>0</stp>
        <stp>IR</stp>
        <stp>BONDFNP2010000</stp>
        <stp>6월이하(당일)</stp>
        <stp>45523</stp>
        <stp/>
        <tr r="BZ13" s="2"/>
        <tr r="BZ13" s="2"/>
      </tp>
      <tp>
        <v>3.3170000000000002</v>
        <stp/>
        <stp>P</stp>
        <stp>0</stp>
        <stp>IR</stp>
        <stp>BONDFNP2020000</stp>
        <stp>6월이하(당일)</stp>
        <stp>45523</stp>
        <stp/>
        <tr r="BZ14" s="2"/>
        <tr r="BZ14" s="2"/>
      </tp>
      <tp>
        <v>3.9870000000000001</v>
        <stp/>
        <stp>P</stp>
        <stp>0</stp>
        <stp>IR</stp>
        <stp>BONDFNP6010131</stp>
        <stp>3월이하(당일)</stp>
        <stp>45523</stp>
        <stp/>
        <tr r="BY37" s="2"/>
        <tr r="BY37" s="2"/>
      </tp>
      <tp>
        <v>5.0789999999999997</v>
        <stp/>
        <stp>P</stp>
        <stp>0</stp>
        <stp>IR</stp>
        <stp>BONDFNP6010133</stp>
        <stp>3월이하(당일)</stp>
        <stp>45523</stp>
        <stp/>
        <tr r="BY39" s="2"/>
        <tr r="BY39" s="2"/>
      </tp>
      <tp>
        <v>4.5609999999999999</v>
        <stp/>
        <stp>P</stp>
        <stp>0</stp>
        <stp>IR</stp>
        <stp>BONDFNP6010132</stp>
        <stp>3월이하(당일)</stp>
        <stp>45523</stp>
        <stp/>
        <tr r="BY38" s="2"/>
        <tr r="BY38" s="2"/>
      </tp>
      <tp>
        <v>3.4169999999999998</v>
        <stp/>
        <stp>P</stp>
        <stp>0</stp>
        <stp>IR</stp>
        <stp>BONDFNP6010121</stp>
        <stp>3월이하(당일)</stp>
        <stp>45523</stp>
        <stp/>
        <tr r="BY34" s="2"/>
        <tr r="BY34" s="2"/>
      </tp>
      <tp>
        <v>3.4689999999999999</v>
        <stp/>
        <stp>P</stp>
        <stp>0</stp>
        <stp>IR</stp>
        <stp>BONDFNP6010123</stp>
        <stp>3월이하(당일)</stp>
        <stp>45523</stp>
        <stp/>
        <tr r="BY36" s="2"/>
        <tr r="BY36" s="2"/>
      </tp>
      <tp>
        <v>3.4409999999999998</v>
        <stp/>
        <stp>P</stp>
        <stp>0</stp>
        <stp>IR</stp>
        <stp>BONDFNP6010122</stp>
        <stp>3월이하(당일)</stp>
        <stp>45523</stp>
        <stp/>
        <tr r="BY35" s="2"/>
        <tr r="BY35" s="2"/>
      </tp>
      <tp>
        <v>3.3969999999999998</v>
        <stp/>
        <stp>P</stp>
        <stp>0</stp>
        <stp>IR</stp>
        <stp>BONDFNP3040121</stp>
        <stp>6월이하(당일)</stp>
        <stp>45523</stp>
        <stp/>
        <tr r="BZ17" s="2"/>
        <tr r="BZ17" s="2"/>
      </tp>
      <tp>
        <v>3.4809999999999999</v>
        <stp/>
        <stp>P</stp>
        <stp>0</stp>
        <stp>IR</stp>
        <stp>BONDFNP3040122</stp>
        <stp>6월이하(당일)</stp>
        <stp>45523</stp>
        <stp/>
        <tr r="BZ18" s="2"/>
        <tr r="BZ18" s="2"/>
      </tp>
      <tp>
        <v>3.6030000000000002</v>
        <stp/>
        <stp>P</stp>
        <stp>0</stp>
        <stp>IR</stp>
        <stp>BONDFNP3040123</stp>
        <stp>6월이하(당일)</stp>
        <stp>45523</stp>
        <stp/>
        <tr r="BZ19" s="2"/>
        <tr r="BZ19" s="2"/>
      </tp>
      <tp>
        <v>3.5510000000000002</v>
        <stp/>
        <stp>P</stp>
        <stp>0</stp>
        <stp>IR</stp>
        <stp>BONDNIC3040113</stp>
        <stp>6월이하(당일)</stp>
        <stp>45523</stp>
        <stp/>
        <tr r="BJ19" s="2"/>
        <tr r="BJ19" s="2"/>
      </tp>
      <tp>
        <v>3.4980000000000002</v>
        <stp/>
        <stp>P</stp>
        <stp>0</stp>
        <stp>IR</stp>
        <stp>BONDNIC6040113</stp>
        <stp>3월이하(당일)</stp>
        <stp>45523</stp>
        <stp/>
        <tr r="BI36" s="2"/>
        <tr r="BI36" s="2"/>
      </tp>
      <tp>
        <v>4.5810000000000004</v>
        <stp/>
        <stp>P</stp>
        <stp>0</stp>
        <stp>IR</stp>
        <stp>BONDNIC6050112</stp>
        <stp>3월이하(당일)</stp>
        <stp>45523</stp>
        <stp/>
        <tr r="BI38" s="2"/>
        <tr r="BI38" s="2"/>
      </tp>
      <tp>
        <v>5.93</v>
        <stp/>
        <stp>P</stp>
        <stp>0</stp>
        <stp>IR</stp>
        <stp>BONDNIC6060111</stp>
        <stp>3월이하(당일)</stp>
        <stp>45523</stp>
        <stp/>
        <tr r="BI40" s="2"/>
        <tr r="BI40" s="2"/>
      </tp>
      <tp>
        <v>3.4350000000000001</v>
        <stp/>
        <stp>P</stp>
        <stp>0</stp>
        <stp>IR</stp>
        <stp>BONDNIC3040112</stp>
        <stp>6월이하(당일)</stp>
        <stp>45523</stp>
        <stp/>
        <tr r="BJ18" s="2"/>
        <tr r="BJ18" s="2"/>
      </tp>
      <tp>
        <v>3.472</v>
        <stp/>
        <stp>P</stp>
        <stp>0</stp>
        <stp>IR</stp>
        <stp>BONDNIC6040112</stp>
        <stp>3월이하(당일)</stp>
        <stp>45523</stp>
        <stp/>
        <tr r="BI35" s="2"/>
        <tr r="BI35" s="2"/>
      </tp>
      <tp>
        <v>5.1029999999999998</v>
        <stp/>
        <stp>P</stp>
        <stp>0</stp>
        <stp>IR</stp>
        <stp>BONDNIC6050113</stp>
        <stp>3월이하(당일)</stp>
        <stp>45523</stp>
        <stp/>
        <tr r="BI39" s="2"/>
        <tr r="BI39" s="2"/>
      </tp>
      <tp>
        <v>3.375</v>
        <stp/>
        <stp>P</stp>
        <stp>0</stp>
        <stp>IR</stp>
        <stp>BONDNIC3040111</stp>
        <stp>6월이하(당일)</stp>
        <stp>45523</stp>
        <stp/>
        <tr r="BJ17" s="2"/>
        <tr r="BJ17" s="2"/>
      </tp>
      <tp>
        <v>3.4460000000000002</v>
        <stp/>
        <stp>P</stp>
        <stp>0</stp>
        <stp>IR</stp>
        <stp>BONDNIC6040111</stp>
        <stp>3월이하(당일)</stp>
        <stp>45523</stp>
        <stp/>
        <tr r="BI34" s="2"/>
        <tr r="BI34" s="2"/>
      </tp>
      <tp>
        <v>7.9290000000000003</v>
        <stp/>
        <stp>P</stp>
        <stp>0</stp>
        <stp>IR</stp>
        <stp>BONDNIC6060113</stp>
        <stp>3월이하(당일)</stp>
        <stp>45523</stp>
        <stp/>
        <tr r="BI42" s="2"/>
        <tr r="BI42" s="2"/>
      </tp>
      <tp>
        <v>4.0149999999999997</v>
        <stp/>
        <stp>P</stp>
        <stp>0</stp>
        <stp>IR</stp>
        <stp>BONDNIC6050111</stp>
        <stp>3월이하(당일)</stp>
        <stp>45523</stp>
        <stp/>
        <tr r="BI37" s="2"/>
        <tr r="BI37" s="2"/>
      </tp>
      <tp>
        <v>6.5759999999999996</v>
        <stp/>
        <stp>P</stp>
        <stp>0</stp>
        <stp>IR</stp>
        <stp>BONDNIC6060112</stp>
        <stp>3월이하(당일)</stp>
        <stp>45523</stp>
        <stp/>
        <tr r="BI41" s="2"/>
        <tr r="BI41" s="2"/>
      </tp>
      <tp>
        <v>3.3530000000000002</v>
        <stp/>
        <stp>P</stp>
        <stp>0</stp>
        <stp>IR</stp>
        <stp>BONDNIC3030110</stp>
        <stp>6월이하(당일)</stp>
        <stp>45523</stp>
        <stp/>
        <tr r="BJ16" s="2"/>
        <tr r="BJ16" s="2"/>
      </tp>
      <tp>
        <v>3.35</v>
        <stp/>
        <stp>P</stp>
        <stp>0</stp>
        <stp>IR</stp>
        <stp>BONDNIC2020000</stp>
        <stp>6월이하(당일)</stp>
        <stp>45523</stp>
        <stp/>
        <tr r="BJ14" s="2"/>
        <tr r="BJ14" s="2"/>
      </tp>
      <tp>
        <v>3.35</v>
        <stp/>
        <stp>P</stp>
        <stp>0</stp>
        <stp>IR</stp>
        <stp>BONDNIC2010000</stp>
        <stp>6월이하(당일)</stp>
        <stp>45523</stp>
        <stp/>
        <tr r="BJ13" s="2"/>
        <tr r="BJ13" s="2"/>
      </tp>
      <tp>
        <v>3.335</v>
        <stp/>
        <stp>P</stp>
        <stp>0</stp>
        <stp>IR</stp>
        <stp>BONDKIS2020000</stp>
        <stp>6월이하(당일)</stp>
        <stp>45523</stp>
        <stp/>
        <tr r="AT14" s="2"/>
        <tr r="AT14" s="2"/>
      </tp>
      <tp>
        <v>3.335</v>
        <stp/>
        <stp>P</stp>
        <stp>0</stp>
        <stp>IR</stp>
        <stp>BONDKIS2010000</stp>
        <stp>6월이하(당일)</stp>
        <stp>45523</stp>
        <stp/>
        <tr r="AT13" s="2"/>
        <tr r="AT13" s="2"/>
      </tp>
      <tp>
        <v>3.335</v>
        <stp/>
        <stp>P</stp>
        <stp>0</stp>
        <stp>IR</stp>
        <stp>BONDKSD2010000</stp>
        <stp>6월이하(당일)</stp>
        <stp>45523</stp>
        <stp/>
        <tr r="CP13" s="2"/>
        <tr r="CP13" s="2"/>
      </tp>
      <tp>
        <v>3.335</v>
        <stp/>
        <stp>P</stp>
        <stp>0</stp>
        <stp>IR</stp>
        <stp>BONDKSD2020000</stp>
        <stp>6월이하(당일)</stp>
        <stp>45523</stp>
        <stp/>
        <tr r="CP14" s="2"/>
        <tr r="CP14" s="2"/>
      </tp>
      <tp>
        <v>3.36</v>
        <stp/>
        <stp>P</stp>
        <stp>0</stp>
        <stp>IR</stp>
        <stp>BONDKIS3033110</stp>
        <stp>6월이하(당일)</stp>
        <stp>45523</stp>
        <stp/>
        <tr r="AT16" s="2"/>
        <tr r="AT16" s="2"/>
      </tp>
      <tp>
        <v>3.3570000000000002</v>
        <stp/>
        <stp>P</stp>
        <stp>0</stp>
        <stp>IR</stp>
        <stp>BONDKSD3030110</stp>
        <stp>6월이하(당일)</stp>
        <stp>45523</stp>
        <stp/>
        <tr r="CP16" s="2"/>
        <tr r="CP16" s="2"/>
      </tp>
      <tp>
        <v>3.6219999999999999</v>
        <stp/>
        <stp>P</stp>
        <stp>0</stp>
        <stp>IR</stp>
        <stp>BONDKIS3043123</stp>
        <stp>6월이하(당일)</stp>
        <stp>45523</stp>
        <stp/>
        <tr r="AT19" s="2"/>
        <tr r="AT19" s="2"/>
      </tp>
      <tp>
        <v>3.484</v>
        <stp/>
        <stp>P</stp>
        <stp>0</stp>
        <stp>IR</stp>
        <stp>BONDKIS3043122</stp>
        <stp>6월이하(당일)</stp>
        <stp>45523</stp>
        <stp/>
        <tr r="AT18" s="2"/>
        <tr r="AT18" s="2"/>
      </tp>
      <tp>
        <v>3.411</v>
        <stp/>
        <stp>P</stp>
        <stp>0</stp>
        <stp>IR</stp>
        <stp>BONDKIS3043121</stp>
        <stp>6월이하(당일)</stp>
        <stp>45523</stp>
        <stp/>
        <tr r="AT17" s="2"/>
        <tr r="AT17" s="2"/>
      </tp>
      <tp>
        <v>3.4649999999999999</v>
        <stp/>
        <stp>P</stp>
        <stp>0</stp>
        <stp>IR</stp>
        <stp>BONDKIS6013122</stp>
        <stp>3월이하(당일)</stp>
        <stp>45523</stp>
        <stp/>
        <tr r="AS44" s="2"/>
        <tr r="AS44" s="2"/>
      </tp>
      <tp>
        <v>3.4820000000000002</v>
        <stp/>
        <stp>P</stp>
        <stp>0</stp>
        <stp>IR</stp>
        <stp>BONDKIS6013123</stp>
        <stp>3월이하(당일)</stp>
        <stp>45523</stp>
        <stp/>
        <tr r="AS45" s="2"/>
        <tr r="AS45" s="2"/>
      </tp>
      <tp>
        <v>3.419</v>
        <stp/>
        <stp>P</stp>
        <stp>0</stp>
        <stp>IR</stp>
        <stp>BONDKIS6013121</stp>
        <stp>3월이하(당일)</stp>
        <stp>45523</stp>
        <stp/>
        <tr r="AS43" s="2"/>
        <tr r="AS43" s="2"/>
      </tp>
      <tp>
        <v>3.4049999999999998</v>
        <stp/>
        <stp>P</stp>
        <stp>0</stp>
        <stp>IR</stp>
        <stp>BONDKSD3040121</stp>
        <stp>6월이하(당일)</stp>
        <stp>45523</stp>
        <stp/>
        <tr r="CP17" s="2"/>
        <tr r="CP17" s="2"/>
      </tp>
      <tp>
        <v>3.4780000000000002</v>
        <stp/>
        <stp>P</stp>
        <stp>0</stp>
        <stp>IR</stp>
        <stp>BONDKSD3040120</stp>
        <stp>6월이하(당일)</stp>
        <stp>45523</stp>
        <stp/>
        <tr r="CP18" s="2"/>
        <tr r="CP18" s="2"/>
      </tp>
      <tp>
        <v>3.4289999999999998</v>
        <stp/>
        <stp>P</stp>
        <stp>0</stp>
        <stp>IR</stp>
        <stp>BONDKSD6010121</stp>
        <stp>3월이하(당일)</stp>
        <stp>45523</stp>
        <stp/>
        <tr r="CO34" s="2"/>
        <tr r="CO34" s="2"/>
      </tp>
      <tp>
        <v>3.4569999999999999</v>
        <stp/>
        <stp>P</stp>
        <stp>0</stp>
        <stp>IR</stp>
        <stp>BONDKSD6010122</stp>
        <stp>3월이하(당일)</stp>
        <stp>45523</stp>
        <stp/>
        <tr r="CO35" s="2"/>
        <tr r="CO35" s="2"/>
      </tp>
      <tp>
        <v>3.4820000000000002</v>
        <stp/>
        <stp>P</stp>
        <stp>0</stp>
        <stp>IR</stp>
        <stp>BONDKSD6010123</stp>
        <stp>3월이하(당일)</stp>
        <stp>45523</stp>
        <stp/>
        <tr r="CO36" s="2"/>
        <tr r="CO36" s="2"/>
      </tp>
      <tp>
        <v>4.548</v>
        <stp/>
        <stp>P</stp>
        <stp>0</stp>
        <stp>IR</stp>
        <stp>BONDKIS6013132</stp>
        <stp>3월이하(당일)</stp>
        <stp>45523</stp>
        <stp/>
        <tr r="AS47" s="2"/>
        <tr r="AS47" s="2"/>
      </tp>
      <tp>
        <v>5.0750000000000002</v>
        <stp/>
        <stp>P</stp>
        <stp>0</stp>
        <stp>IR</stp>
        <stp>BONDKIS6013133</stp>
        <stp>3월이하(당일)</stp>
        <stp>45523</stp>
        <stp/>
        <tr r="AS48" s="2"/>
        <tr r="AS48" s="2"/>
      </tp>
      <tp>
        <v>4.0010000000000003</v>
        <stp/>
        <stp>P</stp>
        <stp>0</stp>
        <stp>IR</stp>
        <stp>BONDKIS6013131</stp>
        <stp>3월이하(당일)</stp>
        <stp>45523</stp>
        <stp/>
        <tr r="AS46" s="2"/>
        <tr r="AS46" s="2"/>
      </tp>
      <tp>
        <v>4.0030000000000001</v>
        <stp/>
        <stp>P</stp>
        <stp>0</stp>
        <stp>IR</stp>
        <stp>BONDKSD6010131</stp>
        <stp>3월이하(당일)</stp>
        <stp>45523</stp>
        <stp/>
        <tr r="CO37" s="2"/>
        <tr r="CO37" s="2"/>
      </tp>
      <tp>
        <v>4.5659999999999998</v>
        <stp/>
        <stp>P</stp>
        <stp>0</stp>
        <stp>IR</stp>
        <stp>BONDKSD6010132</stp>
        <stp>3월이하(당일)</stp>
        <stp>45523</stp>
        <stp/>
        <tr r="CO38" s="2"/>
        <tr r="CO38" s="2"/>
      </tp>
      <tp>
        <v>5.0869999999999997</v>
        <stp/>
        <stp>P</stp>
        <stp>0</stp>
        <stp>IR</stp>
        <stp>BONDKSD6010133</stp>
        <stp>3월이하(당일)</stp>
        <stp>45523</stp>
        <stp/>
        <tr r="CO39" s="2"/>
        <tr r="CO39" s="2"/>
      </tp>
      <tp>
        <v>3.51</v>
        <stp/>
        <stp>P</stp>
        <stp>0</stp>
        <stp>IR</stp>
        <stp>BONDFNP5020110</stp>
        <stp>10년이하(당일)</stp>
        <stp>45523</stp>
        <stp/>
        <tr r="CJ25" s="2"/>
        <tr r="CJ25" s="2"/>
      </tp>
      <tp>
        <v>10.451000000000001</v>
        <stp/>
        <stp>P</stp>
        <stp>0</stp>
        <stp>IR</stp>
        <stp>BONDFNP6010213</stp>
        <stp>10년이하(당일)</stp>
        <stp>45523</stp>
        <stp/>
        <tr r="CJ42" s="2"/>
        <tr r="CJ42" s="2"/>
      </tp>
      <tp>
        <v>0</v>
        <stp/>
        <stp>P</stp>
        <stp>0</stp>
        <stp>IR</stp>
        <stp>BONDFNP7020110</stp>
        <stp>30년이하(당일)</stp>
        <stp>45523</stp>
        <stp/>
        <tr r="CM52" s="2"/>
      </tp>
      <tp>
        <v>10.210000000000001</v>
        <stp/>
        <stp>P</stp>
        <stp>0</stp>
        <stp>IR</stp>
        <stp>BONDFNP7010213</stp>
        <stp>10년이하(당일)</stp>
        <stp>45523</stp>
        <stp/>
        <tr r="CJ72" s="2"/>
        <tr r="CJ72" s="2"/>
      </tp>
      <tp>
        <v>3.698</v>
        <stp/>
        <stp>P</stp>
        <stp>0</stp>
        <stp>IR</stp>
        <stp>BONDFNP7020110</stp>
        <stp>20년이하(당일)</stp>
        <stp>45523</stp>
        <stp/>
        <tr r="CL52" s="2"/>
        <tr r="CL52" s="2"/>
      </tp>
      <tp>
        <v>3.8290000000000002</v>
        <stp/>
        <stp>P</stp>
        <stp>0</stp>
        <stp>IR</stp>
        <stp>BONDFNP7020210</stp>
        <stp>10년이하(당일)</stp>
        <stp>45523</stp>
        <stp/>
        <tr r="CJ55" s="2"/>
        <tr r="CJ55" s="2"/>
      </tp>
      <tp>
        <v>0</v>
        <stp/>
        <stp>P</stp>
        <stp>0</stp>
        <stp>IR</stp>
        <stp>BONDFNP5020110</stp>
        <stp>30년이하(당일)</stp>
        <stp>45523</stp>
        <stp/>
        <tr r="CM25" s="2"/>
      </tp>
      <tp>
        <v>0</v>
        <stp/>
        <stp>P</stp>
        <stp>0</stp>
        <stp>IR</stp>
        <stp>BONDFNP6010213</stp>
        <stp>30년이하(당일)</stp>
        <stp>45523</stp>
        <stp/>
        <tr r="CM42" s="2"/>
      </tp>
      <tp>
        <v>10.92</v>
        <stp/>
        <stp>P</stp>
        <stp>0</stp>
        <stp>IR</stp>
        <stp>BONDFNP7010213</stp>
        <stp>20년이하(당일)</stp>
        <stp>45523</stp>
        <stp/>
        <tr r="CL72" s="2"/>
        <tr r="CL72" s="2"/>
      </tp>
      <tp>
        <v>3.5230000000000001</v>
        <stp/>
        <stp>P</stp>
        <stp>0</stp>
        <stp>IR</stp>
        <stp>BONDFNP7020110</stp>
        <stp>10년이하(당일)</stp>
        <stp>45523</stp>
        <stp/>
        <tr r="CJ52" s="2"/>
        <tr r="CJ52" s="2"/>
      </tp>
      <tp>
        <v>4.2809999999999997</v>
        <stp/>
        <stp>P</stp>
        <stp>0</stp>
        <stp>IR</stp>
        <stp>BONDFNP7020210</stp>
        <stp>20년이하(당일)</stp>
        <stp>45523</stp>
        <stp/>
        <tr r="CL55" s="2"/>
        <tr r="CL55" s="2"/>
      </tp>
      <tp>
        <v>3.6840000000000002</v>
        <stp/>
        <stp>P</stp>
        <stp>0</stp>
        <stp>IR</stp>
        <stp>BONDFNP5020110</stp>
        <stp>20년이하(당일)</stp>
        <stp>45523</stp>
        <stp/>
        <tr r="CL25" s="2"/>
        <tr r="CL25" s="2"/>
      </tp>
      <tp>
        <v>11.103999999999999</v>
        <stp/>
        <stp>P</stp>
        <stp>0</stp>
        <stp>IR</stp>
        <stp>BONDFNP6010213</stp>
        <stp>20년이하(당일)</stp>
        <stp>45523</stp>
        <stp/>
        <tr r="CL42" s="2"/>
        <tr r="CL42" s="2"/>
      </tp>
      <tp>
        <v>0</v>
        <stp/>
        <stp>P</stp>
        <stp>0</stp>
        <stp>IR</stp>
        <stp>BONDFNP7010213</stp>
        <stp>30년이하(당일)</stp>
        <stp>45523</stp>
        <stp/>
        <tr r="CM72" s="2"/>
      </tp>
      <tp>
        <v>0</v>
        <stp/>
        <stp>P</stp>
        <stp>0</stp>
        <stp>IR</stp>
        <stp>BONDFNP7020210</stp>
        <stp>30년이하(당일)</stp>
        <stp>45523</stp>
        <stp/>
        <tr r="CM55" s="2"/>
      </tp>
      <tp>
        <v>0</v>
        <stp/>
        <stp>P</stp>
        <stp>0</stp>
        <stp>IR</stp>
        <stp>BONDFNP5020110</stp>
        <stp>50년이하(당일)</stp>
        <stp>45523</stp>
        <stp/>
        <tr r="CN25" s="2"/>
      </tp>
      <tp>
        <v>0</v>
        <stp/>
        <stp>P</stp>
        <stp>0</stp>
        <stp>IR</stp>
        <stp>BONDFNP6010213</stp>
        <stp>50년이하(당일)</stp>
        <stp>45523</stp>
        <stp/>
        <tr r="CN42" s="2"/>
      </tp>
      <tp>
        <v>0</v>
        <stp/>
        <stp>P</stp>
        <stp>0</stp>
        <stp>IR</stp>
        <stp>BONDFNP7010213</stp>
        <stp>50년이하(당일)</stp>
        <stp>45523</stp>
        <stp/>
        <tr r="CN72" s="2"/>
      </tp>
      <tp>
        <v>0</v>
        <stp/>
        <stp>P</stp>
        <stp>0</stp>
        <stp>IR</stp>
        <stp>BONDFNP7020210</stp>
        <stp>50년이하(당일)</stp>
        <stp>45523</stp>
        <stp/>
        <tr r="CN55" s="2"/>
      </tp>
      <tp>
        <v>0</v>
        <stp/>
        <stp>P</stp>
        <stp>0</stp>
        <stp>IR</stp>
        <stp>BONDFNP7020110</stp>
        <stp>50년이하(당일)</stp>
        <stp>45523</stp>
        <stp/>
        <tr r="CN52" s="2"/>
      </tp>
      <tp>
        <v>3.577</v>
        <stp/>
        <stp>P</stp>
        <stp>0</stp>
        <stp>IR</stp>
        <stp>BONDFNP5030110</stp>
        <stp>10년이하(당일)</stp>
        <stp>45523</stp>
        <stp/>
        <tr r="CJ27" s="2"/>
        <tr r="CJ27" s="2"/>
      </tp>
      <tp>
        <v>9.1259999999999994</v>
        <stp/>
        <stp>P</stp>
        <stp>0</stp>
        <stp>IR</stp>
        <stp>BONDFNP6010212</stp>
        <stp>10년이하(당일)</stp>
        <stp>45523</stp>
        <stp/>
        <tr r="CJ41" s="2"/>
        <tr r="CJ41" s="2"/>
      </tp>
      <tp>
        <v>8.7780000000000005</v>
        <stp/>
        <stp>P</stp>
        <stp>0</stp>
        <stp>IR</stp>
        <stp>BONDFNP7010212</stp>
        <stp>10년이하(당일)</stp>
        <stp>45523</stp>
        <stp/>
        <tr r="CJ71" s="2"/>
        <tr r="CJ71" s="2"/>
      </tp>
      <tp>
        <v>0</v>
        <stp/>
        <stp>P</stp>
        <stp>0</stp>
        <stp>IR</stp>
        <stp>BONDFNP3030110</stp>
        <stp>50년이하(당일)</stp>
        <stp>45523</stp>
        <stp/>
        <tr r="CN16" s="2"/>
      </tp>
      <tp>
        <v>0</v>
        <stp/>
        <stp>P</stp>
        <stp>0</stp>
        <stp>IR</stp>
        <stp>BONDFNP5030110</stp>
        <stp>30년이하(당일)</stp>
        <stp>45523</stp>
        <stp/>
        <tr r="CM27" s="2"/>
      </tp>
      <tp>
        <v>0</v>
        <stp/>
        <stp>P</stp>
        <stp>0</stp>
        <stp>IR</stp>
        <stp>BONDFNP6010212</stp>
        <stp>30년이하(당일)</stp>
        <stp>45523</stp>
        <stp/>
        <tr r="CM41" s="2"/>
      </tp>
      <tp>
        <v>9.4629999999999992</v>
        <stp/>
        <stp>P</stp>
        <stp>0</stp>
        <stp>IR</stp>
        <stp>BONDFNP7010212</stp>
        <stp>20년이하(당일)</stp>
        <stp>45523</stp>
        <stp/>
        <tr r="CL71" s="2"/>
        <tr r="CL71" s="2"/>
      </tp>
      <tp>
        <v>3.754</v>
        <stp/>
        <stp>P</stp>
        <stp>0</stp>
        <stp>IR</stp>
        <stp>BONDFNP5030110</stp>
        <stp>20년이하(당일)</stp>
        <stp>45523</stp>
        <stp/>
        <tr r="CL27" s="2"/>
        <tr r="CL27" s="2"/>
      </tp>
      <tp>
        <v>9.8350000000000009</v>
        <stp/>
        <stp>P</stp>
        <stp>0</stp>
        <stp>IR</stp>
        <stp>BONDFNP6010212</stp>
        <stp>20년이하(당일)</stp>
        <stp>45523</stp>
        <stp/>
        <tr r="CL41" s="2"/>
        <tr r="CL41" s="2"/>
      </tp>
      <tp>
        <v>0</v>
        <stp/>
        <stp>P</stp>
        <stp>0</stp>
        <stp>IR</stp>
        <stp>BONDFNP7010212</stp>
        <stp>30년이하(당일)</stp>
        <stp>45523</stp>
        <stp/>
        <tr r="CM71" s="2"/>
      </tp>
      <tp>
        <v>3.1579999999999999</v>
        <stp/>
        <stp>P</stp>
        <stp>0</stp>
        <stp>IR</stp>
        <stp>BONDFNP3030110</stp>
        <stp>30년이하(당일)</stp>
        <stp>45523</stp>
        <stp/>
        <tr r="CM16" s="2"/>
        <tr r="CM16" s="2"/>
      </tp>
      <tp>
        <v>0</v>
        <stp/>
        <stp>P</stp>
        <stp>0</stp>
        <stp>IR</stp>
        <stp>BONDFNP5030110</stp>
        <stp>50년이하(당일)</stp>
        <stp>45523</stp>
        <stp/>
        <tr r="CN27" s="2"/>
      </tp>
      <tp>
        <v>0</v>
        <stp/>
        <stp>P</stp>
        <stp>0</stp>
        <stp>IR</stp>
        <stp>BONDFNP6010212</stp>
        <stp>50년이하(당일)</stp>
        <stp>45523</stp>
        <stp/>
        <tr r="CN41" s="2"/>
      </tp>
      <tp>
        <v>3.1520000000000001</v>
        <stp/>
        <stp>P</stp>
        <stp>0</stp>
        <stp>IR</stp>
        <stp>BONDFNP3030110</stp>
        <stp>20년이하(당일)</stp>
        <stp>45523</stp>
        <stp/>
        <tr r="CL16" s="2"/>
        <tr r="CL16" s="2"/>
      </tp>
      <tp>
        <v>0</v>
        <stp/>
        <stp>P</stp>
        <stp>0</stp>
        <stp>IR</stp>
        <stp>BONDFNP7010212</stp>
        <stp>50년이하(당일)</stp>
        <stp>45523</stp>
        <stp/>
        <tr r="CN71" s="2"/>
      </tp>
      <tp>
        <v>3.1480000000000001</v>
        <stp/>
        <stp>P</stp>
        <stp>0</stp>
        <stp>IR</stp>
        <stp>BONDFNP3030110</stp>
        <stp>10년이하(당일)</stp>
        <stp>45523</stp>
        <stp/>
        <tr r="CJ16" s="2"/>
        <tr r="CJ16" s="2"/>
      </tp>
      <tp>
        <v>7.806</v>
        <stp/>
        <stp>P</stp>
        <stp>0</stp>
        <stp>IR</stp>
        <stp>BONDFNP6010211</stp>
        <stp>10년이하(당일)</stp>
        <stp>45523</stp>
        <stp/>
        <tr r="CJ40" s="2"/>
        <tr r="CJ40" s="2"/>
      </tp>
      <tp>
        <v>7.6609999999999996</v>
        <stp/>
        <stp>P</stp>
        <stp>0</stp>
        <stp>IR</stp>
        <stp>BONDFNP7010211</stp>
        <stp>10년이하(당일)</stp>
        <stp>45523</stp>
        <stp/>
        <tr r="CJ70" s="2"/>
        <tr r="CJ70" s="2"/>
      </tp>
      <tp>
        <v>0</v>
        <stp/>
        <stp>P</stp>
        <stp>0</stp>
        <stp>IR</stp>
        <stp>BONDFNP6010211</stp>
        <stp>30년이하(당일)</stp>
        <stp>45523</stp>
        <stp/>
        <tr r="CM40" s="2"/>
      </tp>
      <tp>
        <v>8.3149999999999995</v>
        <stp/>
        <stp>P</stp>
        <stp>0</stp>
        <stp>IR</stp>
        <stp>BONDFNP7010211</stp>
        <stp>20년이하(당일)</stp>
        <stp>45523</stp>
        <stp/>
        <tr r="CL70" s="2"/>
        <tr r="CL70" s="2"/>
      </tp>
      <tp>
        <v>8.3260000000000005</v>
        <stp/>
        <stp>P</stp>
        <stp>0</stp>
        <stp>IR</stp>
        <stp>BONDFNP6010211</stp>
        <stp>20년이하(당일)</stp>
        <stp>45523</stp>
        <stp/>
        <tr r="CL40" s="2"/>
        <tr r="CL40" s="2"/>
      </tp>
      <tp>
        <v>0</v>
        <stp/>
        <stp>P</stp>
        <stp>0</stp>
        <stp>IR</stp>
        <stp>BONDFNP7010211</stp>
        <stp>30년이하(당일)</stp>
        <stp>45523</stp>
        <stp/>
        <tr r="CM70" s="2"/>
      </tp>
      <tp>
        <v>0</v>
        <stp/>
        <stp>P</stp>
        <stp>0</stp>
        <stp>IR</stp>
        <stp>BONDFNP6010211</stp>
        <stp>50년이하(당일)</stp>
        <stp>45523</stp>
        <stp/>
        <tr r="CN40" s="2"/>
      </tp>
      <tp>
        <v>0</v>
        <stp/>
        <stp>P</stp>
        <stp>0</stp>
        <stp>IR</stp>
        <stp>BONDFNP7010211</stp>
        <stp>50년이하(당일)</stp>
        <stp>45523</stp>
        <stp/>
        <tr r="CN70" s="2"/>
      </tp>
      <tp>
        <v>0</v>
        <stp/>
        <stp>P</stp>
        <stp>0</stp>
        <stp>IR</stp>
        <stp>BONDFNP8010110</stp>
        <stp>50년이하(당일)</stp>
        <stp>45523</stp>
        <stp/>
        <tr r="CN73" s="2"/>
      </tp>
      <tp>
        <v>3.8410000000000002</v>
        <stp/>
        <stp>P</stp>
        <stp>0</stp>
        <stp>IR</stp>
        <stp>BONDFNP8010110</stp>
        <stp>10년이하(당일)</stp>
        <stp>45523</stp>
        <stp/>
        <tr r="CJ73" s="2"/>
        <tr r="CJ73" s="2"/>
      </tp>
      <tp>
        <v>4.3259999999999996</v>
        <stp/>
        <stp>P</stp>
        <stp>0</stp>
        <stp>IR</stp>
        <stp>BONDFNP8010110</stp>
        <stp>20년이하(당일)</stp>
        <stp>45523</stp>
        <stp/>
        <tr r="CL73" s="2"/>
        <tr r="CL73" s="2"/>
      </tp>
      <tp>
        <v>0</v>
        <stp/>
        <stp>P</stp>
        <stp>0</stp>
        <stp>IR</stp>
        <stp>BONDFNP8010110</stp>
        <stp>30년이하(당일)</stp>
        <stp>45523</stp>
        <stp/>
        <tr r="CM73" s="2"/>
      </tp>
      <tp>
        <v>3.4820000000000002</v>
        <stp/>
        <stp>P</stp>
        <stp>0</stp>
        <stp>IR</stp>
        <stp>BONDFNP5010110</stp>
        <stp>10년이하(당일)</stp>
        <stp>45523</stp>
        <stp/>
        <tr r="CJ23" s="2"/>
        <tr r="CJ23" s="2"/>
      </tp>
      <tp>
        <v>0</v>
        <stp/>
        <stp>P</stp>
        <stp>0</stp>
        <stp>IR</stp>
        <stp>BONDFNP7010110</stp>
        <stp>30년이하(당일)</stp>
        <stp>45523</stp>
        <stp/>
        <tr r="CM63" s="2"/>
      </tp>
      <tp>
        <v>3.9660000000000002</v>
        <stp/>
        <stp>P</stp>
        <stp>0</stp>
        <stp>IR</stp>
        <stp>BONDFNP7010110</stp>
        <stp>20년이하(당일)</stp>
        <stp>45523</stp>
        <stp/>
        <tr r="CL63" s="2"/>
        <tr r="CL63" s="2"/>
      </tp>
      <tp>
        <v>0</v>
        <stp/>
        <stp>P</stp>
        <stp>0</stp>
        <stp>IR</stp>
        <stp>BONDFNP5010110</stp>
        <stp>30년이하(당일)</stp>
        <stp>45523</stp>
        <stp/>
        <tr r="CM23" s="2"/>
      </tp>
      <tp>
        <v>3.605</v>
        <stp/>
        <stp>P</stp>
        <stp>0</stp>
        <stp>IR</stp>
        <stp>BONDFNP7010110</stp>
        <stp>10년이하(당일)</stp>
        <stp>45523</stp>
        <stp/>
        <tr r="CJ63" s="2"/>
        <tr r="CJ63" s="2"/>
      </tp>
      <tp>
        <v>3.6560000000000001</v>
        <stp/>
        <stp>P</stp>
        <stp>0</stp>
        <stp>IR</stp>
        <stp>BONDFNP5010110</stp>
        <stp>20년이하(당일)</stp>
        <stp>45523</stp>
        <stp/>
        <tr r="CL23" s="2"/>
        <tr r="CL23" s="2"/>
      </tp>
      <tp>
        <v>0</v>
        <stp/>
        <stp>P</stp>
        <stp>0</stp>
        <stp>IR</stp>
        <stp>BONDFNP5010110</stp>
        <stp>50년이하(당일)</stp>
        <stp>45523</stp>
        <stp/>
        <tr r="CN23" s="2"/>
      </tp>
      <tp>
        <v>0</v>
        <stp/>
        <stp>P</stp>
        <stp>0</stp>
        <stp>IR</stp>
        <stp>BONDFNP7010110</stp>
        <stp>50년이하(당일)</stp>
        <stp>45523</stp>
        <stp/>
        <tr r="CN63" s="2"/>
      </tp>
      <tp>
        <v>3.4</v>
        <stp/>
        <stp>P</stp>
        <stp>0</stp>
        <stp>IR</stp>
        <stp>BONDFNP7010110</stp>
        <stp>3월이하(당일)</stp>
        <stp>45523</stp>
        <stp/>
        <tr r="BY63" s="2"/>
        <tr r="BY63" s="2"/>
      </tp>
      <tp>
        <v>3.4169999999999998</v>
        <stp/>
        <stp>P</stp>
        <stp>0</stp>
        <stp>IR</stp>
        <stp>BONDFNP7020110</stp>
        <stp>3월이하(당일)</stp>
        <stp>45523</stp>
        <stp/>
        <tr r="BY52" s="2"/>
        <tr r="BY52" s="2"/>
      </tp>
      <tp>
        <v>3.3029999999999999</v>
        <stp/>
        <stp>P</stp>
        <stp>0</stp>
        <stp>IR</stp>
        <stp>BONDFNP3050000</stp>
        <stp>6월이하(당일)</stp>
        <stp>45523</stp>
        <stp/>
        <tr r="BZ15" s="2"/>
        <tr r="BZ15" s="2"/>
      </tp>
      <tp>
        <v>3.3460000000000001</v>
        <stp/>
        <stp>P</stp>
        <stp>0</stp>
        <stp>IR</stp>
        <stp>BONDFNP3060000</stp>
        <stp>6월이하(당일)</stp>
        <stp>45523</stp>
        <stp/>
        <tr r="BZ83" s="2"/>
        <tr r="BZ83" s="2"/>
      </tp>
      <tp>
        <v>3.4860000000000002</v>
        <stp/>
        <stp>P</stp>
        <stp>0</stp>
        <stp>IR</stp>
        <stp>BONDFNP7010131</stp>
        <stp>3월이하(당일)</stp>
        <stp>45523</stp>
        <stp/>
        <tr r="BY67" s="2"/>
        <tr r="BY67" s="2"/>
      </tp>
      <tp>
        <v>3.8719999999999999</v>
        <stp/>
        <stp>P</stp>
        <stp>0</stp>
        <stp>IR</stp>
        <stp>BONDFNP7010133</stp>
        <stp>3월이하(당일)</stp>
        <stp>45523</stp>
        <stp/>
        <tr r="BY69" s="2"/>
        <tr r="BY69" s="2"/>
      </tp>
      <tp>
        <v>3.5409999999999999</v>
        <stp/>
        <stp>P</stp>
        <stp>0</stp>
        <stp>IR</stp>
        <stp>BONDFNP7020130</stp>
        <stp>3월이하(당일)</stp>
        <stp>45523</stp>
        <stp/>
        <tr r="BY54" s="2"/>
        <tr r="BY54" s="2"/>
      </tp>
      <tp>
        <v>3.6520000000000001</v>
        <stp/>
        <stp>P</stp>
        <stp>0</stp>
        <stp>IR</stp>
        <stp>BONDFNP7010132</stp>
        <stp>3월이하(당일)</stp>
        <stp>45523</stp>
        <stp/>
        <tr r="BY68" s="2"/>
        <tr r="BY68" s="2"/>
      </tp>
      <tp>
        <v>3.4119999999999999</v>
        <stp/>
        <stp>P</stp>
        <stp>0</stp>
        <stp>IR</stp>
        <stp>BONDFNP7010121</stp>
        <stp>3월이하(당일)</stp>
        <stp>45523</stp>
        <stp/>
        <tr r="BY64" s="2"/>
        <tr r="BY64" s="2"/>
      </tp>
      <tp>
        <v>3.4620000000000002</v>
        <stp/>
        <stp>P</stp>
        <stp>0</stp>
        <stp>IR</stp>
        <stp>BONDFNP7010123</stp>
        <stp>3월이하(당일)</stp>
        <stp>45523</stp>
        <stp/>
        <tr r="BY66" s="2"/>
        <tr r="BY66" s="2"/>
      </tp>
      <tp>
        <v>3.4420000000000002</v>
        <stp/>
        <stp>P</stp>
        <stp>0</stp>
        <stp>IR</stp>
        <stp>BONDFNP7020120</stp>
        <stp>3월이하(당일)</stp>
        <stp>45523</stp>
        <stp/>
        <tr r="BY53" s="2"/>
        <tr r="BY53" s="2"/>
      </tp>
      <tp>
        <v>3.4319999999999999</v>
        <stp/>
        <stp>P</stp>
        <stp>0</stp>
        <stp>IR</stp>
        <stp>BONDFNP7010122</stp>
        <stp>3월이하(당일)</stp>
        <stp>45523</stp>
        <stp/>
        <tr r="BY65" s="2"/>
        <tr r="BY65" s="2"/>
      </tp>
      <tp>
        <v>3.4670000000000001</v>
        <stp/>
        <stp>P</stp>
        <stp>0</stp>
        <stp>IR</stp>
        <stp>BONDNIC7040113</stp>
        <stp>3월이하(당일)</stp>
        <stp>45523</stp>
        <stp/>
        <tr r="BI66" s="2"/>
        <tr r="BI66" s="2"/>
      </tp>
      <tp>
        <v>3.6309999999999998</v>
        <stp/>
        <stp>P</stp>
        <stp>0</stp>
        <stp>IR</stp>
        <stp>BONDNIC7050112</stp>
        <stp>3월이하(당일)</stp>
        <stp>45523</stp>
        <stp/>
        <tr r="BI68" s="2"/>
        <tr r="BI68" s="2"/>
      </tp>
      <tp>
        <v>4.4539999999999997</v>
        <stp/>
        <stp>P</stp>
        <stp>0</stp>
        <stp>IR</stp>
        <stp>BONDNIC7060111</stp>
        <stp>3월이하(당일)</stp>
        <stp>45523</stp>
        <stp/>
        <tr r="BI70" s="2"/>
        <tr r="BI70" s="2"/>
      </tp>
      <tp>
        <v>3.444</v>
        <stp/>
        <stp>P</stp>
        <stp>0</stp>
        <stp>IR</stp>
        <stp>BONDNIC7040112</stp>
        <stp>3월이하(당일)</stp>
        <stp>45523</stp>
        <stp/>
        <tr r="BI65" s="2"/>
        <tr r="BI65" s="2"/>
      </tp>
      <tp>
        <v>3.851</v>
        <stp/>
        <stp>P</stp>
        <stp>0</stp>
        <stp>IR</stp>
        <stp>BONDNIC7050113</stp>
        <stp>3월이하(당일)</stp>
        <stp>45523</stp>
        <stp/>
        <tr r="BI69" s="2"/>
        <tr r="BI69" s="2"/>
      </tp>
      <tp>
        <v>3.4329999999999998</v>
        <stp/>
        <stp>P</stp>
        <stp>0</stp>
        <stp>IR</stp>
        <stp>BONDNIC7040111</stp>
        <stp>3월이하(당일)</stp>
        <stp>45523</stp>
        <stp/>
        <tr r="BI64" s="2"/>
        <tr r="BI64" s="2"/>
      </tp>
      <tp>
        <v>5.524</v>
        <stp/>
        <stp>P</stp>
        <stp>0</stp>
        <stp>IR</stp>
        <stp>BONDNIC7060113</stp>
        <stp>3월이하(당일)</stp>
        <stp>45523</stp>
        <stp/>
        <tr r="BI72" s="2"/>
        <tr r="BI72" s="2"/>
      </tp>
      <tp>
        <v>3.504</v>
        <stp/>
        <stp>P</stp>
        <stp>0</stp>
        <stp>IR</stp>
        <stp>BONDNIC7050111</stp>
        <stp>3월이하(당일)</stp>
        <stp>45523</stp>
        <stp/>
        <tr r="BI67" s="2"/>
        <tr r="BI67" s="2"/>
      </tp>
      <tp>
        <v>4.8490000000000002</v>
        <stp/>
        <stp>P</stp>
        <stp>0</stp>
        <stp>IR</stp>
        <stp>BONDNIC7060112</stp>
        <stp>3월이하(당일)</stp>
        <stp>45523</stp>
        <stp/>
        <tr r="BI71" s="2"/>
        <tr r="BI71" s="2"/>
      </tp>
      <tp>
        <v>3.4239999999999999</v>
        <stp/>
        <stp>P</stp>
        <stp>0</stp>
        <stp>IR</stp>
        <stp>BONDNIC7030110</stp>
        <stp>3월이하(당일)</stp>
        <stp>45523</stp>
        <stp/>
        <tr r="BI63" s="2"/>
        <tr r="BI63" s="2"/>
      </tp>
      <tp>
        <v>3.4670000000000001</v>
        <stp/>
        <stp>P</stp>
        <stp>0</stp>
        <stp>IR</stp>
        <stp>BONDNIC7140113</stp>
        <stp>3월이하(당일)</stp>
        <stp>45523</stp>
        <stp/>
        <tr r="BI59" s="2"/>
        <tr r="BI59" s="2"/>
      </tp>
      <tp>
        <v>3.6309999999999998</v>
        <stp/>
        <stp>P</stp>
        <stp>0</stp>
        <stp>IR</stp>
        <stp>BONDNIC7150112</stp>
        <stp>3월이하(당일)</stp>
        <stp>45523</stp>
        <stp/>
        <tr r="BI61" s="2"/>
        <tr r="BI61" s="2"/>
      </tp>
      <tp>
        <v>3.444</v>
        <stp/>
        <stp>P</stp>
        <stp>0</stp>
        <stp>IR</stp>
        <stp>BONDNIC7140112</stp>
        <stp>3월이하(당일)</stp>
        <stp>45523</stp>
        <stp/>
        <tr r="BI58" s="2"/>
        <tr r="BI58" s="2"/>
      </tp>
      <tp>
        <v>3.851</v>
        <stp/>
        <stp>P</stp>
        <stp>0</stp>
        <stp>IR</stp>
        <stp>BONDNIC7150113</stp>
        <stp>3월이하(당일)</stp>
        <stp>45523</stp>
        <stp/>
        <tr r="BI62" s="2"/>
        <tr r="BI62" s="2"/>
      </tp>
      <tp>
        <v>3.3149999999999999</v>
        <stp/>
        <stp>P</stp>
        <stp>0</stp>
        <stp>IR</stp>
        <stp>BONDNIC3050000</stp>
        <stp>6월이하(당일)</stp>
        <stp>45523</stp>
        <stp/>
        <tr r="BJ15" s="2"/>
        <tr r="BJ15" s="2"/>
      </tp>
      <tp>
        <v>3.4329999999999998</v>
        <stp/>
        <stp>P</stp>
        <stp>0</stp>
        <stp>IR</stp>
        <stp>BONDNIC7140111</stp>
        <stp>3월이하(당일)</stp>
        <stp>45523</stp>
        <stp/>
        <tr r="BI57" s="2"/>
        <tr r="BI57" s="2"/>
      </tp>
      <tp>
        <v>3.504</v>
        <stp/>
        <stp>P</stp>
        <stp>0</stp>
        <stp>IR</stp>
        <stp>BONDNIC7150111</stp>
        <stp>3월이하(당일)</stp>
        <stp>45523</stp>
        <stp/>
        <tr r="BI60" s="2"/>
        <tr r="BI60" s="2"/>
      </tp>
      <tp>
        <v>3.4239999999999999</v>
        <stp/>
        <stp>P</stp>
        <stp>0</stp>
        <stp>IR</stp>
        <stp>BONDNIC7130110</stp>
        <stp>3월이하(당일)</stp>
        <stp>45523</stp>
        <stp/>
        <tr r="BI56" s="2"/>
        <tr r="BI56" s="2"/>
      </tp>
      <tp>
        <v>3.3679999999999999</v>
        <stp/>
        <stp>P</stp>
        <stp>0</stp>
        <stp>IR</stp>
        <stp>BONDKIS3060000</stp>
        <stp>6월이하(당일)</stp>
        <stp>45523</stp>
        <stp/>
        <tr r="AT83" s="2"/>
        <tr r="AT83" s="2"/>
      </tp>
      <tp>
        <v>3.3119999999999998</v>
        <stp/>
        <stp>P</stp>
        <stp>0</stp>
        <stp>IR</stp>
        <stp>BONDKIS3050000</stp>
        <stp>6월이하(당일)</stp>
        <stp>45523</stp>
        <stp/>
        <tr r="AT15" s="2"/>
        <tr r="AT15" s="2"/>
      </tp>
      <tp>
        <v>3.38</v>
        <stp/>
        <stp>P</stp>
        <stp>0</stp>
        <stp>IR</stp>
        <stp>BONDNIC7430110</stp>
        <stp>3월이하(당일)</stp>
        <stp>45523</stp>
        <stp/>
        <tr r="BI83" s="2"/>
        <tr r="BI83" s="2"/>
      </tp>
      <tp>
        <v>3.3109999999999999</v>
        <stp/>
        <stp>P</stp>
        <stp>0</stp>
        <stp>IR</stp>
        <stp>BONDKSD3070000</stp>
        <stp>6월이하(당일)</stp>
        <stp>45523</stp>
        <stp/>
        <tr r="CP15" s="2"/>
        <tr r="CP15" s="2"/>
      </tp>
      <tp>
        <v>3.359</v>
        <stp/>
        <stp>P</stp>
        <stp>0</stp>
        <stp>IR</stp>
        <stp>BONDKSD3060000</stp>
        <stp>6월이하(당일)</stp>
        <stp>45523</stp>
        <stp/>
        <tr r="CP83" s="2"/>
        <tr r="CP83" s="2"/>
      </tp>
      <tp>
        <v>3.419</v>
        <stp/>
        <stp>P</stp>
        <stp>0</stp>
        <stp>IR</stp>
        <stp>BONDKIS7020110</stp>
        <stp>3월이하(당일)</stp>
        <stp>45523</stp>
        <stp/>
        <tr r="AS52" s="2"/>
        <tr r="AS52" s="2"/>
      </tp>
      <tp>
        <v>3.3570000000000002</v>
        <stp/>
        <stp>P</stp>
        <stp>0</stp>
        <stp>IR</stp>
        <stp>BONDKIS7010110</stp>
        <stp>3월이하(당일)</stp>
        <stp>45523</stp>
        <stp/>
        <tr r="AS63" s="2"/>
        <tr r="AS63" s="2"/>
      </tp>
      <tp>
        <v>3.3980000000000001</v>
        <stp/>
        <stp>P</stp>
        <stp>0</stp>
        <stp>IR</stp>
        <stp>BONDKSD7010110</stp>
        <stp>3월이하(당일)</stp>
        <stp>45523</stp>
        <stp/>
        <tr r="CO63" s="2"/>
        <tr r="CO63" s="2"/>
      </tp>
      <tp>
        <v>3.42</v>
        <stp/>
        <stp>P</stp>
        <stp>0</stp>
        <stp>IR</stp>
        <stp>BONDKSD7020110</stp>
        <stp>3월이하(당일)</stp>
        <stp>45523</stp>
        <stp/>
        <tr r="CO52" s="2"/>
        <tr r="CO52" s="2"/>
      </tp>
      <tp>
        <v>3.3980000000000001</v>
        <stp/>
        <stp>P</stp>
        <stp>0</stp>
        <stp>IR</stp>
        <stp>BONDKIS7010122</stp>
        <stp>3월이하(당일)</stp>
        <stp>45523</stp>
        <stp/>
        <tr r="AS65" s="2"/>
        <tr r="AS65" s="2"/>
      </tp>
      <tp>
        <v>3.4249999999999998</v>
        <stp/>
        <stp>P</stp>
        <stp>0</stp>
        <stp>IR</stp>
        <stp>BONDKIS7010123</stp>
        <stp>3월이하(당일)</stp>
        <stp>45523</stp>
        <stp/>
        <tr r="AS66" s="2"/>
        <tr r="AS66" s="2"/>
      </tp>
      <tp>
        <v>3.444</v>
        <stp/>
        <stp>P</stp>
        <stp>0</stp>
        <stp>IR</stp>
        <stp>BONDKIS7020120</stp>
        <stp>3월이하(당일)</stp>
        <stp>45523</stp>
        <stp/>
        <tr r="AS53" s="2"/>
        <tr r="AS53" s="2"/>
      </tp>
      <tp>
        <v>3.3889999999999998</v>
        <stp/>
        <stp>P</stp>
        <stp>0</stp>
        <stp>IR</stp>
        <stp>BONDKIS7010121</stp>
        <stp>3월이하(당일)</stp>
        <stp>45523</stp>
        <stp/>
        <tr r="AS64" s="2"/>
        <tr r="AS64" s="2"/>
      </tp>
      <tp>
        <v>3.4140000000000001</v>
        <stp/>
        <stp>P</stp>
        <stp>0</stp>
        <stp>IR</stp>
        <stp>BONDKSD7010121</stp>
        <stp>3월이하(당일)</stp>
        <stp>45523</stp>
        <stp/>
        <tr r="CO64" s="2"/>
        <tr r="CO64" s="2"/>
      </tp>
      <tp>
        <v>3.4289999999999998</v>
        <stp/>
        <stp>P</stp>
        <stp>0</stp>
        <stp>IR</stp>
        <stp>BONDKSD7010122</stp>
        <stp>3월이하(당일)</stp>
        <stp>45523</stp>
        <stp/>
        <tr r="CO65" s="2"/>
        <tr r="CO65" s="2"/>
      </tp>
      <tp>
        <v>3.4540000000000002</v>
        <stp/>
        <stp>P</stp>
        <stp>0</stp>
        <stp>IR</stp>
        <stp>BONDKSD7010123</stp>
        <stp>3월이하(당일)</stp>
        <stp>45523</stp>
        <stp/>
        <tr r="CO66" s="2"/>
        <tr r="CO66" s="2"/>
      </tp>
      <tp>
        <v>3.4380000000000002</v>
        <stp/>
        <stp>P</stp>
        <stp>0</stp>
        <stp>IR</stp>
        <stp>BONDKSD7020120</stp>
        <stp>3월이하(당일)</stp>
        <stp>45523</stp>
        <stp/>
        <tr r="CO53" s="2"/>
        <tr r="CO53" s="2"/>
      </tp>
      <tp>
        <v>3.641</v>
        <stp/>
        <stp>P</stp>
        <stp>0</stp>
        <stp>IR</stp>
        <stp>BONDKIS7010132</stp>
        <stp>3월이하(당일)</stp>
        <stp>45523</stp>
        <stp/>
        <tr r="AS68" s="2"/>
        <tr r="AS68" s="2"/>
      </tp>
      <tp>
        <v>3.87</v>
        <stp/>
        <stp>P</stp>
        <stp>0</stp>
        <stp>IR</stp>
        <stp>BONDKIS7010133</stp>
        <stp>3월이하(당일)</stp>
        <stp>45523</stp>
        <stp/>
        <tr r="AS69" s="2"/>
        <tr r="AS69" s="2"/>
      </tp>
      <tp>
        <v>3.5350000000000001</v>
        <stp/>
        <stp>P</stp>
        <stp>0</stp>
        <stp>IR</stp>
        <stp>BONDKIS7020130</stp>
        <stp>3월이하(당일)</stp>
        <stp>45523</stp>
        <stp/>
        <tr r="AS54" s="2"/>
        <tr r="AS54" s="2"/>
      </tp>
      <tp>
        <v>3.5019999999999998</v>
        <stp/>
        <stp>P</stp>
        <stp>0</stp>
        <stp>IR</stp>
        <stp>BONDKIS7010131</stp>
        <stp>3월이하(당일)</stp>
        <stp>45523</stp>
        <stp/>
        <tr r="AS67" s="2"/>
        <tr r="AS67" s="2"/>
      </tp>
      <tp>
        <v>3.492</v>
        <stp/>
        <stp>P</stp>
        <stp>0</stp>
        <stp>IR</stp>
        <stp>BONDKSD7010131</stp>
        <stp>3월이하(당일)</stp>
        <stp>45523</stp>
        <stp/>
        <tr r="CO67" s="2"/>
        <tr r="CO67" s="2"/>
      </tp>
      <tp>
        <v>3.6389999999999998</v>
        <stp/>
        <stp>P</stp>
        <stp>0</stp>
        <stp>IR</stp>
        <stp>BONDKSD7010132</stp>
        <stp>3월이하(당일)</stp>
        <stp>45523</stp>
        <stp/>
        <tr r="CO68" s="2"/>
        <tr r="CO68" s="2"/>
      </tp>
      <tp>
        <v>3.8639999999999999</v>
        <stp/>
        <stp>P</stp>
        <stp>0</stp>
        <stp>IR</stp>
        <stp>BONDKSD7010133</stp>
        <stp>3월이하(당일)</stp>
        <stp>45523</stp>
        <stp/>
        <tr r="CO69" s="2"/>
        <tr r="CO69" s="2"/>
      </tp>
      <tp>
        <v>3.536</v>
        <stp/>
        <stp>P</stp>
        <stp>0</stp>
        <stp>IR</stp>
        <stp>BONDKSD7020130</stp>
        <stp>3월이하(당일)</stp>
        <stp>45523</stp>
        <stp/>
        <tr r="CO54" s="2"/>
        <tr r="CO54" s="2"/>
      </tp>
      <tp>
        <v>6.0869999999999997</v>
        <stp/>
        <stp>P</stp>
        <stp>0</stp>
        <stp>IR</stp>
        <stp>BONDKIS9999114</stp>
        <stp>15년이하(당일)</stp>
        <stp>45523</stp>
        <stp/>
        <tr r="BE38" s="2"/>
        <tr r="BE38" s="2"/>
      </tp>
      <tp t="s">
        <v/>
        <stp/>
        <stp>P</stp>
        <stp>0</stp>
        <stp>IR</stp>
        <stp>BONDNIC9999114</stp>
        <stp>50년이하(당일)</stp>
        <stp>45523</stp>
        <stp/>
        <tr r="BX48" s="2"/>
        <tr r="BX48" s="2"/>
      </tp>
      <tp>
        <v>6.4790000000000001</v>
        <stp/>
        <stp>P</stp>
        <stp>0</stp>
        <stp>IR</stp>
        <stp>BONDNIC9999114</stp>
        <stp>10년이하(당일)</stp>
        <stp>45523</stp>
        <stp/>
        <tr r="BT48" s="2"/>
        <tr r="BT48" s="2"/>
      </tp>
      <tp t="s">
        <v/>
        <stp/>
        <stp>P</stp>
        <stp>0</stp>
        <stp>IR</stp>
        <stp>BONDNIC9999114</stp>
        <stp>30년이하(당일)</stp>
        <stp>45523</stp>
        <stp/>
        <tr r="BW48" s="2"/>
        <tr r="BW48" s="2"/>
      </tp>
      <tp>
        <v>6.7889999999999997</v>
        <stp/>
        <stp>P</stp>
        <stp>0</stp>
        <stp>IR</stp>
        <stp>BONDNIC9999114</stp>
        <stp>20년이하(당일)</stp>
        <stp>45523</stp>
        <stp/>
        <tr r="BV48" s="2"/>
        <tr r="BV48" s="2"/>
      </tp>
      <tp>
        <v>6.7309999999999999</v>
        <stp/>
        <stp>P</stp>
        <stp>0</stp>
        <stp>IR</stp>
        <stp>BONDKIS9999115</stp>
        <stp>15년이하(당일)</stp>
        <stp>45523</stp>
        <stp/>
        <tr r="BE39" s="2"/>
        <tr r="BE39" s="2"/>
      </tp>
      <tp t="s">
        <v/>
        <stp/>
        <stp>P</stp>
        <stp>0</stp>
        <stp>IR</stp>
        <stp>BONDNIC9999115</stp>
        <stp>50년이하(당일)</stp>
        <stp>45523</stp>
        <stp/>
        <tr r="BX49" s="2"/>
        <tr r="BX49" s="2"/>
      </tp>
      <tp>
        <v>7.7889999999999997</v>
        <stp/>
        <stp>P</stp>
        <stp>0</stp>
        <stp>IR</stp>
        <stp>BONDNIC9999115</stp>
        <stp>10년이하(당일)</stp>
        <stp>45523</stp>
        <stp/>
        <tr r="BT49" s="2"/>
        <tr r="BT49" s="2"/>
      </tp>
      <tp t="s">
        <v/>
        <stp/>
        <stp>P</stp>
        <stp>0</stp>
        <stp>IR</stp>
        <stp>BONDNIC9999115</stp>
        <stp>30년이하(당일)</stp>
        <stp>45523</stp>
        <stp/>
        <tr r="BW49" s="2"/>
        <tr r="BW49" s="2"/>
      </tp>
      <tp>
        <v>8.2490000000000006</v>
        <stp/>
        <stp>P</stp>
        <stp>0</stp>
        <stp>IR</stp>
        <stp>BONDNIC9999115</stp>
        <stp>20년이하(당일)</stp>
        <stp>45523</stp>
        <stp/>
        <tr r="BV49" s="2"/>
        <tr r="BV49" s="2"/>
      </tp>
      <tp>
        <v>8.032</v>
        <stp/>
        <stp>P</stp>
        <stp>0</stp>
        <stp>IR</stp>
        <stp>BONDKIS9999116</stp>
        <stp>15년이하(당일)</stp>
        <stp>45523</stp>
        <stp/>
        <tr r="BE40" s="2"/>
        <tr r="BE40" s="2"/>
      </tp>
      <tp t="s">
        <v/>
        <stp/>
        <stp>P</stp>
        <stp>0</stp>
        <stp>IR</stp>
        <stp>BONDNIC9999116</stp>
        <stp>50년이하(당일)</stp>
        <stp>45523</stp>
        <stp/>
        <tr r="BX50" s="2"/>
        <tr r="BX50" s="2"/>
      </tp>
      <tp>
        <v>9.0820000000000007</v>
        <stp/>
        <stp>P</stp>
        <stp>0</stp>
        <stp>IR</stp>
        <stp>BONDNIC9999116</stp>
        <stp>10년이하(당일)</stp>
        <stp>45523</stp>
        <stp/>
        <tr r="BT50" s="2"/>
        <tr r="BT50" s="2"/>
      </tp>
      <tp t="s">
        <v/>
        <stp/>
        <stp>P</stp>
        <stp>0</stp>
        <stp>IR</stp>
        <stp>BONDNIC9999116</stp>
        <stp>30년이하(당일)</stp>
        <stp>45523</stp>
        <stp/>
        <tr r="BW50" s="2"/>
        <tr r="BW50" s="2"/>
      </tp>
      <tp>
        <v>9.7490000000000006</v>
        <stp/>
        <stp>P</stp>
        <stp>0</stp>
        <stp>IR</stp>
        <stp>BONDNIC9999116</stp>
        <stp>20년이하(당일)</stp>
        <stp>45523</stp>
        <stp/>
        <tr r="BV50" s="2"/>
        <tr r="BV50" s="2"/>
      </tp>
      <tp>
        <v>9.39</v>
        <stp/>
        <stp>P</stp>
        <stp>0</stp>
        <stp>IR</stp>
        <stp>BONDKIS9999117</stp>
        <stp>15년이하(당일)</stp>
        <stp>45523</stp>
        <stp/>
        <tr r="BE41" s="2"/>
        <tr r="BE41" s="2"/>
      </tp>
      <tp t="s">
        <v/>
        <stp/>
        <stp>P</stp>
        <stp>0</stp>
        <stp>IR</stp>
        <stp>BONDNIC9999117</stp>
        <stp>50년이하(당일)</stp>
        <stp>45523</stp>
        <stp/>
        <tr r="BX51" s="2"/>
        <tr r="BX51" s="2"/>
      </tp>
      <tp>
        <v>10.452</v>
        <stp/>
        <stp>P</stp>
        <stp>0</stp>
        <stp>IR</stp>
        <stp>BONDNIC9999117</stp>
        <stp>10년이하(당일)</stp>
        <stp>45523</stp>
        <stp/>
        <tr r="BT51" s="2"/>
        <tr r="BT51" s="2"/>
      </tp>
      <tp t="s">
        <v/>
        <stp/>
        <stp>P</stp>
        <stp>0</stp>
        <stp>IR</stp>
        <stp>BONDNIC9999117</stp>
        <stp>30년이하(당일)</stp>
        <stp>45523</stp>
        <stp/>
        <tr r="BW51" s="2"/>
        <tr r="BW51" s="2"/>
      </tp>
      <tp>
        <v>11.054</v>
        <stp/>
        <stp>P</stp>
        <stp>0</stp>
        <stp>IR</stp>
        <stp>BONDNIC9999117</stp>
        <stp>20년이하(당일)</stp>
        <stp>45523</stp>
        <stp/>
        <tr r="BV51" s="2"/>
        <tr r="BV51" s="2"/>
      </tp>
      <tp t="s">
        <v/>
        <stp/>
        <stp>P</stp>
        <stp>0</stp>
        <stp>IR</stp>
        <stp>BONDNIC9999110</stp>
        <stp>50년이하(당일)</stp>
        <stp>45523</stp>
        <stp/>
        <tr r="BX44" s="2"/>
        <tr r="BX44" s="2"/>
      </tp>
      <tp>
        <v>4.5110000000000001</v>
        <stp/>
        <stp>P</stp>
        <stp>0</stp>
        <stp>IR</stp>
        <stp>BONDNIC9999110</stp>
        <stp>10년이하(당일)</stp>
        <stp>45523</stp>
        <stp/>
        <tr r="BT44" s="2"/>
        <tr r="BT44" s="2"/>
      </tp>
      <tp t="s">
        <v/>
        <stp/>
        <stp>P</stp>
        <stp>0</stp>
        <stp>IR</stp>
        <stp>BONDNIC9999110</stp>
        <stp>30년이하(당일)</stp>
        <stp>45523</stp>
        <stp/>
        <tr r="BW44" s="2"/>
        <tr r="BW44" s="2"/>
      </tp>
      <tp>
        <v>5.1130000000000004</v>
        <stp/>
        <stp>P</stp>
        <stp>0</stp>
        <stp>IR</stp>
        <stp>BONDNIC9999110</stp>
        <stp>20년이하(당일)</stp>
        <stp>45523</stp>
        <stp/>
        <tr r="BV44" s="2"/>
        <tr r="BV44" s="2"/>
      </tp>
      <tp>
        <v>4.9340000000000002</v>
        <stp/>
        <stp>P</stp>
        <stp>0</stp>
        <stp>IR</stp>
        <stp>BONDKIS9999111</stp>
        <stp>15년이하(당일)</stp>
        <stp>45523</stp>
        <stp/>
        <tr r="BE35" s="2"/>
        <tr r="BE35" s="2"/>
      </tp>
      <tp t="s">
        <v/>
        <stp/>
        <stp>P</stp>
        <stp>0</stp>
        <stp>IR</stp>
        <stp>BONDNIC9999111</stp>
        <stp>50년이하(당일)</stp>
        <stp>45523</stp>
        <stp/>
        <tr r="BX45" s="2"/>
        <tr r="BX45" s="2"/>
      </tp>
      <tp>
        <v>4.7359999999999998</v>
        <stp/>
        <stp>P</stp>
        <stp>0</stp>
        <stp>IR</stp>
        <stp>BONDNIC9999111</stp>
        <stp>10년이하(당일)</stp>
        <stp>45523</stp>
        <stp/>
        <tr r="BT45" s="2"/>
        <tr r="BT45" s="2"/>
      </tp>
      <tp t="s">
        <v/>
        <stp/>
        <stp>P</stp>
        <stp>0</stp>
        <stp>IR</stp>
        <stp>BONDNIC9999111</stp>
        <stp>30년이하(당일)</stp>
        <stp>45523</stp>
        <stp/>
        <tr r="BW45" s="2"/>
        <tr r="BW45" s="2"/>
      </tp>
      <tp>
        <v>5.3840000000000003</v>
        <stp/>
        <stp>P</stp>
        <stp>0</stp>
        <stp>IR</stp>
        <stp>BONDNIC9999111</stp>
        <stp>20년이하(당일)</stp>
        <stp>45523</stp>
        <stp/>
        <tr r="BV45" s="2"/>
        <tr r="BV45" s="2"/>
      </tp>
      <tp>
        <v>5.1550000000000002</v>
        <stp/>
        <stp>P</stp>
        <stp>0</stp>
        <stp>IR</stp>
        <stp>BONDKIS9999112</stp>
        <stp>15년이하(당일)</stp>
        <stp>45523</stp>
        <stp/>
        <tr r="BE36" s="2"/>
        <tr r="BE36" s="2"/>
      </tp>
      <tp t="s">
        <v/>
        <stp/>
        <stp>P</stp>
        <stp>0</stp>
        <stp>IR</stp>
        <stp>BONDNIC9999112</stp>
        <stp>50년이하(당일)</stp>
        <stp>45523</stp>
        <stp/>
        <tr r="BX46" s="2"/>
        <tr r="BX46" s="2"/>
      </tp>
      <tp>
        <v>5.3860000000000001</v>
        <stp/>
        <stp>P</stp>
        <stp>0</stp>
        <stp>IR</stp>
        <stp>BONDNIC9999112</stp>
        <stp>10년이하(당일)</stp>
        <stp>45523</stp>
        <stp/>
        <tr r="BT46" s="2"/>
        <tr r="BT46" s="2"/>
      </tp>
      <tp t="s">
        <v/>
        <stp/>
        <stp>P</stp>
        <stp>0</stp>
        <stp>IR</stp>
        <stp>BONDNIC9999112</stp>
        <stp>30년이하(당일)</stp>
        <stp>45523</stp>
        <stp/>
        <tr r="BW46" s="2"/>
        <tr r="BW46" s="2"/>
      </tp>
      <tp>
        <v>5.782</v>
        <stp/>
        <stp>P</stp>
        <stp>0</stp>
        <stp>IR</stp>
        <stp>BONDNIC9999112</stp>
        <stp>20년이하(당일)</stp>
        <stp>45523</stp>
        <stp/>
        <tr r="BV46" s="2"/>
        <tr r="BV46" s="2"/>
      </tp>
      <tp>
        <v>5.6959999999999997</v>
        <stp/>
        <stp>P</stp>
        <stp>0</stp>
        <stp>IR</stp>
        <stp>BONDKIS9999113</stp>
        <stp>15년이하(당일)</stp>
        <stp>45523</stp>
        <stp/>
        <tr r="BE37" s="2"/>
        <tr r="BE37" s="2"/>
      </tp>
      <tp t="s">
        <v/>
        <stp/>
        <stp>P</stp>
        <stp>0</stp>
        <stp>IR</stp>
        <stp>BONDNIC9999113</stp>
        <stp>50년이하(당일)</stp>
        <stp>45523</stp>
        <stp/>
        <tr r="BX47" s="2"/>
        <tr r="BX47" s="2"/>
      </tp>
      <tp>
        <v>5.8179999999999996</v>
        <stp/>
        <stp>P</stp>
        <stp>0</stp>
        <stp>IR</stp>
        <stp>BONDNIC9999113</stp>
        <stp>10년이하(당일)</stp>
        <stp>45523</stp>
        <stp/>
        <tr r="BT47" s="2"/>
        <tr r="BT47" s="2"/>
      </tp>
      <tp t="s">
        <v/>
        <stp/>
        <stp>P</stp>
        <stp>0</stp>
        <stp>IR</stp>
        <stp>BONDNIC9999113</stp>
        <stp>30년이하(당일)</stp>
        <stp>45523</stp>
        <stp/>
        <tr r="BW47" s="2"/>
        <tr r="BW47" s="2"/>
      </tp>
      <tp>
        <v>6.1479999999999997</v>
        <stp/>
        <stp>P</stp>
        <stp>0</stp>
        <stp>IR</stp>
        <stp>BONDNIC9999113</stp>
        <stp>20년이하(당일)</stp>
        <stp>45523</stp>
        <stp/>
        <tr r="BV47" s="2"/>
        <tr r="BV47" s="2"/>
      </tp>
      <tp>
        <v>0</v>
        <stp/>
        <stp>P</stp>
        <stp>0</stp>
        <stp>IR</stp>
        <stp>BONDFNP8110213</stp>
        <stp>50년이하(당일)</stp>
        <stp>45523</stp>
        <stp/>
        <tr r="CN82" s="2"/>
      </tp>
      <tp>
        <v>0</v>
        <stp/>
        <stp>P</stp>
        <stp>0</stp>
        <stp>IR</stp>
        <stp>BONDFNP8110213</stp>
        <stp>30년이하(당일)</stp>
        <stp>45523</stp>
        <stp/>
        <tr r="CM82" s="2"/>
      </tp>
      <tp>
        <v>11.923999999999999</v>
        <stp/>
        <stp>P</stp>
        <stp>0</stp>
        <stp>IR</stp>
        <stp>BONDFNP8110213</stp>
        <stp>20년이하(당일)</stp>
        <stp>45523</stp>
        <stp/>
        <tr r="CL82" s="2"/>
        <tr r="CL82" s="2"/>
      </tp>
      <tp>
        <v>11.217000000000001</v>
        <stp/>
        <stp>P</stp>
        <stp>0</stp>
        <stp>IR</stp>
        <stp>BONDFNP8110213</stp>
        <stp>10년이하(당일)</stp>
        <stp>45523</stp>
        <stp/>
        <tr r="CJ82" s="2"/>
        <tr r="CJ82" s="2"/>
      </tp>
      <tp>
        <v>0</v>
        <stp/>
        <stp>P</stp>
        <stp>0</stp>
        <stp>IR</stp>
        <stp>BONDFNP1020000</stp>
        <stp>50년이하(당일)</stp>
        <stp>45523</stp>
        <stp/>
        <tr r="CN11" s="2"/>
      </tp>
      <tp>
        <v>0</v>
        <stp/>
        <stp>P</stp>
        <stp>0</stp>
        <stp>IR</stp>
        <stp>BONDFNP2020000</stp>
        <stp>50년이하(당일)</stp>
        <stp>45523</stp>
        <stp/>
        <tr r="CN14" s="2"/>
      </tp>
      <tp>
        <v>0</v>
        <stp/>
        <stp>P</stp>
        <stp>0</stp>
        <stp>IR</stp>
        <stp>BONDFNP2020000</stp>
        <stp>30년이하(당일)</stp>
        <stp>45523</stp>
        <stp/>
        <tr r="CM14" s="2"/>
      </tp>
      <tp>
        <v>3.0870000000000002</v>
        <stp/>
        <stp>P</stp>
        <stp>0</stp>
        <stp>IR</stp>
        <stp>BONDFNP1020000</stp>
        <stp>10년이하(당일)</stp>
        <stp>45523</stp>
        <stp/>
        <tr r="CJ11" s="2"/>
        <tr r="CJ11" s="2"/>
      </tp>
      <tp>
        <v>3.37</v>
        <stp/>
        <stp>P</stp>
        <stp>0</stp>
        <stp>IR</stp>
        <stp>BONDFNP2020000</stp>
        <stp>20년이하(당일)</stp>
        <stp>45523</stp>
        <stp/>
        <tr r="CL14" s="2"/>
        <tr r="CL14" s="2"/>
      </tp>
      <tp>
        <v>3.1829999999999998</v>
        <stp/>
        <stp>P</stp>
        <stp>0</stp>
        <stp>IR</stp>
        <stp>BONDFNP1020000</stp>
        <stp>20년이하(당일)</stp>
        <stp>45523</stp>
        <stp/>
        <tr r="CL11" s="2"/>
        <tr r="CL11" s="2"/>
      </tp>
      <tp>
        <v>3.3359999999999999</v>
        <stp/>
        <stp>P</stp>
        <stp>0</stp>
        <stp>IR</stp>
        <stp>BONDFNP2020000</stp>
        <stp>10년이하(당일)</stp>
        <stp>45523</stp>
        <stp/>
        <tr r="CJ14" s="2"/>
        <tr r="CJ14" s="2"/>
      </tp>
      <tp>
        <v>0</v>
        <stp/>
        <stp>P</stp>
        <stp>0</stp>
        <stp>IR</stp>
        <stp>BONDFNP1020000</stp>
        <stp>30년이하(당일)</stp>
        <stp>45523</stp>
        <stp/>
        <tr r="CM11" s="2"/>
      </tp>
      <tp>
        <v>0</v>
        <stp/>
        <stp>P</stp>
        <stp>0</stp>
        <stp>IR</stp>
        <stp>BONDFNP8110212</stp>
        <stp>50년이하(당일)</stp>
        <stp>45523</stp>
        <stp/>
        <tr r="CN81" s="2"/>
      </tp>
      <tp>
        <v>0</v>
        <stp/>
        <stp>P</stp>
        <stp>0</stp>
        <stp>IR</stp>
        <stp>BONDFNP8110212</stp>
        <stp>30년이하(당일)</stp>
        <stp>45523</stp>
        <stp/>
        <tr r="CM81" s="2"/>
      </tp>
      <tp>
        <v>10.212</v>
        <stp/>
        <stp>P</stp>
        <stp>0</stp>
        <stp>IR</stp>
        <stp>BONDFNP8110212</stp>
        <stp>20년이하(당일)</stp>
        <stp>45523</stp>
        <stp/>
        <tr r="CL81" s="2"/>
        <tr r="CL81" s="2"/>
      </tp>
      <tp>
        <v>9.3930000000000007</v>
        <stp/>
        <stp>P</stp>
        <stp>0</stp>
        <stp>IR</stp>
        <stp>BONDFNP8110212</stp>
        <stp>10년이하(당일)</stp>
        <stp>45523</stp>
        <stp/>
        <tr r="CJ81" s="2"/>
        <tr r="CJ81" s="2"/>
      </tp>
      <tp>
        <v>0</v>
        <stp/>
        <stp>P</stp>
        <stp>0</stp>
        <stp>IR</stp>
        <stp>BONDFNP1030000</stp>
        <stp>50년이하(당일)</stp>
        <stp>45523</stp>
        <stp/>
        <tr r="CN10" s="2"/>
      </tp>
      <tp>
        <v>0</v>
        <stp/>
        <stp>P</stp>
        <stp>0</stp>
        <stp>IR</stp>
        <stp>BONDFNP1030000</stp>
        <stp>10년이하(당일)</stp>
        <stp>45523</stp>
        <stp/>
        <tr r="CJ10" s="2"/>
      </tp>
      <tp>
        <v>0</v>
        <stp/>
        <stp>P</stp>
        <stp>0</stp>
        <stp>IR</stp>
        <stp>BONDFNP1030000</stp>
        <stp>20년이하(당일)</stp>
        <stp>45523</stp>
        <stp/>
        <tr r="CL10" s="2"/>
      </tp>
      <tp>
        <v>0</v>
        <stp/>
        <stp>P</stp>
        <stp>0</stp>
        <stp>IR</stp>
        <stp>BONDFNP1030000</stp>
        <stp>30년이하(당일)</stp>
        <stp>45523</stp>
        <stp/>
        <tr r="CM10" s="2"/>
      </tp>
      <tp>
        <v>0</v>
        <stp/>
        <stp>P</stp>
        <stp>0</stp>
        <stp>IR</stp>
        <stp>BONDFNP8110211</stp>
        <stp>50년이하(당일)</stp>
        <stp>45523</stp>
        <stp/>
        <tr r="CN80" s="2"/>
      </tp>
      <tp>
        <v>0</v>
        <stp/>
        <stp>P</stp>
        <stp>0</stp>
        <stp>IR</stp>
        <stp>BONDFNP8110211</stp>
        <stp>30년이하(당일)</stp>
        <stp>45523</stp>
        <stp/>
        <tr r="CM80" s="2"/>
      </tp>
      <tp>
        <v>8.9640000000000004</v>
        <stp/>
        <stp>P</stp>
        <stp>0</stp>
        <stp>IR</stp>
        <stp>BONDFNP8110211</stp>
        <stp>20년이하(당일)</stp>
        <stp>45523</stp>
        <stp/>
        <tr r="CL80" s="2"/>
        <tr r="CL80" s="2"/>
      </tp>
      <tp>
        <v>8.2609999999999992</v>
        <stp/>
        <stp>P</stp>
        <stp>0</stp>
        <stp>IR</stp>
        <stp>BONDFNP8110211</stp>
        <stp>10년이하(당일)</stp>
        <stp>45523</stp>
        <stp/>
        <tr r="CJ80" s="2"/>
        <tr r="CJ80" s="2"/>
      </tp>
      <tp>
        <v>0</v>
        <stp/>
        <stp>P</stp>
        <stp>0</stp>
        <stp>IR</stp>
        <stp>BONDFNP4000000</stp>
        <stp>10년이하(당일)</stp>
        <stp>45523</stp>
        <stp/>
        <tr r="CJ20" s="2"/>
      </tp>
      <tp>
        <v>0</v>
        <stp/>
        <stp>P</stp>
        <stp>0</stp>
        <stp>IR</stp>
        <stp>BONDFNP4000000</stp>
        <stp>30년이하(당일)</stp>
        <stp>45523</stp>
        <stp/>
        <tr r="CM20" s="2"/>
      </tp>
      <tp>
        <v>0</v>
        <stp/>
        <stp>P</stp>
        <stp>0</stp>
        <stp>IR</stp>
        <stp>BONDFNP4000000</stp>
        <stp>20년이하(당일)</stp>
        <stp>45523</stp>
        <stp/>
        <tr r="CL20" s="2"/>
      </tp>
      <tp>
        <v>0</v>
        <stp/>
        <stp>P</stp>
        <stp>0</stp>
        <stp>IR</stp>
        <stp>BONDFNP4000000</stp>
        <stp>50년이하(당일)</stp>
        <stp>45523</stp>
        <stp/>
        <tr r="CN20" s="2"/>
      </tp>
      <tp>
        <v>2.762</v>
        <stp/>
        <stp>P</stp>
        <stp>0</stp>
        <stp>IR</stp>
        <stp>BONDFNP1010000</stp>
        <stp>50년이하(당일)</stp>
        <stp>45523</stp>
        <stp/>
        <tr r="CN9" s="2"/>
        <tr r="CN9" s="2"/>
      </tp>
      <tp>
        <v>0</v>
        <stp/>
        <stp>P</stp>
        <stp>0</stp>
        <stp>IR</stp>
        <stp>BONDFNP2010000</stp>
        <stp>50년이하(당일)</stp>
        <stp>45523</stp>
        <stp/>
        <tr r="CN13" s="2"/>
      </tp>
      <tp>
        <v>0</v>
        <stp/>
        <stp>P</stp>
        <stp>0</stp>
        <stp>IR</stp>
        <stp>BONDFNP2010000</stp>
        <stp>30년이하(당일)</stp>
        <stp>45523</stp>
        <stp/>
        <tr r="CM13" s="2"/>
      </tp>
      <tp>
        <v>2.9750000000000001</v>
        <stp/>
        <stp>P</stp>
        <stp>0</stp>
        <stp>IR</stp>
        <stp>BONDFNP1010000</stp>
        <stp>10년이하(당일)</stp>
        <stp>45523</stp>
        <stp/>
        <tr r="CJ9" s="2"/>
        <tr r="CJ9" s="2"/>
      </tp>
      <tp>
        <v>0</v>
        <stp/>
        <stp>P</stp>
        <stp>0</stp>
        <stp>IR</stp>
        <stp>BONDFNP2010000</stp>
        <stp>20년이하(당일)</stp>
        <stp>45523</stp>
        <stp/>
        <tr r="CL13" s="2"/>
      </tp>
      <tp>
        <v>2.952</v>
        <stp/>
        <stp>P</stp>
        <stp>0</stp>
        <stp>IR</stp>
        <stp>BONDFNP1010000</stp>
        <stp>20년이하(당일)</stp>
        <stp>45523</stp>
        <stp/>
        <tr r="CL9" s="2"/>
        <tr r="CL9" s="2"/>
      </tp>
      <tp>
        <v>0</v>
        <stp/>
        <stp>P</stp>
        <stp>0</stp>
        <stp>IR</stp>
        <stp>BONDFNP2010000</stp>
        <stp>10년이하(당일)</stp>
        <stp>45523</stp>
        <stp/>
        <tr r="CJ13" s="2"/>
      </tp>
      <tp>
        <v>2.8519999999999999</v>
        <stp/>
        <stp>P</stp>
        <stp>0</stp>
        <stp>IR</stp>
        <stp>BONDFNP1010000</stp>
        <stp>30년이하(당일)</stp>
        <stp>45523</stp>
        <stp/>
        <tr r="CM9" s="2"/>
        <tr r="CM9" s="2"/>
      </tp>
      <tp>
        <v>0</v>
        <stp/>
        <stp>P</stp>
        <stp>0</stp>
        <stp>IR</stp>
        <stp>BONDFNP3060000</stp>
        <stp>50년이하(당일)</stp>
        <stp>45523</stp>
        <stp/>
        <tr r="CN83" s="2"/>
      </tp>
      <tp>
        <v>3.1520000000000001</v>
        <stp/>
        <stp>P</stp>
        <stp>0</stp>
        <stp>IR</stp>
        <stp>BONDFNP3060000</stp>
        <stp>20년이하(당일)</stp>
        <stp>45523</stp>
        <stp/>
        <tr r="CL83" s="2"/>
        <tr r="CL83" s="2"/>
      </tp>
      <tp>
        <v>3.1579999999999999</v>
        <stp/>
        <stp>P</stp>
        <stp>0</stp>
        <stp>IR</stp>
        <stp>BONDFNP3060000</stp>
        <stp>30년이하(당일)</stp>
        <stp>45523</stp>
        <stp/>
        <tr r="CM83" s="2"/>
        <tr r="CM83" s="2"/>
      </tp>
      <tp>
        <v>3.1480000000000001</v>
        <stp/>
        <stp>P</stp>
        <stp>0</stp>
        <stp>IR</stp>
        <stp>BONDFNP3060000</stp>
        <stp>10년이하(당일)</stp>
        <stp>45523</stp>
        <stp/>
        <tr r="CJ83" s="2"/>
        <tr r="CJ83" s="2"/>
      </tp>
      <tp>
        <v>10.77</v>
        <stp/>
        <stp>P</stp>
        <stp>0</stp>
        <stp>IR</stp>
        <stp>BONDKIS9999118</stp>
        <stp>15년이하(당일)</stp>
        <stp>45523</stp>
        <stp/>
        <tr r="BE42" s="2"/>
        <tr r="BE42" s="2"/>
      </tp>
      <tp t="s">
        <v/>
        <stp/>
        <stp>P</stp>
        <stp>0</stp>
        <stp>IR</stp>
        <stp>BONDNIC9999118</stp>
        <stp>50년이하(당일)</stp>
        <stp>45523</stp>
        <stp/>
        <tr r="BX43" s="2"/>
        <tr r="BX43" s="2"/>
      </tp>
      <tp>
        <v>4.3259999999999996</v>
        <stp/>
        <stp>P</stp>
        <stp>0</stp>
        <stp>IR</stp>
        <stp>BONDNIC9999118</stp>
        <stp>10년이하(당일)</stp>
        <stp>45523</stp>
        <stp/>
        <tr r="BT43" s="2"/>
        <tr r="BT43" s="2"/>
      </tp>
      <tp t="s">
        <v/>
        <stp/>
        <stp>P</stp>
        <stp>0</stp>
        <stp>IR</stp>
        <stp>BONDNIC9999118</stp>
        <stp>30년이하(당일)</stp>
        <stp>45523</stp>
        <stp/>
        <tr r="BW43" s="2"/>
        <tr r="BW43" s="2"/>
      </tp>
      <tp>
        <v>4.9050000000000002</v>
        <stp/>
        <stp>P</stp>
        <stp>0</stp>
        <stp>IR</stp>
        <stp>BONDNIC9999118</stp>
        <stp>20년이하(당일)</stp>
        <stp>45523</stp>
        <stp/>
        <tr r="BV43" s="2"/>
        <tr r="BV43" s="2"/>
      </tp>
      <tp>
        <v>4.7549999999999999</v>
        <stp/>
        <stp>P</stp>
        <stp>0</stp>
        <stp>IR</stp>
        <stp>BONDKIS9999119</stp>
        <stp>15년이하(당일)</stp>
        <stp>45523</stp>
        <stp/>
        <tr r="BE34" s="2"/>
        <tr r="BE34" s="2"/>
      </tp>
      <tp>
        <v>3.5129999999999999</v>
        <stp/>
        <stp>P</stp>
        <stp>0</stp>
        <stp>IR</stp>
        <stp>BONDFNP4050000</stp>
        <stp>10년이하(당일)</stp>
        <stp>45523</stp>
        <stp/>
        <tr r="CJ22" s="2"/>
        <tr r="CJ22" s="2"/>
      </tp>
      <tp>
        <v>0</v>
        <stp/>
        <stp>P</stp>
        <stp>0</stp>
        <stp>IR</stp>
        <stp>BONDFNP4050000</stp>
        <stp>30년이하(당일)</stp>
        <stp>45523</stp>
        <stp/>
        <tr r="CM22" s="2"/>
      </tp>
      <tp>
        <v>0</v>
        <stp/>
        <stp>P</stp>
        <stp>0</stp>
        <stp>IR</stp>
        <stp>BONDFNP3050000</stp>
        <stp>50년이하(당일)</stp>
        <stp>45523</stp>
        <stp/>
        <tr r="CN15" s="2"/>
      </tp>
      <tp>
        <v>3.69</v>
        <stp/>
        <stp>P</stp>
        <stp>0</stp>
        <stp>IR</stp>
        <stp>BONDFNP4050000</stp>
        <stp>20년이하(당일)</stp>
        <stp>45523</stp>
        <stp/>
        <tr r="CL22" s="2"/>
        <tr r="CL22" s="2"/>
      </tp>
      <tp>
        <v>3.0790000000000002</v>
        <stp/>
        <stp>P</stp>
        <stp>0</stp>
        <stp>IR</stp>
        <stp>BONDFNP3050000</stp>
        <stp>20년이하(당일)</stp>
        <stp>45523</stp>
        <stp/>
        <tr r="CL15" s="2"/>
        <tr r="CL15" s="2"/>
      </tp>
      <tp>
        <v>0</v>
        <stp/>
        <stp>P</stp>
        <stp>0</stp>
        <stp>IR</stp>
        <stp>BONDFNP4050000</stp>
        <stp>50년이하(당일)</stp>
        <stp>45523</stp>
        <stp/>
        <tr r="CN22" s="2"/>
      </tp>
      <tp>
        <v>0</v>
        <stp/>
        <stp>P</stp>
        <stp>0</stp>
        <stp>IR</stp>
        <stp>BONDFNP3050000</stp>
        <stp>30년이하(당일)</stp>
        <stp>45523</stp>
        <stp/>
        <tr r="CM15" s="2"/>
      </tp>
      <tp>
        <v>3.0950000000000002</v>
        <stp/>
        <stp>P</stp>
        <stp>0</stp>
        <stp>IR</stp>
        <stp>BONDFNP3050000</stp>
        <stp>10년이하(당일)</stp>
        <stp>45523</stp>
        <stp/>
        <tr r="CJ15" s="2"/>
        <tr r="CJ15" s="2"/>
      </tp>
      <tp>
        <v>3.448</v>
        <stp/>
        <stp>P</stp>
        <stp>0</stp>
        <stp>IR</stp>
        <stp>BONDFNP8010110</stp>
        <stp>3월이하(당일)</stp>
        <stp>45523</stp>
        <stp/>
        <tr r="BY73" s="2"/>
        <tr r="BY73" s="2"/>
      </tp>
      <tp>
        <v>3.234</v>
        <stp/>
        <stp>P</stp>
        <stp>0</stp>
        <stp>IR</stp>
        <stp>BONDFNP3050000</stp>
        <stp>9월이하(당일)</stp>
        <stp>45523</stp>
        <stp/>
        <tr r="CA15" s="2"/>
        <tr r="CA15" s="2"/>
      </tp>
      <tp>
        <v>3.302</v>
        <stp/>
        <stp>P</stp>
        <stp>0</stp>
        <stp>IR</stp>
        <stp>BONDFNP3060000</stp>
        <stp>9월이하(당일)</stp>
        <stp>45523</stp>
        <stp/>
        <tr r="CA83" s="2"/>
        <tr r="CA83" s="2"/>
      </tp>
      <tp>
        <v>3.6760000000000002</v>
        <stp/>
        <stp>P</stp>
        <stp>0</stp>
        <stp>IR</stp>
        <stp>BONDFNP8010131</stp>
        <stp>3월이하(당일)</stp>
        <stp>45523</stp>
        <stp/>
        <tr r="BY77" s="2"/>
        <tr r="BY77" s="2"/>
      </tp>
      <tp>
        <v>4.117</v>
        <stp/>
        <stp>P</stp>
        <stp>0</stp>
        <stp>IR</stp>
        <stp>BONDFNP8010133</stp>
        <stp>3월이하(당일)</stp>
        <stp>45523</stp>
        <stp/>
        <tr r="BY79" s="2"/>
        <tr r="BY79" s="2"/>
      </tp>
      <tp>
        <v>3.8769999999999998</v>
        <stp/>
        <stp>P</stp>
        <stp>0</stp>
        <stp>IR</stp>
        <stp>BONDFNP8010132</stp>
        <stp>3월이하(당일)</stp>
        <stp>45523</stp>
        <stp/>
        <tr r="BY78" s="2"/>
        <tr r="BY78" s="2"/>
      </tp>
      <tp>
        <v>3.4670000000000001</v>
        <stp/>
        <stp>P</stp>
        <stp>0</stp>
        <stp>IR</stp>
        <stp>BONDFNP8010121</stp>
        <stp>3월이하(당일)</stp>
        <stp>45523</stp>
        <stp/>
        <tr r="BY74" s="2"/>
        <tr r="BY74" s="2"/>
      </tp>
      <tp>
        <v>3.5819999999999999</v>
        <stp/>
        <stp>P</stp>
        <stp>0</stp>
        <stp>IR</stp>
        <stp>BONDFNP8010123</stp>
        <stp>3월이하(당일)</stp>
        <stp>45523</stp>
        <stp/>
        <tr r="BY76" s="2"/>
        <tr r="BY76" s="2"/>
      </tp>
      <tp>
        <v>3.524</v>
        <stp/>
        <stp>P</stp>
        <stp>0</stp>
        <stp>IR</stp>
        <stp>BONDFNP8010122</stp>
        <stp>3월이하(당일)</stp>
        <stp>45523</stp>
        <stp/>
        <tr r="BY75" s="2"/>
        <tr r="BY75" s="2"/>
      </tp>
      <tp>
        <v>3.6070000000000002</v>
        <stp/>
        <stp>P</stp>
        <stp>0</stp>
        <stp>IR</stp>
        <stp>BONDNIC8040113</stp>
        <stp>3월이하(당일)</stp>
        <stp>45523</stp>
        <stp/>
        <tr r="BI76" s="2"/>
        <tr r="BI76" s="2"/>
      </tp>
      <tp>
        <v>3.851</v>
        <stp/>
        <stp>P</stp>
        <stp>0</stp>
        <stp>IR</stp>
        <stp>BONDNIC8050112</stp>
        <stp>3월이하(당일)</stp>
        <stp>45523</stp>
        <stp/>
        <tr r="BI78" s="2"/>
        <tr r="BI78" s="2"/>
      </tp>
      <tp>
        <v>4.7439999999999998</v>
        <stp/>
        <stp>P</stp>
        <stp>0</stp>
        <stp>IR</stp>
        <stp>BONDNIC8060111</stp>
        <stp>3월이하(당일)</stp>
        <stp>45523</stp>
        <stp/>
        <tr r="BI80" s="2"/>
        <tr r="BI80" s="2"/>
      </tp>
      <tp>
        <v>3.5539999999999998</v>
        <stp/>
        <stp>P</stp>
        <stp>0</stp>
        <stp>IR</stp>
        <stp>BONDNIC8040112</stp>
        <stp>3월이하(당일)</stp>
        <stp>45523</stp>
        <stp/>
        <tr r="BI75" s="2"/>
        <tr r="BI75" s="2"/>
      </tp>
      <tp>
        <v>4.1109999999999998</v>
        <stp/>
        <stp>P</stp>
        <stp>0</stp>
        <stp>IR</stp>
        <stp>BONDNIC8050113</stp>
        <stp>3월이하(당일)</stp>
        <stp>45523</stp>
        <stp/>
        <tr r="BI79" s="2"/>
        <tr r="BI79" s="2"/>
      </tp>
      <tp>
        <v>3.5230000000000001</v>
        <stp/>
        <stp>P</stp>
        <stp>0</stp>
        <stp>IR</stp>
        <stp>BONDNIC8040111</stp>
        <stp>3월이하(당일)</stp>
        <stp>45523</stp>
        <stp/>
        <tr r="BI74" s="2"/>
        <tr r="BI74" s="2"/>
      </tp>
      <tp>
        <v>6.1840000000000002</v>
        <stp/>
        <stp>P</stp>
        <stp>0</stp>
        <stp>IR</stp>
        <stp>BONDNIC8060113</stp>
        <stp>3월이하(당일)</stp>
        <stp>45523</stp>
        <stp/>
        <tr r="BI82" s="2"/>
        <tr r="BI82" s="2"/>
      </tp>
      <tp>
        <v>3.694</v>
        <stp/>
        <stp>P</stp>
        <stp>0</stp>
        <stp>IR</stp>
        <stp>BONDNIC8050111</stp>
        <stp>3월이하(당일)</stp>
        <stp>45523</stp>
        <stp/>
        <tr r="BI77" s="2"/>
        <tr r="BI77" s="2"/>
      </tp>
      <tp>
        <v>5.1589999999999998</v>
        <stp/>
        <stp>P</stp>
        <stp>0</stp>
        <stp>IR</stp>
        <stp>BONDNIC8060112</stp>
        <stp>3월이하(당일)</stp>
        <stp>45523</stp>
        <stp/>
        <tr r="BI81" s="2"/>
        <tr r="BI81" s="2"/>
      </tp>
      <tp>
        <v>3.504</v>
        <stp/>
        <stp>P</stp>
        <stp>0</stp>
        <stp>IR</stp>
        <stp>BONDNIC8030110</stp>
        <stp>3월이하(당일)</stp>
        <stp>45523</stp>
        <stp/>
        <tr r="BI73" s="2"/>
        <tr r="BI73" s="2"/>
      </tp>
      <tp>
        <v>3.2320000000000002</v>
        <stp/>
        <stp>P</stp>
        <stp>0</stp>
        <stp>IR</stp>
        <stp>BONDNIC3050000</stp>
        <stp>9월이하(당일)</stp>
        <stp>45523</stp>
        <stp/>
        <tr r="BK15" s="2"/>
        <tr r="BK15" s="2"/>
      </tp>
      <tp>
        <v>3.3239999999999998</v>
        <stp/>
        <stp>P</stp>
        <stp>0</stp>
        <stp>IR</stp>
        <stp>BONDKIS3060000</stp>
        <stp>9월이하(당일)</stp>
        <stp>45523</stp>
        <stp/>
        <tr r="AU83" s="2"/>
        <tr r="AU83" s="2"/>
      </tp>
      <tp>
        <v>3.2349999999999999</v>
        <stp/>
        <stp>P</stp>
        <stp>0</stp>
        <stp>IR</stp>
        <stp>BONDKIS3050000</stp>
        <stp>9월이하(당일)</stp>
        <stp>45523</stp>
        <stp/>
        <tr r="AU15" s="2"/>
        <tr r="AU15" s="2"/>
      </tp>
      <tp>
        <v>3.2330000000000001</v>
        <stp/>
        <stp>P</stp>
        <stp>0</stp>
        <stp>IR</stp>
        <stp>BONDKSD3070000</stp>
        <stp>9월이하(당일)</stp>
        <stp>45523</stp>
        <stp/>
        <tr r="CQ15" s="2"/>
        <tr r="CQ15" s="2"/>
      </tp>
      <tp>
        <v>3.306</v>
        <stp/>
        <stp>P</stp>
        <stp>0</stp>
        <stp>IR</stp>
        <stp>BONDKSD3060000</stp>
        <stp>9월이하(당일)</stp>
        <stp>45523</stp>
        <stp/>
        <tr r="CQ83" s="2"/>
        <tr r="CQ83" s="2"/>
      </tp>
      <tp>
        <v>3.476</v>
        <stp/>
        <stp>P</stp>
        <stp>0</stp>
        <stp>IR</stp>
        <stp>BONDKIS8010110</stp>
        <stp>3월이하(당일)</stp>
        <stp>45523</stp>
        <stp/>
        <tr r="AS73" s="2"/>
        <tr r="AS73" s="2"/>
      </tp>
      <tp t="s">
        <v xml:space="preserve"> </v>
        <stp/>
        <stp>P</stp>
        <stp>0</stp>
        <stp>IR</stp>
        <stp>BONDKSD8010110</stp>
        <stp>3월이하(당일)</stp>
        <stp>45523</stp>
        <stp/>
        <tr r="CO73" s="2"/>
        <tr r="CO73" s="2"/>
      </tp>
      <tp>
        <v>3.5569999999999999</v>
        <stp/>
        <stp>P</stp>
        <stp>0</stp>
        <stp>IR</stp>
        <stp>BONDKIS8010122</stp>
        <stp>3월이하(당일)</stp>
        <stp>45523</stp>
        <stp/>
        <tr r="AS75" s="2"/>
        <tr r="AS75" s="2"/>
      </tp>
      <tp>
        <v>3.5960000000000001</v>
        <stp/>
        <stp>P</stp>
        <stp>0</stp>
        <stp>IR</stp>
        <stp>BONDKIS8010123</stp>
        <stp>3월이하(당일)</stp>
        <stp>45523</stp>
        <stp/>
        <tr r="AS76" s="2"/>
        <tr r="AS76" s="2"/>
      </tp>
      <tp>
        <v>3.5379999999999998</v>
        <stp/>
        <stp>P</stp>
        <stp>0</stp>
        <stp>IR</stp>
        <stp>BONDKIS8010121</stp>
        <stp>3월이하(당일)</stp>
        <stp>45523</stp>
        <stp/>
        <tr r="AS74" s="2"/>
        <tr r="AS74" s="2"/>
      </tp>
      <tp t="s">
        <v xml:space="preserve"> </v>
        <stp/>
        <stp>P</stp>
        <stp>0</stp>
        <stp>IR</stp>
        <stp>BONDKSD8010120</stp>
        <stp>3월이하(당일)</stp>
        <stp>45523</stp>
        <stp/>
        <tr r="CO75" s="2"/>
        <tr r="CO75" s="2"/>
      </tp>
      <tp>
        <v>3.8519999999999999</v>
        <stp/>
        <stp>P</stp>
        <stp>0</stp>
        <stp>IR</stp>
        <stp>BONDKIS8010132</stp>
        <stp>3월이하(당일)</stp>
        <stp>45523</stp>
        <stp/>
        <tr r="AS78" s="2"/>
        <tr r="AS78" s="2"/>
      </tp>
      <tp>
        <v>4.0910000000000002</v>
        <stp/>
        <stp>P</stp>
        <stp>0</stp>
        <stp>IR</stp>
        <stp>BONDKIS8010133</stp>
        <stp>3월이하(당일)</stp>
        <stp>45523</stp>
        <stp/>
        <tr r="AS79" s="2"/>
        <tr r="AS79" s="2"/>
      </tp>
      <tp>
        <v>3.7029999999999998</v>
        <stp/>
        <stp>P</stp>
        <stp>0</stp>
        <stp>IR</stp>
        <stp>BONDKIS8010131</stp>
        <stp>3월이하(당일)</stp>
        <stp>45523</stp>
        <stp/>
        <tr r="AS77" s="2"/>
        <tr r="AS77" s="2"/>
      </tp>
      <tp t="s">
        <v xml:space="preserve"> </v>
        <stp/>
        <stp>P</stp>
        <stp>0</stp>
        <stp>IR</stp>
        <stp>BONDKSD8010131</stp>
        <stp>3월이하(당일)</stp>
        <stp>45523</stp>
        <stp/>
        <tr r="CO77" s="2"/>
        <tr r="CO77" s="2"/>
      </tp>
      <tp t="s">
        <v xml:space="preserve"> </v>
        <stp/>
        <stp>P</stp>
        <stp>0</stp>
        <stp>IR</stp>
        <stp>BONDKSD8010132</stp>
        <stp>3월이하(당일)</stp>
        <stp>45523</stp>
        <stp/>
        <tr r="CO78" s="2"/>
        <tr r="CO78" s="2"/>
      </tp>
      <tp t="s">
        <v xml:space="preserve"> </v>
        <stp/>
        <stp>P</stp>
        <stp>0</stp>
        <stp>IR</stp>
        <stp>BONDKSD8010133</stp>
        <stp>3월이하(당일)</stp>
        <stp>45523</stp>
        <stp/>
        <tr r="CO79" s="2"/>
        <tr r="CO79" s="2"/>
      </tp>
      <tp>
        <v>0</v>
        <stp/>
        <stp>P</stp>
        <stp>0</stp>
        <stp>IR</stp>
        <stp>BONDKSD3040121</stp>
        <stp>50년이하(당일)</stp>
        <stp>45523</stp>
        <stp/>
        <tr r="DD17" s="2"/>
      </tp>
      <tp>
        <v>0</v>
        <stp/>
        <stp>P</stp>
        <stp>0</stp>
        <stp>IR</stp>
        <stp>BONDKSD3040121</stp>
        <stp>30년이하(당일)</stp>
        <stp>45523</stp>
        <stp/>
        <tr r="DC17" s="2"/>
      </tp>
      <tp>
        <v>3.399</v>
        <stp/>
        <stp>P</stp>
        <stp>0</stp>
        <stp>IR</stp>
        <stp>BONDKSD3040121</stp>
        <stp>20년이하(당일)</stp>
        <stp>45523</stp>
        <stp/>
        <tr r="DB17" s="2"/>
        <tr r="DB17" s="2"/>
      </tp>
      <tp>
        <v>3.3410000000000002</v>
        <stp/>
        <stp>P</stp>
        <stp>0</stp>
        <stp>IR</stp>
        <stp>BONDKSD3040121</stp>
        <stp>10년이하(당일)</stp>
        <stp>45523</stp>
        <stp/>
        <tr r="CZ17" s="2"/>
        <tr r="CZ17" s="2"/>
      </tp>
      <tp>
        <v>4.0030000000000001</v>
        <stp/>
        <stp>P</stp>
        <stp>0</stp>
        <stp>IR</stp>
        <stp>BONDKSD5040120</stp>
        <stp>10년이하(당일)</stp>
        <stp>45523</stp>
        <stp/>
        <tr r="CZ29" s="2"/>
        <tr r="CZ29" s="2"/>
      </tp>
      <tp>
        <v>0</v>
        <stp/>
        <stp>P</stp>
        <stp>0</stp>
        <stp>IR</stp>
        <stp>BONDKSD3040120</stp>
        <stp>50년이하(당일)</stp>
        <stp>45523</stp>
        <stp/>
        <tr r="DD18" s="2"/>
      </tp>
      <tp>
        <v>0</v>
        <stp/>
        <stp>P</stp>
        <stp>0</stp>
        <stp>IR</stp>
        <stp>BONDKSD5040120</stp>
        <stp>30년이하(당일)</stp>
        <stp>45523</stp>
        <stp/>
        <tr r="DC29" s="2"/>
      </tp>
      <tp>
        <v>4.3029999999999999</v>
        <stp/>
        <stp>P</stp>
        <stp>0</stp>
        <stp>IR</stp>
        <stp>BONDKSD5040120</stp>
        <stp>20년이하(당일)</stp>
        <stp>45523</stp>
        <stp/>
        <tr r="DB29" s="2"/>
        <tr r="DB29" s="2"/>
      </tp>
      <tp>
        <v>0</v>
        <stp/>
        <stp>P</stp>
        <stp>0</stp>
        <stp>IR</stp>
        <stp>BONDKSD3040120</stp>
        <stp>30년이하(당일)</stp>
        <stp>45523</stp>
        <stp/>
        <tr r="DC18" s="2"/>
      </tp>
      <tp>
        <v>0</v>
        <stp/>
        <stp>P</stp>
        <stp>0</stp>
        <stp>IR</stp>
        <stp>BONDKSD5040120</stp>
        <stp>50년이하(당일)</stp>
        <stp>45523</stp>
        <stp/>
        <tr r="DD29" s="2"/>
      </tp>
      <tp>
        <v>3.5630000000000002</v>
        <stp/>
        <stp>P</stp>
        <stp>0</stp>
        <stp>IR</stp>
        <stp>BONDKSD3040120</stp>
        <stp>20년이하(당일)</stp>
        <stp>45523</stp>
        <stp/>
        <tr r="DB18" s="2"/>
        <tr r="DB18" s="2"/>
      </tp>
      <tp>
        <v>3.4889999999999999</v>
        <stp/>
        <stp>P</stp>
        <stp>0</stp>
        <stp>IR</stp>
        <stp>BONDKSD3040120</stp>
        <stp>10년이하(당일)</stp>
        <stp>45523</stp>
        <stp/>
        <tr r="CZ18" s="2"/>
        <tr r="CZ18" s="2"/>
      </tp>
      <tp>
        <v>0</v>
        <stp/>
        <stp>P</stp>
        <stp>0</stp>
        <stp>IR</stp>
        <stp>BONDKSD6010122</stp>
        <stp>20년이하(당일)</stp>
        <stp>45523</stp>
        <stp/>
        <tr r="DB35" s="2"/>
      </tp>
      <tp>
        <v>0</v>
        <stp/>
        <stp>P</stp>
        <stp>0</stp>
        <stp>IR</stp>
        <stp>BONDKSD7010122</stp>
        <stp>30년이하(당일)</stp>
        <stp>45523</stp>
        <stp/>
        <tr r="DC65" s="2"/>
      </tp>
      <tp>
        <v>0</v>
        <stp/>
        <stp>P</stp>
        <stp>0</stp>
        <stp>IR</stp>
        <stp>BONDKSD6010122</stp>
        <stp>30년이하(당일)</stp>
        <stp>45523</stp>
        <stp/>
        <tr r="DC35" s="2"/>
      </tp>
      <tp>
        <v>0</v>
        <stp/>
        <stp>P</stp>
        <stp>0</stp>
        <stp>IR</stp>
        <stp>BONDKSD7010122</stp>
        <stp>20년이하(당일)</stp>
        <stp>45523</stp>
        <stp/>
        <tr r="DB65" s="2"/>
      </tp>
      <tp>
        <v>4.2389999999999999</v>
        <stp/>
        <stp>P</stp>
        <stp>0</stp>
        <stp>IR</stp>
        <stp>BONDKSD7010122</stp>
        <stp>10년이하(당일)</stp>
        <stp>45523</stp>
        <stp/>
        <tr r="CZ65" s="2"/>
        <tr r="CZ65" s="2"/>
      </tp>
      <tp>
        <v>4.4939999999999998</v>
        <stp/>
        <stp>P</stp>
        <stp>0</stp>
        <stp>IR</stp>
        <stp>BONDKSD6010122</stp>
        <stp>10년이하(당일)</stp>
        <stp>45523</stp>
        <stp/>
        <tr r="CZ35" s="2"/>
        <tr r="CZ35" s="2"/>
      </tp>
      <tp>
        <v>0</v>
        <stp/>
        <stp>P</stp>
        <stp>0</stp>
        <stp>IR</stp>
        <stp>BONDKSD7010122</stp>
        <stp>50년이하(당일)</stp>
        <stp>45523</stp>
        <stp/>
        <tr r="DD65" s="2"/>
      </tp>
      <tp>
        <v>0</v>
        <stp/>
        <stp>P</stp>
        <stp>0</stp>
        <stp>IR</stp>
        <stp>BONDKSD6010122</stp>
        <stp>50년이하(당일)</stp>
        <stp>45523</stp>
        <stp/>
        <tr r="DD35" s="2"/>
      </tp>
      <tp>
        <v>0</v>
        <stp/>
        <stp>P</stp>
        <stp>0</stp>
        <stp>IR</stp>
        <stp>BONDKSD6010123</stp>
        <stp>20년이하(당일)</stp>
        <stp>45523</stp>
        <stp/>
        <tr r="DB36" s="2"/>
      </tp>
      <tp>
        <v>0</v>
        <stp/>
        <stp>P</stp>
        <stp>0</stp>
        <stp>IR</stp>
        <stp>BONDKSD7010123</stp>
        <stp>30년이하(당일)</stp>
        <stp>45523</stp>
        <stp/>
        <tr r="DC66" s="2"/>
      </tp>
      <tp>
        <v>0</v>
        <stp/>
        <stp>P</stp>
        <stp>0</stp>
        <stp>IR</stp>
        <stp>BONDKSD7020120</stp>
        <stp>30년이하(당일)</stp>
        <stp>45523</stp>
        <stp/>
        <tr r="DC53" s="2"/>
      </tp>
      <tp>
        <v>0</v>
        <stp/>
        <stp>P</stp>
        <stp>0</stp>
        <stp>IR</stp>
        <stp>BONDKSD6010123</stp>
        <stp>30년이하(당일)</stp>
        <stp>45523</stp>
        <stp/>
        <tr r="DC36" s="2"/>
      </tp>
      <tp>
        <v>0</v>
        <stp/>
        <stp>P</stp>
        <stp>0</stp>
        <stp>IR</stp>
        <stp>BONDKSD7010123</stp>
        <stp>20년이하(당일)</stp>
        <stp>45523</stp>
        <stp/>
        <tr r="DB66" s="2"/>
      </tp>
      <tp>
        <v>0</v>
        <stp/>
        <stp>P</stp>
        <stp>0</stp>
        <stp>IR</stp>
        <stp>BONDKSD7020120</stp>
        <stp>20년이하(당일)</stp>
        <stp>45523</stp>
        <stp/>
        <tr r="DB53" s="2"/>
      </tp>
      <tp>
        <v>4.6020000000000003</v>
        <stp/>
        <stp>P</stp>
        <stp>0</stp>
        <stp>IR</stp>
        <stp>BONDKSD7010123</stp>
        <stp>10년이하(당일)</stp>
        <stp>45523</stp>
        <stp/>
        <tr r="CZ66" s="2"/>
        <tr r="CZ66" s="2"/>
      </tp>
      <tp>
        <v>0</v>
        <stp/>
        <stp>P</stp>
        <stp>0</stp>
        <stp>IR</stp>
        <stp>BONDKSD7020120</stp>
        <stp>10년이하(당일)</stp>
        <stp>45523</stp>
        <stp/>
        <tr r="CZ53" s="2"/>
      </tp>
      <tp>
        <v>4.7169999999999996</v>
        <stp/>
        <stp>P</stp>
        <stp>0</stp>
        <stp>IR</stp>
        <stp>BONDKSD6010123</stp>
        <stp>10년이하(당일)</stp>
        <stp>45523</stp>
        <stp/>
        <tr r="CZ36" s="2"/>
        <tr r="CZ36" s="2"/>
      </tp>
      <tp>
        <v>0</v>
        <stp/>
        <stp>P</stp>
        <stp>0</stp>
        <stp>IR</stp>
        <stp>BONDKSD7010123</stp>
        <stp>50년이하(당일)</stp>
        <stp>45523</stp>
        <stp/>
        <tr r="DD66" s="2"/>
      </tp>
      <tp>
        <v>0</v>
        <stp/>
        <stp>P</stp>
        <stp>0</stp>
        <stp>IR</stp>
        <stp>BONDKSD7020120</stp>
        <stp>50년이하(당일)</stp>
        <stp>45523</stp>
        <stp/>
        <tr r="DD53" s="2"/>
      </tp>
      <tp>
        <v>0</v>
        <stp/>
        <stp>P</stp>
        <stp>0</stp>
        <stp>IR</stp>
        <stp>BONDKSD6010123</stp>
        <stp>50년이하(당일)</stp>
        <stp>45523</stp>
        <stp/>
        <tr r="DD36" s="2"/>
      </tp>
      <tp>
        <v>0</v>
        <stp/>
        <stp>P</stp>
        <stp>0</stp>
        <stp>IR</stp>
        <stp>BONDKSD8010120</stp>
        <stp>50년이하(당일)</stp>
        <stp>45523</stp>
        <stp/>
        <tr r="DD75" s="2"/>
      </tp>
      <tp t="s">
        <v xml:space="preserve"> </v>
        <stp/>
        <stp>P</stp>
        <stp>0</stp>
        <stp>IR</stp>
        <stp>BONDKSD8010120</stp>
        <stp>10년이하(당일)</stp>
        <stp>45523</stp>
        <stp/>
        <tr r="CZ75" s="2"/>
        <tr r="CZ75" s="2"/>
      </tp>
      <tp t="s">
        <v xml:space="preserve"> </v>
        <stp/>
        <stp>P</stp>
        <stp>0</stp>
        <stp>IR</stp>
        <stp>BONDKSD8010120</stp>
        <stp>20년이하(당일)</stp>
        <stp>45523</stp>
        <stp/>
        <tr r="DB75" s="2"/>
        <tr r="DB75" s="2"/>
      </tp>
      <tp t="s">
        <v xml:space="preserve"> </v>
        <stp/>
        <stp>P</stp>
        <stp>0</stp>
        <stp>IR</stp>
        <stp>BONDKSD8010120</stp>
        <stp>30년이하(당일)</stp>
        <stp>45523</stp>
        <stp/>
        <tr r="DC75" s="2"/>
        <tr r="DC75" s="2"/>
      </tp>
      <tp>
        <v>0</v>
        <stp/>
        <stp>P</stp>
        <stp>0</stp>
        <stp>IR</stp>
        <stp>BONDKSD6010121</stp>
        <stp>20년이하(당일)</stp>
        <stp>45523</stp>
        <stp/>
        <tr r="DB34" s="2"/>
      </tp>
      <tp>
        <v>0</v>
        <stp/>
        <stp>P</stp>
        <stp>0</stp>
        <stp>IR</stp>
        <stp>BONDKSD7010121</stp>
        <stp>30년이하(당일)</stp>
        <stp>45523</stp>
        <stp/>
        <tr r="DC64" s="2"/>
      </tp>
      <tp>
        <v>0</v>
        <stp/>
        <stp>P</stp>
        <stp>0</stp>
        <stp>IR</stp>
        <stp>BONDKSD6010121</stp>
        <stp>30년이하(당일)</stp>
        <stp>45523</stp>
        <stp/>
        <tr r="DC34" s="2"/>
      </tp>
      <tp>
        <v>0</v>
        <stp/>
        <stp>P</stp>
        <stp>0</stp>
        <stp>IR</stp>
        <stp>BONDKSD7010121</stp>
        <stp>20년이하(당일)</stp>
        <stp>45523</stp>
        <stp/>
        <tr r="DB64" s="2"/>
      </tp>
      <tp>
        <v>3.8980000000000001</v>
        <stp/>
        <stp>P</stp>
        <stp>0</stp>
        <stp>IR</stp>
        <stp>BONDKSD7010121</stp>
        <stp>10년이하(당일)</stp>
        <stp>45523</stp>
        <stp/>
        <tr r="CZ64" s="2"/>
        <tr r="CZ64" s="2"/>
      </tp>
      <tp>
        <v>4.32</v>
        <stp/>
        <stp>P</stp>
        <stp>0</stp>
        <stp>IR</stp>
        <stp>BONDKSD6010121</stp>
        <stp>10년이하(당일)</stp>
        <stp>45523</stp>
        <stp/>
        <tr r="CZ34" s="2"/>
        <tr r="CZ34" s="2"/>
      </tp>
      <tp>
        <v>0</v>
        <stp/>
        <stp>P</stp>
        <stp>0</stp>
        <stp>IR</stp>
        <stp>BONDKSD7010121</stp>
        <stp>50년이하(당일)</stp>
        <stp>45523</stp>
        <stp/>
        <tr r="DD64" s="2"/>
      </tp>
      <tp>
        <v>0</v>
        <stp/>
        <stp>P</stp>
        <stp>0</stp>
        <stp>IR</stp>
        <stp>BONDKSD6010121</stp>
        <stp>50년이하(당일)</stp>
        <stp>45523</stp>
        <stp/>
        <tr r="DD34" s="2"/>
      </tp>
      <tp>
        <v>3.6970000000000001</v>
        <stp/>
        <stp>P</stp>
        <stp>0</stp>
        <stp>IR</stp>
        <stp>BONDKIS5043121</stp>
        <stp>10년이하(당일)</stp>
        <stp>45523</stp>
        <stp/>
        <tr r="BD28" s="2"/>
        <tr r="BD28" s="2"/>
      </tp>
      <tp t="s">
        <v/>
        <stp/>
        <stp>P</stp>
        <stp>0</stp>
        <stp>IR</stp>
        <stp>BONDKIS3043121</stp>
        <stp>50년이하(당일)</stp>
        <stp>45523</stp>
        <stp/>
        <tr r="BH17" s="2"/>
        <tr r="BH17" s="2"/>
      </tp>
      <tp t="s">
        <v/>
        <stp/>
        <stp>P</stp>
        <stp>0</stp>
        <stp>IR</stp>
        <stp>BONDKIS5043121</stp>
        <stp>30년이하(당일)</stp>
        <stp>45523</stp>
        <stp/>
        <tr r="BG28" s="2"/>
        <tr r="BG28" s="2"/>
      </tp>
      <tp>
        <v>3.96</v>
        <stp/>
        <stp>P</stp>
        <stp>0</stp>
        <stp>IR</stp>
        <stp>BONDKIS5043121</stp>
        <stp>20년이하(당일)</stp>
        <stp>45523</stp>
        <stp/>
        <tr r="BF28" s="2"/>
        <tr r="BF28" s="2"/>
      </tp>
      <tp t="s">
        <v/>
        <stp/>
        <stp>P</stp>
        <stp>0</stp>
        <stp>IR</stp>
        <stp>BONDKIS3043121</stp>
        <stp>30년이하(당일)</stp>
        <stp>45523</stp>
        <stp/>
        <tr r="BG17" s="2"/>
        <tr r="BG17" s="2"/>
      </tp>
      <tp t="s">
        <v/>
        <stp/>
        <stp>P</stp>
        <stp>0</stp>
        <stp>IR</stp>
        <stp>BONDKIS5043121</stp>
        <stp>50년이하(당일)</stp>
        <stp>45523</stp>
        <stp/>
        <tr r="BH28" s="2"/>
        <tr r="BH28" s="2"/>
      </tp>
      <tp>
        <v>3.3919999999999999</v>
        <stp/>
        <stp>P</stp>
        <stp>0</stp>
        <stp>IR</stp>
        <stp>BONDKIS3043121</stp>
        <stp>20년이하(당일)</stp>
        <stp>45523</stp>
        <stp/>
        <tr r="BF17" s="2"/>
        <tr r="BF17" s="2"/>
      </tp>
      <tp>
        <v>3.3490000000000002</v>
        <stp/>
        <stp>P</stp>
        <stp>0</stp>
        <stp>IR</stp>
        <stp>BONDKIS3043121</stp>
        <stp>10년이하(당일)</stp>
        <stp>45523</stp>
        <stp/>
        <tr r="BD17" s="2"/>
        <tr r="BD17" s="2"/>
      </tp>
      <tp>
        <v>4.3109999999999999</v>
        <stp/>
        <stp>P</stp>
        <stp>0</stp>
        <stp>IR</stp>
        <stp>BONDKIS5043123</stp>
        <stp>10년이하(당일)</stp>
        <stp>45523</stp>
        <stp/>
        <tr r="BD30" s="2"/>
        <tr r="BD30" s="2"/>
      </tp>
      <tp t="s">
        <v/>
        <stp/>
        <stp>P</stp>
        <stp>0</stp>
        <stp>IR</stp>
        <stp>BONDKIS3043123</stp>
        <stp>50년이하(당일)</stp>
        <stp>45523</stp>
        <stp/>
        <tr r="BH19" s="2"/>
        <tr r="BH19" s="2"/>
      </tp>
      <tp t="s">
        <v/>
        <stp/>
        <stp>P</stp>
        <stp>0</stp>
        <stp>IR</stp>
        <stp>BONDKIS5043123</stp>
        <stp>30년이하(당일)</stp>
        <stp>45523</stp>
        <stp/>
        <tr r="BG30" s="2"/>
        <tr r="BG30" s="2"/>
      </tp>
      <tp>
        <v>4.5540000000000003</v>
        <stp/>
        <stp>P</stp>
        <stp>0</stp>
        <stp>IR</stp>
        <stp>BONDKIS5043123</stp>
        <stp>20년이하(당일)</stp>
        <stp>45523</stp>
        <stp/>
        <tr r="BF30" s="2"/>
        <tr r="BF30" s="2"/>
      </tp>
      <tp t="s">
        <v/>
        <stp/>
        <stp>P</stp>
        <stp>0</stp>
        <stp>IR</stp>
        <stp>BONDKIS3043123</stp>
        <stp>30년이하(당일)</stp>
        <stp>45523</stp>
        <stp/>
        <tr r="BG19" s="2"/>
        <tr r="BG19" s="2"/>
      </tp>
      <tp t="s">
        <v/>
        <stp/>
        <stp>P</stp>
        <stp>0</stp>
        <stp>IR</stp>
        <stp>BONDKIS5043123</stp>
        <stp>50년이하(당일)</stp>
        <stp>45523</stp>
        <stp/>
        <tr r="BH30" s="2"/>
        <tr r="BH30" s="2"/>
      </tp>
      <tp>
        <v>3.6629999999999998</v>
        <stp/>
        <stp>P</stp>
        <stp>0</stp>
        <stp>IR</stp>
        <stp>BONDKIS3043123</stp>
        <stp>20년이하(당일)</stp>
        <stp>45523</stp>
        <stp/>
        <tr r="BF19" s="2"/>
        <tr r="BF19" s="2"/>
      </tp>
      <tp>
        <v>3.609</v>
        <stp/>
        <stp>P</stp>
        <stp>0</stp>
        <stp>IR</stp>
        <stp>BONDKIS3043123</stp>
        <stp>10년이하(당일)</stp>
        <stp>45523</stp>
        <stp/>
        <tr r="BD19" s="2"/>
        <tr r="BD19" s="2"/>
      </tp>
      <tp>
        <v>4.048</v>
        <stp/>
        <stp>P</stp>
        <stp>0</stp>
        <stp>IR</stp>
        <stp>BONDKIS5043122</stp>
        <stp>10년이하(당일)</stp>
        <stp>45523</stp>
        <stp/>
        <tr r="BD29" s="2"/>
        <tr r="BD29" s="2"/>
      </tp>
      <tp t="s">
        <v/>
        <stp/>
        <stp>P</stp>
        <stp>0</stp>
        <stp>IR</stp>
        <stp>BONDKIS3043122</stp>
        <stp>50년이하(당일)</stp>
        <stp>45523</stp>
        <stp/>
        <tr r="BH18" s="2"/>
        <tr r="BH18" s="2"/>
      </tp>
      <tp t="s">
        <v/>
        <stp/>
        <stp>P</stp>
        <stp>0</stp>
        <stp>IR</stp>
        <stp>BONDKIS5043122</stp>
        <stp>30년이하(당일)</stp>
        <stp>45523</stp>
        <stp/>
        <tr r="BG29" s="2"/>
        <tr r="BG29" s="2"/>
      </tp>
      <tp>
        <v>4.2859999999999996</v>
        <stp/>
        <stp>P</stp>
        <stp>0</stp>
        <stp>IR</stp>
        <stp>BONDKIS5043122</stp>
        <stp>20년이하(당일)</stp>
        <stp>45523</stp>
        <stp/>
        <tr r="BF29" s="2"/>
        <tr r="BF29" s="2"/>
      </tp>
      <tp t="s">
        <v/>
        <stp/>
        <stp>P</stp>
        <stp>0</stp>
        <stp>IR</stp>
        <stp>BONDKIS3043122</stp>
        <stp>30년이하(당일)</stp>
        <stp>45523</stp>
        <stp/>
        <tr r="BG18" s="2"/>
        <tr r="BG18" s="2"/>
      </tp>
      <tp t="s">
        <v/>
        <stp/>
        <stp>P</stp>
        <stp>0</stp>
        <stp>IR</stp>
        <stp>BONDKIS5043122</stp>
        <stp>50년이하(당일)</stp>
        <stp>45523</stp>
        <stp/>
        <tr r="BH29" s="2"/>
        <tr r="BH29" s="2"/>
      </tp>
      <tp>
        <v>3.5310000000000001</v>
        <stp/>
        <stp>P</stp>
        <stp>0</stp>
        <stp>IR</stp>
        <stp>BONDKIS3043122</stp>
        <stp>20년이하(당일)</stp>
        <stp>45523</stp>
        <stp/>
        <tr r="BF18" s="2"/>
        <tr r="BF18" s="2"/>
      </tp>
      <tp>
        <v>3.4889999999999999</v>
        <stp/>
        <stp>P</stp>
        <stp>0</stp>
        <stp>IR</stp>
        <stp>BONDKIS3043122</stp>
        <stp>10년이하(당일)</stp>
        <stp>45523</stp>
        <stp/>
        <tr r="BD18" s="2"/>
        <tr r="BD18" s="2"/>
      </tp>
      <tp>
        <v>4.8760000000000003</v>
        <stp/>
        <stp>P</stp>
        <stp>0</stp>
        <stp>IR</stp>
        <stp>BONDKIS6013121</stp>
        <stp>20년이하(당일)</stp>
        <stp>45523</stp>
        <stp/>
        <tr r="BF43" s="2"/>
        <tr r="BF43" s="2"/>
      </tp>
      <tp t="s">
        <v/>
        <stp/>
        <stp>P</stp>
        <stp>0</stp>
        <stp>IR</stp>
        <stp>BONDKIS6013121</stp>
        <stp>30년이하(당일)</stp>
        <stp>45523</stp>
        <stp/>
        <tr r="BG43" s="2"/>
        <tr r="BG43" s="2"/>
      </tp>
      <tp>
        <v>4.3209999999999997</v>
        <stp/>
        <stp>P</stp>
        <stp>0</stp>
        <stp>IR</stp>
        <stp>BONDKIS6013121</stp>
        <stp>10년이하(당일)</stp>
        <stp>45523</stp>
        <stp/>
        <tr r="BD43" s="2"/>
        <tr r="BD43" s="2"/>
      </tp>
      <tp t="s">
        <v/>
        <stp/>
        <stp>P</stp>
        <stp>0</stp>
        <stp>IR</stp>
        <stp>BONDKIS6013121</stp>
        <stp>50년이하(당일)</stp>
        <stp>45523</stp>
        <stp/>
        <tr r="BH43" s="2"/>
        <tr r="BH43" s="2"/>
      </tp>
      <tp t="s">
        <v/>
        <stp/>
        <stp>P</stp>
        <stp>0</stp>
        <stp>IR</stp>
        <stp>BONDKIS8010121</stp>
        <stp>50년이하(당일)</stp>
        <stp>45523</stp>
        <stp/>
        <tr r="BH74" s="2"/>
        <tr r="BH74" s="2"/>
      </tp>
      <tp>
        <v>4.3470000000000004</v>
        <stp/>
        <stp>P</stp>
        <stp>0</stp>
        <stp>IR</stp>
        <stp>BONDKIS8010121</stp>
        <stp>10년이하(당일)</stp>
        <stp>45523</stp>
        <stp/>
        <tr r="BD74" s="2"/>
        <tr r="BD74" s="2"/>
      </tp>
      <tp>
        <v>4.8609999999999998</v>
        <stp/>
        <stp>P</stp>
        <stp>0</stp>
        <stp>IR</stp>
        <stp>BONDKIS8010121</stp>
        <stp>20년이하(당일)</stp>
        <stp>45523</stp>
        <stp/>
        <tr r="BF74" s="2"/>
        <tr r="BF74" s="2"/>
      </tp>
      <tp t="s">
        <v/>
        <stp/>
        <stp>P</stp>
        <stp>0</stp>
        <stp>IR</stp>
        <stp>BONDKIS8010121</stp>
        <stp>30년이하(당일)</stp>
        <stp>45523</stp>
        <stp/>
        <tr r="BG74" s="2"/>
        <tr r="BG74" s="2"/>
      </tp>
      <tp t="s">
        <v/>
        <stp/>
        <stp>P</stp>
        <stp>0</stp>
        <stp>IR</stp>
        <stp>BONDKIS7010121</stp>
        <stp>30년이하(당일)</stp>
        <stp>45523</stp>
        <stp/>
        <tr r="BG64" s="2"/>
        <tr r="BG64" s="2"/>
      </tp>
      <tp>
        <v>4.3449999999999998</v>
        <stp/>
        <stp>P</stp>
        <stp>0</stp>
        <stp>IR</stp>
        <stp>BONDKIS7010121</stp>
        <stp>20년이하(당일)</stp>
        <stp>45523</stp>
        <stp/>
        <tr r="BF64" s="2"/>
        <tr r="BF64" s="2"/>
      </tp>
      <tp>
        <v>3.915</v>
        <stp/>
        <stp>P</stp>
        <stp>0</stp>
        <stp>IR</stp>
        <stp>BONDKIS7010121</stp>
        <stp>10년이하(당일)</stp>
        <stp>45523</stp>
        <stp/>
        <tr r="BD64" s="2"/>
        <tr r="BD64" s="2"/>
      </tp>
      <tp t="s">
        <v/>
        <stp/>
        <stp>P</stp>
        <stp>0</stp>
        <stp>IR</stp>
        <stp>BONDKIS7010121</stp>
        <stp>50년이하(당일)</stp>
        <stp>45523</stp>
        <stp/>
        <tr r="BH64" s="2"/>
        <tr r="BH64" s="2"/>
      </tp>
      <tp>
        <v>5.1210000000000004</v>
        <stp/>
        <stp>P</stp>
        <stp>0</stp>
        <stp>IR</stp>
        <stp>BONDKIS6013122</stp>
        <stp>20년이하(당일)</stp>
        <stp>45523</stp>
        <stp/>
        <tr r="BF44" s="2"/>
        <tr r="BF44" s="2"/>
      </tp>
      <tp t="s">
        <v/>
        <stp/>
        <stp>P</stp>
        <stp>0</stp>
        <stp>IR</stp>
        <stp>BONDKIS6013122</stp>
        <stp>30년이하(당일)</stp>
        <stp>45523</stp>
        <stp/>
        <tr r="BG44" s="2"/>
        <tr r="BG44" s="2"/>
      </tp>
      <tp>
        <v>4.5019999999999998</v>
        <stp/>
        <stp>P</stp>
        <stp>0</stp>
        <stp>IR</stp>
        <stp>BONDKIS6013122</stp>
        <stp>10년이하(당일)</stp>
        <stp>45523</stp>
        <stp/>
        <tr r="BD44" s="2"/>
        <tr r="BD44" s="2"/>
      </tp>
      <tp t="s">
        <v/>
        <stp/>
        <stp>P</stp>
        <stp>0</stp>
        <stp>IR</stp>
        <stp>BONDKIS6013122</stp>
        <stp>50년이하(당일)</stp>
        <stp>45523</stp>
        <stp/>
        <tr r="BH44" s="2"/>
        <tr r="BH44" s="2"/>
      </tp>
      <tp t="s">
        <v/>
        <stp/>
        <stp>P</stp>
        <stp>0</stp>
        <stp>IR</stp>
        <stp>BONDKIS8010122</stp>
        <stp>50년이하(당일)</stp>
        <stp>45523</stp>
        <stp/>
        <tr r="BH75" s="2"/>
        <tr r="BH75" s="2"/>
      </tp>
      <tp>
        <v>4.6959999999999997</v>
        <stp/>
        <stp>P</stp>
        <stp>0</stp>
        <stp>IR</stp>
        <stp>BONDKIS8010122</stp>
        <stp>10년이하(당일)</stp>
        <stp>45523</stp>
        <stp/>
        <tr r="BD75" s="2"/>
        <tr r="BD75" s="2"/>
      </tp>
      <tp>
        <v>5.46</v>
        <stp/>
        <stp>P</stp>
        <stp>0</stp>
        <stp>IR</stp>
        <stp>BONDKIS8010122</stp>
        <stp>20년이하(당일)</stp>
        <stp>45523</stp>
        <stp/>
        <tr r="BF75" s="2"/>
        <tr r="BF75" s="2"/>
      </tp>
      <tp t="s">
        <v/>
        <stp/>
        <stp>P</stp>
        <stp>0</stp>
        <stp>IR</stp>
        <stp>BONDKIS8010122</stp>
        <stp>30년이하(당일)</stp>
        <stp>45523</stp>
        <stp/>
        <tr r="BG75" s="2"/>
        <tr r="BG75" s="2"/>
      </tp>
      <tp t="s">
        <v/>
        <stp/>
        <stp>P</stp>
        <stp>0</stp>
        <stp>IR</stp>
        <stp>BONDKIS7010122</stp>
        <stp>30년이하(당일)</stp>
        <stp>45523</stp>
        <stp/>
        <tr r="BG65" s="2"/>
        <tr r="BG65" s="2"/>
      </tp>
      <tp>
        <v>4.9340000000000002</v>
        <stp/>
        <stp>P</stp>
        <stp>0</stp>
        <stp>IR</stp>
        <stp>BONDKIS7010122</stp>
        <stp>20년이하(당일)</stp>
        <stp>45523</stp>
        <stp/>
        <tr r="BF65" s="2"/>
        <tr r="BF65" s="2"/>
      </tp>
      <tp>
        <v>4.2539999999999996</v>
        <stp/>
        <stp>P</stp>
        <stp>0</stp>
        <stp>IR</stp>
        <stp>BONDKIS7010122</stp>
        <stp>10년이하(당일)</stp>
        <stp>45523</stp>
        <stp/>
        <tr r="BD65" s="2"/>
        <tr r="BD65" s="2"/>
      </tp>
      <tp t="s">
        <v/>
        <stp/>
        <stp>P</stp>
        <stp>0</stp>
        <stp>IR</stp>
        <stp>BONDKIS7010122</stp>
        <stp>50년이하(당일)</stp>
        <stp>45523</stp>
        <stp/>
        <tr r="BH65" s="2"/>
        <tr r="BH65" s="2"/>
      </tp>
      <tp>
        <v>5.3479999999999999</v>
        <stp/>
        <stp>P</stp>
        <stp>0</stp>
        <stp>IR</stp>
        <stp>BONDKIS6013123</stp>
        <stp>20년이하(당일)</stp>
        <stp>45523</stp>
        <stp/>
        <tr r="BF45" s="2"/>
        <tr r="BF45" s="2"/>
      </tp>
      <tp t="s">
        <v/>
        <stp/>
        <stp>P</stp>
        <stp>0</stp>
        <stp>IR</stp>
        <stp>BONDKIS6013123</stp>
        <stp>30년이하(당일)</stp>
        <stp>45523</stp>
        <stp/>
        <tr r="BG45" s="2"/>
        <tr r="BG45" s="2"/>
      </tp>
      <tp>
        <v>4.702</v>
        <stp/>
        <stp>P</stp>
        <stp>0</stp>
        <stp>IR</stp>
        <stp>BONDKIS6013123</stp>
        <stp>10년이하(당일)</stp>
        <stp>45523</stp>
        <stp/>
        <tr r="BD45" s="2"/>
        <tr r="BD45" s="2"/>
      </tp>
      <tp t="s">
        <v/>
        <stp/>
        <stp>P</stp>
        <stp>0</stp>
        <stp>IR</stp>
        <stp>BONDKIS6013123</stp>
        <stp>50년이하(당일)</stp>
        <stp>45523</stp>
        <stp/>
        <tr r="BH45" s="2"/>
        <tr r="BH45" s="2"/>
      </tp>
      <tp t="s">
        <v/>
        <stp/>
        <stp>P</stp>
        <stp>0</stp>
        <stp>IR</stp>
        <stp>BONDKIS8010123</stp>
        <stp>50년이하(당일)</stp>
        <stp>45523</stp>
        <stp/>
        <tr r="BH76" s="2"/>
        <tr r="BH76" s="2"/>
      </tp>
      <tp>
        <v>5.0960000000000001</v>
        <stp/>
        <stp>P</stp>
        <stp>0</stp>
        <stp>IR</stp>
        <stp>BONDKIS8010123</stp>
        <stp>10년이하(당일)</stp>
        <stp>45523</stp>
        <stp/>
        <tr r="BD76" s="2"/>
        <tr r="BD76" s="2"/>
      </tp>
      <tp>
        <v>6.032</v>
        <stp/>
        <stp>P</stp>
        <stp>0</stp>
        <stp>IR</stp>
        <stp>BONDKIS8010123</stp>
        <stp>20년이하(당일)</stp>
        <stp>45523</stp>
        <stp/>
        <tr r="BF76" s="2"/>
        <tr r="BF76" s="2"/>
      </tp>
      <tp t="s">
        <v/>
        <stp/>
        <stp>P</stp>
        <stp>0</stp>
        <stp>IR</stp>
        <stp>BONDKIS8010123</stp>
        <stp>30년이하(당일)</stp>
        <stp>45523</stp>
        <stp/>
        <tr r="BG76" s="2"/>
        <tr r="BG76" s="2"/>
      </tp>
      <tp t="s">
        <v/>
        <stp/>
        <stp>P</stp>
        <stp>0</stp>
        <stp>IR</stp>
        <stp>BONDKIS7010123</stp>
        <stp>30년이하(당일)</stp>
        <stp>45523</stp>
        <stp/>
        <tr r="BG66" s="2"/>
        <tr r="BG66" s="2"/>
      </tp>
      <tp t="s">
        <v/>
        <stp/>
        <stp>P</stp>
        <stp>0</stp>
        <stp>IR</stp>
        <stp>BONDKIS7020120</stp>
        <stp>30년이하(당일)</stp>
        <stp>45523</stp>
        <stp/>
        <tr r="BG53" s="2"/>
        <tr r="BG53" s="2"/>
      </tp>
      <tp>
        <v>5.4660000000000002</v>
        <stp/>
        <stp>P</stp>
        <stp>0</stp>
        <stp>IR</stp>
        <stp>BONDKIS7010123</stp>
        <stp>20년이하(당일)</stp>
        <stp>45523</stp>
        <stp/>
        <tr r="BF66" s="2"/>
        <tr r="BF66" s="2"/>
      </tp>
      <tp>
        <v>3.859</v>
        <stp/>
        <stp>P</stp>
        <stp>0</stp>
        <stp>IR</stp>
        <stp>BONDKIS7020120</stp>
        <stp>20년이하(당일)</stp>
        <stp>45523</stp>
        <stp/>
        <tr r="BF53" s="2"/>
        <tr r="BF53" s="2"/>
      </tp>
      <tp>
        <v>4.62</v>
        <stp/>
        <stp>P</stp>
        <stp>0</stp>
        <stp>IR</stp>
        <stp>BONDKIS7010123</stp>
        <stp>10년이하(당일)</stp>
        <stp>45523</stp>
        <stp/>
        <tr r="BD66" s="2"/>
        <tr r="BD66" s="2"/>
      </tp>
      <tp>
        <v>3.649</v>
        <stp/>
        <stp>P</stp>
        <stp>0</stp>
        <stp>IR</stp>
        <stp>BONDKIS7020120</stp>
        <stp>10년이하(당일)</stp>
        <stp>45523</stp>
        <stp/>
        <tr r="BD53" s="2"/>
        <tr r="BD53" s="2"/>
      </tp>
      <tp t="s">
        <v/>
        <stp/>
        <stp>P</stp>
        <stp>0</stp>
        <stp>IR</stp>
        <stp>BONDKIS7010123</stp>
        <stp>50년이하(당일)</stp>
        <stp>45523</stp>
        <stp/>
        <tr r="BH66" s="2"/>
        <tr r="BH66" s="2"/>
      </tp>
      <tp t="s">
        <v/>
        <stp/>
        <stp>P</stp>
        <stp>0</stp>
        <stp>IR</stp>
        <stp>BONDKIS7020120</stp>
        <stp>50년이하(당일)</stp>
        <stp>45523</stp>
        <stp/>
        <tr r="BH53" s="2"/>
        <tr r="BH53" s="2"/>
      </tp>
      <tp>
        <v>3.4449999999999998</v>
        <stp/>
        <stp>P</stp>
        <stp>0</stp>
        <stp>IR</stp>
        <stp>BONDKBPE304</stp>
        <stp>1.5년이하(당일)</stp>
        <stp>45523</stp>
        <stp/>
        <tr r="AG43" s="2"/>
        <tr r="AG43" s="2"/>
      </tp>
      <tp>
        <v>3.2919999999999998</v>
        <stp/>
        <stp>P</stp>
        <stp>0</stp>
        <stp>IR</stp>
        <stp>BONDKBPE144</stp>
        <stp>2.5년이하(당일)</stp>
        <stp>45523</stp>
        <stp/>
        <tr r="AI28" s="2"/>
        <tr r="AI28" s="2"/>
      </tp>
      <tp>
        <v>3.4449999999999998</v>
        <stp/>
        <stp>P</stp>
        <stp>0</stp>
        <stp>IR</stp>
        <stp>BONDKBPE204</stp>
        <stp>1.5년이하(당일)</stp>
        <stp>45523</stp>
        <stp/>
        <tr r="AG34" s="2"/>
        <tr r="AG34" s="2"/>
      </tp>
      <tp>
        <v>3.3519999999999999</v>
        <stp/>
        <stp>P</stp>
        <stp>0</stp>
        <stp>IR</stp>
        <stp>BONDKBPE144</stp>
        <stp>1.5년이하(당일)</stp>
        <stp>45523</stp>
        <stp/>
        <tr r="AG28" s="2"/>
        <tr r="AG28" s="2"/>
      </tp>
      <tp>
        <v>3.3690000000000002</v>
        <stp/>
        <stp>P</stp>
        <stp>0</stp>
        <stp>IR</stp>
        <stp>BONDKBPE204</stp>
        <stp>2.5년이하(당일)</stp>
        <stp>45523</stp>
        <stp/>
        <tr r="AI34" s="2"/>
        <tr r="AI34" s="2"/>
      </tp>
      <tp>
        <v>3.3690000000000002</v>
        <stp/>
        <stp>P</stp>
        <stp>0</stp>
        <stp>IR</stp>
        <stp>BONDKBPE304</stp>
        <stp>2.5년이하(당일)</stp>
        <stp>45523</stp>
        <stp/>
        <tr r="AI43" s="2"/>
        <tr r="AI43" s="2"/>
      </tp>
      <tp>
        <v>5.7779999999999996</v>
        <stp/>
        <stp>P</stp>
        <stp>0</stp>
        <stp>IR</stp>
        <stp>BONDKBPF144</stp>
        <stp>2.5년이하(당일)</stp>
        <stp>45523</stp>
        <stp/>
        <tr r="AI55" s="2"/>
        <tr r="AI55" s="2"/>
      </tp>
      <tp>
        <v>3.5169999999999999</v>
        <stp/>
        <stp>P</stp>
        <stp>0</stp>
        <stp>IR</stp>
        <stp>BONDKBPF124</stp>
        <stp>2.5년이하(당일)</stp>
        <stp>45523</stp>
        <stp/>
        <tr r="AI53" s="2"/>
        <tr r="AI53" s="2"/>
      </tp>
      <tp>
        <v>3.6429999999999998</v>
        <stp/>
        <stp>P</stp>
        <stp>0</stp>
        <stp>IR</stp>
        <stp>BONDKBPF134</stp>
        <stp>2.5년이하(당일)</stp>
        <stp>45523</stp>
        <stp/>
        <tr r="AI54" s="2"/>
        <tr r="AI54" s="2"/>
      </tp>
      <tp>
        <v>3.31</v>
        <stp/>
        <stp>P</stp>
        <stp>0</stp>
        <stp>IR</stp>
        <stp>BONDKBPF114</stp>
        <stp>2.5년이하(당일)</stp>
        <stp>45523</stp>
        <stp/>
        <tr r="AI52" s="2"/>
        <tr r="AI52" s="2"/>
      </tp>
      <tp>
        <v>4.9969999999999999</v>
        <stp/>
        <stp>P</stp>
        <stp>0</stp>
        <stp>IR</stp>
        <stp>BONDKBPF144</stp>
        <stp>1.5년이하(당일)</stp>
        <stp>45523</stp>
        <stp/>
        <tr r="AG55" s="2"/>
        <tr r="AG55" s="2"/>
      </tp>
      <tp>
        <v>3.3879999999999999</v>
        <stp/>
        <stp>P</stp>
        <stp>0</stp>
        <stp>IR</stp>
        <stp>BONDKBPF124</stp>
        <stp>1.5년이하(당일)</stp>
        <stp>45523</stp>
        <stp/>
        <tr r="AG53" s="2"/>
        <tr r="AG53" s="2"/>
      </tp>
      <tp>
        <v>3.5939999999999999</v>
        <stp/>
        <stp>P</stp>
        <stp>0</stp>
        <stp>IR</stp>
        <stp>BONDKBPF134</stp>
        <stp>1.5년이하(당일)</stp>
        <stp>45523</stp>
        <stp/>
        <tr r="AG54" s="2"/>
        <tr r="AG54" s="2"/>
      </tp>
      <tp>
        <v>3.3079999999999998</v>
        <stp/>
        <stp>P</stp>
        <stp>0</stp>
        <stp>IR</stp>
        <stp>BONDKBPF114</stp>
        <stp>1.5년이하(당일)</stp>
        <stp>45523</stp>
        <stp/>
        <tr r="AG52" s="2"/>
        <tr r="AG52" s="2"/>
      </tp>
      <tp>
        <v>3.302</v>
        <stp/>
        <stp>P</stp>
        <stp>0</stp>
        <stp>IR</stp>
        <stp>BONDFNP3030110</stp>
        <stp>9월이하(당일)</stp>
        <stp>45523</stp>
        <stp/>
        <tr r="CA16" s="2"/>
        <tr r="CA16" s="2"/>
      </tp>
      <tp>
        <v>6.5759999999999996</v>
        <stp/>
        <stp>P</stp>
        <stp>0</stp>
        <stp>IR</stp>
        <stp>BONDNIC9999116</stp>
        <stp>3월이하(당일)</stp>
        <stp>45523</stp>
        <stp/>
        <tr r="BI50" s="2"/>
        <tr r="BI50" s="2"/>
      </tp>
      <tp>
        <v>7.9290000000000003</v>
        <stp/>
        <stp>P</stp>
        <stp>0</stp>
        <stp>IR</stp>
        <stp>BONDNIC9999117</stp>
        <stp>3월이하(당일)</stp>
        <stp>45523</stp>
        <stp/>
        <tr r="BI51" s="2"/>
        <tr r="BI51" s="2"/>
      </tp>
      <tp>
        <v>5.1029999999999998</v>
        <stp/>
        <stp>P</stp>
        <stp>0</stp>
        <stp>IR</stp>
        <stp>BONDNIC9999114</stp>
        <stp>3월이하(당일)</stp>
        <stp>45523</stp>
        <stp/>
        <tr r="BI48" s="2"/>
        <tr r="BI48" s="2"/>
      </tp>
      <tp>
        <v>5.93</v>
        <stp/>
        <stp>P</stp>
        <stp>0</stp>
        <stp>IR</stp>
        <stp>BONDNIC9999115</stp>
        <stp>3월이하(당일)</stp>
        <stp>45523</stp>
        <stp/>
        <tr r="BI49" s="2"/>
        <tr r="BI49" s="2"/>
      </tp>
      <tp>
        <v>4.0149999999999997</v>
        <stp/>
        <stp>P</stp>
        <stp>0</stp>
        <stp>IR</stp>
        <stp>BONDNIC9999112</stp>
        <stp>3월이하(당일)</stp>
        <stp>45523</stp>
        <stp/>
        <tr r="BI46" s="2"/>
        <tr r="BI46" s="2"/>
      </tp>
      <tp>
        <v>4.5810000000000004</v>
        <stp/>
        <stp>P</stp>
        <stp>0</stp>
        <stp>IR</stp>
        <stp>BONDNIC9999113</stp>
        <stp>3월이하(당일)</stp>
        <stp>45523</stp>
        <stp/>
        <tr r="BI47" s="2"/>
        <tr r="BI47" s="2"/>
      </tp>
      <tp>
        <v>3.472</v>
        <stp/>
        <stp>P</stp>
        <stp>0</stp>
        <stp>IR</stp>
        <stp>BONDNIC9999110</stp>
        <stp>3월이하(당일)</stp>
        <stp>45523</stp>
        <stp/>
        <tr r="BI44" s="2"/>
        <tr r="BI44" s="2"/>
      </tp>
      <tp>
        <v>3.4980000000000002</v>
        <stp/>
        <stp>P</stp>
        <stp>0</stp>
        <stp>IR</stp>
        <stp>BONDNIC9999111</stp>
        <stp>3월이하(당일)</stp>
        <stp>45523</stp>
        <stp/>
        <tr r="BI45" s="2"/>
        <tr r="BI45" s="2"/>
      </tp>
      <tp>
        <v>3.2530000000000001</v>
        <stp/>
        <stp>P</stp>
        <stp>0</stp>
        <stp>IR</stp>
        <stp>BONDFNP2010000</stp>
        <stp>9월이하(당일)</stp>
        <stp>45523</stp>
        <stp/>
        <tr r="CA13" s="2"/>
        <tr r="CA13" s="2"/>
      </tp>
      <tp>
        <v>3.2530000000000001</v>
        <stp/>
        <stp>P</stp>
        <stp>0</stp>
        <stp>IR</stp>
        <stp>BONDFNP2020000</stp>
        <stp>9월이하(당일)</stp>
        <stp>45523</stp>
        <stp/>
        <tr r="CA14" s="2"/>
        <tr r="CA14" s="2"/>
      </tp>
      <tp>
        <v>3.4460000000000002</v>
        <stp/>
        <stp>P</stp>
        <stp>0</stp>
        <stp>IR</stp>
        <stp>BONDNIC9999118</stp>
        <stp>3월이하(당일)</stp>
        <stp>45523</stp>
        <stp/>
        <tr r="BI43" s="2"/>
        <tr r="BI43" s="2"/>
      </tp>
      <tp>
        <v>3.3559999999999999</v>
        <stp/>
        <stp>P</stp>
        <stp>0</stp>
        <stp>IR</stp>
        <stp>BONDFNP3040121</stp>
        <stp>9월이하(당일)</stp>
        <stp>45523</stp>
        <stp/>
        <tr r="CA17" s="2"/>
        <tr r="CA17" s="2"/>
      </tp>
      <tp>
        <v>3.4470000000000001</v>
        <stp/>
        <stp>P</stp>
        <stp>0</stp>
        <stp>IR</stp>
        <stp>BONDFNP3040122</stp>
        <stp>9월이하(당일)</stp>
        <stp>45523</stp>
        <stp/>
        <tr r="CA18" s="2"/>
        <tr r="CA18" s="2"/>
      </tp>
      <tp>
        <v>3.5840000000000001</v>
        <stp/>
        <stp>P</stp>
        <stp>0</stp>
        <stp>IR</stp>
        <stp>BONDFNP3040123</stp>
        <stp>9월이하(당일)</stp>
        <stp>45523</stp>
        <stp/>
        <tr r="CA19" s="2"/>
        <tr r="CA19" s="2"/>
      </tp>
      <tp>
        <v>5.9370000000000003</v>
        <stp/>
        <stp>P</stp>
        <stp>0</stp>
        <stp>IR</stp>
        <stp>BONDKIS9999116</stp>
        <stp>3월이하(당일)</stp>
        <stp>45523</stp>
        <stp/>
        <tr r="AS40" s="2"/>
        <tr r="AS40" s="2"/>
      </tp>
      <tp>
        <v>6.585</v>
        <stp/>
        <stp>P</stp>
        <stp>0</stp>
        <stp>IR</stp>
        <stp>BONDKIS9999117</stp>
        <stp>3월이하(당일)</stp>
        <stp>45523</stp>
        <stp/>
        <tr r="AS41" s="2"/>
        <tr r="AS41" s="2"/>
      </tp>
      <tp>
        <v>4.548</v>
        <stp/>
        <stp>P</stp>
        <stp>0</stp>
        <stp>IR</stp>
        <stp>BONDKIS9999114</stp>
        <stp>3월이하(당일)</stp>
        <stp>45523</stp>
        <stp/>
        <tr r="AS38" s="2"/>
        <tr r="AS38" s="2"/>
      </tp>
      <tp>
        <v>5.0750000000000002</v>
        <stp/>
        <stp>P</stp>
        <stp>0</stp>
        <stp>IR</stp>
        <stp>BONDKIS9999115</stp>
        <stp>3월이하(당일)</stp>
        <stp>45523</stp>
        <stp/>
        <tr r="AS39" s="2"/>
        <tr r="AS39" s="2"/>
      </tp>
      <tp>
        <v>3.4820000000000002</v>
        <stp/>
        <stp>P</stp>
        <stp>0</stp>
        <stp>IR</stp>
        <stp>BONDKIS9999112</stp>
        <stp>3월이하(당일)</stp>
        <stp>45523</stp>
        <stp/>
        <tr r="AS36" s="2"/>
        <tr r="AS36" s="2"/>
      </tp>
      <tp>
        <v>4.0010000000000003</v>
        <stp/>
        <stp>P</stp>
        <stp>0</stp>
        <stp>IR</stp>
        <stp>BONDKIS9999113</stp>
        <stp>3월이하(당일)</stp>
        <stp>45523</stp>
        <stp/>
        <tr r="AS37" s="2"/>
        <tr r="AS37" s="2"/>
      </tp>
      <tp>
        <v>3.4649999999999999</v>
        <stp/>
        <stp>P</stp>
        <stp>0</stp>
        <stp>IR</stp>
        <stp>BONDKIS9999111</stp>
        <stp>3월이하(당일)</stp>
        <stp>45523</stp>
        <stp/>
        <tr r="AS35" s="2"/>
        <tr r="AS35" s="2"/>
      </tp>
      <tp>
        <v>7.9880000000000004</v>
        <stp/>
        <stp>P</stp>
        <stp>0</stp>
        <stp>IR</stp>
        <stp>BONDKIS9999118</stp>
        <stp>3월이하(당일)</stp>
        <stp>45523</stp>
        <stp/>
        <tr r="AS42" s="2"/>
        <tr r="AS42" s="2"/>
      </tp>
      <tp>
        <v>3.419</v>
        <stp/>
        <stp>P</stp>
        <stp>0</stp>
        <stp>IR</stp>
        <stp>BONDKIS9999119</stp>
        <stp>3월이하(당일)</stp>
        <stp>45523</stp>
        <stp/>
        <tr r="AS34" s="2"/>
        <tr r="AS34" s="2"/>
      </tp>
      <tp>
        <v>3.56</v>
        <stp/>
        <stp>P</stp>
        <stp>0</stp>
        <stp>IR</stp>
        <stp>BONDNIC3040113</stp>
        <stp>9월이하(당일)</stp>
        <stp>45523</stp>
        <stp/>
        <tr r="BK19" s="2"/>
        <tr r="BK19" s="2"/>
      </tp>
      <tp>
        <v>3.431</v>
        <stp/>
        <stp>P</stp>
        <stp>0</stp>
        <stp>IR</stp>
        <stp>BONDNIC3040112</stp>
        <stp>9월이하(당일)</stp>
        <stp>45523</stp>
        <stp/>
        <tr r="BK18" s="2"/>
        <tr r="BK18" s="2"/>
      </tp>
      <tp>
        <v>3.34</v>
        <stp/>
        <stp>P</stp>
        <stp>0</stp>
        <stp>IR</stp>
        <stp>BONDNIC3040111</stp>
        <stp>9월이하(당일)</stp>
        <stp>45523</stp>
        <stp/>
        <tr r="BK17" s="2"/>
        <tr r="BK17" s="2"/>
      </tp>
      <tp>
        <v>3.3029999999999999</v>
        <stp/>
        <stp>P</stp>
        <stp>0</stp>
        <stp>IR</stp>
        <stp>BONDNIC3030110</stp>
        <stp>9월이하(당일)</stp>
        <stp>45523</stp>
        <stp/>
        <tr r="BK16" s="2"/>
        <tr r="BK16" s="2"/>
      </tp>
      <tp>
        <v>3.4689999999999999</v>
        <stp/>
        <stp>P</stp>
        <stp>0</stp>
        <stp>IR</stp>
        <stp>BONDFNP9999111</stp>
        <stp>3월이하(당일)</stp>
        <stp>45523</stp>
        <stp/>
        <tr r="BY45" s="2"/>
        <tr r="BY45" s="2"/>
      </tp>
      <tp>
        <v>3.4409999999999998</v>
        <stp/>
        <stp>P</stp>
        <stp>0</stp>
        <stp>IR</stp>
        <stp>BONDFNP9999110</stp>
        <stp>3월이하(당일)</stp>
        <stp>45523</stp>
        <stp/>
        <tr r="BY44" s="2"/>
        <tr r="BY44" s="2"/>
      </tp>
      <tp>
        <v>4.5609999999999999</v>
        <stp/>
        <stp>P</stp>
        <stp>0</stp>
        <stp>IR</stp>
        <stp>BONDFNP9999113</stp>
        <stp>3월이하(당일)</stp>
        <stp>45523</stp>
        <stp/>
        <tr r="BY47" s="2"/>
        <tr r="BY47" s="2"/>
      </tp>
      <tp>
        <v>3.9870000000000001</v>
        <stp/>
        <stp>P</stp>
        <stp>0</stp>
        <stp>IR</stp>
        <stp>BONDFNP9999112</stp>
        <stp>3월이하(당일)</stp>
        <stp>45523</stp>
        <stp/>
        <tr r="BY46" s="2"/>
        <tr r="BY46" s="2"/>
      </tp>
      <tp>
        <v>5.9240000000000004</v>
        <stp/>
        <stp>P</stp>
        <stp>0</stp>
        <stp>IR</stp>
        <stp>BONDFNP9999115</stp>
        <stp>3월이하(당일)</stp>
        <stp>45523</stp>
        <stp/>
        <tr r="BY49" s="2"/>
        <tr r="BY49" s="2"/>
      </tp>
      <tp>
        <v>5.0789999999999997</v>
        <stp/>
        <stp>P</stp>
        <stp>0</stp>
        <stp>IR</stp>
        <stp>BONDFNP9999114</stp>
        <stp>3월이하(당일)</stp>
        <stp>45523</stp>
        <stp/>
        <tr r="BY48" s="2"/>
        <tr r="BY48" s="2"/>
      </tp>
      <tp>
        <v>7.8490000000000002</v>
        <stp/>
        <stp>P</stp>
        <stp>0</stp>
        <stp>IR</stp>
        <stp>BONDFNP9999117</stp>
        <stp>3월이하(당일)</stp>
        <stp>45523</stp>
        <stp/>
        <tr r="BY51" s="2"/>
        <tr r="BY51" s="2"/>
      </tp>
      <tp>
        <v>6.569</v>
        <stp/>
        <stp>P</stp>
        <stp>0</stp>
        <stp>IR</stp>
        <stp>BONDFNP9999116</stp>
        <stp>3월이하(당일)</stp>
        <stp>45523</stp>
        <stp/>
        <tr r="BY50" s="2"/>
        <tr r="BY50" s="2"/>
      </tp>
      <tp>
        <v>3.4169999999999998</v>
        <stp/>
        <stp>P</stp>
        <stp>0</stp>
        <stp>IR</stp>
        <stp>BONDFNP9999118</stp>
        <stp>3월이하(당일)</stp>
        <stp>45523</stp>
        <stp/>
        <tr r="BY43" s="2"/>
        <tr r="BY43" s="2"/>
      </tp>
      <tp>
        <v>3.26</v>
        <stp/>
        <stp>P</stp>
        <stp>0</stp>
        <stp>IR</stp>
        <stp>BONDNIC2020000</stp>
        <stp>9월이하(당일)</stp>
        <stp>45523</stp>
        <stp/>
        <tr r="BK14" s="2"/>
        <tr r="BK14" s="2"/>
      </tp>
      <tp>
        <v>3.26</v>
        <stp/>
        <stp>P</stp>
        <stp>0</stp>
        <stp>IR</stp>
        <stp>BONDNIC2010000</stp>
        <stp>9월이하(당일)</stp>
        <stp>45523</stp>
        <stp/>
        <tr r="BK13" s="2"/>
        <tr r="BK13" s="2"/>
      </tp>
      <tp>
        <v>3.2559999999999998</v>
        <stp/>
        <stp>P</stp>
        <stp>0</stp>
        <stp>IR</stp>
        <stp>BONDKIS2020000</stp>
        <stp>9월이하(당일)</stp>
        <stp>45523</stp>
        <stp/>
        <tr r="AU14" s="2"/>
        <tr r="AU14" s="2"/>
      </tp>
      <tp>
        <v>3.2559999999999998</v>
        <stp/>
        <stp>P</stp>
        <stp>0</stp>
        <stp>IR</stp>
        <stp>BONDKIS2010000</stp>
        <stp>9월이하(당일)</stp>
        <stp>45523</stp>
        <stp/>
        <tr r="AU13" s="2"/>
        <tr r="AU13" s="2"/>
      </tp>
      <tp>
        <v>3.2549999999999999</v>
        <stp/>
        <stp>P</stp>
        <stp>0</stp>
        <stp>IR</stp>
        <stp>BONDKSD2010000</stp>
        <stp>9월이하(당일)</stp>
        <stp>45523</stp>
        <stp/>
        <tr r="CQ13" s="2"/>
        <tr r="CQ13" s="2"/>
      </tp>
      <tp>
        <v>3.2549999999999999</v>
        <stp/>
        <stp>P</stp>
        <stp>0</stp>
        <stp>IR</stp>
        <stp>BONDKSD2020000</stp>
        <stp>9월이하(당일)</stp>
        <stp>45523</stp>
        <stp/>
        <tr r="CQ14" s="2"/>
        <tr r="CQ14" s="2"/>
      </tp>
      <tp>
        <v>3.2970000000000002</v>
        <stp/>
        <stp>P</stp>
        <stp>0</stp>
        <stp>IR</stp>
        <stp>BONDKIS3033110</stp>
        <stp>9월이하(당일)</stp>
        <stp>45523</stp>
        <stp/>
        <tr r="AU16" s="2"/>
        <tr r="AU16" s="2"/>
      </tp>
      <tp>
        <v>3.2989999999999999</v>
        <stp/>
        <stp>P</stp>
        <stp>0</stp>
        <stp>IR</stp>
        <stp>BONDKSD3030110</stp>
        <stp>9월이하(당일)</stp>
        <stp>45523</stp>
        <stp/>
        <tr r="CQ16" s="2"/>
        <tr r="CQ16" s="2"/>
      </tp>
      <tp>
        <v>3.6019999999999999</v>
        <stp/>
        <stp>P</stp>
        <stp>0</stp>
        <stp>IR</stp>
        <stp>BONDKIS3043123</stp>
        <stp>9월이하(당일)</stp>
        <stp>45523</stp>
        <stp/>
        <tr r="AU19" s="2"/>
        <tr r="AU19" s="2"/>
      </tp>
      <tp>
        <v>3.44</v>
        <stp/>
        <stp>P</stp>
        <stp>0</stp>
        <stp>IR</stp>
        <stp>BONDKIS3043122</stp>
        <stp>9월이하(당일)</stp>
        <stp>45523</stp>
        <stp/>
        <tr r="AU18" s="2"/>
        <tr r="AU18" s="2"/>
      </tp>
      <tp>
        <v>3.359</v>
        <stp/>
        <stp>P</stp>
        <stp>0</stp>
        <stp>IR</stp>
        <stp>BONDKIS3043121</stp>
        <stp>9월이하(당일)</stp>
        <stp>45523</stp>
        <stp/>
        <tr r="AU17" s="2"/>
        <tr r="AU17" s="2"/>
      </tp>
      <tp>
        <v>3.3559999999999999</v>
        <stp/>
        <stp>P</stp>
        <stp>0</stp>
        <stp>IR</stp>
        <stp>BONDKSD3040121</stp>
        <stp>9월이하(당일)</stp>
        <stp>45523</stp>
        <stp/>
        <tr r="CQ17" s="2"/>
        <tr r="CQ17" s="2"/>
      </tp>
      <tp>
        <v>3.4420000000000002</v>
        <stp/>
        <stp>P</stp>
        <stp>0</stp>
        <stp>IR</stp>
        <stp>BONDKSD3040120</stp>
        <stp>9월이하(당일)</stp>
        <stp>45523</stp>
        <stp/>
        <tr r="CQ18" s="2"/>
        <tr r="CQ18" s="2"/>
      </tp>
      <tp>
        <v>4.4859999999999998</v>
        <stp/>
        <stp>P</stp>
        <stp>0</stp>
        <stp>IR</stp>
        <stp>BONDKSD5050131</stp>
        <stp>10년이하(당일)</stp>
        <stp>45523</stp>
        <stp/>
        <tr r="CZ31" s="2"/>
        <tr r="CZ31" s="2"/>
      </tp>
      <tp>
        <v>0</v>
        <stp/>
        <stp>P</stp>
        <stp>0</stp>
        <stp>IR</stp>
        <stp>BONDKSD5050131</stp>
        <stp>30년이하(당일)</stp>
        <stp>45523</stp>
        <stp/>
        <tr r="DC31" s="2"/>
      </tp>
      <tp>
        <v>4.7389999999999999</v>
        <stp/>
        <stp>P</stp>
        <stp>0</stp>
        <stp>IR</stp>
        <stp>BONDKSD5050131</stp>
        <stp>20년이하(당일)</stp>
        <stp>45523</stp>
        <stp/>
        <tr r="DB31" s="2"/>
        <tr r="DB31" s="2"/>
      </tp>
      <tp>
        <v>0</v>
        <stp/>
        <stp>P</stp>
        <stp>0</stp>
        <stp>IR</stp>
        <stp>BONDKSD5050131</stp>
        <stp>50년이하(당일)</stp>
        <stp>45523</stp>
        <stp/>
        <tr r="DD31" s="2"/>
      </tp>
      <tp t="s">
        <v/>
        <stp/>
        <stp>P</stp>
        <stp>0</stp>
        <stp>IR</stp>
        <stp>BONDKSD8010132</stp>
        <stp>50년이하(당일)</stp>
        <stp>45523</stp>
        <stp/>
        <tr r="DD78" s="2"/>
        <tr r="DD78" s="2"/>
      </tp>
      <tp t="s">
        <v xml:space="preserve"> </v>
        <stp/>
        <stp>P</stp>
        <stp>0</stp>
        <stp>IR</stp>
        <stp>BONDKSD8010132</stp>
        <stp>10년이하(당일)</stp>
        <stp>45523</stp>
        <stp/>
        <tr r="CZ78" s="2"/>
        <tr r="CZ78" s="2"/>
      </tp>
      <tp t="s">
        <v xml:space="preserve"> </v>
        <stp/>
        <stp>P</stp>
        <stp>0</stp>
        <stp>IR</stp>
        <stp>BONDKSD8010132</stp>
        <stp>20년이하(당일)</stp>
        <stp>45523</stp>
        <stp/>
        <tr r="DB78" s="2"/>
        <tr r="DB78" s="2"/>
      </tp>
      <tp t="s">
        <v xml:space="preserve"> </v>
        <stp/>
        <stp>P</stp>
        <stp>0</stp>
        <stp>IR</stp>
        <stp>BONDKSD8010132</stp>
        <stp>30년이하(당일)</stp>
        <stp>45523</stp>
        <stp/>
        <tr r="DC78" s="2"/>
        <tr r="DC78" s="2"/>
      </tp>
      <tp>
        <v>0</v>
        <stp/>
        <stp>P</stp>
        <stp>0</stp>
        <stp>IR</stp>
        <stp>BONDKSD6010132</stp>
        <stp>20년이하(당일)</stp>
        <stp>45523</stp>
        <stp/>
        <tr r="DB38" s="2"/>
      </tp>
      <tp>
        <v>0</v>
        <stp/>
        <stp>P</stp>
        <stp>0</stp>
        <stp>IR</stp>
        <stp>BONDKSD7010132</stp>
        <stp>30년이하(당일)</stp>
        <stp>45523</stp>
        <stp/>
        <tr r="DC68" s="2"/>
      </tp>
      <tp>
        <v>0</v>
        <stp/>
        <stp>P</stp>
        <stp>0</stp>
        <stp>IR</stp>
        <stp>BONDKSD6010132</stp>
        <stp>30년이하(당일)</stp>
        <stp>45523</stp>
        <stp/>
        <tr r="DC38" s="2"/>
      </tp>
      <tp>
        <v>0</v>
        <stp/>
        <stp>P</stp>
        <stp>0</stp>
        <stp>IR</stp>
        <stp>BONDKSD7010132</stp>
        <stp>20년이하(당일)</stp>
        <stp>45523</stp>
        <stp/>
        <tr r="DB68" s="2"/>
      </tp>
      <tp>
        <v>5.6059999999999999</v>
        <stp/>
        <stp>P</stp>
        <stp>0</stp>
        <stp>IR</stp>
        <stp>BONDKSD7010132</stp>
        <stp>10년이하(당일)</stp>
        <stp>45523</stp>
        <stp/>
        <tr r="CZ68" s="2"/>
        <tr r="CZ68" s="2"/>
      </tp>
      <tp>
        <v>5.8289999999999997</v>
        <stp/>
        <stp>P</stp>
        <stp>0</stp>
        <stp>IR</stp>
        <stp>BONDKSD6010132</stp>
        <stp>10년이하(당일)</stp>
        <stp>45523</stp>
        <stp/>
        <tr r="CZ38" s="2"/>
        <tr r="CZ38" s="2"/>
      </tp>
      <tp>
        <v>0</v>
        <stp/>
        <stp>P</stp>
        <stp>0</stp>
        <stp>IR</stp>
        <stp>BONDKSD7010132</stp>
        <stp>50년이하(당일)</stp>
        <stp>45523</stp>
        <stp/>
        <tr r="DD68" s="2"/>
      </tp>
      <tp>
        <v>0</v>
        <stp/>
        <stp>P</stp>
        <stp>0</stp>
        <stp>IR</stp>
        <stp>BONDKSD6010132</stp>
        <stp>50년이하(당일)</stp>
        <stp>45523</stp>
        <stp/>
        <tr r="DD38" s="2"/>
      </tp>
      <tp t="s">
        <v/>
        <stp/>
        <stp>P</stp>
        <stp>0</stp>
        <stp>IR</stp>
        <stp>BONDKSD8010133</stp>
        <stp>50년이하(당일)</stp>
        <stp>45523</stp>
        <stp/>
        <tr r="DD79" s="2"/>
        <tr r="DD79" s="2"/>
      </tp>
      <tp t="s">
        <v xml:space="preserve"> </v>
        <stp/>
        <stp>P</stp>
        <stp>0</stp>
        <stp>IR</stp>
        <stp>BONDKSD8010133</stp>
        <stp>10년이하(당일)</stp>
        <stp>45523</stp>
        <stp/>
        <tr r="CZ79" s="2"/>
        <tr r="CZ79" s="2"/>
      </tp>
      <tp t="s">
        <v xml:space="preserve"> </v>
        <stp/>
        <stp>P</stp>
        <stp>0</stp>
        <stp>IR</stp>
        <stp>BONDKSD8010133</stp>
        <stp>20년이하(당일)</stp>
        <stp>45523</stp>
        <stp/>
        <tr r="DB79" s="2"/>
        <tr r="DB79" s="2"/>
      </tp>
      <tp t="s">
        <v xml:space="preserve"> </v>
        <stp/>
        <stp>P</stp>
        <stp>0</stp>
        <stp>IR</stp>
        <stp>BONDKSD8010133</stp>
        <stp>30년이하(당일)</stp>
        <stp>45523</stp>
        <stp/>
        <tr r="DC79" s="2"/>
        <tr r="DC79" s="2"/>
      </tp>
      <tp>
        <v>0</v>
        <stp/>
        <stp>P</stp>
        <stp>0</stp>
        <stp>IR</stp>
        <stp>BONDKSD6010133</stp>
        <stp>20년이하(당일)</stp>
        <stp>45523</stp>
        <stp/>
        <tr r="DB39" s="2"/>
      </tp>
      <tp>
        <v>0</v>
        <stp/>
        <stp>P</stp>
        <stp>0</stp>
        <stp>IR</stp>
        <stp>BONDKSD7010133</stp>
        <stp>30년이하(당일)</stp>
        <stp>45523</stp>
        <stp/>
        <tr r="DC69" s="2"/>
      </tp>
      <tp>
        <v>0</v>
        <stp/>
        <stp>P</stp>
        <stp>0</stp>
        <stp>IR</stp>
        <stp>BONDKSD7020130</stp>
        <stp>30년이하(당일)</stp>
        <stp>45523</stp>
        <stp/>
        <tr r="DC54" s="2"/>
      </tp>
      <tp>
        <v>0</v>
        <stp/>
        <stp>P</stp>
        <stp>0</stp>
        <stp>IR</stp>
        <stp>BONDKSD6010133</stp>
        <stp>30년이하(당일)</stp>
        <stp>45523</stp>
        <stp/>
        <tr r="DC39" s="2"/>
      </tp>
      <tp>
        <v>0</v>
        <stp/>
        <stp>P</stp>
        <stp>0</stp>
        <stp>IR</stp>
        <stp>BONDKSD7010133</stp>
        <stp>20년이하(당일)</stp>
        <stp>45523</stp>
        <stp/>
        <tr r="DB69" s="2"/>
      </tp>
      <tp>
        <v>0</v>
        <stp/>
        <stp>P</stp>
        <stp>0</stp>
        <stp>IR</stp>
        <stp>BONDKSD7020130</stp>
        <stp>20년이하(당일)</stp>
        <stp>45523</stp>
        <stp/>
        <tr r="DB54" s="2"/>
      </tp>
      <tp>
        <v>6.12</v>
        <stp/>
        <stp>P</stp>
        <stp>0</stp>
        <stp>IR</stp>
        <stp>BONDKSD7010133</stp>
        <stp>10년이하(당일)</stp>
        <stp>45523</stp>
        <stp/>
        <tr r="CZ69" s="2"/>
        <tr r="CZ69" s="2"/>
      </tp>
      <tp>
        <v>0</v>
        <stp/>
        <stp>P</stp>
        <stp>0</stp>
        <stp>IR</stp>
        <stp>BONDKSD7020130</stp>
        <stp>10년이하(당일)</stp>
        <stp>45523</stp>
        <stp/>
        <tr r="CZ54" s="2"/>
      </tp>
      <tp>
        <v>6.4809999999999999</v>
        <stp/>
        <stp>P</stp>
        <stp>0</stp>
        <stp>IR</stp>
        <stp>BONDKSD6010133</stp>
        <stp>10년이하(당일)</stp>
        <stp>45523</stp>
        <stp/>
        <tr r="CZ39" s="2"/>
        <tr r="CZ39" s="2"/>
      </tp>
      <tp>
        <v>0</v>
        <stp/>
        <stp>P</stp>
        <stp>0</stp>
        <stp>IR</stp>
        <stp>BONDKSD7010133</stp>
        <stp>50년이하(당일)</stp>
        <stp>45523</stp>
        <stp/>
        <tr r="DD69" s="2"/>
      </tp>
      <tp>
        <v>0</v>
        <stp/>
        <stp>P</stp>
        <stp>0</stp>
        <stp>IR</stp>
        <stp>BONDKSD7020130</stp>
        <stp>50년이하(당일)</stp>
        <stp>45523</stp>
        <stp/>
        <tr r="DD54" s="2"/>
      </tp>
      <tp>
        <v>0</v>
        <stp/>
        <stp>P</stp>
        <stp>0</stp>
        <stp>IR</stp>
        <stp>BONDKSD6010133</stp>
        <stp>50년이하(당일)</stp>
        <stp>45523</stp>
        <stp/>
        <tr r="DD39" s="2"/>
      </tp>
      <tp>
        <v>0</v>
        <stp/>
        <stp>P</stp>
        <stp>0</stp>
        <stp>IR</stp>
        <stp>BONDKSD8010131</stp>
        <stp>50년이하(당일)</stp>
        <stp>45523</stp>
        <stp/>
        <tr r="DD77" s="2"/>
      </tp>
      <tp t="s">
        <v xml:space="preserve"> </v>
        <stp/>
        <stp>P</stp>
        <stp>0</stp>
        <stp>IR</stp>
        <stp>BONDKSD8010131</stp>
        <stp>10년이하(당일)</stp>
        <stp>45523</stp>
        <stp/>
        <tr r="CZ77" s="2"/>
        <tr r="CZ77" s="2"/>
      </tp>
      <tp t="s">
        <v xml:space="preserve"> </v>
        <stp/>
        <stp>P</stp>
        <stp>0</stp>
        <stp>IR</stp>
        <stp>BONDKSD8010131</stp>
        <stp>20년이하(당일)</stp>
        <stp>45523</stp>
        <stp/>
        <tr r="DB77" s="2"/>
        <tr r="DB77" s="2"/>
      </tp>
      <tp t="s">
        <v xml:space="preserve"> </v>
        <stp/>
        <stp>P</stp>
        <stp>0</stp>
        <stp>IR</stp>
        <stp>BONDKSD8010131</stp>
        <stp>30년이하(당일)</stp>
        <stp>45523</stp>
        <stp/>
        <tr r="DC77" s="2"/>
        <tr r="DC77" s="2"/>
      </tp>
      <tp>
        <v>0</v>
        <stp/>
        <stp>P</stp>
        <stp>0</stp>
        <stp>IR</stp>
        <stp>BONDKSD6010131</stp>
        <stp>20년이하(당일)</stp>
        <stp>45523</stp>
        <stp/>
        <tr r="DB37" s="2"/>
      </tp>
      <tp>
        <v>0</v>
        <stp/>
        <stp>P</stp>
        <stp>0</stp>
        <stp>IR</stp>
        <stp>BONDKSD7010131</stp>
        <stp>30년이하(당일)</stp>
        <stp>45523</stp>
        <stp/>
        <tr r="DC67" s="2"/>
      </tp>
      <tp>
        <v>0</v>
        <stp/>
        <stp>P</stp>
        <stp>0</stp>
        <stp>IR</stp>
        <stp>BONDKSD6010131</stp>
        <stp>30년이하(당일)</stp>
        <stp>45523</stp>
        <stp/>
        <tr r="DC37" s="2"/>
      </tp>
      <tp>
        <v>0</v>
        <stp/>
        <stp>P</stp>
        <stp>0</stp>
        <stp>IR</stp>
        <stp>BONDKSD7010131</stp>
        <stp>20년이하(당일)</stp>
        <stp>45523</stp>
        <stp/>
        <tr r="DB67" s="2"/>
      </tp>
      <tp>
        <v>5.1520000000000001</v>
        <stp/>
        <stp>P</stp>
        <stp>0</stp>
        <stp>IR</stp>
        <stp>BONDKSD7010131</stp>
        <stp>10년이하(당일)</stp>
        <stp>45523</stp>
        <stp/>
        <tr r="CZ67" s="2"/>
        <tr r="CZ67" s="2"/>
      </tp>
      <tp>
        <v>5.4080000000000004</v>
        <stp/>
        <stp>P</stp>
        <stp>0</stp>
        <stp>IR</stp>
        <stp>BONDKSD6010131</stp>
        <stp>10년이하(당일)</stp>
        <stp>45523</stp>
        <stp/>
        <tr r="CZ37" s="2"/>
        <tr r="CZ37" s="2"/>
      </tp>
      <tp>
        <v>0</v>
        <stp/>
        <stp>P</stp>
        <stp>0</stp>
        <stp>IR</stp>
        <stp>BONDKSD7010131</stp>
        <stp>50년이하(당일)</stp>
        <stp>45523</stp>
        <stp/>
        <tr r="DD67" s="2"/>
      </tp>
      <tp>
        <v>0</v>
        <stp/>
        <stp>P</stp>
        <stp>0</stp>
        <stp>IR</stp>
        <stp>BONDKSD6010131</stp>
        <stp>50년이하(당일)</stp>
        <stp>45523</stp>
        <stp/>
        <tr r="DD37" s="2"/>
      </tp>
      <tp>
        <v>4.51</v>
        <stp/>
        <stp>P</stp>
        <stp>0</stp>
        <stp>IR</stp>
        <stp>BONDKIS5053131</stp>
        <stp>10년이하(당일)</stp>
        <stp>45523</stp>
        <stp/>
        <tr r="BD31" s="2"/>
        <tr r="BD31" s="2"/>
      </tp>
      <tp t="s">
        <v/>
        <stp/>
        <stp>P</stp>
        <stp>0</stp>
        <stp>IR</stp>
        <stp>BONDKIS5053131</stp>
        <stp>30년이하(당일)</stp>
        <stp>45523</stp>
        <stp/>
        <tr r="BG31" s="2"/>
        <tr r="BG31" s="2"/>
      </tp>
      <tp>
        <v>4.7619999999999996</v>
        <stp/>
        <stp>P</stp>
        <stp>0</stp>
        <stp>IR</stp>
        <stp>BONDKIS5053131</stp>
        <stp>20년이하(당일)</stp>
        <stp>45523</stp>
        <stp/>
        <tr r="BF31" s="2"/>
        <tr r="BF31" s="2"/>
      </tp>
      <tp t="s">
        <v/>
        <stp/>
        <stp>P</stp>
        <stp>0</stp>
        <stp>IR</stp>
        <stp>BONDKIS5053131</stp>
        <stp>50년이하(당일)</stp>
        <stp>45523</stp>
        <stp/>
        <tr r="BH31" s="2"/>
        <tr r="BH31" s="2"/>
      </tp>
      <tp>
        <v>4.66</v>
        <stp/>
        <stp>P</stp>
        <stp>0</stp>
        <stp>IR</stp>
        <stp>BONDKIS5053132</stp>
        <stp>10년이하(당일)</stp>
        <stp>45523</stp>
        <stp/>
        <tr r="BD32" s="2"/>
        <tr r="BD32" s="2"/>
      </tp>
      <tp t="s">
        <v/>
        <stp/>
        <stp>P</stp>
        <stp>0</stp>
        <stp>IR</stp>
        <stp>BONDKIS5053132</stp>
        <stp>30년이하(당일)</stp>
        <stp>45523</stp>
        <stp/>
        <tr r="BG32" s="2"/>
        <tr r="BG32" s="2"/>
      </tp>
      <tp>
        <v>4.9020000000000001</v>
        <stp/>
        <stp>P</stp>
        <stp>0</stp>
        <stp>IR</stp>
        <stp>BONDKIS5053132</stp>
        <stp>20년이하(당일)</stp>
        <stp>45523</stp>
        <stp/>
        <tr r="BF32" s="2"/>
        <tr r="BF32" s="2"/>
      </tp>
      <tp t="s">
        <v/>
        <stp/>
        <stp>P</stp>
        <stp>0</stp>
        <stp>IR</stp>
        <stp>BONDKIS5053132</stp>
        <stp>50년이하(당일)</stp>
        <stp>45523</stp>
        <stp/>
        <tr r="BH32" s="2"/>
        <tr r="BH32" s="2"/>
      </tp>
      <tp>
        <v>4.8019999999999996</v>
        <stp/>
        <stp>P</stp>
        <stp>0</stp>
        <stp>IR</stp>
        <stp>BONDKIS5053133</stp>
        <stp>10년이하(당일)</stp>
        <stp>45523</stp>
        <stp/>
        <tr r="BD33" s="2"/>
        <tr r="BD33" s="2"/>
      </tp>
      <tp t="s">
        <v/>
        <stp/>
        <stp>P</stp>
        <stp>0</stp>
        <stp>IR</stp>
        <stp>BONDKIS5053133</stp>
        <stp>30년이하(당일)</stp>
        <stp>45523</stp>
        <stp/>
        <tr r="BG33" s="2"/>
        <tr r="BG33" s="2"/>
      </tp>
      <tp>
        <v>5.0519999999999996</v>
        <stp/>
        <stp>P</stp>
        <stp>0</stp>
        <stp>IR</stp>
        <stp>BONDKIS5053133</stp>
        <stp>20년이하(당일)</stp>
        <stp>45523</stp>
        <stp/>
        <tr r="BF33" s="2"/>
        <tr r="BF33" s="2"/>
      </tp>
      <tp t="s">
        <v/>
        <stp/>
        <stp>P</stp>
        <stp>0</stp>
        <stp>IR</stp>
        <stp>BONDKIS5053133</stp>
        <stp>50년이하(당일)</stp>
        <stp>45523</stp>
        <stp/>
        <tr r="BH33" s="2"/>
        <tr r="BH33" s="2"/>
      </tp>
      <tp>
        <v>5.782</v>
        <stp/>
        <stp>P</stp>
        <stp>0</stp>
        <stp>IR</stp>
        <stp>BONDKIS6013131</stp>
        <stp>20년이하(당일)</stp>
        <stp>45523</stp>
        <stp/>
        <tr r="BF46" s="2"/>
        <tr r="BF46" s="2"/>
      </tp>
      <tp t="s">
        <v/>
        <stp/>
        <stp>P</stp>
        <stp>0</stp>
        <stp>IR</stp>
        <stp>BONDKIS6013131</stp>
        <stp>30년이하(당일)</stp>
        <stp>45523</stp>
        <stp/>
        <tr r="BG46" s="2"/>
        <tr r="BG46" s="2"/>
      </tp>
      <tp>
        <v>5.3949999999999996</v>
        <stp/>
        <stp>P</stp>
        <stp>0</stp>
        <stp>IR</stp>
        <stp>BONDKIS6013131</stp>
        <stp>10년이하(당일)</stp>
        <stp>45523</stp>
        <stp/>
        <tr r="BD46" s="2"/>
        <tr r="BD46" s="2"/>
      </tp>
      <tp t="s">
        <v/>
        <stp/>
        <stp>P</stp>
        <stp>0</stp>
        <stp>IR</stp>
        <stp>BONDKIS6013131</stp>
        <stp>50년이하(당일)</stp>
        <stp>45523</stp>
        <stp/>
        <tr r="BH46" s="2"/>
        <tr r="BH46" s="2"/>
      </tp>
      <tp t="s">
        <v/>
        <stp/>
        <stp>P</stp>
        <stp>0</stp>
        <stp>IR</stp>
        <stp>BONDKIS8010131</stp>
        <stp>50년이하(당일)</stp>
        <stp>45523</stp>
        <stp/>
        <tr r="BH77" s="2"/>
        <tr r="BH77" s="2"/>
      </tp>
      <tp>
        <v>5.6660000000000004</v>
        <stp/>
        <stp>P</stp>
        <stp>0</stp>
        <stp>IR</stp>
        <stp>BONDKIS8010131</stp>
        <stp>10년이하(당일)</stp>
        <stp>45523</stp>
        <stp/>
        <tr r="BD77" s="2"/>
        <tr r="BD77" s="2"/>
      </tp>
      <tp>
        <v>6.4809999999999999</v>
        <stp/>
        <stp>P</stp>
        <stp>0</stp>
        <stp>IR</stp>
        <stp>BONDKIS8010131</stp>
        <stp>20년이하(당일)</stp>
        <stp>45523</stp>
        <stp/>
        <tr r="BF77" s="2"/>
        <tr r="BF77" s="2"/>
      </tp>
      <tp t="s">
        <v/>
        <stp/>
        <stp>P</stp>
        <stp>0</stp>
        <stp>IR</stp>
        <stp>BONDKIS8010131</stp>
        <stp>30년이하(당일)</stp>
        <stp>45523</stp>
        <stp/>
        <tr r="BG77" s="2"/>
        <tr r="BG77" s="2"/>
      </tp>
      <tp t="s">
        <v/>
        <stp/>
        <stp>P</stp>
        <stp>0</stp>
        <stp>IR</stp>
        <stp>BONDKIS7010131</stp>
        <stp>30년이하(당일)</stp>
        <stp>45523</stp>
        <stp/>
        <tr r="BG67" s="2"/>
        <tr r="BG67" s="2"/>
      </tp>
      <tp>
        <v>5.8849999999999998</v>
        <stp/>
        <stp>P</stp>
        <stp>0</stp>
        <stp>IR</stp>
        <stp>BONDKIS7010131</stp>
        <stp>20년이하(당일)</stp>
        <stp>45523</stp>
        <stp/>
        <tr r="BF67" s="2"/>
        <tr r="BF67" s="2"/>
      </tp>
      <tp>
        <v>5.16</v>
        <stp/>
        <stp>P</stp>
        <stp>0</stp>
        <stp>IR</stp>
        <stp>BONDKIS7010131</stp>
        <stp>10년이하(당일)</stp>
        <stp>45523</stp>
        <stp/>
        <tr r="BD67" s="2"/>
        <tr r="BD67" s="2"/>
      </tp>
      <tp t="s">
        <v/>
        <stp/>
        <stp>P</stp>
        <stp>0</stp>
        <stp>IR</stp>
        <stp>BONDKIS7010131</stp>
        <stp>50년이하(당일)</stp>
        <stp>45523</stp>
        <stp/>
        <tr r="BH67" s="2"/>
        <tr r="BH67" s="2"/>
      </tp>
      <tp>
        <v>6.1529999999999996</v>
        <stp/>
        <stp>P</stp>
        <stp>0</stp>
        <stp>IR</stp>
        <stp>BONDKIS6013132</stp>
        <stp>20년이하(당일)</stp>
        <stp>45523</stp>
        <stp/>
        <tr r="BF47" s="2"/>
        <tr r="BF47" s="2"/>
      </tp>
      <tp t="s">
        <v/>
        <stp/>
        <stp>P</stp>
        <stp>0</stp>
        <stp>IR</stp>
        <stp>BONDKIS6013132</stp>
        <stp>30년이하(당일)</stp>
        <stp>45523</stp>
        <stp/>
        <tr r="BG47" s="2"/>
        <tr r="BG47" s="2"/>
      </tp>
      <tp>
        <v>5.8339999999999996</v>
        <stp/>
        <stp>P</stp>
        <stp>0</stp>
        <stp>IR</stp>
        <stp>BONDKIS6013132</stp>
        <stp>10년이하(당일)</stp>
        <stp>45523</stp>
        <stp/>
        <tr r="BD47" s="2"/>
        <tr r="BD47" s="2"/>
      </tp>
      <tp t="s">
        <v/>
        <stp/>
        <stp>P</stp>
        <stp>0</stp>
        <stp>IR</stp>
        <stp>BONDKIS6013132</stp>
        <stp>50년이하(당일)</stp>
        <stp>45523</stp>
        <stp/>
        <tr r="BH47" s="2"/>
        <tr r="BH47" s="2"/>
      </tp>
      <tp t="s">
        <v/>
        <stp/>
        <stp>P</stp>
        <stp>0</stp>
        <stp>IR</stp>
        <stp>BONDKIS8010132</stp>
        <stp>50년이하(당일)</stp>
        <stp>45523</stp>
        <stp/>
        <tr r="BH78" s="2"/>
        <tr r="BH78" s="2"/>
      </tp>
      <tp>
        <v>6.1360000000000001</v>
        <stp/>
        <stp>P</stp>
        <stp>0</stp>
        <stp>IR</stp>
        <stp>BONDKIS8010132</stp>
        <stp>10년이하(당일)</stp>
        <stp>45523</stp>
        <stp/>
        <tr r="BD78" s="2"/>
        <tr r="BD78" s="2"/>
      </tp>
      <tp>
        <v>6.9180000000000001</v>
        <stp/>
        <stp>P</stp>
        <stp>0</stp>
        <stp>IR</stp>
        <stp>BONDKIS8010132</stp>
        <stp>20년이하(당일)</stp>
        <stp>45523</stp>
        <stp/>
        <tr r="BF78" s="2"/>
        <tr r="BF78" s="2"/>
      </tp>
      <tp t="s">
        <v/>
        <stp/>
        <stp>P</stp>
        <stp>0</stp>
        <stp>IR</stp>
        <stp>BONDKIS8010132</stp>
        <stp>30년이하(당일)</stp>
        <stp>45523</stp>
        <stp/>
        <tr r="BG78" s="2"/>
        <tr r="BG78" s="2"/>
      </tp>
      <tp t="s">
        <v/>
        <stp/>
        <stp>P</stp>
        <stp>0</stp>
        <stp>IR</stp>
        <stp>BONDKIS7010132</stp>
        <stp>30년이하(당일)</stp>
        <stp>45523</stp>
        <stp/>
        <tr r="BG68" s="2"/>
        <tr r="BG68" s="2"/>
      </tp>
      <tp>
        <v>6.3120000000000003</v>
        <stp/>
        <stp>P</stp>
        <stp>0</stp>
        <stp>IR</stp>
        <stp>BONDKIS7010132</stp>
        <stp>20년이하(당일)</stp>
        <stp>45523</stp>
        <stp/>
        <tr r="BF68" s="2"/>
        <tr r="BF68" s="2"/>
      </tp>
      <tp>
        <v>5.62</v>
        <stp/>
        <stp>P</stp>
        <stp>0</stp>
        <stp>IR</stp>
        <stp>BONDKIS7010132</stp>
        <stp>10년이하(당일)</stp>
        <stp>45523</stp>
        <stp/>
        <tr r="BD68" s="2"/>
        <tr r="BD68" s="2"/>
      </tp>
      <tp t="s">
        <v/>
        <stp/>
        <stp>P</stp>
        <stp>0</stp>
        <stp>IR</stp>
        <stp>BONDKIS7010132</stp>
        <stp>50년이하(당일)</stp>
        <stp>45523</stp>
        <stp/>
        <tr r="BH68" s="2"/>
        <tr r="BH68" s="2"/>
      </tp>
      <tp>
        <v>6.7919999999999998</v>
        <stp/>
        <stp>P</stp>
        <stp>0</stp>
        <stp>IR</stp>
        <stp>BONDKIS6013133</stp>
        <stp>20년이하(당일)</stp>
        <stp>45523</stp>
        <stp/>
        <tr r="BF48" s="2"/>
        <tr r="BF48" s="2"/>
      </tp>
      <tp t="s">
        <v/>
        <stp/>
        <stp>P</stp>
        <stp>0</stp>
        <stp>IR</stp>
        <stp>BONDKIS6013133</stp>
        <stp>30년이하(당일)</stp>
        <stp>45523</stp>
        <stp/>
        <tr r="BG48" s="2"/>
        <tr r="BG48" s="2"/>
      </tp>
      <tp>
        <v>6.4820000000000002</v>
        <stp/>
        <stp>P</stp>
        <stp>0</stp>
        <stp>IR</stp>
        <stp>BONDKIS6013133</stp>
        <stp>10년이하(당일)</stp>
        <stp>45523</stp>
        <stp/>
        <tr r="BD48" s="2"/>
        <tr r="BD48" s="2"/>
      </tp>
      <tp t="s">
        <v/>
        <stp/>
        <stp>P</stp>
        <stp>0</stp>
        <stp>IR</stp>
        <stp>BONDKIS6013133</stp>
        <stp>50년이하(당일)</stp>
        <stp>45523</stp>
        <stp/>
        <tr r="BH48" s="2"/>
        <tr r="BH48" s="2"/>
      </tp>
      <tp t="s">
        <v/>
        <stp/>
        <stp>P</stp>
        <stp>0</stp>
        <stp>IR</stp>
        <stp>BONDKIS8010133</stp>
        <stp>50년이하(당일)</stp>
        <stp>45523</stp>
        <stp/>
        <tr r="BH79" s="2"/>
        <tr r="BH79" s="2"/>
      </tp>
      <tp>
        <v>6.6589999999999998</v>
        <stp/>
        <stp>P</stp>
        <stp>0</stp>
        <stp>IR</stp>
        <stp>BONDKIS8010133</stp>
        <stp>10년이하(당일)</stp>
        <stp>45523</stp>
        <stp/>
        <tr r="BD79" s="2"/>
        <tr r="BD79" s="2"/>
      </tp>
      <tp>
        <v>7.4779999999999998</v>
        <stp/>
        <stp>P</stp>
        <stp>0</stp>
        <stp>IR</stp>
        <stp>BONDKIS8010133</stp>
        <stp>20년이하(당일)</stp>
        <stp>45523</stp>
        <stp/>
        <tr r="BF79" s="2"/>
        <tr r="BF79" s="2"/>
      </tp>
      <tp t="s">
        <v/>
        <stp/>
        <stp>P</stp>
        <stp>0</stp>
        <stp>IR</stp>
        <stp>BONDKIS8010133</stp>
        <stp>30년이하(당일)</stp>
        <stp>45523</stp>
        <stp/>
        <tr r="BG79" s="2"/>
        <tr r="BG79" s="2"/>
      </tp>
      <tp t="s">
        <v/>
        <stp/>
        <stp>P</stp>
        <stp>0</stp>
        <stp>IR</stp>
        <stp>BONDKIS7010133</stp>
        <stp>30년이하(당일)</stp>
        <stp>45523</stp>
        <stp/>
        <tr r="BG69" s="2"/>
        <tr r="BG69" s="2"/>
      </tp>
      <tp t="s">
        <v/>
        <stp/>
        <stp>P</stp>
        <stp>0</stp>
        <stp>IR</stp>
        <stp>BONDKIS7020130</stp>
        <stp>30년이하(당일)</stp>
        <stp>45523</stp>
        <stp/>
        <tr r="BG54" s="2"/>
        <tr r="BG54" s="2"/>
      </tp>
      <tp>
        <v>6.8620000000000001</v>
        <stp/>
        <stp>P</stp>
        <stp>0</stp>
        <stp>IR</stp>
        <stp>BONDKIS7010133</stp>
        <stp>20년이하(당일)</stp>
        <stp>45523</stp>
        <stp/>
        <tr r="BF69" s="2"/>
        <tr r="BF69" s="2"/>
      </tp>
      <tp>
        <v>4.1230000000000002</v>
        <stp/>
        <stp>P</stp>
        <stp>0</stp>
        <stp>IR</stp>
        <stp>BONDKIS7020130</stp>
        <stp>20년이하(당일)</stp>
        <stp>45523</stp>
        <stp/>
        <tr r="BF54" s="2"/>
        <tr r="BF54" s="2"/>
      </tp>
      <tp>
        <v>6.133</v>
        <stp/>
        <stp>P</stp>
        <stp>0</stp>
        <stp>IR</stp>
        <stp>BONDKIS7010133</stp>
        <stp>10년이하(당일)</stp>
        <stp>45523</stp>
        <stp/>
        <tr r="BD69" s="2"/>
        <tr r="BD69" s="2"/>
      </tp>
      <tp>
        <v>3.8730000000000002</v>
        <stp/>
        <stp>P</stp>
        <stp>0</stp>
        <stp>IR</stp>
        <stp>BONDKIS7020130</stp>
        <stp>10년이하(당일)</stp>
        <stp>45523</stp>
        <stp/>
        <tr r="BD54" s="2"/>
        <tr r="BD54" s="2"/>
      </tp>
      <tp t="s">
        <v/>
        <stp/>
        <stp>P</stp>
        <stp>0</stp>
        <stp>IR</stp>
        <stp>BONDKIS7010133</stp>
        <stp>50년이하(당일)</stp>
        <stp>45523</stp>
        <stp/>
        <tr r="BH69" s="2"/>
        <tr r="BH69" s="2"/>
      </tp>
      <tp t="s">
        <v/>
        <stp/>
        <stp>P</stp>
        <stp>0</stp>
        <stp>IR</stp>
        <stp>BONDKIS7020130</stp>
        <stp>50년이하(당일)</stp>
        <stp>45523</stp>
        <stp/>
        <tr r="BH54" s="2"/>
        <tr r="BH54" s="2"/>
      </tp>
      <tp>
        <v>3.12</v>
        <stp/>
        <stp>P</stp>
        <stp>0</stp>
        <stp>IR</stp>
        <stp>BONDFNP1010000</stp>
        <stp>9월이하(당일)</stp>
        <stp>45523</stp>
        <stp/>
        <tr r="CA9" s="2"/>
        <tr r="CA9" s="2"/>
      </tp>
      <tp>
        <v>2.9630000000000001</v>
        <stp/>
        <stp>P</stp>
        <stp>0</stp>
        <stp>IR</stp>
        <stp>BONDFNP1020000</stp>
        <stp>9월이하(당일)</stp>
        <stp>45523</stp>
        <stp/>
        <tr r="CA11" s="2"/>
        <tr r="CA11" s="2"/>
      </tp>
      <tp>
        <v>3.173</v>
        <stp/>
        <stp>P</stp>
        <stp>0</stp>
        <stp>IR</stp>
        <stp>BONDFNP1030000</stp>
        <stp>9월이하(당일)</stp>
        <stp>45523</stp>
        <stp/>
        <tr r="CA10" s="2"/>
        <tr r="CA10" s="2"/>
      </tp>
      <tp>
        <v>3.17</v>
        <stp/>
        <stp>P</stp>
        <stp>0</stp>
        <stp>IR</stp>
        <stp>BONDNIC1030000</stp>
        <stp>9월이하(당일)</stp>
        <stp>45523</stp>
        <stp/>
        <tr r="BK10" s="2"/>
        <tr r="BK10" s="2"/>
      </tp>
      <tp>
        <v>2.9649999999999999</v>
        <stp/>
        <stp>P</stp>
        <stp>0</stp>
        <stp>IR</stp>
        <stp>BONDNIC1020000</stp>
        <stp>9월이하(당일)</stp>
        <stp>45523</stp>
        <stp/>
        <tr r="BK11" s="2"/>
        <tr r="BK11" s="2"/>
      </tp>
      <tp>
        <v>3.1070000000000002</v>
        <stp/>
        <stp>P</stp>
        <stp>0</stp>
        <stp>IR</stp>
        <stp>BONDNIC1010000</stp>
        <stp>9월이하(당일)</stp>
        <stp>45523</stp>
        <stp/>
        <tr r="BK9" s="2"/>
        <tr r="BK9" s="2"/>
      </tp>
      <tp>
        <v>2.6949999999999998</v>
        <stp/>
        <stp>P</stp>
        <stp>0</stp>
        <stp>IR</stp>
        <stp>BONDNIC1015000</stp>
        <stp>9월이하(당일)</stp>
        <stp>45523</stp>
        <stp/>
        <tr r="BK12" s="2"/>
        <tr r="BK12" s="2"/>
      </tp>
      <tp>
        <v>3.18</v>
        <stp/>
        <stp>P</stp>
        <stp>0</stp>
        <stp>IR</stp>
        <stp>BONDKIS1030000</stp>
        <stp>9월이하(당일)</stp>
        <stp>45523</stp>
        <stp/>
        <tr r="AU10" s="2"/>
        <tr r="AU10" s="2"/>
      </tp>
      <tp>
        <v>2.9910000000000001</v>
        <stp/>
        <stp>P</stp>
        <stp>0</stp>
        <stp>IR</stp>
        <stp>BONDKIS1020000</stp>
        <stp>9월이하(당일)</stp>
        <stp>45523</stp>
        <stp/>
        <tr r="AU11" s="2"/>
        <tr r="AU11" s="2"/>
      </tp>
      <tp>
        <v>3.12</v>
        <stp/>
        <stp>P</stp>
        <stp>0</stp>
        <stp>IR</stp>
        <stp>BONDKIS1013000</stp>
        <stp>9월이하(당일)</stp>
        <stp>45523</stp>
        <stp/>
        <tr r="AU9" s="2"/>
        <tr r="AU9" s="2"/>
      </tp>
      <tp>
        <v>3.1139999999999999</v>
        <stp/>
        <stp>P</stp>
        <stp>0</stp>
        <stp>IR</stp>
        <stp>BONDKSD1010000</stp>
        <stp>9월이하(당일)</stp>
        <stp>45523</stp>
        <stp/>
        <tr r="CQ9" s="2"/>
        <tr r="CQ9" s="2"/>
      </tp>
      <tp>
        <v>3.1720000000000002</v>
        <stp/>
        <stp>P</stp>
        <stp>0</stp>
        <stp>IR</stp>
        <stp>BONDKSD1030000</stp>
        <stp>9월이하(당일)</stp>
        <stp>45523</stp>
        <stp/>
        <tr r="CQ10" s="2"/>
        <tr r="CQ10" s="2"/>
      </tp>
      <tp>
        <v>2.9729999999999999</v>
        <stp/>
        <stp>P</stp>
        <stp>0</stp>
        <stp>IR</stp>
        <stp>BONDKSD1020000</stp>
        <stp>9월이하(당일)</stp>
        <stp>45523</stp>
        <stp/>
        <tr r="CQ11" s="2"/>
        <tr r="CQ11" s="2"/>
      </tp>
      <tp>
        <v>0</v>
        <stp/>
        <stp>P</stp>
        <stp>0</stp>
        <stp>IR</stp>
        <stp>BONDKSD3070000</stp>
        <stp>50년이하(당일)</stp>
        <stp>45523</stp>
        <stp/>
        <tr r="DD15" s="2"/>
      </tp>
      <tp>
        <v>3.0790000000000002</v>
        <stp/>
        <stp>P</stp>
        <stp>0</stp>
        <stp>IR</stp>
        <stp>BONDKSD3070000</stp>
        <stp>20년이하(당일)</stp>
        <stp>45523</stp>
        <stp/>
        <tr r="DB15" s="2"/>
        <tr r="DB15" s="2"/>
      </tp>
      <tp>
        <v>0</v>
        <stp/>
        <stp>P</stp>
        <stp>0</stp>
        <stp>IR</stp>
        <stp>BONDKSD3070000</stp>
        <stp>30년이하(당일)</stp>
        <stp>45523</stp>
        <stp/>
        <tr r="DC15" s="2"/>
      </tp>
      <tp>
        <v>3.093</v>
        <stp/>
        <stp>P</stp>
        <stp>0</stp>
        <stp>IR</stp>
        <stp>BONDKSD3070000</stp>
        <stp>10년이하(당일)</stp>
        <stp>45523</stp>
        <stp/>
        <tr r="CZ15" s="2"/>
        <tr r="CZ15" s="2"/>
      </tp>
      <tp>
        <v>0</v>
        <stp/>
        <stp>P</stp>
        <stp>0</stp>
        <stp>IR</stp>
        <stp>BONDKSD3060000</stp>
        <stp>50년이하(당일)</stp>
        <stp>45523</stp>
        <stp/>
        <tr r="DD83" s="2"/>
      </tp>
      <tp>
        <v>3.1840000000000002</v>
        <stp/>
        <stp>P</stp>
        <stp>0</stp>
        <stp>IR</stp>
        <stp>BONDKSD3060000</stp>
        <stp>20년이하(당일)</stp>
        <stp>45523</stp>
        <stp/>
        <tr r="DB83" s="2"/>
        <tr r="DB83" s="2"/>
      </tp>
      <tp>
        <v>3.1869999999999998</v>
        <stp/>
        <stp>P</stp>
        <stp>0</stp>
        <stp>IR</stp>
        <stp>BONDKSD3060000</stp>
        <stp>30년이하(당일)</stp>
        <stp>45523</stp>
        <stp/>
        <tr r="DC83" s="2"/>
        <tr r="DC83" s="2"/>
      </tp>
      <tp>
        <v>3.1920000000000002</v>
        <stp/>
        <stp>P</stp>
        <stp>0</stp>
        <stp>IR</stp>
        <stp>BONDKSD3060000</stp>
        <stp>10년이하(당일)</stp>
        <stp>45523</stp>
        <stp/>
        <tr r="CZ83" s="2"/>
        <tr r="CZ83" s="2"/>
      </tp>
      <tp>
        <v>3.5070000000000001</v>
        <stp/>
        <stp>P</stp>
        <stp>0</stp>
        <stp>IR</stp>
        <stp>BONDKSD4050000</stp>
        <stp>10년이하(당일)</stp>
        <stp>45523</stp>
        <stp/>
        <tr r="CZ22" s="2"/>
        <tr r="CZ22" s="2"/>
      </tp>
      <tp>
        <v>0</v>
        <stp/>
        <stp>P</stp>
        <stp>0</stp>
        <stp>IR</stp>
        <stp>BONDKSD4050000</stp>
        <stp>30년이하(당일)</stp>
        <stp>45523</stp>
        <stp/>
        <tr r="DC22" s="2"/>
      </tp>
      <tp>
        <v>3.6840000000000002</v>
        <stp/>
        <stp>P</stp>
        <stp>0</stp>
        <stp>IR</stp>
        <stp>BONDKSD4050000</stp>
        <stp>20년이하(당일)</stp>
        <stp>45523</stp>
        <stp/>
        <tr r="DB22" s="2"/>
        <tr r="DB22" s="2"/>
      </tp>
      <tp>
        <v>0</v>
        <stp/>
        <stp>P</stp>
        <stp>0</stp>
        <stp>IR</stp>
        <stp>BONDKSD4050000</stp>
        <stp>50년이하(당일)</stp>
        <stp>45523</stp>
        <stp/>
        <tr r="DD22" s="2"/>
      </tp>
      <tp>
        <v>0</v>
        <stp/>
        <stp>P</stp>
        <stp>0</stp>
        <stp>IR</stp>
        <stp>BONDKSD1030000</stp>
        <stp>50년이하(당일)</stp>
        <stp>45523</stp>
        <stp/>
        <tr r="DD10" s="2"/>
      </tp>
      <tp>
        <v>0</v>
        <stp/>
        <stp>P</stp>
        <stp>0</stp>
        <stp>IR</stp>
        <stp>BONDKSD1030000</stp>
        <stp>10년이하(당일)</stp>
        <stp>45523</stp>
        <stp/>
        <tr r="CZ10" s="2"/>
      </tp>
      <tp>
        <v>0</v>
        <stp/>
        <stp>P</stp>
        <stp>0</stp>
        <stp>IR</stp>
        <stp>BONDKSD1030000</stp>
        <stp>20년이하(당일)</stp>
        <stp>45523</stp>
        <stp/>
        <tr r="DB10" s="2"/>
      </tp>
      <tp>
        <v>0</v>
        <stp/>
        <stp>P</stp>
        <stp>0</stp>
        <stp>IR</stp>
        <stp>BONDKSD1030000</stp>
        <stp>30년이하(당일)</stp>
        <stp>45523</stp>
        <stp/>
        <tr r="DC10" s="2"/>
      </tp>
      <tp>
        <v>0</v>
        <stp/>
        <stp>P</stp>
        <stp>0</stp>
        <stp>IR</stp>
        <stp>BONDKSD1020000</stp>
        <stp>50년이하(당일)</stp>
        <stp>45523</stp>
        <stp/>
        <tr r="DD11" s="2"/>
      </tp>
      <tp>
        <v>0</v>
        <stp/>
        <stp>P</stp>
        <stp>0</stp>
        <stp>IR</stp>
        <stp>BONDKSD2020000</stp>
        <stp>50년이하(당일)</stp>
        <stp>45523</stp>
        <stp/>
        <tr r="DD14" s="2"/>
      </tp>
      <tp>
        <v>0</v>
        <stp/>
        <stp>P</stp>
        <stp>0</stp>
        <stp>IR</stp>
        <stp>BONDKSD2020000</stp>
        <stp>30년이하(당일)</stp>
        <stp>45523</stp>
        <stp/>
        <tr r="DC14" s="2"/>
      </tp>
      <tp>
        <v>3.0910000000000002</v>
        <stp/>
        <stp>P</stp>
        <stp>0</stp>
        <stp>IR</stp>
        <stp>BONDKSD1020000</stp>
        <stp>10년이하(당일)</stp>
        <stp>45523</stp>
        <stp/>
        <tr r="CZ11" s="2"/>
        <tr r="CZ11" s="2"/>
      </tp>
      <tp>
        <v>0</v>
        <stp/>
        <stp>P</stp>
        <stp>0</stp>
        <stp>IR</stp>
        <stp>BONDKSD2020000</stp>
        <stp>20년이하(당일)</stp>
        <stp>45523</stp>
        <stp/>
        <tr r="DB14" s="2"/>
      </tp>
      <tp>
        <v>0</v>
        <stp/>
        <stp>P</stp>
        <stp>0</stp>
        <stp>IR</stp>
        <stp>BONDKSD1020000</stp>
        <stp>20년이하(당일)</stp>
        <stp>45523</stp>
        <stp/>
        <tr r="DB11" s="2"/>
      </tp>
      <tp>
        <v>0</v>
        <stp/>
        <stp>P</stp>
        <stp>0</stp>
        <stp>IR</stp>
        <stp>BONDKSD2020000</stp>
        <stp>10년이하(당일)</stp>
        <stp>45523</stp>
        <stp/>
        <tr r="CZ14" s="2"/>
      </tp>
      <tp>
        <v>0</v>
        <stp/>
        <stp>P</stp>
        <stp>0</stp>
        <stp>IR</stp>
        <stp>BONDKSD1020000</stp>
        <stp>30년이하(당일)</stp>
        <stp>45523</stp>
        <stp/>
        <tr r="DC11" s="2"/>
      </tp>
      <tp>
        <v>2.762</v>
        <stp/>
        <stp>P</stp>
        <stp>0</stp>
        <stp>IR</stp>
        <stp>BONDKSD1010000</stp>
        <stp>50년이하(당일)</stp>
        <stp>45523</stp>
        <stp/>
        <tr r="DD9" s="2"/>
        <tr r="DD9" s="2"/>
      </tp>
      <tp>
        <v>0</v>
        <stp/>
        <stp>P</stp>
        <stp>0</stp>
        <stp>IR</stp>
        <stp>BONDKSD2010000</stp>
        <stp>50년이하(당일)</stp>
        <stp>45523</stp>
        <stp/>
        <tr r="DD13" s="2"/>
      </tp>
      <tp>
        <v>0</v>
        <stp/>
        <stp>P</stp>
        <stp>0</stp>
        <stp>IR</stp>
        <stp>BONDKSD2010000</stp>
        <stp>30년이하(당일)</stp>
        <stp>45523</stp>
        <stp/>
        <tr r="DC13" s="2"/>
      </tp>
      <tp>
        <v>2.9750000000000001</v>
        <stp/>
        <stp>P</stp>
        <stp>0</stp>
        <stp>IR</stp>
        <stp>BONDKSD1010000</stp>
        <stp>10년이하(당일)</stp>
        <stp>45523</stp>
        <stp/>
        <tr r="CZ9" s="2"/>
        <tr r="CZ9" s="2"/>
      </tp>
      <tp>
        <v>0</v>
        <stp/>
        <stp>P</stp>
        <stp>0</stp>
        <stp>IR</stp>
        <stp>BONDKSD2010000</stp>
        <stp>20년이하(당일)</stp>
        <stp>45523</stp>
        <stp/>
        <tr r="DB13" s="2"/>
      </tp>
      <tp>
        <v>2.952</v>
        <stp/>
        <stp>P</stp>
        <stp>0</stp>
        <stp>IR</stp>
        <stp>BONDKSD1010000</stp>
        <stp>20년이하(당일)</stp>
        <stp>45523</stp>
        <stp/>
        <tr r="DB9" s="2"/>
        <tr r="DB9" s="2"/>
      </tp>
      <tp t="s">
        <v/>
        <stp/>
        <stp>P</stp>
        <stp>0</stp>
        <stp>IR</stp>
        <stp>BONDKSD2010000</stp>
        <stp>10년이하(당일)</stp>
        <stp>45523</stp>
        <stp/>
        <tr r="CZ13" s="2"/>
        <tr r="CZ13" s="2"/>
      </tp>
      <tp>
        <v>2.8519999999999999</v>
        <stp/>
        <stp>P</stp>
        <stp>0</stp>
        <stp>IR</stp>
        <stp>BONDKSD1010000</stp>
        <stp>30년이하(당일)</stp>
        <stp>45523</stp>
        <stp/>
        <tr r="DC9" s="2"/>
        <tr r="DC9" s="2"/>
      </tp>
      <tp>
        <v>0</v>
        <stp/>
        <stp>P</stp>
        <stp>0</stp>
        <stp>IR</stp>
        <stp>BONDKSD4000000</stp>
        <stp>10년이하(당일)</stp>
        <stp>45523</stp>
        <stp/>
        <tr r="CZ20" s="2"/>
      </tp>
      <tp>
        <v>0</v>
        <stp/>
        <stp>P</stp>
        <stp>0</stp>
        <stp>IR</stp>
        <stp>BONDKSD4000000</stp>
        <stp>30년이하(당일)</stp>
        <stp>45523</stp>
        <stp/>
        <tr r="DC20" s="2"/>
      </tp>
      <tp>
        <v>0</v>
        <stp/>
        <stp>P</stp>
        <stp>0</stp>
        <stp>IR</stp>
        <stp>BONDKSD4000000</stp>
        <stp>20년이하(당일)</stp>
        <stp>45523</stp>
        <stp/>
        <tr r="DB20" s="2"/>
      </tp>
      <tp>
        <v>0</v>
        <stp/>
        <stp>P</stp>
        <stp>0</stp>
        <stp>IR</stp>
        <stp>BONDKSD4000000</stp>
        <stp>50년이하(당일)</stp>
        <stp>45523</stp>
        <stp/>
        <tr r="DD20" s="2"/>
      </tp>
      <tp>
        <v>6.05</v>
        <stp/>
        <stp>P</stp>
        <stp>0</stp>
        <stp>IR</stp>
        <stp>BONDFNP9999113</stp>
        <stp>15년이하(당일)</stp>
        <stp>45523</stp>
        <stp/>
        <tr r="CK47" s="2"/>
        <tr r="CK47" s="2"/>
      </tp>
      <tp>
        <v>5.6609999999999996</v>
        <stp/>
        <stp>P</stp>
        <stp>0</stp>
        <stp>IR</stp>
        <stp>BONDFNP9999112</stp>
        <stp>15년이하(당일)</stp>
        <stp>45523</stp>
        <stp/>
        <tr r="CK46" s="2"/>
        <tr r="CK46" s="2"/>
      </tp>
      <tp>
        <v>5.1449999999999996</v>
        <stp/>
        <stp>P</stp>
        <stp>0</stp>
        <stp>IR</stp>
        <stp>BONDFNP9999111</stp>
        <stp>15년이하(당일)</stp>
        <stp>45523</stp>
        <stp/>
        <tr r="CK45" s="2"/>
        <tr r="CK45" s="2"/>
      </tp>
      <tp>
        <v>4.8959999999999999</v>
        <stp/>
        <stp>P</stp>
        <stp>0</stp>
        <stp>IR</stp>
        <stp>BONDFNP9999110</stp>
        <stp>15년이하(당일)</stp>
        <stp>45523</stp>
        <stp/>
        <tr r="CK44" s="2"/>
        <tr r="CK44" s="2"/>
      </tp>
      <tp>
        <v>10.831</v>
        <stp/>
        <stp>P</stp>
        <stp>0</stp>
        <stp>IR</stp>
        <stp>BONDFNP9999117</stp>
        <stp>15년이하(당일)</stp>
        <stp>45523</stp>
        <stp/>
        <tr r="CK51" s="2"/>
        <tr r="CK51" s="2"/>
      </tp>
      <tp>
        <v>9.4779999999999998</v>
        <stp/>
        <stp>P</stp>
        <stp>0</stp>
        <stp>IR</stp>
        <stp>BONDFNP9999116</stp>
        <stp>15년이하(당일)</stp>
        <stp>45523</stp>
        <stp/>
        <tr r="CK50" s="2"/>
        <tr r="CK50" s="2"/>
      </tp>
      <tp>
        <v>8.0879999999999992</v>
        <stp/>
        <stp>P</stp>
        <stp>0</stp>
        <stp>IR</stp>
        <stp>BONDFNP9999115</stp>
        <stp>15년이하(당일)</stp>
        <stp>45523</stp>
        <stp/>
        <tr r="CK49" s="2"/>
        <tr r="CK49" s="2"/>
      </tp>
      <tp>
        <v>6.7290000000000001</v>
        <stp/>
        <stp>P</stp>
        <stp>0</stp>
        <stp>IR</stp>
        <stp>BONDFNP9999114</stp>
        <stp>15년이하(당일)</stp>
        <stp>45523</stp>
        <stp/>
        <tr r="CK48" s="2"/>
        <tr r="CK48" s="2"/>
      </tp>
      <tp>
        <v>3.5289999999999999</v>
        <stp/>
        <stp>P</stp>
        <stp>0</stp>
        <stp>IR</stp>
        <stp>BONDKIS4050000</stp>
        <stp>10년이하(당일)</stp>
        <stp>45523</stp>
        <stp/>
        <tr r="BD22" s="2"/>
        <tr r="BD22" s="2"/>
      </tp>
      <tp t="s">
        <v/>
        <stp/>
        <stp>P</stp>
        <stp>0</stp>
        <stp>IR</stp>
        <stp>BONDKIS4050000</stp>
        <stp>30년이하(당일)</stp>
        <stp>45523</stp>
        <stp/>
        <tr r="BG22" s="2"/>
        <tr r="BG22" s="2"/>
      </tp>
      <tp t="s">
        <v/>
        <stp/>
        <stp>P</stp>
        <stp>0</stp>
        <stp>IR</stp>
        <stp>BONDKIS3050000</stp>
        <stp>50년이하(당일)</stp>
        <stp>45523</stp>
        <stp/>
        <tr r="BH15" s="2"/>
        <tr r="BH15" s="2"/>
      </tp>
      <tp>
        <v>3.6970000000000001</v>
        <stp/>
        <stp>P</stp>
        <stp>0</stp>
        <stp>IR</stp>
        <stp>BONDKIS4050000</stp>
        <stp>20년이하(당일)</stp>
        <stp>45523</stp>
        <stp/>
        <tr r="BF22" s="2"/>
        <tr r="BF22" s="2"/>
      </tp>
      <tp>
        <v>3.0790000000000002</v>
        <stp/>
        <stp>P</stp>
        <stp>0</stp>
        <stp>IR</stp>
        <stp>BONDKIS3050000</stp>
        <stp>20년이하(당일)</stp>
        <stp>45523</stp>
        <stp/>
        <tr r="BF15" s="2"/>
        <tr r="BF15" s="2"/>
      </tp>
      <tp t="s">
        <v/>
        <stp/>
        <stp>P</stp>
        <stp>0</stp>
        <stp>IR</stp>
        <stp>BONDKIS4050000</stp>
        <stp>50년이하(당일)</stp>
        <stp>45523</stp>
        <stp/>
        <tr r="BH22" s="2"/>
        <tr r="BH22" s="2"/>
      </tp>
      <tp t="s">
        <v/>
        <stp/>
        <stp>P</stp>
        <stp>0</stp>
        <stp>IR</stp>
        <stp>BONDKIS3050000</stp>
        <stp>30년이하(당일)</stp>
        <stp>45523</stp>
        <stp/>
        <tr r="BG15" s="2"/>
        <tr r="BG15" s="2"/>
      </tp>
      <tp>
        <v>3.0979999999999999</v>
        <stp/>
        <stp>P</stp>
        <stp>0</stp>
        <stp>IR</stp>
        <stp>BONDKIS3050000</stp>
        <stp>10년이하(당일)</stp>
        <stp>45523</stp>
        <stp/>
        <tr r="BD15" s="2"/>
        <tr r="BD15" s="2"/>
      </tp>
      <tp>
        <v>3.65</v>
        <stp/>
        <stp>P</stp>
        <stp>0</stp>
        <stp>IR</stp>
        <stp>BONDNIC4050000</stp>
        <stp>15년이하(당일)</stp>
        <stp>45523</stp>
        <stp/>
        <tr r="BU22" s="2"/>
        <tr r="BU22" s="2"/>
      </tp>
      <tp>
        <v>4.1849999999999996</v>
        <stp/>
        <stp>P</stp>
        <stp>0</stp>
        <stp>IR</stp>
        <stp>BONDNIC7140111</stp>
        <stp>15년이하(당일)</stp>
        <stp>45523</stp>
        <stp/>
        <tr r="BU57" s="2"/>
        <tr r="BU57" s="2"/>
      </tp>
      <tp>
        <v>3.0710000000000002</v>
        <stp/>
        <stp>P</stp>
        <stp>0</stp>
        <stp>IR</stp>
        <stp>BONDNIC3050000</stp>
        <stp>15년이하(당일)</stp>
        <stp>45523</stp>
        <stp/>
        <tr r="BU15" s="2"/>
        <tr r="BU15" s="2"/>
      </tp>
      <tp>
        <v>5.6420000000000003</v>
        <stp/>
        <stp>P</stp>
        <stp>0</stp>
        <stp>IR</stp>
        <stp>BONDNIC7150111</stp>
        <stp>15년이하(당일)</stp>
        <stp>45523</stp>
        <stp/>
        <tr r="BU60" s="2"/>
        <tr r="BU60" s="2"/>
      </tp>
      <tp>
        <v>5.2370000000000001</v>
        <stp/>
        <stp>P</stp>
        <stp>0</stp>
        <stp>IR</stp>
        <stp>BONDNIC7140113</stp>
        <stp>15년이하(당일)</stp>
        <stp>45523</stp>
        <stp/>
        <tr r="BU59" s="2"/>
        <tr r="BU59" s="2"/>
      </tp>
      <tp>
        <v>6.0069999999999997</v>
        <stp/>
        <stp>P</stp>
        <stp>0</stp>
        <stp>IR</stp>
        <stp>BONDNIC7150112</stp>
        <stp>15년이하(당일)</stp>
        <stp>45523</stp>
        <stp/>
        <tr r="BU61" s="2"/>
        <tr r="BU61" s="2"/>
      </tp>
      <tp t="s">
        <v/>
        <stp/>
        <stp>P</stp>
        <stp>0</stp>
        <stp>IR</stp>
        <stp>BONDKIS3060000</stp>
        <stp>50년이하(당일)</stp>
        <stp>45523</stp>
        <stp/>
        <tr r="BH83" s="2"/>
        <tr r="BH83" s="2"/>
      </tp>
      <tp>
        <v>3.2759999999999998</v>
        <stp/>
        <stp>P</stp>
        <stp>0</stp>
        <stp>IR</stp>
        <stp>BONDKIS3060000</stp>
        <stp>20년이하(당일)</stp>
        <stp>45523</stp>
        <stp/>
        <tr r="BF83" s="2"/>
        <tr r="BF83" s="2"/>
      </tp>
      <tp>
        <v>3.2730000000000001</v>
        <stp/>
        <stp>P</stp>
        <stp>0</stp>
        <stp>IR</stp>
        <stp>BONDKIS3060000</stp>
        <stp>30년이하(당일)</stp>
        <stp>45523</stp>
        <stp/>
        <tr r="BG83" s="2"/>
        <tr r="BG83" s="2"/>
      </tp>
      <tp>
        <v>3.2949999999999999</v>
        <stp/>
        <stp>P</stp>
        <stp>0</stp>
        <stp>IR</stp>
        <stp>BONDKIS3060000</stp>
        <stp>10년이하(당일)</stp>
        <stp>45523</stp>
        <stp/>
        <tr r="BD83" s="2"/>
        <tr r="BD83" s="2"/>
      </tp>
      <tp>
        <v>4.7190000000000003</v>
        <stp/>
        <stp>P</stp>
        <stp>0</stp>
        <stp>IR</stp>
        <stp>BONDFNP9999118</stp>
        <stp>15년이하(당일)</stp>
        <stp>45523</stp>
        <stp/>
        <tr r="CK43" s="2"/>
        <tr r="CK43" s="2"/>
      </tp>
      <tp>
        <v>4.74</v>
        <stp/>
        <stp>P</stp>
        <stp>0</stp>
        <stp>IR</stp>
        <stp>BONDNIC7140112</stp>
        <stp>15년이하(당일)</stp>
        <stp>45523</stp>
        <stp/>
        <tr r="BU58" s="2"/>
        <tr r="BU58" s="2"/>
      </tp>
      <tp>
        <v>6.5270000000000001</v>
        <stp/>
        <stp>P</stp>
        <stp>0</stp>
        <stp>IR</stp>
        <stp>BONDNIC7150113</stp>
        <stp>15년이하(당일)</stp>
        <stp>45523</stp>
        <stp/>
        <tr r="BU62" s="2"/>
        <tr r="BU62" s="2"/>
      </tp>
      <tp>
        <v>2.7650000000000001</v>
        <stp/>
        <stp>P</stp>
        <stp>0</stp>
        <stp>IR</stp>
        <stp>BONDKIS1013000</stp>
        <stp>50년이하(당일)</stp>
        <stp>45523</stp>
        <stp/>
        <tr r="BH9" s="2"/>
        <tr r="BH9" s="2"/>
      </tp>
      <tp>
        <v>2.9750000000000001</v>
        <stp/>
        <stp>P</stp>
        <stp>0</stp>
        <stp>IR</stp>
        <stp>BONDKIS1013000</stp>
        <stp>10년이하(당일)</stp>
        <stp>45523</stp>
        <stp/>
        <tr r="BD9" s="2"/>
        <tr r="BD9" s="2"/>
      </tp>
      <tp>
        <v>2.952</v>
        <stp/>
        <stp>P</stp>
        <stp>0</stp>
        <stp>IR</stp>
        <stp>BONDKIS1013000</stp>
        <stp>20년이하(당일)</stp>
        <stp>45523</stp>
        <stp/>
        <tr r="BF9" s="2"/>
        <tr r="BF9" s="2"/>
      </tp>
      <tp>
        <v>2.8519999999999999</v>
        <stp/>
        <stp>P</stp>
        <stp>0</stp>
        <stp>IR</stp>
        <stp>BONDKIS1013000</stp>
        <stp>30년이하(당일)</stp>
        <stp>45523</stp>
        <stp/>
        <tr r="BG9" s="2"/>
        <tr r="BG9" s="2"/>
      </tp>
      <tp t="s">
        <v/>
        <stp/>
        <stp>P</stp>
        <stp>0</stp>
        <stp>IR</stp>
        <stp>BONDKIS2010000</stp>
        <stp>50년이하(당일)</stp>
        <stp>45523</stp>
        <stp/>
        <tr r="BH13" s="2"/>
        <tr r="BH13" s="2"/>
      </tp>
      <tp t="s">
        <v/>
        <stp/>
        <stp>P</stp>
        <stp>0</stp>
        <stp>IR</stp>
        <stp>BONDKIS2010000</stp>
        <stp>30년이하(당일)</stp>
        <stp>45523</stp>
        <stp/>
        <tr r="BG13" s="2"/>
        <tr r="BG13" s="2"/>
      </tp>
      <tp t="s">
        <v/>
        <stp/>
        <stp>P</stp>
        <stp>0</stp>
        <stp>IR</stp>
        <stp>BONDKIS2010000</stp>
        <stp>20년이하(당일)</stp>
        <stp>45523</stp>
        <stp/>
        <tr r="BF13" s="2"/>
        <tr r="BF13" s="2"/>
      </tp>
      <tp t="s">
        <v/>
        <stp/>
        <stp>P</stp>
        <stp>0</stp>
        <stp>IR</stp>
        <stp>BONDKIS2010000</stp>
        <stp>10년이하(당일)</stp>
        <stp>45523</stp>
        <stp/>
        <tr r="BD13" s="2"/>
        <tr r="BD13" s="2"/>
      </tp>
      <tp>
        <v>2.65</v>
        <stp/>
        <stp>P</stp>
        <stp>0</stp>
        <stp>IR</stp>
        <stp>BONDNIC1015000</stp>
        <stp>15년이하(당일)</stp>
        <stp>45523</stp>
        <stp/>
        <tr r="BU12" s="2"/>
        <tr r="BU12" s="2"/>
      </tp>
      <tp>
        <v>2.98</v>
        <stp/>
        <stp>P</stp>
        <stp>0</stp>
        <stp>IR</stp>
        <stp>BONDNIC1010000</stp>
        <stp>15년이하(당일)</stp>
        <stp>45523</stp>
        <stp/>
        <tr r="BU9" s="2"/>
        <tr r="BU9" s="2"/>
      </tp>
      <tp t="s">
        <v/>
        <stp/>
        <stp>P</stp>
        <stp>0</stp>
        <stp>IR</stp>
        <stp>BONDNIC2010000</stp>
        <stp>15년이하(당일)</stp>
        <stp>45523</stp>
        <stp/>
        <tr r="BU13" s="2"/>
        <tr r="BU13" s="2"/>
      </tp>
      <tp t="s">
        <v/>
        <stp/>
        <stp>P</stp>
        <stp>0</stp>
        <stp>IR</stp>
        <stp>BONDKIS4003000</stp>
        <stp>10년이하(당일)</stp>
        <stp>45523</stp>
        <stp/>
        <tr r="BD20" s="2"/>
        <tr r="BD20" s="2"/>
      </tp>
      <tp t="s">
        <v/>
        <stp/>
        <stp>P</stp>
        <stp>0</stp>
        <stp>IR</stp>
        <stp>BONDKIS4003000</stp>
        <stp>30년이하(당일)</stp>
        <stp>45523</stp>
        <stp/>
        <tr r="BG20" s="2"/>
        <tr r="BG20" s="2"/>
      </tp>
      <tp t="s">
        <v/>
        <stp/>
        <stp>P</stp>
        <stp>0</stp>
        <stp>IR</stp>
        <stp>BONDKIS4003000</stp>
        <stp>20년이하(당일)</stp>
        <stp>45523</stp>
        <stp/>
        <tr r="BF20" s="2"/>
        <tr r="BF20" s="2"/>
      </tp>
      <tp t="s">
        <v/>
        <stp/>
        <stp>P</stp>
        <stp>0</stp>
        <stp>IR</stp>
        <stp>BONDKIS4003000</stp>
        <stp>50년이하(당일)</stp>
        <stp>45523</stp>
        <stp/>
        <tr r="BH20" s="2"/>
        <tr r="BH20" s="2"/>
      </tp>
      <tp t="s">
        <v/>
        <stp/>
        <stp>P</stp>
        <stp>0</stp>
        <stp>IR</stp>
        <stp>BONDNIC4000000</stp>
        <stp>15년이하(당일)</stp>
        <stp>45523</stp>
        <stp/>
        <tr r="BU20" s="2"/>
        <tr r="BU20" s="2"/>
      </tp>
      <tp t="s">
        <v/>
        <stp/>
        <stp>P</stp>
        <stp>0</stp>
        <stp>IR</stp>
        <stp>BONDKIS1030000</stp>
        <stp>50년이하(당일)</stp>
        <stp>45523</stp>
        <stp/>
        <tr r="BH10" s="2"/>
        <tr r="BH10" s="2"/>
      </tp>
      <tp t="s">
        <v/>
        <stp/>
        <stp>P</stp>
        <stp>0</stp>
        <stp>IR</stp>
        <stp>BONDKIS1030000</stp>
        <stp>10년이하(당일)</stp>
        <stp>45523</stp>
        <stp/>
        <tr r="BD10" s="2"/>
        <tr r="BD10" s="2"/>
      </tp>
      <tp t="s">
        <v/>
        <stp/>
        <stp>P</stp>
        <stp>0</stp>
        <stp>IR</stp>
        <stp>BONDKIS1030000</stp>
        <stp>20년이하(당일)</stp>
        <stp>45523</stp>
        <stp/>
        <tr r="BF10" s="2"/>
        <tr r="BF10" s="2"/>
      </tp>
      <tp t="s">
        <v/>
        <stp/>
        <stp>P</stp>
        <stp>0</stp>
        <stp>IR</stp>
        <stp>BONDKIS1030000</stp>
        <stp>30년이하(당일)</stp>
        <stp>45523</stp>
        <stp/>
        <tr r="BG10" s="2"/>
        <tr r="BG10" s="2"/>
      </tp>
      <tp>
        <v>3.1440000000000001</v>
        <stp/>
        <stp>P</stp>
        <stp>0</stp>
        <stp>IR</stp>
        <stp>BONDNIC7430110</stp>
        <stp>30년이하(당일)</stp>
        <stp>45523</stp>
        <stp/>
        <tr r="BW83" s="2"/>
        <tr r="BW83" s="2"/>
      </tp>
      <tp>
        <v>3.1520000000000001</v>
        <stp/>
        <stp>P</stp>
        <stp>0</stp>
        <stp>IR</stp>
        <stp>BONDNIC7430110</stp>
        <stp>20년이하(당일)</stp>
        <stp>45523</stp>
        <stp/>
        <tr r="BV83" s="2"/>
        <tr r="BV83" s="2"/>
      </tp>
      <tp>
        <v>3.8260000000000001</v>
        <stp/>
        <stp>P</stp>
        <stp>0</stp>
        <stp>IR</stp>
        <stp>BONDNIC7130110</stp>
        <stp>15년이하(당일)</stp>
        <stp>45523</stp>
        <stp/>
        <tr r="BU56" s="2"/>
        <tr r="BU56" s="2"/>
      </tp>
      <tp>
        <v>3.1549999999999998</v>
        <stp/>
        <stp>P</stp>
        <stp>0</stp>
        <stp>IR</stp>
        <stp>BONDNIC7430110</stp>
        <stp>10년이하(당일)</stp>
        <stp>45523</stp>
        <stp/>
        <tr r="BT83" s="2"/>
        <tr r="BT83" s="2"/>
      </tp>
      <tp t="s">
        <v/>
        <stp/>
        <stp>P</stp>
        <stp>0</stp>
        <stp>IR</stp>
        <stp>BONDNIC1030000</stp>
        <stp>15년이하(당일)</stp>
        <stp>45523</stp>
        <stp/>
        <tr r="BU10" s="2"/>
        <tr r="BU10" s="2"/>
      </tp>
      <tp t="s">
        <v/>
        <stp/>
        <stp>P</stp>
        <stp>0</stp>
        <stp>IR</stp>
        <stp>BONDNIC7430110</stp>
        <stp>50년이하(당일)</stp>
        <stp>45523</stp>
        <stp/>
        <tr r="BX83" s="2"/>
        <tr r="BX83" s="2"/>
      </tp>
      <tp t="s">
        <v/>
        <stp/>
        <stp>P</stp>
        <stp>0</stp>
        <stp>IR</stp>
        <stp>BONDKIS1020000</stp>
        <stp>50년이하(당일)</stp>
        <stp>45523</stp>
        <stp/>
        <tr r="BH11" s="2"/>
        <tr r="BH11" s="2"/>
      </tp>
      <tp t="s">
        <v/>
        <stp/>
        <stp>P</stp>
        <stp>0</stp>
        <stp>IR</stp>
        <stp>BONDKIS2020000</stp>
        <stp>50년이하(당일)</stp>
        <stp>45523</stp>
        <stp/>
        <tr r="BH14" s="2"/>
        <tr r="BH14" s="2"/>
      </tp>
      <tp t="s">
        <v/>
        <stp/>
        <stp>P</stp>
        <stp>0</stp>
        <stp>IR</stp>
        <stp>BONDKIS2020000</stp>
        <stp>30년이하(당일)</stp>
        <stp>45523</stp>
        <stp/>
        <tr r="BG14" s="2"/>
        <tr r="BG14" s="2"/>
      </tp>
      <tp>
        <v>3.105</v>
        <stp/>
        <stp>P</stp>
        <stp>0</stp>
        <stp>IR</stp>
        <stp>BONDKIS1020000</stp>
        <stp>10년이하(당일)</stp>
        <stp>45523</stp>
        <stp/>
        <tr r="BD11" s="2"/>
        <tr r="BD11" s="2"/>
      </tp>
      <tp>
        <v>3.3889999999999998</v>
        <stp/>
        <stp>P</stp>
        <stp>0</stp>
        <stp>IR</stp>
        <stp>BONDKIS2020000</stp>
        <stp>20년이하(당일)</stp>
        <stp>45523</stp>
        <stp/>
        <tr r="BF14" s="2"/>
        <tr r="BF14" s="2"/>
      </tp>
      <tp>
        <v>3.18</v>
        <stp/>
        <stp>P</stp>
        <stp>0</stp>
        <stp>IR</stp>
        <stp>BONDKIS1020000</stp>
        <stp>20년이하(당일)</stp>
        <stp>45523</stp>
        <stp/>
        <tr r="BF11" s="2"/>
        <tr r="BF11" s="2"/>
      </tp>
      <tp>
        <v>3.359</v>
        <stp/>
        <stp>P</stp>
        <stp>0</stp>
        <stp>IR</stp>
        <stp>BONDKIS2020000</stp>
        <stp>10년이하(당일)</stp>
        <stp>45523</stp>
        <stp/>
        <tr r="BD14" s="2"/>
        <tr r="BD14" s="2"/>
      </tp>
      <tp t="s">
        <v/>
        <stp/>
        <stp>P</stp>
        <stp>0</stp>
        <stp>IR</stp>
        <stp>BONDKIS1020000</stp>
        <stp>30년이하(당일)</stp>
        <stp>45523</stp>
        <stp/>
        <tr r="BG11" s="2"/>
        <tr r="BG11" s="2"/>
      </tp>
      <tp>
        <v>3.13</v>
        <stp/>
        <stp>P</stp>
        <stp>0</stp>
        <stp>IR</stp>
        <stp>BONDNIC1020000</stp>
        <stp>15년이하(당일)</stp>
        <stp>45523</stp>
        <stp/>
        <tr r="BU11" s="2"/>
        <tr r="BU11" s="2"/>
      </tp>
      <tp>
        <v>3.36</v>
        <stp/>
        <stp>P</stp>
        <stp>0</stp>
        <stp>IR</stp>
        <stp>BONDNIC2020000</stp>
        <stp>15년이하(당일)</stp>
        <stp>45523</stp>
        <stp/>
        <tr r="BU14" s="2"/>
        <tr r="BU14" s="2"/>
      </tp>
      <tp>
        <v>4.7539999999999996</v>
        <stp/>
        <stp>P</stp>
        <stp>0</stp>
        <stp>IR</stp>
        <stp>BONDFNP8110211</stp>
        <stp>3월이하(당일)</stp>
        <stp>45523</stp>
        <stp/>
        <tr r="BY80" s="2"/>
        <tr r="BY80" s="2"/>
      </tp>
      <tp>
        <v>6.0789999999999997</v>
        <stp/>
        <stp>P</stp>
        <stp>0</stp>
        <stp>IR</stp>
        <stp>BONDFNP8110213</stp>
        <stp>3월이하(당일)</stp>
        <stp>45523</stp>
        <stp/>
        <tr r="BY82" s="2"/>
        <tr r="BY82" s="2"/>
      </tp>
      <tp>
        <v>5.1440000000000001</v>
        <stp/>
        <stp>P</stp>
        <stp>0</stp>
        <stp>IR</stp>
        <stp>BONDFNP8110212</stp>
        <stp>3월이하(당일)</stp>
        <stp>45523</stp>
        <stp/>
        <tr r="BY81" s="2"/>
        <tr r="BY81" s="2"/>
      </tp>
      <tp>
        <v>5.12</v>
        <stp/>
        <stp>P</stp>
        <stp>0</stp>
        <stp>IR</stp>
        <stp>BONDKIS8010212</stp>
        <stp>3월이하(당일)</stp>
        <stp>45523</stp>
        <stp/>
        <tr r="AS81" s="2"/>
        <tr r="AS81" s="2"/>
      </tp>
      <tp>
        <v>6.335</v>
        <stp/>
        <stp>P</stp>
        <stp>0</stp>
        <stp>IR</stp>
        <stp>BONDKIS8010213</stp>
        <stp>3월이하(당일)</stp>
        <stp>45523</stp>
        <stp/>
        <tr r="AS82" s="2"/>
        <tr r="AS82" s="2"/>
      </tp>
      <tp>
        <v>4.72</v>
        <stp/>
        <stp>P</stp>
        <stp>0</stp>
        <stp>IR</stp>
        <stp>BONDKIS8010211</stp>
        <stp>3월이하(당일)</stp>
        <stp>45523</stp>
        <stp/>
        <tr r="AS80" s="2"/>
        <tr r="AS80" s="2"/>
      </tp>
      <tp>
        <v>3.5760000000000001</v>
        <stp/>
        <stp>P</stp>
        <stp>0</stp>
        <stp>IR</stp>
        <stp>BONDKSD5030110</stp>
        <stp>10년이하(당일)</stp>
        <stp>45523</stp>
        <stp/>
        <tr r="CZ27" s="2"/>
        <tr r="CZ27" s="2"/>
      </tp>
      <tp>
        <v>8.7759999999999998</v>
        <stp/>
        <stp>P</stp>
        <stp>0</stp>
        <stp>IR</stp>
        <stp>BONDKSD7010212</stp>
        <stp>10년이하(당일)</stp>
        <stp>45523</stp>
        <stp/>
        <tr r="CZ71" s="2"/>
        <tr r="CZ71" s="2"/>
      </tp>
      <tp>
        <v>0</v>
        <stp/>
        <stp>P</stp>
        <stp>0</stp>
        <stp>IR</stp>
        <stp>BONDKSD3030110</stp>
        <stp>50년이하(당일)</stp>
        <stp>45523</stp>
        <stp/>
        <tr r="DD16" s="2"/>
      </tp>
      <tp>
        <v>0</v>
        <stp/>
        <stp>P</stp>
        <stp>0</stp>
        <stp>IR</stp>
        <stp>BONDKSD5030110</stp>
        <stp>30년이하(당일)</stp>
        <stp>45523</stp>
        <stp/>
        <tr r="DC27" s="2"/>
      </tp>
      <tp>
        <v>0</v>
        <stp/>
        <stp>P</stp>
        <stp>0</stp>
        <stp>IR</stp>
        <stp>BONDKSD7010212</stp>
        <stp>20년이하(당일)</stp>
        <stp>45523</stp>
        <stp/>
        <tr r="DB71" s="2"/>
      </tp>
      <tp>
        <v>3.75</v>
        <stp/>
        <stp>P</stp>
        <stp>0</stp>
        <stp>IR</stp>
        <stp>BONDKSD5030110</stp>
        <stp>20년이하(당일)</stp>
        <stp>45523</stp>
        <stp/>
        <tr r="DB27" s="2"/>
        <tr r="DB27" s="2"/>
      </tp>
      <tp>
        <v>0</v>
        <stp/>
        <stp>P</stp>
        <stp>0</stp>
        <stp>IR</stp>
        <stp>BONDKSD7010212</stp>
        <stp>30년이하(당일)</stp>
        <stp>45523</stp>
        <stp/>
        <tr r="DC71" s="2"/>
      </tp>
      <tp>
        <v>3.165</v>
        <stp/>
        <stp>P</stp>
        <stp>0</stp>
        <stp>IR</stp>
        <stp>BONDKSD3030110</stp>
        <stp>30년이하(당일)</stp>
        <stp>45523</stp>
        <stp/>
        <tr r="DC16" s="2"/>
        <tr r="DC16" s="2"/>
      </tp>
      <tp>
        <v>0</v>
        <stp/>
        <stp>P</stp>
        <stp>0</stp>
        <stp>IR</stp>
        <stp>BONDKSD5030110</stp>
        <stp>50년이하(당일)</stp>
        <stp>45523</stp>
        <stp/>
        <tr r="DD27" s="2"/>
      </tp>
      <tp>
        <v>3.153</v>
        <stp/>
        <stp>P</stp>
        <stp>0</stp>
        <stp>IR</stp>
        <stp>BONDKSD3030110</stp>
        <stp>20년이하(당일)</stp>
        <stp>45523</stp>
        <stp/>
        <tr r="DB16" s="2"/>
        <tr r="DB16" s="2"/>
      </tp>
      <tp>
        <v>0</v>
        <stp/>
        <stp>P</stp>
        <stp>0</stp>
        <stp>IR</stp>
        <stp>BONDKSD7010212</stp>
        <stp>50년이하(당일)</stp>
        <stp>45523</stp>
        <stp/>
        <tr r="DD71" s="2"/>
      </tp>
      <tp>
        <v>3.1549999999999998</v>
        <stp/>
        <stp>P</stp>
        <stp>0</stp>
        <stp>IR</stp>
        <stp>BONDKSD3030110</stp>
        <stp>10년이하(당일)</stp>
        <stp>45523</stp>
        <stp/>
        <tr r="CZ16" s="2"/>
        <tr r="CZ16" s="2"/>
      </tp>
      <tp>
        <v>3.5049999999999999</v>
        <stp/>
        <stp>P</stp>
        <stp>0</stp>
        <stp>IR</stp>
        <stp>BONDKSD5020110</stp>
        <stp>10년이하(당일)</stp>
        <stp>45523</stp>
        <stp/>
        <tr r="CZ25" s="2"/>
        <tr r="CZ25" s="2"/>
      </tp>
      <tp>
        <v>0</v>
        <stp/>
        <stp>P</stp>
        <stp>0</stp>
        <stp>IR</stp>
        <stp>BONDKSD7020110</stp>
        <stp>30년이하(당일)</stp>
        <stp>45523</stp>
        <stp/>
        <tr r="DC52" s="2"/>
      </tp>
      <tp>
        <v>10.209</v>
        <stp/>
        <stp>P</stp>
        <stp>0</stp>
        <stp>IR</stp>
        <stp>BONDKSD7010213</stp>
        <stp>10년이하(당일)</stp>
        <stp>45523</stp>
        <stp/>
        <tr r="CZ72" s="2"/>
        <tr r="CZ72" s="2"/>
      </tp>
      <tp>
        <v>0</v>
        <stp/>
        <stp>P</stp>
        <stp>0</stp>
        <stp>IR</stp>
        <stp>BONDKSD7020110</stp>
        <stp>20년이하(당일)</stp>
        <stp>45523</stp>
        <stp/>
        <tr r="DB52" s="2"/>
      </tp>
      <tp>
        <v>0</v>
        <stp/>
        <stp>P</stp>
        <stp>0</stp>
        <stp>IR</stp>
        <stp>BONDKSD7020210</stp>
        <stp>10년이하(당일)</stp>
        <stp>45523</stp>
        <stp/>
        <tr r="CZ55" s="2"/>
      </tp>
      <tp>
        <v>0</v>
        <stp/>
        <stp>P</stp>
        <stp>0</stp>
        <stp>IR</stp>
        <stp>BONDKSD5020110</stp>
        <stp>30년이하(당일)</stp>
        <stp>45523</stp>
        <stp/>
        <tr r="DC25" s="2"/>
      </tp>
      <tp>
        <v>0</v>
        <stp/>
        <stp>P</stp>
        <stp>0</stp>
        <stp>IR</stp>
        <stp>BONDKSD7010213</stp>
        <stp>20년이하(당일)</stp>
        <stp>45523</stp>
        <stp/>
        <tr r="DB72" s="2"/>
      </tp>
      <tp>
        <v>0</v>
        <stp/>
        <stp>P</stp>
        <stp>0</stp>
        <stp>IR</stp>
        <stp>BONDKSD7020110</stp>
        <stp>10년이하(당일)</stp>
        <stp>45523</stp>
        <stp/>
        <tr r="CZ52" s="2"/>
      </tp>
      <tp>
        <v>0</v>
        <stp/>
        <stp>P</stp>
        <stp>0</stp>
        <stp>IR</stp>
        <stp>BONDKSD7020210</stp>
        <stp>20년이하(당일)</stp>
        <stp>45523</stp>
        <stp/>
        <tr r="DB55" s="2"/>
      </tp>
      <tp>
        <v>3.6749999999999998</v>
        <stp/>
        <stp>P</stp>
        <stp>0</stp>
        <stp>IR</stp>
        <stp>BONDKSD5020110</stp>
        <stp>20년이하(당일)</stp>
        <stp>45523</stp>
        <stp/>
        <tr r="DB25" s="2"/>
        <tr r="DB25" s="2"/>
      </tp>
      <tp>
        <v>0</v>
        <stp/>
        <stp>P</stp>
        <stp>0</stp>
        <stp>IR</stp>
        <stp>BONDKSD7010213</stp>
        <stp>30년이하(당일)</stp>
        <stp>45523</stp>
        <stp/>
        <tr r="DC72" s="2"/>
      </tp>
      <tp>
        <v>0</v>
        <stp/>
        <stp>P</stp>
        <stp>0</stp>
        <stp>IR</stp>
        <stp>BONDKSD7020210</stp>
        <stp>30년이하(당일)</stp>
        <stp>45523</stp>
        <stp/>
        <tr r="DC55" s="2"/>
      </tp>
      <tp>
        <v>0</v>
        <stp/>
        <stp>P</stp>
        <stp>0</stp>
        <stp>IR</stp>
        <stp>BONDKSD5020110</stp>
        <stp>50년이하(당일)</stp>
        <stp>45523</stp>
        <stp/>
        <tr r="DD25" s="2"/>
      </tp>
      <tp>
        <v>0</v>
        <stp/>
        <stp>P</stp>
        <stp>0</stp>
        <stp>IR</stp>
        <stp>BONDKSD7010213</stp>
        <stp>50년이하(당일)</stp>
        <stp>45523</stp>
        <stp/>
        <tr r="DD72" s="2"/>
      </tp>
      <tp>
        <v>0</v>
        <stp/>
        <stp>P</stp>
        <stp>0</stp>
        <stp>IR</stp>
        <stp>BONDKSD7020210</stp>
        <stp>50년이하(당일)</stp>
        <stp>45523</stp>
        <stp/>
        <tr r="DD55" s="2"/>
      </tp>
      <tp>
        <v>0</v>
        <stp/>
        <stp>P</stp>
        <stp>0</stp>
        <stp>IR</stp>
        <stp>BONDKSD7020110</stp>
        <stp>50년이하(당일)</stp>
        <stp>45523</stp>
        <stp/>
        <tr r="DD52" s="2"/>
      </tp>
      <tp>
        <v>0</v>
        <stp/>
        <stp>P</stp>
        <stp>0</stp>
        <stp>IR</stp>
        <stp>BONDKSD8010110</stp>
        <stp>50년이하(당일)</stp>
        <stp>45523</stp>
        <stp/>
        <tr r="DD73" s="2"/>
      </tp>
      <tp t="s">
        <v xml:space="preserve"> </v>
        <stp/>
        <stp>P</stp>
        <stp>0</stp>
        <stp>IR</stp>
        <stp>BONDKSD8010110</stp>
        <stp>10년이하(당일)</stp>
        <stp>45523</stp>
        <stp/>
        <tr r="CZ73" s="2"/>
        <tr r="CZ73" s="2"/>
      </tp>
      <tp t="s">
        <v xml:space="preserve"> </v>
        <stp/>
        <stp>P</stp>
        <stp>0</stp>
        <stp>IR</stp>
        <stp>BONDKSD8010110</stp>
        <stp>20년이하(당일)</stp>
        <stp>45523</stp>
        <stp/>
        <tr r="DB73" s="2"/>
        <tr r="DB73" s="2"/>
      </tp>
      <tp t="s">
        <v xml:space="preserve"> </v>
        <stp/>
        <stp>P</stp>
        <stp>0</stp>
        <stp>IR</stp>
        <stp>BONDKSD8010110</stp>
        <stp>30년이하(당일)</stp>
        <stp>45523</stp>
        <stp/>
        <tr r="DC73" s="2"/>
        <tr r="DC73" s="2"/>
      </tp>
      <tp>
        <v>3.4780000000000002</v>
        <stp/>
        <stp>P</stp>
        <stp>0</stp>
        <stp>IR</stp>
        <stp>BONDKSD5010110</stp>
        <stp>10년이하(당일)</stp>
        <stp>45523</stp>
        <stp/>
        <tr r="CZ23" s="2"/>
        <tr r="CZ23" s="2"/>
      </tp>
      <tp>
        <v>9.1180000000000003</v>
        <stp/>
        <stp>P</stp>
        <stp>0</stp>
        <stp>IR</stp>
        <stp>BONDKSD6010210</stp>
        <stp>10년이하(당일)</stp>
        <stp>45523</stp>
        <stp/>
        <tr r="CZ41" s="2"/>
        <tr r="CZ41" s="2"/>
      </tp>
      <tp>
        <v>0</v>
        <stp/>
        <stp>P</stp>
        <stp>0</stp>
        <stp>IR</stp>
        <stp>BONDKSD7010110</stp>
        <stp>30년이하(당일)</stp>
        <stp>45523</stp>
        <stp/>
        <tr r="DC63" s="2"/>
      </tp>
      <tp>
        <v>0</v>
        <stp/>
        <stp>P</stp>
        <stp>0</stp>
        <stp>IR</stp>
        <stp>BONDKSD7010110</stp>
        <stp>20년이하(당일)</stp>
        <stp>45523</stp>
        <stp/>
        <tr r="DB63" s="2"/>
      </tp>
      <tp>
        <v>0</v>
        <stp/>
        <stp>P</stp>
        <stp>0</stp>
        <stp>IR</stp>
        <stp>BONDKSD5010110</stp>
        <stp>30년이하(당일)</stp>
        <stp>45523</stp>
        <stp/>
        <tr r="DC23" s="2"/>
      </tp>
      <tp>
        <v>0</v>
        <stp/>
        <stp>P</stp>
        <stp>0</stp>
        <stp>IR</stp>
        <stp>BONDKSD6010210</stp>
        <stp>30년이하(당일)</stp>
        <stp>45523</stp>
        <stp/>
        <tr r="DC41" s="2"/>
      </tp>
      <tp>
        <v>3.609</v>
        <stp/>
        <stp>P</stp>
        <stp>0</stp>
        <stp>IR</stp>
        <stp>BONDKSD7010110</stp>
        <stp>10년이하(당일)</stp>
        <stp>45523</stp>
        <stp/>
        <tr r="CZ63" s="2"/>
        <tr r="CZ63" s="2"/>
      </tp>
      <tp>
        <v>3.6419999999999999</v>
        <stp/>
        <stp>P</stp>
        <stp>0</stp>
        <stp>IR</stp>
        <stp>BONDKSD5010110</stp>
        <stp>20년이하(당일)</stp>
        <stp>45523</stp>
        <stp/>
        <tr r="DB23" s="2"/>
        <tr r="DB23" s="2"/>
      </tp>
      <tp>
        <v>0</v>
        <stp/>
        <stp>P</stp>
        <stp>0</stp>
        <stp>IR</stp>
        <stp>BONDKSD6010210</stp>
        <stp>20년이하(당일)</stp>
        <stp>45523</stp>
        <stp/>
        <tr r="DB41" s="2"/>
      </tp>
      <tp>
        <v>0</v>
        <stp/>
        <stp>P</stp>
        <stp>0</stp>
        <stp>IR</stp>
        <stp>BONDKSD5010110</stp>
        <stp>50년이하(당일)</stp>
        <stp>45523</stp>
        <stp/>
        <tr r="DD23" s="2"/>
      </tp>
      <tp>
        <v>0</v>
        <stp/>
        <stp>P</stp>
        <stp>0</stp>
        <stp>IR</stp>
        <stp>BONDKSD6010210</stp>
        <stp>50년이하(당일)</stp>
        <stp>45523</stp>
        <stp/>
        <tr r="DD41" s="2"/>
      </tp>
      <tp>
        <v>0</v>
        <stp/>
        <stp>P</stp>
        <stp>0</stp>
        <stp>IR</stp>
        <stp>BONDKSD7010110</stp>
        <stp>50년이하(당일)</stp>
        <stp>45523</stp>
        <stp/>
        <tr r="DD63" s="2"/>
      </tp>
      <tp>
        <v>7.6790000000000003</v>
        <stp/>
        <stp>P</stp>
        <stp>0</stp>
        <stp>IR</stp>
        <stp>BONDKSD7010211</stp>
        <stp>10년이하(당일)</stp>
        <stp>45523</stp>
        <stp/>
        <tr r="CZ70" s="2"/>
        <tr r="CZ70" s="2"/>
      </tp>
      <tp>
        <v>0</v>
        <stp/>
        <stp>P</stp>
        <stp>0</stp>
        <stp>IR</stp>
        <stp>BONDKSD7010211</stp>
        <stp>20년이하(당일)</stp>
        <stp>45523</stp>
        <stp/>
        <tr r="DB70" s="2"/>
      </tp>
      <tp>
        <v>0</v>
        <stp/>
        <stp>P</stp>
        <stp>0</stp>
        <stp>IR</stp>
        <stp>BONDKSD7010211</stp>
        <stp>30년이하(당일)</stp>
        <stp>45523</stp>
        <stp/>
        <tr r="DC70" s="2"/>
      </tp>
      <tp>
        <v>0</v>
        <stp/>
        <stp>P</stp>
        <stp>0</stp>
        <stp>IR</stp>
        <stp>BONDKSD7010211</stp>
        <stp>50년이하(당일)</stp>
        <stp>45523</stp>
        <stp/>
        <tr r="DD70" s="2"/>
      </tp>
      <tp>
        <v>4.5350000000000001</v>
        <stp/>
        <stp>P</stp>
        <stp>0</stp>
        <stp>IR</stp>
        <stp>BONDNIC8040111</stp>
        <stp>15년이하(당일)</stp>
        <stp>45523</stp>
        <stp/>
        <tr r="BU74" s="2"/>
        <tr r="BU74" s="2"/>
      </tp>
      <tp>
        <v>11.574</v>
        <stp/>
        <stp>P</stp>
        <stp>0</stp>
        <stp>IR</stp>
        <stp>BONDNIC8060113</stp>
        <stp>15년이하(당일)</stp>
        <stp>45523</stp>
        <stp/>
        <tr r="BU82" s="2"/>
        <tr r="BU82" s="2"/>
      </tp>
      <tp>
        <v>3.8319999999999999</v>
        <stp/>
        <stp>P</stp>
        <stp>0</stp>
        <stp>IR</stp>
        <stp>BONDNIC5040111</stp>
        <stp>15년이하(당일)</stp>
        <stp>45523</stp>
        <stp/>
        <tr r="BU28" s="2"/>
        <tr r="BU28" s="2"/>
      </tp>
      <tp>
        <v>4.1849999999999996</v>
        <stp/>
        <stp>P</stp>
        <stp>0</stp>
        <stp>IR</stp>
        <stp>BONDNIC7040111</stp>
        <stp>15년이하(당일)</stp>
        <stp>45523</stp>
        <stp/>
        <tr r="BU64" s="2"/>
        <tr r="BU64" s="2"/>
      </tp>
      <tp>
        <v>10.603999999999999</v>
        <stp/>
        <stp>P</stp>
        <stp>0</stp>
        <stp>IR</stp>
        <stp>BONDNIC7060113</stp>
        <stp>15년이하(당일)</stp>
        <stp>45523</stp>
        <stp/>
        <tr r="BU72" s="2"/>
        <tr r="BU72" s="2"/>
      </tp>
      <tp>
        <v>4.6959999999999997</v>
        <stp/>
        <stp>P</stp>
        <stp>0</stp>
        <stp>IR</stp>
        <stp>BONDNIC6040111</stp>
        <stp>15년이하(당일)</stp>
        <stp>45523</stp>
        <stp/>
        <tr r="BU34" s="2"/>
        <tr r="BU34" s="2"/>
      </tp>
      <tp>
        <v>10.755000000000001</v>
        <stp/>
        <stp>P</stp>
        <stp>0</stp>
        <stp>IR</stp>
        <stp>BONDNIC6060113</stp>
        <stp>15년이하(당일)</stp>
        <stp>45523</stp>
        <stp/>
        <tr r="BU42" s="2"/>
        <tr r="BU42" s="2"/>
      </tp>
      <tp>
        <v>3.3559999999999999</v>
        <stp/>
        <stp>P</stp>
        <stp>0</stp>
        <stp>IR</stp>
        <stp>BONDNIC3040111</stp>
        <stp>15년이하(당일)</stp>
        <stp>45523</stp>
        <stp/>
        <tr r="BU17" s="2"/>
        <tr r="BU17" s="2"/>
      </tp>
      <tp>
        <v>6.1120000000000001</v>
        <stp/>
        <stp>P</stp>
        <stp>0</stp>
        <stp>IR</stp>
        <stp>BONDNIC8050111</stp>
        <stp>15년이하(당일)</stp>
        <stp>45523</stp>
        <stp/>
        <tr r="BU77" s="2"/>
        <tr r="BU77" s="2"/>
      </tp>
      <tp>
        <v>9.8819999999999997</v>
        <stp/>
        <stp>P</stp>
        <stp>0</stp>
        <stp>IR</stp>
        <stp>BONDNIC8060112</stp>
        <stp>15년이하(당일)</stp>
        <stp>45523</stp>
        <stp/>
        <tr r="BU81" s="2"/>
        <tr r="BU81" s="2"/>
      </tp>
      <tp>
        <v>4.6440000000000001</v>
        <stp/>
        <stp>P</stp>
        <stp>0</stp>
        <stp>IR</stp>
        <stp>BONDNIC5050111</stp>
        <stp>15년이하(당일)</stp>
        <stp>45523</stp>
        <stp/>
        <tr r="BU31" s="2"/>
        <tr r="BU31" s="2"/>
      </tp>
      <tp>
        <v>5.6420000000000003</v>
        <stp/>
        <stp>P</stp>
        <stp>0</stp>
        <stp>IR</stp>
        <stp>BONDNIC7050111</stp>
        <stp>15년이하(당일)</stp>
        <stp>45523</stp>
        <stp/>
        <tr r="BU67" s="2"/>
        <tr r="BU67" s="2"/>
      </tp>
      <tp>
        <v>9.1120000000000001</v>
        <stp/>
        <stp>P</stp>
        <stp>0</stp>
        <stp>IR</stp>
        <stp>BONDNIC7060112</stp>
        <stp>15년이하(당일)</stp>
        <stp>45523</stp>
        <stp/>
        <tr r="BU71" s="2"/>
        <tr r="BU71" s="2"/>
      </tp>
      <tp>
        <v>5.5949999999999998</v>
        <stp/>
        <stp>P</stp>
        <stp>0</stp>
        <stp>IR</stp>
        <stp>BONDNIC6050111</stp>
        <stp>15년이하(당일)</stp>
        <stp>45523</stp>
        <stp/>
        <tr r="BU37" s="2"/>
        <tr r="BU37" s="2"/>
      </tp>
      <tp>
        <v>9.4870000000000001</v>
        <stp/>
        <stp>P</stp>
        <stp>0</stp>
        <stp>IR</stp>
        <stp>BONDNIC6060112</stp>
        <stp>15년이하(당일)</stp>
        <stp>45523</stp>
        <stp/>
        <tr r="BU41" s="2"/>
        <tr r="BU41" s="2"/>
      </tp>
      <tp>
        <v>5.5970000000000004</v>
        <stp/>
        <stp>P</stp>
        <stp>0</stp>
        <stp>IR</stp>
        <stp>BONDNIC8040113</stp>
        <stp>15년이하(당일)</stp>
        <stp>45523</stp>
        <stp/>
        <tr r="BU76" s="2"/>
        <tr r="BU76" s="2"/>
      </tp>
      <tp>
        <v>6.5270000000000001</v>
        <stp/>
        <stp>P</stp>
        <stp>0</stp>
        <stp>IR</stp>
        <stp>BONDNIC8050112</stp>
        <stp>15년이하(당일)</stp>
        <stp>45523</stp>
        <stp/>
        <tr r="BU78" s="2"/>
        <tr r="BU78" s="2"/>
      </tp>
      <tp>
        <v>8.7050000000000001</v>
        <stp/>
        <stp>P</stp>
        <stp>0</stp>
        <stp>IR</stp>
        <stp>BONDNIC8060111</stp>
        <stp>15년이하(당일)</stp>
        <stp>45523</stp>
        <stp/>
        <tr r="BU80" s="2"/>
        <tr r="BU80" s="2"/>
      </tp>
      <tp>
        <v>4.431</v>
        <stp/>
        <stp>P</stp>
        <stp>0</stp>
        <stp>IR</stp>
        <stp>BONDNIC5040113</stp>
        <stp>15년이하(당일)</stp>
        <stp>45523</stp>
        <stp/>
        <tr r="BU30" s="2"/>
        <tr r="BU30" s="2"/>
      </tp>
      <tp>
        <v>4.774</v>
        <stp/>
        <stp>P</stp>
        <stp>0</stp>
        <stp>IR</stp>
        <stp>BONDNIC5050112</stp>
        <stp>15년이하(당일)</stp>
        <stp>45523</stp>
        <stp/>
        <tr r="BU32" s="2"/>
        <tr r="BU32" s="2"/>
      </tp>
      <tp>
        <v>5.2370000000000001</v>
        <stp/>
        <stp>P</stp>
        <stp>0</stp>
        <stp>IR</stp>
        <stp>BONDNIC7040113</stp>
        <stp>15년이하(당일)</stp>
        <stp>45523</stp>
        <stp/>
        <tr r="BU66" s="2"/>
        <tr r="BU66" s="2"/>
      </tp>
      <tp>
        <v>6.0069999999999997</v>
        <stp/>
        <stp>P</stp>
        <stp>0</stp>
        <stp>IR</stp>
        <stp>BONDNIC7050112</stp>
        <stp>15년이하(당일)</stp>
        <stp>45523</stp>
        <stp/>
        <tr r="BU68" s="2"/>
        <tr r="BU68" s="2"/>
      </tp>
      <tp>
        <v>8.0350000000000001</v>
        <stp/>
        <stp>P</stp>
        <stp>0</stp>
        <stp>IR</stp>
        <stp>BONDNIC7060111</stp>
        <stp>15년이하(당일)</stp>
        <stp>45523</stp>
        <stp/>
        <tr r="BU70" s="2"/>
        <tr r="BU70" s="2"/>
      </tp>
      <tp>
        <v>5.17</v>
        <stp/>
        <stp>P</stp>
        <stp>0</stp>
        <stp>IR</stp>
        <stp>BONDNIC6040113</stp>
        <stp>15년이하(당일)</stp>
        <stp>45523</stp>
        <stp/>
        <tr r="BU36" s="2"/>
        <tr r="BU36" s="2"/>
      </tp>
      <tp>
        <v>6.0179999999999998</v>
        <stp/>
        <stp>P</stp>
        <stp>0</stp>
        <stp>IR</stp>
        <stp>BONDNIC6050112</stp>
        <stp>15년이하(당일)</stp>
        <stp>45523</stp>
        <stp/>
        <tr r="BU38" s="2"/>
        <tr r="BU38" s="2"/>
      </tp>
      <tp>
        <v>8.0269999999999992</v>
        <stp/>
        <stp>P</stp>
        <stp>0</stp>
        <stp>IR</stp>
        <stp>BONDNIC6060111</stp>
        <stp>15년이하(당일)</stp>
        <stp>45523</stp>
        <stp/>
        <tr r="BU40" s="2"/>
        <tr r="BU40" s="2"/>
      </tp>
      <tp>
        <v>3.677</v>
        <stp/>
        <stp>P</stp>
        <stp>0</stp>
        <stp>IR</stp>
        <stp>BONDNIC3040113</stp>
        <stp>15년이하(당일)</stp>
        <stp>45523</stp>
        <stp/>
        <tr r="BU19" s="2"/>
        <tr r="BU19" s="2"/>
      </tp>
      <tp>
        <v>5.09</v>
        <stp/>
        <stp>P</stp>
        <stp>0</stp>
        <stp>IR</stp>
        <stp>BONDNIC8040112</stp>
        <stp>15년이하(당일)</stp>
        <stp>45523</stp>
        <stp/>
        <tr r="BU75" s="2"/>
        <tr r="BU75" s="2"/>
      </tp>
      <tp>
        <v>7.0670000000000002</v>
        <stp/>
        <stp>P</stp>
        <stp>0</stp>
        <stp>IR</stp>
        <stp>BONDNIC8050113</stp>
        <stp>15년이하(당일)</stp>
        <stp>45523</stp>
        <stp/>
        <tr r="BU79" s="2"/>
        <tr r="BU79" s="2"/>
      </tp>
      <tp>
        <v>4.1500000000000004</v>
        <stp/>
        <stp>P</stp>
        <stp>0</stp>
        <stp>IR</stp>
        <stp>BONDNIC5040112</stp>
        <stp>15년이하(당일)</stp>
        <stp>45523</stp>
        <stp/>
        <tr r="BU29" s="2"/>
        <tr r="BU29" s="2"/>
      </tp>
      <tp>
        <v>4.899</v>
        <stp/>
        <stp>P</stp>
        <stp>0</stp>
        <stp>IR</stp>
        <stp>BONDNIC5050113</stp>
        <stp>15년이하(당일)</stp>
        <stp>45523</stp>
        <stp/>
        <tr r="BU33" s="2"/>
        <tr r="BU33" s="2"/>
      </tp>
      <tp>
        <v>4.74</v>
        <stp/>
        <stp>P</stp>
        <stp>0</stp>
        <stp>IR</stp>
        <stp>BONDNIC7040112</stp>
        <stp>15년이하(당일)</stp>
        <stp>45523</stp>
        <stp/>
        <tr r="BU65" s="2"/>
        <tr r="BU65" s="2"/>
      </tp>
      <tp>
        <v>6.5270000000000001</v>
        <stp/>
        <stp>P</stp>
        <stp>0</stp>
        <stp>IR</stp>
        <stp>BONDNIC7050113</stp>
        <stp>15년이하(당일)</stp>
        <stp>45523</stp>
        <stp/>
        <tr r="BU69" s="2"/>
        <tr r="BU69" s="2"/>
      </tp>
      <tp>
        <v>4.9009999999999998</v>
        <stp/>
        <stp>P</stp>
        <stp>0</stp>
        <stp>IR</stp>
        <stp>BONDNIC6040112</stp>
        <stp>15년이하(당일)</stp>
        <stp>45523</stp>
        <stp/>
        <tr r="BU35" s="2"/>
        <tr r="BU35" s="2"/>
      </tp>
      <tp>
        <v>6.6710000000000003</v>
        <stp/>
        <stp>P</stp>
        <stp>0</stp>
        <stp>IR</stp>
        <stp>BONDNIC6050113</stp>
        <stp>15년이하(당일)</stp>
        <stp>45523</stp>
        <stp/>
        <tr r="BU39" s="2"/>
        <tr r="BU39" s="2"/>
      </tp>
      <tp>
        <v>3.552</v>
        <stp/>
        <stp>P</stp>
        <stp>0</stp>
        <stp>IR</stp>
        <stp>BONDNIC3040112</stp>
        <stp>15년이하(당일)</stp>
        <stp>45523</stp>
        <stp/>
        <tr r="BU18" s="2"/>
        <tr r="BU18" s="2"/>
      </tp>
      <tp>
        <v>3.5030000000000001</v>
        <stp/>
        <stp>P</stp>
        <stp>0</stp>
        <stp>IR</stp>
        <stp>BONDKIS5013110</stp>
        <stp>10년이하(당일)</stp>
        <stp>45523</stp>
        <stp/>
        <tr r="BD23" s="2"/>
        <tr r="BD23" s="2"/>
      </tp>
      <tp t="s">
        <v/>
        <stp/>
        <stp>P</stp>
        <stp>0</stp>
        <stp>IR</stp>
        <stp>BONDKIS5013110</stp>
        <stp>30년이하(당일)</stp>
        <stp>45523</stp>
        <stp/>
        <tr r="BG23" s="2"/>
        <tr r="BG23" s="2"/>
      </tp>
      <tp>
        <v>3.6589999999999998</v>
        <stp/>
        <stp>P</stp>
        <stp>0</stp>
        <stp>IR</stp>
        <stp>BONDKIS5013110</stp>
        <stp>20년이하(당일)</stp>
        <stp>45523</stp>
        <stp/>
        <tr r="BF23" s="2"/>
        <tr r="BF23" s="2"/>
      </tp>
      <tp t="s">
        <v/>
        <stp/>
        <stp>P</stp>
        <stp>0</stp>
        <stp>IR</stp>
        <stp>BONDKIS5013110</stp>
        <stp>50년이하(당일)</stp>
        <stp>45523</stp>
        <stp/>
        <tr r="BH23" s="2"/>
        <tr r="BH23" s="2"/>
      </tp>
      <tp t="s">
        <v/>
        <stp/>
        <stp>P</stp>
        <stp>0</stp>
        <stp>IR</stp>
        <stp>BONDKIS8010110</stp>
        <stp>50년이하(당일)</stp>
        <stp>45523</stp>
        <stp/>
        <tr r="BH73" s="2"/>
        <tr r="BH73" s="2"/>
      </tp>
      <tp>
        <v>4.0279999999999996</v>
        <stp/>
        <stp>P</stp>
        <stp>0</stp>
        <stp>IR</stp>
        <stp>BONDKIS8010110</stp>
        <stp>10년이하(당일)</stp>
        <stp>45523</stp>
        <stp/>
        <tr r="BD73" s="2"/>
        <tr r="BD73" s="2"/>
      </tp>
      <tp>
        <v>4.4649999999999999</v>
        <stp/>
        <stp>P</stp>
        <stp>0</stp>
        <stp>IR</stp>
        <stp>BONDKIS8010110</stp>
        <stp>20년이하(당일)</stp>
        <stp>45523</stp>
        <stp/>
        <tr r="BF73" s="2"/>
        <tr r="BF73" s="2"/>
      </tp>
      <tp t="s">
        <v/>
        <stp/>
        <stp>P</stp>
        <stp>0</stp>
        <stp>IR</stp>
        <stp>BONDKIS8010110</stp>
        <stp>30년이하(당일)</stp>
        <stp>45523</stp>
        <stp/>
        <tr r="BG73" s="2"/>
        <tr r="BG73" s="2"/>
      </tp>
      <tp t="s">
        <v/>
        <stp/>
        <stp>P</stp>
        <stp>0</stp>
        <stp>IR</stp>
        <stp>BONDKIS7010110</stp>
        <stp>30년이하(당일)</stp>
        <stp>45523</stp>
        <stp/>
        <tr r="BG63" s="2"/>
        <tr r="BG63" s="2"/>
      </tp>
      <tp>
        <v>3.9790000000000001</v>
        <stp/>
        <stp>P</stp>
        <stp>0</stp>
        <stp>IR</stp>
        <stp>BONDKIS7010110</stp>
        <stp>20년이하(당일)</stp>
        <stp>45523</stp>
        <stp/>
        <tr r="BF63" s="2"/>
        <tr r="BF63" s="2"/>
      </tp>
      <tp>
        <v>3.6259999999999999</v>
        <stp/>
        <stp>P</stp>
        <stp>0</stp>
        <stp>IR</stp>
        <stp>BONDKIS7010110</stp>
        <stp>10년이하(당일)</stp>
        <stp>45523</stp>
        <stp/>
        <tr r="BD63" s="2"/>
        <tr r="BD63" s="2"/>
      </tp>
      <tp t="s">
        <v/>
        <stp/>
        <stp>P</stp>
        <stp>0</stp>
        <stp>IR</stp>
        <stp>BONDKIS7010110</stp>
        <stp>50년이하(당일)</stp>
        <stp>45523</stp>
        <stp/>
        <tr r="BH63" s="2"/>
        <tr r="BH63" s="2"/>
      </tp>
      <tp>
        <v>3.6080000000000001</v>
        <stp/>
        <stp>P</stp>
        <stp>0</stp>
        <stp>IR</stp>
        <stp>BONDNIC5010110</stp>
        <stp>15년이하(당일)</stp>
        <stp>45523</stp>
        <stp/>
        <tr r="BU23" s="2"/>
        <tr r="BU23" s="2"/>
      </tp>
      <tp>
        <v>7.7450000000000001</v>
        <stp/>
        <stp>P</stp>
        <stp>0</stp>
        <stp>IR</stp>
        <stp>BONDKIS6013211</stp>
        <stp>10년이하(당일)</stp>
        <stp>45523</stp>
        <stp/>
        <tr r="BD49" s="2"/>
        <tr r="BD49" s="2"/>
      </tp>
      <tp t="s">
        <v/>
        <stp/>
        <stp>P</stp>
        <stp>0</stp>
        <stp>IR</stp>
        <stp>BONDKIS6013211</stp>
        <stp>30년이하(당일)</stp>
        <stp>45523</stp>
        <stp/>
        <tr r="BG49" s="2"/>
        <tr r="BG49" s="2"/>
      </tp>
      <tp>
        <v>8.1820000000000004</v>
        <stp/>
        <stp>P</stp>
        <stp>0</stp>
        <stp>IR</stp>
        <stp>BONDKIS6013211</stp>
        <stp>20년이하(당일)</stp>
        <stp>45523</stp>
        <stp/>
        <tr r="BF49" s="2"/>
        <tr r="BF49" s="2"/>
      </tp>
      <tp t="s">
        <v/>
        <stp/>
        <stp>P</stp>
        <stp>0</stp>
        <stp>IR</stp>
        <stp>BONDKIS6013211</stp>
        <stp>50년이하(당일)</stp>
        <stp>45523</stp>
        <stp/>
        <tr r="BH49" s="2"/>
        <tr r="BH49" s="2"/>
      </tp>
      <tp t="s">
        <v/>
        <stp/>
        <stp>P</stp>
        <stp>0</stp>
        <stp>IR</stp>
        <stp>BONDKIS8010211</stp>
        <stp>50년이하(당일)</stp>
        <stp>45523</stp>
        <stp/>
        <tr r="BH80" s="2"/>
        <tr r="BH80" s="2"/>
      </tp>
      <tp t="s">
        <v/>
        <stp/>
        <stp>P</stp>
        <stp>0</stp>
        <stp>IR</stp>
        <stp>BONDKIS8010211</stp>
        <stp>30년이하(당일)</stp>
        <stp>45523</stp>
        <stp/>
        <tr r="BG80" s="2"/>
        <tr r="BG80" s="2"/>
      </tp>
      <tp>
        <v>8.9939999999999998</v>
        <stp/>
        <stp>P</stp>
        <stp>0</stp>
        <stp>IR</stp>
        <stp>BONDKIS8010211</stp>
        <stp>20년이하(당일)</stp>
        <stp>45523</stp>
        <stp/>
        <tr r="BF80" s="2"/>
        <tr r="BF80" s="2"/>
      </tp>
      <tp>
        <v>8.2690000000000001</v>
        <stp/>
        <stp>P</stp>
        <stp>0</stp>
        <stp>IR</stp>
        <stp>BONDKIS8010211</stp>
        <stp>10년이하(당일)</stp>
        <stp>45523</stp>
        <stp/>
        <tr r="BD80" s="2"/>
        <tr r="BD80" s="2"/>
      </tp>
      <tp>
        <v>7.6890000000000001</v>
        <stp/>
        <stp>P</stp>
        <stp>0</stp>
        <stp>IR</stp>
        <stp>BONDKIS7010211</stp>
        <stp>10년이하(당일)</stp>
        <stp>45523</stp>
        <stp/>
        <tr r="BD70" s="2"/>
        <tr r="BD70" s="2"/>
      </tp>
      <tp>
        <v>8.3170000000000002</v>
        <stp/>
        <stp>P</stp>
        <stp>0</stp>
        <stp>IR</stp>
        <stp>BONDKIS7010211</stp>
        <stp>20년이하(당일)</stp>
        <stp>45523</stp>
        <stp/>
        <tr r="BF70" s="2"/>
        <tr r="BF70" s="2"/>
      </tp>
      <tp t="s">
        <v/>
        <stp/>
        <stp>P</stp>
        <stp>0</stp>
        <stp>IR</stp>
        <stp>BONDKIS7010211</stp>
        <stp>30년이하(당일)</stp>
        <stp>45523</stp>
        <stp/>
        <tr r="BG70" s="2"/>
        <tr r="BG70" s="2"/>
      </tp>
      <tp t="s">
        <v/>
        <stp/>
        <stp>P</stp>
        <stp>0</stp>
        <stp>IR</stp>
        <stp>BONDKIS7010211</stp>
        <stp>50년이하(당일)</stp>
        <stp>45523</stp>
        <stp/>
        <tr r="BH70" s="2"/>
        <tr r="BH70" s="2"/>
      </tp>
      <tp>
        <v>3.601</v>
        <stp/>
        <stp>P</stp>
        <stp>0</stp>
        <stp>IR</stp>
        <stp>BONDKIS5033110</stp>
        <stp>10년이하(당일)</stp>
        <stp>45523</stp>
        <stp/>
        <tr r="BD27" s="2"/>
        <tr r="BD27" s="2"/>
      </tp>
      <tp>
        <v>9.0269999999999992</v>
        <stp/>
        <stp>P</stp>
        <stp>0</stp>
        <stp>IR</stp>
        <stp>BONDKIS6013212</stp>
        <stp>10년이하(당일)</stp>
        <stp>45523</stp>
        <stp/>
        <tr r="BD50" s="2"/>
        <tr r="BD50" s="2"/>
      </tp>
      <tp t="s">
        <v/>
        <stp/>
        <stp>P</stp>
        <stp>0</stp>
        <stp>IR</stp>
        <stp>BONDKIS3033110</stp>
        <stp>50년이하(당일)</stp>
        <stp>45523</stp>
        <stp/>
        <tr r="BH16" s="2"/>
        <tr r="BH16" s="2"/>
      </tp>
      <tp t="s">
        <v/>
        <stp/>
        <stp>P</stp>
        <stp>0</stp>
        <stp>IR</stp>
        <stp>BONDKIS5033110</stp>
        <stp>30년이하(당일)</stp>
        <stp>45523</stp>
        <stp/>
        <tr r="BG27" s="2"/>
        <tr r="BG27" s="2"/>
      </tp>
      <tp t="s">
        <v/>
        <stp/>
        <stp>P</stp>
        <stp>0</stp>
        <stp>IR</stp>
        <stp>BONDKIS6013212</stp>
        <stp>30년이하(당일)</stp>
        <stp>45523</stp>
        <stp/>
        <tr r="BG50" s="2"/>
        <tr r="BG50" s="2"/>
      </tp>
      <tp>
        <v>3.7570000000000001</v>
        <stp/>
        <stp>P</stp>
        <stp>0</stp>
        <stp>IR</stp>
        <stp>BONDKIS5033110</stp>
        <stp>20년이하(당일)</stp>
        <stp>45523</stp>
        <stp/>
        <tr r="BF27" s="2"/>
        <tr r="BF27" s="2"/>
      </tp>
      <tp>
        <v>9.75</v>
        <stp/>
        <stp>P</stp>
        <stp>0</stp>
        <stp>IR</stp>
        <stp>BONDKIS6013212</stp>
        <stp>20년이하(당일)</stp>
        <stp>45523</stp>
        <stp/>
        <tr r="BF50" s="2"/>
        <tr r="BF50" s="2"/>
      </tp>
      <tp>
        <v>3.1869999999999998</v>
        <stp/>
        <stp>P</stp>
        <stp>0</stp>
        <stp>IR</stp>
        <stp>BONDKIS3033110</stp>
        <stp>30년이하(당일)</stp>
        <stp>45523</stp>
        <stp/>
        <tr r="BG16" s="2"/>
        <tr r="BG16" s="2"/>
      </tp>
      <tp t="s">
        <v/>
        <stp/>
        <stp>P</stp>
        <stp>0</stp>
        <stp>IR</stp>
        <stp>BONDKIS5033110</stp>
        <stp>50년이하(당일)</stp>
        <stp>45523</stp>
        <stp/>
        <tr r="BH27" s="2"/>
        <tr r="BH27" s="2"/>
      </tp>
      <tp t="s">
        <v/>
        <stp/>
        <stp>P</stp>
        <stp>0</stp>
        <stp>IR</stp>
        <stp>BONDKIS6013212</stp>
        <stp>50년이하(당일)</stp>
        <stp>45523</stp>
        <stp/>
        <tr r="BH50" s="2"/>
        <tr r="BH50" s="2"/>
      </tp>
      <tp>
        <v>3.1509999999999998</v>
        <stp/>
        <stp>P</stp>
        <stp>0</stp>
        <stp>IR</stp>
        <stp>BONDKIS3033110</stp>
        <stp>20년이하(당일)</stp>
        <stp>45523</stp>
        <stp/>
        <tr r="BF16" s="2"/>
        <tr r="BF16" s="2"/>
      </tp>
      <tp>
        <v>3.149</v>
        <stp/>
        <stp>P</stp>
        <stp>0</stp>
        <stp>IR</stp>
        <stp>BONDKIS3033110</stp>
        <stp>10년이하(당일)</stp>
        <stp>45523</stp>
        <stp/>
        <tr r="BD16" s="2"/>
        <tr r="BD16" s="2"/>
      </tp>
      <tp t="s">
        <v/>
        <stp/>
        <stp>P</stp>
        <stp>0</stp>
        <stp>IR</stp>
        <stp>BONDKIS8010212</stp>
        <stp>50년이하(당일)</stp>
        <stp>45523</stp>
        <stp/>
        <tr r="BH81" s="2"/>
        <tr r="BH81" s="2"/>
      </tp>
      <tp t="s">
        <v/>
        <stp/>
        <stp>P</stp>
        <stp>0</stp>
        <stp>IR</stp>
        <stp>BONDKIS8010212</stp>
        <stp>30년이하(당일)</stp>
        <stp>45523</stp>
        <stp/>
        <tr r="BG81" s="2"/>
        <tr r="BG81" s="2"/>
      </tp>
      <tp>
        <v>10.189</v>
        <stp/>
        <stp>P</stp>
        <stp>0</stp>
        <stp>IR</stp>
        <stp>BONDKIS8010212</stp>
        <stp>20년이하(당일)</stp>
        <stp>45523</stp>
        <stp/>
        <tr r="BF81" s="2"/>
        <tr r="BF81" s="2"/>
      </tp>
      <tp>
        <v>9.3970000000000002</v>
        <stp/>
        <stp>P</stp>
        <stp>0</stp>
        <stp>IR</stp>
        <stp>BONDKIS8010212</stp>
        <stp>10년이하(당일)</stp>
        <stp>45523</stp>
        <stp/>
        <tr r="BD81" s="2"/>
        <tr r="BD81" s="2"/>
      </tp>
      <tp>
        <v>8.7970000000000006</v>
        <stp/>
        <stp>P</stp>
        <stp>0</stp>
        <stp>IR</stp>
        <stp>BONDKIS7010212</stp>
        <stp>10년이하(당일)</stp>
        <stp>45523</stp>
        <stp/>
        <tr r="BD71" s="2"/>
        <tr r="BD71" s="2"/>
      </tp>
      <tp>
        <v>9.4920000000000009</v>
        <stp/>
        <stp>P</stp>
        <stp>0</stp>
        <stp>IR</stp>
        <stp>BONDKIS7010212</stp>
        <stp>20년이하(당일)</stp>
        <stp>45523</stp>
        <stp/>
        <tr r="BF71" s="2"/>
        <tr r="BF71" s="2"/>
      </tp>
      <tp t="s">
        <v/>
        <stp/>
        <stp>P</stp>
        <stp>0</stp>
        <stp>IR</stp>
        <stp>BONDKIS7010212</stp>
        <stp>30년이하(당일)</stp>
        <stp>45523</stp>
        <stp/>
        <tr r="BG71" s="2"/>
        <tr r="BG71" s="2"/>
      </tp>
      <tp t="s">
        <v/>
        <stp/>
        <stp>P</stp>
        <stp>0</stp>
        <stp>IR</stp>
        <stp>BONDKIS7010212</stp>
        <stp>50년이하(당일)</stp>
        <stp>45523</stp>
        <stp/>
        <tr r="BH71" s="2"/>
        <tr r="BH71" s="2"/>
      </tp>
      <tp>
        <v>4.1710000000000003</v>
        <stp/>
        <stp>P</stp>
        <stp>0</stp>
        <stp>IR</stp>
        <stp>BONDNIC8030110</stp>
        <stp>15년이하(당일)</stp>
        <stp>45523</stp>
        <stp/>
        <tr r="BU73" s="2"/>
        <tr r="BU73" s="2"/>
      </tp>
      <tp>
        <v>3.71</v>
        <stp/>
        <stp>P</stp>
        <stp>0</stp>
        <stp>IR</stp>
        <stp>BONDNIC5030110</stp>
        <stp>15년이하(당일)</stp>
        <stp>45523</stp>
        <stp/>
        <tr r="BU27" s="2"/>
        <tr r="BU27" s="2"/>
      </tp>
      <tp>
        <v>3.8260000000000001</v>
        <stp/>
        <stp>P</stp>
        <stp>0</stp>
        <stp>IR</stp>
        <stp>BONDNIC7030110</stp>
        <stp>15년이하(당일)</stp>
        <stp>45523</stp>
        <stp/>
        <tr r="BU63" s="2"/>
        <tr r="BU63" s="2"/>
      </tp>
      <tp>
        <v>3.15</v>
        <stp/>
        <stp>P</stp>
        <stp>0</stp>
        <stp>IR</stp>
        <stp>BONDNIC3030110</stp>
        <stp>15년이하(당일)</stp>
        <stp>45523</stp>
        <stp/>
        <tr r="BU16" s="2"/>
        <tr r="BU16" s="2"/>
      </tp>
      <tp>
        <v>3.5289999999999999</v>
        <stp/>
        <stp>P</stp>
        <stp>0</stp>
        <stp>IR</stp>
        <stp>BONDKIS5023110</stp>
        <stp>10년이하(당일)</stp>
        <stp>45523</stp>
        <stp/>
        <tr r="BD25" s="2"/>
        <tr r="BD25" s="2"/>
      </tp>
      <tp>
        <v>10.412000000000001</v>
        <stp/>
        <stp>P</stp>
        <stp>0</stp>
        <stp>IR</stp>
        <stp>BONDKIS6013213</stp>
        <stp>10년이하(당일)</stp>
        <stp>45523</stp>
        <stp/>
        <tr r="BD51" s="2"/>
        <tr r="BD51" s="2"/>
      </tp>
      <tp t="s">
        <v/>
        <stp/>
        <stp>P</stp>
        <stp>0</stp>
        <stp>IR</stp>
        <stp>BONDKIS5023110</stp>
        <stp>30년이하(당일)</stp>
        <stp>45523</stp>
        <stp/>
        <tr r="BG25" s="2"/>
        <tr r="BG25" s="2"/>
      </tp>
      <tp t="s">
        <v/>
        <stp/>
        <stp>P</stp>
        <stp>0</stp>
        <stp>IR</stp>
        <stp>BONDKIS6013213</stp>
        <stp>30년이하(당일)</stp>
        <stp>45523</stp>
        <stp/>
        <tr r="BG51" s="2"/>
        <tr r="BG51" s="2"/>
      </tp>
      <tp>
        <v>3.6909999999999998</v>
        <stp/>
        <stp>P</stp>
        <stp>0</stp>
        <stp>IR</stp>
        <stp>BONDKIS5023110</stp>
        <stp>20년이하(당일)</stp>
        <stp>45523</stp>
        <stp/>
        <tr r="BF25" s="2"/>
        <tr r="BF25" s="2"/>
      </tp>
      <tp>
        <v>11.085000000000001</v>
        <stp/>
        <stp>P</stp>
        <stp>0</stp>
        <stp>IR</stp>
        <stp>BONDKIS6013213</stp>
        <stp>20년이하(당일)</stp>
        <stp>45523</stp>
        <stp/>
        <tr r="BF51" s="2"/>
        <tr r="BF51" s="2"/>
      </tp>
      <tp t="s">
        <v/>
        <stp/>
        <stp>P</stp>
        <stp>0</stp>
        <stp>IR</stp>
        <stp>BONDKIS5023110</stp>
        <stp>50년이하(당일)</stp>
        <stp>45523</stp>
        <stp/>
        <tr r="BH25" s="2"/>
        <tr r="BH25" s="2"/>
      </tp>
      <tp t="s">
        <v/>
        <stp/>
        <stp>P</stp>
        <stp>0</stp>
        <stp>IR</stp>
        <stp>BONDKIS6013213</stp>
        <stp>50년이하(당일)</stp>
        <stp>45523</stp>
        <stp/>
        <tr r="BH51" s="2"/>
        <tr r="BH51" s="2"/>
      </tp>
      <tp t="s">
        <v/>
        <stp/>
        <stp>P</stp>
        <stp>0</stp>
        <stp>IR</stp>
        <stp>BONDKIS8010213</stp>
        <stp>50년이하(당일)</stp>
        <stp>45523</stp>
        <stp/>
        <tr r="BH82" s="2"/>
        <tr r="BH82" s="2"/>
      </tp>
      <tp t="s">
        <v/>
        <stp/>
        <stp>P</stp>
        <stp>0</stp>
        <stp>IR</stp>
        <stp>BONDKIS8010213</stp>
        <stp>30년이하(당일)</stp>
        <stp>45523</stp>
        <stp/>
        <tr r="BG82" s="2"/>
        <tr r="BG82" s="2"/>
      </tp>
      <tp>
        <v>12.154</v>
        <stp/>
        <stp>P</stp>
        <stp>0</stp>
        <stp>IR</stp>
        <stp>BONDKIS8010213</stp>
        <stp>20년이하(당일)</stp>
        <stp>45523</stp>
        <stp/>
        <tr r="BF82" s="2"/>
        <tr r="BF82" s="2"/>
      </tp>
      <tp>
        <v>11.362</v>
        <stp/>
        <stp>P</stp>
        <stp>0</stp>
        <stp>IR</stp>
        <stp>BONDKIS8010213</stp>
        <stp>10년이하(당일)</stp>
        <stp>45523</stp>
        <stp/>
        <tr r="BD82" s="2"/>
        <tr r="BD82" s="2"/>
      </tp>
      <tp t="s">
        <v/>
        <stp/>
        <stp>P</stp>
        <stp>0</stp>
        <stp>IR</stp>
        <stp>BONDKIS7020110</stp>
        <stp>30년이하(당일)</stp>
        <stp>45523</stp>
        <stp/>
        <tr r="BG52" s="2"/>
        <tr r="BG52" s="2"/>
      </tp>
      <tp>
        <v>10.222</v>
        <stp/>
        <stp>P</stp>
        <stp>0</stp>
        <stp>IR</stp>
        <stp>BONDKIS7010213</stp>
        <stp>10년이하(당일)</stp>
        <stp>45523</stp>
        <stp/>
        <tr r="BD72" s="2"/>
        <tr r="BD72" s="2"/>
      </tp>
      <tp>
        <v>3.702</v>
        <stp/>
        <stp>P</stp>
        <stp>0</stp>
        <stp>IR</stp>
        <stp>BONDKIS7020110</stp>
        <stp>20년이하(당일)</stp>
        <stp>45523</stp>
        <stp/>
        <tr r="BF52" s="2"/>
        <tr r="BF52" s="2"/>
      </tp>
      <tp>
        <v>3.9319999999999999</v>
        <stp/>
        <stp>P</stp>
        <stp>0</stp>
        <stp>IR</stp>
        <stp>BONDKIS7020210</stp>
        <stp>10년이하(당일)</stp>
        <stp>45523</stp>
        <stp/>
        <tr r="BD55" s="2"/>
        <tr r="BD55" s="2"/>
      </tp>
      <tp>
        <v>10.917</v>
        <stp/>
        <stp>P</stp>
        <stp>0</stp>
        <stp>IR</stp>
        <stp>BONDKIS7010213</stp>
        <stp>20년이하(당일)</stp>
        <stp>45523</stp>
        <stp/>
        <tr r="BF72" s="2"/>
        <tr r="BF72" s="2"/>
      </tp>
      <tp>
        <v>3.544</v>
        <stp/>
        <stp>P</stp>
        <stp>0</stp>
        <stp>IR</stp>
        <stp>BONDKIS7020110</stp>
        <stp>10년이하(당일)</stp>
        <stp>45523</stp>
        <stp/>
        <tr r="BD52" s="2"/>
        <tr r="BD52" s="2"/>
      </tp>
      <tp>
        <v>4.3869999999999996</v>
        <stp/>
        <stp>P</stp>
        <stp>0</stp>
        <stp>IR</stp>
        <stp>BONDKIS7020210</stp>
        <stp>20년이하(당일)</stp>
        <stp>45523</stp>
        <stp/>
        <tr r="BF55" s="2"/>
        <tr r="BF55" s="2"/>
      </tp>
      <tp t="s">
        <v/>
        <stp/>
        <stp>P</stp>
        <stp>0</stp>
        <stp>IR</stp>
        <stp>BONDKIS7010213</stp>
        <stp>30년이하(당일)</stp>
        <stp>45523</stp>
        <stp/>
        <tr r="BG72" s="2"/>
        <tr r="BG72" s="2"/>
      </tp>
      <tp t="s">
        <v/>
        <stp/>
        <stp>P</stp>
        <stp>0</stp>
        <stp>IR</stp>
        <stp>BONDKIS7020210</stp>
        <stp>30년이하(당일)</stp>
        <stp>45523</stp>
        <stp/>
        <tr r="BG55" s="2"/>
        <tr r="BG55" s="2"/>
      </tp>
      <tp t="s">
        <v/>
        <stp/>
        <stp>P</stp>
        <stp>0</stp>
        <stp>IR</stp>
        <stp>BONDKIS7010213</stp>
        <stp>50년이하(당일)</stp>
        <stp>45523</stp>
        <stp/>
        <tr r="BH72" s="2"/>
        <tr r="BH72" s="2"/>
      </tp>
      <tp t="s">
        <v/>
        <stp/>
        <stp>P</stp>
        <stp>0</stp>
        <stp>IR</stp>
        <stp>BONDKIS7020210</stp>
        <stp>50년이하(당일)</stp>
        <stp>45523</stp>
        <stp/>
        <tr r="BH55" s="2"/>
        <tr r="BH55" s="2"/>
      </tp>
      <tp t="s">
        <v/>
        <stp/>
        <stp>P</stp>
        <stp>0</stp>
        <stp>IR</stp>
        <stp>BONDKIS7020110</stp>
        <stp>50년이하(당일)</stp>
        <stp>45523</stp>
        <stp/>
        <tr r="BH52" s="2"/>
        <tr r="BH52" s="2"/>
      </tp>
      <tp>
        <v>3.633</v>
        <stp/>
        <stp>P</stp>
        <stp>0</stp>
        <stp>IR</stp>
        <stp>BONDNIC5020110</stp>
        <stp>15년이하(당일)</stp>
        <stp>45523</stp>
        <stp/>
        <tr r="BU25" s="2"/>
        <tr r="BU25" s="2"/>
      </tp>
      <tp>
        <v>7.2489999999999997</v>
        <stp/>
        <stp>P</stp>
        <stp>0</stp>
        <stp>IR</stp>
        <stp>BONDNIC9999116</stp>
        <stp>6월이하(당일)</stp>
        <stp>45523</stp>
        <stp/>
        <tr r="BJ50" s="2"/>
        <tr r="BJ50" s="2"/>
      </tp>
      <tp>
        <v>8.6020000000000003</v>
        <stp/>
        <stp>P</stp>
        <stp>0</stp>
        <stp>IR</stp>
        <stp>BONDNIC9999117</stp>
        <stp>6월이하(당일)</stp>
        <stp>45523</stp>
        <stp/>
        <tr r="BJ51" s="2"/>
        <tr r="BJ51" s="2"/>
      </tp>
      <tp>
        <v>5.47</v>
        <stp/>
        <stp>P</stp>
        <stp>0</stp>
        <stp>IR</stp>
        <stp>BONDNIC9999114</stp>
        <stp>6월이하(당일)</stp>
        <stp>45523</stp>
        <stp/>
        <tr r="BJ48" s="2"/>
        <tr r="BJ48" s="2"/>
      </tp>
      <tp>
        <v>6.5309999999999997</v>
        <stp/>
        <stp>P</stp>
        <stp>0</stp>
        <stp>IR</stp>
        <stp>BONDNIC9999115</stp>
        <stp>6월이하(당일)</stp>
        <stp>45523</stp>
        <stp/>
        <tr r="BJ49" s="2"/>
        <tr r="BJ49" s="2"/>
      </tp>
      <tp>
        <v>4.2270000000000003</v>
        <stp/>
        <stp>P</stp>
        <stp>0</stp>
        <stp>IR</stp>
        <stp>BONDNIC9999112</stp>
        <stp>6월이하(당일)</stp>
        <stp>45523</stp>
        <stp/>
        <tr r="BJ46" s="2"/>
        <tr r="BJ46" s="2"/>
      </tp>
      <tp>
        <v>4.8620000000000001</v>
        <stp/>
        <stp>P</stp>
        <stp>0</stp>
        <stp>IR</stp>
        <stp>BONDNIC9999113</stp>
        <stp>6월이하(당일)</stp>
        <stp>45523</stp>
        <stp/>
        <tr r="BJ47" s="2"/>
        <tr r="BJ47" s="2"/>
      </tp>
      <tp>
        <v>3.4449999999999998</v>
        <stp/>
        <stp>P</stp>
        <stp>0</stp>
        <stp>IR</stp>
        <stp>BONDNIC9999110</stp>
        <stp>6월이하(당일)</stp>
        <stp>45523</stp>
        <stp/>
        <tr r="BJ44" s="2"/>
        <tr r="BJ44" s="2"/>
      </tp>
      <tp>
        <v>3.4710000000000001</v>
        <stp/>
        <stp>P</stp>
        <stp>0</stp>
        <stp>IR</stp>
        <stp>BONDNIC9999111</stp>
        <stp>6월이하(당일)</stp>
        <stp>45523</stp>
        <stp/>
        <tr r="BJ45" s="2"/>
        <tr r="BJ45" s="2"/>
      </tp>
      <tp>
        <v>3.423</v>
        <stp/>
        <stp>P</stp>
        <stp>0</stp>
        <stp>IR</stp>
        <stp>BONDNIC9999118</stp>
        <stp>6월이하(당일)</stp>
        <stp>45523</stp>
        <stp/>
        <tr r="BJ43" s="2"/>
        <tr r="BJ43" s="2"/>
      </tp>
      <tp>
        <v>4.3449999999999998</v>
        <stp/>
        <stp>P</stp>
        <stp>0</stp>
        <stp>IR</stp>
        <stp>BONDFNP6010131</stp>
        <stp>9월이하(당일)</stp>
        <stp>45523</stp>
        <stp/>
        <tr r="CA37" s="2"/>
        <tr r="CA37" s="2"/>
      </tp>
      <tp>
        <v>5.625</v>
        <stp/>
        <stp>P</stp>
        <stp>0</stp>
        <stp>IR</stp>
        <stp>BONDFNP6010133</stp>
        <stp>9월이하(당일)</stp>
        <stp>45523</stp>
        <stp/>
        <tr r="CA39" s="2"/>
        <tr r="CA39" s="2"/>
      </tp>
      <tp>
        <v>5.0170000000000003</v>
        <stp/>
        <stp>P</stp>
        <stp>0</stp>
        <stp>IR</stp>
        <stp>BONDFNP6010132</stp>
        <stp>9월이하(당일)</stp>
        <stp>45523</stp>
        <stp/>
        <tr r="CA38" s="2"/>
        <tr r="CA38" s="2"/>
      </tp>
      <tp>
        <v>3.3679999999999999</v>
        <stp/>
        <stp>P</stp>
        <stp>0</stp>
        <stp>IR</stp>
        <stp>BONDFNP6010121</stp>
        <stp>9월이하(당일)</stp>
        <stp>45523</stp>
        <stp/>
        <tr r="CA34" s="2"/>
        <tr r="CA34" s="2"/>
      </tp>
      <tp>
        <v>3.444</v>
        <stp/>
        <stp>P</stp>
        <stp>0</stp>
        <stp>IR</stp>
        <stp>BONDFNP6010123</stp>
        <stp>9월이하(당일)</stp>
        <stp>45523</stp>
        <stp/>
        <tr r="CA36" s="2"/>
        <tr r="CA36" s="2"/>
      </tp>
      <tp>
        <v>3.391</v>
        <stp/>
        <stp>P</stp>
        <stp>0</stp>
        <stp>IR</stp>
        <stp>BONDFNP6010122</stp>
        <stp>9월이하(당일)</stp>
        <stp>45523</stp>
        <stp/>
        <tr r="CA35" s="2"/>
        <tr r="CA35" s="2"/>
      </tp>
      <tp>
        <v>6.6349999999999998</v>
        <stp/>
        <stp>P</stp>
        <stp>0</stp>
        <stp>IR</stp>
        <stp>BONDKIS9999116</stp>
        <stp>6월이하(당일)</stp>
        <stp>45523</stp>
        <stp/>
        <tr r="AT40" s="2"/>
        <tr r="AT40" s="2"/>
      </tp>
      <tp>
        <v>7.3650000000000002</v>
        <stp/>
        <stp>P</stp>
        <stp>0</stp>
        <stp>IR</stp>
        <stp>BONDKIS9999117</stp>
        <stp>6월이하(당일)</stp>
        <stp>45523</stp>
        <stp/>
        <tr r="AT41" s="2"/>
        <tr r="AT41" s="2"/>
      </tp>
      <tp>
        <v>4.8929999999999998</v>
        <stp/>
        <stp>P</stp>
        <stp>0</stp>
        <stp>IR</stp>
        <stp>BONDKIS9999114</stp>
        <stp>6월이하(당일)</stp>
        <stp>45523</stp>
        <stp/>
        <tr r="AT38" s="2"/>
        <tr r="AT38" s="2"/>
      </tp>
      <tp>
        <v>5.5529999999999999</v>
        <stp/>
        <stp>P</stp>
        <stp>0</stp>
        <stp>IR</stp>
        <stp>BONDKIS9999115</stp>
        <stp>6월이하(당일)</stp>
        <stp>45523</stp>
        <stp/>
        <tr r="AT39" s="2"/>
        <tr r="AT39" s="2"/>
      </tp>
      <tp>
        <v>3.4809999999999999</v>
        <stp/>
        <stp>P</stp>
        <stp>0</stp>
        <stp>IR</stp>
        <stp>BONDKIS9999112</stp>
        <stp>6월이하(당일)</stp>
        <stp>45523</stp>
        <stp/>
        <tr r="AT36" s="2"/>
        <tr r="AT36" s="2"/>
      </tp>
      <tp>
        <v>4.2930000000000001</v>
        <stp/>
        <stp>P</stp>
        <stp>0</stp>
        <stp>IR</stp>
        <stp>BONDKIS9999113</stp>
        <stp>6월이하(당일)</stp>
        <stp>45523</stp>
        <stp/>
        <tr r="AT37" s="2"/>
        <tr r="AT37" s="2"/>
      </tp>
      <tp>
        <v>3.4510000000000001</v>
        <stp/>
        <stp>P</stp>
        <stp>0</stp>
        <stp>IR</stp>
        <stp>BONDKIS9999111</stp>
        <stp>6월이하(당일)</stp>
        <stp>45523</stp>
        <stp/>
        <tr r="AT35" s="2"/>
        <tr r="AT35" s="2"/>
      </tp>
      <tp>
        <v>8.7029999999999994</v>
        <stp/>
        <stp>P</stp>
        <stp>0</stp>
        <stp>IR</stp>
        <stp>BONDKIS9999118</stp>
        <stp>6월이하(당일)</stp>
        <stp>45523</stp>
        <stp/>
        <tr r="AT42" s="2"/>
        <tr r="AT42" s="2"/>
      </tp>
      <tp>
        <v>3.4169999999999998</v>
        <stp/>
        <stp>P</stp>
        <stp>0</stp>
        <stp>IR</stp>
        <stp>BONDKIS9999119</stp>
        <stp>6월이하(당일)</stp>
        <stp>45523</stp>
        <stp/>
        <tr r="AT34" s="2"/>
        <tr r="AT34" s="2"/>
      </tp>
      <tp>
        <v>3.4769999999999999</v>
        <stp/>
        <stp>P</stp>
        <stp>0</stp>
        <stp>IR</stp>
        <stp>BONDNIC6040113</stp>
        <stp>9월이하(당일)</stp>
        <stp>45523</stp>
        <stp/>
        <tr r="BK36" s="2"/>
        <tr r="BK36" s="2"/>
      </tp>
      <tp>
        <v>5.0389999999999997</v>
        <stp/>
        <stp>P</stp>
        <stp>0</stp>
        <stp>IR</stp>
        <stp>BONDNIC6050112</stp>
        <stp>9월이하(당일)</stp>
        <stp>45523</stp>
        <stp/>
        <tr r="BK38" s="2"/>
        <tr r="BK38" s="2"/>
      </tp>
      <tp>
        <v>6.76</v>
        <stp/>
        <stp>P</stp>
        <stp>0</stp>
        <stp>IR</stp>
        <stp>BONDNIC6060111</stp>
        <stp>9월이하(당일)</stp>
        <stp>45523</stp>
        <stp/>
        <tr r="BK40" s="2"/>
        <tr r="BK40" s="2"/>
      </tp>
      <tp>
        <v>3.4159999999999999</v>
        <stp/>
        <stp>P</stp>
        <stp>0</stp>
        <stp>IR</stp>
        <stp>BONDNIC6040112</stp>
        <stp>9월이하(당일)</stp>
        <stp>45523</stp>
        <stp/>
        <tr r="BK35" s="2"/>
        <tr r="BK35" s="2"/>
      </tp>
      <tp>
        <v>5.633</v>
        <stp/>
        <stp>P</stp>
        <stp>0</stp>
        <stp>IR</stp>
        <stp>BONDNIC6050113</stp>
        <stp>9월이하(당일)</stp>
        <stp>45523</stp>
        <stp/>
        <tr r="BK39" s="2"/>
        <tr r="BK39" s="2"/>
      </tp>
      <tp>
        <v>3.39</v>
        <stp/>
        <stp>P</stp>
        <stp>0</stp>
        <stp>IR</stp>
        <stp>BONDNIC6040111</stp>
        <stp>9월이하(당일)</stp>
        <stp>45523</stp>
        <stp/>
        <tr r="BK34" s="2"/>
        <tr r="BK34" s="2"/>
      </tp>
      <tp>
        <v>8.8699999999999992</v>
        <stp/>
        <stp>P</stp>
        <stp>0</stp>
        <stp>IR</stp>
        <stp>BONDNIC6060113</stp>
        <stp>9월이하(당일)</stp>
        <stp>45523</stp>
        <stp/>
        <tr r="BK42" s="2"/>
        <tr r="BK42" s="2"/>
      </tp>
      <tp>
        <v>4.3490000000000002</v>
        <stp/>
        <stp>P</stp>
        <stp>0</stp>
        <stp>IR</stp>
        <stp>BONDNIC6050111</stp>
        <stp>9월이하(당일)</stp>
        <stp>45523</stp>
        <stp/>
        <tr r="BK37" s="2"/>
        <tr r="BK37" s="2"/>
      </tp>
      <tp>
        <v>7.4930000000000003</v>
        <stp/>
        <stp>P</stp>
        <stp>0</stp>
        <stp>IR</stp>
        <stp>BONDNIC6060112</stp>
        <stp>9월이하(당일)</stp>
        <stp>45523</stp>
        <stp/>
        <tr r="BK41" s="2"/>
        <tr r="BK41" s="2"/>
      </tp>
      <tp>
        <v>3.4510000000000001</v>
        <stp/>
        <stp>P</stp>
        <stp>0</stp>
        <stp>IR</stp>
        <stp>BONDFNP9999111</stp>
        <stp>6월이하(당일)</stp>
        <stp>45523</stp>
        <stp/>
        <tr r="BZ45" s="2"/>
        <tr r="BZ45" s="2"/>
      </tp>
      <tp>
        <v>3.4209999999999998</v>
        <stp/>
        <stp>P</stp>
        <stp>0</stp>
        <stp>IR</stp>
        <stp>BONDFNP9999110</stp>
        <stp>6월이하(당일)</stp>
        <stp>45523</stp>
        <stp/>
        <tr r="BZ44" s="2"/>
        <tr r="BZ44" s="2"/>
      </tp>
      <tp>
        <v>4.8520000000000003</v>
        <stp/>
        <stp>P</stp>
        <stp>0</stp>
        <stp>IR</stp>
        <stp>BONDFNP9999113</stp>
        <stp>6월이하(당일)</stp>
        <stp>45523</stp>
        <stp/>
        <tr r="BZ47" s="2"/>
        <tr r="BZ47" s="2"/>
      </tp>
      <tp>
        <v>4.2530000000000001</v>
        <stp/>
        <stp>P</stp>
        <stp>0</stp>
        <stp>IR</stp>
        <stp>BONDFNP9999112</stp>
        <stp>6월이하(당일)</stp>
        <stp>45523</stp>
        <stp/>
        <tr r="BZ46" s="2"/>
        <tr r="BZ46" s="2"/>
      </tp>
      <tp>
        <v>6.5570000000000004</v>
        <stp/>
        <stp>P</stp>
        <stp>0</stp>
        <stp>IR</stp>
        <stp>BONDFNP9999115</stp>
        <stp>6월이하(당일)</stp>
        <stp>45523</stp>
        <stp/>
        <tr r="BZ49" s="2"/>
        <tr r="BZ49" s="2"/>
      </tp>
      <tp>
        <v>5.4989999999999997</v>
        <stp/>
        <stp>P</stp>
        <stp>0</stp>
        <stp>IR</stp>
        <stp>BONDFNP9999114</stp>
        <stp>6월이하(당일)</stp>
        <stp>45523</stp>
        <stp/>
        <tr r="BZ48" s="2"/>
        <tr r="BZ48" s="2"/>
      </tp>
      <tp>
        <v>8.593</v>
        <stp/>
        <stp>P</stp>
        <stp>0</stp>
        <stp>IR</stp>
        <stp>BONDFNP9999117</stp>
        <stp>6월이하(당일)</stp>
        <stp>45523</stp>
        <stp/>
        <tr r="BZ51" s="2"/>
        <tr r="BZ51" s="2"/>
      </tp>
      <tp>
        <v>7.2679999999999998</v>
        <stp/>
        <stp>P</stp>
        <stp>0</stp>
        <stp>IR</stp>
        <stp>BONDFNP9999116</stp>
        <stp>6월이하(당일)</stp>
        <stp>45523</stp>
        <stp/>
        <tr r="BZ50" s="2"/>
        <tr r="BZ50" s="2"/>
      </tp>
      <tp>
        <v>3.399</v>
        <stp/>
        <stp>P</stp>
        <stp>0</stp>
        <stp>IR</stp>
        <stp>BONDFNP9999118</stp>
        <stp>6월이하(당일)</stp>
        <stp>45523</stp>
        <stp/>
        <tr r="BZ43" s="2"/>
        <tr r="BZ43" s="2"/>
      </tp>
      <tp>
        <v>3.419</v>
        <stp/>
        <stp>P</stp>
        <stp>0</stp>
        <stp>IR</stp>
        <stp>BONDKIS6013122</stp>
        <stp>9월이하(당일)</stp>
        <stp>45523</stp>
        <stp/>
        <tr r="AU44" s="2"/>
        <tr r="AU44" s="2"/>
      </tp>
      <tp>
        <v>3.464</v>
        <stp/>
        <stp>P</stp>
        <stp>0</stp>
        <stp>IR</stp>
        <stp>BONDKIS6013123</stp>
        <stp>9월이하(당일)</stp>
        <stp>45523</stp>
        <stp/>
        <tr r="AU45" s="2"/>
        <tr r="AU45" s="2"/>
      </tp>
      <tp>
        <v>3.387</v>
        <stp/>
        <stp>P</stp>
        <stp>0</stp>
        <stp>IR</stp>
        <stp>BONDKIS6013121</stp>
        <stp>9월이하(당일)</stp>
        <stp>45523</stp>
        <stp/>
        <tr r="AU43" s="2"/>
        <tr r="AU43" s="2"/>
      </tp>
      <tp>
        <v>3.3809999999999998</v>
        <stp/>
        <stp>P</stp>
        <stp>0</stp>
        <stp>IR</stp>
        <stp>BONDKSD6010121</stp>
        <stp>9월이하(당일)</stp>
        <stp>45523</stp>
        <stp/>
        <tr r="CQ34" s="2"/>
        <tr r="CQ34" s="2"/>
      </tp>
      <tp>
        <v>3.407</v>
        <stp/>
        <stp>P</stp>
        <stp>0</stp>
        <stp>IR</stp>
        <stp>BONDKSD6010122</stp>
        <stp>9월이하(당일)</stp>
        <stp>45523</stp>
        <stp/>
        <tr r="CQ35" s="2"/>
        <tr r="CQ35" s="2"/>
      </tp>
      <tp>
        <v>3.4620000000000002</v>
        <stp/>
        <stp>P</stp>
        <stp>0</stp>
        <stp>IR</stp>
        <stp>BONDKSD6010123</stp>
        <stp>9월이하(당일)</stp>
        <stp>45523</stp>
        <stp/>
        <tr r="CQ36" s="2"/>
        <tr r="CQ36" s="2"/>
      </tp>
      <tp>
        <v>5.0309999999999997</v>
        <stp/>
        <stp>P</stp>
        <stp>0</stp>
        <stp>IR</stp>
        <stp>BONDKIS6013132</stp>
        <stp>9월이하(당일)</stp>
        <stp>45523</stp>
        <stp/>
        <tr r="AU47" s="2"/>
        <tr r="AU47" s="2"/>
      </tp>
      <tp>
        <v>5.6769999999999996</v>
        <stp/>
        <stp>P</stp>
        <stp>0</stp>
        <stp>IR</stp>
        <stp>BONDKIS6013133</stp>
        <stp>9월이하(당일)</stp>
        <stp>45523</stp>
        <stp/>
        <tr r="AU48" s="2"/>
        <tr r="AU48" s="2"/>
      </tp>
      <tp>
        <v>4.375</v>
        <stp/>
        <stp>P</stp>
        <stp>0</stp>
        <stp>IR</stp>
        <stp>BONDKIS6013131</stp>
        <stp>9월이하(당일)</stp>
        <stp>45523</stp>
        <stp/>
        <tr r="AU46" s="2"/>
        <tr r="AU46" s="2"/>
      </tp>
      <tp>
        <v>4.359</v>
        <stp/>
        <stp>P</stp>
        <stp>0</stp>
        <stp>IR</stp>
        <stp>BONDKSD6010131</stp>
        <stp>9월이하(당일)</stp>
        <stp>45523</stp>
        <stp/>
        <tr r="CQ37" s="2"/>
        <tr r="CQ37" s="2"/>
      </tp>
      <tp>
        <v>5.0279999999999996</v>
        <stp/>
        <stp>P</stp>
        <stp>0</stp>
        <stp>IR</stp>
        <stp>BONDKSD6010132</stp>
        <stp>9월이하(당일)</stp>
        <stp>45523</stp>
        <stp/>
        <tr r="CQ38" s="2"/>
        <tr r="CQ38" s="2"/>
      </tp>
      <tp>
        <v>5.641</v>
        <stp/>
        <stp>P</stp>
        <stp>0</stp>
        <stp>IR</stp>
        <stp>BONDKSD6010133</stp>
        <stp>9월이하(당일)</stp>
        <stp>45523</stp>
        <stp/>
        <tr r="CQ39" s="2"/>
        <tr r="CQ39" s="2"/>
      </tp>
      <tp t="s">
        <v/>
        <stp/>
        <stp>P</stp>
        <stp>0</stp>
        <stp>IR</stp>
        <stp>BONDKSD5050131</stp>
        <stp>15년이하(당일)</stp>
        <stp>45523</stp>
        <stp/>
        <tr r="DA31" s="2"/>
        <tr r="DA31" s="2"/>
      </tp>
      <tp t="s">
        <v/>
        <stp/>
        <stp>P</stp>
        <stp>0</stp>
        <stp>IR</stp>
        <stp>BONDKSD8010132</stp>
        <stp>15년이하(당일)</stp>
        <stp>45523</stp>
        <stp/>
        <tr r="DA78" s="2"/>
        <tr r="DA78" s="2"/>
      </tp>
      <tp t="s">
        <v/>
        <stp/>
        <stp>P</stp>
        <stp>0</stp>
        <stp>IR</stp>
        <stp>BONDKSD7010132</stp>
        <stp>15년이하(당일)</stp>
        <stp>45523</stp>
        <stp/>
        <tr r="DA68" s="2"/>
        <tr r="DA68" s="2"/>
      </tp>
      <tp t="s">
        <v/>
        <stp/>
        <stp>P</stp>
        <stp>0</stp>
        <stp>IR</stp>
        <stp>BONDKSD6010132</stp>
        <stp>15년이하(당일)</stp>
        <stp>45523</stp>
        <stp/>
        <tr r="DA38" s="2"/>
        <tr r="DA38" s="2"/>
      </tp>
      <tp t="s">
        <v/>
        <stp/>
        <stp>P</stp>
        <stp>0</stp>
        <stp>IR</stp>
        <stp>BONDKSD8010133</stp>
        <stp>15년이하(당일)</stp>
        <stp>45523</stp>
        <stp/>
        <tr r="DA79" s="2"/>
        <tr r="DA79" s="2"/>
      </tp>
      <tp t="s">
        <v/>
        <stp/>
        <stp>P</stp>
        <stp>0</stp>
        <stp>IR</stp>
        <stp>BONDKSD7010133</stp>
        <stp>15년이하(당일)</stp>
        <stp>45523</stp>
        <stp/>
        <tr r="DA69" s="2"/>
        <tr r="DA69" s="2"/>
      </tp>
      <tp t="s">
        <v/>
        <stp/>
        <stp>P</stp>
        <stp>0</stp>
        <stp>IR</stp>
        <stp>BONDKSD7020130</stp>
        <stp>15년이하(당일)</stp>
        <stp>45523</stp>
        <stp/>
        <tr r="DA54" s="2"/>
        <tr r="DA54" s="2"/>
      </tp>
      <tp t="s">
        <v/>
        <stp/>
        <stp>P</stp>
        <stp>0</stp>
        <stp>IR</stp>
        <stp>BONDKSD6010133</stp>
        <stp>15년이하(당일)</stp>
        <stp>45523</stp>
        <stp/>
        <tr r="DA39" s="2"/>
        <tr r="DA39" s="2"/>
      </tp>
      <tp t="s">
        <v/>
        <stp/>
        <stp>P</stp>
        <stp>0</stp>
        <stp>IR</stp>
        <stp>BONDKSD8010131</stp>
        <stp>15년이하(당일)</stp>
        <stp>45523</stp>
        <stp/>
        <tr r="DA77" s="2"/>
        <tr r="DA77" s="2"/>
      </tp>
      <tp t="s">
        <v/>
        <stp/>
        <stp>P</stp>
        <stp>0</stp>
        <stp>IR</stp>
        <stp>BONDKSD7010131</stp>
        <stp>15년이하(당일)</stp>
        <stp>45523</stp>
        <stp/>
        <tr r="DA67" s="2"/>
        <tr r="DA67" s="2"/>
      </tp>
      <tp t="s">
        <v/>
        <stp/>
        <stp>P</stp>
        <stp>0</stp>
        <stp>IR</stp>
        <stp>BONDKSD6010131</stp>
        <stp>15년이하(당일)</stp>
        <stp>45523</stp>
        <stp/>
        <tr r="DA37" s="2"/>
        <tr r="DA37" s="2"/>
      </tp>
      <tp>
        <v>4.6529999999999996</v>
        <stp/>
        <stp>P</stp>
        <stp>0</stp>
        <stp>IR</stp>
        <stp>BONDKIS5053131</stp>
        <stp>15년이하(당일)</stp>
        <stp>45523</stp>
        <stp/>
        <tr r="BE31" s="2"/>
        <tr r="BE31" s="2"/>
      </tp>
      <tp>
        <v>4.7949999999999999</v>
        <stp/>
        <stp>P</stp>
        <stp>0</stp>
        <stp>IR</stp>
        <stp>BONDKIS5053132</stp>
        <stp>15년이하(당일)</stp>
        <stp>45523</stp>
        <stp/>
        <tr r="BE32" s="2"/>
        <tr r="BE32" s="2"/>
      </tp>
      <tp>
        <v>4.9450000000000003</v>
        <stp/>
        <stp>P</stp>
        <stp>0</stp>
        <stp>IR</stp>
        <stp>BONDKIS5053133</stp>
        <stp>15년이하(당일)</stp>
        <stp>45523</stp>
        <stp/>
        <tr r="BE33" s="2"/>
        <tr r="BE33" s="2"/>
      </tp>
      <tp>
        <v>5.6959999999999997</v>
        <stp/>
        <stp>P</stp>
        <stp>0</stp>
        <stp>IR</stp>
        <stp>BONDKIS6013131</stp>
        <stp>15년이하(당일)</stp>
        <stp>45523</stp>
        <stp/>
        <tr r="BE46" s="2"/>
        <tr r="BE46" s="2"/>
      </tp>
      <tp>
        <v>6.1580000000000004</v>
        <stp/>
        <stp>P</stp>
        <stp>0</stp>
        <stp>IR</stp>
        <stp>BONDKIS8010131</stp>
        <stp>15년이하(당일)</stp>
        <stp>45523</stp>
        <stp/>
        <tr r="BE77" s="2"/>
        <tr r="BE77" s="2"/>
      </tp>
      <tp>
        <v>5.6</v>
        <stp/>
        <stp>P</stp>
        <stp>0</stp>
        <stp>IR</stp>
        <stp>BONDKIS7010131</stp>
        <stp>15년이하(당일)</stp>
        <stp>45523</stp>
        <stp/>
        <tr r="BE67" s="2"/>
        <tr r="BE67" s="2"/>
      </tp>
      <tp>
        <v>6.0869999999999997</v>
        <stp/>
        <stp>P</stp>
        <stp>0</stp>
        <stp>IR</stp>
        <stp>BONDKIS6013132</stp>
        <stp>15년이하(당일)</stp>
        <stp>45523</stp>
        <stp/>
        <tr r="BE47" s="2"/>
        <tr r="BE47" s="2"/>
      </tp>
      <tp>
        <v>6.585</v>
        <stp/>
        <stp>P</stp>
        <stp>0</stp>
        <stp>IR</stp>
        <stp>BONDKIS8010132</stp>
        <stp>15년이하(당일)</stp>
        <stp>45523</stp>
        <stp/>
        <tr r="BE78" s="2"/>
        <tr r="BE78" s="2"/>
      </tp>
      <tp>
        <v>6.0170000000000003</v>
        <stp/>
        <stp>P</stp>
        <stp>0</stp>
        <stp>IR</stp>
        <stp>BONDKIS7010132</stp>
        <stp>15년이하(당일)</stp>
        <stp>45523</stp>
        <stp/>
        <tr r="BE68" s="2"/>
        <tr r="BE68" s="2"/>
      </tp>
      <tp>
        <v>6.7309999999999999</v>
        <stp/>
        <stp>P</stp>
        <stp>0</stp>
        <stp>IR</stp>
        <stp>BONDKIS6013133</stp>
        <stp>15년이하(당일)</stp>
        <stp>45523</stp>
        <stp/>
        <tr r="BE48" s="2"/>
        <tr r="BE48" s="2"/>
      </tp>
      <tp>
        <v>7.1029999999999998</v>
        <stp/>
        <stp>P</stp>
        <stp>0</stp>
        <stp>IR</stp>
        <stp>BONDKIS8010133</stp>
        <stp>15년이하(당일)</stp>
        <stp>45523</stp>
        <stp/>
        <tr r="BE79" s="2"/>
        <tr r="BE79" s="2"/>
      </tp>
      <tp>
        <v>6.5250000000000004</v>
        <stp/>
        <stp>P</stp>
        <stp>0</stp>
        <stp>IR</stp>
        <stp>BONDKIS7010133</stp>
        <stp>15년이하(당일)</stp>
        <stp>45523</stp>
        <stp/>
        <tr r="BE69" s="2"/>
        <tr r="BE69" s="2"/>
      </tp>
      <tp>
        <v>4.0250000000000004</v>
        <stp/>
        <stp>P</stp>
        <stp>0</stp>
        <stp>IR</stp>
        <stp>BONDKIS7020130</stp>
        <stp>15년이하(당일)</stp>
        <stp>45523</stp>
        <stp/>
        <tr r="BE54" s="2"/>
        <tr r="BE54" s="2"/>
      </tp>
      <tp>
        <v>2.9950000000000001</v>
        <stp/>
        <stp>P</stp>
        <stp>0</stp>
        <stp>IR</stp>
        <stp>BONDKBPD000</stp>
        <stp>2.5년이하(당일)</stp>
        <stp>45523</stp>
        <stp/>
        <tr r="AI20" s="2"/>
        <tr r="AI20" s="2"/>
      </tp>
      <tp>
        <v>3.0449999999999999</v>
        <stp/>
        <stp>P</stp>
        <stp>0</stp>
        <stp>IR</stp>
        <stp>BONDKBPD000</stp>
        <stp>1.5년이하(당일)</stp>
        <stp>45523</stp>
        <stp/>
        <tr r="AG20" s="2"/>
        <tr r="AG20" s="2"/>
      </tp>
      <tp>
        <v>7.6609999999999996</v>
        <stp/>
        <stp>P</stp>
        <stp>0</stp>
        <stp>IR</stp>
        <stp>BONDKBPE340</stp>
        <stp>1.5년이하(당일)</stp>
        <stp>45523</stp>
        <stp/>
        <tr r="AG50" s="2"/>
        <tr r="AG50" s="2"/>
      </tp>
      <tp>
        <v>8.9109999999999996</v>
        <stp/>
        <stp>P</stp>
        <stp>0</stp>
        <stp>IR</stp>
        <stp>BONDKBPE350</stp>
        <stp>1.5년이하(당일)</stp>
        <stp>45523</stp>
        <stp/>
        <tr r="AG51" s="2"/>
        <tr r="AG51" s="2"/>
      </tp>
      <tp>
        <v>5.1740000000000004</v>
        <stp/>
        <stp>P</stp>
        <stp>0</stp>
        <stp>IR</stp>
        <stp>BONDKBPE320</stp>
        <stp>1.5년이하(당일)</stp>
        <stp>45523</stp>
        <stp/>
        <tr r="AG47" s="2"/>
        <tr r="AG47" s="2"/>
      </tp>
      <tp>
        <v>5.7389999999999999</v>
        <stp/>
        <stp>P</stp>
        <stp>0</stp>
        <stp>IR</stp>
        <stp>BONDKBPE330</stp>
        <stp>1.5년이하(당일)</stp>
        <stp>45523</stp>
        <stp/>
        <tr r="AG48" s="2"/>
        <tr r="AG48" s="2"/>
      </tp>
      <tp>
        <v>3.5470000000000002</v>
        <stp/>
        <stp>P</stp>
        <stp>0</stp>
        <stp>IR</stp>
        <stp>BONDKBPE300</stp>
        <stp>1.5년이하(당일)</stp>
        <stp>45523</stp>
        <stp/>
        <tr r="AG45" s="2"/>
        <tr r="AG45" s="2"/>
      </tp>
      <tp>
        <v>4.4130000000000003</v>
        <stp/>
        <stp>P</stp>
        <stp>0</stp>
        <stp>IR</stp>
        <stp>BONDKBPE310</stp>
        <stp>1.5년이하(당일)</stp>
        <stp>45523</stp>
        <stp/>
        <tr r="AG46" s="2"/>
        <tr r="AG46" s="2"/>
      </tp>
      <tp>
        <v>3.5430000000000001</v>
        <stp/>
        <stp>P</stp>
        <stp>0</stp>
        <stp>IR</stp>
        <stp>BONDKBPE140</stp>
        <stp>2.5년이하(당일)</stp>
        <stp>45523</stp>
        <stp/>
        <tr r="AI29" s="2"/>
        <tr r="AI29" s="2"/>
      </tp>
      <tp>
        <v>3.899</v>
        <stp/>
        <stp>P</stp>
        <stp>0</stp>
        <stp>IR</stp>
        <stp>BONDKBPE150</stp>
        <stp>2.5년이하(당일)</stp>
        <stp>45523</stp>
        <stp/>
        <tr r="AI31" s="2"/>
        <tr r="AI31" s="2"/>
      </tp>
      <tp>
        <v>3.1139999999999999</v>
        <stp/>
        <stp>P</stp>
        <stp>0</stp>
        <stp>IR</stp>
        <stp>BONDKBPE120</stp>
        <stp>2.5년이하(당일)</stp>
        <stp>45523</stp>
        <stp/>
        <tr r="AI25" s="2"/>
        <tr r="AI25" s="2"/>
      </tp>
      <tp>
        <v>5.1740000000000004</v>
        <stp/>
        <stp>P</stp>
        <stp>0</stp>
        <stp>IR</stp>
        <stp>BONDKBPE220</stp>
        <stp>1.5년이하(당일)</stp>
        <stp>45523</stp>
        <stp/>
        <tr r="AG38" s="2"/>
        <tr r="AG38" s="2"/>
      </tp>
      <tp>
        <v>3.2010000000000001</v>
        <stp/>
        <stp>P</stp>
        <stp>0</stp>
        <stp>IR</stp>
        <stp>BONDKBPE130</stp>
        <stp>2.5년이하(당일)</stp>
        <stp>45523</stp>
        <stp/>
        <tr r="AI27" s="2"/>
        <tr r="AI27" s="2"/>
      </tp>
      <tp>
        <v>5.7389999999999999</v>
        <stp/>
        <stp>P</stp>
        <stp>0</stp>
        <stp>IR</stp>
        <stp>BONDKBPE230</stp>
        <stp>1.5년이하(당일)</stp>
        <stp>45523</stp>
        <stp/>
        <tr r="AG39" s="2"/>
        <tr r="AG39" s="2"/>
      </tp>
      <tp>
        <v>3.5470000000000002</v>
        <stp/>
        <stp>P</stp>
        <stp>0</stp>
        <stp>IR</stp>
        <stp>BONDKBPE200</stp>
        <stp>1.5년이하(당일)</stp>
        <stp>45523</stp>
        <stp/>
        <tr r="AG36" s="2"/>
        <tr r="AG36" s="2"/>
      </tp>
      <tp>
        <v>3.1139999999999999</v>
        <stp/>
        <stp>P</stp>
        <stp>0</stp>
        <stp>IR</stp>
        <stp>BONDKBPE110</stp>
        <stp>2.5년이하(당일)</stp>
        <stp>45523</stp>
        <stp/>
        <tr r="AI23" s="2"/>
        <tr r="AI23" s="2"/>
      </tp>
      <tp>
        <v>4.4130000000000003</v>
        <stp/>
        <stp>P</stp>
        <stp>0</stp>
        <stp>IR</stp>
        <stp>BONDKBPE210</stp>
        <stp>1.5년이하(당일)</stp>
        <stp>45523</stp>
        <stp/>
        <tr r="AG37" s="2"/>
        <tr r="AG37" s="2"/>
      </tp>
      <tp>
        <v>3.55</v>
        <stp/>
        <stp>P</stp>
        <stp>0</stp>
        <stp>IR</stp>
        <stp>BONDKBPE140</stp>
        <stp>1.5년이하(당일)</stp>
        <stp>45523</stp>
        <stp/>
        <tr r="AG29" s="2"/>
        <tr r="AG29" s="2"/>
      </tp>
      <tp>
        <v>3.9129999999999998</v>
        <stp/>
        <stp>P</stp>
        <stp>0</stp>
        <stp>IR</stp>
        <stp>BONDKBPE150</stp>
        <stp>1.5년이하(당일)</stp>
        <stp>45523</stp>
        <stp/>
        <tr r="AG31" s="2"/>
        <tr r="AG31" s="2"/>
      </tp>
      <tp>
        <v>3.2269999999999999</v>
        <stp/>
        <stp>P</stp>
        <stp>0</stp>
        <stp>IR</stp>
        <stp>BONDKBPE120</stp>
        <stp>1.5년이하(당일)</stp>
        <stp>45523</stp>
        <stp/>
        <tr r="AG25" s="2"/>
        <tr r="AG25" s="2"/>
      </tp>
      <tp>
        <v>5.258</v>
        <stp/>
        <stp>P</stp>
        <stp>0</stp>
        <stp>IR</stp>
        <stp>BONDKBPE220</stp>
        <stp>2.5년이하(당일)</stp>
        <stp>45523</stp>
        <stp/>
        <tr r="AI38" s="2"/>
        <tr r="AI38" s="2"/>
      </tp>
      <tp>
        <v>3.2549999999999999</v>
        <stp/>
        <stp>P</stp>
        <stp>0</stp>
        <stp>IR</stp>
        <stp>BONDKBPE130</stp>
        <stp>1.5년이하(당일)</stp>
        <stp>45523</stp>
        <stp/>
        <tr r="AG27" s="2"/>
        <tr r="AG27" s="2"/>
      </tp>
      <tp>
        <v>5.8840000000000003</v>
        <stp/>
        <stp>P</stp>
        <stp>0</stp>
        <stp>IR</stp>
        <stp>BONDKBPE230</stp>
        <stp>2.5년이하(당일)</stp>
        <stp>45523</stp>
        <stp/>
        <tr r="AI39" s="2"/>
        <tr r="AI39" s="2"/>
      </tp>
      <tp>
        <v>3.53</v>
        <stp/>
        <stp>P</stp>
        <stp>0</stp>
        <stp>IR</stp>
        <stp>BONDKBPE200</stp>
        <stp>2.5년이하(당일)</stp>
        <stp>45523</stp>
        <stp/>
        <tr r="AI36" s="2"/>
        <tr r="AI36" s="2"/>
      </tp>
      <tp>
        <v>3.2269999999999999</v>
        <stp/>
        <stp>P</stp>
        <stp>0</stp>
        <stp>IR</stp>
        <stp>BONDKBPE110</stp>
        <stp>1.5년이하(당일)</stp>
        <stp>45523</stp>
        <stp/>
        <tr r="AG23" s="2"/>
        <tr r="AG23" s="2"/>
      </tp>
      <tp>
        <v>4.4690000000000003</v>
        <stp/>
        <stp>P</stp>
        <stp>0</stp>
        <stp>IR</stp>
        <stp>BONDKBPE210</stp>
        <stp>2.5년이하(당일)</stp>
        <stp>45523</stp>
        <stp/>
        <tr r="AI37" s="2"/>
        <tr r="AI37" s="2"/>
      </tp>
      <tp>
        <v>8.1359999999999992</v>
        <stp/>
        <stp>P</stp>
        <stp>0</stp>
        <stp>IR</stp>
        <stp>BONDKBPE340</stp>
        <stp>2.5년이하(당일)</stp>
        <stp>45523</stp>
        <stp/>
        <tr r="AI50" s="2"/>
        <tr r="AI50" s="2"/>
      </tp>
      <tp>
        <v>9.3859999999999992</v>
        <stp/>
        <stp>P</stp>
        <stp>0</stp>
        <stp>IR</stp>
        <stp>BONDKBPE350</stp>
        <stp>2.5년이하(당일)</stp>
        <stp>45523</stp>
        <stp/>
        <tr r="AI51" s="2"/>
        <tr r="AI51" s="2"/>
      </tp>
      <tp>
        <v>5.258</v>
        <stp/>
        <stp>P</stp>
        <stp>0</stp>
        <stp>IR</stp>
        <stp>BONDKBPE320</stp>
        <stp>2.5년이하(당일)</stp>
        <stp>45523</stp>
        <stp/>
        <tr r="AI47" s="2"/>
        <tr r="AI47" s="2"/>
      </tp>
      <tp>
        <v>5.8840000000000003</v>
        <stp/>
        <stp>P</stp>
        <stp>0</stp>
        <stp>IR</stp>
        <stp>BONDKBPE330</stp>
        <stp>2.5년이하(당일)</stp>
        <stp>45523</stp>
        <stp/>
        <tr r="AI48" s="2"/>
        <tr r="AI48" s="2"/>
      </tp>
      <tp>
        <v>3.53</v>
        <stp/>
        <stp>P</stp>
        <stp>0</stp>
        <stp>IR</stp>
        <stp>BONDKBPE300</stp>
        <stp>2.5년이하(당일)</stp>
        <stp>45523</stp>
        <stp/>
        <tr r="AI45" s="2"/>
        <tr r="AI45" s="2"/>
      </tp>
      <tp>
        <v>4.4690000000000003</v>
        <stp/>
        <stp>P</stp>
        <stp>0</stp>
        <stp>IR</stp>
        <stp>BONDKBPE310</stp>
        <stp>2.5년이하(당일)</stp>
        <stp>45523</stp>
        <stp/>
        <tr r="AI46" s="2"/>
        <tr r="AI46" s="2"/>
      </tp>
      <tp t="s">
        <v xml:space="preserve"> </v>
        <stp/>
        <stp>P</stp>
        <stp>0</stp>
        <stp>IR</stp>
        <stp>BONDKBPA400</stp>
        <stp>2.5년이하(당일)</stp>
        <stp>45523</stp>
        <stp/>
        <tr r="AI12" s="2"/>
        <tr r="AI12" s="2"/>
      </tp>
      <tp t="s">
        <v xml:space="preserve"> </v>
        <stp/>
        <stp>P</stp>
        <stp>0</stp>
        <stp>IR</stp>
        <stp>BONDKBPA400</stp>
        <stp>1.5년이하(당일)</stp>
        <stp>45523</stp>
        <stp/>
        <tr r="AG12" s="2"/>
        <tr r="AG12" s="2"/>
      </tp>
      <tp>
        <v>3.0830000000000002</v>
        <stp/>
        <stp>P</stp>
        <stp>0</stp>
        <stp>IR</stp>
        <stp>BONDKBPA300</stp>
        <stp>1.5년이하(당일)</stp>
        <stp>45523</stp>
        <stp/>
        <tr r="AG10" s="2"/>
        <tr r="AG10" s="2"/>
      </tp>
      <tp>
        <v>2.9449999999999998</v>
        <stp/>
        <stp>P</stp>
        <stp>0</stp>
        <stp>IR</stp>
        <stp>BONDKBPA100</stp>
        <stp>2.5년이하(당일)</stp>
        <stp>45523</stp>
        <stp/>
        <tr r="AI9" s="2"/>
        <tr r="AI9" s="2"/>
      </tp>
      <tp>
        <v>2.8809999999999998</v>
        <stp/>
        <stp>P</stp>
        <stp>0</stp>
        <stp>IR</stp>
        <stp>BONDKBPA200</stp>
        <stp>1.5년이하(당일)</stp>
        <stp>45523</stp>
        <stp/>
        <tr r="AG11" s="2"/>
        <tr r="AG11" s="2"/>
      </tp>
      <tp>
        <v>3.0550000000000002</v>
        <stp/>
        <stp>P</stp>
        <stp>0</stp>
        <stp>IR</stp>
        <stp>BONDKBPA100</stp>
        <stp>1.5년이하(당일)</stp>
        <stp>45523</stp>
        <stp/>
        <tr r="AG9" s="2"/>
        <tr r="AG9" s="2"/>
      </tp>
      <tp>
        <v>2.8149999999999999</v>
        <stp/>
        <stp>P</stp>
        <stp>0</stp>
        <stp>IR</stp>
        <stp>BONDKBPA200</stp>
        <stp>2.5년이하(당일)</stp>
        <stp>45523</stp>
        <stp/>
        <tr r="AI11" s="2"/>
        <tr r="AI11" s="2"/>
      </tp>
      <tp>
        <v>3.0270000000000001</v>
        <stp/>
        <stp>P</stp>
        <stp>0</stp>
        <stp>IR</stp>
        <stp>BONDKBPA300</stp>
        <stp>2.5년이하(당일)</stp>
        <stp>45523</stp>
        <stp/>
        <tr r="AI10" s="2"/>
        <tr r="AI10" s="2"/>
      </tp>
      <tp>
        <v>3.113</v>
        <stp/>
        <stp>P</stp>
        <stp>0</stp>
        <stp>IR</stp>
        <stp>BONDKBPB100</stp>
        <stp>2.5년이하(당일)</stp>
        <stp>45523</stp>
        <stp/>
        <tr r="AI13" s="2"/>
        <tr r="AI13" s="2"/>
      </tp>
      <tp>
        <v>3.1659999999999999</v>
        <stp/>
        <stp>P</stp>
        <stp>0</stp>
        <stp>IR</stp>
        <stp>BONDKBPB200</stp>
        <stp>1.5년이하(당일)</stp>
        <stp>45523</stp>
        <stp/>
        <tr r="AG14" s="2"/>
        <tr r="AG14" s="2"/>
      </tp>
      <tp>
        <v>3.1659999999999999</v>
        <stp/>
        <stp>P</stp>
        <stp>0</stp>
        <stp>IR</stp>
        <stp>BONDKBPB100</stp>
        <stp>1.5년이하(당일)</stp>
        <stp>45523</stp>
        <stp/>
        <tr r="AG13" s="2"/>
        <tr r="AG13" s="2"/>
      </tp>
      <tp>
        <v>3.113</v>
        <stp/>
        <stp>P</stp>
        <stp>0</stp>
        <stp>IR</stp>
        <stp>BONDKBPB200</stp>
        <stp>2.5년이하(당일)</stp>
        <stp>45523</stp>
        <stp/>
        <tr r="AI14" s="2"/>
        <tr r="AI14" s="2"/>
      </tp>
      <tp>
        <v>3.38</v>
        <stp/>
        <stp>P</stp>
        <stp>0</stp>
        <stp>IR</stp>
        <stp>BONDKBPC400</stp>
        <stp>2.5년이하(당일)</stp>
        <stp>45523</stp>
        <stp/>
        <tr r="AI18" s="2"/>
        <tr r="AI18" s="2"/>
      </tp>
      <tp>
        <v>3.0779999999999998</v>
        <stp/>
        <stp>P</stp>
        <stp>0</stp>
        <stp>IR</stp>
        <stp>BONDKBPC500</stp>
        <stp>2.5년이하(당일)</stp>
        <stp>45523</stp>
        <stp/>
        <tr r="AI15" s="2"/>
        <tr r="AI15" s="2"/>
      </tp>
      <tp>
        <v>3.1429999999999998</v>
        <stp/>
        <stp>P</stp>
        <stp>0</stp>
        <stp>IR</stp>
        <stp>BONDKBPC500</stp>
        <stp>1.5년이하(당일)</stp>
        <stp>45523</stp>
        <stp/>
        <tr r="AG15" s="2"/>
        <tr r="AG15" s="2"/>
      </tp>
      <tp>
        <v>3.4260000000000002</v>
        <stp/>
        <stp>P</stp>
        <stp>0</stp>
        <stp>IR</stp>
        <stp>BONDKBPC400</stp>
        <stp>1.5년이하(당일)</stp>
        <stp>45523</stp>
        <stp/>
        <tr r="AG18" s="2"/>
        <tr r="AG18" s="2"/>
      </tp>
      <tp>
        <v>3.2029999999999998</v>
        <stp/>
        <stp>P</stp>
        <stp>0</stp>
        <stp>IR</stp>
        <stp>BONDKBPC300</stp>
        <stp>1.5년이하(당일)</stp>
        <stp>45523</stp>
        <stp/>
        <tr r="AG16" s="2"/>
        <tr r="AG16" s="2"/>
      </tp>
      <tp>
        <v>3.1440000000000001</v>
        <stp/>
        <stp>P</stp>
        <stp>0</stp>
        <stp>IR</stp>
        <stp>BONDKBPC300</stp>
        <stp>2.5년이하(당일)</stp>
        <stp>45523</stp>
        <stp/>
        <tr r="AI16" s="2"/>
        <tr r="AI16" s="2"/>
      </tp>
      <tp>
        <v>3.3239999999999998</v>
        <stp/>
        <stp>P</stp>
        <stp>0</stp>
        <stp>IR</stp>
        <stp>BONDFNP7010110</stp>
        <stp>9월이하(당일)</stp>
        <stp>45523</stp>
        <stp/>
        <tr r="CA63" s="2"/>
        <tr r="CA63" s="2"/>
      </tp>
      <tp>
        <v>3.488</v>
        <stp/>
        <stp>P</stp>
        <stp>0</stp>
        <stp>IR</stp>
        <stp>BONDFNP8010110</stp>
        <stp>6월이하(당일)</stp>
        <stp>45523</stp>
        <stp/>
        <tr r="BZ73" s="2"/>
        <tr r="BZ73" s="2"/>
      </tp>
      <tp>
        <v>3.3210000000000002</v>
        <stp/>
        <stp>P</stp>
        <stp>0</stp>
        <stp>IR</stp>
        <stp>BONDFNP7020110</stp>
        <stp>9월이하(당일)</stp>
        <stp>45523</stp>
        <stp/>
        <tr r="CA52" s="2"/>
        <tr r="CA52" s="2"/>
      </tp>
      <tp>
        <v>3.577</v>
        <stp/>
        <stp>P</stp>
        <stp>0</stp>
        <stp>IR</stp>
        <stp>BONDFNP7010131</stp>
        <stp>9월이하(당일)</stp>
        <stp>45523</stp>
        <stp/>
        <tr r="CA67" s="2"/>
        <tr r="CA67" s="2"/>
      </tp>
      <tp>
        <v>3.8039999999999998</v>
        <stp/>
        <stp>P</stp>
        <stp>0</stp>
        <stp>IR</stp>
        <stp>BONDFNP8010131</stp>
        <stp>6월이하(당일)</stp>
        <stp>45523</stp>
        <stp/>
        <tr r="BZ77" s="2"/>
        <tr r="BZ77" s="2"/>
      </tp>
      <tp>
        <v>4.0069999999999997</v>
        <stp/>
        <stp>P</stp>
        <stp>0</stp>
        <stp>IR</stp>
        <stp>BONDFNP7010133</stp>
        <stp>9월이하(당일)</stp>
        <stp>45523</stp>
        <stp/>
        <tr r="CA69" s="2"/>
        <tr r="CA69" s="2"/>
      </tp>
      <tp>
        <v>3.4750000000000001</v>
        <stp/>
        <stp>P</stp>
        <stp>0</stp>
        <stp>IR</stp>
        <stp>BONDFNP7020130</stp>
        <stp>9월이하(당일)</stp>
        <stp>45523</stp>
        <stp/>
        <tr r="CA54" s="2"/>
        <tr r="CA54" s="2"/>
      </tp>
      <tp>
        <v>4.2389999999999999</v>
        <stp/>
        <stp>P</stp>
        <stp>0</stp>
        <stp>IR</stp>
        <stp>BONDFNP8010133</stp>
        <stp>6월이하(당일)</stp>
        <stp>45523</stp>
        <stp/>
        <tr r="BZ79" s="2"/>
        <tr r="BZ79" s="2"/>
      </tp>
      <tp>
        <v>3.74</v>
        <stp/>
        <stp>P</stp>
        <stp>0</stp>
        <stp>IR</stp>
        <stp>BONDFNP7010132</stp>
        <stp>9월이하(당일)</stp>
        <stp>45523</stp>
        <stp/>
        <tr r="CA68" s="2"/>
        <tr r="CA68" s="2"/>
      </tp>
      <tp>
        <v>3.9950000000000001</v>
        <stp/>
        <stp>P</stp>
        <stp>0</stp>
        <stp>IR</stp>
        <stp>BONDFNP8010132</stp>
        <stp>6월이하(당일)</stp>
        <stp>45523</stp>
        <stp/>
        <tr r="BZ78" s="2"/>
        <tr r="BZ78" s="2"/>
      </tp>
      <tp>
        <v>3.3359999999999999</v>
        <stp/>
        <stp>P</stp>
        <stp>0</stp>
        <stp>IR</stp>
        <stp>BONDFNP7010121</stp>
        <stp>9월이하(당일)</stp>
        <stp>45523</stp>
        <stp/>
        <tr r="CA64" s="2"/>
        <tr r="CA64" s="2"/>
      </tp>
      <tp>
        <v>3.4969999999999999</v>
        <stp/>
        <stp>P</stp>
        <stp>0</stp>
        <stp>IR</stp>
        <stp>BONDFNP8010121</stp>
        <stp>6월이하(당일)</stp>
        <stp>45523</stp>
        <stp/>
        <tr r="BZ74" s="2"/>
        <tr r="BZ74" s="2"/>
      </tp>
      <tp>
        <v>3.39</v>
        <stp/>
        <stp>P</stp>
        <stp>0</stp>
        <stp>IR</stp>
        <stp>BONDFNP7010123</stp>
        <stp>9월이하(당일)</stp>
        <stp>45523</stp>
        <stp/>
        <tr r="CA66" s="2"/>
        <tr r="CA66" s="2"/>
      </tp>
      <tp>
        <v>3.3660000000000001</v>
        <stp/>
        <stp>P</stp>
        <stp>0</stp>
        <stp>IR</stp>
        <stp>BONDFNP7020120</stp>
        <stp>9월이하(당일)</stp>
        <stp>45523</stp>
        <stp/>
        <tr r="CA53" s="2"/>
        <tr r="CA53" s="2"/>
      </tp>
      <tp>
        <v>3.6320000000000001</v>
        <stp/>
        <stp>P</stp>
        <stp>0</stp>
        <stp>IR</stp>
        <stp>BONDFNP8010123</stp>
        <stp>6월이하(당일)</stp>
        <stp>45523</stp>
        <stp/>
        <tr r="BZ76" s="2"/>
        <tr r="BZ76" s="2"/>
      </tp>
      <tp>
        <v>3.363</v>
        <stp/>
        <stp>P</stp>
        <stp>0</stp>
        <stp>IR</stp>
        <stp>BONDFNP7010122</stp>
        <stp>9월이하(당일)</stp>
        <stp>45523</stp>
        <stp/>
        <tr r="CA65" s="2"/>
        <tr r="CA65" s="2"/>
      </tp>
      <tp>
        <v>3.5840000000000001</v>
        <stp/>
        <stp>P</stp>
        <stp>0</stp>
        <stp>IR</stp>
        <stp>BONDFNP8010122</stp>
        <stp>6월이하(당일)</stp>
        <stp>45523</stp>
        <stp/>
        <tr r="BZ75" s="2"/>
        <tr r="BZ75" s="2"/>
      </tp>
      <tp>
        <v>3.4209999999999998</v>
        <stp/>
        <stp>P</stp>
        <stp>0</stp>
        <stp>IR</stp>
        <stp>BONDNIC7040113</stp>
        <stp>9월이하(당일)</stp>
        <stp>45523</stp>
        <stp/>
        <tr r="BK66" s="2"/>
        <tr r="BK66" s="2"/>
      </tp>
      <tp>
        <v>3.7069999999999999</v>
        <stp/>
        <stp>P</stp>
        <stp>0</stp>
        <stp>IR</stp>
        <stp>BONDNIC7050112</stp>
        <stp>9월이하(당일)</stp>
        <stp>45523</stp>
        <stp/>
        <tr r="BK68" s="2"/>
        <tr r="BK68" s="2"/>
      </tp>
      <tp>
        <v>5.1639999999999997</v>
        <stp/>
        <stp>P</stp>
        <stp>0</stp>
        <stp>IR</stp>
        <stp>BONDNIC7060111</stp>
        <stp>9월이하(당일)</stp>
        <stp>45523</stp>
        <stp/>
        <tr r="BK70" s="2"/>
        <tr r="BK70" s="2"/>
      </tp>
      <tp>
        <v>3.6259999999999999</v>
        <stp/>
        <stp>P</stp>
        <stp>0</stp>
        <stp>IR</stp>
        <stp>BONDNIC8040113</stp>
        <stp>6월이하(당일)</stp>
        <stp>45523</stp>
        <stp/>
        <tr r="BJ76" s="2"/>
        <tr r="BJ76" s="2"/>
      </tp>
      <tp>
        <v>3.9740000000000002</v>
        <stp/>
        <stp>P</stp>
        <stp>0</stp>
        <stp>IR</stp>
        <stp>BONDNIC8050112</stp>
        <stp>6월이하(당일)</stp>
        <stp>45523</stp>
        <stp/>
        <tr r="BJ78" s="2"/>
        <tr r="BJ78" s="2"/>
      </tp>
      <tp>
        <v>5.1660000000000004</v>
        <stp/>
        <stp>P</stp>
        <stp>0</stp>
        <stp>IR</stp>
        <stp>BONDNIC8060111</stp>
        <stp>6월이하(당일)</stp>
        <stp>45523</stp>
        <stp/>
        <tr r="BJ80" s="2"/>
        <tr r="BJ80" s="2"/>
      </tp>
      <tp>
        <v>3.3969999999999998</v>
        <stp/>
        <stp>P</stp>
        <stp>0</stp>
        <stp>IR</stp>
        <stp>BONDNIC7040112</stp>
        <stp>9월이하(당일)</stp>
        <stp>45523</stp>
        <stp/>
        <tr r="BK65" s="2"/>
        <tr r="BK65" s="2"/>
      </tp>
      <tp>
        <v>3.9769999999999999</v>
        <stp/>
        <stp>P</stp>
        <stp>0</stp>
        <stp>IR</stp>
        <stp>BONDNIC7050113</stp>
        <stp>9월이하(당일)</stp>
        <stp>45523</stp>
        <stp/>
        <tr r="BK69" s="2"/>
        <tr r="BK69" s="2"/>
      </tp>
      <tp>
        <v>3.593</v>
        <stp/>
        <stp>P</stp>
        <stp>0</stp>
        <stp>IR</stp>
        <stp>BONDNIC8040112</stp>
        <stp>6월이하(당일)</stp>
        <stp>45523</stp>
        <stp/>
        <tr r="BJ75" s="2"/>
        <tr r="BJ75" s="2"/>
      </tp>
      <tp>
        <v>4.2690000000000001</v>
        <stp/>
        <stp>P</stp>
        <stp>0</stp>
        <stp>IR</stp>
        <stp>BONDNIC8050113</stp>
        <stp>6월이하(당일)</stp>
        <stp>45523</stp>
        <stp/>
        <tr r="BJ79" s="2"/>
        <tr r="BJ79" s="2"/>
      </tp>
      <tp>
        <v>3.3769999999999998</v>
        <stp/>
        <stp>P</stp>
        <stp>0</stp>
        <stp>IR</stp>
        <stp>BONDNIC7040111</stp>
        <stp>9월이하(당일)</stp>
        <stp>45523</stp>
        <stp/>
        <tr r="BK64" s="2"/>
        <tr r="BK64" s="2"/>
      </tp>
      <tp>
        <v>6.7190000000000003</v>
        <stp/>
        <stp>P</stp>
        <stp>0</stp>
        <stp>IR</stp>
        <stp>BONDNIC7060113</stp>
        <stp>9월이하(당일)</stp>
        <stp>45523</stp>
        <stp/>
        <tr r="BK72" s="2"/>
        <tr r="BK72" s="2"/>
      </tp>
      <tp>
        <v>3.5350000000000001</v>
        <stp/>
        <stp>P</stp>
        <stp>0</stp>
        <stp>IR</stp>
        <stp>BONDNIC8040111</stp>
        <stp>6월이하(당일)</stp>
        <stp>45523</stp>
        <stp/>
        <tr r="BJ74" s="2"/>
        <tr r="BJ74" s="2"/>
      </tp>
      <tp>
        <v>6.8310000000000004</v>
        <stp/>
        <stp>P</stp>
        <stp>0</stp>
        <stp>IR</stp>
        <stp>BONDNIC8060113</stp>
        <stp>6월이하(당일)</stp>
        <stp>45523</stp>
        <stp/>
        <tr r="BJ82" s="2"/>
        <tr r="BJ82" s="2"/>
      </tp>
      <tp>
        <v>3.5579999999999998</v>
        <stp/>
        <stp>P</stp>
        <stp>0</stp>
        <stp>IR</stp>
        <stp>BONDNIC7050111</stp>
        <stp>9월이하(당일)</stp>
        <stp>45523</stp>
        <stp/>
        <tr r="BK67" s="2"/>
        <tr r="BK67" s="2"/>
      </tp>
      <tp>
        <v>5.774</v>
        <stp/>
        <stp>P</stp>
        <stp>0</stp>
        <stp>IR</stp>
        <stp>BONDNIC7060112</stp>
        <stp>9월이하(당일)</stp>
        <stp>45523</stp>
        <stp/>
        <tr r="BK71" s="2"/>
        <tr r="BK71" s="2"/>
      </tp>
      <tp>
        <v>3.7850000000000001</v>
        <stp/>
        <stp>P</stp>
        <stp>0</stp>
        <stp>IR</stp>
        <stp>BONDNIC8050111</stp>
        <stp>6월이하(당일)</stp>
        <stp>45523</stp>
        <stp/>
        <tr r="BJ77" s="2"/>
        <tr r="BJ77" s="2"/>
      </tp>
      <tp>
        <v>5.7510000000000003</v>
        <stp/>
        <stp>P</stp>
        <stp>0</stp>
        <stp>IR</stp>
        <stp>BONDNIC8060112</stp>
        <stp>6월이하(당일)</stp>
        <stp>45523</stp>
        <stp/>
        <tr r="BJ81" s="2"/>
        <tr r="BJ81" s="2"/>
      </tp>
      <tp>
        <v>3.363</v>
        <stp/>
        <stp>P</stp>
        <stp>0</stp>
        <stp>IR</stp>
        <stp>BONDNIC7030110</stp>
        <stp>9월이하(당일)</stp>
        <stp>45523</stp>
        <stp/>
        <tr r="BK63" s="2"/>
        <tr r="BK63" s="2"/>
      </tp>
      <tp>
        <v>3.508</v>
        <stp/>
        <stp>P</stp>
        <stp>0</stp>
        <stp>IR</stp>
        <stp>BONDNIC8030110</stp>
        <stp>6월이하(당일)</stp>
        <stp>45523</stp>
        <stp/>
        <tr r="BJ73" s="2"/>
        <tr r="BJ73" s="2"/>
      </tp>
      <tp>
        <v>3.4209999999999998</v>
        <stp/>
        <stp>P</stp>
        <stp>0</stp>
        <stp>IR</stp>
        <stp>BONDNIC7140113</stp>
        <stp>9월이하(당일)</stp>
        <stp>45523</stp>
        <stp/>
        <tr r="BK59" s="2"/>
        <tr r="BK59" s="2"/>
      </tp>
      <tp>
        <v>3.7069999999999999</v>
        <stp/>
        <stp>P</stp>
        <stp>0</stp>
        <stp>IR</stp>
        <stp>BONDNIC7150112</stp>
        <stp>9월이하(당일)</stp>
        <stp>45523</stp>
        <stp/>
        <tr r="BK61" s="2"/>
        <tr r="BK61" s="2"/>
      </tp>
      <tp>
        <v>3.3969999999999998</v>
        <stp/>
        <stp>P</stp>
        <stp>0</stp>
        <stp>IR</stp>
        <stp>BONDNIC7140112</stp>
        <stp>9월이하(당일)</stp>
        <stp>45523</stp>
        <stp/>
        <tr r="BK58" s="2"/>
        <tr r="BK58" s="2"/>
      </tp>
      <tp>
        <v>3.9769999999999999</v>
        <stp/>
        <stp>P</stp>
        <stp>0</stp>
        <stp>IR</stp>
        <stp>BONDNIC7150113</stp>
        <stp>9월이하(당일)</stp>
        <stp>45523</stp>
        <stp/>
        <tr r="BK62" s="2"/>
        <tr r="BK62" s="2"/>
      </tp>
      <tp>
        <v>3.3769999999999998</v>
        <stp/>
        <stp>P</stp>
        <stp>0</stp>
        <stp>IR</stp>
        <stp>BONDNIC7140111</stp>
        <stp>9월이하(당일)</stp>
        <stp>45523</stp>
        <stp/>
        <tr r="BK57" s="2"/>
        <tr r="BK57" s="2"/>
      </tp>
      <tp>
        <v>3.5579999999999998</v>
        <stp/>
        <stp>P</stp>
        <stp>0</stp>
        <stp>IR</stp>
        <stp>BONDNIC7150111</stp>
        <stp>9월이하(당일)</stp>
        <stp>45523</stp>
        <stp/>
        <tr r="BK60" s="2"/>
        <tr r="BK60" s="2"/>
      </tp>
      <tp>
        <v>3.363</v>
        <stp/>
        <stp>P</stp>
        <stp>0</stp>
        <stp>IR</stp>
        <stp>BONDNIC7130110</stp>
        <stp>9월이하(당일)</stp>
        <stp>45523</stp>
        <stp/>
        <tr r="BK56" s="2"/>
        <tr r="BK56" s="2"/>
      </tp>
      <tp>
        <v>3.3029999999999999</v>
        <stp/>
        <stp>P</stp>
        <stp>0</stp>
        <stp>IR</stp>
        <stp>BONDNIC7430110</stp>
        <stp>9월이하(당일)</stp>
        <stp>45523</stp>
        <stp/>
        <tr r="BK83" s="2"/>
        <tr r="BK83" s="2"/>
      </tp>
      <tp>
        <v>3.327</v>
        <stp/>
        <stp>P</stp>
        <stp>0</stp>
        <stp>IR</stp>
        <stp>BONDKIS7020110</stp>
        <stp>9월이하(당일)</stp>
        <stp>45523</stp>
        <stp/>
        <tr r="AU52" s="2"/>
        <tr r="AU52" s="2"/>
      </tp>
      <tp>
        <v>3.3109999999999999</v>
        <stp/>
        <stp>P</stp>
        <stp>0</stp>
        <stp>IR</stp>
        <stp>BONDKIS7010110</stp>
        <stp>9월이하(당일)</stp>
        <stp>45523</stp>
        <stp/>
        <tr r="AU63" s="2"/>
        <tr r="AU63" s="2"/>
      </tp>
      <tp>
        <v>3.5</v>
        <stp/>
        <stp>P</stp>
        <stp>0</stp>
        <stp>IR</stp>
        <stp>BONDKIS8010110</stp>
        <stp>6월이하(당일)</stp>
        <stp>45523</stp>
        <stp/>
        <tr r="AT73" s="2"/>
        <tr r="AT73" s="2"/>
      </tp>
      <tp>
        <v>3.3319999999999999</v>
        <stp/>
        <stp>P</stp>
        <stp>0</stp>
        <stp>IR</stp>
        <stp>BONDKSD7010110</stp>
        <stp>9월이하(당일)</stp>
        <stp>45523</stp>
        <stp/>
        <tr r="CQ63" s="2"/>
        <tr r="CQ63" s="2"/>
      </tp>
      <tp t="s">
        <v xml:space="preserve"> </v>
        <stp/>
        <stp>P</stp>
        <stp>0</stp>
        <stp>IR</stp>
        <stp>BONDKSD8010110</stp>
        <stp>6월이하(당일)</stp>
        <stp>45523</stp>
        <stp/>
        <tr r="CP73" s="2"/>
        <tr r="CP73" s="2"/>
      </tp>
      <tp>
        <v>3.3370000000000002</v>
        <stp/>
        <stp>P</stp>
        <stp>0</stp>
        <stp>IR</stp>
        <stp>BONDKSD7020110</stp>
        <stp>9월이하(당일)</stp>
        <stp>45523</stp>
        <stp/>
        <tr r="CQ52" s="2"/>
        <tr r="CQ52" s="2"/>
      </tp>
      <tp>
        <v>3.323</v>
        <stp/>
        <stp>P</stp>
        <stp>0</stp>
        <stp>IR</stp>
        <stp>BONDKIS7010122</stp>
        <stp>9월이하(당일)</stp>
        <stp>45523</stp>
        <stp/>
        <tr r="AU65" s="2"/>
        <tr r="AU65" s="2"/>
      </tp>
      <tp>
        <v>3.5680000000000001</v>
        <stp/>
        <stp>P</stp>
        <stp>0</stp>
        <stp>IR</stp>
        <stp>BONDKIS8010122</stp>
        <stp>6월이하(당일)</stp>
        <stp>45523</stp>
        <stp/>
        <tr r="AT75" s="2"/>
        <tr r="AT75" s="2"/>
      </tp>
      <tp>
        <v>3.355</v>
        <stp/>
        <stp>P</stp>
        <stp>0</stp>
        <stp>IR</stp>
        <stp>BONDKIS7010123</stp>
        <stp>9월이하(당일)</stp>
        <stp>45523</stp>
        <stp/>
        <tr r="AU66" s="2"/>
        <tr r="AU66" s="2"/>
      </tp>
      <tp>
        <v>3.3719999999999999</v>
        <stp/>
        <stp>P</stp>
        <stp>0</stp>
        <stp>IR</stp>
        <stp>BONDKIS7020120</stp>
        <stp>9월이하(당일)</stp>
        <stp>45523</stp>
        <stp/>
        <tr r="AU53" s="2"/>
        <tr r="AU53" s="2"/>
      </tp>
      <tp>
        <v>3.6139999999999999</v>
        <stp/>
        <stp>P</stp>
        <stp>0</stp>
        <stp>IR</stp>
        <stp>BONDKIS8010123</stp>
        <stp>6월이하(당일)</stp>
        <stp>45523</stp>
        <stp/>
        <tr r="AT76" s="2"/>
        <tr r="AT76" s="2"/>
      </tp>
      <tp>
        <v>3.3140000000000001</v>
        <stp/>
        <stp>P</stp>
        <stp>0</stp>
        <stp>IR</stp>
        <stp>BONDKIS7010121</stp>
        <stp>9월이하(당일)</stp>
        <stp>45523</stp>
        <stp/>
        <tr r="AU64" s="2"/>
        <tr r="AU64" s="2"/>
      </tp>
      <tp>
        <v>3.552</v>
        <stp/>
        <stp>P</stp>
        <stp>0</stp>
        <stp>IR</stp>
        <stp>BONDKIS8010121</stp>
        <stp>6월이하(당일)</stp>
        <stp>45523</stp>
        <stp/>
        <tr r="AT74" s="2"/>
        <tr r="AT74" s="2"/>
      </tp>
      <tp t="s">
        <v xml:space="preserve"> </v>
        <stp/>
        <stp>P</stp>
        <stp>0</stp>
        <stp>IR</stp>
        <stp>BONDKSD8010120</stp>
        <stp>6월이하(당일)</stp>
        <stp>45523</stp>
        <stp/>
        <tr r="CP75" s="2"/>
        <tr r="CP75" s="2"/>
      </tp>
      <tp>
        <v>3.3460000000000001</v>
        <stp/>
        <stp>P</stp>
        <stp>0</stp>
        <stp>IR</stp>
        <stp>BONDKSD7010121</stp>
        <stp>9월이하(당일)</stp>
        <stp>45523</stp>
        <stp/>
        <tr r="CQ64" s="2"/>
        <tr r="CQ64" s="2"/>
      </tp>
      <tp>
        <v>3.3660000000000001</v>
        <stp/>
        <stp>P</stp>
        <stp>0</stp>
        <stp>IR</stp>
        <stp>BONDKSD7010122</stp>
        <stp>9월이하(당일)</stp>
        <stp>45523</stp>
        <stp/>
        <tr r="CQ65" s="2"/>
        <tr r="CQ65" s="2"/>
      </tp>
      <tp>
        <v>3.3919999999999999</v>
        <stp/>
        <stp>P</stp>
        <stp>0</stp>
        <stp>IR</stp>
        <stp>BONDKSD7010123</stp>
        <stp>9월이하(당일)</stp>
        <stp>45523</stp>
        <stp/>
        <tr r="CQ66" s="2"/>
        <tr r="CQ66" s="2"/>
      </tp>
      <tp>
        <v>3.375</v>
        <stp/>
        <stp>P</stp>
        <stp>0</stp>
        <stp>IR</stp>
        <stp>BONDKSD7020120</stp>
        <stp>9월이하(당일)</stp>
        <stp>45523</stp>
        <stp/>
        <tr r="CQ53" s="2"/>
        <tr r="CQ53" s="2"/>
      </tp>
      <tp>
        <v>3.74</v>
        <stp/>
        <stp>P</stp>
        <stp>0</stp>
        <stp>IR</stp>
        <stp>BONDKIS7010132</stp>
        <stp>9월이하(당일)</stp>
        <stp>45523</stp>
        <stp/>
        <tr r="AU68" s="2"/>
        <tr r="AU68" s="2"/>
      </tp>
      <tp>
        <v>3.964</v>
        <stp/>
        <stp>P</stp>
        <stp>0</stp>
        <stp>IR</stp>
        <stp>BONDKIS8010132</stp>
        <stp>6월이하(당일)</stp>
        <stp>45523</stp>
        <stp/>
        <tr r="AT78" s="2"/>
        <tr r="AT78" s="2"/>
      </tp>
      <tp>
        <v>4.008</v>
        <stp/>
        <stp>P</stp>
        <stp>0</stp>
        <stp>IR</stp>
        <stp>BONDKIS7010133</stp>
        <stp>9월이하(당일)</stp>
        <stp>45523</stp>
        <stp/>
        <tr r="AU69" s="2"/>
        <tr r="AU69" s="2"/>
      </tp>
      <tp>
        <v>3.484</v>
        <stp/>
        <stp>P</stp>
        <stp>0</stp>
        <stp>IR</stp>
        <stp>BONDKIS7020130</stp>
        <stp>9월이하(당일)</stp>
        <stp>45523</stp>
        <stp/>
        <tr r="AU54" s="2"/>
        <tr r="AU54" s="2"/>
      </tp>
      <tp>
        <v>4.2190000000000003</v>
        <stp/>
        <stp>P</stp>
        <stp>0</stp>
        <stp>IR</stp>
        <stp>BONDKIS8010133</stp>
        <stp>6월이하(당일)</stp>
        <stp>45523</stp>
        <stp/>
        <tr r="AT79" s="2"/>
        <tr r="AT79" s="2"/>
      </tp>
      <tp>
        <v>3.5710000000000002</v>
        <stp/>
        <stp>P</stp>
        <stp>0</stp>
        <stp>IR</stp>
        <stp>BONDKIS7010131</stp>
        <stp>9월이하(당일)</stp>
        <stp>45523</stp>
        <stp/>
        <tr r="AU67" s="2"/>
        <tr r="AU67" s="2"/>
      </tp>
      <tp>
        <v>3.7930000000000001</v>
        <stp/>
        <stp>P</stp>
        <stp>0</stp>
        <stp>IR</stp>
        <stp>BONDKIS8010131</stp>
        <stp>6월이하(당일)</stp>
        <stp>45523</stp>
        <stp/>
        <tr r="AT77" s="2"/>
        <tr r="AT77" s="2"/>
      </tp>
      <tp>
        <v>3.5710000000000002</v>
        <stp/>
        <stp>P</stp>
        <stp>0</stp>
        <stp>IR</stp>
        <stp>BONDKSD7010131</stp>
        <stp>9월이하(당일)</stp>
        <stp>45523</stp>
        <stp/>
        <tr r="CQ67" s="2"/>
        <tr r="CQ67" s="2"/>
      </tp>
      <tp t="s">
        <v xml:space="preserve"> </v>
        <stp/>
        <stp>P</stp>
        <stp>0</stp>
        <stp>IR</stp>
        <stp>BONDKSD8010131</stp>
        <stp>6월이하(당일)</stp>
        <stp>45523</stp>
        <stp/>
        <tr r="CP77" s="2"/>
        <tr r="CP77" s="2"/>
      </tp>
      <tp>
        <v>3.7360000000000002</v>
        <stp/>
        <stp>P</stp>
        <stp>0</stp>
        <stp>IR</stp>
        <stp>BONDKSD7010132</stp>
        <stp>9월이하(당일)</stp>
        <stp>45523</stp>
        <stp/>
        <tr r="CQ68" s="2"/>
        <tr r="CQ68" s="2"/>
      </tp>
      <tp t="s">
        <v xml:space="preserve"> </v>
        <stp/>
        <stp>P</stp>
        <stp>0</stp>
        <stp>IR</stp>
        <stp>BONDKSD8010132</stp>
        <stp>6월이하(당일)</stp>
        <stp>45523</stp>
        <stp/>
        <tr r="CP78" s="2"/>
        <tr r="CP78" s="2"/>
      </tp>
      <tp>
        <v>3.9990000000000001</v>
        <stp/>
        <stp>P</stp>
        <stp>0</stp>
        <stp>IR</stp>
        <stp>BONDKSD7010133</stp>
        <stp>9월이하(당일)</stp>
        <stp>45523</stp>
        <stp/>
        <tr r="CQ69" s="2"/>
        <tr r="CQ69" s="2"/>
      </tp>
      <tp>
        <v>3.512</v>
        <stp/>
        <stp>P</stp>
        <stp>0</stp>
        <stp>IR</stp>
        <stp>BONDKSD7020130</stp>
        <stp>9월이하(당일)</stp>
        <stp>45523</stp>
        <stp/>
        <tr r="CQ54" s="2"/>
        <tr r="CQ54" s="2"/>
      </tp>
      <tp t="s">
        <v xml:space="preserve"> </v>
        <stp/>
        <stp>P</stp>
        <stp>0</stp>
        <stp>IR</stp>
        <stp>BONDKSD8010133</stp>
        <stp>6월이하(당일)</stp>
        <stp>45523</stp>
        <stp/>
        <tr r="CP79" s="2"/>
        <tr r="CP79" s="2"/>
      </tp>
      <tp t="s">
        <v/>
        <stp/>
        <stp>P</stp>
        <stp>0</stp>
        <stp>IR</stp>
        <stp>BONDKSD3040121</stp>
        <stp>15년이하(당일)</stp>
        <stp>45523</stp>
        <stp/>
        <tr r="DA17" s="2"/>
        <tr r="DA17" s="2"/>
      </tp>
      <tp t="s">
        <v/>
        <stp/>
        <stp>P</stp>
        <stp>0</stp>
        <stp>IR</stp>
        <stp>BONDKSD5040120</stp>
        <stp>15년이하(당일)</stp>
        <stp>45523</stp>
        <stp/>
        <tr r="DA29" s="2"/>
        <tr r="DA29" s="2"/>
      </tp>
      <tp t="s">
        <v/>
        <stp/>
        <stp>P</stp>
        <stp>0</stp>
        <stp>IR</stp>
        <stp>BONDKSD3040120</stp>
        <stp>15년이하(당일)</stp>
        <stp>45523</stp>
        <stp/>
        <tr r="DA18" s="2"/>
        <tr r="DA18" s="2"/>
      </tp>
      <tp t="s">
        <v/>
        <stp/>
        <stp>P</stp>
        <stp>0</stp>
        <stp>IR</stp>
        <stp>BONDKSD7010122</stp>
        <stp>15년이하(당일)</stp>
        <stp>45523</stp>
        <stp/>
        <tr r="DA65" s="2"/>
        <tr r="DA65" s="2"/>
      </tp>
      <tp t="s">
        <v/>
        <stp/>
        <stp>P</stp>
        <stp>0</stp>
        <stp>IR</stp>
        <stp>BONDKSD6010122</stp>
        <stp>15년이하(당일)</stp>
        <stp>45523</stp>
        <stp/>
        <tr r="DA35" s="2"/>
        <tr r="DA35" s="2"/>
      </tp>
      <tp t="s">
        <v/>
        <stp/>
        <stp>P</stp>
        <stp>0</stp>
        <stp>IR</stp>
        <stp>BONDKSD7010123</stp>
        <stp>15년이하(당일)</stp>
        <stp>45523</stp>
        <stp/>
        <tr r="DA66" s="2"/>
        <tr r="DA66" s="2"/>
      </tp>
      <tp t="s">
        <v/>
        <stp/>
        <stp>P</stp>
        <stp>0</stp>
        <stp>IR</stp>
        <stp>BONDKSD7020120</stp>
        <stp>15년이하(당일)</stp>
        <stp>45523</stp>
        <stp/>
        <tr r="DA53" s="2"/>
        <tr r="DA53" s="2"/>
      </tp>
      <tp t="s">
        <v/>
        <stp/>
        <stp>P</stp>
        <stp>0</stp>
        <stp>IR</stp>
        <stp>BONDKSD6010123</stp>
        <stp>15년이하(당일)</stp>
        <stp>45523</stp>
        <stp/>
        <tr r="DA36" s="2"/>
        <tr r="DA36" s="2"/>
      </tp>
      <tp t="s">
        <v/>
        <stp/>
        <stp>P</stp>
        <stp>0</stp>
        <stp>IR</stp>
        <stp>BONDKSD8010120</stp>
        <stp>15년이하(당일)</stp>
        <stp>45523</stp>
        <stp/>
        <tr r="DA75" s="2"/>
        <tr r="DA75" s="2"/>
      </tp>
      <tp t="s">
        <v/>
        <stp/>
        <stp>P</stp>
        <stp>0</stp>
        <stp>IR</stp>
        <stp>BONDKSD7010121</stp>
        <stp>15년이하(당일)</stp>
        <stp>45523</stp>
        <stp/>
        <tr r="DA64" s="2"/>
        <tr r="DA64" s="2"/>
      </tp>
      <tp t="s">
        <v/>
        <stp/>
        <stp>P</stp>
        <stp>0</stp>
        <stp>IR</stp>
        <stp>BONDKSD6010121</stp>
        <stp>15년이하(당일)</stp>
        <stp>45523</stp>
        <stp/>
        <tr r="DA34" s="2"/>
        <tr r="DA34" s="2"/>
      </tp>
      <tp>
        <v>3.8620000000000001</v>
        <stp/>
        <stp>P</stp>
        <stp>0</stp>
        <stp>IR</stp>
        <stp>BONDKIS5043121</stp>
        <stp>15년이하(당일)</stp>
        <stp>45523</stp>
        <stp/>
        <tr r="BE28" s="2"/>
        <tr r="BE28" s="2"/>
      </tp>
      <tp>
        <v>3.379</v>
        <stp/>
        <stp>P</stp>
        <stp>0</stp>
        <stp>IR</stp>
        <stp>BONDKIS3043121</stp>
        <stp>15년이하(당일)</stp>
        <stp>45523</stp>
        <stp/>
        <tr r="BE17" s="2"/>
        <tr r="BE17" s="2"/>
      </tp>
      <tp>
        <v>4.452</v>
        <stp/>
        <stp>P</stp>
        <stp>0</stp>
        <stp>IR</stp>
        <stp>BONDKIS5043123</stp>
        <stp>15년이하(당일)</stp>
        <stp>45523</stp>
        <stp/>
        <tr r="BE30" s="2"/>
        <tr r="BE30" s="2"/>
      </tp>
      <tp>
        <v>3.6429999999999998</v>
        <stp/>
        <stp>P</stp>
        <stp>0</stp>
        <stp>IR</stp>
        <stp>BONDKIS3043123</stp>
        <stp>15년이하(당일)</stp>
        <stp>45523</stp>
        <stp/>
        <tr r="BE19" s="2"/>
        <tr r="BE19" s="2"/>
      </tp>
      <tp>
        <v>4.1879999999999997</v>
        <stp/>
        <stp>P</stp>
        <stp>0</stp>
        <stp>IR</stp>
        <stp>BONDKIS5043122</stp>
        <stp>15년이하(당일)</stp>
        <stp>45523</stp>
        <stp/>
        <tr r="BE29" s="2"/>
        <tr r="BE29" s="2"/>
      </tp>
      <tp>
        <v>3.5139999999999998</v>
        <stp/>
        <stp>P</stp>
        <stp>0</stp>
        <stp>IR</stp>
        <stp>BONDKIS3043122</stp>
        <stp>15년이하(당일)</stp>
        <stp>45523</stp>
        <stp/>
        <tr r="BE18" s="2"/>
        <tr r="BE18" s="2"/>
      </tp>
      <tp>
        <v>4.7549999999999999</v>
        <stp/>
        <stp>P</stp>
        <stp>0</stp>
        <stp>IR</stp>
        <stp>BONDKIS6013121</stp>
        <stp>15년이하(당일)</stp>
        <stp>45523</stp>
        <stp/>
        <tr r="BE43" s="2"/>
        <tr r="BE43" s="2"/>
      </tp>
      <tp>
        <v>4.67</v>
        <stp/>
        <stp>P</stp>
        <stp>0</stp>
        <stp>IR</stp>
        <stp>BONDKIS8010121</stp>
        <stp>15년이하(당일)</stp>
        <stp>45523</stp>
        <stp/>
        <tr r="BE74" s="2"/>
        <tr r="BE74" s="2"/>
      </tp>
      <tp>
        <v>4.1900000000000004</v>
        <stp/>
        <stp>P</stp>
        <stp>0</stp>
        <stp>IR</stp>
        <stp>BONDKIS7010121</stp>
        <stp>15년이하(당일)</stp>
        <stp>45523</stp>
        <stp/>
        <tr r="BE64" s="2"/>
        <tr r="BE64" s="2"/>
      </tp>
      <tp>
        <v>4.9340000000000002</v>
        <stp/>
        <stp>P</stp>
        <stp>0</stp>
        <stp>IR</stp>
        <stp>BONDKIS6013122</stp>
        <stp>15년이하(당일)</stp>
        <stp>45523</stp>
        <stp/>
        <tr r="BE44" s="2"/>
        <tr r="BE44" s="2"/>
      </tp>
      <tp>
        <v>5.2489999999999997</v>
        <stp/>
        <stp>P</stp>
        <stp>0</stp>
        <stp>IR</stp>
        <stp>BONDKIS8010122</stp>
        <stp>15년이하(당일)</stp>
        <stp>45523</stp>
        <stp/>
        <tr r="BE75" s="2"/>
        <tr r="BE75" s="2"/>
      </tp>
      <tp>
        <v>4.7590000000000003</v>
        <stp/>
        <stp>P</stp>
        <stp>0</stp>
        <stp>IR</stp>
        <stp>BONDKIS7010122</stp>
        <stp>15년이하(당일)</stp>
        <stp>45523</stp>
        <stp/>
        <tr r="BE65" s="2"/>
        <tr r="BE65" s="2"/>
      </tp>
      <tp>
        <v>5.1550000000000002</v>
        <stp/>
        <stp>P</stp>
        <stp>0</stp>
        <stp>IR</stp>
        <stp>BONDKIS6013123</stp>
        <stp>15년이하(당일)</stp>
        <stp>45523</stp>
        <stp/>
        <tr r="BE45" s="2"/>
        <tr r="BE45" s="2"/>
      </tp>
      <tp>
        <v>5.742</v>
        <stp/>
        <stp>P</stp>
        <stp>0</stp>
        <stp>IR</stp>
        <stp>BONDKIS8010123</stp>
        <stp>15년이하(당일)</stp>
        <stp>45523</stp>
        <stp/>
        <tr r="BE76" s="2"/>
        <tr r="BE76" s="2"/>
      </tp>
      <tp>
        <v>5.2140000000000004</v>
        <stp/>
        <stp>P</stp>
        <stp>0</stp>
        <stp>IR</stp>
        <stp>BONDKIS7010123</stp>
        <stp>15년이하(당일)</stp>
        <stp>45523</stp>
        <stp/>
        <tr r="BE66" s="2"/>
        <tr r="BE66" s="2"/>
      </tp>
      <tp>
        <v>3.7730000000000001</v>
        <stp/>
        <stp>P</stp>
        <stp>0</stp>
        <stp>IR</stp>
        <stp>BONDKIS7020120</stp>
        <stp>15년이하(당일)</stp>
        <stp>45523</stp>
        <stp/>
        <tr r="BE53" s="2"/>
        <tr r="BE53" s="2"/>
      </tp>
      <tp>
        <v>2.9950000000000001</v>
        <stp/>
        <stp>P</stp>
        <stp>0</stp>
        <stp>IR</stp>
        <stp>BONDKBPD001</stp>
        <stp>2.5년이하(당일)</stp>
        <stp>45523</stp>
        <stp/>
        <tr r="AI21" s="2"/>
        <tr r="AI21" s="2"/>
      </tp>
      <tp>
        <v>3.0449999999999999</v>
        <stp/>
        <stp>P</stp>
        <stp>0</stp>
        <stp>IR</stp>
        <stp>BONDKBPD001</stp>
        <stp>1.5년이하(당일)</stp>
        <stp>45523</stp>
        <stp/>
        <tr r="AG21" s="2"/>
        <tr r="AG21" s="2"/>
      </tp>
      <tp>
        <v>3.1440000000000001</v>
        <stp/>
        <stp>P</stp>
        <stp>0</stp>
        <stp>IR</stp>
        <stp>BONDKBPE121</stp>
        <stp>2.5년이하(당일)</stp>
        <stp>45523</stp>
        <stp/>
        <tr r="AI26" s="2"/>
        <tr r="AI26" s="2"/>
      </tp>
      <tp>
        <v>3.1440000000000001</v>
        <stp/>
        <stp>P</stp>
        <stp>0</stp>
        <stp>IR</stp>
        <stp>BONDKBPE111</stp>
        <stp>2.5년이하(당일)</stp>
        <stp>45523</stp>
        <stp/>
        <tr r="AI24" s="2"/>
        <tr r="AI24" s="2"/>
      </tp>
      <tp>
        <v>3.2370000000000001</v>
        <stp/>
        <stp>P</stp>
        <stp>0</stp>
        <stp>IR</stp>
        <stp>BONDKBPE121</stp>
        <stp>1.5년이하(당일)</stp>
        <stp>45523</stp>
        <stp/>
        <tr r="AG26" s="2"/>
        <tr r="AG26" s="2"/>
      </tp>
      <tp>
        <v>3.2370000000000001</v>
        <stp/>
        <stp>P</stp>
        <stp>0</stp>
        <stp>IR</stp>
        <stp>BONDKBPE111</stp>
        <stp>1.5년이하(당일)</stp>
        <stp>45523</stp>
        <stp/>
        <tr r="AG24" s="2"/>
        <tr r="AG24" s="2"/>
      </tp>
      <tp>
        <v>6.3810000000000002</v>
        <stp/>
        <stp>P</stp>
        <stp>0</stp>
        <stp>IR</stp>
        <stp>BONDKBPF341</stp>
        <stp>1.5년이하(당일)</stp>
        <stp>45523</stp>
        <stp/>
        <tr r="AG80" s="2"/>
        <tr r="AG80" s="2"/>
      </tp>
      <tp>
        <v>3.464</v>
        <stp/>
        <stp>P</stp>
        <stp>0</stp>
        <stp>IR</stp>
        <stp>BONDKBPF321</stp>
        <stp>1.5년이하(당일)</stp>
        <stp>45523</stp>
        <stp/>
        <tr r="AG74" s="2"/>
        <tr r="AG74" s="2"/>
      </tp>
      <tp>
        <v>3.9580000000000002</v>
        <stp/>
        <stp>P</stp>
        <stp>0</stp>
        <stp>IR</stp>
        <stp>BONDKBPF331</stp>
        <stp>1.5년이하(당일)</stp>
        <stp>45523</stp>
        <stp/>
        <tr r="AG77" s="2"/>
        <tr r="AG77" s="2"/>
      </tp>
      <tp>
        <v>5.8070000000000004</v>
        <stp/>
        <stp>P</stp>
        <stp>0</stp>
        <stp>IR</stp>
        <stp>BONDKBPF241</stp>
        <stp>1.5년이하(당일)</stp>
        <stp>45523</stp>
        <stp/>
        <tr r="AG70" s="2"/>
        <tr r="AG70" s="2"/>
      </tp>
      <tp>
        <v>3.3180000000000001</v>
        <stp/>
        <stp>P</stp>
        <stp>0</stp>
        <stp>IR</stp>
        <stp>BONDKBPF221</stp>
        <stp>1.5년이하(당일)</stp>
        <stp>45523</stp>
        <stp/>
        <tr r="AG64" s="2"/>
        <tr r="AG64" s="2"/>
      </tp>
      <tp>
        <v>3.6589999999999998</v>
        <stp/>
        <stp>P</stp>
        <stp>0</stp>
        <stp>IR</stp>
        <stp>BONDKBPF231</stp>
        <stp>1.5년이하(당일)</stp>
        <stp>45523</stp>
        <stp/>
        <tr r="AG67" s="2"/>
        <tr r="AG67" s="2"/>
      </tp>
      <tp>
        <v>6.6879999999999997</v>
        <stp/>
        <stp>P</stp>
        <stp>0</stp>
        <stp>IR</stp>
        <stp>BONDKBPF241</stp>
        <stp>2.5년이하(당일)</stp>
        <stp>45523</stp>
        <stp/>
        <tr r="AI70" s="2"/>
        <tr r="AI70" s="2"/>
      </tp>
      <tp>
        <v>3.3370000000000002</v>
        <stp/>
        <stp>P</stp>
        <stp>0</stp>
        <stp>IR</stp>
        <stp>BONDKBPF221</stp>
        <stp>2.5년이하(당일)</stp>
        <stp>45523</stp>
        <stp/>
        <tr r="AI64" s="2"/>
        <tr r="AI64" s="2"/>
      </tp>
      <tp>
        <v>3.774</v>
        <stp/>
        <stp>P</stp>
        <stp>0</stp>
        <stp>IR</stp>
        <stp>BONDKBPF231</stp>
        <stp>2.5년이하(당일)</stp>
        <stp>45523</stp>
        <stp/>
        <tr r="AI67" s="2"/>
        <tr r="AI67" s="2"/>
      </tp>
      <tp>
        <v>7.2619999999999996</v>
        <stp/>
        <stp>P</stp>
        <stp>0</stp>
        <stp>IR</stp>
        <stp>BONDKBPF341</stp>
        <stp>2.5년이하(당일)</stp>
        <stp>45523</stp>
        <stp/>
        <tr r="AI80" s="2"/>
        <tr r="AI80" s="2"/>
      </tp>
      <tp>
        <v>3.5030000000000001</v>
        <stp/>
        <stp>P</stp>
        <stp>0</stp>
        <stp>IR</stp>
        <stp>BONDKBPF321</stp>
        <stp>2.5년이하(당일)</stp>
        <stp>45523</stp>
        <stp/>
        <tr r="AI74" s="2"/>
        <tr r="AI74" s="2"/>
      </tp>
      <tp>
        <v>4.1529999999999996</v>
        <stp/>
        <stp>P</stp>
        <stp>0</stp>
        <stp>IR</stp>
        <stp>BONDKBPF331</stp>
        <stp>2.5년이하(당일)</stp>
        <stp>45523</stp>
        <stp/>
        <tr r="AI77" s="2"/>
        <tr r="AI77" s="2"/>
      </tp>
      <tp>
        <v>3.2360000000000002</v>
        <stp/>
        <stp>P</stp>
        <stp>0</stp>
        <stp>IR</stp>
        <stp>BONDKBPC401</stp>
        <stp>2.5년이하(당일)</stp>
        <stp>45523</stp>
        <stp/>
        <tr r="AI17" s="2"/>
        <tr r="AI17" s="2"/>
      </tp>
      <tp>
        <v>3.2909999999999999</v>
        <stp/>
        <stp>P</stp>
        <stp>0</stp>
        <stp>IR</stp>
        <stp>BONDKBPC401</stp>
        <stp>1.5년이하(당일)</stp>
        <stp>45523</stp>
        <stp/>
        <tr r="AG17" s="2"/>
        <tr r="AG17" s="2"/>
      </tp>
      <tp>
        <v>3.1440000000000001</v>
        <stp/>
        <stp>P</stp>
        <stp>0</stp>
        <stp>IR</stp>
        <stp>BONDKBPZ001</stp>
        <stp>2.5년이하(당일)</stp>
        <stp>45523</stp>
        <stp/>
        <tr r="AI83" s="2"/>
        <tr r="AI83" s="2"/>
      </tp>
      <tp>
        <v>3.2029999999999998</v>
        <stp/>
        <stp>P</stp>
        <stp>0</stp>
        <stp>IR</stp>
        <stp>BONDKBPZ001</stp>
        <stp>1.5년이하(당일)</stp>
        <stp>45523</stp>
        <stp/>
        <tr r="AG83" s="2"/>
        <tr r="AG83" s="2"/>
      </tp>
      <tp>
        <v>5.2149999999999999</v>
        <stp/>
        <stp>P</stp>
        <stp>0</stp>
        <stp>IR</stp>
        <stp>BONDFNP7010211</stp>
        <stp>9월이하(당일)</stp>
        <stp>45523</stp>
        <stp/>
        <tr r="CA70" s="2"/>
        <tr r="CA70" s="2"/>
      </tp>
      <tp>
        <v>6.7290000000000001</v>
        <stp/>
        <stp>P</stp>
        <stp>0</stp>
        <stp>IR</stp>
        <stp>BONDFNP7010213</stp>
        <stp>9월이하(당일)</stp>
        <stp>45523</stp>
        <stp/>
        <tr r="CA72" s="2"/>
        <tr r="CA72" s="2"/>
      </tp>
      <tp>
        <v>3.3410000000000002</v>
        <stp/>
        <stp>P</stp>
        <stp>0</stp>
        <stp>IR</stp>
        <stp>BONDFNP7020210</stp>
        <stp>9월이하(당일)</stp>
        <stp>45523</stp>
        <stp/>
        <tr r="CA55" s="2"/>
        <tr r="CA55" s="2"/>
      </tp>
      <tp>
        <v>5.7949999999999999</v>
        <stp/>
        <stp>P</stp>
        <stp>0</stp>
        <stp>IR</stp>
        <stp>BONDFNP7010212</stp>
        <stp>9월이하(당일)</stp>
        <stp>45523</stp>
        <stp/>
        <tr r="CA71" s="2"/>
        <tr r="CA71" s="2"/>
      </tp>
      <tp>
        <v>5.202</v>
        <stp/>
        <stp>P</stp>
        <stp>0</stp>
        <stp>IR</stp>
        <stp>BONDFNP8110211</stp>
        <stp>6월이하(당일)</stp>
        <stp>45523</stp>
        <stp/>
        <tr r="BZ80" s="2"/>
        <tr r="BZ80" s="2"/>
      </tp>
      <tp>
        <v>6.766</v>
        <stp/>
        <stp>P</stp>
        <stp>0</stp>
        <stp>IR</stp>
        <stp>BONDFNP8110213</stp>
        <stp>6월이하(당일)</stp>
        <stp>45523</stp>
        <stp/>
        <tr r="BZ82" s="2"/>
        <tr r="BZ82" s="2"/>
      </tp>
      <tp>
        <v>5.7270000000000003</v>
        <stp/>
        <stp>P</stp>
        <stp>0</stp>
        <stp>IR</stp>
        <stp>BONDFNP8110212</stp>
        <stp>6월이하(당일)</stp>
        <stp>45523</stp>
        <stp/>
        <tr r="BZ81" s="2"/>
        <tr r="BZ81" s="2"/>
      </tp>
      <tp>
        <v>5.8079999999999998</v>
        <stp/>
        <stp>P</stp>
        <stp>0</stp>
        <stp>IR</stp>
        <stp>BONDKIS7010212</stp>
        <stp>9월이하(당일)</stp>
        <stp>45523</stp>
        <stp/>
        <tr r="AU71" s="2"/>
        <tr r="AU71" s="2"/>
      </tp>
      <tp>
        <v>5.6680000000000001</v>
        <stp/>
        <stp>P</stp>
        <stp>0</stp>
        <stp>IR</stp>
        <stp>BONDKIS8010212</stp>
        <stp>6월이하(당일)</stp>
        <stp>45523</stp>
        <stp/>
        <tr r="AT81" s="2"/>
        <tr r="AT81" s="2"/>
      </tp>
      <tp>
        <v>6.7430000000000003</v>
        <stp/>
        <stp>P</stp>
        <stp>0</stp>
        <stp>IR</stp>
        <stp>BONDKIS7010213</stp>
        <stp>9월이하(당일)</stp>
        <stp>45523</stp>
        <stp/>
        <tr r="AU72" s="2"/>
        <tr r="AU72" s="2"/>
      </tp>
      <tp>
        <v>3.3290000000000002</v>
        <stp/>
        <stp>P</stp>
        <stp>0</stp>
        <stp>IR</stp>
        <stp>BONDKIS7020210</stp>
        <stp>9월이하(당일)</stp>
        <stp>45523</stp>
        <stp/>
        <tr r="AU55" s="2"/>
        <tr r="AU55" s="2"/>
      </tp>
      <tp>
        <v>7.0030000000000001</v>
        <stp/>
        <stp>P</stp>
        <stp>0</stp>
        <stp>IR</stp>
        <stp>BONDKIS8010213</stp>
        <stp>6월이하(당일)</stp>
        <stp>45523</stp>
        <stp/>
        <tr r="AT82" s="2"/>
        <tr r="AT82" s="2"/>
      </tp>
      <tp>
        <v>5.2279999999999998</v>
        <stp/>
        <stp>P</stp>
        <stp>0</stp>
        <stp>IR</stp>
        <stp>BONDKIS7010211</stp>
        <stp>9월이하(당일)</stp>
        <stp>45523</stp>
        <stp/>
        <tr r="AU70" s="2"/>
        <tr r="AU70" s="2"/>
      </tp>
      <tp>
        <v>5.1479999999999997</v>
        <stp/>
        <stp>P</stp>
        <stp>0</stp>
        <stp>IR</stp>
        <stp>BONDKIS8010211</stp>
        <stp>6월이하(당일)</stp>
        <stp>45523</stp>
        <stp/>
        <tr r="AT80" s="2"/>
        <tr r="AT80" s="2"/>
      </tp>
      <tp>
        <v>5.2060000000000004</v>
        <stp/>
        <stp>P</stp>
        <stp>0</stp>
        <stp>IR</stp>
        <stp>BONDKSD7010211</stp>
        <stp>9월이하(당일)</stp>
        <stp>45523</stp>
        <stp/>
        <tr r="CQ70" s="2"/>
        <tr r="CQ70" s="2"/>
      </tp>
      <tp>
        <v>5.7910000000000004</v>
        <stp/>
        <stp>P</stp>
        <stp>0</stp>
        <stp>IR</stp>
        <stp>BONDKSD7010212</stp>
        <stp>9월이하(당일)</stp>
        <stp>45523</stp>
        <stp/>
        <tr r="CQ71" s="2"/>
        <tr r="CQ71" s="2"/>
      </tp>
      <tp>
        <v>6.726</v>
        <stp/>
        <stp>P</stp>
        <stp>0</stp>
        <stp>IR</stp>
        <stp>BONDKSD7010213</stp>
        <stp>9월이하(당일)</stp>
        <stp>45523</stp>
        <stp/>
        <tr r="CQ72" s="2"/>
        <tr r="CQ72" s="2"/>
      </tp>
      <tp>
        <v>3.786</v>
        <stp/>
        <stp>P</stp>
        <stp>0</stp>
        <stp>IR</stp>
        <stp>BONDKSD7020210</stp>
        <stp>9월이하(당일)</stp>
        <stp>45523</stp>
        <stp/>
        <tr r="CQ55" s="2"/>
        <tr r="CQ55" s="2"/>
      </tp>
      <tp t="s">
        <v/>
        <stp/>
        <stp>P</stp>
        <stp>0</stp>
        <stp>IR</stp>
        <stp>BONDKSD5030110</stp>
        <stp>15년이하(당일)</stp>
        <stp>45523</stp>
        <stp/>
        <tr r="DA27" s="2"/>
        <tr r="DA27" s="2"/>
      </tp>
      <tp t="s">
        <v/>
        <stp/>
        <stp>P</stp>
        <stp>0</stp>
        <stp>IR</stp>
        <stp>BONDKSD7010212</stp>
        <stp>15년이하(당일)</stp>
        <stp>45523</stp>
        <stp/>
        <tr r="DA71" s="2"/>
        <tr r="DA71" s="2"/>
      </tp>
      <tp t="s">
        <v/>
        <stp/>
        <stp>P</stp>
        <stp>0</stp>
        <stp>IR</stp>
        <stp>BONDKSD3030110</stp>
        <stp>15년이하(당일)</stp>
        <stp>45523</stp>
        <stp/>
        <tr r="DA16" s="2"/>
        <tr r="DA16" s="2"/>
      </tp>
      <tp t="s">
        <v/>
        <stp/>
        <stp>P</stp>
        <stp>0</stp>
        <stp>IR</stp>
        <stp>BONDKSD5020110</stp>
        <stp>15년이하(당일)</stp>
        <stp>45523</stp>
        <stp/>
        <tr r="DA25" s="2"/>
        <tr r="DA25" s="2"/>
      </tp>
      <tp t="s">
        <v/>
        <stp/>
        <stp>P</stp>
        <stp>0</stp>
        <stp>IR</stp>
        <stp>BONDKSD7010213</stp>
        <stp>15년이하(당일)</stp>
        <stp>45523</stp>
        <stp/>
        <tr r="DA72" s="2"/>
        <tr r="DA72" s="2"/>
      </tp>
      <tp t="s">
        <v/>
        <stp/>
        <stp>P</stp>
        <stp>0</stp>
        <stp>IR</stp>
        <stp>BONDKSD7020210</stp>
        <stp>15년이하(당일)</stp>
        <stp>45523</stp>
        <stp/>
        <tr r="DA55" s="2"/>
        <tr r="DA55" s="2"/>
      </tp>
      <tp t="s">
        <v/>
        <stp/>
        <stp>P</stp>
        <stp>0</stp>
        <stp>IR</stp>
        <stp>BONDKSD7020110</stp>
        <stp>15년이하(당일)</stp>
        <stp>45523</stp>
        <stp/>
        <tr r="DA52" s="2"/>
        <tr r="DA52" s="2"/>
      </tp>
      <tp t="s">
        <v/>
        <stp/>
        <stp>P</stp>
        <stp>0</stp>
        <stp>IR</stp>
        <stp>BONDKSD8010110</stp>
        <stp>15년이하(당일)</stp>
        <stp>45523</stp>
        <stp/>
        <tr r="DA73" s="2"/>
        <tr r="DA73" s="2"/>
      </tp>
      <tp t="s">
        <v/>
        <stp/>
        <stp>P</stp>
        <stp>0</stp>
        <stp>IR</stp>
        <stp>BONDKSD5010110</stp>
        <stp>15년이하(당일)</stp>
        <stp>45523</stp>
        <stp/>
        <tr r="DA23" s="2"/>
        <tr r="DA23" s="2"/>
      </tp>
      <tp t="s">
        <v/>
        <stp/>
        <stp>P</stp>
        <stp>0</stp>
        <stp>IR</stp>
        <stp>BONDKSD6010210</stp>
        <stp>15년이하(당일)</stp>
        <stp>45523</stp>
        <stp/>
        <tr r="DA41" s="2"/>
        <tr r="DA41" s="2"/>
      </tp>
      <tp t="s">
        <v/>
        <stp/>
        <stp>P</stp>
        <stp>0</stp>
        <stp>IR</stp>
        <stp>BONDKSD7010110</stp>
        <stp>15년이하(당일)</stp>
        <stp>45523</stp>
        <stp/>
        <tr r="DA63" s="2"/>
        <tr r="DA63" s="2"/>
      </tp>
      <tp t="s">
        <v/>
        <stp/>
        <stp>P</stp>
        <stp>0</stp>
        <stp>IR</stp>
        <stp>BONDKSD7010211</stp>
        <stp>15년이하(당일)</stp>
        <stp>45523</stp>
        <stp/>
        <tr r="DA70" s="2"/>
        <tr r="DA70" s="2"/>
      </tp>
      <tp t="s">
        <v/>
        <stp/>
        <stp>P</stp>
        <stp>0</stp>
        <stp>IR</stp>
        <stp>BONDNIC8040111</stp>
        <stp>50년이하(당일)</stp>
        <stp>45523</stp>
        <stp/>
        <tr r="BX74" s="2"/>
        <tr r="BX74" s="2"/>
      </tp>
      <tp t="s">
        <v/>
        <stp/>
        <stp>P</stp>
        <stp>0</stp>
        <stp>IR</stp>
        <stp>BONDNIC8060113</stp>
        <stp>50년이하(당일)</stp>
        <stp>45523</stp>
        <stp/>
        <tr r="BX82" s="2"/>
        <tr r="BX82" s="2"/>
      </tp>
      <tp>
        <v>4.2009999999999996</v>
        <stp/>
        <stp>P</stp>
        <stp>0</stp>
        <stp>IR</stp>
        <stp>BONDNIC8040111</stp>
        <stp>10년이하(당일)</stp>
        <stp>45523</stp>
        <stp/>
        <tr r="BT74" s="2"/>
        <tr r="BT74" s="2"/>
      </tp>
      <tp>
        <v>11.157</v>
        <stp/>
        <stp>P</stp>
        <stp>0</stp>
        <stp>IR</stp>
        <stp>BONDNIC8060113</stp>
        <stp>10년이하(당일)</stp>
        <stp>45523</stp>
        <stp/>
        <tr r="BT82" s="2"/>
        <tr r="BT82" s="2"/>
      </tp>
      <tp>
        <v>4.6980000000000004</v>
        <stp/>
        <stp>P</stp>
        <stp>0</stp>
        <stp>IR</stp>
        <stp>BONDNIC8040111</stp>
        <stp>20년이하(당일)</stp>
        <stp>45523</stp>
        <stp/>
        <tr r="BV74" s="2"/>
        <tr r="BV74" s="2"/>
      </tp>
      <tp>
        <v>11.909000000000001</v>
        <stp/>
        <stp>P</stp>
        <stp>0</stp>
        <stp>IR</stp>
        <stp>BONDNIC8060113</stp>
        <stp>20년이하(당일)</stp>
        <stp>45523</stp>
        <stp/>
        <tr r="BV82" s="2"/>
        <tr r="BV82" s="2"/>
      </tp>
      <tp t="s">
        <v/>
        <stp/>
        <stp>P</stp>
        <stp>0</stp>
        <stp>IR</stp>
        <stp>BONDNIC8040111</stp>
        <stp>30년이하(당일)</stp>
        <stp>45523</stp>
        <stp/>
        <tr r="BW74" s="2"/>
        <tr r="BW74" s="2"/>
      </tp>
      <tp t="s">
        <v/>
        <stp/>
        <stp>P</stp>
        <stp>0</stp>
        <stp>IR</stp>
        <stp>BONDNIC8060113</stp>
        <stp>30년이하(당일)</stp>
        <stp>45523</stp>
        <stp/>
        <tr r="BW82" s="2"/>
        <tr r="BW82" s="2"/>
      </tp>
      <tp>
        <v>3.669</v>
        <stp/>
        <stp>P</stp>
        <stp>0</stp>
        <stp>IR</stp>
        <stp>BONDNIC5040111</stp>
        <stp>10년이하(당일)</stp>
        <stp>45523</stp>
        <stp/>
        <tr r="BT28" s="2"/>
        <tr r="BT28" s="2"/>
      </tp>
      <tp>
        <v>4.9050000000000002</v>
        <stp/>
        <stp>P</stp>
        <stp>0</stp>
        <stp>IR</stp>
        <stp>BONDNIC6040111</stp>
        <stp>20년이하(당일)</stp>
        <stp>45523</stp>
        <stp/>
        <tr r="BV34" s="2"/>
        <tr r="BV34" s="2"/>
      </tp>
      <tp>
        <v>11.054</v>
        <stp/>
        <stp>P</stp>
        <stp>0</stp>
        <stp>IR</stp>
        <stp>BONDNIC6060113</stp>
        <stp>20년이하(당일)</stp>
        <stp>45523</stp>
        <stp/>
        <tr r="BV42" s="2"/>
        <tr r="BV42" s="2"/>
      </tp>
      <tp t="s">
        <v/>
        <stp/>
        <stp>P</stp>
        <stp>0</stp>
        <stp>IR</stp>
        <stp>BONDNIC7040111</stp>
        <stp>30년이하(당일)</stp>
        <stp>45523</stp>
        <stp/>
        <tr r="BW64" s="2"/>
        <tr r="BW64" s="2"/>
      </tp>
      <tp t="s">
        <v/>
        <stp/>
        <stp>P</stp>
        <stp>0</stp>
        <stp>IR</stp>
        <stp>BONDNIC7060113</stp>
        <stp>30년이하(당일)</stp>
        <stp>45523</stp>
        <stp/>
        <tr r="BW72" s="2"/>
        <tr r="BW72" s="2"/>
      </tp>
      <tp t="s">
        <v/>
        <stp/>
        <stp>P</stp>
        <stp>0</stp>
        <stp>IR</stp>
        <stp>BONDNIC6040111</stp>
        <stp>30년이하(당일)</stp>
        <stp>45523</stp>
        <stp/>
        <tr r="BW34" s="2"/>
        <tr r="BW34" s="2"/>
      </tp>
      <tp t="s">
        <v/>
        <stp/>
        <stp>P</stp>
        <stp>0</stp>
        <stp>IR</stp>
        <stp>BONDNIC6060113</stp>
        <stp>30년이하(당일)</stp>
        <stp>45523</stp>
        <stp/>
        <tr r="BW42" s="2"/>
        <tr r="BW42" s="2"/>
      </tp>
      <tp>
        <v>4.3479999999999999</v>
        <stp/>
        <stp>P</stp>
        <stp>0</stp>
        <stp>IR</stp>
        <stp>BONDNIC7040111</stp>
        <stp>20년이하(당일)</stp>
        <stp>45523</stp>
        <stp/>
        <tr r="BV64" s="2"/>
        <tr r="BV64" s="2"/>
      </tp>
      <tp>
        <v>10.939</v>
        <stp/>
        <stp>P</stp>
        <stp>0</stp>
        <stp>IR</stp>
        <stp>BONDNIC7060113</stp>
        <stp>20년이하(당일)</stp>
        <stp>45523</stp>
        <stp/>
        <tr r="BV72" s="2"/>
        <tr r="BV72" s="2"/>
      </tp>
      <tp t="s">
        <v/>
        <stp/>
        <stp>P</stp>
        <stp>0</stp>
        <stp>IR</stp>
        <stp>BONDNIC3040111</stp>
        <stp>50년이하(당일)</stp>
        <stp>45523</stp>
        <stp/>
        <tr r="BX17" s="2"/>
        <tr r="BX17" s="2"/>
      </tp>
      <tp t="s">
        <v/>
        <stp/>
        <stp>P</stp>
        <stp>0</stp>
        <stp>IR</stp>
        <stp>BONDNIC5040111</stp>
        <stp>30년이하(당일)</stp>
        <stp>45523</stp>
        <stp/>
        <tr r="BW28" s="2"/>
        <tr r="BW28" s="2"/>
      </tp>
      <tp>
        <v>3.911</v>
        <stp/>
        <stp>P</stp>
        <stp>0</stp>
        <stp>IR</stp>
        <stp>BONDNIC7040111</stp>
        <stp>10년이하(당일)</stp>
        <stp>45523</stp>
        <stp/>
        <tr r="BT64" s="2"/>
        <tr r="BT64" s="2"/>
      </tp>
      <tp>
        <v>10.186999999999999</v>
        <stp/>
        <stp>P</stp>
        <stp>0</stp>
        <stp>IR</stp>
        <stp>BONDNIC7060113</stp>
        <stp>10년이하(당일)</stp>
        <stp>45523</stp>
        <stp/>
        <tr r="BT72" s="2"/>
        <tr r="BT72" s="2"/>
      </tp>
      <tp>
        <v>3.97</v>
        <stp/>
        <stp>P</stp>
        <stp>0</stp>
        <stp>IR</stp>
        <stp>BONDNIC5040111</stp>
        <stp>20년이하(당일)</stp>
        <stp>45523</stp>
        <stp/>
        <tr r="BV28" s="2"/>
        <tr r="BV28" s="2"/>
      </tp>
      <tp>
        <v>4.3259999999999996</v>
        <stp/>
        <stp>P</stp>
        <stp>0</stp>
        <stp>IR</stp>
        <stp>BONDNIC6040111</stp>
        <stp>10년이하(당일)</stp>
        <stp>45523</stp>
        <stp/>
        <tr r="BT34" s="2"/>
        <tr r="BT34" s="2"/>
      </tp>
      <tp>
        <v>10.452</v>
        <stp/>
        <stp>P</stp>
        <stp>0</stp>
        <stp>IR</stp>
        <stp>BONDNIC6060113</stp>
        <stp>10년이하(당일)</stp>
        <stp>45523</stp>
        <stp/>
        <tr r="BT42" s="2"/>
        <tr r="BT42" s="2"/>
      </tp>
      <tp t="s">
        <v/>
        <stp/>
        <stp>P</stp>
        <stp>0</stp>
        <stp>IR</stp>
        <stp>BONDNIC3040111</stp>
        <stp>30년이하(당일)</stp>
        <stp>45523</stp>
        <stp/>
        <tr r="BW17" s="2"/>
        <tr r="BW17" s="2"/>
      </tp>
      <tp t="s">
        <v/>
        <stp/>
        <stp>P</stp>
        <stp>0</stp>
        <stp>IR</stp>
        <stp>BONDNIC5040111</stp>
        <stp>50년이하(당일)</stp>
        <stp>45523</stp>
        <stp/>
        <tr r="BX28" s="2"/>
        <tr r="BX28" s="2"/>
      </tp>
      <tp>
        <v>3.3690000000000002</v>
        <stp/>
        <stp>P</stp>
        <stp>0</stp>
        <stp>IR</stp>
        <stp>BONDNIC3040111</stp>
        <stp>20년이하(당일)</stp>
        <stp>45523</stp>
        <stp/>
        <tr r="BV17" s="2"/>
        <tr r="BV17" s="2"/>
      </tp>
      <tp>
        <v>3.323</v>
        <stp/>
        <stp>P</stp>
        <stp>0</stp>
        <stp>IR</stp>
        <stp>BONDNIC3040111</stp>
        <stp>10년이하(당일)</stp>
        <stp>45523</stp>
        <stp/>
        <tr r="BT17" s="2"/>
        <tr r="BT17" s="2"/>
      </tp>
      <tp t="s">
        <v/>
        <stp/>
        <stp>P</stp>
        <stp>0</stp>
        <stp>IR</stp>
        <stp>BONDNIC7040111</stp>
        <stp>50년이하(당일)</stp>
        <stp>45523</stp>
        <stp/>
        <tr r="BX64" s="2"/>
        <tr r="BX64" s="2"/>
      </tp>
      <tp t="s">
        <v/>
        <stp/>
        <stp>P</stp>
        <stp>0</stp>
        <stp>IR</stp>
        <stp>BONDNIC7060113</stp>
        <stp>50년이하(당일)</stp>
        <stp>45523</stp>
        <stp/>
        <tr r="BX72" s="2"/>
        <tr r="BX72" s="2"/>
      </tp>
      <tp t="s">
        <v/>
        <stp/>
        <stp>P</stp>
        <stp>0</stp>
        <stp>IR</stp>
        <stp>BONDNIC6040111</stp>
        <stp>50년이하(당일)</stp>
        <stp>45523</stp>
        <stp/>
        <tr r="BX34" s="2"/>
        <tr r="BX34" s="2"/>
      </tp>
      <tp t="s">
        <v/>
        <stp/>
        <stp>P</stp>
        <stp>0</stp>
        <stp>IR</stp>
        <stp>BONDNIC6060113</stp>
        <stp>50년이하(당일)</stp>
        <stp>45523</stp>
        <stp/>
        <tr r="BX42" s="2"/>
        <tr r="BX42" s="2"/>
      </tp>
      <tp t="s">
        <v/>
        <stp/>
        <stp>P</stp>
        <stp>0</stp>
        <stp>IR</stp>
        <stp>BONDNIC8050111</stp>
        <stp>50년이하(당일)</stp>
        <stp>45523</stp>
        <stp/>
        <tr r="BX77" s="2"/>
        <tr r="BX77" s="2"/>
      </tp>
      <tp t="s">
        <v/>
        <stp/>
        <stp>P</stp>
        <stp>0</stp>
        <stp>IR</stp>
        <stp>BONDNIC8060112</stp>
        <stp>50년이하(당일)</stp>
        <stp>45523</stp>
        <stp/>
        <tr r="BX81" s="2"/>
        <tr r="BX81" s="2"/>
      </tp>
      <tp>
        <v>5.6379999999999999</v>
        <stp/>
        <stp>P</stp>
        <stp>0</stp>
        <stp>IR</stp>
        <stp>BONDNIC8050111</stp>
        <stp>10년이하(당일)</stp>
        <stp>45523</stp>
        <stp/>
        <tr r="BT77" s="2"/>
        <tr r="BT77" s="2"/>
      </tp>
      <tp>
        <v>9.5139999999999993</v>
        <stp/>
        <stp>P</stp>
        <stp>0</stp>
        <stp>IR</stp>
        <stp>BONDNIC8060112</stp>
        <stp>10년이하(당일)</stp>
        <stp>45523</stp>
        <stp/>
        <tr r="BT81" s="2"/>
        <tr r="BT81" s="2"/>
      </tp>
      <tp>
        <v>6.351</v>
        <stp/>
        <stp>P</stp>
        <stp>0</stp>
        <stp>IR</stp>
        <stp>BONDNIC8050111</stp>
        <stp>20년이하(당일)</stp>
        <stp>45523</stp>
        <stp/>
        <tr r="BV77" s="2"/>
        <tr r="BV77" s="2"/>
      </tp>
      <tp>
        <v>10.207000000000001</v>
        <stp/>
        <stp>P</stp>
        <stp>0</stp>
        <stp>IR</stp>
        <stp>BONDNIC8060112</stp>
        <stp>20년이하(당일)</stp>
        <stp>45523</stp>
        <stp/>
        <tr r="BV81" s="2"/>
        <tr r="BV81" s="2"/>
      </tp>
      <tp t="s">
        <v/>
        <stp/>
        <stp>P</stp>
        <stp>0</stp>
        <stp>IR</stp>
        <stp>BONDNIC8050111</stp>
        <stp>30년이하(당일)</stp>
        <stp>45523</stp>
        <stp/>
        <tr r="BW77" s="2"/>
        <tr r="BW77" s="2"/>
      </tp>
      <tp t="s">
        <v/>
        <stp/>
        <stp>P</stp>
        <stp>0</stp>
        <stp>IR</stp>
        <stp>BONDNIC8060112</stp>
        <stp>30년이하(당일)</stp>
        <stp>45523</stp>
        <stp/>
        <tr r="BW81" s="2"/>
        <tr r="BW81" s="2"/>
      </tp>
      <tp>
        <v>4.4960000000000004</v>
        <stp/>
        <stp>P</stp>
        <stp>0</stp>
        <stp>IR</stp>
        <stp>BONDNIC5050111</stp>
        <stp>10년이하(당일)</stp>
        <stp>45523</stp>
        <stp/>
        <tr r="BT31" s="2"/>
        <tr r="BT31" s="2"/>
      </tp>
      <tp>
        <v>5.782</v>
        <stp/>
        <stp>P</stp>
        <stp>0</stp>
        <stp>IR</stp>
        <stp>BONDNIC6050111</stp>
        <stp>20년이하(당일)</stp>
        <stp>45523</stp>
        <stp/>
        <tr r="BV37" s="2"/>
        <tr r="BV37" s="2"/>
      </tp>
      <tp>
        <v>9.7490000000000006</v>
        <stp/>
        <stp>P</stp>
        <stp>0</stp>
        <stp>IR</stp>
        <stp>BONDNIC6060112</stp>
        <stp>20년이하(당일)</stp>
        <stp>45523</stp>
        <stp/>
        <tr r="BV41" s="2"/>
        <tr r="BV41" s="2"/>
      </tp>
      <tp t="s">
        <v/>
        <stp/>
        <stp>P</stp>
        <stp>0</stp>
        <stp>IR</stp>
        <stp>BONDNIC7050111</stp>
        <stp>30년이하(당일)</stp>
        <stp>45523</stp>
        <stp/>
        <tr r="BW67" s="2"/>
        <tr r="BW67" s="2"/>
      </tp>
      <tp t="s">
        <v/>
        <stp/>
        <stp>P</stp>
        <stp>0</stp>
        <stp>IR</stp>
        <stp>BONDNIC7060112</stp>
        <stp>30년이하(당일)</stp>
        <stp>45523</stp>
        <stp/>
        <tr r="BW71" s="2"/>
        <tr r="BW71" s="2"/>
      </tp>
      <tp t="s">
        <v/>
        <stp/>
        <stp>P</stp>
        <stp>0</stp>
        <stp>IR</stp>
        <stp>BONDNIC6050111</stp>
        <stp>30년이하(당일)</stp>
        <stp>45523</stp>
        <stp/>
        <tr r="BW37" s="2"/>
        <tr r="BW37" s="2"/>
      </tp>
      <tp t="s">
        <v/>
        <stp/>
        <stp>P</stp>
        <stp>0</stp>
        <stp>IR</stp>
        <stp>BONDNIC6060112</stp>
        <stp>30년이하(당일)</stp>
        <stp>45523</stp>
        <stp/>
        <tr r="BW41" s="2"/>
        <tr r="BW41" s="2"/>
      </tp>
      <tp>
        <v>5.8810000000000002</v>
        <stp/>
        <stp>P</stp>
        <stp>0</stp>
        <stp>IR</stp>
        <stp>BONDNIC7050111</stp>
        <stp>20년이하(당일)</stp>
        <stp>45523</stp>
        <stp/>
        <tr r="BV67" s="2"/>
        <tr r="BV67" s="2"/>
      </tp>
      <tp>
        <v>9.4369999999999994</v>
        <stp/>
        <stp>P</stp>
        <stp>0</stp>
        <stp>IR</stp>
        <stp>BONDNIC7060112</stp>
        <stp>20년이하(당일)</stp>
        <stp>45523</stp>
        <stp/>
        <tr r="BV71" s="2"/>
        <tr r="BV71" s="2"/>
      </tp>
      <tp t="s">
        <v/>
        <stp/>
        <stp>P</stp>
        <stp>0</stp>
        <stp>IR</stp>
        <stp>BONDNIC5050111</stp>
        <stp>30년이하(당일)</stp>
        <stp>45523</stp>
        <stp/>
        <tr r="BW31" s="2"/>
        <tr r="BW31" s="2"/>
      </tp>
      <tp>
        <v>5.1879999999999997</v>
        <stp/>
        <stp>P</stp>
        <stp>0</stp>
        <stp>IR</stp>
        <stp>BONDNIC7050111</stp>
        <stp>10년이하(당일)</stp>
        <stp>45523</stp>
        <stp/>
        <tr r="BT67" s="2"/>
        <tr r="BT67" s="2"/>
      </tp>
      <tp>
        <v>8.7539999999999996</v>
        <stp/>
        <stp>P</stp>
        <stp>0</stp>
        <stp>IR</stp>
        <stp>BONDNIC7060112</stp>
        <stp>10년이하(당일)</stp>
        <stp>45523</stp>
        <stp/>
        <tr r="BT71" s="2"/>
        <tr r="BT71" s="2"/>
      </tp>
      <tp>
        <v>4.7649999999999997</v>
        <stp/>
        <stp>P</stp>
        <stp>0</stp>
        <stp>IR</stp>
        <stp>BONDNIC5050111</stp>
        <stp>20년이하(당일)</stp>
        <stp>45523</stp>
        <stp/>
        <tr r="BV31" s="2"/>
        <tr r="BV31" s="2"/>
      </tp>
      <tp>
        <v>5.3860000000000001</v>
        <stp/>
        <stp>P</stp>
        <stp>0</stp>
        <stp>IR</stp>
        <stp>BONDNIC6050111</stp>
        <stp>10년이하(당일)</stp>
        <stp>45523</stp>
        <stp/>
        <tr r="BT37" s="2"/>
        <tr r="BT37" s="2"/>
      </tp>
      <tp>
        <v>9.0820000000000007</v>
        <stp/>
        <stp>P</stp>
        <stp>0</stp>
        <stp>IR</stp>
        <stp>BONDNIC6060112</stp>
        <stp>10년이하(당일)</stp>
        <stp>45523</stp>
        <stp/>
        <tr r="BT41" s="2"/>
        <tr r="BT41" s="2"/>
      </tp>
      <tp t="s">
        <v/>
        <stp/>
        <stp>P</stp>
        <stp>0</stp>
        <stp>IR</stp>
        <stp>BONDNIC5050111</stp>
        <stp>50년이하(당일)</stp>
        <stp>45523</stp>
        <stp/>
        <tr r="BX31" s="2"/>
        <tr r="BX31" s="2"/>
      </tp>
      <tp t="s">
        <v/>
        <stp/>
        <stp>P</stp>
        <stp>0</stp>
        <stp>IR</stp>
        <stp>BONDNIC7050111</stp>
        <stp>50년이하(당일)</stp>
        <stp>45523</stp>
        <stp/>
        <tr r="BX67" s="2"/>
        <tr r="BX67" s="2"/>
      </tp>
      <tp t="s">
        <v/>
        <stp/>
        <stp>P</stp>
        <stp>0</stp>
        <stp>IR</stp>
        <stp>BONDNIC7060112</stp>
        <stp>50년이하(당일)</stp>
        <stp>45523</stp>
        <stp/>
        <tr r="BX71" s="2"/>
        <tr r="BX71" s="2"/>
      </tp>
      <tp t="s">
        <v/>
        <stp/>
        <stp>P</stp>
        <stp>0</stp>
        <stp>IR</stp>
        <stp>BONDNIC6050111</stp>
        <stp>50년이하(당일)</stp>
        <stp>45523</stp>
        <stp/>
        <tr r="BX37" s="2"/>
        <tr r="BX37" s="2"/>
      </tp>
      <tp t="s">
        <v/>
        <stp/>
        <stp>P</stp>
        <stp>0</stp>
        <stp>IR</stp>
        <stp>BONDNIC6060112</stp>
        <stp>50년이하(당일)</stp>
        <stp>45523</stp>
        <stp/>
        <tr r="BX41" s="2"/>
        <tr r="BX41" s="2"/>
      </tp>
      <tp t="s">
        <v/>
        <stp/>
        <stp>P</stp>
        <stp>0</stp>
        <stp>IR</stp>
        <stp>BONDNIC8040113</stp>
        <stp>50년이하(당일)</stp>
        <stp>45523</stp>
        <stp/>
        <tr r="BX76" s="2"/>
        <tr r="BX76" s="2"/>
      </tp>
      <tp t="s">
        <v/>
        <stp/>
        <stp>P</stp>
        <stp>0</stp>
        <stp>IR</stp>
        <stp>BONDNIC8050112</stp>
        <stp>50년이하(당일)</stp>
        <stp>45523</stp>
        <stp/>
        <tr r="BX78" s="2"/>
        <tr r="BX78" s="2"/>
      </tp>
      <tp t="s">
        <v/>
        <stp/>
        <stp>P</stp>
        <stp>0</stp>
        <stp>IR</stp>
        <stp>BONDNIC8060111</stp>
        <stp>50년이하(당일)</stp>
        <stp>45523</stp>
        <stp/>
        <tr r="BX80" s="2"/>
        <tr r="BX80" s="2"/>
      </tp>
      <tp>
        <v>4.9489999999999998</v>
        <stp/>
        <stp>P</stp>
        <stp>0</stp>
        <stp>IR</stp>
        <stp>BONDNIC8040113</stp>
        <stp>10년이하(당일)</stp>
        <stp>45523</stp>
        <stp/>
        <tr r="BT76" s="2"/>
        <tr r="BT76" s="2"/>
      </tp>
      <tp>
        <v>6.1180000000000003</v>
        <stp/>
        <stp>P</stp>
        <stp>0</stp>
        <stp>IR</stp>
        <stp>BONDNIC8050112</stp>
        <stp>10년이하(당일)</stp>
        <stp>45523</stp>
        <stp/>
        <tr r="BT78" s="2"/>
        <tr r="BT78" s="2"/>
      </tp>
      <tp>
        <v>8.3659999999999997</v>
        <stp/>
        <stp>P</stp>
        <stp>0</stp>
        <stp>IR</stp>
        <stp>BONDNIC8060111</stp>
        <stp>10년이하(당일)</stp>
        <stp>45523</stp>
        <stp/>
        <tr r="BT80" s="2"/>
        <tr r="BT80" s="2"/>
      </tp>
      <tp>
        <v>5.8289999999999997</v>
        <stp/>
        <stp>P</stp>
        <stp>0</stp>
        <stp>IR</stp>
        <stp>BONDNIC8040113</stp>
        <stp>20년이하(당일)</stp>
        <stp>45523</stp>
        <stp/>
        <tr r="BV76" s="2"/>
        <tr r="BV76" s="2"/>
      </tp>
      <tp>
        <v>6.7590000000000003</v>
        <stp/>
        <stp>P</stp>
        <stp>0</stp>
        <stp>IR</stp>
        <stp>BONDNIC8050112</stp>
        <stp>20년이하(당일)</stp>
        <stp>45523</stp>
        <stp/>
        <tr r="BV78" s="2"/>
        <tr r="BV78" s="2"/>
      </tp>
      <tp>
        <v>9.01</v>
        <stp/>
        <stp>P</stp>
        <stp>0</stp>
        <stp>IR</stp>
        <stp>BONDNIC8060111</stp>
        <stp>20년이하(당일)</stp>
        <stp>45523</stp>
        <stp/>
        <tr r="BV80" s="2"/>
        <tr r="BV80" s="2"/>
      </tp>
      <tp t="s">
        <v/>
        <stp/>
        <stp>P</stp>
        <stp>0</stp>
        <stp>IR</stp>
        <stp>BONDNIC8040113</stp>
        <stp>30년이하(당일)</stp>
        <stp>45523</stp>
        <stp/>
        <tr r="BW76" s="2"/>
        <tr r="BW76" s="2"/>
      </tp>
      <tp t="s">
        <v/>
        <stp/>
        <stp>P</stp>
        <stp>0</stp>
        <stp>IR</stp>
        <stp>BONDNIC8050112</stp>
        <stp>30년이하(당일)</stp>
        <stp>45523</stp>
        <stp/>
        <tr r="BW78" s="2"/>
        <tr r="BW78" s="2"/>
      </tp>
      <tp t="s">
        <v/>
        <stp/>
        <stp>P</stp>
        <stp>0</stp>
        <stp>IR</stp>
        <stp>BONDNIC8060111</stp>
        <stp>30년이하(당일)</stp>
        <stp>45523</stp>
        <stp/>
        <tr r="BW80" s="2"/>
        <tr r="BW80" s="2"/>
      </tp>
      <tp>
        <v>4.2930000000000001</v>
        <stp/>
        <stp>P</stp>
        <stp>0</stp>
        <stp>IR</stp>
        <stp>BONDNIC5040113</stp>
        <stp>10년이하(당일)</stp>
        <stp>45523</stp>
        <stp/>
        <tr r="BT30" s="2"/>
        <tr r="BT30" s="2"/>
      </tp>
      <tp>
        <v>4.6459999999999999</v>
        <stp/>
        <stp>P</stp>
        <stp>0</stp>
        <stp>IR</stp>
        <stp>BONDNIC5050112</stp>
        <stp>10년이하(당일)</stp>
        <stp>45523</stp>
        <stp/>
        <tr r="BT32" s="2"/>
        <tr r="BT32" s="2"/>
      </tp>
      <tp>
        <v>5.3840000000000003</v>
        <stp/>
        <stp>P</stp>
        <stp>0</stp>
        <stp>IR</stp>
        <stp>BONDNIC6040113</stp>
        <stp>20년이하(당일)</stp>
        <stp>45523</stp>
        <stp/>
        <tr r="BV36" s="2"/>
        <tr r="BV36" s="2"/>
      </tp>
      <tp>
        <v>6.1479999999999997</v>
        <stp/>
        <stp>P</stp>
        <stp>0</stp>
        <stp>IR</stp>
        <stp>BONDNIC6050112</stp>
        <stp>20년이하(당일)</stp>
        <stp>45523</stp>
        <stp/>
        <tr r="BV38" s="2"/>
        <tr r="BV38" s="2"/>
      </tp>
      <tp>
        <v>8.2490000000000006</v>
        <stp/>
        <stp>P</stp>
        <stp>0</stp>
        <stp>IR</stp>
        <stp>BONDNIC6060111</stp>
        <stp>20년이하(당일)</stp>
        <stp>45523</stp>
        <stp/>
        <tr r="BV40" s="2"/>
        <tr r="BV40" s="2"/>
      </tp>
      <tp t="s">
        <v/>
        <stp/>
        <stp>P</stp>
        <stp>0</stp>
        <stp>IR</stp>
        <stp>BONDNIC7040113</stp>
        <stp>30년이하(당일)</stp>
        <stp>45523</stp>
        <stp/>
        <tr r="BW66" s="2"/>
        <tr r="BW66" s="2"/>
      </tp>
      <tp t="s">
        <v/>
        <stp/>
        <stp>P</stp>
        <stp>0</stp>
        <stp>IR</stp>
        <stp>BONDNIC7050112</stp>
        <stp>30년이하(당일)</stp>
        <stp>45523</stp>
        <stp/>
        <tr r="BW68" s="2"/>
        <tr r="BW68" s="2"/>
      </tp>
      <tp t="s">
        <v/>
        <stp/>
        <stp>P</stp>
        <stp>0</stp>
        <stp>IR</stp>
        <stp>BONDNIC7060111</stp>
        <stp>30년이하(당일)</stp>
        <stp>45523</stp>
        <stp/>
        <tr r="BW70" s="2"/>
        <tr r="BW70" s="2"/>
      </tp>
      <tp t="s">
        <v/>
        <stp/>
        <stp>P</stp>
        <stp>0</stp>
        <stp>IR</stp>
        <stp>BONDNIC6040113</stp>
        <stp>30년이하(당일)</stp>
        <stp>45523</stp>
        <stp/>
        <tr r="BW36" s="2"/>
        <tr r="BW36" s="2"/>
      </tp>
      <tp t="s">
        <v/>
        <stp/>
        <stp>P</stp>
        <stp>0</stp>
        <stp>IR</stp>
        <stp>BONDNIC6050112</stp>
        <stp>30년이하(당일)</stp>
        <stp>45523</stp>
        <stp/>
        <tr r="BW38" s="2"/>
        <tr r="BW38" s="2"/>
      </tp>
      <tp t="s">
        <v/>
        <stp/>
        <stp>P</stp>
        <stp>0</stp>
        <stp>IR</stp>
        <stp>BONDNIC6060111</stp>
        <stp>30년이하(당일)</stp>
        <stp>45523</stp>
        <stp/>
        <tr r="BW40" s="2"/>
        <tr r="BW40" s="2"/>
      </tp>
      <tp>
        <v>5.4690000000000003</v>
        <stp/>
        <stp>P</stp>
        <stp>0</stp>
        <stp>IR</stp>
        <stp>BONDNIC7040113</stp>
        <stp>20년이하(당일)</stp>
        <stp>45523</stp>
        <stp/>
        <tr r="BV66" s="2"/>
        <tr r="BV66" s="2"/>
      </tp>
      <tp>
        <v>6.2389999999999999</v>
        <stp/>
        <stp>P</stp>
        <stp>0</stp>
        <stp>IR</stp>
        <stp>BONDNIC7050112</stp>
        <stp>20년이하(당일)</stp>
        <stp>45523</stp>
        <stp/>
        <tr r="BV68" s="2"/>
        <tr r="BV68" s="2"/>
      </tp>
      <tp>
        <v>8.34</v>
        <stp/>
        <stp>P</stp>
        <stp>0</stp>
        <stp>IR</stp>
        <stp>BONDNIC7060111</stp>
        <stp>20년이하(당일)</stp>
        <stp>45523</stp>
        <stp/>
        <tr r="BV70" s="2"/>
        <tr r="BV70" s="2"/>
      </tp>
      <tp t="s">
        <v/>
        <stp/>
        <stp>P</stp>
        <stp>0</stp>
        <stp>IR</stp>
        <stp>BONDNIC3040113</stp>
        <stp>50년이하(당일)</stp>
        <stp>45523</stp>
        <stp/>
        <tr r="BX19" s="2"/>
        <tr r="BX19" s="2"/>
      </tp>
      <tp t="s">
        <v/>
        <stp/>
        <stp>P</stp>
        <stp>0</stp>
        <stp>IR</stp>
        <stp>BONDNIC5040113</stp>
        <stp>30년이하(당일)</stp>
        <stp>45523</stp>
        <stp/>
        <tr r="BW30" s="2"/>
        <tr r="BW30" s="2"/>
      </tp>
      <tp t="s">
        <v/>
        <stp/>
        <stp>P</stp>
        <stp>0</stp>
        <stp>IR</stp>
        <stp>BONDNIC5050112</stp>
        <stp>30년이하(당일)</stp>
        <stp>45523</stp>
        <stp/>
        <tr r="BW32" s="2"/>
        <tr r="BW32" s="2"/>
      </tp>
      <tp>
        <v>4.6189999999999998</v>
        <stp/>
        <stp>P</stp>
        <stp>0</stp>
        <stp>IR</stp>
        <stp>BONDNIC7040113</stp>
        <stp>10년이하(당일)</stp>
        <stp>45523</stp>
        <stp/>
        <tr r="BT66" s="2"/>
        <tr r="BT66" s="2"/>
      </tp>
      <tp>
        <v>5.6180000000000003</v>
        <stp/>
        <stp>P</stp>
        <stp>0</stp>
        <stp>IR</stp>
        <stp>BONDNIC7050112</stp>
        <stp>10년이하(당일)</stp>
        <stp>45523</stp>
        <stp/>
        <tr r="BT68" s="2"/>
        <tr r="BT68" s="2"/>
      </tp>
      <tp>
        <v>7.7060000000000004</v>
        <stp/>
        <stp>P</stp>
        <stp>0</stp>
        <stp>IR</stp>
        <stp>BONDNIC7060111</stp>
        <stp>10년이하(당일)</stp>
        <stp>45523</stp>
        <stp/>
        <tr r="BT70" s="2"/>
        <tr r="BT70" s="2"/>
      </tp>
      <tp>
        <v>4.5519999999999996</v>
        <stp/>
        <stp>P</stp>
        <stp>0</stp>
        <stp>IR</stp>
        <stp>BONDNIC5040113</stp>
        <stp>20년이하(당일)</stp>
        <stp>45523</stp>
        <stp/>
        <tr r="BV30" s="2"/>
        <tr r="BV30" s="2"/>
      </tp>
      <tp>
        <v>4.907</v>
        <stp/>
        <stp>P</stp>
        <stp>0</stp>
        <stp>IR</stp>
        <stp>BONDNIC5050112</stp>
        <stp>20년이하(당일)</stp>
        <stp>45523</stp>
        <stp/>
        <tr r="BV32" s="2"/>
        <tr r="BV32" s="2"/>
      </tp>
      <tp>
        <v>4.7359999999999998</v>
        <stp/>
        <stp>P</stp>
        <stp>0</stp>
        <stp>IR</stp>
        <stp>BONDNIC6040113</stp>
        <stp>10년이하(당일)</stp>
        <stp>45523</stp>
        <stp/>
        <tr r="BT36" s="2"/>
        <tr r="BT36" s="2"/>
      </tp>
      <tp>
        <v>5.8179999999999996</v>
        <stp/>
        <stp>P</stp>
        <stp>0</stp>
        <stp>IR</stp>
        <stp>BONDNIC6050112</stp>
        <stp>10년이하(당일)</stp>
        <stp>45523</stp>
        <stp/>
        <tr r="BT38" s="2"/>
        <tr r="BT38" s="2"/>
      </tp>
      <tp>
        <v>7.7889999999999997</v>
        <stp/>
        <stp>P</stp>
        <stp>0</stp>
        <stp>IR</stp>
        <stp>BONDNIC6060111</stp>
        <stp>10년이하(당일)</stp>
        <stp>45523</stp>
        <stp/>
        <tr r="BT40" s="2"/>
        <tr r="BT40" s="2"/>
      </tp>
      <tp t="s">
        <v/>
        <stp/>
        <stp>P</stp>
        <stp>0</stp>
        <stp>IR</stp>
        <stp>BONDNIC3040113</stp>
        <stp>30년이하(당일)</stp>
        <stp>45523</stp>
        <stp/>
        <tr r="BW19" s="2"/>
        <tr r="BW19" s="2"/>
      </tp>
      <tp t="s">
        <v/>
        <stp/>
        <stp>P</stp>
        <stp>0</stp>
        <stp>IR</stp>
        <stp>BONDNIC5040113</stp>
        <stp>50년이하(당일)</stp>
        <stp>45523</stp>
        <stp/>
        <tr r="BX30" s="2"/>
        <tr r="BX30" s="2"/>
      </tp>
      <tp t="s">
        <v/>
        <stp/>
        <stp>P</stp>
        <stp>0</stp>
        <stp>IR</stp>
        <stp>BONDNIC5050112</stp>
        <stp>50년이하(당일)</stp>
        <stp>45523</stp>
        <stp/>
        <tr r="BX32" s="2"/>
        <tr r="BX32" s="2"/>
      </tp>
      <tp>
        <v>3.7010000000000001</v>
        <stp/>
        <stp>P</stp>
        <stp>0</stp>
        <stp>IR</stp>
        <stp>BONDNIC3040113</stp>
        <stp>20년이하(당일)</stp>
        <stp>45523</stp>
        <stp/>
        <tr r="BV19" s="2"/>
        <tr r="BV19" s="2"/>
      </tp>
      <tp>
        <v>3.6219999999999999</v>
        <stp/>
        <stp>P</stp>
        <stp>0</stp>
        <stp>IR</stp>
        <stp>BONDNIC3040113</stp>
        <stp>10년이하(당일)</stp>
        <stp>45523</stp>
        <stp/>
        <tr r="BT19" s="2"/>
        <tr r="BT19" s="2"/>
      </tp>
      <tp t="s">
        <v/>
        <stp/>
        <stp>P</stp>
        <stp>0</stp>
        <stp>IR</stp>
        <stp>BONDNIC7040113</stp>
        <stp>50년이하(당일)</stp>
        <stp>45523</stp>
        <stp/>
        <tr r="BX66" s="2"/>
        <tr r="BX66" s="2"/>
      </tp>
      <tp t="s">
        <v/>
        <stp/>
        <stp>P</stp>
        <stp>0</stp>
        <stp>IR</stp>
        <stp>BONDNIC7050112</stp>
        <stp>50년이하(당일)</stp>
        <stp>45523</stp>
        <stp/>
        <tr r="BX68" s="2"/>
        <tr r="BX68" s="2"/>
      </tp>
      <tp t="s">
        <v/>
        <stp/>
        <stp>P</stp>
        <stp>0</stp>
        <stp>IR</stp>
        <stp>BONDNIC7060111</stp>
        <stp>50년이하(당일)</stp>
        <stp>45523</stp>
        <stp/>
        <tr r="BX70" s="2"/>
        <tr r="BX70" s="2"/>
      </tp>
      <tp t="s">
        <v/>
        <stp/>
        <stp>P</stp>
        <stp>0</stp>
        <stp>IR</stp>
        <stp>BONDNIC6040113</stp>
        <stp>50년이하(당일)</stp>
        <stp>45523</stp>
        <stp/>
        <tr r="BX36" s="2"/>
        <tr r="BX36" s="2"/>
      </tp>
      <tp t="s">
        <v/>
        <stp/>
        <stp>P</stp>
        <stp>0</stp>
        <stp>IR</stp>
        <stp>BONDNIC6050112</stp>
        <stp>50년이하(당일)</stp>
        <stp>45523</stp>
        <stp/>
        <tr r="BX38" s="2"/>
        <tr r="BX38" s="2"/>
      </tp>
      <tp t="s">
        <v/>
        <stp/>
        <stp>P</stp>
        <stp>0</stp>
        <stp>IR</stp>
        <stp>BONDNIC6060111</stp>
        <stp>50년이하(당일)</stp>
        <stp>45523</stp>
        <stp/>
        <tr r="BX40" s="2"/>
        <tr r="BX40" s="2"/>
      </tp>
      <tp t="s">
        <v/>
        <stp/>
        <stp>P</stp>
        <stp>0</stp>
        <stp>IR</stp>
        <stp>BONDNIC8040112</stp>
        <stp>50년이하(당일)</stp>
        <stp>45523</stp>
        <stp/>
        <tr r="BX75" s="2"/>
        <tr r="BX75" s="2"/>
      </tp>
      <tp t="s">
        <v/>
        <stp/>
        <stp>P</stp>
        <stp>0</stp>
        <stp>IR</stp>
        <stp>BONDNIC8050113</stp>
        <stp>50년이하(당일)</stp>
        <stp>45523</stp>
        <stp/>
        <tr r="BX79" s="2"/>
        <tr r="BX79" s="2"/>
      </tp>
      <tp>
        <v>4.5469999999999997</v>
        <stp/>
        <stp>P</stp>
        <stp>0</stp>
        <stp>IR</stp>
        <stp>BONDNIC8040112</stp>
        <stp>10년이하(당일)</stp>
        <stp>45523</stp>
        <stp/>
        <tr r="BT75" s="2"/>
        <tr r="BT75" s="2"/>
      </tp>
      <tp>
        <v>6.6829999999999998</v>
        <stp/>
        <stp>P</stp>
        <stp>0</stp>
        <stp>IR</stp>
        <stp>BONDNIC8050113</stp>
        <stp>10년이하(당일)</stp>
        <stp>45523</stp>
        <stp/>
        <tr r="BT79" s="2"/>
        <tr r="BT79" s="2"/>
      </tp>
      <tp>
        <v>5.282</v>
        <stp/>
        <stp>P</stp>
        <stp>0</stp>
        <stp>IR</stp>
        <stp>BONDNIC8040112</stp>
        <stp>20년이하(당일)</stp>
        <stp>45523</stp>
        <stp/>
        <tr r="BV75" s="2"/>
        <tr r="BV75" s="2"/>
      </tp>
      <tp>
        <v>7.3490000000000002</v>
        <stp/>
        <stp>P</stp>
        <stp>0</stp>
        <stp>IR</stp>
        <stp>BONDNIC8050113</stp>
        <stp>20년이하(당일)</stp>
        <stp>45523</stp>
        <stp/>
        <tr r="BV79" s="2"/>
        <tr r="BV79" s="2"/>
      </tp>
      <tp t="s">
        <v/>
        <stp/>
        <stp>P</stp>
        <stp>0</stp>
        <stp>IR</stp>
        <stp>BONDNIC8040112</stp>
        <stp>30년이하(당일)</stp>
        <stp>45523</stp>
        <stp/>
        <tr r="BW75" s="2"/>
        <tr r="BW75" s="2"/>
      </tp>
      <tp t="s">
        <v/>
        <stp/>
        <stp>P</stp>
        <stp>0</stp>
        <stp>IR</stp>
        <stp>BONDNIC8050113</stp>
        <stp>30년이하(당일)</stp>
        <stp>45523</stp>
        <stp/>
        <tr r="BW79" s="2"/>
        <tr r="BW79" s="2"/>
      </tp>
      <tp>
        <v>4.0090000000000003</v>
        <stp/>
        <stp>P</stp>
        <stp>0</stp>
        <stp>IR</stp>
        <stp>BONDNIC5040112</stp>
        <stp>10년이하(당일)</stp>
        <stp>45523</stp>
        <stp/>
        <tr r="BT29" s="2"/>
        <tr r="BT29" s="2"/>
      </tp>
      <tp>
        <v>4.7560000000000002</v>
        <stp/>
        <stp>P</stp>
        <stp>0</stp>
        <stp>IR</stp>
        <stp>BONDNIC5050113</stp>
        <stp>10년이하(당일)</stp>
        <stp>45523</stp>
        <stp/>
        <tr r="BT33" s="2"/>
        <tr r="BT33" s="2"/>
      </tp>
      <tp>
        <v>5.1130000000000004</v>
        <stp/>
        <stp>P</stp>
        <stp>0</stp>
        <stp>IR</stp>
        <stp>BONDNIC6040112</stp>
        <stp>20년이하(당일)</stp>
        <stp>45523</stp>
        <stp/>
        <tr r="BV35" s="2"/>
        <tr r="BV35" s="2"/>
      </tp>
      <tp>
        <v>6.7889999999999997</v>
        <stp/>
        <stp>P</stp>
        <stp>0</stp>
        <stp>IR</stp>
        <stp>BONDNIC6050113</stp>
        <stp>20년이하(당일)</stp>
        <stp>45523</stp>
        <stp/>
        <tr r="BV39" s="2"/>
        <tr r="BV39" s="2"/>
      </tp>
      <tp t="s">
        <v/>
        <stp/>
        <stp>P</stp>
        <stp>0</stp>
        <stp>IR</stp>
        <stp>BONDNIC7040112</stp>
        <stp>30년이하(당일)</stp>
        <stp>45523</stp>
        <stp/>
        <tr r="BW65" s="2"/>
        <tr r="BW65" s="2"/>
      </tp>
      <tp t="s">
        <v/>
        <stp/>
        <stp>P</stp>
        <stp>0</stp>
        <stp>IR</stp>
        <stp>BONDNIC7050113</stp>
        <stp>30년이하(당일)</stp>
        <stp>45523</stp>
        <stp/>
        <tr r="BW69" s="2"/>
        <tr r="BW69" s="2"/>
      </tp>
      <tp t="s">
        <v/>
        <stp/>
        <stp>P</stp>
        <stp>0</stp>
        <stp>IR</stp>
        <stp>BONDNIC6040112</stp>
        <stp>30년이하(당일)</stp>
        <stp>45523</stp>
        <stp/>
        <tr r="BW35" s="2"/>
        <tr r="BW35" s="2"/>
      </tp>
      <tp t="s">
        <v/>
        <stp/>
        <stp>P</stp>
        <stp>0</stp>
        <stp>IR</stp>
        <stp>BONDNIC6050113</stp>
        <stp>30년이하(당일)</stp>
        <stp>45523</stp>
        <stp/>
        <tr r="BW39" s="2"/>
        <tr r="BW39" s="2"/>
      </tp>
      <tp>
        <v>4.9320000000000004</v>
        <stp/>
        <stp>P</stp>
        <stp>0</stp>
        <stp>IR</stp>
        <stp>BONDNIC7040112</stp>
        <stp>20년이하(당일)</stp>
        <stp>45523</stp>
        <stp/>
        <tr r="BV65" s="2"/>
        <tr r="BV65" s="2"/>
      </tp>
      <tp>
        <v>6.8090000000000002</v>
        <stp/>
        <stp>P</stp>
        <stp>0</stp>
        <stp>IR</stp>
        <stp>BONDNIC7050113</stp>
        <stp>20년이하(당일)</stp>
        <stp>45523</stp>
        <stp/>
        <tr r="BV69" s="2"/>
        <tr r="BV69" s="2"/>
      </tp>
      <tp t="s">
        <v/>
        <stp/>
        <stp>P</stp>
        <stp>0</stp>
        <stp>IR</stp>
        <stp>BONDNIC3040112</stp>
        <stp>50년이하(당일)</stp>
        <stp>45523</stp>
        <stp/>
        <tr r="BX18" s="2"/>
        <tr r="BX18" s="2"/>
      </tp>
      <tp t="s">
        <v/>
        <stp/>
        <stp>P</stp>
        <stp>0</stp>
        <stp>IR</stp>
        <stp>BONDNIC5040112</stp>
        <stp>30년이하(당일)</stp>
        <stp>45523</stp>
        <stp/>
        <tr r="BW29" s="2"/>
        <tr r="BW29" s="2"/>
      </tp>
      <tp t="s">
        <v/>
        <stp/>
        <stp>P</stp>
        <stp>0</stp>
        <stp>IR</stp>
        <stp>BONDNIC5050113</stp>
        <stp>30년이하(당일)</stp>
        <stp>45523</stp>
        <stp/>
        <tr r="BW33" s="2"/>
        <tr r="BW33" s="2"/>
      </tp>
      <tp>
        <v>4.2469999999999999</v>
        <stp/>
        <stp>P</stp>
        <stp>0</stp>
        <stp>IR</stp>
        <stp>BONDNIC7040112</stp>
        <stp>10년이하(당일)</stp>
        <stp>45523</stp>
        <stp/>
        <tr r="BT65" s="2"/>
        <tr r="BT65" s="2"/>
      </tp>
      <tp>
        <v>6.1529999999999996</v>
        <stp/>
        <stp>P</stp>
        <stp>0</stp>
        <stp>IR</stp>
        <stp>BONDNIC7050113</stp>
        <stp>10년이하(당일)</stp>
        <stp>45523</stp>
        <stp/>
        <tr r="BT69" s="2"/>
        <tr r="BT69" s="2"/>
      </tp>
      <tp>
        <v>4.3380000000000001</v>
        <stp/>
        <stp>P</stp>
        <stp>0</stp>
        <stp>IR</stp>
        <stp>BONDNIC5040112</stp>
        <stp>20년이하(당일)</stp>
        <stp>45523</stp>
        <stp/>
        <tr r="BV29" s="2"/>
        <tr r="BV29" s="2"/>
      </tp>
      <tp>
        <v>5.0519999999999996</v>
        <stp/>
        <stp>P</stp>
        <stp>0</stp>
        <stp>IR</stp>
        <stp>BONDNIC5050113</stp>
        <stp>20년이하(당일)</stp>
        <stp>45523</stp>
        <stp/>
        <tr r="BV33" s="2"/>
        <tr r="BV33" s="2"/>
      </tp>
      <tp>
        <v>4.5110000000000001</v>
        <stp/>
        <stp>P</stp>
        <stp>0</stp>
        <stp>IR</stp>
        <stp>BONDNIC6040112</stp>
        <stp>10년이하(당일)</stp>
        <stp>45523</stp>
        <stp/>
        <tr r="BT35" s="2"/>
        <tr r="BT35" s="2"/>
      </tp>
      <tp>
        <v>6.4790000000000001</v>
        <stp/>
        <stp>P</stp>
        <stp>0</stp>
        <stp>IR</stp>
        <stp>BONDNIC6050113</stp>
        <stp>10년이하(당일)</stp>
        <stp>45523</stp>
        <stp/>
        <tr r="BT39" s="2"/>
        <tr r="BT39" s="2"/>
      </tp>
      <tp t="s">
        <v/>
        <stp/>
        <stp>P</stp>
        <stp>0</stp>
        <stp>IR</stp>
        <stp>BONDNIC3040112</stp>
        <stp>30년이하(당일)</stp>
        <stp>45523</stp>
        <stp/>
        <tr r="BW18" s="2"/>
        <tr r="BW18" s="2"/>
      </tp>
      <tp t="s">
        <v/>
        <stp/>
        <stp>P</stp>
        <stp>0</stp>
        <stp>IR</stp>
        <stp>BONDNIC5040112</stp>
        <stp>50년이하(당일)</stp>
        <stp>45523</stp>
        <stp/>
        <tr r="BX29" s="2"/>
        <tr r="BX29" s="2"/>
      </tp>
      <tp t="s">
        <v/>
        <stp/>
        <stp>P</stp>
        <stp>0</stp>
        <stp>IR</stp>
        <stp>BONDNIC5050113</stp>
        <stp>50년이하(당일)</stp>
        <stp>45523</stp>
        <stp/>
        <tr r="BX33" s="2"/>
        <tr r="BX33" s="2"/>
      </tp>
      <tp>
        <v>3.581</v>
        <stp/>
        <stp>P</stp>
        <stp>0</stp>
        <stp>IR</stp>
        <stp>BONDNIC3040112</stp>
        <stp>20년이하(당일)</stp>
        <stp>45523</stp>
        <stp/>
        <tr r="BV18" s="2"/>
        <tr r="BV18" s="2"/>
      </tp>
      <tp>
        <v>3.4969999999999999</v>
        <stp/>
        <stp>P</stp>
        <stp>0</stp>
        <stp>IR</stp>
        <stp>BONDNIC3040112</stp>
        <stp>10년이하(당일)</stp>
        <stp>45523</stp>
        <stp/>
        <tr r="BT18" s="2"/>
        <tr r="BT18" s="2"/>
      </tp>
      <tp t="s">
        <v/>
        <stp/>
        <stp>P</stp>
        <stp>0</stp>
        <stp>IR</stp>
        <stp>BONDNIC7040112</stp>
        <stp>50년이하(당일)</stp>
        <stp>45523</stp>
        <stp/>
        <tr r="BX65" s="2"/>
        <tr r="BX65" s="2"/>
      </tp>
      <tp t="s">
        <v/>
        <stp/>
        <stp>P</stp>
        <stp>0</stp>
        <stp>IR</stp>
        <stp>BONDNIC7050113</stp>
        <stp>50년이하(당일)</stp>
        <stp>45523</stp>
        <stp/>
        <tr r="BX69" s="2"/>
        <tr r="BX69" s="2"/>
      </tp>
      <tp t="s">
        <v/>
        <stp/>
        <stp>P</stp>
        <stp>0</stp>
        <stp>IR</stp>
        <stp>BONDNIC6040112</stp>
        <stp>50년이하(당일)</stp>
        <stp>45523</stp>
        <stp/>
        <tr r="BX35" s="2"/>
        <tr r="BX35" s="2"/>
      </tp>
      <tp t="s">
        <v/>
        <stp/>
        <stp>P</stp>
        <stp>0</stp>
        <stp>IR</stp>
        <stp>BONDNIC6050113</stp>
        <stp>50년이하(당일)</stp>
        <stp>45523</stp>
        <stp/>
        <tr r="BX39" s="2"/>
        <tr r="BX39" s="2"/>
      </tp>
      <tp>
        <v>3.5870000000000002</v>
        <stp/>
        <stp>P</stp>
        <stp>0</stp>
        <stp>IR</stp>
        <stp>BONDKIS5013110</stp>
        <stp>15년이하(당일)</stp>
        <stp>45523</stp>
        <stp/>
        <tr r="BE23" s="2"/>
        <tr r="BE23" s="2"/>
      </tp>
      <tp>
        <v>4.2969999999999997</v>
        <stp/>
        <stp>P</stp>
        <stp>0</stp>
        <stp>IR</stp>
        <stp>BONDKIS8010110</stp>
        <stp>15년이하(당일)</stp>
        <stp>45523</stp>
        <stp/>
        <tr r="BE73" s="2"/>
        <tr r="BE73" s="2"/>
      </tp>
      <tp>
        <v>3.847</v>
        <stp/>
        <stp>P</stp>
        <stp>0</stp>
        <stp>IR</stp>
        <stp>BONDKIS7010110</stp>
        <stp>15년이하(당일)</stp>
        <stp>45523</stp>
        <stp/>
        <tr r="BE63" s="2"/>
        <tr r="BE63" s="2"/>
      </tp>
      <tp>
        <v>3.4820000000000002</v>
        <stp/>
        <stp>P</stp>
        <stp>0</stp>
        <stp>IR</stp>
        <stp>BONDNIC5010110</stp>
        <stp>10년이하(당일)</stp>
        <stp>45523</stp>
        <stp/>
        <tr r="BT23" s="2"/>
        <tr r="BT23" s="2"/>
      </tp>
      <tp t="s">
        <v/>
        <stp/>
        <stp>P</stp>
        <stp>0</stp>
        <stp>IR</stp>
        <stp>BONDNIC5010110</stp>
        <stp>30년이하(당일)</stp>
        <stp>45523</stp>
        <stp/>
        <tr r="BW23" s="2"/>
        <tr r="BW23" s="2"/>
      </tp>
      <tp>
        <v>3.67</v>
        <stp/>
        <stp>P</stp>
        <stp>0</stp>
        <stp>IR</stp>
        <stp>BONDNIC5010110</stp>
        <stp>20년이하(당일)</stp>
        <stp>45523</stp>
        <stp/>
        <tr r="BV23" s="2"/>
        <tr r="BV23" s="2"/>
      </tp>
      <tp t="s">
        <v/>
        <stp/>
        <stp>P</stp>
        <stp>0</stp>
        <stp>IR</stp>
        <stp>BONDNIC5010110</stp>
        <stp>50년이하(당일)</stp>
        <stp>45523</stp>
        <stp/>
        <tr r="BX23" s="2"/>
        <tr r="BX23" s="2"/>
      </tp>
      <tp>
        <v>8.032</v>
        <stp/>
        <stp>P</stp>
        <stp>0</stp>
        <stp>IR</stp>
        <stp>BONDKIS6013211</stp>
        <stp>15년이하(당일)</stp>
        <stp>45523</stp>
        <stp/>
        <tr r="BE49" s="2"/>
        <tr r="BE49" s="2"/>
      </tp>
      <tp>
        <v>8.6449999999999996</v>
        <stp/>
        <stp>P</stp>
        <stp>0</stp>
        <stp>IR</stp>
        <stp>BONDKIS8010211</stp>
        <stp>15년이하(당일)</stp>
        <stp>45523</stp>
        <stp/>
        <tr r="BE80" s="2"/>
        <tr r="BE80" s="2"/>
      </tp>
      <tp>
        <v>8.0090000000000003</v>
        <stp/>
        <stp>P</stp>
        <stp>0</stp>
        <stp>IR</stp>
        <stp>BONDKIS7010211</stp>
        <stp>15년이하(당일)</stp>
        <stp>45523</stp>
        <stp/>
        <tr r="BE70" s="2"/>
        <tr r="BE70" s="2"/>
      </tp>
      <tp>
        <v>3.6840000000000002</v>
        <stp/>
        <stp>P</stp>
        <stp>0</stp>
        <stp>IR</stp>
        <stp>BONDKIS5033110</stp>
        <stp>15년이하(당일)</stp>
        <stp>45523</stp>
        <stp/>
        <tr r="BE27" s="2"/>
        <tr r="BE27" s="2"/>
      </tp>
      <tp>
        <v>9.39</v>
        <stp/>
        <stp>P</stp>
        <stp>0</stp>
        <stp>IR</stp>
        <stp>BONDKIS6013212</stp>
        <stp>15년이하(당일)</stp>
        <stp>45523</stp>
        <stp/>
        <tr r="BE50" s="2"/>
        <tr r="BE50" s="2"/>
      </tp>
      <tp>
        <v>3.1859999999999999</v>
        <stp/>
        <stp>P</stp>
        <stp>0</stp>
        <stp>IR</stp>
        <stp>BONDKIS3033110</stp>
        <stp>15년이하(당일)</stp>
        <stp>45523</stp>
        <stp/>
        <tr r="BE16" s="2"/>
        <tr r="BE16" s="2"/>
      </tp>
      <tp>
        <v>9.8000000000000007</v>
        <stp/>
        <stp>P</stp>
        <stp>0</stp>
        <stp>IR</stp>
        <stp>BONDKIS8010212</stp>
        <stp>15년이하(당일)</stp>
        <stp>45523</stp>
        <stp/>
        <tr r="BE81" s="2"/>
        <tr r="BE81" s="2"/>
      </tp>
      <tp>
        <v>9.1440000000000001</v>
        <stp/>
        <stp>P</stp>
        <stp>0</stp>
        <stp>IR</stp>
        <stp>BONDKIS7010212</stp>
        <stp>15년이하(당일)</stp>
        <stp>45523</stp>
        <stp/>
        <tr r="BE71" s="2"/>
        <tr r="BE71" s="2"/>
      </tp>
      <tp t="s">
        <v/>
        <stp/>
        <stp>P</stp>
        <stp>0</stp>
        <stp>IR</stp>
        <stp>BONDNIC8030110</stp>
        <stp>50년이하(당일)</stp>
        <stp>45523</stp>
        <stp/>
        <tr r="BX73" s="2"/>
        <tr r="BX73" s="2"/>
      </tp>
      <tp>
        <v>3.9</v>
        <stp/>
        <stp>P</stp>
        <stp>0</stp>
        <stp>IR</stp>
        <stp>BONDNIC8030110</stp>
        <stp>10년이하(당일)</stp>
        <stp>45523</stp>
        <stp/>
        <tr r="BT73" s="2"/>
        <tr r="BT73" s="2"/>
      </tp>
      <tp>
        <v>4.3109999999999999</v>
        <stp/>
        <stp>P</stp>
        <stp>0</stp>
        <stp>IR</stp>
        <stp>BONDNIC8030110</stp>
        <stp>20년이하(당일)</stp>
        <stp>45523</stp>
        <stp/>
        <tr r="BV73" s="2"/>
        <tr r="BV73" s="2"/>
      </tp>
      <tp t="s">
        <v/>
        <stp/>
        <stp>P</stp>
        <stp>0</stp>
        <stp>IR</stp>
        <stp>BONDNIC8030110</stp>
        <stp>30년이하(당일)</stp>
        <stp>45523</stp>
        <stp/>
        <tr r="BW73" s="2"/>
        <tr r="BW73" s="2"/>
      </tp>
      <tp>
        <v>3.5739999999999998</v>
        <stp/>
        <stp>P</stp>
        <stp>0</stp>
        <stp>IR</stp>
        <stp>BONDNIC5030110</stp>
        <stp>10년이하(당일)</stp>
        <stp>45523</stp>
        <stp/>
        <tr r="BT27" s="2"/>
        <tr r="BT27" s="2"/>
      </tp>
      <tp t="s">
        <v/>
        <stp/>
        <stp>P</stp>
        <stp>0</stp>
        <stp>IR</stp>
        <stp>BONDNIC7030110</stp>
        <stp>30년이하(당일)</stp>
        <stp>45523</stp>
        <stp/>
        <tr r="BW63" s="2"/>
        <tr r="BW63" s="2"/>
      </tp>
      <tp>
        <v>3.9660000000000002</v>
        <stp/>
        <stp>P</stp>
        <stp>0</stp>
        <stp>IR</stp>
        <stp>BONDNIC7030110</stp>
        <stp>20년이하(당일)</stp>
        <stp>45523</stp>
        <stp/>
        <tr r="BV63" s="2"/>
        <tr r="BV63" s="2"/>
      </tp>
      <tp t="s">
        <v/>
        <stp/>
        <stp>P</stp>
        <stp>0</stp>
        <stp>IR</stp>
        <stp>BONDNIC3030110</stp>
        <stp>50년이하(당일)</stp>
        <stp>45523</stp>
        <stp/>
        <tr r="BX16" s="2"/>
        <tr r="BX16" s="2"/>
      </tp>
      <tp t="s">
        <v/>
        <stp/>
        <stp>P</stp>
        <stp>0</stp>
        <stp>IR</stp>
        <stp>BONDNIC5030110</stp>
        <stp>30년이하(당일)</stp>
        <stp>45523</stp>
        <stp/>
        <tr r="BW27" s="2"/>
        <tr r="BW27" s="2"/>
      </tp>
      <tp>
        <v>3.6150000000000002</v>
        <stp/>
        <stp>P</stp>
        <stp>0</stp>
        <stp>IR</stp>
        <stp>BONDNIC7030110</stp>
        <stp>10년이하(당일)</stp>
        <stp>45523</stp>
        <stp/>
        <tr r="BT63" s="2"/>
        <tr r="BT63" s="2"/>
      </tp>
      <tp>
        <v>3.7719999999999998</v>
        <stp/>
        <stp>P</stp>
        <stp>0</stp>
        <stp>IR</stp>
        <stp>BONDNIC5030110</stp>
        <stp>20년이하(당일)</stp>
        <stp>45523</stp>
        <stp/>
        <tr r="BV27" s="2"/>
        <tr r="BV27" s="2"/>
      </tp>
      <tp>
        <v>3.1440000000000001</v>
        <stp/>
        <stp>P</stp>
        <stp>0</stp>
        <stp>IR</stp>
        <stp>BONDNIC3030110</stp>
        <stp>30년이하(당일)</stp>
        <stp>45523</stp>
        <stp/>
        <tr r="BW16" s="2"/>
        <tr r="BW16" s="2"/>
      </tp>
      <tp t="s">
        <v/>
        <stp/>
        <stp>P</stp>
        <stp>0</stp>
        <stp>IR</stp>
        <stp>BONDNIC5030110</stp>
        <stp>50년이하(당일)</stp>
        <stp>45523</stp>
        <stp/>
        <tr r="BX27" s="2"/>
        <tr r="BX27" s="2"/>
      </tp>
      <tp>
        <v>3.1520000000000001</v>
        <stp/>
        <stp>P</stp>
        <stp>0</stp>
        <stp>IR</stp>
        <stp>BONDNIC3030110</stp>
        <stp>20년이하(당일)</stp>
        <stp>45523</stp>
        <stp/>
        <tr r="BV16" s="2"/>
        <tr r="BV16" s="2"/>
      </tp>
      <tp>
        <v>3.1549999999999998</v>
        <stp/>
        <stp>P</stp>
        <stp>0</stp>
        <stp>IR</stp>
        <stp>BONDNIC3030110</stp>
        <stp>10년이하(당일)</stp>
        <stp>45523</stp>
        <stp/>
        <tr r="BT16" s="2"/>
        <tr r="BT16" s="2"/>
      </tp>
      <tp t="s">
        <v/>
        <stp/>
        <stp>P</stp>
        <stp>0</stp>
        <stp>IR</stp>
        <stp>BONDNIC7030110</stp>
        <stp>50년이하(당일)</stp>
        <stp>45523</stp>
        <stp/>
        <tr r="BX63" s="2"/>
        <tr r="BX63" s="2"/>
      </tp>
      <tp>
        <v>3.613</v>
        <stp/>
        <stp>P</stp>
        <stp>0</stp>
        <stp>IR</stp>
        <stp>BONDKIS5023110</stp>
        <stp>15년이하(당일)</stp>
        <stp>45523</stp>
        <stp/>
        <tr r="BE25" s="2"/>
        <tr r="BE25" s="2"/>
      </tp>
      <tp>
        <v>10.77</v>
        <stp/>
        <stp>P</stp>
        <stp>0</stp>
        <stp>IR</stp>
        <stp>BONDKIS6013213</stp>
        <stp>15년이하(당일)</stp>
        <stp>45523</stp>
        <stp/>
        <tr r="BE51" s="2"/>
        <tr r="BE51" s="2"/>
      </tp>
      <tp>
        <v>11.755000000000001</v>
        <stp/>
        <stp>P</stp>
        <stp>0</stp>
        <stp>IR</stp>
        <stp>BONDKIS8010213</stp>
        <stp>15년이하(당일)</stp>
        <stp>45523</stp>
        <stp/>
        <tr r="BE82" s="2"/>
        <tr r="BE82" s="2"/>
      </tp>
      <tp>
        <v>10.558999999999999</v>
        <stp/>
        <stp>P</stp>
        <stp>0</stp>
        <stp>IR</stp>
        <stp>BONDKIS7010213</stp>
        <stp>15년이하(당일)</stp>
        <stp>45523</stp>
        <stp/>
        <tr r="BE72" s="2"/>
        <tr r="BE72" s="2"/>
      </tp>
      <tp>
        <v>4.2610000000000001</v>
        <stp/>
        <stp>P</stp>
        <stp>0</stp>
        <stp>IR</stp>
        <stp>BONDKIS7020210</stp>
        <stp>15년이하(당일)</stp>
        <stp>45523</stp>
        <stp/>
        <tr r="BE55" s="2"/>
        <tr r="BE55" s="2"/>
      </tp>
      <tp>
        <v>3.6280000000000001</v>
        <stp/>
        <stp>P</stp>
        <stp>0</stp>
        <stp>IR</stp>
        <stp>BONDKIS7020110</stp>
        <stp>15년이하(당일)</stp>
        <stp>45523</stp>
        <stp/>
        <tr r="BE52" s="2"/>
        <tr r="BE52" s="2"/>
      </tp>
      <tp>
        <v>3.5070000000000001</v>
        <stp/>
        <stp>P</stp>
        <stp>0</stp>
        <stp>IR</stp>
        <stp>BONDNIC5020110</stp>
        <stp>10년이하(당일)</stp>
        <stp>45523</stp>
        <stp/>
        <tr r="BT25" s="2"/>
        <tr r="BT25" s="2"/>
      </tp>
      <tp t="s">
        <v/>
        <stp/>
        <stp>P</stp>
        <stp>0</stp>
        <stp>IR</stp>
        <stp>BONDNIC5020110</stp>
        <stp>30년이하(당일)</stp>
        <stp>45523</stp>
        <stp/>
        <tr r="BW25" s="2"/>
        <tr r="BW25" s="2"/>
      </tp>
      <tp>
        <v>3.6970000000000001</v>
        <stp/>
        <stp>P</stp>
        <stp>0</stp>
        <stp>IR</stp>
        <stp>BONDNIC5020110</stp>
        <stp>20년이하(당일)</stp>
        <stp>45523</stp>
        <stp/>
        <tr r="BV25" s="2"/>
        <tr r="BV25" s="2"/>
      </tp>
      <tp t="s">
        <v/>
        <stp/>
        <stp>P</stp>
        <stp>0</stp>
        <stp>IR</stp>
        <stp>BONDNIC5020110</stp>
        <stp>50년이하(당일)</stp>
        <stp>45523</stp>
        <stp/>
        <tr r="BX25" s="2"/>
        <tr r="BX25" s="2"/>
      </tp>
      <tp>
        <v>6.8360000000000003</v>
        <stp/>
        <stp>P</stp>
        <stp>0</stp>
        <stp>IR</stp>
        <stp>BONDKBPE342</stp>
        <stp>1.5년이하(당일)</stp>
        <stp>45523</stp>
        <stp/>
        <tr r="AG49" s="2"/>
        <tr r="AG49" s="2"/>
      </tp>
      <tp>
        <v>3.4790000000000001</v>
        <stp/>
        <stp>P</stp>
        <stp>0</stp>
        <stp>IR</stp>
        <stp>BONDKBPE302</stp>
        <stp>1.5년이하(당일)</stp>
        <stp>45523</stp>
        <stp/>
        <tr r="AG44" s="2"/>
        <tr r="AG44" s="2"/>
      </tp>
      <tp>
        <v>3.7879999999999998</v>
        <stp/>
        <stp>P</stp>
        <stp>0</stp>
        <stp>IR</stp>
        <stp>BONDKBPE142</stp>
        <stp>2.5년이하(당일)</stp>
        <stp>45523</stp>
        <stp/>
        <tr r="AI30" s="2"/>
        <tr r="AI30" s="2"/>
      </tp>
      <tp>
        <v>3.4790000000000001</v>
        <stp/>
        <stp>P</stp>
        <stp>0</stp>
        <stp>IR</stp>
        <stp>BONDKBPE202</stp>
        <stp>1.5년이하(당일)</stp>
        <stp>45523</stp>
        <stp/>
        <tr r="AG35" s="2"/>
        <tr r="AG35" s="2"/>
      </tp>
      <tp>
        <v>3.8149999999999999</v>
        <stp/>
        <stp>P</stp>
        <stp>0</stp>
        <stp>IR</stp>
        <stp>BONDKBPE142</stp>
        <stp>1.5년이하(당일)</stp>
        <stp>45523</stp>
        <stp/>
        <tr r="AG30" s="2"/>
        <tr r="AG30" s="2"/>
      </tp>
      <tp>
        <v>3.4169999999999998</v>
        <stp/>
        <stp>P</stp>
        <stp>0</stp>
        <stp>IR</stp>
        <stp>BONDKBPE202</stp>
        <stp>2.5년이하(당일)</stp>
        <stp>45523</stp>
        <stp/>
        <tr r="AI35" s="2"/>
        <tr r="AI35" s="2"/>
      </tp>
      <tp>
        <v>7.2510000000000003</v>
        <stp/>
        <stp>P</stp>
        <stp>0</stp>
        <stp>IR</stp>
        <stp>BONDKBPE342</stp>
        <stp>2.5년이하(당일)</stp>
        <stp>45523</stp>
        <stp/>
        <tr r="AI49" s="2"/>
        <tr r="AI49" s="2"/>
      </tp>
      <tp>
        <v>3.4169999999999998</v>
        <stp/>
        <stp>P</stp>
        <stp>0</stp>
        <stp>IR</stp>
        <stp>BONDKBPE302</stp>
        <stp>2.5년이하(당일)</stp>
        <stp>45523</stp>
        <stp/>
        <tr r="AI44" s="2"/>
        <tr r="AI44" s="2"/>
      </tp>
      <tp>
        <v>7.2519999999999998</v>
        <stp/>
        <stp>P</stp>
        <stp>0</stp>
        <stp>IR</stp>
        <stp>BONDKBPF342</stp>
        <stp>1.5년이하(당일)</stp>
        <stp>45523</stp>
        <stp/>
        <tr r="AG81" s="2"/>
        <tr r="AG81" s="2"/>
      </tp>
      <tp>
        <v>3.5110000000000001</v>
        <stp/>
        <stp>P</stp>
        <stp>0</stp>
        <stp>IR</stp>
        <stp>BONDKBPF322</stp>
        <stp>1.5년이하(당일)</stp>
        <stp>45523</stp>
        <stp/>
        <tr r="AG75" s="2"/>
        <tr r="AG75" s="2"/>
      </tp>
      <tp>
        <v>4.1580000000000004</v>
        <stp/>
        <stp>P</stp>
        <stp>0</stp>
        <stp>IR</stp>
        <stp>BONDKBPF332</stp>
        <stp>1.5년이하(당일)</stp>
        <stp>45523</stp>
        <stp/>
        <tr r="AG78" s="2"/>
        <tr r="AG78" s="2"/>
      </tp>
      <tp>
        <v>3.391</v>
        <stp/>
        <stp>P</stp>
        <stp>0</stp>
        <stp>IR</stp>
        <stp>BONDKBPF312</stp>
        <stp>1.5년이하(당일)</stp>
        <stp>45523</stp>
        <stp/>
        <tr r="AG73" s="2"/>
        <tr r="AG73" s="2"/>
      </tp>
      <tp>
        <v>6.6130000000000004</v>
        <stp/>
        <stp>P</stp>
        <stp>0</stp>
        <stp>IR</stp>
        <stp>BONDKBPF242</stp>
        <stp>1.5년이하(당일)</stp>
        <stp>45523</stp>
        <stp/>
        <tr r="AG71" s="2"/>
        <tr r="AG71" s="2"/>
      </tp>
      <tp>
        <v>3.3540000000000001</v>
        <stp/>
        <stp>P</stp>
        <stp>0</stp>
        <stp>IR</stp>
        <stp>BONDKBPF222</stp>
        <stp>1.5년이하(당일)</stp>
        <stp>45523</stp>
        <stp/>
        <tr r="AG65" s="2"/>
        <tr r="AG65" s="2"/>
      </tp>
      <tp>
        <v>3.831</v>
        <stp/>
        <stp>P</stp>
        <stp>0</stp>
        <stp>IR</stp>
        <stp>BONDKBPF232</stp>
        <stp>1.5년이하(당일)</stp>
        <stp>45523</stp>
        <stp/>
        <tr r="AG68" s="2"/>
        <tr r="AG68" s="2"/>
      </tp>
      <tp>
        <v>3.2879999999999998</v>
        <stp/>
        <stp>P</stp>
        <stp>0</stp>
        <stp>IR</stp>
        <stp>BONDKBPF212</stp>
        <stp>1.5년이하(당일)</stp>
        <stp>45523</stp>
        <stp/>
        <tr r="AG63" s="2"/>
        <tr r="AG63" s="2"/>
      </tp>
      <tp>
        <v>7.718</v>
        <stp/>
        <stp>P</stp>
        <stp>0</stp>
        <stp>IR</stp>
        <stp>BONDKBPF242</stp>
        <stp>2.5년이하(당일)</stp>
        <stp>45523</stp>
        <stp/>
        <tr r="AI71" s="2"/>
        <tr r="AI71" s="2"/>
      </tp>
      <tp>
        <v>3.3730000000000002</v>
        <stp/>
        <stp>P</stp>
        <stp>0</stp>
        <stp>IR</stp>
        <stp>BONDKBPF222</stp>
        <stp>2.5년이하(당일)</stp>
        <stp>45523</stp>
        <stp/>
        <tr r="AI65" s="2"/>
        <tr r="AI65" s="2"/>
      </tp>
      <tp>
        <v>3.9740000000000002</v>
        <stp/>
        <stp>P</stp>
        <stp>0</stp>
        <stp>IR</stp>
        <stp>BONDKBPF232</stp>
        <stp>2.5년이하(당일)</stp>
        <stp>45523</stp>
        <stp/>
        <tr r="AI68" s="2"/>
        <tr r="AI68" s="2"/>
      </tp>
      <tp>
        <v>3.28</v>
        <stp/>
        <stp>P</stp>
        <stp>0</stp>
        <stp>IR</stp>
        <stp>BONDKBPF212</stp>
        <stp>2.5년이하(당일)</stp>
        <stp>45523</stp>
        <stp/>
        <tr r="AI63" s="2"/>
        <tr r="AI63" s="2"/>
      </tp>
      <tp>
        <v>8.3819999999999997</v>
        <stp/>
        <stp>P</stp>
        <stp>0</stp>
        <stp>IR</stp>
        <stp>BONDKBPF342</stp>
        <stp>2.5년이하(당일)</stp>
        <stp>45523</stp>
        <stp/>
        <tr r="AI81" s="2"/>
        <tr r="AI81" s="2"/>
      </tp>
      <tp>
        <v>3.544</v>
        <stp/>
        <stp>P</stp>
        <stp>0</stp>
        <stp>IR</stp>
        <stp>BONDKBPF322</stp>
        <stp>2.5년이하(당일)</stp>
        <stp>45523</stp>
        <stp/>
        <tr r="AI75" s="2"/>
        <tr r="AI75" s="2"/>
      </tp>
      <tp>
        <v>4.3979999999999997</v>
        <stp/>
        <stp>P</stp>
        <stp>0</stp>
        <stp>IR</stp>
        <stp>BONDKBPF332</stp>
        <stp>2.5년이하(당일)</stp>
        <stp>45523</stp>
        <stp/>
        <tr r="AI78" s="2"/>
        <tr r="AI78" s="2"/>
      </tp>
      <tp>
        <v>3.3940000000000001</v>
        <stp/>
        <stp>P</stp>
        <stp>0</stp>
        <stp>IR</stp>
        <stp>BONDKBPF312</stp>
        <stp>2.5년이하(당일)</stp>
        <stp>45523</stp>
        <stp/>
        <tr r="AI73" s="2"/>
        <tr r="AI73" s="2"/>
      </tp>
      <tp>
        <v>3.5049999999999999</v>
        <stp/>
        <stp>P</stp>
        <stp>0</stp>
        <stp>IR</stp>
        <stp>BONDKBPC402</stp>
        <stp>2.5년이하(당일)</stp>
        <stp>45523</stp>
        <stp/>
        <tr r="AI19" s="2"/>
        <tr r="AI19" s="2"/>
      </tp>
      <tp>
        <v>3.5390000000000001</v>
        <stp/>
        <stp>P</stp>
        <stp>0</stp>
        <stp>IR</stp>
        <stp>BONDKBPC402</stp>
        <stp>1.5년이하(당일)</stp>
        <stp>45523</stp>
        <stp/>
        <tr r="AG19" s="2"/>
        <tr r="AG19" s="2"/>
      </tp>
      <tp>
        <v>6.8220000000000001</v>
        <stp/>
        <stp>P</stp>
        <stp>0</stp>
        <stp>IR</stp>
        <stp>BONDFNP6010211</stp>
        <stp>9월이하(당일)</stp>
        <stp>45523</stp>
        <stp/>
        <tr r="CA40" s="2"/>
        <tr r="CA40" s="2"/>
      </tp>
      <tp>
        <v>3.3109999999999999</v>
        <stp/>
        <stp>P</stp>
        <stp>0</stp>
        <stp>IR</stp>
        <stp>BONDFNP5010110</stp>
        <stp>9월이하(당일)</stp>
        <stp>45523</stp>
        <stp/>
        <tr r="CA23" s="2"/>
        <tr r="CA23" s="2"/>
      </tp>
      <tp>
        <v>3.3109999999999999</v>
        <stp/>
        <stp>P</stp>
        <stp>0</stp>
        <stp>IR</stp>
        <stp>BONDFNP5020110</stp>
        <stp>9월이하(당일)</stp>
        <stp>45523</stp>
        <stp/>
        <tr r="CA25" s="2"/>
        <tr r="CA25" s="2"/>
      </tp>
      <tp>
        <v>8.9169999999999998</v>
        <stp/>
        <stp>P</stp>
        <stp>0</stp>
        <stp>IR</stp>
        <stp>BONDFNP6010213</stp>
        <stp>9월이하(당일)</stp>
        <stp>45523</stp>
        <stp/>
        <tr r="CA42" s="2"/>
        <tr r="CA42" s="2"/>
      </tp>
      <tp>
        <v>3.3420000000000001</v>
        <stp/>
        <stp>P</stp>
        <stp>0</stp>
        <stp>IR</stp>
        <stp>BONDFNP5030110</stp>
        <stp>9월이하(당일)</stp>
        <stp>45523</stp>
        <stp/>
        <tr r="CA27" s="2"/>
        <tr r="CA27" s="2"/>
      </tp>
      <tp>
        <v>7.5549999999999997</v>
        <stp/>
        <stp>P</stp>
        <stp>0</stp>
        <stp>IR</stp>
        <stp>BONDFNP6010212</stp>
        <stp>9월이하(당일)</stp>
        <stp>45523</stp>
        <stp/>
        <tr r="CA41" s="2"/>
        <tr r="CA41" s="2"/>
      </tp>
      <tp>
        <v>3.11</v>
        <stp/>
        <stp>P</stp>
        <stp>0</stp>
        <stp>IR</stp>
        <stp>BONDFNP4000000</stp>
        <stp>9월이하(당일)</stp>
        <stp>45523</stp>
        <stp/>
        <tr r="CA20" s="2"/>
        <tr r="CA20" s="2"/>
      </tp>
      <tp>
        <v>3.3149999999999999</v>
        <stp/>
        <stp>P</stp>
        <stp>0</stp>
        <stp>IR</stp>
        <stp>BONDFNP4050000</stp>
        <stp>9월이하(당일)</stp>
        <stp>45523</stp>
        <stp/>
        <tr r="CA22" s="2"/>
        <tr r="CA22" s="2"/>
      </tp>
      <tp>
        <v>3.9</v>
        <stp/>
        <stp>P</stp>
        <stp>0</stp>
        <stp>IR</stp>
        <stp>BONDFNP5050131</stp>
        <stp>9월이하(당일)</stp>
        <stp>45523</stp>
        <stp/>
        <tr r="CA31" s="2"/>
        <tr r="CA31" s="2"/>
      </tp>
      <tp>
        <v>4.056</v>
        <stp/>
        <stp>P</stp>
        <stp>0</stp>
        <stp>IR</stp>
        <stp>BONDFNP5050133</stp>
        <stp>9월이하(당일)</stp>
        <stp>45523</stp>
        <stp/>
        <tr r="CA33" s="2"/>
        <tr r="CA33" s="2"/>
      </tp>
      <tp>
        <v>3.976</v>
        <stp/>
        <stp>P</stp>
        <stp>0</stp>
        <stp>IR</stp>
        <stp>BONDFNP5050132</stp>
        <stp>9월이하(당일)</stp>
        <stp>45523</stp>
        <stp/>
        <tr r="CA32" s="2"/>
        <tr r="CA32" s="2"/>
      </tp>
      <tp>
        <v>3.391</v>
        <stp/>
        <stp>P</stp>
        <stp>0</stp>
        <stp>IR</stp>
        <stp>BONDFNP5040121</stp>
        <stp>9월이하(당일)</stp>
        <stp>45523</stp>
        <stp/>
        <tr r="CA28" s="2"/>
        <tr r="CA28" s="2"/>
      </tp>
      <tp>
        <v>3.5590000000000002</v>
        <stp/>
        <stp>P</stp>
        <stp>0</stp>
        <stp>IR</stp>
        <stp>BONDFNP5040122</stp>
        <stp>9월이하(당일)</stp>
        <stp>45523</stp>
        <stp/>
        <tr r="CA29" s="2"/>
        <tr r="CA29" s="2"/>
      </tp>
      <tp>
        <v>3.823</v>
        <stp/>
        <stp>P</stp>
        <stp>0</stp>
        <stp>IR</stp>
        <stp>BONDFNP5040123</stp>
        <stp>9월이하(당일)</stp>
        <stp>45523</stp>
        <stp/>
        <tr r="CA30" s="2"/>
        <tr r="CA30" s="2"/>
      </tp>
      <tp>
        <v>3.82</v>
        <stp/>
        <stp>P</stp>
        <stp>0</stp>
        <stp>IR</stp>
        <stp>BONDNIC5040113</stp>
        <stp>9월이하(당일)</stp>
        <stp>45523</stp>
        <stp/>
        <tr r="BK30" s="2"/>
        <tr r="BK30" s="2"/>
      </tp>
      <tp>
        <v>3.996</v>
        <stp/>
        <stp>P</stp>
        <stp>0</stp>
        <stp>IR</stp>
        <stp>BONDNIC5050112</stp>
        <stp>9월이하(당일)</stp>
        <stp>45523</stp>
        <stp/>
        <tr r="BK32" s="2"/>
        <tr r="BK32" s="2"/>
      </tp>
      <tp>
        <v>3.5739999999999998</v>
        <stp/>
        <stp>P</stp>
        <stp>0</stp>
        <stp>IR</stp>
        <stp>BONDNIC5040112</stp>
        <stp>9월이하(당일)</stp>
        <stp>45523</stp>
        <stp/>
        <tr r="BK29" s="2"/>
        <tr r="BK29" s="2"/>
      </tp>
      <tp>
        <v>4.0830000000000002</v>
        <stp/>
        <stp>P</stp>
        <stp>0</stp>
        <stp>IR</stp>
        <stp>BONDNIC5050113</stp>
        <stp>9월이하(당일)</stp>
        <stp>45523</stp>
        <stp/>
        <tr r="BK33" s="2"/>
        <tr r="BK33" s="2"/>
      </tp>
      <tp>
        <v>3.3849999999999998</v>
        <stp/>
        <stp>P</stp>
        <stp>0</stp>
        <stp>IR</stp>
        <stp>BONDNIC5040111</stp>
        <stp>9월이하(당일)</stp>
        <stp>45523</stp>
        <stp/>
        <tr r="BK28" s="2"/>
        <tr r="BK28" s="2"/>
      </tp>
      <tp>
        <v>3.919</v>
        <stp/>
        <stp>P</stp>
        <stp>0</stp>
        <stp>IR</stp>
        <stp>BONDNIC5050111</stp>
        <stp>9월이하(당일)</stp>
        <stp>45523</stp>
        <stp/>
        <tr r="BK31" s="2"/>
        <tr r="BK31" s="2"/>
      </tp>
      <tp>
        <v>3.363</v>
        <stp/>
        <stp>P</stp>
        <stp>0</stp>
        <stp>IR</stp>
        <stp>BONDNIC5030110</stp>
        <stp>9월이하(당일)</stp>
        <stp>45523</stp>
        <stp/>
        <tr r="BK27" s="2"/>
        <tr r="BK27" s="2"/>
      </tp>
      <tp>
        <v>3.3370000000000002</v>
        <stp/>
        <stp>P</stp>
        <stp>0</stp>
        <stp>IR</stp>
        <stp>BONDNIC5020110</stp>
        <stp>9월이하(당일)</stp>
        <stp>45523</stp>
        <stp/>
        <tr r="BK25" s="2"/>
        <tr r="BK25" s="2"/>
      </tp>
      <tp>
        <v>3.3370000000000002</v>
        <stp/>
        <stp>P</stp>
        <stp>0</stp>
        <stp>IR</stp>
        <stp>BONDNIC5010110</stp>
        <stp>9월이하(당일)</stp>
        <stp>45523</stp>
        <stp/>
        <tr r="BK23" s="2"/>
        <tr r="BK23" s="2"/>
      </tp>
      <tp>
        <v>3.351</v>
        <stp/>
        <stp>P</stp>
        <stp>0</stp>
        <stp>IR</stp>
        <stp>BONDNIC4050000</stp>
        <stp>9월이하(당일)</stp>
        <stp>45523</stp>
        <stp/>
        <tr r="BK22" s="2"/>
        <tr r="BK22" s="2"/>
      </tp>
      <tp>
        <v>3.07</v>
        <stp/>
        <stp>P</stp>
        <stp>0</stp>
        <stp>IR</stp>
        <stp>BONDNIC4000000</stp>
        <stp>9월이하(당일)</stp>
        <stp>45523</stp>
        <stp/>
        <tr r="BK20" s="2"/>
        <tr r="BK20" s="2"/>
      </tp>
      <tp>
        <v>3.3260000000000001</v>
        <stp/>
        <stp>P</stp>
        <stp>0</stp>
        <stp>IR</stp>
        <stp>BONDKIS4050000</stp>
        <stp>9월이하(당일)</stp>
        <stp>45523</stp>
        <stp/>
        <tr r="AU22" s="2"/>
        <tr r="AU22" s="2"/>
      </tp>
      <tp>
        <v>3.117</v>
        <stp/>
        <stp>P</stp>
        <stp>0</stp>
        <stp>IR</stp>
        <stp>BONDKIS4003000</stp>
        <stp>9월이하(당일)</stp>
        <stp>45523</stp>
        <stp/>
        <tr r="AU20" s="2"/>
        <tr r="AU20" s="2"/>
      </tp>
      <tp>
        <v>3.33</v>
        <stp/>
        <stp>P</stp>
        <stp>0</stp>
        <stp>IR</stp>
        <stp>BONDKSD4050000</stp>
        <stp>9월이하(당일)</stp>
        <stp>45523</stp>
        <stp/>
        <tr r="CQ22" s="2"/>
        <tr r="CQ22" s="2"/>
      </tp>
      <tp>
        <v>3.1</v>
        <stp/>
        <stp>P</stp>
        <stp>0</stp>
        <stp>IR</stp>
        <stp>BONDKSD4000000</stp>
        <stp>9월이하(당일)</stp>
        <stp>45523</stp>
        <stp/>
        <tr r="CQ20" s="2"/>
        <tr r="CQ20" s="2"/>
      </tp>
      <tp>
        <v>3.343</v>
        <stp/>
        <stp>P</stp>
        <stp>0</stp>
        <stp>IR</stp>
        <stp>BONDKIS5033110</stp>
        <stp>9월이하(당일)</stp>
        <stp>45523</stp>
        <stp/>
        <tr r="AU27" s="2"/>
        <tr r="AU27" s="2"/>
      </tp>
      <tp>
        <v>7.6559999999999997</v>
        <stp/>
        <stp>P</stp>
        <stp>0</stp>
        <stp>IR</stp>
        <stp>BONDKIS6013212</stp>
        <stp>9월이하(당일)</stp>
        <stp>45523</stp>
        <stp/>
        <tr r="AU50" s="2"/>
        <tr r="AU50" s="2"/>
      </tp>
      <tp>
        <v>3.319</v>
        <stp/>
        <stp>P</stp>
        <stp>0</stp>
        <stp>IR</stp>
        <stp>BONDKIS5023110</stp>
        <stp>9월이하(당일)</stp>
        <stp>45523</stp>
        <stp/>
        <tr r="AU25" s="2"/>
        <tr r="AU25" s="2"/>
      </tp>
      <tp>
        <v>9.0359999999999996</v>
        <stp/>
        <stp>P</stp>
        <stp>0</stp>
        <stp>IR</stp>
        <stp>BONDKIS6013213</stp>
        <stp>9월이하(당일)</stp>
        <stp>45523</stp>
        <stp/>
        <tr r="AU51" s="2"/>
        <tr r="AU51" s="2"/>
      </tp>
      <tp>
        <v>3.319</v>
        <stp/>
        <stp>P</stp>
        <stp>0</stp>
        <stp>IR</stp>
        <stp>BONDKIS5013110</stp>
        <stp>9월이하(당일)</stp>
        <stp>45523</stp>
        <stp/>
        <tr r="AU23" s="2"/>
        <tr r="AU23" s="2"/>
      </tp>
      <tp>
        <v>6.9080000000000004</v>
        <stp/>
        <stp>P</stp>
        <stp>0</stp>
        <stp>IR</stp>
        <stp>BONDKIS6013211</stp>
        <stp>9월이하(당일)</stp>
        <stp>45523</stp>
        <stp/>
        <tr r="AU49" s="2"/>
        <tr r="AU49" s="2"/>
      </tp>
      <tp>
        <v>3.32</v>
        <stp/>
        <stp>P</stp>
        <stp>0</stp>
        <stp>IR</stp>
        <stp>BONDKSD5010110</stp>
        <stp>9월이하(당일)</stp>
        <stp>45523</stp>
        <stp/>
        <tr r="CQ23" s="2"/>
        <tr r="CQ23" s="2"/>
      </tp>
      <tp>
        <v>7.5010000000000003</v>
        <stp/>
        <stp>P</stp>
        <stp>0</stp>
        <stp>IR</stp>
        <stp>BONDKSD6010210</stp>
        <stp>9월이하(당일)</stp>
        <stp>45523</stp>
        <stp/>
        <tr r="CQ41" s="2"/>
        <tr r="CQ41" s="2"/>
      </tp>
      <tp>
        <v>3.3479999999999999</v>
        <stp/>
        <stp>P</stp>
        <stp>0</stp>
        <stp>IR</stp>
        <stp>BONDKSD5030110</stp>
        <stp>9월이하(당일)</stp>
        <stp>45523</stp>
        <stp/>
        <tr r="CQ27" s="2"/>
        <tr r="CQ27" s="2"/>
      </tp>
      <tp>
        <v>3.32</v>
        <stp/>
        <stp>P</stp>
        <stp>0</stp>
        <stp>IR</stp>
        <stp>BONDKSD5020110</stp>
        <stp>9월이하(당일)</stp>
        <stp>45523</stp>
        <stp/>
        <tr r="CQ25" s="2"/>
        <tr r="CQ25" s="2"/>
      </tp>
      <tp>
        <v>3.8109999999999999</v>
        <stp/>
        <stp>P</stp>
        <stp>0</stp>
        <stp>IR</stp>
        <stp>BONDKIS5043123</stp>
        <stp>9월이하(당일)</stp>
        <stp>45523</stp>
        <stp/>
        <tr r="AU30" s="2"/>
        <tr r="AU30" s="2"/>
      </tp>
      <tp>
        <v>3.5680000000000001</v>
        <stp/>
        <stp>P</stp>
        <stp>0</stp>
        <stp>IR</stp>
        <stp>BONDKIS5043122</stp>
        <stp>9월이하(당일)</stp>
        <stp>45523</stp>
        <stp/>
        <tr r="AU29" s="2"/>
        <tr r="AU29" s="2"/>
      </tp>
      <tp>
        <v>3.4</v>
        <stp/>
        <stp>P</stp>
        <stp>0</stp>
        <stp>IR</stp>
        <stp>BONDKIS5043121</stp>
        <stp>9월이하(당일)</stp>
        <stp>45523</stp>
        <stp/>
        <tr r="AU28" s="2"/>
        <tr r="AU28" s="2"/>
      </tp>
      <tp>
        <v>3.5649999999999999</v>
        <stp/>
        <stp>P</stp>
        <stp>0</stp>
        <stp>IR</stp>
        <stp>BONDKSD5040120</stp>
        <stp>9월이하(당일)</stp>
        <stp>45523</stp>
        <stp/>
        <tr r="CQ29" s="2"/>
        <tr r="CQ29" s="2"/>
      </tp>
      <tp>
        <v>3.9860000000000002</v>
        <stp/>
        <stp>P</stp>
        <stp>0</stp>
        <stp>IR</stp>
        <stp>BONDKIS5053132</stp>
        <stp>9월이하(당일)</stp>
        <stp>45523</stp>
        <stp/>
        <tr r="AU32" s="2"/>
        <tr r="AU32" s="2"/>
      </tp>
      <tp>
        <v>4.0759999999999996</v>
        <stp/>
        <stp>P</stp>
        <stp>0</stp>
        <stp>IR</stp>
        <stp>BONDKIS5053133</stp>
        <stp>9월이하(당일)</stp>
        <stp>45523</stp>
        <stp/>
        <tr r="AU33" s="2"/>
        <tr r="AU33" s="2"/>
      </tp>
      <tp>
        <v>3.9009999999999998</v>
        <stp/>
        <stp>P</stp>
        <stp>0</stp>
        <stp>IR</stp>
        <stp>BONDKIS5053131</stp>
        <stp>9월이하(당일)</stp>
        <stp>45523</stp>
        <stp/>
        <tr r="AU31" s="2"/>
        <tr r="AU31" s="2"/>
      </tp>
      <tp>
        <v>3.9020000000000001</v>
        <stp/>
        <stp>P</stp>
        <stp>0</stp>
        <stp>IR</stp>
        <stp>BONDKSD5050131</stp>
        <stp>9월이하(당일)</stp>
        <stp>45523</stp>
        <stp/>
        <tr r="CQ31" s="2"/>
        <tr r="CQ31" s="2"/>
      </tp>
      <tp t="s">
        <v/>
        <stp/>
        <stp>P</stp>
        <stp>0</stp>
        <stp>IR</stp>
        <stp>BONDKSD3070000</stp>
        <stp>15년이하(당일)</stp>
        <stp>45523</stp>
        <stp/>
        <tr r="DA15" s="2"/>
        <tr r="DA15" s="2"/>
      </tp>
      <tp t="s">
        <v/>
        <stp/>
        <stp>P</stp>
        <stp>0</stp>
        <stp>IR</stp>
        <stp>BONDKSD3060000</stp>
        <stp>15년이하(당일)</stp>
        <stp>45523</stp>
        <stp/>
        <tr r="DA83" s="2"/>
        <tr r="DA83" s="2"/>
      </tp>
      <tp t="s">
        <v/>
        <stp/>
        <stp>P</stp>
        <stp>0</stp>
        <stp>IR</stp>
        <stp>BONDKSD4050000</stp>
        <stp>15년이하(당일)</stp>
        <stp>45523</stp>
        <stp/>
        <tr r="DA22" s="2"/>
        <tr r="DA22" s="2"/>
      </tp>
      <tp t="s">
        <v/>
        <stp/>
        <stp>P</stp>
        <stp>0</stp>
        <stp>IR</stp>
        <stp>BONDKSD1030000</stp>
        <stp>15년이하(당일)</stp>
        <stp>45523</stp>
        <stp/>
        <tr r="DA10" s="2"/>
        <tr r="DA10" s="2"/>
      </tp>
      <tp t="s">
        <v/>
        <stp/>
        <stp>P</stp>
        <stp>0</stp>
        <stp>IR</stp>
        <stp>BONDKSD1020000</stp>
        <stp>15년이하(당일)</stp>
        <stp>45523</stp>
        <stp/>
        <tr r="DA11" s="2"/>
        <tr r="DA11" s="2"/>
      </tp>
      <tp t="s">
        <v/>
        <stp/>
        <stp>P</stp>
        <stp>0</stp>
        <stp>IR</stp>
        <stp>BONDKSD2020000</stp>
        <stp>15년이하(당일)</stp>
        <stp>45523</stp>
        <stp/>
        <tr r="DA14" s="2"/>
        <tr r="DA14" s="2"/>
      </tp>
      <tp t="s">
        <v/>
        <stp/>
        <stp>P</stp>
        <stp>0</stp>
        <stp>IR</stp>
        <stp>BONDKSD1010000</stp>
        <stp>15년이하(당일)</stp>
        <stp>45523</stp>
        <stp/>
        <tr r="DA9" s="2"/>
        <tr r="DA9" s="2"/>
      </tp>
      <tp t="s">
        <v/>
        <stp/>
        <stp>P</stp>
        <stp>0</stp>
        <stp>IR</stp>
        <stp>BONDKSD2010000</stp>
        <stp>15년이하(당일)</stp>
        <stp>45523</stp>
        <stp/>
        <tr r="DA13" s="2"/>
        <tr r="DA13" s="2"/>
      </tp>
      <tp t="s">
        <v/>
        <stp/>
        <stp>P</stp>
        <stp>0</stp>
        <stp>IR</stp>
        <stp>BONDKSD4000000</stp>
        <stp>15년이하(당일)</stp>
        <stp>45523</stp>
        <stp/>
        <tr r="DA20" s="2"/>
        <tr r="DA20" s="2"/>
      </tp>
      <tp>
        <v>0</v>
        <stp/>
        <stp>P</stp>
        <stp>0</stp>
        <stp>IR</stp>
        <stp>BONDFNP9999113</stp>
        <stp>50년이하(당일)</stp>
        <stp>45523</stp>
        <stp/>
        <tr r="CN47" s="2"/>
      </tp>
      <tp>
        <v>5.8259999999999996</v>
        <stp/>
        <stp>P</stp>
        <stp>0</stp>
        <stp>IR</stp>
        <stp>BONDFNP9999113</stp>
        <stp>10년이하(당일)</stp>
        <stp>45523</stp>
        <stp/>
        <tr r="CJ47" s="2"/>
        <tr r="CJ47" s="2"/>
      </tp>
      <tp>
        <v>0</v>
        <stp/>
        <stp>P</stp>
        <stp>0</stp>
        <stp>IR</stp>
        <stp>BONDFNP9999113</stp>
        <stp>30년이하(당일)</stp>
        <stp>45523</stp>
        <stp/>
        <tr r="CM47" s="2"/>
      </tp>
      <tp>
        <v>6.1909999999999998</v>
        <stp/>
        <stp>P</stp>
        <stp>0</stp>
        <stp>IR</stp>
        <stp>BONDFNP9999113</stp>
        <stp>20년이하(당일)</stp>
        <stp>45523</stp>
        <stp/>
        <tr r="CL47" s="2"/>
        <tr r="CL47" s="2"/>
      </tp>
      <tp>
        <v>0</v>
        <stp/>
        <stp>P</stp>
        <stp>0</stp>
        <stp>IR</stp>
        <stp>BONDFNP9999112</stp>
        <stp>50년이하(당일)</stp>
        <stp>45523</stp>
        <stp/>
        <tr r="CN46" s="2"/>
      </tp>
      <tp>
        <v>5.4020000000000001</v>
        <stp/>
        <stp>P</stp>
        <stp>0</stp>
        <stp>IR</stp>
        <stp>BONDFNP9999112</stp>
        <stp>10년이하(당일)</stp>
        <stp>45523</stp>
        <stp/>
        <tr r="CJ46" s="2"/>
        <tr r="CJ46" s="2"/>
      </tp>
      <tp>
        <v>0</v>
        <stp/>
        <stp>P</stp>
        <stp>0</stp>
        <stp>IR</stp>
        <stp>BONDFNP9999112</stp>
        <stp>30년이하(당일)</stp>
        <stp>45523</stp>
        <stp/>
        <tr r="CM46" s="2"/>
      </tp>
      <tp>
        <v>5.8170000000000002</v>
        <stp/>
        <stp>P</stp>
        <stp>0</stp>
        <stp>IR</stp>
        <stp>BONDFNP9999112</stp>
        <stp>20년이하(당일)</stp>
        <stp>45523</stp>
        <stp/>
        <tr r="CL46" s="2"/>
        <tr r="CL46" s="2"/>
      </tp>
      <tp>
        <v>0</v>
        <stp/>
        <stp>P</stp>
        <stp>0</stp>
        <stp>IR</stp>
        <stp>BONDFNP9999111</stp>
        <stp>50년이하(당일)</stp>
        <stp>45523</stp>
        <stp/>
        <tr r="CN45" s="2"/>
      </tp>
      <tp>
        <v>4.7110000000000003</v>
        <stp/>
        <stp>P</stp>
        <stp>0</stp>
        <stp>IR</stp>
        <stp>BONDFNP9999111</stp>
        <stp>10년이하(당일)</stp>
        <stp>45523</stp>
        <stp/>
        <tr r="CJ45" s="2"/>
        <tr r="CJ45" s="2"/>
      </tp>
      <tp>
        <v>0</v>
        <stp/>
        <stp>P</stp>
        <stp>0</stp>
        <stp>IR</stp>
        <stp>BONDFNP9999111</stp>
        <stp>30년이하(당일)</stp>
        <stp>45523</stp>
        <stp/>
        <tr r="CM45" s="2"/>
      </tp>
      <tp>
        <v>5.37</v>
        <stp/>
        <stp>P</stp>
        <stp>0</stp>
        <stp>IR</stp>
        <stp>BONDFNP9999111</stp>
        <stp>20년이하(당일)</stp>
        <stp>45523</stp>
        <stp/>
        <tr r="CL45" s="2"/>
        <tr r="CL45" s="2"/>
      </tp>
      <tp>
        <v>0</v>
        <stp/>
        <stp>P</stp>
        <stp>0</stp>
        <stp>IR</stp>
        <stp>BONDFNP9999110</stp>
        <stp>50년이하(당일)</stp>
        <stp>45523</stp>
        <stp/>
        <tr r="CN44" s="2"/>
      </tp>
      <tp>
        <v>4.4829999999999997</v>
        <stp/>
        <stp>P</stp>
        <stp>0</stp>
        <stp>IR</stp>
        <stp>BONDFNP9999110</stp>
        <stp>10년이하(당일)</stp>
        <stp>45523</stp>
        <stp/>
        <tr r="CJ44" s="2"/>
        <tr r="CJ44" s="2"/>
      </tp>
      <tp>
        <v>0</v>
        <stp/>
        <stp>P</stp>
        <stp>0</stp>
        <stp>IR</stp>
        <stp>BONDFNP9999110</stp>
        <stp>30년이하(당일)</stp>
        <stp>45523</stp>
        <stp/>
        <tr r="CM44" s="2"/>
      </tp>
      <tp>
        <v>5.1349999999999998</v>
        <stp/>
        <stp>P</stp>
        <stp>0</stp>
        <stp>IR</stp>
        <stp>BONDFNP9999110</stp>
        <stp>20년이하(당일)</stp>
        <stp>45523</stp>
        <stp/>
        <tr r="CL44" s="2"/>
        <tr r="CL44" s="2"/>
      </tp>
      <tp>
        <v>0</v>
        <stp/>
        <stp>P</stp>
        <stp>0</stp>
        <stp>IR</stp>
        <stp>BONDFNP9999117</stp>
        <stp>50년이하(당일)</stp>
        <stp>45523</stp>
        <stp/>
        <tr r="CN51" s="2"/>
      </tp>
      <tp>
        <v>10.451000000000001</v>
        <stp/>
        <stp>P</stp>
        <stp>0</stp>
        <stp>IR</stp>
        <stp>BONDFNP9999117</stp>
        <stp>10년이하(당일)</stp>
        <stp>45523</stp>
        <stp/>
        <tr r="CJ51" s="2"/>
        <tr r="CJ51" s="2"/>
      </tp>
      <tp>
        <v>0</v>
        <stp/>
        <stp>P</stp>
        <stp>0</stp>
        <stp>IR</stp>
        <stp>BONDFNP9999117</stp>
        <stp>30년이하(당일)</stp>
        <stp>45523</stp>
        <stp/>
        <tr r="CM51" s="2"/>
      </tp>
      <tp>
        <v>11.103999999999999</v>
        <stp/>
        <stp>P</stp>
        <stp>0</stp>
        <stp>IR</stp>
        <stp>BONDFNP9999117</stp>
        <stp>20년이하(당일)</stp>
        <stp>45523</stp>
        <stp/>
        <tr r="CL51" s="2"/>
        <tr r="CL51" s="2"/>
      </tp>
      <tp>
        <v>0</v>
        <stp/>
        <stp>P</stp>
        <stp>0</stp>
        <stp>IR</stp>
        <stp>BONDFNP9999116</stp>
        <stp>50년이하(당일)</stp>
        <stp>45523</stp>
        <stp/>
        <tr r="CN50" s="2"/>
      </tp>
      <tp>
        <v>9.1259999999999994</v>
        <stp/>
        <stp>P</stp>
        <stp>0</stp>
        <stp>IR</stp>
        <stp>BONDFNP9999116</stp>
        <stp>10년이하(당일)</stp>
        <stp>45523</stp>
        <stp/>
        <tr r="CJ50" s="2"/>
        <tr r="CJ50" s="2"/>
      </tp>
      <tp>
        <v>0</v>
        <stp/>
        <stp>P</stp>
        <stp>0</stp>
        <stp>IR</stp>
        <stp>BONDFNP9999116</stp>
        <stp>30년이하(당일)</stp>
        <stp>45523</stp>
        <stp/>
        <tr r="CM50" s="2"/>
      </tp>
      <tp>
        <v>9.8350000000000009</v>
        <stp/>
        <stp>P</stp>
        <stp>0</stp>
        <stp>IR</stp>
        <stp>BONDFNP9999116</stp>
        <stp>20년이하(당일)</stp>
        <stp>45523</stp>
        <stp/>
        <tr r="CL50" s="2"/>
        <tr r="CL50" s="2"/>
      </tp>
      <tp>
        <v>0</v>
        <stp/>
        <stp>P</stp>
        <stp>0</stp>
        <stp>IR</stp>
        <stp>BONDFNP9999115</stp>
        <stp>50년이하(당일)</stp>
        <stp>45523</stp>
        <stp/>
        <tr r="CN49" s="2"/>
      </tp>
      <tp>
        <v>7.806</v>
        <stp/>
        <stp>P</stp>
        <stp>0</stp>
        <stp>IR</stp>
        <stp>BONDFNP9999115</stp>
        <stp>10년이하(당일)</stp>
        <stp>45523</stp>
        <stp/>
        <tr r="CJ49" s="2"/>
        <tr r="CJ49" s="2"/>
      </tp>
      <tp>
        <v>0</v>
        <stp/>
        <stp>P</stp>
        <stp>0</stp>
        <stp>IR</stp>
        <stp>BONDFNP9999115</stp>
        <stp>30년이하(당일)</stp>
        <stp>45523</stp>
        <stp/>
        <tr r="CM49" s="2"/>
      </tp>
      <tp>
        <v>8.3260000000000005</v>
        <stp/>
        <stp>P</stp>
        <stp>0</stp>
        <stp>IR</stp>
        <stp>BONDFNP9999115</stp>
        <stp>20년이하(당일)</stp>
        <stp>45523</stp>
        <stp/>
        <tr r="CL49" s="2"/>
        <tr r="CL49" s="2"/>
      </tp>
      <tp>
        <v>0</v>
        <stp/>
        <stp>P</stp>
        <stp>0</stp>
        <stp>IR</stp>
        <stp>BONDFNP9999114</stp>
        <stp>50년이하(당일)</stp>
        <stp>45523</stp>
        <stp/>
        <tr r="CN48" s="2"/>
      </tp>
      <tp>
        <v>6.4859999999999998</v>
        <stp/>
        <stp>P</stp>
        <stp>0</stp>
        <stp>IR</stp>
        <stp>BONDFNP9999114</stp>
        <stp>10년이하(당일)</stp>
        <stp>45523</stp>
        <stp/>
        <tr r="CJ48" s="2"/>
        <tr r="CJ48" s="2"/>
      </tp>
      <tp>
        <v>0</v>
        <stp/>
        <stp>P</stp>
        <stp>0</stp>
        <stp>IR</stp>
        <stp>BONDFNP9999114</stp>
        <stp>30년이하(당일)</stp>
        <stp>45523</stp>
        <stp/>
        <tr r="CM48" s="2"/>
      </tp>
      <tp>
        <v>6.8369999999999997</v>
        <stp/>
        <stp>P</stp>
        <stp>0</stp>
        <stp>IR</stp>
        <stp>BONDFNP9999114</stp>
        <stp>20년이하(당일)</stp>
        <stp>45523</stp>
        <stp/>
        <tr r="CL48" s="2"/>
        <tr r="CL48" s="2"/>
      </tp>
      <tp>
        <v>3.6379999999999999</v>
        <stp/>
        <stp>P</stp>
        <stp>0</stp>
        <stp>IR</stp>
        <stp>BONDKIS4050000</stp>
        <stp>15년이하(당일)</stp>
        <stp>45523</stp>
        <stp/>
        <tr r="BE22" s="2"/>
        <tr r="BE22" s="2"/>
      </tp>
      <tp>
        <v>3.1179999999999999</v>
        <stp/>
        <stp>P</stp>
        <stp>0</stp>
        <stp>IR</stp>
        <stp>BONDKIS3050000</stp>
        <stp>15년이하(당일)</stp>
        <stp>45523</stp>
        <stp/>
        <tr r="BE15" s="2"/>
        <tr r="BE15" s="2"/>
      </tp>
      <tp>
        <v>3.5139999999999998</v>
        <stp/>
        <stp>P</stp>
        <stp>0</stp>
        <stp>IR</stp>
        <stp>BONDNIC4050000</stp>
        <stp>10년이하(당일)</stp>
        <stp>45523</stp>
        <stp/>
        <tr r="BT22" s="2"/>
        <tr r="BT22" s="2"/>
      </tp>
      <tp t="s">
        <v/>
        <stp/>
        <stp>P</stp>
        <stp>0</stp>
        <stp>IR</stp>
        <stp>BONDNIC7140111</stp>
        <stp>30년이하(당일)</stp>
        <stp>45523</stp>
        <stp/>
        <tr r="BW57" s="2"/>
        <tr r="BW57" s="2"/>
      </tp>
      <tp>
        <v>4.3479999999999999</v>
        <stp/>
        <stp>P</stp>
        <stp>0</stp>
        <stp>IR</stp>
        <stp>BONDNIC7140111</stp>
        <stp>20년이하(당일)</stp>
        <stp>45523</stp>
        <stp/>
        <tr r="BV57" s="2"/>
        <tr r="BV57" s="2"/>
      </tp>
      <tp t="s">
        <v/>
        <stp/>
        <stp>P</stp>
        <stp>0</stp>
        <stp>IR</stp>
        <stp>BONDNIC4050000</stp>
        <stp>30년이하(당일)</stp>
        <stp>45523</stp>
        <stp/>
        <tr r="BW22" s="2"/>
        <tr r="BW22" s="2"/>
      </tp>
      <tp>
        <v>3.911</v>
        <stp/>
        <stp>P</stp>
        <stp>0</stp>
        <stp>IR</stp>
        <stp>BONDNIC7140111</stp>
        <stp>10년이하(당일)</stp>
        <stp>45523</stp>
        <stp/>
        <tr r="BT57" s="2"/>
        <tr r="BT57" s="2"/>
      </tp>
      <tp t="s">
        <v/>
        <stp/>
        <stp>P</stp>
        <stp>0</stp>
        <stp>IR</stp>
        <stp>BONDNIC3050000</stp>
        <stp>50년이하(당일)</stp>
        <stp>45523</stp>
        <stp/>
        <tr r="BX15" s="2"/>
        <tr r="BX15" s="2"/>
      </tp>
      <tp>
        <v>3.7120000000000002</v>
        <stp/>
        <stp>P</stp>
        <stp>0</stp>
        <stp>IR</stp>
        <stp>BONDNIC4050000</stp>
        <stp>20년이하(당일)</stp>
        <stp>45523</stp>
        <stp/>
        <tr r="BV22" s="2"/>
        <tr r="BV22" s="2"/>
      </tp>
      <tp>
        <v>3.0670000000000002</v>
        <stp/>
        <stp>P</stp>
        <stp>0</stp>
        <stp>IR</stp>
        <stp>BONDNIC3050000</stp>
        <stp>20년이하(당일)</stp>
        <stp>45523</stp>
        <stp/>
        <tr r="BV15" s="2"/>
        <tr r="BV15" s="2"/>
      </tp>
      <tp t="s">
        <v/>
        <stp/>
        <stp>P</stp>
        <stp>0</stp>
        <stp>IR</stp>
        <stp>BONDNIC4050000</stp>
        <stp>50년이하(당일)</stp>
        <stp>45523</stp>
        <stp/>
        <tr r="BX22" s="2"/>
        <tr r="BX22" s="2"/>
      </tp>
      <tp t="s">
        <v/>
        <stp/>
        <stp>P</stp>
        <stp>0</stp>
        <stp>IR</stp>
        <stp>BONDNIC3050000</stp>
        <stp>30년이하(당일)</stp>
        <stp>45523</stp>
        <stp/>
        <tr r="BW15" s="2"/>
        <tr r="BW15" s="2"/>
      </tp>
      <tp t="s">
        <v/>
        <stp/>
        <stp>P</stp>
        <stp>0</stp>
        <stp>IR</stp>
        <stp>BONDNIC7140111</stp>
        <stp>50년이하(당일)</stp>
        <stp>45523</stp>
        <stp/>
        <tr r="BX57" s="2"/>
        <tr r="BX57" s="2"/>
      </tp>
      <tp>
        <v>3.0779999999999998</v>
        <stp/>
        <stp>P</stp>
        <stp>0</stp>
        <stp>IR</stp>
        <stp>BONDNIC3050000</stp>
        <stp>10년이하(당일)</stp>
        <stp>45523</stp>
        <stp/>
        <tr r="BT15" s="2"/>
        <tr r="BT15" s="2"/>
      </tp>
      <tp t="s">
        <v/>
        <stp/>
        <stp>P</stp>
        <stp>0</stp>
        <stp>IR</stp>
        <stp>BONDNIC7150111</stp>
        <stp>30년이하(당일)</stp>
        <stp>45523</stp>
        <stp/>
        <tr r="BW60" s="2"/>
        <tr r="BW60" s="2"/>
      </tp>
      <tp>
        <v>5.8810000000000002</v>
        <stp/>
        <stp>P</stp>
        <stp>0</stp>
        <stp>IR</stp>
        <stp>BONDNIC7150111</stp>
        <stp>20년이하(당일)</stp>
        <stp>45523</stp>
        <stp/>
        <tr r="BV60" s="2"/>
        <tr r="BV60" s="2"/>
      </tp>
      <tp>
        <v>5.1879999999999997</v>
        <stp/>
        <stp>P</stp>
        <stp>0</stp>
        <stp>IR</stp>
        <stp>BONDNIC7150111</stp>
        <stp>10년이하(당일)</stp>
        <stp>45523</stp>
        <stp/>
        <tr r="BT60" s="2"/>
        <tr r="BT60" s="2"/>
      </tp>
      <tp t="s">
        <v/>
        <stp/>
        <stp>P</stp>
        <stp>0</stp>
        <stp>IR</stp>
        <stp>BONDNIC7150111</stp>
        <stp>50년이하(당일)</stp>
        <stp>45523</stp>
        <stp/>
        <tr r="BX60" s="2"/>
        <tr r="BX60" s="2"/>
      </tp>
      <tp t="s">
        <v/>
        <stp/>
        <stp>P</stp>
        <stp>0</stp>
        <stp>IR</stp>
        <stp>BONDNIC7140113</stp>
        <stp>30년이하(당일)</stp>
        <stp>45523</stp>
        <stp/>
        <tr r="BW59" s="2"/>
        <tr r="BW59" s="2"/>
      </tp>
      <tp t="s">
        <v/>
        <stp/>
        <stp>P</stp>
        <stp>0</stp>
        <stp>IR</stp>
        <stp>BONDNIC7150112</stp>
        <stp>30년이하(당일)</stp>
        <stp>45523</stp>
        <stp/>
        <tr r="BW61" s="2"/>
        <tr r="BW61" s="2"/>
      </tp>
      <tp>
        <v>5.4690000000000003</v>
        <stp/>
        <stp>P</stp>
        <stp>0</stp>
        <stp>IR</stp>
        <stp>BONDNIC7140113</stp>
        <stp>20년이하(당일)</stp>
        <stp>45523</stp>
        <stp/>
        <tr r="BV59" s="2"/>
        <tr r="BV59" s="2"/>
      </tp>
      <tp>
        <v>6.2389999999999999</v>
        <stp/>
        <stp>P</stp>
        <stp>0</stp>
        <stp>IR</stp>
        <stp>BONDNIC7150112</stp>
        <stp>20년이하(당일)</stp>
        <stp>45523</stp>
        <stp/>
        <tr r="BV61" s="2"/>
        <tr r="BV61" s="2"/>
      </tp>
      <tp>
        <v>4.6189999999999998</v>
        <stp/>
        <stp>P</stp>
        <stp>0</stp>
        <stp>IR</stp>
        <stp>BONDNIC7140113</stp>
        <stp>10년이하(당일)</stp>
        <stp>45523</stp>
        <stp/>
        <tr r="BT59" s="2"/>
        <tr r="BT59" s="2"/>
      </tp>
      <tp>
        <v>5.6180000000000003</v>
        <stp/>
        <stp>P</stp>
        <stp>0</stp>
        <stp>IR</stp>
        <stp>BONDNIC7150112</stp>
        <stp>10년이하(당일)</stp>
        <stp>45523</stp>
        <stp/>
        <tr r="BT61" s="2"/>
        <tr r="BT61" s="2"/>
      </tp>
      <tp t="s">
        <v/>
        <stp/>
        <stp>P</stp>
        <stp>0</stp>
        <stp>IR</stp>
        <stp>BONDNIC7140113</stp>
        <stp>50년이하(당일)</stp>
        <stp>45523</stp>
        <stp/>
        <tr r="BX59" s="2"/>
        <tr r="BX59" s="2"/>
      </tp>
      <tp t="s">
        <v/>
        <stp/>
        <stp>P</stp>
        <stp>0</stp>
        <stp>IR</stp>
        <stp>BONDNIC7150112</stp>
        <stp>50년이하(당일)</stp>
        <stp>45523</stp>
        <stp/>
        <tr r="BX61" s="2"/>
        <tr r="BX61" s="2"/>
      </tp>
      <tp>
        <v>3.2949999999999999</v>
        <stp/>
        <stp>P</stp>
        <stp>0</stp>
        <stp>IR</stp>
        <stp>BONDKIS3060000</stp>
        <stp>15년이하(당일)</stp>
        <stp>45523</stp>
        <stp/>
        <tr r="BE83" s="2"/>
        <tr r="BE83" s="2"/>
      </tp>
      <tp>
        <v>0</v>
        <stp/>
        <stp>P</stp>
        <stp>0</stp>
        <stp>IR</stp>
        <stp>BONDFNP9999118</stp>
        <stp>50년이하(당일)</stp>
        <stp>45523</stp>
        <stp/>
        <tr r="CN43" s="2"/>
      </tp>
      <tp>
        <v>4.3159999999999998</v>
        <stp/>
        <stp>P</stp>
        <stp>0</stp>
        <stp>IR</stp>
        <stp>BONDFNP9999118</stp>
        <stp>10년이하(당일)</stp>
        <stp>45523</stp>
        <stp/>
        <tr r="CJ43" s="2"/>
        <tr r="CJ43" s="2"/>
      </tp>
      <tp>
        <v>0</v>
        <stp/>
        <stp>P</stp>
        <stp>0</stp>
        <stp>IR</stp>
        <stp>BONDFNP9999118</stp>
        <stp>30년이하(당일)</stp>
        <stp>45523</stp>
        <stp/>
        <tr r="CM43" s="2"/>
      </tp>
      <tp>
        <v>4.9379999999999997</v>
        <stp/>
        <stp>P</stp>
        <stp>0</stp>
        <stp>IR</stp>
        <stp>BONDFNP9999118</stp>
        <stp>20년이하(당일)</stp>
        <stp>45523</stp>
        <stp/>
        <tr r="CL43" s="2"/>
        <tr r="CL43" s="2"/>
      </tp>
      <tp t="s">
        <v/>
        <stp/>
        <stp>P</stp>
        <stp>0</stp>
        <stp>IR</stp>
        <stp>BONDNIC7140112</stp>
        <stp>30년이하(당일)</stp>
        <stp>45523</stp>
        <stp/>
        <tr r="BW58" s="2"/>
        <tr r="BW58" s="2"/>
      </tp>
      <tp t="s">
        <v/>
        <stp/>
        <stp>P</stp>
        <stp>0</stp>
        <stp>IR</stp>
        <stp>BONDNIC7150113</stp>
        <stp>30년이하(당일)</stp>
        <stp>45523</stp>
        <stp/>
        <tr r="BW62" s="2"/>
        <tr r="BW62" s="2"/>
      </tp>
      <tp>
        <v>4.9320000000000004</v>
        <stp/>
        <stp>P</stp>
        <stp>0</stp>
        <stp>IR</stp>
        <stp>BONDNIC7140112</stp>
        <stp>20년이하(당일)</stp>
        <stp>45523</stp>
        <stp/>
        <tr r="BV58" s="2"/>
        <tr r="BV58" s="2"/>
      </tp>
      <tp>
        <v>6.8090000000000002</v>
        <stp/>
        <stp>P</stp>
        <stp>0</stp>
        <stp>IR</stp>
        <stp>BONDNIC7150113</stp>
        <stp>20년이하(당일)</stp>
        <stp>45523</stp>
        <stp/>
        <tr r="BV62" s="2"/>
        <tr r="BV62" s="2"/>
      </tp>
      <tp>
        <v>4.2469999999999999</v>
        <stp/>
        <stp>P</stp>
        <stp>0</stp>
        <stp>IR</stp>
        <stp>BONDNIC7140112</stp>
        <stp>10년이하(당일)</stp>
        <stp>45523</stp>
        <stp/>
        <tr r="BT58" s="2"/>
        <tr r="BT58" s="2"/>
      </tp>
      <tp>
        <v>6.1529999999999996</v>
        <stp/>
        <stp>P</stp>
        <stp>0</stp>
        <stp>IR</stp>
        <stp>BONDNIC7150113</stp>
        <stp>10년이하(당일)</stp>
        <stp>45523</stp>
        <stp/>
        <tr r="BT62" s="2"/>
        <tr r="BT62" s="2"/>
      </tp>
      <tp t="s">
        <v/>
        <stp/>
        <stp>P</stp>
        <stp>0</stp>
        <stp>IR</stp>
        <stp>BONDNIC7140112</stp>
        <stp>50년이하(당일)</stp>
        <stp>45523</stp>
        <stp/>
        <tr r="BX58" s="2"/>
        <tr r="BX58" s="2"/>
      </tp>
      <tp t="s">
        <v/>
        <stp/>
        <stp>P</stp>
        <stp>0</stp>
        <stp>IR</stp>
        <stp>BONDNIC7150113</stp>
        <stp>50년이하(당일)</stp>
        <stp>45523</stp>
        <stp/>
        <tr r="BX62" s="2"/>
        <tr r="BX62" s="2"/>
      </tp>
      <tp>
        <v>2.9820000000000002</v>
        <stp/>
        <stp>P</stp>
        <stp>0</stp>
        <stp>IR</stp>
        <stp>BONDKIS1013000</stp>
        <stp>15년이하(당일)</stp>
        <stp>45523</stp>
        <stp/>
        <tr r="BE9" s="2"/>
        <tr r="BE9" s="2"/>
      </tp>
      <tp t="s">
        <v/>
        <stp/>
        <stp>P</stp>
        <stp>0</stp>
        <stp>IR</stp>
        <stp>BONDKIS2010000</stp>
        <stp>15년이하(당일)</stp>
        <stp>45523</stp>
        <stp/>
        <tr r="BE13" s="2"/>
        <tr r="BE13" s="2"/>
      </tp>
      <tp t="s">
        <v/>
        <stp/>
        <stp>P</stp>
        <stp>0</stp>
        <stp>IR</stp>
        <stp>BONDNIC1015000</stp>
        <stp>50년이하(당일)</stp>
        <stp>45523</stp>
        <stp/>
        <tr r="BX12" s="2"/>
        <tr r="BX12" s="2"/>
      </tp>
      <tp>
        <v>2.7450000000000001</v>
        <stp/>
        <stp>P</stp>
        <stp>0</stp>
        <stp>IR</stp>
        <stp>BONDNIC1015000</stp>
        <stp>10년이하(당일)</stp>
        <stp>45523</stp>
        <stp/>
        <tr r="BT12" s="2"/>
        <tr r="BT12" s="2"/>
      </tp>
      <tp t="s">
        <v/>
        <stp/>
        <stp>P</stp>
        <stp>0</stp>
        <stp>IR</stp>
        <stp>BONDNIC1015000</stp>
        <stp>20년이하(당일)</stp>
        <stp>45523</stp>
        <stp/>
        <tr r="BV12" s="2"/>
        <tr r="BV12" s="2"/>
      </tp>
      <tp t="s">
        <v/>
        <stp/>
        <stp>P</stp>
        <stp>0</stp>
        <stp>IR</stp>
        <stp>BONDNIC1015000</stp>
        <stp>30년이하(당일)</stp>
        <stp>45523</stp>
        <stp/>
        <tr r="BW12" s="2"/>
        <tr r="BW12" s="2"/>
      </tp>
      <tp>
        <v>2.762</v>
        <stp/>
        <stp>P</stp>
        <stp>0</stp>
        <stp>IR</stp>
        <stp>BONDNIC1010000</stp>
        <stp>50년이하(당일)</stp>
        <stp>45523</stp>
        <stp/>
        <tr r="BX9" s="2"/>
        <tr r="BX9" s="2"/>
      </tp>
      <tp t="s">
        <v/>
        <stp/>
        <stp>P</stp>
        <stp>0</stp>
        <stp>IR</stp>
        <stp>BONDNIC2010000</stp>
        <stp>50년이하(당일)</stp>
        <stp>45523</stp>
        <stp/>
        <tr r="BX13" s="2"/>
        <tr r="BX13" s="2"/>
      </tp>
      <tp t="s">
        <v/>
        <stp/>
        <stp>P</stp>
        <stp>0</stp>
        <stp>IR</stp>
        <stp>BONDNIC2010000</stp>
        <stp>30년이하(당일)</stp>
        <stp>45523</stp>
        <stp/>
        <tr r="BW13" s="2"/>
        <tr r="BW13" s="2"/>
      </tp>
      <tp>
        <v>2.9750000000000001</v>
        <stp/>
        <stp>P</stp>
        <stp>0</stp>
        <stp>IR</stp>
        <stp>BONDNIC1010000</stp>
        <stp>10년이하(당일)</stp>
        <stp>45523</stp>
        <stp/>
        <tr r="BT9" s="2"/>
        <tr r="BT9" s="2"/>
      </tp>
      <tp t="s">
        <v/>
        <stp/>
        <stp>P</stp>
        <stp>0</stp>
        <stp>IR</stp>
        <stp>BONDNIC2010000</stp>
        <stp>20년이하(당일)</stp>
        <stp>45523</stp>
        <stp/>
        <tr r="BV13" s="2"/>
        <tr r="BV13" s="2"/>
      </tp>
      <tp>
        <v>2.952</v>
        <stp/>
        <stp>P</stp>
        <stp>0</stp>
        <stp>IR</stp>
        <stp>BONDNIC1010000</stp>
        <stp>20년이하(당일)</stp>
        <stp>45523</stp>
        <stp/>
        <tr r="BV9" s="2"/>
        <tr r="BV9" s="2"/>
      </tp>
      <tp t="s">
        <v/>
        <stp/>
        <stp>P</stp>
        <stp>0</stp>
        <stp>IR</stp>
        <stp>BONDNIC2010000</stp>
        <stp>10년이하(당일)</stp>
        <stp>45523</stp>
        <stp/>
        <tr r="BT13" s="2"/>
        <tr r="BT13" s="2"/>
      </tp>
      <tp>
        <v>2.8519999999999999</v>
        <stp/>
        <stp>P</stp>
        <stp>0</stp>
        <stp>IR</stp>
        <stp>BONDNIC1010000</stp>
        <stp>30년이하(당일)</stp>
        <stp>45523</stp>
        <stp/>
        <tr r="BW9" s="2"/>
        <tr r="BW9" s="2"/>
      </tp>
      <tp t="s">
        <v/>
        <stp/>
        <stp>P</stp>
        <stp>0</stp>
        <stp>IR</stp>
        <stp>BONDKIS4003000</stp>
        <stp>15년이하(당일)</stp>
        <stp>45523</stp>
        <stp/>
        <tr r="BE20" s="2"/>
        <tr r="BE20" s="2"/>
      </tp>
      <tp t="s">
        <v/>
        <stp/>
        <stp>P</stp>
        <stp>0</stp>
        <stp>IR</stp>
        <stp>BONDNIC4000000</stp>
        <stp>10년이하(당일)</stp>
        <stp>45523</stp>
        <stp/>
        <tr r="BT20" s="2"/>
        <tr r="BT20" s="2"/>
      </tp>
      <tp t="s">
        <v/>
        <stp/>
        <stp>P</stp>
        <stp>0</stp>
        <stp>IR</stp>
        <stp>BONDNIC4000000</stp>
        <stp>30년이하(당일)</stp>
        <stp>45523</stp>
        <stp/>
        <tr r="BW20" s="2"/>
        <tr r="BW20" s="2"/>
      </tp>
      <tp t="s">
        <v/>
        <stp/>
        <stp>P</stp>
        <stp>0</stp>
        <stp>IR</stp>
        <stp>BONDNIC4000000</stp>
        <stp>20년이하(당일)</stp>
        <stp>45523</stp>
        <stp/>
        <tr r="BV20" s="2"/>
        <tr r="BV20" s="2"/>
      </tp>
      <tp t="s">
        <v/>
        <stp/>
        <stp>P</stp>
        <stp>0</stp>
        <stp>IR</stp>
        <stp>BONDNIC4000000</stp>
        <stp>50년이하(당일)</stp>
        <stp>45523</stp>
        <stp/>
        <tr r="BX20" s="2"/>
        <tr r="BX20" s="2"/>
      </tp>
      <tp t="s">
        <v/>
        <stp/>
        <stp>P</stp>
        <stp>0</stp>
        <stp>IR</stp>
        <stp>BONDKIS1030000</stp>
        <stp>15년이하(당일)</stp>
        <stp>45523</stp>
        <stp/>
        <tr r="BE10" s="2"/>
        <tr r="BE10" s="2"/>
      </tp>
      <tp t="s">
        <v/>
        <stp/>
        <stp>P</stp>
        <stp>0</stp>
        <stp>IR</stp>
        <stp>BONDNIC7130110</stp>
        <stp>30년이하(당일)</stp>
        <stp>45523</stp>
        <stp/>
        <tr r="BW56" s="2"/>
        <tr r="BW56" s="2"/>
      </tp>
      <tp t="s">
        <v/>
        <stp/>
        <stp>P</stp>
        <stp>0</stp>
        <stp>IR</stp>
        <stp>BONDNIC1030000</stp>
        <stp>50년이하(당일)</stp>
        <stp>45523</stp>
        <stp/>
        <tr r="BX10" s="2"/>
        <tr r="BX10" s="2"/>
      </tp>
      <tp>
        <v>3.9660000000000002</v>
        <stp/>
        <stp>P</stp>
        <stp>0</stp>
        <stp>IR</stp>
        <stp>BONDNIC7130110</stp>
        <stp>20년이하(당일)</stp>
        <stp>45523</stp>
        <stp/>
        <tr r="BV56" s="2"/>
        <tr r="BV56" s="2"/>
      </tp>
      <tp>
        <v>3.6150000000000002</v>
        <stp/>
        <stp>P</stp>
        <stp>0</stp>
        <stp>IR</stp>
        <stp>BONDNIC7130110</stp>
        <stp>10년이하(당일)</stp>
        <stp>45523</stp>
        <stp/>
        <tr r="BT56" s="2"/>
        <tr r="BT56" s="2"/>
      </tp>
      <tp>
        <v>3.15</v>
        <stp/>
        <stp>P</stp>
        <stp>0</stp>
        <stp>IR</stp>
        <stp>BONDNIC7430110</stp>
        <stp>15년이하(당일)</stp>
        <stp>45523</stp>
        <stp/>
        <tr r="BU83" s="2"/>
        <tr r="BU83" s="2"/>
      </tp>
      <tp t="s">
        <v/>
        <stp/>
        <stp>P</stp>
        <stp>0</stp>
        <stp>IR</stp>
        <stp>BONDNIC1030000</stp>
        <stp>10년이하(당일)</stp>
        <stp>45523</stp>
        <stp/>
        <tr r="BT10" s="2"/>
        <tr r="BT10" s="2"/>
      </tp>
      <tp t="s">
        <v/>
        <stp/>
        <stp>P</stp>
        <stp>0</stp>
        <stp>IR</stp>
        <stp>BONDNIC1030000</stp>
        <stp>20년이하(당일)</stp>
        <stp>45523</stp>
        <stp/>
        <tr r="BV10" s="2"/>
        <tr r="BV10" s="2"/>
      </tp>
      <tp t="s">
        <v/>
        <stp/>
        <stp>P</stp>
        <stp>0</stp>
        <stp>IR</stp>
        <stp>BONDNIC7130110</stp>
        <stp>50년이하(당일)</stp>
        <stp>45523</stp>
        <stp/>
        <tr r="BX56" s="2"/>
        <tr r="BX56" s="2"/>
      </tp>
      <tp t="s">
        <v/>
        <stp/>
        <stp>P</stp>
        <stp>0</stp>
        <stp>IR</stp>
        <stp>BONDNIC1030000</stp>
        <stp>30년이하(당일)</stp>
        <stp>45523</stp>
        <stp/>
        <tr r="BW10" s="2"/>
        <tr r="BW10" s="2"/>
      </tp>
      <tp>
        <v>3.1019999999999999</v>
        <stp/>
        <stp>P</stp>
        <stp>0</stp>
        <stp>IR</stp>
        <stp>BONDKIS1020000</stp>
        <stp>15년이하(당일)</stp>
        <stp>45523</stp>
        <stp/>
        <tr r="BE11" s="2"/>
        <tr r="BE11" s="2"/>
      </tp>
      <tp>
        <v>3.3039999999999998</v>
        <stp/>
        <stp>P</stp>
        <stp>0</stp>
        <stp>IR</stp>
        <stp>BONDKIS2020000</stp>
        <stp>15년이하(당일)</stp>
        <stp>45523</stp>
        <stp/>
        <tr r="BE14" s="2"/>
        <tr r="BE14" s="2"/>
      </tp>
      <tp t="s">
        <v/>
        <stp/>
        <stp>P</stp>
        <stp>0</stp>
        <stp>IR</stp>
        <stp>BONDNIC1020000</stp>
        <stp>50년이하(당일)</stp>
        <stp>45523</stp>
        <stp/>
        <tr r="BX11" s="2"/>
        <tr r="BX11" s="2"/>
      </tp>
      <tp t="s">
        <v/>
        <stp/>
        <stp>P</stp>
        <stp>0</stp>
        <stp>IR</stp>
        <stp>BONDNIC2020000</stp>
        <stp>50년이하(당일)</stp>
        <stp>45523</stp>
        <stp/>
        <tr r="BX14" s="2"/>
        <tr r="BX14" s="2"/>
      </tp>
      <tp t="s">
        <v/>
        <stp/>
        <stp>P</stp>
        <stp>0</stp>
        <stp>IR</stp>
        <stp>BONDNIC2020000</stp>
        <stp>30년이하(당일)</stp>
        <stp>45523</stp>
        <stp/>
        <tr r="BW14" s="2"/>
        <tr r="BW14" s="2"/>
      </tp>
      <tp>
        <v>3.0720000000000001</v>
        <stp/>
        <stp>P</stp>
        <stp>0</stp>
        <stp>IR</stp>
        <stp>BONDNIC1020000</stp>
        <stp>10년이하(당일)</stp>
        <stp>45523</stp>
        <stp/>
        <tr r="BT11" s="2"/>
        <tr r="BT11" s="2"/>
      </tp>
      <tp>
        <v>3.3849999999999998</v>
        <stp/>
        <stp>P</stp>
        <stp>0</stp>
        <stp>IR</stp>
        <stp>BONDNIC2020000</stp>
        <stp>20년이하(당일)</stp>
        <stp>45523</stp>
        <stp/>
        <tr r="BV14" s="2"/>
        <tr r="BV14" s="2"/>
      </tp>
      <tp>
        <v>3.18</v>
        <stp/>
        <stp>P</stp>
        <stp>0</stp>
        <stp>IR</stp>
        <stp>BONDNIC1020000</stp>
        <stp>20년이하(당일)</stp>
        <stp>45523</stp>
        <stp/>
        <tr r="BV11" s="2"/>
        <tr r="BV11" s="2"/>
      </tp>
      <tp>
        <v>3.31</v>
        <stp/>
        <stp>P</stp>
        <stp>0</stp>
        <stp>IR</stp>
        <stp>BONDNIC2020000</stp>
        <stp>10년이하(당일)</stp>
        <stp>45523</stp>
        <stp/>
        <tr r="BT14" s="2"/>
        <tr r="BT14" s="2"/>
      </tp>
      <tp t="s">
        <v/>
        <stp/>
        <stp>P</stp>
        <stp>0</stp>
        <stp>IR</stp>
        <stp>BONDNIC1020000</stp>
        <stp>30년이하(당일)</stp>
        <stp>45523</stp>
        <stp/>
        <tr r="BW11" s="2"/>
        <tr r="BW11" s="2"/>
      </tp>
      <tp>
        <v>8.4990000000000006</v>
        <stp/>
        <stp>P</stp>
        <stp>0</stp>
        <stp>IR</stp>
        <stp>BONDKBPF343</stp>
        <stp>1.5년이하(당일)</stp>
        <stp>45523</stp>
        <stp/>
        <tr r="AG82" s="2"/>
        <tr r="AG82" s="2"/>
      </tp>
      <tp>
        <v>3.5569999999999999</v>
        <stp/>
        <stp>P</stp>
        <stp>0</stp>
        <stp>IR</stp>
        <stp>BONDKBPF323</stp>
        <stp>1.5년이하(당일)</stp>
        <stp>45523</stp>
        <stp/>
        <tr r="AG76" s="2"/>
        <tr r="AG76" s="2"/>
      </tp>
      <tp>
        <v>4.5199999999999996</v>
        <stp/>
        <stp>P</stp>
        <stp>0</stp>
        <stp>IR</stp>
        <stp>BONDKBPF333</stp>
        <stp>1.5년이하(당일)</stp>
        <stp>45523</stp>
        <stp/>
        <tr r="AG79" s="2"/>
        <tr r="AG79" s="2"/>
      </tp>
      <tp>
        <v>7.74</v>
        <stp/>
        <stp>P</stp>
        <stp>0</stp>
        <stp>IR</stp>
        <stp>BONDKBPF243</stp>
        <stp>1.5년이하(당일)</stp>
        <stp>45523</stp>
        <stp/>
        <tr r="AG72" s="2"/>
        <tr r="AG72" s="2"/>
      </tp>
      <tp>
        <v>3.38</v>
        <stp/>
        <stp>P</stp>
        <stp>0</stp>
        <stp>IR</stp>
        <stp>BONDKBPF223</stp>
        <stp>1.5년이하(당일)</stp>
        <stp>45523</stp>
        <stp/>
        <tr r="AG66" s="2"/>
        <tr r="AG66" s="2"/>
      </tp>
      <tp>
        <v>4.1130000000000004</v>
        <stp/>
        <stp>P</stp>
        <stp>0</stp>
        <stp>IR</stp>
        <stp>BONDKBPF233</stp>
        <stp>1.5년이하(당일)</stp>
        <stp>45523</stp>
        <stp/>
        <tr r="AG69" s="2"/>
        <tr r="AG69" s="2"/>
      </tp>
      <tp>
        <v>8.9649999999999999</v>
        <stp/>
        <stp>P</stp>
        <stp>0</stp>
        <stp>IR</stp>
        <stp>BONDKBPF243</stp>
        <stp>2.5년이하(당일)</stp>
        <stp>45523</stp>
        <stp/>
        <tr r="AI72" s="2"/>
        <tr r="AI72" s="2"/>
      </tp>
      <tp>
        <v>3.403</v>
        <stp/>
        <stp>P</stp>
        <stp>0</stp>
        <stp>IR</stp>
        <stp>BONDKBPF223</stp>
        <stp>2.5년이하(당일)</stp>
        <stp>45523</stp>
        <stp/>
        <tr r="AI66" s="2"/>
        <tr r="AI66" s="2"/>
      </tp>
      <tp>
        <v>4.3520000000000003</v>
        <stp/>
        <stp>P</stp>
        <stp>0</stp>
        <stp>IR</stp>
        <stp>BONDKBPF233</stp>
        <stp>2.5년이하(당일)</stp>
        <stp>45523</stp>
        <stp/>
        <tr r="AI69" s="2"/>
        <tr r="AI69" s="2"/>
      </tp>
      <tp>
        <v>9.7729999999999997</v>
        <stp/>
        <stp>P</stp>
        <stp>0</stp>
        <stp>IR</stp>
        <stp>BONDKBPF343</stp>
        <stp>2.5년이하(당일)</stp>
        <stp>45523</stp>
        <stp/>
        <tr r="AI82" s="2"/>
        <tr r="AI82" s="2"/>
      </tp>
      <tp>
        <v>3.5939999999999999</v>
        <stp/>
        <stp>P</stp>
        <stp>0</stp>
        <stp>IR</stp>
        <stp>BONDKBPF323</stp>
        <stp>2.5년이하(당일)</stp>
        <stp>45523</stp>
        <stp/>
        <tr r="AI76" s="2"/>
        <tr r="AI76" s="2"/>
      </tp>
      <tp>
        <v>4.8079999999999998</v>
        <stp/>
        <stp>P</stp>
        <stp>0</stp>
        <stp>IR</stp>
        <stp>BONDKBPF333</stp>
        <stp>2.5년이하(당일)</stp>
        <stp>45523</stp>
        <stp/>
        <tr r="AI79" s="2"/>
        <tr r="AI79" s="2"/>
      </tp>
      <tp>
        <v>3.3370000000000002</v>
        <stp/>
        <stp>P</stp>
        <stp>0</stp>
        <stp>IR</stp>
        <stp>BONDAV444</stp>
        <stp>9월이하(당일)</stp>
        <stp>45523</stp>
        <stp/>
        <tr r="G51" s="1"/>
        <tr r="G51" s="1"/>
      </tp>
      <tp>
        <v>3.375</v>
        <stp/>
        <stp>P</stp>
        <stp>0</stp>
        <stp>IR</stp>
        <stp>BONDAV445</stp>
        <stp>9월이하(당일)</stp>
        <stp>45523</stp>
        <stp/>
        <tr r="G52" s="1"/>
        <tr r="G52" s="1"/>
      </tp>
      <tp>
        <v>3.512</v>
        <stp/>
        <stp>P</stp>
        <stp>0</stp>
        <stp>IR</stp>
        <stp>BONDAV446</stp>
        <stp>9월이하(당일)</stp>
        <stp>45523</stp>
        <stp/>
        <tr r="G53" s="1"/>
        <tr r="G53" s="1"/>
      </tp>
      <tp>
        <v>3.786</v>
        <stp/>
        <stp>P</stp>
        <stp>0</stp>
        <stp>IR</stp>
        <stp>BONDAV447</stp>
        <stp>9월이하(당일)</stp>
        <stp>45523</stp>
        <stp/>
        <tr r="G54" s="1"/>
        <tr r="G54" s="1"/>
      </tp>
      <tp>
        <v>5.641</v>
        <stp/>
        <stp>P</stp>
        <stp>0</stp>
        <stp>IR</stp>
        <stp>BONDAV440</stp>
        <stp>9월이하(당일)</stp>
        <stp>45523</stp>
        <stp/>
        <tr r="G47" s="1"/>
        <tr r="G47" s="1"/>
      </tp>
      <tp>
        <v>6.7679999999999998</v>
        <stp/>
        <stp>P</stp>
        <stp>0</stp>
        <stp>IR</stp>
        <stp>BONDAV441</stp>
        <stp>9월이하(당일)</stp>
        <stp>45523</stp>
        <stp/>
        <tr r="G48" s="1"/>
        <tr r="G48" s="1"/>
      </tp>
      <tp>
        <v>7.5010000000000003</v>
        <stp/>
        <stp>P</stp>
        <stp>0</stp>
        <stp>IR</stp>
        <stp>BONDAV442</stp>
        <stp>9월이하(당일)</stp>
        <stp>45523</stp>
        <stp/>
        <tr r="G49" s="1"/>
        <tr r="G49" s="1"/>
      </tp>
      <tp>
        <v>8.843</v>
        <stp/>
        <stp>P</stp>
        <stp>0</stp>
        <stp>IR</stp>
        <stp>BONDAV443</stp>
        <stp>9월이하(당일)</stp>
        <stp>45523</stp>
        <stp/>
        <tr r="G50" s="1"/>
        <tr r="G50" s="1"/>
      </tp>
      <tp>
        <v>3.363</v>
        <stp/>
        <stp>P</stp>
        <stp>0</stp>
        <stp>IR</stp>
        <stp>BONDAV448</stp>
        <stp>9월이하(당일)</stp>
        <stp>45523</stp>
        <stp/>
        <tr r="G55" s="1"/>
        <tr r="G55" s="1"/>
      </tp>
      <tp>
        <v>3.3769999999999998</v>
        <stp/>
        <stp>P</stp>
        <stp>0</stp>
        <stp>IR</stp>
        <stp>BONDAV449</stp>
        <stp>9월이하(당일)</stp>
        <stp>45523</stp>
        <stp/>
        <tr r="G56" s="1"/>
        <tr r="G56" s="1"/>
      </tp>
      <tp>
        <v>3.9769999999999999</v>
        <stp/>
        <stp>P</stp>
        <stp>0</stp>
        <stp>IR</stp>
        <stp>BONDAV454</stp>
        <stp>9월이하(당일)</stp>
        <stp>45523</stp>
        <stp/>
        <tr r="G61" s="1"/>
        <tr r="G61" s="1"/>
      </tp>
      <tp>
        <v>3.3319999999999999</v>
        <stp/>
        <stp>P</stp>
        <stp>0</stp>
        <stp>IR</stp>
        <stp>BONDAV455</stp>
        <stp>9월이하(당일)</stp>
        <stp>45523</stp>
        <stp/>
        <tr r="G62" s="1"/>
        <tr r="G62" s="1"/>
      </tp>
      <tp>
        <v>3.3460000000000001</v>
        <stp/>
        <stp>P</stp>
        <stp>0</stp>
        <stp>IR</stp>
        <stp>BONDAV456</stp>
        <stp>9월이하(당일)</stp>
        <stp>45523</stp>
        <stp/>
        <tr r="G63" s="1"/>
        <tr r="G63" s="1"/>
      </tp>
      <tp>
        <v>3.3660000000000001</v>
        <stp/>
        <stp>P</stp>
        <stp>0</stp>
        <stp>IR</stp>
        <stp>BONDAV457</stp>
        <stp>9월이하(당일)</stp>
        <stp>45523</stp>
        <stp/>
        <tr r="G64" s="1"/>
        <tr r="G64" s="1"/>
      </tp>
      <tp>
        <v>3.3969999999999998</v>
        <stp/>
        <stp>P</stp>
        <stp>0</stp>
        <stp>IR</stp>
        <stp>BONDAV450</stp>
        <stp>9월이하(당일)</stp>
        <stp>45523</stp>
        <stp/>
        <tr r="G57" s="1"/>
        <tr r="G57" s="1"/>
      </tp>
      <tp>
        <v>3.4209999999999998</v>
        <stp/>
        <stp>P</stp>
        <stp>0</stp>
        <stp>IR</stp>
        <stp>BONDAV451</stp>
        <stp>9월이하(당일)</stp>
        <stp>45523</stp>
        <stp/>
        <tr r="G58" s="1"/>
        <tr r="G58" s="1"/>
      </tp>
      <tp>
        <v>3.5579999999999998</v>
        <stp/>
        <stp>P</stp>
        <stp>0</stp>
        <stp>IR</stp>
        <stp>BONDAV452</stp>
        <stp>9월이하(당일)</stp>
        <stp>45523</stp>
        <stp/>
        <tr r="G59" s="1"/>
        <tr r="G59" s="1"/>
      </tp>
      <tp>
        <v>3.7069999999999999</v>
        <stp/>
        <stp>P</stp>
        <stp>0</stp>
        <stp>IR</stp>
        <stp>BONDAV453</stp>
        <stp>9월이하(당일)</stp>
        <stp>45523</stp>
        <stp/>
        <tr r="G60" s="1"/>
        <tr r="G60" s="1"/>
      </tp>
      <tp>
        <v>3.3919999999999999</v>
        <stp/>
        <stp>P</stp>
        <stp>0</stp>
        <stp>IR</stp>
        <stp>BONDAV458</stp>
        <stp>9월이하(당일)</stp>
        <stp>45523</stp>
        <stp/>
        <tr r="G65" s="1"/>
        <tr r="G65" s="1"/>
      </tp>
      <tp>
        <v>3.5710000000000002</v>
        <stp/>
        <stp>P</stp>
        <stp>0</stp>
        <stp>IR</stp>
        <stp>BONDAV459</stp>
        <stp>9월이하(당일)</stp>
        <stp>45523</stp>
        <stp/>
        <tr r="G66" s="1"/>
        <tr r="G66" s="1"/>
      </tp>
      <tp>
        <v>6.726</v>
        <stp/>
        <stp>P</stp>
        <stp>0</stp>
        <stp>IR</stp>
        <stp>BONDAV464</stp>
        <stp>9월이하(당일)</stp>
        <stp>45523</stp>
        <stp/>
        <tr r="G71" s="1"/>
        <tr r="G71" s="1"/>
      </tp>
      <tp>
        <v>3.7360000000000002</v>
        <stp/>
        <stp>P</stp>
        <stp>0</stp>
        <stp>IR</stp>
        <stp>BONDAV460</stp>
        <stp>9월이하(당일)</stp>
        <stp>45523</stp>
        <stp/>
        <tr r="G67" s="1"/>
        <tr r="G67" s="1"/>
      </tp>
      <tp>
        <v>3.9990000000000001</v>
        <stp/>
        <stp>P</stp>
        <stp>0</stp>
        <stp>IR</stp>
        <stp>BONDAV461</stp>
        <stp>9월이하(당일)</stp>
        <stp>45523</stp>
        <stp/>
        <tr r="G68" s="1"/>
        <tr r="G68" s="1"/>
      </tp>
      <tp>
        <v>5.2060000000000004</v>
        <stp/>
        <stp>P</stp>
        <stp>0</stp>
        <stp>IR</stp>
        <stp>BONDAV462</stp>
        <stp>9월이하(당일)</stp>
        <stp>45523</stp>
        <stp/>
        <tr r="G69" s="1"/>
        <tr r="G69" s="1"/>
      </tp>
      <tp>
        <v>5.7910000000000004</v>
        <stp/>
        <stp>P</stp>
        <stp>0</stp>
        <stp>IR</stp>
        <stp>BONDAV463</stp>
        <stp>9월이하(당일)</stp>
        <stp>45523</stp>
        <stp/>
        <tr r="G70" s="1"/>
        <tr r="G70" s="1"/>
      </tp>
      <tp>
        <v>3.4580000000000002</v>
        <stp/>
        <stp>P</stp>
        <stp>0</stp>
        <stp>IR</stp>
        <stp>BONDAV469</stp>
        <stp>9월이하(당일)</stp>
        <stp>45523</stp>
        <stp/>
        <tr r="G72" s="1"/>
        <tr r="G72" s="1"/>
      </tp>
      <tp>
        <v>4.0289999999999999</v>
        <stp/>
        <stp>P</stp>
        <stp>0</stp>
        <stp>IR</stp>
        <stp>BONDAV474</stp>
        <stp>9월이하(당일)</stp>
        <stp>45523</stp>
        <stp/>
        <tr r="G77" s="1"/>
        <tr r="G77" s="1"/>
      </tp>
      <tp>
        <v>4.33</v>
        <stp/>
        <stp>P</stp>
        <stp>0</stp>
        <stp>IR</stp>
        <stp>BONDAV475</stp>
        <stp>9월이하(당일)</stp>
        <stp>45523</stp>
        <stp/>
        <tr r="G78" s="1"/>
        <tr r="G78" s="1"/>
      </tp>
      <tp>
        <v>5.6289999999999996</v>
        <stp/>
        <stp>P</stp>
        <stp>0</stp>
        <stp>IR</stp>
        <stp>BONDAV476</stp>
        <stp>9월이하(당일)</stp>
        <stp>45523</stp>
        <stp/>
        <tr r="G79" s="1"/>
        <tr r="G79" s="1"/>
      </tp>
      <tp>
        <v>6.2270000000000003</v>
        <stp/>
        <stp>P</stp>
        <stp>0</stp>
        <stp>IR</stp>
        <stp>BONDAV477</stp>
        <stp>9월이하(당일)</stp>
        <stp>45523</stp>
        <stp/>
        <tr r="G80" s="1"/>
        <tr r="G80" s="1"/>
      </tp>
      <tp>
        <v>3.5059999999999998</v>
        <stp/>
        <stp>P</stp>
        <stp>0</stp>
        <stp>IR</stp>
        <stp>BONDAV470</stp>
        <stp>9월이하(당일)</stp>
        <stp>45523</stp>
        <stp/>
        <tr r="G73" s="1"/>
        <tr r="G73" s="1"/>
      </tp>
      <tp>
        <v>3.5409999999999999</v>
        <stp/>
        <stp>P</stp>
        <stp>0</stp>
        <stp>IR</stp>
        <stp>BONDAV471</stp>
        <stp>9월이하(당일)</stp>
        <stp>45523</stp>
        <stp/>
        <tr r="G74" s="1"/>
        <tr r="G74" s="1"/>
      </tp>
      <tp>
        <v>3.5859999999999999</v>
        <stp/>
        <stp>P</stp>
        <stp>0</stp>
        <stp>IR</stp>
        <stp>BONDAV472</stp>
        <stp>9월이하(당일)</stp>
        <stp>45523</stp>
        <stp/>
        <tr r="G75" s="1"/>
        <tr r="G75" s="1"/>
      </tp>
      <tp>
        <v>3.835</v>
        <stp/>
        <stp>P</stp>
        <stp>0</stp>
        <stp>IR</stp>
        <stp>BONDAV473</stp>
        <stp>9월이하(당일)</stp>
        <stp>45523</stp>
        <stp/>
        <tr r="G76" s="1"/>
        <tr r="G76" s="1"/>
      </tp>
      <tp>
        <v>7.4349999999999996</v>
        <stp/>
        <stp>P</stp>
        <stp>0</stp>
        <stp>IR</stp>
        <stp>BONDAV478</stp>
        <stp>9월이하(당일)</stp>
        <stp>45523</stp>
        <stp/>
        <tr r="G81" s="1"/>
        <tr r="G81" s="1"/>
      </tp>
      <tp>
        <v>3.306</v>
        <stp/>
        <stp>P</stp>
        <stp>0</stp>
        <stp>IR</stp>
        <stp>BONDAV479</stp>
        <stp>9월이하(당일)</stp>
        <stp>45523</stp>
        <stp/>
        <tr r="G82" s="1"/>
        <tr r="G82" s="1"/>
      </tp>
      <tp>
        <v>2.6949999999999998</v>
        <stp/>
        <stp>P</stp>
        <stp>0</stp>
        <stp>IR</stp>
        <stp>BONDAV404</stp>
        <stp>9월이하(당일)</stp>
        <stp>45523</stp>
        <stp/>
        <tr r="G11" s="1"/>
        <tr r="G11" s="1"/>
      </tp>
      <tp>
        <v>3.2549999999999999</v>
        <stp/>
        <stp>P</stp>
        <stp>0</stp>
        <stp>IR</stp>
        <stp>BONDAV405</stp>
        <stp>9월이하(당일)</stp>
        <stp>45523</stp>
        <stp/>
        <tr r="G12" s="1"/>
        <tr r="G12" s="1"/>
      </tp>
      <tp>
        <v>3.2549999999999999</v>
        <stp/>
        <stp>P</stp>
        <stp>0</stp>
        <stp>IR</stp>
        <stp>BONDAV406</stp>
        <stp>9월이하(당일)</stp>
        <stp>45523</stp>
        <stp/>
        <tr r="G13" s="1"/>
        <tr r="G13" s="1"/>
      </tp>
      <tp>
        <v>3.1139999999999999</v>
        <stp/>
        <stp>P</stp>
        <stp>0</stp>
        <stp>IR</stp>
        <stp>BONDAV401</stp>
        <stp>9월이하(당일)</stp>
        <stp>45523</stp>
        <stp/>
        <tr r="G8" s="1"/>
        <tr r="G8" s="1"/>
      </tp>
      <tp>
        <v>3.1720000000000002</v>
        <stp/>
        <stp>P</stp>
        <stp>0</stp>
        <stp>IR</stp>
        <stp>BONDAV402</stp>
        <stp>9월이하(당일)</stp>
        <stp>45523</stp>
        <stp/>
        <tr r="G9" s="1"/>
        <tr r="G9" s="1"/>
      </tp>
      <tp>
        <v>2.9729999999999999</v>
        <stp/>
        <stp>P</stp>
        <stp>0</stp>
        <stp>IR</stp>
        <stp>BONDAV403</stp>
        <stp>9월이하(당일)</stp>
        <stp>45523</stp>
        <stp/>
        <tr r="G10" s="1"/>
        <tr r="G10" s="1"/>
      </tp>
      <tp>
        <v>3.2989999999999999</v>
        <stp/>
        <stp>P</stp>
        <stp>0</stp>
        <stp>IR</stp>
        <stp>BONDAV409</stp>
        <stp>9월이하(당일)</stp>
        <stp>45523</stp>
        <stp/>
        <tr r="G15" s="1"/>
        <tr r="G15" s="1"/>
      </tp>
      <tp>
        <v>3.1</v>
        <stp/>
        <stp>P</stp>
        <stp>0</stp>
        <stp>IR</stp>
        <stp>BONDAV414</stp>
        <stp>9월이하(당일)</stp>
        <stp>45523</stp>
        <stp/>
        <tr r="G19" s="1"/>
        <tr r="G19" s="1"/>
      </tp>
      <tp>
        <v>3.1110000000000002</v>
        <stp/>
        <stp>P</stp>
        <stp>0</stp>
        <stp>IR</stp>
        <stp>BONDAV415</stp>
        <stp>9월이하(당일)</stp>
        <stp>45523</stp>
        <stp/>
        <tr r="G20" s="1"/>
        <tr r="G20" s="1"/>
      </tp>
      <tp>
        <v>3.32</v>
        <stp/>
        <stp>P</stp>
        <stp>0</stp>
        <stp>IR</stp>
        <stp>BONDAV416</stp>
        <stp>9월이하(당일)</stp>
        <stp>45523</stp>
        <stp/>
        <tr r="G22" s="1"/>
        <tr r="G22" s="1"/>
      </tp>
      <tp>
        <v>3.3159999999999998</v>
        <stp/>
        <stp>P</stp>
        <stp>0</stp>
        <stp>IR</stp>
        <stp>BONDAV417</stp>
        <stp>9월이하(당일)</stp>
        <stp>45523</stp>
        <stp/>
        <tr r="G23" s="1"/>
        <tr r="G23" s="1"/>
      </tp>
      <tp>
        <v>3.3559999999999999</v>
        <stp/>
        <stp>P</stp>
        <stp>0</stp>
        <stp>IR</stp>
        <stp>BONDAV410</stp>
        <stp>9월이하(당일)</stp>
        <stp>45523</stp>
        <stp/>
        <tr r="G16" s="1"/>
        <tr r="G16" s="1"/>
      </tp>
      <tp>
        <v>3.4420000000000002</v>
        <stp/>
        <stp>P</stp>
        <stp>0</stp>
        <stp>IR</stp>
        <stp>BONDAV411</stp>
        <stp>9월이하(당일)</stp>
        <stp>45523</stp>
        <stp/>
        <tr r="G17" s="1"/>
        <tr r="G17" s="1"/>
      </tp>
      <tp>
        <v>3.5760000000000001</v>
        <stp/>
        <stp>P</stp>
        <stp>0</stp>
        <stp>IR</stp>
        <stp>BONDAV412</stp>
        <stp>9월이하(당일)</stp>
        <stp>45523</stp>
        <stp/>
        <tr r="G18" s="1"/>
        <tr r="G18" s="1"/>
      </tp>
      <tp>
        <v>3.2330000000000001</v>
        <stp/>
        <stp>P</stp>
        <stp>0</stp>
        <stp>IR</stp>
        <stp>BONDAV413</stp>
        <stp>9월이하(당일)</stp>
        <stp>45523</stp>
        <stp/>
        <tr r="G14" s="1"/>
        <tr r="G14" s="1"/>
      </tp>
      <tp>
        <v>3.32</v>
        <stp/>
        <stp>P</stp>
        <stp>0</stp>
        <stp>IR</stp>
        <stp>BONDAV418</stp>
        <stp>9월이하(당일)</stp>
        <stp>45523</stp>
        <stp/>
        <tr r="G24" s="1"/>
        <tr r="G24" s="1"/>
      </tp>
      <tp>
        <v>3.3159999999999998</v>
        <stp/>
        <stp>P</stp>
        <stp>0</stp>
        <stp>IR</stp>
        <stp>BONDAV419</stp>
        <stp>9월이하(당일)</stp>
        <stp>45523</stp>
        <stp/>
        <tr r="G25" s="1"/>
        <tr r="G25" s="1"/>
      </tp>
      <tp>
        <v>3.9020000000000001</v>
        <stp/>
        <stp>P</stp>
        <stp>0</stp>
        <stp>IR</stp>
        <stp>BONDAV424</stp>
        <stp>9월이하(당일)</stp>
        <stp>45523</stp>
        <stp/>
        <tr r="G30" s="1"/>
        <tr r="G30" s="1"/>
      </tp>
      <tp>
        <v>3.9860000000000002</v>
        <stp/>
        <stp>P</stp>
        <stp>0</stp>
        <stp>IR</stp>
        <stp>BONDAV425</stp>
        <stp>9월이하(당일)</stp>
        <stp>45523</stp>
        <stp/>
        <tr r="G31" s="1"/>
        <tr r="G31" s="1"/>
      </tp>
      <tp>
        <v>4.0709999999999997</v>
        <stp/>
        <stp>P</stp>
        <stp>0</stp>
        <stp>IR</stp>
        <stp>BONDAV426</stp>
        <stp>9월이하(당일)</stp>
        <stp>45523</stp>
        <stp/>
        <tr r="G32" s="1"/>
        <tr r="G32" s="1"/>
      </tp>
      <tp>
        <v>3.407</v>
        <stp/>
        <stp>P</stp>
        <stp>0</stp>
        <stp>IR</stp>
        <stp>BONDAV427</stp>
        <stp>9월이하(당일)</stp>
        <stp>45523</stp>
        <stp/>
        <tr r="G34" s="1"/>
        <tr r="G34" s="1"/>
      </tp>
      <tp>
        <v>3.3479999999999999</v>
        <stp/>
        <stp>P</stp>
        <stp>0</stp>
        <stp>IR</stp>
        <stp>BONDAV420</stp>
        <stp>9월이하(당일)</stp>
        <stp>45523</stp>
        <stp/>
        <tr r="G26" s="1"/>
        <tr r="G26" s="1"/>
      </tp>
      <tp>
        <v>3.3919999999999999</v>
        <stp/>
        <stp>P</stp>
        <stp>0</stp>
        <stp>IR</stp>
        <stp>BONDAV421</stp>
        <stp>9월이하(당일)</stp>
        <stp>45523</stp>
        <stp/>
        <tr r="G27" s="1"/>
        <tr r="G27" s="1"/>
      </tp>
      <tp>
        <v>3.5649999999999999</v>
        <stp/>
        <stp>P</stp>
        <stp>0</stp>
        <stp>IR</stp>
        <stp>BONDAV422</stp>
        <stp>9월이하(당일)</stp>
        <stp>45523</stp>
        <stp/>
        <tr r="G28" s="1"/>
        <tr r="G28" s="1"/>
      </tp>
      <tp>
        <v>3.8149999999999999</v>
        <stp/>
        <stp>P</stp>
        <stp>0</stp>
        <stp>IR</stp>
        <stp>BONDAV423</stp>
        <stp>9월이하(당일)</stp>
        <stp>45523</stp>
        <stp/>
        <tr r="G29" s="1"/>
        <tr r="G29" s="1"/>
      </tp>
      <tp>
        <v>3.4620000000000002</v>
        <stp/>
        <stp>P</stp>
        <stp>0</stp>
        <stp>IR</stp>
        <stp>BONDAV428</stp>
        <stp>9월이하(당일)</stp>
        <stp>45523</stp>
        <stp/>
        <tr r="G35" s="1"/>
        <tr r="G35" s="1"/>
      </tp>
      <tp>
        <v>4.359</v>
        <stp/>
        <stp>P</stp>
        <stp>0</stp>
        <stp>IR</stp>
        <stp>BONDAV429</stp>
        <stp>9월이하(당일)</stp>
        <stp>45523</stp>
        <stp/>
        <tr r="G36" s="1"/>
        <tr r="G36" s="1"/>
      </tp>
      <tp>
        <v>8.9410000000000007</v>
        <stp/>
        <stp>P</stp>
        <stp>0</stp>
        <stp>IR</stp>
        <stp>BONDAV434</stp>
        <stp>9월이하(당일)</stp>
        <stp>45523</stp>
        <stp/>
        <tr r="G41" s="1"/>
        <tr r="G41" s="1"/>
      </tp>
      <tp>
        <v>3.407</v>
        <stp/>
        <stp>P</stp>
        <stp>0</stp>
        <stp>IR</stp>
        <stp>BONDAV436</stp>
        <stp>9월이하(당일)</stp>
        <stp>45523</stp>
        <stp/>
        <tr r="G43" s="1"/>
        <tr r="G43" s="1"/>
      </tp>
      <tp>
        <v>3.4620000000000002</v>
        <stp/>
        <stp>P</stp>
        <stp>0</stp>
        <stp>IR</stp>
        <stp>BONDAV437</stp>
        <stp>9월이하(당일)</stp>
        <stp>45523</stp>
        <stp/>
        <tr r="G44" s="1"/>
        <tr r="G44" s="1"/>
      </tp>
      <tp>
        <v>5.0279999999999996</v>
        <stp/>
        <stp>P</stp>
        <stp>0</stp>
        <stp>IR</stp>
        <stp>BONDAV430</stp>
        <stp>9월이하(당일)</stp>
        <stp>45523</stp>
        <stp/>
        <tr r="G37" s="1"/>
        <tr r="G37" s="1"/>
      </tp>
      <tp>
        <v>5.641</v>
        <stp/>
        <stp>P</stp>
        <stp>0</stp>
        <stp>IR</stp>
        <stp>BONDAV431</stp>
        <stp>9월이하(당일)</stp>
        <stp>45523</stp>
        <stp/>
        <tr r="G38" s="1"/>
        <tr r="G38" s="1"/>
      </tp>
      <tp>
        <v>6.83</v>
        <stp/>
        <stp>P</stp>
        <stp>0</stp>
        <stp>IR</stp>
        <stp>BONDAV432</stp>
        <stp>9월이하(당일)</stp>
        <stp>45523</stp>
        <stp/>
        <tr r="G39" s="1"/>
        <tr r="G39" s="1"/>
      </tp>
      <tp>
        <v>7.5679999999999996</v>
        <stp/>
        <stp>P</stp>
        <stp>0</stp>
        <stp>IR</stp>
        <stp>BONDAV433</stp>
        <stp>9월이하(당일)</stp>
        <stp>45523</stp>
        <stp/>
        <tr r="G40" s="1"/>
        <tr r="G40" s="1"/>
      </tp>
      <tp>
        <v>4.359</v>
        <stp/>
        <stp>P</stp>
        <stp>0</stp>
        <stp>IR</stp>
        <stp>BONDAV438</stp>
        <stp>9월이하(당일)</stp>
        <stp>45523</stp>
        <stp/>
        <tr r="G45" s="1"/>
        <tr r="G45" s="1"/>
      </tp>
      <tp>
        <v>5.0279999999999996</v>
        <stp/>
        <stp>P</stp>
        <stp>0</stp>
        <stp>IR</stp>
        <stp>BONDAV439</stp>
        <stp>9월이하(당일)</stp>
        <stp>45523</stp>
        <stp/>
        <tr r="G46" s="1"/>
        <tr r="G46" s="1"/>
      </tp>
      <tp>
        <v>3.33</v>
        <stp/>
        <stp>P</stp>
        <stp>0</stp>
        <stp>IR</stp>
        <stp>BONDAV484</stp>
        <stp>9월이하(당일)</stp>
        <stp>45523</stp>
        <stp/>
        <tr r="G21" s="1"/>
        <tr r="G21" s="1"/>
      </tp>
      <tp>
        <v>3.3809999999999998</v>
        <stp/>
        <stp>P</stp>
        <stp>0</stp>
        <stp>IR</stp>
        <stp>BONDAV481</stp>
        <stp>9월이하(당일)</stp>
        <stp>45523</stp>
        <stp/>
        <tr r="G33" s="1"/>
        <tr r="G33" s="1"/>
      </tp>
      <tp>
        <v>3.3809999999999998</v>
        <stp/>
        <stp>P</stp>
        <stp>0</stp>
        <stp>IR</stp>
        <stp>BONDAV482</stp>
        <stp>9월이하(당일)</stp>
        <stp>45523</stp>
        <stp/>
        <tr r="G42" s="1"/>
        <tr r="G42" s="1"/>
      </tp>
      <tp>
        <v>3.42</v>
        <stp/>
        <stp>P</stp>
        <stp>0</stp>
        <stp>IR</stp>
        <stp>BONDAV444</stp>
        <stp>3월이하(당일)</stp>
        <stp>45523</stp>
        <stp/>
        <tr r="E51" s="1"/>
        <tr r="E51" s="1"/>
      </tp>
      <tp>
        <v>3.4380000000000002</v>
        <stp/>
        <stp>P</stp>
        <stp>0</stp>
        <stp>IR</stp>
        <stp>BONDAV445</stp>
        <stp>3월이하(당일)</stp>
        <stp>45523</stp>
        <stp/>
        <tr r="E52" s="1"/>
        <tr r="E52" s="1"/>
      </tp>
      <tp>
        <v>3.536</v>
        <stp/>
        <stp>P</stp>
        <stp>0</stp>
        <stp>IR</stp>
        <stp>BONDAV446</stp>
        <stp>3월이하(당일)</stp>
        <stp>45523</stp>
        <stp/>
        <tr r="E53" s="1"/>
        <tr r="E53" s="1"/>
      </tp>
      <tp>
        <v>3.617</v>
        <stp/>
        <stp>P</stp>
        <stp>0</stp>
        <stp>IR</stp>
        <stp>BONDAV447</stp>
        <stp>3월이하(당일)</stp>
        <stp>45523</stp>
        <stp/>
        <tr r="E54" s="1"/>
        <tr r="E54" s="1"/>
      </tp>
      <tp>
        <v>5.0869999999999997</v>
        <stp/>
        <stp>P</stp>
        <stp>0</stp>
        <stp>IR</stp>
        <stp>BONDAV440</stp>
        <stp>3월이하(당일)</stp>
        <stp>45523</stp>
        <stp/>
        <tr r="E47" s="1"/>
        <tr r="E47" s="1"/>
      </tp>
      <tp>
        <v>5.8869999999999996</v>
        <stp/>
        <stp>P</stp>
        <stp>0</stp>
        <stp>IR</stp>
        <stp>BONDAV441</stp>
        <stp>3월이하(당일)</stp>
        <stp>45523</stp>
        <stp/>
        <tr r="E48" s="1"/>
        <tr r="E48" s="1"/>
      </tp>
      <tp>
        <v>6.5380000000000003</v>
        <stp/>
        <stp>P</stp>
        <stp>0</stp>
        <stp>IR</stp>
        <stp>BONDAV442</stp>
        <stp>3월이하(당일)</stp>
        <stp>45523</stp>
        <stp/>
        <tr r="E49" s="1"/>
        <tr r="E49" s="1"/>
      </tp>
      <tp>
        <v>7.8220000000000001</v>
        <stp/>
        <stp>P</stp>
        <stp>0</stp>
        <stp>IR</stp>
        <stp>BONDAV443</stp>
        <stp>3월이하(당일)</stp>
        <stp>45523</stp>
        <stp/>
        <tr r="E50" s="1"/>
        <tr r="E50" s="1"/>
      </tp>
      <tp>
        <v>3.4239999999999999</v>
        <stp/>
        <stp>P</stp>
        <stp>0</stp>
        <stp>IR</stp>
        <stp>BONDAV448</stp>
        <stp>3월이하(당일)</stp>
        <stp>45523</stp>
        <stp/>
        <tr r="E55" s="1"/>
        <tr r="E55" s="1"/>
      </tp>
      <tp>
        <v>3.4329999999999998</v>
        <stp/>
        <stp>P</stp>
        <stp>0</stp>
        <stp>IR</stp>
        <stp>BONDAV449</stp>
        <stp>3월이하(당일)</stp>
        <stp>45523</stp>
        <stp/>
        <tr r="E56" s="1"/>
        <tr r="E56" s="1"/>
      </tp>
      <tp>
        <v>3.851</v>
        <stp/>
        <stp>P</stp>
        <stp>0</stp>
        <stp>IR</stp>
        <stp>BONDAV454</stp>
        <stp>3월이하(당일)</stp>
        <stp>45523</stp>
        <stp/>
        <tr r="E61" s="1"/>
        <tr r="E61" s="1"/>
      </tp>
      <tp>
        <v>3.3980000000000001</v>
        <stp/>
        <stp>P</stp>
        <stp>0</stp>
        <stp>IR</stp>
        <stp>BONDAV455</stp>
        <stp>3월이하(당일)</stp>
        <stp>45523</stp>
        <stp/>
        <tr r="E62" s="1"/>
        <tr r="E62" s="1"/>
      </tp>
      <tp>
        <v>3.4140000000000001</v>
        <stp/>
        <stp>P</stp>
        <stp>0</stp>
        <stp>IR</stp>
        <stp>BONDAV456</stp>
        <stp>3월이하(당일)</stp>
        <stp>45523</stp>
        <stp/>
        <tr r="E63" s="1"/>
        <tr r="E63" s="1"/>
      </tp>
      <tp>
        <v>3.4289999999999998</v>
        <stp/>
        <stp>P</stp>
        <stp>0</stp>
        <stp>IR</stp>
        <stp>BONDAV457</stp>
        <stp>3월이하(당일)</stp>
        <stp>45523</stp>
        <stp/>
        <tr r="E64" s="1"/>
        <tr r="E64" s="1"/>
      </tp>
      <tp>
        <v>3.444</v>
        <stp/>
        <stp>P</stp>
        <stp>0</stp>
        <stp>IR</stp>
        <stp>BONDAV450</stp>
        <stp>3월이하(당일)</stp>
        <stp>45523</stp>
        <stp/>
        <tr r="E57" s="1"/>
        <tr r="E57" s="1"/>
      </tp>
      <tp>
        <v>3.4670000000000001</v>
        <stp/>
        <stp>P</stp>
        <stp>0</stp>
        <stp>IR</stp>
        <stp>BONDAV451</stp>
        <stp>3월이하(당일)</stp>
        <stp>45523</stp>
        <stp/>
        <tr r="E58" s="1"/>
        <tr r="E58" s="1"/>
      </tp>
      <tp>
        <v>3.504</v>
        <stp/>
        <stp>P</stp>
        <stp>0</stp>
        <stp>IR</stp>
        <stp>BONDAV452</stp>
        <stp>3월이하(당일)</stp>
        <stp>45523</stp>
        <stp/>
        <tr r="E59" s="1"/>
        <tr r="E59" s="1"/>
      </tp>
      <tp>
        <v>3.6309999999999998</v>
        <stp/>
        <stp>P</stp>
        <stp>0</stp>
        <stp>IR</stp>
        <stp>BONDAV453</stp>
        <stp>3월이하(당일)</stp>
        <stp>45523</stp>
        <stp/>
        <tr r="E60" s="1"/>
        <tr r="E60" s="1"/>
      </tp>
      <tp>
        <v>3.4540000000000002</v>
        <stp/>
        <stp>P</stp>
        <stp>0</stp>
        <stp>IR</stp>
        <stp>BONDAV458</stp>
        <stp>3월이하(당일)</stp>
        <stp>45523</stp>
        <stp/>
        <tr r="E65" s="1"/>
        <tr r="E65" s="1"/>
      </tp>
      <tp>
        <v>3.492</v>
        <stp/>
        <stp>P</stp>
        <stp>0</stp>
        <stp>IR</stp>
        <stp>BONDAV459</stp>
        <stp>3월이하(당일)</stp>
        <stp>45523</stp>
        <stp/>
        <tr r="E66" s="1"/>
        <tr r="E66" s="1"/>
      </tp>
      <tp>
        <v>5.516</v>
        <stp/>
        <stp>P</stp>
        <stp>0</stp>
        <stp>IR</stp>
        <stp>BONDAV464</stp>
        <stp>3월이하(당일)</stp>
        <stp>45523</stp>
        <stp/>
        <tr r="E71" s="1"/>
        <tr r="E71" s="1"/>
      </tp>
      <tp>
        <v>3.6389999999999998</v>
        <stp/>
        <stp>P</stp>
        <stp>0</stp>
        <stp>IR</stp>
        <stp>BONDAV460</stp>
        <stp>3월이하(당일)</stp>
        <stp>45523</stp>
        <stp/>
        <tr r="E67" s="1"/>
        <tr r="E67" s="1"/>
      </tp>
      <tp>
        <v>3.8639999999999999</v>
        <stp/>
        <stp>P</stp>
        <stp>0</stp>
        <stp>IR</stp>
        <stp>BONDAV461</stp>
        <stp>3월이하(당일)</stp>
        <stp>45523</stp>
        <stp/>
        <tr r="E68" s="1"/>
        <tr r="E68" s="1"/>
      </tp>
      <tp>
        <v>4.4619999999999997</v>
        <stp/>
        <stp>P</stp>
        <stp>0</stp>
        <stp>IR</stp>
        <stp>BONDAV462</stp>
        <stp>3월이하(당일)</stp>
        <stp>45523</stp>
        <stp/>
        <tr r="E69" s="1"/>
        <tr r="E69" s="1"/>
      </tp>
      <tp>
        <v>4.8369999999999997</v>
        <stp/>
        <stp>P</stp>
        <stp>0</stp>
        <stp>IR</stp>
        <stp>BONDAV463</stp>
        <stp>3월이하(당일)</stp>
        <stp>45523</stp>
        <stp/>
        <tr r="E70" s="1"/>
        <tr r="E70" s="1"/>
      </tp>
      <tp>
        <v>3.4609999999999999</v>
        <stp/>
        <stp>P</stp>
        <stp>0</stp>
        <stp>IR</stp>
        <stp>BONDAV469</stp>
        <stp>3월이하(당일)</stp>
        <stp>45523</stp>
        <stp/>
        <tr r="E72" s="1"/>
        <tr r="E72" s="1"/>
      </tp>
      <tp>
        <v>3.8580000000000001</v>
        <stp/>
        <stp>P</stp>
        <stp>0</stp>
        <stp>IR</stp>
        <stp>BONDAV474</stp>
        <stp>3월이하(당일)</stp>
        <stp>45523</stp>
        <stp/>
        <tr r="E77" s="1"/>
        <tr r="E77" s="1"/>
      </tp>
      <tp>
        <v>4.1150000000000002</v>
        <stp/>
        <stp>P</stp>
        <stp>0</stp>
        <stp>IR</stp>
        <stp>BONDAV475</stp>
        <stp>3월이하(당일)</stp>
        <stp>45523</stp>
        <stp/>
        <tr r="E78" s="1"/>
        <tr r="E78" s="1"/>
      </tp>
      <tp>
        <v>4.7350000000000003</v>
        <stp/>
        <stp>P</stp>
        <stp>0</stp>
        <stp>IR</stp>
        <stp>BONDAV476</stp>
        <stp>3월이하(당일)</stp>
        <stp>45523</stp>
        <stp/>
        <tr r="E79" s="1"/>
        <tr r="E79" s="1"/>
      </tp>
      <tp>
        <v>5.1280000000000001</v>
        <stp/>
        <stp>P</stp>
        <stp>0</stp>
        <stp>IR</stp>
        <stp>BONDAV477</stp>
        <stp>3월이하(당일)</stp>
        <stp>45523</stp>
        <stp/>
        <tr r="E80" s="1"/>
        <tr r="E80" s="1"/>
      </tp>
      <tp>
        <v>3.488</v>
        <stp/>
        <stp>P</stp>
        <stp>0</stp>
        <stp>IR</stp>
        <stp>BONDAV470</stp>
        <stp>3월이하(당일)</stp>
        <stp>45523</stp>
        <stp/>
        <tr r="E73" s="1"/>
        <tr r="E73" s="1"/>
      </tp>
      <tp>
        <v>3.5219999999999998</v>
        <stp/>
        <stp>P</stp>
        <stp>0</stp>
        <stp>IR</stp>
        <stp>BONDAV471</stp>
        <stp>3월이하(당일)</stp>
        <stp>45523</stp>
        <stp/>
        <tr r="E74" s="1"/>
        <tr r="E74" s="1"/>
      </tp>
      <tp>
        <v>3.57</v>
        <stp/>
        <stp>P</stp>
        <stp>0</stp>
        <stp>IR</stp>
        <stp>BONDAV472</stp>
        <stp>3월이하(당일)</stp>
        <stp>45523</stp>
        <stp/>
        <tr r="E75" s="1"/>
        <tr r="E75" s="1"/>
      </tp>
      <tp>
        <v>3.6869999999999998</v>
        <stp/>
        <stp>P</stp>
        <stp>0</stp>
        <stp>IR</stp>
        <stp>BONDAV473</stp>
        <stp>3월이하(당일)</stp>
        <stp>45523</stp>
        <stp/>
        <tr r="E76" s="1"/>
        <tr r="E76" s="1"/>
      </tp>
      <tp>
        <v>6.0979999999999999</v>
        <stp/>
        <stp>P</stp>
        <stp>0</stp>
        <stp>IR</stp>
        <stp>BONDAV478</stp>
        <stp>3월이하(당일)</stp>
        <stp>45523</stp>
        <stp/>
        <tr r="E81" s="1"/>
        <tr r="E81" s="1"/>
      </tp>
      <tp>
        <v>3.38</v>
        <stp/>
        <stp>P</stp>
        <stp>0</stp>
        <stp>IR</stp>
        <stp>BONDAV479</stp>
        <stp>3월이하(당일)</stp>
        <stp>45523</stp>
        <stp/>
        <tr r="E82" s="1"/>
        <tr r="E82" s="1"/>
      </tp>
      <tp>
        <v>2.875</v>
        <stp/>
        <stp>P</stp>
        <stp>0</stp>
        <stp>IR</stp>
        <stp>BONDAV404</stp>
        <stp>3월이하(당일)</stp>
        <stp>45523</stp>
        <stp/>
        <tr r="E11" s="1"/>
        <tr r="E11" s="1"/>
      </tp>
      <tp>
        <v>3.41</v>
        <stp/>
        <stp>P</stp>
        <stp>0</stp>
        <stp>IR</stp>
        <stp>BONDAV405</stp>
        <stp>3월이하(당일)</stp>
        <stp>45523</stp>
        <stp/>
        <tr r="E12" s="1"/>
        <tr r="E12" s="1"/>
      </tp>
      <tp>
        <v>3.41</v>
        <stp/>
        <stp>P</stp>
        <stp>0</stp>
        <stp>IR</stp>
        <stp>BONDAV406</stp>
        <stp>3월이하(당일)</stp>
        <stp>45523</stp>
        <stp/>
        <tr r="E13" s="1"/>
        <tr r="E13" s="1"/>
      </tp>
      <tp>
        <v>3.3380000000000001</v>
        <stp/>
        <stp>P</stp>
        <stp>0</stp>
        <stp>IR</stp>
        <stp>BONDAV401</stp>
        <stp>3월이하(당일)</stp>
        <stp>45523</stp>
        <stp/>
        <tr r="E8" s="1"/>
        <tr r="E8" s="1"/>
      </tp>
      <tp>
        <v>3.3439999999999999</v>
        <stp/>
        <stp>P</stp>
        <stp>0</stp>
        <stp>IR</stp>
        <stp>BONDAV402</stp>
        <stp>3월이하(당일)</stp>
        <stp>45523</stp>
        <stp/>
        <tr r="E9" s="1"/>
        <tr r="E9" s="1"/>
      </tp>
      <tp>
        <v>3.1280000000000001</v>
        <stp/>
        <stp>P</stp>
        <stp>0</stp>
        <stp>IR</stp>
        <stp>BONDAV403</stp>
        <stp>3월이하(당일)</stp>
        <stp>45523</stp>
        <stp/>
        <tr r="E10" s="1"/>
        <tr r="E10" s="1"/>
      </tp>
      <tp>
        <v>3.3919999999999999</v>
        <stp/>
        <stp>P</stp>
        <stp>0</stp>
        <stp>IR</stp>
        <stp>BONDAV409</stp>
        <stp>3월이하(당일)</stp>
        <stp>45523</stp>
        <stp/>
        <tr r="E15" s="1"/>
        <tr r="E15" s="1"/>
      </tp>
      <tp>
        <v>3.2709999999999999</v>
        <stp/>
        <stp>P</stp>
        <stp>0</stp>
        <stp>IR</stp>
        <stp>BONDAV414</stp>
        <stp>3월이하(당일)</stp>
        <stp>45523</stp>
        <stp/>
        <tr r="E19" s="1"/>
        <tr r="E19" s="1"/>
      </tp>
      <tp>
        <v>3.2869999999999999</v>
        <stp/>
        <stp>P</stp>
        <stp>0</stp>
        <stp>IR</stp>
        <stp>BONDAV415</stp>
        <stp>3월이하(당일)</stp>
        <stp>45523</stp>
        <stp/>
        <tr r="E20" s="1"/>
        <tr r="E20" s="1"/>
      </tp>
      <tp>
        <v>3.4159999999999999</v>
        <stp/>
        <stp>P</stp>
        <stp>0</stp>
        <stp>IR</stp>
        <stp>BONDAV416</stp>
        <stp>3월이하(당일)</stp>
        <stp>45523</stp>
        <stp/>
        <tr r="E22" s="1"/>
        <tr r="E22" s="1"/>
      </tp>
      <tp>
        <v>3.411</v>
        <stp/>
        <stp>P</stp>
        <stp>0</stp>
        <stp>IR</stp>
        <stp>BONDAV417</stp>
        <stp>3월이하(당일)</stp>
        <stp>45523</stp>
        <stp/>
        <tr r="E23" s="1"/>
        <tr r="E23" s="1"/>
      </tp>
      <tp>
        <v>3.4169999999999998</v>
        <stp/>
        <stp>P</stp>
        <stp>0</stp>
        <stp>IR</stp>
        <stp>BONDAV410</stp>
        <stp>3월이하(당일)</stp>
        <stp>45523</stp>
        <stp/>
        <tr r="E16" s="1"/>
        <tr r="E16" s="1"/>
      </tp>
      <tp>
        <v>3.4710000000000001</v>
        <stp/>
        <stp>P</stp>
        <stp>0</stp>
        <stp>IR</stp>
        <stp>BONDAV411</stp>
        <stp>3월이하(당일)</stp>
        <stp>45523</stp>
        <stp/>
        <tr r="E17" s="1"/>
        <tr r="E17" s="1"/>
      </tp>
      <tp>
        <v>3.5870000000000002</v>
        <stp/>
        <stp>P</stp>
        <stp>0</stp>
        <stp>IR</stp>
        <stp>BONDAV412</stp>
        <stp>3월이하(당일)</stp>
        <stp>45523</stp>
        <stp/>
        <tr r="E18" s="1"/>
        <tr r="E18" s="1"/>
      </tp>
      <tp>
        <v>3.387</v>
        <stp/>
        <stp>P</stp>
        <stp>0</stp>
        <stp>IR</stp>
        <stp>BONDAV413</stp>
        <stp>3월이하(당일)</stp>
        <stp>45523</stp>
        <stp/>
        <tr r="E14" s="1"/>
        <tr r="E14" s="1"/>
      </tp>
      <tp>
        <v>3.4159999999999999</v>
        <stp/>
        <stp>P</stp>
        <stp>0</stp>
        <stp>IR</stp>
        <stp>BONDAV418</stp>
        <stp>3월이하(당일)</stp>
        <stp>45523</stp>
        <stp/>
        <tr r="E24" s="1"/>
        <tr r="E24" s="1"/>
      </tp>
      <tp>
        <v>3.411</v>
        <stp/>
        <stp>P</stp>
        <stp>0</stp>
        <stp>IR</stp>
        <stp>BONDAV419</stp>
        <stp>3월이하(당일)</stp>
        <stp>45523</stp>
        <stp/>
        <tr r="E25" s="1"/>
        <tr r="E25" s="1"/>
      </tp>
      <tp>
        <v>3.8650000000000002</v>
        <stp/>
        <stp>P</stp>
        <stp>0</stp>
        <stp>IR</stp>
        <stp>BONDAV424</stp>
        <stp>3월이하(당일)</stp>
        <stp>45523</stp>
        <stp/>
        <tr r="E30" s="1"/>
        <tr r="E30" s="1"/>
      </tp>
      <tp>
        <v>3.956</v>
        <stp/>
        <stp>P</stp>
        <stp>0</stp>
        <stp>IR</stp>
        <stp>BONDAV425</stp>
        <stp>3월이하(당일)</stp>
        <stp>45523</stp>
        <stp/>
        <tr r="E31" s="1"/>
        <tr r="E31" s="1"/>
      </tp>
      <tp>
        <v>4.0430000000000001</v>
        <stp/>
        <stp>P</stp>
        <stp>0</stp>
        <stp>IR</stp>
        <stp>BONDAV426</stp>
        <stp>3월이하(당일)</stp>
        <stp>45523</stp>
        <stp/>
        <tr r="E32" s="1"/>
        <tr r="E32" s="1"/>
      </tp>
      <tp>
        <v>3.4569999999999999</v>
        <stp/>
        <stp>P</stp>
        <stp>0</stp>
        <stp>IR</stp>
        <stp>BONDAV427</stp>
        <stp>3월이하(당일)</stp>
        <stp>45523</stp>
        <stp/>
        <tr r="E34" s="1"/>
        <tr r="E34" s="1"/>
      </tp>
      <tp>
        <v>3.4340000000000002</v>
        <stp/>
        <stp>P</stp>
        <stp>0</stp>
        <stp>IR</stp>
        <stp>BONDAV420</stp>
        <stp>3월이하(당일)</stp>
        <stp>45523</stp>
        <stp/>
        <tr r="E26" s="1"/>
        <tr r="E26" s="1"/>
      </tp>
      <tp>
        <v>3.4529999999999998</v>
        <stp/>
        <stp>P</stp>
        <stp>0</stp>
        <stp>IR</stp>
        <stp>BONDAV421</stp>
        <stp>3월이하(당일)</stp>
        <stp>45523</stp>
        <stp/>
        <tr r="E27" s="1"/>
        <tr r="E27" s="1"/>
      </tp>
      <tp>
        <v>3.625</v>
        <stp/>
        <stp>P</stp>
        <stp>0</stp>
        <stp>IR</stp>
        <stp>BONDAV422</stp>
        <stp>3월이하(당일)</stp>
        <stp>45523</stp>
        <stp/>
        <tr r="E28" s="1"/>
        <tr r="E28" s="1"/>
      </tp>
      <tp>
        <v>3.7559999999999998</v>
        <stp/>
        <stp>P</stp>
        <stp>0</stp>
        <stp>IR</stp>
        <stp>BONDAV423</stp>
        <stp>3월이하(당일)</stp>
        <stp>45523</stp>
        <stp/>
        <tr r="E29" s="1"/>
        <tr r="E29" s="1"/>
      </tp>
      <tp>
        <v>3.4820000000000002</v>
        <stp/>
        <stp>P</stp>
        <stp>0</stp>
        <stp>IR</stp>
        <stp>BONDAV428</stp>
        <stp>3월이하(당일)</stp>
        <stp>45523</stp>
        <stp/>
        <tr r="E35" s="1"/>
        <tr r="E35" s="1"/>
      </tp>
      <tp>
        <v>4.0030000000000001</v>
        <stp/>
        <stp>P</stp>
        <stp>0</stp>
        <stp>IR</stp>
        <stp>BONDAV429</stp>
        <stp>3월이하(당일)</stp>
        <stp>45523</stp>
        <stp/>
        <tr r="E36" s="1"/>
        <tr r="E36" s="1"/>
      </tp>
      <tp>
        <v>7.9219999999999997</v>
        <stp/>
        <stp>P</stp>
        <stp>0</stp>
        <stp>IR</stp>
        <stp>BONDAV434</stp>
        <stp>3월이하(당일)</stp>
        <stp>45523</stp>
        <stp/>
        <tr r="E41" s="1"/>
        <tr r="E41" s="1"/>
      </tp>
      <tp>
        <v>3.4569999999999999</v>
        <stp/>
        <stp>P</stp>
        <stp>0</stp>
        <stp>IR</stp>
        <stp>BONDAV436</stp>
        <stp>3월이하(당일)</stp>
        <stp>45523</stp>
        <stp/>
        <tr r="E43" s="1"/>
        <tr r="E43" s="1"/>
      </tp>
      <tp>
        <v>3.4820000000000002</v>
        <stp/>
        <stp>P</stp>
        <stp>0</stp>
        <stp>IR</stp>
        <stp>BONDAV437</stp>
        <stp>3월이하(당일)</stp>
        <stp>45523</stp>
        <stp/>
        <tr r="E44" s="1"/>
        <tr r="E44" s="1"/>
      </tp>
      <tp>
        <v>4.5659999999999998</v>
        <stp/>
        <stp>P</stp>
        <stp>0</stp>
        <stp>IR</stp>
        <stp>BONDAV430</stp>
        <stp>3월이하(당일)</stp>
        <stp>45523</stp>
        <stp/>
        <tr r="E37" s="1"/>
        <tr r="E37" s="1"/>
      </tp>
      <tp>
        <v>5.0869999999999997</v>
        <stp/>
        <stp>P</stp>
        <stp>0</stp>
        <stp>IR</stp>
        <stp>BONDAV431</stp>
        <stp>3월이하(당일)</stp>
        <stp>45523</stp>
        <stp/>
        <tr r="E38" s="1"/>
        <tr r="E38" s="1"/>
      </tp>
      <tp>
        <v>5.93</v>
        <stp/>
        <stp>P</stp>
        <stp>0</stp>
        <stp>IR</stp>
        <stp>BONDAV432</stp>
        <stp>3월이하(당일)</stp>
        <stp>45523</stp>
        <stp/>
        <tr r="E39" s="1"/>
        <tr r="E39" s="1"/>
      </tp>
      <tp>
        <v>6.5759999999999996</v>
        <stp/>
        <stp>P</stp>
        <stp>0</stp>
        <stp>IR</stp>
        <stp>BONDAV433</stp>
        <stp>3월이하(당일)</stp>
        <stp>45523</stp>
        <stp/>
        <tr r="E40" s="1"/>
        <tr r="E40" s="1"/>
      </tp>
      <tp>
        <v>4.0030000000000001</v>
        <stp/>
        <stp>P</stp>
        <stp>0</stp>
        <stp>IR</stp>
        <stp>BONDAV438</stp>
        <stp>3월이하(당일)</stp>
        <stp>45523</stp>
        <stp/>
        <tr r="E45" s="1"/>
        <tr r="E45" s="1"/>
      </tp>
      <tp>
        <v>4.5659999999999998</v>
        <stp/>
        <stp>P</stp>
        <stp>0</stp>
        <stp>IR</stp>
        <stp>BONDAV439</stp>
        <stp>3월이하(당일)</stp>
        <stp>45523</stp>
        <stp/>
        <tr r="E46" s="1"/>
        <tr r="E46" s="1"/>
      </tp>
      <tp>
        <v>3.423</v>
        <stp/>
        <stp>P</stp>
        <stp>0</stp>
        <stp>IR</stp>
        <stp>BONDAV484</stp>
        <stp>3월이하(당일)</stp>
        <stp>45523</stp>
        <stp/>
        <tr r="E21" s="1"/>
        <tr r="E21" s="1"/>
      </tp>
      <tp>
        <v>3.4289999999999998</v>
        <stp/>
        <stp>P</stp>
        <stp>0</stp>
        <stp>IR</stp>
        <stp>BONDAV481</stp>
        <stp>3월이하(당일)</stp>
        <stp>45523</stp>
        <stp/>
        <tr r="E33" s="1"/>
        <tr r="E33" s="1"/>
      </tp>
      <tp>
        <v>3.4289999999999998</v>
        <stp/>
        <stp>P</stp>
        <stp>0</stp>
        <stp>IR</stp>
        <stp>BONDAV482</stp>
        <stp>3월이하(당일)</stp>
        <stp>45523</stp>
        <stp/>
        <tr r="E42" s="1"/>
        <tr r="E42" s="1"/>
      </tp>
      <tp>
        <v>3.4</v>
        <stp/>
        <stp>P</stp>
        <stp>0</stp>
        <stp>IR</stp>
        <stp>BONDAV444</stp>
        <stp>6월이하(당일)</stp>
        <stp>45523</stp>
        <stp/>
        <tr r="F51" s="1"/>
        <tr r="F51" s="1"/>
      </tp>
      <tp>
        <v>3.4249999999999998</v>
        <stp/>
        <stp>P</stp>
        <stp>0</stp>
        <stp>IR</stp>
        <stp>BONDAV445</stp>
        <stp>6월이하(당일)</stp>
        <stp>45523</stp>
        <stp/>
        <tr r="F52" s="1"/>
        <tr r="F52" s="1"/>
      </tp>
      <tp>
        <v>3.5379999999999998</v>
        <stp/>
        <stp>P</stp>
        <stp>0</stp>
        <stp>IR</stp>
        <stp>BONDAV446</stp>
        <stp>6월이하(당일)</stp>
        <stp>45523</stp>
        <stp/>
        <tr r="F53" s="1"/>
        <tr r="F53" s="1"/>
      </tp>
      <tp>
        <v>3.718</v>
        <stp/>
        <stp>P</stp>
        <stp>0</stp>
        <stp>IR</stp>
        <stp>BONDAV447</stp>
        <stp>6월이하(당일)</stp>
        <stp>45523</stp>
        <stp/>
        <tr r="F54" s="1"/>
        <tr r="F54" s="1"/>
      </tp>
      <tp>
        <v>5.516</v>
        <stp/>
        <stp>P</stp>
        <stp>0</stp>
        <stp>IR</stp>
        <stp>BONDAV440</stp>
        <stp>6월이하(당일)</stp>
        <stp>45523</stp>
        <stp/>
        <tr r="F47" s="1"/>
        <tr r="F47" s="1"/>
      </tp>
      <tp>
        <v>6.5229999999999997</v>
        <stp/>
        <stp>P</stp>
        <stp>0</stp>
        <stp>IR</stp>
        <stp>BONDAV441</stp>
        <stp>6월이하(당일)</stp>
        <stp>45523</stp>
        <stp/>
        <tr r="F48" s="1"/>
        <tr r="F48" s="1"/>
      </tp>
      <tp>
        <v>7.2370000000000001</v>
        <stp/>
        <stp>P</stp>
        <stp>0</stp>
        <stp>IR</stp>
        <stp>BONDAV442</stp>
        <stp>6월이하(당일)</stp>
        <stp>45523</stp>
        <stp/>
        <tr r="F49" s="1"/>
        <tr r="F49" s="1"/>
      </tp>
      <tp>
        <v>8.5540000000000003</v>
        <stp/>
        <stp>P</stp>
        <stp>0</stp>
        <stp>IR</stp>
        <stp>BONDAV443</stp>
        <stp>6월이하(당일)</stp>
        <stp>45523</stp>
        <stp/>
        <tr r="F50" s="1"/>
        <tr r="F50" s="1"/>
      </tp>
      <tp>
        <v>3.4079999999999999</v>
        <stp/>
        <stp>P</stp>
        <stp>0</stp>
        <stp>IR</stp>
        <stp>BONDAV448</stp>
        <stp>6월이하(당일)</stp>
        <stp>45523</stp>
        <stp/>
        <tr r="F55" s="1"/>
        <tr r="F55" s="1"/>
      </tp>
      <tp>
        <v>3.4249999999999998</v>
        <stp/>
        <stp>P</stp>
        <stp>0</stp>
        <stp>IR</stp>
        <stp>BONDAV449</stp>
        <stp>6월이하(당일)</stp>
        <stp>45523</stp>
        <stp/>
        <tr r="F56" s="1"/>
        <tr r="F56" s="1"/>
      </tp>
      <tp>
        <v>3.9390000000000001</v>
        <stp/>
        <stp>P</stp>
        <stp>0</stp>
        <stp>IR</stp>
        <stp>BONDAV454</stp>
        <stp>6월이하(당일)</stp>
        <stp>45523</stp>
        <stp/>
        <tr r="F61" s="1"/>
        <tr r="F61" s="1"/>
      </tp>
      <tp>
        <v>3.383</v>
        <stp/>
        <stp>P</stp>
        <stp>0</stp>
        <stp>IR</stp>
        <stp>BONDAV455</stp>
        <stp>6월이하(당일)</stp>
        <stp>45523</stp>
        <stp/>
        <tr r="F62" s="1"/>
        <tr r="F62" s="1"/>
      </tp>
      <tp>
        <v>3.4009999999999998</v>
        <stp/>
        <stp>P</stp>
        <stp>0</stp>
        <stp>IR</stp>
        <stp>BONDAV456</stp>
        <stp>6월이하(당일)</stp>
        <stp>45523</stp>
        <stp/>
        <tr r="F63" s="1"/>
        <tr r="F63" s="1"/>
      </tp>
      <tp>
        <v>3.4180000000000001</v>
        <stp/>
        <stp>P</stp>
        <stp>0</stp>
        <stp>IR</stp>
        <stp>BONDAV457</stp>
        <stp>6월이하(당일)</stp>
        <stp>45523</stp>
        <stp/>
        <tr r="F64" s="1"/>
        <tr r="F64" s="1"/>
      </tp>
      <tp>
        <v>3.4430000000000001</v>
        <stp/>
        <stp>P</stp>
        <stp>0</stp>
        <stp>IR</stp>
        <stp>BONDAV450</stp>
        <stp>6월이하(당일)</stp>
        <stp>45523</stp>
        <stp/>
        <tr r="F57" s="1"/>
        <tr r="F57" s="1"/>
      </tp>
      <tp>
        <v>3.4660000000000002</v>
        <stp/>
        <stp>P</stp>
        <stp>0</stp>
        <stp>IR</stp>
        <stp>BONDAV451</stp>
        <stp>6월이하(당일)</stp>
        <stp>45523</stp>
        <stp/>
        <tr r="F58" s="1"/>
        <tr r="F58" s="1"/>
      </tp>
      <tp>
        <v>3.5449999999999999</v>
        <stp/>
        <stp>P</stp>
        <stp>0</stp>
        <stp>IR</stp>
        <stp>BONDAV452</stp>
        <stp>6월이하(당일)</stp>
        <stp>45523</stp>
        <stp/>
        <tr r="F59" s="1"/>
        <tr r="F59" s="1"/>
      </tp>
      <tp>
        <v>3.6840000000000002</v>
        <stp/>
        <stp>P</stp>
        <stp>0</stp>
        <stp>IR</stp>
        <stp>BONDAV453</stp>
        <stp>6월이하(당일)</stp>
        <stp>45523</stp>
        <stp/>
        <tr r="F60" s="1"/>
        <tr r="F60" s="1"/>
      </tp>
      <tp>
        <v>3.444</v>
        <stp/>
        <stp>P</stp>
        <stp>0</stp>
        <stp>IR</stp>
        <stp>BONDAV458</stp>
        <stp>6월이하(당일)</stp>
        <stp>45523</stp>
        <stp/>
        <tr r="F65" s="1"/>
        <tr r="F65" s="1"/>
      </tp>
      <tp>
        <v>3.5609999999999999</v>
        <stp/>
        <stp>P</stp>
        <stp>0</stp>
        <stp>IR</stp>
        <stp>BONDAV459</stp>
        <stp>6월이하(당일)</stp>
        <stp>45523</stp>
        <stp/>
        <tr r="F66" s="1"/>
        <tr r="F66" s="1"/>
      </tp>
      <tp>
        <v>6.1630000000000003</v>
        <stp/>
        <stp>P</stp>
        <stp>0</stp>
        <stp>IR</stp>
        <stp>BONDAV464</stp>
        <stp>6월이하(당일)</stp>
        <stp>45523</stp>
        <stp/>
        <tr r="F71" s="1"/>
        <tr r="F71" s="1"/>
      </tp>
      <tp>
        <v>3.7170000000000001</v>
        <stp/>
        <stp>P</stp>
        <stp>0</stp>
        <stp>IR</stp>
        <stp>BONDAV460</stp>
        <stp>6월이하(당일)</stp>
        <stp>45523</stp>
        <stp/>
        <tr r="F67" s="1"/>
        <tr r="F67" s="1"/>
      </tp>
      <tp>
        <v>3.9569999999999999</v>
        <stp/>
        <stp>P</stp>
        <stp>0</stp>
        <stp>IR</stp>
        <stp>BONDAV461</stp>
        <stp>6월이하(당일)</stp>
        <stp>45523</stp>
        <stp/>
        <tr r="F68" s="1"/>
        <tr r="F68" s="1"/>
      </tp>
      <tp>
        <v>4.8540000000000001</v>
        <stp/>
        <stp>P</stp>
        <stp>0</stp>
        <stp>IR</stp>
        <stp>BONDAV462</stp>
        <stp>6월이하(당일)</stp>
        <stp>45523</stp>
        <stp/>
        <tr r="F69" s="1"/>
        <tr r="F69" s="1"/>
      </tp>
      <tp>
        <v>5.3609999999999998</v>
        <stp/>
        <stp>P</stp>
        <stp>0</stp>
        <stp>IR</stp>
        <stp>BONDAV463</stp>
        <stp>6월이하(당일)</stp>
        <stp>45523</stp>
        <stp/>
        <tr r="F70" s="1"/>
        <tr r="F70" s="1"/>
      </tp>
      <tp>
        <v>3.4950000000000001</v>
        <stp/>
        <stp>P</stp>
        <stp>0</stp>
        <stp>IR</stp>
        <stp>BONDAV469</stp>
        <stp>6월이하(당일)</stp>
        <stp>45523</stp>
        <stp/>
        <tr r="F72" s="1"/>
        <tr r="F72" s="1"/>
      </tp>
      <tp>
        <v>3.9889999999999999</v>
        <stp/>
        <stp>P</stp>
        <stp>0</stp>
        <stp>IR</stp>
        <stp>BONDAV474</stp>
        <stp>6월이하(당일)</stp>
        <stp>45523</stp>
        <stp/>
        <tr r="F77" s="1"/>
        <tr r="F77" s="1"/>
      </tp>
      <tp>
        <v>4.2610000000000001</v>
        <stp/>
        <stp>P</stp>
        <stp>0</stp>
        <stp>IR</stp>
        <stp>BONDAV475</stp>
        <stp>6월이하(당일)</stp>
        <stp>45523</stp>
        <stp/>
        <tr r="F78" s="1"/>
        <tr r="F78" s="1"/>
      </tp>
      <tp>
        <v>5.1950000000000003</v>
        <stp/>
        <stp>P</stp>
        <stp>0</stp>
        <stp>IR</stp>
        <stp>BONDAV476</stp>
        <stp>6월이하(당일)</stp>
        <stp>45523</stp>
        <stp/>
        <tr r="F79" s="1"/>
        <tr r="F79" s="1"/>
      </tp>
      <tp>
        <v>5.7320000000000002</v>
        <stp/>
        <stp>P</stp>
        <stp>0</stp>
        <stp>IR</stp>
        <stp>BONDAV477</stp>
        <stp>6월이하(당일)</stp>
        <stp>45523</stp>
        <stp/>
        <tr r="F80" s="1"/>
        <tr r="F80" s="1"/>
      </tp>
      <tp>
        <v>3.528</v>
        <stp/>
        <stp>P</stp>
        <stp>0</stp>
        <stp>IR</stp>
        <stp>BONDAV470</stp>
        <stp>6월이하(당일)</stp>
        <stp>45523</stp>
        <stp/>
        <tr r="F73" s="1"/>
        <tr r="F73" s="1"/>
      </tp>
      <tp>
        <v>3.577</v>
        <stp/>
        <stp>P</stp>
        <stp>0</stp>
        <stp>IR</stp>
        <stp>BONDAV471</stp>
        <stp>6월이하(당일)</stp>
        <stp>45523</stp>
        <stp/>
        <tr r="F74" s="1"/>
        <tr r="F74" s="1"/>
      </tp>
      <tp>
        <v>3.6179999999999999</v>
        <stp/>
        <stp>P</stp>
        <stp>0</stp>
        <stp>IR</stp>
        <stp>BONDAV472</stp>
        <stp>6월이하(당일)</stp>
        <stp>45523</stp>
        <stp/>
        <tr r="F75" s="1"/>
        <tr r="F75" s="1"/>
      </tp>
      <tp>
        <v>3.8010000000000002</v>
        <stp/>
        <stp>P</stp>
        <stp>0</stp>
        <stp>IR</stp>
        <stp>BONDAV473</stp>
        <stp>6월이하(당일)</stp>
        <stp>45523</stp>
        <stp/>
        <tr r="F76" s="1"/>
        <tr r="F76" s="1"/>
      </tp>
      <tp>
        <v>6.8010000000000002</v>
        <stp/>
        <stp>P</stp>
        <stp>0</stp>
        <stp>IR</stp>
        <stp>BONDAV478</stp>
        <stp>6월이하(당일)</stp>
        <stp>45523</stp>
        <stp/>
        <tr r="F81" s="1"/>
        <tr r="F81" s="1"/>
      </tp>
      <tp>
        <v>3.359</v>
        <stp/>
        <stp>P</stp>
        <stp>0</stp>
        <stp>IR</stp>
        <stp>BONDAV479</stp>
        <stp>6월이하(당일)</stp>
        <stp>45523</stp>
        <stp/>
        <tr r="F82" s="1"/>
        <tr r="F82" s="1"/>
      </tp>
      <tp>
        <v>2.7850000000000001</v>
        <stp/>
        <stp>P</stp>
        <stp>0</stp>
        <stp>IR</stp>
        <stp>BONDAV404</stp>
        <stp>6월이하(당일)</stp>
        <stp>45523</stp>
        <stp/>
        <tr r="F11" s="1"/>
        <tr r="F11" s="1"/>
      </tp>
      <tp>
        <v>3.335</v>
        <stp/>
        <stp>P</stp>
        <stp>0</stp>
        <stp>IR</stp>
        <stp>BONDAV405</stp>
        <stp>6월이하(당일)</stp>
        <stp>45523</stp>
        <stp/>
        <tr r="F12" s="1"/>
        <tr r="F12" s="1"/>
      </tp>
      <tp>
        <v>3.335</v>
        <stp/>
        <stp>P</stp>
        <stp>0</stp>
        <stp>IR</stp>
        <stp>BONDAV406</stp>
        <stp>6월이하(당일)</stp>
        <stp>45523</stp>
        <stp/>
        <tr r="F13" s="1"/>
        <tr r="F13" s="1"/>
      </tp>
      <tp>
        <v>3.202</v>
        <stp/>
        <stp>P</stp>
        <stp>0</stp>
        <stp>IR</stp>
        <stp>BONDAV401</stp>
        <stp>6월이하(당일)</stp>
        <stp>45523</stp>
        <stp/>
        <tr r="F8" s="1"/>
        <tr r="F8" s="1"/>
      </tp>
      <tp>
        <v>3.25</v>
        <stp/>
        <stp>P</stp>
        <stp>0</stp>
        <stp>IR</stp>
        <stp>BONDAV402</stp>
        <stp>6월이하(당일)</stp>
        <stp>45523</stp>
        <stp/>
        <tr r="F9" s="1"/>
        <tr r="F9" s="1"/>
      </tp>
      <tp>
        <v>3.04</v>
        <stp/>
        <stp>P</stp>
        <stp>0</stp>
        <stp>IR</stp>
        <stp>BONDAV403</stp>
        <stp>6월이하(당일)</stp>
        <stp>45523</stp>
        <stp/>
        <tr r="F10" s="1"/>
        <tr r="F10" s="1"/>
      </tp>
      <tp>
        <v>3.3570000000000002</v>
        <stp/>
        <stp>P</stp>
        <stp>0</stp>
        <stp>IR</stp>
        <stp>BONDAV409</stp>
        <stp>6월이하(당일)</stp>
        <stp>45523</stp>
        <stp/>
        <tr r="F15" s="1"/>
        <tr r="F15" s="1"/>
      </tp>
      <tp>
        <v>3.1659999999999999</v>
        <stp/>
        <stp>P</stp>
        <stp>0</stp>
        <stp>IR</stp>
        <stp>BONDAV414</stp>
        <stp>6월이하(당일)</stp>
        <stp>45523</stp>
        <stp/>
        <tr r="F19" s="1"/>
        <tr r="F19" s="1"/>
      </tp>
      <tp>
        <v>3.1829999999999998</v>
        <stp/>
        <stp>P</stp>
        <stp>0</stp>
        <stp>IR</stp>
        <stp>BONDAV415</stp>
        <stp>6월이하(당일)</stp>
        <stp>45523</stp>
        <stp/>
        <tr r="F20" s="1"/>
        <tr r="F20" s="1"/>
      </tp>
      <tp>
        <v>3.3889999999999998</v>
        <stp/>
        <stp>P</stp>
        <stp>0</stp>
        <stp>IR</stp>
        <stp>BONDAV416</stp>
        <stp>6월이하(당일)</stp>
        <stp>45523</stp>
        <stp/>
        <tr r="F22" s="1"/>
        <tr r="F22" s="1"/>
      </tp>
      <tp>
        <v>3.3940000000000001</v>
        <stp/>
        <stp>P</stp>
        <stp>0</stp>
        <stp>IR</stp>
        <stp>BONDAV417</stp>
        <stp>6월이하(당일)</stp>
        <stp>45523</stp>
        <stp/>
        <tr r="F23" s="1"/>
        <tr r="F23" s="1"/>
      </tp>
      <tp>
        <v>3.4049999999999998</v>
        <stp/>
        <stp>P</stp>
        <stp>0</stp>
        <stp>IR</stp>
        <stp>BONDAV410</stp>
        <stp>6월이하(당일)</stp>
        <stp>45523</stp>
        <stp/>
        <tr r="F16" s="1"/>
        <tr r="F16" s="1"/>
      </tp>
      <tp>
        <v>3.4780000000000002</v>
        <stp/>
        <stp>P</stp>
        <stp>0</stp>
        <stp>IR</stp>
        <stp>BONDAV411</stp>
        <stp>6월이하(당일)</stp>
        <stp>45523</stp>
        <stp/>
        <tr r="F17" s="1"/>
        <tr r="F17" s="1"/>
      </tp>
      <tp>
        <v>3.6</v>
        <stp/>
        <stp>P</stp>
        <stp>0</stp>
        <stp>IR</stp>
        <stp>BONDAV412</stp>
        <stp>6월이하(당일)</stp>
        <stp>45523</stp>
        <stp/>
        <tr r="F18" s="1"/>
        <tr r="F18" s="1"/>
      </tp>
      <tp>
        <v>3.3109999999999999</v>
        <stp/>
        <stp>P</stp>
        <stp>0</stp>
        <stp>IR</stp>
        <stp>BONDAV413</stp>
        <stp>6월이하(당일)</stp>
        <stp>45523</stp>
        <stp/>
        <tr r="F14" s="1"/>
        <tr r="F14" s="1"/>
      </tp>
      <tp>
        <v>3.3889999999999998</v>
        <stp/>
        <stp>P</stp>
        <stp>0</stp>
        <stp>IR</stp>
        <stp>BONDAV418</stp>
        <stp>6월이하(당일)</stp>
        <stp>45523</stp>
        <stp/>
        <tr r="F24" s="1"/>
        <tr r="F24" s="1"/>
      </tp>
      <tp>
        <v>3.3940000000000001</v>
        <stp/>
        <stp>P</stp>
        <stp>0</stp>
        <stp>IR</stp>
        <stp>BONDAV419</stp>
        <stp>6월이하(당일)</stp>
        <stp>45523</stp>
        <stp/>
        <tr r="F25" s="1"/>
        <tr r="F25" s="1"/>
      </tp>
      <tp>
        <v>3.9220000000000002</v>
        <stp/>
        <stp>P</stp>
        <stp>0</stp>
        <stp>IR</stp>
        <stp>BONDAV424</stp>
        <stp>6월이하(당일)</stp>
        <stp>45523</stp>
        <stp/>
        <tr r="F30" s="1"/>
        <tr r="F30" s="1"/>
      </tp>
      <tp>
        <v>3.9969999999999999</v>
        <stp/>
        <stp>P</stp>
        <stp>0</stp>
        <stp>IR</stp>
        <stp>BONDAV425</stp>
        <stp>6월이하(당일)</stp>
        <stp>45523</stp>
        <stp/>
        <tr r="F31" s="1"/>
        <tr r="F31" s="1"/>
      </tp>
      <tp>
        <v>4.0860000000000003</v>
        <stp/>
        <stp>P</stp>
        <stp>0</stp>
        <stp>IR</stp>
        <stp>BONDAV426</stp>
        <stp>6월이하(당일)</stp>
        <stp>45523</stp>
        <stp/>
        <tr r="F32" s="1"/>
        <tr r="F32" s="1"/>
      </tp>
      <tp>
        <v>3.4390000000000001</v>
        <stp/>
        <stp>P</stp>
        <stp>0</stp>
        <stp>IR</stp>
        <stp>BONDAV427</stp>
        <stp>6월이하(당일)</stp>
        <stp>45523</stp>
        <stp/>
        <tr r="F34" s="1"/>
        <tr r="F34" s="1"/>
      </tp>
      <tp>
        <v>3.4169999999999998</v>
        <stp/>
        <stp>P</stp>
        <stp>0</stp>
        <stp>IR</stp>
        <stp>BONDAV420</stp>
        <stp>6월이하(당일)</stp>
        <stp>45523</stp>
        <stp/>
        <tr r="F26" s="1"/>
        <tr r="F26" s="1"/>
      </tp>
      <tp>
        <v>3.4390000000000001</v>
        <stp/>
        <stp>P</stp>
        <stp>0</stp>
        <stp>IR</stp>
        <stp>BONDAV421</stp>
        <stp>6월이하(당일)</stp>
        <stp>45523</stp>
        <stp/>
        <tr r="F27" s="1"/>
        <tr r="F27" s="1"/>
      </tp>
      <tp>
        <v>3.6179999999999999</v>
        <stp/>
        <stp>P</stp>
        <stp>0</stp>
        <stp>IR</stp>
        <stp>BONDAV422</stp>
        <stp>6월이하(당일)</stp>
        <stp>45523</stp>
        <stp/>
        <tr r="F28" s="1"/>
        <tr r="F28" s="1"/>
      </tp>
      <tp>
        <v>3.8330000000000002</v>
        <stp/>
        <stp>P</stp>
        <stp>0</stp>
        <stp>IR</stp>
        <stp>BONDAV423</stp>
        <stp>6월이하(당일)</stp>
        <stp>45523</stp>
        <stp/>
        <tr r="F29" s="1"/>
        <tr r="F29" s="1"/>
      </tp>
      <tp>
        <v>3.47</v>
        <stp/>
        <stp>P</stp>
        <stp>0</stp>
        <stp>IR</stp>
        <stp>BONDAV428</stp>
        <stp>6월이하(당일)</stp>
        <stp>45523</stp>
        <stp/>
        <tr r="F35" s="1"/>
        <tr r="F35" s="1"/>
      </tp>
      <tp>
        <v>4.2699999999999996</v>
        <stp/>
        <stp>P</stp>
        <stp>0</stp>
        <stp>IR</stp>
        <stp>BONDAV429</stp>
        <stp>6월이하(당일)</stp>
        <stp>45523</stp>
        <stp/>
        <tr r="F36" s="1"/>
        <tr r="F36" s="1"/>
      </tp>
      <tp>
        <v>8.6319999999999997</v>
        <stp/>
        <stp>P</stp>
        <stp>0</stp>
        <stp>IR</stp>
        <stp>BONDAV434</stp>
        <stp>6월이하(당일)</stp>
        <stp>45523</stp>
        <stp/>
        <tr r="F41" s="1"/>
        <tr r="F41" s="1"/>
      </tp>
      <tp>
        <v>3.4390000000000001</v>
        <stp/>
        <stp>P</stp>
        <stp>0</stp>
        <stp>IR</stp>
        <stp>BONDAV436</stp>
        <stp>6월이하(당일)</stp>
        <stp>45523</stp>
        <stp/>
        <tr r="F43" s="1"/>
        <tr r="F43" s="1"/>
      </tp>
      <tp>
        <v>3.47</v>
        <stp/>
        <stp>P</stp>
        <stp>0</stp>
        <stp>IR</stp>
        <stp>BONDAV437</stp>
        <stp>6월이하(당일)</stp>
        <stp>45523</stp>
        <stp/>
        <tr r="F44" s="1"/>
        <tr r="F44" s="1"/>
      </tp>
      <tp>
        <v>4.8789999999999996</v>
        <stp/>
        <stp>P</stp>
        <stp>0</stp>
        <stp>IR</stp>
        <stp>BONDAV430</stp>
        <stp>6월이하(당일)</stp>
        <stp>45523</stp>
        <stp/>
        <tr r="F37" s="1"/>
        <tr r="F37" s="1"/>
      </tp>
      <tp>
        <v>5.516</v>
        <stp/>
        <stp>P</stp>
        <stp>0</stp>
        <stp>IR</stp>
        <stp>BONDAV431</stp>
        <stp>6월이하(당일)</stp>
        <stp>45523</stp>
        <stp/>
        <tr r="F38" s="1"/>
        <tr r="F38" s="1"/>
      </tp>
      <tp>
        <v>6.5739999999999998</v>
        <stp/>
        <stp>P</stp>
        <stp>0</stp>
        <stp>IR</stp>
        <stp>BONDAV432</stp>
        <stp>6월이하(당일)</stp>
        <stp>45523</stp>
        <stp/>
        <tr r="F39" s="1"/>
        <tr r="F39" s="1"/>
      </tp>
      <tp>
        <v>7.2939999999999996</v>
        <stp/>
        <stp>P</stp>
        <stp>0</stp>
        <stp>IR</stp>
        <stp>BONDAV433</stp>
        <stp>6월이하(당일)</stp>
        <stp>45523</stp>
        <stp/>
        <tr r="F40" s="1"/>
        <tr r="F40" s="1"/>
      </tp>
      <tp>
        <v>4.2699999999999996</v>
        <stp/>
        <stp>P</stp>
        <stp>0</stp>
        <stp>IR</stp>
        <stp>BONDAV438</stp>
        <stp>6월이하(당일)</stp>
        <stp>45523</stp>
        <stp/>
        <tr r="F45" s="1"/>
        <tr r="F45" s="1"/>
      </tp>
      <tp>
        <v>4.8789999999999996</v>
        <stp/>
        <stp>P</stp>
        <stp>0</stp>
        <stp>IR</stp>
        <stp>BONDAV439</stp>
        <stp>6월이하(당일)</stp>
        <stp>45523</stp>
        <stp/>
        <tr r="F46" s="1"/>
        <tr r="F46" s="1"/>
      </tp>
      <tp>
        <v>3.4</v>
        <stp/>
        <stp>P</stp>
        <stp>0</stp>
        <stp>IR</stp>
        <stp>BONDAV484</stp>
        <stp>6월이하(당일)</stp>
        <stp>45523</stp>
        <stp/>
        <tr r="F21" s="1"/>
        <tr r="F21" s="1"/>
      </tp>
      <tp>
        <v>3.415</v>
        <stp/>
        <stp>P</stp>
        <stp>0</stp>
        <stp>IR</stp>
        <stp>BONDAV481</stp>
        <stp>6월이하(당일)</stp>
        <stp>45523</stp>
        <stp/>
        <tr r="F33" s="1"/>
        <tr r="F33" s="1"/>
      </tp>
      <tp>
        <v>3.415</v>
        <stp/>
        <stp>P</stp>
        <stp>0</stp>
        <stp>IR</stp>
        <stp>BONDAV482</stp>
        <stp>6월이하(당일)</stp>
        <stp>45523</stp>
        <stp/>
        <tr r="F42" s="1"/>
        <tr r="F42" s="1"/>
      </tp>
      <tp>
        <v>3.3410000000000002</v>
        <stp/>
        <stp>P</stp>
        <stp>0</stp>
        <stp>IR</stp>
        <stp>BONDAV445</stp>
        <stp>1.5년이하(당일)</stp>
        <stp>45523</stp>
        <stp/>
        <tr r="I52" s="1"/>
        <tr r="I52" s="1"/>
      </tp>
      <tp>
        <v>3.298</v>
        <stp/>
        <stp>P</stp>
        <stp>0</stp>
        <stp>IR</stp>
        <stp>BONDAV455</stp>
        <stp>1.5년이하(당일)</stp>
        <stp>45523</stp>
        <stp/>
        <tr r="I62" s="1"/>
        <tr r="I62" s="1"/>
      </tp>
      <tp>
        <v>4.4820000000000002</v>
        <stp/>
        <stp>P</stp>
        <stp>0</stp>
        <stp>IR</stp>
        <stp>BONDAV475</stp>
        <stp>1.5년이하(당일)</stp>
        <stp>45523</stp>
        <stp/>
        <tr r="I78" s="1"/>
        <tr r="I78" s="1"/>
      </tp>
      <tp>
        <v>3.1629999999999998</v>
        <stp/>
        <stp>P</stp>
        <stp>0</stp>
        <stp>IR</stp>
        <stp>BONDAV405</stp>
        <stp>1.5년이하(당일)</stp>
        <stp>45523</stp>
        <stp/>
        <tr r="I12" s="1"/>
        <tr r="I12" s="1"/>
      </tp>
      <tp>
        <v>3.048</v>
        <stp/>
        <stp>P</stp>
        <stp>0</stp>
        <stp>IR</stp>
        <stp>BONDAV415</stp>
        <stp>1.5년이하(당일)</stp>
        <stp>45523</stp>
        <stp/>
        <tr r="I20" s="1"/>
        <tr r="I20" s="1"/>
      </tp>
      <tp>
        <v>4.01</v>
        <stp/>
        <stp>P</stp>
        <stp>0</stp>
        <stp>IR</stp>
        <stp>BONDAV425</stp>
        <stp>1.5년이하(당일)</stp>
        <stp>45523</stp>
        <stp/>
        <tr r="I31" s="1"/>
        <tr r="I31" s="1"/>
      </tp>
      <tp>
        <v>3.35</v>
        <stp/>
        <stp>P</stp>
        <stp>0</stp>
        <stp>IR</stp>
        <stp>BONDAV445</stp>
        <stp>2.5년이하(당일)</stp>
        <stp>45523</stp>
        <stp/>
        <tr r="K52" s="1"/>
        <tr r="K52" s="1"/>
      </tp>
      <tp>
        <v>3.286</v>
        <stp/>
        <stp>P</stp>
        <stp>0</stp>
        <stp>IR</stp>
        <stp>BONDAV455</stp>
        <stp>2.5년이하(당일)</stp>
        <stp>45523</stp>
        <stp/>
        <tr r="K62" s="1"/>
        <tr r="K62" s="1"/>
      </tp>
      <tp>
        <v>4.7640000000000002</v>
        <stp/>
        <stp>P</stp>
        <stp>0</stp>
        <stp>IR</stp>
        <stp>BONDAV475</stp>
        <stp>2.5년이하(당일)</stp>
        <stp>45523</stp>
        <stp/>
        <tr r="K78" s="1"/>
        <tr r="K78" s="1"/>
      </tp>
      <tp>
        <v>3.1150000000000002</v>
        <stp/>
        <stp>P</stp>
        <stp>0</stp>
        <stp>IR</stp>
        <stp>BONDAV405</stp>
        <stp>2.5년이하(당일)</stp>
        <stp>45523</stp>
        <stp/>
        <tr r="K12" s="1"/>
        <tr r="K12" s="1"/>
      </tp>
      <tp>
        <v>3.0019999999999998</v>
        <stp/>
        <stp>P</stp>
        <stp>0</stp>
        <stp>IR</stp>
        <stp>BONDAV415</stp>
        <stp>2.5년이하(당일)</stp>
        <stp>45523</stp>
        <stp/>
        <tr r="K20" s="1"/>
        <tr r="K20" s="1"/>
      </tp>
      <tp>
        <v>4.0190000000000001</v>
        <stp/>
        <stp>P</stp>
        <stp>0</stp>
        <stp>IR</stp>
        <stp>BONDAV425</stp>
        <stp>2.5년이하(당일)</stp>
        <stp>45523</stp>
        <stp/>
        <tr r="K31" s="1"/>
        <tr r="K31" s="1"/>
      </tp>
      <tp>
        <v>3.274</v>
        <stp/>
        <stp>P</stp>
        <stp>0</stp>
        <stp>IR</stp>
        <stp>BONDAV444</stp>
        <stp>1.5년이하(당일)</stp>
        <stp>45523</stp>
        <stp/>
        <tr r="I51" s="1"/>
        <tr r="I51" s="1"/>
      </tp>
      <tp>
        <v>4.1360000000000001</v>
        <stp/>
        <stp>P</stp>
        <stp>0</stp>
        <stp>IR</stp>
        <stp>BONDAV454</stp>
        <stp>1.5년이하(당일)</stp>
        <stp>45523</stp>
        <stp/>
        <tr r="I61" s="1"/>
        <tr r="I61" s="1"/>
      </tp>
      <tp>
        <v>7.7329999999999997</v>
        <stp/>
        <stp>P</stp>
        <stp>0</stp>
        <stp>IR</stp>
        <stp>BONDAV464</stp>
        <stp>1.5년이하(당일)</stp>
        <stp>45523</stp>
        <stp/>
        <tr r="I71" s="1"/>
        <tr r="I71" s="1"/>
      </tp>
      <tp>
        <v>4.1520000000000001</v>
        <stp/>
        <stp>P</stp>
        <stp>0</stp>
        <stp>IR</stp>
        <stp>BONDAV474</stp>
        <stp>1.5년이하(당일)</stp>
        <stp>45523</stp>
        <stp/>
        <tr r="I77" s="1"/>
        <tr r="I77" s="1"/>
      </tp>
      <tp>
        <v>2.6070000000000002</v>
        <stp/>
        <stp>P</stp>
        <stp>0</stp>
        <stp>IR</stp>
        <stp>BONDAV404</stp>
        <stp>1.5년이하(당일)</stp>
        <stp>45523</stp>
        <stp/>
        <tr r="I11" s="1"/>
        <tr r="I11" s="1"/>
      </tp>
      <tp>
        <v>3.0419999999999998</v>
        <stp/>
        <stp>P</stp>
        <stp>0</stp>
        <stp>IR</stp>
        <stp>BONDAV414</stp>
        <stp>1.5년이하(당일)</stp>
        <stp>45523</stp>
        <stp/>
        <tr r="I19" s="1"/>
        <tr r="I19" s="1"/>
      </tp>
      <tp>
        <v>3.919</v>
        <stp/>
        <stp>P</stp>
        <stp>0</stp>
        <stp>IR</stp>
        <stp>BONDAV424</stp>
        <stp>1.5년이하(당일)</stp>
        <stp>45523</stp>
        <stp/>
        <tr r="I30" s="1"/>
        <tr r="I30" s="1"/>
      </tp>
      <tp>
        <v>9.0920000000000005</v>
        <stp/>
        <stp>P</stp>
        <stp>0</stp>
        <stp>IR</stp>
        <stp>BONDAV434</stp>
        <stp>1.5년이하(당일)</stp>
        <stp>45523</stp>
        <stp/>
        <tr r="I41" s="1"/>
        <tr r="I41" s="1"/>
      </tp>
      <tp>
        <v>3.2440000000000002</v>
        <stp/>
        <stp>P</stp>
        <stp>0</stp>
        <stp>IR</stp>
        <stp>BONDAV484</stp>
        <stp>1.5년이하(당일)</stp>
        <stp>45523</stp>
        <stp/>
        <tr r="I21" s="1"/>
        <tr r="I21" s="1"/>
      </tp>
      <tp>
        <v>3.2250000000000001</v>
        <stp/>
        <stp>P</stp>
        <stp>0</stp>
        <stp>IR</stp>
        <stp>BONDAV444</stp>
        <stp>2.5년이하(당일)</stp>
        <stp>45523</stp>
        <stp/>
        <tr r="K51" s="1"/>
        <tr r="K51" s="1"/>
      </tp>
      <tp>
        <v>4.3280000000000003</v>
        <stp/>
        <stp>P</stp>
        <stp>0</stp>
        <stp>IR</stp>
        <stp>BONDAV454</stp>
        <stp>2.5년이하(당일)</stp>
        <stp>45523</stp>
        <stp/>
        <tr r="K61" s="1"/>
        <tr r="K61" s="1"/>
      </tp>
      <tp>
        <v>8.9819999999999993</v>
        <stp/>
        <stp>P</stp>
        <stp>0</stp>
        <stp>IR</stp>
        <stp>BONDAV464</stp>
        <stp>2.5년이하(당일)</stp>
        <stp>45523</stp>
        <stp/>
        <tr r="K71" s="1"/>
        <tr r="K71" s="1"/>
      </tp>
      <tp>
        <v>4.3440000000000003</v>
        <stp/>
        <stp>P</stp>
        <stp>0</stp>
        <stp>IR</stp>
        <stp>BONDAV474</stp>
        <stp>2.5년이하(당일)</stp>
        <stp>45523</stp>
        <stp/>
        <tr r="K77" s="1"/>
        <tr r="K77" s="1"/>
      </tp>
      <tp>
        <v>2.5169999999999999</v>
        <stp/>
        <stp>P</stp>
        <stp>0</stp>
        <stp>IR</stp>
        <stp>BONDAV404</stp>
        <stp>2.5년이하(당일)</stp>
        <stp>45523</stp>
        <stp/>
        <tr r="K11" s="1"/>
        <tr r="K11" s="1"/>
      </tp>
      <tp>
        <v>2.9929999999999999</v>
        <stp/>
        <stp>P</stp>
        <stp>0</stp>
        <stp>IR</stp>
        <stp>BONDAV414</stp>
        <stp>2.5년이하(당일)</stp>
        <stp>45523</stp>
        <stp/>
        <tr r="K19" s="1"/>
        <tr r="K19" s="1"/>
      </tp>
      <tp>
        <v>3.92</v>
        <stp/>
        <stp>P</stp>
        <stp>0</stp>
        <stp>IR</stp>
        <stp>BONDAV424</stp>
        <stp>2.5년이하(당일)</stp>
        <stp>45523</stp>
        <stp/>
        <tr r="K30" s="1"/>
        <tr r="K30" s="1"/>
      </tp>
      <tp>
        <v>9.6419999999999995</v>
        <stp/>
        <stp>P</stp>
        <stp>0</stp>
        <stp>IR</stp>
        <stp>BONDAV434</stp>
        <stp>2.5년이하(당일)</stp>
        <stp>45523</stp>
        <stp/>
        <tr r="K41" s="1"/>
        <tr r="K41" s="1"/>
      </tp>
      <tp>
        <v>3.1819999999999999</v>
        <stp/>
        <stp>P</stp>
        <stp>0</stp>
        <stp>IR</stp>
        <stp>BONDAV484</stp>
        <stp>2.5년이하(당일)</stp>
        <stp>45523</stp>
        <stp/>
        <tr r="K21" s="1"/>
        <tr r="K21" s="1"/>
      </tp>
      <tp>
        <v>3.948</v>
        <stp/>
        <stp>P</stp>
        <stp>0</stp>
        <stp>IR</stp>
        <stp>BONDAV447</stp>
        <stp>1.5년이하(당일)</stp>
        <stp>45523</stp>
        <stp/>
        <tr r="I54" s="1"/>
        <tr r="I54" s="1"/>
      </tp>
      <tp>
        <v>3.355</v>
        <stp/>
        <stp>P</stp>
        <stp>0</stp>
        <stp>IR</stp>
        <stp>BONDAV457</stp>
        <stp>1.5년이하(당일)</stp>
        <stp>45523</stp>
        <stp/>
        <tr r="I64" s="1"/>
        <tr r="I64" s="1"/>
      </tp>
      <tp>
        <v>7.1230000000000002</v>
        <stp/>
        <stp>P</stp>
        <stp>0</stp>
        <stp>IR</stp>
        <stp>BONDAV477</stp>
        <stp>1.5년이하(당일)</stp>
        <stp>45523</stp>
        <stp/>
        <tr r="I80" s="1"/>
        <tr r="I80" s="1"/>
      </tp>
      <tp>
        <v>3.24</v>
        <stp/>
        <stp>P</stp>
        <stp>0</stp>
        <stp>IR</stp>
        <stp>BONDAV417</stp>
        <stp>1.5년이하(당일)</stp>
        <stp>45523</stp>
        <stp/>
        <tr r="I23" s="1"/>
        <tr r="I23" s="1"/>
      </tp>
      <tp>
        <v>3.484</v>
        <stp/>
        <stp>P</stp>
        <stp>0</stp>
        <stp>IR</stp>
        <stp>BONDAV427</stp>
        <stp>1.5년이하(당일)</stp>
        <stp>45523</stp>
        <stp/>
        <tr r="I34" s="1"/>
        <tr r="I34" s="1"/>
      </tp>
      <tp>
        <v>3.5510000000000002</v>
        <stp/>
        <stp>P</stp>
        <stp>0</stp>
        <stp>IR</stp>
        <stp>BONDAV437</stp>
        <stp>1.5년이하(당일)</stp>
        <stp>45523</stp>
        <stp/>
        <tr r="I44" s="1"/>
        <tr r="I44" s="1"/>
      </tp>
      <tp>
        <v>4.1840000000000002</v>
        <stp/>
        <stp>P</stp>
        <stp>0</stp>
        <stp>IR</stp>
        <stp>BONDAV447</stp>
        <stp>2.5년이하(당일)</stp>
        <stp>45523</stp>
        <stp/>
        <tr r="K54" s="1"/>
        <tr r="K54" s="1"/>
      </tp>
      <tp>
        <v>3.367</v>
        <stp/>
        <stp>P</stp>
        <stp>0</stp>
        <stp>IR</stp>
        <stp>BONDAV457</stp>
        <stp>2.5년이하(당일)</stp>
        <stp>45523</stp>
        <stp/>
        <tr r="K64" s="1"/>
        <tr r="K64" s="1"/>
      </tp>
      <tp>
        <v>8.3010000000000002</v>
        <stp/>
        <stp>P</stp>
        <stp>0</stp>
        <stp>IR</stp>
        <stp>BONDAV477</stp>
        <stp>2.5년이하(당일)</stp>
        <stp>45523</stp>
        <stp/>
        <tr r="K80" s="1"/>
        <tr r="K80" s="1"/>
      </tp>
      <tp>
        <v>3.1520000000000001</v>
        <stp/>
        <stp>P</stp>
        <stp>0</stp>
        <stp>IR</stp>
        <stp>BONDAV417</stp>
        <stp>2.5년이하(당일)</stp>
        <stp>45523</stp>
        <stp/>
        <tr r="K23" s="1"/>
        <tr r="K23" s="1"/>
      </tp>
      <tp>
        <v>3.4279999999999999</v>
        <stp/>
        <stp>P</stp>
        <stp>0</stp>
        <stp>IR</stp>
        <stp>BONDAV427</stp>
        <stp>2.5년이하(당일)</stp>
        <stp>45523</stp>
        <stp/>
        <tr r="K34" s="1"/>
        <tr r="K34" s="1"/>
      </tp>
      <tp>
        <v>3.54</v>
        <stp/>
        <stp>P</stp>
        <stp>0</stp>
        <stp>IR</stp>
        <stp>BONDAV437</stp>
        <stp>2.5년이하(당일)</stp>
        <stp>45523</stp>
        <stp/>
        <tr r="K44" s="1"/>
        <tr r="K44" s="1"/>
      </tp>
      <tp>
        <v>3.5390000000000001</v>
        <stp/>
        <stp>P</stp>
        <stp>0</stp>
        <stp>IR</stp>
        <stp>BONDAV446</stp>
        <stp>1.5년이하(당일)</stp>
        <stp>45523</stp>
        <stp/>
        <tr r="I53" s="1"/>
        <tr r="I53" s="1"/>
      </tp>
      <tp>
        <v>3.327</v>
        <stp/>
        <stp>P</stp>
        <stp>0</stp>
        <stp>IR</stp>
        <stp>BONDAV456</stp>
        <stp>1.5년이하(당일)</stp>
        <stp>45523</stp>
        <stp/>
        <tr r="I63" s="1"/>
        <tr r="I63" s="1"/>
      </tp>
      <tp>
        <v>6.2850000000000001</v>
        <stp/>
        <stp>P</stp>
        <stp>0</stp>
        <stp>IR</stp>
        <stp>BONDAV476</stp>
        <stp>1.5년이하(당일)</stp>
        <stp>45523</stp>
        <stp/>
        <tr r="I79" s="1"/>
        <tr r="I79" s="1"/>
      </tp>
      <tp>
        <v>3.1629999999999998</v>
        <stp/>
        <stp>P</stp>
        <stp>0</stp>
        <stp>IR</stp>
        <stp>BONDAV406</stp>
        <stp>1.5년이하(당일)</stp>
        <stp>45523</stp>
        <stp/>
        <tr r="I13" s="1"/>
        <tr r="I13" s="1"/>
      </tp>
      <tp>
        <v>3.2320000000000002</v>
        <stp/>
        <stp>P</stp>
        <stp>0</stp>
        <stp>IR</stp>
        <stp>BONDAV416</stp>
        <stp>1.5년이하(당일)</stp>
        <stp>45523</stp>
        <stp/>
        <tr r="I22" s="1"/>
        <tr r="I22" s="1"/>
      </tp>
      <tp>
        <v>4.1020000000000003</v>
        <stp/>
        <stp>P</stp>
        <stp>0</stp>
        <stp>IR</stp>
        <stp>BONDAV426</stp>
        <stp>1.5년이하(당일)</stp>
        <stp>45523</stp>
        <stp/>
        <tr r="I32" s="1"/>
        <tr r="I32" s="1"/>
      </tp>
      <tp>
        <v>3.484</v>
        <stp/>
        <stp>P</stp>
        <stp>0</stp>
        <stp>IR</stp>
        <stp>BONDAV436</stp>
        <stp>1.5년이하(당일)</stp>
        <stp>45523</stp>
        <stp/>
        <tr r="I43" s="1"/>
        <tr r="I43" s="1"/>
      </tp>
      <tp>
        <v>3.5649999999999999</v>
        <stp/>
        <stp>P</stp>
        <stp>0</stp>
        <stp>IR</stp>
        <stp>BONDAV446</stp>
        <stp>2.5년이하(당일)</stp>
        <stp>45523</stp>
        <stp/>
        <tr r="K53" s="1"/>
        <tr r="K53" s="1"/>
      </tp>
      <tp>
        <v>3.3340000000000001</v>
        <stp/>
        <stp>P</stp>
        <stp>0</stp>
        <stp>IR</stp>
        <stp>BONDAV456</stp>
        <stp>2.5년이하(당일)</stp>
        <stp>45523</stp>
        <stp/>
        <tr r="K63" s="1"/>
        <tr r="K63" s="1"/>
      </tp>
      <tp>
        <v>7.2279999999999998</v>
        <stp/>
        <stp>P</stp>
        <stp>0</stp>
        <stp>IR</stp>
        <stp>BONDAV476</stp>
        <stp>2.5년이하(당일)</stp>
        <stp>45523</stp>
        <stp/>
        <tr r="K79" s="1"/>
        <tr r="K79" s="1"/>
      </tp>
      <tp>
        <v>3.1150000000000002</v>
        <stp/>
        <stp>P</stp>
        <stp>0</stp>
        <stp>IR</stp>
        <stp>BONDAV406</stp>
        <stp>2.5년이하(당일)</stp>
        <stp>45523</stp>
        <stp/>
        <tr r="K13" s="1"/>
        <tr r="K13" s="1"/>
      </tp>
      <tp>
        <v>3.1259999999999999</v>
        <stp/>
        <stp>P</stp>
        <stp>0</stp>
        <stp>IR</stp>
        <stp>BONDAV416</stp>
        <stp>2.5년이하(당일)</stp>
        <stp>45523</stp>
        <stp/>
        <tr r="K22" s="1"/>
        <tr r="K22" s="1"/>
      </tp>
      <tp>
        <v>4.1150000000000002</v>
        <stp/>
        <stp>P</stp>
        <stp>0</stp>
        <stp>IR</stp>
        <stp>BONDAV426</stp>
        <stp>2.5년이하(당일)</stp>
        <stp>45523</stp>
        <stp/>
        <tr r="K32" s="1"/>
        <tr r="K32" s="1"/>
      </tp>
      <tp>
        <v>3.4279999999999999</v>
        <stp/>
        <stp>P</stp>
        <stp>0</stp>
        <stp>IR</stp>
        <stp>BONDAV436</stp>
        <stp>2.5년이하(당일)</stp>
        <stp>45523</stp>
        <stp/>
        <tr r="K43" s="1"/>
        <tr r="K43" s="1"/>
      </tp>
      <tp>
        <v>6.9329999999999998</v>
        <stp/>
        <stp>P</stp>
        <stp>0</stp>
        <stp>IR</stp>
        <stp>BONDAV441</stp>
        <stp>1.5년이하(당일)</stp>
        <stp>45523</stp>
        <stp/>
        <tr r="I48" s="1"/>
        <tr r="I48" s="1"/>
      </tp>
      <tp>
        <v>3.3969999999999998</v>
        <stp/>
        <stp>P</stp>
        <stp>0</stp>
        <stp>IR</stp>
        <stp>BONDAV451</stp>
        <stp>1.5년이하(당일)</stp>
        <stp>45523</stp>
        <stp/>
        <tr r="I58" s="1"/>
        <tr r="I58" s="1"/>
      </tp>
      <tp>
        <v>4.1189999999999998</v>
        <stp/>
        <stp>P</stp>
        <stp>0</stp>
        <stp>IR</stp>
        <stp>BONDAV461</stp>
        <stp>1.5년이하(당일)</stp>
        <stp>45523</stp>
        <stp/>
        <tr r="I68" s="1"/>
        <tr r="I68" s="1"/>
      </tp>
      <tp>
        <v>3.552</v>
        <stp/>
        <stp>P</stp>
        <stp>0</stp>
        <stp>IR</stp>
        <stp>BONDAV471</stp>
        <stp>1.5년이하(당일)</stp>
        <stp>45523</stp>
        <stp/>
        <tr r="I74" s="1"/>
        <tr r="I74" s="1"/>
      </tp>
      <tp>
        <v>3.056</v>
        <stp/>
        <stp>P</stp>
        <stp>0</stp>
        <stp>IR</stp>
        <stp>BONDAV401</stp>
        <stp>1.5년이하(당일)</stp>
        <stp>45523</stp>
        <stp/>
        <tr r="I8" s="1"/>
        <tr r="I8" s="1"/>
      </tp>
      <tp>
        <v>3.4089999999999998</v>
        <stp/>
        <stp>P</stp>
        <stp>0</stp>
        <stp>IR</stp>
        <stp>BONDAV411</stp>
        <stp>1.5년이하(당일)</stp>
        <stp>45523</stp>
        <stp/>
        <tr r="I17" s="1"/>
        <tr r="I17" s="1"/>
      </tp>
      <tp>
        <v>3.3580000000000001</v>
        <stp/>
        <stp>P</stp>
        <stp>0</stp>
        <stp>IR</stp>
        <stp>BONDAV421</stp>
        <stp>1.5년이하(당일)</stp>
        <stp>45523</stp>
        <stp/>
        <tr r="I27" s="1"/>
        <tr r="I27" s="1"/>
      </tp>
      <tp>
        <v>5.7610000000000001</v>
        <stp/>
        <stp>P</stp>
        <stp>0</stp>
        <stp>IR</stp>
        <stp>BONDAV431</stp>
        <stp>1.5년이하(당일)</stp>
        <stp>45523</stp>
        <stp/>
        <tr r="I38" s="1"/>
        <tr r="I38" s="1"/>
      </tp>
      <tp>
        <v>3.4449999999999998</v>
        <stp/>
        <stp>P</stp>
        <stp>0</stp>
        <stp>IR</stp>
        <stp>BONDAV481</stp>
        <stp>1.5년이하(당일)</stp>
        <stp>45523</stp>
        <stp/>
        <tr r="I33" s="1"/>
        <tr r="I33" s="1"/>
      </tp>
      <tp>
        <v>7.3319999999999999</v>
        <stp/>
        <stp>P</stp>
        <stp>0</stp>
        <stp>IR</stp>
        <stp>BONDAV441</stp>
        <stp>2.5년이하(당일)</stp>
        <stp>45523</stp>
        <stp/>
        <tr r="K48" s="1"/>
        <tr r="K48" s="1"/>
      </tp>
      <tp>
        <v>3.4</v>
        <stp/>
        <stp>P</stp>
        <stp>0</stp>
        <stp>IR</stp>
        <stp>BONDAV451</stp>
        <stp>2.5년이하(당일)</stp>
        <stp>45523</stp>
        <stp/>
        <tr r="K58" s="1"/>
        <tr r="K58" s="1"/>
      </tp>
      <tp>
        <v>4.3479999999999999</v>
        <stp/>
        <stp>P</stp>
        <stp>0</stp>
        <stp>IR</stp>
        <stp>BONDAV461</stp>
        <stp>2.5년이하(당일)</stp>
        <stp>45523</stp>
        <stp/>
        <tr r="K68" s="1"/>
        <tr r="K68" s="1"/>
      </tp>
      <tp>
        <v>3.585</v>
        <stp/>
        <stp>P</stp>
        <stp>0</stp>
        <stp>IR</stp>
        <stp>BONDAV471</stp>
        <stp>2.5년이하(당일)</stp>
        <stp>45523</stp>
        <stp/>
        <tr r="K74" s="1"/>
        <tr r="K74" s="1"/>
      </tp>
      <tp>
        <v>2.9430000000000001</v>
        <stp/>
        <stp>P</stp>
        <stp>0</stp>
        <stp>IR</stp>
        <stp>BONDAV401</stp>
        <stp>2.5년이하(당일)</stp>
        <stp>45523</stp>
        <stp/>
        <tr r="K8" s="1"/>
        <tr r="K8" s="1"/>
      </tp>
      <tp>
        <v>3.3889999999999998</v>
        <stp/>
        <stp>P</stp>
        <stp>0</stp>
        <stp>IR</stp>
        <stp>BONDAV411</stp>
        <stp>2.5년이하(당일)</stp>
        <stp>45523</stp>
        <stp/>
        <tr r="K17" s="1"/>
        <tr r="K17" s="1"/>
      </tp>
      <tp>
        <v>3.31</v>
        <stp/>
        <stp>P</stp>
        <stp>0</stp>
        <stp>IR</stp>
        <stp>BONDAV421</stp>
        <stp>2.5년이하(당일)</stp>
        <stp>45523</stp>
        <stp/>
        <tr r="K27" s="1"/>
        <tr r="K27" s="1"/>
      </tp>
      <tp>
        <v>5.931</v>
        <stp/>
        <stp>P</stp>
        <stp>0</stp>
        <stp>IR</stp>
        <stp>BONDAV431</stp>
        <stp>2.5년이하(당일)</stp>
        <stp>45523</stp>
        <stp/>
        <tr r="K38" s="1"/>
        <tr r="K38" s="1"/>
      </tp>
      <tp>
        <v>3.3740000000000001</v>
        <stp/>
        <stp>P</stp>
        <stp>0</stp>
        <stp>IR</stp>
        <stp>BONDAV481</stp>
        <stp>2.5년이하(당일)</stp>
        <stp>45523</stp>
        <stp/>
        <tr r="K33" s="1"/>
        <tr r="K33" s="1"/>
      </tp>
      <tp>
        <v>5.7610000000000001</v>
        <stp/>
        <stp>P</stp>
        <stp>0</stp>
        <stp>IR</stp>
        <stp>BONDAV440</stp>
        <stp>1.5년이하(당일)</stp>
        <stp>45523</stp>
        <stp/>
        <tr r="I47" s="1"/>
        <tr r="I47" s="1"/>
      </tp>
      <tp>
        <v>3.375</v>
        <stp/>
        <stp>P</stp>
        <stp>0</stp>
        <stp>IR</stp>
        <stp>BONDAV450</stp>
        <stp>1.5년이하(당일)</stp>
        <stp>45523</stp>
        <stp/>
        <tr r="I57" s="1"/>
        <tr r="I57" s="1"/>
      </tp>
      <tp>
        <v>3.83</v>
        <stp/>
        <stp>P</stp>
        <stp>0</stp>
        <stp>IR</stp>
        <stp>BONDAV460</stp>
        <stp>1.5년이하(당일)</stp>
        <stp>45523</stp>
        <stp/>
        <tr r="I67" s="1"/>
        <tr r="I67" s="1"/>
      </tp>
      <tp>
        <v>3.5070000000000001</v>
        <stp/>
        <stp>P</stp>
        <stp>0</stp>
        <stp>IR</stp>
        <stp>BONDAV470</stp>
        <stp>1.5년이하(당일)</stp>
        <stp>45523</stp>
        <stp/>
        <tr r="I73" s="1"/>
        <tr r="I73" s="1"/>
      </tp>
      <tp>
        <v>3.2839999999999998</v>
        <stp/>
        <stp>P</stp>
        <stp>0</stp>
        <stp>IR</stp>
        <stp>BONDAV410</stp>
        <stp>1.5년이하(당일)</stp>
        <stp>45523</stp>
        <stp/>
        <tr r="I16" s="1"/>
        <tr r="I16" s="1"/>
      </tp>
      <tp>
        <v>3.2559999999999998</v>
        <stp/>
        <stp>P</stp>
        <stp>0</stp>
        <stp>IR</stp>
        <stp>BONDAV420</stp>
        <stp>1.5년이하(당일)</stp>
        <stp>45523</stp>
        <stp/>
        <tr r="I26" s="1"/>
        <tr r="I26" s="1"/>
      </tp>
      <tp>
        <v>5.2039999999999997</v>
        <stp/>
        <stp>P</stp>
        <stp>0</stp>
        <stp>IR</stp>
        <stp>BONDAV430</stp>
        <stp>1.5년이하(당일)</stp>
        <stp>45523</stp>
        <stp/>
        <tr r="I37" s="1"/>
        <tr r="I37" s="1"/>
      </tp>
      <tp>
        <v>5.931</v>
        <stp/>
        <stp>P</stp>
        <stp>0</stp>
        <stp>IR</stp>
        <stp>BONDAV440</stp>
        <stp>2.5년이하(당일)</stp>
        <stp>45523</stp>
        <stp/>
        <tr r="K47" s="1"/>
        <tr r="K47" s="1"/>
      </tp>
      <tp>
        <v>3.3620000000000001</v>
        <stp/>
        <stp>P</stp>
        <stp>0</stp>
        <stp>IR</stp>
        <stp>BONDAV450</stp>
        <stp>2.5년이하(당일)</stp>
        <stp>45523</stp>
        <stp/>
        <tr r="K57" s="1"/>
        <tr r="K57" s="1"/>
      </tp>
      <tp>
        <v>3.9620000000000002</v>
        <stp/>
        <stp>P</stp>
        <stp>0</stp>
        <stp>IR</stp>
        <stp>BONDAV460</stp>
        <stp>2.5년이하(당일)</stp>
        <stp>45523</stp>
        <stp/>
        <tr r="K67" s="1"/>
        <tr r="K67" s="1"/>
      </tp>
      <tp>
        <v>3.536</v>
        <stp/>
        <stp>P</stp>
        <stp>0</stp>
        <stp>IR</stp>
        <stp>BONDAV470</stp>
        <stp>2.5년이하(당일)</stp>
        <stp>45523</stp>
        <stp/>
        <tr r="K73" s="1"/>
        <tr r="K73" s="1"/>
      </tp>
      <tp>
        <v>3.2519999999999998</v>
        <stp/>
        <stp>P</stp>
        <stp>0</stp>
        <stp>IR</stp>
        <stp>BONDAV410</stp>
        <stp>2.5년이하(당일)</stp>
        <stp>45523</stp>
        <stp/>
        <tr r="K16" s="1"/>
        <tr r="K16" s="1"/>
      </tp>
      <tp>
        <v>3.2080000000000002</v>
        <stp/>
        <stp>P</stp>
        <stp>0</stp>
        <stp>IR</stp>
        <stp>BONDAV420</stp>
        <stp>2.5년이하(당일)</stp>
        <stp>45523</stp>
        <stp/>
        <tr r="K26" s="1"/>
        <tr r="K26" s="1"/>
      </tp>
      <tp>
        <v>5.2779999999999996</v>
        <stp/>
        <stp>P</stp>
        <stp>0</stp>
        <stp>IR</stp>
        <stp>BONDAV430</stp>
        <stp>2.5년이하(당일)</stp>
        <stp>45523</stp>
        <stp/>
        <tr r="K37" s="1"/>
        <tr r="K37" s="1"/>
      </tp>
      <tp>
        <v>9.0470000000000006</v>
        <stp/>
        <stp>P</stp>
        <stp>0</stp>
        <stp>IR</stp>
        <stp>BONDAV443</stp>
        <stp>1.5년이하(당일)</stp>
        <stp>45523</stp>
        <stp/>
        <tr r="I50" s="1"/>
        <tr r="I50" s="1"/>
      </tp>
      <tp>
        <v>3.8439999999999999</v>
        <stp/>
        <stp>P</stp>
        <stp>0</stp>
        <stp>IR</stp>
        <stp>BONDAV453</stp>
        <stp>1.5년이하(당일)</stp>
        <stp>45523</stp>
        <stp/>
        <tr r="I60" s="1"/>
        <tr r="I60" s="1"/>
      </tp>
      <tp>
        <v>6.6050000000000004</v>
        <stp/>
        <stp>P</stp>
        <stp>0</stp>
        <stp>IR</stp>
        <stp>BONDAV463</stp>
        <stp>1.5년이하(당일)</stp>
        <stp>45523</stp>
        <stp/>
        <tr r="I70" s="1"/>
        <tr r="I70" s="1"/>
      </tp>
      <tp>
        <v>3.956</v>
        <stp/>
        <stp>P</stp>
        <stp>0</stp>
        <stp>IR</stp>
        <stp>BONDAV473</stp>
        <stp>1.5년이하(당일)</stp>
        <stp>45523</stp>
        <stp/>
        <tr r="I76" s="1"/>
        <tr r="I76" s="1"/>
      </tp>
      <tp>
        <v>2.871</v>
        <stp/>
        <stp>P</stp>
        <stp>0</stp>
        <stp>IR</stp>
        <stp>BONDAV403</stp>
        <stp>1.5년이하(당일)</stp>
        <stp>45523</stp>
        <stp/>
        <tr r="I10" s="1"/>
        <tr r="I10" s="1"/>
      </tp>
      <tp>
        <v>3.137</v>
        <stp/>
        <stp>P</stp>
        <stp>0</stp>
        <stp>IR</stp>
        <stp>BONDAV413</stp>
        <stp>1.5년이하(당일)</stp>
        <stp>45523</stp>
        <stp/>
        <tr r="I14" s="1"/>
        <tr r="I14" s="1"/>
      </tp>
      <tp>
        <v>3.81</v>
        <stp/>
        <stp>P</stp>
        <stp>0</stp>
        <stp>IR</stp>
        <stp>BONDAV423</stp>
        <stp>1.5년이하(당일)</stp>
        <stp>45523</stp>
        <stp/>
        <tr r="I29" s="1"/>
        <tr r="I29" s="1"/>
      </tp>
      <tp>
        <v>7.76</v>
        <stp/>
        <stp>P</stp>
        <stp>0</stp>
        <stp>IR</stp>
        <stp>BONDAV433</stp>
        <stp>1.5년이하(당일)</stp>
        <stp>45523</stp>
        <stp/>
        <tr r="I40" s="1"/>
        <tr r="I40" s="1"/>
      </tp>
      <tp>
        <v>9.5779999999999994</v>
        <stp/>
        <stp>P</stp>
        <stp>0</stp>
        <stp>IR</stp>
        <stp>BONDAV443</stp>
        <stp>2.5년이하(당일)</stp>
        <stp>45523</stp>
        <stp/>
        <tr r="K50" s="1"/>
        <tr r="K50" s="1"/>
      </tp>
      <tp>
        <v>3.9420000000000002</v>
        <stp/>
        <stp>P</stp>
        <stp>0</stp>
        <stp>IR</stp>
        <stp>BONDAV453</stp>
        <stp>2.5년이하(당일)</stp>
        <stp>45523</stp>
        <stp/>
        <tr r="K60" s="1"/>
        <tr r="K60" s="1"/>
      </tp>
      <tp>
        <v>7.74</v>
        <stp/>
        <stp>P</stp>
        <stp>0</stp>
        <stp>IR</stp>
        <stp>BONDAV463</stp>
        <stp>2.5년이하(당일)</stp>
        <stp>45523</stp>
        <stp/>
        <tr r="K70" s="1"/>
        <tr r="K70" s="1"/>
      </tp>
      <tp>
        <v>4.1210000000000004</v>
        <stp/>
        <stp>P</stp>
        <stp>0</stp>
        <stp>IR</stp>
        <stp>BONDAV473</stp>
        <stp>2.5년이하(당일)</stp>
        <stp>45523</stp>
        <stp/>
        <tr r="K76" s="1"/>
        <tr r="K76" s="1"/>
      </tp>
      <tp>
        <v>2.8109999999999999</v>
        <stp/>
        <stp>P</stp>
        <stp>0</stp>
        <stp>IR</stp>
        <stp>BONDAV403</stp>
        <stp>2.5년이하(당일)</stp>
        <stp>45523</stp>
        <stp/>
        <tr r="K10" s="1"/>
        <tr r="K10" s="1"/>
      </tp>
      <tp>
        <v>3.085</v>
        <stp/>
        <stp>P</stp>
        <stp>0</stp>
        <stp>IR</stp>
        <stp>BONDAV413</stp>
        <stp>2.5년이하(당일)</stp>
        <stp>45523</stp>
        <stp/>
        <tr r="K14" s="1"/>
        <tr r="K14" s="1"/>
      </tp>
      <tp>
        <v>3.8</v>
        <stp/>
        <stp>P</stp>
        <stp>0</stp>
        <stp>IR</stp>
        <stp>BONDAV423</stp>
        <stp>2.5년이하(당일)</stp>
        <stp>45523</stp>
        <stp/>
        <tr r="K29" s="1"/>
        <tr r="K29" s="1"/>
      </tp>
      <tp>
        <v>8.2629999999999999</v>
        <stp/>
        <stp>P</stp>
        <stp>0</stp>
        <stp>IR</stp>
        <stp>BONDAV433</stp>
        <stp>2.5년이하(당일)</stp>
        <stp>45523</stp>
        <stp/>
        <tr r="K40" s="1"/>
        <tr r="K40" s="1"/>
      </tp>
      <tp>
        <v>7.7350000000000003</v>
        <stp/>
        <stp>P</stp>
        <stp>0</stp>
        <stp>IR</stp>
        <stp>BONDAV442</stp>
        <stp>1.5년이하(당일)</stp>
        <stp>45523</stp>
        <stp/>
        <tr r="I49" s="1"/>
        <tr r="I49" s="1"/>
      </tp>
      <tp>
        <v>3.6629999999999998</v>
        <stp/>
        <stp>P</stp>
        <stp>0</stp>
        <stp>IR</stp>
        <stp>BONDAV452</stp>
        <stp>1.5년이하(당일)</stp>
        <stp>45523</stp>
        <stp/>
        <tr r="I59" s="1"/>
        <tr r="I59" s="1"/>
      </tp>
      <tp>
        <v>5.8029999999999999</v>
        <stp/>
        <stp>P</stp>
        <stp>0</stp>
        <stp>IR</stp>
        <stp>BONDAV462</stp>
        <stp>1.5년이하(당일)</stp>
        <stp>45523</stp>
        <stp/>
        <tr r="I69" s="1"/>
        <tr r="I69" s="1"/>
      </tp>
      <tp>
        <v>3.6019999999999999</v>
        <stp/>
        <stp>P</stp>
        <stp>0</stp>
        <stp>IR</stp>
        <stp>BONDAV472</stp>
        <stp>1.5년이하(당일)</stp>
        <stp>45523</stp>
        <stp/>
        <tr r="I75" s="1"/>
        <tr r="I75" s="1"/>
      </tp>
      <tp>
        <v>3.0739999999999998</v>
        <stp/>
        <stp>P</stp>
        <stp>0</stp>
        <stp>IR</stp>
        <stp>BONDAV402</stp>
        <stp>1.5년이하(당일)</stp>
        <stp>45523</stp>
        <stp/>
        <tr r="I9" s="1"/>
        <tr r="I9" s="1"/>
      </tp>
      <tp>
        <v>3.5489999999999999</v>
        <stp/>
        <stp>P</stp>
        <stp>0</stp>
        <stp>IR</stp>
        <stp>BONDAV412</stp>
        <stp>1.5년이하(당일)</stp>
        <stp>45523</stp>
        <stp/>
        <tr r="I18" s="1"/>
        <tr r="I18" s="1"/>
      </tp>
      <tp>
        <v>3.552</v>
        <stp/>
        <stp>P</stp>
        <stp>0</stp>
        <stp>IR</stp>
        <stp>BONDAV422</stp>
        <stp>1.5년이하(당일)</stp>
        <stp>45523</stp>
        <stp/>
        <tr r="I28" s="1"/>
        <tr r="I28" s="1"/>
      </tp>
      <tp>
        <v>6.9660000000000002</v>
        <stp/>
        <stp>P</stp>
        <stp>0</stp>
        <stp>IR</stp>
        <stp>BONDAV432</stp>
        <stp>1.5년이하(당일)</stp>
        <stp>45523</stp>
        <stp/>
        <tr r="I39" s="1"/>
        <tr r="I39" s="1"/>
      </tp>
      <tp>
        <v>3.4449999999999998</v>
        <stp/>
        <stp>P</stp>
        <stp>0</stp>
        <stp>IR</stp>
        <stp>BONDAV482</stp>
        <stp>1.5년이하(당일)</stp>
        <stp>45523</stp>
        <stp/>
        <tr r="I42" s="1"/>
        <tr r="I42" s="1"/>
      </tp>
      <tp>
        <v>8.2309999999999999</v>
        <stp/>
        <stp>P</stp>
        <stp>0</stp>
        <stp>IR</stp>
        <stp>BONDAV442</stp>
        <stp>2.5년이하(당일)</stp>
        <stp>45523</stp>
        <stp/>
        <tr r="K49" s="1"/>
        <tr r="K49" s="1"/>
      </tp>
      <tp>
        <v>3.7450000000000001</v>
        <stp/>
        <stp>P</stp>
        <stp>0</stp>
        <stp>IR</stp>
        <stp>BONDAV452</stp>
        <stp>2.5년이하(당일)</stp>
        <stp>45523</stp>
        <stp/>
        <tr r="K59" s="1"/>
        <tr r="K59" s="1"/>
      </tp>
      <tp>
        <v>6.7160000000000002</v>
        <stp/>
        <stp>P</stp>
        <stp>0</stp>
        <stp>IR</stp>
        <stp>BONDAV462</stp>
        <stp>2.5년이하(당일)</stp>
        <stp>45523</stp>
        <stp/>
        <tr r="K69" s="1"/>
        <tr r="K69" s="1"/>
      </tp>
      <tp>
        <v>3.6459999999999999</v>
        <stp/>
        <stp>P</stp>
        <stp>0</stp>
        <stp>IR</stp>
        <stp>BONDAV472</stp>
        <stp>2.5년이하(당일)</stp>
        <stp>45523</stp>
        <stp/>
        <tr r="K75" s="1"/>
        <tr r="K75" s="1"/>
      </tp>
      <tp>
        <v>3.0110000000000001</v>
        <stp/>
        <stp>P</stp>
        <stp>0</stp>
        <stp>IR</stp>
        <stp>BONDAV402</stp>
        <stp>2.5년이하(당일)</stp>
        <stp>45523</stp>
        <stp/>
        <tr r="K9" s="1"/>
        <tr r="K9" s="1"/>
      </tp>
      <tp>
        <v>3.5289999999999999</v>
        <stp/>
        <stp>P</stp>
        <stp>0</stp>
        <stp>IR</stp>
        <stp>BONDAV412</stp>
        <stp>2.5년이하(당일)</stp>
        <stp>45523</stp>
        <stp/>
        <tr r="K18" s="1"/>
        <tr r="K18" s="1"/>
      </tp>
      <tp>
        <v>3.5550000000000002</v>
        <stp/>
        <stp>P</stp>
        <stp>0</stp>
        <stp>IR</stp>
        <stp>BONDAV422</stp>
        <stp>2.5년이하(당일)</stp>
        <stp>45523</stp>
        <stp/>
        <tr r="K28" s="1"/>
        <tr r="K28" s="1"/>
      </tp>
      <tp>
        <v>7.359</v>
        <stp/>
        <stp>P</stp>
        <stp>0</stp>
        <stp>IR</stp>
        <stp>BONDAV432</stp>
        <stp>2.5년이하(당일)</stp>
        <stp>45523</stp>
        <stp/>
        <tr r="K39" s="1"/>
        <tr r="K39" s="1"/>
      </tp>
      <tp>
        <v>3.3740000000000001</v>
        <stp/>
        <stp>P</stp>
        <stp>0</stp>
        <stp>IR</stp>
        <stp>BONDAV482</stp>
        <stp>2.5년이하(당일)</stp>
        <stp>45523</stp>
        <stp/>
        <tr r="K42" s="1"/>
        <tr r="K42" s="1"/>
      </tp>
      <tp>
        <v>3.2850000000000001</v>
        <stp/>
        <stp>P</stp>
        <stp>0</stp>
        <stp>IR</stp>
        <stp>BONDKBPE144</stp>
        <stp>3년이하(당일)</stp>
        <stp>45523</stp>
        <stp/>
        <tr r="AJ28" s="2"/>
        <tr r="AJ28" s="2"/>
      </tp>
      <tp>
        <v>6.0410000000000004</v>
        <stp/>
        <stp>P</stp>
        <stp>0</stp>
        <stp>IR</stp>
        <stp>BONDKBPF144</stp>
        <stp>3년이하(당일)</stp>
        <stp>45523</stp>
        <stp/>
        <tr r="AJ55" s="2"/>
        <tr r="AJ55" s="2"/>
      </tp>
      <tp>
        <v>5.9589999999999996</v>
        <stp/>
        <stp>P</stp>
        <stp>0</stp>
        <stp>IR</stp>
        <stp>BONDKBPF341</stp>
        <stp>1년이하(당일)</stp>
        <stp>45523</stp>
        <stp/>
        <tr r="AF80" s="2"/>
        <tr r="AF80" s="2"/>
      </tp>
      <tp>
        <v>3.5419999999999998</v>
        <stp/>
        <stp>P</stp>
        <stp>0</stp>
        <stp>IR</stp>
        <stp>BONDKBPE140</stp>
        <stp>3년이하(당일)</stp>
        <stp>45523</stp>
        <stp/>
        <tr r="AJ29" s="2"/>
        <tr r="AJ29" s="2"/>
      </tp>
      <tp>
        <v>7.5350000000000001</v>
        <stp/>
        <stp>P</stp>
        <stp>0</stp>
        <stp>IR</stp>
        <stp>BONDKBPE340</stp>
        <stp>1년이하(당일)</stp>
        <stp>45523</stp>
        <stp/>
        <tr r="AF50" s="2"/>
        <tr r="AF50" s="2"/>
      </tp>
      <tp>
        <v>7.7519999999999998</v>
        <stp/>
        <stp>P</stp>
        <stp>0</stp>
        <stp>IR</stp>
        <stp>BONDKBPF343</stp>
        <stp>1년이하(당일)</stp>
        <stp>45523</stp>
        <stp/>
        <tr r="AF82" s="2"/>
        <tr r="AF82" s="2"/>
      </tp>
      <tp>
        <v>3.7850000000000001</v>
        <stp/>
        <stp>P</stp>
        <stp>0</stp>
        <stp>IR</stp>
        <stp>BONDKBPE142</stp>
        <stp>3년이하(당일)</stp>
        <stp>45523</stp>
        <stp/>
        <tr r="AJ30" s="2"/>
        <tr r="AJ30" s="2"/>
      </tp>
      <tp>
        <v>6.77</v>
        <stp/>
        <stp>P</stp>
        <stp>0</stp>
        <stp>IR</stp>
        <stp>BONDKBPE342</stp>
        <stp>1년이하(당일)</stp>
        <stp>45523</stp>
        <stp/>
        <tr r="AF49" s="2"/>
        <tr r="AF49" s="2"/>
      </tp>
      <tp>
        <v>6.742</v>
        <stp/>
        <stp>P</stp>
        <stp>0</stp>
        <stp>IR</stp>
        <stp>BONDKBPF342</stp>
        <stp>1년이하(당일)</stp>
        <stp>45523</stp>
        <stp/>
        <tr r="AF81" s="2"/>
        <tr r="AF81" s="2"/>
      </tp>
      <tp>
        <v>3.919</v>
        <stp/>
        <stp>P</stp>
        <stp>0</stp>
        <stp>IR</stp>
        <stp>BONDKBPE150</stp>
        <stp>3년이하(당일)</stp>
        <stp>45523</stp>
        <stp/>
        <tr r="AJ31" s="2"/>
        <tr r="AJ31" s="2"/>
      </tp>
      <tp>
        <v>8.7850000000000001</v>
        <stp/>
        <stp>P</stp>
        <stp>0</stp>
        <stp>IR</stp>
        <stp>BONDKBPE350</stp>
        <stp>1년이하(당일)</stp>
        <stp>45523</stp>
        <stp/>
        <tr r="AF51" s="2"/>
        <tr r="AF51" s="2"/>
      </tp>
      <tp>
        <v>3.55</v>
        <stp/>
        <stp>P</stp>
        <stp>0</stp>
        <stp>IR</stp>
        <stp>BONDKBPF124</stp>
        <stp>3년이하(당일)</stp>
        <stp>45523</stp>
        <stp/>
        <tr r="AJ53" s="2"/>
        <tr r="AJ53" s="2"/>
      </tp>
      <tp>
        <v>3.1269999999999998</v>
        <stp/>
        <stp>P</stp>
        <stp>0</stp>
        <stp>IR</stp>
        <stp>BONDKBPE121</stp>
        <stp>3년이하(당일)</stp>
        <stp>45523</stp>
        <stp/>
        <tr r="AJ26" s="2"/>
        <tr r="AJ26" s="2"/>
      </tp>
      <tp>
        <v>3.4590000000000001</v>
        <stp/>
        <stp>P</stp>
        <stp>0</stp>
        <stp>IR</stp>
        <stp>BONDKBPF321</stp>
        <stp>1년이하(당일)</stp>
        <stp>45523</stp>
        <stp/>
        <tr r="AF74" s="2"/>
        <tr r="AF74" s="2"/>
      </tp>
      <tp>
        <v>3.0870000000000002</v>
        <stp/>
        <stp>P</stp>
        <stp>0</stp>
        <stp>IR</stp>
        <stp>BONDKBPE120</stp>
        <stp>3년이하(당일)</stp>
        <stp>45523</stp>
        <stp/>
        <tr r="AJ25" s="2"/>
        <tr r="AJ25" s="2"/>
      </tp>
      <tp>
        <v>5.0999999999999996</v>
        <stp/>
        <stp>P</stp>
        <stp>0</stp>
        <stp>IR</stp>
        <stp>BONDKBPE320</stp>
        <stp>1년이하(당일)</stp>
        <stp>45523</stp>
        <stp/>
        <tr r="AF47" s="2"/>
        <tr r="AF47" s="2"/>
      </tp>
      <tp>
        <v>3.5449999999999999</v>
        <stp/>
        <stp>P</stp>
        <stp>0</stp>
        <stp>IR</stp>
        <stp>BONDKBPF323</stp>
        <stp>1년이하(당일)</stp>
        <stp>45523</stp>
        <stp/>
        <tr r="AF76" s="2"/>
        <tr r="AF76" s="2"/>
      </tp>
      <tp>
        <v>3.496</v>
        <stp/>
        <stp>P</stp>
        <stp>0</stp>
        <stp>IR</stp>
        <stp>BONDKBPF322</stp>
        <stp>1년이하(당일)</stp>
        <stp>45523</stp>
        <stp/>
        <tr r="AF75" s="2"/>
        <tr r="AF75" s="2"/>
      </tp>
      <tp>
        <v>3.6829999999999998</v>
        <stp/>
        <stp>P</stp>
        <stp>0</stp>
        <stp>IR</stp>
        <stp>BONDKBPF134</stp>
        <stp>3년이하(당일)</stp>
        <stp>45523</stp>
        <stp/>
        <tr r="AJ54" s="2"/>
        <tr r="AJ54" s="2"/>
      </tp>
      <tp>
        <v>3.8740000000000001</v>
        <stp/>
        <stp>P</stp>
        <stp>0</stp>
        <stp>IR</stp>
        <stp>BONDKBPF331</stp>
        <stp>1년이하(당일)</stp>
        <stp>45523</stp>
        <stp/>
        <tr r="AF77" s="2"/>
        <tr r="AF77" s="2"/>
      </tp>
      <tp>
        <v>3.2040000000000002</v>
        <stp/>
        <stp>P</stp>
        <stp>0</stp>
        <stp>IR</stp>
        <stp>BONDKBPE130</stp>
        <stp>3년이하(당일)</stp>
        <stp>45523</stp>
        <stp/>
        <tr r="AJ27" s="2"/>
        <tr r="AJ27" s="2"/>
      </tp>
      <tp>
        <v>5.6669999999999998</v>
        <stp/>
        <stp>P</stp>
        <stp>0</stp>
        <stp>IR</stp>
        <stp>BONDKBPE330</stp>
        <stp>1년이하(당일)</stp>
        <stp>45523</stp>
        <stp/>
        <tr r="AF48" s="2"/>
        <tr r="AF48" s="2"/>
      </tp>
      <tp>
        <v>4.444</v>
        <stp/>
        <stp>P</stp>
        <stp>0</stp>
        <stp>IR</stp>
        <stp>BONDKBPF333</stp>
        <stp>1년이하(당일)</stp>
        <stp>45523</stp>
        <stp/>
        <tr r="AF79" s="2"/>
        <tr r="AF79" s="2"/>
      </tp>
      <tp>
        <v>4.0960000000000001</v>
        <stp/>
        <stp>P</stp>
        <stp>0</stp>
        <stp>IR</stp>
        <stp>BONDKBPF332</stp>
        <stp>1년이하(당일)</stp>
        <stp>45523</stp>
        <stp/>
        <tr r="AF78" s="2"/>
        <tr r="AF78" s="2"/>
      </tp>
      <tp>
        <v>3.1640000000000001</v>
        <stp/>
        <stp>P</stp>
        <stp>0</stp>
        <stp>IR</stp>
        <stp>BONDKBPE13C</stp>
        <stp>3년이하(당일)</stp>
        <stp>45523</stp>
        <stp/>
        <tr r="AJ22" s="2"/>
        <tr r="AJ22" s="2"/>
      </tp>
      <tp>
        <v>3.3959999999999999</v>
        <stp/>
        <stp>P</stp>
        <stp>0</stp>
        <stp>IR</stp>
        <stp>BONDKBPE304</stp>
        <stp>1년이하(당일)</stp>
        <stp>45523</stp>
        <stp/>
        <tr r="AF43" s="2"/>
        <tr r="AF43" s="2"/>
      </tp>
      <tp>
        <v>3.1850000000000001</v>
        <stp/>
        <stp>P</stp>
        <stp>0</stp>
        <stp>IR</stp>
        <stp>BONDKBPZ001</stp>
        <stp>2년이하(당일)</stp>
        <stp>45523</stp>
        <stp/>
        <tr r="AH83" s="2"/>
        <tr r="AH83" s="2"/>
      </tp>
      <tp>
        <v>2.9870000000000001</v>
        <stp/>
        <stp>P</stp>
        <stp>0</stp>
        <stp>IR</stp>
        <stp>BONDKBPD001</stp>
        <stp>2년이하(당일)</stp>
        <stp>45523</stp>
        <stp/>
        <tr r="AH21" s="2"/>
        <tr r="AH21" s="2"/>
      </tp>
      <tp>
        <v>2.9220000000000002</v>
        <stp/>
        <stp>P</stp>
        <stp>0</stp>
        <stp>IR</stp>
        <stp>BONDKBPA100</stp>
        <stp>3년이하(당일)</stp>
        <stp>45523</stp>
        <stp/>
        <tr r="AJ9" s="2"/>
        <tr r="AJ9" s="2"/>
      </tp>
      <tp>
        <v>3.097</v>
        <stp/>
        <stp>P</stp>
        <stp>0</stp>
        <stp>IR</stp>
        <stp>BONDKBPA300</stp>
        <stp>1년이하(당일)</stp>
        <stp>45523</stp>
        <stp/>
        <tr r="AF10" s="2"/>
        <tr r="AF10" s="2"/>
      </tp>
      <tp>
        <v>3.125</v>
        <stp/>
        <stp>P</stp>
        <stp>0</stp>
        <stp>IR</stp>
        <stp>BONDKBPB100</stp>
        <stp>3년이하(당일)</stp>
        <stp>45523</stp>
        <stp/>
        <tr r="AJ13" s="2"/>
        <tr r="AJ13" s="2"/>
      </tp>
      <tp>
        <v>3.266</v>
        <stp/>
        <stp>P</stp>
        <stp>0</stp>
        <stp>IR</stp>
        <stp>BONDKBPC300</stp>
        <stp>1년이하(당일)</stp>
        <stp>45523</stp>
        <stp/>
        <tr r="AF16" s="2"/>
        <tr r="AF16" s="2"/>
      </tp>
      <tp>
        <v>3.097</v>
        <stp/>
        <stp>P</stp>
        <stp>0</stp>
        <stp>IR</stp>
        <stp>BONDKBPC500</stp>
        <stp>7년이하(당일)</stp>
        <stp>45523</stp>
        <stp/>
        <tr r="AM15" s="2"/>
        <tr r="AM15" s="2"/>
      </tp>
      <tp>
        <v>2.9870000000000001</v>
        <stp/>
        <stp>P</stp>
        <stp>0</stp>
        <stp>IR</stp>
        <stp>BONDKBPD000</stp>
        <stp>2년이하(당일)</stp>
        <stp>45523</stp>
        <stp/>
        <tr r="AH20" s="2"/>
        <tr r="AH20" s="2"/>
      </tp>
      <tp>
        <v>3.49</v>
        <stp/>
        <stp>P</stp>
        <stp>0</stp>
        <stp>IR</stp>
        <stp>BONDKBPE300</stp>
        <stp>1년이하(당일)</stp>
        <stp>45523</stp>
        <stp/>
        <tr r="AF45" s="2"/>
        <tr r="AF45" s="2"/>
      </tp>
      <tp>
        <v>3.423</v>
        <stp/>
        <stp>P</stp>
        <stp>0</stp>
        <stp>IR</stp>
        <stp>BONDKBPE302</stp>
        <stp>1년이하(당일)</stp>
        <stp>45523</stp>
        <stp/>
        <tr r="AF44" s="2"/>
        <tr r="AF44" s="2"/>
      </tp>
      <tp>
        <v>3.31</v>
        <stp/>
        <stp>P</stp>
        <stp>0</stp>
        <stp>IR</stp>
        <stp>BONDKBPF114</stp>
        <stp>3년이하(당일)</stp>
        <stp>45523</stp>
        <stp/>
        <tr r="AJ52" s="2"/>
        <tr r="AJ52" s="2"/>
      </tp>
      <tp>
        <v>3.1269999999999998</v>
        <stp/>
        <stp>P</stp>
        <stp>0</stp>
        <stp>IR</stp>
        <stp>BONDKBPE111</stp>
        <stp>3년이하(당일)</stp>
        <stp>45523</stp>
        <stp/>
        <tr r="AJ24" s="2"/>
        <tr r="AJ24" s="2"/>
      </tp>
      <tp>
        <v>3.0870000000000002</v>
        <stp/>
        <stp>P</stp>
        <stp>0</stp>
        <stp>IR</stp>
        <stp>BONDKBPE110</stp>
        <stp>3년이하(당일)</stp>
        <stp>45523</stp>
        <stp/>
        <tr r="AJ23" s="2"/>
        <tr r="AJ23" s="2"/>
      </tp>
      <tp>
        <v>4.3780000000000001</v>
        <stp/>
        <stp>P</stp>
        <stp>0</stp>
        <stp>IR</stp>
        <stp>BONDKBPE310</stp>
        <stp>1년이하(당일)</stp>
        <stp>45523</stp>
        <stp/>
        <tr r="AF46" s="2"/>
        <tr r="AF46" s="2"/>
      </tp>
      <tp>
        <v>3.3889999999999998</v>
        <stp/>
        <stp>P</stp>
        <stp>0</stp>
        <stp>IR</stp>
        <stp>BONDKBPF312</stp>
        <stp>1년이하(당일)</stp>
        <stp>45523</stp>
        <stp/>
        <tr r="AF73" s="2"/>
        <tr r="AF73" s="2"/>
      </tp>
      <tp>
        <v>3.3140000000000001</v>
        <stp/>
        <stp>P</stp>
        <stp>0</stp>
        <stp>IR</stp>
        <stp>BONDKBPE144</stp>
        <stp>2년이하(당일)</stp>
        <stp>45523</stp>
        <stp/>
        <tr r="AH28" s="2"/>
        <tr r="AH28" s="2"/>
      </tp>
      <tp>
        <v>5.4960000000000004</v>
        <stp/>
        <stp>P</stp>
        <stp>0</stp>
        <stp>IR</stp>
        <stp>BONDKBPF144</stp>
        <stp>2년이하(당일)</stp>
        <stp>45523</stp>
        <stp/>
        <tr r="AH55" s="2"/>
        <tr r="AH55" s="2"/>
      </tp>
      <tp>
        <v>5.3849999999999998</v>
        <stp/>
        <stp>P</stp>
        <stp>0</stp>
        <stp>IR</stp>
        <stp>BONDKBPF241</stp>
        <stp>1년이하(당일)</stp>
        <stp>45523</stp>
        <stp/>
        <tr r="AF70" s="2"/>
        <tr r="AF70" s="2"/>
      </tp>
      <tp>
        <v>3.5369999999999999</v>
        <stp/>
        <stp>P</stp>
        <stp>0</stp>
        <stp>IR</stp>
        <stp>BONDKBPE140</stp>
        <stp>2년이하(당일)</stp>
        <stp>45523</stp>
        <stp/>
        <tr r="AH29" s="2"/>
        <tr r="AH29" s="2"/>
      </tp>
      <tp>
        <v>7.0629999999999997</v>
        <stp/>
        <stp>P</stp>
        <stp>0</stp>
        <stp>IR</stp>
        <stp>BONDKBPF243</stp>
        <stp>1년이하(당일)</stp>
        <stp>45523</stp>
        <stp/>
        <tr r="AF72" s="2"/>
        <tr r="AF72" s="2"/>
      </tp>
      <tp>
        <v>3.7919999999999998</v>
        <stp/>
        <stp>P</stp>
        <stp>0</stp>
        <stp>IR</stp>
        <stp>BONDKBPE142</stp>
        <stp>2년이하(당일)</stp>
        <stp>45523</stp>
        <stp/>
        <tr r="AH30" s="2"/>
        <tr r="AH30" s="2"/>
      </tp>
      <tp>
        <v>6.0629999999999997</v>
        <stp/>
        <stp>P</stp>
        <stp>0</stp>
        <stp>IR</stp>
        <stp>BONDKBPF242</stp>
        <stp>1년이하(당일)</stp>
        <stp>45523</stp>
        <stp/>
        <tr r="AF71" s="2"/>
        <tr r="AF71" s="2"/>
      </tp>
      <tp>
        <v>3.9020000000000001</v>
        <stp/>
        <stp>P</stp>
        <stp>0</stp>
        <stp>IR</stp>
        <stp>BONDKBPE150</stp>
        <stp>2년이하(당일)</stp>
        <stp>45523</stp>
        <stp/>
        <tr r="AH31" s="2"/>
        <tr r="AH31" s="2"/>
      </tp>
      <tp>
        <v>3.4769999999999999</v>
        <stp/>
        <stp>P</stp>
        <stp>0</stp>
        <stp>IR</stp>
        <stp>BONDKBPF124</stp>
        <stp>2년이하(당일)</stp>
        <stp>45523</stp>
        <stp/>
        <tr r="AH53" s="2"/>
        <tr r="AH53" s="2"/>
      </tp>
      <tp>
        <v>3.1920000000000002</v>
        <stp/>
        <stp>P</stp>
        <stp>0</stp>
        <stp>IR</stp>
        <stp>BONDKBPE121</stp>
        <stp>2년이하(당일)</stp>
        <stp>45523</stp>
        <stp/>
        <tr r="AH26" s="2"/>
        <tr r="AH26" s="2"/>
      </tp>
      <tp>
        <v>3.3130000000000002</v>
        <stp/>
        <stp>P</stp>
        <stp>0</stp>
        <stp>IR</stp>
        <stp>BONDKBPF221</stp>
        <stp>1년이하(당일)</stp>
        <stp>45523</stp>
        <stp/>
        <tr r="AF64" s="2"/>
        <tr r="AF64" s="2"/>
      </tp>
      <tp>
        <v>3.1720000000000002</v>
        <stp/>
        <stp>P</stp>
        <stp>0</stp>
        <stp>IR</stp>
        <stp>BONDKBPE120</stp>
        <stp>2년이하(당일)</stp>
        <stp>45523</stp>
        <stp/>
        <tr r="AH25" s="2"/>
        <tr r="AH25" s="2"/>
      </tp>
      <tp>
        <v>5.0999999999999996</v>
        <stp/>
        <stp>P</stp>
        <stp>0</stp>
        <stp>IR</stp>
        <stp>BONDKBPE220</stp>
        <stp>1년이하(당일)</stp>
        <stp>45523</stp>
        <stp/>
        <tr r="AF38" s="2"/>
        <tr r="AF38" s="2"/>
      </tp>
      <tp>
        <v>3.3679999999999999</v>
        <stp/>
        <stp>P</stp>
        <stp>0</stp>
        <stp>IR</stp>
        <stp>BONDKBPF223</stp>
        <stp>1년이하(당일)</stp>
        <stp>45523</stp>
        <stp/>
        <tr r="AF66" s="2"/>
        <tr r="AF66" s="2"/>
      </tp>
      <tp>
        <v>3.34</v>
        <stp/>
        <stp>P</stp>
        <stp>0</stp>
        <stp>IR</stp>
        <stp>BONDKBPF222</stp>
        <stp>1년이하(당일)</stp>
        <stp>45523</stp>
        <stp/>
        <tr r="AF65" s="2"/>
        <tr r="AF65" s="2"/>
      </tp>
      <tp>
        <v>3.6019999999999999</v>
        <stp/>
        <stp>P</stp>
        <stp>0</stp>
        <stp>IR</stp>
        <stp>BONDKBPF134</stp>
        <stp>2년이하(당일)</stp>
        <stp>45523</stp>
        <stp/>
        <tr r="AH54" s="2"/>
        <tr r="AH54" s="2"/>
      </tp>
      <tp>
        <v>3.5920000000000001</v>
        <stp/>
        <stp>P</stp>
        <stp>0</stp>
        <stp>IR</stp>
        <stp>BONDKBPF231</stp>
        <stp>1년이하(당일)</stp>
        <stp>45523</stp>
        <stp/>
        <tr r="AF67" s="2"/>
        <tr r="AF67" s="2"/>
      </tp>
      <tp>
        <v>3.2189999999999999</v>
        <stp/>
        <stp>P</stp>
        <stp>0</stp>
        <stp>IR</stp>
        <stp>BONDKBPE130</stp>
        <stp>2년이하(당일)</stp>
        <stp>45523</stp>
        <stp/>
        <tr r="AH27" s="2"/>
        <tr r="AH27" s="2"/>
      </tp>
      <tp>
        <v>5.6669999999999998</v>
        <stp/>
        <stp>P</stp>
        <stp>0</stp>
        <stp>IR</stp>
        <stp>BONDKBPE230</stp>
        <stp>1년이하(당일)</stp>
        <stp>45523</stp>
        <stp/>
        <tr r="AF39" s="2"/>
        <tr r="AF39" s="2"/>
      </tp>
      <tp>
        <v>4.0350000000000001</v>
        <stp/>
        <stp>P</stp>
        <stp>0</stp>
        <stp>IR</stp>
        <stp>BONDKBPF233</stp>
        <stp>1년이하(당일)</stp>
        <stp>45523</stp>
        <stp/>
        <tr r="AF69" s="2"/>
        <tr r="AF69" s="2"/>
      </tp>
      <tp>
        <v>3.7770000000000001</v>
        <stp/>
        <stp>P</stp>
        <stp>0</stp>
        <stp>IR</stp>
        <stp>BONDKBPF232</stp>
        <stp>1년이하(당일)</stp>
        <stp>45523</stp>
        <stp/>
        <tr r="AF68" s="2"/>
        <tr r="AF68" s="2"/>
      </tp>
      <tp>
        <v>3.2040000000000002</v>
        <stp/>
        <stp>P</stp>
        <stp>0</stp>
        <stp>IR</stp>
        <stp>BONDKBPE13C</stp>
        <stp>2년이하(당일)</stp>
        <stp>45523</stp>
        <stp/>
        <tr r="AH22" s="2"/>
        <tr r="AH22" s="2"/>
      </tp>
      <tp>
        <v>3.3959999999999999</v>
        <stp/>
        <stp>P</stp>
        <stp>0</stp>
        <stp>IR</stp>
        <stp>BONDKBPE204</stp>
        <stp>1년이하(당일)</stp>
        <stp>45523</stp>
        <stp/>
        <tr r="AF34" s="2"/>
        <tr r="AF34" s="2"/>
      </tp>
      <tp>
        <v>3.1459999999999999</v>
        <stp/>
        <stp>P</stp>
        <stp>0</stp>
        <stp>IR</stp>
        <stp>BONDKBPZ001</stp>
        <stp>3년이하(당일)</stp>
        <stp>45523</stp>
        <stp/>
        <tr r="AJ83" s="2"/>
        <tr r="AJ83" s="2"/>
      </tp>
      <tp>
        <v>3.3069999999999999</v>
        <stp/>
        <stp>P</stp>
        <stp>0</stp>
        <stp>IR</stp>
        <stp>BONDKBPC401</stp>
        <stp>7년이하(당일)</stp>
        <stp>45523</stp>
        <stp/>
        <tr r="AM17" s="2"/>
        <tr r="AM17" s="2"/>
      </tp>
      <tp>
        <v>2.9950000000000001</v>
        <stp/>
        <stp>P</stp>
        <stp>0</stp>
        <stp>IR</stp>
        <stp>BONDKBPD001</stp>
        <stp>3년이하(당일)</stp>
        <stp>45523</stp>
        <stp/>
        <tr r="AJ21" s="2"/>
        <tr r="AJ21" s="2"/>
      </tp>
      <tp>
        <v>3.03</v>
        <stp/>
        <stp>P</stp>
        <stp>0</stp>
        <stp>IR</stp>
        <stp>BONDKBPA100</stp>
        <stp>2년이하(당일)</stp>
        <stp>45523</stp>
        <stp/>
        <tr r="AH9" s="2"/>
        <tr r="AH9" s="2"/>
      </tp>
      <tp>
        <v>2.9</v>
        <stp/>
        <stp>P</stp>
        <stp>0</stp>
        <stp>IR</stp>
        <stp>BONDKBPA200</stp>
        <stp>1년이하(당일)</stp>
        <stp>45523</stp>
        <stp/>
        <tr r="AF11" s="2"/>
        <tr r="AF11" s="2"/>
      </tp>
      <tp t="s">
        <v xml:space="preserve"> </v>
        <stp/>
        <stp>P</stp>
        <stp>0</stp>
        <stp>IR</stp>
        <stp>BONDKBPA400</stp>
        <stp>7년이하(당일)</stp>
        <stp>45523</stp>
        <stp/>
        <tr r="AM12" s="2"/>
        <tr r="AM12" s="2"/>
      </tp>
      <tp>
        <v>3.137</v>
        <stp/>
        <stp>P</stp>
        <stp>0</stp>
        <stp>IR</stp>
        <stp>BONDKBPB100</stp>
        <stp>2년이하(당일)</stp>
        <stp>45523</stp>
        <stp/>
        <tr r="AH13" s="2"/>
        <tr r="AH13" s="2"/>
      </tp>
      <tp>
        <v>3.1749999999999998</v>
        <stp/>
        <stp>P</stp>
        <stp>0</stp>
        <stp>IR</stp>
        <stp>BONDKBPB200</stp>
        <stp>1년이하(당일)</stp>
        <stp>45523</stp>
        <stp/>
        <tr r="AF14" s="2"/>
        <tr r="AF14" s="2"/>
      </tp>
      <tp>
        <v>3.4340000000000002</v>
        <stp/>
        <stp>P</stp>
        <stp>0</stp>
        <stp>IR</stp>
        <stp>BONDKBPC400</stp>
        <stp>7년이하(당일)</stp>
        <stp>45523</stp>
        <stp/>
        <tr r="AM18" s="2"/>
        <tr r="AM18" s="2"/>
      </tp>
      <tp>
        <v>2.9950000000000001</v>
        <stp/>
        <stp>P</stp>
        <stp>0</stp>
        <stp>IR</stp>
        <stp>BONDKBPD000</stp>
        <stp>3년이하(당일)</stp>
        <stp>45523</stp>
        <stp/>
        <tr r="AJ20" s="2"/>
        <tr r="AJ20" s="2"/>
      </tp>
      <tp>
        <v>3.49</v>
        <stp/>
        <stp>P</stp>
        <stp>0</stp>
        <stp>IR</stp>
        <stp>BONDKBPE200</stp>
        <stp>1년이하(당일)</stp>
        <stp>45523</stp>
        <stp/>
        <tr r="AF36" s="2"/>
        <tr r="AF36" s="2"/>
      </tp>
      <tp>
        <v>3.5649999999999999</v>
        <stp/>
        <stp>P</stp>
        <stp>0</stp>
        <stp>IR</stp>
        <stp>BONDKBPC402</stp>
        <stp>7년이하(당일)</stp>
        <stp>45523</stp>
        <stp/>
        <tr r="AM19" s="2"/>
        <tr r="AM19" s="2"/>
      </tp>
      <tp>
        <v>3.423</v>
        <stp/>
        <stp>P</stp>
        <stp>0</stp>
        <stp>IR</stp>
        <stp>BONDKBPE202</stp>
        <stp>1년이하(당일)</stp>
        <stp>45523</stp>
        <stp/>
        <tr r="AF35" s="2"/>
        <tr r="AF35" s="2"/>
      </tp>
      <tp>
        <v>3.3079999999999998</v>
        <stp/>
        <stp>P</stp>
        <stp>0</stp>
        <stp>IR</stp>
        <stp>BONDKBPF114</stp>
        <stp>2년이하(당일)</stp>
        <stp>45523</stp>
        <stp/>
        <tr r="AH52" s="2"/>
        <tr r="AH52" s="2"/>
      </tp>
      <tp>
        <v>3.1920000000000002</v>
        <stp/>
        <stp>P</stp>
        <stp>0</stp>
        <stp>IR</stp>
        <stp>BONDKBPE111</stp>
        <stp>2년이하(당일)</stp>
        <stp>45523</stp>
        <stp/>
        <tr r="AH24" s="2"/>
        <tr r="AH24" s="2"/>
      </tp>
      <tp>
        <v>3.1720000000000002</v>
        <stp/>
        <stp>P</stp>
        <stp>0</stp>
        <stp>IR</stp>
        <stp>BONDKBPE110</stp>
        <stp>2년이하(당일)</stp>
        <stp>45523</stp>
        <stp/>
        <tr r="AH23" s="2"/>
        <tr r="AH23" s="2"/>
      </tp>
      <tp>
        <v>4.3780000000000001</v>
        <stp/>
        <stp>P</stp>
        <stp>0</stp>
        <stp>IR</stp>
        <stp>BONDKBPE210</stp>
        <stp>1년이하(당일)</stp>
        <stp>45523</stp>
        <stp/>
        <tr r="AF37" s="2"/>
        <tr r="AF37" s="2"/>
      </tp>
      <tp>
        <v>3.2879999999999998</v>
        <stp/>
        <stp>P</stp>
        <stp>0</stp>
        <stp>IR</stp>
        <stp>BONDKBPF212</stp>
        <stp>1년이하(당일)</stp>
        <stp>45523</stp>
        <stp/>
        <tr r="AF63" s="2"/>
        <tr r="AF63" s="2"/>
      </tp>
      <tp>
        <v>3.363</v>
        <stp/>
        <stp>P</stp>
        <stp>0</stp>
        <stp>IR</stp>
        <stp>BONDKBPE144</stp>
        <stp>1년이하(당일)</stp>
        <stp>45523</stp>
        <stp/>
        <tr r="AF28" s="2"/>
        <tr r="AF28" s="2"/>
      </tp>
      <tp>
        <v>4.6449999999999996</v>
        <stp/>
        <stp>P</stp>
        <stp>0</stp>
        <stp>IR</stp>
        <stp>BONDKBPF144</stp>
        <stp>1년이하(당일)</stp>
        <stp>45523</stp>
        <stp/>
        <tr r="AF55" s="2"/>
        <tr r="AF55" s="2"/>
      </tp>
      <tp>
        <v>6.3559999999999999</v>
        <stp/>
        <stp>P</stp>
        <stp>0</stp>
        <stp>IR</stp>
        <stp>BONDKBPF241</stp>
        <stp>2년이하(당일)</stp>
        <stp>45523</stp>
        <stp/>
        <tr r="AH70" s="2"/>
        <tr r="AH70" s="2"/>
      </tp>
      <tp>
        <v>7.577</v>
        <stp/>
        <stp>P</stp>
        <stp>0</stp>
        <stp>IR</stp>
        <stp>BONDKBPF341</stp>
        <stp>3년이하(당일)</stp>
        <stp>45523</stp>
        <stp/>
        <tr r="AJ80" s="2"/>
        <tr r="AJ80" s="2"/>
      </tp>
      <tp>
        <v>3.544</v>
        <stp/>
        <stp>P</stp>
        <stp>0</stp>
        <stp>IR</stp>
        <stp>BONDKBPE140</stp>
        <stp>1년이하(당일)</stp>
        <stp>45523</stp>
        <stp/>
        <tr r="AF29" s="2"/>
        <tr r="AF29" s="2"/>
      </tp>
      <tp>
        <v>8.25</v>
        <stp/>
        <stp>P</stp>
        <stp>0</stp>
        <stp>IR</stp>
        <stp>BONDKBPE340</stp>
        <stp>3년이하(당일)</stp>
        <stp>45523</stp>
        <stp/>
        <tr r="AJ50" s="2"/>
        <tr r="AJ50" s="2"/>
      </tp>
      <tp>
        <v>8.4710000000000001</v>
        <stp/>
        <stp>P</stp>
        <stp>0</stp>
        <stp>IR</stp>
        <stp>BONDKBPF243</stp>
        <stp>2년이하(당일)</stp>
        <stp>45523</stp>
        <stp/>
        <tr r="AH72" s="2"/>
        <tr r="AH72" s="2"/>
      </tp>
      <tp>
        <v>10.208</v>
        <stp/>
        <stp>P</stp>
        <stp>0</stp>
        <stp>IR</stp>
        <stp>BONDKBPF343</stp>
        <stp>3년이하(당일)</stp>
        <stp>45523</stp>
        <stp/>
        <tr r="AJ82" s="2"/>
        <tr r="AJ82" s="2"/>
      </tp>
      <tp>
        <v>3.8140000000000001</v>
        <stp/>
        <stp>P</stp>
        <stp>0</stp>
        <stp>IR</stp>
        <stp>BONDKBPE142</stp>
        <stp>1년이하(당일)</stp>
        <stp>45523</stp>
        <stp/>
        <tr r="AF30" s="2"/>
        <tr r="AF30" s="2"/>
      </tp>
      <tp>
        <v>7.343</v>
        <stp/>
        <stp>P</stp>
        <stp>0</stp>
        <stp>IR</stp>
        <stp>BONDKBPE342</stp>
        <stp>3년이하(당일)</stp>
        <stp>45523</stp>
        <stp/>
        <tr r="AJ49" s="2"/>
        <tr r="AJ49" s="2"/>
      </tp>
      <tp>
        <v>7.306</v>
        <stp/>
        <stp>P</stp>
        <stp>0</stp>
        <stp>IR</stp>
        <stp>BONDKBPF242</stp>
        <stp>2년이하(당일)</stp>
        <stp>45523</stp>
        <stp/>
        <tr r="AH71" s="2"/>
        <tr r="AH71" s="2"/>
      </tp>
      <tp>
        <v>8.7140000000000004</v>
        <stp/>
        <stp>P</stp>
        <stp>0</stp>
        <stp>IR</stp>
        <stp>BONDKBPF342</stp>
        <stp>3년이하(당일)</stp>
        <stp>45523</stp>
        <stp/>
        <tr r="AJ81" s="2"/>
        <tr r="AJ81" s="2"/>
      </tp>
      <tp>
        <v>3.8959999999999999</v>
        <stp/>
        <stp>P</stp>
        <stp>0</stp>
        <stp>IR</stp>
        <stp>BONDKBPE150</stp>
        <stp>1년이하(당일)</stp>
        <stp>45523</stp>
        <stp/>
        <tr r="AF31" s="2"/>
        <tr r="AF31" s="2"/>
      </tp>
      <tp>
        <v>9.5</v>
        <stp/>
        <stp>P</stp>
        <stp>0</stp>
        <stp>IR</stp>
        <stp>BONDKBPE350</stp>
        <stp>3년이하(당일)</stp>
        <stp>45523</stp>
        <stp/>
        <tr r="AJ51" s="2"/>
        <tr r="AJ51" s="2"/>
      </tp>
      <tp>
        <v>3.3330000000000002</v>
        <stp/>
        <stp>P</stp>
        <stp>0</stp>
        <stp>IR</stp>
        <stp>BONDKBPF124</stp>
        <stp>1년이하(당일)</stp>
        <stp>45523</stp>
        <stp/>
        <tr r="AF53" s="2"/>
        <tr r="AF53" s="2"/>
      </tp>
      <tp>
        <v>3.2759999999999998</v>
        <stp/>
        <stp>P</stp>
        <stp>0</stp>
        <stp>IR</stp>
        <stp>BONDKBPE121</stp>
        <stp>1년이하(당일)</stp>
        <stp>45523</stp>
        <stp/>
        <tr r="AF26" s="2"/>
        <tr r="AF26" s="2"/>
      </tp>
      <tp>
        <v>3.327</v>
        <stp/>
        <stp>P</stp>
        <stp>0</stp>
        <stp>IR</stp>
        <stp>BONDKBPF221</stp>
        <stp>2년이하(당일)</stp>
        <stp>45523</stp>
        <stp/>
        <tr r="AH64" s="2"/>
        <tr r="AH64" s="2"/>
      </tp>
      <tp>
        <v>3.512</v>
        <stp/>
        <stp>P</stp>
        <stp>0</stp>
        <stp>IR</stp>
        <stp>BONDKBPF321</stp>
        <stp>3년이하(당일)</stp>
        <stp>45523</stp>
        <stp/>
        <tr r="AJ74" s="2"/>
        <tr r="AJ74" s="2"/>
      </tp>
      <tp>
        <v>3.2759999999999998</v>
        <stp/>
        <stp>P</stp>
        <stp>0</stp>
        <stp>IR</stp>
        <stp>BONDKBPE120</stp>
        <stp>1년이하(당일)</stp>
        <stp>45523</stp>
        <stp/>
        <tr r="AF25" s="2"/>
        <tr r="AF25" s="2"/>
      </tp>
      <tp>
        <v>5.2359999999999998</v>
        <stp/>
        <stp>P</stp>
        <stp>0</stp>
        <stp>IR</stp>
        <stp>BONDKBPE220</stp>
        <stp>2년이하(당일)</stp>
        <stp>45523</stp>
        <stp/>
        <tr r="AH38" s="2"/>
        <tr r="AH38" s="2"/>
      </tp>
      <tp>
        <v>5.3369999999999997</v>
        <stp/>
        <stp>P</stp>
        <stp>0</stp>
        <stp>IR</stp>
        <stp>BONDKBPE320</stp>
        <stp>3년이하(당일)</stp>
        <stp>45523</stp>
        <stp/>
        <tr r="AJ47" s="2"/>
        <tr r="AJ47" s="2"/>
      </tp>
      <tp>
        <v>3.3879999999999999</v>
        <stp/>
        <stp>P</stp>
        <stp>0</stp>
        <stp>IR</stp>
        <stp>BONDKBPF223</stp>
        <stp>2년이하(당일)</stp>
        <stp>45523</stp>
        <stp/>
        <tr r="AH66" s="2"/>
        <tr r="AH66" s="2"/>
      </tp>
      <tp>
        <v>3.63</v>
        <stp/>
        <stp>P</stp>
        <stp>0</stp>
        <stp>IR</stp>
        <stp>BONDKBPF323</stp>
        <stp>3년이하(당일)</stp>
        <stp>45523</stp>
        <stp/>
        <tr r="AJ76" s="2"/>
        <tr r="AJ76" s="2"/>
      </tp>
      <tp>
        <v>3.3620000000000001</v>
        <stp/>
        <stp>P</stp>
        <stp>0</stp>
        <stp>IR</stp>
        <stp>BONDKBPF222</stp>
        <stp>2년이하(당일)</stp>
        <stp>45523</stp>
        <stp/>
        <tr r="AH65" s="2"/>
        <tr r="AH65" s="2"/>
      </tp>
      <tp>
        <v>3.5649999999999999</v>
        <stp/>
        <stp>P</stp>
        <stp>0</stp>
        <stp>IR</stp>
        <stp>BONDKBPF322</stp>
        <stp>3년이하(당일)</stp>
        <stp>45523</stp>
        <stp/>
        <tr r="AJ75" s="2"/>
        <tr r="AJ75" s="2"/>
      </tp>
      <tp>
        <v>3.51</v>
        <stp/>
        <stp>P</stp>
        <stp>0</stp>
        <stp>IR</stp>
        <stp>BONDKBPF134</stp>
        <stp>1년이하(당일)</stp>
        <stp>45523</stp>
        <stp/>
        <tr r="AF54" s="2"/>
        <tr r="AF54" s="2"/>
      </tp>
      <tp>
        <v>3.6869999999999998</v>
        <stp/>
        <stp>P</stp>
        <stp>0</stp>
        <stp>IR</stp>
        <stp>BONDKBPF231</stp>
        <stp>2년이하(당일)</stp>
        <stp>45523</stp>
        <stp/>
        <tr r="AH67" s="2"/>
        <tr r="AH67" s="2"/>
      </tp>
      <tp>
        <v>4.2069999999999999</v>
        <stp/>
        <stp>P</stp>
        <stp>0</stp>
        <stp>IR</stp>
        <stp>BONDKBPF331</stp>
        <stp>3년이하(당일)</stp>
        <stp>45523</stp>
        <stp/>
        <tr r="AJ77" s="2"/>
        <tr r="AJ77" s="2"/>
      </tp>
      <tp>
        <v>3.3029999999999999</v>
        <stp/>
        <stp>P</stp>
        <stp>0</stp>
        <stp>IR</stp>
        <stp>BONDKBPE130</stp>
        <stp>1년이하(당일)</stp>
        <stp>45523</stp>
        <stp/>
        <tr r="AF27" s="2"/>
        <tr r="AF27" s="2"/>
      </tp>
      <tp>
        <v>5.7850000000000001</v>
        <stp/>
        <stp>P</stp>
        <stp>0</stp>
        <stp>IR</stp>
        <stp>BONDKBPE230</stp>
        <stp>2년이하(당일)</stp>
        <stp>45523</stp>
        <stp/>
        <tr r="AH39" s="2"/>
        <tr r="AH39" s="2"/>
      </tp>
      <tp>
        <v>5.9669999999999996</v>
        <stp/>
        <stp>P</stp>
        <stp>0</stp>
        <stp>IR</stp>
        <stp>BONDKBPE330</stp>
        <stp>3년이하(당일)</stp>
        <stp>45523</stp>
        <stp/>
        <tr r="AJ48" s="2"/>
        <tr r="AJ48" s="2"/>
      </tp>
      <tp>
        <v>4.1669999999999998</v>
        <stp/>
        <stp>P</stp>
        <stp>0</stp>
        <stp>IR</stp>
        <stp>BONDKBPF233</stp>
        <stp>2년이하(당일)</stp>
        <stp>45523</stp>
        <stp/>
        <tr r="AH69" s="2"/>
        <tr r="AH69" s="2"/>
      </tp>
      <tp>
        <v>5.01</v>
        <stp/>
        <stp>P</stp>
        <stp>0</stp>
        <stp>IR</stp>
        <stp>BONDKBPF333</stp>
        <stp>3년이하(당일)</stp>
        <stp>45523</stp>
        <stp/>
        <tr r="AJ79" s="2"/>
        <tr r="AJ79" s="2"/>
      </tp>
      <tp>
        <v>3.8580000000000001</v>
        <stp/>
        <stp>P</stp>
        <stp>0</stp>
        <stp>IR</stp>
        <stp>BONDKBPF232</stp>
        <stp>2년이하(당일)</stp>
        <stp>45523</stp>
        <stp/>
        <tr r="AH68" s="2"/>
        <tr r="AH68" s="2"/>
      </tp>
      <tp>
        <v>4.5060000000000002</v>
        <stp/>
        <stp>P</stp>
        <stp>0</stp>
        <stp>IR</stp>
        <stp>BONDKBPF332</stp>
        <stp>3년이하(당일)</stp>
        <stp>45523</stp>
        <stp/>
        <tr r="AJ78" s="2"/>
        <tr r="AJ78" s="2"/>
      </tp>
      <tp>
        <v>3.2879999999999998</v>
        <stp/>
        <stp>P</stp>
        <stp>0</stp>
        <stp>IR</stp>
        <stp>BONDKBPE13C</stp>
        <stp>1년이하(당일)</stp>
        <stp>45523</stp>
        <stp/>
        <tr r="AF22" s="2"/>
        <tr r="AF22" s="2"/>
      </tp>
      <tp>
        <v>3.4129999999999998</v>
        <stp/>
        <stp>P</stp>
        <stp>0</stp>
        <stp>IR</stp>
        <stp>BONDKBPE204</stp>
        <stp>2년이하(당일)</stp>
        <stp>45523</stp>
        <stp/>
        <tr r="AH34" s="2"/>
        <tr r="AH34" s="2"/>
      </tp>
      <tp>
        <v>3.3570000000000002</v>
        <stp/>
        <stp>P</stp>
        <stp>0</stp>
        <stp>IR</stp>
        <stp>BONDKBPE304</stp>
        <stp>3년이하(당일)</stp>
        <stp>45523</stp>
        <stp/>
        <tr r="AJ43" s="2"/>
        <tr r="AJ43" s="2"/>
      </tp>
      <tp>
        <v>3.2570000000000001</v>
        <stp/>
        <stp>P</stp>
        <stp>0</stp>
        <stp>IR</stp>
        <stp>BONDKBPC401</stp>
        <stp>4년이하(당일)</stp>
        <stp>45523</stp>
        <stp/>
        <tr r="AK17" s="2"/>
        <tr r="AK17" s="2"/>
      </tp>
      <tp>
        <v>3.05</v>
        <stp/>
        <stp>P</stp>
        <stp>0</stp>
        <stp>IR</stp>
        <stp>BONDKBPA100</stp>
        <stp>1년이하(당일)</stp>
        <stp>45523</stp>
        <stp/>
        <tr r="AF9" s="2"/>
        <tr r="AF9" s="2"/>
      </tp>
      <tp>
        <v>2.8420000000000001</v>
        <stp/>
        <stp>P</stp>
        <stp>0</stp>
        <stp>IR</stp>
        <stp>BONDKBPA200</stp>
        <stp>2년이하(당일)</stp>
        <stp>45523</stp>
        <stp/>
        <tr r="AH11" s="2"/>
        <tr r="AH11" s="2"/>
      </tp>
      <tp>
        <v>3.0209999999999999</v>
        <stp/>
        <stp>P</stp>
        <stp>0</stp>
        <stp>IR</stp>
        <stp>BONDKBPA300</stp>
        <stp>3년이하(당일)</stp>
        <stp>45523</stp>
        <stp/>
        <tr r="AJ10" s="2"/>
        <tr r="AJ10" s="2"/>
      </tp>
      <tp t="s">
        <v xml:space="preserve"> </v>
        <stp/>
        <stp>P</stp>
        <stp>0</stp>
        <stp>IR</stp>
        <stp>BONDKBPA400</stp>
        <stp>4년이하(당일)</stp>
        <stp>45523</stp>
        <stp/>
        <tr r="AK12" s="2"/>
        <tr r="AK12" s="2"/>
      </tp>
      <tp>
        <v>3.1749999999999998</v>
        <stp/>
        <stp>P</stp>
        <stp>0</stp>
        <stp>IR</stp>
        <stp>BONDKBPB100</stp>
        <stp>1년이하(당일)</stp>
        <stp>45523</stp>
        <stp/>
        <tr r="AF13" s="2"/>
        <tr r="AF13" s="2"/>
      </tp>
      <tp>
        <v>3.137</v>
        <stp/>
        <stp>P</stp>
        <stp>0</stp>
        <stp>IR</stp>
        <stp>BONDKBPB200</stp>
        <stp>2년이하(당일)</stp>
        <stp>45523</stp>
        <stp/>
        <tr r="AH14" s="2"/>
        <tr r="AH14" s="2"/>
      </tp>
      <tp>
        <v>3.1459999999999999</v>
        <stp/>
        <stp>P</stp>
        <stp>0</stp>
        <stp>IR</stp>
        <stp>BONDKBPC300</stp>
        <stp>3년이하(당일)</stp>
        <stp>45523</stp>
        <stp/>
        <tr r="AJ16" s="2"/>
        <tr r="AJ16" s="2"/>
      </tp>
      <tp>
        <v>3.4</v>
        <stp/>
        <stp>P</stp>
        <stp>0</stp>
        <stp>IR</stp>
        <stp>BONDKBPC400</stp>
        <stp>4년이하(당일)</stp>
        <stp>45523</stp>
        <stp/>
        <tr r="AK18" s="2"/>
        <tr r="AK18" s="2"/>
      </tp>
      <tp>
        <v>3.0910000000000002</v>
        <stp/>
        <stp>P</stp>
        <stp>0</stp>
        <stp>IR</stp>
        <stp>BONDKBPC500</stp>
        <stp>5년이하(당일)</stp>
        <stp>45523</stp>
        <stp/>
        <tr r="AL15" s="2"/>
        <tr r="AL15" s="2"/>
      </tp>
      <tp>
        <v>3.5459999999999998</v>
        <stp/>
        <stp>P</stp>
        <stp>0</stp>
        <stp>IR</stp>
        <stp>BONDKBPE200</stp>
        <stp>2년이하(당일)</stp>
        <stp>45523</stp>
        <stp/>
        <tr r="AH36" s="2"/>
        <tr r="AH36" s="2"/>
      </tp>
      <tp>
        <v>3.5329999999999999</v>
        <stp/>
        <stp>P</stp>
        <stp>0</stp>
        <stp>IR</stp>
        <stp>BONDKBPE300</stp>
        <stp>3년이하(당일)</stp>
        <stp>45523</stp>
        <stp/>
        <tr r="AJ45" s="2"/>
        <tr r="AJ45" s="2"/>
      </tp>
      <tp>
        <v>3.5329999999999999</v>
        <stp/>
        <stp>P</stp>
        <stp>0</stp>
        <stp>IR</stp>
        <stp>BONDKBPC402</stp>
        <stp>4년이하(당일)</stp>
        <stp>45523</stp>
        <stp/>
        <tr r="AK19" s="2"/>
        <tr r="AK19" s="2"/>
      </tp>
      <tp>
        <v>3.45</v>
        <stp/>
        <stp>P</stp>
        <stp>0</stp>
        <stp>IR</stp>
        <stp>BONDKBPE202</stp>
        <stp>2년이하(당일)</stp>
        <stp>45523</stp>
        <stp/>
        <tr r="AH35" s="2"/>
        <tr r="AH35" s="2"/>
      </tp>
      <tp>
        <v>3.419</v>
        <stp/>
        <stp>P</stp>
        <stp>0</stp>
        <stp>IR</stp>
        <stp>BONDKBPE302</stp>
        <stp>3년이하(당일)</stp>
        <stp>45523</stp>
        <stp/>
        <tr r="AJ44" s="2"/>
        <tr r="AJ44" s="2"/>
      </tp>
      <tp>
        <v>3.298</v>
        <stp/>
        <stp>P</stp>
        <stp>0</stp>
        <stp>IR</stp>
        <stp>BONDKBPF114</stp>
        <stp>1년이하(당일)</stp>
        <stp>45523</stp>
        <stp/>
        <tr r="AF52" s="2"/>
        <tr r="AF52" s="2"/>
      </tp>
      <tp>
        <v>3.2759999999999998</v>
        <stp/>
        <stp>P</stp>
        <stp>0</stp>
        <stp>IR</stp>
        <stp>BONDKBPE111</stp>
        <stp>1년이하(당일)</stp>
        <stp>45523</stp>
        <stp/>
        <tr r="AF24" s="2"/>
        <tr r="AF24" s="2"/>
      </tp>
      <tp>
        <v>3.2759999999999998</v>
        <stp/>
        <stp>P</stp>
        <stp>0</stp>
        <stp>IR</stp>
        <stp>BONDKBPE110</stp>
        <stp>1년이하(당일)</stp>
        <stp>45523</stp>
        <stp/>
        <tr r="AF23" s="2"/>
        <tr r="AF23" s="2"/>
      </tp>
      <tp>
        <v>4.4260000000000002</v>
        <stp/>
        <stp>P</stp>
        <stp>0</stp>
        <stp>IR</stp>
        <stp>BONDKBPE210</stp>
        <stp>2년이하(당일)</stp>
        <stp>45523</stp>
        <stp/>
        <tr r="AH37" s="2"/>
        <tr r="AH37" s="2"/>
      </tp>
      <tp>
        <v>4.5439999999999996</v>
        <stp/>
        <stp>P</stp>
        <stp>0</stp>
        <stp>IR</stp>
        <stp>BONDKBPE310</stp>
        <stp>3년이하(당일)</stp>
        <stp>45523</stp>
        <stp/>
        <tr r="AJ46" s="2"/>
        <tr r="AJ46" s="2"/>
      </tp>
      <tp>
        <v>3.2879999999999998</v>
        <stp/>
        <stp>P</stp>
        <stp>0</stp>
        <stp>IR</stp>
        <stp>BONDKBPF212</stp>
        <stp>2년이하(당일)</stp>
        <stp>45523</stp>
        <stp/>
        <tr r="AH63" s="2"/>
        <tr r="AH63" s="2"/>
      </tp>
      <tp>
        <v>3.3980000000000001</v>
        <stp/>
        <stp>P</stp>
        <stp>0</stp>
        <stp>IR</stp>
        <stp>BONDKBPF312</stp>
        <stp>3년이하(당일)</stp>
        <stp>45523</stp>
        <stp/>
        <tr r="AJ73" s="2"/>
        <tr r="AJ73" s="2"/>
      </tp>
      <tp>
        <v>6.9610000000000003</v>
        <stp/>
        <stp>P</stp>
        <stp>0</stp>
        <stp>IR</stp>
        <stp>BONDKBPF241</stp>
        <stp>3년이하(당일)</stp>
        <stp>45523</stp>
        <stp/>
        <tr r="AJ70" s="2"/>
        <tr r="AJ70" s="2"/>
      </tp>
      <tp>
        <v>6.8739999999999997</v>
        <stp/>
        <stp>P</stp>
        <stp>0</stp>
        <stp>IR</stp>
        <stp>BONDKBPF341</stp>
        <stp>2년이하(당일)</stp>
        <stp>45523</stp>
        <stp/>
        <tr r="AH80" s="2"/>
        <tr r="AH80" s="2"/>
      </tp>
      <tp>
        <v>7.9320000000000004</v>
        <stp/>
        <stp>P</stp>
        <stp>0</stp>
        <stp>IR</stp>
        <stp>BONDKBPE340</stp>
        <stp>2년이하(당일)</stp>
        <stp>45523</stp>
        <stp/>
        <tr r="AH50" s="2"/>
        <tr r="AH50" s="2"/>
      </tp>
      <tp>
        <v>9.3670000000000009</v>
        <stp/>
        <stp>P</stp>
        <stp>0</stp>
        <stp>IR</stp>
        <stp>BONDKBPF243</stp>
        <stp>3년이하(당일)</stp>
        <stp>45523</stp>
        <stp/>
        <tr r="AJ72" s="2"/>
        <tr r="AJ72" s="2"/>
      </tp>
      <tp>
        <v>9.2240000000000002</v>
        <stp/>
        <stp>P</stp>
        <stp>0</stp>
        <stp>IR</stp>
        <stp>BONDKBPF343</stp>
        <stp>2년이하(당일)</stp>
        <stp>45523</stp>
        <stp/>
        <tr r="AH82" s="2"/>
        <tr r="AH82" s="2"/>
      </tp>
      <tp>
        <v>7.1070000000000002</v>
        <stp/>
        <stp>P</stp>
        <stp>0</stp>
        <stp>IR</stp>
        <stp>BONDKBPE342</stp>
        <stp>2년이하(당일)</stp>
        <stp>45523</stp>
        <stp/>
        <tr r="AH49" s="2"/>
        <tr r="AH49" s="2"/>
      </tp>
      <tp>
        <v>7.9980000000000002</v>
        <stp/>
        <stp>P</stp>
        <stp>0</stp>
        <stp>IR</stp>
        <stp>BONDKBPF242</stp>
        <stp>3년이하(당일)</stp>
        <stp>45523</stp>
        <stp/>
        <tr r="AJ71" s="2"/>
        <tr r="AJ71" s="2"/>
      </tp>
      <tp>
        <v>7.9340000000000002</v>
        <stp/>
        <stp>P</stp>
        <stp>0</stp>
        <stp>IR</stp>
        <stp>BONDKBPF342</stp>
        <stp>2년이하(당일)</stp>
        <stp>45523</stp>
        <stp/>
        <tr r="AH81" s="2"/>
        <tr r="AH81" s="2"/>
      </tp>
      <tp>
        <v>9.1820000000000004</v>
        <stp/>
        <stp>P</stp>
        <stp>0</stp>
        <stp>IR</stp>
        <stp>BONDKBPE350</stp>
        <stp>2년이하(당일)</stp>
        <stp>45523</stp>
        <stp/>
        <tr r="AH51" s="2"/>
        <tr r="AH51" s="2"/>
      </tp>
      <tp>
        <v>3.35</v>
        <stp/>
        <stp>P</stp>
        <stp>0</stp>
        <stp>IR</stp>
        <stp>BONDKBPF221</stp>
        <stp>3년이하(당일)</stp>
        <stp>45523</stp>
        <stp/>
        <tr r="AJ64" s="2"/>
        <tr r="AJ64" s="2"/>
      </tp>
      <tp>
        <v>3.4780000000000002</v>
        <stp/>
        <stp>P</stp>
        <stp>0</stp>
        <stp>IR</stp>
        <stp>BONDKBPF321</stp>
        <stp>2년이하(당일)</stp>
        <stp>45523</stp>
        <stp/>
        <tr r="AH74" s="2"/>
        <tr r="AH74" s="2"/>
      </tp>
      <tp>
        <v>5.3369999999999997</v>
        <stp/>
        <stp>P</stp>
        <stp>0</stp>
        <stp>IR</stp>
        <stp>BONDKBPE220</stp>
        <stp>3년이하(당일)</stp>
        <stp>45523</stp>
        <stp/>
        <tr r="AJ38" s="2"/>
        <tr r="AJ38" s="2"/>
      </tp>
      <tp>
        <v>5.2359999999999998</v>
        <stp/>
        <stp>P</stp>
        <stp>0</stp>
        <stp>IR</stp>
        <stp>BONDKBPE320</stp>
        <stp>2년이하(당일)</stp>
        <stp>45523</stp>
        <stp/>
        <tr r="AH47" s="2"/>
        <tr r="AH47" s="2"/>
      </tp>
      <tp>
        <v>3.4279999999999999</v>
        <stp/>
        <stp>P</stp>
        <stp>0</stp>
        <stp>IR</stp>
        <stp>BONDKBPF223</stp>
        <stp>3년이하(당일)</stp>
        <stp>45523</stp>
        <stp/>
        <tr r="AJ66" s="2"/>
        <tr r="AJ66" s="2"/>
      </tp>
      <tp>
        <v>3.57</v>
        <stp/>
        <stp>P</stp>
        <stp>0</stp>
        <stp>IR</stp>
        <stp>BONDKBPF323</stp>
        <stp>2년이하(당일)</stp>
        <stp>45523</stp>
        <stp/>
        <tr r="AH76" s="2"/>
        <tr r="AH76" s="2"/>
      </tp>
      <tp>
        <v>3.383</v>
        <stp/>
        <stp>P</stp>
        <stp>0</stp>
        <stp>IR</stp>
        <stp>BONDKBPF222</stp>
        <stp>3년이하(당일)</stp>
        <stp>45523</stp>
        <stp/>
        <tr r="AJ65" s="2"/>
        <tr r="AJ65" s="2"/>
      </tp>
      <tp>
        <v>3.5259999999999998</v>
        <stp/>
        <stp>P</stp>
        <stp>0</stp>
        <stp>IR</stp>
        <stp>BONDKBPF322</stp>
        <stp>2년이하(당일)</stp>
        <stp>45523</stp>
        <stp/>
        <tr r="AH75" s="2"/>
        <tr r="AH75" s="2"/>
      </tp>
      <tp>
        <v>3.8359999999999999</v>
        <stp/>
        <stp>P</stp>
        <stp>0</stp>
        <stp>IR</stp>
        <stp>BONDKBPF231</stp>
        <stp>3년이하(당일)</stp>
        <stp>45523</stp>
        <stp/>
        <tr r="AJ67" s="2"/>
        <tr r="AJ67" s="2"/>
      </tp>
      <tp>
        <v>4</v>
        <stp/>
        <stp>P</stp>
        <stp>0</stp>
        <stp>IR</stp>
        <stp>BONDKBPF331</stp>
        <stp>2년이하(당일)</stp>
        <stp>45523</stp>
        <stp/>
        <tr r="AH77" s="2"/>
        <tr r="AH77" s="2"/>
      </tp>
      <tp>
        <v>5.9669999999999996</v>
        <stp/>
        <stp>P</stp>
        <stp>0</stp>
        <stp>IR</stp>
        <stp>BONDKBPE230</stp>
        <stp>3년이하(당일)</stp>
        <stp>45523</stp>
        <stp/>
        <tr r="AJ39" s="2"/>
        <tr r="AJ39" s="2"/>
      </tp>
      <tp>
        <v>5.7850000000000001</v>
        <stp/>
        <stp>P</stp>
        <stp>0</stp>
        <stp>IR</stp>
        <stp>BONDKBPE330</stp>
        <stp>2년이하(당일)</stp>
        <stp>45523</stp>
        <stp/>
        <tr r="AH48" s="2"/>
        <tr r="AH48" s="2"/>
      </tp>
      <tp>
        <v>4.5289999999999999</v>
        <stp/>
        <stp>P</stp>
        <stp>0</stp>
        <stp>IR</stp>
        <stp>BONDKBPF233</stp>
        <stp>3년이하(당일)</stp>
        <stp>45523</stp>
        <stp/>
        <tr r="AJ69" s="2"/>
        <tr r="AJ69" s="2"/>
      </tp>
      <tp>
        <v>4.585</v>
        <stp/>
        <stp>P</stp>
        <stp>0</stp>
        <stp>IR</stp>
        <stp>BONDKBPF333</stp>
        <stp>2년이하(당일)</stp>
        <stp>45523</stp>
        <stp/>
        <tr r="AH79" s="2"/>
        <tr r="AH79" s="2"/>
      </tp>
      <tp>
        <v>4.0949999999999998</v>
        <stp/>
        <stp>P</stp>
        <stp>0</stp>
        <stp>IR</stp>
        <stp>BONDKBPF232</stp>
        <stp>3년이하(당일)</stp>
        <stp>45523</stp>
        <stp/>
        <tr r="AJ68" s="2"/>
        <tr r="AJ68" s="2"/>
      </tp>
      <tp>
        <v>4.2160000000000002</v>
        <stp/>
        <stp>P</stp>
        <stp>0</stp>
        <stp>IR</stp>
        <stp>BONDKBPF332</stp>
        <stp>2년이하(당일)</stp>
        <stp>45523</stp>
        <stp/>
        <tr r="AH78" s="2"/>
        <tr r="AH78" s="2"/>
      </tp>
      <tp>
        <v>3.3570000000000002</v>
        <stp/>
        <stp>P</stp>
        <stp>0</stp>
        <stp>IR</stp>
        <stp>BONDKBPE204</stp>
        <stp>3년이하(당일)</stp>
        <stp>45523</stp>
        <stp/>
        <tr r="AJ34" s="2"/>
        <tr r="AJ34" s="2"/>
      </tp>
      <tp>
        <v>3.4129999999999998</v>
        <stp/>
        <stp>P</stp>
        <stp>0</stp>
        <stp>IR</stp>
        <stp>BONDKBPE304</stp>
        <stp>2년이하(당일)</stp>
        <stp>45523</stp>
        <stp/>
        <tr r="AH43" s="2"/>
        <tr r="AH43" s="2"/>
      </tp>
      <tp>
        <v>3.266</v>
        <stp/>
        <stp>P</stp>
        <stp>0</stp>
        <stp>IR</stp>
        <stp>BONDKBPZ001</stp>
        <stp>1년이하(당일)</stp>
        <stp>45523</stp>
        <stp/>
        <tr r="AF83" s="2"/>
        <tr r="AF83" s="2"/>
      </tp>
      <tp>
        <v>3.2749999999999999</v>
        <stp/>
        <stp>P</stp>
        <stp>0</stp>
        <stp>IR</stp>
        <stp>BONDKBPC401</stp>
        <stp>5년이하(당일)</stp>
        <stp>45523</stp>
        <stp/>
        <tr r="AL17" s="2"/>
        <tr r="AL17" s="2"/>
      </tp>
      <tp>
        <v>3.0249999999999999</v>
        <stp/>
        <stp>P</stp>
        <stp>0</stp>
        <stp>IR</stp>
        <stp>BONDKBPD001</stp>
        <stp>1년이하(당일)</stp>
        <stp>45523</stp>
        <stp/>
        <tr r="AF21" s="2"/>
        <tr r="AF21" s="2"/>
      </tp>
      <tp>
        <v>2.8239999999999998</v>
        <stp/>
        <stp>P</stp>
        <stp>0</stp>
        <stp>IR</stp>
        <stp>BONDKBPA200</stp>
        <stp>3년이하(당일)</stp>
        <stp>45523</stp>
        <stp/>
        <tr r="AJ11" s="2"/>
        <tr r="AJ11" s="2"/>
      </tp>
      <tp>
        <v>3.0510000000000002</v>
        <stp/>
        <stp>P</stp>
        <stp>0</stp>
        <stp>IR</stp>
        <stp>BONDKBPA300</stp>
        <stp>2년이하(당일)</stp>
        <stp>45523</stp>
        <stp/>
        <tr r="AH10" s="2"/>
        <tr r="AH10" s="2"/>
      </tp>
      <tp t="s">
        <v xml:space="preserve"> </v>
        <stp/>
        <stp>P</stp>
        <stp>0</stp>
        <stp>IR</stp>
        <stp>BONDKBPA400</stp>
        <stp>5년이하(당일)</stp>
        <stp>45523</stp>
        <stp/>
        <tr r="AL12" s="2"/>
        <tr r="AL12" s="2"/>
      </tp>
      <tp>
        <v>3.125</v>
        <stp/>
        <stp>P</stp>
        <stp>0</stp>
        <stp>IR</stp>
        <stp>BONDKBPB200</stp>
        <stp>3년이하(당일)</stp>
        <stp>45523</stp>
        <stp/>
        <tr r="AJ14" s="2"/>
        <tr r="AJ14" s="2"/>
      </tp>
      <tp>
        <v>3.1850000000000001</v>
        <stp/>
        <stp>P</stp>
        <stp>0</stp>
        <stp>IR</stp>
        <stp>BONDKBPC300</stp>
        <stp>2년이하(당일)</stp>
        <stp>45523</stp>
        <stp/>
        <tr r="AH16" s="2"/>
        <tr r="AH16" s="2"/>
      </tp>
      <tp>
        <v>3.4180000000000001</v>
        <stp/>
        <stp>P</stp>
        <stp>0</stp>
        <stp>IR</stp>
        <stp>BONDKBPC400</stp>
        <stp>5년이하(당일)</stp>
        <stp>45523</stp>
        <stp/>
        <tr r="AL18" s="2"/>
        <tr r="AL18" s="2"/>
      </tp>
      <tp>
        <v>3.073</v>
        <stp/>
        <stp>P</stp>
        <stp>0</stp>
        <stp>IR</stp>
        <stp>BONDKBPC500</stp>
        <stp>4년이하(당일)</stp>
        <stp>45523</stp>
        <stp/>
        <tr r="AK15" s="2"/>
        <tr r="AK15" s="2"/>
      </tp>
      <tp>
        <v>3.0249999999999999</v>
        <stp/>
        <stp>P</stp>
        <stp>0</stp>
        <stp>IR</stp>
        <stp>BONDKBPD000</stp>
        <stp>1년이하(당일)</stp>
        <stp>45523</stp>
        <stp/>
        <tr r="AF20" s="2"/>
        <tr r="AF20" s="2"/>
      </tp>
      <tp>
        <v>3.5329999999999999</v>
        <stp/>
        <stp>P</stp>
        <stp>0</stp>
        <stp>IR</stp>
        <stp>BONDKBPE200</stp>
        <stp>3년이하(당일)</stp>
        <stp>45523</stp>
        <stp/>
        <tr r="AJ36" s="2"/>
        <tr r="AJ36" s="2"/>
      </tp>
      <tp>
        <v>3.5459999999999998</v>
        <stp/>
        <stp>P</stp>
        <stp>0</stp>
        <stp>IR</stp>
        <stp>BONDKBPE300</stp>
        <stp>2년이하(당일)</stp>
        <stp>45523</stp>
        <stp/>
        <tr r="AH45" s="2"/>
        <tr r="AH45" s="2"/>
      </tp>
      <tp>
        <v>3.5569999999999999</v>
        <stp/>
        <stp>P</stp>
        <stp>0</stp>
        <stp>IR</stp>
        <stp>BONDKBPC402</stp>
        <stp>5년이하(당일)</stp>
        <stp>45523</stp>
        <stp/>
        <tr r="AL19" s="2"/>
        <tr r="AL19" s="2"/>
      </tp>
      <tp>
        <v>3.419</v>
        <stp/>
        <stp>P</stp>
        <stp>0</stp>
        <stp>IR</stp>
        <stp>BONDKBPE202</stp>
        <stp>3년이하(당일)</stp>
        <stp>45523</stp>
        <stp/>
        <tr r="AJ35" s="2"/>
        <tr r="AJ35" s="2"/>
      </tp>
      <tp>
        <v>3.45</v>
        <stp/>
        <stp>P</stp>
        <stp>0</stp>
        <stp>IR</stp>
        <stp>BONDKBPE302</stp>
        <stp>2년이하(당일)</stp>
        <stp>45523</stp>
        <stp/>
        <tr r="AH44" s="2"/>
        <tr r="AH44" s="2"/>
      </tp>
      <tp>
        <v>4.5439999999999996</v>
        <stp/>
        <stp>P</stp>
        <stp>0</stp>
        <stp>IR</stp>
        <stp>BONDKBPE210</stp>
        <stp>3년이하(당일)</stp>
        <stp>45523</stp>
        <stp/>
        <tr r="AJ37" s="2"/>
        <tr r="AJ37" s="2"/>
      </tp>
      <tp>
        <v>4.4260000000000002</v>
        <stp/>
        <stp>P</stp>
        <stp>0</stp>
        <stp>IR</stp>
        <stp>BONDKBPE310</stp>
        <stp>2년이하(당일)</stp>
        <stp>45523</stp>
        <stp/>
        <tr r="AH46" s="2"/>
        <tr r="AH46" s="2"/>
      </tp>
      <tp>
        <v>3.28</v>
        <stp/>
        <stp>P</stp>
        <stp>0</stp>
        <stp>IR</stp>
        <stp>BONDKBPF212</stp>
        <stp>3년이하(당일)</stp>
        <stp>45523</stp>
        <stp/>
        <tr r="AJ63" s="2"/>
        <tr r="AJ63" s="2"/>
      </tp>
      <tp>
        <v>3.3940000000000001</v>
        <stp/>
        <stp>P</stp>
        <stp>0</stp>
        <stp>IR</stp>
        <stp>BONDKBPF312</stp>
        <stp>2년이하(당일)</stp>
        <stp>45523</stp>
        <stp/>
        <tr r="AH73" s="2"/>
        <tr r="AH73" s="2"/>
      </tp>
      <tp>
        <v>3.34</v>
        <stp/>
        <stp>P</stp>
        <stp>0</stp>
        <stp>IR</stp>
        <stp>BONDAV449</stp>
        <stp>1.5년이하(당일)</stp>
        <stp>45523</stp>
        <stp/>
        <tr r="I56" s="1"/>
        <tr r="I56" s="1"/>
      </tp>
      <tp>
        <v>3.6560000000000001</v>
        <stp/>
        <stp>P</stp>
        <stp>0</stp>
        <stp>IR</stp>
        <stp>BONDAV459</stp>
        <stp>1.5년이하(당일)</stp>
        <stp>45523</stp>
        <stp/>
        <tr r="I66" s="1"/>
        <tr r="I66" s="1"/>
      </tp>
      <tp>
        <v>3.4489999999999998</v>
        <stp/>
        <stp>P</stp>
        <stp>0</stp>
        <stp>IR</stp>
        <stp>BONDAV469</stp>
        <stp>1.5년이하(당일)</stp>
        <stp>45523</stp>
        <stp/>
        <tr r="I72" s="1"/>
        <tr r="I72" s="1"/>
      </tp>
      <tp>
        <v>3.22</v>
        <stp/>
        <stp>P</stp>
        <stp>0</stp>
        <stp>IR</stp>
        <stp>BONDAV479</stp>
        <stp>1.5년이하(당일)</stp>
        <stp>45523</stp>
        <stp/>
        <tr r="I82" s="1"/>
        <tr r="I82" s="1"/>
      </tp>
      <tp>
        <v>3.198</v>
        <stp/>
        <stp>P</stp>
        <stp>0</stp>
        <stp>IR</stp>
        <stp>BONDAV409</stp>
        <stp>1.5년이하(당일)</stp>
        <stp>45523</stp>
        <stp/>
        <tr r="I15" s="1"/>
        <tr r="I15" s="1"/>
      </tp>
      <tp>
        <v>3.24</v>
        <stp/>
        <stp>P</stp>
        <stp>0</stp>
        <stp>IR</stp>
        <stp>BONDAV419</stp>
        <stp>1.5년이하(당일)</stp>
        <stp>45523</stp>
        <stp/>
        <tr r="I25" s="1"/>
        <tr r="I25" s="1"/>
      </tp>
      <tp>
        <v>4.4240000000000004</v>
        <stp/>
        <stp>P</stp>
        <stp>0</stp>
        <stp>IR</stp>
        <stp>BONDAV429</stp>
        <stp>1.5년이하(당일)</stp>
        <stp>45523</stp>
        <stp/>
        <tr r="I36" s="1"/>
        <tr r="I36" s="1"/>
      </tp>
      <tp>
        <v>5.2039999999999997</v>
        <stp/>
        <stp>P</stp>
        <stp>0</stp>
        <stp>IR</stp>
        <stp>BONDAV439</stp>
        <stp>1.5년이하(당일)</stp>
        <stp>45523</stp>
        <stp/>
        <tr r="I46" s="1"/>
        <tr r="I46" s="1"/>
      </tp>
      <tp>
        <v>3.3250000000000002</v>
        <stp/>
        <stp>P</stp>
        <stp>0</stp>
        <stp>IR</stp>
        <stp>BONDAV449</stp>
        <stp>2.5년이하(당일)</stp>
        <stp>45523</stp>
        <stp/>
        <tr r="K56" s="1"/>
        <tr r="K56" s="1"/>
      </tp>
      <tp>
        <v>3.7709999999999999</v>
        <stp/>
        <stp>P</stp>
        <stp>0</stp>
        <stp>IR</stp>
        <stp>BONDAV459</stp>
        <stp>2.5년이하(당일)</stp>
        <stp>45523</stp>
        <stp/>
        <tr r="K66" s="1"/>
        <tr r="K66" s="1"/>
      </tp>
      <tp>
        <v>3.4590000000000001</v>
        <stp/>
        <stp>P</stp>
        <stp>0</stp>
        <stp>IR</stp>
        <stp>BONDAV469</stp>
        <stp>2.5년이하(당일)</stp>
        <stp>45523</stp>
        <stp/>
        <tr r="K72" s="1"/>
        <tr r="K72" s="1"/>
      </tp>
      <tp>
        <v>3.1819999999999999</v>
        <stp/>
        <stp>P</stp>
        <stp>0</stp>
        <stp>IR</stp>
        <stp>BONDAV479</stp>
        <stp>2.5년이하(당일)</stp>
        <stp>45523</stp>
        <stp/>
        <tr r="K82" s="1"/>
        <tr r="K82" s="1"/>
      </tp>
      <tp>
        <v>3.153</v>
        <stp/>
        <stp>P</stp>
        <stp>0</stp>
        <stp>IR</stp>
        <stp>BONDAV409</stp>
        <stp>2.5년이하(당일)</stp>
        <stp>45523</stp>
        <stp/>
        <tr r="K15" s="1"/>
        <tr r="K15" s="1"/>
      </tp>
      <tp>
        <v>3.1520000000000001</v>
        <stp/>
        <stp>P</stp>
        <stp>0</stp>
        <stp>IR</stp>
        <stp>BONDAV419</stp>
        <stp>2.5년이하(당일)</stp>
        <stp>45523</stp>
        <stp/>
        <tr r="K25" s="1"/>
        <tr r="K25" s="1"/>
      </tp>
      <tp>
        <v>4.4870000000000001</v>
        <stp/>
        <stp>P</stp>
        <stp>0</stp>
        <stp>IR</stp>
        <stp>BONDAV429</stp>
        <stp>2.5년이하(당일)</stp>
        <stp>45523</stp>
        <stp/>
        <tr r="K36" s="1"/>
        <tr r="K36" s="1"/>
      </tp>
      <tp>
        <v>5.2779999999999996</v>
        <stp/>
        <stp>P</stp>
        <stp>0</stp>
        <stp>IR</stp>
        <stp>BONDAV439</stp>
        <stp>2.5년이하(당일)</stp>
        <stp>45523</stp>
        <stp/>
        <tr r="K46" s="1"/>
        <tr r="K46" s="1"/>
      </tp>
      <tp>
        <v>3.399</v>
        <stp/>
        <stp>P</stp>
        <stp>0</stp>
        <stp>IR</stp>
        <stp>BONDKBPE144</stp>
        <stp>7년이하(당일)</stp>
        <stp>45523</stp>
        <stp/>
        <tr r="AM28" s="2"/>
        <tr r="AM28" s="2"/>
      </tp>
      <tp>
        <v>6.2770000000000001</v>
        <stp/>
        <stp>P</stp>
        <stp>0</stp>
        <stp>IR</stp>
        <stp>BONDKBPF144</stp>
        <stp>7년이하(당일)</stp>
        <stp>45523</stp>
        <stp/>
        <tr r="AM55" s="2"/>
        <tr r="AM55" s="2"/>
      </tp>
      <tp>
        <v>7.1660000000000004</v>
        <stp/>
        <stp>P</stp>
        <stp>0</stp>
        <stp>IR</stp>
        <stp>BONDKBPF241</stp>
        <stp>4년이하(당일)</stp>
        <stp>45523</stp>
        <stp/>
        <tr r="AK70" s="2"/>
        <tr r="AK70" s="2"/>
      </tp>
      <tp>
        <v>7.86</v>
        <stp/>
        <stp>P</stp>
        <stp>0</stp>
        <stp>IR</stp>
        <stp>BONDKBPF341</stp>
        <stp>5년이하(당일)</stp>
        <stp>45523</stp>
        <stp/>
        <tr r="AL80" s="2"/>
        <tr r="AL80" s="2"/>
      </tp>
      <tp>
        <v>3.7240000000000002</v>
        <stp/>
        <stp>P</stp>
        <stp>0</stp>
        <stp>IR</stp>
        <stp>BONDKBPE140</stp>
        <stp>7년이하(당일)</stp>
        <stp>45523</stp>
        <stp/>
        <tr r="AM29" s="2"/>
        <tr r="AM29" s="2"/>
      </tp>
      <tp>
        <v>8.4570000000000007</v>
        <stp/>
        <stp>P</stp>
        <stp>0</stp>
        <stp>IR</stp>
        <stp>BONDKBPE340</stp>
        <stp>5년이하(당일)</stp>
        <stp>45523</stp>
        <stp/>
        <tr r="AL50" s="2"/>
        <tr r="AL50" s="2"/>
      </tp>
      <tp>
        <v>9.6240000000000006</v>
        <stp/>
        <stp>P</stp>
        <stp>0</stp>
        <stp>IR</stp>
        <stp>BONDKBPF243</stp>
        <stp>4년이하(당일)</stp>
        <stp>45523</stp>
        <stp/>
        <tr r="AK72" s="2"/>
        <tr r="AK72" s="2"/>
      </tp>
      <tp>
        <v>10.555</v>
        <stp/>
        <stp>P</stp>
        <stp>0</stp>
        <stp>IR</stp>
        <stp>BONDKBPF343</stp>
        <stp>5년이하(당일)</stp>
        <stp>45523</stp>
        <stp/>
        <tr r="AL82" s="2"/>
        <tr r="AL82" s="2"/>
      </tp>
      <tp>
        <v>3.9740000000000002</v>
        <stp/>
        <stp>P</stp>
        <stp>0</stp>
        <stp>IR</stp>
        <stp>BONDKBPE142</stp>
        <stp>7년이하(당일)</stp>
        <stp>45523</stp>
        <stp/>
        <tr r="AM30" s="2"/>
        <tr r="AM30" s="2"/>
      </tp>
      <tp>
        <v>7.3849999999999998</v>
        <stp/>
        <stp>P</stp>
        <stp>0</stp>
        <stp>IR</stp>
        <stp>BONDKBPE342</stp>
        <stp>5년이하(당일)</stp>
        <stp>45523</stp>
        <stp/>
        <tr r="AL49" s="2"/>
        <tr r="AL49" s="2"/>
      </tp>
      <tp>
        <v>8.2140000000000004</v>
        <stp/>
        <stp>P</stp>
        <stp>0</stp>
        <stp>IR</stp>
        <stp>BONDKBPF242</stp>
        <stp>4년이하(당일)</stp>
        <stp>45523</stp>
        <stp/>
        <tr r="AK71" s="2"/>
        <tr r="AK71" s="2"/>
      </tp>
      <tp>
        <v>9.0649999999999995</v>
        <stp/>
        <stp>P</stp>
        <stp>0</stp>
        <stp>IR</stp>
        <stp>BONDKBPF342</stp>
        <stp>5년이하(당일)</stp>
        <stp>45523</stp>
        <stp/>
        <tr r="AL81" s="2"/>
        <tr r="AL81" s="2"/>
      </tp>
      <tp>
        <v>4.125</v>
        <stp/>
        <stp>P</stp>
        <stp>0</stp>
        <stp>IR</stp>
        <stp>BONDKBPE150</stp>
        <stp>7년이하(당일)</stp>
        <stp>45523</stp>
        <stp/>
        <tr r="AM31" s="2"/>
        <tr r="AM31" s="2"/>
      </tp>
      <tp>
        <v>9.7070000000000007</v>
        <stp/>
        <stp>P</stp>
        <stp>0</stp>
        <stp>IR</stp>
        <stp>BONDKBPE350</stp>
        <stp>5년이하(당일)</stp>
        <stp>45523</stp>
        <stp/>
        <tr r="AL51" s="2"/>
        <tr r="AL51" s="2"/>
      </tp>
      <tp>
        <v>3.7429999999999999</v>
        <stp/>
        <stp>P</stp>
        <stp>0</stp>
        <stp>IR</stp>
        <stp>BONDKBPF124</stp>
        <stp>7년이하(당일)</stp>
        <stp>45523</stp>
        <stp/>
        <tr r="AM53" s="2"/>
        <tr r="AM53" s="2"/>
      </tp>
      <tp>
        <v>3.3010000000000002</v>
        <stp/>
        <stp>P</stp>
        <stp>0</stp>
        <stp>IR</stp>
        <stp>BONDKBPE121</stp>
        <stp>7년이하(당일)</stp>
        <stp>45523</stp>
        <stp/>
        <tr r="AM26" s="2"/>
        <tr r="AM26" s="2"/>
      </tp>
      <tp>
        <v>3.3439999999999999</v>
        <stp/>
        <stp>P</stp>
        <stp>0</stp>
        <stp>IR</stp>
        <stp>BONDKBPF221</stp>
        <stp>4년이하(당일)</stp>
        <stp>45523</stp>
        <stp/>
        <tr r="AK64" s="2"/>
        <tr r="AK64" s="2"/>
      </tp>
      <tp>
        <v>3.5459999999999998</v>
        <stp/>
        <stp>P</stp>
        <stp>0</stp>
        <stp>IR</stp>
        <stp>BONDKBPF321</stp>
        <stp>5년이하(당일)</stp>
        <stp>45523</stp>
        <stp/>
        <tr r="AL74" s="2"/>
        <tr r="AL74" s="2"/>
      </tp>
      <tp>
        <v>3.2410000000000001</v>
        <stp/>
        <stp>P</stp>
        <stp>0</stp>
        <stp>IR</stp>
        <stp>BONDKBPE120</stp>
        <stp>7년이하(당일)</stp>
        <stp>45523</stp>
        <stp/>
        <tr r="AM25" s="2"/>
        <tr r="AM25" s="2"/>
      </tp>
      <tp>
        <v>5.3959999999999999</v>
        <stp/>
        <stp>P</stp>
        <stp>0</stp>
        <stp>IR</stp>
        <stp>BONDKBPE220</stp>
        <stp>4년이하(당일)</stp>
        <stp>45523</stp>
        <stp/>
        <tr r="AK38" s="2"/>
        <tr r="AK38" s="2"/>
      </tp>
      <tp>
        <v>5.4770000000000003</v>
        <stp/>
        <stp>P</stp>
        <stp>0</stp>
        <stp>IR</stp>
        <stp>BONDKBPE320</stp>
        <stp>5년이하(당일)</stp>
        <stp>45523</stp>
        <stp/>
        <tr r="AL47" s="2"/>
        <tr r="AL47" s="2"/>
      </tp>
      <tp>
        <v>3.4609999999999999</v>
        <stp/>
        <stp>P</stp>
        <stp>0</stp>
        <stp>IR</stp>
        <stp>BONDKBPF223</stp>
        <stp>4년이하(당일)</stp>
        <stp>45523</stp>
        <stp/>
        <tr r="AK66" s="2"/>
        <tr r="AK66" s="2"/>
      </tp>
      <tp>
        <v>3.742</v>
        <stp/>
        <stp>P</stp>
        <stp>0</stp>
        <stp>IR</stp>
        <stp>BONDKBPF323</stp>
        <stp>5년이하(당일)</stp>
        <stp>45523</stp>
        <stp/>
        <tr r="AL76" s="2"/>
        <tr r="AL76" s="2"/>
      </tp>
      <tp>
        <v>3.3940000000000001</v>
        <stp/>
        <stp>P</stp>
        <stp>0</stp>
        <stp>IR</stp>
        <stp>BONDKBPF222</stp>
        <stp>4년이하(당일)</stp>
        <stp>45523</stp>
        <stp/>
        <tr r="AK65" s="2"/>
        <tr r="AK65" s="2"/>
      </tp>
      <tp>
        <v>3.6320000000000001</v>
        <stp/>
        <stp>P</stp>
        <stp>0</stp>
        <stp>IR</stp>
        <stp>BONDKBPF322</stp>
        <stp>5년이하(당일)</stp>
        <stp>45523</stp>
        <stp/>
        <tr r="AL75" s="2"/>
        <tr r="AL75" s="2"/>
      </tp>
      <tp>
        <v>3.83</v>
        <stp/>
        <stp>P</stp>
        <stp>0</stp>
        <stp>IR</stp>
        <stp>BONDKBPF134</stp>
        <stp>7년이하(당일)</stp>
        <stp>45523</stp>
        <stp/>
        <tr r="AM54" s="2"/>
        <tr r="AM54" s="2"/>
      </tp>
      <tp>
        <v>4.0709999999999997</v>
        <stp/>
        <stp>P</stp>
        <stp>0</stp>
        <stp>IR</stp>
        <stp>BONDKBPF231</stp>
        <stp>4년이하(당일)</stp>
        <stp>45523</stp>
        <stp/>
        <tr r="AK67" s="2"/>
        <tr r="AK67" s="2"/>
      </tp>
      <tp>
        <v>4.641</v>
        <stp/>
        <stp>P</stp>
        <stp>0</stp>
        <stp>IR</stp>
        <stp>BONDKBPF331</stp>
        <stp>5년이하(당일)</stp>
        <stp>45523</stp>
        <stp/>
        <tr r="AL77" s="2"/>
        <tr r="AL77" s="2"/>
      </tp>
      <tp>
        <v>3.331</v>
        <stp/>
        <stp>P</stp>
        <stp>0</stp>
        <stp>IR</stp>
        <stp>BONDKBPE130</stp>
        <stp>7년이하(당일)</stp>
        <stp>45523</stp>
        <stp/>
        <tr r="AM27" s="2"/>
        <tr r="AM27" s="2"/>
      </tp>
      <tp>
        <v>6.0620000000000003</v>
        <stp/>
        <stp>P</stp>
        <stp>0</stp>
        <stp>IR</stp>
        <stp>BONDKBPE230</stp>
        <stp>4년이하(당일)</stp>
        <stp>45523</stp>
        <stp/>
        <tr r="AK39" s="2"/>
        <tr r="AK39" s="2"/>
      </tp>
      <tp>
        <v>6.1180000000000003</v>
        <stp/>
        <stp>P</stp>
        <stp>0</stp>
        <stp>IR</stp>
        <stp>BONDKBPE330</stp>
        <stp>5년이하(당일)</stp>
        <stp>45523</stp>
        <stp/>
        <tr r="AL48" s="2"/>
        <tr r="AL48" s="2"/>
      </tp>
      <tp>
        <v>4.8869999999999996</v>
        <stp/>
        <stp>P</stp>
        <stp>0</stp>
        <stp>IR</stp>
        <stp>BONDKBPF233</stp>
        <stp>4년이하(당일)</stp>
        <stp>45523</stp>
        <stp/>
        <tr r="AK69" s="2"/>
        <tr r="AK69" s="2"/>
      </tp>
      <tp>
        <v>5.7009999999999996</v>
        <stp/>
        <stp>P</stp>
        <stp>0</stp>
        <stp>IR</stp>
        <stp>BONDKBPF333</stp>
        <stp>5년이하(당일)</stp>
        <stp>45523</stp>
        <stp/>
        <tr r="AL79" s="2"/>
        <tr r="AL79" s="2"/>
      </tp>
      <tp>
        <v>4.4290000000000003</v>
        <stp/>
        <stp>P</stp>
        <stp>0</stp>
        <stp>IR</stp>
        <stp>BONDKBPF232</stp>
        <stp>4년이하(당일)</stp>
        <stp>45523</stp>
        <stp/>
        <tr r="AK68" s="2"/>
        <tr r="AK68" s="2"/>
      </tp>
      <tp>
        <v>5.1239999999999997</v>
        <stp/>
        <stp>P</stp>
        <stp>0</stp>
        <stp>IR</stp>
        <stp>BONDKBPF332</stp>
        <stp>5년이하(당일)</stp>
        <stp>45523</stp>
        <stp/>
        <tr r="AL78" s="2"/>
        <tr r="AL78" s="2"/>
      </tp>
      <tp>
        <v>3.2559999999999998</v>
        <stp/>
        <stp>P</stp>
        <stp>0</stp>
        <stp>IR</stp>
        <stp>BONDKBPE13C</stp>
        <stp>7년이하(당일)</stp>
        <stp>45523</stp>
        <stp/>
        <tr r="AM22" s="2"/>
        <tr r="AM22" s="2"/>
      </tp>
      <tp>
        <v>3.3279999999999998</v>
        <stp/>
        <stp>P</stp>
        <stp>0</stp>
        <stp>IR</stp>
        <stp>BONDKBPE204</stp>
        <stp>4년이하(당일)</stp>
        <stp>45523</stp>
        <stp/>
        <tr r="AK34" s="2"/>
        <tr r="AK34" s="2"/>
      </tp>
      <tp>
        <v>3.3279999999999998</v>
        <stp/>
        <stp>P</stp>
        <stp>0</stp>
        <stp>IR</stp>
        <stp>BONDKBPE304</stp>
        <stp>5년이하(당일)</stp>
        <stp>45523</stp>
        <stp/>
        <tr r="AL43" s="2"/>
        <tr r="AL43" s="2"/>
      </tp>
      <tp>
        <v>3.274</v>
        <stp/>
        <stp>P</stp>
        <stp>0</stp>
        <stp>IR</stp>
        <stp>BONDKBPC401</stp>
        <stp>2년이하(당일)</stp>
        <stp>45523</stp>
        <stp/>
        <tr r="AH17" s="2"/>
        <tr r="AH17" s="2"/>
      </tp>
      <tp>
        <v>2.98</v>
        <stp/>
        <stp>P</stp>
        <stp>0</stp>
        <stp>IR</stp>
        <stp>BONDKBPA100</stp>
        <stp>7년이하(당일)</stp>
        <stp>45523</stp>
        <stp/>
        <tr r="AM9" s="2"/>
        <tr r="AM9" s="2"/>
      </tp>
      <tp>
        <v>2.8460000000000001</v>
        <stp/>
        <stp>P</stp>
        <stp>0</stp>
        <stp>IR</stp>
        <stp>BONDKBPA200</stp>
        <stp>4년이하(당일)</stp>
        <stp>45523</stp>
        <stp/>
        <tr r="AK11" s="2"/>
        <tr r="AK11" s="2"/>
      </tp>
      <tp>
        <v>3.05</v>
        <stp/>
        <stp>P</stp>
        <stp>0</stp>
        <stp>IR</stp>
        <stp>BONDKBPA300</stp>
        <stp>5년이하(당일)</stp>
        <stp>45523</stp>
        <stp/>
        <tr r="AL10" s="2"/>
        <tr r="AL10" s="2"/>
      </tp>
      <tp t="s">
        <v xml:space="preserve"> </v>
        <stp/>
        <stp>P</stp>
        <stp>0</stp>
        <stp>IR</stp>
        <stp>BONDKBPA400</stp>
        <stp>2년이하(당일)</stp>
        <stp>45523</stp>
        <stp/>
        <tr r="AH12" s="2"/>
        <tr r="AH12" s="2"/>
      </tp>
      <tp>
        <v>3.2970000000000002</v>
        <stp/>
        <stp>P</stp>
        <stp>0</stp>
        <stp>IR</stp>
        <stp>BONDKBPB100</stp>
        <stp>7년이하(당일)</stp>
        <stp>45523</stp>
        <stp/>
        <tr r="AM13" s="2"/>
        <tr r="AM13" s="2"/>
      </tp>
      <tp>
        <v>3.1320000000000001</v>
        <stp/>
        <stp>P</stp>
        <stp>0</stp>
        <stp>IR</stp>
        <stp>BONDKBPB200</stp>
        <stp>4년이하(당일)</stp>
        <stp>45523</stp>
        <stp/>
        <tr r="AK14" s="2"/>
        <tr r="AK14" s="2"/>
      </tp>
      <tp>
        <v>3.1459999999999999</v>
        <stp/>
        <stp>P</stp>
        <stp>0</stp>
        <stp>IR</stp>
        <stp>BONDKBPC300</stp>
        <stp>5년이하(당일)</stp>
        <stp>45523</stp>
        <stp/>
        <tr r="AL16" s="2"/>
        <tr r="AL16" s="2"/>
      </tp>
      <tp>
        <v>3.4140000000000001</v>
        <stp/>
        <stp>P</stp>
        <stp>0</stp>
        <stp>IR</stp>
        <stp>BONDKBPC400</stp>
        <stp>2년이하(당일)</stp>
        <stp>45523</stp>
        <stp/>
        <tr r="AH18" s="2"/>
        <tr r="AH18" s="2"/>
      </tp>
      <tp>
        <v>3.0710000000000002</v>
        <stp/>
        <stp>P</stp>
        <stp>0</stp>
        <stp>IR</stp>
        <stp>BONDKBPC500</stp>
        <stp>3년이하(당일)</stp>
        <stp>45523</stp>
        <stp/>
        <tr r="AJ15" s="2"/>
        <tr r="AJ15" s="2"/>
      </tp>
      <tp>
        <v>3.5449999999999999</v>
        <stp/>
        <stp>P</stp>
        <stp>0</stp>
        <stp>IR</stp>
        <stp>BONDKBPE200</stp>
        <stp>4년이하(당일)</stp>
        <stp>45523</stp>
        <stp/>
        <tr r="AK36" s="2"/>
        <tr r="AK36" s="2"/>
      </tp>
      <tp>
        <v>3.6549999999999998</v>
        <stp/>
        <stp>P</stp>
        <stp>0</stp>
        <stp>IR</stp>
        <stp>BONDKBPE300</stp>
        <stp>5년이하(당일)</stp>
        <stp>45523</stp>
        <stp/>
        <tr r="AL45" s="2"/>
        <tr r="AL45" s="2"/>
      </tp>
      <tp>
        <v>3.5329999999999999</v>
        <stp/>
        <stp>P</stp>
        <stp>0</stp>
        <stp>IR</stp>
        <stp>BONDKBPC402</stp>
        <stp>2년이하(당일)</stp>
        <stp>45523</stp>
        <stp/>
        <tr r="AH19" s="2"/>
        <tr r="AH19" s="2"/>
      </tp>
      <tp>
        <v>3.43</v>
        <stp/>
        <stp>P</stp>
        <stp>0</stp>
        <stp>IR</stp>
        <stp>BONDKBPE202</stp>
        <stp>4년이하(당일)</stp>
        <stp>45523</stp>
        <stp/>
        <tr r="AK35" s="2"/>
        <tr r="AK35" s="2"/>
      </tp>
      <tp>
        <v>3.532</v>
        <stp/>
        <stp>P</stp>
        <stp>0</stp>
        <stp>IR</stp>
        <stp>BONDKBPE302</stp>
        <stp>5년이하(당일)</stp>
        <stp>45523</stp>
        <stp/>
        <tr r="AL44" s="2"/>
        <tr r="AL44" s="2"/>
      </tp>
      <tp>
        <v>3.3980000000000001</v>
        <stp/>
        <stp>P</stp>
        <stp>0</stp>
        <stp>IR</stp>
        <stp>BONDKBPF114</stp>
        <stp>7년이하(당일)</stp>
        <stp>45523</stp>
        <stp/>
        <tr r="AM52" s="2"/>
        <tr r="AM52" s="2"/>
      </tp>
      <tp>
        <v>3.27</v>
        <stp/>
        <stp>P</stp>
        <stp>0</stp>
        <stp>IR</stp>
        <stp>BONDKBPE111</stp>
        <stp>7년이하(당일)</stp>
        <stp>45523</stp>
        <stp/>
        <tr r="AM24" s="2"/>
        <tr r="AM24" s="2"/>
      </tp>
      <tp>
        <v>3.21</v>
        <stp/>
        <stp>P</stp>
        <stp>0</stp>
        <stp>IR</stp>
        <stp>BONDKBPE110</stp>
        <stp>7년이하(당일)</stp>
        <stp>45523</stp>
        <stp/>
        <tr r="AM23" s="2"/>
        <tr r="AM23" s="2"/>
      </tp>
      <tp>
        <v>4.6749999999999998</v>
        <stp/>
        <stp>P</stp>
        <stp>0</stp>
        <stp>IR</stp>
        <stp>BONDKBPE210</stp>
        <stp>4년이하(당일)</stp>
        <stp>45523</stp>
        <stp/>
        <tr r="AK37" s="2"/>
        <tr r="AK37" s="2"/>
      </tp>
      <tp>
        <v>4.7930000000000001</v>
        <stp/>
        <stp>P</stp>
        <stp>0</stp>
        <stp>IR</stp>
        <stp>BONDKBPE310</stp>
        <stp>5년이하(당일)</stp>
        <stp>45523</stp>
        <stp/>
        <tr r="AL46" s="2"/>
        <tr r="AL46" s="2"/>
      </tp>
      <tp>
        <v>3.2759999999999998</v>
        <stp/>
        <stp>P</stp>
        <stp>0</stp>
        <stp>IR</stp>
        <stp>BONDKBPF212</stp>
        <stp>4년이하(당일)</stp>
        <stp>45523</stp>
        <stp/>
        <tr r="AK63" s="2"/>
        <tr r="AK63" s="2"/>
      </tp>
      <tp>
        <v>3.4089999999999998</v>
        <stp/>
        <stp>P</stp>
        <stp>0</stp>
        <stp>IR</stp>
        <stp>BONDKBPF312</stp>
        <stp>5년이하(당일)</stp>
        <stp>45523</stp>
        <stp/>
        <tr r="AL73" s="2"/>
        <tr r="AL73" s="2"/>
      </tp>
      <tp>
        <v>3.319</v>
        <stp/>
        <stp>P</stp>
        <stp>0</stp>
        <stp>IR</stp>
        <stp>BONDAV448</stp>
        <stp>1.5년이하(당일)</stp>
        <stp>45523</stp>
        <stp/>
        <tr r="I55" s="1"/>
        <tr r="I55" s="1"/>
      </tp>
      <tp>
        <v>3.3820000000000001</v>
        <stp/>
        <stp>P</stp>
        <stp>0</stp>
        <stp>IR</stp>
        <stp>BONDAV458</stp>
        <stp>1.5년이하(당일)</stp>
        <stp>45523</stp>
        <stp/>
        <tr r="I65" s="1"/>
        <tr r="I65" s="1"/>
      </tp>
      <tp>
        <v>8.5660000000000007</v>
        <stp/>
        <stp>P</stp>
        <stp>0</stp>
        <stp>IR</stp>
        <stp>BONDAV478</stp>
        <stp>1.5년이하(당일)</stp>
        <stp>45523</stp>
        <stp/>
        <tr r="I81" s="1"/>
        <tr r="I81" s="1"/>
      </tp>
      <tp>
        <v>3.2320000000000002</v>
        <stp/>
        <stp>P</stp>
        <stp>0</stp>
        <stp>IR</stp>
        <stp>BONDAV418</stp>
        <stp>1.5년이하(당일)</stp>
        <stp>45523</stp>
        <stp/>
        <tr r="I24" s="1"/>
        <tr r="I24" s="1"/>
      </tp>
      <tp>
        <v>3.5510000000000002</v>
        <stp/>
        <stp>P</stp>
        <stp>0</stp>
        <stp>IR</stp>
        <stp>BONDAV428</stp>
        <stp>1.5년이하(당일)</stp>
        <stp>45523</stp>
        <stp/>
        <tr r="I35" s="1"/>
        <tr r="I35" s="1"/>
      </tp>
      <tp>
        <v>4.4240000000000004</v>
        <stp/>
        <stp>P</stp>
        <stp>0</stp>
        <stp>IR</stp>
        <stp>BONDAV438</stp>
        <stp>1.5년이하(당일)</stp>
        <stp>45523</stp>
        <stp/>
        <tr r="I45" s="1"/>
        <tr r="I45" s="1"/>
      </tp>
      <tp>
        <v>3.28</v>
        <stp/>
        <stp>P</stp>
        <stp>0</stp>
        <stp>IR</stp>
        <stp>BONDAV448</stp>
        <stp>2.5년이하(당일)</stp>
        <stp>45523</stp>
        <stp/>
        <tr r="K55" s="1"/>
        <tr r="K55" s="1"/>
      </tp>
      <tp>
        <v>3.4020000000000001</v>
        <stp/>
        <stp>P</stp>
        <stp>0</stp>
        <stp>IR</stp>
        <stp>BONDAV458</stp>
        <stp>2.5년이하(당일)</stp>
        <stp>45523</stp>
        <stp/>
        <tr r="K65" s="1"/>
        <tr r="K65" s="1"/>
      </tp>
      <tp>
        <v>9.8539999999999992</v>
        <stp/>
        <stp>P</stp>
        <stp>0</stp>
        <stp>IR</stp>
        <stp>BONDAV478</stp>
        <stp>2.5년이하(당일)</stp>
        <stp>45523</stp>
        <stp/>
        <tr r="K81" s="1"/>
        <tr r="K81" s="1"/>
      </tp>
      <tp>
        <v>3.1259999999999999</v>
        <stp/>
        <stp>P</stp>
        <stp>0</stp>
        <stp>IR</stp>
        <stp>BONDAV418</stp>
        <stp>2.5년이하(당일)</stp>
        <stp>45523</stp>
        <stp/>
        <tr r="K24" s="1"/>
        <tr r="K24" s="1"/>
      </tp>
      <tp>
        <v>3.54</v>
        <stp/>
        <stp>P</stp>
        <stp>0</stp>
        <stp>IR</stp>
        <stp>BONDAV428</stp>
        <stp>2.5년이하(당일)</stp>
        <stp>45523</stp>
        <stp/>
        <tr r="K35" s="1"/>
        <tr r="K35" s="1"/>
      </tp>
      <tp>
        <v>4.4870000000000001</v>
        <stp/>
        <stp>P</stp>
        <stp>0</stp>
        <stp>IR</stp>
        <stp>BONDAV438</stp>
        <stp>2.5년이하(당일)</stp>
        <stp>45523</stp>
        <stp/>
        <tr r="K45" s="1"/>
        <tr r="K45" s="1"/>
      </tp>
      <tp>
        <v>7.2220000000000004</v>
        <stp/>
        <stp>P</stp>
        <stp>0</stp>
        <stp>IR</stp>
        <stp>BONDKBPF241</stp>
        <stp>5년이하(당일)</stp>
        <stp>45523</stp>
        <stp/>
        <tr r="AL70" s="2"/>
        <tr r="AL70" s="2"/>
      </tp>
      <tp>
        <v>7.7850000000000001</v>
        <stp/>
        <stp>P</stp>
        <stp>0</stp>
        <stp>IR</stp>
        <stp>BONDKBPF341</stp>
        <stp>4년이하(당일)</stp>
        <stp>45523</stp>
        <stp/>
        <tr r="AK80" s="2"/>
        <tr r="AK80" s="2"/>
      </tp>
      <tp>
        <v>8.3089999999999993</v>
        <stp/>
        <stp>P</stp>
        <stp>0</stp>
        <stp>IR</stp>
        <stp>BONDKBPE340</stp>
        <stp>4년이하(당일)</stp>
        <stp>45523</stp>
        <stp/>
        <tr r="AK50" s="2"/>
        <tr r="AK50" s="2"/>
      </tp>
      <tp>
        <v>9.6920000000000002</v>
        <stp/>
        <stp>P</stp>
        <stp>0</stp>
        <stp>IR</stp>
        <stp>BONDKBPF243</stp>
        <stp>5년이하(당일)</stp>
        <stp>45523</stp>
        <stp/>
        <tr r="AL72" s="2"/>
        <tr r="AL72" s="2"/>
      </tp>
      <tp>
        <v>10.452999999999999</v>
        <stp/>
        <stp>P</stp>
        <stp>0</stp>
        <stp>IR</stp>
        <stp>BONDKBPF343</stp>
        <stp>4년이하(당일)</stp>
        <stp>45523</stp>
        <stp/>
        <tr r="AK82" s="2"/>
        <tr r="AK82" s="2"/>
      </tp>
      <tp>
        <v>7.359</v>
        <stp/>
        <stp>P</stp>
        <stp>0</stp>
        <stp>IR</stp>
        <stp>BONDKBPE342</stp>
        <stp>4년이하(당일)</stp>
        <stp>45523</stp>
        <stp/>
        <tr r="AK49" s="2"/>
        <tr r="AK49" s="2"/>
      </tp>
      <tp>
        <v>8.2720000000000002</v>
        <stp/>
        <stp>P</stp>
        <stp>0</stp>
        <stp>IR</stp>
        <stp>BONDKBPF242</stp>
        <stp>5년이하(당일)</stp>
        <stp>45523</stp>
        <stp/>
        <tr r="AL71" s="2"/>
        <tr r="AL71" s="2"/>
      </tp>
      <tp>
        <v>8.98</v>
        <stp/>
        <stp>P</stp>
        <stp>0</stp>
        <stp>IR</stp>
        <stp>BONDKBPF342</stp>
        <stp>4년이하(당일)</stp>
        <stp>45523</stp>
        <stp/>
        <tr r="AK81" s="2"/>
        <tr r="AK81" s="2"/>
      </tp>
      <tp>
        <v>9.5589999999999993</v>
        <stp/>
        <stp>P</stp>
        <stp>0</stp>
        <stp>IR</stp>
        <stp>BONDKBPE350</stp>
        <stp>4년이하(당일)</stp>
        <stp>45523</stp>
        <stp/>
        <tr r="AK51" s="2"/>
        <tr r="AK51" s="2"/>
      </tp>
      <tp>
        <v>3.3719999999999999</v>
        <stp/>
        <stp>P</stp>
        <stp>0</stp>
        <stp>IR</stp>
        <stp>BONDKBPF221</stp>
        <stp>5년이하(당일)</stp>
        <stp>45523</stp>
        <stp/>
        <tr r="AL64" s="2"/>
        <tr r="AL64" s="2"/>
      </tp>
      <tp>
        <v>3.5179999999999998</v>
        <stp/>
        <stp>P</stp>
        <stp>0</stp>
        <stp>IR</stp>
        <stp>BONDKBPF321</stp>
        <stp>4년이하(당일)</stp>
        <stp>45523</stp>
        <stp/>
        <tr r="AK74" s="2"/>
        <tr r="AK74" s="2"/>
      </tp>
      <tp>
        <v>5.4770000000000003</v>
        <stp/>
        <stp>P</stp>
        <stp>0</stp>
        <stp>IR</stp>
        <stp>BONDKBPE220</stp>
        <stp>5년이하(당일)</stp>
        <stp>45523</stp>
        <stp/>
        <tr r="AL38" s="2"/>
        <tr r="AL38" s="2"/>
      </tp>
      <tp>
        <v>5.3959999999999999</v>
        <stp/>
        <stp>P</stp>
        <stp>0</stp>
        <stp>IR</stp>
        <stp>BONDKBPE320</stp>
        <stp>4년이하(당일)</stp>
        <stp>45523</stp>
        <stp/>
        <tr r="AK47" s="2"/>
        <tr r="AK47" s="2"/>
      </tp>
      <tp>
        <v>3.5430000000000001</v>
        <stp/>
        <stp>P</stp>
        <stp>0</stp>
        <stp>IR</stp>
        <stp>BONDKBPF223</stp>
        <stp>5년이하(당일)</stp>
        <stp>45523</stp>
        <stp/>
        <tr r="AL66" s="2"/>
        <tr r="AL66" s="2"/>
      </tp>
      <tp>
        <v>3.6579999999999999</v>
        <stp/>
        <stp>P</stp>
        <stp>0</stp>
        <stp>IR</stp>
        <stp>BONDKBPF323</stp>
        <stp>4년이하(당일)</stp>
        <stp>45523</stp>
        <stp/>
        <tr r="AK76" s="2"/>
        <tr r="AK76" s="2"/>
      </tp>
      <tp>
        <v>3.4359999999999999</v>
        <stp/>
        <stp>P</stp>
        <stp>0</stp>
        <stp>IR</stp>
        <stp>BONDKBPF222</stp>
        <stp>5년이하(당일)</stp>
        <stp>45523</stp>
        <stp/>
        <tr r="AL65" s="2"/>
        <tr r="AL65" s="2"/>
      </tp>
      <tp>
        <v>3.573</v>
        <stp/>
        <stp>P</stp>
        <stp>0</stp>
        <stp>IR</stp>
        <stp>BONDKBPF322</stp>
        <stp>4년이하(당일)</stp>
        <stp>45523</stp>
        <stp/>
        <tr r="AK75" s="2"/>
        <tr r="AK75" s="2"/>
      </tp>
      <tp>
        <v>4.2679999999999998</v>
        <stp/>
        <stp>P</stp>
        <stp>0</stp>
        <stp>IR</stp>
        <stp>BONDKBPF231</stp>
        <stp>5년이하(당일)</stp>
        <stp>45523</stp>
        <stp/>
        <tr r="AL67" s="2"/>
        <tr r="AL67" s="2"/>
      </tp>
      <tp>
        <v>4.45</v>
        <stp/>
        <stp>P</stp>
        <stp>0</stp>
        <stp>IR</stp>
        <stp>BONDKBPF331</stp>
        <stp>4년이하(당일)</stp>
        <stp>45523</stp>
        <stp/>
        <tr r="AK77" s="2"/>
        <tr r="AK77" s="2"/>
      </tp>
      <tp>
        <v>6.1180000000000003</v>
        <stp/>
        <stp>P</stp>
        <stp>0</stp>
        <stp>IR</stp>
        <stp>BONDKBPE230</stp>
        <stp>5년이하(당일)</stp>
        <stp>45523</stp>
        <stp/>
        <tr r="AL39" s="2"/>
        <tr r="AL39" s="2"/>
      </tp>
      <tp>
        <v>6.0620000000000003</v>
        <stp/>
        <stp>P</stp>
        <stp>0</stp>
        <stp>IR</stp>
        <stp>BONDKBPE330</stp>
        <stp>4년이하(당일)</stp>
        <stp>45523</stp>
        <stp/>
        <tr r="AK48" s="2"/>
        <tr r="AK48" s="2"/>
      </tp>
      <tp>
        <v>5.218</v>
        <stp/>
        <stp>P</stp>
        <stp>0</stp>
        <stp>IR</stp>
        <stp>BONDKBPF233</stp>
        <stp>5년이하(당일)</stp>
        <stp>45523</stp>
        <stp/>
        <tr r="AL69" s="2"/>
        <tr r="AL69" s="2"/>
      </tp>
      <tp>
        <v>5.35</v>
        <stp/>
        <stp>P</stp>
        <stp>0</stp>
        <stp>IR</stp>
        <stp>BONDKBPF333</stp>
        <stp>4년이하(당일)</stp>
        <stp>45523</stp>
        <stp/>
        <tr r="AK79" s="2"/>
        <tr r="AK79" s="2"/>
      </tp>
      <tp>
        <v>4.681</v>
        <stp/>
        <stp>P</stp>
        <stp>0</stp>
        <stp>IR</stp>
        <stp>BONDKBPF232</stp>
        <stp>5년이하(당일)</stp>
        <stp>45523</stp>
        <stp/>
        <tr r="AL68" s="2"/>
        <tr r="AL68" s="2"/>
      </tp>
      <tp>
        <v>4.8879999999999999</v>
        <stp/>
        <stp>P</stp>
        <stp>0</stp>
        <stp>IR</stp>
        <stp>BONDKBPF332</stp>
        <stp>4년이하(당일)</stp>
        <stp>45523</stp>
        <stp/>
        <tr r="AK78" s="2"/>
        <tr r="AK78" s="2"/>
      </tp>
      <tp>
        <v>3.3279999999999998</v>
        <stp/>
        <stp>P</stp>
        <stp>0</stp>
        <stp>IR</stp>
        <stp>BONDKBPE204</stp>
        <stp>5년이하(당일)</stp>
        <stp>45523</stp>
        <stp/>
        <tr r="AL34" s="2"/>
        <tr r="AL34" s="2"/>
      </tp>
      <tp>
        <v>3.3279999999999998</v>
        <stp/>
        <stp>P</stp>
        <stp>0</stp>
        <stp>IR</stp>
        <stp>BONDKBPE304</stp>
        <stp>4년이하(당일)</stp>
        <stp>45523</stp>
        <stp/>
        <tr r="AK43" s="2"/>
        <tr r="AK43" s="2"/>
      </tp>
      <tp>
        <v>3.1520000000000001</v>
        <stp/>
        <stp>P</stp>
        <stp>0</stp>
        <stp>IR</stp>
        <stp>BONDKBPZ001</stp>
        <stp>7년이하(당일)</stp>
        <stp>45523</stp>
        <stp/>
        <tr r="AM83" s="2"/>
        <tr r="AM83" s="2"/>
      </tp>
      <tp>
        <v>3.2410000000000001</v>
        <stp/>
        <stp>P</stp>
        <stp>0</stp>
        <stp>IR</stp>
        <stp>BONDKBPC401</stp>
        <stp>3년이하(당일)</stp>
        <stp>45523</stp>
        <stp/>
        <tr r="AJ17" s="2"/>
        <tr r="AJ17" s="2"/>
      </tp>
      <tp t="s">
        <v/>
        <stp/>
        <stp>P</stp>
        <stp>0</stp>
        <stp>IR</stp>
        <stp>BONDKBPD001</stp>
        <stp>7년이하(당일)</stp>
        <stp>45523</stp>
        <stp/>
        <tr r="AM21" s="2"/>
        <tr r="AM21" s="2"/>
      </tp>
      <tp>
        <v>2.8180000000000001</v>
        <stp/>
        <stp>P</stp>
        <stp>0</stp>
        <stp>IR</stp>
        <stp>BONDKBPA200</stp>
        <stp>5년이하(당일)</stp>
        <stp>45523</stp>
        <stp/>
        <tr r="AL11" s="2"/>
        <tr r="AL11" s="2"/>
      </tp>
      <tp>
        <v>3.02</v>
        <stp/>
        <stp>P</stp>
        <stp>0</stp>
        <stp>IR</stp>
        <stp>BONDKBPA300</stp>
        <stp>4년이하(당일)</stp>
        <stp>45523</stp>
        <stp/>
        <tr r="AK10" s="2"/>
        <tr r="AK10" s="2"/>
      </tp>
      <tp t="s">
        <v xml:space="preserve"> </v>
        <stp/>
        <stp>P</stp>
        <stp>0</stp>
        <stp>IR</stp>
        <stp>BONDKBPA400</stp>
        <stp>3년이하(당일)</stp>
        <stp>45523</stp>
        <stp/>
        <tr r="AJ12" s="2"/>
        <tr r="AJ12" s="2"/>
      </tp>
      <tp>
        <v>3.101</v>
        <stp/>
        <stp>P</stp>
        <stp>0</stp>
        <stp>IR</stp>
        <stp>BONDKBPB200</stp>
        <stp>5년이하(당일)</stp>
        <stp>45523</stp>
        <stp/>
        <tr r="AL14" s="2"/>
        <tr r="AL14" s="2"/>
      </tp>
      <tp>
        <v>3.1379999999999999</v>
        <stp/>
        <stp>P</stp>
        <stp>0</stp>
        <stp>IR</stp>
        <stp>BONDKBPC300</stp>
        <stp>4년이하(당일)</stp>
        <stp>45523</stp>
        <stp/>
        <tr r="AK16" s="2"/>
        <tr r="AK16" s="2"/>
      </tp>
      <tp>
        <v>3.3860000000000001</v>
        <stp/>
        <stp>P</stp>
        <stp>0</stp>
        <stp>IR</stp>
        <stp>BONDKBPC400</stp>
        <stp>3년이하(당일)</stp>
        <stp>45523</stp>
        <stp/>
        <tr r="AJ18" s="2"/>
        <tr r="AJ18" s="2"/>
      </tp>
      <tp>
        <v>3.1179999999999999</v>
        <stp/>
        <stp>P</stp>
        <stp>0</stp>
        <stp>IR</stp>
        <stp>BONDKBPC500</stp>
        <stp>2년이하(당일)</stp>
        <stp>45523</stp>
        <stp/>
        <tr r="AH15" s="2"/>
        <tr r="AH15" s="2"/>
      </tp>
      <tp t="s">
        <v/>
        <stp/>
        <stp>P</stp>
        <stp>0</stp>
        <stp>IR</stp>
        <stp>BONDKBPD000</stp>
        <stp>7년이하(당일)</stp>
        <stp>45523</stp>
        <stp/>
        <tr r="AM20" s="2"/>
        <tr r="AM20" s="2"/>
      </tp>
      <tp>
        <v>3.6549999999999998</v>
        <stp/>
        <stp>P</stp>
        <stp>0</stp>
        <stp>IR</stp>
        <stp>BONDKBPE200</stp>
        <stp>5년이하(당일)</stp>
        <stp>45523</stp>
        <stp/>
        <tr r="AL36" s="2"/>
        <tr r="AL36" s="2"/>
      </tp>
      <tp>
        <v>3.5449999999999999</v>
        <stp/>
        <stp>P</stp>
        <stp>0</stp>
        <stp>IR</stp>
        <stp>BONDKBPE300</stp>
        <stp>4년이하(당일)</stp>
        <stp>45523</stp>
        <stp/>
        <tr r="AK45" s="2"/>
        <tr r="AK45" s="2"/>
      </tp>
      <tp>
        <v>3.5190000000000001</v>
        <stp/>
        <stp>P</stp>
        <stp>0</stp>
        <stp>IR</stp>
        <stp>BONDKBPC402</stp>
        <stp>3년이하(당일)</stp>
        <stp>45523</stp>
        <stp/>
        <tr r="AJ19" s="2"/>
        <tr r="AJ19" s="2"/>
      </tp>
      <tp>
        <v>3.532</v>
        <stp/>
        <stp>P</stp>
        <stp>0</stp>
        <stp>IR</stp>
        <stp>BONDKBPE202</stp>
        <stp>5년이하(당일)</stp>
        <stp>45523</stp>
        <stp/>
        <tr r="AL35" s="2"/>
        <tr r="AL35" s="2"/>
      </tp>
      <tp>
        <v>3.43</v>
        <stp/>
        <stp>P</stp>
        <stp>0</stp>
        <stp>IR</stp>
        <stp>BONDKBPE302</stp>
        <stp>4년이하(당일)</stp>
        <stp>45523</stp>
        <stp/>
        <tr r="AK44" s="2"/>
        <tr r="AK44" s="2"/>
      </tp>
      <tp>
        <v>4.7930000000000001</v>
        <stp/>
        <stp>P</stp>
        <stp>0</stp>
        <stp>IR</stp>
        <stp>BONDKBPE210</stp>
        <stp>5년이하(당일)</stp>
        <stp>45523</stp>
        <stp/>
        <tr r="AL37" s="2"/>
        <tr r="AL37" s="2"/>
      </tp>
      <tp>
        <v>4.6749999999999998</v>
        <stp/>
        <stp>P</stp>
        <stp>0</stp>
        <stp>IR</stp>
        <stp>BONDKBPE310</stp>
        <stp>4년이하(당일)</stp>
        <stp>45523</stp>
        <stp/>
        <tr r="AK46" s="2"/>
        <tr r="AK46" s="2"/>
      </tp>
      <tp>
        <v>3.278</v>
        <stp/>
        <stp>P</stp>
        <stp>0</stp>
        <stp>IR</stp>
        <stp>BONDKBPF212</stp>
        <stp>5년이하(당일)</stp>
        <stp>45523</stp>
        <stp/>
        <tr r="AL63" s="2"/>
        <tr r="AL63" s="2"/>
      </tp>
      <tp>
        <v>3.4009999999999998</v>
        <stp/>
        <stp>P</stp>
        <stp>0</stp>
        <stp>IR</stp>
        <stp>BONDKBPF312</stp>
        <stp>4년이하(당일)</stp>
        <stp>45523</stp>
        <stp/>
        <tr r="AK73" s="2"/>
        <tr r="AK73" s="2"/>
      </tp>
      <tp>
        <v>3.2869999999999999</v>
        <stp/>
        <stp>P</stp>
        <stp>0</stp>
        <stp>IR</stp>
        <stp>BONDKBPE144</stp>
        <stp>5년이하(당일)</stp>
        <stp>45523</stp>
        <stp/>
        <tr r="AL28" s="2"/>
        <tr r="AL28" s="2"/>
      </tp>
      <tp>
        <v>6.2519999999999998</v>
        <stp/>
        <stp>P</stp>
        <stp>0</stp>
        <stp>IR</stp>
        <stp>BONDKBPF144</stp>
        <stp>5년이하(당일)</stp>
        <stp>45523</stp>
        <stp/>
        <tr r="AL55" s="2"/>
        <tr r="AL55" s="2"/>
      </tp>
      <tp>
        <v>7.9580000000000002</v>
        <stp/>
        <stp>P</stp>
        <stp>0</stp>
        <stp>IR</stp>
        <stp>BONDKBPF341</stp>
        <stp>7년이하(당일)</stp>
        <stp>45523</stp>
        <stp/>
        <tr r="AM80" s="2"/>
        <tr r="AM80" s="2"/>
      </tp>
      <tp>
        <v>3.5830000000000002</v>
        <stp/>
        <stp>P</stp>
        <stp>0</stp>
        <stp>IR</stp>
        <stp>BONDKBPE140</stp>
        <stp>5년이하(당일)</stp>
        <stp>45523</stp>
        <stp/>
        <tr r="AL29" s="2"/>
        <tr r="AL29" s="2"/>
      </tp>
      <tp>
        <v>8.7629999999999999</v>
        <stp/>
        <stp>P</stp>
        <stp>0</stp>
        <stp>IR</stp>
        <stp>BONDKBPE340</stp>
        <stp>7년이하(당일)</stp>
        <stp>45523</stp>
        <stp/>
        <tr r="AM50" s="2"/>
        <tr r="AM50" s="2"/>
      </tp>
      <tp>
        <v>10.661</v>
        <stp/>
        <stp>P</stp>
        <stp>0</stp>
        <stp>IR</stp>
        <stp>BONDKBPF343</stp>
        <stp>7년이하(당일)</stp>
        <stp>45523</stp>
        <stp/>
        <tr r="AM82" s="2"/>
        <tr r="AM82" s="2"/>
      </tp>
      <tp>
        <v>3.82</v>
        <stp/>
        <stp>P</stp>
        <stp>0</stp>
        <stp>IR</stp>
        <stp>BONDKBPE142</stp>
        <stp>5년이하(당일)</stp>
        <stp>45523</stp>
        <stp/>
        <tr r="AL30" s="2"/>
        <tr r="AL30" s="2"/>
      </tp>
      <tp>
        <v>7.4429999999999996</v>
        <stp/>
        <stp>P</stp>
        <stp>0</stp>
        <stp>IR</stp>
        <stp>BONDKBPE342</stp>
        <stp>7년이하(당일)</stp>
        <stp>45523</stp>
        <stp/>
        <tr r="AM49" s="2"/>
        <tr r="AM49" s="2"/>
      </tp>
      <tp>
        <v>9.1929999999999996</v>
        <stp/>
        <stp>P</stp>
        <stp>0</stp>
        <stp>IR</stp>
        <stp>BONDKBPF342</stp>
        <stp>7년이하(당일)</stp>
        <stp>45523</stp>
        <stp/>
        <tr r="AM81" s="2"/>
        <tr r="AM81" s="2"/>
      </tp>
      <tp>
        <v>3.964</v>
        <stp/>
        <stp>P</stp>
        <stp>0</stp>
        <stp>IR</stp>
        <stp>BONDKBPE150</stp>
        <stp>5년이하(당일)</stp>
        <stp>45523</stp>
        <stp/>
        <tr r="AL31" s="2"/>
        <tr r="AL31" s="2"/>
      </tp>
      <tp>
        <v>10.013</v>
        <stp/>
        <stp>P</stp>
        <stp>0</stp>
        <stp>IR</stp>
        <stp>BONDKBPE350</stp>
        <stp>7년이하(당일)</stp>
        <stp>45523</stp>
        <stp/>
        <tr r="AM51" s="2"/>
        <tr r="AM51" s="2"/>
      </tp>
      <tp>
        <v>3.5619999999999998</v>
        <stp/>
        <stp>P</stp>
        <stp>0</stp>
        <stp>IR</stp>
        <stp>BONDKBPF124</stp>
        <stp>5년이하(당일)</stp>
        <stp>45523</stp>
        <stp/>
        <tr r="AL53" s="2"/>
        <tr r="AL53" s="2"/>
      </tp>
      <tp>
        <v>3.1520000000000001</v>
        <stp/>
        <stp>P</stp>
        <stp>0</stp>
        <stp>IR</stp>
        <stp>BONDKBPE121</stp>
        <stp>5년이하(당일)</stp>
        <stp>45523</stp>
        <stp/>
        <tr r="AL26" s="2"/>
        <tr r="AL26" s="2"/>
      </tp>
      <tp>
        <v>3.68</v>
        <stp/>
        <stp>P</stp>
        <stp>0</stp>
        <stp>IR</stp>
        <stp>BONDKBPF321</stp>
        <stp>7년이하(당일)</stp>
        <stp>45523</stp>
        <stp/>
        <tr r="AM74" s="2"/>
        <tr r="AM74" s="2"/>
      </tp>
      <tp>
        <v>3.1019999999999999</v>
        <stp/>
        <stp>P</stp>
        <stp>0</stp>
        <stp>IR</stp>
        <stp>BONDKBPE120</stp>
        <stp>5년이하(당일)</stp>
        <stp>45523</stp>
        <stp/>
        <tr r="AL25" s="2"/>
        <tr r="AL25" s="2"/>
      </tp>
      <tp>
        <v>5.548</v>
        <stp/>
        <stp>P</stp>
        <stp>0</stp>
        <stp>IR</stp>
        <stp>BONDKBPE320</stp>
        <stp>7년이하(당일)</stp>
        <stp>45523</stp>
        <stp/>
        <tr r="AM47" s="2"/>
        <tr r="AM47" s="2"/>
      </tp>
      <tp>
        <v>4.0250000000000004</v>
        <stp/>
        <stp>P</stp>
        <stp>0</stp>
        <stp>IR</stp>
        <stp>BONDKBPF323</stp>
        <stp>7년이하(당일)</stp>
        <stp>45523</stp>
        <stp/>
        <tr r="AM76" s="2"/>
        <tr r="AM76" s="2"/>
      </tp>
      <tp>
        <v>3.8220000000000001</v>
        <stp/>
        <stp>P</stp>
        <stp>0</stp>
        <stp>IR</stp>
        <stp>BONDKBPF322</stp>
        <stp>7년이하(당일)</stp>
        <stp>45523</stp>
        <stp/>
        <tr r="AM75" s="2"/>
        <tr r="AM75" s="2"/>
      </tp>
      <tp>
        <v>3.726</v>
        <stp/>
        <stp>P</stp>
        <stp>0</stp>
        <stp>IR</stp>
        <stp>BONDKBPF134</stp>
        <stp>5년이하(당일)</stp>
        <stp>45523</stp>
        <stp/>
        <tr r="AL54" s="2"/>
        <tr r="AL54" s="2"/>
      </tp>
      <tp>
        <v>4.8650000000000002</v>
        <stp/>
        <stp>P</stp>
        <stp>0</stp>
        <stp>IR</stp>
        <stp>BONDKBPF331</stp>
        <stp>7년이하(당일)</stp>
        <stp>45523</stp>
        <stp/>
        <tr r="AM77" s="2"/>
        <tr r="AM77" s="2"/>
      </tp>
      <tp>
        <v>3.2050000000000001</v>
        <stp/>
        <stp>P</stp>
        <stp>0</stp>
        <stp>IR</stp>
        <stp>BONDKBPE130</stp>
        <stp>5년이하(당일)</stp>
        <stp>45523</stp>
        <stp/>
        <tr r="AL27" s="2"/>
        <tr r="AL27" s="2"/>
      </tp>
      <tp>
        <v>6.1950000000000003</v>
        <stp/>
        <stp>P</stp>
        <stp>0</stp>
        <stp>IR</stp>
        <stp>BONDKBPE330</stp>
        <stp>7년이하(당일)</stp>
        <stp>45523</stp>
        <stp/>
        <tr r="AM48" s="2"/>
        <tr r="AM48" s="2"/>
      </tp>
      <tp>
        <v>5.9210000000000003</v>
        <stp/>
        <stp>P</stp>
        <stp>0</stp>
        <stp>IR</stp>
        <stp>BONDKBPF333</stp>
        <stp>7년이하(당일)</stp>
        <stp>45523</stp>
        <stp/>
        <tr r="AM79" s="2"/>
        <tr r="AM79" s="2"/>
      </tp>
      <tp>
        <v>5.3719999999999999</v>
        <stp/>
        <stp>P</stp>
        <stp>0</stp>
        <stp>IR</stp>
        <stp>BONDKBPF332</stp>
        <stp>7년이하(당일)</stp>
        <stp>45523</stp>
        <stp/>
        <tr r="AM78" s="2"/>
        <tr r="AM78" s="2"/>
      </tp>
      <tp>
        <v>3.1579999999999999</v>
        <stp/>
        <stp>P</stp>
        <stp>0</stp>
        <stp>IR</stp>
        <stp>BONDKBPE13C</stp>
        <stp>5년이하(당일)</stp>
        <stp>45523</stp>
        <stp/>
        <tr r="AL22" s="2"/>
        <tr r="AL22" s="2"/>
      </tp>
      <tp>
        <v>3.738</v>
        <stp/>
        <stp>P</stp>
        <stp>0</stp>
        <stp>IR</stp>
        <stp>BONDKBPE304</stp>
        <stp>7년이하(당일)</stp>
        <stp>45523</stp>
        <stp/>
        <tr r="AM43" s="2"/>
        <tr r="AM43" s="2"/>
      </tp>
      <tp>
        <v>3.1379999999999999</v>
        <stp/>
        <stp>P</stp>
        <stp>0</stp>
        <stp>IR</stp>
        <stp>BONDKBPZ001</stp>
        <stp>4년이하(당일)</stp>
        <stp>45523</stp>
        <stp/>
        <tr r="AK83" s="2"/>
        <tr r="AK83" s="2"/>
      </tp>
      <tp t="s">
        <v/>
        <stp/>
        <stp>P</stp>
        <stp>0</stp>
        <stp>IR</stp>
        <stp>BONDKBPD001</stp>
        <stp>4년이하(당일)</stp>
        <stp>45523</stp>
        <stp/>
        <tr r="AK21" s="2"/>
        <tr r="AK21" s="2"/>
      </tp>
      <tp>
        <v>2.93</v>
        <stp/>
        <stp>P</stp>
        <stp>0</stp>
        <stp>IR</stp>
        <stp>BONDKBPA100</stp>
        <stp>5년이하(당일)</stp>
        <stp>45523</stp>
        <stp/>
        <tr r="AL9" s="2"/>
        <tr r="AL9" s="2"/>
      </tp>
      <tp>
        <v>0</v>
        <stp/>
        <stp>P</stp>
        <stp>0</stp>
        <stp>IR</stp>
        <stp>BONDKBPA300</stp>
        <stp>7년이하(당일)</stp>
        <stp>45523</stp>
        <stp/>
        <tr r="AM10" s="2"/>
      </tp>
      <tp>
        <v>3.101</v>
        <stp/>
        <stp>P</stp>
        <stp>0</stp>
        <stp>IR</stp>
        <stp>BONDKBPB100</stp>
        <stp>5년이하(당일)</stp>
        <stp>45523</stp>
        <stp/>
        <tr r="AL13" s="2"/>
        <tr r="AL13" s="2"/>
      </tp>
      <tp>
        <v>3.1520000000000001</v>
        <stp/>
        <stp>P</stp>
        <stp>0</stp>
        <stp>IR</stp>
        <stp>BONDKBPC300</stp>
        <stp>7년이하(당일)</stp>
        <stp>45523</stp>
        <stp/>
        <tr r="AM16" s="2"/>
        <tr r="AM16" s="2"/>
      </tp>
      <tp>
        <v>3.1869999999999998</v>
        <stp/>
        <stp>P</stp>
        <stp>0</stp>
        <stp>IR</stp>
        <stp>BONDKBPC500</stp>
        <stp>1년이하(당일)</stp>
        <stp>45523</stp>
        <stp/>
        <tr r="AF15" s="2"/>
        <tr r="AF15" s="2"/>
      </tp>
      <tp t="s">
        <v/>
        <stp/>
        <stp>P</stp>
        <stp>0</stp>
        <stp>IR</stp>
        <stp>BONDKBPD000</stp>
        <stp>4년이하(당일)</stp>
        <stp>45523</stp>
        <stp/>
        <tr r="AK20" s="2"/>
        <tr r="AK20" s="2"/>
      </tp>
      <tp>
        <v>4.125</v>
        <stp/>
        <stp>P</stp>
        <stp>0</stp>
        <stp>IR</stp>
        <stp>BONDKBPE300</stp>
        <stp>7년이하(당일)</stp>
        <stp>45523</stp>
        <stp/>
        <tr r="AM45" s="2"/>
        <tr r="AM45" s="2"/>
      </tp>
      <tp>
        <v>3.911</v>
        <stp/>
        <stp>P</stp>
        <stp>0</stp>
        <stp>IR</stp>
        <stp>BONDKBPE302</stp>
        <stp>7년이하(당일)</stp>
        <stp>45523</stp>
        <stp/>
        <tr r="AM44" s="2"/>
        <tr r="AM44" s="2"/>
      </tp>
      <tp>
        <v>3.3180000000000001</v>
        <stp/>
        <stp>P</stp>
        <stp>0</stp>
        <stp>IR</stp>
        <stp>BONDKBPF114</stp>
        <stp>5년이하(당일)</stp>
        <stp>45523</stp>
        <stp/>
        <tr r="AL52" s="2"/>
        <tr r="AL52" s="2"/>
      </tp>
      <tp>
        <v>3.1419999999999999</v>
        <stp/>
        <stp>P</stp>
        <stp>0</stp>
        <stp>IR</stp>
        <stp>BONDKBPE111</stp>
        <stp>5년이하(당일)</stp>
        <stp>45523</stp>
        <stp/>
        <tr r="AL24" s="2"/>
        <tr r="AL24" s="2"/>
      </tp>
      <tp>
        <v>3.0920000000000001</v>
        <stp/>
        <stp>P</stp>
        <stp>0</stp>
        <stp>IR</stp>
        <stp>BONDKBPE110</stp>
        <stp>5년이하(당일)</stp>
        <stp>45523</stp>
        <stp/>
        <tr r="AL23" s="2"/>
        <tr r="AL23" s="2"/>
      </tp>
      <tp>
        <v>5.0279999999999996</v>
        <stp/>
        <stp>P</stp>
        <stp>0</stp>
        <stp>IR</stp>
        <stp>BONDKBPE310</stp>
        <stp>7년이하(당일)</stp>
        <stp>45523</stp>
        <stp/>
        <tr r="AM46" s="2"/>
        <tr r="AM46" s="2"/>
      </tp>
      <tp>
        <v>3.5049999999999999</v>
        <stp/>
        <stp>P</stp>
        <stp>0</stp>
        <stp>IR</stp>
        <stp>BONDKBPF312</stp>
        <stp>7년이하(당일)</stp>
        <stp>45523</stp>
        <stp/>
        <tr r="AM73" s="2"/>
        <tr r="AM73" s="2"/>
      </tp>
      <tp>
        <v>3.2029999999999998</v>
        <stp/>
        <stp>P</stp>
        <stp>0</stp>
        <stp>BND</stp>
        <stp>KR103503GCC6</stp>
        <stp>민평3사 수익률(산출일)</stp>
        <stp/>
        <stp/>
        <tr r="E8" s="3"/>
      </tp>
      <tp>
        <v>3.202</v>
        <stp/>
        <stp>P</stp>
        <stp>0</stp>
        <stp>BND</stp>
        <stp>KR103503GCC6</stp>
        <stp>민평4사 수익률(산출일)</stp>
        <stp/>
        <stp/>
        <tr r="F8" s="3"/>
      </tp>
      <tp>
        <v>3.28</v>
        <stp/>
        <stp>P</stp>
        <stp>0</stp>
        <stp>IR</stp>
        <stp>BONDKBPE144</stp>
        <stp>4년이하(당일)</stp>
        <stp>45523</stp>
        <stp/>
        <tr r="AK28" s="2"/>
        <tr r="AK28" s="2"/>
      </tp>
      <tp>
        <v>6.226</v>
        <stp/>
        <stp>P</stp>
        <stp>0</stp>
        <stp>IR</stp>
        <stp>BONDKBPF144</stp>
        <stp>4년이하(당일)</stp>
        <stp>45523</stp>
        <stp/>
        <tr r="AK55" s="2"/>
        <tr r="AK55" s="2"/>
      </tp>
      <tp>
        <v>7.3170000000000002</v>
        <stp/>
        <stp>P</stp>
        <stp>0</stp>
        <stp>IR</stp>
        <stp>BONDKBPF241</stp>
        <stp>7년이하(당일)</stp>
        <stp>45523</stp>
        <stp/>
        <tr r="AM70" s="2"/>
        <tr r="AM70" s="2"/>
      </tp>
      <tp>
        <v>3.548</v>
        <stp/>
        <stp>P</stp>
        <stp>0</stp>
        <stp>IR</stp>
        <stp>BONDKBPE140</stp>
        <stp>4년이하(당일)</stp>
        <stp>45523</stp>
        <stp/>
        <tr r="AK29" s="2"/>
        <tr r="AK29" s="2"/>
      </tp>
      <tp>
        <v>9.7919999999999998</v>
        <stp/>
        <stp>P</stp>
        <stp>0</stp>
        <stp>IR</stp>
        <stp>BONDKBPF243</stp>
        <stp>7년이하(당일)</stp>
        <stp>45523</stp>
        <stp/>
        <tr r="AM72" s="2"/>
        <tr r="AM72" s="2"/>
      </tp>
      <tp>
        <v>3.7869999999999999</v>
        <stp/>
        <stp>P</stp>
        <stp>0</stp>
        <stp>IR</stp>
        <stp>BONDKBPE142</stp>
        <stp>4년이하(당일)</stp>
        <stp>45523</stp>
        <stp/>
        <tr r="AK30" s="2"/>
        <tr r="AK30" s="2"/>
      </tp>
      <tp>
        <v>8.3719999999999999</v>
        <stp/>
        <stp>P</stp>
        <stp>0</stp>
        <stp>IR</stp>
        <stp>BONDKBPF242</stp>
        <stp>7년이하(당일)</stp>
        <stp>45523</stp>
        <stp/>
        <tr r="AM71" s="2"/>
        <tr r="AM71" s="2"/>
      </tp>
      <tp>
        <v>3.9279999999999999</v>
        <stp/>
        <stp>P</stp>
        <stp>0</stp>
        <stp>IR</stp>
        <stp>BONDKBPE150</stp>
        <stp>4년이하(당일)</stp>
        <stp>45523</stp>
        <stp/>
        <tr r="AK31" s="2"/>
        <tr r="AK31" s="2"/>
      </tp>
      <tp>
        <v>3.5339999999999998</v>
        <stp/>
        <stp>P</stp>
        <stp>0</stp>
        <stp>IR</stp>
        <stp>BONDKBPF124</stp>
        <stp>4년이하(당일)</stp>
        <stp>45523</stp>
        <stp/>
        <tr r="AK53" s="2"/>
        <tr r="AK53" s="2"/>
      </tp>
      <tp>
        <v>3.1389999999999998</v>
        <stp/>
        <stp>P</stp>
        <stp>0</stp>
        <stp>IR</stp>
        <stp>BONDKBPE121</stp>
        <stp>4년이하(당일)</stp>
        <stp>45523</stp>
        <stp/>
        <tr r="AK26" s="2"/>
        <tr r="AK26" s="2"/>
      </tp>
      <tp>
        <v>3.4929999999999999</v>
        <stp/>
        <stp>P</stp>
        <stp>0</stp>
        <stp>IR</stp>
        <stp>BONDKBPF221</stp>
        <stp>7년이하(당일)</stp>
        <stp>45523</stp>
        <stp/>
        <tr r="AM64" s="2"/>
        <tr r="AM64" s="2"/>
      </tp>
      <tp>
        <v>3.089</v>
        <stp/>
        <stp>P</stp>
        <stp>0</stp>
        <stp>IR</stp>
        <stp>BONDKBPE120</stp>
        <stp>4년이하(당일)</stp>
        <stp>45523</stp>
        <stp/>
        <tr r="AK25" s="2"/>
        <tr r="AK25" s="2"/>
      </tp>
      <tp>
        <v>5.548</v>
        <stp/>
        <stp>P</stp>
        <stp>0</stp>
        <stp>IR</stp>
        <stp>BONDKBPE220</stp>
        <stp>7년이하(당일)</stp>
        <stp>45523</stp>
        <stp/>
        <tr r="AM38" s="2"/>
        <tr r="AM38" s="2"/>
      </tp>
      <tp>
        <v>3.7829999999999999</v>
        <stp/>
        <stp>P</stp>
        <stp>0</stp>
        <stp>IR</stp>
        <stp>BONDKBPF223</stp>
        <stp>7년이하(당일)</stp>
        <stp>45523</stp>
        <stp/>
        <tr r="AM66" s="2"/>
        <tr r="AM66" s="2"/>
      </tp>
      <tp>
        <v>3.6</v>
        <stp/>
        <stp>P</stp>
        <stp>0</stp>
        <stp>IR</stp>
        <stp>BONDKBPF222</stp>
        <stp>7년이하(당일)</stp>
        <stp>45523</stp>
        <stp/>
        <tr r="AM65" s="2"/>
        <tr r="AM65" s="2"/>
      </tp>
      <tp>
        <v>3.6739999999999999</v>
        <stp/>
        <stp>P</stp>
        <stp>0</stp>
        <stp>IR</stp>
        <stp>BONDKBPF134</stp>
        <stp>4년이하(당일)</stp>
        <stp>45523</stp>
        <stp/>
        <tr r="AK54" s="2"/>
        <tr r="AK54" s="2"/>
      </tp>
      <tp>
        <v>4.4509999999999996</v>
        <stp/>
        <stp>P</stp>
        <stp>0</stp>
        <stp>IR</stp>
        <stp>BONDKBPF231</stp>
        <stp>7년이하(당일)</stp>
        <stp>45523</stp>
        <stp/>
        <tr r="AM67" s="2"/>
        <tr r="AM67" s="2"/>
      </tp>
      <tp>
        <v>3.202</v>
        <stp/>
        <stp>P</stp>
        <stp>0</stp>
        <stp>IR</stp>
        <stp>BONDKBPE130</stp>
        <stp>4년이하(당일)</stp>
        <stp>45523</stp>
        <stp/>
        <tr r="AK27" s="2"/>
        <tr r="AK27" s="2"/>
      </tp>
      <tp>
        <v>6.1950000000000003</v>
        <stp/>
        <stp>P</stp>
        <stp>0</stp>
        <stp>IR</stp>
        <stp>BONDKBPE230</stp>
        <stp>7년이하(당일)</stp>
        <stp>45523</stp>
        <stp/>
        <tr r="AM39" s="2"/>
        <tr r="AM39" s="2"/>
      </tp>
      <tp>
        <v>5.3970000000000002</v>
        <stp/>
        <stp>P</stp>
        <stp>0</stp>
        <stp>IR</stp>
        <stp>BONDKBPF233</stp>
        <stp>7년이하(당일)</stp>
        <stp>45523</stp>
        <stp/>
        <tr r="AM69" s="2"/>
        <tr r="AM69" s="2"/>
      </tp>
      <tp>
        <v>4.8979999999999997</v>
        <stp/>
        <stp>P</stp>
        <stp>0</stp>
        <stp>IR</stp>
        <stp>BONDKBPF232</stp>
        <stp>7년이하(당일)</stp>
        <stp>45523</stp>
        <stp/>
        <tr r="AM68" s="2"/>
        <tr r="AM68" s="2"/>
      </tp>
      <tp>
        <v>3.1549999999999998</v>
        <stp/>
        <stp>P</stp>
        <stp>0</stp>
        <stp>IR</stp>
        <stp>BONDKBPE13C</stp>
        <stp>4년이하(당일)</stp>
        <stp>45523</stp>
        <stp/>
        <tr r="AK22" s="2"/>
        <tr r="AK22" s="2"/>
      </tp>
      <tp>
        <v>3.738</v>
        <stp/>
        <stp>P</stp>
        <stp>0</stp>
        <stp>IR</stp>
        <stp>BONDKBPE204</stp>
        <stp>7년이하(당일)</stp>
        <stp>45523</stp>
        <stp/>
        <tr r="AM34" s="2"/>
        <tr r="AM34" s="2"/>
      </tp>
      <tp>
        <v>3.1459999999999999</v>
        <stp/>
        <stp>P</stp>
        <stp>0</stp>
        <stp>IR</stp>
        <stp>BONDKBPZ001</stp>
        <stp>5년이하(당일)</stp>
        <stp>45523</stp>
        <stp/>
        <tr r="AL83" s="2"/>
        <tr r="AL83" s="2"/>
      </tp>
      <tp>
        <v>3.3220000000000001</v>
        <stp/>
        <stp>P</stp>
        <stp>0</stp>
        <stp>IR</stp>
        <stp>BONDKBPC401</stp>
        <stp>1년이하(당일)</stp>
        <stp>45523</stp>
        <stp/>
        <tr r="AF17" s="2"/>
        <tr r="AF17" s="2"/>
      </tp>
      <tp t="s">
        <v/>
        <stp/>
        <stp>P</stp>
        <stp>0</stp>
        <stp>IR</stp>
        <stp>BONDKBPD001</stp>
        <stp>5년이하(당일)</stp>
        <stp>45523</stp>
        <stp/>
        <tr r="AL21" s="2"/>
        <tr r="AL21" s="2"/>
      </tp>
      <tp>
        <v>2.9420000000000002</v>
        <stp/>
        <stp>P</stp>
        <stp>0</stp>
        <stp>IR</stp>
        <stp>BONDKBPA100</stp>
        <stp>4년이하(당일)</stp>
        <stp>45523</stp>
        <stp/>
        <tr r="AK9" s="2"/>
        <tr r="AK9" s="2"/>
      </tp>
      <tp>
        <v>2.9609999999999999</v>
        <stp/>
        <stp>P</stp>
        <stp>0</stp>
        <stp>IR</stp>
        <stp>BONDKBPA200</stp>
        <stp>7년이하(당일)</stp>
        <stp>45523</stp>
        <stp/>
        <tr r="AM11" s="2"/>
        <tr r="AM11" s="2"/>
      </tp>
      <tp t="s">
        <v xml:space="preserve"> </v>
        <stp/>
        <stp>P</stp>
        <stp>0</stp>
        <stp>IR</stp>
        <stp>BONDKBPA400</stp>
        <stp>1년이하(당일)</stp>
        <stp>45523</stp>
        <stp/>
        <tr r="AF12" s="2"/>
        <tr r="AF12" s="2"/>
      </tp>
      <tp>
        <v>3.1320000000000001</v>
        <stp/>
        <stp>P</stp>
        <stp>0</stp>
        <stp>IR</stp>
        <stp>BONDKBPB100</stp>
        <stp>4년이하(당일)</stp>
        <stp>45523</stp>
        <stp/>
        <tr r="AK13" s="2"/>
        <tr r="AK13" s="2"/>
      </tp>
      <tp>
        <v>3.2970000000000002</v>
        <stp/>
        <stp>P</stp>
        <stp>0</stp>
        <stp>IR</stp>
        <stp>BONDKBPB200</stp>
        <stp>7년이하(당일)</stp>
        <stp>45523</stp>
        <stp/>
        <tr r="AM14" s="2"/>
        <tr r="AM14" s="2"/>
      </tp>
      <tp>
        <v>3.427</v>
        <stp/>
        <stp>P</stp>
        <stp>0</stp>
        <stp>IR</stp>
        <stp>BONDKBPC400</stp>
        <stp>1년이하(당일)</stp>
        <stp>45523</stp>
        <stp/>
        <tr r="AF18" s="2"/>
        <tr r="AF18" s="2"/>
      </tp>
      <tp t="s">
        <v/>
        <stp/>
        <stp>P</stp>
        <stp>0</stp>
        <stp>IR</stp>
        <stp>BONDKBPD000</stp>
        <stp>5년이하(당일)</stp>
        <stp>45523</stp>
        <stp/>
        <tr r="AL20" s="2"/>
        <tr r="AL20" s="2"/>
      </tp>
      <tp>
        <v>4.125</v>
        <stp/>
        <stp>P</stp>
        <stp>0</stp>
        <stp>IR</stp>
        <stp>BONDKBPE200</stp>
        <stp>7년이하(당일)</stp>
        <stp>45523</stp>
        <stp/>
        <tr r="AM36" s="2"/>
        <tr r="AM36" s="2"/>
      </tp>
      <tp>
        <v>3.548</v>
        <stp/>
        <stp>P</stp>
        <stp>0</stp>
        <stp>IR</stp>
        <stp>BONDKBPC402</stp>
        <stp>1년이하(당일)</stp>
        <stp>45523</stp>
        <stp/>
        <tr r="AF19" s="2"/>
        <tr r="AF19" s="2"/>
      </tp>
      <tp>
        <v>3.911</v>
        <stp/>
        <stp>P</stp>
        <stp>0</stp>
        <stp>IR</stp>
        <stp>BONDKBPE202</stp>
        <stp>7년이하(당일)</stp>
        <stp>45523</stp>
        <stp/>
        <tr r="AM35" s="2"/>
        <tr r="AM35" s="2"/>
      </tp>
      <tp>
        <v>3.306</v>
        <stp/>
        <stp>P</stp>
        <stp>0</stp>
        <stp>IR</stp>
        <stp>BONDKBPF114</stp>
        <stp>4년이하(당일)</stp>
        <stp>45523</stp>
        <stp/>
        <tr r="AK52" s="2"/>
        <tr r="AK52" s="2"/>
      </tp>
      <tp>
        <v>3.13</v>
        <stp/>
        <stp>P</stp>
        <stp>0</stp>
        <stp>IR</stp>
        <stp>BONDKBPE111</stp>
        <stp>4년이하(당일)</stp>
        <stp>45523</stp>
        <stp/>
        <tr r="AK24" s="2"/>
        <tr r="AK24" s="2"/>
      </tp>
      <tp>
        <v>3.08</v>
        <stp/>
        <stp>P</stp>
        <stp>0</stp>
        <stp>IR</stp>
        <stp>BONDKBPE110</stp>
        <stp>4년이하(당일)</stp>
        <stp>45523</stp>
        <stp/>
        <tr r="AK23" s="2"/>
        <tr r="AK23" s="2"/>
      </tp>
      <tp>
        <v>5.0279999999999996</v>
        <stp/>
        <stp>P</stp>
        <stp>0</stp>
        <stp>IR</stp>
        <stp>BONDKBPE210</stp>
        <stp>7년이하(당일)</stp>
        <stp>45523</stp>
        <stp/>
        <tr r="AM37" s="2"/>
        <tr r="AM37" s="2"/>
      </tp>
      <tp>
        <v>3.3479999999999999</v>
        <stp/>
        <stp>P</stp>
        <stp>0</stp>
        <stp>IR</stp>
        <stp>BONDKBPF212</stp>
        <stp>7년이하(당일)</stp>
        <stp>45523</stp>
        <stp/>
        <tr r="AM63" s="2"/>
        <tr r="AM63" s="2"/>
      </tp>
      <tp>
        <v>45636</v>
        <stp/>
        <stp>P</stp>
        <stp>0</stp>
        <stp>BND</stp>
        <stp>KR103503GCC6</stp>
        <stp>만기일</stp>
        <stp/>
        <stp>DtFmt=1</stp>
        <tr r="D8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data!$B$7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CheckBox" checked="Checked" fmlaLink="data!$D$7" lockText="1" noThreeD="1"/>
</file>

<file path=xl/ctrlProps/ctrlProp6.xml><?xml version="1.0" encoding="utf-8"?>
<formControlPr xmlns="http://schemas.microsoft.com/office/spreadsheetml/2009/9/main" objectType="CheckBox" checked="Checked" fmlaLink="data!$E$7" lockText="1" noThreeD="1"/>
</file>

<file path=xl/ctrlProps/ctrlProp7.xml><?xml version="1.0" encoding="utf-8"?>
<formControlPr xmlns="http://schemas.microsoft.com/office/spreadsheetml/2009/9/main" objectType="CheckBox" checked="Checked" fmlaLink="data!$F$7" lockText="1" noThreeD="1"/>
</file>

<file path=xl/ctrlProps/ctrlProp8.xml><?xml version="1.0" encoding="utf-8"?>
<formControlPr xmlns="http://schemas.microsoft.com/office/spreadsheetml/2009/9/main" objectType="CheckBox" checked="Checked" fmlaLink="data!$G$7" lockText="1" noThreeD="1"/>
</file>

<file path=xl/ctrlProps/ctrlProp9.xml><?xml version="1.0" encoding="utf-8"?>
<formControlPr xmlns="http://schemas.microsoft.com/office/spreadsheetml/2009/9/main" objectType="CheckBox" checked="Checked" fmlaLink="data!$H$7" lockText="1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Radio" firstButton="1" fmlaLink="data!$N$7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CheckBox" checked="Checked" fmlaLink="data!$D$6" lockText="1" noThreeD="1"/>
</file>

<file path=xl/ctrlProps/ctrlProp14.xml><?xml version="1.0" encoding="utf-8"?>
<formControlPr xmlns="http://schemas.microsoft.com/office/spreadsheetml/2009/9/main" objectType="CheckBox" checked="Checked" fmlaLink="data!$E$6" lockText="1" noThreeD="1"/>
</file>

<file path=xl/ctrlProps/ctrlProp15.xml><?xml version="1.0" encoding="utf-8"?>
<formControlPr xmlns="http://schemas.microsoft.com/office/spreadsheetml/2009/9/main" objectType="CheckBox" checked="Checked" fmlaLink="data!$F$6" lockText="1" noThreeD="1"/>
</file>

<file path=xl/ctrlProps/ctrlProp16.xml><?xml version="1.0" encoding="utf-8"?>
<formControlPr xmlns="http://schemas.microsoft.com/office/spreadsheetml/2009/9/main" objectType="CheckBox" checked="Checked" fmlaLink="data!$G$6" lockText="1" noThreeD="1"/>
</file>

<file path=xl/ctrlProps/ctrlProp17.xml><?xml version="1.0" encoding="utf-8"?>
<formControlPr xmlns="http://schemas.microsoft.com/office/spreadsheetml/2009/9/main" objectType="GBox" noThreeD="1"/>
</file>

<file path=xl/ctrlProps/ctrlProp18.xml><?xml version="1.0" encoding="utf-8"?>
<formControlPr xmlns="http://schemas.microsoft.com/office/spreadsheetml/2009/9/main" objectType="Radio" checked="Checked" firstButton="1" fmlaLink="data!$C$6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GBox" noThreeD="1"/>
</file>

<file path=xl/ctrlProps/ctrlProp21.xml><?xml version="1.0" encoding="utf-8"?>
<formControlPr xmlns="http://schemas.microsoft.com/office/spreadsheetml/2009/9/main" objectType="Radio" checked="Checked" firstButton="1" fmlaLink="data!$D$5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GBox" noThreeD="1"/>
</file>

<file path=xl/ctrlProps/ctrlProp24.xml><?xml version="1.0" encoding="utf-8"?>
<formControlPr xmlns="http://schemas.microsoft.com/office/spreadsheetml/2009/9/main" objectType="Radio" checked="Checked" firstButton="1" fmlaLink="data!$E$5" lockText="1" noThreeD="1"/>
</file>

<file path=xl/ctrlProps/ctrlProp25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276226</xdr:colOff>
          <xdr:row>2</xdr:row>
          <xdr:rowOff>85725</xdr:rowOff>
        </xdr:from>
        <xdr:to>
          <xdr:col>10</xdr:col>
          <xdr:colOff>270842</xdr:colOff>
          <xdr:row>4</xdr:row>
          <xdr:rowOff>196297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323851" y="571500"/>
              <a:ext cx="6081091" cy="415372"/>
              <a:chOff x="1200150" y="666747"/>
              <a:chExt cx="6870409" cy="445122"/>
            </a:xfrm>
          </xdr:grpSpPr>
          <xdr:sp macro="" textlink="">
            <xdr:nvSpPr>
              <xdr:cNvPr id="1025" name="Group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1200150" y="666747"/>
                <a:ext cx="6870409" cy="44512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026" name="Option Button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1295400" y="771576"/>
                <a:ext cx="72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3사 평균</a:t>
                </a:r>
              </a:p>
            </xdr:txBody>
          </xdr:sp>
          <xdr:sp macro="" textlink="">
            <xdr:nvSpPr>
              <xdr:cNvPr id="1027" name="Option Button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2057400" y="771576"/>
                <a:ext cx="72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4사 평균</a:t>
                </a:r>
              </a:p>
            </xdr:txBody>
          </xdr:sp>
          <xdr:sp macro="" textlink="">
            <xdr:nvSpPr>
              <xdr:cNvPr id="1028" name="Option Button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2800350" y="771576"/>
                <a:ext cx="72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직접 선택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962025</xdr:colOff>
          <xdr:row>3</xdr:row>
          <xdr:rowOff>23606</xdr:rowOff>
        </xdr:from>
        <xdr:to>
          <xdr:col>10</xdr:col>
          <xdr:colOff>245993</xdr:colOff>
          <xdr:row>4</xdr:row>
          <xdr:rowOff>172692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2409825" y="623681"/>
              <a:ext cx="3970268" cy="339586"/>
              <a:chOff x="3638133" y="447261"/>
              <a:chExt cx="4437407" cy="356152"/>
            </a:xfrm>
          </xdr:grpSpPr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5237644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KAP</a:t>
                </a:r>
              </a:p>
            </xdr:txBody>
          </xdr:sp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5796460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KIS</a:t>
                </a:r>
              </a:p>
            </xdr:txBody>
          </xdr:sp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6355274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NICE</a:t>
                </a:r>
              </a:p>
            </xdr:txBody>
          </xdr:sp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6914089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FN</a:t>
                </a:r>
              </a:p>
            </xdr:txBody>
          </xdr:sp>
          <xdr:sp macro="" textlink="">
            <xdr:nvSpPr>
              <xdr:cNvPr id="1035" name="Check Box 11" hidden="1">
                <a:extLst>
                  <a:ext uri="{63B3BB69-23CF-44E3-9099-C40C66FF867C}">
                    <a14:compatExt spid="_x0000_s1035"/>
                  </a:ext>
                  <a:ext uri="{FF2B5EF4-FFF2-40B4-BE49-F238E27FC236}">
                    <a16:creationId xmlns:a16="http://schemas.microsoft.com/office/drawing/2014/main" id="{00000000-0008-0000-0000-00000B040000}"/>
                  </a:ext>
                </a:extLst>
              </xdr:cNvPr>
              <xdr:cNvSpPr/>
            </xdr:nvSpPr>
            <xdr:spPr bwMode="auto">
              <a:xfrm>
                <a:off x="7472904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KOFIA</a:t>
                </a:r>
              </a:p>
            </xdr:txBody>
          </xdr:sp>
          <xdr:sp macro="" textlink="">
            <xdr:nvSpPr>
              <xdr:cNvPr id="1040" name="Group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3638133" y="447261"/>
                <a:ext cx="4437407" cy="35615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계산</a:t>
                </a:r>
              </a:p>
            </xdr:txBody>
          </xdr:sp>
          <xdr:sp macro="" textlink="">
            <xdr:nvSpPr>
              <xdr:cNvPr id="1041" name="Option Button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3703156" y="596348"/>
                <a:ext cx="756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산술 평균</a:t>
                </a:r>
              </a:p>
            </xdr:txBody>
          </xdr:sp>
          <xdr:sp macro="" textlink="">
            <xdr:nvSpPr>
              <xdr:cNvPr id="1042" name="Option Button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4456874" y="596348"/>
                <a:ext cx="756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기하 평균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123825</xdr:colOff>
          <xdr:row>3</xdr:row>
          <xdr:rowOff>33131</xdr:rowOff>
        </xdr:from>
        <xdr:to>
          <xdr:col>7</xdr:col>
          <xdr:colOff>254055</xdr:colOff>
          <xdr:row>4</xdr:row>
          <xdr:rowOff>172692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GrpSpPr/>
          </xdr:nvGrpSpPr>
          <xdr:grpSpPr>
            <a:xfrm>
              <a:off x="2247900" y="595106"/>
              <a:ext cx="3483030" cy="339586"/>
              <a:chOff x="3638133" y="447261"/>
              <a:chExt cx="3853613" cy="356152"/>
            </a:xfrm>
          </xdr:grpSpPr>
          <xdr:sp macro="" textlink="">
            <xdr:nvSpPr>
              <xdr:cNvPr id="3077" name="Check Box 5" hidden="1">
                <a:extLst>
                  <a:ext uri="{63B3BB69-23CF-44E3-9099-C40C66FF867C}">
                    <a14:compatExt spid="_x0000_s3077"/>
                  </a:ext>
                  <a:ext uri="{FF2B5EF4-FFF2-40B4-BE49-F238E27FC236}">
                    <a16:creationId xmlns:a16="http://schemas.microsoft.com/office/drawing/2014/main" id="{00000000-0008-0000-0100-0000050C0000}"/>
                  </a:ext>
                </a:extLst>
              </xdr:cNvPr>
              <xdr:cNvSpPr/>
            </xdr:nvSpPr>
            <xdr:spPr bwMode="auto">
              <a:xfrm>
                <a:off x="5237644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KAP</a:t>
                </a:r>
              </a:p>
            </xdr:txBody>
          </xdr:sp>
          <xdr:sp macro="" textlink="">
            <xdr:nvSpPr>
              <xdr:cNvPr id="3078" name="Check Box 6" hidden="1">
                <a:extLst>
                  <a:ext uri="{63B3BB69-23CF-44E3-9099-C40C66FF867C}">
                    <a14:compatExt spid="_x0000_s3078"/>
                  </a:ext>
                  <a:ext uri="{FF2B5EF4-FFF2-40B4-BE49-F238E27FC236}">
                    <a16:creationId xmlns:a16="http://schemas.microsoft.com/office/drawing/2014/main" id="{00000000-0008-0000-0100-0000060C0000}"/>
                  </a:ext>
                </a:extLst>
              </xdr:cNvPr>
              <xdr:cNvSpPr/>
            </xdr:nvSpPr>
            <xdr:spPr bwMode="auto">
              <a:xfrm>
                <a:off x="5796460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KIS</a:t>
                </a:r>
              </a:p>
            </xdr:txBody>
          </xdr:sp>
          <xdr:sp macro="" textlink="">
            <xdr:nvSpPr>
              <xdr:cNvPr id="3079" name="Check Box 7" hidden="1">
                <a:extLst>
                  <a:ext uri="{63B3BB69-23CF-44E3-9099-C40C66FF867C}">
                    <a14:compatExt spid="_x0000_s3079"/>
                  </a:ext>
                  <a:ext uri="{FF2B5EF4-FFF2-40B4-BE49-F238E27FC236}">
                    <a16:creationId xmlns:a16="http://schemas.microsoft.com/office/drawing/2014/main" id="{00000000-0008-0000-0100-0000070C0000}"/>
                  </a:ext>
                </a:extLst>
              </xdr:cNvPr>
              <xdr:cNvSpPr/>
            </xdr:nvSpPr>
            <xdr:spPr bwMode="auto">
              <a:xfrm>
                <a:off x="6355274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NICE</a:t>
                </a:r>
              </a:p>
            </xdr:txBody>
          </xdr:sp>
          <xdr:sp macro="" textlink="">
            <xdr:nvSpPr>
              <xdr:cNvPr id="3080" name="Check Box 8" hidden="1">
                <a:extLst>
                  <a:ext uri="{63B3BB69-23CF-44E3-9099-C40C66FF867C}">
                    <a14:compatExt spid="_x0000_s3080"/>
                  </a:ext>
                  <a:ext uri="{FF2B5EF4-FFF2-40B4-BE49-F238E27FC236}">
                    <a16:creationId xmlns:a16="http://schemas.microsoft.com/office/drawing/2014/main" id="{00000000-0008-0000-0100-0000080C0000}"/>
                  </a:ext>
                </a:extLst>
              </xdr:cNvPr>
              <xdr:cNvSpPr/>
            </xdr:nvSpPr>
            <xdr:spPr bwMode="auto">
              <a:xfrm>
                <a:off x="6914089" y="538674"/>
                <a:ext cx="577657" cy="17793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FN</a:t>
                </a:r>
              </a:p>
            </xdr:txBody>
          </xdr:sp>
          <xdr:sp macro="" textlink="">
            <xdr:nvSpPr>
              <xdr:cNvPr id="3082" name="Group Box 10" hidden="1">
                <a:extLst>
                  <a:ext uri="{63B3BB69-23CF-44E3-9099-C40C66FF867C}">
                    <a14:compatExt spid="_x0000_s3082"/>
                  </a:ext>
                  <a:ext uri="{FF2B5EF4-FFF2-40B4-BE49-F238E27FC236}">
                    <a16:creationId xmlns:a16="http://schemas.microsoft.com/office/drawing/2014/main" id="{00000000-0008-0000-0100-00000A0C0000}"/>
                  </a:ext>
                </a:extLst>
              </xdr:cNvPr>
              <xdr:cNvSpPr/>
            </xdr:nvSpPr>
            <xdr:spPr bwMode="auto">
              <a:xfrm>
                <a:off x="3638133" y="447261"/>
                <a:ext cx="3742182" cy="356152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계산</a:t>
                </a:r>
              </a:p>
            </xdr:txBody>
          </xdr:sp>
          <xdr:sp macro="" textlink="">
            <xdr:nvSpPr>
              <xdr:cNvPr id="3083" name="Option Button 11" hidden="1">
                <a:extLst>
                  <a:ext uri="{63B3BB69-23CF-44E3-9099-C40C66FF867C}">
                    <a14:compatExt spid="_x0000_s3083"/>
                  </a:ext>
                  <a:ext uri="{FF2B5EF4-FFF2-40B4-BE49-F238E27FC236}">
                    <a16:creationId xmlns:a16="http://schemas.microsoft.com/office/drawing/2014/main" id="{00000000-0008-0000-0100-00000B0C0000}"/>
                  </a:ext>
                </a:extLst>
              </xdr:cNvPr>
              <xdr:cNvSpPr/>
            </xdr:nvSpPr>
            <xdr:spPr bwMode="auto">
              <a:xfrm>
                <a:off x="3703156" y="596348"/>
                <a:ext cx="756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산술 평균</a:t>
                </a:r>
              </a:p>
            </xdr:txBody>
          </xdr:sp>
          <xdr:sp macro="" textlink="">
            <xdr:nvSpPr>
              <xdr:cNvPr id="3084" name="Option Button 12" hidden="1">
                <a:extLst>
                  <a:ext uri="{63B3BB69-23CF-44E3-9099-C40C66FF867C}">
                    <a14:compatExt spid="_x0000_s3084"/>
                  </a:ext>
                  <a:ext uri="{FF2B5EF4-FFF2-40B4-BE49-F238E27FC236}">
                    <a16:creationId xmlns:a16="http://schemas.microsoft.com/office/drawing/2014/main" id="{00000000-0008-0000-0100-00000C0C0000}"/>
                  </a:ext>
                </a:extLst>
              </xdr:cNvPr>
              <xdr:cNvSpPr/>
            </xdr:nvSpPr>
            <xdr:spPr bwMode="auto">
              <a:xfrm>
                <a:off x="4456874" y="596348"/>
                <a:ext cx="756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기하 평균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161925</xdr:colOff>
          <xdr:row>4</xdr:row>
          <xdr:rowOff>0</xdr:rowOff>
        </xdr:from>
        <xdr:to>
          <xdr:col>3</xdr:col>
          <xdr:colOff>0</xdr:colOff>
          <xdr:row>4</xdr:row>
          <xdr:rowOff>170475</xdr:rowOff>
        </xdr:to>
        <xdr:grpSp>
          <xdr:nvGrpSpPr>
            <xdr:cNvPr id="4" name="그룹 3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pSpPr/>
          </xdr:nvGrpSpPr>
          <xdr:grpSpPr>
            <a:xfrm>
              <a:off x="1028700" y="762000"/>
              <a:ext cx="1095375" cy="170475"/>
              <a:chOff x="2876552" y="904875"/>
              <a:chExt cx="1209675" cy="180000"/>
            </a:xfrm>
          </xdr:grpSpPr>
          <xdr:sp macro="" textlink="">
            <xdr:nvSpPr>
              <xdr:cNvPr id="3087" name="Group Box 15" hidden="1">
                <a:extLst>
                  <a:ext uri="{63B3BB69-23CF-44E3-9099-C40C66FF867C}">
                    <a14:compatExt spid="_x0000_s3087"/>
                  </a:ext>
                  <a:ext uri="{FF2B5EF4-FFF2-40B4-BE49-F238E27FC236}">
                    <a16:creationId xmlns:a16="http://schemas.microsoft.com/office/drawing/2014/main" id="{00000000-0008-0000-0100-00000F0C0000}"/>
                  </a:ext>
                </a:extLst>
              </xdr:cNvPr>
              <xdr:cNvSpPr/>
            </xdr:nvSpPr>
            <xdr:spPr bwMode="auto">
              <a:xfrm>
                <a:off x="2876552" y="904875"/>
                <a:ext cx="1209675" cy="1800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3088" name="Option Button 16" hidden="1">
                <a:extLst>
                  <a:ext uri="{63B3BB69-23CF-44E3-9099-C40C66FF867C}">
                    <a14:compatExt spid="_x0000_s3088"/>
                  </a:ext>
                  <a:ext uri="{FF2B5EF4-FFF2-40B4-BE49-F238E27FC236}">
                    <a16:creationId xmlns:a16="http://schemas.microsoft.com/office/drawing/2014/main" id="{00000000-0008-0000-0100-0000100C0000}"/>
                  </a:ext>
                </a:extLst>
              </xdr:cNvPr>
              <xdr:cNvSpPr/>
            </xdr:nvSpPr>
            <xdr:spPr bwMode="auto">
              <a:xfrm>
                <a:off x="2895600" y="904875"/>
                <a:ext cx="576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수익률</a:t>
                </a:r>
              </a:p>
            </xdr:txBody>
          </xdr:sp>
          <xdr:sp macro="" textlink="">
            <xdr:nvSpPr>
              <xdr:cNvPr id="3089" name="Option Button 17" hidden="1">
                <a:extLst>
                  <a:ext uri="{63B3BB69-23CF-44E3-9099-C40C66FF867C}">
                    <a14:compatExt spid="_x0000_s3089"/>
                  </a:ext>
                  <a:ext uri="{FF2B5EF4-FFF2-40B4-BE49-F238E27FC236}">
                    <a16:creationId xmlns:a16="http://schemas.microsoft.com/office/drawing/2014/main" id="{00000000-0008-0000-0100-0000110C0000}"/>
                  </a:ext>
                </a:extLst>
              </xdr:cNvPr>
              <xdr:cNvSpPr/>
            </xdr:nvSpPr>
            <xdr:spPr bwMode="auto">
              <a:xfrm>
                <a:off x="3486150" y="904875"/>
                <a:ext cx="576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가격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161925</xdr:colOff>
          <xdr:row>3</xdr:row>
          <xdr:rowOff>28575</xdr:rowOff>
        </xdr:from>
        <xdr:to>
          <xdr:col>3</xdr:col>
          <xdr:colOff>0</xdr:colOff>
          <xdr:row>3</xdr:row>
          <xdr:rowOff>199050</xdr:rowOff>
        </xdr:to>
        <xdr:grpSp>
          <xdr:nvGrpSpPr>
            <xdr:cNvPr id="5" name="그룹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028700" y="590550"/>
              <a:ext cx="1095375" cy="170475"/>
              <a:chOff x="2876552" y="904875"/>
              <a:chExt cx="1209675" cy="180000"/>
            </a:xfrm>
          </xdr:grpSpPr>
          <xdr:sp macro="" textlink="">
            <xdr:nvSpPr>
              <xdr:cNvPr id="3090" name="Group Box 18" hidden="1">
                <a:extLst>
                  <a:ext uri="{63B3BB69-23CF-44E3-9099-C40C66FF867C}">
                    <a14:compatExt spid="_x0000_s3090"/>
                  </a:ext>
                  <a:ext uri="{FF2B5EF4-FFF2-40B4-BE49-F238E27FC236}">
                    <a16:creationId xmlns:a16="http://schemas.microsoft.com/office/drawing/2014/main" id="{00000000-0008-0000-0100-0000120C0000}"/>
                  </a:ext>
                </a:extLst>
              </xdr:cNvPr>
              <xdr:cNvSpPr/>
            </xdr:nvSpPr>
            <xdr:spPr bwMode="auto">
              <a:xfrm>
                <a:off x="2876552" y="904875"/>
                <a:ext cx="1209675" cy="1800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3091" name="Option Button 19" hidden="1">
                <a:extLst>
                  <a:ext uri="{63B3BB69-23CF-44E3-9099-C40C66FF867C}">
                    <a14:compatExt spid="_x0000_s3091"/>
                  </a:ext>
                  <a:ext uri="{FF2B5EF4-FFF2-40B4-BE49-F238E27FC236}">
                    <a16:creationId xmlns:a16="http://schemas.microsoft.com/office/drawing/2014/main" id="{00000000-0008-0000-0100-0000130C0000}"/>
                  </a:ext>
                </a:extLst>
              </xdr:cNvPr>
              <xdr:cNvSpPr/>
            </xdr:nvSpPr>
            <xdr:spPr bwMode="auto">
              <a:xfrm>
                <a:off x="2895600" y="904875"/>
                <a:ext cx="576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익일</a:t>
                </a:r>
              </a:p>
            </xdr:txBody>
          </xdr:sp>
          <xdr:sp macro="" textlink="">
            <xdr:nvSpPr>
              <xdr:cNvPr id="3092" name="Option Button 20" hidden="1">
                <a:extLst>
                  <a:ext uri="{63B3BB69-23CF-44E3-9099-C40C66FF867C}">
                    <a14:compatExt spid="_x0000_s3092"/>
                  </a:ext>
                  <a:ext uri="{FF2B5EF4-FFF2-40B4-BE49-F238E27FC236}">
                    <a16:creationId xmlns:a16="http://schemas.microsoft.com/office/drawing/2014/main" id="{00000000-0008-0000-0100-0000140C0000}"/>
                  </a:ext>
                </a:extLst>
              </xdr:cNvPr>
              <xdr:cNvSpPr/>
            </xdr:nvSpPr>
            <xdr:spPr bwMode="auto">
              <a:xfrm>
                <a:off x="3486150" y="904875"/>
                <a:ext cx="576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당일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7.xml"/><Relationship Id="rId13" Type="http://schemas.openxmlformats.org/officeDocument/2006/relationships/ctrlProp" Target="../ctrlProps/ctrlProp22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6.xml"/><Relationship Id="rId12" Type="http://schemas.openxmlformats.org/officeDocument/2006/relationships/ctrlProp" Target="../ctrlProps/ctrlProp2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2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5.xml"/><Relationship Id="rId11" Type="http://schemas.openxmlformats.org/officeDocument/2006/relationships/ctrlProp" Target="../ctrlProps/ctrlProp20.xml"/><Relationship Id="rId5" Type="http://schemas.openxmlformats.org/officeDocument/2006/relationships/ctrlProp" Target="../ctrlProps/ctrlProp14.xml"/><Relationship Id="rId15" Type="http://schemas.openxmlformats.org/officeDocument/2006/relationships/ctrlProp" Target="../ctrlProps/ctrlProp24.xml"/><Relationship Id="rId10" Type="http://schemas.openxmlformats.org/officeDocument/2006/relationships/ctrlProp" Target="../ctrlProps/ctrlProp19.xml"/><Relationship Id="rId4" Type="http://schemas.openxmlformats.org/officeDocument/2006/relationships/ctrlProp" Target="../ctrlProps/ctrlProp13.xml"/><Relationship Id="rId9" Type="http://schemas.openxmlformats.org/officeDocument/2006/relationships/ctrlProp" Target="../ctrlProps/ctrlProp18.xml"/><Relationship Id="rId14" Type="http://schemas.openxmlformats.org/officeDocument/2006/relationships/ctrlProp" Target="../ctrlProps/ctrlProp2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4FDF-FDD0-4B40-919A-273E2E5B5A35}">
  <dimension ref="B1:T90"/>
  <sheetViews>
    <sheetView showGridLines="0" showRowColHeaders="0" tabSelected="1" zoomScaleNormal="100" workbookViewId="0">
      <pane xSplit="4" ySplit="7" topLeftCell="E8" activePane="bottomRight" state="frozen"/>
      <selection pane="topRight" activeCell="E1" sqref="E1"/>
      <selection pane="bottomLeft" activeCell="A9" sqref="A9"/>
      <selection pane="bottomRight"/>
    </sheetView>
  </sheetViews>
  <sheetFormatPr defaultColWidth="0" defaultRowHeight="15" zeroHeight="1"/>
  <cols>
    <col min="1" max="1" width="0.7109375" customWidth="1"/>
    <col min="2" max="2" width="10" style="1" customWidth="1"/>
    <col min="3" max="3" width="11" style="1" customWidth="1"/>
    <col min="4" max="4" width="15.42578125" style="3" bestFit="1" customWidth="1"/>
    <col min="5" max="21" width="9.140625" customWidth="1"/>
    <col min="22" max="16384" width="9.140625" hidden="1"/>
  </cols>
  <sheetData>
    <row r="1" spans="2:20" ht="4.5" customHeight="1"/>
    <row r="2" spans="2:20" ht="33.75" customHeight="1">
      <c r="B2" s="64" t="s">
        <v>544</v>
      </c>
      <c r="C2" s="61"/>
      <c r="D2" s="62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</row>
    <row r="3" spans="2:20" ht="9" customHeight="1"/>
    <row r="4" spans="2:20">
      <c r="B4" s="28"/>
    </row>
    <row r="5" spans="2:20" ht="15.75" thickBot="1"/>
    <row r="6" spans="2:20" ht="15.75" thickBot="1">
      <c r="D6" s="22">
        <f ca="1">TODAY()</f>
        <v>45523</v>
      </c>
    </row>
    <row r="7" spans="2:20" s="4" customFormat="1" ht="12.75" thickBot="1">
      <c r="B7" s="23" t="s">
        <v>533</v>
      </c>
      <c r="C7" s="27" t="s">
        <v>534</v>
      </c>
      <c r="D7" s="24" t="s">
        <v>535</v>
      </c>
      <c r="E7" s="8" t="s">
        <v>2</v>
      </c>
      <c r="F7" s="9" t="s">
        <v>74</v>
      </c>
      <c r="G7" s="9" t="s">
        <v>75</v>
      </c>
      <c r="H7" s="9" t="s">
        <v>3</v>
      </c>
      <c r="I7" s="9" t="s">
        <v>4</v>
      </c>
      <c r="J7" s="9" t="s">
        <v>5</v>
      </c>
      <c r="K7" s="9" t="s">
        <v>6</v>
      </c>
      <c r="L7" s="9" t="s">
        <v>7</v>
      </c>
      <c r="M7" s="9" t="s">
        <v>8</v>
      </c>
      <c r="N7" s="9" t="s">
        <v>9</v>
      </c>
      <c r="O7" s="9" t="s">
        <v>10</v>
      </c>
      <c r="P7" s="9" t="s">
        <v>11</v>
      </c>
      <c r="Q7" s="9" t="s">
        <v>12</v>
      </c>
      <c r="R7" s="9" t="s">
        <v>13</v>
      </c>
      <c r="S7" s="9" t="s">
        <v>14</v>
      </c>
      <c r="T7" s="10" t="s">
        <v>15</v>
      </c>
    </row>
    <row r="8" spans="2:20" s="4" customFormat="1" ht="12">
      <c r="B8" s="12" t="s">
        <v>0</v>
      </c>
      <c r="C8" s="25" t="s">
        <v>1</v>
      </c>
      <c r="D8" s="26" t="s">
        <v>16</v>
      </c>
      <c r="E8" s="29" cm="1">
        <f t="array" aca="1" ref="E8" ca="1">IFERROR( CHOOSE( data!$B$7,
IF(_xll.IMDP("IR", data!$B9, data!M$8, $D$6)=0,"",_xll.IMDP("IR", data!$B9, data!M$8, $D$6)),
IF(_xll.IMDP("IR", data!$C9, data!M$8, $D$6)=0,"",_xll.IMDP("IR", data!$C9, data!M$8, $D$6)), data!M9 ), "")</f>
        <v>3.3380000000000001</v>
      </c>
      <c r="F8" s="30" cm="1">
        <f t="array" aca="1" ref="F8" ca="1">IFERROR( CHOOSE( data!$B$7,
IF(_xll.IMDP("IR", data!$B9, data!N$8, $D$6)=0,"",_xll.IMDP("IR", data!$B9, data!N$8, $D$6)),
IF(_xll.IMDP("IR", data!$C9, data!N$8, $D$6)=0,"",_xll.IMDP("IR", data!$C9, data!N$8, $D$6)), data!N9 ), "")</f>
        <v>3.202</v>
      </c>
      <c r="G8" s="30" cm="1">
        <f t="array" aca="1" ref="G8" ca="1">IFERROR( CHOOSE( data!$B$7,
IF(_xll.IMDP("IR", data!$B9, data!O$8, $D$6)=0,"",_xll.IMDP("IR", data!$B9, data!O$8, $D$6)),
IF(_xll.IMDP("IR", data!$C9, data!O$8, $D$6)=0,"",_xll.IMDP("IR", data!$C9, data!O$8, $D$6)), data!O9 ), "")</f>
        <v>3.1139999999999999</v>
      </c>
      <c r="H8" s="30" cm="1">
        <f t="array" aca="1" ref="H8" ca="1">IFERROR( CHOOSE( data!$B$7,
IF(_xll.IMDP("IR", data!$B9, data!P$8, $D$6)=0,"",_xll.IMDP("IR", data!$B9, data!P$8, $D$6)),
IF(_xll.IMDP("IR", data!$C9, data!P$8, $D$6)=0,"",_xll.IMDP("IR", data!$C9, data!P$8, $D$6)), data!P9 ), "")</f>
        <v>3.0529999999999999</v>
      </c>
      <c r="I8" s="30" cm="1">
        <f t="array" aca="1" ref="I8" ca="1">IFERROR( CHOOSE( data!$B$7,
IF(_xll.IMDP("IR", data!$B9, data!Q$8, $D$6)=0,"",_xll.IMDP("IR", data!$B9, data!Q$8, $D$6)),
IF(_xll.IMDP("IR", data!$C9, data!Q$8, $D$6)=0,"",_xll.IMDP("IR", data!$C9, data!Q$8, $D$6)), data!Q9 ), "")</f>
        <v>3.056</v>
      </c>
      <c r="J8" s="30" cm="1">
        <f t="array" aca="1" ref="J8" ca="1">IFERROR( CHOOSE( data!$B$7,
IF(_xll.IMDP("IR", data!$B9, data!R$8, $D$6)=0,"",_xll.IMDP("IR", data!$B9, data!R$8, $D$6)),
IF(_xll.IMDP("IR", data!$C9, data!R$8, $D$6)=0,"",_xll.IMDP("IR", data!$C9, data!R$8, $D$6)), data!R9 ), "")</f>
        <v>3.03</v>
      </c>
      <c r="K8" s="30" cm="1">
        <f t="array" aca="1" ref="K8" ca="1">IFERROR( CHOOSE( data!$B$7,
IF(_xll.IMDP("IR", data!$B9, data!S$8, $D$6)=0,"",_xll.IMDP("IR", data!$B9, data!S$8, $D$6)),
IF(_xll.IMDP("IR", data!$C9, data!S$8, $D$6)=0,"",_xll.IMDP("IR", data!$C9, data!S$8, $D$6)), data!S9 ), "")</f>
        <v>2.9430000000000001</v>
      </c>
      <c r="L8" s="30" cm="1">
        <f t="array" aca="1" ref="L8" ca="1">IFERROR( CHOOSE( data!$B$7,
IF(_xll.IMDP("IR", data!$B9, data!T$8, $D$6)=0,"",_xll.IMDP("IR", data!$B9, data!T$8, $D$6)),
IF(_xll.IMDP("IR", data!$C9, data!T$8, $D$6)=0,"",_xll.IMDP("IR", data!$C9, data!T$8, $D$6)), data!T9 ), "")</f>
        <v>2.9220000000000002</v>
      </c>
      <c r="M8" s="30" cm="1">
        <f t="array" aca="1" ref="M8" ca="1">IFERROR( CHOOSE( data!$B$7,
IF(_xll.IMDP("IR", data!$B9, data!U$8, $D$6)=0,"",_xll.IMDP("IR", data!$B9, data!U$8, $D$6)),
IF(_xll.IMDP("IR", data!$C9, data!U$8, $D$6)=0,"",_xll.IMDP("IR", data!$C9, data!U$8, $D$6)), data!U9 ), "")</f>
        <v>2.9420000000000002</v>
      </c>
      <c r="N8" s="30" cm="1">
        <f t="array" aca="1" ref="N8" ca="1">IFERROR( CHOOSE( data!$B$7,
IF(_xll.IMDP("IR", data!$B9, data!V$8, $D$6)=0,"",_xll.IMDP("IR", data!$B9, data!V$8, $D$6)),
IF(_xll.IMDP("IR", data!$C9, data!V$8, $D$6)=0,"",_xll.IMDP("IR", data!$C9, data!V$8, $D$6)), data!V9 ), "")</f>
        <v>2.93</v>
      </c>
      <c r="O8" s="30" cm="1">
        <f t="array" aca="1" ref="O8" ca="1">IFERROR( CHOOSE( data!$B$7,
IF(_xll.IMDP("IR", data!$B9, data!W$8, $D$6)=0,"",_xll.IMDP("IR", data!$B9, data!W$8, $D$6)),
IF(_xll.IMDP("IR", data!$C9, data!W$8, $D$6)=0,"",_xll.IMDP("IR", data!$C9, data!W$8, $D$6)), data!W9 ), "")</f>
        <v>2.9809999999999999</v>
      </c>
      <c r="P8" s="30" cm="1">
        <f t="array" aca="1" ref="P8" ca="1">IFERROR( CHOOSE( data!$B$7,
IF(_xll.IMDP("IR", data!$B9, data!X$8, $D$6)=0,"",_xll.IMDP("IR", data!$B9, data!X$8, $D$6)),
IF(_xll.IMDP("IR", data!$C9, data!X$8, $D$6)=0,"",_xll.IMDP("IR", data!$C9, data!X$8, $D$6)), data!X9 ), "")</f>
        <v>2.9750000000000001</v>
      </c>
      <c r="Q8" s="30" cm="1">
        <f t="array" aca="1" ref="Q8" ca="1">IFERROR( CHOOSE( data!$B$7,
IF(_xll.IMDP("IR", data!$B9, data!Y$8, $D$6)=0,"",_xll.IMDP("IR", data!$B9, data!Y$8, $D$6)),
IF(_xll.IMDP("IR", data!$C9, data!Y$8, $D$6)=0,"",_xll.IMDP("IR", data!$C9, data!Y$8, $D$6)), data!Y9 ), "")</f>
        <v>2.9820000000000002</v>
      </c>
      <c r="R8" s="30" cm="1">
        <f t="array" aca="1" ref="R8" ca="1">IFERROR( CHOOSE( data!$B$7,
IF(_xll.IMDP("IR", data!$B9, data!Z$8, $D$6)=0,"",_xll.IMDP("IR", data!$B9, data!Z$8, $D$6)),
IF(_xll.IMDP("IR", data!$C9, data!Z$8, $D$6)=0,"",_xll.IMDP("IR", data!$C9, data!Z$8, $D$6)), data!Z9 ), "")</f>
        <v>2.952</v>
      </c>
      <c r="S8" s="30" cm="1">
        <f t="array" aca="1" ref="S8" ca="1">IFERROR( CHOOSE( data!$B$7,
IF(_xll.IMDP("IR", data!$B9, data!AA$8, $D$6)=0,"",_xll.IMDP("IR", data!$B9, data!AA$8, $D$6)),
IF(_xll.IMDP("IR", data!$C9, data!AA$8, $D$6)=0,"",_xll.IMDP("IR", data!$C9, data!AA$8, $D$6)), data!AA9 ), "")</f>
        <v>2.8519999999999999</v>
      </c>
      <c r="T8" s="31" cm="1">
        <f t="array" aca="1" ref="T8" ca="1">IFERROR( CHOOSE( data!$B$7,
IF(_xll.IMDP("IR", data!$B9, data!AB$8, $D$6)=0,"",_xll.IMDP("IR", data!$B9, data!AB$8, $D$6)),
IF(_xll.IMDP("IR", data!$C9, data!AB$8, $D$6)=0,"",_xll.IMDP("IR", data!$C9, data!AB$8, $D$6)), data!AB9 ), "")</f>
        <v>2.762</v>
      </c>
    </row>
    <row r="9" spans="2:20" s="4" customFormat="1" ht="12">
      <c r="B9" s="12"/>
      <c r="C9" s="2" t="s">
        <v>17</v>
      </c>
      <c r="D9" s="16" t="s">
        <v>18</v>
      </c>
      <c r="E9" s="32" cm="1">
        <f t="array" aca="1" ref="E9" ca="1">IFERROR( CHOOSE( data!$B$7,
IF(_xll.IMDP("IR", data!$B10, data!M$8, $D$6)=0,"",_xll.IMDP("IR", data!$B10, data!M$8, $D$6)),
IF(_xll.IMDP("IR", data!$C10, data!M$8, $D$6)=0,"",_xll.IMDP("IR", data!$C10, data!M$8, $D$6)), data!M10 ), "")</f>
        <v>3.3439999999999999</v>
      </c>
      <c r="F9" s="33" cm="1">
        <f t="array" aca="1" ref="F9" ca="1">IFERROR( CHOOSE( data!$B$7,
IF(_xll.IMDP("IR", data!$B10, data!N$8, $D$6)=0,"",_xll.IMDP("IR", data!$B10, data!N$8, $D$6)),
IF(_xll.IMDP("IR", data!$C10, data!N$8, $D$6)=0,"",_xll.IMDP("IR", data!$C10, data!N$8, $D$6)), data!N10 ), "")</f>
        <v>3.25</v>
      </c>
      <c r="G9" s="33" cm="1">
        <f t="array" aca="1" ref="G9" ca="1">IFERROR( CHOOSE( data!$B$7,
IF(_xll.IMDP("IR", data!$B10, data!O$8, $D$6)=0,"",_xll.IMDP("IR", data!$B10, data!O$8, $D$6)),
IF(_xll.IMDP("IR", data!$C10, data!O$8, $D$6)=0,"",_xll.IMDP("IR", data!$C10, data!O$8, $D$6)), data!O10 ), "")</f>
        <v>3.1720000000000002</v>
      </c>
      <c r="H9" s="33" cm="1">
        <f t="array" aca="1" ref="H9" ca="1">IFERROR( CHOOSE( data!$B$7,
IF(_xll.IMDP("IR", data!$B10, data!P$8, $D$6)=0,"",_xll.IMDP("IR", data!$B10, data!P$8, $D$6)),
IF(_xll.IMDP("IR", data!$C10, data!P$8, $D$6)=0,"",_xll.IMDP("IR", data!$C10, data!P$8, $D$6)), data!P10 ), "")</f>
        <v>3.089</v>
      </c>
      <c r="I9" s="33" cm="1">
        <f t="array" aca="1" ref="I9" ca="1">IFERROR( CHOOSE( data!$B$7,
IF(_xll.IMDP("IR", data!$B10, data!Q$8, $D$6)=0,"",_xll.IMDP("IR", data!$B10, data!Q$8, $D$6)),
IF(_xll.IMDP("IR", data!$C10, data!Q$8, $D$6)=0,"",_xll.IMDP("IR", data!$C10, data!Q$8, $D$6)), data!Q10 ), "")</f>
        <v>3.0739999999999998</v>
      </c>
      <c r="J9" s="33" cm="1">
        <f t="array" aca="1" ref="J9" ca="1">IFERROR( CHOOSE( data!$B$7,
IF(_xll.IMDP("IR", data!$B10, data!R$8, $D$6)=0,"",_xll.IMDP("IR", data!$B10, data!R$8, $D$6)),
IF(_xll.IMDP("IR", data!$C10, data!R$8, $D$6)=0,"",_xll.IMDP("IR", data!$C10, data!R$8, $D$6)), data!R10 ), "")</f>
        <v>3.0539999999999998</v>
      </c>
      <c r="K9" s="33" cm="1">
        <f t="array" aca="1" ref="K9" ca="1">IFERROR( CHOOSE( data!$B$7,
IF(_xll.IMDP("IR", data!$B10, data!S$8, $D$6)=0,"",_xll.IMDP("IR", data!$B10, data!S$8, $D$6)),
IF(_xll.IMDP("IR", data!$C10, data!S$8, $D$6)=0,"",_xll.IMDP("IR", data!$C10, data!S$8, $D$6)), data!S10 ), "")</f>
        <v>3.0110000000000001</v>
      </c>
      <c r="L9" s="33" cm="1">
        <f t="array" aca="1" ref="L9" ca="1">IFERROR( CHOOSE( data!$B$7,
IF(_xll.IMDP("IR", data!$B10, data!T$8, $D$6)=0,"",_xll.IMDP("IR", data!$B10, data!T$8, $D$6)),
IF(_xll.IMDP("IR", data!$C10, data!T$8, $D$6)=0,"",_xll.IMDP("IR", data!$C10, data!T$8, $D$6)), data!T10 ), "")</f>
        <v>3.01</v>
      </c>
      <c r="M9" s="33" cm="1">
        <f t="array" aca="1" ref="M9" ca="1">IFERROR( CHOOSE( data!$B$7,
IF(_xll.IMDP("IR", data!$B10, data!U$8, $D$6)=0,"",_xll.IMDP("IR", data!$B10, data!U$8, $D$6)),
IF(_xll.IMDP("IR", data!$C10, data!U$8, $D$6)=0,"",_xll.IMDP("IR", data!$C10, data!U$8, $D$6)), data!U10 ), "")</f>
        <v>3.0089999999999999</v>
      </c>
      <c r="N9" s="33" cm="1">
        <f t="array" aca="1" ref="N9" ca="1">IFERROR( CHOOSE( data!$B$7,
IF(_xll.IMDP("IR", data!$B10, data!V$8, $D$6)=0,"",_xll.IMDP("IR", data!$B10, data!V$8, $D$6)),
IF(_xll.IMDP("IR", data!$C10, data!V$8, $D$6)=0,"",_xll.IMDP("IR", data!$C10, data!V$8, $D$6)), data!V10 ), "")</f>
        <v>3.0510000000000002</v>
      </c>
      <c r="O9" s="33" t="str" cm="1">
        <f t="array" aca="1" ref="O9" ca="1">IFERROR( CHOOSE( data!$B$7,
IF(_xll.IMDP("IR", data!$B10, data!W$8, $D$6)=0,"",_xll.IMDP("IR", data!$B10, data!W$8, $D$6)),
IF(_xll.IMDP("IR", data!$C10, data!W$8, $D$6)=0,"",_xll.IMDP("IR", data!$C10, data!W$8, $D$6)), data!W10 ), "")</f>
        <v/>
      </c>
      <c r="P9" s="33" t="str" cm="1">
        <f t="array" aca="1" ref="P9" ca="1">IFERROR( CHOOSE( data!$B$7,
IF(_xll.IMDP("IR", data!$B10, data!X$8, $D$6)=0,"",_xll.IMDP("IR", data!$B10, data!X$8, $D$6)),
IF(_xll.IMDP("IR", data!$C10, data!X$8, $D$6)=0,"",_xll.IMDP("IR", data!$C10, data!X$8, $D$6)), data!X10 ), "")</f>
        <v/>
      </c>
      <c r="Q9" s="33" t="str" cm="1">
        <f t="array" aca="1" ref="Q9" ca="1">IFERROR( CHOOSE( data!$B$7,
IF(_xll.IMDP("IR", data!$B10, data!Y$8, $D$6)=0,"",_xll.IMDP("IR", data!$B10, data!Y$8, $D$6)),
IF(_xll.IMDP("IR", data!$C10, data!Y$8, $D$6)=0,"",_xll.IMDP("IR", data!$C10, data!Y$8, $D$6)), data!Y10 ), "")</f>
        <v/>
      </c>
      <c r="R9" s="33" t="str" cm="1">
        <f t="array" aca="1" ref="R9" ca="1">IFERROR( CHOOSE( data!$B$7,
IF(_xll.IMDP("IR", data!$B10, data!Z$8, $D$6)=0,"",_xll.IMDP("IR", data!$B10, data!Z$8, $D$6)),
IF(_xll.IMDP("IR", data!$C10, data!Z$8, $D$6)=0,"",_xll.IMDP("IR", data!$C10, data!Z$8, $D$6)), data!Z10 ), "")</f>
        <v/>
      </c>
      <c r="S9" s="33" t="str" cm="1">
        <f t="array" aca="1" ref="S9" ca="1">IFERROR( CHOOSE( data!$B$7,
IF(_xll.IMDP("IR", data!$B10, data!AA$8, $D$6)=0,"",_xll.IMDP("IR", data!$B10, data!AA$8, $D$6)),
IF(_xll.IMDP("IR", data!$C10, data!AA$8, $D$6)=0,"",_xll.IMDP("IR", data!$C10, data!AA$8, $D$6)), data!AA10 ), "")</f>
        <v/>
      </c>
      <c r="T9" s="34" t="str" cm="1">
        <f t="array" aca="1" ref="T9" ca="1">IFERROR( CHOOSE( data!$B$7,
IF(_xll.IMDP("IR", data!$B10, data!AB$8, $D$6)=0,"",_xll.IMDP("IR", data!$B10, data!AB$8, $D$6)),
IF(_xll.IMDP("IR", data!$C10, data!AB$8, $D$6)=0,"",_xll.IMDP("IR", data!$C10, data!AB$8, $D$6)), data!AB10 ), "")</f>
        <v/>
      </c>
    </row>
    <row r="10" spans="2:20" s="4" customFormat="1" ht="12">
      <c r="B10" s="12"/>
      <c r="C10" s="2" t="s">
        <v>19</v>
      </c>
      <c r="D10" s="16" t="s">
        <v>18</v>
      </c>
      <c r="E10" s="32" cm="1">
        <f t="array" aca="1" ref="E10" ca="1">IFERROR( CHOOSE( data!$B$7,
IF(_xll.IMDP("IR", data!$B11, data!M$8, $D$6)=0,"",_xll.IMDP("IR", data!$B11, data!M$8, $D$6)),
IF(_xll.IMDP("IR", data!$C11, data!M$8, $D$6)=0,"",_xll.IMDP("IR", data!$C11, data!M$8, $D$6)), data!M11 ), "")</f>
        <v>3.1280000000000001</v>
      </c>
      <c r="F10" s="33" cm="1">
        <f t="array" aca="1" ref="F10" ca="1">IFERROR( CHOOSE( data!$B$7,
IF(_xll.IMDP("IR", data!$B11, data!N$8, $D$6)=0,"",_xll.IMDP("IR", data!$B11, data!N$8, $D$6)),
IF(_xll.IMDP("IR", data!$C11, data!N$8, $D$6)=0,"",_xll.IMDP("IR", data!$C11, data!N$8, $D$6)), data!N11 ), "")</f>
        <v>3.04</v>
      </c>
      <c r="G10" s="33" cm="1">
        <f t="array" aca="1" ref="G10" ca="1">IFERROR( CHOOSE( data!$B$7,
IF(_xll.IMDP("IR", data!$B11, data!O$8, $D$6)=0,"",_xll.IMDP("IR", data!$B11, data!O$8, $D$6)),
IF(_xll.IMDP("IR", data!$C11, data!O$8, $D$6)=0,"",_xll.IMDP("IR", data!$C11, data!O$8, $D$6)), data!O11 ), "")</f>
        <v>2.9729999999999999</v>
      </c>
      <c r="H10" s="33" cm="1">
        <f t="array" aca="1" ref="H10" ca="1">IFERROR( CHOOSE( data!$B$7,
IF(_xll.IMDP("IR", data!$B11, data!P$8, $D$6)=0,"",_xll.IMDP("IR", data!$B11, data!P$8, $D$6)),
IF(_xll.IMDP("IR", data!$C11, data!P$8, $D$6)=0,"",_xll.IMDP("IR", data!$C11, data!P$8, $D$6)), data!P11 ), "")</f>
        <v>2.8849999999999998</v>
      </c>
      <c r="I10" s="33" cm="1">
        <f t="array" aca="1" ref="I10" ca="1">IFERROR( CHOOSE( data!$B$7,
IF(_xll.IMDP("IR", data!$B11, data!Q$8, $D$6)=0,"",_xll.IMDP("IR", data!$B11, data!Q$8, $D$6)),
IF(_xll.IMDP("IR", data!$C11, data!Q$8, $D$6)=0,"",_xll.IMDP("IR", data!$C11, data!Q$8, $D$6)), data!Q11 ), "")</f>
        <v>2.871</v>
      </c>
      <c r="J10" s="33" cm="1">
        <f t="array" aca="1" ref="J10" ca="1">IFERROR( CHOOSE( data!$B$7,
IF(_xll.IMDP("IR", data!$B11, data!R$8, $D$6)=0,"",_xll.IMDP("IR", data!$B11, data!R$8, $D$6)),
IF(_xll.IMDP("IR", data!$C11, data!R$8, $D$6)=0,"",_xll.IMDP("IR", data!$C11, data!R$8, $D$6)), data!R11 ), "")</f>
        <v>2.851</v>
      </c>
      <c r="K10" s="33" cm="1">
        <f t="array" aca="1" ref="K10" ca="1">IFERROR( CHOOSE( data!$B$7,
IF(_xll.IMDP("IR", data!$B11, data!S$8, $D$6)=0,"",_xll.IMDP("IR", data!$B11, data!S$8, $D$6)),
IF(_xll.IMDP("IR", data!$C11, data!S$8, $D$6)=0,"",_xll.IMDP("IR", data!$C11, data!S$8, $D$6)), data!S11 ), "")</f>
        <v>2.8109999999999999</v>
      </c>
      <c r="L10" s="33" cm="1">
        <f t="array" aca="1" ref="L10" ca="1">IFERROR( CHOOSE( data!$B$7,
IF(_xll.IMDP("IR", data!$B11, data!T$8, $D$6)=0,"",_xll.IMDP("IR", data!$B11, data!T$8, $D$6)),
IF(_xll.IMDP("IR", data!$C11, data!T$8, $D$6)=0,"",_xll.IMDP("IR", data!$C11, data!T$8, $D$6)), data!T11 ), "")</f>
        <v>2.8180000000000001</v>
      </c>
      <c r="M10" s="33" cm="1">
        <f t="array" aca="1" ref="M10" ca="1">IFERROR( CHOOSE( data!$B$7,
IF(_xll.IMDP("IR", data!$B11, data!U$8, $D$6)=0,"",_xll.IMDP("IR", data!$B11, data!U$8, $D$6)),
IF(_xll.IMDP("IR", data!$C11, data!U$8, $D$6)=0,"",_xll.IMDP("IR", data!$C11, data!U$8, $D$6)), data!U11 ), "")</f>
        <v>2.83</v>
      </c>
      <c r="N10" s="33" cm="1">
        <f t="array" aca="1" ref="N10" ca="1">IFERROR( CHOOSE( data!$B$7,
IF(_xll.IMDP("IR", data!$B11, data!V$8, $D$6)=0,"",_xll.IMDP("IR", data!$B11, data!V$8, $D$6)),
IF(_xll.IMDP("IR", data!$C11, data!V$8, $D$6)=0,"",_xll.IMDP("IR", data!$C11, data!V$8, $D$6)), data!V11 ), "")</f>
        <v>2.8279999999999998</v>
      </c>
      <c r="O10" s="33" cm="1">
        <f t="array" aca="1" ref="O10" ca="1">IFERROR( CHOOSE( data!$B$7,
IF(_xll.IMDP("IR", data!$B11, data!W$8, $D$6)=0,"",_xll.IMDP("IR", data!$B11, data!W$8, $D$6)),
IF(_xll.IMDP("IR", data!$C11, data!W$8, $D$6)=0,"",_xll.IMDP("IR", data!$C11, data!W$8, $D$6)), data!W11 ), "")</f>
        <v>2.9849999999999999</v>
      </c>
      <c r="P10" s="33" cm="1">
        <f t="array" aca="1" ref="P10" ca="1">IFERROR( CHOOSE( data!$B$7,
IF(_xll.IMDP("IR", data!$B11, data!X$8, $D$6)=0,"",_xll.IMDP("IR", data!$B11, data!X$8, $D$6)),
IF(_xll.IMDP("IR", data!$C11, data!X$8, $D$6)=0,"",_xll.IMDP("IR", data!$C11, data!X$8, $D$6)), data!X11 ), "")</f>
        <v>3.0910000000000002</v>
      </c>
      <c r="Q10" s="33" cm="1">
        <f t="array" aca="1" ref="Q10" ca="1">IFERROR( CHOOSE( data!$B$7,
IF(_xll.IMDP("IR", data!$B11, data!Y$8, $D$6)=0,"",_xll.IMDP("IR", data!$B11, data!Y$8, $D$6)),
IF(_xll.IMDP("IR", data!$C11, data!Y$8, $D$6)=0,"",_xll.IMDP("IR", data!$C11, data!Y$8, $D$6)), data!Y11 ), "")</f>
        <v>3.1269999999999998</v>
      </c>
      <c r="R10" s="33" cm="1">
        <f t="array" aca="1" ref="R10" ca="1">IFERROR( CHOOSE( data!$B$7,
IF(_xll.IMDP("IR", data!$B11, data!Z$8, $D$6)=0,"",_xll.IMDP("IR", data!$B11, data!Z$8, $D$6)),
IF(_xll.IMDP("IR", data!$C11, data!Z$8, $D$6)=0,"",_xll.IMDP("IR", data!$C11, data!Z$8, $D$6)), data!Z11 ), "")</f>
        <v>3.194</v>
      </c>
      <c r="S10" s="33" t="str" cm="1">
        <f t="array" aca="1" ref="S10" ca="1">IFERROR( CHOOSE( data!$B$7,
IF(_xll.IMDP("IR", data!$B11, data!AA$8, $D$6)=0,"",_xll.IMDP("IR", data!$B11, data!AA$8, $D$6)),
IF(_xll.IMDP("IR", data!$C11, data!AA$8, $D$6)=0,"",_xll.IMDP("IR", data!$C11, data!AA$8, $D$6)), data!AA11 ), "")</f>
        <v/>
      </c>
      <c r="T10" s="34" t="str" cm="1">
        <f t="array" aca="1" ref="T10" ca="1">IFERROR( CHOOSE( data!$B$7,
IF(_xll.IMDP("IR", data!$B11, data!AB$8, $D$6)=0,"",_xll.IMDP("IR", data!$B11, data!AB$8, $D$6)),
IF(_xll.IMDP("IR", data!$C11, data!AB$8, $D$6)=0,"",_xll.IMDP("IR", data!$C11, data!AB$8, $D$6)), data!AB11 ), "")</f>
        <v/>
      </c>
    </row>
    <row r="11" spans="2:20" s="4" customFormat="1" ht="12.75" thickBot="1">
      <c r="B11" s="13"/>
      <c r="C11" s="6" t="s">
        <v>20</v>
      </c>
      <c r="D11" s="17" t="s">
        <v>18</v>
      </c>
      <c r="E11" s="35" cm="1">
        <f t="array" aca="1" ref="E11" ca="1">IFERROR( CHOOSE( data!$B$7,
IF(_xll.IMDP("IR", data!$B12, data!M$8, $D$6)=0,"",_xll.IMDP("IR", data!$B12, data!M$8, $D$6)),
IF(_xll.IMDP("IR", data!$C12, data!M$8, $D$6)=0,"",_xll.IMDP("IR", data!$C12, data!M$8, $D$6)), data!M12 ), "")</f>
        <v>2.875</v>
      </c>
      <c r="F11" s="36" cm="1">
        <f t="array" aca="1" ref="F11" ca="1">IFERROR( CHOOSE( data!$B$7,
IF(_xll.IMDP("IR", data!$B12, data!N$8, $D$6)=0,"",_xll.IMDP("IR", data!$B12, data!N$8, $D$6)),
IF(_xll.IMDP("IR", data!$C12, data!N$8, $D$6)=0,"",_xll.IMDP("IR", data!$C12, data!N$8, $D$6)), data!N12 ), "")</f>
        <v>2.7850000000000001</v>
      </c>
      <c r="G11" s="36" cm="1">
        <f t="array" aca="1" ref="G11" ca="1">IFERROR( CHOOSE( data!$B$7,
IF(_xll.IMDP("IR", data!$B12, data!O$8, $D$6)=0,"",_xll.IMDP("IR", data!$B12, data!O$8, $D$6)),
IF(_xll.IMDP("IR", data!$C12, data!O$8, $D$6)=0,"",_xll.IMDP("IR", data!$C12, data!O$8, $D$6)), data!O12 ), "")</f>
        <v>2.6949999999999998</v>
      </c>
      <c r="H11" s="36" cm="1">
        <f t="array" aca="1" ref="H11" ca="1">IFERROR( CHOOSE( data!$B$7,
IF(_xll.IMDP("IR", data!$B12, data!P$8, $D$6)=0,"",_xll.IMDP("IR", data!$B12, data!P$8, $D$6)),
IF(_xll.IMDP("IR", data!$C12, data!P$8, $D$6)=0,"",_xll.IMDP("IR", data!$C12, data!P$8, $D$6)), data!P12 ), "")</f>
        <v>2.597</v>
      </c>
      <c r="I11" s="36" cm="1">
        <f t="array" aca="1" ref="I11" ca="1">IFERROR( CHOOSE( data!$B$7,
IF(_xll.IMDP("IR", data!$B12, data!Q$8, $D$6)=0,"",_xll.IMDP("IR", data!$B12, data!Q$8, $D$6)),
IF(_xll.IMDP("IR", data!$C12, data!Q$8, $D$6)=0,"",_xll.IMDP("IR", data!$C12, data!Q$8, $D$6)), data!Q12 ), "")</f>
        <v>2.6070000000000002</v>
      </c>
      <c r="J11" s="36" cm="1">
        <f t="array" aca="1" ref="J11" ca="1">IFERROR( CHOOSE( data!$B$7,
IF(_xll.IMDP("IR", data!$B12, data!R$8, $D$6)=0,"",_xll.IMDP("IR", data!$B12, data!R$8, $D$6)),
IF(_xll.IMDP("IR", data!$C12, data!R$8, $D$6)=0,"",_xll.IMDP("IR", data!$C12, data!R$8, $D$6)), data!R12 ), "")</f>
        <v>2.577</v>
      </c>
      <c r="K11" s="36" cm="1">
        <f t="array" aca="1" ref="K11" ca="1">IFERROR( CHOOSE( data!$B$7,
IF(_xll.IMDP("IR", data!$B12, data!S$8, $D$6)=0,"",_xll.IMDP("IR", data!$B12, data!S$8, $D$6)),
IF(_xll.IMDP("IR", data!$C12, data!S$8, $D$6)=0,"",_xll.IMDP("IR", data!$C12, data!S$8, $D$6)), data!S12 ), "")</f>
        <v>2.5169999999999999</v>
      </c>
      <c r="L11" s="36" cm="1">
        <f t="array" aca="1" ref="L11" ca="1">IFERROR( CHOOSE( data!$B$7,
IF(_xll.IMDP("IR", data!$B12, data!T$8, $D$6)=0,"",_xll.IMDP("IR", data!$B12, data!T$8, $D$6)),
IF(_xll.IMDP("IR", data!$C12, data!T$8, $D$6)=0,"",_xll.IMDP("IR", data!$C12, data!T$8, $D$6)), data!T12 ), "")</f>
        <v>2.54</v>
      </c>
      <c r="M11" s="36" cm="1">
        <f t="array" aca="1" ref="M11" ca="1">IFERROR( CHOOSE( data!$B$7,
IF(_xll.IMDP("IR", data!$B12, data!U$8, $D$6)=0,"",_xll.IMDP("IR", data!$B12, data!U$8, $D$6)),
IF(_xll.IMDP("IR", data!$C12, data!U$8, $D$6)=0,"",_xll.IMDP("IR", data!$C12, data!U$8, $D$6)), data!U12 ), "")</f>
        <v>2.5419999999999998</v>
      </c>
      <c r="N11" s="36" cm="1">
        <f t="array" aca="1" ref="N11" ca="1">IFERROR( CHOOSE( data!$B$7,
IF(_xll.IMDP("IR", data!$B12, data!V$8, $D$6)=0,"",_xll.IMDP("IR", data!$B12, data!V$8, $D$6)),
IF(_xll.IMDP("IR", data!$C12, data!V$8, $D$6)=0,"",_xll.IMDP("IR", data!$C12, data!V$8, $D$6)), data!V12 ), "")</f>
        <v>2.5649999999999999</v>
      </c>
      <c r="O11" s="36" cm="1">
        <f t="array" aca="1" ref="O11" ca="1">IFERROR( CHOOSE( data!$B$7,
IF(_xll.IMDP("IR", data!$B12, data!W$8, $D$6)=0,"",_xll.IMDP("IR", data!$B12, data!W$8, $D$6)),
IF(_xll.IMDP("IR", data!$C12, data!W$8, $D$6)=0,"",_xll.IMDP("IR", data!$C12, data!W$8, $D$6)), data!W12 ), "")</f>
        <v>2.68</v>
      </c>
      <c r="P11" s="36" cm="1">
        <f t="array" aca="1" ref="P11" ca="1">IFERROR( CHOOSE( data!$B$7,
IF(_xll.IMDP("IR", data!$B12, data!X$8, $D$6)=0,"",_xll.IMDP("IR", data!$B12, data!X$8, $D$6)),
IF(_xll.IMDP("IR", data!$C12, data!X$8, $D$6)=0,"",_xll.IMDP("IR", data!$C12, data!X$8, $D$6)), data!X12 ), "")</f>
        <v>2.7450000000000001</v>
      </c>
      <c r="Q11" s="36" cm="1">
        <f t="array" aca="1" ref="Q11" ca="1">IFERROR( CHOOSE( data!$B$7,
IF(_xll.IMDP("IR", data!$B12, data!Y$8, $D$6)=0,"",_xll.IMDP("IR", data!$B12, data!Y$8, $D$6)),
IF(_xll.IMDP("IR", data!$C12, data!Y$8, $D$6)=0,"",_xll.IMDP("IR", data!$C12, data!Y$8, $D$6)), data!Y12 ), "")</f>
        <v>0.69099999999999995</v>
      </c>
      <c r="R11" s="36" cm="1">
        <f t="array" aca="1" ref="R11" ca="1">IFERROR( CHOOSE( data!$B$7,
IF(_xll.IMDP("IR", data!$B12, data!Z$8, $D$6)=0,"",_xll.IMDP("IR", data!$B12, data!Z$8, $D$6)),
IF(_xll.IMDP("IR", data!$C12, data!Z$8, $D$6)=0,"",_xll.IMDP("IR", data!$C12, data!Z$8, $D$6)), data!Z12 ), "")</f>
        <v>0.71699999999999997</v>
      </c>
      <c r="S11" s="36" t="str" cm="1">
        <f t="array" aca="1" ref="S11" ca="1">IFERROR( CHOOSE( data!$B$7,
IF(_xll.IMDP("IR", data!$B12, data!AA$8, $D$6)=0,"",_xll.IMDP("IR", data!$B12, data!AA$8, $D$6)),
IF(_xll.IMDP("IR", data!$C12, data!AA$8, $D$6)=0,"",_xll.IMDP("IR", data!$C12, data!AA$8, $D$6)), data!AA12 ), "")</f>
        <v/>
      </c>
      <c r="T11" s="37" t="str" cm="1">
        <f t="array" aca="1" ref="T11" ca="1">IFERROR( CHOOSE( data!$B$7,
IF(_xll.IMDP("IR", data!$B12, data!AB$8, $D$6)=0,"",_xll.IMDP("IR", data!$B12, data!AB$8, $D$6)),
IF(_xll.IMDP("IR", data!$C12, data!AB$8, $D$6)=0,"",_xll.IMDP("IR", data!$C12, data!AB$8, $D$6)), data!AB12 ), "")</f>
        <v/>
      </c>
    </row>
    <row r="12" spans="2:20" s="4" customFormat="1" ht="12">
      <c r="B12" s="11" t="s">
        <v>21</v>
      </c>
      <c r="C12" s="5" t="s">
        <v>22</v>
      </c>
      <c r="D12" s="15" t="s">
        <v>23</v>
      </c>
      <c r="E12" s="29" cm="1">
        <f t="array" aca="1" ref="E12" ca="1">IFERROR( CHOOSE( data!$B$7,
IF(_xll.IMDP("IR", data!$B13, data!M$8, $D$6)=0,"",_xll.IMDP("IR", data!$B13, data!M$8, $D$6)),
IF(_xll.IMDP("IR", data!$C13, data!M$8, $D$6)=0,"",_xll.IMDP("IR", data!$C13, data!M$8, $D$6)), data!M13 ), "")</f>
        <v>3.41</v>
      </c>
      <c r="F12" s="30" cm="1">
        <f t="array" aca="1" ref="F12" ca="1">IFERROR( CHOOSE( data!$B$7,
IF(_xll.IMDP("IR", data!$B13, data!N$8, $D$6)=0,"",_xll.IMDP("IR", data!$B13, data!N$8, $D$6)),
IF(_xll.IMDP("IR", data!$C13, data!N$8, $D$6)=0,"",_xll.IMDP("IR", data!$C13, data!N$8, $D$6)), data!N13 ), "")</f>
        <v>3.335</v>
      </c>
      <c r="G12" s="30" cm="1">
        <f t="array" aca="1" ref="G12" ca="1">IFERROR( CHOOSE( data!$B$7,
IF(_xll.IMDP("IR", data!$B13, data!O$8, $D$6)=0,"",_xll.IMDP("IR", data!$B13, data!O$8, $D$6)),
IF(_xll.IMDP("IR", data!$C13, data!O$8, $D$6)=0,"",_xll.IMDP("IR", data!$C13, data!O$8, $D$6)), data!O13 ), "")</f>
        <v>3.2549999999999999</v>
      </c>
      <c r="H12" s="30" cm="1">
        <f t="array" aca="1" ref="H12" ca="1">IFERROR( CHOOSE( data!$B$7,
IF(_xll.IMDP("IR", data!$B13, data!P$8, $D$6)=0,"",_xll.IMDP("IR", data!$B13, data!P$8, $D$6)),
IF(_xll.IMDP("IR", data!$C13, data!P$8, $D$6)=0,"",_xll.IMDP("IR", data!$C13, data!P$8, $D$6)), data!P13 ), "")</f>
        <v>3.1720000000000002</v>
      </c>
      <c r="I12" s="30" cm="1">
        <f t="array" aca="1" ref="I12" ca="1">IFERROR( CHOOSE( data!$B$7,
IF(_xll.IMDP("IR", data!$B13, data!Q$8, $D$6)=0,"",_xll.IMDP("IR", data!$B13, data!Q$8, $D$6)),
IF(_xll.IMDP("IR", data!$C13, data!Q$8, $D$6)=0,"",_xll.IMDP("IR", data!$C13, data!Q$8, $D$6)), data!Q13 ), "")</f>
        <v>3.1629999999999998</v>
      </c>
      <c r="J12" s="30" cm="1">
        <f t="array" aca="1" ref="J12" ca="1">IFERROR( CHOOSE( data!$B$7,
IF(_xll.IMDP("IR", data!$B13, data!R$8, $D$6)=0,"",_xll.IMDP("IR", data!$B13, data!R$8, $D$6)),
IF(_xll.IMDP("IR", data!$C13, data!R$8, $D$6)=0,"",_xll.IMDP("IR", data!$C13, data!R$8, $D$6)), data!R13 ), "")</f>
        <v>3.1469999999999998</v>
      </c>
      <c r="K12" s="30" cm="1">
        <f t="array" aca="1" ref="K12" ca="1">IFERROR( CHOOSE( data!$B$7,
IF(_xll.IMDP("IR", data!$B13, data!S$8, $D$6)=0,"",_xll.IMDP("IR", data!$B13, data!S$8, $D$6)),
IF(_xll.IMDP("IR", data!$C13, data!S$8, $D$6)=0,"",_xll.IMDP("IR", data!$C13, data!S$8, $D$6)), data!S13 ), "")</f>
        <v>3.1150000000000002</v>
      </c>
      <c r="L12" s="30" cm="1">
        <f t="array" aca="1" ref="L12" ca="1">IFERROR( CHOOSE( data!$B$7,
IF(_xll.IMDP("IR", data!$B13, data!T$8, $D$6)=0,"",_xll.IMDP("IR", data!$B13, data!T$8, $D$6)),
IF(_xll.IMDP("IR", data!$C13, data!T$8, $D$6)=0,"",_xll.IMDP("IR", data!$C13, data!T$8, $D$6)), data!T13 ), "")</f>
        <v>3.1269999999999998</v>
      </c>
      <c r="M12" s="30" cm="1">
        <f t="array" aca="1" ref="M12" ca="1">IFERROR( CHOOSE( data!$B$7,
IF(_xll.IMDP("IR", data!$B13, data!U$8, $D$6)=0,"",_xll.IMDP("IR", data!$B13, data!U$8, $D$6)),
IF(_xll.IMDP("IR", data!$C13, data!U$8, $D$6)=0,"",_xll.IMDP("IR", data!$C13, data!U$8, $D$6)), data!U13 ), "")</f>
        <v>3.121</v>
      </c>
      <c r="N12" s="30" cm="1">
        <f t="array" aca="1" ref="N12" ca="1">IFERROR( CHOOSE( data!$B$7,
IF(_xll.IMDP("IR", data!$B13, data!V$8, $D$6)=0,"",_xll.IMDP("IR", data!$B13, data!V$8, $D$6)),
IF(_xll.IMDP("IR", data!$C13, data!V$8, $D$6)=0,"",_xll.IMDP("IR", data!$C13, data!V$8, $D$6)), data!V13 ), "")</f>
        <v>3.1080000000000001</v>
      </c>
      <c r="O12" s="30" cm="1">
        <f t="array" aca="1" ref="O12" ca="1">IFERROR( CHOOSE( data!$B$7,
IF(_xll.IMDP("IR", data!$B13, data!W$8, $D$6)=0,"",_xll.IMDP("IR", data!$B13, data!W$8, $D$6)),
IF(_xll.IMDP("IR", data!$C13, data!W$8, $D$6)=0,"",_xll.IMDP("IR", data!$C13, data!W$8, $D$6)), data!W13 ), "")</f>
        <v>3.2909999999999999</v>
      </c>
      <c r="P12" s="30" t="str" cm="1">
        <f t="array" aca="1" ref="P12" ca="1">IFERROR( CHOOSE( data!$B$7,
IF(_xll.IMDP("IR", data!$B13, data!X$8, $D$6)=0,"",_xll.IMDP("IR", data!$B13, data!X$8, $D$6)),
IF(_xll.IMDP("IR", data!$C13, data!X$8, $D$6)=0,"",_xll.IMDP("IR", data!$C13, data!X$8, $D$6)), data!X13 ), "")</f>
        <v/>
      </c>
      <c r="Q12" s="30" t="str" cm="1">
        <f t="array" aca="1" ref="Q12" ca="1">IFERROR( CHOOSE( data!$B$7,
IF(_xll.IMDP("IR", data!$B13, data!Y$8, $D$6)=0,"",_xll.IMDP("IR", data!$B13, data!Y$8, $D$6)),
IF(_xll.IMDP("IR", data!$C13, data!Y$8, $D$6)=0,"",_xll.IMDP("IR", data!$C13, data!Y$8, $D$6)), data!Y13 ), "")</f>
        <v/>
      </c>
      <c r="R12" s="30" t="str" cm="1">
        <f t="array" aca="1" ref="R12" ca="1">IFERROR( CHOOSE( data!$B$7,
IF(_xll.IMDP("IR", data!$B13, data!Z$8, $D$6)=0,"",_xll.IMDP("IR", data!$B13, data!Z$8, $D$6)),
IF(_xll.IMDP("IR", data!$C13, data!Z$8, $D$6)=0,"",_xll.IMDP("IR", data!$C13, data!Z$8, $D$6)), data!Z13 ), "")</f>
        <v/>
      </c>
      <c r="S12" s="30" t="str" cm="1">
        <f t="array" aca="1" ref="S12" ca="1">IFERROR( CHOOSE( data!$B$7,
IF(_xll.IMDP("IR", data!$B13, data!AA$8, $D$6)=0,"",_xll.IMDP("IR", data!$B13, data!AA$8, $D$6)),
IF(_xll.IMDP("IR", data!$C13, data!AA$8, $D$6)=0,"",_xll.IMDP("IR", data!$C13, data!AA$8, $D$6)), data!AA13 ), "")</f>
        <v/>
      </c>
      <c r="T12" s="31" t="str" cm="1">
        <f t="array" aca="1" ref="T12" ca="1">IFERROR( CHOOSE( data!$B$7,
IF(_xll.IMDP("IR", data!$B13, data!AB$8, $D$6)=0,"",_xll.IMDP("IR", data!$B13, data!AB$8, $D$6)),
IF(_xll.IMDP("IR", data!$C13, data!AB$8, $D$6)=0,"",_xll.IMDP("IR", data!$C13, data!AB$8, $D$6)), data!AB13 ), "")</f>
        <v/>
      </c>
    </row>
    <row r="13" spans="2:20" s="4" customFormat="1" ht="12.75" thickBot="1">
      <c r="B13" s="13"/>
      <c r="C13" s="6" t="s">
        <v>24</v>
      </c>
      <c r="D13" s="17" t="s">
        <v>18</v>
      </c>
      <c r="E13" s="35" cm="1">
        <f t="array" aca="1" ref="E13" ca="1">IFERROR( CHOOSE( data!$B$7,
IF(_xll.IMDP("IR", data!$B14, data!M$8, $D$6)=0,"",_xll.IMDP("IR", data!$B14, data!M$8, $D$6)),
IF(_xll.IMDP("IR", data!$C14, data!M$8, $D$6)=0,"",_xll.IMDP("IR", data!$C14, data!M$8, $D$6)), data!M14 ), "")</f>
        <v>3.41</v>
      </c>
      <c r="F13" s="36" cm="1">
        <f t="array" aca="1" ref="F13" ca="1">IFERROR( CHOOSE( data!$B$7,
IF(_xll.IMDP("IR", data!$B14, data!N$8, $D$6)=0,"",_xll.IMDP("IR", data!$B14, data!N$8, $D$6)),
IF(_xll.IMDP("IR", data!$C14, data!N$8, $D$6)=0,"",_xll.IMDP("IR", data!$C14, data!N$8, $D$6)), data!N14 ), "")</f>
        <v>3.335</v>
      </c>
      <c r="G13" s="36" cm="1">
        <f t="array" aca="1" ref="G13" ca="1">IFERROR( CHOOSE( data!$B$7,
IF(_xll.IMDP("IR", data!$B14, data!O$8, $D$6)=0,"",_xll.IMDP("IR", data!$B14, data!O$8, $D$6)),
IF(_xll.IMDP("IR", data!$C14, data!O$8, $D$6)=0,"",_xll.IMDP("IR", data!$C14, data!O$8, $D$6)), data!O14 ), "")</f>
        <v>3.2549999999999999</v>
      </c>
      <c r="H13" s="36" cm="1">
        <f t="array" aca="1" ref="H13" ca="1">IFERROR( CHOOSE( data!$B$7,
IF(_xll.IMDP("IR", data!$B14, data!P$8, $D$6)=0,"",_xll.IMDP("IR", data!$B14, data!P$8, $D$6)),
IF(_xll.IMDP("IR", data!$C14, data!P$8, $D$6)=0,"",_xll.IMDP("IR", data!$C14, data!P$8, $D$6)), data!P14 ), "")</f>
        <v>3.1720000000000002</v>
      </c>
      <c r="I13" s="36" cm="1">
        <f t="array" aca="1" ref="I13" ca="1">IFERROR( CHOOSE( data!$B$7,
IF(_xll.IMDP("IR", data!$B14, data!Q$8, $D$6)=0,"",_xll.IMDP("IR", data!$B14, data!Q$8, $D$6)),
IF(_xll.IMDP("IR", data!$C14, data!Q$8, $D$6)=0,"",_xll.IMDP("IR", data!$C14, data!Q$8, $D$6)), data!Q14 ), "")</f>
        <v>3.1629999999999998</v>
      </c>
      <c r="J13" s="36" cm="1">
        <f t="array" aca="1" ref="J13" ca="1">IFERROR( CHOOSE( data!$B$7,
IF(_xll.IMDP("IR", data!$B14, data!R$8, $D$6)=0,"",_xll.IMDP("IR", data!$B14, data!R$8, $D$6)),
IF(_xll.IMDP("IR", data!$C14, data!R$8, $D$6)=0,"",_xll.IMDP("IR", data!$C14, data!R$8, $D$6)), data!R14 ), "")</f>
        <v>3.1480000000000001</v>
      </c>
      <c r="K13" s="36" cm="1">
        <f t="array" aca="1" ref="K13" ca="1">IFERROR( CHOOSE( data!$B$7,
IF(_xll.IMDP("IR", data!$B14, data!S$8, $D$6)=0,"",_xll.IMDP("IR", data!$B14, data!S$8, $D$6)),
IF(_xll.IMDP("IR", data!$C14, data!S$8, $D$6)=0,"",_xll.IMDP("IR", data!$C14, data!S$8, $D$6)), data!S14 ), "")</f>
        <v>3.1150000000000002</v>
      </c>
      <c r="L13" s="36" cm="1">
        <f t="array" aca="1" ref="L13" ca="1">IFERROR( CHOOSE( data!$B$7,
IF(_xll.IMDP("IR", data!$B14, data!T$8, $D$6)=0,"",_xll.IMDP("IR", data!$B14, data!T$8, $D$6)),
IF(_xll.IMDP("IR", data!$C14, data!T$8, $D$6)=0,"",_xll.IMDP("IR", data!$C14, data!T$8, $D$6)), data!T14 ), "")</f>
        <v>3.1269999999999998</v>
      </c>
      <c r="M13" s="36" cm="1">
        <f t="array" aca="1" ref="M13" ca="1">IFERROR( CHOOSE( data!$B$7,
IF(_xll.IMDP("IR", data!$B14, data!U$8, $D$6)=0,"",_xll.IMDP("IR", data!$B14, data!U$8, $D$6)),
IF(_xll.IMDP("IR", data!$C14, data!U$8, $D$6)=0,"",_xll.IMDP("IR", data!$C14, data!U$8, $D$6)), data!U14 ), "")</f>
        <v>3.121</v>
      </c>
      <c r="N13" s="36" cm="1">
        <f t="array" aca="1" ref="N13" ca="1">IFERROR( CHOOSE( data!$B$7,
IF(_xll.IMDP("IR", data!$B14, data!V$8, $D$6)=0,"",_xll.IMDP("IR", data!$B14, data!V$8, $D$6)),
IF(_xll.IMDP("IR", data!$C14, data!V$8, $D$6)=0,"",_xll.IMDP("IR", data!$C14, data!V$8, $D$6)), data!V14 ), "")</f>
        <v>3.1080000000000001</v>
      </c>
      <c r="O13" s="36" cm="1">
        <f t="array" aca="1" ref="O13" ca="1">IFERROR( CHOOSE( data!$B$7,
IF(_xll.IMDP("IR", data!$B14, data!W$8, $D$6)=0,"",_xll.IMDP("IR", data!$B14, data!W$8, $D$6)),
IF(_xll.IMDP("IR", data!$C14, data!W$8, $D$6)=0,"",_xll.IMDP("IR", data!$C14, data!W$8, $D$6)), data!W14 ), "")</f>
        <v>3.2909999999999999</v>
      </c>
      <c r="P13" s="36" cm="1">
        <f t="array" aca="1" ref="P13" ca="1">IFERROR( CHOOSE( data!$B$7,
IF(_xll.IMDP("IR", data!$B14, data!X$8, $D$6)=0,"",_xll.IMDP("IR", data!$B14, data!X$8, $D$6)),
IF(_xll.IMDP("IR", data!$C14, data!X$8, $D$6)=0,"",_xll.IMDP("IR", data!$C14, data!X$8, $D$6)), data!X14 ), "")</f>
        <v>3.339</v>
      </c>
      <c r="Q13" s="36" cm="1">
        <f t="array" aca="1" ref="Q13" ca="1">IFERROR( CHOOSE( data!$B$7,
IF(_xll.IMDP("IR", data!$B14, data!Y$8, $D$6)=0,"",_xll.IMDP("IR", data!$B14, data!Y$8, $D$6)),
IF(_xll.IMDP("IR", data!$C14, data!Y$8, $D$6)=0,"",_xll.IMDP("IR", data!$C14, data!Y$8, $D$6)), data!Y14 ), "")</f>
        <v>3.32</v>
      </c>
      <c r="R13" s="36" cm="1">
        <f t="array" aca="1" ref="R13" ca="1">IFERROR( CHOOSE( data!$B$7,
IF(_xll.IMDP("IR", data!$B14, data!Z$8, $D$6)=0,"",_xll.IMDP("IR", data!$B14, data!Z$8, $D$6)),
IF(_xll.IMDP("IR", data!$C14, data!Z$8, $D$6)=0,"",_xll.IMDP("IR", data!$C14, data!Z$8, $D$6)), data!Z14 ), "")</f>
        <v>3.3809999999999998</v>
      </c>
      <c r="S13" s="36" t="str" cm="1">
        <f t="array" aca="1" ref="S13" ca="1">IFERROR( CHOOSE( data!$B$7,
IF(_xll.IMDP("IR", data!$B14, data!AA$8, $D$6)=0,"",_xll.IMDP("IR", data!$B14, data!AA$8, $D$6)),
IF(_xll.IMDP("IR", data!$C14, data!AA$8, $D$6)=0,"",_xll.IMDP("IR", data!$C14, data!AA$8, $D$6)), data!AA14 ), "")</f>
        <v/>
      </c>
      <c r="T13" s="37" t="str" cm="1">
        <f t="array" aca="1" ref="T13" ca="1">IFERROR( CHOOSE( data!$B$7,
IF(_xll.IMDP("IR", data!$B14, data!AB$8, $D$6)=0,"",_xll.IMDP("IR", data!$B14, data!AB$8, $D$6)),
IF(_xll.IMDP("IR", data!$C14, data!AB$8, $D$6)=0,"",_xll.IMDP("IR", data!$C14, data!AB$8, $D$6)), data!AB14 ), "")</f>
        <v/>
      </c>
    </row>
    <row r="14" spans="2:20" s="4" customFormat="1" ht="12">
      <c r="B14" s="11" t="s">
        <v>76</v>
      </c>
      <c r="C14" s="65" t="s">
        <v>25</v>
      </c>
      <c r="D14" s="15" t="s">
        <v>26</v>
      </c>
      <c r="E14" s="29" cm="1">
        <f t="array" aca="1" ref="E14" ca="1">IFERROR( CHOOSE( data!$B$7,
IF(_xll.IMDP("IR", data!$B15, data!M$8, $D$6)=0,"",_xll.IMDP("IR", data!$B15, data!M$8, $D$6)),
IF(_xll.IMDP("IR", data!$C15, data!M$8, $D$6)=0,"",_xll.IMDP("IR", data!$C15, data!M$8, $D$6)), data!M15 ), "")</f>
        <v>3.387</v>
      </c>
      <c r="F14" s="30" cm="1">
        <f t="array" aca="1" ref="F14" ca="1">IFERROR( CHOOSE( data!$B$7,
IF(_xll.IMDP("IR", data!$B15, data!N$8, $D$6)=0,"",_xll.IMDP("IR", data!$B15, data!N$8, $D$6)),
IF(_xll.IMDP("IR", data!$C15, data!N$8, $D$6)=0,"",_xll.IMDP("IR", data!$C15, data!N$8, $D$6)), data!N15 ), "")</f>
        <v>3.3109999999999999</v>
      </c>
      <c r="G14" s="30" cm="1">
        <f t="array" aca="1" ref="G14" ca="1">IFERROR( CHOOSE( data!$B$7,
IF(_xll.IMDP("IR", data!$B15, data!O$8, $D$6)=0,"",_xll.IMDP("IR", data!$B15, data!O$8, $D$6)),
IF(_xll.IMDP("IR", data!$C15, data!O$8, $D$6)=0,"",_xll.IMDP("IR", data!$C15, data!O$8, $D$6)), data!O15 ), "")</f>
        <v>3.2330000000000001</v>
      </c>
      <c r="H14" s="30" cm="1">
        <f t="array" aca="1" ref="H14" ca="1">IFERROR( CHOOSE( data!$B$7,
IF(_xll.IMDP("IR", data!$B15, data!P$8, $D$6)=0,"",_xll.IMDP("IR", data!$B15, data!P$8, $D$6)),
IF(_xll.IMDP("IR", data!$C15, data!P$8, $D$6)=0,"",_xll.IMDP("IR", data!$C15, data!P$8, $D$6)), data!P15 ), "")</f>
        <v>3.18</v>
      </c>
      <c r="I14" s="30" cm="1">
        <f t="array" aca="1" ref="I14" ca="1">IFERROR( CHOOSE( data!$B$7,
IF(_xll.IMDP("IR", data!$B15, data!Q$8, $D$6)=0,"",_xll.IMDP("IR", data!$B15, data!Q$8, $D$6)),
IF(_xll.IMDP("IR", data!$C15, data!Q$8, $D$6)=0,"",_xll.IMDP("IR", data!$C15, data!Q$8, $D$6)), data!Q15 ), "")</f>
        <v>3.137</v>
      </c>
      <c r="J14" s="30" cm="1">
        <f t="array" aca="1" ref="J14" ca="1">IFERROR( CHOOSE( data!$B$7,
IF(_xll.IMDP("IR", data!$B15, data!R$8, $D$6)=0,"",_xll.IMDP("IR", data!$B15, data!R$8, $D$6)),
IF(_xll.IMDP("IR", data!$C15, data!R$8, $D$6)=0,"",_xll.IMDP("IR", data!$C15, data!R$8, $D$6)), data!R15 ), "")</f>
        <v>3.12</v>
      </c>
      <c r="K14" s="30" cm="1">
        <f t="array" aca="1" ref="K14" ca="1">IFERROR( CHOOSE( data!$B$7,
IF(_xll.IMDP("IR", data!$B15, data!S$8, $D$6)=0,"",_xll.IMDP("IR", data!$B15, data!S$8, $D$6)),
IF(_xll.IMDP("IR", data!$C15, data!S$8, $D$6)=0,"",_xll.IMDP("IR", data!$C15, data!S$8, $D$6)), data!S15 ), "")</f>
        <v>3.085</v>
      </c>
      <c r="L14" s="30" cm="1">
        <f t="array" aca="1" ref="L14" ca="1">IFERROR( CHOOSE( data!$B$7,
IF(_xll.IMDP("IR", data!$B15, data!T$8, $D$6)=0,"",_xll.IMDP("IR", data!$B15, data!T$8, $D$6)),
IF(_xll.IMDP("IR", data!$C15, data!T$8, $D$6)=0,"",_xll.IMDP("IR", data!$C15, data!T$8, $D$6)), data!T15 ), "")</f>
        <v>3.0739999999999998</v>
      </c>
      <c r="M14" s="30" cm="1">
        <f t="array" aca="1" ref="M14" ca="1">IFERROR( CHOOSE( data!$B$7,
IF(_xll.IMDP("IR", data!$B15, data!U$8, $D$6)=0,"",_xll.IMDP("IR", data!$B15, data!U$8, $D$6)),
IF(_xll.IMDP("IR", data!$C15, data!U$8, $D$6)=0,"",_xll.IMDP("IR", data!$C15, data!U$8, $D$6)), data!U15 ), "")</f>
        <v>3.0659999999999998</v>
      </c>
      <c r="N14" s="30" cm="1">
        <f t="array" aca="1" ref="N14" ca="1">IFERROR( CHOOSE( data!$B$7,
IF(_xll.IMDP("IR", data!$B15, data!V$8, $D$6)=0,"",_xll.IMDP("IR", data!$B15, data!V$8, $D$6)),
IF(_xll.IMDP("IR", data!$C15, data!V$8, $D$6)=0,"",_xll.IMDP("IR", data!$C15, data!V$8, $D$6)), data!V15 ), "")</f>
        <v>3.0779999999999998</v>
      </c>
      <c r="O14" s="30" cm="1">
        <f t="array" aca="1" ref="O14" ca="1">IFERROR( CHOOSE( data!$B$7,
IF(_xll.IMDP("IR", data!$B15, data!W$8, $D$6)=0,"",_xll.IMDP("IR", data!$B15, data!W$8, $D$6)),
IF(_xll.IMDP("IR", data!$C15, data!W$8, $D$6)=0,"",_xll.IMDP("IR", data!$C15, data!W$8, $D$6)), data!W15 ), "")</f>
        <v>3.0830000000000002</v>
      </c>
      <c r="P14" s="30" cm="1">
        <f t="array" aca="1" ref="P14" ca="1">IFERROR( CHOOSE( data!$B$7,
IF(_xll.IMDP("IR", data!$B15, data!X$8, $D$6)=0,"",_xll.IMDP("IR", data!$B15, data!X$8, $D$6)),
IF(_xll.IMDP("IR", data!$C15, data!X$8, $D$6)=0,"",_xll.IMDP("IR", data!$C15, data!X$8, $D$6)), data!X15 ), "")</f>
        <v>3.093</v>
      </c>
      <c r="Q14" s="30" cm="1">
        <f t="array" aca="1" ref="Q14" ca="1">IFERROR( CHOOSE( data!$B$7,
IF(_xll.IMDP("IR", data!$B15, data!Y$8, $D$6)=0,"",_xll.IMDP("IR", data!$B15, data!Y$8, $D$6)),
IF(_xll.IMDP("IR", data!$C15, data!Y$8, $D$6)=0,"",_xll.IMDP("IR", data!$C15, data!Y$8, $D$6)), data!Y15 ), "")</f>
        <v>3.1059999999999999</v>
      </c>
      <c r="R14" s="30" cm="1">
        <f t="array" aca="1" ref="R14" ca="1">IFERROR( CHOOSE( data!$B$7,
IF(_xll.IMDP("IR", data!$B15, data!Z$8, $D$6)=0,"",_xll.IMDP("IR", data!$B15, data!Z$8, $D$6)),
IF(_xll.IMDP("IR", data!$C15, data!Z$8, $D$6)=0,"",_xll.IMDP("IR", data!$C15, data!Z$8, $D$6)), data!Z15 ), "")</f>
        <v>3.0790000000000002</v>
      </c>
      <c r="S14" s="30" t="str" cm="1">
        <f t="array" aca="1" ref="S14" ca="1">IFERROR( CHOOSE( data!$B$7,
IF(_xll.IMDP("IR", data!$B15, data!AA$8, $D$6)=0,"",_xll.IMDP("IR", data!$B15, data!AA$8, $D$6)),
IF(_xll.IMDP("IR", data!$C15, data!AA$8, $D$6)=0,"",_xll.IMDP("IR", data!$C15, data!AA$8, $D$6)), data!AA15 ), "")</f>
        <v/>
      </c>
      <c r="T14" s="31" t="str" cm="1">
        <f t="array" aca="1" ref="T14" ca="1">IFERROR( CHOOSE( data!$B$7,
IF(_xll.IMDP("IR", data!$B15, data!AB$8, $D$6)=0,"",_xll.IMDP("IR", data!$B15, data!AB$8, $D$6)),
IF(_xll.IMDP("IR", data!$C15, data!AB$8, $D$6)=0,"",_xll.IMDP("IR", data!$C15, data!AB$8, $D$6)), data!AB15 ), "")</f>
        <v/>
      </c>
    </row>
    <row r="15" spans="2:20" s="4" customFormat="1" ht="12">
      <c r="B15" s="12" t="s">
        <v>77</v>
      </c>
      <c r="C15" s="67"/>
      <c r="D15" s="16" t="s">
        <v>27</v>
      </c>
      <c r="E15" s="32" cm="1">
        <f t="array" aca="1" ref="E15" ca="1">IFERROR( CHOOSE( data!$B$7,
IF(_xll.IMDP("IR", data!$B16, data!M$8, $D$6)=0,"",_xll.IMDP("IR", data!$B16, data!M$8, $D$6)),
IF(_xll.IMDP("IR", data!$C16, data!M$8, $D$6)=0,"",_xll.IMDP("IR", data!$C16, data!M$8, $D$6)), data!M16 ), "")</f>
        <v>3.3919999999999999</v>
      </c>
      <c r="F15" s="33" cm="1">
        <f t="array" aca="1" ref="F15" ca="1">IFERROR( CHOOSE( data!$B$7,
IF(_xll.IMDP("IR", data!$B16, data!N$8, $D$6)=0,"",_xll.IMDP("IR", data!$B16, data!N$8, $D$6)),
IF(_xll.IMDP("IR", data!$C16, data!N$8, $D$6)=0,"",_xll.IMDP("IR", data!$C16, data!N$8, $D$6)), data!N16 ), "")</f>
        <v>3.3570000000000002</v>
      </c>
      <c r="G15" s="33" cm="1">
        <f t="array" aca="1" ref="G15" ca="1">IFERROR( CHOOSE( data!$B$7,
IF(_xll.IMDP("IR", data!$B16, data!O$8, $D$6)=0,"",_xll.IMDP("IR", data!$B16, data!O$8, $D$6)),
IF(_xll.IMDP("IR", data!$C16, data!O$8, $D$6)=0,"",_xll.IMDP("IR", data!$C16, data!O$8, $D$6)), data!O16 ), "")</f>
        <v>3.2989999999999999</v>
      </c>
      <c r="H15" s="33" cm="1">
        <f t="array" aca="1" ref="H15" ca="1">IFERROR( CHOOSE( data!$B$7,
IF(_xll.IMDP("IR", data!$B16, data!P$8, $D$6)=0,"",_xll.IMDP("IR", data!$B16, data!P$8, $D$6)),
IF(_xll.IMDP("IR", data!$C16, data!P$8, $D$6)=0,"",_xll.IMDP("IR", data!$C16, data!P$8, $D$6)), data!P16 ), "")</f>
        <v>3.2570000000000001</v>
      </c>
      <c r="I15" s="33" cm="1">
        <f t="array" aca="1" ref="I15" ca="1">IFERROR( CHOOSE( data!$B$7,
IF(_xll.IMDP("IR", data!$B16, data!Q$8, $D$6)=0,"",_xll.IMDP("IR", data!$B16, data!Q$8, $D$6)),
IF(_xll.IMDP("IR", data!$C16, data!Q$8, $D$6)=0,"",_xll.IMDP("IR", data!$C16, data!Q$8, $D$6)), data!Q16 ), "")</f>
        <v>3.198</v>
      </c>
      <c r="J15" s="33" cm="1">
        <f t="array" aca="1" ref="J15" ca="1">IFERROR( CHOOSE( data!$B$7,
IF(_xll.IMDP("IR", data!$B16, data!R$8, $D$6)=0,"",_xll.IMDP("IR", data!$B16, data!R$8, $D$6)),
IF(_xll.IMDP("IR", data!$C16, data!R$8, $D$6)=0,"",_xll.IMDP("IR", data!$C16, data!R$8, $D$6)), data!R16 ), "")</f>
        <v>3.1840000000000002</v>
      </c>
      <c r="K15" s="33" cm="1">
        <f t="array" aca="1" ref="K15" ca="1">IFERROR( CHOOSE( data!$B$7,
IF(_xll.IMDP("IR", data!$B16, data!S$8, $D$6)=0,"",_xll.IMDP("IR", data!$B16, data!S$8, $D$6)),
IF(_xll.IMDP("IR", data!$C16, data!S$8, $D$6)=0,"",_xll.IMDP("IR", data!$C16, data!S$8, $D$6)), data!S16 ), "")</f>
        <v>3.153</v>
      </c>
      <c r="L15" s="33" cm="1">
        <f t="array" aca="1" ref="L15" ca="1">IFERROR( CHOOSE( data!$B$7,
IF(_xll.IMDP("IR", data!$B16, data!T$8, $D$6)=0,"",_xll.IMDP("IR", data!$B16, data!T$8, $D$6)),
IF(_xll.IMDP("IR", data!$C16, data!T$8, $D$6)=0,"",_xll.IMDP("IR", data!$C16, data!T$8, $D$6)), data!T16 ), "")</f>
        <v>3.153</v>
      </c>
      <c r="M15" s="33" cm="1">
        <f t="array" aca="1" ref="M15" ca="1">IFERROR( CHOOSE( data!$B$7,
IF(_xll.IMDP("IR", data!$B16, data!U$8, $D$6)=0,"",_xll.IMDP("IR", data!$B16, data!U$8, $D$6)),
IF(_xll.IMDP("IR", data!$C16, data!U$8, $D$6)=0,"",_xll.IMDP("IR", data!$C16, data!U$8, $D$6)), data!U16 ), "")</f>
        <v>3.1440000000000001</v>
      </c>
      <c r="N15" s="33" cm="1">
        <f t="array" aca="1" ref="N15" ca="1">IFERROR( CHOOSE( data!$B$7,
IF(_xll.IMDP("IR", data!$B16, data!V$8, $D$6)=0,"",_xll.IMDP("IR", data!$B16, data!V$8, $D$6)),
IF(_xll.IMDP("IR", data!$C16, data!V$8, $D$6)=0,"",_xll.IMDP("IR", data!$C16, data!V$8, $D$6)), data!V16 ), "")</f>
        <v>3.145</v>
      </c>
      <c r="O15" s="33" cm="1">
        <f t="array" aca="1" ref="O15" ca="1">IFERROR( CHOOSE( data!$B$7,
IF(_xll.IMDP("IR", data!$B16, data!W$8, $D$6)=0,"",_xll.IMDP("IR", data!$B16, data!W$8, $D$6)),
IF(_xll.IMDP("IR", data!$C16, data!W$8, $D$6)=0,"",_xll.IMDP("IR", data!$C16, data!W$8, $D$6)), data!W16 ), "")</f>
        <v>3.1419999999999999</v>
      </c>
      <c r="P15" s="33" cm="1">
        <f t="array" aca="1" ref="P15" ca="1">IFERROR( CHOOSE( data!$B$7,
IF(_xll.IMDP("IR", data!$B16, data!X$8, $D$6)=0,"",_xll.IMDP("IR", data!$B16, data!X$8, $D$6)),
IF(_xll.IMDP("IR", data!$C16, data!X$8, $D$6)=0,"",_xll.IMDP("IR", data!$C16, data!X$8, $D$6)), data!X16 ), "")</f>
        <v>3.1549999999999998</v>
      </c>
      <c r="Q15" s="33" cm="1">
        <f t="array" aca="1" ref="Q15" ca="1">IFERROR( CHOOSE( data!$B$7,
IF(_xll.IMDP("IR", data!$B16, data!Y$8, $D$6)=0,"",_xll.IMDP("IR", data!$B16, data!Y$8, $D$6)),
IF(_xll.IMDP("IR", data!$C16, data!Y$8, $D$6)=0,"",_xll.IMDP("IR", data!$C16, data!Y$8, $D$6)), data!Y16 ), "")</f>
        <v>3.1779999999999999</v>
      </c>
      <c r="R15" s="33" cm="1">
        <f t="array" aca="1" ref="R15" ca="1">IFERROR( CHOOSE( data!$B$7,
IF(_xll.IMDP("IR", data!$B16, data!Z$8, $D$6)=0,"",_xll.IMDP("IR", data!$B16, data!Z$8, $D$6)),
IF(_xll.IMDP("IR", data!$C16, data!Z$8, $D$6)=0,"",_xll.IMDP("IR", data!$C16, data!Z$8, $D$6)), data!Z16 ), "")</f>
        <v>3.153</v>
      </c>
      <c r="S15" s="33" cm="1">
        <f t="array" aca="1" ref="S15" ca="1">IFERROR( CHOOSE( data!$B$7,
IF(_xll.IMDP("IR", data!$B16, data!AA$8, $D$6)=0,"",_xll.IMDP("IR", data!$B16, data!AA$8, $D$6)),
IF(_xll.IMDP("IR", data!$C16, data!AA$8, $D$6)=0,"",_xll.IMDP("IR", data!$C16, data!AA$8, $D$6)), data!AA16 ), "")</f>
        <v>3.165</v>
      </c>
      <c r="T15" s="34" t="str" cm="1">
        <f t="array" aca="1" ref="T15" ca="1">IFERROR( CHOOSE( data!$B$7,
IF(_xll.IMDP("IR", data!$B16, data!AB$8, $D$6)=0,"",_xll.IMDP("IR", data!$B16, data!AB$8, $D$6)),
IF(_xll.IMDP("IR", data!$C16, data!AB$8, $D$6)=0,"",_xll.IMDP("IR", data!$C16, data!AB$8, $D$6)), data!AB16 ), "")</f>
        <v/>
      </c>
    </row>
    <row r="16" spans="2:20" s="4" customFormat="1" ht="12">
      <c r="B16" s="12"/>
      <c r="C16" s="67"/>
      <c r="D16" s="16" t="s">
        <v>28</v>
      </c>
      <c r="E16" s="32" cm="1">
        <f t="array" aca="1" ref="E16" ca="1">IFERROR( CHOOSE( data!$B$7,
IF(_xll.IMDP("IR", data!$B17, data!M$8, $D$6)=0,"",_xll.IMDP("IR", data!$B17, data!M$8, $D$6)),
IF(_xll.IMDP("IR", data!$C17, data!M$8, $D$6)=0,"",_xll.IMDP("IR", data!$C17, data!M$8, $D$6)), data!M17 ), "")</f>
        <v>3.4169999999999998</v>
      </c>
      <c r="F16" s="33" cm="1">
        <f t="array" aca="1" ref="F16" ca="1">IFERROR( CHOOSE( data!$B$7,
IF(_xll.IMDP("IR", data!$B17, data!N$8, $D$6)=0,"",_xll.IMDP("IR", data!$B17, data!N$8, $D$6)),
IF(_xll.IMDP("IR", data!$C17, data!N$8, $D$6)=0,"",_xll.IMDP("IR", data!$C17, data!N$8, $D$6)), data!N17 ), "")</f>
        <v>3.4049999999999998</v>
      </c>
      <c r="G16" s="33" cm="1">
        <f t="array" aca="1" ref="G16" ca="1">IFERROR( CHOOSE( data!$B$7,
IF(_xll.IMDP("IR", data!$B17, data!O$8, $D$6)=0,"",_xll.IMDP("IR", data!$B17, data!O$8, $D$6)),
IF(_xll.IMDP("IR", data!$C17, data!O$8, $D$6)=0,"",_xll.IMDP("IR", data!$C17, data!O$8, $D$6)), data!O17 ), "")</f>
        <v>3.3559999999999999</v>
      </c>
      <c r="H16" s="33" cm="1">
        <f t="array" aca="1" ref="H16" ca="1">IFERROR( CHOOSE( data!$B$7,
IF(_xll.IMDP("IR", data!$B17, data!P$8, $D$6)=0,"",_xll.IMDP("IR", data!$B17, data!P$8, $D$6)),
IF(_xll.IMDP("IR", data!$C17, data!P$8, $D$6)=0,"",_xll.IMDP("IR", data!$C17, data!P$8, $D$6)), data!P17 ), "")</f>
        <v>3.306</v>
      </c>
      <c r="I16" s="33" cm="1">
        <f t="array" aca="1" ref="I16" ca="1">IFERROR( CHOOSE( data!$B$7,
IF(_xll.IMDP("IR", data!$B17, data!Q$8, $D$6)=0,"",_xll.IMDP("IR", data!$B17, data!Q$8, $D$6)),
IF(_xll.IMDP("IR", data!$C17, data!Q$8, $D$6)=0,"",_xll.IMDP("IR", data!$C17, data!Q$8, $D$6)), data!Q17 ), "")</f>
        <v>3.2839999999999998</v>
      </c>
      <c r="J16" s="33" cm="1">
        <f t="array" aca="1" ref="J16" ca="1">IFERROR( CHOOSE( data!$B$7,
IF(_xll.IMDP("IR", data!$B17, data!R$8, $D$6)=0,"",_xll.IMDP("IR", data!$B17, data!R$8, $D$6)),
IF(_xll.IMDP("IR", data!$C17, data!R$8, $D$6)=0,"",_xll.IMDP("IR", data!$C17, data!R$8, $D$6)), data!R17 ), "")</f>
        <v>3.2839999999999998</v>
      </c>
      <c r="K16" s="33" cm="1">
        <f t="array" aca="1" ref="K16" ca="1">IFERROR( CHOOSE( data!$B$7,
IF(_xll.IMDP("IR", data!$B17, data!S$8, $D$6)=0,"",_xll.IMDP("IR", data!$B17, data!S$8, $D$6)),
IF(_xll.IMDP("IR", data!$C17, data!S$8, $D$6)=0,"",_xll.IMDP("IR", data!$C17, data!S$8, $D$6)), data!S17 ), "")</f>
        <v>3.2519999999999998</v>
      </c>
      <c r="L16" s="33" cm="1">
        <f t="array" aca="1" ref="L16" ca="1">IFERROR( CHOOSE( data!$B$7,
IF(_xll.IMDP("IR", data!$B17, data!T$8, $D$6)=0,"",_xll.IMDP("IR", data!$B17, data!T$8, $D$6)),
IF(_xll.IMDP("IR", data!$C17, data!T$8, $D$6)=0,"",_xll.IMDP("IR", data!$C17, data!T$8, $D$6)), data!T17 ), "")</f>
        <v>3.2490000000000001</v>
      </c>
      <c r="M16" s="33" cm="1">
        <f t="array" aca="1" ref="M16" ca="1">IFERROR( CHOOSE( data!$B$7,
IF(_xll.IMDP("IR", data!$B17, data!U$8, $D$6)=0,"",_xll.IMDP("IR", data!$B17, data!U$8, $D$6)),
IF(_xll.IMDP("IR", data!$C17, data!U$8, $D$6)=0,"",_xll.IMDP("IR", data!$C17, data!U$8, $D$6)), data!U17 ), "")</f>
        <v>3.2589999999999999</v>
      </c>
      <c r="N16" s="33" cm="1">
        <f t="array" aca="1" ref="N16" ca="1">IFERROR( CHOOSE( data!$B$7,
IF(_xll.IMDP("IR", data!$B17, data!V$8, $D$6)=0,"",_xll.IMDP("IR", data!$B17, data!V$8, $D$6)),
IF(_xll.IMDP("IR", data!$C17, data!V$8, $D$6)=0,"",_xll.IMDP("IR", data!$C17, data!V$8, $D$6)), data!V17 ), "")</f>
        <v>3.2669999999999999</v>
      </c>
      <c r="O16" s="33" cm="1">
        <f t="array" aca="1" ref="O16" ca="1">IFERROR( CHOOSE( data!$B$7,
IF(_xll.IMDP("IR", data!$B17, data!W$8, $D$6)=0,"",_xll.IMDP("IR", data!$B17, data!W$8, $D$6)),
IF(_xll.IMDP("IR", data!$C17, data!W$8, $D$6)=0,"",_xll.IMDP("IR", data!$C17, data!W$8, $D$6)), data!W17 ), "")</f>
        <v>3.2919999999999998</v>
      </c>
      <c r="P16" s="33" cm="1">
        <f t="array" aca="1" ref="P16" ca="1">IFERROR( CHOOSE( data!$B$7,
IF(_xll.IMDP("IR", data!$B17, data!X$8, $D$6)=0,"",_xll.IMDP("IR", data!$B17, data!X$8, $D$6)),
IF(_xll.IMDP("IR", data!$C17, data!X$8, $D$6)=0,"",_xll.IMDP("IR", data!$C17, data!X$8, $D$6)), data!X17 ), "")</f>
        <v>3.3410000000000002</v>
      </c>
      <c r="Q16" s="33" cm="1">
        <f t="array" aca="1" ref="Q16" ca="1">IFERROR( CHOOSE( data!$B$7,
IF(_xll.IMDP("IR", data!$B17, data!Y$8, $D$6)=0,"",_xll.IMDP("IR", data!$B17, data!Y$8, $D$6)),
IF(_xll.IMDP("IR", data!$C17, data!Y$8, $D$6)=0,"",_xll.IMDP("IR", data!$C17, data!Y$8, $D$6)), data!Y17 ), "")</f>
        <v>3.391</v>
      </c>
      <c r="R16" s="33" cm="1">
        <f t="array" aca="1" ref="R16" ca="1">IFERROR( CHOOSE( data!$B$7,
IF(_xll.IMDP("IR", data!$B17, data!Z$8, $D$6)=0,"",_xll.IMDP("IR", data!$B17, data!Z$8, $D$6)),
IF(_xll.IMDP("IR", data!$C17, data!Z$8, $D$6)=0,"",_xll.IMDP("IR", data!$C17, data!Z$8, $D$6)), data!Z17 ), "")</f>
        <v>3.399</v>
      </c>
      <c r="S16" s="33" t="str" cm="1">
        <f t="array" aca="1" ref="S16" ca="1">IFERROR( CHOOSE( data!$B$7,
IF(_xll.IMDP("IR", data!$B17, data!AA$8, $D$6)=0,"",_xll.IMDP("IR", data!$B17, data!AA$8, $D$6)),
IF(_xll.IMDP("IR", data!$C17, data!AA$8, $D$6)=0,"",_xll.IMDP("IR", data!$C17, data!AA$8, $D$6)), data!AA17 ), "")</f>
        <v/>
      </c>
      <c r="T16" s="34" t="str" cm="1">
        <f t="array" aca="1" ref="T16" ca="1">IFERROR( CHOOSE( data!$B$7,
IF(_xll.IMDP("IR", data!$B17, data!AB$8, $D$6)=0,"",_xll.IMDP("IR", data!$B17, data!AB$8, $D$6)),
IF(_xll.IMDP("IR", data!$C17, data!AB$8, $D$6)=0,"",_xll.IMDP("IR", data!$C17, data!AB$8, $D$6)), data!AB17 ), "")</f>
        <v/>
      </c>
    </row>
    <row r="17" spans="2:20" s="4" customFormat="1" ht="12">
      <c r="B17" s="12"/>
      <c r="C17" s="67"/>
      <c r="D17" s="16" t="s">
        <v>29</v>
      </c>
      <c r="E17" s="32" cm="1">
        <f t="array" aca="1" ref="E17" ca="1">IFERROR( CHOOSE( data!$B$7,
IF(_xll.IMDP("IR", data!$B18, data!M$8, $D$6)=0,"",_xll.IMDP("IR", data!$B18, data!M$8, $D$6)),
IF(_xll.IMDP("IR", data!$C18, data!M$8, $D$6)=0,"",_xll.IMDP("IR", data!$C18, data!M$8, $D$6)), data!M18 ), "")</f>
        <v>3.4710000000000001</v>
      </c>
      <c r="F17" s="33" cm="1">
        <f t="array" aca="1" ref="F17" ca="1">IFERROR( CHOOSE( data!$B$7,
IF(_xll.IMDP("IR", data!$B18, data!N$8, $D$6)=0,"",_xll.IMDP("IR", data!$B18, data!N$8, $D$6)),
IF(_xll.IMDP("IR", data!$C18, data!N$8, $D$6)=0,"",_xll.IMDP("IR", data!$C18, data!N$8, $D$6)), data!N18 ), "")</f>
        <v>3.4780000000000002</v>
      </c>
      <c r="G17" s="33" cm="1">
        <f t="array" aca="1" ref="G17" ca="1">IFERROR( CHOOSE( data!$B$7,
IF(_xll.IMDP("IR", data!$B18, data!O$8, $D$6)=0,"",_xll.IMDP("IR", data!$B18, data!O$8, $D$6)),
IF(_xll.IMDP("IR", data!$C18, data!O$8, $D$6)=0,"",_xll.IMDP("IR", data!$C18, data!O$8, $D$6)), data!O18 ), "")</f>
        <v>3.4420000000000002</v>
      </c>
      <c r="H17" s="33" cm="1">
        <f t="array" aca="1" ref="H17" ca="1">IFERROR( CHOOSE( data!$B$7,
IF(_xll.IMDP("IR", data!$B18, data!P$8, $D$6)=0,"",_xll.IMDP("IR", data!$B18, data!P$8, $D$6)),
IF(_xll.IMDP("IR", data!$C18, data!P$8, $D$6)=0,"",_xll.IMDP("IR", data!$C18, data!P$8, $D$6)), data!P18 ), "")</f>
        <v>3.41</v>
      </c>
      <c r="I17" s="33" cm="1">
        <f t="array" aca="1" ref="I17" ca="1">IFERROR( CHOOSE( data!$B$7,
IF(_xll.IMDP("IR", data!$B18, data!Q$8, $D$6)=0,"",_xll.IMDP("IR", data!$B18, data!Q$8, $D$6)),
IF(_xll.IMDP("IR", data!$C18, data!Q$8, $D$6)=0,"",_xll.IMDP("IR", data!$C18, data!Q$8, $D$6)), data!Q18 ), "")</f>
        <v>3.4089999999999998</v>
      </c>
      <c r="J17" s="33" cm="1">
        <f t="array" aca="1" ref="J17" ca="1">IFERROR( CHOOSE( data!$B$7,
IF(_xll.IMDP("IR", data!$B18, data!R$8, $D$6)=0,"",_xll.IMDP("IR", data!$B18, data!R$8, $D$6)),
IF(_xll.IMDP("IR", data!$C18, data!R$8, $D$6)=0,"",_xll.IMDP("IR", data!$C18, data!R$8, $D$6)), data!R18 ), "")</f>
        <v>3.4129999999999998</v>
      </c>
      <c r="K17" s="33" cm="1">
        <f t="array" aca="1" ref="K17" ca="1">IFERROR( CHOOSE( data!$B$7,
IF(_xll.IMDP("IR", data!$B18, data!S$8, $D$6)=0,"",_xll.IMDP("IR", data!$B18, data!S$8, $D$6)),
IF(_xll.IMDP("IR", data!$C18, data!S$8, $D$6)=0,"",_xll.IMDP("IR", data!$C18, data!S$8, $D$6)), data!S18 ), "")</f>
        <v>3.3889999999999998</v>
      </c>
      <c r="L17" s="33" cm="1">
        <f t="array" aca="1" ref="L17" ca="1">IFERROR( CHOOSE( data!$B$7,
IF(_xll.IMDP("IR", data!$B18, data!T$8, $D$6)=0,"",_xll.IMDP("IR", data!$B18, data!T$8, $D$6)),
IF(_xll.IMDP("IR", data!$C18, data!T$8, $D$6)=0,"",_xll.IMDP("IR", data!$C18, data!T$8, $D$6)), data!T18 ), "")</f>
        <v>3.3980000000000001</v>
      </c>
      <c r="M17" s="33" cm="1">
        <f t="array" aca="1" ref="M17" ca="1">IFERROR( CHOOSE( data!$B$7,
IF(_xll.IMDP("IR", data!$B18, data!U$8, $D$6)=0,"",_xll.IMDP("IR", data!$B18, data!U$8, $D$6)),
IF(_xll.IMDP("IR", data!$C18, data!U$8, $D$6)=0,"",_xll.IMDP("IR", data!$C18, data!U$8, $D$6)), data!U18 ), "")</f>
        <v>3.399</v>
      </c>
      <c r="N17" s="33" cm="1">
        <f t="array" aca="1" ref="N17" ca="1">IFERROR( CHOOSE( data!$B$7,
IF(_xll.IMDP("IR", data!$B18, data!V$8, $D$6)=0,"",_xll.IMDP("IR", data!$B18, data!V$8, $D$6)),
IF(_xll.IMDP("IR", data!$C18, data!V$8, $D$6)=0,"",_xll.IMDP("IR", data!$C18, data!V$8, $D$6)), data!V18 ), "")</f>
        <v>3.41</v>
      </c>
      <c r="O17" s="33" cm="1">
        <f t="array" aca="1" ref="O17" ca="1">IFERROR( CHOOSE( data!$B$7,
IF(_xll.IMDP("IR", data!$B18, data!W$8, $D$6)=0,"",_xll.IMDP("IR", data!$B18, data!W$8, $D$6)),
IF(_xll.IMDP("IR", data!$C18, data!W$8, $D$6)=0,"",_xll.IMDP("IR", data!$C18, data!W$8, $D$6)), data!W18 ), "")</f>
        <v>3.4340000000000002</v>
      </c>
      <c r="P17" s="33" cm="1">
        <f t="array" aca="1" ref="P17" ca="1">IFERROR( CHOOSE( data!$B$7,
IF(_xll.IMDP("IR", data!$B18, data!X$8, $D$6)=0,"",_xll.IMDP("IR", data!$B18, data!X$8, $D$6)),
IF(_xll.IMDP("IR", data!$C18, data!X$8, $D$6)=0,"",_xll.IMDP("IR", data!$C18, data!X$8, $D$6)), data!X18 ), "")</f>
        <v>3.4889999999999999</v>
      </c>
      <c r="Q17" s="33" cm="1">
        <f t="array" aca="1" ref="Q17" ca="1">IFERROR( CHOOSE( data!$B$7,
IF(_xll.IMDP("IR", data!$B18, data!Y$8, $D$6)=0,"",_xll.IMDP("IR", data!$B18, data!Y$8, $D$6)),
IF(_xll.IMDP("IR", data!$C18, data!Y$8, $D$6)=0,"",_xll.IMDP("IR", data!$C18, data!Y$8, $D$6)), data!Y18 ), "")</f>
        <v>3.5539999999999998</v>
      </c>
      <c r="R17" s="33" cm="1">
        <f t="array" aca="1" ref="R17" ca="1">IFERROR( CHOOSE( data!$B$7,
IF(_xll.IMDP("IR", data!$B18, data!Z$8, $D$6)=0,"",_xll.IMDP("IR", data!$B18, data!Z$8, $D$6)),
IF(_xll.IMDP("IR", data!$C18, data!Z$8, $D$6)=0,"",_xll.IMDP("IR", data!$C18, data!Z$8, $D$6)), data!Z18 ), "")</f>
        <v>3.5630000000000002</v>
      </c>
      <c r="S17" s="33" t="str" cm="1">
        <f t="array" aca="1" ref="S17" ca="1">IFERROR( CHOOSE( data!$B$7,
IF(_xll.IMDP("IR", data!$B18, data!AA$8, $D$6)=0,"",_xll.IMDP("IR", data!$B18, data!AA$8, $D$6)),
IF(_xll.IMDP("IR", data!$C18, data!AA$8, $D$6)=0,"",_xll.IMDP("IR", data!$C18, data!AA$8, $D$6)), data!AA18 ), "")</f>
        <v/>
      </c>
      <c r="T17" s="34" t="str" cm="1">
        <f t="array" aca="1" ref="T17" ca="1">IFERROR( CHOOSE( data!$B$7,
IF(_xll.IMDP("IR", data!$B18, data!AB$8, $D$6)=0,"",_xll.IMDP("IR", data!$B18, data!AB$8, $D$6)),
IF(_xll.IMDP("IR", data!$C18, data!AB$8, $D$6)=0,"",_xll.IMDP("IR", data!$C18, data!AB$8, $D$6)), data!AB18 ), "")</f>
        <v/>
      </c>
    </row>
    <row r="18" spans="2:20" s="4" customFormat="1" ht="12.75" thickBot="1">
      <c r="B18" s="13"/>
      <c r="C18" s="66"/>
      <c r="D18" s="17" t="s">
        <v>30</v>
      </c>
      <c r="E18" s="35" cm="1">
        <f t="array" aca="1" ref="E18" ca="1">IFERROR( CHOOSE( data!$B$7,
IF(_xll.IMDP("IR", data!$B19, data!M$8, $D$6)=0,"",_xll.IMDP("IR", data!$B19, data!M$8, $D$6)),
IF(_xll.IMDP("IR", data!$C19, data!M$8, $D$6)=0,"",_xll.IMDP("IR", data!$C19, data!M$8, $D$6)), data!M19 ), "")</f>
        <v>3.5870000000000002</v>
      </c>
      <c r="F18" s="36" cm="1">
        <f t="array" aca="1" ref="F18" ca="1">IFERROR( CHOOSE( data!$B$7,
IF(_xll.IMDP("IR", data!$B19, data!N$8, $D$6)=0,"",_xll.IMDP("IR", data!$B19, data!N$8, $D$6)),
IF(_xll.IMDP("IR", data!$C19, data!N$8, $D$6)=0,"",_xll.IMDP("IR", data!$C19, data!N$8, $D$6)), data!N19 ), "")</f>
        <v>3.6</v>
      </c>
      <c r="G18" s="36" cm="1">
        <f t="array" aca="1" ref="G18" ca="1">IFERROR( CHOOSE( data!$B$7,
IF(_xll.IMDP("IR", data!$B19, data!O$8, $D$6)=0,"",_xll.IMDP("IR", data!$B19, data!O$8, $D$6)),
IF(_xll.IMDP("IR", data!$C19, data!O$8, $D$6)=0,"",_xll.IMDP("IR", data!$C19, data!O$8, $D$6)), data!O19 ), "")</f>
        <v>3.5760000000000001</v>
      </c>
      <c r="H18" s="36" cm="1">
        <f t="array" aca="1" ref="H18" ca="1">IFERROR( CHOOSE( data!$B$7,
IF(_xll.IMDP("IR", data!$B19, data!P$8, $D$6)=0,"",_xll.IMDP("IR", data!$B19, data!P$8, $D$6)),
IF(_xll.IMDP("IR", data!$C19, data!P$8, $D$6)=0,"",_xll.IMDP("IR", data!$C19, data!P$8, $D$6)), data!P19 ), "")</f>
        <v>3.569</v>
      </c>
      <c r="I18" s="36" cm="1">
        <f t="array" aca="1" ref="I18" ca="1">IFERROR( CHOOSE( data!$B$7,
IF(_xll.IMDP("IR", data!$B19, data!Q$8, $D$6)=0,"",_xll.IMDP("IR", data!$B19, data!Q$8, $D$6)),
IF(_xll.IMDP("IR", data!$C19, data!Q$8, $D$6)=0,"",_xll.IMDP("IR", data!$C19, data!Q$8, $D$6)), data!Q19 ), "")</f>
        <v>3.5489999999999999</v>
      </c>
      <c r="J18" s="36" cm="1">
        <f t="array" aca="1" ref="J18" ca="1">IFERROR( CHOOSE( data!$B$7,
IF(_xll.IMDP("IR", data!$B19, data!R$8, $D$6)=0,"",_xll.IMDP("IR", data!$B19, data!R$8, $D$6)),
IF(_xll.IMDP("IR", data!$C19, data!R$8, $D$6)=0,"",_xll.IMDP("IR", data!$C19, data!R$8, $D$6)), data!R19 ), "")</f>
        <v>3.5550000000000002</v>
      </c>
      <c r="K18" s="36" cm="1">
        <f t="array" aca="1" ref="K18" ca="1">IFERROR( CHOOSE( data!$B$7,
IF(_xll.IMDP("IR", data!$B19, data!S$8, $D$6)=0,"",_xll.IMDP("IR", data!$B19, data!S$8, $D$6)),
IF(_xll.IMDP("IR", data!$C19, data!S$8, $D$6)=0,"",_xll.IMDP("IR", data!$C19, data!S$8, $D$6)), data!S19 ), "")</f>
        <v>3.5289999999999999</v>
      </c>
      <c r="L18" s="36" cm="1">
        <f t="array" aca="1" ref="L18" ca="1">IFERROR( CHOOSE( data!$B$7,
IF(_xll.IMDP("IR", data!$B19, data!T$8, $D$6)=0,"",_xll.IMDP("IR", data!$B19, data!T$8, $D$6)),
IF(_xll.IMDP("IR", data!$C19, data!T$8, $D$6)=0,"",_xll.IMDP("IR", data!$C19, data!T$8, $D$6)), data!T19 ), "")</f>
        <v>3.536</v>
      </c>
      <c r="M18" s="36" cm="1">
        <f t="array" aca="1" ref="M18" ca="1">IFERROR( CHOOSE( data!$B$7,
IF(_xll.IMDP("IR", data!$B19, data!U$8, $D$6)=0,"",_xll.IMDP("IR", data!$B19, data!U$8, $D$6)),
IF(_xll.IMDP("IR", data!$C19, data!U$8, $D$6)=0,"",_xll.IMDP("IR", data!$C19, data!U$8, $D$6)), data!U19 ), "")</f>
        <v>3.5350000000000001</v>
      </c>
      <c r="N18" s="36" cm="1">
        <f t="array" aca="1" ref="N18" ca="1">IFERROR( CHOOSE( data!$B$7,
IF(_xll.IMDP("IR", data!$B19, data!V$8, $D$6)=0,"",_xll.IMDP("IR", data!$B19, data!V$8, $D$6)),
IF(_xll.IMDP("IR", data!$C19, data!V$8, $D$6)=0,"",_xll.IMDP("IR", data!$C19, data!V$8, $D$6)), data!V19 ), "")</f>
        <v>3.5459999999999998</v>
      </c>
      <c r="O18" s="36" cm="1">
        <f t="array" aca="1" ref="O18" ca="1">IFERROR( CHOOSE( data!$B$7,
IF(_xll.IMDP("IR", data!$B19, data!W$8, $D$6)=0,"",_xll.IMDP("IR", data!$B19, data!W$8, $D$6)),
IF(_xll.IMDP("IR", data!$C19, data!W$8, $D$6)=0,"",_xll.IMDP("IR", data!$C19, data!W$8, $D$6)), data!W19 ), "")</f>
        <v>3.5609999999999999</v>
      </c>
      <c r="P18" s="36" cm="1">
        <f t="array" aca="1" ref="P18" ca="1">IFERROR( CHOOSE( data!$B$7,
IF(_xll.IMDP("IR", data!$B19, data!X$8, $D$6)=0,"",_xll.IMDP("IR", data!$B19, data!X$8, $D$6)),
IF(_xll.IMDP("IR", data!$C19, data!X$8, $D$6)=0,"",_xll.IMDP("IR", data!$C19, data!X$8, $D$6)), data!X19 ), "")</f>
        <v>3.6080000000000001</v>
      </c>
      <c r="Q18" s="36" cm="1">
        <f t="array" aca="1" ref="Q18" ca="1">IFERROR( CHOOSE( data!$B$7,
IF(_xll.IMDP("IR", data!$B19, data!Y$8, $D$6)=0,"",_xll.IMDP("IR", data!$B19, data!Y$8, $D$6)),
IF(_xll.IMDP("IR", data!$C19, data!Y$8, $D$6)=0,"",_xll.IMDP("IR", data!$C19, data!Y$8, $D$6)), data!Y19 ), "")</f>
        <v>3.6669999999999998</v>
      </c>
      <c r="R18" s="36" cm="1">
        <f t="array" aca="1" ref="R18" ca="1">IFERROR( CHOOSE( data!$B$7,
IF(_xll.IMDP("IR", data!$B19, data!Z$8, $D$6)=0,"",_xll.IMDP("IR", data!$B19, data!Z$8, $D$6)),
IF(_xll.IMDP("IR", data!$C19, data!Z$8, $D$6)=0,"",_xll.IMDP("IR", data!$C19, data!Z$8, $D$6)), data!Z19 ), "")</f>
        <v>3.6789999999999998</v>
      </c>
      <c r="S18" s="36" t="str" cm="1">
        <f t="array" aca="1" ref="S18" ca="1">IFERROR( CHOOSE( data!$B$7,
IF(_xll.IMDP("IR", data!$B19, data!AA$8, $D$6)=0,"",_xll.IMDP("IR", data!$B19, data!AA$8, $D$6)),
IF(_xll.IMDP("IR", data!$C19, data!AA$8, $D$6)=0,"",_xll.IMDP("IR", data!$C19, data!AA$8, $D$6)), data!AA19 ), "")</f>
        <v/>
      </c>
      <c r="T18" s="37" t="str" cm="1">
        <f t="array" aca="1" ref="T18" ca="1">IFERROR( CHOOSE( data!$B$7,
IF(_xll.IMDP("IR", data!$B19, data!AB$8, $D$6)=0,"",_xll.IMDP("IR", data!$B19, data!AB$8, $D$6)),
IF(_xll.IMDP("IR", data!$C19, data!AB$8, $D$6)=0,"",_xll.IMDP("IR", data!$C19, data!AB$8, $D$6)), data!AB19 ), "")</f>
        <v/>
      </c>
    </row>
    <row r="19" spans="2:20" s="4" customFormat="1" ht="12">
      <c r="B19" s="11" t="s">
        <v>31</v>
      </c>
      <c r="C19" s="65" t="s">
        <v>31</v>
      </c>
      <c r="D19" s="15" t="s">
        <v>32</v>
      </c>
      <c r="E19" s="29" cm="1">
        <f t="array" aca="1" ref="E19" ca="1">IFERROR( CHOOSE( data!$B$7,
IF(_xll.IMDP("IR", data!$B20, data!M$8, $D$6)=0,"",_xll.IMDP("IR", data!$B20, data!M$8, $D$6)),
IF(_xll.IMDP("IR", data!$C20, data!M$8, $D$6)=0,"",_xll.IMDP("IR", data!$C20, data!M$8, $D$6)), data!M20 ), "")</f>
        <v>3.2709999999999999</v>
      </c>
      <c r="F19" s="30" cm="1">
        <f t="array" aca="1" ref="F19" ca="1">IFERROR( CHOOSE( data!$B$7,
IF(_xll.IMDP("IR", data!$B20, data!N$8, $D$6)=0,"",_xll.IMDP("IR", data!$B20, data!N$8, $D$6)),
IF(_xll.IMDP("IR", data!$C20, data!N$8, $D$6)=0,"",_xll.IMDP("IR", data!$C20, data!N$8, $D$6)), data!N20 ), "")</f>
        <v>3.1659999999999999</v>
      </c>
      <c r="G19" s="30" cm="1">
        <f t="array" aca="1" ref="G19" ca="1">IFERROR( CHOOSE( data!$B$7,
IF(_xll.IMDP("IR", data!$B20, data!O$8, $D$6)=0,"",_xll.IMDP("IR", data!$B20, data!O$8, $D$6)),
IF(_xll.IMDP("IR", data!$C20, data!O$8, $D$6)=0,"",_xll.IMDP("IR", data!$C20, data!O$8, $D$6)), data!O20 ), "")</f>
        <v>3.1</v>
      </c>
      <c r="H19" s="30" cm="1">
        <f t="array" aca="1" ref="H19" ca="1">IFERROR( CHOOSE( data!$B$7,
IF(_xll.IMDP("IR", data!$B20, data!P$8, $D$6)=0,"",_xll.IMDP("IR", data!$B20, data!P$8, $D$6)),
IF(_xll.IMDP("IR", data!$C20, data!P$8, $D$6)=0,"",_xll.IMDP("IR", data!$C20, data!P$8, $D$6)), data!P20 ), "")</f>
        <v>3.0259999999999998</v>
      </c>
      <c r="I19" s="30" cm="1">
        <f t="array" aca="1" ref="I19" ca="1">IFERROR( CHOOSE( data!$B$7,
IF(_xll.IMDP("IR", data!$B20, data!Q$8, $D$6)=0,"",_xll.IMDP("IR", data!$B20, data!Q$8, $D$6)),
IF(_xll.IMDP("IR", data!$C20, data!Q$8, $D$6)=0,"",_xll.IMDP("IR", data!$C20, data!Q$8, $D$6)), data!Q20 ), "")</f>
        <v>3.0419999999999998</v>
      </c>
      <c r="J19" s="30" cm="1">
        <f t="array" aca="1" ref="J19" ca="1">IFERROR( CHOOSE( data!$B$7,
IF(_xll.IMDP("IR", data!$B20, data!R$8, $D$6)=0,"",_xll.IMDP("IR", data!$B20, data!R$8, $D$6)),
IF(_xll.IMDP("IR", data!$C20, data!R$8, $D$6)=0,"",_xll.IMDP("IR", data!$C20, data!R$8, $D$6)), data!R20 ), "")</f>
        <v>2.9870000000000001</v>
      </c>
      <c r="K19" s="30" cm="1">
        <f t="array" aca="1" ref="K19" ca="1">IFERROR( CHOOSE( data!$B$7,
IF(_xll.IMDP("IR", data!$B20, data!S$8, $D$6)=0,"",_xll.IMDP("IR", data!$B20, data!S$8, $D$6)),
IF(_xll.IMDP("IR", data!$C20, data!S$8, $D$6)=0,"",_xll.IMDP("IR", data!$C20, data!S$8, $D$6)), data!S20 ), "")</f>
        <v>2.9929999999999999</v>
      </c>
      <c r="L19" s="30" cm="1">
        <f t="array" aca="1" ref="L19" ca="1">IFERROR( CHOOSE( data!$B$7,
IF(_xll.IMDP("IR", data!$B20, data!T$8, $D$6)=0,"",_xll.IMDP("IR", data!$B20, data!T$8, $D$6)),
IF(_xll.IMDP("IR", data!$C20, data!T$8, $D$6)=0,"",_xll.IMDP("IR", data!$C20, data!T$8, $D$6)), data!T20 ), "")</f>
        <v>2.9940000000000002</v>
      </c>
      <c r="M19" s="30" t="str" cm="1">
        <f t="array" aca="1" ref="M19" ca="1">IFERROR( CHOOSE( data!$B$7,
IF(_xll.IMDP("IR", data!$B20, data!U$8, $D$6)=0,"",_xll.IMDP("IR", data!$B20, data!U$8, $D$6)),
IF(_xll.IMDP("IR", data!$C20, data!U$8, $D$6)=0,"",_xll.IMDP("IR", data!$C20, data!U$8, $D$6)), data!U20 ), "")</f>
        <v/>
      </c>
      <c r="N19" s="30" t="str" cm="1">
        <f t="array" aca="1" ref="N19" ca="1">IFERROR( CHOOSE( data!$B$7,
IF(_xll.IMDP("IR", data!$B20, data!V$8, $D$6)=0,"",_xll.IMDP("IR", data!$B20, data!V$8, $D$6)),
IF(_xll.IMDP("IR", data!$C20, data!V$8, $D$6)=0,"",_xll.IMDP("IR", data!$C20, data!V$8, $D$6)), data!V20 ), "")</f>
        <v/>
      </c>
      <c r="O19" s="30" t="str" cm="1">
        <f t="array" aca="1" ref="O19" ca="1">IFERROR( CHOOSE( data!$B$7,
IF(_xll.IMDP("IR", data!$B20, data!W$8, $D$6)=0,"",_xll.IMDP("IR", data!$B20, data!W$8, $D$6)),
IF(_xll.IMDP("IR", data!$C20, data!W$8, $D$6)=0,"",_xll.IMDP("IR", data!$C20, data!W$8, $D$6)), data!W20 ), "")</f>
        <v/>
      </c>
      <c r="P19" s="30" t="str" cm="1">
        <f t="array" aca="1" ref="P19" ca="1">IFERROR( CHOOSE( data!$B$7,
IF(_xll.IMDP("IR", data!$B20, data!X$8, $D$6)=0,"",_xll.IMDP("IR", data!$B20, data!X$8, $D$6)),
IF(_xll.IMDP("IR", data!$C20, data!X$8, $D$6)=0,"",_xll.IMDP("IR", data!$C20, data!X$8, $D$6)), data!X20 ), "")</f>
        <v/>
      </c>
      <c r="Q19" s="30" t="str" cm="1">
        <f t="array" aca="1" ref="Q19" ca="1">IFERROR( CHOOSE( data!$B$7,
IF(_xll.IMDP("IR", data!$B20, data!Y$8, $D$6)=0,"",_xll.IMDP("IR", data!$B20, data!Y$8, $D$6)),
IF(_xll.IMDP("IR", data!$C20, data!Y$8, $D$6)=0,"",_xll.IMDP("IR", data!$C20, data!Y$8, $D$6)), data!Y20 ), "")</f>
        <v/>
      </c>
      <c r="R19" s="30" t="str" cm="1">
        <f t="array" aca="1" ref="R19" ca="1">IFERROR( CHOOSE( data!$B$7,
IF(_xll.IMDP("IR", data!$B20, data!Z$8, $D$6)=0,"",_xll.IMDP("IR", data!$B20, data!Z$8, $D$6)),
IF(_xll.IMDP("IR", data!$C20, data!Z$8, $D$6)=0,"",_xll.IMDP("IR", data!$C20, data!Z$8, $D$6)), data!Z20 ), "")</f>
        <v/>
      </c>
      <c r="S19" s="30" t="str" cm="1">
        <f t="array" aca="1" ref="S19" ca="1">IFERROR( CHOOSE( data!$B$7,
IF(_xll.IMDP("IR", data!$B20, data!AA$8, $D$6)=0,"",_xll.IMDP("IR", data!$B20, data!AA$8, $D$6)),
IF(_xll.IMDP("IR", data!$C20, data!AA$8, $D$6)=0,"",_xll.IMDP("IR", data!$C20, data!AA$8, $D$6)), data!AA20 ), "")</f>
        <v/>
      </c>
      <c r="T19" s="31" t="str" cm="1">
        <f t="array" aca="1" ref="T19" ca="1">IFERROR( CHOOSE( data!$B$7,
IF(_xll.IMDP("IR", data!$B20, data!AB$8, $D$6)=0,"",_xll.IMDP("IR", data!$B20, data!AB$8, $D$6)),
IF(_xll.IMDP("IR", data!$C20, data!AB$8, $D$6)=0,"",_xll.IMDP("IR", data!$C20, data!AB$8, $D$6)), data!AB20 ), "")</f>
        <v/>
      </c>
    </row>
    <row r="20" spans="2:20" s="4" customFormat="1" ht="12.75" thickBot="1">
      <c r="B20" s="13"/>
      <c r="C20" s="66"/>
      <c r="D20" s="17" t="s">
        <v>33</v>
      </c>
      <c r="E20" s="35" cm="1">
        <f t="array" aca="1" ref="E20" ca="1">IFERROR( CHOOSE( data!$B$7,
IF(_xll.IMDP("IR", data!$B21, data!M$8, $D$6)=0,"",_xll.IMDP("IR", data!$B21, data!M$8, $D$6)),
IF(_xll.IMDP("IR", data!$C21, data!M$8, $D$6)=0,"",_xll.IMDP("IR", data!$C21, data!M$8, $D$6)), data!M21 ), "")</f>
        <v>3.2869999999999999</v>
      </c>
      <c r="F20" s="36" cm="1">
        <f t="array" aca="1" ref="F20" ca="1">IFERROR( CHOOSE( data!$B$7,
IF(_xll.IMDP("IR", data!$B21, data!N$8, $D$6)=0,"",_xll.IMDP("IR", data!$B21, data!N$8, $D$6)),
IF(_xll.IMDP("IR", data!$C21, data!N$8, $D$6)=0,"",_xll.IMDP("IR", data!$C21, data!N$8, $D$6)), data!N21 ), "")</f>
        <v>3.1829999999999998</v>
      </c>
      <c r="G20" s="36" cm="1">
        <f t="array" aca="1" ref="G20" ca="1">IFERROR( CHOOSE( data!$B$7,
IF(_xll.IMDP("IR", data!$B21, data!O$8, $D$6)=0,"",_xll.IMDP("IR", data!$B21, data!O$8, $D$6)),
IF(_xll.IMDP("IR", data!$C21, data!O$8, $D$6)=0,"",_xll.IMDP("IR", data!$C21, data!O$8, $D$6)), data!O21 ), "")</f>
        <v>3.1110000000000002</v>
      </c>
      <c r="H20" s="36" cm="1">
        <f t="array" aca="1" ref="H20" ca="1">IFERROR( CHOOSE( data!$B$7,
IF(_xll.IMDP("IR", data!$B21, data!P$8, $D$6)=0,"",_xll.IMDP("IR", data!$B21, data!P$8, $D$6)),
IF(_xll.IMDP("IR", data!$C21, data!P$8, $D$6)=0,"",_xll.IMDP("IR", data!$C21, data!P$8, $D$6)), data!P21 ), "")</f>
        <v>3.0219999999999998</v>
      </c>
      <c r="I20" s="36" cm="1">
        <f t="array" aca="1" ref="I20" ca="1">IFERROR( CHOOSE( data!$B$7,
IF(_xll.IMDP("IR", data!$B21, data!Q$8, $D$6)=0,"",_xll.IMDP("IR", data!$B21, data!Q$8, $D$6)),
IF(_xll.IMDP("IR", data!$C21, data!Q$8, $D$6)=0,"",_xll.IMDP("IR", data!$C21, data!Q$8, $D$6)), data!Q21 ), "")</f>
        <v>3.048</v>
      </c>
      <c r="J20" s="36" cm="1">
        <f t="array" aca="1" ref="J20" ca="1">IFERROR( CHOOSE( data!$B$7,
IF(_xll.IMDP("IR", data!$B21, data!R$8, $D$6)=0,"",_xll.IMDP("IR", data!$B21, data!R$8, $D$6)),
IF(_xll.IMDP("IR", data!$C21, data!R$8, $D$6)=0,"",_xll.IMDP("IR", data!$C21, data!R$8, $D$6)), data!R21 ), "")</f>
        <v>2.9940000000000002</v>
      </c>
      <c r="K20" s="36" cm="1">
        <f t="array" aca="1" ref="K20" ca="1">IFERROR( CHOOSE( data!$B$7,
IF(_xll.IMDP("IR", data!$B21, data!S$8, $D$6)=0,"",_xll.IMDP("IR", data!$B21, data!S$8, $D$6)),
IF(_xll.IMDP("IR", data!$C21, data!S$8, $D$6)=0,"",_xll.IMDP("IR", data!$C21, data!S$8, $D$6)), data!S21 ), "")</f>
        <v>3.0019999999999998</v>
      </c>
      <c r="L20" s="36" cm="1">
        <f t="array" aca="1" ref="L20" ca="1">IFERROR( CHOOSE( data!$B$7,
IF(_xll.IMDP("IR", data!$B21, data!T$8, $D$6)=0,"",_xll.IMDP("IR", data!$B21, data!T$8, $D$6)),
IF(_xll.IMDP("IR", data!$C21, data!T$8, $D$6)=0,"",_xll.IMDP("IR", data!$C21, data!T$8, $D$6)), data!T21 ), "")</f>
        <v>3.0030000000000001</v>
      </c>
      <c r="M20" s="36" t="str" cm="1">
        <f t="array" aca="1" ref="M20" ca="1">IFERROR( CHOOSE( data!$B$7,
IF(_xll.IMDP("IR", data!$B21, data!U$8, $D$6)=0,"",_xll.IMDP("IR", data!$B21, data!U$8, $D$6)),
IF(_xll.IMDP("IR", data!$C21, data!U$8, $D$6)=0,"",_xll.IMDP("IR", data!$C21, data!U$8, $D$6)), data!U21 ), "")</f>
        <v/>
      </c>
      <c r="N20" s="36" t="str" cm="1">
        <f t="array" aca="1" ref="N20" ca="1">IFERROR( CHOOSE( data!$B$7,
IF(_xll.IMDP("IR", data!$B21, data!V$8, $D$6)=0,"",_xll.IMDP("IR", data!$B21, data!V$8, $D$6)),
IF(_xll.IMDP("IR", data!$C21, data!V$8, $D$6)=0,"",_xll.IMDP("IR", data!$C21, data!V$8, $D$6)), data!V21 ), "")</f>
        <v/>
      </c>
      <c r="O20" s="36" t="str" cm="1">
        <f t="array" aca="1" ref="O20" ca="1">IFERROR( CHOOSE( data!$B$7,
IF(_xll.IMDP("IR", data!$B21, data!W$8, $D$6)=0,"",_xll.IMDP("IR", data!$B21, data!W$8, $D$6)),
IF(_xll.IMDP("IR", data!$C21, data!W$8, $D$6)=0,"",_xll.IMDP("IR", data!$C21, data!W$8, $D$6)), data!W21 ), "")</f>
        <v/>
      </c>
      <c r="P20" s="36" t="str" cm="1">
        <f t="array" aca="1" ref="P20" ca="1">IFERROR( CHOOSE( data!$B$7,
IF(_xll.IMDP("IR", data!$B21, data!X$8, $D$6)=0,"",_xll.IMDP("IR", data!$B21, data!X$8, $D$6)),
IF(_xll.IMDP("IR", data!$C21, data!X$8, $D$6)=0,"",_xll.IMDP("IR", data!$C21, data!X$8, $D$6)), data!X21 ), "")</f>
        <v/>
      </c>
      <c r="Q20" s="36" t="str" cm="1">
        <f t="array" aca="1" ref="Q20" ca="1">IFERROR( CHOOSE( data!$B$7,
IF(_xll.IMDP("IR", data!$B21, data!Y$8, $D$6)=0,"",_xll.IMDP("IR", data!$B21, data!Y$8, $D$6)),
IF(_xll.IMDP("IR", data!$C21, data!Y$8, $D$6)=0,"",_xll.IMDP("IR", data!$C21, data!Y$8, $D$6)), data!Y21 ), "")</f>
        <v/>
      </c>
      <c r="R20" s="36" t="str" cm="1">
        <f t="array" aca="1" ref="R20" ca="1">IFERROR( CHOOSE( data!$B$7,
IF(_xll.IMDP("IR", data!$B21, data!Z$8, $D$6)=0,"",_xll.IMDP("IR", data!$B21, data!Z$8, $D$6)),
IF(_xll.IMDP("IR", data!$C21, data!Z$8, $D$6)=0,"",_xll.IMDP("IR", data!$C21, data!Z$8, $D$6)), data!Z21 ), "")</f>
        <v/>
      </c>
      <c r="S20" s="36" t="str" cm="1">
        <f t="array" aca="1" ref="S20" ca="1">IFERROR( CHOOSE( data!$B$7,
IF(_xll.IMDP("IR", data!$B21, data!AA$8, $D$6)=0,"",_xll.IMDP("IR", data!$B21, data!AA$8, $D$6)),
IF(_xll.IMDP("IR", data!$C21, data!AA$8, $D$6)=0,"",_xll.IMDP("IR", data!$C21, data!AA$8, $D$6)), data!AA21 ), "")</f>
        <v/>
      </c>
      <c r="T20" s="37" t="str" cm="1">
        <f t="array" aca="1" ref="T20" ca="1">IFERROR( CHOOSE( data!$B$7,
IF(_xll.IMDP("IR", data!$B21, data!AB$8, $D$6)=0,"",_xll.IMDP("IR", data!$B21, data!AB$8, $D$6)),
IF(_xll.IMDP("IR", data!$C21, data!AB$8, $D$6)=0,"",_xll.IMDP("IR", data!$C21, data!AB$8, $D$6)), data!AB21 ), "")</f>
        <v/>
      </c>
    </row>
    <row r="21" spans="2:20" s="4" customFormat="1" ht="12.75" thickBot="1">
      <c r="B21" s="12" t="s">
        <v>545</v>
      </c>
      <c r="C21" s="68" t="s">
        <v>545</v>
      </c>
      <c r="D21" s="69" t="s">
        <v>27</v>
      </c>
      <c r="E21" s="70" cm="1">
        <f t="array" aca="1" ref="E21" ca="1">IFERROR( CHOOSE( data!$B$7,
IF(_xll.IMDP("IR", data!$B22, data!M$8, $D$6)=0,"",_xll.IMDP("IR", data!$B22, data!M$8, $D$6)),
IF(_xll.IMDP("IR", data!$C22, data!M$8, $D$6)=0,"",_xll.IMDP("IR", data!$C22, data!M$8, $D$6)), data!M22 ), "")</f>
        <v>3.423</v>
      </c>
      <c r="F21" s="71" cm="1">
        <f t="array" aca="1" ref="F21" ca="1">IFERROR( CHOOSE( data!$B$7,
IF(_xll.IMDP("IR", data!$B22, data!N$8, $D$6)=0,"",_xll.IMDP("IR", data!$B22, data!N$8, $D$6)),
IF(_xll.IMDP("IR", data!$C22, data!N$8, $D$6)=0,"",_xll.IMDP("IR", data!$C22, data!N$8, $D$6)), data!N22 ), "")</f>
        <v>3.4</v>
      </c>
      <c r="G21" s="71" cm="1">
        <f t="array" aca="1" ref="G21" ca="1">IFERROR( CHOOSE( data!$B$7,
IF(_xll.IMDP("IR", data!$B22, data!O$8, $D$6)=0,"",_xll.IMDP("IR", data!$B22, data!O$8, $D$6)),
IF(_xll.IMDP("IR", data!$C22, data!O$8, $D$6)=0,"",_xll.IMDP("IR", data!$C22, data!O$8, $D$6)), data!O22 ), "")</f>
        <v>3.33</v>
      </c>
      <c r="H21" s="71" cm="1">
        <f t="array" aca="1" ref="H21" ca="1">IFERROR( CHOOSE( data!$B$7,
IF(_xll.IMDP("IR", data!$B22, data!P$8, $D$6)=0,"",_xll.IMDP("IR", data!$B22, data!P$8, $D$6)),
IF(_xll.IMDP("IR", data!$C22, data!P$8, $D$6)=0,"",_xll.IMDP("IR", data!$C22, data!P$8, $D$6)), data!P22 ), "")</f>
        <v>3.2879999999999998</v>
      </c>
      <c r="I21" s="71" cm="1">
        <f t="array" aca="1" ref="I21" ca="1">IFERROR( CHOOSE( data!$B$7,
IF(_xll.IMDP("IR", data!$B22, data!Q$8, $D$6)=0,"",_xll.IMDP("IR", data!$B22, data!Q$8, $D$6)),
IF(_xll.IMDP("IR", data!$C22, data!Q$8, $D$6)=0,"",_xll.IMDP("IR", data!$C22, data!Q$8, $D$6)), data!Q22 ), "")</f>
        <v>3.2440000000000002</v>
      </c>
      <c r="J21" s="71" cm="1">
        <f t="array" aca="1" ref="J21" ca="1">IFERROR( CHOOSE( data!$B$7,
IF(_xll.IMDP("IR", data!$B22, data!R$8, $D$6)=0,"",_xll.IMDP("IR", data!$B22, data!R$8, $D$6)),
IF(_xll.IMDP("IR", data!$C22, data!R$8, $D$6)=0,"",_xll.IMDP("IR", data!$C22, data!R$8, $D$6)), data!R22 ), "")</f>
        <v>3.2069999999999999</v>
      </c>
      <c r="K21" s="71" cm="1">
        <f t="array" aca="1" ref="K21" ca="1">IFERROR( CHOOSE( data!$B$7,
IF(_xll.IMDP("IR", data!$B22, data!S$8, $D$6)=0,"",_xll.IMDP("IR", data!$B22, data!S$8, $D$6)),
IF(_xll.IMDP("IR", data!$C22, data!S$8, $D$6)=0,"",_xll.IMDP("IR", data!$C22, data!S$8, $D$6)), data!S22 ), "")</f>
        <v>3.1819999999999999</v>
      </c>
      <c r="L21" s="71" cm="1">
        <f t="array" aca="1" ref="L21" ca="1">IFERROR( CHOOSE( data!$B$7,
IF(_xll.IMDP("IR", data!$B22, data!T$8, $D$6)=0,"",_xll.IMDP("IR", data!$B22, data!T$8, $D$6)),
IF(_xll.IMDP("IR", data!$C22, data!T$8, $D$6)=0,"",_xll.IMDP("IR", data!$C22, data!T$8, $D$6)), data!T22 ), "")</f>
        <v>3.1659999999999999</v>
      </c>
      <c r="M21" s="71" cm="1">
        <f t="array" aca="1" ref="M21" ca="1">IFERROR( CHOOSE( data!$B$7,
IF(_xll.IMDP("IR", data!$B22, data!U$8, $D$6)=0,"",_xll.IMDP("IR", data!$B22, data!U$8, $D$6)),
IF(_xll.IMDP("IR", data!$C22, data!U$8, $D$6)=0,"",_xll.IMDP("IR", data!$C22, data!U$8, $D$6)), data!U22 ), "")</f>
        <v>3.165</v>
      </c>
      <c r="N21" s="71" cm="1">
        <f t="array" aca="1" ref="N21" ca="1">IFERROR( CHOOSE( data!$B$7,
IF(_xll.IMDP("IR", data!$B22, data!V$8, $D$6)=0,"",_xll.IMDP("IR", data!$B22, data!V$8, $D$6)),
IF(_xll.IMDP("IR", data!$C22, data!V$8, $D$6)=0,"",_xll.IMDP("IR", data!$C22, data!V$8, $D$6)), data!V22 ), "")</f>
        <v>3.165</v>
      </c>
      <c r="O21" s="71" cm="1">
        <f t="array" aca="1" ref="O21" ca="1">IFERROR( CHOOSE( data!$B$7,
IF(_xll.IMDP("IR", data!$B22, data!W$8, $D$6)=0,"",_xll.IMDP("IR", data!$B22, data!W$8, $D$6)),
IF(_xll.IMDP("IR", data!$C22, data!W$8, $D$6)=0,"",_xll.IMDP("IR", data!$C22, data!W$8, $D$6)), data!W22 ), "")</f>
        <v>3.2930000000000001</v>
      </c>
      <c r="P21" s="71" cm="1">
        <f t="array" aca="1" ref="P21" ca="1">IFERROR( CHOOSE( data!$B$7,
IF(_xll.IMDP("IR", data!$B22, data!X$8, $D$6)=0,"",_xll.IMDP("IR", data!$B22, data!X$8, $D$6)),
IF(_xll.IMDP("IR", data!$C22, data!X$8, $D$6)=0,"",_xll.IMDP("IR", data!$C22, data!X$8, $D$6)), data!X22 ), "")</f>
        <v>3.5070000000000001</v>
      </c>
      <c r="Q21" s="71" cm="1">
        <f t="array" aca="1" ref="Q21" ca="1">IFERROR( CHOOSE( data!$B$7,
IF(_xll.IMDP("IR", data!$B22, data!Y$8, $D$6)=0,"",_xll.IMDP("IR", data!$B22, data!Y$8, $D$6)),
IF(_xll.IMDP("IR", data!$C22, data!Y$8, $D$6)=0,"",_xll.IMDP("IR", data!$C22, data!Y$8, $D$6)), data!Y22 ), "")</f>
        <v>3.621</v>
      </c>
      <c r="R21" s="71" cm="1">
        <f t="array" aca="1" ref="R21" ca="1">IFERROR( CHOOSE( data!$B$7,
IF(_xll.IMDP("IR", data!$B22, data!Z$8, $D$6)=0,"",_xll.IMDP("IR", data!$B22, data!Z$8, $D$6)),
IF(_xll.IMDP("IR", data!$C22, data!Z$8, $D$6)=0,"",_xll.IMDP("IR", data!$C22, data!Z$8, $D$6)), data!Z22 ), "")</f>
        <v>3.6840000000000002</v>
      </c>
      <c r="S21" s="71" t="str" cm="1">
        <f t="array" aca="1" ref="S21" ca="1">IFERROR( CHOOSE( data!$B$7,
IF(_xll.IMDP("IR", data!$B22, data!AA$8, $D$6)=0,"",_xll.IMDP("IR", data!$B22, data!AA$8, $D$6)),
IF(_xll.IMDP("IR", data!$C22, data!AA$8, $D$6)=0,"",_xll.IMDP("IR", data!$C22, data!AA$8, $D$6)), data!AA22 ), "")</f>
        <v/>
      </c>
      <c r="T21" s="72" t="str" cm="1">
        <f t="array" aca="1" ref="T21" ca="1">IFERROR( CHOOSE( data!$B$7,
IF(_xll.IMDP("IR", data!$B22, data!AB$8, $D$6)=0,"",_xll.IMDP("IR", data!$B22, data!AB$8, $D$6)),
IF(_xll.IMDP("IR", data!$C22, data!AB$8, $D$6)=0,"",_xll.IMDP("IR", data!$C22, data!AB$8, $D$6)), data!AB22 ), "")</f>
        <v/>
      </c>
    </row>
    <row r="22" spans="2:20" s="4" customFormat="1" ht="12">
      <c r="B22" s="11" t="s">
        <v>34</v>
      </c>
      <c r="C22" s="65" t="s">
        <v>35</v>
      </c>
      <c r="D22" s="15" t="s">
        <v>36</v>
      </c>
      <c r="E22" s="29" cm="1">
        <f t="array" aca="1" ref="E22" ca="1">IFERROR( CHOOSE( data!$B$7,
IF(_xll.IMDP("IR", data!$B23, data!M$8, $D$6)=0,"",_xll.IMDP("IR", data!$B23, data!M$8, $D$6)),
IF(_xll.IMDP("IR", data!$C23, data!M$8, $D$6)=0,"",_xll.IMDP("IR", data!$C23, data!M$8, $D$6)), data!M23 ), "")</f>
        <v>3.4159999999999999</v>
      </c>
      <c r="F22" s="30" cm="1">
        <f t="array" aca="1" ref="F22" ca="1">IFERROR( CHOOSE( data!$B$7,
IF(_xll.IMDP("IR", data!$B23, data!N$8, $D$6)=0,"",_xll.IMDP("IR", data!$B23, data!N$8, $D$6)),
IF(_xll.IMDP("IR", data!$C23, data!N$8, $D$6)=0,"",_xll.IMDP("IR", data!$C23, data!N$8, $D$6)), data!N23 ), "")</f>
        <v>3.3889999999999998</v>
      </c>
      <c r="G22" s="30" cm="1">
        <f t="array" aca="1" ref="G22" ca="1">IFERROR( CHOOSE( data!$B$7,
IF(_xll.IMDP("IR", data!$B23, data!O$8, $D$6)=0,"",_xll.IMDP("IR", data!$B23, data!O$8, $D$6)),
IF(_xll.IMDP("IR", data!$C23, data!O$8, $D$6)=0,"",_xll.IMDP("IR", data!$C23, data!O$8, $D$6)), data!O23 ), "")</f>
        <v>3.32</v>
      </c>
      <c r="H22" s="30" cm="1">
        <f t="array" aca="1" ref="H22" ca="1">IFERROR( CHOOSE( data!$B$7,
IF(_xll.IMDP("IR", data!$B23, data!P$8, $D$6)=0,"",_xll.IMDP("IR", data!$B23, data!P$8, $D$6)),
IF(_xll.IMDP("IR", data!$C23, data!P$8, $D$6)=0,"",_xll.IMDP("IR", data!$C23, data!P$8, $D$6)), data!P23 ), "")</f>
        <v>3.28</v>
      </c>
      <c r="I22" s="30" cm="1">
        <f t="array" aca="1" ref="I22" ca="1">IFERROR( CHOOSE( data!$B$7,
IF(_xll.IMDP("IR", data!$B23, data!Q$8, $D$6)=0,"",_xll.IMDP("IR", data!$B23, data!Q$8, $D$6)),
IF(_xll.IMDP("IR", data!$C23, data!Q$8, $D$6)=0,"",_xll.IMDP("IR", data!$C23, data!Q$8, $D$6)), data!Q23 ), "")</f>
        <v>3.2320000000000002</v>
      </c>
      <c r="J22" s="30" cm="1">
        <f t="array" aca="1" ref="J22" ca="1">IFERROR( CHOOSE( data!$B$7,
IF(_xll.IMDP("IR", data!$B23, data!R$8, $D$6)=0,"",_xll.IMDP("IR", data!$B23, data!R$8, $D$6)),
IF(_xll.IMDP("IR", data!$C23, data!R$8, $D$6)=0,"",_xll.IMDP("IR", data!$C23, data!R$8, $D$6)), data!R23 ), "")</f>
        <v>3.181</v>
      </c>
      <c r="K22" s="30" cm="1">
        <f t="array" aca="1" ref="K22" ca="1">IFERROR( CHOOSE( data!$B$7,
IF(_xll.IMDP("IR", data!$B23, data!S$8, $D$6)=0,"",_xll.IMDP("IR", data!$B23, data!S$8, $D$6)),
IF(_xll.IMDP("IR", data!$C23, data!S$8, $D$6)=0,"",_xll.IMDP("IR", data!$C23, data!S$8, $D$6)), data!S23 ), "")</f>
        <v>3.1259999999999999</v>
      </c>
      <c r="L22" s="30" cm="1">
        <f t="array" aca="1" ref="L22" ca="1">IFERROR( CHOOSE( data!$B$7,
IF(_xll.IMDP("IR", data!$B23, data!T$8, $D$6)=0,"",_xll.IMDP("IR", data!$B23, data!T$8, $D$6)),
IF(_xll.IMDP("IR", data!$C23, data!T$8, $D$6)=0,"",_xll.IMDP("IR", data!$C23, data!T$8, $D$6)), data!T23 ), "")</f>
        <v>3.093</v>
      </c>
      <c r="M22" s="30" cm="1">
        <f t="array" aca="1" ref="M22" ca="1">IFERROR( CHOOSE( data!$B$7,
IF(_xll.IMDP("IR", data!$B23, data!U$8, $D$6)=0,"",_xll.IMDP("IR", data!$B23, data!U$8, $D$6)),
IF(_xll.IMDP("IR", data!$C23, data!U$8, $D$6)=0,"",_xll.IMDP("IR", data!$C23, data!U$8, $D$6)), data!U23 ), "")</f>
        <v>3.0750000000000002</v>
      </c>
      <c r="N22" s="30" cm="1">
        <f t="array" aca="1" ref="N22" ca="1">IFERROR( CHOOSE( data!$B$7,
IF(_xll.IMDP("IR", data!$B23, data!V$8, $D$6)=0,"",_xll.IMDP("IR", data!$B23, data!V$8, $D$6)),
IF(_xll.IMDP("IR", data!$C23, data!V$8, $D$6)=0,"",_xll.IMDP("IR", data!$C23, data!V$8, $D$6)), data!V23 ), "")</f>
        <v>3.085</v>
      </c>
      <c r="O22" s="30" cm="1">
        <f t="array" aca="1" ref="O22" ca="1">IFERROR( CHOOSE( data!$B$7,
IF(_xll.IMDP("IR", data!$B23, data!W$8, $D$6)=0,"",_xll.IMDP("IR", data!$B23, data!W$8, $D$6)),
IF(_xll.IMDP("IR", data!$C23, data!W$8, $D$6)=0,"",_xll.IMDP("IR", data!$C23, data!W$8, $D$6)), data!W23 ), "")</f>
        <v>3.2429999999999999</v>
      </c>
      <c r="P22" s="30" cm="1">
        <f t="array" aca="1" ref="P22" ca="1">IFERROR( CHOOSE( data!$B$7,
IF(_xll.IMDP("IR", data!$B23, data!X$8, $D$6)=0,"",_xll.IMDP("IR", data!$B23, data!X$8, $D$6)),
IF(_xll.IMDP("IR", data!$C23, data!X$8, $D$6)=0,"",_xll.IMDP("IR", data!$C23, data!X$8, $D$6)), data!X23 ), "")</f>
        <v>3.4780000000000002</v>
      </c>
      <c r="Q22" s="30" cm="1">
        <f t="array" aca="1" ref="Q22" ca="1">IFERROR( CHOOSE( data!$B$7,
IF(_xll.IMDP("IR", data!$B23, data!Y$8, $D$6)=0,"",_xll.IMDP("IR", data!$B23, data!Y$8, $D$6)),
IF(_xll.IMDP("IR", data!$C23, data!Y$8, $D$6)=0,"",_xll.IMDP("IR", data!$C23, data!Y$8, $D$6)), data!Y23 ), "")</f>
        <v>3.5790000000000002</v>
      </c>
      <c r="R22" s="30" cm="1">
        <f t="array" aca="1" ref="R22" ca="1">IFERROR( CHOOSE( data!$B$7,
IF(_xll.IMDP("IR", data!$B23, data!Z$8, $D$6)=0,"",_xll.IMDP("IR", data!$B23, data!Z$8, $D$6)),
IF(_xll.IMDP("IR", data!$C23, data!Z$8, $D$6)=0,"",_xll.IMDP("IR", data!$C23, data!Z$8, $D$6)), data!Z23 ), "")</f>
        <v>3.6419999999999999</v>
      </c>
      <c r="S22" s="30" t="str" cm="1">
        <f t="array" aca="1" ref="S22" ca="1">IFERROR( CHOOSE( data!$B$7,
IF(_xll.IMDP("IR", data!$B23, data!AA$8, $D$6)=0,"",_xll.IMDP("IR", data!$B23, data!AA$8, $D$6)),
IF(_xll.IMDP("IR", data!$C23, data!AA$8, $D$6)=0,"",_xll.IMDP("IR", data!$C23, data!AA$8, $D$6)), data!AA23 ), "")</f>
        <v/>
      </c>
      <c r="T22" s="31" t="str" cm="1">
        <f t="array" aca="1" ref="T22" ca="1">IFERROR( CHOOSE( data!$B$7,
IF(_xll.IMDP("IR", data!$B23, data!AB$8, $D$6)=0,"",_xll.IMDP("IR", data!$B23, data!AB$8, $D$6)),
IF(_xll.IMDP("IR", data!$C23, data!AB$8, $D$6)=0,"",_xll.IMDP("IR", data!$C23, data!AB$8, $D$6)), data!AB23 ), "")</f>
        <v/>
      </c>
    </row>
    <row r="23" spans="2:20" s="4" customFormat="1" ht="12">
      <c r="B23" s="12"/>
      <c r="C23" s="67"/>
      <c r="D23" s="16" t="s">
        <v>37</v>
      </c>
      <c r="E23" s="32" cm="1">
        <f t="array" aca="1" ref="E23" ca="1">IFERROR( CHOOSE( data!$B$7,
IF(_xll.IMDP("IR", data!$B24, data!M$8, $D$6)=0,"",_xll.IMDP("IR", data!$B24, data!M$8, $D$6)),
IF(_xll.IMDP("IR", data!$C24, data!M$8, $D$6)=0,"",_xll.IMDP("IR", data!$C24, data!M$8, $D$6)), data!M24 ), "")</f>
        <v>3.411</v>
      </c>
      <c r="F23" s="33" cm="1">
        <f t="array" aca="1" ref="F23" ca="1">IFERROR( CHOOSE( data!$B$7,
IF(_xll.IMDP("IR", data!$B24, data!N$8, $D$6)=0,"",_xll.IMDP("IR", data!$B24, data!N$8, $D$6)),
IF(_xll.IMDP("IR", data!$C24, data!N$8, $D$6)=0,"",_xll.IMDP("IR", data!$C24, data!N$8, $D$6)), data!N24 ), "")</f>
        <v>3.3940000000000001</v>
      </c>
      <c r="G23" s="33" cm="1">
        <f t="array" aca="1" ref="G23" ca="1">IFERROR( CHOOSE( data!$B$7,
IF(_xll.IMDP("IR", data!$B24, data!O$8, $D$6)=0,"",_xll.IMDP("IR", data!$B24, data!O$8, $D$6)),
IF(_xll.IMDP("IR", data!$C24, data!O$8, $D$6)=0,"",_xll.IMDP("IR", data!$C24, data!O$8, $D$6)), data!O24 ), "")</f>
        <v>3.3159999999999998</v>
      </c>
      <c r="H23" s="33" cm="1">
        <f t="array" aca="1" ref="H23" ca="1">IFERROR( CHOOSE( data!$B$7,
IF(_xll.IMDP("IR", data!$B24, data!P$8, $D$6)=0,"",_xll.IMDP("IR", data!$B24, data!P$8, $D$6)),
IF(_xll.IMDP("IR", data!$C24, data!P$8, $D$6)=0,"",_xll.IMDP("IR", data!$C24, data!P$8, $D$6)), data!P24 ), "")</f>
        <v>3.274</v>
      </c>
      <c r="I23" s="33" cm="1">
        <f t="array" aca="1" ref="I23" ca="1">IFERROR( CHOOSE( data!$B$7,
IF(_xll.IMDP("IR", data!$B24, data!Q$8, $D$6)=0,"",_xll.IMDP("IR", data!$B24, data!Q$8, $D$6)),
IF(_xll.IMDP("IR", data!$C24, data!Q$8, $D$6)=0,"",_xll.IMDP("IR", data!$C24, data!Q$8, $D$6)), data!Q24 ), "")</f>
        <v>3.24</v>
      </c>
      <c r="J23" s="33" cm="1">
        <f t="array" aca="1" ref="J23" ca="1">IFERROR( CHOOSE( data!$B$7,
IF(_xll.IMDP("IR", data!$B24, data!R$8, $D$6)=0,"",_xll.IMDP("IR", data!$B24, data!R$8, $D$6)),
IF(_xll.IMDP("IR", data!$C24, data!R$8, $D$6)=0,"",_xll.IMDP("IR", data!$C24, data!R$8, $D$6)), data!R24 ), "")</f>
        <v>3.198</v>
      </c>
      <c r="K23" s="33" cm="1">
        <f t="array" aca="1" ref="K23" ca="1">IFERROR( CHOOSE( data!$B$7,
IF(_xll.IMDP("IR", data!$B24, data!S$8, $D$6)=0,"",_xll.IMDP("IR", data!$B24, data!S$8, $D$6)),
IF(_xll.IMDP("IR", data!$C24, data!S$8, $D$6)=0,"",_xll.IMDP("IR", data!$C24, data!S$8, $D$6)), data!S24 ), "")</f>
        <v>3.1520000000000001</v>
      </c>
      <c r="L23" s="33" cm="1">
        <f t="array" aca="1" ref="L23" ca="1">IFERROR( CHOOSE( data!$B$7,
IF(_xll.IMDP("IR", data!$B24, data!T$8, $D$6)=0,"",_xll.IMDP("IR", data!$B24, data!T$8, $D$6)),
IF(_xll.IMDP("IR", data!$C24, data!T$8, $D$6)=0,"",_xll.IMDP("IR", data!$C24, data!T$8, $D$6)), data!T24 ), "")</f>
        <v>3.1280000000000001</v>
      </c>
      <c r="M23" s="33" cm="1">
        <f t="array" aca="1" ref="M23" ca="1">IFERROR( CHOOSE( data!$B$7,
IF(_xll.IMDP("IR", data!$B24, data!U$8, $D$6)=0,"",_xll.IMDP("IR", data!$B24, data!U$8, $D$6)),
IF(_xll.IMDP("IR", data!$C24, data!U$8, $D$6)=0,"",_xll.IMDP("IR", data!$C24, data!U$8, $D$6)), data!U24 ), "")</f>
        <v>3.1179999999999999</v>
      </c>
      <c r="N23" s="33" cm="1">
        <f t="array" aca="1" ref="N23" ca="1">IFERROR( CHOOSE( data!$B$7,
IF(_xll.IMDP("IR", data!$B24, data!V$8, $D$6)=0,"",_xll.IMDP("IR", data!$B24, data!V$8, $D$6)),
IF(_xll.IMDP("IR", data!$C24, data!V$8, $D$6)=0,"",_xll.IMDP("IR", data!$C24, data!V$8, $D$6)), data!V24 ), "")</f>
        <v>3.13</v>
      </c>
      <c r="O23" s="33" cm="1">
        <f t="array" aca="1" ref="O23" ca="1">IFERROR( CHOOSE( data!$B$7,
IF(_xll.IMDP("IR", data!$B24, data!W$8, $D$6)=0,"",_xll.IMDP("IR", data!$B24, data!W$8, $D$6)),
IF(_xll.IMDP("IR", data!$C24, data!W$8, $D$6)=0,"",_xll.IMDP("IR", data!$C24, data!W$8, $D$6)), data!W24 ), "")</f>
        <v>3.278</v>
      </c>
      <c r="P23" s="33" cm="1">
        <f t="array" aca="1" ref="P23" ca="1">IFERROR( CHOOSE( data!$B$7,
IF(_xll.IMDP("IR", data!$B24, data!X$8, $D$6)=0,"",_xll.IMDP("IR", data!$B24, data!X$8, $D$6)),
IF(_xll.IMDP("IR", data!$C24, data!X$8, $D$6)=0,"",_xll.IMDP("IR", data!$C24, data!X$8, $D$6)), data!X24 ), "")</f>
        <v>3.5190000000000001</v>
      </c>
      <c r="Q23" s="33" cm="1">
        <f t="array" aca="1" ref="Q23" ca="1">IFERROR( CHOOSE( data!$B$7,
IF(_xll.IMDP("IR", data!$B24, data!Y$8, $D$6)=0,"",_xll.IMDP("IR", data!$B24, data!Y$8, $D$6)),
IF(_xll.IMDP("IR", data!$C24, data!Y$8, $D$6)=0,"",_xll.IMDP("IR", data!$C24, data!Y$8, $D$6)), data!Y24 ), "")</f>
        <v>3.6179999999999999</v>
      </c>
      <c r="R23" s="33" cm="1">
        <f t="array" aca="1" ref="R23" ca="1">IFERROR( CHOOSE( data!$B$7,
IF(_xll.IMDP("IR", data!$B24, data!Z$8, $D$6)=0,"",_xll.IMDP("IR", data!$B24, data!Z$8, $D$6)),
IF(_xll.IMDP("IR", data!$C24, data!Z$8, $D$6)=0,"",_xll.IMDP("IR", data!$C24, data!Z$8, $D$6)), data!Z24 ), "")</f>
        <v>3.6819999999999999</v>
      </c>
      <c r="S23" s="33" t="str" cm="1">
        <f t="array" aca="1" ref="S23" ca="1">IFERROR( CHOOSE( data!$B$7,
IF(_xll.IMDP("IR", data!$B24, data!AA$8, $D$6)=0,"",_xll.IMDP("IR", data!$B24, data!AA$8, $D$6)),
IF(_xll.IMDP("IR", data!$C24, data!AA$8, $D$6)=0,"",_xll.IMDP("IR", data!$C24, data!AA$8, $D$6)), data!AA24 ), "")</f>
        <v/>
      </c>
      <c r="T23" s="34" t="str" cm="1">
        <f t="array" aca="1" ref="T23" ca="1">IFERROR( CHOOSE( data!$B$7,
IF(_xll.IMDP("IR", data!$B24, data!AB$8, $D$6)=0,"",_xll.IMDP("IR", data!$B24, data!AB$8, $D$6)),
IF(_xll.IMDP("IR", data!$C24, data!AB$8, $D$6)=0,"",_xll.IMDP("IR", data!$C24, data!AB$8, $D$6)), data!AB24 ), "")</f>
        <v/>
      </c>
    </row>
    <row r="24" spans="2:20" s="4" customFormat="1" ht="12">
      <c r="B24" s="12"/>
      <c r="C24" s="67"/>
      <c r="D24" s="16" t="s">
        <v>38</v>
      </c>
      <c r="E24" s="32" cm="1">
        <f t="array" aca="1" ref="E24" ca="1">IFERROR( CHOOSE( data!$B$7,
IF(_xll.IMDP("IR", data!$B25, data!M$8, $D$6)=0,"",_xll.IMDP("IR", data!$B25, data!M$8, $D$6)),
IF(_xll.IMDP("IR", data!$C25, data!M$8, $D$6)=0,"",_xll.IMDP("IR", data!$C25, data!M$8, $D$6)), data!M25 ), "")</f>
        <v>3.4159999999999999</v>
      </c>
      <c r="F24" s="33" cm="1">
        <f t="array" aca="1" ref="F24" ca="1">IFERROR( CHOOSE( data!$B$7,
IF(_xll.IMDP("IR", data!$B25, data!N$8, $D$6)=0,"",_xll.IMDP("IR", data!$B25, data!N$8, $D$6)),
IF(_xll.IMDP("IR", data!$C25, data!N$8, $D$6)=0,"",_xll.IMDP("IR", data!$C25, data!N$8, $D$6)), data!N25 ), "")</f>
        <v>3.3889999999999998</v>
      </c>
      <c r="G24" s="33" cm="1">
        <f t="array" aca="1" ref="G24" ca="1">IFERROR( CHOOSE( data!$B$7,
IF(_xll.IMDP("IR", data!$B25, data!O$8, $D$6)=0,"",_xll.IMDP("IR", data!$B25, data!O$8, $D$6)),
IF(_xll.IMDP("IR", data!$C25, data!O$8, $D$6)=0,"",_xll.IMDP("IR", data!$C25, data!O$8, $D$6)), data!O25 ), "")</f>
        <v>3.32</v>
      </c>
      <c r="H24" s="33" cm="1">
        <f t="array" aca="1" ref="H24" ca="1">IFERROR( CHOOSE( data!$B$7,
IF(_xll.IMDP("IR", data!$B25, data!P$8, $D$6)=0,"",_xll.IMDP("IR", data!$B25, data!P$8, $D$6)),
IF(_xll.IMDP("IR", data!$C25, data!P$8, $D$6)=0,"",_xll.IMDP("IR", data!$C25, data!P$8, $D$6)), data!P25 ), "")</f>
        <v>3.28</v>
      </c>
      <c r="I24" s="33" cm="1">
        <f t="array" aca="1" ref="I24" ca="1">IFERROR( CHOOSE( data!$B$7,
IF(_xll.IMDP("IR", data!$B25, data!Q$8, $D$6)=0,"",_xll.IMDP("IR", data!$B25, data!Q$8, $D$6)),
IF(_xll.IMDP("IR", data!$C25, data!Q$8, $D$6)=0,"",_xll.IMDP("IR", data!$C25, data!Q$8, $D$6)), data!Q25 ), "")</f>
        <v>3.2320000000000002</v>
      </c>
      <c r="J24" s="33" cm="1">
        <f t="array" aca="1" ref="J24" ca="1">IFERROR( CHOOSE( data!$B$7,
IF(_xll.IMDP("IR", data!$B25, data!R$8, $D$6)=0,"",_xll.IMDP("IR", data!$B25, data!R$8, $D$6)),
IF(_xll.IMDP("IR", data!$C25, data!R$8, $D$6)=0,"",_xll.IMDP("IR", data!$C25, data!R$8, $D$6)), data!R25 ), "")</f>
        <v>3.181</v>
      </c>
      <c r="K24" s="33" cm="1">
        <f t="array" aca="1" ref="K24" ca="1">IFERROR( CHOOSE( data!$B$7,
IF(_xll.IMDP("IR", data!$B25, data!S$8, $D$6)=0,"",_xll.IMDP("IR", data!$B25, data!S$8, $D$6)),
IF(_xll.IMDP("IR", data!$C25, data!S$8, $D$6)=0,"",_xll.IMDP("IR", data!$C25, data!S$8, $D$6)), data!S25 ), "")</f>
        <v>3.1259999999999999</v>
      </c>
      <c r="L24" s="33" cm="1">
        <f t="array" aca="1" ref="L24" ca="1">IFERROR( CHOOSE( data!$B$7,
IF(_xll.IMDP("IR", data!$B25, data!T$8, $D$6)=0,"",_xll.IMDP("IR", data!$B25, data!T$8, $D$6)),
IF(_xll.IMDP("IR", data!$C25, data!T$8, $D$6)=0,"",_xll.IMDP("IR", data!$C25, data!T$8, $D$6)), data!T25 ), "")</f>
        <v>3.093</v>
      </c>
      <c r="M24" s="33" cm="1">
        <f t="array" aca="1" ref="M24" ca="1">IFERROR( CHOOSE( data!$B$7,
IF(_xll.IMDP("IR", data!$B25, data!U$8, $D$6)=0,"",_xll.IMDP("IR", data!$B25, data!U$8, $D$6)),
IF(_xll.IMDP("IR", data!$C25, data!U$8, $D$6)=0,"",_xll.IMDP("IR", data!$C25, data!U$8, $D$6)), data!U25 ), "")</f>
        <v>3.0819999999999999</v>
      </c>
      <c r="N24" s="33" cm="1">
        <f t="array" aca="1" ref="N24" ca="1">IFERROR( CHOOSE( data!$B$7,
IF(_xll.IMDP("IR", data!$B25, data!V$8, $D$6)=0,"",_xll.IMDP("IR", data!$B25, data!V$8, $D$6)),
IF(_xll.IMDP("IR", data!$C25, data!V$8, $D$6)=0,"",_xll.IMDP("IR", data!$C25, data!V$8, $D$6)), data!V25 ), "")</f>
        <v>3.0920000000000001</v>
      </c>
      <c r="O24" s="33" cm="1">
        <f t="array" aca="1" ref="O24" ca="1">IFERROR( CHOOSE( data!$B$7,
IF(_xll.IMDP("IR", data!$B25, data!W$8, $D$6)=0,"",_xll.IMDP("IR", data!$B25, data!W$8, $D$6)),
IF(_xll.IMDP("IR", data!$C25, data!W$8, $D$6)=0,"",_xll.IMDP("IR", data!$C25, data!W$8, $D$6)), data!W25 ), "")</f>
        <v>3.2679999999999998</v>
      </c>
      <c r="P24" s="33" cm="1">
        <f t="array" aca="1" ref="P24" ca="1">IFERROR( CHOOSE( data!$B$7,
IF(_xll.IMDP("IR", data!$B25, data!X$8, $D$6)=0,"",_xll.IMDP("IR", data!$B25, data!X$8, $D$6)),
IF(_xll.IMDP("IR", data!$C25, data!X$8, $D$6)=0,"",_xll.IMDP("IR", data!$C25, data!X$8, $D$6)), data!X25 ), "")</f>
        <v>3.5049999999999999</v>
      </c>
      <c r="Q24" s="33" cm="1">
        <f t="array" aca="1" ref="Q24" ca="1">IFERROR( CHOOSE( data!$B$7,
IF(_xll.IMDP("IR", data!$B25, data!Y$8, $D$6)=0,"",_xll.IMDP("IR", data!$B25, data!Y$8, $D$6)),
IF(_xll.IMDP("IR", data!$C25, data!Y$8, $D$6)=0,"",_xll.IMDP("IR", data!$C25, data!Y$8, $D$6)), data!Y25 ), "")</f>
        <v>3.6070000000000002</v>
      </c>
      <c r="R24" s="33" cm="1">
        <f t="array" aca="1" ref="R24" ca="1">IFERROR( CHOOSE( data!$B$7,
IF(_xll.IMDP("IR", data!$B25, data!Z$8, $D$6)=0,"",_xll.IMDP("IR", data!$B25, data!Z$8, $D$6)),
IF(_xll.IMDP("IR", data!$C25, data!Z$8, $D$6)=0,"",_xll.IMDP("IR", data!$C25, data!Z$8, $D$6)), data!Z25 ), "")</f>
        <v>3.6749999999999998</v>
      </c>
      <c r="S24" s="33" t="str" cm="1">
        <f t="array" aca="1" ref="S24" ca="1">IFERROR( CHOOSE( data!$B$7,
IF(_xll.IMDP("IR", data!$B25, data!AA$8, $D$6)=0,"",_xll.IMDP("IR", data!$B25, data!AA$8, $D$6)),
IF(_xll.IMDP("IR", data!$C25, data!AA$8, $D$6)=0,"",_xll.IMDP("IR", data!$C25, data!AA$8, $D$6)), data!AA25 ), "")</f>
        <v/>
      </c>
      <c r="T24" s="34" t="str" cm="1">
        <f t="array" aca="1" ref="T24" ca="1">IFERROR( CHOOSE( data!$B$7,
IF(_xll.IMDP("IR", data!$B25, data!AB$8, $D$6)=0,"",_xll.IMDP("IR", data!$B25, data!AB$8, $D$6)),
IF(_xll.IMDP("IR", data!$C25, data!AB$8, $D$6)=0,"",_xll.IMDP("IR", data!$C25, data!AB$8, $D$6)), data!AB25 ), "")</f>
        <v/>
      </c>
    </row>
    <row r="25" spans="2:20" s="4" customFormat="1" ht="12">
      <c r="B25" s="12"/>
      <c r="C25" s="67"/>
      <c r="D25" s="16" t="s">
        <v>39</v>
      </c>
      <c r="E25" s="32" cm="1">
        <f t="array" aca="1" ref="E25" ca="1">IFERROR( CHOOSE( data!$B$7,
IF(_xll.IMDP("IR", data!$B26, data!M$8, $D$6)=0,"",_xll.IMDP("IR", data!$B26, data!M$8, $D$6)),
IF(_xll.IMDP("IR", data!$C26, data!M$8, $D$6)=0,"",_xll.IMDP("IR", data!$C26, data!M$8, $D$6)), data!M26 ), "")</f>
        <v>3.411</v>
      </c>
      <c r="F25" s="33" cm="1">
        <f t="array" aca="1" ref="F25" ca="1">IFERROR( CHOOSE( data!$B$7,
IF(_xll.IMDP("IR", data!$B26, data!N$8, $D$6)=0,"",_xll.IMDP("IR", data!$B26, data!N$8, $D$6)),
IF(_xll.IMDP("IR", data!$C26, data!N$8, $D$6)=0,"",_xll.IMDP("IR", data!$C26, data!N$8, $D$6)), data!N26 ), "")</f>
        <v>3.3940000000000001</v>
      </c>
      <c r="G25" s="33" cm="1">
        <f t="array" aca="1" ref="G25" ca="1">IFERROR( CHOOSE( data!$B$7,
IF(_xll.IMDP("IR", data!$B26, data!O$8, $D$6)=0,"",_xll.IMDP("IR", data!$B26, data!O$8, $D$6)),
IF(_xll.IMDP("IR", data!$C26, data!O$8, $D$6)=0,"",_xll.IMDP("IR", data!$C26, data!O$8, $D$6)), data!O26 ), "")</f>
        <v>3.3159999999999998</v>
      </c>
      <c r="H25" s="33" cm="1">
        <f t="array" aca="1" ref="H25" ca="1">IFERROR( CHOOSE( data!$B$7,
IF(_xll.IMDP("IR", data!$B26, data!P$8, $D$6)=0,"",_xll.IMDP("IR", data!$B26, data!P$8, $D$6)),
IF(_xll.IMDP("IR", data!$C26, data!P$8, $D$6)=0,"",_xll.IMDP("IR", data!$C26, data!P$8, $D$6)), data!P26 ), "")</f>
        <v>3.274</v>
      </c>
      <c r="I25" s="33" cm="1">
        <f t="array" aca="1" ref="I25" ca="1">IFERROR( CHOOSE( data!$B$7,
IF(_xll.IMDP("IR", data!$B26, data!Q$8, $D$6)=0,"",_xll.IMDP("IR", data!$B26, data!Q$8, $D$6)),
IF(_xll.IMDP("IR", data!$C26, data!Q$8, $D$6)=0,"",_xll.IMDP("IR", data!$C26, data!Q$8, $D$6)), data!Q26 ), "")</f>
        <v>3.24</v>
      </c>
      <c r="J25" s="33" cm="1">
        <f t="array" aca="1" ref="J25" ca="1">IFERROR( CHOOSE( data!$B$7,
IF(_xll.IMDP("IR", data!$B26, data!R$8, $D$6)=0,"",_xll.IMDP("IR", data!$B26, data!R$8, $D$6)),
IF(_xll.IMDP("IR", data!$C26, data!R$8, $D$6)=0,"",_xll.IMDP("IR", data!$C26, data!R$8, $D$6)), data!R26 ), "")</f>
        <v>3.198</v>
      </c>
      <c r="K25" s="33" cm="1">
        <f t="array" aca="1" ref="K25" ca="1">IFERROR( CHOOSE( data!$B$7,
IF(_xll.IMDP("IR", data!$B26, data!S$8, $D$6)=0,"",_xll.IMDP("IR", data!$B26, data!S$8, $D$6)),
IF(_xll.IMDP("IR", data!$C26, data!S$8, $D$6)=0,"",_xll.IMDP("IR", data!$C26, data!S$8, $D$6)), data!S26 ), "")</f>
        <v>3.1520000000000001</v>
      </c>
      <c r="L25" s="33" cm="1">
        <f t="array" aca="1" ref="L25" ca="1">IFERROR( CHOOSE( data!$B$7,
IF(_xll.IMDP("IR", data!$B26, data!T$8, $D$6)=0,"",_xll.IMDP("IR", data!$B26, data!T$8, $D$6)),
IF(_xll.IMDP("IR", data!$C26, data!T$8, $D$6)=0,"",_xll.IMDP("IR", data!$C26, data!T$8, $D$6)), data!T26 ), "")</f>
        <v>3.1280000000000001</v>
      </c>
      <c r="M25" s="33" cm="1">
        <f t="array" aca="1" ref="M25" ca="1">IFERROR( CHOOSE( data!$B$7,
IF(_xll.IMDP("IR", data!$B26, data!U$8, $D$6)=0,"",_xll.IMDP("IR", data!$B26, data!U$8, $D$6)),
IF(_xll.IMDP("IR", data!$C26, data!U$8, $D$6)=0,"",_xll.IMDP("IR", data!$C26, data!U$8, $D$6)), data!U26 ), "")</f>
        <v>3.1230000000000002</v>
      </c>
      <c r="N25" s="33" cm="1">
        <f t="array" aca="1" ref="N25" ca="1">IFERROR( CHOOSE( data!$B$7,
IF(_xll.IMDP("IR", data!$B26, data!V$8, $D$6)=0,"",_xll.IMDP("IR", data!$B26, data!V$8, $D$6)),
IF(_xll.IMDP("IR", data!$C26, data!V$8, $D$6)=0,"",_xll.IMDP("IR", data!$C26, data!V$8, $D$6)), data!V26 ), "")</f>
        <v>3.1349999999999998</v>
      </c>
      <c r="O25" s="33" cm="1">
        <f t="array" aca="1" ref="O25" ca="1">IFERROR( CHOOSE( data!$B$7,
IF(_xll.IMDP("IR", data!$B26, data!W$8, $D$6)=0,"",_xll.IMDP("IR", data!$B26, data!W$8, $D$6)),
IF(_xll.IMDP("IR", data!$C26, data!W$8, $D$6)=0,"",_xll.IMDP("IR", data!$C26, data!W$8, $D$6)), data!W26 ), "")</f>
        <v>3.306</v>
      </c>
      <c r="P25" s="33" cm="1">
        <f t="array" aca="1" ref="P25" ca="1">IFERROR( CHOOSE( data!$B$7,
IF(_xll.IMDP("IR", data!$B26, data!X$8, $D$6)=0,"",_xll.IMDP("IR", data!$B26, data!X$8, $D$6)),
IF(_xll.IMDP("IR", data!$C26, data!X$8, $D$6)=0,"",_xll.IMDP("IR", data!$C26, data!X$8, $D$6)), data!X26 ), "")</f>
        <v>3.5459999999999998</v>
      </c>
      <c r="Q25" s="33" cm="1">
        <f t="array" aca="1" ref="Q25" ca="1">IFERROR( CHOOSE( data!$B$7,
IF(_xll.IMDP("IR", data!$B26, data!Y$8, $D$6)=0,"",_xll.IMDP("IR", data!$B26, data!Y$8, $D$6)),
IF(_xll.IMDP("IR", data!$C26, data!Y$8, $D$6)=0,"",_xll.IMDP("IR", data!$C26, data!Y$8, $D$6)), data!Y26 ), "")</f>
        <v>3.645</v>
      </c>
      <c r="R25" s="33" cm="1">
        <f t="array" aca="1" ref="R25" ca="1">IFERROR( CHOOSE( data!$B$7,
IF(_xll.IMDP("IR", data!$B26, data!Z$8, $D$6)=0,"",_xll.IMDP("IR", data!$B26, data!Z$8, $D$6)),
IF(_xll.IMDP("IR", data!$C26, data!Z$8, $D$6)=0,"",_xll.IMDP("IR", data!$C26, data!Z$8, $D$6)), data!Z26 ), "")</f>
        <v>3.72</v>
      </c>
      <c r="S25" s="33" t="str" cm="1">
        <f t="array" aca="1" ref="S25" ca="1">IFERROR( CHOOSE( data!$B$7,
IF(_xll.IMDP("IR", data!$B26, data!AA$8, $D$6)=0,"",_xll.IMDP("IR", data!$B26, data!AA$8, $D$6)),
IF(_xll.IMDP("IR", data!$C26, data!AA$8, $D$6)=0,"",_xll.IMDP("IR", data!$C26, data!AA$8, $D$6)), data!AA26 ), "")</f>
        <v/>
      </c>
      <c r="T25" s="34" t="str" cm="1">
        <f t="array" aca="1" ref="T25" ca="1">IFERROR( CHOOSE( data!$B$7,
IF(_xll.IMDP("IR", data!$B26, data!AB$8, $D$6)=0,"",_xll.IMDP("IR", data!$B26, data!AB$8, $D$6)),
IF(_xll.IMDP("IR", data!$C26, data!AB$8, $D$6)=0,"",_xll.IMDP("IR", data!$C26, data!AB$8, $D$6)), data!AB26 ), "")</f>
        <v/>
      </c>
    </row>
    <row r="26" spans="2:20" s="4" customFormat="1" ht="12">
      <c r="B26" s="12"/>
      <c r="C26" s="67"/>
      <c r="D26" s="16" t="s">
        <v>27</v>
      </c>
      <c r="E26" s="32" cm="1">
        <f t="array" aca="1" ref="E26" ca="1">IFERROR( CHOOSE( data!$B$7,
IF(_xll.IMDP("IR", data!$B27, data!M$8, $D$6)=0,"",_xll.IMDP("IR", data!$B27, data!M$8, $D$6)),
IF(_xll.IMDP("IR", data!$C27, data!M$8, $D$6)=0,"",_xll.IMDP("IR", data!$C27, data!M$8, $D$6)), data!M27 ), "")</f>
        <v>3.4340000000000002</v>
      </c>
      <c r="F26" s="33" cm="1">
        <f t="array" aca="1" ref="F26" ca="1">IFERROR( CHOOSE( data!$B$7,
IF(_xll.IMDP("IR", data!$B27, data!N$8, $D$6)=0,"",_xll.IMDP("IR", data!$B27, data!N$8, $D$6)),
IF(_xll.IMDP("IR", data!$C27, data!N$8, $D$6)=0,"",_xll.IMDP("IR", data!$C27, data!N$8, $D$6)), data!N27 ), "")</f>
        <v>3.4169999999999998</v>
      </c>
      <c r="G26" s="33" cm="1">
        <f t="array" aca="1" ref="G26" ca="1">IFERROR( CHOOSE( data!$B$7,
IF(_xll.IMDP("IR", data!$B27, data!O$8, $D$6)=0,"",_xll.IMDP("IR", data!$B27, data!O$8, $D$6)),
IF(_xll.IMDP("IR", data!$C27, data!O$8, $D$6)=0,"",_xll.IMDP("IR", data!$C27, data!O$8, $D$6)), data!O27 ), "")</f>
        <v>3.3479999999999999</v>
      </c>
      <c r="H26" s="33" cm="1">
        <f t="array" aca="1" ref="H26" ca="1">IFERROR( CHOOSE( data!$B$7,
IF(_xll.IMDP("IR", data!$B27, data!P$8, $D$6)=0,"",_xll.IMDP("IR", data!$B27, data!P$8, $D$6)),
IF(_xll.IMDP("IR", data!$C27, data!P$8, $D$6)=0,"",_xll.IMDP("IR", data!$C27, data!P$8, $D$6)), data!P27 ), "")</f>
        <v>3.3079999999999998</v>
      </c>
      <c r="I26" s="33" cm="1">
        <f t="array" aca="1" ref="I26" ca="1">IFERROR( CHOOSE( data!$B$7,
IF(_xll.IMDP("IR", data!$B27, data!Q$8, $D$6)=0,"",_xll.IMDP("IR", data!$B27, data!Q$8, $D$6)),
IF(_xll.IMDP("IR", data!$C27, data!Q$8, $D$6)=0,"",_xll.IMDP("IR", data!$C27, data!Q$8, $D$6)), data!Q27 ), "")</f>
        <v>3.2559999999999998</v>
      </c>
      <c r="J26" s="33" cm="1">
        <f t="array" aca="1" ref="J26" ca="1">IFERROR( CHOOSE( data!$B$7,
IF(_xll.IMDP("IR", data!$B27, data!R$8, $D$6)=0,"",_xll.IMDP("IR", data!$B27, data!R$8, $D$6)),
IF(_xll.IMDP("IR", data!$C27, data!R$8, $D$6)=0,"",_xll.IMDP("IR", data!$C27, data!R$8, $D$6)), data!R27 ), "")</f>
        <v>3.2240000000000002</v>
      </c>
      <c r="K26" s="33" cm="1">
        <f t="array" aca="1" ref="K26" ca="1">IFERROR( CHOOSE( data!$B$7,
IF(_xll.IMDP("IR", data!$B27, data!S$8, $D$6)=0,"",_xll.IMDP("IR", data!$B27, data!S$8, $D$6)),
IF(_xll.IMDP("IR", data!$C27, data!S$8, $D$6)=0,"",_xll.IMDP("IR", data!$C27, data!S$8, $D$6)), data!S27 ), "")</f>
        <v>3.2080000000000002</v>
      </c>
      <c r="L26" s="33" cm="1">
        <f t="array" aca="1" ref="L26" ca="1">IFERROR( CHOOSE( data!$B$7,
IF(_xll.IMDP("IR", data!$B27, data!T$8, $D$6)=0,"",_xll.IMDP("IR", data!$B27, data!T$8, $D$6)),
IF(_xll.IMDP("IR", data!$C27, data!T$8, $D$6)=0,"",_xll.IMDP("IR", data!$C27, data!T$8, $D$6)), data!T27 ), "")</f>
        <v>3.2109999999999999</v>
      </c>
      <c r="M26" s="33" cm="1">
        <f t="array" aca="1" ref="M26" ca="1">IFERROR( CHOOSE( data!$B$7,
IF(_xll.IMDP("IR", data!$B27, data!U$8, $D$6)=0,"",_xll.IMDP("IR", data!$B27, data!U$8, $D$6)),
IF(_xll.IMDP("IR", data!$C27, data!U$8, $D$6)=0,"",_xll.IMDP("IR", data!$C27, data!U$8, $D$6)), data!U27 ), "")</f>
        <v>3.2080000000000002</v>
      </c>
      <c r="N26" s="33" cm="1">
        <f t="array" aca="1" ref="N26" ca="1">IFERROR( CHOOSE( data!$B$7,
IF(_xll.IMDP("IR", data!$B27, data!V$8, $D$6)=0,"",_xll.IMDP("IR", data!$B27, data!V$8, $D$6)),
IF(_xll.IMDP("IR", data!$C27, data!V$8, $D$6)=0,"",_xll.IMDP("IR", data!$C27, data!V$8, $D$6)), data!V27 ), "")</f>
        <v>3.2080000000000002</v>
      </c>
      <c r="O26" s="33" cm="1">
        <f t="array" aca="1" ref="O26" ca="1">IFERROR( CHOOSE( data!$B$7,
IF(_xll.IMDP("IR", data!$B27, data!W$8, $D$6)=0,"",_xll.IMDP("IR", data!$B27, data!W$8, $D$6)),
IF(_xll.IMDP("IR", data!$C27, data!W$8, $D$6)=0,"",_xll.IMDP("IR", data!$C27, data!W$8, $D$6)), data!W27 ), "")</f>
        <v>3.3559999999999999</v>
      </c>
      <c r="P26" s="33" cm="1">
        <f t="array" aca="1" ref="P26" ca="1">IFERROR( CHOOSE( data!$B$7,
IF(_xll.IMDP("IR", data!$B27, data!X$8, $D$6)=0,"",_xll.IMDP("IR", data!$B27, data!X$8, $D$6)),
IF(_xll.IMDP("IR", data!$C27, data!X$8, $D$6)=0,"",_xll.IMDP("IR", data!$C27, data!X$8, $D$6)), data!X27 ), "")</f>
        <v>3.5760000000000001</v>
      </c>
      <c r="Q26" s="33" cm="1">
        <f t="array" aca="1" ref="Q26" ca="1">IFERROR( CHOOSE( data!$B$7,
IF(_xll.IMDP("IR", data!$B27, data!Y$8, $D$6)=0,"",_xll.IMDP("IR", data!$B27, data!Y$8, $D$6)),
IF(_xll.IMDP("IR", data!$C27, data!Y$8, $D$6)=0,"",_xll.IMDP("IR", data!$C27, data!Y$8, $D$6)), data!Y27 ), "")</f>
        <v>3.6840000000000002</v>
      </c>
      <c r="R26" s="33" cm="1">
        <f t="array" aca="1" ref="R26" ca="1">IFERROR( CHOOSE( data!$B$7,
IF(_xll.IMDP("IR", data!$B27, data!Z$8, $D$6)=0,"",_xll.IMDP("IR", data!$B27, data!Z$8, $D$6)),
IF(_xll.IMDP("IR", data!$C27, data!Z$8, $D$6)=0,"",_xll.IMDP("IR", data!$C27, data!Z$8, $D$6)), data!Z27 ), "")</f>
        <v>3.75</v>
      </c>
      <c r="S26" s="33" t="str" cm="1">
        <f t="array" aca="1" ref="S26" ca="1">IFERROR( CHOOSE( data!$B$7,
IF(_xll.IMDP("IR", data!$B27, data!AA$8, $D$6)=0,"",_xll.IMDP("IR", data!$B27, data!AA$8, $D$6)),
IF(_xll.IMDP("IR", data!$C27, data!AA$8, $D$6)=0,"",_xll.IMDP("IR", data!$C27, data!AA$8, $D$6)), data!AA27 ), "")</f>
        <v/>
      </c>
      <c r="T26" s="34" t="str" cm="1">
        <f t="array" aca="1" ref="T26" ca="1">IFERROR( CHOOSE( data!$B$7,
IF(_xll.IMDP("IR", data!$B27, data!AB$8, $D$6)=0,"",_xll.IMDP("IR", data!$B27, data!AB$8, $D$6)),
IF(_xll.IMDP("IR", data!$C27, data!AB$8, $D$6)=0,"",_xll.IMDP("IR", data!$C27, data!AB$8, $D$6)), data!AB27 ), "")</f>
        <v/>
      </c>
    </row>
    <row r="27" spans="2:20" s="4" customFormat="1" ht="12">
      <c r="B27" s="12"/>
      <c r="C27" s="67"/>
      <c r="D27" s="16" t="s">
        <v>28</v>
      </c>
      <c r="E27" s="32" cm="1">
        <f t="array" aca="1" ref="E27" ca="1">IFERROR( CHOOSE( data!$B$7,
IF(_xll.IMDP("IR", data!$B28, data!M$8, $D$6)=0,"",_xll.IMDP("IR", data!$B28, data!M$8, $D$6)),
IF(_xll.IMDP("IR", data!$C28, data!M$8, $D$6)=0,"",_xll.IMDP("IR", data!$C28, data!M$8, $D$6)), data!M28 ), "")</f>
        <v>3.4529999999999998</v>
      </c>
      <c r="F27" s="33" cm="1">
        <f t="array" aca="1" ref="F27" ca="1">IFERROR( CHOOSE( data!$B$7,
IF(_xll.IMDP("IR", data!$B28, data!N$8, $D$6)=0,"",_xll.IMDP("IR", data!$B28, data!N$8, $D$6)),
IF(_xll.IMDP("IR", data!$C28, data!N$8, $D$6)=0,"",_xll.IMDP("IR", data!$C28, data!N$8, $D$6)), data!N28 ), "")</f>
        <v>3.4390000000000001</v>
      </c>
      <c r="G27" s="33" cm="1">
        <f t="array" aca="1" ref="G27" ca="1">IFERROR( CHOOSE( data!$B$7,
IF(_xll.IMDP("IR", data!$B28, data!O$8, $D$6)=0,"",_xll.IMDP("IR", data!$B28, data!O$8, $D$6)),
IF(_xll.IMDP("IR", data!$C28, data!O$8, $D$6)=0,"",_xll.IMDP("IR", data!$C28, data!O$8, $D$6)), data!O28 ), "")</f>
        <v>3.3919999999999999</v>
      </c>
      <c r="H27" s="33" cm="1">
        <f t="array" aca="1" ref="H27" ca="1">IFERROR( CHOOSE( data!$B$7,
IF(_xll.IMDP("IR", data!$B28, data!P$8, $D$6)=0,"",_xll.IMDP("IR", data!$B28, data!P$8, $D$6)),
IF(_xll.IMDP("IR", data!$C28, data!P$8, $D$6)=0,"",_xll.IMDP("IR", data!$C28, data!P$8, $D$6)), data!P28 ), "")</f>
        <v>3.3730000000000002</v>
      </c>
      <c r="I27" s="33" cm="1">
        <f t="array" aca="1" ref="I27" ca="1">IFERROR( CHOOSE( data!$B$7,
IF(_xll.IMDP("IR", data!$B28, data!Q$8, $D$6)=0,"",_xll.IMDP("IR", data!$B28, data!Q$8, $D$6)),
IF(_xll.IMDP("IR", data!$C28, data!Q$8, $D$6)=0,"",_xll.IMDP("IR", data!$C28, data!Q$8, $D$6)), data!Q28 ), "")</f>
        <v>3.3580000000000001</v>
      </c>
      <c r="J27" s="33" cm="1">
        <f t="array" aca="1" ref="J27" ca="1">IFERROR( CHOOSE( data!$B$7,
IF(_xll.IMDP("IR", data!$B28, data!R$8, $D$6)=0,"",_xll.IMDP("IR", data!$B28, data!R$8, $D$6)),
IF(_xll.IMDP("IR", data!$C28, data!R$8, $D$6)=0,"",_xll.IMDP("IR", data!$C28, data!R$8, $D$6)), data!R28 ), "")</f>
        <v>3.327</v>
      </c>
      <c r="K27" s="33" cm="1">
        <f t="array" aca="1" ref="K27" ca="1">IFERROR( CHOOSE( data!$B$7,
IF(_xll.IMDP("IR", data!$B28, data!S$8, $D$6)=0,"",_xll.IMDP("IR", data!$B28, data!S$8, $D$6)),
IF(_xll.IMDP("IR", data!$C28, data!S$8, $D$6)=0,"",_xll.IMDP("IR", data!$C28, data!S$8, $D$6)), data!S28 ), "")</f>
        <v>3.31</v>
      </c>
      <c r="L27" s="33" cm="1">
        <f t="array" aca="1" ref="L27" ca="1">IFERROR( CHOOSE( data!$B$7,
IF(_xll.IMDP("IR", data!$B28, data!T$8, $D$6)=0,"",_xll.IMDP("IR", data!$B28, data!T$8, $D$6)),
IF(_xll.IMDP("IR", data!$C28, data!T$8, $D$6)=0,"",_xll.IMDP("IR", data!$C28, data!T$8, $D$6)), data!T28 ), "")</f>
        <v>3.3039999999999998</v>
      </c>
      <c r="M27" s="33" cm="1">
        <f t="array" aca="1" ref="M27" ca="1">IFERROR( CHOOSE( data!$B$7,
IF(_xll.IMDP("IR", data!$B28, data!U$8, $D$6)=0,"",_xll.IMDP("IR", data!$B28, data!U$8, $D$6)),
IF(_xll.IMDP("IR", data!$C28, data!U$8, $D$6)=0,"",_xll.IMDP("IR", data!$C28, data!U$8, $D$6)), data!U28 ), "")</f>
        <v>3.2879999999999998</v>
      </c>
      <c r="N27" s="33" cm="1">
        <f t="array" aca="1" ref="N27" ca="1">IFERROR( CHOOSE( data!$B$7,
IF(_xll.IMDP("IR", data!$B28, data!V$8, $D$6)=0,"",_xll.IMDP("IR", data!$B28, data!V$8, $D$6)),
IF(_xll.IMDP("IR", data!$C28, data!V$8, $D$6)=0,"",_xll.IMDP("IR", data!$C28, data!V$8, $D$6)), data!V28 ), "")</f>
        <v>3.3159999999999998</v>
      </c>
      <c r="O27" s="33" cm="1">
        <f t="array" aca="1" ref="O27" ca="1">IFERROR( CHOOSE( data!$B$7,
IF(_xll.IMDP("IR", data!$B28, data!W$8, $D$6)=0,"",_xll.IMDP("IR", data!$B28, data!W$8, $D$6)),
IF(_xll.IMDP("IR", data!$C28, data!W$8, $D$6)=0,"",_xll.IMDP("IR", data!$C28, data!W$8, $D$6)), data!W28 ), "")</f>
        <v>3.4390000000000001</v>
      </c>
      <c r="P27" s="33" cm="1">
        <f t="array" aca="1" ref="P27" ca="1">IFERROR( CHOOSE( data!$B$7,
IF(_xll.IMDP("IR", data!$B28, data!X$8, $D$6)=0,"",_xll.IMDP("IR", data!$B28, data!X$8, $D$6)),
IF(_xll.IMDP("IR", data!$C28, data!X$8, $D$6)=0,"",_xll.IMDP("IR", data!$C28, data!X$8, $D$6)), data!X28 ), "")</f>
        <v>3.6589999999999998</v>
      </c>
      <c r="Q27" s="33" cm="1">
        <f t="array" aca="1" ref="Q27" ca="1">IFERROR( CHOOSE( data!$B$7,
IF(_xll.IMDP("IR", data!$B28, data!Y$8, $D$6)=0,"",_xll.IMDP("IR", data!$B28, data!Y$8, $D$6)),
IF(_xll.IMDP("IR", data!$C28, data!Y$8, $D$6)=0,"",_xll.IMDP("IR", data!$C28, data!Y$8, $D$6)), data!Y28 ), "")</f>
        <v>3.8380000000000001</v>
      </c>
      <c r="R27" s="33" cm="1">
        <f t="array" aca="1" ref="R27" ca="1">IFERROR( CHOOSE( data!$B$7,
IF(_xll.IMDP("IR", data!$B28, data!Z$8, $D$6)=0,"",_xll.IMDP("IR", data!$B28, data!Z$8, $D$6)),
IF(_xll.IMDP("IR", data!$C28, data!Z$8, $D$6)=0,"",_xll.IMDP("IR", data!$C28, data!Z$8, $D$6)), data!Z28 ), "")</f>
        <v>3.9460000000000002</v>
      </c>
      <c r="S27" s="33" t="str" cm="1">
        <f t="array" aca="1" ref="S27" ca="1">IFERROR( CHOOSE( data!$B$7,
IF(_xll.IMDP("IR", data!$B28, data!AA$8, $D$6)=0,"",_xll.IMDP("IR", data!$B28, data!AA$8, $D$6)),
IF(_xll.IMDP("IR", data!$C28, data!AA$8, $D$6)=0,"",_xll.IMDP("IR", data!$C28, data!AA$8, $D$6)), data!AA28 ), "")</f>
        <v/>
      </c>
      <c r="T27" s="34" t="str" cm="1">
        <f t="array" aca="1" ref="T27" ca="1">IFERROR( CHOOSE( data!$B$7,
IF(_xll.IMDP("IR", data!$B28, data!AB$8, $D$6)=0,"",_xll.IMDP("IR", data!$B28, data!AB$8, $D$6)),
IF(_xll.IMDP("IR", data!$C28, data!AB$8, $D$6)=0,"",_xll.IMDP("IR", data!$C28, data!AB$8, $D$6)), data!AB28 ), "")</f>
        <v/>
      </c>
    </row>
    <row r="28" spans="2:20" s="4" customFormat="1" ht="12">
      <c r="B28" s="12"/>
      <c r="C28" s="67"/>
      <c r="D28" s="16" t="s">
        <v>29</v>
      </c>
      <c r="E28" s="32" cm="1">
        <f t="array" aca="1" ref="E28" ca="1">IFERROR( CHOOSE( data!$B$7,
IF(_xll.IMDP("IR", data!$B29, data!M$8, $D$6)=0,"",_xll.IMDP("IR", data!$B29, data!M$8, $D$6)),
IF(_xll.IMDP("IR", data!$C29, data!M$8, $D$6)=0,"",_xll.IMDP("IR", data!$C29, data!M$8, $D$6)), data!M29 ), "")</f>
        <v>3.625</v>
      </c>
      <c r="F28" s="33" cm="1">
        <f t="array" aca="1" ref="F28" ca="1">IFERROR( CHOOSE( data!$B$7,
IF(_xll.IMDP("IR", data!$B29, data!N$8, $D$6)=0,"",_xll.IMDP("IR", data!$B29, data!N$8, $D$6)),
IF(_xll.IMDP("IR", data!$C29, data!N$8, $D$6)=0,"",_xll.IMDP("IR", data!$C29, data!N$8, $D$6)), data!N29 ), "")</f>
        <v>3.6179999999999999</v>
      </c>
      <c r="G28" s="33" cm="1">
        <f t="array" aca="1" ref="G28" ca="1">IFERROR( CHOOSE( data!$B$7,
IF(_xll.IMDP("IR", data!$B29, data!O$8, $D$6)=0,"",_xll.IMDP("IR", data!$B29, data!O$8, $D$6)),
IF(_xll.IMDP("IR", data!$C29, data!O$8, $D$6)=0,"",_xll.IMDP("IR", data!$C29, data!O$8, $D$6)), data!O29 ), "")</f>
        <v>3.5649999999999999</v>
      </c>
      <c r="H28" s="33" cm="1">
        <f t="array" aca="1" ref="H28" ca="1">IFERROR( CHOOSE( data!$B$7,
IF(_xll.IMDP("IR", data!$B29, data!P$8, $D$6)=0,"",_xll.IMDP("IR", data!$B29, data!P$8, $D$6)),
IF(_xll.IMDP("IR", data!$C29, data!P$8, $D$6)=0,"",_xll.IMDP("IR", data!$C29, data!P$8, $D$6)), data!P29 ), "")</f>
        <v>3.5579999999999998</v>
      </c>
      <c r="I28" s="33" cm="1">
        <f t="array" aca="1" ref="I28" ca="1">IFERROR( CHOOSE( data!$B$7,
IF(_xll.IMDP("IR", data!$B29, data!Q$8, $D$6)=0,"",_xll.IMDP("IR", data!$B29, data!Q$8, $D$6)),
IF(_xll.IMDP("IR", data!$C29, data!Q$8, $D$6)=0,"",_xll.IMDP("IR", data!$C29, data!Q$8, $D$6)), data!Q29 ), "")</f>
        <v>3.552</v>
      </c>
      <c r="J28" s="33" cm="1">
        <f t="array" aca="1" ref="J28" ca="1">IFERROR( CHOOSE( data!$B$7,
IF(_xll.IMDP("IR", data!$B29, data!R$8, $D$6)=0,"",_xll.IMDP("IR", data!$B29, data!R$8, $D$6)),
IF(_xll.IMDP("IR", data!$C29, data!R$8, $D$6)=0,"",_xll.IMDP("IR", data!$C29, data!R$8, $D$6)), data!R29 ), "")</f>
        <v>3.548</v>
      </c>
      <c r="K28" s="33" cm="1">
        <f t="array" aca="1" ref="K28" ca="1">IFERROR( CHOOSE( data!$B$7,
IF(_xll.IMDP("IR", data!$B29, data!S$8, $D$6)=0,"",_xll.IMDP("IR", data!$B29, data!S$8, $D$6)),
IF(_xll.IMDP("IR", data!$C29, data!S$8, $D$6)=0,"",_xll.IMDP("IR", data!$C29, data!S$8, $D$6)), data!S29 ), "")</f>
        <v>3.5550000000000002</v>
      </c>
      <c r="L28" s="33" cm="1">
        <f t="array" aca="1" ref="L28" ca="1">IFERROR( CHOOSE( data!$B$7,
IF(_xll.IMDP("IR", data!$B29, data!T$8, $D$6)=0,"",_xll.IMDP("IR", data!$B29, data!T$8, $D$6)),
IF(_xll.IMDP("IR", data!$C29, data!T$8, $D$6)=0,"",_xll.IMDP("IR", data!$C29, data!T$8, $D$6)), data!T29 ), "")</f>
        <v>3.5529999999999999</v>
      </c>
      <c r="M28" s="33" cm="1">
        <f t="array" aca="1" ref="M28" ca="1">IFERROR( CHOOSE( data!$B$7,
IF(_xll.IMDP("IR", data!$B29, data!U$8, $D$6)=0,"",_xll.IMDP("IR", data!$B29, data!U$8, $D$6)),
IF(_xll.IMDP("IR", data!$C29, data!U$8, $D$6)=0,"",_xll.IMDP("IR", data!$C29, data!U$8, $D$6)), data!U29 ), "")</f>
        <v>3.5529999999999999</v>
      </c>
      <c r="N28" s="33" cm="1">
        <f t="array" aca="1" ref="N28" ca="1">IFERROR( CHOOSE( data!$B$7,
IF(_xll.IMDP("IR", data!$B29, data!V$8, $D$6)=0,"",_xll.IMDP("IR", data!$B29, data!V$8, $D$6)),
IF(_xll.IMDP("IR", data!$C29, data!V$8, $D$6)=0,"",_xll.IMDP("IR", data!$C29, data!V$8, $D$6)), data!V29 ), "")</f>
        <v>3.5870000000000002</v>
      </c>
      <c r="O28" s="33" cm="1">
        <f t="array" aca="1" ref="O28" ca="1">IFERROR( CHOOSE( data!$B$7,
IF(_xll.IMDP("IR", data!$B29, data!W$8, $D$6)=0,"",_xll.IMDP("IR", data!$B29, data!W$8, $D$6)),
IF(_xll.IMDP("IR", data!$C29, data!W$8, $D$6)=0,"",_xll.IMDP("IR", data!$C29, data!W$8, $D$6)), data!W29 ), "")</f>
        <v>3.7389999999999999</v>
      </c>
      <c r="P28" s="33" cm="1">
        <f t="array" aca="1" ref="P28" ca="1">IFERROR( CHOOSE( data!$B$7,
IF(_xll.IMDP("IR", data!$B29, data!X$8, $D$6)=0,"",_xll.IMDP("IR", data!$B29, data!X$8, $D$6)),
IF(_xll.IMDP("IR", data!$C29, data!X$8, $D$6)=0,"",_xll.IMDP("IR", data!$C29, data!X$8, $D$6)), data!X29 ), "")</f>
        <v>4.0030000000000001</v>
      </c>
      <c r="Q28" s="33" cm="1">
        <f t="array" aca="1" ref="Q28" ca="1">IFERROR( CHOOSE( data!$B$7,
IF(_xll.IMDP("IR", data!$B29, data!Y$8, $D$6)=0,"",_xll.IMDP("IR", data!$B29, data!Y$8, $D$6)),
IF(_xll.IMDP("IR", data!$C29, data!Y$8, $D$6)=0,"",_xll.IMDP("IR", data!$C29, data!Y$8, $D$6)), data!Y29 ), "")</f>
        <v>4.1820000000000004</v>
      </c>
      <c r="R28" s="33" cm="1">
        <f t="array" aca="1" ref="R28" ca="1">IFERROR( CHOOSE( data!$B$7,
IF(_xll.IMDP("IR", data!$B29, data!Z$8, $D$6)=0,"",_xll.IMDP("IR", data!$B29, data!Z$8, $D$6)),
IF(_xll.IMDP("IR", data!$C29, data!Z$8, $D$6)=0,"",_xll.IMDP("IR", data!$C29, data!Z$8, $D$6)), data!Z29 ), "")</f>
        <v>4.3029999999999999</v>
      </c>
      <c r="S28" s="33" t="str" cm="1">
        <f t="array" aca="1" ref="S28" ca="1">IFERROR( CHOOSE( data!$B$7,
IF(_xll.IMDP("IR", data!$B29, data!AA$8, $D$6)=0,"",_xll.IMDP("IR", data!$B29, data!AA$8, $D$6)),
IF(_xll.IMDP("IR", data!$C29, data!AA$8, $D$6)=0,"",_xll.IMDP("IR", data!$C29, data!AA$8, $D$6)), data!AA29 ), "")</f>
        <v/>
      </c>
      <c r="T28" s="34" t="str" cm="1">
        <f t="array" aca="1" ref="T28" ca="1">IFERROR( CHOOSE( data!$B$7,
IF(_xll.IMDP("IR", data!$B29, data!AB$8, $D$6)=0,"",_xll.IMDP("IR", data!$B29, data!AB$8, $D$6)),
IF(_xll.IMDP("IR", data!$C29, data!AB$8, $D$6)=0,"",_xll.IMDP("IR", data!$C29, data!AB$8, $D$6)), data!AB29 ), "")</f>
        <v/>
      </c>
    </row>
    <row r="29" spans="2:20" s="4" customFormat="1" ht="12">
      <c r="B29" s="12"/>
      <c r="C29" s="67"/>
      <c r="D29" s="16" t="s">
        <v>30</v>
      </c>
      <c r="E29" s="32" cm="1">
        <f t="array" aca="1" ref="E29" ca="1">IFERROR( CHOOSE( data!$B$7,
IF(_xll.IMDP("IR", data!$B30, data!M$8, $D$6)=0,"",_xll.IMDP("IR", data!$B30, data!M$8, $D$6)),
IF(_xll.IMDP("IR", data!$C30, data!M$8, $D$6)=0,"",_xll.IMDP("IR", data!$C30, data!M$8, $D$6)), data!M30 ), "")</f>
        <v>3.7559999999999998</v>
      </c>
      <c r="F29" s="33" cm="1">
        <f t="array" aca="1" ref="F29" ca="1">IFERROR( CHOOSE( data!$B$7,
IF(_xll.IMDP("IR", data!$B30, data!N$8, $D$6)=0,"",_xll.IMDP("IR", data!$B30, data!N$8, $D$6)),
IF(_xll.IMDP("IR", data!$C30, data!N$8, $D$6)=0,"",_xll.IMDP("IR", data!$C30, data!N$8, $D$6)), data!N30 ), "")</f>
        <v>3.8330000000000002</v>
      </c>
      <c r="G29" s="33" cm="1">
        <f t="array" aca="1" ref="G29" ca="1">IFERROR( CHOOSE( data!$B$7,
IF(_xll.IMDP("IR", data!$B30, data!O$8, $D$6)=0,"",_xll.IMDP("IR", data!$B30, data!O$8, $D$6)),
IF(_xll.IMDP("IR", data!$C30, data!O$8, $D$6)=0,"",_xll.IMDP("IR", data!$C30, data!O$8, $D$6)), data!O30 ), "")</f>
        <v>3.8149999999999999</v>
      </c>
      <c r="H29" s="33" cm="1">
        <f t="array" aca="1" ref="H29" ca="1">IFERROR( CHOOSE( data!$B$7,
IF(_xll.IMDP("IR", data!$B30, data!P$8, $D$6)=0,"",_xll.IMDP("IR", data!$B30, data!P$8, $D$6)),
IF(_xll.IMDP("IR", data!$C30, data!P$8, $D$6)=0,"",_xll.IMDP("IR", data!$C30, data!P$8, $D$6)), data!P30 ), "")</f>
        <v>3.8180000000000001</v>
      </c>
      <c r="I29" s="33" cm="1">
        <f t="array" aca="1" ref="I29" ca="1">IFERROR( CHOOSE( data!$B$7,
IF(_xll.IMDP("IR", data!$B30, data!Q$8, $D$6)=0,"",_xll.IMDP("IR", data!$B30, data!Q$8, $D$6)),
IF(_xll.IMDP("IR", data!$C30, data!Q$8, $D$6)=0,"",_xll.IMDP("IR", data!$C30, data!Q$8, $D$6)), data!Q30 ), "")</f>
        <v>3.81</v>
      </c>
      <c r="J29" s="33" cm="1">
        <f t="array" aca="1" ref="J29" ca="1">IFERROR( CHOOSE( data!$B$7,
IF(_xll.IMDP("IR", data!$B30, data!R$8, $D$6)=0,"",_xll.IMDP("IR", data!$B30, data!R$8, $D$6)),
IF(_xll.IMDP("IR", data!$C30, data!R$8, $D$6)=0,"",_xll.IMDP("IR", data!$C30, data!R$8, $D$6)), data!R30 ), "")</f>
        <v>3.802</v>
      </c>
      <c r="K29" s="33" cm="1">
        <f t="array" aca="1" ref="K29" ca="1">IFERROR( CHOOSE( data!$B$7,
IF(_xll.IMDP("IR", data!$B30, data!S$8, $D$6)=0,"",_xll.IMDP("IR", data!$B30, data!S$8, $D$6)),
IF(_xll.IMDP("IR", data!$C30, data!S$8, $D$6)=0,"",_xll.IMDP("IR", data!$C30, data!S$8, $D$6)), data!S30 ), "")</f>
        <v>3.8</v>
      </c>
      <c r="L29" s="33" cm="1">
        <f t="array" aca="1" ref="L29" ca="1">IFERROR( CHOOSE( data!$B$7,
IF(_xll.IMDP("IR", data!$B30, data!T$8, $D$6)=0,"",_xll.IMDP("IR", data!$B30, data!T$8, $D$6)),
IF(_xll.IMDP("IR", data!$C30, data!T$8, $D$6)=0,"",_xll.IMDP("IR", data!$C30, data!T$8, $D$6)), data!T30 ), "")</f>
        <v>3.7970000000000002</v>
      </c>
      <c r="M29" s="33" cm="1">
        <f t="array" aca="1" ref="M29" ca="1">IFERROR( CHOOSE( data!$B$7,
IF(_xll.IMDP("IR", data!$B30, data!U$8, $D$6)=0,"",_xll.IMDP("IR", data!$B30, data!U$8, $D$6)),
IF(_xll.IMDP("IR", data!$C30, data!U$8, $D$6)=0,"",_xll.IMDP("IR", data!$C30, data!U$8, $D$6)), data!U30 ), "")</f>
        <v>3.7879999999999998</v>
      </c>
      <c r="N29" s="33" cm="1">
        <f t="array" aca="1" ref="N29" ca="1">IFERROR( CHOOSE( data!$B$7,
IF(_xll.IMDP("IR", data!$B30, data!V$8, $D$6)=0,"",_xll.IMDP("IR", data!$B30, data!V$8, $D$6)),
IF(_xll.IMDP("IR", data!$C30, data!V$8, $D$6)=0,"",_xll.IMDP("IR", data!$C30, data!V$8, $D$6)), data!V30 ), "")</f>
        <v>3.8239999999999998</v>
      </c>
      <c r="O29" s="33" cm="1">
        <f t="array" aca="1" ref="O29" ca="1">IFERROR( CHOOSE( data!$B$7,
IF(_xll.IMDP("IR", data!$B30, data!W$8, $D$6)=0,"",_xll.IMDP("IR", data!$B30, data!W$8, $D$6)),
IF(_xll.IMDP("IR", data!$C30, data!W$8, $D$6)=0,"",_xll.IMDP("IR", data!$C30, data!W$8, $D$6)), data!W30 ), "")</f>
        <v>3.988</v>
      </c>
      <c r="P29" s="33" cm="1">
        <f t="array" aca="1" ref="P29" ca="1">IFERROR( CHOOSE( data!$B$7,
IF(_xll.IMDP("IR", data!$B30, data!X$8, $D$6)=0,"",_xll.IMDP("IR", data!$B30, data!X$8, $D$6)),
IF(_xll.IMDP("IR", data!$C30, data!X$8, $D$6)=0,"",_xll.IMDP("IR", data!$C30, data!X$8, $D$6)), data!X30 ), "")</f>
        <v>4.2889999999999997</v>
      </c>
      <c r="Q29" s="33" cm="1">
        <f t="array" aca="1" ref="Q29" ca="1">IFERROR( CHOOSE( data!$B$7,
IF(_xll.IMDP("IR", data!$B30, data!Y$8, $D$6)=0,"",_xll.IMDP("IR", data!$B30, data!Y$8, $D$6)),
IF(_xll.IMDP("IR", data!$C30, data!Y$8, $D$6)=0,"",_xll.IMDP("IR", data!$C30, data!Y$8, $D$6)), data!Y30 ), "")</f>
        <v>4.431</v>
      </c>
      <c r="R29" s="33" cm="1">
        <f t="array" aca="1" ref="R29" ca="1">IFERROR( CHOOSE( data!$B$7,
IF(_xll.IMDP("IR", data!$B30, data!Z$8, $D$6)=0,"",_xll.IMDP("IR", data!$B30, data!Z$8, $D$6)),
IF(_xll.IMDP("IR", data!$C30, data!Z$8, $D$6)=0,"",_xll.IMDP("IR", data!$C30, data!Z$8, $D$6)), data!Z30 ), "")</f>
        <v>4.53</v>
      </c>
      <c r="S29" s="33" t="str" cm="1">
        <f t="array" aca="1" ref="S29" ca="1">IFERROR( CHOOSE( data!$B$7,
IF(_xll.IMDP("IR", data!$B30, data!AA$8, $D$6)=0,"",_xll.IMDP("IR", data!$B30, data!AA$8, $D$6)),
IF(_xll.IMDP("IR", data!$C30, data!AA$8, $D$6)=0,"",_xll.IMDP("IR", data!$C30, data!AA$8, $D$6)), data!AA30 ), "")</f>
        <v/>
      </c>
      <c r="T29" s="34" t="str" cm="1">
        <f t="array" aca="1" ref="T29" ca="1">IFERROR( CHOOSE( data!$B$7,
IF(_xll.IMDP("IR", data!$B30, data!AB$8, $D$6)=0,"",_xll.IMDP("IR", data!$B30, data!AB$8, $D$6)),
IF(_xll.IMDP("IR", data!$C30, data!AB$8, $D$6)=0,"",_xll.IMDP("IR", data!$C30, data!AB$8, $D$6)), data!AB30 ), "")</f>
        <v/>
      </c>
    </row>
    <row r="30" spans="2:20" s="4" customFormat="1" ht="12">
      <c r="B30" s="12"/>
      <c r="C30" s="67"/>
      <c r="D30" s="16" t="s">
        <v>40</v>
      </c>
      <c r="E30" s="32" cm="1">
        <f t="array" aca="1" ref="E30" ca="1">IFERROR( CHOOSE( data!$B$7,
IF(_xll.IMDP("IR", data!$B31, data!M$8, $D$6)=0,"",_xll.IMDP("IR", data!$B31, data!M$8, $D$6)),
IF(_xll.IMDP("IR", data!$C31, data!M$8, $D$6)=0,"",_xll.IMDP("IR", data!$C31, data!M$8, $D$6)), data!M31 ), "")</f>
        <v>3.8650000000000002</v>
      </c>
      <c r="F30" s="33" cm="1">
        <f t="array" aca="1" ref="F30" ca="1">IFERROR( CHOOSE( data!$B$7,
IF(_xll.IMDP("IR", data!$B31, data!N$8, $D$6)=0,"",_xll.IMDP("IR", data!$B31, data!N$8, $D$6)),
IF(_xll.IMDP("IR", data!$C31, data!N$8, $D$6)=0,"",_xll.IMDP("IR", data!$C31, data!N$8, $D$6)), data!N31 ), "")</f>
        <v>3.9220000000000002</v>
      </c>
      <c r="G30" s="33" cm="1">
        <f t="array" aca="1" ref="G30" ca="1">IFERROR( CHOOSE( data!$B$7,
IF(_xll.IMDP("IR", data!$B31, data!O$8, $D$6)=0,"",_xll.IMDP("IR", data!$B31, data!O$8, $D$6)),
IF(_xll.IMDP("IR", data!$C31, data!O$8, $D$6)=0,"",_xll.IMDP("IR", data!$C31, data!O$8, $D$6)), data!O31 ), "")</f>
        <v>3.9020000000000001</v>
      </c>
      <c r="H30" s="33" cm="1">
        <f t="array" aca="1" ref="H30" ca="1">IFERROR( CHOOSE( data!$B$7,
IF(_xll.IMDP("IR", data!$B31, data!P$8, $D$6)=0,"",_xll.IMDP("IR", data!$B31, data!P$8, $D$6)),
IF(_xll.IMDP("IR", data!$C31, data!P$8, $D$6)=0,"",_xll.IMDP("IR", data!$C31, data!P$8, $D$6)), data!P31 ), "")</f>
        <v>3.9119999999999999</v>
      </c>
      <c r="I30" s="33" cm="1">
        <f t="array" aca="1" ref="I30" ca="1">IFERROR( CHOOSE( data!$B$7,
IF(_xll.IMDP("IR", data!$B31, data!Q$8, $D$6)=0,"",_xll.IMDP("IR", data!$B31, data!Q$8, $D$6)),
IF(_xll.IMDP("IR", data!$C31, data!Q$8, $D$6)=0,"",_xll.IMDP("IR", data!$C31, data!Q$8, $D$6)), data!Q31 ), "")</f>
        <v>3.919</v>
      </c>
      <c r="J30" s="33" cm="1">
        <f t="array" aca="1" ref="J30" ca="1">IFERROR( CHOOSE( data!$B$7,
IF(_xll.IMDP("IR", data!$B31, data!R$8, $D$6)=0,"",_xll.IMDP("IR", data!$B31, data!R$8, $D$6)),
IF(_xll.IMDP("IR", data!$C31, data!R$8, $D$6)=0,"",_xll.IMDP("IR", data!$C31, data!R$8, $D$6)), data!R31 ), "")</f>
        <v>3.9169999999999998</v>
      </c>
      <c r="K30" s="33" cm="1">
        <f t="array" aca="1" ref="K30" ca="1">IFERROR( CHOOSE( data!$B$7,
IF(_xll.IMDP("IR", data!$B31, data!S$8, $D$6)=0,"",_xll.IMDP("IR", data!$B31, data!S$8, $D$6)),
IF(_xll.IMDP("IR", data!$C31, data!S$8, $D$6)=0,"",_xll.IMDP("IR", data!$C31, data!S$8, $D$6)), data!S31 ), "")</f>
        <v>3.92</v>
      </c>
      <c r="L30" s="33" cm="1">
        <f t="array" aca="1" ref="L30" ca="1">IFERROR( CHOOSE( data!$B$7,
IF(_xll.IMDP("IR", data!$B31, data!T$8, $D$6)=0,"",_xll.IMDP("IR", data!$B31, data!T$8, $D$6)),
IF(_xll.IMDP("IR", data!$C31, data!T$8, $D$6)=0,"",_xll.IMDP("IR", data!$C31, data!T$8, $D$6)), data!T31 ), "")</f>
        <v>3.9209999999999998</v>
      </c>
      <c r="M30" s="33" cm="1">
        <f t="array" aca="1" ref="M30" ca="1">IFERROR( CHOOSE( data!$B$7,
IF(_xll.IMDP("IR", data!$B31, data!U$8, $D$6)=0,"",_xll.IMDP("IR", data!$B31, data!U$8, $D$6)),
IF(_xll.IMDP("IR", data!$C31, data!U$8, $D$6)=0,"",_xll.IMDP("IR", data!$C31, data!U$8, $D$6)), data!U31 ), "")</f>
        <v>3.9239999999999999</v>
      </c>
      <c r="N30" s="33" cm="1">
        <f t="array" aca="1" ref="N30" ca="1">IFERROR( CHOOSE( data!$B$7,
IF(_xll.IMDP("IR", data!$B31, data!V$8, $D$6)=0,"",_xll.IMDP("IR", data!$B31, data!V$8, $D$6)),
IF(_xll.IMDP("IR", data!$C31, data!V$8, $D$6)=0,"",_xll.IMDP("IR", data!$C31, data!V$8, $D$6)), data!V31 ), "")</f>
        <v>3.9609999999999999</v>
      </c>
      <c r="O30" s="33" cm="1">
        <f t="array" aca="1" ref="O30" ca="1">IFERROR( CHOOSE( data!$B$7,
IF(_xll.IMDP("IR", data!$B31, data!W$8, $D$6)=0,"",_xll.IMDP("IR", data!$B31, data!W$8, $D$6)),
IF(_xll.IMDP("IR", data!$C31, data!W$8, $D$6)=0,"",_xll.IMDP("IR", data!$C31, data!W$8, $D$6)), data!W31 ), "")</f>
        <v>4.1479999999999997</v>
      </c>
      <c r="P30" s="33" cm="1">
        <f t="array" aca="1" ref="P30" ca="1">IFERROR( CHOOSE( data!$B$7,
IF(_xll.IMDP("IR", data!$B31, data!X$8, $D$6)=0,"",_xll.IMDP("IR", data!$B31, data!X$8, $D$6)),
IF(_xll.IMDP("IR", data!$C31, data!X$8, $D$6)=0,"",_xll.IMDP("IR", data!$C31, data!X$8, $D$6)), data!X31 ), "")</f>
        <v>4.4859999999999998</v>
      </c>
      <c r="Q30" s="33" cm="1">
        <f t="array" aca="1" ref="Q30" ca="1">IFERROR( CHOOSE( data!$B$7,
IF(_xll.IMDP("IR", data!$B31, data!Y$8, $D$6)=0,"",_xll.IMDP("IR", data!$B31, data!Y$8, $D$6)),
IF(_xll.IMDP("IR", data!$C31, data!Y$8, $D$6)=0,"",_xll.IMDP("IR", data!$C31, data!Y$8, $D$6)), data!Y31 ), "")</f>
        <v>4.6349999999999998</v>
      </c>
      <c r="R30" s="33" cm="1">
        <f t="array" aca="1" ref="R30" ca="1">IFERROR( CHOOSE( data!$B$7,
IF(_xll.IMDP("IR", data!$B31, data!Z$8, $D$6)=0,"",_xll.IMDP("IR", data!$B31, data!Z$8, $D$6)),
IF(_xll.IMDP("IR", data!$C31, data!Z$8, $D$6)=0,"",_xll.IMDP("IR", data!$C31, data!Z$8, $D$6)), data!Z31 ), "")</f>
        <v>4.7389999999999999</v>
      </c>
      <c r="S30" s="33" t="str" cm="1">
        <f t="array" aca="1" ref="S30" ca="1">IFERROR( CHOOSE( data!$B$7,
IF(_xll.IMDP("IR", data!$B31, data!AA$8, $D$6)=0,"",_xll.IMDP("IR", data!$B31, data!AA$8, $D$6)),
IF(_xll.IMDP("IR", data!$C31, data!AA$8, $D$6)=0,"",_xll.IMDP("IR", data!$C31, data!AA$8, $D$6)), data!AA31 ), "")</f>
        <v/>
      </c>
      <c r="T30" s="34" t="str" cm="1">
        <f t="array" aca="1" ref="T30" ca="1">IFERROR( CHOOSE( data!$B$7,
IF(_xll.IMDP("IR", data!$B31, data!AB$8, $D$6)=0,"",_xll.IMDP("IR", data!$B31, data!AB$8, $D$6)),
IF(_xll.IMDP("IR", data!$C31, data!AB$8, $D$6)=0,"",_xll.IMDP("IR", data!$C31, data!AB$8, $D$6)), data!AB31 ), "")</f>
        <v/>
      </c>
    </row>
    <row r="31" spans="2:20" s="4" customFormat="1" ht="12">
      <c r="B31" s="12"/>
      <c r="C31" s="67"/>
      <c r="D31" s="16" t="s">
        <v>41</v>
      </c>
      <c r="E31" s="32" cm="1">
        <f t="array" aca="1" ref="E31" ca="1">IFERROR( CHOOSE( data!$B$7,
IF(_xll.IMDP("IR", data!$B32, data!M$8, $D$6)=0,"",_xll.IMDP("IR", data!$B32, data!M$8, $D$6)),
IF(_xll.IMDP("IR", data!$C32, data!M$8, $D$6)=0,"",_xll.IMDP("IR", data!$C32, data!M$8, $D$6)), data!M32 ), "")</f>
        <v>3.956</v>
      </c>
      <c r="F31" s="33" cm="1">
        <f t="array" aca="1" ref="F31" ca="1">IFERROR( CHOOSE( data!$B$7,
IF(_xll.IMDP("IR", data!$B32, data!N$8, $D$6)=0,"",_xll.IMDP("IR", data!$B32, data!N$8, $D$6)),
IF(_xll.IMDP("IR", data!$C32, data!N$8, $D$6)=0,"",_xll.IMDP("IR", data!$C32, data!N$8, $D$6)), data!N32 ), "")</f>
        <v>3.9969999999999999</v>
      </c>
      <c r="G31" s="33" cm="1">
        <f t="array" aca="1" ref="G31" ca="1">IFERROR( CHOOSE( data!$B$7,
IF(_xll.IMDP("IR", data!$B32, data!O$8, $D$6)=0,"",_xll.IMDP("IR", data!$B32, data!O$8, $D$6)),
IF(_xll.IMDP("IR", data!$C32, data!O$8, $D$6)=0,"",_xll.IMDP("IR", data!$C32, data!O$8, $D$6)), data!O32 ), "")</f>
        <v>3.9860000000000002</v>
      </c>
      <c r="H31" s="33" cm="1">
        <f t="array" aca="1" ref="H31" ca="1">IFERROR( CHOOSE( data!$B$7,
IF(_xll.IMDP("IR", data!$B32, data!P$8, $D$6)=0,"",_xll.IMDP("IR", data!$B32, data!P$8, $D$6)),
IF(_xll.IMDP("IR", data!$C32, data!P$8, $D$6)=0,"",_xll.IMDP("IR", data!$C32, data!P$8, $D$6)), data!P32 ), "")</f>
        <v>4.0030000000000001</v>
      </c>
      <c r="I31" s="33" cm="1">
        <f t="array" aca="1" ref="I31" ca="1">IFERROR( CHOOSE( data!$B$7,
IF(_xll.IMDP("IR", data!$B32, data!Q$8, $D$6)=0,"",_xll.IMDP("IR", data!$B32, data!Q$8, $D$6)),
IF(_xll.IMDP("IR", data!$C32, data!Q$8, $D$6)=0,"",_xll.IMDP("IR", data!$C32, data!Q$8, $D$6)), data!Q32 ), "")</f>
        <v>4.01</v>
      </c>
      <c r="J31" s="33" cm="1">
        <f t="array" aca="1" ref="J31" ca="1">IFERROR( CHOOSE( data!$B$7,
IF(_xll.IMDP("IR", data!$B32, data!R$8, $D$6)=0,"",_xll.IMDP("IR", data!$B32, data!R$8, $D$6)),
IF(_xll.IMDP("IR", data!$C32, data!R$8, $D$6)=0,"",_xll.IMDP("IR", data!$C32, data!R$8, $D$6)), data!R32 ), "")</f>
        <v>4.0149999999999997</v>
      </c>
      <c r="K31" s="33" cm="1">
        <f t="array" aca="1" ref="K31" ca="1">IFERROR( CHOOSE( data!$B$7,
IF(_xll.IMDP("IR", data!$B32, data!S$8, $D$6)=0,"",_xll.IMDP("IR", data!$B32, data!S$8, $D$6)),
IF(_xll.IMDP("IR", data!$C32, data!S$8, $D$6)=0,"",_xll.IMDP("IR", data!$C32, data!S$8, $D$6)), data!S32 ), "")</f>
        <v>4.0190000000000001</v>
      </c>
      <c r="L31" s="33" cm="1">
        <f t="array" aca="1" ref="L31" ca="1">IFERROR( CHOOSE( data!$B$7,
IF(_xll.IMDP("IR", data!$B32, data!T$8, $D$6)=0,"",_xll.IMDP("IR", data!$B32, data!T$8, $D$6)),
IF(_xll.IMDP("IR", data!$C32, data!T$8, $D$6)=0,"",_xll.IMDP("IR", data!$C32, data!T$8, $D$6)), data!T32 ), "")</f>
        <v>4.024</v>
      </c>
      <c r="M31" s="33" cm="1">
        <f t="array" aca="1" ref="M31" ca="1">IFERROR( CHOOSE( data!$B$7,
IF(_xll.IMDP("IR", data!$B32, data!U$8, $D$6)=0,"",_xll.IMDP("IR", data!$B32, data!U$8, $D$6)),
IF(_xll.IMDP("IR", data!$C32, data!U$8, $D$6)=0,"",_xll.IMDP("IR", data!$C32, data!U$8, $D$6)), data!U32 ), "")</f>
        <v>4.0279999999999996</v>
      </c>
      <c r="N31" s="33" cm="1">
        <f t="array" aca="1" ref="N31" ca="1">IFERROR( CHOOSE( data!$B$7,
IF(_xll.IMDP("IR", data!$B32, data!V$8, $D$6)=0,"",_xll.IMDP("IR", data!$B32, data!V$8, $D$6)),
IF(_xll.IMDP("IR", data!$C32, data!V$8, $D$6)=0,"",_xll.IMDP("IR", data!$C32, data!V$8, $D$6)), data!V32 ), "")</f>
        <v>4.0819999999999999</v>
      </c>
      <c r="O31" s="33" cm="1">
        <f t="array" aca="1" ref="O31" ca="1">IFERROR( CHOOSE( data!$B$7,
IF(_xll.IMDP("IR", data!$B32, data!W$8, $D$6)=0,"",_xll.IMDP("IR", data!$B32, data!W$8, $D$6)),
IF(_xll.IMDP("IR", data!$C32, data!W$8, $D$6)=0,"",_xll.IMDP("IR", data!$C32, data!W$8, $D$6)), data!W32 ), "")</f>
        <v>4.2789999999999999</v>
      </c>
      <c r="P31" s="33" cm="1">
        <f t="array" aca="1" ref="P31" ca="1">IFERROR( CHOOSE( data!$B$7,
IF(_xll.IMDP("IR", data!$B32, data!X$8, $D$6)=0,"",_xll.IMDP("IR", data!$B32, data!X$8, $D$6)),
IF(_xll.IMDP("IR", data!$C32, data!X$8, $D$6)=0,"",_xll.IMDP("IR", data!$C32, data!X$8, $D$6)), data!X32 ), "")</f>
        <v>4.6500000000000004</v>
      </c>
      <c r="Q31" s="33" cm="1">
        <f t="array" aca="1" ref="Q31" ca="1">IFERROR( CHOOSE( data!$B$7,
IF(_xll.IMDP("IR", data!$B32, data!Y$8, $D$6)=0,"",_xll.IMDP("IR", data!$B32, data!Y$8, $D$6)),
IF(_xll.IMDP("IR", data!$C32, data!Y$8, $D$6)=0,"",_xll.IMDP("IR", data!$C32, data!Y$8, $D$6)), data!Y32 ), "")</f>
        <v>4.7869999999999999</v>
      </c>
      <c r="R31" s="33" cm="1">
        <f t="array" aca="1" ref="R31" ca="1">IFERROR( CHOOSE( data!$B$7,
IF(_xll.IMDP("IR", data!$B32, data!Z$8, $D$6)=0,"",_xll.IMDP("IR", data!$B32, data!Z$8, $D$6)),
IF(_xll.IMDP("IR", data!$C32, data!Z$8, $D$6)=0,"",_xll.IMDP("IR", data!$C32, data!Z$8, $D$6)), data!Z32 ), "")</f>
        <v>4.9009999999999998</v>
      </c>
      <c r="S31" s="33" t="str" cm="1">
        <f t="array" aca="1" ref="S31" ca="1">IFERROR( CHOOSE( data!$B$7,
IF(_xll.IMDP("IR", data!$B32, data!AA$8, $D$6)=0,"",_xll.IMDP("IR", data!$B32, data!AA$8, $D$6)),
IF(_xll.IMDP("IR", data!$C32, data!AA$8, $D$6)=0,"",_xll.IMDP("IR", data!$C32, data!AA$8, $D$6)), data!AA32 ), "")</f>
        <v/>
      </c>
      <c r="T31" s="34" t="str" cm="1">
        <f t="array" aca="1" ref="T31" ca="1">IFERROR( CHOOSE( data!$B$7,
IF(_xll.IMDP("IR", data!$B32, data!AB$8, $D$6)=0,"",_xll.IMDP("IR", data!$B32, data!AB$8, $D$6)),
IF(_xll.IMDP("IR", data!$C32, data!AB$8, $D$6)=0,"",_xll.IMDP("IR", data!$C32, data!AB$8, $D$6)), data!AB32 ), "")</f>
        <v/>
      </c>
    </row>
    <row r="32" spans="2:20" s="4" customFormat="1" ht="12">
      <c r="B32" s="12"/>
      <c r="C32" s="67"/>
      <c r="D32" s="18" t="s">
        <v>42</v>
      </c>
      <c r="E32" s="38" cm="1">
        <f t="array" aca="1" ref="E32" ca="1">IFERROR( CHOOSE( data!$B$7,
IF(_xll.IMDP("IR", data!$B33, data!M$8, $D$6)=0,"",_xll.IMDP("IR", data!$B33, data!M$8, $D$6)),
IF(_xll.IMDP("IR", data!$C33, data!M$8, $D$6)=0,"",_xll.IMDP("IR", data!$C33, data!M$8, $D$6)), data!M33 ), "")</f>
        <v>4.0430000000000001</v>
      </c>
      <c r="F32" s="39" cm="1">
        <f t="array" aca="1" ref="F32" ca="1">IFERROR( CHOOSE( data!$B$7,
IF(_xll.IMDP("IR", data!$B33, data!N$8, $D$6)=0,"",_xll.IMDP("IR", data!$B33, data!N$8, $D$6)),
IF(_xll.IMDP("IR", data!$C33, data!N$8, $D$6)=0,"",_xll.IMDP("IR", data!$C33, data!N$8, $D$6)), data!N33 ), "")</f>
        <v>4.0860000000000003</v>
      </c>
      <c r="G32" s="39" cm="1">
        <f t="array" aca="1" ref="G32" ca="1">IFERROR( CHOOSE( data!$B$7,
IF(_xll.IMDP("IR", data!$B33, data!O$8, $D$6)=0,"",_xll.IMDP("IR", data!$B33, data!O$8, $D$6)),
IF(_xll.IMDP("IR", data!$C33, data!O$8, $D$6)=0,"",_xll.IMDP("IR", data!$C33, data!O$8, $D$6)), data!O33 ), "")</f>
        <v>4.0709999999999997</v>
      </c>
      <c r="H32" s="39" cm="1">
        <f t="array" aca="1" ref="H32" ca="1">IFERROR( CHOOSE( data!$B$7,
IF(_xll.IMDP("IR", data!$B33, data!P$8, $D$6)=0,"",_xll.IMDP("IR", data!$B33, data!P$8, $D$6)),
IF(_xll.IMDP("IR", data!$C33, data!P$8, $D$6)=0,"",_xll.IMDP("IR", data!$C33, data!P$8, $D$6)), data!P33 ), "")</f>
        <v>4.0970000000000004</v>
      </c>
      <c r="I32" s="39" cm="1">
        <f t="array" aca="1" ref="I32" ca="1">IFERROR( CHOOSE( data!$B$7,
IF(_xll.IMDP("IR", data!$B33, data!Q$8, $D$6)=0,"",_xll.IMDP("IR", data!$B33, data!Q$8, $D$6)),
IF(_xll.IMDP("IR", data!$C33, data!Q$8, $D$6)=0,"",_xll.IMDP("IR", data!$C33, data!Q$8, $D$6)), data!Q33 ), "")</f>
        <v>4.1020000000000003</v>
      </c>
      <c r="J32" s="39" cm="1">
        <f t="array" aca="1" ref="J32" ca="1">IFERROR( CHOOSE( data!$B$7,
IF(_xll.IMDP("IR", data!$B33, data!R$8, $D$6)=0,"",_xll.IMDP("IR", data!$B33, data!R$8, $D$6)),
IF(_xll.IMDP("IR", data!$C33, data!R$8, $D$6)=0,"",_xll.IMDP("IR", data!$C33, data!R$8, $D$6)), data!R33 ), "")</f>
        <v>4.1079999999999997</v>
      </c>
      <c r="K32" s="39" cm="1">
        <f t="array" aca="1" ref="K32" ca="1">IFERROR( CHOOSE( data!$B$7,
IF(_xll.IMDP("IR", data!$B33, data!S$8, $D$6)=0,"",_xll.IMDP("IR", data!$B33, data!S$8, $D$6)),
IF(_xll.IMDP("IR", data!$C33, data!S$8, $D$6)=0,"",_xll.IMDP("IR", data!$C33, data!S$8, $D$6)), data!S33 ), "")</f>
        <v>4.1150000000000002</v>
      </c>
      <c r="L32" s="39" cm="1">
        <f t="array" aca="1" ref="L32" ca="1">IFERROR( CHOOSE( data!$B$7,
IF(_xll.IMDP("IR", data!$B33, data!T$8, $D$6)=0,"",_xll.IMDP("IR", data!$B33, data!T$8, $D$6)),
IF(_xll.IMDP("IR", data!$C33, data!T$8, $D$6)=0,"",_xll.IMDP("IR", data!$C33, data!T$8, $D$6)), data!T33 ), "")</f>
        <v>4.1189999999999998</v>
      </c>
      <c r="M32" s="39" cm="1">
        <f t="array" aca="1" ref="M32" ca="1">IFERROR( CHOOSE( data!$B$7,
IF(_xll.IMDP("IR", data!$B33, data!U$8, $D$6)=0,"",_xll.IMDP("IR", data!$B33, data!U$8, $D$6)),
IF(_xll.IMDP("IR", data!$C33, data!U$8, $D$6)=0,"",_xll.IMDP("IR", data!$C33, data!U$8, $D$6)), data!U33 ), "")</f>
        <v>4.13</v>
      </c>
      <c r="N32" s="39" cm="1">
        <f t="array" aca="1" ref="N32" ca="1">IFERROR( CHOOSE( data!$B$7,
IF(_xll.IMDP("IR", data!$B33, data!V$8, $D$6)=0,"",_xll.IMDP("IR", data!$B33, data!V$8, $D$6)),
IF(_xll.IMDP("IR", data!$C33, data!V$8, $D$6)=0,"",_xll.IMDP("IR", data!$C33, data!V$8, $D$6)), data!V33 ), "")</f>
        <v>4.1950000000000003</v>
      </c>
      <c r="O32" s="39" cm="1">
        <f t="array" aca="1" ref="O32" ca="1">IFERROR( CHOOSE( data!$B$7,
IF(_xll.IMDP("IR", data!$B33, data!W$8, $D$6)=0,"",_xll.IMDP("IR", data!$B33, data!W$8, $D$6)),
IF(_xll.IMDP("IR", data!$C33, data!W$8, $D$6)=0,"",_xll.IMDP("IR", data!$C33, data!W$8, $D$6)), data!W33 ), "")</f>
        <v>4.3949999999999996</v>
      </c>
      <c r="P32" s="39" cm="1">
        <f t="array" aca="1" ref="P32" ca="1">IFERROR( CHOOSE( data!$B$7,
IF(_xll.IMDP("IR", data!$B33, data!X$8, $D$6)=0,"",_xll.IMDP("IR", data!$B33, data!X$8, $D$6)),
IF(_xll.IMDP("IR", data!$C33, data!X$8, $D$6)=0,"",_xll.IMDP("IR", data!$C33, data!X$8, $D$6)), data!X33 ), "")</f>
        <v>4.78</v>
      </c>
      <c r="Q32" s="39" cm="1">
        <f t="array" aca="1" ref="Q32" ca="1">IFERROR( CHOOSE( data!$B$7,
IF(_xll.IMDP("IR", data!$B33, data!Y$8, $D$6)=0,"",_xll.IMDP("IR", data!$B33, data!Y$8, $D$6)),
IF(_xll.IMDP("IR", data!$C33, data!Y$8, $D$6)=0,"",_xll.IMDP("IR", data!$C33, data!Y$8, $D$6)), data!Y33 ), "")</f>
        <v>4.9219999999999997</v>
      </c>
      <c r="R32" s="39" cm="1">
        <f t="array" aca="1" ref="R32" ca="1">IFERROR( CHOOSE( data!$B$7,
IF(_xll.IMDP("IR", data!$B33, data!Z$8, $D$6)=0,"",_xll.IMDP("IR", data!$B33, data!Z$8, $D$6)),
IF(_xll.IMDP("IR", data!$C33, data!Z$8, $D$6)=0,"",_xll.IMDP("IR", data!$C33, data!Z$8, $D$6)), data!Z33 ), "")</f>
        <v>5.0419999999999998</v>
      </c>
      <c r="S32" s="39" t="str" cm="1">
        <f t="array" aca="1" ref="S32" ca="1">IFERROR( CHOOSE( data!$B$7,
IF(_xll.IMDP("IR", data!$B33, data!AA$8, $D$6)=0,"",_xll.IMDP("IR", data!$B33, data!AA$8, $D$6)),
IF(_xll.IMDP("IR", data!$C33, data!AA$8, $D$6)=0,"",_xll.IMDP("IR", data!$C33, data!AA$8, $D$6)), data!AA33 ), "")</f>
        <v/>
      </c>
      <c r="T32" s="40" t="str" cm="1">
        <f t="array" aca="1" ref="T32" ca="1">IFERROR( CHOOSE( data!$B$7,
IF(_xll.IMDP("IR", data!$B33, data!AB$8, $D$6)=0,"",_xll.IMDP("IR", data!$B33, data!AB$8, $D$6)),
IF(_xll.IMDP("IR", data!$C33, data!AB$8, $D$6)=0,"",_xll.IMDP("IR", data!$C33, data!AB$8, $D$6)), data!AB33 ), "")</f>
        <v/>
      </c>
    </row>
    <row r="33" spans="2:20" s="4" customFormat="1" ht="12">
      <c r="B33" s="12"/>
      <c r="C33" s="67" t="s">
        <v>43</v>
      </c>
      <c r="D33" s="19" t="s">
        <v>28</v>
      </c>
      <c r="E33" s="41" cm="1">
        <f t="array" aca="1" ref="E33" ca="1">IFERROR( CHOOSE( data!$B$7,
IF(_xll.IMDP("IR", data!$B34, data!M$8, $D$6)=0,"",_xll.IMDP("IR", data!$B34, data!M$8, $D$6)),
IF(_xll.IMDP("IR", data!$C34, data!M$8, $D$6)=0,"",_xll.IMDP("IR", data!$C34, data!M$8, $D$6)), data!M34 ), "")</f>
        <v>3.4289999999999998</v>
      </c>
      <c r="F33" s="42" cm="1">
        <f t="array" aca="1" ref="F33" ca="1">IFERROR( CHOOSE( data!$B$7,
IF(_xll.IMDP("IR", data!$B34, data!N$8, $D$6)=0,"",_xll.IMDP("IR", data!$B34, data!N$8, $D$6)),
IF(_xll.IMDP("IR", data!$C34, data!N$8, $D$6)=0,"",_xll.IMDP("IR", data!$C34, data!N$8, $D$6)), data!N34 ), "")</f>
        <v>3.415</v>
      </c>
      <c r="G33" s="42" cm="1">
        <f t="array" aca="1" ref="G33" ca="1">IFERROR( CHOOSE( data!$B$7,
IF(_xll.IMDP("IR", data!$B34, data!O$8, $D$6)=0,"",_xll.IMDP("IR", data!$B34, data!O$8, $D$6)),
IF(_xll.IMDP("IR", data!$C34, data!O$8, $D$6)=0,"",_xll.IMDP("IR", data!$C34, data!O$8, $D$6)), data!O34 ), "")</f>
        <v>3.3809999999999998</v>
      </c>
      <c r="H33" s="42" cm="1">
        <f t="array" aca="1" ref="H33" ca="1">IFERROR( CHOOSE( data!$B$7,
IF(_xll.IMDP("IR", data!$B34, data!P$8, $D$6)=0,"",_xll.IMDP("IR", data!$B34, data!P$8, $D$6)),
IF(_xll.IMDP("IR", data!$C34, data!P$8, $D$6)=0,"",_xll.IMDP("IR", data!$C34, data!P$8, $D$6)), data!P34 ), "")</f>
        <v>3.395</v>
      </c>
      <c r="I33" s="42" cm="1">
        <f t="array" aca="1" ref="I33" ca="1">IFERROR( CHOOSE( data!$B$7,
IF(_xll.IMDP("IR", data!$B34, data!Q$8, $D$6)=0,"",_xll.IMDP("IR", data!$B34, data!Q$8, $D$6)),
IF(_xll.IMDP("IR", data!$C34, data!Q$8, $D$6)=0,"",_xll.IMDP("IR", data!$C34, data!Q$8, $D$6)), data!Q34 ), "")</f>
        <v>3.4449999999999998</v>
      </c>
      <c r="J33" s="42" cm="1">
        <f t="array" aca="1" ref="J33" ca="1">IFERROR( CHOOSE( data!$B$7,
IF(_xll.IMDP("IR", data!$B34, data!R$8, $D$6)=0,"",_xll.IMDP("IR", data!$B34, data!R$8, $D$6)),
IF(_xll.IMDP("IR", data!$C34, data!R$8, $D$6)=0,"",_xll.IMDP("IR", data!$C34, data!R$8, $D$6)), data!R34 ), "")</f>
        <v>3.4169999999999998</v>
      </c>
      <c r="K33" s="42" cm="1">
        <f t="array" aca="1" ref="K33" ca="1">IFERROR( CHOOSE( data!$B$7,
IF(_xll.IMDP("IR", data!$B34, data!S$8, $D$6)=0,"",_xll.IMDP("IR", data!$B34, data!S$8, $D$6)),
IF(_xll.IMDP("IR", data!$C34, data!S$8, $D$6)=0,"",_xll.IMDP("IR", data!$C34, data!S$8, $D$6)), data!S34 ), "")</f>
        <v>3.3740000000000001</v>
      </c>
      <c r="L33" s="42" cm="1">
        <f t="array" aca="1" ref="L33" ca="1">IFERROR( CHOOSE( data!$B$7,
IF(_xll.IMDP("IR", data!$B34, data!T$8, $D$6)=0,"",_xll.IMDP("IR", data!$B34, data!T$8, $D$6)),
IF(_xll.IMDP("IR", data!$C34, data!T$8, $D$6)=0,"",_xll.IMDP("IR", data!$C34, data!T$8, $D$6)), data!T34 ), "")</f>
        <v>3.3580000000000001</v>
      </c>
      <c r="M33" s="42" cm="1">
        <f t="array" aca="1" ref="M33" ca="1">IFERROR( CHOOSE( data!$B$7,
IF(_xll.IMDP("IR", data!$B34, data!U$8, $D$6)=0,"",_xll.IMDP("IR", data!$B34, data!U$8, $D$6)),
IF(_xll.IMDP("IR", data!$C34, data!U$8, $D$6)=0,"",_xll.IMDP("IR", data!$C34, data!U$8, $D$6)), data!U34 ), "")</f>
        <v>3.3180000000000001</v>
      </c>
      <c r="N33" s="42" cm="1">
        <f t="array" aca="1" ref="N33" ca="1">IFERROR( CHOOSE( data!$B$7,
IF(_xll.IMDP("IR", data!$B34, data!V$8, $D$6)=0,"",_xll.IMDP("IR", data!$B34, data!V$8, $D$6)),
IF(_xll.IMDP("IR", data!$C34, data!V$8, $D$6)=0,"",_xll.IMDP("IR", data!$C34, data!V$8, $D$6)), data!V34 ), "")</f>
        <v>3.3290000000000002</v>
      </c>
      <c r="O33" s="42" cm="1">
        <f t="array" aca="1" ref="O33" ca="1">IFERROR( CHOOSE( data!$B$7,
IF(_xll.IMDP("IR", data!$B34, data!W$8, $D$6)=0,"",_xll.IMDP("IR", data!$B34, data!W$8, $D$6)),
IF(_xll.IMDP("IR", data!$C34, data!W$8, $D$6)=0,"",_xll.IMDP("IR", data!$C34, data!W$8, $D$6)), data!W34 ), "")</f>
        <v>3.7349999999999999</v>
      </c>
      <c r="P33" s="42" cm="1">
        <f t="array" aca="1" ref="P33" ca="1">IFERROR( CHOOSE( data!$B$7,
IF(_xll.IMDP("IR", data!$B34, data!X$8, $D$6)=0,"",_xll.IMDP("IR", data!$B34, data!X$8, $D$6)),
IF(_xll.IMDP("IR", data!$C34, data!X$8, $D$6)=0,"",_xll.IMDP("IR", data!$C34, data!X$8, $D$6)), data!X34 ), "")</f>
        <v>4.32</v>
      </c>
      <c r="Q33" s="42" cm="1">
        <f t="array" aca="1" ref="Q33" ca="1">IFERROR( CHOOSE( data!$B$7,
IF(_xll.IMDP("IR", data!$B34, data!Y$8, $D$6)=0,"",_xll.IMDP("IR", data!$B34, data!Y$8, $D$6)),
IF(_xll.IMDP("IR", data!$C34, data!Y$8, $D$6)=0,"",_xll.IMDP("IR", data!$C34, data!Y$8, $D$6)), data!Y34 ), "")</f>
        <v>4.726</v>
      </c>
      <c r="R33" s="42" cm="1">
        <f t="array" aca="1" ref="R33" ca="1">IFERROR( CHOOSE( data!$B$7,
IF(_xll.IMDP("IR", data!$B34, data!Z$8, $D$6)=0,"",_xll.IMDP("IR", data!$B34, data!Z$8, $D$6)),
IF(_xll.IMDP("IR", data!$C34, data!Z$8, $D$6)=0,"",_xll.IMDP("IR", data!$C34, data!Z$8, $D$6)), data!Z34 ), "")</f>
        <v>4.93</v>
      </c>
      <c r="S33" s="42" t="str" cm="1">
        <f t="array" aca="1" ref="S33" ca="1">IFERROR( CHOOSE( data!$B$7,
IF(_xll.IMDP("IR", data!$B34, data!AA$8, $D$6)=0,"",_xll.IMDP("IR", data!$B34, data!AA$8, $D$6)),
IF(_xll.IMDP("IR", data!$C34, data!AA$8, $D$6)=0,"",_xll.IMDP("IR", data!$C34, data!AA$8, $D$6)), data!AA34 ), "")</f>
        <v/>
      </c>
      <c r="T33" s="43" t="str" cm="1">
        <f t="array" aca="1" ref="T33" ca="1">IFERROR( CHOOSE( data!$B$7,
IF(_xll.IMDP("IR", data!$B34, data!AB$8, $D$6)=0,"",_xll.IMDP("IR", data!$B34, data!AB$8, $D$6)),
IF(_xll.IMDP("IR", data!$C34, data!AB$8, $D$6)=0,"",_xll.IMDP("IR", data!$C34, data!AB$8, $D$6)), data!AB34 ), "")</f>
        <v/>
      </c>
    </row>
    <row r="34" spans="2:20" s="4" customFormat="1" ht="12">
      <c r="B34" s="12"/>
      <c r="C34" s="67"/>
      <c r="D34" s="16" t="s">
        <v>29</v>
      </c>
      <c r="E34" s="32" cm="1">
        <f t="array" aca="1" ref="E34" ca="1">IFERROR( CHOOSE( data!$B$7,
IF(_xll.IMDP("IR", data!$B35, data!M$8, $D$6)=0,"",_xll.IMDP("IR", data!$B35, data!M$8, $D$6)),
IF(_xll.IMDP("IR", data!$C35, data!M$8, $D$6)=0,"",_xll.IMDP("IR", data!$C35, data!M$8, $D$6)), data!M35 ), "")</f>
        <v>3.4569999999999999</v>
      </c>
      <c r="F34" s="33" cm="1">
        <f t="array" aca="1" ref="F34" ca="1">IFERROR( CHOOSE( data!$B$7,
IF(_xll.IMDP("IR", data!$B35, data!N$8, $D$6)=0,"",_xll.IMDP("IR", data!$B35, data!N$8, $D$6)),
IF(_xll.IMDP("IR", data!$C35, data!N$8, $D$6)=0,"",_xll.IMDP("IR", data!$C35, data!N$8, $D$6)), data!N35 ), "")</f>
        <v>3.4390000000000001</v>
      </c>
      <c r="G34" s="33" cm="1">
        <f t="array" aca="1" ref="G34" ca="1">IFERROR( CHOOSE( data!$B$7,
IF(_xll.IMDP("IR", data!$B35, data!O$8, $D$6)=0,"",_xll.IMDP("IR", data!$B35, data!O$8, $D$6)),
IF(_xll.IMDP("IR", data!$C35, data!O$8, $D$6)=0,"",_xll.IMDP("IR", data!$C35, data!O$8, $D$6)), data!O35 ), "")</f>
        <v>3.407</v>
      </c>
      <c r="H34" s="33" cm="1">
        <f t="array" aca="1" ref="H34" ca="1">IFERROR( CHOOSE( data!$B$7,
IF(_xll.IMDP("IR", data!$B35, data!P$8, $D$6)=0,"",_xll.IMDP("IR", data!$B35, data!P$8, $D$6)),
IF(_xll.IMDP("IR", data!$C35, data!P$8, $D$6)=0,"",_xll.IMDP("IR", data!$C35, data!P$8, $D$6)), data!P35 ), "")</f>
        <v>3.4260000000000002</v>
      </c>
      <c r="I34" s="33" cm="1">
        <f t="array" aca="1" ref="I34" ca="1">IFERROR( CHOOSE( data!$B$7,
IF(_xll.IMDP("IR", data!$B35, data!Q$8, $D$6)=0,"",_xll.IMDP("IR", data!$B35, data!Q$8, $D$6)),
IF(_xll.IMDP("IR", data!$C35, data!Q$8, $D$6)=0,"",_xll.IMDP("IR", data!$C35, data!Q$8, $D$6)), data!Q35 ), "")</f>
        <v>3.484</v>
      </c>
      <c r="J34" s="33" cm="1">
        <f t="array" aca="1" ref="J34" ca="1">IFERROR( CHOOSE( data!$B$7,
IF(_xll.IMDP("IR", data!$B35, data!R$8, $D$6)=0,"",_xll.IMDP("IR", data!$B35, data!R$8, $D$6)),
IF(_xll.IMDP("IR", data!$C35, data!R$8, $D$6)=0,"",_xll.IMDP("IR", data!$C35, data!R$8, $D$6)), data!R35 ), "")</f>
        <v>3.4620000000000002</v>
      </c>
      <c r="K34" s="33" cm="1">
        <f t="array" aca="1" ref="K34" ca="1">IFERROR( CHOOSE( data!$B$7,
IF(_xll.IMDP("IR", data!$B35, data!S$8, $D$6)=0,"",_xll.IMDP("IR", data!$B35, data!S$8, $D$6)),
IF(_xll.IMDP("IR", data!$C35, data!S$8, $D$6)=0,"",_xll.IMDP("IR", data!$C35, data!S$8, $D$6)), data!S35 ), "")</f>
        <v>3.4279999999999999</v>
      </c>
      <c r="L34" s="33" cm="1">
        <f t="array" aca="1" ref="L34" ca="1">IFERROR( CHOOSE( data!$B$7,
IF(_xll.IMDP("IR", data!$B35, data!T$8, $D$6)=0,"",_xll.IMDP("IR", data!$B35, data!T$8, $D$6)),
IF(_xll.IMDP("IR", data!$C35, data!T$8, $D$6)=0,"",_xll.IMDP("IR", data!$C35, data!T$8, $D$6)), data!T35 ), "")</f>
        <v>3.4249999999999998</v>
      </c>
      <c r="M34" s="33" cm="1">
        <f t="array" aca="1" ref="M34" ca="1">IFERROR( CHOOSE( data!$B$7,
IF(_xll.IMDP("IR", data!$B35, data!U$8, $D$6)=0,"",_xll.IMDP("IR", data!$B35, data!U$8, $D$6)),
IF(_xll.IMDP("IR", data!$C35, data!U$8, $D$6)=0,"",_xll.IMDP("IR", data!$C35, data!U$8, $D$6)), data!U35 ), "")</f>
        <v>3.4369999999999998</v>
      </c>
      <c r="N34" s="33" cm="1">
        <f t="array" aca="1" ref="N34" ca="1">IFERROR( CHOOSE( data!$B$7,
IF(_xll.IMDP("IR", data!$B35, data!V$8, $D$6)=0,"",_xll.IMDP("IR", data!$B35, data!V$8, $D$6)),
IF(_xll.IMDP("IR", data!$C35, data!V$8, $D$6)=0,"",_xll.IMDP("IR", data!$C35, data!V$8, $D$6)), data!V35 ), "")</f>
        <v>3.54</v>
      </c>
      <c r="O34" s="33" cm="1">
        <f t="array" aca="1" ref="O34" ca="1">IFERROR( CHOOSE( data!$B$7,
IF(_xll.IMDP("IR", data!$B35, data!W$8, $D$6)=0,"",_xll.IMDP("IR", data!$B35, data!W$8, $D$6)),
IF(_xll.IMDP("IR", data!$C35, data!W$8, $D$6)=0,"",_xll.IMDP("IR", data!$C35, data!W$8, $D$6)), data!W35 ), "")</f>
        <v>3.9279999999999999</v>
      </c>
      <c r="P34" s="33" cm="1">
        <f t="array" aca="1" ref="P34" ca="1">IFERROR( CHOOSE( data!$B$7,
IF(_xll.IMDP("IR", data!$B35, data!X$8, $D$6)=0,"",_xll.IMDP("IR", data!$B35, data!X$8, $D$6)),
IF(_xll.IMDP("IR", data!$C35, data!X$8, $D$6)=0,"",_xll.IMDP("IR", data!$C35, data!X$8, $D$6)), data!X35 ), "")</f>
        <v>4.4939999999999998</v>
      </c>
      <c r="Q34" s="33" cm="1">
        <f t="array" aca="1" ref="Q34" ca="1">IFERROR( CHOOSE( data!$B$7,
IF(_xll.IMDP("IR", data!$B35, data!Y$8, $D$6)=0,"",_xll.IMDP("IR", data!$B35, data!Y$8, $D$6)),
IF(_xll.IMDP("IR", data!$C35, data!Y$8, $D$6)=0,"",_xll.IMDP("IR", data!$C35, data!Y$8, $D$6)), data!Y35 ), "")</f>
        <v>4.9039999999999999</v>
      </c>
      <c r="R34" s="33" cm="1">
        <f t="array" aca="1" ref="R34" ca="1">IFERROR( CHOOSE( data!$B$7,
IF(_xll.IMDP("IR", data!$B35, data!Z$8, $D$6)=0,"",_xll.IMDP("IR", data!$B35, data!Z$8, $D$6)),
IF(_xll.IMDP("IR", data!$C35, data!Z$8, $D$6)=0,"",_xll.IMDP("IR", data!$C35, data!Z$8, $D$6)), data!Z35 ), "")</f>
        <v>5.1219999999999999</v>
      </c>
      <c r="S34" s="33" t="str" cm="1">
        <f t="array" aca="1" ref="S34" ca="1">IFERROR( CHOOSE( data!$B$7,
IF(_xll.IMDP("IR", data!$B35, data!AA$8, $D$6)=0,"",_xll.IMDP("IR", data!$B35, data!AA$8, $D$6)),
IF(_xll.IMDP("IR", data!$C35, data!AA$8, $D$6)=0,"",_xll.IMDP("IR", data!$C35, data!AA$8, $D$6)), data!AA35 ), "")</f>
        <v/>
      </c>
      <c r="T34" s="34" t="str" cm="1">
        <f t="array" aca="1" ref="T34" ca="1">IFERROR( CHOOSE( data!$B$7,
IF(_xll.IMDP("IR", data!$B35, data!AB$8, $D$6)=0,"",_xll.IMDP("IR", data!$B35, data!AB$8, $D$6)),
IF(_xll.IMDP("IR", data!$C35, data!AB$8, $D$6)=0,"",_xll.IMDP("IR", data!$C35, data!AB$8, $D$6)), data!AB35 ), "")</f>
        <v/>
      </c>
    </row>
    <row r="35" spans="2:20" s="4" customFormat="1" ht="12">
      <c r="B35" s="12"/>
      <c r="C35" s="67"/>
      <c r="D35" s="16" t="s">
        <v>30</v>
      </c>
      <c r="E35" s="32" cm="1">
        <f t="array" aca="1" ref="E35" ca="1">IFERROR( CHOOSE( data!$B$7,
IF(_xll.IMDP("IR", data!$B36, data!M$8, $D$6)=0,"",_xll.IMDP("IR", data!$B36, data!M$8, $D$6)),
IF(_xll.IMDP("IR", data!$C36, data!M$8, $D$6)=0,"",_xll.IMDP("IR", data!$C36, data!M$8, $D$6)), data!M36 ), "")</f>
        <v>3.4820000000000002</v>
      </c>
      <c r="F35" s="33" cm="1">
        <f t="array" aca="1" ref="F35" ca="1">IFERROR( CHOOSE( data!$B$7,
IF(_xll.IMDP("IR", data!$B36, data!N$8, $D$6)=0,"",_xll.IMDP("IR", data!$B36, data!N$8, $D$6)),
IF(_xll.IMDP("IR", data!$C36, data!N$8, $D$6)=0,"",_xll.IMDP("IR", data!$C36, data!N$8, $D$6)), data!N36 ), "")</f>
        <v>3.47</v>
      </c>
      <c r="G35" s="33" cm="1">
        <f t="array" aca="1" ref="G35" ca="1">IFERROR( CHOOSE( data!$B$7,
IF(_xll.IMDP("IR", data!$B36, data!O$8, $D$6)=0,"",_xll.IMDP("IR", data!$B36, data!O$8, $D$6)),
IF(_xll.IMDP("IR", data!$C36, data!O$8, $D$6)=0,"",_xll.IMDP("IR", data!$C36, data!O$8, $D$6)), data!O36 ), "")</f>
        <v>3.4620000000000002</v>
      </c>
      <c r="H35" s="33" cm="1">
        <f t="array" aca="1" ref="H35" ca="1">IFERROR( CHOOSE( data!$B$7,
IF(_xll.IMDP("IR", data!$B36, data!P$8, $D$6)=0,"",_xll.IMDP("IR", data!$B36, data!P$8, $D$6)),
IF(_xll.IMDP("IR", data!$C36, data!P$8, $D$6)=0,"",_xll.IMDP("IR", data!$C36, data!P$8, $D$6)), data!P36 ), "")</f>
        <v>3.4950000000000001</v>
      </c>
      <c r="I35" s="33" cm="1">
        <f t="array" aca="1" ref="I35" ca="1">IFERROR( CHOOSE( data!$B$7,
IF(_xll.IMDP("IR", data!$B36, data!Q$8, $D$6)=0,"",_xll.IMDP("IR", data!$B36, data!Q$8, $D$6)),
IF(_xll.IMDP("IR", data!$C36, data!Q$8, $D$6)=0,"",_xll.IMDP("IR", data!$C36, data!Q$8, $D$6)), data!Q36 ), "")</f>
        <v>3.5510000000000002</v>
      </c>
      <c r="J35" s="33" cm="1">
        <f t="array" aca="1" ref="J35" ca="1">IFERROR( CHOOSE( data!$B$7,
IF(_xll.IMDP("IR", data!$B36, data!R$8, $D$6)=0,"",_xll.IMDP("IR", data!$B36, data!R$8, $D$6)),
IF(_xll.IMDP("IR", data!$C36, data!R$8, $D$6)=0,"",_xll.IMDP("IR", data!$C36, data!R$8, $D$6)), data!R36 ), "")</f>
        <v>3.55</v>
      </c>
      <c r="K35" s="33" cm="1">
        <f t="array" aca="1" ref="K35" ca="1">IFERROR( CHOOSE( data!$B$7,
IF(_xll.IMDP("IR", data!$B36, data!S$8, $D$6)=0,"",_xll.IMDP("IR", data!$B36, data!S$8, $D$6)),
IF(_xll.IMDP("IR", data!$C36, data!S$8, $D$6)=0,"",_xll.IMDP("IR", data!$C36, data!S$8, $D$6)), data!S36 ), "")</f>
        <v>3.54</v>
      </c>
      <c r="L35" s="33" cm="1">
        <f t="array" aca="1" ref="L35" ca="1">IFERROR( CHOOSE( data!$B$7,
IF(_xll.IMDP("IR", data!$B36, data!T$8, $D$6)=0,"",_xll.IMDP("IR", data!$B36, data!T$8, $D$6)),
IF(_xll.IMDP("IR", data!$C36, data!T$8, $D$6)=0,"",_xll.IMDP("IR", data!$C36, data!T$8, $D$6)), data!T36 ), "")</f>
        <v>3.5419999999999998</v>
      </c>
      <c r="M35" s="33" cm="1">
        <f t="array" aca="1" ref="M35" ca="1">IFERROR( CHOOSE( data!$B$7,
IF(_xll.IMDP("IR", data!$B36, data!U$8, $D$6)=0,"",_xll.IMDP("IR", data!$B36, data!U$8, $D$6)),
IF(_xll.IMDP("IR", data!$C36, data!U$8, $D$6)=0,"",_xll.IMDP("IR", data!$C36, data!U$8, $D$6)), data!U36 ), "")</f>
        <v>3.5510000000000002</v>
      </c>
      <c r="N35" s="33" cm="1">
        <f t="array" aca="1" ref="N35" ca="1">IFERROR( CHOOSE( data!$B$7,
IF(_xll.IMDP("IR", data!$B36, data!V$8, $D$6)=0,"",_xll.IMDP("IR", data!$B36, data!V$8, $D$6)),
IF(_xll.IMDP("IR", data!$C36, data!V$8, $D$6)=0,"",_xll.IMDP("IR", data!$C36, data!V$8, $D$6)), data!V36 ), "")</f>
        <v>3.6589999999999998</v>
      </c>
      <c r="O35" s="33" cm="1">
        <f t="array" aca="1" ref="O35" ca="1">IFERROR( CHOOSE( data!$B$7,
IF(_xll.IMDP("IR", data!$B36, data!W$8, $D$6)=0,"",_xll.IMDP("IR", data!$B36, data!W$8, $D$6)),
IF(_xll.IMDP("IR", data!$C36, data!W$8, $D$6)=0,"",_xll.IMDP("IR", data!$C36, data!W$8, $D$6)), data!W36 ), "")</f>
        <v>4.1310000000000002</v>
      </c>
      <c r="P35" s="33" cm="1">
        <f t="array" aca="1" ref="P35" ca="1">IFERROR( CHOOSE( data!$B$7,
IF(_xll.IMDP("IR", data!$B36, data!X$8, $D$6)=0,"",_xll.IMDP("IR", data!$B36, data!X$8, $D$6)),
IF(_xll.IMDP("IR", data!$C36, data!X$8, $D$6)=0,"",_xll.IMDP("IR", data!$C36, data!X$8, $D$6)), data!X36 ), "")</f>
        <v>4.7169999999999996</v>
      </c>
      <c r="Q35" s="33" cm="1">
        <f t="array" aca="1" ref="Q35" ca="1">IFERROR( CHOOSE( data!$B$7,
IF(_xll.IMDP("IR", data!$B36, data!Y$8, $D$6)=0,"",_xll.IMDP("IR", data!$B36, data!Y$8, $D$6)),
IF(_xll.IMDP("IR", data!$C36, data!Y$8, $D$6)=0,"",_xll.IMDP("IR", data!$C36, data!Y$8, $D$6)), data!Y36 ), "")</f>
        <v>5.149</v>
      </c>
      <c r="R35" s="33" cm="1">
        <f t="array" aca="1" ref="R35" ca="1">IFERROR( CHOOSE( data!$B$7,
IF(_xll.IMDP("IR", data!$B36, data!Z$8, $D$6)=0,"",_xll.IMDP("IR", data!$B36, data!Z$8, $D$6)),
IF(_xll.IMDP("IR", data!$C36, data!Z$8, $D$6)=0,"",_xll.IMDP("IR", data!$C36, data!Z$8, $D$6)), data!Z36 ), "")</f>
        <v>5.3719999999999999</v>
      </c>
      <c r="S35" s="33" t="str" cm="1">
        <f t="array" aca="1" ref="S35" ca="1">IFERROR( CHOOSE( data!$B$7,
IF(_xll.IMDP("IR", data!$B36, data!AA$8, $D$6)=0,"",_xll.IMDP("IR", data!$B36, data!AA$8, $D$6)),
IF(_xll.IMDP("IR", data!$C36, data!AA$8, $D$6)=0,"",_xll.IMDP("IR", data!$C36, data!AA$8, $D$6)), data!AA36 ), "")</f>
        <v/>
      </c>
      <c r="T35" s="34" t="str" cm="1">
        <f t="array" aca="1" ref="T35" ca="1">IFERROR( CHOOSE( data!$B$7,
IF(_xll.IMDP("IR", data!$B36, data!AB$8, $D$6)=0,"",_xll.IMDP("IR", data!$B36, data!AB$8, $D$6)),
IF(_xll.IMDP("IR", data!$C36, data!AB$8, $D$6)=0,"",_xll.IMDP("IR", data!$C36, data!AB$8, $D$6)), data!AB36 ), "")</f>
        <v/>
      </c>
    </row>
    <row r="36" spans="2:20" s="4" customFormat="1" ht="12">
      <c r="B36" s="12"/>
      <c r="C36" s="67"/>
      <c r="D36" s="16" t="s">
        <v>40</v>
      </c>
      <c r="E36" s="32" cm="1">
        <f t="array" aca="1" ref="E36" ca="1">IFERROR( CHOOSE( data!$B$7,
IF(_xll.IMDP("IR", data!$B37, data!M$8, $D$6)=0,"",_xll.IMDP("IR", data!$B37, data!M$8, $D$6)),
IF(_xll.IMDP("IR", data!$C37, data!M$8, $D$6)=0,"",_xll.IMDP("IR", data!$C37, data!M$8, $D$6)), data!M37 ), "")</f>
        <v>4.0030000000000001</v>
      </c>
      <c r="F36" s="33" cm="1">
        <f t="array" aca="1" ref="F36" ca="1">IFERROR( CHOOSE( data!$B$7,
IF(_xll.IMDP("IR", data!$B37, data!N$8, $D$6)=0,"",_xll.IMDP("IR", data!$B37, data!N$8, $D$6)),
IF(_xll.IMDP("IR", data!$C37, data!N$8, $D$6)=0,"",_xll.IMDP("IR", data!$C37, data!N$8, $D$6)), data!N37 ), "")</f>
        <v>4.2699999999999996</v>
      </c>
      <c r="G36" s="33" cm="1">
        <f t="array" aca="1" ref="G36" ca="1">IFERROR( CHOOSE( data!$B$7,
IF(_xll.IMDP("IR", data!$B37, data!O$8, $D$6)=0,"",_xll.IMDP("IR", data!$B37, data!O$8, $D$6)),
IF(_xll.IMDP("IR", data!$C37, data!O$8, $D$6)=0,"",_xll.IMDP("IR", data!$C37, data!O$8, $D$6)), data!O37 ), "")</f>
        <v>4.359</v>
      </c>
      <c r="H36" s="33" cm="1">
        <f t="array" aca="1" ref="H36" ca="1">IFERROR( CHOOSE( data!$B$7,
IF(_xll.IMDP("IR", data!$B37, data!P$8, $D$6)=0,"",_xll.IMDP("IR", data!$B37, data!P$8, $D$6)),
IF(_xll.IMDP("IR", data!$C37, data!P$8, $D$6)=0,"",_xll.IMDP("IR", data!$C37, data!P$8, $D$6)), data!P37 ), "")</f>
        <v>4.3869999999999996</v>
      </c>
      <c r="I36" s="33" cm="1">
        <f t="array" aca="1" ref="I36" ca="1">IFERROR( CHOOSE( data!$B$7,
IF(_xll.IMDP("IR", data!$B37, data!Q$8, $D$6)=0,"",_xll.IMDP("IR", data!$B37, data!Q$8, $D$6)),
IF(_xll.IMDP("IR", data!$C37, data!Q$8, $D$6)=0,"",_xll.IMDP("IR", data!$C37, data!Q$8, $D$6)), data!Q37 ), "")</f>
        <v>4.4240000000000004</v>
      </c>
      <c r="J36" s="33" cm="1">
        <f t="array" aca="1" ref="J36" ca="1">IFERROR( CHOOSE( data!$B$7,
IF(_xll.IMDP("IR", data!$B37, data!R$8, $D$6)=0,"",_xll.IMDP("IR", data!$B37, data!R$8, $D$6)),
IF(_xll.IMDP("IR", data!$C37, data!R$8, $D$6)=0,"",_xll.IMDP("IR", data!$C37, data!R$8, $D$6)), data!R37 ), "")</f>
        <v>4.4340000000000002</v>
      </c>
      <c r="K36" s="33" cm="1">
        <f t="array" aca="1" ref="K36" ca="1">IFERROR( CHOOSE( data!$B$7,
IF(_xll.IMDP("IR", data!$B37, data!S$8, $D$6)=0,"",_xll.IMDP("IR", data!$B37, data!S$8, $D$6)),
IF(_xll.IMDP("IR", data!$C37, data!S$8, $D$6)=0,"",_xll.IMDP("IR", data!$C37, data!S$8, $D$6)), data!S37 ), "")</f>
        <v>4.4870000000000001</v>
      </c>
      <c r="L36" s="33" cm="1">
        <f t="array" aca="1" ref="L36" ca="1">IFERROR( CHOOSE( data!$B$7,
IF(_xll.IMDP("IR", data!$B37, data!T$8, $D$6)=0,"",_xll.IMDP("IR", data!$B37, data!T$8, $D$6)),
IF(_xll.IMDP("IR", data!$C37, data!T$8, $D$6)=0,"",_xll.IMDP("IR", data!$C37, data!T$8, $D$6)), data!T37 ), "")</f>
        <v>4.5609999999999999</v>
      </c>
      <c r="M36" s="33" cm="1">
        <f t="array" aca="1" ref="M36" ca="1">IFERROR( CHOOSE( data!$B$7,
IF(_xll.IMDP("IR", data!$B37, data!U$8, $D$6)=0,"",_xll.IMDP("IR", data!$B37, data!U$8, $D$6)),
IF(_xll.IMDP("IR", data!$C37, data!U$8, $D$6)=0,"",_xll.IMDP("IR", data!$C37, data!U$8, $D$6)), data!U37 ), "")</f>
        <v>4.7050000000000001</v>
      </c>
      <c r="N36" s="33" cm="1">
        <f t="array" aca="1" ref="N36" ca="1">IFERROR( CHOOSE( data!$B$7,
IF(_xll.IMDP("IR", data!$B37, data!V$8, $D$6)=0,"",_xll.IMDP("IR", data!$B37, data!V$8, $D$6)),
IF(_xll.IMDP("IR", data!$C37, data!V$8, $D$6)=0,"",_xll.IMDP("IR", data!$C37, data!V$8, $D$6)), data!V37 ), "")</f>
        <v>4.8150000000000004</v>
      </c>
      <c r="O36" s="33" cm="1">
        <f t="array" aca="1" ref="O36" ca="1">IFERROR( CHOOSE( data!$B$7,
IF(_xll.IMDP("IR", data!$B37, data!W$8, $D$6)=0,"",_xll.IMDP("IR", data!$B37, data!W$8, $D$6)),
IF(_xll.IMDP("IR", data!$C37, data!W$8, $D$6)=0,"",_xll.IMDP("IR", data!$C37, data!W$8, $D$6)), data!W37 ), "")</f>
        <v>5.0220000000000002</v>
      </c>
      <c r="P36" s="33" cm="1">
        <f t="array" aca="1" ref="P36" ca="1">IFERROR( CHOOSE( data!$B$7,
IF(_xll.IMDP("IR", data!$B37, data!X$8, $D$6)=0,"",_xll.IMDP("IR", data!$B37, data!X$8, $D$6)),
IF(_xll.IMDP("IR", data!$C37, data!X$8, $D$6)=0,"",_xll.IMDP("IR", data!$C37, data!X$8, $D$6)), data!X37 ), "")</f>
        <v>5.4080000000000004</v>
      </c>
      <c r="Q36" s="33" cm="1">
        <f t="array" aca="1" ref="Q36" ca="1">IFERROR( CHOOSE( data!$B$7,
IF(_xll.IMDP("IR", data!$B37, data!Y$8, $D$6)=0,"",_xll.IMDP("IR", data!$B37, data!Y$8, $D$6)),
IF(_xll.IMDP("IR", data!$C37, data!Y$8, $D$6)=0,"",_xll.IMDP("IR", data!$C37, data!Y$8, $D$6)), data!Y37 ), "")</f>
        <v>5.6779999999999999</v>
      </c>
      <c r="R36" s="33" cm="1">
        <f t="array" aca="1" ref="R36" ca="1">IFERROR( CHOOSE( data!$B$7,
IF(_xll.IMDP("IR", data!$B37, data!Z$8, $D$6)=0,"",_xll.IMDP("IR", data!$B37, data!Z$8, $D$6)),
IF(_xll.IMDP("IR", data!$C37, data!Z$8, $D$6)=0,"",_xll.IMDP("IR", data!$C37, data!Z$8, $D$6)), data!Z37 ), "")</f>
        <v>5.8120000000000003</v>
      </c>
      <c r="S36" s="33" t="str" cm="1">
        <f t="array" aca="1" ref="S36" ca="1">IFERROR( CHOOSE( data!$B$7,
IF(_xll.IMDP("IR", data!$B37, data!AA$8, $D$6)=0,"",_xll.IMDP("IR", data!$B37, data!AA$8, $D$6)),
IF(_xll.IMDP("IR", data!$C37, data!AA$8, $D$6)=0,"",_xll.IMDP("IR", data!$C37, data!AA$8, $D$6)), data!AA37 ), "")</f>
        <v/>
      </c>
      <c r="T36" s="34" t="str" cm="1">
        <f t="array" aca="1" ref="T36" ca="1">IFERROR( CHOOSE( data!$B$7,
IF(_xll.IMDP("IR", data!$B37, data!AB$8, $D$6)=0,"",_xll.IMDP("IR", data!$B37, data!AB$8, $D$6)),
IF(_xll.IMDP("IR", data!$C37, data!AB$8, $D$6)=0,"",_xll.IMDP("IR", data!$C37, data!AB$8, $D$6)), data!AB37 ), "")</f>
        <v/>
      </c>
    </row>
    <row r="37" spans="2:20" s="4" customFormat="1" ht="12">
      <c r="B37" s="12"/>
      <c r="C37" s="67"/>
      <c r="D37" s="16" t="s">
        <v>41</v>
      </c>
      <c r="E37" s="32" cm="1">
        <f t="array" aca="1" ref="E37" ca="1">IFERROR( CHOOSE( data!$B$7,
IF(_xll.IMDP("IR", data!$B38, data!M$8, $D$6)=0,"",_xll.IMDP("IR", data!$B38, data!M$8, $D$6)),
IF(_xll.IMDP("IR", data!$C38, data!M$8, $D$6)=0,"",_xll.IMDP("IR", data!$C38, data!M$8, $D$6)), data!M38 ), "")</f>
        <v>4.5659999999999998</v>
      </c>
      <c r="F37" s="33" cm="1">
        <f t="array" aca="1" ref="F37" ca="1">IFERROR( CHOOSE( data!$B$7,
IF(_xll.IMDP("IR", data!$B38, data!N$8, $D$6)=0,"",_xll.IMDP("IR", data!$B38, data!N$8, $D$6)),
IF(_xll.IMDP("IR", data!$C38, data!N$8, $D$6)=0,"",_xll.IMDP("IR", data!$C38, data!N$8, $D$6)), data!N38 ), "")</f>
        <v>4.8789999999999996</v>
      </c>
      <c r="G37" s="33" cm="1">
        <f t="array" aca="1" ref="G37" ca="1">IFERROR( CHOOSE( data!$B$7,
IF(_xll.IMDP("IR", data!$B38, data!O$8, $D$6)=0,"",_xll.IMDP("IR", data!$B38, data!O$8, $D$6)),
IF(_xll.IMDP("IR", data!$C38, data!O$8, $D$6)=0,"",_xll.IMDP("IR", data!$C38, data!O$8, $D$6)), data!O38 ), "")</f>
        <v>5.0279999999999996</v>
      </c>
      <c r="H37" s="33" cm="1">
        <f t="array" aca="1" ref="H37" ca="1">IFERROR( CHOOSE( data!$B$7,
IF(_xll.IMDP("IR", data!$B38, data!P$8, $D$6)=0,"",_xll.IMDP("IR", data!$B38, data!P$8, $D$6)),
IF(_xll.IMDP("IR", data!$C38, data!P$8, $D$6)=0,"",_xll.IMDP("IR", data!$C38, data!P$8, $D$6)), data!P38 ), "")</f>
        <v>5.1280000000000001</v>
      </c>
      <c r="I37" s="33" cm="1">
        <f t="array" aca="1" ref="I37" ca="1">IFERROR( CHOOSE( data!$B$7,
IF(_xll.IMDP("IR", data!$B38, data!Q$8, $D$6)=0,"",_xll.IMDP("IR", data!$B38, data!Q$8, $D$6)),
IF(_xll.IMDP("IR", data!$C38, data!Q$8, $D$6)=0,"",_xll.IMDP("IR", data!$C38, data!Q$8, $D$6)), data!Q38 ), "")</f>
        <v>5.2039999999999997</v>
      </c>
      <c r="J37" s="33" cm="1">
        <f t="array" aca="1" ref="J37" ca="1">IFERROR( CHOOSE( data!$B$7,
IF(_xll.IMDP("IR", data!$B38, data!R$8, $D$6)=0,"",_xll.IMDP("IR", data!$B38, data!R$8, $D$6)),
IF(_xll.IMDP("IR", data!$C38, data!R$8, $D$6)=0,"",_xll.IMDP("IR", data!$C38, data!R$8, $D$6)), data!R38 ), "")</f>
        <v>5.2569999999999997</v>
      </c>
      <c r="K37" s="33" cm="1">
        <f t="array" aca="1" ref="K37" ca="1">IFERROR( CHOOSE( data!$B$7,
IF(_xll.IMDP("IR", data!$B38, data!S$8, $D$6)=0,"",_xll.IMDP("IR", data!$B38, data!S$8, $D$6)),
IF(_xll.IMDP("IR", data!$C38, data!S$8, $D$6)=0,"",_xll.IMDP("IR", data!$C38, data!S$8, $D$6)), data!S38 ), "")</f>
        <v>5.2779999999999996</v>
      </c>
      <c r="L37" s="33" cm="1">
        <f t="array" aca="1" ref="L37" ca="1">IFERROR( CHOOSE( data!$B$7,
IF(_xll.IMDP("IR", data!$B38, data!T$8, $D$6)=0,"",_xll.IMDP("IR", data!$B38, data!T$8, $D$6)),
IF(_xll.IMDP("IR", data!$C38, data!T$8, $D$6)=0,"",_xll.IMDP("IR", data!$C38, data!T$8, $D$6)), data!T38 ), "")</f>
        <v>5.3440000000000003</v>
      </c>
      <c r="M37" s="33" cm="1">
        <f t="array" aca="1" ref="M37" ca="1">IFERROR( CHOOSE( data!$B$7,
IF(_xll.IMDP("IR", data!$B38, data!U$8, $D$6)=0,"",_xll.IMDP("IR", data!$B38, data!U$8, $D$6)),
IF(_xll.IMDP("IR", data!$C38, data!U$8, $D$6)=0,"",_xll.IMDP("IR", data!$C38, data!U$8, $D$6)), data!U38 ), "")</f>
        <v>5.3890000000000002</v>
      </c>
      <c r="N37" s="33" cm="1">
        <f t="array" aca="1" ref="N37" ca="1">IFERROR( CHOOSE( data!$B$7,
IF(_xll.IMDP("IR", data!$B38, data!V$8, $D$6)=0,"",_xll.IMDP("IR", data!$B38, data!V$8, $D$6)),
IF(_xll.IMDP("IR", data!$C38, data!V$8, $D$6)=0,"",_xll.IMDP("IR", data!$C38, data!V$8, $D$6)), data!V38 ), "")</f>
        <v>5.4710000000000001</v>
      </c>
      <c r="O37" s="33" cm="1">
        <f t="array" aca="1" ref="O37" ca="1">IFERROR( CHOOSE( data!$B$7,
IF(_xll.IMDP("IR", data!$B38, data!W$8, $D$6)=0,"",_xll.IMDP("IR", data!$B38, data!W$8, $D$6)),
IF(_xll.IMDP("IR", data!$C38, data!W$8, $D$6)=0,"",_xll.IMDP("IR", data!$C38, data!W$8, $D$6)), data!W38 ), "")</f>
        <v>5.5460000000000003</v>
      </c>
      <c r="P37" s="33" cm="1">
        <f t="array" aca="1" ref="P37" ca="1">IFERROR( CHOOSE( data!$B$7,
IF(_xll.IMDP("IR", data!$B38, data!X$8, $D$6)=0,"",_xll.IMDP("IR", data!$B38, data!X$8, $D$6)),
IF(_xll.IMDP("IR", data!$C38, data!X$8, $D$6)=0,"",_xll.IMDP("IR", data!$C38, data!X$8, $D$6)), data!X38 ), "")</f>
        <v>5.8289999999999997</v>
      </c>
      <c r="Q37" s="33" cm="1">
        <f t="array" aca="1" ref="Q37" ca="1">IFERROR( CHOOSE( data!$B$7,
IF(_xll.IMDP("IR", data!$B38, data!Y$8, $D$6)=0,"",_xll.IMDP("IR", data!$B38, data!Y$8, $D$6)),
IF(_xll.IMDP("IR", data!$C38, data!Y$8, $D$6)=0,"",_xll.IMDP("IR", data!$C38, data!Y$8, $D$6)), data!Y38 ), "")</f>
        <v>6.0590000000000002</v>
      </c>
      <c r="R37" s="33" cm="1">
        <f t="array" aca="1" ref="R37" ca="1">IFERROR( CHOOSE( data!$B$7,
IF(_xll.IMDP("IR", data!$B38, data!Z$8, $D$6)=0,"",_xll.IMDP("IR", data!$B38, data!Z$8, $D$6)),
IF(_xll.IMDP("IR", data!$C38, data!Z$8, $D$6)=0,"",_xll.IMDP("IR", data!$C38, data!Z$8, $D$6)), data!Z38 ), "")</f>
        <v>6.1619999999999999</v>
      </c>
      <c r="S37" s="33" t="str" cm="1">
        <f t="array" aca="1" ref="S37" ca="1">IFERROR( CHOOSE( data!$B$7,
IF(_xll.IMDP("IR", data!$B38, data!AA$8, $D$6)=0,"",_xll.IMDP("IR", data!$B38, data!AA$8, $D$6)),
IF(_xll.IMDP("IR", data!$C38, data!AA$8, $D$6)=0,"",_xll.IMDP("IR", data!$C38, data!AA$8, $D$6)), data!AA38 ), "")</f>
        <v/>
      </c>
      <c r="T37" s="34" t="str" cm="1">
        <f t="array" aca="1" ref="T37" ca="1">IFERROR( CHOOSE( data!$B$7,
IF(_xll.IMDP("IR", data!$B38, data!AB$8, $D$6)=0,"",_xll.IMDP("IR", data!$B38, data!AB$8, $D$6)),
IF(_xll.IMDP("IR", data!$C38, data!AB$8, $D$6)=0,"",_xll.IMDP("IR", data!$C38, data!AB$8, $D$6)), data!AB38 ), "")</f>
        <v/>
      </c>
    </row>
    <row r="38" spans="2:20" s="4" customFormat="1" ht="12">
      <c r="B38" s="12"/>
      <c r="C38" s="67"/>
      <c r="D38" s="16" t="s">
        <v>42</v>
      </c>
      <c r="E38" s="32" cm="1">
        <f t="array" aca="1" ref="E38" ca="1">IFERROR( CHOOSE( data!$B$7,
IF(_xll.IMDP("IR", data!$B39, data!M$8, $D$6)=0,"",_xll.IMDP("IR", data!$B39, data!M$8, $D$6)),
IF(_xll.IMDP("IR", data!$C39, data!M$8, $D$6)=0,"",_xll.IMDP("IR", data!$C39, data!M$8, $D$6)), data!M39 ), "")</f>
        <v>5.0869999999999997</v>
      </c>
      <c r="F38" s="33" cm="1">
        <f t="array" aca="1" ref="F38" ca="1">IFERROR( CHOOSE( data!$B$7,
IF(_xll.IMDP("IR", data!$B39, data!N$8, $D$6)=0,"",_xll.IMDP("IR", data!$B39, data!N$8, $D$6)),
IF(_xll.IMDP("IR", data!$C39, data!N$8, $D$6)=0,"",_xll.IMDP("IR", data!$C39, data!N$8, $D$6)), data!N39 ), "")</f>
        <v>5.516</v>
      </c>
      <c r="G38" s="33" cm="1">
        <f t="array" aca="1" ref="G38" ca="1">IFERROR( CHOOSE( data!$B$7,
IF(_xll.IMDP("IR", data!$B39, data!O$8, $D$6)=0,"",_xll.IMDP("IR", data!$B39, data!O$8, $D$6)),
IF(_xll.IMDP("IR", data!$C39, data!O$8, $D$6)=0,"",_xll.IMDP("IR", data!$C39, data!O$8, $D$6)), data!O39 ), "")</f>
        <v>5.641</v>
      </c>
      <c r="H38" s="33" cm="1">
        <f t="array" aca="1" ref="H38" ca="1">IFERROR( CHOOSE( data!$B$7,
IF(_xll.IMDP("IR", data!$B39, data!P$8, $D$6)=0,"",_xll.IMDP("IR", data!$B39, data!P$8, $D$6)),
IF(_xll.IMDP("IR", data!$C39, data!P$8, $D$6)=0,"",_xll.IMDP("IR", data!$C39, data!P$8, $D$6)), data!P39 ), "")</f>
        <v>5.6879999999999997</v>
      </c>
      <c r="I38" s="33" cm="1">
        <f t="array" aca="1" ref="I38" ca="1">IFERROR( CHOOSE( data!$B$7,
IF(_xll.IMDP("IR", data!$B39, data!Q$8, $D$6)=0,"",_xll.IMDP("IR", data!$B39, data!Q$8, $D$6)),
IF(_xll.IMDP("IR", data!$C39, data!Q$8, $D$6)=0,"",_xll.IMDP("IR", data!$C39, data!Q$8, $D$6)), data!Q39 ), "")</f>
        <v>5.7610000000000001</v>
      </c>
      <c r="J38" s="33" cm="1">
        <f t="array" aca="1" ref="J38" ca="1">IFERROR( CHOOSE( data!$B$7,
IF(_xll.IMDP("IR", data!$B39, data!R$8, $D$6)=0,"",_xll.IMDP("IR", data!$B39, data!R$8, $D$6)),
IF(_xll.IMDP("IR", data!$C39, data!R$8, $D$6)=0,"",_xll.IMDP("IR", data!$C39, data!R$8, $D$6)), data!R39 ), "")</f>
        <v>5.85</v>
      </c>
      <c r="K38" s="33" cm="1">
        <f t="array" aca="1" ref="K38" ca="1">IFERROR( CHOOSE( data!$B$7,
IF(_xll.IMDP("IR", data!$B39, data!S$8, $D$6)=0,"",_xll.IMDP("IR", data!$B39, data!S$8, $D$6)),
IF(_xll.IMDP("IR", data!$C39, data!S$8, $D$6)=0,"",_xll.IMDP("IR", data!$C39, data!S$8, $D$6)), data!S39 ), "")</f>
        <v>5.931</v>
      </c>
      <c r="L38" s="33" cm="1">
        <f t="array" aca="1" ref="L38" ca="1">IFERROR( CHOOSE( data!$B$7,
IF(_xll.IMDP("IR", data!$B39, data!T$8, $D$6)=0,"",_xll.IMDP("IR", data!$B39, data!T$8, $D$6)),
IF(_xll.IMDP("IR", data!$C39, data!T$8, $D$6)=0,"",_xll.IMDP("IR", data!$C39, data!T$8, $D$6)), data!T39 ), "")</f>
        <v>6.0220000000000002</v>
      </c>
      <c r="M38" s="33" cm="1">
        <f t="array" aca="1" ref="M38" ca="1">IFERROR( CHOOSE( data!$B$7,
IF(_xll.IMDP("IR", data!$B39, data!U$8, $D$6)=0,"",_xll.IMDP("IR", data!$B39, data!U$8, $D$6)),
IF(_xll.IMDP("IR", data!$C39, data!U$8, $D$6)=0,"",_xll.IMDP("IR", data!$C39, data!U$8, $D$6)), data!U39 ), "")</f>
        <v>6.0789999999999997</v>
      </c>
      <c r="N38" s="33" cm="1">
        <f t="array" aca="1" ref="N38" ca="1">IFERROR( CHOOSE( data!$B$7,
IF(_xll.IMDP("IR", data!$B39, data!V$8, $D$6)=0,"",_xll.IMDP("IR", data!$B39, data!V$8, $D$6)),
IF(_xll.IMDP("IR", data!$C39, data!V$8, $D$6)=0,"",_xll.IMDP("IR", data!$C39, data!V$8, $D$6)), data!V39 ), "")</f>
        <v>6.1379999999999999</v>
      </c>
      <c r="O38" s="33" cm="1">
        <f t="array" aca="1" ref="O38" ca="1">IFERROR( CHOOSE( data!$B$7,
IF(_xll.IMDP("IR", data!$B39, data!W$8, $D$6)=0,"",_xll.IMDP("IR", data!$B39, data!W$8, $D$6)),
IF(_xll.IMDP("IR", data!$C39, data!W$8, $D$6)=0,"",_xll.IMDP("IR", data!$C39, data!W$8, $D$6)), data!W39 ), "")</f>
        <v>6.2030000000000003</v>
      </c>
      <c r="P38" s="33" cm="1">
        <f t="array" aca="1" ref="P38" ca="1">IFERROR( CHOOSE( data!$B$7,
IF(_xll.IMDP("IR", data!$B39, data!X$8, $D$6)=0,"",_xll.IMDP("IR", data!$B39, data!X$8, $D$6)),
IF(_xll.IMDP("IR", data!$C39, data!X$8, $D$6)=0,"",_xll.IMDP("IR", data!$C39, data!X$8, $D$6)), data!X39 ), "")</f>
        <v>6.4809999999999999</v>
      </c>
      <c r="Q38" s="33" cm="1">
        <f t="array" aca="1" ref="Q38" ca="1">IFERROR( CHOOSE( data!$B$7,
IF(_xll.IMDP("IR", data!$B39, data!Y$8, $D$6)=0,"",_xll.IMDP("IR", data!$B39, data!Y$8, $D$6)),
IF(_xll.IMDP("IR", data!$C39, data!Y$8, $D$6)=0,"",_xll.IMDP("IR", data!$C39, data!Y$8, $D$6)), data!Y39 ), "")</f>
        <v>6.7320000000000002</v>
      </c>
      <c r="R38" s="33" cm="1">
        <f t="array" aca="1" ref="R38" ca="1">IFERROR( CHOOSE( data!$B$7,
IF(_xll.IMDP("IR", data!$B39, data!Z$8, $D$6)=0,"",_xll.IMDP("IR", data!$B39, data!Z$8, $D$6)),
IF(_xll.IMDP("IR", data!$C39, data!Z$8, $D$6)=0,"",_xll.IMDP("IR", data!$C39, data!Z$8, $D$6)), data!Z39 ), "")</f>
        <v>6.819</v>
      </c>
      <c r="S38" s="33" t="str" cm="1">
        <f t="array" aca="1" ref="S38" ca="1">IFERROR( CHOOSE( data!$B$7,
IF(_xll.IMDP("IR", data!$B39, data!AA$8, $D$6)=0,"",_xll.IMDP("IR", data!$B39, data!AA$8, $D$6)),
IF(_xll.IMDP("IR", data!$C39, data!AA$8, $D$6)=0,"",_xll.IMDP("IR", data!$C39, data!AA$8, $D$6)), data!AA39 ), "")</f>
        <v/>
      </c>
      <c r="T38" s="34" t="str" cm="1">
        <f t="array" aca="1" ref="T38" ca="1">IFERROR( CHOOSE( data!$B$7,
IF(_xll.IMDP("IR", data!$B39, data!AB$8, $D$6)=0,"",_xll.IMDP("IR", data!$B39, data!AB$8, $D$6)),
IF(_xll.IMDP("IR", data!$C39, data!AB$8, $D$6)=0,"",_xll.IMDP("IR", data!$C39, data!AB$8, $D$6)), data!AB39 ), "")</f>
        <v/>
      </c>
    </row>
    <row r="39" spans="2:20" s="4" customFormat="1" ht="12">
      <c r="B39" s="12"/>
      <c r="C39" s="67"/>
      <c r="D39" s="16" t="s">
        <v>44</v>
      </c>
      <c r="E39" s="32" cm="1">
        <f t="array" aca="1" ref="E39" ca="1">IFERROR( CHOOSE( data!$B$7,
IF(_xll.IMDP("IR", data!$B40, data!M$8, $D$6)=0,"",_xll.IMDP("IR", data!$B40, data!M$8, $D$6)),
IF(_xll.IMDP("IR", data!$C40, data!M$8, $D$6)=0,"",_xll.IMDP("IR", data!$C40, data!M$8, $D$6)), data!M40 ), "")</f>
        <v>5.93</v>
      </c>
      <c r="F39" s="33" cm="1">
        <f t="array" aca="1" ref="F39" ca="1">IFERROR( CHOOSE( data!$B$7,
IF(_xll.IMDP("IR", data!$B40, data!N$8, $D$6)=0,"",_xll.IMDP("IR", data!$B40, data!N$8, $D$6)),
IF(_xll.IMDP("IR", data!$C40, data!N$8, $D$6)=0,"",_xll.IMDP("IR", data!$C40, data!N$8, $D$6)), data!N40 ), "")</f>
        <v>6.5739999999999998</v>
      </c>
      <c r="G39" s="33" cm="1">
        <f t="array" aca="1" ref="G39" ca="1">IFERROR( CHOOSE( data!$B$7,
IF(_xll.IMDP("IR", data!$B40, data!O$8, $D$6)=0,"",_xll.IMDP("IR", data!$B40, data!O$8, $D$6)),
IF(_xll.IMDP("IR", data!$C40, data!O$8, $D$6)=0,"",_xll.IMDP("IR", data!$C40, data!O$8, $D$6)), data!O40 ), "")</f>
        <v>6.83</v>
      </c>
      <c r="H39" s="33" cm="1">
        <f t="array" aca="1" ref="H39" ca="1">IFERROR( CHOOSE( data!$B$7,
IF(_xll.IMDP("IR", data!$B40, data!P$8, $D$6)=0,"",_xll.IMDP("IR", data!$B40, data!P$8, $D$6)),
IF(_xll.IMDP("IR", data!$C40, data!P$8, $D$6)=0,"",_xll.IMDP("IR", data!$C40, data!P$8, $D$6)), data!P40 ), "")</f>
        <v>6.89</v>
      </c>
      <c r="I39" s="33" cm="1">
        <f t="array" aca="1" ref="I39" ca="1">IFERROR( CHOOSE( data!$B$7,
IF(_xll.IMDP("IR", data!$B40, data!Q$8, $D$6)=0,"",_xll.IMDP("IR", data!$B40, data!Q$8, $D$6)),
IF(_xll.IMDP("IR", data!$C40, data!Q$8, $D$6)=0,"",_xll.IMDP("IR", data!$C40, data!Q$8, $D$6)), data!Q40 ), "")</f>
        <v>6.9660000000000002</v>
      </c>
      <c r="J39" s="33" cm="1">
        <f t="array" aca="1" ref="J39" ca="1">IFERROR( CHOOSE( data!$B$7,
IF(_xll.IMDP("IR", data!$B40, data!R$8, $D$6)=0,"",_xll.IMDP("IR", data!$B40, data!R$8, $D$6)),
IF(_xll.IMDP("IR", data!$C40, data!R$8, $D$6)=0,"",_xll.IMDP("IR", data!$C40, data!R$8, $D$6)), data!R40 ), "")</f>
        <v>7.2530000000000001</v>
      </c>
      <c r="K39" s="33" cm="1">
        <f t="array" aca="1" ref="K39" ca="1">IFERROR( CHOOSE( data!$B$7,
IF(_xll.IMDP("IR", data!$B40, data!S$8, $D$6)=0,"",_xll.IMDP("IR", data!$B40, data!S$8, $D$6)),
IF(_xll.IMDP("IR", data!$C40, data!S$8, $D$6)=0,"",_xll.IMDP("IR", data!$C40, data!S$8, $D$6)), data!S40 ), "")</f>
        <v>7.359</v>
      </c>
      <c r="L39" s="33" cm="1">
        <f t="array" aca="1" ref="L39" ca="1">IFERROR( CHOOSE( data!$B$7,
IF(_xll.IMDP("IR", data!$B40, data!T$8, $D$6)=0,"",_xll.IMDP("IR", data!$B40, data!T$8, $D$6)),
IF(_xll.IMDP("IR", data!$C40, data!T$8, $D$6)=0,"",_xll.IMDP("IR", data!$C40, data!T$8, $D$6)), data!T40 ), "")</f>
        <v>7.3949999999999996</v>
      </c>
      <c r="M39" s="33" cm="1">
        <f t="array" aca="1" ref="M39" ca="1">IFERROR( CHOOSE( data!$B$7,
IF(_xll.IMDP("IR", data!$B40, data!U$8, $D$6)=0,"",_xll.IMDP("IR", data!$B40, data!U$8, $D$6)),
IF(_xll.IMDP("IR", data!$C40, data!U$8, $D$6)=0,"",_xll.IMDP("IR", data!$C40, data!U$8, $D$6)), data!U40 ), "")</f>
        <v>7.4029999999999996</v>
      </c>
      <c r="N39" s="33" cm="1">
        <f t="array" aca="1" ref="N39" ca="1">IFERROR( CHOOSE( data!$B$7,
IF(_xll.IMDP("IR", data!$B40, data!V$8, $D$6)=0,"",_xll.IMDP("IR", data!$B40, data!V$8, $D$6)),
IF(_xll.IMDP("IR", data!$C40, data!V$8, $D$6)=0,"",_xll.IMDP("IR", data!$C40, data!V$8, $D$6)), data!V40 ), "")</f>
        <v>7.4539999999999997</v>
      </c>
      <c r="O39" s="33" cm="1">
        <f t="array" aca="1" ref="O39" ca="1">IFERROR( CHOOSE( data!$B$7,
IF(_xll.IMDP("IR", data!$B40, data!W$8, $D$6)=0,"",_xll.IMDP("IR", data!$B40, data!W$8, $D$6)),
IF(_xll.IMDP("IR", data!$C40, data!W$8, $D$6)=0,"",_xll.IMDP("IR", data!$C40, data!W$8, $D$6)), data!W40 ), "")</f>
        <v>7.5049999999999999</v>
      </c>
      <c r="P39" s="33" cm="1">
        <f t="array" aca="1" ref="P39" ca="1">IFERROR( CHOOSE( data!$B$7,
IF(_xll.IMDP("IR", data!$B40, data!X$8, $D$6)=0,"",_xll.IMDP("IR", data!$B40, data!X$8, $D$6)),
IF(_xll.IMDP("IR", data!$C40, data!X$8, $D$6)=0,"",_xll.IMDP("IR", data!$C40, data!X$8, $D$6)), data!X40 ), "")</f>
        <v>7.78</v>
      </c>
      <c r="Q39" s="33" cm="1">
        <f t="array" aca="1" ref="Q39" ca="1">IFERROR( CHOOSE( data!$B$7,
IF(_xll.IMDP("IR", data!$B40, data!Y$8, $D$6)=0,"",_xll.IMDP("IR", data!$B40, data!Y$8, $D$6)),
IF(_xll.IMDP("IR", data!$C40, data!Y$8, $D$6)=0,"",_xll.IMDP("IR", data!$C40, data!Y$8, $D$6)), data!Y40 ), "")</f>
        <v>8.0489999999999995</v>
      </c>
      <c r="R39" s="33" cm="1">
        <f t="array" aca="1" ref="R39" ca="1">IFERROR( CHOOSE( data!$B$7,
IF(_xll.IMDP("IR", data!$B40, data!Z$8, $D$6)=0,"",_xll.IMDP("IR", data!$B40, data!Z$8, $D$6)),
IF(_xll.IMDP("IR", data!$C40, data!Z$8, $D$6)=0,"",_xll.IMDP("IR", data!$C40, data!Z$8, $D$6)), data!Z40 ), "")</f>
        <v>8.2520000000000007</v>
      </c>
      <c r="S39" s="33" t="str" cm="1">
        <f t="array" aca="1" ref="S39" ca="1">IFERROR( CHOOSE( data!$B$7,
IF(_xll.IMDP("IR", data!$B40, data!AA$8, $D$6)=0,"",_xll.IMDP("IR", data!$B40, data!AA$8, $D$6)),
IF(_xll.IMDP("IR", data!$C40, data!AA$8, $D$6)=0,"",_xll.IMDP("IR", data!$C40, data!AA$8, $D$6)), data!AA40 ), "")</f>
        <v/>
      </c>
      <c r="T39" s="34" t="str" cm="1">
        <f t="array" aca="1" ref="T39" ca="1">IFERROR( CHOOSE( data!$B$7,
IF(_xll.IMDP("IR", data!$B40, data!AB$8, $D$6)=0,"",_xll.IMDP("IR", data!$B40, data!AB$8, $D$6)),
IF(_xll.IMDP("IR", data!$C40, data!AB$8, $D$6)=0,"",_xll.IMDP("IR", data!$C40, data!AB$8, $D$6)), data!AB40 ), "")</f>
        <v/>
      </c>
    </row>
    <row r="40" spans="2:20" s="4" customFormat="1" ht="12">
      <c r="B40" s="12"/>
      <c r="C40" s="67"/>
      <c r="D40" s="16" t="s">
        <v>45</v>
      </c>
      <c r="E40" s="32" cm="1">
        <f t="array" aca="1" ref="E40" ca="1">IFERROR( CHOOSE( data!$B$7,
IF(_xll.IMDP("IR", data!$B41, data!M$8, $D$6)=0,"",_xll.IMDP("IR", data!$B41, data!M$8, $D$6)),
IF(_xll.IMDP("IR", data!$C41, data!M$8, $D$6)=0,"",_xll.IMDP("IR", data!$C41, data!M$8, $D$6)), data!M41 ), "")</f>
        <v>6.5759999999999996</v>
      </c>
      <c r="F40" s="33" cm="1">
        <f t="array" aca="1" ref="F40" ca="1">IFERROR( CHOOSE( data!$B$7,
IF(_xll.IMDP("IR", data!$B41, data!N$8, $D$6)=0,"",_xll.IMDP("IR", data!$B41, data!N$8, $D$6)),
IF(_xll.IMDP("IR", data!$C41, data!N$8, $D$6)=0,"",_xll.IMDP("IR", data!$C41, data!N$8, $D$6)), data!N41 ), "")</f>
        <v>7.2939999999999996</v>
      </c>
      <c r="G40" s="33" cm="1">
        <f t="array" aca="1" ref="G40" ca="1">IFERROR( CHOOSE( data!$B$7,
IF(_xll.IMDP("IR", data!$B41, data!O$8, $D$6)=0,"",_xll.IMDP("IR", data!$B41, data!O$8, $D$6)),
IF(_xll.IMDP("IR", data!$C41, data!O$8, $D$6)=0,"",_xll.IMDP("IR", data!$C41, data!O$8, $D$6)), data!O41 ), "")</f>
        <v>7.5679999999999996</v>
      </c>
      <c r="H40" s="33" cm="1">
        <f t="array" aca="1" ref="H40" ca="1">IFERROR( CHOOSE( data!$B$7,
IF(_xll.IMDP("IR", data!$B41, data!P$8, $D$6)=0,"",_xll.IMDP("IR", data!$B41, data!P$8, $D$6)),
IF(_xll.IMDP("IR", data!$C41, data!P$8, $D$6)=0,"",_xll.IMDP("IR", data!$C41, data!P$8, $D$6)), data!P41 ), "")</f>
        <v>7.6840000000000002</v>
      </c>
      <c r="I40" s="33" cm="1">
        <f t="array" aca="1" ref="I40" ca="1">IFERROR( CHOOSE( data!$B$7,
IF(_xll.IMDP("IR", data!$B41, data!Q$8, $D$6)=0,"",_xll.IMDP("IR", data!$B41, data!Q$8, $D$6)),
IF(_xll.IMDP("IR", data!$C41, data!Q$8, $D$6)=0,"",_xll.IMDP("IR", data!$C41, data!Q$8, $D$6)), data!Q41 ), "")</f>
        <v>7.76</v>
      </c>
      <c r="J40" s="33" cm="1">
        <f t="array" aca="1" ref="J40" ca="1">IFERROR( CHOOSE( data!$B$7,
IF(_xll.IMDP("IR", data!$B41, data!R$8, $D$6)=0,"",_xll.IMDP("IR", data!$B41, data!R$8, $D$6)),
IF(_xll.IMDP("IR", data!$C41, data!R$8, $D$6)=0,"",_xll.IMDP("IR", data!$C41, data!R$8, $D$6)), data!R41 ), "")</f>
        <v>8.0960000000000001</v>
      </c>
      <c r="K40" s="33" cm="1">
        <f t="array" aca="1" ref="K40" ca="1">IFERROR( CHOOSE( data!$B$7,
IF(_xll.IMDP("IR", data!$B41, data!S$8, $D$6)=0,"",_xll.IMDP("IR", data!$B41, data!S$8, $D$6)),
IF(_xll.IMDP("IR", data!$C41, data!S$8, $D$6)=0,"",_xll.IMDP("IR", data!$C41, data!S$8, $D$6)), data!S41 ), "")</f>
        <v>8.2629999999999999</v>
      </c>
      <c r="L40" s="33" cm="1">
        <f t="array" aca="1" ref="L40" ca="1">IFERROR( CHOOSE( data!$B$7,
IF(_xll.IMDP("IR", data!$B41, data!T$8, $D$6)=0,"",_xll.IMDP("IR", data!$B41, data!T$8, $D$6)),
IF(_xll.IMDP("IR", data!$C41, data!T$8, $D$6)=0,"",_xll.IMDP("IR", data!$C41, data!T$8, $D$6)), data!T41 ), "")</f>
        <v>8.3079999999999998</v>
      </c>
      <c r="M40" s="33" cm="1">
        <f t="array" aca="1" ref="M40" ca="1">IFERROR( CHOOSE( data!$B$7,
IF(_xll.IMDP("IR", data!$B41, data!U$8, $D$6)=0,"",_xll.IMDP("IR", data!$B41, data!U$8, $D$6)),
IF(_xll.IMDP("IR", data!$C41, data!U$8, $D$6)=0,"",_xll.IMDP("IR", data!$C41, data!U$8, $D$6)), data!U41 ), "")</f>
        <v>8.3409999999999993</v>
      </c>
      <c r="N40" s="33" cm="1">
        <f t="array" aca="1" ref="N40" ca="1">IFERROR( CHOOSE( data!$B$7,
IF(_xll.IMDP("IR", data!$B41, data!V$8, $D$6)=0,"",_xll.IMDP("IR", data!$B41, data!V$8, $D$6)),
IF(_xll.IMDP("IR", data!$C41, data!V$8, $D$6)=0,"",_xll.IMDP("IR", data!$C41, data!V$8, $D$6)), data!V41 ), "")</f>
        <v>8.4819999999999993</v>
      </c>
      <c r="O40" s="33" cm="1">
        <f t="array" aca="1" ref="O40" ca="1">IFERROR( CHOOSE( data!$B$7,
IF(_xll.IMDP("IR", data!$B41, data!W$8, $D$6)=0,"",_xll.IMDP("IR", data!$B41, data!W$8, $D$6)),
IF(_xll.IMDP("IR", data!$C41, data!W$8, $D$6)=0,"",_xll.IMDP("IR", data!$C41, data!W$8, $D$6)), data!W41 ), "")</f>
        <v>8.5939999999999994</v>
      </c>
      <c r="P40" s="33" cm="1">
        <f t="array" aca="1" ref="P40" ca="1">IFERROR( CHOOSE( data!$B$7,
IF(_xll.IMDP("IR", data!$B41, data!X$8, $D$6)=0,"",_xll.IMDP("IR", data!$B41, data!X$8, $D$6)),
IF(_xll.IMDP("IR", data!$C41, data!X$8, $D$6)=0,"",_xll.IMDP("IR", data!$C41, data!X$8, $D$6)), data!X41 ), "")</f>
        <v>9.0779999999999994</v>
      </c>
      <c r="Q40" s="33" cm="1">
        <f t="array" aca="1" ref="Q40" ca="1">IFERROR( CHOOSE( data!$B$7,
IF(_xll.IMDP("IR", data!$B41, data!Y$8, $D$6)=0,"",_xll.IMDP("IR", data!$B41, data!Y$8, $D$6)),
IF(_xll.IMDP("IR", data!$C41, data!Y$8, $D$6)=0,"",_xll.IMDP("IR", data!$C41, data!Y$8, $D$6)), data!Y41 ), "")</f>
        <v>9.4510000000000005</v>
      </c>
      <c r="R40" s="33" cm="1">
        <f t="array" aca="1" ref="R40" ca="1">IFERROR( CHOOSE( data!$B$7,
IF(_xll.IMDP("IR", data!$B41, data!Z$8, $D$6)=0,"",_xll.IMDP("IR", data!$B41, data!Z$8, $D$6)),
IF(_xll.IMDP("IR", data!$C41, data!Z$8, $D$6)=0,"",_xll.IMDP("IR", data!$C41, data!Z$8, $D$6)), data!Z41 ), "")</f>
        <v>9.7780000000000005</v>
      </c>
      <c r="S40" s="33" t="str" cm="1">
        <f t="array" aca="1" ref="S40" ca="1">IFERROR( CHOOSE( data!$B$7,
IF(_xll.IMDP("IR", data!$B41, data!AA$8, $D$6)=0,"",_xll.IMDP("IR", data!$B41, data!AA$8, $D$6)),
IF(_xll.IMDP("IR", data!$C41, data!AA$8, $D$6)=0,"",_xll.IMDP("IR", data!$C41, data!AA$8, $D$6)), data!AA41 ), "")</f>
        <v/>
      </c>
      <c r="T40" s="34" t="str" cm="1">
        <f t="array" aca="1" ref="T40" ca="1">IFERROR( CHOOSE( data!$B$7,
IF(_xll.IMDP("IR", data!$B41, data!AB$8, $D$6)=0,"",_xll.IMDP("IR", data!$B41, data!AB$8, $D$6)),
IF(_xll.IMDP("IR", data!$C41, data!AB$8, $D$6)=0,"",_xll.IMDP("IR", data!$C41, data!AB$8, $D$6)), data!AB41 ), "")</f>
        <v/>
      </c>
    </row>
    <row r="41" spans="2:20" s="4" customFormat="1" ht="12">
      <c r="B41" s="12"/>
      <c r="C41" s="67"/>
      <c r="D41" s="18" t="s">
        <v>46</v>
      </c>
      <c r="E41" s="38" cm="1">
        <f t="array" aca="1" ref="E41" ca="1">IFERROR( CHOOSE( data!$B$7,
IF(_xll.IMDP("IR", data!$B42, data!M$8, $D$6)=0,"",_xll.IMDP("IR", data!$B42, data!M$8, $D$6)),
IF(_xll.IMDP("IR", data!$C42, data!M$8, $D$6)=0,"",_xll.IMDP("IR", data!$C42, data!M$8, $D$6)), data!M42 ), "")</f>
        <v>7.9219999999999997</v>
      </c>
      <c r="F41" s="39" cm="1">
        <f t="array" aca="1" ref="F41" ca="1">IFERROR( CHOOSE( data!$B$7,
IF(_xll.IMDP("IR", data!$B42, data!N$8, $D$6)=0,"",_xll.IMDP("IR", data!$B42, data!N$8, $D$6)),
IF(_xll.IMDP("IR", data!$C42, data!N$8, $D$6)=0,"",_xll.IMDP("IR", data!$C42, data!N$8, $D$6)), data!N42 ), "")</f>
        <v>8.6319999999999997</v>
      </c>
      <c r="G41" s="39" cm="1">
        <f t="array" aca="1" ref="G41" ca="1">IFERROR( CHOOSE( data!$B$7,
IF(_xll.IMDP("IR", data!$B42, data!O$8, $D$6)=0,"",_xll.IMDP("IR", data!$B42, data!O$8, $D$6)),
IF(_xll.IMDP("IR", data!$C42, data!O$8, $D$6)=0,"",_xll.IMDP("IR", data!$C42, data!O$8, $D$6)), data!O42 ), "")</f>
        <v>8.9410000000000007</v>
      </c>
      <c r="H41" s="39" cm="1">
        <f t="array" aca="1" ref="H41" ca="1">IFERROR( CHOOSE( data!$B$7,
IF(_xll.IMDP("IR", data!$B42, data!P$8, $D$6)=0,"",_xll.IMDP("IR", data!$B42, data!P$8, $D$6)),
IF(_xll.IMDP("IR", data!$C42, data!P$8, $D$6)=0,"",_xll.IMDP("IR", data!$C42, data!P$8, $D$6)), data!P42 ), "")</f>
        <v>9.0109999999999992</v>
      </c>
      <c r="I41" s="39" cm="1">
        <f t="array" aca="1" ref="I41" ca="1">IFERROR( CHOOSE( data!$B$7,
IF(_xll.IMDP("IR", data!$B42, data!Q$8, $D$6)=0,"",_xll.IMDP("IR", data!$B42, data!Q$8, $D$6)),
IF(_xll.IMDP("IR", data!$C42, data!Q$8, $D$6)=0,"",_xll.IMDP("IR", data!$C42, data!Q$8, $D$6)), data!Q42 ), "")</f>
        <v>9.0920000000000005</v>
      </c>
      <c r="J41" s="39" cm="1">
        <f t="array" aca="1" ref="J41" ca="1">IFERROR( CHOOSE( data!$B$7,
IF(_xll.IMDP("IR", data!$B42, data!R$8, $D$6)=0,"",_xll.IMDP("IR", data!$B42, data!R$8, $D$6)),
IF(_xll.IMDP("IR", data!$C42, data!R$8, $D$6)=0,"",_xll.IMDP("IR", data!$C42, data!R$8, $D$6)), data!R42 ), "")</f>
        <v>9.4629999999999992</v>
      </c>
      <c r="K41" s="39" cm="1">
        <f t="array" aca="1" ref="K41" ca="1">IFERROR( CHOOSE( data!$B$7,
IF(_xll.IMDP("IR", data!$B42, data!S$8, $D$6)=0,"",_xll.IMDP("IR", data!$B42, data!S$8, $D$6)),
IF(_xll.IMDP("IR", data!$C42, data!S$8, $D$6)=0,"",_xll.IMDP("IR", data!$C42, data!S$8, $D$6)), data!S42 ), "")</f>
        <v>9.6419999999999995</v>
      </c>
      <c r="L41" s="39" cm="1">
        <f t="array" aca="1" ref="L41" ca="1">IFERROR( CHOOSE( data!$B$7,
IF(_xll.IMDP("IR", data!$B42, data!T$8, $D$6)=0,"",_xll.IMDP("IR", data!$B42, data!T$8, $D$6)),
IF(_xll.IMDP("IR", data!$C42, data!T$8, $D$6)=0,"",_xll.IMDP("IR", data!$C42, data!T$8, $D$6)), data!T42 ), "")</f>
        <v>9.6910000000000007</v>
      </c>
      <c r="M41" s="39" cm="1">
        <f t="array" aca="1" ref="M41" ca="1">IFERROR( CHOOSE( data!$B$7,
IF(_xll.IMDP("IR", data!$B42, data!U$8, $D$6)=0,"",_xll.IMDP("IR", data!$B42, data!U$8, $D$6)),
IF(_xll.IMDP("IR", data!$C42, data!U$8, $D$6)=0,"",_xll.IMDP("IR", data!$C42, data!U$8, $D$6)), data!U42 ), "")</f>
        <v>9.7360000000000007</v>
      </c>
      <c r="N41" s="39" cm="1">
        <f t="array" aca="1" ref="N41" ca="1">IFERROR( CHOOSE( data!$B$7,
IF(_xll.IMDP("IR", data!$B42, data!V$8, $D$6)=0,"",_xll.IMDP("IR", data!$B42, data!V$8, $D$6)),
IF(_xll.IMDP("IR", data!$C42, data!V$8, $D$6)=0,"",_xll.IMDP("IR", data!$C42, data!V$8, $D$6)), data!V42 ), "")</f>
        <v>9.923</v>
      </c>
      <c r="O41" s="39" cm="1">
        <f t="array" aca="1" ref="O41" ca="1">IFERROR( CHOOSE( data!$B$7,
IF(_xll.IMDP("IR", data!$B42, data!W$8, $D$6)=0,"",_xll.IMDP("IR", data!$B42, data!W$8, $D$6)),
IF(_xll.IMDP("IR", data!$C42, data!W$8, $D$6)=0,"",_xll.IMDP("IR", data!$C42, data!W$8, $D$6)), data!W42 ), "")</f>
        <v>10.039999999999999</v>
      </c>
      <c r="P41" s="39" cm="1">
        <f t="array" aca="1" ref="P41" ca="1">IFERROR( CHOOSE( data!$B$7,
IF(_xll.IMDP("IR", data!$B42, data!X$8, $D$6)=0,"",_xll.IMDP("IR", data!$B42, data!X$8, $D$6)),
IF(_xll.IMDP("IR", data!$C42, data!X$8, $D$6)=0,"",_xll.IMDP("IR", data!$C42, data!X$8, $D$6)), data!X42 ), "")</f>
        <v>10.438000000000001</v>
      </c>
      <c r="Q41" s="39" cm="1">
        <f t="array" aca="1" ref="Q41" ca="1">IFERROR( CHOOSE( data!$B$7,
IF(_xll.IMDP("IR", data!$B42, data!Y$8, $D$6)=0,"",_xll.IMDP("IR", data!$B42, data!Y$8, $D$6)),
IF(_xll.IMDP("IR", data!$C42, data!Y$8, $D$6)=0,"",_xll.IMDP("IR", data!$C42, data!Y$8, $D$6)), data!Y42 ), "")</f>
        <v>10.785</v>
      </c>
      <c r="R41" s="39" cm="1">
        <f t="array" aca="1" ref="R41" ca="1">IFERROR( CHOOSE( data!$B$7,
IF(_xll.IMDP("IR", data!$B42, data!Z$8, $D$6)=0,"",_xll.IMDP("IR", data!$B42, data!Z$8, $D$6)),
IF(_xll.IMDP("IR", data!$C42, data!Z$8, $D$6)=0,"",_xll.IMDP("IR", data!$C42, data!Z$8, $D$6)), data!Z42 ), "")</f>
        <v>11.081</v>
      </c>
      <c r="S41" s="39" t="str" cm="1">
        <f t="array" aca="1" ref="S41" ca="1">IFERROR( CHOOSE( data!$B$7,
IF(_xll.IMDP("IR", data!$B42, data!AA$8, $D$6)=0,"",_xll.IMDP("IR", data!$B42, data!AA$8, $D$6)),
IF(_xll.IMDP("IR", data!$C42, data!AA$8, $D$6)=0,"",_xll.IMDP("IR", data!$C42, data!AA$8, $D$6)), data!AA42 ), "")</f>
        <v/>
      </c>
      <c r="T41" s="40" t="str" cm="1">
        <f t="array" aca="1" ref="T41" ca="1">IFERROR( CHOOSE( data!$B$7,
IF(_xll.IMDP("IR", data!$B42, data!AB$8, $D$6)=0,"",_xll.IMDP("IR", data!$B42, data!AB$8, $D$6)),
IF(_xll.IMDP("IR", data!$C42, data!AB$8, $D$6)=0,"",_xll.IMDP("IR", data!$C42, data!AB$8, $D$6)), data!AB42 ), "")</f>
        <v/>
      </c>
    </row>
    <row r="42" spans="2:20" s="4" customFormat="1" ht="12">
      <c r="B42" s="12"/>
      <c r="C42" s="67" t="s">
        <v>47</v>
      </c>
      <c r="D42" s="19" t="s">
        <v>28</v>
      </c>
      <c r="E42" s="41" cm="1">
        <f t="array" aca="1" ref="E42" ca="1">IFERROR( CHOOSE( data!$B$7,
IF(_xll.IMDP("IR", data!$B43, data!M$8, $D$6)=0,"",_xll.IMDP("IR", data!$B43, data!M$8, $D$6)),
IF(_xll.IMDP("IR", data!$C43, data!M$8, $D$6)=0,"",_xll.IMDP("IR", data!$C43, data!M$8, $D$6)), data!M43 ), "")</f>
        <v>3.4289999999999998</v>
      </c>
      <c r="F42" s="42" cm="1">
        <f t="array" aca="1" ref="F42" ca="1">IFERROR( CHOOSE( data!$B$7,
IF(_xll.IMDP("IR", data!$B43, data!N$8, $D$6)=0,"",_xll.IMDP("IR", data!$B43, data!N$8, $D$6)),
IF(_xll.IMDP("IR", data!$C43, data!N$8, $D$6)=0,"",_xll.IMDP("IR", data!$C43, data!N$8, $D$6)), data!N43 ), "")</f>
        <v>3.415</v>
      </c>
      <c r="G42" s="42" cm="1">
        <f t="array" aca="1" ref="G42" ca="1">IFERROR( CHOOSE( data!$B$7,
IF(_xll.IMDP("IR", data!$B43, data!O$8, $D$6)=0,"",_xll.IMDP("IR", data!$B43, data!O$8, $D$6)),
IF(_xll.IMDP("IR", data!$C43, data!O$8, $D$6)=0,"",_xll.IMDP("IR", data!$C43, data!O$8, $D$6)), data!O43 ), "")</f>
        <v>3.3809999999999998</v>
      </c>
      <c r="H42" s="42" cm="1">
        <f t="array" aca="1" ref="H42" ca="1">IFERROR( CHOOSE( data!$B$7,
IF(_xll.IMDP("IR", data!$B43, data!P$8, $D$6)=0,"",_xll.IMDP("IR", data!$B43, data!P$8, $D$6)),
IF(_xll.IMDP("IR", data!$C43, data!P$8, $D$6)=0,"",_xll.IMDP("IR", data!$C43, data!P$8, $D$6)), data!P43 ), "")</f>
        <v>3.395</v>
      </c>
      <c r="I42" s="42" cm="1">
        <f t="array" aca="1" ref="I42" ca="1">IFERROR( CHOOSE( data!$B$7,
IF(_xll.IMDP("IR", data!$B43, data!Q$8, $D$6)=0,"",_xll.IMDP("IR", data!$B43, data!Q$8, $D$6)),
IF(_xll.IMDP("IR", data!$C43, data!Q$8, $D$6)=0,"",_xll.IMDP("IR", data!$C43, data!Q$8, $D$6)), data!Q43 ), "")</f>
        <v>3.4449999999999998</v>
      </c>
      <c r="J42" s="42" cm="1">
        <f t="array" aca="1" ref="J42" ca="1">IFERROR( CHOOSE( data!$B$7,
IF(_xll.IMDP("IR", data!$B43, data!R$8, $D$6)=0,"",_xll.IMDP("IR", data!$B43, data!R$8, $D$6)),
IF(_xll.IMDP("IR", data!$C43, data!R$8, $D$6)=0,"",_xll.IMDP("IR", data!$C43, data!R$8, $D$6)), data!R43 ), "")</f>
        <v>3.4169999999999998</v>
      </c>
      <c r="K42" s="42" cm="1">
        <f t="array" aca="1" ref="K42" ca="1">IFERROR( CHOOSE( data!$B$7,
IF(_xll.IMDP("IR", data!$B43, data!S$8, $D$6)=0,"",_xll.IMDP("IR", data!$B43, data!S$8, $D$6)),
IF(_xll.IMDP("IR", data!$C43, data!S$8, $D$6)=0,"",_xll.IMDP("IR", data!$C43, data!S$8, $D$6)), data!S43 ), "")</f>
        <v>3.3740000000000001</v>
      </c>
      <c r="L42" s="42" cm="1">
        <f t="array" aca="1" ref="L42" ca="1">IFERROR( CHOOSE( data!$B$7,
IF(_xll.IMDP("IR", data!$B43, data!T$8, $D$6)=0,"",_xll.IMDP("IR", data!$B43, data!T$8, $D$6)),
IF(_xll.IMDP("IR", data!$C43, data!T$8, $D$6)=0,"",_xll.IMDP("IR", data!$C43, data!T$8, $D$6)), data!T43 ), "")</f>
        <v>3.3580000000000001</v>
      </c>
      <c r="M42" s="42" cm="1">
        <f t="array" aca="1" ref="M42" ca="1">IFERROR( CHOOSE( data!$B$7,
IF(_xll.IMDP("IR", data!$B43, data!U$8, $D$6)=0,"",_xll.IMDP("IR", data!$B43, data!U$8, $D$6)),
IF(_xll.IMDP("IR", data!$C43, data!U$8, $D$6)=0,"",_xll.IMDP("IR", data!$C43, data!U$8, $D$6)), data!U43 ), "")</f>
        <v>3.3180000000000001</v>
      </c>
      <c r="N42" s="42" cm="1">
        <f t="array" aca="1" ref="N42" ca="1">IFERROR( CHOOSE( data!$B$7,
IF(_xll.IMDP("IR", data!$B43, data!V$8, $D$6)=0,"",_xll.IMDP("IR", data!$B43, data!V$8, $D$6)),
IF(_xll.IMDP("IR", data!$C43, data!V$8, $D$6)=0,"",_xll.IMDP("IR", data!$C43, data!V$8, $D$6)), data!V43 ), "")</f>
        <v>3.3290000000000002</v>
      </c>
      <c r="O42" s="42" cm="1">
        <f t="array" aca="1" ref="O42" ca="1">IFERROR( CHOOSE( data!$B$7,
IF(_xll.IMDP("IR", data!$B43, data!W$8, $D$6)=0,"",_xll.IMDP("IR", data!$B43, data!W$8, $D$6)),
IF(_xll.IMDP("IR", data!$C43, data!W$8, $D$6)=0,"",_xll.IMDP("IR", data!$C43, data!W$8, $D$6)), data!W43 ), "")</f>
        <v>3.7349999999999999</v>
      </c>
      <c r="P42" s="42" cm="1">
        <f t="array" aca="1" ref="P42" ca="1">IFERROR( CHOOSE( data!$B$7,
IF(_xll.IMDP("IR", data!$B43, data!X$8, $D$6)=0,"",_xll.IMDP("IR", data!$B43, data!X$8, $D$6)),
IF(_xll.IMDP("IR", data!$C43, data!X$8, $D$6)=0,"",_xll.IMDP("IR", data!$C43, data!X$8, $D$6)), data!X43 ), "")</f>
        <v>4.32</v>
      </c>
      <c r="Q42" s="42" cm="1">
        <f t="array" aca="1" ref="Q42" ca="1">IFERROR( CHOOSE( data!$B$7,
IF(_xll.IMDP("IR", data!$B43, data!Y$8, $D$6)=0,"",_xll.IMDP("IR", data!$B43, data!Y$8, $D$6)),
IF(_xll.IMDP("IR", data!$C43, data!Y$8, $D$6)=0,"",_xll.IMDP("IR", data!$C43, data!Y$8, $D$6)), data!Y43 ), "")</f>
        <v>4.726</v>
      </c>
      <c r="R42" s="42" cm="1">
        <f t="array" aca="1" ref="R42" ca="1">IFERROR( CHOOSE( data!$B$7,
IF(_xll.IMDP("IR", data!$B43, data!Z$8, $D$6)=0,"",_xll.IMDP("IR", data!$B43, data!Z$8, $D$6)),
IF(_xll.IMDP("IR", data!$C43, data!Z$8, $D$6)=0,"",_xll.IMDP("IR", data!$C43, data!Z$8, $D$6)), data!Z43 ), "")</f>
        <v>4.93</v>
      </c>
      <c r="S42" s="42" t="str" cm="1">
        <f t="array" aca="1" ref="S42" ca="1">IFERROR( CHOOSE( data!$B$7,
IF(_xll.IMDP("IR", data!$B43, data!AA$8, $D$6)=0,"",_xll.IMDP("IR", data!$B43, data!AA$8, $D$6)),
IF(_xll.IMDP("IR", data!$C43, data!AA$8, $D$6)=0,"",_xll.IMDP("IR", data!$C43, data!AA$8, $D$6)), data!AA43 ), "")</f>
        <v/>
      </c>
      <c r="T42" s="43" t="str" cm="1">
        <f t="array" aca="1" ref="T42" ca="1">IFERROR( CHOOSE( data!$B$7,
IF(_xll.IMDP("IR", data!$B43, data!AB$8, $D$6)=0,"",_xll.IMDP("IR", data!$B43, data!AB$8, $D$6)),
IF(_xll.IMDP("IR", data!$C43, data!AB$8, $D$6)=0,"",_xll.IMDP("IR", data!$C43, data!AB$8, $D$6)), data!AB43 ), "")</f>
        <v/>
      </c>
    </row>
    <row r="43" spans="2:20" s="4" customFormat="1" ht="12">
      <c r="B43" s="12"/>
      <c r="C43" s="67"/>
      <c r="D43" s="16" t="s">
        <v>29</v>
      </c>
      <c r="E43" s="32" cm="1">
        <f t="array" aca="1" ref="E43" ca="1">IFERROR( CHOOSE( data!$B$7,
IF(_xll.IMDP("IR", data!$B44, data!M$8, $D$6)=0,"",_xll.IMDP("IR", data!$B44, data!M$8, $D$6)),
IF(_xll.IMDP("IR", data!$C44, data!M$8, $D$6)=0,"",_xll.IMDP("IR", data!$C44, data!M$8, $D$6)), data!M44 ), "")</f>
        <v>3.4569999999999999</v>
      </c>
      <c r="F43" s="33" cm="1">
        <f t="array" aca="1" ref="F43" ca="1">IFERROR( CHOOSE( data!$B$7,
IF(_xll.IMDP("IR", data!$B44, data!N$8, $D$6)=0,"",_xll.IMDP("IR", data!$B44, data!N$8, $D$6)),
IF(_xll.IMDP("IR", data!$C44, data!N$8, $D$6)=0,"",_xll.IMDP("IR", data!$C44, data!N$8, $D$6)), data!N44 ), "")</f>
        <v>3.4390000000000001</v>
      </c>
      <c r="G43" s="33" cm="1">
        <f t="array" aca="1" ref="G43" ca="1">IFERROR( CHOOSE( data!$B$7,
IF(_xll.IMDP("IR", data!$B44, data!O$8, $D$6)=0,"",_xll.IMDP("IR", data!$B44, data!O$8, $D$6)),
IF(_xll.IMDP("IR", data!$C44, data!O$8, $D$6)=0,"",_xll.IMDP("IR", data!$C44, data!O$8, $D$6)), data!O44 ), "")</f>
        <v>3.407</v>
      </c>
      <c r="H43" s="33" cm="1">
        <f t="array" aca="1" ref="H43" ca="1">IFERROR( CHOOSE( data!$B$7,
IF(_xll.IMDP("IR", data!$B44, data!P$8, $D$6)=0,"",_xll.IMDP("IR", data!$B44, data!P$8, $D$6)),
IF(_xll.IMDP("IR", data!$C44, data!P$8, $D$6)=0,"",_xll.IMDP("IR", data!$C44, data!P$8, $D$6)), data!P44 ), "")</f>
        <v>3.4260000000000002</v>
      </c>
      <c r="I43" s="33" cm="1">
        <f t="array" aca="1" ref="I43" ca="1">IFERROR( CHOOSE( data!$B$7,
IF(_xll.IMDP("IR", data!$B44, data!Q$8, $D$6)=0,"",_xll.IMDP("IR", data!$B44, data!Q$8, $D$6)),
IF(_xll.IMDP("IR", data!$C44, data!Q$8, $D$6)=0,"",_xll.IMDP("IR", data!$C44, data!Q$8, $D$6)), data!Q44 ), "")</f>
        <v>3.484</v>
      </c>
      <c r="J43" s="33" cm="1">
        <f t="array" aca="1" ref="J43" ca="1">IFERROR( CHOOSE( data!$B$7,
IF(_xll.IMDP("IR", data!$B44, data!R$8, $D$6)=0,"",_xll.IMDP("IR", data!$B44, data!R$8, $D$6)),
IF(_xll.IMDP("IR", data!$C44, data!R$8, $D$6)=0,"",_xll.IMDP("IR", data!$C44, data!R$8, $D$6)), data!R44 ), "")</f>
        <v>3.4620000000000002</v>
      </c>
      <c r="K43" s="33" cm="1">
        <f t="array" aca="1" ref="K43" ca="1">IFERROR( CHOOSE( data!$B$7,
IF(_xll.IMDP("IR", data!$B44, data!S$8, $D$6)=0,"",_xll.IMDP("IR", data!$B44, data!S$8, $D$6)),
IF(_xll.IMDP("IR", data!$C44, data!S$8, $D$6)=0,"",_xll.IMDP("IR", data!$C44, data!S$8, $D$6)), data!S44 ), "")</f>
        <v>3.4279999999999999</v>
      </c>
      <c r="L43" s="33" cm="1">
        <f t="array" aca="1" ref="L43" ca="1">IFERROR( CHOOSE( data!$B$7,
IF(_xll.IMDP("IR", data!$B44, data!T$8, $D$6)=0,"",_xll.IMDP("IR", data!$B44, data!T$8, $D$6)),
IF(_xll.IMDP("IR", data!$C44, data!T$8, $D$6)=0,"",_xll.IMDP("IR", data!$C44, data!T$8, $D$6)), data!T44 ), "")</f>
        <v>3.4249999999999998</v>
      </c>
      <c r="M43" s="33" cm="1">
        <f t="array" aca="1" ref="M43" ca="1">IFERROR( CHOOSE( data!$B$7,
IF(_xll.IMDP("IR", data!$B44, data!U$8, $D$6)=0,"",_xll.IMDP("IR", data!$B44, data!U$8, $D$6)),
IF(_xll.IMDP("IR", data!$C44, data!U$8, $D$6)=0,"",_xll.IMDP("IR", data!$C44, data!U$8, $D$6)), data!U44 ), "")</f>
        <v>3.4369999999999998</v>
      </c>
      <c r="N43" s="33" cm="1">
        <f t="array" aca="1" ref="N43" ca="1">IFERROR( CHOOSE( data!$B$7,
IF(_xll.IMDP("IR", data!$B44, data!V$8, $D$6)=0,"",_xll.IMDP("IR", data!$B44, data!V$8, $D$6)),
IF(_xll.IMDP("IR", data!$C44, data!V$8, $D$6)=0,"",_xll.IMDP("IR", data!$C44, data!V$8, $D$6)), data!V44 ), "")</f>
        <v>3.54</v>
      </c>
      <c r="O43" s="33" cm="1">
        <f t="array" aca="1" ref="O43" ca="1">IFERROR( CHOOSE( data!$B$7,
IF(_xll.IMDP("IR", data!$B44, data!W$8, $D$6)=0,"",_xll.IMDP("IR", data!$B44, data!W$8, $D$6)),
IF(_xll.IMDP("IR", data!$C44, data!W$8, $D$6)=0,"",_xll.IMDP("IR", data!$C44, data!W$8, $D$6)), data!W44 ), "")</f>
        <v>3.9279999999999999</v>
      </c>
      <c r="P43" s="33" cm="1">
        <f t="array" aca="1" ref="P43" ca="1">IFERROR( CHOOSE( data!$B$7,
IF(_xll.IMDP("IR", data!$B44, data!X$8, $D$6)=0,"",_xll.IMDP("IR", data!$B44, data!X$8, $D$6)),
IF(_xll.IMDP("IR", data!$C44, data!X$8, $D$6)=0,"",_xll.IMDP("IR", data!$C44, data!X$8, $D$6)), data!X44 ), "")</f>
        <v>4.4939999999999998</v>
      </c>
      <c r="Q43" s="33" cm="1">
        <f t="array" aca="1" ref="Q43" ca="1">IFERROR( CHOOSE( data!$B$7,
IF(_xll.IMDP("IR", data!$B44, data!Y$8, $D$6)=0,"",_xll.IMDP("IR", data!$B44, data!Y$8, $D$6)),
IF(_xll.IMDP("IR", data!$C44, data!Y$8, $D$6)=0,"",_xll.IMDP("IR", data!$C44, data!Y$8, $D$6)), data!Y44 ), "")</f>
        <v>4.9039999999999999</v>
      </c>
      <c r="R43" s="33" cm="1">
        <f t="array" aca="1" ref="R43" ca="1">IFERROR( CHOOSE( data!$B$7,
IF(_xll.IMDP("IR", data!$B44, data!Z$8, $D$6)=0,"",_xll.IMDP("IR", data!$B44, data!Z$8, $D$6)),
IF(_xll.IMDP("IR", data!$C44, data!Z$8, $D$6)=0,"",_xll.IMDP("IR", data!$C44, data!Z$8, $D$6)), data!Z44 ), "")</f>
        <v>5.1219999999999999</v>
      </c>
      <c r="S43" s="33" t="str" cm="1">
        <f t="array" aca="1" ref="S43" ca="1">IFERROR( CHOOSE( data!$B$7,
IF(_xll.IMDP("IR", data!$B44, data!AA$8, $D$6)=0,"",_xll.IMDP("IR", data!$B44, data!AA$8, $D$6)),
IF(_xll.IMDP("IR", data!$C44, data!AA$8, $D$6)=0,"",_xll.IMDP("IR", data!$C44, data!AA$8, $D$6)), data!AA44 ), "")</f>
        <v/>
      </c>
      <c r="T43" s="34" t="str" cm="1">
        <f t="array" aca="1" ref="T43" ca="1">IFERROR( CHOOSE( data!$B$7,
IF(_xll.IMDP("IR", data!$B44, data!AB$8, $D$6)=0,"",_xll.IMDP("IR", data!$B44, data!AB$8, $D$6)),
IF(_xll.IMDP("IR", data!$C44, data!AB$8, $D$6)=0,"",_xll.IMDP("IR", data!$C44, data!AB$8, $D$6)), data!AB44 ), "")</f>
        <v/>
      </c>
    </row>
    <row r="44" spans="2:20" s="4" customFormat="1" ht="12">
      <c r="B44" s="12"/>
      <c r="C44" s="67"/>
      <c r="D44" s="16" t="s">
        <v>30</v>
      </c>
      <c r="E44" s="32" cm="1">
        <f t="array" aca="1" ref="E44" ca="1">IFERROR( CHOOSE( data!$B$7,
IF(_xll.IMDP("IR", data!$B45, data!M$8, $D$6)=0,"",_xll.IMDP("IR", data!$B45, data!M$8, $D$6)),
IF(_xll.IMDP("IR", data!$C45, data!M$8, $D$6)=0,"",_xll.IMDP("IR", data!$C45, data!M$8, $D$6)), data!M45 ), "")</f>
        <v>3.4820000000000002</v>
      </c>
      <c r="F44" s="33" cm="1">
        <f t="array" aca="1" ref="F44" ca="1">IFERROR( CHOOSE( data!$B$7,
IF(_xll.IMDP("IR", data!$B45, data!N$8, $D$6)=0,"",_xll.IMDP("IR", data!$B45, data!N$8, $D$6)),
IF(_xll.IMDP("IR", data!$C45, data!N$8, $D$6)=0,"",_xll.IMDP("IR", data!$C45, data!N$8, $D$6)), data!N45 ), "")</f>
        <v>3.47</v>
      </c>
      <c r="G44" s="33" cm="1">
        <f t="array" aca="1" ref="G44" ca="1">IFERROR( CHOOSE( data!$B$7,
IF(_xll.IMDP("IR", data!$B45, data!O$8, $D$6)=0,"",_xll.IMDP("IR", data!$B45, data!O$8, $D$6)),
IF(_xll.IMDP("IR", data!$C45, data!O$8, $D$6)=0,"",_xll.IMDP("IR", data!$C45, data!O$8, $D$6)), data!O45 ), "")</f>
        <v>3.4620000000000002</v>
      </c>
      <c r="H44" s="33" cm="1">
        <f t="array" aca="1" ref="H44" ca="1">IFERROR( CHOOSE( data!$B$7,
IF(_xll.IMDP("IR", data!$B45, data!P$8, $D$6)=0,"",_xll.IMDP("IR", data!$B45, data!P$8, $D$6)),
IF(_xll.IMDP("IR", data!$C45, data!P$8, $D$6)=0,"",_xll.IMDP("IR", data!$C45, data!P$8, $D$6)), data!P45 ), "")</f>
        <v>3.4950000000000001</v>
      </c>
      <c r="I44" s="33" cm="1">
        <f t="array" aca="1" ref="I44" ca="1">IFERROR( CHOOSE( data!$B$7,
IF(_xll.IMDP("IR", data!$B45, data!Q$8, $D$6)=0,"",_xll.IMDP("IR", data!$B45, data!Q$8, $D$6)),
IF(_xll.IMDP("IR", data!$C45, data!Q$8, $D$6)=0,"",_xll.IMDP("IR", data!$C45, data!Q$8, $D$6)), data!Q45 ), "")</f>
        <v>3.5510000000000002</v>
      </c>
      <c r="J44" s="33" cm="1">
        <f t="array" aca="1" ref="J44" ca="1">IFERROR( CHOOSE( data!$B$7,
IF(_xll.IMDP("IR", data!$B45, data!R$8, $D$6)=0,"",_xll.IMDP("IR", data!$B45, data!R$8, $D$6)),
IF(_xll.IMDP("IR", data!$C45, data!R$8, $D$6)=0,"",_xll.IMDP("IR", data!$C45, data!R$8, $D$6)), data!R45 ), "")</f>
        <v>3.55</v>
      </c>
      <c r="K44" s="33" cm="1">
        <f t="array" aca="1" ref="K44" ca="1">IFERROR( CHOOSE( data!$B$7,
IF(_xll.IMDP("IR", data!$B45, data!S$8, $D$6)=0,"",_xll.IMDP("IR", data!$B45, data!S$8, $D$6)),
IF(_xll.IMDP("IR", data!$C45, data!S$8, $D$6)=0,"",_xll.IMDP("IR", data!$C45, data!S$8, $D$6)), data!S45 ), "")</f>
        <v>3.54</v>
      </c>
      <c r="L44" s="33" cm="1">
        <f t="array" aca="1" ref="L44" ca="1">IFERROR( CHOOSE( data!$B$7,
IF(_xll.IMDP("IR", data!$B45, data!T$8, $D$6)=0,"",_xll.IMDP("IR", data!$B45, data!T$8, $D$6)),
IF(_xll.IMDP("IR", data!$C45, data!T$8, $D$6)=0,"",_xll.IMDP("IR", data!$C45, data!T$8, $D$6)), data!T45 ), "")</f>
        <v>3.5419999999999998</v>
      </c>
      <c r="M44" s="33" cm="1">
        <f t="array" aca="1" ref="M44" ca="1">IFERROR( CHOOSE( data!$B$7,
IF(_xll.IMDP("IR", data!$B45, data!U$8, $D$6)=0,"",_xll.IMDP("IR", data!$B45, data!U$8, $D$6)),
IF(_xll.IMDP("IR", data!$C45, data!U$8, $D$6)=0,"",_xll.IMDP("IR", data!$C45, data!U$8, $D$6)), data!U45 ), "")</f>
        <v>3.5510000000000002</v>
      </c>
      <c r="N44" s="33" cm="1">
        <f t="array" aca="1" ref="N44" ca="1">IFERROR( CHOOSE( data!$B$7,
IF(_xll.IMDP("IR", data!$B45, data!V$8, $D$6)=0,"",_xll.IMDP("IR", data!$B45, data!V$8, $D$6)),
IF(_xll.IMDP("IR", data!$C45, data!V$8, $D$6)=0,"",_xll.IMDP("IR", data!$C45, data!V$8, $D$6)), data!V45 ), "")</f>
        <v>3.6589999999999998</v>
      </c>
      <c r="O44" s="33" cm="1">
        <f t="array" aca="1" ref="O44" ca="1">IFERROR( CHOOSE( data!$B$7,
IF(_xll.IMDP("IR", data!$B45, data!W$8, $D$6)=0,"",_xll.IMDP("IR", data!$B45, data!W$8, $D$6)),
IF(_xll.IMDP("IR", data!$C45, data!W$8, $D$6)=0,"",_xll.IMDP("IR", data!$C45, data!W$8, $D$6)), data!W45 ), "")</f>
        <v>4.1310000000000002</v>
      </c>
      <c r="P44" s="33" cm="1">
        <f t="array" aca="1" ref="P44" ca="1">IFERROR( CHOOSE( data!$B$7,
IF(_xll.IMDP("IR", data!$B45, data!X$8, $D$6)=0,"",_xll.IMDP("IR", data!$B45, data!X$8, $D$6)),
IF(_xll.IMDP("IR", data!$C45, data!X$8, $D$6)=0,"",_xll.IMDP("IR", data!$C45, data!X$8, $D$6)), data!X45 ), "")</f>
        <v>4.7169999999999996</v>
      </c>
      <c r="Q44" s="33" cm="1">
        <f t="array" aca="1" ref="Q44" ca="1">IFERROR( CHOOSE( data!$B$7,
IF(_xll.IMDP("IR", data!$B45, data!Y$8, $D$6)=0,"",_xll.IMDP("IR", data!$B45, data!Y$8, $D$6)),
IF(_xll.IMDP("IR", data!$C45, data!Y$8, $D$6)=0,"",_xll.IMDP("IR", data!$C45, data!Y$8, $D$6)), data!Y45 ), "")</f>
        <v>5.149</v>
      </c>
      <c r="R44" s="33" cm="1">
        <f t="array" aca="1" ref="R44" ca="1">IFERROR( CHOOSE( data!$B$7,
IF(_xll.IMDP("IR", data!$B45, data!Z$8, $D$6)=0,"",_xll.IMDP("IR", data!$B45, data!Z$8, $D$6)),
IF(_xll.IMDP("IR", data!$C45, data!Z$8, $D$6)=0,"",_xll.IMDP("IR", data!$C45, data!Z$8, $D$6)), data!Z45 ), "")</f>
        <v>5.3719999999999999</v>
      </c>
      <c r="S44" s="33" t="str" cm="1">
        <f t="array" aca="1" ref="S44" ca="1">IFERROR( CHOOSE( data!$B$7,
IF(_xll.IMDP("IR", data!$B45, data!AA$8, $D$6)=0,"",_xll.IMDP("IR", data!$B45, data!AA$8, $D$6)),
IF(_xll.IMDP("IR", data!$C45, data!AA$8, $D$6)=0,"",_xll.IMDP("IR", data!$C45, data!AA$8, $D$6)), data!AA45 ), "")</f>
        <v/>
      </c>
      <c r="T44" s="34" t="str" cm="1">
        <f t="array" aca="1" ref="T44" ca="1">IFERROR( CHOOSE( data!$B$7,
IF(_xll.IMDP("IR", data!$B45, data!AB$8, $D$6)=0,"",_xll.IMDP("IR", data!$B45, data!AB$8, $D$6)),
IF(_xll.IMDP("IR", data!$C45, data!AB$8, $D$6)=0,"",_xll.IMDP("IR", data!$C45, data!AB$8, $D$6)), data!AB45 ), "")</f>
        <v/>
      </c>
    </row>
    <row r="45" spans="2:20" s="4" customFormat="1" ht="12">
      <c r="B45" s="12"/>
      <c r="C45" s="67"/>
      <c r="D45" s="16" t="s">
        <v>40</v>
      </c>
      <c r="E45" s="32" cm="1">
        <f t="array" aca="1" ref="E45" ca="1">IFERROR( CHOOSE( data!$B$7,
IF(_xll.IMDP("IR", data!$B46, data!M$8, $D$6)=0,"",_xll.IMDP("IR", data!$B46, data!M$8, $D$6)),
IF(_xll.IMDP("IR", data!$C46, data!M$8, $D$6)=0,"",_xll.IMDP("IR", data!$C46, data!M$8, $D$6)), data!M46 ), "")</f>
        <v>4.0030000000000001</v>
      </c>
      <c r="F45" s="33" cm="1">
        <f t="array" aca="1" ref="F45" ca="1">IFERROR( CHOOSE( data!$B$7,
IF(_xll.IMDP("IR", data!$B46, data!N$8, $D$6)=0,"",_xll.IMDP("IR", data!$B46, data!N$8, $D$6)),
IF(_xll.IMDP("IR", data!$C46, data!N$8, $D$6)=0,"",_xll.IMDP("IR", data!$C46, data!N$8, $D$6)), data!N46 ), "")</f>
        <v>4.2699999999999996</v>
      </c>
      <c r="G45" s="33" cm="1">
        <f t="array" aca="1" ref="G45" ca="1">IFERROR( CHOOSE( data!$B$7,
IF(_xll.IMDP("IR", data!$B46, data!O$8, $D$6)=0,"",_xll.IMDP("IR", data!$B46, data!O$8, $D$6)),
IF(_xll.IMDP("IR", data!$C46, data!O$8, $D$6)=0,"",_xll.IMDP("IR", data!$C46, data!O$8, $D$6)), data!O46 ), "")</f>
        <v>4.359</v>
      </c>
      <c r="H45" s="33" cm="1">
        <f t="array" aca="1" ref="H45" ca="1">IFERROR( CHOOSE( data!$B$7,
IF(_xll.IMDP("IR", data!$B46, data!P$8, $D$6)=0,"",_xll.IMDP("IR", data!$B46, data!P$8, $D$6)),
IF(_xll.IMDP("IR", data!$C46, data!P$8, $D$6)=0,"",_xll.IMDP("IR", data!$C46, data!P$8, $D$6)), data!P46 ), "")</f>
        <v>4.3869999999999996</v>
      </c>
      <c r="I45" s="33" cm="1">
        <f t="array" aca="1" ref="I45" ca="1">IFERROR( CHOOSE( data!$B$7,
IF(_xll.IMDP("IR", data!$B46, data!Q$8, $D$6)=0,"",_xll.IMDP("IR", data!$B46, data!Q$8, $D$6)),
IF(_xll.IMDP("IR", data!$C46, data!Q$8, $D$6)=0,"",_xll.IMDP("IR", data!$C46, data!Q$8, $D$6)), data!Q46 ), "")</f>
        <v>4.4240000000000004</v>
      </c>
      <c r="J45" s="33" cm="1">
        <f t="array" aca="1" ref="J45" ca="1">IFERROR( CHOOSE( data!$B$7,
IF(_xll.IMDP("IR", data!$B46, data!R$8, $D$6)=0,"",_xll.IMDP("IR", data!$B46, data!R$8, $D$6)),
IF(_xll.IMDP("IR", data!$C46, data!R$8, $D$6)=0,"",_xll.IMDP("IR", data!$C46, data!R$8, $D$6)), data!R46 ), "")</f>
        <v>4.4340000000000002</v>
      </c>
      <c r="K45" s="33" cm="1">
        <f t="array" aca="1" ref="K45" ca="1">IFERROR( CHOOSE( data!$B$7,
IF(_xll.IMDP("IR", data!$B46, data!S$8, $D$6)=0,"",_xll.IMDP("IR", data!$B46, data!S$8, $D$6)),
IF(_xll.IMDP("IR", data!$C46, data!S$8, $D$6)=0,"",_xll.IMDP("IR", data!$C46, data!S$8, $D$6)), data!S46 ), "")</f>
        <v>4.4870000000000001</v>
      </c>
      <c r="L45" s="33" cm="1">
        <f t="array" aca="1" ref="L45" ca="1">IFERROR( CHOOSE( data!$B$7,
IF(_xll.IMDP("IR", data!$B46, data!T$8, $D$6)=0,"",_xll.IMDP("IR", data!$B46, data!T$8, $D$6)),
IF(_xll.IMDP("IR", data!$C46, data!T$8, $D$6)=0,"",_xll.IMDP("IR", data!$C46, data!T$8, $D$6)), data!T46 ), "")</f>
        <v>4.5609999999999999</v>
      </c>
      <c r="M45" s="33" cm="1">
        <f t="array" aca="1" ref="M45" ca="1">IFERROR( CHOOSE( data!$B$7,
IF(_xll.IMDP("IR", data!$B46, data!U$8, $D$6)=0,"",_xll.IMDP("IR", data!$B46, data!U$8, $D$6)),
IF(_xll.IMDP("IR", data!$C46, data!U$8, $D$6)=0,"",_xll.IMDP("IR", data!$C46, data!U$8, $D$6)), data!U46 ), "")</f>
        <v>4.7050000000000001</v>
      </c>
      <c r="N45" s="33" cm="1">
        <f t="array" aca="1" ref="N45" ca="1">IFERROR( CHOOSE( data!$B$7,
IF(_xll.IMDP("IR", data!$B46, data!V$8, $D$6)=0,"",_xll.IMDP("IR", data!$B46, data!V$8, $D$6)),
IF(_xll.IMDP("IR", data!$C46, data!V$8, $D$6)=0,"",_xll.IMDP("IR", data!$C46, data!V$8, $D$6)), data!V46 ), "")</f>
        <v>4.8150000000000004</v>
      </c>
      <c r="O45" s="33" cm="1">
        <f t="array" aca="1" ref="O45" ca="1">IFERROR( CHOOSE( data!$B$7,
IF(_xll.IMDP("IR", data!$B46, data!W$8, $D$6)=0,"",_xll.IMDP("IR", data!$B46, data!W$8, $D$6)),
IF(_xll.IMDP("IR", data!$C46, data!W$8, $D$6)=0,"",_xll.IMDP("IR", data!$C46, data!W$8, $D$6)), data!W46 ), "")</f>
        <v>5.0220000000000002</v>
      </c>
      <c r="P45" s="33" cm="1">
        <f t="array" aca="1" ref="P45" ca="1">IFERROR( CHOOSE( data!$B$7,
IF(_xll.IMDP("IR", data!$B46, data!X$8, $D$6)=0,"",_xll.IMDP("IR", data!$B46, data!X$8, $D$6)),
IF(_xll.IMDP("IR", data!$C46, data!X$8, $D$6)=0,"",_xll.IMDP("IR", data!$C46, data!X$8, $D$6)), data!X46 ), "")</f>
        <v>5.4080000000000004</v>
      </c>
      <c r="Q45" s="33" cm="1">
        <f t="array" aca="1" ref="Q45" ca="1">IFERROR( CHOOSE( data!$B$7,
IF(_xll.IMDP("IR", data!$B46, data!Y$8, $D$6)=0,"",_xll.IMDP("IR", data!$B46, data!Y$8, $D$6)),
IF(_xll.IMDP("IR", data!$C46, data!Y$8, $D$6)=0,"",_xll.IMDP("IR", data!$C46, data!Y$8, $D$6)), data!Y46 ), "")</f>
        <v>5.6779999999999999</v>
      </c>
      <c r="R45" s="33" cm="1">
        <f t="array" aca="1" ref="R45" ca="1">IFERROR( CHOOSE( data!$B$7,
IF(_xll.IMDP("IR", data!$B46, data!Z$8, $D$6)=0,"",_xll.IMDP("IR", data!$B46, data!Z$8, $D$6)),
IF(_xll.IMDP("IR", data!$C46, data!Z$8, $D$6)=0,"",_xll.IMDP("IR", data!$C46, data!Z$8, $D$6)), data!Z46 ), "")</f>
        <v>5.8120000000000003</v>
      </c>
      <c r="S45" s="33" t="str" cm="1">
        <f t="array" aca="1" ref="S45" ca="1">IFERROR( CHOOSE( data!$B$7,
IF(_xll.IMDP("IR", data!$B46, data!AA$8, $D$6)=0,"",_xll.IMDP("IR", data!$B46, data!AA$8, $D$6)),
IF(_xll.IMDP("IR", data!$C46, data!AA$8, $D$6)=0,"",_xll.IMDP("IR", data!$C46, data!AA$8, $D$6)), data!AA46 ), "")</f>
        <v/>
      </c>
      <c r="T45" s="34" t="str" cm="1">
        <f t="array" aca="1" ref="T45" ca="1">IFERROR( CHOOSE( data!$B$7,
IF(_xll.IMDP("IR", data!$B46, data!AB$8, $D$6)=0,"",_xll.IMDP("IR", data!$B46, data!AB$8, $D$6)),
IF(_xll.IMDP("IR", data!$C46, data!AB$8, $D$6)=0,"",_xll.IMDP("IR", data!$C46, data!AB$8, $D$6)), data!AB46 ), "")</f>
        <v/>
      </c>
    </row>
    <row r="46" spans="2:20" s="4" customFormat="1" ht="12">
      <c r="B46" s="12"/>
      <c r="C46" s="67"/>
      <c r="D46" s="16" t="s">
        <v>41</v>
      </c>
      <c r="E46" s="32" cm="1">
        <f t="array" aca="1" ref="E46" ca="1">IFERROR( CHOOSE( data!$B$7,
IF(_xll.IMDP("IR", data!$B47, data!M$8, $D$6)=0,"",_xll.IMDP("IR", data!$B47, data!M$8, $D$6)),
IF(_xll.IMDP("IR", data!$C47, data!M$8, $D$6)=0,"",_xll.IMDP("IR", data!$C47, data!M$8, $D$6)), data!M47 ), "")</f>
        <v>4.5659999999999998</v>
      </c>
      <c r="F46" s="33" cm="1">
        <f t="array" aca="1" ref="F46" ca="1">IFERROR( CHOOSE( data!$B$7,
IF(_xll.IMDP("IR", data!$B47, data!N$8, $D$6)=0,"",_xll.IMDP("IR", data!$B47, data!N$8, $D$6)),
IF(_xll.IMDP("IR", data!$C47, data!N$8, $D$6)=0,"",_xll.IMDP("IR", data!$C47, data!N$8, $D$6)), data!N47 ), "")</f>
        <v>4.8789999999999996</v>
      </c>
      <c r="G46" s="33" cm="1">
        <f t="array" aca="1" ref="G46" ca="1">IFERROR( CHOOSE( data!$B$7,
IF(_xll.IMDP("IR", data!$B47, data!O$8, $D$6)=0,"",_xll.IMDP("IR", data!$B47, data!O$8, $D$6)),
IF(_xll.IMDP("IR", data!$C47, data!O$8, $D$6)=0,"",_xll.IMDP("IR", data!$C47, data!O$8, $D$6)), data!O47 ), "")</f>
        <v>5.0279999999999996</v>
      </c>
      <c r="H46" s="33" cm="1">
        <f t="array" aca="1" ref="H46" ca="1">IFERROR( CHOOSE( data!$B$7,
IF(_xll.IMDP("IR", data!$B47, data!P$8, $D$6)=0,"",_xll.IMDP("IR", data!$B47, data!P$8, $D$6)),
IF(_xll.IMDP("IR", data!$C47, data!P$8, $D$6)=0,"",_xll.IMDP("IR", data!$C47, data!P$8, $D$6)), data!P47 ), "")</f>
        <v>5.1280000000000001</v>
      </c>
      <c r="I46" s="33" cm="1">
        <f t="array" aca="1" ref="I46" ca="1">IFERROR( CHOOSE( data!$B$7,
IF(_xll.IMDP("IR", data!$B47, data!Q$8, $D$6)=0,"",_xll.IMDP("IR", data!$B47, data!Q$8, $D$6)),
IF(_xll.IMDP("IR", data!$C47, data!Q$8, $D$6)=0,"",_xll.IMDP("IR", data!$C47, data!Q$8, $D$6)), data!Q47 ), "")</f>
        <v>5.2039999999999997</v>
      </c>
      <c r="J46" s="33" cm="1">
        <f t="array" aca="1" ref="J46" ca="1">IFERROR( CHOOSE( data!$B$7,
IF(_xll.IMDP("IR", data!$B47, data!R$8, $D$6)=0,"",_xll.IMDP("IR", data!$B47, data!R$8, $D$6)),
IF(_xll.IMDP("IR", data!$C47, data!R$8, $D$6)=0,"",_xll.IMDP("IR", data!$C47, data!R$8, $D$6)), data!R47 ), "")</f>
        <v>5.2569999999999997</v>
      </c>
      <c r="K46" s="33" cm="1">
        <f t="array" aca="1" ref="K46" ca="1">IFERROR( CHOOSE( data!$B$7,
IF(_xll.IMDP("IR", data!$B47, data!S$8, $D$6)=0,"",_xll.IMDP("IR", data!$B47, data!S$8, $D$6)),
IF(_xll.IMDP("IR", data!$C47, data!S$8, $D$6)=0,"",_xll.IMDP("IR", data!$C47, data!S$8, $D$6)), data!S47 ), "")</f>
        <v>5.2779999999999996</v>
      </c>
      <c r="L46" s="33" cm="1">
        <f t="array" aca="1" ref="L46" ca="1">IFERROR( CHOOSE( data!$B$7,
IF(_xll.IMDP("IR", data!$B47, data!T$8, $D$6)=0,"",_xll.IMDP("IR", data!$B47, data!T$8, $D$6)),
IF(_xll.IMDP("IR", data!$C47, data!T$8, $D$6)=0,"",_xll.IMDP("IR", data!$C47, data!T$8, $D$6)), data!T47 ), "")</f>
        <v>5.3440000000000003</v>
      </c>
      <c r="M46" s="33" cm="1">
        <f t="array" aca="1" ref="M46" ca="1">IFERROR( CHOOSE( data!$B$7,
IF(_xll.IMDP("IR", data!$B47, data!U$8, $D$6)=0,"",_xll.IMDP("IR", data!$B47, data!U$8, $D$6)),
IF(_xll.IMDP("IR", data!$C47, data!U$8, $D$6)=0,"",_xll.IMDP("IR", data!$C47, data!U$8, $D$6)), data!U47 ), "")</f>
        <v>5.3890000000000002</v>
      </c>
      <c r="N46" s="33" cm="1">
        <f t="array" aca="1" ref="N46" ca="1">IFERROR( CHOOSE( data!$B$7,
IF(_xll.IMDP("IR", data!$B47, data!V$8, $D$6)=0,"",_xll.IMDP("IR", data!$B47, data!V$8, $D$6)),
IF(_xll.IMDP("IR", data!$C47, data!V$8, $D$6)=0,"",_xll.IMDP("IR", data!$C47, data!V$8, $D$6)), data!V47 ), "")</f>
        <v>5.4710000000000001</v>
      </c>
      <c r="O46" s="33" cm="1">
        <f t="array" aca="1" ref="O46" ca="1">IFERROR( CHOOSE( data!$B$7,
IF(_xll.IMDP("IR", data!$B47, data!W$8, $D$6)=0,"",_xll.IMDP("IR", data!$B47, data!W$8, $D$6)),
IF(_xll.IMDP("IR", data!$C47, data!W$8, $D$6)=0,"",_xll.IMDP("IR", data!$C47, data!W$8, $D$6)), data!W47 ), "")</f>
        <v>5.5460000000000003</v>
      </c>
      <c r="P46" s="33" cm="1">
        <f t="array" aca="1" ref="P46" ca="1">IFERROR( CHOOSE( data!$B$7,
IF(_xll.IMDP("IR", data!$B47, data!X$8, $D$6)=0,"",_xll.IMDP("IR", data!$B47, data!X$8, $D$6)),
IF(_xll.IMDP("IR", data!$C47, data!X$8, $D$6)=0,"",_xll.IMDP("IR", data!$C47, data!X$8, $D$6)), data!X47 ), "")</f>
        <v>5.8289999999999997</v>
      </c>
      <c r="Q46" s="33" cm="1">
        <f t="array" aca="1" ref="Q46" ca="1">IFERROR( CHOOSE( data!$B$7,
IF(_xll.IMDP("IR", data!$B47, data!Y$8, $D$6)=0,"",_xll.IMDP("IR", data!$B47, data!Y$8, $D$6)),
IF(_xll.IMDP("IR", data!$C47, data!Y$8, $D$6)=0,"",_xll.IMDP("IR", data!$C47, data!Y$8, $D$6)), data!Y47 ), "")</f>
        <v>6.0590000000000002</v>
      </c>
      <c r="R46" s="33" cm="1">
        <f t="array" aca="1" ref="R46" ca="1">IFERROR( CHOOSE( data!$B$7,
IF(_xll.IMDP("IR", data!$B47, data!Z$8, $D$6)=0,"",_xll.IMDP("IR", data!$B47, data!Z$8, $D$6)),
IF(_xll.IMDP("IR", data!$C47, data!Z$8, $D$6)=0,"",_xll.IMDP("IR", data!$C47, data!Z$8, $D$6)), data!Z47 ), "")</f>
        <v>6.1619999999999999</v>
      </c>
      <c r="S46" s="33" t="str" cm="1">
        <f t="array" aca="1" ref="S46" ca="1">IFERROR( CHOOSE( data!$B$7,
IF(_xll.IMDP("IR", data!$B47, data!AA$8, $D$6)=0,"",_xll.IMDP("IR", data!$B47, data!AA$8, $D$6)),
IF(_xll.IMDP("IR", data!$C47, data!AA$8, $D$6)=0,"",_xll.IMDP("IR", data!$C47, data!AA$8, $D$6)), data!AA47 ), "")</f>
        <v/>
      </c>
      <c r="T46" s="34" t="str" cm="1">
        <f t="array" aca="1" ref="T46" ca="1">IFERROR( CHOOSE( data!$B$7,
IF(_xll.IMDP("IR", data!$B47, data!AB$8, $D$6)=0,"",_xll.IMDP("IR", data!$B47, data!AB$8, $D$6)),
IF(_xll.IMDP("IR", data!$C47, data!AB$8, $D$6)=0,"",_xll.IMDP("IR", data!$C47, data!AB$8, $D$6)), data!AB47 ), "")</f>
        <v/>
      </c>
    </row>
    <row r="47" spans="2:20" s="4" customFormat="1" ht="12">
      <c r="B47" s="12"/>
      <c r="C47" s="67"/>
      <c r="D47" s="16" t="s">
        <v>42</v>
      </c>
      <c r="E47" s="32" cm="1">
        <f t="array" aca="1" ref="E47" ca="1">IFERROR( CHOOSE( data!$B$7,
IF(_xll.IMDP("IR", data!$B48, data!M$8, $D$6)=0,"",_xll.IMDP("IR", data!$B48, data!M$8, $D$6)),
IF(_xll.IMDP("IR", data!$C48, data!M$8, $D$6)=0,"",_xll.IMDP("IR", data!$C48, data!M$8, $D$6)), data!M48 ), "")</f>
        <v>5.0869999999999997</v>
      </c>
      <c r="F47" s="33" cm="1">
        <f t="array" aca="1" ref="F47" ca="1">IFERROR( CHOOSE( data!$B$7,
IF(_xll.IMDP("IR", data!$B48, data!N$8, $D$6)=0,"",_xll.IMDP("IR", data!$B48, data!N$8, $D$6)),
IF(_xll.IMDP("IR", data!$C48, data!N$8, $D$6)=0,"",_xll.IMDP("IR", data!$C48, data!N$8, $D$6)), data!N48 ), "")</f>
        <v>5.516</v>
      </c>
      <c r="G47" s="33" cm="1">
        <f t="array" aca="1" ref="G47" ca="1">IFERROR( CHOOSE( data!$B$7,
IF(_xll.IMDP("IR", data!$B48, data!O$8, $D$6)=0,"",_xll.IMDP("IR", data!$B48, data!O$8, $D$6)),
IF(_xll.IMDP("IR", data!$C48, data!O$8, $D$6)=0,"",_xll.IMDP("IR", data!$C48, data!O$8, $D$6)), data!O48 ), "")</f>
        <v>5.641</v>
      </c>
      <c r="H47" s="33" cm="1">
        <f t="array" aca="1" ref="H47" ca="1">IFERROR( CHOOSE( data!$B$7,
IF(_xll.IMDP("IR", data!$B48, data!P$8, $D$6)=0,"",_xll.IMDP("IR", data!$B48, data!P$8, $D$6)),
IF(_xll.IMDP("IR", data!$C48, data!P$8, $D$6)=0,"",_xll.IMDP("IR", data!$C48, data!P$8, $D$6)), data!P48 ), "")</f>
        <v>5.6879999999999997</v>
      </c>
      <c r="I47" s="33" cm="1">
        <f t="array" aca="1" ref="I47" ca="1">IFERROR( CHOOSE( data!$B$7,
IF(_xll.IMDP("IR", data!$B48, data!Q$8, $D$6)=0,"",_xll.IMDP("IR", data!$B48, data!Q$8, $D$6)),
IF(_xll.IMDP("IR", data!$C48, data!Q$8, $D$6)=0,"",_xll.IMDP("IR", data!$C48, data!Q$8, $D$6)), data!Q48 ), "")</f>
        <v>5.7610000000000001</v>
      </c>
      <c r="J47" s="33" cm="1">
        <f t="array" aca="1" ref="J47" ca="1">IFERROR( CHOOSE( data!$B$7,
IF(_xll.IMDP("IR", data!$B48, data!R$8, $D$6)=0,"",_xll.IMDP("IR", data!$B48, data!R$8, $D$6)),
IF(_xll.IMDP("IR", data!$C48, data!R$8, $D$6)=0,"",_xll.IMDP("IR", data!$C48, data!R$8, $D$6)), data!R48 ), "")</f>
        <v>5.85</v>
      </c>
      <c r="K47" s="33" cm="1">
        <f t="array" aca="1" ref="K47" ca="1">IFERROR( CHOOSE( data!$B$7,
IF(_xll.IMDP("IR", data!$B48, data!S$8, $D$6)=0,"",_xll.IMDP("IR", data!$B48, data!S$8, $D$6)),
IF(_xll.IMDP("IR", data!$C48, data!S$8, $D$6)=0,"",_xll.IMDP("IR", data!$C48, data!S$8, $D$6)), data!S48 ), "")</f>
        <v>5.931</v>
      </c>
      <c r="L47" s="33" cm="1">
        <f t="array" aca="1" ref="L47" ca="1">IFERROR( CHOOSE( data!$B$7,
IF(_xll.IMDP("IR", data!$B48, data!T$8, $D$6)=0,"",_xll.IMDP("IR", data!$B48, data!T$8, $D$6)),
IF(_xll.IMDP("IR", data!$C48, data!T$8, $D$6)=0,"",_xll.IMDP("IR", data!$C48, data!T$8, $D$6)), data!T48 ), "")</f>
        <v>6.0220000000000002</v>
      </c>
      <c r="M47" s="33" cm="1">
        <f t="array" aca="1" ref="M47" ca="1">IFERROR( CHOOSE( data!$B$7,
IF(_xll.IMDP("IR", data!$B48, data!U$8, $D$6)=0,"",_xll.IMDP("IR", data!$B48, data!U$8, $D$6)),
IF(_xll.IMDP("IR", data!$C48, data!U$8, $D$6)=0,"",_xll.IMDP("IR", data!$C48, data!U$8, $D$6)), data!U48 ), "")</f>
        <v>6.0789999999999997</v>
      </c>
      <c r="N47" s="33" cm="1">
        <f t="array" aca="1" ref="N47" ca="1">IFERROR( CHOOSE( data!$B$7,
IF(_xll.IMDP("IR", data!$B48, data!V$8, $D$6)=0,"",_xll.IMDP("IR", data!$B48, data!V$8, $D$6)),
IF(_xll.IMDP("IR", data!$C48, data!V$8, $D$6)=0,"",_xll.IMDP("IR", data!$C48, data!V$8, $D$6)), data!V48 ), "")</f>
        <v>6.1379999999999999</v>
      </c>
      <c r="O47" s="33" cm="1">
        <f t="array" aca="1" ref="O47" ca="1">IFERROR( CHOOSE( data!$B$7,
IF(_xll.IMDP("IR", data!$B48, data!W$8, $D$6)=0,"",_xll.IMDP("IR", data!$B48, data!W$8, $D$6)),
IF(_xll.IMDP("IR", data!$C48, data!W$8, $D$6)=0,"",_xll.IMDP("IR", data!$C48, data!W$8, $D$6)), data!W48 ), "")</f>
        <v>6.2030000000000003</v>
      </c>
      <c r="P47" s="33" cm="1">
        <f t="array" aca="1" ref="P47" ca="1">IFERROR( CHOOSE( data!$B$7,
IF(_xll.IMDP("IR", data!$B48, data!X$8, $D$6)=0,"",_xll.IMDP("IR", data!$B48, data!X$8, $D$6)),
IF(_xll.IMDP("IR", data!$C48, data!X$8, $D$6)=0,"",_xll.IMDP("IR", data!$C48, data!X$8, $D$6)), data!X48 ), "")</f>
        <v>6.4809999999999999</v>
      </c>
      <c r="Q47" s="33" cm="1">
        <f t="array" aca="1" ref="Q47" ca="1">IFERROR( CHOOSE( data!$B$7,
IF(_xll.IMDP("IR", data!$B48, data!Y$8, $D$6)=0,"",_xll.IMDP("IR", data!$B48, data!Y$8, $D$6)),
IF(_xll.IMDP("IR", data!$C48, data!Y$8, $D$6)=0,"",_xll.IMDP("IR", data!$C48, data!Y$8, $D$6)), data!Y48 ), "")</f>
        <v>6.7320000000000002</v>
      </c>
      <c r="R47" s="33" cm="1">
        <f t="array" aca="1" ref="R47" ca="1">IFERROR( CHOOSE( data!$B$7,
IF(_xll.IMDP("IR", data!$B48, data!Z$8, $D$6)=0,"",_xll.IMDP("IR", data!$B48, data!Z$8, $D$6)),
IF(_xll.IMDP("IR", data!$C48, data!Z$8, $D$6)=0,"",_xll.IMDP("IR", data!$C48, data!Z$8, $D$6)), data!Z48 ), "")</f>
        <v>6.819</v>
      </c>
      <c r="S47" s="33" t="str" cm="1">
        <f t="array" aca="1" ref="S47" ca="1">IFERROR( CHOOSE( data!$B$7,
IF(_xll.IMDP("IR", data!$B48, data!AA$8, $D$6)=0,"",_xll.IMDP("IR", data!$B48, data!AA$8, $D$6)),
IF(_xll.IMDP("IR", data!$C48, data!AA$8, $D$6)=0,"",_xll.IMDP("IR", data!$C48, data!AA$8, $D$6)), data!AA48 ), "")</f>
        <v/>
      </c>
      <c r="T47" s="34" t="str" cm="1">
        <f t="array" aca="1" ref="T47" ca="1">IFERROR( CHOOSE( data!$B$7,
IF(_xll.IMDP("IR", data!$B48, data!AB$8, $D$6)=0,"",_xll.IMDP("IR", data!$B48, data!AB$8, $D$6)),
IF(_xll.IMDP("IR", data!$C48, data!AB$8, $D$6)=0,"",_xll.IMDP("IR", data!$C48, data!AB$8, $D$6)), data!AB48 ), "")</f>
        <v/>
      </c>
    </row>
    <row r="48" spans="2:20" s="4" customFormat="1" ht="12">
      <c r="B48" s="12"/>
      <c r="C48" s="67"/>
      <c r="D48" s="16" t="s">
        <v>44</v>
      </c>
      <c r="E48" s="32" cm="1">
        <f t="array" aca="1" ref="E48" ca="1">IFERROR( CHOOSE( data!$B$7,
IF(_xll.IMDP("IR", data!$B49, data!M$8, $D$6)=0,"",_xll.IMDP("IR", data!$B49, data!M$8, $D$6)),
IF(_xll.IMDP("IR", data!$C49, data!M$8, $D$6)=0,"",_xll.IMDP("IR", data!$C49, data!M$8, $D$6)), data!M49 ), "")</f>
        <v>5.8869999999999996</v>
      </c>
      <c r="F48" s="33" cm="1">
        <f t="array" aca="1" ref="F48" ca="1">IFERROR( CHOOSE( data!$B$7,
IF(_xll.IMDP("IR", data!$B49, data!N$8, $D$6)=0,"",_xll.IMDP("IR", data!$B49, data!N$8, $D$6)),
IF(_xll.IMDP("IR", data!$C49, data!N$8, $D$6)=0,"",_xll.IMDP("IR", data!$C49, data!N$8, $D$6)), data!N49 ), "")</f>
        <v>6.5229999999999997</v>
      </c>
      <c r="G48" s="33" cm="1">
        <f t="array" aca="1" ref="G48" ca="1">IFERROR( CHOOSE( data!$B$7,
IF(_xll.IMDP("IR", data!$B49, data!O$8, $D$6)=0,"",_xll.IMDP("IR", data!$B49, data!O$8, $D$6)),
IF(_xll.IMDP("IR", data!$C49, data!O$8, $D$6)=0,"",_xll.IMDP("IR", data!$C49, data!O$8, $D$6)), data!O49 ), "")</f>
        <v>6.7679999999999998</v>
      </c>
      <c r="H48" s="33" cm="1">
        <f t="array" aca="1" ref="H48" ca="1">IFERROR( CHOOSE( data!$B$7,
IF(_xll.IMDP("IR", data!$B49, data!P$8, $D$6)=0,"",_xll.IMDP("IR", data!$B49, data!P$8, $D$6)),
IF(_xll.IMDP("IR", data!$C49, data!P$8, $D$6)=0,"",_xll.IMDP("IR", data!$C49, data!P$8, $D$6)), data!P49 ), "")</f>
        <v>6.86</v>
      </c>
      <c r="I48" s="33" cm="1">
        <f t="array" aca="1" ref="I48" ca="1">IFERROR( CHOOSE( data!$B$7,
IF(_xll.IMDP("IR", data!$B49, data!Q$8, $D$6)=0,"",_xll.IMDP("IR", data!$B49, data!Q$8, $D$6)),
IF(_xll.IMDP("IR", data!$C49, data!Q$8, $D$6)=0,"",_xll.IMDP("IR", data!$C49, data!Q$8, $D$6)), data!Q49 ), "")</f>
        <v>6.9329999999999998</v>
      </c>
      <c r="J48" s="33" cm="1">
        <f t="array" aca="1" ref="J48" ca="1">IFERROR( CHOOSE( data!$B$7,
IF(_xll.IMDP("IR", data!$B49, data!R$8, $D$6)=0,"",_xll.IMDP("IR", data!$B49, data!R$8, $D$6)),
IF(_xll.IMDP("IR", data!$C49, data!R$8, $D$6)=0,"",_xll.IMDP("IR", data!$C49, data!R$8, $D$6)), data!R49 ), "")</f>
        <v>7.2169999999999996</v>
      </c>
      <c r="K48" s="33" cm="1">
        <f t="array" aca="1" ref="K48" ca="1">IFERROR( CHOOSE( data!$B$7,
IF(_xll.IMDP("IR", data!$B49, data!S$8, $D$6)=0,"",_xll.IMDP("IR", data!$B49, data!S$8, $D$6)),
IF(_xll.IMDP("IR", data!$C49, data!S$8, $D$6)=0,"",_xll.IMDP("IR", data!$C49, data!S$8, $D$6)), data!S49 ), "")</f>
        <v>7.3319999999999999</v>
      </c>
      <c r="L48" s="33" cm="1">
        <f t="array" aca="1" ref="L48" ca="1">IFERROR( CHOOSE( data!$B$7,
IF(_xll.IMDP("IR", data!$B49, data!T$8, $D$6)=0,"",_xll.IMDP("IR", data!$B49, data!T$8, $D$6)),
IF(_xll.IMDP("IR", data!$C49, data!T$8, $D$6)=0,"",_xll.IMDP("IR", data!$C49, data!T$8, $D$6)), data!T49 ), "")</f>
        <v>7.3819999999999997</v>
      </c>
      <c r="M48" s="33" cm="1">
        <f t="array" aca="1" ref="M48" ca="1">IFERROR( CHOOSE( data!$B$7,
IF(_xll.IMDP("IR", data!$B49, data!U$8, $D$6)=0,"",_xll.IMDP("IR", data!$B49, data!U$8, $D$6)),
IF(_xll.IMDP("IR", data!$C49, data!U$8, $D$6)=0,"",_xll.IMDP("IR", data!$C49, data!U$8, $D$6)), data!U49 ), "")</f>
        <v>7.3920000000000003</v>
      </c>
      <c r="N48" s="33" cm="1">
        <f t="array" aca="1" ref="N48" ca="1">IFERROR( CHOOSE( data!$B$7,
IF(_xll.IMDP("IR", data!$B49, data!V$8, $D$6)=0,"",_xll.IMDP("IR", data!$B49, data!V$8, $D$6)),
IF(_xll.IMDP("IR", data!$C49, data!V$8, $D$6)=0,"",_xll.IMDP("IR", data!$C49, data!V$8, $D$6)), data!V49 ), "")</f>
        <v>7.4370000000000003</v>
      </c>
      <c r="O48" s="33" cm="1">
        <f t="array" aca="1" ref="O48" ca="1">IFERROR( CHOOSE( data!$B$7,
IF(_xll.IMDP("IR", data!$B49, data!W$8, $D$6)=0,"",_xll.IMDP("IR", data!$B49, data!W$8, $D$6)),
IF(_xll.IMDP("IR", data!$C49, data!W$8, $D$6)=0,"",_xll.IMDP("IR", data!$C49, data!W$8, $D$6)), data!W49 ), "")</f>
        <v>7.49</v>
      </c>
      <c r="P48" s="33" cm="1">
        <f t="array" aca="1" ref="P48" ca="1">IFERROR( CHOOSE( data!$B$7,
IF(_xll.IMDP("IR", data!$B49, data!X$8, $D$6)=0,"",_xll.IMDP("IR", data!$B49, data!X$8, $D$6)),
IF(_xll.IMDP("IR", data!$C49, data!X$8, $D$6)=0,"",_xll.IMDP("IR", data!$C49, data!X$8, $D$6)), data!X49 ), "")</f>
        <v>7.7969999999999997</v>
      </c>
      <c r="Q48" s="33" cm="1">
        <f t="array" aca="1" ref="Q48" ca="1">IFERROR( CHOOSE( data!$B$7,
IF(_xll.IMDP("IR", data!$B49, data!Y$8, $D$6)=0,"",_xll.IMDP("IR", data!$B49, data!Y$8, $D$6)),
IF(_xll.IMDP("IR", data!$C49, data!Y$8, $D$6)=0,"",_xll.IMDP("IR", data!$C49, data!Y$8, $D$6)), data!Y49 ), "")</f>
        <v>8.1310000000000002</v>
      </c>
      <c r="R48" s="33" cm="1">
        <f t="array" aca="1" ref="R48" ca="1">IFERROR( CHOOSE( data!$B$7,
IF(_xll.IMDP("IR", data!$B49, data!Z$8, $D$6)=0,"",_xll.IMDP("IR", data!$B49, data!Z$8, $D$6)),
IF(_xll.IMDP("IR", data!$C49, data!Z$8, $D$6)=0,"",_xll.IMDP("IR", data!$C49, data!Z$8, $D$6)), data!Z49 ), "")</f>
        <v>8.3260000000000005</v>
      </c>
      <c r="S48" s="33" t="str" cm="1">
        <f t="array" aca="1" ref="S48" ca="1">IFERROR( CHOOSE( data!$B$7,
IF(_xll.IMDP("IR", data!$B49, data!AA$8, $D$6)=0,"",_xll.IMDP("IR", data!$B49, data!AA$8, $D$6)),
IF(_xll.IMDP("IR", data!$C49, data!AA$8, $D$6)=0,"",_xll.IMDP("IR", data!$C49, data!AA$8, $D$6)), data!AA49 ), "")</f>
        <v/>
      </c>
      <c r="T48" s="34" t="str" cm="1">
        <f t="array" aca="1" ref="T48" ca="1">IFERROR( CHOOSE( data!$B$7,
IF(_xll.IMDP("IR", data!$B49, data!AB$8, $D$6)=0,"",_xll.IMDP("IR", data!$B49, data!AB$8, $D$6)),
IF(_xll.IMDP("IR", data!$C49, data!AB$8, $D$6)=0,"",_xll.IMDP("IR", data!$C49, data!AB$8, $D$6)), data!AB49 ), "")</f>
        <v/>
      </c>
    </row>
    <row r="49" spans="2:20" s="4" customFormat="1" ht="12">
      <c r="B49" s="12"/>
      <c r="C49" s="67"/>
      <c r="D49" s="16" t="s">
        <v>45</v>
      </c>
      <c r="E49" s="32" cm="1">
        <f t="array" aca="1" ref="E49" ca="1">IFERROR( CHOOSE( data!$B$7,
IF(_xll.IMDP("IR", data!$B50, data!M$8, $D$6)=0,"",_xll.IMDP("IR", data!$B50, data!M$8, $D$6)),
IF(_xll.IMDP("IR", data!$C50, data!M$8, $D$6)=0,"",_xll.IMDP("IR", data!$C50, data!M$8, $D$6)), data!M50 ), "")</f>
        <v>6.5380000000000003</v>
      </c>
      <c r="F49" s="33" cm="1">
        <f t="array" aca="1" ref="F49" ca="1">IFERROR( CHOOSE( data!$B$7,
IF(_xll.IMDP("IR", data!$B50, data!N$8, $D$6)=0,"",_xll.IMDP("IR", data!$B50, data!N$8, $D$6)),
IF(_xll.IMDP("IR", data!$C50, data!N$8, $D$6)=0,"",_xll.IMDP("IR", data!$C50, data!N$8, $D$6)), data!N50 ), "")</f>
        <v>7.2370000000000001</v>
      </c>
      <c r="G49" s="33" cm="1">
        <f t="array" aca="1" ref="G49" ca="1">IFERROR( CHOOSE( data!$B$7,
IF(_xll.IMDP("IR", data!$B50, data!O$8, $D$6)=0,"",_xll.IMDP("IR", data!$B50, data!O$8, $D$6)),
IF(_xll.IMDP("IR", data!$C50, data!O$8, $D$6)=0,"",_xll.IMDP("IR", data!$C50, data!O$8, $D$6)), data!O50 ), "")</f>
        <v>7.5010000000000003</v>
      </c>
      <c r="H49" s="33" cm="1">
        <f t="array" aca="1" ref="H49" ca="1">IFERROR( CHOOSE( data!$B$7,
IF(_xll.IMDP("IR", data!$B50, data!P$8, $D$6)=0,"",_xll.IMDP("IR", data!$B50, data!P$8, $D$6)),
IF(_xll.IMDP("IR", data!$C50, data!P$8, $D$6)=0,"",_xll.IMDP("IR", data!$C50, data!P$8, $D$6)), data!P50 ), "")</f>
        <v>7.6470000000000002</v>
      </c>
      <c r="I49" s="33" cm="1">
        <f t="array" aca="1" ref="I49" ca="1">IFERROR( CHOOSE( data!$B$7,
IF(_xll.IMDP("IR", data!$B50, data!Q$8, $D$6)=0,"",_xll.IMDP("IR", data!$B50, data!Q$8, $D$6)),
IF(_xll.IMDP("IR", data!$C50, data!Q$8, $D$6)=0,"",_xll.IMDP("IR", data!$C50, data!Q$8, $D$6)), data!Q50 ), "")</f>
        <v>7.7350000000000003</v>
      </c>
      <c r="J49" s="33" cm="1">
        <f t="array" aca="1" ref="J49" ca="1">IFERROR( CHOOSE( data!$B$7,
IF(_xll.IMDP("IR", data!$B50, data!R$8, $D$6)=0,"",_xll.IMDP("IR", data!$B50, data!R$8, $D$6)),
IF(_xll.IMDP("IR", data!$C50, data!R$8, $D$6)=0,"",_xll.IMDP("IR", data!$C50, data!R$8, $D$6)), data!R50 ), "")</f>
        <v>8.0549999999999997</v>
      </c>
      <c r="K49" s="33" cm="1">
        <f t="array" aca="1" ref="K49" ca="1">IFERROR( CHOOSE( data!$B$7,
IF(_xll.IMDP("IR", data!$B50, data!S$8, $D$6)=0,"",_xll.IMDP("IR", data!$B50, data!S$8, $D$6)),
IF(_xll.IMDP("IR", data!$C50, data!S$8, $D$6)=0,"",_xll.IMDP("IR", data!$C50, data!S$8, $D$6)), data!S50 ), "")</f>
        <v>8.2309999999999999</v>
      </c>
      <c r="L49" s="33" cm="1">
        <f t="array" aca="1" ref="L49" ca="1">IFERROR( CHOOSE( data!$B$7,
IF(_xll.IMDP("IR", data!$B50, data!T$8, $D$6)=0,"",_xll.IMDP("IR", data!$B50, data!T$8, $D$6)),
IF(_xll.IMDP("IR", data!$C50, data!T$8, $D$6)=0,"",_xll.IMDP("IR", data!$C50, data!T$8, $D$6)), data!T50 ), "")</f>
        <v>8.2929999999999993</v>
      </c>
      <c r="M49" s="33" cm="1">
        <f t="array" aca="1" ref="M49" ca="1">IFERROR( CHOOSE( data!$B$7,
IF(_xll.IMDP("IR", data!$B50, data!U$8, $D$6)=0,"",_xll.IMDP("IR", data!$B50, data!U$8, $D$6)),
IF(_xll.IMDP("IR", data!$C50, data!U$8, $D$6)=0,"",_xll.IMDP("IR", data!$C50, data!U$8, $D$6)), data!U50 ), "")</f>
        <v>8.3330000000000002</v>
      </c>
      <c r="N49" s="33" cm="1">
        <f t="array" aca="1" ref="N49" ca="1">IFERROR( CHOOSE( data!$B$7,
IF(_xll.IMDP("IR", data!$B50, data!V$8, $D$6)=0,"",_xll.IMDP("IR", data!$B50, data!V$8, $D$6)),
IF(_xll.IMDP("IR", data!$C50, data!V$8, $D$6)=0,"",_xll.IMDP("IR", data!$C50, data!V$8, $D$6)), data!V50 ), "")</f>
        <v>8.4749999999999996</v>
      </c>
      <c r="O49" s="33" cm="1">
        <f t="array" aca="1" ref="O49" ca="1">IFERROR( CHOOSE( data!$B$7,
IF(_xll.IMDP("IR", data!$B50, data!W$8, $D$6)=0,"",_xll.IMDP("IR", data!$B50, data!W$8, $D$6)),
IF(_xll.IMDP("IR", data!$C50, data!W$8, $D$6)=0,"",_xll.IMDP("IR", data!$C50, data!W$8, $D$6)), data!W50 ), "")</f>
        <v>8.6359999999999992</v>
      </c>
      <c r="P49" s="33" cm="1">
        <f t="array" aca="1" ref="P49" ca="1">IFERROR( CHOOSE( data!$B$7,
IF(_xll.IMDP("IR", data!$B50, data!X$8, $D$6)=0,"",_xll.IMDP("IR", data!$B50, data!X$8, $D$6)),
IF(_xll.IMDP("IR", data!$C50, data!X$8, $D$6)=0,"",_xll.IMDP("IR", data!$C50, data!X$8, $D$6)), data!X50 ), "")</f>
        <v>9.1180000000000003</v>
      </c>
      <c r="Q49" s="33" cm="1">
        <f t="array" aca="1" ref="Q49" ca="1">IFERROR( CHOOSE( data!$B$7,
IF(_xll.IMDP("IR", data!$B50, data!Y$8, $D$6)=0,"",_xll.IMDP("IR", data!$B50, data!Y$8, $D$6)),
IF(_xll.IMDP("IR", data!$C50, data!Y$8, $D$6)=0,"",_xll.IMDP("IR", data!$C50, data!Y$8, $D$6)), data!Y50 ), "")</f>
        <v>9.5410000000000004</v>
      </c>
      <c r="R49" s="33" cm="1">
        <f t="array" aca="1" ref="R49" ca="1">IFERROR( CHOOSE( data!$B$7,
IF(_xll.IMDP("IR", data!$B50, data!Z$8, $D$6)=0,"",_xll.IMDP("IR", data!$B50, data!Z$8, $D$6)),
IF(_xll.IMDP("IR", data!$C50, data!Z$8, $D$6)=0,"",_xll.IMDP("IR", data!$C50, data!Z$8, $D$6)), data!Z50 ), "")</f>
        <v>9.8279999999999994</v>
      </c>
      <c r="S49" s="33" t="str" cm="1">
        <f t="array" aca="1" ref="S49" ca="1">IFERROR( CHOOSE( data!$B$7,
IF(_xll.IMDP("IR", data!$B50, data!AA$8, $D$6)=0,"",_xll.IMDP("IR", data!$B50, data!AA$8, $D$6)),
IF(_xll.IMDP("IR", data!$C50, data!AA$8, $D$6)=0,"",_xll.IMDP("IR", data!$C50, data!AA$8, $D$6)), data!AA50 ), "")</f>
        <v/>
      </c>
      <c r="T49" s="34" t="str" cm="1">
        <f t="array" aca="1" ref="T49" ca="1">IFERROR( CHOOSE( data!$B$7,
IF(_xll.IMDP("IR", data!$B50, data!AB$8, $D$6)=0,"",_xll.IMDP("IR", data!$B50, data!AB$8, $D$6)),
IF(_xll.IMDP("IR", data!$C50, data!AB$8, $D$6)=0,"",_xll.IMDP("IR", data!$C50, data!AB$8, $D$6)), data!AB50 ), "")</f>
        <v/>
      </c>
    </row>
    <row r="50" spans="2:20" s="4" customFormat="1" ht="12.75" thickBot="1">
      <c r="B50" s="13"/>
      <c r="C50" s="66"/>
      <c r="D50" s="17" t="s">
        <v>46</v>
      </c>
      <c r="E50" s="35" cm="1">
        <f t="array" aca="1" ref="E50" ca="1">IFERROR( CHOOSE( data!$B$7,
IF(_xll.IMDP("IR", data!$B51, data!M$8, $D$6)=0,"",_xll.IMDP("IR", data!$B51, data!M$8, $D$6)),
IF(_xll.IMDP("IR", data!$C51, data!M$8, $D$6)=0,"",_xll.IMDP("IR", data!$C51, data!M$8, $D$6)), data!M51 ), "")</f>
        <v>7.8220000000000001</v>
      </c>
      <c r="F50" s="36" cm="1">
        <f t="array" aca="1" ref="F50" ca="1">IFERROR( CHOOSE( data!$B$7,
IF(_xll.IMDP("IR", data!$B51, data!N$8, $D$6)=0,"",_xll.IMDP("IR", data!$B51, data!N$8, $D$6)),
IF(_xll.IMDP("IR", data!$C51, data!N$8, $D$6)=0,"",_xll.IMDP("IR", data!$C51, data!N$8, $D$6)), data!N51 ), "")</f>
        <v>8.5540000000000003</v>
      </c>
      <c r="G50" s="36" cm="1">
        <f t="array" aca="1" ref="G50" ca="1">IFERROR( CHOOSE( data!$B$7,
IF(_xll.IMDP("IR", data!$B51, data!O$8, $D$6)=0,"",_xll.IMDP("IR", data!$B51, data!O$8, $D$6)),
IF(_xll.IMDP("IR", data!$C51, data!O$8, $D$6)=0,"",_xll.IMDP("IR", data!$C51, data!O$8, $D$6)), data!O51 ), "")</f>
        <v>8.843</v>
      </c>
      <c r="H50" s="36" cm="1">
        <f t="array" aca="1" ref="H50" ca="1">IFERROR( CHOOSE( data!$B$7,
IF(_xll.IMDP("IR", data!$B51, data!P$8, $D$6)=0,"",_xll.IMDP("IR", data!$B51, data!P$8, $D$6)),
IF(_xll.IMDP("IR", data!$C51, data!P$8, $D$6)=0,"",_xll.IMDP("IR", data!$C51, data!P$8, $D$6)), data!P51 ), "")</f>
        <v>8.9540000000000006</v>
      </c>
      <c r="I50" s="36" cm="1">
        <f t="array" aca="1" ref="I50" ca="1">IFERROR( CHOOSE( data!$B$7,
IF(_xll.IMDP("IR", data!$B51, data!Q$8, $D$6)=0,"",_xll.IMDP("IR", data!$B51, data!Q$8, $D$6)),
IF(_xll.IMDP("IR", data!$C51, data!Q$8, $D$6)=0,"",_xll.IMDP("IR", data!$C51, data!Q$8, $D$6)), data!Q51 ), "")</f>
        <v>9.0470000000000006</v>
      </c>
      <c r="J50" s="36" cm="1">
        <f t="array" aca="1" ref="J50" ca="1">IFERROR( CHOOSE( data!$B$7,
IF(_xll.IMDP("IR", data!$B51, data!R$8, $D$6)=0,"",_xll.IMDP("IR", data!$B51, data!R$8, $D$6)),
IF(_xll.IMDP("IR", data!$C51, data!R$8, $D$6)=0,"",_xll.IMDP("IR", data!$C51, data!R$8, $D$6)), data!R51 ), "")</f>
        <v>9.3930000000000007</v>
      </c>
      <c r="K50" s="36" cm="1">
        <f t="array" aca="1" ref="K50" ca="1">IFERROR( CHOOSE( data!$B$7,
IF(_xll.IMDP("IR", data!$B51, data!S$8, $D$6)=0,"",_xll.IMDP("IR", data!$B51, data!S$8, $D$6)),
IF(_xll.IMDP("IR", data!$C51, data!S$8, $D$6)=0,"",_xll.IMDP("IR", data!$C51, data!S$8, $D$6)), data!S51 ), "")</f>
        <v>9.5779999999999994</v>
      </c>
      <c r="L50" s="36" cm="1">
        <f t="array" aca="1" ref="L50" ca="1">IFERROR( CHOOSE( data!$B$7,
IF(_xll.IMDP("IR", data!$B51, data!T$8, $D$6)=0,"",_xll.IMDP("IR", data!$B51, data!T$8, $D$6)),
IF(_xll.IMDP("IR", data!$C51, data!T$8, $D$6)=0,"",_xll.IMDP("IR", data!$C51, data!T$8, $D$6)), data!T51 ), "")</f>
        <v>9.6430000000000007</v>
      </c>
      <c r="M50" s="36" cm="1">
        <f t="array" aca="1" ref="M50" ca="1">IFERROR( CHOOSE( data!$B$7,
IF(_xll.IMDP("IR", data!$B51, data!U$8, $D$6)=0,"",_xll.IMDP("IR", data!$B51, data!U$8, $D$6)),
IF(_xll.IMDP("IR", data!$C51, data!U$8, $D$6)=0,"",_xll.IMDP("IR", data!$C51, data!U$8, $D$6)), data!U51 ), "")</f>
        <v>9.6920000000000002</v>
      </c>
      <c r="N50" s="36" cm="1">
        <f t="array" aca="1" ref="N50" ca="1">IFERROR( CHOOSE( data!$B$7,
IF(_xll.IMDP("IR", data!$B51, data!V$8, $D$6)=0,"",_xll.IMDP("IR", data!$B51, data!V$8, $D$6)),
IF(_xll.IMDP("IR", data!$C51, data!V$8, $D$6)=0,"",_xll.IMDP("IR", data!$C51, data!V$8, $D$6)), data!V51 ), "")</f>
        <v>9.8689999999999998</v>
      </c>
      <c r="O50" s="36" cm="1">
        <f t="array" aca="1" ref="O50" ca="1">IFERROR( CHOOSE( data!$B$7,
IF(_xll.IMDP("IR", data!$B51, data!W$8, $D$6)=0,"",_xll.IMDP("IR", data!$B51, data!W$8, $D$6)),
IF(_xll.IMDP("IR", data!$C51, data!W$8, $D$6)=0,"",_xll.IMDP("IR", data!$C51, data!W$8, $D$6)), data!W51 ), "")</f>
        <v>10.032999999999999</v>
      </c>
      <c r="P50" s="36" cm="1">
        <f t="array" aca="1" ref="P50" ca="1">IFERROR( CHOOSE( data!$B$7,
IF(_xll.IMDP("IR", data!$B51, data!X$8, $D$6)=0,"",_xll.IMDP("IR", data!$B51, data!X$8, $D$6)),
IF(_xll.IMDP("IR", data!$C51, data!X$8, $D$6)=0,"",_xll.IMDP("IR", data!$C51, data!X$8, $D$6)), data!X51 ), "")</f>
        <v>10.45</v>
      </c>
      <c r="Q50" s="36" cm="1">
        <f t="array" aca="1" ref="Q50" ca="1">IFERROR( CHOOSE( data!$B$7,
IF(_xll.IMDP("IR", data!$B51, data!Y$8, $D$6)=0,"",_xll.IMDP("IR", data!$B51, data!Y$8, $D$6)),
IF(_xll.IMDP("IR", data!$C51, data!Y$8, $D$6)=0,"",_xll.IMDP("IR", data!$C51, data!Y$8, $D$6)), data!Y51 ), "")</f>
        <v>10.853999999999999</v>
      </c>
      <c r="R50" s="36" cm="1">
        <f t="array" aca="1" ref="R50" ca="1">IFERROR( CHOOSE( data!$B$7,
IF(_xll.IMDP("IR", data!$B51, data!Z$8, $D$6)=0,"",_xll.IMDP("IR", data!$B51, data!Z$8, $D$6)),
IF(_xll.IMDP("IR", data!$C51, data!Z$8, $D$6)=0,"",_xll.IMDP("IR", data!$C51, data!Z$8, $D$6)), data!Z51 ), "")</f>
        <v>11.106999999999999</v>
      </c>
      <c r="S50" s="36" t="str" cm="1">
        <f t="array" aca="1" ref="S50" ca="1">IFERROR( CHOOSE( data!$B$7,
IF(_xll.IMDP("IR", data!$B51, data!AA$8, $D$6)=0,"",_xll.IMDP("IR", data!$B51, data!AA$8, $D$6)),
IF(_xll.IMDP("IR", data!$C51, data!AA$8, $D$6)=0,"",_xll.IMDP("IR", data!$C51, data!AA$8, $D$6)), data!AA51 ), "")</f>
        <v/>
      </c>
      <c r="T50" s="37" t="str" cm="1">
        <f t="array" aca="1" ref="T50" ca="1">IFERROR( CHOOSE( data!$B$7,
IF(_xll.IMDP("IR", data!$B51, data!AB$8, $D$6)=0,"",_xll.IMDP("IR", data!$B51, data!AB$8, $D$6)),
IF(_xll.IMDP("IR", data!$C51, data!AB$8, $D$6)=0,"",_xll.IMDP("IR", data!$C51, data!AB$8, $D$6)), data!AB51 ), "")</f>
        <v/>
      </c>
    </row>
    <row r="51" spans="2:20" s="4" customFormat="1" ht="12">
      <c r="B51" s="11" t="s">
        <v>48</v>
      </c>
      <c r="C51" s="65" t="s">
        <v>49</v>
      </c>
      <c r="D51" s="15" t="s">
        <v>50</v>
      </c>
      <c r="E51" s="29" cm="1">
        <f t="array" aca="1" ref="E51" ca="1">IFERROR( CHOOSE( data!$B$7,
IF(_xll.IMDP("IR", data!$B52, data!M$8, $D$6)=0,"",_xll.IMDP("IR", data!$B52, data!M$8, $D$6)),
IF(_xll.IMDP("IR", data!$C52, data!M$8, $D$6)=0,"",_xll.IMDP("IR", data!$C52, data!M$8, $D$6)), data!M52 ), "")</f>
        <v>3.42</v>
      </c>
      <c r="F51" s="30" cm="1">
        <f t="array" aca="1" ref="F51" ca="1">IFERROR( CHOOSE( data!$B$7,
IF(_xll.IMDP("IR", data!$B52, data!N$8, $D$6)=0,"",_xll.IMDP("IR", data!$B52, data!N$8, $D$6)),
IF(_xll.IMDP("IR", data!$C52, data!N$8, $D$6)=0,"",_xll.IMDP("IR", data!$C52, data!N$8, $D$6)), data!N52 ), "")</f>
        <v>3.4</v>
      </c>
      <c r="G51" s="30" cm="1">
        <f t="array" aca="1" ref="G51" ca="1">IFERROR( CHOOSE( data!$B$7,
IF(_xll.IMDP("IR", data!$B52, data!O$8, $D$6)=0,"",_xll.IMDP("IR", data!$B52, data!O$8, $D$6)),
IF(_xll.IMDP("IR", data!$C52, data!O$8, $D$6)=0,"",_xll.IMDP("IR", data!$C52, data!O$8, $D$6)), data!O52 ), "")</f>
        <v>3.3370000000000002</v>
      </c>
      <c r="H51" s="30" cm="1">
        <f t="array" aca="1" ref="H51" ca="1">IFERROR( CHOOSE( data!$B$7,
IF(_xll.IMDP("IR", data!$B52, data!P$8, $D$6)=0,"",_xll.IMDP("IR", data!$B52, data!P$8, $D$6)),
IF(_xll.IMDP("IR", data!$C52, data!P$8, $D$6)=0,"",_xll.IMDP("IR", data!$C52, data!P$8, $D$6)), data!P52 ), "")</f>
        <v>3.2970000000000002</v>
      </c>
      <c r="I51" s="30" cm="1">
        <f t="array" aca="1" ref="I51" ca="1">IFERROR( CHOOSE( data!$B$7,
IF(_xll.IMDP("IR", data!$B52, data!Q$8, $D$6)=0,"",_xll.IMDP("IR", data!$B52, data!Q$8, $D$6)),
IF(_xll.IMDP("IR", data!$C52, data!Q$8, $D$6)=0,"",_xll.IMDP("IR", data!$C52, data!Q$8, $D$6)), data!Q52 ), "")</f>
        <v>3.274</v>
      </c>
      <c r="J51" s="30" cm="1">
        <f t="array" aca="1" ref="J51" ca="1">IFERROR( CHOOSE( data!$B$7,
IF(_xll.IMDP("IR", data!$B52, data!R$8, $D$6)=0,"",_xll.IMDP("IR", data!$B52, data!R$8, $D$6)),
IF(_xll.IMDP("IR", data!$C52, data!R$8, $D$6)=0,"",_xll.IMDP("IR", data!$C52, data!R$8, $D$6)), data!R52 ), "")</f>
        <v>3.2440000000000002</v>
      </c>
      <c r="K51" s="30" cm="1">
        <f t="array" aca="1" ref="K51" ca="1">IFERROR( CHOOSE( data!$B$7,
IF(_xll.IMDP("IR", data!$B52, data!S$8, $D$6)=0,"",_xll.IMDP("IR", data!$B52, data!S$8, $D$6)),
IF(_xll.IMDP("IR", data!$C52, data!S$8, $D$6)=0,"",_xll.IMDP("IR", data!$C52, data!S$8, $D$6)), data!S52 ), "")</f>
        <v>3.2250000000000001</v>
      </c>
      <c r="L51" s="30" cm="1">
        <f t="array" aca="1" ref="L51" ca="1">IFERROR( CHOOSE( data!$B$7,
IF(_xll.IMDP("IR", data!$B52, data!T$8, $D$6)=0,"",_xll.IMDP("IR", data!$B52, data!T$8, $D$6)),
IF(_xll.IMDP("IR", data!$C52, data!T$8, $D$6)=0,"",_xll.IMDP("IR", data!$C52, data!T$8, $D$6)), data!T52 ), "")</f>
        <v>3.2170000000000001</v>
      </c>
      <c r="M51" s="30" cm="1">
        <f t="array" aca="1" ref="M51" ca="1">IFERROR( CHOOSE( data!$B$7,
IF(_xll.IMDP("IR", data!$B52, data!U$8, $D$6)=0,"",_xll.IMDP("IR", data!$B52, data!U$8, $D$6)),
IF(_xll.IMDP("IR", data!$C52, data!U$8, $D$6)=0,"",_xll.IMDP("IR", data!$C52, data!U$8, $D$6)), data!U52 ), "")</f>
        <v>3.2080000000000002</v>
      </c>
      <c r="N51" s="30" cm="1">
        <f t="array" aca="1" ref="N51" ca="1">IFERROR( CHOOSE( data!$B$7,
IF(_xll.IMDP("IR", data!$B52, data!V$8, $D$6)=0,"",_xll.IMDP("IR", data!$B52, data!V$8, $D$6)),
IF(_xll.IMDP("IR", data!$C52, data!V$8, $D$6)=0,"",_xll.IMDP("IR", data!$C52, data!V$8, $D$6)), data!V52 ), "")</f>
        <v>3.214</v>
      </c>
      <c r="O51" s="30" cm="1">
        <f t="array" aca="1" ref="O51" ca="1">IFERROR( CHOOSE( data!$B$7,
IF(_xll.IMDP("IR", data!$B52, data!W$8, $D$6)=0,"",_xll.IMDP("IR", data!$B52, data!W$8, $D$6)),
IF(_xll.IMDP("IR", data!$C52, data!W$8, $D$6)=0,"",_xll.IMDP("IR", data!$C52, data!W$8, $D$6)), data!W52 ), "")</f>
        <v>3.34</v>
      </c>
      <c r="P51" s="30" cm="1">
        <f t="array" aca="1" ref="P51" ca="1">IFERROR( CHOOSE( data!$B$7,
IF(_xll.IMDP("IR", data!$B52, data!X$8, $D$6)=0,"",_xll.IMDP("IR", data!$B52, data!X$8, $D$6)),
IF(_xll.IMDP("IR", data!$C52, data!X$8, $D$6)=0,"",_xll.IMDP("IR", data!$C52, data!X$8, $D$6)), data!X52 ), "")</f>
        <v>3.581</v>
      </c>
      <c r="Q51" s="30" cm="1">
        <f t="array" aca="1" ref="Q51" ca="1">IFERROR( CHOOSE( data!$B$7,
IF(_xll.IMDP("IR", data!$B52, data!Y$8, $D$6)=0,"",_xll.IMDP("IR", data!$B52, data!Y$8, $D$6)),
IF(_xll.IMDP("IR", data!$C52, data!Y$8, $D$6)=0,"",_xll.IMDP("IR", data!$C52, data!Y$8, $D$6)), data!Y52 ), "")</f>
        <v>3.7389999999999999</v>
      </c>
      <c r="R51" s="30" cm="1">
        <f t="array" aca="1" ref="R51" ca="1">IFERROR( CHOOSE( data!$B$7,
IF(_xll.IMDP("IR", data!$B52, data!Z$8, $D$6)=0,"",_xll.IMDP("IR", data!$B52, data!Z$8, $D$6)),
IF(_xll.IMDP("IR", data!$C52, data!Z$8, $D$6)=0,"",_xll.IMDP("IR", data!$C52, data!Z$8, $D$6)), data!Z52 ), "")</f>
        <v>3.8410000000000002</v>
      </c>
      <c r="S51" s="30" t="str" cm="1">
        <f t="array" aca="1" ref="S51" ca="1">IFERROR( CHOOSE( data!$B$7,
IF(_xll.IMDP("IR", data!$B52, data!AA$8, $D$6)=0,"",_xll.IMDP("IR", data!$B52, data!AA$8, $D$6)),
IF(_xll.IMDP("IR", data!$C52, data!AA$8, $D$6)=0,"",_xll.IMDP("IR", data!$C52, data!AA$8, $D$6)), data!AA52 ), "")</f>
        <v/>
      </c>
      <c r="T51" s="31" t="str" cm="1">
        <f t="array" aca="1" ref="T51" ca="1">IFERROR( CHOOSE( data!$B$7,
IF(_xll.IMDP("IR", data!$B52, data!AB$8, $D$6)=0,"",_xll.IMDP("IR", data!$B52, data!AB$8, $D$6)),
IF(_xll.IMDP("IR", data!$C52, data!AB$8, $D$6)=0,"",_xll.IMDP("IR", data!$C52, data!AB$8, $D$6)), data!AB52 ), "")</f>
        <v/>
      </c>
    </row>
    <row r="52" spans="2:20" s="4" customFormat="1" ht="12">
      <c r="B52" s="12"/>
      <c r="C52" s="67"/>
      <c r="D52" s="16" t="s">
        <v>51</v>
      </c>
      <c r="E52" s="32" cm="1">
        <f t="array" aca="1" ref="E52" ca="1">IFERROR( CHOOSE( data!$B$7,
IF(_xll.IMDP("IR", data!$B53, data!M$8, $D$6)=0,"",_xll.IMDP("IR", data!$B53, data!M$8, $D$6)),
IF(_xll.IMDP("IR", data!$C53, data!M$8, $D$6)=0,"",_xll.IMDP("IR", data!$C53, data!M$8, $D$6)), data!M53 ), "")</f>
        <v>3.4380000000000002</v>
      </c>
      <c r="F52" s="33" cm="1">
        <f t="array" aca="1" ref="F52" ca="1">IFERROR( CHOOSE( data!$B$7,
IF(_xll.IMDP("IR", data!$B53, data!N$8, $D$6)=0,"",_xll.IMDP("IR", data!$B53, data!N$8, $D$6)),
IF(_xll.IMDP("IR", data!$C53, data!N$8, $D$6)=0,"",_xll.IMDP("IR", data!$C53, data!N$8, $D$6)), data!N53 ), "")</f>
        <v>3.4249999999999998</v>
      </c>
      <c r="G52" s="33" cm="1">
        <f t="array" aca="1" ref="G52" ca="1">IFERROR( CHOOSE( data!$B$7,
IF(_xll.IMDP("IR", data!$B53, data!O$8, $D$6)=0,"",_xll.IMDP("IR", data!$B53, data!O$8, $D$6)),
IF(_xll.IMDP("IR", data!$C53, data!O$8, $D$6)=0,"",_xll.IMDP("IR", data!$C53, data!O$8, $D$6)), data!O53 ), "")</f>
        <v>3.375</v>
      </c>
      <c r="H52" s="33" cm="1">
        <f t="array" aca="1" ref="H52" ca="1">IFERROR( CHOOSE( data!$B$7,
IF(_xll.IMDP("IR", data!$B53, data!P$8, $D$6)=0,"",_xll.IMDP("IR", data!$B53, data!P$8, $D$6)),
IF(_xll.IMDP("IR", data!$C53, data!P$8, $D$6)=0,"",_xll.IMDP("IR", data!$C53, data!P$8, $D$6)), data!P53 ), "")</f>
        <v>3.3420000000000001</v>
      </c>
      <c r="I52" s="33" cm="1">
        <f t="array" aca="1" ref="I52" ca="1">IFERROR( CHOOSE( data!$B$7,
IF(_xll.IMDP("IR", data!$B53, data!Q$8, $D$6)=0,"",_xll.IMDP("IR", data!$B53, data!Q$8, $D$6)),
IF(_xll.IMDP("IR", data!$C53, data!Q$8, $D$6)=0,"",_xll.IMDP("IR", data!$C53, data!Q$8, $D$6)), data!Q53 ), "")</f>
        <v>3.3410000000000002</v>
      </c>
      <c r="J52" s="33" cm="1">
        <f t="array" aca="1" ref="J52" ca="1">IFERROR( CHOOSE( data!$B$7,
IF(_xll.IMDP("IR", data!$B53, data!R$8, $D$6)=0,"",_xll.IMDP("IR", data!$B53, data!R$8, $D$6)),
IF(_xll.IMDP("IR", data!$C53, data!R$8, $D$6)=0,"",_xll.IMDP("IR", data!$C53, data!R$8, $D$6)), data!R53 ), "")</f>
        <v>3.3410000000000002</v>
      </c>
      <c r="K52" s="33" cm="1">
        <f t="array" aca="1" ref="K52" ca="1">IFERROR( CHOOSE( data!$B$7,
IF(_xll.IMDP("IR", data!$B53, data!S$8, $D$6)=0,"",_xll.IMDP("IR", data!$B53, data!S$8, $D$6)),
IF(_xll.IMDP("IR", data!$C53, data!S$8, $D$6)=0,"",_xll.IMDP("IR", data!$C53, data!S$8, $D$6)), data!S53 ), "")</f>
        <v>3.35</v>
      </c>
      <c r="L52" s="33" cm="1">
        <f t="array" aca="1" ref="L52" ca="1">IFERROR( CHOOSE( data!$B$7,
IF(_xll.IMDP("IR", data!$B53, data!T$8, $D$6)=0,"",_xll.IMDP("IR", data!$B53, data!T$8, $D$6)),
IF(_xll.IMDP("IR", data!$C53, data!T$8, $D$6)=0,"",_xll.IMDP("IR", data!$C53, data!T$8, $D$6)), data!T53 ), "")</f>
        <v>3.3650000000000002</v>
      </c>
      <c r="M52" s="33" cm="1">
        <f t="array" aca="1" ref="M52" ca="1">IFERROR( CHOOSE( data!$B$7,
IF(_xll.IMDP("IR", data!$B53, data!U$8, $D$6)=0,"",_xll.IMDP("IR", data!$B53, data!U$8, $D$6)),
IF(_xll.IMDP("IR", data!$C53, data!U$8, $D$6)=0,"",_xll.IMDP("IR", data!$C53, data!U$8, $D$6)), data!U53 ), "")</f>
        <v>3.355</v>
      </c>
      <c r="N52" s="33" cm="1">
        <f t="array" aca="1" ref="N52" ca="1">IFERROR( CHOOSE( data!$B$7,
IF(_xll.IMDP("IR", data!$B53, data!V$8, $D$6)=0,"",_xll.IMDP("IR", data!$B53, data!V$8, $D$6)),
IF(_xll.IMDP("IR", data!$C53, data!V$8, $D$6)=0,"",_xll.IMDP("IR", data!$C53, data!V$8, $D$6)), data!V53 ), "")</f>
        <v>3.3809999999999998</v>
      </c>
      <c r="O52" s="33" cm="1">
        <f t="array" aca="1" ref="O52" ca="1">IFERROR( CHOOSE( data!$B$7,
IF(_xll.IMDP("IR", data!$B53, data!W$8, $D$6)=0,"",_xll.IMDP("IR", data!$B53, data!W$8, $D$6)),
IF(_xll.IMDP("IR", data!$C53, data!W$8, $D$6)=0,"",_xll.IMDP("IR", data!$C53, data!W$8, $D$6)), data!W53 ), "")</f>
        <v>3.5369999999999999</v>
      </c>
      <c r="P52" s="33" cm="1">
        <f t="array" aca="1" ref="P52" ca="1">IFERROR( CHOOSE( data!$B$7,
IF(_xll.IMDP("IR", data!$B53, data!X$8, $D$6)=0,"",_xll.IMDP("IR", data!$B53, data!X$8, $D$6)),
IF(_xll.IMDP("IR", data!$C53, data!X$8, $D$6)=0,"",_xll.IMDP("IR", data!$C53, data!X$8, $D$6)), data!X53 ), "")</f>
        <v>3.9140000000000001</v>
      </c>
      <c r="Q52" s="33" cm="1">
        <f t="array" aca="1" ref="Q52" ca="1">IFERROR( CHOOSE( data!$B$7,
IF(_xll.IMDP("IR", data!$B53, data!Y$8, $D$6)=0,"",_xll.IMDP("IR", data!$B53, data!Y$8, $D$6)),
IF(_xll.IMDP("IR", data!$C53, data!Y$8, $D$6)=0,"",_xll.IMDP("IR", data!$C53, data!Y$8, $D$6)), data!Y53 ), "")</f>
        <v>4.1959999999999997</v>
      </c>
      <c r="R52" s="33" cm="1">
        <f t="array" aca="1" ref="R52" ca="1">IFERROR( CHOOSE( data!$B$7,
IF(_xll.IMDP("IR", data!$B53, data!Z$8, $D$6)=0,"",_xll.IMDP("IR", data!$B53, data!Z$8, $D$6)),
IF(_xll.IMDP("IR", data!$C53, data!Z$8, $D$6)=0,"",_xll.IMDP("IR", data!$C53, data!Z$8, $D$6)), data!Z53 ), "")</f>
        <v>4.4779999999999998</v>
      </c>
      <c r="S52" s="33" t="str" cm="1">
        <f t="array" aca="1" ref="S52" ca="1">IFERROR( CHOOSE( data!$B$7,
IF(_xll.IMDP("IR", data!$B53, data!AA$8, $D$6)=0,"",_xll.IMDP("IR", data!$B53, data!AA$8, $D$6)),
IF(_xll.IMDP("IR", data!$C53, data!AA$8, $D$6)=0,"",_xll.IMDP("IR", data!$C53, data!AA$8, $D$6)), data!AA53 ), "")</f>
        <v/>
      </c>
      <c r="T52" s="34" t="str" cm="1">
        <f t="array" aca="1" ref="T52" ca="1">IFERROR( CHOOSE( data!$B$7,
IF(_xll.IMDP("IR", data!$B53, data!AB$8, $D$6)=0,"",_xll.IMDP("IR", data!$B53, data!AB$8, $D$6)),
IF(_xll.IMDP("IR", data!$C53, data!AB$8, $D$6)=0,"",_xll.IMDP("IR", data!$C53, data!AB$8, $D$6)), data!AB53 ), "")</f>
        <v/>
      </c>
    </row>
    <row r="53" spans="2:20" s="4" customFormat="1" ht="12">
      <c r="B53" s="12"/>
      <c r="C53" s="67"/>
      <c r="D53" s="16" t="s">
        <v>52</v>
      </c>
      <c r="E53" s="32" cm="1">
        <f t="array" aca="1" ref="E53" ca="1">IFERROR( CHOOSE( data!$B$7,
IF(_xll.IMDP("IR", data!$B54, data!M$8, $D$6)=0,"",_xll.IMDP("IR", data!$B54, data!M$8, $D$6)),
IF(_xll.IMDP("IR", data!$C54, data!M$8, $D$6)=0,"",_xll.IMDP("IR", data!$C54, data!M$8, $D$6)), data!M54 ), "")</f>
        <v>3.536</v>
      </c>
      <c r="F53" s="33" cm="1">
        <f t="array" aca="1" ref="F53" ca="1">IFERROR( CHOOSE( data!$B$7,
IF(_xll.IMDP("IR", data!$B54, data!N$8, $D$6)=0,"",_xll.IMDP("IR", data!$B54, data!N$8, $D$6)),
IF(_xll.IMDP("IR", data!$C54, data!N$8, $D$6)=0,"",_xll.IMDP("IR", data!$C54, data!N$8, $D$6)), data!N54 ), "")</f>
        <v>3.5379999999999998</v>
      </c>
      <c r="G53" s="33" cm="1">
        <f t="array" aca="1" ref="G53" ca="1">IFERROR( CHOOSE( data!$B$7,
IF(_xll.IMDP("IR", data!$B54, data!O$8, $D$6)=0,"",_xll.IMDP("IR", data!$B54, data!O$8, $D$6)),
IF(_xll.IMDP("IR", data!$C54, data!O$8, $D$6)=0,"",_xll.IMDP("IR", data!$C54, data!O$8, $D$6)), data!O54 ), "")</f>
        <v>3.512</v>
      </c>
      <c r="H53" s="33" cm="1">
        <f t="array" aca="1" ref="H53" ca="1">IFERROR( CHOOSE( data!$B$7,
IF(_xll.IMDP("IR", data!$B54, data!P$8, $D$6)=0,"",_xll.IMDP("IR", data!$B54, data!P$8, $D$6)),
IF(_xll.IMDP("IR", data!$C54, data!P$8, $D$6)=0,"",_xll.IMDP("IR", data!$C54, data!P$8, $D$6)), data!P54 ), "")</f>
        <v>3.5049999999999999</v>
      </c>
      <c r="I53" s="33" cm="1">
        <f t="array" aca="1" ref="I53" ca="1">IFERROR( CHOOSE( data!$B$7,
IF(_xll.IMDP("IR", data!$B54, data!Q$8, $D$6)=0,"",_xll.IMDP("IR", data!$B54, data!Q$8, $D$6)),
IF(_xll.IMDP("IR", data!$C54, data!Q$8, $D$6)=0,"",_xll.IMDP("IR", data!$C54, data!Q$8, $D$6)), data!Q54 ), "")</f>
        <v>3.5390000000000001</v>
      </c>
      <c r="J53" s="33" cm="1">
        <f t="array" aca="1" ref="J53" ca="1">IFERROR( CHOOSE( data!$B$7,
IF(_xll.IMDP("IR", data!$B54, data!R$8, $D$6)=0,"",_xll.IMDP("IR", data!$B54, data!R$8, $D$6)),
IF(_xll.IMDP("IR", data!$C54, data!R$8, $D$6)=0,"",_xll.IMDP("IR", data!$C54, data!R$8, $D$6)), data!R54 ), "")</f>
        <v>3.5419999999999998</v>
      </c>
      <c r="K53" s="33" cm="1">
        <f t="array" aca="1" ref="K53" ca="1">IFERROR( CHOOSE( data!$B$7,
IF(_xll.IMDP("IR", data!$B54, data!S$8, $D$6)=0,"",_xll.IMDP("IR", data!$B54, data!S$8, $D$6)),
IF(_xll.IMDP("IR", data!$C54, data!S$8, $D$6)=0,"",_xll.IMDP("IR", data!$C54, data!S$8, $D$6)), data!S54 ), "")</f>
        <v>3.5649999999999999</v>
      </c>
      <c r="L53" s="33" cm="1">
        <f t="array" aca="1" ref="L53" ca="1">IFERROR( CHOOSE( data!$B$7,
IF(_xll.IMDP("IR", data!$B54, data!T$8, $D$6)=0,"",_xll.IMDP("IR", data!$B54, data!T$8, $D$6)),
IF(_xll.IMDP("IR", data!$C54, data!T$8, $D$6)=0,"",_xll.IMDP("IR", data!$C54, data!T$8, $D$6)), data!T54 ), "")</f>
        <v>3.59</v>
      </c>
      <c r="M53" s="33" cm="1">
        <f t="array" aca="1" ref="M53" ca="1">IFERROR( CHOOSE( data!$B$7,
IF(_xll.IMDP("IR", data!$B54, data!U$8, $D$6)=0,"",_xll.IMDP("IR", data!$B54, data!U$8, $D$6)),
IF(_xll.IMDP("IR", data!$C54, data!U$8, $D$6)=0,"",_xll.IMDP("IR", data!$C54, data!U$8, $D$6)), data!U54 ), "")</f>
        <v>3.6549999999999998</v>
      </c>
      <c r="N53" s="33" cm="1">
        <f t="array" aca="1" ref="N53" ca="1">IFERROR( CHOOSE( data!$B$7,
IF(_xll.IMDP("IR", data!$B54, data!V$8, $D$6)=0,"",_xll.IMDP("IR", data!$B54, data!V$8, $D$6)),
IF(_xll.IMDP("IR", data!$C54, data!V$8, $D$6)=0,"",_xll.IMDP("IR", data!$C54, data!V$8, $D$6)), data!V54 ), "")</f>
        <v>3.74</v>
      </c>
      <c r="O53" s="33" cm="1">
        <f t="array" aca="1" ref="O53" ca="1">IFERROR( CHOOSE( data!$B$7,
IF(_xll.IMDP("IR", data!$B54, data!W$8, $D$6)=0,"",_xll.IMDP("IR", data!$B54, data!W$8, $D$6)),
IF(_xll.IMDP("IR", data!$C54, data!W$8, $D$6)=0,"",_xll.IMDP("IR", data!$C54, data!W$8, $D$6)), data!W54 ), "")</f>
        <v>3.8929999999999998</v>
      </c>
      <c r="P53" s="33" cm="1">
        <f t="array" aca="1" ref="P53" ca="1">IFERROR( CHOOSE( data!$B$7,
IF(_xll.IMDP("IR", data!$B54, data!X$8, $D$6)=0,"",_xll.IMDP("IR", data!$B54, data!X$8, $D$6)),
IF(_xll.IMDP("IR", data!$C54, data!X$8, $D$6)=0,"",_xll.IMDP("IR", data!$C54, data!X$8, $D$6)), data!X54 ), "")</f>
        <v>4.3630000000000004</v>
      </c>
      <c r="Q53" s="33" cm="1">
        <f t="array" aca="1" ref="Q53" ca="1">IFERROR( CHOOSE( data!$B$7,
IF(_xll.IMDP("IR", data!$B54, data!Y$8, $D$6)=0,"",_xll.IMDP("IR", data!$B54, data!Y$8, $D$6)),
IF(_xll.IMDP("IR", data!$C54, data!Y$8, $D$6)=0,"",_xll.IMDP("IR", data!$C54, data!Y$8, $D$6)), data!Y54 ), "")</f>
        <v>4.7380000000000004</v>
      </c>
      <c r="R53" s="33" cm="1">
        <f t="array" aca="1" ref="R53" ca="1">IFERROR( CHOOSE( data!$B$7,
IF(_xll.IMDP("IR", data!$B54, data!Z$8, $D$6)=0,"",_xll.IMDP("IR", data!$B54, data!Z$8, $D$6)),
IF(_xll.IMDP("IR", data!$C54, data!Z$8, $D$6)=0,"",_xll.IMDP("IR", data!$C54, data!Z$8, $D$6)), data!Z54 ), "")</f>
        <v>5.0659999999999998</v>
      </c>
      <c r="S53" s="33" t="str" cm="1">
        <f t="array" aca="1" ref="S53" ca="1">IFERROR( CHOOSE( data!$B$7,
IF(_xll.IMDP("IR", data!$B54, data!AA$8, $D$6)=0,"",_xll.IMDP("IR", data!$B54, data!AA$8, $D$6)),
IF(_xll.IMDP("IR", data!$C54, data!AA$8, $D$6)=0,"",_xll.IMDP("IR", data!$C54, data!AA$8, $D$6)), data!AA54 ), "")</f>
        <v/>
      </c>
      <c r="T53" s="34" t="str" cm="1">
        <f t="array" aca="1" ref="T53" ca="1">IFERROR( CHOOSE( data!$B$7,
IF(_xll.IMDP("IR", data!$B54, data!AB$8, $D$6)=0,"",_xll.IMDP("IR", data!$B54, data!AB$8, $D$6)),
IF(_xll.IMDP("IR", data!$C54, data!AB$8, $D$6)=0,"",_xll.IMDP("IR", data!$C54, data!AB$8, $D$6)), data!AB54 ), "")</f>
        <v/>
      </c>
    </row>
    <row r="54" spans="2:20" s="4" customFormat="1" ht="12">
      <c r="B54" s="12"/>
      <c r="C54" s="67"/>
      <c r="D54" s="16" t="s">
        <v>53</v>
      </c>
      <c r="E54" s="32" cm="1">
        <f t="array" aca="1" ref="E54" ca="1">IFERROR( CHOOSE( data!$B$7,
IF(_xll.IMDP("IR", data!$B55, data!M$8, $D$6)=0,"",_xll.IMDP("IR", data!$B55, data!M$8, $D$6)),
IF(_xll.IMDP("IR", data!$C55, data!M$8, $D$6)=0,"",_xll.IMDP("IR", data!$C55, data!M$8, $D$6)), data!M55 ), "")</f>
        <v>3.617</v>
      </c>
      <c r="F54" s="33" cm="1">
        <f t="array" aca="1" ref="F54" ca="1">IFERROR( CHOOSE( data!$B$7,
IF(_xll.IMDP("IR", data!$B55, data!N$8, $D$6)=0,"",_xll.IMDP("IR", data!$B55, data!N$8, $D$6)),
IF(_xll.IMDP("IR", data!$C55, data!N$8, $D$6)=0,"",_xll.IMDP("IR", data!$C55, data!N$8, $D$6)), data!N55 ), "")</f>
        <v>3.718</v>
      </c>
      <c r="G54" s="33" cm="1">
        <f t="array" aca="1" ref="G54" ca="1">IFERROR( CHOOSE( data!$B$7,
IF(_xll.IMDP("IR", data!$B55, data!O$8, $D$6)=0,"",_xll.IMDP("IR", data!$B55, data!O$8, $D$6)),
IF(_xll.IMDP("IR", data!$C55, data!O$8, $D$6)=0,"",_xll.IMDP("IR", data!$C55, data!O$8, $D$6)), data!O55 ), "")</f>
        <v>3.786</v>
      </c>
      <c r="H54" s="33" cm="1">
        <f t="array" aca="1" ref="H54" ca="1">IFERROR( CHOOSE( data!$B$7,
IF(_xll.IMDP("IR", data!$B55, data!P$8, $D$6)=0,"",_xll.IMDP("IR", data!$B55, data!P$8, $D$6)),
IF(_xll.IMDP("IR", data!$C55, data!P$8, $D$6)=0,"",_xll.IMDP("IR", data!$C55, data!P$8, $D$6)), data!P55 ), "")</f>
        <v>3.8180000000000001</v>
      </c>
      <c r="I54" s="33" cm="1">
        <f t="array" aca="1" ref="I54" ca="1">IFERROR( CHOOSE( data!$B$7,
IF(_xll.IMDP("IR", data!$B55, data!Q$8, $D$6)=0,"",_xll.IMDP("IR", data!$B55, data!Q$8, $D$6)),
IF(_xll.IMDP("IR", data!$C55, data!Q$8, $D$6)=0,"",_xll.IMDP("IR", data!$C55, data!Q$8, $D$6)), data!Q55 ), "")</f>
        <v>3.948</v>
      </c>
      <c r="J54" s="33" cm="1">
        <f t="array" aca="1" ref="J54" ca="1">IFERROR( CHOOSE( data!$B$7,
IF(_xll.IMDP("IR", data!$B55, data!R$8, $D$6)=0,"",_xll.IMDP("IR", data!$B55, data!R$8, $D$6)),
IF(_xll.IMDP("IR", data!$C55, data!R$8, $D$6)=0,"",_xll.IMDP("IR", data!$C55, data!R$8, $D$6)), data!R55 ), "")</f>
        <v>4.085</v>
      </c>
      <c r="K54" s="33" cm="1">
        <f t="array" aca="1" ref="K54" ca="1">IFERROR( CHOOSE( data!$B$7,
IF(_xll.IMDP("IR", data!$B55, data!S$8, $D$6)=0,"",_xll.IMDP("IR", data!$B55, data!S$8, $D$6)),
IF(_xll.IMDP("IR", data!$C55, data!S$8, $D$6)=0,"",_xll.IMDP("IR", data!$C55, data!S$8, $D$6)), data!S55 ), "")</f>
        <v>4.1840000000000002</v>
      </c>
      <c r="L54" s="33" cm="1">
        <f t="array" aca="1" ref="L54" ca="1">IFERROR( CHOOSE( data!$B$7,
IF(_xll.IMDP("IR", data!$B55, data!T$8, $D$6)=0,"",_xll.IMDP("IR", data!$B55, data!T$8, $D$6)),
IF(_xll.IMDP("IR", data!$C55, data!T$8, $D$6)=0,"",_xll.IMDP("IR", data!$C55, data!T$8, $D$6)), data!T55 ), "")</f>
        <v>4.2969999999999997</v>
      </c>
      <c r="M54" s="33" cm="1">
        <f t="array" aca="1" ref="M54" ca="1">IFERROR( CHOOSE( data!$B$7,
IF(_xll.IMDP("IR", data!$B55, data!U$8, $D$6)=0,"",_xll.IMDP("IR", data!$B55, data!U$8, $D$6)),
IF(_xll.IMDP("IR", data!$C55, data!U$8, $D$6)=0,"",_xll.IMDP("IR", data!$C55, data!U$8, $D$6)), data!U55 ), "")</f>
        <v>4.4450000000000003</v>
      </c>
      <c r="N54" s="33" cm="1">
        <f t="array" aca="1" ref="N54" ca="1">IFERROR( CHOOSE( data!$B$7,
IF(_xll.IMDP("IR", data!$B55, data!V$8, $D$6)=0,"",_xll.IMDP("IR", data!$B55, data!V$8, $D$6)),
IF(_xll.IMDP("IR", data!$C55, data!V$8, $D$6)=0,"",_xll.IMDP("IR", data!$C55, data!V$8, $D$6)), data!V55 ), "")</f>
        <v>4.5549999999999997</v>
      </c>
      <c r="O54" s="33" cm="1">
        <f t="array" aca="1" ref="O54" ca="1">IFERROR( CHOOSE( data!$B$7,
IF(_xll.IMDP("IR", data!$B55, data!W$8, $D$6)=0,"",_xll.IMDP("IR", data!$B55, data!W$8, $D$6)),
IF(_xll.IMDP("IR", data!$C55, data!W$8, $D$6)=0,"",_xll.IMDP("IR", data!$C55, data!W$8, $D$6)), data!W55 ), "")</f>
        <v>4.6879999999999997</v>
      </c>
      <c r="P54" s="33" cm="1">
        <f t="array" aca="1" ref="P54" ca="1">IFERROR( CHOOSE( data!$B$7,
IF(_xll.IMDP("IR", data!$B55, data!X$8, $D$6)=0,"",_xll.IMDP("IR", data!$B55, data!X$8, $D$6)),
IF(_xll.IMDP("IR", data!$C55, data!X$8, $D$6)=0,"",_xll.IMDP("IR", data!$C55, data!X$8, $D$6)), data!X55 ), "")</f>
        <v>5.1059999999999999</v>
      </c>
      <c r="Q54" s="33" cm="1">
        <f t="array" aca="1" ref="Q54" ca="1">IFERROR( CHOOSE( data!$B$7,
IF(_xll.IMDP("IR", data!$B55, data!Y$8, $D$6)=0,"",_xll.IMDP("IR", data!$B55, data!Y$8, $D$6)),
IF(_xll.IMDP("IR", data!$C55, data!Y$8, $D$6)=0,"",_xll.IMDP("IR", data!$C55, data!Y$8, $D$6)), data!Y55 ), "")</f>
        <v>5.4390000000000001</v>
      </c>
      <c r="R54" s="33" cm="1">
        <f t="array" aca="1" ref="R54" ca="1">IFERROR( CHOOSE( data!$B$7,
IF(_xll.IMDP("IR", data!$B55, data!Z$8, $D$6)=0,"",_xll.IMDP("IR", data!$B55, data!Z$8, $D$6)),
IF(_xll.IMDP("IR", data!$C55, data!Z$8, $D$6)=0,"",_xll.IMDP("IR", data!$C55, data!Z$8, $D$6)), data!Z55 ), "")</f>
        <v>5.6580000000000004</v>
      </c>
      <c r="S54" s="33" t="str" cm="1">
        <f t="array" aca="1" ref="S54" ca="1">IFERROR( CHOOSE( data!$B$7,
IF(_xll.IMDP("IR", data!$B55, data!AA$8, $D$6)=0,"",_xll.IMDP("IR", data!$B55, data!AA$8, $D$6)),
IF(_xll.IMDP("IR", data!$C55, data!AA$8, $D$6)=0,"",_xll.IMDP("IR", data!$C55, data!AA$8, $D$6)), data!AA55 ), "")</f>
        <v/>
      </c>
      <c r="T54" s="34" t="str" cm="1">
        <f t="array" aca="1" ref="T54" ca="1">IFERROR( CHOOSE( data!$B$7,
IF(_xll.IMDP("IR", data!$B55, data!AB$8, $D$6)=0,"",_xll.IMDP("IR", data!$B55, data!AB$8, $D$6)),
IF(_xll.IMDP("IR", data!$C55, data!AB$8, $D$6)=0,"",_xll.IMDP("IR", data!$C55, data!AB$8, $D$6)), data!AB55 ), "")</f>
        <v/>
      </c>
    </row>
    <row r="55" spans="2:20" s="4" customFormat="1" ht="12">
      <c r="B55" s="12"/>
      <c r="C55" s="67"/>
      <c r="D55" s="16" t="s">
        <v>27</v>
      </c>
      <c r="E55" s="32" cm="1">
        <f t="array" aca="1" ref="E55" ca="1">IFERROR( CHOOSE( data!$B$7,
IF(_xll.IMDP("IR", data!$B56, data!M$8, $D$6)=0,"",_xll.IMDP("IR", data!$B56, data!M$8, $D$6)),
IF(_xll.IMDP("IR", data!$C56, data!M$8, $D$6)=0,"",_xll.IMDP("IR", data!$C56, data!M$8, $D$6)), data!M56 ), "")</f>
        <v>3.4239999999999999</v>
      </c>
      <c r="F55" s="33" cm="1">
        <f t="array" aca="1" ref="F55" ca="1">IFERROR( CHOOSE( data!$B$7,
IF(_xll.IMDP("IR", data!$B56, data!N$8, $D$6)=0,"",_xll.IMDP("IR", data!$B56, data!N$8, $D$6)),
IF(_xll.IMDP("IR", data!$C56, data!N$8, $D$6)=0,"",_xll.IMDP("IR", data!$C56, data!N$8, $D$6)), data!N56 ), "")</f>
        <v>3.4079999999999999</v>
      </c>
      <c r="G55" s="33" cm="1">
        <f t="array" aca="1" ref="G55" ca="1">IFERROR( CHOOSE( data!$B$7,
IF(_xll.IMDP("IR", data!$B56, data!O$8, $D$6)=0,"",_xll.IMDP("IR", data!$B56, data!O$8, $D$6)),
IF(_xll.IMDP("IR", data!$C56, data!O$8, $D$6)=0,"",_xll.IMDP("IR", data!$C56, data!O$8, $D$6)), data!O56 ), "")</f>
        <v>3.363</v>
      </c>
      <c r="H55" s="33" cm="1">
        <f t="array" aca="1" ref="H55" ca="1">IFERROR( CHOOSE( data!$B$7,
IF(_xll.IMDP("IR", data!$B56, data!P$8, $D$6)=0,"",_xll.IMDP("IR", data!$B56, data!P$8, $D$6)),
IF(_xll.IMDP("IR", data!$C56, data!P$8, $D$6)=0,"",_xll.IMDP("IR", data!$C56, data!P$8, $D$6)), data!P56 ), "")</f>
        <v>3.3290000000000002</v>
      </c>
      <c r="I55" s="33" cm="1">
        <f t="array" aca="1" ref="I55" ca="1">IFERROR( CHOOSE( data!$B$7,
IF(_xll.IMDP("IR", data!$B56, data!Q$8, $D$6)=0,"",_xll.IMDP("IR", data!$B56, data!Q$8, $D$6)),
IF(_xll.IMDP("IR", data!$C56, data!Q$8, $D$6)=0,"",_xll.IMDP("IR", data!$C56, data!Q$8, $D$6)), data!Q56 ), "")</f>
        <v>3.319</v>
      </c>
      <c r="J55" s="33" cm="1">
        <f t="array" aca="1" ref="J55" ca="1">IFERROR( CHOOSE( data!$B$7,
IF(_xll.IMDP("IR", data!$B56, data!R$8, $D$6)=0,"",_xll.IMDP("IR", data!$B56, data!R$8, $D$6)),
IF(_xll.IMDP("IR", data!$C56, data!R$8, $D$6)=0,"",_xll.IMDP("IR", data!$C56, data!R$8, $D$6)), data!R56 ), "")</f>
        <v>3.28</v>
      </c>
      <c r="K55" s="33" cm="1">
        <f t="array" aca="1" ref="K55" ca="1">IFERROR( CHOOSE( data!$B$7,
IF(_xll.IMDP("IR", data!$B56, data!S$8, $D$6)=0,"",_xll.IMDP("IR", data!$B56, data!S$8, $D$6)),
IF(_xll.IMDP("IR", data!$C56, data!S$8, $D$6)=0,"",_xll.IMDP("IR", data!$C56, data!S$8, $D$6)), data!S56 ), "")</f>
        <v>3.28</v>
      </c>
      <c r="L55" s="33" cm="1">
        <f t="array" aca="1" ref="L55" ca="1">IFERROR( CHOOSE( data!$B$7,
IF(_xll.IMDP("IR", data!$B56, data!T$8, $D$6)=0,"",_xll.IMDP("IR", data!$B56, data!T$8, $D$6)),
IF(_xll.IMDP("IR", data!$C56, data!T$8, $D$6)=0,"",_xll.IMDP("IR", data!$C56, data!T$8, $D$6)), data!T56 ), "")</f>
        <v>3.28</v>
      </c>
      <c r="M55" s="33" cm="1">
        <f t="array" aca="1" ref="M55" ca="1">IFERROR( CHOOSE( data!$B$7,
IF(_xll.IMDP("IR", data!$B56, data!U$8, $D$6)=0,"",_xll.IMDP("IR", data!$B56, data!U$8, $D$6)),
IF(_xll.IMDP("IR", data!$C56, data!U$8, $D$6)=0,"",_xll.IMDP("IR", data!$C56, data!U$8, $D$6)), data!U56 ), "")</f>
        <v>3.28</v>
      </c>
      <c r="N55" s="33" cm="1">
        <f t="array" aca="1" ref="N55" ca="1">IFERROR( CHOOSE( data!$B$7,
IF(_xll.IMDP("IR", data!$B56, data!V$8, $D$6)=0,"",_xll.IMDP("IR", data!$B56, data!V$8, $D$6)),
IF(_xll.IMDP("IR", data!$C56, data!V$8, $D$6)=0,"",_xll.IMDP("IR", data!$C56, data!V$8, $D$6)), data!V56 ), "")</f>
        <v>3.2810000000000001</v>
      </c>
      <c r="O55" s="33" cm="1">
        <f t="array" aca="1" ref="O55" ca="1">IFERROR( CHOOSE( data!$B$7,
IF(_xll.IMDP("IR", data!$B56, data!W$8, $D$6)=0,"",_xll.IMDP("IR", data!$B56, data!W$8, $D$6)),
IF(_xll.IMDP("IR", data!$C56, data!W$8, $D$6)=0,"",_xll.IMDP("IR", data!$C56, data!W$8, $D$6)), data!W56 ), "")</f>
        <v>3.3519999999999999</v>
      </c>
      <c r="P55" s="33" cm="1">
        <f t="array" aca="1" ref="P55" ca="1">IFERROR( CHOOSE( data!$B$7,
IF(_xll.IMDP("IR", data!$B56, data!X$8, $D$6)=0,"",_xll.IMDP("IR", data!$B56, data!X$8, $D$6)),
IF(_xll.IMDP("IR", data!$C56, data!X$8, $D$6)=0,"",_xll.IMDP("IR", data!$C56, data!X$8, $D$6)), data!X56 ), "")</f>
        <v>3.6150000000000002</v>
      </c>
      <c r="Q55" s="33" cm="1">
        <f t="array" aca="1" ref="Q55" ca="1">IFERROR( CHOOSE( data!$B$7,
IF(_xll.IMDP("IR", data!$B56, data!Y$8, $D$6)=0,"",_xll.IMDP("IR", data!$B56, data!Y$8, $D$6)),
IF(_xll.IMDP("IR", data!$C56, data!Y$8, $D$6)=0,"",_xll.IMDP("IR", data!$C56, data!Y$8, $D$6)), data!Y56 ), "")</f>
        <v>3.8260000000000001</v>
      </c>
      <c r="R55" s="33" cm="1">
        <f t="array" aca="1" ref="R55" ca="1">IFERROR( CHOOSE( data!$B$7,
IF(_xll.IMDP("IR", data!$B56, data!Z$8, $D$6)=0,"",_xll.IMDP("IR", data!$B56, data!Z$8, $D$6)),
IF(_xll.IMDP("IR", data!$C56, data!Z$8, $D$6)=0,"",_xll.IMDP("IR", data!$C56, data!Z$8, $D$6)), data!Z56 ), "")</f>
        <v>3.9660000000000002</v>
      </c>
      <c r="S55" s="33" t="str" cm="1">
        <f t="array" aca="1" ref="S55" ca="1">IFERROR( CHOOSE( data!$B$7,
IF(_xll.IMDP("IR", data!$B56, data!AA$8, $D$6)=0,"",_xll.IMDP("IR", data!$B56, data!AA$8, $D$6)),
IF(_xll.IMDP("IR", data!$C56, data!AA$8, $D$6)=0,"",_xll.IMDP("IR", data!$C56, data!AA$8, $D$6)), data!AA56 ), "")</f>
        <v/>
      </c>
      <c r="T55" s="34" t="str" cm="1">
        <f t="array" aca="1" ref="T55" ca="1">IFERROR( CHOOSE( data!$B$7,
IF(_xll.IMDP("IR", data!$B56, data!AB$8, $D$6)=0,"",_xll.IMDP("IR", data!$B56, data!AB$8, $D$6)),
IF(_xll.IMDP("IR", data!$C56, data!AB$8, $D$6)=0,"",_xll.IMDP("IR", data!$C56, data!AB$8, $D$6)), data!AB56 ), "")</f>
        <v/>
      </c>
    </row>
    <row r="56" spans="2:20" s="4" customFormat="1" ht="12">
      <c r="B56" s="12"/>
      <c r="C56" s="67"/>
      <c r="D56" s="16" t="s">
        <v>28</v>
      </c>
      <c r="E56" s="32" cm="1">
        <f t="array" aca="1" ref="E56" ca="1">IFERROR( CHOOSE( data!$B$7,
IF(_xll.IMDP("IR", data!$B57, data!M$8, $D$6)=0,"",_xll.IMDP("IR", data!$B57, data!M$8, $D$6)),
IF(_xll.IMDP("IR", data!$C57, data!M$8, $D$6)=0,"",_xll.IMDP("IR", data!$C57, data!M$8, $D$6)), data!M57 ), "")</f>
        <v>3.4329999999999998</v>
      </c>
      <c r="F56" s="33" cm="1">
        <f t="array" aca="1" ref="F56" ca="1">IFERROR( CHOOSE( data!$B$7,
IF(_xll.IMDP("IR", data!$B57, data!N$8, $D$6)=0,"",_xll.IMDP("IR", data!$B57, data!N$8, $D$6)),
IF(_xll.IMDP("IR", data!$C57, data!N$8, $D$6)=0,"",_xll.IMDP("IR", data!$C57, data!N$8, $D$6)), data!N57 ), "")</f>
        <v>3.4249999999999998</v>
      </c>
      <c r="G56" s="33" cm="1">
        <f t="array" aca="1" ref="G56" ca="1">IFERROR( CHOOSE( data!$B$7,
IF(_xll.IMDP("IR", data!$B57, data!O$8, $D$6)=0,"",_xll.IMDP("IR", data!$B57, data!O$8, $D$6)),
IF(_xll.IMDP("IR", data!$C57, data!O$8, $D$6)=0,"",_xll.IMDP("IR", data!$C57, data!O$8, $D$6)), data!O57 ), "")</f>
        <v>3.3769999999999998</v>
      </c>
      <c r="H56" s="33" cm="1">
        <f t="array" aca="1" ref="H56" ca="1">IFERROR( CHOOSE( data!$B$7,
IF(_xll.IMDP("IR", data!$B57, data!P$8, $D$6)=0,"",_xll.IMDP("IR", data!$B57, data!P$8, $D$6)),
IF(_xll.IMDP("IR", data!$C57, data!P$8, $D$6)=0,"",_xll.IMDP("IR", data!$C57, data!P$8, $D$6)), data!P57 ), "")</f>
        <v>3.3380000000000001</v>
      </c>
      <c r="I56" s="33" cm="1">
        <f t="array" aca="1" ref="I56" ca="1">IFERROR( CHOOSE( data!$B$7,
IF(_xll.IMDP("IR", data!$B57, data!Q$8, $D$6)=0,"",_xll.IMDP("IR", data!$B57, data!Q$8, $D$6)),
IF(_xll.IMDP("IR", data!$C57, data!Q$8, $D$6)=0,"",_xll.IMDP("IR", data!$C57, data!Q$8, $D$6)), data!Q57 ), "")</f>
        <v>3.34</v>
      </c>
      <c r="J56" s="33" cm="1">
        <f t="array" aca="1" ref="J56" ca="1">IFERROR( CHOOSE( data!$B$7,
IF(_xll.IMDP("IR", data!$B57, data!R$8, $D$6)=0,"",_xll.IMDP("IR", data!$B57, data!R$8, $D$6)),
IF(_xll.IMDP("IR", data!$C57, data!R$8, $D$6)=0,"",_xll.IMDP("IR", data!$C57, data!R$8, $D$6)), data!R57 ), "")</f>
        <v>3.3029999999999999</v>
      </c>
      <c r="K56" s="33" cm="1">
        <f t="array" aca="1" ref="K56" ca="1">IFERROR( CHOOSE( data!$B$7,
IF(_xll.IMDP("IR", data!$B57, data!S$8, $D$6)=0,"",_xll.IMDP("IR", data!$B57, data!S$8, $D$6)),
IF(_xll.IMDP("IR", data!$C57, data!S$8, $D$6)=0,"",_xll.IMDP("IR", data!$C57, data!S$8, $D$6)), data!S57 ), "")</f>
        <v>3.3250000000000002</v>
      </c>
      <c r="L56" s="33" cm="1">
        <f t="array" aca="1" ref="L56" ca="1">IFERROR( CHOOSE( data!$B$7,
IF(_xll.IMDP("IR", data!$B57, data!T$8, $D$6)=0,"",_xll.IMDP("IR", data!$B57, data!T$8, $D$6)),
IF(_xll.IMDP("IR", data!$C57, data!T$8, $D$6)=0,"",_xll.IMDP("IR", data!$C57, data!T$8, $D$6)), data!T57 ), "")</f>
        <v>3.3319999999999999</v>
      </c>
      <c r="M56" s="33" cm="1">
        <f t="array" aca="1" ref="M56" ca="1">IFERROR( CHOOSE( data!$B$7,
IF(_xll.IMDP("IR", data!$B57, data!U$8, $D$6)=0,"",_xll.IMDP("IR", data!$B57, data!U$8, $D$6)),
IF(_xll.IMDP("IR", data!$C57, data!U$8, $D$6)=0,"",_xll.IMDP("IR", data!$C57, data!U$8, $D$6)), data!U57 ), "")</f>
        <v>3.3370000000000002</v>
      </c>
      <c r="N56" s="33" cm="1">
        <f t="array" aca="1" ref="N56" ca="1">IFERROR( CHOOSE( data!$B$7,
IF(_xll.IMDP("IR", data!$B57, data!V$8, $D$6)=0,"",_xll.IMDP("IR", data!$B57, data!V$8, $D$6)),
IF(_xll.IMDP("IR", data!$C57, data!V$8, $D$6)=0,"",_xll.IMDP("IR", data!$C57, data!V$8, $D$6)), data!V57 ), "")</f>
        <v>3.3580000000000001</v>
      </c>
      <c r="O56" s="33" cm="1">
        <f t="array" aca="1" ref="O56" ca="1">IFERROR( CHOOSE( data!$B$7,
IF(_xll.IMDP("IR", data!$B57, data!W$8, $D$6)=0,"",_xll.IMDP("IR", data!$B57, data!W$8, $D$6)),
IF(_xll.IMDP("IR", data!$C57, data!W$8, $D$6)=0,"",_xll.IMDP("IR", data!$C57, data!W$8, $D$6)), data!W57 ), "")</f>
        <v>3.4780000000000002</v>
      </c>
      <c r="P56" s="33" cm="1">
        <f t="array" aca="1" ref="P56" ca="1">IFERROR( CHOOSE( data!$B$7,
IF(_xll.IMDP("IR", data!$B57, data!X$8, $D$6)=0,"",_xll.IMDP("IR", data!$B57, data!X$8, $D$6)),
IF(_xll.IMDP("IR", data!$C57, data!X$8, $D$6)=0,"",_xll.IMDP("IR", data!$C57, data!X$8, $D$6)), data!X57 ), "")</f>
        <v>3.911</v>
      </c>
      <c r="Q56" s="33" cm="1">
        <f t="array" aca="1" ref="Q56" ca="1">IFERROR( CHOOSE( data!$B$7,
IF(_xll.IMDP("IR", data!$B57, data!Y$8, $D$6)=0,"",_xll.IMDP("IR", data!$B57, data!Y$8, $D$6)),
IF(_xll.IMDP("IR", data!$C57, data!Y$8, $D$6)=0,"",_xll.IMDP("IR", data!$C57, data!Y$8, $D$6)), data!Y57 ), "")</f>
        <v>4.1849999999999996</v>
      </c>
      <c r="R56" s="33" cm="1">
        <f t="array" aca="1" ref="R56" ca="1">IFERROR( CHOOSE( data!$B$7,
IF(_xll.IMDP("IR", data!$B57, data!Z$8, $D$6)=0,"",_xll.IMDP("IR", data!$B57, data!Z$8, $D$6)),
IF(_xll.IMDP("IR", data!$C57, data!Z$8, $D$6)=0,"",_xll.IMDP("IR", data!$C57, data!Z$8, $D$6)), data!Z57 ), "")</f>
        <v>4.3479999999999999</v>
      </c>
      <c r="S56" s="33" t="str" cm="1">
        <f t="array" aca="1" ref="S56" ca="1">IFERROR( CHOOSE( data!$B$7,
IF(_xll.IMDP("IR", data!$B57, data!AA$8, $D$6)=0,"",_xll.IMDP("IR", data!$B57, data!AA$8, $D$6)),
IF(_xll.IMDP("IR", data!$C57, data!AA$8, $D$6)=0,"",_xll.IMDP("IR", data!$C57, data!AA$8, $D$6)), data!AA57 ), "")</f>
        <v/>
      </c>
      <c r="T56" s="34" t="str" cm="1">
        <f t="array" aca="1" ref="T56" ca="1">IFERROR( CHOOSE( data!$B$7,
IF(_xll.IMDP("IR", data!$B57, data!AB$8, $D$6)=0,"",_xll.IMDP("IR", data!$B57, data!AB$8, $D$6)),
IF(_xll.IMDP("IR", data!$C57, data!AB$8, $D$6)=0,"",_xll.IMDP("IR", data!$C57, data!AB$8, $D$6)), data!AB57 ), "")</f>
        <v/>
      </c>
    </row>
    <row r="57" spans="2:20" s="4" customFormat="1" ht="12">
      <c r="B57" s="12"/>
      <c r="C57" s="67"/>
      <c r="D57" s="16" t="s">
        <v>29</v>
      </c>
      <c r="E57" s="32" cm="1">
        <f t="array" aca="1" ref="E57" ca="1">IFERROR( CHOOSE( data!$B$7,
IF(_xll.IMDP("IR", data!$B58, data!M$8, $D$6)=0,"",_xll.IMDP("IR", data!$B58, data!M$8, $D$6)),
IF(_xll.IMDP("IR", data!$C58, data!M$8, $D$6)=0,"",_xll.IMDP("IR", data!$C58, data!M$8, $D$6)), data!M58 ), "")</f>
        <v>3.444</v>
      </c>
      <c r="F57" s="33" cm="1">
        <f t="array" aca="1" ref="F57" ca="1">IFERROR( CHOOSE( data!$B$7,
IF(_xll.IMDP("IR", data!$B58, data!N$8, $D$6)=0,"",_xll.IMDP("IR", data!$B58, data!N$8, $D$6)),
IF(_xll.IMDP("IR", data!$C58, data!N$8, $D$6)=0,"",_xll.IMDP("IR", data!$C58, data!N$8, $D$6)), data!N58 ), "")</f>
        <v>3.4430000000000001</v>
      </c>
      <c r="G57" s="33" cm="1">
        <f t="array" aca="1" ref="G57" ca="1">IFERROR( CHOOSE( data!$B$7,
IF(_xll.IMDP("IR", data!$B58, data!O$8, $D$6)=0,"",_xll.IMDP("IR", data!$B58, data!O$8, $D$6)),
IF(_xll.IMDP("IR", data!$C58, data!O$8, $D$6)=0,"",_xll.IMDP("IR", data!$C58, data!O$8, $D$6)), data!O58 ), "")</f>
        <v>3.3969999999999998</v>
      </c>
      <c r="H57" s="33" cm="1">
        <f t="array" aca="1" ref="H57" ca="1">IFERROR( CHOOSE( data!$B$7,
IF(_xll.IMDP("IR", data!$B58, data!P$8, $D$6)=0,"",_xll.IMDP("IR", data!$B58, data!P$8, $D$6)),
IF(_xll.IMDP("IR", data!$C58, data!P$8, $D$6)=0,"",_xll.IMDP("IR", data!$C58, data!P$8, $D$6)), data!P58 ), "")</f>
        <v>3.3639999999999999</v>
      </c>
      <c r="I57" s="33" cm="1">
        <f t="array" aca="1" ref="I57" ca="1">IFERROR( CHOOSE( data!$B$7,
IF(_xll.IMDP("IR", data!$B58, data!Q$8, $D$6)=0,"",_xll.IMDP("IR", data!$B58, data!Q$8, $D$6)),
IF(_xll.IMDP("IR", data!$C58, data!Q$8, $D$6)=0,"",_xll.IMDP("IR", data!$C58, data!Q$8, $D$6)), data!Q58 ), "")</f>
        <v>3.375</v>
      </c>
      <c r="J57" s="33" cm="1">
        <f t="array" aca="1" ref="J57" ca="1">IFERROR( CHOOSE( data!$B$7,
IF(_xll.IMDP("IR", data!$B58, data!R$8, $D$6)=0,"",_xll.IMDP("IR", data!$B58, data!R$8, $D$6)),
IF(_xll.IMDP("IR", data!$C58, data!R$8, $D$6)=0,"",_xll.IMDP("IR", data!$C58, data!R$8, $D$6)), data!R58 ), "")</f>
        <v>3.3380000000000001</v>
      </c>
      <c r="K57" s="33" cm="1">
        <f t="array" aca="1" ref="K57" ca="1">IFERROR( CHOOSE( data!$B$7,
IF(_xll.IMDP("IR", data!$B58, data!S$8, $D$6)=0,"",_xll.IMDP("IR", data!$B58, data!S$8, $D$6)),
IF(_xll.IMDP("IR", data!$C58, data!S$8, $D$6)=0,"",_xll.IMDP("IR", data!$C58, data!S$8, $D$6)), data!S58 ), "")</f>
        <v>3.3620000000000001</v>
      </c>
      <c r="L57" s="33" cm="1">
        <f t="array" aca="1" ref="L57" ca="1">IFERROR( CHOOSE( data!$B$7,
IF(_xll.IMDP("IR", data!$B58, data!T$8, $D$6)=0,"",_xll.IMDP("IR", data!$B58, data!T$8, $D$6)),
IF(_xll.IMDP("IR", data!$C58, data!T$8, $D$6)=0,"",_xll.IMDP("IR", data!$C58, data!T$8, $D$6)), data!T58 ), "")</f>
        <v>3.3730000000000002</v>
      </c>
      <c r="M57" s="33" cm="1">
        <f t="array" aca="1" ref="M57" ca="1">IFERROR( CHOOSE( data!$B$7,
IF(_xll.IMDP("IR", data!$B58, data!U$8, $D$6)=0,"",_xll.IMDP("IR", data!$B58, data!U$8, $D$6)),
IF(_xll.IMDP("IR", data!$C58, data!U$8, $D$6)=0,"",_xll.IMDP("IR", data!$C58, data!U$8, $D$6)), data!U58 ), "")</f>
        <v>3.3740000000000001</v>
      </c>
      <c r="N57" s="33" cm="1">
        <f t="array" aca="1" ref="N57" ca="1">IFERROR( CHOOSE( data!$B$7,
IF(_xll.IMDP("IR", data!$B58, data!V$8, $D$6)=0,"",_xll.IMDP("IR", data!$B58, data!V$8, $D$6)),
IF(_xll.IMDP("IR", data!$C58, data!V$8, $D$6)=0,"",_xll.IMDP("IR", data!$C58, data!V$8, $D$6)), data!V58 ), "")</f>
        <v>3.419</v>
      </c>
      <c r="O57" s="33" cm="1">
        <f t="array" aca="1" ref="O57" ca="1">IFERROR( CHOOSE( data!$B$7,
IF(_xll.IMDP("IR", data!$B58, data!W$8, $D$6)=0,"",_xll.IMDP("IR", data!$B58, data!W$8, $D$6)),
IF(_xll.IMDP("IR", data!$C58, data!W$8, $D$6)=0,"",_xll.IMDP("IR", data!$C58, data!W$8, $D$6)), data!W58 ), "")</f>
        <v>3.5760000000000001</v>
      </c>
      <c r="P57" s="33" cm="1">
        <f t="array" aca="1" ref="P57" ca="1">IFERROR( CHOOSE( data!$B$7,
IF(_xll.IMDP("IR", data!$B58, data!X$8, $D$6)=0,"",_xll.IMDP("IR", data!$B58, data!X$8, $D$6)),
IF(_xll.IMDP("IR", data!$C58, data!X$8, $D$6)=0,"",_xll.IMDP("IR", data!$C58, data!X$8, $D$6)), data!X58 ), "")</f>
        <v>4.2469999999999999</v>
      </c>
      <c r="Q57" s="33" cm="1">
        <f t="array" aca="1" ref="Q57" ca="1">IFERROR( CHOOSE( data!$B$7,
IF(_xll.IMDP("IR", data!$B58, data!Y$8, $D$6)=0,"",_xll.IMDP("IR", data!$B58, data!Y$8, $D$6)),
IF(_xll.IMDP("IR", data!$C58, data!Y$8, $D$6)=0,"",_xll.IMDP("IR", data!$C58, data!Y$8, $D$6)), data!Y58 ), "")</f>
        <v>4.74</v>
      </c>
      <c r="R57" s="33" cm="1">
        <f t="array" aca="1" ref="R57" ca="1">IFERROR( CHOOSE( data!$B$7,
IF(_xll.IMDP("IR", data!$B58, data!Z$8, $D$6)=0,"",_xll.IMDP("IR", data!$B58, data!Z$8, $D$6)),
IF(_xll.IMDP("IR", data!$C58, data!Z$8, $D$6)=0,"",_xll.IMDP("IR", data!$C58, data!Z$8, $D$6)), data!Z58 ), "")</f>
        <v>4.9320000000000004</v>
      </c>
      <c r="S57" s="33" t="str" cm="1">
        <f t="array" aca="1" ref="S57" ca="1">IFERROR( CHOOSE( data!$B$7,
IF(_xll.IMDP("IR", data!$B58, data!AA$8, $D$6)=0,"",_xll.IMDP("IR", data!$B58, data!AA$8, $D$6)),
IF(_xll.IMDP("IR", data!$C58, data!AA$8, $D$6)=0,"",_xll.IMDP("IR", data!$C58, data!AA$8, $D$6)), data!AA58 ), "")</f>
        <v/>
      </c>
      <c r="T57" s="34" t="str" cm="1">
        <f t="array" aca="1" ref="T57" ca="1">IFERROR( CHOOSE( data!$B$7,
IF(_xll.IMDP("IR", data!$B58, data!AB$8, $D$6)=0,"",_xll.IMDP("IR", data!$B58, data!AB$8, $D$6)),
IF(_xll.IMDP("IR", data!$C58, data!AB$8, $D$6)=0,"",_xll.IMDP("IR", data!$C58, data!AB$8, $D$6)), data!AB58 ), "")</f>
        <v/>
      </c>
    </row>
    <row r="58" spans="2:20" s="4" customFormat="1" ht="12">
      <c r="B58" s="12"/>
      <c r="C58" s="67"/>
      <c r="D58" s="16" t="s">
        <v>30</v>
      </c>
      <c r="E58" s="32" cm="1">
        <f t="array" aca="1" ref="E58" ca="1">IFERROR( CHOOSE( data!$B$7,
IF(_xll.IMDP("IR", data!$B59, data!M$8, $D$6)=0,"",_xll.IMDP("IR", data!$B59, data!M$8, $D$6)),
IF(_xll.IMDP("IR", data!$C59, data!M$8, $D$6)=0,"",_xll.IMDP("IR", data!$C59, data!M$8, $D$6)), data!M59 ), "")</f>
        <v>3.4670000000000001</v>
      </c>
      <c r="F58" s="33" cm="1">
        <f t="array" aca="1" ref="F58" ca="1">IFERROR( CHOOSE( data!$B$7,
IF(_xll.IMDP("IR", data!$B59, data!N$8, $D$6)=0,"",_xll.IMDP("IR", data!$B59, data!N$8, $D$6)),
IF(_xll.IMDP("IR", data!$C59, data!N$8, $D$6)=0,"",_xll.IMDP("IR", data!$C59, data!N$8, $D$6)), data!N59 ), "")</f>
        <v>3.4660000000000002</v>
      </c>
      <c r="G58" s="33" cm="1">
        <f t="array" aca="1" ref="G58" ca="1">IFERROR( CHOOSE( data!$B$7,
IF(_xll.IMDP("IR", data!$B59, data!O$8, $D$6)=0,"",_xll.IMDP("IR", data!$B59, data!O$8, $D$6)),
IF(_xll.IMDP("IR", data!$C59, data!O$8, $D$6)=0,"",_xll.IMDP("IR", data!$C59, data!O$8, $D$6)), data!O59 ), "")</f>
        <v>3.4209999999999998</v>
      </c>
      <c r="H58" s="33" cm="1">
        <f t="array" aca="1" ref="H58" ca="1">IFERROR( CHOOSE( data!$B$7,
IF(_xll.IMDP("IR", data!$B59, data!P$8, $D$6)=0,"",_xll.IMDP("IR", data!$B59, data!P$8, $D$6)),
IF(_xll.IMDP("IR", data!$C59, data!P$8, $D$6)=0,"",_xll.IMDP("IR", data!$C59, data!P$8, $D$6)), data!P59 ), "")</f>
        <v>3.391</v>
      </c>
      <c r="I58" s="33" cm="1">
        <f t="array" aca="1" ref="I58" ca="1">IFERROR( CHOOSE( data!$B$7,
IF(_xll.IMDP("IR", data!$B59, data!Q$8, $D$6)=0,"",_xll.IMDP("IR", data!$B59, data!Q$8, $D$6)),
IF(_xll.IMDP("IR", data!$C59, data!Q$8, $D$6)=0,"",_xll.IMDP("IR", data!$C59, data!Q$8, $D$6)), data!Q59 ), "")</f>
        <v>3.3969999999999998</v>
      </c>
      <c r="J58" s="33" cm="1">
        <f t="array" aca="1" ref="J58" ca="1">IFERROR( CHOOSE( data!$B$7,
IF(_xll.IMDP("IR", data!$B59, data!R$8, $D$6)=0,"",_xll.IMDP("IR", data!$B59, data!R$8, $D$6)),
IF(_xll.IMDP("IR", data!$C59, data!R$8, $D$6)=0,"",_xll.IMDP("IR", data!$C59, data!R$8, $D$6)), data!R59 ), "")</f>
        <v>3.3730000000000002</v>
      </c>
      <c r="K58" s="33" cm="1">
        <f t="array" aca="1" ref="K58" ca="1">IFERROR( CHOOSE( data!$B$7,
IF(_xll.IMDP("IR", data!$B59, data!S$8, $D$6)=0,"",_xll.IMDP("IR", data!$B59, data!S$8, $D$6)),
IF(_xll.IMDP("IR", data!$C59, data!S$8, $D$6)=0,"",_xll.IMDP("IR", data!$C59, data!S$8, $D$6)), data!S59 ), "")</f>
        <v>3.4</v>
      </c>
      <c r="L58" s="33" cm="1">
        <f t="array" aca="1" ref="L58" ca="1">IFERROR( CHOOSE( data!$B$7,
IF(_xll.IMDP("IR", data!$B59, data!T$8, $D$6)=0,"",_xll.IMDP("IR", data!$B59, data!T$8, $D$6)),
IF(_xll.IMDP("IR", data!$C59, data!T$8, $D$6)=0,"",_xll.IMDP("IR", data!$C59, data!T$8, $D$6)), data!T59 ), "")</f>
        <v>3.4129999999999998</v>
      </c>
      <c r="M58" s="33" cm="1">
        <f t="array" aca="1" ref="M58" ca="1">IFERROR( CHOOSE( data!$B$7,
IF(_xll.IMDP("IR", data!$B59, data!U$8, $D$6)=0,"",_xll.IMDP("IR", data!$B59, data!U$8, $D$6)),
IF(_xll.IMDP("IR", data!$C59, data!U$8, $D$6)=0,"",_xll.IMDP("IR", data!$C59, data!U$8, $D$6)), data!U59 ), "")</f>
        <v>3.423</v>
      </c>
      <c r="N58" s="33" cm="1">
        <f t="array" aca="1" ref="N58" ca="1">IFERROR( CHOOSE( data!$B$7,
IF(_xll.IMDP("IR", data!$B59, data!V$8, $D$6)=0,"",_xll.IMDP("IR", data!$B59, data!V$8, $D$6)),
IF(_xll.IMDP("IR", data!$C59, data!V$8, $D$6)=0,"",_xll.IMDP("IR", data!$C59, data!V$8, $D$6)), data!V59 ), "")</f>
        <v>3.5219999999999998</v>
      </c>
      <c r="O58" s="33" cm="1">
        <f t="array" aca="1" ref="O58" ca="1">IFERROR( CHOOSE( data!$B$7,
IF(_xll.IMDP("IR", data!$B59, data!W$8, $D$6)=0,"",_xll.IMDP("IR", data!$B59, data!W$8, $D$6)),
IF(_xll.IMDP("IR", data!$C59, data!W$8, $D$6)=0,"",_xll.IMDP("IR", data!$C59, data!W$8, $D$6)), data!W59 ), "")</f>
        <v>3.7749999999999999</v>
      </c>
      <c r="P58" s="33" cm="1">
        <f t="array" aca="1" ref="P58" ca="1">IFERROR( CHOOSE( data!$B$7,
IF(_xll.IMDP("IR", data!$B59, data!X$8, $D$6)=0,"",_xll.IMDP("IR", data!$B59, data!X$8, $D$6)),
IF(_xll.IMDP("IR", data!$C59, data!X$8, $D$6)=0,"",_xll.IMDP("IR", data!$C59, data!X$8, $D$6)), data!X59 ), "")</f>
        <v>4.6189999999999998</v>
      </c>
      <c r="Q58" s="33" cm="1">
        <f t="array" aca="1" ref="Q58" ca="1">IFERROR( CHOOSE( data!$B$7,
IF(_xll.IMDP("IR", data!$B59, data!Y$8, $D$6)=0,"",_xll.IMDP("IR", data!$B59, data!Y$8, $D$6)),
IF(_xll.IMDP("IR", data!$C59, data!Y$8, $D$6)=0,"",_xll.IMDP("IR", data!$C59, data!Y$8, $D$6)), data!Y59 ), "")</f>
        <v>5.2370000000000001</v>
      </c>
      <c r="R58" s="33" cm="1">
        <f t="array" aca="1" ref="R58" ca="1">IFERROR( CHOOSE( data!$B$7,
IF(_xll.IMDP("IR", data!$B59, data!Z$8, $D$6)=0,"",_xll.IMDP("IR", data!$B59, data!Z$8, $D$6)),
IF(_xll.IMDP("IR", data!$C59, data!Z$8, $D$6)=0,"",_xll.IMDP("IR", data!$C59, data!Z$8, $D$6)), data!Z59 ), "")</f>
        <v>5.4690000000000003</v>
      </c>
      <c r="S58" s="33" t="str" cm="1">
        <f t="array" aca="1" ref="S58" ca="1">IFERROR( CHOOSE( data!$B$7,
IF(_xll.IMDP("IR", data!$B59, data!AA$8, $D$6)=0,"",_xll.IMDP("IR", data!$B59, data!AA$8, $D$6)),
IF(_xll.IMDP("IR", data!$C59, data!AA$8, $D$6)=0,"",_xll.IMDP("IR", data!$C59, data!AA$8, $D$6)), data!AA59 ), "")</f>
        <v/>
      </c>
      <c r="T58" s="34" t="str" cm="1">
        <f t="array" aca="1" ref="T58" ca="1">IFERROR( CHOOSE( data!$B$7,
IF(_xll.IMDP("IR", data!$B59, data!AB$8, $D$6)=0,"",_xll.IMDP("IR", data!$B59, data!AB$8, $D$6)),
IF(_xll.IMDP("IR", data!$C59, data!AB$8, $D$6)=0,"",_xll.IMDP("IR", data!$C59, data!AB$8, $D$6)), data!AB59 ), "")</f>
        <v/>
      </c>
    </row>
    <row r="59" spans="2:20" s="4" customFormat="1" ht="12">
      <c r="B59" s="12"/>
      <c r="C59" s="67"/>
      <c r="D59" s="16" t="s">
        <v>40</v>
      </c>
      <c r="E59" s="32" cm="1">
        <f t="array" aca="1" ref="E59" ca="1">IFERROR( CHOOSE( data!$B$7,
IF(_xll.IMDP("IR", data!$B60, data!M$8, $D$6)=0,"",_xll.IMDP("IR", data!$B60, data!M$8, $D$6)),
IF(_xll.IMDP("IR", data!$C60, data!M$8, $D$6)=0,"",_xll.IMDP("IR", data!$C60, data!M$8, $D$6)), data!M60 ), "")</f>
        <v>3.504</v>
      </c>
      <c r="F59" s="33" cm="1">
        <f t="array" aca="1" ref="F59" ca="1">IFERROR( CHOOSE( data!$B$7,
IF(_xll.IMDP("IR", data!$B60, data!N$8, $D$6)=0,"",_xll.IMDP("IR", data!$B60, data!N$8, $D$6)),
IF(_xll.IMDP("IR", data!$C60, data!N$8, $D$6)=0,"",_xll.IMDP("IR", data!$C60, data!N$8, $D$6)), data!N60 ), "")</f>
        <v>3.5449999999999999</v>
      </c>
      <c r="G59" s="33" cm="1">
        <f t="array" aca="1" ref="G59" ca="1">IFERROR( CHOOSE( data!$B$7,
IF(_xll.IMDP("IR", data!$B60, data!O$8, $D$6)=0,"",_xll.IMDP("IR", data!$B60, data!O$8, $D$6)),
IF(_xll.IMDP("IR", data!$C60, data!O$8, $D$6)=0,"",_xll.IMDP("IR", data!$C60, data!O$8, $D$6)), data!O60 ), "")</f>
        <v>3.5579999999999998</v>
      </c>
      <c r="H59" s="33" cm="1">
        <f t="array" aca="1" ref="H59" ca="1">IFERROR( CHOOSE( data!$B$7,
IF(_xll.IMDP("IR", data!$B60, data!P$8, $D$6)=0,"",_xll.IMDP("IR", data!$B60, data!P$8, $D$6)),
IF(_xll.IMDP("IR", data!$C60, data!P$8, $D$6)=0,"",_xll.IMDP("IR", data!$C60, data!P$8, $D$6)), data!P60 ), "")</f>
        <v>3.5830000000000002</v>
      </c>
      <c r="I59" s="33" cm="1">
        <f t="array" aca="1" ref="I59" ca="1">IFERROR( CHOOSE( data!$B$7,
IF(_xll.IMDP("IR", data!$B60, data!Q$8, $D$6)=0,"",_xll.IMDP("IR", data!$B60, data!Q$8, $D$6)),
IF(_xll.IMDP("IR", data!$C60, data!Q$8, $D$6)=0,"",_xll.IMDP("IR", data!$C60, data!Q$8, $D$6)), data!Q60 ), "")</f>
        <v>3.6629999999999998</v>
      </c>
      <c r="J59" s="33" cm="1">
        <f t="array" aca="1" ref="J59" ca="1">IFERROR( CHOOSE( data!$B$7,
IF(_xll.IMDP("IR", data!$B60, data!R$8, $D$6)=0,"",_xll.IMDP("IR", data!$B60, data!R$8, $D$6)),
IF(_xll.IMDP("IR", data!$C60, data!R$8, $D$6)=0,"",_xll.IMDP("IR", data!$C60, data!R$8, $D$6)), data!R60 ), "")</f>
        <v>3.7</v>
      </c>
      <c r="K59" s="33" cm="1">
        <f t="array" aca="1" ref="K59" ca="1">IFERROR( CHOOSE( data!$B$7,
IF(_xll.IMDP("IR", data!$B60, data!S$8, $D$6)=0,"",_xll.IMDP("IR", data!$B60, data!S$8, $D$6)),
IF(_xll.IMDP("IR", data!$C60, data!S$8, $D$6)=0,"",_xll.IMDP("IR", data!$C60, data!S$8, $D$6)), data!S60 ), "")</f>
        <v>3.7450000000000001</v>
      </c>
      <c r="L59" s="33" cm="1">
        <f t="array" aca="1" ref="L59" ca="1">IFERROR( CHOOSE( data!$B$7,
IF(_xll.IMDP("IR", data!$B60, data!T$8, $D$6)=0,"",_xll.IMDP("IR", data!$B60, data!T$8, $D$6)),
IF(_xll.IMDP("IR", data!$C60, data!T$8, $D$6)=0,"",_xll.IMDP("IR", data!$C60, data!T$8, $D$6)), data!T60 ), "")</f>
        <v>3.7959999999999998</v>
      </c>
      <c r="M59" s="33" cm="1">
        <f t="array" aca="1" ref="M59" ca="1">IFERROR( CHOOSE( data!$B$7,
IF(_xll.IMDP("IR", data!$B60, data!U$8, $D$6)=0,"",_xll.IMDP("IR", data!$B60, data!U$8, $D$6)),
IF(_xll.IMDP("IR", data!$C60, data!U$8, $D$6)=0,"",_xll.IMDP("IR", data!$C60, data!U$8, $D$6)), data!U60 ), "")</f>
        <v>4.093</v>
      </c>
      <c r="N59" s="33" cm="1">
        <f t="array" aca="1" ref="N59" ca="1">IFERROR( CHOOSE( data!$B$7,
IF(_xll.IMDP("IR", data!$B60, data!V$8, $D$6)=0,"",_xll.IMDP("IR", data!$B60, data!V$8, $D$6)),
IF(_xll.IMDP("IR", data!$C60, data!V$8, $D$6)=0,"",_xll.IMDP("IR", data!$C60, data!V$8, $D$6)), data!V60 ), "")</f>
        <v>4.3129999999999997</v>
      </c>
      <c r="O59" s="33" cm="1">
        <f t="array" aca="1" ref="O59" ca="1">IFERROR( CHOOSE( data!$B$7,
IF(_xll.IMDP("IR", data!$B60, data!W$8, $D$6)=0,"",_xll.IMDP("IR", data!$B60, data!W$8, $D$6)),
IF(_xll.IMDP("IR", data!$C60, data!W$8, $D$6)=0,"",_xll.IMDP("IR", data!$C60, data!W$8, $D$6)), data!W60 ), "")</f>
        <v>4.5410000000000004</v>
      </c>
      <c r="P59" s="33" cm="1">
        <f t="array" aca="1" ref="P59" ca="1">IFERROR( CHOOSE( data!$B$7,
IF(_xll.IMDP("IR", data!$B60, data!X$8, $D$6)=0,"",_xll.IMDP("IR", data!$B60, data!X$8, $D$6)),
IF(_xll.IMDP("IR", data!$C60, data!X$8, $D$6)=0,"",_xll.IMDP("IR", data!$C60, data!X$8, $D$6)), data!X60 ), "")</f>
        <v>5.1879999999999997</v>
      </c>
      <c r="Q59" s="33" cm="1">
        <f t="array" aca="1" ref="Q59" ca="1">IFERROR( CHOOSE( data!$B$7,
IF(_xll.IMDP("IR", data!$B60, data!Y$8, $D$6)=0,"",_xll.IMDP("IR", data!$B60, data!Y$8, $D$6)),
IF(_xll.IMDP("IR", data!$C60, data!Y$8, $D$6)=0,"",_xll.IMDP("IR", data!$C60, data!Y$8, $D$6)), data!Y60 ), "")</f>
        <v>5.6420000000000003</v>
      </c>
      <c r="R59" s="33" cm="1">
        <f t="array" aca="1" ref="R59" ca="1">IFERROR( CHOOSE( data!$B$7,
IF(_xll.IMDP("IR", data!$B60, data!Z$8, $D$6)=0,"",_xll.IMDP("IR", data!$B60, data!Z$8, $D$6)),
IF(_xll.IMDP("IR", data!$C60, data!Z$8, $D$6)=0,"",_xll.IMDP("IR", data!$C60, data!Z$8, $D$6)), data!Z60 ), "")</f>
        <v>5.8810000000000002</v>
      </c>
      <c r="S59" s="33" t="str" cm="1">
        <f t="array" aca="1" ref="S59" ca="1">IFERROR( CHOOSE( data!$B$7,
IF(_xll.IMDP("IR", data!$B60, data!AA$8, $D$6)=0,"",_xll.IMDP("IR", data!$B60, data!AA$8, $D$6)),
IF(_xll.IMDP("IR", data!$C60, data!AA$8, $D$6)=0,"",_xll.IMDP("IR", data!$C60, data!AA$8, $D$6)), data!AA60 ), "")</f>
        <v/>
      </c>
      <c r="T59" s="34" t="str" cm="1">
        <f t="array" aca="1" ref="T59" ca="1">IFERROR( CHOOSE( data!$B$7,
IF(_xll.IMDP("IR", data!$B60, data!AB$8, $D$6)=0,"",_xll.IMDP("IR", data!$B60, data!AB$8, $D$6)),
IF(_xll.IMDP("IR", data!$C60, data!AB$8, $D$6)=0,"",_xll.IMDP("IR", data!$C60, data!AB$8, $D$6)), data!AB60 ), "")</f>
        <v/>
      </c>
    </row>
    <row r="60" spans="2:20" s="4" customFormat="1" ht="12">
      <c r="B60" s="12"/>
      <c r="C60" s="67"/>
      <c r="D60" s="16" t="s">
        <v>41</v>
      </c>
      <c r="E60" s="32" cm="1">
        <f t="array" aca="1" ref="E60" ca="1">IFERROR( CHOOSE( data!$B$7,
IF(_xll.IMDP("IR", data!$B61, data!M$8, $D$6)=0,"",_xll.IMDP("IR", data!$B61, data!M$8, $D$6)),
IF(_xll.IMDP("IR", data!$C61, data!M$8, $D$6)=0,"",_xll.IMDP("IR", data!$C61, data!M$8, $D$6)), data!M61 ), "")</f>
        <v>3.6309999999999998</v>
      </c>
      <c r="F60" s="33" cm="1">
        <f t="array" aca="1" ref="F60" ca="1">IFERROR( CHOOSE( data!$B$7,
IF(_xll.IMDP("IR", data!$B61, data!N$8, $D$6)=0,"",_xll.IMDP("IR", data!$B61, data!N$8, $D$6)),
IF(_xll.IMDP("IR", data!$C61, data!N$8, $D$6)=0,"",_xll.IMDP("IR", data!$C61, data!N$8, $D$6)), data!N61 ), "")</f>
        <v>3.6840000000000002</v>
      </c>
      <c r="G60" s="33" cm="1">
        <f t="array" aca="1" ref="G60" ca="1">IFERROR( CHOOSE( data!$B$7,
IF(_xll.IMDP("IR", data!$B61, data!O$8, $D$6)=0,"",_xll.IMDP("IR", data!$B61, data!O$8, $D$6)),
IF(_xll.IMDP("IR", data!$C61, data!O$8, $D$6)=0,"",_xll.IMDP("IR", data!$C61, data!O$8, $D$6)), data!O61 ), "")</f>
        <v>3.7069999999999999</v>
      </c>
      <c r="H60" s="33" cm="1">
        <f t="array" aca="1" ref="H60" ca="1">IFERROR( CHOOSE( data!$B$7,
IF(_xll.IMDP("IR", data!$B61, data!P$8, $D$6)=0,"",_xll.IMDP("IR", data!$B61, data!P$8, $D$6)),
IF(_xll.IMDP("IR", data!$C61, data!P$8, $D$6)=0,"",_xll.IMDP("IR", data!$C61, data!P$8, $D$6)), data!P61 ), "")</f>
        <v>3.76</v>
      </c>
      <c r="I60" s="33" cm="1">
        <f t="array" aca="1" ref="I60" ca="1">IFERROR( CHOOSE( data!$B$7,
IF(_xll.IMDP("IR", data!$B61, data!Q$8, $D$6)=0,"",_xll.IMDP("IR", data!$B61, data!Q$8, $D$6)),
IF(_xll.IMDP("IR", data!$C61, data!Q$8, $D$6)=0,"",_xll.IMDP("IR", data!$C61, data!Q$8, $D$6)), data!Q61 ), "")</f>
        <v>3.8439999999999999</v>
      </c>
      <c r="J60" s="33" cm="1">
        <f t="array" aca="1" ref="J60" ca="1">IFERROR( CHOOSE( data!$B$7,
IF(_xll.IMDP("IR", data!$B61, data!R$8, $D$6)=0,"",_xll.IMDP("IR", data!$B61, data!R$8, $D$6)),
IF(_xll.IMDP("IR", data!$C61, data!R$8, $D$6)=0,"",_xll.IMDP("IR", data!$C61, data!R$8, $D$6)), data!R61 ), "")</f>
        <v>3.88</v>
      </c>
      <c r="K60" s="33" cm="1">
        <f t="array" aca="1" ref="K60" ca="1">IFERROR( CHOOSE( data!$B$7,
IF(_xll.IMDP("IR", data!$B61, data!S$8, $D$6)=0,"",_xll.IMDP("IR", data!$B61, data!S$8, $D$6)),
IF(_xll.IMDP("IR", data!$C61, data!S$8, $D$6)=0,"",_xll.IMDP("IR", data!$C61, data!S$8, $D$6)), data!S61 ), "")</f>
        <v>3.9420000000000002</v>
      </c>
      <c r="L60" s="33" cm="1">
        <f t="array" aca="1" ref="L60" ca="1">IFERROR( CHOOSE( data!$B$7,
IF(_xll.IMDP("IR", data!$B61, data!T$8, $D$6)=0,"",_xll.IMDP("IR", data!$B61, data!T$8, $D$6)),
IF(_xll.IMDP("IR", data!$C61, data!T$8, $D$6)=0,"",_xll.IMDP("IR", data!$C61, data!T$8, $D$6)), data!T61 ), "")</f>
        <v>4.0549999999999997</v>
      </c>
      <c r="M60" s="33" cm="1">
        <f t="array" aca="1" ref="M60" ca="1">IFERROR( CHOOSE( data!$B$7,
IF(_xll.IMDP("IR", data!$B61, data!U$8, $D$6)=0,"",_xll.IMDP("IR", data!$B61, data!U$8, $D$6)),
IF(_xll.IMDP("IR", data!$C61, data!U$8, $D$6)=0,"",_xll.IMDP("IR", data!$C61, data!U$8, $D$6)), data!U61 ), "")</f>
        <v>4.4130000000000003</v>
      </c>
      <c r="N60" s="33" cm="1">
        <f t="array" aca="1" ref="N60" ca="1">IFERROR( CHOOSE( data!$B$7,
IF(_xll.IMDP("IR", data!$B61, data!V$8, $D$6)=0,"",_xll.IMDP("IR", data!$B61, data!V$8, $D$6)),
IF(_xll.IMDP("IR", data!$C61, data!V$8, $D$6)=0,"",_xll.IMDP("IR", data!$C61, data!V$8, $D$6)), data!V61 ), "")</f>
        <v>4.7080000000000002</v>
      </c>
      <c r="O60" s="33" cm="1">
        <f t="array" aca="1" ref="O60" ca="1">IFERROR( CHOOSE( data!$B$7,
IF(_xll.IMDP("IR", data!$B61, data!W$8, $D$6)=0,"",_xll.IMDP("IR", data!$B61, data!W$8, $D$6)),
IF(_xll.IMDP("IR", data!$C61, data!W$8, $D$6)=0,"",_xll.IMDP("IR", data!$C61, data!W$8, $D$6)), data!W61 ), "")</f>
        <v>4.9489999999999998</v>
      </c>
      <c r="P60" s="33" cm="1">
        <f t="array" aca="1" ref="P60" ca="1">IFERROR( CHOOSE( data!$B$7,
IF(_xll.IMDP("IR", data!$B61, data!X$8, $D$6)=0,"",_xll.IMDP("IR", data!$B61, data!X$8, $D$6)),
IF(_xll.IMDP("IR", data!$C61, data!X$8, $D$6)=0,"",_xll.IMDP("IR", data!$C61, data!X$8, $D$6)), data!X61 ), "")</f>
        <v>5.6180000000000003</v>
      </c>
      <c r="Q60" s="33" cm="1">
        <f t="array" aca="1" ref="Q60" ca="1">IFERROR( CHOOSE( data!$B$7,
IF(_xll.IMDP("IR", data!$B61, data!Y$8, $D$6)=0,"",_xll.IMDP("IR", data!$B61, data!Y$8, $D$6)),
IF(_xll.IMDP("IR", data!$C61, data!Y$8, $D$6)=0,"",_xll.IMDP("IR", data!$C61, data!Y$8, $D$6)), data!Y61 ), "")</f>
        <v>6.0069999999999997</v>
      </c>
      <c r="R60" s="33" cm="1">
        <f t="array" aca="1" ref="R60" ca="1">IFERROR( CHOOSE( data!$B$7,
IF(_xll.IMDP("IR", data!$B61, data!Z$8, $D$6)=0,"",_xll.IMDP("IR", data!$B61, data!Z$8, $D$6)),
IF(_xll.IMDP("IR", data!$C61, data!Z$8, $D$6)=0,"",_xll.IMDP("IR", data!$C61, data!Z$8, $D$6)), data!Z61 ), "")</f>
        <v>6.2389999999999999</v>
      </c>
      <c r="S60" s="33" t="str" cm="1">
        <f t="array" aca="1" ref="S60" ca="1">IFERROR( CHOOSE( data!$B$7,
IF(_xll.IMDP("IR", data!$B61, data!AA$8, $D$6)=0,"",_xll.IMDP("IR", data!$B61, data!AA$8, $D$6)),
IF(_xll.IMDP("IR", data!$C61, data!AA$8, $D$6)=0,"",_xll.IMDP("IR", data!$C61, data!AA$8, $D$6)), data!AA61 ), "")</f>
        <v/>
      </c>
      <c r="T60" s="34" t="str" cm="1">
        <f t="array" aca="1" ref="T60" ca="1">IFERROR( CHOOSE( data!$B$7,
IF(_xll.IMDP("IR", data!$B61, data!AB$8, $D$6)=0,"",_xll.IMDP("IR", data!$B61, data!AB$8, $D$6)),
IF(_xll.IMDP("IR", data!$C61, data!AB$8, $D$6)=0,"",_xll.IMDP("IR", data!$C61, data!AB$8, $D$6)), data!AB61 ), "")</f>
        <v/>
      </c>
    </row>
    <row r="61" spans="2:20" s="4" customFormat="1" ht="12">
      <c r="B61" s="12"/>
      <c r="C61" s="67"/>
      <c r="D61" s="18" t="s">
        <v>42</v>
      </c>
      <c r="E61" s="38" cm="1">
        <f t="array" aca="1" ref="E61" ca="1">IFERROR( CHOOSE( data!$B$7,
IF(_xll.IMDP("IR", data!$B62, data!M$8, $D$6)=0,"",_xll.IMDP("IR", data!$B62, data!M$8, $D$6)),
IF(_xll.IMDP("IR", data!$C62, data!M$8, $D$6)=0,"",_xll.IMDP("IR", data!$C62, data!M$8, $D$6)), data!M62 ), "")</f>
        <v>3.851</v>
      </c>
      <c r="F61" s="39" cm="1">
        <f t="array" aca="1" ref="F61" ca="1">IFERROR( CHOOSE( data!$B$7,
IF(_xll.IMDP("IR", data!$B62, data!N$8, $D$6)=0,"",_xll.IMDP("IR", data!$B62, data!N$8, $D$6)),
IF(_xll.IMDP("IR", data!$C62, data!N$8, $D$6)=0,"",_xll.IMDP("IR", data!$C62, data!N$8, $D$6)), data!N62 ), "")</f>
        <v>3.9390000000000001</v>
      </c>
      <c r="G61" s="39" cm="1">
        <f t="array" aca="1" ref="G61" ca="1">IFERROR( CHOOSE( data!$B$7,
IF(_xll.IMDP("IR", data!$B62, data!O$8, $D$6)=0,"",_xll.IMDP("IR", data!$B62, data!O$8, $D$6)),
IF(_xll.IMDP("IR", data!$C62, data!O$8, $D$6)=0,"",_xll.IMDP("IR", data!$C62, data!O$8, $D$6)), data!O62 ), "")</f>
        <v>3.9769999999999999</v>
      </c>
      <c r="H61" s="39" cm="1">
        <f t="array" aca="1" ref="H61" ca="1">IFERROR( CHOOSE( data!$B$7,
IF(_xll.IMDP("IR", data!$B62, data!P$8, $D$6)=0,"",_xll.IMDP("IR", data!$B62, data!P$8, $D$6)),
IF(_xll.IMDP("IR", data!$C62, data!P$8, $D$6)=0,"",_xll.IMDP("IR", data!$C62, data!P$8, $D$6)), data!P62 ), "")</f>
        <v>4.0270000000000001</v>
      </c>
      <c r="I61" s="39" cm="1">
        <f t="array" aca="1" ref="I61" ca="1">IFERROR( CHOOSE( data!$B$7,
IF(_xll.IMDP("IR", data!$B62, data!Q$8, $D$6)=0,"",_xll.IMDP("IR", data!$B62, data!Q$8, $D$6)),
IF(_xll.IMDP("IR", data!$C62, data!Q$8, $D$6)=0,"",_xll.IMDP("IR", data!$C62, data!Q$8, $D$6)), data!Q62 ), "")</f>
        <v>4.1360000000000001</v>
      </c>
      <c r="J61" s="39" cm="1">
        <f t="array" aca="1" ref="J61" ca="1">IFERROR( CHOOSE( data!$B$7,
IF(_xll.IMDP("IR", data!$B62, data!R$8, $D$6)=0,"",_xll.IMDP("IR", data!$B62, data!R$8, $D$6)),
IF(_xll.IMDP("IR", data!$C62, data!R$8, $D$6)=0,"",_xll.IMDP("IR", data!$C62, data!R$8, $D$6)), data!R62 ), "")</f>
        <v>4.2009999999999996</v>
      </c>
      <c r="K61" s="39" cm="1">
        <f t="array" aca="1" ref="K61" ca="1">IFERROR( CHOOSE( data!$B$7,
IF(_xll.IMDP("IR", data!$B62, data!S$8, $D$6)=0,"",_xll.IMDP("IR", data!$B62, data!S$8, $D$6)),
IF(_xll.IMDP("IR", data!$C62, data!S$8, $D$6)=0,"",_xll.IMDP("IR", data!$C62, data!S$8, $D$6)), data!S62 ), "")</f>
        <v>4.3280000000000003</v>
      </c>
      <c r="L61" s="39" cm="1">
        <f t="array" aca="1" ref="L61" ca="1">IFERROR( CHOOSE( data!$B$7,
IF(_xll.IMDP("IR", data!$B62, data!T$8, $D$6)=0,"",_xll.IMDP("IR", data!$B62, data!T$8, $D$6)),
IF(_xll.IMDP("IR", data!$C62, data!T$8, $D$6)=0,"",_xll.IMDP("IR", data!$C62, data!T$8, $D$6)), data!T62 ), "")</f>
        <v>4.5170000000000003</v>
      </c>
      <c r="M61" s="39" cm="1">
        <f t="array" aca="1" ref="M61" ca="1">IFERROR( CHOOSE( data!$B$7,
IF(_xll.IMDP("IR", data!$B62, data!U$8, $D$6)=0,"",_xll.IMDP("IR", data!$B62, data!U$8, $D$6)),
IF(_xll.IMDP("IR", data!$C62, data!U$8, $D$6)=0,"",_xll.IMDP("IR", data!$C62, data!U$8, $D$6)), data!U62 ), "")</f>
        <v>4.9560000000000004</v>
      </c>
      <c r="N61" s="39" cm="1">
        <f t="array" aca="1" ref="N61" ca="1">IFERROR( CHOOSE( data!$B$7,
IF(_xll.IMDP("IR", data!$B62, data!V$8, $D$6)=0,"",_xll.IMDP("IR", data!$B62, data!V$8, $D$6)),
IF(_xll.IMDP("IR", data!$C62, data!V$8, $D$6)=0,"",_xll.IMDP("IR", data!$C62, data!V$8, $D$6)), data!V62 ), "")</f>
        <v>5.3579999999999997</v>
      </c>
      <c r="O61" s="39" cm="1">
        <f t="array" aca="1" ref="O61" ca="1">IFERROR( CHOOSE( data!$B$7,
IF(_xll.IMDP("IR", data!$B62, data!W$8, $D$6)=0,"",_xll.IMDP("IR", data!$B62, data!W$8, $D$6)),
IF(_xll.IMDP("IR", data!$C62, data!W$8, $D$6)=0,"",_xll.IMDP("IR", data!$C62, data!W$8, $D$6)), data!W62 ), "")</f>
        <v>5.5140000000000002</v>
      </c>
      <c r="P61" s="39" cm="1">
        <f t="array" aca="1" ref="P61" ca="1">IFERROR( CHOOSE( data!$B$7,
IF(_xll.IMDP("IR", data!$B62, data!X$8, $D$6)=0,"",_xll.IMDP("IR", data!$B62, data!X$8, $D$6)),
IF(_xll.IMDP("IR", data!$C62, data!X$8, $D$6)=0,"",_xll.IMDP("IR", data!$C62, data!X$8, $D$6)), data!X62 ), "")</f>
        <v>6.1529999999999996</v>
      </c>
      <c r="Q61" s="39" cm="1">
        <f t="array" aca="1" ref="Q61" ca="1">IFERROR( CHOOSE( data!$B$7,
IF(_xll.IMDP("IR", data!$B62, data!Y$8, $D$6)=0,"",_xll.IMDP("IR", data!$B62, data!Y$8, $D$6)),
IF(_xll.IMDP("IR", data!$C62, data!Y$8, $D$6)=0,"",_xll.IMDP("IR", data!$C62, data!Y$8, $D$6)), data!Y62 ), "")</f>
        <v>6.5270000000000001</v>
      </c>
      <c r="R61" s="39" cm="1">
        <f t="array" aca="1" ref="R61" ca="1">IFERROR( CHOOSE( data!$B$7,
IF(_xll.IMDP("IR", data!$B62, data!Z$8, $D$6)=0,"",_xll.IMDP("IR", data!$B62, data!Z$8, $D$6)),
IF(_xll.IMDP("IR", data!$C62, data!Z$8, $D$6)=0,"",_xll.IMDP("IR", data!$C62, data!Z$8, $D$6)), data!Z62 ), "")</f>
        <v>6.8090000000000002</v>
      </c>
      <c r="S61" s="39" t="str" cm="1">
        <f t="array" aca="1" ref="S61" ca="1">IFERROR( CHOOSE( data!$B$7,
IF(_xll.IMDP("IR", data!$B62, data!AA$8, $D$6)=0,"",_xll.IMDP("IR", data!$B62, data!AA$8, $D$6)),
IF(_xll.IMDP("IR", data!$C62, data!AA$8, $D$6)=0,"",_xll.IMDP("IR", data!$C62, data!AA$8, $D$6)), data!AA62 ), "")</f>
        <v/>
      </c>
      <c r="T61" s="40" t="str" cm="1">
        <f t="array" aca="1" ref="T61" ca="1">IFERROR( CHOOSE( data!$B$7,
IF(_xll.IMDP("IR", data!$B62, data!AB$8, $D$6)=0,"",_xll.IMDP("IR", data!$B62, data!AB$8, $D$6)),
IF(_xll.IMDP("IR", data!$C62, data!AB$8, $D$6)=0,"",_xll.IMDP("IR", data!$C62, data!AB$8, $D$6)), data!AB62 ), "")</f>
        <v/>
      </c>
    </row>
    <row r="62" spans="2:20" s="4" customFormat="1" ht="12">
      <c r="B62" s="12"/>
      <c r="C62" s="67" t="s">
        <v>54</v>
      </c>
      <c r="D62" s="19" t="s">
        <v>27</v>
      </c>
      <c r="E62" s="41" cm="1">
        <f t="array" aca="1" ref="E62" ca="1">IFERROR( CHOOSE( data!$B$7,
IF(_xll.IMDP("IR", data!$B63, data!M$8, $D$6)=0,"",_xll.IMDP("IR", data!$B63, data!M$8, $D$6)),
IF(_xll.IMDP("IR", data!$C63, data!M$8, $D$6)=0,"",_xll.IMDP("IR", data!$C63, data!M$8, $D$6)), data!M63 ), "")</f>
        <v>3.3980000000000001</v>
      </c>
      <c r="F62" s="42" cm="1">
        <f t="array" aca="1" ref="F62" ca="1">IFERROR( CHOOSE( data!$B$7,
IF(_xll.IMDP("IR", data!$B63, data!N$8, $D$6)=0,"",_xll.IMDP("IR", data!$B63, data!N$8, $D$6)),
IF(_xll.IMDP("IR", data!$C63, data!N$8, $D$6)=0,"",_xll.IMDP("IR", data!$C63, data!N$8, $D$6)), data!N63 ), "")</f>
        <v>3.383</v>
      </c>
      <c r="G62" s="42" cm="1">
        <f t="array" aca="1" ref="G62" ca="1">IFERROR( CHOOSE( data!$B$7,
IF(_xll.IMDP("IR", data!$B63, data!O$8, $D$6)=0,"",_xll.IMDP("IR", data!$B63, data!O$8, $D$6)),
IF(_xll.IMDP("IR", data!$C63, data!O$8, $D$6)=0,"",_xll.IMDP("IR", data!$C63, data!O$8, $D$6)), data!O63 ), "")</f>
        <v>3.3319999999999999</v>
      </c>
      <c r="H62" s="42" cm="1">
        <f t="array" aca="1" ref="H62" ca="1">IFERROR( CHOOSE( data!$B$7,
IF(_xll.IMDP("IR", data!$B63, data!P$8, $D$6)=0,"",_xll.IMDP("IR", data!$B63, data!P$8, $D$6)),
IF(_xll.IMDP("IR", data!$C63, data!P$8, $D$6)=0,"",_xll.IMDP("IR", data!$C63, data!P$8, $D$6)), data!P63 ), "")</f>
        <v>3.2879999999999998</v>
      </c>
      <c r="I62" s="42" cm="1">
        <f t="array" aca="1" ref="I62" ca="1">IFERROR( CHOOSE( data!$B$7,
IF(_xll.IMDP("IR", data!$B63, data!Q$8, $D$6)=0,"",_xll.IMDP("IR", data!$B63, data!Q$8, $D$6)),
IF(_xll.IMDP("IR", data!$C63, data!Q$8, $D$6)=0,"",_xll.IMDP("IR", data!$C63, data!Q$8, $D$6)), data!Q63 ), "")</f>
        <v>3.298</v>
      </c>
      <c r="J62" s="42" cm="1">
        <f t="array" aca="1" ref="J62" ca="1">IFERROR( CHOOSE( data!$B$7,
IF(_xll.IMDP("IR", data!$B63, data!R$8, $D$6)=0,"",_xll.IMDP("IR", data!$B63, data!R$8, $D$6)),
IF(_xll.IMDP("IR", data!$C63, data!R$8, $D$6)=0,"",_xll.IMDP("IR", data!$C63, data!R$8, $D$6)), data!R63 ), "")</f>
        <v>3.286</v>
      </c>
      <c r="K62" s="42" cm="1">
        <f t="array" aca="1" ref="K62" ca="1">IFERROR( CHOOSE( data!$B$7,
IF(_xll.IMDP("IR", data!$B63, data!S$8, $D$6)=0,"",_xll.IMDP("IR", data!$B63, data!S$8, $D$6)),
IF(_xll.IMDP("IR", data!$C63, data!S$8, $D$6)=0,"",_xll.IMDP("IR", data!$C63, data!S$8, $D$6)), data!S63 ), "")</f>
        <v>3.286</v>
      </c>
      <c r="L62" s="42" cm="1">
        <f t="array" aca="1" ref="L62" ca="1">IFERROR( CHOOSE( data!$B$7,
IF(_xll.IMDP("IR", data!$B63, data!T$8, $D$6)=0,"",_xll.IMDP("IR", data!$B63, data!T$8, $D$6)),
IF(_xll.IMDP("IR", data!$C63, data!T$8, $D$6)=0,"",_xll.IMDP("IR", data!$C63, data!T$8, $D$6)), data!T63 ), "")</f>
        <v>3.2869999999999999</v>
      </c>
      <c r="M62" s="42" cm="1">
        <f t="array" aca="1" ref="M62" ca="1">IFERROR( CHOOSE( data!$B$7,
IF(_xll.IMDP("IR", data!$B63, data!U$8, $D$6)=0,"",_xll.IMDP("IR", data!$B63, data!U$8, $D$6)),
IF(_xll.IMDP("IR", data!$C63, data!U$8, $D$6)=0,"",_xll.IMDP("IR", data!$C63, data!U$8, $D$6)), data!U63 ), "")</f>
        <v>3.2839999999999998</v>
      </c>
      <c r="N62" s="42" cm="1">
        <f t="array" aca="1" ref="N62" ca="1">IFERROR( CHOOSE( data!$B$7,
IF(_xll.IMDP("IR", data!$B63, data!V$8, $D$6)=0,"",_xll.IMDP("IR", data!$B63, data!V$8, $D$6)),
IF(_xll.IMDP("IR", data!$C63, data!V$8, $D$6)=0,"",_xll.IMDP("IR", data!$C63, data!V$8, $D$6)), data!V63 ), "")</f>
        <v>3.2850000000000001</v>
      </c>
      <c r="O62" s="42" cm="1">
        <f t="array" aca="1" ref="O62" ca="1">IFERROR( CHOOSE( data!$B$7,
IF(_xll.IMDP("IR", data!$B63, data!W$8, $D$6)=0,"",_xll.IMDP("IR", data!$B63, data!W$8, $D$6)),
IF(_xll.IMDP("IR", data!$C63, data!W$8, $D$6)=0,"",_xll.IMDP("IR", data!$C63, data!W$8, $D$6)), data!W63 ), "")</f>
        <v>3.351</v>
      </c>
      <c r="P62" s="42" cm="1">
        <f t="array" aca="1" ref="P62" ca="1">IFERROR( CHOOSE( data!$B$7,
IF(_xll.IMDP("IR", data!$B63, data!X$8, $D$6)=0,"",_xll.IMDP("IR", data!$B63, data!X$8, $D$6)),
IF(_xll.IMDP("IR", data!$C63, data!X$8, $D$6)=0,"",_xll.IMDP("IR", data!$C63, data!X$8, $D$6)), data!X63 ), "")</f>
        <v>3.609</v>
      </c>
      <c r="Q62" s="42" cm="1">
        <f t="array" aca="1" ref="Q62" ca="1">IFERROR( CHOOSE( data!$B$7,
IF(_xll.IMDP("IR", data!$B63, data!Y$8, $D$6)=0,"",_xll.IMDP("IR", data!$B63, data!Y$8, $D$6)),
IF(_xll.IMDP("IR", data!$C63, data!Y$8, $D$6)=0,"",_xll.IMDP("IR", data!$C63, data!Y$8, $D$6)), data!Y63 ), "")</f>
        <v>3.8340000000000001</v>
      </c>
      <c r="R62" s="42" cm="1">
        <f t="array" aca="1" ref="R62" ca="1">IFERROR( CHOOSE( data!$B$7,
IF(_xll.IMDP("IR", data!$B63, data!Z$8, $D$6)=0,"",_xll.IMDP("IR", data!$B63, data!Z$8, $D$6)),
IF(_xll.IMDP("IR", data!$C63, data!Z$8, $D$6)=0,"",_xll.IMDP("IR", data!$C63, data!Z$8, $D$6)), data!Z63 ), "")</f>
        <v>3.964</v>
      </c>
      <c r="S62" s="42" t="str" cm="1">
        <f t="array" aca="1" ref="S62" ca="1">IFERROR( CHOOSE( data!$B$7,
IF(_xll.IMDP("IR", data!$B63, data!AA$8, $D$6)=0,"",_xll.IMDP("IR", data!$B63, data!AA$8, $D$6)),
IF(_xll.IMDP("IR", data!$C63, data!AA$8, $D$6)=0,"",_xll.IMDP("IR", data!$C63, data!AA$8, $D$6)), data!AA63 ), "")</f>
        <v/>
      </c>
      <c r="T62" s="43" t="str" cm="1">
        <f t="array" aca="1" ref="T62" ca="1">IFERROR( CHOOSE( data!$B$7,
IF(_xll.IMDP("IR", data!$B63, data!AB$8, $D$6)=0,"",_xll.IMDP("IR", data!$B63, data!AB$8, $D$6)),
IF(_xll.IMDP("IR", data!$C63, data!AB$8, $D$6)=0,"",_xll.IMDP("IR", data!$C63, data!AB$8, $D$6)), data!AB63 ), "")</f>
        <v/>
      </c>
    </row>
    <row r="63" spans="2:20" s="4" customFormat="1" ht="12">
      <c r="B63" s="12"/>
      <c r="C63" s="67"/>
      <c r="D63" s="16" t="s">
        <v>28</v>
      </c>
      <c r="E63" s="32" cm="1">
        <f t="array" aca="1" ref="E63" ca="1">IFERROR( CHOOSE( data!$B$7,
IF(_xll.IMDP("IR", data!$B64, data!M$8, $D$6)=0,"",_xll.IMDP("IR", data!$B64, data!M$8, $D$6)),
IF(_xll.IMDP("IR", data!$C64, data!M$8, $D$6)=0,"",_xll.IMDP("IR", data!$C64, data!M$8, $D$6)), data!M64 ), "")</f>
        <v>3.4140000000000001</v>
      </c>
      <c r="F63" s="33" cm="1">
        <f t="array" aca="1" ref="F63" ca="1">IFERROR( CHOOSE( data!$B$7,
IF(_xll.IMDP("IR", data!$B64, data!N$8, $D$6)=0,"",_xll.IMDP("IR", data!$B64, data!N$8, $D$6)),
IF(_xll.IMDP("IR", data!$C64, data!N$8, $D$6)=0,"",_xll.IMDP("IR", data!$C64, data!N$8, $D$6)), data!N64 ), "")</f>
        <v>3.4009999999999998</v>
      </c>
      <c r="G63" s="33" cm="1">
        <f t="array" aca="1" ref="G63" ca="1">IFERROR( CHOOSE( data!$B$7,
IF(_xll.IMDP("IR", data!$B64, data!O$8, $D$6)=0,"",_xll.IMDP("IR", data!$B64, data!O$8, $D$6)),
IF(_xll.IMDP("IR", data!$C64, data!O$8, $D$6)=0,"",_xll.IMDP("IR", data!$C64, data!O$8, $D$6)), data!O64 ), "")</f>
        <v>3.3460000000000001</v>
      </c>
      <c r="H63" s="33" cm="1">
        <f t="array" aca="1" ref="H63" ca="1">IFERROR( CHOOSE( data!$B$7,
IF(_xll.IMDP("IR", data!$B64, data!P$8, $D$6)=0,"",_xll.IMDP("IR", data!$B64, data!P$8, $D$6)),
IF(_xll.IMDP("IR", data!$C64, data!P$8, $D$6)=0,"",_xll.IMDP("IR", data!$C64, data!P$8, $D$6)), data!P64 ), "")</f>
        <v>3.3050000000000002</v>
      </c>
      <c r="I63" s="33" cm="1">
        <f t="array" aca="1" ref="I63" ca="1">IFERROR( CHOOSE( data!$B$7,
IF(_xll.IMDP("IR", data!$B64, data!Q$8, $D$6)=0,"",_xll.IMDP("IR", data!$B64, data!Q$8, $D$6)),
IF(_xll.IMDP("IR", data!$C64, data!Q$8, $D$6)=0,"",_xll.IMDP("IR", data!$C64, data!Q$8, $D$6)), data!Q64 ), "")</f>
        <v>3.327</v>
      </c>
      <c r="J63" s="33" cm="1">
        <f t="array" aca="1" ref="J63" ca="1">IFERROR( CHOOSE( data!$B$7,
IF(_xll.IMDP("IR", data!$B64, data!R$8, $D$6)=0,"",_xll.IMDP("IR", data!$B64, data!R$8, $D$6)),
IF(_xll.IMDP("IR", data!$C64, data!R$8, $D$6)=0,"",_xll.IMDP("IR", data!$C64, data!R$8, $D$6)), data!R64 ), "")</f>
        <v>3.32</v>
      </c>
      <c r="K63" s="33" cm="1">
        <f t="array" aca="1" ref="K63" ca="1">IFERROR( CHOOSE( data!$B$7,
IF(_xll.IMDP("IR", data!$B64, data!S$8, $D$6)=0,"",_xll.IMDP("IR", data!$B64, data!S$8, $D$6)),
IF(_xll.IMDP("IR", data!$C64, data!S$8, $D$6)=0,"",_xll.IMDP("IR", data!$C64, data!S$8, $D$6)), data!S64 ), "")</f>
        <v>3.3340000000000001</v>
      </c>
      <c r="L63" s="33" cm="1">
        <f t="array" aca="1" ref="L63" ca="1">IFERROR( CHOOSE( data!$B$7,
IF(_xll.IMDP("IR", data!$B64, data!T$8, $D$6)=0,"",_xll.IMDP("IR", data!$B64, data!T$8, $D$6)),
IF(_xll.IMDP("IR", data!$C64, data!T$8, $D$6)=0,"",_xll.IMDP("IR", data!$C64, data!T$8, $D$6)), data!T64 ), "")</f>
        <v>3.3420000000000001</v>
      </c>
      <c r="M63" s="33" cm="1">
        <f t="array" aca="1" ref="M63" ca="1">IFERROR( CHOOSE( data!$B$7,
IF(_xll.IMDP("IR", data!$B64, data!U$8, $D$6)=0,"",_xll.IMDP("IR", data!$B64, data!U$8, $D$6)),
IF(_xll.IMDP("IR", data!$C64, data!U$8, $D$6)=0,"",_xll.IMDP("IR", data!$C64, data!U$8, $D$6)), data!U64 ), "")</f>
        <v>3.3410000000000002</v>
      </c>
      <c r="N63" s="33" cm="1">
        <f t="array" aca="1" ref="N63" ca="1">IFERROR( CHOOSE( data!$B$7,
IF(_xll.IMDP("IR", data!$B64, data!V$8, $D$6)=0,"",_xll.IMDP("IR", data!$B64, data!V$8, $D$6)),
IF(_xll.IMDP("IR", data!$C64, data!V$8, $D$6)=0,"",_xll.IMDP("IR", data!$C64, data!V$8, $D$6)), data!V64 ), "")</f>
        <v>3.363</v>
      </c>
      <c r="O63" s="33" cm="1">
        <f t="array" aca="1" ref="O63" ca="1">IFERROR( CHOOSE( data!$B$7,
IF(_xll.IMDP("IR", data!$B64, data!W$8, $D$6)=0,"",_xll.IMDP("IR", data!$B64, data!W$8, $D$6)),
IF(_xll.IMDP("IR", data!$C64, data!W$8, $D$6)=0,"",_xll.IMDP("IR", data!$C64, data!W$8, $D$6)), data!W64 ), "")</f>
        <v>3.4870000000000001</v>
      </c>
      <c r="P63" s="33" cm="1">
        <f t="array" aca="1" ref="P63" ca="1">IFERROR( CHOOSE( data!$B$7,
IF(_xll.IMDP("IR", data!$B64, data!X$8, $D$6)=0,"",_xll.IMDP("IR", data!$B64, data!X$8, $D$6)),
IF(_xll.IMDP("IR", data!$C64, data!X$8, $D$6)=0,"",_xll.IMDP("IR", data!$C64, data!X$8, $D$6)), data!X64 ), "")</f>
        <v>3.8980000000000001</v>
      </c>
      <c r="Q63" s="33" cm="1">
        <f t="array" aca="1" ref="Q63" ca="1">IFERROR( CHOOSE( data!$B$7,
IF(_xll.IMDP("IR", data!$B64, data!Y$8, $D$6)=0,"",_xll.IMDP("IR", data!$B64, data!Y$8, $D$6)),
IF(_xll.IMDP("IR", data!$C64, data!Y$8, $D$6)=0,"",_xll.IMDP("IR", data!$C64, data!Y$8, $D$6)), data!Y64 ), "")</f>
        <v>4.1769999999999996</v>
      </c>
      <c r="R63" s="33" cm="1">
        <f t="array" aca="1" ref="R63" ca="1">IFERROR( CHOOSE( data!$B$7,
IF(_xll.IMDP("IR", data!$B64, data!Z$8, $D$6)=0,"",_xll.IMDP("IR", data!$B64, data!Z$8, $D$6)),
IF(_xll.IMDP("IR", data!$C64, data!Z$8, $D$6)=0,"",_xll.IMDP("IR", data!$C64, data!Z$8, $D$6)), data!Z64 ), "")</f>
        <v>4.3390000000000004</v>
      </c>
      <c r="S63" s="33" t="str" cm="1">
        <f t="array" aca="1" ref="S63" ca="1">IFERROR( CHOOSE( data!$B$7,
IF(_xll.IMDP("IR", data!$B64, data!AA$8, $D$6)=0,"",_xll.IMDP("IR", data!$B64, data!AA$8, $D$6)),
IF(_xll.IMDP("IR", data!$C64, data!AA$8, $D$6)=0,"",_xll.IMDP("IR", data!$C64, data!AA$8, $D$6)), data!AA64 ), "")</f>
        <v/>
      </c>
      <c r="T63" s="34" t="str" cm="1">
        <f t="array" aca="1" ref="T63" ca="1">IFERROR( CHOOSE( data!$B$7,
IF(_xll.IMDP("IR", data!$B64, data!AB$8, $D$6)=0,"",_xll.IMDP("IR", data!$B64, data!AB$8, $D$6)),
IF(_xll.IMDP("IR", data!$C64, data!AB$8, $D$6)=0,"",_xll.IMDP("IR", data!$C64, data!AB$8, $D$6)), data!AB64 ), "")</f>
        <v/>
      </c>
    </row>
    <row r="64" spans="2:20" s="4" customFormat="1" ht="12">
      <c r="B64" s="12"/>
      <c r="C64" s="67"/>
      <c r="D64" s="16" t="s">
        <v>29</v>
      </c>
      <c r="E64" s="32" cm="1">
        <f t="array" aca="1" ref="E64" ca="1">IFERROR( CHOOSE( data!$B$7,
IF(_xll.IMDP("IR", data!$B65, data!M$8, $D$6)=0,"",_xll.IMDP("IR", data!$B65, data!M$8, $D$6)),
IF(_xll.IMDP("IR", data!$C65, data!M$8, $D$6)=0,"",_xll.IMDP("IR", data!$C65, data!M$8, $D$6)), data!M65 ), "")</f>
        <v>3.4289999999999998</v>
      </c>
      <c r="F64" s="33" cm="1">
        <f t="array" aca="1" ref="F64" ca="1">IFERROR( CHOOSE( data!$B$7,
IF(_xll.IMDP("IR", data!$B65, data!N$8, $D$6)=0,"",_xll.IMDP("IR", data!$B65, data!N$8, $D$6)),
IF(_xll.IMDP("IR", data!$C65, data!N$8, $D$6)=0,"",_xll.IMDP("IR", data!$C65, data!N$8, $D$6)), data!N65 ), "")</f>
        <v>3.4180000000000001</v>
      </c>
      <c r="G64" s="33" cm="1">
        <f t="array" aca="1" ref="G64" ca="1">IFERROR( CHOOSE( data!$B$7,
IF(_xll.IMDP("IR", data!$B65, data!O$8, $D$6)=0,"",_xll.IMDP("IR", data!$B65, data!O$8, $D$6)),
IF(_xll.IMDP("IR", data!$C65, data!O$8, $D$6)=0,"",_xll.IMDP("IR", data!$C65, data!O$8, $D$6)), data!O65 ), "")</f>
        <v>3.3660000000000001</v>
      </c>
      <c r="H64" s="33" cm="1">
        <f t="array" aca="1" ref="H64" ca="1">IFERROR( CHOOSE( data!$B$7,
IF(_xll.IMDP("IR", data!$B65, data!P$8, $D$6)=0,"",_xll.IMDP("IR", data!$B65, data!P$8, $D$6)),
IF(_xll.IMDP("IR", data!$C65, data!P$8, $D$6)=0,"",_xll.IMDP("IR", data!$C65, data!P$8, $D$6)), data!P65 ), "")</f>
        <v>3.3279999999999998</v>
      </c>
      <c r="I64" s="33" cm="1">
        <f t="array" aca="1" ref="I64" ca="1">IFERROR( CHOOSE( data!$B$7,
IF(_xll.IMDP("IR", data!$B65, data!Q$8, $D$6)=0,"",_xll.IMDP("IR", data!$B65, data!Q$8, $D$6)),
IF(_xll.IMDP("IR", data!$C65, data!Q$8, $D$6)=0,"",_xll.IMDP("IR", data!$C65, data!Q$8, $D$6)), data!Q65 ), "")</f>
        <v>3.355</v>
      </c>
      <c r="J64" s="33" cm="1">
        <f t="array" aca="1" ref="J64" ca="1">IFERROR( CHOOSE( data!$B$7,
IF(_xll.IMDP("IR", data!$B65, data!R$8, $D$6)=0,"",_xll.IMDP("IR", data!$B65, data!R$8, $D$6)),
IF(_xll.IMDP("IR", data!$C65, data!R$8, $D$6)=0,"",_xll.IMDP("IR", data!$C65, data!R$8, $D$6)), data!R65 ), "")</f>
        <v>3.3490000000000002</v>
      </c>
      <c r="K64" s="33" cm="1">
        <f t="array" aca="1" ref="K64" ca="1">IFERROR( CHOOSE( data!$B$7,
IF(_xll.IMDP("IR", data!$B65, data!S$8, $D$6)=0,"",_xll.IMDP("IR", data!$B65, data!S$8, $D$6)),
IF(_xll.IMDP("IR", data!$C65, data!S$8, $D$6)=0,"",_xll.IMDP("IR", data!$C65, data!S$8, $D$6)), data!S65 ), "")</f>
        <v>3.367</v>
      </c>
      <c r="L64" s="33" cm="1">
        <f t="array" aca="1" ref="L64" ca="1">IFERROR( CHOOSE( data!$B$7,
IF(_xll.IMDP("IR", data!$B65, data!T$8, $D$6)=0,"",_xll.IMDP("IR", data!$B65, data!T$8, $D$6)),
IF(_xll.IMDP("IR", data!$C65, data!T$8, $D$6)=0,"",_xll.IMDP("IR", data!$C65, data!T$8, $D$6)), data!T65 ), "")</f>
        <v>3.3809999999999998</v>
      </c>
      <c r="M64" s="33" cm="1">
        <f t="array" aca="1" ref="M64" ca="1">IFERROR( CHOOSE( data!$B$7,
IF(_xll.IMDP("IR", data!$B65, data!U$8, $D$6)=0,"",_xll.IMDP("IR", data!$B65, data!U$8, $D$6)),
IF(_xll.IMDP("IR", data!$C65, data!U$8, $D$6)=0,"",_xll.IMDP("IR", data!$C65, data!U$8, $D$6)), data!U65 ), "")</f>
        <v>3.3839999999999999</v>
      </c>
      <c r="N64" s="33" cm="1">
        <f t="array" aca="1" ref="N64" ca="1">IFERROR( CHOOSE( data!$B$7,
IF(_xll.IMDP("IR", data!$B65, data!V$8, $D$6)=0,"",_xll.IMDP("IR", data!$B65, data!V$8, $D$6)),
IF(_xll.IMDP("IR", data!$C65, data!V$8, $D$6)=0,"",_xll.IMDP("IR", data!$C65, data!V$8, $D$6)), data!V65 ), "")</f>
        <v>3.4279999999999999</v>
      </c>
      <c r="O64" s="33" cm="1">
        <f t="array" aca="1" ref="O64" ca="1">IFERROR( CHOOSE( data!$B$7,
IF(_xll.IMDP("IR", data!$B65, data!W$8, $D$6)=0,"",_xll.IMDP("IR", data!$B65, data!W$8, $D$6)),
IF(_xll.IMDP("IR", data!$C65, data!W$8, $D$6)=0,"",_xll.IMDP("IR", data!$C65, data!W$8, $D$6)), data!W65 ), "")</f>
        <v>3.5870000000000002</v>
      </c>
      <c r="P64" s="33" cm="1">
        <f t="array" aca="1" ref="P64" ca="1">IFERROR( CHOOSE( data!$B$7,
IF(_xll.IMDP("IR", data!$B65, data!X$8, $D$6)=0,"",_xll.IMDP("IR", data!$B65, data!X$8, $D$6)),
IF(_xll.IMDP("IR", data!$C65, data!X$8, $D$6)=0,"",_xll.IMDP("IR", data!$C65, data!X$8, $D$6)), data!X65 ), "")</f>
        <v>4.2389999999999999</v>
      </c>
      <c r="Q64" s="33" cm="1">
        <f t="array" aca="1" ref="Q64" ca="1">IFERROR( CHOOSE( data!$B$7,
IF(_xll.IMDP("IR", data!$B65, data!Y$8, $D$6)=0,"",_xll.IMDP("IR", data!$B65, data!Y$8, $D$6)),
IF(_xll.IMDP("IR", data!$C65, data!Y$8, $D$6)=0,"",_xll.IMDP("IR", data!$C65, data!Y$8, $D$6)), data!Y65 ), "")</f>
        <v>4.7439999999999998</v>
      </c>
      <c r="R64" s="33" cm="1">
        <f t="array" aca="1" ref="R64" ca="1">IFERROR( CHOOSE( data!$B$7,
IF(_xll.IMDP("IR", data!$B65, data!Z$8, $D$6)=0,"",_xll.IMDP("IR", data!$B65, data!Z$8, $D$6)),
IF(_xll.IMDP("IR", data!$C65, data!Z$8, $D$6)=0,"",_xll.IMDP("IR", data!$C65, data!Z$8, $D$6)), data!Z65 ), "")</f>
        <v>4.9260000000000002</v>
      </c>
      <c r="S64" s="33" t="str" cm="1">
        <f t="array" aca="1" ref="S64" ca="1">IFERROR( CHOOSE( data!$B$7,
IF(_xll.IMDP("IR", data!$B65, data!AA$8, $D$6)=0,"",_xll.IMDP("IR", data!$B65, data!AA$8, $D$6)),
IF(_xll.IMDP("IR", data!$C65, data!AA$8, $D$6)=0,"",_xll.IMDP("IR", data!$C65, data!AA$8, $D$6)), data!AA65 ), "")</f>
        <v/>
      </c>
      <c r="T64" s="34" t="str" cm="1">
        <f t="array" aca="1" ref="T64" ca="1">IFERROR( CHOOSE( data!$B$7,
IF(_xll.IMDP("IR", data!$B65, data!AB$8, $D$6)=0,"",_xll.IMDP("IR", data!$B65, data!AB$8, $D$6)),
IF(_xll.IMDP("IR", data!$C65, data!AB$8, $D$6)=0,"",_xll.IMDP("IR", data!$C65, data!AB$8, $D$6)), data!AB65 ), "")</f>
        <v/>
      </c>
    </row>
    <row r="65" spans="2:20" s="4" customFormat="1" ht="12">
      <c r="B65" s="12"/>
      <c r="C65" s="67"/>
      <c r="D65" s="16" t="s">
        <v>30</v>
      </c>
      <c r="E65" s="32" cm="1">
        <f t="array" aca="1" ref="E65" ca="1">IFERROR( CHOOSE( data!$B$7,
IF(_xll.IMDP("IR", data!$B66, data!M$8, $D$6)=0,"",_xll.IMDP("IR", data!$B66, data!M$8, $D$6)),
IF(_xll.IMDP("IR", data!$C66, data!M$8, $D$6)=0,"",_xll.IMDP("IR", data!$C66, data!M$8, $D$6)), data!M66 ), "")</f>
        <v>3.4540000000000002</v>
      </c>
      <c r="F65" s="33" cm="1">
        <f t="array" aca="1" ref="F65" ca="1">IFERROR( CHOOSE( data!$B$7,
IF(_xll.IMDP("IR", data!$B66, data!N$8, $D$6)=0,"",_xll.IMDP("IR", data!$B66, data!N$8, $D$6)),
IF(_xll.IMDP("IR", data!$C66, data!N$8, $D$6)=0,"",_xll.IMDP("IR", data!$C66, data!N$8, $D$6)), data!N66 ), "")</f>
        <v>3.444</v>
      </c>
      <c r="G65" s="33" cm="1">
        <f t="array" aca="1" ref="G65" ca="1">IFERROR( CHOOSE( data!$B$7,
IF(_xll.IMDP("IR", data!$B66, data!O$8, $D$6)=0,"",_xll.IMDP("IR", data!$B66, data!O$8, $D$6)),
IF(_xll.IMDP("IR", data!$C66, data!O$8, $D$6)=0,"",_xll.IMDP("IR", data!$C66, data!O$8, $D$6)), data!O66 ), "")</f>
        <v>3.3919999999999999</v>
      </c>
      <c r="H65" s="33" cm="1">
        <f t="array" aca="1" ref="H65" ca="1">IFERROR( CHOOSE( data!$B$7,
IF(_xll.IMDP("IR", data!$B66, data!P$8, $D$6)=0,"",_xll.IMDP("IR", data!$B66, data!P$8, $D$6)),
IF(_xll.IMDP("IR", data!$C66, data!P$8, $D$6)=0,"",_xll.IMDP("IR", data!$C66, data!P$8, $D$6)), data!P66 ), "")</f>
        <v>3.3570000000000002</v>
      </c>
      <c r="I65" s="33" cm="1">
        <f t="array" aca="1" ref="I65" ca="1">IFERROR( CHOOSE( data!$B$7,
IF(_xll.IMDP("IR", data!$B66, data!Q$8, $D$6)=0,"",_xll.IMDP("IR", data!$B66, data!Q$8, $D$6)),
IF(_xll.IMDP("IR", data!$C66, data!Q$8, $D$6)=0,"",_xll.IMDP("IR", data!$C66, data!Q$8, $D$6)), data!Q66 ), "")</f>
        <v>3.3820000000000001</v>
      </c>
      <c r="J65" s="33" cm="1">
        <f t="array" aca="1" ref="J65" ca="1">IFERROR( CHOOSE( data!$B$7,
IF(_xll.IMDP("IR", data!$B66, data!R$8, $D$6)=0,"",_xll.IMDP("IR", data!$B66, data!R$8, $D$6)),
IF(_xll.IMDP("IR", data!$C66, data!R$8, $D$6)=0,"",_xll.IMDP("IR", data!$C66, data!R$8, $D$6)), data!R66 ), "")</f>
        <v>3.3820000000000001</v>
      </c>
      <c r="K65" s="33" cm="1">
        <f t="array" aca="1" ref="K65" ca="1">IFERROR( CHOOSE( data!$B$7,
IF(_xll.IMDP("IR", data!$B66, data!S$8, $D$6)=0,"",_xll.IMDP("IR", data!$B66, data!S$8, $D$6)),
IF(_xll.IMDP("IR", data!$C66, data!S$8, $D$6)=0,"",_xll.IMDP("IR", data!$C66, data!S$8, $D$6)), data!S66 ), "")</f>
        <v>3.4020000000000001</v>
      </c>
      <c r="L65" s="33" cm="1">
        <f t="array" aca="1" ref="L65" ca="1">IFERROR( CHOOSE( data!$B$7,
IF(_xll.IMDP("IR", data!$B66, data!T$8, $D$6)=0,"",_xll.IMDP("IR", data!$B66, data!T$8, $D$6)),
IF(_xll.IMDP("IR", data!$C66, data!T$8, $D$6)=0,"",_xll.IMDP("IR", data!$C66, data!T$8, $D$6)), data!T66 ), "")</f>
        <v>3.427</v>
      </c>
      <c r="M65" s="33" cm="1">
        <f t="array" aca="1" ref="M65" ca="1">IFERROR( CHOOSE( data!$B$7,
IF(_xll.IMDP("IR", data!$B66, data!U$8, $D$6)=0,"",_xll.IMDP("IR", data!$B66, data!U$8, $D$6)),
IF(_xll.IMDP("IR", data!$C66, data!U$8, $D$6)=0,"",_xll.IMDP("IR", data!$C66, data!U$8, $D$6)), data!U66 ), "")</f>
        <v>3.4470000000000001</v>
      </c>
      <c r="N65" s="33" cm="1">
        <f t="array" aca="1" ref="N65" ca="1">IFERROR( CHOOSE( data!$B$7,
IF(_xll.IMDP("IR", data!$B66, data!V$8, $D$6)=0,"",_xll.IMDP("IR", data!$B66, data!V$8, $D$6)),
IF(_xll.IMDP("IR", data!$C66, data!V$8, $D$6)=0,"",_xll.IMDP("IR", data!$C66, data!V$8, $D$6)), data!V66 ), "")</f>
        <v>3.532</v>
      </c>
      <c r="O65" s="33" cm="1">
        <f t="array" aca="1" ref="O65" ca="1">IFERROR( CHOOSE( data!$B$7,
IF(_xll.IMDP("IR", data!$B66, data!W$8, $D$6)=0,"",_xll.IMDP("IR", data!$B66, data!W$8, $D$6)),
IF(_xll.IMDP("IR", data!$C66, data!W$8, $D$6)=0,"",_xll.IMDP("IR", data!$C66, data!W$8, $D$6)), data!W66 ), "")</f>
        <v>3.786</v>
      </c>
      <c r="P65" s="33" cm="1">
        <f t="array" aca="1" ref="P65" ca="1">IFERROR( CHOOSE( data!$B$7,
IF(_xll.IMDP("IR", data!$B66, data!X$8, $D$6)=0,"",_xll.IMDP("IR", data!$B66, data!X$8, $D$6)),
IF(_xll.IMDP("IR", data!$C66, data!X$8, $D$6)=0,"",_xll.IMDP("IR", data!$C66, data!X$8, $D$6)), data!X66 ), "")</f>
        <v>4.6020000000000003</v>
      </c>
      <c r="Q65" s="33" cm="1">
        <f t="array" aca="1" ref="Q65" ca="1">IFERROR( CHOOSE( data!$B$7,
IF(_xll.IMDP("IR", data!$B66, data!Y$8, $D$6)=0,"",_xll.IMDP("IR", data!$B66, data!Y$8, $D$6)),
IF(_xll.IMDP("IR", data!$C66, data!Y$8, $D$6)=0,"",_xll.IMDP("IR", data!$C66, data!Y$8, $D$6)), data!Y66 ), "")</f>
        <v>5.218</v>
      </c>
      <c r="R65" s="33" cm="1">
        <f t="array" aca="1" ref="R65" ca="1">IFERROR( CHOOSE( data!$B$7,
IF(_xll.IMDP("IR", data!$B66, data!Z$8, $D$6)=0,"",_xll.IMDP("IR", data!$B66, data!Z$8, $D$6)),
IF(_xll.IMDP("IR", data!$C66, data!Z$8, $D$6)=0,"",_xll.IMDP("IR", data!$C66, data!Z$8, $D$6)), data!Z66 ), "")</f>
        <v>5.4569999999999999</v>
      </c>
      <c r="S65" s="33" t="str" cm="1">
        <f t="array" aca="1" ref="S65" ca="1">IFERROR( CHOOSE( data!$B$7,
IF(_xll.IMDP("IR", data!$B66, data!AA$8, $D$6)=0,"",_xll.IMDP("IR", data!$B66, data!AA$8, $D$6)),
IF(_xll.IMDP("IR", data!$C66, data!AA$8, $D$6)=0,"",_xll.IMDP("IR", data!$C66, data!AA$8, $D$6)), data!AA66 ), "")</f>
        <v/>
      </c>
      <c r="T65" s="34" t="str" cm="1">
        <f t="array" aca="1" ref="T65" ca="1">IFERROR( CHOOSE( data!$B$7,
IF(_xll.IMDP("IR", data!$B66, data!AB$8, $D$6)=0,"",_xll.IMDP("IR", data!$B66, data!AB$8, $D$6)),
IF(_xll.IMDP("IR", data!$C66, data!AB$8, $D$6)=0,"",_xll.IMDP("IR", data!$C66, data!AB$8, $D$6)), data!AB66 ), "")</f>
        <v/>
      </c>
    </row>
    <row r="66" spans="2:20" s="4" customFormat="1" ht="12">
      <c r="B66" s="12"/>
      <c r="C66" s="67"/>
      <c r="D66" s="16" t="s">
        <v>40</v>
      </c>
      <c r="E66" s="32" cm="1">
        <f t="array" aca="1" ref="E66" ca="1">IFERROR( CHOOSE( data!$B$7,
IF(_xll.IMDP("IR", data!$B67, data!M$8, $D$6)=0,"",_xll.IMDP("IR", data!$B67, data!M$8, $D$6)),
IF(_xll.IMDP("IR", data!$C67, data!M$8, $D$6)=0,"",_xll.IMDP("IR", data!$C67, data!M$8, $D$6)), data!M67 ), "")</f>
        <v>3.492</v>
      </c>
      <c r="F66" s="33" cm="1">
        <f t="array" aca="1" ref="F66" ca="1">IFERROR( CHOOSE( data!$B$7,
IF(_xll.IMDP("IR", data!$B67, data!N$8, $D$6)=0,"",_xll.IMDP("IR", data!$B67, data!N$8, $D$6)),
IF(_xll.IMDP("IR", data!$C67, data!N$8, $D$6)=0,"",_xll.IMDP("IR", data!$C67, data!N$8, $D$6)), data!N67 ), "")</f>
        <v>3.5609999999999999</v>
      </c>
      <c r="G66" s="33" cm="1">
        <f t="array" aca="1" ref="G66" ca="1">IFERROR( CHOOSE( data!$B$7,
IF(_xll.IMDP("IR", data!$B67, data!O$8, $D$6)=0,"",_xll.IMDP("IR", data!$B67, data!O$8, $D$6)),
IF(_xll.IMDP("IR", data!$C67, data!O$8, $D$6)=0,"",_xll.IMDP("IR", data!$C67, data!O$8, $D$6)), data!O67 ), "")</f>
        <v>3.5710000000000002</v>
      </c>
      <c r="H66" s="33" cm="1">
        <f t="array" aca="1" ref="H66" ca="1">IFERROR( CHOOSE( data!$B$7,
IF(_xll.IMDP("IR", data!$B67, data!P$8, $D$6)=0,"",_xll.IMDP("IR", data!$B67, data!P$8, $D$6)),
IF(_xll.IMDP("IR", data!$C67, data!P$8, $D$6)=0,"",_xll.IMDP("IR", data!$C67, data!P$8, $D$6)), data!P67 ), "")</f>
        <v>3.5840000000000001</v>
      </c>
      <c r="I66" s="33" cm="1">
        <f t="array" aca="1" ref="I66" ca="1">IFERROR( CHOOSE( data!$B$7,
IF(_xll.IMDP("IR", data!$B67, data!Q$8, $D$6)=0,"",_xll.IMDP("IR", data!$B67, data!Q$8, $D$6)),
IF(_xll.IMDP("IR", data!$C67, data!Q$8, $D$6)=0,"",_xll.IMDP("IR", data!$C67, data!Q$8, $D$6)), data!Q67 ), "")</f>
        <v>3.6560000000000001</v>
      </c>
      <c r="J66" s="33" cm="1">
        <f t="array" aca="1" ref="J66" ca="1">IFERROR( CHOOSE( data!$B$7,
IF(_xll.IMDP("IR", data!$B67, data!R$8, $D$6)=0,"",_xll.IMDP("IR", data!$B67, data!R$8, $D$6)),
IF(_xll.IMDP("IR", data!$C67, data!R$8, $D$6)=0,"",_xll.IMDP("IR", data!$C67, data!R$8, $D$6)), data!R67 ), "")</f>
        <v>3.6970000000000001</v>
      </c>
      <c r="K66" s="33" cm="1">
        <f t="array" aca="1" ref="K66" ca="1">IFERROR( CHOOSE( data!$B$7,
IF(_xll.IMDP("IR", data!$B67, data!S$8, $D$6)=0,"",_xll.IMDP("IR", data!$B67, data!S$8, $D$6)),
IF(_xll.IMDP("IR", data!$C67, data!S$8, $D$6)=0,"",_xll.IMDP("IR", data!$C67, data!S$8, $D$6)), data!S67 ), "")</f>
        <v>3.7709999999999999</v>
      </c>
      <c r="L66" s="33" cm="1">
        <f t="array" aca="1" ref="L66" ca="1">IFERROR( CHOOSE( data!$B$7,
IF(_xll.IMDP("IR", data!$B67, data!T$8, $D$6)=0,"",_xll.IMDP("IR", data!$B67, data!T$8, $D$6)),
IF(_xll.IMDP("IR", data!$C67, data!T$8, $D$6)=0,"",_xll.IMDP("IR", data!$C67, data!T$8, $D$6)), data!T67 ), "")</f>
        <v>3.8210000000000002</v>
      </c>
      <c r="M66" s="33" cm="1">
        <f t="array" aca="1" ref="M66" ca="1">IFERROR( CHOOSE( data!$B$7,
IF(_xll.IMDP("IR", data!$B67, data!U$8, $D$6)=0,"",_xll.IMDP("IR", data!$B67, data!U$8, $D$6)),
IF(_xll.IMDP("IR", data!$C67, data!U$8, $D$6)=0,"",_xll.IMDP("IR", data!$C67, data!U$8, $D$6)), data!U67 ), "")</f>
        <v>4.069</v>
      </c>
      <c r="N66" s="33" cm="1">
        <f t="array" aca="1" ref="N66" ca="1">IFERROR( CHOOSE( data!$B$7,
IF(_xll.IMDP("IR", data!$B67, data!V$8, $D$6)=0,"",_xll.IMDP("IR", data!$B67, data!V$8, $D$6)),
IF(_xll.IMDP("IR", data!$C67, data!V$8, $D$6)=0,"",_xll.IMDP("IR", data!$C67, data!V$8, $D$6)), data!V67 ), "")</f>
        <v>4.2969999999999997</v>
      </c>
      <c r="O66" s="33" cm="1">
        <f t="array" aca="1" ref="O66" ca="1">IFERROR( CHOOSE( data!$B$7,
IF(_xll.IMDP("IR", data!$B67, data!W$8, $D$6)=0,"",_xll.IMDP("IR", data!$B67, data!W$8, $D$6)),
IF(_xll.IMDP("IR", data!$C67, data!W$8, $D$6)=0,"",_xll.IMDP("IR", data!$C67, data!W$8, $D$6)), data!W67 ), "")</f>
        <v>4.4980000000000002</v>
      </c>
      <c r="P66" s="33" cm="1">
        <f t="array" aca="1" ref="P66" ca="1">IFERROR( CHOOSE( data!$B$7,
IF(_xll.IMDP("IR", data!$B67, data!X$8, $D$6)=0,"",_xll.IMDP("IR", data!$B67, data!X$8, $D$6)),
IF(_xll.IMDP("IR", data!$C67, data!X$8, $D$6)=0,"",_xll.IMDP("IR", data!$C67, data!X$8, $D$6)), data!X67 ), "")</f>
        <v>5.1520000000000001</v>
      </c>
      <c r="Q66" s="33" cm="1">
        <f t="array" aca="1" ref="Q66" ca="1">IFERROR( CHOOSE( data!$B$7,
IF(_xll.IMDP("IR", data!$B67, data!Y$8, $D$6)=0,"",_xll.IMDP("IR", data!$B67, data!Y$8, $D$6)),
IF(_xll.IMDP("IR", data!$C67, data!Y$8, $D$6)=0,"",_xll.IMDP("IR", data!$C67, data!Y$8, $D$6)), data!Y67 ), "")</f>
        <v>5.6070000000000002</v>
      </c>
      <c r="R66" s="33" cm="1">
        <f t="array" aca="1" ref="R66" ca="1">IFERROR( CHOOSE( data!$B$7,
IF(_xll.IMDP("IR", data!$B67, data!Z$8, $D$6)=0,"",_xll.IMDP("IR", data!$B67, data!Z$8, $D$6)),
IF(_xll.IMDP("IR", data!$C67, data!Z$8, $D$6)=0,"",_xll.IMDP("IR", data!$C67, data!Z$8, $D$6)), data!Z67 ), "")</f>
        <v>5.8630000000000004</v>
      </c>
      <c r="S66" s="33" t="str" cm="1">
        <f t="array" aca="1" ref="S66" ca="1">IFERROR( CHOOSE( data!$B$7,
IF(_xll.IMDP("IR", data!$B67, data!AA$8, $D$6)=0,"",_xll.IMDP("IR", data!$B67, data!AA$8, $D$6)),
IF(_xll.IMDP("IR", data!$C67, data!AA$8, $D$6)=0,"",_xll.IMDP("IR", data!$C67, data!AA$8, $D$6)), data!AA67 ), "")</f>
        <v/>
      </c>
      <c r="T66" s="34" t="str" cm="1">
        <f t="array" aca="1" ref="T66" ca="1">IFERROR( CHOOSE( data!$B$7,
IF(_xll.IMDP("IR", data!$B67, data!AB$8, $D$6)=0,"",_xll.IMDP("IR", data!$B67, data!AB$8, $D$6)),
IF(_xll.IMDP("IR", data!$C67, data!AB$8, $D$6)=0,"",_xll.IMDP("IR", data!$C67, data!AB$8, $D$6)), data!AB67 ), "")</f>
        <v/>
      </c>
    </row>
    <row r="67" spans="2:20" s="4" customFormat="1" ht="12">
      <c r="B67" s="12"/>
      <c r="C67" s="67"/>
      <c r="D67" s="16" t="s">
        <v>41</v>
      </c>
      <c r="E67" s="32" cm="1">
        <f t="array" aca="1" ref="E67" ca="1">IFERROR( CHOOSE( data!$B$7,
IF(_xll.IMDP("IR", data!$B68, data!M$8, $D$6)=0,"",_xll.IMDP("IR", data!$B68, data!M$8, $D$6)),
IF(_xll.IMDP("IR", data!$C68, data!M$8, $D$6)=0,"",_xll.IMDP("IR", data!$C68, data!M$8, $D$6)), data!M68 ), "")</f>
        <v>3.6389999999999998</v>
      </c>
      <c r="F67" s="33" cm="1">
        <f t="array" aca="1" ref="F67" ca="1">IFERROR( CHOOSE( data!$B$7,
IF(_xll.IMDP("IR", data!$B68, data!N$8, $D$6)=0,"",_xll.IMDP("IR", data!$B68, data!N$8, $D$6)),
IF(_xll.IMDP("IR", data!$C68, data!N$8, $D$6)=0,"",_xll.IMDP("IR", data!$C68, data!N$8, $D$6)), data!N68 ), "")</f>
        <v>3.7170000000000001</v>
      </c>
      <c r="G67" s="33" cm="1">
        <f t="array" aca="1" ref="G67" ca="1">IFERROR( CHOOSE( data!$B$7,
IF(_xll.IMDP("IR", data!$B68, data!O$8, $D$6)=0,"",_xll.IMDP("IR", data!$B68, data!O$8, $D$6)),
IF(_xll.IMDP("IR", data!$C68, data!O$8, $D$6)=0,"",_xll.IMDP("IR", data!$C68, data!O$8, $D$6)), data!O68 ), "")</f>
        <v>3.7360000000000002</v>
      </c>
      <c r="H67" s="33" cm="1">
        <f t="array" aca="1" ref="H67" ca="1">IFERROR( CHOOSE( data!$B$7,
IF(_xll.IMDP("IR", data!$B68, data!P$8, $D$6)=0,"",_xll.IMDP("IR", data!$B68, data!P$8, $D$6)),
IF(_xll.IMDP("IR", data!$C68, data!P$8, $D$6)=0,"",_xll.IMDP("IR", data!$C68, data!P$8, $D$6)), data!P68 ), "")</f>
        <v>3.76</v>
      </c>
      <c r="I67" s="33" cm="1">
        <f t="array" aca="1" ref="I67" ca="1">IFERROR( CHOOSE( data!$B$7,
IF(_xll.IMDP("IR", data!$B68, data!Q$8, $D$6)=0,"",_xll.IMDP("IR", data!$B68, data!Q$8, $D$6)),
IF(_xll.IMDP("IR", data!$C68, data!Q$8, $D$6)=0,"",_xll.IMDP("IR", data!$C68, data!Q$8, $D$6)), data!Q68 ), "")</f>
        <v>3.83</v>
      </c>
      <c r="J67" s="33" cm="1">
        <f t="array" aca="1" ref="J67" ca="1">IFERROR( CHOOSE( data!$B$7,
IF(_xll.IMDP("IR", data!$B68, data!R$8, $D$6)=0,"",_xll.IMDP("IR", data!$B68, data!R$8, $D$6)),
IF(_xll.IMDP("IR", data!$C68, data!R$8, $D$6)=0,"",_xll.IMDP("IR", data!$C68, data!R$8, $D$6)), data!R68 ), "")</f>
        <v>3.8719999999999999</v>
      </c>
      <c r="K67" s="33" cm="1">
        <f t="array" aca="1" ref="K67" ca="1">IFERROR( CHOOSE( data!$B$7,
IF(_xll.IMDP("IR", data!$B68, data!S$8, $D$6)=0,"",_xll.IMDP("IR", data!$B68, data!S$8, $D$6)),
IF(_xll.IMDP("IR", data!$C68, data!S$8, $D$6)=0,"",_xll.IMDP("IR", data!$C68, data!S$8, $D$6)), data!S68 ), "")</f>
        <v>3.9620000000000002</v>
      </c>
      <c r="L67" s="33" cm="1">
        <f t="array" aca="1" ref="L67" ca="1">IFERROR( CHOOSE( data!$B$7,
IF(_xll.IMDP("IR", data!$B68, data!T$8, $D$6)=0,"",_xll.IMDP("IR", data!$B68, data!T$8, $D$6)),
IF(_xll.IMDP("IR", data!$C68, data!T$8, $D$6)=0,"",_xll.IMDP("IR", data!$C68, data!T$8, $D$6)), data!T68 ), "")</f>
        <v>4.0830000000000002</v>
      </c>
      <c r="M67" s="33" cm="1">
        <f t="array" aca="1" ref="M67" ca="1">IFERROR( CHOOSE( data!$B$7,
IF(_xll.IMDP("IR", data!$B68, data!U$8, $D$6)=0,"",_xll.IMDP("IR", data!$B68, data!U$8, $D$6)),
IF(_xll.IMDP("IR", data!$C68, data!U$8, $D$6)=0,"",_xll.IMDP("IR", data!$C68, data!U$8, $D$6)), data!U68 ), "")</f>
        <v>4.4160000000000004</v>
      </c>
      <c r="N67" s="33" cm="1">
        <f t="array" aca="1" ref="N67" ca="1">IFERROR( CHOOSE( data!$B$7,
IF(_xll.IMDP("IR", data!$B68, data!V$8, $D$6)=0,"",_xll.IMDP("IR", data!$B68, data!V$8, $D$6)),
IF(_xll.IMDP("IR", data!$C68, data!V$8, $D$6)=0,"",_xll.IMDP("IR", data!$C68, data!V$8, $D$6)), data!V68 ), "")</f>
        <v>4.7149999999999999</v>
      </c>
      <c r="O67" s="33" cm="1">
        <f t="array" aca="1" ref="O67" ca="1">IFERROR( CHOOSE( data!$B$7,
IF(_xll.IMDP("IR", data!$B68, data!W$8, $D$6)=0,"",_xll.IMDP("IR", data!$B68, data!W$8, $D$6)),
IF(_xll.IMDP("IR", data!$C68, data!W$8, $D$6)=0,"",_xll.IMDP("IR", data!$C68, data!W$8, $D$6)), data!W68 ), "")</f>
        <v>4.9320000000000004</v>
      </c>
      <c r="P67" s="33" cm="1">
        <f t="array" aca="1" ref="P67" ca="1">IFERROR( CHOOSE( data!$B$7,
IF(_xll.IMDP("IR", data!$B68, data!X$8, $D$6)=0,"",_xll.IMDP("IR", data!$B68, data!X$8, $D$6)),
IF(_xll.IMDP("IR", data!$C68, data!X$8, $D$6)=0,"",_xll.IMDP("IR", data!$C68, data!X$8, $D$6)), data!X68 ), "")</f>
        <v>5.6059999999999999</v>
      </c>
      <c r="Q67" s="33" cm="1">
        <f t="array" aca="1" ref="Q67" ca="1">IFERROR( CHOOSE( data!$B$7,
IF(_xll.IMDP("IR", data!$B68, data!Y$8, $D$6)=0,"",_xll.IMDP("IR", data!$B68, data!Y$8, $D$6)),
IF(_xll.IMDP("IR", data!$C68, data!Y$8, $D$6)=0,"",_xll.IMDP("IR", data!$C68, data!Y$8, $D$6)), data!Y68 ), "")</f>
        <v>6.0060000000000002</v>
      </c>
      <c r="R67" s="33" cm="1">
        <f t="array" aca="1" ref="R67" ca="1">IFERROR( CHOOSE( data!$B$7,
IF(_xll.IMDP("IR", data!$B68, data!Z$8, $D$6)=0,"",_xll.IMDP("IR", data!$B68, data!Z$8, $D$6)),
IF(_xll.IMDP("IR", data!$C68, data!Z$8, $D$6)=0,"",_xll.IMDP("IR", data!$C68, data!Z$8, $D$6)), data!Z68 ), "")</f>
        <v>6.2960000000000003</v>
      </c>
      <c r="S67" s="33" t="str" cm="1">
        <f t="array" aca="1" ref="S67" ca="1">IFERROR( CHOOSE( data!$B$7,
IF(_xll.IMDP("IR", data!$B68, data!AA$8, $D$6)=0,"",_xll.IMDP("IR", data!$B68, data!AA$8, $D$6)),
IF(_xll.IMDP("IR", data!$C68, data!AA$8, $D$6)=0,"",_xll.IMDP("IR", data!$C68, data!AA$8, $D$6)), data!AA68 ), "")</f>
        <v/>
      </c>
      <c r="T67" s="34" t="str" cm="1">
        <f t="array" aca="1" ref="T67" ca="1">IFERROR( CHOOSE( data!$B$7,
IF(_xll.IMDP("IR", data!$B68, data!AB$8, $D$6)=0,"",_xll.IMDP("IR", data!$B68, data!AB$8, $D$6)),
IF(_xll.IMDP("IR", data!$C68, data!AB$8, $D$6)=0,"",_xll.IMDP("IR", data!$C68, data!AB$8, $D$6)), data!AB68 ), "")</f>
        <v/>
      </c>
    </row>
    <row r="68" spans="2:20" s="4" customFormat="1" ht="12">
      <c r="B68" s="12"/>
      <c r="C68" s="67"/>
      <c r="D68" s="16" t="s">
        <v>42</v>
      </c>
      <c r="E68" s="32" cm="1">
        <f t="array" aca="1" ref="E68" ca="1">IFERROR( CHOOSE( data!$B$7,
IF(_xll.IMDP("IR", data!$B69, data!M$8, $D$6)=0,"",_xll.IMDP("IR", data!$B69, data!M$8, $D$6)),
IF(_xll.IMDP("IR", data!$C69, data!M$8, $D$6)=0,"",_xll.IMDP("IR", data!$C69, data!M$8, $D$6)), data!M69 ), "")</f>
        <v>3.8639999999999999</v>
      </c>
      <c r="F68" s="33" cm="1">
        <f t="array" aca="1" ref="F68" ca="1">IFERROR( CHOOSE( data!$B$7,
IF(_xll.IMDP("IR", data!$B69, data!N$8, $D$6)=0,"",_xll.IMDP("IR", data!$B69, data!N$8, $D$6)),
IF(_xll.IMDP("IR", data!$C69, data!N$8, $D$6)=0,"",_xll.IMDP("IR", data!$C69, data!N$8, $D$6)), data!N69 ), "")</f>
        <v>3.9569999999999999</v>
      </c>
      <c r="G68" s="33" cm="1">
        <f t="array" aca="1" ref="G68" ca="1">IFERROR( CHOOSE( data!$B$7,
IF(_xll.IMDP("IR", data!$B69, data!O$8, $D$6)=0,"",_xll.IMDP("IR", data!$B69, data!O$8, $D$6)),
IF(_xll.IMDP("IR", data!$C69, data!O$8, $D$6)=0,"",_xll.IMDP("IR", data!$C69, data!O$8, $D$6)), data!O69 ), "")</f>
        <v>3.9990000000000001</v>
      </c>
      <c r="H68" s="33" cm="1">
        <f t="array" aca="1" ref="H68" ca="1">IFERROR( CHOOSE( data!$B$7,
IF(_xll.IMDP("IR", data!$B69, data!P$8, $D$6)=0,"",_xll.IMDP("IR", data!$B69, data!P$8, $D$6)),
IF(_xll.IMDP("IR", data!$C69, data!P$8, $D$6)=0,"",_xll.IMDP("IR", data!$C69, data!P$8, $D$6)), data!P69 ), "")</f>
        <v>4.0259999999999998</v>
      </c>
      <c r="I68" s="33" cm="1">
        <f t="array" aca="1" ref="I68" ca="1">IFERROR( CHOOSE( data!$B$7,
IF(_xll.IMDP("IR", data!$B69, data!Q$8, $D$6)=0,"",_xll.IMDP("IR", data!$B69, data!Q$8, $D$6)),
IF(_xll.IMDP("IR", data!$C69, data!Q$8, $D$6)=0,"",_xll.IMDP("IR", data!$C69, data!Q$8, $D$6)), data!Q69 ), "")</f>
        <v>4.1189999999999998</v>
      </c>
      <c r="J68" s="33" cm="1">
        <f t="array" aca="1" ref="J68" ca="1">IFERROR( CHOOSE( data!$B$7,
IF(_xll.IMDP("IR", data!$B69, data!R$8, $D$6)=0,"",_xll.IMDP("IR", data!$B69, data!R$8, $D$6)),
IF(_xll.IMDP("IR", data!$C69, data!R$8, $D$6)=0,"",_xll.IMDP("IR", data!$C69, data!R$8, $D$6)), data!R69 ), "")</f>
        <v>4.1950000000000003</v>
      </c>
      <c r="K68" s="33" cm="1">
        <f t="array" aca="1" ref="K68" ca="1">IFERROR( CHOOSE( data!$B$7,
IF(_xll.IMDP("IR", data!$B69, data!S$8, $D$6)=0,"",_xll.IMDP("IR", data!$B69, data!S$8, $D$6)),
IF(_xll.IMDP("IR", data!$C69, data!S$8, $D$6)=0,"",_xll.IMDP("IR", data!$C69, data!S$8, $D$6)), data!S69 ), "")</f>
        <v>4.3479999999999999</v>
      </c>
      <c r="L68" s="33" cm="1">
        <f t="array" aca="1" ref="L68" ca="1">IFERROR( CHOOSE( data!$B$7,
IF(_xll.IMDP("IR", data!$B69, data!T$8, $D$6)=0,"",_xll.IMDP("IR", data!$B69, data!T$8, $D$6)),
IF(_xll.IMDP("IR", data!$C69, data!T$8, $D$6)=0,"",_xll.IMDP("IR", data!$C69, data!T$8, $D$6)), data!T69 ), "")</f>
        <v>4.5259999999999998</v>
      </c>
      <c r="M68" s="33" cm="1">
        <f t="array" aca="1" ref="M68" ca="1">IFERROR( CHOOSE( data!$B$7,
IF(_xll.IMDP("IR", data!$B69, data!U$8, $D$6)=0,"",_xll.IMDP("IR", data!$B69, data!U$8, $D$6)),
IF(_xll.IMDP("IR", data!$C69, data!U$8, $D$6)=0,"",_xll.IMDP("IR", data!$C69, data!U$8, $D$6)), data!U69 ), "")</f>
        <v>4.9219999999999997</v>
      </c>
      <c r="N68" s="33" cm="1">
        <f t="array" aca="1" ref="N68" ca="1">IFERROR( CHOOSE( data!$B$7,
IF(_xll.IMDP("IR", data!$B69, data!V$8, $D$6)=0,"",_xll.IMDP("IR", data!$B69, data!V$8, $D$6)),
IF(_xll.IMDP("IR", data!$C69, data!V$8, $D$6)=0,"",_xll.IMDP("IR", data!$C69, data!V$8, $D$6)), data!V69 ), "")</f>
        <v>5.31</v>
      </c>
      <c r="O68" s="33" cm="1">
        <f t="array" aca="1" ref="O68" ca="1">IFERROR( CHOOSE( data!$B$7,
IF(_xll.IMDP("IR", data!$B69, data!W$8, $D$6)=0,"",_xll.IMDP("IR", data!$B69, data!W$8, $D$6)),
IF(_xll.IMDP("IR", data!$C69, data!W$8, $D$6)=0,"",_xll.IMDP("IR", data!$C69, data!W$8, $D$6)), data!W69 ), "")</f>
        <v>5.4720000000000004</v>
      </c>
      <c r="P68" s="33" cm="1">
        <f t="array" aca="1" ref="P68" ca="1">IFERROR( CHOOSE( data!$B$7,
IF(_xll.IMDP("IR", data!$B69, data!X$8, $D$6)=0,"",_xll.IMDP("IR", data!$B69, data!X$8, $D$6)),
IF(_xll.IMDP("IR", data!$C69, data!X$8, $D$6)=0,"",_xll.IMDP("IR", data!$C69, data!X$8, $D$6)), data!X69 ), "")</f>
        <v>6.12</v>
      </c>
      <c r="Q68" s="33" cm="1">
        <f t="array" aca="1" ref="Q68" ca="1">IFERROR( CHOOSE( data!$B$7,
IF(_xll.IMDP("IR", data!$B69, data!Y$8, $D$6)=0,"",_xll.IMDP("IR", data!$B69, data!Y$8, $D$6)),
IF(_xll.IMDP("IR", data!$C69, data!Y$8, $D$6)=0,"",_xll.IMDP("IR", data!$C69, data!Y$8, $D$6)), data!Y69 ), "")</f>
        <v>6.5090000000000003</v>
      </c>
      <c r="R68" s="33" cm="1">
        <f t="array" aca="1" ref="R68" ca="1">IFERROR( CHOOSE( data!$B$7,
IF(_xll.IMDP("IR", data!$B69, data!Z$8, $D$6)=0,"",_xll.IMDP("IR", data!$B69, data!Z$8, $D$6)),
IF(_xll.IMDP("IR", data!$C69, data!Z$8, $D$6)=0,"",_xll.IMDP("IR", data!$C69, data!Z$8, $D$6)), data!Z69 ), "")</f>
        <v>6.867</v>
      </c>
      <c r="S68" s="33" t="str" cm="1">
        <f t="array" aca="1" ref="S68" ca="1">IFERROR( CHOOSE( data!$B$7,
IF(_xll.IMDP("IR", data!$B69, data!AA$8, $D$6)=0,"",_xll.IMDP("IR", data!$B69, data!AA$8, $D$6)),
IF(_xll.IMDP("IR", data!$C69, data!AA$8, $D$6)=0,"",_xll.IMDP("IR", data!$C69, data!AA$8, $D$6)), data!AA69 ), "")</f>
        <v/>
      </c>
      <c r="T68" s="34" t="str" cm="1">
        <f t="array" aca="1" ref="T68" ca="1">IFERROR( CHOOSE( data!$B$7,
IF(_xll.IMDP("IR", data!$B69, data!AB$8, $D$6)=0,"",_xll.IMDP("IR", data!$B69, data!AB$8, $D$6)),
IF(_xll.IMDP("IR", data!$C69, data!AB$8, $D$6)=0,"",_xll.IMDP("IR", data!$C69, data!AB$8, $D$6)), data!AB69 ), "")</f>
        <v/>
      </c>
    </row>
    <row r="69" spans="2:20" s="4" customFormat="1" ht="12">
      <c r="B69" s="12"/>
      <c r="C69" s="67"/>
      <c r="D69" s="16" t="s">
        <v>44</v>
      </c>
      <c r="E69" s="32" cm="1">
        <f t="array" aca="1" ref="E69" ca="1">IFERROR( CHOOSE( data!$B$7,
IF(_xll.IMDP("IR", data!$B70, data!M$8, $D$6)=0,"",_xll.IMDP("IR", data!$B70, data!M$8, $D$6)),
IF(_xll.IMDP("IR", data!$C70, data!M$8, $D$6)=0,"",_xll.IMDP("IR", data!$C70, data!M$8, $D$6)), data!M70 ), "")</f>
        <v>4.4619999999999997</v>
      </c>
      <c r="F69" s="33" cm="1">
        <f t="array" aca="1" ref="F69" ca="1">IFERROR( CHOOSE( data!$B$7,
IF(_xll.IMDP("IR", data!$B70, data!N$8, $D$6)=0,"",_xll.IMDP("IR", data!$B70, data!N$8, $D$6)),
IF(_xll.IMDP("IR", data!$C70, data!N$8, $D$6)=0,"",_xll.IMDP("IR", data!$C70, data!N$8, $D$6)), data!N70 ), "")</f>
        <v>4.8540000000000001</v>
      </c>
      <c r="G69" s="33" cm="1">
        <f t="array" aca="1" ref="G69" ca="1">IFERROR( CHOOSE( data!$B$7,
IF(_xll.IMDP("IR", data!$B70, data!O$8, $D$6)=0,"",_xll.IMDP("IR", data!$B70, data!O$8, $D$6)),
IF(_xll.IMDP("IR", data!$C70, data!O$8, $D$6)=0,"",_xll.IMDP("IR", data!$C70, data!O$8, $D$6)), data!O70 ), "")</f>
        <v>5.2060000000000004</v>
      </c>
      <c r="H69" s="33" cm="1">
        <f t="array" aca="1" ref="H69" ca="1">IFERROR( CHOOSE( data!$B$7,
IF(_xll.IMDP("IR", data!$B70, data!P$8, $D$6)=0,"",_xll.IMDP("IR", data!$B70, data!P$8, $D$6)),
IF(_xll.IMDP("IR", data!$C70, data!P$8, $D$6)=0,"",_xll.IMDP("IR", data!$C70, data!P$8, $D$6)), data!P70 ), "")</f>
        <v>5.3920000000000003</v>
      </c>
      <c r="I69" s="33" cm="1">
        <f t="array" aca="1" ref="I69" ca="1">IFERROR( CHOOSE( data!$B$7,
IF(_xll.IMDP("IR", data!$B70, data!Q$8, $D$6)=0,"",_xll.IMDP("IR", data!$B70, data!Q$8, $D$6)),
IF(_xll.IMDP("IR", data!$C70, data!Q$8, $D$6)=0,"",_xll.IMDP("IR", data!$C70, data!Q$8, $D$6)), data!Q70 ), "")</f>
        <v>5.8029999999999999</v>
      </c>
      <c r="J69" s="33" cm="1">
        <f t="array" aca="1" ref="J69" ca="1">IFERROR( CHOOSE( data!$B$7,
IF(_xll.IMDP("IR", data!$B70, data!R$8, $D$6)=0,"",_xll.IMDP("IR", data!$B70, data!R$8, $D$6)),
IF(_xll.IMDP("IR", data!$C70, data!R$8, $D$6)=0,"",_xll.IMDP("IR", data!$C70, data!R$8, $D$6)), data!R70 ), "")</f>
        <v>6.3479999999999999</v>
      </c>
      <c r="K69" s="33" cm="1">
        <f t="array" aca="1" ref="K69" ca="1">IFERROR( CHOOSE( data!$B$7,
IF(_xll.IMDP("IR", data!$B70, data!S$8, $D$6)=0,"",_xll.IMDP("IR", data!$B70, data!S$8, $D$6)),
IF(_xll.IMDP("IR", data!$C70, data!S$8, $D$6)=0,"",_xll.IMDP("IR", data!$C70, data!S$8, $D$6)), data!S70 ), "")</f>
        <v>6.7160000000000002</v>
      </c>
      <c r="L69" s="33" cm="1">
        <f t="array" aca="1" ref="L69" ca="1">IFERROR( CHOOSE( data!$B$7,
IF(_xll.IMDP("IR", data!$B70, data!T$8, $D$6)=0,"",_xll.IMDP("IR", data!$B70, data!T$8, $D$6)),
IF(_xll.IMDP("IR", data!$C70, data!T$8, $D$6)=0,"",_xll.IMDP("IR", data!$C70, data!T$8, $D$6)), data!T70 ), "")</f>
        <v>6.9850000000000003</v>
      </c>
      <c r="M69" s="33" cm="1">
        <f t="array" aca="1" ref="M69" ca="1">IFERROR( CHOOSE( data!$B$7,
IF(_xll.IMDP("IR", data!$B70, data!U$8, $D$6)=0,"",_xll.IMDP("IR", data!$B70, data!U$8, $D$6)),
IF(_xll.IMDP("IR", data!$C70, data!U$8, $D$6)=0,"",_xll.IMDP("IR", data!$C70, data!U$8, $D$6)), data!U70 ), "")</f>
        <v>7.1959999999999997</v>
      </c>
      <c r="N69" s="33" cm="1">
        <f t="array" aca="1" ref="N69" ca="1">IFERROR( CHOOSE( data!$B$7,
IF(_xll.IMDP("IR", data!$B70, data!V$8, $D$6)=0,"",_xll.IMDP("IR", data!$B70, data!V$8, $D$6)),
IF(_xll.IMDP("IR", data!$C70, data!V$8, $D$6)=0,"",_xll.IMDP("IR", data!$C70, data!V$8, $D$6)), data!V70 ), "")</f>
        <v>7.2839999999999998</v>
      </c>
      <c r="O69" s="33" cm="1">
        <f t="array" aca="1" ref="O69" ca="1">IFERROR( CHOOSE( data!$B$7,
IF(_xll.IMDP("IR", data!$B70, data!W$8, $D$6)=0,"",_xll.IMDP("IR", data!$B70, data!W$8, $D$6)),
IF(_xll.IMDP("IR", data!$C70, data!W$8, $D$6)=0,"",_xll.IMDP("IR", data!$C70, data!W$8, $D$6)), data!W70 ), "")</f>
        <v>7.359</v>
      </c>
      <c r="P69" s="33" cm="1">
        <f t="array" aca="1" ref="P69" ca="1">IFERROR( CHOOSE( data!$B$7,
IF(_xll.IMDP("IR", data!$B70, data!X$8, $D$6)=0,"",_xll.IMDP("IR", data!$B70, data!X$8, $D$6)),
IF(_xll.IMDP("IR", data!$C70, data!X$8, $D$6)=0,"",_xll.IMDP("IR", data!$C70, data!X$8, $D$6)), data!X70 ), "")</f>
        <v>7.6790000000000003</v>
      </c>
      <c r="Q69" s="33" cm="1">
        <f t="array" aca="1" ref="Q69" ca="1">IFERROR( CHOOSE( data!$B$7,
IF(_xll.IMDP("IR", data!$B70, data!Y$8, $D$6)=0,"",_xll.IMDP("IR", data!$B70, data!Y$8, $D$6)),
IF(_xll.IMDP("IR", data!$C70, data!Y$8, $D$6)=0,"",_xll.IMDP("IR", data!$C70, data!Y$8, $D$6)), data!Y70 ), "")</f>
        <v>8.01</v>
      </c>
      <c r="R69" s="33" cm="1">
        <f t="array" aca="1" ref="R69" ca="1">IFERROR( CHOOSE( data!$B$7,
IF(_xll.IMDP("IR", data!$B70, data!Z$8, $D$6)=0,"",_xll.IMDP("IR", data!$B70, data!Z$8, $D$6)),
IF(_xll.IMDP("IR", data!$C70, data!Z$8, $D$6)=0,"",_xll.IMDP("IR", data!$C70, data!Z$8, $D$6)), data!Z70 ), "")</f>
        <v>8.3190000000000008</v>
      </c>
      <c r="S69" s="33" t="str" cm="1">
        <f t="array" aca="1" ref="S69" ca="1">IFERROR( CHOOSE( data!$B$7,
IF(_xll.IMDP("IR", data!$B70, data!AA$8, $D$6)=0,"",_xll.IMDP("IR", data!$B70, data!AA$8, $D$6)),
IF(_xll.IMDP("IR", data!$C70, data!AA$8, $D$6)=0,"",_xll.IMDP("IR", data!$C70, data!AA$8, $D$6)), data!AA70 ), "")</f>
        <v/>
      </c>
      <c r="T69" s="34" t="str" cm="1">
        <f t="array" aca="1" ref="T69" ca="1">IFERROR( CHOOSE( data!$B$7,
IF(_xll.IMDP("IR", data!$B70, data!AB$8, $D$6)=0,"",_xll.IMDP("IR", data!$B70, data!AB$8, $D$6)),
IF(_xll.IMDP("IR", data!$C70, data!AB$8, $D$6)=0,"",_xll.IMDP("IR", data!$C70, data!AB$8, $D$6)), data!AB70 ), "")</f>
        <v/>
      </c>
    </row>
    <row r="70" spans="2:20" s="4" customFormat="1" ht="12">
      <c r="B70" s="12"/>
      <c r="C70" s="67"/>
      <c r="D70" s="16" t="s">
        <v>45</v>
      </c>
      <c r="E70" s="32" cm="1">
        <f t="array" aca="1" ref="E70" ca="1">IFERROR( CHOOSE( data!$B$7,
IF(_xll.IMDP("IR", data!$B71, data!M$8, $D$6)=0,"",_xll.IMDP("IR", data!$B71, data!M$8, $D$6)),
IF(_xll.IMDP("IR", data!$C71, data!M$8, $D$6)=0,"",_xll.IMDP("IR", data!$C71, data!M$8, $D$6)), data!M71 ), "")</f>
        <v>4.8369999999999997</v>
      </c>
      <c r="F70" s="33" cm="1">
        <f t="array" aca="1" ref="F70" ca="1">IFERROR( CHOOSE( data!$B$7,
IF(_xll.IMDP("IR", data!$B71, data!N$8, $D$6)=0,"",_xll.IMDP("IR", data!$B71, data!N$8, $D$6)),
IF(_xll.IMDP("IR", data!$C71, data!N$8, $D$6)=0,"",_xll.IMDP("IR", data!$C71, data!N$8, $D$6)), data!N71 ), "")</f>
        <v>5.3609999999999998</v>
      </c>
      <c r="G70" s="33" cm="1">
        <f t="array" aca="1" ref="G70" ca="1">IFERROR( CHOOSE( data!$B$7,
IF(_xll.IMDP("IR", data!$B71, data!O$8, $D$6)=0,"",_xll.IMDP("IR", data!$B71, data!O$8, $D$6)),
IF(_xll.IMDP("IR", data!$C71, data!O$8, $D$6)=0,"",_xll.IMDP("IR", data!$C71, data!O$8, $D$6)), data!O71 ), "")</f>
        <v>5.7910000000000004</v>
      </c>
      <c r="H70" s="33" cm="1">
        <f t="array" aca="1" ref="H70" ca="1">IFERROR( CHOOSE( data!$B$7,
IF(_xll.IMDP("IR", data!$B71, data!P$8, $D$6)=0,"",_xll.IMDP("IR", data!$B71, data!P$8, $D$6)),
IF(_xll.IMDP("IR", data!$C71, data!P$8, $D$6)=0,"",_xll.IMDP("IR", data!$C71, data!P$8, $D$6)), data!P71 ), "")</f>
        <v>6.0759999999999996</v>
      </c>
      <c r="I70" s="33" cm="1">
        <f t="array" aca="1" ref="I70" ca="1">IFERROR( CHOOSE( data!$B$7,
IF(_xll.IMDP("IR", data!$B71, data!Q$8, $D$6)=0,"",_xll.IMDP("IR", data!$B71, data!Q$8, $D$6)),
IF(_xll.IMDP("IR", data!$C71, data!Q$8, $D$6)=0,"",_xll.IMDP("IR", data!$C71, data!Q$8, $D$6)), data!Q71 ), "")</f>
        <v>6.6050000000000004</v>
      </c>
      <c r="J70" s="33" cm="1">
        <f t="array" aca="1" ref="J70" ca="1">IFERROR( CHOOSE( data!$B$7,
IF(_xll.IMDP("IR", data!$B71, data!R$8, $D$6)=0,"",_xll.IMDP("IR", data!$B71, data!R$8, $D$6)),
IF(_xll.IMDP("IR", data!$C71, data!R$8, $D$6)=0,"",_xll.IMDP("IR", data!$C71, data!R$8, $D$6)), data!R71 ), "")</f>
        <v>7.2939999999999996</v>
      </c>
      <c r="K70" s="33" cm="1">
        <f t="array" aca="1" ref="K70" ca="1">IFERROR( CHOOSE( data!$B$7,
IF(_xll.IMDP("IR", data!$B71, data!S$8, $D$6)=0,"",_xll.IMDP("IR", data!$B71, data!S$8, $D$6)),
IF(_xll.IMDP("IR", data!$C71, data!S$8, $D$6)=0,"",_xll.IMDP("IR", data!$C71, data!S$8, $D$6)), data!S71 ), "")</f>
        <v>7.74</v>
      </c>
      <c r="L70" s="33" cm="1">
        <f t="array" aca="1" ref="L70" ca="1">IFERROR( CHOOSE( data!$B$7,
IF(_xll.IMDP("IR", data!$B71, data!T$8, $D$6)=0,"",_xll.IMDP("IR", data!$B71, data!T$8, $D$6)),
IF(_xll.IMDP("IR", data!$C71, data!T$8, $D$6)=0,"",_xll.IMDP("IR", data!$C71, data!T$8, $D$6)), data!T71 ), "")</f>
        <v>8.0229999999999997</v>
      </c>
      <c r="M70" s="33" cm="1">
        <f t="array" aca="1" ref="M70" ca="1">IFERROR( CHOOSE( data!$B$7,
IF(_xll.IMDP("IR", data!$B71, data!U$8, $D$6)=0,"",_xll.IMDP("IR", data!$B71, data!U$8, $D$6)),
IF(_xll.IMDP("IR", data!$C71, data!U$8, $D$6)=0,"",_xll.IMDP("IR", data!$C71, data!U$8, $D$6)), data!U71 ), "")</f>
        <v>8.2390000000000008</v>
      </c>
      <c r="N70" s="33" cm="1">
        <f t="array" aca="1" ref="N70" ca="1">IFERROR( CHOOSE( data!$B$7,
IF(_xll.IMDP("IR", data!$B71, data!V$8, $D$6)=0,"",_xll.IMDP("IR", data!$B71, data!V$8, $D$6)),
IF(_xll.IMDP("IR", data!$C71, data!V$8, $D$6)=0,"",_xll.IMDP("IR", data!$C71, data!V$8, $D$6)), data!V71 ), "")</f>
        <v>8.3350000000000009</v>
      </c>
      <c r="O70" s="33" cm="1">
        <f t="array" aca="1" ref="O70" ca="1">IFERROR( CHOOSE( data!$B$7,
IF(_xll.IMDP("IR", data!$B71, data!W$8, $D$6)=0,"",_xll.IMDP("IR", data!$B71, data!W$8, $D$6)),
IF(_xll.IMDP("IR", data!$C71, data!W$8, $D$6)=0,"",_xll.IMDP("IR", data!$C71, data!W$8, $D$6)), data!W71 ), "")</f>
        <v>8.4130000000000003</v>
      </c>
      <c r="P70" s="33" cm="1">
        <f t="array" aca="1" ref="P70" ca="1">IFERROR( CHOOSE( data!$B$7,
IF(_xll.IMDP("IR", data!$B71, data!X$8, $D$6)=0,"",_xll.IMDP("IR", data!$B71, data!X$8, $D$6)),
IF(_xll.IMDP("IR", data!$C71, data!X$8, $D$6)=0,"",_xll.IMDP("IR", data!$C71, data!X$8, $D$6)), data!X71 ), "")</f>
        <v>8.7759999999999998</v>
      </c>
      <c r="Q70" s="33" cm="1">
        <f t="array" aca="1" ref="Q70" ca="1">IFERROR( CHOOSE( data!$B$7,
IF(_xll.IMDP("IR", data!$B71, data!Y$8, $D$6)=0,"",_xll.IMDP("IR", data!$B71, data!Y$8, $D$6)),
IF(_xll.IMDP("IR", data!$C71, data!Y$8, $D$6)=0,"",_xll.IMDP("IR", data!$C71, data!Y$8, $D$6)), data!Y71 ), "")</f>
        <v>9.1150000000000002</v>
      </c>
      <c r="R70" s="33" cm="1">
        <f t="array" aca="1" ref="R70" ca="1">IFERROR( CHOOSE( data!$B$7,
IF(_xll.IMDP("IR", data!$B71, data!Z$8, $D$6)=0,"",_xll.IMDP("IR", data!$B71, data!Z$8, $D$6)),
IF(_xll.IMDP("IR", data!$C71, data!Z$8, $D$6)=0,"",_xll.IMDP("IR", data!$C71, data!Z$8, $D$6)), data!Z71 ), "")</f>
        <v>9.4489999999999998</v>
      </c>
      <c r="S70" s="33" t="str" cm="1">
        <f t="array" aca="1" ref="S70" ca="1">IFERROR( CHOOSE( data!$B$7,
IF(_xll.IMDP("IR", data!$B71, data!AA$8, $D$6)=0,"",_xll.IMDP("IR", data!$B71, data!AA$8, $D$6)),
IF(_xll.IMDP("IR", data!$C71, data!AA$8, $D$6)=0,"",_xll.IMDP("IR", data!$C71, data!AA$8, $D$6)), data!AA71 ), "")</f>
        <v/>
      </c>
      <c r="T70" s="34" t="str" cm="1">
        <f t="array" aca="1" ref="T70" ca="1">IFERROR( CHOOSE( data!$B$7,
IF(_xll.IMDP("IR", data!$B71, data!AB$8, $D$6)=0,"",_xll.IMDP("IR", data!$B71, data!AB$8, $D$6)),
IF(_xll.IMDP("IR", data!$C71, data!AB$8, $D$6)=0,"",_xll.IMDP("IR", data!$C71, data!AB$8, $D$6)), data!AB71 ), "")</f>
        <v/>
      </c>
    </row>
    <row r="71" spans="2:20" s="4" customFormat="1" ht="12">
      <c r="B71" s="12"/>
      <c r="C71" s="67"/>
      <c r="D71" s="18" t="s">
        <v>46</v>
      </c>
      <c r="E71" s="38" cm="1">
        <f t="array" aca="1" ref="E71" ca="1">IFERROR( CHOOSE( data!$B$7,
IF(_xll.IMDP("IR", data!$B72, data!M$8, $D$6)=0,"",_xll.IMDP("IR", data!$B72, data!M$8, $D$6)),
IF(_xll.IMDP("IR", data!$C72, data!M$8, $D$6)=0,"",_xll.IMDP("IR", data!$C72, data!M$8, $D$6)), data!M72 ), "")</f>
        <v>5.516</v>
      </c>
      <c r="F71" s="39" cm="1">
        <f t="array" aca="1" ref="F71" ca="1">IFERROR( CHOOSE( data!$B$7,
IF(_xll.IMDP("IR", data!$B72, data!N$8, $D$6)=0,"",_xll.IMDP("IR", data!$B72, data!N$8, $D$6)),
IF(_xll.IMDP("IR", data!$C72, data!N$8, $D$6)=0,"",_xll.IMDP("IR", data!$C72, data!N$8, $D$6)), data!N72 ), "")</f>
        <v>6.1630000000000003</v>
      </c>
      <c r="G71" s="39" cm="1">
        <f t="array" aca="1" ref="G71" ca="1">IFERROR( CHOOSE( data!$B$7,
IF(_xll.IMDP("IR", data!$B72, data!O$8, $D$6)=0,"",_xll.IMDP("IR", data!$B72, data!O$8, $D$6)),
IF(_xll.IMDP("IR", data!$C72, data!O$8, $D$6)=0,"",_xll.IMDP("IR", data!$C72, data!O$8, $D$6)), data!O72 ), "")</f>
        <v>6.726</v>
      </c>
      <c r="H71" s="39" cm="1">
        <f t="array" aca="1" ref="H71" ca="1">IFERROR( CHOOSE( data!$B$7,
IF(_xll.IMDP("IR", data!$B72, data!P$8, $D$6)=0,"",_xll.IMDP("IR", data!$B72, data!P$8, $D$6)),
IF(_xll.IMDP("IR", data!$C72, data!P$8, $D$6)=0,"",_xll.IMDP("IR", data!$C72, data!P$8, $D$6)), data!P72 ), "")</f>
        <v>7.0720000000000001</v>
      </c>
      <c r="I71" s="39" cm="1">
        <f t="array" aca="1" ref="I71" ca="1">IFERROR( CHOOSE( data!$B$7,
IF(_xll.IMDP("IR", data!$B72, data!Q$8, $D$6)=0,"",_xll.IMDP("IR", data!$B72, data!Q$8, $D$6)),
IF(_xll.IMDP("IR", data!$C72, data!Q$8, $D$6)=0,"",_xll.IMDP("IR", data!$C72, data!Q$8, $D$6)), data!Q72 ), "")</f>
        <v>7.7329999999999997</v>
      </c>
      <c r="J71" s="39" cm="1">
        <f t="array" aca="1" ref="J71" ca="1">IFERROR( CHOOSE( data!$B$7,
IF(_xll.IMDP("IR", data!$B72, data!R$8, $D$6)=0,"",_xll.IMDP("IR", data!$B72, data!R$8, $D$6)),
IF(_xll.IMDP("IR", data!$C72, data!R$8, $D$6)=0,"",_xll.IMDP("IR", data!$C72, data!R$8, $D$6)), data!R72 ), "")</f>
        <v>8.4589999999999996</v>
      </c>
      <c r="K71" s="39" cm="1">
        <f t="array" aca="1" ref="K71" ca="1">IFERROR( CHOOSE( data!$B$7,
IF(_xll.IMDP("IR", data!$B72, data!S$8, $D$6)=0,"",_xll.IMDP("IR", data!$B72, data!S$8, $D$6)),
IF(_xll.IMDP("IR", data!$C72, data!S$8, $D$6)=0,"",_xll.IMDP("IR", data!$C72, data!S$8, $D$6)), data!S72 ), "")</f>
        <v>8.9819999999999993</v>
      </c>
      <c r="L71" s="39" cm="1">
        <f t="array" aca="1" ref="L71" ca="1">IFERROR( CHOOSE( data!$B$7,
IF(_xll.IMDP("IR", data!$B72, data!T$8, $D$6)=0,"",_xll.IMDP("IR", data!$B72, data!T$8, $D$6)),
IF(_xll.IMDP("IR", data!$C72, data!T$8, $D$6)=0,"",_xll.IMDP("IR", data!$C72, data!T$8, $D$6)), data!T72 ), "")</f>
        <v>9.4009999999999998</v>
      </c>
      <c r="M71" s="39" cm="1">
        <f t="array" aca="1" ref="M71" ca="1">IFERROR( CHOOSE( data!$B$7,
IF(_xll.IMDP("IR", data!$B72, data!U$8, $D$6)=0,"",_xll.IMDP("IR", data!$B72, data!U$8, $D$6)),
IF(_xll.IMDP("IR", data!$C72, data!U$8, $D$6)=0,"",_xll.IMDP("IR", data!$C72, data!U$8, $D$6)), data!U72 ), "")</f>
        <v>9.6609999999999996</v>
      </c>
      <c r="N71" s="39" cm="1">
        <f t="array" aca="1" ref="N71" ca="1">IFERROR( CHOOSE( data!$B$7,
IF(_xll.IMDP("IR", data!$B72, data!V$8, $D$6)=0,"",_xll.IMDP("IR", data!$B72, data!V$8, $D$6)),
IF(_xll.IMDP("IR", data!$C72, data!V$8, $D$6)=0,"",_xll.IMDP("IR", data!$C72, data!V$8, $D$6)), data!V72 ), "")</f>
        <v>9.7579999999999991</v>
      </c>
      <c r="O71" s="39" cm="1">
        <f t="array" aca="1" ref="O71" ca="1">IFERROR( CHOOSE( data!$B$7,
IF(_xll.IMDP("IR", data!$B72, data!W$8, $D$6)=0,"",_xll.IMDP("IR", data!$B72, data!W$8, $D$6)),
IF(_xll.IMDP("IR", data!$C72, data!W$8, $D$6)=0,"",_xll.IMDP("IR", data!$C72, data!W$8, $D$6)), data!W72 ), "")</f>
        <v>9.83</v>
      </c>
      <c r="P71" s="39" cm="1">
        <f t="array" aca="1" ref="P71" ca="1">IFERROR( CHOOSE( data!$B$7,
IF(_xll.IMDP("IR", data!$B72, data!X$8, $D$6)=0,"",_xll.IMDP("IR", data!$B72, data!X$8, $D$6)),
IF(_xll.IMDP("IR", data!$C72, data!X$8, $D$6)=0,"",_xll.IMDP("IR", data!$C72, data!X$8, $D$6)), data!X72 ), "")</f>
        <v>10.209</v>
      </c>
      <c r="Q71" s="39" cm="1">
        <f t="array" aca="1" ref="Q71" ca="1">IFERROR( CHOOSE( data!$B$7,
IF(_xll.IMDP("IR", data!$B72, data!Y$8, $D$6)=0,"",_xll.IMDP("IR", data!$B72, data!Y$8, $D$6)),
IF(_xll.IMDP("IR", data!$C72, data!Y$8, $D$6)=0,"",_xll.IMDP("IR", data!$C72, data!Y$8, $D$6)), data!Y72 ), "")</f>
        <v>10.595000000000001</v>
      </c>
      <c r="R71" s="39" cm="1">
        <f t="array" aca="1" ref="R71" ca="1">IFERROR( CHOOSE( data!$B$7,
IF(_xll.IMDP("IR", data!$B72, data!Z$8, $D$6)=0,"",_xll.IMDP("IR", data!$B72, data!Z$8, $D$6)),
IF(_xll.IMDP("IR", data!$C72, data!Z$8, $D$6)=0,"",_xll.IMDP("IR", data!$C72, data!Z$8, $D$6)), data!Z72 ), "")</f>
        <v>10.913</v>
      </c>
      <c r="S71" s="39" t="str" cm="1">
        <f t="array" aca="1" ref="S71" ca="1">IFERROR( CHOOSE( data!$B$7,
IF(_xll.IMDP("IR", data!$B72, data!AA$8, $D$6)=0,"",_xll.IMDP("IR", data!$B72, data!AA$8, $D$6)),
IF(_xll.IMDP("IR", data!$C72, data!AA$8, $D$6)=0,"",_xll.IMDP("IR", data!$C72, data!AA$8, $D$6)), data!AA72 ), "")</f>
        <v/>
      </c>
      <c r="T71" s="40" t="str" cm="1">
        <f t="array" aca="1" ref="T71" ca="1">IFERROR( CHOOSE( data!$B$7,
IF(_xll.IMDP("IR", data!$B72, data!AB$8, $D$6)=0,"",_xll.IMDP("IR", data!$B72, data!AB$8, $D$6)),
IF(_xll.IMDP("IR", data!$C72, data!AB$8, $D$6)=0,"",_xll.IMDP("IR", data!$C72, data!AB$8, $D$6)), data!AB72 ), "")</f>
        <v/>
      </c>
    </row>
    <row r="72" spans="2:20" s="4" customFormat="1" ht="12">
      <c r="B72" s="12"/>
      <c r="C72" s="67" t="s">
        <v>55</v>
      </c>
      <c r="D72" s="19" t="s">
        <v>27</v>
      </c>
      <c r="E72" s="41" cm="1">
        <f t="array" aca="1" ref="E72" ca="1">IFERROR( CHOOSE( data!$B$7,
IF(_xll.IMDP("IR", data!$B73, data!M$8, $D$6)=0,"",_xll.IMDP("IR", data!$B73, data!M$8, $D$6)),
IF(_xll.IMDP("IR", data!$C73, data!M$8, $D$6)=0,"",_xll.IMDP("IR", data!$C73, data!M$8, $D$6)), data!M73 ), "")</f>
        <v>3.4609999999999999</v>
      </c>
      <c r="F72" s="42" cm="1">
        <f t="array" aca="1" ref="F72" ca="1">IFERROR( CHOOSE( data!$B$7,
IF(_xll.IMDP("IR", data!$B73, data!N$8, $D$6)=0,"",_xll.IMDP("IR", data!$B73, data!N$8, $D$6)),
IF(_xll.IMDP("IR", data!$C73, data!N$8, $D$6)=0,"",_xll.IMDP("IR", data!$C73, data!N$8, $D$6)), data!N73 ), "")</f>
        <v>3.4950000000000001</v>
      </c>
      <c r="G72" s="42" cm="1">
        <f t="array" aca="1" ref="G72" ca="1">IFERROR( CHOOSE( data!$B$7,
IF(_xll.IMDP("IR", data!$B73, data!O$8, $D$6)=0,"",_xll.IMDP("IR", data!$B73, data!O$8, $D$6)),
IF(_xll.IMDP("IR", data!$C73, data!O$8, $D$6)=0,"",_xll.IMDP("IR", data!$C73, data!O$8, $D$6)), data!O73 ), "")</f>
        <v>3.4580000000000002</v>
      </c>
      <c r="H72" s="42" cm="1">
        <f t="array" aca="1" ref="H72" ca="1">IFERROR( CHOOSE( data!$B$7,
IF(_xll.IMDP("IR", data!$B73, data!P$8, $D$6)=0,"",_xll.IMDP("IR", data!$B73, data!P$8, $D$6)),
IF(_xll.IMDP("IR", data!$C73, data!P$8, $D$6)=0,"",_xll.IMDP("IR", data!$C73, data!P$8, $D$6)), data!P73 ), "")</f>
        <v>3.4260000000000002</v>
      </c>
      <c r="I72" s="42" cm="1">
        <f t="array" aca="1" ref="I72" ca="1">IFERROR( CHOOSE( data!$B$7,
IF(_xll.IMDP("IR", data!$B73, data!Q$8, $D$6)=0,"",_xll.IMDP("IR", data!$B73, data!Q$8, $D$6)),
IF(_xll.IMDP("IR", data!$C73, data!Q$8, $D$6)=0,"",_xll.IMDP("IR", data!$C73, data!Q$8, $D$6)), data!Q73 ), "")</f>
        <v>3.4489999999999998</v>
      </c>
      <c r="J72" s="42" cm="1">
        <f t="array" aca="1" ref="J72" ca="1">IFERROR( CHOOSE( data!$B$7,
IF(_xll.IMDP("IR", data!$B73, data!R$8, $D$6)=0,"",_xll.IMDP("IR", data!$B73, data!R$8, $D$6)),
IF(_xll.IMDP("IR", data!$C73, data!R$8, $D$6)=0,"",_xll.IMDP("IR", data!$C73, data!R$8, $D$6)), data!R73 ), "")</f>
        <v>3.448</v>
      </c>
      <c r="K72" s="42" cm="1">
        <f t="array" aca="1" ref="K72" ca="1">IFERROR( CHOOSE( data!$B$7,
IF(_xll.IMDP("IR", data!$B73, data!S$8, $D$6)=0,"",_xll.IMDP("IR", data!$B73, data!S$8, $D$6)),
IF(_xll.IMDP("IR", data!$C73, data!S$8, $D$6)=0,"",_xll.IMDP("IR", data!$C73, data!S$8, $D$6)), data!S73 ), "")</f>
        <v>3.4590000000000001</v>
      </c>
      <c r="L72" s="42" cm="1">
        <f t="array" aca="1" ref="L72" ca="1">IFERROR( CHOOSE( data!$B$7,
IF(_xll.IMDP("IR", data!$B73, data!T$8, $D$6)=0,"",_xll.IMDP("IR", data!$B73, data!T$8, $D$6)),
IF(_xll.IMDP("IR", data!$C73, data!T$8, $D$6)=0,"",_xll.IMDP("IR", data!$C73, data!T$8, $D$6)), data!T73 ), "")</f>
        <v>3.4660000000000002</v>
      </c>
      <c r="M72" s="42" cm="1">
        <f t="array" aca="1" ref="M72" ca="1">IFERROR( CHOOSE( data!$B$7,
IF(_xll.IMDP("IR", data!$B73, data!U$8, $D$6)=0,"",_xll.IMDP("IR", data!$B73, data!U$8, $D$6)),
IF(_xll.IMDP("IR", data!$C73, data!U$8, $D$6)=0,"",_xll.IMDP("IR", data!$C73, data!U$8, $D$6)), data!U73 ), "")</f>
        <v>3.4750000000000001</v>
      </c>
      <c r="N72" s="42" cm="1">
        <f t="array" aca="1" ref="N72" ca="1">IFERROR( CHOOSE( data!$B$7,
IF(_xll.IMDP("IR", data!$B73, data!V$8, $D$6)=0,"",_xll.IMDP("IR", data!$B73, data!V$8, $D$6)),
IF(_xll.IMDP("IR", data!$C73, data!V$8, $D$6)=0,"",_xll.IMDP("IR", data!$C73, data!V$8, $D$6)), data!V73 ), "")</f>
        <v>3.4980000000000002</v>
      </c>
      <c r="O72" s="42" cm="1">
        <f t="array" aca="1" ref="O72" ca="1">IFERROR( CHOOSE( data!$B$7,
IF(_xll.IMDP("IR", data!$B73, data!W$8, $D$6)=0,"",_xll.IMDP("IR", data!$B73, data!W$8, $D$6)),
IF(_xll.IMDP("IR", data!$C73, data!W$8, $D$6)=0,"",_xll.IMDP("IR", data!$C73, data!W$8, $D$6)), data!W73 ), "")</f>
        <v>3.593</v>
      </c>
      <c r="P72" s="42" cm="1">
        <f t="array" aca="1" ref="P72" ca="1">IFERROR( CHOOSE( data!$B$7,
IF(_xll.IMDP("IR", data!$B73, data!X$8, $D$6)=0,"",_xll.IMDP("IR", data!$B73, data!X$8, $D$6)),
IF(_xll.IMDP("IR", data!$C73, data!X$8, $D$6)=0,"",_xll.IMDP("IR", data!$C73, data!X$8, $D$6)), data!X73 ), "")</f>
        <v>3.8809999999999998</v>
      </c>
      <c r="Q72" s="42" cm="1">
        <f t="array" aca="1" ref="Q72" ca="1">IFERROR( CHOOSE( data!$B$7,
IF(_xll.IMDP("IR", data!$B73, data!Y$8, $D$6)=0,"",_xll.IMDP("IR", data!$B73, data!Y$8, $D$6)),
IF(_xll.IMDP("IR", data!$C73, data!Y$8, $D$6)=0,"",_xll.IMDP("IR", data!$C73, data!Y$8, $D$6)), data!Y73 ), "")</f>
        <v>4.1550000000000002</v>
      </c>
      <c r="R72" s="42" cm="1">
        <f t="array" aca="1" ref="R72" ca="1">IFERROR( CHOOSE( data!$B$7,
IF(_xll.IMDP("IR", data!$B73, data!Z$8, $D$6)=0,"",_xll.IMDP("IR", data!$B73, data!Z$8, $D$6)),
IF(_xll.IMDP("IR", data!$C73, data!Z$8, $D$6)=0,"",_xll.IMDP("IR", data!$C73, data!Z$8, $D$6)), data!Z73 ), "")</f>
        <v>4.3170000000000002</v>
      </c>
      <c r="S72" s="42" t="str" cm="1">
        <f t="array" aca="1" ref="S72" ca="1">IFERROR( CHOOSE( data!$B$7,
IF(_xll.IMDP("IR", data!$B73, data!AA$8, $D$6)=0,"",_xll.IMDP("IR", data!$B73, data!AA$8, $D$6)),
IF(_xll.IMDP("IR", data!$C73, data!AA$8, $D$6)=0,"",_xll.IMDP("IR", data!$C73, data!AA$8, $D$6)), data!AA73 ), "")</f>
        <v/>
      </c>
      <c r="T72" s="43" t="str" cm="1">
        <f t="array" aca="1" ref="T72" ca="1">IFERROR( CHOOSE( data!$B$7,
IF(_xll.IMDP("IR", data!$B73, data!AB$8, $D$6)=0,"",_xll.IMDP("IR", data!$B73, data!AB$8, $D$6)),
IF(_xll.IMDP("IR", data!$C73, data!AB$8, $D$6)=0,"",_xll.IMDP("IR", data!$C73, data!AB$8, $D$6)), data!AB73 ), "")</f>
        <v/>
      </c>
    </row>
    <row r="73" spans="2:20" s="4" customFormat="1" ht="12">
      <c r="B73" s="12"/>
      <c r="C73" s="67"/>
      <c r="D73" s="16" t="s">
        <v>28</v>
      </c>
      <c r="E73" s="32" cm="1">
        <f t="array" aca="1" ref="E73" ca="1">IFERROR( CHOOSE( data!$B$7,
IF(_xll.IMDP("IR", data!$B74, data!M$8, $D$6)=0,"",_xll.IMDP("IR", data!$B74, data!M$8, $D$6)),
IF(_xll.IMDP("IR", data!$C74, data!M$8, $D$6)=0,"",_xll.IMDP("IR", data!$C74, data!M$8, $D$6)), data!M74 ), "")</f>
        <v>3.488</v>
      </c>
      <c r="F73" s="33" cm="1">
        <f t="array" aca="1" ref="F73" ca="1">IFERROR( CHOOSE( data!$B$7,
IF(_xll.IMDP("IR", data!$B74, data!N$8, $D$6)=0,"",_xll.IMDP("IR", data!$B74, data!N$8, $D$6)),
IF(_xll.IMDP("IR", data!$C74, data!N$8, $D$6)=0,"",_xll.IMDP("IR", data!$C74, data!N$8, $D$6)), data!N74 ), "")</f>
        <v>3.528</v>
      </c>
      <c r="G73" s="33" cm="1">
        <f t="array" aca="1" ref="G73" ca="1">IFERROR( CHOOSE( data!$B$7,
IF(_xll.IMDP("IR", data!$B74, data!O$8, $D$6)=0,"",_xll.IMDP("IR", data!$B74, data!O$8, $D$6)),
IF(_xll.IMDP("IR", data!$C74, data!O$8, $D$6)=0,"",_xll.IMDP("IR", data!$C74, data!O$8, $D$6)), data!O74 ), "")</f>
        <v>3.5059999999999998</v>
      </c>
      <c r="H73" s="33" cm="1">
        <f t="array" aca="1" ref="H73" ca="1">IFERROR( CHOOSE( data!$B$7,
IF(_xll.IMDP("IR", data!$B74, data!P$8, $D$6)=0,"",_xll.IMDP("IR", data!$B74, data!P$8, $D$6)),
IF(_xll.IMDP("IR", data!$C74, data!P$8, $D$6)=0,"",_xll.IMDP("IR", data!$C74, data!P$8, $D$6)), data!P74 ), "")</f>
        <v>3.472</v>
      </c>
      <c r="I73" s="33" cm="1">
        <f t="array" aca="1" ref="I73" ca="1">IFERROR( CHOOSE( data!$B$7,
IF(_xll.IMDP("IR", data!$B74, data!Q$8, $D$6)=0,"",_xll.IMDP("IR", data!$B74, data!Q$8, $D$6)),
IF(_xll.IMDP("IR", data!$C74, data!Q$8, $D$6)=0,"",_xll.IMDP("IR", data!$C74, data!Q$8, $D$6)), data!Q74 ), "")</f>
        <v>3.5070000000000001</v>
      </c>
      <c r="J73" s="33" cm="1">
        <f t="array" aca="1" ref="J73" ca="1">IFERROR( CHOOSE( data!$B$7,
IF(_xll.IMDP("IR", data!$B74, data!R$8, $D$6)=0,"",_xll.IMDP("IR", data!$B74, data!R$8, $D$6)),
IF(_xll.IMDP("IR", data!$C74, data!R$8, $D$6)=0,"",_xll.IMDP("IR", data!$C74, data!R$8, $D$6)), data!R74 ), "")</f>
        <v>3.51</v>
      </c>
      <c r="K73" s="33" cm="1">
        <f t="array" aca="1" ref="K73" ca="1">IFERROR( CHOOSE( data!$B$7,
IF(_xll.IMDP("IR", data!$B74, data!S$8, $D$6)=0,"",_xll.IMDP("IR", data!$B74, data!S$8, $D$6)),
IF(_xll.IMDP("IR", data!$C74, data!S$8, $D$6)=0,"",_xll.IMDP("IR", data!$C74, data!S$8, $D$6)), data!S74 ), "")</f>
        <v>3.536</v>
      </c>
      <c r="L73" s="33" cm="1">
        <f t="array" aca="1" ref="L73" ca="1">IFERROR( CHOOSE( data!$B$7,
IF(_xll.IMDP("IR", data!$B74, data!T$8, $D$6)=0,"",_xll.IMDP("IR", data!$B74, data!T$8, $D$6)),
IF(_xll.IMDP("IR", data!$C74, data!T$8, $D$6)=0,"",_xll.IMDP("IR", data!$C74, data!T$8, $D$6)), data!T74 ), "")</f>
        <v>3.5459999999999998</v>
      </c>
      <c r="M73" s="33" cm="1">
        <f t="array" aca="1" ref="M73" ca="1">IFERROR( CHOOSE( data!$B$7,
IF(_xll.IMDP("IR", data!$B74, data!U$8, $D$6)=0,"",_xll.IMDP("IR", data!$B74, data!U$8, $D$6)),
IF(_xll.IMDP("IR", data!$C74, data!U$8, $D$6)=0,"",_xll.IMDP("IR", data!$C74, data!U$8, $D$6)), data!U74 ), "")</f>
        <v>3.5579999999999998</v>
      </c>
      <c r="N73" s="33" cm="1">
        <f t="array" aca="1" ref="N73" ca="1">IFERROR( CHOOSE( data!$B$7,
IF(_xll.IMDP("IR", data!$B74, data!V$8, $D$6)=0,"",_xll.IMDP("IR", data!$B74, data!V$8, $D$6)),
IF(_xll.IMDP("IR", data!$C74, data!V$8, $D$6)=0,"",_xll.IMDP("IR", data!$C74, data!V$8, $D$6)), data!V74 ), "")</f>
        <v>3.6019999999999999</v>
      </c>
      <c r="O73" s="33" cm="1">
        <f t="array" aca="1" ref="O73" ca="1">IFERROR( CHOOSE( data!$B$7,
IF(_xll.IMDP("IR", data!$B74, data!W$8, $D$6)=0,"",_xll.IMDP("IR", data!$B74, data!W$8, $D$6)),
IF(_xll.IMDP("IR", data!$C74, data!W$8, $D$6)=0,"",_xll.IMDP("IR", data!$C74, data!W$8, $D$6)), data!W74 ), "")</f>
        <v>3.7480000000000002</v>
      </c>
      <c r="P73" s="33" cm="1">
        <f t="array" aca="1" ref="P73" ca="1">IFERROR( CHOOSE( data!$B$7,
IF(_xll.IMDP("IR", data!$B74, data!X$8, $D$6)=0,"",_xll.IMDP("IR", data!$B74, data!X$8, $D$6)),
IF(_xll.IMDP("IR", data!$C74, data!X$8, $D$6)=0,"",_xll.IMDP("IR", data!$C74, data!X$8, $D$6)), data!X74 ), "")</f>
        <v>4.1769999999999996</v>
      </c>
      <c r="Q73" s="33" cm="1">
        <f t="array" aca="1" ref="Q73" ca="1">IFERROR( CHOOSE( data!$B$7,
IF(_xll.IMDP("IR", data!$B74, data!Y$8, $D$6)=0,"",_xll.IMDP("IR", data!$B74, data!Y$8, $D$6)),
IF(_xll.IMDP("IR", data!$C74, data!Y$8, $D$6)=0,"",_xll.IMDP("IR", data!$C74, data!Y$8, $D$6)), data!Y74 ), "")</f>
        <v>4.4870000000000001</v>
      </c>
      <c r="R73" s="33" cm="1">
        <f t="array" aca="1" ref="R73" ca="1">IFERROR( CHOOSE( data!$B$7,
IF(_xll.IMDP("IR", data!$B74, data!Z$8, $D$6)=0,"",_xll.IMDP("IR", data!$B74, data!Z$8, $D$6)),
IF(_xll.IMDP("IR", data!$C74, data!Z$8, $D$6)=0,"",_xll.IMDP("IR", data!$C74, data!Z$8, $D$6)), data!Z74 ), "")</f>
        <v>4.6680000000000001</v>
      </c>
      <c r="S73" s="33" t="str" cm="1">
        <f t="array" aca="1" ref="S73" ca="1">IFERROR( CHOOSE( data!$B$7,
IF(_xll.IMDP("IR", data!$B74, data!AA$8, $D$6)=0,"",_xll.IMDP("IR", data!$B74, data!AA$8, $D$6)),
IF(_xll.IMDP("IR", data!$C74, data!AA$8, $D$6)=0,"",_xll.IMDP("IR", data!$C74, data!AA$8, $D$6)), data!AA74 ), "")</f>
        <v/>
      </c>
      <c r="T73" s="34" t="str" cm="1">
        <f t="array" aca="1" ref="T73" ca="1">IFERROR( CHOOSE( data!$B$7,
IF(_xll.IMDP("IR", data!$B74, data!AB$8, $D$6)=0,"",_xll.IMDP("IR", data!$B74, data!AB$8, $D$6)),
IF(_xll.IMDP("IR", data!$C74, data!AB$8, $D$6)=0,"",_xll.IMDP("IR", data!$C74, data!AB$8, $D$6)), data!AB74 ), "")</f>
        <v/>
      </c>
    </row>
    <row r="74" spans="2:20" s="4" customFormat="1" ht="12">
      <c r="B74" s="12"/>
      <c r="C74" s="67"/>
      <c r="D74" s="16" t="s">
        <v>29</v>
      </c>
      <c r="E74" s="32" cm="1">
        <f t="array" aca="1" ref="E74" ca="1">IFERROR( CHOOSE( data!$B$7,
IF(_xll.IMDP("IR", data!$B75, data!M$8, $D$6)=0,"",_xll.IMDP("IR", data!$B75, data!M$8, $D$6)),
IF(_xll.IMDP("IR", data!$C75, data!M$8, $D$6)=0,"",_xll.IMDP("IR", data!$C75, data!M$8, $D$6)), data!M75 ), "")</f>
        <v>3.5219999999999998</v>
      </c>
      <c r="F74" s="33" cm="1">
        <f t="array" aca="1" ref="F74" ca="1">IFERROR( CHOOSE( data!$B$7,
IF(_xll.IMDP("IR", data!$B75, data!N$8, $D$6)=0,"",_xll.IMDP("IR", data!$B75, data!N$8, $D$6)),
IF(_xll.IMDP("IR", data!$C75, data!N$8, $D$6)=0,"",_xll.IMDP("IR", data!$C75, data!N$8, $D$6)), data!N75 ), "")</f>
        <v>3.577</v>
      </c>
      <c r="G74" s="33" cm="1">
        <f t="array" aca="1" ref="G74" ca="1">IFERROR( CHOOSE( data!$B$7,
IF(_xll.IMDP("IR", data!$B75, data!O$8, $D$6)=0,"",_xll.IMDP("IR", data!$B75, data!O$8, $D$6)),
IF(_xll.IMDP("IR", data!$C75, data!O$8, $D$6)=0,"",_xll.IMDP("IR", data!$C75, data!O$8, $D$6)), data!O75 ), "")</f>
        <v>3.5409999999999999</v>
      </c>
      <c r="H74" s="33" cm="1">
        <f t="array" aca="1" ref="H74" ca="1">IFERROR( CHOOSE( data!$B$7,
IF(_xll.IMDP("IR", data!$B75, data!P$8, $D$6)=0,"",_xll.IMDP("IR", data!$B75, data!P$8, $D$6)),
IF(_xll.IMDP("IR", data!$C75, data!P$8, $D$6)=0,"",_xll.IMDP("IR", data!$C75, data!P$8, $D$6)), data!P75 ), "")</f>
        <v>3.51</v>
      </c>
      <c r="I74" s="33" cm="1">
        <f t="array" aca="1" ref="I74" ca="1">IFERROR( CHOOSE( data!$B$7,
IF(_xll.IMDP("IR", data!$B75, data!Q$8, $D$6)=0,"",_xll.IMDP("IR", data!$B75, data!Q$8, $D$6)),
IF(_xll.IMDP("IR", data!$C75, data!Q$8, $D$6)=0,"",_xll.IMDP("IR", data!$C75, data!Q$8, $D$6)), data!Q75 ), "")</f>
        <v>3.552</v>
      </c>
      <c r="J74" s="33" cm="1">
        <f t="array" aca="1" ref="J74" ca="1">IFERROR( CHOOSE( data!$B$7,
IF(_xll.IMDP("IR", data!$B75, data!R$8, $D$6)=0,"",_xll.IMDP("IR", data!$B75, data!R$8, $D$6)),
IF(_xll.IMDP("IR", data!$C75, data!R$8, $D$6)=0,"",_xll.IMDP("IR", data!$C75, data!R$8, $D$6)), data!R75 ), "")</f>
        <v>3.5609999999999999</v>
      </c>
      <c r="K74" s="33" cm="1">
        <f t="array" aca="1" ref="K74" ca="1">IFERROR( CHOOSE( data!$B$7,
IF(_xll.IMDP("IR", data!$B75, data!S$8, $D$6)=0,"",_xll.IMDP("IR", data!$B75, data!S$8, $D$6)),
IF(_xll.IMDP("IR", data!$C75, data!S$8, $D$6)=0,"",_xll.IMDP("IR", data!$C75, data!S$8, $D$6)), data!S75 ), "")</f>
        <v>3.585</v>
      </c>
      <c r="L74" s="33" cm="1">
        <f t="array" aca="1" ref="L74" ca="1">IFERROR( CHOOSE( data!$B$7,
IF(_xll.IMDP("IR", data!$B75, data!T$8, $D$6)=0,"",_xll.IMDP("IR", data!$B75, data!T$8, $D$6)),
IF(_xll.IMDP("IR", data!$C75, data!T$8, $D$6)=0,"",_xll.IMDP("IR", data!$C75, data!T$8, $D$6)), data!T75 ), "")</f>
        <v>3.6110000000000002</v>
      </c>
      <c r="M74" s="33" cm="1">
        <f t="array" aca="1" ref="M74" ca="1">IFERROR( CHOOSE( data!$B$7,
IF(_xll.IMDP("IR", data!$B75, data!U$8, $D$6)=0,"",_xll.IMDP("IR", data!$B75, data!U$8, $D$6)),
IF(_xll.IMDP("IR", data!$C75, data!U$8, $D$6)=0,"",_xll.IMDP("IR", data!$C75, data!U$8, $D$6)), data!U75 ), "")</f>
        <v>3.625</v>
      </c>
      <c r="N74" s="33" cm="1">
        <f t="array" aca="1" ref="N74" ca="1">IFERROR( CHOOSE( data!$B$7,
IF(_xll.IMDP("IR", data!$B75, data!V$8, $D$6)=0,"",_xll.IMDP("IR", data!$B75, data!V$8, $D$6)),
IF(_xll.IMDP("IR", data!$C75, data!V$8, $D$6)=0,"",_xll.IMDP("IR", data!$C75, data!V$8, $D$6)), data!V75 ), "")</f>
        <v>3.6909999999999998</v>
      </c>
      <c r="O74" s="33" cm="1">
        <f t="array" aca="1" ref="O74" ca="1">IFERROR( CHOOSE( data!$B$7,
IF(_xll.IMDP("IR", data!$B75, data!W$8, $D$6)=0,"",_xll.IMDP("IR", data!$B75, data!W$8, $D$6)),
IF(_xll.IMDP("IR", data!$C75, data!W$8, $D$6)=0,"",_xll.IMDP("IR", data!$C75, data!W$8, $D$6)), data!W75 ), "")</f>
        <v>3.8690000000000002</v>
      </c>
      <c r="P74" s="33" cm="1">
        <f t="array" aca="1" ref="P74" ca="1">IFERROR( CHOOSE( data!$B$7,
IF(_xll.IMDP("IR", data!$B75, data!X$8, $D$6)=0,"",_xll.IMDP("IR", data!$B75, data!X$8, $D$6)),
IF(_xll.IMDP("IR", data!$C75, data!X$8, $D$6)=0,"",_xll.IMDP("IR", data!$C75, data!X$8, $D$6)), data!X75 ), "")</f>
        <v>4.5170000000000003</v>
      </c>
      <c r="Q74" s="33" cm="1">
        <f t="array" aca="1" ref="Q74" ca="1">IFERROR( CHOOSE( data!$B$7,
IF(_xll.IMDP("IR", data!$B75, data!Y$8, $D$6)=0,"",_xll.IMDP("IR", data!$B75, data!Y$8, $D$6)),
IF(_xll.IMDP("IR", data!$C75, data!Y$8, $D$6)=0,"",_xll.IMDP("IR", data!$C75, data!Y$8, $D$6)), data!Y75 ), "")</f>
        <v>5.0759999999999996</v>
      </c>
      <c r="R74" s="33" cm="1">
        <f t="array" aca="1" ref="R74" ca="1">IFERROR( CHOOSE( data!$B$7,
IF(_xll.IMDP("IR", data!$B75, data!Z$8, $D$6)=0,"",_xll.IMDP("IR", data!$B75, data!Z$8, $D$6)),
IF(_xll.IMDP("IR", data!$C75, data!Z$8, $D$6)=0,"",_xll.IMDP("IR", data!$C75, data!Z$8, $D$6)), data!Z75 ), "")</f>
        <v>5.2709999999999999</v>
      </c>
      <c r="S74" s="33" t="str" cm="1">
        <f t="array" aca="1" ref="S74" ca="1">IFERROR( CHOOSE( data!$B$7,
IF(_xll.IMDP("IR", data!$B75, data!AA$8, $D$6)=0,"",_xll.IMDP("IR", data!$B75, data!AA$8, $D$6)),
IF(_xll.IMDP("IR", data!$C75, data!AA$8, $D$6)=0,"",_xll.IMDP("IR", data!$C75, data!AA$8, $D$6)), data!AA75 ), "")</f>
        <v/>
      </c>
      <c r="T74" s="34" t="str" cm="1">
        <f t="array" aca="1" ref="T74" ca="1">IFERROR( CHOOSE( data!$B$7,
IF(_xll.IMDP("IR", data!$B75, data!AB$8, $D$6)=0,"",_xll.IMDP("IR", data!$B75, data!AB$8, $D$6)),
IF(_xll.IMDP("IR", data!$C75, data!AB$8, $D$6)=0,"",_xll.IMDP("IR", data!$C75, data!AB$8, $D$6)), data!AB75 ), "")</f>
        <v/>
      </c>
    </row>
    <row r="75" spans="2:20" s="4" customFormat="1" ht="12">
      <c r="B75" s="12"/>
      <c r="C75" s="67"/>
      <c r="D75" s="16" t="s">
        <v>30</v>
      </c>
      <c r="E75" s="32" cm="1">
        <f t="array" aca="1" ref="E75" ca="1">IFERROR( CHOOSE( data!$B$7,
IF(_xll.IMDP("IR", data!$B76, data!M$8, $D$6)=0,"",_xll.IMDP("IR", data!$B76, data!M$8, $D$6)),
IF(_xll.IMDP("IR", data!$C76, data!M$8, $D$6)=0,"",_xll.IMDP("IR", data!$C76, data!M$8, $D$6)), data!M76 ), "")</f>
        <v>3.57</v>
      </c>
      <c r="F75" s="33" cm="1">
        <f t="array" aca="1" ref="F75" ca="1">IFERROR( CHOOSE( data!$B$7,
IF(_xll.IMDP("IR", data!$B76, data!N$8, $D$6)=0,"",_xll.IMDP("IR", data!$B76, data!N$8, $D$6)),
IF(_xll.IMDP("IR", data!$C76, data!N$8, $D$6)=0,"",_xll.IMDP("IR", data!$C76, data!N$8, $D$6)), data!N76 ), "")</f>
        <v>3.6179999999999999</v>
      </c>
      <c r="G75" s="33" cm="1">
        <f t="array" aca="1" ref="G75" ca="1">IFERROR( CHOOSE( data!$B$7,
IF(_xll.IMDP("IR", data!$B76, data!O$8, $D$6)=0,"",_xll.IMDP("IR", data!$B76, data!O$8, $D$6)),
IF(_xll.IMDP("IR", data!$C76, data!O$8, $D$6)=0,"",_xll.IMDP("IR", data!$C76, data!O$8, $D$6)), data!O76 ), "")</f>
        <v>3.5859999999999999</v>
      </c>
      <c r="H75" s="33" cm="1">
        <f t="array" aca="1" ref="H75" ca="1">IFERROR( CHOOSE( data!$B$7,
IF(_xll.IMDP("IR", data!$B76, data!P$8, $D$6)=0,"",_xll.IMDP("IR", data!$B76, data!P$8, $D$6)),
IF(_xll.IMDP("IR", data!$C76, data!P$8, $D$6)=0,"",_xll.IMDP("IR", data!$C76, data!P$8, $D$6)), data!P76 ), "")</f>
        <v>3.5619999999999998</v>
      </c>
      <c r="I75" s="33" cm="1">
        <f t="array" aca="1" ref="I75" ca="1">IFERROR( CHOOSE( data!$B$7,
IF(_xll.IMDP("IR", data!$B76, data!Q$8, $D$6)=0,"",_xll.IMDP("IR", data!$B76, data!Q$8, $D$6)),
IF(_xll.IMDP("IR", data!$C76, data!Q$8, $D$6)=0,"",_xll.IMDP("IR", data!$C76, data!Q$8, $D$6)), data!Q76 ), "")</f>
        <v>3.6019999999999999</v>
      </c>
      <c r="J75" s="33" cm="1">
        <f t="array" aca="1" ref="J75" ca="1">IFERROR( CHOOSE( data!$B$7,
IF(_xll.IMDP("IR", data!$B76, data!R$8, $D$6)=0,"",_xll.IMDP("IR", data!$B76, data!R$8, $D$6)),
IF(_xll.IMDP("IR", data!$C76, data!R$8, $D$6)=0,"",_xll.IMDP("IR", data!$C76, data!R$8, $D$6)), data!R76 ), "")</f>
        <v>3.6150000000000002</v>
      </c>
      <c r="K75" s="33" cm="1">
        <f t="array" aca="1" ref="K75" ca="1">IFERROR( CHOOSE( data!$B$7,
IF(_xll.IMDP("IR", data!$B76, data!S$8, $D$6)=0,"",_xll.IMDP("IR", data!$B76, data!S$8, $D$6)),
IF(_xll.IMDP("IR", data!$C76, data!S$8, $D$6)=0,"",_xll.IMDP("IR", data!$C76, data!S$8, $D$6)), data!S76 ), "")</f>
        <v>3.6459999999999999</v>
      </c>
      <c r="L75" s="33" cm="1">
        <f t="array" aca="1" ref="L75" ca="1">IFERROR( CHOOSE( data!$B$7,
IF(_xll.IMDP("IR", data!$B76, data!T$8, $D$6)=0,"",_xll.IMDP("IR", data!$B76, data!T$8, $D$6)),
IF(_xll.IMDP("IR", data!$C76, data!T$8, $D$6)=0,"",_xll.IMDP("IR", data!$C76, data!T$8, $D$6)), data!T76 ), "")</f>
        <v>3.6840000000000002</v>
      </c>
      <c r="M75" s="33" cm="1">
        <f t="array" aca="1" ref="M75" ca="1">IFERROR( CHOOSE( data!$B$7,
IF(_xll.IMDP("IR", data!$B76, data!U$8, $D$6)=0,"",_xll.IMDP("IR", data!$B76, data!U$8, $D$6)),
IF(_xll.IMDP("IR", data!$C76, data!U$8, $D$6)=0,"",_xll.IMDP("IR", data!$C76, data!U$8, $D$6)), data!U76 ), "")</f>
        <v>3.7210000000000001</v>
      </c>
      <c r="N75" s="33" cm="1">
        <f t="array" aca="1" ref="N75" ca="1">IFERROR( CHOOSE( data!$B$7,
IF(_xll.IMDP("IR", data!$B76, data!V$8, $D$6)=0,"",_xll.IMDP("IR", data!$B76, data!V$8, $D$6)),
IF(_xll.IMDP("IR", data!$C76, data!V$8, $D$6)=0,"",_xll.IMDP("IR", data!$C76, data!V$8, $D$6)), data!V76 ), "")</f>
        <v>3.8239999999999998</v>
      </c>
      <c r="O75" s="33" cm="1">
        <f t="array" aca="1" ref="O75" ca="1">IFERROR( CHOOSE( data!$B$7,
IF(_xll.IMDP("IR", data!$B76, data!W$8, $D$6)=0,"",_xll.IMDP("IR", data!$B76, data!W$8, $D$6)),
IF(_xll.IMDP("IR", data!$C76, data!W$8, $D$6)=0,"",_xll.IMDP("IR", data!$C76, data!W$8, $D$6)), data!W76 ), "")</f>
        <v>4.1059999999999999</v>
      </c>
      <c r="P75" s="33" cm="1">
        <f t="array" aca="1" ref="P75" ca="1">IFERROR( CHOOSE( data!$B$7,
IF(_xll.IMDP("IR", data!$B76, data!X$8, $D$6)=0,"",_xll.IMDP("IR", data!$B76, data!X$8, $D$6)),
IF(_xll.IMDP("IR", data!$C76, data!X$8, $D$6)=0,"",_xll.IMDP("IR", data!$C76, data!X$8, $D$6)), data!X76 ), "")</f>
        <v>4.92</v>
      </c>
      <c r="Q75" s="33" cm="1">
        <f t="array" aca="1" ref="Q75" ca="1">IFERROR( CHOOSE( data!$B$7,
IF(_xll.IMDP("IR", data!$B76, data!Y$8, $D$6)=0,"",_xll.IMDP("IR", data!$B76, data!Y$8, $D$6)),
IF(_xll.IMDP("IR", data!$C76, data!Y$8, $D$6)=0,"",_xll.IMDP("IR", data!$C76, data!Y$8, $D$6)), data!Y76 ), "")</f>
        <v>5.569</v>
      </c>
      <c r="R75" s="33" cm="1">
        <f t="array" aca="1" ref="R75" ca="1">IFERROR( CHOOSE( data!$B$7,
IF(_xll.IMDP("IR", data!$B76, data!Z$8, $D$6)=0,"",_xll.IMDP("IR", data!$B76, data!Z$8, $D$6)),
IF(_xll.IMDP("IR", data!$C76, data!Z$8, $D$6)=0,"",_xll.IMDP("IR", data!$C76, data!Z$8, $D$6)), data!Z76 ), "")</f>
        <v>5.8259999999999996</v>
      </c>
      <c r="S75" s="33" t="str" cm="1">
        <f t="array" aca="1" ref="S75" ca="1">IFERROR( CHOOSE( data!$B$7,
IF(_xll.IMDP("IR", data!$B76, data!AA$8, $D$6)=0,"",_xll.IMDP("IR", data!$B76, data!AA$8, $D$6)),
IF(_xll.IMDP("IR", data!$C76, data!AA$8, $D$6)=0,"",_xll.IMDP("IR", data!$C76, data!AA$8, $D$6)), data!AA76 ), "")</f>
        <v/>
      </c>
      <c r="T75" s="34" t="str" cm="1">
        <f t="array" aca="1" ref="T75" ca="1">IFERROR( CHOOSE( data!$B$7,
IF(_xll.IMDP("IR", data!$B76, data!AB$8, $D$6)=0,"",_xll.IMDP("IR", data!$B76, data!AB$8, $D$6)),
IF(_xll.IMDP("IR", data!$C76, data!AB$8, $D$6)=0,"",_xll.IMDP("IR", data!$C76, data!AB$8, $D$6)), data!AB76 ), "")</f>
        <v/>
      </c>
    </row>
    <row r="76" spans="2:20" s="4" customFormat="1" ht="12">
      <c r="B76" s="12"/>
      <c r="C76" s="67"/>
      <c r="D76" s="16" t="s">
        <v>40</v>
      </c>
      <c r="E76" s="32" cm="1">
        <f t="array" aca="1" ref="E76" ca="1">IFERROR( CHOOSE( data!$B$7,
IF(_xll.IMDP("IR", data!$B77, data!M$8, $D$6)=0,"",_xll.IMDP("IR", data!$B77, data!M$8, $D$6)),
IF(_xll.IMDP("IR", data!$C77, data!M$8, $D$6)=0,"",_xll.IMDP("IR", data!$C77, data!M$8, $D$6)), data!M77 ), "")</f>
        <v>3.6869999999999998</v>
      </c>
      <c r="F76" s="33" cm="1">
        <f t="array" aca="1" ref="F76" ca="1">IFERROR( CHOOSE( data!$B$7,
IF(_xll.IMDP("IR", data!$B77, data!N$8, $D$6)=0,"",_xll.IMDP("IR", data!$B77, data!N$8, $D$6)),
IF(_xll.IMDP("IR", data!$C77, data!N$8, $D$6)=0,"",_xll.IMDP("IR", data!$C77, data!N$8, $D$6)), data!N77 ), "")</f>
        <v>3.8010000000000002</v>
      </c>
      <c r="G76" s="33" cm="1">
        <f t="array" aca="1" ref="G76" ca="1">IFERROR( CHOOSE( data!$B$7,
IF(_xll.IMDP("IR", data!$B77, data!O$8, $D$6)=0,"",_xll.IMDP("IR", data!$B77, data!O$8, $D$6)),
IF(_xll.IMDP("IR", data!$C77, data!O$8, $D$6)=0,"",_xll.IMDP("IR", data!$C77, data!O$8, $D$6)), data!O77 ), "")</f>
        <v>3.835</v>
      </c>
      <c r="H76" s="33" cm="1">
        <f t="array" aca="1" ref="H76" ca="1">IFERROR( CHOOSE( data!$B$7,
IF(_xll.IMDP("IR", data!$B77, data!P$8, $D$6)=0,"",_xll.IMDP("IR", data!$B77, data!P$8, $D$6)),
IF(_xll.IMDP("IR", data!$C77, data!P$8, $D$6)=0,"",_xll.IMDP("IR", data!$C77, data!P$8, $D$6)), data!P77 ), "")</f>
        <v>3.863</v>
      </c>
      <c r="I76" s="33" cm="1">
        <f t="array" aca="1" ref="I76" ca="1">IFERROR( CHOOSE( data!$B$7,
IF(_xll.IMDP("IR", data!$B77, data!Q$8, $D$6)=0,"",_xll.IMDP("IR", data!$B77, data!Q$8, $D$6)),
IF(_xll.IMDP("IR", data!$C77, data!Q$8, $D$6)=0,"",_xll.IMDP("IR", data!$C77, data!Q$8, $D$6)), data!Q77 ), "")</f>
        <v>3.956</v>
      </c>
      <c r="J76" s="33" cm="1">
        <f t="array" aca="1" ref="J76" ca="1">IFERROR( CHOOSE( data!$B$7,
IF(_xll.IMDP("IR", data!$B77, data!R$8, $D$6)=0,"",_xll.IMDP("IR", data!$B77, data!R$8, $D$6)),
IF(_xll.IMDP("IR", data!$C77, data!R$8, $D$6)=0,"",_xll.IMDP("IR", data!$C77, data!R$8, $D$6)), data!R77 ), "")</f>
        <v>4.0129999999999999</v>
      </c>
      <c r="K76" s="33" cm="1">
        <f t="array" aca="1" ref="K76" ca="1">IFERROR( CHOOSE( data!$B$7,
IF(_xll.IMDP("IR", data!$B77, data!S$8, $D$6)=0,"",_xll.IMDP("IR", data!$B77, data!S$8, $D$6)),
IF(_xll.IMDP("IR", data!$C77, data!S$8, $D$6)=0,"",_xll.IMDP("IR", data!$C77, data!S$8, $D$6)), data!S77 ), "")</f>
        <v>4.1210000000000004</v>
      </c>
      <c r="L76" s="33" cm="1">
        <f t="array" aca="1" ref="L76" ca="1">IFERROR( CHOOSE( data!$B$7,
IF(_xll.IMDP("IR", data!$B77, data!T$8, $D$6)=0,"",_xll.IMDP("IR", data!$B77, data!T$8, $D$6)),
IF(_xll.IMDP("IR", data!$C77, data!T$8, $D$6)=0,"",_xll.IMDP("IR", data!$C77, data!T$8, $D$6)), data!T77 ), "")</f>
        <v>4.1849999999999996</v>
      </c>
      <c r="M76" s="33" cm="1">
        <f t="array" aca="1" ref="M76" ca="1">IFERROR( CHOOSE( data!$B$7,
IF(_xll.IMDP("IR", data!$B77, data!U$8, $D$6)=0,"",_xll.IMDP("IR", data!$B77, data!U$8, $D$6)),
IF(_xll.IMDP("IR", data!$C77, data!U$8, $D$6)=0,"",_xll.IMDP("IR", data!$C77, data!U$8, $D$6)), data!U77 ), "")</f>
        <v>4.4409999999999998</v>
      </c>
      <c r="N76" s="33" cm="1">
        <f t="array" aca="1" ref="N76" ca="1">IFERROR( CHOOSE( data!$B$7,
IF(_xll.IMDP("IR", data!$B77, data!V$8, $D$6)=0,"",_xll.IMDP("IR", data!$B77, data!V$8, $D$6)),
IF(_xll.IMDP("IR", data!$C77, data!V$8, $D$6)=0,"",_xll.IMDP("IR", data!$C77, data!V$8, $D$6)), data!V77 ), "")</f>
        <v>4.6900000000000004</v>
      </c>
      <c r="O76" s="33" cm="1">
        <f t="array" aca="1" ref="O76" ca="1">IFERROR( CHOOSE( data!$B$7,
IF(_xll.IMDP("IR", data!$B77, data!W$8, $D$6)=0,"",_xll.IMDP("IR", data!$B77, data!W$8, $D$6)),
IF(_xll.IMDP("IR", data!$C77, data!W$8, $D$6)=0,"",_xll.IMDP("IR", data!$C77, data!W$8, $D$6)), data!W77 ), "")</f>
        <v>4.9290000000000003</v>
      </c>
      <c r="P76" s="33" cm="1">
        <f t="array" aca="1" ref="P76" ca="1">IFERROR( CHOOSE( data!$B$7,
IF(_xll.IMDP("IR", data!$B77, data!X$8, $D$6)=0,"",_xll.IMDP("IR", data!$B77, data!X$8, $D$6)),
IF(_xll.IMDP("IR", data!$C77, data!X$8, $D$6)=0,"",_xll.IMDP("IR", data!$C77, data!X$8, $D$6)), data!X77 ), "")</f>
        <v>5.6079999999999997</v>
      </c>
      <c r="Q76" s="33" cm="1">
        <f t="array" aca="1" ref="Q76" ca="1">IFERROR( CHOOSE( data!$B$7,
IF(_xll.IMDP("IR", data!$B77, data!Y$8, $D$6)=0,"",_xll.IMDP("IR", data!$B77, data!Y$8, $D$6)),
IF(_xll.IMDP("IR", data!$C77, data!Y$8, $D$6)=0,"",_xll.IMDP("IR", data!$C77, data!Y$8, $D$6)), data!Y77 ), "")</f>
        <v>6.1</v>
      </c>
      <c r="R76" s="33" cm="1">
        <f t="array" aca="1" ref="R76" ca="1">IFERROR( CHOOSE( data!$B$7,
IF(_xll.IMDP("IR", data!$B77, data!Z$8, $D$6)=0,"",_xll.IMDP("IR", data!$B77, data!Z$8, $D$6)),
IF(_xll.IMDP("IR", data!$C77, data!Z$8, $D$6)=0,"",_xll.IMDP("IR", data!$C77, data!Z$8, $D$6)), data!Z77 ), "")</f>
        <v>6.37</v>
      </c>
      <c r="S76" s="33" t="str" cm="1">
        <f t="array" aca="1" ref="S76" ca="1">IFERROR( CHOOSE( data!$B$7,
IF(_xll.IMDP("IR", data!$B77, data!AA$8, $D$6)=0,"",_xll.IMDP("IR", data!$B77, data!AA$8, $D$6)),
IF(_xll.IMDP("IR", data!$C77, data!AA$8, $D$6)=0,"",_xll.IMDP("IR", data!$C77, data!AA$8, $D$6)), data!AA77 ), "")</f>
        <v/>
      </c>
      <c r="T76" s="34" t="str" cm="1">
        <f t="array" aca="1" ref="T76" ca="1">IFERROR( CHOOSE( data!$B$7,
IF(_xll.IMDP("IR", data!$B77, data!AB$8, $D$6)=0,"",_xll.IMDP("IR", data!$B77, data!AB$8, $D$6)),
IF(_xll.IMDP("IR", data!$C77, data!AB$8, $D$6)=0,"",_xll.IMDP("IR", data!$C77, data!AB$8, $D$6)), data!AB77 ), "")</f>
        <v/>
      </c>
    </row>
    <row r="77" spans="2:20" s="4" customFormat="1" ht="12">
      <c r="B77" s="12"/>
      <c r="C77" s="67"/>
      <c r="D77" s="16" t="s">
        <v>41</v>
      </c>
      <c r="E77" s="32" cm="1">
        <f t="array" aca="1" ref="E77" ca="1">IFERROR( CHOOSE( data!$B$7,
IF(_xll.IMDP("IR", data!$B78, data!M$8, $D$6)=0,"",_xll.IMDP("IR", data!$B78, data!M$8, $D$6)),
IF(_xll.IMDP("IR", data!$C78, data!M$8, $D$6)=0,"",_xll.IMDP("IR", data!$C78, data!M$8, $D$6)), data!M78 ), "")</f>
        <v>3.8580000000000001</v>
      </c>
      <c r="F77" s="33" cm="1">
        <f t="array" aca="1" ref="F77" ca="1">IFERROR( CHOOSE( data!$B$7,
IF(_xll.IMDP("IR", data!$B78, data!N$8, $D$6)=0,"",_xll.IMDP("IR", data!$B78, data!N$8, $D$6)),
IF(_xll.IMDP("IR", data!$C78, data!N$8, $D$6)=0,"",_xll.IMDP("IR", data!$C78, data!N$8, $D$6)), data!N78 ), "")</f>
        <v>3.9889999999999999</v>
      </c>
      <c r="G77" s="33" cm="1">
        <f t="array" aca="1" ref="G77" ca="1">IFERROR( CHOOSE( data!$B$7,
IF(_xll.IMDP("IR", data!$B78, data!O$8, $D$6)=0,"",_xll.IMDP("IR", data!$B78, data!O$8, $D$6)),
IF(_xll.IMDP("IR", data!$C78, data!O$8, $D$6)=0,"",_xll.IMDP("IR", data!$C78, data!O$8, $D$6)), data!O78 ), "")</f>
        <v>4.0289999999999999</v>
      </c>
      <c r="H77" s="33" cm="1">
        <f t="array" aca="1" ref="H77" ca="1">IFERROR( CHOOSE( data!$B$7,
IF(_xll.IMDP("IR", data!$B78, data!P$8, $D$6)=0,"",_xll.IMDP("IR", data!$B78, data!P$8, $D$6)),
IF(_xll.IMDP("IR", data!$C78, data!P$8, $D$6)=0,"",_xll.IMDP("IR", data!$C78, data!P$8, $D$6)), data!P78 ), "")</f>
        <v>4.0650000000000004</v>
      </c>
      <c r="I77" s="33" cm="1">
        <f t="array" aca="1" ref="I77" ca="1">IFERROR( CHOOSE( data!$B$7,
IF(_xll.IMDP("IR", data!$B78, data!Q$8, $D$6)=0,"",_xll.IMDP("IR", data!$B78, data!Q$8, $D$6)),
IF(_xll.IMDP("IR", data!$C78, data!Q$8, $D$6)=0,"",_xll.IMDP("IR", data!$C78, data!Q$8, $D$6)), data!Q78 ), "")</f>
        <v>4.1520000000000001</v>
      </c>
      <c r="J77" s="33" cm="1">
        <f t="array" aca="1" ref="J77" ca="1">IFERROR( CHOOSE( data!$B$7,
IF(_xll.IMDP("IR", data!$B78, data!R$8, $D$6)=0,"",_xll.IMDP("IR", data!$B78, data!R$8, $D$6)),
IF(_xll.IMDP("IR", data!$C78, data!R$8, $D$6)=0,"",_xll.IMDP("IR", data!$C78, data!R$8, $D$6)), data!R78 ), "")</f>
        <v>4.2240000000000002</v>
      </c>
      <c r="K77" s="33" cm="1">
        <f t="array" aca="1" ref="K77" ca="1">IFERROR( CHOOSE( data!$B$7,
IF(_xll.IMDP("IR", data!$B78, data!S$8, $D$6)=0,"",_xll.IMDP("IR", data!$B78, data!S$8, $D$6)),
IF(_xll.IMDP("IR", data!$C78, data!S$8, $D$6)=0,"",_xll.IMDP("IR", data!$C78, data!S$8, $D$6)), data!S78 ), "")</f>
        <v>4.3440000000000003</v>
      </c>
      <c r="L77" s="33" cm="1">
        <f t="array" aca="1" ref="L77" ca="1">IFERROR( CHOOSE( data!$B$7,
IF(_xll.IMDP("IR", data!$B78, data!T$8, $D$6)=0,"",_xll.IMDP("IR", data!$B78, data!T$8, $D$6)),
IF(_xll.IMDP("IR", data!$C78, data!T$8, $D$6)=0,"",_xll.IMDP("IR", data!$C78, data!T$8, $D$6)), data!T78 ), "")</f>
        <v>4.4779999999999998</v>
      </c>
      <c r="M77" s="33" cm="1">
        <f t="array" aca="1" ref="M77" ca="1">IFERROR( CHOOSE( data!$B$7,
IF(_xll.IMDP("IR", data!$B78, data!U$8, $D$6)=0,"",_xll.IMDP("IR", data!$B78, data!U$8, $D$6)),
IF(_xll.IMDP("IR", data!$C78, data!U$8, $D$6)=0,"",_xll.IMDP("IR", data!$C78, data!U$8, $D$6)), data!U78 ), "")</f>
        <v>4.84</v>
      </c>
      <c r="N77" s="33" cm="1">
        <f t="array" aca="1" ref="N77" ca="1">IFERROR( CHOOSE( data!$B$7,
IF(_xll.IMDP("IR", data!$B78, data!V$8, $D$6)=0,"",_xll.IMDP("IR", data!$B78, data!V$8, $D$6)),
IF(_xll.IMDP("IR", data!$C78, data!V$8, $D$6)=0,"",_xll.IMDP("IR", data!$C78, data!V$8, $D$6)), data!V78 ), "")</f>
        <v>5.1539999999999999</v>
      </c>
      <c r="O77" s="33" cm="1">
        <f t="array" aca="1" ref="O77" ca="1">IFERROR( CHOOSE( data!$B$7,
IF(_xll.IMDP("IR", data!$B78, data!W$8, $D$6)=0,"",_xll.IMDP("IR", data!$B78, data!W$8, $D$6)),
IF(_xll.IMDP("IR", data!$C78, data!W$8, $D$6)=0,"",_xll.IMDP("IR", data!$C78, data!W$8, $D$6)), data!W78 ), "")</f>
        <v>5.4089999999999998</v>
      </c>
      <c r="P77" s="33" cm="1">
        <f t="array" aca="1" ref="P77" ca="1">IFERROR( CHOOSE( data!$B$7,
IF(_xll.IMDP("IR", data!$B78, data!X$8, $D$6)=0,"",_xll.IMDP("IR", data!$B78, data!X$8, $D$6)),
IF(_xll.IMDP("IR", data!$C78, data!X$8, $D$6)=0,"",_xll.IMDP("IR", data!$C78, data!X$8, $D$6)), data!X78 ), "")</f>
        <v>6.1130000000000004</v>
      </c>
      <c r="Q77" s="33" cm="1">
        <f t="array" aca="1" ref="Q77" ca="1">IFERROR( CHOOSE( data!$B$7,
IF(_xll.IMDP("IR", data!$B78, data!Y$8, $D$6)=0,"",_xll.IMDP("IR", data!$B78, data!Y$8, $D$6)),
IF(_xll.IMDP("IR", data!$C78, data!Y$8, $D$6)=0,"",_xll.IMDP("IR", data!$C78, data!Y$8, $D$6)), data!Y78 ), "")</f>
        <v>6.5490000000000004</v>
      </c>
      <c r="R77" s="33" cm="1">
        <f t="array" aca="1" ref="R77" ca="1">IFERROR( CHOOSE( data!$B$7,
IF(_xll.IMDP("IR", data!$B78, data!Z$8, $D$6)=0,"",_xll.IMDP("IR", data!$B78, data!Z$8, $D$6)),
IF(_xll.IMDP("IR", data!$C78, data!Z$8, $D$6)=0,"",_xll.IMDP("IR", data!$C78, data!Z$8, $D$6)), data!Z78 ), "")</f>
        <v>6.843</v>
      </c>
      <c r="S77" s="33" t="str" cm="1">
        <f t="array" aca="1" ref="S77" ca="1">IFERROR( CHOOSE( data!$B$7,
IF(_xll.IMDP("IR", data!$B78, data!AA$8, $D$6)=0,"",_xll.IMDP("IR", data!$B78, data!AA$8, $D$6)),
IF(_xll.IMDP("IR", data!$C78, data!AA$8, $D$6)=0,"",_xll.IMDP("IR", data!$C78, data!AA$8, $D$6)), data!AA78 ), "")</f>
        <v/>
      </c>
      <c r="T77" s="34" t="str" cm="1">
        <f t="array" aca="1" ref="T77" ca="1">IFERROR( CHOOSE( data!$B$7,
IF(_xll.IMDP("IR", data!$B78, data!AB$8, $D$6)=0,"",_xll.IMDP("IR", data!$B78, data!AB$8, $D$6)),
IF(_xll.IMDP("IR", data!$C78, data!AB$8, $D$6)=0,"",_xll.IMDP("IR", data!$C78, data!AB$8, $D$6)), data!AB78 ), "")</f>
        <v/>
      </c>
    </row>
    <row r="78" spans="2:20" s="4" customFormat="1" ht="12">
      <c r="B78" s="12"/>
      <c r="C78" s="67"/>
      <c r="D78" s="16" t="s">
        <v>42</v>
      </c>
      <c r="E78" s="32" cm="1">
        <f t="array" aca="1" ref="E78" ca="1">IFERROR( CHOOSE( data!$B$7,
IF(_xll.IMDP("IR", data!$B79, data!M$8, $D$6)=0,"",_xll.IMDP("IR", data!$B79, data!M$8, $D$6)),
IF(_xll.IMDP("IR", data!$C79, data!M$8, $D$6)=0,"",_xll.IMDP("IR", data!$C79, data!M$8, $D$6)), data!M79 ), "")</f>
        <v>4.1150000000000002</v>
      </c>
      <c r="F78" s="33" cm="1">
        <f t="array" aca="1" ref="F78" ca="1">IFERROR( CHOOSE( data!$B$7,
IF(_xll.IMDP("IR", data!$B79, data!N$8, $D$6)=0,"",_xll.IMDP("IR", data!$B79, data!N$8, $D$6)),
IF(_xll.IMDP("IR", data!$C79, data!N$8, $D$6)=0,"",_xll.IMDP("IR", data!$C79, data!N$8, $D$6)), data!N79 ), "")</f>
        <v>4.2610000000000001</v>
      </c>
      <c r="G78" s="33" cm="1">
        <f t="array" aca="1" ref="G78" ca="1">IFERROR( CHOOSE( data!$B$7,
IF(_xll.IMDP("IR", data!$B79, data!O$8, $D$6)=0,"",_xll.IMDP("IR", data!$B79, data!O$8, $D$6)),
IF(_xll.IMDP("IR", data!$C79, data!O$8, $D$6)=0,"",_xll.IMDP("IR", data!$C79, data!O$8, $D$6)), data!O79 ), "")</f>
        <v>4.33</v>
      </c>
      <c r="H78" s="33" cm="1">
        <f t="array" aca="1" ref="H78" ca="1">IFERROR( CHOOSE( data!$B$7,
IF(_xll.IMDP("IR", data!$B79, data!P$8, $D$6)=0,"",_xll.IMDP("IR", data!$B79, data!P$8, $D$6)),
IF(_xll.IMDP("IR", data!$C79, data!P$8, $D$6)=0,"",_xll.IMDP("IR", data!$C79, data!P$8, $D$6)), data!P79 ), "")</f>
        <v>4.3739999999999997</v>
      </c>
      <c r="I78" s="33" cm="1">
        <f t="array" aca="1" ref="I78" ca="1">IFERROR( CHOOSE( data!$B$7,
IF(_xll.IMDP("IR", data!$B79, data!Q$8, $D$6)=0,"",_xll.IMDP("IR", data!$B79, data!Q$8, $D$6)),
IF(_xll.IMDP("IR", data!$C79, data!Q$8, $D$6)=0,"",_xll.IMDP("IR", data!$C79, data!Q$8, $D$6)), data!Q79 ), "")</f>
        <v>4.4820000000000002</v>
      </c>
      <c r="J78" s="33" cm="1">
        <f t="array" aca="1" ref="J78" ca="1">IFERROR( CHOOSE( data!$B$7,
IF(_xll.IMDP("IR", data!$B79, data!R$8, $D$6)=0,"",_xll.IMDP("IR", data!$B79, data!R$8, $D$6)),
IF(_xll.IMDP("IR", data!$C79, data!R$8, $D$6)=0,"",_xll.IMDP("IR", data!$C79, data!R$8, $D$6)), data!R79 ), "")</f>
        <v>4.5839999999999996</v>
      </c>
      <c r="K78" s="33" cm="1">
        <f t="array" aca="1" ref="K78" ca="1">IFERROR( CHOOSE( data!$B$7,
IF(_xll.IMDP("IR", data!$B79, data!S$8, $D$6)=0,"",_xll.IMDP("IR", data!$B79, data!S$8, $D$6)),
IF(_xll.IMDP("IR", data!$C79, data!S$8, $D$6)=0,"",_xll.IMDP("IR", data!$C79, data!S$8, $D$6)), data!S79 ), "")</f>
        <v>4.7640000000000002</v>
      </c>
      <c r="L78" s="33" cm="1">
        <f t="array" aca="1" ref="L78" ca="1">IFERROR( CHOOSE( data!$B$7,
IF(_xll.IMDP("IR", data!$B79, data!T$8, $D$6)=0,"",_xll.IMDP("IR", data!$B79, data!T$8, $D$6)),
IF(_xll.IMDP("IR", data!$C79, data!T$8, $D$6)=0,"",_xll.IMDP("IR", data!$C79, data!T$8, $D$6)), data!T79 ), "")</f>
        <v>4.9560000000000004</v>
      </c>
      <c r="M78" s="33" cm="1">
        <f t="array" aca="1" ref="M78" ca="1">IFERROR( CHOOSE( data!$B$7,
IF(_xll.IMDP("IR", data!$B79, data!U$8, $D$6)=0,"",_xll.IMDP("IR", data!$B79, data!U$8, $D$6)),
IF(_xll.IMDP("IR", data!$C79, data!U$8, $D$6)=0,"",_xll.IMDP("IR", data!$C79, data!U$8, $D$6)), data!U79 ), "")</f>
        <v>5.3650000000000002</v>
      </c>
      <c r="N78" s="33" cm="1">
        <f t="array" aca="1" ref="N78" ca="1">IFERROR( CHOOSE( data!$B$7,
IF(_xll.IMDP("IR", data!$B79, data!V$8, $D$6)=0,"",_xll.IMDP("IR", data!$B79, data!V$8, $D$6)),
IF(_xll.IMDP("IR", data!$C79, data!V$8, $D$6)=0,"",_xll.IMDP("IR", data!$C79, data!V$8, $D$6)), data!V79 ), "")</f>
        <v>5.7809999999999997</v>
      </c>
      <c r="O78" s="33" cm="1">
        <f t="array" aca="1" ref="O78" ca="1">IFERROR( CHOOSE( data!$B$7,
IF(_xll.IMDP("IR", data!$B79, data!W$8, $D$6)=0,"",_xll.IMDP("IR", data!$B79, data!W$8, $D$6)),
IF(_xll.IMDP("IR", data!$C79, data!W$8, $D$6)=0,"",_xll.IMDP("IR", data!$C79, data!W$8, $D$6)), data!W79 ), "")</f>
        <v>5.9770000000000003</v>
      </c>
      <c r="P78" s="33" cm="1">
        <f t="array" aca="1" ref="P78" ca="1">IFERROR( CHOOSE( data!$B$7,
IF(_xll.IMDP("IR", data!$B79, data!X$8, $D$6)=0,"",_xll.IMDP("IR", data!$B79, data!X$8, $D$6)),
IF(_xll.IMDP("IR", data!$C79, data!X$8, $D$6)=0,"",_xll.IMDP("IR", data!$C79, data!X$8, $D$6)), data!X79 ), "")</f>
        <v>6.649</v>
      </c>
      <c r="Q78" s="33" cm="1">
        <f t="array" aca="1" ref="Q78" ca="1">IFERROR( CHOOSE( data!$B$7,
IF(_xll.IMDP("IR", data!$B79, data!Y$8, $D$6)=0,"",_xll.IMDP("IR", data!$B79, data!Y$8, $D$6)),
IF(_xll.IMDP("IR", data!$C79, data!Y$8, $D$6)=0,"",_xll.IMDP("IR", data!$C79, data!Y$8, $D$6)), data!Y79 ), "")</f>
        <v>7.0720000000000001</v>
      </c>
      <c r="R78" s="33" cm="1">
        <f t="array" aca="1" ref="R78" ca="1">IFERROR( CHOOSE( data!$B$7,
IF(_xll.IMDP("IR", data!$B79, data!Z$8, $D$6)=0,"",_xll.IMDP("IR", data!$B79, data!Z$8, $D$6)),
IF(_xll.IMDP("IR", data!$C79, data!Z$8, $D$6)=0,"",_xll.IMDP("IR", data!$C79, data!Z$8, $D$6)), data!Z79 ), "")</f>
        <v>7.4269999999999996</v>
      </c>
      <c r="S78" s="33" t="str" cm="1">
        <f t="array" aca="1" ref="S78" ca="1">IFERROR( CHOOSE( data!$B$7,
IF(_xll.IMDP("IR", data!$B79, data!AA$8, $D$6)=0,"",_xll.IMDP("IR", data!$B79, data!AA$8, $D$6)),
IF(_xll.IMDP("IR", data!$C79, data!AA$8, $D$6)=0,"",_xll.IMDP("IR", data!$C79, data!AA$8, $D$6)), data!AA79 ), "")</f>
        <v/>
      </c>
      <c r="T78" s="34" t="str" cm="1">
        <f t="array" aca="1" ref="T78" ca="1">IFERROR( CHOOSE( data!$B$7,
IF(_xll.IMDP("IR", data!$B79, data!AB$8, $D$6)=0,"",_xll.IMDP("IR", data!$B79, data!AB$8, $D$6)),
IF(_xll.IMDP("IR", data!$C79, data!AB$8, $D$6)=0,"",_xll.IMDP("IR", data!$C79, data!AB$8, $D$6)), data!AB79 ), "")</f>
        <v/>
      </c>
    </row>
    <row r="79" spans="2:20" s="4" customFormat="1" ht="12">
      <c r="B79" s="12"/>
      <c r="C79" s="67"/>
      <c r="D79" s="16" t="s">
        <v>44</v>
      </c>
      <c r="E79" s="32" cm="1">
        <f t="array" aca="1" ref="E79" ca="1">IFERROR( CHOOSE( data!$B$7,
IF(_xll.IMDP("IR", data!$B80, data!M$8, $D$6)=0,"",_xll.IMDP("IR", data!$B80, data!M$8, $D$6)),
IF(_xll.IMDP("IR", data!$C80, data!M$8, $D$6)=0,"",_xll.IMDP("IR", data!$C80, data!M$8, $D$6)), data!M80 ), "")</f>
        <v>4.7350000000000003</v>
      </c>
      <c r="F79" s="33" cm="1">
        <f t="array" aca="1" ref="F79" ca="1">IFERROR( CHOOSE( data!$B$7,
IF(_xll.IMDP("IR", data!$B80, data!N$8, $D$6)=0,"",_xll.IMDP("IR", data!$B80, data!N$8, $D$6)),
IF(_xll.IMDP("IR", data!$C80, data!N$8, $D$6)=0,"",_xll.IMDP("IR", data!$C80, data!N$8, $D$6)), data!N80 ), "")</f>
        <v>5.1950000000000003</v>
      </c>
      <c r="G79" s="33" cm="1">
        <f t="array" aca="1" ref="G79" ca="1">IFERROR( CHOOSE( data!$B$7,
IF(_xll.IMDP("IR", data!$B80, data!O$8, $D$6)=0,"",_xll.IMDP("IR", data!$B80, data!O$8, $D$6)),
IF(_xll.IMDP("IR", data!$C80, data!O$8, $D$6)=0,"",_xll.IMDP("IR", data!$C80, data!O$8, $D$6)), data!O80 ), "")</f>
        <v>5.6289999999999996</v>
      </c>
      <c r="H79" s="33" cm="1">
        <f t="array" aca="1" ref="H79" ca="1">IFERROR( CHOOSE( data!$B$7,
IF(_xll.IMDP("IR", data!$B80, data!P$8, $D$6)=0,"",_xll.IMDP("IR", data!$B80, data!P$8, $D$6)),
IF(_xll.IMDP("IR", data!$C80, data!P$8, $D$6)=0,"",_xll.IMDP("IR", data!$C80, data!P$8, $D$6)), data!P80 ), "")</f>
        <v>5.8449999999999998</v>
      </c>
      <c r="I79" s="33" cm="1">
        <f t="array" aca="1" ref="I79" ca="1">IFERROR( CHOOSE( data!$B$7,
IF(_xll.IMDP("IR", data!$B80, data!Q$8, $D$6)=0,"",_xll.IMDP("IR", data!$B80, data!Q$8, $D$6)),
IF(_xll.IMDP("IR", data!$C80, data!Q$8, $D$6)=0,"",_xll.IMDP("IR", data!$C80, data!Q$8, $D$6)), data!Q80 ), "")</f>
        <v>6.2850000000000001</v>
      </c>
      <c r="J79" s="33" cm="1">
        <f t="array" aca="1" ref="J79" ca="1">IFERROR( CHOOSE( data!$B$7,
IF(_xll.IMDP("IR", data!$B80, data!R$8, $D$6)=0,"",_xll.IMDP("IR", data!$B80, data!R$8, $D$6)),
IF(_xll.IMDP("IR", data!$C80, data!R$8, $D$6)=0,"",_xll.IMDP("IR", data!$C80, data!R$8, $D$6)), data!R80 ), "")</f>
        <v>6.8280000000000003</v>
      </c>
      <c r="K79" s="33" cm="1">
        <f t="array" aca="1" ref="K79" ca="1">IFERROR( CHOOSE( data!$B$7,
IF(_xll.IMDP("IR", data!$B80, data!S$8, $D$6)=0,"",_xll.IMDP("IR", data!$B80, data!S$8, $D$6)),
IF(_xll.IMDP("IR", data!$C80, data!S$8, $D$6)=0,"",_xll.IMDP("IR", data!$C80, data!S$8, $D$6)), data!S80 ), "")</f>
        <v>7.2279999999999998</v>
      </c>
      <c r="L79" s="33" cm="1">
        <f t="array" aca="1" ref="L79" ca="1">IFERROR( CHOOSE( data!$B$7,
IF(_xll.IMDP("IR", data!$B80, data!T$8, $D$6)=0,"",_xll.IMDP("IR", data!$B80, data!T$8, $D$6)),
IF(_xll.IMDP("IR", data!$C80, data!T$8, $D$6)=0,"",_xll.IMDP("IR", data!$C80, data!T$8, $D$6)), data!T80 ), "")</f>
        <v>7.5190000000000001</v>
      </c>
      <c r="M79" s="33" cm="1">
        <f t="array" aca="1" ref="M79" ca="1">IFERROR( CHOOSE( data!$B$7,
IF(_xll.IMDP("IR", data!$B80, data!U$8, $D$6)=0,"",_xll.IMDP("IR", data!$B80, data!U$8, $D$6)),
IF(_xll.IMDP("IR", data!$C80, data!U$8, $D$6)=0,"",_xll.IMDP("IR", data!$C80, data!U$8, $D$6)), data!U80 ), "")</f>
        <v>7.7539999999999996</v>
      </c>
      <c r="N79" s="33" cm="1">
        <f t="array" aca="1" ref="N79" ca="1">IFERROR( CHOOSE( data!$B$7,
IF(_xll.IMDP("IR", data!$B80, data!V$8, $D$6)=0,"",_xll.IMDP("IR", data!$B80, data!V$8, $D$6)),
IF(_xll.IMDP("IR", data!$C80, data!V$8, $D$6)=0,"",_xll.IMDP("IR", data!$C80, data!V$8, $D$6)), data!V80 ), "")</f>
        <v>7.8689999999999998</v>
      </c>
      <c r="O79" s="33" cm="1">
        <f t="array" aca="1" ref="O79" ca="1">IFERROR( CHOOSE( data!$B$7,
IF(_xll.IMDP("IR", data!$B80, data!W$8, $D$6)=0,"",_xll.IMDP("IR", data!$B80, data!W$8, $D$6)),
IF(_xll.IMDP("IR", data!$C80, data!W$8, $D$6)=0,"",_xll.IMDP("IR", data!$C80, data!W$8, $D$6)), data!W80 ), "")</f>
        <v>7.9560000000000004</v>
      </c>
      <c r="P79" s="33" cm="1">
        <f t="array" aca="1" ref="P79" ca="1">IFERROR( CHOOSE( data!$B$7,
IF(_xll.IMDP("IR", data!$B80, data!X$8, $D$6)=0,"",_xll.IMDP("IR", data!$B80, data!X$8, $D$6)),
IF(_xll.IMDP("IR", data!$C80, data!X$8, $D$6)=0,"",_xll.IMDP("IR", data!$C80, data!X$8, $D$6)), data!X80 ), "")</f>
        <v>8.3049999999999997</v>
      </c>
      <c r="Q79" s="33" cm="1">
        <f t="array" aca="1" ref="Q79" ca="1">IFERROR( CHOOSE( data!$B$7,
IF(_xll.IMDP("IR", data!$B80, data!Y$8, $D$6)=0,"",_xll.IMDP("IR", data!$B80, data!Y$8, $D$6)),
IF(_xll.IMDP("IR", data!$C80, data!Y$8, $D$6)=0,"",_xll.IMDP("IR", data!$C80, data!Y$8, $D$6)), data!Y80 ), "")</f>
        <v>8.6679999999999993</v>
      </c>
      <c r="R79" s="33" cm="1">
        <f t="array" aca="1" ref="R79" ca="1">IFERROR( CHOOSE( data!$B$7,
IF(_xll.IMDP("IR", data!$B80, data!Z$8, $D$6)=0,"",_xll.IMDP("IR", data!$B80, data!Z$8, $D$6)),
IF(_xll.IMDP("IR", data!$C80, data!Z$8, $D$6)=0,"",_xll.IMDP("IR", data!$C80, data!Z$8, $D$6)), data!Z80 ), "")</f>
        <v>8.98</v>
      </c>
      <c r="S79" s="33" t="str" cm="1">
        <f t="array" aca="1" ref="S79" ca="1">IFERROR( CHOOSE( data!$B$7,
IF(_xll.IMDP("IR", data!$B80, data!AA$8, $D$6)=0,"",_xll.IMDP("IR", data!$B80, data!AA$8, $D$6)),
IF(_xll.IMDP("IR", data!$C80, data!AA$8, $D$6)=0,"",_xll.IMDP("IR", data!$C80, data!AA$8, $D$6)), data!AA80 ), "")</f>
        <v/>
      </c>
      <c r="T79" s="34" t="str" cm="1">
        <f t="array" aca="1" ref="T79" ca="1">IFERROR( CHOOSE( data!$B$7,
IF(_xll.IMDP("IR", data!$B80, data!AB$8, $D$6)=0,"",_xll.IMDP("IR", data!$B80, data!AB$8, $D$6)),
IF(_xll.IMDP("IR", data!$C80, data!AB$8, $D$6)=0,"",_xll.IMDP("IR", data!$C80, data!AB$8, $D$6)), data!AB80 ), "")</f>
        <v/>
      </c>
    </row>
    <row r="80" spans="2:20" s="4" customFormat="1" ht="12">
      <c r="B80" s="12"/>
      <c r="C80" s="67"/>
      <c r="D80" s="16" t="s">
        <v>45</v>
      </c>
      <c r="E80" s="32" cm="1">
        <f t="array" aca="1" ref="E80" ca="1">IFERROR( CHOOSE( data!$B$7,
IF(_xll.IMDP("IR", data!$B81, data!M$8, $D$6)=0,"",_xll.IMDP("IR", data!$B81, data!M$8, $D$6)),
IF(_xll.IMDP("IR", data!$C81, data!M$8, $D$6)=0,"",_xll.IMDP("IR", data!$C81, data!M$8, $D$6)), data!M81 ), "")</f>
        <v>5.1280000000000001</v>
      </c>
      <c r="F80" s="33" cm="1">
        <f t="array" aca="1" ref="F80" ca="1">IFERROR( CHOOSE( data!$B$7,
IF(_xll.IMDP("IR", data!$B81, data!N$8, $D$6)=0,"",_xll.IMDP("IR", data!$B81, data!N$8, $D$6)),
IF(_xll.IMDP("IR", data!$C81, data!N$8, $D$6)=0,"",_xll.IMDP("IR", data!$C81, data!N$8, $D$6)), data!N81 ), "")</f>
        <v>5.7320000000000002</v>
      </c>
      <c r="G80" s="33" cm="1">
        <f t="array" aca="1" ref="G80" ca="1">IFERROR( CHOOSE( data!$B$7,
IF(_xll.IMDP("IR", data!$B81, data!O$8, $D$6)=0,"",_xll.IMDP("IR", data!$B81, data!O$8, $D$6)),
IF(_xll.IMDP("IR", data!$C81, data!O$8, $D$6)=0,"",_xll.IMDP("IR", data!$C81, data!O$8, $D$6)), data!O81 ), "")</f>
        <v>6.2270000000000003</v>
      </c>
      <c r="H80" s="33" cm="1">
        <f t="array" aca="1" ref="H80" ca="1">IFERROR( CHOOSE( data!$B$7,
IF(_xll.IMDP("IR", data!$B81, data!P$8, $D$6)=0,"",_xll.IMDP("IR", data!$B81, data!P$8, $D$6)),
IF(_xll.IMDP("IR", data!$C81, data!P$8, $D$6)=0,"",_xll.IMDP("IR", data!$C81, data!P$8, $D$6)), data!P81 ), "")</f>
        <v>6.58</v>
      </c>
      <c r="I80" s="33" cm="1">
        <f t="array" aca="1" ref="I80" ca="1">IFERROR( CHOOSE( data!$B$7,
IF(_xll.IMDP("IR", data!$B81, data!Q$8, $D$6)=0,"",_xll.IMDP("IR", data!$B81, data!Q$8, $D$6)),
IF(_xll.IMDP("IR", data!$C81, data!Q$8, $D$6)=0,"",_xll.IMDP("IR", data!$C81, data!Q$8, $D$6)), data!Q81 ), "")</f>
        <v>7.1230000000000002</v>
      </c>
      <c r="J80" s="33" cm="1">
        <f t="array" aca="1" ref="J80" ca="1">IFERROR( CHOOSE( data!$B$7,
IF(_xll.IMDP("IR", data!$B81, data!R$8, $D$6)=0,"",_xll.IMDP("IR", data!$B81, data!R$8, $D$6)),
IF(_xll.IMDP("IR", data!$C81, data!R$8, $D$6)=0,"",_xll.IMDP("IR", data!$C81, data!R$8, $D$6)), data!R81 ), "")</f>
        <v>7.8339999999999996</v>
      </c>
      <c r="K80" s="33" cm="1">
        <f t="array" aca="1" ref="K80" ca="1">IFERROR( CHOOSE( data!$B$7,
IF(_xll.IMDP("IR", data!$B81, data!S$8, $D$6)=0,"",_xll.IMDP("IR", data!$B81, data!S$8, $D$6)),
IF(_xll.IMDP("IR", data!$C81, data!S$8, $D$6)=0,"",_xll.IMDP("IR", data!$C81, data!S$8, $D$6)), data!S81 ), "")</f>
        <v>8.3010000000000002</v>
      </c>
      <c r="L80" s="33" cm="1">
        <f t="array" aca="1" ref="L80" ca="1">IFERROR( CHOOSE( data!$B$7,
IF(_xll.IMDP("IR", data!$B81, data!T$8, $D$6)=0,"",_xll.IMDP("IR", data!$B81, data!T$8, $D$6)),
IF(_xll.IMDP("IR", data!$C81, data!T$8, $D$6)=0,"",_xll.IMDP("IR", data!$C81, data!T$8, $D$6)), data!T81 ), "")</f>
        <v>8.6270000000000007</v>
      </c>
      <c r="M80" s="33" cm="1">
        <f t="array" aca="1" ref="M80" ca="1">IFERROR( CHOOSE( data!$B$7,
IF(_xll.IMDP("IR", data!$B81, data!U$8, $D$6)=0,"",_xll.IMDP("IR", data!$B81, data!U$8, $D$6)),
IF(_xll.IMDP("IR", data!$C81, data!U$8, $D$6)=0,"",_xll.IMDP("IR", data!$C81, data!U$8, $D$6)), data!U81 ), "")</f>
        <v>8.8859999999999992</v>
      </c>
      <c r="N80" s="33" cm="1">
        <f t="array" aca="1" ref="N80" ca="1">IFERROR( CHOOSE( data!$B$7,
IF(_xll.IMDP("IR", data!$B81, data!V$8, $D$6)=0,"",_xll.IMDP("IR", data!$B81, data!V$8, $D$6)),
IF(_xll.IMDP("IR", data!$C81, data!V$8, $D$6)=0,"",_xll.IMDP("IR", data!$C81, data!V$8, $D$6)), data!V81 ), "")</f>
        <v>8.9949999999999992</v>
      </c>
      <c r="O80" s="33" cm="1">
        <f t="array" aca="1" ref="O80" ca="1">IFERROR( CHOOSE( data!$B$7,
IF(_xll.IMDP("IR", data!$B81, data!W$8, $D$6)=0,"",_xll.IMDP("IR", data!$B81, data!W$8, $D$6)),
IF(_xll.IMDP("IR", data!$C81, data!W$8, $D$6)=0,"",_xll.IMDP("IR", data!$C81, data!W$8, $D$6)), data!W81 ), "")</f>
        <v>9.0990000000000002</v>
      </c>
      <c r="P80" s="33" cm="1">
        <f t="array" aca="1" ref="P80" ca="1">IFERROR( CHOOSE( data!$B$7,
IF(_xll.IMDP("IR", data!$B81, data!X$8, $D$6)=0,"",_xll.IMDP("IR", data!$B81, data!X$8, $D$6)),
IF(_xll.IMDP("IR", data!$C81, data!X$8, $D$6)=0,"",_xll.IMDP("IR", data!$C81, data!X$8, $D$6)), data!X81 ), "")</f>
        <v>9.4819999999999993</v>
      </c>
      <c r="Q80" s="33" cm="1">
        <f t="array" aca="1" ref="Q80" ca="1">IFERROR( CHOOSE( data!$B$7,
IF(_xll.IMDP("IR", data!$B81, data!Y$8, $D$6)=0,"",_xll.IMDP("IR", data!$B81, data!Y$8, $D$6)),
IF(_xll.IMDP("IR", data!$C81, data!Y$8, $D$6)=0,"",_xll.IMDP("IR", data!$C81, data!Y$8, $D$6)), data!Y81 ), "")</f>
        <v>9.8670000000000009</v>
      </c>
      <c r="R80" s="33" cm="1">
        <f t="array" aca="1" ref="R80" ca="1">IFERROR( CHOOSE( data!$B$7,
IF(_xll.IMDP("IR", data!$B81, data!Z$8, $D$6)=0,"",_xll.IMDP("IR", data!$B81, data!Z$8, $D$6)),
IF(_xll.IMDP("IR", data!$C81, data!Z$8, $D$6)=0,"",_xll.IMDP("IR", data!$C81, data!Z$8, $D$6)), data!Z81 ), "")</f>
        <v>10.211</v>
      </c>
      <c r="S80" s="33" t="str" cm="1">
        <f t="array" aca="1" ref="S80" ca="1">IFERROR( CHOOSE( data!$B$7,
IF(_xll.IMDP("IR", data!$B81, data!AA$8, $D$6)=0,"",_xll.IMDP("IR", data!$B81, data!AA$8, $D$6)),
IF(_xll.IMDP("IR", data!$C81, data!AA$8, $D$6)=0,"",_xll.IMDP("IR", data!$C81, data!AA$8, $D$6)), data!AA81 ), "")</f>
        <v/>
      </c>
      <c r="T80" s="34" t="str" cm="1">
        <f t="array" aca="1" ref="T80" ca="1">IFERROR( CHOOSE( data!$B$7,
IF(_xll.IMDP("IR", data!$B81, data!AB$8, $D$6)=0,"",_xll.IMDP("IR", data!$B81, data!AB$8, $D$6)),
IF(_xll.IMDP("IR", data!$C81, data!AB$8, $D$6)=0,"",_xll.IMDP("IR", data!$C81, data!AB$8, $D$6)), data!AB81 ), "")</f>
        <v/>
      </c>
    </row>
    <row r="81" spans="2:20" s="4" customFormat="1" ht="12.75" thickBot="1">
      <c r="B81" s="13"/>
      <c r="C81" s="66"/>
      <c r="D81" s="17" t="s">
        <v>46</v>
      </c>
      <c r="E81" s="35" cm="1">
        <f t="array" aca="1" ref="E81" ca="1">IFERROR( CHOOSE( data!$B$7,
IF(_xll.IMDP("IR", data!$B82, data!M$8, $D$6)=0,"",_xll.IMDP("IR", data!$B82, data!M$8, $D$6)),
IF(_xll.IMDP("IR", data!$C82, data!M$8, $D$6)=0,"",_xll.IMDP("IR", data!$C82, data!M$8, $D$6)), data!M82 ), "")</f>
        <v>6.0979999999999999</v>
      </c>
      <c r="F81" s="36" cm="1">
        <f t="array" aca="1" ref="F81" ca="1">IFERROR( CHOOSE( data!$B$7,
IF(_xll.IMDP("IR", data!$B82, data!N$8, $D$6)=0,"",_xll.IMDP("IR", data!$B82, data!N$8, $D$6)),
IF(_xll.IMDP("IR", data!$C82, data!N$8, $D$6)=0,"",_xll.IMDP("IR", data!$C82, data!N$8, $D$6)), data!N82 ), "")</f>
        <v>6.8010000000000002</v>
      </c>
      <c r="G81" s="36" cm="1">
        <f t="array" aca="1" ref="G81" ca="1">IFERROR( CHOOSE( data!$B$7,
IF(_xll.IMDP("IR", data!$B82, data!O$8, $D$6)=0,"",_xll.IMDP("IR", data!$B82, data!O$8, $D$6)),
IF(_xll.IMDP("IR", data!$C82, data!O$8, $D$6)=0,"",_xll.IMDP("IR", data!$C82, data!O$8, $D$6)), data!O82 ), "")</f>
        <v>7.4349999999999996</v>
      </c>
      <c r="H81" s="36" cm="1">
        <f t="array" aca="1" ref="H81" ca="1">IFERROR( CHOOSE( data!$B$7,
IF(_xll.IMDP("IR", data!$B82, data!P$8, $D$6)=0,"",_xll.IMDP("IR", data!$B82, data!P$8, $D$6)),
IF(_xll.IMDP("IR", data!$C82, data!P$8, $D$6)=0,"",_xll.IMDP("IR", data!$C82, data!P$8, $D$6)), data!P82 ), "")</f>
        <v>7.84</v>
      </c>
      <c r="I81" s="36" cm="1">
        <f t="array" aca="1" ref="I81" ca="1">IFERROR( CHOOSE( data!$B$7,
IF(_xll.IMDP("IR", data!$B82, data!Q$8, $D$6)=0,"",_xll.IMDP("IR", data!$B82, data!Q$8, $D$6)),
IF(_xll.IMDP("IR", data!$C82, data!Q$8, $D$6)=0,"",_xll.IMDP("IR", data!$C82, data!Q$8, $D$6)), data!Q82 ), "")</f>
        <v>8.5660000000000007</v>
      </c>
      <c r="J81" s="36" cm="1">
        <f t="array" aca="1" ref="J81" ca="1">IFERROR( CHOOSE( data!$B$7,
IF(_xll.IMDP("IR", data!$B82, data!R$8, $D$6)=0,"",_xll.IMDP("IR", data!$B82, data!R$8, $D$6)),
IF(_xll.IMDP("IR", data!$C82, data!R$8, $D$6)=0,"",_xll.IMDP("IR", data!$C82, data!R$8, $D$6)), data!R82 ), "")</f>
        <v>9.3040000000000003</v>
      </c>
      <c r="K81" s="36" cm="1">
        <f t="array" aca="1" ref="K81" ca="1">IFERROR( CHOOSE( data!$B$7,
IF(_xll.IMDP("IR", data!$B82, data!S$8, $D$6)=0,"",_xll.IMDP("IR", data!$B82, data!S$8, $D$6)),
IF(_xll.IMDP("IR", data!$C82, data!S$8, $D$6)=0,"",_xll.IMDP("IR", data!$C82, data!S$8, $D$6)), data!S82 ), "")</f>
        <v>9.8539999999999992</v>
      </c>
      <c r="L81" s="36" cm="1">
        <f t="array" aca="1" ref="L81" ca="1">IFERROR( CHOOSE( data!$B$7,
IF(_xll.IMDP("IR", data!$B82, data!T$8, $D$6)=0,"",_xll.IMDP("IR", data!$B82, data!T$8, $D$6)),
IF(_xll.IMDP("IR", data!$C82, data!T$8, $D$6)=0,"",_xll.IMDP("IR", data!$C82, data!T$8, $D$6)), data!T82 ), "")</f>
        <v>10.303000000000001</v>
      </c>
      <c r="M81" s="36" cm="1">
        <f t="array" aca="1" ref="M81" ca="1">IFERROR( CHOOSE( data!$B$7,
IF(_xll.IMDP("IR", data!$B82, data!U$8, $D$6)=0,"",_xll.IMDP("IR", data!$B82, data!U$8, $D$6)),
IF(_xll.IMDP("IR", data!$C82, data!U$8, $D$6)=0,"",_xll.IMDP("IR", data!$C82, data!U$8, $D$6)), data!U82 ), "")</f>
        <v>10.579000000000001</v>
      </c>
      <c r="N81" s="36" cm="1">
        <f t="array" aca="1" ref="N81" ca="1">IFERROR( CHOOSE( data!$B$7,
IF(_xll.IMDP("IR", data!$B82, data!V$8, $D$6)=0,"",_xll.IMDP("IR", data!$B82, data!V$8, $D$6)),
IF(_xll.IMDP("IR", data!$C82, data!V$8, $D$6)=0,"",_xll.IMDP("IR", data!$C82, data!V$8, $D$6)), data!V82 ), "")</f>
        <v>10.706</v>
      </c>
      <c r="O81" s="36" cm="1">
        <f t="array" aca="1" ref="O81" ca="1">IFERROR( CHOOSE( data!$B$7,
IF(_xll.IMDP("IR", data!$B82, data!W$8, $D$6)=0,"",_xll.IMDP("IR", data!$B82, data!W$8, $D$6)),
IF(_xll.IMDP("IR", data!$C82, data!W$8, $D$6)=0,"",_xll.IMDP("IR", data!$C82, data!W$8, $D$6)), data!W82 ), "")</f>
        <v>10.821999999999999</v>
      </c>
      <c r="P81" s="36" cm="1">
        <f t="array" aca="1" ref="P81" ca="1">IFERROR( CHOOSE( data!$B$7,
IF(_xll.IMDP("IR", data!$B82, data!X$8, $D$6)=0,"",_xll.IMDP("IR", data!$B82, data!X$8, $D$6)),
IF(_xll.IMDP("IR", data!$C82, data!X$8, $D$6)=0,"",_xll.IMDP("IR", data!$C82, data!X$8, $D$6)), data!X82 ), "")</f>
        <v>11.201000000000001</v>
      </c>
      <c r="Q81" s="36" cm="1">
        <f t="array" aca="1" ref="Q81" ca="1">IFERROR( CHOOSE( data!$B$7,
IF(_xll.IMDP("IR", data!$B82, data!Y$8, $D$6)=0,"",_xll.IMDP("IR", data!$B82, data!Y$8, $D$6)),
IF(_xll.IMDP("IR", data!$C82, data!Y$8, $D$6)=0,"",_xll.IMDP("IR", data!$C82, data!Y$8, $D$6)), data!Y82 ), "")</f>
        <v>11.608000000000001</v>
      </c>
      <c r="R81" s="36" cm="1">
        <f t="array" aca="1" ref="R81" ca="1">IFERROR( CHOOSE( data!$B$7,
IF(_xll.IMDP("IR", data!$B82, data!Z$8, $D$6)=0,"",_xll.IMDP("IR", data!$B82, data!Z$8, $D$6)),
IF(_xll.IMDP("IR", data!$C82, data!Z$8, $D$6)=0,"",_xll.IMDP("IR", data!$C82, data!Z$8, $D$6)), data!Z82 ), "")</f>
        <v>11.923999999999999</v>
      </c>
      <c r="S81" s="36" t="str" cm="1">
        <f t="array" aca="1" ref="S81" ca="1">IFERROR( CHOOSE( data!$B$7,
IF(_xll.IMDP("IR", data!$B82, data!AA$8, $D$6)=0,"",_xll.IMDP("IR", data!$B82, data!AA$8, $D$6)),
IF(_xll.IMDP("IR", data!$C82, data!AA$8, $D$6)=0,"",_xll.IMDP("IR", data!$C82, data!AA$8, $D$6)), data!AA82 ), "")</f>
        <v/>
      </c>
      <c r="T81" s="37" t="str" cm="1">
        <f t="array" aca="1" ref="T81" ca="1">IFERROR( CHOOSE( data!$B$7,
IF(_xll.IMDP("IR", data!$B82, data!AB$8, $D$6)=0,"",_xll.IMDP("IR", data!$B82, data!AB$8, $D$6)),
IF(_xll.IMDP("IR", data!$C82, data!AB$8, $D$6)=0,"",_xll.IMDP("IR", data!$C82, data!AB$8, $D$6)), data!AB82 ), "")</f>
        <v/>
      </c>
    </row>
    <row r="82" spans="2:20" s="4" customFormat="1" ht="12.75" thickBot="1">
      <c r="B82" s="14" t="s">
        <v>56</v>
      </c>
      <c r="C82" s="7" t="s">
        <v>57</v>
      </c>
      <c r="D82" s="20" t="s">
        <v>27</v>
      </c>
      <c r="E82" s="44" cm="1">
        <f t="array" aca="1" ref="E82" ca="1">IFERROR( CHOOSE( data!$B$7,
IF(_xll.IMDP("IR", data!$B83, data!M$8, $D$6)=0,"",_xll.IMDP("IR", data!$B83, data!M$8, $D$6)),
IF(_xll.IMDP("IR", data!$C83, data!M$8, $D$6)=0,"",_xll.IMDP("IR", data!$C83, data!M$8, $D$6)), data!M83 ), "")</f>
        <v>3.38</v>
      </c>
      <c r="F82" s="45" cm="1">
        <f t="array" aca="1" ref="F82" ca="1">IFERROR( CHOOSE( data!$B$7,
IF(_xll.IMDP("IR", data!$B83, data!N$8, $D$6)=0,"",_xll.IMDP("IR", data!$B83, data!N$8, $D$6)),
IF(_xll.IMDP("IR", data!$C83, data!N$8, $D$6)=0,"",_xll.IMDP("IR", data!$C83, data!N$8, $D$6)), data!N83 ), "")</f>
        <v>3.359</v>
      </c>
      <c r="G82" s="45" cm="1">
        <f t="array" aca="1" ref="G82" ca="1">IFERROR( CHOOSE( data!$B$7,
IF(_xll.IMDP("IR", data!$B83, data!O$8, $D$6)=0,"",_xll.IMDP("IR", data!$B83, data!O$8, $D$6)),
IF(_xll.IMDP("IR", data!$C83, data!O$8, $D$6)=0,"",_xll.IMDP("IR", data!$C83, data!O$8, $D$6)), data!O83 ), "")</f>
        <v>3.306</v>
      </c>
      <c r="H82" s="45" cm="1">
        <f t="array" aca="1" ref="H82" ca="1">IFERROR( CHOOSE( data!$B$7,
IF(_xll.IMDP("IR", data!$B83, data!P$8, $D$6)=0,"",_xll.IMDP("IR", data!$B83, data!P$8, $D$6)),
IF(_xll.IMDP("IR", data!$C83, data!P$8, $D$6)=0,"",_xll.IMDP("IR", data!$C83, data!P$8, $D$6)), data!P83 ), "")</f>
        <v>3.2759999999999998</v>
      </c>
      <c r="I82" s="45" cm="1">
        <f t="array" aca="1" ref="I82" ca="1">IFERROR( CHOOSE( data!$B$7,
IF(_xll.IMDP("IR", data!$B83, data!Q$8, $D$6)=0,"",_xll.IMDP("IR", data!$B83, data!Q$8, $D$6)),
IF(_xll.IMDP("IR", data!$C83, data!Q$8, $D$6)=0,"",_xll.IMDP("IR", data!$C83, data!Q$8, $D$6)), data!Q83 ), "")</f>
        <v>3.22</v>
      </c>
      <c r="J82" s="45" cm="1">
        <f t="array" aca="1" ref="J82" ca="1">IFERROR( CHOOSE( data!$B$7,
IF(_xll.IMDP("IR", data!$B83, data!R$8, $D$6)=0,"",_xll.IMDP("IR", data!$B83, data!R$8, $D$6)),
IF(_xll.IMDP("IR", data!$C83, data!R$8, $D$6)=0,"",_xll.IMDP("IR", data!$C83, data!R$8, $D$6)), data!R83 ), "")</f>
        <v>3.2069999999999999</v>
      </c>
      <c r="K82" s="45" cm="1">
        <f t="array" aca="1" ref="K82" ca="1">IFERROR( CHOOSE( data!$B$7,
IF(_xll.IMDP("IR", data!$B83, data!S$8, $D$6)=0,"",_xll.IMDP("IR", data!$B83, data!S$8, $D$6)),
IF(_xll.IMDP("IR", data!$C83, data!S$8, $D$6)=0,"",_xll.IMDP("IR", data!$C83, data!S$8, $D$6)), data!S83 ), "")</f>
        <v>3.1819999999999999</v>
      </c>
      <c r="L82" s="45" cm="1">
        <f t="array" aca="1" ref="L82" ca="1">IFERROR( CHOOSE( data!$B$7,
IF(_xll.IMDP("IR", data!$B83, data!T$8, $D$6)=0,"",_xll.IMDP("IR", data!$B83, data!T$8, $D$6)),
IF(_xll.IMDP("IR", data!$C83, data!T$8, $D$6)=0,"",_xll.IMDP("IR", data!$C83, data!T$8, $D$6)), data!T83 ), "")</f>
        <v>3.1850000000000001</v>
      </c>
      <c r="M82" s="45" cm="1">
        <f t="array" aca="1" ref="M82" ca="1">IFERROR( CHOOSE( data!$B$7,
IF(_xll.IMDP("IR", data!$B83, data!U$8, $D$6)=0,"",_xll.IMDP("IR", data!$B83, data!U$8, $D$6)),
IF(_xll.IMDP("IR", data!$C83, data!U$8, $D$6)=0,"",_xll.IMDP("IR", data!$C83, data!U$8, $D$6)), data!U83 ), "")</f>
        <v>3.173</v>
      </c>
      <c r="N82" s="45" cm="1">
        <f t="array" aca="1" ref="N82" ca="1">IFERROR( CHOOSE( data!$B$7,
IF(_xll.IMDP("IR", data!$B83, data!V$8, $D$6)=0,"",_xll.IMDP("IR", data!$B83, data!V$8, $D$6)),
IF(_xll.IMDP("IR", data!$C83, data!V$8, $D$6)=0,"",_xll.IMDP("IR", data!$C83, data!V$8, $D$6)), data!V83 ), "")</f>
        <v>3.1749999999999998</v>
      </c>
      <c r="O82" s="45" cm="1">
        <f t="array" aca="1" ref="O82" ca="1">IFERROR( CHOOSE( data!$B$7,
IF(_xll.IMDP("IR", data!$B83, data!W$8, $D$6)=0,"",_xll.IMDP("IR", data!$B83, data!W$8, $D$6)),
IF(_xll.IMDP("IR", data!$C83, data!W$8, $D$6)=0,"",_xll.IMDP("IR", data!$C83, data!W$8, $D$6)), data!W83 ), "")</f>
        <v>3.1739999999999999</v>
      </c>
      <c r="P82" s="45" cm="1">
        <f t="array" aca="1" ref="P82" ca="1">IFERROR( CHOOSE( data!$B$7,
IF(_xll.IMDP("IR", data!$B83, data!X$8, $D$6)=0,"",_xll.IMDP("IR", data!$B83, data!X$8, $D$6)),
IF(_xll.IMDP("IR", data!$C83, data!X$8, $D$6)=0,"",_xll.IMDP("IR", data!$C83, data!X$8, $D$6)), data!X83 ), "")</f>
        <v>3.1920000000000002</v>
      </c>
      <c r="Q82" s="45" cm="1">
        <f t="array" aca="1" ref="Q82" ca="1">IFERROR( CHOOSE( data!$B$7,
IF(_xll.IMDP("IR", data!$B83, data!Y$8, $D$6)=0,"",_xll.IMDP("IR", data!$B83, data!Y$8, $D$6)),
IF(_xll.IMDP("IR", data!$C83, data!Y$8, $D$6)=0,"",_xll.IMDP("IR", data!$C83, data!Y$8, $D$6)), data!Y83 ), "")</f>
        <v>3.2050000000000001</v>
      </c>
      <c r="R82" s="45" cm="1">
        <f t="array" aca="1" ref="R82" ca="1">IFERROR( CHOOSE( data!$B$7,
IF(_xll.IMDP("IR", data!$B83, data!Z$8, $D$6)=0,"",_xll.IMDP("IR", data!$B83, data!Z$8, $D$6)),
IF(_xll.IMDP("IR", data!$C83, data!Z$8, $D$6)=0,"",_xll.IMDP("IR", data!$C83, data!Z$8, $D$6)), data!Z83 ), "")</f>
        <v>3.1840000000000002</v>
      </c>
      <c r="S82" s="45" cm="1">
        <f t="array" aca="1" ref="S82" ca="1">IFERROR( CHOOSE( data!$B$7,
IF(_xll.IMDP("IR", data!$B83, data!AA$8, $D$6)=0,"",_xll.IMDP("IR", data!$B83, data!AA$8, $D$6)),
IF(_xll.IMDP("IR", data!$C83, data!AA$8, $D$6)=0,"",_xll.IMDP("IR", data!$C83, data!AA$8, $D$6)), data!AA83 ), "")</f>
        <v>3.1869999999999998</v>
      </c>
      <c r="T82" s="46" t="str" cm="1">
        <f t="array" aca="1" ref="T82" ca="1">IFERROR( CHOOSE( data!$B$7,
IF(_xll.IMDP("IR", data!$B83, data!AB$8, $D$6)=0,"",_xll.IMDP("IR", data!$B83, data!AB$8, $D$6)),
IF(_xll.IMDP("IR", data!$C83, data!AB$8, $D$6)=0,"",_xll.IMDP("IR", data!$C83, data!AB$8, $D$6)), data!AB83 ), "")</f>
        <v/>
      </c>
    </row>
    <row r="83" spans="2:20"/>
    <row r="84" spans="2:20"/>
    <row r="85" spans="2:20"/>
    <row r="86" spans="2:20"/>
    <row r="87" spans="2:20"/>
    <row r="88" spans="2:20"/>
    <row r="89" spans="2:20"/>
    <row r="90" spans="2:20"/>
  </sheetData>
  <mergeCells count="8">
    <mergeCell ref="C19:C20"/>
    <mergeCell ref="C14:C18"/>
    <mergeCell ref="C72:C81"/>
    <mergeCell ref="C62:C71"/>
    <mergeCell ref="C51:C61"/>
    <mergeCell ref="C42:C50"/>
    <mergeCell ref="C33:C41"/>
    <mergeCell ref="C22:C32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Group Box 1">
              <controlPr defaultSize="0" autoFill="0" autoPict="0">
                <anchor moveWithCells="1">
                  <from>
                    <xdr:col>1</xdr:col>
                    <xdr:colOff>276225</xdr:colOff>
                    <xdr:row>2</xdr:row>
                    <xdr:rowOff>85725</xdr:rowOff>
                  </from>
                  <to>
                    <xdr:col>10</xdr:col>
                    <xdr:colOff>266700</xdr:colOff>
                    <xdr:row>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1</xdr:col>
                    <xdr:colOff>361950</xdr:colOff>
                    <xdr:row>3</xdr:row>
                    <xdr:rowOff>66675</xdr:rowOff>
                  </from>
                  <to>
                    <xdr:col>2</xdr:col>
                    <xdr:colOff>333375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2</xdr:col>
                    <xdr:colOff>438150</xdr:colOff>
                    <xdr:row>3</xdr:row>
                    <xdr:rowOff>66675</xdr:rowOff>
                  </from>
                  <to>
                    <xdr:col>3</xdr:col>
                    <xdr:colOff>342900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 moveWithCells="1">
                  <from>
                    <xdr:col>3</xdr:col>
                    <xdr:colOff>361950</xdr:colOff>
                    <xdr:row>3</xdr:row>
                    <xdr:rowOff>66675</xdr:rowOff>
                  </from>
                  <to>
                    <xdr:col>3</xdr:col>
                    <xdr:colOff>1000125</xdr:colOff>
                    <xdr:row>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6</xdr:col>
                    <xdr:colOff>209550</xdr:colOff>
                    <xdr:row>3</xdr:row>
                    <xdr:rowOff>114300</xdr:rowOff>
                  </from>
                  <to>
                    <xdr:col>7</xdr:col>
                    <xdr:colOff>123825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7</xdr:col>
                    <xdr:colOff>104775</xdr:colOff>
                    <xdr:row>3</xdr:row>
                    <xdr:rowOff>114300</xdr:rowOff>
                  </from>
                  <to>
                    <xdr:col>8</xdr:col>
                    <xdr:colOff>9525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7</xdr:col>
                    <xdr:colOff>600075</xdr:colOff>
                    <xdr:row>3</xdr:row>
                    <xdr:rowOff>114300</xdr:rowOff>
                  </from>
                  <to>
                    <xdr:col>8</xdr:col>
                    <xdr:colOff>504825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8</xdr:col>
                    <xdr:colOff>495300</xdr:colOff>
                    <xdr:row>3</xdr:row>
                    <xdr:rowOff>114300</xdr:rowOff>
                  </from>
                  <to>
                    <xdr:col>9</xdr:col>
                    <xdr:colOff>400050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9</xdr:col>
                    <xdr:colOff>381000</xdr:colOff>
                    <xdr:row>3</xdr:row>
                    <xdr:rowOff>114300</xdr:rowOff>
                  </from>
                  <to>
                    <xdr:col>10</xdr:col>
                    <xdr:colOff>285750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3" name="Group Box 16">
              <controlPr defaultSize="0" autoFill="0" autoPict="0">
                <anchor moveWithCells="1">
                  <from>
                    <xdr:col>4</xdr:col>
                    <xdr:colOff>0</xdr:colOff>
                    <xdr:row>3</xdr:row>
                    <xdr:rowOff>19050</xdr:rowOff>
                  </from>
                  <to>
                    <xdr:col>10</xdr:col>
                    <xdr:colOff>314325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4" name="Option Button 17">
              <controlPr defaultSize="0" autoFill="0" autoLine="0" autoPict="0">
                <anchor moveWithCells="1">
                  <from>
                    <xdr:col>4</xdr:col>
                    <xdr:colOff>57150</xdr:colOff>
                    <xdr:row>3</xdr:row>
                    <xdr:rowOff>161925</xdr:rowOff>
                  </from>
                  <to>
                    <xdr:col>5</xdr:col>
                    <xdr:colOff>123825</xdr:colOff>
                    <xdr:row>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5" name="Option Button 18">
              <controlPr defaultSize="0" autoFill="0" autoLine="0" autoPict="0">
                <anchor moveWithCells="1">
                  <from>
                    <xdr:col>5</xdr:col>
                    <xdr:colOff>123825</xdr:colOff>
                    <xdr:row>3</xdr:row>
                    <xdr:rowOff>161925</xdr:rowOff>
                  </from>
                  <to>
                    <xdr:col>6</xdr:col>
                    <xdr:colOff>190500</xdr:colOff>
                    <xdr:row>4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8755-7814-4A06-B2EE-F2698805BD1A}">
  <dimension ref="B1:P60"/>
  <sheetViews>
    <sheetView showGridLines="0" showRowColHeader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ColWidth="0" defaultRowHeight="15" zeroHeight="1"/>
  <cols>
    <col min="1" max="1" width="0.5703125" customWidth="1"/>
    <col min="2" max="2" width="12.42578125" style="1" customWidth="1"/>
    <col min="3" max="3" width="18.85546875" style="1" customWidth="1"/>
    <col min="4" max="4" width="10" style="1" customWidth="1"/>
    <col min="5" max="11" width="13.42578125" customWidth="1"/>
    <col min="12" max="12" width="0" hidden="1" customWidth="1"/>
    <col min="13" max="15" width="9.140625" hidden="1" customWidth="1"/>
    <col min="16" max="16" width="9" hidden="1" customWidth="1"/>
    <col min="17" max="17" width="9.140625" customWidth="1"/>
    <col min="18" max="16384" width="9.140625" hidden="1"/>
  </cols>
  <sheetData>
    <row r="1" spans="2:16" ht="5.25" customHeight="1"/>
    <row r="2" spans="2:16" ht="27.75" customHeight="1">
      <c r="B2" s="64" t="s">
        <v>544</v>
      </c>
      <c r="C2" s="64"/>
      <c r="D2" s="64"/>
      <c r="E2" s="64"/>
      <c r="F2" s="64"/>
      <c r="G2" s="64"/>
      <c r="H2" s="64"/>
      <c r="I2" s="64"/>
      <c r="J2" s="64"/>
      <c r="K2" s="64"/>
    </row>
    <row r="3" spans="2:16" ht="11.25" customHeight="1">
      <c r="B3" s="28"/>
    </row>
    <row r="4" spans="2:16" ht="15.75" thickBot="1"/>
    <row r="5" spans="2:16" ht="15.75" thickBot="1">
      <c r="B5" s="22">
        <f ca="1">TODAY()</f>
        <v>45523</v>
      </c>
    </row>
    <row r="6" spans="2:16" s="4" customFormat="1" ht="12.75" hidden="1" thickBot="1">
      <c r="B6" s="49"/>
      <c r="C6" s="4" t="s">
        <v>540</v>
      </c>
      <c r="D6" s="4" t="s">
        <v>538</v>
      </c>
      <c r="E6" s="4" t="str">
        <f>"민평3사 "&amp;data!$D$4&amp;"(산출일)"&amp;data!$E$4</f>
        <v>민평3사 수익률(산출일)</v>
      </c>
      <c r="F6" s="4" t="str">
        <f>"민평4사 "&amp;data!$D$4&amp;"(산출일)"&amp;data!$E$4</f>
        <v>민평4사 수익률(산출일)</v>
      </c>
      <c r="H6" s="4" t="str">
        <f>"KBP "&amp;data!$D$4&amp;"(산출일)"&amp;data!$E$4</f>
        <v>KBP 수익률(산출일)</v>
      </c>
      <c r="I6" s="4" t="str">
        <f>"KIS "&amp;data!$D$4&amp;"(산출일)"&amp;data!$E$4</f>
        <v>KIS 수익률(산출일)</v>
      </c>
      <c r="J6" s="4" t="str">
        <f>"NIC "&amp;data!$D$4&amp;"(산출일)"&amp;data!$E$4</f>
        <v>NIC 수익률(산출일)</v>
      </c>
      <c r="K6" s="4" t="str">
        <f>"FNP "&amp;data!$D$4&amp;"(산출일)"&amp;data!$E$4</f>
        <v>FNP 수익률(산출일)</v>
      </c>
    </row>
    <row r="7" spans="2:16" s="4" customFormat="1" ht="12.75" thickBot="1">
      <c r="B7" s="53" t="s">
        <v>536</v>
      </c>
      <c r="C7" s="54" t="s">
        <v>537</v>
      </c>
      <c r="D7" s="54" t="s">
        <v>538</v>
      </c>
      <c r="E7" s="8" t="s">
        <v>542</v>
      </c>
      <c r="F7" s="9" t="s">
        <v>543</v>
      </c>
      <c r="G7" s="47" t="s">
        <v>228</v>
      </c>
      <c r="H7" s="9" t="s">
        <v>291</v>
      </c>
      <c r="I7" s="9" t="s">
        <v>292</v>
      </c>
      <c r="J7" s="9" t="s">
        <v>352</v>
      </c>
      <c r="K7" s="10" t="s">
        <v>353</v>
      </c>
    </row>
    <row r="8" spans="2:16" s="4" customFormat="1" ht="12">
      <c r="B8" s="55" t="s">
        <v>541</v>
      </c>
      <c r="C8" s="50" t="str" cm="1">
        <f t="array" ref="C8">IF(ISBLANK($B8), "", _xll.IMDP("BND", $B8, C$6))</f>
        <v>국고04250-2412(22-15)</v>
      </c>
      <c r="D8" s="51" cm="1">
        <f t="array" ref="D8">IF(ISBLANK($B8), "", _xll.IMDP("BND", $B8, D$6,,"DtFmt=1"))</f>
        <v>45636</v>
      </c>
      <c r="E8" s="29" cm="1">
        <f t="array" ref="E8">IF(ISBLANK($B8), "", _xll.IMDP("BND", $B8, E$6))</f>
        <v>3.2029999999999998</v>
      </c>
      <c r="F8" s="30" cm="1">
        <f t="array" ref="F8">IF(ISBLANK($B8), "", _xll.IMDP("BND", $B8, F$6))</f>
        <v>3.202</v>
      </c>
      <c r="G8" s="48">
        <f>IFERROR( CHOOSE(data!$C$6, AVERAGE($M8:$P8), GEOMEAN($M8:$P8)), "")</f>
        <v>3.2024999999999997</v>
      </c>
      <c r="H8" s="30" cm="1">
        <f t="array" ref="H8">IF(ISBLANK($B8), "", _xll.IMDP("BND", $B8, H$6))</f>
        <v>3.21</v>
      </c>
      <c r="I8" s="30" cm="1">
        <f t="array" ref="I8">IF(ISBLANK($B8), "", _xll.IMDP("BND", $B8, I$6))</f>
        <v>3.2</v>
      </c>
      <c r="J8" s="30" cm="1">
        <f t="array" ref="J8">IF(ISBLANK($B8), "", _xll.IMDP("BND", $B8, J$6))</f>
        <v>3.2</v>
      </c>
      <c r="K8" s="31" cm="1">
        <f t="array" ref="K8">IF(ISBLANK($B8), "", _xll.IMDP("BND", $B8, K$6))</f>
        <v>3.2</v>
      </c>
      <c r="M8" s="60">
        <f>IF(data!D$6, H8, "")</f>
        <v>3.21</v>
      </c>
      <c r="N8" s="60">
        <f>IF(data!E$6, I8, "")</f>
        <v>3.2</v>
      </c>
      <c r="O8" s="60">
        <f>IF(data!F$6, J8, "")</f>
        <v>3.2</v>
      </c>
      <c r="P8" s="60">
        <f>IF(data!G$6, K8, "")</f>
        <v>3.2</v>
      </c>
    </row>
    <row r="9" spans="2:16" s="4" customFormat="1" ht="12">
      <c r="B9" s="55"/>
      <c r="C9" s="50" t="str" cm="1">
        <f t="array" ref="C9">IF(ISBLANK($B9), "", _xll.IMDP("BND", $B9, C$6))</f>
        <v/>
      </c>
      <c r="D9" s="51" t="str" cm="1">
        <f t="array" ref="D9">IF(ISBLANK($B9), "", _xll.IMDP("BND", $B9, D$6,,"DtFmt=1"))</f>
        <v/>
      </c>
      <c r="E9" s="32" t="str" cm="1">
        <f t="array" ref="E9">IF(ISBLANK($B9), "", _xll.IMDP("BND", $B9, E$6))</f>
        <v/>
      </c>
      <c r="F9" s="33" t="str" cm="1">
        <f t="array" ref="F9">IF(ISBLANK($B9), "", _xll.IMDP("BND", $B9, F$6))</f>
        <v/>
      </c>
      <c r="G9" s="52" t="str">
        <f>IFERROR( CHOOSE(data!$C$6, AVERAGE($M9:$P9), GEOMEAN($M9:$P9)), "")</f>
        <v/>
      </c>
      <c r="H9" s="33" t="str" cm="1">
        <f t="array" ref="H9">IF(ISBLANK($B9), "", _xll.IMDP("BND", $B9, H$6))</f>
        <v/>
      </c>
      <c r="I9" s="33" t="str" cm="1">
        <f t="array" ref="I9">IF(ISBLANK($B9), "", _xll.IMDP("BND", $B9, I$6))</f>
        <v/>
      </c>
      <c r="J9" s="33" t="str" cm="1">
        <f t="array" ref="J9">IF(ISBLANK($B9), "", _xll.IMDP("BND", $B9, J$6))</f>
        <v/>
      </c>
      <c r="K9" s="34" t="str" cm="1">
        <f t="array" ref="K9">IF(ISBLANK($B9), "", _xll.IMDP("BND", $B9, K$6))</f>
        <v/>
      </c>
      <c r="M9" s="60" t="str">
        <f>IF(data!D$6, H9, "")</f>
        <v/>
      </c>
      <c r="N9" s="60" t="str">
        <f>IF(data!E$6, I9, "")</f>
        <v/>
      </c>
      <c r="O9" s="60" t="str">
        <f>IF(data!F$6, J9, "")</f>
        <v/>
      </c>
      <c r="P9" s="60" t="str">
        <f>IF(data!G$6, K9, "")</f>
        <v/>
      </c>
    </row>
    <row r="10" spans="2:16" s="4" customFormat="1" ht="12">
      <c r="B10" s="55"/>
      <c r="C10" s="50" t="str" cm="1">
        <f t="array" ref="C10">IF(ISBLANK($B10), "", _xll.IMDP("BND", $B10, C$6))</f>
        <v/>
      </c>
      <c r="D10" s="51" t="str" cm="1">
        <f t="array" ref="D10">IF(ISBLANK($B10), "", _xll.IMDP("BND", $B10, D$6,,"DtFmt=1"))</f>
        <v/>
      </c>
      <c r="E10" s="32" t="str" cm="1">
        <f t="array" ref="E10">IF(ISBLANK($B10), "", _xll.IMDP("BND", $B10, E$6))</f>
        <v/>
      </c>
      <c r="F10" s="33" t="str" cm="1">
        <f t="array" ref="F10">IF(ISBLANK($B10), "", _xll.IMDP("BND", $B10, F$6))</f>
        <v/>
      </c>
      <c r="G10" s="52" t="str">
        <f>IFERROR( CHOOSE(data!$C$6, AVERAGE($M10:$P10), GEOMEAN($M10:$P10)), "")</f>
        <v/>
      </c>
      <c r="H10" s="33" t="str" cm="1">
        <f t="array" ref="H10">IF(ISBLANK($B10), "", _xll.IMDP("BND", $B10, H$6))</f>
        <v/>
      </c>
      <c r="I10" s="33" t="str" cm="1">
        <f t="array" ref="I10">IF(ISBLANK($B10), "", _xll.IMDP("BND", $B10, I$6))</f>
        <v/>
      </c>
      <c r="J10" s="33" t="str" cm="1">
        <f t="array" ref="J10">IF(ISBLANK($B10), "", _xll.IMDP("BND", $B10, J$6))</f>
        <v/>
      </c>
      <c r="K10" s="34" t="str" cm="1">
        <f t="array" ref="K10">IF(ISBLANK($B10), "", _xll.IMDP("BND", $B10, K$6))</f>
        <v/>
      </c>
      <c r="M10" s="60" t="str">
        <f>IF(data!D$6, H10, "")</f>
        <v/>
      </c>
      <c r="N10" s="60" t="str">
        <f>IF(data!E$6, I10, "")</f>
        <v/>
      </c>
      <c r="O10" s="60" t="str">
        <f>IF(data!F$6, J10, "")</f>
        <v/>
      </c>
      <c r="P10" s="60" t="str">
        <f>IF(data!G$6, K10, "")</f>
        <v/>
      </c>
    </row>
    <row r="11" spans="2:16" s="4" customFormat="1" ht="12">
      <c r="B11" s="55"/>
      <c r="C11" s="50" t="str" cm="1">
        <f t="array" ref="C11">IF(ISBLANK($B11), "", _xll.IMDP("BND", $B11, C$6))</f>
        <v/>
      </c>
      <c r="D11" s="51" t="str" cm="1">
        <f t="array" ref="D11">IF(ISBLANK($B11), "", _xll.IMDP("BND", $B11, D$6,,"DtFmt=1"))</f>
        <v/>
      </c>
      <c r="E11" s="32" t="str" cm="1">
        <f t="array" ref="E11">IF(ISBLANK($B11), "", _xll.IMDP("BND", $B11, E$6))</f>
        <v/>
      </c>
      <c r="F11" s="33" t="str" cm="1">
        <f t="array" ref="F11">IF(ISBLANK($B11), "", _xll.IMDP("BND", $B11, F$6))</f>
        <v/>
      </c>
      <c r="G11" s="52" t="str">
        <f>IFERROR( CHOOSE(data!$C$6, AVERAGE($M11:$P11), GEOMEAN($M11:$P11)), "")</f>
        <v/>
      </c>
      <c r="H11" s="33" t="str" cm="1">
        <f t="array" ref="H11">IF(ISBLANK($B11), "", _xll.IMDP("BND", $B11, H$6))</f>
        <v/>
      </c>
      <c r="I11" s="33" t="str" cm="1">
        <f t="array" ref="I11">IF(ISBLANK($B11), "", _xll.IMDP("BND", $B11, I$6))</f>
        <v/>
      </c>
      <c r="J11" s="33" t="str" cm="1">
        <f t="array" ref="J11">IF(ISBLANK($B11), "", _xll.IMDP("BND", $B11, J$6))</f>
        <v/>
      </c>
      <c r="K11" s="34" t="str" cm="1">
        <f t="array" ref="K11">IF(ISBLANK($B11), "", _xll.IMDP("BND", $B11, K$6))</f>
        <v/>
      </c>
      <c r="M11" s="60" t="str">
        <f>IF(data!D$6, H11, "")</f>
        <v/>
      </c>
      <c r="N11" s="60" t="str">
        <f>IF(data!E$6, I11, "")</f>
        <v/>
      </c>
      <c r="O11" s="60" t="str">
        <f>IF(data!F$6, J11, "")</f>
        <v/>
      </c>
      <c r="P11" s="60" t="str">
        <f>IF(data!G$6, K11, "")</f>
        <v/>
      </c>
    </row>
    <row r="12" spans="2:16" s="4" customFormat="1" ht="12">
      <c r="B12" s="55"/>
      <c r="C12" s="50" t="str" cm="1">
        <f t="array" ref="C12">IF(ISBLANK($B12), "", _xll.IMDP("BND", $B12, C$6))</f>
        <v/>
      </c>
      <c r="D12" s="51" t="str" cm="1">
        <f t="array" ref="D12">IF(ISBLANK($B12), "", _xll.IMDP("BND", $B12, D$6,,"DtFmt=1"))</f>
        <v/>
      </c>
      <c r="E12" s="32" t="str" cm="1">
        <f t="array" ref="E12">IF(ISBLANK($B12), "", _xll.IMDP("BND", $B12, E$6))</f>
        <v/>
      </c>
      <c r="F12" s="33" t="str" cm="1">
        <f t="array" ref="F12">IF(ISBLANK($B12), "", _xll.IMDP("BND", $B12, F$6))</f>
        <v/>
      </c>
      <c r="G12" s="52" t="str">
        <f>IFERROR( CHOOSE(data!$C$6, AVERAGE($M12:$P12), GEOMEAN($M12:$P12)), "")</f>
        <v/>
      </c>
      <c r="H12" s="33" t="str" cm="1">
        <f t="array" ref="H12">IF(ISBLANK($B12), "", _xll.IMDP("BND", $B12, H$6))</f>
        <v/>
      </c>
      <c r="I12" s="33" t="str" cm="1">
        <f t="array" ref="I12">IF(ISBLANK($B12), "", _xll.IMDP("BND", $B12, I$6))</f>
        <v/>
      </c>
      <c r="J12" s="33" t="str" cm="1">
        <f t="array" ref="J12">IF(ISBLANK($B12), "", _xll.IMDP("BND", $B12, J$6))</f>
        <v/>
      </c>
      <c r="K12" s="34" t="str" cm="1">
        <f t="array" ref="K12">IF(ISBLANK($B12), "", _xll.IMDP("BND", $B12, K$6))</f>
        <v/>
      </c>
      <c r="M12" s="60" t="str">
        <f>IF(data!D$6, H12, "")</f>
        <v/>
      </c>
      <c r="N12" s="60" t="str">
        <f>IF(data!E$6, I12, "")</f>
        <v/>
      </c>
      <c r="O12" s="60" t="str">
        <f>IF(data!F$6, J12, "")</f>
        <v/>
      </c>
      <c r="P12" s="60" t="str">
        <f>IF(data!G$6, K12, "")</f>
        <v/>
      </c>
    </row>
    <row r="13" spans="2:16" s="4" customFormat="1" ht="12">
      <c r="B13" s="55"/>
      <c r="C13" s="50" t="str" cm="1">
        <f t="array" ref="C13">IF(ISBLANK($B13), "", _xll.IMDP("BND", $B13, C$6))</f>
        <v/>
      </c>
      <c r="D13" s="51" t="str" cm="1">
        <f t="array" ref="D13">IF(ISBLANK($B13), "", _xll.IMDP("BND", $B13, D$6,,"DtFmt=1"))</f>
        <v/>
      </c>
      <c r="E13" s="32" t="str" cm="1">
        <f t="array" ref="E13">IF(ISBLANK($B13), "", _xll.IMDP("BND", $B13, E$6))</f>
        <v/>
      </c>
      <c r="F13" s="33" t="str" cm="1">
        <f t="array" ref="F13">IF(ISBLANK($B13), "", _xll.IMDP("BND", $B13, F$6))</f>
        <v/>
      </c>
      <c r="G13" s="52" t="str">
        <f>IFERROR( CHOOSE(data!$C$6, AVERAGE($M13:$P13), GEOMEAN($M13:$P13)), "")</f>
        <v/>
      </c>
      <c r="H13" s="33" t="str" cm="1">
        <f t="array" ref="H13">IF(ISBLANK($B13), "", _xll.IMDP("BND", $B13, H$6))</f>
        <v/>
      </c>
      <c r="I13" s="33" t="str" cm="1">
        <f t="array" ref="I13">IF(ISBLANK($B13), "", _xll.IMDP("BND", $B13, I$6))</f>
        <v/>
      </c>
      <c r="J13" s="33" t="str" cm="1">
        <f t="array" ref="J13">IF(ISBLANK($B13), "", _xll.IMDP("BND", $B13, J$6))</f>
        <v/>
      </c>
      <c r="K13" s="34" t="str" cm="1">
        <f t="array" ref="K13">IF(ISBLANK($B13), "", _xll.IMDP("BND", $B13, K$6))</f>
        <v/>
      </c>
      <c r="M13" s="60" t="str">
        <f>IF(data!D$6, H13, "")</f>
        <v/>
      </c>
      <c r="N13" s="60" t="str">
        <f>IF(data!E$6, I13, "")</f>
        <v/>
      </c>
      <c r="O13" s="60" t="str">
        <f>IF(data!F$6, J13, "")</f>
        <v/>
      </c>
      <c r="P13" s="60" t="str">
        <f>IF(data!G$6, K13, "")</f>
        <v/>
      </c>
    </row>
    <row r="14" spans="2:16" s="4" customFormat="1" ht="12">
      <c r="B14" s="55"/>
      <c r="C14" s="50" t="str" cm="1">
        <f t="array" ref="C14">IF(ISBLANK($B14), "", _xll.IMDP("BND", $B14, C$6))</f>
        <v/>
      </c>
      <c r="D14" s="51" t="str" cm="1">
        <f t="array" ref="D14">IF(ISBLANK($B14), "", _xll.IMDP("BND", $B14, D$6,,"DtFmt=1"))</f>
        <v/>
      </c>
      <c r="E14" s="32" t="str" cm="1">
        <f t="array" ref="E14">IF(ISBLANK($B14), "", _xll.IMDP("BND", $B14, E$6))</f>
        <v/>
      </c>
      <c r="F14" s="33" t="str" cm="1">
        <f t="array" ref="F14">IF(ISBLANK($B14), "", _xll.IMDP("BND", $B14, F$6))</f>
        <v/>
      </c>
      <c r="G14" s="52" t="str">
        <f>IFERROR( CHOOSE(data!$C$6, AVERAGE($M14:$P14), GEOMEAN($M14:$P14)), "")</f>
        <v/>
      </c>
      <c r="H14" s="33" t="str" cm="1">
        <f t="array" ref="H14">IF(ISBLANK($B14), "", _xll.IMDP("BND", $B14, H$6))</f>
        <v/>
      </c>
      <c r="I14" s="33" t="str" cm="1">
        <f t="array" ref="I14">IF(ISBLANK($B14), "", _xll.IMDP("BND", $B14, I$6))</f>
        <v/>
      </c>
      <c r="J14" s="33" t="str" cm="1">
        <f t="array" ref="J14">IF(ISBLANK($B14), "", _xll.IMDP("BND", $B14, J$6))</f>
        <v/>
      </c>
      <c r="K14" s="34" t="str" cm="1">
        <f t="array" ref="K14">IF(ISBLANK($B14), "", _xll.IMDP("BND", $B14, K$6))</f>
        <v/>
      </c>
      <c r="M14" s="60" t="str">
        <f>IF(data!D$6, H14, "")</f>
        <v/>
      </c>
      <c r="N14" s="60" t="str">
        <f>IF(data!E$6, I14, "")</f>
        <v/>
      </c>
      <c r="O14" s="60" t="str">
        <f>IF(data!F$6, J14, "")</f>
        <v/>
      </c>
      <c r="P14" s="60" t="str">
        <f>IF(data!G$6, K14, "")</f>
        <v/>
      </c>
    </row>
    <row r="15" spans="2:16" s="4" customFormat="1" ht="12">
      <c r="B15" s="55"/>
      <c r="C15" s="50" t="str" cm="1">
        <f t="array" ref="C15">IF(ISBLANK($B15), "", _xll.IMDP("BND", $B15, C$6))</f>
        <v/>
      </c>
      <c r="D15" s="51" t="str" cm="1">
        <f t="array" ref="D15">IF(ISBLANK($B15), "", _xll.IMDP("BND", $B15, D$6,,"DtFmt=1"))</f>
        <v/>
      </c>
      <c r="E15" s="32" t="str" cm="1">
        <f t="array" ref="E15">IF(ISBLANK($B15), "", _xll.IMDP("BND", $B15, E$6))</f>
        <v/>
      </c>
      <c r="F15" s="33" t="str" cm="1">
        <f t="array" ref="F15">IF(ISBLANK($B15), "", _xll.IMDP("BND", $B15, F$6))</f>
        <v/>
      </c>
      <c r="G15" s="52" t="str">
        <f>IFERROR( CHOOSE(data!$C$6, AVERAGE($M15:$P15), GEOMEAN($M15:$P15)), "")</f>
        <v/>
      </c>
      <c r="H15" s="33" t="str" cm="1">
        <f t="array" ref="H15">IF(ISBLANK($B15), "", _xll.IMDP("BND", $B15, H$6))</f>
        <v/>
      </c>
      <c r="I15" s="33" t="str" cm="1">
        <f t="array" ref="I15">IF(ISBLANK($B15), "", _xll.IMDP("BND", $B15, I$6))</f>
        <v/>
      </c>
      <c r="J15" s="33" t="str" cm="1">
        <f t="array" ref="J15">IF(ISBLANK($B15), "", _xll.IMDP("BND", $B15, J$6))</f>
        <v/>
      </c>
      <c r="K15" s="34" t="str" cm="1">
        <f t="array" ref="K15">IF(ISBLANK($B15), "", _xll.IMDP("BND", $B15, K$6))</f>
        <v/>
      </c>
      <c r="M15" s="60" t="str">
        <f>IF(data!D$6, H15, "")</f>
        <v/>
      </c>
      <c r="N15" s="60" t="str">
        <f>IF(data!E$6, I15, "")</f>
        <v/>
      </c>
      <c r="O15" s="60" t="str">
        <f>IF(data!F$6, J15, "")</f>
        <v/>
      </c>
      <c r="P15" s="60" t="str">
        <f>IF(data!G$6, K15, "")</f>
        <v/>
      </c>
    </row>
    <row r="16" spans="2:16" s="4" customFormat="1" ht="12">
      <c r="B16" s="55"/>
      <c r="C16" s="50" t="str" cm="1">
        <f t="array" ref="C16">IF(ISBLANK($B16), "", _xll.IMDP("BND", $B16, C$6))</f>
        <v/>
      </c>
      <c r="D16" s="51" t="str" cm="1">
        <f t="array" ref="D16">IF(ISBLANK($B16), "", _xll.IMDP("BND", $B16, D$6,,"DtFmt=1"))</f>
        <v/>
      </c>
      <c r="E16" s="32" t="str" cm="1">
        <f t="array" ref="E16">IF(ISBLANK($B16), "", _xll.IMDP("BND", $B16, E$6))</f>
        <v/>
      </c>
      <c r="F16" s="33" t="str" cm="1">
        <f t="array" ref="F16">IF(ISBLANK($B16), "", _xll.IMDP("BND", $B16, F$6))</f>
        <v/>
      </c>
      <c r="G16" s="52" t="str">
        <f>IFERROR( CHOOSE(data!$C$6, AVERAGE($M16:$P16), GEOMEAN($M16:$P16)), "")</f>
        <v/>
      </c>
      <c r="H16" s="33" t="str" cm="1">
        <f t="array" ref="H16">IF(ISBLANK($B16), "", _xll.IMDP("BND", $B16, H$6))</f>
        <v/>
      </c>
      <c r="I16" s="33" t="str" cm="1">
        <f t="array" ref="I16">IF(ISBLANK($B16), "", _xll.IMDP("BND", $B16, I$6))</f>
        <v/>
      </c>
      <c r="J16" s="33" t="str" cm="1">
        <f t="array" ref="J16">IF(ISBLANK($B16), "", _xll.IMDP("BND", $B16, J$6))</f>
        <v/>
      </c>
      <c r="K16" s="34" t="str" cm="1">
        <f t="array" ref="K16">IF(ISBLANK($B16), "", _xll.IMDP("BND", $B16, K$6))</f>
        <v/>
      </c>
      <c r="M16" s="60" t="str">
        <f>IF(data!D$6, H16, "")</f>
        <v/>
      </c>
      <c r="N16" s="60" t="str">
        <f>IF(data!E$6, I16, "")</f>
        <v/>
      </c>
      <c r="O16" s="60" t="str">
        <f>IF(data!F$6, J16, "")</f>
        <v/>
      </c>
      <c r="P16" s="60" t="str">
        <f>IF(data!G$6, K16, "")</f>
        <v/>
      </c>
    </row>
    <row r="17" spans="2:16" s="4" customFormat="1" ht="12">
      <c r="B17" s="55"/>
      <c r="C17" s="50" t="str" cm="1">
        <f t="array" ref="C17">IF(ISBLANK($B17), "", _xll.IMDP("BND", $B17, C$6))</f>
        <v/>
      </c>
      <c r="D17" s="51" t="str" cm="1">
        <f t="array" ref="D17">IF(ISBLANK($B17), "", _xll.IMDP("BND", $B17, D$6,,"DtFmt=1"))</f>
        <v/>
      </c>
      <c r="E17" s="32" t="str" cm="1">
        <f t="array" ref="E17">IF(ISBLANK($B17), "", _xll.IMDP("BND", $B17, E$6))</f>
        <v/>
      </c>
      <c r="F17" s="33" t="str" cm="1">
        <f t="array" ref="F17">IF(ISBLANK($B17), "", _xll.IMDP("BND", $B17, F$6))</f>
        <v/>
      </c>
      <c r="G17" s="52" t="str">
        <f>IFERROR( CHOOSE(data!$C$6, AVERAGE($M17:$P17), GEOMEAN($M17:$P17)), "")</f>
        <v/>
      </c>
      <c r="H17" s="33" t="str" cm="1">
        <f t="array" ref="H17">IF(ISBLANK($B17), "", _xll.IMDP("BND", $B17, H$6))</f>
        <v/>
      </c>
      <c r="I17" s="33" t="str" cm="1">
        <f t="array" ref="I17">IF(ISBLANK($B17), "", _xll.IMDP("BND", $B17, I$6))</f>
        <v/>
      </c>
      <c r="J17" s="33" t="str" cm="1">
        <f t="array" ref="J17">IF(ISBLANK($B17), "", _xll.IMDP("BND", $B17, J$6))</f>
        <v/>
      </c>
      <c r="K17" s="34" t="str" cm="1">
        <f t="array" ref="K17">IF(ISBLANK($B17), "", _xll.IMDP("BND", $B17, K$6))</f>
        <v/>
      </c>
      <c r="M17" s="60" t="str">
        <f>IF(data!D$6, H17, "")</f>
        <v/>
      </c>
      <c r="N17" s="60" t="str">
        <f>IF(data!E$6, I17, "")</f>
        <v/>
      </c>
      <c r="O17" s="60" t="str">
        <f>IF(data!F$6, J17, "")</f>
        <v/>
      </c>
      <c r="P17" s="60" t="str">
        <f>IF(data!G$6, K17, "")</f>
        <v/>
      </c>
    </row>
    <row r="18" spans="2:16" s="4" customFormat="1" ht="12">
      <c r="B18" s="55"/>
      <c r="C18" s="50" t="str" cm="1">
        <f t="array" ref="C18">IF(ISBLANK($B18), "", _xll.IMDP("BND", $B18, C$6))</f>
        <v/>
      </c>
      <c r="D18" s="51" t="str" cm="1">
        <f t="array" ref="D18">IF(ISBLANK($B18), "", _xll.IMDP("BND", $B18, D$6,,"DtFmt=1"))</f>
        <v/>
      </c>
      <c r="E18" s="32" t="str" cm="1">
        <f t="array" ref="E18">IF(ISBLANK($B18), "", _xll.IMDP("BND", $B18, E$6))</f>
        <v/>
      </c>
      <c r="F18" s="33" t="str" cm="1">
        <f t="array" ref="F18">IF(ISBLANK($B18), "", _xll.IMDP("BND", $B18, F$6))</f>
        <v/>
      </c>
      <c r="G18" s="52" t="str">
        <f>IFERROR( CHOOSE(data!$C$6, AVERAGE($M18:$P18), GEOMEAN($M18:$P18)), "")</f>
        <v/>
      </c>
      <c r="H18" s="33" t="str" cm="1">
        <f t="array" ref="H18">IF(ISBLANK($B18), "", _xll.IMDP("BND", $B18, H$6))</f>
        <v/>
      </c>
      <c r="I18" s="33" t="str" cm="1">
        <f t="array" ref="I18">IF(ISBLANK($B18), "", _xll.IMDP("BND", $B18, I$6))</f>
        <v/>
      </c>
      <c r="J18" s="33" t="str" cm="1">
        <f t="array" ref="J18">IF(ISBLANK($B18), "", _xll.IMDP("BND", $B18, J$6))</f>
        <v/>
      </c>
      <c r="K18" s="34" t="str" cm="1">
        <f t="array" ref="K18">IF(ISBLANK($B18), "", _xll.IMDP("BND", $B18, K$6))</f>
        <v/>
      </c>
      <c r="M18" s="60" t="str">
        <f>IF(data!D$6, H18, "")</f>
        <v/>
      </c>
      <c r="N18" s="60" t="str">
        <f>IF(data!E$6, I18, "")</f>
        <v/>
      </c>
      <c r="O18" s="60" t="str">
        <f>IF(data!F$6, J18, "")</f>
        <v/>
      </c>
      <c r="P18" s="60" t="str">
        <f>IF(data!G$6, K18, "")</f>
        <v/>
      </c>
    </row>
    <row r="19" spans="2:16" s="4" customFormat="1" ht="12">
      <c r="B19" s="55"/>
      <c r="C19" s="50" t="str" cm="1">
        <f t="array" ref="C19">IF(ISBLANK($B19), "", _xll.IMDP("BND", $B19, C$6))</f>
        <v/>
      </c>
      <c r="D19" s="51" t="str" cm="1">
        <f t="array" ref="D19">IF(ISBLANK($B19), "", _xll.IMDP("BND", $B19, D$6,,"DtFmt=1"))</f>
        <v/>
      </c>
      <c r="E19" s="32" t="str" cm="1">
        <f t="array" ref="E19">IF(ISBLANK($B19), "", _xll.IMDP("BND", $B19, E$6))</f>
        <v/>
      </c>
      <c r="F19" s="33" t="str" cm="1">
        <f t="array" ref="F19">IF(ISBLANK($B19), "", _xll.IMDP("BND", $B19, F$6))</f>
        <v/>
      </c>
      <c r="G19" s="52" t="str">
        <f>IFERROR( CHOOSE(data!$C$6, AVERAGE($M19:$P19), GEOMEAN($M19:$P19)), "")</f>
        <v/>
      </c>
      <c r="H19" s="33" t="str" cm="1">
        <f t="array" ref="H19">IF(ISBLANK($B19), "", _xll.IMDP("BND", $B19, H$6))</f>
        <v/>
      </c>
      <c r="I19" s="33" t="str" cm="1">
        <f t="array" ref="I19">IF(ISBLANK($B19), "", _xll.IMDP("BND", $B19, I$6))</f>
        <v/>
      </c>
      <c r="J19" s="33" t="str" cm="1">
        <f t="array" ref="J19">IF(ISBLANK($B19), "", _xll.IMDP("BND", $B19, J$6))</f>
        <v/>
      </c>
      <c r="K19" s="34" t="str" cm="1">
        <f t="array" ref="K19">IF(ISBLANK($B19), "", _xll.IMDP("BND", $B19, K$6))</f>
        <v/>
      </c>
      <c r="M19" s="60" t="str">
        <f>IF(data!D$6, H19, "")</f>
        <v/>
      </c>
      <c r="N19" s="60" t="str">
        <f>IF(data!E$6, I19, "")</f>
        <v/>
      </c>
      <c r="O19" s="60" t="str">
        <f>IF(data!F$6, J19, "")</f>
        <v/>
      </c>
      <c r="P19" s="60" t="str">
        <f>IF(data!G$6, K19, "")</f>
        <v/>
      </c>
    </row>
    <row r="20" spans="2:16" s="4" customFormat="1" ht="12">
      <c r="B20" s="55"/>
      <c r="C20" s="50" t="str" cm="1">
        <f t="array" ref="C20">IF(ISBLANK($B20), "", _xll.IMDP("BND", $B20, C$6))</f>
        <v/>
      </c>
      <c r="D20" s="51" t="str" cm="1">
        <f t="array" ref="D20">IF(ISBLANK($B20), "", _xll.IMDP("BND", $B20, D$6,,"DtFmt=1"))</f>
        <v/>
      </c>
      <c r="E20" s="32" t="str" cm="1">
        <f t="array" ref="E20">IF(ISBLANK($B20), "", _xll.IMDP("BND", $B20, E$6))</f>
        <v/>
      </c>
      <c r="F20" s="33" t="str" cm="1">
        <f t="array" ref="F20">IF(ISBLANK($B20), "", _xll.IMDP("BND", $B20, F$6))</f>
        <v/>
      </c>
      <c r="G20" s="52" t="str">
        <f>IFERROR( CHOOSE(data!$C$6, AVERAGE($M20:$P20), GEOMEAN($M20:$P20)), "")</f>
        <v/>
      </c>
      <c r="H20" s="33" t="str" cm="1">
        <f t="array" ref="H20">IF(ISBLANK($B20), "", _xll.IMDP("BND", $B20, H$6))</f>
        <v/>
      </c>
      <c r="I20" s="33" t="str" cm="1">
        <f t="array" ref="I20">IF(ISBLANK($B20), "", _xll.IMDP("BND", $B20, I$6))</f>
        <v/>
      </c>
      <c r="J20" s="33" t="str" cm="1">
        <f t="array" ref="J20">IF(ISBLANK($B20), "", _xll.IMDP("BND", $B20, J$6))</f>
        <v/>
      </c>
      <c r="K20" s="34" t="str" cm="1">
        <f t="array" ref="K20">IF(ISBLANK($B20), "", _xll.IMDP("BND", $B20, K$6))</f>
        <v/>
      </c>
      <c r="M20" s="60" t="str">
        <f>IF(data!D$6, H20, "")</f>
        <v/>
      </c>
      <c r="N20" s="60" t="str">
        <f>IF(data!E$6, I20, "")</f>
        <v/>
      </c>
      <c r="O20" s="60" t="str">
        <f>IF(data!F$6, J20, "")</f>
        <v/>
      </c>
      <c r="P20" s="60" t="str">
        <f>IF(data!G$6, K20, "")</f>
        <v/>
      </c>
    </row>
    <row r="21" spans="2:16" s="4" customFormat="1" ht="12">
      <c r="B21" s="55"/>
      <c r="C21" s="50" t="str" cm="1">
        <f t="array" ref="C21">IF(ISBLANK($B21), "", _xll.IMDP("BND", $B21, C$6))</f>
        <v/>
      </c>
      <c r="D21" s="51" t="str" cm="1">
        <f t="array" ref="D21">IF(ISBLANK($B21), "", _xll.IMDP("BND", $B21, D$6,,"DtFmt=1"))</f>
        <v/>
      </c>
      <c r="E21" s="32" t="str" cm="1">
        <f t="array" ref="E21">IF(ISBLANK($B21), "", _xll.IMDP("BND", $B21, E$6))</f>
        <v/>
      </c>
      <c r="F21" s="33" t="str" cm="1">
        <f t="array" ref="F21">IF(ISBLANK($B21), "", _xll.IMDP("BND", $B21, F$6))</f>
        <v/>
      </c>
      <c r="G21" s="52" t="str">
        <f>IFERROR( CHOOSE(data!$C$6, AVERAGE($M21:$P21), GEOMEAN($M21:$P21)), "")</f>
        <v/>
      </c>
      <c r="H21" s="33" t="str" cm="1">
        <f t="array" ref="H21">IF(ISBLANK($B21), "", _xll.IMDP("BND", $B21, H$6))</f>
        <v/>
      </c>
      <c r="I21" s="33" t="str" cm="1">
        <f t="array" ref="I21">IF(ISBLANK($B21), "", _xll.IMDP("BND", $B21, I$6))</f>
        <v/>
      </c>
      <c r="J21" s="33" t="str" cm="1">
        <f t="array" ref="J21">IF(ISBLANK($B21), "", _xll.IMDP("BND", $B21, J$6))</f>
        <v/>
      </c>
      <c r="K21" s="34" t="str" cm="1">
        <f t="array" ref="K21">IF(ISBLANK($B21), "", _xll.IMDP("BND", $B21, K$6))</f>
        <v/>
      </c>
      <c r="M21" s="60" t="str">
        <f>IF(data!D$6, H21, "")</f>
        <v/>
      </c>
      <c r="N21" s="60" t="str">
        <f>IF(data!E$6, I21, "")</f>
        <v/>
      </c>
      <c r="O21" s="60" t="str">
        <f>IF(data!F$6, J21, "")</f>
        <v/>
      </c>
      <c r="P21" s="60" t="str">
        <f>IF(data!G$6, K21, "")</f>
        <v/>
      </c>
    </row>
    <row r="22" spans="2:16" s="4" customFormat="1" ht="12">
      <c r="B22" s="55"/>
      <c r="C22" s="50" t="str" cm="1">
        <f t="array" ref="C22">IF(ISBLANK($B22), "", _xll.IMDP("BND", $B22, C$6))</f>
        <v/>
      </c>
      <c r="D22" s="51" t="str" cm="1">
        <f t="array" ref="D22">IF(ISBLANK($B22), "", _xll.IMDP("BND", $B22, D$6,,"DtFmt=1"))</f>
        <v/>
      </c>
      <c r="E22" s="32" t="str" cm="1">
        <f t="array" ref="E22">IF(ISBLANK($B22), "", _xll.IMDP("BND", $B22, E$6))</f>
        <v/>
      </c>
      <c r="F22" s="33" t="str" cm="1">
        <f t="array" ref="F22">IF(ISBLANK($B22), "", _xll.IMDP("BND", $B22, F$6))</f>
        <v/>
      </c>
      <c r="G22" s="52" t="str">
        <f>IFERROR( CHOOSE(data!$C$6, AVERAGE($M22:$P22), GEOMEAN($M22:$P22)), "")</f>
        <v/>
      </c>
      <c r="H22" s="33" t="str" cm="1">
        <f t="array" ref="H22">IF(ISBLANK($B22), "", _xll.IMDP("BND", $B22, H$6))</f>
        <v/>
      </c>
      <c r="I22" s="33" t="str" cm="1">
        <f t="array" ref="I22">IF(ISBLANK($B22), "", _xll.IMDP("BND", $B22, I$6))</f>
        <v/>
      </c>
      <c r="J22" s="33" t="str" cm="1">
        <f t="array" ref="J22">IF(ISBLANK($B22), "", _xll.IMDP("BND", $B22, J$6))</f>
        <v/>
      </c>
      <c r="K22" s="34" t="str" cm="1">
        <f t="array" ref="K22">IF(ISBLANK($B22), "", _xll.IMDP("BND", $B22, K$6))</f>
        <v/>
      </c>
      <c r="M22" s="60" t="str">
        <f>IF(data!D$6, H22, "")</f>
        <v/>
      </c>
      <c r="N22" s="60" t="str">
        <f>IF(data!E$6, I22, "")</f>
        <v/>
      </c>
      <c r="O22" s="60" t="str">
        <f>IF(data!F$6, J22, "")</f>
        <v/>
      </c>
      <c r="P22" s="60" t="str">
        <f>IF(data!G$6, K22, "")</f>
        <v/>
      </c>
    </row>
    <row r="23" spans="2:16" s="4" customFormat="1" ht="12">
      <c r="B23" s="55"/>
      <c r="C23" s="50" t="str" cm="1">
        <f t="array" ref="C23">IF(ISBLANK($B23), "", _xll.IMDP("BND", $B23, C$6))</f>
        <v/>
      </c>
      <c r="D23" s="51" t="str" cm="1">
        <f t="array" ref="D23">IF(ISBLANK($B23), "", _xll.IMDP("BND", $B23, D$6,,"DtFmt=1"))</f>
        <v/>
      </c>
      <c r="E23" s="32" t="str" cm="1">
        <f t="array" ref="E23">IF(ISBLANK($B23), "", _xll.IMDP("BND", $B23, E$6))</f>
        <v/>
      </c>
      <c r="F23" s="33" t="str" cm="1">
        <f t="array" ref="F23">IF(ISBLANK($B23), "", _xll.IMDP("BND", $B23, F$6))</f>
        <v/>
      </c>
      <c r="G23" s="52" t="str">
        <f>IFERROR( CHOOSE(data!$C$6, AVERAGE($M23:$P23), GEOMEAN($M23:$P23)), "")</f>
        <v/>
      </c>
      <c r="H23" s="33" t="str" cm="1">
        <f t="array" ref="H23">IF(ISBLANK($B23), "", _xll.IMDP("BND", $B23, H$6))</f>
        <v/>
      </c>
      <c r="I23" s="33" t="str" cm="1">
        <f t="array" ref="I23">IF(ISBLANK($B23), "", _xll.IMDP("BND", $B23, I$6))</f>
        <v/>
      </c>
      <c r="J23" s="33" t="str" cm="1">
        <f t="array" ref="J23">IF(ISBLANK($B23), "", _xll.IMDP("BND", $B23, J$6))</f>
        <v/>
      </c>
      <c r="K23" s="34" t="str" cm="1">
        <f t="array" ref="K23">IF(ISBLANK($B23), "", _xll.IMDP("BND", $B23, K$6))</f>
        <v/>
      </c>
      <c r="M23" s="60" t="str">
        <f>IF(data!D$6, H23, "")</f>
        <v/>
      </c>
      <c r="N23" s="60" t="str">
        <f>IF(data!E$6, I23, "")</f>
        <v/>
      </c>
      <c r="O23" s="60" t="str">
        <f>IF(data!F$6, J23, "")</f>
        <v/>
      </c>
      <c r="P23" s="60" t="str">
        <f>IF(data!G$6, K23, "")</f>
        <v/>
      </c>
    </row>
    <row r="24" spans="2:16" s="4" customFormat="1" ht="12">
      <c r="B24" s="55"/>
      <c r="C24" s="50" t="str" cm="1">
        <f t="array" ref="C24">IF(ISBLANK($B24), "", _xll.IMDP("BND", $B24, C$6))</f>
        <v/>
      </c>
      <c r="D24" s="51" t="str" cm="1">
        <f t="array" ref="D24">IF(ISBLANK($B24), "", _xll.IMDP("BND", $B24, D$6,,"DtFmt=1"))</f>
        <v/>
      </c>
      <c r="E24" s="32" t="str" cm="1">
        <f t="array" ref="E24">IF(ISBLANK($B24), "", _xll.IMDP("BND", $B24, E$6))</f>
        <v/>
      </c>
      <c r="F24" s="33" t="str" cm="1">
        <f t="array" ref="F24">IF(ISBLANK($B24), "", _xll.IMDP("BND", $B24, F$6))</f>
        <v/>
      </c>
      <c r="G24" s="52" t="str">
        <f>IFERROR( CHOOSE(data!$C$6, AVERAGE($M24:$P24), GEOMEAN($M24:$P24)), "")</f>
        <v/>
      </c>
      <c r="H24" s="33" t="str" cm="1">
        <f t="array" ref="H24">IF(ISBLANK($B24), "", _xll.IMDP("BND", $B24, H$6))</f>
        <v/>
      </c>
      <c r="I24" s="33" t="str" cm="1">
        <f t="array" ref="I24">IF(ISBLANK($B24), "", _xll.IMDP("BND", $B24, I$6))</f>
        <v/>
      </c>
      <c r="J24" s="33" t="str" cm="1">
        <f t="array" ref="J24">IF(ISBLANK($B24), "", _xll.IMDP("BND", $B24, J$6))</f>
        <v/>
      </c>
      <c r="K24" s="34" t="str" cm="1">
        <f t="array" ref="K24">IF(ISBLANK($B24), "", _xll.IMDP("BND", $B24, K$6))</f>
        <v/>
      </c>
      <c r="M24" s="60" t="str">
        <f>IF(data!D$6, H24, "")</f>
        <v/>
      </c>
      <c r="N24" s="60" t="str">
        <f>IF(data!E$6, I24, "")</f>
        <v/>
      </c>
      <c r="O24" s="60" t="str">
        <f>IF(data!F$6, J24, "")</f>
        <v/>
      </c>
      <c r="P24" s="60" t="str">
        <f>IF(data!G$6, K24, "")</f>
        <v/>
      </c>
    </row>
    <row r="25" spans="2:16" s="4" customFormat="1" ht="12">
      <c r="B25" s="55"/>
      <c r="C25" s="50" t="str" cm="1">
        <f t="array" ref="C25">IF(ISBLANK($B25), "", _xll.IMDP("BND", $B25, C$6))</f>
        <v/>
      </c>
      <c r="D25" s="51" t="str" cm="1">
        <f t="array" ref="D25">IF(ISBLANK($B25), "", _xll.IMDP("BND", $B25, D$6,,"DtFmt=1"))</f>
        <v/>
      </c>
      <c r="E25" s="32" t="str" cm="1">
        <f t="array" ref="E25">IF(ISBLANK($B25), "", _xll.IMDP("BND", $B25, E$6))</f>
        <v/>
      </c>
      <c r="F25" s="33" t="str" cm="1">
        <f t="array" ref="F25">IF(ISBLANK($B25), "", _xll.IMDP("BND", $B25, F$6))</f>
        <v/>
      </c>
      <c r="G25" s="52" t="str">
        <f>IFERROR( CHOOSE(data!$C$6, AVERAGE($M25:$P25), GEOMEAN($M25:$P25)), "")</f>
        <v/>
      </c>
      <c r="H25" s="33" t="str" cm="1">
        <f t="array" ref="H25">IF(ISBLANK($B25), "", _xll.IMDP("BND", $B25, H$6))</f>
        <v/>
      </c>
      <c r="I25" s="33" t="str" cm="1">
        <f t="array" ref="I25">IF(ISBLANK($B25), "", _xll.IMDP("BND", $B25, I$6))</f>
        <v/>
      </c>
      <c r="J25" s="33" t="str" cm="1">
        <f t="array" ref="J25">IF(ISBLANK($B25), "", _xll.IMDP("BND", $B25, J$6))</f>
        <v/>
      </c>
      <c r="K25" s="34" t="str" cm="1">
        <f t="array" ref="K25">IF(ISBLANK($B25), "", _xll.IMDP("BND", $B25, K$6))</f>
        <v/>
      </c>
      <c r="M25" s="60" t="str">
        <f>IF(data!D$6, H25, "")</f>
        <v/>
      </c>
      <c r="N25" s="60" t="str">
        <f>IF(data!E$6, I25, "")</f>
        <v/>
      </c>
      <c r="O25" s="60" t="str">
        <f>IF(data!F$6, J25, "")</f>
        <v/>
      </c>
      <c r="P25" s="60" t="str">
        <f>IF(data!G$6, K25, "")</f>
        <v/>
      </c>
    </row>
    <row r="26" spans="2:16" s="4" customFormat="1" ht="12">
      <c r="B26" s="55"/>
      <c r="C26" s="50" t="str" cm="1">
        <f t="array" ref="C26">IF(ISBLANK($B26), "", _xll.IMDP("BND", $B26, C$6))</f>
        <v/>
      </c>
      <c r="D26" s="51" t="str" cm="1">
        <f t="array" ref="D26">IF(ISBLANK($B26), "", _xll.IMDP("BND", $B26, D$6,,"DtFmt=1"))</f>
        <v/>
      </c>
      <c r="E26" s="32" t="str" cm="1">
        <f t="array" ref="E26">IF(ISBLANK($B26), "", _xll.IMDP("BND", $B26, E$6))</f>
        <v/>
      </c>
      <c r="F26" s="33" t="str" cm="1">
        <f t="array" ref="F26">IF(ISBLANK($B26), "", _xll.IMDP("BND", $B26, F$6))</f>
        <v/>
      </c>
      <c r="G26" s="52" t="str">
        <f>IFERROR( CHOOSE(data!$C$6, AVERAGE($M26:$P26), GEOMEAN($M26:$P26)), "")</f>
        <v/>
      </c>
      <c r="H26" s="33" t="str" cm="1">
        <f t="array" ref="H26">IF(ISBLANK($B26), "", _xll.IMDP("BND", $B26, H$6))</f>
        <v/>
      </c>
      <c r="I26" s="33" t="str" cm="1">
        <f t="array" ref="I26">IF(ISBLANK($B26), "", _xll.IMDP("BND", $B26, I$6))</f>
        <v/>
      </c>
      <c r="J26" s="33" t="str" cm="1">
        <f t="array" ref="J26">IF(ISBLANK($B26), "", _xll.IMDP("BND", $B26, J$6))</f>
        <v/>
      </c>
      <c r="K26" s="34" t="str" cm="1">
        <f t="array" ref="K26">IF(ISBLANK($B26), "", _xll.IMDP("BND", $B26, K$6))</f>
        <v/>
      </c>
      <c r="M26" s="60" t="str">
        <f>IF(data!D$6, H26, "")</f>
        <v/>
      </c>
      <c r="N26" s="60" t="str">
        <f>IF(data!E$6, I26, "")</f>
        <v/>
      </c>
      <c r="O26" s="60" t="str">
        <f>IF(data!F$6, J26, "")</f>
        <v/>
      </c>
      <c r="P26" s="60" t="str">
        <f>IF(data!G$6, K26, "")</f>
        <v/>
      </c>
    </row>
    <row r="27" spans="2:16" s="4" customFormat="1" ht="12">
      <c r="B27" s="55"/>
      <c r="C27" s="50" t="str" cm="1">
        <f t="array" ref="C27">IF(ISBLANK($B27), "", _xll.IMDP("BND", $B27, C$6))</f>
        <v/>
      </c>
      <c r="D27" s="51" t="str" cm="1">
        <f t="array" ref="D27">IF(ISBLANK($B27), "", _xll.IMDP("BND", $B27, D$6,,"DtFmt=1"))</f>
        <v/>
      </c>
      <c r="E27" s="32" t="str" cm="1">
        <f t="array" ref="E27">IF(ISBLANK($B27), "", _xll.IMDP("BND", $B27, E$6))</f>
        <v/>
      </c>
      <c r="F27" s="33" t="str" cm="1">
        <f t="array" ref="F27">IF(ISBLANK($B27), "", _xll.IMDP("BND", $B27, F$6))</f>
        <v/>
      </c>
      <c r="G27" s="52" t="str">
        <f>IFERROR( CHOOSE(data!$C$6, AVERAGE($M27:$P27), GEOMEAN($M27:$P27)), "")</f>
        <v/>
      </c>
      <c r="H27" s="33" t="str" cm="1">
        <f t="array" ref="H27">IF(ISBLANK($B27), "", _xll.IMDP("BND", $B27, H$6))</f>
        <v/>
      </c>
      <c r="I27" s="33" t="str" cm="1">
        <f t="array" ref="I27">IF(ISBLANK($B27), "", _xll.IMDP("BND", $B27, I$6))</f>
        <v/>
      </c>
      <c r="J27" s="33" t="str" cm="1">
        <f t="array" ref="J27">IF(ISBLANK($B27), "", _xll.IMDP("BND", $B27, J$6))</f>
        <v/>
      </c>
      <c r="K27" s="34" t="str" cm="1">
        <f t="array" ref="K27">IF(ISBLANK($B27), "", _xll.IMDP("BND", $B27, K$6))</f>
        <v/>
      </c>
      <c r="M27" s="60" t="str">
        <f>IF(data!D$6, H27, "")</f>
        <v/>
      </c>
      <c r="N27" s="60" t="str">
        <f>IF(data!E$6, I27, "")</f>
        <v/>
      </c>
      <c r="O27" s="60" t="str">
        <f>IF(data!F$6, J27, "")</f>
        <v/>
      </c>
      <c r="P27" s="60" t="str">
        <f>IF(data!G$6, K27, "")</f>
        <v/>
      </c>
    </row>
    <row r="28" spans="2:16" s="4" customFormat="1" ht="12">
      <c r="B28" s="55"/>
      <c r="C28" s="50" t="str" cm="1">
        <f t="array" ref="C28">IF(ISBLANK($B28), "", _xll.IMDP("BND", $B28, C$6))</f>
        <v/>
      </c>
      <c r="D28" s="51" t="str" cm="1">
        <f t="array" ref="D28">IF(ISBLANK($B28), "", _xll.IMDP("BND", $B28, D$6,,"DtFmt=1"))</f>
        <v/>
      </c>
      <c r="E28" s="32" t="str" cm="1">
        <f t="array" ref="E28">IF(ISBLANK($B28), "", _xll.IMDP("BND", $B28, E$6))</f>
        <v/>
      </c>
      <c r="F28" s="33" t="str" cm="1">
        <f t="array" ref="F28">IF(ISBLANK($B28), "", _xll.IMDP("BND", $B28, F$6))</f>
        <v/>
      </c>
      <c r="G28" s="52" t="str">
        <f>IFERROR( CHOOSE(data!$C$6, AVERAGE($M28:$P28), GEOMEAN($M28:$P28)), "")</f>
        <v/>
      </c>
      <c r="H28" s="33" t="str" cm="1">
        <f t="array" ref="H28">IF(ISBLANK($B28), "", _xll.IMDP("BND", $B28, H$6))</f>
        <v/>
      </c>
      <c r="I28" s="33" t="str" cm="1">
        <f t="array" ref="I28">IF(ISBLANK($B28), "", _xll.IMDP("BND", $B28, I$6))</f>
        <v/>
      </c>
      <c r="J28" s="33" t="str" cm="1">
        <f t="array" ref="J28">IF(ISBLANK($B28), "", _xll.IMDP("BND", $B28, J$6))</f>
        <v/>
      </c>
      <c r="K28" s="34" t="str" cm="1">
        <f t="array" ref="K28">IF(ISBLANK($B28), "", _xll.IMDP("BND", $B28, K$6))</f>
        <v/>
      </c>
      <c r="M28" s="60" t="str">
        <f>IF(data!D$6, H28, "")</f>
        <v/>
      </c>
      <c r="N28" s="60" t="str">
        <f>IF(data!E$6, I28, "")</f>
        <v/>
      </c>
      <c r="O28" s="60" t="str">
        <f>IF(data!F$6, J28, "")</f>
        <v/>
      </c>
      <c r="P28" s="60" t="str">
        <f>IF(data!G$6, K28, "")</f>
        <v/>
      </c>
    </row>
    <row r="29" spans="2:16" s="4" customFormat="1" ht="12">
      <c r="B29" s="55"/>
      <c r="C29" s="50" t="str" cm="1">
        <f t="array" ref="C29">IF(ISBLANK($B29), "", _xll.IMDP("BND", $B29, C$6))</f>
        <v/>
      </c>
      <c r="D29" s="51" t="str" cm="1">
        <f t="array" ref="D29">IF(ISBLANK($B29), "", _xll.IMDP("BND", $B29, D$6,,"DtFmt=1"))</f>
        <v/>
      </c>
      <c r="E29" s="32" t="str" cm="1">
        <f t="array" ref="E29">IF(ISBLANK($B29), "", _xll.IMDP("BND", $B29, E$6))</f>
        <v/>
      </c>
      <c r="F29" s="33" t="str" cm="1">
        <f t="array" ref="F29">IF(ISBLANK($B29), "", _xll.IMDP("BND", $B29, F$6))</f>
        <v/>
      </c>
      <c r="G29" s="52" t="str">
        <f>IFERROR( CHOOSE(data!$C$6, AVERAGE($M29:$P29), GEOMEAN($M29:$P29)), "")</f>
        <v/>
      </c>
      <c r="H29" s="33" t="str" cm="1">
        <f t="array" ref="H29">IF(ISBLANK($B29), "", _xll.IMDP("BND", $B29, H$6))</f>
        <v/>
      </c>
      <c r="I29" s="33" t="str" cm="1">
        <f t="array" ref="I29">IF(ISBLANK($B29), "", _xll.IMDP("BND", $B29, I$6))</f>
        <v/>
      </c>
      <c r="J29" s="33" t="str" cm="1">
        <f t="array" ref="J29">IF(ISBLANK($B29), "", _xll.IMDP("BND", $B29, J$6))</f>
        <v/>
      </c>
      <c r="K29" s="34" t="str" cm="1">
        <f t="array" ref="K29">IF(ISBLANK($B29), "", _xll.IMDP("BND", $B29, K$6))</f>
        <v/>
      </c>
      <c r="M29" s="60" t="str">
        <f>IF(data!D$6, H29, "")</f>
        <v/>
      </c>
      <c r="N29" s="60" t="str">
        <f>IF(data!E$6, I29, "")</f>
        <v/>
      </c>
      <c r="O29" s="60" t="str">
        <f>IF(data!F$6, J29, "")</f>
        <v/>
      </c>
      <c r="P29" s="60" t="str">
        <f>IF(data!G$6, K29, "")</f>
        <v/>
      </c>
    </row>
    <row r="30" spans="2:16" s="4" customFormat="1" ht="12">
      <c r="B30" s="55"/>
      <c r="C30" s="50" t="str" cm="1">
        <f t="array" ref="C30">IF(ISBLANK($B30), "", _xll.IMDP("BND", $B30, C$6))</f>
        <v/>
      </c>
      <c r="D30" s="51" t="str" cm="1">
        <f t="array" ref="D30">IF(ISBLANK($B30), "", _xll.IMDP("BND", $B30, D$6,,"DtFmt=1"))</f>
        <v/>
      </c>
      <c r="E30" s="32" t="str" cm="1">
        <f t="array" ref="E30">IF(ISBLANK($B30), "", _xll.IMDP("BND", $B30, E$6))</f>
        <v/>
      </c>
      <c r="F30" s="33" t="str" cm="1">
        <f t="array" ref="F30">IF(ISBLANK($B30), "", _xll.IMDP("BND", $B30, F$6))</f>
        <v/>
      </c>
      <c r="G30" s="52" t="str">
        <f>IFERROR( CHOOSE(data!$C$6, AVERAGE($M30:$P30), GEOMEAN($M30:$P30)), "")</f>
        <v/>
      </c>
      <c r="H30" s="33" t="str" cm="1">
        <f t="array" ref="H30">IF(ISBLANK($B30), "", _xll.IMDP("BND", $B30, H$6))</f>
        <v/>
      </c>
      <c r="I30" s="33" t="str" cm="1">
        <f t="array" ref="I30">IF(ISBLANK($B30), "", _xll.IMDP("BND", $B30, I$6))</f>
        <v/>
      </c>
      <c r="J30" s="33" t="str" cm="1">
        <f t="array" ref="J30">IF(ISBLANK($B30), "", _xll.IMDP("BND", $B30, J$6))</f>
        <v/>
      </c>
      <c r="K30" s="34" t="str" cm="1">
        <f t="array" ref="K30">IF(ISBLANK($B30), "", _xll.IMDP("BND", $B30, K$6))</f>
        <v/>
      </c>
      <c r="M30" s="60" t="str">
        <f>IF(data!D$6, H30, "")</f>
        <v/>
      </c>
      <c r="N30" s="60" t="str">
        <f>IF(data!E$6, I30, "")</f>
        <v/>
      </c>
      <c r="O30" s="60" t="str">
        <f>IF(data!F$6, J30, "")</f>
        <v/>
      </c>
      <c r="P30" s="60" t="str">
        <f>IF(data!G$6, K30, "")</f>
        <v/>
      </c>
    </row>
    <row r="31" spans="2:16" s="4" customFormat="1" ht="12">
      <c r="B31" s="55"/>
      <c r="C31" s="50" t="str" cm="1">
        <f t="array" ref="C31">IF(ISBLANK($B31), "", _xll.IMDP("BND", $B31, C$6))</f>
        <v/>
      </c>
      <c r="D31" s="51" t="str" cm="1">
        <f t="array" ref="D31">IF(ISBLANK($B31), "", _xll.IMDP("BND", $B31, D$6,,"DtFmt=1"))</f>
        <v/>
      </c>
      <c r="E31" s="32" t="str" cm="1">
        <f t="array" ref="E31">IF(ISBLANK($B31), "", _xll.IMDP("BND", $B31, E$6))</f>
        <v/>
      </c>
      <c r="F31" s="33" t="str" cm="1">
        <f t="array" ref="F31">IF(ISBLANK($B31), "", _xll.IMDP("BND", $B31, F$6))</f>
        <v/>
      </c>
      <c r="G31" s="52" t="str">
        <f>IFERROR( CHOOSE(data!$C$6, AVERAGE($M31:$P31), GEOMEAN($M31:$P31)), "")</f>
        <v/>
      </c>
      <c r="H31" s="33" t="str" cm="1">
        <f t="array" ref="H31">IF(ISBLANK($B31), "", _xll.IMDP("BND", $B31, H$6))</f>
        <v/>
      </c>
      <c r="I31" s="33" t="str" cm="1">
        <f t="array" ref="I31">IF(ISBLANK($B31), "", _xll.IMDP("BND", $B31, I$6))</f>
        <v/>
      </c>
      <c r="J31" s="33" t="str" cm="1">
        <f t="array" ref="J31">IF(ISBLANK($B31), "", _xll.IMDP("BND", $B31, J$6))</f>
        <v/>
      </c>
      <c r="K31" s="34" t="str" cm="1">
        <f t="array" ref="K31">IF(ISBLANK($B31), "", _xll.IMDP("BND", $B31, K$6))</f>
        <v/>
      </c>
      <c r="M31" s="60" t="str">
        <f>IF(data!D$6, H31, "")</f>
        <v/>
      </c>
      <c r="N31" s="60" t="str">
        <f>IF(data!E$6, I31, "")</f>
        <v/>
      </c>
      <c r="O31" s="60" t="str">
        <f>IF(data!F$6, J31, "")</f>
        <v/>
      </c>
      <c r="P31" s="60" t="str">
        <f>IF(data!G$6, K31, "")</f>
        <v/>
      </c>
    </row>
    <row r="32" spans="2:16" s="4" customFormat="1" ht="12">
      <c r="B32" s="55"/>
      <c r="C32" s="50" t="str" cm="1">
        <f t="array" ref="C32">IF(ISBLANK($B32), "", _xll.IMDP("BND", $B32, C$6))</f>
        <v/>
      </c>
      <c r="D32" s="51" t="str" cm="1">
        <f t="array" ref="D32">IF(ISBLANK($B32), "", _xll.IMDP("BND", $B32, D$6,,"DtFmt=1"))</f>
        <v/>
      </c>
      <c r="E32" s="32" t="str" cm="1">
        <f t="array" ref="E32">IF(ISBLANK($B32), "", _xll.IMDP("BND", $B32, E$6))</f>
        <v/>
      </c>
      <c r="F32" s="33" t="str" cm="1">
        <f t="array" ref="F32">IF(ISBLANK($B32), "", _xll.IMDP("BND", $B32, F$6))</f>
        <v/>
      </c>
      <c r="G32" s="52" t="str">
        <f>IFERROR( CHOOSE(data!$C$6, AVERAGE($M32:$P32), GEOMEAN($M32:$P32)), "")</f>
        <v/>
      </c>
      <c r="H32" s="33" t="str" cm="1">
        <f t="array" ref="H32">IF(ISBLANK($B32), "", _xll.IMDP("BND", $B32, H$6))</f>
        <v/>
      </c>
      <c r="I32" s="33" t="str" cm="1">
        <f t="array" ref="I32">IF(ISBLANK($B32), "", _xll.IMDP("BND", $B32, I$6))</f>
        <v/>
      </c>
      <c r="J32" s="33" t="str" cm="1">
        <f t="array" ref="J32">IF(ISBLANK($B32), "", _xll.IMDP("BND", $B32, J$6))</f>
        <v/>
      </c>
      <c r="K32" s="34" t="str" cm="1">
        <f t="array" ref="K32">IF(ISBLANK($B32), "", _xll.IMDP("BND", $B32, K$6))</f>
        <v/>
      </c>
      <c r="M32" s="60" t="str">
        <f>IF(data!D$6, H32, "")</f>
        <v/>
      </c>
      <c r="N32" s="60" t="str">
        <f>IF(data!E$6, I32, "")</f>
        <v/>
      </c>
      <c r="O32" s="60" t="str">
        <f>IF(data!F$6, J32, "")</f>
        <v/>
      </c>
      <c r="P32" s="60" t="str">
        <f>IF(data!G$6, K32, "")</f>
        <v/>
      </c>
    </row>
    <row r="33" spans="2:16" s="4" customFormat="1" ht="12">
      <c r="B33" s="55"/>
      <c r="C33" s="50" t="str" cm="1">
        <f t="array" ref="C33">IF(ISBLANK($B33), "", _xll.IMDP("BND", $B33, C$6))</f>
        <v/>
      </c>
      <c r="D33" s="51" t="str" cm="1">
        <f t="array" ref="D33">IF(ISBLANK($B33), "", _xll.IMDP("BND", $B33, D$6,,"DtFmt=1"))</f>
        <v/>
      </c>
      <c r="E33" s="32" t="str" cm="1">
        <f t="array" ref="E33">IF(ISBLANK($B33), "", _xll.IMDP("BND", $B33, E$6))</f>
        <v/>
      </c>
      <c r="F33" s="33" t="str" cm="1">
        <f t="array" ref="F33">IF(ISBLANK($B33), "", _xll.IMDP("BND", $B33, F$6))</f>
        <v/>
      </c>
      <c r="G33" s="52" t="str">
        <f>IFERROR( CHOOSE(data!$C$6, AVERAGE($M33:$P33), GEOMEAN($M33:$P33)), "")</f>
        <v/>
      </c>
      <c r="H33" s="33" t="str" cm="1">
        <f t="array" ref="H33">IF(ISBLANK($B33), "", _xll.IMDP("BND", $B33, H$6))</f>
        <v/>
      </c>
      <c r="I33" s="33" t="str" cm="1">
        <f t="array" ref="I33">IF(ISBLANK($B33), "", _xll.IMDP("BND", $B33, I$6))</f>
        <v/>
      </c>
      <c r="J33" s="33" t="str" cm="1">
        <f t="array" ref="J33">IF(ISBLANK($B33), "", _xll.IMDP("BND", $B33, J$6))</f>
        <v/>
      </c>
      <c r="K33" s="34" t="str" cm="1">
        <f t="array" ref="K33">IF(ISBLANK($B33), "", _xll.IMDP("BND", $B33, K$6))</f>
        <v/>
      </c>
      <c r="M33" s="60" t="str">
        <f>IF(data!D$6, H33, "")</f>
        <v/>
      </c>
      <c r="N33" s="60" t="str">
        <f>IF(data!E$6, I33, "")</f>
        <v/>
      </c>
      <c r="O33" s="60" t="str">
        <f>IF(data!F$6, J33, "")</f>
        <v/>
      </c>
      <c r="P33" s="60" t="str">
        <f>IF(data!G$6, K33, "")</f>
        <v/>
      </c>
    </row>
    <row r="34" spans="2:16" s="4" customFormat="1" ht="12">
      <c r="B34" s="55"/>
      <c r="C34" s="50" t="str" cm="1">
        <f t="array" ref="C34">IF(ISBLANK($B34), "", _xll.IMDP("BND", $B34, C$6))</f>
        <v/>
      </c>
      <c r="D34" s="51" t="str" cm="1">
        <f t="array" ref="D34">IF(ISBLANK($B34), "", _xll.IMDP("BND", $B34, D$6,,"DtFmt=1"))</f>
        <v/>
      </c>
      <c r="E34" s="32" t="str" cm="1">
        <f t="array" ref="E34">IF(ISBLANK($B34), "", _xll.IMDP("BND", $B34, E$6))</f>
        <v/>
      </c>
      <c r="F34" s="33" t="str" cm="1">
        <f t="array" ref="F34">IF(ISBLANK($B34), "", _xll.IMDP("BND", $B34, F$6))</f>
        <v/>
      </c>
      <c r="G34" s="52" t="str">
        <f>IFERROR( CHOOSE(data!$C$6, AVERAGE($M34:$P34), GEOMEAN($M34:$P34)), "")</f>
        <v/>
      </c>
      <c r="H34" s="33" t="str" cm="1">
        <f t="array" ref="H34">IF(ISBLANK($B34), "", _xll.IMDP("BND", $B34, H$6))</f>
        <v/>
      </c>
      <c r="I34" s="33" t="str" cm="1">
        <f t="array" ref="I34">IF(ISBLANK($B34), "", _xll.IMDP("BND", $B34, I$6))</f>
        <v/>
      </c>
      <c r="J34" s="33" t="str" cm="1">
        <f t="array" ref="J34">IF(ISBLANK($B34), "", _xll.IMDP("BND", $B34, J$6))</f>
        <v/>
      </c>
      <c r="K34" s="34" t="str" cm="1">
        <f t="array" ref="K34">IF(ISBLANK($B34), "", _xll.IMDP("BND", $B34, K$6))</f>
        <v/>
      </c>
      <c r="M34" s="60" t="str">
        <f>IF(data!D$6, H34, "")</f>
        <v/>
      </c>
      <c r="N34" s="60" t="str">
        <f>IF(data!E$6, I34, "")</f>
        <v/>
      </c>
      <c r="O34" s="60" t="str">
        <f>IF(data!F$6, J34, "")</f>
        <v/>
      </c>
      <c r="P34" s="60" t="str">
        <f>IF(data!G$6, K34, "")</f>
        <v/>
      </c>
    </row>
    <row r="35" spans="2:16" s="4" customFormat="1" ht="12">
      <c r="B35" s="55"/>
      <c r="C35" s="50" t="str" cm="1">
        <f t="array" ref="C35">IF(ISBLANK($B35), "", _xll.IMDP("BND", $B35, C$6))</f>
        <v/>
      </c>
      <c r="D35" s="51" t="str" cm="1">
        <f t="array" ref="D35">IF(ISBLANK($B35), "", _xll.IMDP("BND", $B35, D$6,,"DtFmt=1"))</f>
        <v/>
      </c>
      <c r="E35" s="32" t="str" cm="1">
        <f t="array" ref="E35">IF(ISBLANK($B35), "", _xll.IMDP("BND", $B35, E$6))</f>
        <v/>
      </c>
      <c r="F35" s="33" t="str" cm="1">
        <f t="array" ref="F35">IF(ISBLANK($B35), "", _xll.IMDP("BND", $B35, F$6))</f>
        <v/>
      </c>
      <c r="G35" s="52" t="str">
        <f>IFERROR( CHOOSE(data!$C$6, AVERAGE($M35:$P35), GEOMEAN($M35:$P35)), "")</f>
        <v/>
      </c>
      <c r="H35" s="33" t="str" cm="1">
        <f t="array" ref="H35">IF(ISBLANK($B35), "", _xll.IMDP("BND", $B35, H$6))</f>
        <v/>
      </c>
      <c r="I35" s="33" t="str" cm="1">
        <f t="array" ref="I35">IF(ISBLANK($B35), "", _xll.IMDP("BND", $B35, I$6))</f>
        <v/>
      </c>
      <c r="J35" s="33" t="str" cm="1">
        <f t="array" ref="J35">IF(ISBLANK($B35), "", _xll.IMDP("BND", $B35, J$6))</f>
        <v/>
      </c>
      <c r="K35" s="34" t="str" cm="1">
        <f t="array" ref="K35">IF(ISBLANK($B35), "", _xll.IMDP("BND", $B35, K$6))</f>
        <v/>
      </c>
      <c r="M35" s="60" t="str">
        <f>IF(data!D$6, H35, "")</f>
        <v/>
      </c>
      <c r="N35" s="60" t="str">
        <f>IF(data!E$6, I35, "")</f>
        <v/>
      </c>
      <c r="O35" s="60" t="str">
        <f>IF(data!F$6, J35, "")</f>
        <v/>
      </c>
      <c r="P35" s="60" t="str">
        <f>IF(data!G$6, K35, "")</f>
        <v/>
      </c>
    </row>
    <row r="36" spans="2:16" s="4" customFormat="1" ht="12">
      <c r="B36" s="55"/>
      <c r="C36" s="50" t="str" cm="1">
        <f t="array" ref="C36">IF(ISBLANK($B36), "", _xll.IMDP("BND", $B36, C$6))</f>
        <v/>
      </c>
      <c r="D36" s="51" t="str" cm="1">
        <f t="array" ref="D36">IF(ISBLANK($B36), "", _xll.IMDP("BND", $B36, D$6,,"DtFmt=1"))</f>
        <v/>
      </c>
      <c r="E36" s="32" t="str" cm="1">
        <f t="array" ref="E36">IF(ISBLANK($B36), "", _xll.IMDP("BND", $B36, E$6))</f>
        <v/>
      </c>
      <c r="F36" s="33" t="str" cm="1">
        <f t="array" ref="F36">IF(ISBLANK($B36), "", _xll.IMDP("BND", $B36, F$6))</f>
        <v/>
      </c>
      <c r="G36" s="52" t="str">
        <f>IFERROR( CHOOSE(data!$C$6, AVERAGE($M36:$P36), GEOMEAN($M36:$P36)), "")</f>
        <v/>
      </c>
      <c r="H36" s="33" t="str" cm="1">
        <f t="array" ref="H36">IF(ISBLANK($B36), "", _xll.IMDP("BND", $B36, H$6))</f>
        <v/>
      </c>
      <c r="I36" s="33" t="str" cm="1">
        <f t="array" ref="I36">IF(ISBLANK($B36), "", _xll.IMDP("BND", $B36, I$6))</f>
        <v/>
      </c>
      <c r="J36" s="33" t="str" cm="1">
        <f t="array" ref="J36">IF(ISBLANK($B36), "", _xll.IMDP("BND", $B36, J$6))</f>
        <v/>
      </c>
      <c r="K36" s="34" t="str" cm="1">
        <f t="array" ref="K36">IF(ISBLANK($B36), "", _xll.IMDP("BND", $B36, K$6))</f>
        <v/>
      </c>
      <c r="M36" s="60" t="str">
        <f>IF(data!D$6, H36, "")</f>
        <v/>
      </c>
      <c r="N36" s="60" t="str">
        <f>IF(data!E$6, I36, "")</f>
        <v/>
      </c>
      <c r="O36" s="60" t="str">
        <f>IF(data!F$6, J36, "")</f>
        <v/>
      </c>
      <c r="P36" s="60" t="str">
        <f>IF(data!G$6, K36, "")</f>
        <v/>
      </c>
    </row>
    <row r="37" spans="2:16" s="4" customFormat="1" ht="12">
      <c r="B37" s="55"/>
      <c r="C37" s="50" t="str" cm="1">
        <f t="array" ref="C37">IF(ISBLANK($B37), "", _xll.IMDP("BND", $B37, C$6))</f>
        <v/>
      </c>
      <c r="D37" s="51" t="str" cm="1">
        <f t="array" ref="D37">IF(ISBLANK($B37), "", _xll.IMDP("BND", $B37, D$6,,"DtFmt=1"))</f>
        <v/>
      </c>
      <c r="E37" s="32" t="str" cm="1">
        <f t="array" ref="E37">IF(ISBLANK($B37), "", _xll.IMDP("BND", $B37, E$6))</f>
        <v/>
      </c>
      <c r="F37" s="33" t="str" cm="1">
        <f t="array" ref="F37">IF(ISBLANK($B37), "", _xll.IMDP("BND", $B37, F$6))</f>
        <v/>
      </c>
      <c r="G37" s="52" t="str">
        <f>IFERROR( CHOOSE(data!$C$6, AVERAGE($M37:$P37), GEOMEAN($M37:$P37)), "")</f>
        <v/>
      </c>
      <c r="H37" s="33" t="str" cm="1">
        <f t="array" ref="H37">IF(ISBLANK($B37), "", _xll.IMDP("BND", $B37, H$6))</f>
        <v/>
      </c>
      <c r="I37" s="33" t="str" cm="1">
        <f t="array" ref="I37">IF(ISBLANK($B37), "", _xll.IMDP("BND", $B37, I$6))</f>
        <v/>
      </c>
      <c r="J37" s="33" t="str" cm="1">
        <f t="array" ref="J37">IF(ISBLANK($B37), "", _xll.IMDP("BND", $B37, J$6))</f>
        <v/>
      </c>
      <c r="K37" s="34" t="str" cm="1">
        <f t="array" ref="K37">IF(ISBLANK($B37), "", _xll.IMDP("BND", $B37, K$6))</f>
        <v/>
      </c>
      <c r="M37" s="60" t="str">
        <f>IF(data!D$6, H37, "")</f>
        <v/>
      </c>
      <c r="N37" s="60" t="str">
        <f>IF(data!E$6, I37, "")</f>
        <v/>
      </c>
      <c r="O37" s="60" t="str">
        <f>IF(data!F$6, J37, "")</f>
        <v/>
      </c>
      <c r="P37" s="60" t="str">
        <f>IF(data!G$6, K37, "")</f>
        <v/>
      </c>
    </row>
    <row r="38" spans="2:16" s="4" customFormat="1" ht="12">
      <c r="B38" s="55"/>
      <c r="C38" s="50" t="str" cm="1">
        <f t="array" ref="C38">IF(ISBLANK($B38), "", _xll.IMDP("BND", $B38, C$6))</f>
        <v/>
      </c>
      <c r="D38" s="51" t="str" cm="1">
        <f t="array" ref="D38">IF(ISBLANK($B38), "", _xll.IMDP("BND", $B38, D$6,,"DtFmt=1"))</f>
        <v/>
      </c>
      <c r="E38" s="32" t="str" cm="1">
        <f t="array" ref="E38">IF(ISBLANK($B38), "", _xll.IMDP("BND", $B38, E$6))</f>
        <v/>
      </c>
      <c r="F38" s="33" t="str" cm="1">
        <f t="array" ref="F38">IF(ISBLANK($B38), "", _xll.IMDP("BND", $B38, F$6))</f>
        <v/>
      </c>
      <c r="G38" s="52" t="str">
        <f>IFERROR( CHOOSE(data!$C$6, AVERAGE($M38:$P38), GEOMEAN($M38:$P38)), "")</f>
        <v/>
      </c>
      <c r="H38" s="33" t="str" cm="1">
        <f t="array" ref="H38">IF(ISBLANK($B38), "", _xll.IMDP("BND", $B38, H$6))</f>
        <v/>
      </c>
      <c r="I38" s="33" t="str" cm="1">
        <f t="array" ref="I38">IF(ISBLANK($B38), "", _xll.IMDP("BND", $B38, I$6))</f>
        <v/>
      </c>
      <c r="J38" s="33" t="str" cm="1">
        <f t="array" ref="J38">IF(ISBLANK($B38), "", _xll.IMDP("BND", $B38, J$6))</f>
        <v/>
      </c>
      <c r="K38" s="34" t="str" cm="1">
        <f t="array" ref="K38">IF(ISBLANK($B38), "", _xll.IMDP("BND", $B38, K$6))</f>
        <v/>
      </c>
      <c r="M38" s="60" t="str">
        <f>IF(data!D$6, H38, "")</f>
        <v/>
      </c>
      <c r="N38" s="60" t="str">
        <f>IF(data!E$6, I38, "")</f>
        <v/>
      </c>
      <c r="O38" s="60" t="str">
        <f>IF(data!F$6, J38, "")</f>
        <v/>
      </c>
      <c r="P38" s="60" t="str">
        <f>IF(data!G$6, K38, "")</f>
        <v/>
      </c>
    </row>
    <row r="39" spans="2:16" s="4" customFormat="1" ht="12">
      <c r="B39" s="55"/>
      <c r="C39" s="50" t="str" cm="1">
        <f t="array" ref="C39">IF(ISBLANK($B39), "", _xll.IMDP("BND", $B39, C$6))</f>
        <v/>
      </c>
      <c r="D39" s="51" t="str" cm="1">
        <f t="array" ref="D39">IF(ISBLANK($B39), "", _xll.IMDP("BND", $B39, D$6,,"DtFmt=1"))</f>
        <v/>
      </c>
      <c r="E39" s="32" t="str" cm="1">
        <f t="array" ref="E39">IF(ISBLANK($B39), "", _xll.IMDP("BND", $B39, E$6))</f>
        <v/>
      </c>
      <c r="F39" s="33" t="str" cm="1">
        <f t="array" ref="F39">IF(ISBLANK($B39), "", _xll.IMDP("BND", $B39, F$6))</f>
        <v/>
      </c>
      <c r="G39" s="52" t="str">
        <f>IFERROR( CHOOSE(data!$C$6, AVERAGE($M39:$P39), GEOMEAN($M39:$P39)), "")</f>
        <v/>
      </c>
      <c r="H39" s="33" t="str" cm="1">
        <f t="array" ref="H39">IF(ISBLANK($B39), "", _xll.IMDP("BND", $B39, H$6))</f>
        <v/>
      </c>
      <c r="I39" s="33" t="str" cm="1">
        <f t="array" ref="I39">IF(ISBLANK($B39), "", _xll.IMDP("BND", $B39, I$6))</f>
        <v/>
      </c>
      <c r="J39" s="33" t="str" cm="1">
        <f t="array" ref="J39">IF(ISBLANK($B39), "", _xll.IMDP("BND", $B39, J$6))</f>
        <v/>
      </c>
      <c r="K39" s="34" t="str" cm="1">
        <f t="array" ref="K39">IF(ISBLANK($B39), "", _xll.IMDP("BND", $B39, K$6))</f>
        <v/>
      </c>
      <c r="M39" s="60" t="str">
        <f>IF(data!D$6, H39, "")</f>
        <v/>
      </c>
      <c r="N39" s="60" t="str">
        <f>IF(data!E$6, I39, "")</f>
        <v/>
      </c>
      <c r="O39" s="60" t="str">
        <f>IF(data!F$6, J39, "")</f>
        <v/>
      </c>
      <c r="P39" s="60" t="str">
        <f>IF(data!G$6, K39, "")</f>
        <v/>
      </c>
    </row>
    <row r="40" spans="2:16" s="4" customFormat="1" ht="12">
      <c r="B40" s="55"/>
      <c r="C40" s="50" t="str" cm="1">
        <f t="array" ref="C40">IF(ISBLANK($B40), "", _xll.IMDP("BND", $B40, C$6))</f>
        <v/>
      </c>
      <c r="D40" s="51" t="str" cm="1">
        <f t="array" ref="D40">IF(ISBLANK($B40), "", _xll.IMDP("BND", $B40, D$6,,"DtFmt=1"))</f>
        <v/>
      </c>
      <c r="E40" s="32" t="str" cm="1">
        <f t="array" ref="E40">IF(ISBLANK($B40), "", _xll.IMDP("BND", $B40, E$6))</f>
        <v/>
      </c>
      <c r="F40" s="33" t="str" cm="1">
        <f t="array" ref="F40">IF(ISBLANK($B40), "", _xll.IMDP("BND", $B40, F$6))</f>
        <v/>
      </c>
      <c r="G40" s="52" t="str">
        <f>IFERROR( CHOOSE(data!$C$6, AVERAGE($M40:$P40), GEOMEAN($M40:$P40)), "")</f>
        <v/>
      </c>
      <c r="H40" s="33" t="str" cm="1">
        <f t="array" ref="H40">IF(ISBLANK($B40), "", _xll.IMDP("BND", $B40, H$6))</f>
        <v/>
      </c>
      <c r="I40" s="33" t="str" cm="1">
        <f t="array" ref="I40">IF(ISBLANK($B40), "", _xll.IMDP("BND", $B40, I$6))</f>
        <v/>
      </c>
      <c r="J40" s="33" t="str" cm="1">
        <f t="array" ref="J40">IF(ISBLANK($B40), "", _xll.IMDP("BND", $B40, J$6))</f>
        <v/>
      </c>
      <c r="K40" s="34" t="str" cm="1">
        <f t="array" ref="K40">IF(ISBLANK($B40), "", _xll.IMDP("BND", $B40, K$6))</f>
        <v/>
      </c>
      <c r="M40" s="60" t="str">
        <f>IF(data!D$6, H40, "")</f>
        <v/>
      </c>
      <c r="N40" s="60" t="str">
        <f>IF(data!E$6, I40, "")</f>
        <v/>
      </c>
      <c r="O40" s="60" t="str">
        <f>IF(data!F$6, J40, "")</f>
        <v/>
      </c>
      <c r="P40" s="60" t="str">
        <f>IF(data!G$6, K40, "")</f>
        <v/>
      </c>
    </row>
    <row r="41" spans="2:16" s="4" customFormat="1" ht="12">
      <c r="B41" s="55"/>
      <c r="C41" s="50" t="str" cm="1">
        <f t="array" ref="C41">IF(ISBLANK($B41), "", _xll.IMDP("BND", $B41, C$6))</f>
        <v/>
      </c>
      <c r="D41" s="51" t="str" cm="1">
        <f t="array" ref="D41">IF(ISBLANK($B41), "", _xll.IMDP("BND", $B41, D$6,,"DtFmt=1"))</f>
        <v/>
      </c>
      <c r="E41" s="32" t="str" cm="1">
        <f t="array" ref="E41">IF(ISBLANK($B41), "", _xll.IMDP("BND", $B41, E$6))</f>
        <v/>
      </c>
      <c r="F41" s="33" t="str" cm="1">
        <f t="array" ref="F41">IF(ISBLANK($B41), "", _xll.IMDP("BND", $B41, F$6))</f>
        <v/>
      </c>
      <c r="G41" s="52" t="str">
        <f>IFERROR( CHOOSE(data!$C$6, AVERAGE($M41:$P41), GEOMEAN($M41:$P41)), "")</f>
        <v/>
      </c>
      <c r="H41" s="33" t="str" cm="1">
        <f t="array" ref="H41">IF(ISBLANK($B41), "", _xll.IMDP("BND", $B41, H$6))</f>
        <v/>
      </c>
      <c r="I41" s="33" t="str" cm="1">
        <f t="array" ref="I41">IF(ISBLANK($B41), "", _xll.IMDP("BND", $B41, I$6))</f>
        <v/>
      </c>
      <c r="J41" s="33" t="str" cm="1">
        <f t="array" ref="J41">IF(ISBLANK($B41), "", _xll.IMDP("BND", $B41, J$6))</f>
        <v/>
      </c>
      <c r="K41" s="34" t="str" cm="1">
        <f t="array" ref="K41">IF(ISBLANK($B41), "", _xll.IMDP("BND", $B41, K$6))</f>
        <v/>
      </c>
      <c r="M41" s="60" t="str">
        <f>IF(data!D$6, H41, "")</f>
        <v/>
      </c>
      <c r="N41" s="60" t="str">
        <f>IF(data!E$6, I41, "")</f>
        <v/>
      </c>
      <c r="O41" s="60" t="str">
        <f>IF(data!F$6, J41, "")</f>
        <v/>
      </c>
      <c r="P41" s="60" t="str">
        <f>IF(data!G$6, K41, "")</f>
        <v/>
      </c>
    </row>
    <row r="42" spans="2:16" s="4" customFormat="1" ht="12">
      <c r="B42" s="55"/>
      <c r="C42" s="50" t="str" cm="1">
        <f t="array" ref="C42">IF(ISBLANK($B42), "", _xll.IMDP("BND", $B42, C$6))</f>
        <v/>
      </c>
      <c r="D42" s="51" t="str" cm="1">
        <f t="array" ref="D42">IF(ISBLANK($B42), "", _xll.IMDP("BND", $B42, D$6,,"DtFmt=1"))</f>
        <v/>
      </c>
      <c r="E42" s="32" t="str" cm="1">
        <f t="array" ref="E42">IF(ISBLANK($B42), "", _xll.IMDP("BND", $B42, E$6))</f>
        <v/>
      </c>
      <c r="F42" s="33" t="str" cm="1">
        <f t="array" ref="F42">IF(ISBLANK($B42), "", _xll.IMDP("BND", $B42, F$6))</f>
        <v/>
      </c>
      <c r="G42" s="52" t="str">
        <f>IFERROR( CHOOSE(data!$C$6, AVERAGE($M42:$P42), GEOMEAN($M42:$P42)), "")</f>
        <v/>
      </c>
      <c r="H42" s="33" t="str" cm="1">
        <f t="array" ref="H42">IF(ISBLANK($B42), "", _xll.IMDP("BND", $B42, H$6))</f>
        <v/>
      </c>
      <c r="I42" s="33" t="str" cm="1">
        <f t="array" ref="I42">IF(ISBLANK($B42), "", _xll.IMDP("BND", $B42, I$6))</f>
        <v/>
      </c>
      <c r="J42" s="33" t="str" cm="1">
        <f t="array" ref="J42">IF(ISBLANK($B42), "", _xll.IMDP("BND", $B42, J$6))</f>
        <v/>
      </c>
      <c r="K42" s="34" t="str" cm="1">
        <f t="array" ref="K42">IF(ISBLANK($B42), "", _xll.IMDP("BND", $B42, K$6))</f>
        <v/>
      </c>
      <c r="M42" s="60" t="str">
        <f>IF(data!D$6, H42, "")</f>
        <v/>
      </c>
      <c r="N42" s="60" t="str">
        <f>IF(data!E$6, I42, "")</f>
        <v/>
      </c>
      <c r="O42" s="60" t="str">
        <f>IF(data!F$6, J42, "")</f>
        <v/>
      </c>
      <c r="P42" s="60" t="str">
        <f>IF(data!G$6, K42, "")</f>
        <v/>
      </c>
    </row>
    <row r="43" spans="2:16" s="4" customFormat="1" ht="12">
      <c r="B43" s="55"/>
      <c r="C43" s="50" t="str" cm="1">
        <f t="array" ref="C43">IF(ISBLANK($B43), "", _xll.IMDP("BND", $B43, C$6))</f>
        <v/>
      </c>
      <c r="D43" s="51" t="str" cm="1">
        <f t="array" ref="D43">IF(ISBLANK($B43), "", _xll.IMDP("BND", $B43, D$6,,"DtFmt=1"))</f>
        <v/>
      </c>
      <c r="E43" s="32" t="str" cm="1">
        <f t="array" ref="E43">IF(ISBLANK($B43), "", _xll.IMDP("BND", $B43, E$6))</f>
        <v/>
      </c>
      <c r="F43" s="33" t="str" cm="1">
        <f t="array" ref="F43">IF(ISBLANK($B43), "", _xll.IMDP("BND", $B43, F$6))</f>
        <v/>
      </c>
      <c r="G43" s="52" t="str">
        <f>IFERROR( CHOOSE(data!$C$6, AVERAGE($M43:$P43), GEOMEAN($M43:$P43)), "")</f>
        <v/>
      </c>
      <c r="H43" s="33" t="str" cm="1">
        <f t="array" ref="H43">IF(ISBLANK($B43), "", _xll.IMDP("BND", $B43, H$6))</f>
        <v/>
      </c>
      <c r="I43" s="33" t="str" cm="1">
        <f t="array" ref="I43">IF(ISBLANK($B43), "", _xll.IMDP("BND", $B43, I$6))</f>
        <v/>
      </c>
      <c r="J43" s="33" t="str" cm="1">
        <f t="array" ref="J43">IF(ISBLANK($B43), "", _xll.IMDP("BND", $B43, J$6))</f>
        <v/>
      </c>
      <c r="K43" s="34" t="str" cm="1">
        <f t="array" ref="K43">IF(ISBLANK($B43), "", _xll.IMDP("BND", $B43, K$6))</f>
        <v/>
      </c>
      <c r="M43" s="60" t="str">
        <f>IF(data!D$6, H43, "")</f>
        <v/>
      </c>
      <c r="N43" s="60" t="str">
        <f>IF(data!E$6, I43, "")</f>
        <v/>
      </c>
      <c r="O43" s="60" t="str">
        <f>IF(data!F$6, J43, "")</f>
        <v/>
      </c>
      <c r="P43" s="60" t="str">
        <f>IF(data!G$6, K43, "")</f>
        <v/>
      </c>
    </row>
    <row r="44" spans="2:16" s="4" customFormat="1" ht="12">
      <c r="B44" s="55"/>
      <c r="C44" s="50" t="str" cm="1">
        <f t="array" ref="C44">IF(ISBLANK($B44), "", _xll.IMDP("BND", $B44, C$6))</f>
        <v/>
      </c>
      <c r="D44" s="51" t="str" cm="1">
        <f t="array" ref="D44">IF(ISBLANK($B44), "", _xll.IMDP("BND", $B44, D$6,,"DtFmt=1"))</f>
        <v/>
      </c>
      <c r="E44" s="32" t="str" cm="1">
        <f t="array" ref="E44">IF(ISBLANK($B44), "", _xll.IMDP("BND", $B44, E$6))</f>
        <v/>
      </c>
      <c r="F44" s="33" t="str" cm="1">
        <f t="array" ref="F44">IF(ISBLANK($B44), "", _xll.IMDP("BND", $B44, F$6))</f>
        <v/>
      </c>
      <c r="G44" s="52" t="str">
        <f>IFERROR( CHOOSE(data!$C$6, AVERAGE($M44:$P44), GEOMEAN($M44:$P44)), "")</f>
        <v/>
      </c>
      <c r="H44" s="33" t="str" cm="1">
        <f t="array" ref="H44">IF(ISBLANK($B44), "", _xll.IMDP("BND", $B44, H$6))</f>
        <v/>
      </c>
      <c r="I44" s="33" t="str" cm="1">
        <f t="array" ref="I44">IF(ISBLANK($B44), "", _xll.IMDP("BND", $B44, I$6))</f>
        <v/>
      </c>
      <c r="J44" s="33" t="str" cm="1">
        <f t="array" ref="J44">IF(ISBLANK($B44), "", _xll.IMDP("BND", $B44, J$6))</f>
        <v/>
      </c>
      <c r="K44" s="34" t="str" cm="1">
        <f t="array" ref="K44">IF(ISBLANK($B44), "", _xll.IMDP("BND", $B44, K$6))</f>
        <v/>
      </c>
      <c r="M44" s="60" t="str">
        <f>IF(data!D$6, H44, "")</f>
        <v/>
      </c>
      <c r="N44" s="60" t="str">
        <f>IF(data!E$6, I44, "")</f>
        <v/>
      </c>
      <c r="O44" s="60" t="str">
        <f>IF(data!F$6, J44, "")</f>
        <v/>
      </c>
      <c r="P44" s="60" t="str">
        <f>IF(data!G$6, K44, "")</f>
        <v/>
      </c>
    </row>
    <row r="45" spans="2:16" s="4" customFormat="1" ht="12">
      <c r="B45" s="55"/>
      <c r="C45" s="50" t="str" cm="1">
        <f t="array" ref="C45">IF(ISBLANK($B45), "", _xll.IMDP("BND", $B45, C$6))</f>
        <v/>
      </c>
      <c r="D45" s="51" t="str" cm="1">
        <f t="array" ref="D45">IF(ISBLANK($B45), "", _xll.IMDP("BND", $B45, D$6,,"DtFmt=1"))</f>
        <v/>
      </c>
      <c r="E45" s="32" t="str" cm="1">
        <f t="array" ref="E45">IF(ISBLANK($B45), "", _xll.IMDP("BND", $B45, E$6))</f>
        <v/>
      </c>
      <c r="F45" s="33" t="str" cm="1">
        <f t="array" ref="F45">IF(ISBLANK($B45), "", _xll.IMDP("BND", $B45, F$6))</f>
        <v/>
      </c>
      <c r="G45" s="52" t="str">
        <f>IFERROR( CHOOSE(data!$C$6, AVERAGE($M45:$P45), GEOMEAN($M45:$P45)), "")</f>
        <v/>
      </c>
      <c r="H45" s="33" t="str" cm="1">
        <f t="array" ref="H45">IF(ISBLANK($B45), "", _xll.IMDP("BND", $B45, H$6))</f>
        <v/>
      </c>
      <c r="I45" s="33" t="str" cm="1">
        <f t="array" ref="I45">IF(ISBLANK($B45), "", _xll.IMDP("BND", $B45, I$6))</f>
        <v/>
      </c>
      <c r="J45" s="33" t="str" cm="1">
        <f t="array" ref="J45">IF(ISBLANK($B45), "", _xll.IMDP("BND", $B45, J$6))</f>
        <v/>
      </c>
      <c r="K45" s="34" t="str" cm="1">
        <f t="array" ref="K45">IF(ISBLANK($B45), "", _xll.IMDP("BND", $B45, K$6))</f>
        <v/>
      </c>
      <c r="M45" s="60" t="str">
        <f>IF(data!D$6, H45, "")</f>
        <v/>
      </c>
      <c r="N45" s="60" t="str">
        <f>IF(data!E$6, I45, "")</f>
        <v/>
      </c>
      <c r="O45" s="60" t="str">
        <f>IF(data!F$6, J45, "")</f>
        <v/>
      </c>
      <c r="P45" s="60" t="str">
        <f>IF(data!G$6, K45, "")</f>
        <v/>
      </c>
    </row>
    <row r="46" spans="2:16" s="4" customFormat="1" ht="12">
      <c r="B46" s="55"/>
      <c r="C46" s="50" t="str" cm="1">
        <f t="array" ref="C46">IF(ISBLANK($B46), "", _xll.IMDP("BND", $B46, C$6))</f>
        <v/>
      </c>
      <c r="D46" s="51" t="str" cm="1">
        <f t="array" ref="D46">IF(ISBLANK($B46), "", _xll.IMDP("BND", $B46, D$6,,"DtFmt=1"))</f>
        <v/>
      </c>
      <c r="E46" s="32" t="str" cm="1">
        <f t="array" ref="E46">IF(ISBLANK($B46), "", _xll.IMDP("BND", $B46, E$6))</f>
        <v/>
      </c>
      <c r="F46" s="33" t="str" cm="1">
        <f t="array" ref="F46">IF(ISBLANK($B46), "", _xll.IMDP("BND", $B46, F$6))</f>
        <v/>
      </c>
      <c r="G46" s="52" t="str">
        <f>IFERROR( CHOOSE(data!$C$6, AVERAGE($M46:$P46), GEOMEAN($M46:$P46)), "")</f>
        <v/>
      </c>
      <c r="H46" s="33" t="str" cm="1">
        <f t="array" ref="H46">IF(ISBLANK($B46), "", _xll.IMDP("BND", $B46, H$6))</f>
        <v/>
      </c>
      <c r="I46" s="33" t="str" cm="1">
        <f t="array" ref="I46">IF(ISBLANK($B46), "", _xll.IMDP("BND", $B46, I$6))</f>
        <v/>
      </c>
      <c r="J46" s="33" t="str" cm="1">
        <f t="array" ref="J46">IF(ISBLANK($B46), "", _xll.IMDP("BND", $B46, J$6))</f>
        <v/>
      </c>
      <c r="K46" s="34" t="str" cm="1">
        <f t="array" ref="K46">IF(ISBLANK($B46), "", _xll.IMDP("BND", $B46, K$6))</f>
        <v/>
      </c>
      <c r="M46" s="60" t="str">
        <f>IF(data!D$6, H46, "")</f>
        <v/>
      </c>
      <c r="N46" s="60" t="str">
        <f>IF(data!E$6, I46, "")</f>
        <v/>
      </c>
      <c r="O46" s="60" t="str">
        <f>IF(data!F$6, J46, "")</f>
        <v/>
      </c>
      <c r="P46" s="60" t="str">
        <f>IF(data!G$6, K46, "")</f>
        <v/>
      </c>
    </row>
    <row r="47" spans="2:16" s="4" customFormat="1" ht="12">
      <c r="B47" s="55"/>
      <c r="C47" s="50" t="str" cm="1">
        <f t="array" ref="C47">IF(ISBLANK($B47), "", _xll.IMDP("BND", $B47, C$6))</f>
        <v/>
      </c>
      <c r="D47" s="51" t="str" cm="1">
        <f t="array" ref="D47">IF(ISBLANK($B47), "", _xll.IMDP("BND", $B47, D$6,,"DtFmt=1"))</f>
        <v/>
      </c>
      <c r="E47" s="32" t="str" cm="1">
        <f t="array" ref="E47">IF(ISBLANK($B47), "", _xll.IMDP("BND", $B47, E$6))</f>
        <v/>
      </c>
      <c r="F47" s="33" t="str" cm="1">
        <f t="array" ref="F47">IF(ISBLANK($B47), "", _xll.IMDP("BND", $B47, F$6))</f>
        <v/>
      </c>
      <c r="G47" s="52" t="str">
        <f>IFERROR( CHOOSE(data!$C$6, AVERAGE($M47:$P47), GEOMEAN($M47:$P47)), "")</f>
        <v/>
      </c>
      <c r="H47" s="33" t="str" cm="1">
        <f t="array" ref="H47">IF(ISBLANK($B47), "", _xll.IMDP("BND", $B47, H$6))</f>
        <v/>
      </c>
      <c r="I47" s="33" t="str" cm="1">
        <f t="array" ref="I47">IF(ISBLANK($B47), "", _xll.IMDP("BND", $B47, I$6))</f>
        <v/>
      </c>
      <c r="J47" s="33" t="str" cm="1">
        <f t="array" ref="J47">IF(ISBLANK($B47), "", _xll.IMDP("BND", $B47, J$6))</f>
        <v/>
      </c>
      <c r="K47" s="34" t="str" cm="1">
        <f t="array" ref="K47">IF(ISBLANK($B47), "", _xll.IMDP("BND", $B47, K$6))</f>
        <v/>
      </c>
      <c r="M47" s="60" t="str">
        <f>IF(data!D$6, H47, "")</f>
        <v/>
      </c>
      <c r="N47" s="60" t="str">
        <f>IF(data!E$6, I47, "")</f>
        <v/>
      </c>
      <c r="O47" s="60" t="str">
        <f>IF(data!F$6, J47, "")</f>
        <v/>
      </c>
      <c r="P47" s="60" t="str">
        <f>IF(data!G$6, K47, "")</f>
        <v/>
      </c>
    </row>
    <row r="48" spans="2:16" s="4" customFormat="1" ht="12">
      <c r="B48" s="55"/>
      <c r="C48" s="50" t="str" cm="1">
        <f t="array" ref="C48">IF(ISBLANK($B48), "", _xll.IMDP("BND", $B48, C$6))</f>
        <v/>
      </c>
      <c r="D48" s="51" t="str" cm="1">
        <f t="array" ref="D48">IF(ISBLANK($B48), "", _xll.IMDP("BND", $B48, D$6,,"DtFmt=1"))</f>
        <v/>
      </c>
      <c r="E48" s="32" t="str" cm="1">
        <f t="array" ref="E48">IF(ISBLANK($B48), "", _xll.IMDP("BND", $B48, E$6))</f>
        <v/>
      </c>
      <c r="F48" s="33" t="str" cm="1">
        <f t="array" ref="F48">IF(ISBLANK($B48), "", _xll.IMDP("BND", $B48, F$6))</f>
        <v/>
      </c>
      <c r="G48" s="52" t="str">
        <f>IFERROR( CHOOSE(data!$C$6, AVERAGE($M48:$P48), GEOMEAN($M48:$P48)), "")</f>
        <v/>
      </c>
      <c r="H48" s="33" t="str" cm="1">
        <f t="array" ref="H48">IF(ISBLANK($B48), "", _xll.IMDP("BND", $B48, H$6))</f>
        <v/>
      </c>
      <c r="I48" s="33" t="str" cm="1">
        <f t="array" ref="I48">IF(ISBLANK($B48), "", _xll.IMDP("BND", $B48, I$6))</f>
        <v/>
      </c>
      <c r="J48" s="33" t="str" cm="1">
        <f t="array" ref="J48">IF(ISBLANK($B48), "", _xll.IMDP("BND", $B48, J$6))</f>
        <v/>
      </c>
      <c r="K48" s="34" t="str" cm="1">
        <f t="array" ref="K48">IF(ISBLANK($B48), "", _xll.IMDP("BND", $B48, K$6))</f>
        <v/>
      </c>
      <c r="M48" s="60" t="str">
        <f>IF(data!D$6, H48, "")</f>
        <v/>
      </c>
      <c r="N48" s="60" t="str">
        <f>IF(data!E$6, I48, "")</f>
        <v/>
      </c>
      <c r="O48" s="60" t="str">
        <f>IF(data!F$6, J48, "")</f>
        <v/>
      </c>
      <c r="P48" s="60" t="str">
        <f>IF(data!G$6, K48, "")</f>
        <v/>
      </c>
    </row>
    <row r="49" spans="2:16" s="4" customFormat="1" ht="12">
      <c r="B49" s="55"/>
      <c r="C49" s="50" t="str" cm="1">
        <f t="array" ref="C49">IF(ISBLANK($B49), "", _xll.IMDP("BND", $B49, C$6))</f>
        <v/>
      </c>
      <c r="D49" s="51" t="str" cm="1">
        <f t="array" ref="D49">IF(ISBLANK($B49), "", _xll.IMDP("BND", $B49, D$6,,"DtFmt=1"))</f>
        <v/>
      </c>
      <c r="E49" s="32" t="str" cm="1">
        <f t="array" ref="E49">IF(ISBLANK($B49), "", _xll.IMDP("BND", $B49, E$6))</f>
        <v/>
      </c>
      <c r="F49" s="33" t="str" cm="1">
        <f t="array" ref="F49">IF(ISBLANK($B49), "", _xll.IMDP("BND", $B49, F$6))</f>
        <v/>
      </c>
      <c r="G49" s="52" t="str">
        <f>IFERROR( CHOOSE(data!$C$6, AVERAGE($M49:$P49), GEOMEAN($M49:$P49)), "")</f>
        <v/>
      </c>
      <c r="H49" s="33" t="str" cm="1">
        <f t="array" ref="H49">IF(ISBLANK($B49), "", _xll.IMDP("BND", $B49, H$6))</f>
        <v/>
      </c>
      <c r="I49" s="33" t="str" cm="1">
        <f t="array" ref="I49">IF(ISBLANK($B49), "", _xll.IMDP("BND", $B49, I$6))</f>
        <v/>
      </c>
      <c r="J49" s="33" t="str" cm="1">
        <f t="array" ref="J49">IF(ISBLANK($B49), "", _xll.IMDP("BND", $B49, J$6))</f>
        <v/>
      </c>
      <c r="K49" s="34" t="str" cm="1">
        <f t="array" ref="K49">IF(ISBLANK($B49), "", _xll.IMDP("BND", $B49, K$6))</f>
        <v/>
      </c>
      <c r="M49" s="60" t="str">
        <f>IF(data!D$6, H49, "")</f>
        <v/>
      </c>
      <c r="N49" s="60" t="str">
        <f>IF(data!E$6, I49, "")</f>
        <v/>
      </c>
      <c r="O49" s="60" t="str">
        <f>IF(data!F$6, J49, "")</f>
        <v/>
      </c>
      <c r="P49" s="60" t="str">
        <f>IF(data!G$6, K49, "")</f>
        <v/>
      </c>
    </row>
    <row r="50" spans="2:16" s="4" customFormat="1" ht="12">
      <c r="B50" s="55"/>
      <c r="C50" s="50" t="str" cm="1">
        <f t="array" ref="C50">IF(ISBLANK($B50), "", _xll.IMDP("BND", $B50, C$6))</f>
        <v/>
      </c>
      <c r="D50" s="51" t="str" cm="1">
        <f t="array" ref="D50">IF(ISBLANK($B50), "", _xll.IMDP("BND", $B50, D$6,,"DtFmt=1"))</f>
        <v/>
      </c>
      <c r="E50" s="32" t="str" cm="1">
        <f t="array" ref="E50">IF(ISBLANK($B50), "", _xll.IMDP("BND", $B50, E$6))</f>
        <v/>
      </c>
      <c r="F50" s="33" t="str" cm="1">
        <f t="array" ref="F50">IF(ISBLANK($B50), "", _xll.IMDP("BND", $B50, F$6))</f>
        <v/>
      </c>
      <c r="G50" s="52" t="str">
        <f>IFERROR( CHOOSE(data!$C$6, AVERAGE($M50:$P50), GEOMEAN($M50:$P50)), "")</f>
        <v/>
      </c>
      <c r="H50" s="33" t="str" cm="1">
        <f t="array" ref="H50">IF(ISBLANK($B50), "", _xll.IMDP("BND", $B50, H$6))</f>
        <v/>
      </c>
      <c r="I50" s="33" t="str" cm="1">
        <f t="array" ref="I50">IF(ISBLANK($B50), "", _xll.IMDP("BND", $B50, I$6))</f>
        <v/>
      </c>
      <c r="J50" s="33" t="str" cm="1">
        <f t="array" ref="J50">IF(ISBLANK($B50), "", _xll.IMDP("BND", $B50, J$6))</f>
        <v/>
      </c>
      <c r="K50" s="34" t="str" cm="1">
        <f t="array" ref="K50">IF(ISBLANK($B50), "", _xll.IMDP("BND", $B50, K$6))</f>
        <v/>
      </c>
      <c r="M50" s="60" t="str">
        <f>IF(data!D$6, H50, "")</f>
        <v/>
      </c>
      <c r="N50" s="60" t="str">
        <f>IF(data!E$6, I50, "")</f>
        <v/>
      </c>
      <c r="O50" s="60" t="str">
        <f>IF(data!F$6, J50, "")</f>
        <v/>
      </c>
      <c r="P50" s="60" t="str">
        <f>IF(data!G$6, K50, "")</f>
        <v/>
      </c>
    </row>
    <row r="51" spans="2:16" s="4" customFormat="1" ht="12">
      <c r="B51" s="55"/>
      <c r="C51" s="50" t="str" cm="1">
        <f t="array" ref="C51">IF(ISBLANK($B51), "", _xll.IMDP("BND", $B51, C$6))</f>
        <v/>
      </c>
      <c r="D51" s="51" t="str" cm="1">
        <f t="array" ref="D51">IF(ISBLANK($B51), "", _xll.IMDP("BND", $B51, D$6,,"DtFmt=1"))</f>
        <v/>
      </c>
      <c r="E51" s="32" t="str" cm="1">
        <f t="array" ref="E51">IF(ISBLANK($B51), "", _xll.IMDP("BND", $B51, E$6))</f>
        <v/>
      </c>
      <c r="F51" s="33" t="str" cm="1">
        <f t="array" ref="F51">IF(ISBLANK($B51), "", _xll.IMDP("BND", $B51, F$6))</f>
        <v/>
      </c>
      <c r="G51" s="52" t="str">
        <f>IFERROR( CHOOSE(data!$C$6, AVERAGE($M51:$P51), GEOMEAN($M51:$P51)), "")</f>
        <v/>
      </c>
      <c r="H51" s="33" t="str" cm="1">
        <f t="array" ref="H51">IF(ISBLANK($B51), "", _xll.IMDP("BND", $B51, H$6))</f>
        <v/>
      </c>
      <c r="I51" s="33" t="str" cm="1">
        <f t="array" ref="I51">IF(ISBLANK($B51), "", _xll.IMDP("BND", $B51, I$6))</f>
        <v/>
      </c>
      <c r="J51" s="33" t="str" cm="1">
        <f t="array" ref="J51">IF(ISBLANK($B51), "", _xll.IMDP("BND", $B51, J$6))</f>
        <v/>
      </c>
      <c r="K51" s="34" t="str" cm="1">
        <f t="array" ref="K51">IF(ISBLANK($B51), "", _xll.IMDP("BND", $B51, K$6))</f>
        <v/>
      </c>
      <c r="M51" s="60" t="str">
        <f>IF(data!D$6, H51, "")</f>
        <v/>
      </c>
      <c r="N51" s="60" t="str">
        <f>IF(data!E$6, I51, "")</f>
        <v/>
      </c>
      <c r="O51" s="60" t="str">
        <f>IF(data!F$6, J51, "")</f>
        <v/>
      </c>
      <c r="P51" s="60" t="str">
        <f>IF(data!G$6, K51, "")</f>
        <v/>
      </c>
    </row>
    <row r="52" spans="2:16" s="4" customFormat="1" ht="12">
      <c r="B52" s="55"/>
      <c r="C52" s="50" t="str" cm="1">
        <f t="array" ref="C52">IF(ISBLANK($B52), "", _xll.IMDP("BND", $B52, C$6))</f>
        <v/>
      </c>
      <c r="D52" s="51" t="str" cm="1">
        <f t="array" ref="D52">IF(ISBLANK($B52), "", _xll.IMDP("BND", $B52, D$6,,"DtFmt=1"))</f>
        <v/>
      </c>
      <c r="E52" s="32" t="str" cm="1">
        <f t="array" ref="E52">IF(ISBLANK($B52), "", _xll.IMDP("BND", $B52, E$6))</f>
        <v/>
      </c>
      <c r="F52" s="33" t="str" cm="1">
        <f t="array" ref="F52">IF(ISBLANK($B52), "", _xll.IMDP("BND", $B52, F$6))</f>
        <v/>
      </c>
      <c r="G52" s="52" t="str">
        <f>IFERROR( CHOOSE(data!$C$6, AVERAGE($M52:$P52), GEOMEAN($M52:$P52)), "")</f>
        <v/>
      </c>
      <c r="H52" s="33" t="str" cm="1">
        <f t="array" ref="H52">IF(ISBLANK($B52), "", _xll.IMDP("BND", $B52, H$6))</f>
        <v/>
      </c>
      <c r="I52" s="33" t="str" cm="1">
        <f t="array" ref="I52">IF(ISBLANK($B52), "", _xll.IMDP("BND", $B52, I$6))</f>
        <v/>
      </c>
      <c r="J52" s="33" t="str" cm="1">
        <f t="array" ref="J52">IF(ISBLANK($B52), "", _xll.IMDP("BND", $B52, J$6))</f>
        <v/>
      </c>
      <c r="K52" s="34" t="str" cm="1">
        <f t="array" ref="K52">IF(ISBLANK($B52), "", _xll.IMDP("BND", $B52, K$6))</f>
        <v/>
      </c>
      <c r="M52" s="60" t="str">
        <f>IF(data!D$6, H52, "")</f>
        <v/>
      </c>
      <c r="N52" s="60" t="str">
        <f>IF(data!E$6, I52, "")</f>
        <v/>
      </c>
      <c r="O52" s="60" t="str">
        <f>IF(data!F$6, J52, "")</f>
        <v/>
      </c>
      <c r="P52" s="60" t="str">
        <f>IF(data!G$6, K52, "")</f>
        <v/>
      </c>
    </row>
    <row r="53" spans="2:16" s="4" customFormat="1" ht="12">
      <c r="B53" s="55"/>
      <c r="C53" s="50" t="str" cm="1">
        <f t="array" ref="C53">IF(ISBLANK($B53), "", _xll.IMDP("BND", $B53, C$6))</f>
        <v/>
      </c>
      <c r="D53" s="51" t="str" cm="1">
        <f t="array" ref="D53">IF(ISBLANK($B53), "", _xll.IMDP("BND", $B53, D$6,,"DtFmt=1"))</f>
        <v/>
      </c>
      <c r="E53" s="32" t="str" cm="1">
        <f t="array" ref="E53">IF(ISBLANK($B53), "", _xll.IMDP("BND", $B53, E$6))</f>
        <v/>
      </c>
      <c r="F53" s="33" t="str" cm="1">
        <f t="array" ref="F53">IF(ISBLANK($B53), "", _xll.IMDP("BND", $B53, F$6))</f>
        <v/>
      </c>
      <c r="G53" s="52" t="str">
        <f>IFERROR( CHOOSE(data!$C$6, AVERAGE($M53:$P53), GEOMEAN($M53:$P53)), "")</f>
        <v/>
      </c>
      <c r="H53" s="33" t="str" cm="1">
        <f t="array" ref="H53">IF(ISBLANK($B53), "", _xll.IMDP("BND", $B53, H$6))</f>
        <v/>
      </c>
      <c r="I53" s="33" t="str" cm="1">
        <f t="array" ref="I53">IF(ISBLANK($B53), "", _xll.IMDP("BND", $B53, I$6))</f>
        <v/>
      </c>
      <c r="J53" s="33" t="str" cm="1">
        <f t="array" ref="J53">IF(ISBLANK($B53), "", _xll.IMDP("BND", $B53, J$6))</f>
        <v/>
      </c>
      <c r="K53" s="34" t="str" cm="1">
        <f t="array" ref="K53">IF(ISBLANK($B53), "", _xll.IMDP("BND", $B53, K$6))</f>
        <v/>
      </c>
      <c r="M53" s="60" t="str">
        <f>IF(data!D$6, H53, "")</f>
        <v/>
      </c>
      <c r="N53" s="60" t="str">
        <f>IF(data!E$6, I53, "")</f>
        <v/>
      </c>
      <c r="O53" s="60" t="str">
        <f>IF(data!F$6, J53, "")</f>
        <v/>
      </c>
      <c r="P53" s="60" t="str">
        <f>IF(data!G$6, K53, "")</f>
        <v/>
      </c>
    </row>
    <row r="54" spans="2:16" s="4" customFormat="1" ht="12">
      <c r="B54" s="55"/>
      <c r="C54" s="50" t="str" cm="1">
        <f t="array" ref="C54">IF(ISBLANK($B54), "", _xll.IMDP("BND", $B54, C$6))</f>
        <v/>
      </c>
      <c r="D54" s="51" t="str" cm="1">
        <f t="array" ref="D54">IF(ISBLANK($B54), "", _xll.IMDP("BND", $B54, D$6,,"DtFmt=1"))</f>
        <v/>
      </c>
      <c r="E54" s="32" t="str" cm="1">
        <f t="array" ref="E54">IF(ISBLANK($B54), "", _xll.IMDP("BND", $B54, E$6))</f>
        <v/>
      </c>
      <c r="F54" s="33" t="str" cm="1">
        <f t="array" ref="F54">IF(ISBLANK($B54), "", _xll.IMDP("BND", $B54, F$6))</f>
        <v/>
      </c>
      <c r="G54" s="52" t="str">
        <f>IFERROR( CHOOSE(data!$C$6, AVERAGE($M54:$P54), GEOMEAN($M54:$P54)), "")</f>
        <v/>
      </c>
      <c r="H54" s="33" t="str" cm="1">
        <f t="array" ref="H54">IF(ISBLANK($B54), "", _xll.IMDP("BND", $B54, H$6))</f>
        <v/>
      </c>
      <c r="I54" s="33" t="str" cm="1">
        <f t="array" ref="I54">IF(ISBLANK($B54), "", _xll.IMDP("BND", $B54, I$6))</f>
        <v/>
      </c>
      <c r="J54" s="33" t="str" cm="1">
        <f t="array" ref="J54">IF(ISBLANK($B54), "", _xll.IMDP("BND", $B54, J$6))</f>
        <v/>
      </c>
      <c r="K54" s="34" t="str" cm="1">
        <f t="array" ref="K54">IF(ISBLANK($B54), "", _xll.IMDP("BND", $B54, K$6))</f>
        <v/>
      </c>
      <c r="M54" s="60" t="str">
        <f>IF(data!D$6, H54, "")</f>
        <v/>
      </c>
      <c r="N54" s="60" t="str">
        <f>IF(data!E$6, I54, "")</f>
        <v/>
      </c>
      <c r="O54" s="60" t="str">
        <f>IF(data!F$6, J54, "")</f>
        <v/>
      </c>
      <c r="P54" s="60" t="str">
        <f>IF(data!G$6, K54, "")</f>
        <v/>
      </c>
    </row>
    <row r="55" spans="2:16" s="4" customFormat="1" ht="12">
      <c r="B55" s="55"/>
      <c r="C55" s="50" t="str" cm="1">
        <f t="array" ref="C55">IF(ISBLANK($B55), "", _xll.IMDP("BND", $B55, C$6))</f>
        <v/>
      </c>
      <c r="D55" s="51" t="str" cm="1">
        <f t="array" ref="D55">IF(ISBLANK($B55), "", _xll.IMDP("BND", $B55, D$6,,"DtFmt=1"))</f>
        <v/>
      </c>
      <c r="E55" s="32" t="str" cm="1">
        <f t="array" ref="E55">IF(ISBLANK($B55), "", _xll.IMDP("BND", $B55, E$6))</f>
        <v/>
      </c>
      <c r="F55" s="33" t="str" cm="1">
        <f t="array" ref="F55">IF(ISBLANK($B55), "", _xll.IMDP("BND", $B55, F$6))</f>
        <v/>
      </c>
      <c r="G55" s="52" t="str">
        <f>IFERROR( CHOOSE(data!$C$6, AVERAGE($M55:$P55), GEOMEAN($M55:$P55)), "")</f>
        <v/>
      </c>
      <c r="H55" s="33" t="str" cm="1">
        <f t="array" ref="H55">IF(ISBLANK($B55), "", _xll.IMDP("BND", $B55, H$6))</f>
        <v/>
      </c>
      <c r="I55" s="33" t="str" cm="1">
        <f t="array" ref="I55">IF(ISBLANK($B55), "", _xll.IMDP("BND", $B55, I$6))</f>
        <v/>
      </c>
      <c r="J55" s="33" t="str" cm="1">
        <f t="array" ref="J55">IF(ISBLANK($B55), "", _xll.IMDP("BND", $B55, J$6))</f>
        <v/>
      </c>
      <c r="K55" s="34" t="str" cm="1">
        <f t="array" ref="K55">IF(ISBLANK($B55), "", _xll.IMDP("BND", $B55, K$6))</f>
        <v/>
      </c>
      <c r="M55" s="60" t="str">
        <f>IF(data!D$6, H55, "")</f>
        <v/>
      </c>
      <c r="N55" s="60" t="str">
        <f>IF(data!E$6, I55, "")</f>
        <v/>
      </c>
      <c r="O55" s="60" t="str">
        <f>IF(data!F$6, J55, "")</f>
        <v/>
      </c>
      <c r="P55" s="60" t="str">
        <f>IF(data!G$6, K55, "")</f>
        <v/>
      </c>
    </row>
    <row r="56" spans="2:16" s="4" customFormat="1" ht="12">
      <c r="B56" s="55"/>
      <c r="C56" s="50" t="str" cm="1">
        <f t="array" ref="C56">IF(ISBLANK($B56), "", _xll.IMDP("BND", $B56, C$6))</f>
        <v/>
      </c>
      <c r="D56" s="51" t="str" cm="1">
        <f t="array" ref="D56">IF(ISBLANK($B56), "", _xll.IMDP("BND", $B56, D$6,,"DtFmt=1"))</f>
        <v/>
      </c>
      <c r="E56" s="32" t="str" cm="1">
        <f t="array" ref="E56">IF(ISBLANK($B56), "", _xll.IMDP("BND", $B56, E$6))</f>
        <v/>
      </c>
      <c r="F56" s="33" t="str" cm="1">
        <f t="array" ref="F56">IF(ISBLANK($B56), "", _xll.IMDP("BND", $B56, F$6))</f>
        <v/>
      </c>
      <c r="G56" s="52" t="str">
        <f>IFERROR( CHOOSE(data!$C$6, AVERAGE($M56:$P56), GEOMEAN($M56:$P56)), "")</f>
        <v/>
      </c>
      <c r="H56" s="33" t="str" cm="1">
        <f t="array" ref="H56">IF(ISBLANK($B56), "", _xll.IMDP("BND", $B56, H$6))</f>
        <v/>
      </c>
      <c r="I56" s="33" t="str" cm="1">
        <f t="array" ref="I56">IF(ISBLANK($B56), "", _xll.IMDP("BND", $B56, I$6))</f>
        <v/>
      </c>
      <c r="J56" s="33" t="str" cm="1">
        <f t="array" ref="J56">IF(ISBLANK($B56), "", _xll.IMDP("BND", $B56, J$6))</f>
        <v/>
      </c>
      <c r="K56" s="34" t="str" cm="1">
        <f t="array" ref="K56">IF(ISBLANK($B56), "", _xll.IMDP("BND", $B56, K$6))</f>
        <v/>
      </c>
      <c r="M56" s="60" t="str">
        <f>IF(data!D$6, H56, "")</f>
        <v/>
      </c>
      <c r="N56" s="60" t="str">
        <f>IF(data!E$6, I56, "")</f>
        <v/>
      </c>
      <c r="O56" s="60" t="str">
        <f>IF(data!F$6, J56, "")</f>
        <v/>
      </c>
      <c r="P56" s="60" t="str">
        <f>IF(data!G$6, K56, "")</f>
        <v/>
      </c>
    </row>
    <row r="57" spans="2:16" s="4" customFormat="1" ht="12.75" thickBot="1">
      <c r="B57" s="56"/>
      <c r="C57" s="57" t="str" cm="1">
        <f t="array" ref="C57">IF(ISBLANK($B57), "", _xll.IMDP("BND", $B57, C$6))</f>
        <v/>
      </c>
      <c r="D57" s="58" t="str" cm="1">
        <f t="array" ref="D57">IF(ISBLANK($B57), "", _xll.IMDP("BND", $B57, D$6,,"DtFmt=1"))</f>
        <v/>
      </c>
      <c r="E57" s="35" t="str" cm="1">
        <f t="array" ref="E57">IF(ISBLANK($B57), "", _xll.IMDP("BND", $B57, E$6))</f>
        <v/>
      </c>
      <c r="F57" s="36" t="str" cm="1">
        <f t="array" ref="F57">IF(ISBLANK($B57), "", _xll.IMDP("BND", $B57, F$6))</f>
        <v/>
      </c>
      <c r="G57" s="59" t="str">
        <f>IFERROR( CHOOSE(data!$C$6, AVERAGE($M57:$P57), GEOMEAN($M57:$P57)), "")</f>
        <v/>
      </c>
      <c r="H57" s="36" t="str" cm="1">
        <f t="array" ref="H57">IF(ISBLANK($B57), "", _xll.IMDP("BND", $B57, H$6))</f>
        <v/>
      </c>
      <c r="I57" s="36" t="str" cm="1">
        <f t="array" ref="I57">IF(ISBLANK($B57), "", _xll.IMDP("BND", $B57, I$6))</f>
        <v/>
      </c>
      <c r="J57" s="36" t="str" cm="1">
        <f t="array" ref="J57">IF(ISBLANK($B57), "", _xll.IMDP("BND", $B57, J$6))</f>
        <v/>
      </c>
      <c r="K57" s="37" t="str" cm="1">
        <f t="array" ref="K57">IF(ISBLANK($B57), "", _xll.IMDP("BND", $B57, K$6))</f>
        <v/>
      </c>
      <c r="M57" s="60" t="str">
        <f>IF(data!D$6, H57, "")</f>
        <v/>
      </c>
      <c r="N57" s="60" t="str">
        <f>IF(data!E$6, I57, "")</f>
        <v/>
      </c>
      <c r="O57" s="60" t="str">
        <f>IF(data!F$6, J57, "")</f>
        <v/>
      </c>
      <c r="P57" s="60" t="str">
        <f>IF(data!G$6, K57, "")</f>
        <v/>
      </c>
    </row>
    <row r="58" spans="2:16"/>
    <row r="59" spans="2:16"/>
    <row r="60" spans="2:16"/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7" r:id="rId4" name="Check Box 5">
              <controlPr defaultSize="0" autoFill="0" autoLine="0" autoPict="0">
                <anchor moveWithCells="1">
                  <from>
                    <xdr:col>5</xdr:col>
                    <xdr:colOff>9525</xdr:colOff>
                    <xdr:row>3</xdr:row>
                    <xdr:rowOff>123825</xdr:rowOff>
                  </from>
                  <to>
                    <xdr:col>5</xdr:col>
                    <xdr:colOff>533400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Check Box 6">
              <controlPr defaultSize="0" autoFill="0" autoLine="0" autoPict="0">
                <anchor moveWithCells="1">
                  <from>
                    <xdr:col>5</xdr:col>
                    <xdr:colOff>514350</xdr:colOff>
                    <xdr:row>3</xdr:row>
                    <xdr:rowOff>123825</xdr:rowOff>
                  </from>
                  <to>
                    <xdr:col>6</xdr:col>
                    <xdr:colOff>142875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6" name="Check Box 7">
              <controlPr defaultSize="0" autoFill="0" autoLine="0" autoPict="0">
                <anchor moveWithCells="1">
                  <from>
                    <xdr:col>6</xdr:col>
                    <xdr:colOff>123825</xdr:colOff>
                    <xdr:row>3</xdr:row>
                    <xdr:rowOff>123825</xdr:rowOff>
                  </from>
                  <to>
                    <xdr:col>6</xdr:col>
                    <xdr:colOff>647700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7" name="Check Box 8">
              <controlPr defaultSize="0" autoFill="0" autoLine="0" autoPict="0">
                <anchor moveWithCells="1">
                  <from>
                    <xdr:col>6</xdr:col>
                    <xdr:colOff>628650</xdr:colOff>
                    <xdr:row>3</xdr:row>
                    <xdr:rowOff>123825</xdr:rowOff>
                  </from>
                  <to>
                    <xdr:col>7</xdr:col>
                    <xdr:colOff>257175</xdr:colOff>
                    <xdr:row>4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8" name="Group Box 10">
              <controlPr defaultSize="0" autoFill="0" autoPict="0">
                <anchor moveWithCells="1">
                  <from>
                    <xdr:col>3</xdr:col>
                    <xdr:colOff>123825</xdr:colOff>
                    <xdr:row>3</xdr:row>
                    <xdr:rowOff>28575</xdr:rowOff>
                  </from>
                  <to>
                    <xdr:col>7</xdr:col>
                    <xdr:colOff>152400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9" name="Option Button 11">
              <controlPr defaultSize="0" autoFill="0" autoLine="0" autoPict="0">
                <anchor moveWithCells="1">
                  <from>
                    <xdr:col>3</xdr:col>
                    <xdr:colOff>180975</xdr:colOff>
                    <xdr:row>3</xdr:row>
                    <xdr:rowOff>171450</xdr:rowOff>
                  </from>
                  <to>
                    <xdr:col>4</xdr:col>
                    <xdr:colOff>200025</xdr:colOff>
                    <xdr:row>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0" name="Option Button 12">
              <controlPr defaultSize="0" autoFill="0" autoLine="0" autoPict="0">
                <anchor moveWithCells="1">
                  <from>
                    <xdr:col>4</xdr:col>
                    <xdr:colOff>200025</xdr:colOff>
                    <xdr:row>3</xdr:row>
                    <xdr:rowOff>171450</xdr:rowOff>
                  </from>
                  <to>
                    <xdr:col>4</xdr:col>
                    <xdr:colOff>876300</xdr:colOff>
                    <xdr:row>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1" name="Group Box 15">
              <controlPr defaultSize="0" autoFill="0" autoPict="0">
                <anchor moveWithCells="1">
                  <from>
                    <xdr:col>2</xdr:col>
                    <xdr:colOff>161925</xdr:colOff>
                    <xdr:row>4</xdr:row>
                    <xdr:rowOff>0</xdr:rowOff>
                  </from>
                  <to>
                    <xdr:col>3</xdr:col>
                    <xdr:colOff>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2" name="Option Button 16">
              <controlPr defaultSize="0" autoFill="0" autoLine="0" autoPict="0">
                <anchor moveWithCells="1">
                  <from>
                    <xdr:col>2</xdr:col>
                    <xdr:colOff>180975</xdr:colOff>
                    <xdr:row>4</xdr:row>
                    <xdr:rowOff>0</xdr:rowOff>
                  </from>
                  <to>
                    <xdr:col>2</xdr:col>
                    <xdr:colOff>704850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3" name="Option Button 17">
              <controlPr defaultSize="0" autoFill="0" autoLine="0" autoPict="0">
                <anchor moveWithCells="1">
                  <from>
                    <xdr:col>2</xdr:col>
                    <xdr:colOff>714375</xdr:colOff>
                    <xdr:row>4</xdr:row>
                    <xdr:rowOff>0</xdr:rowOff>
                  </from>
                  <to>
                    <xdr:col>2</xdr:col>
                    <xdr:colOff>1238250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4" name="Group Box 18">
              <controlPr defaultSize="0" autoFill="0" autoPict="0">
                <anchor moveWithCells="1">
                  <from>
                    <xdr:col>2</xdr:col>
                    <xdr:colOff>161925</xdr:colOff>
                    <xdr:row>3</xdr:row>
                    <xdr:rowOff>28575</xdr:rowOff>
                  </from>
                  <to>
                    <xdr:col>3</xdr:col>
                    <xdr:colOff>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5" name="Option Button 19">
              <controlPr defaultSize="0" autoFill="0" autoLine="0" autoPict="0">
                <anchor moveWithCells="1">
                  <from>
                    <xdr:col>2</xdr:col>
                    <xdr:colOff>180975</xdr:colOff>
                    <xdr:row>3</xdr:row>
                    <xdr:rowOff>28575</xdr:rowOff>
                  </from>
                  <to>
                    <xdr:col>2</xdr:col>
                    <xdr:colOff>704850</xdr:colOff>
                    <xdr:row>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16" name="Option Button 20">
              <controlPr defaultSize="0" autoFill="0" autoLine="0" autoPict="0">
                <anchor moveWithCells="1">
                  <from>
                    <xdr:col>2</xdr:col>
                    <xdr:colOff>714375</xdr:colOff>
                    <xdr:row>3</xdr:row>
                    <xdr:rowOff>28575</xdr:rowOff>
                  </from>
                  <to>
                    <xdr:col>2</xdr:col>
                    <xdr:colOff>1238250</xdr:colOff>
                    <xdr:row>3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A591-64A1-459A-8CF9-156F5D517433}">
  <dimension ref="B4:DD83"/>
  <sheetViews>
    <sheetView workbookViewId="0">
      <selection activeCell="A21" sqref="A21"/>
    </sheetView>
  </sheetViews>
  <sheetFormatPr defaultRowHeight="15"/>
  <sheetData>
    <row r="4" spans="2:108">
      <c r="D4" t="str">
        <f>CHOOSE($D$5, "수익률", "가격")</f>
        <v>수익률</v>
      </c>
      <c r="E4" t="str">
        <f>CHOOSE($E$5, "", " 당일")</f>
        <v/>
      </c>
    </row>
    <row r="5" spans="2:108">
      <c r="C5" t="s">
        <v>539</v>
      </c>
      <c r="D5">
        <v>1</v>
      </c>
      <c r="E5">
        <v>1</v>
      </c>
    </row>
    <row r="6" spans="2:108">
      <c r="C6">
        <v>1</v>
      </c>
      <c r="D6" t="b">
        <v>1</v>
      </c>
      <c r="E6" t="b">
        <v>1</v>
      </c>
      <c r="F6" t="b">
        <v>1</v>
      </c>
      <c r="G6" t="b">
        <v>1</v>
      </c>
      <c r="CX6" t="s">
        <v>532</v>
      </c>
    </row>
    <row r="7" spans="2:108">
      <c r="B7">
        <v>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M7" t="s">
        <v>228</v>
      </c>
      <c r="N7">
        <v>2</v>
      </c>
      <c r="AC7" t="s">
        <v>291</v>
      </c>
      <c r="AS7" t="s">
        <v>292</v>
      </c>
      <c r="BI7" t="s">
        <v>352</v>
      </c>
      <c r="BY7" t="s">
        <v>353</v>
      </c>
      <c r="CO7" t="s">
        <v>354</v>
      </c>
      <c r="DD7" t="s">
        <v>527</v>
      </c>
    </row>
    <row r="8" spans="2:108">
      <c r="B8" t="s">
        <v>226</v>
      </c>
      <c r="C8" t="s">
        <v>227</v>
      </c>
      <c r="D8" t="s">
        <v>291</v>
      </c>
      <c r="E8" t="s">
        <v>292</v>
      </c>
      <c r="F8" t="s">
        <v>352</v>
      </c>
      <c r="G8" t="s">
        <v>353</v>
      </c>
      <c r="H8" t="s">
        <v>354</v>
      </c>
      <c r="K8" t="s">
        <v>226</v>
      </c>
      <c r="L8" t="s">
        <v>227</v>
      </c>
      <c r="M8" s="21" t="s">
        <v>58</v>
      </c>
      <c r="N8" s="21" t="s">
        <v>59</v>
      </c>
      <c r="O8" s="21" t="s">
        <v>60</v>
      </c>
      <c r="P8" s="21" t="s">
        <v>61</v>
      </c>
      <c r="Q8" s="21" t="s">
        <v>62</v>
      </c>
      <c r="R8" s="21" t="s">
        <v>63</v>
      </c>
      <c r="S8" s="21" t="s">
        <v>64</v>
      </c>
      <c r="T8" s="21" t="s">
        <v>65</v>
      </c>
      <c r="U8" s="21" t="s">
        <v>66</v>
      </c>
      <c r="V8" s="21" t="s">
        <v>67</v>
      </c>
      <c r="W8" s="21" t="s">
        <v>68</v>
      </c>
      <c r="X8" s="21" t="s">
        <v>69</v>
      </c>
      <c r="Y8" s="21" t="s">
        <v>70</v>
      </c>
      <c r="Z8" s="21" t="s">
        <v>71</v>
      </c>
      <c r="AA8" s="21" t="s">
        <v>72</v>
      </c>
      <c r="AB8" s="21" t="s">
        <v>73</v>
      </c>
      <c r="AC8" t="s">
        <v>58</v>
      </c>
      <c r="AD8" t="s">
        <v>59</v>
      </c>
      <c r="AE8" t="s">
        <v>60</v>
      </c>
      <c r="AF8" t="s">
        <v>61</v>
      </c>
      <c r="AG8" t="s">
        <v>62</v>
      </c>
      <c r="AH8" t="s">
        <v>63</v>
      </c>
      <c r="AI8" t="s">
        <v>64</v>
      </c>
      <c r="AJ8" t="s">
        <v>65</v>
      </c>
      <c r="AK8" t="s">
        <v>66</v>
      </c>
      <c r="AL8" t="s">
        <v>67</v>
      </c>
      <c r="AM8" t="s">
        <v>68</v>
      </c>
      <c r="AN8" t="s">
        <v>69</v>
      </c>
      <c r="AO8" t="s">
        <v>70</v>
      </c>
      <c r="AP8" t="s">
        <v>71</v>
      </c>
      <c r="AQ8" t="s">
        <v>72</v>
      </c>
      <c r="AR8" t="s">
        <v>73</v>
      </c>
      <c r="AS8" t="s">
        <v>58</v>
      </c>
      <c r="AT8" t="s">
        <v>59</v>
      </c>
      <c r="AU8" t="s">
        <v>60</v>
      </c>
      <c r="AV8" t="s">
        <v>61</v>
      </c>
      <c r="AW8" t="s">
        <v>62</v>
      </c>
      <c r="AX8" t="s">
        <v>63</v>
      </c>
      <c r="AY8" t="s">
        <v>64</v>
      </c>
      <c r="AZ8" t="s">
        <v>65</v>
      </c>
      <c r="BA8" t="s">
        <v>66</v>
      </c>
      <c r="BB8" t="s">
        <v>67</v>
      </c>
      <c r="BC8" t="s">
        <v>68</v>
      </c>
      <c r="BD8" t="s">
        <v>69</v>
      </c>
      <c r="BE8" t="s">
        <v>70</v>
      </c>
      <c r="BF8" t="s">
        <v>71</v>
      </c>
      <c r="BG8" t="s">
        <v>72</v>
      </c>
      <c r="BH8" t="s">
        <v>73</v>
      </c>
      <c r="BI8" t="s">
        <v>58</v>
      </c>
      <c r="BJ8" t="s">
        <v>59</v>
      </c>
      <c r="BK8" t="s">
        <v>60</v>
      </c>
      <c r="BL8" t="s">
        <v>61</v>
      </c>
      <c r="BM8" t="s">
        <v>62</v>
      </c>
      <c r="BN8" t="s">
        <v>63</v>
      </c>
      <c r="BO8" t="s">
        <v>64</v>
      </c>
      <c r="BP8" t="s">
        <v>65</v>
      </c>
      <c r="BQ8" t="s">
        <v>66</v>
      </c>
      <c r="BR8" t="s">
        <v>67</v>
      </c>
      <c r="BS8" t="s">
        <v>68</v>
      </c>
      <c r="BT8" t="s">
        <v>69</v>
      </c>
      <c r="BU8" t="s">
        <v>70</v>
      </c>
      <c r="BV8" t="s">
        <v>71</v>
      </c>
      <c r="BW8" t="s">
        <v>72</v>
      </c>
      <c r="BX8" t="s">
        <v>73</v>
      </c>
      <c r="BY8" t="s">
        <v>58</v>
      </c>
      <c r="BZ8" t="s">
        <v>59</v>
      </c>
      <c r="CA8" t="s">
        <v>60</v>
      </c>
      <c r="CB8" t="s">
        <v>61</v>
      </c>
      <c r="CC8" t="s">
        <v>62</v>
      </c>
      <c r="CD8" t="s">
        <v>63</v>
      </c>
      <c r="CE8" t="s">
        <v>64</v>
      </c>
      <c r="CF8" t="s">
        <v>65</v>
      </c>
      <c r="CG8" t="s">
        <v>66</v>
      </c>
      <c r="CH8" t="s">
        <v>67</v>
      </c>
      <c r="CI8" t="s">
        <v>68</v>
      </c>
      <c r="CJ8" t="s">
        <v>69</v>
      </c>
      <c r="CK8" t="s">
        <v>70</v>
      </c>
      <c r="CL8" t="s">
        <v>71</v>
      </c>
      <c r="CM8" t="s">
        <v>72</v>
      </c>
      <c r="CN8" t="s">
        <v>73</v>
      </c>
      <c r="CO8" t="s">
        <v>58</v>
      </c>
      <c r="CP8" t="s">
        <v>59</v>
      </c>
      <c r="CQ8" t="s">
        <v>60</v>
      </c>
      <c r="CR8" t="s">
        <v>61</v>
      </c>
      <c r="CS8" t="s">
        <v>62</v>
      </c>
      <c r="CT8" t="s">
        <v>63</v>
      </c>
      <c r="CU8" t="s">
        <v>64</v>
      </c>
      <c r="CV8" t="s">
        <v>65</v>
      </c>
      <c r="CW8" t="s">
        <v>66</v>
      </c>
      <c r="CX8" t="s">
        <v>67</v>
      </c>
      <c r="CY8" t="s">
        <v>68</v>
      </c>
      <c r="CZ8" t="s">
        <v>69</v>
      </c>
      <c r="DA8" t="s">
        <v>70</v>
      </c>
      <c r="DB8" t="s">
        <v>71</v>
      </c>
      <c r="DC8" t="s">
        <v>72</v>
      </c>
      <c r="DD8" t="s">
        <v>73</v>
      </c>
    </row>
    <row r="9" spans="2:108">
      <c r="B9" t="s">
        <v>78</v>
      </c>
      <c r="C9" t="s">
        <v>152</v>
      </c>
      <c r="D9" t="s">
        <v>229</v>
      </c>
      <c r="E9" t="s">
        <v>293</v>
      </c>
      <c r="F9" t="s">
        <v>355</v>
      </c>
      <c r="G9" t="s">
        <v>422</v>
      </c>
      <c r="H9" t="s">
        <v>485</v>
      </c>
      <c r="M9" s="21">
        <f ca="1">CHOOSE( $N$7, AVERAGE(AC9,AS9,BI9,BY9,CO9), GEOMEAN(AC9,AS9,BI9,BY9,CO9) )</f>
        <v>3.3385934391429108</v>
      </c>
      <c r="N9" s="21">
        <f t="shared" ref="N9:AB9" ca="1" si="0">CHOOSE( $N$7, AVERAGE(AD9,AT9,BJ9,BZ9,CP9), GEOMEAN(AD9,AT9,BJ9,BZ9,CP9) )</f>
        <v>3.20239765434044</v>
      </c>
      <c r="O9" s="21">
        <f t="shared" ca="1" si="0"/>
        <v>3.1141956068202834</v>
      </c>
      <c r="P9" s="21">
        <f t="shared" ca="1" si="0"/>
        <v>3.0529994103300115</v>
      </c>
      <c r="Q9" s="21">
        <f t="shared" ca="1" si="0"/>
        <v>3.0565984556352843</v>
      </c>
      <c r="R9" s="21">
        <f t="shared" ca="1" si="0"/>
        <v>3.03</v>
      </c>
      <c r="S9" s="21">
        <f t="shared" ca="1" si="0"/>
        <v>2.9433996874565889</v>
      </c>
      <c r="T9" s="21">
        <f t="shared" ca="1" si="0"/>
        <v>2.9220000000000006</v>
      </c>
      <c r="U9" s="21">
        <f t="shared" ca="1" si="0"/>
        <v>2.942599755418152</v>
      </c>
      <c r="V9" s="21">
        <f t="shared" ca="1" si="0"/>
        <v>2.93</v>
      </c>
      <c r="W9" s="21">
        <f t="shared" ca="1" si="0"/>
        <v>2.9811993697537749</v>
      </c>
      <c r="X9" s="21">
        <f t="shared" ca="1" si="0"/>
        <v>2.9750000000000001</v>
      </c>
      <c r="Y9" s="21">
        <f t="shared" ca="1" si="0"/>
        <v>2.9822494656757574</v>
      </c>
      <c r="Z9" s="21">
        <f t="shared" ca="1" si="0"/>
        <v>2.9520000000000004</v>
      </c>
      <c r="AA9" s="21">
        <f t="shared" ca="1" si="0"/>
        <v>2.8519999999999999</v>
      </c>
      <c r="AB9" s="21">
        <f t="shared" ca="1" si="0"/>
        <v>2.7625997394890907</v>
      </c>
      <c r="AC9" cm="1">
        <f t="array" aca="1" ref="AC9" ca="1">IF( AND($D$7,NOT(ISBLANK($D9))), IF(_xll.IMDP("IR", $D9, AC$8, Matrix!$D$6)=0,"",_xll.IMDP("IR", $D9, AC$8, Matrix!$D$6)), "")</f>
        <v>3.335</v>
      </c>
      <c r="AD9" cm="1">
        <f t="array" aca="1" ref="AD9" ca="1">IF( AND($D$7,NOT(ISBLANK($D9))), IF(_xll.IMDP("IR", $D9, AD$8, Matrix!$D$6)=0,"",_xll.IMDP("IR", $D9, AD$8, Matrix!$D$6)), "")</f>
        <v>3.21</v>
      </c>
      <c r="AE9" cm="1">
        <f t="array" aca="1" ref="AE9" ca="1">IF( AND($D$7,NOT(ISBLANK($D9))), IF(_xll.IMDP("IR", $D9, AE$8, Matrix!$D$6)=0,"",_xll.IMDP("IR", $D9, AE$8, Matrix!$D$6)), "")</f>
        <v>3.11</v>
      </c>
      <c r="AF9" cm="1">
        <f t="array" aca="1" ref="AF9" ca="1">IF( AND($D$7,NOT(ISBLANK($D9))), IF(_xll.IMDP("IR", $D9, AF$8, Matrix!$D$6)=0,"",_xll.IMDP("IR", $D9, AF$8, Matrix!$D$6)), "")</f>
        <v>3.05</v>
      </c>
      <c r="AG9" cm="1">
        <f t="array" aca="1" ref="AG9" ca="1">IF( AND($D$7,NOT(ISBLANK($D9))), IF(_xll.IMDP("IR", $D9, AG$8, Matrix!$D$6)=0,"",_xll.IMDP("IR", $D9, AG$8, Matrix!$D$6)), "")</f>
        <v>3.0550000000000002</v>
      </c>
      <c r="AH9" cm="1">
        <f t="array" aca="1" ref="AH9" ca="1">IF( AND($D$7,NOT(ISBLANK($D9))), IF(_xll.IMDP("IR", $D9, AH$8, Matrix!$D$6)=0,"",_xll.IMDP("IR", $D9, AH$8, Matrix!$D$6)), "")</f>
        <v>3.03</v>
      </c>
      <c r="AI9" cm="1">
        <f t="array" aca="1" ref="AI9" ca="1">IF( AND($D$7,NOT(ISBLANK($D9))), IF(_xll.IMDP("IR", $D9, AI$8, Matrix!$D$6)=0,"",_xll.IMDP("IR", $D9, AI$8, Matrix!$D$6)), "")</f>
        <v>2.9449999999999998</v>
      </c>
      <c r="AJ9" cm="1">
        <f t="array" aca="1" ref="AJ9" ca="1">IF( AND($D$7,NOT(ISBLANK($D9))), IF(_xll.IMDP("IR", $D9, AJ$8, Matrix!$D$6)=0,"",_xll.IMDP("IR", $D9, AJ$8, Matrix!$D$6)), "")</f>
        <v>2.9220000000000002</v>
      </c>
      <c r="AK9" cm="1">
        <f t="array" aca="1" ref="AK9" ca="1">IF( AND($D$7,NOT(ISBLANK($D9))), IF(_xll.IMDP("IR", $D9, AK$8, Matrix!$D$6)=0,"",_xll.IMDP("IR", $D9, AK$8, Matrix!$D$6)), "")</f>
        <v>2.9420000000000002</v>
      </c>
      <c r="AL9" cm="1">
        <f t="array" aca="1" ref="AL9" ca="1">IF( AND($D$7,NOT(ISBLANK($D9))), IF(_xll.IMDP("IR", $D9, AL$8, Matrix!$D$6)=0,"",_xll.IMDP("IR", $D9, AL$8, Matrix!$D$6)), "")</f>
        <v>2.93</v>
      </c>
      <c r="AM9" cm="1">
        <f t="array" aca="1" ref="AM9" ca="1">IF( AND($D$7,NOT(ISBLANK($D9))), IF(_xll.IMDP("IR", $D9, AM$8, Matrix!$D$6)=0,"",_xll.IMDP("IR", $D9, AM$8, Matrix!$D$6)), "")</f>
        <v>2.98</v>
      </c>
      <c r="AN9" cm="1">
        <f t="array" aca="1" ref="AN9" ca="1">IF( AND($D$7,NOT(ISBLANK($D9))), IF(_xll.IMDP("IR", $D9, AN$8, Matrix!$D$6)=0,"",_xll.IMDP("IR", $D9, AN$8, Matrix!$D$6)), "")</f>
        <v>2.9750000000000001</v>
      </c>
      <c r="AO9" cm="1">
        <f t="array" aca="1" ref="AO9" ca="1">IF( AND($D$7,NOT(ISBLANK($D9))), IF(_xll.IMDP("IR", $D9, AO$8, Matrix!$D$6)=0,"",_xll.IMDP("IR", $D9, AO$8, Matrix!$D$6)), "")</f>
        <v>2.9849999999999999</v>
      </c>
      <c r="AP9" cm="1">
        <f t="array" aca="1" ref="AP9" ca="1">IF( AND($D$7,NOT(ISBLANK($D9))), IF(_xll.IMDP("IR", $D9, AP$8, Matrix!$D$6)=0,"",_xll.IMDP("IR", $D9, AP$8, Matrix!$D$6)), "")</f>
        <v>2.952</v>
      </c>
      <c r="AQ9" cm="1">
        <f t="array" aca="1" ref="AQ9" ca="1">IF( AND($D$7,NOT(ISBLANK($D9))), IF(_xll.IMDP("IR", $D9, AQ$8, Matrix!$D$6)=0,"",_xll.IMDP("IR", $D9, AQ$8, Matrix!$D$6)), "")</f>
        <v>2.8519999999999999</v>
      </c>
      <c r="AR9" cm="1">
        <f t="array" aca="1" ref="AR9" ca="1">IF( AND($D$7,NOT(ISBLANK($D9))), IF(_xll.IMDP("IR", $D9, AR$8, Matrix!$D$6)=0,"",_xll.IMDP("IR", $D9, AR$8, Matrix!$D$6)), "")</f>
        <v>2.762</v>
      </c>
      <c r="AS9" cm="1">
        <f t="array" aca="1" ref="AS9" ca="1">IF( AND($E$7,NOT(ISBLANK($E9))), IF( _xll.IMDP("IR", $E9, AS$8, Matrix!$D$6)=0,"",_xll.IMDP("IR", $E9, AS$8, Matrix!$D$6)), "")</f>
        <v>3.33</v>
      </c>
      <c r="AT9" cm="1">
        <f t="array" aca="1" ref="AT9" ca="1">IF( AND($E$7,NOT(ISBLANK($E9))), IF( _xll.IMDP("IR", $E9, AT$8, Matrix!$D$6)=0,"",_xll.IMDP("IR", $E9, AT$8, Matrix!$D$6)), "")</f>
        <v>3.2</v>
      </c>
      <c r="AU9" cm="1">
        <f t="array" aca="1" ref="AU9" ca="1">IF( AND($E$7,NOT(ISBLANK($E9))), IF( _xll.IMDP("IR", $E9, AU$8, Matrix!$D$6)=0,"",_xll.IMDP("IR", $E9, AU$8, Matrix!$D$6)), "")</f>
        <v>3.12</v>
      </c>
      <c r="AV9" cm="1">
        <f t="array" aca="1" ref="AV9" ca="1">IF( AND($E$7,NOT(ISBLANK($E9))), IF( _xll.IMDP("IR", $E9, AV$8, Matrix!$D$6)=0,"",_xll.IMDP("IR", $E9, AV$8, Matrix!$D$6)), "")</f>
        <v>3.0550000000000002</v>
      </c>
      <c r="AW9" cm="1">
        <f t="array" aca="1" ref="AW9" ca="1">IF( AND($E$7,NOT(ISBLANK($E9))), IF( _xll.IMDP("IR", $E9, AW$8, Matrix!$D$6)=0,"",_xll.IMDP("IR", $E9, AW$8, Matrix!$D$6)), "")</f>
        <v>3.06</v>
      </c>
      <c r="AX9" cm="1">
        <f t="array" aca="1" ref="AX9" ca="1">IF( AND($E$7,NOT(ISBLANK($E9))), IF( _xll.IMDP("IR", $E9, AX$8, Matrix!$D$6)=0,"",_xll.IMDP("IR", $E9, AX$8, Matrix!$D$6)), "")</f>
        <v>3.03</v>
      </c>
      <c r="AY9" cm="1">
        <f t="array" aca="1" ref="AY9" ca="1">IF( AND($E$7,NOT(ISBLANK($E9))), IF( _xll.IMDP("IR", $E9, AY$8, Matrix!$D$6)=0,"",_xll.IMDP("IR", $E9, AY$8, Matrix!$D$6)), "")</f>
        <v>2.9449999999999998</v>
      </c>
      <c r="AZ9" cm="1">
        <f t="array" aca="1" ref="AZ9" ca="1">IF( AND($E$7,NOT(ISBLANK($E9))), IF( _xll.IMDP("IR", $E9, AZ$8, Matrix!$D$6)=0,"",_xll.IMDP("IR", $E9, AZ$8, Matrix!$D$6)), "")</f>
        <v>2.9220000000000002</v>
      </c>
      <c r="BA9" cm="1">
        <f t="array" aca="1" ref="BA9" ca="1">IF( AND($E$7,NOT(ISBLANK($E9))), IF( _xll.IMDP("IR", $E9, BA$8, Matrix!$D$6)=0,"",_xll.IMDP("IR", $E9, BA$8, Matrix!$D$6)), "")</f>
        <v>2.9449999999999998</v>
      </c>
      <c r="BB9" cm="1">
        <f t="array" aca="1" ref="BB9" ca="1">IF( AND($E$7,NOT(ISBLANK($E9))), IF( _xll.IMDP("IR", $E9, BB$8, Matrix!$D$6)=0,"",_xll.IMDP("IR", $E9, BB$8, Matrix!$D$6)), "")</f>
        <v>2.93</v>
      </c>
      <c r="BC9" cm="1">
        <f t="array" aca="1" ref="BC9" ca="1">IF( AND($E$7,NOT(ISBLANK($E9))), IF( _xll.IMDP("IR", $E9, BC$8, Matrix!$D$6)=0,"",_xll.IMDP("IR", $E9, BC$8, Matrix!$D$6)), "")</f>
        <v>2.9849999999999999</v>
      </c>
      <c r="BD9" cm="1">
        <f t="array" aca="1" ref="BD9" ca="1">IF( AND($E$7,NOT(ISBLANK($E9))), IF( _xll.IMDP("IR", $E9, BD$8, Matrix!$D$6)=0,"",_xll.IMDP("IR", $E9, BD$8, Matrix!$D$6)), "")</f>
        <v>2.9750000000000001</v>
      </c>
      <c r="BE9" cm="1">
        <f t="array" aca="1" ref="BE9" ca="1">IF( AND($E$7,NOT(ISBLANK($E9))), IF( _xll.IMDP("IR", $E9, BE$8, Matrix!$D$6)=0,"",_xll.IMDP("IR", $E9, BE$8, Matrix!$D$6)), "")</f>
        <v>2.9820000000000002</v>
      </c>
      <c r="BF9" cm="1">
        <f t="array" aca="1" ref="BF9" ca="1">IF( AND($E$7,NOT(ISBLANK($E9))), IF( _xll.IMDP("IR", $E9, BF$8, Matrix!$D$6)=0,"",_xll.IMDP("IR", $E9, BF$8, Matrix!$D$6)), "")</f>
        <v>2.952</v>
      </c>
      <c r="BG9" cm="1">
        <f t="array" aca="1" ref="BG9" ca="1">IF( AND($E$7,NOT(ISBLANK($E9))), IF( _xll.IMDP("IR", $E9, BG$8, Matrix!$D$6)=0,"",_xll.IMDP("IR", $E9, BG$8, Matrix!$D$6)), "")</f>
        <v>2.8519999999999999</v>
      </c>
      <c r="BH9" cm="1">
        <f t="array" aca="1" ref="BH9" ca="1">IF( AND($E$7,NOT(ISBLANK($E9))), IF( _xll.IMDP("IR", $E9, BH$8, Matrix!$D$6)=0,"",_xll.IMDP("IR", $E9, BH$8, Matrix!$D$6)), "")</f>
        <v>2.7650000000000001</v>
      </c>
      <c r="BI9" cm="1">
        <f t="array" aca="1" ref="BI9" ca="1">IF( AND($F$7,NOT(ISBLANK($F9))), IF( _xll.IMDP("IR", $F9, BI$8, Matrix!$D$6)=0,"",_xll.IMDP("IR", $F9, BI$8, Matrix!$D$6)), "")</f>
        <v>3.35</v>
      </c>
      <c r="BJ9" cm="1">
        <f t="array" aca="1" ref="BJ9" ca="1">IF( AND($F$7,NOT(ISBLANK($F9))), IF( _xll.IMDP("IR", $F9, BJ$8, Matrix!$D$6)=0,"",_xll.IMDP("IR", $F9, BJ$8, Matrix!$D$6)), "")</f>
        <v>3.2</v>
      </c>
      <c r="BK9" cm="1">
        <f t="array" aca="1" ref="BK9" ca="1">IF( AND($F$7,NOT(ISBLANK($F9))), IF( _xll.IMDP("IR", $F9, BK$8, Matrix!$D$6)=0,"",_xll.IMDP("IR", $F9, BK$8, Matrix!$D$6)), "")</f>
        <v>3.1070000000000002</v>
      </c>
      <c r="BL9" cm="1">
        <f t="array" aca="1" ref="BL9" ca="1">IF( AND($F$7,NOT(ISBLANK($F9))), IF( _xll.IMDP("IR", $F9, BL$8, Matrix!$D$6)=0,"",_xll.IMDP("IR", $F9, BL$8, Matrix!$D$6)), "")</f>
        <v>3.052</v>
      </c>
      <c r="BM9" cm="1">
        <f t="array" aca="1" ref="BM9" ca="1">IF( AND($F$7,NOT(ISBLANK($F9))), IF( _xll.IMDP("IR", $F9, BM$8, Matrix!$D$6)=0,"",_xll.IMDP("IR", $F9, BM$8, Matrix!$D$6)), "")</f>
        <v>3.052</v>
      </c>
      <c r="BN9" cm="1">
        <f t="array" aca="1" ref="BN9" ca="1">IF( AND($F$7,NOT(ISBLANK($F9))), IF( _xll.IMDP("IR", $F9, BN$8, Matrix!$D$6)=0,"",_xll.IMDP("IR", $F9, BN$8, Matrix!$D$6)), "")</f>
        <v>3.03</v>
      </c>
      <c r="BO9" cm="1">
        <f t="array" aca="1" ref="BO9" ca="1">IF( AND($F$7,NOT(ISBLANK($F9))), IF( _xll.IMDP("IR", $F9, BO$8, Matrix!$D$6)=0,"",_xll.IMDP("IR", $F9, BO$8, Matrix!$D$6)), "")</f>
        <v>2.9420000000000002</v>
      </c>
      <c r="BP9" cm="1">
        <f t="array" aca="1" ref="BP9" ca="1">IF( AND($F$7,NOT(ISBLANK($F9))), IF( _xll.IMDP("IR", $F9, BP$8, Matrix!$D$6)=0,"",_xll.IMDP("IR", $F9, BP$8, Matrix!$D$6)), "")</f>
        <v>2.9220000000000002</v>
      </c>
      <c r="BQ9" cm="1">
        <f t="array" aca="1" ref="BQ9" ca="1">IF( AND($F$7,NOT(ISBLANK($F9))), IF( _xll.IMDP("IR", $F9, BQ$8, Matrix!$D$6)=0,"",_xll.IMDP("IR", $F9, BQ$8, Matrix!$D$6)), "")</f>
        <v>2.9420000000000002</v>
      </c>
      <c r="BR9" cm="1">
        <f t="array" aca="1" ref="BR9" ca="1">IF( AND($F$7,NOT(ISBLANK($F9))), IF( _xll.IMDP("IR", $F9, BR$8, Matrix!$D$6)=0,"",_xll.IMDP("IR", $F9, BR$8, Matrix!$D$6)), "")</f>
        <v>2.93</v>
      </c>
      <c r="BS9" cm="1">
        <f t="array" aca="1" ref="BS9" ca="1">IF( AND($F$7,NOT(ISBLANK($F9))), IF( _xll.IMDP("IR", $F9, BS$8, Matrix!$D$6)=0,"",_xll.IMDP("IR", $F9, BS$8, Matrix!$D$6)), "")</f>
        <v>2.98</v>
      </c>
      <c r="BT9" cm="1">
        <f t="array" aca="1" ref="BT9" ca="1">IF( AND($F$7,NOT(ISBLANK($F9))), IF( _xll.IMDP("IR", $F9, BT$8, Matrix!$D$6)=0,"",_xll.IMDP("IR", $F9, BT$8, Matrix!$D$6)), "")</f>
        <v>2.9750000000000001</v>
      </c>
      <c r="BU9" cm="1">
        <f t="array" aca="1" ref="BU9" ca="1">IF( AND($F$7,NOT(ISBLANK($F9))), IF( _xll.IMDP("IR", $F9, BU$8, Matrix!$D$6)=0,"",_xll.IMDP("IR", $F9, BU$8, Matrix!$D$6)), "")</f>
        <v>2.98</v>
      </c>
      <c r="BV9" cm="1">
        <f t="array" aca="1" ref="BV9" ca="1">IF( AND($F$7,NOT(ISBLANK($F9))), IF( _xll.IMDP("IR", $F9, BV$8, Matrix!$D$6)=0,"",_xll.IMDP("IR", $F9, BV$8, Matrix!$D$6)), "")</f>
        <v>2.952</v>
      </c>
      <c r="BW9" cm="1">
        <f t="array" aca="1" ref="BW9" ca="1">IF( AND($F$7,NOT(ISBLANK($F9))), IF( _xll.IMDP("IR", $F9, BW$8, Matrix!$D$6)=0,"",_xll.IMDP("IR", $F9, BW$8, Matrix!$D$6)), "")</f>
        <v>2.8519999999999999</v>
      </c>
      <c r="BX9" cm="1">
        <f t="array" aca="1" ref="BX9" ca="1">IF( AND($F$7,NOT(ISBLANK($F9))), IF( _xll.IMDP("IR", $F9, BX$8, Matrix!$D$6)=0,"",_xll.IMDP("IR", $F9, BX$8, Matrix!$D$6)), "")</f>
        <v>2.762</v>
      </c>
      <c r="BY9" cm="1">
        <f t="array" aca="1" ref="BY9" ca="1">IF( AND($G$7,NOT(ISBLANK($G9))), IF( _xll.IMDP("IR", $G9, BY$8, Matrix!$D$6)=0, "", _xll.IMDP("IR", $G9, BY$8, Matrix!$D$6)), "")</f>
        <v>3.34</v>
      </c>
      <c r="BZ9" cm="1">
        <f t="array" aca="1" ref="BZ9" ca="1">IF( AND($G$7,NOT(ISBLANK($G9))), IF( _xll.IMDP("IR", $G9, BZ$8, Matrix!$D$6)=0, "", _xll.IMDP("IR", $G9, BZ$8, Matrix!$D$6)), "")</f>
        <v>3.2</v>
      </c>
      <c r="CA9" cm="1">
        <f t="array" aca="1" ref="CA9" ca="1">IF( AND($G$7,NOT(ISBLANK($G9))), IF( _xll.IMDP("IR", $G9, CA$8, Matrix!$D$6)=0, "", _xll.IMDP("IR", $G9, CA$8, Matrix!$D$6)), "")</f>
        <v>3.12</v>
      </c>
      <c r="CB9" cm="1">
        <f t="array" aca="1" ref="CB9" ca="1">IF( AND($G$7,NOT(ISBLANK($G9))), IF( _xll.IMDP("IR", $G9, CB$8, Matrix!$D$6)=0, "", _xll.IMDP("IR", $G9, CB$8, Matrix!$D$6)), "")</f>
        <v>3.0550000000000002</v>
      </c>
      <c r="CC9" cm="1">
        <f t="array" aca="1" ref="CC9" ca="1">IF( AND($G$7,NOT(ISBLANK($G9))), IF( _xll.IMDP("IR", $G9, CC$8, Matrix!$D$6)=0, "", _xll.IMDP("IR", $G9, CC$8, Matrix!$D$6)), "")</f>
        <v>3.06</v>
      </c>
      <c r="CD9" cm="1">
        <f t="array" aca="1" ref="CD9" ca="1">IF( AND($G$7,NOT(ISBLANK($G9))), IF( _xll.IMDP("IR", $G9, CD$8, Matrix!$D$6)=0, "", _xll.IMDP("IR", $G9, CD$8, Matrix!$D$6)), "")</f>
        <v>3.03</v>
      </c>
      <c r="CE9" cm="1">
        <f t="array" aca="1" ref="CE9" ca="1">IF( AND($G$7,NOT(ISBLANK($G9))), IF( _xll.IMDP("IR", $G9, CE$8, Matrix!$D$6)=0, "", _xll.IMDP("IR", $G9, CE$8, Matrix!$D$6)), "")</f>
        <v>2.9420000000000002</v>
      </c>
      <c r="CF9" cm="1">
        <f t="array" aca="1" ref="CF9" ca="1">IF( AND($G$7,NOT(ISBLANK($G9))), IF( _xll.IMDP("IR", $G9, CF$8, Matrix!$D$6)=0, "", _xll.IMDP("IR", $G9, CF$8, Matrix!$D$6)), "")</f>
        <v>2.9220000000000002</v>
      </c>
      <c r="CG9" cm="1">
        <f t="array" aca="1" ref="CG9" ca="1">IF( AND($G$7,NOT(ISBLANK($G9))), IF( _xll.IMDP("IR", $G9, CG$8, Matrix!$D$6)=0, "", _xll.IMDP("IR", $G9, CG$8, Matrix!$D$6)), "")</f>
        <v>2.9420000000000002</v>
      </c>
      <c r="CH9" cm="1">
        <f t="array" aca="1" ref="CH9" ca="1">IF( AND($G$7,NOT(ISBLANK($G9))), IF( _xll.IMDP("IR", $G9, CH$8, Matrix!$D$6)=0, "", _xll.IMDP("IR", $G9, CH$8, Matrix!$D$6)), "")</f>
        <v>2.93</v>
      </c>
      <c r="CI9" cm="1">
        <f t="array" aca="1" ref="CI9" ca="1">IF( AND($G$7,NOT(ISBLANK($G9))), IF( _xll.IMDP("IR", $G9, CI$8, Matrix!$D$6)=0, "", _xll.IMDP("IR", $G9, CI$8, Matrix!$D$6)), "")</f>
        <v>2.98</v>
      </c>
      <c r="CJ9" cm="1">
        <f t="array" aca="1" ref="CJ9" ca="1">IF( AND($G$7,NOT(ISBLANK($G9))), IF( _xll.IMDP("IR", $G9, CJ$8, Matrix!$D$6)=0, "", _xll.IMDP("IR", $G9, CJ$8, Matrix!$D$6)), "")</f>
        <v>2.9750000000000001</v>
      </c>
      <c r="CK9" cm="1">
        <f t="array" aca="1" ref="CK9" ca="1">IF( AND($G$7,NOT(ISBLANK($G9))), IF( _xll.IMDP("IR", $G9, CK$8, Matrix!$D$6)=0, "", _xll.IMDP("IR", $G9, CK$8, Matrix!$D$6)), "")</f>
        <v>2.9820000000000002</v>
      </c>
      <c r="CL9" cm="1">
        <f t="array" aca="1" ref="CL9" ca="1">IF( AND($G$7,NOT(ISBLANK($G9))), IF( _xll.IMDP("IR", $G9, CL$8, Matrix!$D$6)=0, "", _xll.IMDP("IR", $G9, CL$8, Matrix!$D$6)), "")</f>
        <v>2.952</v>
      </c>
      <c r="CM9" cm="1">
        <f t="array" aca="1" ref="CM9" ca="1">IF( AND($G$7,NOT(ISBLANK($G9))), IF( _xll.IMDP("IR", $G9, CM$8, Matrix!$D$6)=0, "", _xll.IMDP("IR", $G9, CM$8, Matrix!$D$6)), "")</f>
        <v>2.8519999999999999</v>
      </c>
      <c r="CN9" cm="1">
        <f t="array" aca="1" ref="CN9" ca="1">IF( AND($G$7,NOT(ISBLANK($G9))), IF( _xll.IMDP("IR", $G9, CN$8, Matrix!$D$6)=0, "", _xll.IMDP("IR", $G9, CN$8, Matrix!$D$6)), "")</f>
        <v>2.762</v>
      </c>
      <c r="CO9" cm="1">
        <f t="array" aca="1" ref="CO9" ca="1">IF( AND($H$7,NOT(ISBLANK($H9))), IF( _xll.IMDP("IR", $H9, CO$8, Matrix!$D$6)=0, "", _xll.IMDP("IR", $H9, CO$8, Matrix!$D$6)), "")</f>
        <v>3.3380000000000001</v>
      </c>
      <c r="CP9" cm="1">
        <f t="array" aca="1" ref="CP9" ca="1">IF( AND($H$7,NOT(ISBLANK($H9))), IF( _xll.IMDP("IR", $H9, CP$8, Matrix!$D$6)=0, "", _xll.IMDP("IR", $H9, CP$8, Matrix!$D$6)), "")</f>
        <v>3.202</v>
      </c>
      <c r="CQ9" cm="1">
        <f t="array" aca="1" ref="CQ9" ca="1">IF( AND($H$7,NOT(ISBLANK($H9))), IF( _xll.IMDP("IR", $H9, CQ$8, Matrix!$D$6)=0, "", _xll.IMDP("IR", $H9, CQ$8, Matrix!$D$6)), "")</f>
        <v>3.1139999999999999</v>
      </c>
      <c r="CR9" cm="1">
        <f t="array" aca="1" ref="CR9" ca="1">IF( AND($H$7,NOT(ISBLANK($H9))), IF( _xll.IMDP("IR", $H9, CR$8, Matrix!$D$6)=0, "", _xll.IMDP("IR", $H9, CR$8, Matrix!$D$6)), "")</f>
        <v>3.0529999999999999</v>
      </c>
      <c r="CS9" cm="1">
        <f t="array" aca="1" ref="CS9" ca="1">IF( AND($H$7,NOT(ISBLANK($H9))), IF( _xll.IMDP("IR", $H9, CS$8, Matrix!$D$6)=0, "", _xll.IMDP("IR", $H9, CS$8, Matrix!$D$6)), "")</f>
        <v>3.056</v>
      </c>
      <c r="CT9" cm="1">
        <f t="array" aca="1" ref="CT9" ca="1">IF( AND($H$7,NOT(ISBLANK($H9))), IF( _xll.IMDP("IR", $H9, CT$8, Matrix!$D$6)=0, "", _xll.IMDP("IR", $H9, CT$8, Matrix!$D$6)), "")</f>
        <v>3.03</v>
      </c>
      <c r="CU9" cm="1">
        <f t="array" aca="1" ref="CU9" ca="1">IF( AND($H$7,NOT(ISBLANK($H9))), IF( _xll.IMDP("IR", $H9, CU$8, Matrix!$D$6)=0, "", _xll.IMDP("IR", $H9, CU$8, Matrix!$D$6)), "")</f>
        <v>2.9430000000000001</v>
      </c>
      <c r="CV9" cm="1">
        <f t="array" aca="1" ref="CV9" ca="1">IF( AND($H$7,NOT(ISBLANK($H9))), IF( _xll.IMDP("IR", $H9, CV$8, Matrix!$D$6)=0, "", _xll.IMDP("IR", $H9, CV$8, Matrix!$D$6)), "")</f>
        <v>2.9220000000000002</v>
      </c>
      <c r="CW9" cm="1">
        <f t="array" aca="1" ref="CW9" ca="1">IF( AND($H$7,NOT(ISBLANK($H9))), IF( _xll.IMDP("IR", $H9, CW$8, Matrix!$D$6)=0, "", _xll.IMDP("IR", $H9, CW$8, Matrix!$D$6)), "")</f>
        <v>2.9420000000000002</v>
      </c>
      <c r="CX9" cm="1">
        <f t="array" aca="1" ref="CX9" ca="1">IF( AND($H$7,NOT(ISBLANK($H9))), IF( _xll.IMDP("IR", $H9, CX$8, Matrix!$D$6)=0, "", _xll.IMDP("IR", $H9, CX$8, Matrix!$D$6)), "")</f>
        <v>2.93</v>
      </c>
      <c r="CY9" cm="1">
        <f t="array" aca="1" ref="CY9" ca="1">IF( AND($H$7,NOT(ISBLANK($H9))), IF( _xll.IMDP("IR", $H9, CY$8, Matrix!$D$6)=0, "", _xll.IMDP("IR", $H9, CY$8, Matrix!$D$6)), "")</f>
        <v>2.9809999999999999</v>
      </c>
      <c r="CZ9" cm="1">
        <f t="array" aca="1" ref="CZ9" ca="1">IF( AND($H$7,NOT(ISBLANK($H9))), IF( _xll.IMDP("IR", $H9, CZ$8, Matrix!$D$6)=0, "", _xll.IMDP("IR", $H9, CZ$8, Matrix!$D$6)), "")</f>
        <v>2.9750000000000001</v>
      </c>
      <c r="DA9" t="str" cm="1">
        <f t="array" aca="1" ref="DA9" ca="1">IF( AND($H$7,NOT(ISBLANK($H9))), IF( _xll.IMDP("IR", $H9, DA$8, Matrix!$D$6)=0, "", _xll.IMDP("IR", $H9, DA$8, Matrix!$D$6)), "")</f>
        <v/>
      </c>
      <c r="DB9" cm="1">
        <f t="array" aca="1" ref="DB9" ca="1">IF( AND($H$7,NOT(ISBLANK($H9))), IF( _xll.IMDP("IR", $H9, DB$8, Matrix!$D$6)=0, "", _xll.IMDP("IR", $H9, DB$8, Matrix!$D$6)), "")</f>
        <v>2.952</v>
      </c>
      <c r="DC9" cm="1">
        <f t="array" aca="1" ref="DC9" ca="1">IF( AND($H$7,NOT(ISBLANK($H9))), IF( _xll.IMDP("IR", $H9, DC$8, Matrix!$D$6)=0, "", _xll.IMDP("IR", $H9, DC$8, Matrix!$D$6)), "")</f>
        <v>2.8519999999999999</v>
      </c>
      <c r="DD9" cm="1">
        <f t="array" aca="1" ref="DD9" ca="1">IF( AND($H$7,NOT(ISBLANK($H9))), IF( _xll.IMDP("IR", $H9, DD$8, Matrix!$D$6)=0, "", _xll.IMDP("IR", $H9, DD$8, Matrix!$D$6)), "")</f>
        <v>2.762</v>
      </c>
    </row>
    <row r="10" spans="2:108">
      <c r="B10" t="s">
        <v>79</v>
      </c>
      <c r="C10" t="s">
        <v>153</v>
      </c>
      <c r="D10" t="s">
        <v>230</v>
      </c>
      <c r="E10" t="s">
        <v>294</v>
      </c>
      <c r="F10" t="s">
        <v>356</v>
      </c>
      <c r="G10" t="s">
        <v>423</v>
      </c>
      <c r="H10" t="s">
        <v>486</v>
      </c>
      <c r="M10" s="21">
        <f t="shared" ref="M10:M69" ca="1" si="1">CHOOSE( $N$7, AVERAGE(AC10,AS10,BI10,BY10,CO10), GEOMEAN(AC10,AS10,BI10,BY10,CO10) )</f>
        <v>3.344397512566669</v>
      </c>
      <c r="N10" s="21">
        <f t="shared" ref="N10:N69" ca="1" si="2">CHOOSE( $N$7, AVERAGE(AD10,AT10,BJ10,BZ10,CP10), GEOMEAN(AD10,AT10,BJ10,BZ10,CP10) )</f>
        <v>3.2505882121823673</v>
      </c>
      <c r="O10" s="21">
        <f t="shared" ref="O10:O69" ca="1" si="3">CHOOSE( $N$7, AVERAGE(AE10,AU10,BK10,CA10,CQ10), GEOMEAN(AE10,AU10,BK10,CA10,CQ10) )</f>
        <v>3.1721966977904614</v>
      </c>
      <c r="P10" s="21">
        <f t="shared" ref="P10:P69" ca="1" si="4">CHOOSE( $N$7, AVERAGE(AF10,AV10,BL10,CB10,CR10), GEOMEAN(AF10,AV10,BL10,CB10,CR10) )</f>
        <v>3.0895856886798225</v>
      </c>
      <c r="Q10" s="21">
        <f t="shared" ref="Q10:Q69" ca="1" si="5">CHOOSE( $N$7, AVERAGE(AG10,AW10,BM10,CC10,CS10), GEOMEAN(AG10,AW10,BM10,CC10,CS10) )</f>
        <v>3.0739904351696814</v>
      </c>
      <c r="R10" s="21">
        <f t="shared" ref="R10:R69" ca="1" si="6">CHOOSE( $N$7, AVERAGE(AH10,AX10,BN10,CD10,CT10), GEOMEAN(AH10,AX10,BN10,CD10,CT10) )</f>
        <v>3.0541979457362904</v>
      </c>
      <c r="S10" s="21">
        <f t="shared" ref="S10:S69" ca="1" si="7">CHOOSE( $N$7, AVERAGE(AI10,AY10,BO10,CE10,CU10), GEOMEAN(AI10,AY10,BO10,CE10,CU10) )</f>
        <v>3.011574149813574</v>
      </c>
      <c r="T10" s="21">
        <f t="shared" ref="T10:T69" ca="1" si="8">CHOOSE( $N$7, AVERAGE(AJ10,AZ10,BP10,CF10,CV10), GEOMEAN(AJ10,AZ10,BP10,CF10,CV10) )</f>
        <v>3.0099935606174739</v>
      </c>
      <c r="U10" s="21">
        <f t="shared" ref="U10:U69" ca="1" si="9">CHOOSE( $N$7, AVERAGE(AK10,BA10,BQ10,CG10,CW10), GEOMEAN(AK10,BA10,BQ10,CG10,CW10) )</f>
        <v>3.0093942508902436</v>
      </c>
      <c r="V10" s="21">
        <f t="shared" ref="V10:V69" ca="1" si="10">CHOOSE( $N$7, AVERAGE(AL10,BB10,BR10,CH10,CX10), GEOMEAN(AL10,BB10,BR10,CH10,CX10) )</f>
        <v>3.0515987820038468</v>
      </c>
      <c r="W10" s="21" t="e">
        <f t="shared" ref="W10:W69" ca="1" si="11">CHOOSE( $N$7, AVERAGE(AM10,BC10,BS10,CI10,CY10), GEOMEAN(AM10,BC10,BS10,CI10,CY10) )</f>
        <v>#NUM!</v>
      </c>
      <c r="X10" s="21" t="e">
        <f t="shared" ref="X10:X69" ca="1" si="12">CHOOSE( $N$7, AVERAGE(AN10,BD10,BT10,CJ10,CZ10), GEOMEAN(AN10,BD10,BT10,CJ10,CZ10) )</f>
        <v>#NUM!</v>
      </c>
      <c r="Y10" s="21" t="e">
        <f t="shared" ref="Y10:Y69" ca="1" si="13">CHOOSE( $N$7, AVERAGE(AO10,BE10,BU10,CK10,DA10), GEOMEAN(AO10,BE10,BU10,CK10,DA10) )</f>
        <v>#NUM!</v>
      </c>
      <c r="Z10" s="21" t="e">
        <f t="shared" ref="Z10:Z69" ca="1" si="14">CHOOSE( $N$7, AVERAGE(AP10,BF10,BV10,CL10,DB10), GEOMEAN(AP10,BF10,BV10,CL10,DB10) )</f>
        <v>#NUM!</v>
      </c>
      <c r="AA10" s="21" t="e">
        <f t="shared" ref="AA10:AA69" ca="1" si="15">CHOOSE( $N$7, AVERAGE(AQ10,BG10,BW10,CM10,DC10), GEOMEAN(AQ10,BG10,BW10,CM10,DC10) )</f>
        <v>#NUM!</v>
      </c>
      <c r="AB10" s="21" t="e">
        <f t="shared" ref="AB10:AB69" ca="1" si="16">CHOOSE( $N$7, AVERAGE(AR10,BH10,BX10,CN10,DD10), GEOMEAN(AR10,BH10,BX10,CN10,DD10) )</f>
        <v>#NUM!</v>
      </c>
      <c r="AC10" cm="1">
        <f t="array" aca="1" ref="AC10" ca="1">IF( AND($D$7,NOT(ISBLANK($D10))), IF(_xll.IMDP("IR", $D10, AC$8, Matrix!$D$6)=0,"",_xll.IMDP("IR", $D10, AC$8, Matrix!$D$6)), "")</f>
        <v>3.3479999999999999</v>
      </c>
      <c r="AD10" cm="1">
        <f t="array" aca="1" ref="AD10" ca="1">IF( AND($D$7,NOT(ISBLANK($D10))), IF(_xll.IMDP("IR", $D10, AD$8, Matrix!$D$6)=0,"",_xll.IMDP("IR", $D10, AD$8, Matrix!$D$6)), "")</f>
        <v>3.2610000000000001</v>
      </c>
      <c r="AE10" cm="1">
        <f t="array" aca="1" ref="AE10" ca="1">IF( AND($D$7,NOT(ISBLANK($D10))), IF(_xll.IMDP("IR", $D10, AE$8, Matrix!$D$6)=0,"",_xll.IMDP("IR", $D10, AE$8, Matrix!$D$6)), "")</f>
        <v>3.1659999999999999</v>
      </c>
      <c r="AF10" cm="1">
        <f t="array" aca="1" ref="AF10" ca="1">IF( AND($D$7,NOT(ISBLANK($D10))), IF(_xll.IMDP("IR", $D10, AF$8, Matrix!$D$6)=0,"",_xll.IMDP("IR", $D10, AF$8, Matrix!$D$6)), "")</f>
        <v>3.097</v>
      </c>
      <c r="AG10" cm="1">
        <f t="array" aca="1" ref="AG10" ca="1">IF( AND($D$7,NOT(ISBLANK($D10))), IF(_xll.IMDP("IR", $D10, AG$8, Matrix!$D$6)=0,"",_xll.IMDP("IR", $D10, AG$8, Matrix!$D$6)), "")</f>
        <v>3.0830000000000002</v>
      </c>
      <c r="AH10" cm="1">
        <f t="array" aca="1" ref="AH10" ca="1">IF( AND($D$7,NOT(ISBLANK($D10))), IF(_xll.IMDP("IR", $D10, AH$8, Matrix!$D$6)=0,"",_xll.IMDP("IR", $D10, AH$8, Matrix!$D$6)), "")</f>
        <v>3.0510000000000002</v>
      </c>
      <c r="AI10" cm="1">
        <f t="array" aca="1" ref="AI10" ca="1">IF( AND($D$7,NOT(ISBLANK($D10))), IF(_xll.IMDP("IR", $D10, AI$8, Matrix!$D$6)=0,"",_xll.IMDP("IR", $D10, AI$8, Matrix!$D$6)), "")</f>
        <v>3.0270000000000001</v>
      </c>
      <c r="AJ10" cm="1">
        <f t="array" aca="1" ref="AJ10" ca="1">IF( AND($D$7,NOT(ISBLANK($D10))), IF(_xll.IMDP("IR", $D10, AJ$8, Matrix!$D$6)=0,"",_xll.IMDP("IR", $D10, AJ$8, Matrix!$D$6)), "")</f>
        <v>3.0209999999999999</v>
      </c>
      <c r="AK10" cm="1">
        <f t="array" aca="1" ref="AK10" ca="1">IF( AND($D$7,NOT(ISBLANK($D10))), IF(_xll.IMDP("IR", $D10, AK$8, Matrix!$D$6)=0,"",_xll.IMDP("IR", $D10, AK$8, Matrix!$D$6)), "")</f>
        <v>3.02</v>
      </c>
      <c r="AL10" cm="1">
        <f t="array" aca="1" ref="AL10" ca="1">IF( AND($D$7,NOT(ISBLANK($D10))), IF(_xll.IMDP("IR", $D10, AL$8, Matrix!$D$6)=0,"",_xll.IMDP("IR", $D10, AL$8, Matrix!$D$6)), "")</f>
        <v>3.05</v>
      </c>
      <c r="AM10" t="str" cm="1">
        <f t="array" aca="1" ref="AM10" ca="1">IF( AND($D$7,NOT(ISBLANK($D10))), IF(_xll.IMDP("IR", $D10, AM$8, Matrix!$D$6)=0,"",_xll.IMDP("IR", $D10, AM$8, Matrix!$D$6)), "")</f>
        <v/>
      </c>
      <c r="AN10" t="str" cm="1">
        <f t="array" aca="1" ref="AN10" ca="1">IF( AND($D$7,NOT(ISBLANK($D10))), IF(_xll.IMDP("IR", $D10, AN$8, Matrix!$D$6)=0,"",_xll.IMDP("IR", $D10, AN$8, Matrix!$D$6)), "")</f>
        <v/>
      </c>
      <c r="AO10" t="str" cm="1">
        <f t="array" aca="1" ref="AO10" ca="1">IF( AND($D$7,NOT(ISBLANK($D10))), IF(_xll.IMDP("IR", $D10, AO$8, Matrix!$D$6)=0,"",_xll.IMDP("IR", $D10, AO$8, Matrix!$D$6)), "")</f>
        <v/>
      </c>
      <c r="AP10" t="str" cm="1">
        <f t="array" aca="1" ref="AP10" ca="1">IF( AND($D$7,NOT(ISBLANK($D10))), IF(_xll.IMDP("IR", $D10, AP$8, Matrix!$D$6)=0,"",_xll.IMDP("IR", $D10, AP$8, Matrix!$D$6)), "")</f>
        <v/>
      </c>
      <c r="AQ10" t="str" cm="1">
        <f t="array" aca="1" ref="AQ10" ca="1">IF( AND($D$7,NOT(ISBLANK($D10))), IF(_xll.IMDP("IR", $D10, AQ$8, Matrix!$D$6)=0,"",_xll.IMDP("IR", $D10, AQ$8, Matrix!$D$6)), "")</f>
        <v/>
      </c>
      <c r="AR10" t="str" cm="1">
        <f t="array" aca="1" ref="AR10" ca="1">IF( AND($D$7,NOT(ISBLANK($D10))), IF(_xll.IMDP("IR", $D10, AR$8, Matrix!$D$6)=0,"",_xll.IMDP("IR", $D10, AR$8, Matrix!$D$6)), "")</f>
        <v/>
      </c>
      <c r="AS10" cm="1">
        <f t="array" aca="1" ref="AS10" ca="1">IF( AND($E$7,NOT(ISBLANK($E10))), IF( _xll.IMDP("IR", $E10, AS$8, Matrix!$D$6)=0,"",_xll.IMDP("IR", $E10, AS$8, Matrix!$D$6)), "")</f>
        <v>3.34</v>
      </c>
      <c r="AT10" cm="1">
        <f t="array" aca="1" ref="AT10" ca="1">IF( AND($E$7,NOT(ISBLANK($E10))), IF( _xll.IMDP("IR", $E10, AT$8, Matrix!$D$6)=0,"",_xll.IMDP("IR", $E10, AT$8, Matrix!$D$6)), "")</f>
        <v>3.242</v>
      </c>
      <c r="AU10" cm="1">
        <f t="array" aca="1" ref="AU10" ca="1">IF( AND($E$7,NOT(ISBLANK($E10))), IF( _xll.IMDP("IR", $E10, AU$8, Matrix!$D$6)=0,"",_xll.IMDP("IR", $E10, AU$8, Matrix!$D$6)), "")</f>
        <v>3.18</v>
      </c>
      <c r="AV10" cm="1">
        <f t="array" aca="1" ref="AV10" ca="1">IF( AND($E$7,NOT(ISBLANK($E10))), IF( _xll.IMDP("IR", $E10, AV$8, Matrix!$D$6)=0,"",_xll.IMDP("IR", $E10, AV$8, Matrix!$D$6)), "")</f>
        <v>3.0979999999999999</v>
      </c>
      <c r="AW10" cm="1">
        <f t="array" aca="1" ref="AW10" ca="1">IF( AND($E$7,NOT(ISBLANK($E10))), IF( _xll.IMDP("IR", $E10, AW$8, Matrix!$D$6)=0,"",_xll.IMDP("IR", $E10, AW$8, Matrix!$D$6)), "")</f>
        <v>3.0670000000000002</v>
      </c>
      <c r="AX10" cm="1">
        <f t="array" aca="1" ref="AX10" ca="1">IF( AND($E$7,NOT(ISBLANK($E10))), IF( _xll.IMDP("IR", $E10, AX$8, Matrix!$D$6)=0,"",_xll.IMDP("IR", $E10, AX$8, Matrix!$D$6)), "")</f>
        <v>3.0609999999999999</v>
      </c>
      <c r="AY10" cm="1">
        <f t="array" aca="1" ref="AY10" ca="1">IF( AND($E$7,NOT(ISBLANK($E10))), IF( _xll.IMDP("IR", $E10, AY$8, Matrix!$D$6)=0,"",_xll.IMDP("IR", $E10, AY$8, Matrix!$D$6)), "")</f>
        <v>3.02</v>
      </c>
      <c r="AZ10" cm="1">
        <f t="array" aca="1" ref="AZ10" ca="1">IF( AND($E$7,NOT(ISBLANK($E10))), IF( _xll.IMDP("IR", $E10, AZ$8, Matrix!$D$6)=0,"",_xll.IMDP("IR", $E10, AZ$8, Matrix!$D$6)), "")</f>
        <v>3.0019999999999998</v>
      </c>
      <c r="BA10" cm="1">
        <f t="array" aca="1" ref="BA10" ca="1">IF( AND($E$7,NOT(ISBLANK($E10))), IF( _xll.IMDP("IR", $E10, BA$8, Matrix!$D$6)=0,"",_xll.IMDP("IR", $E10, BA$8, Matrix!$D$6)), "")</f>
        <v>3.0030000000000001</v>
      </c>
      <c r="BB10" cm="1">
        <f t="array" aca="1" ref="BB10" ca="1">IF( AND($E$7,NOT(ISBLANK($E10))), IF( _xll.IMDP("IR", $E10, BB$8, Matrix!$D$6)=0,"",_xll.IMDP("IR", $E10, BB$8, Matrix!$D$6)), "")</f>
        <v>3.0569999999999999</v>
      </c>
      <c r="BC10" t="str" cm="1">
        <f t="array" aca="1" ref="BC10" ca="1">IF( AND($E$7,NOT(ISBLANK($E10))), IF( _xll.IMDP("IR", $E10, BC$8, Matrix!$D$6)=0,"",_xll.IMDP("IR", $E10, BC$8, Matrix!$D$6)), "")</f>
        <v/>
      </c>
      <c r="BD10" t="str" cm="1">
        <f t="array" aca="1" ref="BD10" ca="1">IF( AND($E$7,NOT(ISBLANK($E10))), IF( _xll.IMDP("IR", $E10, BD$8, Matrix!$D$6)=0,"",_xll.IMDP("IR", $E10, BD$8, Matrix!$D$6)), "")</f>
        <v/>
      </c>
      <c r="BE10" t="str" cm="1">
        <f t="array" aca="1" ref="BE10" ca="1">IF( AND($E$7,NOT(ISBLANK($E10))), IF( _xll.IMDP("IR", $E10, BE$8, Matrix!$D$6)=0,"",_xll.IMDP("IR", $E10, BE$8, Matrix!$D$6)), "")</f>
        <v/>
      </c>
      <c r="BF10" t="str" cm="1">
        <f t="array" aca="1" ref="BF10" ca="1">IF( AND($E$7,NOT(ISBLANK($E10))), IF( _xll.IMDP("IR", $E10, BF$8, Matrix!$D$6)=0,"",_xll.IMDP("IR", $E10, BF$8, Matrix!$D$6)), "")</f>
        <v/>
      </c>
      <c r="BG10" t="str" cm="1">
        <f t="array" aca="1" ref="BG10" ca="1">IF( AND($E$7,NOT(ISBLANK($E10))), IF( _xll.IMDP("IR", $E10, BG$8, Matrix!$D$6)=0,"",_xll.IMDP("IR", $E10, BG$8, Matrix!$D$6)), "")</f>
        <v/>
      </c>
      <c r="BH10" t="str" cm="1">
        <f t="array" aca="1" ref="BH10" ca="1">IF( AND($E$7,NOT(ISBLANK($E10))), IF( _xll.IMDP("IR", $E10, BH$8, Matrix!$D$6)=0,"",_xll.IMDP("IR", $E10, BH$8, Matrix!$D$6)), "")</f>
        <v/>
      </c>
      <c r="BI10" cm="1">
        <f t="array" aca="1" ref="BI10" ca="1">IF( AND($F$7,NOT(ISBLANK($F10))), IF( _xll.IMDP("IR", $F10, BI$8, Matrix!$D$6)=0,"",_xll.IMDP("IR", $F10, BI$8, Matrix!$D$6)), "")</f>
        <v>3.35</v>
      </c>
      <c r="BJ10" cm="1">
        <f t="array" aca="1" ref="BJ10" ca="1">IF( AND($F$7,NOT(ISBLANK($F10))), IF( _xll.IMDP("IR", $F10, BJ$8, Matrix!$D$6)=0,"",_xll.IMDP("IR", $F10, BJ$8, Matrix!$D$6)), "")</f>
        <v>3.26</v>
      </c>
      <c r="BK10" cm="1">
        <f t="array" aca="1" ref="BK10" ca="1">IF( AND($F$7,NOT(ISBLANK($F10))), IF( _xll.IMDP("IR", $F10, BK$8, Matrix!$D$6)=0,"",_xll.IMDP("IR", $F10, BK$8, Matrix!$D$6)), "")</f>
        <v>3.17</v>
      </c>
      <c r="BL10" cm="1">
        <f t="array" aca="1" ref="BL10" ca="1">IF( AND($F$7,NOT(ISBLANK($F10))), IF( _xll.IMDP("IR", $F10, BL$8, Matrix!$D$6)=0,"",_xll.IMDP("IR", $F10, BL$8, Matrix!$D$6)), "")</f>
        <v>3.0720000000000001</v>
      </c>
      <c r="BM10" cm="1">
        <f t="array" aca="1" ref="BM10" ca="1">IF( AND($F$7,NOT(ISBLANK($F10))), IF( _xll.IMDP("IR", $F10, BM$8, Matrix!$D$6)=0,"",_xll.IMDP("IR", $F10, BM$8, Matrix!$D$6)), "")</f>
        <v>3.0819999999999999</v>
      </c>
      <c r="BN10" cm="1">
        <f t="array" aca="1" ref="BN10" ca="1">IF( AND($F$7,NOT(ISBLANK($F10))), IF( _xll.IMDP("IR", $F10, BN$8, Matrix!$D$6)=0,"",_xll.IMDP("IR", $F10, BN$8, Matrix!$D$6)), "")</f>
        <v>3.052</v>
      </c>
      <c r="BO10" cm="1">
        <f t="array" aca="1" ref="BO10" ca="1">IF( AND($F$7,NOT(ISBLANK($F10))), IF( _xll.IMDP("IR", $F10, BO$8, Matrix!$D$6)=0,"",_xll.IMDP("IR", $F10, BO$8, Matrix!$D$6)), "")</f>
        <v>2.99</v>
      </c>
      <c r="BP10" cm="1">
        <f t="array" aca="1" ref="BP10" ca="1">IF( AND($F$7,NOT(ISBLANK($F10))), IF( _xll.IMDP("IR", $F10, BP$8, Matrix!$D$6)=0,"",_xll.IMDP("IR", $F10, BP$8, Matrix!$D$6)), "")</f>
        <v>3.0070000000000001</v>
      </c>
      <c r="BQ10" cm="1">
        <f t="array" aca="1" ref="BQ10" ca="1">IF( AND($F$7,NOT(ISBLANK($F10))), IF( _xll.IMDP("IR", $F10, BQ$8, Matrix!$D$6)=0,"",_xll.IMDP("IR", $F10, BQ$8, Matrix!$D$6)), "")</f>
        <v>3.01</v>
      </c>
      <c r="BR10" cm="1">
        <f t="array" aca="1" ref="BR10" ca="1">IF( AND($F$7,NOT(ISBLANK($F10))), IF( _xll.IMDP("IR", $F10, BR$8, Matrix!$D$6)=0,"",_xll.IMDP("IR", $F10, BR$8, Matrix!$D$6)), "")</f>
        <v>3.05</v>
      </c>
      <c r="BS10" t="str" cm="1">
        <f t="array" aca="1" ref="BS10" ca="1">IF( AND($F$7,NOT(ISBLANK($F10))), IF( _xll.IMDP("IR", $F10, BS$8, Matrix!$D$6)=0,"",_xll.IMDP("IR", $F10, BS$8, Matrix!$D$6)), "")</f>
        <v/>
      </c>
      <c r="BT10" t="str" cm="1">
        <f t="array" aca="1" ref="BT10" ca="1">IF( AND($F$7,NOT(ISBLANK($F10))), IF( _xll.IMDP("IR", $F10, BT$8, Matrix!$D$6)=0,"",_xll.IMDP("IR", $F10, BT$8, Matrix!$D$6)), "")</f>
        <v/>
      </c>
      <c r="BU10" t="str" cm="1">
        <f t="array" aca="1" ref="BU10" ca="1">IF( AND($F$7,NOT(ISBLANK($F10))), IF( _xll.IMDP("IR", $F10, BU$8, Matrix!$D$6)=0,"",_xll.IMDP("IR", $F10, BU$8, Matrix!$D$6)), "")</f>
        <v/>
      </c>
      <c r="BV10" t="str" cm="1">
        <f t="array" aca="1" ref="BV10" ca="1">IF( AND($F$7,NOT(ISBLANK($F10))), IF( _xll.IMDP("IR", $F10, BV$8, Matrix!$D$6)=0,"",_xll.IMDP("IR", $F10, BV$8, Matrix!$D$6)), "")</f>
        <v/>
      </c>
      <c r="BW10" t="str" cm="1">
        <f t="array" aca="1" ref="BW10" ca="1">IF( AND($F$7,NOT(ISBLANK($F10))), IF( _xll.IMDP("IR", $F10, BW$8, Matrix!$D$6)=0,"",_xll.IMDP("IR", $F10, BW$8, Matrix!$D$6)), "")</f>
        <v/>
      </c>
      <c r="BX10" t="str" cm="1">
        <f t="array" aca="1" ref="BX10" ca="1">IF( AND($F$7,NOT(ISBLANK($F10))), IF( _xll.IMDP("IR", $F10, BX$8, Matrix!$D$6)=0,"",_xll.IMDP("IR", $F10, BX$8, Matrix!$D$6)), "")</f>
        <v/>
      </c>
      <c r="BY10" cm="1">
        <f t="array" aca="1" ref="BY10" ca="1">IF( AND($G$7,NOT(ISBLANK($G10))), IF( _xll.IMDP("IR", $G10, BY$8, Matrix!$D$6)=0, "", _xll.IMDP("IR", $G10, BY$8, Matrix!$D$6)), "")</f>
        <v>3.34</v>
      </c>
      <c r="BZ10" cm="1">
        <f t="array" aca="1" ref="BZ10" ca="1">IF( AND($G$7,NOT(ISBLANK($G10))), IF( _xll.IMDP("IR", $G10, BZ$8, Matrix!$D$6)=0, "", _xll.IMDP("IR", $G10, BZ$8, Matrix!$D$6)), "")</f>
        <v>3.24</v>
      </c>
      <c r="CA10" cm="1">
        <f t="array" aca="1" ref="CA10" ca="1">IF( AND($G$7,NOT(ISBLANK($G10))), IF( _xll.IMDP("IR", $G10, CA$8, Matrix!$D$6)=0, "", _xll.IMDP("IR", $G10, CA$8, Matrix!$D$6)), "")</f>
        <v>3.173</v>
      </c>
      <c r="CB10" cm="1">
        <f t="array" aca="1" ref="CB10" ca="1">IF( AND($G$7,NOT(ISBLANK($G10))), IF( _xll.IMDP("IR", $G10, CB$8, Matrix!$D$6)=0, "", _xll.IMDP("IR", $G10, CB$8, Matrix!$D$6)), "")</f>
        <v>3.0920000000000001</v>
      </c>
      <c r="CC10" cm="1">
        <f t="array" aca="1" ref="CC10" ca="1">IF( AND($G$7,NOT(ISBLANK($G10))), IF( _xll.IMDP("IR", $G10, CC$8, Matrix!$D$6)=0, "", _xll.IMDP("IR", $G10, CC$8, Matrix!$D$6)), "")</f>
        <v>3.0640000000000001</v>
      </c>
      <c r="CD10" cm="1">
        <f t="array" aca="1" ref="CD10" ca="1">IF( AND($G$7,NOT(ISBLANK($G10))), IF( _xll.IMDP("IR", $G10, CD$8, Matrix!$D$6)=0, "", _xll.IMDP("IR", $G10, CD$8, Matrix!$D$6)), "")</f>
        <v>3.0529999999999999</v>
      </c>
      <c r="CE10" cm="1">
        <f t="array" aca="1" ref="CE10" ca="1">IF( AND($G$7,NOT(ISBLANK($G10))), IF( _xll.IMDP("IR", $G10, CE$8, Matrix!$D$6)=0, "", _xll.IMDP("IR", $G10, CE$8, Matrix!$D$6)), "")</f>
        <v>3.01</v>
      </c>
      <c r="CF10" cm="1">
        <f t="array" aca="1" ref="CF10" ca="1">IF( AND($G$7,NOT(ISBLANK($G10))), IF( _xll.IMDP("IR", $G10, CF$8, Matrix!$D$6)=0, "", _xll.IMDP("IR", $G10, CF$8, Matrix!$D$6)), "")</f>
        <v>3.01</v>
      </c>
      <c r="CG10" cm="1">
        <f t="array" aca="1" ref="CG10" ca="1">IF( AND($G$7,NOT(ISBLANK($G10))), IF( _xll.IMDP("IR", $G10, CG$8, Matrix!$D$6)=0, "", _xll.IMDP("IR", $G10, CG$8, Matrix!$D$6)), "")</f>
        <v>3.0049999999999999</v>
      </c>
      <c r="CH10" cm="1">
        <f t="array" aca="1" ref="CH10" ca="1">IF( AND($G$7,NOT(ISBLANK($G10))), IF( _xll.IMDP("IR", $G10, CH$8, Matrix!$D$6)=0, "", _xll.IMDP("IR", $G10, CH$8, Matrix!$D$6)), "")</f>
        <v>3.05</v>
      </c>
      <c r="CI10" t="str" cm="1">
        <f t="array" aca="1" ref="CI10" ca="1">IF( AND($G$7,NOT(ISBLANK($G10))), IF( _xll.IMDP("IR", $G10, CI$8, Matrix!$D$6)=0, "", _xll.IMDP("IR", $G10, CI$8, Matrix!$D$6)), "")</f>
        <v/>
      </c>
      <c r="CJ10" t="str" cm="1">
        <f t="array" aca="1" ref="CJ10" ca="1">IF( AND($G$7,NOT(ISBLANK($G10))), IF( _xll.IMDP("IR", $G10, CJ$8, Matrix!$D$6)=0, "", _xll.IMDP("IR", $G10, CJ$8, Matrix!$D$6)), "")</f>
        <v/>
      </c>
      <c r="CK10" t="str" cm="1">
        <f t="array" aca="1" ref="CK10" ca="1">IF( AND($G$7,NOT(ISBLANK($G10))), IF( _xll.IMDP("IR", $G10, CK$8, Matrix!$D$6)=0, "", _xll.IMDP("IR", $G10, CK$8, Matrix!$D$6)), "")</f>
        <v/>
      </c>
      <c r="CL10" t="str" cm="1">
        <f t="array" aca="1" ref="CL10" ca="1">IF( AND($G$7,NOT(ISBLANK($G10))), IF( _xll.IMDP("IR", $G10, CL$8, Matrix!$D$6)=0, "", _xll.IMDP("IR", $G10, CL$8, Matrix!$D$6)), "")</f>
        <v/>
      </c>
      <c r="CM10" t="str" cm="1">
        <f t="array" aca="1" ref="CM10" ca="1">IF( AND($G$7,NOT(ISBLANK($G10))), IF( _xll.IMDP("IR", $G10, CM$8, Matrix!$D$6)=0, "", _xll.IMDP("IR", $G10, CM$8, Matrix!$D$6)), "")</f>
        <v/>
      </c>
      <c r="CN10" t="str" cm="1">
        <f t="array" aca="1" ref="CN10" ca="1">IF( AND($G$7,NOT(ISBLANK($G10))), IF( _xll.IMDP("IR", $G10, CN$8, Matrix!$D$6)=0, "", _xll.IMDP("IR", $G10, CN$8, Matrix!$D$6)), "")</f>
        <v/>
      </c>
      <c r="CO10" cm="1">
        <f t="array" aca="1" ref="CO10" ca="1">IF( AND($H$7,NOT(ISBLANK($H10))), IF( _xll.IMDP("IR", $H10, CO$8, Matrix!$D$6)=0, "", _xll.IMDP("IR", $H10, CO$8, Matrix!$D$6)), "")</f>
        <v>3.3439999999999999</v>
      </c>
      <c r="CP10" cm="1">
        <f t="array" aca="1" ref="CP10" ca="1">IF( AND($H$7,NOT(ISBLANK($H10))), IF( _xll.IMDP("IR", $H10, CP$8, Matrix!$D$6)=0, "", _xll.IMDP("IR", $H10, CP$8, Matrix!$D$6)), "")</f>
        <v>3.25</v>
      </c>
      <c r="CQ10" cm="1">
        <f t="array" aca="1" ref="CQ10" ca="1">IF( AND($H$7,NOT(ISBLANK($H10))), IF( _xll.IMDP("IR", $H10, CQ$8, Matrix!$D$6)=0, "", _xll.IMDP("IR", $H10, CQ$8, Matrix!$D$6)), "")</f>
        <v>3.1720000000000002</v>
      </c>
      <c r="CR10" cm="1">
        <f t="array" aca="1" ref="CR10" ca="1">IF( AND($H$7,NOT(ISBLANK($H10))), IF( _xll.IMDP("IR", $H10, CR$8, Matrix!$D$6)=0, "", _xll.IMDP("IR", $H10, CR$8, Matrix!$D$6)), "")</f>
        <v>3.089</v>
      </c>
      <c r="CS10" cm="1">
        <f t="array" aca="1" ref="CS10" ca="1">IF( AND($H$7,NOT(ISBLANK($H10))), IF( _xll.IMDP("IR", $H10, CS$8, Matrix!$D$6)=0, "", _xll.IMDP("IR", $H10, CS$8, Matrix!$D$6)), "")</f>
        <v>3.0739999999999998</v>
      </c>
      <c r="CT10" cm="1">
        <f t="array" aca="1" ref="CT10" ca="1">IF( AND($H$7,NOT(ISBLANK($H10))), IF( _xll.IMDP("IR", $H10, CT$8, Matrix!$D$6)=0, "", _xll.IMDP("IR", $H10, CT$8, Matrix!$D$6)), "")</f>
        <v>3.0539999999999998</v>
      </c>
      <c r="CU10" cm="1">
        <f t="array" aca="1" ref="CU10" ca="1">IF( AND($H$7,NOT(ISBLANK($H10))), IF( _xll.IMDP("IR", $H10, CU$8, Matrix!$D$6)=0, "", _xll.IMDP("IR", $H10, CU$8, Matrix!$D$6)), "")</f>
        <v>3.0110000000000001</v>
      </c>
      <c r="CV10" cm="1">
        <f t="array" aca="1" ref="CV10" ca="1">IF( AND($H$7,NOT(ISBLANK($H10))), IF( _xll.IMDP("IR", $H10, CV$8, Matrix!$D$6)=0, "", _xll.IMDP("IR", $H10, CV$8, Matrix!$D$6)), "")</f>
        <v>3.01</v>
      </c>
      <c r="CW10" cm="1">
        <f t="array" aca="1" ref="CW10" ca="1">IF( AND($H$7,NOT(ISBLANK($H10))), IF( _xll.IMDP("IR", $H10, CW$8, Matrix!$D$6)=0, "", _xll.IMDP("IR", $H10, CW$8, Matrix!$D$6)), "")</f>
        <v>3.0089999999999999</v>
      </c>
      <c r="CX10" cm="1">
        <f t="array" aca="1" ref="CX10" ca="1">IF( AND($H$7,NOT(ISBLANK($H10))), IF( _xll.IMDP("IR", $H10, CX$8, Matrix!$D$6)=0, "", _xll.IMDP("IR", $H10, CX$8, Matrix!$D$6)), "")</f>
        <v>3.0510000000000002</v>
      </c>
      <c r="CY10" t="str" cm="1">
        <f t="array" aca="1" ref="CY10" ca="1">IF( AND($H$7,NOT(ISBLANK($H10))), IF( _xll.IMDP("IR", $H10, CY$8, Matrix!$D$6)=0, "", _xll.IMDP("IR", $H10, CY$8, Matrix!$D$6)), "")</f>
        <v/>
      </c>
      <c r="CZ10" t="str" cm="1">
        <f t="array" aca="1" ref="CZ10" ca="1">IF( AND($H$7,NOT(ISBLANK($H10))), IF( _xll.IMDP("IR", $H10, CZ$8, Matrix!$D$6)=0, "", _xll.IMDP("IR", $H10, CZ$8, Matrix!$D$6)), "")</f>
        <v/>
      </c>
      <c r="DA10" t="str" cm="1">
        <f t="array" aca="1" ref="DA10" ca="1">IF( AND($H$7,NOT(ISBLANK($H10))), IF( _xll.IMDP("IR", $H10, DA$8, Matrix!$D$6)=0, "", _xll.IMDP("IR", $H10, DA$8, Matrix!$D$6)), "")</f>
        <v/>
      </c>
      <c r="DB10" t="str" cm="1">
        <f t="array" aca="1" ref="DB10" ca="1">IF( AND($H$7,NOT(ISBLANK($H10))), IF( _xll.IMDP("IR", $H10, DB$8, Matrix!$D$6)=0, "", _xll.IMDP("IR", $H10, DB$8, Matrix!$D$6)), "")</f>
        <v/>
      </c>
      <c r="DC10" t="str" cm="1">
        <f t="array" aca="1" ref="DC10" ca="1">IF( AND($H$7,NOT(ISBLANK($H10))), IF( _xll.IMDP("IR", $H10, DC$8, Matrix!$D$6)=0, "", _xll.IMDP("IR", $H10, DC$8, Matrix!$D$6)), "")</f>
        <v/>
      </c>
      <c r="DD10" t="str" cm="1">
        <f t="array" aca="1" ref="DD10" ca="1">IF( AND($H$7,NOT(ISBLANK($H10))), IF( _xll.IMDP("IR", $H10, DD$8, Matrix!$D$6)=0, "", _xll.IMDP("IR", $H10, DD$8, Matrix!$D$6)), "")</f>
        <v/>
      </c>
    </row>
    <row r="11" spans="2:108">
      <c r="B11" t="s">
        <v>80</v>
      </c>
      <c r="C11" t="s">
        <v>154</v>
      </c>
      <c r="D11" t="s">
        <v>231</v>
      </c>
      <c r="E11" t="s">
        <v>295</v>
      </c>
      <c r="F11" t="s">
        <v>357</v>
      </c>
      <c r="G11" t="s">
        <v>424</v>
      </c>
      <c r="H11" t="s">
        <v>487</v>
      </c>
      <c r="M11" s="21">
        <f t="shared" ca="1" si="1"/>
        <v>3.1285791724986112</v>
      </c>
      <c r="N11" s="21">
        <f t="shared" ca="1" si="2"/>
        <v>3.0401789624873832</v>
      </c>
      <c r="O11" s="21">
        <f t="shared" ca="1" si="3"/>
        <v>2.9729836180071008</v>
      </c>
      <c r="P11" s="21">
        <f t="shared" ca="1" si="4"/>
        <v>2.8849793923252767</v>
      </c>
      <c r="Q11" s="21">
        <f t="shared" ca="1" si="5"/>
        <v>2.870985131908526</v>
      </c>
      <c r="R11" s="21">
        <f t="shared" ca="1" si="6"/>
        <v>2.8511861846674318</v>
      </c>
      <c r="S11" s="21">
        <f t="shared" ca="1" si="7"/>
        <v>2.8111761517278224</v>
      </c>
      <c r="T11" s="21">
        <f t="shared" ca="1" si="8"/>
        <v>2.81859136947166</v>
      </c>
      <c r="U11" s="21">
        <f t="shared" ca="1" si="9"/>
        <v>2.8301594007505528</v>
      </c>
      <c r="V11" s="21">
        <f t="shared" ca="1" si="10"/>
        <v>2.8285912630503418</v>
      </c>
      <c r="W11" s="21">
        <f t="shared" ca="1" si="11"/>
        <v>2.98493618531755</v>
      </c>
      <c r="X11" s="21">
        <f t="shared" ca="1" si="12"/>
        <v>3.0913775505911825</v>
      </c>
      <c r="Y11" s="21">
        <f t="shared" ca="1" si="13"/>
        <v>3.1277049850545979</v>
      </c>
      <c r="Z11" s="21">
        <f t="shared" ca="1" si="14"/>
        <v>3.1946614995055143</v>
      </c>
      <c r="AA11" s="21" t="e">
        <f t="shared" ca="1" si="15"/>
        <v>#NUM!</v>
      </c>
      <c r="AB11" s="21" t="e">
        <f t="shared" ca="1" si="16"/>
        <v>#NUM!</v>
      </c>
      <c r="AC11" cm="1">
        <f t="array" aca="1" ref="AC11" ca="1">IF( AND($D$7,NOT(ISBLANK($D11))), IF(_xll.IMDP("IR", $D11, AC$8, Matrix!$D$6)=0,"",_xll.IMDP("IR", $D11, AC$8, Matrix!$D$6)), "")</f>
        <v>3.1339999999999999</v>
      </c>
      <c r="AD11" cm="1">
        <f t="array" aca="1" ref="AD11" ca="1">IF( AND($D$7,NOT(ISBLANK($D11))), IF(_xll.IMDP("IR", $D11, AD$8, Matrix!$D$6)=0,"",_xll.IMDP("IR", $D11, AD$8, Matrix!$D$6)), "")</f>
        <v>3.0379999999999998</v>
      </c>
      <c r="AE11" cm="1">
        <f t="array" aca="1" ref="AE11" ca="1">IF( AND($D$7,NOT(ISBLANK($D11))), IF(_xll.IMDP("IR", $D11, AE$8, Matrix!$D$6)=0,"",_xll.IMDP("IR", $D11, AE$8, Matrix!$D$6)), "")</f>
        <v>2.9729999999999999</v>
      </c>
      <c r="AF11" cm="1">
        <f t="array" aca="1" ref="AF11" ca="1">IF( AND($D$7,NOT(ISBLANK($D11))), IF(_xll.IMDP("IR", $D11, AF$8, Matrix!$D$6)=0,"",_xll.IMDP("IR", $D11, AF$8, Matrix!$D$6)), "")</f>
        <v>2.9</v>
      </c>
      <c r="AG11" cm="1">
        <f t="array" aca="1" ref="AG11" ca="1">IF( AND($D$7,NOT(ISBLANK($D11))), IF(_xll.IMDP("IR", $D11, AG$8, Matrix!$D$6)=0,"",_xll.IMDP("IR", $D11, AG$8, Matrix!$D$6)), "")</f>
        <v>2.8809999999999998</v>
      </c>
      <c r="AH11" cm="1">
        <f t="array" aca="1" ref="AH11" ca="1">IF( AND($D$7,NOT(ISBLANK($D11))), IF(_xll.IMDP("IR", $D11, AH$8, Matrix!$D$6)=0,"",_xll.IMDP("IR", $D11, AH$8, Matrix!$D$6)), "")</f>
        <v>2.8420000000000001</v>
      </c>
      <c r="AI11" cm="1">
        <f t="array" aca="1" ref="AI11" ca="1">IF( AND($D$7,NOT(ISBLANK($D11))), IF(_xll.IMDP("IR", $D11, AI$8, Matrix!$D$6)=0,"",_xll.IMDP("IR", $D11, AI$8, Matrix!$D$6)), "")</f>
        <v>2.8149999999999999</v>
      </c>
      <c r="AJ11" cm="1">
        <f t="array" aca="1" ref="AJ11" ca="1">IF( AND($D$7,NOT(ISBLANK($D11))), IF(_xll.IMDP("IR", $D11, AJ$8, Matrix!$D$6)=0,"",_xll.IMDP("IR", $D11, AJ$8, Matrix!$D$6)), "")</f>
        <v>2.8239999999999998</v>
      </c>
      <c r="AK11" cm="1">
        <f t="array" aca="1" ref="AK11" ca="1">IF( AND($D$7,NOT(ISBLANK($D11))), IF(_xll.IMDP("IR", $D11, AK$8, Matrix!$D$6)=0,"",_xll.IMDP("IR", $D11, AK$8, Matrix!$D$6)), "")</f>
        <v>2.8460000000000001</v>
      </c>
      <c r="AL11" cm="1">
        <f t="array" aca="1" ref="AL11" ca="1">IF( AND($D$7,NOT(ISBLANK($D11))), IF(_xll.IMDP("IR", $D11, AL$8, Matrix!$D$6)=0,"",_xll.IMDP("IR", $D11, AL$8, Matrix!$D$6)), "")</f>
        <v>2.8180000000000001</v>
      </c>
      <c r="AM11" cm="1">
        <f t="array" aca="1" ref="AM11" ca="1">IF( AND($D$7,NOT(ISBLANK($D11))), IF(_xll.IMDP("IR", $D11, AM$8, Matrix!$D$6)=0,"",_xll.IMDP("IR", $D11, AM$8, Matrix!$D$6)), "")</f>
        <v>2.9609999999999999</v>
      </c>
      <c r="AN11" cm="1">
        <f t="array" aca="1" ref="AN11" ca="1">IF( AND($D$7,NOT(ISBLANK($D11))), IF(_xll.IMDP("IR", $D11, AN$8, Matrix!$D$6)=0,"",_xll.IMDP("IR", $D11, AN$8, Matrix!$D$6)), "")</f>
        <v>3.1019999999999999</v>
      </c>
      <c r="AO11" cm="1">
        <f t="array" aca="1" ref="AO11" ca="1">IF( AND($D$7,NOT(ISBLANK($D11))), IF(_xll.IMDP("IR", $D11, AO$8, Matrix!$D$6)=0,"",_xll.IMDP("IR", $D11, AO$8, Matrix!$D$6)), "")</f>
        <v>3.13</v>
      </c>
      <c r="AP11" cm="1">
        <f t="array" aca="1" ref="AP11" ca="1">IF( AND($D$7,NOT(ISBLANK($D11))), IF(_xll.IMDP("IR", $D11, AP$8, Matrix!$D$6)=0,"",_xll.IMDP("IR", $D11, AP$8, Matrix!$D$6)), "")</f>
        <v>3.2360000000000002</v>
      </c>
      <c r="AQ11" t="str" cm="1">
        <f t="array" aca="1" ref="AQ11" ca="1">IF( AND($D$7,NOT(ISBLANK($D11))), IF(_xll.IMDP("IR", $D11, AQ$8, Matrix!$D$6)=0,"",_xll.IMDP("IR", $D11, AQ$8, Matrix!$D$6)), "")</f>
        <v/>
      </c>
      <c r="AR11" t="str" cm="1">
        <f t="array" aca="1" ref="AR11" ca="1">IF( AND($D$7,NOT(ISBLANK($D11))), IF(_xll.IMDP("IR", $D11, AR$8, Matrix!$D$6)=0,"",_xll.IMDP("IR", $D11, AR$8, Matrix!$D$6)), "")</f>
        <v/>
      </c>
      <c r="AS11" cm="1">
        <f t="array" aca="1" ref="AS11" ca="1">IF( AND($E$7,NOT(ISBLANK($E11))), IF( _xll.IMDP("IR", $E11, AS$8, Matrix!$D$6)=0,"",_xll.IMDP("IR", $E11, AS$8, Matrix!$D$6)), "")</f>
        <v>3.11</v>
      </c>
      <c r="AT11" cm="1">
        <f t="array" aca="1" ref="AT11" ca="1">IF( AND($E$7,NOT(ISBLANK($E11))), IF( _xll.IMDP("IR", $E11, AT$8, Matrix!$D$6)=0,"",_xll.IMDP("IR", $E11, AT$8, Matrix!$D$6)), "")</f>
        <v>3.0470000000000002</v>
      </c>
      <c r="AU11" cm="1">
        <f t="array" aca="1" ref="AU11" ca="1">IF( AND($E$7,NOT(ISBLANK($E11))), IF( _xll.IMDP("IR", $E11, AU$8, Matrix!$D$6)=0,"",_xll.IMDP("IR", $E11, AU$8, Matrix!$D$6)), "")</f>
        <v>2.9910000000000001</v>
      </c>
      <c r="AV11" cm="1">
        <f t="array" aca="1" ref="AV11" ca="1">IF( AND($E$7,NOT(ISBLANK($E11))), IF( _xll.IMDP("IR", $E11, AV$8, Matrix!$D$6)=0,"",_xll.IMDP("IR", $E11, AV$8, Matrix!$D$6)), "")</f>
        <v>2.891</v>
      </c>
      <c r="AW11" cm="1">
        <f t="array" aca="1" ref="AW11" ca="1">IF( AND($E$7,NOT(ISBLANK($E11))), IF( _xll.IMDP("IR", $E11, AW$8, Matrix!$D$6)=0,"",_xll.IMDP("IR", $E11, AW$8, Matrix!$D$6)), "")</f>
        <v>2.8719999999999999</v>
      </c>
      <c r="AX11" cm="1">
        <f t="array" aca="1" ref="AX11" ca="1">IF( AND($E$7,NOT(ISBLANK($E11))), IF( _xll.IMDP("IR", $E11, AX$8, Matrix!$D$6)=0,"",_xll.IMDP("IR", $E11, AX$8, Matrix!$D$6)), "")</f>
        <v>2.8679999999999999</v>
      </c>
      <c r="AY11" cm="1">
        <f t="array" aca="1" ref="AY11" ca="1">IF( AND($E$7,NOT(ISBLANK($E11))), IF( _xll.IMDP("IR", $E11, AY$8, Matrix!$D$6)=0,"",_xll.IMDP("IR", $E11, AY$8, Matrix!$D$6)), "")</f>
        <v>2.8250000000000002</v>
      </c>
      <c r="AZ11" cm="1">
        <f t="array" aca="1" ref="AZ11" ca="1">IF( AND($E$7,NOT(ISBLANK($E11))), IF( _xll.IMDP("IR", $E11, AZ$8, Matrix!$D$6)=0,"",_xll.IMDP("IR", $E11, AZ$8, Matrix!$D$6)), "")</f>
        <v>2.8279999999999998</v>
      </c>
      <c r="BA11" cm="1">
        <f t="array" aca="1" ref="BA11" ca="1">IF( AND($E$7,NOT(ISBLANK($E11))), IF( _xll.IMDP("IR", $E11, BA$8, Matrix!$D$6)=0,"",_xll.IMDP("IR", $E11, BA$8, Matrix!$D$6)), "")</f>
        <v>2.8479999999999999</v>
      </c>
      <c r="BB11" cm="1">
        <f t="array" aca="1" ref="BB11" ca="1">IF( AND($E$7,NOT(ISBLANK($E11))), IF( _xll.IMDP("IR", $E11, BB$8, Matrix!$D$6)=0,"",_xll.IMDP("IR", $E11, BB$8, Matrix!$D$6)), "")</f>
        <v>2.827</v>
      </c>
      <c r="BC11" cm="1">
        <f t="array" aca="1" ref="BC11" ca="1">IF( AND($E$7,NOT(ISBLANK($E11))), IF( _xll.IMDP("IR", $E11, BC$8, Matrix!$D$6)=0,"",_xll.IMDP("IR", $E11, BC$8, Matrix!$D$6)), "")</f>
        <v>2.988</v>
      </c>
      <c r="BD11" cm="1">
        <f t="array" aca="1" ref="BD11" ca="1">IF( AND($E$7,NOT(ISBLANK($E11))), IF( _xll.IMDP("IR", $E11, BD$8, Matrix!$D$6)=0,"",_xll.IMDP("IR", $E11, BD$8, Matrix!$D$6)), "")</f>
        <v>3.105</v>
      </c>
      <c r="BE11" cm="1">
        <f t="array" aca="1" ref="BE11" ca="1">IF( AND($E$7,NOT(ISBLANK($E11))), IF( _xll.IMDP("IR", $E11, BE$8, Matrix!$D$6)=0,"",_xll.IMDP("IR", $E11, BE$8, Matrix!$D$6)), "")</f>
        <v>3.1019999999999999</v>
      </c>
      <c r="BF11" cm="1">
        <f t="array" aca="1" ref="BF11" ca="1">IF( AND($E$7,NOT(ISBLANK($E11))), IF( _xll.IMDP("IR", $E11, BF$8, Matrix!$D$6)=0,"",_xll.IMDP("IR", $E11, BF$8, Matrix!$D$6)), "")</f>
        <v>3.18</v>
      </c>
      <c r="BG11" t="str" cm="1">
        <f t="array" aca="1" ref="BG11" ca="1">IF( AND($E$7,NOT(ISBLANK($E11))), IF( _xll.IMDP("IR", $E11, BG$8, Matrix!$D$6)=0,"",_xll.IMDP("IR", $E11, BG$8, Matrix!$D$6)), "")</f>
        <v/>
      </c>
      <c r="BH11" t="str" cm="1">
        <f t="array" aca="1" ref="BH11" ca="1">IF( AND($E$7,NOT(ISBLANK($E11))), IF( _xll.IMDP("IR", $E11, BH$8, Matrix!$D$6)=0,"",_xll.IMDP("IR", $E11, BH$8, Matrix!$D$6)), "")</f>
        <v/>
      </c>
      <c r="BI11" cm="1">
        <f t="array" aca="1" ref="BI11" ca="1">IF( AND($F$7,NOT(ISBLANK($F11))), IF( _xll.IMDP("IR", $F11, BI$8, Matrix!$D$6)=0,"",_xll.IMDP("IR", $F11, BI$8, Matrix!$D$6)), "")</f>
        <v>3.145</v>
      </c>
      <c r="BJ11" cm="1">
        <f t="array" aca="1" ref="BJ11" ca="1">IF( AND($F$7,NOT(ISBLANK($F11))), IF( _xll.IMDP("IR", $F11, BJ$8, Matrix!$D$6)=0,"",_xll.IMDP("IR", $F11, BJ$8, Matrix!$D$6)), "")</f>
        <v>3.0550000000000002</v>
      </c>
      <c r="BK11" cm="1">
        <f t="array" aca="1" ref="BK11" ca="1">IF( AND($F$7,NOT(ISBLANK($F11))), IF( _xll.IMDP("IR", $F11, BK$8, Matrix!$D$6)=0,"",_xll.IMDP("IR", $F11, BK$8, Matrix!$D$6)), "")</f>
        <v>2.9649999999999999</v>
      </c>
      <c r="BL11" cm="1">
        <f t="array" aca="1" ref="BL11" ca="1">IF( AND($F$7,NOT(ISBLANK($F11))), IF( _xll.IMDP("IR", $F11, BL$8, Matrix!$D$6)=0,"",_xll.IMDP("IR", $F11, BL$8, Matrix!$D$6)), "")</f>
        <v>2.867</v>
      </c>
      <c r="BM11" cm="1">
        <f t="array" aca="1" ref="BM11" ca="1">IF( AND($F$7,NOT(ISBLANK($F11))), IF( _xll.IMDP("IR", $F11, BM$8, Matrix!$D$6)=0,"",_xll.IMDP("IR", $F11, BM$8, Matrix!$D$6)), "")</f>
        <v>2.8769999999999998</v>
      </c>
      <c r="BN11" cm="1">
        <f t="array" aca="1" ref="BN11" ca="1">IF( AND($F$7,NOT(ISBLANK($F11))), IF( _xll.IMDP("IR", $F11, BN$8, Matrix!$D$6)=0,"",_xll.IMDP("IR", $F11, BN$8, Matrix!$D$6)), "")</f>
        <v>2.847</v>
      </c>
      <c r="BO11" cm="1">
        <f t="array" aca="1" ref="BO11" ca="1">IF( AND($F$7,NOT(ISBLANK($F11))), IF( _xll.IMDP("IR", $F11, BO$8, Matrix!$D$6)=0,"",_xll.IMDP("IR", $F11, BO$8, Matrix!$D$6)), "")</f>
        <v>2.79</v>
      </c>
      <c r="BP11" cm="1">
        <f t="array" aca="1" ref="BP11" ca="1">IF( AND($F$7,NOT(ISBLANK($F11))), IF( _xll.IMDP("IR", $F11, BP$8, Matrix!$D$6)=0,"",_xll.IMDP("IR", $F11, BP$8, Matrix!$D$6)), "")</f>
        <v>2.8149999999999999</v>
      </c>
      <c r="BQ11" cm="1">
        <f t="array" aca="1" ref="BQ11" ca="1">IF( AND($F$7,NOT(ISBLANK($F11))), IF( _xll.IMDP("IR", $F11, BQ$8, Matrix!$D$6)=0,"",_xll.IMDP("IR", $F11, BQ$8, Matrix!$D$6)), "")</f>
        <v>2.8170000000000002</v>
      </c>
      <c r="BR11" cm="1">
        <f t="array" aca="1" ref="BR11" ca="1">IF( AND($F$7,NOT(ISBLANK($F11))), IF( _xll.IMDP("IR", $F11, BR$8, Matrix!$D$6)=0,"",_xll.IMDP("IR", $F11, BR$8, Matrix!$D$6)), "")</f>
        <v>2.84</v>
      </c>
      <c r="BS11" cm="1">
        <f t="array" aca="1" ref="BS11" ca="1">IF( AND($F$7,NOT(ISBLANK($F11))), IF( _xll.IMDP("IR", $F11, BS$8, Matrix!$D$6)=0,"",_xll.IMDP("IR", $F11, BS$8, Matrix!$D$6)), "")</f>
        <v>2.972</v>
      </c>
      <c r="BT11" cm="1">
        <f t="array" aca="1" ref="BT11" ca="1">IF( AND($F$7,NOT(ISBLANK($F11))), IF( _xll.IMDP("IR", $F11, BT$8, Matrix!$D$6)=0,"",_xll.IMDP("IR", $F11, BT$8, Matrix!$D$6)), "")</f>
        <v>3.0720000000000001</v>
      </c>
      <c r="BU11" cm="1">
        <f t="array" aca="1" ref="BU11" ca="1">IF( AND($F$7,NOT(ISBLANK($F11))), IF( _xll.IMDP("IR", $F11, BU$8, Matrix!$D$6)=0,"",_xll.IMDP("IR", $F11, BU$8, Matrix!$D$6)), "")</f>
        <v>3.13</v>
      </c>
      <c r="BV11" cm="1">
        <f t="array" aca="1" ref="BV11" ca="1">IF( AND($F$7,NOT(ISBLANK($F11))), IF( _xll.IMDP("IR", $F11, BV$8, Matrix!$D$6)=0,"",_xll.IMDP("IR", $F11, BV$8, Matrix!$D$6)), "")</f>
        <v>3.18</v>
      </c>
      <c r="BW11" t="str" cm="1">
        <f t="array" aca="1" ref="BW11" ca="1">IF( AND($F$7,NOT(ISBLANK($F11))), IF( _xll.IMDP("IR", $F11, BW$8, Matrix!$D$6)=0,"",_xll.IMDP("IR", $F11, BW$8, Matrix!$D$6)), "")</f>
        <v/>
      </c>
      <c r="BX11" t="str" cm="1">
        <f t="array" aca="1" ref="BX11" ca="1">IF( AND($F$7,NOT(ISBLANK($F11))), IF( _xll.IMDP("IR", $F11, BX$8, Matrix!$D$6)=0,"",_xll.IMDP("IR", $F11, BX$8, Matrix!$D$6)), "")</f>
        <v/>
      </c>
      <c r="BY11" cm="1">
        <f t="array" aca="1" ref="BY11" ca="1">IF( AND($G$7,NOT(ISBLANK($G11))), IF( _xll.IMDP("IR", $G11, BY$8, Matrix!$D$6)=0, "", _xll.IMDP("IR", $G11, BY$8, Matrix!$D$6)), "")</f>
        <v>3.1259999999999999</v>
      </c>
      <c r="BZ11" cm="1">
        <f t="array" aca="1" ref="BZ11" ca="1">IF( AND($G$7,NOT(ISBLANK($G11))), IF( _xll.IMDP("IR", $G11, BZ$8, Matrix!$D$6)=0, "", _xll.IMDP("IR", $G11, BZ$8, Matrix!$D$6)), "")</f>
        <v>3.0209999999999999</v>
      </c>
      <c r="CA11" cm="1">
        <f t="array" aca="1" ref="CA11" ca="1">IF( AND($G$7,NOT(ISBLANK($G11))), IF( _xll.IMDP("IR", $G11, CA$8, Matrix!$D$6)=0, "", _xll.IMDP("IR", $G11, CA$8, Matrix!$D$6)), "")</f>
        <v>2.9630000000000001</v>
      </c>
      <c r="CB11" cm="1">
        <f t="array" aca="1" ref="CB11" ca="1">IF( AND($G$7,NOT(ISBLANK($G11))), IF( _xll.IMDP("IR", $G11, CB$8, Matrix!$D$6)=0, "", _xll.IMDP("IR", $G11, CB$8, Matrix!$D$6)), "")</f>
        <v>2.8820000000000001</v>
      </c>
      <c r="CC11" cm="1">
        <f t="array" aca="1" ref="CC11" ca="1">IF( AND($G$7,NOT(ISBLANK($G11))), IF( _xll.IMDP("IR", $G11, CC$8, Matrix!$D$6)=0, "", _xll.IMDP("IR", $G11, CC$8, Matrix!$D$6)), "")</f>
        <v>2.8540000000000001</v>
      </c>
      <c r="CD11" cm="1">
        <f t="array" aca="1" ref="CD11" ca="1">IF( AND($G$7,NOT(ISBLANK($G11))), IF( _xll.IMDP("IR", $G11, CD$8, Matrix!$D$6)=0, "", _xll.IMDP("IR", $G11, CD$8, Matrix!$D$6)), "")</f>
        <v>2.8479999999999999</v>
      </c>
      <c r="CE11" cm="1">
        <f t="array" aca="1" ref="CE11" ca="1">IF( AND($G$7,NOT(ISBLANK($G11))), IF( _xll.IMDP("IR", $G11, CE$8, Matrix!$D$6)=0, "", _xll.IMDP("IR", $G11, CE$8, Matrix!$D$6)), "")</f>
        <v>2.8149999999999999</v>
      </c>
      <c r="CF11" cm="1">
        <f t="array" aca="1" ref="CF11" ca="1">IF( AND($G$7,NOT(ISBLANK($G11))), IF( _xll.IMDP("IR", $G11, CF$8, Matrix!$D$6)=0, "", _xll.IMDP("IR", $G11, CF$8, Matrix!$D$6)), "")</f>
        <v>2.8079999999999998</v>
      </c>
      <c r="CG11" cm="1">
        <f t="array" aca="1" ref="CG11" ca="1">IF( AND($G$7,NOT(ISBLANK($G11))), IF( _xll.IMDP("IR", $G11, CG$8, Matrix!$D$6)=0, "", _xll.IMDP("IR", $G11, CG$8, Matrix!$D$6)), "")</f>
        <v>2.81</v>
      </c>
      <c r="CH11" cm="1">
        <f t="array" aca="1" ref="CH11" ca="1">IF( AND($G$7,NOT(ISBLANK($G11))), IF( _xll.IMDP("IR", $G11, CH$8, Matrix!$D$6)=0, "", _xll.IMDP("IR", $G11, CH$8, Matrix!$D$6)), "")</f>
        <v>2.83</v>
      </c>
      <c r="CI11" cm="1">
        <f t="array" aca="1" ref="CI11" ca="1">IF( AND($G$7,NOT(ISBLANK($G11))), IF( _xll.IMDP("IR", $G11, CI$8, Matrix!$D$6)=0, "", _xll.IMDP("IR", $G11, CI$8, Matrix!$D$6)), "")</f>
        <v>3.0190000000000001</v>
      </c>
      <c r="CJ11" cm="1">
        <f t="array" aca="1" ref="CJ11" ca="1">IF( AND($G$7,NOT(ISBLANK($G11))), IF( _xll.IMDP("IR", $G11, CJ$8, Matrix!$D$6)=0, "", _xll.IMDP("IR", $G11, CJ$8, Matrix!$D$6)), "")</f>
        <v>3.0870000000000002</v>
      </c>
      <c r="CK11" cm="1">
        <f t="array" aca="1" ref="CK11" ca="1">IF( AND($G$7,NOT(ISBLANK($G11))), IF( _xll.IMDP("IR", $G11, CK$8, Matrix!$D$6)=0, "", _xll.IMDP("IR", $G11, CK$8, Matrix!$D$6)), "")</f>
        <v>3.149</v>
      </c>
      <c r="CL11" cm="1">
        <f t="array" aca="1" ref="CL11" ca="1">IF( AND($G$7,NOT(ISBLANK($G11))), IF( _xll.IMDP("IR", $G11, CL$8, Matrix!$D$6)=0, "", _xll.IMDP("IR", $G11, CL$8, Matrix!$D$6)), "")</f>
        <v>3.1829999999999998</v>
      </c>
      <c r="CM11" t="str" cm="1">
        <f t="array" aca="1" ref="CM11" ca="1">IF( AND($G$7,NOT(ISBLANK($G11))), IF( _xll.IMDP("IR", $G11, CM$8, Matrix!$D$6)=0, "", _xll.IMDP("IR", $G11, CM$8, Matrix!$D$6)), "")</f>
        <v/>
      </c>
      <c r="CN11" t="str" cm="1">
        <f t="array" aca="1" ref="CN11" ca="1">IF( AND($G$7,NOT(ISBLANK($G11))), IF( _xll.IMDP("IR", $G11, CN$8, Matrix!$D$6)=0, "", _xll.IMDP("IR", $G11, CN$8, Matrix!$D$6)), "")</f>
        <v/>
      </c>
      <c r="CO11" cm="1">
        <f t="array" aca="1" ref="CO11" ca="1">IF( AND($H$7,NOT(ISBLANK($H11))), IF( _xll.IMDP("IR", $H11, CO$8, Matrix!$D$6)=0, "", _xll.IMDP("IR", $H11, CO$8, Matrix!$D$6)), "")</f>
        <v>3.1280000000000001</v>
      </c>
      <c r="CP11" cm="1">
        <f t="array" aca="1" ref="CP11" ca="1">IF( AND($H$7,NOT(ISBLANK($H11))), IF( _xll.IMDP("IR", $H11, CP$8, Matrix!$D$6)=0, "", _xll.IMDP("IR", $H11, CP$8, Matrix!$D$6)), "")</f>
        <v>3.04</v>
      </c>
      <c r="CQ11" cm="1">
        <f t="array" aca="1" ref="CQ11" ca="1">IF( AND($H$7,NOT(ISBLANK($H11))), IF( _xll.IMDP("IR", $H11, CQ$8, Matrix!$D$6)=0, "", _xll.IMDP("IR", $H11, CQ$8, Matrix!$D$6)), "")</f>
        <v>2.9729999999999999</v>
      </c>
      <c r="CR11" cm="1">
        <f t="array" aca="1" ref="CR11" ca="1">IF( AND($H$7,NOT(ISBLANK($H11))), IF( _xll.IMDP("IR", $H11, CR$8, Matrix!$D$6)=0, "", _xll.IMDP("IR", $H11, CR$8, Matrix!$D$6)), "")</f>
        <v>2.8849999999999998</v>
      </c>
      <c r="CS11" cm="1">
        <f t="array" aca="1" ref="CS11" ca="1">IF( AND($H$7,NOT(ISBLANK($H11))), IF( _xll.IMDP("IR", $H11, CS$8, Matrix!$D$6)=0, "", _xll.IMDP("IR", $H11, CS$8, Matrix!$D$6)), "")</f>
        <v>2.871</v>
      </c>
      <c r="CT11" cm="1">
        <f t="array" aca="1" ref="CT11" ca="1">IF( AND($H$7,NOT(ISBLANK($H11))), IF( _xll.IMDP("IR", $H11, CT$8, Matrix!$D$6)=0, "", _xll.IMDP("IR", $H11, CT$8, Matrix!$D$6)), "")</f>
        <v>2.851</v>
      </c>
      <c r="CU11" cm="1">
        <f t="array" aca="1" ref="CU11" ca="1">IF( AND($H$7,NOT(ISBLANK($H11))), IF( _xll.IMDP("IR", $H11, CU$8, Matrix!$D$6)=0, "", _xll.IMDP("IR", $H11, CU$8, Matrix!$D$6)), "")</f>
        <v>2.8109999999999999</v>
      </c>
      <c r="CV11" cm="1">
        <f t="array" aca="1" ref="CV11" ca="1">IF( AND($H$7,NOT(ISBLANK($H11))), IF( _xll.IMDP("IR", $H11, CV$8, Matrix!$D$6)=0, "", _xll.IMDP("IR", $H11, CV$8, Matrix!$D$6)), "")</f>
        <v>2.8180000000000001</v>
      </c>
      <c r="CW11" cm="1">
        <f t="array" aca="1" ref="CW11" ca="1">IF( AND($H$7,NOT(ISBLANK($H11))), IF( _xll.IMDP("IR", $H11, CW$8, Matrix!$D$6)=0, "", _xll.IMDP("IR", $H11, CW$8, Matrix!$D$6)), "")</f>
        <v>2.83</v>
      </c>
      <c r="CX11" cm="1">
        <f t="array" aca="1" ref="CX11" ca="1">IF( AND($H$7,NOT(ISBLANK($H11))), IF( _xll.IMDP("IR", $H11, CX$8, Matrix!$D$6)=0, "", _xll.IMDP("IR", $H11, CX$8, Matrix!$D$6)), "")</f>
        <v>2.8279999999999998</v>
      </c>
      <c r="CY11" cm="1">
        <f t="array" aca="1" ref="CY11" ca="1">IF( AND($H$7,NOT(ISBLANK($H11))), IF( _xll.IMDP("IR", $H11, CY$8, Matrix!$D$6)=0, "", _xll.IMDP("IR", $H11, CY$8, Matrix!$D$6)), "")</f>
        <v>2.9849999999999999</v>
      </c>
      <c r="CZ11" cm="1">
        <f t="array" aca="1" ref="CZ11" ca="1">IF( AND($H$7,NOT(ISBLANK($H11))), IF( _xll.IMDP("IR", $H11, CZ$8, Matrix!$D$6)=0, "", _xll.IMDP("IR", $H11, CZ$8, Matrix!$D$6)), "")</f>
        <v>3.0910000000000002</v>
      </c>
      <c r="DA11" t="str" cm="1">
        <f t="array" aca="1" ref="DA11" ca="1">IF( AND($H$7,NOT(ISBLANK($H11))), IF( _xll.IMDP("IR", $H11, DA$8, Matrix!$D$6)=0, "", _xll.IMDP("IR", $H11, DA$8, Matrix!$D$6)), "")</f>
        <v/>
      </c>
      <c r="DB11" t="str" cm="1">
        <f t="array" aca="1" ref="DB11" ca="1">IF( AND($H$7,NOT(ISBLANK($H11))), IF( _xll.IMDP("IR", $H11, DB$8, Matrix!$D$6)=0, "", _xll.IMDP("IR", $H11, DB$8, Matrix!$D$6)), "")</f>
        <v/>
      </c>
      <c r="DC11" t="str" cm="1">
        <f t="array" aca="1" ref="DC11" ca="1">IF( AND($H$7,NOT(ISBLANK($H11))), IF( _xll.IMDP("IR", $H11, DC$8, Matrix!$D$6)=0, "", _xll.IMDP("IR", $H11, DC$8, Matrix!$D$6)), "")</f>
        <v/>
      </c>
      <c r="DD11" t="str" cm="1">
        <f t="array" aca="1" ref="DD11" ca="1">IF( AND($H$7,NOT(ISBLANK($H11))), IF( _xll.IMDP("IR", $H11, DD$8, Matrix!$D$6)=0, "", _xll.IMDP("IR", $H11, DD$8, Matrix!$D$6)), "")</f>
        <v/>
      </c>
    </row>
    <row r="12" spans="2:108">
      <c r="B12" t="s">
        <v>81</v>
      </c>
      <c r="C12" t="s">
        <v>155</v>
      </c>
      <c r="D12" t="s">
        <v>232</v>
      </c>
      <c r="F12" t="s">
        <v>358</v>
      </c>
      <c r="M12" s="21">
        <f t="shared" ca="1" si="1"/>
        <v>2.875</v>
      </c>
      <c r="N12" s="21">
        <f t="shared" ca="1" si="2"/>
        <v>2.7850000000000001</v>
      </c>
      <c r="O12" s="21">
        <f t="shared" ca="1" si="3"/>
        <v>2.6949999999999998</v>
      </c>
      <c r="P12" s="21">
        <f t="shared" ca="1" si="4"/>
        <v>2.597</v>
      </c>
      <c r="Q12" s="21">
        <f t="shared" ca="1" si="5"/>
        <v>2.6070000000000002</v>
      </c>
      <c r="R12" s="21">
        <f t="shared" ca="1" si="6"/>
        <v>2.577</v>
      </c>
      <c r="S12" s="21">
        <f t="shared" ca="1" si="7"/>
        <v>2.5169999999999999</v>
      </c>
      <c r="T12" s="21">
        <f t="shared" ca="1" si="8"/>
        <v>2.54</v>
      </c>
      <c r="U12" s="21">
        <f t="shared" ca="1" si="9"/>
        <v>2.5419999999999998</v>
      </c>
      <c r="V12" s="21">
        <f t="shared" ca="1" si="10"/>
        <v>2.5649999999999999</v>
      </c>
      <c r="W12" s="21">
        <f t="shared" ca="1" si="11"/>
        <v>2.68</v>
      </c>
      <c r="X12" s="21">
        <f t="shared" ca="1" si="12"/>
        <v>2.7450000000000001</v>
      </c>
      <c r="Y12" s="21">
        <f t="shared" ca="1" si="13"/>
        <v>2.65</v>
      </c>
      <c r="Z12" s="21" t="e">
        <f t="shared" ca="1" si="14"/>
        <v>#NUM!</v>
      </c>
      <c r="AA12" s="21" t="e">
        <f t="shared" ca="1" si="15"/>
        <v>#NUM!</v>
      </c>
      <c r="AB12" s="21" t="e">
        <f t="shared" ca="1" si="16"/>
        <v>#NUM!</v>
      </c>
      <c r="AC12" t="str" cm="1">
        <f t="array" aca="1" ref="AC12" ca="1">IF( AND($D$7,NOT(ISBLANK($D12))), IF(_xll.IMDP("IR", $D12, AC$8, Matrix!$D$6)=0,"",_xll.IMDP("IR", $D12, AC$8, Matrix!$D$6)), "")</f>
        <v xml:space="preserve"> </v>
      </c>
      <c r="AD12" t="str" cm="1">
        <f t="array" aca="1" ref="AD12" ca="1">IF( AND($D$7,NOT(ISBLANK($D12))), IF(_xll.IMDP("IR", $D12, AD$8, Matrix!$D$6)=0,"",_xll.IMDP("IR", $D12, AD$8, Matrix!$D$6)), "")</f>
        <v xml:space="preserve"> </v>
      </c>
      <c r="AE12" t="str" cm="1">
        <f t="array" aca="1" ref="AE12" ca="1">IF( AND($D$7,NOT(ISBLANK($D12))), IF(_xll.IMDP("IR", $D12, AE$8, Matrix!$D$6)=0,"",_xll.IMDP("IR", $D12, AE$8, Matrix!$D$6)), "")</f>
        <v xml:space="preserve"> </v>
      </c>
      <c r="AF12" t="str" cm="1">
        <f t="array" aca="1" ref="AF12" ca="1">IF( AND($D$7,NOT(ISBLANK($D12))), IF(_xll.IMDP("IR", $D12, AF$8, Matrix!$D$6)=0,"",_xll.IMDP("IR", $D12, AF$8, Matrix!$D$6)), "")</f>
        <v xml:space="preserve"> </v>
      </c>
      <c r="AG12" t="str" cm="1">
        <f t="array" aca="1" ref="AG12" ca="1">IF( AND($D$7,NOT(ISBLANK($D12))), IF(_xll.IMDP("IR", $D12, AG$8, Matrix!$D$6)=0,"",_xll.IMDP("IR", $D12, AG$8, Matrix!$D$6)), "")</f>
        <v xml:space="preserve"> </v>
      </c>
      <c r="AH12" t="str" cm="1">
        <f t="array" aca="1" ref="AH12" ca="1">IF( AND($D$7,NOT(ISBLANK($D12))), IF(_xll.IMDP("IR", $D12, AH$8, Matrix!$D$6)=0,"",_xll.IMDP("IR", $D12, AH$8, Matrix!$D$6)), "")</f>
        <v xml:space="preserve"> </v>
      </c>
      <c r="AI12" t="str" cm="1">
        <f t="array" aca="1" ref="AI12" ca="1">IF( AND($D$7,NOT(ISBLANK($D12))), IF(_xll.IMDP("IR", $D12, AI$8, Matrix!$D$6)=0,"",_xll.IMDP("IR", $D12, AI$8, Matrix!$D$6)), "")</f>
        <v xml:space="preserve"> </v>
      </c>
      <c r="AJ12" t="str" cm="1">
        <f t="array" aca="1" ref="AJ12" ca="1">IF( AND($D$7,NOT(ISBLANK($D12))), IF(_xll.IMDP("IR", $D12, AJ$8, Matrix!$D$6)=0,"",_xll.IMDP("IR", $D12, AJ$8, Matrix!$D$6)), "")</f>
        <v xml:space="preserve"> </v>
      </c>
      <c r="AK12" t="str" cm="1">
        <f t="array" aca="1" ref="AK12" ca="1">IF( AND($D$7,NOT(ISBLANK($D12))), IF(_xll.IMDP("IR", $D12, AK$8, Matrix!$D$6)=0,"",_xll.IMDP("IR", $D12, AK$8, Matrix!$D$6)), "")</f>
        <v xml:space="preserve"> </v>
      </c>
      <c r="AL12" t="str" cm="1">
        <f t="array" aca="1" ref="AL12" ca="1">IF( AND($D$7,NOT(ISBLANK($D12))), IF(_xll.IMDP("IR", $D12, AL$8, Matrix!$D$6)=0,"",_xll.IMDP("IR", $D12, AL$8, Matrix!$D$6)), "")</f>
        <v xml:space="preserve"> </v>
      </c>
      <c r="AM12" t="str" cm="1">
        <f t="array" aca="1" ref="AM12" ca="1">IF( AND($D$7,NOT(ISBLANK($D12))), IF(_xll.IMDP("IR", $D12, AM$8, Matrix!$D$6)=0,"",_xll.IMDP("IR", $D12, AM$8, Matrix!$D$6)), "")</f>
        <v xml:space="preserve"> </v>
      </c>
      <c r="AN12" t="str" cm="1">
        <f t="array" aca="1" ref="AN12" ca="1">IF( AND($D$7,NOT(ISBLANK($D12))), IF(_xll.IMDP("IR", $D12, AN$8, Matrix!$D$6)=0,"",_xll.IMDP("IR", $D12, AN$8, Matrix!$D$6)), "")</f>
        <v xml:space="preserve"> </v>
      </c>
      <c r="AO12" t="str" cm="1">
        <f t="array" aca="1" ref="AO12" ca="1">IF( AND($D$7,NOT(ISBLANK($D12))), IF(_xll.IMDP("IR", $D12, AO$8, Matrix!$D$6)=0,"",_xll.IMDP("IR", $D12, AO$8, Matrix!$D$6)), "")</f>
        <v xml:space="preserve"> </v>
      </c>
      <c r="AP12" t="str" cm="1">
        <f t="array" aca="1" ref="AP12" ca="1">IF( AND($D$7,NOT(ISBLANK($D12))), IF(_xll.IMDP("IR", $D12, AP$8, Matrix!$D$6)=0,"",_xll.IMDP("IR", $D12, AP$8, Matrix!$D$6)), "")</f>
        <v xml:space="preserve"> </v>
      </c>
      <c r="AQ12" t="str" cm="1">
        <f t="array" aca="1" ref="AQ12" ca="1">IF( AND($D$7,NOT(ISBLANK($D12))), IF(_xll.IMDP("IR", $D12, AQ$8, Matrix!$D$6)=0,"",_xll.IMDP("IR", $D12, AQ$8, Matrix!$D$6)), "")</f>
        <v xml:space="preserve"> </v>
      </c>
      <c r="AR12" t="str" cm="1">
        <f t="array" aca="1" ref="AR12" ca="1">IF( AND($D$7,NOT(ISBLANK($D12))), IF(_xll.IMDP("IR", $D12, AR$8, Matrix!$D$6)=0,"",_xll.IMDP("IR", $D12, AR$8, Matrix!$D$6)), "")</f>
        <v/>
      </c>
      <c r="AS12" t="str" cm="1">
        <f t="array" ref="AS12">IF( AND($E$7,NOT(ISBLANK($E12))), IF( _xll.IMDP("IR", $E12, AS$8, Matrix!$D$6)=0,"",_xll.IMDP("IR", $E12, AS$8, Matrix!$D$6)), "")</f>
        <v/>
      </c>
      <c r="AT12" t="str" cm="1">
        <f t="array" ref="AT12">IF( AND($E$7,NOT(ISBLANK($E12))), IF( _xll.IMDP("IR", $E12, AT$8, Matrix!$D$6)=0,"",_xll.IMDP("IR", $E12, AT$8, Matrix!$D$6)), "")</f>
        <v/>
      </c>
      <c r="AU12" t="str" cm="1">
        <f t="array" ref="AU12">IF( AND($E$7,NOT(ISBLANK($E12))), IF( _xll.IMDP("IR", $E12, AU$8, Matrix!$D$6)=0,"",_xll.IMDP("IR", $E12, AU$8, Matrix!$D$6)), "")</f>
        <v/>
      </c>
      <c r="AV12" t="str" cm="1">
        <f t="array" ref="AV12">IF( AND($E$7,NOT(ISBLANK($E12))), IF( _xll.IMDP("IR", $E12, AV$8, Matrix!$D$6)=0,"",_xll.IMDP("IR", $E12, AV$8, Matrix!$D$6)), "")</f>
        <v/>
      </c>
      <c r="AW12" t="str" cm="1">
        <f t="array" ref="AW12">IF( AND($E$7,NOT(ISBLANK($E12))), IF( _xll.IMDP("IR", $E12, AW$8, Matrix!$D$6)=0,"",_xll.IMDP("IR", $E12, AW$8, Matrix!$D$6)), "")</f>
        <v/>
      </c>
      <c r="AX12" t="str" cm="1">
        <f t="array" ref="AX12">IF( AND($E$7,NOT(ISBLANK($E12))), IF( _xll.IMDP("IR", $E12, AX$8, Matrix!$D$6)=0,"",_xll.IMDP("IR", $E12, AX$8, Matrix!$D$6)), "")</f>
        <v/>
      </c>
      <c r="AY12" t="str" cm="1">
        <f t="array" ref="AY12">IF( AND($E$7,NOT(ISBLANK($E12))), IF( _xll.IMDP("IR", $E12, AY$8, Matrix!$D$6)=0,"",_xll.IMDP("IR", $E12, AY$8, Matrix!$D$6)), "")</f>
        <v/>
      </c>
      <c r="AZ12" t="str" cm="1">
        <f t="array" ref="AZ12">IF( AND($E$7,NOT(ISBLANK($E12))), IF( _xll.IMDP("IR", $E12, AZ$8, Matrix!$D$6)=0,"",_xll.IMDP("IR", $E12, AZ$8, Matrix!$D$6)), "")</f>
        <v/>
      </c>
      <c r="BA12" t="str" cm="1">
        <f t="array" ref="BA12">IF( AND($E$7,NOT(ISBLANK($E12))), IF( _xll.IMDP("IR", $E12, BA$8, Matrix!$D$6)=0,"",_xll.IMDP("IR", $E12, BA$8, Matrix!$D$6)), "")</f>
        <v/>
      </c>
      <c r="BB12" t="str" cm="1">
        <f t="array" ref="BB12">IF( AND($E$7,NOT(ISBLANK($E12))), IF( _xll.IMDP("IR", $E12, BB$8, Matrix!$D$6)=0,"",_xll.IMDP("IR", $E12, BB$8, Matrix!$D$6)), "")</f>
        <v/>
      </c>
      <c r="BC12" t="str" cm="1">
        <f t="array" ref="BC12">IF( AND($E$7,NOT(ISBLANK($E12))), IF( _xll.IMDP("IR", $E12, BC$8, Matrix!$D$6)=0,"",_xll.IMDP("IR", $E12, BC$8, Matrix!$D$6)), "")</f>
        <v/>
      </c>
      <c r="BD12" t="str" cm="1">
        <f t="array" ref="BD12">IF( AND($E$7,NOT(ISBLANK($E12))), IF( _xll.IMDP("IR", $E12, BD$8, Matrix!$D$6)=0,"",_xll.IMDP("IR", $E12, BD$8, Matrix!$D$6)), "")</f>
        <v/>
      </c>
      <c r="BE12" t="str" cm="1">
        <f t="array" ref="BE12">IF( AND($E$7,NOT(ISBLANK($E12))), IF( _xll.IMDP("IR", $E12, BE$8, Matrix!$D$6)=0,"",_xll.IMDP("IR", $E12, BE$8, Matrix!$D$6)), "")</f>
        <v/>
      </c>
      <c r="BF12" t="str" cm="1">
        <f t="array" ref="BF12">IF( AND($E$7,NOT(ISBLANK($E12))), IF( _xll.IMDP("IR", $E12, BF$8, Matrix!$D$6)=0,"",_xll.IMDP("IR", $E12, BF$8, Matrix!$D$6)), "")</f>
        <v/>
      </c>
      <c r="BG12" t="str" cm="1">
        <f t="array" ref="BG12">IF( AND($E$7,NOT(ISBLANK($E12))), IF( _xll.IMDP("IR", $E12, BG$8, Matrix!$D$6)=0,"",_xll.IMDP("IR", $E12, BG$8, Matrix!$D$6)), "")</f>
        <v/>
      </c>
      <c r="BH12" t="str" cm="1">
        <f t="array" ref="BH12">IF( AND($E$7,NOT(ISBLANK($E12))), IF( _xll.IMDP("IR", $E12, BH$8, Matrix!$D$6)=0,"",_xll.IMDP("IR", $E12, BH$8, Matrix!$D$6)), "")</f>
        <v/>
      </c>
      <c r="BI12" cm="1">
        <f t="array" aca="1" ref="BI12" ca="1">IF( AND($F$7,NOT(ISBLANK($F12))), IF( _xll.IMDP("IR", $F12, BI$8, Matrix!$D$6)=0,"",_xll.IMDP("IR", $F12, BI$8, Matrix!$D$6)), "")</f>
        <v>2.875</v>
      </c>
      <c r="BJ12" cm="1">
        <f t="array" aca="1" ref="BJ12" ca="1">IF( AND($F$7,NOT(ISBLANK($F12))), IF( _xll.IMDP("IR", $F12, BJ$8, Matrix!$D$6)=0,"",_xll.IMDP("IR", $F12, BJ$8, Matrix!$D$6)), "")</f>
        <v>2.7850000000000001</v>
      </c>
      <c r="BK12" cm="1">
        <f t="array" aca="1" ref="BK12" ca="1">IF( AND($F$7,NOT(ISBLANK($F12))), IF( _xll.IMDP("IR", $F12, BK$8, Matrix!$D$6)=0,"",_xll.IMDP("IR", $F12, BK$8, Matrix!$D$6)), "")</f>
        <v>2.6949999999999998</v>
      </c>
      <c r="BL12" cm="1">
        <f t="array" aca="1" ref="BL12" ca="1">IF( AND($F$7,NOT(ISBLANK($F12))), IF( _xll.IMDP("IR", $F12, BL$8, Matrix!$D$6)=0,"",_xll.IMDP("IR", $F12, BL$8, Matrix!$D$6)), "")</f>
        <v>2.597</v>
      </c>
      <c r="BM12" cm="1">
        <f t="array" aca="1" ref="BM12" ca="1">IF( AND($F$7,NOT(ISBLANK($F12))), IF( _xll.IMDP("IR", $F12, BM$8, Matrix!$D$6)=0,"",_xll.IMDP("IR", $F12, BM$8, Matrix!$D$6)), "")</f>
        <v>2.6070000000000002</v>
      </c>
      <c r="BN12" cm="1">
        <f t="array" aca="1" ref="BN12" ca="1">IF( AND($F$7,NOT(ISBLANK($F12))), IF( _xll.IMDP("IR", $F12, BN$8, Matrix!$D$6)=0,"",_xll.IMDP("IR", $F12, BN$8, Matrix!$D$6)), "")</f>
        <v>2.577</v>
      </c>
      <c r="BO12" cm="1">
        <f t="array" aca="1" ref="BO12" ca="1">IF( AND($F$7,NOT(ISBLANK($F12))), IF( _xll.IMDP("IR", $F12, BO$8, Matrix!$D$6)=0,"",_xll.IMDP("IR", $F12, BO$8, Matrix!$D$6)), "")</f>
        <v>2.5169999999999999</v>
      </c>
      <c r="BP12" cm="1">
        <f t="array" aca="1" ref="BP12" ca="1">IF( AND($F$7,NOT(ISBLANK($F12))), IF( _xll.IMDP("IR", $F12, BP$8, Matrix!$D$6)=0,"",_xll.IMDP("IR", $F12, BP$8, Matrix!$D$6)), "")</f>
        <v>2.54</v>
      </c>
      <c r="BQ12" cm="1">
        <f t="array" aca="1" ref="BQ12" ca="1">IF( AND($F$7,NOT(ISBLANK($F12))), IF( _xll.IMDP("IR", $F12, BQ$8, Matrix!$D$6)=0,"",_xll.IMDP("IR", $F12, BQ$8, Matrix!$D$6)), "")</f>
        <v>2.5419999999999998</v>
      </c>
      <c r="BR12" cm="1">
        <f t="array" aca="1" ref="BR12" ca="1">IF( AND($F$7,NOT(ISBLANK($F12))), IF( _xll.IMDP("IR", $F12, BR$8, Matrix!$D$6)=0,"",_xll.IMDP("IR", $F12, BR$8, Matrix!$D$6)), "")</f>
        <v>2.5649999999999999</v>
      </c>
      <c r="BS12" cm="1">
        <f t="array" aca="1" ref="BS12" ca="1">IF( AND($F$7,NOT(ISBLANK($F12))), IF( _xll.IMDP("IR", $F12, BS$8, Matrix!$D$6)=0,"",_xll.IMDP("IR", $F12, BS$8, Matrix!$D$6)), "")</f>
        <v>2.68</v>
      </c>
      <c r="BT12" cm="1">
        <f t="array" aca="1" ref="BT12" ca="1">IF( AND($F$7,NOT(ISBLANK($F12))), IF( _xll.IMDP("IR", $F12, BT$8, Matrix!$D$6)=0,"",_xll.IMDP("IR", $F12, BT$8, Matrix!$D$6)), "")</f>
        <v>2.7450000000000001</v>
      </c>
      <c r="BU12" cm="1">
        <f t="array" aca="1" ref="BU12" ca="1">IF( AND($F$7,NOT(ISBLANK($F12))), IF( _xll.IMDP("IR", $F12, BU$8, Matrix!$D$6)=0,"",_xll.IMDP("IR", $F12, BU$8, Matrix!$D$6)), "")</f>
        <v>2.65</v>
      </c>
      <c r="BV12" t="str" cm="1">
        <f t="array" aca="1" ref="BV12" ca="1">IF( AND($F$7,NOT(ISBLANK($F12))), IF( _xll.IMDP("IR", $F12, BV$8, Matrix!$D$6)=0,"",_xll.IMDP("IR", $F12, BV$8, Matrix!$D$6)), "")</f>
        <v/>
      </c>
      <c r="BW12" t="str" cm="1">
        <f t="array" aca="1" ref="BW12" ca="1">IF( AND($F$7,NOT(ISBLANK($F12))), IF( _xll.IMDP("IR", $F12, BW$8, Matrix!$D$6)=0,"",_xll.IMDP("IR", $F12, BW$8, Matrix!$D$6)), "")</f>
        <v/>
      </c>
      <c r="BX12" t="str" cm="1">
        <f t="array" aca="1" ref="BX12" ca="1">IF( AND($F$7,NOT(ISBLANK($F12))), IF( _xll.IMDP("IR", $F12, BX$8, Matrix!$D$6)=0,"",_xll.IMDP("IR", $F12, BX$8, Matrix!$D$6)), "")</f>
        <v/>
      </c>
      <c r="BY12" t="str" cm="1">
        <f t="array" ref="BY12">IF( AND($G$7,NOT(ISBLANK($G12))), IF( _xll.IMDP("IR", $G12, BY$8, Matrix!$D$6)=0, "", _xll.IMDP("IR", $G12, BY$8, Matrix!$D$6)), "")</f>
        <v/>
      </c>
      <c r="BZ12" t="str" cm="1">
        <f t="array" ref="BZ12">IF( AND($G$7,NOT(ISBLANK($G12))), IF( _xll.IMDP("IR", $G12, BZ$8, Matrix!$D$6)=0, "", _xll.IMDP("IR", $G12, BZ$8, Matrix!$D$6)), "")</f>
        <v/>
      </c>
      <c r="CA12" t="str" cm="1">
        <f t="array" ref="CA12">IF( AND($G$7,NOT(ISBLANK($G12))), IF( _xll.IMDP("IR", $G12, CA$8, Matrix!$D$6)=0, "", _xll.IMDP("IR", $G12, CA$8, Matrix!$D$6)), "")</f>
        <v/>
      </c>
      <c r="CB12" t="str" cm="1">
        <f t="array" ref="CB12">IF( AND($G$7,NOT(ISBLANK($G12))), IF( _xll.IMDP("IR", $G12, CB$8, Matrix!$D$6)=0, "", _xll.IMDP("IR", $G12, CB$8, Matrix!$D$6)), "")</f>
        <v/>
      </c>
      <c r="CC12" t="str" cm="1">
        <f t="array" ref="CC12">IF( AND($G$7,NOT(ISBLANK($G12))), IF( _xll.IMDP("IR", $G12, CC$8, Matrix!$D$6)=0, "", _xll.IMDP("IR", $G12, CC$8, Matrix!$D$6)), "")</f>
        <v/>
      </c>
      <c r="CD12" t="str" cm="1">
        <f t="array" ref="CD12">IF( AND($G$7,NOT(ISBLANK($G12))), IF( _xll.IMDP("IR", $G12, CD$8, Matrix!$D$6)=0, "", _xll.IMDP("IR", $G12, CD$8, Matrix!$D$6)), "")</f>
        <v/>
      </c>
      <c r="CE12" t="str" cm="1">
        <f t="array" ref="CE12">IF( AND($G$7,NOT(ISBLANK($G12))), IF( _xll.IMDP("IR", $G12, CE$8, Matrix!$D$6)=0, "", _xll.IMDP("IR", $G12, CE$8, Matrix!$D$6)), "")</f>
        <v/>
      </c>
      <c r="CF12" t="str" cm="1">
        <f t="array" ref="CF12">IF( AND($G$7,NOT(ISBLANK($G12))), IF( _xll.IMDP("IR", $G12, CF$8, Matrix!$D$6)=0, "", _xll.IMDP("IR", $G12, CF$8, Matrix!$D$6)), "")</f>
        <v/>
      </c>
      <c r="CG12" t="str" cm="1">
        <f t="array" ref="CG12">IF( AND($G$7,NOT(ISBLANK($G12))), IF( _xll.IMDP("IR", $G12, CG$8, Matrix!$D$6)=0, "", _xll.IMDP("IR", $G12, CG$8, Matrix!$D$6)), "")</f>
        <v/>
      </c>
      <c r="CH12" t="str" cm="1">
        <f t="array" ref="CH12">IF( AND($G$7,NOT(ISBLANK($G12))), IF( _xll.IMDP("IR", $G12, CH$8, Matrix!$D$6)=0, "", _xll.IMDP("IR", $G12, CH$8, Matrix!$D$6)), "")</f>
        <v/>
      </c>
      <c r="CI12" t="str" cm="1">
        <f t="array" ref="CI12">IF( AND($G$7,NOT(ISBLANK($G12))), IF( _xll.IMDP("IR", $G12, CI$8, Matrix!$D$6)=0, "", _xll.IMDP("IR", $G12, CI$8, Matrix!$D$6)), "")</f>
        <v/>
      </c>
      <c r="CJ12" t="str" cm="1">
        <f t="array" ref="CJ12">IF( AND($G$7,NOT(ISBLANK($G12))), IF( _xll.IMDP("IR", $G12, CJ$8, Matrix!$D$6)=0, "", _xll.IMDP("IR", $G12, CJ$8, Matrix!$D$6)), "")</f>
        <v/>
      </c>
      <c r="CK12" t="str" cm="1">
        <f t="array" ref="CK12">IF( AND($G$7,NOT(ISBLANK($G12))), IF( _xll.IMDP("IR", $G12, CK$8, Matrix!$D$6)=0, "", _xll.IMDP("IR", $G12, CK$8, Matrix!$D$6)), "")</f>
        <v/>
      </c>
      <c r="CL12" t="str" cm="1">
        <f t="array" ref="CL12">IF( AND($G$7,NOT(ISBLANK($G12))), IF( _xll.IMDP("IR", $G12, CL$8, Matrix!$D$6)=0, "", _xll.IMDP("IR", $G12, CL$8, Matrix!$D$6)), "")</f>
        <v/>
      </c>
      <c r="CM12" t="str" cm="1">
        <f t="array" ref="CM12">IF( AND($G$7,NOT(ISBLANK($G12))), IF( _xll.IMDP("IR", $G12, CM$8, Matrix!$D$6)=0, "", _xll.IMDP("IR", $G12, CM$8, Matrix!$D$6)), "")</f>
        <v/>
      </c>
      <c r="CN12" t="str" cm="1">
        <f t="array" ref="CN12">IF( AND($G$7,NOT(ISBLANK($G12))), IF( _xll.IMDP("IR", $G12, CN$8, Matrix!$D$6)=0, "", _xll.IMDP("IR", $G12, CN$8, Matrix!$D$6)), "")</f>
        <v/>
      </c>
      <c r="CO12" t="str" cm="1">
        <f t="array" ref="CO12">IF( AND($H$7,NOT(ISBLANK($H12))), IF( _xll.IMDP("IR", $H12, CO$8, Matrix!$D$6)=0, "", _xll.IMDP("IR", $H12, CO$8, Matrix!$D$6)), "")</f>
        <v/>
      </c>
      <c r="CP12" t="str" cm="1">
        <f t="array" ref="CP12">IF( AND($H$7,NOT(ISBLANK($H12))), IF( _xll.IMDP("IR", $H12, CP$8, Matrix!$D$6)=0, "", _xll.IMDP("IR", $H12, CP$8, Matrix!$D$6)), "")</f>
        <v/>
      </c>
      <c r="CQ12" t="str" cm="1">
        <f t="array" ref="CQ12">IF( AND($H$7,NOT(ISBLANK($H12))), IF( _xll.IMDP("IR", $H12, CQ$8, Matrix!$D$6)=0, "", _xll.IMDP("IR", $H12, CQ$8, Matrix!$D$6)), "")</f>
        <v/>
      </c>
      <c r="CR12" t="str" cm="1">
        <f t="array" ref="CR12">IF( AND($H$7,NOT(ISBLANK($H12))), IF( _xll.IMDP("IR", $H12, CR$8, Matrix!$D$6)=0, "", _xll.IMDP("IR", $H12, CR$8, Matrix!$D$6)), "")</f>
        <v/>
      </c>
      <c r="CS12" t="str" cm="1">
        <f t="array" ref="CS12">IF( AND($H$7,NOT(ISBLANK($H12))), IF( _xll.IMDP("IR", $H12, CS$8, Matrix!$D$6)=0, "", _xll.IMDP("IR", $H12, CS$8, Matrix!$D$6)), "")</f>
        <v/>
      </c>
      <c r="CT12" t="str" cm="1">
        <f t="array" ref="CT12">IF( AND($H$7,NOT(ISBLANK($H12))), IF( _xll.IMDP("IR", $H12, CT$8, Matrix!$D$6)=0, "", _xll.IMDP("IR", $H12, CT$8, Matrix!$D$6)), "")</f>
        <v/>
      </c>
      <c r="CU12" t="str" cm="1">
        <f t="array" ref="CU12">IF( AND($H$7,NOT(ISBLANK($H12))), IF( _xll.IMDP("IR", $H12, CU$8, Matrix!$D$6)=0, "", _xll.IMDP("IR", $H12, CU$8, Matrix!$D$6)), "")</f>
        <v/>
      </c>
      <c r="CV12" t="str" cm="1">
        <f t="array" ref="CV12">IF( AND($H$7,NOT(ISBLANK($H12))), IF( _xll.IMDP("IR", $H12, CV$8, Matrix!$D$6)=0, "", _xll.IMDP("IR", $H12, CV$8, Matrix!$D$6)), "")</f>
        <v/>
      </c>
      <c r="CW12" t="str" cm="1">
        <f t="array" ref="CW12">IF( AND($H$7,NOT(ISBLANK($H12))), IF( _xll.IMDP("IR", $H12, CW$8, Matrix!$D$6)=0, "", _xll.IMDP("IR", $H12, CW$8, Matrix!$D$6)), "")</f>
        <v/>
      </c>
      <c r="CX12" t="str" cm="1">
        <f t="array" ref="CX12">IF( AND($H$7,NOT(ISBLANK($H12))), IF( _xll.IMDP("IR", $H12, CX$8, Matrix!$D$6)=0, "", _xll.IMDP("IR", $H12, CX$8, Matrix!$D$6)), "")</f>
        <v/>
      </c>
      <c r="CY12" t="str" cm="1">
        <f t="array" ref="CY12">IF( AND($H$7,NOT(ISBLANK($H12))), IF( _xll.IMDP("IR", $H12, CY$8, Matrix!$D$6)=0, "", _xll.IMDP("IR", $H12, CY$8, Matrix!$D$6)), "")</f>
        <v/>
      </c>
      <c r="CZ12" t="str" cm="1">
        <f t="array" ref="CZ12">IF( AND($H$7,NOT(ISBLANK($H12))), IF( _xll.IMDP("IR", $H12, CZ$8, Matrix!$D$6)=0, "", _xll.IMDP("IR", $H12, CZ$8, Matrix!$D$6)), "")</f>
        <v/>
      </c>
      <c r="DA12" t="str" cm="1">
        <f t="array" ref="DA12">IF( AND($H$7,NOT(ISBLANK($H12))), IF( _xll.IMDP("IR", $H12, DA$8, Matrix!$D$6)=0, "", _xll.IMDP("IR", $H12, DA$8, Matrix!$D$6)), "")</f>
        <v/>
      </c>
      <c r="DB12" t="str" cm="1">
        <f t="array" ref="DB12">IF( AND($H$7,NOT(ISBLANK($H12))), IF( _xll.IMDP("IR", $H12, DB$8, Matrix!$D$6)=0, "", _xll.IMDP("IR", $H12, DB$8, Matrix!$D$6)), "")</f>
        <v/>
      </c>
      <c r="DC12" t="str" cm="1">
        <f t="array" ref="DC12">IF( AND($H$7,NOT(ISBLANK($H12))), IF( _xll.IMDP("IR", $H12, DC$8, Matrix!$D$6)=0, "", _xll.IMDP("IR", $H12, DC$8, Matrix!$D$6)), "")</f>
        <v/>
      </c>
      <c r="DD12" t="str" cm="1">
        <f t="array" ref="DD12">IF( AND($H$7,NOT(ISBLANK($H12))), IF( _xll.IMDP("IR", $H12, DD$8, Matrix!$D$6)=0, "", _xll.IMDP("IR", $H12, DD$8, Matrix!$D$6)), "")</f>
        <v/>
      </c>
    </row>
    <row r="13" spans="2:108">
      <c r="B13" t="s">
        <v>82</v>
      </c>
      <c r="C13" t="s">
        <v>156</v>
      </c>
      <c r="D13" t="s">
        <v>233</v>
      </c>
      <c r="E13" t="s">
        <v>296</v>
      </c>
      <c r="F13" t="s">
        <v>359</v>
      </c>
      <c r="G13" t="s">
        <v>425</v>
      </c>
      <c r="H13" t="s">
        <v>488</v>
      </c>
      <c r="M13" s="21">
        <f t="shared" ca="1" si="1"/>
        <v>3.4099753859251578</v>
      </c>
      <c r="N13" s="21">
        <f t="shared" ca="1" si="2"/>
        <v>3.3349832536322066</v>
      </c>
      <c r="O13" s="21">
        <f t="shared" ca="1" si="3"/>
        <v>3.2553989805948071</v>
      </c>
      <c r="P13" s="21">
        <f t="shared" ca="1" si="4"/>
        <v>3.171995643852966</v>
      </c>
      <c r="Q13" s="21">
        <f t="shared" ca="1" si="5"/>
        <v>3.1633889517910312</v>
      </c>
      <c r="R13" s="21">
        <f t="shared" ca="1" si="6"/>
        <v>3.1473913255723791</v>
      </c>
      <c r="S13" s="21">
        <f t="shared" ca="1" si="7"/>
        <v>3.1153344017631475</v>
      </c>
      <c r="T13" s="21">
        <f t="shared" ca="1" si="8"/>
        <v>3.1269611637561492</v>
      </c>
      <c r="U13" s="21">
        <f t="shared" ca="1" si="9"/>
        <v>3.1215863568556288</v>
      </c>
      <c r="V13" s="21">
        <f t="shared" ca="1" si="10"/>
        <v>3.1083916108650027</v>
      </c>
      <c r="W13" s="21">
        <f t="shared" ca="1" si="11"/>
        <v>3.2914748373264944</v>
      </c>
      <c r="X13" s="21" t="e">
        <f t="shared" ca="1" si="12"/>
        <v>#NUM!</v>
      </c>
      <c r="Y13" s="21" t="e">
        <f t="shared" ca="1" si="13"/>
        <v>#NUM!</v>
      </c>
      <c r="Z13" s="21" t="e">
        <f t="shared" ca="1" si="14"/>
        <v>#NUM!</v>
      </c>
      <c r="AA13" s="21" t="e">
        <f t="shared" ca="1" si="15"/>
        <v>#NUM!</v>
      </c>
      <c r="AB13" s="21" t="e">
        <f t="shared" ca="1" si="16"/>
        <v>#NUM!</v>
      </c>
      <c r="AC13" cm="1">
        <f t="array" aca="1" ref="AC13" ca="1">IF( AND($D$7,NOT(ISBLANK($D13))), IF(_xll.IMDP("IR", $D13, AC$8, Matrix!$D$6)=0,"",_xll.IMDP("IR", $D13, AC$8, Matrix!$D$6)), "")</f>
        <v>3.4039999999999999</v>
      </c>
      <c r="AD13" cm="1">
        <f t="array" aca="1" ref="AD13" ca="1">IF( AND($D$7,NOT(ISBLANK($D13))), IF(_xll.IMDP("IR", $D13, AD$8, Matrix!$D$6)=0,"",_xll.IMDP("IR", $D13, AD$8, Matrix!$D$6)), "")</f>
        <v>3.3380000000000001</v>
      </c>
      <c r="AE13" cm="1">
        <f t="array" aca="1" ref="AE13" ca="1">IF( AND($D$7,NOT(ISBLANK($D13))), IF(_xll.IMDP("IR", $D13, AE$8, Matrix!$D$6)=0,"",_xll.IMDP("IR", $D13, AE$8, Matrix!$D$6)), "")</f>
        <v>3.2530000000000001</v>
      </c>
      <c r="AF13" cm="1">
        <f t="array" aca="1" ref="AF13" ca="1">IF( AND($D$7,NOT(ISBLANK($D13))), IF(_xll.IMDP("IR", $D13, AF$8, Matrix!$D$6)=0,"",_xll.IMDP("IR", $D13, AF$8, Matrix!$D$6)), "")</f>
        <v>3.1749999999999998</v>
      </c>
      <c r="AG13" cm="1">
        <f t="array" aca="1" ref="AG13" ca="1">IF( AND($D$7,NOT(ISBLANK($D13))), IF(_xll.IMDP("IR", $D13, AG$8, Matrix!$D$6)=0,"",_xll.IMDP("IR", $D13, AG$8, Matrix!$D$6)), "")</f>
        <v>3.1659999999999999</v>
      </c>
      <c r="AH13" cm="1">
        <f t="array" aca="1" ref="AH13" ca="1">IF( AND($D$7,NOT(ISBLANK($D13))), IF(_xll.IMDP("IR", $D13, AH$8, Matrix!$D$6)=0,"",_xll.IMDP("IR", $D13, AH$8, Matrix!$D$6)), "")</f>
        <v>3.137</v>
      </c>
      <c r="AI13" cm="1">
        <f t="array" aca="1" ref="AI13" ca="1">IF( AND($D$7,NOT(ISBLANK($D13))), IF(_xll.IMDP("IR", $D13, AI$8, Matrix!$D$6)=0,"",_xll.IMDP("IR", $D13, AI$8, Matrix!$D$6)), "")</f>
        <v>3.113</v>
      </c>
      <c r="AJ13" cm="1">
        <f t="array" aca="1" ref="AJ13" ca="1">IF( AND($D$7,NOT(ISBLANK($D13))), IF(_xll.IMDP("IR", $D13, AJ$8, Matrix!$D$6)=0,"",_xll.IMDP("IR", $D13, AJ$8, Matrix!$D$6)), "")</f>
        <v>3.125</v>
      </c>
      <c r="AK13" cm="1">
        <f t="array" aca="1" ref="AK13" ca="1">IF( AND($D$7,NOT(ISBLANK($D13))), IF(_xll.IMDP("IR", $D13, AK$8, Matrix!$D$6)=0,"",_xll.IMDP("IR", $D13, AK$8, Matrix!$D$6)), "")</f>
        <v>3.1320000000000001</v>
      </c>
      <c r="AL13" cm="1">
        <f t="array" aca="1" ref="AL13" ca="1">IF( AND($D$7,NOT(ISBLANK($D13))), IF(_xll.IMDP("IR", $D13, AL$8, Matrix!$D$6)=0,"",_xll.IMDP("IR", $D13, AL$8, Matrix!$D$6)), "")</f>
        <v>3.101</v>
      </c>
      <c r="AM13" cm="1">
        <f t="array" aca="1" ref="AM13" ca="1">IF( AND($D$7,NOT(ISBLANK($D13))), IF(_xll.IMDP("IR", $D13, AM$8, Matrix!$D$6)=0,"",_xll.IMDP("IR", $D13, AM$8, Matrix!$D$6)), "")</f>
        <v>3.2970000000000002</v>
      </c>
      <c r="AN13" t="str" cm="1">
        <f t="array" aca="1" ref="AN13" ca="1">IF( AND($D$7,NOT(ISBLANK($D13))), IF(_xll.IMDP("IR", $D13, AN$8, Matrix!$D$6)=0,"",_xll.IMDP("IR", $D13, AN$8, Matrix!$D$6)), "")</f>
        <v/>
      </c>
      <c r="AO13" t="str" cm="1">
        <f t="array" aca="1" ref="AO13" ca="1">IF( AND($D$7,NOT(ISBLANK($D13))), IF(_xll.IMDP("IR", $D13, AO$8, Matrix!$D$6)=0,"",_xll.IMDP("IR", $D13, AO$8, Matrix!$D$6)), "")</f>
        <v/>
      </c>
      <c r="AP13" t="str" cm="1">
        <f t="array" aca="1" ref="AP13" ca="1">IF( AND($D$7,NOT(ISBLANK($D13))), IF(_xll.IMDP("IR", $D13, AP$8, Matrix!$D$6)=0,"",_xll.IMDP("IR", $D13, AP$8, Matrix!$D$6)), "")</f>
        <v/>
      </c>
      <c r="AQ13" t="str" cm="1">
        <f t="array" aca="1" ref="AQ13" ca="1">IF( AND($D$7,NOT(ISBLANK($D13))), IF(_xll.IMDP("IR", $D13, AQ$8, Matrix!$D$6)=0,"",_xll.IMDP("IR", $D13, AQ$8, Matrix!$D$6)), "")</f>
        <v/>
      </c>
      <c r="AR13" t="str" cm="1">
        <f t="array" aca="1" ref="AR13" ca="1">IF( AND($D$7,NOT(ISBLANK($D13))), IF(_xll.IMDP("IR", $D13, AR$8, Matrix!$D$6)=0,"",_xll.IMDP("IR", $D13, AR$8, Matrix!$D$6)), "")</f>
        <v/>
      </c>
      <c r="AS13" cm="1">
        <f t="array" aca="1" ref="AS13" ca="1">IF( AND($E$7,NOT(ISBLANK($E13))), IF( _xll.IMDP("IR", $E13, AS$8, Matrix!$D$6)=0,"",_xll.IMDP("IR", $E13, AS$8, Matrix!$D$6)), "")</f>
        <v>3.4009999999999998</v>
      </c>
      <c r="AT13" cm="1">
        <f t="array" aca="1" ref="AT13" ca="1">IF( AND($E$7,NOT(ISBLANK($E13))), IF( _xll.IMDP("IR", $E13, AT$8, Matrix!$D$6)=0,"",_xll.IMDP("IR", $E13, AT$8, Matrix!$D$6)), "")</f>
        <v>3.335</v>
      </c>
      <c r="AU13" cm="1">
        <f t="array" aca="1" ref="AU13" ca="1">IF( AND($E$7,NOT(ISBLANK($E13))), IF( _xll.IMDP("IR", $E13, AU$8, Matrix!$D$6)=0,"",_xll.IMDP("IR", $E13, AU$8, Matrix!$D$6)), "")</f>
        <v>3.2559999999999998</v>
      </c>
      <c r="AV13" cm="1">
        <f t="array" aca="1" ref="AV13" ca="1">IF( AND($E$7,NOT(ISBLANK($E13))), IF( _xll.IMDP("IR", $E13, AV$8, Matrix!$D$6)=0,"",_xll.IMDP("IR", $E13, AV$8, Matrix!$D$6)), "")</f>
        <v>3.1739999999999999</v>
      </c>
      <c r="AW13" cm="1">
        <f t="array" aca="1" ref="AW13" ca="1">IF( AND($E$7,NOT(ISBLANK($E13))), IF( _xll.IMDP("IR", $E13, AW$8, Matrix!$D$6)=0,"",_xll.IMDP("IR", $E13, AW$8, Matrix!$D$6)), "")</f>
        <v>3.1640000000000001</v>
      </c>
      <c r="AX13" cm="1">
        <f t="array" aca="1" ref="AX13" ca="1">IF( AND($E$7,NOT(ISBLANK($E13))), IF( _xll.IMDP("IR", $E13, AX$8, Matrix!$D$6)=0,"",_xll.IMDP("IR", $E13, AX$8, Matrix!$D$6)), "")</f>
        <v>3.16</v>
      </c>
      <c r="AY13" cm="1">
        <f t="array" aca="1" ref="AY13" ca="1">IF( AND($E$7,NOT(ISBLANK($E13))), IF( _xll.IMDP("IR", $E13, AY$8, Matrix!$D$6)=0,"",_xll.IMDP("IR", $E13, AY$8, Matrix!$D$6)), "")</f>
        <v>3.145</v>
      </c>
      <c r="AZ13" cm="1">
        <f t="array" aca="1" ref="AZ13" ca="1">IF( AND($E$7,NOT(ISBLANK($E13))), IF( _xll.IMDP("IR", $E13, AZ$8, Matrix!$D$6)=0,"",_xll.IMDP("IR", $E13, AZ$8, Matrix!$D$6)), "")</f>
        <v>3.1509999999999998</v>
      </c>
      <c r="BA13" cm="1">
        <f t="array" aca="1" ref="BA13" ca="1">IF( AND($E$7,NOT(ISBLANK($E13))), IF( _xll.IMDP("IR", $E13, BA$8, Matrix!$D$6)=0,"",_xll.IMDP("IR", $E13, BA$8, Matrix!$D$6)), "")</f>
        <v>3.1280000000000001</v>
      </c>
      <c r="BB13" cm="1">
        <f t="array" aca="1" ref="BB13" ca="1">IF( AND($E$7,NOT(ISBLANK($E13))), IF( _xll.IMDP("IR", $E13, BB$8, Matrix!$D$6)=0,"",_xll.IMDP("IR", $E13, BB$8, Matrix!$D$6)), "")</f>
        <v>3.1040000000000001</v>
      </c>
      <c r="BC13" cm="1">
        <f t="array" aca="1" ref="BC13" ca="1">IF( AND($E$7,NOT(ISBLANK($E13))), IF( _xll.IMDP("IR", $E13, BC$8, Matrix!$D$6)=0,"",_xll.IMDP("IR", $E13, BC$8, Matrix!$D$6)), "")</f>
        <v>3.2949999999999999</v>
      </c>
      <c r="BD13" t="str" cm="1">
        <f t="array" aca="1" ref="BD13" ca="1">IF( AND($E$7,NOT(ISBLANK($E13))), IF( _xll.IMDP("IR", $E13, BD$8, Matrix!$D$6)=0,"",_xll.IMDP("IR", $E13, BD$8, Matrix!$D$6)), "")</f>
        <v/>
      </c>
      <c r="BE13" t="str" cm="1">
        <f t="array" aca="1" ref="BE13" ca="1">IF( AND($E$7,NOT(ISBLANK($E13))), IF( _xll.IMDP("IR", $E13, BE$8, Matrix!$D$6)=0,"",_xll.IMDP("IR", $E13, BE$8, Matrix!$D$6)), "")</f>
        <v/>
      </c>
      <c r="BF13" t="str" cm="1">
        <f t="array" aca="1" ref="BF13" ca="1">IF( AND($E$7,NOT(ISBLANK($E13))), IF( _xll.IMDP("IR", $E13, BF$8, Matrix!$D$6)=0,"",_xll.IMDP("IR", $E13, BF$8, Matrix!$D$6)), "")</f>
        <v/>
      </c>
      <c r="BG13" t="str" cm="1">
        <f t="array" aca="1" ref="BG13" ca="1">IF( AND($E$7,NOT(ISBLANK($E13))), IF( _xll.IMDP("IR", $E13, BG$8, Matrix!$D$6)=0,"",_xll.IMDP("IR", $E13, BG$8, Matrix!$D$6)), "")</f>
        <v/>
      </c>
      <c r="BH13" t="str" cm="1">
        <f t="array" aca="1" ref="BH13" ca="1">IF( AND($E$7,NOT(ISBLANK($E13))), IF( _xll.IMDP("IR", $E13, BH$8, Matrix!$D$6)=0,"",_xll.IMDP("IR", $E13, BH$8, Matrix!$D$6)), "")</f>
        <v/>
      </c>
      <c r="BI13" cm="1">
        <f t="array" aca="1" ref="BI13" ca="1">IF( AND($F$7,NOT(ISBLANK($F13))), IF( _xll.IMDP("IR", $F13, BI$8, Matrix!$D$6)=0,"",_xll.IMDP("IR", $F13, BI$8, Matrix!$D$6)), "")</f>
        <v>3.4350000000000001</v>
      </c>
      <c r="BJ13" cm="1">
        <f t="array" aca="1" ref="BJ13" ca="1">IF( AND($F$7,NOT(ISBLANK($F13))), IF( _xll.IMDP("IR", $F13, BJ$8, Matrix!$D$6)=0,"",_xll.IMDP("IR", $F13, BJ$8, Matrix!$D$6)), "")</f>
        <v>3.35</v>
      </c>
      <c r="BK13" cm="1">
        <f t="array" aca="1" ref="BK13" ca="1">IF( AND($F$7,NOT(ISBLANK($F13))), IF( _xll.IMDP("IR", $F13, BK$8, Matrix!$D$6)=0,"",_xll.IMDP("IR", $F13, BK$8, Matrix!$D$6)), "")</f>
        <v>3.26</v>
      </c>
      <c r="BL13" cm="1">
        <f t="array" aca="1" ref="BL13" ca="1">IF( AND($F$7,NOT(ISBLANK($F13))), IF( _xll.IMDP("IR", $F13, BL$8, Matrix!$D$6)=0,"",_xll.IMDP("IR", $F13, BL$8, Matrix!$D$6)), "")</f>
        <v>3.1619999999999999</v>
      </c>
      <c r="BM13" cm="1">
        <f t="array" aca="1" ref="BM13" ca="1">IF( AND($F$7,NOT(ISBLANK($F13))), IF( _xll.IMDP("IR", $F13, BM$8, Matrix!$D$6)=0,"",_xll.IMDP("IR", $F13, BM$8, Matrix!$D$6)), "")</f>
        <v>3.1749999999999998</v>
      </c>
      <c r="BN13" cm="1">
        <f t="array" aca="1" ref="BN13" ca="1">IF( AND($F$7,NOT(ISBLANK($F13))), IF( _xll.IMDP("IR", $F13, BN$8, Matrix!$D$6)=0,"",_xll.IMDP("IR", $F13, BN$8, Matrix!$D$6)), "")</f>
        <v>3.145</v>
      </c>
      <c r="BO13" cm="1">
        <f t="array" aca="1" ref="BO13" ca="1">IF( AND($F$7,NOT(ISBLANK($F13))), IF( _xll.IMDP("IR", $F13, BO$8, Matrix!$D$6)=0,"",_xll.IMDP("IR", $F13, BO$8, Matrix!$D$6)), "")</f>
        <v>3.0819999999999999</v>
      </c>
      <c r="BP13" cm="1">
        <f t="array" aca="1" ref="BP13" ca="1">IF( AND($F$7,NOT(ISBLANK($F13))), IF( _xll.IMDP("IR", $F13, BP$8, Matrix!$D$6)=0,"",_xll.IMDP("IR", $F13, BP$8, Matrix!$D$6)), "")</f>
        <v>3.1019999999999999</v>
      </c>
      <c r="BQ13" cm="1">
        <f t="array" aca="1" ref="BQ13" ca="1">IF( AND($F$7,NOT(ISBLANK($F13))), IF( _xll.IMDP("IR", $F13, BQ$8, Matrix!$D$6)=0,"",_xll.IMDP("IR", $F13, BQ$8, Matrix!$D$6)), "")</f>
        <v>3.105</v>
      </c>
      <c r="BR13" cm="1">
        <f t="array" aca="1" ref="BR13" ca="1">IF( AND($F$7,NOT(ISBLANK($F13))), IF( _xll.IMDP("IR", $F13, BR$8, Matrix!$D$6)=0,"",_xll.IMDP("IR", $F13, BR$8, Matrix!$D$6)), "")</f>
        <v>3.1219999999999999</v>
      </c>
      <c r="BS13" cm="1">
        <f t="array" aca="1" ref="BS13" ca="1">IF( AND($F$7,NOT(ISBLANK($F13))), IF( _xll.IMDP("IR", $F13, BS$8, Matrix!$D$6)=0,"",_xll.IMDP("IR", $F13, BS$8, Matrix!$D$6)), "")</f>
        <v>3.27</v>
      </c>
      <c r="BT13" t="str" cm="1">
        <f t="array" aca="1" ref="BT13" ca="1">IF( AND($F$7,NOT(ISBLANK($F13))), IF( _xll.IMDP("IR", $F13, BT$8, Matrix!$D$6)=0,"",_xll.IMDP("IR", $F13, BT$8, Matrix!$D$6)), "")</f>
        <v/>
      </c>
      <c r="BU13" t="str" cm="1">
        <f t="array" aca="1" ref="BU13" ca="1">IF( AND($F$7,NOT(ISBLANK($F13))), IF( _xll.IMDP("IR", $F13, BU$8, Matrix!$D$6)=0,"",_xll.IMDP("IR", $F13, BU$8, Matrix!$D$6)), "")</f>
        <v/>
      </c>
      <c r="BV13" t="str" cm="1">
        <f t="array" aca="1" ref="BV13" ca="1">IF( AND($F$7,NOT(ISBLANK($F13))), IF( _xll.IMDP("IR", $F13, BV$8, Matrix!$D$6)=0,"",_xll.IMDP("IR", $F13, BV$8, Matrix!$D$6)), "")</f>
        <v/>
      </c>
      <c r="BW13" t="str" cm="1">
        <f t="array" aca="1" ref="BW13" ca="1">IF( AND($F$7,NOT(ISBLANK($F13))), IF( _xll.IMDP("IR", $F13, BW$8, Matrix!$D$6)=0,"",_xll.IMDP("IR", $F13, BW$8, Matrix!$D$6)), "")</f>
        <v/>
      </c>
      <c r="BX13" t="str" cm="1">
        <f t="array" aca="1" ref="BX13" ca="1">IF( AND($F$7,NOT(ISBLANK($F13))), IF( _xll.IMDP("IR", $F13, BX$8, Matrix!$D$6)=0,"",_xll.IMDP("IR", $F13, BX$8, Matrix!$D$6)), "")</f>
        <v/>
      </c>
      <c r="BY13" cm="1">
        <f t="array" aca="1" ref="BY13" ca="1">IF( AND($G$7,NOT(ISBLANK($G13))), IF( _xll.IMDP("IR", $G13, BY$8, Matrix!$D$6)=0, "", _xll.IMDP("IR", $G13, BY$8, Matrix!$D$6)), "")</f>
        <v>3.4</v>
      </c>
      <c r="BZ13" cm="1">
        <f t="array" aca="1" ref="BZ13" ca="1">IF( AND($G$7,NOT(ISBLANK($G13))), IF( _xll.IMDP("IR", $G13, BZ$8, Matrix!$D$6)=0, "", _xll.IMDP("IR", $G13, BZ$8, Matrix!$D$6)), "")</f>
        <v>3.3170000000000002</v>
      </c>
      <c r="CA13" cm="1">
        <f t="array" aca="1" ref="CA13" ca="1">IF( AND($G$7,NOT(ISBLANK($G13))), IF( _xll.IMDP("IR", $G13, CA$8, Matrix!$D$6)=0, "", _xll.IMDP("IR", $G13, CA$8, Matrix!$D$6)), "")</f>
        <v>3.2530000000000001</v>
      </c>
      <c r="CB13" cm="1">
        <f t="array" aca="1" ref="CB13" ca="1">IF( AND($G$7,NOT(ISBLANK($G13))), IF( _xll.IMDP("IR", $G13, CB$8, Matrix!$D$6)=0, "", _xll.IMDP("IR", $G13, CB$8, Matrix!$D$6)), "")</f>
        <v>3.177</v>
      </c>
      <c r="CC13" cm="1">
        <f t="array" aca="1" ref="CC13" ca="1">IF( AND($G$7,NOT(ISBLANK($G13))), IF( _xll.IMDP("IR", $G13, CC$8, Matrix!$D$6)=0, "", _xll.IMDP("IR", $G13, CC$8, Matrix!$D$6)), "")</f>
        <v>3.149</v>
      </c>
      <c r="CD13" cm="1">
        <f t="array" aca="1" ref="CD13" ca="1">IF( AND($G$7,NOT(ISBLANK($G13))), IF( _xll.IMDP("IR", $G13, CD$8, Matrix!$D$6)=0, "", _xll.IMDP("IR", $G13, CD$8, Matrix!$D$6)), "")</f>
        <v>3.1480000000000001</v>
      </c>
      <c r="CE13" cm="1">
        <f t="array" aca="1" ref="CE13" ca="1">IF( AND($G$7,NOT(ISBLANK($G13))), IF( _xll.IMDP("IR", $G13, CE$8, Matrix!$D$6)=0, "", _xll.IMDP("IR", $G13, CE$8, Matrix!$D$6)), "")</f>
        <v>3.1219999999999999</v>
      </c>
      <c r="CF13" cm="1">
        <f t="array" aca="1" ref="CF13" ca="1">IF( AND($G$7,NOT(ISBLANK($G13))), IF( _xll.IMDP("IR", $G13, CF$8, Matrix!$D$6)=0, "", _xll.IMDP("IR", $G13, CF$8, Matrix!$D$6)), "")</f>
        <v>3.13</v>
      </c>
      <c r="CG13" cm="1">
        <f t="array" aca="1" ref="CG13" ca="1">IF( AND($G$7,NOT(ISBLANK($G13))), IF( _xll.IMDP("IR", $G13, CG$8, Matrix!$D$6)=0, "", _xll.IMDP("IR", $G13, CG$8, Matrix!$D$6)), "")</f>
        <v>3.1219999999999999</v>
      </c>
      <c r="CH13" cm="1">
        <f t="array" aca="1" ref="CH13" ca="1">IF( AND($G$7,NOT(ISBLANK($G13))), IF( _xll.IMDP("IR", $G13, CH$8, Matrix!$D$6)=0, "", _xll.IMDP("IR", $G13, CH$8, Matrix!$D$6)), "")</f>
        <v>3.1070000000000002</v>
      </c>
      <c r="CI13" cm="1">
        <f t="array" aca="1" ref="CI13" ca="1">IF( AND($G$7,NOT(ISBLANK($G13))), IF( _xll.IMDP("IR", $G13, CI$8, Matrix!$D$6)=0, "", _xll.IMDP("IR", $G13, CI$8, Matrix!$D$6)), "")</f>
        <v>3.3039999999999998</v>
      </c>
      <c r="CJ13" t="str" cm="1">
        <f t="array" aca="1" ref="CJ13" ca="1">IF( AND($G$7,NOT(ISBLANK($G13))), IF( _xll.IMDP("IR", $G13, CJ$8, Matrix!$D$6)=0, "", _xll.IMDP("IR", $G13, CJ$8, Matrix!$D$6)), "")</f>
        <v/>
      </c>
      <c r="CK13" t="str" cm="1">
        <f t="array" aca="1" ref="CK13" ca="1">IF( AND($G$7,NOT(ISBLANK($G13))), IF( _xll.IMDP("IR", $G13, CK$8, Matrix!$D$6)=0, "", _xll.IMDP("IR", $G13, CK$8, Matrix!$D$6)), "")</f>
        <v/>
      </c>
      <c r="CL13" t="str" cm="1">
        <f t="array" aca="1" ref="CL13" ca="1">IF( AND($G$7,NOT(ISBLANK($G13))), IF( _xll.IMDP("IR", $G13, CL$8, Matrix!$D$6)=0, "", _xll.IMDP("IR", $G13, CL$8, Matrix!$D$6)), "")</f>
        <v/>
      </c>
      <c r="CM13" t="str" cm="1">
        <f t="array" aca="1" ref="CM13" ca="1">IF( AND($G$7,NOT(ISBLANK($G13))), IF( _xll.IMDP("IR", $G13, CM$8, Matrix!$D$6)=0, "", _xll.IMDP("IR", $G13, CM$8, Matrix!$D$6)), "")</f>
        <v/>
      </c>
      <c r="CN13" t="str" cm="1">
        <f t="array" aca="1" ref="CN13" ca="1">IF( AND($G$7,NOT(ISBLANK($G13))), IF( _xll.IMDP("IR", $G13, CN$8, Matrix!$D$6)=0, "", _xll.IMDP("IR", $G13, CN$8, Matrix!$D$6)), "")</f>
        <v/>
      </c>
      <c r="CO13" cm="1">
        <f t="array" aca="1" ref="CO13" ca="1">IF( AND($H$7,NOT(ISBLANK($H13))), IF( _xll.IMDP("IR", $H13, CO$8, Matrix!$D$6)=0, "", _xll.IMDP("IR", $H13, CO$8, Matrix!$D$6)), "")</f>
        <v>3.41</v>
      </c>
      <c r="CP13" cm="1">
        <f t="array" aca="1" ref="CP13" ca="1">IF( AND($H$7,NOT(ISBLANK($H13))), IF( _xll.IMDP("IR", $H13, CP$8, Matrix!$D$6)=0, "", _xll.IMDP("IR", $H13, CP$8, Matrix!$D$6)), "")</f>
        <v>3.335</v>
      </c>
      <c r="CQ13" cm="1">
        <f t="array" aca="1" ref="CQ13" ca="1">IF( AND($H$7,NOT(ISBLANK($H13))), IF( _xll.IMDP("IR", $H13, CQ$8, Matrix!$D$6)=0, "", _xll.IMDP("IR", $H13, CQ$8, Matrix!$D$6)), "")</f>
        <v>3.2549999999999999</v>
      </c>
      <c r="CR13" cm="1">
        <f t="array" aca="1" ref="CR13" ca="1">IF( AND($H$7,NOT(ISBLANK($H13))), IF( _xll.IMDP("IR", $H13, CR$8, Matrix!$D$6)=0, "", _xll.IMDP("IR", $H13, CR$8, Matrix!$D$6)), "")</f>
        <v>3.1720000000000002</v>
      </c>
      <c r="CS13" cm="1">
        <f t="array" aca="1" ref="CS13" ca="1">IF( AND($H$7,NOT(ISBLANK($H13))), IF( _xll.IMDP("IR", $H13, CS$8, Matrix!$D$6)=0, "", _xll.IMDP("IR", $H13, CS$8, Matrix!$D$6)), "")</f>
        <v>3.1629999999999998</v>
      </c>
      <c r="CT13" cm="1">
        <f t="array" aca="1" ref="CT13" ca="1">IF( AND($H$7,NOT(ISBLANK($H13))), IF( _xll.IMDP("IR", $H13, CT$8, Matrix!$D$6)=0, "", _xll.IMDP("IR", $H13, CT$8, Matrix!$D$6)), "")</f>
        <v>3.1469999999999998</v>
      </c>
      <c r="CU13" cm="1">
        <f t="array" aca="1" ref="CU13" ca="1">IF( AND($H$7,NOT(ISBLANK($H13))), IF( _xll.IMDP("IR", $H13, CU$8, Matrix!$D$6)=0, "", _xll.IMDP("IR", $H13, CU$8, Matrix!$D$6)), "")</f>
        <v>3.1150000000000002</v>
      </c>
      <c r="CV13" cm="1">
        <f t="array" aca="1" ref="CV13" ca="1">IF( AND($H$7,NOT(ISBLANK($H13))), IF( _xll.IMDP("IR", $H13, CV$8, Matrix!$D$6)=0, "", _xll.IMDP("IR", $H13, CV$8, Matrix!$D$6)), "")</f>
        <v>3.1269999999999998</v>
      </c>
      <c r="CW13" cm="1">
        <f t="array" aca="1" ref="CW13" ca="1">IF( AND($H$7,NOT(ISBLANK($H13))), IF( _xll.IMDP("IR", $H13, CW$8, Matrix!$D$6)=0, "", _xll.IMDP("IR", $H13, CW$8, Matrix!$D$6)), "")</f>
        <v>3.121</v>
      </c>
      <c r="CX13" cm="1">
        <f t="array" aca="1" ref="CX13" ca="1">IF( AND($H$7,NOT(ISBLANK($H13))), IF( _xll.IMDP("IR", $H13, CX$8, Matrix!$D$6)=0, "", _xll.IMDP("IR", $H13, CX$8, Matrix!$D$6)), "")</f>
        <v>3.1080000000000001</v>
      </c>
      <c r="CY13" t="str" cm="1">
        <f t="array" aca="1" ref="CY13" ca="1">IF( AND($H$7,NOT(ISBLANK($H13))), IF( _xll.IMDP("IR", $H13, CY$8, Matrix!$D$6)=0, "", _xll.IMDP("IR", $H13, CY$8, Matrix!$D$6)), "")</f>
        <v/>
      </c>
      <c r="CZ13" t="str" cm="1">
        <f t="array" aca="1" ref="CZ13" ca="1">IF( AND($H$7,NOT(ISBLANK($H13))), IF( _xll.IMDP("IR", $H13, CZ$8, Matrix!$D$6)=0, "", _xll.IMDP("IR", $H13, CZ$8, Matrix!$D$6)), "")</f>
        <v/>
      </c>
      <c r="DA13" t="str" cm="1">
        <f t="array" aca="1" ref="DA13" ca="1">IF( AND($H$7,NOT(ISBLANK($H13))), IF( _xll.IMDP("IR", $H13, DA$8, Matrix!$D$6)=0, "", _xll.IMDP("IR", $H13, DA$8, Matrix!$D$6)), "")</f>
        <v/>
      </c>
      <c r="DB13" t="str" cm="1">
        <f t="array" aca="1" ref="DB13" ca="1">IF( AND($H$7,NOT(ISBLANK($H13))), IF( _xll.IMDP("IR", $H13, DB$8, Matrix!$D$6)=0, "", _xll.IMDP("IR", $H13, DB$8, Matrix!$D$6)), "")</f>
        <v/>
      </c>
      <c r="DC13" t="str" cm="1">
        <f t="array" aca="1" ref="DC13" ca="1">IF( AND($H$7,NOT(ISBLANK($H13))), IF( _xll.IMDP("IR", $H13, DC$8, Matrix!$D$6)=0, "", _xll.IMDP("IR", $H13, DC$8, Matrix!$D$6)), "")</f>
        <v/>
      </c>
      <c r="DD13" t="str" cm="1">
        <f t="array" aca="1" ref="DD13" ca="1">IF( AND($H$7,NOT(ISBLANK($H13))), IF( _xll.IMDP("IR", $H13, DD$8, Matrix!$D$6)=0, "", _xll.IMDP("IR", $H13, DD$8, Matrix!$D$6)), "")</f>
        <v/>
      </c>
    </row>
    <row r="14" spans="2:108">
      <c r="B14" t="s">
        <v>83</v>
      </c>
      <c r="C14" t="s">
        <v>157</v>
      </c>
      <c r="D14" t="s">
        <v>234</v>
      </c>
      <c r="E14" t="s">
        <v>297</v>
      </c>
      <c r="F14" t="s">
        <v>360</v>
      </c>
      <c r="G14" t="s">
        <v>426</v>
      </c>
      <c r="H14" t="s">
        <v>489</v>
      </c>
      <c r="M14" s="21">
        <f t="shared" ca="1" si="1"/>
        <v>3.4099753859251578</v>
      </c>
      <c r="N14" s="21">
        <f t="shared" ca="1" si="2"/>
        <v>3.3349832536322066</v>
      </c>
      <c r="O14" s="21">
        <f t="shared" ca="1" si="3"/>
        <v>3.2553989805948071</v>
      </c>
      <c r="P14" s="21">
        <f t="shared" ca="1" si="4"/>
        <v>3.171995643852966</v>
      </c>
      <c r="Q14" s="21">
        <f t="shared" ca="1" si="5"/>
        <v>3.1633889517910312</v>
      </c>
      <c r="R14" s="21">
        <f t="shared" ca="1" si="6"/>
        <v>3.1485867683986686</v>
      </c>
      <c r="S14" s="21">
        <f t="shared" ca="1" si="7"/>
        <v>3.1153344017631475</v>
      </c>
      <c r="T14" s="21">
        <f t="shared" ca="1" si="8"/>
        <v>3.1269611637561492</v>
      </c>
      <c r="U14" s="21">
        <f t="shared" ca="1" si="9"/>
        <v>3.1215863568556288</v>
      </c>
      <c r="V14" s="21">
        <f t="shared" ca="1" si="10"/>
        <v>3.1083916108650027</v>
      </c>
      <c r="W14" s="21">
        <f t="shared" ca="1" si="11"/>
        <v>3.2914748373264944</v>
      </c>
      <c r="X14" s="21">
        <f t="shared" ca="1" si="12"/>
        <v>3.3394457930627377</v>
      </c>
      <c r="Y14" s="21">
        <f t="shared" ca="1" si="13"/>
        <v>3.3197661001426062</v>
      </c>
      <c r="Z14" s="21">
        <f t="shared" ca="1" si="14"/>
        <v>3.3812425719332331</v>
      </c>
      <c r="AA14" s="21" t="e">
        <f t="shared" ca="1" si="15"/>
        <v>#NUM!</v>
      </c>
      <c r="AB14" s="21" t="e">
        <f t="shared" ca="1" si="16"/>
        <v>#NUM!</v>
      </c>
      <c r="AC14" cm="1">
        <f t="array" aca="1" ref="AC14" ca="1">IF( AND($D$7,NOT(ISBLANK($D14))), IF(_xll.IMDP("IR", $D14, AC$8, Matrix!$D$6)=0,"",_xll.IMDP("IR", $D14, AC$8, Matrix!$D$6)), "")</f>
        <v>3.4039999999999999</v>
      </c>
      <c r="AD14" cm="1">
        <f t="array" aca="1" ref="AD14" ca="1">IF( AND($D$7,NOT(ISBLANK($D14))), IF(_xll.IMDP("IR", $D14, AD$8, Matrix!$D$6)=0,"",_xll.IMDP("IR", $D14, AD$8, Matrix!$D$6)), "")</f>
        <v>3.3380000000000001</v>
      </c>
      <c r="AE14" cm="1">
        <f t="array" aca="1" ref="AE14" ca="1">IF( AND($D$7,NOT(ISBLANK($D14))), IF(_xll.IMDP("IR", $D14, AE$8, Matrix!$D$6)=0,"",_xll.IMDP("IR", $D14, AE$8, Matrix!$D$6)), "")</f>
        <v>3.2530000000000001</v>
      </c>
      <c r="AF14" cm="1">
        <f t="array" aca="1" ref="AF14" ca="1">IF( AND($D$7,NOT(ISBLANK($D14))), IF(_xll.IMDP("IR", $D14, AF$8, Matrix!$D$6)=0,"",_xll.IMDP("IR", $D14, AF$8, Matrix!$D$6)), "")</f>
        <v>3.1749999999999998</v>
      </c>
      <c r="AG14" cm="1">
        <f t="array" aca="1" ref="AG14" ca="1">IF( AND($D$7,NOT(ISBLANK($D14))), IF(_xll.IMDP("IR", $D14, AG$8, Matrix!$D$6)=0,"",_xll.IMDP("IR", $D14, AG$8, Matrix!$D$6)), "")</f>
        <v>3.1659999999999999</v>
      </c>
      <c r="AH14" cm="1">
        <f t="array" aca="1" ref="AH14" ca="1">IF( AND($D$7,NOT(ISBLANK($D14))), IF(_xll.IMDP("IR", $D14, AH$8, Matrix!$D$6)=0,"",_xll.IMDP("IR", $D14, AH$8, Matrix!$D$6)), "")</f>
        <v>3.137</v>
      </c>
      <c r="AI14" cm="1">
        <f t="array" aca="1" ref="AI14" ca="1">IF( AND($D$7,NOT(ISBLANK($D14))), IF(_xll.IMDP("IR", $D14, AI$8, Matrix!$D$6)=0,"",_xll.IMDP("IR", $D14, AI$8, Matrix!$D$6)), "")</f>
        <v>3.113</v>
      </c>
      <c r="AJ14" cm="1">
        <f t="array" aca="1" ref="AJ14" ca="1">IF( AND($D$7,NOT(ISBLANK($D14))), IF(_xll.IMDP("IR", $D14, AJ$8, Matrix!$D$6)=0,"",_xll.IMDP("IR", $D14, AJ$8, Matrix!$D$6)), "")</f>
        <v>3.125</v>
      </c>
      <c r="AK14" cm="1">
        <f t="array" aca="1" ref="AK14" ca="1">IF( AND($D$7,NOT(ISBLANK($D14))), IF(_xll.IMDP("IR", $D14, AK$8, Matrix!$D$6)=0,"",_xll.IMDP("IR", $D14, AK$8, Matrix!$D$6)), "")</f>
        <v>3.1320000000000001</v>
      </c>
      <c r="AL14" cm="1">
        <f t="array" aca="1" ref="AL14" ca="1">IF( AND($D$7,NOT(ISBLANK($D14))), IF(_xll.IMDP("IR", $D14, AL$8, Matrix!$D$6)=0,"",_xll.IMDP("IR", $D14, AL$8, Matrix!$D$6)), "")</f>
        <v>3.101</v>
      </c>
      <c r="AM14" cm="1">
        <f t="array" aca="1" ref="AM14" ca="1">IF( AND($D$7,NOT(ISBLANK($D14))), IF(_xll.IMDP("IR", $D14, AM$8, Matrix!$D$6)=0,"",_xll.IMDP("IR", $D14, AM$8, Matrix!$D$6)), "")</f>
        <v>3.2970000000000002</v>
      </c>
      <c r="AN14" cm="1">
        <f t="array" aca="1" ref="AN14" ca="1">IF( AND($D$7,NOT(ISBLANK($D14))), IF(_xll.IMDP("IR", $D14, AN$8, Matrix!$D$6)=0,"",_xll.IMDP("IR", $D14, AN$8, Matrix!$D$6)), "")</f>
        <v>3.3530000000000002</v>
      </c>
      <c r="AO14" cm="1">
        <f t="array" aca="1" ref="AO14" ca="1">IF( AND($D$7,NOT(ISBLANK($D14))), IF(_xll.IMDP("IR", $D14, AO$8, Matrix!$D$6)=0,"",_xll.IMDP("IR", $D14, AO$8, Matrix!$D$6)), "")</f>
        <v>3.2629999999999999</v>
      </c>
      <c r="AP14" cm="1">
        <f t="array" aca="1" ref="AP14" ca="1">IF( AND($D$7,NOT(ISBLANK($D14))), IF(_xll.IMDP("IR", $D14, AP$8, Matrix!$D$6)=0,"",_xll.IMDP("IR", $D14, AP$8, Matrix!$D$6)), "")</f>
        <v>3.3809999999999998</v>
      </c>
      <c r="AQ14" t="str" cm="1">
        <f t="array" aca="1" ref="AQ14" ca="1">IF( AND($D$7,NOT(ISBLANK($D14))), IF(_xll.IMDP("IR", $D14, AQ$8, Matrix!$D$6)=0,"",_xll.IMDP("IR", $D14, AQ$8, Matrix!$D$6)), "")</f>
        <v/>
      </c>
      <c r="AR14" t="str" cm="1">
        <f t="array" aca="1" ref="AR14" ca="1">IF( AND($D$7,NOT(ISBLANK($D14))), IF(_xll.IMDP("IR", $D14, AR$8, Matrix!$D$6)=0,"",_xll.IMDP("IR", $D14, AR$8, Matrix!$D$6)), "")</f>
        <v/>
      </c>
      <c r="AS14" cm="1">
        <f t="array" aca="1" ref="AS14" ca="1">IF( AND($E$7,NOT(ISBLANK($E14))), IF( _xll.IMDP("IR", $E14, AS$8, Matrix!$D$6)=0,"",_xll.IMDP("IR", $E14, AS$8, Matrix!$D$6)), "")</f>
        <v>3.4009999999999998</v>
      </c>
      <c r="AT14" cm="1">
        <f t="array" aca="1" ref="AT14" ca="1">IF( AND($E$7,NOT(ISBLANK($E14))), IF( _xll.IMDP("IR", $E14, AT$8, Matrix!$D$6)=0,"",_xll.IMDP("IR", $E14, AT$8, Matrix!$D$6)), "")</f>
        <v>3.335</v>
      </c>
      <c r="AU14" cm="1">
        <f t="array" aca="1" ref="AU14" ca="1">IF( AND($E$7,NOT(ISBLANK($E14))), IF( _xll.IMDP("IR", $E14, AU$8, Matrix!$D$6)=0,"",_xll.IMDP("IR", $E14, AU$8, Matrix!$D$6)), "")</f>
        <v>3.2559999999999998</v>
      </c>
      <c r="AV14" cm="1">
        <f t="array" aca="1" ref="AV14" ca="1">IF( AND($E$7,NOT(ISBLANK($E14))), IF( _xll.IMDP("IR", $E14, AV$8, Matrix!$D$6)=0,"",_xll.IMDP("IR", $E14, AV$8, Matrix!$D$6)), "")</f>
        <v>3.1739999999999999</v>
      </c>
      <c r="AW14" cm="1">
        <f t="array" aca="1" ref="AW14" ca="1">IF( AND($E$7,NOT(ISBLANK($E14))), IF( _xll.IMDP("IR", $E14, AW$8, Matrix!$D$6)=0,"",_xll.IMDP("IR", $E14, AW$8, Matrix!$D$6)), "")</f>
        <v>3.1640000000000001</v>
      </c>
      <c r="AX14" cm="1">
        <f t="array" aca="1" ref="AX14" ca="1">IF( AND($E$7,NOT(ISBLANK($E14))), IF( _xll.IMDP("IR", $E14, AX$8, Matrix!$D$6)=0,"",_xll.IMDP("IR", $E14, AX$8, Matrix!$D$6)), "")</f>
        <v>3.165</v>
      </c>
      <c r="AY14" cm="1">
        <f t="array" aca="1" ref="AY14" ca="1">IF( AND($E$7,NOT(ISBLANK($E14))), IF( _xll.IMDP("IR", $E14, AY$8, Matrix!$D$6)=0,"",_xll.IMDP("IR", $E14, AY$8, Matrix!$D$6)), "")</f>
        <v>3.145</v>
      </c>
      <c r="AZ14" cm="1">
        <f t="array" aca="1" ref="AZ14" ca="1">IF( AND($E$7,NOT(ISBLANK($E14))), IF( _xll.IMDP("IR", $E14, AZ$8, Matrix!$D$6)=0,"",_xll.IMDP("IR", $E14, AZ$8, Matrix!$D$6)), "")</f>
        <v>3.1509999999999998</v>
      </c>
      <c r="BA14" cm="1">
        <f t="array" aca="1" ref="BA14" ca="1">IF( AND($E$7,NOT(ISBLANK($E14))), IF( _xll.IMDP("IR", $E14, BA$8, Matrix!$D$6)=0,"",_xll.IMDP("IR", $E14, BA$8, Matrix!$D$6)), "")</f>
        <v>3.1280000000000001</v>
      </c>
      <c r="BB14" cm="1">
        <f t="array" aca="1" ref="BB14" ca="1">IF( AND($E$7,NOT(ISBLANK($E14))), IF( _xll.IMDP("IR", $E14, BB$8, Matrix!$D$6)=0,"",_xll.IMDP("IR", $E14, BB$8, Matrix!$D$6)), "")</f>
        <v>3.1040000000000001</v>
      </c>
      <c r="BC14" cm="1">
        <f t="array" aca="1" ref="BC14" ca="1">IF( AND($E$7,NOT(ISBLANK($E14))), IF( _xll.IMDP("IR", $E14, BC$8, Matrix!$D$6)=0,"",_xll.IMDP("IR", $E14, BC$8, Matrix!$D$6)), "")</f>
        <v>3.2949999999999999</v>
      </c>
      <c r="BD14" cm="1">
        <f t="array" aca="1" ref="BD14" ca="1">IF( AND($E$7,NOT(ISBLANK($E14))), IF( _xll.IMDP("IR", $E14, BD$8, Matrix!$D$6)=0,"",_xll.IMDP("IR", $E14, BD$8, Matrix!$D$6)), "")</f>
        <v>3.359</v>
      </c>
      <c r="BE14" cm="1">
        <f t="array" aca="1" ref="BE14" ca="1">IF( AND($E$7,NOT(ISBLANK($E14))), IF( _xll.IMDP("IR", $E14, BE$8, Matrix!$D$6)=0,"",_xll.IMDP("IR", $E14, BE$8, Matrix!$D$6)), "")</f>
        <v>3.3039999999999998</v>
      </c>
      <c r="BF14" cm="1">
        <f t="array" aca="1" ref="BF14" ca="1">IF( AND($E$7,NOT(ISBLANK($E14))), IF( _xll.IMDP("IR", $E14, BF$8, Matrix!$D$6)=0,"",_xll.IMDP("IR", $E14, BF$8, Matrix!$D$6)), "")</f>
        <v>3.3889999999999998</v>
      </c>
      <c r="BG14" t="str" cm="1">
        <f t="array" aca="1" ref="BG14" ca="1">IF( AND($E$7,NOT(ISBLANK($E14))), IF( _xll.IMDP("IR", $E14, BG$8, Matrix!$D$6)=0,"",_xll.IMDP("IR", $E14, BG$8, Matrix!$D$6)), "")</f>
        <v/>
      </c>
      <c r="BH14" t="str" cm="1">
        <f t="array" aca="1" ref="BH14" ca="1">IF( AND($E$7,NOT(ISBLANK($E14))), IF( _xll.IMDP("IR", $E14, BH$8, Matrix!$D$6)=0,"",_xll.IMDP("IR", $E14, BH$8, Matrix!$D$6)), "")</f>
        <v/>
      </c>
      <c r="BI14" cm="1">
        <f t="array" aca="1" ref="BI14" ca="1">IF( AND($F$7,NOT(ISBLANK($F14))), IF( _xll.IMDP("IR", $F14, BI$8, Matrix!$D$6)=0,"",_xll.IMDP("IR", $F14, BI$8, Matrix!$D$6)), "")</f>
        <v>3.4350000000000001</v>
      </c>
      <c r="BJ14" cm="1">
        <f t="array" aca="1" ref="BJ14" ca="1">IF( AND($F$7,NOT(ISBLANK($F14))), IF( _xll.IMDP("IR", $F14, BJ$8, Matrix!$D$6)=0,"",_xll.IMDP("IR", $F14, BJ$8, Matrix!$D$6)), "")</f>
        <v>3.35</v>
      </c>
      <c r="BK14" cm="1">
        <f t="array" aca="1" ref="BK14" ca="1">IF( AND($F$7,NOT(ISBLANK($F14))), IF( _xll.IMDP("IR", $F14, BK$8, Matrix!$D$6)=0,"",_xll.IMDP("IR", $F14, BK$8, Matrix!$D$6)), "")</f>
        <v>3.26</v>
      </c>
      <c r="BL14" cm="1">
        <f t="array" aca="1" ref="BL14" ca="1">IF( AND($F$7,NOT(ISBLANK($F14))), IF( _xll.IMDP("IR", $F14, BL$8, Matrix!$D$6)=0,"",_xll.IMDP("IR", $F14, BL$8, Matrix!$D$6)), "")</f>
        <v>3.1619999999999999</v>
      </c>
      <c r="BM14" cm="1">
        <f t="array" aca="1" ref="BM14" ca="1">IF( AND($F$7,NOT(ISBLANK($F14))), IF( _xll.IMDP("IR", $F14, BM$8, Matrix!$D$6)=0,"",_xll.IMDP("IR", $F14, BM$8, Matrix!$D$6)), "")</f>
        <v>3.1749999999999998</v>
      </c>
      <c r="BN14" cm="1">
        <f t="array" aca="1" ref="BN14" ca="1">IF( AND($F$7,NOT(ISBLANK($F14))), IF( _xll.IMDP("IR", $F14, BN$8, Matrix!$D$6)=0,"",_xll.IMDP("IR", $F14, BN$8, Matrix!$D$6)), "")</f>
        <v>3.145</v>
      </c>
      <c r="BO14" cm="1">
        <f t="array" aca="1" ref="BO14" ca="1">IF( AND($F$7,NOT(ISBLANK($F14))), IF( _xll.IMDP("IR", $F14, BO$8, Matrix!$D$6)=0,"",_xll.IMDP("IR", $F14, BO$8, Matrix!$D$6)), "")</f>
        <v>3.0819999999999999</v>
      </c>
      <c r="BP14" cm="1">
        <f t="array" aca="1" ref="BP14" ca="1">IF( AND($F$7,NOT(ISBLANK($F14))), IF( _xll.IMDP("IR", $F14, BP$8, Matrix!$D$6)=0,"",_xll.IMDP("IR", $F14, BP$8, Matrix!$D$6)), "")</f>
        <v>3.1019999999999999</v>
      </c>
      <c r="BQ14" cm="1">
        <f t="array" aca="1" ref="BQ14" ca="1">IF( AND($F$7,NOT(ISBLANK($F14))), IF( _xll.IMDP("IR", $F14, BQ$8, Matrix!$D$6)=0,"",_xll.IMDP("IR", $F14, BQ$8, Matrix!$D$6)), "")</f>
        <v>3.105</v>
      </c>
      <c r="BR14" cm="1">
        <f t="array" aca="1" ref="BR14" ca="1">IF( AND($F$7,NOT(ISBLANK($F14))), IF( _xll.IMDP("IR", $F14, BR$8, Matrix!$D$6)=0,"",_xll.IMDP("IR", $F14, BR$8, Matrix!$D$6)), "")</f>
        <v>3.1219999999999999</v>
      </c>
      <c r="BS14" cm="1">
        <f t="array" aca="1" ref="BS14" ca="1">IF( AND($F$7,NOT(ISBLANK($F14))), IF( _xll.IMDP("IR", $F14, BS$8, Matrix!$D$6)=0,"",_xll.IMDP("IR", $F14, BS$8, Matrix!$D$6)), "")</f>
        <v>3.27</v>
      </c>
      <c r="BT14" cm="1">
        <f t="array" aca="1" ref="BT14" ca="1">IF( AND($F$7,NOT(ISBLANK($F14))), IF( _xll.IMDP("IR", $F14, BT$8, Matrix!$D$6)=0,"",_xll.IMDP("IR", $F14, BT$8, Matrix!$D$6)), "")</f>
        <v>3.31</v>
      </c>
      <c r="BU14" cm="1">
        <f t="array" aca="1" ref="BU14" ca="1">IF( AND($F$7,NOT(ISBLANK($F14))), IF( _xll.IMDP("IR", $F14, BU$8, Matrix!$D$6)=0,"",_xll.IMDP("IR", $F14, BU$8, Matrix!$D$6)), "")</f>
        <v>3.36</v>
      </c>
      <c r="BV14" cm="1">
        <f t="array" aca="1" ref="BV14" ca="1">IF( AND($F$7,NOT(ISBLANK($F14))), IF( _xll.IMDP("IR", $F14, BV$8, Matrix!$D$6)=0,"",_xll.IMDP("IR", $F14, BV$8, Matrix!$D$6)), "")</f>
        <v>3.3849999999999998</v>
      </c>
      <c r="BW14" t="str" cm="1">
        <f t="array" aca="1" ref="BW14" ca="1">IF( AND($F$7,NOT(ISBLANK($F14))), IF( _xll.IMDP("IR", $F14, BW$8, Matrix!$D$6)=0,"",_xll.IMDP("IR", $F14, BW$8, Matrix!$D$6)), "")</f>
        <v/>
      </c>
      <c r="BX14" t="str" cm="1">
        <f t="array" aca="1" ref="BX14" ca="1">IF( AND($F$7,NOT(ISBLANK($F14))), IF( _xll.IMDP("IR", $F14, BX$8, Matrix!$D$6)=0,"",_xll.IMDP("IR", $F14, BX$8, Matrix!$D$6)), "")</f>
        <v/>
      </c>
      <c r="BY14" cm="1">
        <f t="array" aca="1" ref="BY14" ca="1">IF( AND($G$7,NOT(ISBLANK($G14))), IF( _xll.IMDP("IR", $G14, BY$8, Matrix!$D$6)=0, "", _xll.IMDP("IR", $G14, BY$8, Matrix!$D$6)), "")</f>
        <v>3.4</v>
      </c>
      <c r="BZ14" cm="1">
        <f t="array" aca="1" ref="BZ14" ca="1">IF( AND($G$7,NOT(ISBLANK($G14))), IF( _xll.IMDP("IR", $G14, BZ$8, Matrix!$D$6)=0, "", _xll.IMDP("IR", $G14, BZ$8, Matrix!$D$6)), "")</f>
        <v>3.3170000000000002</v>
      </c>
      <c r="CA14" cm="1">
        <f t="array" aca="1" ref="CA14" ca="1">IF( AND($G$7,NOT(ISBLANK($G14))), IF( _xll.IMDP("IR", $G14, CA$8, Matrix!$D$6)=0, "", _xll.IMDP("IR", $G14, CA$8, Matrix!$D$6)), "")</f>
        <v>3.2530000000000001</v>
      </c>
      <c r="CB14" cm="1">
        <f t="array" aca="1" ref="CB14" ca="1">IF( AND($G$7,NOT(ISBLANK($G14))), IF( _xll.IMDP("IR", $G14, CB$8, Matrix!$D$6)=0, "", _xll.IMDP("IR", $G14, CB$8, Matrix!$D$6)), "")</f>
        <v>3.177</v>
      </c>
      <c r="CC14" cm="1">
        <f t="array" aca="1" ref="CC14" ca="1">IF( AND($G$7,NOT(ISBLANK($G14))), IF( _xll.IMDP("IR", $G14, CC$8, Matrix!$D$6)=0, "", _xll.IMDP("IR", $G14, CC$8, Matrix!$D$6)), "")</f>
        <v>3.149</v>
      </c>
      <c r="CD14" cm="1">
        <f t="array" aca="1" ref="CD14" ca="1">IF( AND($G$7,NOT(ISBLANK($G14))), IF( _xll.IMDP("IR", $G14, CD$8, Matrix!$D$6)=0, "", _xll.IMDP("IR", $G14, CD$8, Matrix!$D$6)), "")</f>
        <v>3.1480000000000001</v>
      </c>
      <c r="CE14" cm="1">
        <f t="array" aca="1" ref="CE14" ca="1">IF( AND($G$7,NOT(ISBLANK($G14))), IF( _xll.IMDP("IR", $G14, CE$8, Matrix!$D$6)=0, "", _xll.IMDP("IR", $G14, CE$8, Matrix!$D$6)), "")</f>
        <v>3.1219999999999999</v>
      </c>
      <c r="CF14" cm="1">
        <f t="array" aca="1" ref="CF14" ca="1">IF( AND($G$7,NOT(ISBLANK($G14))), IF( _xll.IMDP("IR", $G14, CF$8, Matrix!$D$6)=0, "", _xll.IMDP("IR", $G14, CF$8, Matrix!$D$6)), "")</f>
        <v>3.13</v>
      </c>
      <c r="CG14" cm="1">
        <f t="array" aca="1" ref="CG14" ca="1">IF( AND($G$7,NOT(ISBLANK($G14))), IF( _xll.IMDP("IR", $G14, CG$8, Matrix!$D$6)=0, "", _xll.IMDP("IR", $G14, CG$8, Matrix!$D$6)), "")</f>
        <v>3.1219999999999999</v>
      </c>
      <c r="CH14" cm="1">
        <f t="array" aca="1" ref="CH14" ca="1">IF( AND($G$7,NOT(ISBLANK($G14))), IF( _xll.IMDP("IR", $G14, CH$8, Matrix!$D$6)=0, "", _xll.IMDP("IR", $G14, CH$8, Matrix!$D$6)), "")</f>
        <v>3.1070000000000002</v>
      </c>
      <c r="CI14" cm="1">
        <f t="array" aca="1" ref="CI14" ca="1">IF( AND($G$7,NOT(ISBLANK($G14))), IF( _xll.IMDP("IR", $G14, CI$8, Matrix!$D$6)=0, "", _xll.IMDP("IR", $G14, CI$8, Matrix!$D$6)), "")</f>
        <v>3.3039999999999998</v>
      </c>
      <c r="CJ14" cm="1">
        <f t="array" aca="1" ref="CJ14" ca="1">IF( AND($G$7,NOT(ISBLANK($G14))), IF( _xll.IMDP("IR", $G14, CJ$8, Matrix!$D$6)=0, "", _xll.IMDP("IR", $G14, CJ$8, Matrix!$D$6)), "")</f>
        <v>3.3359999999999999</v>
      </c>
      <c r="CK14" cm="1">
        <f t="array" aca="1" ref="CK14" ca="1">IF( AND($G$7,NOT(ISBLANK($G14))), IF( _xll.IMDP("IR", $G14, CK$8, Matrix!$D$6)=0, "", _xll.IMDP("IR", $G14, CK$8, Matrix!$D$6)), "")</f>
        <v>3.3530000000000002</v>
      </c>
      <c r="CL14" cm="1">
        <f t="array" aca="1" ref="CL14" ca="1">IF( AND($G$7,NOT(ISBLANK($G14))), IF( _xll.IMDP("IR", $G14, CL$8, Matrix!$D$6)=0, "", _xll.IMDP("IR", $G14, CL$8, Matrix!$D$6)), "")</f>
        <v>3.37</v>
      </c>
      <c r="CM14" t="str" cm="1">
        <f t="array" aca="1" ref="CM14" ca="1">IF( AND($G$7,NOT(ISBLANK($G14))), IF( _xll.IMDP("IR", $G14, CM$8, Matrix!$D$6)=0, "", _xll.IMDP("IR", $G14, CM$8, Matrix!$D$6)), "")</f>
        <v/>
      </c>
      <c r="CN14" t="str" cm="1">
        <f t="array" aca="1" ref="CN14" ca="1">IF( AND($G$7,NOT(ISBLANK($G14))), IF( _xll.IMDP("IR", $G14, CN$8, Matrix!$D$6)=0, "", _xll.IMDP("IR", $G14, CN$8, Matrix!$D$6)), "")</f>
        <v/>
      </c>
      <c r="CO14" cm="1">
        <f t="array" aca="1" ref="CO14" ca="1">IF( AND($H$7,NOT(ISBLANK($H14))), IF( _xll.IMDP("IR", $H14, CO$8, Matrix!$D$6)=0, "", _xll.IMDP("IR", $H14, CO$8, Matrix!$D$6)), "")</f>
        <v>3.41</v>
      </c>
      <c r="CP14" cm="1">
        <f t="array" aca="1" ref="CP14" ca="1">IF( AND($H$7,NOT(ISBLANK($H14))), IF( _xll.IMDP("IR", $H14, CP$8, Matrix!$D$6)=0, "", _xll.IMDP("IR", $H14, CP$8, Matrix!$D$6)), "")</f>
        <v>3.335</v>
      </c>
      <c r="CQ14" cm="1">
        <f t="array" aca="1" ref="CQ14" ca="1">IF( AND($H$7,NOT(ISBLANK($H14))), IF( _xll.IMDP("IR", $H14, CQ$8, Matrix!$D$6)=0, "", _xll.IMDP("IR", $H14, CQ$8, Matrix!$D$6)), "")</f>
        <v>3.2549999999999999</v>
      </c>
      <c r="CR14" cm="1">
        <f t="array" aca="1" ref="CR14" ca="1">IF( AND($H$7,NOT(ISBLANK($H14))), IF( _xll.IMDP("IR", $H14, CR$8, Matrix!$D$6)=0, "", _xll.IMDP("IR", $H14, CR$8, Matrix!$D$6)), "")</f>
        <v>3.1720000000000002</v>
      </c>
      <c r="CS14" cm="1">
        <f t="array" aca="1" ref="CS14" ca="1">IF( AND($H$7,NOT(ISBLANK($H14))), IF( _xll.IMDP("IR", $H14, CS$8, Matrix!$D$6)=0, "", _xll.IMDP("IR", $H14, CS$8, Matrix!$D$6)), "")</f>
        <v>3.1629999999999998</v>
      </c>
      <c r="CT14" cm="1">
        <f t="array" aca="1" ref="CT14" ca="1">IF( AND($H$7,NOT(ISBLANK($H14))), IF( _xll.IMDP("IR", $H14, CT$8, Matrix!$D$6)=0, "", _xll.IMDP("IR", $H14, CT$8, Matrix!$D$6)), "")</f>
        <v>3.1480000000000001</v>
      </c>
      <c r="CU14" cm="1">
        <f t="array" aca="1" ref="CU14" ca="1">IF( AND($H$7,NOT(ISBLANK($H14))), IF( _xll.IMDP("IR", $H14, CU$8, Matrix!$D$6)=0, "", _xll.IMDP("IR", $H14, CU$8, Matrix!$D$6)), "")</f>
        <v>3.1150000000000002</v>
      </c>
      <c r="CV14" cm="1">
        <f t="array" aca="1" ref="CV14" ca="1">IF( AND($H$7,NOT(ISBLANK($H14))), IF( _xll.IMDP("IR", $H14, CV$8, Matrix!$D$6)=0, "", _xll.IMDP("IR", $H14, CV$8, Matrix!$D$6)), "")</f>
        <v>3.1269999999999998</v>
      </c>
      <c r="CW14" cm="1">
        <f t="array" aca="1" ref="CW14" ca="1">IF( AND($H$7,NOT(ISBLANK($H14))), IF( _xll.IMDP("IR", $H14, CW$8, Matrix!$D$6)=0, "", _xll.IMDP("IR", $H14, CW$8, Matrix!$D$6)), "")</f>
        <v>3.121</v>
      </c>
      <c r="CX14" cm="1">
        <f t="array" aca="1" ref="CX14" ca="1">IF( AND($H$7,NOT(ISBLANK($H14))), IF( _xll.IMDP("IR", $H14, CX$8, Matrix!$D$6)=0, "", _xll.IMDP("IR", $H14, CX$8, Matrix!$D$6)), "")</f>
        <v>3.1080000000000001</v>
      </c>
      <c r="CY14" t="str" cm="1">
        <f t="array" aca="1" ref="CY14" ca="1">IF( AND($H$7,NOT(ISBLANK($H14))), IF( _xll.IMDP("IR", $H14, CY$8, Matrix!$D$6)=0, "", _xll.IMDP("IR", $H14, CY$8, Matrix!$D$6)), "")</f>
        <v/>
      </c>
      <c r="CZ14" t="str" cm="1">
        <f t="array" aca="1" ref="CZ14" ca="1">IF( AND($H$7,NOT(ISBLANK($H14))), IF( _xll.IMDP("IR", $H14, CZ$8, Matrix!$D$6)=0, "", _xll.IMDP("IR", $H14, CZ$8, Matrix!$D$6)), "")</f>
        <v/>
      </c>
      <c r="DA14" t="str" cm="1">
        <f t="array" aca="1" ref="DA14" ca="1">IF( AND($H$7,NOT(ISBLANK($H14))), IF( _xll.IMDP("IR", $H14, DA$8, Matrix!$D$6)=0, "", _xll.IMDP("IR", $H14, DA$8, Matrix!$D$6)), "")</f>
        <v/>
      </c>
      <c r="DB14" t="str" cm="1">
        <f t="array" aca="1" ref="DB14" ca="1">IF( AND($H$7,NOT(ISBLANK($H14))), IF( _xll.IMDP("IR", $H14, DB$8, Matrix!$D$6)=0, "", _xll.IMDP("IR", $H14, DB$8, Matrix!$D$6)), "")</f>
        <v/>
      </c>
      <c r="DC14" t="str" cm="1">
        <f t="array" aca="1" ref="DC14" ca="1">IF( AND($H$7,NOT(ISBLANK($H14))), IF( _xll.IMDP("IR", $H14, DC$8, Matrix!$D$6)=0, "", _xll.IMDP("IR", $H14, DC$8, Matrix!$D$6)), "")</f>
        <v/>
      </c>
      <c r="DD14" t="str" cm="1">
        <f t="array" aca="1" ref="DD14" ca="1">IF( AND($H$7,NOT(ISBLANK($H14))), IF( _xll.IMDP("IR", $H14, DD$8, Matrix!$D$6)=0, "", _xll.IMDP("IR", $H14, DD$8, Matrix!$D$6)), "")</f>
        <v/>
      </c>
    </row>
    <row r="15" spans="2:108">
      <c r="B15" t="s">
        <v>88</v>
      </c>
      <c r="C15" t="s">
        <v>162</v>
      </c>
      <c r="D15" t="s">
        <v>239</v>
      </c>
      <c r="E15" t="s">
        <v>302</v>
      </c>
      <c r="F15" t="s">
        <v>365</v>
      </c>
      <c r="G15" t="s">
        <v>431</v>
      </c>
      <c r="H15" t="s">
        <v>493</v>
      </c>
      <c r="M15" s="21">
        <f t="shared" ref="M15:AB15" ca="1" si="17">CHOOSE( $N$7, AVERAGE(AC15,AS15,BI15,BY15,CO15), GEOMEAN(AC15,AS15,BI15,BY15,CO15) )</f>
        <v>3.387594891101835</v>
      </c>
      <c r="N15" s="21">
        <f t="shared" ca="1" si="17"/>
        <v>3.3109972792288684</v>
      </c>
      <c r="O15" s="21">
        <f t="shared" ca="1" si="17"/>
        <v>3.2335998391793281</v>
      </c>
      <c r="P15" s="21">
        <f t="shared" ca="1" si="17"/>
        <v>3.1805979511277664</v>
      </c>
      <c r="Q15" s="21">
        <f t="shared" ca="1" si="17"/>
        <v>3.137568049848706</v>
      </c>
      <c r="R15" s="21">
        <f t="shared" ca="1" si="17"/>
        <v>3.1199687193464301</v>
      </c>
      <c r="S15" s="21">
        <f t="shared" ca="1" si="17"/>
        <v>3.0855714730767247</v>
      </c>
      <c r="T15" s="21">
        <f t="shared" ca="1" si="17"/>
        <v>3.0739819528177086</v>
      </c>
      <c r="U15" s="21">
        <f t="shared" ca="1" si="17"/>
        <v>3.0663888751618593</v>
      </c>
      <c r="V15" s="21">
        <f t="shared" ca="1" si="17"/>
        <v>3.078387877542927</v>
      </c>
      <c r="W15" s="21">
        <f t="shared" ca="1" si="17"/>
        <v>3.0835866046972153</v>
      </c>
      <c r="X15" s="21">
        <f t="shared" ca="1" si="17"/>
        <v>3.0933885634785629</v>
      </c>
      <c r="Y15" s="21">
        <f t="shared" ca="1" si="17"/>
        <v>3.1061714889094665</v>
      </c>
      <c r="Z15" s="21">
        <f t="shared" ca="1" si="17"/>
        <v>3.0789906462569072</v>
      </c>
      <c r="AA15" s="21" t="e">
        <f t="shared" ca="1" si="17"/>
        <v>#NUM!</v>
      </c>
      <c r="AB15" s="21" t="e">
        <f t="shared" ca="1" si="17"/>
        <v>#NUM!</v>
      </c>
      <c r="AC15" cm="1">
        <f t="array" aca="1" ref="AC15" ca="1">IF( AND($D$7,NOT(ISBLANK($D15))), IF(_xll.IMDP("IR", $D15, AC$8, Matrix!$D$6)=0,"",_xll.IMDP("IR", $D15, AC$8, Matrix!$D$6)), "")</f>
        <v>3.3879999999999999</v>
      </c>
      <c r="AD15" cm="1">
        <f t="array" aca="1" ref="AD15" ca="1">IF( AND($D$7,NOT(ISBLANK($D15))), IF(_xll.IMDP("IR", $D15, AD$8, Matrix!$D$6)=0,"",_xll.IMDP("IR", $D15, AD$8, Matrix!$D$6)), "")</f>
        <v>3.3140000000000001</v>
      </c>
      <c r="AE15" cm="1">
        <f t="array" aca="1" ref="AE15" ca="1">IF( AND($D$7,NOT(ISBLANK($D15))), IF(_xll.IMDP("IR", $D15, AE$8, Matrix!$D$6)=0,"",_xll.IMDP("IR", $D15, AE$8, Matrix!$D$6)), "")</f>
        <v>3.234</v>
      </c>
      <c r="AF15" cm="1">
        <f t="array" aca="1" ref="AF15" ca="1">IF( AND($D$7,NOT(ISBLANK($D15))), IF(_xll.IMDP("IR", $D15, AF$8, Matrix!$D$6)=0,"",_xll.IMDP("IR", $D15, AF$8, Matrix!$D$6)), "")</f>
        <v>3.1869999999999998</v>
      </c>
      <c r="AG15" cm="1">
        <f t="array" aca="1" ref="AG15" ca="1">IF( AND($D$7,NOT(ISBLANK($D15))), IF(_xll.IMDP("IR", $D15, AG$8, Matrix!$D$6)=0,"",_xll.IMDP("IR", $D15, AG$8, Matrix!$D$6)), "")</f>
        <v>3.1429999999999998</v>
      </c>
      <c r="AH15" cm="1">
        <f t="array" aca="1" ref="AH15" ca="1">IF( AND($D$7,NOT(ISBLANK($D15))), IF(_xll.IMDP("IR", $D15, AH$8, Matrix!$D$6)=0,"",_xll.IMDP("IR", $D15, AH$8, Matrix!$D$6)), "")</f>
        <v>3.1179999999999999</v>
      </c>
      <c r="AI15" cm="1">
        <f t="array" aca="1" ref="AI15" ca="1">IF( AND($D$7,NOT(ISBLANK($D15))), IF(_xll.IMDP("IR", $D15, AI$8, Matrix!$D$6)=0,"",_xll.IMDP("IR", $D15, AI$8, Matrix!$D$6)), "")</f>
        <v>3.0779999999999998</v>
      </c>
      <c r="AJ15" cm="1">
        <f t="array" aca="1" ref="AJ15" ca="1">IF( AND($D$7,NOT(ISBLANK($D15))), IF(_xll.IMDP("IR", $D15, AJ$8, Matrix!$D$6)=0,"",_xll.IMDP("IR", $D15, AJ$8, Matrix!$D$6)), "")</f>
        <v>3.0710000000000002</v>
      </c>
      <c r="AK15" cm="1">
        <f t="array" aca="1" ref="AK15" ca="1">IF( AND($D$7,NOT(ISBLANK($D15))), IF(_xll.IMDP("IR", $D15, AK$8, Matrix!$D$6)=0,"",_xll.IMDP("IR", $D15, AK$8, Matrix!$D$6)), "")</f>
        <v>3.073</v>
      </c>
      <c r="AL15" cm="1">
        <f t="array" aca="1" ref="AL15" ca="1">IF( AND($D$7,NOT(ISBLANK($D15))), IF(_xll.IMDP("IR", $D15, AL$8, Matrix!$D$6)=0,"",_xll.IMDP("IR", $D15, AL$8, Matrix!$D$6)), "")</f>
        <v>3.0910000000000002</v>
      </c>
      <c r="AM15" cm="1">
        <f t="array" aca="1" ref="AM15" ca="1">IF( AND($D$7,NOT(ISBLANK($D15))), IF(_xll.IMDP("IR", $D15, AM$8, Matrix!$D$6)=0,"",_xll.IMDP("IR", $D15, AM$8, Matrix!$D$6)), "")</f>
        <v>3.097</v>
      </c>
      <c r="AN15" cm="1">
        <f t="array" aca="1" ref="AN15" ca="1">IF( AND($D$7,NOT(ISBLANK($D15))), IF(_xll.IMDP("IR", $D15, AN$8, Matrix!$D$6)=0,"",_xll.IMDP("IR", $D15, AN$8, Matrix!$D$6)), "")</f>
        <v>3.1030000000000002</v>
      </c>
      <c r="AO15" cm="1">
        <f t="array" aca="1" ref="AO15" ca="1">IF( AND($D$7,NOT(ISBLANK($D15))), IF(_xll.IMDP("IR", $D15, AO$8, Matrix!$D$6)=0,"",_xll.IMDP("IR", $D15, AO$8, Matrix!$D$6)), "")</f>
        <v>3.13</v>
      </c>
      <c r="AP15" cm="1">
        <f t="array" aca="1" ref="AP15" ca="1">IF( AND($D$7,NOT(ISBLANK($D15))), IF(_xll.IMDP("IR", $D15, AP$8, Matrix!$D$6)=0,"",_xll.IMDP("IR", $D15, AP$8, Matrix!$D$6)), "")</f>
        <v>3.0910000000000002</v>
      </c>
      <c r="AQ15" t="str" cm="1">
        <f t="array" aca="1" ref="AQ15" ca="1">IF( AND($D$7,NOT(ISBLANK($D15))), IF(_xll.IMDP("IR", $D15, AQ$8, Matrix!$D$6)=0,"",_xll.IMDP("IR", $D15, AQ$8, Matrix!$D$6)), "")</f>
        <v/>
      </c>
      <c r="AR15" t="str" cm="1">
        <f t="array" aca="1" ref="AR15" ca="1">IF( AND($D$7,NOT(ISBLANK($D15))), IF(_xll.IMDP("IR", $D15, AR$8, Matrix!$D$6)=0,"",_xll.IMDP("IR", $D15, AR$8, Matrix!$D$6)), "")</f>
        <v/>
      </c>
      <c r="AS15" cm="1">
        <f t="array" aca="1" ref="AS15" ca="1">IF( AND($E$7,NOT(ISBLANK($E15))), IF( _xll.IMDP("IR", $E15, AS$8, Matrix!$D$6)=0,"",_xll.IMDP("IR", $E15, AS$8, Matrix!$D$6)), "")</f>
        <v>3.3980000000000001</v>
      </c>
      <c r="AT15" cm="1">
        <f t="array" aca="1" ref="AT15" ca="1">IF( AND($E$7,NOT(ISBLANK($E15))), IF( _xll.IMDP("IR", $E15, AT$8, Matrix!$D$6)=0,"",_xll.IMDP("IR", $E15, AT$8, Matrix!$D$6)), "")</f>
        <v>3.3119999999999998</v>
      </c>
      <c r="AU15" cm="1">
        <f t="array" aca="1" ref="AU15" ca="1">IF( AND($E$7,NOT(ISBLANK($E15))), IF( _xll.IMDP("IR", $E15, AU$8, Matrix!$D$6)=0,"",_xll.IMDP("IR", $E15, AU$8, Matrix!$D$6)), "")</f>
        <v>3.2349999999999999</v>
      </c>
      <c r="AV15" cm="1">
        <f t="array" aca="1" ref="AV15" ca="1">IF( AND($E$7,NOT(ISBLANK($E15))), IF( _xll.IMDP("IR", $E15, AV$8, Matrix!$D$6)=0,"",_xll.IMDP("IR", $E15, AV$8, Matrix!$D$6)), "")</f>
        <v>3.1789999999999998</v>
      </c>
      <c r="AW15" cm="1">
        <f t="array" aca="1" ref="AW15" ca="1">IF( AND($E$7,NOT(ISBLANK($E15))), IF( _xll.IMDP("IR", $E15, AW$8, Matrix!$D$6)=0,"",_xll.IMDP("IR", $E15, AW$8, Matrix!$D$6)), "")</f>
        <v>3.1520000000000001</v>
      </c>
      <c r="AX15" cm="1">
        <f t="array" aca="1" ref="AX15" ca="1">IF( AND($E$7,NOT(ISBLANK($E15))), IF( _xll.IMDP("IR", $E15, AX$8, Matrix!$D$6)=0,"",_xll.IMDP("IR", $E15, AX$8, Matrix!$D$6)), "")</f>
        <v>3.145</v>
      </c>
      <c r="AY15" cm="1">
        <f t="array" aca="1" ref="AY15" ca="1">IF( AND($E$7,NOT(ISBLANK($E15))), IF( _xll.IMDP("IR", $E15, AY$8, Matrix!$D$6)=0,"",_xll.IMDP("IR", $E15, AY$8, Matrix!$D$6)), "")</f>
        <v>3.1110000000000002</v>
      </c>
      <c r="AZ15" cm="1">
        <f t="array" aca="1" ref="AZ15" ca="1">IF( AND($E$7,NOT(ISBLANK($E15))), IF( _xll.IMDP("IR", $E15, AZ$8, Matrix!$D$6)=0,"",_xll.IMDP("IR", $E15, AZ$8, Matrix!$D$6)), "")</f>
        <v>3.0840000000000001</v>
      </c>
      <c r="BA15" cm="1">
        <f t="array" aca="1" ref="BA15" ca="1">IF( AND($E$7,NOT(ISBLANK($E15))), IF( _xll.IMDP("IR", $E15, BA$8, Matrix!$D$6)=0,"",_xll.IMDP("IR", $E15, BA$8, Matrix!$D$6)), "")</f>
        <v>3.0590000000000002</v>
      </c>
      <c r="BB15" cm="1">
        <f t="array" aca="1" ref="BB15" ca="1">IF( AND($E$7,NOT(ISBLANK($E15))), IF( _xll.IMDP("IR", $E15, BB$8, Matrix!$D$6)=0,"",_xll.IMDP("IR", $E15, BB$8, Matrix!$D$6)), "")</f>
        <v>3.073</v>
      </c>
      <c r="BC15" cm="1">
        <f t="array" aca="1" ref="BC15" ca="1">IF( AND($E$7,NOT(ISBLANK($E15))), IF( _xll.IMDP("IR", $E15, BC$8, Matrix!$D$6)=0,"",_xll.IMDP("IR", $E15, BC$8, Matrix!$D$6)), "")</f>
        <v>3.0720000000000001</v>
      </c>
      <c r="BD15" cm="1">
        <f t="array" aca="1" ref="BD15" ca="1">IF( AND($E$7,NOT(ISBLANK($E15))), IF( _xll.IMDP("IR", $E15, BD$8, Matrix!$D$6)=0,"",_xll.IMDP("IR", $E15, BD$8, Matrix!$D$6)), "")</f>
        <v>3.0979999999999999</v>
      </c>
      <c r="BE15" cm="1">
        <f t="array" aca="1" ref="BE15" ca="1">IF( AND($E$7,NOT(ISBLANK($E15))), IF( _xll.IMDP("IR", $E15, BE$8, Matrix!$D$6)=0,"",_xll.IMDP("IR", $E15, BE$8, Matrix!$D$6)), "")</f>
        <v>3.1179999999999999</v>
      </c>
      <c r="BF15" cm="1">
        <f t="array" aca="1" ref="BF15" ca="1">IF( AND($E$7,NOT(ISBLANK($E15))), IF( _xll.IMDP("IR", $E15, BF$8, Matrix!$D$6)=0,"",_xll.IMDP("IR", $E15, BF$8, Matrix!$D$6)), "")</f>
        <v>3.0790000000000002</v>
      </c>
      <c r="BG15" t="str" cm="1">
        <f t="array" aca="1" ref="BG15" ca="1">IF( AND($E$7,NOT(ISBLANK($E15))), IF( _xll.IMDP("IR", $E15, BG$8, Matrix!$D$6)=0,"",_xll.IMDP("IR", $E15, BG$8, Matrix!$D$6)), "")</f>
        <v/>
      </c>
      <c r="BH15" t="str" cm="1">
        <f t="array" aca="1" ref="BH15" ca="1">IF( AND($E$7,NOT(ISBLANK($E15))), IF( _xll.IMDP("IR", $E15, BH$8, Matrix!$D$6)=0,"",_xll.IMDP("IR", $E15, BH$8, Matrix!$D$6)), "")</f>
        <v/>
      </c>
      <c r="BI15" cm="1">
        <f t="array" aca="1" ref="BI15" ca="1">IF( AND($F$7,NOT(ISBLANK($F15))), IF( _xll.IMDP("IR", $F15, BI$8, Matrix!$D$6)=0,"",_xll.IMDP("IR", $F15, BI$8, Matrix!$D$6)), "")</f>
        <v>3.38</v>
      </c>
      <c r="BJ15" cm="1">
        <f t="array" aca="1" ref="BJ15" ca="1">IF( AND($F$7,NOT(ISBLANK($F15))), IF( _xll.IMDP("IR", $F15, BJ$8, Matrix!$D$6)=0,"",_xll.IMDP("IR", $F15, BJ$8, Matrix!$D$6)), "")</f>
        <v>3.3149999999999999</v>
      </c>
      <c r="BK15" cm="1">
        <f t="array" aca="1" ref="BK15" ca="1">IF( AND($F$7,NOT(ISBLANK($F15))), IF( _xll.IMDP("IR", $F15, BK$8, Matrix!$D$6)=0,"",_xll.IMDP("IR", $F15, BK$8, Matrix!$D$6)), "")</f>
        <v>3.2320000000000002</v>
      </c>
      <c r="BL15" cm="1">
        <f t="array" aca="1" ref="BL15" ca="1">IF( AND($F$7,NOT(ISBLANK($F15))), IF( _xll.IMDP("IR", $F15, BL$8, Matrix!$D$6)=0,"",_xll.IMDP("IR", $F15, BL$8, Matrix!$D$6)), "")</f>
        <v>3.181</v>
      </c>
      <c r="BM15" cm="1">
        <f t="array" aca="1" ref="BM15" ca="1">IF( AND($F$7,NOT(ISBLANK($F15))), IF( _xll.IMDP("IR", $F15, BM$8, Matrix!$D$6)=0,"",_xll.IMDP("IR", $F15, BM$8, Matrix!$D$6)), "")</f>
        <v>3.1110000000000002</v>
      </c>
      <c r="BN15" cm="1">
        <f t="array" aca="1" ref="BN15" ca="1">IF( AND($F$7,NOT(ISBLANK($F15))), IF( _xll.IMDP("IR", $F15, BN$8, Matrix!$D$6)=0,"",_xll.IMDP("IR", $F15, BN$8, Matrix!$D$6)), "")</f>
        <v>3.1019999999999999</v>
      </c>
      <c r="BO15" cm="1">
        <f t="array" aca="1" ref="BO15" ca="1">IF( AND($F$7,NOT(ISBLANK($F15))), IF( _xll.IMDP("IR", $F15, BO$8, Matrix!$D$6)=0,"",_xll.IMDP("IR", $F15, BO$8, Matrix!$D$6)), "")</f>
        <v>3.073</v>
      </c>
      <c r="BP15" cm="1">
        <f t="array" aca="1" ref="BP15" ca="1">IF( AND($F$7,NOT(ISBLANK($F15))), IF( _xll.IMDP("IR", $F15, BP$8, Matrix!$D$6)=0,"",_xll.IMDP("IR", $F15, BP$8, Matrix!$D$6)), "")</f>
        <v>3.056</v>
      </c>
      <c r="BQ15" cm="1">
        <f t="array" aca="1" ref="BQ15" ca="1">IF( AND($F$7,NOT(ISBLANK($F15))), IF( _xll.IMDP("IR", $F15, BQ$8, Matrix!$D$6)=0,"",_xll.IMDP("IR", $F15, BQ$8, Matrix!$D$6)), "")</f>
        <v>3.056</v>
      </c>
      <c r="BR15" cm="1">
        <f t="array" aca="1" ref="BR15" ca="1">IF( AND($F$7,NOT(ISBLANK($F15))), IF( _xll.IMDP("IR", $F15, BR$8, Matrix!$D$6)=0,"",_xll.IMDP("IR", $F15, BR$8, Matrix!$D$6)), "")</f>
        <v>3.0659999999999998</v>
      </c>
      <c r="BS15" cm="1">
        <f t="array" aca="1" ref="BS15" ca="1">IF( AND($F$7,NOT(ISBLANK($F15))), IF( _xll.IMDP("IR", $F15, BS$8, Matrix!$D$6)=0,"",_xll.IMDP("IR", $F15, BS$8, Matrix!$D$6)), "")</f>
        <v>3.0760000000000001</v>
      </c>
      <c r="BT15" cm="1">
        <f t="array" aca="1" ref="BT15" ca="1">IF( AND($F$7,NOT(ISBLANK($F15))), IF( _xll.IMDP("IR", $F15, BT$8, Matrix!$D$6)=0,"",_xll.IMDP("IR", $F15, BT$8, Matrix!$D$6)), "")</f>
        <v>3.0779999999999998</v>
      </c>
      <c r="BU15" cm="1">
        <f t="array" aca="1" ref="BU15" ca="1">IF( AND($F$7,NOT(ISBLANK($F15))), IF( _xll.IMDP("IR", $F15, BU$8, Matrix!$D$6)=0,"",_xll.IMDP("IR", $F15, BU$8, Matrix!$D$6)), "")</f>
        <v>3.0710000000000002</v>
      </c>
      <c r="BV15" cm="1">
        <f t="array" aca="1" ref="BV15" ca="1">IF( AND($F$7,NOT(ISBLANK($F15))), IF( _xll.IMDP("IR", $F15, BV$8, Matrix!$D$6)=0,"",_xll.IMDP("IR", $F15, BV$8, Matrix!$D$6)), "")</f>
        <v>3.0670000000000002</v>
      </c>
      <c r="BW15" t="str" cm="1">
        <f t="array" aca="1" ref="BW15" ca="1">IF( AND($F$7,NOT(ISBLANK($F15))), IF( _xll.IMDP("IR", $F15, BW$8, Matrix!$D$6)=0,"",_xll.IMDP("IR", $F15, BW$8, Matrix!$D$6)), "")</f>
        <v/>
      </c>
      <c r="BX15" t="str" cm="1">
        <f t="array" aca="1" ref="BX15" ca="1">IF( AND($F$7,NOT(ISBLANK($F15))), IF( _xll.IMDP("IR", $F15, BX$8, Matrix!$D$6)=0,"",_xll.IMDP("IR", $F15, BX$8, Matrix!$D$6)), "")</f>
        <v/>
      </c>
      <c r="BY15" cm="1">
        <f t="array" aca="1" ref="BY15" ca="1">IF( AND($G$7,NOT(ISBLANK($G15))), IF( _xll.IMDP("IR", $G15, BY$8, Matrix!$D$6)=0, "", _xll.IMDP("IR", $G15, BY$8, Matrix!$D$6)), "")</f>
        <v>3.3849999999999998</v>
      </c>
      <c r="BZ15" cm="1">
        <f t="array" aca="1" ref="BZ15" ca="1">IF( AND($G$7,NOT(ISBLANK($G15))), IF( _xll.IMDP("IR", $G15, BZ$8, Matrix!$D$6)=0, "", _xll.IMDP("IR", $G15, BZ$8, Matrix!$D$6)), "")</f>
        <v>3.3029999999999999</v>
      </c>
      <c r="CA15" cm="1">
        <f t="array" aca="1" ref="CA15" ca="1">IF( AND($G$7,NOT(ISBLANK($G15))), IF( _xll.IMDP("IR", $G15, CA$8, Matrix!$D$6)=0, "", _xll.IMDP("IR", $G15, CA$8, Matrix!$D$6)), "")</f>
        <v>3.234</v>
      </c>
      <c r="CB15" cm="1">
        <f t="array" aca="1" ref="CB15" ca="1">IF( AND($G$7,NOT(ISBLANK($G15))), IF( _xll.IMDP("IR", $G15, CB$8, Matrix!$D$6)=0, "", _xll.IMDP("IR", $G15, CB$8, Matrix!$D$6)), "")</f>
        <v>3.1760000000000002</v>
      </c>
      <c r="CC15" cm="1">
        <f t="array" aca="1" ref="CC15" ca="1">IF( AND($G$7,NOT(ISBLANK($G15))), IF( _xll.IMDP("IR", $G15, CC$8, Matrix!$D$6)=0, "", _xll.IMDP("IR", $G15, CC$8, Matrix!$D$6)), "")</f>
        <v>3.145</v>
      </c>
      <c r="CD15" cm="1">
        <f t="array" aca="1" ref="CD15" ca="1">IF( AND($G$7,NOT(ISBLANK($G15))), IF( _xll.IMDP("IR", $G15, CD$8, Matrix!$D$6)=0, "", _xll.IMDP("IR", $G15, CD$8, Matrix!$D$6)), "")</f>
        <v>3.1150000000000002</v>
      </c>
      <c r="CE15" cm="1">
        <f t="array" aca="1" ref="CE15" ca="1">IF( AND($G$7,NOT(ISBLANK($G15))), IF( _xll.IMDP("IR", $G15, CE$8, Matrix!$D$6)=0, "", _xll.IMDP("IR", $G15, CE$8, Matrix!$D$6)), "")</f>
        <v>3.081</v>
      </c>
      <c r="CF15" cm="1">
        <f t="array" aca="1" ref="CF15" ca="1">IF( AND($G$7,NOT(ISBLANK($G15))), IF( _xll.IMDP("IR", $G15, CF$8, Matrix!$D$6)=0, "", _xll.IMDP("IR", $G15, CF$8, Matrix!$D$6)), "")</f>
        <v>3.085</v>
      </c>
      <c r="CG15" cm="1">
        <f t="array" aca="1" ref="CG15" ca="1">IF( AND($G$7,NOT(ISBLANK($G15))), IF( _xll.IMDP("IR", $G15, CG$8, Matrix!$D$6)=0, "", _xll.IMDP("IR", $G15, CG$8, Matrix!$D$6)), "")</f>
        <v>3.0779999999999998</v>
      </c>
      <c r="CH15" cm="1">
        <f t="array" aca="1" ref="CH15" ca="1">IF( AND($G$7,NOT(ISBLANK($G15))), IF( _xll.IMDP("IR", $G15, CH$8, Matrix!$D$6)=0, "", _xll.IMDP("IR", $G15, CH$8, Matrix!$D$6)), "")</f>
        <v>3.0840000000000001</v>
      </c>
      <c r="CI15" cm="1">
        <f t="array" aca="1" ref="CI15" ca="1">IF( AND($G$7,NOT(ISBLANK($G15))), IF( _xll.IMDP("IR", $G15, CI$8, Matrix!$D$6)=0, "", _xll.IMDP("IR", $G15, CI$8, Matrix!$D$6)), "")</f>
        <v>3.09</v>
      </c>
      <c r="CJ15" cm="1">
        <f t="array" aca="1" ref="CJ15" ca="1">IF( AND($G$7,NOT(ISBLANK($G15))), IF( _xll.IMDP("IR", $G15, CJ$8, Matrix!$D$6)=0, "", _xll.IMDP("IR", $G15, CJ$8, Matrix!$D$6)), "")</f>
        <v>3.0950000000000002</v>
      </c>
      <c r="CK15" cm="1">
        <f t="array" aca="1" ref="CK15" ca="1">IF( AND($G$7,NOT(ISBLANK($G15))), IF( _xll.IMDP("IR", $G15, CK$8, Matrix!$D$6)=0, "", _xll.IMDP("IR", $G15, CK$8, Matrix!$D$6)), "")</f>
        <v>3.1059999999999999</v>
      </c>
      <c r="CL15" cm="1">
        <f t="array" aca="1" ref="CL15" ca="1">IF( AND($G$7,NOT(ISBLANK($G15))), IF( _xll.IMDP("IR", $G15, CL$8, Matrix!$D$6)=0, "", _xll.IMDP("IR", $G15, CL$8, Matrix!$D$6)), "")</f>
        <v>3.0790000000000002</v>
      </c>
      <c r="CM15" t="str" cm="1">
        <f t="array" aca="1" ref="CM15" ca="1">IF( AND($G$7,NOT(ISBLANK($G15))), IF( _xll.IMDP("IR", $G15, CM$8, Matrix!$D$6)=0, "", _xll.IMDP("IR", $G15, CM$8, Matrix!$D$6)), "")</f>
        <v/>
      </c>
      <c r="CN15" t="str" cm="1">
        <f t="array" aca="1" ref="CN15" ca="1">IF( AND($G$7,NOT(ISBLANK($G15))), IF( _xll.IMDP("IR", $G15, CN$8, Matrix!$D$6)=0, "", _xll.IMDP("IR", $G15, CN$8, Matrix!$D$6)), "")</f>
        <v/>
      </c>
      <c r="CO15" cm="1">
        <f t="array" aca="1" ref="CO15" ca="1">IF( AND($H$7,NOT(ISBLANK($H15))), IF( _xll.IMDP("IR", $H15, CO$8, Matrix!$D$6)=0, "", _xll.IMDP("IR", $H15, CO$8, Matrix!$D$6)), "")</f>
        <v>3.387</v>
      </c>
      <c r="CP15" cm="1">
        <f t="array" aca="1" ref="CP15" ca="1">IF( AND($H$7,NOT(ISBLANK($H15))), IF( _xll.IMDP("IR", $H15, CP$8, Matrix!$D$6)=0, "", _xll.IMDP("IR", $H15, CP$8, Matrix!$D$6)), "")</f>
        <v>3.3109999999999999</v>
      </c>
      <c r="CQ15" cm="1">
        <f t="array" aca="1" ref="CQ15" ca="1">IF( AND($H$7,NOT(ISBLANK($H15))), IF( _xll.IMDP("IR", $H15, CQ$8, Matrix!$D$6)=0, "", _xll.IMDP("IR", $H15, CQ$8, Matrix!$D$6)), "")</f>
        <v>3.2330000000000001</v>
      </c>
      <c r="CR15" cm="1">
        <f t="array" aca="1" ref="CR15" ca="1">IF( AND($H$7,NOT(ISBLANK($H15))), IF( _xll.IMDP("IR", $H15, CR$8, Matrix!$D$6)=0, "", _xll.IMDP("IR", $H15, CR$8, Matrix!$D$6)), "")</f>
        <v>3.18</v>
      </c>
      <c r="CS15" cm="1">
        <f t="array" aca="1" ref="CS15" ca="1">IF( AND($H$7,NOT(ISBLANK($H15))), IF( _xll.IMDP("IR", $H15, CS$8, Matrix!$D$6)=0, "", _xll.IMDP("IR", $H15, CS$8, Matrix!$D$6)), "")</f>
        <v>3.137</v>
      </c>
      <c r="CT15" cm="1">
        <f t="array" aca="1" ref="CT15" ca="1">IF( AND($H$7,NOT(ISBLANK($H15))), IF( _xll.IMDP("IR", $H15, CT$8, Matrix!$D$6)=0, "", _xll.IMDP("IR", $H15, CT$8, Matrix!$D$6)), "")</f>
        <v>3.12</v>
      </c>
      <c r="CU15" cm="1">
        <f t="array" aca="1" ref="CU15" ca="1">IF( AND($H$7,NOT(ISBLANK($H15))), IF( _xll.IMDP("IR", $H15, CU$8, Matrix!$D$6)=0, "", _xll.IMDP("IR", $H15, CU$8, Matrix!$D$6)), "")</f>
        <v>3.085</v>
      </c>
      <c r="CV15" cm="1">
        <f t="array" aca="1" ref="CV15" ca="1">IF( AND($H$7,NOT(ISBLANK($H15))), IF( _xll.IMDP("IR", $H15, CV$8, Matrix!$D$6)=0, "", _xll.IMDP("IR", $H15, CV$8, Matrix!$D$6)), "")</f>
        <v>3.0739999999999998</v>
      </c>
      <c r="CW15" cm="1">
        <f t="array" aca="1" ref="CW15" ca="1">IF( AND($H$7,NOT(ISBLANK($H15))), IF( _xll.IMDP("IR", $H15, CW$8, Matrix!$D$6)=0, "", _xll.IMDP("IR", $H15, CW$8, Matrix!$D$6)), "")</f>
        <v>3.0659999999999998</v>
      </c>
      <c r="CX15" cm="1">
        <f t="array" aca="1" ref="CX15" ca="1">IF( AND($H$7,NOT(ISBLANK($H15))), IF( _xll.IMDP("IR", $H15, CX$8, Matrix!$D$6)=0, "", _xll.IMDP("IR", $H15, CX$8, Matrix!$D$6)), "")</f>
        <v>3.0779999999999998</v>
      </c>
      <c r="CY15" cm="1">
        <f t="array" aca="1" ref="CY15" ca="1">IF( AND($H$7,NOT(ISBLANK($H15))), IF( _xll.IMDP("IR", $H15, CY$8, Matrix!$D$6)=0, "", _xll.IMDP("IR", $H15, CY$8, Matrix!$D$6)), "")</f>
        <v>3.0830000000000002</v>
      </c>
      <c r="CZ15" cm="1">
        <f t="array" aca="1" ref="CZ15" ca="1">IF( AND($H$7,NOT(ISBLANK($H15))), IF( _xll.IMDP("IR", $H15, CZ$8, Matrix!$D$6)=0, "", _xll.IMDP("IR", $H15, CZ$8, Matrix!$D$6)), "")</f>
        <v>3.093</v>
      </c>
      <c r="DA15" t="str" cm="1">
        <f t="array" aca="1" ref="DA15" ca="1">IF( AND($H$7,NOT(ISBLANK($H15))), IF( _xll.IMDP("IR", $H15, DA$8, Matrix!$D$6)=0, "", _xll.IMDP("IR", $H15, DA$8, Matrix!$D$6)), "")</f>
        <v/>
      </c>
      <c r="DB15" cm="1">
        <f t="array" aca="1" ref="DB15" ca="1">IF( AND($H$7,NOT(ISBLANK($H15))), IF( _xll.IMDP("IR", $H15, DB$8, Matrix!$D$6)=0, "", _xll.IMDP("IR", $H15, DB$8, Matrix!$D$6)), "")</f>
        <v>3.0790000000000002</v>
      </c>
      <c r="DC15" t="str" cm="1">
        <f t="array" aca="1" ref="DC15" ca="1">IF( AND($H$7,NOT(ISBLANK($H15))), IF( _xll.IMDP("IR", $H15, DC$8, Matrix!$D$6)=0, "", _xll.IMDP("IR", $H15, DC$8, Matrix!$D$6)), "")</f>
        <v/>
      </c>
      <c r="DD15" t="str" cm="1">
        <f t="array" aca="1" ref="DD15" ca="1">IF( AND($H$7,NOT(ISBLANK($H15))), IF( _xll.IMDP("IR", $H15, DD$8, Matrix!$D$6)=0, "", _xll.IMDP("IR", $H15, DD$8, Matrix!$D$6)), "")</f>
        <v/>
      </c>
    </row>
    <row r="16" spans="2:108">
      <c r="B16" t="s">
        <v>84</v>
      </c>
      <c r="C16" t="s">
        <v>158</v>
      </c>
      <c r="D16" t="s">
        <v>235</v>
      </c>
      <c r="E16" t="s">
        <v>298</v>
      </c>
      <c r="F16" t="s">
        <v>361</v>
      </c>
      <c r="G16" t="s">
        <v>427</v>
      </c>
      <c r="H16" t="s">
        <v>490</v>
      </c>
      <c r="M16" s="21">
        <f t="shared" ca="1" si="1"/>
        <v>3.3921832657696358</v>
      </c>
      <c r="N16" s="21">
        <f t="shared" ca="1" si="2"/>
        <v>3.3573898430361631</v>
      </c>
      <c r="O16" s="21">
        <f t="shared" ca="1" si="3"/>
        <v>3.2993988725895496</v>
      </c>
      <c r="P16" s="21">
        <f t="shared" ca="1" si="4"/>
        <v>3.257195372286958</v>
      </c>
      <c r="Q16" s="21">
        <f t="shared" ca="1" si="5"/>
        <v>3.1981909550541241</v>
      </c>
      <c r="R16" s="21">
        <f t="shared" ca="1" si="6"/>
        <v>3.1845786394810331</v>
      </c>
      <c r="S16" s="21">
        <f t="shared" ca="1" si="7"/>
        <v>3.1533724082501031</v>
      </c>
      <c r="T16" s="21">
        <f t="shared" ca="1" si="8"/>
        <v>3.1533826238709506</v>
      </c>
      <c r="U16" s="21">
        <f t="shared" ca="1" si="9"/>
        <v>3.1441923523433895</v>
      </c>
      <c r="V16" s="21">
        <f t="shared" ca="1" si="10"/>
        <v>3.144998346580298</v>
      </c>
      <c r="W16" s="21">
        <f t="shared" ca="1" si="11"/>
        <v>3.1425941700613209</v>
      </c>
      <c r="X16" s="21">
        <f t="shared" ca="1" si="12"/>
        <v>3.1555892703613972</v>
      </c>
      <c r="Y16" s="21">
        <f t="shared" ca="1" si="13"/>
        <v>3.1784416891404459</v>
      </c>
      <c r="Z16" s="21">
        <f t="shared" ca="1" si="14"/>
        <v>3.1529993026135856</v>
      </c>
      <c r="AA16" s="21">
        <f t="shared" ca="1" si="15"/>
        <v>3.165566728509956</v>
      </c>
      <c r="AB16" s="21" t="e">
        <f t="shared" ca="1" si="16"/>
        <v>#NUM!</v>
      </c>
      <c r="AC16" cm="1">
        <f t="array" aca="1" ref="AC16" ca="1">IF( AND($D$7,NOT(ISBLANK($D16))), IF(_xll.IMDP("IR", $D16, AC$8, Matrix!$D$6)=0,"",_xll.IMDP("IR", $D16, AC$8, Matrix!$D$6)), "")</f>
        <v>3.4119999999999999</v>
      </c>
      <c r="AD16" cm="1">
        <f t="array" aca="1" ref="AD16" ca="1">IF( AND($D$7,NOT(ISBLANK($D16))), IF(_xll.IMDP("IR", $D16, AD$8, Matrix!$D$6)=0,"",_xll.IMDP("IR", $D16, AD$8, Matrix!$D$6)), "")</f>
        <v>3.371</v>
      </c>
      <c r="AE16" cm="1">
        <f t="array" aca="1" ref="AE16" ca="1">IF( AND($D$7,NOT(ISBLANK($D16))), IF(_xll.IMDP("IR", $D16, AE$8, Matrix!$D$6)=0,"",_xll.IMDP("IR", $D16, AE$8, Matrix!$D$6)), "")</f>
        <v>3.2959999999999998</v>
      </c>
      <c r="AF16" cm="1">
        <f t="array" aca="1" ref="AF16" ca="1">IF( AND($D$7,NOT(ISBLANK($D16))), IF(_xll.IMDP("IR", $D16, AF$8, Matrix!$D$6)=0,"",_xll.IMDP("IR", $D16, AF$8, Matrix!$D$6)), "")</f>
        <v>3.266</v>
      </c>
      <c r="AG16" cm="1">
        <f t="array" aca="1" ref="AG16" ca="1">IF( AND($D$7,NOT(ISBLANK($D16))), IF(_xll.IMDP("IR", $D16, AG$8, Matrix!$D$6)=0,"",_xll.IMDP("IR", $D16, AG$8, Matrix!$D$6)), "")</f>
        <v>3.2029999999999998</v>
      </c>
      <c r="AH16" cm="1">
        <f t="array" aca="1" ref="AH16" ca="1">IF( AND($D$7,NOT(ISBLANK($D16))), IF(_xll.IMDP("IR", $D16, AH$8, Matrix!$D$6)=0,"",_xll.IMDP("IR", $D16, AH$8, Matrix!$D$6)), "")</f>
        <v>3.1850000000000001</v>
      </c>
      <c r="AI16" cm="1">
        <f t="array" aca="1" ref="AI16" ca="1">IF( AND($D$7,NOT(ISBLANK($D16))), IF(_xll.IMDP("IR", $D16, AI$8, Matrix!$D$6)=0,"",_xll.IMDP("IR", $D16, AI$8, Matrix!$D$6)), "")</f>
        <v>3.1440000000000001</v>
      </c>
      <c r="AJ16" cm="1">
        <f t="array" aca="1" ref="AJ16" ca="1">IF( AND($D$7,NOT(ISBLANK($D16))), IF(_xll.IMDP("IR", $D16, AJ$8, Matrix!$D$6)=0,"",_xll.IMDP("IR", $D16, AJ$8, Matrix!$D$6)), "")</f>
        <v>3.1459999999999999</v>
      </c>
      <c r="AK16" cm="1">
        <f t="array" aca="1" ref="AK16" ca="1">IF( AND($D$7,NOT(ISBLANK($D16))), IF(_xll.IMDP("IR", $D16, AK$8, Matrix!$D$6)=0,"",_xll.IMDP("IR", $D16, AK$8, Matrix!$D$6)), "")</f>
        <v>3.1379999999999999</v>
      </c>
      <c r="AL16" cm="1">
        <f t="array" aca="1" ref="AL16" ca="1">IF( AND($D$7,NOT(ISBLANK($D16))), IF(_xll.IMDP("IR", $D16, AL$8, Matrix!$D$6)=0,"",_xll.IMDP("IR", $D16, AL$8, Matrix!$D$6)), "")</f>
        <v>3.1459999999999999</v>
      </c>
      <c r="AM16" cm="1">
        <f t="array" aca="1" ref="AM16" ca="1">IF( AND($D$7,NOT(ISBLANK($D16))), IF(_xll.IMDP("IR", $D16, AM$8, Matrix!$D$6)=0,"",_xll.IMDP("IR", $D16, AM$8, Matrix!$D$6)), "")</f>
        <v>3.1520000000000001</v>
      </c>
      <c r="AN16" cm="1">
        <f t="array" aca="1" ref="AN16" ca="1">IF( AND($D$7,NOT(ISBLANK($D16))), IF(_xll.IMDP("IR", $D16, AN$8, Matrix!$D$6)=0,"",_xll.IMDP("IR", $D16, AN$8, Matrix!$D$6)), "")</f>
        <v>3.1709999999999998</v>
      </c>
      <c r="AO16" cm="1">
        <f t="array" aca="1" ref="AO16" ca="1">IF( AND($D$7,NOT(ISBLANK($D16))), IF(_xll.IMDP("IR", $D16, AO$8, Matrix!$D$6)=0,"",_xll.IMDP("IR", $D16, AO$8, Matrix!$D$6)), "")</f>
        <v>3.2029999999999998</v>
      </c>
      <c r="AP16" cm="1">
        <f t="array" aca="1" ref="AP16" ca="1">IF( AND($D$7,NOT(ISBLANK($D16))), IF(_xll.IMDP("IR", $D16, AP$8, Matrix!$D$6)=0,"",_xll.IMDP("IR", $D16, AP$8, Matrix!$D$6)), "")</f>
        <v>3.157</v>
      </c>
      <c r="AQ16" cm="1">
        <f t="array" aca="1" ref="AQ16" ca="1">IF( AND($D$7,NOT(ISBLANK($D16))), IF(_xll.IMDP("IR", $D16, AQ$8, Matrix!$D$6)=0,"",_xll.IMDP("IR", $D16, AQ$8, Matrix!$D$6)), "")</f>
        <v>3.1739999999999999</v>
      </c>
      <c r="AR16" t="str" cm="1">
        <f t="array" aca="1" ref="AR16" ca="1">IF( AND($D$7,NOT(ISBLANK($D16))), IF(_xll.IMDP("IR", $D16, AR$8, Matrix!$D$6)=0,"",_xll.IMDP("IR", $D16, AR$8, Matrix!$D$6)), "")</f>
        <v/>
      </c>
      <c r="AS16" cm="1">
        <f t="array" aca="1" ref="AS16" ca="1">IF( AND($E$7,NOT(ISBLANK($E16))), IF( _xll.IMDP("IR", $E16, AS$8, Matrix!$D$6)=0,"",_xll.IMDP("IR", $E16, AS$8, Matrix!$D$6)), "")</f>
        <v>3.3879999999999999</v>
      </c>
      <c r="AT16" cm="1">
        <f t="array" aca="1" ref="AT16" ca="1">IF( AND($E$7,NOT(ISBLANK($E16))), IF( _xll.IMDP("IR", $E16, AT$8, Matrix!$D$6)=0,"",_xll.IMDP("IR", $E16, AT$8, Matrix!$D$6)), "")</f>
        <v>3.36</v>
      </c>
      <c r="AU16" cm="1">
        <f t="array" aca="1" ref="AU16" ca="1">IF( AND($E$7,NOT(ISBLANK($E16))), IF( _xll.IMDP("IR", $E16, AU$8, Matrix!$D$6)=0,"",_xll.IMDP("IR", $E16, AU$8, Matrix!$D$6)), "")</f>
        <v>3.2970000000000002</v>
      </c>
      <c r="AV16" cm="1">
        <f t="array" aca="1" ref="AV16" ca="1">IF( AND($E$7,NOT(ISBLANK($E16))), IF( _xll.IMDP("IR", $E16, AV$8, Matrix!$D$6)=0,"",_xll.IMDP("IR", $E16, AV$8, Matrix!$D$6)), "")</f>
        <v>3.2509999999999999</v>
      </c>
      <c r="AW16" cm="1">
        <f t="array" aca="1" ref="AW16" ca="1">IF( AND($E$7,NOT(ISBLANK($E16))), IF( _xll.IMDP("IR", $E16, AW$8, Matrix!$D$6)=0,"",_xll.IMDP("IR", $E16, AW$8, Matrix!$D$6)), "")</f>
        <v>3.206</v>
      </c>
      <c r="AX16" cm="1">
        <f t="array" aca="1" ref="AX16" ca="1">IF( AND($E$7,NOT(ISBLANK($E16))), IF( _xll.IMDP("IR", $E16, AX$8, Matrix!$D$6)=0,"",_xll.IMDP("IR", $E16, AX$8, Matrix!$D$6)), "")</f>
        <v>3.2050000000000001</v>
      </c>
      <c r="AY16" cm="1">
        <f t="array" aca="1" ref="AY16" ca="1">IF( AND($E$7,NOT(ISBLANK($E16))), IF( _xll.IMDP("IR", $E16, AY$8, Matrix!$D$6)=0,"",_xll.IMDP("IR", $E16, AY$8, Matrix!$D$6)), "")</f>
        <v>3.1789999999999998</v>
      </c>
      <c r="AZ16" cm="1">
        <f t="array" aca="1" ref="AZ16" ca="1">IF( AND($E$7,NOT(ISBLANK($E16))), IF( _xll.IMDP("IR", $E16, AZ$8, Matrix!$D$6)=0,"",_xll.IMDP("IR", $E16, AZ$8, Matrix!$D$6)), "")</f>
        <v>3.173</v>
      </c>
      <c r="BA16" cm="1">
        <f t="array" aca="1" ref="BA16" ca="1">IF( AND($E$7,NOT(ISBLANK($E16))), IF( _xll.IMDP("IR", $E16, BA$8, Matrix!$D$6)=0,"",_xll.IMDP("IR", $E16, BA$8, Matrix!$D$6)), "")</f>
        <v>3.157</v>
      </c>
      <c r="BB16" cm="1">
        <f t="array" aca="1" ref="BB16" ca="1">IF( AND($E$7,NOT(ISBLANK($E16))), IF( _xll.IMDP("IR", $E16, BB$8, Matrix!$D$6)=0,"",_xll.IMDP("IR", $E16, BB$8, Matrix!$D$6)), "")</f>
        <v>3.15</v>
      </c>
      <c r="BC16" cm="1">
        <f t="array" aca="1" ref="BC16" ca="1">IF( AND($E$7,NOT(ISBLANK($E16))), IF( _xll.IMDP("IR", $E16, BC$8, Matrix!$D$6)=0,"",_xll.IMDP("IR", $E16, BC$8, Matrix!$D$6)), "")</f>
        <v>3.133</v>
      </c>
      <c r="BD16" cm="1">
        <f t="array" aca="1" ref="BD16" ca="1">IF( AND($E$7,NOT(ISBLANK($E16))), IF( _xll.IMDP("IR", $E16, BD$8, Matrix!$D$6)=0,"",_xll.IMDP("IR", $E16, BD$8, Matrix!$D$6)), "")</f>
        <v>3.149</v>
      </c>
      <c r="BE16" cm="1">
        <f t="array" aca="1" ref="BE16" ca="1">IF( AND($E$7,NOT(ISBLANK($E16))), IF( _xll.IMDP("IR", $E16, BE$8, Matrix!$D$6)=0,"",_xll.IMDP("IR", $E16, BE$8, Matrix!$D$6)), "")</f>
        <v>3.1859999999999999</v>
      </c>
      <c r="BF16" cm="1">
        <f t="array" aca="1" ref="BF16" ca="1">IF( AND($E$7,NOT(ISBLANK($E16))), IF( _xll.IMDP("IR", $E16, BF$8, Matrix!$D$6)=0,"",_xll.IMDP("IR", $E16, BF$8, Matrix!$D$6)), "")</f>
        <v>3.1509999999999998</v>
      </c>
      <c r="BG16" cm="1">
        <f t="array" aca="1" ref="BG16" ca="1">IF( AND($E$7,NOT(ISBLANK($E16))), IF( _xll.IMDP("IR", $E16, BG$8, Matrix!$D$6)=0,"",_xll.IMDP("IR", $E16, BG$8, Matrix!$D$6)), "")</f>
        <v>3.1869999999999998</v>
      </c>
      <c r="BH16" t="str" cm="1">
        <f t="array" aca="1" ref="BH16" ca="1">IF( AND($E$7,NOT(ISBLANK($E16))), IF( _xll.IMDP("IR", $E16, BH$8, Matrix!$D$6)=0,"",_xll.IMDP("IR", $E16, BH$8, Matrix!$D$6)), "")</f>
        <v/>
      </c>
      <c r="BI16" cm="1">
        <f t="array" aca="1" ref="BI16" ca="1">IF( AND($F$7,NOT(ISBLANK($F16))), IF( _xll.IMDP("IR", $F16, BI$8, Matrix!$D$6)=0,"",_xll.IMDP("IR", $F16, BI$8, Matrix!$D$6)), "")</f>
        <v>3.38</v>
      </c>
      <c r="BJ16" cm="1">
        <f t="array" aca="1" ref="BJ16" ca="1">IF( AND($F$7,NOT(ISBLANK($F16))), IF( _xll.IMDP("IR", $F16, BJ$8, Matrix!$D$6)=0,"",_xll.IMDP("IR", $F16, BJ$8, Matrix!$D$6)), "")</f>
        <v>3.3530000000000002</v>
      </c>
      <c r="BK16" cm="1">
        <f t="array" aca="1" ref="BK16" ca="1">IF( AND($F$7,NOT(ISBLANK($F16))), IF( _xll.IMDP("IR", $F16, BK$8, Matrix!$D$6)=0,"",_xll.IMDP("IR", $F16, BK$8, Matrix!$D$6)), "")</f>
        <v>3.3029999999999999</v>
      </c>
      <c r="BL16" cm="1">
        <f t="array" aca="1" ref="BL16" ca="1">IF( AND($F$7,NOT(ISBLANK($F16))), IF( _xll.IMDP("IR", $F16, BL$8, Matrix!$D$6)=0,"",_xll.IMDP("IR", $F16, BL$8, Matrix!$D$6)), "")</f>
        <v>3.26</v>
      </c>
      <c r="BM16" cm="1">
        <f t="array" aca="1" ref="BM16" ca="1">IF( AND($F$7,NOT(ISBLANK($F16))), IF( _xll.IMDP("IR", $F16, BM$8, Matrix!$D$6)=0,"",_xll.IMDP("IR", $F16, BM$8, Matrix!$D$6)), "")</f>
        <v>3.1840000000000002</v>
      </c>
      <c r="BN16" cm="1">
        <f t="array" aca="1" ref="BN16" ca="1">IF( AND($F$7,NOT(ISBLANK($F16))), IF( _xll.IMDP("IR", $F16, BN$8, Matrix!$D$6)=0,"",_xll.IMDP("IR", $F16, BN$8, Matrix!$D$6)), "")</f>
        <v>3.169</v>
      </c>
      <c r="BO16" cm="1">
        <f t="array" aca="1" ref="BO16" ca="1">IF( AND($F$7,NOT(ISBLANK($F16))), IF( _xll.IMDP("IR", $F16, BO$8, Matrix!$D$6)=0,"",_xll.IMDP("IR", $F16, BO$8, Matrix!$D$6)), "")</f>
        <v>3.1469999999999998</v>
      </c>
      <c r="BP16" cm="1">
        <f t="array" aca="1" ref="BP16" ca="1">IF( AND($F$7,NOT(ISBLANK($F16))), IF( _xll.IMDP("IR", $F16, BP$8, Matrix!$D$6)=0,"",_xll.IMDP("IR", $F16, BP$8, Matrix!$D$6)), "")</f>
        <v>3.1429999999999998</v>
      </c>
      <c r="BQ16" cm="1">
        <f t="array" aca="1" ref="BQ16" ca="1">IF( AND($F$7,NOT(ISBLANK($F16))), IF( _xll.IMDP("IR", $F16, BQ$8, Matrix!$D$6)=0,"",_xll.IMDP("IR", $F16, BQ$8, Matrix!$D$6)), "")</f>
        <v>3.1440000000000001</v>
      </c>
      <c r="BR16" cm="1">
        <f t="array" aca="1" ref="BR16" ca="1">IF( AND($F$7,NOT(ISBLANK($F16))), IF( _xll.IMDP("IR", $F16, BR$8, Matrix!$D$6)=0,"",_xll.IMDP("IR", $F16, BR$8, Matrix!$D$6)), "")</f>
        <v>3.1440000000000001</v>
      </c>
      <c r="BS16" cm="1">
        <f t="array" aca="1" ref="BS16" ca="1">IF( AND($F$7,NOT(ISBLANK($F16))), IF( _xll.IMDP("IR", $F16, BS$8, Matrix!$D$6)=0,"",_xll.IMDP("IR", $F16, BS$8, Matrix!$D$6)), "")</f>
        <v>3.1440000000000001</v>
      </c>
      <c r="BT16" cm="1">
        <f t="array" aca="1" ref="BT16" ca="1">IF( AND($F$7,NOT(ISBLANK($F16))), IF( _xll.IMDP("IR", $F16, BT$8, Matrix!$D$6)=0,"",_xll.IMDP("IR", $F16, BT$8, Matrix!$D$6)), "")</f>
        <v>3.1549999999999998</v>
      </c>
      <c r="BU16" cm="1">
        <f t="array" aca="1" ref="BU16" ca="1">IF( AND($F$7,NOT(ISBLANK($F16))), IF( _xll.IMDP("IR", $F16, BU$8, Matrix!$D$6)=0,"",_xll.IMDP("IR", $F16, BU$8, Matrix!$D$6)), "")</f>
        <v>3.15</v>
      </c>
      <c r="BV16" cm="1">
        <f t="array" aca="1" ref="BV16" ca="1">IF( AND($F$7,NOT(ISBLANK($F16))), IF( _xll.IMDP("IR", $F16, BV$8, Matrix!$D$6)=0,"",_xll.IMDP("IR", $F16, BV$8, Matrix!$D$6)), "")</f>
        <v>3.1520000000000001</v>
      </c>
      <c r="BW16" cm="1">
        <f t="array" aca="1" ref="BW16" ca="1">IF( AND($F$7,NOT(ISBLANK($F16))), IF( _xll.IMDP("IR", $F16, BW$8, Matrix!$D$6)=0,"",_xll.IMDP("IR", $F16, BW$8, Matrix!$D$6)), "")</f>
        <v>3.1440000000000001</v>
      </c>
      <c r="BX16" t="str" cm="1">
        <f t="array" aca="1" ref="BX16" ca="1">IF( AND($F$7,NOT(ISBLANK($F16))), IF( _xll.IMDP("IR", $F16, BX$8, Matrix!$D$6)=0,"",_xll.IMDP("IR", $F16, BX$8, Matrix!$D$6)), "")</f>
        <v/>
      </c>
      <c r="BY16" cm="1">
        <f t="array" aca="1" ref="BY16" ca="1">IF( AND($G$7,NOT(ISBLANK($G16))), IF( _xll.IMDP("IR", $G16, BY$8, Matrix!$D$6)=0, "", _xll.IMDP("IR", $G16, BY$8, Matrix!$D$6)), "")</f>
        <v>3.3889999999999998</v>
      </c>
      <c r="BZ16" cm="1">
        <f t="array" aca="1" ref="BZ16" ca="1">IF( AND($G$7,NOT(ISBLANK($G16))), IF( _xll.IMDP("IR", $G16, BZ$8, Matrix!$D$6)=0, "", _xll.IMDP("IR", $G16, BZ$8, Matrix!$D$6)), "")</f>
        <v>3.3460000000000001</v>
      </c>
      <c r="CA16" cm="1">
        <f t="array" aca="1" ref="CA16" ca="1">IF( AND($G$7,NOT(ISBLANK($G16))), IF( _xll.IMDP("IR", $G16, CA$8, Matrix!$D$6)=0, "", _xll.IMDP("IR", $G16, CA$8, Matrix!$D$6)), "")</f>
        <v>3.302</v>
      </c>
      <c r="CB16" cm="1">
        <f t="array" aca="1" ref="CB16" ca="1">IF( AND($G$7,NOT(ISBLANK($G16))), IF( _xll.IMDP("IR", $G16, CB$8, Matrix!$D$6)=0, "", _xll.IMDP("IR", $G16, CB$8, Matrix!$D$6)), "")</f>
        <v>3.2519999999999998</v>
      </c>
      <c r="CC16" cm="1">
        <f t="array" aca="1" ref="CC16" ca="1">IF( AND($G$7,NOT(ISBLANK($G16))), IF( _xll.IMDP("IR", $G16, CC$8, Matrix!$D$6)=0, "", _xll.IMDP("IR", $G16, CC$8, Matrix!$D$6)), "")</f>
        <v>3.2</v>
      </c>
      <c r="CD16" cm="1">
        <f t="array" aca="1" ref="CD16" ca="1">IF( AND($G$7,NOT(ISBLANK($G16))), IF( _xll.IMDP("IR", $G16, CD$8, Matrix!$D$6)=0, "", _xll.IMDP("IR", $G16, CD$8, Matrix!$D$6)), "")</f>
        <v>3.18</v>
      </c>
      <c r="CE16" cm="1">
        <f t="array" aca="1" ref="CE16" ca="1">IF( AND($G$7,NOT(ISBLANK($G16))), IF( _xll.IMDP("IR", $G16, CE$8, Matrix!$D$6)=0, "", _xll.IMDP("IR", $G16, CE$8, Matrix!$D$6)), "")</f>
        <v>3.1440000000000001</v>
      </c>
      <c r="CF16" cm="1">
        <f t="array" aca="1" ref="CF16" ca="1">IF( AND($G$7,NOT(ISBLANK($G16))), IF( _xll.IMDP("IR", $G16, CF$8, Matrix!$D$6)=0, "", _xll.IMDP("IR", $G16, CF$8, Matrix!$D$6)), "")</f>
        <v>3.1520000000000001</v>
      </c>
      <c r="CG16" cm="1">
        <f t="array" aca="1" ref="CG16" ca="1">IF( AND($G$7,NOT(ISBLANK($G16))), IF( _xll.IMDP("IR", $G16, CG$8, Matrix!$D$6)=0, "", _xll.IMDP("IR", $G16, CG$8, Matrix!$D$6)), "")</f>
        <v>3.1379999999999999</v>
      </c>
      <c r="CH16" cm="1">
        <f t="array" aca="1" ref="CH16" ca="1">IF( AND($G$7,NOT(ISBLANK($G16))), IF( _xll.IMDP("IR", $G16, CH$8, Matrix!$D$6)=0, "", _xll.IMDP("IR", $G16, CH$8, Matrix!$D$6)), "")</f>
        <v>3.14</v>
      </c>
      <c r="CI16" cm="1">
        <f t="array" aca="1" ref="CI16" ca="1">IF( AND($G$7,NOT(ISBLANK($G16))), IF( _xll.IMDP("IR", $G16, CI$8, Matrix!$D$6)=0, "", _xll.IMDP("IR", $G16, CI$8, Matrix!$D$6)), "")</f>
        <v>3.1419999999999999</v>
      </c>
      <c r="CJ16" cm="1">
        <f t="array" aca="1" ref="CJ16" ca="1">IF( AND($G$7,NOT(ISBLANK($G16))), IF( _xll.IMDP("IR", $G16, CJ$8, Matrix!$D$6)=0, "", _xll.IMDP("IR", $G16, CJ$8, Matrix!$D$6)), "")</f>
        <v>3.1480000000000001</v>
      </c>
      <c r="CK16" cm="1">
        <f t="array" aca="1" ref="CK16" ca="1">IF( AND($G$7,NOT(ISBLANK($G16))), IF( _xll.IMDP("IR", $G16, CK$8, Matrix!$D$6)=0, "", _xll.IMDP("IR", $G16, CK$8, Matrix!$D$6)), "")</f>
        <v>3.1749999999999998</v>
      </c>
      <c r="CL16" cm="1">
        <f t="array" aca="1" ref="CL16" ca="1">IF( AND($G$7,NOT(ISBLANK($G16))), IF( _xll.IMDP("IR", $G16, CL$8, Matrix!$D$6)=0, "", _xll.IMDP("IR", $G16, CL$8, Matrix!$D$6)), "")</f>
        <v>3.1520000000000001</v>
      </c>
      <c r="CM16" cm="1">
        <f t="array" aca="1" ref="CM16" ca="1">IF( AND($G$7,NOT(ISBLANK($G16))), IF( _xll.IMDP("IR", $G16, CM$8, Matrix!$D$6)=0, "", _xll.IMDP("IR", $G16, CM$8, Matrix!$D$6)), "")</f>
        <v>3.1579999999999999</v>
      </c>
      <c r="CN16" t="str" cm="1">
        <f t="array" aca="1" ref="CN16" ca="1">IF( AND($G$7,NOT(ISBLANK($G16))), IF( _xll.IMDP("IR", $G16, CN$8, Matrix!$D$6)=0, "", _xll.IMDP("IR", $G16, CN$8, Matrix!$D$6)), "")</f>
        <v/>
      </c>
      <c r="CO16" cm="1">
        <f t="array" aca="1" ref="CO16" ca="1">IF( AND($H$7,NOT(ISBLANK($H16))), IF( _xll.IMDP("IR", $H16, CO$8, Matrix!$D$6)=0, "", _xll.IMDP("IR", $H16, CO$8, Matrix!$D$6)), "")</f>
        <v>3.3919999999999999</v>
      </c>
      <c r="CP16" cm="1">
        <f t="array" aca="1" ref="CP16" ca="1">IF( AND($H$7,NOT(ISBLANK($H16))), IF( _xll.IMDP("IR", $H16, CP$8, Matrix!$D$6)=0, "", _xll.IMDP("IR", $H16, CP$8, Matrix!$D$6)), "")</f>
        <v>3.3570000000000002</v>
      </c>
      <c r="CQ16" cm="1">
        <f t="array" aca="1" ref="CQ16" ca="1">IF( AND($H$7,NOT(ISBLANK($H16))), IF( _xll.IMDP("IR", $H16, CQ$8, Matrix!$D$6)=0, "", _xll.IMDP("IR", $H16, CQ$8, Matrix!$D$6)), "")</f>
        <v>3.2989999999999999</v>
      </c>
      <c r="CR16" cm="1">
        <f t="array" aca="1" ref="CR16" ca="1">IF( AND($H$7,NOT(ISBLANK($H16))), IF( _xll.IMDP("IR", $H16, CR$8, Matrix!$D$6)=0, "", _xll.IMDP("IR", $H16, CR$8, Matrix!$D$6)), "")</f>
        <v>3.2570000000000001</v>
      </c>
      <c r="CS16" cm="1">
        <f t="array" aca="1" ref="CS16" ca="1">IF( AND($H$7,NOT(ISBLANK($H16))), IF( _xll.IMDP("IR", $H16, CS$8, Matrix!$D$6)=0, "", _xll.IMDP("IR", $H16, CS$8, Matrix!$D$6)), "")</f>
        <v>3.198</v>
      </c>
      <c r="CT16" cm="1">
        <f t="array" aca="1" ref="CT16" ca="1">IF( AND($H$7,NOT(ISBLANK($H16))), IF( _xll.IMDP("IR", $H16, CT$8, Matrix!$D$6)=0, "", _xll.IMDP("IR", $H16, CT$8, Matrix!$D$6)), "")</f>
        <v>3.1840000000000002</v>
      </c>
      <c r="CU16" cm="1">
        <f t="array" aca="1" ref="CU16" ca="1">IF( AND($H$7,NOT(ISBLANK($H16))), IF( _xll.IMDP("IR", $H16, CU$8, Matrix!$D$6)=0, "", _xll.IMDP("IR", $H16, CU$8, Matrix!$D$6)), "")</f>
        <v>3.153</v>
      </c>
      <c r="CV16" cm="1">
        <f t="array" aca="1" ref="CV16" ca="1">IF( AND($H$7,NOT(ISBLANK($H16))), IF( _xll.IMDP("IR", $H16, CV$8, Matrix!$D$6)=0, "", _xll.IMDP("IR", $H16, CV$8, Matrix!$D$6)), "")</f>
        <v>3.153</v>
      </c>
      <c r="CW16" cm="1">
        <f t="array" aca="1" ref="CW16" ca="1">IF( AND($H$7,NOT(ISBLANK($H16))), IF( _xll.IMDP("IR", $H16, CW$8, Matrix!$D$6)=0, "", _xll.IMDP("IR", $H16, CW$8, Matrix!$D$6)), "")</f>
        <v>3.1440000000000001</v>
      </c>
      <c r="CX16" cm="1">
        <f t="array" aca="1" ref="CX16" ca="1">IF( AND($H$7,NOT(ISBLANK($H16))), IF( _xll.IMDP("IR", $H16, CX$8, Matrix!$D$6)=0, "", _xll.IMDP("IR", $H16, CX$8, Matrix!$D$6)), "")</f>
        <v>3.145</v>
      </c>
      <c r="CY16" cm="1">
        <f t="array" aca="1" ref="CY16" ca="1">IF( AND($H$7,NOT(ISBLANK($H16))), IF( _xll.IMDP("IR", $H16, CY$8, Matrix!$D$6)=0, "", _xll.IMDP("IR", $H16, CY$8, Matrix!$D$6)), "")</f>
        <v>3.1419999999999999</v>
      </c>
      <c r="CZ16" cm="1">
        <f t="array" aca="1" ref="CZ16" ca="1">IF( AND($H$7,NOT(ISBLANK($H16))), IF( _xll.IMDP("IR", $H16, CZ$8, Matrix!$D$6)=0, "", _xll.IMDP("IR", $H16, CZ$8, Matrix!$D$6)), "")</f>
        <v>3.1549999999999998</v>
      </c>
      <c r="DA16" t="str" cm="1">
        <f t="array" aca="1" ref="DA16" ca="1">IF( AND($H$7,NOT(ISBLANK($H16))), IF( _xll.IMDP("IR", $H16, DA$8, Matrix!$D$6)=0, "", _xll.IMDP("IR", $H16, DA$8, Matrix!$D$6)), "")</f>
        <v/>
      </c>
      <c r="DB16" cm="1">
        <f t="array" aca="1" ref="DB16" ca="1">IF( AND($H$7,NOT(ISBLANK($H16))), IF( _xll.IMDP("IR", $H16, DB$8, Matrix!$D$6)=0, "", _xll.IMDP("IR", $H16, DB$8, Matrix!$D$6)), "")</f>
        <v>3.153</v>
      </c>
      <c r="DC16" cm="1">
        <f t="array" aca="1" ref="DC16" ca="1">IF( AND($H$7,NOT(ISBLANK($H16))), IF( _xll.IMDP("IR", $H16, DC$8, Matrix!$D$6)=0, "", _xll.IMDP("IR", $H16, DC$8, Matrix!$D$6)), "")</f>
        <v>3.165</v>
      </c>
      <c r="DD16" t="str" cm="1">
        <f t="array" aca="1" ref="DD16" ca="1">IF( AND($H$7,NOT(ISBLANK($H16))), IF( _xll.IMDP("IR", $H16, DD$8, Matrix!$D$6)=0, "", _xll.IMDP("IR", $H16, DD$8, Matrix!$D$6)), "")</f>
        <v/>
      </c>
    </row>
    <row r="17" spans="2:108">
      <c r="B17" t="s">
        <v>85</v>
      </c>
      <c r="C17" t="s">
        <v>159</v>
      </c>
      <c r="D17" t="s">
        <v>236</v>
      </c>
      <c r="E17" t="s">
        <v>299</v>
      </c>
      <c r="F17" t="s">
        <v>362</v>
      </c>
      <c r="G17" t="s">
        <v>428</v>
      </c>
      <c r="H17" t="s">
        <v>491</v>
      </c>
      <c r="M17" s="21">
        <f t="shared" ca="1" si="1"/>
        <v>3.4169558666715631</v>
      </c>
      <c r="N17" s="21">
        <f t="shared" ca="1" si="2"/>
        <v>3.4055347835664453</v>
      </c>
      <c r="O17" s="21">
        <f t="shared" ca="1" si="3"/>
        <v>3.3561862605966786</v>
      </c>
      <c r="P17" s="21">
        <f t="shared" ca="1" si="4"/>
        <v>3.3063876385041175</v>
      </c>
      <c r="Q17" s="21">
        <f t="shared" ca="1" si="5"/>
        <v>3.2839428465587472</v>
      </c>
      <c r="R17" s="21">
        <f t="shared" ca="1" si="6"/>
        <v>3.2839635453057396</v>
      </c>
      <c r="S17" s="21">
        <f t="shared" ca="1" si="7"/>
        <v>3.251963035658366</v>
      </c>
      <c r="T17" s="21">
        <f t="shared" ca="1" si="8"/>
        <v>3.2489957516984029</v>
      </c>
      <c r="U17" s="21">
        <f t="shared" ca="1" si="9"/>
        <v>3.2593988587545772</v>
      </c>
      <c r="V17" s="21">
        <f t="shared" ca="1" si="10"/>
        <v>3.2675977007393326</v>
      </c>
      <c r="W17" s="21">
        <f t="shared" ca="1" si="11"/>
        <v>3.2921885025103057</v>
      </c>
      <c r="X17" s="21">
        <f t="shared" ca="1" si="12"/>
        <v>3.341175676394299</v>
      </c>
      <c r="Y17" s="21">
        <f t="shared" ca="1" si="13"/>
        <v>3.3913579321324296</v>
      </c>
      <c r="Z17" s="21">
        <f t="shared" ca="1" si="14"/>
        <v>3.3993275279013582</v>
      </c>
      <c r="AA17" s="21" t="e">
        <f t="shared" ca="1" si="15"/>
        <v>#NUM!</v>
      </c>
      <c r="AB17" s="21" t="e">
        <f t="shared" ca="1" si="16"/>
        <v>#NUM!</v>
      </c>
      <c r="AC17" cm="1">
        <f t="array" aca="1" ref="AC17" ca="1">IF( AND($D$7,NOT(ISBLANK($D17))), IF(_xll.IMDP("IR", $D17, AC$8, Matrix!$D$6)=0,"",_xll.IMDP("IR", $D17, AC$8, Matrix!$D$6)), "")</f>
        <v>3.444</v>
      </c>
      <c r="AD17" cm="1">
        <f t="array" aca="1" ref="AD17" ca="1">IF( AND($D$7,NOT(ISBLANK($D17))), IF(_xll.IMDP("IR", $D17, AD$8, Matrix!$D$6)=0,"",_xll.IMDP("IR", $D17, AD$8, Matrix!$D$6)), "")</f>
        <v>3.44</v>
      </c>
      <c r="AE17" cm="1">
        <f t="array" aca="1" ref="AE17" ca="1">IF( AND($D$7,NOT(ISBLANK($D17))), IF(_xll.IMDP("IR", $D17, AE$8, Matrix!$D$6)=0,"",_xll.IMDP("IR", $D17, AE$8, Matrix!$D$6)), "")</f>
        <v>3.37</v>
      </c>
      <c r="AF17" cm="1">
        <f t="array" aca="1" ref="AF17" ca="1">IF( AND($D$7,NOT(ISBLANK($D17))), IF(_xll.IMDP("IR", $D17, AF$8, Matrix!$D$6)=0,"",_xll.IMDP("IR", $D17, AF$8, Matrix!$D$6)), "")</f>
        <v>3.3220000000000001</v>
      </c>
      <c r="AG17" cm="1">
        <f t="array" aca="1" ref="AG17" ca="1">IF( AND($D$7,NOT(ISBLANK($D17))), IF(_xll.IMDP("IR", $D17, AG$8, Matrix!$D$6)=0,"",_xll.IMDP("IR", $D17, AG$8, Matrix!$D$6)), "")</f>
        <v>3.2909999999999999</v>
      </c>
      <c r="AH17" cm="1">
        <f t="array" aca="1" ref="AH17" ca="1">IF( AND($D$7,NOT(ISBLANK($D17))), IF(_xll.IMDP("IR", $D17, AH$8, Matrix!$D$6)=0,"",_xll.IMDP("IR", $D17, AH$8, Matrix!$D$6)), "")</f>
        <v>3.274</v>
      </c>
      <c r="AI17" cm="1">
        <f t="array" aca="1" ref="AI17" ca="1">IF( AND($D$7,NOT(ISBLANK($D17))), IF(_xll.IMDP("IR", $D17, AI$8, Matrix!$D$6)=0,"",_xll.IMDP("IR", $D17, AI$8, Matrix!$D$6)), "")</f>
        <v>3.2360000000000002</v>
      </c>
      <c r="AJ17" cm="1">
        <f t="array" aca="1" ref="AJ17" ca="1">IF( AND($D$7,NOT(ISBLANK($D17))), IF(_xll.IMDP("IR", $D17, AJ$8, Matrix!$D$6)=0,"",_xll.IMDP("IR", $D17, AJ$8, Matrix!$D$6)), "")</f>
        <v>3.2410000000000001</v>
      </c>
      <c r="AK17" cm="1">
        <f t="array" aca="1" ref="AK17" ca="1">IF( AND($D$7,NOT(ISBLANK($D17))), IF(_xll.IMDP("IR", $D17, AK$8, Matrix!$D$6)=0,"",_xll.IMDP("IR", $D17, AK$8, Matrix!$D$6)), "")</f>
        <v>3.2570000000000001</v>
      </c>
      <c r="AL17" cm="1">
        <f t="array" aca="1" ref="AL17" ca="1">IF( AND($D$7,NOT(ISBLANK($D17))), IF(_xll.IMDP("IR", $D17, AL$8, Matrix!$D$6)=0,"",_xll.IMDP("IR", $D17, AL$8, Matrix!$D$6)), "")</f>
        <v>3.2749999999999999</v>
      </c>
      <c r="AM17" cm="1">
        <f t="array" aca="1" ref="AM17" ca="1">IF( AND($D$7,NOT(ISBLANK($D17))), IF(_xll.IMDP("IR", $D17, AM$8, Matrix!$D$6)=0,"",_xll.IMDP("IR", $D17, AM$8, Matrix!$D$6)), "")</f>
        <v>3.3069999999999999</v>
      </c>
      <c r="AN17" cm="1">
        <f t="array" aca="1" ref="AN17" ca="1">IF( AND($D$7,NOT(ISBLANK($D17))), IF(_xll.IMDP("IR", $D17, AN$8, Matrix!$D$6)=0,"",_xll.IMDP("IR", $D17, AN$8, Matrix!$D$6)), "")</f>
        <v>3.36</v>
      </c>
      <c r="AO17" cm="1">
        <f t="array" aca="1" ref="AO17" ca="1">IF( AND($D$7,NOT(ISBLANK($D17))), IF(_xll.IMDP("IR", $D17, AO$8, Matrix!$D$6)=0,"",_xll.IMDP("IR", $D17, AO$8, Matrix!$D$6)), "")</f>
        <v>3.4409999999999998</v>
      </c>
      <c r="AP17" cm="1">
        <f t="array" aca="1" ref="AP17" ca="1">IF( AND($D$7,NOT(ISBLANK($D17))), IF(_xll.IMDP("IR", $D17, AP$8, Matrix!$D$6)=0,"",_xll.IMDP("IR", $D17, AP$8, Matrix!$D$6)), "")</f>
        <v>3.4380000000000002</v>
      </c>
      <c r="AQ17" t="str" cm="1">
        <f t="array" aca="1" ref="AQ17" ca="1">IF( AND($D$7,NOT(ISBLANK($D17))), IF(_xll.IMDP("IR", $D17, AQ$8, Matrix!$D$6)=0,"",_xll.IMDP("IR", $D17, AQ$8, Matrix!$D$6)), "")</f>
        <v/>
      </c>
      <c r="AR17" t="str" cm="1">
        <f t="array" aca="1" ref="AR17" ca="1">IF( AND($D$7,NOT(ISBLANK($D17))), IF(_xll.IMDP("IR", $D17, AR$8, Matrix!$D$6)=0,"",_xll.IMDP("IR", $D17, AR$8, Matrix!$D$6)), "")</f>
        <v/>
      </c>
      <c r="AS17" cm="1">
        <f t="array" aca="1" ref="AS17" ca="1">IF( AND($E$7,NOT(ISBLANK($E17))), IF( _xll.IMDP("IR", $E17, AS$8, Matrix!$D$6)=0,"",_xll.IMDP("IR", $E17, AS$8, Matrix!$D$6)), "")</f>
        <v>3.4220000000000002</v>
      </c>
      <c r="AT17" cm="1">
        <f t="array" aca="1" ref="AT17" ca="1">IF( AND($E$7,NOT(ISBLANK($E17))), IF( _xll.IMDP("IR", $E17, AT$8, Matrix!$D$6)=0,"",_xll.IMDP("IR", $E17, AT$8, Matrix!$D$6)), "")</f>
        <v>3.411</v>
      </c>
      <c r="AU17" cm="1">
        <f t="array" aca="1" ref="AU17" ca="1">IF( AND($E$7,NOT(ISBLANK($E17))), IF( _xll.IMDP("IR", $E17, AU$8, Matrix!$D$6)=0,"",_xll.IMDP("IR", $E17, AU$8, Matrix!$D$6)), "")</f>
        <v>3.359</v>
      </c>
      <c r="AV17" cm="1">
        <f t="array" aca="1" ref="AV17" ca="1">IF( AND($E$7,NOT(ISBLANK($E17))), IF( _xll.IMDP("IR", $E17, AV$8, Matrix!$D$6)=0,"",_xll.IMDP("IR", $E17, AV$8, Matrix!$D$6)), "")</f>
        <v>3.3090000000000002</v>
      </c>
      <c r="AW17" cm="1">
        <f t="array" aca="1" ref="AW17" ca="1">IF( AND($E$7,NOT(ISBLANK($E17))), IF( _xll.IMDP("IR", $E17, AW$8, Matrix!$D$6)=0,"",_xll.IMDP("IR", $E17, AW$8, Matrix!$D$6)), "")</f>
        <v>3.2989999999999999</v>
      </c>
      <c r="AX17" cm="1">
        <f t="array" aca="1" ref="AX17" ca="1">IF( AND($E$7,NOT(ISBLANK($E17))), IF( _xll.IMDP("IR", $E17, AX$8, Matrix!$D$6)=0,"",_xll.IMDP("IR", $E17, AX$8, Matrix!$D$6)), "")</f>
        <v>3.3140000000000001</v>
      </c>
      <c r="AY17" cm="1">
        <f t="array" aca="1" ref="AY17" ca="1">IF( AND($E$7,NOT(ISBLANK($E17))), IF( _xll.IMDP("IR", $E17, AY$8, Matrix!$D$6)=0,"",_xll.IMDP("IR", $E17, AY$8, Matrix!$D$6)), "")</f>
        <v>3.2810000000000001</v>
      </c>
      <c r="AZ17" cm="1">
        <f t="array" aca="1" ref="AZ17" ca="1">IF( AND($E$7,NOT(ISBLANK($E17))), IF( _xll.IMDP("IR", $E17, AZ$8, Matrix!$D$6)=0,"",_xll.IMDP("IR", $E17, AZ$8, Matrix!$D$6)), "")</f>
        <v>3.246</v>
      </c>
      <c r="BA17" cm="1">
        <f t="array" aca="1" ref="BA17" ca="1">IF( AND($E$7,NOT(ISBLANK($E17))), IF( _xll.IMDP("IR", $E17, BA$8, Matrix!$D$6)=0,"",_xll.IMDP("IR", $E17, BA$8, Matrix!$D$6)), "")</f>
        <v>3.2629999999999999</v>
      </c>
      <c r="BB17" cm="1">
        <f t="array" aca="1" ref="BB17" ca="1">IF( AND($E$7,NOT(ISBLANK($E17))), IF( _xll.IMDP("IR", $E17, BB$8, Matrix!$D$6)=0,"",_xll.IMDP("IR", $E17, BB$8, Matrix!$D$6)), "")</f>
        <v>3.2669999999999999</v>
      </c>
      <c r="BC17" cm="1">
        <f t="array" aca="1" ref="BC17" ca="1">IF( AND($E$7,NOT(ISBLANK($E17))), IF( _xll.IMDP("IR", $E17, BC$8, Matrix!$D$6)=0,"",_xll.IMDP("IR", $E17, BC$8, Matrix!$D$6)), "")</f>
        <v>3.2930000000000001</v>
      </c>
      <c r="BD17" cm="1">
        <f t="array" aca="1" ref="BD17" ca="1">IF( AND($E$7,NOT(ISBLANK($E17))), IF( _xll.IMDP("IR", $E17, BD$8, Matrix!$D$6)=0,"",_xll.IMDP("IR", $E17, BD$8, Matrix!$D$6)), "")</f>
        <v>3.3490000000000002</v>
      </c>
      <c r="BE17" cm="1">
        <f t="array" aca="1" ref="BE17" ca="1">IF( AND($E$7,NOT(ISBLANK($E17))), IF( _xll.IMDP("IR", $E17, BE$8, Matrix!$D$6)=0,"",_xll.IMDP("IR", $E17, BE$8, Matrix!$D$6)), "")</f>
        <v>3.379</v>
      </c>
      <c r="BF17" cm="1">
        <f t="array" aca="1" ref="BF17" ca="1">IF( AND($E$7,NOT(ISBLANK($E17))), IF( _xll.IMDP("IR", $E17, BF$8, Matrix!$D$6)=0,"",_xll.IMDP("IR", $E17, BF$8, Matrix!$D$6)), "")</f>
        <v>3.3919999999999999</v>
      </c>
      <c r="BG17" t="str" cm="1">
        <f t="array" aca="1" ref="BG17" ca="1">IF( AND($E$7,NOT(ISBLANK($E17))), IF( _xll.IMDP("IR", $E17, BG$8, Matrix!$D$6)=0,"",_xll.IMDP("IR", $E17, BG$8, Matrix!$D$6)), "")</f>
        <v/>
      </c>
      <c r="BH17" t="str" cm="1">
        <f t="array" aca="1" ref="BH17" ca="1">IF( AND($E$7,NOT(ISBLANK($E17))), IF( _xll.IMDP("IR", $E17, BH$8, Matrix!$D$6)=0,"",_xll.IMDP("IR", $E17, BH$8, Matrix!$D$6)), "")</f>
        <v/>
      </c>
      <c r="BI17" cm="1">
        <f t="array" aca="1" ref="BI17" ca="1">IF( AND($F$7,NOT(ISBLANK($F17))), IF( _xll.IMDP("IR", $F17, BI$8, Matrix!$D$6)=0,"",_xll.IMDP("IR", $F17, BI$8, Matrix!$D$6)), "")</f>
        <v>3.39</v>
      </c>
      <c r="BJ17" cm="1">
        <f t="array" aca="1" ref="BJ17" ca="1">IF( AND($F$7,NOT(ISBLANK($F17))), IF( _xll.IMDP("IR", $F17, BJ$8, Matrix!$D$6)=0,"",_xll.IMDP("IR", $F17, BJ$8, Matrix!$D$6)), "")</f>
        <v>3.375</v>
      </c>
      <c r="BK17" cm="1">
        <f t="array" aca="1" ref="BK17" ca="1">IF( AND($F$7,NOT(ISBLANK($F17))), IF( _xll.IMDP("IR", $F17, BK$8, Matrix!$D$6)=0,"",_xll.IMDP("IR", $F17, BK$8, Matrix!$D$6)), "")</f>
        <v>3.34</v>
      </c>
      <c r="BL17" cm="1">
        <f t="array" aca="1" ref="BL17" ca="1">IF( AND($F$7,NOT(ISBLANK($F17))), IF( _xll.IMDP("IR", $F17, BL$8, Matrix!$D$6)=0,"",_xll.IMDP("IR", $F17, BL$8, Matrix!$D$6)), "")</f>
        <v>3.298</v>
      </c>
      <c r="BM17" cm="1">
        <f t="array" aca="1" ref="BM17" ca="1">IF( AND($F$7,NOT(ISBLANK($F17))), IF( _xll.IMDP("IR", $F17, BM$8, Matrix!$D$6)=0,"",_xll.IMDP("IR", $F17, BM$8, Matrix!$D$6)), "")</f>
        <v>3.2469999999999999</v>
      </c>
      <c r="BN17" cm="1">
        <f t="array" aca="1" ref="BN17" ca="1">IF( AND($F$7,NOT(ISBLANK($F17))), IF( _xll.IMDP("IR", $F17, BN$8, Matrix!$D$6)=0,"",_xll.IMDP("IR", $F17, BN$8, Matrix!$D$6)), "")</f>
        <v>3.2730000000000001</v>
      </c>
      <c r="BO17" cm="1">
        <f t="array" aca="1" ref="BO17" ca="1">IF( AND($F$7,NOT(ISBLANK($F17))), IF( _xll.IMDP("IR", $F17, BO$8, Matrix!$D$6)=0,"",_xll.IMDP("IR", $F17, BO$8, Matrix!$D$6)), "")</f>
        <v>3.2490000000000001</v>
      </c>
      <c r="BP17" cm="1">
        <f t="array" aca="1" ref="BP17" ca="1">IF( AND($F$7,NOT(ISBLANK($F17))), IF( _xll.IMDP("IR", $F17, BP$8, Matrix!$D$6)=0,"",_xll.IMDP("IR", $F17, BP$8, Matrix!$D$6)), "")</f>
        <v>3.2530000000000001</v>
      </c>
      <c r="BQ17" cm="1">
        <f t="array" aca="1" ref="BQ17" ca="1">IF( AND($F$7,NOT(ISBLANK($F17))), IF( _xll.IMDP("IR", $F17, BQ$8, Matrix!$D$6)=0,"",_xll.IMDP("IR", $F17, BQ$8, Matrix!$D$6)), "")</f>
        <v>3.2559999999999998</v>
      </c>
      <c r="BR17" cm="1">
        <f t="array" aca="1" ref="BR17" ca="1">IF( AND($F$7,NOT(ISBLANK($F17))), IF( _xll.IMDP("IR", $F17, BR$8, Matrix!$D$6)=0,"",_xll.IMDP("IR", $F17, BR$8, Matrix!$D$6)), "")</f>
        <v>3.2650000000000001</v>
      </c>
      <c r="BS17" cm="1">
        <f t="array" aca="1" ref="BS17" ca="1">IF( AND($F$7,NOT(ISBLANK($F17))), IF( _xll.IMDP("IR", $F17, BS$8, Matrix!$D$6)=0,"",_xll.IMDP("IR", $F17, BS$8, Matrix!$D$6)), "")</f>
        <v>3.28</v>
      </c>
      <c r="BT17" cm="1">
        <f t="array" aca="1" ref="BT17" ca="1">IF( AND($F$7,NOT(ISBLANK($F17))), IF( _xll.IMDP("IR", $F17, BT$8, Matrix!$D$6)=0,"",_xll.IMDP("IR", $F17, BT$8, Matrix!$D$6)), "")</f>
        <v>3.323</v>
      </c>
      <c r="BU17" cm="1">
        <f t="array" aca="1" ref="BU17" ca="1">IF( AND($F$7,NOT(ISBLANK($F17))), IF( _xll.IMDP("IR", $F17, BU$8, Matrix!$D$6)=0,"",_xll.IMDP("IR", $F17, BU$8, Matrix!$D$6)), "")</f>
        <v>3.3559999999999999</v>
      </c>
      <c r="BV17" cm="1">
        <f t="array" aca="1" ref="BV17" ca="1">IF( AND($F$7,NOT(ISBLANK($F17))), IF( _xll.IMDP("IR", $F17, BV$8, Matrix!$D$6)=0,"",_xll.IMDP("IR", $F17, BV$8, Matrix!$D$6)), "")</f>
        <v>3.3690000000000002</v>
      </c>
      <c r="BW17" t="str" cm="1">
        <f t="array" aca="1" ref="BW17" ca="1">IF( AND($F$7,NOT(ISBLANK($F17))), IF( _xll.IMDP("IR", $F17, BW$8, Matrix!$D$6)=0,"",_xll.IMDP("IR", $F17, BW$8, Matrix!$D$6)), "")</f>
        <v/>
      </c>
      <c r="BX17" t="str" cm="1">
        <f t="array" aca="1" ref="BX17" ca="1">IF( AND($F$7,NOT(ISBLANK($F17))), IF( _xll.IMDP("IR", $F17, BX$8, Matrix!$D$6)=0,"",_xll.IMDP("IR", $F17, BX$8, Matrix!$D$6)), "")</f>
        <v/>
      </c>
      <c r="BY17" cm="1">
        <f t="array" aca="1" ref="BY17" ca="1">IF( AND($G$7,NOT(ISBLANK($G17))), IF( _xll.IMDP("IR", $G17, BY$8, Matrix!$D$6)=0, "", _xll.IMDP("IR", $G17, BY$8, Matrix!$D$6)), "")</f>
        <v>3.4119999999999999</v>
      </c>
      <c r="BZ17" cm="1">
        <f t="array" aca="1" ref="BZ17" ca="1">IF( AND($G$7,NOT(ISBLANK($G17))), IF( _xll.IMDP("IR", $G17, BZ$8, Matrix!$D$6)=0, "", _xll.IMDP("IR", $G17, BZ$8, Matrix!$D$6)), "")</f>
        <v>3.3969999999999998</v>
      </c>
      <c r="CA17" cm="1">
        <f t="array" aca="1" ref="CA17" ca="1">IF( AND($G$7,NOT(ISBLANK($G17))), IF( _xll.IMDP("IR", $G17, CA$8, Matrix!$D$6)=0, "", _xll.IMDP("IR", $G17, CA$8, Matrix!$D$6)), "")</f>
        <v>3.3559999999999999</v>
      </c>
      <c r="CB17" cm="1">
        <f t="array" aca="1" ref="CB17" ca="1">IF( AND($G$7,NOT(ISBLANK($G17))), IF( _xll.IMDP("IR", $G17, CB$8, Matrix!$D$6)=0, "", _xll.IMDP("IR", $G17, CB$8, Matrix!$D$6)), "")</f>
        <v>3.2970000000000002</v>
      </c>
      <c r="CC17" cm="1">
        <f t="array" aca="1" ref="CC17" ca="1">IF( AND($G$7,NOT(ISBLANK($G17))), IF( _xll.IMDP("IR", $G17, CC$8, Matrix!$D$6)=0, "", _xll.IMDP("IR", $G17, CC$8, Matrix!$D$6)), "")</f>
        <v>3.2989999999999999</v>
      </c>
      <c r="CD17" cm="1">
        <f t="array" aca="1" ref="CD17" ca="1">IF( AND($G$7,NOT(ISBLANK($G17))), IF( _xll.IMDP("IR", $G17, CD$8, Matrix!$D$6)=0, "", _xll.IMDP("IR", $G17, CD$8, Matrix!$D$6)), "")</f>
        <v>3.2749999999999999</v>
      </c>
      <c r="CE17" cm="1">
        <f t="array" aca="1" ref="CE17" ca="1">IF( AND($G$7,NOT(ISBLANK($G17))), IF( _xll.IMDP("IR", $G17, CE$8, Matrix!$D$6)=0, "", _xll.IMDP("IR", $G17, CE$8, Matrix!$D$6)), "")</f>
        <v>3.242</v>
      </c>
      <c r="CF17" cm="1">
        <f t="array" aca="1" ref="CF17" ca="1">IF( AND($G$7,NOT(ISBLANK($G17))), IF( _xll.IMDP("IR", $G17, CF$8, Matrix!$D$6)=0, "", _xll.IMDP("IR", $G17, CF$8, Matrix!$D$6)), "")</f>
        <v>3.2559999999999998</v>
      </c>
      <c r="CG17" cm="1">
        <f t="array" aca="1" ref="CG17" ca="1">IF( AND($G$7,NOT(ISBLANK($G17))), IF( _xll.IMDP("IR", $G17, CG$8, Matrix!$D$6)=0, "", _xll.IMDP("IR", $G17, CG$8, Matrix!$D$6)), "")</f>
        <v>3.262</v>
      </c>
      <c r="CH17" cm="1">
        <f t="array" aca="1" ref="CH17" ca="1">IF( AND($G$7,NOT(ISBLANK($G17))), IF( _xll.IMDP("IR", $G17, CH$8, Matrix!$D$6)=0, "", _xll.IMDP("IR", $G17, CH$8, Matrix!$D$6)), "")</f>
        <v>3.2639999999999998</v>
      </c>
      <c r="CI17" cm="1">
        <f t="array" aca="1" ref="CI17" ca="1">IF( AND($G$7,NOT(ISBLANK($G17))), IF( _xll.IMDP("IR", $G17, CI$8, Matrix!$D$6)=0, "", _xll.IMDP("IR", $G17, CI$8, Matrix!$D$6)), "")</f>
        <v>3.2890000000000001</v>
      </c>
      <c r="CJ17" cm="1">
        <f t="array" aca="1" ref="CJ17" ca="1">IF( AND($G$7,NOT(ISBLANK($G17))), IF( _xll.IMDP("IR", $G17, CJ$8, Matrix!$D$6)=0, "", _xll.IMDP("IR", $G17, CJ$8, Matrix!$D$6)), "")</f>
        <v>3.3330000000000002</v>
      </c>
      <c r="CK17" cm="1">
        <f t="array" aca="1" ref="CK17" ca="1">IF( AND($G$7,NOT(ISBLANK($G17))), IF( _xll.IMDP("IR", $G17, CK$8, Matrix!$D$6)=0, "", _xll.IMDP("IR", $G17, CK$8, Matrix!$D$6)), "")</f>
        <v>3.39</v>
      </c>
      <c r="CL17" cm="1">
        <f t="array" aca="1" ref="CL17" ca="1">IF( AND($G$7,NOT(ISBLANK($G17))), IF( _xll.IMDP("IR", $G17, CL$8, Matrix!$D$6)=0, "", _xll.IMDP("IR", $G17, CL$8, Matrix!$D$6)), "")</f>
        <v>3.399</v>
      </c>
      <c r="CM17" t="str" cm="1">
        <f t="array" aca="1" ref="CM17" ca="1">IF( AND($G$7,NOT(ISBLANK($G17))), IF( _xll.IMDP("IR", $G17, CM$8, Matrix!$D$6)=0, "", _xll.IMDP("IR", $G17, CM$8, Matrix!$D$6)), "")</f>
        <v/>
      </c>
      <c r="CN17" t="str" cm="1">
        <f t="array" aca="1" ref="CN17" ca="1">IF( AND($G$7,NOT(ISBLANK($G17))), IF( _xll.IMDP("IR", $G17, CN$8, Matrix!$D$6)=0, "", _xll.IMDP("IR", $G17, CN$8, Matrix!$D$6)), "")</f>
        <v/>
      </c>
      <c r="CO17" cm="1">
        <f t="array" aca="1" ref="CO17" ca="1">IF( AND($H$7,NOT(ISBLANK($H17))), IF( _xll.IMDP("IR", $H17, CO$8, Matrix!$D$6)=0, "", _xll.IMDP("IR", $H17, CO$8, Matrix!$D$6)), "")</f>
        <v>3.4169999999999998</v>
      </c>
      <c r="CP17" cm="1">
        <f t="array" aca="1" ref="CP17" ca="1">IF( AND($H$7,NOT(ISBLANK($H17))), IF( _xll.IMDP("IR", $H17, CP$8, Matrix!$D$6)=0, "", _xll.IMDP("IR", $H17, CP$8, Matrix!$D$6)), "")</f>
        <v>3.4049999999999998</v>
      </c>
      <c r="CQ17" cm="1">
        <f t="array" aca="1" ref="CQ17" ca="1">IF( AND($H$7,NOT(ISBLANK($H17))), IF( _xll.IMDP("IR", $H17, CQ$8, Matrix!$D$6)=0, "", _xll.IMDP("IR", $H17, CQ$8, Matrix!$D$6)), "")</f>
        <v>3.3559999999999999</v>
      </c>
      <c r="CR17" cm="1">
        <f t="array" aca="1" ref="CR17" ca="1">IF( AND($H$7,NOT(ISBLANK($H17))), IF( _xll.IMDP("IR", $H17, CR$8, Matrix!$D$6)=0, "", _xll.IMDP("IR", $H17, CR$8, Matrix!$D$6)), "")</f>
        <v>3.306</v>
      </c>
      <c r="CS17" cm="1">
        <f t="array" aca="1" ref="CS17" ca="1">IF( AND($H$7,NOT(ISBLANK($H17))), IF( _xll.IMDP("IR", $H17, CS$8, Matrix!$D$6)=0, "", _xll.IMDP("IR", $H17, CS$8, Matrix!$D$6)), "")</f>
        <v>3.2839999999999998</v>
      </c>
      <c r="CT17" cm="1">
        <f t="array" aca="1" ref="CT17" ca="1">IF( AND($H$7,NOT(ISBLANK($H17))), IF( _xll.IMDP("IR", $H17, CT$8, Matrix!$D$6)=0, "", _xll.IMDP("IR", $H17, CT$8, Matrix!$D$6)), "")</f>
        <v>3.2839999999999998</v>
      </c>
      <c r="CU17" cm="1">
        <f t="array" aca="1" ref="CU17" ca="1">IF( AND($H$7,NOT(ISBLANK($H17))), IF( _xll.IMDP("IR", $H17, CU$8, Matrix!$D$6)=0, "", _xll.IMDP("IR", $H17, CU$8, Matrix!$D$6)), "")</f>
        <v>3.2519999999999998</v>
      </c>
      <c r="CV17" cm="1">
        <f t="array" aca="1" ref="CV17" ca="1">IF( AND($H$7,NOT(ISBLANK($H17))), IF( _xll.IMDP("IR", $H17, CV$8, Matrix!$D$6)=0, "", _xll.IMDP("IR", $H17, CV$8, Matrix!$D$6)), "")</f>
        <v>3.2490000000000001</v>
      </c>
      <c r="CW17" cm="1">
        <f t="array" aca="1" ref="CW17" ca="1">IF( AND($H$7,NOT(ISBLANK($H17))), IF( _xll.IMDP("IR", $H17, CW$8, Matrix!$D$6)=0, "", _xll.IMDP("IR", $H17, CW$8, Matrix!$D$6)), "")</f>
        <v>3.2589999999999999</v>
      </c>
      <c r="CX17" cm="1">
        <f t="array" aca="1" ref="CX17" ca="1">IF( AND($H$7,NOT(ISBLANK($H17))), IF( _xll.IMDP("IR", $H17, CX$8, Matrix!$D$6)=0, "", _xll.IMDP("IR", $H17, CX$8, Matrix!$D$6)), "")</f>
        <v>3.2669999999999999</v>
      </c>
      <c r="CY17" cm="1">
        <f t="array" aca="1" ref="CY17" ca="1">IF( AND($H$7,NOT(ISBLANK($H17))), IF( _xll.IMDP("IR", $H17, CY$8, Matrix!$D$6)=0, "", _xll.IMDP("IR", $H17, CY$8, Matrix!$D$6)), "")</f>
        <v>3.2919999999999998</v>
      </c>
      <c r="CZ17" cm="1">
        <f t="array" aca="1" ref="CZ17" ca="1">IF( AND($H$7,NOT(ISBLANK($H17))), IF( _xll.IMDP("IR", $H17, CZ$8, Matrix!$D$6)=0, "", _xll.IMDP("IR", $H17, CZ$8, Matrix!$D$6)), "")</f>
        <v>3.3410000000000002</v>
      </c>
      <c r="DA17" t="str" cm="1">
        <f t="array" aca="1" ref="DA17" ca="1">IF( AND($H$7,NOT(ISBLANK($H17))), IF( _xll.IMDP("IR", $H17, DA$8, Matrix!$D$6)=0, "", _xll.IMDP("IR", $H17, DA$8, Matrix!$D$6)), "")</f>
        <v/>
      </c>
      <c r="DB17" cm="1">
        <f t="array" aca="1" ref="DB17" ca="1">IF( AND($H$7,NOT(ISBLANK($H17))), IF( _xll.IMDP("IR", $H17, DB$8, Matrix!$D$6)=0, "", _xll.IMDP("IR", $H17, DB$8, Matrix!$D$6)), "")</f>
        <v>3.399</v>
      </c>
      <c r="DC17" t="str" cm="1">
        <f t="array" aca="1" ref="DC17" ca="1">IF( AND($H$7,NOT(ISBLANK($H17))), IF( _xll.IMDP("IR", $H17, DC$8, Matrix!$D$6)=0, "", _xll.IMDP("IR", $H17, DC$8, Matrix!$D$6)), "")</f>
        <v/>
      </c>
      <c r="DD17" t="str" cm="1">
        <f t="array" aca="1" ref="DD17" ca="1">IF( AND($H$7,NOT(ISBLANK($H17))), IF( _xll.IMDP("IR", $H17, DD$8, Matrix!$D$6)=0, "", _xll.IMDP("IR", $H17, DD$8, Matrix!$D$6)), "")</f>
        <v/>
      </c>
    </row>
    <row r="18" spans="2:108">
      <c r="B18" t="s">
        <v>86</v>
      </c>
      <c r="C18" t="s">
        <v>160</v>
      </c>
      <c r="D18" t="s">
        <v>237</v>
      </c>
      <c r="E18" t="s">
        <v>300</v>
      </c>
      <c r="F18" t="s">
        <v>363</v>
      </c>
      <c r="G18" t="s">
        <v>429</v>
      </c>
      <c r="H18" t="s">
        <v>492</v>
      </c>
      <c r="M18" s="21">
        <f t="shared" ca="1" si="1"/>
        <v>3.4714793629733571</v>
      </c>
      <c r="N18" s="21">
        <f t="shared" ca="1" si="2"/>
        <v>3.4781101173442024</v>
      </c>
      <c r="O18" s="21">
        <f t="shared" ca="1" si="3"/>
        <v>3.4425921782269784</v>
      </c>
      <c r="P18" s="21">
        <f t="shared" ca="1" si="4"/>
        <v>3.409984818020833</v>
      </c>
      <c r="Q18" s="21">
        <f t="shared" ca="1" si="5"/>
        <v>3.4089049430372098</v>
      </c>
      <c r="R18" s="21">
        <f t="shared" ca="1" si="6"/>
        <v>3.412984872409905</v>
      </c>
      <c r="S18" s="21">
        <f t="shared" ca="1" si="7"/>
        <v>3.3891691787307408</v>
      </c>
      <c r="T18" s="21">
        <f t="shared" ca="1" si="8"/>
        <v>3.3983890251711983</v>
      </c>
      <c r="U18" s="21">
        <f t="shared" ca="1" si="9"/>
        <v>3.3993966701893816</v>
      </c>
      <c r="V18" s="21">
        <f t="shared" ca="1" si="10"/>
        <v>3.4103912804574699</v>
      </c>
      <c r="W18" s="21">
        <f t="shared" ca="1" si="11"/>
        <v>3.4341988121557594</v>
      </c>
      <c r="X18" s="21">
        <f t="shared" ca="1" si="12"/>
        <v>3.4895977320563731</v>
      </c>
      <c r="Y18" s="21">
        <f t="shared" ca="1" si="13"/>
        <v>3.5544075388594623</v>
      </c>
      <c r="Z18" s="21">
        <f t="shared" ca="1" si="14"/>
        <v>3.5629590536690334</v>
      </c>
      <c r="AA18" s="21" t="e">
        <f t="shared" ca="1" si="15"/>
        <v>#NUM!</v>
      </c>
      <c r="AB18" s="21" t="e">
        <f t="shared" ca="1" si="16"/>
        <v>#NUM!</v>
      </c>
      <c r="AC18" cm="1">
        <f t="array" aca="1" ref="AC18" ca="1">IF( AND($D$7,NOT(ISBLANK($D18))), IF(_xll.IMDP("IR", $D18, AC$8, Matrix!$D$6)=0,"",_xll.IMDP("IR", $D18, AC$8, Matrix!$D$6)), "")</f>
        <v>3.504</v>
      </c>
      <c r="AD18" cm="1">
        <f t="array" aca="1" ref="AD18" ca="1">IF( AND($D$7,NOT(ISBLANK($D18))), IF(_xll.IMDP("IR", $D18, AD$8, Matrix!$D$6)=0,"",_xll.IMDP("IR", $D18, AD$8, Matrix!$D$6)), "")</f>
        <v>3.5129999999999999</v>
      </c>
      <c r="AE18" cm="1">
        <f t="array" aca="1" ref="AE18" ca="1">IF( AND($D$7,NOT(ISBLANK($D18))), IF(_xll.IMDP("IR", $D18, AE$8, Matrix!$D$6)=0,"",_xll.IMDP("IR", $D18, AE$8, Matrix!$D$6)), "")</f>
        <v>3.4529999999999998</v>
      </c>
      <c r="AF18" cm="1">
        <f t="array" aca="1" ref="AF18" ca="1">IF( AND($D$7,NOT(ISBLANK($D18))), IF(_xll.IMDP("IR", $D18, AF$8, Matrix!$D$6)=0,"",_xll.IMDP("IR", $D18, AF$8, Matrix!$D$6)), "")</f>
        <v>3.427</v>
      </c>
      <c r="AG18" cm="1">
        <f t="array" aca="1" ref="AG18" ca="1">IF( AND($D$7,NOT(ISBLANK($D18))), IF(_xll.IMDP("IR", $D18, AG$8, Matrix!$D$6)=0,"",_xll.IMDP("IR", $D18, AG$8, Matrix!$D$6)), "")</f>
        <v>3.4260000000000002</v>
      </c>
      <c r="AH18" cm="1">
        <f t="array" aca="1" ref="AH18" ca="1">IF( AND($D$7,NOT(ISBLANK($D18))), IF(_xll.IMDP("IR", $D18, AH$8, Matrix!$D$6)=0,"",_xll.IMDP("IR", $D18, AH$8, Matrix!$D$6)), "")</f>
        <v>3.4140000000000001</v>
      </c>
      <c r="AI18" cm="1">
        <f t="array" aca="1" ref="AI18" ca="1">IF( AND($D$7,NOT(ISBLANK($D18))), IF(_xll.IMDP("IR", $D18, AI$8, Matrix!$D$6)=0,"",_xll.IMDP("IR", $D18, AI$8, Matrix!$D$6)), "")</f>
        <v>3.38</v>
      </c>
      <c r="AJ18" cm="1">
        <f t="array" aca="1" ref="AJ18" ca="1">IF( AND($D$7,NOT(ISBLANK($D18))), IF(_xll.IMDP("IR", $D18, AJ$8, Matrix!$D$6)=0,"",_xll.IMDP("IR", $D18, AJ$8, Matrix!$D$6)), "")</f>
        <v>3.3860000000000001</v>
      </c>
      <c r="AK18" cm="1">
        <f t="array" aca="1" ref="AK18" ca="1">IF( AND($D$7,NOT(ISBLANK($D18))), IF(_xll.IMDP("IR", $D18, AK$8, Matrix!$D$6)=0,"",_xll.IMDP("IR", $D18, AK$8, Matrix!$D$6)), "")</f>
        <v>3.4</v>
      </c>
      <c r="AL18" cm="1">
        <f t="array" aca="1" ref="AL18" ca="1">IF( AND($D$7,NOT(ISBLANK($D18))), IF(_xll.IMDP("IR", $D18, AL$8, Matrix!$D$6)=0,"",_xll.IMDP("IR", $D18, AL$8, Matrix!$D$6)), "")</f>
        <v>3.4180000000000001</v>
      </c>
      <c r="AM18" cm="1">
        <f t="array" aca="1" ref="AM18" ca="1">IF( AND($D$7,NOT(ISBLANK($D18))), IF(_xll.IMDP("IR", $D18, AM$8, Matrix!$D$6)=0,"",_xll.IMDP("IR", $D18, AM$8, Matrix!$D$6)), "")</f>
        <v>3.4340000000000002</v>
      </c>
      <c r="AN18" cm="1">
        <f t="array" aca="1" ref="AN18" ca="1">IF( AND($D$7,NOT(ISBLANK($D18))), IF(_xll.IMDP("IR", $D18, AN$8, Matrix!$D$6)=0,"",_xll.IMDP("IR", $D18, AN$8, Matrix!$D$6)), "")</f>
        <v>3.488</v>
      </c>
      <c r="AO18" cm="1">
        <f t="array" aca="1" ref="AO18" ca="1">IF( AND($D$7,NOT(ISBLANK($D18))), IF(_xll.IMDP("IR", $D18, AO$8, Matrix!$D$6)=0,"",_xll.IMDP("IR", $D18, AO$8, Matrix!$D$6)), "")</f>
        <v>3.5710000000000002</v>
      </c>
      <c r="AP18" cm="1">
        <f t="array" aca="1" ref="AP18" ca="1">IF( AND($D$7,NOT(ISBLANK($D18))), IF(_xll.IMDP("IR", $D18, AP$8, Matrix!$D$6)=0,"",_xll.IMDP("IR", $D18, AP$8, Matrix!$D$6)), "")</f>
        <v>3.5720000000000001</v>
      </c>
      <c r="AQ18" t="str" cm="1">
        <f t="array" aca="1" ref="AQ18" ca="1">IF( AND($D$7,NOT(ISBLANK($D18))), IF(_xll.IMDP("IR", $D18, AQ$8, Matrix!$D$6)=0,"",_xll.IMDP("IR", $D18, AQ$8, Matrix!$D$6)), "")</f>
        <v/>
      </c>
      <c r="AR18" t="str" cm="1">
        <f t="array" aca="1" ref="AR18" ca="1">IF( AND($D$7,NOT(ISBLANK($D18))), IF(_xll.IMDP("IR", $D18, AR$8, Matrix!$D$6)=0,"",_xll.IMDP("IR", $D18, AR$8, Matrix!$D$6)), "")</f>
        <v/>
      </c>
      <c r="AS18" cm="1">
        <f t="array" aca="1" ref="AS18" ca="1">IF( AND($E$7,NOT(ISBLANK($E18))), IF( _xll.IMDP("IR", $E18, AS$8, Matrix!$D$6)=0,"",_xll.IMDP("IR", $E18, AS$8, Matrix!$D$6)), "")</f>
        <v>3.4809999999999999</v>
      </c>
      <c r="AT18" cm="1">
        <f t="array" aca="1" ref="AT18" ca="1">IF( AND($E$7,NOT(ISBLANK($E18))), IF( _xll.IMDP("IR", $E18, AT$8, Matrix!$D$6)=0,"",_xll.IMDP("IR", $E18, AT$8, Matrix!$D$6)), "")</f>
        <v>3.484</v>
      </c>
      <c r="AU18" cm="1">
        <f t="array" aca="1" ref="AU18" ca="1">IF( AND($E$7,NOT(ISBLANK($E18))), IF( _xll.IMDP("IR", $E18, AU$8, Matrix!$D$6)=0,"",_xll.IMDP("IR", $E18, AU$8, Matrix!$D$6)), "")</f>
        <v>3.44</v>
      </c>
      <c r="AV18" cm="1">
        <f t="array" aca="1" ref="AV18" ca="1">IF( AND($E$7,NOT(ISBLANK($E18))), IF( _xll.IMDP("IR", $E18, AV$8, Matrix!$D$6)=0,"",_xll.IMDP("IR", $E18, AV$8, Matrix!$D$6)), "")</f>
        <v>3.41</v>
      </c>
      <c r="AW18" cm="1">
        <f t="array" aca="1" ref="AW18" ca="1">IF( AND($E$7,NOT(ISBLANK($E18))), IF( _xll.IMDP("IR", $E18, AW$8, Matrix!$D$6)=0,"",_xll.IMDP("IR", $E18, AW$8, Matrix!$D$6)), "")</f>
        <v>3.4279999999999999</v>
      </c>
      <c r="AX18" cm="1">
        <f t="array" aca="1" ref="AX18" ca="1">IF( AND($E$7,NOT(ISBLANK($E18))), IF( _xll.IMDP("IR", $E18, AX$8, Matrix!$D$6)=0,"",_xll.IMDP("IR", $E18, AX$8, Matrix!$D$6)), "")</f>
        <v>3.4279999999999999</v>
      </c>
      <c r="AY18" cm="1">
        <f t="array" aca="1" ref="AY18" ca="1">IF( AND($E$7,NOT(ISBLANK($E18))), IF( _xll.IMDP("IR", $E18, AY$8, Matrix!$D$6)=0,"",_xll.IMDP("IR", $E18, AY$8, Matrix!$D$6)), "")</f>
        <v>3.415</v>
      </c>
      <c r="AZ18" cm="1">
        <f t="array" aca="1" ref="AZ18" ca="1">IF( AND($E$7,NOT(ISBLANK($E18))), IF( _xll.IMDP("IR", $E18, AZ$8, Matrix!$D$6)=0,"",_xll.IMDP("IR", $E18, AZ$8, Matrix!$D$6)), "")</f>
        <v>3.4129999999999998</v>
      </c>
      <c r="BA18" cm="1">
        <f t="array" aca="1" ref="BA18" ca="1">IF( AND($E$7,NOT(ISBLANK($E18))), IF( _xll.IMDP("IR", $E18, BA$8, Matrix!$D$6)=0,"",_xll.IMDP("IR", $E18, BA$8, Matrix!$D$6)), "")</f>
        <v>3.407</v>
      </c>
      <c r="BB18" cm="1">
        <f t="array" aca="1" ref="BB18" ca="1">IF( AND($E$7,NOT(ISBLANK($E18))), IF( _xll.IMDP("IR", $E18, BB$8, Matrix!$D$6)=0,"",_xll.IMDP("IR", $E18, BB$8, Matrix!$D$6)), "")</f>
        <v>3.419</v>
      </c>
      <c r="BC18" cm="1">
        <f t="array" aca="1" ref="BC18" ca="1">IF( AND($E$7,NOT(ISBLANK($E18))), IF( _xll.IMDP("IR", $E18, BC$8, Matrix!$D$6)=0,"",_xll.IMDP("IR", $E18, BC$8, Matrix!$D$6)), "")</f>
        <v>3.4340000000000002</v>
      </c>
      <c r="BD18" cm="1">
        <f t="array" aca="1" ref="BD18" ca="1">IF( AND($E$7,NOT(ISBLANK($E18))), IF( _xll.IMDP("IR", $E18, BD$8, Matrix!$D$6)=0,"",_xll.IMDP("IR", $E18, BD$8, Matrix!$D$6)), "")</f>
        <v>3.4889999999999999</v>
      </c>
      <c r="BE18" cm="1">
        <f t="array" aca="1" ref="BE18" ca="1">IF( AND($E$7,NOT(ISBLANK($E18))), IF( _xll.IMDP("IR", $E18, BE$8, Matrix!$D$6)=0,"",_xll.IMDP("IR", $E18, BE$8, Matrix!$D$6)), "")</f>
        <v>3.5139999999999998</v>
      </c>
      <c r="BF18" cm="1">
        <f t="array" aca="1" ref="BF18" ca="1">IF( AND($E$7,NOT(ISBLANK($E18))), IF( _xll.IMDP("IR", $E18, BF$8, Matrix!$D$6)=0,"",_xll.IMDP("IR", $E18, BF$8, Matrix!$D$6)), "")</f>
        <v>3.5310000000000001</v>
      </c>
      <c r="BG18" t="str" cm="1">
        <f t="array" aca="1" ref="BG18" ca="1">IF( AND($E$7,NOT(ISBLANK($E18))), IF( _xll.IMDP("IR", $E18, BG$8, Matrix!$D$6)=0,"",_xll.IMDP("IR", $E18, BG$8, Matrix!$D$6)), "")</f>
        <v/>
      </c>
      <c r="BH18" t="str" cm="1">
        <f t="array" aca="1" ref="BH18" ca="1">IF( AND($E$7,NOT(ISBLANK($E18))), IF( _xll.IMDP("IR", $E18, BH$8, Matrix!$D$6)=0,"",_xll.IMDP("IR", $E18, BH$8, Matrix!$D$6)), "")</f>
        <v/>
      </c>
      <c r="BI18" cm="1">
        <f t="array" aca="1" ref="BI18" ca="1">IF( AND($F$7,NOT(ISBLANK($F18))), IF( _xll.IMDP("IR", $F18, BI$8, Matrix!$D$6)=0,"",_xll.IMDP("IR", $F18, BI$8, Matrix!$D$6)), "")</f>
        <v>3.4180000000000001</v>
      </c>
      <c r="BJ18" cm="1">
        <f t="array" aca="1" ref="BJ18" ca="1">IF( AND($F$7,NOT(ISBLANK($F18))), IF( _xll.IMDP("IR", $F18, BJ$8, Matrix!$D$6)=0,"",_xll.IMDP("IR", $F18, BJ$8, Matrix!$D$6)), "")</f>
        <v>3.4350000000000001</v>
      </c>
      <c r="BK18" cm="1">
        <f t="array" aca="1" ref="BK18" ca="1">IF( AND($F$7,NOT(ISBLANK($F18))), IF( _xll.IMDP("IR", $F18, BK$8, Matrix!$D$6)=0,"",_xll.IMDP("IR", $F18, BK$8, Matrix!$D$6)), "")</f>
        <v>3.431</v>
      </c>
      <c r="BL18" cm="1">
        <f t="array" aca="1" ref="BL18" ca="1">IF( AND($F$7,NOT(ISBLANK($F18))), IF( _xll.IMDP("IR", $F18, BL$8, Matrix!$D$6)=0,"",_xll.IMDP("IR", $F18, BL$8, Matrix!$D$6)), "")</f>
        <v>3.395</v>
      </c>
      <c r="BM18" cm="1">
        <f t="array" aca="1" ref="BM18" ca="1">IF( AND($F$7,NOT(ISBLANK($F18))), IF( _xll.IMDP("IR", $F18, BM$8, Matrix!$D$6)=0,"",_xll.IMDP("IR", $F18, BM$8, Matrix!$D$6)), "")</f>
        <v>3.36</v>
      </c>
      <c r="BN18" cm="1">
        <f t="array" aca="1" ref="BN18" ca="1">IF( AND($F$7,NOT(ISBLANK($F18))), IF( _xll.IMDP("IR", $F18, BN$8, Matrix!$D$6)=0,"",_xll.IMDP("IR", $F18, BN$8, Matrix!$D$6)), "")</f>
        <v>3.3959999999999999</v>
      </c>
      <c r="BO18" cm="1">
        <f t="array" aca="1" ref="BO18" ca="1">IF( AND($F$7,NOT(ISBLANK($F18))), IF( _xll.IMDP("IR", $F18, BO$8, Matrix!$D$6)=0,"",_xll.IMDP("IR", $F18, BO$8, Matrix!$D$6)), "")</f>
        <v>3.3719999999999999</v>
      </c>
      <c r="BP18" cm="1">
        <f t="array" aca="1" ref="BP18" ca="1">IF( AND($F$7,NOT(ISBLANK($F18))), IF( _xll.IMDP("IR", $F18, BP$8, Matrix!$D$6)=0,"",_xll.IMDP("IR", $F18, BP$8, Matrix!$D$6)), "")</f>
        <v>3.3959999999999999</v>
      </c>
      <c r="BQ18" cm="1">
        <f t="array" aca="1" ref="BQ18" ca="1">IF( AND($F$7,NOT(ISBLANK($F18))), IF( _xll.IMDP("IR", $F18, BQ$8, Matrix!$D$6)=0,"",_xll.IMDP("IR", $F18, BQ$8, Matrix!$D$6)), "")</f>
        <v>3.399</v>
      </c>
      <c r="BR18" cm="1">
        <f t="array" aca="1" ref="BR18" ca="1">IF( AND($F$7,NOT(ISBLANK($F18))), IF( _xll.IMDP("IR", $F18, BR$8, Matrix!$D$6)=0,"",_xll.IMDP("IR", $F18, BR$8, Matrix!$D$6)), "")</f>
        <v>3.407</v>
      </c>
      <c r="BS18" cm="1">
        <f t="array" aca="1" ref="BS18" ca="1">IF( AND($F$7,NOT(ISBLANK($F18))), IF( _xll.IMDP("IR", $F18, BS$8, Matrix!$D$6)=0,"",_xll.IMDP("IR", $F18, BS$8, Matrix!$D$6)), "")</f>
        <v>3.4390000000000001</v>
      </c>
      <c r="BT18" cm="1">
        <f t="array" aca="1" ref="BT18" ca="1">IF( AND($F$7,NOT(ISBLANK($F18))), IF( _xll.IMDP("IR", $F18, BT$8, Matrix!$D$6)=0,"",_xll.IMDP("IR", $F18, BT$8, Matrix!$D$6)), "")</f>
        <v>3.4969999999999999</v>
      </c>
      <c r="BU18" cm="1">
        <f t="array" aca="1" ref="BU18" ca="1">IF( AND($F$7,NOT(ISBLANK($F18))), IF( _xll.IMDP("IR", $F18, BU$8, Matrix!$D$6)=0,"",_xll.IMDP("IR", $F18, BU$8, Matrix!$D$6)), "")</f>
        <v>3.552</v>
      </c>
      <c r="BV18" cm="1">
        <f t="array" aca="1" ref="BV18" ca="1">IF( AND($F$7,NOT(ISBLANK($F18))), IF( _xll.IMDP("IR", $F18, BV$8, Matrix!$D$6)=0,"",_xll.IMDP("IR", $F18, BV$8, Matrix!$D$6)), "")</f>
        <v>3.581</v>
      </c>
      <c r="BW18" t="str" cm="1">
        <f t="array" aca="1" ref="BW18" ca="1">IF( AND($F$7,NOT(ISBLANK($F18))), IF( _xll.IMDP("IR", $F18, BW$8, Matrix!$D$6)=0,"",_xll.IMDP("IR", $F18, BW$8, Matrix!$D$6)), "")</f>
        <v/>
      </c>
      <c r="BX18" t="str" cm="1">
        <f t="array" aca="1" ref="BX18" ca="1">IF( AND($F$7,NOT(ISBLANK($F18))), IF( _xll.IMDP("IR", $F18, BX$8, Matrix!$D$6)=0,"",_xll.IMDP("IR", $F18, BX$8, Matrix!$D$6)), "")</f>
        <v/>
      </c>
      <c r="BY18" cm="1">
        <f t="array" aca="1" ref="BY18" ca="1">IF( AND($G$7,NOT(ISBLANK($G18))), IF( _xll.IMDP("IR", $G18, BY$8, Matrix!$D$6)=0, "", _xll.IMDP("IR", $G18, BY$8, Matrix!$D$6)), "")</f>
        <v>3.484</v>
      </c>
      <c r="BZ18" cm="1">
        <f t="array" aca="1" ref="BZ18" ca="1">IF( AND($G$7,NOT(ISBLANK($G18))), IF( _xll.IMDP("IR", $G18, BZ$8, Matrix!$D$6)=0, "", _xll.IMDP("IR", $G18, BZ$8, Matrix!$D$6)), "")</f>
        <v>3.4809999999999999</v>
      </c>
      <c r="CA18" cm="1">
        <f t="array" aca="1" ref="CA18" ca="1">IF( AND($G$7,NOT(ISBLANK($G18))), IF( _xll.IMDP("IR", $G18, CA$8, Matrix!$D$6)=0, "", _xll.IMDP("IR", $G18, CA$8, Matrix!$D$6)), "")</f>
        <v>3.4470000000000001</v>
      </c>
      <c r="CB18" cm="1">
        <f t="array" aca="1" ref="CB18" ca="1">IF( AND($G$7,NOT(ISBLANK($G18))), IF( _xll.IMDP("IR", $G18, CB$8, Matrix!$D$6)=0, "", _xll.IMDP("IR", $G18, CB$8, Matrix!$D$6)), "")</f>
        <v>3.4079999999999999</v>
      </c>
      <c r="CC18" cm="1">
        <f t="array" aca="1" ref="CC18" ca="1">IF( AND($G$7,NOT(ISBLANK($G18))), IF( _xll.IMDP("IR", $G18, CC$8, Matrix!$D$6)=0, "", _xll.IMDP("IR", $G18, CC$8, Matrix!$D$6)), "")</f>
        <v>3.4220000000000002</v>
      </c>
      <c r="CD18" cm="1">
        <f t="array" aca="1" ref="CD18" ca="1">IF( AND($G$7,NOT(ISBLANK($G18))), IF( _xll.IMDP("IR", $G18, CD$8, Matrix!$D$6)=0, "", _xll.IMDP("IR", $G18, CD$8, Matrix!$D$6)), "")</f>
        <v>3.4140000000000001</v>
      </c>
      <c r="CE18" cm="1">
        <f t="array" aca="1" ref="CE18" ca="1">IF( AND($G$7,NOT(ISBLANK($G18))), IF( _xll.IMDP("IR", $G18, CE$8, Matrix!$D$6)=0, "", _xll.IMDP("IR", $G18, CE$8, Matrix!$D$6)), "")</f>
        <v>3.39</v>
      </c>
      <c r="CF18" cm="1">
        <f t="array" aca="1" ref="CF18" ca="1">IF( AND($G$7,NOT(ISBLANK($G18))), IF( _xll.IMDP("IR", $G18, CF$8, Matrix!$D$6)=0, "", _xll.IMDP("IR", $G18, CF$8, Matrix!$D$6)), "")</f>
        <v>3.399</v>
      </c>
      <c r="CG18" cm="1">
        <f t="array" aca="1" ref="CG18" ca="1">IF( AND($G$7,NOT(ISBLANK($G18))), IF( _xll.IMDP("IR", $G18, CG$8, Matrix!$D$6)=0, "", _xll.IMDP("IR", $G18, CG$8, Matrix!$D$6)), "")</f>
        <v>3.3919999999999999</v>
      </c>
      <c r="CH18" cm="1">
        <f t="array" aca="1" ref="CH18" ca="1">IF( AND($G$7,NOT(ISBLANK($G18))), IF( _xll.IMDP("IR", $G18, CH$8, Matrix!$D$6)=0, "", _xll.IMDP("IR", $G18, CH$8, Matrix!$D$6)), "")</f>
        <v>3.3980000000000001</v>
      </c>
      <c r="CI18" cm="1">
        <f t="array" aca="1" ref="CI18" ca="1">IF( AND($G$7,NOT(ISBLANK($G18))), IF( _xll.IMDP("IR", $G18, CI$8, Matrix!$D$6)=0, "", _xll.IMDP("IR", $G18, CI$8, Matrix!$D$6)), "")</f>
        <v>3.43</v>
      </c>
      <c r="CJ18" cm="1">
        <f t="array" aca="1" ref="CJ18" ca="1">IF( AND($G$7,NOT(ISBLANK($G18))), IF( _xll.IMDP("IR", $G18, CJ$8, Matrix!$D$6)=0, "", _xll.IMDP("IR", $G18, CJ$8, Matrix!$D$6)), "")</f>
        <v>3.4849999999999999</v>
      </c>
      <c r="CK18" cm="1">
        <f t="array" aca="1" ref="CK18" ca="1">IF( AND($G$7,NOT(ISBLANK($G18))), IF( _xll.IMDP("IR", $G18, CK$8, Matrix!$D$6)=0, "", _xll.IMDP("IR", $G18, CK$8, Matrix!$D$6)), "")</f>
        <v>3.581</v>
      </c>
      <c r="CL18" cm="1">
        <f t="array" aca="1" ref="CL18" ca="1">IF( AND($G$7,NOT(ISBLANK($G18))), IF( _xll.IMDP("IR", $G18, CL$8, Matrix!$D$6)=0, "", _xll.IMDP("IR", $G18, CL$8, Matrix!$D$6)), "")</f>
        <v>3.5680000000000001</v>
      </c>
      <c r="CM18" t="str" cm="1">
        <f t="array" aca="1" ref="CM18" ca="1">IF( AND($G$7,NOT(ISBLANK($G18))), IF( _xll.IMDP("IR", $G18, CM$8, Matrix!$D$6)=0, "", _xll.IMDP("IR", $G18, CM$8, Matrix!$D$6)), "")</f>
        <v/>
      </c>
      <c r="CN18" t="str" cm="1">
        <f t="array" aca="1" ref="CN18" ca="1">IF( AND($G$7,NOT(ISBLANK($G18))), IF( _xll.IMDP("IR", $G18, CN$8, Matrix!$D$6)=0, "", _xll.IMDP("IR", $G18, CN$8, Matrix!$D$6)), "")</f>
        <v/>
      </c>
      <c r="CO18" cm="1">
        <f t="array" aca="1" ref="CO18" ca="1">IF( AND($H$7,NOT(ISBLANK($H18))), IF( _xll.IMDP("IR", $H18, CO$8, Matrix!$D$6)=0, "", _xll.IMDP("IR", $H18, CO$8, Matrix!$D$6)), "")</f>
        <v>3.4710000000000001</v>
      </c>
      <c r="CP18" cm="1">
        <f t="array" aca="1" ref="CP18" ca="1">IF( AND($H$7,NOT(ISBLANK($H18))), IF( _xll.IMDP("IR", $H18, CP$8, Matrix!$D$6)=0, "", _xll.IMDP("IR", $H18, CP$8, Matrix!$D$6)), "")</f>
        <v>3.4780000000000002</v>
      </c>
      <c r="CQ18" cm="1">
        <f t="array" aca="1" ref="CQ18" ca="1">IF( AND($H$7,NOT(ISBLANK($H18))), IF( _xll.IMDP("IR", $H18, CQ$8, Matrix!$D$6)=0, "", _xll.IMDP("IR", $H18, CQ$8, Matrix!$D$6)), "")</f>
        <v>3.4420000000000002</v>
      </c>
      <c r="CR18" cm="1">
        <f t="array" aca="1" ref="CR18" ca="1">IF( AND($H$7,NOT(ISBLANK($H18))), IF( _xll.IMDP("IR", $H18, CR$8, Matrix!$D$6)=0, "", _xll.IMDP("IR", $H18, CR$8, Matrix!$D$6)), "")</f>
        <v>3.41</v>
      </c>
      <c r="CS18" cm="1">
        <f t="array" aca="1" ref="CS18" ca="1">IF( AND($H$7,NOT(ISBLANK($H18))), IF( _xll.IMDP("IR", $H18, CS$8, Matrix!$D$6)=0, "", _xll.IMDP("IR", $H18, CS$8, Matrix!$D$6)), "")</f>
        <v>3.4089999999999998</v>
      </c>
      <c r="CT18" cm="1">
        <f t="array" aca="1" ref="CT18" ca="1">IF( AND($H$7,NOT(ISBLANK($H18))), IF( _xll.IMDP("IR", $H18, CT$8, Matrix!$D$6)=0, "", _xll.IMDP("IR", $H18, CT$8, Matrix!$D$6)), "")</f>
        <v>3.4129999999999998</v>
      </c>
      <c r="CU18" cm="1">
        <f t="array" aca="1" ref="CU18" ca="1">IF( AND($H$7,NOT(ISBLANK($H18))), IF( _xll.IMDP("IR", $H18, CU$8, Matrix!$D$6)=0, "", _xll.IMDP("IR", $H18, CU$8, Matrix!$D$6)), "")</f>
        <v>3.3889999999999998</v>
      </c>
      <c r="CV18" cm="1">
        <f t="array" aca="1" ref="CV18" ca="1">IF( AND($H$7,NOT(ISBLANK($H18))), IF( _xll.IMDP("IR", $H18, CV$8, Matrix!$D$6)=0, "", _xll.IMDP("IR", $H18, CV$8, Matrix!$D$6)), "")</f>
        <v>3.3980000000000001</v>
      </c>
      <c r="CW18" cm="1">
        <f t="array" aca="1" ref="CW18" ca="1">IF( AND($H$7,NOT(ISBLANK($H18))), IF( _xll.IMDP("IR", $H18, CW$8, Matrix!$D$6)=0, "", _xll.IMDP("IR", $H18, CW$8, Matrix!$D$6)), "")</f>
        <v>3.399</v>
      </c>
      <c r="CX18" cm="1">
        <f t="array" aca="1" ref="CX18" ca="1">IF( AND($H$7,NOT(ISBLANK($H18))), IF( _xll.IMDP("IR", $H18, CX$8, Matrix!$D$6)=0, "", _xll.IMDP("IR", $H18, CX$8, Matrix!$D$6)), "")</f>
        <v>3.41</v>
      </c>
      <c r="CY18" cm="1">
        <f t="array" aca="1" ref="CY18" ca="1">IF( AND($H$7,NOT(ISBLANK($H18))), IF( _xll.IMDP("IR", $H18, CY$8, Matrix!$D$6)=0, "", _xll.IMDP("IR", $H18, CY$8, Matrix!$D$6)), "")</f>
        <v>3.4340000000000002</v>
      </c>
      <c r="CZ18" cm="1">
        <f t="array" aca="1" ref="CZ18" ca="1">IF( AND($H$7,NOT(ISBLANK($H18))), IF( _xll.IMDP("IR", $H18, CZ$8, Matrix!$D$6)=0, "", _xll.IMDP("IR", $H18, CZ$8, Matrix!$D$6)), "")</f>
        <v>3.4889999999999999</v>
      </c>
      <c r="DA18" t="str" cm="1">
        <f t="array" aca="1" ref="DA18" ca="1">IF( AND($H$7,NOT(ISBLANK($H18))), IF( _xll.IMDP("IR", $H18, DA$8, Matrix!$D$6)=0, "", _xll.IMDP("IR", $H18, DA$8, Matrix!$D$6)), "")</f>
        <v/>
      </c>
      <c r="DB18" cm="1">
        <f t="array" aca="1" ref="DB18" ca="1">IF( AND($H$7,NOT(ISBLANK($H18))), IF( _xll.IMDP("IR", $H18, DB$8, Matrix!$D$6)=0, "", _xll.IMDP("IR", $H18, DB$8, Matrix!$D$6)), "")</f>
        <v>3.5630000000000002</v>
      </c>
      <c r="DC18" t="str" cm="1">
        <f t="array" aca="1" ref="DC18" ca="1">IF( AND($H$7,NOT(ISBLANK($H18))), IF( _xll.IMDP("IR", $H18, DC$8, Matrix!$D$6)=0, "", _xll.IMDP("IR", $H18, DC$8, Matrix!$D$6)), "")</f>
        <v/>
      </c>
      <c r="DD18" t="str" cm="1">
        <f t="array" aca="1" ref="DD18" ca="1">IF( AND($H$7,NOT(ISBLANK($H18))), IF( _xll.IMDP("IR", $H18, DD$8, Matrix!$D$6)=0, "", _xll.IMDP("IR", $H18, DD$8, Matrix!$D$6)), "")</f>
        <v/>
      </c>
    </row>
    <row r="19" spans="2:108">
      <c r="B19" t="s">
        <v>87</v>
      </c>
      <c r="C19" t="s">
        <v>161</v>
      </c>
      <c r="D19" t="s">
        <v>238</v>
      </c>
      <c r="E19" t="s">
        <v>301</v>
      </c>
      <c r="F19" t="s">
        <v>364</v>
      </c>
      <c r="G19" t="s">
        <v>430</v>
      </c>
      <c r="M19" s="21">
        <f t="shared" ca="1" si="1"/>
        <v>3.586771633988993</v>
      </c>
      <c r="N19" s="21">
        <f t="shared" ca="1" si="2"/>
        <v>3.6001272187296673</v>
      </c>
      <c r="O19" s="21">
        <f t="shared" ca="1" si="3"/>
        <v>3.5764563288135278</v>
      </c>
      <c r="P19" s="21">
        <f t="shared" ca="1" si="4"/>
        <v>3.5692977511593305</v>
      </c>
      <c r="Q19" s="21">
        <f t="shared" ca="1" si="5"/>
        <v>3.5495355463076246</v>
      </c>
      <c r="R19" s="21">
        <f t="shared" ca="1" si="6"/>
        <v>3.5548936541581462</v>
      </c>
      <c r="S19" s="21">
        <f t="shared" ca="1" si="7"/>
        <v>3.529145288028416</v>
      </c>
      <c r="T19" s="21">
        <f t="shared" ca="1" si="8"/>
        <v>3.5362155800408472</v>
      </c>
      <c r="U19" s="21">
        <f t="shared" ca="1" si="9"/>
        <v>3.5349962517631814</v>
      </c>
      <c r="V19" s="21">
        <f t="shared" ca="1" si="10"/>
        <v>3.5462366445301323</v>
      </c>
      <c r="W19" s="21">
        <f t="shared" ca="1" si="11"/>
        <v>3.5614979277629972</v>
      </c>
      <c r="X19" s="21">
        <f t="shared" ca="1" si="12"/>
        <v>3.60873965864667</v>
      </c>
      <c r="Y19" s="21">
        <f t="shared" ca="1" si="13"/>
        <v>3.6669653226529695</v>
      </c>
      <c r="Z19" s="21">
        <f t="shared" ca="1" si="14"/>
        <v>3.6797084732999439</v>
      </c>
      <c r="AA19" s="21" t="e">
        <f t="shared" ca="1" si="15"/>
        <v>#NUM!</v>
      </c>
      <c r="AB19" s="21" t="e">
        <f t="shared" ca="1" si="16"/>
        <v>#NUM!</v>
      </c>
      <c r="AC19" cm="1">
        <f t="array" aca="1" ref="AC19" ca="1">IF( AND($D$7,NOT(ISBLANK($D19))), IF(_xll.IMDP("IR", $D19, AC$8, Matrix!$D$6)=0,"",_xll.IMDP("IR", $D19, AC$8, Matrix!$D$6)), "")</f>
        <v>3.6139999999999999</v>
      </c>
      <c r="AD19" cm="1">
        <f t="array" aca="1" ref="AD19" ca="1">IF( AND($D$7,NOT(ISBLANK($D19))), IF(_xll.IMDP("IR", $D19, AD$8, Matrix!$D$6)=0,"",_xll.IMDP("IR", $D19, AD$8, Matrix!$D$6)), "")</f>
        <v>3.625</v>
      </c>
      <c r="AE19" cm="1">
        <f t="array" aca="1" ref="AE19" ca="1">IF( AND($D$7,NOT(ISBLANK($D19))), IF(_xll.IMDP("IR", $D19, AE$8, Matrix!$D$6)=0,"",_xll.IMDP("IR", $D19, AE$8, Matrix!$D$6)), "")</f>
        <v>3.56</v>
      </c>
      <c r="AF19" cm="1">
        <f t="array" aca="1" ref="AF19" ca="1">IF( AND($D$7,NOT(ISBLANK($D19))), IF(_xll.IMDP("IR", $D19, AF$8, Matrix!$D$6)=0,"",_xll.IMDP("IR", $D19, AF$8, Matrix!$D$6)), "")</f>
        <v>3.548</v>
      </c>
      <c r="AG19" cm="1">
        <f t="array" aca="1" ref="AG19" ca="1">IF( AND($D$7,NOT(ISBLANK($D19))), IF(_xll.IMDP("IR", $D19, AG$8, Matrix!$D$6)=0,"",_xll.IMDP("IR", $D19, AG$8, Matrix!$D$6)), "")</f>
        <v>3.5390000000000001</v>
      </c>
      <c r="AH19" cm="1">
        <f t="array" aca="1" ref="AH19" ca="1">IF( AND($D$7,NOT(ISBLANK($D19))), IF(_xll.IMDP("IR", $D19, AH$8, Matrix!$D$6)=0,"",_xll.IMDP("IR", $D19, AH$8, Matrix!$D$6)), "")</f>
        <v>3.5329999999999999</v>
      </c>
      <c r="AI19" cm="1">
        <f t="array" aca="1" ref="AI19" ca="1">IF( AND($D$7,NOT(ISBLANK($D19))), IF(_xll.IMDP("IR", $D19, AI$8, Matrix!$D$6)=0,"",_xll.IMDP("IR", $D19, AI$8, Matrix!$D$6)), "")</f>
        <v>3.5049999999999999</v>
      </c>
      <c r="AJ19" cm="1">
        <f t="array" aca="1" ref="AJ19" ca="1">IF( AND($D$7,NOT(ISBLANK($D19))), IF(_xll.IMDP("IR", $D19, AJ$8, Matrix!$D$6)=0,"",_xll.IMDP("IR", $D19, AJ$8, Matrix!$D$6)), "")</f>
        <v>3.5190000000000001</v>
      </c>
      <c r="AK19" cm="1">
        <f t="array" aca="1" ref="AK19" ca="1">IF( AND($D$7,NOT(ISBLANK($D19))), IF(_xll.IMDP("IR", $D19, AK$8, Matrix!$D$6)=0,"",_xll.IMDP("IR", $D19, AK$8, Matrix!$D$6)), "")</f>
        <v>3.5329999999999999</v>
      </c>
      <c r="AL19" cm="1">
        <f t="array" aca="1" ref="AL19" ca="1">IF( AND($D$7,NOT(ISBLANK($D19))), IF(_xll.IMDP("IR", $D19, AL$8, Matrix!$D$6)=0,"",_xll.IMDP("IR", $D19, AL$8, Matrix!$D$6)), "")</f>
        <v>3.5569999999999999</v>
      </c>
      <c r="AM19" cm="1">
        <f t="array" aca="1" ref="AM19" ca="1">IF( AND($D$7,NOT(ISBLANK($D19))), IF(_xll.IMDP("IR", $D19, AM$8, Matrix!$D$6)=0,"",_xll.IMDP("IR", $D19, AM$8, Matrix!$D$6)), "")</f>
        <v>3.5649999999999999</v>
      </c>
      <c r="AN19" cm="1">
        <f t="array" aca="1" ref="AN19" ca="1">IF( AND($D$7,NOT(ISBLANK($D19))), IF(_xll.IMDP("IR", $D19, AN$8, Matrix!$D$6)=0,"",_xll.IMDP("IR", $D19, AN$8, Matrix!$D$6)), "")</f>
        <v>3.5979999999999999</v>
      </c>
      <c r="AO19" cm="1">
        <f t="array" aca="1" ref="AO19" ca="1">IF( AND($D$7,NOT(ISBLANK($D19))), IF(_xll.IMDP("IR", $D19, AO$8, Matrix!$D$6)=0,"",_xll.IMDP("IR", $D19, AO$8, Matrix!$D$6)), "")</f>
        <v>3.6629999999999998</v>
      </c>
      <c r="AP19" cm="1">
        <f t="array" aca="1" ref="AP19" ca="1">IF( AND($D$7,NOT(ISBLANK($D19))), IF(_xll.IMDP("IR", $D19, AP$8, Matrix!$D$6)=0,"",_xll.IMDP("IR", $D19, AP$8, Matrix!$D$6)), "")</f>
        <v>3.6619999999999999</v>
      </c>
      <c r="AQ19" t="str" cm="1">
        <f t="array" aca="1" ref="AQ19" ca="1">IF( AND($D$7,NOT(ISBLANK($D19))), IF(_xll.IMDP("IR", $D19, AQ$8, Matrix!$D$6)=0,"",_xll.IMDP("IR", $D19, AQ$8, Matrix!$D$6)), "")</f>
        <v/>
      </c>
      <c r="AR19" t="str" cm="1">
        <f t="array" aca="1" ref="AR19" ca="1">IF( AND($D$7,NOT(ISBLANK($D19))), IF(_xll.IMDP("IR", $D19, AR$8, Matrix!$D$6)=0,"",_xll.IMDP("IR", $D19, AR$8, Matrix!$D$6)), "")</f>
        <v/>
      </c>
      <c r="AS19" cm="1">
        <f t="array" aca="1" ref="AS19" ca="1">IF( AND($E$7,NOT(ISBLANK($E19))), IF( _xll.IMDP("IR", $E19, AS$8, Matrix!$D$6)=0,"",_xll.IMDP("IR", $E19, AS$8, Matrix!$D$6)), "")</f>
        <v>3.6160000000000001</v>
      </c>
      <c r="AT19" cm="1">
        <f t="array" aca="1" ref="AT19" ca="1">IF( AND($E$7,NOT(ISBLANK($E19))), IF( _xll.IMDP("IR", $E19, AT$8, Matrix!$D$6)=0,"",_xll.IMDP("IR", $E19, AT$8, Matrix!$D$6)), "")</f>
        <v>3.6219999999999999</v>
      </c>
      <c r="AU19" cm="1">
        <f t="array" aca="1" ref="AU19" ca="1">IF( AND($E$7,NOT(ISBLANK($E19))), IF( _xll.IMDP("IR", $E19, AU$8, Matrix!$D$6)=0,"",_xll.IMDP("IR", $E19, AU$8, Matrix!$D$6)), "")</f>
        <v>3.6019999999999999</v>
      </c>
      <c r="AV19" cm="1">
        <f t="array" aca="1" ref="AV19" ca="1">IF( AND($E$7,NOT(ISBLANK($E19))), IF( _xll.IMDP("IR", $E19, AV$8, Matrix!$D$6)=0,"",_xll.IMDP("IR", $E19, AV$8, Matrix!$D$6)), "")</f>
        <v>3.6309999999999998</v>
      </c>
      <c r="AW19" cm="1">
        <f t="array" aca="1" ref="AW19" ca="1">IF( AND($E$7,NOT(ISBLANK($E19))), IF( _xll.IMDP("IR", $E19, AW$8, Matrix!$D$6)=0,"",_xll.IMDP("IR", $E19, AW$8, Matrix!$D$6)), "")</f>
        <v>3.601</v>
      </c>
      <c r="AX19" cm="1">
        <f t="array" aca="1" ref="AX19" ca="1">IF( AND($E$7,NOT(ISBLANK($E19))), IF( _xll.IMDP("IR", $E19, AX$8, Matrix!$D$6)=0,"",_xll.IMDP("IR", $E19, AX$8, Matrix!$D$6)), "")</f>
        <v>3.5979999999999999</v>
      </c>
      <c r="AY19" cm="1">
        <f t="array" aca="1" ref="AY19" ca="1">IF( AND($E$7,NOT(ISBLANK($E19))), IF( _xll.IMDP("IR", $E19, AY$8, Matrix!$D$6)=0,"",_xll.IMDP("IR", $E19, AY$8, Matrix!$D$6)), "")</f>
        <v>3.5710000000000002</v>
      </c>
      <c r="AZ19" cm="1">
        <f t="array" aca="1" ref="AZ19" ca="1">IF( AND($E$7,NOT(ISBLANK($E19))), IF( _xll.IMDP("IR", $E19, AZ$8, Matrix!$D$6)=0,"",_xll.IMDP("IR", $E19, AZ$8, Matrix!$D$6)), "")</f>
        <v>3.5590000000000002</v>
      </c>
      <c r="BA19" cm="1">
        <f t="array" aca="1" ref="BA19" ca="1">IF( AND($E$7,NOT(ISBLANK($E19))), IF( _xll.IMDP("IR", $E19, BA$8, Matrix!$D$6)=0,"",_xll.IMDP("IR", $E19, BA$8, Matrix!$D$6)), "")</f>
        <v>3.5419999999999998</v>
      </c>
      <c r="BB19" cm="1">
        <f t="array" aca="1" ref="BB19" ca="1">IF( AND($E$7,NOT(ISBLANK($E19))), IF( _xll.IMDP("IR", $E19, BB$8, Matrix!$D$6)=0,"",_xll.IMDP("IR", $E19, BB$8, Matrix!$D$6)), "")</f>
        <v>3.5539999999999998</v>
      </c>
      <c r="BC19" cm="1">
        <f t="array" aca="1" ref="BC19" ca="1">IF( AND($E$7,NOT(ISBLANK($E19))), IF( _xll.IMDP("IR", $E19, BC$8, Matrix!$D$6)=0,"",_xll.IMDP("IR", $E19, BC$8, Matrix!$D$6)), "")</f>
        <v>3.5630000000000002</v>
      </c>
      <c r="BD19" cm="1">
        <f t="array" aca="1" ref="BD19" ca="1">IF( AND($E$7,NOT(ISBLANK($E19))), IF( _xll.IMDP("IR", $E19, BD$8, Matrix!$D$6)=0,"",_xll.IMDP("IR", $E19, BD$8, Matrix!$D$6)), "")</f>
        <v>3.609</v>
      </c>
      <c r="BE19" cm="1">
        <f t="array" aca="1" ref="BE19" ca="1">IF( AND($E$7,NOT(ISBLANK($E19))), IF( _xll.IMDP("IR", $E19, BE$8, Matrix!$D$6)=0,"",_xll.IMDP("IR", $E19, BE$8, Matrix!$D$6)), "")</f>
        <v>3.6429999999999998</v>
      </c>
      <c r="BF19" cm="1">
        <f t="array" aca="1" ref="BF19" ca="1">IF( AND($E$7,NOT(ISBLANK($E19))), IF( _xll.IMDP("IR", $E19, BF$8, Matrix!$D$6)=0,"",_xll.IMDP("IR", $E19, BF$8, Matrix!$D$6)), "")</f>
        <v>3.6629999999999998</v>
      </c>
      <c r="BG19" t="str" cm="1">
        <f t="array" aca="1" ref="BG19" ca="1">IF( AND($E$7,NOT(ISBLANK($E19))), IF( _xll.IMDP("IR", $E19, BG$8, Matrix!$D$6)=0,"",_xll.IMDP("IR", $E19, BG$8, Matrix!$D$6)), "")</f>
        <v/>
      </c>
      <c r="BH19" t="str" cm="1">
        <f t="array" aca="1" ref="BH19" ca="1">IF( AND($E$7,NOT(ISBLANK($E19))), IF( _xll.IMDP("IR", $E19, BH$8, Matrix!$D$6)=0,"",_xll.IMDP("IR", $E19, BH$8, Matrix!$D$6)), "")</f>
        <v/>
      </c>
      <c r="BI19" cm="1">
        <f t="array" aca="1" ref="BI19" ca="1">IF( AND($F$7,NOT(ISBLANK($F19))), IF( _xll.IMDP("IR", $F19, BI$8, Matrix!$D$6)=0,"",_xll.IMDP("IR", $F19, BI$8, Matrix!$D$6)), "")</f>
        <v>3.5179999999999998</v>
      </c>
      <c r="BJ19" cm="1">
        <f t="array" aca="1" ref="BJ19" ca="1">IF( AND($F$7,NOT(ISBLANK($F19))), IF( _xll.IMDP("IR", $F19, BJ$8, Matrix!$D$6)=0,"",_xll.IMDP("IR", $F19, BJ$8, Matrix!$D$6)), "")</f>
        <v>3.5510000000000002</v>
      </c>
      <c r="BK19" cm="1">
        <f t="array" aca="1" ref="BK19" ca="1">IF( AND($F$7,NOT(ISBLANK($F19))), IF( _xll.IMDP("IR", $F19, BK$8, Matrix!$D$6)=0,"",_xll.IMDP("IR", $F19, BK$8, Matrix!$D$6)), "")</f>
        <v>3.56</v>
      </c>
      <c r="BL19" cm="1">
        <f t="array" aca="1" ref="BL19" ca="1">IF( AND($F$7,NOT(ISBLANK($F19))), IF( _xll.IMDP("IR", $F19, BL$8, Matrix!$D$6)=0,"",_xll.IMDP("IR", $F19, BL$8, Matrix!$D$6)), "")</f>
        <v>3.53</v>
      </c>
      <c r="BM19" cm="1">
        <f t="array" aca="1" ref="BM19" ca="1">IF( AND($F$7,NOT(ISBLANK($F19))), IF( _xll.IMDP("IR", $F19, BM$8, Matrix!$D$6)=0,"",_xll.IMDP("IR", $F19, BM$8, Matrix!$D$6)), "")</f>
        <v>3.4940000000000002</v>
      </c>
      <c r="BN19" cm="1">
        <f t="array" aca="1" ref="BN19" ca="1">IF( AND($F$7,NOT(ISBLANK($F19))), IF( _xll.IMDP("IR", $F19, BN$8, Matrix!$D$6)=0,"",_xll.IMDP("IR", $F19, BN$8, Matrix!$D$6)), "")</f>
        <v>3.5289999999999999</v>
      </c>
      <c r="BO19" cm="1">
        <f t="array" aca="1" ref="BO19" ca="1">IF( AND($F$7,NOT(ISBLANK($F19))), IF( _xll.IMDP("IR", $F19, BO$8, Matrix!$D$6)=0,"",_xll.IMDP("IR", $F19, BO$8, Matrix!$D$6)), "")</f>
        <v>3.5049999999999999</v>
      </c>
      <c r="BP19" cm="1">
        <f t="array" aca="1" ref="BP19" ca="1">IF( AND($F$7,NOT(ISBLANK($F19))), IF( _xll.IMDP("IR", $F19, BP$8, Matrix!$D$6)=0,"",_xll.IMDP("IR", $F19, BP$8, Matrix!$D$6)), "")</f>
        <v>3.5249999999999999</v>
      </c>
      <c r="BQ19" cm="1">
        <f t="array" aca="1" ref="BQ19" ca="1">IF( AND($F$7,NOT(ISBLANK($F19))), IF( _xll.IMDP("IR", $F19, BQ$8, Matrix!$D$6)=0,"",_xll.IMDP("IR", $F19, BQ$8, Matrix!$D$6)), "")</f>
        <v>3.528</v>
      </c>
      <c r="BR19" cm="1">
        <f t="array" aca="1" ref="BR19" ca="1">IF( AND($F$7,NOT(ISBLANK($F19))), IF( _xll.IMDP("IR", $F19, BR$8, Matrix!$D$6)=0,"",_xll.IMDP("IR", $F19, BR$8, Matrix!$D$6)), "")</f>
        <v>3.5329999999999999</v>
      </c>
      <c r="BS19" cm="1">
        <f t="array" aca="1" ref="BS19" ca="1">IF( AND($F$7,NOT(ISBLANK($F19))), IF( _xll.IMDP("IR", $F19, BS$8, Matrix!$D$6)=0,"",_xll.IMDP("IR", $F19, BS$8, Matrix!$D$6)), "")</f>
        <v>3.5630000000000002</v>
      </c>
      <c r="BT19" cm="1">
        <f t="array" aca="1" ref="BT19" ca="1">IF( AND($F$7,NOT(ISBLANK($F19))), IF( _xll.IMDP("IR", $F19, BT$8, Matrix!$D$6)=0,"",_xll.IMDP("IR", $F19, BT$8, Matrix!$D$6)), "")</f>
        <v>3.6219999999999999</v>
      </c>
      <c r="BU19" cm="1">
        <f t="array" aca="1" ref="BU19" ca="1">IF( AND($F$7,NOT(ISBLANK($F19))), IF( _xll.IMDP("IR", $F19, BU$8, Matrix!$D$6)=0,"",_xll.IMDP("IR", $F19, BU$8, Matrix!$D$6)), "")</f>
        <v>3.677</v>
      </c>
      <c r="BV19" cm="1">
        <f t="array" aca="1" ref="BV19" ca="1">IF( AND($F$7,NOT(ISBLANK($F19))), IF( _xll.IMDP("IR", $F19, BV$8, Matrix!$D$6)=0,"",_xll.IMDP("IR", $F19, BV$8, Matrix!$D$6)), "")</f>
        <v>3.7010000000000001</v>
      </c>
      <c r="BW19" t="str" cm="1">
        <f t="array" aca="1" ref="BW19" ca="1">IF( AND($F$7,NOT(ISBLANK($F19))), IF( _xll.IMDP("IR", $F19, BW$8, Matrix!$D$6)=0,"",_xll.IMDP("IR", $F19, BW$8, Matrix!$D$6)), "")</f>
        <v/>
      </c>
      <c r="BX19" t="str" cm="1">
        <f t="array" aca="1" ref="BX19" ca="1">IF( AND($F$7,NOT(ISBLANK($F19))), IF( _xll.IMDP("IR", $F19, BX$8, Matrix!$D$6)=0,"",_xll.IMDP("IR", $F19, BX$8, Matrix!$D$6)), "")</f>
        <v/>
      </c>
      <c r="BY19" cm="1">
        <f t="array" aca="1" ref="BY19" ca="1">IF( AND($G$7,NOT(ISBLANK($G19))), IF( _xll.IMDP("IR", $G19, BY$8, Matrix!$D$6)=0, "", _xll.IMDP("IR", $G19, BY$8, Matrix!$D$6)), "")</f>
        <v>3.6</v>
      </c>
      <c r="BZ19" cm="1">
        <f t="array" aca="1" ref="BZ19" ca="1">IF( AND($G$7,NOT(ISBLANK($G19))), IF( _xll.IMDP("IR", $G19, BZ$8, Matrix!$D$6)=0, "", _xll.IMDP("IR", $G19, BZ$8, Matrix!$D$6)), "")</f>
        <v>3.6030000000000002</v>
      </c>
      <c r="CA19" cm="1">
        <f t="array" aca="1" ref="CA19" ca="1">IF( AND($G$7,NOT(ISBLANK($G19))), IF( _xll.IMDP("IR", $G19, CA$8, Matrix!$D$6)=0, "", _xll.IMDP("IR", $G19, CA$8, Matrix!$D$6)), "")</f>
        <v>3.5840000000000001</v>
      </c>
      <c r="CB19" cm="1">
        <f t="array" aca="1" ref="CB19" ca="1">IF( AND($G$7,NOT(ISBLANK($G19))), IF( _xll.IMDP("IR", $G19, CB$8, Matrix!$D$6)=0, "", _xll.IMDP("IR", $G19, CB$8, Matrix!$D$6)), "")</f>
        <v>3.569</v>
      </c>
      <c r="CC19" cm="1">
        <f t="array" aca="1" ref="CC19" ca="1">IF( AND($G$7,NOT(ISBLANK($G19))), IF( _xll.IMDP("IR", $G19, CC$8, Matrix!$D$6)=0, "", _xll.IMDP("IR", $G19, CC$8, Matrix!$D$6)), "")</f>
        <v>3.5649999999999999</v>
      </c>
      <c r="CD19" cm="1">
        <f t="array" aca="1" ref="CD19" ca="1">IF( AND($G$7,NOT(ISBLANK($G19))), IF( _xll.IMDP("IR", $G19, CD$8, Matrix!$D$6)=0, "", _xll.IMDP("IR", $G19, CD$8, Matrix!$D$6)), "")</f>
        <v>3.56</v>
      </c>
      <c r="CE19" cm="1">
        <f t="array" aca="1" ref="CE19" ca="1">IF( AND($G$7,NOT(ISBLANK($G19))), IF( _xll.IMDP("IR", $G19, CE$8, Matrix!$D$6)=0, "", _xll.IMDP("IR", $G19, CE$8, Matrix!$D$6)), "")</f>
        <v>3.536</v>
      </c>
      <c r="CF19" cm="1">
        <f t="array" aca="1" ref="CF19" ca="1">IF( AND($G$7,NOT(ISBLANK($G19))), IF( _xll.IMDP("IR", $G19, CF$8, Matrix!$D$6)=0, "", _xll.IMDP("IR", $G19, CF$8, Matrix!$D$6)), "")</f>
        <v>3.5419999999999998</v>
      </c>
      <c r="CG19" cm="1">
        <f t="array" aca="1" ref="CG19" ca="1">IF( AND($G$7,NOT(ISBLANK($G19))), IF( _xll.IMDP("IR", $G19, CG$8, Matrix!$D$6)=0, "", _xll.IMDP("IR", $G19, CG$8, Matrix!$D$6)), "")</f>
        <v>3.5369999999999999</v>
      </c>
      <c r="CH19" cm="1">
        <f t="array" aca="1" ref="CH19" ca="1">IF( AND($G$7,NOT(ISBLANK($G19))), IF( _xll.IMDP("IR", $G19, CH$8, Matrix!$D$6)=0, "", _xll.IMDP("IR", $G19, CH$8, Matrix!$D$6)), "")</f>
        <v>3.5409999999999999</v>
      </c>
      <c r="CI19" cm="1">
        <f t="array" aca="1" ref="CI19" ca="1">IF( AND($G$7,NOT(ISBLANK($G19))), IF( _xll.IMDP("IR", $G19, CI$8, Matrix!$D$6)=0, "", _xll.IMDP("IR", $G19, CI$8, Matrix!$D$6)), "")</f>
        <v>3.5550000000000002</v>
      </c>
      <c r="CJ19" cm="1">
        <f t="array" aca="1" ref="CJ19" ca="1">IF( AND($G$7,NOT(ISBLANK($G19))), IF( _xll.IMDP("IR", $G19, CJ$8, Matrix!$D$6)=0, "", _xll.IMDP("IR", $G19, CJ$8, Matrix!$D$6)), "")</f>
        <v>3.6059999999999999</v>
      </c>
      <c r="CK19" cm="1">
        <f t="array" aca="1" ref="CK19" ca="1">IF( AND($G$7,NOT(ISBLANK($G19))), IF( _xll.IMDP("IR", $G19, CK$8, Matrix!$D$6)=0, "", _xll.IMDP("IR", $G19, CK$8, Matrix!$D$6)), "")</f>
        <v>3.6850000000000001</v>
      </c>
      <c r="CL19" cm="1">
        <f t="array" aca="1" ref="CL19" ca="1">IF( AND($G$7,NOT(ISBLANK($G19))), IF( _xll.IMDP("IR", $G19, CL$8, Matrix!$D$6)=0, "", _xll.IMDP("IR", $G19, CL$8, Matrix!$D$6)), "")</f>
        <v>3.6930000000000001</v>
      </c>
      <c r="CM19" t="str" cm="1">
        <f t="array" aca="1" ref="CM19" ca="1">IF( AND($G$7,NOT(ISBLANK($G19))), IF( _xll.IMDP("IR", $G19, CM$8, Matrix!$D$6)=0, "", _xll.IMDP("IR", $G19, CM$8, Matrix!$D$6)), "")</f>
        <v/>
      </c>
      <c r="CN19" t="str" cm="1">
        <f t="array" aca="1" ref="CN19" ca="1">IF( AND($G$7,NOT(ISBLANK($G19))), IF( _xll.IMDP("IR", $G19, CN$8, Matrix!$D$6)=0, "", _xll.IMDP("IR", $G19, CN$8, Matrix!$D$6)), "")</f>
        <v/>
      </c>
      <c r="CO19" t="str" cm="1">
        <f t="array" ref="CO19">IF( AND($H$7,NOT(ISBLANK($H19))), IF( _xll.IMDP("IR", $H19, CO$8, Matrix!$D$6)=0, "", _xll.IMDP("IR", $H19, CO$8, Matrix!$D$6)), "")</f>
        <v/>
      </c>
      <c r="CP19" t="str" cm="1">
        <f t="array" ref="CP19">IF( AND($H$7,NOT(ISBLANK($H19))), IF( _xll.IMDP("IR", $H19, CP$8, Matrix!$D$6)=0, "", _xll.IMDP("IR", $H19, CP$8, Matrix!$D$6)), "")</f>
        <v/>
      </c>
      <c r="CQ19" t="str" cm="1">
        <f t="array" ref="CQ19">IF( AND($H$7,NOT(ISBLANK($H19))), IF( _xll.IMDP("IR", $H19, CQ$8, Matrix!$D$6)=0, "", _xll.IMDP("IR", $H19, CQ$8, Matrix!$D$6)), "")</f>
        <v/>
      </c>
      <c r="CR19" t="str" cm="1">
        <f t="array" ref="CR19">IF( AND($H$7,NOT(ISBLANK($H19))), IF( _xll.IMDP("IR", $H19, CR$8, Matrix!$D$6)=0, "", _xll.IMDP("IR", $H19, CR$8, Matrix!$D$6)), "")</f>
        <v/>
      </c>
      <c r="CS19" t="str" cm="1">
        <f t="array" ref="CS19">IF( AND($H$7,NOT(ISBLANK($H19))), IF( _xll.IMDP("IR", $H19, CS$8, Matrix!$D$6)=0, "", _xll.IMDP("IR", $H19, CS$8, Matrix!$D$6)), "")</f>
        <v/>
      </c>
      <c r="CT19" t="str" cm="1">
        <f t="array" ref="CT19">IF( AND($H$7,NOT(ISBLANK($H19))), IF( _xll.IMDP("IR", $H19, CT$8, Matrix!$D$6)=0, "", _xll.IMDP("IR", $H19, CT$8, Matrix!$D$6)), "")</f>
        <v/>
      </c>
      <c r="CU19" t="str" cm="1">
        <f t="array" ref="CU19">IF( AND($H$7,NOT(ISBLANK($H19))), IF( _xll.IMDP("IR", $H19, CU$8, Matrix!$D$6)=0, "", _xll.IMDP("IR", $H19, CU$8, Matrix!$D$6)), "")</f>
        <v/>
      </c>
      <c r="CV19" t="str" cm="1">
        <f t="array" ref="CV19">IF( AND($H$7,NOT(ISBLANK($H19))), IF( _xll.IMDP("IR", $H19, CV$8, Matrix!$D$6)=0, "", _xll.IMDP("IR", $H19, CV$8, Matrix!$D$6)), "")</f>
        <v/>
      </c>
      <c r="CW19" t="str" cm="1">
        <f t="array" ref="CW19">IF( AND($H$7,NOT(ISBLANK($H19))), IF( _xll.IMDP("IR", $H19, CW$8, Matrix!$D$6)=0, "", _xll.IMDP("IR", $H19, CW$8, Matrix!$D$6)), "")</f>
        <v/>
      </c>
      <c r="CX19" t="str" cm="1">
        <f t="array" ref="CX19">IF( AND($H$7,NOT(ISBLANK($H19))), IF( _xll.IMDP("IR", $H19, CX$8, Matrix!$D$6)=0, "", _xll.IMDP("IR", $H19, CX$8, Matrix!$D$6)), "")</f>
        <v/>
      </c>
      <c r="CY19" t="str" cm="1">
        <f t="array" ref="CY19">IF( AND($H$7,NOT(ISBLANK($H19))), IF( _xll.IMDP("IR", $H19, CY$8, Matrix!$D$6)=0, "", _xll.IMDP("IR", $H19, CY$8, Matrix!$D$6)), "")</f>
        <v/>
      </c>
      <c r="CZ19" t="str" cm="1">
        <f t="array" ref="CZ19">IF( AND($H$7,NOT(ISBLANK($H19))), IF( _xll.IMDP("IR", $H19, CZ$8, Matrix!$D$6)=0, "", _xll.IMDP("IR", $H19, CZ$8, Matrix!$D$6)), "")</f>
        <v/>
      </c>
      <c r="DA19" t="str" cm="1">
        <f t="array" ref="DA19">IF( AND($H$7,NOT(ISBLANK($H19))), IF( _xll.IMDP("IR", $H19, DA$8, Matrix!$D$6)=0, "", _xll.IMDP("IR", $H19, DA$8, Matrix!$D$6)), "")</f>
        <v/>
      </c>
      <c r="DB19" t="str" cm="1">
        <f t="array" ref="DB19">IF( AND($H$7,NOT(ISBLANK($H19))), IF( _xll.IMDP("IR", $H19, DB$8, Matrix!$D$6)=0, "", _xll.IMDP("IR", $H19, DB$8, Matrix!$D$6)), "")</f>
        <v/>
      </c>
      <c r="DC19" t="str" cm="1">
        <f t="array" ref="DC19">IF( AND($H$7,NOT(ISBLANK($H19))), IF( _xll.IMDP("IR", $H19, DC$8, Matrix!$D$6)=0, "", _xll.IMDP("IR", $H19, DC$8, Matrix!$D$6)), "")</f>
        <v/>
      </c>
      <c r="DD19" t="str" cm="1">
        <f t="array" ref="DD19">IF( AND($H$7,NOT(ISBLANK($H19))), IF( _xll.IMDP("IR", $H19, DD$8, Matrix!$D$6)=0, "", _xll.IMDP("IR", $H19, DD$8, Matrix!$D$6)), "")</f>
        <v/>
      </c>
    </row>
    <row r="20" spans="2:108">
      <c r="B20" t="s">
        <v>89</v>
      </c>
      <c r="C20" t="s">
        <v>163</v>
      </c>
      <c r="D20" t="s">
        <v>240</v>
      </c>
      <c r="E20" t="s">
        <v>303</v>
      </c>
      <c r="F20" t="s">
        <v>366</v>
      </c>
      <c r="G20" t="s">
        <v>432</v>
      </c>
      <c r="H20" t="s">
        <v>494</v>
      </c>
      <c r="M20" s="21">
        <f t="shared" ca="1" si="1"/>
        <v>3.2711504111289202</v>
      </c>
      <c r="N20" s="21">
        <f t="shared" ca="1" si="2"/>
        <v>3.1665580254065406</v>
      </c>
      <c r="O20" s="21">
        <f t="shared" ca="1" si="3"/>
        <v>3.1003574865686008</v>
      </c>
      <c r="P20" s="21">
        <f t="shared" ca="1" si="4"/>
        <v>3.0261977255704489</v>
      </c>
      <c r="Q20" s="21">
        <f t="shared" ca="1" si="5"/>
        <v>3.0421995793329888</v>
      </c>
      <c r="R20" s="21">
        <f t="shared" ca="1" si="6"/>
        <v>2.9870000000000001</v>
      </c>
      <c r="S20" s="21">
        <f t="shared" ca="1" si="7"/>
        <v>2.9935993583440341</v>
      </c>
      <c r="T20" s="21">
        <f t="shared" ca="1" si="8"/>
        <v>2.9941997728264074</v>
      </c>
      <c r="U20" s="21" t="e">
        <f t="shared" ca="1" si="9"/>
        <v>#NUM!</v>
      </c>
      <c r="V20" s="21" t="e">
        <f t="shared" ca="1" si="10"/>
        <v>#NUM!</v>
      </c>
      <c r="W20" s="21" t="e">
        <f t="shared" ca="1" si="11"/>
        <v>#NUM!</v>
      </c>
      <c r="X20" s="21" t="e">
        <f t="shared" ca="1" si="12"/>
        <v>#NUM!</v>
      </c>
      <c r="Y20" s="21" t="e">
        <f t="shared" ca="1" si="13"/>
        <v>#NUM!</v>
      </c>
      <c r="Z20" s="21" t="e">
        <f t="shared" ca="1" si="14"/>
        <v>#NUM!</v>
      </c>
      <c r="AA20" s="21" t="e">
        <f t="shared" ca="1" si="15"/>
        <v>#NUM!</v>
      </c>
      <c r="AB20" s="21" t="e">
        <f t="shared" ca="1" si="16"/>
        <v>#NUM!</v>
      </c>
      <c r="AC20" cm="1">
        <f t="array" aca="1" ref="AC20" ca="1">IF( AND($D$7,NOT(ISBLANK($D20))), IF(_xll.IMDP("IR", $D20, AC$8, Matrix!$D$6)=0,"",_xll.IMDP("IR", $D20, AC$8, Matrix!$D$6)), "")</f>
        <v>3.28</v>
      </c>
      <c r="AD20" cm="1">
        <f t="array" aca="1" ref="AD20" ca="1">IF( AND($D$7,NOT(ISBLANK($D20))), IF(_xll.IMDP("IR", $D20, AD$8, Matrix!$D$6)=0,"",_xll.IMDP("IR", $D20, AD$8, Matrix!$D$6)), "")</f>
        <v>3.1850000000000001</v>
      </c>
      <c r="AE20" cm="1">
        <f t="array" aca="1" ref="AE20" ca="1">IF( AND($D$7,NOT(ISBLANK($D20))), IF(_xll.IMDP("IR", $D20, AE$8, Matrix!$D$6)=0,"",_xll.IMDP("IR", $D20, AE$8, Matrix!$D$6)), "")</f>
        <v>3.105</v>
      </c>
      <c r="AF20" cm="1">
        <f t="array" aca="1" ref="AF20" ca="1">IF( AND($D$7,NOT(ISBLANK($D20))), IF(_xll.IMDP("IR", $D20, AF$8, Matrix!$D$6)=0,"",_xll.IMDP("IR", $D20, AF$8, Matrix!$D$6)), "")</f>
        <v>3.0249999999999999</v>
      </c>
      <c r="AG20" cm="1">
        <f t="array" aca="1" ref="AG20" ca="1">IF( AND($D$7,NOT(ISBLANK($D20))), IF(_xll.IMDP("IR", $D20, AG$8, Matrix!$D$6)=0,"",_xll.IMDP("IR", $D20, AG$8, Matrix!$D$6)), "")</f>
        <v>3.0449999999999999</v>
      </c>
      <c r="AH20" cm="1">
        <f t="array" aca="1" ref="AH20" ca="1">IF( AND($D$7,NOT(ISBLANK($D20))), IF(_xll.IMDP("IR", $D20, AH$8, Matrix!$D$6)=0,"",_xll.IMDP("IR", $D20, AH$8, Matrix!$D$6)), "")</f>
        <v>2.9870000000000001</v>
      </c>
      <c r="AI20" cm="1">
        <f t="array" aca="1" ref="AI20" ca="1">IF( AND($D$7,NOT(ISBLANK($D20))), IF(_xll.IMDP("IR", $D20, AI$8, Matrix!$D$6)=0,"",_xll.IMDP("IR", $D20, AI$8, Matrix!$D$6)), "")</f>
        <v>2.9950000000000001</v>
      </c>
      <c r="AJ20" cm="1">
        <f t="array" aca="1" ref="AJ20" ca="1">IF( AND($D$7,NOT(ISBLANK($D20))), IF(_xll.IMDP("IR", $D20, AJ$8, Matrix!$D$6)=0,"",_xll.IMDP("IR", $D20, AJ$8, Matrix!$D$6)), "")</f>
        <v>2.9950000000000001</v>
      </c>
      <c r="AK20" t="str" cm="1">
        <f t="array" aca="1" ref="AK20" ca="1">IF( AND($D$7,NOT(ISBLANK($D20))), IF(_xll.IMDP("IR", $D20, AK$8, Matrix!$D$6)=0,"",_xll.IMDP("IR", $D20, AK$8, Matrix!$D$6)), "")</f>
        <v/>
      </c>
      <c r="AL20" t="str" cm="1">
        <f t="array" aca="1" ref="AL20" ca="1">IF( AND($D$7,NOT(ISBLANK($D20))), IF(_xll.IMDP("IR", $D20, AL$8, Matrix!$D$6)=0,"",_xll.IMDP("IR", $D20, AL$8, Matrix!$D$6)), "")</f>
        <v/>
      </c>
      <c r="AM20" t="str" cm="1">
        <f t="array" aca="1" ref="AM20" ca="1">IF( AND($D$7,NOT(ISBLANK($D20))), IF(_xll.IMDP("IR", $D20, AM$8, Matrix!$D$6)=0,"",_xll.IMDP("IR", $D20, AM$8, Matrix!$D$6)), "")</f>
        <v/>
      </c>
      <c r="AN20" t="str" cm="1">
        <f t="array" aca="1" ref="AN20" ca="1">IF( AND($D$7,NOT(ISBLANK($D20))), IF(_xll.IMDP("IR", $D20, AN$8, Matrix!$D$6)=0,"",_xll.IMDP("IR", $D20, AN$8, Matrix!$D$6)), "")</f>
        <v/>
      </c>
      <c r="AO20" t="str" cm="1">
        <f t="array" aca="1" ref="AO20" ca="1">IF( AND($D$7,NOT(ISBLANK($D20))), IF(_xll.IMDP("IR", $D20, AO$8, Matrix!$D$6)=0,"",_xll.IMDP("IR", $D20, AO$8, Matrix!$D$6)), "")</f>
        <v/>
      </c>
      <c r="AP20" t="str" cm="1">
        <f t="array" aca="1" ref="AP20" ca="1">IF( AND($D$7,NOT(ISBLANK($D20))), IF(_xll.IMDP("IR", $D20, AP$8, Matrix!$D$6)=0,"",_xll.IMDP("IR", $D20, AP$8, Matrix!$D$6)), "")</f>
        <v/>
      </c>
      <c r="AQ20" t="str" cm="1">
        <f t="array" aca="1" ref="AQ20" ca="1">IF( AND($D$7,NOT(ISBLANK($D20))), IF(_xll.IMDP("IR", $D20, AQ$8, Matrix!$D$6)=0,"",_xll.IMDP("IR", $D20, AQ$8, Matrix!$D$6)), "")</f>
        <v/>
      </c>
      <c r="AR20" t="str" cm="1">
        <f t="array" aca="1" ref="AR20" ca="1">IF( AND($D$7,NOT(ISBLANK($D20))), IF(_xll.IMDP("IR", $D20, AR$8, Matrix!$D$6)=0,"",_xll.IMDP("IR", $D20, AR$8, Matrix!$D$6)), "")</f>
        <v/>
      </c>
      <c r="AS20" cm="1">
        <f t="array" aca="1" ref="AS20" ca="1">IF( AND($E$7,NOT(ISBLANK($E20))), IF( _xll.IMDP("IR", $E20, AS$8, Matrix!$D$6)=0,"",_xll.IMDP("IR", $E20, AS$8, Matrix!$D$6)), "")</f>
        <v>3.2949999999999999</v>
      </c>
      <c r="AT20" cm="1">
        <f t="array" aca="1" ref="AT20" ca="1">IF( AND($E$7,NOT(ISBLANK($E20))), IF( _xll.IMDP("IR", $E20, AT$8, Matrix!$D$6)=0,"",_xll.IMDP("IR", $E20, AT$8, Matrix!$D$6)), "")</f>
        <v>3.1819999999999999</v>
      </c>
      <c r="AU20" cm="1">
        <f t="array" aca="1" ref="AU20" ca="1">IF( AND($E$7,NOT(ISBLANK($E20))), IF( _xll.IMDP("IR", $E20, AU$8, Matrix!$D$6)=0,"",_xll.IMDP("IR", $E20, AU$8, Matrix!$D$6)), "")</f>
        <v>3.117</v>
      </c>
      <c r="AV20" cm="1">
        <f t="array" aca="1" ref="AV20" ca="1">IF( AND($E$7,NOT(ISBLANK($E20))), IF( _xll.IMDP("IR", $E20, AV$8, Matrix!$D$6)=0,"",_xll.IMDP("IR", $E20, AV$8, Matrix!$D$6)), "")</f>
        <v>3.02</v>
      </c>
      <c r="AW20" cm="1">
        <f t="array" aca="1" ref="AW20" ca="1">IF( AND($E$7,NOT(ISBLANK($E20))), IF( _xll.IMDP("IR", $E20, AW$8, Matrix!$D$6)=0,"",_xll.IMDP("IR", $E20, AW$8, Matrix!$D$6)), "")</f>
        <v>3.0419999999999998</v>
      </c>
      <c r="AX20" cm="1">
        <f t="array" aca="1" ref="AX20" ca="1">IF( AND($E$7,NOT(ISBLANK($E20))), IF( _xll.IMDP("IR", $E20, AX$8, Matrix!$D$6)=0,"",_xll.IMDP("IR", $E20, AX$8, Matrix!$D$6)), "")</f>
        <v>2.9870000000000001</v>
      </c>
      <c r="AY20" cm="1">
        <f t="array" aca="1" ref="AY20" ca="1">IF( AND($E$7,NOT(ISBLANK($E20))), IF( _xll.IMDP("IR", $E20, AY$8, Matrix!$D$6)=0,"",_xll.IMDP("IR", $E20, AY$8, Matrix!$D$6)), "")</f>
        <v>2.99</v>
      </c>
      <c r="AZ20" cm="1">
        <f t="array" aca="1" ref="AZ20" ca="1">IF( AND($E$7,NOT(ISBLANK($E20))), IF( _xll.IMDP("IR", $E20, AZ$8, Matrix!$D$6)=0,"",_xll.IMDP("IR", $E20, AZ$8, Matrix!$D$6)), "")</f>
        <v>2.992</v>
      </c>
      <c r="BA20" t="str" cm="1">
        <f t="array" aca="1" ref="BA20" ca="1">IF( AND($E$7,NOT(ISBLANK($E20))), IF( _xll.IMDP("IR", $E20, BA$8, Matrix!$D$6)=0,"",_xll.IMDP("IR", $E20, BA$8, Matrix!$D$6)), "")</f>
        <v/>
      </c>
      <c r="BB20" t="str" cm="1">
        <f t="array" aca="1" ref="BB20" ca="1">IF( AND($E$7,NOT(ISBLANK($E20))), IF( _xll.IMDP("IR", $E20, BB$8, Matrix!$D$6)=0,"",_xll.IMDP("IR", $E20, BB$8, Matrix!$D$6)), "")</f>
        <v/>
      </c>
      <c r="BC20" t="str" cm="1">
        <f t="array" aca="1" ref="BC20" ca="1">IF( AND($E$7,NOT(ISBLANK($E20))), IF( _xll.IMDP("IR", $E20, BC$8, Matrix!$D$6)=0,"",_xll.IMDP("IR", $E20, BC$8, Matrix!$D$6)), "")</f>
        <v/>
      </c>
      <c r="BD20" t="str" cm="1">
        <f t="array" aca="1" ref="BD20" ca="1">IF( AND($E$7,NOT(ISBLANK($E20))), IF( _xll.IMDP("IR", $E20, BD$8, Matrix!$D$6)=0,"",_xll.IMDP("IR", $E20, BD$8, Matrix!$D$6)), "")</f>
        <v/>
      </c>
      <c r="BE20" t="str" cm="1">
        <f t="array" aca="1" ref="BE20" ca="1">IF( AND($E$7,NOT(ISBLANK($E20))), IF( _xll.IMDP("IR", $E20, BE$8, Matrix!$D$6)=0,"",_xll.IMDP("IR", $E20, BE$8, Matrix!$D$6)), "")</f>
        <v/>
      </c>
      <c r="BF20" t="str" cm="1">
        <f t="array" aca="1" ref="BF20" ca="1">IF( AND($E$7,NOT(ISBLANK($E20))), IF( _xll.IMDP("IR", $E20, BF$8, Matrix!$D$6)=0,"",_xll.IMDP("IR", $E20, BF$8, Matrix!$D$6)), "")</f>
        <v/>
      </c>
      <c r="BG20" t="str" cm="1">
        <f t="array" aca="1" ref="BG20" ca="1">IF( AND($E$7,NOT(ISBLANK($E20))), IF( _xll.IMDP("IR", $E20, BG$8, Matrix!$D$6)=0,"",_xll.IMDP("IR", $E20, BG$8, Matrix!$D$6)), "")</f>
        <v/>
      </c>
      <c r="BH20" t="str" cm="1">
        <f t="array" aca="1" ref="BH20" ca="1">IF( AND($E$7,NOT(ISBLANK($E20))), IF( _xll.IMDP("IR", $E20, BH$8, Matrix!$D$6)=0,"",_xll.IMDP("IR", $E20, BH$8, Matrix!$D$6)), "")</f>
        <v/>
      </c>
      <c r="BI20" cm="1">
        <f t="array" aca="1" ref="BI20" ca="1">IF( AND($F$7,NOT(ISBLANK($F20))), IF( _xll.IMDP("IR", $F20, BI$8, Matrix!$D$6)=0,"",_xll.IMDP("IR", $F20, BI$8, Matrix!$D$6)), "")</f>
        <v>3.24</v>
      </c>
      <c r="BJ20" cm="1">
        <f t="array" aca="1" ref="BJ20" ca="1">IF( AND($F$7,NOT(ISBLANK($F20))), IF( _xll.IMDP("IR", $F20, BJ$8, Matrix!$D$6)=0,"",_xll.IMDP("IR", $F20, BJ$8, Matrix!$D$6)), "")</f>
        <v>3.14</v>
      </c>
      <c r="BK20" cm="1">
        <f t="array" aca="1" ref="BK20" ca="1">IF( AND($F$7,NOT(ISBLANK($F20))), IF( _xll.IMDP("IR", $F20, BK$8, Matrix!$D$6)=0,"",_xll.IMDP("IR", $F20, BK$8, Matrix!$D$6)), "")</f>
        <v>3.07</v>
      </c>
      <c r="BL20" cm="1">
        <f t="array" aca="1" ref="BL20" ca="1">IF( AND($F$7,NOT(ISBLANK($F20))), IF( _xll.IMDP("IR", $F20, BL$8, Matrix!$D$6)=0,"",_xll.IMDP("IR", $F20, BL$8, Matrix!$D$6)), "")</f>
        <v>3.03</v>
      </c>
      <c r="BM20" cm="1">
        <f t="array" aca="1" ref="BM20" ca="1">IF( AND($F$7,NOT(ISBLANK($F20))), IF( _xll.IMDP("IR", $F20, BM$8, Matrix!$D$6)=0,"",_xll.IMDP("IR", $F20, BM$8, Matrix!$D$6)), "")</f>
        <v>3.0419999999999998</v>
      </c>
      <c r="BN20" cm="1">
        <f t="array" aca="1" ref="BN20" ca="1">IF( AND($F$7,NOT(ISBLANK($F20))), IF( _xll.IMDP("IR", $F20, BN$8, Matrix!$D$6)=0,"",_xll.IMDP("IR", $F20, BN$8, Matrix!$D$6)), "")</f>
        <v>2.9870000000000001</v>
      </c>
      <c r="BO20" cm="1">
        <f t="array" aca="1" ref="BO20" ca="1">IF( AND($F$7,NOT(ISBLANK($F20))), IF( _xll.IMDP("IR", $F20, BO$8, Matrix!$D$6)=0,"",_xll.IMDP("IR", $F20, BO$8, Matrix!$D$6)), "")</f>
        <v>2.9950000000000001</v>
      </c>
      <c r="BP20" cm="1">
        <f t="array" aca="1" ref="BP20" ca="1">IF( AND($F$7,NOT(ISBLANK($F20))), IF( _xll.IMDP("IR", $F20, BP$8, Matrix!$D$6)=0,"",_xll.IMDP("IR", $F20, BP$8, Matrix!$D$6)), "")</f>
        <v>2.9950000000000001</v>
      </c>
      <c r="BQ20" t="str" cm="1">
        <f t="array" aca="1" ref="BQ20" ca="1">IF( AND($F$7,NOT(ISBLANK($F20))), IF( _xll.IMDP("IR", $F20, BQ$8, Matrix!$D$6)=0,"",_xll.IMDP("IR", $F20, BQ$8, Matrix!$D$6)), "")</f>
        <v/>
      </c>
      <c r="BR20" t="str" cm="1">
        <f t="array" aca="1" ref="BR20" ca="1">IF( AND($F$7,NOT(ISBLANK($F20))), IF( _xll.IMDP("IR", $F20, BR$8, Matrix!$D$6)=0,"",_xll.IMDP("IR", $F20, BR$8, Matrix!$D$6)), "")</f>
        <v/>
      </c>
      <c r="BS20" t="str" cm="1">
        <f t="array" aca="1" ref="BS20" ca="1">IF( AND($F$7,NOT(ISBLANK($F20))), IF( _xll.IMDP("IR", $F20, BS$8, Matrix!$D$6)=0,"",_xll.IMDP("IR", $F20, BS$8, Matrix!$D$6)), "")</f>
        <v/>
      </c>
      <c r="BT20" t="str" cm="1">
        <f t="array" aca="1" ref="BT20" ca="1">IF( AND($F$7,NOT(ISBLANK($F20))), IF( _xll.IMDP("IR", $F20, BT$8, Matrix!$D$6)=0,"",_xll.IMDP("IR", $F20, BT$8, Matrix!$D$6)), "")</f>
        <v/>
      </c>
      <c r="BU20" t="str" cm="1">
        <f t="array" aca="1" ref="BU20" ca="1">IF( AND($F$7,NOT(ISBLANK($F20))), IF( _xll.IMDP("IR", $F20, BU$8, Matrix!$D$6)=0,"",_xll.IMDP("IR", $F20, BU$8, Matrix!$D$6)), "")</f>
        <v/>
      </c>
      <c r="BV20" t="str" cm="1">
        <f t="array" aca="1" ref="BV20" ca="1">IF( AND($F$7,NOT(ISBLANK($F20))), IF( _xll.IMDP("IR", $F20, BV$8, Matrix!$D$6)=0,"",_xll.IMDP("IR", $F20, BV$8, Matrix!$D$6)), "")</f>
        <v/>
      </c>
      <c r="BW20" t="str" cm="1">
        <f t="array" aca="1" ref="BW20" ca="1">IF( AND($F$7,NOT(ISBLANK($F20))), IF( _xll.IMDP("IR", $F20, BW$8, Matrix!$D$6)=0,"",_xll.IMDP("IR", $F20, BW$8, Matrix!$D$6)), "")</f>
        <v/>
      </c>
      <c r="BX20" t="str" cm="1">
        <f t="array" aca="1" ref="BX20" ca="1">IF( AND($F$7,NOT(ISBLANK($F20))), IF( _xll.IMDP("IR", $F20, BX$8, Matrix!$D$6)=0,"",_xll.IMDP("IR", $F20, BX$8, Matrix!$D$6)), "")</f>
        <v/>
      </c>
      <c r="BY20" cm="1">
        <f t="array" aca="1" ref="BY20" ca="1">IF( AND($G$7,NOT(ISBLANK($G20))), IF( _xll.IMDP("IR", $G20, BY$8, Matrix!$D$6)=0, "", _xll.IMDP("IR", $G20, BY$8, Matrix!$D$6)), "")</f>
        <v>3.27</v>
      </c>
      <c r="BZ20" cm="1">
        <f t="array" aca="1" ref="BZ20" ca="1">IF( AND($G$7,NOT(ISBLANK($G20))), IF( _xll.IMDP("IR", $G20, BZ$8, Matrix!$D$6)=0, "", _xll.IMDP("IR", $G20, BZ$8, Matrix!$D$6)), "")</f>
        <v>3.16</v>
      </c>
      <c r="CA20" cm="1">
        <f t="array" aca="1" ref="CA20" ca="1">IF( AND($G$7,NOT(ISBLANK($G20))), IF( _xll.IMDP("IR", $G20, CA$8, Matrix!$D$6)=0, "", _xll.IMDP("IR", $G20, CA$8, Matrix!$D$6)), "")</f>
        <v>3.11</v>
      </c>
      <c r="CB20" cm="1">
        <f t="array" aca="1" ref="CB20" ca="1">IF( AND($G$7,NOT(ISBLANK($G20))), IF( _xll.IMDP("IR", $G20, CB$8, Matrix!$D$6)=0, "", _xll.IMDP("IR", $G20, CB$8, Matrix!$D$6)), "")</f>
        <v>3.03</v>
      </c>
      <c r="CC20" cm="1">
        <f t="array" aca="1" ref="CC20" ca="1">IF( AND($G$7,NOT(ISBLANK($G20))), IF( _xll.IMDP("IR", $G20, CC$8, Matrix!$D$6)=0, "", _xll.IMDP("IR", $G20, CC$8, Matrix!$D$6)), "")</f>
        <v>3.04</v>
      </c>
      <c r="CD20" cm="1">
        <f t="array" aca="1" ref="CD20" ca="1">IF( AND($G$7,NOT(ISBLANK($G20))), IF( _xll.IMDP("IR", $G20, CD$8, Matrix!$D$6)=0, "", _xll.IMDP("IR", $G20, CD$8, Matrix!$D$6)), "")</f>
        <v>2.9870000000000001</v>
      </c>
      <c r="CE20" cm="1">
        <f t="array" aca="1" ref="CE20" ca="1">IF( AND($G$7,NOT(ISBLANK($G20))), IF( _xll.IMDP("IR", $G20, CE$8, Matrix!$D$6)=0, "", _xll.IMDP("IR", $G20, CE$8, Matrix!$D$6)), "")</f>
        <v>2.9950000000000001</v>
      </c>
      <c r="CF20" cm="1">
        <f t="array" aca="1" ref="CF20" ca="1">IF( AND($G$7,NOT(ISBLANK($G20))), IF( _xll.IMDP("IR", $G20, CF$8, Matrix!$D$6)=0, "", _xll.IMDP("IR", $G20, CF$8, Matrix!$D$6)), "")</f>
        <v>2.9950000000000001</v>
      </c>
      <c r="CG20" t="str" cm="1">
        <f t="array" aca="1" ref="CG20" ca="1">IF( AND($G$7,NOT(ISBLANK($G20))), IF( _xll.IMDP("IR", $G20, CG$8, Matrix!$D$6)=0, "", _xll.IMDP("IR", $G20, CG$8, Matrix!$D$6)), "")</f>
        <v/>
      </c>
      <c r="CH20" t="str" cm="1">
        <f t="array" aca="1" ref="CH20" ca="1">IF( AND($G$7,NOT(ISBLANK($G20))), IF( _xll.IMDP("IR", $G20, CH$8, Matrix!$D$6)=0, "", _xll.IMDP("IR", $G20, CH$8, Matrix!$D$6)), "")</f>
        <v/>
      </c>
      <c r="CI20" t="str" cm="1">
        <f t="array" aca="1" ref="CI20" ca="1">IF( AND($G$7,NOT(ISBLANK($G20))), IF( _xll.IMDP("IR", $G20, CI$8, Matrix!$D$6)=0, "", _xll.IMDP("IR", $G20, CI$8, Matrix!$D$6)), "")</f>
        <v/>
      </c>
      <c r="CJ20" t="str" cm="1">
        <f t="array" aca="1" ref="CJ20" ca="1">IF( AND($G$7,NOT(ISBLANK($G20))), IF( _xll.IMDP("IR", $G20, CJ$8, Matrix!$D$6)=0, "", _xll.IMDP("IR", $G20, CJ$8, Matrix!$D$6)), "")</f>
        <v/>
      </c>
      <c r="CK20" t="str" cm="1">
        <f t="array" aca="1" ref="CK20" ca="1">IF( AND($G$7,NOT(ISBLANK($G20))), IF( _xll.IMDP("IR", $G20, CK$8, Matrix!$D$6)=0, "", _xll.IMDP("IR", $G20, CK$8, Matrix!$D$6)), "")</f>
        <v/>
      </c>
      <c r="CL20" t="str" cm="1">
        <f t="array" aca="1" ref="CL20" ca="1">IF( AND($G$7,NOT(ISBLANK($G20))), IF( _xll.IMDP("IR", $G20, CL$8, Matrix!$D$6)=0, "", _xll.IMDP("IR", $G20, CL$8, Matrix!$D$6)), "")</f>
        <v/>
      </c>
      <c r="CM20" t="str" cm="1">
        <f t="array" aca="1" ref="CM20" ca="1">IF( AND($G$7,NOT(ISBLANK($G20))), IF( _xll.IMDP("IR", $G20, CM$8, Matrix!$D$6)=0, "", _xll.IMDP("IR", $G20, CM$8, Matrix!$D$6)), "")</f>
        <v/>
      </c>
      <c r="CN20" t="str" cm="1">
        <f t="array" aca="1" ref="CN20" ca="1">IF( AND($G$7,NOT(ISBLANK($G20))), IF( _xll.IMDP("IR", $G20, CN$8, Matrix!$D$6)=0, "", _xll.IMDP("IR", $G20, CN$8, Matrix!$D$6)), "")</f>
        <v/>
      </c>
      <c r="CO20" cm="1">
        <f t="array" aca="1" ref="CO20" ca="1">IF( AND($H$7,NOT(ISBLANK($H20))), IF( _xll.IMDP("IR", $H20, CO$8, Matrix!$D$6)=0, "", _xll.IMDP("IR", $H20, CO$8, Matrix!$D$6)), "")</f>
        <v>3.2709999999999999</v>
      </c>
      <c r="CP20" cm="1">
        <f t="array" aca="1" ref="CP20" ca="1">IF( AND($H$7,NOT(ISBLANK($H20))), IF( _xll.IMDP("IR", $H20, CP$8, Matrix!$D$6)=0, "", _xll.IMDP("IR", $H20, CP$8, Matrix!$D$6)), "")</f>
        <v>3.1659999999999999</v>
      </c>
      <c r="CQ20" cm="1">
        <f t="array" aca="1" ref="CQ20" ca="1">IF( AND($H$7,NOT(ISBLANK($H20))), IF( _xll.IMDP("IR", $H20, CQ$8, Matrix!$D$6)=0, "", _xll.IMDP("IR", $H20, CQ$8, Matrix!$D$6)), "")</f>
        <v>3.1</v>
      </c>
      <c r="CR20" cm="1">
        <f t="array" aca="1" ref="CR20" ca="1">IF( AND($H$7,NOT(ISBLANK($H20))), IF( _xll.IMDP("IR", $H20, CR$8, Matrix!$D$6)=0, "", _xll.IMDP("IR", $H20, CR$8, Matrix!$D$6)), "")</f>
        <v>3.0259999999999998</v>
      </c>
      <c r="CS20" cm="1">
        <f t="array" aca="1" ref="CS20" ca="1">IF( AND($H$7,NOT(ISBLANK($H20))), IF( _xll.IMDP("IR", $H20, CS$8, Matrix!$D$6)=0, "", _xll.IMDP("IR", $H20, CS$8, Matrix!$D$6)), "")</f>
        <v>3.0419999999999998</v>
      </c>
      <c r="CT20" cm="1">
        <f t="array" aca="1" ref="CT20" ca="1">IF( AND($H$7,NOT(ISBLANK($H20))), IF( _xll.IMDP("IR", $H20, CT$8, Matrix!$D$6)=0, "", _xll.IMDP("IR", $H20, CT$8, Matrix!$D$6)), "")</f>
        <v>2.9870000000000001</v>
      </c>
      <c r="CU20" cm="1">
        <f t="array" aca="1" ref="CU20" ca="1">IF( AND($H$7,NOT(ISBLANK($H20))), IF( _xll.IMDP("IR", $H20, CU$8, Matrix!$D$6)=0, "", _xll.IMDP("IR", $H20, CU$8, Matrix!$D$6)), "")</f>
        <v>2.9929999999999999</v>
      </c>
      <c r="CV20" cm="1">
        <f t="array" aca="1" ref="CV20" ca="1">IF( AND($H$7,NOT(ISBLANK($H20))), IF( _xll.IMDP("IR", $H20, CV$8, Matrix!$D$6)=0, "", _xll.IMDP("IR", $H20, CV$8, Matrix!$D$6)), "")</f>
        <v>2.9940000000000002</v>
      </c>
      <c r="CW20" t="str" cm="1">
        <f t="array" aca="1" ref="CW20" ca="1">IF( AND($H$7,NOT(ISBLANK($H20))), IF( _xll.IMDP("IR", $H20, CW$8, Matrix!$D$6)=0, "", _xll.IMDP("IR", $H20, CW$8, Matrix!$D$6)), "")</f>
        <v/>
      </c>
      <c r="CX20" t="str" cm="1">
        <f t="array" aca="1" ref="CX20" ca="1">IF( AND($H$7,NOT(ISBLANK($H20))), IF( _xll.IMDP("IR", $H20, CX$8, Matrix!$D$6)=0, "", _xll.IMDP("IR", $H20, CX$8, Matrix!$D$6)), "")</f>
        <v/>
      </c>
      <c r="CY20" t="str" cm="1">
        <f t="array" aca="1" ref="CY20" ca="1">IF( AND($H$7,NOT(ISBLANK($H20))), IF( _xll.IMDP("IR", $H20, CY$8, Matrix!$D$6)=0, "", _xll.IMDP("IR", $H20, CY$8, Matrix!$D$6)), "")</f>
        <v/>
      </c>
      <c r="CZ20" t="str" cm="1">
        <f t="array" aca="1" ref="CZ20" ca="1">IF( AND($H$7,NOT(ISBLANK($H20))), IF( _xll.IMDP("IR", $H20, CZ$8, Matrix!$D$6)=0, "", _xll.IMDP("IR", $H20, CZ$8, Matrix!$D$6)), "")</f>
        <v/>
      </c>
      <c r="DA20" t="str" cm="1">
        <f t="array" aca="1" ref="DA20" ca="1">IF( AND($H$7,NOT(ISBLANK($H20))), IF( _xll.IMDP("IR", $H20, DA$8, Matrix!$D$6)=0, "", _xll.IMDP("IR", $H20, DA$8, Matrix!$D$6)), "")</f>
        <v/>
      </c>
      <c r="DB20" t="str" cm="1">
        <f t="array" aca="1" ref="DB20" ca="1">IF( AND($H$7,NOT(ISBLANK($H20))), IF( _xll.IMDP("IR", $H20, DB$8, Matrix!$D$6)=0, "", _xll.IMDP("IR", $H20, DB$8, Matrix!$D$6)), "")</f>
        <v/>
      </c>
      <c r="DC20" t="str" cm="1">
        <f t="array" aca="1" ref="DC20" ca="1">IF( AND($H$7,NOT(ISBLANK($H20))), IF( _xll.IMDP("IR", $H20, DC$8, Matrix!$D$6)=0, "", _xll.IMDP("IR", $H20, DC$8, Matrix!$D$6)), "")</f>
        <v/>
      </c>
      <c r="DD20" t="str" cm="1">
        <f t="array" aca="1" ref="DD20" ca="1">IF( AND($H$7,NOT(ISBLANK($H20))), IF( _xll.IMDP("IR", $H20, DD$8, Matrix!$D$6)=0, "", _xll.IMDP("IR", $H20, DD$8, Matrix!$D$6)), "")</f>
        <v/>
      </c>
    </row>
    <row r="21" spans="2:108">
      <c r="B21" t="s">
        <v>90</v>
      </c>
      <c r="C21" t="s">
        <v>164</v>
      </c>
      <c r="D21" t="s">
        <v>241</v>
      </c>
      <c r="M21" s="21">
        <f t="shared" ca="1" si="1"/>
        <v>3.28</v>
      </c>
      <c r="N21" s="21">
        <f t="shared" ca="1" si="2"/>
        <v>3.1850000000000001</v>
      </c>
      <c r="O21" s="21">
        <f t="shared" ca="1" si="3"/>
        <v>3.105</v>
      </c>
      <c r="P21" s="21">
        <f t="shared" ca="1" si="4"/>
        <v>3.0249999999999999</v>
      </c>
      <c r="Q21" s="21">
        <f t="shared" ca="1" si="5"/>
        <v>3.0449999999999999</v>
      </c>
      <c r="R21" s="21">
        <f t="shared" ca="1" si="6"/>
        <v>2.9870000000000001</v>
      </c>
      <c r="S21" s="21">
        <f t="shared" ca="1" si="7"/>
        <v>2.9950000000000001</v>
      </c>
      <c r="T21" s="21">
        <f t="shared" ca="1" si="8"/>
        <v>2.9950000000000001</v>
      </c>
      <c r="U21" s="21" t="e">
        <f t="shared" ca="1" si="9"/>
        <v>#NUM!</v>
      </c>
      <c r="V21" s="21" t="e">
        <f t="shared" ca="1" si="10"/>
        <v>#NUM!</v>
      </c>
      <c r="W21" s="21" t="e">
        <f t="shared" ca="1" si="11"/>
        <v>#NUM!</v>
      </c>
      <c r="X21" s="21" t="e">
        <f t="shared" ca="1" si="12"/>
        <v>#NUM!</v>
      </c>
      <c r="Y21" s="21" t="e">
        <f t="shared" ca="1" si="13"/>
        <v>#NUM!</v>
      </c>
      <c r="Z21" s="21" t="e">
        <f t="shared" ca="1" si="14"/>
        <v>#NUM!</v>
      </c>
      <c r="AA21" s="21" t="e">
        <f t="shared" ca="1" si="15"/>
        <v>#NUM!</v>
      </c>
      <c r="AB21" s="21" t="e">
        <f t="shared" ca="1" si="16"/>
        <v>#NUM!</v>
      </c>
      <c r="AC21" cm="1">
        <f t="array" aca="1" ref="AC21" ca="1">IF( AND($D$7,NOT(ISBLANK($D21))), IF(_xll.IMDP("IR", $D21, AC$8, Matrix!$D$6)=0,"",_xll.IMDP("IR", $D21, AC$8, Matrix!$D$6)), "")</f>
        <v>3.28</v>
      </c>
      <c r="AD21" cm="1">
        <f t="array" aca="1" ref="AD21" ca="1">IF( AND($D$7,NOT(ISBLANK($D21))), IF(_xll.IMDP("IR", $D21, AD$8, Matrix!$D$6)=0,"",_xll.IMDP("IR", $D21, AD$8, Matrix!$D$6)), "")</f>
        <v>3.1850000000000001</v>
      </c>
      <c r="AE21" cm="1">
        <f t="array" aca="1" ref="AE21" ca="1">IF( AND($D$7,NOT(ISBLANK($D21))), IF(_xll.IMDP("IR", $D21, AE$8, Matrix!$D$6)=0,"",_xll.IMDP("IR", $D21, AE$8, Matrix!$D$6)), "")</f>
        <v>3.105</v>
      </c>
      <c r="AF21" cm="1">
        <f t="array" aca="1" ref="AF21" ca="1">IF( AND($D$7,NOT(ISBLANK($D21))), IF(_xll.IMDP("IR", $D21, AF$8, Matrix!$D$6)=0,"",_xll.IMDP("IR", $D21, AF$8, Matrix!$D$6)), "")</f>
        <v>3.0249999999999999</v>
      </c>
      <c r="AG21" cm="1">
        <f t="array" aca="1" ref="AG21" ca="1">IF( AND($D$7,NOT(ISBLANK($D21))), IF(_xll.IMDP("IR", $D21, AG$8, Matrix!$D$6)=0,"",_xll.IMDP("IR", $D21, AG$8, Matrix!$D$6)), "")</f>
        <v>3.0449999999999999</v>
      </c>
      <c r="AH21" cm="1">
        <f t="array" aca="1" ref="AH21" ca="1">IF( AND($D$7,NOT(ISBLANK($D21))), IF(_xll.IMDP("IR", $D21, AH$8, Matrix!$D$6)=0,"",_xll.IMDP("IR", $D21, AH$8, Matrix!$D$6)), "")</f>
        <v>2.9870000000000001</v>
      </c>
      <c r="AI21" cm="1">
        <f t="array" aca="1" ref="AI21" ca="1">IF( AND($D$7,NOT(ISBLANK($D21))), IF(_xll.IMDP("IR", $D21, AI$8, Matrix!$D$6)=0,"",_xll.IMDP("IR", $D21, AI$8, Matrix!$D$6)), "")</f>
        <v>2.9950000000000001</v>
      </c>
      <c r="AJ21" cm="1">
        <f t="array" aca="1" ref="AJ21" ca="1">IF( AND($D$7,NOT(ISBLANK($D21))), IF(_xll.IMDP("IR", $D21, AJ$8, Matrix!$D$6)=0,"",_xll.IMDP("IR", $D21, AJ$8, Matrix!$D$6)), "")</f>
        <v>2.9950000000000001</v>
      </c>
      <c r="AK21" t="str" cm="1">
        <f t="array" aca="1" ref="AK21" ca="1">IF( AND($D$7,NOT(ISBLANK($D21))), IF(_xll.IMDP("IR", $D21, AK$8, Matrix!$D$6)=0,"",_xll.IMDP("IR", $D21, AK$8, Matrix!$D$6)), "")</f>
        <v/>
      </c>
      <c r="AL21" t="str" cm="1">
        <f t="array" aca="1" ref="AL21" ca="1">IF( AND($D$7,NOT(ISBLANK($D21))), IF(_xll.IMDP("IR", $D21, AL$8, Matrix!$D$6)=0,"",_xll.IMDP("IR", $D21, AL$8, Matrix!$D$6)), "")</f>
        <v/>
      </c>
      <c r="AM21" t="str" cm="1">
        <f t="array" aca="1" ref="AM21" ca="1">IF( AND($D$7,NOT(ISBLANK($D21))), IF(_xll.IMDP("IR", $D21, AM$8, Matrix!$D$6)=0,"",_xll.IMDP("IR", $D21, AM$8, Matrix!$D$6)), "")</f>
        <v/>
      </c>
      <c r="AN21" t="str" cm="1">
        <f t="array" aca="1" ref="AN21" ca="1">IF( AND($D$7,NOT(ISBLANK($D21))), IF(_xll.IMDP("IR", $D21, AN$8, Matrix!$D$6)=0,"",_xll.IMDP("IR", $D21, AN$8, Matrix!$D$6)), "")</f>
        <v/>
      </c>
      <c r="AO21" t="str" cm="1">
        <f t="array" aca="1" ref="AO21" ca="1">IF( AND($D$7,NOT(ISBLANK($D21))), IF(_xll.IMDP("IR", $D21, AO$8, Matrix!$D$6)=0,"",_xll.IMDP("IR", $D21, AO$8, Matrix!$D$6)), "")</f>
        <v/>
      </c>
      <c r="AP21" t="str" cm="1">
        <f t="array" aca="1" ref="AP21" ca="1">IF( AND($D$7,NOT(ISBLANK($D21))), IF(_xll.IMDP("IR", $D21, AP$8, Matrix!$D$6)=0,"",_xll.IMDP("IR", $D21, AP$8, Matrix!$D$6)), "")</f>
        <v/>
      </c>
      <c r="AQ21" t="str" cm="1">
        <f t="array" aca="1" ref="AQ21" ca="1">IF( AND($D$7,NOT(ISBLANK($D21))), IF(_xll.IMDP("IR", $D21, AQ$8, Matrix!$D$6)=0,"",_xll.IMDP("IR", $D21, AQ$8, Matrix!$D$6)), "")</f>
        <v/>
      </c>
      <c r="AR21" t="str" cm="1">
        <f t="array" aca="1" ref="AR21" ca="1">IF( AND($D$7,NOT(ISBLANK($D21))), IF(_xll.IMDP("IR", $D21, AR$8, Matrix!$D$6)=0,"",_xll.IMDP("IR", $D21, AR$8, Matrix!$D$6)), "")</f>
        <v/>
      </c>
      <c r="AS21" t="str" cm="1">
        <f t="array" ref="AS21">IF( AND($E$7,NOT(ISBLANK($E21))), IF( _xll.IMDP("IR", $E21, AS$8, Matrix!$D$6)=0,"",_xll.IMDP("IR", $E21, AS$8, Matrix!$D$6)), "")</f>
        <v/>
      </c>
      <c r="AT21" t="str" cm="1">
        <f t="array" ref="AT21">IF( AND($E$7,NOT(ISBLANK($E21))), IF( _xll.IMDP("IR", $E21, AT$8, Matrix!$D$6)=0,"",_xll.IMDP("IR", $E21, AT$8, Matrix!$D$6)), "")</f>
        <v/>
      </c>
      <c r="AU21" t="str" cm="1">
        <f t="array" ref="AU21">IF( AND($E$7,NOT(ISBLANK($E21))), IF( _xll.IMDP("IR", $E21, AU$8, Matrix!$D$6)=0,"",_xll.IMDP("IR", $E21, AU$8, Matrix!$D$6)), "")</f>
        <v/>
      </c>
      <c r="AV21" t="str" cm="1">
        <f t="array" ref="AV21">IF( AND($E$7,NOT(ISBLANK($E21))), IF( _xll.IMDP("IR", $E21, AV$8, Matrix!$D$6)=0,"",_xll.IMDP("IR", $E21, AV$8, Matrix!$D$6)), "")</f>
        <v/>
      </c>
      <c r="AW21" t="str" cm="1">
        <f t="array" ref="AW21">IF( AND($E$7,NOT(ISBLANK($E21))), IF( _xll.IMDP("IR", $E21, AW$8, Matrix!$D$6)=0,"",_xll.IMDP("IR", $E21, AW$8, Matrix!$D$6)), "")</f>
        <v/>
      </c>
      <c r="AX21" t="str" cm="1">
        <f t="array" ref="AX21">IF( AND($E$7,NOT(ISBLANK($E21))), IF( _xll.IMDP("IR", $E21, AX$8, Matrix!$D$6)=0,"",_xll.IMDP("IR", $E21, AX$8, Matrix!$D$6)), "")</f>
        <v/>
      </c>
      <c r="AY21" t="str" cm="1">
        <f t="array" ref="AY21">IF( AND($E$7,NOT(ISBLANK($E21))), IF( _xll.IMDP("IR", $E21, AY$8, Matrix!$D$6)=0,"",_xll.IMDP("IR", $E21, AY$8, Matrix!$D$6)), "")</f>
        <v/>
      </c>
      <c r="AZ21" t="str" cm="1">
        <f t="array" ref="AZ21">IF( AND($E$7,NOT(ISBLANK($E21))), IF( _xll.IMDP("IR", $E21, AZ$8, Matrix!$D$6)=0,"",_xll.IMDP("IR", $E21, AZ$8, Matrix!$D$6)), "")</f>
        <v/>
      </c>
      <c r="BA21" t="str" cm="1">
        <f t="array" ref="BA21">IF( AND($E$7,NOT(ISBLANK($E21))), IF( _xll.IMDP("IR", $E21, BA$8, Matrix!$D$6)=0,"",_xll.IMDP("IR", $E21, BA$8, Matrix!$D$6)), "")</f>
        <v/>
      </c>
      <c r="BB21" t="str" cm="1">
        <f t="array" ref="BB21">IF( AND($E$7,NOT(ISBLANK($E21))), IF( _xll.IMDP("IR", $E21, BB$8, Matrix!$D$6)=0,"",_xll.IMDP("IR", $E21, BB$8, Matrix!$D$6)), "")</f>
        <v/>
      </c>
      <c r="BC21" t="str" cm="1">
        <f t="array" ref="BC21">IF( AND($E$7,NOT(ISBLANK($E21))), IF( _xll.IMDP("IR", $E21, BC$8, Matrix!$D$6)=0,"",_xll.IMDP("IR", $E21, BC$8, Matrix!$D$6)), "")</f>
        <v/>
      </c>
      <c r="BD21" t="str" cm="1">
        <f t="array" ref="BD21">IF( AND($E$7,NOT(ISBLANK($E21))), IF( _xll.IMDP("IR", $E21, BD$8, Matrix!$D$6)=0,"",_xll.IMDP("IR", $E21, BD$8, Matrix!$D$6)), "")</f>
        <v/>
      </c>
      <c r="BE21" t="str" cm="1">
        <f t="array" ref="BE21">IF( AND($E$7,NOT(ISBLANK($E21))), IF( _xll.IMDP("IR", $E21, BE$8, Matrix!$D$6)=0,"",_xll.IMDP("IR", $E21, BE$8, Matrix!$D$6)), "")</f>
        <v/>
      </c>
      <c r="BF21" t="str" cm="1">
        <f t="array" ref="BF21">IF( AND($E$7,NOT(ISBLANK($E21))), IF( _xll.IMDP("IR", $E21, BF$8, Matrix!$D$6)=0,"",_xll.IMDP("IR", $E21, BF$8, Matrix!$D$6)), "")</f>
        <v/>
      </c>
      <c r="BG21" t="str" cm="1">
        <f t="array" ref="BG21">IF( AND($E$7,NOT(ISBLANK($E21))), IF( _xll.IMDP("IR", $E21, BG$8, Matrix!$D$6)=0,"",_xll.IMDP("IR", $E21, BG$8, Matrix!$D$6)), "")</f>
        <v/>
      </c>
      <c r="BH21" t="str" cm="1">
        <f t="array" ref="BH21">IF( AND($E$7,NOT(ISBLANK($E21))), IF( _xll.IMDP("IR", $E21, BH$8, Matrix!$D$6)=0,"",_xll.IMDP("IR", $E21, BH$8, Matrix!$D$6)), "")</f>
        <v/>
      </c>
      <c r="BI21" t="str" cm="1">
        <f t="array" ref="BI21">IF( AND($F$7,NOT(ISBLANK($F21))), IF( _xll.IMDP("IR", $F21, BI$8, Matrix!$D$6)=0,"",_xll.IMDP("IR", $F21, BI$8, Matrix!$D$6)), "")</f>
        <v/>
      </c>
      <c r="BJ21" t="str" cm="1">
        <f t="array" ref="BJ21">IF( AND($F$7,NOT(ISBLANK($F21))), IF( _xll.IMDP("IR", $F21, BJ$8, Matrix!$D$6)=0,"",_xll.IMDP("IR", $F21, BJ$8, Matrix!$D$6)), "")</f>
        <v/>
      </c>
      <c r="BK21" t="str" cm="1">
        <f t="array" ref="BK21">IF( AND($F$7,NOT(ISBLANK($F21))), IF( _xll.IMDP("IR", $F21, BK$8, Matrix!$D$6)=0,"",_xll.IMDP("IR", $F21, BK$8, Matrix!$D$6)), "")</f>
        <v/>
      </c>
      <c r="BL21" t="str" cm="1">
        <f t="array" ref="BL21">IF( AND($F$7,NOT(ISBLANK($F21))), IF( _xll.IMDP("IR", $F21, BL$8, Matrix!$D$6)=0,"",_xll.IMDP("IR", $F21, BL$8, Matrix!$D$6)), "")</f>
        <v/>
      </c>
      <c r="BM21" t="str" cm="1">
        <f t="array" ref="BM21">IF( AND($F$7,NOT(ISBLANK($F21))), IF( _xll.IMDP("IR", $F21, BM$8, Matrix!$D$6)=0,"",_xll.IMDP("IR", $F21, BM$8, Matrix!$D$6)), "")</f>
        <v/>
      </c>
      <c r="BN21" t="str" cm="1">
        <f t="array" ref="BN21">IF( AND($F$7,NOT(ISBLANK($F21))), IF( _xll.IMDP("IR", $F21, BN$8, Matrix!$D$6)=0,"",_xll.IMDP("IR", $F21, BN$8, Matrix!$D$6)), "")</f>
        <v/>
      </c>
      <c r="BO21" t="str" cm="1">
        <f t="array" ref="BO21">IF( AND($F$7,NOT(ISBLANK($F21))), IF( _xll.IMDP("IR", $F21, BO$8, Matrix!$D$6)=0,"",_xll.IMDP("IR", $F21, BO$8, Matrix!$D$6)), "")</f>
        <v/>
      </c>
      <c r="BP21" t="str" cm="1">
        <f t="array" ref="BP21">IF( AND($F$7,NOT(ISBLANK($F21))), IF( _xll.IMDP("IR", $F21, BP$8, Matrix!$D$6)=0,"",_xll.IMDP("IR", $F21, BP$8, Matrix!$D$6)), "")</f>
        <v/>
      </c>
      <c r="BQ21" t="str" cm="1">
        <f t="array" ref="BQ21">IF( AND($F$7,NOT(ISBLANK($F21))), IF( _xll.IMDP("IR", $F21, BQ$8, Matrix!$D$6)=0,"",_xll.IMDP("IR", $F21, BQ$8, Matrix!$D$6)), "")</f>
        <v/>
      </c>
      <c r="BR21" t="str" cm="1">
        <f t="array" ref="BR21">IF( AND($F$7,NOT(ISBLANK($F21))), IF( _xll.IMDP("IR", $F21, BR$8, Matrix!$D$6)=0,"",_xll.IMDP("IR", $F21, BR$8, Matrix!$D$6)), "")</f>
        <v/>
      </c>
      <c r="BS21" t="str" cm="1">
        <f t="array" ref="BS21">IF( AND($F$7,NOT(ISBLANK($F21))), IF( _xll.IMDP("IR", $F21, BS$8, Matrix!$D$6)=0,"",_xll.IMDP("IR", $F21, BS$8, Matrix!$D$6)), "")</f>
        <v/>
      </c>
      <c r="BT21" t="str" cm="1">
        <f t="array" ref="BT21">IF( AND($F$7,NOT(ISBLANK($F21))), IF( _xll.IMDP("IR", $F21, BT$8, Matrix!$D$6)=0,"",_xll.IMDP("IR", $F21, BT$8, Matrix!$D$6)), "")</f>
        <v/>
      </c>
      <c r="BU21" t="str" cm="1">
        <f t="array" ref="BU21">IF( AND($F$7,NOT(ISBLANK($F21))), IF( _xll.IMDP("IR", $F21, BU$8, Matrix!$D$6)=0,"",_xll.IMDP("IR", $F21, BU$8, Matrix!$D$6)), "")</f>
        <v/>
      </c>
      <c r="BV21" t="str" cm="1">
        <f t="array" ref="BV21">IF( AND($F$7,NOT(ISBLANK($F21))), IF( _xll.IMDP("IR", $F21, BV$8, Matrix!$D$6)=0,"",_xll.IMDP("IR", $F21, BV$8, Matrix!$D$6)), "")</f>
        <v/>
      </c>
      <c r="BW21" t="str" cm="1">
        <f t="array" ref="BW21">IF( AND($F$7,NOT(ISBLANK($F21))), IF( _xll.IMDP("IR", $F21, BW$8, Matrix!$D$6)=0,"",_xll.IMDP("IR", $F21, BW$8, Matrix!$D$6)), "")</f>
        <v/>
      </c>
      <c r="BX21" t="str" cm="1">
        <f t="array" ref="BX21">IF( AND($F$7,NOT(ISBLANK($F21))), IF( _xll.IMDP("IR", $F21, BX$8, Matrix!$D$6)=0,"",_xll.IMDP("IR", $F21, BX$8, Matrix!$D$6)), "")</f>
        <v/>
      </c>
      <c r="BY21" t="str" cm="1">
        <f t="array" ref="BY21">IF( AND($G$7,NOT(ISBLANK($G21))), IF( _xll.IMDP("IR", $G21, BY$8, Matrix!$D$6)=0, "", _xll.IMDP("IR", $G21, BY$8, Matrix!$D$6)), "")</f>
        <v/>
      </c>
      <c r="BZ21" t="str" cm="1">
        <f t="array" ref="BZ21">IF( AND($G$7,NOT(ISBLANK($G21))), IF( _xll.IMDP("IR", $G21, BZ$8, Matrix!$D$6)=0, "", _xll.IMDP("IR", $G21, BZ$8, Matrix!$D$6)), "")</f>
        <v/>
      </c>
      <c r="CA21" t="str" cm="1">
        <f t="array" ref="CA21">IF( AND($G$7,NOT(ISBLANK($G21))), IF( _xll.IMDP("IR", $G21, CA$8, Matrix!$D$6)=0, "", _xll.IMDP("IR", $G21, CA$8, Matrix!$D$6)), "")</f>
        <v/>
      </c>
      <c r="CB21" t="str" cm="1">
        <f t="array" ref="CB21">IF( AND($G$7,NOT(ISBLANK($G21))), IF( _xll.IMDP("IR", $G21, CB$8, Matrix!$D$6)=0, "", _xll.IMDP("IR", $G21, CB$8, Matrix!$D$6)), "")</f>
        <v/>
      </c>
      <c r="CC21" t="str" cm="1">
        <f t="array" ref="CC21">IF( AND($G$7,NOT(ISBLANK($G21))), IF( _xll.IMDP("IR", $G21, CC$8, Matrix!$D$6)=0, "", _xll.IMDP("IR", $G21, CC$8, Matrix!$D$6)), "")</f>
        <v/>
      </c>
      <c r="CD21" t="str" cm="1">
        <f t="array" ref="CD21">IF( AND($G$7,NOT(ISBLANK($G21))), IF( _xll.IMDP("IR", $G21, CD$8, Matrix!$D$6)=0, "", _xll.IMDP("IR", $G21, CD$8, Matrix!$D$6)), "")</f>
        <v/>
      </c>
      <c r="CE21" t="str" cm="1">
        <f t="array" ref="CE21">IF( AND($G$7,NOT(ISBLANK($G21))), IF( _xll.IMDP("IR", $G21, CE$8, Matrix!$D$6)=0, "", _xll.IMDP("IR", $G21, CE$8, Matrix!$D$6)), "")</f>
        <v/>
      </c>
      <c r="CF21" t="str" cm="1">
        <f t="array" ref="CF21">IF( AND($G$7,NOT(ISBLANK($G21))), IF( _xll.IMDP("IR", $G21, CF$8, Matrix!$D$6)=0, "", _xll.IMDP("IR", $G21, CF$8, Matrix!$D$6)), "")</f>
        <v/>
      </c>
      <c r="CG21" t="str" cm="1">
        <f t="array" ref="CG21">IF( AND($G$7,NOT(ISBLANK($G21))), IF( _xll.IMDP("IR", $G21, CG$8, Matrix!$D$6)=0, "", _xll.IMDP("IR", $G21, CG$8, Matrix!$D$6)), "")</f>
        <v/>
      </c>
      <c r="CH21" t="str" cm="1">
        <f t="array" ref="CH21">IF( AND($G$7,NOT(ISBLANK($G21))), IF( _xll.IMDP("IR", $G21, CH$8, Matrix!$D$6)=0, "", _xll.IMDP("IR", $G21, CH$8, Matrix!$D$6)), "")</f>
        <v/>
      </c>
      <c r="CI21" t="str" cm="1">
        <f t="array" ref="CI21">IF( AND($G$7,NOT(ISBLANK($G21))), IF( _xll.IMDP("IR", $G21, CI$8, Matrix!$D$6)=0, "", _xll.IMDP("IR", $G21, CI$8, Matrix!$D$6)), "")</f>
        <v/>
      </c>
      <c r="CJ21" t="str" cm="1">
        <f t="array" ref="CJ21">IF( AND($G$7,NOT(ISBLANK($G21))), IF( _xll.IMDP("IR", $G21, CJ$8, Matrix!$D$6)=0, "", _xll.IMDP("IR", $G21, CJ$8, Matrix!$D$6)), "")</f>
        <v/>
      </c>
      <c r="CK21" t="str" cm="1">
        <f t="array" ref="CK21">IF( AND($G$7,NOT(ISBLANK($G21))), IF( _xll.IMDP("IR", $G21, CK$8, Matrix!$D$6)=0, "", _xll.IMDP("IR", $G21, CK$8, Matrix!$D$6)), "")</f>
        <v/>
      </c>
      <c r="CL21" t="str" cm="1">
        <f t="array" ref="CL21">IF( AND($G$7,NOT(ISBLANK($G21))), IF( _xll.IMDP("IR", $G21, CL$8, Matrix!$D$6)=0, "", _xll.IMDP("IR", $G21, CL$8, Matrix!$D$6)), "")</f>
        <v/>
      </c>
      <c r="CM21" t="str" cm="1">
        <f t="array" ref="CM21">IF( AND($G$7,NOT(ISBLANK($G21))), IF( _xll.IMDP("IR", $G21, CM$8, Matrix!$D$6)=0, "", _xll.IMDP("IR", $G21, CM$8, Matrix!$D$6)), "")</f>
        <v/>
      </c>
      <c r="CN21" t="str" cm="1">
        <f t="array" ref="CN21">IF( AND($G$7,NOT(ISBLANK($G21))), IF( _xll.IMDP("IR", $G21, CN$8, Matrix!$D$6)=0, "", _xll.IMDP("IR", $G21, CN$8, Matrix!$D$6)), "")</f>
        <v/>
      </c>
      <c r="CO21" t="str" cm="1">
        <f t="array" ref="CO21">IF( AND($H$7,NOT(ISBLANK($H21))), IF( _xll.IMDP("IR", $H21, CO$8, Matrix!$D$6)=0, "", _xll.IMDP("IR", $H21, CO$8, Matrix!$D$6)), "")</f>
        <v/>
      </c>
      <c r="CP21" t="str" cm="1">
        <f t="array" ref="CP21">IF( AND($H$7,NOT(ISBLANK($H21))), IF( _xll.IMDP("IR", $H21, CP$8, Matrix!$D$6)=0, "", _xll.IMDP("IR", $H21, CP$8, Matrix!$D$6)), "")</f>
        <v/>
      </c>
      <c r="CQ21" t="str" cm="1">
        <f t="array" ref="CQ21">IF( AND($H$7,NOT(ISBLANK($H21))), IF( _xll.IMDP("IR", $H21, CQ$8, Matrix!$D$6)=0, "", _xll.IMDP("IR", $H21, CQ$8, Matrix!$D$6)), "")</f>
        <v/>
      </c>
      <c r="CR21" t="str" cm="1">
        <f t="array" ref="CR21">IF( AND($H$7,NOT(ISBLANK($H21))), IF( _xll.IMDP("IR", $H21, CR$8, Matrix!$D$6)=0, "", _xll.IMDP("IR", $H21, CR$8, Matrix!$D$6)), "")</f>
        <v/>
      </c>
      <c r="CS21" t="str" cm="1">
        <f t="array" ref="CS21">IF( AND($H$7,NOT(ISBLANK($H21))), IF( _xll.IMDP("IR", $H21, CS$8, Matrix!$D$6)=0, "", _xll.IMDP("IR", $H21, CS$8, Matrix!$D$6)), "")</f>
        <v/>
      </c>
      <c r="CT21" t="str" cm="1">
        <f t="array" ref="CT21">IF( AND($H$7,NOT(ISBLANK($H21))), IF( _xll.IMDP("IR", $H21, CT$8, Matrix!$D$6)=0, "", _xll.IMDP("IR", $H21, CT$8, Matrix!$D$6)), "")</f>
        <v/>
      </c>
      <c r="CU21" t="str" cm="1">
        <f t="array" ref="CU21">IF( AND($H$7,NOT(ISBLANK($H21))), IF( _xll.IMDP("IR", $H21, CU$8, Matrix!$D$6)=0, "", _xll.IMDP("IR", $H21, CU$8, Matrix!$D$6)), "")</f>
        <v/>
      </c>
      <c r="CV21" t="str" cm="1">
        <f t="array" ref="CV21">IF( AND($H$7,NOT(ISBLANK($H21))), IF( _xll.IMDP("IR", $H21, CV$8, Matrix!$D$6)=0, "", _xll.IMDP("IR", $H21, CV$8, Matrix!$D$6)), "")</f>
        <v/>
      </c>
      <c r="CW21" t="str" cm="1">
        <f t="array" ref="CW21">IF( AND($H$7,NOT(ISBLANK($H21))), IF( _xll.IMDP("IR", $H21, CW$8, Matrix!$D$6)=0, "", _xll.IMDP("IR", $H21, CW$8, Matrix!$D$6)), "")</f>
        <v/>
      </c>
      <c r="CX21" t="str" cm="1">
        <f t="array" ref="CX21">IF( AND($H$7,NOT(ISBLANK($H21))), IF( _xll.IMDP("IR", $H21, CX$8, Matrix!$D$6)=0, "", _xll.IMDP("IR", $H21, CX$8, Matrix!$D$6)), "")</f>
        <v/>
      </c>
      <c r="CY21" t="str" cm="1">
        <f t="array" ref="CY21">IF( AND($H$7,NOT(ISBLANK($H21))), IF( _xll.IMDP("IR", $H21, CY$8, Matrix!$D$6)=0, "", _xll.IMDP("IR", $H21, CY$8, Matrix!$D$6)), "")</f>
        <v/>
      </c>
      <c r="CZ21" t="str" cm="1">
        <f t="array" ref="CZ21">IF( AND($H$7,NOT(ISBLANK($H21))), IF( _xll.IMDP("IR", $H21, CZ$8, Matrix!$D$6)=0, "", _xll.IMDP("IR", $H21, CZ$8, Matrix!$D$6)), "")</f>
        <v/>
      </c>
      <c r="DA21" t="str" cm="1">
        <f t="array" ref="DA21">IF( AND($H$7,NOT(ISBLANK($H21))), IF( _xll.IMDP("IR", $H21, DA$8, Matrix!$D$6)=0, "", _xll.IMDP("IR", $H21, DA$8, Matrix!$D$6)), "")</f>
        <v/>
      </c>
      <c r="DB21" t="str" cm="1">
        <f t="array" ref="DB21">IF( AND($H$7,NOT(ISBLANK($H21))), IF( _xll.IMDP("IR", $H21, DB$8, Matrix!$D$6)=0, "", _xll.IMDP("IR", $H21, DB$8, Matrix!$D$6)), "")</f>
        <v/>
      </c>
      <c r="DC21" t="str" cm="1">
        <f t="array" ref="DC21">IF( AND($H$7,NOT(ISBLANK($H21))), IF( _xll.IMDP("IR", $H21, DC$8, Matrix!$D$6)=0, "", _xll.IMDP("IR", $H21, DC$8, Matrix!$D$6)), "")</f>
        <v/>
      </c>
      <c r="DD21" t="str" cm="1">
        <f t="array" ref="DD21">IF( AND($H$7,NOT(ISBLANK($H21))), IF( _xll.IMDP("IR", $H21, DD$8, Matrix!$D$6)=0, "", _xll.IMDP("IR", $H21, DD$8, Matrix!$D$6)), "")</f>
        <v/>
      </c>
    </row>
    <row r="22" spans="2:108">
      <c r="B22" t="s">
        <v>546</v>
      </c>
      <c r="C22" t="s">
        <v>547</v>
      </c>
      <c r="D22" t="s">
        <v>548</v>
      </c>
      <c r="E22" t="s">
        <v>549</v>
      </c>
      <c r="F22" t="s">
        <v>550</v>
      </c>
      <c r="G22" t="s">
        <v>551</v>
      </c>
      <c r="H22" t="s">
        <v>552</v>
      </c>
      <c r="M22" s="21">
        <f t="shared" ref="M22" ca="1" si="18">CHOOSE( $N$7, AVERAGE(AC22,AS22,BI22,BY22,CO22), GEOMEAN(AC22,AS22,BI22,BY22,CO22) )</f>
        <v>3.4233927330201399</v>
      </c>
      <c r="N22" s="21">
        <f t="shared" ref="N22" ca="1" si="19">CHOOSE( $N$7, AVERAGE(AD22,AT22,BJ22,BZ22,CP22), GEOMEAN(AD22,AT22,BJ22,BZ22,CP22) )</f>
        <v>3.4003859955087918</v>
      </c>
      <c r="O22" s="21">
        <f t="shared" ref="O22" ca="1" si="20">CHOOSE( $N$7, AVERAGE(AE22,AU22,BK22,CA22,CQ22), GEOMEAN(AE22,AU22,BK22,CA22,CQ22) )</f>
        <v>3.3303795758219876</v>
      </c>
      <c r="P22" s="21">
        <f t="shared" ref="P22" ca="1" si="21">CHOOSE( $N$7, AVERAGE(AF22,AV22,BL22,CB22,CR22), GEOMEAN(AF22,AV22,BL22,CB22,CR22) )</f>
        <v>3.2885640677020902</v>
      </c>
      <c r="Q22" s="21">
        <f t="shared" ref="Q22" ca="1" si="22">CHOOSE( $N$7, AVERAGE(AG22,AW22,BM22,CC22,CS22), GEOMEAN(AG22,AW22,BM22,CC22,CS22) )</f>
        <v>3.244569342663429</v>
      </c>
      <c r="R22" s="21">
        <f t="shared" ref="R22" ca="1" si="23">CHOOSE( $N$7, AVERAGE(AH22,AX22,BN22,CD22,CT22), GEOMEAN(AH22,AX22,BN22,CD22,CT22) )</f>
        <v>3.2071572777387498</v>
      </c>
      <c r="S22" s="21">
        <f t="shared" ref="S22" ca="1" si="24">CHOOSE( $N$7, AVERAGE(AI22,AY22,BO22,CE22,CU22), GEOMEAN(AI22,AY22,BO22,CE22,CU22) )</f>
        <v>3.1825850390695636</v>
      </c>
      <c r="T22" s="21">
        <f t="shared" ref="T22" ca="1" si="25">CHOOSE( $N$7, AVERAGE(AJ22,AZ22,BP22,CF22,CV22), GEOMEAN(AJ22,AZ22,BP22,CF22,CV22) )</f>
        <v>3.166186072254312</v>
      </c>
      <c r="U22" s="21">
        <f t="shared" ref="U22" ca="1" si="26">CHOOSE( $N$7, AVERAGE(AK22,BA22,BQ22,CG22,CW22), GEOMEAN(AK22,BA22,BQ22,CG22,CW22) )</f>
        <v>3.1649845812992212</v>
      </c>
      <c r="V22" s="21">
        <f t="shared" ref="V22" ca="1" si="27">CHOOSE( $N$7, AVERAGE(AL22,BB22,BR22,CH22,CX22), GEOMEAN(AL22,BB22,BR22,CH22,CX22) )</f>
        <v>3.1651900609533721</v>
      </c>
      <c r="W22" s="21">
        <f t="shared" ref="W22" ca="1" si="28">CHOOSE( $N$7, AVERAGE(AM22,BC22,BS22,CI22,CY22), GEOMEAN(AM22,BC22,BS22,CI22,CY22) )</f>
        <v>3.2933170643897665</v>
      </c>
      <c r="X22" s="21">
        <f t="shared" ref="X22" ca="1" si="29">CHOOSE( $N$7, AVERAGE(AN22,BD22,BT22,CJ22,CZ22), GEOMEAN(AN22,BD22,BT22,CJ22,CZ22) )</f>
        <v>3.5073526051420778</v>
      </c>
      <c r="Y22" s="21">
        <f t="shared" ref="Y22" ca="1" si="30">CHOOSE( $N$7, AVERAGE(AO22,BE22,BU22,CK22,DA22), GEOMEAN(AO22,BE22,BU22,CK22,DA22) )</f>
        <v>3.6213906738615096</v>
      </c>
      <c r="Z22" s="21">
        <f t="shared" ref="Z22" ca="1" si="31">CHOOSE( $N$7, AVERAGE(AP22,BF22,BV22,CL22,DB22), GEOMEAN(AP22,BF22,BV22,CL22,DB22) )</f>
        <v>3.6841153548121093</v>
      </c>
      <c r="AA22" s="21" t="e">
        <f t="shared" ref="AA22" ca="1" si="32">CHOOSE( $N$7, AVERAGE(AQ22,BG22,BW22,CM22,DC22), GEOMEAN(AQ22,BG22,BW22,CM22,DC22) )</f>
        <v>#NUM!</v>
      </c>
      <c r="AB22" s="21" t="e">
        <f t="shared" ref="AB22" ca="1" si="33">CHOOSE( $N$7, AVERAGE(AR22,BH22,BX22,CN22,DD22), GEOMEAN(AR22,BH22,BX22,CN22,DD22) )</f>
        <v>#NUM!</v>
      </c>
      <c r="AC22" cm="1">
        <f t="array" aca="1" ref="AC22" ca="1">IF( AND($D$7,NOT(ISBLANK($D22))), IF(_xll.IMDP("IR", $D22, AC$8, Matrix!$D$6)=0,"",_xll.IMDP("IR", $D22, AC$8, Matrix!$D$6)), "")</f>
        <v>3.42</v>
      </c>
      <c r="AD22" cm="1">
        <f t="array" aca="1" ref="AD22" ca="1">IF( AND($D$7,NOT(ISBLANK($D22))), IF(_xll.IMDP("IR", $D22, AD$8, Matrix!$D$6)=0,"",_xll.IMDP("IR", $D22, AD$8, Matrix!$D$6)), "")</f>
        <v>3.4039999999999999</v>
      </c>
      <c r="AE22" cm="1">
        <f t="array" aca="1" ref="AE22" ca="1">IF( AND($D$7,NOT(ISBLANK($D22))), IF(_xll.IMDP("IR", $D22, AE$8, Matrix!$D$6)=0,"",_xll.IMDP("IR", $D22, AE$8, Matrix!$D$6)), "")</f>
        <v>3.33</v>
      </c>
      <c r="AF22" cm="1">
        <f t="array" aca="1" ref="AF22" ca="1">IF( AND($D$7,NOT(ISBLANK($D22))), IF(_xll.IMDP("IR", $D22, AF$8, Matrix!$D$6)=0,"",_xll.IMDP("IR", $D22, AF$8, Matrix!$D$6)), "")</f>
        <v>3.2879999999999998</v>
      </c>
      <c r="AG22" cm="1">
        <f t="array" aca="1" ref="AG22" ca="1">IF( AND($D$7,NOT(ISBLANK($D22))), IF(_xll.IMDP("IR", $D22, AG$8, Matrix!$D$6)=0,"",_xll.IMDP("IR", $D22, AG$8, Matrix!$D$6)), "")</f>
        <v>3.24</v>
      </c>
      <c r="AH22" cm="1">
        <f t="array" aca="1" ref="AH22" ca="1">IF( AND($D$7,NOT(ISBLANK($D22))), IF(_xll.IMDP("IR", $D22, AH$8, Matrix!$D$6)=0,"",_xll.IMDP("IR", $D22, AH$8, Matrix!$D$6)), "")</f>
        <v>3.2040000000000002</v>
      </c>
      <c r="AI22" cm="1">
        <f t="array" aca="1" ref="AI22" ca="1">IF( AND($D$7,NOT(ISBLANK($D22))), IF(_xll.IMDP("IR", $D22, AI$8, Matrix!$D$6)=0,"",_xll.IMDP("IR", $D22, AI$8, Matrix!$D$6)), "")</f>
        <v>3.1760000000000002</v>
      </c>
      <c r="AJ22" cm="1">
        <f t="array" aca="1" ref="AJ22" ca="1">IF( AND($D$7,NOT(ISBLANK($D22))), IF(_xll.IMDP("IR", $D22, AJ$8, Matrix!$D$6)=0,"",_xll.IMDP("IR", $D22, AJ$8, Matrix!$D$6)), "")</f>
        <v>3.1640000000000001</v>
      </c>
      <c r="AK22" cm="1">
        <f t="array" aca="1" ref="AK22" ca="1">IF( AND($D$7,NOT(ISBLANK($D22))), IF(_xll.IMDP("IR", $D22, AK$8, Matrix!$D$6)=0,"",_xll.IMDP("IR", $D22, AK$8, Matrix!$D$6)), "")</f>
        <v>3.1549999999999998</v>
      </c>
      <c r="AL22" cm="1">
        <f t="array" aca="1" ref="AL22" ca="1">IF( AND($D$7,NOT(ISBLANK($D22))), IF(_xll.IMDP("IR", $D22, AL$8, Matrix!$D$6)=0,"",_xll.IMDP("IR", $D22, AL$8, Matrix!$D$6)), "")</f>
        <v>3.1579999999999999</v>
      </c>
      <c r="AM22" cm="1">
        <f t="array" aca="1" ref="AM22" ca="1">IF( AND($D$7,NOT(ISBLANK($D22))), IF(_xll.IMDP("IR", $D22, AM$8, Matrix!$D$6)=0,"",_xll.IMDP("IR", $D22, AM$8, Matrix!$D$6)), "")</f>
        <v>3.2559999999999998</v>
      </c>
      <c r="AN22" cm="1">
        <f t="array" aca="1" ref="AN22" ca="1">IF( AND($D$7,NOT(ISBLANK($D22))), IF(_xll.IMDP("IR", $D22, AN$8, Matrix!$D$6)=0,"",_xll.IMDP("IR", $D22, AN$8, Matrix!$D$6)), "")</f>
        <v>3.4740000000000002</v>
      </c>
      <c r="AO22" cm="1">
        <f t="array" aca="1" ref="AO22" ca="1">IF( AND($D$7,NOT(ISBLANK($D22))), IF(_xll.IMDP("IR", $D22, AO$8, Matrix!$D$6)=0,"",_xll.IMDP("IR", $D22, AO$8, Matrix!$D$6)), "")</f>
        <v>3.5760000000000001</v>
      </c>
      <c r="AP22" cm="1">
        <f t="array" aca="1" ref="AP22" ca="1">IF( AND($D$7,NOT(ISBLANK($D22))), IF(_xll.IMDP("IR", $D22, AP$8, Matrix!$D$6)=0,"",_xll.IMDP("IR", $D22, AP$8, Matrix!$D$6)), "")</f>
        <v>3.6379999999999999</v>
      </c>
      <c r="AQ22" t="str" cm="1">
        <f t="array" aca="1" ref="AQ22" ca="1">IF( AND($D$7,NOT(ISBLANK($D22))), IF(_xll.IMDP("IR", $D22, AQ$8, Matrix!$D$6)=0,"",_xll.IMDP("IR", $D22, AQ$8, Matrix!$D$6)), "")</f>
        <v/>
      </c>
      <c r="AR22" t="str" cm="1">
        <f t="array" aca="1" ref="AR22" ca="1">IF( AND($D$7,NOT(ISBLANK($D22))), IF(_xll.IMDP("IR", $D22, AR$8, Matrix!$D$6)=0,"",_xll.IMDP("IR", $D22, AR$8, Matrix!$D$6)), "")</f>
        <v/>
      </c>
      <c r="AS22" cm="1">
        <f t="array" aca="1" ref="AS22" ca="1">IF( AND($E$7,NOT(ISBLANK($E22))), IF( _xll.IMDP("IR", $E22, AS$8, Matrix!$D$6)=0,"",_xll.IMDP("IR", $E22, AS$8, Matrix!$D$6)), "")</f>
        <v>3.42</v>
      </c>
      <c r="AT22" cm="1">
        <f t="array" aca="1" ref="AT22" ca="1">IF( AND($E$7,NOT(ISBLANK($E22))), IF( _xll.IMDP("IR", $E22, AT$8, Matrix!$D$6)=0,"",_xll.IMDP("IR", $E22, AT$8, Matrix!$D$6)), "")</f>
        <v>3.4060000000000001</v>
      </c>
      <c r="AU22" cm="1">
        <f t="array" aca="1" ref="AU22" ca="1">IF( AND($E$7,NOT(ISBLANK($E22))), IF( _xll.IMDP("IR", $E22, AU$8, Matrix!$D$6)=0,"",_xll.IMDP("IR", $E22, AU$8, Matrix!$D$6)), "")</f>
        <v>3.3260000000000001</v>
      </c>
      <c r="AV22" cm="1">
        <f t="array" aca="1" ref="AV22" ca="1">IF( AND($E$7,NOT(ISBLANK($E22))), IF( _xll.IMDP("IR", $E22, AV$8, Matrix!$D$6)=0,"",_xll.IMDP("IR", $E22, AV$8, Matrix!$D$6)), "")</f>
        <v>3.2770000000000001</v>
      </c>
      <c r="AW22" cm="1">
        <f t="array" aca="1" ref="AW22" ca="1">IF( AND($E$7,NOT(ISBLANK($E22))), IF( _xll.IMDP("IR", $E22, AW$8, Matrix!$D$6)=0,"",_xll.IMDP("IR", $E22, AW$8, Matrix!$D$6)), "")</f>
        <v>3.2589999999999999</v>
      </c>
      <c r="AX22" cm="1">
        <f t="array" aca="1" ref="AX22" ca="1">IF( AND($E$7,NOT(ISBLANK($E22))), IF( _xll.IMDP("IR", $E22, AX$8, Matrix!$D$6)=0,"",_xll.IMDP("IR", $E22, AX$8, Matrix!$D$6)), "")</f>
        <v>3.238</v>
      </c>
      <c r="AY22" cm="1">
        <f t="array" aca="1" ref="AY22" ca="1">IF( AND($E$7,NOT(ISBLANK($E22))), IF( _xll.IMDP("IR", $E22, AY$8, Matrix!$D$6)=0,"",_xll.IMDP("IR", $E22, AY$8, Matrix!$D$6)), "")</f>
        <v>3.2010000000000001</v>
      </c>
      <c r="AZ22" cm="1">
        <f t="array" aca="1" ref="AZ22" ca="1">IF( AND($E$7,NOT(ISBLANK($E22))), IF( _xll.IMDP("IR", $E22, AZ$8, Matrix!$D$6)=0,"",_xll.IMDP("IR", $E22, AZ$8, Matrix!$D$6)), "")</f>
        <v>3.18</v>
      </c>
      <c r="BA22" cm="1">
        <f t="array" aca="1" ref="BA22" ca="1">IF( AND($E$7,NOT(ISBLANK($E22))), IF( _xll.IMDP("IR", $E22, BA$8, Matrix!$D$6)=0,"",_xll.IMDP("IR", $E22, BA$8, Matrix!$D$6)), "")</f>
        <v>3.177</v>
      </c>
      <c r="BB22" cm="1">
        <f t="array" aca="1" ref="BB22" ca="1">IF( AND($E$7,NOT(ISBLANK($E22))), IF( _xll.IMDP("IR", $E22, BB$8, Matrix!$D$6)=0,"",_xll.IMDP("IR", $E22, BB$8, Matrix!$D$6)), "")</f>
        <v>3.169</v>
      </c>
      <c r="BC22" cm="1">
        <f t="array" aca="1" ref="BC22" ca="1">IF( AND($E$7,NOT(ISBLANK($E22))), IF( _xll.IMDP("IR", $E22, BC$8, Matrix!$D$6)=0,"",_xll.IMDP("IR", $E22, BC$8, Matrix!$D$6)), "")</f>
        <v>3.3279999999999998</v>
      </c>
      <c r="BD22" cm="1">
        <f t="array" aca="1" ref="BD22" ca="1">IF( AND($E$7,NOT(ISBLANK($E22))), IF( _xll.IMDP("IR", $E22, BD$8, Matrix!$D$6)=0,"",_xll.IMDP("IR", $E22, BD$8, Matrix!$D$6)), "")</f>
        <v>3.5289999999999999</v>
      </c>
      <c r="BE22" cm="1">
        <f t="array" aca="1" ref="BE22" ca="1">IF( AND($E$7,NOT(ISBLANK($E22))), IF( _xll.IMDP("IR", $E22, BE$8, Matrix!$D$6)=0,"",_xll.IMDP("IR", $E22, BE$8, Matrix!$D$6)), "")</f>
        <v>3.6379999999999999</v>
      </c>
      <c r="BF22" cm="1">
        <f t="array" aca="1" ref="BF22" ca="1">IF( AND($E$7,NOT(ISBLANK($E22))), IF( _xll.IMDP("IR", $E22, BF$8, Matrix!$D$6)=0,"",_xll.IMDP("IR", $E22, BF$8, Matrix!$D$6)), "")</f>
        <v>3.6970000000000001</v>
      </c>
      <c r="BG22" t="str" cm="1">
        <f t="array" aca="1" ref="BG22" ca="1">IF( AND($E$7,NOT(ISBLANK($E22))), IF( _xll.IMDP("IR", $E22, BG$8, Matrix!$D$6)=0,"",_xll.IMDP("IR", $E22, BG$8, Matrix!$D$6)), "")</f>
        <v/>
      </c>
      <c r="BH22" t="str" cm="1">
        <f t="array" aca="1" ref="BH22" ca="1">IF( AND($E$7,NOT(ISBLANK($E22))), IF( _xll.IMDP("IR", $E22, BH$8, Matrix!$D$6)=0,"",_xll.IMDP("IR", $E22, BH$8, Matrix!$D$6)), "")</f>
        <v/>
      </c>
      <c r="BI22" cm="1">
        <f t="array" aca="1" ref="BI22" ca="1">IF( AND($F$7,NOT(ISBLANK($F22))), IF( _xll.IMDP("IR", $F22, BI$8, Matrix!$D$6)=0,"",_xll.IMDP("IR", $F22, BI$8, Matrix!$D$6)), "")</f>
        <v>3.4369999999999998</v>
      </c>
      <c r="BJ22" cm="1">
        <f t="array" aca="1" ref="BJ22" ca="1">IF( AND($F$7,NOT(ISBLANK($F22))), IF( _xll.IMDP("IR", $F22, BJ$8, Matrix!$D$6)=0,"",_xll.IMDP("IR", $F22, BJ$8, Matrix!$D$6)), "")</f>
        <v>3.41</v>
      </c>
      <c r="BK22" cm="1">
        <f t="array" aca="1" ref="BK22" ca="1">IF( AND($F$7,NOT(ISBLANK($F22))), IF( _xll.IMDP("IR", $F22, BK$8, Matrix!$D$6)=0,"",_xll.IMDP("IR", $F22, BK$8, Matrix!$D$6)), "")</f>
        <v>3.351</v>
      </c>
      <c r="BL22" cm="1">
        <f t="array" aca="1" ref="BL22" ca="1">IF( AND($F$7,NOT(ISBLANK($F22))), IF( _xll.IMDP("IR", $F22, BL$8, Matrix!$D$6)=0,"",_xll.IMDP("IR", $F22, BL$8, Matrix!$D$6)), "")</f>
        <v>3.3170000000000002</v>
      </c>
      <c r="BM22" cm="1">
        <f t="array" aca="1" ref="BM22" ca="1">IF( AND($F$7,NOT(ISBLANK($F22))), IF( _xll.IMDP("IR", $F22, BM$8, Matrix!$D$6)=0,"",_xll.IMDP("IR", $F22, BM$8, Matrix!$D$6)), "")</f>
        <v>3.2589999999999999</v>
      </c>
      <c r="BN22" cm="1">
        <f t="array" aca="1" ref="BN22" ca="1">IF( AND($F$7,NOT(ISBLANK($F22))), IF( _xll.IMDP("IR", $F22, BN$8, Matrix!$D$6)=0,"",_xll.IMDP("IR", $F22, BN$8, Matrix!$D$6)), "")</f>
        <v>3.198</v>
      </c>
      <c r="BO22" cm="1">
        <f t="array" aca="1" ref="BO22" ca="1">IF( AND($F$7,NOT(ISBLANK($F22))), IF( _xll.IMDP("IR", $F22, BO$8, Matrix!$D$6)=0,"",_xll.IMDP("IR", $F22, BO$8, Matrix!$D$6)), "")</f>
        <v>3.181</v>
      </c>
      <c r="BP22" cm="1">
        <f t="array" aca="1" ref="BP22" ca="1">IF( AND($F$7,NOT(ISBLANK($F22))), IF( _xll.IMDP("IR", $F22, BP$8, Matrix!$D$6)=0,"",_xll.IMDP("IR", $F22, BP$8, Matrix!$D$6)), "")</f>
        <v>3.1509999999999998</v>
      </c>
      <c r="BQ22" cm="1">
        <f t="array" aca="1" ref="BQ22" ca="1">IF( AND($F$7,NOT(ISBLANK($F22))), IF( _xll.IMDP("IR", $F22, BQ$8, Matrix!$D$6)=0,"",_xll.IMDP("IR", $F22, BQ$8, Matrix!$D$6)), "")</f>
        <v>3.153</v>
      </c>
      <c r="BR22" cm="1">
        <f t="array" aca="1" ref="BR22" ca="1">IF( AND($F$7,NOT(ISBLANK($F22))), IF( _xll.IMDP("IR", $F22, BR$8, Matrix!$D$6)=0,"",_xll.IMDP("IR", $F22, BR$8, Matrix!$D$6)), "")</f>
        <v>3.1560000000000001</v>
      </c>
      <c r="BS22" cm="1">
        <f t="array" aca="1" ref="BS22" ca="1">IF( AND($F$7,NOT(ISBLANK($F22))), IF( _xll.IMDP("IR", $F22, BS$8, Matrix!$D$6)=0,"",_xll.IMDP("IR", $F22, BS$8, Matrix!$D$6)), "")</f>
        <v>3.2869999999999999</v>
      </c>
      <c r="BT22" cm="1">
        <f t="array" aca="1" ref="BT22" ca="1">IF( AND($F$7,NOT(ISBLANK($F22))), IF( _xll.IMDP("IR", $F22, BT$8, Matrix!$D$6)=0,"",_xll.IMDP("IR", $F22, BT$8, Matrix!$D$6)), "")</f>
        <v>3.5139999999999998</v>
      </c>
      <c r="BU22" cm="1">
        <f t="array" aca="1" ref="BU22" ca="1">IF( AND($F$7,NOT(ISBLANK($F22))), IF( _xll.IMDP("IR", $F22, BU$8, Matrix!$D$6)=0,"",_xll.IMDP("IR", $F22, BU$8, Matrix!$D$6)), "")</f>
        <v>3.65</v>
      </c>
      <c r="BV22" cm="1">
        <f t="array" aca="1" ref="BV22" ca="1">IF( AND($F$7,NOT(ISBLANK($F22))), IF( _xll.IMDP("IR", $F22, BV$8, Matrix!$D$6)=0,"",_xll.IMDP("IR", $F22, BV$8, Matrix!$D$6)), "")</f>
        <v>3.7120000000000002</v>
      </c>
      <c r="BW22" t="str" cm="1">
        <f t="array" aca="1" ref="BW22" ca="1">IF( AND($F$7,NOT(ISBLANK($F22))), IF( _xll.IMDP("IR", $F22, BW$8, Matrix!$D$6)=0,"",_xll.IMDP("IR", $F22, BW$8, Matrix!$D$6)), "")</f>
        <v/>
      </c>
      <c r="BX22" t="str" cm="1">
        <f t="array" aca="1" ref="BX22" ca="1">IF( AND($F$7,NOT(ISBLANK($F22))), IF( _xll.IMDP("IR", $F22, BX$8, Matrix!$D$6)=0,"",_xll.IMDP("IR", $F22, BX$8, Matrix!$D$6)), "")</f>
        <v/>
      </c>
      <c r="BY22" cm="1">
        <f t="array" aca="1" ref="BY22" ca="1">IF( AND($G$7,NOT(ISBLANK($G22))), IF( _xll.IMDP("IR", $G22, BY$8, Matrix!$D$6)=0, "", _xll.IMDP("IR", $G22, BY$8, Matrix!$D$6)), "")</f>
        <v>3.4169999999999998</v>
      </c>
      <c r="BZ22" cm="1">
        <f t="array" aca="1" ref="BZ22" ca="1">IF( AND($G$7,NOT(ISBLANK($G22))), IF( _xll.IMDP("IR", $G22, BZ$8, Matrix!$D$6)=0, "", _xll.IMDP("IR", $G22, BZ$8, Matrix!$D$6)), "")</f>
        <v>3.3820000000000001</v>
      </c>
      <c r="CA22" cm="1">
        <f t="array" aca="1" ref="CA22" ca="1">IF( AND($G$7,NOT(ISBLANK($G22))), IF( _xll.IMDP("IR", $G22, CA$8, Matrix!$D$6)=0, "", _xll.IMDP("IR", $G22, CA$8, Matrix!$D$6)), "")</f>
        <v>3.3149999999999999</v>
      </c>
      <c r="CB22" cm="1">
        <f t="array" aca="1" ref="CB22" ca="1">IF( AND($G$7,NOT(ISBLANK($G22))), IF( _xll.IMDP("IR", $G22, CB$8, Matrix!$D$6)=0, "", _xll.IMDP("IR", $G22, CB$8, Matrix!$D$6)), "")</f>
        <v>3.2730000000000001</v>
      </c>
      <c r="CC22" cm="1">
        <f t="array" aca="1" ref="CC22" ca="1">IF( AND($G$7,NOT(ISBLANK($G22))), IF( _xll.IMDP("IR", $G22, CC$8, Matrix!$D$6)=0, "", _xll.IMDP("IR", $G22, CC$8, Matrix!$D$6)), "")</f>
        <v>3.2210000000000001</v>
      </c>
      <c r="CD22" cm="1">
        <f t="array" aca="1" ref="CD22" ca="1">IF( AND($G$7,NOT(ISBLANK($G22))), IF( _xll.IMDP("IR", $G22, CD$8, Matrix!$D$6)=0, "", _xll.IMDP("IR", $G22, CD$8, Matrix!$D$6)), "")</f>
        <v>3.1890000000000001</v>
      </c>
      <c r="CE22" cm="1">
        <f t="array" aca="1" ref="CE22" ca="1">IF( AND($G$7,NOT(ISBLANK($G22))), IF( _xll.IMDP("IR", $G22, CE$8, Matrix!$D$6)=0, "", _xll.IMDP("IR", $G22, CE$8, Matrix!$D$6)), "")</f>
        <v>3.173</v>
      </c>
      <c r="CF22" cm="1">
        <f t="array" aca="1" ref="CF22" ca="1">IF( AND($G$7,NOT(ISBLANK($G22))), IF( _xll.IMDP("IR", $G22, CF$8, Matrix!$D$6)=0, "", _xll.IMDP("IR", $G22, CF$8, Matrix!$D$6)), "")</f>
        <v>3.17</v>
      </c>
      <c r="CG22" cm="1">
        <f t="array" aca="1" ref="CG22" ca="1">IF( AND($G$7,NOT(ISBLANK($G22))), IF( _xll.IMDP("IR", $G22, CG$8, Matrix!$D$6)=0, "", _xll.IMDP("IR", $G22, CG$8, Matrix!$D$6)), "")</f>
        <v>3.1749999999999998</v>
      </c>
      <c r="CH22" cm="1">
        <f t="array" aca="1" ref="CH22" ca="1">IF( AND($G$7,NOT(ISBLANK($G22))), IF( _xll.IMDP("IR", $G22, CH$8, Matrix!$D$6)=0, "", _xll.IMDP("IR", $G22, CH$8, Matrix!$D$6)), "")</f>
        <v>3.1779999999999999</v>
      </c>
      <c r="CI22" cm="1">
        <f t="array" aca="1" ref="CI22" ca="1">IF( AND($G$7,NOT(ISBLANK($G22))), IF( _xll.IMDP("IR", $G22, CI$8, Matrix!$D$6)=0, "", _xll.IMDP("IR", $G22, CI$8, Matrix!$D$6)), "")</f>
        <v>3.3029999999999999</v>
      </c>
      <c r="CJ22" cm="1">
        <f t="array" aca="1" ref="CJ22" ca="1">IF( AND($G$7,NOT(ISBLANK($G22))), IF( _xll.IMDP("IR", $G22, CJ$8, Matrix!$D$6)=0, "", _xll.IMDP("IR", $G22, CJ$8, Matrix!$D$6)), "")</f>
        <v>3.5129999999999999</v>
      </c>
      <c r="CK22" cm="1">
        <f t="array" aca="1" ref="CK22" ca="1">IF( AND($G$7,NOT(ISBLANK($G22))), IF( _xll.IMDP("IR", $G22, CK$8, Matrix!$D$6)=0, "", _xll.IMDP("IR", $G22, CK$8, Matrix!$D$6)), "")</f>
        <v>3.6219999999999999</v>
      </c>
      <c r="CL22" cm="1">
        <f t="array" aca="1" ref="CL22" ca="1">IF( AND($G$7,NOT(ISBLANK($G22))), IF( _xll.IMDP("IR", $G22, CL$8, Matrix!$D$6)=0, "", _xll.IMDP("IR", $G22, CL$8, Matrix!$D$6)), "")</f>
        <v>3.69</v>
      </c>
      <c r="CM22" t="str" cm="1">
        <f t="array" aca="1" ref="CM22" ca="1">IF( AND($G$7,NOT(ISBLANK($G22))), IF( _xll.IMDP("IR", $G22, CM$8, Matrix!$D$6)=0, "", _xll.IMDP("IR", $G22, CM$8, Matrix!$D$6)), "")</f>
        <v/>
      </c>
      <c r="CN22" t="str" cm="1">
        <f t="array" aca="1" ref="CN22" ca="1">IF( AND($G$7,NOT(ISBLANK($G22))), IF( _xll.IMDP("IR", $G22, CN$8, Matrix!$D$6)=0, "", _xll.IMDP("IR", $G22, CN$8, Matrix!$D$6)), "")</f>
        <v/>
      </c>
      <c r="CO22" cm="1">
        <f t="array" aca="1" ref="CO22" ca="1">IF( AND($H$7,NOT(ISBLANK($H22))), IF( _xll.IMDP("IR", $H22, CO$8, Matrix!$D$6)=0, "", _xll.IMDP("IR", $H22, CO$8, Matrix!$D$6)), "")</f>
        <v>3.423</v>
      </c>
      <c r="CP22" cm="1">
        <f t="array" aca="1" ref="CP22" ca="1">IF( AND($H$7,NOT(ISBLANK($H22))), IF( _xll.IMDP("IR", $H22, CP$8, Matrix!$D$6)=0, "", _xll.IMDP("IR", $H22, CP$8, Matrix!$D$6)), "")</f>
        <v>3.4</v>
      </c>
      <c r="CQ22" cm="1">
        <f t="array" aca="1" ref="CQ22" ca="1">IF( AND($H$7,NOT(ISBLANK($H22))), IF( _xll.IMDP("IR", $H22, CQ$8, Matrix!$D$6)=0, "", _xll.IMDP("IR", $H22, CQ$8, Matrix!$D$6)), "")</f>
        <v>3.33</v>
      </c>
      <c r="CR22" cm="1">
        <f t="array" aca="1" ref="CR22" ca="1">IF( AND($H$7,NOT(ISBLANK($H22))), IF( _xll.IMDP("IR", $H22, CR$8, Matrix!$D$6)=0, "", _xll.IMDP("IR", $H22, CR$8, Matrix!$D$6)), "")</f>
        <v>3.2879999999999998</v>
      </c>
      <c r="CS22" cm="1">
        <f t="array" aca="1" ref="CS22" ca="1">IF( AND($H$7,NOT(ISBLANK($H22))), IF( _xll.IMDP("IR", $H22, CS$8, Matrix!$D$6)=0, "", _xll.IMDP("IR", $H22, CS$8, Matrix!$D$6)), "")</f>
        <v>3.2440000000000002</v>
      </c>
      <c r="CT22" cm="1">
        <f t="array" aca="1" ref="CT22" ca="1">IF( AND($H$7,NOT(ISBLANK($H22))), IF( _xll.IMDP("IR", $H22, CT$8, Matrix!$D$6)=0, "", _xll.IMDP("IR", $H22, CT$8, Matrix!$D$6)), "")</f>
        <v>3.2069999999999999</v>
      </c>
      <c r="CU22" cm="1">
        <f t="array" aca="1" ref="CU22" ca="1">IF( AND($H$7,NOT(ISBLANK($H22))), IF( _xll.IMDP("IR", $H22, CU$8, Matrix!$D$6)=0, "", _xll.IMDP("IR", $H22, CU$8, Matrix!$D$6)), "")</f>
        <v>3.1819999999999999</v>
      </c>
      <c r="CV22" cm="1">
        <f t="array" aca="1" ref="CV22" ca="1">IF( AND($H$7,NOT(ISBLANK($H22))), IF( _xll.IMDP("IR", $H22, CV$8, Matrix!$D$6)=0, "", _xll.IMDP("IR", $H22, CV$8, Matrix!$D$6)), "")</f>
        <v>3.1659999999999999</v>
      </c>
      <c r="CW22" cm="1">
        <f t="array" aca="1" ref="CW22" ca="1">IF( AND($H$7,NOT(ISBLANK($H22))), IF( _xll.IMDP("IR", $H22, CW$8, Matrix!$D$6)=0, "", _xll.IMDP("IR", $H22, CW$8, Matrix!$D$6)), "")</f>
        <v>3.165</v>
      </c>
      <c r="CX22" cm="1">
        <f t="array" aca="1" ref="CX22" ca="1">IF( AND($H$7,NOT(ISBLANK($H22))), IF( _xll.IMDP("IR", $H22, CX$8, Matrix!$D$6)=0, "", _xll.IMDP("IR", $H22, CX$8, Matrix!$D$6)), "")</f>
        <v>3.165</v>
      </c>
      <c r="CY22" cm="1">
        <f t="array" aca="1" ref="CY22" ca="1">IF( AND($H$7,NOT(ISBLANK($H22))), IF( _xll.IMDP("IR", $H22, CY$8, Matrix!$D$6)=0, "", _xll.IMDP("IR", $H22, CY$8, Matrix!$D$6)), "")</f>
        <v>3.2930000000000001</v>
      </c>
      <c r="CZ22" cm="1">
        <f t="array" aca="1" ref="CZ22" ca="1">IF( AND($H$7,NOT(ISBLANK($H22))), IF( _xll.IMDP("IR", $H22, CZ$8, Matrix!$D$6)=0, "", _xll.IMDP("IR", $H22, CZ$8, Matrix!$D$6)), "")</f>
        <v>3.5070000000000001</v>
      </c>
      <c r="DA22" t="str" cm="1">
        <f t="array" aca="1" ref="DA22" ca="1">IF( AND($H$7,NOT(ISBLANK($H22))), IF( _xll.IMDP("IR", $H22, DA$8, Matrix!$D$6)=0, "", _xll.IMDP("IR", $H22, DA$8, Matrix!$D$6)), "")</f>
        <v/>
      </c>
      <c r="DB22" cm="1">
        <f t="array" aca="1" ref="DB22" ca="1">IF( AND($H$7,NOT(ISBLANK($H22))), IF( _xll.IMDP("IR", $H22, DB$8, Matrix!$D$6)=0, "", _xll.IMDP("IR", $H22, DB$8, Matrix!$D$6)), "")</f>
        <v>3.6840000000000002</v>
      </c>
      <c r="DC22" t="str" cm="1">
        <f t="array" aca="1" ref="DC22" ca="1">IF( AND($H$7,NOT(ISBLANK($H22))), IF( _xll.IMDP("IR", $H22, DC$8, Matrix!$D$6)=0, "", _xll.IMDP("IR", $H22, DC$8, Matrix!$D$6)), "")</f>
        <v/>
      </c>
      <c r="DD22" t="str" cm="1">
        <f t="array" aca="1" ref="DD22" ca="1">IF( AND($H$7,NOT(ISBLANK($H22))), IF( _xll.IMDP("IR", $H22, DD$8, Matrix!$D$6)=0, "", _xll.IMDP("IR", $H22, DD$8, Matrix!$D$6)), "")</f>
        <v/>
      </c>
    </row>
    <row r="23" spans="2:108">
      <c r="B23" t="s">
        <v>91</v>
      </c>
      <c r="C23" t="s">
        <v>165</v>
      </c>
      <c r="D23" t="s">
        <v>242</v>
      </c>
      <c r="E23" t="s">
        <v>304</v>
      </c>
      <c r="F23" t="s">
        <v>367</v>
      </c>
      <c r="G23" t="s">
        <v>433</v>
      </c>
      <c r="H23" t="s">
        <v>495</v>
      </c>
      <c r="M23" s="21">
        <f t="shared" ca="1" si="1"/>
        <v>3.4163893335471003</v>
      </c>
      <c r="N23" s="21">
        <f t="shared" ca="1" si="2"/>
        <v>3.3895960661927491</v>
      </c>
      <c r="O23" s="21">
        <f t="shared" ca="1" si="3"/>
        <v>3.3199873725211133</v>
      </c>
      <c r="P23" s="21">
        <f t="shared" ca="1" si="4"/>
        <v>3.2805795398733313</v>
      </c>
      <c r="Q23" s="21">
        <f t="shared" ca="1" si="5"/>
        <v>3.2319868335268565</v>
      </c>
      <c r="R23" s="21">
        <f t="shared" ca="1" si="6"/>
        <v>3.1809858534518374</v>
      </c>
      <c r="S23" s="21">
        <f t="shared" ca="1" si="7"/>
        <v>3.1259905270618695</v>
      </c>
      <c r="T23" s="21">
        <f t="shared" ca="1" si="8"/>
        <v>3.0931936468869421</v>
      </c>
      <c r="U23" s="21">
        <f t="shared" ca="1" si="9"/>
        <v>3.0753967060241023</v>
      </c>
      <c r="V23" s="21">
        <f t="shared" ca="1" si="10"/>
        <v>3.085597369340817</v>
      </c>
      <c r="W23" s="21">
        <f t="shared" ca="1" si="11"/>
        <v>3.2435505601268053</v>
      </c>
      <c r="X23" s="21">
        <f t="shared" ca="1" si="12"/>
        <v>3.4781515754364736</v>
      </c>
      <c r="Y23" s="21">
        <f t="shared" ca="1" si="13"/>
        <v>3.5794145071714594</v>
      </c>
      <c r="Z23" s="21">
        <f t="shared" ca="1" si="14"/>
        <v>3.6424783364761173</v>
      </c>
      <c r="AA23" s="21" t="e">
        <f t="shared" ca="1" si="15"/>
        <v>#NUM!</v>
      </c>
      <c r="AB23" s="21" t="e">
        <f t="shared" ca="1" si="16"/>
        <v>#NUM!</v>
      </c>
      <c r="AC23" cm="1">
        <f t="array" aca="1" ref="AC23" ca="1">IF( AND($D$7,NOT(ISBLANK($D23))), IF(_xll.IMDP("IR", $D23, AC$8, Matrix!$D$6)=0,"",_xll.IMDP("IR", $D23, AC$8, Matrix!$D$6)), "")</f>
        <v>3.41</v>
      </c>
      <c r="AD23" cm="1">
        <f t="array" aca="1" ref="AD23" ca="1">IF( AND($D$7,NOT(ISBLANK($D23))), IF(_xll.IMDP("IR", $D23, AD$8, Matrix!$D$6)=0,"",_xll.IMDP("IR", $D23, AD$8, Matrix!$D$6)), "")</f>
        <v>3.3940000000000001</v>
      </c>
      <c r="AE23" cm="1">
        <f t="array" aca="1" ref="AE23" ca="1">IF( AND($D$7,NOT(ISBLANK($D23))), IF(_xll.IMDP("IR", $D23, AE$8, Matrix!$D$6)=0,"",_xll.IMDP("IR", $D23, AE$8, Matrix!$D$6)), "")</f>
        <v>3.3130000000000002</v>
      </c>
      <c r="AF23" cm="1">
        <f t="array" aca="1" ref="AF23" ca="1">IF( AND($D$7,NOT(ISBLANK($D23))), IF(_xll.IMDP("IR", $D23, AF$8, Matrix!$D$6)=0,"",_xll.IMDP("IR", $D23, AF$8, Matrix!$D$6)), "")</f>
        <v>3.2759999999999998</v>
      </c>
      <c r="AG23" cm="1">
        <f t="array" aca="1" ref="AG23" ca="1">IF( AND($D$7,NOT(ISBLANK($D23))), IF(_xll.IMDP("IR", $D23, AG$8, Matrix!$D$6)=0,"",_xll.IMDP("IR", $D23, AG$8, Matrix!$D$6)), "")</f>
        <v>3.2269999999999999</v>
      </c>
      <c r="AH23" cm="1">
        <f t="array" aca="1" ref="AH23" ca="1">IF( AND($D$7,NOT(ISBLANK($D23))), IF(_xll.IMDP("IR", $D23, AH$8, Matrix!$D$6)=0,"",_xll.IMDP("IR", $D23, AH$8, Matrix!$D$6)), "")</f>
        <v>3.1720000000000002</v>
      </c>
      <c r="AI23" cm="1">
        <f t="array" aca="1" ref="AI23" ca="1">IF( AND($D$7,NOT(ISBLANK($D23))), IF(_xll.IMDP("IR", $D23, AI$8, Matrix!$D$6)=0,"",_xll.IMDP("IR", $D23, AI$8, Matrix!$D$6)), "")</f>
        <v>3.1139999999999999</v>
      </c>
      <c r="AJ23" cm="1">
        <f t="array" aca="1" ref="AJ23" ca="1">IF( AND($D$7,NOT(ISBLANK($D23))), IF(_xll.IMDP("IR", $D23, AJ$8, Matrix!$D$6)=0,"",_xll.IMDP("IR", $D23, AJ$8, Matrix!$D$6)), "")</f>
        <v>3.0870000000000002</v>
      </c>
      <c r="AK23" cm="1">
        <f t="array" aca="1" ref="AK23" ca="1">IF( AND($D$7,NOT(ISBLANK($D23))), IF(_xll.IMDP("IR", $D23, AK$8, Matrix!$D$6)=0,"",_xll.IMDP("IR", $D23, AK$8, Matrix!$D$6)), "")</f>
        <v>3.08</v>
      </c>
      <c r="AL23" cm="1">
        <f t="array" aca="1" ref="AL23" ca="1">IF( AND($D$7,NOT(ISBLANK($D23))), IF(_xll.IMDP("IR", $D23, AL$8, Matrix!$D$6)=0,"",_xll.IMDP("IR", $D23, AL$8, Matrix!$D$6)), "")</f>
        <v>3.0920000000000001</v>
      </c>
      <c r="AM23" cm="1">
        <f t="array" aca="1" ref="AM23" ca="1">IF( AND($D$7,NOT(ISBLANK($D23))), IF(_xll.IMDP("IR", $D23, AM$8, Matrix!$D$6)=0,"",_xll.IMDP("IR", $D23, AM$8, Matrix!$D$6)), "")</f>
        <v>3.21</v>
      </c>
      <c r="AN23" cm="1">
        <f t="array" aca="1" ref="AN23" ca="1">IF( AND($D$7,NOT(ISBLANK($D23))), IF(_xll.IMDP("IR", $D23, AN$8, Matrix!$D$6)=0,"",_xll.IMDP("IR", $D23, AN$8, Matrix!$D$6)), "")</f>
        <v>3.4460000000000002</v>
      </c>
      <c r="AO23" cm="1">
        <f t="array" aca="1" ref="AO23" ca="1">IF( AND($D$7,NOT(ISBLANK($D23))), IF(_xll.IMDP("IR", $D23, AO$8, Matrix!$D$6)=0,"",_xll.IMDP("IR", $D23, AO$8, Matrix!$D$6)), "")</f>
        <v>3.54</v>
      </c>
      <c r="AP23" cm="1">
        <f t="array" aca="1" ref="AP23" ca="1">IF( AND($D$7,NOT(ISBLANK($D23))), IF(_xll.IMDP("IR", $D23, AP$8, Matrix!$D$6)=0,"",_xll.IMDP("IR", $D23, AP$8, Matrix!$D$6)), "")</f>
        <v>3.5859999999999999</v>
      </c>
      <c r="AQ23" t="str" cm="1">
        <f t="array" aca="1" ref="AQ23" ca="1">IF( AND($D$7,NOT(ISBLANK($D23))), IF(_xll.IMDP("IR", $D23, AQ$8, Matrix!$D$6)=0,"",_xll.IMDP("IR", $D23, AQ$8, Matrix!$D$6)), "")</f>
        <v/>
      </c>
      <c r="AR23" t="str" cm="1">
        <f t="array" aca="1" ref="AR23" ca="1">IF( AND($D$7,NOT(ISBLANK($D23))), IF(_xll.IMDP("IR", $D23, AR$8, Matrix!$D$6)=0,"",_xll.IMDP("IR", $D23, AR$8, Matrix!$D$6)), "")</f>
        <v/>
      </c>
      <c r="AS23" cm="1">
        <f t="array" aca="1" ref="AS23" ca="1">IF( AND($E$7,NOT(ISBLANK($E23))), IF( _xll.IMDP("IR", $E23, AS$8, Matrix!$D$6)=0,"",_xll.IMDP("IR", $E23, AS$8, Matrix!$D$6)), "")</f>
        <v>3.4119999999999999</v>
      </c>
      <c r="AT23" cm="1">
        <f t="array" aca="1" ref="AT23" ca="1">IF( AND($E$7,NOT(ISBLANK($E23))), IF( _xll.IMDP("IR", $E23, AT$8, Matrix!$D$6)=0,"",_xll.IMDP("IR", $E23, AT$8, Matrix!$D$6)), "")</f>
        <v>3.3940000000000001</v>
      </c>
      <c r="AU23" cm="1">
        <f t="array" aca="1" ref="AU23" ca="1">IF( AND($E$7,NOT(ISBLANK($E23))), IF( _xll.IMDP("IR", $E23, AU$8, Matrix!$D$6)=0,"",_xll.IMDP("IR", $E23, AU$8, Matrix!$D$6)), "")</f>
        <v>3.319</v>
      </c>
      <c r="AV23" cm="1">
        <f t="array" aca="1" ref="AV23" ca="1">IF( AND($E$7,NOT(ISBLANK($E23))), IF( _xll.IMDP("IR", $E23, AV$8, Matrix!$D$6)=0,"",_xll.IMDP("IR", $E23, AV$8, Matrix!$D$6)), "")</f>
        <v>3.2730000000000001</v>
      </c>
      <c r="AW23" cm="1">
        <f t="array" aca="1" ref="AW23" ca="1">IF( AND($E$7,NOT(ISBLANK($E23))), IF( _xll.IMDP("IR", $E23, AW$8, Matrix!$D$6)=0,"",_xll.IMDP("IR", $E23, AW$8, Matrix!$D$6)), "")</f>
        <v>3.2330000000000001</v>
      </c>
      <c r="AX23" cm="1">
        <f t="array" aca="1" ref="AX23" ca="1">IF( AND($E$7,NOT(ISBLANK($E23))), IF( _xll.IMDP("IR", $E23, AX$8, Matrix!$D$6)=0,"",_xll.IMDP("IR", $E23, AX$8, Matrix!$D$6)), "")</f>
        <v>3.19</v>
      </c>
      <c r="AY23" cm="1">
        <f t="array" aca="1" ref="AY23" ca="1">IF( AND($E$7,NOT(ISBLANK($E23))), IF( _xll.IMDP("IR", $E23, AY$8, Matrix!$D$6)=0,"",_xll.IMDP("IR", $E23, AY$8, Matrix!$D$6)), "")</f>
        <v>3.1360000000000001</v>
      </c>
      <c r="AZ23" cm="1">
        <f t="array" aca="1" ref="AZ23" ca="1">IF( AND($E$7,NOT(ISBLANK($E23))), IF( _xll.IMDP("IR", $E23, AZ$8, Matrix!$D$6)=0,"",_xll.IMDP("IR", $E23, AZ$8, Matrix!$D$6)), "")</f>
        <v>3.105</v>
      </c>
      <c r="BA23" cm="1">
        <f t="array" aca="1" ref="BA23" ca="1">IF( AND($E$7,NOT(ISBLANK($E23))), IF( _xll.IMDP("IR", $E23, BA$8, Matrix!$D$6)=0,"",_xll.IMDP("IR", $E23, BA$8, Matrix!$D$6)), "")</f>
        <v>3.077</v>
      </c>
      <c r="BB23" cm="1">
        <f t="array" aca="1" ref="BB23" ca="1">IF( AND($E$7,NOT(ISBLANK($E23))), IF( _xll.IMDP("IR", $E23, BB$8, Matrix!$D$6)=0,"",_xll.IMDP("IR", $E23, BB$8, Matrix!$D$6)), "")</f>
        <v>3.0880000000000001</v>
      </c>
      <c r="BC23" cm="1">
        <f t="array" aca="1" ref="BC23" ca="1">IF( AND($E$7,NOT(ISBLANK($E23))), IF( _xll.IMDP("IR", $E23, BC$8, Matrix!$D$6)=0,"",_xll.IMDP("IR", $E23, BC$8, Matrix!$D$6)), "")</f>
        <v>3.2570000000000001</v>
      </c>
      <c r="BD23" cm="1">
        <f t="array" aca="1" ref="BD23" ca="1">IF( AND($E$7,NOT(ISBLANK($E23))), IF( _xll.IMDP("IR", $E23, BD$8, Matrix!$D$6)=0,"",_xll.IMDP("IR", $E23, BD$8, Matrix!$D$6)), "")</f>
        <v>3.5030000000000001</v>
      </c>
      <c r="BE23" cm="1">
        <f t="array" aca="1" ref="BE23" ca="1">IF( AND($E$7,NOT(ISBLANK($E23))), IF( _xll.IMDP("IR", $E23, BE$8, Matrix!$D$6)=0,"",_xll.IMDP("IR", $E23, BE$8, Matrix!$D$6)), "")</f>
        <v>3.5870000000000002</v>
      </c>
      <c r="BF23" cm="1">
        <f t="array" aca="1" ref="BF23" ca="1">IF( AND($E$7,NOT(ISBLANK($E23))), IF( _xll.IMDP("IR", $E23, BF$8, Matrix!$D$6)=0,"",_xll.IMDP("IR", $E23, BF$8, Matrix!$D$6)), "")</f>
        <v>3.6589999999999998</v>
      </c>
      <c r="BG23" t="str" cm="1">
        <f t="array" aca="1" ref="BG23" ca="1">IF( AND($E$7,NOT(ISBLANK($E23))), IF( _xll.IMDP("IR", $E23, BG$8, Matrix!$D$6)=0,"",_xll.IMDP("IR", $E23, BG$8, Matrix!$D$6)), "")</f>
        <v/>
      </c>
      <c r="BH23" t="str" cm="1">
        <f t="array" aca="1" ref="BH23" ca="1">IF( AND($E$7,NOT(ISBLANK($E23))), IF( _xll.IMDP("IR", $E23, BH$8, Matrix!$D$6)=0,"",_xll.IMDP("IR", $E23, BH$8, Matrix!$D$6)), "")</f>
        <v/>
      </c>
      <c r="BI23" cm="1">
        <f t="array" aca="1" ref="BI23" ca="1">IF( AND($F$7,NOT(ISBLANK($F23))), IF( _xll.IMDP("IR", $F23, BI$8, Matrix!$D$6)=0,"",_xll.IMDP("IR", $F23, BI$8, Matrix!$D$6)), "")</f>
        <v>3.4329999999999998</v>
      </c>
      <c r="BJ23" cm="1">
        <f t="array" aca="1" ref="BJ23" ca="1">IF( AND($F$7,NOT(ISBLANK($F23))), IF( _xll.IMDP("IR", $F23, BJ$8, Matrix!$D$6)=0,"",_xll.IMDP("IR", $F23, BJ$8, Matrix!$D$6)), "")</f>
        <v>3.391</v>
      </c>
      <c r="BK23" cm="1">
        <f t="array" aca="1" ref="BK23" ca="1">IF( AND($F$7,NOT(ISBLANK($F23))), IF( _xll.IMDP("IR", $F23, BK$8, Matrix!$D$6)=0,"",_xll.IMDP("IR", $F23, BK$8, Matrix!$D$6)), "")</f>
        <v>3.3370000000000002</v>
      </c>
      <c r="BL23" cm="1">
        <f t="array" aca="1" ref="BL23" ca="1">IF( AND($F$7,NOT(ISBLANK($F23))), IF( _xll.IMDP("IR", $F23, BL$8, Matrix!$D$6)=0,"",_xll.IMDP("IR", $F23, BL$8, Matrix!$D$6)), "")</f>
        <v>3.3029999999999999</v>
      </c>
      <c r="BM23" cm="1">
        <f t="array" aca="1" ref="BM23" ca="1">IF( AND($F$7,NOT(ISBLANK($F23))), IF( _xll.IMDP("IR", $F23, BM$8, Matrix!$D$6)=0,"",_xll.IMDP("IR", $F23, BM$8, Matrix!$D$6)), "")</f>
        <v>3.2480000000000002</v>
      </c>
      <c r="BN23" cm="1">
        <f t="array" aca="1" ref="BN23" ca="1">IF( AND($F$7,NOT(ISBLANK($F23))), IF( _xll.IMDP("IR", $F23, BN$8, Matrix!$D$6)=0,"",_xll.IMDP("IR", $F23, BN$8, Matrix!$D$6)), "")</f>
        <v>3.1930000000000001</v>
      </c>
      <c r="BO23" cm="1">
        <f t="array" aca="1" ref="BO23" ca="1">IF( AND($F$7,NOT(ISBLANK($F23))), IF( _xll.IMDP("IR", $F23, BO$8, Matrix!$D$6)=0,"",_xll.IMDP("IR", $F23, BO$8, Matrix!$D$6)), "")</f>
        <v>3.1320000000000001</v>
      </c>
      <c r="BP23" cm="1">
        <f t="array" aca="1" ref="BP23" ca="1">IF( AND($F$7,NOT(ISBLANK($F23))), IF( _xll.IMDP("IR", $F23, BP$8, Matrix!$D$6)=0,"",_xll.IMDP("IR", $F23, BP$8, Matrix!$D$6)), "")</f>
        <v>3.089</v>
      </c>
      <c r="BQ23" cm="1">
        <f t="array" aca="1" ref="BQ23" ca="1">IF( AND($F$7,NOT(ISBLANK($F23))), IF( _xll.IMDP("IR", $F23, BQ$8, Matrix!$D$6)=0,"",_xll.IMDP("IR", $F23, BQ$8, Matrix!$D$6)), "")</f>
        <v>3.0670000000000002</v>
      </c>
      <c r="BR23" cm="1">
        <f t="array" aca="1" ref="BR23" ca="1">IF( AND($F$7,NOT(ISBLANK($F23))), IF( _xll.IMDP("IR", $F23, BR$8, Matrix!$D$6)=0,"",_xll.IMDP("IR", $F23, BR$8, Matrix!$D$6)), "")</f>
        <v>3.081</v>
      </c>
      <c r="BS23" cm="1">
        <f t="array" aca="1" ref="BS23" ca="1">IF( AND($F$7,NOT(ISBLANK($F23))), IF( _xll.IMDP("IR", $F23, BS$8, Matrix!$D$6)=0,"",_xll.IMDP("IR", $F23, BS$8, Matrix!$D$6)), "")</f>
        <v>3.2480000000000002</v>
      </c>
      <c r="BT23" cm="1">
        <f t="array" aca="1" ref="BT23" ca="1">IF( AND($F$7,NOT(ISBLANK($F23))), IF( _xll.IMDP("IR", $F23, BT$8, Matrix!$D$6)=0,"",_xll.IMDP("IR", $F23, BT$8, Matrix!$D$6)), "")</f>
        <v>3.4820000000000002</v>
      </c>
      <c r="BU23" cm="1">
        <f t="array" aca="1" ref="BU23" ca="1">IF( AND($F$7,NOT(ISBLANK($F23))), IF( _xll.IMDP("IR", $F23, BU$8, Matrix!$D$6)=0,"",_xll.IMDP("IR", $F23, BU$8, Matrix!$D$6)), "")</f>
        <v>3.6080000000000001</v>
      </c>
      <c r="BV23" cm="1">
        <f t="array" aca="1" ref="BV23" ca="1">IF( AND($F$7,NOT(ISBLANK($F23))), IF( _xll.IMDP("IR", $F23, BV$8, Matrix!$D$6)=0,"",_xll.IMDP("IR", $F23, BV$8, Matrix!$D$6)), "")</f>
        <v>3.67</v>
      </c>
      <c r="BW23" t="str" cm="1">
        <f t="array" aca="1" ref="BW23" ca="1">IF( AND($F$7,NOT(ISBLANK($F23))), IF( _xll.IMDP("IR", $F23, BW$8, Matrix!$D$6)=0,"",_xll.IMDP("IR", $F23, BW$8, Matrix!$D$6)), "")</f>
        <v/>
      </c>
      <c r="BX23" t="str" cm="1">
        <f t="array" aca="1" ref="BX23" ca="1">IF( AND($F$7,NOT(ISBLANK($F23))), IF( _xll.IMDP("IR", $F23, BX$8, Matrix!$D$6)=0,"",_xll.IMDP("IR", $F23, BX$8, Matrix!$D$6)), "")</f>
        <v/>
      </c>
      <c r="BY23" cm="1">
        <f t="array" aca="1" ref="BY23" ca="1">IF( AND($G$7,NOT(ISBLANK($G23))), IF( _xll.IMDP("IR", $G23, BY$8, Matrix!$D$6)=0, "", _xll.IMDP("IR", $G23, BY$8, Matrix!$D$6)), "")</f>
        <v>3.411</v>
      </c>
      <c r="BZ23" cm="1">
        <f t="array" aca="1" ref="BZ23" ca="1">IF( AND($G$7,NOT(ISBLANK($G23))), IF( _xll.IMDP("IR", $G23, BZ$8, Matrix!$D$6)=0, "", _xll.IMDP("IR", $G23, BZ$8, Matrix!$D$6)), "")</f>
        <v>3.38</v>
      </c>
      <c r="CA23" cm="1">
        <f t="array" aca="1" ref="CA23" ca="1">IF( AND($G$7,NOT(ISBLANK($G23))), IF( _xll.IMDP("IR", $G23, CA$8, Matrix!$D$6)=0, "", _xll.IMDP("IR", $G23, CA$8, Matrix!$D$6)), "")</f>
        <v>3.3109999999999999</v>
      </c>
      <c r="CB23" cm="1">
        <f t="array" aca="1" ref="CB23" ca="1">IF( AND($G$7,NOT(ISBLANK($G23))), IF( _xll.IMDP("IR", $G23, CB$8, Matrix!$D$6)=0, "", _xll.IMDP("IR", $G23, CB$8, Matrix!$D$6)), "")</f>
        <v>3.2709999999999999</v>
      </c>
      <c r="CC23" cm="1">
        <f t="array" aca="1" ref="CC23" ca="1">IF( AND($G$7,NOT(ISBLANK($G23))), IF( _xll.IMDP("IR", $G23, CC$8, Matrix!$D$6)=0, "", _xll.IMDP("IR", $G23, CC$8, Matrix!$D$6)), "")</f>
        <v>3.22</v>
      </c>
      <c r="CD23" cm="1">
        <f t="array" aca="1" ref="CD23" ca="1">IF( AND($G$7,NOT(ISBLANK($G23))), IF( _xll.IMDP("IR", $G23, CD$8, Matrix!$D$6)=0, "", _xll.IMDP("IR", $G23, CD$8, Matrix!$D$6)), "")</f>
        <v>3.169</v>
      </c>
      <c r="CE23" cm="1">
        <f t="array" aca="1" ref="CE23" ca="1">IF( AND($G$7,NOT(ISBLANK($G23))), IF( _xll.IMDP("IR", $G23, CE$8, Matrix!$D$6)=0, "", _xll.IMDP("IR", $G23, CE$8, Matrix!$D$6)), "")</f>
        <v>3.1219999999999999</v>
      </c>
      <c r="CF23" cm="1">
        <f t="array" aca="1" ref="CF23" ca="1">IF( AND($G$7,NOT(ISBLANK($G23))), IF( _xll.IMDP("IR", $G23, CF$8, Matrix!$D$6)=0, "", _xll.IMDP("IR", $G23, CF$8, Matrix!$D$6)), "")</f>
        <v>3.0920000000000001</v>
      </c>
      <c r="CG23" cm="1">
        <f t="array" aca="1" ref="CG23" ca="1">IF( AND($G$7,NOT(ISBLANK($G23))), IF( _xll.IMDP("IR", $G23, CG$8, Matrix!$D$6)=0, "", _xll.IMDP("IR", $G23, CG$8, Matrix!$D$6)), "")</f>
        <v>3.0779999999999998</v>
      </c>
      <c r="CH23" cm="1">
        <f t="array" aca="1" ref="CH23" ca="1">IF( AND($G$7,NOT(ISBLANK($G23))), IF( _xll.IMDP("IR", $G23, CH$8, Matrix!$D$6)=0, "", _xll.IMDP("IR", $G23, CH$8, Matrix!$D$6)), "")</f>
        <v>3.0819999999999999</v>
      </c>
      <c r="CI23" cm="1">
        <f t="array" aca="1" ref="CI23" ca="1">IF( AND($G$7,NOT(ISBLANK($G23))), IF( _xll.IMDP("IR", $G23, CI$8, Matrix!$D$6)=0, "", _xll.IMDP("IR", $G23, CI$8, Matrix!$D$6)), "")</f>
        <v>3.26</v>
      </c>
      <c r="CJ23" cm="1">
        <f t="array" aca="1" ref="CJ23" ca="1">IF( AND($G$7,NOT(ISBLANK($G23))), IF( _xll.IMDP("IR", $G23, CJ$8, Matrix!$D$6)=0, "", _xll.IMDP("IR", $G23, CJ$8, Matrix!$D$6)), "")</f>
        <v>3.4820000000000002</v>
      </c>
      <c r="CK23" cm="1">
        <f t="array" aca="1" ref="CK23" ca="1">IF( AND($G$7,NOT(ISBLANK($G23))), IF( _xll.IMDP("IR", $G23, CK$8, Matrix!$D$6)=0, "", _xll.IMDP("IR", $G23, CK$8, Matrix!$D$6)), "")</f>
        <v>3.5830000000000002</v>
      </c>
      <c r="CL23" cm="1">
        <f t="array" aca="1" ref="CL23" ca="1">IF( AND($G$7,NOT(ISBLANK($G23))), IF( _xll.IMDP("IR", $G23, CL$8, Matrix!$D$6)=0, "", _xll.IMDP("IR", $G23, CL$8, Matrix!$D$6)), "")</f>
        <v>3.6560000000000001</v>
      </c>
      <c r="CM23" t="str" cm="1">
        <f t="array" aca="1" ref="CM23" ca="1">IF( AND($G$7,NOT(ISBLANK($G23))), IF( _xll.IMDP("IR", $G23, CM$8, Matrix!$D$6)=0, "", _xll.IMDP("IR", $G23, CM$8, Matrix!$D$6)), "")</f>
        <v/>
      </c>
      <c r="CN23" t="str" cm="1">
        <f t="array" aca="1" ref="CN23" ca="1">IF( AND($G$7,NOT(ISBLANK($G23))), IF( _xll.IMDP("IR", $G23, CN$8, Matrix!$D$6)=0, "", _xll.IMDP("IR", $G23, CN$8, Matrix!$D$6)), "")</f>
        <v/>
      </c>
      <c r="CO23" cm="1">
        <f t="array" aca="1" ref="CO23" ca="1">IF( AND($H$7,NOT(ISBLANK($H23))), IF( _xll.IMDP("IR", $H23, CO$8, Matrix!$D$6)=0, "", _xll.IMDP("IR", $H23, CO$8, Matrix!$D$6)), "")</f>
        <v>3.4159999999999999</v>
      </c>
      <c r="CP23" cm="1">
        <f t="array" aca="1" ref="CP23" ca="1">IF( AND($H$7,NOT(ISBLANK($H23))), IF( _xll.IMDP("IR", $H23, CP$8, Matrix!$D$6)=0, "", _xll.IMDP("IR", $H23, CP$8, Matrix!$D$6)), "")</f>
        <v>3.3889999999999998</v>
      </c>
      <c r="CQ23" cm="1">
        <f t="array" aca="1" ref="CQ23" ca="1">IF( AND($H$7,NOT(ISBLANK($H23))), IF( _xll.IMDP("IR", $H23, CQ$8, Matrix!$D$6)=0, "", _xll.IMDP("IR", $H23, CQ$8, Matrix!$D$6)), "")</f>
        <v>3.32</v>
      </c>
      <c r="CR23" cm="1">
        <f t="array" aca="1" ref="CR23" ca="1">IF( AND($H$7,NOT(ISBLANK($H23))), IF( _xll.IMDP("IR", $H23, CR$8, Matrix!$D$6)=0, "", _xll.IMDP("IR", $H23, CR$8, Matrix!$D$6)), "")</f>
        <v>3.28</v>
      </c>
      <c r="CS23" cm="1">
        <f t="array" aca="1" ref="CS23" ca="1">IF( AND($H$7,NOT(ISBLANK($H23))), IF( _xll.IMDP("IR", $H23, CS$8, Matrix!$D$6)=0, "", _xll.IMDP("IR", $H23, CS$8, Matrix!$D$6)), "")</f>
        <v>3.2320000000000002</v>
      </c>
      <c r="CT23" cm="1">
        <f t="array" aca="1" ref="CT23" ca="1">IF( AND($H$7,NOT(ISBLANK($H23))), IF( _xll.IMDP("IR", $H23, CT$8, Matrix!$D$6)=0, "", _xll.IMDP("IR", $H23, CT$8, Matrix!$D$6)), "")</f>
        <v>3.181</v>
      </c>
      <c r="CU23" cm="1">
        <f t="array" aca="1" ref="CU23" ca="1">IF( AND($H$7,NOT(ISBLANK($H23))), IF( _xll.IMDP("IR", $H23, CU$8, Matrix!$D$6)=0, "", _xll.IMDP("IR", $H23, CU$8, Matrix!$D$6)), "")</f>
        <v>3.1259999999999999</v>
      </c>
      <c r="CV23" cm="1">
        <f t="array" aca="1" ref="CV23" ca="1">IF( AND($H$7,NOT(ISBLANK($H23))), IF( _xll.IMDP("IR", $H23, CV$8, Matrix!$D$6)=0, "", _xll.IMDP("IR", $H23, CV$8, Matrix!$D$6)), "")</f>
        <v>3.093</v>
      </c>
      <c r="CW23" cm="1">
        <f t="array" aca="1" ref="CW23" ca="1">IF( AND($H$7,NOT(ISBLANK($H23))), IF( _xll.IMDP("IR", $H23, CW$8, Matrix!$D$6)=0, "", _xll.IMDP("IR", $H23, CW$8, Matrix!$D$6)), "")</f>
        <v>3.0750000000000002</v>
      </c>
      <c r="CX23" cm="1">
        <f t="array" aca="1" ref="CX23" ca="1">IF( AND($H$7,NOT(ISBLANK($H23))), IF( _xll.IMDP("IR", $H23, CX$8, Matrix!$D$6)=0, "", _xll.IMDP("IR", $H23, CX$8, Matrix!$D$6)), "")</f>
        <v>3.085</v>
      </c>
      <c r="CY23" cm="1">
        <f t="array" aca="1" ref="CY23" ca="1">IF( AND($H$7,NOT(ISBLANK($H23))), IF( _xll.IMDP("IR", $H23, CY$8, Matrix!$D$6)=0, "", _xll.IMDP("IR", $H23, CY$8, Matrix!$D$6)), "")</f>
        <v>3.2429999999999999</v>
      </c>
      <c r="CZ23" cm="1">
        <f t="array" aca="1" ref="CZ23" ca="1">IF( AND($H$7,NOT(ISBLANK($H23))), IF( _xll.IMDP("IR", $H23, CZ$8, Matrix!$D$6)=0, "", _xll.IMDP("IR", $H23, CZ$8, Matrix!$D$6)), "")</f>
        <v>3.4780000000000002</v>
      </c>
      <c r="DA23" t="str" cm="1">
        <f t="array" aca="1" ref="DA23" ca="1">IF( AND($H$7,NOT(ISBLANK($H23))), IF( _xll.IMDP("IR", $H23, DA$8, Matrix!$D$6)=0, "", _xll.IMDP("IR", $H23, DA$8, Matrix!$D$6)), "")</f>
        <v/>
      </c>
      <c r="DB23" cm="1">
        <f t="array" aca="1" ref="DB23" ca="1">IF( AND($H$7,NOT(ISBLANK($H23))), IF( _xll.IMDP("IR", $H23, DB$8, Matrix!$D$6)=0, "", _xll.IMDP("IR", $H23, DB$8, Matrix!$D$6)), "")</f>
        <v>3.6419999999999999</v>
      </c>
      <c r="DC23" t="str" cm="1">
        <f t="array" aca="1" ref="DC23" ca="1">IF( AND($H$7,NOT(ISBLANK($H23))), IF( _xll.IMDP("IR", $H23, DC$8, Matrix!$D$6)=0, "", _xll.IMDP("IR", $H23, DC$8, Matrix!$D$6)), "")</f>
        <v/>
      </c>
      <c r="DD23" t="str" cm="1">
        <f t="array" aca="1" ref="DD23" ca="1">IF( AND($H$7,NOT(ISBLANK($H23))), IF( _xll.IMDP("IR", $H23, DD$8, Matrix!$D$6)=0, "", _xll.IMDP("IR", $H23, DD$8, Matrix!$D$6)), "")</f>
        <v/>
      </c>
    </row>
    <row r="24" spans="2:108">
      <c r="B24" t="s">
        <v>92</v>
      </c>
      <c r="C24" t="s">
        <v>166</v>
      </c>
      <c r="D24" t="s">
        <v>243</v>
      </c>
      <c r="M24" s="21">
        <f t="shared" ca="1" si="1"/>
        <v>3.411</v>
      </c>
      <c r="N24" s="21">
        <f t="shared" ca="1" si="2"/>
        <v>3.3940000000000001</v>
      </c>
      <c r="O24" s="21">
        <f t="shared" ca="1" si="3"/>
        <v>3.3140000000000001</v>
      </c>
      <c r="P24" s="21">
        <f t="shared" ca="1" si="4"/>
        <v>3.2759999999999998</v>
      </c>
      <c r="Q24" s="21">
        <f t="shared" ca="1" si="5"/>
        <v>3.2370000000000001</v>
      </c>
      <c r="R24" s="21">
        <f t="shared" ca="1" si="6"/>
        <v>3.1920000000000002</v>
      </c>
      <c r="S24" s="21">
        <f t="shared" ca="1" si="7"/>
        <v>3.1440000000000001</v>
      </c>
      <c r="T24" s="21">
        <f t="shared" ca="1" si="8"/>
        <v>3.1269999999999998</v>
      </c>
      <c r="U24" s="21">
        <f t="shared" ca="1" si="9"/>
        <v>3.13</v>
      </c>
      <c r="V24" s="21">
        <f t="shared" ca="1" si="10"/>
        <v>3.1419999999999999</v>
      </c>
      <c r="W24" s="21">
        <f t="shared" ca="1" si="11"/>
        <v>3.27</v>
      </c>
      <c r="X24" s="21">
        <f t="shared" ca="1" si="12"/>
        <v>3.5059999999999998</v>
      </c>
      <c r="Y24" s="21">
        <f t="shared" ca="1" si="13"/>
        <v>3.62</v>
      </c>
      <c r="Z24" s="21">
        <f t="shared" ca="1" si="14"/>
        <v>3.6760000000000002</v>
      </c>
      <c r="AA24" s="21" t="e">
        <f t="shared" ca="1" si="15"/>
        <v>#NUM!</v>
      </c>
      <c r="AB24" s="21" t="e">
        <f t="shared" ca="1" si="16"/>
        <v>#NUM!</v>
      </c>
      <c r="AC24" cm="1">
        <f t="array" aca="1" ref="AC24" ca="1">IF( AND($D$7,NOT(ISBLANK($D24))), IF(_xll.IMDP("IR", $D24, AC$8, Matrix!$D$6)=0,"",_xll.IMDP("IR", $D24, AC$8, Matrix!$D$6)), "")</f>
        <v>3.411</v>
      </c>
      <c r="AD24" cm="1">
        <f t="array" aca="1" ref="AD24" ca="1">IF( AND($D$7,NOT(ISBLANK($D24))), IF(_xll.IMDP("IR", $D24, AD$8, Matrix!$D$6)=0,"",_xll.IMDP("IR", $D24, AD$8, Matrix!$D$6)), "")</f>
        <v>3.3940000000000001</v>
      </c>
      <c r="AE24" cm="1">
        <f t="array" aca="1" ref="AE24" ca="1">IF( AND($D$7,NOT(ISBLANK($D24))), IF(_xll.IMDP("IR", $D24, AE$8, Matrix!$D$6)=0,"",_xll.IMDP("IR", $D24, AE$8, Matrix!$D$6)), "")</f>
        <v>3.3140000000000001</v>
      </c>
      <c r="AF24" cm="1">
        <f t="array" aca="1" ref="AF24" ca="1">IF( AND($D$7,NOT(ISBLANK($D24))), IF(_xll.IMDP("IR", $D24, AF$8, Matrix!$D$6)=0,"",_xll.IMDP("IR", $D24, AF$8, Matrix!$D$6)), "")</f>
        <v>3.2759999999999998</v>
      </c>
      <c r="AG24" cm="1">
        <f t="array" aca="1" ref="AG24" ca="1">IF( AND($D$7,NOT(ISBLANK($D24))), IF(_xll.IMDP("IR", $D24, AG$8, Matrix!$D$6)=0,"",_xll.IMDP("IR", $D24, AG$8, Matrix!$D$6)), "")</f>
        <v>3.2370000000000001</v>
      </c>
      <c r="AH24" cm="1">
        <f t="array" aca="1" ref="AH24" ca="1">IF( AND($D$7,NOT(ISBLANK($D24))), IF(_xll.IMDP("IR", $D24, AH$8, Matrix!$D$6)=0,"",_xll.IMDP("IR", $D24, AH$8, Matrix!$D$6)), "")</f>
        <v>3.1920000000000002</v>
      </c>
      <c r="AI24" cm="1">
        <f t="array" aca="1" ref="AI24" ca="1">IF( AND($D$7,NOT(ISBLANK($D24))), IF(_xll.IMDP("IR", $D24, AI$8, Matrix!$D$6)=0,"",_xll.IMDP("IR", $D24, AI$8, Matrix!$D$6)), "")</f>
        <v>3.1440000000000001</v>
      </c>
      <c r="AJ24" cm="1">
        <f t="array" aca="1" ref="AJ24" ca="1">IF( AND($D$7,NOT(ISBLANK($D24))), IF(_xll.IMDP("IR", $D24, AJ$8, Matrix!$D$6)=0,"",_xll.IMDP("IR", $D24, AJ$8, Matrix!$D$6)), "")</f>
        <v>3.1269999999999998</v>
      </c>
      <c r="AK24" cm="1">
        <f t="array" aca="1" ref="AK24" ca="1">IF( AND($D$7,NOT(ISBLANK($D24))), IF(_xll.IMDP("IR", $D24, AK$8, Matrix!$D$6)=0,"",_xll.IMDP("IR", $D24, AK$8, Matrix!$D$6)), "")</f>
        <v>3.13</v>
      </c>
      <c r="AL24" cm="1">
        <f t="array" aca="1" ref="AL24" ca="1">IF( AND($D$7,NOT(ISBLANK($D24))), IF(_xll.IMDP("IR", $D24, AL$8, Matrix!$D$6)=0,"",_xll.IMDP("IR", $D24, AL$8, Matrix!$D$6)), "")</f>
        <v>3.1419999999999999</v>
      </c>
      <c r="AM24" cm="1">
        <f t="array" aca="1" ref="AM24" ca="1">IF( AND($D$7,NOT(ISBLANK($D24))), IF(_xll.IMDP("IR", $D24, AM$8, Matrix!$D$6)=0,"",_xll.IMDP("IR", $D24, AM$8, Matrix!$D$6)), "")</f>
        <v>3.27</v>
      </c>
      <c r="AN24" cm="1">
        <f t="array" aca="1" ref="AN24" ca="1">IF( AND($D$7,NOT(ISBLANK($D24))), IF(_xll.IMDP("IR", $D24, AN$8, Matrix!$D$6)=0,"",_xll.IMDP("IR", $D24, AN$8, Matrix!$D$6)), "")</f>
        <v>3.5059999999999998</v>
      </c>
      <c r="AO24" cm="1">
        <f t="array" aca="1" ref="AO24" ca="1">IF( AND($D$7,NOT(ISBLANK($D24))), IF(_xll.IMDP("IR", $D24, AO$8, Matrix!$D$6)=0,"",_xll.IMDP("IR", $D24, AO$8, Matrix!$D$6)), "")</f>
        <v>3.62</v>
      </c>
      <c r="AP24" cm="1">
        <f t="array" aca="1" ref="AP24" ca="1">IF( AND($D$7,NOT(ISBLANK($D24))), IF(_xll.IMDP("IR", $D24, AP$8, Matrix!$D$6)=0,"",_xll.IMDP("IR", $D24, AP$8, Matrix!$D$6)), "")</f>
        <v>3.6760000000000002</v>
      </c>
      <c r="AQ24" t="str" cm="1">
        <f t="array" aca="1" ref="AQ24" ca="1">IF( AND($D$7,NOT(ISBLANK($D24))), IF(_xll.IMDP("IR", $D24, AQ$8, Matrix!$D$6)=0,"",_xll.IMDP("IR", $D24, AQ$8, Matrix!$D$6)), "")</f>
        <v/>
      </c>
      <c r="AR24" t="str" cm="1">
        <f t="array" aca="1" ref="AR24" ca="1">IF( AND($D$7,NOT(ISBLANK($D24))), IF(_xll.IMDP("IR", $D24, AR$8, Matrix!$D$6)=0,"",_xll.IMDP("IR", $D24, AR$8, Matrix!$D$6)), "")</f>
        <v/>
      </c>
      <c r="AS24" t="str" cm="1">
        <f t="array" ref="AS24">IF( AND($E$7,NOT(ISBLANK($E24))), IF( _xll.IMDP("IR", $E24, AS$8, Matrix!$D$6)=0,"",_xll.IMDP("IR", $E24, AS$8, Matrix!$D$6)), "")</f>
        <v/>
      </c>
      <c r="AT24" t="str" cm="1">
        <f t="array" ref="AT24">IF( AND($E$7,NOT(ISBLANK($E24))), IF( _xll.IMDP("IR", $E24, AT$8, Matrix!$D$6)=0,"",_xll.IMDP("IR", $E24, AT$8, Matrix!$D$6)), "")</f>
        <v/>
      </c>
      <c r="AU24" t="str" cm="1">
        <f t="array" ref="AU24">IF( AND($E$7,NOT(ISBLANK($E24))), IF( _xll.IMDP("IR", $E24, AU$8, Matrix!$D$6)=0,"",_xll.IMDP("IR", $E24, AU$8, Matrix!$D$6)), "")</f>
        <v/>
      </c>
      <c r="AV24" t="str" cm="1">
        <f t="array" ref="AV24">IF( AND($E$7,NOT(ISBLANK($E24))), IF( _xll.IMDP("IR", $E24, AV$8, Matrix!$D$6)=0,"",_xll.IMDP("IR", $E24, AV$8, Matrix!$D$6)), "")</f>
        <v/>
      </c>
      <c r="AW24" t="str" cm="1">
        <f t="array" ref="AW24">IF( AND($E$7,NOT(ISBLANK($E24))), IF( _xll.IMDP("IR", $E24, AW$8, Matrix!$D$6)=0,"",_xll.IMDP("IR", $E24, AW$8, Matrix!$D$6)), "")</f>
        <v/>
      </c>
      <c r="AX24" t="str" cm="1">
        <f t="array" ref="AX24">IF( AND($E$7,NOT(ISBLANK($E24))), IF( _xll.IMDP("IR", $E24, AX$8, Matrix!$D$6)=0,"",_xll.IMDP("IR", $E24, AX$8, Matrix!$D$6)), "")</f>
        <v/>
      </c>
      <c r="AY24" t="str" cm="1">
        <f t="array" ref="AY24">IF( AND($E$7,NOT(ISBLANK($E24))), IF( _xll.IMDP("IR", $E24, AY$8, Matrix!$D$6)=0,"",_xll.IMDP("IR", $E24, AY$8, Matrix!$D$6)), "")</f>
        <v/>
      </c>
      <c r="AZ24" t="str" cm="1">
        <f t="array" ref="AZ24">IF( AND($E$7,NOT(ISBLANK($E24))), IF( _xll.IMDP("IR", $E24, AZ$8, Matrix!$D$6)=0,"",_xll.IMDP("IR", $E24, AZ$8, Matrix!$D$6)), "")</f>
        <v/>
      </c>
      <c r="BA24" t="str" cm="1">
        <f t="array" ref="BA24">IF( AND($E$7,NOT(ISBLANK($E24))), IF( _xll.IMDP("IR", $E24, BA$8, Matrix!$D$6)=0,"",_xll.IMDP("IR", $E24, BA$8, Matrix!$D$6)), "")</f>
        <v/>
      </c>
      <c r="BB24" t="str" cm="1">
        <f t="array" ref="BB24">IF( AND($E$7,NOT(ISBLANK($E24))), IF( _xll.IMDP("IR", $E24, BB$8, Matrix!$D$6)=0,"",_xll.IMDP("IR", $E24, BB$8, Matrix!$D$6)), "")</f>
        <v/>
      </c>
      <c r="BC24" t="str" cm="1">
        <f t="array" ref="BC24">IF( AND($E$7,NOT(ISBLANK($E24))), IF( _xll.IMDP("IR", $E24, BC$8, Matrix!$D$6)=0,"",_xll.IMDP("IR", $E24, BC$8, Matrix!$D$6)), "")</f>
        <v/>
      </c>
      <c r="BD24" t="str" cm="1">
        <f t="array" ref="BD24">IF( AND($E$7,NOT(ISBLANK($E24))), IF( _xll.IMDP("IR", $E24, BD$8, Matrix!$D$6)=0,"",_xll.IMDP("IR", $E24, BD$8, Matrix!$D$6)), "")</f>
        <v/>
      </c>
      <c r="BE24" t="str" cm="1">
        <f t="array" ref="BE24">IF( AND($E$7,NOT(ISBLANK($E24))), IF( _xll.IMDP("IR", $E24, BE$8, Matrix!$D$6)=0,"",_xll.IMDP("IR", $E24, BE$8, Matrix!$D$6)), "")</f>
        <v/>
      </c>
      <c r="BF24" t="str" cm="1">
        <f t="array" ref="BF24">IF( AND($E$7,NOT(ISBLANK($E24))), IF( _xll.IMDP("IR", $E24, BF$8, Matrix!$D$6)=0,"",_xll.IMDP("IR", $E24, BF$8, Matrix!$D$6)), "")</f>
        <v/>
      </c>
      <c r="BG24" t="str" cm="1">
        <f t="array" ref="BG24">IF( AND($E$7,NOT(ISBLANK($E24))), IF( _xll.IMDP("IR", $E24, BG$8, Matrix!$D$6)=0,"",_xll.IMDP("IR", $E24, BG$8, Matrix!$D$6)), "")</f>
        <v/>
      </c>
      <c r="BH24" t="str" cm="1">
        <f t="array" ref="BH24">IF( AND($E$7,NOT(ISBLANK($E24))), IF( _xll.IMDP("IR", $E24, BH$8, Matrix!$D$6)=0,"",_xll.IMDP("IR", $E24, BH$8, Matrix!$D$6)), "")</f>
        <v/>
      </c>
      <c r="BI24" t="str" cm="1">
        <f t="array" ref="BI24">IF( AND($F$7,NOT(ISBLANK($F24))), IF( _xll.IMDP("IR", $F24, BI$8, Matrix!$D$6)=0,"",_xll.IMDP("IR", $F24, BI$8, Matrix!$D$6)), "")</f>
        <v/>
      </c>
      <c r="BJ24" t="str" cm="1">
        <f t="array" ref="BJ24">IF( AND($F$7,NOT(ISBLANK($F24))), IF( _xll.IMDP("IR", $F24, BJ$8, Matrix!$D$6)=0,"",_xll.IMDP("IR", $F24, BJ$8, Matrix!$D$6)), "")</f>
        <v/>
      </c>
      <c r="BK24" t="str" cm="1">
        <f t="array" ref="BK24">IF( AND($F$7,NOT(ISBLANK($F24))), IF( _xll.IMDP("IR", $F24, BK$8, Matrix!$D$6)=0,"",_xll.IMDP("IR", $F24, BK$8, Matrix!$D$6)), "")</f>
        <v/>
      </c>
      <c r="BL24" t="str" cm="1">
        <f t="array" ref="BL24">IF( AND($F$7,NOT(ISBLANK($F24))), IF( _xll.IMDP("IR", $F24, BL$8, Matrix!$D$6)=0,"",_xll.IMDP("IR", $F24, BL$8, Matrix!$D$6)), "")</f>
        <v/>
      </c>
      <c r="BM24" t="str" cm="1">
        <f t="array" ref="BM24">IF( AND($F$7,NOT(ISBLANK($F24))), IF( _xll.IMDP("IR", $F24, BM$8, Matrix!$D$6)=0,"",_xll.IMDP("IR", $F24, BM$8, Matrix!$D$6)), "")</f>
        <v/>
      </c>
      <c r="BN24" t="str" cm="1">
        <f t="array" ref="BN24">IF( AND($F$7,NOT(ISBLANK($F24))), IF( _xll.IMDP("IR", $F24, BN$8, Matrix!$D$6)=0,"",_xll.IMDP("IR", $F24, BN$8, Matrix!$D$6)), "")</f>
        <v/>
      </c>
      <c r="BO24" t="str" cm="1">
        <f t="array" ref="BO24">IF( AND($F$7,NOT(ISBLANK($F24))), IF( _xll.IMDP("IR", $F24, BO$8, Matrix!$D$6)=0,"",_xll.IMDP("IR", $F24, BO$8, Matrix!$D$6)), "")</f>
        <v/>
      </c>
      <c r="BP24" t="str" cm="1">
        <f t="array" ref="BP24">IF( AND($F$7,NOT(ISBLANK($F24))), IF( _xll.IMDP("IR", $F24, BP$8, Matrix!$D$6)=0,"",_xll.IMDP("IR", $F24, BP$8, Matrix!$D$6)), "")</f>
        <v/>
      </c>
      <c r="BQ24" t="str" cm="1">
        <f t="array" ref="BQ24">IF( AND($F$7,NOT(ISBLANK($F24))), IF( _xll.IMDP("IR", $F24, BQ$8, Matrix!$D$6)=0,"",_xll.IMDP("IR", $F24, BQ$8, Matrix!$D$6)), "")</f>
        <v/>
      </c>
      <c r="BR24" t="str" cm="1">
        <f t="array" ref="BR24">IF( AND($F$7,NOT(ISBLANK($F24))), IF( _xll.IMDP("IR", $F24, BR$8, Matrix!$D$6)=0,"",_xll.IMDP("IR", $F24, BR$8, Matrix!$D$6)), "")</f>
        <v/>
      </c>
      <c r="BS24" t="str" cm="1">
        <f t="array" ref="BS24">IF( AND($F$7,NOT(ISBLANK($F24))), IF( _xll.IMDP("IR", $F24, BS$8, Matrix!$D$6)=0,"",_xll.IMDP("IR", $F24, BS$8, Matrix!$D$6)), "")</f>
        <v/>
      </c>
      <c r="BT24" t="str" cm="1">
        <f t="array" ref="BT24">IF( AND($F$7,NOT(ISBLANK($F24))), IF( _xll.IMDP("IR", $F24, BT$8, Matrix!$D$6)=0,"",_xll.IMDP("IR", $F24, BT$8, Matrix!$D$6)), "")</f>
        <v/>
      </c>
      <c r="BU24" t="str" cm="1">
        <f t="array" ref="BU24">IF( AND($F$7,NOT(ISBLANK($F24))), IF( _xll.IMDP("IR", $F24, BU$8, Matrix!$D$6)=0,"",_xll.IMDP("IR", $F24, BU$8, Matrix!$D$6)), "")</f>
        <v/>
      </c>
      <c r="BV24" t="str" cm="1">
        <f t="array" ref="BV24">IF( AND($F$7,NOT(ISBLANK($F24))), IF( _xll.IMDP("IR", $F24, BV$8, Matrix!$D$6)=0,"",_xll.IMDP("IR", $F24, BV$8, Matrix!$D$6)), "")</f>
        <v/>
      </c>
      <c r="BW24" t="str" cm="1">
        <f t="array" ref="BW24">IF( AND($F$7,NOT(ISBLANK($F24))), IF( _xll.IMDP("IR", $F24, BW$8, Matrix!$D$6)=0,"",_xll.IMDP("IR", $F24, BW$8, Matrix!$D$6)), "")</f>
        <v/>
      </c>
      <c r="BX24" t="str" cm="1">
        <f t="array" ref="BX24">IF( AND($F$7,NOT(ISBLANK($F24))), IF( _xll.IMDP("IR", $F24, BX$8, Matrix!$D$6)=0,"",_xll.IMDP("IR", $F24, BX$8, Matrix!$D$6)), "")</f>
        <v/>
      </c>
      <c r="BY24" t="str" cm="1">
        <f t="array" ref="BY24">IF( AND($G$7,NOT(ISBLANK($G24))), IF( _xll.IMDP("IR", $G24, BY$8, Matrix!$D$6)=0, "", _xll.IMDP("IR", $G24, BY$8, Matrix!$D$6)), "")</f>
        <v/>
      </c>
      <c r="BZ24" t="str" cm="1">
        <f t="array" ref="BZ24">IF( AND($G$7,NOT(ISBLANK($G24))), IF( _xll.IMDP("IR", $G24, BZ$8, Matrix!$D$6)=0, "", _xll.IMDP("IR", $G24, BZ$8, Matrix!$D$6)), "")</f>
        <v/>
      </c>
      <c r="CA24" t="str" cm="1">
        <f t="array" ref="CA24">IF( AND($G$7,NOT(ISBLANK($G24))), IF( _xll.IMDP("IR", $G24, CA$8, Matrix!$D$6)=0, "", _xll.IMDP("IR", $G24, CA$8, Matrix!$D$6)), "")</f>
        <v/>
      </c>
      <c r="CB24" t="str" cm="1">
        <f t="array" ref="CB24">IF( AND($G$7,NOT(ISBLANK($G24))), IF( _xll.IMDP("IR", $G24, CB$8, Matrix!$D$6)=0, "", _xll.IMDP("IR", $G24, CB$8, Matrix!$D$6)), "")</f>
        <v/>
      </c>
      <c r="CC24" t="str" cm="1">
        <f t="array" ref="CC24">IF( AND($G$7,NOT(ISBLANK($G24))), IF( _xll.IMDP("IR", $G24, CC$8, Matrix!$D$6)=0, "", _xll.IMDP("IR", $G24, CC$8, Matrix!$D$6)), "")</f>
        <v/>
      </c>
      <c r="CD24" t="str" cm="1">
        <f t="array" ref="CD24">IF( AND($G$7,NOT(ISBLANK($G24))), IF( _xll.IMDP("IR", $G24, CD$8, Matrix!$D$6)=0, "", _xll.IMDP("IR", $G24, CD$8, Matrix!$D$6)), "")</f>
        <v/>
      </c>
      <c r="CE24" t="str" cm="1">
        <f t="array" ref="CE24">IF( AND($G$7,NOT(ISBLANK($G24))), IF( _xll.IMDP("IR", $G24, CE$8, Matrix!$D$6)=0, "", _xll.IMDP("IR", $G24, CE$8, Matrix!$D$6)), "")</f>
        <v/>
      </c>
      <c r="CF24" t="str" cm="1">
        <f t="array" ref="CF24">IF( AND($G$7,NOT(ISBLANK($G24))), IF( _xll.IMDP("IR", $G24, CF$8, Matrix!$D$6)=0, "", _xll.IMDP("IR", $G24, CF$8, Matrix!$D$6)), "")</f>
        <v/>
      </c>
      <c r="CG24" t="str" cm="1">
        <f t="array" ref="CG24">IF( AND($G$7,NOT(ISBLANK($G24))), IF( _xll.IMDP("IR", $G24, CG$8, Matrix!$D$6)=0, "", _xll.IMDP("IR", $G24, CG$8, Matrix!$D$6)), "")</f>
        <v/>
      </c>
      <c r="CH24" t="str" cm="1">
        <f t="array" ref="CH24">IF( AND($G$7,NOT(ISBLANK($G24))), IF( _xll.IMDP("IR", $G24, CH$8, Matrix!$D$6)=0, "", _xll.IMDP("IR", $G24, CH$8, Matrix!$D$6)), "")</f>
        <v/>
      </c>
      <c r="CI24" t="str" cm="1">
        <f t="array" ref="CI24">IF( AND($G$7,NOT(ISBLANK($G24))), IF( _xll.IMDP("IR", $G24, CI$8, Matrix!$D$6)=0, "", _xll.IMDP("IR", $G24, CI$8, Matrix!$D$6)), "")</f>
        <v/>
      </c>
      <c r="CJ24" t="str" cm="1">
        <f t="array" ref="CJ24">IF( AND($G$7,NOT(ISBLANK($G24))), IF( _xll.IMDP("IR", $G24, CJ$8, Matrix!$D$6)=0, "", _xll.IMDP("IR", $G24, CJ$8, Matrix!$D$6)), "")</f>
        <v/>
      </c>
      <c r="CK24" t="str" cm="1">
        <f t="array" ref="CK24">IF( AND($G$7,NOT(ISBLANK($G24))), IF( _xll.IMDP("IR", $G24, CK$8, Matrix!$D$6)=0, "", _xll.IMDP("IR", $G24, CK$8, Matrix!$D$6)), "")</f>
        <v/>
      </c>
      <c r="CL24" t="str" cm="1">
        <f t="array" ref="CL24">IF( AND($G$7,NOT(ISBLANK($G24))), IF( _xll.IMDP("IR", $G24, CL$8, Matrix!$D$6)=0, "", _xll.IMDP("IR", $G24, CL$8, Matrix!$D$6)), "")</f>
        <v/>
      </c>
      <c r="CM24" t="str" cm="1">
        <f t="array" ref="CM24">IF( AND($G$7,NOT(ISBLANK($G24))), IF( _xll.IMDP("IR", $G24, CM$8, Matrix!$D$6)=0, "", _xll.IMDP("IR", $G24, CM$8, Matrix!$D$6)), "")</f>
        <v/>
      </c>
      <c r="CN24" t="str" cm="1">
        <f t="array" ref="CN24">IF( AND($G$7,NOT(ISBLANK($G24))), IF( _xll.IMDP("IR", $G24, CN$8, Matrix!$D$6)=0, "", _xll.IMDP("IR", $G24, CN$8, Matrix!$D$6)), "")</f>
        <v/>
      </c>
      <c r="CO24" t="str" cm="1">
        <f t="array" ref="CO24">IF( AND($H$7,NOT(ISBLANK($H24))), IF( _xll.IMDP("IR", $H24, CO$8, Matrix!$D$6)=0, "", _xll.IMDP("IR", $H24, CO$8, Matrix!$D$6)), "")</f>
        <v/>
      </c>
      <c r="CP24" t="str" cm="1">
        <f t="array" ref="CP24">IF( AND($H$7,NOT(ISBLANK($H24))), IF( _xll.IMDP("IR", $H24, CP$8, Matrix!$D$6)=0, "", _xll.IMDP("IR", $H24, CP$8, Matrix!$D$6)), "")</f>
        <v/>
      </c>
      <c r="CQ24" t="str" cm="1">
        <f t="array" ref="CQ24">IF( AND($H$7,NOT(ISBLANK($H24))), IF( _xll.IMDP("IR", $H24, CQ$8, Matrix!$D$6)=0, "", _xll.IMDP("IR", $H24, CQ$8, Matrix!$D$6)), "")</f>
        <v/>
      </c>
      <c r="CR24" t="str" cm="1">
        <f t="array" ref="CR24">IF( AND($H$7,NOT(ISBLANK($H24))), IF( _xll.IMDP("IR", $H24, CR$8, Matrix!$D$6)=0, "", _xll.IMDP("IR", $H24, CR$8, Matrix!$D$6)), "")</f>
        <v/>
      </c>
      <c r="CS24" t="str" cm="1">
        <f t="array" ref="CS24">IF( AND($H$7,NOT(ISBLANK($H24))), IF( _xll.IMDP("IR", $H24, CS$8, Matrix!$D$6)=0, "", _xll.IMDP("IR", $H24, CS$8, Matrix!$D$6)), "")</f>
        <v/>
      </c>
      <c r="CT24" t="str" cm="1">
        <f t="array" ref="CT24">IF( AND($H$7,NOT(ISBLANK($H24))), IF( _xll.IMDP("IR", $H24, CT$8, Matrix!$D$6)=0, "", _xll.IMDP("IR", $H24, CT$8, Matrix!$D$6)), "")</f>
        <v/>
      </c>
      <c r="CU24" t="str" cm="1">
        <f t="array" ref="CU24">IF( AND($H$7,NOT(ISBLANK($H24))), IF( _xll.IMDP("IR", $H24, CU$8, Matrix!$D$6)=0, "", _xll.IMDP("IR", $H24, CU$8, Matrix!$D$6)), "")</f>
        <v/>
      </c>
      <c r="CV24" t="str" cm="1">
        <f t="array" ref="CV24">IF( AND($H$7,NOT(ISBLANK($H24))), IF( _xll.IMDP("IR", $H24, CV$8, Matrix!$D$6)=0, "", _xll.IMDP("IR", $H24, CV$8, Matrix!$D$6)), "")</f>
        <v/>
      </c>
      <c r="CW24" t="str" cm="1">
        <f t="array" ref="CW24">IF( AND($H$7,NOT(ISBLANK($H24))), IF( _xll.IMDP("IR", $H24, CW$8, Matrix!$D$6)=0, "", _xll.IMDP("IR", $H24, CW$8, Matrix!$D$6)), "")</f>
        <v/>
      </c>
      <c r="CX24" t="str" cm="1">
        <f t="array" ref="CX24">IF( AND($H$7,NOT(ISBLANK($H24))), IF( _xll.IMDP("IR", $H24, CX$8, Matrix!$D$6)=0, "", _xll.IMDP("IR", $H24, CX$8, Matrix!$D$6)), "")</f>
        <v/>
      </c>
      <c r="CY24" t="str" cm="1">
        <f t="array" ref="CY24">IF( AND($H$7,NOT(ISBLANK($H24))), IF( _xll.IMDP("IR", $H24, CY$8, Matrix!$D$6)=0, "", _xll.IMDP("IR", $H24, CY$8, Matrix!$D$6)), "")</f>
        <v/>
      </c>
      <c r="CZ24" t="str" cm="1">
        <f t="array" ref="CZ24">IF( AND($H$7,NOT(ISBLANK($H24))), IF( _xll.IMDP("IR", $H24, CZ$8, Matrix!$D$6)=0, "", _xll.IMDP("IR", $H24, CZ$8, Matrix!$D$6)), "")</f>
        <v/>
      </c>
      <c r="DA24" t="str" cm="1">
        <f t="array" ref="DA24">IF( AND($H$7,NOT(ISBLANK($H24))), IF( _xll.IMDP("IR", $H24, DA$8, Matrix!$D$6)=0, "", _xll.IMDP("IR", $H24, DA$8, Matrix!$D$6)), "")</f>
        <v/>
      </c>
      <c r="DB24" t="str" cm="1">
        <f t="array" ref="DB24">IF( AND($H$7,NOT(ISBLANK($H24))), IF( _xll.IMDP("IR", $H24, DB$8, Matrix!$D$6)=0, "", _xll.IMDP("IR", $H24, DB$8, Matrix!$D$6)), "")</f>
        <v/>
      </c>
      <c r="DC24" t="str" cm="1">
        <f t="array" ref="DC24">IF( AND($H$7,NOT(ISBLANK($H24))), IF( _xll.IMDP("IR", $H24, DC$8, Matrix!$D$6)=0, "", _xll.IMDP("IR", $H24, DC$8, Matrix!$D$6)), "")</f>
        <v/>
      </c>
      <c r="DD24" t="str" cm="1">
        <f t="array" ref="DD24">IF( AND($H$7,NOT(ISBLANK($H24))), IF( _xll.IMDP("IR", $H24, DD$8, Matrix!$D$6)=0, "", _xll.IMDP("IR", $H24, DD$8, Matrix!$D$6)), "")</f>
        <v/>
      </c>
    </row>
    <row r="25" spans="2:108">
      <c r="B25" t="s">
        <v>93</v>
      </c>
      <c r="C25" t="s">
        <v>167</v>
      </c>
      <c r="D25" t="s">
        <v>244</v>
      </c>
      <c r="E25" t="s">
        <v>305</v>
      </c>
      <c r="F25" t="s">
        <v>368</v>
      </c>
      <c r="G25" t="s">
        <v>434</v>
      </c>
      <c r="H25" t="s">
        <v>496</v>
      </c>
      <c r="M25" s="21">
        <f t="shared" ca="1" si="1"/>
        <v>3.4163893335471003</v>
      </c>
      <c r="N25" s="21">
        <f t="shared" ca="1" si="2"/>
        <v>3.3895960661927491</v>
      </c>
      <c r="O25" s="21">
        <f t="shared" ca="1" si="3"/>
        <v>3.3199873725211133</v>
      </c>
      <c r="P25" s="21">
        <f t="shared" ca="1" si="4"/>
        <v>3.2805795398733313</v>
      </c>
      <c r="Q25" s="21">
        <f t="shared" ca="1" si="5"/>
        <v>3.2319868335268565</v>
      </c>
      <c r="R25" s="21">
        <f t="shared" ca="1" si="6"/>
        <v>3.1809858534518374</v>
      </c>
      <c r="S25" s="21">
        <f t="shared" ca="1" si="7"/>
        <v>3.1259905270618695</v>
      </c>
      <c r="T25" s="21">
        <f t="shared" ca="1" si="8"/>
        <v>3.0931936468869421</v>
      </c>
      <c r="U25" s="21">
        <f t="shared" ca="1" si="9"/>
        <v>3.0821962760015671</v>
      </c>
      <c r="V25" s="21">
        <f t="shared" ca="1" si="10"/>
        <v>3.0925961505848618</v>
      </c>
      <c r="W25" s="21">
        <f t="shared" ca="1" si="11"/>
        <v>3.2685638292377104</v>
      </c>
      <c r="X25" s="21">
        <f t="shared" ca="1" si="12"/>
        <v>3.504955233866236</v>
      </c>
      <c r="Y25" s="21">
        <f t="shared" ca="1" si="13"/>
        <v>3.6071701354241474</v>
      </c>
      <c r="Z25" s="21">
        <f t="shared" ca="1" si="14"/>
        <v>3.6751196746243866</v>
      </c>
      <c r="AA25" s="21" t="e">
        <f t="shared" ca="1" si="15"/>
        <v>#NUM!</v>
      </c>
      <c r="AB25" s="21" t="e">
        <f t="shared" ca="1" si="16"/>
        <v>#NUM!</v>
      </c>
      <c r="AC25" cm="1">
        <f t="array" aca="1" ref="AC25" ca="1">IF( AND($D$7,NOT(ISBLANK($D25))), IF(_xll.IMDP("IR", $D25, AC$8, Matrix!$D$6)=0,"",_xll.IMDP("IR", $D25, AC$8, Matrix!$D$6)), "")</f>
        <v>3.41</v>
      </c>
      <c r="AD25" cm="1">
        <f t="array" aca="1" ref="AD25" ca="1">IF( AND($D$7,NOT(ISBLANK($D25))), IF(_xll.IMDP("IR", $D25, AD$8, Matrix!$D$6)=0,"",_xll.IMDP("IR", $D25, AD$8, Matrix!$D$6)), "")</f>
        <v>3.3940000000000001</v>
      </c>
      <c r="AE25" cm="1">
        <f t="array" aca="1" ref="AE25" ca="1">IF( AND($D$7,NOT(ISBLANK($D25))), IF(_xll.IMDP("IR", $D25, AE$8, Matrix!$D$6)=0,"",_xll.IMDP("IR", $D25, AE$8, Matrix!$D$6)), "")</f>
        <v>3.3130000000000002</v>
      </c>
      <c r="AF25" cm="1">
        <f t="array" aca="1" ref="AF25" ca="1">IF( AND($D$7,NOT(ISBLANK($D25))), IF(_xll.IMDP("IR", $D25, AF$8, Matrix!$D$6)=0,"",_xll.IMDP("IR", $D25, AF$8, Matrix!$D$6)), "")</f>
        <v>3.2759999999999998</v>
      </c>
      <c r="AG25" cm="1">
        <f t="array" aca="1" ref="AG25" ca="1">IF( AND($D$7,NOT(ISBLANK($D25))), IF(_xll.IMDP("IR", $D25, AG$8, Matrix!$D$6)=0,"",_xll.IMDP("IR", $D25, AG$8, Matrix!$D$6)), "")</f>
        <v>3.2269999999999999</v>
      </c>
      <c r="AH25" cm="1">
        <f t="array" aca="1" ref="AH25" ca="1">IF( AND($D$7,NOT(ISBLANK($D25))), IF(_xll.IMDP("IR", $D25, AH$8, Matrix!$D$6)=0,"",_xll.IMDP("IR", $D25, AH$8, Matrix!$D$6)), "")</f>
        <v>3.1720000000000002</v>
      </c>
      <c r="AI25" cm="1">
        <f t="array" aca="1" ref="AI25" ca="1">IF( AND($D$7,NOT(ISBLANK($D25))), IF(_xll.IMDP("IR", $D25, AI$8, Matrix!$D$6)=0,"",_xll.IMDP("IR", $D25, AI$8, Matrix!$D$6)), "")</f>
        <v>3.1139999999999999</v>
      </c>
      <c r="AJ25" cm="1">
        <f t="array" aca="1" ref="AJ25" ca="1">IF( AND($D$7,NOT(ISBLANK($D25))), IF(_xll.IMDP("IR", $D25, AJ$8, Matrix!$D$6)=0,"",_xll.IMDP("IR", $D25, AJ$8, Matrix!$D$6)), "")</f>
        <v>3.0870000000000002</v>
      </c>
      <c r="AK25" cm="1">
        <f t="array" aca="1" ref="AK25" ca="1">IF( AND($D$7,NOT(ISBLANK($D25))), IF(_xll.IMDP("IR", $D25, AK$8, Matrix!$D$6)=0,"",_xll.IMDP("IR", $D25, AK$8, Matrix!$D$6)), "")</f>
        <v>3.089</v>
      </c>
      <c r="AL25" cm="1">
        <f t="array" aca="1" ref="AL25" ca="1">IF( AND($D$7,NOT(ISBLANK($D25))), IF(_xll.IMDP("IR", $D25, AL$8, Matrix!$D$6)=0,"",_xll.IMDP("IR", $D25, AL$8, Matrix!$D$6)), "")</f>
        <v>3.1019999999999999</v>
      </c>
      <c r="AM25" cm="1">
        <f t="array" aca="1" ref="AM25" ca="1">IF( AND($D$7,NOT(ISBLANK($D25))), IF(_xll.IMDP("IR", $D25, AM$8, Matrix!$D$6)=0,"",_xll.IMDP("IR", $D25, AM$8, Matrix!$D$6)), "")</f>
        <v>3.2410000000000001</v>
      </c>
      <c r="AN25" cm="1">
        <f t="array" aca="1" ref="AN25" ca="1">IF( AND($D$7,NOT(ISBLANK($D25))), IF(_xll.IMDP("IR", $D25, AN$8, Matrix!$D$6)=0,"",_xll.IMDP("IR", $D25, AN$8, Matrix!$D$6)), "")</f>
        <v>3.4740000000000002</v>
      </c>
      <c r="AO25" cm="1">
        <f t="array" aca="1" ref="AO25" ca="1">IF( AND($D$7,NOT(ISBLANK($D25))), IF(_xll.IMDP("IR", $D25, AO$8, Matrix!$D$6)=0,"",_xll.IMDP("IR", $D25, AO$8, Matrix!$D$6)), "")</f>
        <v>3.5680000000000001</v>
      </c>
      <c r="AP25" cm="1">
        <f t="array" aca="1" ref="AP25" ca="1">IF( AND($D$7,NOT(ISBLANK($D25))), IF(_xll.IMDP("IR", $D25, AP$8, Matrix!$D$6)=0,"",_xll.IMDP("IR", $D25, AP$8, Matrix!$D$6)), "")</f>
        <v>3.629</v>
      </c>
      <c r="AQ25" t="str" cm="1">
        <f t="array" aca="1" ref="AQ25" ca="1">IF( AND($D$7,NOT(ISBLANK($D25))), IF(_xll.IMDP("IR", $D25, AQ$8, Matrix!$D$6)=0,"",_xll.IMDP("IR", $D25, AQ$8, Matrix!$D$6)), "")</f>
        <v/>
      </c>
      <c r="AR25" t="str" cm="1">
        <f t="array" aca="1" ref="AR25" ca="1">IF( AND($D$7,NOT(ISBLANK($D25))), IF(_xll.IMDP("IR", $D25, AR$8, Matrix!$D$6)=0,"",_xll.IMDP("IR", $D25, AR$8, Matrix!$D$6)), "")</f>
        <v/>
      </c>
      <c r="AS25" cm="1">
        <f t="array" aca="1" ref="AS25" ca="1">IF( AND($E$7,NOT(ISBLANK($E25))), IF( _xll.IMDP("IR", $E25, AS$8, Matrix!$D$6)=0,"",_xll.IMDP("IR", $E25, AS$8, Matrix!$D$6)), "")</f>
        <v>3.4119999999999999</v>
      </c>
      <c r="AT25" cm="1">
        <f t="array" aca="1" ref="AT25" ca="1">IF( AND($E$7,NOT(ISBLANK($E25))), IF( _xll.IMDP("IR", $E25, AT$8, Matrix!$D$6)=0,"",_xll.IMDP("IR", $E25, AT$8, Matrix!$D$6)), "")</f>
        <v>3.3940000000000001</v>
      </c>
      <c r="AU25" cm="1">
        <f t="array" aca="1" ref="AU25" ca="1">IF( AND($E$7,NOT(ISBLANK($E25))), IF( _xll.IMDP("IR", $E25, AU$8, Matrix!$D$6)=0,"",_xll.IMDP("IR", $E25, AU$8, Matrix!$D$6)), "")</f>
        <v>3.319</v>
      </c>
      <c r="AV25" cm="1">
        <f t="array" aca="1" ref="AV25" ca="1">IF( AND($E$7,NOT(ISBLANK($E25))), IF( _xll.IMDP("IR", $E25, AV$8, Matrix!$D$6)=0,"",_xll.IMDP("IR", $E25, AV$8, Matrix!$D$6)), "")</f>
        <v>3.2730000000000001</v>
      </c>
      <c r="AW25" cm="1">
        <f t="array" aca="1" ref="AW25" ca="1">IF( AND($E$7,NOT(ISBLANK($E25))), IF( _xll.IMDP("IR", $E25, AW$8, Matrix!$D$6)=0,"",_xll.IMDP("IR", $E25, AW$8, Matrix!$D$6)), "")</f>
        <v>3.2330000000000001</v>
      </c>
      <c r="AX25" cm="1">
        <f t="array" aca="1" ref="AX25" ca="1">IF( AND($E$7,NOT(ISBLANK($E25))), IF( _xll.IMDP("IR", $E25, AX$8, Matrix!$D$6)=0,"",_xll.IMDP("IR", $E25, AX$8, Matrix!$D$6)), "")</f>
        <v>3.19</v>
      </c>
      <c r="AY25" cm="1">
        <f t="array" aca="1" ref="AY25" ca="1">IF( AND($E$7,NOT(ISBLANK($E25))), IF( _xll.IMDP("IR", $E25, AY$8, Matrix!$D$6)=0,"",_xll.IMDP("IR", $E25, AY$8, Matrix!$D$6)), "")</f>
        <v>3.1360000000000001</v>
      </c>
      <c r="AZ25" cm="1">
        <f t="array" aca="1" ref="AZ25" ca="1">IF( AND($E$7,NOT(ISBLANK($E25))), IF( _xll.IMDP("IR", $E25, AZ$8, Matrix!$D$6)=0,"",_xll.IMDP("IR", $E25, AZ$8, Matrix!$D$6)), "")</f>
        <v>3.105</v>
      </c>
      <c r="BA25" cm="1">
        <f t="array" aca="1" ref="BA25" ca="1">IF( AND($E$7,NOT(ISBLANK($E25))), IF( _xll.IMDP("IR", $E25, BA$8, Matrix!$D$6)=0,"",_xll.IMDP("IR", $E25, BA$8, Matrix!$D$6)), "")</f>
        <v>3.077</v>
      </c>
      <c r="BB25" cm="1">
        <f t="array" aca="1" ref="BB25" ca="1">IF( AND($E$7,NOT(ISBLANK($E25))), IF( _xll.IMDP("IR", $E25, BB$8, Matrix!$D$6)=0,"",_xll.IMDP("IR", $E25, BB$8, Matrix!$D$6)), "")</f>
        <v>3.0880000000000001</v>
      </c>
      <c r="BC25" cm="1">
        <f t="array" aca="1" ref="BC25" ca="1">IF( AND($E$7,NOT(ISBLANK($E25))), IF( _xll.IMDP("IR", $E25, BC$8, Matrix!$D$6)=0,"",_xll.IMDP("IR", $E25, BC$8, Matrix!$D$6)), "")</f>
        <v>3.282</v>
      </c>
      <c r="BD25" cm="1">
        <f t="array" aca="1" ref="BD25" ca="1">IF( AND($E$7,NOT(ISBLANK($E25))), IF( _xll.IMDP("IR", $E25, BD$8, Matrix!$D$6)=0,"",_xll.IMDP("IR", $E25, BD$8, Matrix!$D$6)), "")</f>
        <v>3.5289999999999999</v>
      </c>
      <c r="BE25" cm="1">
        <f t="array" aca="1" ref="BE25" ca="1">IF( AND($E$7,NOT(ISBLANK($E25))), IF( _xll.IMDP("IR", $E25, BE$8, Matrix!$D$6)=0,"",_xll.IMDP("IR", $E25, BE$8, Matrix!$D$6)), "")</f>
        <v>3.613</v>
      </c>
      <c r="BF25" cm="1">
        <f t="array" aca="1" ref="BF25" ca="1">IF( AND($E$7,NOT(ISBLANK($E25))), IF( _xll.IMDP("IR", $E25, BF$8, Matrix!$D$6)=0,"",_xll.IMDP("IR", $E25, BF$8, Matrix!$D$6)), "")</f>
        <v>3.6909999999999998</v>
      </c>
      <c r="BG25" t="str" cm="1">
        <f t="array" aca="1" ref="BG25" ca="1">IF( AND($E$7,NOT(ISBLANK($E25))), IF( _xll.IMDP("IR", $E25, BG$8, Matrix!$D$6)=0,"",_xll.IMDP("IR", $E25, BG$8, Matrix!$D$6)), "")</f>
        <v/>
      </c>
      <c r="BH25" t="str" cm="1">
        <f t="array" aca="1" ref="BH25" ca="1">IF( AND($E$7,NOT(ISBLANK($E25))), IF( _xll.IMDP("IR", $E25, BH$8, Matrix!$D$6)=0,"",_xll.IMDP("IR", $E25, BH$8, Matrix!$D$6)), "")</f>
        <v/>
      </c>
      <c r="BI25" cm="1">
        <f t="array" aca="1" ref="BI25" ca="1">IF( AND($F$7,NOT(ISBLANK($F25))), IF( _xll.IMDP("IR", $F25, BI$8, Matrix!$D$6)=0,"",_xll.IMDP("IR", $F25, BI$8, Matrix!$D$6)), "")</f>
        <v>3.4329999999999998</v>
      </c>
      <c r="BJ25" cm="1">
        <f t="array" aca="1" ref="BJ25" ca="1">IF( AND($F$7,NOT(ISBLANK($F25))), IF( _xll.IMDP("IR", $F25, BJ$8, Matrix!$D$6)=0,"",_xll.IMDP("IR", $F25, BJ$8, Matrix!$D$6)), "")</f>
        <v>3.391</v>
      </c>
      <c r="BK25" cm="1">
        <f t="array" aca="1" ref="BK25" ca="1">IF( AND($F$7,NOT(ISBLANK($F25))), IF( _xll.IMDP("IR", $F25, BK$8, Matrix!$D$6)=0,"",_xll.IMDP("IR", $F25, BK$8, Matrix!$D$6)), "")</f>
        <v>3.3370000000000002</v>
      </c>
      <c r="BL25" cm="1">
        <f t="array" aca="1" ref="BL25" ca="1">IF( AND($F$7,NOT(ISBLANK($F25))), IF( _xll.IMDP("IR", $F25, BL$8, Matrix!$D$6)=0,"",_xll.IMDP("IR", $F25, BL$8, Matrix!$D$6)), "")</f>
        <v>3.3029999999999999</v>
      </c>
      <c r="BM25" cm="1">
        <f t="array" aca="1" ref="BM25" ca="1">IF( AND($F$7,NOT(ISBLANK($F25))), IF( _xll.IMDP("IR", $F25, BM$8, Matrix!$D$6)=0,"",_xll.IMDP("IR", $F25, BM$8, Matrix!$D$6)), "")</f>
        <v>3.2480000000000002</v>
      </c>
      <c r="BN25" cm="1">
        <f t="array" aca="1" ref="BN25" ca="1">IF( AND($F$7,NOT(ISBLANK($F25))), IF( _xll.IMDP("IR", $F25, BN$8, Matrix!$D$6)=0,"",_xll.IMDP("IR", $F25, BN$8, Matrix!$D$6)), "")</f>
        <v>3.1930000000000001</v>
      </c>
      <c r="BO25" cm="1">
        <f t="array" aca="1" ref="BO25" ca="1">IF( AND($F$7,NOT(ISBLANK($F25))), IF( _xll.IMDP("IR", $F25, BO$8, Matrix!$D$6)=0,"",_xll.IMDP("IR", $F25, BO$8, Matrix!$D$6)), "")</f>
        <v>3.1320000000000001</v>
      </c>
      <c r="BP25" cm="1">
        <f t="array" aca="1" ref="BP25" ca="1">IF( AND($F$7,NOT(ISBLANK($F25))), IF( _xll.IMDP("IR", $F25, BP$8, Matrix!$D$6)=0,"",_xll.IMDP("IR", $F25, BP$8, Matrix!$D$6)), "")</f>
        <v>3.089</v>
      </c>
      <c r="BQ25" cm="1">
        <f t="array" aca="1" ref="BQ25" ca="1">IF( AND($F$7,NOT(ISBLANK($F25))), IF( _xll.IMDP("IR", $F25, BQ$8, Matrix!$D$6)=0,"",_xll.IMDP("IR", $F25, BQ$8, Matrix!$D$6)), "")</f>
        <v>3.077</v>
      </c>
      <c r="BR25" cm="1">
        <f t="array" aca="1" ref="BR25" ca="1">IF( AND($F$7,NOT(ISBLANK($F25))), IF( _xll.IMDP("IR", $F25, BR$8, Matrix!$D$6)=0,"",_xll.IMDP("IR", $F25, BR$8, Matrix!$D$6)), "")</f>
        <v>3.0910000000000002</v>
      </c>
      <c r="BS25" cm="1">
        <f t="array" aca="1" ref="BS25" ca="1">IF( AND($F$7,NOT(ISBLANK($F25))), IF( _xll.IMDP("IR", $F25, BS$8, Matrix!$D$6)=0,"",_xll.IMDP("IR", $F25, BS$8, Matrix!$D$6)), "")</f>
        <v>3.2679999999999998</v>
      </c>
      <c r="BT25" cm="1">
        <f t="array" aca="1" ref="BT25" ca="1">IF( AND($F$7,NOT(ISBLANK($F25))), IF( _xll.IMDP("IR", $F25, BT$8, Matrix!$D$6)=0,"",_xll.IMDP("IR", $F25, BT$8, Matrix!$D$6)), "")</f>
        <v>3.5070000000000001</v>
      </c>
      <c r="BU25" cm="1">
        <f t="array" aca="1" ref="BU25" ca="1">IF( AND($F$7,NOT(ISBLANK($F25))), IF( _xll.IMDP("IR", $F25, BU$8, Matrix!$D$6)=0,"",_xll.IMDP("IR", $F25, BU$8, Matrix!$D$6)), "")</f>
        <v>3.633</v>
      </c>
      <c r="BV25" cm="1">
        <f t="array" aca="1" ref="BV25" ca="1">IF( AND($F$7,NOT(ISBLANK($F25))), IF( _xll.IMDP("IR", $F25, BV$8, Matrix!$D$6)=0,"",_xll.IMDP("IR", $F25, BV$8, Matrix!$D$6)), "")</f>
        <v>3.6970000000000001</v>
      </c>
      <c r="BW25" t="str" cm="1">
        <f t="array" aca="1" ref="BW25" ca="1">IF( AND($F$7,NOT(ISBLANK($F25))), IF( _xll.IMDP("IR", $F25, BW$8, Matrix!$D$6)=0,"",_xll.IMDP("IR", $F25, BW$8, Matrix!$D$6)), "")</f>
        <v/>
      </c>
      <c r="BX25" t="str" cm="1">
        <f t="array" aca="1" ref="BX25" ca="1">IF( AND($F$7,NOT(ISBLANK($F25))), IF( _xll.IMDP("IR", $F25, BX$8, Matrix!$D$6)=0,"",_xll.IMDP("IR", $F25, BX$8, Matrix!$D$6)), "")</f>
        <v/>
      </c>
      <c r="BY25" cm="1">
        <f t="array" aca="1" ref="BY25" ca="1">IF( AND($G$7,NOT(ISBLANK($G25))), IF( _xll.IMDP("IR", $G25, BY$8, Matrix!$D$6)=0, "", _xll.IMDP("IR", $G25, BY$8, Matrix!$D$6)), "")</f>
        <v>3.411</v>
      </c>
      <c r="BZ25" cm="1">
        <f t="array" aca="1" ref="BZ25" ca="1">IF( AND($G$7,NOT(ISBLANK($G25))), IF( _xll.IMDP("IR", $G25, BZ$8, Matrix!$D$6)=0, "", _xll.IMDP("IR", $G25, BZ$8, Matrix!$D$6)), "")</f>
        <v>3.38</v>
      </c>
      <c r="CA25" cm="1">
        <f t="array" aca="1" ref="CA25" ca="1">IF( AND($G$7,NOT(ISBLANK($G25))), IF( _xll.IMDP("IR", $G25, CA$8, Matrix!$D$6)=0, "", _xll.IMDP("IR", $G25, CA$8, Matrix!$D$6)), "")</f>
        <v>3.3109999999999999</v>
      </c>
      <c r="CB25" cm="1">
        <f t="array" aca="1" ref="CB25" ca="1">IF( AND($G$7,NOT(ISBLANK($G25))), IF( _xll.IMDP("IR", $G25, CB$8, Matrix!$D$6)=0, "", _xll.IMDP("IR", $G25, CB$8, Matrix!$D$6)), "")</f>
        <v>3.2709999999999999</v>
      </c>
      <c r="CC25" cm="1">
        <f t="array" aca="1" ref="CC25" ca="1">IF( AND($G$7,NOT(ISBLANK($G25))), IF( _xll.IMDP("IR", $G25, CC$8, Matrix!$D$6)=0, "", _xll.IMDP("IR", $G25, CC$8, Matrix!$D$6)), "")</f>
        <v>3.22</v>
      </c>
      <c r="CD25" cm="1">
        <f t="array" aca="1" ref="CD25" ca="1">IF( AND($G$7,NOT(ISBLANK($G25))), IF( _xll.IMDP("IR", $G25, CD$8, Matrix!$D$6)=0, "", _xll.IMDP("IR", $G25, CD$8, Matrix!$D$6)), "")</f>
        <v>3.169</v>
      </c>
      <c r="CE25" cm="1">
        <f t="array" aca="1" ref="CE25" ca="1">IF( AND($G$7,NOT(ISBLANK($G25))), IF( _xll.IMDP("IR", $G25, CE$8, Matrix!$D$6)=0, "", _xll.IMDP("IR", $G25, CE$8, Matrix!$D$6)), "")</f>
        <v>3.1219999999999999</v>
      </c>
      <c r="CF25" cm="1">
        <f t="array" aca="1" ref="CF25" ca="1">IF( AND($G$7,NOT(ISBLANK($G25))), IF( _xll.IMDP("IR", $G25, CF$8, Matrix!$D$6)=0, "", _xll.IMDP("IR", $G25, CF$8, Matrix!$D$6)), "")</f>
        <v>3.0920000000000001</v>
      </c>
      <c r="CG25" cm="1">
        <f t="array" aca="1" ref="CG25" ca="1">IF( AND($G$7,NOT(ISBLANK($G25))), IF( _xll.IMDP("IR", $G25, CG$8, Matrix!$D$6)=0, "", _xll.IMDP("IR", $G25, CG$8, Matrix!$D$6)), "")</f>
        <v>3.0859999999999999</v>
      </c>
      <c r="CH25" cm="1">
        <f t="array" aca="1" ref="CH25" ca="1">IF( AND($G$7,NOT(ISBLANK($G25))), IF( _xll.IMDP("IR", $G25, CH$8, Matrix!$D$6)=0, "", _xll.IMDP("IR", $G25, CH$8, Matrix!$D$6)), "")</f>
        <v>3.09</v>
      </c>
      <c r="CI25" cm="1">
        <f t="array" aca="1" ref="CI25" ca="1">IF( AND($G$7,NOT(ISBLANK($G25))), IF( _xll.IMDP("IR", $G25, CI$8, Matrix!$D$6)=0, "", _xll.IMDP("IR", $G25, CI$8, Matrix!$D$6)), "")</f>
        <v>3.2839999999999998</v>
      </c>
      <c r="CJ25" cm="1">
        <f t="array" aca="1" ref="CJ25" ca="1">IF( AND($G$7,NOT(ISBLANK($G25))), IF( _xll.IMDP("IR", $G25, CJ$8, Matrix!$D$6)=0, "", _xll.IMDP("IR", $G25, CJ$8, Matrix!$D$6)), "")</f>
        <v>3.51</v>
      </c>
      <c r="CK25" cm="1">
        <f t="array" aca="1" ref="CK25" ca="1">IF( AND($G$7,NOT(ISBLANK($G25))), IF( _xll.IMDP("IR", $G25, CK$8, Matrix!$D$6)=0, "", _xll.IMDP("IR", $G25, CK$8, Matrix!$D$6)), "")</f>
        <v>3.6150000000000002</v>
      </c>
      <c r="CL25" cm="1">
        <f t="array" aca="1" ref="CL25" ca="1">IF( AND($G$7,NOT(ISBLANK($G25))), IF( _xll.IMDP("IR", $G25, CL$8, Matrix!$D$6)=0, "", _xll.IMDP("IR", $G25, CL$8, Matrix!$D$6)), "")</f>
        <v>3.6840000000000002</v>
      </c>
      <c r="CM25" t="str" cm="1">
        <f t="array" aca="1" ref="CM25" ca="1">IF( AND($G$7,NOT(ISBLANK($G25))), IF( _xll.IMDP("IR", $G25, CM$8, Matrix!$D$6)=0, "", _xll.IMDP("IR", $G25, CM$8, Matrix!$D$6)), "")</f>
        <v/>
      </c>
      <c r="CN25" t="str" cm="1">
        <f t="array" aca="1" ref="CN25" ca="1">IF( AND($G$7,NOT(ISBLANK($G25))), IF( _xll.IMDP("IR", $G25, CN$8, Matrix!$D$6)=0, "", _xll.IMDP("IR", $G25, CN$8, Matrix!$D$6)), "")</f>
        <v/>
      </c>
      <c r="CO25" cm="1">
        <f t="array" aca="1" ref="CO25" ca="1">IF( AND($H$7,NOT(ISBLANK($H25))), IF( _xll.IMDP("IR", $H25, CO$8, Matrix!$D$6)=0, "", _xll.IMDP("IR", $H25, CO$8, Matrix!$D$6)), "")</f>
        <v>3.4159999999999999</v>
      </c>
      <c r="CP25" cm="1">
        <f t="array" aca="1" ref="CP25" ca="1">IF( AND($H$7,NOT(ISBLANK($H25))), IF( _xll.IMDP("IR", $H25, CP$8, Matrix!$D$6)=0, "", _xll.IMDP("IR", $H25, CP$8, Matrix!$D$6)), "")</f>
        <v>3.3889999999999998</v>
      </c>
      <c r="CQ25" cm="1">
        <f t="array" aca="1" ref="CQ25" ca="1">IF( AND($H$7,NOT(ISBLANK($H25))), IF( _xll.IMDP("IR", $H25, CQ$8, Matrix!$D$6)=0, "", _xll.IMDP("IR", $H25, CQ$8, Matrix!$D$6)), "")</f>
        <v>3.32</v>
      </c>
      <c r="CR25" cm="1">
        <f t="array" aca="1" ref="CR25" ca="1">IF( AND($H$7,NOT(ISBLANK($H25))), IF( _xll.IMDP("IR", $H25, CR$8, Matrix!$D$6)=0, "", _xll.IMDP("IR", $H25, CR$8, Matrix!$D$6)), "")</f>
        <v>3.28</v>
      </c>
      <c r="CS25" cm="1">
        <f t="array" aca="1" ref="CS25" ca="1">IF( AND($H$7,NOT(ISBLANK($H25))), IF( _xll.IMDP("IR", $H25, CS$8, Matrix!$D$6)=0, "", _xll.IMDP("IR", $H25, CS$8, Matrix!$D$6)), "")</f>
        <v>3.2320000000000002</v>
      </c>
      <c r="CT25" cm="1">
        <f t="array" aca="1" ref="CT25" ca="1">IF( AND($H$7,NOT(ISBLANK($H25))), IF( _xll.IMDP("IR", $H25, CT$8, Matrix!$D$6)=0, "", _xll.IMDP("IR", $H25, CT$8, Matrix!$D$6)), "")</f>
        <v>3.181</v>
      </c>
      <c r="CU25" cm="1">
        <f t="array" aca="1" ref="CU25" ca="1">IF( AND($H$7,NOT(ISBLANK($H25))), IF( _xll.IMDP("IR", $H25, CU$8, Matrix!$D$6)=0, "", _xll.IMDP("IR", $H25, CU$8, Matrix!$D$6)), "")</f>
        <v>3.1259999999999999</v>
      </c>
      <c r="CV25" cm="1">
        <f t="array" aca="1" ref="CV25" ca="1">IF( AND($H$7,NOT(ISBLANK($H25))), IF( _xll.IMDP("IR", $H25, CV$8, Matrix!$D$6)=0, "", _xll.IMDP("IR", $H25, CV$8, Matrix!$D$6)), "")</f>
        <v>3.093</v>
      </c>
      <c r="CW25" cm="1">
        <f t="array" aca="1" ref="CW25" ca="1">IF( AND($H$7,NOT(ISBLANK($H25))), IF( _xll.IMDP("IR", $H25, CW$8, Matrix!$D$6)=0, "", _xll.IMDP("IR", $H25, CW$8, Matrix!$D$6)), "")</f>
        <v>3.0819999999999999</v>
      </c>
      <c r="CX25" cm="1">
        <f t="array" aca="1" ref="CX25" ca="1">IF( AND($H$7,NOT(ISBLANK($H25))), IF( _xll.IMDP("IR", $H25, CX$8, Matrix!$D$6)=0, "", _xll.IMDP("IR", $H25, CX$8, Matrix!$D$6)), "")</f>
        <v>3.0920000000000001</v>
      </c>
      <c r="CY25" cm="1">
        <f t="array" aca="1" ref="CY25" ca="1">IF( AND($H$7,NOT(ISBLANK($H25))), IF( _xll.IMDP("IR", $H25, CY$8, Matrix!$D$6)=0, "", _xll.IMDP("IR", $H25, CY$8, Matrix!$D$6)), "")</f>
        <v>3.2679999999999998</v>
      </c>
      <c r="CZ25" cm="1">
        <f t="array" aca="1" ref="CZ25" ca="1">IF( AND($H$7,NOT(ISBLANK($H25))), IF( _xll.IMDP("IR", $H25, CZ$8, Matrix!$D$6)=0, "", _xll.IMDP("IR", $H25, CZ$8, Matrix!$D$6)), "")</f>
        <v>3.5049999999999999</v>
      </c>
      <c r="DA25" t="str" cm="1">
        <f t="array" aca="1" ref="DA25" ca="1">IF( AND($H$7,NOT(ISBLANK($H25))), IF( _xll.IMDP("IR", $H25, DA$8, Matrix!$D$6)=0, "", _xll.IMDP("IR", $H25, DA$8, Matrix!$D$6)), "")</f>
        <v/>
      </c>
      <c r="DB25" cm="1">
        <f t="array" aca="1" ref="DB25" ca="1">IF( AND($H$7,NOT(ISBLANK($H25))), IF( _xll.IMDP("IR", $H25, DB$8, Matrix!$D$6)=0, "", _xll.IMDP("IR", $H25, DB$8, Matrix!$D$6)), "")</f>
        <v>3.6749999999999998</v>
      </c>
      <c r="DC25" t="str" cm="1">
        <f t="array" aca="1" ref="DC25" ca="1">IF( AND($H$7,NOT(ISBLANK($H25))), IF( _xll.IMDP("IR", $H25, DC$8, Matrix!$D$6)=0, "", _xll.IMDP("IR", $H25, DC$8, Matrix!$D$6)), "")</f>
        <v/>
      </c>
      <c r="DD25" t="str" cm="1">
        <f t="array" aca="1" ref="DD25" ca="1">IF( AND($H$7,NOT(ISBLANK($H25))), IF( _xll.IMDP("IR", $H25, DD$8, Matrix!$D$6)=0, "", _xll.IMDP("IR", $H25, DD$8, Matrix!$D$6)), "")</f>
        <v/>
      </c>
    </row>
    <row r="26" spans="2:108">
      <c r="B26" t="s">
        <v>94</v>
      </c>
      <c r="C26" t="s">
        <v>168</v>
      </c>
      <c r="D26" t="s">
        <v>245</v>
      </c>
      <c r="M26" s="21">
        <f t="shared" ca="1" si="1"/>
        <v>3.411</v>
      </c>
      <c r="N26" s="21">
        <f t="shared" ca="1" si="2"/>
        <v>3.3940000000000001</v>
      </c>
      <c r="O26" s="21">
        <f t="shared" ca="1" si="3"/>
        <v>3.3140000000000001</v>
      </c>
      <c r="P26" s="21">
        <f t="shared" ca="1" si="4"/>
        <v>3.2759999999999998</v>
      </c>
      <c r="Q26" s="21">
        <f t="shared" ca="1" si="5"/>
        <v>3.2370000000000001</v>
      </c>
      <c r="R26" s="21">
        <f t="shared" ca="1" si="6"/>
        <v>3.1920000000000002</v>
      </c>
      <c r="S26" s="21">
        <f t="shared" ca="1" si="7"/>
        <v>3.1440000000000001</v>
      </c>
      <c r="T26" s="21">
        <f t="shared" ca="1" si="8"/>
        <v>3.1269999999999998</v>
      </c>
      <c r="U26" s="21">
        <f t="shared" ca="1" si="9"/>
        <v>3.1389999999999998</v>
      </c>
      <c r="V26" s="21">
        <f t="shared" ca="1" si="10"/>
        <v>3.1520000000000001</v>
      </c>
      <c r="W26" s="21">
        <f t="shared" ca="1" si="11"/>
        <v>3.3010000000000002</v>
      </c>
      <c r="X26" s="21">
        <f t="shared" ca="1" si="12"/>
        <v>3.5339999999999998</v>
      </c>
      <c r="Y26" s="21">
        <f t="shared" ca="1" si="13"/>
        <v>3.6480000000000001</v>
      </c>
      <c r="Z26" s="21">
        <f t="shared" ca="1" si="14"/>
        <v>3.7189999999999999</v>
      </c>
      <c r="AA26" s="21" t="e">
        <f t="shared" ca="1" si="15"/>
        <v>#NUM!</v>
      </c>
      <c r="AB26" s="21" t="e">
        <f t="shared" ca="1" si="16"/>
        <v>#NUM!</v>
      </c>
      <c r="AC26" cm="1">
        <f t="array" aca="1" ref="AC26" ca="1">IF( AND($D$7,NOT(ISBLANK($D26))), IF(_xll.IMDP("IR", $D26, AC$8, Matrix!$D$6)=0,"",_xll.IMDP("IR", $D26, AC$8, Matrix!$D$6)), "")</f>
        <v>3.411</v>
      </c>
      <c r="AD26" cm="1">
        <f t="array" aca="1" ref="AD26" ca="1">IF( AND($D$7,NOT(ISBLANK($D26))), IF(_xll.IMDP("IR", $D26, AD$8, Matrix!$D$6)=0,"",_xll.IMDP("IR", $D26, AD$8, Matrix!$D$6)), "")</f>
        <v>3.3940000000000001</v>
      </c>
      <c r="AE26" cm="1">
        <f t="array" aca="1" ref="AE26" ca="1">IF( AND($D$7,NOT(ISBLANK($D26))), IF(_xll.IMDP("IR", $D26, AE$8, Matrix!$D$6)=0,"",_xll.IMDP("IR", $D26, AE$8, Matrix!$D$6)), "")</f>
        <v>3.3140000000000001</v>
      </c>
      <c r="AF26" cm="1">
        <f t="array" aca="1" ref="AF26" ca="1">IF( AND($D$7,NOT(ISBLANK($D26))), IF(_xll.IMDP("IR", $D26, AF$8, Matrix!$D$6)=0,"",_xll.IMDP("IR", $D26, AF$8, Matrix!$D$6)), "")</f>
        <v>3.2759999999999998</v>
      </c>
      <c r="AG26" cm="1">
        <f t="array" aca="1" ref="AG26" ca="1">IF( AND($D$7,NOT(ISBLANK($D26))), IF(_xll.IMDP("IR", $D26, AG$8, Matrix!$D$6)=0,"",_xll.IMDP("IR", $D26, AG$8, Matrix!$D$6)), "")</f>
        <v>3.2370000000000001</v>
      </c>
      <c r="AH26" cm="1">
        <f t="array" aca="1" ref="AH26" ca="1">IF( AND($D$7,NOT(ISBLANK($D26))), IF(_xll.IMDP("IR", $D26, AH$8, Matrix!$D$6)=0,"",_xll.IMDP("IR", $D26, AH$8, Matrix!$D$6)), "")</f>
        <v>3.1920000000000002</v>
      </c>
      <c r="AI26" cm="1">
        <f t="array" aca="1" ref="AI26" ca="1">IF( AND($D$7,NOT(ISBLANK($D26))), IF(_xll.IMDP("IR", $D26, AI$8, Matrix!$D$6)=0,"",_xll.IMDP("IR", $D26, AI$8, Matrix!$D$6)), "")</f>
        <v>3.1440000000000001</v>
      </c>
      <c r="AJ26" cm="1">
        <f t="array" aca="1" ref="AJ26" ca="1">IF( AND($D$7,NOT(ISBLANK($D26))), IF(_xll.IMDP("IR", $D26, AJ$8, Matrix!$D$6)=0,"",_xll.IMDP("IR", $D26, AJ$8, Matrix!$D$6)), "")</f>
        <v>3.1269999999999998</v>
      </c>
      <c r="AK26" cm="1">
        <f t="array" aca="1" ref="AK26" ca="1">IF( AND($D$7,NOT(ISBLANK($D26))), IF(_xll.IMDP("IR", $D26, AK$8, Matrix!$D$6)=0,"",_xll.IMDP("IR", $D26, AK$8, Matrix!$D$6)), "")</f>
        <v>3.1389999999999998</v>
      </c>
      <c r="AL26" cm="1">
        <f t="array" aca="1" ref="AL26" ca="1">IF( AND($D$7,NOT(ISBLANK($D26))), IF(_xll.IMDP("IR", $D26, AL$8, Matrix!$D$6)=0,"",_xll.IMDP("IR", $D26, AL$8, Matrix!$D$6)), "")</f>
        <v>3.1520000000000001</v>
      </c>
      <c r="AM26" cm="1">
        <f t="array" aca="1" ref="AM26" ca="1">IF( AND($D$7,NOT(ISBLANK($D26))), IF(_xll.IMDP("IR", $D26, AM$8, Matrix!$D$6)=0,"",_xll.IMDP("IR", $D26, AM$8, Matrix!$D$6)), "")</f>
        <v>3.3010000000000002</v>
      </c>
      <c r="AN26" cm="1">
        <f t="array" aca="1" ref="AN26" ca="1">IF( AND($D$7,NOT(ISBLANK($D26))), IF(_xll.IMDP("IR", $D26, AN$8, Matrix!$D$6)=0,"",_xll.IMDP("IR", $D26, AN$8, Matrix!$D$6)), "")</f>
        <v>3.5339999999999998</v>
      </c>
      <c r="AO26" cm="1">
        <f t="array" aca="1" ref="AO26" ca="1">IF( AND($D$7,NOT(ISBLANK($D26))), IF(_xll.IMDP("IR", $D26, AO$8, Matrix!$D$6)=0,"",_xll.IMDP("IR", $D26, AO$8, Matrix!$D$6)), "")</f>
        <v>3.6480000000000001</v>
      </c>
      <c r="AP26" cm="1">
        <f t="array" aca="1" ref="AP26" ca="1">IF( AND($D$7,NOT(ISBLANK($D26))), IF(_xll.IMDP("IR", $D26, AP$8, Matrix!$D$6)=0,"",_xll.IMDP("IR", $D26, AP$8, Matrix!$D$6)), "")</f>
        <v>3.7189999999999999</v>
      </c>
      <c r="AQ26" t="str" cm="1">
        <f t="array" aca="1" ref="AQ26" ca="1">IF( AND($D$7,NOT(ISBLANK($D26))), IF(_xll.IMDP("IR", $D26, AQ$8, Matrix!$D$6)=0,"",_xll.IMDP("IR", $D26, AQ$8, Matrix!$D$6)), "")</f>
        <v/>
      </c>
      <c r="AR26" t="str" cm="1">
        <f t="array" aca="1" ref="AR26" ca="1">IF( AND($D$7,NOT(ISBLANK($D26))), IF(_xll.IMDP("IR", $D26, AR$8, Matrix!$D$6)=0,"",_xll.IMDP("IR", $D26, AR$8, Matrix!$D$6)), "")</f>
        <v/>
      </c>
      <c r="AS26" t="str" cm="1">
        <f t="array" ref="AS26">IF( AND($E$7,NOT(ISBLANK($E26))), IF( _xll.IMDP("IR", $E26, AS$8, Matrix!$D$6)=0,"",_xll.IMDP("IR", $E26, AS$8, Matrix!$D$6)), "")</f>
        <v/>
      </c>
      <c r="AT26" t="str" cm="1">
        <f t="array" ref="AT26">IF( AND($E$7,NOT(ISBLANK($E26))), IF( _xll.IMDP("IR", $E26, AT$8, Matrix!$D$6)=0,"",_xll.IMDP("IR", $E26, AT$8, Matrix!$D$6)), "")</f>
        <v/>
      </c>
      <c r="AU26" t="str" cm="1">
        <f t="array" ref="AU26">IF( AND($E$7,NOT(ISBLANK($E26))), IF( _xll.IMDP("IR", $E26, AU$8, Matrix!$D$6)=0,"",_xll.IMDP("IR", $E26, AU$8, Matrix!$D$6)), "")</f>
        <v/>
      </c>
      <c r="AV26" t="str" cm="1">
        <f t="array" ref="AV26">IF( AND($E$7,NOT(ISBLANK($E26))), IF( _xll.IMDP("IR", $E26, AV$8, Matrix!$D$6)=0,"",_xll.IMDP("IR", $E26, AV$8, Matrix!$D$6)), "")</f>
        <v/>
      </c>
      <c r="AW26" t="str" cm="1">
        <f t="array" ref="AW26">IF( AND($E$7,NOT(ISBLANK($E26))), IF( _xll.IMDP("IR", $E26, AW$8, Matrix!$D$6)=0,"",_xll.IMDP("IR", $E26, AW$8, Matrix!$D$6)), "")</f>
        <v/>
      </c>
      <c r="AX26" t="str" cm="1">
        <f t="array" ref="AX26">IF( AND($E$7,NOT(ISBLANK($E26))), IF( _xll.IMDP("IR", $E26, AX$8, Matrix!$D$6)=0,"",_xll.IMDP("IR", $E26, AX$8, Matrix!$D$6)), "")</f>
        <v/>
      </c>
      <c r="AY26" t="str" cm="1">
        <f t="array" ref="AY26">IF( AND($E$7,NOT(ISBLANK($E26))), IF( _xll.IMDP("IR", $E26, AY$8, Matrix!$D$6)=0,"",_xll.IMDP("IR", $E26, AY$8, Matrix!$D$6)), "")</f>
        <v/>
      </c>
      <c r="AZ26" t="str" cm="1">
        <f t="array" ref="AZ26">IF( AND($E$7,NOT(ISBLANK($E26))), IF( _xll.IMDP("IR", $E26, AZ$8, Matrix!$D$6)=0,"",_xll.IMDP("IR", $E26, AZ$8, Matrix!$D$6)), "")</f>
        <v/>
      </c>
      <c r="BA26" t="str" cm="1">
        <f t="array" ref="BA26">IF( AND($E$7,NOT(ISBLANK($E26))), IF( _xll.IMDP("IR", $E26, BA$8, Matrix!$D$6)=0,"",_xll.IMDP("IR", $E26, BA$8, Matrix!$D$6)), "")</f>
        <v/>
      </c>
      <c r="BB26" t="str" cm="1">
        <f t="array" ref="BB26">IF( AND($E$7,NOT(ISBLANK($E26))), IF( _xll.IMDP("IR", $E26, BB$8, Matrix!$D$6)=0,"",_xll.IMDP("IR", $E26, BB$8, Matrix!$D$6)), "")</f>
        <v/>
      </c>
      <c r="BC26" t="str" cm="1">
        <f t="array" ref="BC26">IF( AND($E$7,NOT(ISBLANK($E26))), IF( _xll.IMDP("IR", $E26, BC$8, Matrix!$D$6)=0,"",_xll.IMDP("IR", $E26, BC$8, Matrix!$D$6)), "")</f>
        <v/>
      </c>
      <c r="BD26" t="str" cm="1">
        <f t="array" ref="BD26">IF( AND($E$7,NOT(ISBLANK($E26))), IF( _xll.IMDP("IR", $E26, BD$8, Matrix!$D$6)=0,"",_xll.IMDP("IR", $E26, BD$8, Matrix!$D$6)), "")</f>
        <v/>
      </c>
      <c r="BE26" t="str" cm="1">
        <f t="array" ref="BE26">IF( AND($E$7,NOT(ISBLANK($E26))), IF( _xll.IMDP("IR", $E26, BE$8, Matrix!$D$6)=0,"",_xll.IMDP("IR", $E26, BE$8, Matrix!$D$6)), "")</f>
        <v/>
      </c>
      <c r="BF26" t="str" cm="1">
        <f t="array" ref="BF26">IF( AND($E$7,NOT(ISBLANK($E26))), IF( _xll.IMDP("IR", $E26, BF$8, Matrix!$D$6)=0,"",_xll.IMDP("IR", $E26, BF$8, Matrix!$D$6)), "")</f>
        <v/>
      </c>
      <c r="BG26" t="str" cm="1">
        <f t="array" ref="BG26">IF( AND($E$7,NOT(ISBLANK($E26))), IF( _xll.IMDP("IR", $E26, BG$8, Matrix!$D$6)=0,"",_xll.IMDP("IR", $E26, BG$8, Matrix!$D$6)), "")</f>
        <v/>
      </c>
      <c r="BH26" t="str" cm="1">
        <f t="array" ref="BH26">IF( AND($E$7,NOT(ISBLANK($E26))), IF( _xll.IMDP("IR", $E26, BH$8, Matrix!$D$6)=0,"",_xll.IMDP("IR", $E26, BH$8, Matrix!$D$6)), "")</f>
        <v/>
      </c>
      <c r="BI26" t="str" cm="1">
        <f t="array" ref="BI26">IF( AND($F$7,NOT(ISBLANK($F26))), IF( _xll.IMDP("IR", $F26, BI$8, Matrix!$D$6)=0,"",_xll.IMDP("IR", $F26, BI$8, Matrix!$D$6)), "")</f>
        <v/>
      </c>
      <c r="BJ26" t="str" cm="1">
        <f t="array" ref="BJ26">IF( AND($F$7,NOT(ISBLANK($F26))), IF( _xll.IMDP("IR", $F26, BJ$8, Matrix!$D$6)=0,"",_xll.IMDP("IR", $F26, BJ$8, Matrix!$D$6)), "")</f>
        <v/>
      </c>
      <c r="BK26" t="str" cm="1">
        <f t="array" ref="BK26">IF( AND($F$7,NOT(ISBLANK($F26))), IF( _xll.IMDP("IR", $F26, BK$8, Matrix!$D$6)=0,"",_xll.IMDP("IR", $F26, BK$8, Matrix!$D$6)), "")</f>
        <v/>
      </c>
      <c r="BL26" t="str" cm="1">
        <f t="array" ref="BL26">IF( AND($F$7,NOT(ISBLANK($F26))), IF( _xll.IMDP("IR", $F26, BL$8, Matrix!$D$6)=0,"",_xll.IMDP("IR", $F26, BL$8, Matrix!$D$6)), "")</f>
        <v/>
      </c>
      <c r="BM26" t="str" cm="1">
        <f t="array" ref="BM26">IF( AND($F$7,NOT(ISBLANK($F26))), IF( _xll.IMDP("IR", $F26, BM$8, Matrix!$D$6)=0,"",_xll.IMDP("IR", $F26, BM$8, Matrix!$D$6)), "")</f>
        <v/>
      </c>
      <c r="BN26" t="str" cm="1">
        <f t="array" ref="BN26">IF( AND($F$7,NOT(ISBLANK($F26))), IF( _xll.IMDP("IR", $F26, BN$8, Matrix!$D$6)=0,"",_xll.IMDP("IR", $F26, BN$8, Matrix!$D$6)), "")</f>
        <v/>
      </c>
      <c r="BO26" t="str" cm="1">
        <f t="array" ref="BO26">IF( AND($F$7,NOT(ISBLANK($F26))), IF( _xll.IMDP("IR", $F26, BO$8, Matrix!$D$6)=0,"",_xll.IMDP("IR", $F26, BO$8, Matrix!$D$6)), "")</f>
        <v/>
      </c>
      <c r="BP26" t="str" cm="1">
        <f t="array" ref="BP26">IF( AND($F$7,NOT(ISBLANK($F26))), IF( _xll.IMDP("IR", $F26, BP$8, Matrix!$D$6)=0,"",_xll.IMDP("IR", $F26, BP$8, Matrix!$D$6)), "")</f>
        <v/>
      </c>
      <c r="BQ26" t="str" cm="1">
        <f t="array" ref="BQ26">IF( AND($F$7,NOT(ISBLANK($F26))), IF( _xll.IMDP("IR", $F26, BQ$8, Matrix!$D$6)=0,"",_xll.IMDP("IR", $F26, BQ$8, Matrix!$D$6)), "")</f>
        <v/>
      </c>
      <c r="BR26" t="str" cm="1">
        <f t="array" ref="BR26">IF( AND($F$7,NOT(ISBLANK($F26))), IF( _xll.IMDP("IR", $F26, BR$8, Matrix!$D$6)=0,"",_xll.IMDP("IR", $F26, BR$8, Matrix!$D$6)), "")</f>
        <v/>
      </c>
      <c r="BS26" t="str" cm="1">
        <f t="array" ref="BS26">IF( AND($F$7,NOT(ISBLANK($F26))), IF( _xll.IMDP("IR", $F26, BS$8, Matrix!$D$6)=0,"",_xll.IMDP("IR", $F26, BS$8, Matrix!$D$6)), "")</f>
        <v/>
      </c>
      <c r="BT26" t="str" cm="1">
        <f t="array" ref="BT26">IF( AND($F$7,NOT(ISBLANK($F26))), IF( _xll.IMDP("IR", $F26, BT$8, Matrix!$D$6)=0,"",_xll.IMDP("IR", $F26, BT$8, Matrix!$D$6)), "")</f>
        <v/>
      </c>
      <c r="BU26" t="str" cm="1">
        <f t="array" ref="BU26">IF( AND($F$7,NOT(ISBLANK($F26))), IF( _xll.IMDP("IR", $F26, BU$8, Matrix!$D$6)=0,"",_xll.IMDP("IR", $F26, BU$8, Matrix!$D$6)), "")</f>
        <v/>
      </c>
      <c r="BV26" t="str" cm="1">
        <f t="array" ref="BV26">IF( AND($F$7,NOT(ISBLANK($F26))), IF( _xll.IMDP("IR", $F26, BV$8, Matrix!$D$6)=0,"",_xll.IMDP("IR", $F26, BV$8, Matrix!$D$6)), "")</f>
        <v/>
      </c>
      <c r="BW26" t="str" cm="1">
        <f t="array" ref="BW26">IF( AND($F$7,NOT(ISBLANK($F26))), IF( _xll.IMDP("IR", $F26, BW$8, Matrix!$D$6)=0,"",_xll.IMDP("IR", $F26, BW$8, Matrix!$D$6)), "")</f>
        <v/>
      </c>
      <c r="BX26" t="str" cm="1">
        <f t="array" ref="BX26">IF( AND($F$7,NOT(ISBLANK($F26))), IF( _xll.IMDP("IR", $F26, BX$8, Matrix!$D$6)=0,"",_xll.IMDP("IR", $F26, BX$8, Matrix!$D$6)), "")</f>
        <v/>
      </c>
      <c r="BY26" t="str" cm="1">
        <f t="array" ref="BY26">IF( AND($G$7,NOT(ISBLANK($G26))), IF( _xll.IMDP("IR", $G26, BY$8, Matrix!$D$6)=0, "", _xll.IMDP("IR", $G26, BY$8, Matrix!$D$6)), "")</f>
        <v/>
      </c>
      <c r="BZ26" t="str" cm="1">
        <f t="array" ref="BZ26">IF( AND($G$7,NOT(ISBLANK($G26))), IF( _xll.IMDP("IR", $G26, BZ$8, Matrix!$D$6)=0, "", _xll.IMDP("IR", $G26, BZ$8, Matrix!$D$6)), "")</f>
        <v/>
      </c>
      <c r="CA26" t="str" cm="1">
        <f t="array" ref="CA26">IF( AND($G$7,NOT(ISBLANK($G26))), IF( _xll.IMDP("IR", $G26, CA$8, Matrix!$D$6)=0, "", _xll.IMDP("IR", $G26, CA$8, Matrix!$D$6)), "")</f>
        <v/>
      </c>
      <c r="CB26" t="str" cm="1">
        <f t="array" ref="CB26">IF( AND($G$7,NOT(ISBLANK($G26))), IF( _xll.IMDP("IR", $G26, CB$8, Matrix!$D$6)=0, "", _xll.IMDP("IR", $G26, CB$8, Matrix!$D$6)), "")</f>
        <v/>
      </c>
      <c r="CC26" t="str" cm="1">
        <f t="array" ref="CC26">IF( AND($G$7,NOT(ISBLANK($G26))), IF( _xll.IMDP("IR", $G26, CC$8, Matrix!$D$6)=0, "", _xll.IMDP("IR", $G26, CC$8, Matrix!$D$6)), "")</f>
        <v/>
      </c>
      <c r="CD26" t="str" cm="1">
        <f t="array" ref="CD26">IF( AND($G$7,NOT(ISBLANK($G26))), IF( _xll.IMDP("IR", $G26, CD$8, Matrix!$D$6)=0, "", _xll.IMDP("IR", $G26, CD$8, Matrix!$D$6)), "")</f>
        <v/>
      </c>
      <c r="CE26" t="str" cm="1">
        <f t="array" ref="CE26">IF( AND($G$7,NOT(ISBLANK($G26))), IF( _xll.IMDP("IR", $G26, CE$8, Matrix!$D$6)=0, "", _xll.IMDP("IR", $G26, CE$8, Matrix!$D$6)), "")</f>
        <v/>
      </c>
      <c r="CF26" t="str" cm="1">
        <f t="array" ref="CF26">IF( AND($G$7,NOT(ISBLANK($G26))), IF( _xll.IMDP("IR", $G26, CF$8, Matrix!$D$6)=0, "", _xll.IMDP("IR", $G26, CF$8, Matrix!$D$6)), "")</f>
        <v/>
      </c>
      <c r="CG26" t="str" cm="1">
        <f t="array" ref="CG26">IF( AND($G$7,NOT(ISBLANK($G26))), IF( _xll.IMDP("IR", $G26, CG$8, Matrix!$D$6)=0, "", _xll.IMDP("IR", $G26, CG$8, Matrix!$D$6)), "")</f>
        <v/>
      </c>
      <c r="CH26" t="str" cm="1">
        <f t="array" ref="CH26">IF( AND($G$7,NOT(ISBLANK($G26))), IF( _xll.IMDP("IR", $G26, CH$8, Matrix!$D$6)=0, "", _xll.IMDP("IR", $G26, CH$8, Matrix!$D$6)), "")</f>
        <v/>
      </c>
      <c r="CI26" t="str" cm="1">
        <f t="array" ref="CI26">IF( AND($G$7,NOT(ISBLANK($G26))), IF( _xll.IMDP("IR", $G26, CI$8, Matrix!$D$6)=0, "", _xll.IMDP("IR", $G26, CI$8, Matrix!$D$6)), "")</f>
        <v/>
      </c>
      <c r="CJ26" t="str" cm="1">
        <f t="array" ref="CJ26">IF( AND($G$7,NOT(ISBLANK($G26))), IF( _xll.IMDP("IR", $G26, CJ$8, Matrix!$D$6)=0, "", _xll.IMDP("IR", $G26, CJ$8, Matrix!$D$6)), "")</f>
        <v/>
      </c>
      <c r="CK26" t="str" cm="1">
        <f t="array" ref="CK26">IF( AND($G$7,NOT(ISBLANK($G26))), IF( _xll.IMDP("IR", $G26, CK$8, Matrix!$D$6)=0, "", _xll.IMDP("IR", $G26, CK$8, Matrix!$D$6)), "")</f>
        <v/>
      </c>
      <c r="CL26" t="str" cm="1">
        <f t="array" ref="CL26">IF( AND($G$7,NOT(ISBLANK($G26))), IF( _xll.IMDP("IR", $G26, CL$8, Matrix!$D$6)=0, "", _xll.IMDP("IR", $G26, CL$8, Matrix!$D$6)), "")</f>
        <v/>
      </c>
      <c r="CM26" t="str" cm="1">
        <f t="array" ref="CM26">IF( AND($G$7,NOT(ISBLANK($G26))), IF( _xll.IMDP("IR", $G26, CM$8, Matrix!$D$6)=0, "", _xll.IMDP("IR", $G26, CM$8, Matrix!$D$6)), "")</f>
        <v/>
      </c>
      <c r="CN26" t="str" cm="1">
        <f t="array" ref="CN26">IF( AND($G$7,NOT(ISBLANK($G26))), IF( _xll.IMDP("IR", $G26, CN$8, Matrix!$D$6)=0, "", _xll.IMDP("IR", $G26, CN$8, Matrix!$D$6)), "")</f>
        <v/>
      </c>
      <c r="CO26" t="str" cm="1">
        <f t="array" ref="CO26">IF( AND($H$7,NOT(ISBLANK($H26))), IF( _xll.IMDP("IR", $H26, CO$8, Matrix!$D$6)=0, "", _xll.IMDP("IR", $H26, CO$8, Matrix!$D$6)), "")</f>
        <v/>
      </c>
      <c r="CP26" t="str" cm="1">
        <f t="array" ref="CP26">IF( AND($H$7,NOT(ISBLANK($H26))), IF( _xll.IMDP("IR", $H26, CP$8, Matrix!$D$6)=0, "", _xll.IMDP("IR", $H26, CP$8, Matrix!$D$6)), "")</f>
        <v/>
      </c>
      <c r="CQ26" t="str" cm="1">
        <f t="array" ref="CQ26">IF( AND($H$7,NOT(ISBLANK($H26))), IF( _xll.IMDP("IR", $H26, CQ$8, Matrix!$D$6)=0, "", _xll.IMDP("IR", $H26, CQ$8, Matrix!$D$6)), "")</f>
        <v/>
      </c>
      <c r="CR26" t="str" cm="1">
        <f t="array" ref="CR26">IF( AND($H$7,NOT(ISBLANK($H26))), IF( _xll.IMDP("IR", $H26, CR$8, Matrix!$D$6)=0, "", _xll.IMDP("IR", $H26, CR$8, Matrix!$D$6)), "")</f>
        <v/>
      </c>
      <c r="CS26" t="str" cm="1">
        <f t="array" ref="CS26">IF( AND($H$7,NOT(ISBLANK($H26))), IF( _xll.IMDP("IR", $H26, CS$8, Matrix!$D$6)=0, "", _xll.IMDP("IR", $H26, CS$8, Matrix!$D$6)), "")</f>
        <v/>
      </c>
      <c r="CT26" t="str" cm="1">
        <f t="array" ref="CT26">IF( AND($H$7,NOT(ISBLANK($H26))), IF( _xll.IMDP("IR", $H26, CT$8, Matrix!$D$6)=0, "", _xll.IMDP("IR", $H26, CT$8, Matrix!$D$6)), "")</f>
        <v/>
      </c>
      <c r="CU26" t="str" cm="1">
        <f t="array" ref="CU26">IF( AND($H$7,NOT(ISBLANK($H26))), IF( _xll.IMDP("IR", $H26, CU$8, Matrix!$D$6)=0, "", _xll.IMDP("IR", $H26, CU$8, Matrix!$D$6)), "")</f>
        <v/>
      </c>
      <c r="CV26" t="str" cm="1">
        <f t="array" ref="CV26">IF( AND($H$7,NOT(ISBLANK($H26))), IF( _xll.IMDP("IR", $H26, CV$8, Matrix!$D$6)=0, "", _xll.IMDP("IR", $H26, CV$8, Matrix!$D$6)), "")</f>
        <v/>
      </c>
      <c r="CW26" t="str" cm="1">
        <f t="array" ref="CW26">IF( AND($H$7,NOT(ISBLANK($H26))), IF( _xll.IMDP("IR", $H26, CW$8, Matrix!$D$6)=0, "", _xll.IMDP("IR", $H26, CW$8, Matrix!$D$6)), "")</f>
        <v/>
      </c>
      <c r="CX26" t="str" cm="1">
        <f t="array" ref="CX26">IF( AND($H$7,NOT(ISBLANK($H26))), IF( _xll.IMDP("IR", $H26, CX$8, Matrix!$D$6)=0, "", _xll.IMDP("IR", $H26, CX$8, Matrix!$D$6)), "")</f>
        <v/>
      </c>
      <c r="CY26" t="str" cm="1">
        <f t="array" ref="CY26">IF( AND($H$7,NOT(ISBLANK($H26))), IF( _xll.IMDP("IR", $H26, CY$8, Matrix!$D$6)=0, "", _xll.IMDP("IR", $H26, CY$8, Matrix!$D$6)), "")</f>
        <v/>
      </c>
      <c r="CZ26" t="str" cm="1">
        <f t="array" ref="CZ26">IF( AND($H$7,NOT(ISBLANK($H26))), IF( _xll.IMDP("IR", $H26, CZ$8, Matrix!$D$6)=0, "", _xll.IMDP("IR", $H26, CZ$8, Matrix!$D$6)), "")</f>
        <v/>
      </c>
      <c r="DA26" t="str" cm="1">
        <f t="array" ref="DA26">IF( AND($H$7,NOT(ISBLANK($H26))), IF( _xll.IMDP("IR", $H26, DA$8, Matrix!$D$6)=0, "", _xll.IMDP("IR", $H26, DA$8, Matrix!$D$6)), "")</f>
        <v/>
      </c>
      <c r="DB26" t="str" cm="1">
        <f t="array" ref="DB26">IF( AND($H$7,NOT(ISBLANK($H26))), IF( _xll.IMDP("IR", $H26, DB$8, Matrix!$D$6)=0, "", _xll.IMDP("IR", $H26, DB$8, Matrix!$D$6)), "")</f>
        <v/>
      </c>
      <c r="DC26" t="str" cm="1">
        <f t="array" ref="DC26">IF( AND($H$7,NOT(ISBLANK($H26))), IF( _xll.IMDP("IR", $H26, DC$8, Matrix!$D$6)=0, "", _xll.IMDP("IR", $H26, DC$8, Matrix!$D$6)), "")</f>
        <v/>
      </c>
      <c r="DD26" t="str" cm="1">
        <f t="array" ref="DD26">IF( AND($H$7,NOT(ISBLANK($H26))), IF( _xll.IMDP("IR", $H26, DD$8, Matrix!$D$6)=0, "", _xll.IMDP("IR", $H26, DD$8, Matrix!$D$6)), "")</f>
        <v/>
      </c>
    </row>
    <row r="27" spans="2:108">
      <c r="B27" t="s">
        <v>95</v>
      </c>
      <c r="C27" t="s">
        <v>169</v>
      </c>
      <c r="D27" t="s">
        <v>246</v>
      </c>
      <c r="E27" t="s">
        <v>306</v>
      </c>
      <c r="F27" t="s">
        <v>369</v>
      </c>
      <c r="G27" t="s">
        <v>435</v>
      </c>
      <c r="H27" t="s">
        <v>497</v>
      </c>
      <c r="M27" s="21">
        <f t="shared" ca="1" si="1"/>
        <v>3.4343972877897078</v>
      </c>
      <c r="N27" s="21">
        <f t="shared" ca="1" si="2"/>
        <v>3.4173970359743615</v>
      </c>
      <c r="O27" s="21">
        <f t="shared" ca="1" si="3"/>
        <v>3.348191212043881</v>
      </c>
      <c r="P27" s="21">
        <f t="shared" ca="1" si="4"/>
        <v>3.3081825521867163</v>
      </c>
      <c r="Q27" s="21">
        <f t="shared" ca="1" si="5"/>
        <v>3.2565908883115586</v>
      </c>
      <c r="R27" s="21">
        <f t="shared" ca="1" si="6"/>
        <v>3.224193649971169</v>
      </c>
      <c r="S27" s="21">
        <f t="shared" ca="1" si="7"/>
        <v>3.2081909434252953</v>
      </c>
      <c r="T27" s="21">
        <f t="shared" ca="1" si="8"/>
        <v>3.21118635659953</v>
      </c>
      <c r="U27" s="21">
        <f t="shared" ca="1" si="9"/>
        <v>3.2085911276402785</v>
      </c>
      <c r="V27" s="21">
        <f t="shared" ca="1" si="10"/>
        <v>3.2085984049073564</v>
      </c>
      <c r="W27" s="21">
        <f t="shared" ca="1" si="11"/>
        <v>3.356356755670153</v>
      </c>
      <c r="X27" s="21">
        <f t="shared" ca="1" si="12"/>
        <v>3.5763688921284613</v>
      </c>
      <c r="Y27" s="21">
        <f t="shared" ca="1" si="13"/>
        <v>3.6839502979068786</v>
      </c>
      <c r="Z27" s="21">
        <f t="shared" ca="1" si="14"/>
        <v>3.75015795249944</v>
      </c>
      <c r="AA27" s="21" t="e">
        <f t="shared" ca="1" si="15"/>
        <v>#NUM!</v>
      </c>
      <c r="AB27" s="21" t="e">
        <f t="shared" ca="1" si="16"/>
        <v>#NUM!</v>
      </c>
      <c r="AC27" cm="1">
        <f t="array" aca="1" ref="AC27" ca="1">IF( AND($D$7,NOT(ISBLANK($D27))), IF(_xll.IMDP("IR", $D27, AC$8, Matrix!$D$6)=0,"",_xll.IMDP("IR", $D27, AC$8, Matrix!$D$6)), "")</f>
        <v>3.4350000000000001</v>
      </c>
      <c r="AD27" cm="1">
        <f t="array" aca="1" ref="AD27" ca="1">IF( AND($D$7,NOT(ISBLANK($D27))), IF(_xll.IMDP("IR", $D27, AD$8, Matrix!$D$6)=0,"",_xll.IMDP("IR", $D27, AD$8, Matrix!$D$6)), "")</f>
        <v>3.419</v>
      </c>
      <c r="AE27" cm="1">
        <f t="array" aca="1" ref="AE27" ca="1">IF( AND($D$7,NOT(ISBLANK($D27))), IF(_xll.IMDP("IR", $D27, AE$8, Matrix!$D$6)=0,"",_xll.IMDP("IR", $D27, AE$8, Matrix!$D$6)), "")</f>
        <v>3.3450000000000002</v>
      </c>
      <c r="AF27" cm="1">
        <f t="array" aca="1" ref="AF27" ca="1">IF( AND($D$7,NOT(ISBLANK($D27))), IF(_xll.IMDP("IR", $D27, AF$8, Matrix!$D$6)=0,"",_xll.IMDP("IR", $D27, AF$8, Matrix!$D$6)), "")</f>
        <v>3.3029999999999999</v>
      </c>
      <c r="AG27" cm="1">
        <f t="array" aca="1" ref="AG27" ca="1">IF( AND($D$7,NOT(ISBLANK($D27))), IF(_xll.IMDP("IR", $D27, AG$8, Matrix!$D$6)=0,"",_xll.IMDP("IR", $D27, AG$8, Matrix!$D$6)), "")</f>
        <v>3.2549999999999999</v>
      </c>
      <c r="AH27" cm="1">
        <f t="array" aca="1" ref="AH27" ca="1">IF( AND($D$7,NOT(ISBLANK($D27))), IF(_xll.IMDP("IR", $D27, AH$8, Matrix!$D$6)=0,"",_xll.IMDP("IR", $D27, AH$8, Matrix!$D$6)), "")</f>
        <v>3.2189999999999999</v>
      </c>
      <c r="AI27" cm="1">
        <f t="array" aca="1" ref="AI27" ca="1">IF( AND($D$7,NOT(ISBLANK($D27))), IF(_xll.IMDP("IR", $D27, AI$8, Matrix!$D$6)=0,"",_xll.IMDP("IR", $D27, AI$8, Matrix!$D$6)), "")</f>
        <v>3.2010000000000001</v>
      </c>
      <c r="AJ27" cm="1">
        <f t="array" aca="1" ref="AJ27" ca="1">IF( AND($D$7,NOT(ISBLANK($D27))), IF(_xll.IMDP("IR", $D27, AJ$8, Matrix!$D$6)=0,"",_xll.IMDP("IR", $D27, AJ$8, Matrix!$D$6)), "")</f>
        <v>3.2040000000000002</v>
      </c>
      <c r="AK27" cm="1">
        <f t="array" aca="1" ref="AK27" ca="1">IF( AND($D$7,NOT(ISBLANK($D27))), IF(_xll.IMDP("IR", $D27, AK$8, Matrix!$D$6)=0,"",_xll.IMDP("IR", $D27, AK$8, Matrix!$D$6)), "")</f>
        <v>3.202</v>
      </c>
      <c r="AL27" cm="1">
        <f t="array" aca="1" ref="AL27" ca="1">IF( AND($D$7,NOT(ISBLANK($D27))), IF(_xll.IMDP("IR", $D27, AL$8, Matrix!$D$6)=0,"",_xll.IMDP("IR", $D27, AL$8, Matrix!$D$6)), "")</f>
        <v>3.2050000000000001</v>
      </c>
      <c r="AM27" cm="1">
        <f t="array" aca="1" ref="AM27" ca="1">IF( AND($D$7,NOT(ISBLANK($D27))), IF(_xll.IMDP("IR", $D27, AM$8, Matrix!$D$6)=0,"",_xll.IMDP("IR", $D27, AM$8, Matrix!$D$6)), "")</f>
        <v>3.331</v>
      </c>
      <c r="AN27" cm="1">
        <f t="array" aca="1" ref="AN27" ca="1">IF( AND($D$7,NOT(ISBLANK($D27))), IF(_xll.IMDP("IR", $D27, AN$8, Matrix!$D$6)=0,"",_xll.IMDP("IR", $D27, AN$8, Matrix!$D$6)), "")</f>
        <v>3.5539999999999998</v>
      </c>
      <c r="AO27" cm="1">
        <f t="array" aca="1" ref="AO27" ca="1">IF( AND($D$7,NOT(ISBLANK($D27))), IF(_xll.IMDP("IR", $D27, AO$8, Matrix!$D$6)=0,"",_xll.IMDP("IR", $D27, AO$8, Matrix!$D$6)), "")</f>
        <v>3.6560000000000001</v>
      </c>
      <c r="AP27" cm="1">
        <f t="array" aca="1" ref="AP27" ca="1">IF( AND($D$7,NOT(ISBLANK($D27))), IF(_xll.IMDP("IR", $D27, AP$8, Matrix!$D$6)=0,"",_xll.IMDP("IR", $D27, AP$8, Matrix!$D$6)), "")</f>
        <v>3.718</v>
      </c>
      <c r="AQ27" t="str" cm="1">
        <f t="array" aca="1" ref="AQ27" ca="1">IF( AND($D$7,NOT(ISBLANK($D27))), IF(_xll.IMDP("IR", $D27, AQ$8, Matrix!$D$6)=0,"",_xll.IMDP("IR", $D27, AQ$8, Matrix!$D$6)), "")</f>
        <v/>
      </c>
      <c r="AR27" t="str" cm="1">
        <f t="array" aca="1" ref="AR27" ca="1">IF( AND($D$7,NOT(ISBLANK($D27))), IF(_xll.IMDP("IR", $D27, AR$8, Matrix!$D$6)=0,"",_xll.IMDP("IR", $D27, AR$8, Matrix!$D$6)), "")</f>
        <v/>
      </c>
      <c r="AS27" cm="1">
        <f t="array" aca="1" ref="AS27" ca="1">IF( AND($E$7,NOT(ISBLANK($E27))), IF( _xll.IMDP("IR", $E27, AS$8, Matrix!$D$6)=0,"",_xll.IMDP("IR", $E27, AS$8, Matrix!$D$6)), "")</f>
        <v>3.4319999999999999</v>
      </c>
      <c r="AT27" cm="1">
        <f t="array" aca="1" ref="AT27" ca="1">IF( AND($E$7,NOT(ISBLANK($E27))), IF( _xll.IMDP("IR", $E27, AT$8, Matrix!$D$6)=0,"",_xll.IMDP("IR", $E27, AT$8, Matrix!$D$6)), "")</f>
        <v>3.4220000000000002</v>
      </c>
      <c r="AU27" cm="1">
        <f t="array" aca="1" ref="AU27" ca="1">IF( AND($E$7,NOT(ISBLANK($E27))), IF( _xll.IMDP("IR", $E27, AU$8, Matrix!$D$6)=0,"",_xll.IMDP("IR", $E27, AU$8, Matrix!$D$6)), "")</f>
        <v>3.343</v>
      </c>
      <c r="AV27" cm="1">
        <f t="array" aca="1" ref="AV27" ca="1">IF( AND($E$7,NOT(ISBLANK($E27))), IF( _xll.IMDP("IR", $E27, AV$8, Matrix!$D$6)=0,"",_xll.IMDP("IR", $E27, AV$8, Matrix!$D$6)), "")</f>
        <v>3.3010000000000002</v>
      </c>
      <c r="AW27" cm="1">
        <f t="array" aca="1" ref="AW27" ca="1">IF( AND($E$7,NOT(ISBLANK($E27))), IF( _xll.IMDP("IR", $E27, AW$8, Matrix!$D$6)=0,"",_xll.IMDP("IR", $E27, AW$8, Matrix!$D$6)), "")</f>
        <v>3.2530000000000001</v>
      </c>
      <c r="AX27" cm="1">
        <f t="array" aca="1" ref="AX27" ca="1">IF( AND($E$7,NOT(ISBLANK($E27))), IF( _xll.IMDP("IR", $E27, AX$8, Matrix!$D$6)=0,"",_xll.IMDP("IR", $E27, AX$8, Matrix!$D$6)), "")</f>
        <v>3.234</v>
      </c>
      <c r="AY27" cm="1">
        <f t="array" aca="1" ref="AY27" ca="1">IF( AND($E$7,NOT(ISBLANK($E27))), IF( _xll.IMDP("IR", $E27, AY$8, Matrix!$D$6)=0,"",_xll.IMDP("IR", $E27, AY$8, Matrix!$D$6)), "")</f>
        <v>3.2210000000000001</v>
      </c>
      <c r="AZ27" cm="1">
        <f t="array" aca="1" ref="AZ27" ca="1">IF( AND($E$7,NOT(ISBLANK($E27))), IF( _xll.IMDP("IR", $E27, AZ$8, Matrix!$D$6)=0,"",_xll.IMDP("IR", $E27, AZ$8, Matrix!$D$6)), "")</f>
        <v>3.2280000000000002</v>
      </c>
      <c r="BA27" cm="1">
        <f t="array" aca="1" ref="BA27" ca="1">IF( AND($E$7,NOT(ISBLANK($E27))), IF( _xll.IMDP("IR", $E27, BA$8, Matrix!$D$6)=0,"",_xll.IMDP("IR", $E27, BA$8, Matrix!$D$6)), "")</f>
        <v>3.2229999999999999</v>
      </c>
      <c r="BB27" cm="1">
        <f t="array" aca="1" ref="BB27" ca="1">IF( AND($E$7,NOT(ISBLANK($E27))), IF( _xll.IMDP("IR", $E27, BB$8, Matrix!$D$6)=0,"",_xll.IMDP("IR", $E27, BB$8, Matrix!$D$6)), "")</f>
        <v>3.214</v>
      </c>
      <c r="BC27" cm="1">
        <f t="array" aca="1" ref="BC27" ca="1">IF( AND($E$7,NOT(ISBLANK($E27))), IF( _xll.IMDP("IR", $E27, BC$8, Matrix!$D$6)=0,"",_xll.IMDP("IR", $E27, BC$8, Matrix!$D$6)), "")</f>
        <v>3.3809999999999998</v>
      </c>
      <c r="BD27" cm="1">
        <f t="array" aca="1" ref="BD27" ca="1">IF( AND($E$7,NOT(ISBLANK($E27))), IF( _xll.IMDP("IR", $E27, BD$8, Matrix!$D$6)=0,"",_xll.IMDP("IR", $E27, BD$8, Matrix!$D$6)), "")</f>
        <v>3.601</v>
      </c>
      <c r="BE27" cm="1">
        <f t="array" aca="1" ref="BE27" ca="1">IF( AND($E$7,NOT(ISBLANK($E27))), IF( _xll.IMDP("IR", $E27, BE$8, Matrix!$D$6)=0,"",_xll.IMDP("IR", $E27, BE$8, Matrix!$D$6)), "")</f>
        <v>3.6840000000000002</v>
      </c>
      <c r="BF27" cm="1">
        <f t="array" aca="1" ref="BF27" ca="1">IF( AND($E$7,NOT(ISBLANK($E27))), IF( _xll.IMDP("IR", $E27, BF$8, Matrix!$D$6)=0,"",_xll.IMDP("IR", $E27, BF$8, Matrix!$D$6)), "")</f>
        <v>3.7570000000000001</v>
      </c>
      <c r="BG27" t="str" cm="1">
        <f t="array" aca="1" ref="BG27" ca="1">IF( AND($E$7,NOT(ISBLANK($E27))), IF( _xll.IMDP("IR", $E27, BG$8, Matrix!$D$6)=0,"",_xll.IMDP("IR", $E27, BG$8, Matrix!$D$6)), "")</f>
        <v/>
      </c>
      <c r="BH27" t="str" cm="1">
        <f t="array" aca="1" ref="BH27" ca="1">IF( AND($E$7,NOT(ISBLANK($E27))), IF( _xll.IMDP("IR", $E27, BH$8, Matrix!$D$6)=0,"",_xll.IMDP("IR", $E27, BH$8, Matrix!$D$6)), "")</f>
        <v/>
      </c>
      <c r="BI27" cm="1">
        <f t="array" aca="1" ref="BI27" ca="1">IF( AND($F$7,NOT(ISBLANK($F27))), IF( _xll.IMDP("IR", $F27, BI$8, Matrix!$D$6)=0,"",_xll.IMDP("IR", $F27, BI$8, Matrix!$D$6)), "")</f>
        <v>3.4420000000000002</v>
      </c>
      <c r="BJ27" cm="1">
        <f t="array" aca="1" ref="BJ27" ca="1">IF( AND($F$7,NOT(ISBLANK($F27))), IF( _xll.IMDP("IR", $F27, BJ$8, Matrix!$D$6)=0,"",_xll.IMDP("IR", $F27, BJ$8, Matrix!$D$6)), "")</f>
        <v>3.42</v>
      </c>
      <c r="BK27" cm="1">
        <f t="array" aca="1" ref="BK27" ca="1">IF( AND($F$7,NOT(ISBLANK($F27))), IF( _xll.IMDP("IR", $F27, BK$8, Matrix!$D$6)=0,"",_xll.IMDP("IR", $F27, BK$8, Matrix!$D$6)), "")</f>
        <v>3.363</v>
      </c>
      <c r="BL27" cm="1">
        <f t="array" aca="1" ref="BL27" ca="1">IF( AND($F$7,NOT(ISBLANK($F27))), IF( _xll.IMDP("IR", $F27, BL$8, Matrix!$D$6)=0,"",_xll.IMDP("IR", $F27, BL$8, Matrix!$D$6)), "")</f>
        <v>3.3290000000000002</v>
      </c>
      <c r="BM27" cm="1">
        <f t="array" aca="1" ref="BM27" ca="1">IF( AND($F$7,NOT(ISBLANK($F27))), IF( _xll.IMDP("IR", $F27, BM$8, Matrix!$D$6)=0,"",_xll.IMDP("IR", $F27, BM$8, Matrix!$D$6)), "")</f>
        <v>3.2709999999999999</v>
      </c>
      <c r="BN27" cm="1">
        <f t="array" aca="1" ref="BN27" ca="1">IF( AND($F$7,NOT(ISBLANK($F27))), IF( _xll.IMDP("IR", $F27, BN$8, Matrix!$D$6)=0,"",_xll.IMDP("IR", $F27, BN$8, Matrix!$D$6)), "")</f>
        <v>3.2280000000000002</v>
      </c>
      <c r="BO27" cm="1">
        <f t="array" aca="1" ref="BO27" ca="1">IF( AND($F$7,NOT(ISBLANK($F27))), IF( _xll.IMDP("IR", $F27, BO$8, Matrix!$D$6)=0,"",_xll.IMDP("IR", $F27, BO$8, Matrix!$D$6)), "")</f>
        <v>3.2109999999999999</v>
      </c>
      <c r="BP27" cm="1">
        <f t="array" aca="1" ref="BP27" ca="1">IF( AND($F$7,NOT(ISBLANK($F27))), IF( _xll.IMDP("IR", $F27, BP$8, Matrix!$D$6)=0,"",_xll.IMDP("IR", $F27, BP$8, Matrix!$D$6)), "")</f>
        <v>3.2010000000000001</v>
      </c>
      <c r="BQ27" cm="1">
        <f t="array" aca="1" ref="BQ27" ca="1">IF( AND($F$7,NOT(ISBLANK($F27))), IF( _xll.IMDP("IR", $F27, BQ$8, Matrix!$D$6)=0,"",_xll.IMDP("IR", $F27, BQ$8, Matrix!$D$6)), "")</f>
        <v>3.2029999999999998</v>
      </c>
      <c r="BR27" cm="1">
        <f t="array" aca="1" ref="BR27" ca="1">IF( AND($F$7,NOT(ISBLANK($F27))), IF( _xll.IMDP("IR", $F27, BR$8, Matrix!$D$6)=0,"",_xll.IMDP("IR", $F27, BR$8, Matrix!$D$6)), "")</f>
        <v>3.206</v>
      </c>
      <c r="BS27" cm="1">
        <f t="array" aca="1" ref="BS27" ca="1">IF( AND($F$7,NOT(ISBLANK($F27))), IF( _xll.IMDP("IR", $F27, BS$8, Matrix!$D$6)=0,"",_xll.IMDP("IR", $F27, BS$8, Matrix!$D$6)), "")</f>
        <v>3.347</v>
      </c>
      <c r="BT27" cm="1">
        <f t="array" aca="1" ref="BT27" ca="1">IF( AND($F$7,NOT(ISBLANK($F27))), IF( _xll.IMDP("IR", $F27, BT$8, Matrix!$D$6)=0,"",_xll.IMDP("IR", $F27, BT$8, Matrix!$D$6)), "")</f>
        <v>3.5739999999999998</v>
      </c>
      <c r="BU27" cm="1">
        <f t="array" aca="1" ref="BU27" ca="1">IF( AND($F$7,NOT(ISBLANK($F27))), IF( _xll.IMDP("IR", $F27, BU$8, Matrix!$D$6)=0,"",_xll.IMDP("IR", $F27, BU$8, Matrix!$D$6)), "")</f>
        <v>3.71</v>
      </c>
      <c r="BV27" cm="1">
        <f t="array" aca="1" ref="BV27" ca="1">IF( AND($F$7,NOT(ISBLANK($F27))), IF( _xll.IMDP("IR", $F27, BV$8, Matrix!$D$6)=0,"",_xll.IMDP("IR", $F27, BV$8, Matrix!$D$6)), "")</f>
        <v>3.7719999999999998</v>
      </c>
      <c r="BW27" t="str" cm="1">
        <f t="array" aca="1" ref="BW27" ca="1">IF( AND($F$7,NOT(ISBLANK($F27))), IF( _xll.IMDP("IR", $F27, BW$8, Matrix!$D$6)=0,"",_xll.IMDP("IR", $F27, BW$8, Matrix!$D$6)), "")</f>
        <v/>
      </c>
      <c r="BX27" t="str" cm="1">
        <f t="array" aca="1" ref="BX27" ca="1">IF( AND($F$7,NOT(ISBLANK($F27))), IF( _xll.IMDP("IR", $F27, BX$8, Matrix!$D$6)=0,"",_xll.IMDP("IR", $F27, BX$8, Matrix!$D$6)), "")</f>
        <v/>
      </c>
      <c r="BY27" cm="1">
        <f t="array" aca="1" ref="BY27" ca="1">IF( AND($G$7,NOT(ISBLANK($G27))), IF( _xll.IMDP("IR", $G27, BY$8, Matrix!$D$6)=0, "", _xll.IMDP("IR", $G27, BY$8, Matrix!$D$6)), "")</f>
        <v>3.4289999999999998</v>
      </c>
      <c r="BZ27" cm="1">
        <f t="array" aca="1" ref="BZ27" ca="1">IF( AND($G$7,NOT(ISBLANK($G27))), IF( _xll.IMDP("IR", $G27, BZ$8, Matrix!$D$6)=0, "", _xll.IMDP("IR", $G27, BZ$8, Matrix!$D$6)), "")</f>
        <v>3.4089999999999998</v>
      </c>
      <c r="CA27" cm="1">
        <f t="array" aca="1" ref="CA27" ca="1">IF( AND($G$7,NOT(ISBLANK($G27))), IF( _xll.IMDP("IR", $G27, CA$8, Matrix!$D$6)=0, "", _xll.IMDP("IR", $G27, CA$8, Matrix!$D$6)), "")</f>
        <v>3.3420000000000001</v>
      </c>
      <c r="CB27" cm="1">
        <f t="array" aca="1" ref="CB27" ca="1">IF( AND($G$7,NOT(ISBLANK($G27))), IF( _xll.IMDP("IR", $G27, CB$8, Matrix!$D$6)=0, "", _xll.IMDP("IR", $G27, CB$8, Matrix!$D$6)), "")</f>
        <v>3.3</v>
      </c>
      <c r="CC27" cm="1">
        <f t="array" aca="1" ref="CC27" ca="1">IF( AND($G$7,NOT(ISBLANK($G27))), IF( _xll.IMDP("IR", $G27, CC$8, Matrix!$D$6)=0, "", _xll.IMDP("IR", $G27, CC$8, Matrix!$D$6)), "")</f>
        <v>3.2480000000000002</v>
      </c>
      <c r="CD27" cm="1">
        <f t="array" aca="1" ref="CD27" ca="1">IF( AND($G$7,NOT(ISBLANK($G27))), IF( _xll.IMDP("IR", $G27, CD$8, Matrix!$D$6)=0, "", _xll.IMDP("IR", $G27, CD$8, Matrix!$D$6)), "")</f>
        <v>3.2160000000000002</v>
      </c>
      <c r="CE27" cm="1">
        <f t="array" aca="1" ref="CE27" ca="1">IF( AND($G$7,NOT(ISBLANK($G27))), IF( _xll.IMDP("IR", $G27, CE$8, Matrix!$D$6)=0, "", _xll.IMDP("IR", $G27, CE$8, Matrix!$D$6)), "")</f>
        <v>3.2</v>
      </c>
      <c r="CF27" cm="1">
        <f t="array" aca="1" ref="CF27" ca="1">IF( AND($G$7,NOT(ISBLANK($G27))), IF( _xll.IMDP("IR", $G27, CF$8, Matrix!$D$6)=0, "", _xll.IMDP("IR", $G27, CF$8, Matrix!$D$6)), "")</f>
        <v>3.2120000000000002</v>
      </c>
      <c r="CG27" cm="1">
        <f t="array" aca="1" ref="CG27" ca="1">IF( AND($G$7,NOT(ISBLANK($G27))), IF( _xll.IMDP("IR", $G27, CG$8, Matrix!$D$6)=0, "", _xll.IMDP("IR", $G27, CG$8, Matrix!$D$6)), "")</f>
        <v>3.2069999999999999</v>
      </c>
      <c r="CH27" cm="1">
        <f t="array" aca="1" ref="CH27" ca="1">IF( AND($G$7,NOT(ISBLANK($G27))), IF( _xll.IMDP("IR", $G27, CH$8, Matrix!$D$6)=0, "", _xll.IMDP("IR", $G27, CH$8, Matrix!$D$6)), "")</f>
        <v>3.21</v>
      </c>
      <c r="CI27" cm="1">
        <f t="array" aca="1" ref="CI27" ca="1">IF( AND($G$7,NOT(ISBLANK($G27))), IF( _xll.IMDP("IR", $G27, CI$8, Matrix!$D$6)=0, "", _xll.IMDP("IR", $G27, CI$8, Matrix!$D$6)), "")</f>
        <v>3.367</v>
      </c>
      <c r="CJ27" cm="1">
        <f t="array" aca="1" ref="CJ27" ca="1">IF( AND($G$7,NOT(ISBLANK($G27))), IF( _xll.IMDP("IR", $G27, CJ$8, Matrix!$D$6)=0, "", _xll.IMDP("IR", $G27, CJ$8, Matrix!$D$6)), "")</f>
        <v>3.577</v>
      </c>
      <c r="CK27" cm="1">
        <f t="array" aca="1" ref="CK27" ca="1">IF( AND($G$7,NOT(ISBLANK($G27))), IF( _xll.IMDP("IR", $G27, CK$8, Matrix!$D$6)=0, "", _xll.IMDP("IR", $G27, CK$8, Matrix!$D$6)), "")</f>
        <v>3.6859999999999999</v>
      </c>
      <c r="CL27" cm="1">
        <f t="array" aca="1" ref="CL27" ca="1">IF( AND($G$7,NOT(ISBLANK($G27))), IF( _xll.IMDP("IR", $G27, CL$8, Matrix!$D$6)=0, "", _xll.IMDP("IR", $G27, CL$8, Matrix!$D$6)), "")</f>
        <v>3.754</v>
      </c>
      <c r="CM27" t="str" cm="1">
        <f t="array" aca="1" ref="CM27" ca="1">IF( AND($G$7,NOT(ISBLANK($G27))), IF( _xll.IMDP("IR", $G27, CM$8, Matrix!$D$6)=0, "", _xll.IMDP("IR", $G27, CM$8, Matrix!$D$6)), "")</f>
        <v/>
      </c>
      <c r="CN27" t="str" cm="1">
        <f t="array" aca="1" ref="CN27" ca="1">IF( AND($G$7,NOT(ISBLANK($G27))), IF( _xll.IMDP("IR", $G27, CN$8, Matrix!$D$6)=0, "", _xll.IMDP("IR", $G27, CN$8, Matrix!$D$6)), "")</f>
        <v/>
      </c>
      <c r="CO27" cm="1">
        <f t="array" aca="1" ref="CO27" ca="1">IF( AND($H$7,NOT(ISBLANK($H27))), IF( _xll.IMDP("IR", $H27, CO$8, Matrix!$D$6)=0, "", _xll.IMDP("IR", $H27, CO$8, Matrix!$D$6)), "")</f>
        <v>3.4340000000000002</v>
      </c>
      <c r="CP27" cm="1">
        <f t="array" aca="1" ref="CP27" ca="1">IF( AND($H$7,NOT(ISBLANK($H27))), IF( _xll.IMDP("IR", $H27, CP$8, Matrix!$D$6)=0, "", _xll.IMDP("IR", $H27, CP$8, Matrix!$D$6)), "")</f>
        <v>3.4169999999999998</v>
      </c>
      <c r="CQ27" cm="1">
        <f t="array" aca="1" ref="CQ27" ca="1">IF( AND($H$7,NOT(ISBLANK($H27))), IF( _xll.IMDP("IR", $H27, CQ$8, Matrix!$D$6)=0, "", _xll.IMDP("IR", $H27, CQ$8, Matrix!$D$6)), "")</f>
        <v>3.3479999999999999</v>
      </c>
      <c r="CR27" cm="1">
        <f t="array" aca="1" ref="CR27" ca="1">IF( AND($H$7,NOT(ISBLANK($H27))), IF( _xll.IMDP("IR", $H27, CR$8, Matrix!$D$6)=0, "", _xll.IMDP("IR", $H27, CR$8, Matrix!$D$6)), "")</f>
        <v>3.3079999999999998</v>
      </c>
      <c r="CS27" cm="1">
        <f t="array" aca="1" ref="CS27" ca="1">IF( AND($H$7,NOT(ISBLANK($H27))), IF( _xll.IMDP("IR", $H27, CS$8, Matrix!$D$6)=0, "", _xll.IMDP("IR", $H27, CS$8, Matrix!$D$6)), "")</f>
        <v>3.2559999999999998</v>
      </c>
      <c r="CT27" cm="1">
        <f t="array" aca="1" ref="CT27" ca="1">IF( AND($H$7,NOT(ISBLANK($H27))), IF( _xll.IMDP("IR", $H27, CT$8, Matrix!$D$6)=0, "", _xll.IMDP("IR", $H27, CT$8, Matrix!$D$6)), "")</f>
        <v>3.2240000000000002</v>
      </c>
      <c r="CU27" cm="1">
        <f t="array" aca="1" ref="CU27" ca="1">IF( AND($H$7,NOT(ISBLANK($H27))), IF( _xll.IMDP("IR", $H27, CU$8, Matrix!$D$6)=0, "", _xll.IMDP("IR", $H27, CU$8, Matrix!$D$6)), "")</f>
        <v>3.2080000000000002</v>
      </c>
      <c r="CV27" cm="1">
        <f t="array" aca="1" ref="CV27" ca="1">IF( AND($H$7,NOT(ISBLANK($H27))), IF( _xll.IMDP("IR", $H27, CV$8, Matrix!$D$6)=0, "", _xll.IMDP("IR", $H27, CV$8, Matrix!$D$6)), "")</f>
        <v>3.2109999999999999</v>
      </c>
      <c r="CW27" cm="1">
        <f t="array" aca="1" ref="CW27" ca="1">IF( AND($H$7,NOT(ISBLANK($H27))), IF( _xll.IMDP("IR", $H27, CW$8, Matrix!$D$6)=0, "", _xll.IMDP("IR", $H27, CW$8, Matrix!$D$6)), "")</f>
        <v>3.2080000000000002</v>
      </c>
      <c r="CX27" cm="1">
        <f t="array" aca="1" ref="CX27" ca="1">IF( AND($H$7,NOT(ISBLANK($H27))), IF( _xll.IMDP("IR", $H27, CX$8, Matrix!$D$6)=0, "", _xll.IMDP("IR", $H27, CX$8, Matrix!$D$6)), "")</f>
        <v>3.2080000000000002</v>
      </c>
      <c r="CY27" cm="1">
        <f t="array" aca="1" ref="CY27" ca="1">IF( AND($H$7,NOT(ISBLANK($H27))), IF( _xll.IMDP("IR", $H27, CY$8, Matrix!$D$6)=0, "", _xll.IMDP("IR", $H27, CY$8, Matrix!$D$6)), "")</f>
        <v>3.3559999999999999</v>
      </c>
      <c r="CZ27" cm="1">
        <f t="array" aca="1" ref="CZ27" ca="1">IF( AND($H$7,NOT(ISBLANK($H27))), IF( _xll.IMDP("IR", $H27, CZ$8, Matrix!$D$6)=0, "", _xll.IMDP("IR", $H27, CZ$8, Matrix!$D$6)), "")</f>
        <v>3.5760000000000001</v>
      </c>
      <c r="DA27" t="str" cm="1">
        <f t="array" aca="1" ref="DA27" ca="1">IF( AND($H$7,NOT(ISBLANK($H27))), IF( _xll.IMDP("IR", $H27, DA$8, Matrix!$D$6)=0, "", _xll.IMDP("IR", $H27, DA$8, Matrix!$D$6)), "")</f>
        <v/>
      </c>
      <c r="DB27" cm="1">
        <f t="array" aca="1" ref="DB27" ca="1">IF( AND($H$7,NOT(ISBLANK($H27))), IF( _xll.IMDP("IR", $H27, DB$8, Matrix!$D$6)=0, "", _xll.IMDP("IR", $H27, DB$8, Matrix!$D$6)), "")</f>
        <v>3.75</v>
      </c>
      <c r="DC27" t="str" cm="1">
        <f t="array" aca="1" ref="DC27" ca="1">IF( AND($H$7,NOT(ISBLANK($H27))), IF( _xll.IMDP("IR", $H27, DC$8, Matrix!$D$6)=0, "", _xll.IMDP("IR", $H27, DC$8, Matrix!$D$6)), "")</f>
        <v/>
      </c>
      <c r="DD27" t="str" cm="1">
        <f t="array" aca="1" ref="DD27" ca="1">IF( AND($H$7,NOT(ISBLANK($H27))), IF( _xll.IMDP("IR", $H27, DD$8, Matrix!$D$6)=0, "", _xll.IMDP("IR", $H27, DD$8, Matrix!$D$6)), "")</f>
        <v/>
      </c>
    </row>
    <row r="28" spans="2:108">
      <c r="B28" t="s">
        <v>96</v>
      </c>
      <c r="C28" t="s">
        <v>170</v>
      </c>
      <c r="D28" t="s">
        <v>247</v>
      </c>
      <c r="E28" t="s">
        <v>307</v>
      </c>
      <c r="F28" t="s">
        <v>370</v>
      </c>
      <c r="G28" t="s">
        <v>436</v>
      </c>
      <c r="M28" s="21">
        <f t="shared" ca="1" si="1"/>
        <v>3.4534953261177623</v>
      </c>
      <c r="N28" s="21">
        <f t="shared" ca="1" si="2"/>
        <v>3.4397329357076996</v>
      </c>
      <c r="O28" s="21">
        <f t="shared" ca="1" si="3"/>
        <v>3.3919958001476713</v>
      </c>
      <c r="P28" s="21">
        <f t="shared" ca="1" si="4"/>
        <v>3.3729858651229012</v>
      </c>
      <c r="Q28" s="21">
        <f t="shared" ca="1" si="5"/>
        <v>3.3584790268827955</v>
      </c>
      <c r="R28" s="21">
        <f t="shared" ca="1" si="6"/>
        <v>3.3269837079924693</v>
      </c>
      <c r="S28" s="21">
        <f t="shared" ca="1" si="7"/>
        <v>3.3099788298758885</v>
      </c>
      <c r="T28" s="21">
        <f t="shared" ca="1" si="8"/>
        <v>3.3047024741111724</v>
      </c>
      <c r="U28" s="21">
        <f t="shared" ca="1" si="9"/>
        <v>3.2884785235393998</v>
      </c>
      <c r="V28" s="21">
        <f t="shared" ca="1" si="10"/>
        <v>3.3159343513650614</v>
      </c>
      <c r="W28" s="21">
        <f t="shared" ca="1" si="11"/>
        <v>3.4389161097130181</v>
      </c>
      <c r="X28" s="21">
        <f t="shared" ca="1" si="12"/>
        <v>3.6596027166808991</v>
      </c>
      <c r="Y28" s="21">
        <f t="shared" ca="1" si="13"/>
        <v>3.8382167844605628</v>
      </c>
      <c r="Z28" s="21">
        <f t="shared" ca="1" si="14"/>
        <v>3.9459060542056159</v>
      </c>
      <c r="AA28" s="21" t="e">
        <f t="shared" ca="1" si="15"/>
        <v>#NUM!</v>
      </c>
      <c r="AB28" s="21" t="e">
        <f t="shared" ca="1" si="16"/>
        <v>#NUM!</v>
      </c>
      <c r="AC28" cm="1">
        <f t="array" aca="1" ref="AC28" ca="1">IF( AND($D$7,NOT(ISBLANK($D28))), IF(_xll.IMDP("IR", $D28, AC$8, Matrix!$D$6)=0,"",_xll.IMDP("IR", $D28, AC$8, Matrix!$D$6)), "")</f>
        <v>3.4590000000000001</v>
      </c>
      <c r="AD28" cm="1">
        <f t="array" aca="1" ref="AD28" ca="1">IF( AND($D$7,NOT(ISBLANK($D28))), IF(_xll.IMDP("IR", $D28, AD$8, Matrix!$D$6)=0,"",_xll.IMDP("IR", $D28, AD$8, Matrix!$D$6)), "")</f>
        <v>3.4489999999999998</v>
      </c>
      <c r="AE28" cm="1">
        <f t="array" aca="1" ref="AE28" ca="1">IF( AND($D$7,NOT(ISBLANK($D28))), IF(_xll.IMDP("IR", $D28, AE$8, Matrix!$D$6)=0,"",_xll.IMDP("IR", $D28, AE$8, Matrix!$D$6)), "")</f>
        <v>3.3919999999999999</v>
      </c>
      <c r="AF28" cm="1">
        <f t="array" aca="1" ref="AF28" ca="1">IF( AND($D$7,NOT(ISBLANK($D28))), IF(_xll.IMDP("IR", $D28, AF$8, Matrix!$D$6)=0,"",_xll.IMDP("IR", $D28, AF$8, Matrix!$D$6)), "")</f>
        <v>3.363</v>
      </c>
      <c r="AG28" cm="1">
        <f t="array" aca="1" ref="AG28" ca="1">IF( AND($D$7,NOT(ISBLANK($D28))), IF(_xll.IMDP("IR", $D28, AG$8, Matrix!$D$6)=0,"",_xll.IMDP("IR", $D28, AG$8, Matrix!$D$6)), "")</f>
        <v>3.3519999999999999</v>
      </c>
      <c r="AH28" cm="1">
        <f t="array" aca="1" ref="AH28" ca="1">IF( AND($D$7,NOT(ISBLANK($D28))), IF(_xll.IMDP("IR", $D28, AH$8, Matrix!$D$6)=0,"",_xll.IMDP("IR", $D28, AH$8, Matrix!$D$6)), "")</f>
        <v>3.3140000000000001</v>
      </c>
      <c r="AI28" cm="1">
        <f t="array" aca="1" ref="AI28" ca="1">IF( AND($D$7,NOT(ISBLANK($D28))), IF(_xll.IMDP("IR", $D28, AI$8, Matrix!$D$6)=0,"",_xll.IMDP("IR", $D28, AI$8, Matrix!$D$6)), "")</f>
        <v>3.2919999999999998</v>
      </c>
      <c r="AJ28" cm="1">
        <f t="array" aca="1" ref="AJ28" ca="1">IF( AND($D$7,NOT(ISBLANK($D28))), IF(_xll.IMDP("IR", $D28, AJ$8, Matrix!$D$6)=0,"",_xll.IMDP("IR", $D28, AJ$8, Matrix!$D$6)), "")</f>
        <v>3.2850000000000001</v>
      </c>
      <c r="AK28" cm="1">
        <f t="array" aca="1" ref="AK28" ca="1">IF( AND($D$7,NOT(ISBLANK($D28))), IF(_xll.IMDP("IR", $D28, AK$8, Matrix!$D$6)=0,"",_xll.IMDP("IR", $D28, AK$8, Matrix!$D$6)), "")</f>
        <v>3.28</v>
      </c>
      <c r="AL28" cm="1">
        <f t="array" aca="1" ref="AL28" ca="1">IF( AND($D$7,NOT(ISBLANK($D28))), IF(_xll.IMDP("IR", $D28, AL$8, Matrix!$D$6)=0,"",_xll.IMDP("IR", $D28, AL$8, Matrix!$D$6)), "")</f>
        <v>3.2869999999999999</v>
      </c>
      <c r="AM28" cm="1">
        <f t="array" aca="1" ref="AM28" ca="1">IF( AND($D$7,NOT(ISBLANK($D28))), IF(_xll.IMDP("IR", $D28, AM$8, Matrix!$D$6)=0,"",_xll.IMDP("IR", $D28, AM$8, Matrix!$D$6)), "")</f>
        <v>3.399</v>
      </c>
      <c r="AN28" cm="1">
        <f t="array" aca="1" ref="AN28" ca="1">IF( AND($D$7,NOT(ISBLANK($D28))), IF(_xll.IMDP("IR", $D28, AN$8, Matrix!$D$6)=0,"",_xll.IMDP("IR", $D28, AN$8, Matrix!$D$6)), "")</f>
        <v>3.6070000000000002</v>
      </c>
      <c r="AO28" cm="1">
        <f t="array" aca="1" ref="AO28" ca="1">IF( AND($D$7,NOT(ISBLANK($D28))), IF(_xll.IMDP("IR", $D28, AO$8, Matrix!$D$6)=0,"",_xll.IMDP("IR", $D28, AO$8, Matrix!$D$6)), "")</f>
        <v>3.8180000000000001</v>
      </c>
      <c r="AP28" cm="1">
        <f t="array" aca="1" ref="AP28" ca="1">IF( AND($D$7,NOT(ISBLANK($D28))), IF(_xll.IMDP("IR", $D28, AP$8, Matrix!$D$6)=0,"",_xll.IMDP("IR", $D28, AP$8, Matrix!$D$6)), "")</f>
        <v>3.9</v>
      </c>
      <c r="AQ28" t="str" cm="1">
        <f t="array" aca="1" ref="AQ28" ca="1">IF( AND($D$7,NOT(ISBLANK($D28))), IF(_xll.IMDP("IR", $D28, AQ$8, Matrix!$D$6)=0,"",_xll.IMDP("IR", $D28, AQ$8, Matrix!$D$6)), "")</f>
        <v/>
      </c>
      <c r="AR28" t="str" cm="1">
        <f t="array" aca="1" ref="AR28" ca="1">IF( AND($D$7,NOT(ISBLANK($D28))), IF(_xll.IMDP("IR", $D28, AR$8, Matrix!$D$6)=0,"",_xll.IMDP("IR", $D28, AR$8, Matrix!$D$6)), "")</f>
        <v/>
      </c>
      <c r="AS28" cm="1">
        <f t="array" aca="1" ref="AS28" ca="1">IF( AND($E$7,NOT(ISBLANK($E28))), IF( _xll.IMDP("IR", $E28, AS$8, Matrix!$D$6)=0,"",_xll.IMDP("IR", $E28, AS$8, Matrix!$D$6)), "")</f>
        <v>3.4550000000000001</v>
      </c>
      <c r="AT28" cm="1">
        <f t="array" aca="1" ref="AT28" ca="1">IF( AND($E$7,NOT(ISBLANK($E28))), IF( _xll.IMDP("IR", $E28, AT$8, Matrix!$D$6)=0,"",_xll.IMDP("IR", $E28, AT$8, Matrix!$D$6)), "")</f>
        <v>3.448</v>
      </c>
      <c r="AU28" cm="1">
        <f t="array" aca="1" ref="AU28" ca="1">IF( AND($E$7,NOT(ISBLANK($E28))), IF( _xll.IMDP("IR", $E28, AU$8, Matrix!$D$6)=0,"",_xll.IMDP("IR", $E28, AU$8, Matrix!$D$6)), "")</f>
        <v>3.4</v>
      </c>
      <c r="AV28" cm="1">
        <f t="array" aca="1" ref="AV28" ca="1">IF( AND($E$7,NOT(ISBLANK($E28))), IF( _xll.IMDP("IR", $E28, AV$8, Matrix!$D$6)=0,"",_xll.IMDP("IR", $E28, AV$8, Matrix!$D$6)), "")</f>
        <v>3.3719999999999999</v>
      </c>
      <c r="AW28" cm="1">
        <f t="array" aca="1" ref="AW28" ca="1">IF( AND($E$7,NOT(ISBLANK($E28))), IF( _xll.IMDP("IR", $E28, AW$8, Matrix!$D$6)=0,"",_xll.IMDP("IR", $E28, AW$8, Matrix!$D$6)), "")</f>
        <v>3.35</v>
      </c>
      <c r="AX28" cm="1">
        <f t="array" aca="1" ref="AX28" ca="1">IF( AND($E$7,NOT(ISBLANK($E28))), IF( _xll.IMDP("IR", $E28, AX$8, Matrix!$D$6)=0,"",_xll.IMDP("IR", $E28, AX$8, Matrix!$D$6)), "")</f>
        <v>3.327</v>
      </c>
      <c r="AY28" cm="1">
        <f t="array" aca="1" ref="AY28" ca="1">IF( AND($E$7,NOT(ISBLANK($E28))), IF( _xll.IMDP("IR", $E28, AY$8, Matrix!$D$6)=0,"",_xll.IMDP("IR", $E28, AY$8, Matrix!$D$6)), "")</f>
        <v>3.3159999999999998</v>
      </c>
      <c r="AZ28" cm="1">
        <f t="array" aca="1" ref="AZ28" ca="1">IF( AND($E$7,NOT(ISBLANK($E28))), IF( _xll.IMDP("IR", $E28, AZ$8, Matrix!$D$6)=0,"",_xll.IMDP("IR", $E28, AZ$8, Matrix!$D$6)), "")</f>
        <v>3.3319999999999999</v>
      </c>
      <c r="BA28" cm="1">
        <f t="array" aca="1" ref="BA28" ca="1">IF( AND($E$7,NOT(ISBLANK($E28))), IF( _xll.IMDP("IR", $E28, BA$8, Matrix!$D$6)=0,"",_xll.IMDP("IR", $E28, BA$8, Matrix!$D$6)), "")</f>
        <v>3.3029999999999999</v>
      </c>
      <c r="BB28" cm="1">
        <f t="array" aca="1" ref="BB28" ca="1">IF( AND($E$7,NOT(ISBLANK($E28))), IF( _xll.IMDP("IR", $E28, BB$8, Matrix!$D$6)=0,"",_xll.IMDP("IR", $E28, BB$8, Matrix!$D$6)), "")</f>
        <v>3.3460000000000001</v>
      </c>
      <c r="BC28" cm="1">
        <f t="array" aca="1" ref="BC28" ca="1">IF( AND($E$7,NOT(ISBLANK($E28))), IF( _xll.IMDP("IR", $E28, BC$8, Matrix!$D$6)=0,"",_xll.IMDP("IR", $E28, BC$8, Matrix!$D$6)), "")</f>
        <v>3.456</v>
      </c>
      <c r="BD28" cm="1">
        <f t="array" aca="1" ref="BD28" ca="1">IF( AND($E$7,NOT(ISBLANK($E28))), IF( _xll.IMDP("IR", $E28, BD$8, Matrix!$D$6)=0,"",_xll.IMDP("IR", $E28, BD$8, Matrix!$D$6)), "")</f>
        <v>3.6970000000000001</v>
      </c>
      <c r="BE28" cm="1">
        <f t="array" aca="1" ref="BE28" ca="1">IF( AND($E$7,NOT(ISBLANK($E28))), IF( _xll.IMDP("IR", $E28, BE$8, Matrix!$D$6)=0,"",_xll.IMDP("IR", $E28, BE$8, Matrix!$D$6)), "")</f>
        <v>3.8620000000000001</v>
      </c>
      <c r="BF28" cm="1">
        <f t="array" aca="1" ref="BF28" ca="1">IF( AND($E$7,NOT(ISBLANK($E28))), IF( _xll.IMDP("IR", $E28, BF$8, Matrix!$D$6)=0,"",_xll.IMDP("IR", $E28, BF$8, Matrix!$D$6)), "")</f>
        <v>3.96</v>
      </c>
      <c r="BG28" t="str" cm="1">
        <f t="array" aca="1" ref="BG28" ca="1">IF( AND($E$7,NOT(ISBLANK($E28))), IF( _xll.IMDP("IR", $E28, BG$8, Matrix!$D$6)=0,"",_xll.IMDP("IR", $E28, BG$8, Matrix!$D$6)), "")</f>
        <v/>
      </c>
      <c r="BH28" t="str" cm="1">
        <f t="array" aca="1" ref="BH28" ca="1">IF( AND($E$7,NOT(ISBLANK($E28))), IF( _xll.IMDP("IR", $E28, BH$8, Matrix!$D$6)=0,"",_xll.IMDP("IR", $E28, BH$8, Matrix!$D$6)), "")</f>
        <v/>
      </c>
      <c r="BI28" cm="1">
        <f t="array" aca="1" ref="BI28" ca="1">IF( AND($F$7,NOT(ISBLANK($F28))), IF( _xll.IMDP("IR", $F28, BI$8, Matrix!$D$6)=0,"",_xll.IMDP("IR", $F28, BI$8, Matrix!$D$6)), "")</f>
        <v>3.444</v>
      </c>
      <c r="BJ28" cm="1">
        <f t="array" aca="1" ref="BJ28" ca="1">IF( AND($F$7,NOT(ISBLANK($F28))), IF( _xll.IMDP("IR", $F28, BJ$8, Matrix!$D$6)=0,"",_xll.IMDP("IR", $F28, BJ$8, Matrix!$D$6)), "")</f>
        <v>3.4220000000000002</v>
      </c>
      <c r="BK28" cm="1">
        <f t="array" aca="1" ref="BK28" ca="1">IF( AND($F$7,NOT(ISBLANK($F28))), IF( _xll.IMDP("IR", $F28, BK$8, Matrix!$D$6)=0,"",_xll.IMDP("IR", $F28, BK$8, Matrix!$D$6)), "")</f>
        <v>3.3849999999999998</v>
      </c>
      <c r="BL28" cm="1">
        <f t="array" aca="1" ref="BL28" ca="1">IF( AND($F$7,NOT(ISBLANK($F28))), IF( _xll.IMDP("IR", $F28, BL$8, Matrix!$D$6)=0,"",_xll.IMDP("IR", $F28, BL$8, Matrix!$D$6)), "")</f>
        <v>3.3889999999999998</v>
      </c>
      <c r="BM28" cm="1">
        <f t="array" aca="1" ref="BM28" ca="1">IF( AND($F$7,NOT(ISBLANK($F28))), IF( _xll.IMDP("IR", $F28, BM$8, Matrix!$D$6)=0,"",_xll.IMDP("IR", $F28, BM$8, Matrix!$D$6)), "")</f>
        <v>3.379</v>
      </c>
      <c r="BN28" cm="1">
        <f t="array" aca="1" ref="BN28" ca="1">IF( AND($F$7,NOT(ISBLANK($F28))), IF( _xll.IMDP("IR", $F28, BN$8, Matrix!$D$6)=0,"",_xll.IMDP("IR", $F28, BN$8, Matrix!$D$6)), "")</f>
        <v>3.343</v>
      </c>
      <c r="BO28" cm="1">
        <f t="array" aca="1" ref="BO28" ca="1">IF( AND($F$7,NOT(ISBLANK($F28))), IF( _xll.IMDP("IR", $F28, BO$8, Matrix!$D$6)=0,"",_xll.IMDP("IR", $F28, BO$8, Matrix!$D$6)), "")</f>
        <v>3.3239999999999998</v>
      </c>
      <c r="BP28" cm="1">
        <f t="array" aca="1" ref="BP28" ca="1">IF( AND($F$7,NOT(ISBLANK($F28))), IF( _xll.IMDP("IR", $F28, BP$8, Matrix!$D$6)=0,"",_xll.IMDP("IR", $F28, BP$8, Matrix!$D$6)), "")</f>
        <v>3.294</v>
      </c>
      <c r="BQ28" cm="1">
        <f t="array" aca="1" ref="BQ28" ca="1">IF( AND($F$7,NOT(ISBLANK($F28))), IF( _xll.IMDP("IR", $F28, BQ$8, Matrix!$D$6)=0,"",_xll.IMDP("IR", $F28, BQ$8, Matrix!$D$6)), "")</f>
        <v>3.274</v>
      </c>
      <c r="BR28" cm="1">
        <f t="array" aca="1" ref="BR28" ca="1">IF( AND($F$7,NOT(ISBLANK($F28))), IF( _xll.IMDP("IR", $F28, BR$8, Matrix!$D$6)=0,"",_xll.IMDP("IR", $F28, BR$8, Matrix!$D$6)), "")</f>
        <v>3.3149999999999999</v>
      </c>
      <c r="BS28" cm="1">
        <f t="array" aca="1" ref="BS28" ca="1">IF( AND($F$7,NOT(ISBLANK($F28))), IF( _xll.IMDP("IR", $F28, BS$8, Matrix!$D$6)=0,"",_xll.IMDP("IR", $F28, BS$8, Matrix!$D$6)), "")</f>
        <v>3.4420000000000002</v>
      </c>
      <c r="BT28" cm="1">
        <f t="array" aca="1" ref="BT28" ca="1">IF( AND($F$7,NOT(ISBLANK($F28))), IF( _xll.IMDP("IR", $F28, BT$8, Matrix!$D$6)=0,"",_xll.IMDP("IR", $F28, BT$8, Matrix!$D$6)), "")</f>
        <v>3.669</v>
      </c>
      <c r="BU28" cm="1">
        <f t="array" aca="1" ref="BU28" ca="1">IF( AND($F$7,NOT(ISBLANK($F28))), IF( _xll.IMDP("IR", $F28, BU$8, Matrix!$D$6)=0,"",_xll.IMDP("IR", $F28, BU$8, Matrix!$D$6)), "")</f>
        <v>3.8319999999999999</v>
      </c>
      <c r="BV28" cm="1">
        <f t="array" aca="1" ref="BV28" ca="1">IF( AND($F$7,NOT(ISBLANK($F28))), IF( _xll.IMDP("IR", $F28, BV$8, Matrix!$D$6)=0,"",_xll.IMDP("IR", $F28, BV$8, Matrix!$D$6)), "")</f>
        <v>3.97</v>
      </c>
      <c r="BW28" t="str" cm="1">
        <f t="array" aca="1" ref="BW28" ca="1">IF( AND($F$7,NOT(ISBLANK($F28))), IF( _xll.IMDP("IR", $F28, BW$8, Matrix!$D$6)=0,"",_xll.IMDP("IR", $F28, BW$8, Matrix!$D$6)), "")</f>
        <v/>
      </c>
      <c r="BX28" t="str" cm="1">
        <f t="array" aca="1" ref="BX28" ca="1">IF( AND($F$7,NOT(ISBLANK($F28))), IF( _xll.IMDP("IR", $F28, BX$8, Matrix!$D$6)=0,"",_xll.IMDP("IR", $F28, BX$8, Matrix!$D$6)), "")</f>
        <v/>
      </c>
      <c r="BY28" cm="1">
        <f t="array" aca="1" ref="BY28" ca="1">IF( AND($G$7,NOT(ISBLANK($G28))), IF( _xll.IMDP("IR", $G28, BY$8, Matrix!$D$6)=0, "", _xll.IMDP("IR", $G28, BY$8, Matrix!$D$6)), "")</f>
        <v>3.456</v>
      </c>
      <c r="BZ28" cm="1">
        <f t="array" aca="1" ref="BZ28" ca="1">IF( AND($G$7,NOT(ISBLANK($G28))), IF( _xll.IMDP("IR", $G28, BZ$8, Matrix!$D$6)=0, "", _xll.IMDP("IR", $G28, BZ$8, Matrix!$D$6)), "")</f>
        <v>3.44</v>
      </c>
      <c r="CA28" cm="1">
        <f t="array" aca="1" ref="CA28" ca="1">IF( AND($G$7,NOT(ISBLANK($G28))), IF( _xll.IMDP("IR", $G28, CA$8, Matrix!$D$6)=0, "", _xll.IMDP("IR", $G28, CA$8, Matrix!$D$6)), "")</f>
        <v>3.391</v>
      </c>
      <c r="CB28" cm="1">
        <f t="array" aca="1" ref="CB28" ca="1">IF( AND($G$7,NOT(ISBLANK($G28))), IF( _xll.IMDP("IR", $G28, CB$8, Matrix!$D$6)=0, "", _xll.IMDP("IR", $G28, CB$8, Matrix!$D$6)), "")</f>
        <v>3.3679999999999999</v>
      </c>
      <c r="CC28" cm="1">
        <f t="array" aca="1" ref="CC28" ca="1">IF( AND($G$7,NOT(ISBLANK($G28))), IF( _xll.IMDP("IR", $G28, CC$8, Matrix!$D$6)=0, "", _xll.IMDP("IR", $G28, CC$8, Matrix!$D$6)), "")</f>
        <v>3.3530000000000002</v>
      </c>
      <c r="CD28" cm="1">
        <f t="array" aca="1" ref="CD28" ca="1">IF( AND($G$7,NOT(ISBLANK($G28))), IF( _xll.IMDP("IR", $G28, CD$8, Matrix!$D$6)=0, "", _xll.IMDP("IR", $G28, CD$8, Matrix!$D$6)), "")</f>
        <v>3.3239999999999998</v>
      </c>
      <c r="CE28" cm="1">
        <f t="array" aca="1" ref="CE28" ca="1">IF( AND($G$7,NOT(ISBLANK($G28))), IF( _xll.IMDP("IR", $G28, CE$8, Matrix!$D$6)=0, "", _xll.IMDP("IR", $G28, CE$8, Matrix!$D$6)), "")</f>
        <v>3.3079999999999998</v>
      </c>
      <c r="CF28" cm="1">
        <f t="array" aca="1" ref="CF28" ca="1">IF( AND($G$7,NOT(ISBLANK($G28))), IF( _xll.IMDP("IR", $G28, CF$8, Matrix!$D$6)=0, "", _xll.IMDP("IR", $G28, CF$8, Matrix!$D$6)), "")</f>
        <v>3.3079999999999998</v>
      </c>
      <c r="CG28" cm="1">
        <f t="array" aca="1" ref="CG28" ca="1">IF( AND($G$7,NOT(ISBLANK($G28))), IF( _xll.IMDP("IR", $G28, CG$8, Matrix!$D$6)=0, "", _xll.IMDP("IR", $G28, CG$8, Matrix!$D$6)), "")</f>
        <v>3.2970000000000002</v>
      </c>
      <c r="CH28" cm="1">
        <f t="array" aca="1" ref="CH28" ca="1">IF( AND($G$7,NOT(ISBLANK($G28))), IF( _xll.IMDP("IR", $G28, CH$8, Matrix!$D$6)=0, "", _xll.IMDP("IR", $G28, CH$8, Matrix!$D$6)), "")</f>
        <v>3.3159999999999998</v>
      </c>
      <c r="CI28" cm="1">
        <f t="array" aca="1" ref="CI28" ca="1">IF( AND($G$7,NOT(ISBLANK($G28))), IF( _xll.IMDP("IR", $G28, CI$8, Matrix!$D$6)=0, "", _xll.IMDP("IR", $G28, CI$8, Matrix!$D$6)), "")</f>
        <v>3.4590000000000001</v>
      </c>
      <c r="CJ28" cm="1">
        <f t="array" aca="1" ref="CJ28" ca="1">IF( AND($G$7,NOT(ISBLANK($G28))), IF( _xll.IMDP("IR", $G28, CJ$8, Matrix!$D$6)=0, "", _xll.IMDP("IR", $G28, CJ$8, Matrix!$D$6)), "")</f>
        <v>3.6659999999999999</v>
      </c>
      <c r="CK28" cm="1">
        <f t="array" aca="1" ref="CK28" ca="1">IF( AND($G$7,NOT(ISBLANK($G28))), IF( _xll.IMDP("IR", $G28, CK$8, Matrix!$D$6)=0, "", _xll.IMDP("IR", $G28, CK$8, Matrix!$D$6)), "")</f>
        <v>3.8410000000000002</v>
      </c>
      <c r="CL28" cm="1">
        <f t="array" aca="1" ref="CL28" ca="1">IF( AND($G$7,NOT(ISBLANK($G28))), IF( _xll.IMDP("IR", $G28, CL$8, Matrix!$D$6)=0, "", _xll.IMDP("IR", $G28, CL$8, Matrix!$D$6)), "")</f>
        <v>3.9540000000000002</v>
      </c>
      <c r="CM28" t="str" cm="1">
        <f t="array" aca="1" ref="CM28" ca="1">IF( AND($G$7,NOT(ISBLANK($G28))), IF( _xll.IMDP("IR", $G28, CM$8, Matrix!$D$6)=0, "", _xll.IMDP("IR", $G28, CM$8, Matrix!$D$6)), "")</f>
        <v/>
      </c>
      <c r="CN28" t="str" cm="1">
        <f t="array" aca="1" ref="CN28" ca="1">IF( AND($G$7,NOT(ISBLANK($G28))), IF( _xll.IMDP("IR", $G28, CN$8, Matrix!$D$6)=0, "", _xll.IMDP("IR", $G28, CN$8, Matrix!$D$6)), "")</f>
        <v/>
      </c>
      <c r="CO28" t="str" cm="1">
        <f t="array" ref="CO28">IF( AND($H$7,NOT(ISBLANK($H28))), IF( _xll.IMDP("IR", $H28, CO$8, Matrix!$D$6)=0, "", _xll.IMDP("IR", $H28, CO$8, Matrix!$D$6)), "")</f>
        <v/>
      </c>
      <c r="CP28" t="str" cm="1">
        <f t="array" ref="CP28">IF( AND($H$7,NOT(ISBLANK($H28))), IF( _xll.IMDP("IR", $H28, CP$8, Matrix!$D$6)=0, "", _xll.IMDP("IR", $H28, CP$8, Matrix!$D$6)), "")</f>
        <v/>
      </c>
      <c r="CQ28" t="str" cm="1">
        <f t="array" ref="CQ28">IF( AND($H$7,NOT(ISBLANK($H28))), IF( _xll.IMDP("IR", $H28, CQ$8, Matrix!$D$6)=0, "", _xll.IMDP("IR", $H28, CQ$8, Matrix!$D$6)), "")</f>
        <v/>
      </c>
      <c r="CR28" t="str" cm="1">
        <f t="array" ref="CR28">IF( AND($H$7,NOT(ISBLANK($H28))), IF( _xll.IMDP("IR", $H28, CR$8, Matrix!$D$6)=0, "", _xll.IMDP("IR", $H28, CR$8, Matrix!$D$6)), "")</f>
        <v/>
      </c>
      <c r="CS28" t="str" cm="1">
        <f t="array" ref="CS28">IF( AND($H$7,NOT(ISBLANK($H28))), IF( _xll.IMDP("IR", $H28, CS$8, Matrix!$D$6)=0, "", _xll.IMDP("IR", $H28, CS$8, Matrix!$D$6)), "")</f>
        <v/>
      </c>
      <c r="CT28" t="str" cm="1">
        <f t="array" ref="CT28">IF( AND($H$7,NOT(ISBLANK($H28))), IF( _xll.IMDP("IR", $H28, CT$8, Matrix!$D$6)=0, "", _xll.IMDP("IR", $H28, CT$8, Matrix!$D$6)), "")</f>
        <v/>
      </c>
      <c r="CU28" t="str" cm="1">
        <f t="array" ref="CU28">IF( AND($H$7,NOT(ISBLANK($H28))), IF( _xll.IMDP("IR", $H28, CU$8, Matrix!$D$6)=0, "", _xll.IMDP("IR", $H28, CU$8, Matrix!$D$6)), "")</f>
        <v/>
      </c>
      <c r="CV28" t="str" cm="1">
        <f t="array" ref="CV28">IF( AND($H$7,NOT(ISBLANK($H28))), IF( _xll.IMDP("IR", $H28, CV$8, Matrix!$D$6)=0, "", _xll.IMDP("IR", $H28, CV$8, Matrix!$D$6)), "")</f>
        <v/>
      </c>
      <c r="CW28" t="str" cm="1">
        <f t="array" ref="CW28">IF( AND($H$7,NOT(ISBLANK($H28))), IF( _xll.IMDP("IR", $H28, CW$8, Matrix!$D$6)=0, "", _xll.IMDP("IR", $H28, CW$8, Matrix!$D$6)), "")</f>
        <v/>
      </c>
      <c r="CX28" t="str" cm="1">
        <f t="array" ref="CX28">IF( AND($H$7,NOT(ISBLANK($H28))), IF( _xll.IMDP("IR", $H28, CX$8, Matrix!$D$6)=0, "", _xll.IMDP("IR", $H28, CX$8, Matrix!$D$6)), "")</f>
        <v/>
      </c>
      <c r="CY28" t="str" cm="1">
        <f t="array" ref="CY28">IF( AND($H$7,NOT(ISBLANK($H28))), IF( _xll.IMDP("IR", $H28, CY$8, Matrix!$D$6)=0, "", _xll.IMDP("IR", $H28, CY$8, Matrix!$D$6)), "")</f>
        <v/>
      </c>
      <c r="CZ28" t="str" cm="1">
        <f t="array" ref="CZ28">IF( AND($H$7,NOT(ISBLANK($H28))), IF( _xll.IMDP("IR", $H28, CZ$8, Matrix!$D$6)=0, "", _xll.IMDP("IR", $H28, CZ$8, Matrix!$D$6)), "")</f>
        <v/>
      </c>
      <c r="DA28" t="str" cm="1">
        <f t="array" ref="DA28">IF( AND($H$7,NOT(ISBLANK($H28))), IF( _xll.IMDP("IR", $H28, DA$8, Matrix!$D$6)=0, "", _xll.IMDP("IR", $H28, DA$8, Matrix!$D$6)), "")</f>
        <v/>
      </c>
      <c r="DB28" t="str" cm="1">
        <f t="array" ref="DB28">IF( AND($H$7,NOT(ISBLANK($H28))), IF( _xll.IMDP("IR", $H28, DB$8, Matrix!$D$6)=0, "", _xll.IMDP("IR", $H28, DB$8, Matrix!$D$6)), "")</f>
        <v/>
      </c>
      <c r="DC28" t="str" cm="1">
        <f t="array" ref="DC28">IF( AND($H$7,NOT(ISBLANK($H28))), IF( _xll.IMDP("IR", $H28, DC$8, Matrix!$D$6)=0, "", _xll.IMDP("IR", $H28, DC$8, Matrix!$D$6)), "")</f>
        <v/>
      </c>
      <c r="DD28" t="str" cm="1">
        <f t="array" ref="DD28">IF( AND($H$7,NOT(ISBLANK($H28))), IF( _xll.IMDP("IR", $H28, DD$8, Matrix!$D$6)=0, "", _xll.IMDP("IR", $H28, DD$8, Matrix!$D$6)), "")</f>
        <v/>
      </c>
    </row>
    <row r="29" spans="2:108">
      <c r="B29" t="s">
        <v>97</v>
      </c>
      <c r="C29" t="s">
        <v>171</v>
      </c>
      <c r="D29" t="s">
        <v>248</v>
      </c>
      <c r="E29" t="s">
        <v>308</v>
      </c>
      <c r="F29" t="s">
        <v>371</v>
      </c>
      <c r="G29" t="s">
        <v>437</v>
      </c>
      <c r="H29" t="s">
        <v>498</v>
      </c>
      <c r="M29" s="21">
        <f t="shared" ca="1" si="1"/>
        <v>3.624994754495376</v>
      </c>
      <c r="N29" s="21">
        <f t="shared" ca="1" si="2"/>
        <v>3.6185957102095085</v>
      </c>
      <c r="O29" s="21">
        <f t="shared" ca="1" si="3"/>
        <v>3.5649954575127447</v>
      </c>
      <c r="P29" s="21">
        <f t="shared" ca="1" si="4"/>
        <v>3.5583852482339173</v>
      </c>
      <c r="Q29" s="21">
        <f t="shared" ca="1" si="5"/>
        <v>3.5525940634004769</v>
      </c>
      <c r="R29" s="21">
        <f t="shared" ca="1" si="6"/>
        <v>3.5485775653340976</v>
      </c>
      <c r="S29" s="21">
        <f t="shared" ca="1" si="7"/>
        <v>3.5555854193427625</v>
      </c>
      <c r="T29" s="21">
        <f t="shared" ca="1" si="8"/>
        <v>3.5529870702167394</v>
      </c>
      <c r="U29" s="21">
        <f t="shared" ca="1" si="9"/>
        <v>3.5535959732328766</v>
      </c>
      <c r="V29" s="21">
        <f t="shared" ca="1" si="10"/>
        <v>3.5869986060770431</v>
      </c>
      <c r="W29" s="21">
        <f t="shared" ca="1" si="11"/>
        <v>3.7389855070649545</v>
      </c>
      <c r="X29" s="21">
        <f t="shared" ca="1" si="12"/>
        <v>4.0028807271768576</v>
      </c>
      <c r="Y29" s="21">
        <f t="shared" ca="1" si="13"/>
        <v>4.1822039530172228</v>
      </c>
      <c r="Z29" s="21">
        <f t="shared" ca="1" si="14"/>
        <v>4.3035496702653857</v>
      </c>
      <c r="AA29" s="21" t="e">
        <f t="shared" ca="1" si="15"/>
        <v>#NUM!</v>
      </c>
      <c r="AB29" s="21" t="e">
        <f t="shared" ca="1" si="16"/>
        <v>#NUM!</v>
      </c>
      <c r="AC29" cm="1">
        <f t="array" aca="1" ref="AC29" ca="1">IF( AND($D$7,NOT(ISBLANK($D29))), IF(_xll.IMDP("IR", $D29, AC$8, Matrix!$D$6)=0,"",_xll.IMDP("IR", $D29, AC$8, Matrix!$D$6)), "")</f>
        <v>3.6269999999999998</v>
      </c>
      <c r="AD29" cm="1">
        <f t="array" aca="1" ref="AD29" ca="1">IF( AND($D$7,NOT(ISBLANK($D29))), IF(_xll.IMDP("IR", $D29, AD$8, Matrix!$D$6)=0,"",_xll.IMDP("IR", $D29, AD$8, Matrix!$D$6)), "")</f>
        <v>3.6230000000000002</v>
      </c>
      <c r="AE29" cm="1">
        <f t="array" aca="1" ref="AE29" ca="1">IF( AND($D$7,NOT(ISBLANK($D29))), IF(_xll.IMDP("IR", $D29, AE$8, Matrix!$D$6)=0,"",_xll.IMDP("IR", $D29, AE$8, Matrix!$D$6)), "")</f>
        <v>3.5590000000000002</v>
      </c>
      <c r="AF29" cm="1">
        <f t="array" aca="1" ref="AF29" ca="1">IF( AND($D$7,NOT(ISBLANK($D29))), IF(_xll.IMDP("IR", $D29, AF$8, Matrix!$D$6)=0,"",_xll.IMDP("IR", $D29, AF$8, Matrix!$D$6)), "")</f>
        <v>3.544</v>
      </c>
      <c r="AG29" cm="1">
        <f t="array" aca="1" ref="AG29" ca="1">IF( AND($D$7,NOT(ISBLANK($D29))), IF(_xll.IMDP("IR", $D29, AG$8, Matrix!$D$6)=0,"",_xll.IMDP("IR", $D29, AG$8, Matrix!$D$6)), "")</f>
        <v>3.55</v>
      </c>
      <c r="AH29" cm="1">
        <f t="array" aca="1" ref="AH29" ca="1">IF( AND($D$7,NOT(ISBLANK($D29))), IF(_xll.IMDP("IR", $D29, AH$8, Matrix!$D$6)=0,"",_xll.IMDP("IR", $D29, AH$8, Matrix!$D$6)), "")</f>
        <v>3.5369999999999999</v>
      </c>
      <c r="AI29" cm="1">
        <f t="array" aca="1" ref="AI29" ca="1">IF( AND($D$7,NOT(ISBLANK($D29))), IF(_xll.IMDP("IR", $D29, AI$8, Matrix!$D$6)=0,"",_xll.IMDP("IR", $D29, AI$8, Matrix!$D$6)), "")</f>
        <v>3.5430000000000001</v>
      </c>
      <c r="AJ29" cm="1">
        <f t="array" aca="1" ref="AJ29" ca="1">IF( AND($D$7,NOT(ISBLANK($D29))), IF(_xll.IMDP("IR", $D29, AJ$8, Matrix!$D$6)=0,"",_xll.IMDP("IR", $D29, AJ$8, Matrix!$D$6)), "")</f>
        <v>3.5419999999999998</v>
      </c>
      <c r="AK29" cm="1">
        <f t="array" aca="1" ref="AK29" ca="1">IF( AND($D$7,NOT(ISBLANK($D29))), IF(_xll.IMDP("IR", $D29, AK$8, Matrix!$D$6)=0,"",_xll.IMDP("IR", $D29, AK$8, Matrix!$D$6)), "")</f>
        <v>3.548</v>
      </c>
      <c r="AL29" cm="1">
        <f t="array" aca="1" ref="AL29" ca="1">IF( AND($D$7,NOT(ISBLANK($D29))), IF(_xll.IMDP("IR", $D29, AL$8, Matrix!$D$6)=0,"",_xll.IMDP("IR", $D29, AL$8, Matrix!$D$6)), "")</f>
        <v>3.5830000000000002</v>
      </c>
      <c r="AM29" cm="1">
        <f t="array" aca="1" ref="AM29" ca="1">IF( AND($D$7,NOT(ISBLANK($D29))), IF(_xll.IMDP("IR", $D29, AM$8, Matrix!$D$6)=0,"",_xll.IMDP("IR", $D29, AM$8, Matrix!$D$6)), "")</f>
        <v>3.7240000000000002</v>
      </c>
      <c r="AN29" cm="1">
        <f t="array" aca="1" ref="AN29" ca="1">IF( AND($D$7,NOT(ISBLANK($D29))), IF(_xll.IMDP("IR", $D29, AN$8, Matrix!$D$6)=0,"",_xll.IMDP("IR", $D29, AN$8, Matrix!$D$6)), "")</f>
        <v>3.9510000000000001</v>
      </c>
      <c r="AO29" cm="1">
        <f t="array" aca="1" ref="AO29" ca="1">IF( AND($D$7,NOT(ISBLANK($D29))), IF(_xll.IMDP("IR", $D29, AO$8, Matrix!$D$6)=0,"",_xll.IMDP("IR", $D29, AO$8, Matrix!$D$6)), "")</f>
        <v>4.1879999999999997</v>
      </c>
      <c r="AP29" cm="1">
        <f t="array" aca="1" ref="AP29" ca="1">IF( AND($D$7,NOT(ISBLANK($D29))), IF(_xll.IMDP("IR", $D29, AP$8, Matrix!$D$6)=0,"",_xll.IMDP("IR", $D29, AP$8, Matrix!$D$6)), "")</f>
        <v>4.2789999999999999</v>
      </c>
      <c r="AQ29" t="str" cm="1">
        <f t="array" aca="1" ref="AQ29" ca="1">IF( AND($D$7,NOT(ISBLANK($D29))), IF(_xll.IMDP("IR", $D29, AQ$8, Matrix!$D$6)=0,"",_xll.IMDP("IR", $D29, AQ$8, Matrix!$D$6)), "")</f>
        <v/>
      </c>
      <c r="AR29" t="str" cm="1">
        <f t="array" aca="1" ref="AR29" ca="1">IF( AND($D$7,NOT(ISBLANK($D29))), IF(_xll.IMDP("IR", $D29, AR$8, Matrix!$D$6)=0,"",_xll.IMDP("IR", $D29, AR$8, Matrix!$D$6)), "")</f>
        <v/>
      </c>
      <c r="AS29" cm="1">
        <f t="array" aca="1" ref="AS29" ca="1">IF( AND($E$7,NOT(ISBLANK($E29))), IF( _xll.IMDP("IR", $E29, AS$8, Matrix!$D$6)=0,"",_xll.IMDP("IR", $E29, AS$8, Matrix!$D$6)), "")</f>
        <v>3.6139999999999999</v>
      </c>
      <c r="AT29" cm="1">
        <f t="array" aca="1" ref="AT29" ca="1">IF( AND($E$7,NOT(ISBLANK($E29))), IF( _xll.IMDP("IR", $E29, AT$8, Matrix!$D$6)=0,"",_xll.IMDP("IR", $E29, AT$8, Matrix!$D$6)), "")</f>
        <v>3.6160000000000001</v>
      </c>
      <c r="AU29" cm="1">
        <f t="array" aca="1" ref="AU29" ca="1">IF( AND($E$7,NOT(ISBLANK($E29))), IF( _xll.IMDP("IR", $E29, AU$8, Matrix!$D$6)=0,"",_xll.IMDP("IR", $E29, AU$8, Matrix!$D$6)), "")</f>
        <v>3.5680000000000001</v>
      </c>
      <c r="AV29" cm="1">
        <f t="array" aca="1" ref="AV29" ca="1">IF( AND($E$7,NOT(ISBLANK($E29))), IF( _xll.IMDP("IR", $E29, AV$8, Matrix!$D$6)=0,"",_xll.IMDP("IR", $E29, AV$8, Matrix!$D$6)), "")</f>
        <v>3.5619999999999998</v>
      </c>
      <c r="AW29" cm="1">
        <f t="array" aca="1" ref="AW29" ca="1">IF( AND($E$7,NOT(ISBLANK($E29))), IF( _xll.IMDP("IR", $E29, AW$8, Matrix!$D$6)=0,"",_xll.IMDP("IR", $E29, AW$8, Matrix!$D$6)), "")</f>
        <v>3.55</v>
      </c>
      <c r="AX29" cm="1">
        <f t="array" aca="1" ref="AX29" ca="1">IF( AND($E$7,NOT(ISBLANK($E29))), IF( _xll.IMDP("IR", $E29, AX$8, Matrix!$D$6)=0,"",_xll.IMDP("IR", $E29, AX$8, Matrix!$D$6)), "")</f>
        <v>3.5529999999999999</v>
      </c>
      <c r="AY29" cm="1">
        <f t="array" aca="1" ref="AY29" ca="1">IF( AND($E$7,NOT(ISBLANK($E29))), IF( _xll.IMDP("IR", $E29, AY$8, Matrix!$D$6)=0,"",_xll.IMDP("IR", $E29, AY$8, Matrix!$D$6)), "")</f>
        <v>3.5739999999999998</v>
      </c>
      <c r="AZ29" cm="1">
        <f t="array" aca="1" ref="AZ29" ca="1">IF( AND($E$7,NOT(ISBLANK($E29))), IF( _xll.IMDP("IR", $E29, AZ$8, Matrix!$D$6)=0,"",_xll.IMDP("IR", $E29, AZ$8, Matrix!$D$6)), "")</f>
        <v>3.57</v>
      </c>
      <c r="BA29" cm="1">
        <f t="array" aca="1" ref="BA29" ca="1">IF( AND($E$7,NOT(ISBLANK($E29))), IF( _xll.IMDP("IR", $E29, BA$8, Matrix!$D$6)=0,"",_xll.IMDP("IR", $E29, BA$8, Matrix!$D$6)), "")</f>
        <v>3.5489999999999999</v>
      </c>
      <c r="BB29" cm="1">
        <f t="array" aca="1" ref="BB29" ca="1">IF( AND($E$7,NOT(ISBLANK($E29))), IF( _xll.IMDP("IR", $E29, BB$8, Matrix!$D$6)=0,"",_xll.IMDP("IR", $E29, BB$8, Matrix!$D$6)), "")</f>
        <v>3.5910000000000002</v>
      </c>
      <c r="BC29" cm="1">
        <f t="array" aca="1" ref="BC29" ca="1">IF( AND($E$7,NOT(ISBLANK($E29))), IF( _xll.IMDP("IR", $E29, BC$8, Matrix!$D$6)=0,"",_xll.IMDP("IR", $E29, BC$8, Matrix!$D$6)), "")</f>
        <v>3.7330000000000001</v>
      </c>
      <c r="BD29" cm="1">
        <f t="array" aca="1" ref="BD29" ca="1">IF( AND($E$7,NOT(ISBLANK($E29))), IF( _xll.IMDP("IR", $E29, BD$8, Matrix!$D$6)=0,"",_xll.IMDP("IR", $E29, BD$8, Matrix!$D$6)), "")</f>
        <v>4.048</v>
      </c>
      <c r="BE29" cm="1">
        <f t="array" aca="1" ref="BE29" ca="1">IF( AND($E$7,NOT(ISBLANK($E29))), IF( _xll.IMDP("IR", $E29, BE$8, Matrix!$D$6)=0,"",_xll.IMDP("IR", $E29, BE$8, Matrix!$D$6)), "")</f>
        <v>4.1879999999999997</v>
      </c>
      <c r="BF29" cm="1">
        <f t="array" aca="1" ref="BF29" ca="1">IF( AND($E$7,NOT(ISBLANK($E29))), IF( _xll.IMDP("IR", $E29, BF$8, Matrix!$D$6)=0,"",_xll.IMDP("IR", $E29, BF$8, Matrix!$D$6)), "")</f>
        <v>4.2859999999999996</v>
      </c>
      <c r="BG29" t="str" cm="1">
        <f t="array" aca="1" ref="BG29" ca="1">IF( AND($E$7,NOT(ISBLANK($E29))), IF( _xll.IMDP("IR", $E29, BG$8, Matrix!$D$6)=0,"",_xll.IMDP("IR", $E29, BG$8, Matrix!$D$6)), "")</f>
        <v/>
      </c>
      <c r="BH29" t="str" cm="1">
        <f t="array" aca="1" ref="BH29" ca="1">IF( AND($E$7,NOT(ISBLANK($E29))), IF( _xll.IMDP("IR", $E29, BH$8, Matrix!$D$6)=0,"",_xll.IMDP("IR", $E29, BH$8, Matrix!$D$6)), "")</f>
        <v/>
      </c>
      <c r="BI29" cm="1">
        <f t="array" aca="1" ref="BI29" ca="1">IF( AND($F$7,NOT(ISBLANK($F29))), IF( _xll.IMDP("IR", $F29, BI$8, Matrix!$D$6)=0,"",_xll.IMDP("IR", $F29, BI$8, Matrix!$D$6)), "")</f>
        <v>3.633</v>
      </c>
      <c r="BJ29" cm="1">
        <f t="array" aca="1" ref="BJ29" ca="1">IF( AND($F$7,NOT(ISBLANK($F29))), IF( _xll.IMDP("IR", $F29, BJ$8, Matrix!$D$6)=0,"",_xll.IMDP("IR", $F29, BJ$8, Matrix!$D$6)), "")</f>
        <v>3.6259999999999999</v>
      </c>
      <c r="BK29" cm="1">
        <f t="array" aca="1" ref="BK29" ca="1">IF( AND($F$7,NOT(ISBLANK($F29))), IF( _xll.IMDP("IR", $F29, BK$8, Matrix!$D$6)=0,"",_xll.IMDP("IR", $F29, BK$8, Matrix!$D$6)), "")</f>
        <v>3.5739999999999998</v>
      </c>
      <c r="BL29" cm="1">
        <f t="array" aca="1" ref="BL29" ca="1">IF( AND($F$7,NOT(ISBLANK($F29))), IF( _xll.IMDP("IR", $F29, BL$8, Matrix!$D$6)=0,"",_xll.IMDP("IR", $F29, BL$8, Matrix!$D$6)), "")</f>
        <v>3.5750000000000002</v>
      </c>
      <c r="BM29" cm="1">
        <f t="array" aca="1" ref="BM29" ca="1">IF( AND($F$7,NOT(ISBLANK($F29))), IF( _xll.IMDP("IR", $F29, BM$8, Matrix!$D$6)=0,"",_xll.IMDP("IR", $F29, BM$8, Matrix!$D$6)), "")</f>
        <v>3.5649999999999999</v>
      </c>
      <c r="BN29" cm="1">
        <f t="array" aca="1" ref="BN29" ca="1">IF( AND($F$7,NOT(ISBLANK($F29))), IF( _xll.IMDP("IR", $F29, BN$8, Matrix!$D$6)=0,"",_xll.IMDP("IR", $F29, BN$8, Matrix!$D$6)), "")</f>
        <v>3.57</v>
      </c>
      <c r="BO29" cm="1">
        <f t="array" aca="1" ref="BO29" ca="1">IF( AND($F$7,NOT(ISBLANK($F29))), IF( _xll.IMDP("IR", $F29, BO$8, Matrix!$D$6)=0,"",_xll.IMDP("IR", $F29, BO$8, Matrix!$D$6)), "")</f>
        <v>3.5550000000000002</v>
      </c>
      <c r="BP29" cm="1">
        <f t="array" aca="1" ref="BP29" ca="1">IF( AND($F$7,NOT(ISBLANK($F29))), IF( _xll.IMDP("IR", $F29, BP$8, Matrix!$D$6)=0,"",_xll.IMDP("IR", $F29, BP$8, Matrix!$D$6)), "")</f>
        <v>3.5459999999999998</v>
      </c>
      <c r="BQ29" cm="1">
        <f t="array" aca="1" ref="BQ29" ca="1">IF( AND($F$7,NOT(ISBLANK($F29))), IF( _xll.IMDP("IR", $F29, BQ$8, Matrix!$D$6)=0,"",_xll.IMDP("IR", $F29, BQ$8, Matrix!$D$6)), "")</f>
        <v>3.5550000000000002</v>
      </c>
      <c r="BR29" cm="1">
        <f t="array" aca="1" ref="BR29" ca="1">IF( AND($F$7,NOT(ISBLANK($F29))), IF( _xll.IMDP("IR", $F29, BR$8, Matrix!$D$6)=0,"",_xll.IMDP("IR", $F29, BR$8, Matrix!$D$6)), "")</f>
        <v>3.5840000000000001</v>
      </c>
      <c r="BS29" cm="1">
        <f t="array" aca="1" ref="BS29" ca="1">IF( AND($F$7,NOT(ISBLANK($F29))), IF( _xll.IMDP("IR", $F29, BS$8, Matrix!$D$6)=0,"",_xll.IMDP("IR", $F29, BS$8, Matrix!$D$6)), "")</f>
        <v>3.7440000000000002</v>
      </c>
      <c r="BT29" cm="1">
        <f t="array" aca="1" ref="BT29" ca="1">IF( AND($F$7,NOT(ISBLANK($F29))), IF( _xll.IMDP("IR", $F29, BT$8, Matrix!$D$6)=0,"",_xll.IMDP("IR", $F29, BT$8, Matrix!$D$6)), "")</f>
        <v>4.0090000000000003</v>
      </c>
      <c r="BU29" cm="1">
        <f t="array" aca="1" ref="BU29" ca="1">IF( AND($F$7,NOT(ISBLANK($F29))), IF( _xll.IMDP("IR", $F29, BU$8, Matrix!$D$6)=0,"",_xll.IMDP("IR", $F29, BU$8, Matrix!$D$6)), "")</f>
        <v>4.1500000000000004</v>
      </c>
      <c r="BV29" cm="1">
        <f t="array" aca="1" ref="BV29" ca="1">IF( AND($F$7,NOT(ISBLANK($F29))), IF( _xll.IMDP("IR", $F29, BV$8, Matrix!$D$6)=0,"",_xll.IMDP("IR", $F29, BV$8, Matrix!$D$6)), "")</f>
        <v>4.3380000000000001</v>
      </c>
      <c r="BW29" t="str" cm="1">
        <f t="array" aca="1" ref="BW29" ca="1">IF( AND($F$7,NOT(ISBLANK($F29))), IF( _xll.IMDP("IR", $F29, BW$8, Matrix!$D$6)=0,"",_xll.IMDP("IR", $F29, BW$8, Matrix!$D$6)), "")</f>
        <v/>
      </c>
      <c r="BX29" t="str" cm="1">
        <f t="array" aca="1" ref="BX29" ca="1">IF( AND($F$7,NOT(ISBLANK($F29))), IF( _xll.IMDP("IR", $F29, BX$8, Matrix!$D$6)=0,"",_xll.IMDP("IR", $F29, BX$8, Matrix!$D$6)), "")</f>
        <v/>
      </c>
      <c r="BY29" cm="1">
        <f t="array" aca="1" ref="BY29" ca="1">IF( AND($G$7,NOT(ISBLANK($G29))), IF( _xll.IMDP("IR", $G29, BY$8, Matrix!$D$6)=0, "", _xll.IMDP("IR", $G29, BY$8, Matrix!$D$6)), "")</f>
        <v>3.6259999999999999</v>
      </c>
      <c r="BZ29" cm="1">
        <f t="array" aca="1" ref="BZ29" ca="1">IF( AND($G$7,NOT(ISBLANK($G29))), IF( _xll.IMDP("IR", $G29, BZ$8, Matrix!$D$6)=0, "", _xll.IMDP("IR", $G29, BZ$8, Matrix!$D$6)), "")</f>
        <v>3.61</v>
      </c>
      <c r="CA29" cm="1">
        <f t="array" aca="1" ref="CA29" ca="1">IF( AND($G$7,NOT(ISBLANK($G29))), IF( _xll.IMDP("IR", $G29, CA$8, Matrix!$D$6)=0, "", _xll.IMDP("IR", $G29, CA$8, Matrix!$D$6)), "")</f>
        <v>3.5590000000000002</v>
      </c>
      <c r="CB29" cm="1">
        <f t="array" aca="1" ref="CB29" ca="1">IF( AND($G$7,NOT(ISBLANK($G29))), IF( _xll.IMDP("IR", $G29, CB$8, Matrix!$D$6)=0, "", _xll.IMDP("IR", $G29, CB$8, Matrix!$D$6)), "")</f>
        <v>3.5529999999999999</v>
      </c>
      <c r="CC29" cm="1">
        <f t="array" aca="1" ref="CC29" ca="1">IF( AND($G$7,NOT(ISBLANK($G29))), IF( _xll.IMDP("IR", $G29, CC$8, Matrix!$D$6)=0, "", _xll.IMDP("IR", $G29, CC$8, Matrix!$D$6)), "")</f>
        <v>3.5459999999999998</v>
      </c>
      <c r="CD29" cm="1">
        <f t="array" aca="1" ref="CD29" ca="1">IF( AND($G$7,NOT(ISBLANK($G29))), IF( _xll.IMDP("IR", $G29, CD$8, Matrix!$D$6)=0, "", _xll.IMDP("IR", $G29, CD$8, Matrix!$D$6)), "")</f>
        <v>3.5350000000000001</v>
      </c>
      <c r="CE29" cm="1">
        <f t="array" aca="1" ref="CE29" ca="1">IF( AND($G$7,NOT(ISBLANK($G29))), IF( _xll.IMDP("IR", $G29, CE$8, Matrix!$D$6)=0, "", _xll.IMDP("IR", $G29, CE$8, Matrix!$D$6)), "")</f>
        <v>3.5510000000000002</v>
      </c>
      <c r="CF29" cm="1">
        <f t="array" aca="1" ref="CF29" ca="1">IF( AND($G$7,NOT(ISBLANK($G29))), IF( _xll.IMDP("IR", $G29, CF$8, Matrix!$D$6)=0, "", _xll.IMDP("IR", $G29, CF$8, Matrix!$D$6)), "")</f>
        <v>3.5539999999999998</v>
      </c>
      <c r="CG29" cm="1">
        <f t="array" aca="1" ref="CG29" ca="1">IF( AND($G$7,NOT(ISBLANK($G29))), IF( _xll.IMDP("IR", $G29, CG$8, Matrix!$D$6)=0, "", _xll.IMDP("IR", $G29, CG$8, Matrix!$D$6)), "")</f>
        <v>3.5630000000000002</v>
      </c>
      <c r="CH29" cm="1">
        <f t="array" aca="1" ref="CH29" ca="1">IF( AND($G$7,NOT(ISBLANK($G29))), IF( _xll.IMDP("IR", $G29, CH$8, Matrix!$D$6)=0, "", _xll.IMDP("IR", $G29, CH$8, Matrix!$D$6)), "")</f>
        <v>3.59</v>
      </c>
      <c r="CI29" cm="1">
        <f t="array" aca="1" ref="CI29" ca="1">IF( AND($G$7,NOT(ISBLANK($G29))), IF( _xll.IMDP("IR", $G29, CI$8, Matrix!$D$6)=0, "", _xll.IMDP("IR", $G29, CI$8, Matrix!$D$6)), "")</f>
        <v>3.7549999999999999</v>
      </c>
      <c r="CJ29" cm="1">
        <f t="array" aca="1" ref="CJ29" ca="1">IF( AND($G$7,NOT(ISBLANK($G29))), IF( _xll.IMDP("IR", $G29, CJ$8, Matrix!$D$6)=0, "", _xll.IMDP("IR", $G29, CJ$8, Matrix!$D$6)), "")</f>
        <v>4.0039999999999996</v>
      </c>
      <c r="CK29" cm="1">
        <f t="array" aca="1" ref="CK29" ca="1">IF( AND($G$7,NOT(ISBLANK($G29))), IF( _xll.IMDP("IR", $G29, CK$8, Matrix!$D$6)=0, "", _xll.IMDP("IR", $G29, CK$8, Matrix!$D$6)), "")</f>
        <v>4.2030000000000003</v>
      </c>
      <c r="CL29" cm="1">
        <f t="array" aca="1" ref="CL29" ca="1">IF( AND($G$7,NOT(ISBLANK($G29))), IF( _xll.IMDP("IR", $G29, CL$8, Matrix!$D$6)=0, "", _xll.IMDP("IR", $G29, CL$8, Matrix!$D$6)), "")</f>
        <v>4.3120000000000003</v>
      </c>
      <c r="CM29" t="str" cm="1">
        <f t="array" aca="1" ref="CM29" ca="1">IF( AND($G$7,NOT(ISBLANK($G29))), IF( _xll.IMDP("IR", $G29, CM$8, Matrix!$D$6)=0, "", _xll.IMDP("IR", $G29, CM$8, Matrix!$D$6)), "")</f>
        <v/>
      </c>
      <c r="CN29" t="str" cm="1">
        <f t="array" aca="1" ref="CN29" ca="1">IF( AND($G$7,NOT(ISBLANK($G29))), IF( _xll.IMDP("IR", $G29, CN$8, Matrix!$D$6)=0, "", _xll.IMDP("IR", $G29, CN$8, Matrix!$D$6)), "")</f>
        <v/>
      </c>
      <c r="CO29" cm="1">
        <f t="array" aca="1" ref="CO29" ca="1">IF( AND($H$7,NOT(ISBLANK($H29))), IF( _xll.IMDP("IR", $H29, CO$8, Matrix!$D$6)=0, "", _xll.IMDP("IR", $H29, CO$8, Matrix!$D$6)), "")</f>
        <v>3.625</v>
      </c>
      <c r="CP29" cm="1">
        <f t="array" aca="1" ref="CP29" ca="1">IF( AND($H$7,NOT(ISBLANK($H29))), IF( _xll.IMDP("IR", $H29, CP$8, Matrix!$D$6)=0, "", _xll.IMDP("IR", $H29, CP$8, Matrix!$D$6)), "")</f>
        <v>3.6179999999999999</v>
      </c>
      <c r="CQ29" cm="1">
        <f t="array" aca="1" ref="CQ29" ca="1">IF( AND($H$7,NOT(ISBLANK($H29))), IF( _xll.IMDP("IR", $H29, CQ$8, Matrix!$D$6)=0, "", _xll.IMDP("IR", $H29, CQ$8, Matrix!$D$6)), "")</f>
        <v>3.5649999999999999</v>
      </c>
      <c r="CR29" cm="1">
        <f t="array" aca="1" ref="CR29" ca="1">IF( AND($H$7,NOT(ISBLANK($H29))), IF( _xll.IMDP("IR", $H29, CR$8, Matrix!$D$6)=0, "", _xll.IMDP("IR", $H29, CR$8, Matrix!$D$6)), "")</f>
        <v>3.5579999999999998</v>
      </c>
      <c r="CS29" cm="1">
        <f t="array" aca="1" ref="CS29" ca="1">IF( AND($H$7,NOT(ISBLANK($H29))), IF( _xll.IMDP("IR", $H29, CS$8, Matrix!$D$6)=0, "", _xll.IMDP("IR", $H29, CS$8, Matrix!$D$6)), "")</f>
        <v>3.552</v>
      </c>
      <c r="CT29" cm="1">
        <f t="array" aca="1" ref="CT29" ca="1">IF( AND($H$7,NOT(ISBLANK($H29))), IF( _xll.IMDP("IR", $H29, CT$8, Matrix!$D$6)=0, "", _xll.IMDP("IR", $H29, CT$8, Matrix!$D$6)), "")</f>
        <v>3.548</v>
      </c>
      <c r="CU29" cm="1">
        <f t="array" aca="1" ref="CU29" ca="1">IF( AND($H$7,NOT(ISBLANK($H29))), IF( _xll.IMDP("IR", $H29, CU$8, Matrix!$D$6)=0, "", _xll.IMDP("IR", $H29, CU$8, Matrix!$D$6)), "")</f>
        <v>3.5550000000000002</v>
      </c>
      <c r="CV29" cm="1">
        <f t="array" aca="1" ref="CV29" ca="1">IF( AND($H$7,NOT(ISBLANK($H29))), IF( _xll.IMDP("IR", $H29, CV$8, Matrix!$D$6)=0, "", _xll.IMDP("IR", $H29, CV$8, Matrix!$D$6)), "")</f>
        <v>3.5529999999999999</v>
      </c>
      <c r="CW29" cm="1">
        <f t="array" aca="1" ref="CW29" ca="1">IF( AND($H$7,NOT(ISBLANK($H29))), IF( _xll.IMDP("IR", $H29, CW$8, Matrix!$D$6)=0, "", _xll.IMDP("IR", $H29, CW$8, Matrix!$D$6)), "")</f>
        <v>3.5529999999999999</v>
      </c>
      <c r="CX29" cm="1">
        <f t="array" aca="1" ref="CX29" ca="1">IF( AND($H$7,NOT(ISBLANK($H29))), IF( _xll.IMDP("IR", $H29, CX$8, Matrix!$D$6)=0, "", _xll.IMDP("IR", $H29, CX$8, Matrix!$D$6)), "")</f>
        <v>3.5870000000000002</v>
      </c>
      <c r="CY29" cm="1">
        <f t="array" aca="1" ref="CY29" ca="1">IF( AND($H$7,NOT(ISBLANK($H29))), IF( _xll.IMDP("IR", $H29, CY$8, Matrix!$D$6)=0, "", _xll.IMDP("IR", $H29, CY$8, Matrix!$D$6)), "")</f>
        <v>3.7389999999999999</v>
      </c>
      <c r="CZ29" cm="1">
        <f t="array" aca="1" ref="CZ29" ca="1">IF( AND($H$7,NOT(ISBLANK($H29))), IF( _xll.IMDP("IR", $H29, CZ$8, Matrix!$D$6)=0, "", _xll.IMDP("IR", $H29, CZ$8, Matrix!$D$6)), "")</f>
        <v>4.0030000000000001</v>
      </c>
      <c r="DA29" t="str" cm="1">
        <f t="array" aca="1" ref="DA29" ca="1">IF( AND($H$7,NOT(ISBLANK($H29))), IF( _xll.IMDP("IR", $H29, DA$8, Matrix!$D$6)=0, "", _xll.IMDP("IR", $H29, DA$8, Matrix!$D$6)), "")</f>
        <v/>
      </c>
      <c r="DB29" cm="1">
        <f t="array" aca="1" ref="DB29" ca="1">IF( AND($H$7,NOT(ISBLANK($H29))), IF( _xll.IMDP("IR", $H29, DB$8, Matrix!$D$6)=0, "", _xll.IMDP("IR", $H29, DB$8, Matrix!$D$6)), "")</f>
        <v>4.3029999999999999</v>
      </c>
      <c r="DC29" t="str" cm="1">
        <f t="array" aca="1" ref="DC29" ca="1">IF( AND($H$7,NOT(ISBLANK($H29))), IF( _xll.IMDP("IR", $H29, DC$8, Matrix!$D$6)=0, "", _xll.IMDP("IR", $H29, DC$8, Matrix!$D$6)), "")</f>
        <v/>
      </c>
      <c r="DD29" t="str" cm="1">
        <f t="array" aca="1" ref="DD29" ca="1">IF( AND($H$7,NOT(ISBLANK($H29))), IF( _xll.IMDP("IR", $H29, DD$8, Matrix!$D$6)=0, "", _xll.IMDP("IR", $H29, DD$8, Matrix!$D$6)), "")</f>
        <v/>
      </c>
    </row>
    <row r="30" spans="2:108">
      <c r="B30" t="s">
        <v>98</v>
      </c>
      <c r="C30" t="s">
        <v>172</v>
      </c>
      <c r="D30" t="s">
        <v>249</v>
      </c>
      <c r="E30" t="s">
        <v>309</v>
      </c>
      <c r="F30" t="s">
        <v>372</v>
      </c>
      <c r="G30" t="s">
        <v>438</v>
      </c>
      <c r="M30" s="21">
        <f t="shared" ca="1" si="1"/>
        <v>3.756075577260015</v>
      </c>
      <c r="N30" s="21">
        <f t="shared" ca="1" si="2"/>
        <v>3.833192996384311</v>
      </c>
      <c r="O30" s="21">
        <f t="shared" ca="1" si="3"/>
        <v>3.8149939047343131</v>
      </c>
      <c r="P30" s="21">
        <f t="shared" ca="1" si="4"/>
        <v>3.8182456584962265</v>
      </c>
      <c r="Q30" s="21">
        <f t="shared" ca="1" si="5"/>
        <v>3.8104990490941071</v>
      </c>
      <c r="R30" s="21">
        <f t="shared" ca="1" si="6"/>
        <v>3.8024864254503181</v>
      </c>
      <c r="S30" s="21">
        <f t="shared" ca="1" si="7"/>
        <v>3.8002397116737048</v>
      </c>
      <c r="T30" s="21">
        <f t="shared" ca="1" si="8"/>
        <v>3.7969825519740561</v>
      </c>
      <c r="U30" s="21">
        <f t="shared" ca="1" si="9"/>
        <v>3.7884852087461738</v>
      </c>
      <c r="V30" s="21">
        <f t="shared" ca="1" si="10"/>
        <v>3.8242439003207069</v>
      </c>
      <c r="W30" s="21">
        <f t="shared" ca="1" si="11"/>
        <v>3.9884621584883755</v>
      </c>
      <c r="X30" s="21">
        <f t="shared" ca="1" si="12"/>
        <v>4.2891851812093229</v>
      </c>
      <c r="Y30" s="21">
        <f t="shared" ca="1" si="13"/>
        <v>4.431442728695302</v>
      </c>
      <c r="Z30" s="21">
        <f t="shared" ca="1" si="14"/>
        <v>4.5305993380535945</v>
      </c>
      <c r="AA30" s="21" t="e">
        <f t="shared" ca="1" si="15"/>
        <v>#NUM!</v>
      </c>
      <c r="AB30" s="21" t="e">
        <f t="shared" ca="1" si="16"/>
        <v>#NUM!</v>
      </c>
      <c r="AC30" cm="1">
        <f t="array" aca="1" ref="AC30" ca="1">IF( AND($D$7,NOT(ISBLANK($D30))), IF(_xll.IMDP("IR", $D30, AC$8, Matrix!$D$6)=0,"",_xll.IMDP("IR", $D30, AC$8, Matrix!$D$6)), "")</f>
        <v>3.782</v>
      </c>
      <c r="AD30" cm="1">
        <f t="array" aca="1" ref="AD30" ca="1">IF( AND($D$7,NOT(ISBLANK($D30))), IF(_xll.IMDP("IR", $D30, AD$8, Matrix!$D$6)=0,"",_xll.IMDP("IR", $D30, AD$8, Matrix!$D$6)), "")</f>
        <v>3.8519999999999999</v>
      </c>
      <c r="AE30" cm="1">
        <f t="array" aca="1" ref="AE30" ca="1">IF( AND($D$7,NOT(ISBLANK($D30))), IF(_xll.IMDP("IR", $D30, AE$8, Matrix!$D$6)=0,"",_xll.IMDP("IR", $D30, AE$8, Matrix!$D$6)), "")</f>
        <v>3.806</v>
      </c>
      <c r="AF30" cm="1">
        <f t="array" aca="1" ref="AF30" ca="1">IF( AND($D$7,NOT(ISBLANK($D30))), IF(_xll.IMDP("IR", $D30, AF$8, Matrix!$D$6)=0,"",_xll.IMDP("IR", $D30, AF$8, Matrix!$D$6)), "")</f>
        <v>3.8140000000000001</v>
      </c>
      <c r="AG30" cm="1">
        <f t="array" aca="1" ref="AG30" ca="1">IF( AND($D$7,NOT(ISBLANK($D30))), IF(_xll.IMDP("IR", $D30, AG$8, Matrix!$D$6)=0,"",_xll.IMDP("IR", $D30, AG$8, Matrix!$D$6)), "")</f>
        <v>3.8149999999999999</v>
      </c>
      <c r="AH30" cm="1">
        <f t="array" aca="1" ref="AH30" ca="1">IF( AND($D$7,NOT(ISBLANK($D30))), IF(_xll.IMDP("IR", $D30, AH$8, Matrix!$D$6)=0,"",_xll.IMDP("IR", $D30, AH$8, Matrix!$D$6)), "")</f>
        <v>3.7919999999999998</v>
      </c>
      <c r="AI30" cm="1">
        <f t="array" aca="1" ref="AI30" ca="1">IF( AND($D$7,NOT(ISBLANK($D30))), IF(_xll.IMDP("IR", $D30, AI$8, Matrix!$D$6)=0,"",_xll.IMDP("IR", $D30, AI$8, Matrix!$D$6)), "")</f>
        <v>3.7879999999999998</v>
      </c>
      <c r="AJ30" cm="1">
        <f t="array" aca="1" ref="AJ30" ca="1">IF( AND($D$7,NOT(ISBLANK($D30))), IF(_xll.IMDP("IR", $D30, AJ$8, Matrix!$D$6)=0,"",_xll.IMDP("IR", $D30, AJ$8, Matrix!$D$6)), "")</f>
        <v>3.7850000000000001</v>
      </c>
      <c r="AK30" cm="1">
        <f t="array" aca="1" ref="AK30" ca="1">IF( AND($D$7,NOT(ISBLANK($D30))), IF(_xll.IMDP("IR", $D30, AK$8, Matrix!$D$6)=0,"",_xll.IMDP("IR", $D30, AK$8, Matrix!$D$6)), "")</f>
        <v>3.7869999999999999</v>
      </c>
      <c r="AL30" cm="1">
        <f t="array" aca="1" ref="AL30" ca="1">IF( AND($D$7,NOT(ISBLANK($D30))), IF(_xll.IMDP("IR", $D30, AL$8, Matrix!$D$6)=0,"",_xll.IMDP("IR", $D30, AL$8, Matrix!$D$6)), "")</f>
        <v>3.82</v>
      </c>
      <c r="AM30" cm="1">
        <f t="array" aca="1" ref="AM30" ca="1">IF( AND($D$7,NOT(ISBLANK($D30))), IF(_xll.IMDP("IR", $D30, AM$8, Matrix!$D$6)=0,"",_xll.IMDP("IR", $D30, AM$8, Matrix!$D$6)), "")</f>
        <v>3.9740000000000002</v>
      </c>
      <c r="AN30" cm="1">
        <f t="array" aca="1" ref="AN30" ca="1">IF( AND($D$7,NOT(ISBLANK($D30))), IF(_xll.IMDP("IR", $D30, AN$8, Matrix!$D$6)=0,"",_xll.IMDP("IR", $D30, AN$8, Matrix!$D$6)), "")</f>
        <v>4.25</v>
      </c>
      <c r="AO30" cm="1">
        <f t="array" aca="1" ref="AO30" ca="1">IF( AND($D$7,NOT(ISBLANK($D30))), IF(_xll.IMDP("IR", $D30, AO$8, Matrix!$D$6)=0,"",_xll.IMDP("IR", $D30, AO$8, Matrix!$D$6)), "")</f>
        <v>4.3949999999999996</v>
      </c>
      <c r="AP30" cm="1">
        <f t="array" aca="1" ref="AP30" ca="1">IF( AND($D$7,NOT(ISBLANK($D30))), IF(_xll.IMDP("IR", $D30, AP$8, Matrix!$D$6)=0,"",_xll.IMDP("IR", $D30, AP$8, Matrix!$D$6)), "")</f>
        <v>4.4669999999999996</v>
      </c>
      <c r="AQ30" t="str" cm="1">
        <f t="array" aca="1" ref="AQ30" ca="1">IF( AND($D$7,NOT(ISBLANK($D30))), IF(_xll.IMDP("IR", $D30, AQ$8, Matrix!$D$6)=0,"",_xll.IMDP("IR", $D30, AQ$8, Matrix!$D$6)), "")</f>
        <v/>
      </c>
      <c r="AR30" t="str" cm="1">
        <f t="array" aca="1" ref="AR30" ca="1">IF( AND($D$7,NOT(ISBLANK($D30))), IF(_xll.IMDP("IR", $D30, AR$8, Matrix!$D$6)=0,"",_xll.IMDP("IR", $D30, AR$8, Matrix!$D$6)), "")</f>
        <v/>
      </c>
      <c r="AS30" cm="1">
        <f t="array" aca="1" ref="AS30" ca="1">IF( AND($E$7,NOT(ISBLANK($E30))), IF( _xll.IMDP("IR", $E30, AS$8, Matrix!$D$6)=0,"",_xll.IMDP("IR", $E30, AS$8, Matrix!$D$6)), "")</f>
        <v>3.7650000000000001</v>
      </c>
      <c r="AT30" cm="1">
        <f t="array" aca="1" ref="AT30" ca="1">IF( AND($E$7,NOT(ISBLANK($E30))), IF( _xll.IMDP("IR", $E30, AT$8, Matrix!$D$6)=0,"",_xll.IMDP("IR", $E30, AT$8, Matrix!$D$6)), "")</f>
        <v>3.8340000000000001</v>
      </c>
      <c r="AU30" cm="1">
        <f t="array" aca="1" ref="AU30" ca="1">IF( AND($E$7,NOT(ISBLANK($E30))), IF( _xll.IMDP("IR", $E30, AU$8, Matrix!$D$6)=0,"",_xll.IMDP("IR", $E30, AU$8, Matrix!$D$6)), "")</f>
        <v>3.8109999999999999</v>
      </c>
      <c r="AV30" cm="1">
        <f t="array" aca="1" ref="AV30" ca="1">IF( AND($E$7,NOT(ISBLANK($E30))), IF( _xll.IMDP("IR", $E30, AV$8, Matrix!$D$6)=0,"",_xll.IMDP("IR", $E30, AV$8, Matrix!$D$6)), "")</f>
        <v>3.8140000000000001</v>
      </c>
      <c r="AW30" cm="1">
        <f t="array" aca="1" ref="AW30" ca="1">IF( AND($E$7,NOT(ISBLANK($E30))), IF( _xll.IMDP("IR", $E30, AW$8, Matrix!$D$6)=0,"",_xll.IMDP("IR", $E30, AW$8, Matrix!$D$6)), "")</f>
        <v>3.8079999999999998</v>
      </c>
      <c r="AX30" cm="1">
        <f t="array" aca="1" ref="AX30" ca="1">IF( AND($E$7,NOT(ISBLANK($E30))), IF( _xll.IMDP("IR", $E30, AX$8, Matrix!$D$6)=0,"",_xll.IMDP("IR", $E30, AX$8, Matrix!$D$6)), "")</f>
        <v>3.8149999999999999</v>
      </c>
      <c r="AY30" cm="1">
        <f t="array" aca="1" ref="AY30" ca="1">IF( AND($E$7,NOT(ISBLANK($E30))), IF( _xll.IMDP("IR", $E30, AY$8, Matrix!$D$6)=0,"",_xll.IMDP("IR", $E30, AY$8, Matrix!$D$6)), "")</f>
        <v>3.8119999999999998</v>
      </c>
      <c r="AZ30" cm="1">
        <f t="array" aca="1" ref="AZ30" ca="1">IF( AND($E$7,NOT(ISBLANK($E30))), IF( _xll.IMDP("IR", $E30, AZ$8, Matrix!$D$6)=0,"",_xll.IMDP("IR", $E30, AZ$8, Matrix!$D$6)), "")</f>
        <v>3.8079999999999998</v>
      </c>
      <c r="BA30" cm="1">
        <f t="array" aca="1" ref="BA30" ca="1">IF( AND($E$7,NOT(ISBLANK($E30))), IF( _xll.IMDP("IR", $E30, BA$8, Matrix!$D$6)=0,"",_xll.IMDP("IR", $E30, BA$8, Matrix!$D$6)), "")</f>
        <v>3.7829999999999999</v>
      </c>
      <c r="BB30" cm="1">
        <f t="array" aca="1" ref="BB30" ca="1">IF( AND($E$7,NOT(ISBLANK($E30))), IF( _xll.IMDP("IR", $E30, BB$8, Matrix!$D$6)=0,"",_xll.IMDP("IR", $E30, BB$8, Matrix!$D$6)), "")</f>
        <v>3.8250000000000002</v>
      </c>
      <c r="BC30" cm="1">
        <f t="array" aca="1" ref="BC30" ca="1">IF( AND($E$7,NOT(ISBLANK($E30))), IF( _xll.IMDP("IR", $E30, BC$8, Matrix!$D$6)=0,"",_xll.IMDP("IR", $E30, BC$8, Matrix!$D$6)), "")</f>
        <v>3.984</v>
      </c>
      <c r="BD30" cm="1">
        <f t="array" aca="1" ref="BD30" ca="1">IF( AND($E$7,NOT(ISBLANK($E30))), IF( _xll.IMDP("IR", $E30, BD$8, Matrix!$D$6)=0,"",_xll.IMDP("IR", $E30, BD$8, Matrix!$D$6)), "")</f>
        <v>4.3109999999999999</v>
      </c>
      <c r="BE30" cm="1">
        <f t="array" aca="1" ref="BE30" ca="1">IF( AND($E$7,NOT(ISBLANK($E30))), IF( _xll.IMDP("IR", $E30, BE$8, Matrix!$D$6)=0,"",_xll.IMDP("IR", $E30, BE$8, Matrix!$D$6)), "")</f>
        <v>4.452</v>
      </c>
      <c r="BF30" cm="1">
        <f t="array" aca="1" ref="BF30" ca="1">IF( AND($E$7,NOT(ISBLANK($E30))), IF( _xll.IMDP("IR", $E30, BF$8, Matrix!$D$6)=0,"",_xll.IMDP("IR", $E30, BF$8, Matrix!$D$6)), "")</f>
        <v>4.5540000000000003</v>
      </c>
      <c r="BG30" t="str" cm="1">
        <f t="array" aca="1" ref="BG30" ca="1">IF( AND($E$7,NOT(ISBLANK($E30))), IF( _xll.IMDP("IR", $E30, BG$8, Matrix!$D$6)=0,"",_xll.IMDP("IR", $E30, BG$8, Matrix!$D$6)), "")</f>
        <v/>
      </c>
      <c r="BH30" t="str" cm="1">
        <f t="array" aca="1" ref="BH30" ca="1">IF( AND($E$7,NOT(ISBLANK($E30))), IF( _xll.IMDP("IR", $E30, BH$8, Matrix!$D$6)=0,"",_xll.IMDP("IR", $E30, BH$8, Matrix!$D$6)), "")</f>
        <v/>
      </c>
      <c r="BI30" cm="1">
        <f t="array" aca="1" ref="BI30" ca="1">IF( AND($F$7,NOT(ISBLANK($F30))), IF( _xll.IMDP("IR", $F30, BI$8, Matrix!$D$6)=0,"",_xll.IMDP("IR", $F30, BI$8, Matrix!$D$6)), "")</f>
        <v>3.6949999999999998</v>
      </c>
      <c r="BJ30" cm="1">
        <f t="array" aca="1" ref="BJ30" ca="1">IF( AND($F$7,NOT(ISBLANK($F30))), IF( _xll.IMDP("IR", $F30, BJ$8, Matrix!$D$6)=0,"",_xll.IMDP("IR", $F30, BJ$8, Matrix!$D$6)), "")</f>
        <v>3.7989999999999999</v>
      </c>
      <c r="BK30" cm="1">
        <f t="array" aca="1" ref="BK30" ca="1">IF( AND($F$7,NOT(ISBLANK($F30))), IF( _xll.IMDP("IR", $F30, BK$8, Matrix!$D$6)=0,"",_xll.IMDP("IR", $F30, BK$8, Matrix!$D$6)), "")</f>
        <v>3.82</v>
      </c>
      <c r="BL30" cm="1">
        <f t="array" aca="1" ref="BL30" ca="1">IF( AND($F$7,NOT(ISBLANK($F30))), IF( _xll.IMDP("IR", $F30, BL$8, Matrix!$D$6)=0,"",_xll.IMDP("IR", $F30, BL$8, Matrix!$D$6)), "")</f>
        <v>3.8279999999999998</v>
      </c>
      <c r="BM30" cm="1">
        <f t="array" aca="1" ref="BM30" ca="1">IF( AND($F$7,NOT(ISBLANK($F30))), IF( _xll.IMDP("IR", $F30, BM$8, Matrix!$D$6)=0,"",_xll.IMDP("IR", $F30, BM$8, Matrix!$D$6)), "")</f>
        <v>3.81</v>
      </c>
      <c r="BN30" cm="1">
        <f t="array" aca="1" ref="BN30" ca="1">IF( AND($F$7,NOT(ISBLANK($F30))), IF( _xll.IMDP("IR", $F30, BN$8, Matrix!$D$6)=0,"",_xll.IMDP("IR", $F30, BN$8, Matrix!$D$6)), "")</f>
        <v>3.81</v>
      </c>
      <c r="BO30" cm="1">
        <f t="array" aca="1" ref="BO30" ca="1">IF( AND($F$7,NOT(ISBLANK($F30))), IF( _xll.IMDP("IR", $F30, BO$8, Matrix!$D$6)=0,"",_xll.IMDP("IR", $F30, BO$8, Matrix!$D$6)), "")</f>
        <v>3.7970000000000002</v>
      </c>
      <c r="BP30" cm="1">
        <f t="array" aca="1" ref="BP30" ca="1">IF( AND($F$7,NOT(ISBLANK($F30))), IF( _xll.IMDP("IR", $F30, BP$8, Matrix!$D$6)=0,"",_xll.IMDP("IR", $F30, BP$8, Matrix!$D$6)), "")</f>
        <v>3.786</v>
      </c>
      <c r="BQ30" cm="1">
        <f t="array" aca="1" ref="BQ30" ca="1">IF( AND($F$7,NOT(ISBLANK($F30))), IF( _xll.IMDP("IR", $F30, BQ$8, Matrix!$D$6)=0,"",_xll.IMDP("IR", $F30, BQ$8, Matrix!$D$6)), "")</f>
        <v>3.778</v>
      </c>
      <c r="BR30" cm="1">
        <f t="array" aca="1" ref="BR30" ca="1">IF( AND($F$7,NOT(ISBLANK($F30))), IF( _xll.IMDP("IR", $F30, BR$8, Matrix!$D$6)=0,"",_xll.IMDP("IR", $F30, BR$8, Matrix!$D$6)), "")</f>
        <v>3.8170000000000002</v>
      </c>
      <c r="BS30" cm="1">
        <f t="array" aca="1" ref="BS30" ca="1">IF( AND($F$7,NOT(ISBLANK($F30))), IF( _xll.IMDP("IR", $F30, BS$8, Matrix!$D$6)=0,"",_xll.IMDP("IR", $F30, BS$8, Matrix!$D$6)), "")</f>
        <v>3.9780000000000002</v>
      </c>
      <c r="BT30" cm="1">
        <f t="array" aca="1" ref="BT30" ca="1">IF( AND($F$7,NOT(ISBLANK($F30))), IF( _xll.IMDP("IR", $F30, BT$8, Matrix!$D$6)=0,"",_xll.IMDP("IR", $F30, BT$8, Matrix!$D$6)), "")</f>
        <v>4.2930000000000001</v>
      </c>
      <c r="BU30" cm="1">
        <f t="array" aca="1" ref="BU30" ca="1">IF( AND($F$7,NOT(ISBLANK($F30))), IF( _xll.IMDP("IR", $F30, BU$8, Matrix!$D$6)=0,"",_xll.IMDP("IR", $F30, BU$8, Matrix!$D$6)), "")</f>
        <v>4.431</v>
      </c>
      <c r="BV30" cm="1">
        <f t="array" aca="1" ref="BV30" ca="1">IF( AND($F$7,NOT(ISBLANK($F30))), IF( _xll.IMDP("IR", $F30, BV$8, Matrix!$D$6)=0,"",_xll.IMDP("IR", $F30, BV$8, Matrix!$D$6)), "")</f>
        <v>4.5519999999999996</v>
      </c>
      <c r="BW30" t="str" cm="1">
        <f t="array" aca="1" ref="BW30" ca="1">IF( AND($F$7,NOT(ISBLANK($F30))), IF( _xll.IMDP("IR", $F30, BW$8, Matrix!$D$6)=0,"",_xll.IMDP("IR", $F30, BW$8, Matrix!$D$6)), "")</f>
        <v/>
      </c>
      <c r="BX30" t="str" cm="1">
        <f t="array" aca="1" ref="BX30" ca="1">IF( AND($F$7,NOT(ISBLANK($F30))), IF( _xll.IMDP("IR", $F30, BX$8, Matrix!$D$6)=0,"",_xll.IMDP("IR", $F30, BX$8, Matrix!$D$6)), "")</f>
        <v/>
      </c>
      <c r="BY30" cm="1">
        <f t="array" aca="1" ref="BY30" ca="1">IF( AND($G$7,NOT(ISBLANK($G30))), IF( _xll.IMDP("IR", $G30, BY$8, Matrix!$D$6)=0, "", _xll.IMDP("IR", $G30, BY$8, Matrix!$D$6)), "")</f>
        <v>3.7829999999999999</v>
      </c>
      <c r="BZ30" cm="1">
        <f t="array" aca="1" ref="BZ30" ca="1">IF( AND($G$7,NOT(ISBLANK($G30))), IF( _xll.IMDP("IR", $G30, BZ$8, Matrix!$D$6)=0, "", _xll.IMDP("IR", $G30, BZ$8, Matrix!$D$6)), "")</f>
        <v>3.8479999999999999</v>
      </c>
      <c r="CA30" cm="1">
        <f t="array" aca="1" ref="CA30" ca="1">IF( AND($G$7,NOT(ISBLANK($G30))), IF( _xll.IMDP("IR", $G30, CA$8, Matrix!$D$6)=0, "", _xll.IMDP("IR", $G30, CA$8, Matrix!$D$6)), "")</f>
        <v>3.823</v>
      </c>
      <c r="CB30" cm="1">
        <f t="array" aca="1" ref="CB30" ca="1">IF( AND($G$7,NOT(ISBLANK($G30))), IF( _xll.IMDP("IR", $G30, CB$8, Matrix!$D$6)=0, "", _xll.IMDP("IR", $G30, CB$8, Matrix!$D$6)), "")</f>
        <v>3.8170000000000002</v>
      </c>
      <c r="CC30" cm="1">
        <f t="array" aca="1" ref="CC30" ca="1">IF( AND($G$7,NOT(ISBLANK($G30))), IF( _xll.IMDP("IR", $G30, CC$8, Matrix!$D$6)=0, "", _xll.IMDP("IR", $G30, CC$8, Matrix!$D$6)), "")</f>
        <v>3.8090000000000002</v>
      </c>
      <c r="CD30" cm="1">
        <f t="array" aca="1" ref="CD30" ca="1">IF( AND($G$7,NOT(ISBLANK($G30))), IF( _xll.IMDP("IR", $G30, CD$8, Matrix!$D$6)=0, "", _xll.IMDP("IR", $G30, CD$8, Matrix!$D$6)), "")</f>
        <v>3.7930000000000001</v>
      </c>
      <c r="CE30" cm="1">
        <f t="array" aca="1" ref="CE30" ca="1">IF( AND($G$7,NOT(ISBLANK($G30))), IF( _xll.IMDP("IR", $G30, CE$8, Matrix!$D$6)=0, "", _xll.IMDP("IR", $G30, CE$8, Matrix!$D$6)), "")</f>
        <v>3.8039999999999998</v>
      </c>
      <c r="CF30" cm="1">
        <f t="array" aca="1" ref="CF30" ca="1">IF( AND($G$7,NOT(ISBLANK($G30))), IF( _xll.IMDP("IR", $G30, CF$8, Matrix!$D$6)=0, "", _xll.IMDP("IR", $G30, CF$8, Matrix!$D$6)), "")</f>
        <v>3.8090000000000002</v>
      </c>
      <c r="CG30" cm="1">
        <f t="array" aca="1" ref="CG30" ca="1">IF( AND($G$7,NOT(ISBLANK($G30))), IF( _xll.IMDP("IR", $G30, CG$8, Matrix!$D$6)=0, "", _xll.IMDP("IR", $G30, CG$8, Matrix!$D$6)), "")</f>
        <v>3.806</v>
      </c>
      <c r="CH30" cm="1">
        <f t="array" aca="1" ref="CH30" ca="1">IF( AND($G$7,NOT(ISBLANK($G30))), IF( _xll.IMDP("IR", $G30, CH$8, Matrix!$D$6)=0, "", _xll.IMDP("IR", $G30, CH$8, Matrix!$D$6)), "")</f>
        <v>3.835</v>
      </c>
      <c r="CI30" cm="1">
        <f t="array" aca="1" ref="CI30" ca="1">IF( AND($G$7,NOT(ISBLANK($G30))), IF( _xll.IMDP("IR", $G30, CI$8, Matrix!$D$6)=0, "", _xll.IMDP("IR", $G30, CI$8, Matrix!$D$6)), "")</f>
        <v>4.0179999999999998</v>
      </c>
      <c r="CJ30" cm="1">
        <f t="array" aca="1" ref="CJ30" ca="1">IF( AND($G$7,NOT(ISBLANK($G30))), IF( _xll.IMDP("IR", $G30, CJ$8, Matrix!$D$6)=0, "", _xll.IMDP("IR", $G30, CJ$8, Matrix!$D$6)), "")</f>
        <v>4.3029999999999999</v>
      </c>
      <c r="CK30" cm="1">
        <f t="array" aca="1" ref="CK30" ca="1">IF( AND($G$7,NOT(ISBLANK($G30))), IF( _xll.IMDP("IR", $G30, CK$8, Matrix!$D$6)=0, "", _xll.IMDP("IR", $G30, CK$8, Matrix!$D$6)), "")</f>
        <v>4.4480000000000004</v>
      </c>
      <c r="CL30" cm="1">
        <f t="array" aca="1" ref="CL30" ca="1">IF( AND($G$7,NOT(ISBLANK($G30))), IF( _xll.IMDP("IR", $G30, CL$8, Matrix!$D$6)=0, "", _xll.IMDP("IR", $G30, CL$8, Matrix!$D$6)), "")</f>
        <v>4.55</v>
      </c>
      <c r="CM30" t="str" cm="1">
        <f t="array" aca="1" ref="CM30" ca="1">IF( AND($G$7,NOT(ISBLANK($G30))), IF( _xll.IMDP("IR", $G30, CM$8, Matrix!$D$6)=0, "", _xll.IMDP("IR", $G30, CM$8, Matrix!$D$6)), "")</f>
        <v/>
      </c>
      <c r="CN30" t="str" cm="1">
        <f t="array" aca="1" ref="CN30" ca="1">IF( AND($G$7,NOT(ISBLANK($G30))), IF( _xll.IMDP("IR", $G30, CN$8, Matrix!$D$6)=0, "", _xll.IMDP("IR", $G30, CN$8, Matrix!$D$6)), "")</f>
        <v/>
      </c>
      <c r="CO30" t="str" cm="1">
        <f t="array" ref="CO30">IF( AND($H$7,NOT(ISBLANK($H30))), IF( _xll.IMDP("IR", $H30, CO$8, Matrix!$D$6)=0, "", _xll.IMDP("IR", $H30, CO$8, Matrix!$D$6)), "")</f>
        <v/>
      </c>
      <c r="CP30" t="str" cm="1">
        <f t="array" ref="CP30">IF( AND($H$7,NOT(ISBLANK($H30))), IF( _xll.IMDP("IR", $H30, CP$8, Matrix!$D$6)=0, "", _xll.IMDP("IR", $H30, CP$8, Matrix!$D$6)), "")</f>
        <v/>
      </c>
      <c r="CQ30" t="str" cm="1">
        <f t="array" ref="CQ30">IF( AND($H$7,NOT(ISBLANK($H30))), IF( _xll.IMDP("IR", $H30, CQ$8, Matrix!$D$6)=0, "", _xll.IMDP("IR", $H30, CQ$8, Matrix!$D$6)), "")</f>
        <v/>
      </c>
      <c r="CR30" t="str" cm="1">
        <f t="array" ref="CR30">IF( AND($H$7,NOT(ISBLANK($H30))), IF( _xll.IMDP("IR", $H30, CR$8, Matrix!$D$6)=0, "", _xll.IMDP("IR", $H30, CR$8, Matrix!$D$6)), "")</f>
        <v/>
      </c>
      <c r="CS30" t="str" cm="1">
        <f t="array" ref="CS30">IF( AND($H$7,NOT(ISBLANK($H30))), IF( _xll.IMDP("IR", $H30, CS$8, Matrix!$D$6)=0, "", _xll.IMDP("IR", $H30, CS$8, Matrix!$D$6)), "")</f>
        <v/>
      </c>
      <c r="CT30" t="str" cm="1">
        <f t="array" ref="CT30">IF( AND($H$7,NOT(ISBLANK($H30))), IF( _xll.IMDP("IR", $H30, CT$8, Matrix!$D$6)=0, "", _xll.IMDP("IR", $H30, CT$8, Matrix!$D$6)), "")</f>
        <v/>
      </c>
      <c r="CU30" t="str" cm="1">
        <f t="array" ref="CU30">IF( AND($H$7,NOT(ISBLANK($H30))), IF( _xll.IMDP("IR", $H30, CU$8, Matrix!$D$6)=0, "", _xll.IMDP("IR", $H30, CU$8, Matrix!$D$6)), "")</f>
        <v/>
      </c>
      <c r="CV30" t="str" cm="1">
        <f t="array" ref="CV30">IF( AND($H$7,NOT(ISBLANK($H30))), IF( _xll.IMDP("IR", $H30, CV$8, Matrix!$D$6)=0, "", _xll.IMDP("IR", $H30, CV$8, Matrix!$D$6)), "")</f>
        <v/>
      </c>
      <c r="CW30" t="str" cm="1">
        <f t="array" ref="CW30">IF( AND($H$7,NOT(ISBLANK($H30))), IF( _xll.IMDP("IR", $H30, CW$8, Matrix!$D$6)=0, "", _xll.IMDP("IR", $H30, CW$8, Matrix!$D$6)), "")</f>
        <v/>
      </c>
      <c r="CX30" t="str" cm="1">
        <f t="array" ref="CX30">IF( AND($H$7,NOT(ISBLANK($H30))), IF( _xll.IMDP("IR", $H30, CX$8, Matrix!$D$6)=0, "", _xll.IMDP("IR", $H30, CX$8, Matrix!$D$6)), "")</f>
        <v/>
      </c>
      <c r="CY30" t="str" cm="1">
        <f t="array" ref="CY30">IF( AND($H$7,NOT(ISBLANK($H30))), IF( _xll.IMDP("IR", $H30, CY$8, Matrix!$D$6)=0, "", _xll.IMDP("IR", $H30, CY$8, Matrix!$D$6)), "")</f>
        <v/>
      </c>
      <c r="CZ30" t="str" cm="1">
        <f t="array" ref="CZ30">IF( AND($H$7,NOT(ISBLANK($H30))), IF( _xll.IMDP("IR", $H30, CZ$8, Matrix!$D$6)=0, "", _xll.IMDP("IR", $H30, CZ$8, Matrix!$D$6)), "")</f>
        <v/>
      </c>
      <c r="DA30" t="str" cm="1">
        <f t="array" ref="DA30">IF( AND($H$7,NOT(ISBLANK($H30))), IF( _xll.IMDP("IR", $H30, DA$8, Matrix!$D$6)=0, "", _xll.IMDP("IR", $H30, DA$8, Matrix!$D$6)), "")</f>
        <v/>
      </c>
      <c r="DB30" t="str" cm="1">
        <f t="array" ref="DB30">IF( AND($H$7,NOT(ISBLANK($H30))), IF( _xll.IMDP("IR", $H30, DB$8, Matrix!$D$6)=0, "", _xll.IMDP("IR", $H30, DB$8, Matrix!$D$6)), "")</f>
        <v/>
      </c>
      <c r="DC30" t="str" cm="1">
        <f t="array" ref="DC30">IF( AND($H$7,NOT(ISBLANK($H30))), IF( _xll.IMDP("IR", $H30, DC$8, Matrix!$D$6)=0, "", _xll.IMDP("IR", $H30, DC$8, Matrix!$D$6)), "")</f>
        <v/>
      </c>
      <c r="DD30" t="str" cm="1">
        <f t="array" ref="DD30">IF( AND($H$7,NOT(ISBLANK($H30))), IF( _xll.IMDP("IR", $H30, DD$8, Matrix!$D$6)=0, "", _xll.IMDP("IR", $H30, DD$8, Matrix!$D$6)), "")</f>
        <v/>
      </c>
    </row>
    <row r="31" spans="2:108">
      <c r="B31" t="s">
        <v>99</v>
      </c>
      <c r="C31" t="s">
        <v>173</v>
      </c>
      <c r="D31" t="s">
        <v>250</v>
      </c>
      <c r="E31" t="s">
        <v>310</v>
      </c>
      <c r="F31" t="s">
        <v>373</v>
      </c>
      <c r="G31" t="s">
        <v>439</v>
      </c>
      <c r="H31" t="s">
        <v>499</v>
      </c>
      <c r="M31" s="21">
        <f t="shared" ca="1" si="1"/>
        <v>3.8653986234356053</v>
      </c>
      <c r="N31" s="21">
        <f t="shared" ca="1" si="2"/>
        <v>3.9225884382106582</v>
      </c>
      <c r="O31" s="21">
        <f t="shared" ca="1" si="3"/>
        <v>3.9021881505848577</v>
      </c>
      <c r="P31" s="21">
        <f t="shared" ca="1" si="4"/>
        <v>3.9125836658712023</v>
      </c>
      <c r="Q31" s="21">
        <f t="shared" ca="1" si="5"/>
        <v>3.9191889777654882</v>
      </c>
      <c r="R31" s="21">
        <f t="shared" ca="1" si="6"/>
        <v>3.9171704732787713</v>
      </c>
      <c r="S31" s="21">
        <f t="shared" ca="1" si="7"/>
        <v>3.9201791008164215</v>
      </c>
      <c r="T31" s="21">
        <f t="shared" ca="1" si="8"/>
        <v>3.921594365694077</v>
      </c>
      <c r="U31" s="21">
        <f t="shared" ca="1" si="9"/>
        <v>3.9239753221935474</v>
      </c>
      <c r="V31" s="21">
        <f t="shared" ca="1" si="10"/>
        <v>3.9613946650205287</v>
      </c>
      <c r="W31" s="21">
        <f t="shared" ca="1" si="11"/>
        <v>4.1485668952747821</v>
      </c>
      <c r="X31" s="21">
        <f t="shared" ca="1" si="12"/>
        <v>4.4859368427795179</v>
      </c>
      <c r="Y31" s="21">
        <f t="shared" ca="1" si="13"/>
        <v>4.6349351864321751</v>
      </c>
      <c r="Z31" s="21">
        <f t="shared" ca="1" si="14"/>
        <v>4.7390639325298149</v>
      </c>
      <c r="AA31" s="21" t="e">
        <f t="shared" ca="1" si="15"/>
        <v>#NUM!</v>
      </c>
      <c r="AB31" s="21" t="e">
        <f t="shared" ca="1" si="16"/>
        <v>#NUM!</v>
      </c>
      <c r="AC31" cm="1">
        <f t="array" aca="1" ref="AC31" ca="1">IF( AND($D$7,NOT(ISBLANK($D31))), IF(_xll.IMDP("IR", $D31, AC$8, Matrix!$D$6)=0,"",_xll.IMDP("IR", $D31, AC$8, Matrix!$D$6)), "")</f>
        <v>3.867</v>
      </c>
      <c r="AD31" cm="1">
        <f t="array" aca="1" ref="AD31" ca="1">IF( AND($D$7,NOT(ISBLANK($D31))), IF(_xll.IMDP("IR", $D31, AD$8, Matrix!$D$6)=0,"",_xll.IMDP("IR", $D31, AD$8, Matrix!$D$6)), "")</f>
        <v>3.9319999999999999</v>
      </c>
      <c r="AE31" cm="1">
        <f t="array" aca="1" ref="AE31" ca="1">IF( AND($D$7,NOT(ISBLANK($D31))), IF(_xll.IMDP("IR", $D31, AE$8, Matrix!$D$6)=0,"",_xll.IMDP("IR", $D31, AE$8, Matrix!$D$6)), "")</f>
        <v>3.8889999999999998</v>
      </c>
      <c r="AF31" cm="1">
        <f t="array" aca="1" ref="AF31" ca="1">IF( AND($D$7,NOT(ISBLANK($D31))), IF(_xll.IMDP("IR", $D31, AF$8, Matrix!$D$6)=0,"",_xll.IMDP("IR", $D31, AF$8, Matrix!$D$6)), "")</f>
        <v>3.8959999999999999</v>
      </c>
      <c r="AG31" cm="1">
        <f t="array" aca="1" ref="AG31" ca="1">IF( AND($D$7,NOT(ISBLANK($D31))), IF(_xll.IMDP("IR", $D31, AG$8, Matrix!$D$6)=0,"",_xll.IMDP("IR", $D31, AG$8, Matrix!$D$6)), "")</f>
        <v>3.9129999999999998</v>
      </c>
      <c r="AH31" cm="1">
        <f t="array" aca="1" ref="AH31" ca="1">IF( AND($D$7,NOT(ISBLANK($D31))), IF(_xll.IMDP("IR", $D31, AH$8, Matrix!$D$6)=0,"",_xll.IMDP("IR", $D31, AH$8, Matrix!$D$6)), "")</f>
        <v>3.9020000000000001</v>
      </c>
      <c r="AI31" cm="1">
        <f t="array" aca="1" ref="AI31" ca="1">IF( AND($D$7,NOT(ISBLANK($D31))), IF(_xll.IMDP("IR", $D31, AI$8, Matrix!$D$6)=0,"",_xll.IMDP("IR", $D31, AI$8, Matrix!$D$6)), "")</f>
        <v>3.899</v>
      </c>
      <c r="AJ31" cm="1">
        <f t="array" aca="1" ref="AJ31" ca="1">IF( AND($D$7,NOT(ISBLANK($D31))), IF(_xll.IMDP("IR", $D31, AJ$8, Matrix!$D$6)=0,"",_xll.IMDP("IR", $D31, AJ$8, Matrix!$D$6)), "")</f>
        <v>3.919</v>
      </c>
      <c r="AK31" cm="1">
        <f t="array" aca="1" ref="AK31" ca="1">IF( AND($D$7,NOT(ISBLANK($D31))), IF(_xll.IMDP("IR", $D31, AK$8, Matrix!$D$6)=0,"",_xll.IMDP("IR", $D31, AK$8, Matrix!$D$6)), "")</f>
        <v>3.9279999999999999</v>
      </c>
      <c r="AL31" cm="1">
        <f t="array" aca="1" ref="AL31" ca="1">IF( AND($D$7,NOT(ISBLANK($D31))), IF(_xll.IMDP("IR", $D31, AL$8, Matrix!$D$6)=0,"",_xll.IMDP("IR", $D31, AL$8, Matrix!$D$6)), "")</f>
        <v>3.964</v>
      </c>
      <c r="AM31" cm="1">
        <f t="array" aca="1" ref="AM31" ca="1">IF( AND($D$7,NOT(ISBLANK($D31))), IF(_xll.IMDP("IR", $D31, AM$8, Matrix!$D$6)=0,"",_xll.IMDP("IR", $D31, AM$8, Matrix!$D$6)), "")</f>
        <v>4.125</v>
      </c>
      <c r="AN31" cm="1">
        <f t="array" aca="1" ref="AN31" ca="1">IF( AND($D$7,NOT(ISBLANK($D31))), IF(_xll.IMDP("IR", $D31, AN$8, Matrix!$D$6)=0,"",_xll.IMDP("IR", $D31, AN$8, Matrix!$D$6)), "")</f>
        <v>4.4409999999999998</v>
      </c>
      <c r="AO31" cm="1">
        <f t="array" aca="1" ref="AO31" ca="1">IF( AND($D$7,NOT(ISBLANK($D31))), IF(_xll.IMDP("IR", $D31, AO$8, Matrix!$D$6)=0,"",_xll.IMDP("IR", $D31, AO$8, Matrix!$D$6)), "")</f>
        <v>4.593</v>
      </c>
      <c r="AP31" cm="1">
        <f t="array" aca="1" ref="AP31" ca="1">IF( AND($D$7,NOT(ISBLANK($D31))), IF(_xll.IMDP("IR", $D31, AP$8, Matrix!$D$6)=0,"",_xll.IMDP("IR", $D31, AP$8, Matrix!$D$6)), "")</f>
        <v>4.67</v>
      </c>
      <c r="AQ31" t="str" cm="1">
        <f t="array" aca="1" ref="AQ31" ca="1">IF( AND($D$7,NOT(ISBLANK($D31))), IF(_xll.IMDP("IR", $D31, AQ$8, Matrix!$D$6)=0,"",_xll.IMDP("IR", $D31, AQ$8, Matrix!$D$6)), "")</f>
        <v/>
      </c>
      <c r="AR31" t="str" cm="1">
        <f t="array" aca="1" ref="AR31" ca="1">IF( AND($D$7,NOT(ISBLANK($D31))), IF(_xll.IMDP("IR", $D31, AR$8, Matrix!$D$6)=0,"",_xll.IMDP("IR", $D31, AR$8, Matrix!$D$6)), "")</f>
        <v/>
      </c>
      <c r="AS31" cm="1">
        <f t="array" aca="1" ref="AS31" ca="1">IF( AND($E$7,NOT(ISBLANK($E31))), IF( _xll.IMDP("IR", $E31, AS$8, Matrix!$D$6)=0,"",_xll.IMDP("IR", $E31, AS$8, Matrix!$D$6)), "")</f>
        <v>3.86</v>
      </c>
      <c r="AT31" cm="1">
        <f t="array" aca="1" ref="AT31" ca="1">IF( AND($E$7,NOT(ISBLANK($E31))), IF( _xll.IMDP("IR", $E31, AT$8, Matrix!$D$6)=0,"",_xll.IMDP("IR", $E31, AT$8, Matrix!$D$6)), "")</f>
        <v>3.919</v>
      </c>
      <c r="AU31" cm="1">
        <f t="array" aca="1" ref="AU31" ca="1">IF( AND($E$7,NOT(ISBLANK($E31))), IF( _xll.IMDP("IR", $E31, AU$8, Matrix!$D$6)=0,"",_xll.IMDP("IR", $E31, AU$8, Matrix!$D$6)), "")</f>
        <v>3.9009999999999998</v>
      </c>
      <c r="AV31" cm="1">
        <f t="array" aca="1" ref="AV31" ca="1">IF( AND($E$7,NOT(ISBLANK($E31))), IF( _xll.IMDP("IR", $E31, AV$8, Matrix!$D$6)=0,"",_xll.IMDP("IR", $E31, AV$8, Matrix!$D$6)), "")</f>
        <v>3.9180000000000001</v>
      </c>
      <c r="AW31" cm="1">
        <f t="array" aca="1" ref="AW31" ca="1">IF( AND($E$7,NOT(ISBLANK($E31))), IF( _xll.IMDP("IR", $E31, AW$8, Matrix!$D$6)=0,"",_xll.IMDP("IR", $E31, AW$8, Matrix!$D$6)), "")</f>
        <v>3.9159999999999999</v>
      </c>
      <c r="AX31" cm="1">
        <f t="array" aca="1" ref="AX31" ca="1">IF( AND($E$7,NOT(ISBLANK($E31))), IF( _xll.IMDP("IR", $E31, AX$8, Matrix!$D$6)=0,"",_xll.IMDP("IR", $E31, AX$8, Matrix!$D$6)), "")</f>
        <v>3.92</v>
      </c>
      <c r="AY31" cm="1">
        <f t="array" aca="1" ref="AY31" ca="1">IF( AND($E$7,NOT(ISBLANK($E31))), IF( _xll.IMDP("IR", $E31, AY$8, Matrix!$D$6)=0,"",_xll.IMDP("IR", $E31, AY$8, Matrix!$D$6)), "")</f>
        <v>3.9239999999999999</v>
      </c>
      <c r="AZ31" cm="1">
        <f t="array" aca="1" ref="AZ31" ca="1">IF( AND($E$7,NOT(ISBLANK($E31))), IF( _xll.IMDP("IR", $E31, AZ$8, Matrix!$D$6)=0,"",_xll.IMDP("IR", $E31, AZ$8, Matrix!$D$6)), "")</f>
        <v>3.92</v>
      </c>
      <c r="BA31" cm="1">
        <f t="array" aca="1" ref="BA31" ca="1">IF( AND($E$7,NOT(ISBLANK($E31))), IF( _xll.IMDP("IR", $E31, BA$8, Matrix!$D$6)=0,"",_xll.IMDP("IR", $E31, BA$8, Matrix!$D$6)), "")</f>
        <v>3.8980000000000001</v>
      </c>
      <c r="BB31" cm="1">
        <f t="array" aca="1" ref="BB31" ca="1">IF( AND($E$7,NOT(ISBLANK($E31))), IF( _xll.IMDP("IR", $E31, BB$8, Matrix!$D$6)=0,"",_xll.IMDP("IR", $E31, BB$8, Matrix!$D$6)), "")</f>
        <v>3.95</v>
      </c>
      <c r="BC31" cm="1">
        <f t="array" aca="1" ref="BC31" ca="1">IF( AND($E$7,NOT(ISBLANK($E31))), IF( _xll.IMDP("IR", $E31, BC$8, Matrix!$D$6)=0,"",_xll.IMDP("IR", $E31, BC$8, Matrix!$D$6)), "")</f>
        <v>4.1369999999999996</v>
      </c>
      <c r="BD31" cm="1">
        <f t="array" aca="1" ref="BD31" ca="1">IF( AND($E$7,NOT(ISBLANK($E31))), IF( _xll.IMDP("IR", $E31, BD$8, Matrix!$D$6)=0,"",_xll.IMDP("IR", $E31, BD$8, Matrix!$D$6)), "")</f>
        <v>4.51</v>
      </c>
      <c r="BE31" cm="1">
        <f t="array" aca="1" ref="BE31" ca="1">IF( AND($E$7,NOT(ISBLANK($E31))), IF( _xll.IMDP("IR", $E31, BE$8, Matrix!$D$6)=0,"",_xll.IMDP("IR", $E31, BE$8, Matrix!$D$6)), "")</f>
        <v>4.6529999999999996</v>
      </c>
      <c r="BF31" cm="1">
        <f t="array" aca="1" ref="BF31" ca="1">IF( AND($E$7,NOT(ISBLANK($E31))), IF( _xll.IMDP("IR", $E31, BF$8, Matrix!$D$6)=0,"",_xll.IMDP("IR", $E31, BF$8, Matrix!$D$6)), "")</f>
        <v>4.7619999999999996</v>
      </c>
      <c r="BG31" t="str" cm="1">
        <f t="array" aca="1" ref="BG31" ca="1">IF( AND($E$7,NOT(ISBLANK($E31))), IF( _xll.IMDP("IR", $E31, BG$8, Matrix!$D$6)=0,"",_xll.IMDP("IR", $E31, BG$8, Matrix!$D$6)), "")</f>
        <v/>
      </c>
      <c r="BH31" t="str" cm="1">
        <f t="array" aca="1" ref="BH31" ca="1">IF( AND($E$7,NOT(ISBLANK($E31))), IF( _xll.IMDP("IR", $E31, BH$8, Matrix!$D$6)=0,"",_xll.IMDP("IR", $E31, BH$8, Matrix!$D$6)), "")</f>
        <v/>
      </c>
      <c r="BI31" cm="1">
        <f t="array" aca="1" ref="BI31" ca="1">IF( AND($F$7,NOT(ISBLANK($F31))), IF( _xll.IMDP("IR", $F31, BI$8, Matrix!$D$6)=0,"",_xll.IMDP("IR", $F31, BI$8, Matrix!$D$6)), "")</f>
        <v>3.8650000000000002</v>
      </c>
      <c r="BJ31" cm="1">
        <f t="array" aca="1" ref="BJ31" ca="1">IF( AND($F$7,NOT(ISBLANK($F31))), IF( _xll.IMDP("IR", $F31, BJ$8, Matrix!$D$6)=0,"",_xll.IMDP("IR", $F31, BJ$8, Matrix!$D$6)), "")</f>
        <v>3.907</v>
      </c>
      <c r="BK31" cm="1">
        <f t="array" aca="1" ref="BK31" ca="1">IF( AND($F$7,NOT(ISBLANK($F31))), IF( _xll.IMDP("IR", $F31, BK$8, Matrix!$D$6)=0,"",_xll.IMDP("IR", $F31, BK$8, Matrix!$D$6)), "")</f>
        <v>3.919</v>
      </c>
      <c r="BL31" cm="1">
        <f t="array" aca="1" ref="BL31" ca="1">IF( AND($F$7,NOT(ISBLANK($F31))), IF( _xll.IMDP("IR", $F31, BL$8, Matrix!$D$6)=0,"",_xll.IMDP("IR", $F31, BL$8, Matrix!$D$6)), "")</f>
        <v>3.93</v>
      </c>
      <c r="BM31" cm="1">
        <f t="array" aca="1" ref="BM31" ca="1">IF( AND($F$7,NOT(ISBLANK($F31))), IF( _xll.IMDP("IR", $F31, BM$8, Matrix!$D$6)=0,"",_xll.IMDP("IR", $F31, BM$8, Matrix!$D$6)), "")</f>
        <v>3.9369999999999998</v>
      </c>
      <c r="BN31" cm="1">
        <f t="array" aca="1" ref="BN31" ca="1">IF( AND($F$7,NOT(ISBLANK($F31))), IF( _xll.IMDP("IR", $F31, BN$8, Matrix!$D$6)=0,"",_xll.IMDP("IR", $F31, BN$8, Matrix!$D$6)), "")</f>
        <v>3.944</v>
      </c>
      <c r="BO31" cm="1">
        <f t="array" aca="1" ref="BO31" ca="1">IF( AND($F$7,NOT(ISBLANK($F31))), IF( _xll.IMDP("IR", $F31, BO$8, Matrix!$D$6)=0,"",_xll.IMDP("IR", $F31, BO$8, Matrix!$D$6)), "")</f>
        <v>3.9390000000000001</v>
      </c>
      <c r="BP31" cm="1">
        <f t="array" aca="1" ref="BP31" ca="1">IF( AND($F$7,NOT(ISBLANK($F31))), IF( _xll.IMDP("IR", $F31, BP$8, Matrix!$D$6)=0,"",_xll.IMDP("IR", $F31, BP$8, Matrix!$D$6)), "")</f>
        <v>3.9140000000000001</v>
      </c>
      <c r="BQ31" cm="1">
        <f t="array" aca="1" ref="BQ31" ca="1">IF( AND($F$7,NOT(ISBLANK($F31))), IF( _xll.IMDP("IR", $F31, BQ$8, Matrix!$D$6)=0,"",_xll.IMDP("IR", $F31, BQ$8, Matrix!$D$6)), "")</f>
        <v>3.931</v>
      </c>
      <c r="BR31" cm="1">
        <f t="array" aca="1" ref="BR31" ca="1">IF( AND($F$7,NOT(ISBLANK($F31))), IF( _xll.IMDP("IR", $F31, BR$8, Matrix!$D$6)=0,"",_xll.IMDP("IR", $F31, BR$8, Matrix!$D$6)), "")</f>
        <v>3.97</v>
      </c>
      <c r="BS31" cm="1">
        <f t="array" aca="1" ref="BS31" ca="1">IF( AND($F$7,NOT(ISBLANK($F31))), IF( _xll.IMDP("IR", $F31, BS$8, Matrix!$D$6)=0,"",_xll.IMDP("IR", $F31, BS$8, Matrix!$D$6)), "")</f>
        <v>4.1619999999999999</v>
      </c>
      <c r="BT31" cm="1">
        <f t="array" aca="1" ref="BT31" ca="1">IF( AND($F$7,NOT(ISBLANK($F31))), IF( _xll.IMDP("IR", $F31, BT$8, Matrix!$D$6)=0,"",_xll.IMDP("IR", $F31, BT$8, Matrix!$D$6)), "")</f>
        <v>4.4960000000000004</v>
      </c>
      <c r="BU31" cm="1">
        <f t="array" aca="1" ref="BU31" ca="1">IF( AND($F$7,NOT(ISBLANK($F31))), IF( _xll.IMDP("IR", $F31, BU$8, Matrix!$D$6)=0,"",_xll.IMDP("IR", $F31, BU$8, Matrix!$D$6)), "")</f>
        <v>4.6440000000000001</v>
      </c>
      <c r="BV31" cm="1">
        <f t="array" aca="1" ref="BV31" ca="1">IF( AND($F$7,NOT(ISBLANK($F31))), IF( _xll.IMDP("IR", $F31, BV$8, Matrix!$D$6)=0,"",_xll.IMDP("IR", $F31, BV$8, Matrix!$D$6)), "")</f>
        <v>4.7649999999999997</v>
      </c>
      <c r="BW31" t="str" cm="1">
        <f t="array" aca="1" ref="BW31" ca="1">IF( AND($F$7,NOT(ISBLANK($F31))), IF( _xll.IMDP("IR", $F31, BW$8, Matrix!$D$6)=0,"",_xll.IMDP("IR", $F31, BW$8, Matrix!$D$6)), "")</f>
        <v/>
      </c>
      <c r="BX31" t="str" cm="1">
        <f t="array" aca="1" ref="BX31" ca="1">IF( AND($F$7,NOT(ISBLANK($F31))), IF( _xll.IMDP("IR", $F31, BX$8, Matrix!$D$6)=0,"",_xll.IMDP("IR", $F31, BX$8, Matrix!$D$6)), "")</f>
        <v/>
      </c>
      <c r="BY31" cm="1">
        <f t="array" aca="1" ref="BY31" ca="1">IF( AND($G$7,NOT(ISBLANK($G31))), IF( _xll.IMDP("IR", $G31, BY$8, Matrix!$D$6)=0, "", _xll.IMDP("IR", $G31, BY$8, Matrix!$D$6)), "")</f>
        <v>3.87</v>
      </c>
      <c r="BZ31" cm="1">
        <f t="array" aca="1" ref="BZ31" ca="1">IF( AND($G$7,NOT(ISBLANK($G31))), IF( _xll.IMDP("IR", $G31, BZ$8, Matrix!$D$6)=0, "", _xll.IMDP("IR", $G31, BZ$8, Matrix!$D$6)), "")</f>
        <v>3.9329999999999998</v>
      </c>
      <c r="CA31" cm="1">
        <f t="array" aca="1" ref="CA31" ca="1">IF( AND($G$7,NOT(ISBLANK($G31))), IF( _xll.IMDP("IR", $G31, CA$8, Matrix!$D$6)=0, "", _xll.IMDP("IR", $G31, CA$8, Matrix!$D$6)), "")</f>
        <v>3.9</v>
      </c>
      <c r="CB31" cm="1">
        <f t="array" aca="1" ref="CB31" ca="1">IF( AND($G$7,NOT(ISBLANK($G31))), IF( _xll.IMDP("IR", $G31, CB$8, Matrix!$D$6)=0, "", _xll.IMDP("IR", $G31, CB$8, Matrix!$D$6)), "")</f>
        <v>3.907</v>
      </c>
      <c r="CC31" cm="1">
        <f t="array" aca="1" ref="CC31" ca="1">IF( AND($G$7,NOT(ISBLANK($G31))), IF( _xll.IMDP("IR", $G31, CC$8, Matrix!$D$6)=0, "", _xll.IMDP("IR", $G31, CC$8, Matrix!$D$6)), "")</f>
        <v>3.911</v>
      </c>
      <c r="CD31" cm="1">
        <f t="array" aca="1" ref="CD31" ca="1">IF( AND($G$7,NOT(ISBLANK($G31))), IF( _xll.IMDP("IR", $G31, CD$8, Matrix!$D$6)=0, "", _xll.IMDP("IR", $G31, CD$8, Matrix!$D$6)), "")</f>
        <v>3.903</v>
      </c>
      <c r="CE31" cm="1">
        <f t="array" aca="1" ref="CE31" ca="1">IF( AND($G$7,NOT(ISBLANK($G31))), IF( _xll.IMDP("IR", $G31, CE$8, Matrix!$D$6)=0, "", _xll.IMDP("IR", $G31, CE$8, Matrix!$D$6)), "")</f>
        <v>3.919</v>
      </c>
      <c r="CF31" cm="1">
        <f t="array" aca="1" ref="CF31" ca="1">IF( AND($G$7,NOT(ISBLANK($G31))), IF( _xll.IMDP("IR", $G31, CF$8, Matrix!$D$6)=0, "", _xll.IMDP("IR", $G31, CF$8, Matrix!$D$6)), "")</f>
        <v>3.9340000000000002</v>
      </c>
      <c r="CG31" cm="1">
        <f t="array" aca="1" ref="CG31" ca="1">IF( AND($G$7,NOT(ISBLANK($G31))), IF( _xll.IMDP("IR", $G31, CG$8, Matrix!$D$6)=0, "", _xll.IMDP("IR", $G31, CG$8, Matrix!$D$6)), "")</f>
        <v>3.9390000000000001</v>
      </c>
      <c r="CH31" cm="1">
        <f t="array" aca="1" ref="CH31" ca="1">IF( AND($G$7,NOT(ISBLANK($G31))), IF( _xll.IMDP("IR", $G31, CH$8, Matrix!$D$6)=0, "", _xll.IMDP("IR", $G31, CH$8, Matrix!$D$6)), "")</f>
        <v>3.9620000000000002</v>
      </c>
      <c r="CI31" cm="1">
        <f t="array" aca="1" ref="CI31" ca="1">IF( AND($G$7,NOT(ISBLANK($G31))), IF( _xll.IMDP("IR", $G31, CI$8, Matrix!$D$6)=0, "", _xll.IMDP("IR", $G31, CI$8, Matrix!$D$6)), "")</f>
        <v>4.1710000000000003</v>
      </c>
      <c r="CJ31" cm="1">
        <f t="array" aca="1" ref="CJ31" ca="1">IF( AND($G$7,NOT(ISBLANK($G31))), IF( _xll.IMDP("IR", $G31, CJ$8, Matrix!$D$6)=0, "", _xll.IMDP("IR", $G31, CJ$8, Matrix!$D$6)), "")</f>
        <v>4.4969999999999999</v>
      </c>
      <c r="CK31" cm="1">
        <f t="array" aca="1" ref="CK31" ca="1">IF( AND($G$7,NOT(ISBLANK($G31))), IF( _xll.IMDP("IR", $G31, CK$8, Matrix!$D$6)=0, "", _xll.IMDP("IR", $G31, CK$8, Matrix!$D$6)), "")</f>
        <v>4.6500000000000004</v>
      </c>
      <c r="CL31" cm="1">
        <f t="array" aca="1" ref="CL31" ca="1">IF( AND($G$7,NOT(ISBLANK($G31))), IF( _xll.IMDP("IR", $G31, CL$8, Matrix!$D$6)=0, "", _xll.IMDP("IR", $G31, CL$8, Matrix!$D$6)), "")</f>
        <v>4.76</v>
      </c>
      <c r="CM31" t="str" cm="1">
        <f t="array" aca="1" ref="CM31" ca="1">IF( AND($G$7,NOT(ISBLANK($G31))), IF( _xll.IMDP("IR", $G31, CM$8, Matrix!$D$6)=0, "", _xll.IMDP("IR", $G31, CM$8, Matrix!$D$6)), "")</f>
        <v/>
      </c>
      <c r="CN31" t="str" cm="1">
        <f t="array" aca="1" ref="CN31" ca="1">IF( AND($G$7,NOT(ISBLANK($G31))), IF( _xll.IMDP("IR", $G31, CN$8, Matrix!$D$6)=0, "", _xll.IMDP("IR", $G31, CN$8, Matrix!$D$6)), "")</f>
        <v/>
      </c>
      <c r="CO31" cm="1">
        <f t="array" aca="1" ref="CO31" ca="1">IF( AND($H$7,NOT(ISBLANK($H31))), IF( _xll.IMDP("IR", $H31, CO$8, Matrix!$D$6)=0, "", _xll.IMDP("IR", $H31, CO$8, Matrix!$D$6)), "")</f>
        <v>3.8650000000000002</v>
      </c>
      <c r="CP31" cm="1">
        <f t="array" aca="1" ref="CP31" ca="1">IF( AND($H$7,NOT(ISBLANK($H31))), IF( _xll.IMDP("IR", $H31, CP$8, Matrix!$D$6)=0, "", _xll.IMDP("IR", $H31, CP$8, Matrix!$D$6)), "")</f>
        <v>3.9220000000000002</v>
      </c>
      <c r="CQ31" cm="1">
        <f t="array" aca="1" ref="CQ31" ca="1">IF( AND($H$7,NOT(ISBLANK($H31))), IF( _xll.IMDP("IR", $H31, CQ$8, Matrix!$D$6)=0, "", _xll.IMDP("IR", $H31, CQ$8, Matrix!$D$6)), "")</f>
        <v>3.9020000000000001</v>
      </c>
      <c r="CR31" cm="1">
        <f t="array" aca="1" ref="CR31" ca="1">IF( AND($H$7,NOT(ISBLANK($H31))), IF( _xll.IMDP("IR", $H31, CR$8, Matrix!$D$6)=0, "", _xll.IMDP("IR", $H31, CR$8, Matrix!$D$6)), "")</f>
        <v>3.9119999999999999</v>
      </c>
      <c r="CS31" cm="1">
        <f t="array" aca="1" ref="CS31" ca="1">IF( AND($H$7,NOT(ISBLANK($H31))), IF( _xll.IMDP("IR", $H31, CS$8, Matrix!$D$6)=0, "", _xll.IMDP("IR", $H31, CS$8, Matrix!$D$6)), "")</f>
        <v>3.919</v>
      </c>
      <c r="CT31" cm="1">
        <f t="array" aca="1" ref="CT31" ca="1">IF( AND($H$7,NOT(ISBLANK($H31))), IF( _xll.IMDP("IR", $H31, CT$8, Matrix!$D$6)=0, "", _xll.IMDP("IR", $H31, CT$8, Matrix!$D$6)), "")</f>
        <v>3.9169999999999998</v>
      </c>
      <c r="CU31" cm="1">
        <f t="array" aca="1" ref="CU31" ca="1">IF( AND($H$7,NOT(ISBLANK($H31))), IF( _xll.IMDP("IR", $H31, CU$8, Matrix!$D$6)=0, "", _xll.IMDP("IR", $H31, CU$8, Matrix!$D$6)), "")</f>
        <v>3.92</v>
      </c>
      <c r="CV31" cm="1">
        <f t="array" aca="1" ref="CV31" ca="1">IF( AND($H$7,NOT(ISBLANK($H31))), IF( _xll.IMDP("IR", $H31, CV$8, Matrix!$D$6)=0, "", _xll.IMDP("IR", $H31, CV$8, Matrix!$D$6)), "")</f>
        <v>3.9209999999999998</v>
      </c>
      <c r="CW31" cm="1">
        <f t="array" aca="1" ref="CW31" ca="1">IF( AND($H$7,NOT(ISBLANK($H31))), IF( _xll.IMDP("IR", $H31, CW$8, Matrix!$D$6)=0, "", _xll.IMDP("IR", $H31, CW$8, Matrix!$D$6)), "")</f>
        <v>3.9239999999999999</v>
      </c>
      <c r="CX31" cm="1">
        <f t="array" aca="1" ref="CX31" ca="1">IF( AND($H$7,NOT(ISBLANK($H31))), IF( _xll.IMDP("IR", $H31, CX$8, Matrix!$D$6)=0, "", _xll.IMDP("IR", $H31, CX$8, Matrix!$D$6)), "")</f>
        <v>3.9609999999999999</v>
      </c>
      <c r="CY31" cm="1">
        <f t="array" aca="1" ref="CY31" ca="1">IF( AND($H$7,NOT(ISBLANK($H31))), IF( _xll.IMDP("IR", $H31, CY$8, Matrix!$D$6)=0, "", _xll.IMDP("IR", $H31, CY$8, Matrix!$D$6)), "")</f>
        <v>4.1479999999999997</v>
      </c>
      <c r="CZ31" cm="1">
        <f t="array" aca="1" ref="CZ31" ca="1">IF( AND($H$7,NOT(ISBLANK($H31))), IF( _xll.IMDP("IR", $H31, CZ$8, Matrix!$D$6)=0, "", _xll.IMDP("IR", $H31, CZ$8, Matrix!$D$6)), "")</f>
        <v>4.4859999999999998</v>
      </c>
      <c r="DA31" t="str" cm="1">
        <f t="array" aca="1" ref="DA31" ca="1">IF( AND($H$7,NOT(ISBLANK($H31))), IF( _xll.IMDP("IR", $H31, DA$8, Matrix!$D$6)=0, "", _xll.IMDP("IR", $H31, DA$8, Matrix!$D$6)), "")</f>
        <v/>
      </c>
      <c r="DB31" cm="1">
        <f t="array" aca="1" ref="DB31" ca="1">IF( AND($H$7,NOT(ISBLANK($H31))), IF( _xll.IMDP("IR", $H31, DB$8, Matrix!$D$6)=0, "", _xll.IMDP("IR", $H31, DB$8, Matrix!$D$6)), "")</f>
        <v>4.7389999999999999</v>
      </c>
      <c r="DC31" t="str" cm="1">
        <f t="array" aca="1" ref="DC31" ca="1">IF( AND($H$7,NOT(ISBLANK($H31))), IF( _xll.IMDP("IR", $H31, DC$8, Matrix!$D$6)=0, "", _xll.IMDP("IR", $H31, DC$8, Matrix!$D$6)), "")</f>
        <v/>
      </c>
      <c r="DD31" t="str" cm="1">
        <f t="array" aca="1" ref="DD31" ca="1">IF( AND($H$7,NOT(ISBLANK($H31))), IF( _xll.IMDP("IR", $H31, DD$8, Matrix!$D$6)=0, "", _xll.IMDP("IR", $H31, DD$8, Matrix!$D$6)), "")</f>
        <v/>
      </c>
    </row>
    <row r="32" spans="2:108">
      <c r="B32" t="s">
        <v>100</v>
      </c>
      <c r="C32" t="s">
        <v>174</v>
      </c>
      <c r="E32" t="s">
        <v>311</v>
      </c>
      <c r="F32" t="s">
        <v>374</v>
      </c>
      <c r="G32" t="s">
        <v>440</v>
      </c>
      <c r="M32" s="21">
        <f t="shared" ca="1" si="1"/>
        <v>3.9566604069101761</v>
      </c>
      <c r="N32" s="21">
        <f t="shared" ca="1" si="2"/>
        <v>3.9969833960136554</v>
      </c>
      <c r="O32" s="21">
        <f t="shared" ca="1" si="3"/>
        <v>3.9859916373800135</v>
      </c>
      <c r="P32" s="21">
        <f t="shared" ca="1" si="4"/>
        <v>4.0033225726968453</v>
      </c>
      <c r="Q32" s="21">
        <f t="shared" ca="1" si="5"/>
        <v>4.0106594957214163</v>
      </c>
      <c r="R32" s="21">
        <f t="shared" ca="1" si="6"/>
        <v>4.0149909418967313</v>
      </c>
      <c r="S32" s="21">
        <f t="shared" ca="1" si="7"/>
        <v>4.0196663073757843</v>
      </c>
      <c r="T32" s="21">
        <f t="shared" ca="1" si="8"/>
        <v>4.024325524008562</v>
      </c>
      <c r="U32" s="21">
        <f t="shared" ca="1" si="9"/>
        <v>4.0285869783809893</v>
      </c>
      <c r="V32" s="21">
        <f t="shared" ca="1" si="10"/>
        <v>4.0819719494916615</v>
      </c>
      <c r="W32" s="21">
        <f t="shared" ca="1" si="11"/>
        <v>4.278976588072025</v>
      </c>
      <c r="X32" s="21">
        <f t="shared" ca="1" si="12"/>
        <v>4.6499945556648017</v>
      </c>
      <c r="Y32" s="21">
        <f t="shared" ca="1" si="13"/>
        <v>4.7876568869410825</v>
      </c>
      <c r="Z32" s="21">
        <f t="shared" ca="1" si="14"/>
        <v>4.9009970748421852</v>
      </c>
      <c r="AA32" s="21" t="e">
        <f t="shared" ca="1" si="15"/>
        <v>#NUM!</v>
      </c>
      <c r="AB32" s="21" t="e">
        <f t="shared" ca="1" si="16"/>
        <v>#NUM!</v>
      </c>
      <c r="AC32" t="str" cm="1">
        <f t="array" ref="AC32">IF( AND($D$7,NOT(ISBLANK($D32))), IF(_xll.IMDP("IR", $D32, AC$8, Matrix!$D$6)=0,"",_xll.IMDP("IR", $D32, AC$8, Matrix!$D$6)), "")</f>
        <v/>
      </c>
      <c r="AD32" t="str" cm="1">
        <f t="array" ref="AD32">IF( AND($D$7,NOT(ISBLANK($D32))), IF(_xll.IMDP("IR", $D32, AD$8, Matrix!$D$6)=0,"",_xll.IMDP("IR", $D32, AD$8, Matrix!$D$6)), "")</f>
        <v/>
      </c>
      <c r="AE32" t="str" cm="1">
        <f t="array" ref="AE32">IF( AND($D$7,NOT(ISBLANK($D32))), IF(_xll.IMDP("IR", $D32, AE$8, Matrix!$D$6)=0,"",_xll.IMDP("IR", $D32, AE$8, Matrix!$D$6)), "")</f>
        <v/>
      </c>
      <c r="AF32" t="str" cm="1">
        <f t="array" ref="AF32">IF( AND($D$7,NOT(ISBLANK($D32))), IF(_xll.IMDP("IR", $D32, AF$8, Matrix!$D$6)=0,"",_xll.IMDP("IR", $D32, AF$8, Matrix!$D$6)), "")</f>
        <v/>
      </c>
      <c r="AG32" t="str" cm="1">
        <f t="array" ref="AG32">IF( AND($D$7,NOT(ISBLANK($D32))), IF(_xll.IMDP("IR", $D32, AG$8, Matrix!$D$6)=0,"",_xll.IMDP("IR", $D32, AG$8, Matrix!$D$6)), "")</f>
        <v/>
      </c>
      <c r="AH32" t="str" cm="1">
        <f t="array" ref="AH32">IF( AND($D$7,NOT(ISBLANK($D32))), IF(_xll.IMDP("IR", $D32, AH$8, Matrix!$D$6)=0,"",_xll.IMDP("IR", $D32, AH$8, Matrix!$D$6)), "")</f>
        <v/>
      </c>
      <c r="AI32" t="str" cm="1">
        <f t="array" ref="AI32">IF( AND($D$7,NOT(ISBLANK($D32))), IF(_xll.IMDP("IR", $D32, AI$8, Matrix!$D$6)=0,"",_xll.IMDP("IR", $D32, AI$8, Matrix!$D$6)), "")</f>
        <v/>
      </c>
      <c r="AJ32" t="str" cm="1">
        <f t="array" ref="AJ32">IF( AND($D$7,NOT(ISBLANK($D32))), IF(_xll.IMDP("IR", $D32, AJ$8, Matrix!$D$6)=0,"",_xll.IMDP("IR", $D32, AJ$8, Matrix!$D$6)), "")</f>
        <v/>
      </c>
      <c r="AK32" t="str" cm="1">
        <f t="array" ref="AK32">IF( AND($D$7,NOT(ISBLANK($D32))), IF(_xll.IMDP("IR", $D32, AK$8, Matrix!$D$6)=0,"",_xll.IMDP("IR", $D32, AK$8, Matrix!$D$6)), "")</f>
        <v/>
      </c>
      <c r="AL32" t="str" cm="1">
        <f t="array" ref="AL32">IF( AND($D$7,NOT(ISBLANK($D32))), IF(_xll.IMDP("IR", $D32, AL$8, Matrix!$D$6)=0,"",_xll.IMDP("IR", $D32, AL$8, Matrix!$D$6)), "")</f>
        <v/>
      </c>
      <c r="AM32" t="str" cm="1">
        <f t="array" ref="AM32">IF( AND($D$7,NOT(ISBLANK($D32))), IF(_xll.IMDP("IR", $D32, AM$8, Matrix!$D$6)=0,"",_xll.IMDP("IR", $D32, AM$8, Matrix!$D$6)), "")</f>
        <v/>
      </c>
      <c r="AN32" t="str" cm="1">
        <f t="array" ref="AN32">IF( AND($D$7,NOT(ISBLANK($D32))), IF(_xll.IMDP("IR", $D32, AN$8, Matrix!$D$6)=0,"",_xll.IMDP("IR", $D32, AN$8, Matrix!$D$6)), "")</f>
        <v/>
      </c>
      <c r="AO32" t="str" cm="1">
        <f t="array" ref="AO32">IF( AND($D$7,NOT(ISBLANK($D32))), IF(_xll.IMDP("IR", $D32, AO$8, Matrix!$D$6)=0,"",_xll.IMDP("IR", $D32, AO$8, Matrix!$D$6)), "")</f>
        <v/>
      </c>
      <c r="AP32" t="str" cm="1">
        <f t="array" ref="AP32">IF( AND($D$7,NOT(ISBLANK($D32))), IF(_xll.IMDP("IR", $D32, AP$8, Matrix!$D$6)=0,"",_xll.IMDP("IR", $D32, AP$8, Matrix!$D$6)), "")</f>
        <v/>
      </c>
      <c r="AQ32" t="str" cm="1">
        <f t="array" ref="AQ32">IF( AND($D$7,NOT(ISBLANK($D32))), IF(_xll.IMDP("IR", $D32, AQ$8, Matrix!$D$6)=0,"",_xll.IMDP("IR", $D32, AQ$8, Matrix!$D$6)), "")</f>
        <v/>
      </c>
      <c r="AR32" t="str" cm="1">
        <f t="array" ref="AR32">IF( AND($D$7,NOT(ISBLANK($D32))), IF(_xll.IMDP("IR", $D32, AR$8, Matrix!$D$6)=0,"",_xll.IMDP("IR", $D32, AR$8, Matrix!$D$6)), "")</f>
        <v/>
      </c>
      <c r="AS32" cm="1">
        <f t="array" aca="1" ref="AS32" ca="1">IF( AND($E$7,NOT(ISBLANK($E32))), IF( _xll.IMDP("IR", $E32, AS$8, Matrix!$D$6)=0,"",_xll.IMDP("IR", $E32, AS$8, Matrix!$D$6)), "")</f>
        <v>3.9489999999999998</v>
      </c>
      <c r="AT32" cm="1">
        <f t="array" aca="1" ref="AT32" ca="1">IF( AND($E$7,NOT(ISBLANK($E32))), IF( _xll.IMDP("IR", $E32, AT$8, Matrix!$D$6)=0,"",_xll.IMDP("IR", $E32, AT$8, Matrix!$D$6)), "")</f>
        <v>3.9990000000000001</v>
      </c>
      <c r="AU32" cm="1">
        <f t="array" aca="1" ref="AU32" ca="1">IF( AND($E$7,NOT(ISBLANK($E32))), IF( _xll.IMDP("IR", $E32, AU$8, Matrix!$D$6)=0,"",_xll.IMDP("IR", $E32, AU$8, Matrix!$D$6)), "")</f>
        <v>3.9860000000000002</v>
      </c>
      <c r="AV32" cm="1">
        <f t="array" aca="1" ref="AV32" ca="1">IF( AND($E$7,NOT(ISBLANK($E32))), IF( _xll.IMDP("IR", $E32, AV$8, Matrix!$D$6)=0,"",_xll.IMDP("IR", $E32, AV$8, Matrix!$D$6)), "")</f>
        <v>3.9940000000000002</v>
      </c>
      <c r="AW32" cm="1">
        <f t="array" aca="1" ref="AW32" ca="1">IF( AND($E$7,NOT(ISBLANK($E32))), IF( _xll.IMDP("IR", $E32, AW$8, Matrix!$D$6)=0,"",_xll.IMDP("IR", $E32, AW$8, Matrix!$D$6)), "")</f>
        <v>4.0030000000000001</v>
      </c>
      <c r="AX32" cm="1">
        <f t="array" aca="1" ref="AX32" ca="1">IF( AND($E$7,NOT(ISBLANK($E32))), IF( _xll.IMDP("IR", $E32, AX$8, Matrix!$D$6)=0,"",_xll.IMDP("IR", $E32, AX$8, Matrix!$D$6)), "")</f>
        <v>4.0199999999999996</v>
      </c>
      <c r="AY32" cm="1">
        <f t="array" aca="1" ref="AY32" ca="1">IF( AND($E$7,NOT(ISBLANK($E32))), IF( _xll.IMDP("IR", $E32, AY$8, Matrix!$D$6)=0,"",_xll.IMDP("IR", $E32, AY$8, Matrix!$D$6)), "")</f>
        <v>4.0179999999999998</v>
      </c>
      <c r="AZ32" cm="1">
        <f t="array" aca="1" ref="AZ32" ca="1">IF( AND($E$7,NOT(ISBLANK($E32))), IF( _xll.IMDP("IR", $E32, AZ$8, Matrix!$D$6)=0,"",_xll.IMDP("IR", $E32, AZ$8, Matrix!$D$6)), "")</f>
        <v>4.016</v>
      </c>
      <c r="BA32" cm="1">
        <f t="array" aca="1" ref="BA32" ca="1">IF( AND($E$7,NOT(ISBLANK($E32))), IF( _xll.IMDP("IR", $E32, BA$8, Matrix!$D$6)=0,"",_xll.IMDP("IR", $E32, BA$8, Matrix!$D$6)), "")</f>
        <v>3.9929999999999999</v>
      </c>
      <c r="BB32" cm="1">
        <f t="array" aca="1" ref="BB32" ca="1">IF( AND($E$7,NOT(ISBLANK($E32))), IF( _xll.IMDP("IR", $E32, BB$8, Matrix!$D$6)=0,"",_xll.IMDP("IR", $E32, BB$8, Matrix!$D$6)), "")</f>
        <v>4.0609999999999999</v>
      </c>
      <c r="BC32" cm="1">
        <f t="array" aca="1" ref="BC32" ca="1">IF( AND($E$7,NOT(ISBLANK($E32))), IF( _xll.IMDP("IR", $E32, BC$8, Matrix!$D$6)=0,"",_xll.IMDP("IR", $E32, BC$8, Matrix!$D$6)), "")</f>
        <v>4.2699999999999996</v>
      </c>
      <c r="BD32" cm="1">
        <f t="array" aca="1" ref="BD32" ca="1">IF( AND($E$7,NOT(ISBLANK($E32))), IF( _xll.IMDP("IR", $E32, BD$8, Matrix!$D$6)=0,"",_xll.IMDP("IR", $E32, BD$8, Matrix!$D$6)), "")</f>
        <v>4.66</v>
      </c>
      <c r="BE32" cm="1">
        <f t="array" aca="1" ref="BE32" ca="1">IF( AND($E$7,NOT(ISBLANK($E32))), IF( _xll.IMDP("IR", $E32, BE$8, Matrix!$D$6)=0,"",_xll.IMDP("IR", $E32, BE$8, Matrix!$D$6)), "")</f>
        <v>4.7949999999999999</v>
      </c>
      <c r="BF32" cm="1">
        <f t="array" aca="1" ref="BF32" ca="1">IF( AND($E$7,NOT(ISBLANK($E32))), IF( _xll.IMDP("IR", $E32, BF$8, Matrix!$D$6)=0,"",_xll.IMDP("IR", $E32, BF$8, Matrix!$D$6)), "")</f>
        <v>4.9020000000000001</v>
      </c>
      <c r="BG32" t="str" cm="1">
        <f t="array" aca="1" ref="BG32" ca="1">IF( AND($E$7,NOT(ISBLANK($E32))), IF( _xll.IMDP("IR", $E32, BG$8, Matrix!$D$6)=0,"",_xll.IMDP("IR", $E32, BG$8, Matrix!$D$6)), "")</f>
        <v/>
      </c>
      <c r="BH32" t="str" cm="1">
        <f t="array" aca="1" ref="BH32" ca="1">IF( AND($E$7,NOT(ISBLANK($E32))), IF( _xll.IMDP("IR", $E32, BH$8, Matrix!$D$6)=0,"",_xll.IMDP("IR", $E32, BH$8, Matrix!$D$6)), "")</f>
        <v/>
      </c>
      <c r="BI32" cm="1">
        <f t="array" aca="1" ref="BI32" ca="1">IF( AND($F$7,NOT(ISBLANK($F32))), IF( _xll.IMDP("IR", $F32, BI$8, Matrix!$D$6)=0,"",_xll.IMDP("IR", $F32, BI$8, Matrix!$D$6)), "")</f>
        <v>3.9550000000000001</v>
      </c>
      <c r="BJ32" cm="1">
        <f t="array" aca="1" ref="BJ32" ca="1">IF( AND($F$7,NOT(ISBLANK($F32))), IF( _xll.IMDP("IR", $F32, BJ$8, Matrix!$D$6)=0,"",_xll.IMDP("IR", $F32, BJ$8, Matrix!$D$6)), "")</f>
        <v>3.9820000000000002</v>
      </c>
      <c r="BK32" cm="1">
        <f t="array" aca="1" ref="BK32" ca="1">IF( AND($F$7,NOT(ISBLANK($F32))), IF( _xll.IMDP("IR", $F32, BK$8, Matrix!$D$6)=0,"",_xll.IMDP("IR", $F32, BK$8, Matrix!$D$6)), "")</f>
        <v>3.996</v>
      </c>
      <c r="BL32" cm="1">
        <f t="array" aca="1" ref="BL32" ca="1">IF( AND($F$7,NOT(ISBLANK($F32))), IF( _xll.IMDP("IR", $F32, BL$8, Matrix!$D$6)=0,"",_xll.IMDP("IR", $F32, BL$8, Matrix!$D$6)), "")</f>
        <v>4.016</v>
      </c>
      <c r="BM32" cm="1">
        <f t="array" aca="1" ref="BM32" ca="1">IF( AND($F$7,NOT(ISBLANK($F32))), IF( _xll.IMDP("IR", $F32, BM$8, Matrix!$D$6)=0,"",_xll.IMDP("IR", $F32, BM$8, Matrix!$D$6)), "")</f>
        <v>4.0209999999999999</v>
      </c>
      <c r="BN32" cm="1">
        <f t="array" aca="1" ref="BN32" ca="1">IF( AND($F$7,NOT(ISBLANK($F32))), IF( _xll.IMDP("IR", $F32, BN$8, Matrix!$D$6)=0,"",_xll.IMDP("IR", $F32, BN$8, Matrix!$D$6)), "")</f>
        <v>4.0220000000000002</v>
      </c>
      <c r="BO32" cm="1">
        <f t="array" aca="1" ref="BO32" ca="1">IF( AND($F$7,NOT(ISBLANK($F32))), IF( _xll.IMDP("IR", $F32, BO$8, Matrix!$D$6)=0,"",_xll.IMDP("IR", $F32, BO$8, Matrix!$D$6)), "")</f>
        <v>4.0220000000000002</v>
      </c>
      <c r="BP32" cm="1">
        <f t="array" aca="1" ref="BP32" ca="1">IF( AND($F$7,NOT(ISBLANK($F32))), IF( _xll.IMDP("IR", $F32, BP$8, Matrix!$D$6)=0,"",_xll.IMDP("IR", $F32, BP$8, Matrix!$D$6)), "")</f>
        <v>4.0220000000000002</v>
      </c>
      <c r="BQ32" cm="1">
        <f t="array" aca="1" ref="BQ32" ca="1">IF( AND($F$7,NOT(ISBLANK($F32))), IF( _xll.IMDP("IR", $F32, BQ$8, Matrix!$D$6)=0,"",_xll.IMDP("IR", $F32, BQ$8, Matrix!$D$6)), "")</f>
        <v>4.0490000000000004</v>
      </c>
      <c r="BR32" cm="1">
        <f t="array" aca="1" ref="BR32" ca="1">IF( AND($F$7,NOT(ISBLANK($F32))), IF( _xll.IMDP("IR", $F32, BR$8, Matrix!$D$6)=0,"",_xll.IMDP("IR", $F32, BR$8, Matrix!$D$6)), "")</f>
        <v>4.0960000000000001</v>
      </c>
      <c r="BS32" cm="1">
        <f t="array" aca="1" ref="BS32" ca="1">IF( AND($F$7,NOT(ISBLANK($F32))), IF( _xll.IMDP("IR", $F32, BS$8, Matrix!$D$6)=0,"",_xll.IMDP("IR", $F32, BS$8, Matrix!$D$6)), "")</f>
        <v>4.2679999999999998</v>
      </c>
      <c r="BT32" cm="1">
        <f t="array" aca="1" ref="BT32" ca="1">IF( AND($F$7,NOT(ISBLANK($F32))), IF( _xll.IMDP("IR", $F32, BT$8, Matrix!$D$6)=0,"",_xll.IMDP("IR", $F32, BT$8, Matrix!$D$6)), "")</f>
        <v>4.6459999999999999</v>
      </c>
      <c r="BU32" cm="1">
        <f t="array" aca="1" ref="BU32" ca="1">IF( AND($F$7,NOT(ISBLANK($F32))), IF( _xll.IMDP("IR", $F32, BU$8, Matrix!$D$6)=0,"",_xll.IMDP("IR", $F32, BU$8, Matrix!$D$6)), "")</f>
        <v>4.774</v>
      </c>
      <c r="BV32" cm="1">
        <f t="array" aca="1" ref="BV32" ca="1">IF( AND($F$7,NOT(ISBLANK($F32))), IF( _xll.IMDP("IR", $F32, BV$8, Matrix!$D$6)=0,"",_xll.IMDP("IR", $F32, BV$8, Matrix!$D$6)), "")</f>
        <v>4.907</v>
      </c>
      <c r="BW32" t="str" cm="1">
        <f t="array" aca="1" ref="BW32" ca="1">IF( AND($F$7,NOT(ISBLANK($F32))), IF( _xll.IMDP("IR", $F32, BW$8, Matrix!$D$6)=0,"",_xll.IMDP("IR", $F32, BW$8, Matrix!$D$6)), "")</f>
        <v/>
      </c>
      <c r="BX32" t="str" cm="1">
        <f t="array" aca="1" ref="BX32" ca="1">IF( AND($F$7,NOT(ISBLANK($F32))), IF( _xll.IMDP("IR", $F32, BX$8, Matrix!$D$6)=0,"",_xll.IMDP("IR", $F32, BX$8, Matrix!$D$6)), "")</f>
        <v/>
      </c>
      <c r="BY32" cm="1">
        <f t="array" aca="1" ref="BY32" ca="1">IF( AND($G$7,NOT(ISBLANK($G32))), IF( _xll.IMDP("IR", $G32, BY$8, Matrix!$D$6)=0, "", _xll.IMDP("IR", $G32, BY$8, Matrix!$D$6)), "")</f>
        <v>3.9660000000000002</v>
      </c>
      <c r="BZ32" cm="1">
        <f t="array" aca="1" ref="BZ32" ca="1">IF( AND($G$7,NOT(ISBLANK($G32))), IF( _xll.IMDP("IR", $G32, BZ$8, Matrix!$D$6)=0, "", _xll.IMDP("IR", $G32, BZ$8, Matrix!$D$6)), "")</f>
        <v>4.01</v>
      </c>
      <c r="CA32" cm="1">
        <f t="array" aca="1" ref="CA32" ca="1">IF( AND($G$7,NOT(ISBLANK($G32))), IF( _xll.IMDP("IR", $G32, CA$8, Matrix!$D$6)=0, "", _xll.IMDP("IR", $G32, CA$8, Matrix!$D$6)), "")</f>
        <v>3.976</v>
      </c>
      <c r="CB32" cm="1">
        <f t="array" aca="1" ref="CB32" ca="1">IF( AND($G$7,NOT(ISBLANK($G32))), IF( _xll.IMDP("IR", $G32, CB$8, Matrix!$D$6)=0, "", _xll.IMDP("IR", $G32, CB$8, Matrix!$D$6)), "")</f>
        <v>4</v>
      </c>
      <c r="CC32" cm="1">
        <f t="array" aca="1" ref="CC32" ca="1">IF( AND($G$7,NOT(ISBLANK($G32))), IF( _xll.IMDP("IR", $G32, CC$8, Matrix!$D$6)=0, "", _xll.IMDP("IR", $G32, CC$8, Matrix!$D$6)), "")</f>
        <v>4.008</v>
      </c>
      <c r="CD32" cm="1">
        <f t="array" aca="1" ref="CD32" ca="1">IF( AND($G$7,NOT(ISBLANK($G32))), IF( _xll.IMDP("IR", $G32, CD$8, Matrix!$D$6)=0, "", _xll.IMDP("IR", $G32, CD$8, Matrix!$D$6)), "")</f>
        <v>4.0030000000000001</v>
      </c>
      <c r="CE32" cm="1">
        <f t="array" aca="1" ref="CE32" ca="1">IF( AND($G$7,NOT(ISBLANK($G32))), IF( _xll.IMDP("IR", $G32, CE$8, Matrix!$D$6)=0, "", _xll.IMDP("IR", $G32, CE$8, Matrix!$D$6)), "")</f>
        <v>4.0190000000000001</v>
      </c>
      <c r="CF32" cm="1">
        <f t="array" aca="1" ref="CF32" ca="1">IF( AND($G$7,NOT(ISBLANK($G32))), IF( _xll.IMDP("IR", $G32, CF$8, Matrix!$D$6)=0, "", _xll.IMDP("IR", $G32, CF$8, Matrix!$D$6)), "")</f>
        <v>4.0350000000000001</v>
      </c>
      <c r="CG32" cm="1">
        <f t="array" aca="1" ref="CG32" ca="1">IF( AND($G$7,NOT(ISBLANK($G32))), IF( _xll.IMDP("IR", $G32, CG$8, Matrix!$D$6)=0, "", _xll.IMDP("IR", $G32, CG$8, Matrix!$D$6)), "")</f>
        <v>4.0439999999999996</v>
      </c>
      <c r="CH32" cm="1">
        <f t="array" aca="1" ref="CH32" ca="1">IF( AND($G$7,NOT(ISBLANK($G32))), IF( _xll.IMDP("IR", $G32, CH$8, Matrix!$D$6)=0, "", _xll.IMDP("IR", $G32, CH$8, Matrix!$D$6)), "")</f>
        <v>4.0890000000000004</v>
      </c>
      <c r="CI32" cm="1">
        <f t="array" aca="1" ref="CI32" ca="1">IF( AND($G$7,NOT(ISBLANK($G32))), IF( _xll.IMDP("IR", $G32, CI$8, Matrix!$D$6)=0, "", _xll.IMDP("IR", $G32, CI$8, Matrix!$D$6)), "")</f>
        <v>4.2990000000000004</v>
      </c>
      <c r="CJ32" cm="1">
        <f t="array" aca="1" ref="CJ32" ca="1">IF( AND($G$7,NOT(ISBLANK($G32))), IF( _xll.IMDP("IR", $G32, CJ$8, Matrix!$D$6)=0, "", _xll.IMDP("IR", $G32, CJ$8, Matrix!$D$6)), "")</f>
        <v>4.6440000000000001</v>
      </c>
      <c r="CK32" cm="1">
        <f t="array" aca="1" ref="CK32" ca="1">IF( AND($G$7,NOT(ISBLANK($G32))), IF( _xll.IMDP("IR", $G32, CK$8, Matrix!$D$6)=0, "", _xll.IMDP("IR", $G32, CK$8, Matrix!$D$6)), "")</f>
        <v>4.7939999999999996</v>
      </c>
      <c r="CL32" cm="1">
        <f t="array" aca="1" ref="CL32" ca="1">IF( AND($G$7,NOT(ISBLANK($G32))), IF( _xll.IMDP("IR", $G32, CL$8, Matrix!$D$6)=0, "", _xll.IMDP("IR", $G32, CL$8, Matrix!$D$6)), "")</f>
        <v>4.8940000000000001</v>
      </c>
      <c r="CM32" t="str" cm="1">
        <f t="array" aca="1" ref="CM32" ca="1">IF( AND($G$7,NOT(ISBLANK($G32))), IF( _xll.IMDP("IR", $G32, CM$8, Matrix!$D$6)=0, "", _xll.IMDP("IR", $G32, CM$8, Matrix!$D$6)), "")</f>
        <v/>
      </c>
      <c r="CN32" t="str" cm="1">
        <f t="array" aca="1" ref="CN32" ca="1">IF( AND($G$7,NOT(ISBLANK($G32))), IF( _xll.IMDP("IR", $G32, CN$8, Matrix!$D$6)=0, "", _xll.IMDP("IR", $G32, CN$8, Matrix!$D$6)), "")</f>
        <v/>
      </c>
      <c r="CO32" t="str" cm="1">
        <f t="array" ref="CO32">IF( AND($H$7,NOT(ISBLANK($H32))), IF( _xll.IMDP("IR", $H32, CO$8, Matrix!$D$6)=0, "", _xll.IMDP("IR", $H32, CO$8, Matrix!$D$6)), "")</f>
        <v/>
      </c>
      <c r="CP32" t="str" cm="1">
        <f t="array" ref="CP32">IF( AND($H$7,NOT(ISBLANK($H32))), IF( _xll.IMDP("IR", $H32, CP$8, Matrix!$D$6)=0, "", _xll.IMDP("IR", $H32, CP$8, Matrix!$D$6)), "")</f>
        <v/>
      </c>
      <c r="CQ32" t="str" cm="1">
        <f t="array" ref="CQ32">IF( AND($H$7,NOT(ISBLANK($H32))), IF( _xll.IMDP("IR", $H32, CQ$8, Matrix!$D$6)=0, "", _xll.IMDP("IR", $H32, CQ$8, Matrix!$D$6)), "")</f>
        <v/>
      </c>
      <c r="CR32" t="str" cm="1">
        <f t="array" ref="CR32">IF( AND($H$7,NOT(ISBLANK($H32))), IF( _xll.IMDP("IR", $H32, CR$8, Matrix!$D$6)=0, "", _xll.IMDP("IR", $H32, CR$8, Matrix!$D$6)), "")</f>
        <v/>
      </c>
      <c r="CS32" t="str" cm="1">
        <f t="array" ref="CS32">IF( AND($H$7,NOT(ISBLANK($H32))), IF( _xll.IMDP("IR", $H32, CS$8, Matrix!$D$6)=0, "", _xll.IMDP("IR", $H32, CS$8, Matrix!$D$6)), "")</f>
        <v/>
      </c>
      <c r="CT32" t="str" cm="1">
        <f t="array" ref="CT32">IF( AND($H$7,NOT(ISBLANK($H32))), IF( _xll.IMDP("IR", $H32, CT$8, Matrix!$D$6)=0, "", _xll.IMDP("IR", $H32, CT$8, Matrix!$D$6)), "")</f>
        <v/>
      </c>
      <c r="CU32" t="str" cm="1">
        <f t="array" ref="CU32">IF( AND($H$7,NOT(ISBLANK($H32))), IF( _xll.IMDP("IR", $H32, CU$8, Matrix!$D$6)=0, "", _xll.IMDP("IR", $H32, CU$8, Matrix!$D$6)), "")</f>
        <v/>
      </c>
      <c r="CV32" t="str" cm="1">
        <f t="array" ref="CV32">IF( AND($H$7,NOT(ISBLANK($H32))), IF( _xll.IMDP("IR", $H32, CV$8, Matrix!$D$6)=0, "", _xll.IMDP("IR", $H32, CV$8, Matrix!$D$6)), "")</f>
        <v/>
      </c>
      <c r="CW32" t="str" cm="1">
        <f t="array" ref="CW32">IF( AND($H$7,NOT(ISBLANK($H32))), IF( _xll.IMDP("IR", $H32, CW$8, Matrix!$D$6)=0, "", _xll.IMDP("IR", $H32, CW$8, Matrix!$D$6)), "")</f>
        <v/>
      </c>
      <c r="CX32" t="str" cm="1">
        <f t="array" ref="CX32">IF( AND($H$7,NOT(ISBLANK($H32))), IF( _xll.IMDP("IR", $H32, CX$8, Matrix!$D$6)=0, "", _xll.IMDP("IR", $H32, CX$8, Matrix!$D$6)), "")</f>
        <v/>
      </c>
      <c r="CY32" t="str" cm="1">
        <f t="array" ref="CY32">IF( AND($H$7,NOT(ISBLANK($H32))), IF( _xll.IMDP("IR", $H32, CY$8, Matrix!$D$6)=0, "", _xll.IMDP("IR", $H32, CY$8, Matrix!$D$6)), "")</f>
        <v/>
      </c>
      <c r="CZ32" t="str" cm="1">
        <f t="array" ref="CZ32">IF( AND($H$7,NOT(ISBLANK($H32))), IF( _xll.IMDP("IR", $H32, CZ$8, Matrix!$D$6)=0, "", _xll.IMDP("IR", $H32, CZ$8, Matrix!$D$6)), "")</f>
        <v/>
      </c>
      <c r="DA32" t="str" cm="1">
        <f t="array" ref="DA32">IF( AND($H$7,NOT(ISBLANK($H32))), IF( _xll.IMDP("IR", $H32, DA$8, Matrix!$D$6)=0, "", _xll.IMDP("IR", $H32, DA$8, Matrix!$D$6)), "")</f>
        <v/>
      </c>
      <c r="DB32" t="str" cm="1">
        <f t="array" ref="DB32">IF( AND($H$7,NOT(ISBLANK($H32))), IF( _xll.IMDP("IR", $H32, DB$8, Matrix!$D$6)=0, "", _xll.IMDP("IR", $H32, DB$8, Matrix!$D$6)), "")</f>
        <v/>
      </c>
      <c r="DC32" t="str" cm="1">
        <f t="array" ref="DC32">IF( AND($H$7,NOT(ISBLANK($H32))), IF( _xll.IMDP("IR", $H32, DC$8, Matrix!$D$6)=0, "", _xll.IMDP("IR", $H32, DC$8, Matrix!$D$6)), "")</f>
        <v/>
      </c>
      <c r="DD32" t="str" cm="1">
        <f t="array" ref="DD32">IF( AND($H$7,NOT(ISBLANK($H32))), IF( _xll.IMDP("IR", $H32, DD$8, Matrix!$D$6)=0, "", _xll.IMDP("IR", $H32, DD$8, Matrix!$D$6)), "")</f>
        <v/>
      </c>
    </row>
    <row r="33" spans="2:108">
      <c r="B33" t="s">
        <v>101</v>
      </c>
      <c r="C33" t="s">
        <v>175</v>
      </c>
      <c r="E33" t="s">
        <v>312</v>
      </c>
      <c r="F33" t="s">
        <v>375</v>
      </c>
      <c r="G33" t="s">
        <v>441</v>
      </c>
      <c r="M33" s="21">
        <f t="shared" ca="1" si="1"/>
        <v>4.0436526208745933</v>
      </c>
      <c r="N33" s="21">
        <f t="shared" ca="1" si="2"/>
        <v>4.0859798355390078</v>
      </c>
      <c r="O33" s="21">
        <f t="shared" ca="1" si="3"/>
        <v>4.0716505779989571</v>
      </c>
      <c r="P33" s="21">
        <f t="shared" ca="1" si="4"/>
        <v>4.0969921027886675</v>
      </c>
      <c r="Q33" s="21">
        <f t="shared" ca="1" si="5"/>
        <v>4.1019840537302921</v>
      </c>
      <c r="R33" s="21">
        <f t="shared" ca="1" si="6"/>
        <v>4.1083315206537003</v>
      </c>
      <c r="S33" s="21">
        <f t="shared" ca="1" si="7"/>
        <v>4.1149989471780346</v>
      </c>
      <c r="T33" s="21">
        <f t="shared" ca="1" si="8"/>
        <v>4.1189844010673795</v>
      </c>
      <c r="U33" s="21">
        <f t="shared" ca="1" si="9"/>
        <v>4.1299103215777313</v>
      </c>
      <c r="V33" s="21">
        <f t="shared" ca="1" si="10"/>
        <v>4.1949650193625034</v>
      </c>
      <c r="W33" s="21">
        <f t="shared" ca="1" si="11"/>
        <v>4.3955943863811386</v>
      </c>
      <c r="X33" s="21">
        <f t="shared" ca="1" si="12"/>
        <v>4.7806291750713443</v>
      </c>
      <c r="Y33" s="21">
        <f t="shared" ca="1" si="13"/>
        <v>4.9226307457317633</v>
      </c>
      <c r="Z33" s="21">
        <f t="shared" ca="1" si="14"/>
        <v>5.042649370481187</v>
      </c>
      <c r="AA33" s="21" t="e">
        <f t="shared" ca="1" si="15"/>
        <v>#NUM!</v>
      </c>
      <c r="AB33" s="21" t="e">
        <f t="shared" ca="1" si="16"/>
        <v>#NUM!</v>
      </c>
      <c r="AC33" t="str" cm="1">
        <f t="array" ref="AC33">IF( AND($D$7,NOT(ISBLANK($D33))), IF(_xll.IMDP("IR", $D33, AC$8, Matrix!$D$6)=0,"",_xll.IMDP("IR", $D33, AC$8, Matrix!$D$6)), "")</f>
        <v/>
      </c>
      <c r="AD33" t="str" cm="1">
        <f t="array" ref="AD33">IF( AND($D$7,NOT(ISBLANK($D33))), IF(_xll.IMDP("IR", $D33, AD$8, Matrix!$D$6)=0,"",_xll.IMDP("IR", $D33, AD$8, Matrix!$D$6)), "")</f>
        <v/>
      </c>
      <c r="AE33" t="str" cm="1">
        <f t="array" ref="AE33">IF( AND($D$7,NOT(ISBLANK($D33))), IF(_xll.IMDP("IR", $D33, AE$8, Matrix!$D$6)=0,"",_xll.IMDP("IR", $D33, AE$8, Matrix!$D$6)), "")</f>
        <v/>
      </c>
      <c r="AF33" t="str" cm="1">
        <f t="array" ref="AF33">IF( AND($D$7,NOT(ISBLANK($D33))), IF(_xll.IMDP("IR", $D33, AF$8, Matrix!$D$6)=0,"",_xll.IMDP("IR", $D33, AF$8, Matrix!$D$6)), "")</f>
        <v/>
      </c>
      <c r="AG33" t="str" cm="1">
        <f t="array" ref="AG33">IF( AND($D$7,NOT(ISBLANK($D33))), IF(_xll.IMDP("IR", $D33, AG$8, Matrix!$D$6)=0,"",_xll.IMDP("IR", $D33, AG$8, Matrix!$D$6)), "")</f>
        <v/>
      </c>
      <c r="AH33" t="str" cm="1">
        <f t="array" ref="AH33">IF( AND($D$7,NOT(ISBLANK($D33))), IF(_xll.IMDP("IR", $D33, AH$8, Matrix!$D$6)=0,"",_xll.IMDP("IR", $D33, AH$8, Matrix!$D$6)), "")</f>
        <v/>
      </c>
      <c r="AI33" t="str" cm="1">
        <f t="array" ref="AI33">IF( AND($D$7,NOT(ISBLANK($D33))), IF(_xll.IMDP("IR", $D33, AI$8, Matrix!$D$6)=0,"",_xll.IMDP("IR", $D33, AI$8, Matrix!$D$6)), "")</f>
        <v/>
      </c>
      <c r="AJ33" t="str" cm="1">
        <f t="array" ref="AJ33">IF( AND($D$7,NOT(ISBLANK($D33))), IF(_xll.IMDP("IR", $D33, AJ$8, Matrix!$D$6)=0,"",_xll.IMDP("IR", $D33, AJ$8, Matrix!$D$6)), "")</f>
        <v/>
      </c>
      <c r="AK33" t="str" cm="1">
        <f t="array" ref="AK33">IF( AND($D$7,NOT(ISBLANK($D33))), IF(_xll.IMDP("IR", $D33, AK$8, Matrix!$D$6)=0,"",_xll.IMDP("IR", $D33, AK$8, Matrix!$D$6)), "")</f>
        <v/>
      </c>
      <c r="AL33" t="str" cm="1">
        <f t="array" ref="AL33">IF( AND($D$7,NOT(ISBLANK($D33))), IF(_xll.IMDP("IR", $D33, AL$8, Matrix!$D$6)=0,"",_xll.IMDP("IR", $D33, AL$8, Matrix!$D$6)), "")</f>
        <v/>
      </c>
      <c r="AM33" t="str" cm="1">
        <f t="array" ref="AM33">IF( AND($D$7,NOT(ISBLANK($D33))), IF(_xll.IMDP("IR", $D33, AM$8, Matrix!$D$6)=0,"",_xll.IMDP("IR", $D33, AM$8, Matrix!$D$6)), "")</f>
        <v/>
      </c>
      <c r="AN33" t="str" cm="1">
        <f t="array" ref="AN33">IF( AND($D$7,NOT(ISBLANK($D33))), IF(_xll.IMDP("IR", $D33, AN$8, Matrix!$D$6)=0,"",_xll.IMDP("IR", $D33, AN$8, Matrix!$D$6)), "")</f>
        <v/>
      </c>
      <c r="AO33" t="str" cm="1">
        <f t="array" ref="AO33">IF( AND($D$7,NOT(ISBLANK($D33))), IF(_xll.IMDP("IR", $D33, AO$8, Matrix!$D$6)=0,"",_xll.IMDP("IR", $D33, AO$8, Matrix!$D$6)), "")</f>
        <v/>
      </c>
      <c r="AP33" t="str" cm="1">
        <f t="array" ref="AP33">IF( AND($D$7,NOT(ISBLANK($D33))), IF(_xll.IMDP("IR", $D33, AP$8, Matrix!$D$6)=0,"",_xll.IMDP("IR", $D33, AP$8, Matrix!$D$6)), "")</f>
        <v/>
      </c>
      <c r="AQ33" t="str" cm="1">
        <f t="array" ref="AQ33">IF( AND($D$7,NOT(ISBLANK($D33))), IF(_xll.IMDP("IR", $D33, AQ$8, Matrix!$D$6)=0,"",_xll.IMDP("IR", $D33, AQ$8, Matrix!$D$6)), "")</f>
        <v/>
      </c>
      <c r="AR33" t="str" cm="1">
        <f t="array" ref="AR33">IF( AND($D$7,NOT(ISBLANK($D33))), IF(_xll.IMDP("IR", $D33, AR$8, Matrix!$D$6)=0,"",_xll.IMDP("IR", $D33, AR$8, Matrix!$D$6)), "")</f>
        <v/>
      </c>
      <c r="AS33" cm="1">
        <f t="array" aca="1" ref="AS33" ca="1">IF( AND($E$7,NOT(ISBLANK($E33))), IF( _xll.IMDP("IR", $E33, AS$8, Matrix!$D$6)=0,"",_xll.IMDP("IR", $E33, AS$8, Matrix!$D$6)), "")</f>
        <v>4.03</v>
      </c>
      <c r="AT33" cm="1">
        <f t="array" aca="1" ref="AT33" ca="1">IF( AND($E$7,NOT(ISBLANK($E33))), IF( _xll.IMDP("IR", $E33, AT$8, Matrix!$D$6)=0,"",_xll.IMDP("IR", $E33, AT$8, Matrix!$D$6)), "")</f>
        <v>4.0890000000000004</v>
      </c>
      <c r="AU33" cm="1">
        <f t="array" aca="1" ref="AU33" ca="1">IF( AND($E$7,NOT(ISBLANK($E33))), IF( _xll.IMDP("IR", $E33, AU$8, Matrix!$D$6)=0,"",_xll.IMDP("IR", $E33, AU$8, Matrix!$D$6)), "")</f>
        <v>4.0759999999999996</v>
      </c>
      <c r="AV33" cm="1">
        <f t="array" aca="1" ref="AV33" ca="1">IF( AND($E$7,NOT(ISBLANK($E33))), IF( _xll.IMDP("IR", $E33, AV$8, Matrix!$D$6)=0,"",_xll.IMDP("IR", $E33, AV$8, Matrix!$D$6)), "")</f>
        <v>4.0860000000000003</v>
      </c>
      <c r="AW33" cm="1">
        <f t="array" aca="1" ref="AW33" ca="1">IF( AND($E$7,NOT(ISBLANK($E33))), IF( _xll.IMDP("IR", $E33, AW$8, Matrix!$D$6)=0,"",_xll.IMDP("IR", $E33, AW$8, Matrix!$D$6)), "")</f>
        <v>4.0860000000000003</v>
      </c>
      <c r="AX33" cm="1">
        <f t="array" aca="1" ref="AX33" ca="1">IF( AND($E$7,NOT(ISBLANK($E33))), IF( _xll.IMDP("IR", $E33, AX$8, Matrix!$D$6)=0,"",_xll.IMDP("IR", $E33, AX$8, Matrix!$D$6)), "")</f>
        <v>4.1100000000000003</v>
      </c>
      <c r="AY33" cm="1">
        <f t="array" aca="1" ref="AY33" ca="1">IF( AND($E$7,NOT(ISBLANK($E33))), IF( _xll.IMDP("IR", $E33, AY$8, Matrix!$D$6)=0,"",_xll.IMDP("IR", $E33, AY$8, Matrix!$D$6)), "")</f>
        <v>4.1139999999999999</v>
      </c>
      <c r="AZ33" cm="1">
        <f t="array" aca="1" ref="AZ33" ca="1">IF( AND($E$7,NOT(ISBLANK($E33))), IF( _xll.IMDP("IR", $E33, AZ$8, Matrix!$D$6)=0,"",_xll.IMDP("IR", $E33, AZ$8, Matrix!$D$6)), "")</f>
        <v>4.1100000000000003</v>
      </c>
      <c r="BA33" cm="1">
        <f t="array" aca="1" ref="BA33" ca="1">IF( AND($E$7,NOT(ISBLANK($E33))), IF( _xll.IMDP("IR", $E33, BA$8, Matrix!$D$6)=0,"",_xll.IMDP("IR", $E33, BA$8, Matrix!$D$6)), "")</f>
        <v>4.0919999999999996</v>
      </c>
      <c r="BB33" cm="1">
        <f t="array" aca="1" ref="BB33" ca="1">IF( AND($E$7,NOT(ISBLANK($E33))), IF( _xll.IMDP("IR", $E33, BB$8, Matrix!$D$6)=0,"",_xll.IMDP("IR", $E33, BB$8, Matrix!$D$6)), "")</f>
        <v>4.18</v>
      </c>
      <c r="BC33" cm="1">
        <f t="array" aca="1" ref="BC33" ca="1">IF( AND($E$7,NOT(ISBLANK($E33))), IF( _xll.IMDP("IR", $E33, BC$8, Matrix!$D$6)=0,"",_xll.IMDP("IR", $E33, BC$8, Matrix!$D$6)), "")</f>
        <v>4.3899999999999997</v>
      </c>
      <c r="BD33" cm="1">
        <f t="array" aca="1" ref="BD33" ca="1">IF( AND($E$7,NOT(ISBLANK($E33))), IF( _xll.IMDP("IR", $E33, BD$8, Matrix!$D$6)=0,"",_xll.IMDP("IR", $E33, BD$8, Matrix!$D$6)), "")</f>
        <v>4.8019999999999996</v>
      </c>
      <c r="BE33" cm="1">
        <f t="array" aca="1" ref="BE33" ca="1">IF( AND($E$7,NOT(ISBLANK($E33))), IF( _xll.IMDP("IR", $E33, BE$8, Matrix!$D$6)=0,"",_xll.IMDP("IR", $E33, BE$8, Matrix!$D$6)), "")</f>
        <v>4.9450000000000003</v>
      </c>
      <c r="BF33" cm="1">
        <f t="array" aca="1" ref="BF33" ca="1">IF( AND($E$7,NOT(ISBLANK($E33))), IF( _xll.IMDP("IR", $E33, BF$8, Matrix!$D$6)=0,"",_xll.IMDP("IR", $E33, BF$8, Matrix!$D$6)), "")</f>
        <v>5.0519999999999996</v>
      </c>
      <c r="BG33" t="str" cm="1">
        <f t="array" aca="1" ref="BG33" ca="1">IF( AND($E$7,NOT(ISBLANK($E33))), IF( _xll.IMDP("IR", $E33, BG$8, Matrix!$D$6)=0,"",_xll.IMDP("IR", $E33, BG$8, Matrix!$D$6)), "")</f>
        <v/>
      </c>
      <c r="BH33" t="str" cm="1">
        <f t="array" aca="1" ref="BH33" ca="1">IF( AND($E$7,NOT(ISBLANK($E33))), IF( _xll.IMDP("IR", $E33, BH$8, Matrix!$D$6)=0,"",_xll.IMDP("IR", $E33, BH$8, Matrix!$D$6)), "")</f>
        <v/>
      </c>
      <c r="BI33" cm="1">
        <f t="array" aca="1" ref="BI33" ca="1">IF( AND($F$7,NOT(ISBLANK($F33))), IF( _xll.IMDP("IR", $F33, BI$8, Matrix!$D$6)=0,"",_xll.IMDP("IR", $F33, BI$8, Matrix!$D$6)), "")</f>
        <v>4.0449999999999999</v>
      </c>
      <c r="BJ33" cm="1">
        <f t="array" aca="1" ref="BJ33" ca="1">IF( AND($F$7,NOT(ISBLANK($F33))), IF( _xll.IMDP("IR", $F33, BJ$8, Matrix!$D$6)=0,"",_xll.IMDP("IR", $F33, BJ$8, Matrix!$D$6)), "")</f>
        <v>4.069</v>
      </c>
      <c r="BK33" cm="1">
        <f t="array" aca="1" ref="BK33" ca="1">IF( AND($F$7,NOT(ISBLANK($F33))), IF( _xll.IMDP("IR", $F33, BK$8, Matrix!$D$6)=0,"",_xll.IMDP("IR", $F33, BK$8, Matrix!$D$6)), "")</f>
        <v>4.0830000000000002</v>
      </c>
      <c r="BL33" cm="1">
        <f t="array" aca="1" ref="BL33" ca="1">IF( AND($F$7,NOT(ISBLANK($F33))), IF( _xll.IMDP("IR", $F33, BL$8, Matrix!$D$6)=0,"",_xll.IMDP("IR", $F33, BL$8, Matrix!$D$6)), "")</f>
        <v>4.1050000000000004</v>
      </c>
      <c r="BM33" cm="1">
        <f t="array" aca="1" ref="BM33" ca="1">IF( AND($F$7,NOT(ISBLANK($F33))), IF( _xll.IMDP("IR", $F33, BM$8, Matrix!$D$6)=0,"",_xll.IMDP("IR", $F33, BM$8, Matrix!$D$6)), "")</f>
        <v>4.1120000000000001</v>
      </c>
      <c r="BN33" cm="1">
        <f t="array" aca="1" ref="BN33" ca="1">IF( AND($F$7,NOT(ISBLANK($F33))), IF( _xll.IMDP("IR", $F33, BN$8, Matrix!$D$6)=0,"",_xll.IMDP("IR", $F33, BN$8, Matrix!$D$6)), "")</f>
        <v>4.1120000000000001</v>
      </c>
      <c r="BO33" cm="1">
        <f t="array" aca="1" ref="BO33" ca="1">IF( AND($F$7,NOT(ISBLANK($F33))), IF( _xll.IMDP("IR", $F33, BO$8, Matrix!$D$6)=0,"",_xll.IMDP("IR", $F33, BO$8, Matrix!$D$6)), "")</f>
        <v>4.1120000000000001</v>
      </c>
      <c r="BP33" cm="1">
        <f t="array" aca="1" ref="BP33" ca="1">IF( AND($F$7,NOT(ISBLANK($F33))), IF( _xll.IMDP("IR", $F33, BP$8, Matrix!$D$6)=0,"",_xll.IMDP("IR", $F33, BP$8, Matrix!$D$6)), "")</f>
        <v>4.1120000000000001</v>
      </c>
      <c r="BQ33" cm="1">
        <f t="array" aca="1" ref="BQ33" ca="1">IF( AND($F$7,NOT(ISBLANK($F33))), IF( _xll.IMDP("IR", $F33, BQ$8, Matrix!$D$6)=0,"",_xll.IMDP("IR", $F33, BQ$8, Matrix!$D$6)), "")</f>
        <v>4.1440000000000001</v>
      </c>
      <c r="BR33" cm="1">
        <f t="array" aca="1" ref="BR33" ca="1">IF( AND($F$7,NOT(ISBLANK($F33))), IF( _xll.IMDP("IR", $F33, BR$8, Matrix!$D$6)=0,"",_xll.IMDP("IR", $F33, BR$8, Matrix!$D$6)), "")</f>
        <v>4.1859999999999999</v>
      </c>
      <c r="BS33" cm="1">
        <f t="array" aca="1" ref="BS33" ca="1">IF( AND($F$7,NOT(ISBLANK($F33))), IF( _xll.IMDP("IR", $F33, BS$8, Matrix!$D$6)=0,"",_xll.IMDP("IR", $F33, BS$8, Matrix!$D$6)), "")</f>
        <v>4.3680000000000003</v>
      </c>
      <c r="BT33" cm="1">
        <f t="array" aca="1" ref="BT33" ca="1">IF( AND($F$7,NOT(ISBLANK($F33))), IF( _xll.IMDP("IR", $F33, BT$8, Matrix!$D$6)=0,"",_xll.IMDP("IR", $F33, BT$8, Matrix!$D$6)), "")</f>
        <v>4.7560000000000002</v>
      </c>
      <c r="BU33" cm="1">
        <f t="array" aca="1" ref="BU33" ca="1">IF( AND($F$7,NOT(ISBLANK($F33))), IF( _xll.IMDP("IR", $F33, BU$8, Matrix!$D$6)=0,"",_xll.IMDP("IR", $F33, BU$8, Matrix!$D$6)), "")</f>
        <v>4.899</v>
      </c>
      <c r="BV33" cm="1">
        <f t="array" aca="1" ref="BV33" ca="1">IF( AND($F$7,NOT(ISBLANK($F33))), IF( _xll.IMDP("IR", $F33, BV$8, Matrix!$D$6)=0,"",_xll.IMDP("IR", $F33, BV$8, Matrix!$D$6)), "")</f>
        <v>5.0519999999999996</v>
      </c>
      <c r="BW33" t="str" cm="1">
        <f t="array" aca="1" ref="BW33" ca="1">IF( AND($F$7,NOT(ISBLANK($F33))), IF( _xll.IMDP("IR", $F33, BW$8, Matrix!$D$6)=0,"",_xll.IMDP("IR", $F33, BW$8, Matrix!$D$6)), "")</f>
        <v/>
      </c>
      <c r="BX33" t="str" cm="1">
        <f t="array" aca="1" ref="BX33" ca="1">IF( AND($F$7,NOT(ISBLANK($F33))), IF( _xll.IMDP("IR", $F33, BX$8, Matrix!$D$6)=0,"",_xll.IMDP("IR", $F33, BX$8, Matrix!$D$6)), "")</f>
        <v/>
      </c>
      <c r="BY33" cm="1">
        <f t="array" aca="1" ref="BY33" ca="1">IF( AND($G$7,NOT(ISBLANK($G33))), IF( _xll.IMDP("IR", $G33, BY$8, Matrix!$D$6)=0, "", _xll.IMDP("IR", $G33, BY$8, Matrix!$D$6)), "")</f>
        <v>4.056</v>
      </c>
      <c r="BZ33" cm="1">
        <f t="array" aca="1" ref="BZ33" ca="1">IF( AND($G$7,NOT(ISBLANK($G33))), IF( _xll.IMDP("IR", $G33, BZ$8, Matrix!$D$6)=0, "", _xll.IMDP("IR", $G33, BZ$8, Matrix!$D$6)), "")</f>
        <v>4.0999999999999996</v>
      </c>
      <c r="CA33" cm="1">
        <f t="array" aca="1" ref="CA33" ca="1">IF( AND($G$7,NOT(ISBLANK($G33))), IF( _xll.IMDP("IR", $G33, CA$8, Matrix!$D$6)=0, "", _xll.IMDP("IR", $G33, CA$8, Matrix!$D$6)), "")</f>
        <v>4.056</v>
      </c>
      <c r="CB33" cm="1">
        <f t="array" aca="1" ref="CB33" ca="1">IF( AND($G$7,NOT(ISBLANK($G33))), IF( _xll.IMDP("IR", $G33, CB$8, Matrix!$D$6)=0, "", _xll.IMDP("IR", $G33, CB$8, Matrix!$D$6)), "")</f>
        <v>4.0999999999999996</v>
      </c>
      <c r="CC33" cm="1">
        <f t="array" aca="1" ref="CC33" ca="1">IF( AND($G$7,NOT(ISBLANK($G33))), IF( _xll.IMDP("IR", $G33, CC$8, Matrix!$D$6)=0, "", _xll.IMDP("IR", $G33, CC$8, Matrix!$D$6)), "")</f>
        <v>4.1079999999999997</v>
      </c>
      <c r="CD33" cm="1">
        <f t="array" aca="1" ref="CD33" ca="1">IF( AND($G$7,NOT(ISBLANK($G33))), IF( _xll.IMDP("IR", $G33, CD$8, Matrix!$D$6)=0, "", _xll.IMDP("IR", $G33, CD$8, Matrix!$D$6)), "")</f>
        <v>4.1029999999999998</v>
      </c>
      <c r="CE33" cm="1">
        <f t="array" aca="1" ref="CE33" ca="1">IF( AND($G$7,NOT(ISBLANK($G33))), IF( _xll.IMDP("IR", $G33, CE$8, Matrix!$D$6)=0, "", _xll.IMDP("IR", $G33, CE$8, Matrix!$D$6)), "")</f>
        <v>4.1189999999999998</v>
      </c>
      <c r="CF33" cm="1">
        <f t="array" aca="1" ref="CF33" ca="1">IF( AND($G$7,NOT(ISBLANK($G33))), IF( _xll.IMDP("IR", $G33, CF$8, Matrix!$D$6)=0, "", _xll.IMDP("IR", $G33, CF$8, Matrix!$D$6)), "")</f>
        <v>4.1349999999999998</v>
      </c>
      <c r="CG33" cm="1">
        <f t="array" aca="1" ref="CG33" ca="1">IF( AND($G$7,NOT(ISBLANK($G33))), IF( _xll.IMDP("IR", $G33, CG$8, Matrix!$D$6)=0, "", _xll.IMDP("IR", $G33, CG$8, Matrix!$D$6)), "")</f>
        <v>4.1539999999999999</v>
      </c>
      <c r="CH33" cm="1">
        <f t="array" aca="1" ref="CH33" ca="1">IF( AND($G$7,NOT(ISBLANK($G33))), IF( _xll.IMDP("IR", $G33, CH$8, Matrix!$D$6)=0, "", _xll.IMDP("IR", $G33, CH$8, Matrix!$D$6)), "")</f>
        <v>4.2190000000000003</v>
      </c>
      <c r="CI33" cm="1">
        <f t="array" aca="1" ref="CI33" ca="1">IF( AND($G$7,NOT(ISBLANK($G33))), IF( _xll.IMDP("IR", $G33, CI$8, Matrix!$D$6)=0, "", _xll.IMDP("IR", $G33, CI$8, Matrix!$D$6)), "")</f>
        <v>4.4290000000000003</v>
      </c>
      <c r="CJ33" cm="1">
        <f t="array" aca="1" ref="CJ33" ca="1">IF( AND($G$7,NOT(ISBLANK($G33))), IF( _xll.IMDP("IR", $G33, CJ$8, Matrix!$D$6)=0, "", _xll.IMDP("IR", $G33, CJ$8, Matrix!$D$6)), "")</f>
        <v>4.7839999999999998</v>
      </c>
      <c r="CK33" cm="1">
        <f t="array" aca="1" ref="CK33" ca="1">IF( AND($G$7,NOT(ISBLANK($G33))), IF( _xll.IMDP("IR", $G33, CK$8, Matrix!$D$6)=0, "", _xll.IMDP("IR", $G33, CK$8, Matrix!$D$6)), "")</f>
        <v>4.9240000000000004</v>
      </c>
      <c r="CL33" cm="1">
        <f t="array" aca="1" ref="CL33" ca="1">IF( AND($G$7,NOT(ISBLANK($G33))), IF( _xll.IMDP("IR", $G33, CL$8, Matrix!$D$6)=0, "", _xll.IMDP("IR", $G33, CL$8, Matrix!$D$6)), "")</f>
        <v>5.024</v>
      </c>
      <c r="CM33" t="str" cm="1">
        <f t="array" aca="1" ref="CM33" ca="1">IF( AND($G$7,NOT(ISBLANK($G33))), IF( _xll.IMDP("IR", $G33, CM$8, Matrix!$D$6)=0, "", _xll.IMDP("IR", $G33, CM$8, Matrix!$D$6)), "")</f>
        <v/>
      </c>
      <c r="CN33" t="str" cm="1">
        <f t="array" aca="1" ref="CN33" ca="1">IF( AND($G$7,NOT(ISBLANK($G33))), IF( _xll.IMDP("IR", $G33, CN$8, Matrix!$D$6)=0, "", _xll.IMDP("IR", $G33, CN$8, Matrix!$D$6)), "")</f>
        <v/>
      </c>
      <c r="CO33" t="str" cm="1">
        <f t="array" ref="CO33">IF( AND($H$7,NOT(ISBLANK($H33))), IF( _xll.IMDP("IR", $H33, CO$8, Matrix!$D$6)=0, "", _xll.IMDP("IR", $H33, CO$8, Matrix!$D$6)), "")</f>
        <v/>
      </c>
      <c r="CP33" t="str" cm="1">
        <f t="array" ref="CP33">IF( AND($H$7,NOT(ISBLANK($H33))), IF( _xll.IMDP("IR", $H33, CP$8, Matrix!$D$6)=0, "", _xll.IMDP("IR", $H33, CP$8, Matrix!$D$6)), "")</f>
        <v/>
      </c>
      <c r="CQ33" t="str" cm="1">
        <f t="array" ref="CQ33">IF( AND($H$7,NOT(ISBLANK($H33))), IF( _xll.IMDP("IR", $H33, CQ$8, Matrix!$D$6)=0, "", _xll.IMDP("IR", $H33, CQ$8, Matrix!$D$6)), "")</f>
        <v/>
      </c>
      <c r="CR33" t="str" cm="1">
        <f t="array" ref="CR33">IF( AND($H$7,NOT(ISBLANK($H33))), IF( _xll.IMDP("IR", $H33, CR$8, Matrix!$D$6)=0, "", _xll.IMDP("IR", $H33, CR$8, Matrix!$D$6)), "")</f>
        <v/>
      </c>
      <c r="CS33" t="str" cm="1">
        <f t="array" ref="CS33">IF( AND($H$7,NOT(ISBLANK($H33))), IF( _xll.IMDP("IR", $H33, CS$8, Matrix!$D$6)=0, "", _xll.IMDP("IR", $H33, CS$8, Matrix!$D$6)), "")</f>
        <v/>
      </c>
      <c r="CT33" t="str" cm="1">
        <f t="array" ref="CT33">IF( AND($H$7,NOT(ISBLANK($H33))), IF( _xll.IMDP("IR", $H33, CT$8, Matrix!$D$6)=0, "", _xll.IMDP("IR", $H33, CT$8, Matrix!$D$6)), "")</f>
        <v/>
      </c>
      <c r="CU33" t="str" cm="1">
        <f t="array" ref="CU33">IF( AND($H$7,NOT(ISBLANK($H33))), IF( _xll.IMDP("IR", $H33, CU$8, Matrix!$D$6)=0, "", _xll.IMDP("IR", $H33, CU$8, Matrix!$D$6)), "")</f>
        <v/>
      </c>
      <c r="CV33" t="str" cm="1">
        <f t="array" ref="CV33">IF( AND($H$7,NOT(ISBLANK($H33))), IF( _xll.IMDP("IR", $H33, CV$8, Matrix!$D$6)=0, "", _xll.IMDP("IR", $H33, CV$8, Matrix!$D$6)), "")</f>
        <v/>
      </c>
      <c r="CW33" t="str" cm="1">
        <f t="array" ref="CW33">IF( AND($H$7,NOT(ISBLANK($H33))), IF( _xll.IMDP("IR", $H33, CW$8, Matrix!$D$6)=0, "", _xll.IMDP("IR", $H33, CW$8, Matrix!$D$6)), "")</f>
        <v/>
      </c>
      <c r="CX33" t="str" cm="1">
        <f t="array" ref="CX33">IF( AND($H$7,NOT(ISBLANK($H33))), IF( _xll.IMDP("IR", $H33, CX$8, Matrix!$D$6)=0, "", _xll.IMDP("IR", $H33, CX$8, Matrix!$D$6)), "")</f>
        <v/>
      </c>
      <c r="CY33" t="str" cm="1">
        <f t="array" ref="CY33">IF( AND($H$7,NOT(ISBLANK($H33))), IF( _xll.IMDP("IR", $H33, CY$8, Matrix!$D$6)=0, "", _xll.IMDP("IR", $H33, CY$8, Matrix!$D$6)), "")</f>
        <v/>
      </c>
      <c r="CZ33" t="str" cm="1">
        <f t="array" ref="CZ33">IF( AND($H$7,NOT(ISBLANK($H33))), IF( _xll.IMDP("IR", $H33, CZ$8, Matrix!$D$6)=0, "", _xll.IMDP("IR", $H33, CZ$8, Matrix!$D$6)), "")</f>
        <v/>
      </c>
      <c r="DA33" t="str" cm="1">
        <f t="array" ref="DA33">IF( AND($H$7,NOT(ISBLANK($H33))), IF( _xll.IMDP("IR", $H33, DA$8, Matrix!$D$6)=0, "", _xll.IMDP("IR", $H33, DA$8, Matrix!$D$6)), "")</f>
        <v/>
      </c>
      <c r="DB33" t="str" cm="1">
        <f t="array" ref="DB33">IF( AND($H$7,NOT(ISBLANK($H33))), IF( _xll.IMDP("IR", $H33, DB$8, Matrix!$D$6)=0, "", _xll.IMDP("IR", $H33, DB$8, Matrix!$D$6)), "")</f>
        <v/>
      </c>
      <c r="DC33" t="str" cm="1">
        <f t="array" ref="DC33">IF( AND($H$7,NOT(ISBLANK($H33))), IF( _xll.IMDP("IR", $H33, DC$8, Matrix!$D$6)=0, "", _xll.IMDP("IR", $H33, DC$8, Matrix!$D$6)), "")</f>
        <v/>
      </c>
      <c r="DD33" t="str" cm="1">
        <f t="array" ref="DD33">IF( AND($H$7,NOT(ISBLANK($H33))), IF( _xll.IMDP("IR", $H33, DD$8, Matrix!$D$6)=0, "", _xll.IMDP("IR", $H33, DD$8, Matrix!$D$6)), "")</f>
        <v/>
      </c>
    </row>
    <row r="34" spans="2:108">
      <c r="B34" t="s">
        <v>102</v>
      </c>
      <c r="C34" t="s">
        <v>176</v>
      </c>
      <c r="D34" t="s">
        <v>251</v>
      </c>
      <c r="E34" t="s">
        <v>313</v>
      </c>
      <c r="F34" t="s">
        <v>376</v>
      </c>
      <c r="G34" t="s">
        <v>442</v>
      </c>
      <c r="H34" t="s">
        <v>500</v>
      </c>
      <c r="M34" s="21">
        <f t="shared" ca="1" si="1"/>
        <v>3.4293830627055879</v>
      </c>
      <c r="N34" s="21">
        <f t="shared" ca="1" si="2"/>
        <v>3.4149894389919817</v>
      </c>
      <c r="O34" s="21">
        <f t="shared" ca="1" si="3"/>
        <v>3.3815915557887748</v>
      </c>
      <c r="P34" s="21">
        <f t="shared" ca="1" si="4"/>
        <v>3.3951865518000108</v>
      </c>
      <c r="Q34" s="21">
        <f t="shared" ca="1" si="5"/>
        <v>3.445190586110177</v>
      </c>
      <c r="R34" s="21">
        <f t="shared" ca="1" si="6"/>
        <v>3.4169968997087659</v>
      </c>
      <c r="S34" s="21">
        <f t="shared" ca="1" si="7"/>
        <v>3.3743916234926874</v>
      </c>
      <c r="T34" s="21">
        <f t="shared" ca="1" si="8"/>
        <v>3.358193963861841</v>
      </c>
      <c r="U34" s="21">
        <f t="shared" ca="1" si="9"/>
        <v>3.3185704384689076</v>
      </c>
      <c r="V34" s="21">
        <f t="shared" ca="1" si="10"/>
        <v>3.328979791323341</v>
      </c>
      <c r="W34" s="21">
        <f t="shared" ca="1" si="11"/>
        <v>3.735194890109153</v>
      </c>
      <c r="X34" s="21">
        <f t="shared" ca="1" si="12"/>
        <v>4.3205988151921773</v>
      </c>
      <c r="Y34" s="21">
        <f t="shared" ca="1" si="13"/>
        <v>4.726200508166551</v>
      </c>
      <c r="Z34" s="21">
        <f t="shared" ca="1" si="14"/>
        <v>4.9302742091069849</v>
      </c>
      <c r="AA34" s="21" t="e">
        <f t="shared" ca="1" si="15"/>
        <v>#NUM!</v>
      </c>
      <c r="AB34" s="21" t="e">
        <f t="shared" ca="1" si="16"/>
        <v>#NUM!</v>
      </c>
      <c r="AC34" cm="1">
        <f t="array" aca="1" ref="AC34" ca="1">IF( AND($D$7,NOT(ISBLANK($D34))), IF(_xll.IMDP("IR", $D34, AC$8, Matrix!$D$6)=0,"",_xll.IMDP("IR", $D34, AC$8, Matrix!$D$6)), "")</f>
        <v>3.4359999999999999</v>
      </c>
      <c r="AD34" cm="1">
        <f t="array" aca="1" ref="AD34" ca="1">IF( AND($D$7,NOT(ISBLANK($D34))), IF(_xll.IMDP("IR", $D34, AD$8, Matrix!$D$6)=0,"",_xll.IMDP("IR", $D34, AD$8, Matrix!$D$6)), "")</f>
        <v>3.4209999999999998</v>
      </c>
      <c r="AE34" cm="1">
        <f t="array" aca="1" ref="AE34" ca="1">IF( AND($D$7,NOT(ISBLANK($D34))), IF(_xll.IMDP("IR", $D34, AE$8, Matrix!$D$6)=0,"",_xll.IMDP("IR", $D34, AE$8, Matrix!$D$6)), "")</f>
        <v>3.3820000000000001</v>
      </c>
      <c r="AF34" cm="1">
        <f t="array" aca="1" ref="AF34" ca="1">IF( AND($D$7,NOT(ISBLANK($D34))), IF(_xll.IMDP("IR", $D34, AF$8, Matrix!$D$6)=0,"",_xll.IMDP("IR", $D34, AF$8, Matrix!$D$6)), "")</f>
        <v>3.3959999999999999</v>
      </c>
      <c r="AG34" cm="1">
        <f t="array" aca="1" ref="AG34" ca="1">IF( AND($D$7,NOT(ISBLANK($D34))), IF(_xll.IMDP("IR", $D34, AG$8, Matrix!$D$6)=0,"",_xll.IMDP("IR", $D34, AG$8, Matrix!$D$6)), "")</f>
        <v>3.4449999999999998</v>
      </c>
      <c r="AH34" cm="1">
        <f t="array" aca="1" ref="AH34" ca="1">IF( AND($D$7,NOT(ISBLANK($D34))), IF(_xll.IMDP("IR", $D34, AH$8, Matrix!$D$6)=0,"",_xll.IMDP("IR", $D34, AH$8, Matrix!$D$6)), "")</f>
        <v>3.4129999999999998</v>
      </c>
      <c r="AI34" cm="1">
        <f t="array" aca="1" ref="AI34" ca="1">IF( AND($D$7,NOT(ISBLANK($D34))), IF(_xll.IMDP("IR", $D34, AI$8, Matrix!$D$6)=0,"",_xll.IMDP("IR", $D34, AI$8, Matrix!$D$6)), "")</f>
        <v>3.3690000000000002</v>
      </c>
      <c r="AJ34" cm="1">
        <f t="array" aca="1" ref="AJ34" ca="1">IF( AND($D$7,NOT(ISBLANK($D34))), IF(_xll.IMDP("IR", $D34, AJ$8, Matrix!$D$6)=0,"",_xll.IMDP("IR", $D34, AJ$8, Matrix!$D$6)), "")</f>
        <v>3.3570000000000002</v>
      </c>
      <c r="AK34" cm="1">
        <f t="array" aca="1" ref="AK34" ca="1">IF( AND($D$7,NOT(ISBLANK($D34))), IF(_xll.IMDP("IR", $D34, AK$8, Matrix!$D$6)=0,"",_xll.IMDP("IR", $D34, AK$8, Matrix!$D$6)), "")</f>
        <v>3.3279999999999998</v>
      </c>
      <c r="AL34" cm="1">
        <f t="array" aca="1" ref="AL34" ca="1">IF( AND($D$7,NOT(ISBLANK($D34))), IF(_xll.IMDP("IR", $D34, AL$8, Matrix!$D$6)=0,"",_xll.IMDP("IR", $D34, AL$8, Matrix!$D$6)), "")</f>
        <v>3.3279999999999998</v>
      </c>
      <c r="AM34" cm="1">
        <f t="array" aca="1" ref="AM34" ca="1">IF( AND($D$7,NOT(ISBLANK($D34))), IF(_xll.IMDP("IR", $D34, AM$8, Matrix!$D$6)=0,"",_xll.IMDP("IR", $D34, AM$8, Matrix!$D$6)), "")</f>
        <v>3.738</v>
      </c>
      <c r="AN34" cm="1">
        <f t="array" aca="1" ref="AN34" ca="1">IF( AND($D$7,NOT(ISBLANK($D34))), IF(_xll.IMDP("IR", $D34, AN$8, Matrix!$D$6)=0,"",_xll.IMDP("IR", $D34, AN$8, Matrix!$D$6)), "")</f>
        <v>4.32</v>
      </c>
      <c r="AO34" cm="1">
        <f t="array" aca="1" ref="AO34" ca="1">IF( AND($D$7,NOT(ISBLANK($D34))), IF(_xll.IMDP("IR", $D34, AO$8, Matrix!$D$6)=0,"",_xll.IMDP("IR", $D34, AO$8, Matrix!$D$6)), "")</f>
        <v>4.7350000000000003</v>
      </c>
      <c r="AP34" cm="1">
        <f t="array" aca="1" ref="AP34" ca="1">IF( AND($D$7,NOT(ISBLANK($D34))), IF(_xll.IMDP("IR", $D34, AP$8, Matrix!$D$6)=0,"",_xll.IMDP("IR", $D34, AP$8, Matrix!$D$6)), "")</f>
        <v>5.0030000000000001</v>
      </c>
      <c r="AQ34" t="str" cm="1">
        <f t="array" aca="1" ref="AQ34" ca="1">IF( AND($D$7,NOT(ISBLANK($D34))), IF(_xll.IMDP("IR", $D34, AQ$8, Matrix!$D$6)=0,"",_xll.IMDP("IR", $D34, AQ$8, Matrix!$D$6)), "")</f>
        <v/>
      </c>
      <c r="AR34" t="str" cm="1">
        <f t="array" aca="1" ref="AR34" ca="1">IF( AND($D$7,NOT(ISBLANK($D34))), IF(_xll.IMDP("IR", $D34, AR$8, Matrix!$D$6)=0,"",_xll.IMDP("IR", $D34, AR$8, Matrix!$D$6)), "")</f>
        <v/>
      </c>
      <c r="AS34" cm="1">
        <f t="array" aca="1" ref="AS34" ca="1">IF( AND($E$7,NOT(ISBLANK($E34))), IF( _xll.IMDP("IR", $E34, AS$8, Matrix!$D$6)=0,"",_xll.IMDP("IR", $E34, AS$8, Matrix!$D$6)), "")</f>
        <v>3.419</v>
      </c>
      <c r="AT34" cm="1">
        <f t="array" aca="1" ref="AT34" ca="1">IF( AND($E$7,NOT(ISBLANK($E34))), IF( _xll.IMDP("IR", $E34, AT$8, Matrix!$D$6)=0,"",_xll.IMDP("IR", $E34, AT$8, Matrix!$D$6)), "")</f>
        <v>3.4169999999999998</v>
      </c>
      <c r="AU34" cm="1">
        <f t="array" aca="1" ref="AU34" ca="1">IF( AND($E$7,NOT(ISBLANK($E34))), IF( _xll.IMDP("IR", $E34, AU$8, Matrix!$D$6)=0,"",_xll.IMDP("IR", $E34, AU$8, Matrix!$D$6)), "")</f>
        <v>3.387</v>
      </c>
      <c r="AV34" cm="1">
        <f t="array" aca="1" ref="AV34" ca="1">IF( AND($E$7,NOT(ISBLANK($E34))), IF( _xll.IMDP("IR", $E34, AV$8, Matrix!$D$6)=0,"",_xll.IMDP("IR", $E34, AV$8, Matrix!$D$6)), "")</f>
        <v>3.3809999999999998</v>
      </c>
      <c r="AW34" cm="1">
        <f t="array" aca="1" ref="AW34" ca="1">IF( AND($E$7,NOT(ISBLANK($E34))), IF( _xll.IMDP("IR", $E34, AW$8, Matrix!$D$6)=0,"",_xll.IMDP("IR", $E34, AW$8, Matrix!$D$6)), "")</f>
        <v>3.4369999999999998</v>
      </c>
      <c r="AX34" cm="1">
        <f t="array" aca="1" ref="AX34" ca="1">IF( AND($E$7,NOT(ISBLANK($E34))), IF( _xll.IMDP("IR", $E34, AX$8, Matrix!$D$6)=0,"",_xll.IMDP("IR", $E34, AX$8, Matrix!$D$6)), "")</f>
        <v>3.4180000000000001</v>
      </c>
      <c r="AY34" cm="1">
        <f t="array" aca="1" ref="AY34" ca="1">IF( AND($E$7,NOT(ISBLANK($E34))), IF( _xll.IMDP("IR", $E34, AY$8, Matrix!$D$6)=0,"",_xll.IMDP("IR", $E34, AY$8, Matrix!$D$6)), "")</f>
        <v>3.3690000000000002</v>
      </c>
      <c r="AZ34" cm="1">
        <f t="array" aca="1" ref="AZ34" ca="1">IF( AND($E$7,NOT(ISBLANK($E34))), IF( _xll.IMDP("IR", $E34, AZ$8, Matrix!$D$6)=0,"",_xll.IMDP("IR", $E34, AZ$8, Matrix!$D$6)), "")</f>
        <v>3.3580000000000001</v>
      </c>
      <c r="BA34" cm="1">
        <f t="array" aca="1" ref="BA34" ca="1">IF( AND($E$7,NOT(ISBLANK($E34))), IF( _xll.IMDP("IR", $E34, BA$8, Matrix!$D$6)=0,"",_xll.IMDP("IR", $E34, BA$8, Matrix!$D$6)), "")</f>
        <v>3.2989999999999999</v>
      </c>
      <c r="BB34" cm="1">
        <f t="array" aca="1" ref="BB34" ca="1">IF( AND($E$7,NOT(ISBLANK($E34))), IF( _xll.IMDP("IR", $E34, BB$8, Matrix!$D$6)=0,"",_xll.IMDP("IR", $E34, BB$8, Matrix!$D$6)), "")</f>
        <v>3.3149999999999999</v>
      </c>
      <c r="BC34" cm="1">
        <f t="array" aca="1" ref="BC34" ca="1">IF( AND($E$7,NOT(ISBLANK($E34))), IF( _xll.IMDP("IR", $E34, BC$8, Matrix!$D$6)=0,"",_xll.IMDP("IR", $E34, BC$8, Matrix!$D$6)), "")</f>
        <v>3.734</v>
      </c>
      <c r="BD34" cm="1">
        <f t="array" aca="1" ref="BD34" ca="1">IF( AND($E$7,NOT(ISBLANK($E34))), IF( _xll.IMDP("IR", $E34, BD$8, Matrix!$D$6)=0,"",_xll.IMDP("IR", $E34, BD$8, Matrix!$D$6)), "")</f>
        <v>4.3209999999999997</v>
      </c>
      <c r="BE34" cm="1">
        <f t="array" aca="1" ref="BE34" ca="1">IF( AND($E$7,NOT(ISBLANK($E34))), IF( _xll.IMDP("IR", $E34, BE$8, Matrix!$D$6)=0,"",_xll.IMDP("IR", $E34, BE$8, Matrix!$D$6)), "")</f>
        <v>4.7549999999999999</v>
      </c>
      <c r="BF34" cm="1">
        <f t="array" aca="1" ref="BF34" ca="1">IF( AND($E$7,NOT(ISBLANK($E34))), IF( _xll.IMDP("IR", $E34, BF$8, Matrix!$D$6)=0,"",_xll.IMDP("IR", $E34, BF$8, Matrix!$D$6)), "")</f>
        <v>4.8760000000000003</v>
      </c>
      <c r="BG34" t="str" cm="1">
        <f t="array" aca="1" ref="BG34" ca="1">IF( AND($E$7,NOT(ISBLANK($E34))), IF( _xll.IMDP("IR", $E34, BG$8, Matrix!$D$6)=0,"",_xll.IMDP("IR", $E34, BG$8, Matrix!$D$6)), "")</f>
        <v/>
      </c>
      <c r="BH34" t="str" cm="1">
        <f t="array" aca="1" ref="BH34" ca="1">IF( AND($E$7,NOT(ISBLANK($E34))), IF( _xll.IMDP("IR", $E34, BH$8, Matrix!$D$6)=0,"",_xll.IMDP("IR", $E34, BH$8, Matrix!$D$6)), "")</f>
        <v/>
      </c>
      <c r="BI34" cm="1">
        <f t="array" aca="1" ref="BI34" ca="1">IF( AND($F$7,NOT(ISBLANK($F34))), IF( _xll.IMDP("IR", $F34, BI$8, Matrix!$D$6)=0,"",_xll.IMDP("IR", $F34, BI$8, Matrix!$D$6)), "")</f>
        <v>3.4460000000000002</v>
      </c>
      <c r="BJ34" cm="1">
        <f t="array" aca="1" ref="BJ34" ca="1">IF( AND($F$7,NOT(ISBLANK($F34))), IF( _xll.IMDP("IR", $F34, BJ$8, Matrix!$D$6)=0,"",_xll.IMDP("IR", $F34, BJ$8, Matrix!$D$6)), "")</f>
        <v>3.423</v>
      </c>
      <c r="BK34" cm="1">
        <f t="array" aca="1" ref="BK34" ca="1">IF( AND($F$7,NOT(ISBLANK($F34))), IF( _xll.IMDP("IR", $F34, BK$8, Matrix!$D$6)=0,"",_xll.IMDP("IR", $F34, BK$8, Matrix!$D$6)), "")</f>
        <v>3.39</v>
      </c>
      <c r="BL34" cm="1">
        <f t="array" aca="1" ref="BL34" ca="1">IF( AND($F$7,NOT(ISBLANK($F34))), IF( _xll.IMDP("IR", $F34, BL$8, Matrix!$D$6)=0,"",_xll.IMDP("IR", $F34, BL$8, Matrix!$D$6)), "")</f>
        <v>3.411</v>
      </c>
      <c r="BM34" cm="1">
        <f t="array" aca="1" ref="BM34" ca="1">IF( AND($F$7,NOT(ISBLANK($F34))), IF( _xll.IMDP("IR", $F34, BM$8, Matrix!$D$6)=0,"",_xll.IMDP("IR", $F34, BM$8, Matrix!$D$6)), "")</f>
        <v>3.46</v>
      </c>
      <c r="BN34" cm="1">
        <f t="array" aca="1" ref="BN34" ca="1">IF( AND($F$7,NOT(ISBLANK($F34))), IF( _xll.IMDP("IR", $F34, BN$8, Matrix!$D$6)=0,"",_xll.IMDP("IR", $F34, BN$8, Matrix!$D$6)), "")</f>
        <v>3.4249999999999998</v>
      </c>
      <c r="BO34" cm="1">
        <f t="array" aca="1" ref="BO34" ca="1">IF( AND($F$7,NOT(ISBLANK($F34))), IF( _xll.IMDP("IR", $F34, BO$8, Matrix!$D$6)=0,"",_xll.IMDP("IR", $F34, BO$8, Matrix!$D$6)), "")</f>
        <v>3.3889999999999998</v>
      </c>
      <c r="BP34" cm="1">
        <f t="array" aca="1" ref="BP34" ca="1">IF( AND($F$7,NOT(ISBLANK($F34))), IF( _xll.IMDP("IR", $F34, BP$8, Matrix!$D$6)=0,"",_xll.IMDP("IR", $F34, BP$8, Matrix!$D$6)), "")</f>
        <v>3.3690000000000002</v>
      </c>
      <c r="BQ34" cm="1">
        <f t="array" aca="1" ref="BQ34" ca="1">IF( AND($F$7,NOT(ISBLANK($F34))), IF( _xll.IMDP("IR", $F34, BQ$8, Matrix!$D$6)=0,"",_xll.IMDP("IR", $F34, BQ$8, Matrix!$D$6)), "")</f>
        <v>3.339</v>
      </c>
      <c r="BR34" cm="1">
        <f t="array" aca="1" ref="BR34" ca="1">IF( AND($F$7,NOT(ISBLANK($F34))), IF( _xll.IMDP("IR", $F34, BR$8, Matrix!$D$6)=0,"",_xll.IMDP("IR", $F34, BR$8, Matrix!$D$6)), "")</f>
        <v>3.35</v>
      </c>
      <c r="BS34" cm="1">
        <f t="array" aca="1" ref="BS34" ca="1">IF( AND($F$7,NOT(ISBLANK($F34))), IF( _xll.IMDP("IR", $F34, BS$8, Matrix!$D$6)=0,"",_xll.IMDP("IR", $F34, BS$8, Matrix!$D$6)), "")</f>
        <v>3.7250000000000001</v>
      </c>
      <c r="BT34" cm="1">
        <f t="array" aca="1" ref="BT34" ca="1">IF( AND($F$7,NOT(ISBLANK($F34))), IF( _xll.IMDP("IR", $F34, BT$8, Matrix!$D$6)=0,"",_xll.IMDP("IR", $F34, BT$8, Matrix!$D$6)), "")</f>
        <v>4.3259999999999996</v>
      </c>
      <c r="BU34" cm="1">
        <f t="array" aca="1" ref="BU34" ca="1">IF( AND($F$7,NOT(ISBLANK($F34))), IF( _xll.IMDP("IR", $F34, BU$8, Matrix!$D$6)=0,"",_xll.IMDP("IR", $F34, BU$8, Matrix!$D$6)), "")</f>
        <v>4.6959999999999997</v>
      </c>
      <c r="BV34" cm="1">
        <f t="array" aca="1" ref="BV34" ca="1">IF( AND($F$7,NOT(ISBLANK($F34))), IF( _xll.IMDP("IR", $F34, BV$8, Matrix!$D$6)=0,"",_xll.IMDP("IR", $F34, BV$8, Matrix!$D$6)), "")</f>
        <v>4.9050000000000002</v>
      </c>
      <c r="BW34" t="str" cm="1">
        <f t="array" aca="1" ref="BW34" ca="1">IF( AND($F$7,NOT(ISBLANK($F34))), IF( _xll.IMDP("IR", $F34, BW$8, Matrix!$D$6)=0,"",_xll.IMDP("IR", $F34, BW$8, Matrix!$D$6)), "")</f>
        <v/>
      </c>
      <c r="BX34" t="str" cm="1">
        <f t="array" aca="1" ref="BX34" ca="1">IF( AND($F$7,NOT(ISBLANK($F34))), IF( _xll.IMDP("IR", $F34, BX$8, Matrix!$D$6)=0,"",_xll.IMDP("IR", $F34, BX$8, Matrix!$D$6)), "")</f>
        <v/>
      </c>
      <c r="BY34" cm="1">
        <f t="array" aca="1" ref="BY34" ca="1">IF( AND($G$7,NOT(ISBLANK($G34))), IF( _xll.IMDP("IR", $G34, BY$8, Matrix!$D$6)=0, "", _xll.IMDP("IR", $G34, BY$8, Matrix!$D$6)), "")</f>
        <v>3.4169999999999998</v>
      </c>
      <c r="BZ34" cm="1">
        <f t="array" aca="1" ref="BZ34" ca="1">IF( AND($G$7,NOT(ISBLANK($G34))), IF( _xll.IMDP("IR", $G34, BZ$8, Matrix!$D$6)=0, "", _xll.IMDP("IR", $G34, BZ$8, Matrix!$D$6)), "")</f>
        <v>3.399</v>
      </c>
      <c r="CA34" cm="1">
        <f t="array" aca="1" ref="CA34" ca="1">IF( AND($G$7,NOT(ISBLANK($G34))), IF( _xll.IMDP("IR", $G34, CA$8, Matrix!$D$6)=0, "", _xll.IMDP("IR", $G34, CA$8, Matrix!$D$6)), "")</f>
        <v>3.3679999999999999</v>
      </c>
      <c r="CB34" cm="1">
        <f t="array" aca="1" ref="CB34" ca="1">IF( AND($G$7,NOT(ISBLANK($G34))), IF( _xll.IMDP("IR", $G34, CB$8, Matrix!$D$6)=0, "", _xll.IMDP("IR", $G34, CB$8, Matrix!$D$6)), "")</f>
        <v>3.3929999999999998</v>
      </c>
      <c r="CC34" cm="1">
        <f t="array" aca="1" ref="CC34" ca="1">IF( AND($G$7,NOT(ISBLANK($G34))), IF( _xll.IMDP("IR", $G34, CC$8, Matrix!$D$6)=0, "", _xll.IMDP("IR", $G34, CC$8, Matrix!$D$6)), "")</f>
        <v>3.4390000000000001</v>
      </c>
      <c r="CD34" cm="1">
        <f t="array" aca="1" ref="CD34" ca="1">IF( AND($G$7,NOT(ISBLANK($G34))), IF( _xll.IMDP("IR", $G34, CD$8, Matrix!$D$6)=0, "", _xll.IMDP("IR", $G34, CD$8, Matrix!$D$6)), "")</f>
        <v>3.4119999999999999</v>
      </c>
      <c r="CE34" cm="1">
        <f t="array" aca="1" ref="CE34" ca="1">IF( AND($G$7,NOT(ISBLANK($G34))), IF( _xll.IMDP("IR", $G34, CE$8, Matrix!$D$6)=0, "", _xll.IMDP("IR", $G34, CE$8, Matrix!$D$6)), "")</f>
        <v>3.371</v>
      </c>
      <c r="CF34" cm="1">
        <f t="array" aca="1" ref="CF34" ca="1">IF( AND($G$7,NOT(ISBLANK($G34))), IF( _xll.IMDP("IR", $G34, CF$8, Matrix!$D$6)=0, "", _xll.IMDP("IR", $G34, CF$8, Matrix!$D$6)), "")</f>
        <v>3.3490000000000002</v>
      </c>
      <c r="CG34" cm="1">
        <f t="array" aca="1" ref="CG34" ca="1">IF( AND($G$7,NOT(ISBLANK($G34))), IF( _xll.IMDP("IR", $G34, CG$8, Matrix!$D$6)=0, "", _xll.IMDP("IR", $G34, CG$8, Matrix!$D$6)), "")</f>
        <v>3.3090000000000002</v>
      </c>
      <c r="CH34" cm="1">
        <f t="array" aca="1" ref="CH34" ca="1">IF( AND($G$7,NOT(ISBLANK($G34))), IF( _xll.IMDP("IR", $G34, CH$8, Matrix!$D$6)=0, "", _xll.IMDP("IR", $G34, CH$8, Matrix!$D$6)), "")</f>
        <v>3.323</v>
      </c>
      <c r="CI34" cm="1">
        <f t="array" aca="1" ref="CI34" ca="1">IF( AND($G$7,NOT(ISBLANK($G34))), IF( _xll.IMDP("IR", $G34, CI$8, Matrix!$D$6)=0, "", _xll.IMDP("IR", $G34, CI$8, Matrix!$D$6)), "")</f>
        <v>3.7440000000000002</v>
      </c>
      <c r="CJ34" cm="1">
        <f t="array" aca="1" ref="CJ34" ca="1">IF( AND($G$7,NOT(ISBLANK($G34))), IF( _xll.IMDP("IR", $G34, CJ$8, Matrix!$D$6)=0, "", _xll.IMDP("IR", $G34, CJ$8, Matrix!$D$6)), "")</f>
        <v>4.3159999999999998</v>
      </c>
      <c r="CK34" cm="1">
        <f t="array" aca="1" ref="CK34" ca="1">IF( AND($G$7,NOT(ISBLANK($G34))), IF( _xll.IMDP("IR", $G34, CK$8, Matrix!$D$6)=0, "", _xll.IMDP("IR", $G34, CK$8, Matrix!$D$6)), "")</f>
        <v>4.7190000000000003</v>
      </c>
      <c r="CL34" cm="1">
        <f t="array" aca="1" ref="CL34" ca="1">IF( AND($G$7,NOT(ISBLANK($G34))), IF( _xll.IMDP("IR", $G34, CL$8, Matrix!$D$6)=0, "", _xll.IMDP("IR", $G34, CL$8, Matrix!$D$6)), "")</f>
        <v>4.9379999999999997</v>
      </c>
      <c r="CM34" t="str" cm="1">
        <f t="array" aca="1" ref="CM34" ca="1">IF( AND($G$7,NOT(ISBLANK($G34))), IF( _xll.IMDP("IR", $G34, CM$8, Matrix!$D$6)=0, "", _xll.IMDP("IR", $G34, CM$8, Matrix!$D$6)), "")</f>
        <v/>
      </c>
      <c r="CN34" t="str" cm="1">
        <f t="array" aca="1" ref="CN34" ca="1">IF( AND($G$7,NOT(ISBLANK($G34))), IF( _xll.IMDP("IR", $G34, CN$8, Matrix!$D$6)=0, "", _xll.IMDP("IR", $G34, CN$8, Matrix!$D$6)), "")</f>
        <v/>
      </c>
      <c r="CO34" cm="1">
        <f t="array" aca="1" ref="CO34" ca="1">IF( AND($H$7,NOT(ISBLANK($H34))), IF( _xll.IMDP("IR", $H34, CO$8, Matrix!$D$6)=0, "", _xll.IMDP("IR", $H34, CO$8, Matrix!$D$6)), "")</f>
        <v>3.4289999999999998</v>
      </c>
      <c r="CP34" cm="1">
        <f t="array" aca="1" ref="CP34" ca="1">IF( AND($H$7,NOT(ISBLANK($H34))), IF( _xll.IMDP("IR", $H34, CP$8, Matrix!$D$6)=0, "", _xll.IMDP("IR", $H34, CP$8, Matrix!$D$6)), "")</f>
        <v>3.415</v>
      </c>
      <c r="CQ34" cm="1">
        <f t="array" aca="1" ref="CQ34" ca="1">IF( AND($H$7,NOT(ISBLANK($H34))), IF( _xll.IMDP("IR", $H34, CQ$8, Matrix!$D$6)=0, "", _xll.IMDP("IR", $H34, CQ$8, Matrix!$D$6)), "")</f>
        <v>3.3809999999999998</v>
      </c>
      <c r="CR34" cm="1">
        <f t="array" aca="1" ref="CR34" ca="1">IF( AND($H$7,NOT(ISBLANK($H34))), IF( _xll.IMDP("IR", $H34, CR$8, Matrix!$D$6)=0, "", _xll.IMDP("IR", $H34, CR$8, Matrix!$D$6)), "")</f>
        <v>3.395</v>
      </c>
      <c r="CS34" cm="1">
        <f t="array" aca="1" ref="CS34" ca="1">IF( AND($H$7,NOT(ISBLANK($H34))), IF( _xll.IMDP("IR", $H34, CS$8, Matrix!$D$6)=0, "", _xll.IMDP("IR", $H34, CS$8, Matrix!$D$6)), "")</f>
        <v>3.4449999999999998</v>
      </c>
      <c r="CT34" cm="1">
        <f t="array" aca="1" ref="CT34" ca="1">IF( AND($H$7,NOT(ISBLANK($H34))), IF( _xll.IMDP("IR", $H34, CT$8, Matrix!$D$6)=0, "", _xll.IMDP("IR", $H34, CT$8, Matrix!$D$6)), "")</f>
        <v>3.4169999999999998</v>
      </c>
      <c r="CU34" cm="1">
        <f t="array" aca="1" ref="CU34" ca="1">IF( AND($H$7,NOT(ISBLANK($H34))), IF( _xll.IMDP("IR", $H34, CU$8, Matrix!$D$6)=0, "", _xll.IMDP("IR", $H34, CU$8, Matrix!$D$6)), "")</f>
        <v>3.3740000000000001</v>
      </c>
      <c r="CV34" cm="1">
        <f t="array" aca="1" ref="CV34" ca="1">IF( AND($H$7,NOT(ISBLANK($H34))), IF( _xll.IMDP("IR", $H34, CV$8, Matrix!$D$6)=0, "", _xll.IMDP("IR", $H34, CV$8, Matrix!$D$6)), "")</f>
        <v>3.3580000000000001</v>
      </c>
      <c r="CW34" cm="1">
        <f t="array" aca="1" ref="CW34" ca="1">IF( AND($H$7,NOT(ISBLANK($H34))), IF( _xll.IMDP("IR", $H34, CW$8, Matrix!$D$6)=0, "", _xll.IMDP("IR", $H34, CW$8, Matrix!$D$6)), "")</f>
        <v>3.3180000000000001</v>
      </c>
      <c r="CX34" cm="1">
        <f t="array" aca="1" ref="CX34" ca="1">IF( AND($H$7,NOT(ISBLANK($H34))), IF( _xll.IMDP("IR", $H34, CX$8, Matrix!$D$6)=0, "", _xll.IMDP("IR", $H34, CX$8, Matrix!$D$6)), "")</f>
        <v>3.3290000000000002</v>
      </c>
      <c r="CY34" cm="1">
        <f t="array" aca="1" ref="CY34" ca="1">IF( AND($H$7,NOT(ISBLANK($H34))), IF( _xll.IMDP("IR", $H34, CY$8, Matrix!$D$6)=0, "", _xll.IMDP("IR", $H34, CY$8, Matrix!$D$6)), "")</f>
        <v>3.7349999999999999</v>
      </c>
      <c r="CZ34" cm="1">
        <f t="array" aca="1" ref="CZ34" ca="1">IF( AND($H$7,NOT(ISBLANK($H34))), IF( _xll.IMDP("IR", $H34, CZ$8, Matrix!$D$6)=0, "", _xll.IMDP("IR", $H34, CZ$8, Matrix!$D$6)), "")</f>
        <v>4.32</v>
      </c>
      <c r="DA34" t="str" cm="1">
        <f t="array" aca="1" ref="DA34" ca="1">IF( AND($H$7,NOT(ISBLANK($H34))), IF( _xll.IMDP("IR", $H34, DA$8, Matrix!$D$6)=0, "", _xll.IMDP("IR", $H34, DA$8, Matrix!$D$6)), "")</f>
        <v/>
      </c>
      <c r="DB34" t="str" cm="1">
        <f t="array" aca="1" ref="DB34" ca="1">IF( AND($H$7,NOT(ISBLANK($H34))), IF( _xll.IMDP("IR", $H34, DB$8, Matrix!$D$6)=0, "", _xll.IMDP("IR", $H34, DB$8, Matrix!$D$6)), "")</f>
        <v/>
      </c>
      <c r="DC34" t="str" cm="1">
        <f t="array" aca="1" ref="DC34" ca="1">IF( AND($H$7,NOT(ISBLANK($H34))), IF( _xll.IMDP("IR", $H34, DC$8, Matrix!$D$6)=0, "", _xll.IMDP("IR", $H34, DC$8, Matrix!$D$6)), "")</f>
        <v/>
      </c>
      <c r="DD34" t="str" cm="1">
        <f t="array" aca="1" ref="DD34" ca="1">IF( AND($H$7,NOT(ISBLANK($H34))), IF( _xll.IMDP("IR", $H34, DD$8, Matrix!$D$6)=0, "", _xll.IMDP("IR", $H34, DD$8, Matrix!$D$6)), "")</f>
        <v/>
      </c>
    </row>
    <row r="35" spans="2:108">
      <c r="B35" t="s">
        <v>103</v>
      </c>
      <c r="C35" t="s">
        <v>177</v>
      </c>
      <c r="D35" t="s">
        <v>252</v>
      </c>
      <c r="E35" t="s">
        <v>314</v>
      </c>
      <c r="F35" t="s">
        <v>377</v>
      </c>
      <c r="G35" t="s">
        <v>443</v>
      </c>
      <c r="H35" t="s">
        <v>501</v>
      </c>
      <c r="M35" s="21">
        <f t="shared" ca="1" si="1"/>
        <v>3.4571831958562398</v>
      </c>
      <c r="N35" s="21">
        <f t="shared" ca="1" si="2"/>
        <v>3.4389853225351548</v>
      </c>
      <c r="O35" s="21">
        <f t="shared" ca="1" si="3"/>
        <v>3.4075858053818133</v>
      </c>
      <c r="P35" s="21">
        <f t="shared" ca="1" si="4"/>
        <v>3.4263848254065121</v>
      </c>
      <c r="Q35" s="21">
        <f t="shared" ca="1" si="5"/>
        <v>3.4841916515911584</v>
      </c>
      <c r="R35" s="21">
        <f t="shared" ca="1" si="6"/>
        <v>3.4619932354682206</v>
      </c>
      <c r="S35" s="21">
        <f t="shared" ca="1" si="7"/>
        <v>3.427990027346894</v>
      </c>
      <c r="T35" s="21">
        <f t="shared" ca="1" si="8"/>
        <v>3.425394483677179</v>
      </c>
      <c r="U35" s="21">
        <f t="shared" ca="1" si="9"/>
        <v>3.4369811407336477</v>
      </c>
      <c r="V35" s="21">
        <f t="shared" ca="1" si="10"/>
        <v>3.5403908150972514</v>
      </c>
      <c r="W35" s="21">
        <f t="shared" ca="1" si="11"/>
        <v>3.9281813108908685</v>
      </c>
      <c r="X35" s="21">
        <f t="shared" ca="1" si="12"/>
        <v>4.4939850956363667</v>
      </c>
      <c r="Y35" s="21">
        <f t="shared" ca="1" si="13"/>
        <v>4.9042170160512164</v>
      </c>
      <c r="Z35" s="21">
        <f t="shared" ca="1" si="14"/>
        <v>5.122243787264555</v>
      </c>
      <c r="AA35" s="21" t="e">
        <f t="shared" ca="1" si="15"/>
        <v>#NUM!</v>
      </c>
      <c r="AB35" s="21" t="e">
        <f t="shared" ca="1" si="16"/>
        <v>#NUM!</v>
      </c>
      <c r="AC35" cm="1">
        <f t="array" aca="1" ref="AC35" ca="1">IF( AND($D$7,NOT(ISBLANK($D35))), IF(_xll.IMDP("IR", $D35, AC$8, Matrix!$D$6)=0,"",_xll.IMDP("IR", $D35, AC$8, Matrix!$D$6)), "")</f>
        <v>3.4510000000000001</v>
      </c>
      <c r="AD35" cm="1">
        <f t="array" aca="1" ref="AD35" ca="1">IF( AND($D$7,NOT(ISBLANK($D35))), IF(_xll.IMDP("IR", $D35, AD$8, Matrix!$D$6)=0,"",_xll.IMDP("IR", $D35, AD$8, Matrix!$D$6)), "")</f>
        <v>3.4390000000000001</v>
      </c>
      <c r="AE35" cm="1">
        <f t="array" aca="1" ref="AE35" ca="1">IF( AND($D$7,NOT(ISBLANK($D35))), IF(_xll.IMDP("IR", $D35, AE$8, Matrix!$D$6)=0,"",_xll.IMDP("IR", $D35, AE$8, Matrix!$D$6)), "")</f>
        <v>3.4049999999999998</v>
      </c>
      <c r="AF35" cm="1">
        <f t="array" aca="1" ref="AF35" ca="1">IF( AND($D$7,NOT(ISBLANK($D35))), IF(_xll.IMDP("IR", $D35, AF$8, Matrix!$D$6)=0,"",_xll.IMDP("IR", $D35, AF$8, Matrix!$D$6)), "")</f>
        <v>3.423</v>
      </c>
      <c r="AG35" cm="1">
        <f t="array" aca="1" ref="AG35" ca="1">IF( AND($D$7,NOT(ISBLANK($D35))), IF(_xll.IMDP("IR", $D35, AG$8, Matrix!$D$6)=0,"",_xll.IMDP("IR", $D35, AG$8, Matrix!$D$6)), "")</f>
        <v>3.4790000000000001</v>
      </c>
      <c r="AH35" cm="1">
        <f t="array" aca="1" ref="AH35" ca="1">IF( AND($D$7,NOT(ISBLANK($D35))), IF(_xll.IMDP("IR", $D35, AH$8, Matrix!$D$6)=0,"",_xll.IMDP("IR", $D35, AH$8, Matrix!$D$6)), "")</f>
        <v>3.45</v>
      </c>
      <c r="AI35" cm="1">
        <f t="array" aca="1" ref="AI35" ca="1">IF( AND($D$7,NOT(ISBLANK($D35))), IF(_xll.IMDP("IR", $D35, AI$8, Matrix!$D$6)=0,"",_xll.IMDP("IR", $D35, AI$8, Matrix!$D$6)), "")</f>
        <v>3.4169999999999998</v>
      </c>
      <c r="AJ35" cm="1">
        <f t="array" aca="1" ref="AJ35" ca="1">IF( AND($D$7,NOT(ISBLANK($D35))), IF(_xll.IMDP("IR", $D35, AJ$8, Matrix!$D$6)=0,"",_xll.IMDP("IR", $D35, AJ$8, Matrix!$D$6)), "")</f>
        <v>3.419</v>
      </c>
      <c r="AK35" cm="1">
        <f t="array" aca="1" ref="AK35" ca="1">IF( AND($D$7,NOT(ISBLANK($D35))), IF(_xll.IMDP("IR", $D35, AK$8, Matrix!$D$6)=0,"",_xll.IMDP("IR", $D35, AK$8, Matrix!$D$6)), "")</f>
        <v>3.43</v>
      </c>
      <c r="AL35" cm="1">
        <f t="array" aca="1" ref="AL35" ca="1">IF( AND($D$7,NOT(ISBLANK($D35))), IF(_xll.IMDP("IR", $D35, AL$8, Matrix!$D$6)=0,"",_xll.IMDP("IR", $D35, AL$8, Matrix!$D$6)), "")</f>
        <v>3.532</v>
      </c>
      <c r="AM35" cm="1">
        <f t="array" aca="1" ref="AM35" ca="1">IF( AND($D$7,NOT(ISBLANK($D35))), IF(_xll.IMDP("IR", $D35, AM$8, Matrix!$D$6)=0,"",_xll.IMDP("IR", $D35, AM$8, Matrix!$D$6)), "")</f>
        <v>3.911</v>
      </c>
      <c r="AN35" cm="1">
        <f t="array" aca="1" ref="AN35" ca="1">IF( AND($D$7,NOT(ISBLANK($D35))), IF(_xll.IMDP("IR", $D35, AN$8, Matrix!$D$6)=0,"",_xll.IMDP("IR", $D35, AN$8, Matrix!$D$6)), "")</f>
        <v>4.4800000000000004</v>
      </c>
      <c r="AO35" cm="1">
        <f t="array" aca="1" ref="AO35" ca="1">IF( AND($D$7,NOT(ISBLANK($D35))), IF(_xll.IMDP("IR", $D35, AO$8, Matrix!$D$6)=0,"",_xll.IMDP("IR", $D35, AO$8, Matrix!$D$6)), "")</f>
        <v>4.8860000000000001</v>
      </c>
      <c r="AP35" cm="1">
        <f t="array" aca="1" ref="AP35" ca="1">IF( AND($D$7,NOT(ISBLANK($D35))), IF(_xll.IMDP("IR", $D35, AP$8, Matrix!$D$6)=0,"",_xll.IMDP("IR", $D35, AP$8, Matrix!$D$6)), "")</f>
        <v>5.12</v>
      </c>
      <c r="AQ35" t="str" cm="1">
        <f t="array" aca="1" ref="AQ35" ca="1">IF( AND($D$7,NOT(ISBLANK($D35))), IF(_xll.IMDP("IR", $D35, AQ$8, Matrix!$D$6)=0,"",_xll.IMDP("IR", $D35, AQ$8, Matrix!$D$6)), "")</f>
        <v/>
      </c>
      <c r="AR35" t="str" cm="1">
        <f t="array" aca="1" ref="AR35" ca="1">IF( AND($D$7,NOT(ISBLANK($D35))), IF(_xll.IMDP("IR", $D35, AR$8, Matrix!$D$6)=0,"",_xll.IMDP("IR", $D35, AR$8, Matrix!$D$6)), "")</f>
        <v/>
      </c>
      <c r="AS35" cm="1">
        <f t="array" aca="1" ref="AS35" ca="1">IF( AND($E$7,NOT(ISBLANK($E35))), IF( _xll.IMDP("IR", $E35, AS$8, Matrix!$D$6)=0,"",_xll.IMDP("IR", $E35, AS$8, Matrix!$D$6)), "")</f>
        <v>3.4649999999999999</v>
      </c>
      <c r="AT35" cm="1">
        <f t="array" aca="1" ref="AT35" ca="1">IF( AND($E$7,NOT(ISBLANK($E35))), IF( _xll.IMDP("IR", $E35, AT$8, Matrix!$D$6)=0,"",_xll.IMDP("IR", $E35, AT$8, Matrix!$D$6)), "")</f>
        <v>3.4510000000000001</v>
      </c>
      <c r="AU35" cm="1">
        <f t="array" aca="1" ref="AU35" ca="1">IF( AND($E$7,NOT(ISBLANK($E35))), IF( _xll.IMDP("IR", $E35, AU$8, Matrix!$D$6)=0,"",_xll.IMDP("IR", $E35, AU$8, Matrix!$D$6)), "")</f>
        <v>3.419</v>
      </c>
      <c r="AV35" cm="1">
        <f t="array" aca="1" ref="AV35" ca="1">IF( AND($E$7,NOT(ISBLANK($E35))), IF( _xll.IMDP("IR", $E35, AV$8, Matrix!$D$6)=0,"",_xll.IMDP("IR", $E35, AV$8, Matrix!$D$6)), "")</f>
        <v>3.4180000000000001</v>
      </c>
      <c r="AW35" cm="1">
        <f t="array" aca="1" ref="AW35" ca="1">IF( AND($E$7,NOT(ISBLANK($E35))), IF( _xll.IMDP("IR", $E35, AW$8, Matrix!$D$6)=0,"",_xll.IMDP("IR", $E35, AW$8, Matrix!$D$6)), "")</f>
        <v>3.492</v>
      </c>
      <c r="AX35" cm="1">
        <f t="array" aca="1" ref="AX35" ca="1">IF( AND($E$7,NOT(ISBLANK($E35))), IF( _xll.IMDP("IR", $E35, AX$8, Matrix!$D$6)=0,"",_xll.IMDP("IR", $E35, AX$8, Matrix!$D$6)), "")</f>
        <v>3.4710000000000001</v>
      </c>
      <c r="AY35" cm="1">
        <f t="array" aca="1" ref="AY35" ca="1">IF( AND($E$7,NOT(ISBLANK($E35))), IF( _xll.IMDP("IR", $E35, AY$8, Matrix!$D$6)=0,"",_xll.IMDP("IR", $E35, AY$8, Matrix!$D$6)), "")</f>
        <v>3.4409999999999998</v>
      </c>
      <c r="AZ35" cm="1">
        <f t="array" aca="1" ref="AZ35" ca="1">IF( AND($E$7,NOT(ISBLANK($E35))), IF( _xll.IMDP("IR", $E35, AZ$8, Matrix!$D$6)=0,"",_xll.IMDP("IR", $E35, AZ$8, Matrix!$D$6)), "")</f>
        <v>3.4369999999999998</v>
      </c>
      <c r="BA35" cm="1">
        <f t="array" aca="1" ref="BA35" ca="1">IF( AND($E$7,NOT(ISBLANK($E35))), IF( _xll.IMDP("IR", $E35, BA$8, Matrix!$D$6)=0,"",_xll.IMDP("IR", $E35, BA$8, Matrix!$D$6)), "")</f>
        <v>3.431</v>
      </c>
      <c r="BB35" cm="1">
        <f t="array" aca="1" ref="BB35" ca="1">IF( AND($E$7,NOT(ISBLANK($E35))), IF( _xll.IMDP("IR", $E35, BB$8, Matrix!$D$6)=0,"",_xll.IMDP("IR", $E35, BB$8, Matrix!$D$6)), "")</f>
        <v>3.55</v>
      </c>
      <c r="BC35" cm="1">
        <f t="array" aca="1" ref="BC35" ca="1">IF( AND($E$7,NOT(ISBLANK($E35))), IF( _xll.IMDP("IR", $E35, BC$8, Matrix!$D$6)=0,"",_xll.IMDP("IR", $E35, BC$8, Matrix!$D$6)), "")</f>
        <v>3.9489999999999998</v>
      </c>
      <c r="BD35" cm="1">
        <f t="array" aca="1" ref="BD35" ca="1">IF( AND($E$7,NOT(ISBLANK($E35))), IF( _xll.IMDP("IR", $E35, BD$8, Matrix!$D$6)=0,"",_xll.IMDP("IR", $E35, BD$8, Matrix!$D$6)), "")</f>
        <v>4.5019999999999998</v>
      </c>
      <c r="BE35" cm="1">
        <f t="array" aca="1" ref="BE35" ca="1">IF( AND($E$7,NOT(ISBLANK($E35))), IF( _xll.IMDP("IR", $E35, BE$8, Matrix!$D$6)=0,"",_xll.IMDP("IR", $E35, BE$8, Matrix!$D$6)), "")</f>
        <v>4.9340000000000002</v>
      </c>
      <c r="BF35" cm="1">
        <f t="array" aca="1" ref="BF35" ca="1">IF( AND($E$7,NOT(ISBLANK($E35))), IF( _xll.IMDP("IR", $E35, BF$8, Matrix!$D$6)=0,"",_xll.IMDP("IR", $E35, BF$8, Matrix!$D$6)), "")</f>
        <v>5.1210000000000004</v>
      </c>
      <c r="BG35" t="str" cm="1">
        <f t="array" aca="1" ref="BG35" ca="1">IF( AND($E$7,NOT(ISBLANK($E35))), IF( _xll.IMDP("IR", $E35, BG$8, Matrix!$D$6)=0,"",_xll.IMDP("IR", $E35, BG$8, Matrix!$D$6)), "")</f>
        <v/>
      </c>
      <c r="BH35" t="str" cm="1">
        <f t="array" aca="1" ref="BH35" ca="1">IF( AND($E$7,NOT(ISBLANK($E35))), IF( _xll.IMDP("IR", $E35, BH$8, Matrix!$D$6)=0,"",_xll.IMDP("IR", $E35, BH$8, Matrix!$D$6)), "")</f>
        <v/>
      </c>
      <c r="BI35" cm="1">
        <f t="array" aca="1" ref="BI35" ca="1">IF( AND($F$7,NOT(ISBLANK($F35))), IF( _xll.IMDP("IR", $F35, BI$8, Matrix!$D$6)=0,"",_xll.IMDP("IR", $F35, BI$8, Matrix!$D$6)), "")</f>
        <v>3.472</v>
      </c>
      <c r="BJ35" cm="1">
        <f t="array" aca="1" ref="BJ35" ca="1">IF( AND($F$7,NOT(ISBLANK($F35))), IF( _xll.IMDP("IR", $F35, BJ$8, Matrix!$D$6)=0,"",_xll.IMDP("IR", $F35, BJ$8, Matrix!$D$6)), "")</f>
        <v>3.4449999999999998</v>
      </c>
      <c r="BK35" cm="1">
        <f t="array" aca="1" ref="BK35" ca="1">IF( AND($F$7,NOT(ISBLANK($F35))), IF( _xll.IMDP("IR", $F35, BK$8, Matrix!$D$6)=0,"",_xll.IMDP("IR", $F35, BK$8, Matrix!$D$6)), "")</f>
        <v>3.4159999999999999</v>
      </c>
      <c r="BL35" cm="1">
        <f t="array" aca="1" ref="BL35" ca="1">IF( AND($F$7,NOT(ISBLANK($F35))), IF( _xll.IMDP("IR", $F35, BL$8, Matrix!$D$6)=0,"",_xll.IMDP("IR", $F35, BL$8, Matrix!$D$6)), "")</f>
        <v>3.4460000000000002</v>
      </c>
      <c r="BM35" cm="1">
        <f t="array" aca="1" ref="BM35" ca="1">IF( AND($F$7,NOT(ISBLANK($F35))), IF( _xll.IMDP("IR", $F35, BM$8, Matrix!$D$6)=0,"",_xll.IMDP("IR", $F35, BM$8, Matrix!$D$6)), "")</f>
        <v>3.4929999999999999</v>
      </c>
      <c r="BN35" cm="1">
        <f t="array" aca="1" ref="BN35" ca="1">IF( AND($F$7,NOT(ISBLANK($F35))), IF( _xll.IMDP("IR", $F35, BN$8, Matrix!$D$6)=0,"",_xll.IMDP("IR", $F35, BN$8, Matrix!$D$6)), "")</f>
        <v>3.4620000000000002</v>
      </c>
      <c r="BO35" cm="1">
        <f t="array" aca="1" ref="BO35" ca="1">IF( AND($F$7,NOT(ISBLANK($F35))), IF( _xll.IMDP("IR", $F35, BO$8, Matrix!$D$6)=0,"",_xll.IMDP("IR", $F35, BO$8, Matrix!$D$6)), "")</f>
        <v>3.4319999999999999</v>
      </c>
      <c r="BP35" cm="1">
        <f t="array" aca="1" ref="BP35" ca="1">IF( AND($F$7,NOT(ISBLANK($F35))), IF( _xll.IMDP("IR", $F35, BP$8, Matrix!$D$6)=0,"",_xll.IMDP("IR", $F35, BP$8, Matrix!$D$6)), "")</f>
        <v>3.4220000000000002</v>
      </c>
      <c r="BQ35" cm="1">
        <f t="array" aca="1" ref="BQ35" ca="1">IF( AND($F$7,NOT(ISBLANK($F35))), IF( _xll.IMDP("IR", $F35, BQ$8, Matrix!$D$6)=0,"",_xll.IMDP("IR", $F35, BQ$8, Matrix!$D$6)), "")</f>
        <v>3.4590000000000001</v>
      </c>
      <c r="BR35" cm="1">
        <f t="array" aca="1" ref="BR35" ca="1">IF( AND($F$7,NOT(ISBLANK($F35))), IF( _xll.IMDP("IR", $F35, BR$8, Matrix!$D$6)=0,"",_xll.IMDP("IR", $F35, BR$8, Matrix!$D$6)), "")</f>
        <v>3.5489999999999999</v>
      </c>
      <c r="BS35" cm="1">
        <f t="array" aca="1" ref="BS35" ca="1">IF( AND($F$7,NOT(ISBLANK($F35))), IF( _xll.IMDP("IR", $F35, BS$8, Matrix!$D$6)=0,"",_xll.IMDP("IR", $F35, BS$8, Matrix!$D$6)), "")</f>
        <v>3.9260000000000002</v>
      </c>
      <c r="BT35" cm="1">
        <f t="array" aca="1" ref="BT35" ca="1">IF( AND($F$7,NOT(ISBLANK($F35))), IF( _xll.IMDP("IR", $F35, BT$8, Matrix!$D$6)=0,"",_xll.IMDP("IR", $F35, BT$8, Matrix!$D$6)), "")</f>
        <v>4.5110000000000001</v>
      </c>
      <c r="BU35" cm="1">
        <f t="array" aca="1" ref="BU35" ca="1">IF( AND($F$7,NOT(ISBLANK($F35))), IF( _xll.IMDP("IR", $F35, BU$8, Matrix!$D$6)=0,"",_xll.IMDP("IR", $F35, BU$8, Matrix!$D$6)), "")</f>
        <v>4.9009999999999998</v>
      </c>
      <c r="BV35" cm="1">
        <f t="array" aca="1" ref="BV35" ca="1">IF( AND($F$7,NOT(ISBLANK($F35))), IF( _xll.IMDP("IR", $F35, BV$8, Matrix!$D$6)=0,"",_xll.IMDP("IR", $F35, BV$8, Matrix!$D$6)), "")</f>
        <v>5.1130000000000004</v>
      </c>
      <c r="BW35" t="str" cm="1">
        <f t="array" aca="1" ref="BW35" ca="1">IF( AND($F$7,NOT(ISBLANK($F35))), IF( _xll.IMDP("IR", $F35, BW$8, Matrix!$D$6)=0,"",_xll.IMDP("IR", $F35, BW$8, Matrix!$D$6)), "")</f>
        <v/>
      </c>
      <c r="BX35" t="str" cm="1">
        <f t="array" aca="1" ref="BX35" ca="1">IF( AND($F$7,NOT(ISBLANK($F35))), IF( _xll.IMDP("IR", $F35, BX$8, Matrix!$D$6)=0,"",_xll.IMDP("IR", $F35, BX$8, Matrix!$D$6)), "")</f>
        <v/>
      </c>
      <c r="BY35" cm="1">
        <f t="array" aca="1" ref="BY35" ca="1">IF( AND($G$7,NOT(ISBLANK($G35))), IF( _xll.IMDP("IR", $G35, BY$8, Matrix!$D$6)=0, "", _xll.IMDP("IR", $G35, BY$8, Matrix!$D$6)), "")</f>
        <v>3.4409999999999998</v>
      </c>
      <c r="BZ35" cm="1">
        <f t="array" aca="1" ref="BZ35" ca="1">IF( AND($G$7,NOT(ISBLANK($G35))), IF( _xll.IMDP("IR", $G35, BZ$8, Matrix!$D$6)=0, "", _xll.IMDP("IR", $G35, BZ$8, Matrix!$D$6)), "")</f>
        <v>3.4209999999999998</v>
      </c>
      <c r="CA35" cm="1">
        <f t="array" aca="1" ref="CA35" ca="1">IF( AND($G$7,NOT(ISBLANK($G35))), IF( _xll.IMDP("IR", $G35, CA$8, Matrix!$D$6)=0, "", _xll.IMDP("IR", $G35, CA$8, Matrix!$D$6)), "")</f>
        <v>3.391</v>
      </c>
      <c r="CB35" cm="1">
        <f t="array" aca="1" ref="CB35" ca="1">IF( AND($G$7,NOT(ISBLANK($G35))), IF( _xll.IMDP("IR", $G35, CB$8, Matrix!$D$6)=0, "", _xll.IMDP("IR", $G35, CB$8, Matrix!$D$6)), "")</f>
        <v>3.419</v>
      </c>
      <c r="CC35" cm="1">
        <f t="array" aca="1" ref="CC35" ca="1">IF( AND($G$7,NOT(ISBLANK($G35))), IF( _xll.IMDP("IR", $G35, CC$8, Matrix!$D$6)=0, "", _xll.IMDP("IR", $G35, CC$8, Matrix!$D$6)), "")</f>
        <v>3.4729999999999999</v>
      </c>
      <c r="CD35" cm="1">
        <f t="array" aca="1" ref="CD35" ca="1">IF( AND($G$7,NOT(ISBLANK($G35))), IF( _xll.IMDP("IR", $G35, CD$8, Matrix!$D$6)=0, "", _xll.IMDP("IR", $G35, CD$8, Matrix!$D$6)), "")</f>
        <v>3.4649999999999999</v>
      </c>
      <c r="CE35" cm="1">
        <f t="array" aca="1" ref="CE35" ca="1">IF( AND($G$7,NOT(ISBLANK($G35))), IF( _xll.IMDP("IR", $G35, CE$8, Matrix!$D$6)=0, "", _xll.IMDP("IR", $G35, CE$8, Matrix!$D$6)), "")</f>
        <v>3.4220000000000002</v>
      </c>
      <c r="CF35" cm="1">
        <f t="array" aca="1" ref="CF35" ca="1">IF( AND($G$7,NOT(ISBLANK($G35))), IF( _xll.IMDP("IR", $G35, CF$8, Matrix!$D$6)=0, "", _xll.IMDP("IR", $G35, CF$8, Matrix!$D$6)), "")</f>
        <v>3.4239999999999999</v>
      </c>
      <c r="CG35" cm="1">
        <f t="array" aca="1" ref="CG35" ca="1">IF( AND($G$7,NOT(ISBLANK($G35))), IF( _xll.IMDP("IR", $G35, CG$8, Matrix!$D$6)=0, "", _xll.IMDP("IR", $G35, CG$8, Matrix!$D$6)), "")</f>
        <v>3.4279999999999999</v>
      </c>
      <c r="CH35" cm="1">
        <f t="array" aca="1" ref="CH35" ca="1">IF( AND($G$7,NOT(ISBLANK($G35))), IF( _xll.IMDP("IR", $G35, CH$8, Matrix!$D$6)=0, "", _xll.IMDP("IR", $G35, CH$8, Matrix!$D$6)), "")</f>
        <v>3.5310000000000001</v>
      </c>
      <c r="CI35" cm="1">
        <f t="array" aca="1" ref="CI35" ca="1">IF( AND($G$7,NOT(ISBLANK($G35))), IF( _xll.IMDP("IR", $G35, CI$8, Matrix!$D$6)=0, "", _xll.IMDP("IR", $G35, CI$8, Matrix!$D$6)), "")</f>
        <v>3.927</v>
      </c>
      <c r="CJ35" cm="1">
        <f t="array" aca="1" ref="CJ35" ca="1">IF( AND($G$7,NOT(ISBLANK($G35))), IF( _xll.IMDP("IR", $G35, CJ$8, Matrix!$D$6)=0, "", _xll.IMDP("IR", $G35, CJ$8, Matrix!$D$6)), "")</f>
        <v>4.4829999999999997</v>
      </c>
      <c r="CK35" cm="1">
        <f t="array" aca="1" ref="CK35" ca="1">IF( AND($G$7,NOT(ISBLANK($G35))), IF( _xll.IMDP("IR", $G35, CK$8, Matrix!$D$6)=0, "", _xll.IMDP("IR", $G35, CK$8, Matrix!$D$6)), "")</f>
        <v>4.8959999999999999</v>
      </c>
      <c r="CL35" cm="1">
        <f t="array" aca="1" ref="CL35" ca="1">IF( AND($G$7,NOT(ISBLANK($G35))), IF( _xll.IMDP("IR", $G35, CL$8, Matrix!$D$6)=0, "", _xll.IMDP("IR", $G35, CL$8, Matrix!$D$6)), "")</f>
        <v>5.1349999999999998</v>
      </c>
      <c r="CM35" t="str" cm="1">
        <f t="array" aca="1" ref="CM35" ca="1">IF( AND($G$7,NOT(ISBLANK($G35))), IF( _xll.IMDP("IR", $G35, CM$8, Matrix!$D$6)=0, "", _xll.IMDP("IR", $G35, CM$8, Matrix!$D$6)), "")</f>
        <v/>
      </c>
      <c r="CN35" t="str" cm="1">
        <f t="array" aca="1" ref="CN35" ca="1">IF( AND($G$7,NOT(ISBLANK($G35))), IF( _xll.IMDP("IR", $G35, CN$8, Matrix!$D$6)=0, "", _xll.IMDP("IR", $G35, CN$8, Matrix!$D$6)), "")</f>
        <v/>
      </c>
      <c r="CO35" cm="1">
        <f t="array" aca="1" ref="CO35" ca="1">IF( AND($H$7,NOT(ISBLANK($H35))), IF( _xll.IMDP("IR", $H35, CO$8, Matrix!$D$6)=0, "", _xll.IMDP("IR", $H35, CO$8, Matrix!$D$6)), "")</f>
        <v>3.4569999999999999</v>
      </c>
      <c r="CP35" cm="1">
        <f t="array" aca="1" ref="CP35" ca="1">IF( AND($H$7,NOT(ISBLANK($H35))), IF( _xll.IMDP("IR", $H35, CP$8, Matrix!$D$6)=0, "", _xll.IMDP("IR", $H35, CP$8, Matrix!$D$6)), "")</f>
        <v>3.4390000000000001</v>
      </c>
      <c r="CQ35" cm="1">
        <f t="array" aca="1" ref="CQ35" ca="1">IF( AND($H$7,NOT(ISBLANK($H35))), IF( _xll.IMDP("IR", $H35, CQ$8, Matrix!$D$6)=0, "", _xll.IMDP("IR", $H35, CQ$8, Matrix!$D$6)), "")</f>
        <v>3.407</v>
      </c>
      <c r="CR35" cm="1">
        <f t="array" aca="1" ref="CR35" ca="1">IF( AND($H$7,NOT(ISBLANK($H35))), IF( _xll.IMDP("IR", $H35, CR$8, Matrix!$D$6)=0, "", _xll.IMDP("IR", $H35, CR$8, Matrix!$D$6)), "")</f>
        <v>3.4260000000000002</v>
      </c>
      <c r="CS35" cm="1">
        <f t="array" aca="1" ref="CS35" ca="1">IF( AND($H$7,NOT(ISBLANK($H35))), IF( _xll.IMDP("IR", $H35, CS$8, Matrix!$D$6)=0, "", _xll.IMDP("IR", $H35, CS$8, Matrix!$D$6)), "")</f>
        <v>3.484</v>
      </c>
      <c r="CT35" cm="1">
        <f t="array" aca="1" ref="CT35" ca="1">IF( AND($H$7,NOT(ISBLANK($H35))), IF( _xll.IMDP("IR", $H35, CT$8, Matrix!$D$6)=0, "", _xll.IMDP("IR", $H35, CT$8, Matrix!$D$6)), "")</f>
        <v>3.4620000000000002</v>
      </c>
      <c r="CU35" cm="1">
        <f t="array" aca="1" ref="CU35" ca="1">IF( AND($H$7,NOT(ISBLANK($H35))), IF( _xll.IMDP("IR", $H35, CU$8, Matrix!$D$6)=0, "", _xll.IMDP("IR", $H35, CU$8, Matrix!$D$6)), "")</f>
        <v>3.4279999999999999</v>
      </c>
      <c r="CV35" cm="1">
        <f t="array" aca="1" ref="CV35" ca="1">IF( AND($H$7,NOT(ISBLANK($H35))), IF( _xll.IMDP("IR", $H35, CV$8, Matrix!$D$6)=0, "", _xll.IMDP("IR", $H35, CV$8, Matrix!$D$6)), "")</f>
        <v>3.4249999999999998</v>
      </c>
      <c r="CW35" cm="1">
        <f t="array" aca="1" ref="CW35" ca="1">IF( AND($H$7,NOT(ISBLANK($H35))), IF( _xll.IMDP("IR", $H35, CW$8, Matrix!$D$6)=0, "", _xll.IMDP("IR", $H35, CW$8, Matrix!$D$6)), "")</f>
        <v>3.4369999999999998</v>
      </c>
      <c r="CX35" cm="1">
        <f t="array" aca="1" ref="CX35" ca="1">IF( AND($H$7,NOT(ISBLANK($H35))), IF( _xll.IMDP("IR", $H35, CX$8, Matrix!$D$6)=0, "", _xll.IMDP("IR", $H35, CX$8, Matrix!$D$6)), "")</f>
        <v>3.54</v>
      </c>
      <c r="CY35" cm="1">
        <f t="array" aca="1" ref="CY35" ca="1">IF( AND($H$7,NOT(ISBLANK($H35))), IF( _xll.IMDP("IR", $H35, CY$8, Matrix!$D$6)=0, "", _xll.IMDP("IR", $H35, CY$8, Matrix!$D$6)), "")</f>
        <v>3.9279999999999999</v>
      </c>
      <c r="CZ35" cm="1">
        <f t="array" aca="1" ref="CZ35" ca="1">IF( AND($H$7,NOT(ISBLANK($H35))), IF( _xll.IMDP("IR", $H35, CZ$8, Matrix!$D$6)=0, "", _xll.IMDP("IR", $H35, CZ$8, Matrix!$D$6)), "")</f>
        <v>4.4939999999999998</v>
      </c>
      <c r="DA35" t="str" cm="1">
        <f t="array" aca="1" ref="DA35" ca="1">IF( AND($H$7,NOT(ISBLANK($H35))), IF( _xll.IMDP("IR", $H35, DA$8, Matrix!$D$6)=0, "", _xll.IMDP("IR", $H35, DA$8, Matrix!$D$6)), "")</f>
        <v/>
      </c>
      <c r="DB35" t="str" cm="1">
        <f t="array" aca="1" ref="DB35" ca="1">IF( AND($H$7,NOT(ISBLANK($H35))), IF( _xll.IMDP("IR", $H35, DB$8, Matrix!$D$6)=0, "", _xll.IMDP("IR", $H35, DB$8, Matrix!$D$6)), "")</f>
        <v/>
      </c>
      <c r="DC35" t="str" cm="1">
        <f t="array" aca="1" ref="DC35" ca="1">IF( AND($H$7,NOT(ISBLANK($H35))), IF( _xll.IMDP("IR", $H35, DC$8, Matrix!$D$6)=0, "", _xll.IMDP("IR", $H35, DC$8, Matrix!$D$6)), "")</f>
        <v/>
      </c>
      <c r="DD35" t="str" cm="1">
        <f t="array" aca="1" ref="DD35" ca="1">IF( AND($H$7,NOT(ISBLANK($H35))), IF( _xll.IMDP("IR", $H35, DD$8, Matrix!$D$6)=0, "", _xll.IMDP("IR", $H35, DD$8, Matrix!$D$6)), "")</f>
        <v/>
      </c>
    </row>
    <row r="36" spans="2:108">
      <c r="B36" t="s">
        <v>104</v>
      </c>
      <c r="C36" t="s">
        <v>178</v>
      </c>
      <c r="D36" t="s">
        <v>253</v>
      </c>
      <c r="E36" t="s">
        <v>315</v>
      </c>
      <c r="F36" t="s">
        <v>378</v>
      </c>
      <c r="G36" t="s">
        <v>444</v>
      </c>
      <c r="H36" t="s">
        <v>502</v>
      </c>
      <c r="M36" s="21">
        <f t="shared" ca="1" si="1"/>
        <v>3.4819875461031802</v>
      </c>
      <c r="N36" s="21">
        <f t="shared" ca="1" si="2"/>
        <v>3.4699846397427332</v>
      </c>
      <c r="O36" s="21">
        <f t="shared" ca="1" si="3"/>
        <v>3.4623837742188179</v>
      </c>
      <c r="P36" s="21">
        <f t="shared" ca="1" si="4"/>
        <v>3.4953585857025598</v>
      </c>
      <c r="Q36" s="21">
        <f t="shared" ca="1" si="5"/>
        <v>3.5513926558088977</v>
      </c>
      <c r="R36" s="21">
        <f t="shared" ca="1" si="6"/>
        <v>3.5505864076921303</v>
      </c>
      <c r="S36" s="21">
        <f t="shared" ca="1" si="7"/>
        <v>3.54057635058123</v>
      </c>
      <c r="T36" s="21">
        <f t="shared" ca="1" si="8"/>
        <v>3.5423940933830926</v>
      </c>
      <c r="U36" s="21">
        <f t="shared" ca="1" si="9"/>
        <v>3.5513959116974632</v>
      </c>
      <c r="V36" s="21">
        <f t="shared" ca="1" si="10"/>
        <v>3.6591931030014355</v>
      </c>
      <c r="W36" s="21">
        <f t="shared" ca="1" si="11"/>
        <v>4.1311971729545354</v>
      </c>
      <c r="X36" s="21">
        <f t="shared" ca="1" si="12"/>
        <v>4.7173865001843831</v>
      </c>
      <c r="Y36" s="21">
        <f t="shared" ca="1" si="13"/>
        <v>5.1494773481186611</v>
      </c>
      <c r="Z36" s="21">
        <f t="shared" ca="1" si="14"/>
        <v>5.3724771944747927</v>
      </c>
      <c r="AA36" s="21" t="e">
        <f t="shared" ca="1" si="15"/>
        <v>#NUM!</v>
      </c>
      <c r="AB36" s="21" t="e">
        <f t="shared" ca="1" si="16"/>
        <v>#NUM!</v>
      </c>
      <c r="AC36" cm="1">
        <f t="array" aca="1" ref="AC36" ca="1">IF( AND($D$7,NOT(ISBLANK($D36))), IF(_xll.IMDP("IR", $D36, AC$8, Matrix!$D$6)=0,"",_xll.IMDP("IR", $D36, AC$8, Matrix!$D$6)), "")</f>
        <v>3.4790000000000001</v>
      </c>
      <c r="AD36" cm="1">
        <f t="array" aca="1" ref="AD36" ca="1">IF( AND($D$7,NOT(ISBLANK($D36))), IF(_xll.IMDP("IR", $D36, AD$8, Matrix!$D$6)=0,"",_xll.IMDP("IR", $D36, AD$8, Matrix!$D$6)), "")</f>
        <v>3.4769999999999999</v>
      </c>
      <c r="AE36" cm="1">
        <f t="array" aca="1" ref="AE36" ca="1">IF( AND($D$7,NOT(ISBLANK($D36))), IF(_xll.IMDP("IR", $D36, AE$8, Matrix!$D$6)=0,"",_xll.IMDP("IR", $D36, AE$8, Matrix!$D$6)), "")</f>
        <v>3.4649999999999999</v>
      </c>
      <c r="AF36" cm="1">
        <f t="array" aca="1" ref="AF36" ca="1">IF( AND($D$7,NOT(ISBLANK($D36))), IF(_xll.IMDP("IR", $D36, AF$8, Matrix!$D$6)=0,"",_xll.IMDP("IR", $D36, AF$8, Matrix!$D$6)), "")</f>
        <v>3.49</v>
      </c>
      <c r="AG36" cm="1">
        <f t="array" aca="1" ref="AG36" ca="1">IF( AND($D$7,NOT(ISBLANK($D36))), IF(_xll.IMDP("IR", $D36, AG$8, Matrix!$D$6)=0,"",_xll.IMDP("IR", $D36, AG$8, Matrix!$D$6)), "")</f>
        <v>3.5470000000000002</v>
      </c>
      <c r="AH36" cm="1">
        <f t="array" aca="1" ref="AH36" ca="1">IF( AND($D$7,NOT(ISBLANK($D36))), IF(_xll.IMDP("IR", $D36, AH$8, Matrix!$D$6)=0,"",_xll.IMDP("IR", $D36, AH$8, Matrix!$D$6)), "")</f>
        <v>3.5459999999999998</v>
      </c>
      <c r="AI36" cm="1">
        <f t="array" aca="1" ref="AI36" ca="1">IF( AND($D$7,NOT(ISBLANK($D36))), IF(_xll.IMDP("IR", $D36, AI$8, Matrix!$D$6)=0,"",_xll.IMDP("IR", $D36, AI$8, Matrix!$D$6)), "")</f>
        <v>3.53</v>
      </c>
      <c r="AJ36" cm="1">
        <f t="array" aca="1" ref="AJ36" ca="1">IF( AND($D$7,NOT(ISBLANK($D36))), IF(_xll.IMDP("IR", $D36, AJ$8, Matrix!$D$6)=0,"",_xll.IMDP("IR", $D36, AJ$8, Matrix!$D$6)), "")</f>
        <v>3.5329999999999999</v>
      </c>
      <c r="AK36" cm="1">
        <f t="array" aca="1" ref="AK36" ca="1">IF( AND($D$7,NOT(ISBLANK($D36))), IF(_xll.IMDP("IR", $D36, AK$8, Matrix!$D$6)=0,"",_xll.IMDP("IR", $D36, AK$8, Matrix!$D$6)), "")</f>
        <v>3.5449999999999999</v>
      </c>
      <c r="AL36" cm="1">
        <f t="array" aca="1" ref="AL36" ca="1">IF( AND($D$7,NOT(ISBLANK($D36))), IF(_xll.IMDP("IR", $D36, AL$8, Matrix!$D$6)=0,"",_xll.IMDP("IR", $D36, AL$8, Matrix!$D$6)), "")</f>
        <v>3.6549999999999998</v>
      </c>
      <c r="AM36" cm="1">
        <f t="array" aca="1" ref="AM36" ca="1">IF( AND($D$7,NOT(ISBLANK($D36))), IF(_xll.IMDP("IR", $D36, AM$8, Matrix!$D$6)=0,"",_xll.IMDP("IR", $D36, AM$8, Matrix!$D$6)), "")</f>
        <v>4.125</v>
      </c>
      <c r="AN36" cm="1">
        <f t="array" aca="1" ref="AN36" ca="1">IF( AND($D$7,NOT(ISBLANK($D36))), IF(_xll.IMDP("IR", $D36, AN$8, Matrix!$D$6)=0,"",_xll.IMDP("IR", $D36, AN$8, Matrix!$D$6)), "")</f>
        <v>4.7210000000000001</v>
      </c>
      <c r="AO36" cm="1">
        <f t="array" aca="1" ref="AO36" ca="1">IF( AND($D$7,NOT(ISBLANK($D36))), IF(_xll.IMDP("IR", $D36, AO$8, Matrix!$D$6)=0,"",_xll.IMDP("IR", $D36, AO$8, Matrix!$D$6)), "")</f>
        <v>5.1280000000000001</v>
      </c>
      <c r="AP36" cm="1">
        <f t="array" aca="1" ref="AP36" ca="1">IF( AND($D$7,NOT(ISBLANK($D36))), IF(_xll.IMDP("IR", $D36, AP$8, Matrix!$D$6)=0,"",_xll.IMDP("IR", $D36, AP$8, Matrix!$D$6)), "")</f>
        <v>5.3879999999999999</v>
      </c>
      <c r="AQ36" t="str" cm="1">
        <f t="array" aca="1" ref="AQ36" ca="1">IF( AND($D$7,NOT(ISBLANK($D36))), IF(_xll.IMDP("IR", $D36, AQ$8, Matrix!$D$6)=0,"",_xll.IMDP("IR", $D36, AQ$8, Matrix!$D$6)), "")</f>
        <v/>
      </c>
      <c r="AR36" t="str" cm="1">
        <f t="array" aca="1" ref="AR36" ca="1">IF( AND($D$7,NOT(ISBLANK($D36))), IF(_xll.IMDP("IR", $D36, AR$8, Matrix!$D$6)=0,"",_xll.IMDP("IR", $D36, AR$8, Matrix!$D$6)), "")</f>
        <v/>
      </c>
      <c r="AS36" cm="1">
        <f t="array" aca="1" ref="AS36" ca="1">IF( AND($E$7,NOT(ISBLANK($E36))), IF( _xll.IMDP("IR", $E36, AS$8, Matrix!$D$6)=0,"",_xll.IMDP("IR", $E36, AS$8, Matrix!$D$6)), "")</f>
        <v>3.4820000000000002</v>
      </c>
      <c r="AT36" cm="1">
        <f t="array" aca="1" ref="AT36" ca="1">IF( AND($E$7,NOT(ISBLANK($E36))), IF( _xll.IMDP("IR", $E36, AT$8, Matrix!$D$6)=0,"",_xll.IMDP("IR", $E36, AT$8, Matrix!$D$6)), "")</f>
        <v>3.4809999999999999</v>
      </c>
      <c r="AU36" cm="1">
        <f t="array" aca="1" ref="AU36" ca="1">IF( AND($E$7,NOT(ISBLANK($E36))), IF( _xll.IMDP("IR", $E36, AU$8, Matrix!$D$6)=0,"",_xll.IMDP("IR", $E36, AU$8, Matrix!$D$6)), "")</f>
        <v>3.464</v>
      </c>
      <c r="AV36" cm="1">
        <f t="array" aca="1" ref="AV36" ca="1">IF( AND($E$7,NOT(ISBLANK($E36))), IF( _xll.IMDP("IR", $E36, AV$8, Matrix!$D$6)=0,"",_xll.IMDP("IR", $E36, AV$8, Matrix!$D$6)), "")</f>
        <v>3.4830000000000001</v>
      </c>
      <c r="AW36" cm="1">
        <f t="array" aca="1" ref="AW36" ca="1">IF( AND($E$7,NOT(ISBLANK($E36))), IF( _xll.IMDP("IR", $E36, AW$8, Matrix!$D$6)=0,"",_xll.IMDP("IR", $E36, AW$8, Matrix!$D$6)), "")</f>
        <v>3.55</v>
      </c>
      <c r="AX36" cm="1">
        <f t="array" aca="1" ref="AX36" ca="1">IF( AND($E$7,NOT(ISBLANK($E36))), IF( _xll.IMDP("IR", $E36, AX$8, Matrix!$D$6)=0,"",_xll.IMDP("IR", $E36, AX$8, Matrix!$D$6)), "")</f>
        <v>3.5510000000000002</v>
      </c>
      <c r="AY36" cm="1">
        <f t="array" aca="1" ref="AY36" ca="1">IF( AND($E$7,NOT(ISBLANK($E36))), IF( _xll.IMDP("IR", $E36, AY$8, Matrix!$D$6)=0,"",_xll.IMDP("IR", $E36, AY$8, Matrix!$D$6)), "")</f>
        <v>3.5550000000000002</v>
      </c>
      <c r="AZ36" cm="1">
        <f t="array" aca="1" ref="AZ36" ca="1">IF( AND($E$7,NOT(ISBLANK($E36))), IF( _xll.IMDP("IR", $E36, AZ$8, Matrix!$D$6)=0,"",_xll.IMDP("IR", $E36, AZ$8, Matrix!$D$6)), "")</f>
        <v>3.5489999999999999</v>
      </c>
      <c r="BA36" cm="1">
        <f t="array" aca="1" ref="BA36" ca="1">IF( AND($E$7,NOT(ISBLANK($E36))), IF( _xll.IMDP("IR", $E36, BA$8, Matrix!$D$6)=0,"",_xll.IMDP("IR", $E36, BA$8, Matrix!$D$6)), "")</f>
        <v>3.5569999999999999</v>
      </c>
      <c r="BB36" cm="1">
        <f t="array" aca="1" ref="BB36" ca="1">IF( AND($E$7,NOT(ISBLANK($E36))), IF( _xll.IMDP("IR", $E36, BB$8, Matrix!$D$6)=0,"",_xll.IMDP("IR", $E36, BB$8, Matrix!$D$6)), "")</f>
        <v>3.6539999999999999</v>
      </c>
      <c r="BC36" cm="1">
        <f t="array" aca="1" ref="BC36" ca="1">IF( AND($E$7,NOT(ISBLANK($E36))), IF( _xll.IMDP("IR", $E36, BC$8, Matrix!$D$6)=0,"",_xll.IMDP("IR", $E36, BC$8, Matrix!$D$6)), "")</f>
        <v>4.1379999999999999</v>
      </c>
      <c r="BD36" cm="1">
        <f t="array" aca="1" ref="BD36" ca="1">IF( AND($E$7,NOT(ISBLANK($E36))), IF( _xll.IMDP("IR", $E36, BD$8, Matrix!$D$6)=0,"",_xll.IMDP("IR", $E36, BD$8, Matrix!$D$6)), "")</f>
        <v>4.702</v>
      </c>
      <c r="BE36" cm="1">
        <f t="array" aca="1" ref="BE36" ca="1">IF( AND($E$7,NOT(ISBLANK($E36))), IF( _xll.IMDP("IR", $E36, BE$8, Matrix!$D$6)=0,"",_xll.IMDP("IR", $E36, BE$8, Matrix!$D$6)), "")</f>
        <v>5.1550000000000002</v>
      </c>
      <c r="BF36" cm="1">
        <f t="array" aca="1" ref="BF36" ca="1">IF( AND($E$7,NOT(ISBLANK($E36))), IF( _xll.IMDP("IR", $E36, BF$8, Matrix!$D$6)=0,"",_xll.IMDP("IR", $E36, BF$8, Matrix!$D$6)), "")</f>
        <v>5.3479999999999999</v>
      </c>
      <c r="BG36" t="str" cm="1">
        <f t="array" aca="1" ref="BG36" ca="1">IF( AND($E$7,NOT(ISBLANK($E36))), IF( _xll.IMDP("IR", $E36, BG$8, Matrix!$D$6)=0,"",_xll.IMDP("IR", $E36, BG$8, Matrix!$D$6)), "")</f>
        <v/>
      </c>
      <c r="BH36" t="str" cm="1">
        <f t="array" aca="1" ref="BH36" ca="1">IF( AND($E$7,NOT(ISBLANK($E36))), IF( _xll.IMDP("IR", $E36, BH$8, Matrix!$D$6)=0,"",_xll.IMDP("IR", $E36, BH$8, Matrix!$D$6)), "")</f>
        <v/>
      </c>
      <c r="BI36" cm="1">
        <f t="array" aca="1" ref="BI36" ca="1">IF( AND($F$7,NOT(ISBLANK($F36))), IF( _xll.IMDP("IR", $F36, BI$8, Matrix!$D$6)=0,"",_xll.IMDP("IR", $F36, BI$8, Matrix!$D$6)), "")</f>
        <v>3.4980000000000002</v>
      </c>
      <c r="BJ36" cm="1">
        <f t="array" aca="1" ref="BJ36" ca="1">IF( AND($F$7,NOT(ISBLANK($F36))), IF( _xll.IMDP("IR", $F36, BJ$8, Matrix!$D$6)=0,"",_xll.IMDP("IR", $F36, BJ$8, Matrix!$D$6)), "")</f>
        <v>3.4710000000000001</v>
      </c>
      <c r="BK36" cm="1">
        <f t="array" aca="1" ref="BK36" ca="1">IF( AND($F$7,NOT(ISBLANK($F36))), IF( _xll.IMDP("IR", $F36, BK$8, Matrix!$D$6)=0,"",_xll.IMDP("IR", $F36, BK$8, Matrix!$D$6)), "")</f>
        <v>3.4769999999999999</v>
      </c>
      <c r="BL36" cm="1">
        <f t="array" aca="1" ref="BL36" ca="1">IF( AND($F$7,NOT(ISBLANK($F36))), IF( _xll.IMDP("IR", $F36, BL$8, Matrix!$D$6)=0,"",_xll.IMDP("IR", $F36, BL$8, Matrix!$D$6)), "")</f>
        <v>3.528</v>
      </c>
      <c r="BM36" cm="1">
        <f t="array" aca="1" ref="BM36" ca="1">IF( AND($F$7,NOT(ISBLANK($F36))), IF( _xll.IMDP("IR", $F36, BM$8, Matrix!$D$6)=0,"",_xll.IMDP("IR", $F36, BM$8, Matrix!$D$6)), "")</f>
        <v>3.5649999999999999</v>
      </c>
      <c r="BN36" cm="1">
        <f t="array" aca="1" ref="BN36" ca="1">IF( AND($F$7,NOT(ISBLANK($F36))), IF( _xll.IMDP("IR", $F36, BN$8, Matrix!$D$6)=0,"",_xll.IMDP("IR", $F36, BN$8, Matrix!$D$6)), "")</f>
        <v>3.5680000000000001</v>
      </c>
      <c r="BO36" cm="1">
        <f t="array" aca="1" ref="BO36" ca="1">IF( AND($F$7,NOT(ISBLANK($F36))), IF( _xll.IMDP("IR", $F36, BO$8, Matrix!$D$6)=0,"",_xll.IMDP("IR", $F36, BO$8, Matrix!$D$6)), "")</f>
        <v>3.5550000000000002</v>
      </c>
      <c r="BP36" cm="1">
        <f t="array" aca="1" ref="BP36" ca="1">IF( AND($F$7,NOT(ISBLANK($F36))), IF( _xll.IMDP("IR", $F36, BP$8, Matrix!$D$6)=0,"",_xll.IMDP("IR", $F36, BP$8, Matrix!$D$6)), "")</f>
        <v>3.55</v>
      </c>
      <c r="BQ36" cm="1">
        <f t="array" aca="1" ref="BQ36" ca="1">IF( AND($F$7,NOT(ISBLANK($F36))), IF( _xll.IMDP("IR", $F36, BQ$8, Matrix!$D$6)=0,"",_xll.IMDP("IR", $F36, BQ$8, Matrix!$D$6)), "")</f>
        <v>3.5579999999999998</v>
      </c>
      <c r="BR36" cm="1">
        <f t="array" aca="1" ref="BR36" ca="1">IF( AND($F$7,NOT(ISBLANK($F36))), IF( _xll.IMDP("IR", $F36, BR$8, Matrix!$D$6)=0,"",_xll.IMDP("IR", $F36, BR$8, Matrix!$D$6)), "")</f>
        <v>3.673</v>
      </c>
      <c r="BS36" cm="1">
        <f t="array" aca="1" ref="BS36" ca="1">IF( AND($F$7,NOT(ISBLANK($F36))), IF( _xll.IMDP("IR", $F36, BS$8, Matrix!$D$6)=0,"",_xll.IMDP("IR", $F36, BS$8, Matrix!$D$6)), "")</f>
        <v>4.1349999999999998</v>
      </c>
      <c r="BT36" cm="1">
        <f t="array" aca="1" ref="BT36" ca="1">IF( AND($F$7,NOT(ISBLANK($F36))), IF( _xll.IMDP("IR", $F36, BT$8, Matrix!$D$6)=0,"",_xll.IMDP("IR", $F36, BT$8, Matrix!$D$6)), "")</f>
        <v>4.7359999999999998</v>
      </c>
      <c r="BU36" cm="1">
        <f t="array" aca="1" ref="BU36" ca="1">IF( AND($F$7,NOT(ISBLANK($F36))), IF( _xll.IMDP("IR", $F36, BU$8, Matrix!$D$6)=0,"",_xll.IMDP("IR", $F36, BU$8, Matrix!$D$6)), "")</f>
        <v>5.17</v>
      </c>
      <c r="BV36" cm="1">
        <f t="array" aca="1" ref="BV36" ca="1">IF( AND($F$7,NOT(ISBLANK($F36))), IF( _xll.IMDP("IR", $F36, BV$8, Matrix!$D$6)=0,"",_xll.IMDP("IR", $F36, BV$8, Matrix!$D$6)), "")</f>
        <v>5.3840000000000003</v>
      </c>
      <c r="BW36" t="str" cm="1">
        <f t="array" aca="1" ref="BW36" ca="1">IF( AND($F$7,NOT(ISBLANK($F36))), IF( _xll.IMDP("IR", $F36, BW$8, Matrix!$D$6)=0,"",_xll.IMDP("IR", $F36, BW$8, Matrix!$D$6)), "")</f>
        <v/>
      </c>
      <c r="BX36" t="str" cm="1">
        <f t="array" aca="1" ref="BX36" ca="1">IF( AND($F$7,NOT(ISBLANK($F36))), IF( _xll.IMDP("IR", $F36, BX$8, Matrix!$D$6)=0,"",_xll.IMDP("IR", $F36, BX$8, Matrix!$D$6)), "")</f>
        <v/>
      </c>
      <c r="BY36" cm="1">
        <f t="array" aca="1" ref="BY36" ca="1">IF( AND($G$7,NOT(ISBLANK($G36))), IF( _xll.IMDP("IR", $G36, BY$8, Matrix!$D$6)=0, "", _xll.IMDP("IR", $G36, BY$8, Matrix!$D$6)), "")</f>
        <v>3.4689999999999999</v>
      </c>
      <c r="BZ36" cm="1">
        <f t="array" aca="1" ref="BZ36" ca="1">IF( AND($G$7,NOT(ISBLANK($G36))), IF( _xll.IMDP("IR", $G36, BZ$8, Matrix!$D$6)=0, "", _xll.IMDP("IR", $G36, BZ$8, Matrix!$D$6)), "")</f>
        <v>3.4510000000000001</v>
      </c>
      <c r="CA36" cm="1">
        <f t="array" aca="1" ref="CA36" ca="1">IF( AND($G$7,NOT(ISBLANK($G36))), IF( _xll.IMDP("IR", $G36, CA$8, Matrix!$D$6)=0, "", _xll.IMDP("IR", $G36, CA$8, Matrix!$D$6)), "")</f>
        <v>3.444</v>
      </c>
      <c r="CB36" cm="1">
        <f t="array" aca="1" ref="CB36" ca="1">IF( AND($G$7,NOT(ISBLANK($G36))), IF( _xll.IMDP("IR", $G36, CB$8, Matrix!$D$6)=0, "", _xll.IMDP("IR", $G36, CB$8, Matrix!$D$6)), "")</f>
        <v>3.4809999999999999</v>
      </c>
      <c r="CC36" cm="1">
        <f t="array" aca="1" ref="CC36" ca="1">IF( AND($G$7,NOT(ISBLANK($G36))), IF( _xll.IMDP("IR", $G36, CC$8, Matrix!$D$6)=0, "", _xll.IMDP("IR", $G36, CC$8, Matrix!$D$6)), "")</f>
        <v>3.544</v>
      </c>
      <c r="CD36" cm="1">
        <f t="array" aca="1" ref="CD36" ca="1">IF( AND($G$7,NOT(ISBLANK($G36))), IF( _xll.IMDP("IR", $G36, CD$8, Matrix!$D$6)=0, "", _xll.IMDP("IR", $G36, CD$8, Matrix!$D$6)), "")</f>
        <v>3.5379999999999998</v>
      </c>
      <c r="CE36" cm="1">
        <f t="array" aca="1" ref="CE36" ca="1">IF( AND($G$7,NOT(ISBLANK($G36))), IF( _xll.IMDP("IR", $G36, CE$8, Matrix!$D$6)=0, "", _xll.IMDP("IR", $G36, CE$8, Matrix!$D$6)), "")</f>
        <v>3.5230000000000001</v>
      </c>
      <c r="CF36" cm="1">
        <f t="array" aca="1" ref="CF36" ca="1">IF( AND($G$7,NOT(ISBLANK($G36))), IF( _xll.IMDP("IR", $G36, CF$8, Matrix!$D$6)=0, "", _xll.IMDP("IR", $G36, CF$8, Matrix!$D$6)), "")</f>
        <v>3.5379999999999998</v>
      </c>
      <c r="CG36" cm="1">
        <f t="array" aca="1" ref="CG36" ca="1">IF( AND($G$7,NOT(ISBLANK($G36))), IF( _xll.IMDP("IR", $G36, CG$8, Matrix!$D$6)=0, "", _xll.IMDP("IR", $G36, CG$8, Matrix!$D$6)), "")</f>
        <v>3.5459999999999998</v>
      </c>
      <c r="CH36" cm="1">
        <f t="array" aca="1" ref="CH36" ca="1">IF( AND($G$7,NOT(ISBLANK($G36))), IF( _xll.IMDP("IR", $G36, CH$8, Matrix!$D$6)=0, "", _xll.IMDP("IR", $G36, CH$8, Matrix!$D$6)), "")</f>
        <v>3.6549999999999998</v>
      </c>
      <c r="CI36" cm="1">
        <f t="array" aca="1" ref="CI36" ca="1">IF( AND($G$7,NOT(ISBLANK($G36))), IF( _xll.IMDP("IR", $G36, CI$8, Matrix!$D$6)=0, "", _xll.IMDP("IR", $G36, CI$8, Matrix!$D$6)), "")</f>
        <v>4.1269999999999998</v>
      </c>
      <c r="CJ36" cm="1">
        <f t="array" aca="1" ref="CJ36" ca="1">IF( AND($G$7,NOT(ISBLANK($G36))), IF( _xll.IMDP("IR", $G36, CJ$8, Matrix!$D$6)=0, "", _xll.IMDP("IR", $G36, CJ$8, Matrix!$D$6)), "")</f>
        <v>4.7110000000000003</v>
      </c>
      <c r="CK36" cm="1">
        <f t="array" aca="1" ref="CK36" ca="1">IF( AND($G$7,NOT(ISBLANK($G36))), IF( _xll.IMDP("IR", $G36, CK$8, Matrix!$D$6)=0, "", _xll.IMDP("IR", $G36, CK$8, Matrix!$D$6)), "")</f>
        <v>5.1449999999999996</v>
      </c>
      <c r="CL36" cm="1">
        <f t="array" aca="1" ref="CL36" ca="1">IF( AND($G$7,NOT(ISBLANK($G36))), IF( _xll.IMDP("IR", $G36, CL$8, Matrix!$D$6)=0, "", _xll.IMDP("IR", $G36, CL$8, Matrix!$D$6)), "")</f>
        <v>5.37</v>
      </c>
      <c r="CM36" t="str" cm="1">
        <f t="array" aca="1" ref="CM36" ca="1">IF( AND($G$7,NOT(ISBLANK($G36))), IF( _xll.IMDP("IR", $G36, CM$8, Matrix!$D$6)=0, "", _xll.IMDP("IR", $G36, CM$8, Matrix!$D$6)), "")</f>
        <v/>
      </c>
      <c r="CN36" t="str" cm="1">
        <f t="array" aca="1" ref="CN36" ca="1">IF( AND($G$7,NOT(ISBLANK($G36))), IF( _xll.IMDP("IR", $G36, CN$8, Matrix!$D$6)=0, "", _xll.IMDP("IR", $G36, CN$8, Matrix!$D$6)), "")</f>
        <v/>
      </c>
      <c r="CO36" cm="1">
        <f t="array" aca="1" ref="CO36" ca="1">IF( AND($H$7,NOT(ISBLANK($H36))), IF( _xll.IMDP("IR", $H36, CO$8, Matrix!$D$6)=0, "", _xll.IMDP("IR", $H36, CO$8, Matrix!$D$6)), "")</f>
        <v>3.4820000000000002</v>
      </c>
      <c r="CP36" cm="1">
        <f t="array" aca="1" ref="CP36" ca="1">IF( AND($H$7,NOT(ISBLANK($H36))), IF( _xll.IMDP("IR", $H36, CP$8, Matrix!$D$6)=0, "", _xll.IMDP("IR", $H36, CP$8, Matrix!$D$6)), "")</f>
        <v>3.47</v>
      </c>
      <c r="CQ36" cm="1">
        <f t="array" aca="1" ref="CQ36" ca="1">IF( AND($H$7,NOT(ISBLANK($H36))), IF( _xll.IMDP("IR", $H36, CQ$8, Matrix!$D$6)=0, "", _xll.IMDP("IR", $H36, CQ$8, Matrix!$D$6)), "")</f>
        <v>3.4620000000000002</v>
      </c>
      <c r="CR36" cm="1">
        <f t="array" aca="1" ref="CR36" ca="1">IF( AND($H$7,NOT(ISBLANK($H36))), IF( _xll.IMDP("IR", $H36, CR$8, Matrix!$D$6)=0, "", _xll.IMDP("IR", $H36, CR$8, Matrix!$D$6)), "")</f>
        <v>3.4950000000000001</v>
      </c>
      <c r="CS36" cm="1">
        <f t="array" aca="1" ref="CS36" ca="1">IF( AND($H$7,NOT(ISBLANK($H36))), IF( _xll.IMDP("IR", $H36, CS$8, Matrix!$D$6)=0, "", _xll.IMDP("IR", $H36, CS$8, Matrix!$D$6)), "")</f>
        <v>3.5510000000000002</v>
      </c>
      <c r="CT36" cm="1">
        <f t="array" aca="1" ref="CT36" ca="1">IF( AND($H$7,NOT(ISBLANK($H36))), IF( _xll.IMDP("IR", $H36, CT$8, Matrix!$D$6)=0, "", _xll.IMDP("IR", $H36, CT$8, Matrix!$D$6)), "")</f>
        <v>3.55</v>
      </c>
      <c r="CU36" cm="1">
        <f t="array" aca="1" ref="CU36" ca="1">IF( AND($H$7,NOT(ISBLANK($H36))), IF( _xll.IMDP("IR", $H36, CU$8, Matrix!$D$6)=0, "", _xll.IMDP("IR", $H36, CU$8, Matrix!$D$6)), "")</f>
        <v>3.54</v>
      </c>
      <c r="CV36" cm="1">
        <f t="array" aca="1" ref="CV36" ca="1">IF( AND($H$7,NOT(ISBLANK($H36))), IF( _xll.IMDP("IR", $H36, CV$8, Matrix!$D$6)=0, "", _xll.IMDP("IR", $H36, CV$8, Matrix!$D$6)), "")</f>
        <v>3.5419999999999998</v>
      </c>
      <c r="CW36" cm="1">
        <f t="array" aca="1" ref="CW36" ca="1">IF( AND($H$7,NOT(ISBLANK($H36))), IF( _xll.IMDP("IR", $H36, CW$8, Matrix!$D$6)=0, "", _xll.IMDP("IR", $H36, CW$8, Matrix!$D$6)), "")</f>
        <v>3.5510000000000002</v>
      </c>
      <c r="CX36" cm="1">
        <f t="array" aca="1" ref="CX36" ca="1">IF( AND($H$7,NOT(ISBLANK($H36))), IF( _xll.IMDP("IR", $H36, CX$8, Matrix!$D$6)=0, "", _xll.IMDP("IR", $H36, CX$8, Matrix!$D$6)), "")</f>
        <v>3.6589999999999998</v>
      </c>
      <c r="CY36" cm="1">
        <f t="array" aca="1" ref="CY36" ca="1">IF( AND($H$7,NOT(ISBLANK($H36))), IF( _xll.IMDP("IR", $H36, CY$8, Matrix!$D$6)=0, "", _xll.IMDP("IR", $H36, CY$8, Matrix!$D$6)), "")</f>
        <v>4.1310000000000002</v>
      </c>
      <c r="CZ36" cm="1">
        <f t="array" aca="1" ref="CZ36" ca="1">IF( AND($H$7,NOT(ISBLANK($H36))), IF( _xll.IMDP("IR", $H36, CZ$8, Matrix!$D$6)=0, "", _xll.IMDP("IR", $H36, CZ$8, Matrix!$D$6)), "")</f>
        <v>4.7169999999999996</v>
      </c>
      <c r="DA36" t="str" cm="1">
        <f t="array" aca="1" ref="DA36" ca="1">IF( AND($H$7,NOT(ISBLANK($H36))), IF( _xll.IMDP("IR", $H36, DA$8, Matrix!$D$6)=0, "", _xll.IMDP("IR", $H36, DA$8, Matrix!$D$6)), "")</f>
        <v/>
      </c>
      <c r="DB36" t="str" cm="1">
        <f t="array" aca="1" ref="DB36" ca="1">IF( AND($H$7,NOT(ISBLANK($H36))), IF( _xll.IMDP("IR", $H36, DB$8, Matrix!$D$6)=0, "", _xll.IMDP("IR", $H36, DB$8, Matrix!$D$6)), "")</f>
        <v/>
      </c>
      <c r="DC36" t="str" cm="1">
        <f t="array" aca="1" ref="DC36" ca="1">IF( AND($H$7,NOT(ISBLANK($H36))), IF( _xll.IMDP("IR", $H36, DC$8, Matrix!$D$6)=0, "", _xll.IMDP("IR", $H36, DC$8, Matrix!$D$6)), "")</f>
        <v/>
      </c>
      <c r="DD36" t="str" cm="1">
        <f t="array" aca="1" ref="DD36" ca="1">IF( AND($H$7,NOT(ISBLANK($H36))), IF( _xll.IMDP("IR", $H36, DD$8, Matrix!$D$6)=0, "", _xll.IMDP("IR", $H36, DD$8, Matrix!$D$6)), "")</f>
        <v/>
      </c>
    </row>
    <row r="37" spans="2:108">
      <c r="B37" t="s">
        <v>105</v>
      </c>
      <c r="C37" t="s">
        <v>179</v>
      </c>
      <c r="D37" t="s">
        <v>254</v>
      </c>
      <c r="E37" t="s">
        <v>316</v>
      </c>
      <c r="F37" t="s">
        <v>379</v>
      </c>
      <c r="G37" t="s">
        <v>445</v>
      </c>
      <c r="H37" t="s">
        <v>503</v>
      </c>
      <c r="M37" s="21">
        <f t="shared" ca="1" si="1"/>
        <v>4.0031886794065032</v>
      </c>
      <c r="N37" s="21">
        <f t="shared" ca="1" si="2"/>
        <v>4.270301879832326</v>
      </c>
      <c r="O37" s="21">
        <f t="shared" ca="1" si="3"/>
        <v>4.3591854859871493</v>
      </c>
      <c r="P37" s="21">
        <f t="shared" ca="1" si="4"/>
        <v>4.3873831463445745</v>
      </c>
      <c r="Q37" s="21">
        <f t="shared" ca="1" si="5"/>
        <v>4.423985415954939</v>
      </c>
      <c r="R37" s="21">
        <f t="shared" ca="1" si="6"/>
        <v>4.433996212717247</v>
      </c>
      <c r="S37" s="21">
        <f t="shared" ca="1" si="7"/>
        <v>4.4871663194696199</v>
      </c>
      <c r="T37" s="21">
        <f t="shared" ca="1" si="8"/>
        <v>4.5611753405035245</v>
      </c>
      <c r="U37" s="21">
        <f t="shared" ca="1" si="9"/>
        <v>4.7049661177437248</v>
      </c>
      <c r="V37" s="21">
        <f t="shared" ca="1" si="10"/>
        <v>4.8153709888771763</v>
      </c>
      <c r="W37" s="21">
        <f t="shared" ca="1" si="11"/>
        <v>5.0221923386339524</v>
      </c>
      <c r="X37" s="21">
        <f t="shared" ca="1" si="12"/>
        <v>5.4081547815354627</v>
      </c>
      <c r="Y37" s="21">
        <f t="shared" ca="1" si="13"/>
        <v>5.6779331553935357</v>
      </c>
      <c r="Z37" s="21">
        <f t="shared" ca="1" si="14"/>
        <v>5.8126387784408049</v>
      </c>
      <c r="AA37" s="21" t="e">
        <f t="shared" ca="1" si="15"/>
        <v>#NUM!</v>
      </c>
      <c r="AB37" s="21" t="e">
        <f t="shared" ca="1" si="16"/>
        <v>#NUM!</v>
      </c>
      <c r="AC37" cm="1">
        <f t="array" aca="1" ref="AC37" ca="1">IF( AND($D$7,NOT(ISBLANK($D37))), IF(_xll.IMDP("IR", $D37, AC$8, Matrix!$D$6)=0,"",_xll.IMDP("IR", $D37, AC$8, Matrix!$D$6)), "")</f>
        <v>4.01</v>
      </c>
      <c r="AD37" cm="1">
        <f t="array" aca="1" ref="AD37" ca="1">IF( AND($D$7,NOT(ISBLANK($D37))), IF(_xll.IMDP("IR", $D37, AD$8, Matrix!$D$6)=0,"",_xll.IMDP("IR", $D37, AD$8, Matrix!$D$6)), "")</f>
        <v>4.3090000000000002</v>
      </c>
      <c r="AE37" cm="1">
        <f t="array" aca="1" ref="AE37" ca="1">IF( AND($D$7,NOT(ISBLANK($D37))), IF(_xll.IMDP("IR", $D37, AE$8, Matrix!$D$6)=0,"",_xll.IMDP("IR", $D37, AE$8, Matrix!$D$6)), "")</f>
        <v>4.3680000000000003</v>
      </c>
      <c r="AF37" cm="1">
        <f t="array" aca="1" ref="AF37" ca="1">IF( AND($D$7,NOT(ISBLANK($D37))), IF(_xll.IMDP("IR", $D37, AF$8, Matrix!$D$6)=0,"",_xll.IMDP("IR", $D37, AF$8, Matrix!$D$6)), "")</f>
        <v>4.3780000000000001</v>
      </c>
      <c r="AG37" cm="1">
        <f t="array" aca="1" ref="AG37" ca="1">IF( AND($D$7,NOT(ISBLANK($D37))), IF(_xll.IMDP("IR", $D37, AG$8, Matrix!$D$6)=0,"",_xll.IMDP("IR", $D37, AG$8, Matrix!$D$6)), "")</f>
        <v>4.4130000000000003</v>
      </c>
      <c r="AH37" cm="1">
        <f t="array" aca="1" ref="AH37" ca="1">IF( AND($D$7,NOT(ISBLANK($D37))), IF(_xll.IMDP("IR", $D37, AH$8, Matrix!$D$6)=0,"",_xll.IMDP("IR", $D37, AH$8, Matrix!$D$6)), "")</f>
        <v>4.4260000000000002</v>
      </c>
      <c r="AI37" cm="1">
        <f t="array" aca="1" ref="AI37" ca="1">IF( AND($D$7,NOT(ISBLANK($D37))), IF(_xll.IMDP("IR", $D37, AI$8, Matrix!$D$6)=0,"",_xll.IMDP("IR", $D37, AI$8, Matrix!$D$6)), "")</f>
        <v>4.4690000000000003</v>
      </c>
      <c r="AJ37" cm="1">
        <f t="array" aca="1" ref="AJ37" ca="1">IF( AND($D$7,NOT(ISBLANK($D37))), IF(_xll.IMDP("IR", $D37, AJ$8, Matrix!$D$6)=0,"",_xll.IMDP("IR", $D37, AJ$8, Matrix!$D$6)), "")</f>
        <v>4.5439999999999996</v>
      </c>
      <c r="AK37" cm="1">
        <f t="array" aca="1" ref="AK37" ca="1">IF( AND($D$7,NOT(ISBLANK($D37))), IF(_xll.IMDP("IR", $D37, AK$8, Matrix!$D$6)=0,"",_xll.IMDP("IR", $D37, AK$8, Matrix!$D$6)), "")</f>
        <v>4.6749999999999998</v>
      </c>
      <c r="AL37" cm="1">
        <f t="array" aca="1" ref="AL37" ca="1">IF( AND($D$7,NOT(ISBLANK($D37))), IF(_xll.IMDP("IR", $D37, AL$8, Matrix!$D$6)=0,"",_xll.IMDP("IR", $D37, AL$8, Matrix!$D$6)), "")</f>
        <v>4.7930000000000001</v>
      </c>
      <c r="AM37" cm="1">
        <f t="array" aca="1" ref="AM37" ca="1">IF( AND($D$7,NOT(ISBLANK($D37))), IF(_xll.IMDP("IR", $D37, AM$8, Matrix!$D$6)=0,"",_xll.IMDP("IR", $D37, AM$8, Matrix!$D$6)), "")</f>
        <v>5.0279999999999996</v>
      </c>
      <c r="AN37" cm="1">
        <f t="array" aca="1" ref="AN37" ca="1">IF( AND($D$7,NOT(ISBLANK($D37))), IF(_xll.IMDP("IR", $D37, AN$8, Matrix!$D$6)=0,"",_xll.IMDP("IR", $D37, AN$8, Matrix!$D$6)), "")</f>
        <v>5.45</v>
      </c>
      <c r="AO37" cm="1">
        <f t="array" aca="1" ref="AO37" ca="1">IF( AND($D$7,NOT(ISBLANK($D37))), IF(_xll.IMDP("IR", $D37, AO$8, Matrix!$D$6)=0,"",_xll.IMDP("IR", $D37, AO$8, Matrix!$D$6)), "")</f>
        <v>5.7610000000000001</v>
      </c>
      <c r="AP37" cm="1">
        <f t="array" aca="1" ref="AP37" ca="1">IF( AND($D$7,NOT(ISBLANK($D37))), IF(_xll.IMDP("IR", $D37, AP$8, Matrix!$D$6)=0,"",_xll.IMDP("IR", $D37, AP$8, Matrix!$D$6)), "")</f>
        <v>5.87</v>
      </c>
      <c r="AQ37" t="str" cm="1">
        <f t="array" aca="1" ref="AQ37" ca="1">IF( AND($D$7,NOT(ISBLANK($D37))), IF(_xll.IMDP("IR", $D37, AQ$8, Matrix!$D$6)=0,"",_xll.IMDP("IR", $D37, AQ$8, Matrix!$D$6)), "")</f>
        <v/>
      </c>
      <c r="AR37" t="str" cm="1">
        <f t="array" aca="1" ref="AR37" ca="1">IF( AND($D$7,NOT(ISBLANK($D37))), IF(_xll.IMDP("IR", $D37, AR$8, Matrix!$D$6)=0,"",_xll.IMDP("IR", $D37, AR$8, Matrix!$D$6)), "")</f>
        <v/>
      </c>
      <c r="AS37" cm="1">
        <f t="array" aca="1" ref="AS37" ca="1">IF( AND($E$7,NOT(ISBLANK($E37))), IF( _xll.IMDP("IR", $E37, AS$8, Matrix!$D$6)=0,"",_xll.IMDP("IR", $E37, AS$8, Matrix!$D$6)), "")</f>
        <v>4.0010000000000003</v>
      </c>
      <c r="AT37" cm="1">
        <f t="array" aca="1" ref="AT37" ca="1">IF( AND($E$7,NOT(ISBLANK($E37))), IF( _xll.IMDP("IR", $E37, AT$8, Matrix!$D$6)=0,"",_xll.IMDP("IR", $E37, AT$8, Matrix!$D$6)), "")</f>
        <v>4.2930000000000001</v>
      </c>
      <c r="AU37" cm="1">
        <f t="array" aca="1" ref="AU37" ca="1">IF( AND($E$7,NOT(ISBLANK($E37))), IF( _xll.IMDP("IR", $E37, AU$8, Matrix!$D$6)=0,"",_xll.IMDP("IR", $E37, AU$8, Matrix!$D$6)), "")</f>
        <v>4.375</v>
      </c>
      <c r="AV37" cm="1">
        <f t="array" aca="1" ref="AV37" ca="1">IF( AND($E$7,NOT(ISBLANK($E37))), IF( _xll.IMDP("IR", $E37, AV$8, Matrix!$D$6)=0,"",_xll.IMDP("IR", $E37, AV$8, Matrix!$D$6)), "")</f>
        <v>4.38</v>
      </c>
      <c r="AW37" cm="1">
        <f t="array" aca="1" ref="AW37" ca="1">IF( AND($E$7,NOT(ISBLANK($E37))), IF( _xll.IMDP("IR", $E37, AW$8, Matrix!$D$6)=0,"",_xll.IMDP("IR", $E37, AW$8, Matrix!$D$6)), "")</f>
        <v>4.444</v>
      </c>
      <c r="AX37" cm="1">
        <f t="array" aca="1" ref="AX37" ca="1">IF( AND($E$7,NOT(ISBLANK($E37))), IF( _xll.IMDP("IR", $E37, AX$8, Matrix!$D$6)=0,"",_xll.IMDP("IR", $E37, AX$8, Matrix!$D$6)), "")</f>
        <v>4.4320000000000004</v>
      </c>
      <c r="AY37" cm="1">
        <f t="array" aca="1" ref="AY37" ca="1">IF( AND($E$7,NOT(ISBLANK($E37))), IF( _xll.IMDP("IR", $E37, AY$8, Matrix!$D$6)=0,"",_xll.IMDP("IR", $E37, AY$8, Matrix!$D$6)), "")</f>
        <v>4.4960000000000004</v>
      </c>
      <c r="AZ37" cm="1">
        <f t="array" aca="1" ref="AZ37" ca="1">IF( AND($E$7,NOT(ISBLANK($E37))), IF( _xll.IMDP("IR", $E37, AZ$8, Matrix!$D$6)=0,"",_xll.IMDP("IR", $E37, AZ$8, Matrix!$D$6)), "")</f>
        <v>4.577</v>
      </c>
      <c r="BA37" cm="1">
        <f t="array" aca="1" ref="BA37" ca="1">IF( AND($E$7,NOT(ISBLANK($E37))), IF( _xll.IMDP("IR", $E37, BA$8, Matrix!$D$6)=0,"",_xll.IMDP("IR", $E37, BA$8, Matrix!$D$6)), "")</f>
        <v>4.7210000000000001</v>
      </c>
      <c r="BB37" cm="1">
        <f t="array" aca="1" ref="BB37" ca="1">IF( AND($E$7,NOT(ISBLANK($E37))), IF( _xll.IMDP("IR", $E37, BB$8, Matrix!$D$6)=0,"",_xll.IMDP("IR", $E37, BB$8, Matrix!$D$6)), "")</f>
        <v>4.8280000000000003</v>
      </c>
      <c r="BC37" cm="1">
        <f t="array" aca="1" ref="BC37" ca="1">IF( AND($E$7,NOT(ISBLANK($E37))), IF( _xll.IMDP("IR", $E37, BC$8, Matrix!$D$6)=0,"",_xll.IMDP("IR", $E37, BC$8, Matrix!$D$6)), "")</f>
        <v>5.016</v>
      </c>
      <c r="BD37" cm="1">
        <f t="array" aca="1" ref="BD37" ca="1">IF( AND($E$7,NOT(ISBLANK($E37))), IF( _xll.IMDP("IR", $E37, BD$8, Matrix!$D$6)=0,"",_xll.IMDP("IR", $E37, BD$8, Matrix!$D$6)), "")</f>
        <v>5.3949999999999996</v>
      </c>
      <c r="BE37" cm="1">
        <f t="array" aca="1" ref="BE37" ca="1">IF( AND($E$7,NOT(ISBLANK($E37))), IF( _xll.IMDP("IR", $E37, BE$8, Matrix!$D$6)=0,"",_xll.IMDP("IR", $E37, BE$8, Matrix!$D$6)), "")</f>
        <v>5.6959999999999997</v>
      </c>
      <c r="BF37" cm="1">
        <f t="array" aca="1" ref="BF37" ca="1">IF( AND($E$7,NOT(ISBLANK($E37))), IF( _xll.IMDP("IR", $E37, BF$8, Matrix!$D$6)=0,"",_xll.IMDP("IR", $E37, BF$8, Matrix!$D$6)), "")</f>
        <v>5.782</v>
      </c>
      <c r="BG37" t="str" cm="1">
        <f t="array" aca="1" ref="BG37" ca="1">IF( AND($E$7,NOT(ISBLANK($E37))), IF( _xll.IMDP("IR", $E37, BG$8, Matrix!$D$6)=0,"",_xll.IMDP("IR", $E37, BG$8, Matrix!$D$6)), "")</f>
        <v/>
      </c>
      <c r="BH37" t="str" cm="1">
        <f t="array" aca="1" ref="BH37" ca="1">IF( AND($E$7,NOT(ISBLANK($E37))), IF( _xll.IMDP("IR", $E37, BH$8, Matrix!$D$6)=0,"",_xll.IMDP("IR", $E37, BH$8, Matrix!$D$6)), "")</f>
        <v/>
      </c>
      <c r="BI37" cm="1">
        <f t="array" aca="1" ref="BI37" ca="1">IF( AND($F$7,NOT(ISBLANK($F37))), IF( _xll.IMDP("IR", $F37, BI$8, Matrix!$D$6)=0,"",_xll.IMDP("IR", $F37, BI$8, Matrix!$D$6)), "")</f>
        <v>4.0149999999999997</v>
      </c>
      <c r="BJ37" cm="1">
        <f t="array" aca="1" ref="BJ37" ca="1">IF( AND($F$7,NOT(ISBLANK($F37))), IF( _xll.IMDP("IR", $F37, BJ$8, Matrix!$D$6)=0,"",_xll.IMDP("IR", $F37, BJ$8, Matrix!$D$6)), "")</f>
        <v>4.2270000000000003</v>
      </c>
      <c r="BK37" cm="1">
        <f t="array" aca="1" ref="BK37" ca="1">IF( AND($F$7,NOT(ISBLANK($F37))), IF( _xll.IMDP("IR", $F37, BK$8, Matrix!$D$6)=0,"",_xll.IMDP("IR", $F37, BK$8, Matrix!$D$6)), "")</f>
        <v>4.3490000000000002</v>
      </c>
      <c r="BL37" cm="1">
        <f t="array" aca="1" ref="BL37" ca="1">IF( AND($F$7,NOT(ISBLANK($F37))), IF( _xll.IMDP("IR", $F37, BL$8, Matrix!$D$6)=0,"",_xll.IMDP("IR", $F37, BL$8, Matrix!$D$6)), "")</f>
        <v>4.4109999999999996</v>
      </c>
      <c r="BM37" cm="1">
        <f t="array" aca="1" ref="BM37" ca="1">IF( AND($F$7,NOT(ISBLANK($F37))), IF( _xll.IMDP("IR", $F37, BM$8, Matrix!$D$6)=0,"",_xll.IMDP("IR", $F37, BM$8, Matrix!$D$6)), "")</f>
        <v>4.4260000000000002</v>
      </c>
      <c r="BN37" cm="1">
        <f t="array" aca="1" ref="BN37" ca="1">IF( AND($F$7,NOT(ISBLANK($F37))), IF( _xll.IMDP("IR", $F37, BN$8, Matrix!$D$6)=0,"",_xll.IMDP("IR", $F37, BN$8, Matrix!$D$6)), "")</f>
        <v>4.444</v>
      </c>
      <c r="BO37" cm="1">
        <f t="array" aca="1" ref="BO37" ca="1">IF( AND($F$7,NOT(ISBLANK($F37))), IF( _xll.IMDP("IR", $F37, BO$8, Matrix!$D$6)=0,"",_xll.IMDP("IR", $F37, BO$8, Matrix!$D$6)), "")</f>
        <v>4.5149999999999997</v>
      </c>
      <c r="BP37" cm="1">
        <f t="array" aca="1" ref="BP37" ca="1">IF( AND($F$7,NOT(ISBLANK($F37))), IF( _xll.IMDP("IR", $F37, BP$8, Matrix!$D$6)=0,"",_xll.IMDP("IR", $F37, BP$8, Matrix!$D$6)), "")</f>
        <v>4.5789999999999997</v>
      </c>
      <c r="BQ37" cm="1">
        <f t="array" aca="1" ref="BQ37" ca="1">IF( AND($F$7,NOT(ISBLANK($F37))), IF( _xll.IMDP("IR", $F37, BQ$8, Matrix!$D$6)=0,"",_xll.IMDP("IR", $F37, BQ$8, Matrix!$D$6)), "")</f>
        <v>4.7249999999999996</v>
      </c>
      <c r="BR37" cm="1">
        <f t="array" aca="1" ref="BR37" ca="1">IF( AND($F$7,NOT(ISBLANK($F37))), IF( _xll.IMDP("IR", $F37, BR$8, Matrix!$D$6)=0,"",_xll.IMDP("IR", $F37, BR$8, Matrix!$D$6)), "")</f>
        <v>4.8390000000000004</v>
      </c>
      <c r="BS37" cm="1">
        <f t="array" aca="1" ref="BS37" ca="1">IF( AND($F$7,NOT(ISBLANK($F37))), IF( _xll.IMDP("IR", $F37, BS$8, Matrix!$D$6)=0,"",_xll.IMDP("IR", $F37, BS$8, Matrix!$D$6)), "")</f>
        <v>5.01</v>
      </c>
      <c r="BT37" cm="1">
        <f t="array" aca="1" ref="BT37" ca="1">IF( AND($F$7,NOT(ISBLANK($F37))), IF( _xll.IMDP("IR", $F37, BT$8, Matrix!$D$6)=0,"",_xll.IMDP("IR", $F37, BT$8, Matrix!$D$6)), "")</f>
        <v>5.3860000000000001</v>
      </c>
      <c r="BU37" cm="1">
        <f t="array" aca="1" ref="BU37" ca="1">IF( AND($F$7,NOT(ISBLANK($F37))), IF( _xll.IMDP("IR", $F37, BU$8, Matrix!$D$6)=0,"",_xll.IMDP("IR", $F37, BU$8, Matrix!$D$6)), "")</f>
        <v>5.5949999999999998</v>
      </c>
      <c r="BV37" cm="1">
        <f t="array" aca="1" ref="BV37" ca="1">IF( AND($F$7,NOT(ISBLANK($F37))), IF( _xll.IMDP("IR", $F37, BV$8, Matrix!$D$6)=0,"",_xll.IMDP("IR", $F37, BV$8, Matrix!$D$6)), "")</f>
        <v>5.782</v>
      </c>
      <c r="BW37" t="str" cm="1">
        <f t="array" aca="1" ref="BW37" ca="1">IF( AND($F$7,NOT(ISBLANK($F37))), IF( _xll.IMDP("IR", $F37, BW$8, Matrix!$D$6)=0,"",_xll.IMDP("IR", $F37, BW$8, Matrix!$D$6)), "")</f>
        <v/>
      </c>
      <c r="BX37" t="str" cm="1">
        <f t="array" aca="1" ref="BX37" ca="1">IF( AND($F$7,NOT(ISBLANK($F37))), IF( _xll.IMDP("IR", $F37, BX$8, Matrix!$D$6)=0,"",_xll.IMDP("IR", $F37, BX$8, Matrix!$D$6)), "")</f>
        <v/>
      </c>
      <c r="BY37" cm="1">
        <f t="array" aca="1" ref="BY37" ca="1">IF( AND($G$7,NOT(ISBLANK($G37))), IF( _xll.IMDP("IR", $G37, BY$8, Matrix!$D$6)=0, "", _xll.IMDP("IR", $G37, BY$8, Matrix!$D$6)), "")</f>
        <v>3.9870000000000001</v>
      </c>
      <c r="BZ37" cm="1">
        <f t="array" aca="1" ref="BZ37" ca="1">IF( AND($G$7,NOT(ISBLANK($G37))), IF( _xll.IMDP("IR", $G37, BZ$8, Matrix!$D$6)=0, "", _xll.IMDP("IR", $G37, BZ$8, Matrix!$D$6)), "")</f>
        <v>4.2530000000000001</v>
      </c>
      <c r="CA37" cm="1">
        <f t="array" aca="1" ref="CA37" ca="1">IF( AND($G$7,NOT(ISBLANK($G37))), IF( _xll.IMDP("IR", $G37, CA$8, Matrix!$D$6)=0, "", _xll.IMDP("IR", $G37, CA$8, Matrix!$D$6)), "")</f>
        <v>4.3449999999999998</v>
      </c>
      <c r="CB37" cm="1">
        <f t="array" aca="1" ref="CB37" ca="1">IF( AND($G$7,NOT(ISBLANK($G37))), IF( _xll.IMDP("IR", $G37, CB$8, Matrix!$D$6)=0, "", _xll.IMDP("IR", $G37, CB$8, Matrix!$D$6)), "")</f>
        <v>4.3810000000000002</v>
      </c>
      <c r="CC37" cm="1">
        <f t="array" aca="1" ref="CC37" ca="1">IF( AND($G$7,NOT(ISBLANK($G37))), IF( _xll.IMDP("IR", $G37, CC$8, Matrix!$D$6)=0, "", _xll.IMDP("IR", $G37, CC$8, Matrix!$D$6)), "")</f>
        <v>4.4130000000000003</v>
      </c>
      <c r="CD37" cm="1">
        <f t="array" aca="1" ref="CD37" ca="1">IF( AND($G$7,NOT(ISBLANK($G37))), IF( _xll.IMDP("IR", $G37, CD$8, Matrix!$D$6)=0, "", _xll.IMDP("IR", $G37, CD$8, Matrix!$D$6)), "")</f>
        <v>4.4340000000000002</v>
      </c>
      <c r="CE37" cm="1">
        <f t="array" aca="1" ref="CE37" ca="1">IF( AND($G$7,NOT(ISBLANK($G37))), IF( _xll.IMDP("IR", $G37, CE$8, Matrix!$D$6)=0, "", _xll.IMDP("IR", $G37, CE$8, Matrix!$D$6)), "")</f>
        <v>4.4690000000000003</v>
      </c>
      <c r="CF37" cm="1">
        <f t="array" aca="1" ref="CF37" ca="1">IF( AND($G$7,NOT(ISBLANK($G37))), IF( _xll.IMDP("IR", $G37, CF$8, Matrix!$D$6)=0, "", _xll.IMDP("IR", $G37, CF$8, Matrix!$D$6)), "")</f>
        <v>4.5449999999999999</v>
      </c>
      <c r="CG37" cm="1">
        <f t="array" aca="1" ref="CG37" ca="1">IF( AND($G$7,NOT(ISBLANK($G37))), IF( _xll.IMDP("IR", $G37, CG$8, Matrix!$D$6)=0, "", _xll.IMDP("IR", $G37, CG$8, Matrix!$D$6)), "")</f>
        <v>4.6989999999999998</v>
      </c>
      <c r="CH37" cm="1">
        <f t="array" aca="1" ref="CH37" ca="1">IF( AND($G$7,NOT(ISBLANK($G37))), IF( _xll.IMDP("IR", $G37, CH$8, Matrix!$D$6)=0, "", _xll.IMDP("IR", $G37, CH$8, Matrix!$D$6)), "")</f>
        <v>4.8019999999999996</v>
      </c>
      <c r="CI37" cm="1">
        <f t="array" aca="1" ref="CI37" ca="1">IF( AND($G$7,NOT(ISBLANK($G37))), IF( _xll.IMDP("IR", $G37, CI$8, Matrix!$D$6)=0, "", _xll.IMDP("IR", $G37, CI$8, Matrix!$D$6)), "")</f>
        <v>5.0350000000000001</v>
      </c>
      <c r="CJ37" cm="1">
        <f t="array" aca="1" ref="CJ37" ca="1">IF( AND($G$7,NOT(ISBLANK($G37))), IF( _xll.IMDP("IR", $G37, CJ$8, Matrix!$D$6)=0, "", _xll.IMDP("IR", $G37, CJ$8, Matrix!$D$6)), "")</f>
        <v>5.4020000000000001</v>
      </c>
      <c r="CK37" cm="1">
        <f t="array" aca="1" ref="CK37" ca="1">IF( AND($G$7,NOT(ISBLANK($G37))), IF( _xll.IMDP("IR", $G37, CK$8, Matrix!$D$6)=0, "", _xll.IMDP("IR", $G37, CK$8, Matrix!$D$6)), "")</f>
        <v>5.6609999999999996</v>
      </c>
      <c r="CL37" cm="1">
        <f t="array" aca="1" ref="CL37" ca="1">IF( AND($G$7,NOT(ISBLANK($G37))), IF( _xll.IMDP("IR", $G37, CL$8, Matrix!$D$6)=0, "", _xll.IMDP("IR", $G37, CL$8, Matrix!$D$6)), "")</f>
        <v>5.8170000000000002</v>
      </c>
      <c r="CM37" t="str" cm="1">
        <f t="array" aca="1" ref="CM37" ca="1">IF( AND($G$7,NOT(ISBLANK($G37))), IF( _xll.IMDP("IR", $G37, CM$8, Matrix!$D$6)=0, "", _xll.IMDP("IR", $G37, CM$8, Matrix!$D$6)), "")</f>
        <v/>
      </c>
      <c r="CN37" t="str" cm="1">
        <f t="array" aca="1" ref="CN37" ca="1">IF( AND($G$7,NOT(ISBLANK($G37))), IF( _xll.IMDP("IR", $G37, CN$8, Matrix!$D$6)=0, "", _xll.IMDP("IR", $G37, CN$8, Matrix!$D$6)), "")</f>
        <v/>
      </c>
      <c r="CO37" cm="1">
        <f t="array" aca="1" ref="CO37" ca="1">IF( AND($H$7,NOT(ISBLANK($H37))), IF( _xll.IMDP("IR", $H37, CO$8, Matrix!$D$6)=0, "", _xll.IMDP("IR", $H37, CO$8, Matrix!$D$6)), "")</f>
        <v>4.0030000000000001</v>
      </c>
      <c r="CP37" cm="1">
        <f t="array" aca="1" ref="CP37" ca="1">IF( AND($H$7,NOT(ISBLANK($H37))), IF( _xll.IMDP("IR", $H37, CP$8, Matrix!$D$6)=0, "", _xll.IMDP("IR", $H37, CP$8, Matrix!$D$6)), "")</f>
        <v>4.2699999999999996</v>
      </c>
      <c r="CQ37" cm="1">
        <f t="array" aca="1" ref="CQ37" ca="1">IF( AND($H$7,NOT(ISBLANK($H37))), IF( _xll.IMDP("IR", $H37, CQ$8, Matrix!$D$6)=0, "", _xll.IMDP("IR", $H37, CQ$8, Matrix!$D$6)), "")</f>
        <v>4.359</v>
      </c>
      <c r="CR37" cm="1">
        <f t="array" aca="1" ref="CR37" ca="1">IF( AND($H$7,NOT(ISBLANK($H37))), IF( _xll.IMDP("IR", $H37, CR$8, Matrix!$D$6)=0, "", _xll.IMDP("IR", $H37, CR$8, Matrix!$D$6)), "")</f>
        <v>4.3869999999999996</v>
      </c>
      <c r="CS37" cm="1">
        <f t="array" aca="1" ref="CS37" ca="1">IF( AND($H$7,NOT(ISBLANK($H37))), IF( _xll.IMDP("IR", $H37, CS$8, Matrix!$D$6)=0, "", _xll.IMDP("IR", $H37, CS$8, Matrix!$D$6)), "")</f>
        <v>4.4240000000000004</v>
      </c>
      <c r="CT37" cm="1">
        <f t="array" aca="1" ref="CT37" ca="1">IF( AND($H$7,NOT(ISBLANK($H37))), IF( _xll.IMDP("IR", $H37, CT$8, Matrix!$D$6)=0, "", _xll.IMDP("IR", $H37, CT$8, Matrix!$D$6)), "")</f>
        <v>4.4340000000000002</v>
      </c>
      <c r="CU37" cm="1">
        <f t="array" aca="1" ref="CU37" ca="1">IF( AND($H$7,NOT(ISBLANK($H37))), IF( _xll.IMDP("IR", $H37, CU$8, Matrix!$D$6)=0, "", _xll.IMDP("IR", $H37, CU$8, Matrix!$D$6)), "")</f>
        <v>4.4870000000000001</v>
      </c>
      <c r="CV37" cm="1">
        <f t="array" aca="1" ref="CV37" ca="1">IF( AND($H$7,NOT(ISBLANK($H37))), IF( _xll.IMDP("IR", $H37, CV$8, Matrix!$D$6)=0, "", _xll.IMDP("IR", $H37, CV$8, Matrix!$D$6)), "")</f>
        <v>4.5609999999999999</v>
      </c>
      <c r="CW37" cm="1">
        <f t="array" aca="1" ref="CW37" ca="1">IF( AND($H$7,NOT(ISBLANK($H37))), IF( _xll.IMDP("IR", $H37, CW$8, Matrix!$D$6)=0, "", _xll.IMDP("IR", $H37, CW$8, Matrix!$D$6)), "")</f>
        <v>4.7050000000000001</v>
      </c>
      <c r="CX37" cm="1">
        <f t="array" aca="1" ref="CX37" ca="1">IF( AND($H$7,NOT(ISBLANK($H37))), IF( _xll.IMDP("IR", $H37, CX$8, Matrix!$D$6)=0, "", _xll.IMDP("IR", $H37, CX$8, Matrix!$D$6)), "")</f>
        <v>4.8150000000000004</v>
      </c>
      <c r="CY37" cm="1">
        <f t="array" aca="1" ref="CY37" ca="1">IF( AND($H$7,NOT(ISBLANK($H37))), IF( _xll.IMDP("IR", $H37, CY$8, Matrix!$D$6)=0, "", _xll.IMDP("IR", $H37, CY$8, Matrix!$D$6)), "")</f>
        <v>5.0220000000000002</v>
      </c>
      <c r="CZ37" cm="1">
        <f t="array" aca="1" ref="CZ37" ca="1">IF( AND($H$7,NOT(ISBLANK($H37))), IF( _xll.IMDP("IR", $H37, CZ$8, Matrix!$D$6)=0, "", _xll.IMDP("IR", $H37, CZ$8, Matrix!$D$6)), "")</f>
        <v>5.4080000000000004</v>
      </c>
      <c r="DA37" t="str" cm="1">
        <f t="array" aca="1" ref="DA37" ca="1">IF( AND($H$7,NOT(ISBLANK($H37))), IF( _xll.IMDP("IR", $H37, DA$8, Matrix!$D$6)=0, "", _xll.IMDP("IR", $H37, DA$8, Matrix!$D$6)), "")</f>
        <v/>
      </c>
      <c r="DB37" t="str" cm="1">
        <f t="array" aca="1" ref="DB37" ca="1">IF( AND($H$7,NOT(ISBLANK($H37))), IF( _xll.IMDP("IR", $H37, DB$8, Matrix!$D$6)=0, "", _xll.IMDP("IR", $H37, DB$8, Matrix!$D$6)), "")</f>
        <v/>
      </c>
      <c r="DC37" t="str" cm="1">
        <f t="array" aca="1" ref="DC37" ca="1">IF( AND($H$7,NOT(ISBLANK($H37))), IF( _xll.IMDP("IR", $H37, DC$8, Matrix!$D$6)=0, "", _xll.IMDP("IR", $H37, DC$8, Matrix!$D$6)), "")</f>
        <v/>
      </c>
      <c r="DD37" t="str" cm="1">
        <f t="array" aca="1" ref="DD37" ca="1">IF( AND($H$7,NOT(ISBLANK($H37))), IF( _xll.IMDP("IR", $H37, DD$8, Matrix!$D$6)=0, "", _xll.IMDP("IR", $H37, DD$8, Matrix!$D$6)), "")</f>
        <v/>
      </c>
    </row>
    <row r="38" spans="2:108">
      <c r="B38" t="s">
        <v>106</v>
      </c>
      <c r="C38" t="s">
        <v>180</v>
      </c>
      <c r="D38" t="s">
        <v>255</v>
      </c>
      <c r="E38" t="s">
        <v>317</v>
      </c>
      <c r="F38" t="s">
        <v>380</v>
      </c>
      <c r="G38" t="s">
        <v>446</v>
      </c>
      <c r="H38" t="s">
        <v>504</v>
      </c>
      <c r="M38" s="21">
        <f t="shared" ca="1" si="1"/>
        <v>4.5659860204751119</v>
      </c>
      <c r="N38" s="21">
        <f t="shared" ca="1" si="2"/>
        <v>4.8793541726385996</v>
      </c>
      <c r="O38" s="21">
        <f t="shared" ca="1" si="3"/>
        <v>5.0279948289489136</v>
      </c>
      <c r="P38" s="21">
        <f t="shared" ca="1" si="4"/>
        <v>5.1281459706566777</v>
      </c>
      <c r="Q38" s="21">
        <f t="shared" ca="1" si="5"/>
        <v>5.2045445937306019</v>
      </c>
      <c r="R38" s="21">
        <f t="shared" ca="1" si="6"/>
        <v>5.2571828576398483</v>
      </c>
      <c r="S38" s="21">
        <f t="shared" ca="1" si="7"/>
        <v>5.2779820862465376</v>
      </c>
      <c r="T38" s="21">
        <f t="shared" ca="1" si="8"/>
        <v>5.3439937496152785</v>
      </c>
      <c r="U38" s="21">
        <f t="shared" ca="1" si="9"/>
        <v>5.3891975353683552</v>
      </c>
      <c r="V38" s="21">
        <f t="shared" ca="1" si="10"/>
        <v>5.4709758469583365</v>
      </c>
      <c r="W38" s="21">
        <f t="shared" ca="1" si="11"/>
        <v>5.5461907456083637</v>
      </c>
      <c r="X38" s="21">
        <f t="shared" ca="1" si="12"/>
        <v>5.8293952786405514</v>
      </c>
      <c r="Y38" s="21">
        <f t="shared" ca="1" si="13"/>
        <v>6.0594355293767377</v>
      </c>
      <c r="Z38" s="21">
        <f t="shared" ca="1" si="14"/>
        <v>6.1624770601347096</v>
      </c>
      <c r="AA38" s="21" t="e">
        <f t="shared" ca="1" si="15"/>
        <v>#NUM!</v>
      </c>
      <c r="AB38" s="21" t="e">
        <f t="shared" ca="1" si="16"/>
        <v>#NUM!</v>
      </c>
      <c r="AC38" cm="1">
        <f t="array" aca="1" ref="AC38" ca="1">IF( AND($D$7,NOT(ISBLANK($D38))), IF(_xll.IMDP("IR", $D38, AC$8, Matrix!$D$6)=0,"",_xll.IMDP("IR", $D38, AC$8, Matrix!$D$6)), "")</f>
        <v>4.5739999999999998</v>
      </c>
      <c r="AD38" cm="1">
        <f t="array" aca="1" ref="AD38" ca="1">IF( AND($D$7,NOT(ISBLANK($D38))), IF(_xll.IMDP("IR", $D38, AD$8, Matrix!$D$6)=0,"",_xll.IMDP("IR", $D38, AD$8, Matrix!$D$6)), "")</f>
        <v>4.9109999999999996</v>
      </c>
      <c r="AE38" cm="1">
        <f t="array" aca="1" ref="AE38" ca="1">IF( AND($D$7,NOT(ISBLANK($D38))), IF(_xll.IMDP("IR", $D38, AE$8, Matrix!$D$6)=0,"",_xll.IMDP("IR", $D38, AE$8, Matrix!$D$6)), "")</f>
        <v>5.0250000000000004</v>
      </c>
      <c r="AF38" cm="1">
        <f t="array" aca="1" ref="AF38" ca="1">IF( AND($D$7,NOT(ISBLANK($D38))), IF(_xll.IMDP("IR", $D38, AF$8, Matrix!$D$6)=0,"",_xll.IMDP("IR", $D38, AF$8, Matrix!$D$6)), "")</f>
        <v>5.0999999999999996</v>
      </c>
      <c r="AG38" cm="1">
        <f t="array" aca="1" ref="AG38" ca="1">IF( AND($D$7,NOT(ISBLANK($D38))), IF(_xll.IMDP("IR", $D38, AG$8, Matrix!$D$6)=0,"",_xll.IMDP("IR", $D38, AG$8, Matrix!$D$6)), "")</f>
        <v>5.1740000000000004</v>
      </c>
      <c r="AH38" cm="1">
        <f t="array" aca="1" ref="AH38" ca="1">IF( AND($D$7,NOT(ISBLANK($D38))), IF(_xll.IMDP("IR", $D38, AH$8, Matrix!$D$6)=0,"",_xll.IMDP("IR", $D38, AH$8, Matrix!$D$6)), "")</f>
        <v>5.2359999999999998</v>
      </c>
      <c r="AI38" cm="1">
        <f t="array" aca="1" ref="AI38" ca="1">IF( AND($D$7,NOT(ISBLANK($D38))), IF(_xll.IMDP("IR", $D38, AI$8, Matrix!$D$6)=0,"",_xll.IMDP("IR", $D38, AI$8, Matrix!$D$6)), "")</f>
        <v>5.258</v>
      </c>
      <c r="AJ38" cm="1">
        <f t="array" aca="1" ref="AJ38" ca="1">IF( AND($D$7,NOT(ISBLANK($D38))), IF(_xll.IMDP("IR", $D38, AJ$8, Matrix!$D$6)=0,"",_xll.IMDP("IR", $D38, AJ$8, Matrix!$D$6)), "")</f>
        <v>5.3369999999999997</v>
      </c>
      <c r="AK38" cm="1">
        <f t="array" aca="1" ref="AK38" ca="1">IF( AND($D$7,NOT(ISBLANK($D38))), IF(_xll.IMDP("IR", $D38, AK$8, Matrix!$D$6)=0,"",_xll.IMDP("IR", $D38, AK$8, Matrix!$D$6)), "")</f>
        <v>5.3959999999999999</v>
      </c>
      <c r="AL38" cm="1">
        <f t="array" aca="1" ref="AL38" ca="1">IF( AND($D$7,NOT(ISBLANK($D38))), IF(_xll.IMDP("IR", $D38, AL$8, Matrix!$D$6)=0,"",_xll.IMDP("IR", $D38, AL$8, Matrix!$D$6)), "")</f>
        <v>5.4770000000000003</v>
      </c>
      <c r="AM38" cm="1">
        <f t="array" aca="1" ref="AM38" ca="1">IF( AND($D$7,NOT(ISBLANK($D38))), IF(_xll.IMDP("IR", $D38, AM$8, Matrix!$D$6)=0,"",_xll.IMDP("IR", $D38, AM$8, Matrix!$D$6)), "")</f>
        <v>5.548</v>
      </c>
      <c r="AN38" cm="1">
        <f t="array" aca="1" ref="AN38" ca="1">IF( AND($D$7,NOT(ISBLANK($D38))), IF(_xll.IMDP("IR", $D38, AN$8, Matrix!$D$6)=0,"",_xll.IMDP("IR", $D38, AN$8, Matrix!$D$6)), "")</f>
        <v>5.84</v>
      </c>
      <c r="AO38" cm="1">
        <f t="array" aca="1" ref="AO38" ca="1">IF( AND($D$7,NOT(ISBLANK($D38))), IF(_xll.IMDP("IR", $D38, AO$8, Matrix!$D$6)=0,"",_xll.IMDP("IR", $D38, AO$8, Matrix!$D$6)), "")</f>
        <v>6.0830000000000002</v>
      </c>
      <c r="AP38" cm="1">
        <f t="array" aca="1" ref="AP38" ca="1">IF( AND($D$7,NOT(ISBLANK($D38))), IF(_xll.IMDP("IR", $D38, AP$8, Matrix!$D$6)=0,"",_xll.IMDP("IR", $D38, AP$8, Matrix!$D$6)), "")</f>
        <v>6.1580000000000004</v>
      </c>
      <c r="AQ38" t="str" cm="1">
        <f t="array" aca="1" ref="AQ38" ca="1">IF( AND($D$7,NOT(ISBLANK($D38))), IF(_xll.IMDP("IR", $D38, AQ$8, Matrix!$D$6)=0,"",_xll.IMDP("IR", $D38, AQ$8, Matrix!$D$6)), "")</f>
        <v/>
      </c>
      <c r="AR38" t="str" cm="1">
        <f t="array" aca="1" ref="AR38" ca="1">IF( AND($D$7,NOT(ISBLANK($D38))), IF(_xll.IMDP("IR", $D38, AR$8, Matrix!$D$6)=0,"",_xll.IMDP("IR", $D38, AR$8, Matrix!$D$6)), "")</f>
        <v/>
      </c>
      <c r="AS38" cm="1">
        <f t="array" aca="1" ref="AS38" ca="1">IF( AND($E$7,NOT(ISBLANK($E38))), IF( _xll.IMDP("IR", $E38, AS$8, Matrix!$D$6)=0,"",_xll.IMDP("IR", $E38, AS$8, Matrix!$D$6)), "")</f>
        <v>4.548</v>
      </c>
      <c r="AT38" cm="1">
        <f t="array" aca="1" ref="AT38" ca="1">IF( AND($E$7,NOT(ISBLANK($E38))), IF( _xll.IMDP("IR", $E38, AT$8, Matrix!$D$6)=0,"",_xll.IMDP("IR", $E38, AT$8, Matrix!$D$6)), "")</f>
        <v>4.8929999999999998</v>
      </c>
      <c r="AU38" cm="1">
        <f t="array" aca="1" ref="AU38" ca="1">IF( AND($E$7,NOT(ISBLANK($E38))), IF( _xll.IMDP("IR", $E38, AU$8, Matrix!$D$6)=0,"",_xll.IMDP("IR", $E38, AU$8, Matrix!$D$6)), "")</f>
        <v>5.0309999999999997</v>
      </c>
      <c r="AV38" cm="1">
        <f t="array" aca="1" ref="AV38" ca="1">IF( AND($E$7,NOT(ISBLANK($E38))), IF( _xll.IMDP("IR", $E38, AV$8, Matrix!$D$6)=0,"",_xll.IMDP("IR", $E38, AV$8, Matrix!$D$6)), "")</f>
        <v>5.13</v>
      </c>
      <c r="AW38" cm="1">
        <f t="array" aca="1" ref="AW38" ca="1">IF( AND($E$7,NOT(ISBLANK($E38))), IF( _xll.IMDP("IR", $E38, AW$8, Matrix!$D$6)=0,"",_xll.IMDP("IR", $E38, AW$8, Matrix!$D$6)), "")</f>
        <v>5.2140000000000004</v>
      </c>
      <c r="AX38" cm="1">
        <f t="array" aca="1" ref="AX38" ca="1">IF( AND($E$7,NOT(ISBLANK($E38))), IF( _xll.IMDP("IR", $E38, AX$8, Matrix!$D$6)=0,"",_xll.IMDP("IR", $E38, AX$8, Matrix!$D$6)), "")</f>
        <v>5.2670000000000003</v>
      </c>
      <c r="AY38" cm="1">
        <f t="array" aca="1" ref="AY38" ca="1">IF( AND($E$7,NOT(ISBLANK($E38))), IF( _xll.IMDP("IR", $E38, AY$8, Matrix!$D$6)=0,"",_xll.IMDP("IR", $E38, AY$8, Matrix!$D$6)), "")</f>
        <v>5.2789999999999999</v>
      </c>
      <c r="AZ38" cm="1">
        <f t="array" aca="1" ref="AZ38" ca="1">IF( AND($E$7,NOT(ISBLANK($E38))), IF( _xll.IMDP("IR", $E38, AZ$8, Matrix!$D$6)=0,"",_xll.IMDP("IR", $E38, AZ$8, Matrix!$D$6)), "")</f>
        <v>5.3540000000000001</v>
      </c>
      <c r="BA38" cm="1">
        <f t="array" aca="1" ref="BA38" ca="1">IF( AND($E$7,NOT(ISBLANK($E38))), IF( _xll.IMDP("IR", $E38, BA$8, Matrix!$D$6)=0,"",_xll.IMDP("IR", $E38, BA$8, Matrix!$D$6)), "")</f>
        <v>5.3869999999999996</v>
      </c>
      <c r="BB38" cm="1">
        <f t="array" aca="1" ref="BB38" ca="1">IF( AND($E$7,NOT(ISBLANK($E38))), IF( _xll.IMDP("IR", $E38, BB$8, Matrix!$D$6)=0,"",_xll.IMDP("IR", $E38, BB$8, Matrix!$D$6)), "")</f>
        <v>5.4480000000000004</v>
      </c>
      <c r="BC38" cm="1">
        <f t="array" aca="1" ref="BC38" ca="1">IF( AND($E$7,NOT(ISBLANK($E38))), IF( _xll.IMDP("IR", $E38, BC$8, Matrix!$D$6)=0,"",_xll.IMDP("IR", $E38, BC$8, Matrix!$D$6)), "")</f>
        <v>5.5279999999999996</v>
      </c>
      <c r="BD38" cm="1">
        <f t="array" aca="1" ref="BD38" ca="1">IF( AND($E$7,NOT(ISBLANK($E38))), IF( _xll.IMDP("IR", $E38, BD$8, Matrix!$D$6)=0,"",_xll.IMDP("IR", $E38, BD$8, Matrix!$D$6)), "")</f>
        <v>5.8339999999999996</v>
      </c>
      <c r="BE38" cm="1">
        <f t="array" aca="1" ref="BE38" ca="1">IF( AND($E$7,NOT(ISBLANK($E38))), IF( _xll.IMDP("IR", $E38, BE$8, Matrix!$D$6)=0,"",_xll.IMDP("IR", $E38, BE$8, Matrix!$D$6)), "")</f>
        <v>6.0869999999999997</v>
      </c>
      <c r="BF38" cm="1">
        <f t="array" aca="1" ref="BF38" ca="1">IF( AND($E$7,NOT(ISBLANK($E38))), IF( _xll.IMDP("IR", $E38, BF$8, Matrix!$D$6)=0,"",_xll.IMDP("IR", $E38, BF$8, Matrix!$D$6)), "")</f>
        <v>6.1529999999999996</v>
      </c>
      <c r="BG38" t="str" cm="1">
        <f t="array" aca="1" ref="BG38" ca="1">IF( AND($E$7,NOT(ISBLANK($E38))), IF( _xll.IMDP("IR", $E38, BG$8, Matrix!$D$6)=0,"",_xll.IMDP("IR", $E38, BG$8, Matrix!$D$6)), "")</f>
        <v/>
      </c>
      <c r="BH38" t="str" cm="1">
        <f t="array" aca="1" ref="BH38" ca="1">IF( AND($E$7,NOT(ISBLANK($E38))), IF( _xll.IMDP("IR", $E38, BH$8, Matrix!$D$6)=0,"",_xll.IMDP("IR", $E38, BH$8, Matrix!$D$6)), "")</f>
        <v/>
      </c>
      <c r="BI38" cm="1">
        <f t="array" aca="1" ref="BI38" ca="1">IF( AND($F$7,NOT(ISBLANK($F38))), IF( _xll.IMDP("IR", $F38, BI$8, Matrix!$D$6)=0,"",_xll.IMDP("IR", $F38, BI$8, Matrix!$D$6)), "")</f>
        <v>4.5810000000000004</v>
      </c>
      <c r="BJ38" cm="1">
        <f t="array" aca="1" ref="BJ38" ca="1">IF( AND($F$7,NOT(ISBLANK($F38))), IF( _xll.IMDP("IR", $F38, BJ$8, Matrix!$D$6)=0,"",_xll.IMDP("IR", $F38, BJ$8, Matrix!$D$6)), "")</f>
        <v>4.8620000000000001</v>
      </c>
      <c r="BK38" cm="1">
        <f t="array" aca="1" ref="BK38" ca="1">IF( AND($F$7,NOT(ISBLANK($F38))), IF( _xll.IMDP("IR", $F38, BK$8, Matrix!$D$6)=0,"",_xll.IMDP("IR", $F38, BK$8, Matrix!$D$6)), "")</f>
        <v>5.0389999999999997</v>
      </c>
      <c r="BL38" cm="1">
        <f t="array" aca="1" ref="BL38" ca="1">IF( AND($F$7,NOT(ISBLANK($F38))), IF( _xll.IMDP("IR", $F38, BL$8, Matrix!$D$6)=0,"",_xll.IMDP("IR", $F38, BL$8, Matrix!$D$6)), "")</f>
        <v>5.17</v>
      </c>
      <c r="BM38" cm="1">
        <f t="array" aca="1" ref="BM38" ca="1">IF( AND($F$7,NOT(ISBLANK($F38))), IF( _xll.IMDP("IR", $F38, BM$8, Matrix!$D$6)=0,"",_xll.IMDP("IR", $F38, BM$8, Matrix!$D$6)), "")</f>
        <v>5.2439999999999998</v>
      </c>
      <c r="BN38" cm="1">
        <f t="array" aca="1" ref="BN38" ca="1">IF( AND($F$7,NOT(ISBLANK($F38))), IF( _xll.IMDP("IR", $F38, BN$8, Matrix!$D$6)=0,"",_xll.IMDP("IR", $F38, BN$8, Matrix!$D$6)), "")</f>
        <v>5.2750000000000004</v>
      </c>
      <c r="BO38" cm="1">
        <f t="array" aca="1" ref="BO38" ca="1">IF( AND($F$7,NOT(ISBLANK($F38))), IF( _xll.IMDP("IR", $F38, BO$8, Matrix!$D$6)=0,"",_xll.IMDP("IR", $F38, BO$8, Matrix!$D$6)), "")</f>
        <v>5.3010000000000002</v>
      </c>
      <c r="BP38" cm="1">
        <f t="array" aca="1" ref="BP38" ca="1">IF( AND($F$7,NOT(ISBLANK($F38))), IF( _xll.IMDP("IR", $F38, BP$8, Matrix!$D$6)=0,"",_xll.IMDP("IR", $F38, BP$8, Matrix!$D$6)), "")</f>
        <v>5.3520000000000003</v>
      </c>
      <c r="BQ38" cm="1">
        <f t="array" aca="1" ref="BQ38" ca="1">IF( AND($F$7,NOT(ISBLANK($F38))), IF( _xll.IMDP("IR", $F38, BQ$8, Matrix!$D$6)=0,"",_xll.IMDP("IR", $F38, BQ$8, Matrix!$D$6)), "")</f>
        <v>5.3929999999999998</v>
      </c>
      <c r="BR38" cm="1">
        <f t="array" aca="1" ref="BR38" ca="1">IF( AND($F$7,NOT(ISBLANK($F38))), IF( _xll.IMDP("IR", $F38, BR$8, Matrix!$D$6)=0,"",_xll.IMDP("IR", $F38, BR$8, Matrix!$D$6)), "")</f>
        <v>5.4969999999999999</v>
      </c>
      <c r="BS38" cm="1">
        <f t="array" aca="1" ref="BS38" ca="1">IF( AND($F$7,NOT(ISBLANK($F38))), IF( _xll.IMDP("IR", $F38, BS$8, Matrix!$D$6)=0,"",_xll.IMDP("IR", $F38, BS$8, Matrix!$D$6)), "")</f>
        <v>5.5590000000000002</v>
      </c>
      <c r="BT38" cm="1">
        <f t="array" aca="1" ref="BT38" ca="1">IF( AND($F$7,NOT(ISBLANK($F38))), IF( _xll.IMDP("IR", $F38, BT$8, Matrix!$D$6)=0,"",_xll.IMDP("IR", $F38, BT$8, Matrix!$D$6)), "")</f>
        <v>5.8179999999999996</v>
      </c>
      <c r="BU38" cm="1">
        <f t="array" aca="1" ref="BU38" ca="1">IF( AND($F$7,NOT(ISBLANK($F38))), IF( _xll.IMDP("IR", $F38, BU$8, Matrix!$D$6)=0,"",_xll.IMDP("IR", $F38, BU$8, Matrix!$D$6)), "")</f>
        <v>6.0179999999999998</v>
      </c>
      <c r="BV38" cm="1">
        <f t="array" aca="1" ref="BV38" ca="1">IF( AND($F$7,NOT(ISBLANK($F38))), IF( _xll.IMDP("IR", $F38, BV$8, Matrix!$D$6)=0,"",_xll.IMDP("IR", $F38, BV$8, Matrix!$D$6)), "")</f>
        <v>6.1479999999999997</v>
      </c>
      <c r="BW38" t="str" cm="1">
        <f t="array" aca="1" ref="BW38" ca="1">IF( AND($F$7,NOT(ISBLANK($F38))), IF( _xll.IMDP("IR", $F38, BW$8, Matrix!$D$6)=0,"",_xll.IMDP("IR", $F38, BW$8, Matrix!$D$6)), "")</f>
        <v/>
      </c>
      <c r="BX38" t="str" cm="1">
        <f t="array" aca="1" ref="BX38" ca="1">IF( AND($F$7,NOT(ISBLANK($F38))), IF( _xll.IMDP("IR", $F38, BX$8, Matrix!$D$6)=0,"",_xll.IMDP("IR", $F38, BX$8, Matrix!$D$6)), "")</f>
        <v/>
      </c>
      <c r="BY38" cm="1">
        <f t="array" aca="1" ref="BY38" ca="1">IF( AND($G$7,NOT(ISBLANK($G38))), IF( _xll.IMDP("IR", $G38, BY$8, Matrix!$D$6)=0, "", _xll.IMDP("IR", $G38, BY$8, Matrix!$D$6)), "")</f>
        <v>4.5609999999999999</v>
      </c>
      <c r="BZ38" cm="1">
        <f t="array" aca="1" ref="BZ38" ca="1">IF( AND($G$7,NOT(ISBLANK($G38))), IF( _xll.IMDP("IR", $G38, BZ$8, Matrix!$D$6)=0, "", _xll.IMDP("IR", $G38, BZ$8, Matrix!$D$6)), "")</f>
        <v>4.8520000000000003</v>
      </c>
      <c r="CA38" cm="1">
        <f t="array" aca="1" ref="CA38" ca="1">IF( AND($G$7,NOT(ISBLANK($G38))), IF( _xll.IMDP("IR", $G38, CA$8, Matrix!$D$6)=0, "", _xll.IMDP("IR", $G38, CA$8, Matrix!$D$6)), "")</f>
        <v>5.0170000000000003</v>
      </c>
      <c r="CB38" cm="1">
        <f t="array" aca="1" ref="CB38" ca="1">IF( AND($G$7,NOT(ISBLANK($G38))), IF( _xll.IMDP("IR", $G38, CB$8, Matrix!$D$6)=0, "", _xll.IMDP("IR", $G38, CB$8, Matrix!$D$6)), "")</f>
        <v>5.1130000000000004</v>
      </c>
      <c r="CC38" cm="1">
        <f t="array" aca="1" ref="CC38" ca="1">IF( AND($G$7,NOT(ISBLANK($G38))), IF( _xll.IMDP("IR", $G38, CC$8, Matrix!$D$6)=0, "", _xll.IMDP("IR", $G38, CC$8, Matrix!$D$6)), "")</f>
        <v>5.1870000000000003</v>
      </c>
      <c r="CD38" cm="1">
        <f t="array" aca="1" ref="CD38" ca="1">IF( AND($G$7,NOT(ISBLANK($G38))), IF( _xll.IMDP("IR", $G38, CD$8, Matrix!$D$6)=0, "", _xll.IMDP("IR", $G38, CD$8, Matrix!$D$6)), "")</f>
        <v>5.2510000000000003</v>
      </c>
      <c r="CE38" cm="1">
        <f t="array" aca="1" ref="CE38" ca="1">IF( AND($G$7,NOT(ISBLANK($G38))), IF( _xll.IMDP("IR", $G38, CE$8, Matrix!$D$6)=0, "", _xll.IMDP("IR", $G38, CE$8, Matrix!$D$6)), "")</f>
        <v>5.274</v>
      </c>
      <c r="CF38" cm="1">
        <f t="array" aca="1" ref="CF38" ca="1">IF( AND($G$7,NOT(ISBLANK($G38))), IF( _xll.IMDP("IR", $G38, CF$8, Matrix!$D$6)=0, "", _xll.IMDP("IR", $G38, CF$8, Matrix!$D$6)), "")</f>
        <v>5.3330000000000002</v>
      </c>
      <c r="CG38" cm="1">
        <f t="array" aca="1" ref="CG38" ca="1">IF( AND($G$7,NOT(ISBLANK($G38))), IF( _xll.IMDP("IR", $G38, CG$8, Matrix!$D$6)=0, "", _xll.IMDP("IR", $G38, CG$8, Matrix!$D$6)), "")</f>
        <v>5.3810000000000002</v>
      </c>
      <c r="CH38" cm="1">
        <f t="array" aca="1" ref="CH38" ca="1">IF( AND($G$7,NOT(ISBLANK($G38))), IF( _xll.IMDP("IR", $G38, CH$8, Matrix!$D$6)=0, "", _xll.IMDP("IR", $G38, CH$8, Matrix!$D$6)), "")</f>
        <v>5.4619999999999997</v>
      </c>
      <c r="CI38" cm="1">
        <f t="array" aca="1" ref="CI38" ca="1">IF( AND($G$7,NOT(ISBLANK($G38))), IF( _xll.IMDP("IR", $G38, CI$8, Matrix!$D$6)=0, "", _xll.IMDP("IR", $G38, CI$8, Matrix!$D$6)), "")</f>
        <v>5.55</v>
      </c>
      <c r="CJ38" cm="1">
        <f t="array" aca="1" ref="CJ38" ca="1">IF( AND($G$7,NOT(ISBLANK($G38))), IF( _xll.IMDP("IR", $G38, CJ$8, Matrix!$D$6)=0, "", _xll.IMDP("IR", $G38, CJ$8, Matrix!$D$6)), "")</f>
        <v>5.8259999999999996</v>
      </c>
      <c r="CK38" cm="1">
        <f t="array" aca="1" ref="CK38" ca="1">IF( AND($G$7,NOT(ISBLANK($G38))), IF( _xll.IMDP("IR", $G38, CK$8, Matrix!$D$6)=0, "", _xll.IMDP("IR", $G38, CK$8, Matrix!$D$6)), "")</f>
        <v>6.05</v>
      </c>
      <c r="CL38" cm="1">
        <f t="array" aca="1" ref="CL38" ca="1">IF( AND($G$7,NOT(ISBLANK($G38))), IF( _xll.IMDP("IR", $G38, CL$8, Matrix!$D$6)=0, "", _xll.IMDP("IR", $G38, CL$8, Matrix!$D$6)), "")</f>
        <v>6.1909999999999998</v>
      </c>
      <c r="CM38" t="str" cm="1">
        <f t="array" aca="1" ref="CM38" ca="1">IF( AND($G$7,NOT(ISBLANK($G38))), IF( _xll.IMDP("IR", $G38, CM$8, Matrix!$D$6)=0, "", _xll.IMDP("IR", $G38, CM$8, Matrix!$D$6)), "")</f>
        <v/>
      </c>
      <c r="CN38" t="str" cm="1">
        <f t="array" aca="1" ref="CN38" ca="1">IF( AND($G$7,NOT(ISBLANK($G38))), IF( _xll.IMDP("IR", $G38, CN$8, Matrix!$D$6)=0, "", _xll.IMDP("IR", $G38, CN$8, Matrix!$D$6)), "")</f>
        <v/>
      </c>
      <c r="CO38" cm="1">
        <f t="array" aca="1" ref="CO38" ca="1">IF( AND($H$7,NOT(ISBLANK($H38))), IF( _xll.IMDP("IR", $H38, CO$8, Matrix!$D$6)=0, "", _xll.IMDP("IR", $H38, CO$8, Matrix!$D$6)), "")</f>
        <v>4.5659999999999998</v>
      </c>
      <c r="CP38" cm="1">
        <f t="array" aca="1" ref="CP38" ca="1">IF( AND($H$7,NOT(ISBLANK($H38))), IF( _xll.IMDP("IR", $H38, CP$8, Matrix!$D$6)=0, "", _xll.IMDP("IR", $H38, CP$8, Matrix!$D$6)), "")</f>
        <v>4.8789999999999996</v>
      </c>
      <c r="CQ38" cm="1">
        <f t="array" aca="1" ref="CQ38" ca="1">IF( AND($H$7,NOT(ISBLANK($H38))), IF( _xll.IMDP("IR", $H38, CQ$8, Matrix!$D$6)=0, "", _xll.IMDP("IR", $H38, CQ$8, Matrix!$D$6)), "")</f>
        <v>5.0279999999999996</v>
      </c>
      <c r="CR38" cm="1">
        <f t="array" aca="1" ref="CR38" ca="1">IF( AND($H$7,NOT(ISBLANK($H38))), IF( _xll.IMDP("IR", $H38, CR$8, Matrix!$D$6)=0, "", _xll.IMDP("IR", $H38, CR$8, Matrix!$D$6)), "")</f>
        <v>5.1280000000000001</v>
      </c>
      <c r="CS38" cm="1">
        <f t="array" aca="1" ref="CS38" ca="1">IF( AND($H$7,NOT(ISBLANK($H38))), IF( _xll.IMDP("IR", $H38, CS$8, Matrix!$D$6)=0, "", _xll.IMDP("IR", $H38, CS$8, Matrix!$D$6)), "")</f>
        <v>5.2039999999999997</v>
      </c>
      <c r="CT38" cm="1">
        <f t="array" aca="1" ref="CT38" ca="1">IF( AND($H$7,NOT(ISBLANK($H38))), IF( _xll.IMDP("IR", $H38, CT$8, Matrix!$D$6)=0, "", _xll.IMDP("IR", $H38, CT$8, Matrix!$D$6)), "")</f>
        <v>5.2569999999999997</v>
      </c>
      <c r="CU38" cm="1">
        <f t="array" aca="1" ref="CU38" ca="1">IF( AND($H$7,NOT(ISBLANK($H38))), IF( _xll.IMDP("IR", $H38, CU$8, Matrix!$D$6)=0, "", _xll.IMDP("IR", $H38, CU$8, Matrix!$D$6)), "")</f>
        <v>5.2779999999999996</v>
      </c>
      <c r="CV38" cm="1">
        <f t="array" aca="1" ref="CV38" ca="1">IF( AND($H$7,NOT(ISBLANK($H38))), IF( _xll.IMDP("IR", $H38, CV$8, Matrix!$D$6)=0, "", _xll.IMDP("IR", $H38, CV$8, Matrix!$D$6)), "")</f>
        <v>5.3440000000000003</v>
      </c>
      <c r="CW38" cm="1">
        <f t="array" aca="1" ref="CW38" ca="1">IF( AND($H$7,NOT(ISBLANK($H38))), IF( _xll.IMDP("IR", $H38, CW$8, Matrix!$D$6)=0, "", _xll.IMDP("IR", $H38, CW$8, Matrix!$D$6)), "")</f>
        <v>5.3890000000000002</v>
      </c>
      <c r="CX38" cm="1">
        <f t="array" aca="1" ref="CX38" ca="1">IF( AND($H$7,NOT(ISBLANK($H38))), IF( _xll.IMDP("IR", $H38, CX$8, Matrix!$D$6)=0, "", _xll.IMDP("IR", $H38, CX$8, Matrix!$D$6)), "")</f>
        <v>5.4710000000000001</v>
      </c>
      <c r="CY38" cm="1">
        <f t="array" aca="1" ref="CY38" ca="1">IF( AND($H$7,NOT(ISBLANK($H38))), IF( _xll.IMDP("IR", $H38, CY$8, Matrix!$D$6)=0, "", _xll.IMDP("IR", $H38, CY$8, Matrix!$D$6)), "")</f>
        <v>5.5460000000000003</v>
      </c>
      <c r="CZ38" cm="1">
        <f t="array" aca="1" ref="CZ38" ca="1">IF( AND($H$7,NOT(ISBLANK($H38))), IF( _xll.IMDP("IR", $H38, CZ$8, Matrix!$D$6)=0, "", _xll.IMDP("IR", $H38, CZ$8, Matrix!$D$6)), "")</f>
        <v>5.8289999999999997</v>
      </c>
      <c r="DA38" t="str" cm="1">
        <f t="array" aca="1" ref="DA38" ca="1">IF( AND($H$7,NOT(ISBLANK($H38))), IF( _xll.IMDP("IR", $H38, DA$8, Matrix!$D$6)=0, "", _xll.IMDP("IR", $H38, DA$8, Matrix!$D$6)), "")</f>
        <v/>
      </c>
      <c r="DB38" t="str" cm="1">
        <f t="array" aca="1" ref="DB38" ca="1">IF( AND($H$7,NOT(ISBLANK($H38))), IF( _xll.IMDP("IR", $H38, DB$8, Matrix!$D$6)=0, "", _xll.IMDP("IR", $H38, DB$8, Matrix!$D$6)), "")</f>
        <v/>
      </c>
      <c r="DC38" t="str" cm="1">
        <f t="array" aca="1" ref="DC38" ca="1">IF( AND($H$7,NOT(ISBLANK($H38))), IF( _xll.IMDP("IR", $H38, DC$8, Matrix!$D$6)=0, "", _xll.IMDP("IR", $H38, DC$8, Matrix!$D$6)), "")</f>
        <v/>
      </c>
      <c r="DD38" t="str" cm="1">
        <f t="array" aca="1" ref="DD38" ca="1">IF( AND($H$7,NOT(ISBLANK($H38))), IF( _xll.IMDP("IR", $H38, DD$8, Matrix!$D$6)=0, "", _xll.IMDP("IR", $H38, DD$8, Matrix!$D$6)), "")</f>
        <v/>
      </c>
    </row>
    <row r="39" spans="2:108">
      <c r="B39" t="s">
        <v>107</v>
      </c>
      <c r="C39" t="s">
        <v>181</v>
      </c>
      <c r="D39" t="s">
        <v>256</v>
      </c>
      <c r="E39" t="s">
        <v>318</v>
      </c>
      <c r="F39" t="s">
        <v>381</v>
      </c>
      <c r="G39" t="s">
        <v>447</v>
      </c>
      <c r="H39" t="s">
        <v>505</v>
      </c>
      <c r="M39" s="21">
        <f t="shared" ca="1" si="1"/>
        <v>5.0875899553075934</v>
      </c>
      <c r="N39" s="21">
        <f t="shared" ca="1" si="2"/>
        <v>5.5159192495896274</v>
      </c>
      <c r="O39" s="21">
        <f t="shared" ca="1" si="3"/>
        <v>5.6415700315598256</v>
      </c>
      <c r="P39" s="21">
        <f t="shared" ca="1" si="4"/>
        <v>5.6883735127467672</v>
      </c>
      <c r="Q39" s="21">
        <f t="shared" ca="1" si="5"/>
        <v>5.7611811722289827</v>
      </c>
      <c r="R39" s="21">
        <f t="shared" ca="1" si="6"/>
        <v>5.8503002963483084</v>
      </c>
      <c r="S39" s="21">
        <f t="shared" ca="1" si="7"/>
        <v>5.931325505610098</v>
      </c>
      <c r="T39" s="21">
        <f t="shared" ca="1" si="8"/>
        <v>6.0219156552330144</v>
      </c>
      <c r="U39" s="21">
        <f t="shared" ca="1" si="9"/>
        <v>6.0795785862004799</v>
      </c>
      <c r="V39" s="21">
        <f t="shared" ca="1" si="10"/>
        <v>6.1379562189573784</v>
      </c>
      <c r="W39" s="21">
        <f t="shared" ca="1" si="11"/>
        <v>6.2031961181731425</v>
      </c>
      <c r="X39" s="21">
        <f t="shared" ca="1" si="12"/>
        <v>6.4811994014527494</v>
      </c>
      <c r="Y39" s="21">
        <f t="shared" ca="1" si="13"/>
        <v>6.731852355415942</v>
      </c>
      <c r="Z39" s="21">
        <f t="shared" ca="1" si="14"/>
        <v>6.8191849126879971</v>
      </c>
      <c r="AA39" s="21" t="e">
        <f t="shared" ca="1" si="15"/>
        <v>#NUM!</v>
      </c>
      <c r="AB39" s="21" t="e">
        <f t="shared" ca="1" si="16"/>
        <v>#NUM!</v>
      </c>
      <c r="AC39" cm="1">
        <f t="array" aca="1" ref="AC39" ca="1">IF( AND($D$7,NOT(ISBLANK($D39))), IF(_xll.IMDP("IR", $D39, AC$8, Matrix!$D$6)=0,"",_xll.IMDP("IR", $D39, AC$8, Matrix!$D$6)), "")</f>
        <v>5.0940000000000003</v>
      </c>
      <c r="AD39" cm="1">
        <f t="array" aca="1" ref="AD39" ca="1">IF( AND($D$7,NOT(ISBLANK($D39))), IF(_xll.IMDP("IR", $D39, AD$8, Matrix!$D$6)=0,"",_xll.IMDP("IR", $D39, AD$8, Matrix!$D$6)), "")</f>
        <v>5.5419999999999998</v>
      </c>
      <c r="AE39" cm="1">
        <f t="array" aca="1" ref="AE39" ca="1">IF( AND($D$7,NOT(ISBLANK($D39))), IF(_xll.IMDP("IR", $D39, AE$8, Matrix!$D$6)=0,"",_xll.IMDP("IR", $D39, AE$8, Matrix!$D$6)), "")</f>
        <v>5.6319999999999997</v>
      </c>
      <c r="AF39" cm="1">
        <f t="array" aca="1" ref="AF39" ca="1">IF( AND($D$7,NOT(ISBLANK($D39))), IF(_xll.IMDP("IR", $D39, AF$8, Matrix!$D$6)=0,"",_xll.IMDP("IR", $D39, AF$8, Matrix!$D$6)), "")</f>
        <v>5.6669999999999998</v>
      </c>
      <c r="AG39" cm="1">
        <f t="array" aca="1" ref="AG39" ca="1">IF( AND($D$7,NOT(ISBLANK($D39))), IF(_xll.IMDP("IR", $D39, AG$8, Matrix!$D$6)=0,"",_xll.IMDP("IR", $D39, AG$8, Matrix!$D$6)), "")</f>
        <v>5.7389999999999999</v>
      </c>
      <c r="AH39" cm="1">
        <f t="array" aca="1" ref="AH39" ca="1">IF( AND($D$7,NOT(ISBLANK($D39))), IF(_xll.IMDP("IR", $D39, AH$8, Matrix!$D$6)=0,"",_xll.IMDP("IR", $D39, AH$8, Matrix!$D$6)), "")</f>
        <v>5.7850000000000001</v>
      </c>
      <c r="AI39" cm="1">
        <f t="array" aca="1" ref="AI39" ca="1">IF( AND($D$7,NOT(ISBLANK($D39))), IF(_xll.IMDP("IR", $D39, AI$8, Matrix!$D$6)=0,"",_xll.IMDP("IR", $D39, AI$8, Matrix!$D$6)), "")</f>
        <v>5.8840000000000003</v>
      </c>
      <c r="AJ39" cm="1">
        <f t="array" aca="1" ref="AJ39" ca="1">IF( AND($D$7,NOT(ISBLANK($D39))), IF(_xll.IMDP("IR", $D39, AJ$8, Matrix!$D$6)=0,"",_xll.IMDP("IR", $D39, AJ$8, Matrix!$D$6)), "")</f>
        <v>5.9669999999999996</v>
      </c>
      <c r="AK39" cm="1">
        <f t="array" aca="1" ref="AK39" ca="1">IF( AND($D$7,NOT(ISBLANK($D39))), IF(_xll.IMDP("IR", $D39, AK$8, Matrix!$D$6)=0,"",_xll.IMDP("IR", $D39, AK$8, Matrix!$D$6)), "")</f>
        <v>6.0620000000000003</v>
      </c>
      <c r="AL39" cm="1">
        <f t="array" aca="1" ref="AL39" ca="1">IF( AND($D$7,NOT(ISBLANK($D39))), IF(_xll.IMDP("IR", $D39, AL$8, Matrix!$D$6)=0,"",_xll.IMDP("IR", $D39, AL$8, Matrix!$D$6)), "")</f>
        <v>6.1180000000000003</v>
      </c>
      <c r="AM39" cm="1">
        <f t="array" aca="1" ref="AM39" ca="1">IF( AND($D$7,NOT(ISBLANK($D39))), IF(_xll.IMDP("IR", $D39, AM$8, Matrix!$D$6)=0,"",_xll.IMDP("IR", $D39, AM$8, Matrix!$D$6)), "")</f>
        <v>6.1950000000000003</v>
      </c>
      <c r="AN39" cm="1">
        <f t="array" aca="1" ref="AN39" ca="1">IF( AND($D$7,NOT(ISBLANK($D39))), IF(_xll.IMDP("IR", $D39, AN$8, Matrix!$D$6)=0,"",_xll.IMDP("IR", $D39, AN$8, Matrix!$D$6)), "")</f>
        <v>6.4779999999999998</v>
      </c>
      <c r="AO39" cm="1">
        <f t="array" aca="1" ref="AO39" ca="1">IF( AND($D$7,NOT(ISBLANK($D39))), IF(_xll.IMDP("IR", $D39, AO$8, Matrix!$D$6)=0,"",_xll.IMDP("IR", $D39, AO$8, Matrix!$D$6)), "")</f>
        <v>6.7969999999999997</v>
      </c>
      <c r="AP39" cm="1">
        <f t="array" aca="1" ref="AP39" ca="1">IF( AND($D$7,NOT(ISBLANK($D39))), IF(_xll.IMDP("IR", $D39, AP$8, Matrix!$D$6)=0,"",_xll.IMDP("IR", $D39, AP$8, Matrix!$D$6)), "")</f>
        <v>6.859</v>
      </c>
      <c r="AQ39" t="str" cm="1">
        <f t="array" aca="1" ref="AQ39" ca="1">IF( AND($D$7,NOT(ISBLANK($D39))), IF(_xll.IMDP("IR", $D39, AQ$8, Matrix!$D$6)=0,"",_xll.IMDP("IR", $D39, AQ$8, Matrix!$D$6)), "")</f>
        <v/>
      </c>
      <c r="AR39" t="str" cm="1">
        <f t="array" aca="1" ref="AR39" ca="1">IF( AND($D$7,NOT(ISBLANK($D39))), IF(_xll.IMDP("IR", $D39, AR$8, Matrix!$D$6)=0,"",_xll.IMDP("IR", $D39, AR$8, Matrix!$D$6)), "")</f>
        <v/>
      </c>
      <c r="AS39" cm="1">
        <f t="array" aca="1" ref="AS39" ca="1">IF( AND($E$7,NOT(ISBLANK($E39))), IF( _xll.IMDP("IR", $E39, AS$8, Matrix!$D$6)=0,"",_xll.IMDP("IR", $E39, AS$8, Matrix!$D$6)), "")</f>
        <v>5.0750000000000002</v>
      </c>
      <c r="AT39" cm="1">
        <f t="array" aca="1" ref="AT39" ca="1">IF( AND($E$7,NOT(ISBLANK($E39))), IF( _xll.IMDP("IR", $E39, AT$8, Matrix!$D$6)=0,"",_xll.IMDP("IR", $E39, AT$8, Matrix!$D$6)), "")</f>
        <v>5.5529999999999999</v>
      </c>
      <c r="AU39" cm="1">
        <f t="array" aca="1" ref="AU39" ca="1">IF( AND($E$7,NOT(ISBLANK($E39))), IF( _xll.IMDP("IR", $E39, AU$8, Matrix!$D$6)=0,"",_xll.IMDP("IR", $E39, AU$8, Matrix!$D$6)), "")</f>
        <v>5.6769999999999996</v>
      </c>
      <c r="AV39" cm="1">
        <f t="array" aca="1" ref="AV39" ca="1">IF( AND($E$7,NOT(ISBLANK($E39))), IF( _xll.IMDP("IR", $E39, AV$8, Matrix!$D$6)=0,"",_xll.IMDP("IR", $E39, AV$8, Matrix!$D$6)), "")</f>
        <v>5.6849999999999996</v>
      </c>
      <c r="AW39" cm="1">
        <f t="array" aca="1" ref="AW39" ca="1">IF( AND($E$7,NOT(ISBLANK($E39))), IF( _xll.IMDP("IR", $E39, AW$8, Matrix!$D$6)=0,"",_xll.IMDP("IR", $E39, AW$8, Matrix!$D$6)), "")</f>
        <v>5.7670000000000003</v>
      </c>
      <c r="AX39" cm="1">
        <f t="array" aca="1" ref="AX39" ca="1">IF( AND($E$7,NOT(ISBLANK($E39))), IF( _xll.IMDP("IR", $E39, AX$8, Matrix!$D$6)=0,"",_xll.IMDP("IR", $E39, AX$8, Matrix!$D$6)), "")</f>
        <v>5.8659999999999997</v>
      </c>
      <c r="AY39" cm="1">
        <f t="array" aca="1" ref="AY39" ca="1">IF( AND($E$7,NOT(ISBLANK($E39))), IF( _xll.IMDP("IR", $E39, AY$8, Matrix!$D$6)=0,"",_xll.IMDP("IR", $E39, AY$8, Matrix!$D$6)), "")</f>
        <v>5.9660000000000002</v>
      </c>
      <c r="AZ39" cm="1">
        <f t="array" aca="1" ref="AZ39" ca="1">IF( AND($E$7,NOT(ISBLANK($E39))), IF( _xll.IMDP("IR", $E39, AZ$8, Matrix!$D$6)=0,"",_xll.IMDP("IR", $E39, AZ$8, Matrix!$D$6)), "")</f>
        <v>6.0469999999999997</v>
      </c>
      <c r="BA39" cm="1">
        <f t="array" aca="1" ref="BA39" ca="1">IF( AND($E$7,NOT(ISBLANK($E39))), IF( _xll.IMDP("IR", $E39, BA$8, Matrix!$D$6)=0,"",_xll.IMDP("IR", $E39, BA$8, Matrix!$D$6)), "")</f>
        <v>6.085</v>
      </c>
      <c r="BB39" cm="1">
        <f t="array" aca="1" ref="BB39" ca="1">IF( AND($E$7,NOT(ISBLANK($E39))), IF( _xll.IMDP("IR", $E39, BB$8, Matrix!$D$6)=0,"",_xll.IMDP("IR", $E39, BB$8, Matrix!$D$6)), "")</f>
        <v>6.117</v>
      </c>
      <c r="BC39" cm="1">
        <f t="array" aca="1" ref="BC39" ca="1">IF( AND($E$7,NOT(ISBLANK($E39))), IF( _xll.IMDP("IR", $E39, BC$8, Matrix!$D$6)=0,"",_xll.IMDP("IR", $E39, BC$8, Matrix!$D$6)), "")</f>
        <v>6.1959999999999997</v>
      </c>
      <c r="BD39" cm="1">
        <f t="array" aca="1" ref="BD39" ca="1">IF( AND($E$7,NOT(ISBLANK($E39))), IF( _xll.IMDP("IR", $E39, BD$8, Matrix!$D$6)=0,"",_xll.IMDP("IR", $E39, BD$8, Matrix!$D$6)), "")</f>
        <v>6.4820000000000002</v>
      </c>
      <c r="BE39" cm="1">
        <f t="array" aca="1" ref="BE39" ca="1">IF( AND($E$7,NOT(ISBLANK($E39))), IF( _xll.IMDP("IR", $E39, BE$8, Matrix!$D$6)=0,"",_xll.IMDP("IR", $E39, BE$8, Matrix!$D$6)), "")</f>
        <v>6.7309999999999999</v>
      </c>
      <c r="BF39" cm="1">
        <f t="array" aca="1" ref="BF39" ca="1">IF( AND($E$7,NOT(ISBLANK($E39))), IF( _xll.IMDP("IR", $E39, BF$8, Matrix!$D$6)=0,"",_xll.IMDP("IR", $E39, BF$8, Matrix!$D$6)), "")</f>
        <v>6.7919999999999998</v>
      </c>
      <c r="BG39" t="str" cm="1">
        <f t="array" aca="1" ref="BG39" ca="1">IF( AND($E$7,NOT(ISBLANK($E39))), IF( _xll.IMDP("IR", $E39, BG$8, Matrix!$D$6)=0,"",_xll.IMDP("IR", $E39, BG$8, Matrix!$D$6)), "")</f>
        <v/>
      </c>
      <c r="BH39" t="str" cm="1">
        <f t="array" aca="1" ref="BH39" ca="1">IF( AND($E$7,NOT(ISBLANK($E39))), IF( _xll.IMDP("IR", $E39, BH$8, Matrix!$D$6)=0,"",_xll.IMDP("IR", $E39, BH$8, Matrix!$D$6)), "")</f>
        <v/>
      </c>
      <c r="BI39" cm="1">
        <f t="array" aca="1" ref="BI39" ca="1">IF( AND($F$7,NOT(ISBLANK($F39))), IF( _xll.IMDP("IR", $F39, BI$8, Matrix!$D$6)=0,"",_xll.IMDP("IR", $F39, BI$8, Matrix!$D$6)), "")</f>
        <v>5.1029999999999998</v>
      </c>
      <c r="BJ39" cm="1">
        <f t="array" aca="1" ref="BJ39" ca="1">IF( AND($F$7,NOT(ISBLANK($F39))), IF( _xll.IMDP("IR", $F39, BJ$8, Matrix!$D$6)=0,"",_xll.IMDP("IR", $F39, BJ$8, Matrix!$D$6)), "")</f>
        <v>5.47</v>
      </c>
      <c r="BK39" cm="1">
        <f t="array" aca="1" ref="BK39" ca="1">IF( AND($F$7,NOT(ISBLANK($F39))), IF( _xll.IMDP("IR", $F39, BK$8, Matrix!$D$6)=0,"",_xll.IMDP("IR", $F39, BK$8, Matrix!$D$6)), "")</f>
        <v>5.633</v>
      </c>
      <c r="BL39" cm="1">
        <f t="array" aca="1" ref="BL39" ca="1">IF( AND($F$7,NOT(ISBLANK($F39))), IF( _xll.IMDP("IR", $F39, BL$8, Matrix!$D$6)=0,"",_xll.IMDP("IR", $F39, BL$8, Matrix!$D$6)), "")</f>
        <v>5.72</v>
      </c>
      <c r="BM39" cm="1">
        <f t="array" aca="1" ref="BM39" ca="1">IF( AND($F$7,NOT(ISBLANK($F39))), IF( _xll.IMDP("IR", $F39, BM$8, Matrix!$D$6)=0,"",_xll.IMDP("IR", $F39, BM$8, Matrix!$D$6)), "")</f>
        <v>5.7839999999999998</v>
      </c>
      <c r="BN39" cm="1">
        <f t="array" aca="1" ref="BN39" ca="1">IF( AND($F$7,NOT(ISBLANK($F39))), IF( _xll.IMDP("IR", $F39, BN$8, Matrix!$D$6)=0,"",_xll.IMDP("IR", $F39, BN$8, Matrix!$D$6)), "")</f>
        <v>5.8789999999999996</v>
      </c>
      <c r="BO39" cm="1">
        <f t="array" aca="1" ref="BO39" ca="1">IF( AND($F$7,NOT(ISBLANK($F39))), IF( _xll.IMDP("IR", $F39, BO$8, Matrix!$D$6)=0,"",_xll.IMDP("IR", $F39, BO$8, Matrix!$D$6)), "")</f>
        <v>5.9589999999999996</v>
      </c>
      <c r="BP39" cm="1">
        <f t="array" aca="1" ref="BP39" ca="1">IF( AND($F$7,NOT(ISBLANK($F39))), IF( _xll.IMDP("IR", $F39, BP$8, Matrix!$D$6)=0,"",_xll.IMDP("IR", $F39, BP$8, Matrix!$D$6)), "")</f>
        <v>6.0590000000000002</v>
      </c>
      <c r="BQ39" cm="1">
        <f t="array" aca="1" ref="BQ39" ca="1">IF( AND($F$7,NOT(ISBLANK($F39))), IF( _xll.IMDP("IR", $F39, BQ$8, Matrix!$D$6)=0,"",_xll.IMDP("IR", $F39, BQ$8, Matrix!$D$6)), "")</f>
        <v>6.1070000000000002</v>
      </c>
      <c r="BR39" cm="1">
        <f t="array" aca="1" ref="BR39" ca="1">IF( AND($F$7,NOT(ISBLANK($F39))), IF( _xll.IMDP("IR", $F39, BR$8, Matrix!$D$6)=0,"",_xll.IMDP("IR", $F39, BR$8, Matrix!$D$6)), "")</f>
        <v>6.181</v>
      </c>
      <c r="BS39" cm="1">
        <f t="array" aca="1" ref="BS39" ca="1">IF( AND($F$7,NOT(ISBLANK($F39))), IF( _xll.IMDP("IR", $F39, BS$8, Matrix!$D$6)=0,"",_xll.IMDP("IR", $F39, BS$8, Matrix!$D$6)), "")</f>
        <v>6.2110000000000003</v>
      </c>
      <c r="BT39" cm="1">
        <f t="array" aca="1" ref="BT39" ca="1">IF( AND($F$7,NOT(ISBLANK($F39))), IF( _xll.IMDP("IR", $F39, BT$8, Matrix!$D$6)=0,"",_xll.IMDP("IR", $F39, BT$8, Matrix!$D$6)), "")</f>
        <v>6.4790000000000001</v>
      </c>
      <c r="BU39" cm="1">
        <f t="array" aca="1" ref="BU39" ca="1">IF( AND($F$7,NOT(ISBLANK($F39))), IF( _xll.IMDP("IR", $F39, BU$8, Matrix!$D$6)=0,"",_xll.IMDP("IR", $F39, BU$8, Matrix!$D$6)), "")</f>
        <v>6.6710000000000003</v>
      </c>
      <c r="BV39" cm="1">
        <f t="array" aca="1" ref="BV39" ca="1">IF( AND($F$7,NOT(ISBLANK($F39))), IF( _xll.IMDP("IR", $F39, BV$8, Matrix!$D$6)=0,"",_xll.IMDP("IR", $F39, BV$8, Matrix!$D$6)), "")</f>
        <v>6.7889999999999997</v>
      </c>
      <c r="BW39" t="str" cm="1">
        <f t="array" aca="1" ref="BW39" ca="1">IF( AND($F$7,NOT(ISBLANK($F39))), IF( _xll.IMDP("IR", $F39, BW$8, Matrix!$D$6)=0,"",_xll.IMDP("IR", $F39, BW$8, Matrix!$D$6)), "")</f>
        <v/>
      </c>
      <c r="BX39" t="str" cm="1">
        <f t="array" aca="1" ref="BX39" ca="1">IF( AND($F$7,NOT(ISBLANK($F39))), IF( _xll.IMDP("IR", $F39, BX$8, Matrix!$D$6)=0,"",_xll.IMDP("IR", $F39, BX$8, Matrix!$D$6)), "")</f>
        <v/>
      </c>
      <c r="BY39" cm="1">
        <f t="array" aca="1" ref="BY39" ca="1">IF( AND($G$7,NOT(ISBLANK($G39))), IF( _xll.IMDP("IR", $G39, BY$8, Matrix!$D$6)=0, "", _xll.IMDP("IR", $G39, BY$8, Matrix!$D$6)), "")</f>
        <v>5.0789999999999997</v>
      </c>
      <c r="BZ39" cm="1">
        <f t="array" aca="1" ref="BZ39" ca="1">IF( AND($G$7,NOT(ISBLANK($G39))), IF( _xll.IMDP("IR", $G39, BZ$8, Matrix!$D$6)=0, "", _xll.IMDP("IR", $G39, BZ$8, Matrix!$D$6)), "")</f>
        <v>5.4989999999999997</v>
      </c>
      <c r="CA39" cm="1">
        <f t="array" aca="1" ref="CA39" ca="1">IF( AND($G$7,NOT(ISBLANK($G39))), IF( _xll.IMDP("IR", $G39, CA$8, Matrix!$D$6)=0, "", _xll.IMDP("IR", $G39, CA$8, Matrix!$D$6)), "")</f>
        <v>5.625</v>
      </c>
      <c r="CB39" cm="1">
        <f t="array" aca="1" ref="CB39" ca="1">IF( AND($G$7,NOT(ISBLANK($G39))), IF( _xll.IMDP("IR", $G39, CB$8, Matrix!$D$6)=0, "", _xll.IMDP("IR", $G39, CB$8, Matrix!$D$6)), "")</f>
        <v>5.6820000000000004</v>
      </c>
      <c r="CC39" cm="1">
        <f t="array" aca="1" ref="CC39" ca="1">IF( AND($G$7,NOT(ISBLANK($G39))), IF( _xll.IMDP("IR", $G39, CC$8, Matrix!$D$6)=0, "", _xll.IMDP("IR", $G39, CC$8, Matrix!$D$6)), "")</f>
        <v>5.7549999999999999</v>
      </c>
      <c r="CD39" cm="1">
        <f t="array" aca="1" ref="CD39" ca="1">IF( AND($G$7,NOT(ISBLANK($G39))), IF( _xll.IMDP("IR", $G39, CD$8, Matrix!$D$6)=0, "", _xll.IMDP("IR", $G39, CD$8, Matrix!$D$6)), "")</f>
        <v>5.8719999999999999</v>
      </c>
      <c r="CE39" cm="1">
        <f t="array" aca="1" ref="CE39" ca="1">IF( AND($G$7,NOT(ISBLANK($G39))), IF( _xll.IMDP("IR", $G39, CE$8, Matrix!$D$6)=0, "", _xll.IMDP("IR", $G39, CE$8, Matrix!$D$6)), "")</f>
        <v>5.9169999999999998</v>
      </c>
      <c r="CF39" cm="1">
        <f t="array" aca="1" ref="CF39" ca="1">IF( AND($G$7,NOT(ISBLANK($G39))), IF( _xll.IMDP("IR", $G39, CF$8, Matrix!$D$6)=0, "", _xll.IMDP("IR", $G39, CF$8, Matrix!$D$6)), "")</f>
        <v>6.0149999999999997</v>
      </c>
      <c r="CG39" cm="1">
        <f t="array" aca="1" ref="CG39" ca="1">IF( AND($G$7,NOT(ISBLANK($G39))), IF( _xll.IMDP("IR", $G39, CG$8, Matrix!$D$6)=0, "", _xll.IMDP("IR", $G39, CG$8, Matrix!$D$6)), "")</f>
        <v>6.0650000000000004</v>
      </c>
      <c r="CH39" cm="1">
        <f t="array" aca="1" ref="CH39" ca="1">IF( AND($G$7,NOT(ISBLANK($G39))), IF( _xll.IMDP("IR", $G39, CH$8, Matrix!$D$6)=0, "", _xll.IMDP("IR", $G39, CH$8, Matrix!$D$6)), "")</f>
        <v>6.1360000000000001</v>
      </c>
      <c r="CI39" cm="1">
        <f t="array" aca="1" ref="CI39" ca="1">IF( AND($G$7,NOT(ISBLANK($G39))), IF( _xll.IMDP("IR", $G39, CI$8, Matrix!$D$6)=0, "", _xll.IMDP("IR", $G39, CI$8, Matrix!$D$6)), "")</f>
        <v>6.2110000000000003</v>
      </c>
      <c r="CJ39" cm="1">
        <f t="array" aca="1" ref="CJ39" ca="1">IF( AND($G$7,NOT(ISBLANK($G39))), IF( _xll.IMDP("IR", $G39, CJ$8, Matrix!$D$6)=0, "", _xll.IMDP("IR", $G39, CJ$8, Matrix!$D$6)), "")</f>
        <v>6.4859999999999998</v>
      </c>
      <c r="CK39" cm="1">
        <f t="array" aca="1" ref="CK39" ca="1">IF( AND($G$7,NOT(ISBLANK($G39))), IF( _xll.IMDP("IR", $G39, CK$8, Matrix!$D$6)=0, "", _xll.IMDP("IR", $G39, CK$8, Matrix!$D$6)), "")</f>
        <v>6.7290000000000001</v>
      </c>
      <c r="CL39" cm="1">
        <f t="array" aca="1" ref="CL39" ca="1">IF( AND($G$7,NOT(ISBLANK($G39))), IF( _xll.IMDP("IR", $G39, CL$8, Matrix!$D$6)=0, "", _xll.IMDP("IR", $G39, CL$8, Matrix!$D$6)), "")</f>
        <v>6.8369999999999997</v>
      </c>
      <c r="CM39" t="str" cm="1">
        <f t="array" aca="1" ref="CM39" ca="1">IF( AND($G$7,NOT(ISBLANK($G39))), IF( _xll.IMDP("IR", $G39, CM$8, Matrix!$D$6)=0, "", _xll.IMDP("IR", $G39, CM$8, Matrix!$D$6)), "")</f>
        <v/>
      </c>
      <c r="CN39" t="str" cm="1">
        <f t="array" aca="1" ref="CN39" ca="1">IF( AND($G$7,NOT(ISBLANK($G39))), IF( _xll.IMDP("IR", $G39, CN$8, Matrix!$D$6)=0, "", _xll.IMDP("IR", $G39, CN$8, Matrix!$D$6)), "")</f>
        <v/>
      </c>
      <c r="CO39" cm="1">
        <f t="array" aca="1" ref="CO39" ca="1">IF( AND($H$7,NOT(ISBLANK($H39))), IF( _xll.IMDP("IR", $H39, CO$8, Matrix!$D$6)=0, "", _xll.IMDP("IR", $H39, CO$8, Matrix!$D$6)), "")</f>
        <v>5.0869999999999997</v>
      </c>
      <c r="CP39" cm="1">
        <f t="array" aca="1" ref="CP39" ca="1">IF( AND($H$7,NOT(ISBLANK($H39))), IF( _xll.IMDP("IR", $H39, CP$8, Matrix!$D$6)=0, "", _xll.IMDP("IR", $H39, CP$8, Matrix!$D$6)), "")</f>
        <v>5.516</v>
      </c>
      <c r="CQ39" cm="1">
        <f t="array" aca="1" ref="CQ39" ca="1">IF( AND($H$7,NOT(ISBLANK($H39))), IF( _xll.IMDP("IR", $H39, CQ$8, Matrix!$D$6)=0, "", _xll.IMDP("IR", $H39, CQ$8, Matrix!$D$6)), "")</f>
        <v>5.641</v>
      </c>
      <c r="CR39" cm="1">
        <f t="array" aca="1" ref="CR39" ca="1">IF( AND($H$7,NOT(ISBLANK($H39))), IF( _xll.IMDP("IR", $H39, CR$8, Matrix!$D$6)=0, "", _xll.IMDP("IR", $H39, CR$8, Matrix!$D$6)), "")</f>
        <v>5.6879999999999997</v>
      </c>
      <c r="CS39" cm="1">
        <f t="array" aca="1" ref="CS39" ca="1">IF( AND($H$7,NOT(ISBLANK($H39))), IF( _xll.IMDP("IR", $H39, CS$8, Matrix!$D$6)=0, "", _xll.IMDP("IR", $H39, CS$8, Matrix!$D$6)), "")</f>
        <v>5.7610000000000001</v>
      </c>
      <c r="CT39" cm="1">
        <f t="array" aca="1" ref="CT39" ca="1">IF( AND($H$7,NOT(ISBLANK($H39))), IF( _xll.IMDP("IR", $H39, CT$8, Matrix!$D$6)=0, "", _xll.IMDP("IR", $H39, CT$8, Matrix!$D$6)), "")</f>
        <v>5.85</v>
      </c>
      <c r="CU39" cm="1">
        <f t="array" aca="1" ref="CU39" ca="1">IF( AND($H$7,NOT(ISBLANK($H39))), IF( _xll.IMDP("IR", $H39, CU$8, Matrix!$D$6)=0, "", _xll.IMDP("IR", $H39, CU$8, Matrix!$D$6)), "")</f>
        <v>5.931</v>
      </c>
      <c r="CV39" cm="1">
        <f t="array" aca="1" ref="CV39" ca="1">IF( AND($H$7,NOT(ISBLANK($H39))), IF( _xll.IMDP("IR", $H39, CV$8, Matrix!$D$6)=0, "", _xll.IMDP("IR", $H39, CV$8, Matrix!$D$6)), "")</f>
        <v>6.0220000000000002</v>
      </c>
      <c r="CW39" cm="1">
        <f t="array" aca="1" ref="CW39" ca="1">IF( AND($H$7,NOT(ISBLANK($H39))), IF( _xll.IMDP("IR", $H39, CW$8, Matrix!$D$6)=0, "", _xll.IMDP("IR", $H39, CW$8, Matrix!$D$6)), "")</f>
        <v>6.0789999999999997</v>
      </c>
      <c r="CX39" cm="1">
        <f t="array" aca="1" ref="CX39" ca="1">IF( AND($H$7,NOT(ISBLANK($H39))), IF( _xll.IMDP("IR", $H39, CX$8, Matrix!$D$6)=0, "", _xll.IMDP("IR", $H39, CX$8, Matrix!$D$6)), "")</f>
        <v>6.1379999999999999</v>
      </c>
      <c r="CY39" cm="1">
        <f t="array" aca="1" ref="CY39" ca="1">IF( AND($H$7,NOT(ISBLANK($H39))), IF( _xll.IMDP("IR", $H39, CY$8, Matrix!$D$6)=0, "", _xll.IMDP("IR", $H39, CY$8, Matrix!$D$6)), "")</f>
        <v>6.2030000000000003</v>
      </c>
      <c r="CZ39" cm="1">
        <f t="array" aca="1" ref="CZ39" ca="1">IF( AND($H$7,NOT(ISBLANK($H39))), IF( _xll.IMDP("IR", $H39, CZ$8, Matrix!$D$6)=0, "", _xll.IMDP("IR", $H39, CZ$8, Matrix!$D$6)), "")</f>
        <v>6.4809999999999999</v>
      </c>
      <c r="DA39" t="str" cm="1">
        <f t="array" aca="1" ref="DA39" ca="1">IF( AND($H$7,NOT(ISBLANK($H39))), IF( _xll.IMDP("IR", $H39, DA$8, Matrix!$D$6)=0, "", _xll.IMDP("IR", $H39, DA$8, Matrix!$D$6)), "")</f>
        <v/>
      </c>
      <c r="DB39" t="str" cm="1">
        <f t="array" aca="1" ref="DB39" ca="1">IF( AND($H$7,NOT(ISBLANK($H39))), IF( _xll.IMDP("IR", $H39, DB$8, Matrix!$D$6)=0, "", _xll.IMDP("IR", $H39, DB$8, Matrix!$D$6)), "")</f>
        <v/>
      </c>
      <c r="DC39" t="str" cm="1">
        <f t="array" aca="1" ref="DC39" ca="1">IF( AND($H$7,NOT(ISBLANK($H39))), IF( _xll.IMDP("IR", $H39, DC$8, Matrix!$D$6)=0, "", _xll.IMDP("IR", $H39, DC$8, Matrix!$D$6)), "")</f>
        <v/>
      </c>
      <c r="DD39" t="str" cm="1">
        <f t="array" aca="1" ref="DD39" ca="1">IF( AND($H$7,NOT(ISBLANK($H39))), IF( _xll.IMDP("IR", $H39, DD$8, Matrix!$D$6)=0, "", _xll.IMDP("IR", $H39, DD$8, Matrix!$D$6)), "")</f>
        <v/>
      </c>
    </row>
    <row r="40" spans="2:108">
      <c r="B40" t="s">
        <v>108</v>
      </c>
      <c r="C40" t="s">
        <v>182</v>
      </c>
      <c r="E40" t="s">
        <v>319</v>
      </c>
      <c r="F40" t="s">
        <v>382</v>
      </c>
      <c r="G40" t="s">
        <v>448</v>
      </c>
      <c r="M40" s="21">
        <f t="shared" ca="1" si="1"/>
        <v>5.9303309539855125</v>
      </c>
      <c r="N40" s="21">
        <f t="shared" ca="1" si="2"/>
        <v>6.5741851576960588</v>
      </c>
      <c r="O40" s="21">
        <f t="shared" ca="1" si="3"/>
        <v>6.829730706576906</v>
      </c>
      <c r="P40" s="21">
        <f t="shared" ca="1" si="4"/>
        <v>6.889951131862281</v>
      </c>
      <c r="Q40" s="21">
        <f t="shared" ca="1" si="5"/>
        <v>6.9659088749381075</v>
      </c>
      <c r="R40" s="21">
        <f t="shared" ca="1" si="6"/>
        <v>7.2536225537755161</v>
      </c>
      <c r="S40" s="21">
        <f t="shared" ca="1" si="7"/>
        <v>7.3596432549805906</v>
      </c>
      <c r="T40" s="21">
        <f t="shared" ca="1" si="8"/>
        <v>7.3953209653989607</v>
      </c>
      <c r="U40" s="21">
        <f t="shared" ca="1" si="9"/>
        <v>7.4036396367018371</v>
      </c>
      <c r="V40" s="21">
        <f t="shared" ca="1" si="10"/>
        <v>7.4542658354941702</v>
      </c>
      <c r="W40" s="21">
        <f t="shared" ca="1" si="11"/>
        <v>7.5056625669421217</v>
      </c>
      <c r="X40" s="21">
        <f t="shared" ca="1" si="12"/>
        <v>7.779957495367646</v>
      </c>
      <c r="Y40" s="21">
        <f t="shared" ca="1" si="13"/>
        <v>8.0489525740424437</v>
      </c>
      <c r="Z40" s="21">
        <f t="shared" ca="1" si="14"/>
        <v>8.2521236806143534</v>
      </c>
      <c r="AA40" s="21" t="e">
        <f t="shared" ca="1" si="15"/>
        <v>#NUM!</v>
      </c>
      <c r="AB40" s="21" t="e">
        <f t="shared" ca="1" si="16"/>
        <v>#NUM!</v>
      </c>
      <c r="AC40" t="str" cm="1">
        <f t="array" ref="AC40">IF( AND($D$7,NOT(ISBLANK($D40))), IF(_xll.IMDP("IR", $D40, AC$8, Matrix!$D$6)=0,"",_xll.IMDP("IR", $D40, AC$8, Matrix!$D$6)), "")</f>
        <v/>
      </c>
      <c r="AD40" t="str" cm="1">
        <f t="array" ref="AD40">IF( AND($D$7,NOT(ISBLANK($D40))), IF(_xll.IMDP("IR", $D40, AD$8, Matrix!$D$6)=0,"",_xll.IMDP("IR", $D40, AD$8, Matrix!$D$6)), "")</f>
        <v/>
      </c>
      <c r="AE40" t="str" cm="1">
        <f t="array" ref="AE40">IF( AND($D$7,NOT(ISBLANK($D40))), IF(_xll.IMDP("IR", $D40, AE$8, Matrix!$D$6)=0,"",_xll.IMDP("IR", $D40, AE$8, Matrix!$D$6)), "")</f>
        <v/>
      </c>
      <c r="AF40" t="str" cm="1">
        <f t="array" ref="AF40">IF( AND($D$7,NOT(ISBLANK($D40))), IF(_xll.IMDP("IR", $D40, AF$8, Matrix!$D$6)=0,"",_xll.IMDP("IR", $D40, AF$8, Matrix!$D$6)), "")</f>
        <v/>
      </c>
      <c r="AG40" t="str" cm="1">
        <f t="array" ref="AG40">IF( AND($D$7,NOT(ISBLANK($D40))), IF(_xll.IMDP("IR", $D40, AG$8, Matrix!$D$6)=0,"",_xll.IMDP("IR", $D40, AG$8, Matrix!$D$6)), "")</f>
        <v/>
      </c>
      <c r="AH40" t="str" cm="1">
        <f t="array" ref="AH40">IF( AND($D$7,NOT(ISBLANK($D40))), IF(_xll.IMDP("IR", $D40, AH$8, Matrix!$D$6)=0,"",_xll.IMDP("IR", $D40, AH$8, Matrix!$D$6)), "")</f>
        <v/>
      </c>
      <c r="AI40" t="str" cm="1">
        <f t="array" ref="AI40">IF( AND($D$7,NOT(ISBLANK($D40))), IF(_xll.IMDP("IR", $D40, AI$8, Matrix!$D$6)=0,"",_xll.IMDP("IR", $D40, AI$8, Matrix!$D$6)), "")</f>
        <v/>
      </c>
      <c r="AJ40" t="str" cm="1">
        <f t="array" ref="AJ40">IF( AND($D$7,NOT(ISBLANK($D40))), IF(_xll.IMDP("IR", $D40, AJ$8, Matrix!$D$6)=0,"",_xll.IMDP("IR", $D40, AJ$8, Matrix!$D$6)), "")</f>
        <v/>
      </c>
      <c r="AK40" t="str" cm="1">
        <f t="array" ref="AK40">IF( AND($D$7,NOT(ISBLANK($D40))), IF(_xll.IMDP("IR", $D40, AK$8, Matrix!$D$6)=0,"",_xll.IMDP("IR", $D40, AK$8, Matrix!$D$6)), "")</f>
        <v/>
      </c>
      <c r="AL40" t="str" cm="1">
        <f t="array" ref="AL40">IF( AND($D$7,NOT(ISBLANK($D40))), IF(_xll.IMDP("IR", $D40, AL$8, Matrix!$D$6)=0,"",_xll.IMDP("IR", $D40, AL$8, Matrix!$D$6)), "")</f>
        <v/>
      </c>
      <c r="AM40" t="str" cm="1">
        <f t="array" ref="AM40">IF( AND($D$7,NOT(ISBLANK($D40))), IF(_xll.IMDP("IR", $D40, AM$8, Matrix!$D$6)=0,"",_xll.IMDP("IR", $D40, AM$8, Matrix!$D$6)), "")</f>
        <v/>
      </c>
      <c r="AN40" t="str" cm="1">
        <f t="array" ref="AN40">IF( AND($D$7,NOT(ISBLANK($D40))), IF(_xll.IMDP("IR", $D40, AN$8, Matrix!$D$6)=0,"",_xll.IMDP("IR", $D40, AN$8, Matrix!$D$6)), "")</f>
        <v/>
      </c>
      <c r="AO40" t="str" cm="1">
        <f t="array" ref="AO40">IF( AND($D$7,NOT(ISBLANK($D40))), IF(_xll.IMDP("IR", $D40, AO$8, Matrix!$D$6)=0,"",_xll.IMDP("IR", $D40, AO$8, Matrix!$D$6)), "")</f>
        <v/>
      </c>
      <c r="AP40" t="str" cm="1">
        <f t="array" ref="AP40">IF( AND($D$7,NOT(ISBLANK($D40))), IF(_xll.IMDP("IR", $D40, AP$8, Matrix!$D$6)=0,"",_xll.IMDP("IR", $D40, AP$8, Matrix!$D$6)), "")</f>
        <v/>
      </c>
      <c r="AQ40" t="str" cm="1">
        <f t="array" ref="AQ40">IF( AND($D$7,NOT(ISBLANK($D40))), IF(_xll.IMDP("IR", $D40, AQ$8, Matrix!$D$6)=0,"",_xll.IMDP("IR", $D40, AQ$8, Matrix!$D$6)), "")</f>
        <v/>
      </c>
      <c r="AR40" t="str" cm="1">
        <f t="array" ref="AR40">IF( AND($D$7,NOT(ISBLANK($D40))), IF(_xll.IMDP("IR", $D40, AR$8, Matrix!$D$6)=0,"",_xll.IMDP("IR", $D40, AR$8, Matrix!$D$6)), "")</f>
        <v/>
      </c>
      <c r="AS40" cm="1">
        <f t="array" aca="1" ref="AS40" ca="1">IF( AND($E$7,NOT(ISBLANK($E40))), IF( _xll.IMDP("IR", $E40, AS$8, Matrix!$D$6)=0,"",_xll.IMDP("IR", $E40, AS$8, Matrix!$D$6)), "")</f>
        <v>5.9370000000000003</v>
      </c>
      <c r="AT40" cm="1">
        <f t="array" aca="1" ref="AT40" ca="1">IF( AND($E$7,NOT(ISBLANK($E40))), IF( _xll.IMDP("IR", $E40, AT$8, Matrix!$D$6)=0,"",_xll.IMDP("IR", $E40, AT$8, Matrix!$D$6)), "")</f>
        <v>6.6349999999999998</v>
      </c>
      <c r="AU40" cm="1">
        <f t="array" aca="1" ref="AU40" ca="1">IF( AND($E$7,NOT(ISBLANK($E40))), IF( _xll.IMDP("IR", $E40, AU$8, Matrix!$D$6)=0,"",_xll.IMDP("IR", $E40, AU$8, Matrix!$D$6)), "")</f>
        <v>6.9080000000000004</v>
      </c>
      <c r="AV40" cm="1">
        <f t="array" aca="1" ref="AV40" ca="1">IF( AND($E$7,NOT(ISBLANK($E40))), IF( _xll.IMDP("IR", $E40, AV$8, Matrix!$D$6)=0,"",_xll.IMDP("IR", $E40, AV$8, Matrix!$D$6)), "")</f>
        <v>6.9169999999999998</v>
      </c>
      <c r="AW40" cm="1">
        <f t="array" aca="1" ref="AW40" ca="1">IF( AND($E$7,NOT(ISBLANK($E40))), IF( _xll.IMDP("IR", $E40, AW$8, Matrix!$D$6)=0,"",_xll.IMDP("IR", $E40, AW$8, Matrix!$D$6)), "")</f>
        <v>6.9960000000000004</v>
      </c>
      <c r="AX40" cm="1">
        <f t="array" aca="1" ref="AX40" ca="1">IF( AND($E$7,NOT(ISBLANK($E40))), IF( _xll.IMDP("IR", $E40, AX$8, Matrix!$D$6)=0,"",_xll.IMDP("IR", $E40, AX$8, Matrix!$D$6)), "")</f>
        <v>7.2889999999999997</v>
      </c>
      <c r="AY40" cm="1">
        <f t="array" aca="1" ref="AY40" ca="1">IF( AND($E$7,NOT(ISBLANK($E40))), IF( _xll.IMDP("IR", $E40, AY$8, Matrix!$D$6)=0,"",_xll.IMDP("IR", $E40, AY$8, Matrix!$D$6)), "")</f>
        <v>7.3849999999999998</v>
      </c>
      <c r="AZ40" cm="1">
        <f t="array" aca="1" ref="AZ40" ca="1">IF( AND($E$7,NOT(ISBLANK($E40))), IF( _xll.IMDP("IR", $E40, AZ$8, Matrix!$D$6)=0,"",_xll.IMDP("IR", $E40, AZ$8, Matrix!$D$6)), "")</f>
        <v>7.4109999999999996</v>
      </c>
      <c r="BA40" cm="1">
        <f t="array" aca="1" ref="BA40" ca="1">IF( AND($E$7,NOT(ISBLANK($E40))), IF( _xll.IMDP("IR", $E40, BA$8, Matrix!$D$6)=0,"",_xll.IMDP("IR", $E40, BA$8, Matrix!$D$6)), "")</f>
        <v>7.4039999999999999</v>
      </c>
      <c r="BB40" cm="1">
        <f t="array" aca="1" ref="BB40" ca="1">IF( AND($E$7,NOT(ISBLANK($E40))), IF( _xll.IMDP("IR", $E40, BB$8, Matrix!$D$6)=0,"",_xll.IMDP("IR", $E40, BB$8, Matrix!$D$6)), "")</f>
        <v>7.4359999999999999</v>
      </c>
      <c r="BC40" cm="1">
        <f t="array" aca="1" ref="BC40" ca="1">IF( AND($E$7,NOT(ISBLANK($E40))), IF( _xll.IMDP("IR", $E40, BC$8, Matrix!$D$6)=0,"",_xll.IMDP("IR", $E40, BC$8, Matrix!$D$6)), "")</f>
        <v>7.5039999999999996</v>
      </c>
      <c r="BD40" cm="1">
        <f t="array" aca="1" ref="BD40" ca="1">IF( AND($E$7,NOT(ISBLANK($E40))), IF( _xll.IMDP("IR", $E40, BD$8, Matrix!$D$6)=0,"",_xll.IMDP("IR", $E40, BD$8, Matrix!$D$6)), "")</f>
        <v>7.7450000000000001</v>
      </c>
      <c r="BE40" cm="1">
        <f t="array" aca="1" ref="BE40" ca="1">IF( AND($E$7,NOT(ISBLANK($E40))), IF( _xll.IMDP("IR", $E40, BE$8, Matrix!$D$6)=0,"",_xll.IMDP("IR", $E40, BE$8, Matrix!$D$6)), "")</f>
        <v>8.032</v>
      </c>
      <c r="BF40" cm="1">
        <f t="array" aca="1" ref="BF40" ca="1">IF( AND($E$7,NOT(ISBLANK($E40))), IF( _xll.IMDP("IR", $E40, BF$8, Matrix!$D$6)=0,"",_xll.IMDP("IR", $E40, BF$8, Matrix!$D$6)), "")</f>
        <v>8.1820000000000004</v>
      </c>
      <c r="BG40" t="str" cm="1">
        <f t="array" aca="1" ref="BG40" ca="1">IF( AND($E$7,NOT(ISBLANK($E40))), IF( _xll.IMDP("IR", $E40, BG$8, Matrix!$D$6)=0,"",_xll.IMDP("IR", $E40, BG$8, Matrix!$D$6)), "")</f>
        <v/>
      </c>
      <c r="BH40" t="str" cm="1">
        <f t="array" aca="1" ref="BH40" ca="1">IF( AND($E$7,NOT(ISBLANK($E40))), IF( _xll.IMDP("IR", $E40, BH$8, Matrix!$D$6)=0,"",_xll.IMDP("IR", $E40, BH$8, Matrix!$D$6)), "")</f>
        <v/>
      </c>
      <c r="BI40" cm="1">
        <f t="array" aca="1" ref="BI40" ca="1">IF( AND($F$7,NOT(ISBLANK($F40))), IF( _xll.IMDP("IR", $F40, BI$8, Matrix!$D$6)=0,"",_xll.IMDP("IR", $F40, BI$8, Matrix!$D$6)), "")</f>
        <v>5.93</v>
      </c>
      <c r="BJ40" cm="1">
        <f t="array" aca="1" ref="BJ40" ca="1">IF( AND($F$7,NOT(ISBLANK($F40))), IF( _xll.IMDP("IR", $F40, BJ$8, Matrix!$D$6)=0,"",_xll.IMDP("IR", $F40, BJ$8, Matrix!$D$6)), "")</f>
        <v>6.5309999999999997</v>
      </c>
      <c r="BK40" cm="1">
        <f t="array" aca="1" ref="BK40" ca="1">IF( AND($F$7,NOT(ISBLANK($F40))), IF( _xll.IMDP("IR", $F40, BK$8, Matrix!$D$6)=0,"",_xll.IMDP("IR", $F40, BK$8, Matrix!$D$6)), "")</f>
        <v>6.76</v>
      </c>
      <c r="BL40" cm="1">
        <f t="array" aca="1" ref="BL40" ca="1">IF( AND($F$7,NOT(ISBLANK($F40))), IF( _xll.IMDP("IR", $F40, BL$8, Matrix!$D$6)=0,"",_xll.IMDP("IR", $F40, BL$8, Matrix!$D$6)), "")</f>
        <v>6.8550000000000004</v>
      </c>
      <c r="BM40" cm="1">
        <f t="array" aca="1" ref="BM40" ca="1">IF( AND($F$7,NOT(ISBLANK($F40))), IF( _xll.IMDP("IR", $F40, BM$8, Matrix!$D$6)=0,"",_xll.IMDP("IR", $F40, BM$8, Matrix!$D$6)), "")</f>
        <v>6.9160000000000004</v>
      </c>
      <c r="BN40" cm="1">
        <f t="array" aca="1" ref="BN40" ca="1">IF( AND($F$7,NOT(ISBLANK($F40))), IF( _xll.IMDP("IR", $F40, BN$8, Matrix!$D$6)=0,"",_xll.IMDP("IR", $F40, BN$8, Matrix!$D$6)), "")</f>
        <v>7.2309999999999999</v>
      </c>
      <c r="BO40" cm="1">
        <f t="array" aca="1" ref="BO40" ca="1">IF( AND($F$7,NOT(ISBLANK($F40))), IF( _xll.IMDP("IR", $F40, BO$8, Matrix!$D$6)=0,"",_xll.IMDP("IR", $F40, BO$8, Matrix!$D$6)), "")</f>
        <v>7.3410000000000002</v>
      </c>
      <c r="BP40" cm="1">
        <f t="array" aca="1" ref="BP40" ca="1">IF( AND($F$7,NOT(ISBLANK($F40))), IF( _xll.IMDP("IR", $F40, BP$8, Matrix!$D$6)=0,"",_xll.IMDP("IR", $F40, BP$8, Matrix!$D$6)), "")</f>
        <v>7.3970000000000002</v>
      </c>
      <c r="BQ40" cm="1">
        <f t="array" aca="1" ref="BQ40" ca="1">IF( AND($F$7,NOT(ISBLANK($F40))), IF( _xll.IMDP("IR", $F40, BQ$8, Matrix!$D$6)=0,"",_xll.IMDP("IR", $F40, BQ$8, Matrix!$D$6)), "")</f>
        <v>7.4279999999999999</v>
      </c>
      <c r="BR40" cm="1">
        <f t="array" aca="1" ref="BR40" ca="1">IF( AND($F$7,NOT(ISBLANK($F40))), IF( _xll.IMDP("IR", $F40, BR$8, Matrix!$D$6)=0,"",_xll.IMDP("IR", $F40, BR$8, Matrix!$D$6)), "")</f>
        <v>7.4989999999999997</v>
      </c>
      <c r="BS40" cm="1">
        <f t="array" aca="1" ref="BS40" ca="1">IF( AND($F$7,NOT(ISBLANK($F40))), IF( _xll.IMDP("IR", $F40, BS$8, Matrix!$D$6)=0,"",_xll.IMDP("IR", $F40, BS$8, Matrix!$D$6)), "")</f>
        <v>7.516</v>
      </c>
      <c r="BT40" cm="1">
        <f t="array" aca="1" ref="BT40" ca="1">IF( AND($F$7,NOT(ISBLANK($F40))), IF( _xll.IMDP("IR", $F40, BT$8, Matrix!$D$6)=0,"",_xll.IMDP("IR", $F40, BT$8, Matrix!$D$6)), "")</f>
        <v>7.7889999999999997</v>
      </c>
      <c r="BU40" cm="1">
        <f t="array" aca="1" ref="BU40" ca="1">IF( AND($F$7,NOT(ISBLANK($F40))), IF( _xll.IMDP("IR", $F40, BU$8, Matrix!$D$6)=0,"",_xll.IMDP("IR", $F40, BU$8, Matrix!$D$6)), "")</f>
        <v>8.0269999999999992</v>
      </c>
      <c r="BV40" cm="1">
        <f t="array" aca="1" ref="BV40" ca="1">IF( AND($F$7,NOT(ISBLANK($F40))), IF( _xll.IMDP("IR", $F40, BV$8, Matrix!$D$6)=0,"",_xll.IMDP("IR", $F40, BV$8, Matrix!$D$6)), "")</f>
        <v>8.2490000000000006</v>
      </c>
      <c r="BW40" t="str" cm="1">
        <f t="array" aca="1" ref="BW40" ca="1">IF( AND($F$7,NOT(ISBLANK($F40))), IF( _xll.IMDP("IR", $F40, BW$8, Matrix!$D$6)=0,"",_xll.IMDP("IR", $F40, BW$8, Matrix!$D$6)), "")</f>
        <v/>
      </c>
      <c r="BX40" t="str" cm="1">
        <f t="array" aca="1" ref="BX40" ca="1">IF( AND($F$7,NOT(ISBLANK($F40))), IF( _xll.IMDP("IR", $F40, BX$8, Matrix!$D$6)=0,"",_xll.IMDP("IR", $F40, BX$8, Matrix!$D$6)), "")</f>
        <v/>
      </c>
      <c r="BY40" cm="1">
        <f t="array" aca="1" ref="BY40" ca="1">IF( AND($G$7,NOT(ISBLANK($G40))), IF( _xll.IMDP("IR", $G40, BY$8, Matrix!$D$6)=0, "", _xll.IMDP("IR", $G40, BY$8, Matrix!$D$6)), "")</f>
        <v>5.9240000000000004</v>
      </c>
      <c r="BZ40" cm="1">
        <f t="array" aca="1" ref="BZ40" ca="1">IF( AND($G$7,NOT(ISBLANK($G40))), IF( _xll.IMDP("IR", $G40, BZ$8, Matrix!$D$6)=0, "", _xll.IMDP("IR", $G40, BZ$8, Matrix!$D$6)), "")</f>
        <v>6.5570000000000004</v>
      </c>
      <c r="CA40" cm="1">
        <f t="array" aca="1" ref="CA40" ca="1">IF( AND($G$7,NOT(ISBLANK($G40))), IF( _xll.IMDP("IR", $G40, CA$8, Matrix!$D$6)=0, "", _xll.IMDP("IR", $G40, CA$8, Matrix!$D$6)), "")</f>
        <v>6.8220000000000001</v>
      </c>
      <c r="CB40" cm="1">
        <f t="array" aca="1" ref="CB40" ca="1">IF( AND($G$7,NOT(ISBLANK($G40))), IF( _xll.IMDP("IR", $G40, CB$8, Matrix!$D$6)=0, "", _xll.IMDP("IR", $G40, CB$8, Matrix!$D$6)), "")</f>
        <v>6.8979999999999997</v>
      </c>
      <c r="CC40" cm="1">
        <f t="array" aca="1" ref="CC40" ca="1">IF( AND($G$7,NOT(ISBLANK($G40))), IF( _xll.IMDP("IR", $G40, CC$8, Matrix!$D$6)=0, "", _xll.IMDP("IR", $G40, CC$8, Matrix!$D$6)), "")</f>
        <v>6.9859999999999998</v>
      </c>
      <c r="CD40" cm="1">
        <f t="array" aca="1" ref="CD40" ca="1">IF( AND($G$7,NOT(ISBLANK($G40))), IF( _xll.IMDP("IR", $G40, CD$8, Matrix!$D$6)=0, "", _xll.IMDP("IR", $G40, CD$8, Matrix!$D$6)), "")</f>
        <v>7.2409999999999997</v>
      </c>
      <c r="CE40" cm="1">
        <f t="array" aca="1" ref="CE40" ca="1">IF( AND($G$7,NOT(ISBLANK($G40))), IF( _xll.IMDP("IR", $G40, CE$8, Matrix!$D$6)=0, "", _xll.IMDP("IR", $G40, CE$8, Matrix!$D$6)), "")</f>
        <v>7.3529999999999998</v>
      </c>
      <c r="CF40" cm="1">
        <f t="array" aca="1" ref="CF40" ca="1">IF( AND($G$7,NOT(ISBLANK($G40))), IF( _xll.IMDP("IR", $G40, CF$8, Matrix!$D$6)=0, "", _xll.IMDP("IR", $G40, CF$8, Matrix!$D$6)), "")</f>
        <v>7.3780000000000001</v>
      </c>
      <c r="CG40" cm="1">
        <f t="array" aca="1" ref="CG40" ca="1">IF( AND($G$7,NOT(ISBLANK($G40))), IF( _xll.IMDP("IR", $G40, CG$8, Matrix!$D$6)=0, "", _xll.IMDP("IR", $G40, CG$8, Matrix!$D$6)), "")</f>
        <v>7.3789999999999996</v>
      </c>
      <c r="CH40" cm="1">
        <f t="array" aca="1" ref="CH40" ca="1">IF( AND($G$7,NOT(ISBLANK($G40))), IF( _xll.IMDP("IR", $G40, CH$8, Matrix!$D$6)=0, "", _xll.IMDP("IR", $G40, CH$8, Matrix!$D$6)), "")</f>
        <v>7.4279999999999999</v>
      </c>
      <c r="CI40" cm="1">
        <f t="array" aca="1" ref="CI40" ca="1">IF( AND($G$7,NOT(ISBLANK($G40))), IF( _xll.IMDP("IR", $G40, CI$8, Matrix!$D$6)=0, "", _xll.IMDP("IR", $G40, CI$8, Matrix!$D$6)), "")</f>
        <v>7.4969999999999999</v>
      </c>
      <c r="CJ40" cm="1">
        <f t="array" aca="1" ref="CJ40" ca="1">IF( AND($G$7,NOT(ISBLANK($G40))), IF( _xll.IMDP("IR", $G40, CJ$8, Matrix!$D$6)=0, "", _xll.IMDP("IR", $G40, CJ$8, Matrix!$D$6)), "")</f>
        <v>7.806</v>
      </c>
      <c r="CK40" cm="1">
        <f t="array" aca="1" ref="CK40" ca="1">IF( AND($G$7,NOT(ISBLANK($G40))), IF( _xll.IMDP("IR", $G40, CK$8, Matrix!$D$6)=0, "", _xll.IMDP("IR", $G40, CK$8, Matrix!$D$6)), "")</f>
        <v>8.0879999999999992</v>
      </c>
      <c r="CL40" cm="1">
        <f t="array" aca="1" ref="CL40" ca="1">IF( AND($G$7,NOT(ISBLANK($G40))), IF( _xll.IMDP("IR", $G40, CL$8, Matrix!$D$6)=0, "", _xll.IMDP("IR", $G40, CL$8, Matrix!$D$6)), "")</f>
        <v>8.3260000000000005</v>
      </c>
      <c r="CM40" t="str" cm="1">
        <f t="array" aca="1" ref="CM40" ca="1">IF( AND($G$7,NOT(ISBLANK($G40))), IF( _xll.IMDP("IR", $G40, CM$8, Matrix!$D$6)=0, "", _xll.IMDP("IR", $G40, CM$8, Matrix!$D$6)), "")</f>
        <v/>
      </c>
      <c r="CN40" t="str" cm="1">
        <f t="array" aca="1" ref="CN40" ca="1">IF( AND($G$7,NOT(ISBLANK($G40))), IF( _xll.IMDP("IR", $G40, CN$8, Matrix!$D$6)=0, "", _xll.IMDP("IR", $G40, CN$8, Matrix!$D$6)), "")</f>
        <v/>
      </c>
      <c r="CO40" t="str" cm="1">
        <f t="array" ref="CO40">IF( AND($H$7,NOT(ISBLANK($H40))), IF( _xll.IMDP("IR", $H40, CO$8, Matrix!$D$6)=0, "", _xll.IMDP("IR", $H40, CO$8, Matrix!$D$6)), "")</f>
        <v/>
      </c>
      <c r="CP40" t="str" cm="1">
        <f t="array" ref="CP40">IF( AND($H$7,NOT(ISBLANK($H40))), IF( _xll.IMDP("IR", $H40, CP$8, Matrix!$D$6)=0, "", _xll.IMDP("IR", $H40, CP$8, Matrix!$D$6)), "")</f>
        <v/>
      </c>
      <c r="CQ40" t="str" cm="1">
        <f t="array" ref="CQ40">IF( AND($H$7,NOT(ISBLANK($H40))), IF( _xll.IMDP("IR", $H40, CQ$8, Matrix!$D$6)=0, "", _xll.IMDP("IR", $H40, CQ$8, Matrix!$D$6)), "")</f>
        <v/>
      </c>
      <c r="CR40" t="str" cm="1">
        <f t="array" ref="CR40">IF( AND($H$7,NOT(ISBLANK($H40))), IF( _xll.IMDP("IR", $H40, CR$8, Matrix!$D$6)=0, "", _xll.IMDP("IR", $H40, CR$8, Matrix!$D$6)), "")</f>
        <v/>
      </c>
      <c r="CS40" t="str" cm="1">
        <f t="array" ref="CS40">IF( AND($H$7,NOT(ISBLANK($H40))), IF( _xll.IMDP("IR", $H40, CS$8, Matrix!$D$6)=0, "", _xll.IMDP("IR", $H40, CS$8, Matrix!$D$6)), "")</f>
        <v/>
      </c>
      <c r="CT40" t="str" cm="1">
        <f t="array" ref="CT40">IF( AND($H$7,NOT(ISBLANK($H40))), IF( _xll.IMDP("IR", $H40, CT$8, Matrix!$D$6)=0, "", _xll.IMDP("IR", $H40, CT$8, Matrix!$D$6)), "")</f>
        <v/>
      </c>
      <c r="CU40" t="str" cm="1">
        <f t="array" ref="CU40">IF( AND($H$7,NOT(ISBLANK($H40))), IF( _xll.IMDP("IR", $H40, CU$8, Matrix!$D$6)=0, "", _xll.IMDP("IR", $H40, CU$8, Matrix!$D$6)), "")</f>
        <v/>
      </c>
      <c r="CV40" t="str" cm="1">
        <f t="array" ref="CV40">IF( AND($H$7,NOT(ISBLANK($H40))), IF( _xll.IMDP("IR", $H40, CV$8, Matrix!$D$6)=0, "", _xll.IMDP("IR", $H40, CV$8, Matrix!$D$6)), "")</f>
        <v/>
      </c>
      <c r="CW40" t="str" cm="1">
        <f t="array" ref="CW40">IF( AND($H$7,NOT(ISBLANK($H40))), IF( _xll.IMDP("IR", $H40, CW$8, Matrix!$D$6)=0, "", _xll.IMDP("IR", $H40, CW$8, Matrix!$D$6)), "")</f>
        <v/>
      </c>
      <c r="CX40" t="str" cm="1">
        <f t="array" ref="CX40">IF( AND($H$7,NOT(ISBLANK($H40))), IF( _xll.IMDP("IR", $H40, CX$8, Matrix!$D$6)=0, "", _xll.IMDP("IR", $H40, CX$8, Matrix!$D$6)), "")</f>
        <v/>
      </c>
      <c r="CY40" t="str" cm="1">
        <f t="array" ref="CY40">IF( AND($H$7,NOT(ISBLANK($H40))), IF( _xll.IMDP("IR", $H40, CY$8, Matrix!$D$6)=0, "", _xll.IMDP("IR", $H40, CY$8, Matrix!$D$6)), "")</f>
        <v/>
      </c>
      <c r="CZ40" t="str" cm="1">
        <f t="array" ref="CZ40">IF( AND($H$7,NOT(ISBLANK($H40))), IF( _xll.IMDP("IR", $H40, CZ$8, Matrix!$D$6)=0, "", _xll.IMDP("IR", $H40, CZ$8, Matrix!$D$6)), "")</f>
        <v/>
      </c>
      <c r="DA40" t="str" cm="1">
        <f t="array" ref="DA40">IF( AND($H$7,NOT(ISBLANK($H40))), IF( _xll.IMDP("IR", $H40, DA$8, Matrix!$D$6)=0, "", _xll.IMDP("IR", $H40, DA$8, Matrix!$D$6)), "")</f>
        <v/>
      </c>
      <c r="DB40" t="str" cm="1">
        <f t="array" ref="DB40">IF( AND($H$7,NOT(ISBLANK($H40))), IF( _xll.IMDP("IR", $H40, DB$8, Matrix!$D$6)=0, "", _xll.IMDP("IR", $H40, DB$8, Matrix!$D$6)), "")</f>
        <v/>
      </c>
      <c r="DC40" t="str" cm="1">
        <f t="array" ref="DC40">IF( AND($H$7,NOT(ISBLANK($H40))), IF( _xll.IMDP("IR", $H40, DC$8, Matrix!$D$6)=0, "", _xll.IMDP("IR", $H40, DC$8, Matrix!$D$6)), "")</f>
        <v/>
      </c>
      <c r="DD40" t="str" cm="1">
        <f t="array" ref="DD40">IF( AND($H$7,NOT(ISBLANK($H40))), IF( _xll.IMDP("IR", $H40, DD$8, Matrix!$D$6)=0, "", _xll.IMDP("IR", $H40, DD$8, Matrix!$D$6)), "")</f>
        <v/>
      </c>
    </row>
    <row r="41" spans="2:108">
      <c r="B41" t="s">
        <v>109</v>
      </c>
      <c r="C41" t="s">
        <v>183</v>
      </c>
      <c r="E41" t="s">
        <v>320</v>
      </c>
      <c r="F41" t="s">
        <v>383</v>
      </c>
      <c r="G41" t="s">
        <v>449</v>
      </c>
      <c r="H41" t="s">
        <v>506</v>
      </c>
      <c r="M41" s="21">
        <f t="shared" ca="1" si="1"/>
        <v>6.566976172219162</v>
      </c>
      <c r="N41" s="21">
        <f t="shared" ca="1" si="2"/>
        <v>7.279576017533417</v>
      </c>
      <c r="O41" s="21">
        <f t="shared" ca="1" si="3"/>
        <v>7.5509713571478292</v>
      </c>
      <c r="P41" s="21">
        <f t="shared" ca="1" si="4"/>
        <v>7.6752242789700222</v>
      </c>
      <c r="Q41" s="21">
        <f t="shared" ca="1" si="5"/>
        <v>7.7542141785075511</v>
      </c>
      <c r="R41" s="21">
        <f t="shared" ca="1" si="6"/>
        <v>8.0859080210944736</v>
      </c>
      <c r="S41" s="21">
        <f t="shared" ca="1" si="7"/>
        <v>8.2551793684210111</v>
      </c>
      <c r="T41" s="21">
        <f t="shared" ca="1" si="8"/>
        <v>8.304476221305352</v>
      </c>
      <c r="U41" s="21">
        <f t="shared" ca="1" si="9"/>
        <v>8.3389978119621144</v>
      </c>
      <c r="V41" s="21">
        <f t="shared" ca="1" si="10"/>
        <v>8.4802393577254058</v>
      </c>
      <c r="W41" s="21">
        <f t="shared" ca="1" si="11"/>
        <v>8.604931416757621</v>
      </c>
      <c r="X41" s="21">
        <f t="shared" ca="1" si="12"/>
        <v>9.0881659378824953</v>
      </c>
      <c r="Y41" s="21">
        <f t="shared" ca="1" si="13"/>
        <v>9.4515651524765314</v>
      </c>
      <c r="Z41" s="21">
        <f t="shared" ca="1" si="14"/>
        <v>9.7779170830046258</v>
      </c>
      <c r="AA41" s="21" t="e">
        <f t="shared" ca="1" si="15"/>
        <v>#NUM!</v>
      </c>
      <c r="AB41" s="21" t="e">
        <f t="shared" ca="1" si="16"/>
        <v>#NUM!</v>
      </c>
      <c r="AC41" t="str" cm="1">
        <f t="array" ref="AC41">IF( AND($D$7,NOT(ISBLANK($D41))), IF(_xll.IMDP("IR", $D41, AC$8, Matrix!$D$6)=0,"",_xll.IMDP("IR", $D41, AC$8, Matrix!$D$6)), "")</f>
        <v/>
      </c>
      <c r="AD41" t="str" cm="1">
        <f t="array" ref="AD41">IF( AND($D$7,NOT(ISBLANK($D41))), IF(_xll.IMDP("IR", $D41, AD$8, Matrix!$D$6)=0,"",_xll.IMDP("IR", $D41, AD$8, Matrix!$D$6)), "")</f>
        <v/>
      </c>
      <c r="AE41" t="str" cm="1">
        <f t="array" ref="AE41">IF( AND($D$7,NOT(ISBLANK($D41))), IF(_xll.IMDP("IR", $D41, AE$8, Matrix!$D$6)=0,"",_xll.IMDP("IR", $D41, AE$8, Matrix!$D$6)), "")</f>
        <v/>
      </c>
      <c r="AF41" t="str" cm="1">
        <f t="array" ref="AF41">IF( AND($D$7,NOT(ISBLANK($D41))), IF(_xll.IMDP("IR", $D41, AF$8, Matrix!$D$6)=0,"",_xll.IMDP("IR", $D41, AF$8, Matrix!$D$6)), "")</f>
        <v/>
      </c>
      <c r="AG41" t="str" cm="1">
        <f t="array" ref="AG41">IF( AND($D$7,NOT(ISBLANK($D41))), IF(_xll.IMDP("IR", $D41, AG$8, Matrix!$D$6)=0,"",_xll.IMDP("IR", $D41, AG$8, Matrix!$D$6)), "")</f>
        <v/>
      </c>
      <c r="AH41" t="str" cm="1">
        <f t="array" ref="AH41">IF( AND($D$7,NOT(ISBLANK($D41))), IF(_xll.IMDP("IR", $D41, AH$8, Matrix!$D$6)=0,"",_xll.IMDP("IR", $D41, AH$8, Matrix!$D$6)), "")</f>
        <v/>
      </c>
      <c r="AI41" t="str" cm="1">
        <f t="array" ref="AI41">IF( AND($D$7,NOT(ISBLANK($D41))), IF(_xll.IMDP("IR", $D41, AI$8, Matrix!$D$6)=0,"",_xll.IMDP("IR", $D41, AI$8, Matrix!$D$6)), "")</f>
        <v/>
      </c>
      <c r="AJ41" t="str" cm="1">
        <f t="array" ref="AJ41">IF( AND($D$7,NOT(ISBLANK($D41))), IF(_xll.IMDP("IR", $D41, AJ$8, Matrix!$D$6)=0,"",_xll.IMDP("IR", $D41, AJ$8, Matrix!$D$6)), "")</f>
        <v/>
      </c>
      <c r="AK41" t="str" cm="1">
        <f t="array" ref="AK41">IF( AND($D$7,NOT(ISBLANK($D41))), IF(_xll.IMDP("IR", $D41, AK$8, Matrix!$D$6)=0,"",_xll.IMDP("IR", $D41, AK$8, Matrix!$D$6)), "")</f>
        <v/>
      </c>
      <c r="AL41" t="str" cm="1">
        <f t="array" ref="AL41">IF( AND($D$7,NOT(ISBLANK($D41))), IF(_xll.IMDP("IR", $D41, AL$8, Matrix!$D$6)=0,"",_xll.IMDP("IR", $D41, AL$8, Matrix!$D$6)), "")</f>
        <v/>
      </c>
      <c r="AM41" t="str" cm="1">
        <f t="array" ref="AM41">IF( AND($D$7,NOT(ISBLANK($D41))), IF(_xll.IMDP("IR", $D41, AM$8, Matrix!$D$6)=0,"",_xll.IMDP("IR", $D41, AM$8, Matrix!$D$6)), "")</f>
        <v/>
      </c>
      <c r="AN41" t="str" cm="1">
        <f t="array" ref="AN41">IF( AND($D$7,NOT(ISBLANK($D41))), IF(_xll.IMDP("IR", $D41, AN$8, Matrix!$D$6)=0,"",_xll.IMDP("IR", $D41, AN$8, Matrix!$D$6)), "")</f>
        <v/>
      </c>
      <c r="AO41" t="str" cm="1">
        <f t="array" ref="AO41">IF( AND($D$7,NOT(ISBLANK($D41))), IF(_xll.IMDP("IR", $D41, AO$8, Matrix!$D$6)=0,"",_xll.IMDP("IR", $D41, AO$8, Matrix!$D$6)), "")</f>
        <v/>
      </c>
      <c r="AP41" t="str" cm="1">
        <f t="array" ref="AP41">IF( AND($D$7,NOT(ISBLANK($D41))), IF(_xll.IMDP("IR", $D41, AP$8, Matrix!$D$6)=0,"",_xll.IMDP("IR", $D41, AP$8, Matrix!$D$6)), "")</f>
        <v/>
      </c>
      <c r="AQ41" t="str" cm="1">
        <f t="array" ref="AQ41">IF( AND($D$7,NOT(ISBLANK($D41))), IF(_xll.IMDP("IR", $D41, AQ$8, Matrix!$D$6)=0,"",_xll.IMDP("IR", $D41, AQ$8, Matrix!$D$6)), "")</f>
        <v/>
      </c>
      <c r="AR41" t="str" cm="1">
        <f t="array" ref="AR41">IF( AND($D$7,NOT(ISBLANK($D41))), IF(_xll.IMDP("IR", $D41, AR$8, Matrix!$D$6)=0,"",_xll.IMDP("IR", $D41, AR$8, Matrix!$D$6)), "")</f>
        <v/>
      </c>
      <c r="AS41" cm="1">
        <f t="array" aca="1" ref="AS41" ca="1">IF( AND($E$7,NOT(ISBLANK($E41))), IF( _xll.IMDP("IR", $E41, AS$8, Matrix!$D$6)=0,"",_xll.IMDP("IR", $E41, AS$8, Matrix!$D$6)), "")</f>
        <v>6.585</v>
      </c>
      <c r="AT41" cm="1">
        <f t="array" aca="1" ref="AT41" ca="1">IF( AND($E$7,NOT(ISBLANK($E41))), IF( _xll.IMDP("IR", $E41, AT$8, Matrix!$D$6)=0,"",_xll.IMDP("IR", $E41, AT$8, Matrix!$D$6)), "")</f>
        <v>7.3650000000000002</v>
      </c>
      <c r="AU41" cm="1">
        <f t="array" aca="1" ref="AU41" ca="1">IF( AND($E$7,NOT(ISBLANK($E41))), IF( _xll.IMDP("IR", $E41, AU$8, Matrix!$D$6)=0,"",_xll.IMDP("IR", $E41, AU$8, Matrix!$D$6)), "")</f>
        <v>7.6559999999999997</v>
      </c>
      <c r="AV41" cm="1">
        <f t="array" aca="1" ref="AV41" ca="1">IF( AND($E$7,NOT(ISBLANK($E41))), IF( _xll.IMDP("IR", $E41, AV$8, Matrix!$D$6)=0,"",_xll.IMDP("IR", $E41, AV$8, Matrix!$D$6)), "")</f>
        <v>7.7</v>
      </c>
      <c r="AW41" cm="1">
        <f t="array" aca="1" ref="AW41" ca="1">IF( AND($E$7,NOT(ISBLANK($E41))), IF( _xll.IMDP("IR", $E41, AW$8, Matrix!$D$6)=0,"",_xll.IMDP("IR", $E41, AW$8, Matrix!$D$6)), "")</f>
        <v>7.7850000000000001</v>
      </c>
      <c r="AX41" cm="1">
        <f t="array" aca="1" ref="AX41" ca="1">IF( AND($E$7,NOT(ISBLANK($E41))), IF( _xll.IMDP("IR", $E41, AX$8, Matrix!$D$6)=0,"",_xll.IMDP("IR", $E41, AX$8, Matrix!$D$6)), "")</f>
        <v>8.1519999999999992</v>
      </c>
      <c r="AY41" cm="1">
        <f t="array" aca="1" ref="AY41" ca="1">IF( AND($E$7,NOT(ISBLANK($E41))), IF( _xll.IMDP("IR", $E41, AY$8, Matrix!$D$6)=0,"",_xll.IMDP("IR", $E41, AY$8, Matrix!$D$6)), "")</f>
        <v>8.3089999999999993</v>
      </c>
      <c r="AZ41" cm="1">
        <f t="array" aca="1" ref="AZ41" ca="1">IF( AND($E$7,NOT(ISBLANK($E41))), IF( _xll.IMDP("IR", $E41, AZ$8, Matrix!$D$6)=0,"",_xll.IMDP("IR", $E41, AZ$8, Matrix!$D$6)), "")</f>
        <v>8.3350000000000009</v>
      </c>
      <c r="BA41" cm="1">
        <f t="array" aca="1" ref="BA41" ca="1">IF( AND($E$7,NOT(ISBLANK($E41))), IF( _xll.IMDP("IR", $E41, BA$8, Matrix!$D$6)=0,"",_xll.IMDP("IR", $E41, BA$8, Matrix!$D$6)), "")</f>
        <v>8.3339999999999996</v>
      </c>
      <c r="BB41" cm="1">
        <f t="array" aca="1" ref="BB41" ca="1">IF( AND($E$7,NOT(ISBLANK($E41))), IF( _xll.IMDP("IR", $E41, BB$8, Matrix!$D$6)=0,"",_xll.IMDP("IR", $E41, BB$8, Matrix!$D$6)), "")</f>
        <v>8.4749999999999996</v>
      </c>
      <c r="BC41" cm="1">
        <f t="array" aca="1" ref="BC41" ca="1">IF( AND($E$7,NOT(ISBLANK($E41))), IF( _xll.IMDP("IR", $E41, BC$8, Matrix!$D$6)=0,"",_xll.IMDP("IR", $E41, BC$8, Matrix!$D$6)), "")</f>
        <v>8.548</v>
      </c>
      <c r="BD41" cm="1">
        <f t="array" aca="1" ref="BD41" ca="1">IF( AND($E$7,NOT(ISBLANK($E41))), IF( _xll.IMDP("IR", $E41, BD$8, Matrix!$D$6)=0,"",_xll.IMDP("IR", $E41, BD$8, Matrix!$D$6)), "")</f>
        <v>9.0269999999999992</v>
      </c>
      <c r="BE41" cm="1">
        <f t="array" aca="1" ref="BE41" ca="1">IF( AND($E$7,NOT(ISBLANK($E41))), IF( _xll.IMDP("IR", $E41, BE$8, Matrix!$D$6)=0,"",_xll.IMDP("IR", $E41, BE$8, Matrix!$D$6)), "")</f>
        <v>9.39</v>
      </c>
      <c r="BF41" cm="1">
        <f t="array" aca="1" ref="BF41" ca="1">IF( AND($E$7,NOT(ISBLANK($E41))), IF( _xll.IMDP("IR", $E41, BF$8, Matrix!$D$6)=0,"",_xll.IMDP("IR", $E41, BF$8, Matrix!$D$6)), "")</f>
        <v>9.75</v>
      </c>
      <c r="BG41" t="str" cm="1">
        <f t="array" aca="1" ref="BG41" ca="1">IF( AND($E$7,NOT(ISBLANK($E41))), IF( _xll.IMDP("IR", $E41, BG$8, Matrix!$D$6)=0,"",_xll.IMDP("IR", $E41, BG$8, Matrix!$D$6)), "")</f>
        <v/>
      </c>
      <c r="BH41" t="str" cm="1">
        <f t="array" aca="1" ref="BH41" ca="1">IF( AND($E$7,NOT(ISBLANK($E41))), IF( _xll.IMDP("IR", $E41, BH$8, Matrix!$D$6)=0,"",_xll.IMDP("IR", $E41, BH$8, Matrix!$D$6)), "")</f>
        <v/>
      </c>
      <c r="BI41" cm="1">
        <f t="array" aca="1" ref="BI41" ca="1">IF( AND($F$7,NOT(ISBLANK($F41))), IF( _xll.IMDP("IR", $F41, BI$8, Matrix!$D$6)=0,"",_xll.IMDP("IR", $F41, BI$8, Matrix!$D$6)), "")</f>
        <v>6.5759999999999996</v>
      </c>
      <c r="BJ41" cm="1">
        <f t="array" aca="1" ref="BJ41" ca="1">IF( AND($F$7,NOT(ISBLANK($F41))), IF( _xll.IMDP("IR", $F41, BJ$8, Matrix!$D$6)=0,"",_xll.IMDP("IR", $F41, BJ$8, Matrix!$D$6)), "")</f>
        <v>7.2489999999999997</v>
      </c>
      <c r="BK41" cm="1">
        <f t="array" aca="1" ref="BK41" ca="1">IF( AND($F$7,NOT(ISBLANK($F41))), IF( _xll.IMDP("IR", $F41, BK$8, Matrix!$D$6)=0,"",_xll.IMDP("IR", $F41, BK$8, Matrix!$D$6)), "")</f>
        <v>7.4930000000000003</v>
      </c>
      <c r="BL41" cm="1">
        <f t="array" aca="1" ref="BL41" ca="1">IF( AND($F$7,NOT(ISBLANK($F41))), IF( _xll.IMDP("IR", $F41, BL$8, Matrix!$D$6)=0,"",_xll.IMDP("IR", $F41, BL$8, Matrix!$D$6)), "")</f>
        <v>7.6680000000000001</v>
      </c>
      <c r="BM41" cm="1">
        <f t="array" aca="1" ref="BM41" ca="1">IF( AND($F$7,NOT(ISBLANK($F41))), IF( _xll.IMDP("IR", $F41, BM$8, Matrix!$D$6)=0,"",_xll.IMDP("IR", $F41, BM$8, Matrix!$D$6)), "")</f>
        <v>7.7279999999999998</v>
      </c>
      <c r="BN41" cm="1">
        <f t="array" aca="1" ref="BN41" ca="1">IF( AND($F$7,NOT(ISBLANK($F41))), IF( _xll.IMDP("IR", $F41, BN$8, Matrix!$D$6)=0,"",_xll.IMDP("IR", $F41, BN$8, Matrix!$D$6)), "")</f>
        <v>8.0640000000000001</v>
      </c>
      <c r="BO41" cm="1">
        <f t="array" aca="1" ref="BO41" ca="1">IF( AND($F$7,NOT(ISBLANK($F41))), IF( _xll.IMDP("IR", $F41, BO$8, Matrix!$D$6)=0,"",_xll.IMDP("IR", $F41, BO$8, Matrix!$D$6)), "")</f>
        <v>8.2210000000000001</v>
      </c>
      <c r="BP41" cm="1">
        <f t="array" aca="1" ref="BP41" ca="1">IF( AND($F$7,NOT(ISBLANK($F41))), IF( _xll.IMDP("IR", $F41, BP$8, Matrix!$D$6)=0,"",_xll.IMDP("IR", $F41, BP$8, Matrix!$D$6)), "")</f>
        <v>8.282</v>
      </c>
      <c r="BQ41" cm="1">
        <f t="array" aca="1" ref="BQ41" ca="1">IF( AND($F$7,NOT(ISBLANK($F41))), IF( _xll.IMDP("IR", $F41, BQ$8, Matrix!$D$6)=0,"",_xll.IMDP("IR", $F41, BQ$8, Matrix!$D$6)), "")</f>
        <v>8.3480000000000008</v>
      </c>
      <c r="BR41" cm="1">
        <f t="array" aca="1" ref="BR41" ca="1">IF( AND($F$7,NOT(ISBLANK($F41))), IF( _xll.IMDP("IR", $F41, BR$8, Matrix!$D$6)=0,"",_xll.IMDP("IR", $F41, BR$8, Matrix!$D$6)), "")</f>
        <v>8.5030000000000001</v>
      </c>
      <c r="BS41" cm="1">
        <f t="array" aca="1" ref="BS41" ca="1">IF( AND($F$7,NOT(ISBLANK($F41))), IF( _xll.IMDP("IR", $F41, BS$8, Matrix!$D$6)=0,"",_xll.IMDP("IR", $F41, BS$8, Matrix!$D$6)), "")</f>
        <v>8.609</v>
      </c>
      <c r="BT41" cm="1">
        <f t="array" aca="1" ref="BT41" ca="1">IF( AND($F$7,NOT(ISBLANK($F41))), IF( _xll.IMDP("IR", $F41, BT$8, Matrix!$D$6)=0,"",_xll.IMDP("IR", $F41, BT$8, Matrix!$D$6)), "")</f>
        <v>9.0820000000000007</v>
      </c>
      <c r="BU41" cm="1">
        <f t="array" aca="1" ref="BU41" ca="1">IF( AND($F$7,NOT(ISBLANK($F41))), IF( _xll.IMDP("IR", $F41, BU$8, Matrix!$D$6)=0,"",_xll.IMDP("IR", $F41, BU$8, Matrix!$D$6)), "")</f>
        <v>9.4870000000000001</v>
      </c>
      <c r="BV41" cm="1">
        <f t="array" aca="1" ref="BV41" ca="1">IF( AND($F$7,NOT(ISBLANK($F41))), IF( _xll.IMDP("IR", $F41, BV$8, Matrix!$D$6)=0,"",_xll.IMDP("IR", $F41, BV$8, Matrix!$D$6)), "")</f>
        <v>9.7490000000000006</v>
      </c>
      <c r="BW41" t="str" cm="1">
        <f t="array" aca="1" ref="BW41" ca="1">IF( AND($F$7,NOT(ISBLANK($F41))), IF( _xll.IMDP("IR", $F41, BW$8, Matrix!$D$6)=0,"",_xll.IMDP("IR", $F41, BW$8, Matrix!$D$6)), "")</f>
        <v/>
      </c>
      <c r="BX41" t="str" cm="1">
        <f t="array" aca="1" ref="BX41" ca="1">IF( AND($F$7,NOT(ISBLANK($F41))), IF( _xll.IMDP("IR", $F41, BX$8, Matrix!$D$6)=0,"",_xll.IMDP("IR", $F41, BX$8, Matrix!$D$6)), "")</f>
        <v/>
      </c>
      <c r="BY41" cm="1">
        <f t="array" aca="1" ref="BY41" ca="1">IF( AND($G$7,NOT(ISBLANK($G41))), IF( _xll.IMDP("IR", $G41, BY$8, Matrix!$D$6)=0, "", _xll.IMDP("IR", $G41, BY$8, Matrix!$D$6)), "")</f>
        <v>6.569</v>
      </c>
      <c r="BZ41" cm="1">
        <f t="array" aca="1" ref="BZ41" ca="1">IF( AND($G$7,NOT(ISBLANK($G41))), IF( _xll.IMDP("IR", $G41, BZ$8, Matrix!$D$6)=0, "", _xll.IMDP("IR", $G41, BZ$8, Matrix!$D$6)), "")</f>
        <v>7.2679999999999998</v>
      </c>
      <c r="CA41" cm="1">
        <f t="array" aca="1" ref="CA41" ca="1">IF( AND($G$7,NOT(ISBLANK($G41))), IF( _xll.IMDP("IR", $G41, CA$8, Matrix!$D$6)=0, "", _xll.IMDP("IR", $G41, CA$8, Matrix!$D$6)), "")</f>
        <v>7.5549999999999997</v>
      </c>
      <c r="CB41" cm="1">
        <f t="array" aca="1" ref="CB41" ca="1">IF( AND($G$7,NOT(ISBLANK($G41))), IF( _xll.IMDP("IR", $G41, CB$8, Matrix!$D$6)=0, "", _xll.IMDP("IR", $G41, CB$8, Matrix!$D$6)), "")</f>
        <v>7.6859999999999999</v>
      </c>
      <c r="CC41" cm="1">
        <f t="array" aca="1" ref="CC41" ca="1">IF( AND($G$7,NOT(ISBLANK($G41))), IF( _xll.IMDP("IR", $G41, CC$8, Matrix!$D$6)=0, "", _xll.IMDP("IR", $G41, CC$8, Matrix!$D$6)), "")</f>
        <v>7.7690000000000001</v>
      </c>
      <c r="CD41" cm="1">
        <f t="array" aca="1" ref="CD41" ca="1">IF( AND($G$7,NOT(ISBLANK($G41))), IF( _xll.IMDP("IR", $G41, CD$8, Matrix!$D$6)=0, "", _xll.IMDP("IR", $G41, CD$8, Matrix!$D$6)), "")</f>
        <v>8.0730000000000004</v>
      </c>
      <c r="CE41" cm="1">
        <f t="array" aca="1" ref="CE41" ca="1">IF( AND($G$7,NOT(ISBLANK($G41))), IF( _xll.IMDP("IR", $G41, CE$8, Matrix!$D$6)=0, "", _xll.IMDP("IR", $G41, CE$8, Matrix!$D$6)), "")</f>
        <v>8.26</v>
      </c>
      <c r="CF41" cm="1">
        <f t="array" aca="1" ref="CF41" ca="1">IF( AND($G$7,NOT(ISBLANK($G41))), IF( _xll.IMDP("IR", $G41, CF$8, Matrix!$D$6)=0, "", _xll.IMDP("IR", $G41, CF$8, Matrix!$D$6)), "")</f>
        <v>8.3079999999999998</v>
      </c>
      <c r="CG41" cm="1">
        <f t="array" aca="1" ref="CG41" ca="1">IF( AND($G$7,NOT(ISBLANK($G41))), IF( _xll.IMDP("IR", $G41, CG$8, Matrix!$D$6)=0, "", _xll.IMDP("IR", $G41, CG$8, Matrix!$D$6)), "")</f>
        <v>8.3409999999999993</v>
      </c>
      <c r="CH41" cm="1">
        <f t="array" aca="1" ref="CH41" ca="1">IF( AND($G$7,NOT(ISBLANK($G41))), IF( _xll.IMDP("IR", $G41, CH$8, Matrix!$D$6)=0, "", _xll.IMDP("IR", $G41, CH$8, Matrix!$D$6)), "")</f>
        <v>8.468</v>
      </c>
      <c r="CI41" cm="1">
        <f t="array" aca="1" ref="CI41" ca="1">IF( AND($G$7,NOT(ISBLANK($G41))), IF( _xll.IMDP("IR", $G41, CI$8, Matrix!$D$6)=0, "", _xll.IMDP("IR", $G41, CI$8, Matrix!$D$6)), "")</f>
        <v>8.6270000000000007</v>
      </c>
      <c r="CJ41" cm="1">
        <f t="array" aca="1" ref="CJ41" ca="1">IF( AND($G$7,NOT(ISBLANK($G41))), IF( _xll.IMDP("IR", $G41, CJ$8, Matrix!$D$6)=0, "", _xll.IMDP("IR", $G41, CJ$8, Matrix!$D$6)), "")</f>
        <v>9.1259999999999994</v>
      </c>
      <c r="CK41" cm="1">
        <f t="array" aca="1" ref="CK41" ca="1">IF( AND($G$7,NOT(ISBLANK($G41))), IF( _xll.IMDP("IR", $G41, CK$8, Matrix!$D$6)=0, "", _xll.IMDP("IR", $G41, CK$8, Matrix!$D$6)), "")</f>
        <v>9.4779999999999998</v>
      </c>
      <c r="CL41" cm="1">
        <f t="array" aca="1" ref="CL41" ca="1">IF( AND($G$7,NOT(ISBLANK($G41))), IF( _xll.IMDP("IR", $G41, CL$8, Matrix!$D$6)=0, "", _xll.IMDP("IR", $G41, CL$8, Matrix!$D$6)), "")</f>
        <v>9.8350000000000009</v>
      </c>
      <c r="CM41" t="str" cm="1">
        <f t="array" aca="1" ref="CM41" ca="1">IF( AND($G$7,NOT(ISBLANK($G41))), IF( _xll.IMDP("IR", $G41, CM$8, Matrix!$D$6)=0, "", _xll.IMDP("IR", $G41, CM$8, Matrix!$D$6)), "")</f>
        <v/>
      </c>
      <c r="CN41" t="str" cm="1">
        <f t="array" aca="1" ref="CN41" ca="1">IF( AND($G$7,NOT(ISBLANK($G41))), IF( _xll.IMDP("IR", $G41, CN$8, Matrix!$D$6)=0, "", _xll.IMDP("IR", $G41, CN$8, Matrix!$D$6)), "")</f>
        <v/>
      </c>
      <c r="CO41" cm="1">
        <f t="array" aca="1" ref="CO41" ca="1">IF( AND($H$7,NOT(ISBLANK($H41))), IF( _xll.IMDP("IR", $H41, CO$8, Matrix!$D$6)=0, "", _xll.IMDP("IR", $H41, CO$8, Matrix!$D$6)), "")</f>
        <v>6.5380000000000003</v>
      </c>
      <c r="CP41" cm="1">
        <f t="array" aca="1" ref="CP41" ca="1">IF( AND($H$7,NOT(ISBLANK($H41))), IF( _xll.IMDP("IR", $H41, CP$8, Matrix!$D$6)=0, "", _xll.IMDP("IR", $H41, CP$8, Matrix!$D$6)), "")</f>
        <v>7.2370000000000001</v>
      </c>
      <c r="CQ41" cm="1">
        <f t="array" aca="1" ref="CQ41" ca="1">IF( AND($H$7,NOT(ISBLANK($H41))), IF( _xll.IMDP("IR", $H41, CQ$8, Matrix!$D$6)=0, "", _xll.IMDP("IR", $H41, CQ$8, Matrix!$D$6)), "")</f>
        <v>7.5010000000000003</v>
      </c>
      <c r="CR41" cm="1">
        <f t="array" aca="1" ref="CR41" ca="1">IF( AND($H$7,NOT(ISBLANK($H41))), IF( _xll.IMDP("IR", $H41, CR$8, Matrix!$D$6)=0, "", _xll.IMDP("IR", $H41, CR$8, Matrix!$D$6)), "")</f>
        <v>7.6470000000000002</v>
      </c>
      <c r="CS41" cm="1">
        <f t="array" aca="1" ref="CS41" ca="1">IF( AND($H$7,NOT(ISBLANK($H41))), IF( _xll.IMDP("IR", $H41, CS$8, Matrix!$D$6)=0, "", _xll.IMDP("IR", $H41, CS$8, Matrix!$D$6)), "")</f>
        <v>7.7350000000000003</v>
      </c>
      <c r="CT41" cm="1">
        <f t="array" aca="1" ref="CT41" ca="1">IF( AND($H$7,NOT(ISBLANK($H41))), IF( _xll.IMDP("IR", $H41, CT$8, Matrix!$D$6)=0, "", _xll.IMDP("IR", $H41, CT$8, Matrix!$D$6)), "")</f>
        <v>8.0549999999999997</v>
      </c>
      <c r="CU41" cm="1">
        <f t="array" aca="1" ref="CU41" ca="1">IF( AND($H$7,NOT(ISBLANK($H41))), IF( _xll.IMDP("IR", $H41, CU$8, Matrix!$D$6)=0, "", _xll.IMDP("IR", $H41, CU$8, Matrix!$D$6)), "")</f>
        <v>8.2309999999999999</v>
      </c>
      <c r="CV41" cm="1">
        <f t="array" aca="1" ref="CV41" ca="1">IF( AND($H$7,NOT(ISBLANK($H41))), IF( _xll.IMDP("IR", $H41, CV$8, Matrix!$D$6)=0, "", _xll.IMDP("IR", $H41, CV$8, Matrix!$D$6)), "")</f>
        <v>8.2929999999999993</v>
      </c>
      <c r="CW41" cm="1">
        <f t="array" aca="1" ref="CW41" ca="1">IF( AND($H$7,NOT(ISBLANK($H41))), IF( _xll.IMDP("IR", $H41, CW$8, Matrix!$D$6)=0, "", _xll.IMDP("IR", $H41, CW$8, Matrix!$D$6)), "")</f>
        <v>8.3330000000000002</v>
      </c>
      <c r="CX41" cm="1">
        <f t="array" aca="1" ref="CX41" ca="1">IF( AND($H$7,NOT(ISBLANK($H41))), IF( _xll.IMDP("IR", $H41, CX$8, Matrix!$D$6)=0, "", _xll.IMDP("IR", $H41, CX$8, Matrix!$D$6)), "")</f>
        <v>8.4749999999999996</v>
      </c>
      <c r="CY41" cm="1">
        <f t="array" aca="1" ref="CY41" ca="1">IF( AND($H$7,NOT(ISBLANK($H41))), IF( _xll.IMDP("IR", $H41, CY$8, Matrix!$D$6)=0, "", _xll.IMDP("IR", $H41, CY$8, Matrix!$D$6)), "")</f>
        <v>8.6359999999999992</v>
      </c>
      <c r="CZ41" cm="1">
        <f t="array" aca="1" ref="CZ41" ca="1">IF( AND($H$7,NOT(ISBLANK($H41))), IF( _xll.IMDP("IR", $H41, CZ$8, Matrix!$D$6)=0, "", _xll.IMDP("IR", $H41, CZ$8, Matrix!$D$6)), "")</f>
        <v>9.1180000000000003</v>
      </c>
      <c r="DA41" t="str" cm="1">
        <f t="array" aca="1" ref="DA41" ca="1">IF( AND($H$7,NOT(ISBLANK($H41))), IF( _xll.IMDP("IR", $H41, DA$8, Matrix!$D$6)=0, "", _xll.IMDP("IR", $H41, DA$8, Matrix!$D$6)), "")</f>
        <v/>
      </c>
      <c r="DB41" t="str" cm="1">
        <f t="array" aca="1" ref="DB41" ca="1">IF( AND($H$7,NOT(ISBLANK($H41))), IF( _xll.IMDP("IR", $H41, DB$8, Matrix!$D$6)=0, "", _xll.IMDP("IR", $H41, DB$8, Matrix!$D$6)), "")</f>
        <v/>
      </c>
      <c r="DC41" t="str" cm="1">
        <f t="array" aca="1" ref="DC41" ca="1">IF( AND($H$7,NOT(ISBLANK($H41))), IF( _xll.IMDP("IR", $H41, DC$8, Matrix!$D$6)=0, "", _xll.IMDP("IR", $H41, DC$8, Matrix!$D$6)), "")</f>
        <v/>
      </c>
      <c r="DD41" t="str" cm="1">
        <f t="array" aca="1" ref="DD41" ca="1">IF( AND($H$7,NOT(ISBLANK($H41))), IF( _xll.IMDP("IR", $H41, DD$8, Matrix!$D$6)=0, "", _xll.IMDP("IR", $H41, DD$8, Matrix!$D$6)), "")</f>
        <v/>
      </c>
    </row>
    <row r="42" spans="2:108">
      <c r="B42" t="s">
        <v>110</v>
      </c>
      <c r="C42" t="s">
        <v>184</v>
      </c>
      <c r="E42" t="s">
        <v>321</v>
      </c>
      <c r="F42" t="s">
        <v>384</v>
      </c>
      <c r="G42" t="s">
        <v>450</v>
      </c>
      <c r="M42" s="21">
        <f t="shared" ca="1" si="1"/>
        <v>7.9217950272111963</v>
      </c>
      <c r="N42" s="21">
        <f t="shared" ca="1" si="2"/>
        <v>8.6325230075249753</v>
      </c>
      <c r="O42" s="21">
        <f t="shared" ca="1" si="3"/>
        <v>8.9407277292981977</v>
      </c>
      <c r="P42" s="21">
        <f t="shared" ca="1" si="4"/>
        <v>9.0109679683115793</v>
      </c>
      <c r="Q42" s="21">
        <f t="shared" ca="1" si="5"/>
        <v>9.0922688957929605</v>
      </c>
      <c r="R42" s="21">
        <f t="shared" ca="1" si="6"/>
        <v>9.4635506934041906</v>
      </c>
      <c r="S42" s="21">
        <f t="shared" ca="1" si="7"/>
        <v>9.6422469001347793</v>
      </c>
      <c r="T42" s="21">
        <f t="shared" ca="1" si="8"/>
        <v>9.6915835643258461</v>
      </c>
      <c r="U42" s="21">
        <f t="shared" ca="1" si="9"/>
        <v>9.7366496600792605</v>
      </c>
      <c r="V42" s="21">
        <f t="shared" ca="1" si="10"/>
        <v>9.9228498278582666</v>
      </c>
      <c r="W42" s="21">
        <f t="shared" ca="1" si="11"/>
        <v>10.039996116607758</v>
      </c>
      <c r="X42" s="21">
        <f t="shared" ca="1" si="12"/>
        <v>10.438316703255751</v>
      </c>
      <c r="Y42" s="21">
        <f t="shared" ca="1" si="13"/>
        <v>10.785283315670746</v>
      </c>
      <c r="Z42" s="21">
        <f t="shared" ca="1" si="14"/>
        <v>11.080980831294713</v>
      </c>
      <c r="AA42" s="21" t="e">
        <f t="shared" ca="1" si="15"/>
        <v>#NUM!</v>
      </c>
      <c r="AB42" s="21" t="e">
        <f t="shared" ca="1" si="16"/>
        <v>#NUM!</v>
      </c>
      <c r="AC42" t="str" cm="1">
        <f t="array" ref="AC42">IF( AND($D$7,NOT(ISBLANK($D42))), IF(_xll.IMDP("IR", $D42, AC$8, Matrix!$D$6)=0,"",_xll.IMDP("IR", $D42, AC$8, Matrix!$D$6)), "")</f>
        <v/>
      </c>
      <c r="AD42" t="str" cm="1">
        <f t="array" ref="AD42">IF( AND($D$7,NOT(ISBLANK($D42))), IF(_xll.IMDP("IR", $D42, AD$8, Matrix!$D$6)=0,"",_xll.IMDP("IR", $D42, AD$8, Matrix!$D$6)), "")</f>
        <v/>
      </c>
      <c r="AE42" t="str" cm="1">
        <f t="array" ref="AE42">IF( AND($D$7,NOT(ISBLANK($D42))), IF(_xll.IMDP("IR", $D42, AE$8, Matrix!$D$6)=0,"",_xll.IMDP("IR", $D42, AE$8, Matrix!$D$6)), "")</f>
        <v/>
      </c>
      <c r="AF42" t="str" cm="1">
        <f t="array" ref="AF42">IF( AND($D$7,NOT(ISBLANK($D42))), IF(_xll.IMDP("IR", $D42, AF$8, Matrix!$D$6)=0,"",_xll.IMDP("IR", $D42, AF$8, Matrix!$D$6)), "")</f>
        <v/>
      </c>
      <c r="AG42" t="str" cm="1">
        <f t="array" ref="AG42">IF( AND($D$7,NOT(ISBLANK($D42))), IF(_xll.IMDP("IR", $D42, AG$8, Matrix!$D$6)=0,"",_xll.IMDP("IR", $D42, AG$8, Matrix!$D$6)), "")</f>
        <v/>
      </c>
      <c r="AH42" t="str" cm="1">
        <f t="array" ref="AH42">IF( AND($D$7,NOT(ISBLANK($D42))), IF(_xll.IMDP("IR", $D42, AH$8, Matrix!$D$6)=0,"",_xll.IMDP("IR", $D42, AH$8, Matrix!$D$6)), "")</f>
        <v/>
      </c>
      <c r="AI42" t="str" cm="1">
        <f t="array" ref="AI42">IF( AND($D$7,NOT(ISBLANK($D42))), IF(_xll.IMDP("IR", $D42, AI$8, Matrix!$D$6)=0,"",_xll.IMDP("IR", $D42, AI$8, Matrix!$D$6)), "")</f>
        <v/>
      </c>
      <c r="AJ42" t="str" cm="1">
        <f t="array" ref="AJ42">IF( AND($D$7,NOT(ISBLANK($D42))), IF(_xll.IMDP("IR", $D42, AJ$8, Matrix!$D$6)=0,"",_xll.IMDP("IR", $D42, AJ$8, Matrix!$D$6)), "")</f>
        <v/>
      </c>
      <c r="AK42" t="str" cm="1">
        <f t="array" ref="AK42">IF( AND($D$7,NOT(ISBLANK($D42))), IF(_xll.IMDP("IR", $D42, AK$8, Matrix!$D$6)=0,"",_xll.IMDP("IR", $D42, AK$8, Matrix!$D$6)), "")</f>
        <v/>
      </c>
      <c r="AL42" t="str" cm="1">
        <f t="array" ref="AL42">IF( AND($D$7,NOT(ISBLANK($D42))), IF(_xll.IMDP("IR", $D42, AL$8, Matrix!$D$6)=0,"",_xll.IMDP("IR", $D42, AL$8, Matrix!$D$6)), "")</f>
        <v/>
      </c>
      <c r="AM42" t="str" cm="1">
        <f t="array" ref="AM42">IF( AND($D$7,NOT(ISBLANK($D42))), IF(_xll.IMDP("IR", $D42, AM$8, Matrix!$D$6)=0,"",_xll.IMDP("IR", $D42, AM$8, Matrix!$D$6)), "")</f>
        <v/>
      </c>
      <c r="AN42" t="str" cm="1">
        <f t="array" ref="AN42">IF( AND($D$7,NOT(ISBLANK($D42))), IF(_xll.IMDP("IR", $D42, AN$8, Matrix!$D$6)=0,"",_xll.IMDP("IR", $D42, AN$8, Matrix!$D$6)), "")</f>
        <v/>
      </c>
      <c r="AO42" t="str" cm="1">
        <f t="array" ref="AO42">IF( AND($D$7,NOT(ISBLANK($D42))), IF(_xll.IMDP("IR", $D42, AO$8, Matrix!$D$6)=0,"",_xll.IMDP("IR", $D42, AO$8, Matrix!$D$6)), "")</f>
        <v/>
      </c>
      <c r="AP42" t="str" cm="1">
        <f t="array" ref="AP42">IF( AND($D$7,NOT(ISBLANK($D42))), IF(_xll.IMDP("IR", $D42, AP$8, Matrix!$D$6)=0,"",_xll.IMDP("IR", $D42, AP$8, Matrix!$D$6)), "")</f>
        <v/>
      </c>
      <c r="AQ42" t="str" cm="1">
        <f t="array" ref="AQ42">IF( AND($D$7,NOT(ISBLANK($D42))), IF(_xll.IMDP("IR", $D42, AQ$8, Matrix!$D$6)=0,"",_xll.IMDP("IR", $D42, AQ$8, Matrix!$D$6)), "")</f>
        <v/>
      </c>
      <c r="AR42" t="str" cm="1">
        <f t="array" ref="AR42">IF( AND($D$7,NOT(ISBLANK($D42))), IF(_xll.IMDP("IR", $D42, AR$8, Matrix!$D$6)=0,"",_xll.IMDP("IR", $D42, AR$8, Matrix!$D$6)), "")</f>
        <v/>
      </c>
      <c r="AS42" cm="1">
        <f t="array" aca="1" ref="AS42" ca="1">IF( AND($E$7,NOT(ISBLANK($E42))), IF( _xll.IMDP("IR", $E42, AS$8, Matrix!$D$6)=0,"",_xll.IMDP("IR", $E42, AS$8, Matrix!$D$6)), "")</f>
        <v>7.9880000000000004</v>
      </c>
      <c r="AT42" cm="1">
        <f t="array" aca="1" ref="AT42" ca="1">IF( AND($E$7,NOT(ISBLANK($E42))), IF( _xll.IMDP("IR", $E42, AT$8, Matrix!$D$6)=0,"",_xll.IMDP("IR", $E42, AT$8, Matrix!$D$6)), "")</f>
        <v>8.7029999999999994</v>
      </c>
      <c r="AU42" cm="1">
        <f t="array" aca="1" ref="AU42" ca="1">IF( AND($E$7,NOT(ISBLANK($E42))), IF( _xll.IMDP("IR", $E42, AU$8, Matrix!$D$6)=0,"",_xll.IMDP("IR", $E42, AU$8, Matrix!$D$6)), "")</f>
        <v>9.0359999999999996</v>
      </c>
      <c r="AV42" cm="1">
        <f t="array" aca="1" ref="AV42" ca="1">IF( AND($E$7,NOT(ISBLANK($E42))), IF( _xll.IMDP("IR", $E42, AV$8, Matrix!$D$6)=0,"",_xll.IMDP("IR", $E42, AV$8, Matrix!$D$6)), "")</f>
        <v>9.0449999999999999</v>
      </c>
      <c r="AW42" cm="1">
        <f t="array" aca="1" ref="AW42" ca="1">IF( AND($E$7,NOT(ISBLANK($E42))), IF( _xll.IMDP("IR", $E42, AW$8, Matrix!$D$6)=0,"",_xll.IMDP("IR", $E42, AW$8, Matrix!$D$6)), "")</f>
        <v>9.14</v>
      </c>
      <c r="AX42" cm="1">
        <f t="array" aca="1" ref="AX42" ca="1">IF( AND($E$7,NOT(ISBLANK($E42))), IF( _xll.IMDP("IR", $E42, AX$8, Matrix!$D$6)=0,"",_xll.IMDP("IR", $E42, AX$8, Matrix!$D$6)), "")</f>
        <v>9.5269999999999992</v>
      </c>
      <c r="AY42" cm="1">
        <f t="array" aca="1" ref="AY42" ca="1">IF( AND($E$7,NOT(ISBLANK($E42))), IF( _xll.IMDP("IR", $E42, AY$8, Matrix!$D$6)=0,"",_xll.IMDP("IR", $E42, AY$8, Matrix!$D$6)), "")</f>
        <v>9.6959999999999997</v>
      </c>
      <c r="AZ42" cm="1">
        <f t="array" aca="1" ref="AZ42" ca="1">IF( AND($E$7,NOT(ISBLANK($E42))), IF( _xll.IMDP("IR", $E42, AZ$8, Matrix!$D$6)=0,"",_xll.IMDP("IR", $E42, AZ$8, Matrix!$D$6)), "")</f>
        <v>9.7430000000000003</v>
      </c>
      <c r="BA42" cm="1">
        <f t="array" aca="1" ref="BA42" ca="1">IF( AND($E$7,NOT(ISBLANK($E42))), IF( _xll.IMDP("IR", $E42, BA$8, Matrix!$D$6)=0,"",_xll.IMDP("IR", $E42, BA$8, Matrix!$D$6)), "")</f>
        <v>9.7479999999999993</v>
      </c>
      <c r="BB42" cm="1">
        <f t="array" aca="1" ref="BB42" ca="1">IF( AND($E$7,NOT(ISBLANK($E42))), IF( _xll.IMDP("IR", $E42, BB$8, Matrix!$D$6)=0,"",_xll.IMDP("IR", $E42, BB$8, Matrix!$D$6)), "")</f>
        <v>9.9580000000000002</v>
      </c>
      <c r="BC42" cm="1">
        <f t="array" aca="1" ref="BC42" ca="1">IF( AND($E$7,NOT(ISBLANK($E42))), IF( _xll.IMDP("IR", $E42, BC$8, Matrix!$D$6)=0,"",_xll.IMDP("IR", $E42, BC$8, Matrix!$D$6)), "")</f>
        <v>10.031000000000001</v>
      </c>
      <c r="BD42" cm="1">
        <f t="array" aca="1" ref="BD42" ca="1">IF( AND($E$7,NOT(ISBLANK($E42))), IF( _xll.IMDP("IR", $E42, BD$8, Matrix!$D$6)=0,"",_xll.IMDP("IR", $E42, BD$8, Matrix!$D$6)), "")</f>
        <v>10.412000000000001</v>
      </c>
      <c r="BE42" cm="1">
        <f t="array" aca="1" ref="BE42" ca="1">IF( AND($E$7,NOT(ISBLANK($E42))), IF( _xll.IMDP("IR", $E42, BE$8, Matrix!$D$6)=0,"",_xll.IMDP("IR", $E42, BE$8, Matrix!$D$6)), "")</f>
        <v>10.77</v>
      </c>
      <c r="BF42" cm="1">
        <f t="array" aca="1" ref="BF42" ca="1">IF( AND($E$7,NOT(ISBLANK($E42))), IF( _xll.IMDP("IR", $E42, BF$8, Matrix!$D$6)=0,"",_xll.IMDP("IR", $E42, BF$8, Matrix!$D$6)), "")</f>
        <v>11.085000000000001</v>
      </c>
      <c r="BG42" t="str" cm="1">
        <f t="array" aca="1" ref="BG42" ca="1">IF( AND($E$7,NOT(ISBLANK($E42))), IF( _xll.IMDP("IR", $E42, BG$8, Matrix!$D$6)=0,"",_xll.IMDP("IR", $E42, BG$8, Matrix!$D$6)), "")</f>
        <v/>
      </c>
      <c r="BH42" t="str" cm="1">
        <f t="array" aca="1" ref="BH42" ca="1">IF( AND($E$7,NOT(ISBLANK($E42))), IF( _xll.IMDP("IR", $E42, BH$8, Matrix!$D$6)=0,"",_xll.IMDP("IR", $E42, BH$8, Matrix!$D$6)), "")</f>
        <v/>
      </c>
      <c r="BI42" cm="1">
        <f t="array" aca="1" ref="BI42" ca="1">IF( AND($F$7,NOT(ISBLANK($F42))), IF( _xll.IMDP("IR", $F42, BI$8, Matrix!$D$6)=0,"",_xll.IMDP("IR", $F42, BI$8, Matrix!$D$6)), "")</f>
        <v>7.9290000000000003</v>
      </c>
      <c r="BJ42" cm="1">
        <f t="array" aca="1" ref="BJ42" ca="1">IF( AND($F$7,NOT(ISBLANK($F42))), IF( _xll.IMDP("IR", $F42, BJ$8, Matrix!$D$6)=0,"",_xll.IMDP("IR", $F42, BJ$8, Matrix!$D$6)), "")</f>
        <v>8.6020000000000003</v>
      </c>
      <c r="BK42" cm="1">
        <f t="array" aca="1" ref="BK42" ca="1">IF( AND($F$7,NOT(ISBLANK($F42))), IF( _xll.IMDP("IR", $F42, BK$8, Matrix!$D$6)=0,"",_xll.IMDP("IR", $F42, BK$8, Matrix!$D$6)), "")</f>
        <v>8.8699999999999992</v>
      </c>
      <c r="BL42" cm="1">
        <f t="array" aca="1" ref="BL42" ca="1">IF( AND($F$7,NOT(ISBLANK($F42))), IF( _xll.IMDP("IR", $F42, BL$8, Matrix!$D$6)=0,"",_xll.IMDP("IR", $F42, BL$8, Matrix!$D$6)), "")</f>
        <v>8.9939999999999998</v>
      </c>
      <c r="BM42" cm="1">
        <f t="array" aca="1" ref="BM42" ca="1">IF( AND($F$7,NOT(ISBLANK($F42))), IF( _xll.IMDP("IR", $F42, BM$8, Matrix!$D$6)=0,"",_xll.IMDP("IR", $F42, BM$8, Matrix!$D$6)), "")</f>
        <v>9.0609999999999999</v>
      </c>
      <c r="BN42" cm="1">
        <f t="array" aca="1" ref="BN42" ca="1">IF( AND($F$7,NOT(ISBLANK($F42))), IF( _xll.IMDP("IR", $F42, BN$8, Matrix!$D$6)=0,"",_xll.IMDP("IR", $F42, BN$8, Matrix!$D$6)), "")</f>
        <v>9.4489999999999998</v>
      </c>
      <c r="BO42" cm="1">
        <f t="array" aca="1" ref="BO42" ca="1">IF( AND($F$7,NOT(ISBLANK($F42))), IF( _xll.IMDP("IR", $F42, BO$8, Matrix!$D$6)=0,"",_xll.IMDP("IR", $F42, BO$8, Matrix!$D$6)), "")</f>
        <v>9.6340000000000003</v>
      </c>
      <c r="BP42" cm="1">
        <f t="array" aca="1" ref="BP42" ca="1">IF( AND($F$7,NOT(ISBLANK($F42))), IF( _xll.IMDP("IR", $F42, BP$8, Matrix!$D$6)=0,"",_xll.IMDP("IR", $F42, BP$8, Matrix!$D$6)), "")</f>
        <v>9.6869999999999994</v>
      </c>
      <c r="BQ42" cm="1">
        <f t="array" aca="1" ref="BQ42" ca="1">IF( AND($F$7,NOT(ISBLANK($F42))), IF( _xll.IMDP("IR", $F42, BQ$8, Matrix!$D$6)=0,"",_xll.IMDP("IR", $F42, BQ$8, Matrix!$D$6)), "")</f>
        <v>9.7509999999999994</v>
      </c>
      <c r="BR42" cm="1">
        <f t="array" aca="1" ref="BR42" ca="1">IF( AND($F$7,NOT(ISBLANK($F42))), IF( _xll.IMDP("IR", $F42, BR$8, Matrix!$D$6)=0,"",_xll.IMDP("IR", $F42, BR$8, Matrix!$D$6)), "")</f>
        <v>9.9649999999999999</v>
      </c>
      <c r="BS42" cm="1">
        <f t="array" aca="1" ref="BS42" ca="1">IF( AND($F$7,NOT(ISBLANK($F42))), IF( _xll.IMDP("IR", $F42, BS$8, Matrix!$D$6)=0,"",_xll.IMDP("IR", $F42, BS$8, Matrix!$D$6)), "")</f>
        <v>10.052</v>
      </c>
      <c r="BT42" cm="1">
        <f t="array" aca="1" ref="BT42" ca="1">IF( AND($F$7,NOT(ISBLANK($F42))), IF( _xll.IMDP("IR", $F42, BT$8, Matrix!$D$6)=0,"",_xll.IMDP("IR", $F42, BT$8, Matrix!$D$6)), "")</f>
        <v>10.452</v>
      </c>
      <c r="BU42" cm="1">
        <f t="array" aca="1" ref="BU42" ca="1">IF( AND($F$7,NOT(ISBLANK($F42))), IF( _xll.IMDP("IR", $F42, BU$8, Matrix!$D$6)=0,"",_xll.IMDP("IR", $F42, BU$8, Matrix!$D$6)), "")</f>
        <v>10.755000000000001</v>
      </c>
      <c r="BV42" cm="1">
        <f t="array" aca="1" ref="BV42" ca="1">IF( AND($F$7,NOT(ISBLANK($F42))), IF( _xll.IMDP("IR", $F42, BV$8, Matrix!$D$6)=0,"",_xll.IMDP("IR", $F42, BV$8, Matrix!$D$6)), "")</f>
        <v>11.054</v>
      </c>
      <c r="BW42" t="str" cm="1">
        <f t="array" aca="1" ref="BW42" ca="1">IF( AND($F$7,NOT(ISBLANK($F42))), IF( _xll.IMDP("IR", $F42, BW$8, Matrix!$D$6)=0,"",_xll.IMDP("IR", $F42, BW$8, Matrix!$D$6)), "")</f>
        <v/>
      </c>
      <c r="BX42" t="str" cm="1">
        <f t="array" aca="1" ref="BX42" ca="1">IF( AND($F$7,NOT(ISBLANK($F42))), IF( _xll.IMDP("IR", $F42, BX$8, Matrix!$D$6)=0,"",_xll.IMDP("IR", $F42, BX$8, Matrix!$D$6)), "")</f>
        <v/>
      </c>
      <c r="BY42" cm="1">
        <f t="array" aca="1" ref="BY42" ca="1">IF( AND($G$7,NOT(ISBLANK($G42))), IF( _xll.IMDP("IR", $G42, BY$8, Matrix!$D$6)=0, "", _xll.IMDP("IR", $G42, BY$8, Matrix!$D$6)), "")</f>
        <v>7.8490000000000002</v>
      </c>
      <c r="BZ42" cm="1">
        <f t="array" aca="1" ref="BZ42" ca="1">IF( AND($G$7,NOT(ISBLANK($G42))), IF( _xll.IMDP("IR", $G42, BZ$8, Matrix!$D$6)=0, "", _xll.IMDP("IR", $G42, BZ$8, Matrix!$D$6)), "")</f>
        <v>8.593</v>
      </c>
      <c r="CA42" cm="1">
        <f t="array" aca="1" ref="CA42" ca="1">IF( AND($G$7,NOT(ISBLANK($G42))), IF( _xll.IMDP("IR", $G42, CA$8, Matrix!$D$6)=0, "", _xll.IMDP("IR", $G42, CA$8, Matrix!$D$6)), "")</f>
        <v>8.9169999999999998</v>
      </c>
      <c r="CB42" cm="1">
        <f t="array" aca="1" ref="CB42" ca="1">IF( AND($G$7,NOT(ISBLANK($G42))), IF( _xll.IMDP("IR", $G42, CB$8, Matrix!$D$6)=0, "", _xll.IMDP("IR", $G42, CB$8, Matrix!$D$6)), "")</f>
        <v>8.9939999999999998</v>
      </c>
      <c r="CC42" cm="1">
        <f t="array" aca="1" ref="CC42" ca="1">IF( AND($G$7,NOT(ISBLANK($G42))), IF( _xll.IMDP("IR", $G42, CC$8, Matrix!$D$6)=0, "", _xll.IMDP("IR", $G42, CC$8, Matrix!$D$6)), "")</f>
        <v>9.0760000000000005</v>
      </c>
      <c r="CD42" cm="1">
        <f t="array" aca="1" ref="CD42" ca="1">IF( AND($G$7,NOT(ISBLANK($G42))), IF( _xll.IMDP("IR", $G42, CD$8, Matrix!$D$6)=0, "", _xll.IMDP("IR", $G42, CD$8, Matrix!$D$6)), "")</f>
        <v>9.4149999999999991</v>
      </c>
      <c r="CE42" cm="1">
        <f t="array" aca="1" ref="CE42" ca="1">IF( AND($G$7,NOT(ISBLANK($G42))), IF( _xll.IMDP("IR", $G42, CE$8, Matrix!$D$6)=0, "", _xll.IMDP("IR", $G42, CE$8, Matrix!$D$6)), "")</f>
        <v>9.5969999999999995</v>
      </c>
      <c r="CF42" cm="1">
        <f t="array" aca="1" ref="CF42" ca="1">IF( AND($G$7,NOT(ISBLANK($G42))), IF( _xll.IMDP("IR", $G42, CF$8, Matrix!$D$6)=0, "", _xll.IMDP("IR", $G42, CF$8, Matrix!$D$6)), "")</f>
        <v>9.6449999999999996</v>
      </c>
      <c r="CG42" cm="1">
        <f t="array" aca="1" ref="CG42" ca="1">IF( AND($G$7,NOT(ISBLANK($G42))), IF( _xll.IMDP("IR", $G42, CG$8, Matrix!$D$6)=0, "", _xll.IMDP("IR", $G42, CG$8, Matrix!$D$6)), "")</f>
        <v>9.7110000000000003</v>
      </c>
      <c r="CH42" cm="1">
        <f t="array" aca="1" ref="CH42" ca="1">IF( AND($G$7,NOT(ISBLANK($G42))), IF( _xll.IMDP("IR", $G42, CH$8, Matrix!$D$6)=0, "", _xll.IMDP("IR", $G42, CH$8, Matrix!$D$6)), "")</f>
        <v>9.8460000000000001</v>
      </c>
      <c r="CI42" cm="1">
        <f t="array" aca="1" ref="CI42" ca="1">IF( AND($G$7,NOT(ISBLANK($G42))), IF( _xll.IMDP("IR", $G42, CI$8, Matrix!$D$6)=0, "", _xll.IMDP("IR", $G42, CI$8, Matrix!$D$6)), "")</f>
        <v>10.037000000000001</v>
      </c>
      <c r="CJ42" cm="1">
        <f t="array" aca="1" ref="CJ42" ca="1">IF( AND($G$7,NOT(ISBLANK($G42))), IF( _xll.IMDP("IR", $G42, CJ$8, Matrix!$D$6)=0, "", _xll.IMDP("IR", $G42, CJ$8, Matrix!$D$6)), "")</f>
        <v>10.451000000000001</v>
      </c>
      <c r="CK42" cm="1">
        <f t="array" aca="1" ref="CK42" ca="1">IF( AND($G$7,NOT(ISBLANK($G42))), IF( _xll.IMDP("IR", $G42, CK$8, Matrix!$D$6)=0, "", _xll.IMDP("IR", $G42, CK$8, Matrix!$D$6)), "")</f>
        <v>10.831</v>
      </c>
      <c r="CL42" cm="1">
        <f t="array" aca="1" ref="CL42" ca="1">IF( AND($G$7,NOT(ISBLANK($G42))), IF( _xll.IMDP("IR", $G42, CL$8, Matrix!$D$6)=0, "", _xll.IMDP("IR", $G42, CL$8, Matrix!$D$6)), "")</f>
        <v>11.103999999999999</v>
      </c>
      <c r="CM42" t="str" cm="1">
        <f t="array" aca="1" ref="CM42" ca="1">IF( AND($G$7,NOT(ISBLANK($G42))), IF( _xll.IMDP("IR", $G42, CM$8, Matrix!$D$6)=0, "", _xll.IMDP("IR", $G42, CM$8, Matrix!$D$6)), "")</f>
        <v/>
      </c>
      <c r="CN42" t="str" cm="1">
        <f t="array" aca="1" ref="CN42" ca="1">IF( AND($G$7,NOT(ISBLANK($G42))), IF( _xll.IMDP("IR", $G42, CN$8, Matrix!$D$6)=0, "", _xll.IMDP("IR", $G42, CN$8, Matrix!$D$6)), "")</f>
        <v/>
      </c>
      <c r="CO42" t="str" cm="1">
        <f t="array" ref="CO42">IF( AND($H$7,NOT(ISBLANK($H42))), IF( _xll.IMDP("IR", $H42, CO$8, Matrix!$D$6)=0, "", _xll.IMDP("IR", $H42, CO$8, Matrix!$D$6)), "")</f>
        <v/>
      </c>
      <c r="CP42" t="str" cm="1">
        <f t="array" ref="CP42">IF( AND($H$7,NOT(ISBLANK($H42))), IF( _xll.IMDP("IR", $H42, CP$8, Matrix!$D$6)=0, "", _xll.IMDP("IR", $H42, CP$8, Matrix!$D$6)), "")</f>
        <v/>
      </c>
      <c r="CQ42" t="str" cm="1">
        <f t="array" ref="CQ42">IF( AND($H$7,NOT(ISBLANK($H42))), IF( _xll.IMDP("IR", $H42, CQ$8, Matrix!$D$6)=0, "", _xll.IMDP("IR", $H42, CQ$8, Matrix!$D$6)), "")</f>
        <v/>
      </c>
      <c r="CR42" t="str" cm="1">
        <f t="array" ref="CR42">IF( AND($H$7,NOT(ISBLANK($H42))), IF( _xll.IMDP("IR", $H42, CR$8, Matrix!$D$6)=0, "", _xll.IMDP("IR", $H42, CR$8, Matrix!$D$6)), "")</f>
        <v/>
      </c>
      <c r="CS42" t="str" cm="1">
        <f t="array" ref="CS42">IF( AND($H$7,NOT(ISBLANK($H42))), IF( _xll.IMDP("IR", $H42, CS$8, Matrix!$D$6)=0, "", _xll.IMDP("IR", $H42, CS$8, Matrix!$D$6)), "")</f>
        <v/>
      </c>
      <c r="CT42" t="str" cm="1">
        <f t="array" ref="CT42">IF( AND($H$7,NOT(ISBLANK($H42))), IF( _xll.IMDP("IR", $H42, CT$8, Matrix!$D$6)=0, "", _xll.IMDP("IR", $H42, CT$8, Matrix!$D$6)), "")</f>
        <v/>
      </c>
      <c r="CU42" t="str" cm="1">
        <f t="array" ref="CU42">IF( AND($H$7,NOT(ISBLANK($H42))), IF( _xll.IMDP("IR", $H42, CU$8, Matrix!$D$6)=0, "", _xll.IMDP("IR", $H42, CU$8, Matrix!$D$6)), "")</f>
        <v/>
      </c>
      <c r="CV42" t="str" cm="1">
        <f t="array" ref="CV42">IF( AND($H$7,NOT(ISBLANK($H42))), IF( _xll.IMDP("IR", $H42, CV$8, Matrix!$D$6)=0, "", _xll.IMDP("IR", $H42, CV$8, Matrix!$D$6)), "")</f>
        <v/>
      </c>
      <c r="CW42" t="str" cm="1">
        <f t="array" ref="CW42">IF( AND($H$7,NOT(ISBLANK($H42))), IF( _xll.IMDP("IR", $H42, CW$8, Matrix!$D$6)=0, "", _xll.IMDP("IR", $H42, CW$8, Matrix!$D$6)), "")</f>
        <v/>
      </c>
      <c r="CX42" t="str" cm="1">
        <f t="array" ref="CX42">IF( AND($H$7,NOT(ISBLANK($H42))), IF( _xll.IMDP("IR", $H42, CX$8, Matrix!$D$6)=0, "", _xll.IMDP("IR", $H42, CX$8, Matrix!$D$6)), "")</f>
        <v/>
      </c>
      <c r="CY42" t="str" cm="1">
        <f t="array" ref="CY42">IF( AND($H$7,NOT(ISBLANK($H42))), IF( _xll.IMDP("IR", $H42, CY$8, Matrix!$D$6)=0, "", _xll.IMDP("IR", $H42, CY$8, Matrix!$D$6)), "")</f>
        <v/>
      </c>
      <c r="CZ42" t="str" cm="1">
        <f t="array" ref="CZ42">IF( AND($H$7,NOT(ISBLANK($H42))), IF( _xll.IMDP("IR", $H42, CZ$8, Matrix!$D$6)=0, "", _xll.IMDP("IR", $H42, CZ$8, Matrix!$D$6)), "")</f>
        <v/>
      </c>
      <c r="DA42" t="str" cm="1">
        <f t="array" ref="DA42">IF( AND($H$7,NOT(ISBLANK($H42))), IF( _xll.IMDP("IR", $H42, DA$8, Matrix!$D$6)=0, "", _xll.IMDP("IR", $H42, DA$8, Matrix!$D$6)), "")</f>
        <v/>
      </c>
      <c r="DB42" t="str" cm="1">
        <f t="array" ref="DB42">IF( AND($H$7,NOT(ISBLANK($H42))), IF( _xll.IMDP("IR", $H42, DB$8, Matrix!$D$6)=0, "", _xll.IMDP("IR", $H42, DB$8, Matrix!$D$6)), "")</f>
        <v/>
      </c>
      <c r="DC42" t="str" cm="1">
        <f t="array" ref="DC42">IF( AND($H$7,NOT(ISBLANK($H42))), IF( _xll.IMDP("IR", $H42, DC$8, Matrix!$D$6)=0, "", _xll.IMDP("IR", $H42, DC$8, Matrix!$D$6)), "")</f>
        <v/>
      </c>
      <c r="DD42" t="str" cm="1">
        <f t="array" ref="DD42">IF( AND($H$7,NOT(ISBLANK($H42))), IF( _xll.IMDP("IR", $H42, DD$8, Matrix!$D$6)=0, "", _xll.IMDP("IR", $H42, DD$8, Matrix!$D$6)), "")</f>
        <v/>
      </c>
    </row>
    <row r="43" spans="2:108">
      <c r="B43" t="s">
        <v>111</v>
      </c>
      <c r="C43" t="s">
        <v>185</v>
      </c>
      <c r="D43" t="s">
        <v>257</v>
      </c>
      <c r="E43" t="s">
        <v>322</v>
      </c>
      <c r="F43" t="s">
        <v>385</v>
      </c>
      <c r="G43" t="s">
        <v>451</v>
      </c>
      <c r="M43" s="21">
        <f t="shared" ca="1" si="1"/>
        <v>3.4294788350681968</v>
      </c>
      <c r="N43" s="21">
        <f t="shared" ca="1" si="2"/>
        <v>3.4149867987450802</v>
      </c>
      <c r="O43" s="21">
        <f t="shared" ca="1" si="3"/>
        <v>3.3817394609073559</v>
      </c>
      <c r="P43" s="21">
        <f t="shared" ca="1" si="4"/>
        <v>3.395233191351684</v>
      </c>
      <c r="Q43" s="21">
        <f t="shared" ca="1" si="5"/>
        <v>3.4452382342851524</v>
      </c>
      <c r="R43" s="21">
        <f t="shared" ca="1" si="6"/>
        <v>3.4169961246363965</v>
      </c>
      <c r="S43" s="21">
        <f t="shared" ca="1" si="7"/>
        <v>3.3744895364681722</v>
      </c>
      <c r="T43" s="21">
        <f t="shared" ca="1" si="8"/>
        <v>3.3582424565778517</v>
      </c>
      <c r="U43" s="21">
        <f t="shared" ca="1" si="9"/>
        <v>3.3187130634090916</v>
      </c>
      <c r="V43" s="21">
        <f t="shared" ca="1" si="10"/>
        <v>3.328974739173344</v>
      </c>
      <c r="W43" s="21">
        <f t="shared" ca="1" si="11"/>
        <v>3.7352436142253658</v>
      </c>
      <c r="X43" s="21">
        <f t="shared" ca="1" si="12"/>
        <v>4.3207485319592323</v>
      </c>
      <c r="Y43" s="21">
        <f t="shared" ca="1" si="13"/>
        <v>4.726200508166551</v>
      </c>
      <c r="Z43" s="21">
        <f t="shared" ca="1" si="14"/>
        <v>4.9302742091069849</v>
      </c>
      <c r="AA43" s="21" t="e">
        <f t="shared" ca="1" si="15"/>
        <v>#NUM!</v>
      </c>
      <c r="AB43" s="21" t="e">
        <f t="shared" ca="1" si="16"/>
        <v>#NUM!</v>
      </c>
      <c r="AC43" cm="1">
        <f t="array" aca="1" ref="AC43" ca="1">IF( AND($D$7,NOT(ISBLANK($D43))), IF(_xll.IMDP("IR", $D43, AC$8, Matrix!$D$6)=0,"",_xll.IMDP("IR", $D43, AC$8, Matrix!$D$6)), "")</f>
        <v>3.4359999999999999</v>
      </c>
      <c r="AD43" cm="1">
        <f t="array" aca="1" ref="AD43" ca="1">IF( AND($D$7,NOT(ISBLANK($D43))), IF(_xll.IMDP("IR", $D43, AD$8, Matrix!$D$6)=0,"",_xll.IMDP("IR", $D43, AD$8, Matrix!$D$6)), "")</f>
        <v>3.4209999999999998</v>
      </c>
      <c r="AE43" cm="1">
        <f t="array" aca="1" ref="AE43" ca="1">IF( AND($D$7,NOT(ISBLANK($D43))), IF(_xll.IMDP("IR", $D43, AE$8, Matrix!$D$6)=0,"",_xll.IMDP("IR", $D43, AE$8, Matrix!$D$6)), "")</f>
        <v>3.3820000000000001</v>
      </c>
      <c r="AF43" cm="1">
        <f t="array" aca="1" ref="AF43" ca="1">IF( AND($D$7,NOT(ISBLANK($D43))), IF(_xll.IMDP("IR", $D43, AF$8, Matrix!$D$6)=0,"",_xll.IMDP("IR", $D43, AF$8, Matrix!$D$6)), "")</f>
        <v>3.3959999999999999</v>
      </c>
      <c r="AG43" cm="1">
        <f t="array" aca="1" ref="AG43" ca="1">IF( AND($D$7,NOT(ISBLANK($D43))), IF(_xll.IMDP("IR", $D43, AG$8, Matrix!$D$6)=0,"",_xll.IMDP("IR", $D43, AG$8, Matrix!$D$6)), "")</f>
        <v>3.4449999999999998</v>
      </c>
      <c r="AH43" cm="1">
        <f t="array" aca="1" ref="AH43" ca="1">IF( AND($D$7,NOT(ISBLANK($D43))), IF(_xll.IMDP("IR", $D43, AH$8, Matrix!$D$6)=0,"",_xll.IMDP("IR", $D43, AH$8, Matrix!$D$6)), "")</f>
        <v>3.4129999999999998</v>
      </c>
      <c r="AI43" cm="1">
        <f t="array" aca="1" ref="AI43" ca="1">IF( AND($D$7,NOT(ISBLANK($D43))), IF(_xll.IMDP("IR", $D43, AI$8, Matrix!$D$6)=0,"",_xll.IMDP("IR", $D43, AI$8, Matrix!$D$6)), "")</f>
        <v>3.3690000000000002</v>
      </c>
      <c r="AJ43" cm="1">
        <f t="array" aca="1" ref="AJ43" ca="1">IF( AND($D$7,NOT(ISBLANK($D43))), IF(_xll.IMDP("IR", $D43, AJ$8, Matrix!$D$6)=0,"",_xll.IMDP("IR", $D43, AJ$8, Matrix!$D$6)), "")</f>
        <v>3.3570000000000002</v>
      </c>
      <c r="AK43" cm="1">
        <f t="array" aca="1" ref="AK43" ca="1">IF( AND($D$7,NOT(ISBLANK($D43))), IF(_xll.IMDP("IR", $D43, AK$8, Matrix!$D$6)=0,"",_xll.IMDP("IR", $D43, AK$8, Matrix!$D$6)), "")</f>
        <v>3.3279999999999998</v>
      </c>
      <c r="AL43" cm="1">
        <f t="array" aca="1" ref="AL43" ca="1">IF( AND($D$7,NOT(ISBLANK($D43))), IF(_xll.IMDP("IR", $D43, AL$8, Matrix!$D$6)=0,"",_xll.IMDP("IR", $D43, AL$8, Matrix!$D$6)), "")</f>
        <v>3.3279999999999998</v>
      </c>
      <c r="AM43" cm="1">
        <f t="array" aca="1" ref="AM43" ca="1">IF( AND($D$7,NOT(ISBLANK($D43))), IF(_xll.IMDP("IR", $D43, AM$8, Matrix!$D$6)=0,"",_xll.IMDP("IR", $D43, AM$8, Matrix!$D$6)), "")</f>
        <v>3.738</v>
      </c>
      <c r="AN43" cm="1">
        <f t="array" aca="1" ref="AN43" ca="1">IF( AND($D$7,NOT(ISBLANK($D43))), IF(_xll.IMDP("IR", $D43, AN$8, Matrix!$D$6)=0,"",_xll.IMDP("IR", $D43, AN$8, Matrix!$D$6)), "")</f>
        <v>4.32</v>
      </c>
      <c r="AO43" cm="1">
        <f t="array" aca="1" ref="AO43" ca="1">IF( AND($D$7,NOT(ISBLANK($D43))), IF(_xll.IMDP("IR", $D43, AO$8, Matrix!$D$6)=0,"",_xll.IMDP("IR", $D43, AO$8, Matrix!$D$6)), "")</f>
        <v>4.7350000000000003</v>
      </c>
      <c r="AP43" cm="1">
        <f t="array" aca="1" ref="AP43" ca="1">IF( AND($D$7,NOT(ISBLANK($D43))), IF(_xll.IMDP("IR", $D43, AP$8, Matrix!$D$6)=0,"",_xll.IMDP("IR", $D43, AP$8, Matrix!$D$6)), "")</f>
        <v>5.0030000000000001</v>
      </c>
      <c r="AQ43" t="str" cm="1">
        <f t="array" aca="1" ref="AQ43" ca="1">IF( AND($D$7,NOT(ISBLANK($D43))), IF(_xll.IMDP("IR", $D43, AQ$8, Matrix!$D$6)=0,"",_xll.IMDP("IR", $D43, AQ$8, Matrix!$D$6)), "")</f>
        <v/>
      </c>
      <c r="AR43" t="str" cm="1">
        <f t="array" aca="1" ref="AR43" ca="1">IF( AND($D$7,NOT(ISBLANK($D43))), IF(_xll.IMDP("IR", $D43, AR$8, Matrix!$D$6)=0,"",_xll.IMDP("IR", $D43, AR$8, Matrix!$D$6)), "")</f>
        <v/>
      </c>
      <c r="AS43" cm="1">
        <f t="array" aca="1" ref="AS43" ca="1">IF( AND($E$7,NOT(ISBLANK($E43))), IF( _xll.IMDP("IR", $E43, AS$8, Matrix!$D$6)=0,"",_xll.IMDP("IR", $E43, AS$8, Matrix!$D$6)), "")</f>
        <v>3.419</v>
      </c>
      <c r="AT43" cm="1">
        <f t="array" aca="1" ref="AT43" ca="1">IF( AND($E$7,NOT(ISBLANK($E43))), IF( _xll.IMDP("IR", $E43, AT$8, Matrix!$D$6)=0,"",_xll.IMDP("IR", $E43, AT$8, Matrix!$D$6)), "")</f>
        <v>3.4169999999999998</v>
      </c>
      <c r="AU43" cm="1">
        <f t="array" aca="1" ref="AU43" ca="1">IF( AND($E$7,NOT(ISBLANK($E43))), IF( _xll.IMDP("IR", $E43, AU$8, Matrix!$D$6)=0,"",_xll.IMDP("IR", $E43, AU$8, Matrix!$D$6)), "")</f>
        <v>3.387</v>
      </c>
      <c r="AV43" cm="1">
        <f t="array" aca="1" ref="AV43" ca="1">IF( AND($E$7,NOT(ISBLANK($E43))), IF( _xll.IMDP("IR", $E43, AV$8, Matrix!$D$6)=0,"",_xll.IMDP("IR", $E43, AV$8, Matrix!$D$6)), "")</f>
        <v>3.3809999999999998</v>
      </c>
      <c r="AW43" cm="1">
        <f t="array" aca="1" ref="AW43" ca="1">IF( AND($E$7,NOT(ISBLANK($E43))), IF( _xll.IMDP("IR", $E43, AW$8, Matrix!$D$6)=0,"",_xll.IMDP("IR", $E43, AW$8, Matrix!$D$6)), "")</f>
        <v>3.4369999999999998</v>
      </c>
      <c r="AX43" cm="1">
        <f t="array" aca="1" ref="AX43" ca="1">IF( AND($E$7,NOT(ISBLANK($E43))), IF( _xll.IMDP("IR", $E43, AX$8, Matrix!$D$6)=0,"",_xll.IMDP("IR", $E43, AX$8, Matrix!$D$6)), "")</f>
        <v>3.4180000000000001</v>
      </c>
      <c r="AY43" cm="1">
        <f t="array" aca="1" ref="AY43" ca="1">IF( AND($E$7,NOT(ISBLANK($E43))), IF( _xll.IMDP("IR", $E43, AY$8, Matrix!$D$6)=0,"",_xll.IMDP("IR", $E43, AY$8, Matrix!$D$6)), "")</f>
        <v>3.3690000000000002</v>
      </c>
      <c r="AZ43" cm="1">
        <f t="array" aca="1" ref="AZ43" ca="1">IF( AND($E$7,NOT(ISBLANK($E43))), IF( _xll.IMDP("IR", $E43, AZ$8, Matrix!$D$6)=0,"",_xll.IMDP("IR", $E43, AZ$8, Matrix!$D$6)), "")</f>
        <v>3.3580000000000001</v>
      </c>
      <c r="BA43" cm="1">
        <f t="array" aca="1" ref="BA43" ca="1">IF( AND($E$7,NOT(ISBLANK($E43))), IF( _xll.IMDP("IR", $E43, BA$8, Matrix!$D$6)=0,"",_xll.IMDP("IR", $E43, BA$8, Matrix!$D$6)), "")</f>
        <v>3.2989999999999999</v>
      </c>
      <c r="BB43" cm="1">
        <f t="array" aca="1" ref="BB43" ca="1">IF( AND($E$7,NOT(ISBLANK($E43))), IF( _xll.IMDP("IR", $E43, BB$8, Matrix!$D$6)=0,"",_xll.IMDP("IR", $E43, BB$8, Matrix!$D$6)), "")</f>
        <v>3.3149999999999999</v>
      </c>
      <c r="BC43" cm="1">
        <f t="array" aca="1" ref="BC43" ca="1">IF( AND($E$7,NOT(ISBLANK($E43))), IF( _xll.IMDP("IR", $E43, BC$8, Matrix!$D$6)=0,"",_xll.IMDP("IR", $E43, BC$8, Matrix!$D$6)), "")</f>
        <v>3.734</v>
      </c>
      <c r="BD43" cm="1">
        <f t="array" aca="1" ref="BD43" ca="1">IF( AND($E$7,NOT(ISBLANK($E43))), IF( _xll.IMDP("IR", $E43, BD$8, Matrix!$D$6)=0,"",_xll.IMDP("IR", $E43, BD$8, Matrix!$D$6)), "")</f>
        <v>4.3209999999999997</v>
      </c>
      <c r="BE43" cm="1">
        <f t="array" aca="1" ref="BE43" ca="1">IF( AND($E$7,NOT(ISBLANK($E43))), IF( _xll.IMDP("IR", $E43, BE$8, Matrix!$D$6)=0,"",_xll.IMDP("IR", $E43, BE$8, Matrix!$D$6)), "")</f>
        <v>4.7549999999999999</v>
      </c>
      <c r="BF43" cm="1">
        <f t="array" aca="1" ref="BF43" ca="1">IF( AND($E$7,NOT(ISBLANK($E43))), IF( _xll.IMDP("IR", $E43, BF$8, Matrix!$D$6)=0,"",_xll.IMDP("IR", $E43, BF$8, Matrix!$D$6)), "")</f>
        <v>4.8760000000000003</v>
      </c>
      <c r="BG43" t="str" cm="1">
        <f t="array" aca="1" ref="BG43" ca="1">IF( AND($E$7,NOT(ISBLANK($E43))), IF( _xll.IMDP("IR", $E43, BG$8, Matrix!$D$6)=0,"",_xll.IMDP("IR", $E43, BG$8, Matrix!$D$6)), "")</f>
        <v/>
      </c>
      <c r="BH43" t="str" cm="1">
        <f t="array" aca="1" ref="BH43" ca="1">IF( AND($E$7,NOT(ISBLANK($E43))), IF( _xll.IMDP("IR", $E43, BH$8, Matrix!$D$6)=0,"",_xll.IMDP("IR", $E43, BH$8, Matrix!$D$6)), "")</f>
        <v/>
      </c>
      <c r="BI43" cm="1">
        <f t="array" aca="1" ref="BI43" ca="1">IF( AND($F$7,NOT(ISBLANK($F43))), IF( _xll.IMDP("IR", $F43, BI$8, Matrix!$D$6)=0,"",_xll.IMDP("IR", $F43, BI$8, Matrix!$D$6)), "")</f>
        <v>3.4460000000000002</v>
      </c>
      <c r="BJ43" cm="1">
        <f t="array" aca="1" ref="BJ43" ca="1">IF( AND($F$7,NOT(ISBLANK($F43))), IF( _xll.IMDP("IR", $F43, BJ$8, Matrix!$D$6)=0,"",_xll.IMDP("IR", $F43, BJ$8, Matrix!$D$6)), "")</f>
        <v>3.423</v>
      </c>
      <c r="BK43" cm="1">
        <f t="array" aca="1" ref="BK43" ca="1">IF( AND($F$7,NOT(ISBLANK($F43))), IF( _xll.IMDP("IR", $F43, BK$8, Matrix!$D$6)=0,"",_xll.IMDP("IR", $F43, BK$8, Matrix!$D$6)), "")</f>
        <v>3.39</v>
      </c>
      <c r="BL43" cm="1">
        <f t="array" aca="1" ref="BL43" ca="1">IF( AND($F$7,NOT(ISBLANK($F43))), IF( _xll.IMDP("IR", $F43, BL$8, Matrix!$D$6)=0,"",_xll.IMDP("IR", $F43, BL$8, Matrix!$D$6)), "")</f>
        <v>3.411</v>
      </c>
      <c r="BM43" cm="1">
        <f t="array" aca="1" ref="BM43" ca="1">IF( AND($F$7,NOT(ISBLANK($F43))), IF( _xll.IMDP("IR", $F43, BM$8, Matrix!$D$6)=0,"",_xll.IMDP("IR", $F43, BM$8, Matrix!$D$6)), "")</f>
        <v>3.46</v>
      </c>
      <c r="BN43" cm="1">
        <f t="array" aca="1" ref="BN43" ca="1">IF( AND($F$7,NOT(ISBLANK($F43))), IF( _xll.IMDP("IR", $F43, BN$8, Matrix!$D$6)=0,"",_xll.IMDP("IR", $F43, BN$8, Matrix!$D$6)), "")</f>
        <v>3.4249999999999998</v>
      </c>
      <c r="BO43" cm="1">
        <f t="array" aca="1" ref="BO43" ca="1">IF( AND($F$7,NOT(ISBLANK($F43))), IF( _xll.IMDP("IR", $F43, BO$8, Matrix!$D$6)=0,"",_xll.IMDP("IR", $F43, BO$8, Matrix!$D$6)), "")</f>
        <v>3.3889999999999998</v>
      </c>
      <c r="BP43" cm="1">
        <f t="array" aca="1" ref="BP43" ca="1">IF( AND($F$7,NOT(ISBLANK($F43))), IF( _xll.IMDP("IR", $F43, BP$8, Matrix!$D$6)=0,"",_xll.IMDP("IR", $F43, BP$8, Matrix!$D$6)), "")</f>
        <v>3.3690000000000002</v>
      </c>
      <c r="BQ43" cm="1">
        <f t="array" aca="1" ref="BQ43" ca="1">IF( AND($F$7,NOT(ISBLANK($F43))), IF( _xll.IMDP("IR", $F43, BQ$8, Matrix!$D$6)=0,"",_xll.IMDP("IR", $F43, BQ$8, Matrix!$D$6)), "")</f>
        <v>3.339</v>
      </c>
      <c r="BR43" cm="1">
        <f t="array" aca="1" ref="BR43" ca="1">IF( AND($F$7,NOT(ISBLANK($F43))), IF( _xll.IMDP("IR", $F43, BR$8, Matrix!$D$6)=0,"",_xll.IMDP("IR", $F43, BR$8, Matrix!$D$6)), "")</f>
        <v>3.35</v>
      </c>
      <c r="BS43" cm="1">
        <f t="array" aca="1" ref="BS43" ca="1">IF( AND($F$7,NOT(ISBLANK($F43))), IF( _xll.IMDP("IR", $F43, BS$8, Matrix!$D$6)=0,"",_xll.IMDP("IR", $F43, BS$8, Matrix!$D$6)), "")</f>
        <v>3.7250000000000001</v>
      </c>
      <c r="BT43" cm="1">
        <f t="array" aca="1" ref="BT43" ca="1">IF( AND($F$7,NOT(ISBLANK($F43))), IF( _xll.IMDP("IR", $F43, BT$8, Matrix!$D$6)=0,"",_xll.IMDP("IR", $F43, BT$8, Matrix!$D$6)), "")</f>
        <v>4.3259999999999996</v>
      </c>
      <c r="BU43" cm="1">
        <f t="array" aca="1" ref="BU43" ca="1">IF( AND($F$7,NOT(ISBLANK($F43))), IF( _xll.IMDP("IR", $F43, BU$8, Matrix!$D$6)=0,"",_xll.IMDP("IR", $F43, BU$8, Matrix!$D$6)), "")</f>
        <v>4.6959999999999997</v>
      </c>
      <c r="BV43" cm="1">
        <f t="array" aca="1" ref="BV43" ca="1">IF( AND($F$7,NOT(ISBLANK($F43))), IF( _xll.IMDP("IR", $F43, BV$8, Matrix!$D$6)=0,"",_xll.IMDP("IR", $F43, BV$8, Matrix!$D$6)), "")</f>
        <v>4.9050000000000002</v>
      </c>
      <c r="BW43" t="str" cm="1">
        <f t="array" aca="1" ref="BW43" ca="1">IF( AND($F$7,NOT(ISBLANK($F43))), IF( _xll.IMDP("IR", $F43, BW$8, Matrix!$D$6)=0,"",_xll.IMDP("IR", $F43, BW$8, Matrix!$D$6)), "")</f>
        <v/>
      </c>
      <c r="BX43" t="str" cm="1">
        <f t="array" aca="1" ref="BX43" ca="1">IF( AND($F$7,NOT(ISBLANK($F43))), IF( _xll.IMDP("IR", $F43, BX$8, Matrix!$D$6)=0,"",_xll.IMDP("IR", $F43, BX$8, Matrix!$D$6)), "")</f>
        <v/>
      </c>
      <c r="BY43" cm="1">
        <f t="array" aca="1" ref="BY43" ca="1">IF( AND($G$7,NOT(ISBLANK($G43))), IF( _xll.IMDP("IR", $G43, BY$8, Matrix!$D$6)=0, "", _xll.IMDP("IR", $G43, BY$8, Matrix!$D$6)), "")</f>
        <v>3.4169999999999998</v>
      </c>
      <c r="BZ43" cm="1">
        <f t="array" aca="1" ref="BZ43" ca="1">IF( AND($G$7,NOT(ISBLANK($G43))), IF( _xll.IMDP("IR", $G43, BZ$8, Matrix!$D$6)=0, "", _xll.IMDP("IR", $G43, BZ$8, Matrix!$D$6)), "")</f>
        <v>3.399</v>
      </c>
      <c r="CA43" cm="1">
        <f t="array" aca="1" ref="CA43" ca="1">IF( AND($G$7,NOT(ISBLANK($G43))), IF( _xll.IMDP("IR", $G43, CA$8, Matrix!$D$6)=0, "", _xll.IMDP("IR", $G43, CA$8, Matrix!$D$6)), "")</f>
        <v>3.3679999999999999</v>
      </c>
      <c r="CB43" cm="1">
        <f t="array" aca="1" ref="CB43" ca="1">IF( AND($G$7,NOT(ISBLANK($G43))), IF( _xll.IMDP("IR", $G43, CB$8, Matrix!$D$6)=0, "", _xll.IMDP("IR", $G43, CB$8, Matrix!$D$6)), "")</f>
        <v>3.3929999999999998</v>
      </c>
      <c r="CC43" cm="1">
        <f t="array" aca="1" ref="CC43" ca="1">IF( AND($G$7,NOT(ISBLANK($G43))), IF( _xll.IMDP("IR", $G43, CC$8, Matrix!$D$6)=0, "", _xll.IMDP("IR", $G43, CC$8, Matrix!$D$6)), "")</f>
        <v>3.4390000000000001</v>
      </c>
      <c r="CD43" cm="1">
        <f t="array" aca="1" ref="CD43" ca="1">IF( AND($G$7,NOT(ISBLANK($G43))), IF( _xll.IMDP("IR", $G43, CD$8, Matrix!$D$6)=0, "", _xll.IMDP("IR", $G43, CD$8, Matrix!$D$6)), "")</f>
        <v>3.4119999999999999</v>
      </c>
      <c r="CE43" cm="1">
        <f t="array" aca="1" ref="CE43" ca="1">IF( AND($G$7,NOT(ISBLANK($G43))), IF( _xll.IMDP("IR", $G43, CE$8, Matrix!$D$6)=0, "", _xll.IMDP("IR", $G43, CE$8, Matrix!$D$6)), "")</f>
        <v>3.371</v>
      </c>
      <c r="CF43" cm="1">
        <f t="array" aca="1" ref="CF43" ca="1">IF( AND($G$7,NOT(ISBLANK($G43))), IF( _xll.IMDP("IR", $G43, CF$8, Matrix!$D$6)=0, "", _xll.IMDP("IR", $G43, CF$8, Matrix!$D$6)), "")</f>
        <v>3.3490000000000002</v>
      </c>
      <c r="CG43" cm="1">
        <f t="array" aca="1" ref="CG43" ca="1">IF( AND($G$7,NOT(ISBLANK($G43))), IF( _xll.IMDP("IR", $G43, CG$8, Matrix!$D$6)=0, "", _xll.IMDP("IR", $G43, CG$8, Matrix!$D$6)), "")</f>
        <v>3.3090000000000002</v>
      </c>
      <c r="CH43" cm="1">
        <f t="array" aca="1" ref="CH43" ca="1">IF( AND($G$7,NOT(ISBLANK($G43))), IF( _xll.IMDP("IR", $G43, CH$8, Matrix!$D$6)=0, "", _xll.IMDP("IR", $G43, CH$8, Matrix!$D$6)), "")</f>
        <v>3.323</v>
      </c>
      <c r="CI43" cm="1">
        <f t="array" aca="1" ref="CI43" ca="1">IF( AND($G$7,NOT(ISBLANK($G43))), IF( _xll.IMDP("IR", $G43, CI$8, Matrix!$D$6)=0, "", _xll.IMDP("IR", $G43, CI$8, Matrix!$D$6)), "")</f>
        <v>3.7440000000000002</v>
      </c>
      <c r="CJ43" cm="1">
        <f t="array" aca="1" ref="CJ43" ca="1">IF( AND($G$7,NOT(ISBLANK($G43))), IF( _xll.IMDP("IR", $G43, CJ$8, Matrix!$D$6)=0, "", _xll.IMDP("IR", $G43, CJ$8, Matrix!$D$6)), "")</f>
        <v>4.3159999999999998</v>
      </c>
      <c r="CK43" cm="1">
        <f t="array" aca="1" ref="CK43" ca="1">IF( AND($G$7,NOT(ISBLANK($G43))), IF( _xll.IMDP("IR", $G43, CK$8, Matrix!$D$6)=0, "", _xll.IMDP("IR", $G43, CK$8, Matrix!$D$6)), "")</f>
        <v>4.7190000000000003</v>
      </c>
      <c r="CL43" cm="1">
        <f t="array" aca="1" ref="CL43" ca="1">IF( AND($G$7,NOT(ISBLANK($G43))), IF( _xll.IMDP("IR", $G43, CL$8, Matrix!$D$6)=0, "", _xll.IMDP("IR", $G43, CL$8, Matrix!$D$6)), "")</f>
        <v>4.9379999999999997</v>
      </c>
      <c r="CM43" t="str" cm="1">
        <f t="array" aca="1" ref="CM43" ca="1">IF( AND($G$7,NOT(ISBLANK($G43))), IF( _xll.IMDP("IR", $G43, CM$8, Matrix!$D$6)=0, "", _xll.IMDP("IR", $G43, CM$8, Matrix!$D$6)), "")</f>
        <v/>
      </c>
      <c r="CN43" t="str" cm="1">
        <f t="array" aca="1" ref="CN43" ca="1">IF( AND($G$7,NOT(ISBLANK($G43))), IF( _xll.IMDP("IR", $G43, CN$8, Matrix!$D$6)=0, "", _xll.IMDP("IR", $G43, CN$8, Matrix!$D$6)), "")</f>
        <v/>
      </c>
      <c r="CO43" t="str" cm="1">
        <f t="array" ref="CO43">IF( AND($H$7,NOT(ISBLANK($H43))), IF( _xll.IMDP("IR", $H43, CO$8, Matrix!$D$6)=0, "", _xll.IMDP("IR", $H43, CO$8, Matrix!$D$6)), "")</f>
        <v/>
      </c>
      <c r="CP43" t="str" cm="1">
        <f t="array" ref="CP43">IF( AND($H$7,NOT(ISBLANK($H43))), IF( _xll.IMDP("IR", $H43, CP$8, Matrix!$D$6)=0, "", _xll.IMDP("IR", $H43, CP$8, Matrix!$D$6)), "")</f>
        <v/>
      </c>
      <c r="CQ43" t="str" cm="1">
        <f t="array" ref="CQ43">IF( AND($H$7,NOT(ISBLANK($H43))), IF( _xll.IMDP("IR", $H43, CQ$8, Matrix!$D$6)=0, "", _xll.IMDP("IR", $H43, CQ$8, Matrix!$D$6)), "")</f>
        <v/>
      </c>
      <c r="CR43" t="str" cm="1">
        <f t="array" ref="CR43">IF( AND($H$7,NOT(ISBLANK($H43))), IF( _xll.IMDP("IR", $H43, CR$8, Matrix!$D$6)=0, "", _xll.IMDP("IR", $H43, CR$8, Matrix!$D$6)), "")</f>
        <v/>
      </c>
      <c r="CS43" t="str" cm="1">
        <f t="array" ref="CS43">IF( AND($H$7,NOT(ISBLANK($H43))), IF( _xll.IMDP("IR", $H43, CS$8, Matrix!$D$6)=0, "", _xll.IMDP("IR", $H43, CS$8, Matrix!$D$6)), "")</f>
        <v/>
      </c>
      <c r="CT43" t="str" cm="1">
        <f t="array" ref="CT43">IF( AND($H$7,NOT(ISBLANK($H43))), IF( _xll.IMDP("IR", $H43, CT$8, Matrix!$D$6)=0, "", _xll.IMDP("IR", $H43, CT$8, Matrix!$D$6)), "")</f>
        <v/>
      </c>
      <c r="CU43" t="str" cm="1">
        <f t="array" ref="CU43">IF( AND($H$7,NOT(ISBLANK($H43))), IF( _xll.IMDP("IR", $H43, CU$8, Matrix!$D$6)=0, "", _xll.IMDP("IR", $H43, CU$8, Matrix!$D$6)), "")</f>
        <v/>
      </c>
      <c r="CV43" t="str" cm="1">
        <f t="array" ref="CV43">IF( AND($H$7,NOT(ISBLANK($H43))), IF( _xll.IMDP("IR", $H43, CV$8, Matrix!$D$6)=0, "", _xll.IMDP("IR", $H43, CV$8, Matrix!$D$6)), "")</f>
        <v/>
      </c>
      <c r="CW43" t="str" cm="1">
        <f t="array" ref="CW43">IF( AND($H$7,NOT(ISBLANK($H43))), IF( _xll.IMDP("IR", $H43, CW$8, Matrix!$D$6)=0, "", _xll.IMDP("IR", $H43, CW$8, Matrix!$D$6)), "")</f>
        <v/>
      </c>
      <c r="CX43" t="str" cm="1">
        <f t="array" ref="CX43">IF( AND($H$7,NOT(ISBLANK($H43))), IF( _xll.IMDP("IR", $H43, CX$8, Matrix!$D$6)=0, "", _xll.IMDP("IR", $H43, CX$8, Matrix!$D$6)), "")</f>
        <v/>
      </c>
      <c r="CY43" t="str" cm="1">
        <f t="array" ref="CY43">IF( AND($H$7,NOT(ISBLANK($H43))), IF( _xll.IMDP("IR", $H43, CY$8, Matrix!$D$6)=0, "", _xll.IMDP("IR", $H43, CY$8, Matrix!$D$6)), "")</f>
        <v/>
      </c>
      <c r="CZ43" t="str" cm="1">
        <f t="array" ref="CZ43">IF( AND($H$7,NOT(ISBLANK($H43))), IF( _xll.IMDP("IR", $H43, CZ$8, Matrix!$D$6)=0, "", _xll.IMDP("IR", $H43, CZ$8, Matrix!$D$6)), "")</f>
        <v/>
      </c>
      <c r="DA43" t="str" cm="1">
        <f t="array" ref="DA43">IF( AND($H$7,NOT(ISBLANK($H43))), IF( _xll.IMDP("IR", $H43, DA$8, Matrix!$D$6)=0, "", _xll.IMDP("IR", $H43, DA$8, Matrix!$D$6)), "")</f>
        <v/>
      </c>
      <c r="DB43" t="str" cm="1">
        <f t="array" ref="DB43">IF( AND($H$7,NOT(ISBLANK($H43))), IF( _xll.IMDP("IR", $H43, DB$8, Matrix!$D$6)=0, "", _xll.IMDP("IR", $H43, DB$8, Matrix!$D$6)), "")</f>
        <v/>
      </c>
      <c r="DC43" t="str" cm="1">
        <f t="array" ref="DC43">IF( AND($H$7,NOT(ISBLANK($H43))), IF( _xll.IMDP("IR", $H43, DC$8, Matrix!$D$6)=0, "", _xll.IMDP("IR", $H43, DC$8, Matrix!$D$6)), "")</f>
        <v/>
      </c>
      <c r="DD43" t="str" cm="1">
        <f t="array" ref="DD43">IF( AND($H$7,NOT(ISBLANK($H43))), IF( _xll.IMDP("IR", $H43, DD$8, Matrix!$D$6)=0, "", _xll.IMDP("IR", $H43, DD$8, Matrix!$D$6)), "")</f>
        <v/>
      </c>
    </row>
    <row r="44" spans="2:108">
      <c r="B44" t="s">
        <v>112</v>
      </c>
      <c r="C44" t="s">
        <v>186</v>
      </c>
      <c r="D44" t="s">
        <v>258</v>
      </c>
      <c r="E44" t="s">
        <v>323</v>
      </c>
      <c r="F44" t="s">
        <v>386</v>
      </c>
      <c r="G44" t="s">
        <v>452</v>
      </c>
      <c r="M44" s="21">
        <f t="shared" ca="1" si="1"/>
        <v>3.4572289963371623</v>
      </c>
      <c r="N44" s="21">
        <f t="shared" ca="1" si="2"/>
        <v>3.4389816531787316</v>
      </c>
      <c r="O44" s="21">
        <f t="shared" ca="1" si="3"/>
        <v>3.4077322724647741</v>
      </c>
      <c r="P44" s="21">
        <f t="shared" ca="1" si="4"/>
        <v>3.4264810385119358</v>
      </c>
      <c r="Q44" s="21">
        <f t="shared" ca="1" si="5"/>
        <v>3.4842395661362029</v>
      </c>
      <c r="R44" s="21">
        <f t="shared" ca="1" si="6"/>
        <v>3.4619915443373408</v>
      </c>
      <c r="S44" s="21">
        <f t="shared" ca="1" si="7"/>
        <v>3.4279875341881501</v>
      </c>
      <c r="T44" s="21">
        <f t="shared" ca="1" si="8"/>
        <v>3.425493111695602</v>
      </c>
      <c r="U44" s="21">
        <f t="shared" ca="1" si="9"/>
        <v>3.4369764259332287</v>
      </c>
      <c r="V44" s="21">
        <f t="shared" ca="1" si="10"/>
        <v>3.5404885256129228</v>
      </c>
      <c r="W44" s="21">
        <f t="shared" ca="1" si="11"/>
        <v>3.9282266399212351</v>
      </c>
      <c r="X44" s="21">
        <f t="shared" ca="1" si="12"/>
        <v>4.4939813695531816</v>
      </c>
      <c r="Y44" s="21">
        <f t="shared" ca="1" si="13"/>
        <v>4.9042170160512164</v>
      </c>
      <c r="Z44" s="21">
        <f t="shared" ca="1" si="14"/>
        <v>5.122243787264555</v>
      </c>
      <c r="AA44" s="21" t="e">
        <f t="shared" ca="1" si="15"/>
        <v>#NUM!</v>
      </c>
      <c r="AB44" s="21" t="e">
        <f t="shared" ca="1" si="16"/>
        <v>#NUM!</v>
      </c>
      <c r="AC44" cm="1">
        <f t="array" aca="1" ref="AC44" ca="1">IF( AND($D$7,NOT(ISBLANK($D44))), IF(_xll.IMDP("IR", $D44, AC$8, Matrix!$D$6)=0,"",_xll.IMDP("IR", $D44, AC$8, Matrix!$D$6)), "")</f>
        <v>3.4510000000000001</v>
      </c>
      <c r="AD44" cm="1">
        <f t="array" aca="1" ref="AD44" ca="1">IF( AND($D$7,NOT(ISBLANK($D44))), IF(_xll.IMDP("IR", $D44, AD$8, Matrix!$D$6)=0,"",_xll.IMDP("IR", $D44, AD$8, Matrix!$D$6)), "")</f>
        <v>3.4390000000000001</v>
      </c>
      <c r="AE44" cm="1">
        <f t="array" aca="1" ref="AE44" ca="1">IF( AND($D$7,NOT(ISBLANK($D44))), IF(_xll.IMDP("IR", $D44, AE$8, Matrix!$D$6)=0,"",_xll.IMDP("IR", $D44, AE$8, Matrix!$D$6)), "")</f>
        <v>3.4049999999999998</v>
      </c>
      <c r="AF44" cm="1">
        <f t="array" aca="1" ref="AF44" ca="1">IF( AND($D$7,NOT(ISBLANK($D44))), IF(_xll.IMDP("IR", $D44, AF$8, Matrix!$D$6)=0,"",_xll.IMDP("IR", $D44, AF$8, Matrix!$D$6)), "")</f>
        <v>3.423</v>
      </c>
      <c r="AG44" cm="1">
        <f t="array" aca="1" ref="AG44" ca="1">IF( AND($D$7,NOT(ISBLANK($D44))), IF(_xll.IMDP("IR", $D44, AG$8, Matrix!$D$6)=0,"",_xll.IMDP("IR", $D44, AG$8, Matrix!$D$6)), "")</f>
        <v>3.4790000000000001</v>
      </c>
      <c r="AH44" cm="1">
        <f t="array" aca="1" ref="AH44" ca="1">IF( AND($D$7,NOT(ISBLANK($D44))), IF(_xll.IMDP("IR", $D44, AH$8, Matrix!$D$6)=0,"",_xll.IMDP("IR", $D44, AH$8, Matrix!$D$6)), "")</f>
        <v>3.45</v>
      </c>
      <c r="AI44" cm="1">
        <f t="array" aca="1" ref="AI44" ca="1">IF( AND($D$7,NOT(ISBLANK($D44))), IF(_xll.IMDP("IR", $D44, AI$8, Matrix!$D$6)=0,"",_xll.IMDP("IR", $D44, AI$8, Matrix!$D$6)), "")</f>
        <v>3.4169999999999998</v>
      </c>
      <c r="AJ44" cm="1">
        <f t="array" aca="1" ref="AJ44" ca="1">IF( AND($D$7,NOT(ISBLANK($D44))), IF(_xll.IMDP("IR", $D44, AJ$8, Matrix!$D$6)=0,"",_xll.IMDP("IR", $D44, AJ$8, Matrix!$D$6)), "")</f>
        <v>3.419</v>
      </c>
      <c r="AK44" cm="1">
        <f t="array" aca="1" ref="AK44" ca="1">IF( AND($D$7,NOT(ISBLANK($D44))), IF(_xll.IMDP("IR", $D44, AK$8, Matrix!$D$6)=0,"",_xll.IMDP("IR", $D44, AK$8, Matrix!$D$6)), "")</f>
        <v>3.43</v>
      </c>
      <c r="AL44" cm="1">
        <f t="array" aca="1" ref="AL44" ca="1">IF( AND($D$7,NOT(ISBLANK($D44))), IF(_xll.IMDP("IR", $D44, AL$8, Matrix!$D$6)=0,"",_xll.IMDP("IR", $D44, AL$8, Matrix!$D$6)), "")</f>
        <v>3.532</v>
      </c>
      <c r="AM44" cm="1">
        <f t="array" aca="1" ref="AM44" ca="1">IF( AND($D$7,NOT(ISBLANK($D44))), IF(_xll.IMDP("IR", $D44, AM$8, Matrix!$D$6)=0,"",_xll.IMDP("IR", $D44, AM$8, Matrix!$D$6)), "")</f>
        <v>3.911</v>
      </c>
      <c r="AN44" cm="1">
        <f t="array" aca="1" ref="AN44" ca="1">IF( AND($D$7,NOT(ISBLANK($D44))), IF(_xll.IMDP("IR", $D44, AN$8, Matrix!$D$6)=0,"",_xll.IMDP("IR", $D44, AN$8, Matrix!$D$6)), "")</f>
        <v>4.4800000000000004</v>
      </c>
      <c r="AO44" cm="1">
        <f t="array" aca="1" ref="AO44" ca="1">IF( AND($D$7,NOT(ISBLANK($D44))), IF(_xll.IMDP("IR", $D44, AO$8, Matrix!$D$6)=0,"",_xll.IMDP("IR", $D44, AO$8, Matrix!$D$6)), "")</f>
        <v>4.8860000000000001</v>
      </c>
      <c r="AP44" cm="1">
        <f t="array" aca="1" ref="AP44" ca="1">IF( AND($D$7,NOT(ISBLANK($D44))), IF(_xll.IMDP("IR", $D44, AP$8, Matrix!$D$6)=0,"",_xll.IMDP("IR", $D44, AP$8, Matrix!$D$6)), "")</f>
        <v>5.12</v>
      </c>
      <c r="AQ44" t="str" cm="1">
        <f t="array" aca="1" ref="AQ44" ca="1">IF( AND($D$7,NOT(ISBLANK($D44))), IF(_xll.IMDP("IR", $D44, AQ$8, Matrix!$D$6)=0,"",_xll.IMDP("IR", $D44, AQ$8, Matrix!$D$6)), "")</f>
        <v/>
      </c>
      <c r="AR44" t="str" cm="1">
        <f t="array" aca="1" ref="AR44" ca="1">IF( AND($D$7,NOT(ISBLANK($D44))), IF(_xll.IMDP("IR", $D44, AR$8, Matrix!$D$6)=0,"",_xll.IMDP("IR", $D44, AR$8, Matrix!$D$6)), "")</f>
        <v/>
      </c>
      <c r="AS44" cm="1">
        <f t="array" aca="1" ref="AS44" ca="1">IF( AND($E$7,NOT(ISBLANK($E44))), IF( _xll.IMDP("IR", $E44, AS$8, Matrix!$D$6)=0,"",_xll.IMDP("IR", $E44, AS$8, Matrix!$D$6)), "")</f>
        <v>3.4649999999999999</v>
      </c>
      <c r="AT44" cm="1">
        <f t="array" aca="1" ref="AT44" ca="1">IF( AND($E$7,NOT(ISBLANK($E44))), IF( _xll.IMDP("IR", $E44, AT$8, Matrix!$D$6)=0,"",_xll.IMDP("IR", $E44, AT$8, Matrix!$D$6)), "")</f>
        <v>3.4510000000000001</v>
      </c>
      <c r="AU44" cm="1">
        <f t="array" aca="1" ref="AU44" ca="1">IF( AND($E$7,NOT(ISBLANK($E44))), IF( _xll.IMDP("IR", $E44, AU$8, Matrix!$D$6)=0,"",_xll.IMDP("IR", $E44, AU$8, Matrix!$D$6)), "")</f>
        <v>3.419</v>
      </c>
      <c r="AV44" cm="1">
        <f t="array" aca="1" ref="AV44" ca="1">IF( AND($E$7,NOT(ISBLANK($E44))), IF( _xll.IMDP("IR", $E44, AV$8, Matrix!$D$6)=0,"",_xll.IMDP("IR", $E44, AV$8, Matrix!$D$6)), "")</f>
        <v>3.4180000000000001</v>
      </c>
      <c r="AW44" cm="1">
        <f t="array" aca="1" ref="AW44" ca="1">IF( AND($E$7,NOT(ISBLANK($E44))), IF( _xll.IMDP("IR", $E44, AW$8, Matrix!$D$6)=0,"",_xll.IMDP("IR", $E44, AW$8, Matrix!$D$6)), "")</f>
        <v>3.492</v>
      </c>
      <c r="AX44" cm="1">
        <f t="array" aca="1" ref="AX44" ca="1">IF( AND($E$7,NOT(ISBLANK($E44))), IF( _xll.IMDP("IR", $E44, AX$8, Matrix!$D$6)=0,"",_xll.IMDP("IR", $E44, AX$8, Matrix!$D$6)), "")</f>
        <v>3.4710000000000001</v>
      </c>
      <c r="AY44" cm="1">
        <f t="array" aca="1" ref="AY44" ca="1">IF( AND($E$7,NOT(ISBLANK($E44))), IF( _xll.IMDP("IR", $E44, AY$8, Matrix!$D$6)=0,"",_xll.IMDP("IR", $E44, AY$8, Matrix!$D$6)), "")</f>
        <v>3.4409999999999998</v>
      </c>
      <c r="AZ44" cm="1">
        <f t="array" aca="1" ref="AZ44" ca="1">IF( AND($E$7,NOT(ISBLANK($E44))), IF( _xll.IMDP("IR", $E44, AZ$8, Matrix!$D$6)=0,"",_xll.IMDP("IR", $E44, AZ$8, Matrix!$D$6)), "")</f>
        <v>3.4369999999999998</v>
      </c>
      <c r="BA44" cm="1">
        <f t="array" aca="1" ref="BA44" ca="1">IF( AND($E$7,NOT(ISBLANK($E44))), IF( _xll.IMDP("IR", $E44, BA$8, Matrix!$D$6)=0,"",_xll.IMDP("IR", $E44, BA$8, Matrix!$D$6)), "")</f>
        <v>3.431</v>
      </c>
      <c r="BB44" cm="1">
        <f t="array" aca="1" ref="BB44" ca="1">IF( AND($E$7,NOT(ISBLANK($E44))), IF( _xll.IMDP("IR", $E44, BB$8, Matrix!$D$6)=0,"",_xll.IMDP("IR", $E44, BB$8, Matrix!$D$6)), "")</f>
        <v>3.55</v>
      </c>
      <c r="BC44" cm="1">
        <f t="array" aca="1" ref="BC44" ca="1">IF( AND($E$7,NOT(ISBLANK($E44))), IF( _xll.IMDP("IR", $E44, BC$8, Matrix!$D$6)=0,"",_xll.IMDP("IR", $E44, BC$8, Matrix!$D$6)), "")</f>
        <v>3.9489999999999998</v>
      </c>
      <c r="BD44" cm="1">
        <f t="array" aca="1" ref="BD44" ca="1">IF( AND($E$7,NOT(ISBLANK($E44))), IF( _xll.IMDP("IR", $E44, BD$8, Matrix!$D$6)=0,"",_xll.IMDP("IR", $E44, BD$8, Matrix!$D$6)), "")</f>
        <v>4.5019999999999998</v>
      </c>
      <c r="BE44" cm="1">
        <f t="array" aca="1" ref="BE44" ca="1">IF( AND($E$7,NOT(ISBLANK($E44))), IF( _xll.IMDP("IR", $E44, BE$8, Matrix!$D$6)=0,"",_xll.IMDP("IR", $E44, BE$8, Matrix!$D$6)), "")</f>
        <v>4.9340000000000002</v>
      </c>
      <c r="BF44" cm="1">
        <f t="array" aca="1" ref="BF44" ca="1">IF( AND($E$7,NOT(ISBLANK($E44))), IF( _xll.IMDP("IR", $E44, BF$8, Matrix!$D$6)=0,"",_xll.IMDP("IR", $E44, BF$8, Matrix!$D$6)), "")</f>
        <v>5.1210000000000004</v>
      </c>
      <c r="BG44" t="str" cm="1">
        <f t="array" aca="1" ref="BG44" ca="1">IF( AND($E$7,NOT(ISBLANK($E44))), IF( _xll.IMDP("IR", $E44, BG$8, Matrix!$D$6)=0,"",_xll.IMDP("IR", $E44, BG$8, Matrix!$D$6)), "")</f>
        <v/>
      </c>
      <c r="BH44" t="str" cm="1">
        <f t="array" aca="1" ref="BH44" ca="1">IF( AND($E$7,NOT(ISBLANK($E44))), IF( _xll.IMDP("IR", $E44, BH$8, Matrix!$D$6)=0,"",_xll.IMDP("IR", $E44, BH$8, Matrix!$D$6)), "")</f>
        <v/>
      </c>
      <c r="BI44" cm="1">
        <f t="array" aca="1" ref="BI44" ca="1">IF( AND($F$7,NOT(ISBLANK($F44))), IF( _xll.IMDP("IR", $F44, BI$8, Matrix!$D$6)=0,"",_xll.IMDP("IR", $F44, BI$8, Matrix!$D$6)), "")</f>
        <v>3.472</v>
      </c>
      <c r="BJ44" cm="1">
        <f t="array" aca="1" ref="BJ44" ca="1">IF( AND($F$7,NOT(ISBLANK($F44))), IF( _xll.IMDP("IR", $F44, BJ$8, Matrix!$D$6)=0,"",_xll.IMDP("IR", $F44, BJ$8, Matrix!$D$6)), "")</f>
        <v>3.4449999999999998</v>
      </c>
      <c r="BK44" cm="1">
        <f t="array" aca="1" ref="BK44" ca="1">IF( AND($F$7,NOT(ISBLANK($F44))), IF( _xll.IMDP("IR", $F44, BK$8, Matrix!$D$6)=0,"",_xll.IMDP("IR", $F44, BK$8, Matrix!$D$6)), "")</f>
        <v>3.4159999999999999</v>
      </c>
      <c r="BL44" cm="1">
        <f t="array" aca="1" ref="BL44" ca="1">IF( AND($F$7,NOT(ISBLANK($F44))), IF( _xll.IMDP("IR", $F44, BL$8, Matrix!$D$6)=0,"",_xll.IMDP("IR", $F44, BL$8, Matrix!$D$6)), "")</f>
        <v>3.4460000000000002</v>
      </c>
      <c r="BM44" cm="1">
        <f t="array" aca="1" ref="BM44" ca="1">IF( AND($F$7,NOT(ISBLANK($F44))), IF( _xll.IMDP("IR", $F44, BM$8, Matrix!$D$6)=0,"",_xll.IMDP("IR", $F44, BM$8, Matrix!$D$6)), "")</f>
        <v>3.4929999999999999</v>
      </c>
      <c r="BN44" cm="1">
        <f t="array" aca="1" ref="BN44" ca="1">IF( AND($F$7,NOT(ISBLANK($F44))), IF( _xll.IMDP("IR", $F44, BN$8, Matrix!$D$6)=0,"",_xll.IMDP("IR", $F44, BN$8, Matrix!$D$6)), "")</f>
        <v>3.4620000000000002</v>
      </c>
      <c r="BO44" cm="1">
        <f t="array" aca="1" ref="BO44" ca="1">IF( AND($F$7,NOT(ISBLANK($F44))), IF( _xll.IMDP("IR", $F44, BO$8, Matrix!$D$6)=0,"",_xll.IMDP("IR", $F44, BO$8, Matrix!$D$6)), "")</f>
        <v>3.4319999999999999</v>
      </c>
      <c r="BP44" cm="1">
        <f t="array" aca="1" ref="BP44" ca="1">IF( AND($F$7,NOT(ISBLANK($F44))), IF( _xll.IMDP("IR", $F44, BP$8, Matrix!$D$6)=0,"",_xll.IMDP("IR", $F44, BP$8, Matrix!$D$6)), "")</f>
        <v>3.4220000000000002</v>
      </c>
      <c r="BQ44" cm="1">
        <f t="array" aca="1" ref="BQ44" ca="1">IF( AND($F$7,NOT(ISBLANK($F44))), IF( _xll.IMDP("IR", $F44, BQ$8, Matrix!$D$6)=0,"",_xll.IMDP("IR", $F44, BQ$8, Matrix!$D$6)), "")</f>
        <v>3.4590000000000001</v>
      </c>
      <c r="BR44" cm="1">
        <f t="array" aca="1" ref="BR44" ca="1">IF( AND($F$7,NOT(ISBLANK($F44))), IF( _xll.IMDP("IR", $F44, BR$8, Matrix!$D$6)=0,"",_xll.IMDP("IR", $F44, BR$8, Matrix!$D$6)), "")</f>
        <v>3.5489999999999999</v>
      </c>
      <c r="BS44" cm="1">
        <f t="array" aca="1" ref="BS44" ca="1">IF( AND($F$7,NOT(ISBLANK($F44))), IF( _xll.IMDP("IR", $F44, BS$8, Matrix!$D$6)=0,"",_xll.IMDP("IR", $F44, BS$8, Matrix!$D$6)), "")</f>
        <v>3.9260000000000002</v>
      </c>
      <c r="BT44" cm="1">
        <f t="array" aca="1" ref="BT44" ca="1">IF( AND($F$7,NOT(ISBLANK($F44))), IF( _xll.IMDP("IR", $F44, BT$8, Matrix!$D$6)=0,"",_xll.IMDP("IR", $F44, BT$8, Matrix!$D$6)), "")</f>
        <v>4.5110000000000001</v>
      </c>
      <c r="BU44" cm="1">
        <f t="array" aca="1" ref="BU44" ca="1">IF( AND($F$7,NOT(ISBLANK($F44))), IF( _xll.IMDP("IR", $F44, BU$8, Matrix!$D$6)=0,"",_xll.IMDP("IR", $F44, BU$8, Matrix!$D$6)), "")</f>
        <v>4.9009999999999998</v>
      </c>
      <c r="BV44" cm="1">
        <f t="array" aca="1" ref="BV44" ca="1">IF( AND($F$7,NOT(ISBLANK($F44))), IF( _xll.IMDP("IR", $F44, BV$8, Matrix!$D$6)=0,"",_xll.IMDP("IR", $F44, BV$8, Matrix!$D$6)), "")</f>
        <v>5.1130000000000004</v>
      </c>
      <c r="BW44" t="str" cm="1">
        <f t="array" aca="1" ref="BW44" ca="1">IF( AND($F$7,NOT(ISBLANK($F44))), IF( _xll.IMDP("IR", $F44, BW$8, Matrix!$D$6)=0,"",_xll.IMDP("IR", $F44, BW$8, Matrix!$D$6)), "")</f>
        <v/>
      </c>
      <c r="BX44" t="str" cm="1">
        <f t="array" aca="1" ref="BX44" ca="1">IF( AND($F$7,NOT(ISBLANK($F44))), IF( _xll.IMDP("IR", $F44, BX$8, Matrix!$D$6)=0,"",_xll.IMDP("IR", $F44, BX$8, Matrix!$D$6)), "")</f>
        <v/>
      </c>
      <c r="BY44" cm="1">
        <f t="array" aca="1" ref="BY44" ca="1">IF( AND($G$7,NOT(ISBLANK($G44))), IF( _xll.IMDP("IR", $G44, BY$8, Matrix!$D$6)=0, "", _xll.IMDP("IR", $G44, BY$8, Matrix!$D$6)), "")</f>
        <v>3.4409999999999998</v>
      </c>
      <c r="BZ44" cm="1">
        <f t="array" aca="1" ref="BZ44" ca="1">IF( AND($G$7,NOT(ISBLANK($G44))), IF( _xll.IMDP("IR", $G44, BZ$8, Matrix!$D$6)=0, "", _xll.IMDP("IR", $G44, BZ$8, Matrix!$D$6)), "")</f>
        <v>3.4209999999999998</v>
      </c>
      <c r="CA44" cm="1">
        <f t="array" aca="1" ref="CA44" ca="1">IF( AND($G$7,NOT(ISBLANK($G44))), IF( _xll.IMDP("IR", $G44, CA$8, Matrix!$D$6)=0, "", _xll.IMDP("IR", $G44, CA$8, Matrix!$D$6)), "")</f>
        <v>3.391</v>
      </c>
      <c r="CB44" cm="1">
        <f t="array" aca="1" ref="CB44" ca="1">IF( AND($G$7,NOT(ISBLANK($G44))), IF( _xll.IMDP("IR", $G44, CB$8, Matrix!$D$6)=0, "", _xll.IMDP("IR", $G44, CB$8, Matrix!$D$6)), "")</f>
        <v>3.419</v>
      </c>
      <c r="CC44" cm="1">
        <f t="array" aca="1" ref="CC44" ca="1">IF( AND($G$7,NOT(ISBLANK($G44))), IF( _xll.IMDP("IR", $G44, CC$8, Matrix!$D$6)=0, "", _xll.IMDP("IR", $G44, CC$8, Matrix!$D$6)), "")</f>
        <v>3.4729999999999999</v>
      </c>
      <c r="CD44" cm="1">
        <f t="array" aca="1" ref="CD44" ca="1">IF( AND($G$7,NOT(ISBLANK($G44))), IF( _xll.IMDP("IR", $G44, CD$8, Matrix!$D$6)=0, "", _xll.IMDP("IR", $G44, CD$8, Matrix!$D$6)), "")</f>
        <v>3.4649999999999999</v>
      </c>
      <c r="CE44" cm="1">
        <f t="array" aca="1" ref="CE44" ca="1">IF( AND($G$7,NOT(ISBLANK($G44))), IF( _xll.IMDP("IR", $G44, CE$8, Matrix!$D$6)=0, "", _xll.IMDP("IR", $G44, CE$8, Matrix!$D$6)), "")</f>
        <v>3.4220000000000002</v>
      </c>
      <c r="CF44" cm="1">
        <f t="array" aca="1" ref="CF44" ca="1">IF( AND($G$7,NOT(ISBLANK($G44))), IF( _xll.IMDP("IR", $G44, CF$8, Matrix!$D$6)=0, "", _xll.IMDP("IR", $G44, CF$8, Matrix!$D$6)), "")</f>
        <v>3.4239999999999999</v>
      </c>
      <c r="CG44" cm="1">
        <f t="array" aca="1" ref="CG44" ca="1">IF( AND($G$7,NOT(ISBLANK($G44))), IF( _xll.IMDP("IR", $G44, CG$8, Matrix!$D$6)=0, "", _xll.IMDP("IR", $G44, CG$8, Matrix!$D$6)), "")</f>
        <v>3.4279999999999999</v>
      </c>
      <c r="CH44" cm="1">
        <f t="array" aca="1" ref="CH44" ca="1">IF( AND($G$7,NOT(ISBLANK($G44))), IF( _xll.IMDP("IR", $G44, CH$8, Matrix!$D$6)=0, "", _xll.IMDP("IR", $G44, CH$8, Matrix!$D$6)), "")</f>
        <v>3.5310000000000001</v>
      </c>
      <c r="CI44" cm="1">
        <f t="array" aca="1" ref="CI44" ca="1">IF( AND($G$7,NOT(ISBLANK($G44))), IF( _xll.IMDP("IR", $G44, CI$8, Matrix!$D$6)=0, "", _xll.IMDP("IR", $G44, CI$8, Matrix!$D$6)), "")</f>
        <v>3.927</v>
      </c>
      <c r="CJ44" cm="1">
        <f t="array" aca="1" ref="CJ44" ca="1">IF( AND($G$7,NOT(ISBLANK($G44))), IF( _xll.IMDP("IR", $G44, CJ$8, Matrix!$D$6)=0, "", _xll.IMDP("IR", $G44, CJ$8, Matrix!$D$6)), "")</f>
        <v>4.4829999999999997</v>
      </c>
      <c r="CK44" cm="1">
        <f t="array" aca="1" ref="CK44" ca="1">IF( AND($G$7,NOT(ISBLANK($G44))), IF( _xll.IMDP("IR", $G44, CK$8, Matrix!$D$6)=0, "", _xll.IMDP("IR", $G44, CK$8, Matrix!$D$6)), "")</f>
        <v>4.8959999999999999</v>
      </c>
      <c r="CL44" cm="1">
        <f t="array" aca="1" ref="CL44" ca="1">IF( AND($G$7,NOT(ISBLANK($G44))), IF( _xll.IMDP("IR", $G44, CL$8, Matrix!$D$6)=0, "", _xll.IMDP("IR", $G44, CL$8, Matrix!$D$6)), "")</f>
        <v>5.1349999999999998</v>
      </c>
      <c r="CM44" t="str" cm="1">
        <f t="array" aca="1" ref="CM44" ca="1">IF( AND($G$7,NOT(ISBLANK($G44))), IF( _xll.IMDP("IR", $G44, CM$8, Matrix!$D$6)=0, "", _xll.IMDP("IR", $G44, CM$8, Matrix!$D$6)), "")</f>
        <v/>
      </c>
      <c r="CN44" t="str" cm="1">
        <f t="array" aca="1" ref="CN44" ca="1">IF( AND($G$7,NOT(ISBLANK($G44))), IF( _xll.IMDP("IR", $G44, CN$8, Matrix!$D$6)=0, "", _xll.IMDP("IR", $G44, CN$8, Matrix!$D$6)), "")</f>
        <v/>
      </c>
      <c r="CO44" t="str" cm="1">
        <f t="array" ref="CO44">IF( AND($H$7,NOT(ISBLANK($H44))), IF( _xll.IMDP("IR", $H44, CO$8, Matrix!$D$6)=0, "", _xll.IMDP("IR", $H44, CO$8, Matrix!$D$6)), "")</f>
        <v/>
      </c>
      <c r="CP44" t="str" cm="1">
        <f t="array" ref="CP44">IF( AND($H$7,NOT(ISBLANK($H44))), IF( _xll.IMDP("IR", $H44, CP$8, Matrix!$D$6)=0, "", _xll.IMDP("IR", $H44, CP$8, Matrix!$D$6)), "")</f>
        <v/>
      </c>
      <c r="CQ44" t="str" cm="1">
        <f t="array" ref="CQ44">IF( AND($H$7,NOT(ISBLANK($H44))), IF( _xll.IMDP("IR", $H44, CQ$8, Matrix!$D$6)=0, "", _xll.IMDP("IR", $H44, CQ$8, Matrix!$D$6)), "")</f>
        <v/>
      </c>
      <c r="CR44" t="str" cm="1">
        <f t="array" ref="CR44">IF( AND($H$7,NOT(ISBLANK($H44))), IF( _xll.IMDP("IR", $H44, CR$8, Matrix!$D$6)=0, "", _xll.IMDP("IR", $H44, CR$8, Matrix!$D$6)), "")</f>
        <v/>
      </c>
      <c r="CS44" t="str" cm="1">
        <f t="array" ref="CS44">IF( AND($H$7,NOT(ISBLANK($H44))), IF( _xll.IMDP("IR", $H44, CS$8, Matrix!$D$6)=0, "", _xll.IMDP("IR", $H44, CS$8, Matrix!$D$6)), "")</f>
        <v/>
      </c>
      <c r="CT44" t="str" cm="1">
        <f t="array" ref="CT44">IF( AND($H$7,NOT(ISBLANK($H44))), IF( _xll.IMDP("IR", $H44, CT$8, Matrix!$D$6)=0, "", _xll.IMDP("IR", $H44, CT$8, Matrix!$D$6)), "")</f>
        <v/>
      </c>
      <c r="CU44" t="str" cm="1">
        <f t="array" ref="CU44">IF( AND($H$7,NOT(ISBLANK($H44))), IF( _xll.IMDP("IR", $H44, CU$8, Matrix!$D$6)=0, "", _xll.IMDP("IR", $H44, CU$8, Matrix!$D$6)), "")</f>
        <v/>
      </c>
      <c r="CV44" t="str" cm="1">
        <f t="array" ref="CV44">IF( AND($H$7,NOT(ISBLANK($H44))), IF( _xll.IMDP("IR", $H44, CV$8, Matrix!$D$6)=0, "", _xll.IMDP("IR", $H44, CV$8, Matrix!$D$6)), "")</f>
        <v/>
      </c>
      <c r="CW44" t="str" cm="1">
        <f t="array" ref="CW44">IF( AND($H$7,NOT(ISBLANK($H44))), IF( _xll.IMDP("IR", $H44, CW$8, Matrix!$D$6)=0, "", _xll.IMDP("IR", $H44, CW$8, Matrix!$D$6)), "")</f>
        <v/>
      </c>
      <c r="CX44" t="str" cm="1">
        <f t="array" ref="CX44">IF( AND($H$7,NOT(ISBLANK($H44))), IF( _xll.IMDP("IR", $H44, CX$8, Matrix!$D$6)=0, "", _xll.IMDP("IR", $H44, CX$8, Matrix!$D$6)), "")</f>
        <v/>
      </c>
      <c r="CY44" t="str" cm="1">
        <f t="array" ref="CY44">IF( AND($H$7,NOT(ISBLANK($H44))), IF( _xll.IMDP("IR", $H44, CY$8, Matrix!$D$6)=0, "", _xll.IMDP("IR", $H44, CY$8, Matrix!$D$6)), "")</f>
        <v/>
      </c>
      <c r="CZ44" t="str" cm="1">
        <f t="array" ref="CZ44">IF( AND($H$7,NOT(ISBLANK($H44))), IF( _xll.IMDP("IR", $H44, CZ$8, Matrix!$D$6)=0, "", _xll.IMDP("IR", $H44, CZ$8, Matrix!$D$6)), "")</f>
        <v/>
      </c>
      <c r="DA44" t="str" cm="1">
        <f t="array" ref="DA44">IF( AND($H$7,NOT(ISBLANK($H44))), IF( _xll.IMDP("IR", $H44, DA$8, Matrix!$D$6)=0, "", _xll.IMDP("IR", $H44, DA$8, Matrix!$D$6)), "")</f>
        <v/>
      </c>
      <c r="DB44" t="str" cm="1">
        <f t="array" ref="DB44">IF( AND($H$7,NOT(ISBLANK($H44))), IF( _xll.IMDP("IR", $H44, DB$8, Matrix!$D$6)=0, "", _xll.IMDP("IR", $H44, DB$8, Matrix!$D$6)), "")</f>
        <v/>
      </c>
      <c r="DC44" t="str" cm="1">
        <f t="array" ref="DC44">IF( AND($H$7,NOT(ISBLANK($H44))), IF( _xll.IMDP("IR", $H44, DC$8, Matrix!$D$6)=0, "", _xll.IMDP("IR", $H44, DC$8, Matrix!$D$6)), "")</f>
        <v/>
      </c>
      <c r="DD44" t="str" cm="1">
        <f t="array" ref="DD44">IF( AND($H$7,NOT(ISBLANK($H44))), IF( _xll.IMDP("IR", $H44, DD$8, Matrix!$D$6)=0, "", _xll.IMDP("IR", $H44, DD$8, Matrix!$D$6)), "")</f>
        <v/>
      </c>
    </row>
    <row r="45" spans="2:108">
      <c r="B45" t="s">
        <v>113</v>
      </c>
      <c r="C45" t="s">
        <v>187</v>
      </c>
      <c r="D45" t="s">
        <v>259</v>
      </c>
      <c r="E45" t="s">
        <v>324</v>
      </c>
      <c r="F45" t="s">
        <v>387</v>
      </c>
      <c r="G45" t="s">
        <v>453</v>
      </c>
      <c r="M45" s="21">
        <f t="shared" ca="1" si="1"/>
        <v>3.4819844326359353</v>
      </c>
      <c r="N45" s="21">
        <f t="shared" ca="1" si="2"/>
        <v>3.4699807996890408</v>
      </c>
      <c r="O45" s="21">
        <f t="shared" ca="1" si="3"/>
        <v>3.4624797244206271</v>
      </c>
      <c r="P45" s="21">
        <f t="shared" ca="1" si="4"/>
        <v>3.4954482378766083</v>
      </c>
      <c r="Q45" s="21">
        <f t="shared" ca="1" si="5"/>
        <v>3.5514908265450527</v>
      </c>
      <c r="R45" s="21">
        <f t="shared" ca="1" si="6"/>
        <v>3.5507330247498365</v>
      </c>
      <c r="S45" s="21">
        <f t="shared" ca="1" si="7"/>
        <v>3.5407204528878395</v>
      </c>
      <c r="T45" s="21">
        <f t="shared" ca="1" si="8"/>
        <v>3.5424926235799248</v>
      </c>
      <c r="U45" s="21">
        <f t="shared" ca="1" si="9"/>
        <v>3.5514948965187285</v>
      </c>
      <c r="V45" s="21">
        <f t="shared" ca="1" si="10"/>
        <v>3.6592413803441133</v>
      </c>
      <c r="W45" s="21">
        <f t="shared" ca="1" si="11"/>
        <v>4.1312464676636331</v>
      </c>
      <c r="X45" s="21">
        <f t="shared" ca="1" si="12"/>
        <v>4.7174831301786497</v>
      </c>
      <c r="Y45" s="21">
        <f t="shared" ca="1" si="13"/>
        <v>5.1494773481186611</v>
      </c>
      <c r="Z45" s="21">
        <f t="shared" ca="1" si="14"/>
        <v>5.3724771944747927</v>
      </c>
      <c r="AA45" s="21" t="e">
        <f t="shared" ca="1" si="15"/>
        <v>#NUM!</v>
      </c>
      <c r="AB45" s="21" t="e">
        <f t="shared" ca="1" si="16"/>
        <v>#NUM!</v>
      </c>
      <c r="AC45" cm="1">
        <f t="array" aca="1" ref="AC45" ca="1">IF( AND($D$7,NOT(ISBLANK($D45))), IF(_xll.IMDP("IR", $D45, AC$8, Matrix!$D$6)=0,"",_xll.IMDP("IR", $D45, AC$8, Matrix!$D$6)), "")</f>
        <v>3.4790000000000001</v>
      </c>
      <c r="AD45" cm="1">
        <f t="array" aca="1" ref="AD45" ca="1">IF( AND($D$7,NOT(ISBLANK($D45))), IF(_xll.IMDP("IR", $D45, AD$8, Matrix!$D$6)=0,"",_xll.IMDP("IR", $D45, AD$8, Matrix!$D$6)), "")</f>
        <v>3.4769999999999999</v>
      </c>
      <c r="AE45" cm="1">
        <f t="array" aca="1" ref="AE45" ca="1">IF( AND($D$7,NOT(ISBLANK($D45))), IF(_xll.IMDP("IR", $D45, AE$8, Matrix!$D$6)=0,"",_xll.IMDP("IR", $D45, AE$8, Matrix!$D$6)), "")</f>
        <v>3.4649999999999999</v>
      </c>
      <c r="AF45" cm="1">
        <f t="array" aca="1" ref="AF45" ca="1">IF( AND($D$7,NOT(ISBLANK($D45))), IF(_xll.IMDP("IR", $D45, AF$8, Matrix!$D$6)=0,"",_xll.IMDP("IR", $D45, AF$8, Matrix!$D$6)), "")</f>
        <v>3.49</v>
      </c>
      <c r="AG45" cm="1">
        <f t="array" aca="1" ref="AG45" ca="1">IF( AND($D$7,NOT(ISBLANK($D45))), IF(_xll.IMDP("IR", $D45, AG$8, Matrix!$D$6)=0,"",_xll.IMDP("IR", $D45, AG$8, Matrix!$D$6)), "")</f>
        <v>3.5470000000000002</v>
      </c>
      <c r="AH45" cm="1">
        <f t="array" aca="1" ref="AH45" ca="1">IF( AND($D$7,NOT(ISBLANK($D45))), IF(_xll.IMDP("IR", $D45, AH$8, Matrix!$D$6)=0,"",_xll.IMDP("IR", $D45, AH$8, Matrix!$D$6)), "")</f>
        <v>3.5459999999999998</v>
      </c>
      <c r="AI45" cm="1">
        <f t="array" aca="1" ref="AI45" ca="1">IF( AND($D$7,NOT(ISBLANK($D45))), IF(_xll.IMDP("IR", $D45, AI$8, Matrix!$D$6)=0,"",_xll.IMDP("IR", $D45, AI$8, Matrix!$D$6)), "")</f>
        <v>3.53</v>
      </c>
      <c r="AJ45" cm="1">
        <f t="array" aca="1" ref="AJ45" ca="1">IF( AND($D$7,NOT(ISBLANK($D45))), IF(_xll.IMDP("IR", $D45, AJ$8, Matrix!$D$6)=0,"",_xll.IMDP("IR", $D45, AJ$8, Matrix!$D$6)), "")</f>
        <v>3.5329999999999999</v>
      </c>
      <c r="AK45" cm="1">
        <f t="array" aca="1" ref="AK45" ca="1">IF( AND($D$7,NOT(ISBLANK($D45))), IF(_xll.IMDP("IR", $D45, AK$8, Matrix!$D$6)=0,"",_xll.IMDP("IR", $D45, AK$8, Matrix!$D$6)), "")</f>
        <v>3.5449999999999999</v>
      </c>
      <c r="AL45" cm="1">
        <f t="array" aca="1" ref="AL45" ca="1">IF( AND($D$7,NOT(ISBLANK($D45))), IF(_xll.IMDP("IR", $D45, AL$8, Matrix!$D$6)=0,"",_xll.IMDP("IR", $D45, AL$8, Matrix!$D$6)), "")</f>
        <v>3.6549999999999998</v>
      </c>
      <c r="AM45" cm="1">
        <f t="array" aca="1" ref="AM45" ca="1">IF( AND($D$7,NOT(ISBLANK($D45))), IF(_xll.IMDP("IR", $D45, AM$8, Matrix!$D$6)=0,"",_xll.IMDP("IR", $D45, AM$8, Matrix!$D$6)), "")</f>
        <v>4.125</v>
      </c>
      <c r="AN45" cm="1">
        <f t="array" aca="1" ref="AN45" ca="1">IF( AND($D$7,NOT(ISBLANK($D45))), IF(_xll.IMDP("IR", $D45, AN$8, Matrix!$D$6)=0,"",_xll.IMDP("IR", $D45, AN$8, Matrix!$D$6)), "")</f>
        <v>4.7210000000000001</v>
      </c>
      <c r="AO45" cm="1">
        <f t="array" aca="1" ref="AO45" ca="1">IF( AND($D$7,NOT(ISBLANK($D45))), IF(_xll.IMDP("IR", $D45, AO$8, Matrix!$D$6)=0,"",_xll.IMDP("IR", $D45, AO$8, Matrix!$D$6)), "")</f>
        <v>5.1280000000000001</v>
      </c>
      <c r="AP45" cm="1">
        <f t="array" aca="1" ref="AP45" ca="1">IF( AND($D$7,NOT(ISBLANK($D45))), IF(_xll.IMDP("IR", $D45, AP$8, Matrix!$D$6)=0,"",_xll.IMDP("IR", $D45, AP$8, Matrix!$D$6)), "")</f>
        <v>5.3879999999999999</v>
      </c>
      <c r="AQ45" t="str" cm="1">
        <f t="array" aca="1" ref="AQ45" ca="1">IF( AND($D$7,NOT(ISBLANK($D45))), IF(_xll.IMDP("IR", $D45, AQ$8, Matrix!$D$6)=0,"",_xll.IMDP("IR", $D45, AQ$8, Matrix!$D$6)), "")</f>
        <v/>
      </c>
      <c r="AR45" t="str" cm="1">
        <f t="array" aca="1" ref="AR45" ca="1">IF( AND($D$7,NOT(ISBLANK($D45))), IF(_xll.IMDP("IR", $D45, AR$8, Matrix!$D$6)=0,"",_xll.IMDP("IR", $D45, AR$8, Matrix!$D$6)), "")</f>
        <v/>
      </c>
      <c r="AS45" cm="1">
        <f t="array" aca="1" ref="AS45" ca="1">IF( AND($E$7,NOT(ISBLANK($E45))), IF( _xll.IMDP("IR", $E45, AS$8, Matrix!$D$6)=0,"",_xll.IMDP("IR", $E45, AS$8, Matrix!$D$6)), "")</f>
        <v>3.4820000000000002</v>
      </c>
      <c r="AT45" cm="1">
        <f t="array" aca="1" ref="AT45" ca="1">IF( AND($E$7,NOT(ISBLANK($E45))), IF( _xll.IMDP("IR", $E45, AT$8, Matrix!$D$6)=0,"",_xll.IMDP("IR", $E45, AT$8, Matrix!$D$6)), "")</f>
        <v>3.4809999999999999</v>
      </c>
      <c r="AU45" cm="1">
        <f t="array" aca="1" ref="AU45" ca="1">IF( AND($E$7,NOT(ISBLANK($E45))), IF( _xll.IMDP("IR", $E45, AU$8, Matrix!$D$6)=0,"",_xll.IMDP("IR", $E45, AU$8, Matrix!$D$6)), "")</f>
        <v>3.464</v>
      </c>
      <c r="AV45" cm="1">
        <f t="array" aca="1" ref="AV45" ca="1">IF( AND($E$7,NOT(ISBLANK($E45))), IF( _xll.IMDP("IR", $E45, AV$8, Matrix!$D$6)=0,"",_xll.IMDP("IR", $E45, AV$8, Matrix!$D$6)), "")</f>
        <v>3.4830000000000001</v>
      </c>
      <c r="AW45" cm="1">
        <f t="array" aca="1" ref="AW45" ca="1">IF( AND($E$7,NOT(ISBLANK($E45))), IF( _xll.IMDP("IR", $E45, AW$8, Matrix!$D$6)=0,"",_xll.IMDP("IR", $E45, AW$8, Matrix!$D$6)), "")</f>
        <v>3.55</v>
      </c>
      <c r="AX45" cm="1">
        <f t="array" aca="1" ref="AX45" ca="1">IF( AND($E$7,NOT(ISBLANK($E45))), IF( _xll.IMDP("IR", $E45, AX$8, Matrix!$D$6)=0,"",_xll.IMDP("IR", $E45, AX$8, Matrix!$D$6)), "")</f>
        <v>3.5510000000000002</v>
      </c>
      <c r="AY45" cm="1">
        <f t="array" aca="1" ref="AY45" ca="1">IF( AND($E$7,NOT(ISBLANK($E45))), IF( _xll.IMDP("IR", $E45, AY$8, Matrix!$D$6)=0,"",_xll.IMDP("IR", $E45, AY$8, Matrix!$D$6)), "")</f>
        <v>3.5550000000000002</v>
      </c>
      <c r="AZ45" cm="1">
        <f t="array" aca="1" ref="AZ45" ca="1">IF( AND($E$7,NOT(ISBLANK($E45))), IF( _xll.IMDP("IR", $E45, AZ$8, Matrix!$D$6)=0,"",_xll.IMDP("IR", $E45, AZ$8, Matrix!$D$6)), "")</f>
        <v>3.5489999999999999</v>
      </c>
      <c r="BA45" cm="1">
        <f t="array" aca="1" ref="BA45" ca="1">IF( AND($E$7,NOT(ISBLANK($E45))), IF( _xll.IMDP("IR", $E45, BA$8, Matrix!$D$6)=0,"",_xll.IMDP("IR", $E45, BA$8, Matrix!$D$6)), "")</f>
        <v>3.5569999999999999</v>
      </c>
      <c r="BB45" cm="1">
        <f t="array" aca="1" ref="BB45" ca="1">IF( AND($E$7,NOT(ISBLANK($E45))), IF( _xll.IMDP("IR", $E45, BB$8, Matrix!$D$6)=0,"",_xll.IMDP("IR", $E45, BB$8, Matrix!$D$6)), "")</f>
        <v>3.6539999999999999</v>
      </c>
      <c r="BC45" cm="1">
        <f t="array" aca="1" ref="BC45" ca="1">IF( AND($E$7,NOT(ISBLANK($E45))), IF( _xll.IMDP("IR", $E45, BC$8, Matrix!$D$6)=0,"",_xll.IMDP("IR", $E45, BC$8, Matrix!$D$6)), "")</f>
        <v>4.1379999999999999</v>
      </c>
      <c r="BD45" cm="1">
        <f t="array" aca="1" ref="BD45" ca="1">IF( AND($E$7,NOT(ISBLANK($E45))), IF( _xll.IMDP("IR", $E45, BD$8, Matrix!$D$6)=0,"",_xll.IMDP("IR", $E45, BD$8, Matrix!$D$6)), "")</f>
        <v>4.702</v>
      </c>
      <c r="BE45" cm="1">
        <f t="array" aca="1" ref="BE45" ca="1">IF( AND($E$7,NOT(ISBLANK($E45))), IF( _xll.IMDP("IR", $E45, BE$8, Matrix!$D$6)=0,"",_xll.IMDP("IR", $E45, BE$8, Matrix!$D$6)), "")</f>
        <v>5.1550000000000002</v>
      </c>
      <c r="BF45" cm="1">
        <f t="array" aca="1" ref="BF45" ca="1">IF( AND($E$7,NOT(ISBLANK($E45))), IF( _xll.IMDP("IR", $E45, BF$8, Matrix!$D$6)=0,"",_xll.IMDP("IR", $E45, BF$8, Matrix!$D$6)), "")</f>
        <v>5.3479999999999999</v>
      </c>
      <c r="BG45" t="str" cm="1">
        <f t="array" aca="1" ref="BG45" ca="1">IF( AND($E$7,NOT(ISBLANK($E45))), IF( _xll.IMDP("IR", $E45, BG$8, Matrix!$D$6)=0,"",_xll.IMDP("IR", $E45, BG$8, Matrix!$D$6)), "")</f>
        <v/>
      </c>
      <c r="BH45" t="str" cm="1">
        <f t="array" aca="1" ref="BH45" ca="1">IF( AND($E$7,NOT(ISBLANK($E45))), IF( _xll.IMDP("IR", $E45, BH$8, Matrix!$D$6)=0,"",_xll.IMDP("IR", $E45, BH$8, Matrix!$D$6)), "")</f>
        <v/>
      </c>
      <c r="BI45" cm="1">
        <f t="array" aca="1" ref="BI45" ca="1">IF( AND($F$7,NOT(ISBLANK($F45))), IF( _xll.IMDP("IR", $F45, BI$8, Matrix!$D$6)=0,"",_xll.IMDP("IR", $F45, BI$8, Matrix!$D$6)), "")</f>
        <v>3.4980000000000002</v>
      </c>
      <c r="BJ45" cm="1">
        <f t="array" aca="1" ref="BJ45" ca="1">IF( AND($F$7,NOT(ISBLANK($F45))), IF( _xll.IMDP("IR", $F45, BJ$8, Matrix!$D$6)=0,"",_xll.IMDP("IR", $F45, BJ$8, Matrix!$D$6)), "")</f>
        <v>3.4710000000000001</v>
      </c>
      <c r="BK45" cm="1">
        <f t="array" aca="1" ref="BK45" ca="1">IF( AND($F$7,NOT(ISBLANK($F45))), IF( _xll.IMDP("IR", $F45, BK$8, Matrix!$D$6)=0,"",_xll.IMDP("IR", $F45, BK$8, Matrix!$D$6)), "")</f>
        <v>3.4769999999999999</v>
      </c>
      <c r="BL45" cm="1">
        <f t="array" aca="1" ref="BL45" ca="1">IF( AND($F$7,NOT(ISBLANK($F45))), IF( _xll.IMDP("IR", $F45, BL$8, Matrix!$D$6)=0,"",_xll.IMDP("IR", $F45, BL$8, Matrix!$D$6)), "")</f>
        <v>3.528</v>
      </c>
      <c r="BM45" cm="1">
        <f t="array" aca="1" ref="BM45" ca="1">IF( AND($F$7,NOT(ISBLANK($F45))), IF( _xll.IMDP("IR", $F45, BM$8, Matrix!$D$6)=0,"",_xll.IMDP("IR", $F45, BM$8, Matrix!$D$6)), "")</f>
        <v>3.5649999999999999</v>
      </c>
      <c r="BN45" cm="1">
        <f t="array" aca="1" ref="BN45" ca="1">IF( AND($F$7,NOT(ISBLANK($F45))), IF( _xll.IMDP("IR", $F45, BN$8, Matrix!$D$6)=0,"",_xll.IMDP("IR", $F45, BN$8, Matrix!$D$6)), "")</f>
        <v>3.5680000000000001</v>
      </c>
      <c r="BO45" cm="1">
        <f t="array" aca="1" ref="BO45" ca="1">IF( AND($F$7,NOT(ISBLANK($F45))), IF( _xll.IMDP("IR", $F45, BO$8, Matrix!$D$6)=0,"",_xll.IMDP("IR", $F45, BO$8, Matrix!$D$6)), "")</f>
        <v>3.5550000000000002</v>
      </c>
      <c r="BP45" cm="1">
        <f t="array" aca="1" ref="BP45" ca="1">IF( AND($F$7,NOT(ISBLANK($F45))), IF( _xll.IMDP("IR", $F45, BP$8, Matrix!$D$6)=0,"",_xll.IMDP("IR", $F45, BP$8, Matrix!$D$6)), "")</f>
        <v>3.55</v>
      </c>
      <c r="BQ45" cm="1">
        <f t="array" aca="1" ref="BQ45" ca="1">IF( AND($F$7,NOT(ISBLANK($F45))), IF( _xll.IMDP("IR", $F45, BQ$8, Matrix!$D$6)=0,"",_xll.IMDP("IR", $F45, BQ$8, Matrix!$D$6)), "")</f>
        <v>3.5579999999999998</v>
      </c>
      <c r="BR45" cm="1">
        <f t="array" aca="1" ref="BR45" ca="1">IF( AND($F$7,NOT(ISBLANK($F45))), IF( _xll.IMDP("IR", $F45, BR$8, Matrix!$D$6)=0,"",_xll.IMDP("IR", $F45, BR$8, Matrix!$D$6)), "")</f>
        <v>3.673</v>
      </c>
      <c r="BS45" cm="1">
        <f t="array" aca="1" ref="BS45" ca="1">IF( AND($F$7,NOT(ISBLANK($F45))), IF( _xll.IMDP("IR", $F45, BS$8, Matrix!$D$6)=0,"",_xll.IMDP("IR", $F45, BS$8, Matrix!$D$6)), "")</f>
        <v>4.1349999999999998</v>
      </c>
      <c r="BT45" cm="1">
        <f t="array" aca="1" ref="BT45" ca="1">IF( AND($F$7,NOT(ISBLANK($F45))), IF( _xll.IMDP("IR", $F45, BT$8, Matrix!$D$6)=0,"",_xll.IMDP("IR", $F45, BT$8, Matrix!$D$6)), "")</f>
        <v>4.7359999999999998</v>
      </c>
      <c r="BU45" cm="1">
        <f t="array" aca="1" ref="BU45" ca="1">IF( AND($F$7,NOT(ISBLANK($F45))), IF( _xll.IMDP("IR", $F45, BU$8, Matrix!$D$6)=0,"",_xll.IMDP("IR", $F45, BU$8, Matrix!$D$6)), "")</f>
        <v>5.17</v>
      </c>
      <c r="BV45" cm="1">
        <f t="array" aca="1" ref="BV45" ca="1">IF( AND($F$7,NOT(ISBLANK($F45))), IF( _xll.IMDP("IR", $F45, BV$8, Matrix!$D$6)=0,"",_xll.IMDP("IR", $F45, BV$8, Matrix!$D$6)), "")</f>
        <v>5.3840000000000003</v>
      </c>
      <c r="BW45" t="str" cm="1">
        <f t="array" aca="1" ref="BW45" ca="1">IF( AND($F$7,NOT(ISBLANK($F45))), IF( _xll.IMDP("IR", $F45, BW$8, Matrix!$D$6)=0,"",_xll.IMDP("IR", $F45, BW$8, Matrix!$D$6)), "")</f>
        <v/>
      </c>
      <c r="BX45" t="str" cm="1">
        <f t="array" aca="1" ref="BX45" ca="1">IF( AND($F$7,NOT(ISBLANK($F45))), IF( _xll.IMDP("IR", $F45, BX$8, Matrix!$D$6)=0,"",_xll.IMDP("IR", $F45, BX$8, Matrix!$D$6)), "")</f>
        <v/>
      </c>
      <c r="BY45" cm="1">
        <f t="array" aca="1" ref="BY45" ca="1">IF( AND($G$7,NOT(ISBLANK($G45))), IF( _xll.IMDP("IR", $G45, BY$8, Matrix!$D$6)=0, "", _xll.IMDP("IR", $G45, BY$8, Matrix!$D$6)), "")</f>
        <v>3.4689999999999999</v>
      </c>
      <c r="BZ45" cm="1">
        <f t="array" aca="1" ref="BZ45" ca="1">IF( AND($G$7,NOT(ISBLANK($G45))), IF( _xll.IMDP("IR", $G45, BZ$8, Matrix!$D$6)=0, "", _xll.IMDP("IR", $G45, BZ$8, Matrix!$D$6)), "")</f>
        <v>3.4510000000000001</v>
      </c>
      <c r="CA45" cm="1">
        <f t="array" aca="1" ref="CA45" ca="1">IF( AND($G$7,NOT(ISBLANK($G45))), IF( _xll.IMDP("IR", $G45, CA$8, Matrix!$D$6)=0, "", _xll.IMDP("IR", $G45, CA$8, Matrix!$D$6)), "")</f>
        <v>3.444</v>
      </c>
      <c r="CB45" cm="1">
        <f t="array" aca="1" ref="CB45" ca="1">IF( AND($G$7,NOT(ISBLANK($G45))), IF( _xll.IMDP("IR", $G45, CB$8, Matrix!$D$6)=0, "", _xll.IMDP("IR", $G45, CB$8, Matrix!$D$6)), "")</f>
        <v>3.4809999999999999</v>
      </c>
      <c r="CC45" cm="1">
        <f t="array" aca="1" ref="CC45" ca="1">IF( AND($G$7,NOT(ISBLANK($G45))), IF( _xll.IMDP("IR", $G45, CC$8, Matrix!$D$6)=0, "", _xll.IMDP("IR", $G45, CC$8, Matrix!$D$6)), "")</f>
        <v>3.544</v>
      </c>
      <c r="CD45" cm="1">
        <f t="array" aca="1" ref="CD45" ca="1">IF( AND($G$7,NOT(ISBLANK($G45))), IF( _xll.IMDP("IR", $G45, CD$8, Matrix!$D$6)=0, "", _xll.IMDP("IR", $G45, CD$8, Matrix!$D$6)), "")</f>
        <v>3.5379999999999998</v>
      </c>
      <c r="CE45" cm="1">
        <f t="array" aca="1" ref="CE45" ca="1">IF( AND($G$7,NOT(ISBLANK($G45))), IF( _xll.IMDP("IR", $G45, CE$8, Matrix!$D$6)=0, "", _xll.IMDP("IR", $G45, CE$8, Matrix!$D$6)), "")</f>
        <v>3.5230000000000001</v>
      </c>
      <c r="CF45" cm="1">
        <f t="array" aca="1" ref="CF45" ca="1">IF( AND($G$7,NOT(ISBLANK($G45))), IF( _xll.IMDP("IR", $G45, CF$8, Matrix!$D$6)=0, "", _xll.IMDP("IR", $G45, CF$8, Matrix!$D$6)), "")</f>
        <v>3.5379999999999998</v>
      </c>
      <c r="CG45" cm="1">
        <f t="array" aca="1" ref="CG45" ca="1">IF( AND($G$7,NOT(ISBLANK($G45))), IF( _xll.IMDP("IR", $G45, CG$8, Matrix!$D$6)=0, "", _xll.IMDP("IR", $G45, CG$8, Matrix!$D$6)), "")</f>
        <v>3.5459999999999998</v>
      </c>
      <c r="CH45" cm="1">
        <f t="array" aca="1" ref="CH45" ca="1">IF( AND($G$7,NOT(ISBLANK($G45))), IF( _xll.IMDP("IR", $G45, CH$8, Matrix!$D$6)=0, "", _xll.IMDP("IR", $G45, CH$8, Matrix!$D$6)), "")</f>
        <v>3.6549999999999998</v>
      </c>
      <c r="CI45" cm="1">
        <f t="array" aca="1" ref="CI45" ca="1">IF( AND($G$7,NOT(ISBLANK($G45))), IF( _xll.IMDP("IR", $G45, CI$8, Matrix!$D$6)=0, "", _xll.IMDP("IR", $G45, CI$8, Matrix!$D$6)), "")</f>
        <v>4.1269999999999998</v>
      </c>
      <c r="CJ45" cm="1">
        <f t="array" aca="1" ref="CJ45" ca="1">IF( AND($G$7,NOT(ISBLANK($G45))), IF( _xll.IMDP("IR", $G45, CJ$8, Matrix!$D$6)=0, "", _xll.IMDP("IR", $G45, CJ$8, Matrix!$D$6)), "")</f>
        <v>4.7110000000000003</v>
      </c>
      <c r="CK45" cm="1">
        <f t="array" aca="1" ref="CK45" ca="1">IF( AND($G$7,NOT(ISBLANK($G45))), IF( _xll.IMDP("IR", $G45, CK$8, Matrix!$D$6)=0, "", _xll.IMDP("IR", $G45, CK$8, Matrix!$D$6)), "")</f>
        <v>5.1449999999999996</v>
      </c>
      <c r="CL45" cm="1">
        <f t="array" aca="1" ref="CL45" ca="1">IF( AND($G$7,NOT(ISBLANK($G45))), IF( _xll.IMDP("IR", $G45, CL$8, Matrix!$D$6)=0, "", _xll.IMDP("IR", $G45, CL$8, Matrix!$D$6)), "")</f>
        <v>5.37</v>
      </c>
      <c r="CM45" t="str" cm="1">
        <f t="array" aca="1" ref="CM45" ca="1">IF( AND($G$7,NOT(ISBLANK($G45))), IF( _xll.IMDP("IR", $G45, CM$8, Matrix!$D$6)=0, "", _xll.IMDP("IR", $G45, CM$8, Matrix!$D$6)), "")</f>
        <v/>
      </c>
      <c r="CN45" t="str" cm="1">
        <f t="array" aca="1" ref="CN45" ca="1">IF( AND($G$7,NOT(ISBLANK($G45))), IF( _xll.IMDP("IR", $G45, CN$8, Matrix!$D$6)=0, "", _xll.IMDP("IR", $G45, CN$8, Matrix!$D$6)), "")</f>
        <v/>
      </c>
      <c r="CO45" t="str" cm="1">
        <f t="array" ref="CO45">IF( AND($H$7,NOT(ISBLANK($H45))), IF( _xll.IMDP("IR", $H45, CO$8, Matrix!$D$6)=0, "", _xll.IMDP("IR", $H45, CO$8, Matrix!$D$6)), "")</f>
        <v/>
      </c>
      <c r="CP45" t="str" cm="1">
        <f t="array" ref="CP45">IF( AND($H$7,NOT(ISBLANK($H45))), IF( _xll.IMDP("IR", $H45, CP$8, Matrix!$D$6)=0, "", _xll.IMDP("IR", $H45, CP$8, Matrix!$D$6)), "")</f>
        <v/>
      </c>
      <c r="CQ45" t="str" cm="1">
        <f t="array" ref="CQ45">IF( AND($H$7,NOT(ISBLANK($H45))), IF( _xll.IMDP("IR", $H45, CQ$8, Matrix!$D$6)=0, "", _xll.IMDP("IR", $H45, CQ$8, Matrix!$D$6)), "")</f>
        <v/>
      </c>
      <c r="CR45" t="str" cm="1">
        <f t="array" ref="CR45">IF( AND($H$7,NOT(ISBLANK($H45))), IF( _xll.IMDP("IR", $H45, CR$8, Matrix!$D$6)=0, "", _xll.IMDP("IR", $H45, CR$8, Matrix!$D$6)), "")</f>
        <v/>
      </c>
      <c r="CS45" t="str" cm="1">
        <f t="array" ref="CS45">IF( AND($H$7,NOT(ISBLANK($H45))), IF( _xll.IMDP("IR", $H45, CS$8, Matrix!$D$6)=0, "", _xll.IMDP("IR", $H45, CS$8, Matrix!$D$6)), "")</f>
        <v/>
      </c>
      <c r="CT45" t="str" cm="1">
        <f t="array" ref="CT45">IF( AND($H$7,NOT(ISBLANK($H45))), IF( _xll.IMDP("IR", $H45, CT$8, Matrix!$D$6)=0, "", _xll.IMDP("IR", $H45, CT$8, Matrix!$D$6)), "")</f>
        <v/>
      </c>
      <c r="CU45" t="str" cm="1">
        <f t="array" ref="CU45">IF( AND($H$7,NOT(ISBLANK($H45))), IF( _xll.IMDP("IR", $H45, CU$8, Matrix!$D$6)=0, "", _xll.IMDP("IR", $H45, CU$8, Matrix!$D$6)), "")</f>
        <v/>
      </c>
      <c r="CV45" t="str" cm="1">
        <f t="array" ref="CV45">IF( AND($H$7,NOT(ISBLANK($H45))), IF( _xll.IMDP("IR", $H45, CV$8, Matrix!$D$6)=0, "", _xll.IMDP("IR", $H45, CV$8, Matrix!$D$6)), "")</f>
        <v/>
      </c>
      <c r="CW45" t="str" cm="1">
        <f t="array" ref="CW45">IF( AND($H$7,NOT(ISBLANK($H45))), IF( _xll.IMDP("IR", $H45, CW$8, Matrix!$D$6)=0, "", _xll.IMDP("IR", $H45, CW$8, Matrix!$D$6)), "")</f>
        <v/>
      </c>
      <c r="CX45" t="str" cm="1">
        <f t="array" ref="CX45">IF( AND($H$7,NOT(ISBLANK($H45))), IF( _xll.IMDP("IR", $H45, CX$8, Matrix!$D$6)=0, "", _xll.IMDP("IR", $H45, CX$8, Matrix!$D$6)), "")</f>
        <v/>
      </c>
      <c r="CY45" t="str" cm="1">
        <f t="array" ref="CY45">IF( AND($H$7,NOT(ISBLANK($H45))), IF( _xll.IMDP("IR", $H45, CY$8, Matrix!$D$6)=0, "", _xll.IMDP("IR", $H45, CY$8, Matrix!$D$6)), "")</f>
        <v/>
      </c>
      <c r="CZ45" t="str" cm="1">
        <f t="array" ref="CZ45">IF( AND($H$7,NOT(ISBLANK($H45))), IF( _xll.IMDP("IR", $H45, CZ$8, Matrix!$D$6)=0, "", _xll.IMDP("IR", $H45, CZ$8, Matrix!$D$6)), "")</f>
        <v/>
      </c>
      <c r="DA45" t="str" cm="1">
        <f t="array" ref="DA45">IF( AND($H$7,NOT(ISBLANK($H45))), IF( _xll.IMDP("IR", $H45, DA$8, Matrix!$D$6)=0, "", _xll.IMDP("IR", $H45, DA$8, Matrix!$D$6)), "")</f>
        <v/>
      </c>
      <c r="DB45" t="str" cm="1">
        <f t="array" ref="DB45">IF( AND($H$7,NOT(ISBLANK($H45))), IF( _xll.IMDP("IR", $H45, DB$8, Matrix!$D$6)=0, "", _xll.IMDP("IR", $H45, DB$8, Matrix!$D$6)), "")</f>
        <v/>
      </c>
      <c r="DC45" t="str" cm="1">
        <f t="array" ref="DC45">IF( AND($H$7,NOT(ISBLANK($H45))), IF( _xll.IMDP("IR", $H45, DC$8, Matrix!$D$6)=0, "", _xll.IMDP("IR", $H45, DC$8, Matrix!$D$6)), "")</f>
        <v/>
      </c>
      <c r="DD45" t="str" cm="1">
        <f t="array" ref="DD45">IF( AND($H$7,NOT(ISBLANK($H45))), IF( _xll.IMDP("IR", $H45, DD$8, Matrix!$D$6)=0, "", _xll.IMDP("IR", $H45, DD$8, Matrix!$D$6)), "")</f>
        <v/>
      </c>
    </row>
    <row r="46" spans="2:108">
      <c r="B46" t="s">
        <v>114</v>
      </c>
      <c r="C46" t="s">
        <v>188</v>
      </c>
      <c r="D46" t="s">
        <v>260</v>
      </c>
      <c r="E46" t="s">
        <v>325</v>
      </c>
      <c r="F46" t="s">
        <v>388</v>
      </c>
      <c r="G46" t="s">
        <v>454</v>
      </c>
      <c r="M46" s="21">
        <f t="shared" ca="1" si="1"/>
        <v>4.0032358506476919</v>
      </c>
      <c r="N46" s="21">
        <f t="shared" ca="1" si="2"/>
        <v>4.2703773531250757</v>
      </c>
      <c r="O46" s="21">
        <f t="shared" ca="1" si="3"/>
        <v>4.3592318587171848</v>
      </c>
      <c r="P46" s="21">
        <f t="shared" ca="1" si="4"/>
        <v>4.3874789381591599</v>
      </c>
      <c r="Q46" s="21">
        <f t="shared" ca="1" si="5"/>
        <v>4.4239817699511859</v>
      </c>
      <c r="R46" s="21">
        <f t="shared" ca="1" si="6"/>
        <v>4.4339952658970647</v>
      </c>
      <c r="S46" s="21">
        <f t="shared" ca="1" si="7"/>
        <v>4.48720790030029</v>
      </c>
      <c r="T46" s="21">
        <f t="shared" ca="1" si="8"/>
        <v>4.561219176682628</v>
      </c>
      <c r="U46" s="21">
        <f t="shared" ca="1" si="9"/>
        <v>4.704957647217781</v>
      </c>
      <c r="V46" s="21">
        <f t="shared" ca="1" si="10"/>
        <v>4.8154637405626595</v>
      </c>
      <c r="W46" s="21">
        <f t="shared" ca="1" si="11"/>
        <v>5.0222404244434324</v>
      </c>
      <c r="X46" s="21">
        <f t="shared" ca="1" si="12"/>
        <v>5.4081934776115075</v>
      </c>
      <c r="Y46" s="21">
        <f t="shared" ca="1" si="13"/>
        <v>5.6779331553935357</v>
      </c>
      <c r="Z46" s="21">
        <f t="shared" ca="1" si="14"/>
        <v>5.8126387784408049</v>
      </c>
      <c r="AA46" s="21" t="e">
        <f t="shared" ca="1" si="15"/>
        <v>#NUM!</v>
      </c>
      <c r="AB46" s="21" t="e">
        <f t="shared" ca="1" si="16"/>
        <v>#NUM!</v>
      </c>
      <c r="AC46" cm="1">
        <f t="array" aca="1" ref="AC46" ca="1">IF( AND($D$7,NOT(ISBLANK($D46))), IF(_xll.IMDP("IR", $D46, AC$8, Matrix!$D$6)=0,"",_xll.IMDP("IR", $D46, AC$8, Matrix!$D$6)), "")</f>
        <v>4.01</v>
      </c>
      <c r="AD46" cm="1">
        <f t="array" aca="1" ref="AD46" ca="1">IF( AND($D$7,NOT(ISBLANK($D46))), IF(_xll.IMDP("IR", $D46, AD$8, Matrix!$D$6)=0,"",_xll.IMDP("IR", $D46, AD$8, Matrix!$D$6)), "")</f>
        <v>4.3090000000000002</v>
      </c>
      <c r="AE46" cm="1">
        <f t="array" aca="1" ref="AE46" ca="1">IF( AND($D$7,NOT(ISBLANK($D46))), IF(_xll.IMDP("IR", $D46, AE$8, Matrix!$D$6)=0,"",_xll.IMDP("IR", $D46, AE$8, Matrix!$D$6)), "")</f>
        <v>4.3680000000000003</v>
      </c>
      <c r="AF46" cm="1">
        <f t="array" aca="1" ref="AF46" ca="1">IF( AND($D$7,NOT(ISBLANK($D46))), IF(_xll.IMDP("IR", $D46, AF$8, Matrix!$D$6)=0,"",_xll.IMDP("IR", $D46, AF$8, Matrix!$D$6)), "")</f>
        <v>4.3780000000000001</v>
      </c>
      <c r="AG46" cm="1">
        <f t="array" aca="1" ref="AG46" ca="1">IF( AND($D$7,NOT(ISBLANK($D46))), IF(_xll.IMDP("IR", $D46, AG$8, Matrix!$D$6)=0,"",_xll.IMDP("IR", $D46, AG$8, Matrix!$D$6)), "")</f>
        <v>4.4130000000000003</v>
      </c>
      <c r="AH46" cm="1">
        <f t="array" aca="1" ref="AH46" ca="1">IF( AND($D$7,NOT(ISBLANK($D46))), IF(_xll.IMDP("IR", $D46, AH$8, Matrix!$D$6)=0,"",_xll.IMDP("IR", $D46, AH$8, Matrix!$D$6)), "")</f>
        <v>4.4260000000000002</v>
      </c>
      <c r="AI46" cm="1">
        <f t="array" aca="1" ref="AI46" ca="1">IF( AND($D$7,NOT(ISBLANK($D46))), IF(_xll.IMDP("IR", $D46, AI$8, Matrix!$D$6)=0,"",_xll.IMDP("IR", $D46, AI$8, Matrix!$D$6)), "")</f>
        <v>4.4690000000000003</v>
      </c>
      <c r="AJ46" cm="1">
        <f t="array" aca="1" ref="AJ46" ca="1">IF( AND($D$7,NOT(ISBLANK($D46))), IF(_xll.IMDP("IR", $D46, AJ$8, Matrix!$D$6)=0,"",_xll.IMDP("IR", $D46, AJ$8, Matrix!$D$6)), "")</f>
        <v>4.5439999999999996</v>
      </c>
      <c r="AK46" cm="1">
        <f t="array" aca="1" ref="AK46" ca="1">IF( AND($D$7,NOT(ISBLANK($D46))), IF(_xll.IMDP("IR", $D46, AK$8, Matrix!$D$6)=0,"",_xll.IMDP("IR", $D46, AK$8, Matrix!$D$6)), "")</f>
        <v>4.6749999999999998</v>
      </c>
      <c r="AL46" cm="1">
        <f t="array" aca="1" ref="AL46" ca="1">IF( AND($D$7,NOT(ISBLANK($D46))), IF(_xll.IMDP("IR", $D46, AL$8, Matrix!$D$6)=0,"",_xll.IMDP("IR", $D46, AL$8, Matrix!$D$6)), "")</f>
        <v>4.7930000000000001</v>
      </c>
      <c r="AM46" cm="1">
        <f t="array" aca="1" ref="AM46" ca="1">IF( AND($D$7,NOT(ISBLANK($D46))), IF(_xll.IMDP("IR", $D46, AM$8, Matrix!$D$6)=0,"",_xll.IMDP("IR", $D46, AM$8, Matrix!$D$6)), "")</f>
        <v>5.0279999999999996</v>
      </c>
      <c r="AN46" cm="1">
        <f t="array" aca="1" ref="AN46" ca="1">IF( AND($D$7,NOT(ISBLANK($D46))), IF(_xll.IMDP("IR", $D46, AN$8, Matrix!$D$6)=0,"",_xll.IMDP("IR", $D46, AN$8, Matrix!$D$6)), "")</f>
        <v>5.45</v>
      </c>
      <c r="AO46" cm="1">
        <f t="array" aca="1" ref="AO46" ca="1">IF( AND($D$7,NOT(ISBLANK($D46))), IF(_xll.IMDP("IR", $D46, AO$8, Matrix!$D$6)=0,"",_xll.IMDP("IR", $D46, AO$8, Matrix!$D$6)), "")</f>
        <v>5.7610000000000001</v>
      </c>
      <c r="AP46" cm="1">
        <f t="array" aca="1" ref="AP46" ca="1">IF( AND($D$7,NOT(ISBLANK($D46))), IF(_xll.IMDP("IR", $D46, AP$8, Matrix!$D$6)=0,"",_xll.IMDP("IR", $D46, AP$8, Matrix!$D$6)), "")</f>
        <v>5.87</v>
      </c>
      <c r="AQ46" t="str" cm="1">
        <f t="array" aca="1" ref="AQ46" ca="1">IF( AND($D$7,NOT(ISBLANK($D46))), IF(_xll.IMDP("IR", $D46, AQ$8, Matrix!$D$6)=0,"",_xll.IMDP("IR", $D46, AQ$8, Matrix!$D$6)), "")</f>
        <v/>
      </c>
      <c r="AR46" t="str" cm="1">
        <f t="array" aca="1" ref="AR46" ca="1">IF( AND($D$7,NOT(ISBLANK($D46))), IF(_xll.IMDP("IR", $D46, AR$8, Matrix!$D$6)=0,"",_xll.IMDP("IR", $D46, AR$8, Matrix!$D$6)), "")</f>
        <v/>
      </c>
      <c r="AS46" cm="1">
        <f t="array" aca="1" ref="AS46" ca="1">IF( AND($E$7,NOT(ISBLANK($E46))), IF( _xll.IMDP("IR", $E46, AS$8, Matrix!$D$6)=0,"",_xll.IMDP("IR", $E46, AS$8, Matrix!$D$6)), "")</f>
        <v>4.0010000000000003</v>
      </c>
      <c r="AT46" cm="1">
        <f t="array" aca="1" ref="AT46" ca="1">IF( AND($E$7,NOT(ISBLANK($E46))), IF( _xll.IMDP("IR", $E46, AT$8, Matrix!$D$6)=0,"",_xll.IMDP("IR", $E46, AT$8, Matrix!$D$6)), "")</f>
        <v>4.2930000000000001</v>
      </c>
      <c r="AU46" cm="1">
        <f t="array" aca="1" ref="AU46" ca="1">IF( AND($E$7,NOT(ISBLANK($E46))), IF( _xll.IMDP("IR", $E46, AU$8, Matrix!$D$6)=0,"",_xll.IMDP("IR", $E46, AU$8, Matrix!$D$6)), "")</f>
        <v>4.375</v>
      </c>
      <c r="AV46" cm="1">
        <f t="array" aca="1" ref="AV46" ca="1">IF( AND($E$7,NOT(ISBLANK($E46))), IF( _xll.IMDP("IR", $E46, AV$8, Matrix!$D$6)=0,"",_xll.IMDP("IR", $E46, AV$8, Matrix!$D$6)), "")</f>
        <v>4.38</v>
      </c>
      <c r="AW46" cm="1">
        <f t="array" aca="1" ref="AW46" ca="1">IF( AND($E$7,NOT(ISBLANK($E46))), IF( _xll.IMDP("IR", $E46, AW$8, Matrix!$D$6)=0,"",_xll.IMDP("IR", $E46, AW$8, Matrix!$D$6)), "")</f>
        <v>4.444</v>
      </c>
      <c r="AX46" cm="1">
        <f t="array" aca="1" ref="AX46" ca="1">IF( AND($E$7,NOT(ISBLANK($E46))), IF( _xll.IMDP("IR", $E46, AX$8, Matrix!$D$6)=0,"",_xll.IMDP("IR", $E46, AX$8, Matrix!$D$6)), "")</f>
        <v>4.4320000000000004</v>
      </c>
      <c r="AY46" cm="1">
        <f t="array" aca="1" ref="AY46" ca="1">IF( AND($E$7,NOT(ISBLANK($E46))), IF( _xll.IMDP("IR", $E46, AY$8, Matrix!$D$6)=0,"",_xll.IMDP("IR", $E46, AY$8, Matrix!$D$6)), "")</f>
        <v>4.4960000000000004</v>
      </c>
      <c r="AZ46" cm="1">
        <f t="array" aca="1" ref="AZ46" ca="1">IF( AND($E$7,NOT(ISBLANK($E46))), IF( _xll.IMDP("IR", $E46, AZ$8, Matrix!$D$6)=0,"",_xll.IMDP("IR", $E46, AZ$8, Matrix!$D$6)), "")</f>
        <v>4.577</v>
      </c>
      <c r="BA46" cm="1">
        <f t="array" aca="1" ref="BA46" ca="1">IF( AND($E$7,NOT(ISBLANK($E46))), IF( _xll.IMDP("IR", $E46, BA$8, Matrix!$D$6)=0,"",_xll.IMDP("IR", $E46, BA$8, Matrix!$D$6)), "")</f>
        <v>4.7210000000000001</v>
      </c>
      <c r="BB46" cm="1">
        <f t="array" aca="1" ref="BB46" ca="1">IF( AND($E$7,NOT(ISBLANK($E46))), IF( _xll.IMDP("IR", $E46, BB$8, Matrix!$D$6)=0,"",_xll.IMDP("IR", $E46, BB$8, Matrix!$D$6)), "")</f>
        <v>4.8280000000000003</v>
      </c>
      <c r="BC46" cm="1">
        <f t="array" aca="1" ref="BC46" ca="1">IF( AND($E$7,NOT(ISBLANK($E46))), IF( _xll.IMDP("IR", $E46, BC$8, Matrix!$D$6)=0,"",_xll.IMDP("IR", $E46, BC$8, Matrix!$D$6)), "")</f>
        <v>5.016</v>
      </c>
      <c r="BD46" cm="1">
        <f t="array" aca="1" ref="BD46" ca="1">IF( AND($E$7,NOT(ISBLANK($E46))), IF( _xll.IMDP("IR", $E46, BD$8, Matrix!$D$6)=0,"",_xll.IMDP("IR", $E46, BD$8, Matrix!$D$6)), "")</f>
        <v>5.3949999999999996</v>
      </c>
      <c r="BE46" cm="1">
        <f t="array" aca="1" ref="BE46" ca="1">IF( AND($E$7,NOT(ISBLANK($E46))), IF( _xll.IMDP("IR", $E46, BE$8, Matrix!$D$6)=0,"",_xll.IMDP("IR", $E46, BE$8, Matrix!$D$6)), "")</f>
        <v>5.6959999999999997</v>
      </c>
      <c r="BF46" cm="1">
        <f t="array" aca="1" ref="BF46" ca="1">IF( AND($E$7,NOT(ISBLANK($E46))), IF( _xll.IMDP("IR", $E46, BF$8, Matrix!$D$6)=0,"",_xll.IMDP("IR", $E46, BF$8, Matrix!$D$6)), "")</f>
        <v>5.782</v>
      </c>
      <c r="BG46" t="str" cm="1">
        <f t="array" aca="1" ref="BG46" ca="1">IF( AND($E$7,NOT(ISBLANK($E46))), IF( _xll.IMDP("IR", $E46, BG$8, Matrix!$D$6)=0,"",_xll.IMDP("IR", $E46, BG$8, Matrix!$D$6)), "")</f>
        <v/>
      </c>
      <c r="BH46" t="str" cm="1">
        <f t="array" aca="1" ref="BH46" ca="1">IF( AND($E$7,NOT(ISBLANK($E46))), IF( _xll.IMDP("IR", $E46, BH$8, Matrix!$D$6)=0,"",_xll.IMDP("IR", $E46, BH$8, Matrix!$D$6)), "")</f>
        <v/>
      </c>
      <c r="BI46" cm="1">
        <f t="array" aca="1" ref="BI46" ca="1">IF( AND($F$7,NOT(ISBLANK($F46))), IF( _xll.IMDP("IR", $F46, BI$8, Matrix!$D$6)=0,"",_xll.IMDP("IR", $F46, BI$8, Matrix!$D$6)), "")</f>
        <v>4.0149999999999997</v>
      </c>
      <c r="BJ46" cm="1">
        <f t="array" aca="1" ref="BJ46" ca="1">IF( AND($F$7,NOT(ISBLANK($F46))), IF( _xll.IMDP("IR", $F46, BJ$8, Matrix!$D$6)=0,"",_xll.IMDP("IR", $F46, BJ$8, Matrix!$D$6)), "")</f>
        <v>4.2270000000000003</v>
      </c>
      <c r="BK46" cm="1">
        <f t="array" aca="1" ref="BK46" ca="1">IF( AND($F$7,NOT(ISBLANK($F46))), IF( _xll.IMDP("IR", $F46, BK$8, Matrix!$D$6)=0,"",_xll.IMDP("IR", $F46, BK$8, Matrix!$D$6)), "")</f>
        <v>4.3490000000000002</v>
      </c>
      <c r="BL46" cm="1">
        <f t="array" aca="1" ref="BL46" ca="1">IF( AND($F$7,NOT(ISBLANK($F46))), IF( _xll.IMDP("IR", $F46, BL$8, Matrix!$D$6)=0,"",_xll.IMDP("IR", $F46, BL$8, Matrix!$D$6)), "")</f>
        <v>4.4109999999999996</v>
      </c>
      <c r="BM46" cm="1">
        <f t="array" aca="1" ref="BM46" ca="1">IF( AND($F$7,NOT(ISBLANK($F46))), IF( _xll.IMDP("IR", $F46, BM$8, Matrix!$D$6)=0,"",_xll.IMDP("IR", $F46, BM$8, Matrix!$D$6)), "")</f>
        <v>4.4260000000000002</v>
      </c>
      <c r="BN46" cm="1">
        <f t="array" aca="1" ref="BN46" ca="1">IF( AND($F$7,NOT(ISBLANK($F46))), IF( _xll.IMDP("IR", $F46, BN$8, Matrix!$D$6)=0,"",_xll.IMDP("IR", $F46, BN$8, Matrix!$D$6)), "")</f>
        <v>4.444</v>
      </c>
      <c r="BO46" cm="1">
        <f t="array" aca="1" ref="BO46" ca="1">IF( AND($F$7,NOT(ISBLANK($F46))), IF( _xll.IMDP("IR", $F46, BO$8, Matrix!$D$6)=0,"",_xll.IMDP("IR", $F46, BO$8, Matrix!$D$6)), "")</f>
        <v>4.5149999999999997</v>
      </c>
      <c r="BP46" cm="1">
        <f t="array" aca="1" ref="BP46" ca="1">IF( AND($F$7,NOT(ISBLANK($F46))), IF( _xll.IMDP("IR", $F46, BP$8, Matrix!$D$6)=0,"",_xll.IMDP("IR", $F46, BP$8, Matrix!$D$6)), "")</f>
        <v>4.5789999999999997</v>
      </c>
      <c r="BQ46" cm="1">
        <f t="array" aca="1" ref="BQ46" ca="1">IF( AND($F$7,NOT(ISBLANK($F46))), IF( _xll.IMDP("IR", $F46, BQ$8, Matrix!$D$6)=0,"",_xll.IMDP("IR", $F46, BQ$8, Matrix!$D$6)), "")</f>
        <v>4.7249999999999996</v>
      </c>
      <c r="BR46" cm="1">
        <f t="array" aca="1" ref="BR46" ca="1">IF( AND($F$7,NOT(ISBLANK($F46))), IF( _xll.IMDP("IR", $F46, BR$8, Matrix!$D$6)=0,"",_xll.IMDP("IR", $F46, BR$8, Matrix!$D$6)), "")</f>
        <v>4.8390000000000004</v>
      </c>
      <c r="BS46" cm="1">
        <f t="array" aca="1" ref="BS46" ca="1">IF( AND($F$7,NOT(ISBLANK($F46))), IF( _xll.IMDP("IR", $F46, BS$8, Matrix!$D$6)=0,"",_xll.IMDP("IR", $F46, BS$8, Matrix!$D$6)), "")</f>
        <v>5.01</v>
      </c>
      <c r="BT46" cm="1">
        <f t="array" aca="1" ref="BT46" ca="1">IF( AND($F$7,NOT(ISBLANK($F46))), IF( _xll.IMDP("IR", $F46, BT$8, Matrix!$D$6)=0,"",_xll.IMDP("IR", $F46, BT$8, Matrix!$D$6)), "")</f>
        <v>5.3860000000000001</v>
      </c>
      <c r="BU46" cm="1">
        <f t="array" aca="1" ref="BU46" ca="1">IF( AND($F$7,NOT(ISBLANK($F46))), IF( _xll.IMDP("IR", $F46, BU$8, Matrix!$D$6)=0,"",_xll.IMDP("IR", $F46, BU$8, Matrix!$D$6)), "")</f>
        <v>5.5949999999999998</v>
      </c>
      <c r="BV46" cm="1">
        <f t="array" aca="1" ref="BV46" ca="1">IF( AND($F$7,NOT(ISBLANK($F46))), IF( _xll.IMDP("IR", $F46, BV$8, Matrix!$D$6)=0,"",_xll.IMDP("IR", $F46, BV$8, Matrix!$D$6)), "")</f>
        <v>5.782</v>
      </c>
      <c r="BW46" t="str" cm="1">
        <f t="array" aca="1" ref="BW46" ca="1">IF( AND($F$7,NOT(ISBLANK($F46))), IF( _xll.IMDP("IR", $F46, BW$8, Matrix!$D$6)=0,"",_xll.IMDP("IR", $F46, BW$8, Matrix!$D$6)), "")</f>
        <v/>
      </c>
      <c r="BX46" t="str" cm="1">
        <f t="array" aca="1" ref="BX46" ca="1">IF( AND($F$7,NOT(ISBLANK($F46))), IF( _xll.IMDP("IR", $F46, BX$8, Matrix!$D$6)=0,"",_xll.IMDP("IR", $F46, BX$8, Matrix!$D$6)), "")</f>
        <v/>
      </c>
      <c r="BY46" cm="1">
        <f t="array" aca="1" ref="BY46" ca="1">IF( AND($G$7,NOT(ISBLANK($G46))), IF( _xll.IMDP("IR", $G46, BY$8, Matrix!$D$6)=0, "", _xll.IMDP("IR", $G46, BY$8, Matrix!$D$6)), "")</f>
        <v>3.9870000000000001</v>
      </c>
      <c r="BZ46" cm="1">
        <f t="array" aca="1" ref="BZ46" ca="1">IF( AND($G$7,NOT(ISBLANK($G46))), IF( _xll.IMDP("IR", $G46, BZ$8, Matrix!$D$6)=0, "", _xll.IMDP("IR", $G46, BZ$8, Matrix!$D$6)), "")</f>
        <v>4.2530000000000001</v>
      </c>
      <c r="CA46" cm="1">
        <f t="array" aca="1" ref="CA46" ca="1">IF( AND($G$7,NOT(ISBLANK($G46))), IF( _xll.IMDP("IR", $G46, CA$8, Matrix!$D$6)=0, "", _xll.IMDP("IR", $G46, CA$8, Matrix!$D$6)), "")</f>
        <v>4.3449999999999998</v>
      </c>
      <c r="CB46" cm="1">
        <f t="array" aca="1" ref="CB46" ca="1">IF( AND($G$7,NOT(ISBLANK($G46))), IF( _xll.IMDP("IR", $G46, CB$8, Matrix!$D$6)=0, "", _xll.IMDP("IR", $G46, CB$8, Matrix!$D$6)), "")</f>
        <v>4.3810000000000002</v>
      </c>
      <c r="CC46" cm="1">
        <f t="array" aca="1" ref="CC46" ca="1">IF( AND($G$7,NOT(ISBLANK($G46))), IF( _xll.IMDP("IR", $G46, CC$8, Matrix!$D$6)=0, "", _xll.IMDP("IR", $G46, CC$8, Matrix!$D$6)), "")</f>
        <v>4.4130000000000003</v>
      </c>
      <c r="CD46" cm="1">
        <f t="array" aca="1" ref="CD46" ca="1">IF( AND($G$7,NOT(ISBLANK($G46))), IF( _xll.IMDP("IR", $G46, CD$8, Matrix!$D$6)=0, "", _xll.IMDP("IR", $G46, CD$8, Matrix!$D$6)), "")</f>
        <v>4.4340000000000002</v>
      </c>
      <c r="CE46" cm="1">
        <f t="array" aca="1" ref="CE46" ca="1">IF( AND($G$7,NOT(ISBLANK($G46))), IF( _xll.IMDP("IR", $G46, CE$8, Matrix!$D$6)=0, "", _xll.IMDP("IR", $G46, CE$8, Matrix!$D$6)), "")</f>
        <v>4.4690000000000003</v>
      </c>
      <c r="CF46" cm="1">
        <f t="array" aca="1" ref="CF46" ca="1">IF( AND($G$7,NOT(ISBLANK($G46))), IF( _xll.IMDP("IR", $G46, CF$8, Matrix!$D$6)=0, "", _xll.IMDP("IR", $G46, CF$8, Matrix!$D$6)), "")</f>
        <v>4.5449999999999999</v>
      </c>
      <c r="CG46" cm="1">
        <f t="array" aca="1" ref="CG46" ca="1">IF( AND($G$7,NOT(ISBLANK($G46))), IF( _xll.IMDP("IR", $G46, CG$8, Matrix!$D$6)=0, "", _xll.IMDP("IR", $G46, CG$8, Matrix!$D$6)), "")</f>
        <v>4.6989999999999998</v>
      </c>
      <c r="CH46" cm="1">
        <f t="array" aca="1" ref="CH46" ca="1">IF( AND($G$7,NOT(ISBLANK($G46))), IF( _xll.IMDP("IR", $G46, CH$8, Matrix!$D$6)=0, "", _xll.IMDP("IR", $G46, CH$8, Matrix!$D$6)), "")</f>
        <v>4.8019999999999996</v>
      </c>
      <c r="CI46" cm="1">
        <f t="array" aca="1" ref="CI46" ca="1">IF( AND($G$7,NOT(ISBLANK($G46))), IF( _xll.IMDP("IR", $G46, CI$8, Matrix!$D$6)=0, "", _xll.IMDP("IR", $G46, CI$8, Matrix!$D$6)), "")</f>
        <v>5.0350000000000001</v>
      </c>
      <c r="CJ46" cm="1">
        <f t="array" aca="1" ref="CJ46" ca="1">IF( AND($G$7,NOT(ISBLANK($G46))), IF( _xll.IMDP("IR", $G46, CJ$8, Matrix!$D$6)=0, "", _xll.IMDP("IR", $G46, CJ$8, Matrix!$D$6)), "")</f>
        <v>5.4020000000000001</v>
      </c>
      <c r="CK46" cm="1">
        <f t="array" aca="1" ref="CK46" ca="1">IF( AND($G$7,NOT(ISBLANK($G46))), IF( _xll.IMDP("IR", $G46, CK$8, Matrix!$D$6)=0, "", _xll.IMDP("IR", $G46, CK$8, Matrix!$D$6)), "")</f>
        <v>5.6609999999999996</v>
      </c>
      <c r="CL46" cm="1">
        <f t="array" aca="1" ref="CL46" ca="1">IF( AND($G$7,NOT(ISBLANK($G46))), IF( _xll.IMDP("IR", $G46, CL$8, Matrix!$D$6)=0, "", _xll.IMDP("IR", $G46, CL$8, Matrix!$D$6)), "")</f>
        <v>5.8170000000000002</v>
      </c>
      <c r="CM46" t="str" cm="1">
        <f t="array" aca="1" ref="CM46" ca="1">IF( AND($G$7,NOT(ISBLANK($G46))), IF( _xll.IMDP("IR", $G46, CM$8, Matrix!$D$6)=0, "", _xll.IMDP("IR", $G46, CM$8, Matrix!$D$6)), "")</f>
        <v/>
      </c>
      <c r="CN46" t="str" cm="1">
        <f t="array" aca="1" ref="CN46" ca="1">IF( AND($G$7,NOT(ISBLANK($G46))), IF( _xll.IMDP("IR", $G46, CN$8, Matrix!$D$6)=0, "", _xll.IMDP("IR", $G46, CN$8, Matrix!$D$6)), "")</f>
        <v/>
      </c>
      <c r="CO46" t="str" cm="1">
        <f t="array" ref="CO46">IF( AND($H$7,NOT(ISBLANK($H46))), IF( _xll.IMDP("IR", $H46, CO$8, Matrix!$D$6)=0, "", _xll.IMDP("IR", $H46, CO$8, Matrix!$D$6)), "")</f>
        <v/>
      </c>
      <c r="CP46" t="str" cm="1">
        <f t="array" ref="CP46">IF( AND($H$7,NOT(ISBLANK($H46))), IF( _xll.IMDP("IR", $H46, CP$8, Matrix!$D$6)=0, "", _xll.IMDP("IR", $H46, CP$8, Matrix!$D$6)), "")</f>
        <v/>
      </c>
      <c r="CQ46" t="str" cm="1">
        <f t="array" ref="CQ46">IF( AND($H$7,NOT(ISBLANK($H46))), IF( _xll.IMDP("IR", $H46, CQ$8, Matrix!$D$6)=0, "", _xll.IMDP("IR", $H46, CQ$8, Matrix!$D$6)), "")</f>
        <v/>
      </c>
      <c r="CR46" t="str" cm="1">
        <f t="array" ref="CR46">IF( AND($H$7,NOT(ISBLANK($H46))), IF( _xll.IMDP("IR", $H46, CR$8, Matrix!$D$6)=0, "", _xll.IMDP("IR", $H46, CR$8, Matrix!$D$6)), "")</f>
        <v/>
      </c>
      <c r="CS46" t="str" cm="1">
        <f t="array" ref="CS46">IF( AND($H$7,NOT(ISBLANK($H46))), IF( _xll.IMDP("IR", $H46, CS$8, Matrix!$D$6)=0, "", _xll.IMDP("IR", $H46, CS$8, Matrix!$D$6)), "")</f>
        <v/>
      </c>
      <c r="CT46" t="str" cm="1">
        <f t="array" ref="CT46">IF( AND($H$7,NOT(ISBLANK($H46))), IF( _xll.IMDP("IR", $H46, CT$8, Matrix!$D$6)=0, "", _xll.IMDP("IR", $H46, CT$8, Matrix!$D$6)), "")</f>
        <v/>
      </c>
      <c r="CU46" t="str" cm="1">
        <f t="array" ref="CU46">IF( AND($H$7,NOT(ISBLANK($H46))), IF( _xll.IMDP("IR", $H46, CU$8, Matrix!$D$6)=0, "", _xll.IMDP("IR", $H46, CU$8, Matrix!$D$6)), "")</f>
        <v/>
      </c>
      <c r="CV46" t="str" cm="1">
        <f t="array" ref="CV46">IF( AND($H$7,NOT(ISBLANK($H46))), IF( _xll.IMDP("IR", $H46, CV$8, Matrix!$D$6)=0, "", _xll.IMDP("IR", $H46, CV$8, Matrix!$D$6)), "")</f>
        <v/>
      </c>
      <c r="CW46" t="str" cm="1">
        <f t="array" ref="CW46">IF( AND($H$7,NOT(ISBLANK($H46))), IF( _xll.IMDP("IR", $H46, CW$8, Matrix!$D$6)=0, "", _xll.IMDP("IR", $H46, CW$8, Matrix!$D$6)), "")</f>
        <v/>
      </c>
      <c r="CX46" t="str" cm="1">
        <f t="array" ref="CX46">IF( AND($H$7,NOT(ISBLANK($H46))), IF( _xll.IMDP("IR", $H46, CX$8, Matrix!$D$6)=0, "", _xll.IMDP("IR", $H46, CX$8, Matrix!$D$6)), "")</f>
        <v/>
      </c>
      <c r="CY46" t="str" cm="1">
        <f t="array" ref="CY46">IF( AND($H$7,NOT(ISBLANK($H46))), IF( _xll.IMDP("IR", $H46, CY$8, Matrix!$D$6)=0, "", _xll.IMDP("IR", $H46, CY$8, Matrix!$D$6)), "")</f>
        <v/>
      </c>
      <c r="CZ46" t="str" cm="1">
        <f t="array" ref="CZ46">IF( AND($H$7,NOT(ISBLANK($H46))), IF( _xll.IMDP("IR", $H46, CZ$8, Matrix!$D$6)=0, "", _xll.IMDP("IR", $H46, CZ$8, Matrix!$D$6)), "")</f>
        <v/>
      </c>
      <c r="DA46" t="str" cm="1">
        <f t="array" ref="DA46">IF( AND($H$7,NOT(ISBLANK($H46))), IF( _xll.IMDP("IR", $H46, DA$8, Matrix!$D$6)=0, "", _xll.IMDP("IR", $H46, DA$8, Matrix!$D$6)), "")</f>
        <v/>
      </c>
      <c r="DB46" t="str" cm="1">
        <f t="array" ref="DB46">IF( AND($H$7,NOT(ISBLANK($H46))), IF( _xll.IMDP("IR", $H46, DB$8, Matrix!$D$6)=0, "", _xll.IMDP("IR", $H46, DB$8, Matrix!$D$6)), "")</f>
        <v/>
      </c>
      <c r="DC46" t="str" cm="1">
        <f t="array" ref="DC46">IF( AND($H$7,NOT(ISBLANK($H46))), IF( _xll.IMDP("IR", $H46, DC$8, Matrix!$D$6)=0, "", _xll.IMDP("IR", $H46, DC$8, Matrix!$D$6)), "")</f>
        <v/>
      </c>
      <c r="DD46" t="str" cm="1">
        <f t="array" ref="DD46">IF( AND($H$7,NOT(ISBLANK($H46))), IF( _xll.IMDP("IR", $H46, DD$8, Matrix!$D$6)=0, "", _xll.IMDP("IR", $H46, DD$8, Matrix!$D$6)), "")</f>
        <v/>
      </c>
    </row>
    <row r="47" spans="2:108">
      <c r="B47" t="s">
        <v>115</v>
      </c>
      <c r="C47" t="s">
        <v>189</v>
      </c>
      <c r="D47" t="s">
        <v>261</v>
      </c>
      <c r="E47" t="s">
        <v>326</v>
      </c>
      <c r="F47" t="s">
        <v>389</v>
      </c>
      <c r="G47" t="s">
        <v>455</v>
      </c>
      <c r="M47" s="21">
        <f t="shared" ca="1" si="1"/>
        <v>4.5659825256005782</v>
      </c>
      <c r="N47" s="21">
        <f t="shared" ca="1" si="2"/>
        <v>4.8794427198153381</v>
      </c>
      <c r="O47" s="21">
        <f t="shared" ca="1" si="3"/>
        <v>5.0279935361869725</v>
      </c>
      <c r="P47" s="21">
        <f t="shared" ca="1" si="4"/>
        <v>5.128182463970079</v>
      </c>
      <c r="Q47" s="21">
        <f t="shared" ca="1" si="5"/>
        <v>5.2046807510678983</v>
      </c>
      <c r="R47" s="21">
        <f t="shared" ca="1" si="6"/>
        <v>5.2572285730436237</v>
      </c>
      <c r="S47" s="21">
        <f t="shared" ca="1" si="7"/>
        <v>5.2779776078176717</v>
      </c>
      <c r="T47" s="21">
        <f t="shared" ca="1" si="8"/>
        <v>5.3439921870202403</v>
      </c>
      <c r="U47" s="21">
        <f t="shared" ca="1" si="9"/>
        <v>5.3892469203417956</v>
      </c>
      <c r="V47" s="21">
        <f t="shared" ca="1" si="10"/>
        <v>5.4709698087145817</v>
      </c>
      <c r="W47" s="21">
        <f t="shared" ca="1" si="11"/>
        <v>5.5462384330355059</v>
      </c>
      <c r="X47" s="21">
        <f t="shared" ca="1" si="12"/>
        <v>5.8294941024888685</v>
      </c>
      <c r="Y47" s="21">
        <f t="shared" ca="1" si="13"/>
        <v>6.0594355293767377</v>
      </c>
      <c r="Z47" s="21">
        <f t="shared" ca="1" si="14"/>
        <v>6.1624770601347096</v>
      </c>
      <c r="AA47" s="21" t="e">
        <f t="shared" ca="1" si="15"/>
        <v>#NUM!</v>
      </c>
      <c r="AB47" s="21" t="e">
        <f t="shared" ca="1" si="16"/>
        <v>#NUM!</v>
      </c>
      <c r="AC47" cm="1">
        <f t="array" aca="1" ref="AC47" ca="1">IF( AND($D$7,NOT(ISBLANK($D47))), IF(_xll.IMDP("IR", $D47, AC$8, Matrix!$D$6)=0,"",_xll.IMDP("IR", $D47, AC$8, Matrix!$D$6)), "")</f>
        <v>4.5739999999999998</v>
      </c>
      <c r="AD47" cm="1">
        <f t="array" aca="1" ref="AD47" ca="1">IF( AND($D$7,NOT(ISBLANK($D47))), IF(_xll.IMDP("IR", $D47, AD$8, Matrix!$D$6)=0,"",_xll.IMDP("IR", $D47, AD$8, Matrix!$D$6)), "")</f>
        <v>4.9109999999999996</v>
      </c>
      <c r="AE47" cm="1">
        <f t="array" aca="1" ref="AE47" ca="1">IF( AND($D$7,NOT(ISBLANK($D47))), IF(_xll.IMDP("IR", $D47, AE$8, Matrix!$D$6)=0,"",_xll.IMDP("IR", $D47, AE$8, Matrix!$D$6)), "")</f>
        <v>5.0250000000000004</v>
      </c>
      <c r="AF47" cm="1">
        <f t="array" aca="1" ref="AF47" ca="1">IF( AND($D$7,NOT(ISBLANK($D47))), IF(_xll.IMDP("IR", $D47, AF$8, Matrix!$D$6)=0,"",_xll.IMDP("IR", $D47, AF$8, Matrix!$D$6)), "")</f>
        <v>5.0999999999999996</v>
      </c>
      <c r="AG47" cm="1">
        <f t="array" aca="1" ref="AG47" ca="1">IF( AND($D$7,NOT(ISBLANK($D47))), IF(_xll.IMDP("IR", $D47, AG$8, Matrix!$D$6)=0,"",_xll.IMDP("IR", $D47, AG$8, Matrix!$D$6)), "")</f>
        <v>5.1740000000000004</v>
      </c>
      <c r="AH47" cm="1">
        <f t="array" aca="1" ref="AH47" ca="1">IF( AND($D$7,NOT(ISBLANK($D47))), IF(_xll.IMDP("IR", $D47, AH$8, Matrix!$D$6)=0,"",_xll.IMDP("IR", $D47, AH$8, Matrix!$D$6)), "")</f>
        <v>5.2359999999999998</v>
      </c>
      <c r="AI47" cm="1">
        <f t="array" aca="1" ref="AI47" ca="1">IF( AND($D$7,NOT(ISBLANK($D47))), IF(_xll.IMDP("IR", $D47, AI$8, Matrix!$D$6)=0,"",_xll.IMDP("IR", $D47, AI$8, Matrix!$D$6)), "")</f>
        <v>5.258</v>
      </c>
      <c r="AJ47" cm="1">
        <f t="array" aca="1" ref="AJ47" ca="1">IF( AND($D$7,NOT(ISBLANK($D47))), IF(_xll.IMDP("IR", $D47, AJ$8, Matrix!$D$6)=0,"",_xll.IMDP("IR", $D47, AJ$8, Matrix!$D$6)), "")</f>
        <v>5.3369999999999997</v>
      </c>
      <c r="AK47" cm="1">
        <f t="array" aca="1" ref="AK47" ca="1">IF( AND($D$7,NOT(ISBLANK($D47))), IF(_xll.IMDP("IR", $D47, AK$8, Matrix!$D$6)=0,"",_xll.IMDP("IR", $D47, AK$8, Matrix!$D$6)), "")</f>
        <v>5.3959999999999999</v>
      </c>
      <c r="AL47" cm="1">
        <f t="array" aca="1" ref="AL47" ca="1">IF( AND($D$7,NOT(ISBLANK($D47))), IF(_xll.IMDP("IR", $D47, AL$8, Matrix!$D$6)=0,"",_xll.IMDP("IR", $D47, AL$8, Matrix!$D$6)), "")</f>
        <v>5.4770000000000003</v>
      </c>
      <c r="AM47" cm="1">
        <f t="array" aca="1" ref="AM47" ca="1">IF( AND($D$7,NOT(ISBLANK($D47))), IF(_xll.IMDP("IR", $D47, AM$8, Matrix!$D$6)=0,"",_xll.IMDP("IR", $D47, AM$8, Matrix!$D$6)), "")</f>
        <v>5.548</v>
      </c>
      <c r="AN47" cm="1">
        <f t="array" aca="1" ref="AN47" ca="1">IF( AND($D$7,NOT(ISBLANK($D47))), IF(_xll.IMDP("IR", $D47, AN$8, Matrix!$D$6)=0,"",_xll.IMDP("IR", $D47, AN$8, Matrix!$D$6)), "")</f>
        <v>5.84</v>
      </c>
      <c r="AO47" cm="1">
        <f t="array" aca="1" ref="AO47" ca="1">IF( AND($D$7,NOT(ISBLANK($D47))), IF(_xll.IMDP("IR", $D47, AO$8, Matrix!$D$6)=0,"",_xll.IMDP("IR", $D47, AO$8, Matrix!$D$6)), "")</f>
        <v>6.0830000000000002</v>
      </c>
      <c r="AP47" cm="1">
        <f t="array" aca="1" ref="AP47" ca="1">IF( AND($D$7,NOT(ISBLANK($D47))), IF(_xll.IMDP("IR", $D47, AP$8, Matrix!$D$6)=0,"",_xll.IMDP("IR", $D47, AP$8, Matrix!$D$6)), "")</f>
        <v>6.1580000000000004</v>
      </c>
      <c r="AQ47" t="str" cm="1">
        <f t="array" aca="1" ref="AQ47" ca="1">IF( AND($D$7,NOT(ISBLANK($D47))), IF(_xll.IMDP("IR", $D47, AQ$8, Matrix!$D$6)=0,"",_xll.IMDP("IR", $D47, AQ$8, Matrix!$D$6)), "")</f>
        <v/>
      </c>
      <c r="AR47" t="str" cm="1">
        <f t="array" aca="1" ref="AR47" ca="1">IF( AND($D$7,NOT(ISBLANK($D47))), IF(_xll.IMDP("IR", $D47, AR$8, Matrix!$D$6)=0,"",_xll.IMDP("IR", $D47, AR$8, Matrix!$D$6)), "")</f>
        <v/>
      </c>
      <c r="AS47" cm="1">
        <f t="array" aca="1" ref="AS47" ca="1">IF( AND($E$7,NOT(ISBLANK($E47))), IF( _xll.IMDP("IR", $E47, AS$8, Matrix!$D$6)=0,"",_xll.IMDP("IR", $E47, AS$8, Matrix!$D$6)), "")</f>
        <v>4.548</v>
      </c>
      <c r="AT47" cm="1">
        <f t="array" aca="1" ref="AT47" ca="1">IF( AND($E$7,NOT(ISBLANK($E47))), IF( _xll.IMDP("IR", $E47, AT$8, Matrix!$D$6)=0,"",_xll.IMDP("IR", $E47, AT$8, Matrix!$D$6)), "")</f>
        <v>4.8929999999999998</v>
      </c>
      <c r="AU47" cm="1">
        <f t="array" aca="1" ref="AU47" ca="1">IF( AND($E$7,NOT(ISBLANK($E47))), IF( _xll.IMDP("IR", $E47, AU$8, Matrix!$D$6)=0,"",_xll.IMDP("IR", $E47, AU$8, Matrix!$D$6)), "")</f>
        <v>5.0309999999999997</v>
      </c>
      <c r="AV47" cm="1">
        <f t="array" aca="1" ref="AV47" ca="1">IF( AND($E$7,NOT(ISBLANK($E47))), IF( _xll.IMDP("IR", $E47, AV$8, Matrix!$D$6)=0,"",_xll.IMDP("IR", $E47, AV$8, Matrix!$D$6)), "")</f>
        <v>5.13</v>
      </c>
      <c r="AW47" cm="1">
        <f t="array" aca="1" ref="AW47" ca="1">IF( AND($E$7,NOT(ISBLANK($E47))), IF( _xll.IMDP("IR", $E47, AW$8, Matrix!$D$6)=0,"",_xll.IMDP("IR", $E47, AW$8, Matrix!$D$6)), "")</f>
        <v>5.2140000000000004</v>
      </c>
      <c r="AX47" cm="1">
        <f t="array" aca="1" ref="AX47" ca="1">IF( AND($E$7,NOT(ISBLANK($E47))), IF( _xll.IMDP("IR", $E47, AX$8, Matrix!$D$6)=0,"",_xll.IMDP("IR", $E47, AX$8, Matrix!$D$6)), "")</f>
        <v>5.2670000000000003</v>
      </c>
      <c r="AY47" cm="1">
        <f t="array" aca="1" ref="AY47" ca="1">IF( AND($E$7,NOT(ISBLANK($E47))), IF( _xll.IMDP("IR", $E47, AY$8, Matrix!$D$6)=0,"",_xll.IMDP("IR", $E47, AY$8, Matrix!$D$6)), "")</f>
        <v>5.2789999999999999</v>
      </c>
      <c r="AZ47" cm="1">
        <f t="array" aca="1" ref="AZ47" ca="1">IF( AND($E$7,NOT(ISBLANK($E47))), IF( _xll.IMDP("IR", $E47, AZ$8, Matrix!$D$6)=0,"",_xll.IMDP("IR", $E47, AZ$8, Matrix!$D$6)), "")</f>
        <v>5.3540000000000001</v>
      </c>
      <c r="BA47" cm="1">
        <f t="array" aca="1" ref="BA47" ca="1">IF( AND($E$7,NOT(ISBLANK($E47))), IF( _xll.IMDP("IR", $E47, BA$8, Matrix!$D$6)=0,"",_xll.IMDP("IR", $E47, BA$8, Matrix!$D$6)), "")</f>
        <v>5.3869999999999996</v>
      </c>
      <c r="BB47" cm="1">
        <f t="array" aca="1" ref="BB47" ca="1">IF( AND($E$7,NOT(ISBLANK($E47))), IF( _xll.IMDP("IR", $E47, BB$8, Matrix!$D$6)=0,"",_xll.IMDP("IR", $E47, BB$8, Matrix!$D$6)), "")</f>
        <v>5.4480000000000004</v>
      </c>
      <c r="BC47" cm="1">
        <f t="array" aca="1" ref="BC47" ca="1">IF( AND($E$7,NOT(ISBLANK($E47))), IF( _xll.IMDP("IR", $E47, BC$8, Matrix!$D$6)=0,"",_xll.IMDP("IR", $E47, BC$8, Matrix!$D$6)), "")</f>
        <v>5.5279999999999996</v>
      </c>
      <c r="BD47" cm="1">
        <f t="array" aca="1" ref="BD47" ca="1">IF( AND($E$7,NOT(ISBLANK($E47))), IF( _xll.IMDP("IR", $E47, BD$8, Matrix!$D$6)=0,"",_xll.IMDP("IR", $E47, BD$8, Matrix!$D$6)), "")</f>
        <v>5.8339999999999996</v>
      </c>
      <c r="BE47" cm="1">
        <f t="array" aca="1" ref="BE47" ca="1">IF( AND($E$7,NOT(ISBLANK($E47))), IF( _xll.IMDP("IR", $E47, BE$8, Matrix!$D$6)=0,"",_xll.IMDP("IR", $E47, BE$8, Matrix!$D$6)), "")</f>
        <v>6.0869999999999997</v>
      </c>
      <c r="BF47" cm="1">
        <f t="array" aca="1" ref="BF47" ca="1">IF( AND($E$7,NOT(ISBLANK($E47))), IF( _xll.IMDP("IR", $E47, BF$8, Matrix!$D$6)=0,"",_xll.IMDP("IR", $E47, BF$8, Matrix!$D$6)), "")</f>
        <v>6.1529999999999996</v>
      </c>
      <c r="BG47" t="str" cm="1">
        <f t="array" aca="1" ref="BG47" ca="1">IF( AND($E$7,NOT(ISBLANK($E47))), IF( _xll.IMDP("IR", $E47, BG$8, Matrix!$D$6)=0,"",_xll.IMDP("IR", $E47, BG$8, Matrix!$D$6)), "")</f>
        <v/>
      </c>
      <c r="BH47" t="str" cm="1">
        <f t="array" aca="1" ref="BH47" ca="1">IF( AND($E$7,NOT(ISBLANK($E47))), IF( _xll.IMDP("IR", $E47, BH$8, Matrix!$D$6)=0,"",_xll.IMDP("IR", $E47, BH$8, Matrix!$D$6)), "")</f>
        <v/>
      </c>
      <c r="BI47" cm="1">
        <f t="array" aca="1" ref="BI47" ca="1">IF( AND($F$7,NOT(ISBLANK($F47))), IF( _xll.IMDP("IR", $F47, BI$8, Matrix!$D$6)=0,"",_xll.IMDP("IR", $F47, BI$8, Matrix!$D$6)), "")</f>
        <v>4.5810000000000004</v>
      </c>
      <c r="BJ47" cm="1">
        <f t="array" aca="1" ref="BJ47" ca="1">IF( AND($F$7,NOT(ISBLANK($F47))), IF( _xll.IMDP("IR", $F47, BJ$8, Matrix!$D$6)=0,"",_xll.IMDP("IR", $F47, BJ$8, Matrix!$D$6)), "")</f>
        <v>4.8620000000000001</v>
      </c>
      <c r="BK47" cm="1">
        <f t="array" aca="1" ref="BK47" ca="1">IF( AND($F$7,NOT(ISBLANK($F47))), IF( _xll.IMDP("IR", $F47, BK$8, Matrix!$D$6)=0,"",_xll.IMDP("IR", $F47, BK$8, Matrix!$D$6)), "")</f>
        <v>5.0389999999999997</v>
      </c>
      <c r="BL47" cm="1">
        <f t="array" aca="1" ref="BL47" ca="1">IF( AND($F$7,NOT(ISBLANK($F47))), IF( _xll.IMDP("IR", $F47, BL$8, Matrix!$D$6)=0,"",_xll.IMDP("IR", $F47, BL$8, Matrix!$D$6)), "")</f>
        <v>5.17</v>
      </c>
      <c r="BM47" cm="1">
        <f t="array" aca="1" ref="BM47" ca="1">IF( AND($F$7,NOT(ISBLANK($F47))), IF( _xll.IMDP("IR", $F47, BM$8, Matrix!$D$6)=0,"",_xll.IMDP("IR", $F47, BM$8, Matrix!$D$6)), "")</f>
        <v>5.2439999999999998</v>
      </c>
      <c r="BN47" cm="1">
        <f t="array" aca="1" ref="BN47" ca="1">IF( AND($F$7,NOT(ISBLANK($F47))), IF( _xll.IMDP("IR", $F47, BN$8, Matrix!$D$6)=0,"",_xll.IMDP("IR", $F47, BN$8, Matrix!$D$6)), "")</f>
        <v>5.2750000000000004</v>
      </c>
      <c r="BO47" cm="1">
        <f t="array" aca="1" ref="BO47" ca="1">IF( AND($F$7,NOT(ISBLANK($F47))), IF( _xll.IMDP("IR", $F47, BO$8, Matrix!$D$6)=0,"",_xll.IMDP("IR", $F47, BO$8, Matrix!$D$6)), "")</f>
        <v>5.3010000000000002</v>
      </c>
      <c r="BP47" cm="1">
        <f t="array" aca="1" ref="BP47" ca="1">IF( AND($F$7,NOT(ISBLANK($F47))), IF( _xll.IMDP("IR", $F47, BP$8, Matrix!$D$6)=0,"",_xll.IMDP("IR", $F47, BP$8, Matrix!$D$6)), "")</f>
        <v>5.3520000000000003</v>
      </c>
      <c r="BQ47" cm="1">
        <f t="array" aca="1" ref="BQ47" ca="1">IF( AND($F$7,NOT(ISBLANK($F47))), IF( _xll.IMDP("IR", $F47, BQ$8, Matrix!$D$6)=0,"",_xll.IMDP("IR", $F47, BQ$8, Matrix!$D$6)), "")</f>
        <v>5.3929999999999998</v>
      </c>
      <c r="BR47" cm="1">
        <f t="array" aca="1" ref="BR47" ca="1">IF( AND($F$7,NOT(ISBLANK($F47))), IF( _xll.IMDP("IR", $F47, BR$8, Matrix!$D$6)=0,"",_xll.IMDP("IR", $F47, BR$8, Matrix!$D$6)), "")</f>
        <v>5.4969999999999999</v>
      </c>
      <c r="BS47" cm="1">
        <f t="array" aca="1" ref="BS47" ca="1">IF( AND($F$7,NOT(ISBLANK($F47))), IF( _xll.IMDP("IR", $F47, BS$8, Matrix!$D$6)=0,"",_xll.IMDP("IR", $F47, BS$8, Matrix!$D$6)), "")</f>
        <v>5.5590000000000002</v>
      </c>
      <c r="BT47" cm="1">
        <f t="array" aca="1" ref="BT47" ca="1">IF( AND($F$7,NOT(ISBLANK($F47))), IF( _xll.IMDP("IR", $F47, BT$8, Matrix!$D$6)=0,"",_xll.IMDP("IR", $F47, BT$8, Matrix!$D$6)), "")</f>
        <v>5.8179999999999996</v>
      </c>
      <c r="BU47" cm="1">
        <f t="array" aca="1" ref="BU47" ca="1">IF( AND($F$7,NOT(ISBLANK($F47))), IF( _xll.IMDP("IR", $F47, BU$8, Matrix!$D$6)=0,"",_xll.IMDP("IR", $F47, BU$8, Matrix!$D$6)), "")</f>
        <v>6.0179999999999998</v>
      </c>
      <c r="BV47" cm="1">
        <f t="array" aca="1" ref="BV47" ca="1">IF( AND($F$7,NOT(ISBLANK($F47))), IF( _xll.IMDP("IR", $F47, BV$8, Matrix!$D$6)=0,"",_xll.IMDP("IR", $F47, BV$8, Matrix!$D$6)), "")</f>
        <v>6.1479999999999997</v>
      </c>
      <c r="BW47" t="str" cm="1">
        <f t="array" aca="1" ref="BW47" ca="1">IF( AND($F$7,NOT(ISBLANK($F47))), IF( _xll.IMDP("IR", $F47, BW$8, Matrix!$D$6)=0,"",_xll.IMDP("IR", $F47, BW$8, Matrix!$D$6)), "")</f>
        <v/>
      </c>
      <c r="BX47" t="str" cm="1">
        <f t="array" aca="1" ref="BX47" ca="1">IF( AND($F$7,NOT(ISBLANK($F47))), IF( _xll.IMDP("IR", $F47, BX$8, Matrix!$D$6)=0,"",_xll.IMDP("IR", $F47, BX$8, Matrix!$D$6)), "")</f>
        <v/>
      </c>
      <c r="BY47" cm="1">
        <f t="array" aca="1" ref="BY47" ca="1">IF( AND($G$7,NOT(ISBLANK($G47))), IF( _xll.IMDP("IR", $G47, BY$8, Matrix!$D$6)=0, "", _xll.IMDP("IR", $G47, BY$8, Matrix!$D$6)), "")</f>
        <v>4.5609999999999999</v>
      </c>
      <c r="BZ47" cm="1">
        <f t="array" aca="1" ref="BZ47" ca="1">IF( AND($G$7,NOT(ISBLANK($G47))), IF( _xll.IMDP("IR", $G47, BZ$8, Matrix!$D$6)=0, "", _xll.IMDP("IR", $G47, BZ$8, Matrix!$D$6)), "")</f>
        <v>4.8520000000000003</v>
      </c>
      <c r="CA47" cm="1">
        <f t="array" aca="1" ref="CA47" ca="1">IF( AND($G$7,NOT(ISBLANK($G47))), IF( _xll.IMDP("IR", $G47, CA$8, Matrix!$D$6)=0, "", _xll.IMDP("IR", $G47, CA$8, Matrix!$D$6)), "")</f>
        <v>5.0170000000000003</v>
      </c>
      <c r="CB47" cm="1">
        <f t="array" aca="1" ref="CB47" ca="1">IF( AND($G$7,NOT(ISBLANK($G47))), IF( _xll.IMDP("IR", $G47, CB$8, Matrix!$D$6)=0, "", _xll.IMDP("IR", $G47, CB$8, Matrix!$D$6)), "")</f>
        <v>5.1130000000000004</v>
      </c>
      <c r="CC47" cm="1">
        <f t="array" aca="1" ref="CC47" ca="1">IF( AND($G$7,NOT(ISBLANK($G47))), IF( _xll.IMDP("IR", $G47, CC$8, Matrix!$D$6)=0, "", _xll.IMDP("IR", $G47, CC$8, Matrix!$D$6)), "")</f>
        <v>5.1870000000000003</v>
      </c>
      <c r="CD47" cm="1">
        <f t="array" aca="1" ref="CD47" ca="1">IF( AND($G$7,NOT(ISBLANK($G47))), IF( _xll.IMDP("IR", $G47, CD$8, Matrix!$D$6)=0, "", _xll.IMDP("IR", $G47, CD$8, Matrix!$D$6)), "")</f>
        <v>5.2510000000000003</v>
      </c>
      <c r="CE47" cm="1">
        <f t="array" aca="1" ref="CE47" ca="1">IF( AND($G$7,NOT(ISBLANK($G47))), IF( _xll.IMDP("IR", $G47, CE$8, Matrix!$D$6)=0, "", _xll.IMDP("IR", $G47, CE$8, Matrix!$D$6)), "")</f>
        <v>5.274</v>
      </c>
      <c r="CF47" cm="1">
        <f t="array" aca="1" ref="CF47" ca="1">IF( AND($G$7,NOT(ISBLANK($G47))), IF( _xll.IMDP("IR", $G47, CF$8, Matrix!$D$6)=0, "", _xll.IMDP("IR", $G47, CF$8, Matrix!$D$6)), "")</f>
        <v>5.3330000000000002</v>
      </c>
      <c r="CG47" cm="1">
        <f t="array" aca="1" ref="CG47" ca="1">IF( AND($G$7,NOT(ISBLANK($G47))), IF( _xll.IMDP("IR", $G47, CG$8, Matrix!$D$6)=0, "", _xll.IMDP("IR", $G47, CG$8, Matrix!$D$6)), "")</f>
        <v>5.3810000000000002</v>
      </c>
      <c r="CH47" cm="1">
        <f t="array" aca="1" ref="CH47" ca="1">IF( AND($G$7,NOT(ISBLANK($G47))), IF( _xll.IMDP("IR", $G47, CH$8, Matrix!$D$6)=0, "", _xll.IMDP("IR", $G47, CH$8, Matrix!$D$6)), "")</f>
        <v>5.4619999999999997</v>
      </c>
      <c r="CI47" cm="1">
        <f t="array" aca="1" ref="CI47" ca="1">IF( AND($G$7,NOT(ISBLANK($G47))), IF( _xll.IMDP("IR", $G47, CI$8, Matrix!$D$6)=0, "", _xll.IMDP("IR", $G47, CI$8, Matrix!$D$6)), "")</f>
        <v>5.55</v>
      </c>
      <c r="CJ47" cm="1">
        <f t="array" aca="1" ref="CJ47" ca="1">IF( AND($G$7,NOT(ISBLANK($G47))), IF( _xll.IMDP("IR", $G47, CJ$8, Matrix!$D$6)=0, "", _xll.IMDP("IR", $G47, CJ$8, Matrix!$D$6)), "")</f>
        <v>5.8259999999999996</v>
      </c>
      <c r="CK47" cm="1">
        <f t="array" aca="1" ref="CK47" ca="1">IF( AND($G$7,NOT(ISBLANK($G47))), IF( _xll.IMDP("IR", $G47, CK$8, Matrix!$D$6)=0, "", _xll.IMDP("IR", $G47, CK$8, Matrix!$D$6)), "")</f>
        <v>6.05</v>
      </c>
      <c r="CL47" cm="1">
        <f t="array" aca="1" ref="CL47" ca="1">IF( AND($G$7,NOT(ISBLANK($G47))), IF( _xll.IMDP("IR", $G47, CL$8, Matrix!$D$6)=0, "", _xll.IMDP("IR", $G47, CL$8, Matrix!$D$6)), "")</f>
        <v>6.1909999999999998</v>
      </c>
      <c r="CM47" t="str" cm="1">
        <f t="array" aca="1" ref="CM47" ca="1">IF( AND($G$7,NOT(ISBLANK($G47))), IF( _xll.IMDP("IR", $G47, CM$8, Matrix!$D$6)=0, "", _xll.IMDP("IR", $G47, CM$8, Matrix!$D$6)), "")</f>
        <v/>
      </c>
      <c r="CN47" t="str" cm="1">
        <f t="array" aca="1" ref="CN47" ca="1">IF( AND($G$7,NOT(ISBLANK($G47))), IF( _xll.IMDP("IR", $G47, CN$8, Matrix!$D$6)=0, "", _xll.IMDP("IR", $G47, CN$8, Matrix!$D$6)), "")</f>
        <v/>
      </c>
      <c r="CO47" t="str" cm="1">
        <f t="array" ref="CO47">IF( AND($H$7,NOT(ISBLANK($H47))), IF( _xll.IMDP("IR", $H47, CO$8, Matrix!$D$6)=0, "", _xll.IMDP("IR", $H47, CO$8, Matrix!$D$6)), "")</f>
        <v/>
      </c>
      <c r="CP47" t="str" cm="1">
        <f t="array" ref="CP47">IF( AND($H$7,NOT(ISBLANK($H47))), IF( _xll.IMDP("IR", $H47, CP$8, Matrix!$D$6)=0, "", _xll.IMDP("IR", $H47, CP$8, Matrix!$D$6)), "")</f>
        <v/>
      </c>
      <c r="CQ47" t="str" cm="1">
        <f t="array" ref="CQ47">IF( AND($H$7,NOT(ISBLANK($H47))), IF( _xll.IMDP("IR", $H47, CQ$8, Matrix!$D$6)=0, "", _xll.IMDP("IR", $H47, CQ$8, Matrix!$D$6)), "")</f>
        <v/>
      </c>
      <c r="CR47" t="str" cm="1">
        <f t="array" ref="CR47">IF( AND($H$7,NOT(ISBLANK($H47))), IF( _xll.IMDP("IR", $H47, CR$8, Matrix!$D$6)=0, "", _xll.IMDP("IR", $H47, CR$8, Matrix!$D$6)), "")</f>
        <v/>
      </c>
      <c r="CS47" t="str" cm="1">
        <f t="array" ref="CS47">IF( AND($H$7,NOT(ISBLANK($H47))), IF( _xll.IMDP("IR", $H47, CS$8, Matrix!$D$6)=0, "", _xll.IMDP("IR", $H47, CS$8, Matrix!$D$6)), "")</f>
        <v/>
      </c>
      <c r="CT47" t="str" cm="1">
        <f t="array" ref="CT47">IF( AND($H$7,NOT(ISBLANK($H47))), IF( _xll.IMDP("IR", $H47, CT$8, Matrix!$D$6)=0, "", _xll.IMDP("IR", $H47, CT$8, Matrix!$D$6)), "")</f>
        <v/>
      </c>
      <c r="CU47" t="str" cm="1">
        <f t="array" ref="CU47">IF( AND($H$7,NOT(ISBLANK($H47))), IF( _xll.IMDP("IR", $H47, CU$8, Matrix!$D$6)=0, "", _xll.IMDP("IR", $H47, CU$8, Matrix!$D$6)), "")</f>
        <v/>
      </c>
      <c r="CV47" t="str" cm="1">
        <f t="array" ref="CV47">IF( AND($H$7,NOT(ISBLANK($H47))), IF( _xll.IMDP("IR", $H47, CV$8, Matrix!$D$6)=0, "", _xll.IMDP("IR", $H47, CV$8, Matrix!$D$6)), "")</f>
        <v/>
      </c>
      <c r="CW47" t="str" cm="1">
        <f t="array" ref="CW47">IF( AND($H$7,NOT(ISBLANK($H47))), IF( _xll.IMDP("IR", $H47, CW$8, Matrix!$D$6)=0, "", _xll.IMDP("IR", $H47, CW$8, Matrix!$D$6)), "")</f>
        <v/>
      </c>
      <c r="CX47" t="str" cm="1">
        <f t="array" ref="CX47">IF( AND($H$7,NOT(ISBLANK($H47))), IF( _xll.IMDP("IR", $H47, CX$8, Matrix!$D$6)=0, "", _xll.IMDP("IR", $H47, CX$8, Matrix!$D$6)), "")</f>
        <v/>
      </c>
      <c r="CY47" t="str" cm="1">
        <f t="array" ref="CY47">IF( AND($H$7,NOT(ISBLANK($H47))), IF( _xll.IMDP("IR", $H47, CY$8, Matrix!$D$6)=0, "", _xll.IMDP("IR", $H47, CY$8, Matrix!$D$6)), "")</f>
        <v/>
      </c>
      <c r="CZ47" t="str" cm="1">
        <f t="array" ref="CZ47">IF( AND($H$7,NOT(ISBLANK($H47))), IF( _xll.IMDP("IR", $H47, CZ$8, Matrix!$D$6)=0, "", _xll.IMDP("IR", $H47, CZ$8, Matrix!$D$6)), "")</f>
        <v/>
      </c>
      <c r="DA47" t="str" cm="1">
        <f t="array" ref="DA47">IF( AND($H$7,NOT(ISBLANK($H47))), IF( _xll.IMDP("IR", $H47, DA$8, Matrix!$D$6)=0, "", _xll.IMDP("IR", $H47, DA$8, Matrix!$D$6)), "")</f>
        <v/>
      </c>
      <c r="DB47" t="str" cm="1">
        <f t="array" ref="DB47">IF( AND($H$7,NOT(ISBLANK($H47))), IF( _xll.IMDP("IR", $H47, DB$8, Matrix!$D$6)=0, "", _xll.IMDP("IR", $H47, DB$8, Matrix!$D$6)), "")</f>
        <v/>
      </c>
      <c r="DC47" t="str" cm="1">
        <f t="array" ref="DC47">IF( AND($H$7,NOT(ISBLANK($H47))), IF( _xll.IMDP("IR", $H47, DC$8, Matrix!$D$6)=0, "", _xll.IMDP("IR", $H47, DC$8, Matrix!$D$6)), "")</f>
        <v/>
      </c>
      <c r="DD47" t="str" cm="1">
        <f t="array" ref="DD47">IF( AND($H$7,NOT(ISBLANK($H47))), IF( _xll.IMDP("IR", $H47, DD$8, Matrix!$D$6)=0, "", _xll.IMDP("IR", $H47, DD$8, Matrix!$D$6)), "")</f>
        <v/>
      </c>
    </row>
    <row r="48" spans="2:108">
      <c r="B48" t="s">
        <v>116</v>
      </c>
      <c r="C48" t="s">
        <v>190</v>
      </c>
      <c r="D48" t="s">
        <v>262</v>
      </c>
      <c r="E48" t="s">
        <v>327</v>
      </c>
      <c r="F48" t="s">
        <v>390</v>
      </c>
      <c r="G48" t="s">
        <v>456</v>
      </c>
      <c r="M48" s="21">
        <f t="shared" ca="1" si="1"/>
        <v>5.0877374548246443</v>
      </c>
      <c r="N48" s="21">
        <f t="shared" ca="1" si="2"/>
        <v>5.5158990621717425</v>
      </c>
      <c r="O48" s="21">
        <f t="shared" ca="1" si="3"/>
        <v>5.6417125484499522</v>
      </c>
      <c r="P48" s="21">
        <f t="shared" ca="1" si="4"/>
        <v>5.6884668947658001</v>
      </c>
      <c r="Q48" s="21">
        <f t="shared" ca="1" si="5"/>
        <v>5.7612264661764581</v>
      </c>
      <c r="R48" s="21">
        <f t="shared" ca="1" si="6"/>
        <v>5.8503753728439527</v>
      </c>
      <c r="S48" s="21">
        <f t="shared" ca="1" si="7"/>
        <v>5.9314068848039003</v>
      </c>
      <c r="T48" s="21">
        <f t="shared" ca="1" si="8"/>
        <v>6.0218945692258528</v>
      </c>
      <c r="U48" s="21">
        <f t="shared" ca="1" si="9"/>
        <v>6.0797232413548628</v>
      </c>
      <c r="V48" s="21">
        <f t="shared" ca="1" si="10"/>
        <v>6.1379452737455162</v>
      </c>
      <c r="W48" s="21">
        <f t="shared" ca="1" si="11"/>
        <v>6.2032451486852649</v>
      </c>
      <c r="X48" s="21">
        <f t="shared" ca="1" si="12"/>
        <v>6.4812492527745231</v>
      </c>
      <c r="Y48" s="21">
        <f t="shared" ca="1" si="13"/>
        <v>6.731852355415942</v>
      </c>
      <c r="Z48" s="21">
        <f t="shared" ca="1" si="14"/>
        <v>6.8191849126879971</v>
      </c>
      <c r="AA48" s="21" t="e">
        <f t="shared" ca="1" si="15"/>
        <v>#NUM!</v>
      </c>
      <c r="AB48" s="21" t="e">
        <f t="shared" ca="1" si="16"/>
        <v>#NUM!</v>
      </c>
      <c r="AC48" cm="1">
        <f t="array" aca="1" ref="AC48" ca="1">IF( AND($D$7,NOT(ISBLANK($D48))), IF(_xll.IMDP("IR", $D48, AC$8, Matrix!$D$6)=0,"",_xll.IMDP("IR", $D48, AC$8, Matrix!$D$6)), "")</f>
        <v>5.0940000000000003</v>
      </c>
      <c r="AD48" cm="1">
        <f t="array" aca="1" ref="AD48" ca="1">IF( AND($D$7,NOT(ISBLANK($D48))), IF(_xll.IMDP("IR", $D48, AD$8, Matrix!$D$6)=0,"",_xll.IMDP("IR", $D48, AD$8, Matrix!$D$6)), "")</f>
        <v>5.5419999999999998</v>
      </c>
      <c r="AE48" cm="1">
        <f t="array" aca="1" ref="AE48" ca="1">IF( AND($D$7,NOT(ISBLANK($D48))), IF(_xll.IMDP("IR", $D48, AE$8, Matrix!$D$6)=0,"",_xll.IMDP("IR", $D48, AE$8, Matrix!$D$6)), "")</f>
        <v>5.6319999999999997</v>
      </c>
      <c r="AF48" cm="1">
        <f t="array" aca="1" ref="AF48" ca="1">IF( AND($D$7,NOT(ISBLANK($D48))), IF(_xll.IMDP("IR", $D48, AF$8, Matrix!$D$6)=0,"",_xll.IMDP("IR", $D48, AF$8, Matrix!$D$6)), "")</f>
        <v>5.6669999999999998</v>
      </c>
      <c r="AG48" cm="1">
        <f t="array" aca="1" ref="AG48" ca="1">IF( AND($D$7,NOT(ISBLANK($D48))), IF(_xll.IMDP("IR", $D48, AG$8, Matrix!$D$6)=0,"",_xll.IMDP("IR", $D48, AG$8, Matrix!$D$6)), "")</f>
        <v>5.7389999999999999</v>
      </c>
      <c r="AH48" cm="1">
        <f t="array" aca="1" ref="AH48" ca="1">IF( AND($D$7,NOT(ISBLANK($D48))), IF(_xll.IMDP("IR", $D48, AH$8, Matrix!$D$6)=0,"",_xll.IMDP("IR", $D48, AH$8, Matrix!$D$6)), "")</f>
        <v>5.7850000000000001</v>
      </c>
      <c r="AI48" cm="1">
        <f t="array" aca="1" ref="AI48" ca="1">IF( AND($D$7,NOT(ISBLANK($D48))), IF(_xll.IMDP("IR", $D48, AI$8, Matrix!$D$6)=0,"",_xll.IMDP("IR", $D48, AI$8, Matrix!$D$6)), "")</f>
        <v>5.8840000000000003</v>
      </c>
      <c r="AJ48" cm="1">
        <f t="array" aca="1" ref="AJ48" ca="1">IF( AND($D$7,NOT(ISBLANK($D48))), IF(_xll.IMDP("IR", $D48, AJ$8, Matrix!$D$6)=0,"",_xll.IMDP("IR", $D48, AJ$8, Matrix!$D$6)), "")</f>
        <v>5.9669999999999996</v>
      </c>
      <c r="AK48" cm="1">
        <f t="array" aca="1" ref="AK48" ca="1">IF( AND($D$7,NOT(ISBLANK($D48))), IF(_xll.IMDP("IR", $D48, AK$8, Matrix!$D$6)=0,"",_xll.IMDP("IR", $D48, AK$8, Matrix!$D$6)), "")</f>
        <v>6.0620000000000003</v>
      </c>
      <c r="AL48" cm="1">
        <f t="array" aca="1" ref="AL48" ca="1">IF( AND($D$7,NOT(ISBLANK($D48))), IF(_xll.IMDP("IR", $D48, AL$8, Matrix!$D$6)=0,"",_xll.IMDP("IR", $D48, AL$8, Matrix!$D$6)), "")</f>
        <v>6.1180000000000003</v>
      </c>
      <c r="AM48" cm="1">
        <f t="array" aca="1" ref="AM48" ca="1">IF( AND($D$7,NOT(ISBLANK($D48))), IF(_xll.IMDP("IR", $D48, AM$8, Matrix!$D$6)=0,"",_xll.IMDP("IR", $D48, AM$8, Matrix!$D$6)), "")</f>
        <v>6.1950000000000003</v>
      </c>
      <c r="AN48" cm="1">
        <f t="array" aca="1" ref="AN48" ca="1">IF( AND($D$7,NOT(ISBLANK($D48))), IF(_xll.IMDP("IR", $D48, AN$8, Matrix!$D$6)=0,"",_xll.IMDP("IR", $D48, AN$8, Matrix!$D$6)), "")</f>
        <v>6.4779999999999998</v>
      </c>
      <c r="AO48" cm="1">
        <f t="array" aca="1" ref="AO48" ca="1">IF( AND($D$7,NOT(ISBLANK($D48))), IF(_xll.IMDP("IR", $D48, AO$8, Matrix!$D$6)=0,"",_xll.IMDP("IR", $D48, AO$8, Matrix!$D$6)), "")</f>
        <v>6.7969999999999997</v>
      </c>
      <c r="AP48" cm="1">
        <f t="array" aca="1" ref="AP48" ca="1">IF( AND($D$7,NOT(ISBLANK($D48))), IF(_xll.IMDP("IR", $D48, AP$8, Matrix!$D$6)=0,"",_xll.IMDP("IR", $D48, AP$8, Matrix!$D$6)), "")</f>
        <v>6.859</v>
      </c>
      <c r="AQ48" t="str" cm="1">
        <f t="array" aca="1" ref="AQ48" ca="1">IF( AND($D$7,NOT(ISBLANK($D48))), IF(_xll.IMDP("IR", $D48, AQ$8, Matrix!$D$6)=0,"",_xll.IMDP("IR", $D48, AQ$8, Matrix!$D$6)), "")</f>
        <v/>
      </c>
      <c r="AR48" t="str" cm="1">
        <f t="array" aca="1" ref="AR48" ca="1">IF( AND($D$7,NOT(ISBLANK($D48))), IF(_xll.IMDP("IR", $D48, AR$8, Matrix!$D$6)=0,"",_xll.IMDP("IR", $D48, AR$8, Matrix!$D$6)), "")</f>
        <v/>
      </c>
      <c r="AS48" cm="1">
        <f t="array" aca="1" ref="AS48" ca="1">IF( AND($E$7,NOT(ISBLANK($E48))), IF( _xll.IMDP("IR", $E48, AS$8, Matrix!$D$6)=0,"",_xll.IMDP("IR", $E48, AS$8, Matrix!$D$6)), "")</f>
        <v>5.0750000000000002</v>
      </c>
      <c r="AT48" cm="1">
        <f t="array" aca="1" ref="AT48" ca="1">IF( AND($E$7,NOT(ISBLANK($E48))), IF( _xll.IMDP("IR", $E48, AT$8, Matrix!$D$6)=0,"",_xll.IMDP("IR", $E48, AT$8, Matrix!$D$6)), "")</f>
        <v>5.5529999999999999</v>
      </c>
      <c r="AU48" cm="1">
        <f t="array" aca="1" ref="AU48" ca="1">IF( AND($E$7,NOT(ISBLANK($E48))), IF( _xll.IMDP("IR", $E48, AU$8, Matrix!$D$6)=0,"",_xll.IMDP("IR", $E48, AU$8, Matrix!$D$6)), "")</f>
        <v>5.6769999999999996</v>
      </c>
      <c r="AV48" cm="1">
        <f t="array" aca="1" ref="AV48" ca="1">IF( AND($E$7,NOT(ISBLANK($E48))), IF( _xll.IMDP("IR", $E48, AV$8, Matrix!$D$6)=0,"",_xll.IMDP("IR", $E48, AV$8, Matrix!$D$6)), "")</f>
        <v>5.6849999999999996</v>
      </c>
      <c r="AW48" cm="1">
        <f t="array" aca="1" ref="AW48" ca="1">IF( AND($E$7,NOT(ISBLANK($E48))), IF( _xll.IMDP("IR", $E48, AW$8, Matrix!$D$6)=0,"",_xll.IMDP("IR", $E48, AW$8, Matrix!$D$6)), "")</f>
        <v>5.7670000000000003</v>
      </c>
      <c r="AX48" cm="1">
        <f t="array" aca="1" ref="AX48" ca="1">IF( AND($E$7,NOT(ISBLANK($E48))), IF( _xll.IMDP("IR", $E48, AX$8, Matrix!$D$6)=0,"",_xll.IMDP("IR", $E48, AX$8, Matrix!$D$6)), "")</f>
        <v>5.8659999999999997</v>
      </c>
      <c r="AY48" cm="1">
        <f t="array" aca="1" ref="AY48" ca="1">IF( AND($E$7,NOT(ISBLANK($E48))), IF( _xll.IMDP("IR", $E48, AY$8, Matrix!$D$6)=0,"",_xll.IMDP("IR", $E48, AY$8, Matrix!$D$6)), "")</f>
        <v>5.9660000000000002</v>
      </c>
      <c r="AZ48" cm="1">
        <f t="array" aca="1" ref="AZ48" ca="1">IF( AND($E$7,NOT(ISBLANK($E48))), IF( _xll.IMDP("IR", $E48, AZ$8, Matrix!$D$6)=0,"",_xll.IMDP("IR", $E48, AZ$8, Matrix!$D$6)), "")</f>
        <v>6.0469999999999997</v>
      </c>
      <c r="BA48" cm="1">
        <f t="array" aca="1" ref="BA48" ca="1">IF( AND($E$7,NOT(ISBLANK($E48))), IF( _xll.IMDP("IR", $E48, BA$8, Matrix!$D$6)=0,"",_xll.IMDP("IR", $E48, BA$8, Matrix!$D$6)), "")</f>
        <v>6.085</v>
      </c>
      <c r="BB48" cm="1">
        <f t="array" aca="1" ref="BB48" ca="1">IF( AND($E$7,NOT(ISBLANK($E48))), IF( _xll.IMDP("IR", $E48, BB$8, Matrix!$D$6)=0,"",_xll.IMDP("IR", $E48, BB$8, Matrix!$D$6)), "")</f>
        <v>6.117</v>
      </c>
      <c r="BC48" cm="1">
        <f t="array" aca="1" ref="BC48" ca="1">IF( AND($E$7,NOT(ISBLANK($E48))), IF( _xll.IMDP("IR", $E48, BC$8, Matrix!$D$6)=0,"",_xll.IMDP("IR", $E48, BC$8, Matrix!$D$6)), "")</f>
        <v>6.1959999999999997</v>
      </c>
      <c r="BD48" cm="1">
        <f t="array" aca="1" ref="BD48" ca="1">IF( AND($E$7,NOT(ISBLANK($E48))), IF( _xll.IMDP("IR", $E48, BD$8, Matrix!$D$6)=0,"",_xll.IMDP("IR", $E48, BD$8, Matrix!$D$6)), "")</f>
        <v>6.4820000000000002</v>
      </c>
      <c r="BE48" cm="1">
        <f t="array" aca="1" ref="BE48" ca="1">IF( AND($E$7,NOT(ISBLANK($E48))), IF( _xll.IMDP("IR", $E48, BE$8, Matrix!$D$6)=0,"",_xll.IMDP("IR", $E48, BE$8, Matrix!$D$6)), "")</f>
        <v>6.7309999999999999</v>
      </c>
      <c r="BF48" cm="1">
        <f t="array" aca="1" ref="BF48" ca="1">IF( AND($E$7,NOT(ISBLANK($E48))), IF( _xll.IMDP("IR", $E48, BF$8, Matrix!$D$6)=0,"",_xll.IMDP("IR", $E48, BF$8, Matrix!$D$6)), "")</f>
        <v>6.7919999999999998</v>
      </c>
      <c r="BG48" t="str" cm="1">
        <f t="array" aca="1" ref="BG48" ca="1">IF( AND($E$7,NOT(ISBLANK($E48))), IF( _xll.IMDP("IR", $E48, BG$8, Matrix!$D$6)=0,"",_xll.IMDP("IR", $E48, BG$8, Matrix!$D$6)), "")</f>
        <v/>
      </c>
      <c r="BH48" t="str" cm="1">
        <f t="array" aca="1" ref="BH48" ca="1">IF( AND($E$7,NOT(ISBLANK($E48))), IF( _xll.IMDP("IR", $E48, BH$8, Matrix!$D$6)=0,"",_xll.IMDP("IR", $E48, BH$8, Matrix!$D$6)), "")</f>
        <v/>
      </c>
      <c r="BI48" cm="1">
        <f t="array" aca="1" ref="BI48" ca="1">IF( AND($F$7,NOT(ISBLANK($F48))), IF( _xll.IMDP("IR", $F48, BI$8, Matrix!$D$6)=0,"",_xll.IMDP("IR", $F48, BI$8, Matrix!$D$6)), "")</f>
        <v>5.1029999999999998</v>
      </c>
      <c r="BJ48" cm="1">
        <f t="array" aca="1" ref="BJ48" ca="1">IF( AND($F$7,NOT(ISBLANK($F48))), IF( _xll.IMDP("IR", $F48, BJ$8, Matrix!$D$6)=0,"",_xll.IMDP("IR", $F48, BJ$8, Matrix!$D$6)), "")</f>
        <v>5.47</v>
      </c>
      <c r="BK48" cm="1">
        <f t="array" aca="1" ref="BK48" ca="1">IF( AND($F$7,NOT(ISBLANK($F48))), IF( _xll.IMDP("IR", $F48, BK$8, Matrix!$D$6)=0,"",_xll.IMDP("IR", $F48, BK$8, Matrix!$D$6)), "")</f>
        <v>5.633</v>
      </c>
      <c r="BL48" cm="1">
        <f t="array" aca="1" ref="BL48" ca="1">IF( AND($F$7,NOT(ISBLANK($F48))), IF( _xll.IMDP("IR", $F48, BL$8, Matrix!$D$6)=0,"",_xll.IMDP("IR", $F48, BL$8, Matrix!$D$6)), "")</f>
        <v>5.72</v>
      </c>
      <c r="BM48" cm="1">
        <f t="array" aca="1" ref="BM48" ca="1">IF( AND($F$7,NOT(ISBLANK($F48))), IF( _xll.IMDP("IR", $F48, BM$8, Matrix!$D$6)=0,"",_xll.IMDP("IR", $F48, BM$8, Matrix!$D$6)), "")</f>
        <v>5.7839999999999998</v>
      </c>
      <c r="BN48" cm="1">
        <f t="array" aca="1" ref="BN48" ca="1">IF( AND($F$7,NOT(ISBLANK($F48))), IF( _xll.IMDP("IR", $F48, BN$8, Matrix!$D$6)=0,"",_xll.IMDP("IR", $F48, BN$8, Matrix!$D$6)), "")</f>
        <v>5.8789999999999996</v>
      </c>
      <c r="BO48" cm="1">
        <f t="array" aca="1" ref="BO48" ca="1">IF( AND($F$7,NOT(ISBLANK($F48))), IF( _xll.IMDP("IR", $F48, BO$8, Matrix!$D$6)=0,"",_xll.IMDP("IR", $F48, BO$8, Matrix!$D$6)), "")</f>
        <v>5.9589999999999996</v>
      </c>
      <c r="BP48" cm="1">
        <f t="array" aca="1" ref="BP48" ca="1">IF( AND($F$7,NOT(ISBLANK($F48))), IF( _xll.IMDP("IR", $F48, BP$8, Matrix!$D$6)=0,"",_xll.IMDP("IR", $F48, BP$8, Matrix!$D$6)), "")</f>
        <v>6.0590000000000002</v>
      </c>
      <c r="BQ48" cm="1">
        <f t="array" aca="1" ref="BQ48" ca="1">IF( AND($F$7,NOT(ISBLANK($F48))), IF( _xll.IMDP("IR", $F48, BQ$8, Matrix!$D$6)=0,"",_xll.IMDP("IR", $F48, BQ$8, Matrix!$D$6)), "")</f>
        <v>6.1070000000000002</v>
      </c>
      <c r="BR48" cm="1">
        <f t="array" aca="1" ref="BR48" ca="1">IF( AND($F$7,NOT(ISBLANK($F48))), IF( _xll.IMDP("IR", $F48, BR$8, Matrix!$D$6)=0,"",_xll.IMDP("IR", $F48, BR$8, Matrix!$D$6)), "")</f>
        <v>6.181</v>
      </c>
      <c r="BS48" cm="1">
        <f t="array" aca="1" ref="BS48" ca="1">IF( AND($F$7,NOT(ISBLANK($F48))), IF( _xll.IMDP("IR", $F48, BS$8, Matrix!$D$6)=0,"",_xll.IMDP("IR", $F48, BS$8, Matrix!$D$6)), "")</f>
        <v>6.2110000000000003</v>
      </c>
      <c r="BT48" cm="1">
        <f t="array" aca="1" ref="BT48" ca="1">IF( AND($F$7,NOT(ISBLANK($F48))), IF( _xll.IMDP("IR", $F48, BT$8, Matrix!$D$6)=0,"",_xll.IMDP("IR", $F48, BT$8, Matrix!$D$6)), "")</f>
        <v>6.4790000000000001</v>
      </c>
      <c r="BU48" cm="1">
        <f t="array" aca="1" ref="BU48" ca="1">IF( AND($F$7,NOT(ISBLANK($F48))), IF( _xll.IMDP("IR", $F48, BU$8, Matrix!$D$6)=0,"",_xll.IMDP("IR", $F48, BU$8, Matrix!$D$6)), "")</f>
        <v>6.6710000000000003</v>
      </c>
      <c r="BV48" cm="1">
        <f t="array" aca="1" ref="BV48" ca="1">IF( AND($F$7,NOT(ISBLANK($F48))), IF( _xll.IMDP("IR", $F48, BV$8, Matrix!$D$6)=0,"",_xll.IMDP("IR", $F48, BV$8, Matrix!$D$6)), "")</f>
        <v>6.7889999999999997</v>
      </c>
      <c r="BW48" t="str" cm="1">
        <f t="array" aca="1" ref="BW48" ca="1">IF( AND($F$7,NOT(ISBLANK($F48))), IF( _xll.IMDP("IR", $F48, BW$8, Matrix!$D$6)=0,"",_xll.IMDP("IR", $F48, BW$8, Matrix!$D$6)), "")</f>
        <v/>
      </c>
      <c r="BX48" t="str" cm="1">
        <f t="array" aca="1" ref="BX48" ca="1">IF( AND($F$7,NOT(ISBLANK($F48))), IF( _xll.IMDP("IR", $F48, BX$8, Matrix!$D$6)=0,"",_xll.IMDP("IR", $F48, BX$8, Matrix!$D$6)), "")</f>
        <v/>
      </c>
      <c r="BY48" cm="1">
        <f t="array" aca="1" ref="BY48" ca="1">IF( AND($G$7,NOT(ISBLANK($G48))), IF( _xll.IMDP("IR", $G48, BY$8, Matrix!$D$6)=0, "", _xll.IMDP("IR", $G48, BY$8, Matrix!$D$6)), "")</f>
        <v>5.0789999999999997</v>
      </c>
      <c r="BZ48" cm="1">
        <f t="array" aca="1" ref="BZ48" ca="1">IF( AND($G$7,NOT(ISBLANK($G48))), IF( _xll.IMDP("IR", $G48, BZ$8, Matrix!$D$6)=0, "", _xll.IMDP("IR", $G48, BZ$8, Matrix!$D$6)), "")</f>
        <v>5.4989999999999997</v>
      </c>
      <c r="CA48" cm="1">
        <f t="array" aca="1" ref="CA48" ca="1">IF( AND($G$7,NOT(ISBLANK($G48))), IF( _xll.IMDP("IR", $G48, CA$8, Matrix!$D$6)=0, "", _xll.IMDP("IR", $G48, CA$8, Matrix!$D$6)), "")</f>
        <v>5.625</v>
      </c>
      <c r="CB48" cm="1">
        <f t="array" aca="1" ref="CB48" ca="1">IF( AND($G$7,NOT(ISBLANK($G48))), IF( _xll.IMDP("IR", $G48, CB$8, Matrix!$D$6)=0, "", _xll.IMDP("IR", $G48, CB$8, Matrix!$D$6)), "")</f>
        <v>5.6820000000000004</v>
      </c>
      <c r="CC48" cm="1">
        <f t="array" aca="1" ref="CC48" ca="1">IF( AND($G$7,NOT(ISBLANK($G48))), IF( _xll.IMDP("IR", $G48, CC$8, Matrix!$D$6)=0, "", _xll.IMDP("IR", $G48, CC$8, Matrix!$D$6)), "")</f>
        <v>5.7549999999999999</v>
      </c>
      <c r="CD48" cm="1">
        <f t="array" aca="1" ref="CD48" ca="1">IF( AND($G$7,NOT(ISBLANK($G48))), IF( _xll.IMDP("IR", $G48, CD$8, Matrix!$D$6)=0, "", _xll.IMDP("IR", $G48, CD$8, Matrix!$D$6)), "")</f>
        <v>5.8719999999999999</v>
      </c>
      <c r="CE48" cm="1">
        <f t="array" aca="1" ref="CE48" ca="1">IF( AND($G$7,NOT(ISBLANK($G48))), IF( _xll.IMDP("IR", $G48, CE$8, Matrix!$D$6)=0, "", _xll.IMDP("IR", $G48, CE$8, Matrix!$D$6)), "")</f>
        <v>5.9169999999999998</v>
      </c>
      <c r="CF48" cm="1">
        <f t="array" aca="1" ref="CF48" ca="1">IF( AND($G$7,NOT(ISBLANK($G48))), IF( _xll.IMDP("IR", $G48, CF$8, Matrix!$D$6)=0, "", _xll.IMDP("IR", $G48, CF$8, Matrix!$D$6)), "")</f>
        <v>6.0149999999999997</v>
      </c>
      <c r="CG48" cm="1">
        <f t="array" aca="1" ref="CG48" ca="1">IF( AND($G$7,NOT(ISBLANK($G48))), IF( _xll.IMDP("IR", $G48, CG$8, Matrix!$D$6)=0, "", _xll.IMDP("IR", $G48, CG$8, Matrix!$D$6)), "")</f>
        <v>6.0650000000000004</v>
      </c>
      <c r="CH48" cm="1">
        <f t="array" aca="1" ref="CH48" ca="1">IF( AND($G$7,NOT(ISBLANK($G48))), IF( _xll.IMDP("IR", $G48, CH$8, Matrix!$D$6)=0, "", _xll.IMDP("IR", $G48, CH$8, Matrix!$D$6)), "")</f>
        <v>6.1360000000000001</v>
      </c>
      <c r="CI48" cm="1">
        <f t="array" aca="1" ref="CI48" ca="1">IF( AND($G$7,NOT(ISBLANK($G48))), IF( _xll.IMDP("IR", $G48, CI$8, Matrix!$D$6)=0, "", _xll.IMDP("IR", $G48, CI$8, Matrix!$D$6)), "")</f>
        <v>6.2110000000000003</v>
      </c>
      <c r="CJ48" cm="1">
        <f t="array" aca="1" ref="CJ48" ca="1">IF( AND($G$7,NOT(ISBLANK($G48))), IF( _xll.IMDP("IR", $G48, CJ$8, Matrix!$D$6)=0, "", _xll.IMDP("IR", $G48, CJ$8, Matrix!$D$6)), "")</f>
        <v>6.4859999999999998</v>
      </c>
      <c r="CK48" cm="1">
        <f t="array" aca="1" ref="CK48" ca="1">IF( AND($G$7,NOT(ISBLANK($G48))), IF( _xll.IMDP("IR", $G48, CK$8, Matrix!$D$6)=0, "", _xll.IMDP("IR", $G48, CK$8, Matrix!$D$6)), "")</f>
        <v>6.7290000000000001</v>
      </c>
      <c r="CL48" cm="1">
        <f t="array" aca="1" ref="CL48" ca="1">IF( AND($G$7,NOT(ISBLANK($G48))), IF( _xll.IMDP("IR", $G48, CL$8, Matrix!$D$6)=0, "", _xll.IMDP("IR", $G48, CL$8, Matrix!$D$6)), "")</f>
        <v>6.8369999999999997</v>
      </c>
      <c r="CM48" t="str" cm="1">
        <f t="array" aca="1" ref="CM48" ca="1">IF( AND($G$7,NOT(ISBLANK($G48))), IF( _xll.IMDP("IR", $G48, CM$8, Matrix!$D$6)=0, "", _xll.IMDP("IR", $G48, CM$8, Matrix!$D$6)), "")</f>
        <v/>
      </c>
      <c r="CN48" t="str" cm="1">
        <f t="array" aca="1" ref="CN48" ca="1">IF( AND($G$7,NOT(ISBLANK($G48))), IF( _xll.IMDP("IR", $G48, CN$8, Matrix!$D$6)=0, "", _xll.IMDP("IR", $G48, CN$8, Matrix!$D$6)), "")</f>
        <v/>
      </c>
      <c r="CO48" t="str" cm="1">
        <f t="array" ref="CO48">IF( AND($H$7,NOT(ISBLANK($H48))), IF( _xll.IMDP("IR", $H48, CO$8, Matrix!$D$6)=0, "", _xll.IMDP("IR", $H48, CO$8, Matrix!$D$6)), "")</f>
        <v/>
      </c>
      <c r="CP48" t="str" cm="1">
        <f t="array" ref="CP48">IF( AND($H$7,NOT(ISBLANK($H48))), IF( _xll.IMDP("IR", $H48, CP$8, Matrix!$D$6)=0, "", _xll.IMDP("IR", $H48, CP$8, Matrix!$D$6)), "")</f>
        <v/>
      </c>
      <c r="CQ48" t="str" cm="1">
        <f t="array" ref="CQ48">IF( AND($H$7,NOT(ISBLANK($H48))), IF( _xll.IMDP("IR", $H48, CQ$8, Matrix!$D$6)=0, "", _xll.IMDP("IR", $H48, CQ$8, Matrix!$D$6)), "")</f>
        <v/>
      </c>
      <c r="CR48" t="str" cm="1">
        <f t="array" ref="CR48">IF( AND($H$7,NOT(ISBLANK($H48))), IF( _xll.IMDP("IR", $H48, CR$8, Matrix!$D$6)=0, "", _xll.IMDP("IR", $H48, CR$8, Matrix!$D$6)), "")</f>
        <v/>
      </c>
      <c r="CS48" t="str" cm="1">
        <f t="array" ref="CS48">IF( AND($H$7,NOT(ISBLANK($H48))), IF( _xll.IMDP("IR", $H48, CS$8, Matrix!$D$6)=0, "", _xll.IMDP("IR", $H48, CS$8, Matrix!$D$6)), "")</f>
        <v/>
      </c>
      <c r="CT48" t="str" cm="1">
        <f t="array" ref="CT48">IF( AND($H$7,NOT(ISBLANK($H48))), IF( _xll.IMDP("IR", $H48, CT$8, Matrix!$D$6)=0, "", _xll.IMDP("IR", $H48, CT$8, Matrix!$D$6)), "")</f>
        <v/>
      </c>
      <c r="CU48" t="str" cm="1">
        <f t="array" ref="CU48">IF( AND($H$7,NOT(ISBLANK($H48))), IF( _xll.IMDP("IR", $H48, CU$8, Matrix!$D$6)=0, "", _xll.IMDP("IR", $H48, CU$8, Matrix!$D$6)), "")</f>
        <v/>
      </c>
      <c r="CV48" t="str" cm="1">
        <f t="array" ref="CV48">IF( AND($H$7,NOT(ISBLANK($H48))), IF( _xll.IMDP("IR", $H48, CV$8, Matrix!$D$6)=0, "", _xll.IMDP("IR", $H48, CV$8, Matrix!$D$6)), "")</f>
        <v/>
      </c>
      <c r="CW48" t="str" cm="1">
        <f t="array" ref="CW48">IF( AND($H$7,NOT(ISBLANK($H48))), IF( _xll.IMDP("IR", $H48, CW$8, Matrix!$D$6)=0, "", _xll.IMDP("IR", $H48, CW$8, Matrix!$D$6)), "")</f>
        <v/>
      </c>
      <c r="CX48" t="str" cm="1">
        <f t="array" ref="CX48">IF( AND($H$7,NOT(ISBLANK($H48))), IF( _xll.IMDP("IR", $H48, CX$8, Matrix!$D$6)=0, "", _xll.IMDP("IR", $H48, CX$8, Matrix!$D$6)), "")</f>
        <v/>
      </c>
      <c r="CY48" t="str" cm="1">
        <f t="array" ref="CY48">IF( AND($H$7,NOT(ISBLANK($H48))), IF( _xll.IMDP("IR", $H48, CY$8, Matrix!$D$6)=0, "", _xll.IMDP("IR", $H48, CY$8, Matrix!$D$6)), "")</f>
        <v/>
      </c>
      <c r="CZ48" t="str" cm="1">
        <f t="array" ref="CZ48">IF( AND($H$7,NOT(ISBLANK($H48))), IF( _xll.IMDP("IR", $H48, CZ$8, Matrix!$D$6)=0, "", _xll.IMDP("IR", $H48, CZ$8, Matrix!$D$6)), "")</f>
        <v/>
      </c>
      <c r="DA48" t="str" cm="1">
        <f t="array" ref="DA48">IF( AND($H$7,NOT(ISBLANK($H48))), IF( _xll.IMDP("IR", $H48, DA$8, Matrix!$D$6)=0, "", _xll.IMDP("IR", $H48, DA$8, Matrix!$D$6)), "")</f>
        <v/>
      </c>
      <c r="DB48" t="str" cm="1">
        <f t="array" ref="DB48">IF( AND($H$7,NOT(ISBLANK($H48))), IF( _xll.IMDP("IR", $H48, DB$8, Matrix!$D$6)=0, "", _xll.IMDP("IR", $H48, DB$8, Matrix!$D$6)), "")</f>
        <v/>
      </c>
      <c r="DC48" t="str" cm="1">
        <f t="array" ref="DC48">IF( AND($H$7,NOT(ISBLANK($H48))), IF( _xll.IMDP("IR", $H48, DC$8, Matrix!$D$6)=0, "", _xll.IMDP("IR", $H48, DC$8, Matrix!$D$6)), "")</f>
        <v/>
      </c>
      <c r="DD48" t="str" cm="1">
        <f t="array" ref="DD48">IF( AND($H$7,NOT(ISBLANK($H48))), IF( _xll.IMDP("IR", $H48, DD$8, Matrix!$D$6)=0, "", _xll.IMDP("IR", $H48, DD$8, Matrix!$D$6)), "")</f>
        <v/>
      </c>
    </row>
    <row r="49" spans="2:108">
      <c r="B49" t="s">
        <v>117</v>
      </c>
      <c r="C49" t="s">
        <v>191</v>
      </c>
      <c r="D49" t="s">
        <v>263</v>
      </c>
      <c r="E49" t="s">
        <v>328</v>
      </c>
      <c r="F49" t="s">
        <v>391</v>
      </c>
      <c r="G49" t="s">
        <v>457</v>
      </c>
      <c r="M49" s="21">
        <f t="shared" ca="1" si="1"/>
        <v>5.8872817279883431</v>
      </c>
      <c r="N49" s="21">
        <f t="shared" ca="1" si="2"/>
        <v>6.5222773244451302</v>
      </c>
      <c r="O49" s="21">
        <f t="shared" ca="1" si="3"/>
        <v>6.76770827218101</v>
      </c>
      <c r="P49" s="21">
        <f t="shared" ca="1" si="4"/>
        <v>6.859765558567581</v>
      </c>
      <c r="Q49" s="21">
        <f t="shared" ca="1" si="5"/>
        <v>6.9332020249718935</v>
      </c>
      <c r="R49" s="21">
        <f t="shared" ca="1" si="6"/>
        <v>7.2166857380375413</v>
      </c>
      <c r="S49" s="21">
        <f t="shared" ca="1" si="7"/>
        <v>7.3323307774539961</v>
      </c>
      <c r="T49" s="21">
        <f t="shared" ca="1" si="8"/>
        <v>7.3822058772314785</v>
      </c>
      <c r="U49" s="21">
        <f t="shared" ca="1" si="9"/>
        <v>7.3924544055004517</v>
      </c>
      <c r="V49" s="21">
        <f t="shared" ca="1" si="10"/>
        <v>7.4368887075548971</v>
      </c>
      <c r="W49" s="21">
        <f t="shared" ca="1" si="11"/>
        <v>7.4899476395354174</v>
      </c>
      <c r="X49" s="21">
        <f t="shared" ca="1" si="12"/>
        <v>7.7971609754047</v>
      </c>
      <c r="Y49" s="21">
        <f t="shared" ca="1" si="13"/>
        <v>8.1304677406312074</v>
      </c>
      <c r="Z49" s="21">
        <f t="shared" ca="1" si="14"/>
        <v>8.3251185137733721</v>
      </c>
      <c r="AA49" s="21" t="e">
        <f t="shared" ca="1" si="15"/>
        <v>#NUM!</v>
      </c>
      <c r="AB49" s="21" t="e">
        <f t="shared" ca="1" si="16"/>
        <v>#NUM!</v>
      </c>
      <c r="AC49" cm="1">
        <f t="array" aca="1" ref="AC49" ca="1">IF( AND($D$7,NOT(ISBLANK($D49))), IF(_xll.IMDP("IR", $D49, AC$8, Matrix!$D$6)=0,"",_xll.IMDP("IR", $D49, AC$8, Matrix!$D$6)), "")</f>
        <v>5.76</v>
      </c>
      <c r="AD49" cm="1">
        <f t="array" aca="1" ref="AD49" ca="1">IF( AND($D$7,NOT(ISBLANK($D49))), IF(_xll.IMDP("IR", $D49, AD$8, Matrix!$D$6)=0,"",_xll.IMDP("IR", $D49, AD$8, Matrix!$D$6)), "")</f>
        <v>6.3689999999999998</v>
      </c>
      <c r="AE49" cm="1">
        <f t="array" aca="1" ref="AE49" ca="1">IF( AND($D$7,NOT(ISBLANK($D49))), IF(_xll.IMDP("IR", $D49, AE$8, Matrix!$D$6)=0,"",_xll.IMDP("IR", $D49, AE$8, Matrix!$D$6)), "")</f>
        <v>6.585</v>
      </c>
      <c r="AF49" cm="1">
        <f t="array" aca="1" ref="AF49" ca="1">IF( AND($D$7,NOT(ISBLANK($D49))), IF(_xll.IMDP("IR", $D49, AF$8, Matrix!$D$6)=0,"",_xll.IMDP("IR", $D49, AF$8, Matrix!$D$6)), "")</f>
        <v>6.77</v>
      </c>
      <c r="AG49" cm="1">
        <f t="array" aca="1" ref="AG49" ca="1">IF( AND($D$7,NOT(ISBLANK($D49))), IF(_xll.IMDP("IR", $D49, AG$8, Matrix!$D$6)=0,"",_xll.IMDP("IR", $D49, AG$8, Matrix!$D$6)), "")</f>
        <v>6.8360000000000003</v>
      </c>
      <c r="AH49" cm="1">
        <f t="array" aca="1" ref="AH49" ca="1">IF( AND($D$7,NOT(ISBLANK($D49))), IF(_xll.IMDP("IR", $D49, AH$8, Matrix!$D$6)=0,"",_xll.IMDP("IR", $D49, AH$8, Matrix!$D$6)), "")</f>
        <v>7.1070000000000002</v>
      </c>
      <c r="AI49" cm="1">
        <f t="array" aca="1" ref="AI49" ca="1">IF( AND($D$7,NOT(ISBLANK($D49))), IF(_xll.IMDP("IR", $D49, AI$8, Matrix!$D$6)=0,"",_xll.IMDP("IR", $D49, AI$8, Matrix!$D$6)), "")</f>
        <v>7.2510000000000003</v>
      </c>
      <c r="AJ49" cm="1">
        <f t="array" aca="1" ref="AJ49" ca="1">IF( AND($D$7,NOT(ISBLANK($D49))), IF(_xll.IMDP("IR", $D49, AJ$8, Matrix!$D$6)=0,"",_xll.IMDP("IR", $D49, AJ$8, Matrix!$D$6)), "")</f>
        <v>7.343</v>
      </c>
      <c r="AK49" cm="1">
        <f t="array" aca="1" ref="AK49" ca="1">IF( AND($D$7,NOT(ISBLANK($D49))), IF(_xll.IMDP("IR", $D49, AK$8, Matrix!$D$6)=0,"",_xll.IMDP("IR", $D49, AK$8, Matrix!$D$6)), "")</f>
        <v>7.359</v>
      </c>
      <c r="AL49" cm="1">
        <f t="array" aca="1" ref="AL49" ca="1">IF( AND($D$7,NOT(ISBLANK($D49))), IF(_xll.IMDP("IR", $D49, AL$8, Matrix!$D$6)=0,"",_xll.IMDP("IR", $D49, AL$8, Matrix!$D$6)), "")</f>
        <v>7.3849999999999998</v>
      </c>
      <c r="AM49" cm="1">
        <f t="array" aca="1" ref="AM49" ca="1">IF( AND($D$7,NOT(ISBLANK($D49))), IF(_xll.IMDP("IR", $D49, AM$8, Matrix!$D$6)=0,"",_xll.IMDP("IR", $D49, AM$8, Matrix!$D$6)), "")</f>
        <v>7.4429999999999996</v>
      </c>
      <c r="AN49" cm="1">
        <f t="array" aca="1" ref="AN49" ca="1">IF( AND($D$7,NOT(ISBLANK($D49))), IF(_xll.IMDP("IR", $D49, AN$8, Matrix!$D$6)=0,"",_xll.IMDP("IR", $D49, AN$8, Matrix!$D$6)), "")</f>
        <v>7.8490000000000002</v>
      </c>
      <c r="AO49" cm="1">
        <f t="array" aca="1" ref="AO49" ca="1">IF( AND($D$7,NOT(ISBLANK($D49))), IF(_xll.IMDP("IR", $D49, AO$8, Matrix!$D$6)=0,"",_xll.IMDP("IR", $D49, AO$8, Matrix!$D$6)), "")</f>
        <v>8.3800000000000008</v>
      </c>
      <c r="AP49" cm="1">
        <f t="array" aca="1" ref="AP49" ca="1">IF( AND($D$7,NOT(ISBLANK($D49))), IF(_xll.IMDP("IR", $D49, AP$8, Matrix!$D$6)=0,"",_xll.IMDP("IR", $D49, AP$8, Matrix!$D$6)), "")</f>
        <v>8.548</v>
      </c>
      <c r="AQ49" t="str" cm="1">
        <f t="array" aca="1" ref="AQ49" ca="1">IF( AND($D$7,NOT(ISBLANK($D49))), IF(_xll.IMDP("IR", $D49, AQ$8, Matrix!$D$6)=0,"",_xll.IMDP("IR", $D49, AQ$8, Matrix!$D$6)), "")</f>
        <v/>
      </c>
      <c r="AR49" t="str" cm="1">
        <f t="array" aca="1" ref="AR49" ca="1">IF( AND($D$7,NOT(ISBLANK($D49))), IF(_xll.IMDP("IR", $D49, AR$8, Matrix!$D$6)=0,"",_xll.IMDP("IR", $D49, AR$8, Matrix!$D$6)), "")</f>
        <v/>
      </c>
      <c r="AS49" cm="1">
        <f t="array" aca="1" ref="AS49" ca="1">IF( AND($E$7,NOT(ISBLANK($E49))), IF( _xll.IMDP("IR", $E49, AS$8, Matrix!$D$6)=0,"",_xll.IMDP("IR", $E49, AS$8, Matrix!$D$6)), "")</f>
        <v>5.9370000000000003</v>
      </c>
      <c r="AT49" cm="1">
        <f t="array" aca="1" ref="AT49" ca="1">IF( AND($E$7,NOT(ISBLANK($E49))), IF( _xll.IMDP("IR", $E49, AT$8, Matrix!$D$6)=0,"",_xll.IMDP("IR", $E49, AT$8, Matrix!$D$6)), "")</f>
        <v>6.6349999999999998</v>
      </c>
      <c r="AU49" cm="1">
        <f t="array" aca="1" ref="AU49" ca="1">IF( AND($E$7,NOT(ISBLANK($E49))), IF( _xll.IMDP("IR", $E49, AU$8, Matrix!$D$6)=0,"",_xll.IMDP("IR", $E49, AU$8, Matrix!$D$6)), "")</f>
        <v>6.9080000000000004</v>
      </c>
      <c r="AV49" cm="1">
        <f t="array" aca="1" ref="AV49" ca="1">IF( AND($E$7,NOT(ISBLANK($E49))), IF( _xll.IMDP("IR", $E49, AV$8, Matrix!$D$6)=0,"",_xll.IMDP("IR", $E49, AV$8, Matrix!$D$6)), "")</f>
        <v>6.9169999999999998</v>
      </c>
      <c r="AW49" cm="1">
        <f t="array" aca="1" ref="AW49" ca="1">IF( AND($E$7,NOT(ISBLANK($E49))), IF( _xll.IMDP("IR", $E49, AW$8, Matrix!$D$6)=0,"",_xll.IMDP("IR", $E49, AW$8, Matrix!$D$6)), "")</f>
        <v>6.9960000000000004</v>
      </c>
      <c r="AX49" cm="1">
        <f t="array" aca="1" ref="AX49" ca="1">IF( AND($E$7,NOT(ISBLANK($E49))), IF( _xll.IMDP("IR", $E49, AX$8, Matrix!$D$6)=0,"",_xll.IMDP("IR", $E49, AX$8, Matrix!$D$6)), "")</f>
        <v>7.2889999999999997</v>
      </c>
      <c r="AY49" cm="1">
        <f t="array" aca="1" ref="AY49" ca="1">IF( AND($E$7,NOT(ISBLANK($E49))), IF( _xll.IMDP("IR", $E49, AY$8, Matrix!$D$6)=0,"",_xll.IMDP("IR", $E49, AY$8, Matrix!$D$6)), "")</f>
        <v>7.3849999999999998</v>
      </c>
      <c r="AZ49" cm="1">
        <f t="array" aca="1" ref="AZ49" ca="1">IF( AND($E$7,NOT(ISBLANK($E49))), IF( _xll.IMDP("IR", $E49, AZ$8, Matrix!$D$6)=0,"",_xll.IMDP("IR", $E49, AZ$8, Matrix!$D$6)), "")</f>
        <v>7.4109999999999996</v>
      </c>
      <c r="BA49" cm="1">
        <f t="array" aca="1" ref="BA49" ca="1">IF( AND($E$7,NOT(ISBLANK($E49))), IF( _xll.IMDP("IR", $E49, BA$8, Matrix!$D$6)=0,"",_xll.IMDP("IR", $E49, BA$8, Matrix!$D$6)), "")</f>
        <v>7.4039999999999999</v>
      </c>
      <c r="BB49" cm="1">
        <f t="array" aca="1" ref="BB49" ca="1">IF( AND($E$7,NOT(ISBLANK($E49))), IF( _xll.IMDP("IR", $E49, BB$8, Matrix!$D$6)=0,"",_xll.IMDP("IR", $E49, BB$8, Matrix!$D$6)), "")</f>
        <v>7.4359999999999999</v>
      </c>
      <c r="BC49" cm="1">
        <f t="array" aca="1" ref="BC49" ca="1">IF( AND($E$7,NOT(ISBLANK($E49))), IF( _xll.IMDP("IR", $E49, BC$8, Matrix!$D$6)=0,"",_xll.IMDP("IR", $E49, BC$8, Matrix!$D$6)), "")</f>
        <v>7.5039999999999996</v>
      </c>
      <c r="BD49" cm="1">
        <f t="array" aca="1" ref="BD49" ca="1">IF( AND($E$7,NOT(ISBLANK($E49))), IF( _xll.IMDP("IR", $E49, BD$8, Matrix!$D$6)=0,"",_xll.IMDP("IR", $E49, BD$8, Matrix!$D$6)), "")</f>
        <v>7.7450000000000001</v>
      </c>
      <c r="BE49" cm="1">
        <f t="array" aca="1" ref="BE49" ca="1">IF( AND($E$7,NOT(ISBLANK($E49))), IF( _xll.IMDP("IR", $E49, BE$8, Matrix!$D$6)=0,"",_xll.IMDP("IR", $E49, BE$8, Matrix!$D$6)), "")</f>
        <v>8.032</v>
      </c>
      <c r="BF49" cm="1">
        <f t="array" aca="1" ref="BF49" ca="1">IF( AND($E$7,NOT(ISBLANK($E49))), IF( _xll.IMDP("IR", $E49, BF$8, Matrix!$D$6)=0,"",_xll.IMDP("IR", $E49, BF$8, Matrix!$D$6)), "")</f>
        <v>8.1820000000000004</v>
      </c>
      <c r="BG49" t="str" cm="1">
        <f t="array" aca="1" ref="BG49" ca="1">IF( AND($E$7,NOT(ISBLANK($E49))), IF( _xll.IMDP("IR", $E49, BG$8, Matrix!$D$6)=0,"",_xll.IMDP("IR", $E49, BG$8, Matrix!$D$6)), "")</f>
        <v/>
      </c>
      <c r="BH49" t="str" cm="1">
        <f t="array" aca="1" ref="BH49" ca="1">IF( AND($E$7,NOT(ISBLANK($E49))), IF( _xll.IMDP("IR", $E49, BH$8, Matrix!$D$6)=0,"",_xll.IMDP("IR", $E49, BH$8, Matrix!$D$6)), "")</f>
        <v/>
      </c>
      <c r="BI49" cm="1">
        <f t="array" aca="1" ref="BI49" ca="1">IF( AND($F$7,NOT(ISBLANK($F49))), IF( _xll.IMDP("IR", $F49, BI$8, Matrix!$D$6)=0,"",_xll.IMDP("IR", $F49, BI$8, Matrix!$D$6)), "")</f>
        <v>5.93</v>
      </c>
      <c r="BJ49" cm="1">
        <f t="array" aca="1" ref="BJ49" ca="1">IF( AND($F$7,NOT(ISBLANK($F49))), IF( _xll.IMDP("IR", $F49, BJ$8, Matrix!$D$6)=0,"",_xll.IMDP("IR", $F49, BJ$8, Matrix!$D$6)), "")</f>
        <v>6.5309999999999997</v>
      </c>
      <c r="BK49" cm="1">
        <f t="array" aca="1" ref="BK49" ca="1">IF( AND($F$7,NOT(ISBLANK($F49))), IF( _xll.IMDP("IR", $F49, BK$8, Matrix!$D$6)=0,"",_xll.IMDP("IR", $F49, BK$8, Matrix!$D$6)), "")</f>
        <v>6.76</v>
      </c>
      <c r="BL49" cm="1">
        <f t="array" aca="1" ref="BL49" ca="1">IF( AND($F$7,NOT(ISBLANK($F49))), IF( _xll.IMDP("IR", $F49, BL$8, Matrix!$D$6)=0,"",_xll.IMDP("IR", $F49, BL$8, Matrix!$D$6)), "")</f>
        <v>6.8550000000000004</v>
      </c>
      <c r="BM49" cm="1">
        <f t="array" aca="1" ref="BM49" ca="1">IF( AND($F$7,NOT(ISBLANK($F49))), IF( _xll.IMDP("IR", $F49, BM$8, Matrix!$D$6)=0,"",_xll.IMDP("IR", $F49, BM$8, Matrix!$D$6)), "")</f>
        <v>6.9160000000000004</v>
      </c>
      <c r="BN49" cm="1">
        <f t="array" aca="1" ref="BN49" ca="1">IF( AND($F$7,NOT(ISBLANK($F49))), IF( _xll.IMDP("IR", $F49, BN$8, Matrix!$D$6)=0,"",_xll.IMDP("IR", $F49, BN$8, Matrix!$D$6)), "")</f>
        <v>7.2309999999999999</v>
      </c>
      <c r="BO49" cm="1">
        <f t="array" aca="1" ref="BO49" ca="1">IF( AND($F$7,NOT(ISBLANK($F49))), IF( _xll.IMDP("IR", $F49, BO$8, Matrix!$D$6)=0,"",_xll.IMDP("IR", $F49, BO$8, Matrix!$D$6)), "")</f>
        <v>7.3410000000000002</v>
      </c>
      <c r="BP49" cm="1">
        <f t="array" aca="1" ref="BP49" ca="1">IF( AND($F$7,NOT(ISBLANK($F49))), IF( _xll.IMDP("IR", $F49, BP$8, Matrix!$D$6)=0,"",_xll.IMDP("IR", $F49, BP$8, Matrix!$D$6)), "")</f>
        <v>7.3970000000000002</v>
      </c>
      <c r="BQ49" cm="1">
        <f t="array" aca="1" ref="BQ49" ca="1">IF( AND($F$7,NOT(ISBLANK($F49))), IF( _xll.IMDP("IR", $F49, BQ$8, Matrix!$D$6)=0,"",_xll.IMDP("IR", $F49, BQ$8, Matrix!$D$6)), "")</f>
        <v>7.4279999999999999</v>
      </c>
      <c r="BR49" cm="1">
        <f t="array" aca="1" ref="BR49" ca="1">IF( AND($F$7,NOT(ISBLANK($F49))), IF( _xll.IMDP("IR", $F49, BR$8, Matrix!$D$6)=0,"",_xll.IMDP("IR", $F49, BR$8, Matrix!$D$6)), "")</f>
        <v>7.4989999999999997</v>
      </c>
      <c r="BS49" cm="1">
        <f t="array" aca="1" ref="BS49" ca="1">IF( AND($F$7,NOT(ISBLANK($F49))), IF( _xll.IMDP("IR", $F49, BS$8, Matrix!$D$6)=0,"",_xll.IMDP("IR", $F49, BS$8, Matrix!$D$6)), "")</f>
        <v>7.516</v>
      </c>
      <c r="BT49" cm="1">
        <f t="array" aca="1" ref="BT49" ca="1">IF( AND($F$7,NOT(ISBLANK($F49))), IF( _xll.IMDP("IR", $F49, BT$8, Matrix!$D$6)=0,"",_xll.IMDP("IR", $F49, BT$8, Matrix!$D$6)), "")</f>
        <v>7.7889999999999997</v>
      </c>
      <c r="BU49" cm="1">
        <f t="array" aca="1" ref="BU49" ca="1">IF( AND($F$7,NOT(ISBLANK($F49))), IF( _xll.IMDP("IR", $F49, BU$8, Matrix!$D$6)=0,"",_xll.IMDP("IR", $F49, BU$8, Matrix!$D$6)), "")</f>
        <v>8.0269999999999992</v>
      </c>
      <c r="BV49" cm="1">
        <f t="array" aca="1" ref="BV49" ca="1">IF( AND($F$7,NOT(ISBLANK($F49))), IF( _xll.IMDP("IR", $F49, BV$8, Matrix!$D$6)=0,"",_xll.IMDP("IR", $F49, BV$8, Matrix!$D$6)), "")</f>
        <v>8.2490000000000006</v>
      </c>
      <c r="BW49" t="str" cm="1">
        <f t="array" aca="1" ref="BW49" ca="1">IF( AND($F$7,NOT(ISBLANK($F49))), IF( _xll.IMDP("IR", $F49, BW$8, Matrix!$D$6)=0,"",_xll.IMDP("IR", $F49, BW$8, Matrix!$D$6)), "")</f>
        <v/>
      </c>
      <c r="BX49" t="str" cm="1">
        <f t="array" aca="1" ref="BX49" ca="1">IF( AND($F$7,NOT(ISBLANK($F49))), IF( _xll.IMDP("IR", $F49, BX$8, Matrix!$D$6)=0,"",_xll.IMDP("IR", $F49, BX$8, Matrix!$D$6)), "")</f>
        <v/>
      </c>
      <c r="BY49" cm="1">
        <f t="array" aca="1" ref="BY49" ca="1">IF( AND($G$7,NOT(ISBLANK($G49))), IF( _xll.IMDP("IR", $G49, BY$8, Matrix!$D$6)=0, "", _xll.IMDP("IR", $G49, BY$8, Matrix!$D$6)), "")</f>
        <v>5.9240000000000004</v>
      </c>
      <c r="BZ49" cm="1">
        <f t="array" aca="1" ref="BZ49" ca="1">IF( AND($G$7,NOT(ISBLANK($G49))), IF( _xll.IMDP("IR", $G49, BZ$8, Matrix!$D$6)=0, "", _xll.IMDP("IR", $G49, BZ$8, Matrix!$D$6)), "")</f>
        <v>6.5570000000000004</v>
      </c>
      <c r="CA49" cm="1">
        <f t="array" aca="1" ref="CA49" ca="1">IF( AND($G$7,NOT(ISBLANK($G49))), IF( _xll.IMDP("IR", $G49, CA$8, Matrix!$D$6)=0, "", _xll.IMDP("IR", $G49, CA$8, Matrix!$D$6)), "")</f>
        <v>6.8220000000000001</v>
      </c>
      <c r="CB49" cm="1">
        <f t="array" aca="1" ref="CB49" ca="1">IF( AND($G$7,NOT(ISBLANK($G49))), IF( _xll.IMDP("IR", $G49, CB$8, Matrix!$D$6)=0, "", _xll.IMDP("IR", $G49, CB$8, Matrix!$D$6)), "")</f>
        <v>6.8979999999999997</v>
      </c>
      <c r="CC49" cm="1">
        <f t="array" aca="1" ref="CC49" ca="1">IF( AND($G$7,NOT(ISBLANK($G49))), IF( _xll.IMDP("IR", $G49, CC$8, Matrix!$D$6)=0, "", _xll.IMDP("IR", $G49, CC$8, Matrix!$D$6)), "")</f>
        <v>6.9859999999999998</v>
      </c>
      <c r="CD49" cm="1">
        <f t="array" aca="1" ref="CD49" ca="1">IF( AND($G$7,NOT(ISBLANK($G49))), IF( _xll.IMDP("IR", $G49, CD$8, Matrix!$D$6)=0, "", _xll.IMDP("IR", $G49, CD$8, Matrix!$D$6)), "")</f>
        <v>7.2409999999999997</v>
      </c>
      <c r="CE49" cm="1">
        <f t="array" aca="1" ref="CE49" ca="1">IF( AND($G$7,NOT(ISBLANK($G49))), IF( _xll.IMDP("IR", $G49, CE$8, Matrix!$D$6)=0, "", _xll.IMDP("IR", $G49, CE$8, Matrix!$D$6)), "")</f>
        <v>7.3529999999999998</v>
      </c>
      <c r="CF49" cm="1">
        <f t="array" aca="1" ref="CF49" ca="1">IF( AND($G$7,NOT(ISBLANK($G49))), IF( _xll.IMDP("IR", $G49, CF$8, Matrix!$D$6)=0, "", _xll.IMDP("IR", $G49, CF$8, Matrix!$D$6)), "")</f>
        <v>7.3780000000000001</v>
      </c>
      <c r="CG49" cm="1">
        <f t="array" aca="1" ref="CG49" ca="1">IF( AND($G$7,NOT(ISBLANK($G49))), IF( _xll.IMDP("IR", $G49, CG$8, Matrix!$D$6)=0, "", _xll.IMDP("IR", $G49, CG$8, Matrix!$D$6)), "")</f>
        <v>7.3789999999999996</v>
      </c>
      <c r="CH49" cm="1">
        <f t="array" aca="1" ref="CH49" ca="1">IF( AND($G$7,NOT(ISBLANK($G49))), IF( _xll.IMDP("IR", $G49, CH$8, Matrix!$D$6)=0, "", _xll.IMDP("IR", $G49, CH$8, Matrix!$D$6)), "")</f>
        <v>7.4279999999999999</v>
      </c>
      <c r="CI49" cm="1">
        <f t="array" aca="1" ref="CI49" ca="1">IF( AND($G$7,NOT(ISBLANK($G49))), IF( _xll.IMDP("IR", $G49, CI$8, Matrix!$D$6)=0, "", _xll.IMDP("IR", $G49, CI$8, Matrix!$D$6)), "")</f>
        <v>7.4969999999999999</v>
      </c>
      <c r="CJ49" cm="1">
        <f t="array" aca="1" ref="CJ49" ca="1">IF( AND($G$7,NOT(ISBLANK($G49))), IF( _xll.IMDP("IR", $G49, CJ$8, Matrix!$D$6)=0, "", _xll.IMDP("IR", $G49, CJ$8, Matrix!$D$6)), "")</f>
        <v>7.806</v>
      </c>
      <c r="CK49" cm="1">
        <f t="array" aca="1" ref="CK49" ca="1">IF( AND($G$7,NOT(ISBLANK($G49))), IF( _xll.IMDP("IR", $G49, CK$8, Matrix!$D$6)=0, "", _xll.IMDP("IR", $G49, CK$8, Matrix!$D$6)), "")</f>
        <v>8.0879999999999992</v>
      </c>
      <c r="CL49" cm="1">
        <f t="array" aca="1" ref="CL49" ca="1">IF( AND($G$7,NOT(ISBLANK($G49))), IF( _xll.IMDP("IR", $G49, CL$8, Matrix!$D$6)=0, "", _xll.IMDP("IR", $G49, CL$8, Matrix!$D$6)), "")</f>
        <v>8.3260000000000005</v>
      </c>
      <c r="CM49" t="str" cm="1">
        <f t="array" aca="1" ref="CM49" ca="1">IF( AND($G$7,NOT(ISBLANK($G49))), IF( _xll.IMDP("IR", $G49, CM$8, Matrix!$D$6)=0, "", _xll.IMDP("IR", $G49, CM$8, Matrix!$D$6)), "")</f>
        <v/>
      </c>
      <c r="CN49" t="str" cm="1">
        <f t="array" aca="1" ref="CN49" ca="1">IF( AND($G$7,NOT(ISBLANK($G49))), IF( _xll.IMDP("IR", $G49, CN$8, Matrix!$D$6)=0, "", _xll.IMDP("IR", $G49, CN$8, Matrix!$D$6)), "")</f>
        <v/>
      </c>
      <c r="CO49" t="str" cm="1">
        <f t="array" ref="CO49">IF( AND($H$7,NOT(ISBLANK($H49))), IF( _xll.IMDP("IR", $H49, CO$8, Matrix!$D$6)=0, "", _xll.IMDP("IR", $H49, CO$8, Matrix!$D$6)), "")</f>
        <v/>
      </c>
      <c r="CP49" t="str" cm="1">
        <f t="array" ref="CP49">IF( AND($H$7,NOT(ISBLANK($H49))), IF( _xll.IMDP("IR", $H49, CP$8, Matrix!$D$6)=0, "", _xll.IMDP("IR", $H49, CP$8, Matrix!$D$6)), "")</f>
        <v/>
      </c>
      <c r="CQ49" t="str" cm="1">
        <f t="array" ref="CQ49">IF( AND($H$7,NOT(ISBLANK($H49))), IF( _xll.IMDP("IR", $H49, CQ$8, Matrix!$D$6)=0, "", _xll.IMDP("IR", $H49, CQ$8, Matrix!$D$6)), "")</f>
        <v/>
      </c>
      <c r="CR49" t="str" cm="1">
        <f t="array" ref="CR49">IF( AND($H$7,NOT(ISBLANK($H49))), IF( _xll.IMDP("IR", $H49, CR$8, Matrix!$D$6)=0, "", _xll.IMDP("IR", $H49, CR$8, Matrix!$D$6)), "")</f>
        <v/>
      </c>
      <c r="CS49" t="str" cm="1">
        <f t="array" ref="CS49">IF( AND($H$7,NOT(ISBLANK($H49))), IF( _xll.IMDP("IR", $H49, CS$8, Matrix!$D$6)=0, "", _xll.IMDP("IR", $H49, CS$8, Matrix!$D$6)), "")</f>
        <v/>
      </c>
      <c r="CT49" t="str" cm="1">
        <f t="array" ref="CT49">IF( AND($H$7,NOT(ISBLANK($H49))), IF( _xll.IMDP("IR", $H49, CT$8, Matrix!$D$6)=0, "", _xll.IMDP("IR", $H49, CT$8, Matrix!$D$6)), "")</f>
        <v/>
      </c>
      <c r="CU49" t="str" cm="1">
        <f t="array" ref="CU49">IF( AND($H$7,NOT(ISBLANK($H49))), IF( _xll.IMDP("IR", $H49, CU$8, Matrix!$D$6)=0, "", _xll.IMDP("IR", $H49, CU$8, Matrix!$D$6)), "")</f>
        <v/>
      </c>
      <c r="CV49" t="str" cm="1">
        <f t="array" ref="CV49">IF( AND($H$7,NOT(ISBLANK($H49))), IF( _xll.IMDP("IR", $H49, CV$8, Matrix!$D$6)=0, "", _xll.IMDP("IR", $H49, CV$8, Matrix!$D$6)), "")</f>
        <v/>
      </c>
      <c r="CW49" t="str" cm="1">
        <f t="array" ref="CW49">IF( AND($H$7,NOT(ISBLANK($H49))), IF( _xll.IMDP("IR", $H49, CW$8, Matrix!$D$6)=0, "", _xll.IMDP("IR", $H49, CW$8, Matrix!$D$6)), "")</f>
        <v/>
      </c>
      <c r="CX49" t="str" cm="1">
        <f t="array" ref="CX49">IF( AND($H$7,NOT(ISBLANK($H49))), IF( _xll.IMDP("IR", $H49, CX$8, Matrix!$D$6)=0, "", _xll.IMDP("IR", $H49, CX$8, Matrix!$D$6)), "")</f>
        <v/>
      </c>
      <c r="CY49" t="str" cm="1">
        <f t="array" ref="CY49">IF( AND($H$7,NOT(ISBLANK($H49))), IF( _xll.IMDP("IR", $H49, CY$8, Matrix!$D$6)=0, "", _xll.IMDP("IR", $H49, CY$8, Matrix!$D$6)), "")</f>
        <v/>
      </c>
      <c r="CZ49" t="str" cm="1">
        <f t="array" ref="CZ49">IF( AND($H$7,NOT(ISBLANK($H49))), IF( _xll.IMDP("IR", $H49, CZ$8, Matrix!$D$6)=0, "", _xll.IMDP("IR", $H49, CZ$8, Matrix!$D$6)), "")</f>
        <v/>
      </c>
      <c r="DA49" t="str" cm="1">
        <f t="array" ref="DA49">IF( AND($H$7,NOT(ISBLANK($H49))), IF( _xll.IMDP("IR", $H49, DA$8, Matrix!$D$6)=0, "", _xll.IMDP("IR", $H49, DA$8, Matrix!$D$6)), "")</f>
        <v/>
      </c>
      <c r="DB49" t="str" cm="1">
        <f t="array" ref="DB49">IF( AND($H$7,NOT(ISBLANK($H49))), IF( _xll.IMDP("IR", $H49, DB$8, Matrix!$D$6)=0, "", _xll.IMDP("IR", $H49, DB$8, Matrix!$D$6)), "")</f>
        <v/>
      </c>
      <c r="DC49" t="str" cm="1">
        <f t="array" ref="DC49">IF( AND($H$7,NOT(ISBLANK($H49))), IF( _xll.IMDP("IR", $H49, DC$8, Matrix!$D$6)=0, "", _xll.IMDP("IR", $H49, DC$8, Matrix!$D$6)), "")</f>
        <v/>
      </c>
      <c r="DD49" t="str" cm="1">
        <f t="array" ref="DD49">IF( AND($H$7,NOT(ISBLANK($H49))), IF( _xll.IMDP("IR", $H49, DD$8, Matrix!$D$6)=0, "", _xll.IMDP("IR", $H49, DD$8, Matrix!$D$6)), "")</f>
        <v/>
      </c>
    </row>
    <row r="50" spans="2:108">
      <c r="B50" t="s">
        <v>118</v>
      </c>
      <c r="C50" t="s">
        <v>192</v>
      </c>
      <c r="D50" t="s">
        <v>264</v>
      </c>
      <c r="E50" t="s">
        <v>329</v>
      </c>
      <c r="F50" t="s">
        <v>392</v>
      </c>
      <c r="G50" t="s">
        <v>458</v>
      </c>
      <c r="M50" s="21">
        <f t="shared" ca="1" si="1"/>
        <v>6.5384151834273583</v>
      </c>
      <c r="N50" s="21">
        <f t="shared" ca="1" si="2"/>
        <v>7.2369560940142774</v>
      </c>
      <c r="O50" s="21">
        <f t="shared" ca="1" si="3"/>
        <v>7.4998701897036746</v>
      </c>
      <c r="P50" s="21">
        <f t="shared" ca="1" si="4"/>
        <v>7.6469652483176604</v>
      </c>
      <c r="Q50" s="21">
        <f t="shared" ca="1" si="5"/>
        <v>7.7356013144238274</v>
      </c>
      <c r="R50" s="21">
        <f t="shared" ca="1" si="6"/>
        <v>8.0548616803331541</v>
      </c>
      <c r="S50" s="21">
        <f t="shared" ca="1" si="7"/>
        <v>8.2312558052848921</v>
      </c>
      <c r="T50" s="21">
        <f t="shared" ca="1" si="8"/>
        <v>8.2936903500987231</v>
      </c>
      <c r="U50" s="21">
        <f t="shared" ca="1" si="9"/>
        <v>8.3329869975245483</v>
      </c>
      <c r="V50" s="21">
        <f t="shared" ca="1" si="10"/>
        <v>8.4757329850293512</v>
      </c>
      <c r="W50" s="21">
        <f t="shared" ca="1" si="11"/>
        <v>8.6363942136622747</v>
      </c>
      <c r="X50" s="21">
        <f t="shared" ca="1" si="12"/>
        <v>9.1179213264523629</v>
      </c>
      <c r="Y50" s="21">
        <f t="shared" ca="1" si="13"/>
        <v>9.5399269928363797</v>
      </c>
      <c r="Z50" s="21">
        <f t="shared" ca="1" si="14"/>
        <v>9.8275584951278194</v>
      </c>
      <c r="AA50" s="21" t="e">
        <f t="shared" ca="1" si="15"/>
        <v>#NUM!</v>
      </c>
      <c r="AB50" s="21" t="e">
        <f t="shared" ca="1" si="16"/>
        <v>#NUM!</v>
      </c>
      <c r="AC50" cm="1">
        <f t="array" aca="1" ref="AC50" ca="1">IF( AND($D$7,NOT(ISBLANK($D50))), IF(_xll.IMDP("IR", $D50, AC$8, Matrix!$D$6)=0,"",_xll.IMDP("IR", $D50, AC$8, Matrix!$D$6)), "")</f>
        <v>6.4249999999999998</v>
      </c>
      <c r="AD50" cm="1">
        <f t="array" aca="1" ref="AD50" ca="1">IF( AND($D$7,NOT(ISBLANK($D50))), IF(_xll.IMDP("IR", $D50, AD$8, Matrix!$D$6)=0,"",_xll.IMDP("IR", $D50, AD$8, Matrix!$D$6)), "")</f>
        <v>7.069</v>
      </c>
      <c r="AE50" cm="1">
        <f t="array" aca="1" ref="AE50" ca="1">IF( AND($D$7,NOT(ISBLANK($D50))), IF(_xll.IMDP("IR", $D50, AE$8, Matrix!$D$6)=0,"",_xll.IMDP("IR", $D50, AE$8, Matrix!$D$6)), "")</f>
        <v>7.3</v>
      </c>
      <c r="AF50" cm="1">
        <f t="array" aca="1" ref="AF50" ca="1">IF( AND($D$7,NOT(ISBLANK($D50))), IF(_xll.IMDP("IR", $D50, AF$8, Matrix!$D$6)=0,"",_xll.IMDP("IR", $D50, AF$8, Matrix!$D$6)), "")</f>
        <v>7.5350000000000001</v>
      </c>
      <c r="AG50" cm="1">
        <f t="array" aca="1" ref="AG50" ca="1">IF( AND($D$7,NOT(ISBLANK($D50))), IF(_xll.IMDP("IR", $D50, AG$8, Matrix!$D$6)=0,"",_xll.IMDP("IR", $D50, AG$8, Matrix!$D$6)), "")</f>
        <v>7.6609999999999996</v>
      </c>
      <c r="AH50" cm="1">
        <f t="array" aca="1" ref="AH50" ca="1">IF( AND($D$7,NOT(ISBLANK($D50))), IF(_xll.IMDP("IR", $D50, AH$8, Matrix!$D$6)=0,"",_xll.IMDP("IR", $D50, AH$8, Matrix!$D$6)), "")</f>
        <v>7.9320000000000004</v>
      </c>
      <c r="AI50" cm="1">
        <f t="array" aca="1" ref="AI50" ca="1">IF( AND($D$7,NOT(ISBLANK($D50))), IF(_xll.IMDP("IR", $D50, AI$8, Matrix!$D$6)=0,"",_xll.IMDP("IR", $D50, AI$8, Matrix!$D$6)), "")</f>
        <v>8.1359999999999992</v>
      </c>
      <c r="AJ50" cm="1">
        <f t="array" aca="1" ref="AJ50" ca="1">IF( AND($D$7,NOT(ISBLANK($D50))), IF(_xll.IMDP("IR", $D50, AJ$8, Matrix!$D$6)=0,"",_xll.IMDP("IR", $D50, AJ$8, Matrix!$D$6)), "")</f>
        <v>8.25</v>
      </c>
      <c r="AK50" cm="1">
        <f t="array" aca="1" ref="AK50" ca="1">IF( AND($D$7,NOT(ISBLANK($D50))), IF(_xll.IMDP("IR", $D50, AK$8, Matrix!$D$6)=0,"",_xll.IMDP("IR", $D50, AK$8, Matrix!$D$6)), "")</f>
        <v>8.3089999999999993</v>
      </c>
      <c r="AL50" cm="1">
        <f t="array" aca="1" ref="AL50" ca="1">IF( AND($D$7,NOT(ISBLANK($D50))), IF(_xll.IMDP("IR", $D50, AL$8, Matrix!$D$6)=0,"",_xll.IMDP("IR", $D50, AL$8, Matrix!$D$6)), "")</f>
        <v>8.4570000000000007</v>
      </c>
      <c r="AM50" cm="1">
        <f t="array" aca="1" ref="AM50" ca="1">IF( AND($D$7,NOT(ISBLANK($D50))), IF(_xll.IMDP("IR", $D50, AM$8, Matrix!$D$6)=0,"",_xll.IMDP("IR", $D50, AM$8, Matrix!$D$6)), "")</f>
        <v>8.7629999999999999</v>
      </c>
      <c r="AN50" cm="1">
        <f t="array" aca="1" ref="AN50" ca="1">IF( AND($D$7,NOT(ISBLANK($D50))), IF(_xll.IMDP("IR", $D50, AN$8, Matrix!$D$6)=0,"",_xll.IMDP("IR", $D50, AN$8, Matrix!$D$6)), "")</f>
        <v>9.2379999999999995</v>
      </c>
      <c r="AO50" cm="1">
        <f t="array" aca="1" ref="AO50" ca="1">IF( AND($D$7,NOT(ISBLANK($D50))), IF(_xll.IMDP("IR", $D50, AO$8, Matrix!$D$6)=0,"",_xll.IMDP("IR", $D50, AO$8, Matrix!$D$6)), "")</f>
        <v>9.81</v>
      </c>
      <c r="AP50" cm="1">
        <f t="array" aca="1" ref="AP50" ca="1">IF( AND($D$7,NOT(ISBLANK($D50))), IF(_xll.IMDP("IR", $D50, AP$8, Matrix!$D$6)=0,"",_xll.IMDP("IR", $D50, AP$8, Matrix!$D$6)), "")</f>
        <v>9.9779999999999998</v>
      </c>
      <c r="AQ50" t="str" cm="1">
        <f t="array" aca="1" ref="AQ50" ca="1">IF( AND($D$7,NOT(ISBLANK($D50))), IF(_xll.IMDP("IR", $D50, AQ$8, Matrix!$D$6)=0,"",_xll.IMDP("IR", $D50, AQ$8, Matrix!$D$6)), "")</f>
        <v/>
      </c>
      <c r="AR50" t="str" cm="1">
        <f t="array" aca="1" ref="AR50" ca="1">IF( AND($D$7,NOT(ISBLANK($D50))), IF(_xll.IMDP("IR", $D50, AR$8, Matrix!$D$6)=0,"",_xll.IMDP("IR", $D50, AR$8, Matrix!$D$6)), "")</f>
        <v/>
      </c>
      <c r="AS50" cm="1">
        <f t="array" aca="1" ref="AS50" ca="1">IF( AND($E$7,NOT(ISBLANK($E50))), IF( _xll.IMDP("IR", $E50, AS$8, Matrix!$D$6)=0,"",_xll.IMDP("IR", $E50, AS$8, Matrix!$D$6)), "")</f>
        <v>6.585</v>
      </c>
      <c r="AT50" cm="1">
        <f t="array" aca="1" ref="AT50" ca="1">IF( AND($E$7,NOT(ISBLANK($E50))), IF( _xll.IMDP("IR", $E50, AT$8, Matrix!$D$6)=0,"",_xll.IMDP("IR", $E50, AT$8, Matrix!$D$6)), "")</f>
        <v>7.3650000000000002</v>
      </c>
      <c r="AU50" cm="1">
        <f t="array" aca="1" ref="AU50" ca="1">IF( AND($E$7,NOT(ISBLANK($E50))), IF( _xll.IMDP("IR", $E50, AU$8, Matrix!$D$6)=0,"",_xll.IMDP("IR", $E50, AU$8, Matrix!$D$6)), "")</f>
        <v>7.6559999999999997</v>
      </c>
      <c r="AV50" cm="1">
        <f t="array" aca="1" ref="AV50" ca="1">IF( AND($E$7,NOT(ISBLANK($E50))), IF( _xll.IMDP("IR", $E50, AV$8, Matrix!$D$6)=0,"",_xll.IMDP("IR", $E50, AV$8, Matrix!$D$6)), "")</f>
        <v>7.7</v>
      </c>
      <c r="AW50" cm="1">
        <f t="array" aca="1" ref="AW50" ca="1">IF( AND($E$7,NOT(ISBLANK($E50))), IF( _xll.IMDP("IR", $E50, AW$8, Matrix!$D$6)=0,"",_xll.IMDP("IR", $E50, AW$8, Matrix!$D$6)), "")</f>
        <v>7.7850000000000001</v>
      </c>
      <c r="AX50" cm="1">
        <f t="array" aca="1" ref="AX50" ca="1">IF( AND($E$7,NOT(ISBLANK($E50))), IF( _xll.IMDP("IR", $E50, AX$8, Matrix!$D$6)=0,"",_xll.IMDP("IR", $E50, AX$8, Matrix!$D$6)), "")</f>
        <v>8.1519999999999992</v>
      </c>
      <c r="AY50" cm="1">
        <f t="array" aca="1" ref="AY50" ca="1">IF( AND($E$7,NOT(ISBLANK($E50))), IF( _xll.IMDP("IR", $E50, AY$8, Matrix!$D$6)=0,"",_xll.IMDP("IR", $E50, AY$8, Matrix!$D$6)), "")</f>
        <v>8.3089999999999993</v>
      </c>
      <c r="AZ50" cm="1">
        <f t="array" aca="1" ref="AZ50" ca="1">IF( AND($E$7,NOT(ISBLANK($E50))), IF( _xll.IMDP("IR", $E50, AZ$8, Matrix!$D$6)=0,"",_xll.IMDP("IR", $E50, AZ$8, Matrix!$D$6)), "")</f>
        <v>8.3350000000000009</v>
      </c>
      <c r="BA50" cm="1">
        <f t="array" aca="1" ref="BA50" ca="1">IF( AND($E$7,NOT(ISBLANK($E50))), IF( _xll.IMDP("IR", $E50, BA$8, Matrix!$D$6)=0,"",_xll.IMDP("IR", $E50, BA$8, Matrix!$D$6)), "")</f>
        <v>8.3339999999999996</v>
      </c>
      <c r="BB50" cm="1">
        <f t="array" aca="1" ref="BB50" ca="1">IF( AND($E$7,NOT(ISBLANK($E50))), IF( _xll.IMDP("IR", $E50, BB$8, Matrix!$D$6)=0,"",_xll.IMDP("IR", $E50, BB$8, Matrix!$D$6)), "")</f>
        <v>8.4749999999999996</v>
      </c>
      <c r="BC50" cm="1">
        <f t="array" aca="1" ref="BC50" ca="1">IF( AND($E$7,NOT(ISBLANK($E50))), IF( _xll.IMDP("IR", $E50, BC$8, Matrix!$D$6)=0,"",_xll.IMDP("IR", $E50, BC$8, Matrix!$D$6)), "")</f>
        <v>8.548</v>
      </c>
      <c r="BD50" cm="1">
        <f t="array" aca="1" ref="BD50" ca="1">IF( AND($E$7,NOT(ISBLANK($E50))), IF( _xll.IMDP("IR", $E50, BD$8, Matrix!$D$6)=0,"",_xll.IMDP("IR", $E50, BD$8, Matrix!$D$6)), "")</f>
        <v>9.0269999999999992</v>
      </c>
      <c r="BE50" cm="1">
        <f t="array" aca="1" ref="BE50" ca="1">IF( AND($E$7,NOT(ISBLANK($E50))), IF( _xll.IMDP("IR", $E50, BE$8, Matrix!$D$6)=0,"",_xll.IMDP("IR", $E50, BE$8, Matrix!$D$6)), "")</f>
        <v>9.39</v>
      </c>
      <c r="BF50" cm="1">
        <f t="array" aca="1" ref="BF50" ca="1">IF( AND($E$7,NOT(ISBLANK($E50))), IF( _xll.IMDP("IR", $E50, BF$8, Matrix!$D$6)=0,"",_xll.IMDP("IR", $E50, BF$8, Matrix!$D$6)), "")</f>
        <v>9.75</v>
      </c>
      <c r="BG50" t="str" cm="1">
        <f t="array" aca="1" ref="BG50" ca="1">IF( AND($E$7,NOT(ISBLANK($E50))), IF( _xll.IMDP("IR", $E50, BG$8, Matrix!$D$6)=0,"",_xll.IMDP("IR", $E50, BG$8, Matrix!$D$6)), "")</f>
        <v/>
      </c>
      <c r="BH50" t="str" cm="1">
        <f t="array" aca="1" ref="BH50" ca="1">IF( AND($E$7,NOT(ISBLANK($E50))), IF( _xll.IMDP("IR", $E50, BH$8, Matrix!$D$6)=0,"",_xll.IMDP("IR", $E50, BH$8, Matrix!$D$6)), "")</f>
        <v/>
      </c>
      <c r="BI50" cm="1">
        <f t="array" aca="1" ref="BI50" ca="1">IF( AND($F$7,NOT(ISBLANK($F50))), IF( _xll.IMDP("IR", $F50, BI$8, Matrix!$D$6)=0,"",_xll.IMDP("IR", $F50, BI$8, Matrix!$D$6)), "")</f>
        <v>6.5759999999999996</v>
      </c>
      <c r="BJ50" cm="1">
        <f t="array" aca="1" ref="BJ50" ca="1">IF( AND($F$7,NOT(ISBLANK($F50))), IF( _xll.IMDP("IR", $F50, BJ$8, Matrix!$D$6)=0,"",_xll.IMDP("IR", $F50, BJ$8, Matrix!$D$6)), "")</f>
        <v>7.2489999999999997</v>
      </c>
      <c r="BK50" cm="1">
        <f t="array" aca="1" ref="BK50" ca="1">IF( AND($F$7,NOT(ISBLANK($F50))), IF( _xll.IMDP("IR", $F50, BK$8, Matrix!$D$6)=0,"",_xll.IMDP("IR", $F50, BK$8, Matrix!$D$6)), "")</f>
        <v>7.4930000000000003</v>
      </c>
      <c r="BL50" cm="1">
        <f t="array" aca="1" ref="BL50" ca="1">IF( AND($F$7,NOT(ISBLANK($F50))), IF( _xll.IMDP("IR", $F50, BL$8, Matrix!$D$6)=0,"",_xll.IMDP("IR", $F50, BL$8, Matrix!$D$6)), "")</f>
        <v>7.6680000000000001</v>
      </c>
      <c r="BM50" cm="1">
        <f t="array" aca="1" ref="BM50" ca="1">IF( AND($F$7,NOT(ISBLANK($F50))), IF( _xll.IMDP("IR", $F50, BM$8, Matrix!$D$6)=0,"",_xll.IMDP("IR", $F50, BM$8, Matrix!$D$6)), "")</f>
        <v>7.7279999999999998</v>
      </c>
      <c r="BN50" cm="1">
        <f t="array" aca="1" ref="BN50" ca="1">IF( AND($F$7,NOT(ISBLANK($F50))), IF( _xll.IMDP("IR", $F50, BN$8, Matrix!$D$6)=0,"",_xll.IMDP("IR", $F50, BN$8, Matrix!$D$6)), "")</f>
        <v>8.0640000000000001</v>
      </c>
      <c r="BO50" cm="1">
        <f t="array" aca="1" ref="BO50" ca="1">IF( AND($F$7,NOT(ISBLANK($F50))), IF( _xll.IMDP("IR", $F50, BO$8, Matrix!$D$6)=0,"",_xll.IMDP("IR", $F50, BO$8, Matrix!$D$6)), "")</f>
        <v>8.2210000000000001</v>
      </c>
      <c r="BP50" cm="1">
        <f t="array" aca="1" ref="BP50" ca="1">IF( AND($F$7,NOT(ISBLANK($F50))), IF( _xll.IMDP("IR", $F50, BP$8, Matrix!$D$6)=0,"",_xll.IMDP("IR", $F50, BP$8, Matrix!$D$6)), "")</f>
        <v>8.282</v>
      </c>
      <c r="BQ50" cm="1">
        <f t="array" aca="1" ref="BQ50" ca="1">IF( AND($F$7,NOT(ISBLANK($F50))), IF( _xll.IMDP("IR", $F50, BQ$8, Matrix!$D$6)=0,"",_xll.IMDP("IR", $F50, BQ$8, Matrix!$D$6)), "")</f>
        <v>8.3480000000000008</v>
      </c>
      <c r="BR50" cm="1">
        <f t="array" aca="1" ref="BR50" ca="1">IF( AND($F$7,NOT(ISBLANK($F50))), IF( _xll.IMDP("IR", $F50, BR$8, Matrix!$D$6)=0,"",_xll.IMDP("IR", $F50, BR$8, Matrix!$D$6)), "")</f>
        <v>8.5030000000000001</v>
      </c>
      <c r="BS50" cm="1">
        <f t="array" aca="1" ref="BS50" ca="1">IF( AND($F$7,NOT(ISBLANK($F50))), IF( _xll.IMDP("IR", $F50, BS$8, Matrix!$D$6)=0,"",_xll.IMDP("IR", $F50, BS$8, Matrix!$D$6)), "")</f>
        <v>8.609</v>
      </c>
      <c r="BT50" cm="1">
        <f t="array" aca="1" ref="BT50" ca="1">IF( AND($F$7,NOT(ISBLANK($F50))), IF( _xll.IMDP("IR", $F50, BT$8, Matrix!$D$6)=0,"",_xll.IMDP("IR", $F50, BT$8, Matrix!$D$6)), "")</f>
        <v>9.0820000000000007</v>
      </c>
      <c r="BU50" cm="1">
        <f t="array" aca="1" ref="BU50" ca="1">IF( AND($F$7,NOT(ISBLANK($F50))), IF( _xll.IMDP("IR", $F50, BU$8, Matrix!$D$6)=0,"",_xll.IMDP("IR", $F50, BU$8, Matrix!$D$6)), "")</f>
        <v>9.4870000000000001</v>
      </c>
      <c r="BV50" cm="1">
        <f t="array" aca="1" ref="BV50" ca="1">IF( AND($F$7,NOT(ISBLANK($F50))), IF( _xll.IMDP("IR", $F50, BV$8, Matrix!$D$6)=0,"",_xll.IMDP("IR", $F50, BV$8, Matrix!$D$6)), "")</f>
        <v>9.7490000000000006</v>
      </c>
      <c r="BW50" t="str" cm="1">
        <f t="array" aca="1" ref="BW50" ca="1">IF( AND($F$7,NOT(ISBLANK($F50))), IF( _xll.IMDP("IR", $F50, BW$8, Matrix!$D$6)=0,"",_xll.IMDP("IR", $F50, BW$8, Matrix!$D$6)), "")</f>
        <v/>
      </c>
      <c r="BX50" t="str" cm="1">
        <f t="array" aca="1" ref="BX50" ca="1">IF( AND($F$7,NOT(ISBLANK($F50))), IF( _xll.IMDP("IR", $F50, BX$8, Matrix!$D$6)=0,"",_xll.IMDP("IR", $F50, BX$8, Matrix!$D$6)), "")</f>
        <v/>
      </c>
      <c r="BY50" cm="1">
        <f t="array" aca="1" ref="BY50" ca="1">IF( AND($G$7,NOT(ISBLANK($G50))), IF( _xll.IMDP("IR", $G50, BY$8, Matrix!$D$6)=0, "", _xll.IMDP("IR", $G50, BY$8, Matrix!$D$6)), "")</f>
        <v>6.569</v>
      </c>
      <c r="BZ50" cm="1">
        <f t="array" aca="1" ref="BZ50" ca="1">IF( AND($G$7,NOT(ISBLANK($G50))), IF( _xll.IMDP("IR", $G50, BZ$8, Matrix!$D$6)=0, "", _xll.IMDP("IR", $G50, BZ$8, Matrix!$D$6)), "")</f>
        <v>7.2679999999999998</v>
      </c>
      <c r="CA50" cm="1">
        <f t="array" aca="1" ref="CA50" ca="1">IF( AND($G$7,NOT(ISBLANK($G50))), IF( _xll.IMDP("IR", $G50, CA$8, Matrix!$D$6)=0, "", _xll.IMDP("IR", $G50, CA$8, Matrix!$D$6)), "")</f>
        <v>7.5549999999999997</v>
      </c>
      <c r="CB50" cm="1">
        <f t="array" aca="1" ref="CB50" ca="1">IF( AND($G$7,NOT(ISBLANK($G50))), IF( _xll.IMDP("IR", $G50, CB$8, Matrix!$D$6)=0, "", _xll.IMDP("IR", $G50, CB$8, Matrix!$D$6)), "")</f>
        <v>7.6859999999999999</v>
      </c>
      <c r="CC50" cm="1">
        <f t="array" aca="1" ref="CC50" ca="1">IF( AND($G$7,NOT(ISBLANK($G50))), IF( _xll.IMDP("IR", $G50, CC$8, Matrix!$D$6)=0, "", _xll.IMDP("IR", $G50, CC$8, Matrix!$D$6)), "")</f>
        <v>7.7690000000000001</v>
      </c>
      <c r="CD50" cm="1">
        <f t="array" aca="1" ref="CD50" ca="1">IF( AND($G$7,NOT(ISBLANK($G50))), IF( _xll.IMDP("IR", $G50, CD$8, Matrix!$D$6)=0, "", _xll.IMDP("IR", $G50, CD$8, Matrix!$D$6)), "")</f>
        <v>8.0730000000000004</v>
      </c>
      <c r="CE50" cm="1">
        <f t="array" aca="1" ref="CE50" ca="1">IF( AND($G$7,NOT(ISBLANK($G50))), IF( _xll.IMDP("IR", $G50, CE$8, Matrix!$D$6)=0, "", _xll.IMDP("IR", $G50, CE$8, Matrix!$D$6)), "")</f>
        <v>8.26</v>
      </c>
      <c r="CF50" cm="1">
        <f t="array" aca="1" ref="CF50" ca="1">IF( AND($G$7,NOT(ISBLANK($G50))), IF( _xll.IMDP("IR", $G50, CF$8, Matrix!$D$6)=0, "", _xll.IMDP("IR", $G50, CF$8, Matrix!$D$6)), "")</f>
        <v>8.3079999999999998</v>
      </c>
      <c r="CG50" cm="1">
        <f t="array" aca="1" ref="CG50" ca="1">IF( AND($G$7,NOT(ISBLANK($G50))), IF( _xll.IMDP("IR", $G50, CG$8, Matrix!$D$6)=0, "", _xll.IMDP("IR", $G50, CG$8, Matrix!$D$6)), "")</f>
        <v>8.3409999999999993</v>
      </c>
      <c r="CH50" cm="1">
        <f t="array" aca="1" ref="CH50" ca="1">IF( AND($G$7,NOT(ISBLANK($G50))), IF( _xll.IMDP("IR", $G50, CH$8, Matrix!$D$6)=0, "", _xll.IMDP("IR", $G50, CH$8, Matrix!$D$6)), "")</f>
        <v>8.468</v>
      </c>
      <c r="CI50" cm="1">
        <f t="array" aca="1" ref="CI50" ca="1">IF( AND($G$7,NOT(ISBLANK($G50))), IF( _xll.IMDP("IR", $G50, CI$8, Matrix!$D$6)=0, "", _xll.IMDP("IR", $G50, CI$8, Matrix!$D$6)), "")</f>
        <v>8.6270000000000007</v>
      </c>
      <c r="CJ50" cm="1">
        <f t="array" aca="1" ref="CJ50" ca="1">IF( AND($G$7,NOT(ISBLANK($G50))), IF( _xll.IMDP("IR", $G50, CJ$8, Matrix!$D$6)=0, "", _xll.IMDP("IR", $G50, CJ$8, Matrix!$D$6)), "")</f>
        <v>9.1259999999999994</v>
      </c>
      <c r="CK50" cm="1">
        <f t="array" aca="1" ref="CK50" ca="1">IF( AND($G$7,NOT(ISBLANK($G50))), IF( _xll.IMDP("IR", $G50, CK$8, Matrix!$D$6)=0, "", _xll.IMDP("IR", $G50, CK$8, Matrix!$D$6)), "")</f>
        <v>9.4779999999999998</v>
      </c>
      <c r="CL50" cm="1">
        <f t="array" aca="1" ref="CL50" ca="1">IF( AND($G$7,NOT(ISBLANK($G50))), IF( _xll.IMDP("IR", $G50, CL$8, Matrix!$D$6)=0, "", _xll.IMDP("IR", $G50, CL$8, Matrix!$D$6)), "")</f>
        <v>9.8350000000000009</v>
      </c>
      <c r="CM50" t="str" cm="1">
        <f t="array" aca="1" ref="CM50" ca="1">IF( AND($G$7,NOT(ISBLANK($G50))), IF( _xll.IMDP("IR", $G50, CM$8, Matrix!$D$6)=0, "", _xll.IMDP("IR", $G50, CM$8, Matrix!$D$6)), "")</f>
        <v/>
      </c>
      <c r="CN50" t="str" cm="1">
        <f t="array" aca="1" ref="CN50" ca="1">IF( AND($G$7,NOT(ISBLANK($G50))), IF( _xll.IMDP("IR", $G50, CN$8, Matrix!$D$6)=0, "", _xll.IMDP("IR", $G50, CN$8, Matrix!$D$6)), "")</f>
        <v/>
      </c>
      <c r="CO50" t="str" cm="1">
        <f t="array" ref="CO50">IF( AND($H$7,NOT(ISBLANK($H50))), IF( _xll.IMDP("IR", $H50, CO$8, Matrix!$D$6)=0, "", _xll.IMDP("IR", $H50, CO$8, Matrix!$D$6)), "")</f>
        <v/>
      </c>
      <c r="CP50" t="str" cm="1">
        <f t="array" ref="CP50">IF( AND($H$7,NOT(ISBLANK($H50))), IF( _xll.IMDP("IR", $H50, CP$8, Matrix!$D$6)=0, "", _xll.IMDP("IR", $H50, CP$8, Matrix!$D$6)), "")</f>
        <v/>
      </c>
      <c r="CQ50" t="str" cm="1">
        <f t="array" ref="CQ50">IF( AND($H$7,NOT(ISBLANK($H50))), IF( _xll.IMDP("IR", $H50, CQ$8, Matrix!$D$6)=0, "", _xll.IMDP("IR", $H50, CQ$8, Matrix!$D$6)), "")</f>
        <v/>
      </c>
      <c r="CR50" t="str" cm="1">
        <f t="array" ref="CR50">IF( AND($H$7,NOT(ISBLANK($H50))), IF( _xll.IMDP("IR", $H50, CR$8, Matrix!$D$6)=0, "", _xll.IMDP("IR", $H50, CR$8, Matrix!$D$6)), "")</f>
        <v/>
      </c>
      <c r="CS50" t="str" cm="1">
        <f t="array" ref="CS50">IF( AND($H$7,NOT(ISBLANK($H50))), IF( _xll.IMDP("IR", $H50, CS$8, Matrix!$D$6)=0, "", _xll.IMDP("IR", $H50, CS$8, Matrix!$D$6)), "")</f>
        <v/>
      </c>
      <c r="CT50" t="str" cm="1">
        <f t="array" ref="CT50">IF( AND($H$7,NOT(ISBLANK($H50))), IF( _xll.IMDP("IR", $H50, CT$8, Matrix!$D$6)=0, "", _xll.IMDP("IR", $H50, CT$8, Matrix!$D$6)), "")</f>
        <v/>
      </c>
      <c r="CU50" t="str" cm="1">
        <f t="array" ref="CU50">IF( AND($H$7,NOT(ISBLANK($H50))), IF( _xll.IMDP("IR", $H50, CU$8, Matrix!$D$6)=0, "", _xll.IMDP("IR", $H50, CU$8, Matrix!$D$6)), "")</f>
        <v/>
      </c>
      <c r="CV50" t="str" cm="1">
        <f t="array" ref="CV50">IF( AND($H$7,NOT(ISBLANK($H50))), IF( _xll.IMDP("IR", $H50, CV$8, Matrix!$D$6)=0, "", _xll.IMDP("IR", $H50, CV$8, Matrix!$D$6)), "")</f>
        <v/>
      </c>
      <c r="CW50" t="str" cm="1">
        <f t="array" ref="CW50">IF( AND($H$7,NOT(ISBLANK($H50))), IF( _xll.IMDP("IR", $H50, CW$8, Matrix!$D$6)=0, "", _xll.IMDP("IR", $H50, CW$8, Matrix!$D$6)), "")</f>
        <v/>
      </c>
      <c r="CX50" t="str" cm="1">
        <f t="array" ref="CX50">IF( AND($H$7,NOT(ISBLANK($H50))), IF( _xll.IMDP("IR", $H50, CX$8, Matrix!$D$6)=0, "", _xll.IMDP("IR", $H50, CX$8, Matrix!$D$6)), "")</f>
        <v/>
      </c>
      <c r="CY50" t="str" cm="1">
        <f t="array" ref="CY50">IF( AND($H$7,NOT(ISBLANK($H50))), IF( _xll.IMDP("IR", $H50, CY$8, Matrix!$D$6)=0, "", _xll.IMDP("IR", $H50, CY$8, Matrix!$D$6)), "")</f>
        <v/>
      </c>
      <c r="CZ50" t="str" cm="1">
        <f t="array" ref="CZ50">IF( AND($H$7,NOT(ISBLANK($H50))), IF( _xll.IMDP("IR", $H50, CZ$8, Matrix!$D$6)=0, "", _xll.IMDP("IR", $H50, CZ$8, Matrix!$D$6)), "")</f>
        <v/>
      </c>
      <c r="DA50" t="str" cm="1">
        <f t="array" ref="DA50">IF( AND($H$7,NOT(ISBLANK($H50))), IF( _xll.IMDP("IR", $H50, DA$8, Matrix!$D$6)=0, "", _xll.IMDP("IR", $H50, DA$8, Matrix!$D$6)), "")</f>
        <v/>
      </c>
      <c r="DB50" t="str" cm="1">
        <f t="array" ref="DB50">IF( AND($H$7,NOT(ISBLANK($H50))), IF( _xll.IMDP("IR", $H50, DB$8, Matrix!$D$6)=0, "", _xll.IMDP("IR", $H50, DB$8, Matrix!$D$6)), "")</f>
        <v/>
      </c>
      <c r="DC50" t="str" cm="1">
        <f t="array" ref="DC50">IF( AND($H$7,NOT(ISBLANK($H50))), IF( _xll.IMDP("IR", $H50, DC$8, Matrix!$D$6)=0, "", _xll.IMDP("IR", $H50, DC$8, Matrix!$D$6)), "")</f>
        <v/>
      </c>
      <c r="DD50" t="str" cm="1">
        <f t="array" ref="DD50">IF( AND($H$7,NOT(ISBLANK($H50))), IF( _xll.IMDP("IR", $H50, DD$8, Matrix!$D$6)=0, "", _xll.IMDP("IR", $H50, DD$8, Matrix!$D$6)), "")</f>
        <v/>
      </c>
    </row>
    <row r="51" spans="2:108">
      <c r="B51" t="s">
        <v>119</v>
      </c>
      <c r="C51" t="s">
        <v>193</v>
      </c>
      <c r="D51" t="s">
        <v>265</v>
      </c>
      <c r="E51" t="s">
        <v>330</v>
      </c>
      <c r="F51" t="s">
        <v>393</v>
      </c>
      <c r="G51" t="s">
        <v>459</v>
      </c>
      <c r="M51" s="21">
        <f t="shared" ca="1" si="1"/>
        <v>7.8206765910242204</v>
      </c>
      <c r="N51" s="21">
        <f t="shared" ca="1" si="2"/>
        <v>8.5530515478187361</v>
      </c>
      <c r="O51" s="21">
        <f t="shared" ca="1" si="3"/>
        <v>8.8414028832363343</v>
      </c>
      <c r="P51" s="21">
        <f t="shared" ca="1" si="4"/>
        <v>8.9539368250704943</v>
      </c>
      <c r="Q51" s="21">
        <f t="shared" ca="1" si="5"/>
        <v>9.0466088751607625</v>
      </c>
      <c r="R51" s="21">
        <f t="shared" ca="1" si="6"/>
        <v>9.3923638158361467</v>
      </c>
      <c r="S51" s="21">
        <f t="shared" ca="1" si="7"/>
        <v>9.577536667940862</v>
      </c>
      <c r="T51" s="21">
        <f t="shared" ca="1" si="8"/>
        <v>9.6433284696516566</v>
      </c>
      <c r="U51" s="21">
        <f t="shared" ca="1" si="9"/>
        <v>9.6919300978958134</v>
      </c>
      <c r="V51" s="21">
        <f t="shared" ca="1" si="10"/>
        <v>9.8684415122944333</v>
      </c>
      <c r="W51" s="21">
        <f t="shared" ca="1" si="11"/>
        <v>10.033240271571051</v>
      </c>
      <c r="X51" s="21">
        <f t="shared" ca="1" si="12"/>
        <v>10.450715419003394</v>
      </c>
      <c r="Y51" s="21">
        <f t="shared" ca="1" si="13"/>
        <v>10.853316057474684</v>
      </c>
      <c r="Z51" s="21">
        <f t="shared" ca="1" si="14"/>
        <v>11.107639267462831</v>
      </c>
      <c r="AA51" s="21" t="e">
        <f t="shared" ca="1" si="15"/>
        <v>#NUM!</v>
      </c>
      <c r="AB51" s="21" t="e">
        <f t="shared" ca="1" si="16"/>
        <v>#NUM!</v>
      </c>
      <c r="AC51" cm="1">
        <f t="array" aca="1" ref="AC51" ca="1">IF( AND($D$7,NOT(ISBLANK($D51))), IF(_xll.IMDP("IR", $D51, AC$8, Matrix!$D$6)=0,"",_xll.IMDP("IR", $D51, AC$8, Matrix!$D$6)), "")</f>
        <v>7.5250000000000004</v>
      </c>
      <c r="AD51" cm="1">
        <f t="array" aca="1" ref="AD51" ca="1">IF( AND($D$7,NOT(ISBLANK($D51))), IF(_xll.IMDP("IR", $D51, AD$8, Matrix!$D$6)=0,"",_xll.IMDP("IR", $D51, AD$8, Matrix!$D$6)), "")</f>
        <v>8.3190000000000008</v>
      </c>
      <c r="AE51" cm="1">
        <f t="array" aca="1" ref="AE51" ca="1">IF( AND($D$7,NOT(ISBLANK($D51))), IF(_xll.IMDP("IR", $D51, AE$8, Matrix!$D$6)=0,"",_xll.IMDP("IR", $D51, AE$8, Matrix!$D$6)), "")</f>
        <v>8.5500000000000007</v>
      </c>
      <c r="AF51" cm="1">
        <f t="array" aca="1" ref="AF51" ca="1">IF( AND($D$7,NOT(ISBLANK($D51))), IF(_xll.IMDP("IR", $D51, AF$8, Matrix!$D$6)=0,"",_xll.IMDP("IR", $D51, AF$8, Matrix!$D$6)), "")</f>
        <v>8.7850000000000001</v>
      </c>
      <c r="AG51" cm="1">
        <f t="array" aca="1" ref="AG51" ca="1">IF( AND($D$7,NOT(ISBLANK($D51))), IF(_xll.IMDP("IR", $D51, AG$8, Matrix!$D$6)=0,"",_xll.IMDP("IR", $D51, AG$8, Matrix!$D$6)), "")</f>
        <v>8.9109999999999996</v>
      </c>
      <c r="AH51" cm="1">
        <f t="array" aca="1" ref="AH51" ca="1">IF( AND($D$7,NOT(ISBLANK($D51))), IF(_xll.IMDP("IR", $D51, AH$8, Matrix!$D$6)=0,"",_xll.IMDP("IR", $D51, AH$8, Matrix!$D$6)), "")</f>
        <v>9.1820000000000004</v>
      </c>
      <c r="AI51" cm="1">
        <f t="array" aca="1" ref="AI51" ca="1">IF( AND($D$7,NOT(ISBLANK($D51))), IF(_xll.IMDP("IR", $D51, AI$8, Matrix!$D$6)=0,"",_xll.IMDP("IR", $D51, AI$8, Matrix!$D$6)), "")</f>
        <v>9.3859999999999992</v>
      </c>
      <c r="AJ51" cm="1">
        <f t="array" aca="1" ref="AJ51" ca="1">IF( AND($D$7,NOT(ISBLANK($D51))), IF(_xll.IMDP("IR", $D51, AJ$8, Matrix!$D$6)=0,"",_xll.IMDP("IR", $D51, AJ$8, Matrix!$D$6)), "")</f>
        <v>9.5</v>
      </c>
      <c r="AK51" cm="1">
        <f t="array" aca="1" ref="AK51" ca="1">IF( AND($D$7,NOT(ISBLANK($D51))), IF(_xll.IMDP("IR", $D51, AK$8, Matrix!$D$6)=0,"",_xll.IMDP("IR", $D51, AK$8, Matrix!$D$6)), "")</f>
        <v>9.5589999999999993</v>
      </c>
      <c r="AL51" cm="1">
        <f t="array" aca="1" ref="AL51" ca="1">IF( AND($D$7,NOT(ISBLANK($D51))), IF(_xll.IMDP("IR", $D51, AL$8, Matrix!$D$6)=0,"",_xll.IMDP("IR", $D51, AL$8, Matrix!$D$6)), "")</f>
        <v>9.7070000000000007</v>
      </c>
      <c r="AM51" cm="1">
        <f t="array" aca="1" ref="AM51" ca="1">IF( AND($D$7,NOT(ISBLANK($D51))), IF(_xll.IMDP("IR", $D51, AM$8, Matrix!$D$6)=0,"",_xll.IMDP("IR", $D51, AM$8, Matrix!$D$6)), "")</f>
        <v>10.013</v>
      </c>
      <c r="AN51" cm="1">
        <f t="array" aca="1" ref="AN51" ca="1">IF( AND($D$7,NOT(ISBLANK($D51))), IF(_xll.IMDP("IR", $D51, AN$8, Matrix!$D$6)=0,"",_xll.IMDP("IR", $D51, AN$8, Matrix!$D$6)), "")</f>
        <v>10.488</v>
      </c>
      <c r="AO51" cm="1">
        <f t="array" aca="1" ref="AO51" ca="1">IF( AND($D$7,NOT(ISBLANK($D51))), IF(_xll.IMDP("IR", $D51, AO$8, Matrix!$D$6)=0,"",_xll.IMDP("IR", $D51, AO$8, Matrix!$D$6)), "")</f>
        <v>11.06</v>
      </c>
      <c r="AP51" cm="1">
        <f t="array" aca="1" ref="AP51" ca="1">IF( AND($D$7,NOT(ISBLANK($D51))), IF(_xll.IMDP("IR", $D51, AP$8, Matrix!$D$6)=0,"",_xll.IMDP("IR", $D51, AP$8, Matrix!$D$6)), "")</f>
        <v>11.188000000000001</v>
      </c>
      <c r="AQ51" t="str" cm="1">
        <f t="array" aca="1" ref="AQ51" ca="1">IF( AND($D$7,NOT(ISBLANK($D51))), IF(_xll.IMDP("IR", $D51, AQ$8, Matrix!$D$6)=0,"",_xll.IMDP("IR", $D51, AQ$8, Matrix!$D$6)), "")</f>
        <v/>
      </c>
      <c r="AR51" t="str" cm="1">
        <f t="array" aca="1" ref="AR51" ca="1">IF( AND($D$7,NOT(ISBLANK($D51))), IF(_xll.IMDP("IR", $D51, AR$8, Matrix!$D$6)=0,"",_xll.IMDP("IR", $D51, AR$8, Matrix!$D$6)), "")</f>
        <v/>
      </c>
      <c r="AS51" cm="1">
        <f t="array" aca="1" ref="AS51" ca="1">IF( AND($E$7,NOT(ISBLANK($E51))), IF( _xll.IMDP("IR", $E51, AS$8, Matrix!$D$6)=0,"",_xll.IMDP("IR", $E51, AS$8, Matrix!$D$6)), "")</f>
        <v>7.9880000000000004</v>
      </c>
      <c r="AT51" cm="1">
        <f t="array" aca="1" ref="AT51" ca="1">IF( AND($E$7,NOT(ISBLANK($E51))), IF( _xll.IMDP("IR", $E51, AT$8, Matrix!$D$6)=0,"",_xll.IMDP("IR", $E51, AT$8, Matrix!$D$6)), "")</f>
        <v>8.7029999999999994</v>
      </c>
      <c r="AU51" cm="1">
        <f t="array" aca="1" ref="AU51" ca="1">IF( AND($E$7,NOT(ISBLANK($E51))), IF( _xll.IMDP("IR", $E51, AU$8, Matrix!$D$6)=0,"",_xll.IMDP("IR", $E51, AU$8, Matrix!$D$6)), "")</f>
        <v>9.0359999999999996</v>
      </c>
      <c r="AV51" cm="1">
        <f t="array" aca="1" ref="AV51" ca="1">IF( AND($E$7,NOT(ISBLANK($E51))), IF( _xll.IMDP("IR", $E51, AV$8, Matrix!$D$6)=0,"",_xll.IMDP("IR", $E51, AV$8, Matrix!$D$6)), "")</f>
        <v>9.0449999999999999</v>
      </c>
      <c r="AW51" cm="1">
        <f t="array" aca="1" ref="AW51" ca="1">IF( AND($E$7,NOT(ISBLANK($E51))), IF( _xll.IMDP("IR", $E51, AW$8, Matrix!$D$6)=0,"",_xll.IMDP("IR", $E51, AW$8, Matrix!$D$6)), "")</f>
        <v>9.14</v>
      </c>
      <c r="AX51" cm="1">
        <f t="array" aca="1" ref="AX51" ca="1">IF( AND($E$7,NOT(ISBLANK($E51))), IF( _xll.IMDP("IR", $E51, AX$8, Matrix!$D$6)=0,"",_xll.IMDP("IR", $E51, AX$8, Matrix!$D$6)), "")</f>
        <v>9.5269999999999992</v>
      </c>
      <c r="AY51" cm="1">
        <f t="array" aca="1" ref="AY51" ca="1">IF( AND($E$7,NOT(ISBLANK($E51))), IF( _xll.IMDP("IR", $E51, AY$8, Matrix!$D$6)=0,"",_xll.IMDP("IR", $E51, AY$8, Matrix!$D$6)), "")</f>
        <v>9.6959999999999997</v>
      </c>
      <c r="AZ51" cm="1">
        <f t="array" aca="1" ref="AZ51" ca="1">IF( AND($E$7,NOT(ISBLANK($E51))), IF( _xll.IMDP("IR", $E51, AZ$8, Matrix!$D$6)=0,"",_xll.IMDP("IR", $E51, AZ$8, Matrix!$D$6)), "")</f>
        <v>9.7430000000000003</v>
      </c>
      <c r="BA51" cm="1">
        <f t="array" aca="1" ref="BA51" ca="1">IF( AND($E$7,NOT(ISBLANK($E51))), IF( _xll.IMDP("IR", $E51, BA$8, Matrix!$D$6)=0,"",_xll.IMDP("IR", $E51, BA$8, Matrix!$D$6)), "")</f>
        <v>9.7479999999999993</v>
      </c>
      <c r="BB51" cm="1">
        <f t="array" aca="1" ref="BB51" ca="1">IF( AND($E$7,NOT(ISBLANK($E51))), IF( _xll.IMDP("IR", $E51, BB$8, Matrix!$D$6)=0,"",_xll.IMDP("IR", $E51, BB$8, Matrix!$D$6)), "")</f>
        <v>9.9580000000000002</v>
      </c>
      <c r="BC51" cm="1">
        <f t="array" aca="1" ref="BC51" ca="1">IF( AND($E$7,NOT(ISBLANK($E51))), IF( _xll.IMDP("IR", $E51, BC$8, Matrix!$D$6)=0,"",_xll.IMDP("IR", $E51, BC$8, Matrix!$D$6)), "")</f>
        <v>10.031000000000001</v>
      </c>
      <c r="BD51" cm="1">
        <f t="array" aca="1" ref="BD51" ca="1">IF( AND($E$7,NOT(ISBLANK($E51))), IF( _xll.IMDP("IR", $E51, BD$8, Matrix!$D$6)=0,"",_xll.IMDP("IR", $E51, BD$8, Matrix!$D$6)), "")</f>
        <v>10.412000000000001</v>
      </c>
      <c r="BE51" cm="1">
        <f t="array" aca="1" ref="BE51" ca="1">IF( AND($E$7,NOT(ISBLANK($E51))), IF( _xll.IMDP("IR", $E51, BE$8, Matrix!$D$6)=0,"",_xll.IMDP("IR", $E51, BE$8, Matrix!$D$6)), "")</f>
        <v>10.77</v>
      </c>
      <c r="BF51" cm="1">
        <f t="array" aca="1" ref="BF51" ca="1">IF( AND($E$7,NOT(ISBLANK($E51))), IF( _xll.IMDP("IR", $E51, BF$8, Matrix!$D$6)=0,"",_xll.IMDP("IR", $E51, BF$8, Matrix!$D$6)), "")</f>
        <v>11.085000000000001</v>
      </c>
      <c r="BG51" t="str" cm="1">
        <f t="array" aca="1" ref="BG51" ca="1">IF( AND($E$7,NOT(ISBLANK($E51))), IF( _xll.IMDP("IR", $E51, BG$8, Matrix!$D$6)=0,"",_xll.IMDP("IR", $E51, BG$8, Matrix!$D$6)), "")</f>
        <v/>
      </c>
      <c r="BH51" t="str" cm="1">
        <f t="array" aca="1" ref="BH51" ca="1">IF( AND($E$7,NOT(ISBLANK($E51))), IF( _xll.IMDP("IR", $E51, BH$8, Matrix!$D$6)=0,"",_xll.IMDP("IR", $E51, BH$8, Matrix!$D$6)), "")</f>
        <v/>
      </c>
      <c r="BI51" cm="1">
        <f t="array" aca="1" ref="BI51" ca="1">IF( AND($F$7,NOT(ISBLANK($F51))), IF( _xll.IMDP("IR", $F51, BI$8, Matrix!$D$6)=0,"",_xll.IMDP("IR", $F51, BI$8, Matrix!$D$6)), "")</f>
        <v>7.9290000000000003</v>
      </c>
      <c r="BJ51" cm="1">
        <f t="array" aca="1" ref="BJ51" ca="1">IF( AND($F$7,NOT(ISBLANK($F51))), IF( _xll.IMDP("IR", $F51, BJ$8, Matrix!$D$6)=0,"",_xll.IMDP("IR", $F51, BJ$8, Matrix!$D$6)), "")</f>
        <v>8.6020000000000003</v>
      </c>
      <c r="BK51" cm="1">
        <f t="array" aca="1" ref="BK51" ca="1">IF( AND($F$7,NOT(ISBLANK($F51))), IF( _xll.IMDP("IR", $F51, BK$8, Matrix!$D$6)=0,"",_xll.IMDP("IR", $F51, BK$8, Matrix!$D$6)), "")</f>
        <v>8.8699999999999992</v>
      </c>
      <c r="BL51" cm="1">
        <f t="array" aca="1" ref="BL51" ca="1">IF( AND($F$7,NOT(ISBLANK($F51))), IF( _xll.IMDP("IR", $F51, BL$8, Matrix!$D$6)=0,"",_xll.IMDP("IR", $F51, BL$8, Matrix!$D$6)), "")</f>
        <v>8.9939999999999998</v>
      </c>
      <c r="BM51" cm="1">
        <f t="array" aca="1" ref="BM51" ca="1">IF( AND($F$7,NOT(ISBLANK($F51))), IF( _xll.IMDP("IR", $F51, BM$8, Matrix!$D$6)=0,"",_xll.IMDP("IR", $F51, BM$8, Matrix!$D$6)), "")</f>
        <v>9.0609999999999999</v>
      </c>
      <c r="BN51" cm="1">
        <f t="array" aca="1" ref="BN51" ca="1">IF( AND($F$7,NOT(ISBLANK($F51))), IF( _xll.IMDP("IR", $F51, BN$8, Matrix!$D$6)=0,"",_xll.IMDP("IR", $F51, BN$8, Matrix!$D$6)), "")</f>
        <v>9.4489999999999998</v>
      </c>
      <c r="BO51" cm="1">
        <f t="array" aca="1" ref="BO51" ca="1">IF( AND($F$7,NOT(ISBLANK($F51))), IF( _xll.IMDP("IR", $F51, BO$8, Matrix!$D$6)=0,"",_xll.IMDP("IR", $F51, BO$8, Matrix!$D$6)), "")</f>
        <v>9.6340000000000003</v>
      </c>
      <c r="BP51" cm="1">
        <f t="array" aca="1" ref="BP51" ca="1">IF( AND($F$7,NOT(ISBLANK($F51))), IF( _xll.IMDP("IR", $F51, BP$8, Matrix!$D$6)=0,"",_xll.IMDP("IR", $F51, BP$8, Matrix!$D$6)), "")</f>
        <v>9.6869999999999994</v>
      </c>
      <c r="BQ51" cm="1">
        <f t="array" aca="1" ref="BQ51" ca="1">IF( AND($F$7,NOT(ISBLANK($F51))), IF( _xll.IMDP("IR", $F51, BQ$8, Matrix!$D$6)=0,"",_xll.IMDP("IR", $F51, BQ$8, Matrix!$D$6)), "")</f>
        <v>9.7509999999999994</v>
      </c>
      <c r="BR51" cm="1">
        <f t="array" aca="1" ref="BR51" ca="1">IF( AND($F$7,NOT(ISBLANK($F51))), IF( _xll.IMDP("IR", $F51, BR$8, Matrix!$D$6)=0,"",_xll.IMDP("IR", $F51, BR$8, Matrix!$D$6)), "")</f>
        <v>9.9649999999999999</v>
      </c>
      <c r="BS51" cm="1">
        <f t="array" aca="1" ref="BS51" ca="1">IF( AND($F$7,NOT(ISBLANK($F51))), IF( _xll.IMDP("IR", $F51, BS$8, Matrix!$D$6)=0,"",_xll.IMDP("IR", $F51, BS$8, Matrix!$D$6)), "")</f>
        <v>10.052</v>
      </c>
      <c r="BT51" cm="1">
        <f t="array" aca="1" ref="BT51" ca="1">IF( AND($F$7,NOT(ISBLANK($F51))), IF( _xll.IMDP("IR", $F51, BT$8, Matrix!$D$6)=0,"",_xll.IMDP("IR", $F51, BT$8, Matrix!$D$6)), "")</f>
        <v>10.452</v>
      </c>
      <c r="BU51" cm="1">
        <f t="array" aca="1" ref="BU51" ca="1">IF( AND($F$7,NOT(ISBLANK($F51))), IF( _xll.IMDP("IR", $F51, BU$8, Matrix!$D$6)=0,"",_xll.IMDP("IR", $F51, BU$8, Matrix!$D$6)), "")</f>
        <v>10.755000000000001</v>
      </c>
      <c r="BV51" cm="1">
        <f t="array" aca="1" ref="BV51" ca="1">IF( AND($F$7,NOT(ISBLANK($F51))), IF( _xll.IMDP("IR", $F51, BV$8, Matrix!$D$6)=0,"",_xll.IMDP("IR", $F51, BV$8, Matrix!$D$6)), "")</f>
        <v>11.054</v>
      </c>
      <c r="BW51" t="str" cm="1">
        <f t="array" aca="1" ref="BW51" ca="1">IF( AND($F$7,NOT(ISBLANK($F51))), IF( _xll.IMDP("IR", $F51, BW$8, Matrix!$D$6)=0,"",_xll.IMDP("IR", $F51, BW$8, Matrix!$D$6)), "")</f>
        <v/>
      </c>
      <c r="BX51" t="str" cm="1">
        <f t="array" aca="1" ref="BX51" ca="1">IF( AND($F$7,NOT(ISBLANK($F51))), IF( _xll.IMDP("IR", $F51, BX$8, Matrix!$D$6)=0,"",_xll.IMDP("IR", $F51, BX$8, Matrix!$D$6)), "")</f>
        <v/>
      </c>
      <c r="BY51" cm="1">
        <f t="array" aca="1" ref="BY51" ca="1">IF( AND($G$7,NOT(ISBLANK($G51))), IF( _xll.IMDP("IR", $G51, BY$8, Matrix!$D$6)=0, "", _xll.IMDP("IR", $G51, BY$8, Matrix!$D$6)), "")</f>
        <v>7.8490000000000002</v>
      </c>
      <c r="BZ51" cm="1">
        <f t="array" aca="1" ref="BZ51" ca="1">IF( AND($G$7,NOT(ISBLANK($G51))), IF( _xll.IMDP("IR", $G51, BZ$8, Matrix!$D$6)=0, "", _xll.IMDP("IR", $G51, BZ$8, Matrix!$D$6)), "")</f>
        <v>8.593</v>
      </c>
      <c r="CA51" cm="1">
        <f t="array" aca="1" ref="CA51" ca="1">IF( AND($G$7,NOT(ISBLANK($G51))), IF( _xll.IMDP("IR", $G51, CA$8, Matrix!$D$6)=0, "", _xll.IMDP("IR", $G51, CA$8, Matrix!$D$6)), "")</f>
        <v>8.9169999999999998</v>
      </c>
      <c r="CB51" cm="1">
        <f t="array" aca="1" ref="CB51" ca="1">IF( AND($G$7,NOT(ISBLANK($G51))), IF( _xll.IMDP("IR", $G51, CB$8, Matrix!$D$6)=0, "", _xll.IMDP("IR", $G51, CB$8, Matrix!$D$6)), "")</f>
        <v>8.9939999999999998</v>
      </c>
      <c r="CC51" cm="1">
        <f t="array" aca="1" ref="CC51" ca="1">IF( AND($G$7,NOT(ISBLANK($G51))), IF( _xll.IMDP("IR", $G51, CC$8, Matrix!$D$6)=0, "", _xll.IMDP("IR", $G51, CC$8, Matrix!$D$6)), "")</f>
        <v>9.0760000000000005</v>
      </c>
      <c r="CD51" cm="1">
        <f t="array" aca="1" ref="CD51" ca="1">IF( AND($G$7,NOT(ISBLANK($G51))), IF( _xll.IMDP("IR", $G51, CD$8, Matrix!$D$6)=0, "", _xll.IMDP("IR", $G51, CD$8, Matrix!$D$6)), "")</f>
        <v>9.4149999999999991</v>
      </c>
      <c r="CE51" cm="1">
        <f t="array" aca="1" ref="CE51" ca="1">IF( AND($G$7,NOT(ISBLANK($G51))), IF( _xll.IMDP("IR", $G51, CE$8, Matrix!$D$6)=0, "", _xll.IMDP("IR", $G51, CE$8, Matrix!$D$6)), "")</f>
        <v>9.5969999999999995</v>
      </c>
      <c r="CF51" cm="1">
        <f t="array" aca="1" ref="CF51" ca="1">IF( AND($G$7,NOT(ISBLANK($G51))), IF( _xll.IMDP("IR", $G51, CF$8, Matrix!$D$6)=0, "", _xll.IMDP("IR", $G51, CF$8, Matrix!$D$6)), "")</f>
        <v>9.6449999999999996</v>
      </c>
      <c r="CG51" cm="1">
        <f t="array" aca="1" ref="CG51" ca="1">IF( AND($G$7,NOT(ISBLANK($G51))), IF( _xll.IMDP("IR", $G51, CG$8, Matrix!$D$6)=0, "", _xll.IMDP("IR", $G51, CG$8, Matrix!$D$6)), "")</f>
        <v>9.7110000000000003</v>
      </c>
      <c r="CH51" cm="1">
        <f t="array" aca="1" ref="CH51" ca="1">IF( AND($G$7,NOT(ISBLANK($G51))), IF( _xll.IMDP("IR", $G51, CH$8, Matrix!$D$6)=0, "", _xll.IMDP("IR", $G51, CH$8, Matrix!$D$6)), "")</f>
        <v>9.8460000000000001</v>
      </c>
      <c r="CI51" cm="1">
        <f t="array" aca="1" ref="CI51" ca="1">IF( AND($G$7,NOT(ISBLANK($G51))), IF( _xll.IMDP("IR", $G51, CI$8, Matrix!$D$6)=0, "", _xll.IMDP("IR", $G51, CI$8, Matrix!$D$6)), "")</f>
        <v>10.037000000000001</v>
      </c>
      <c r="CJ51" cm="1">
        <f t="array" aca="1" ref="CJ51" ca="1">IF( AND($G$7,NOT(ISBLANK($G51))), IF( _xll.IMDP("IR", $G51, CJ$8, Matrix!$D$6)=0, "", _xll.IMDP("IR", $G51, CJ$8, Matrix!$D$6)), "")</f>
        <v>10.451000000000001</v>
      </c>
      <c r="CK51" cm="1">
        <f t="array" aca="1" ref="CK51" ca="1">IF( AND($G$7,NOT(ISBLANK($G51))), IF( _xll.IMDP("IR", $G51, CK$8, Matrix!$D$6)=0, "", _xll.IMDP("IR", $G51, CK$8, Matrix!$D$6)), "")</f>
        <v>10.831</v>
      </c>
      <c r="CL51" cm="1">
        <f t="array" aca="1" ref="CL51" ca="1">IF( AND($G$7,NOT(ISBLANK($G51))), IF( _xll.IMDP("IR", $G51, CL$8, Matrix!$D$6)=0, "", _xll.IMDP("IR", $G51, CL$8, Matrix!$D$6)), "")</f>
        <v>11.103999999999999</v>
      </c>
      <c r="CM51" t="str" cm="1">
        <f t="array" aca="1" ref="CM51" ca="1">IF( AND($G$7,NOT(ISBLANK($G51))), IF( _xll.IMDP("IR", $G51, CM$8, Matrix!$D$6)=0, "", _xll.IMDP("IR", $G51, CM$8, Matrix!$D$6)), "")</f>
        <v/>
      </c>
      <c r="CN51" t="str" cm="1">
        <f t="array" aca="1" ref="CN51" ca="1">IF( AND($G$7,NOT(ISBLANK($G51))), IF( _xll.IMDP("IR", $G51, CN$8, Matrix!$D$6)=0, "", _xll.IMDP("IR", $G51, CN$8, Matrix!$D$6)), "")</f>
        <v/>
      </c>
      <c r="CO51" t="str" cm="1">
        <f t="array" ref="CO51">IF( AND($H$7,NOT(ISBLANK($H51))), IF( _xll.IMDP("IR", $H51, CO$8, Matrix!$D$6)=0, "", _xll.IMDP("IR", $H51, CO$8, Matrix!$D$6)), "")</f>
        <v/>
      </c>
      <c r="CP51" t="str" cm="1">
        <f t="array" ref="CP51">IF( AND($H$7,NOT(ISBLANK($H51))), IF( _xll.IMDP("IR", $H51, CP$8, Matrix!$D$6)=0, "", _xll.IMDP("IR", $H51, CP$8, Matrix!$D$6)), "")</f>
        <v/>
      </c>
      <c r="CQ51" t="str" cm="1">
        <f t="array" ref="CQ51">IF( AND($H$7,NOT(ISBLANK($H51))), IF( _xll.IMDP("IR", $H51, CQ$8, Matrix!$D$6)=0, "", _xll.IMDP("IR", $H51, CQ$8, Matrix!$D$6)), "")</f>
        <v/>
      </c>
      <c r="CR51" t="str" cm="1">
        <f t="array" ref="CR51">IF( AND($H$7,NOT(ISBLANK($H51))), IF( _xll.IMDP("IR", $H51, CR$8, Matrix!$D$6)=0, "", _xll.IMDP("IR", $H51, CR$8, Matrix!$D$6)), "")</f>
        <v/>
      </c>
      <c r="CS51" t="str" cm="1">
        <f t="array" ref="CS51">IF( AND($H$7,NOT(ISBLANK($H51))), IF( _xll.IMDP("IR", $H51, CS$8, Matrix!$D$6)=0, "", _xll.IMDP("IR", $H51, CS$8, Matrix!$D$6)), "")</f>
        <v/>
      </c>
      <c r="CT51" t="str" cm="1">
        <f t="array" ref="CT51">IF( AND($H$7,NOT(ISBLANK($H51))), IF( _xll.IMDP("IR", $H51, CT$8, Matrix!$D$6)=0, "", _xll.IMDP("IR", $H51, CT$8, Matrix!$D$6)), "")</f>
        <v/>
      </c>
      <c r="CU51" t="str" cm="1">
        <f t="array" ref="CU51">IF( AND($H$7,NOT(ISBLANK($H51))), IF( _xll.IMDP("IR", $H51, CU$8, Matrix!$D$6)=0, "", _xll.IMDP("IR", $H51, CU$8, Matrix!$D$6)), "")</f>
        <v/>
      </c>
      <c r="CV51" t="str" cm="1">
        <f t="array" ref="CV51">IF( AND($H$7,NOT(ISBLANK($H51))), IF( _xll.IMDP("IR", $H51, CV$8, Matrix!$D$6)=0, "", _xll.IMDP("IR", $H51, CV$8, Matrix!$D$6)), "")</f>
        <v/>
      </c>
      <c r="CW51" t="str" cm="1">
        <f t="array" ref="CW51">IF( AND($H$7,NOT(ISBLANK($H51))), IF( _xll.IMDP("IR", $H51, CW$8, Matrix!$D$6)=0, "", _xll.IMDP("IR", $H51, CW$8, Matrix!$D$6)), "")</f>
        <v/>
      </c>
      <c r="CX51" t="str" cm="1">
        <f t="array" ref="CX51">IF( AND($H$7,NOT(ISBLANK($H51))), IF( _xll.IMDP("IR", $H51, CX$8, Matrix!$D$6)=0, "", _xll.IMDP("IR", $H51, CX$8, Matrix!$D$6)), "")</f>
        <v/>
      </c>
      <c r="CY51" t="str" cm="1">
        <f t="array" ref="CY51">IF( AND($H$7,NOT(ISBLANK($H51))), IF( _xll.IMDP("IR", $H51, CY$8, Matrix!$D$6)=0, "", _xll.IMDP("IR", $H51, CY$8, Matrix!$D$6)), "")</f>
        <v/>
      </c>
      <c r="CZ51" t="str" cm="1">
        <f t="array" ref="CZ51">IF( AND($H$7,NOT(ISBLANK($H51))), IF( _xll.IMDP("IR", $H51, CZ$8, Matrix!$D$6)=0, "", _xll.IMDP("IR", $H51, CZ$8, Matrix!$D$6)), "")</f>
        <v/>
      </c>
      <c r="DA51" t="str" cm="1">
        <f t="array" ref="DA51">IF( AND($H$7,NOT(ISBLANK($H51))), IF( _xll.IMDP("IR", $H51, DA$8, Matrix!$D$6)=0, "", _xll.IMDP("IR", $H51, DA$8, Matrix!$D$6)), "")</f>
        <v/>
      </c>
      <c r="DB51" t="str" cm="1">
        <f t="array" ref="DB51">IF( AND($H$7,NOT(ISBLANK($H51))), IF( _xll.IMDP("IR", $H51, DB$8, Matrix!$D$6)=0, "", _xll.IMDP("IR", $H51, DB$8, Matrix!$D$6)), "")</f>
        <v/>
      </c>
      <c r="DC51" t="str" cm="1">
        <f t="array" ref="DC51">IF( AND($H$7,NOT(ISBLANK($H51))), IF( _xll.IMDP("IR", $H51, DC$8, Matrix!$D$6)=0, "", _xll.IMDP("IR", $H51, DC$8, Matrix!$D$6)), "")</f>
        <v/>
      </c>
      <c r="DD51" t="str" cm="1">
        <f t="array" ref="DD51">IF( AND($H$7,NOT(ISBLANK($H51))), IF( _xll.IMDP("IR", $H51, DD$8, Matrix!$D$6)=0, "", _xll.IMDP("IR", $H51, DD$8, Matrix!$D$6)), "")</f>
        <v/>
      </c>
    </row>
    <row r="52" spans="2:108">
      <c r="B52" t="s">
        <v>120</v>
      </c>
      <c r="C52" t="s">
        <v>194</v>
      </c>
      <c r="D52" t="s">
        <v>266</v>
      </c>
      <c r="E52" t="s">
        <v>528</v>
      </c>
      <c r="G52" t="s">
        <v>460</v>
      </c>
      <c r="H52" t="s">
        <v>507</v>
      </c>
      <c r="M52" s="21">
        <f t="shared" ca="1" si="1"/>
        <v>3.4194995247842357</v>
      </c>
      <c r="N52" s="21">
        <f t="shared" ca="1" si="2"/>
        <v>3.3984953971777299</v>
      </c>
      <c r="O52" s="21">
        <f t="shared" ca="1" si="3"/>
        <v>3.3312412641920268</v>
      </c>
      <c r="P52" s="21">
        <f t="shared" ca="1" si="4"/>
        <v>3.2892395584862757</v>
      </c>
      <c r="Q52" s="21">
        <f t="shared" ca="1" si="5"/>
        <v>3.2626035754938663</v>
      </c>
      <c r="R52" s="21">
        <f t="shared" ca="1" si="6"/>
        <v>3.2349074479399369</v>
      </c>
      <c r="S52" s="21">
        <f t="shared" ca="1" si="7"/>
        <v>3.2111251187859033</v>
      </c>
      <c r="T52" s="21">
        <f t="shared" ca="1" si="8"/>
        <v>3.2004782606862392</v>
      </c>
      <c r="U52" s="21">
        <f t="shared" ca="1" si="9"/>
        <v>3.1838646889807283</v>
      </c>
      <c r="V52" s="21">
        <f t="shared" ca="1" si="10"/>
        <v>3.1963079738032598</v>
      </c>
      <c r="W52" s="21">
        <f t="shared" ca="1" si="11"/>
        <v>3.3357132833092433</v>
      </c>
      <c r="X52" s="21">
        <f t="shared" ca="1" si="12"/>
        <v>3.5692921701594993</v>
      </c>
      <c r="Y52" s="21">
        <f t="shared" ca="1" si="13"/>
        <v>3.7085324875018122</v>
      </c>
      <c r="Z52" s="21">
        <f t="shared" ca="1" si="14"/>
        <v>3.796779450630364</v>
      </c>
      <c r="AA52" s="21" t="e">
        <f t="shared" ca="1" si="15"/>
        <v>#NUM!</v>
      </c>
      <c r="AB52" s="21" t="e">
        <f t="shared" ca="1" si="16"/>
        <v>#NUM!</v>
      </c>
      <c r="AC52" cm="1">
        <f t="array" aca="1" ref="AC52" ca="1">IF( AND($D$7,NOT(ISBLANK($D52))), IF(_xll.IMDP("IR", $D52, AC$8, Matrix!$D$6)=0,"",_xll.IMDP("IR", $D52, AC$8, Matrix!$D$6)), "")</f>
        <v>3.4220000000000002</v>
      </c>
      <c r="AD52" cm="1">
        <f t="array" aca="1" ref="AD52" ca="1">IF( AND($D$7,NOT(ISBLANK($D52))), IF(_xll.IMDP("IR", $D52, AD$8, Matrix!$D$6)=0,"",_xll.IMDP("IR", $D52, AD$8, Matrix!$D$6)), "")</f>
        <v>3.4020000000000001</v>
      </c>
      <c r="AE52" cm="1">
        <f t="array" aca="1" ref="AE52" ca="1">IF( AND($D$7,NOT(ISBLANK($D52))), IF(_xll.IMDP("IR", $D52, AE$8, Matrix!$D$6)=0,"",_xll.IMDP("IR", $D52, AE$8, Matrix!$D$6)), "")</f>
        <v>3.34</v>
      </c>
      <c r="AF52" cm="1">
        <f t="array" aca="1" ref="AF52" ca="1">IF( AND($D$7,NOT(ISBLANK($D52))), IF(_xll.IMDP("IR", $D52, AF$8, Matrix!$D$6)=0,"",_xll.IMDP("IR", $D52, AF$8, Matrix!$D$6)), "")</f>
        <v>3.298</v>
      </c>
      <c r="AG52" cm="1">
        <f t="array" aca="1" ref="AG52" ca="1">IF( AND($D$7,NOT(ISBLANK($D52))), IF(_xll.IMDP("IR", $D52, AG$8, Matrix!$D$6)=0,"",_xll.IMDP("IR", $D52, AG$8, Matrix!$D$6)), "")</f>
        <v>3.3079999999999998</v>
      </c>
      <c r="AH52" cm="1">
        <f t="array" aca="1" ref="AH52" ca="1">IF( AND($D$7,NOT(ISBLANK($D52))), IF(_xll.IMDP("IR", $D52, AH$8, Matrix!$D$6)=0,"",_xll.IMDP("IR", $D52, AH$8, Matrix!$D$6)), "")</f>
        <v>3.3079999999999998</v>
      </c>
      <c r="AI52" cm="1">
        <f t="array" aca="1" ref="AI52" ca="1">IF( AND($D$7,NOT(ISBLANK($D52))), IF(_xll.IMDP("IR", $D52, AI$8, Matrix!$D$6)=0,"",_xll.IMDP("IR", $D52, AI$8, Matrix!$D$6)), "")</f>
        <v>3.31</v>
      </c>
      <c r="AJ52" cm="1">
        <f t="array" aca="1" ref="AJ52" ca="1">IF( AND($D$7,NOT(ISBLANK($D52))), IF(_xll.IMDP("IR", $D52, AJ$8, Matrix!$D$6)=0,"",_xll.IMDP("IR", $D52, AJ$8, Matrix!$D$6)), "")</f>
        <v>3.31</v>
      </c>
      <c r="AK52" cm="1">
        <f t="array" aca="1" ref="AK52" ca="1">IF( AND($D$7,NOT(ISBLANK($D52))), IF(_xll.IMDP("IR", $D52, AK$8, Matrix!$D$6)=0,"",_xll.IMDP("IR", $D52, AK$8, Matrix!$D$6)), "")</f>
        <v>3.306</v>
      </c>
      <c r="AL52" cm="1">
        <f t="array" aca="1" ref="AL52" ca="1">IF( AND($D$7,NOT(ISBLANK($D52))), IF(_xll.IMDP("IR", $D52, AL$8, Matrix!$D$6)=0,"",_xll.IMDP("IR", $D52, AL$8, Matrix!$D$6)), "")</f>
        <v>3.3180000000000001</v>
      </c>
      <c r="AM52" cm="1">
        <f t="array" aca="1" ref="AM52" ca="1">IF( AND($D$7,NOT(ISBLANK($D52))), IF(_xll.IMDP("IR", $D52, AM$8, Matrix!$D$6)=0,"",_xll.IMDP("IR", $D52, AM$8, Matrix!$D$6)), "")</f>
        <v>3.3980000000000001</v>
      </c>
      <c r="AN52" cm="1">
        <f t="array" aca="1" ref="AN52" ca="1">IF( AND($D$7,NOT(ISBLANK($D52))), IF(_xll.IMDP("IR", $D52, AN$8, Matrix!$D$6)=0,"",_xll.IMDP("IR", $D52, AN$8, Matrix!$D$6)), "")</f>
        <v>3.6419999999999999</v>
      </c>
      <c r="AO52" cm="1">
        <f t="array" aca="1" ref="AO52" ca="1">IF( AND($D$7,NOT(ISBLANK($D52))), IF(_xll.IMDP("IR", $D52, AO$8, Matrix!$D$6)=0,"",_xll.IMDP("IR", $D52, AO$8, Matrix!$D$6)), "")</f>
        <v>3.875</v>
      </c>
      <c r="AP52" cm="1">
        <f t="array" aca="1" ref="AP52" ca="1">IF( AND($D$7,NOT(ISBLANK($D52))), IF(_xll.IMDP("IR", $D52, AP$8, Matrix!$D$6)=0,"",_xll.IMDP("IR", $D52, AP$8, Matrix!$D$6)), "")</f>
        <v>3.9980000000000002</v>
      </c>
      <c r="AQ52" t="str" cm="1">
        <f t="array" aca="1" ref="AQ52" ca="1">IF( AND($D$7,NOT(ISBLANK($D52))), IF(_xll.IMDP("IR", $D52, AQ$8, Matrix!$D$6)=0,"",_xll.IMDP("IR", $D52, AQ$8, Matrix!$D$6)), "")</f>
        <v/>
      </c>
      <c r="AR52" t="str" cm="1">
        <f t="array" aca="1" ref="AR52" ca="1">IF( AND($D$7,NOT(ISBLANK($D52))), IF(_xll.IMDP("IR", $D52, AR$8, Matrix!$D$6)=0,"",_xll.IMDP("IR", $D52, AR$8, Matrix!$D$6)), "")</f>
        <v/>
      </c>
      <c r="AS52" cm="1">
        <f t="array" aca="1" ref="AS52" ca="1">IF( AND($E$7,NOT(ISBLANK($E52))), IF( _xll.IMDP("IR", $E52, AS$8, Matrix!$D$6)=0,"",_xll.IMDP("IR", $E52, AS$8, Matrix!$D$6)), "")</f>
        <v>3.419</v>
      </c>
      <c r="AT52" cm="1">
        <f t="array" aca="1" ref="AT52" ca="1">IF( AND($E$7,NOT(ISBLANK($E52))), IF( _xll.IMDP("IR", $E52, AT$8, Matrix!$D$6)=0,"",_xll.IMDP("IR", $E52, AT$8, Matrix!$D$6)), "")</f>
        <v>3.403</v>
      </c>
      <c r="AU52" cm="1">
        <f t="array" aca="1" ref="AU52" ca="1">IF( AND($E$7,NOT(ISBLANK($E52))), IF( _xll.IMDP("IR", $E52, AU$8, Matrix!$D$6)=0,"",_xll.IMDP("IR", $E52, AU$8, Matrix!$D$6)), "")</f>
        <v>3.327</v>
      </c>
      <c r="AV52" cm="1">
        <f t="array" aca="1" ref="AV52" ca="1">IF( AND($E$7,NOT(ISBLANK($E52))), IF( _xll.IMDP("IR", $E52, AV$8, Matrix!$D$6)=0,"",_xll.IMDP("IR", $E52, AV$8, Matrix!$D$6)), "")</f>
        <v>3.282</v>
      </c>
      <c r="AW52" cm="1">
        <f t="array" aca="1" ref="AW52" ca="1">IF( AND($E$7,NOT(ISBLANK($E52))), IF( _xll.IMDP("IR", $E52, AW$8, Matrix!$D$6)=0,"",_xll.IMDP("IR", $E52, AW$8, Matrix!$D$6)), "")</f>
        <v>3.24</v>
      </c>
      <c r="AX52" cm="1">
        <f t="array" aca="1" ref="AX52" ca="1">IF( AND($E$7,NOT(ISBLANK($E52))), IF( _xll.IMDP("IR", $E52, AX$8, Matrix!$D$6)=0,"",_xll.IMDP("IR", $E52, AX$8, Matrix!$D$6)), "")</f>
        <v>3.2050000000000001</v>
      </c>
      <c r="AY52" cm="1">
        <f t="array" aca="1" ref="AY52" ca="1">IF( AND($E$7,NOT(ISBLANK($E52))), IF( _xll.IMDP("IR", $E52, AY$8, Matrix!$D$6)=0,"",_xll.IMDP("IR", $E52, AY$8, Matrix!$D$6)), "")</f>
        <v>3.1640000000000001</v>
      </c>
      <c r="AZ52" cm="1">
        <f t="array" aca="1" ref="AZ52" ca="1">IF( AND($E$7,NOT(ISBLANK($E52))), IF( _xll.IMDP("IR", $E52, AZ$8, Matrix!$D$6)=0,"",_xll.IMDP("IR", $E52, AZ$8, Matrix!$D$6)), "")</f>
        <v>3.1459999999999999</v>
      </c>
      <c r="BA52" cm="1">
        <f t="array" aca="1" ref="BA52" ca="1">IF( AND($E$7,NOT(ISBLANK($E52))), IF( _xll.IMDP("IR", $E52, BA$8, Matrix!$D$6)=0,"",_xll.IMDP("IR", $E52, BA$8, Matrix!$D$6)), "")</f>
        <v>3.1259999999999999</v>
      </c>
      <c r="BB52" cm="1">
        <f t="array" aca="1" ref="BB52" ca="1">IF( AND($E$7,NOT(ISBLANK($E52))), IF( _xll.IMDP("IR", $E52, BB$8, Matrix!$D$6)=0,"",_xll.IMDP("IR", $E52, BB$8, Matrix!$D$6)), "")</f>
        <v>3.13</v>
      </c>
      <c r="BC52" cm="1">
        <f t="array" aca="1" ref="BC52" ca="1">IF( AND($E$7,NOT(ISBLANK($E52))), IF( _xll.IMDP("IR", $E52, BC$8, Matrix!$D$6)=0,"",_xll.IMDP("IR", $E52, BC$8, Matrix!$D$6)), "")</f>
        <v>3.3069999999999999</v>
      </c>
      <c r="BD52" cm="1">
        <f t="array" aca="1" ref="BD52" ca="1">IF( AND($E$7,NOT(ISBLANK($E52))), IF( _xll.IMDP("IR", $E52, BD$8, Matrix!$D$6)=0,"",_xll.IMDP("IR", $E52, BD$8, Matrix!$D$6)), "")</f>
        <v>3.544</v>
      </c>
      <c r="BE52" cm="1">
        <f t="array" aca="1" ref="BE52" ca="1">IF( AND($E$7,NOT(ISBLANK($E52))), IF( _xll.IMDP("IR", $E52, BE$8, Matrix!$D$6)=0,"",_xll.IMDP("IR", $E52, BE$8, Matrix!$D$6)), "")</f>
        <v>3.6280000000000001</v>
      </c>
      <c r="BF52" cm="1">
        <f t="array" aca="1" ref="BF52" ca="1">IF( AND($E$7,NOT(ISBLANK($E52))), IF( _xll.IMDP("IR", $E52, BF$8, Matrix!$D$6)=0,"",_xll.IMDP("IR", $E52, BF$8, Matrix!$D$6)), "")</f>
        <v>3.702</v>
      </c>
      <c r="BG52" t="str" cm="1">
        <f t="array" aca="1" ref="BG52" ca="1">IF( AND($E$7,NOT(ISBLANK($E52))), IF( _xll.IMDP("IR", $E52, BG$8, Matrix!$D$6)=0,"",_xll.IMDP("IR", $E52, BG$8, Matrix!$D$6)), "")</f>
        <v/>
      </c>
      <c r="BH52" t="str" cm="1">
        <f t="array" aca="1" ref="BH52" ca="1">IF( AND($E$7,NOT(ISBLANK($E52))), IF( _xll.IMDP("IR", $E52, BH$8, Matrix!$D$6)=0,"",_xll.IMDP("IR", $E52, BH$8, Matrix!$D$6)), "")</f>
        <v/>
      </c>
      <c r="BI52" t="str" cm="1">
        <f t="array" ref="BI52">IF( AND($F$7,NOT(ISBLANK($F52))), IF( _xll.IMDP("IR", $F52, BI$8, Matrix!$D$6)=0,"",_xll.IMDP("IR", $F52, BI$8, Matrix!$D$6)), "")</f>
        <v/>
      </c>
      <c r="BJ52" t="str" cm="1">
        <f t="array" ref="BJ52">IF( AND($F$7,NOT(ISBLANK($F52))), IF( _xll.IMDP("IR", $F52, BJ$8, Matrix!$D$6)=0,"",_xll.IMDP("IR", $F52, BJ$8, Matrix!$D$6)), "")</f>
        <v/>
      </c>
      <c r="BK52" t="str" cm="1">
        <f t="array" ref="BK52">IF( AND($F$7,NOT(ISBLANK($F52))), IF( _xll.IMDP("IR", $F52, BK$8, Matrix!$D$6)=0,"",_xll.IMDP("IR", $F52, BK$8, Matrix!$D$6)), "")</f>
        <v/>
      </c>
      <c r="BL52" t="str" cm="1">
        <f t="array" ref="BL52">IF( AND($F$7,NOT(ISBLANK($F52))), IF( _xll.IMDP("IR", $F52, BL$8, Matrix!$D$6)=0,"",_xll.IMDP("IR", $F52, BL$8, Matrix!$D$6)), "")</f>
        <v/>
      </c>
      <c r="BM52" t="str" cm="1">
        <f t="array" ref="BM52">IF( AND($F$7,NOT(ISBLANK($F52))), IF( _xll.IMDP("IR", $F52, BM$8, Matrix!$D$6)=0,"",_xll.IMDP("IR", $F52, BM$8, Matrix!$D$6)), "")</f>
        <v/>
      </c>
      <c r="BN52" t="str" cm="1">
        <f t="array" ref="BN52">IF( AND($F$7,NOT(ISBLANK($F52))), IF( _xll.IMDP("IR", $F52, BN$8, Matrix!$D$6)=0,"",_xll.IMDP("IR", $F52, BN$8, Matrix!$D$6)), "")</f>
        <v/>
      </c>
      <c r="BO52" t="str" cm="1">
        <f t="array" ref="BO52">IF( AND($F$7,NOT(ISBLANK($F52))), IF( _xll.IMDP("IR", $F52, BO$8, Matrix!$D$6)=0,"",_xll.IMDP("IR", $F52, BO$8, Matrix!$D$6)), "")</f>
        <v/>
      </c>
      <c r="BP52" t="str" cm="1">
        <f t="array" ref="BP52">IF( AND($F$7,NOT(ISBLANK($F52))), IF( _xll.IMDP("IR", $F52, BP$8, Matrix!$D$6)=0,"",_xll.IMDP("IR", $F52, BP$8, Matrix!$D$6)), "")</f>
        <v/>
      </c>
      <c r="BQ52" t="str" cm="1">
        <f t="array" ref="BQ52">IF( AND($F$7,NOT(ISBLANK($F52))), IF( _xll.IMDP("IR", $F52, BQ$8, Matrix!$D$6)=0,"",_xll.IMDP("IR", $F52, BQ$8, Matrix!$D$6)), "")</f>
        <v/>
      </c>
      <c r="BR52" t="str" cm="1">
        <f t="array" ref="BR52">IF( AND($F$7,NOT(ISBLANK($F52))), IF( _xll.IMDP("IR", $F52, BR$8, Matrix!$D$6)=0,"",_xll.IMDP("IR", $F52, BR$8, Matrix!$D$6)), "")</f>
        <v/>
      </c>
      <c r="BS52" t="str" cm="1">
        <f t="array" ref="BS52">IF( AND($F$7,NOT(ISBLANK($F52))), IF( _xll.IMDP("IR", $F52, BS$8, Matrix!$D$6)=0,"",_xll.IMDP("IR", $F52, BS$8, Matrix!$D$6)), "")</f>
        <v/>
      </c>
      <c r="BT52" t="str" cm="1">
        <f t="array" ref="BT52">IF( AND($F$7,NOT(ISBLANK($F52))), IF( _xll.IMDP("IR", $F52, BT$8, Matrix!$D$6)=0,"",_xll.IMDP("IR", $F52, BT$8, Matrix!$D$6)), "")</f>
        <v/>
      </c>
      <c r="BU52" t="str" cm="1">
        <f t="array" ref="BU52">IF( AND($F$7,NOT(ISBLANK($F52))), IF( _xll.IMDP("IR", $F52, BU$8, Matrix!$D$6)=0,"",_xll.IMDP("IR", $F52, BU$8, Matrix!$D$6)), "")</f>
        <v/>
      </c>
      <c r="BV52" t="str" cm="1">
        <f t="array" ref="BV52">IF( AND($F$7,NOT(ISBLANK($F52))), IF( _xll.IMDP("IR", $F52, BV$8, Matrix!$D$6)=0,"",_xll.IMDP("IR", $F52, BV$8, Matrix!$D$6)), "")</f>
        <v/>
      </c>
      <c r="BW52" t="str" cm="1">
        <f t="array" ref="BW52">IF( AND($F$7,NOT(ISBLANK($F52))), IF( _xll.IMDP("IR", $F52, BW$8, Matrix!$D$6)=0,"",_xll.IMDP("IR", $F52, BW$8, Matrix!$D$6)), "")</f>
        <v/>
      </c>
      <c r="BX52" t="str" cm="1">
        <f t="array" ref="BX52">IF( AND($F$7,NOT(ISBLANK($F52))), IF( _xll.IMDP("IR", $F52, BX$8, Matrix!$D$6)=0,"",_xll.IMDP("IR", $F52, BX$8, Matrix!$D$6)), "")</f>
        <v/>
      </c>
      <c r="BY52" cm="1">
        <f t="array" aca="1" ref="BY52" ca="1">IF( AND($G$7,NOT(ISBLANK($G52))), IF( _xll.IMDP("IR", $G52, BY$8, Matrix!$D$6)=0, "", _xll.IMDP("IR", $G52, BY$8, Matrix!$D$6)), "")</f>
        <v>3.4169999999999998</v>
      </c>
      <c r="BZ52" cm="1">
        <f t="array" aca="1" ref="BZ52" ca="1">IF( AND($G$7,NOT(ISBLANK($G52))), IF( _xll.IMDP("IR", $G52, BZ$8, Matrix!$D$6)=0, "", _xll.IMDP("IR", $G52, BZ$8, Matrix!$D$6)), "")</f>
        <v>3.3889999999999998</v>
      </c>
      <c r="CA52" cm="1">
        <f t="array" aca="1" ref="CA52" ca="1">IF( AND($G$7,NOT(ISBLANK($G52))), IF( _xll.IMDP("IR", $G52, CA$8, Matrix!$D$6)=0, "", _xll.IMDP("IR", $G52, CA$8, Matrix!$D$6)), "")</f>
        <v>3.3210000000000002</v>
      </c>
      <c r="CB52" cm="1">
        <f t="array" aca="1" ref="CB52" ca="1">IF( AND($G$7,NOT(ISBLANK($G52))), IF( _xll.IMDP("IR", $G52, CB$8, Matrix!$D$6)=0, "", _xll.IMDP("IR", $G52, CB$8, Matrix!$D$6)), "")</f>
        <v>3.28</v>
      </c>
      <c r="CC52" cm="1">
        <f t="array" aca="1" ref="CC52" ca="1">IF( AND($G$7,NOT(ISBLANK($G52))), IF( _xll.IMDP("IR", $G52, CC$8, Matrix!$D$6)=0, "", _xll.IMDP("IR", $G52, CC$8, Matrix!$D$6)), "")</f>
        <v>3.2290000000000001</v>
      </c>
      <c r="CD52" cm="1">
        <f t="array" aca="1" ref="CD52" ca="1">IF( AND($G$7,NOT(ISBLANK($G52))), IF( _xll.IMDP("IR", $G52, CD$8, Matrix!$D$6)=0, "", _xll.IMDP("IR", $G52, CD$8, Matrix!$D$6)), "")</f>
        <v>3.1840000000000002</v>
      </c>
      <c r="CE52" cm="1">
        <f t="array" aca="1" ref="CE52" ca="1">IF( AND($G$7,NOT(ISBLANK($G52))), IF( _xll.IMDP("IR", $G52, CE$8, Matrix!$D$6)=0, "", _xll.IMDP("IR", $G52, CE$8, Matrix!$D$6)), "")</f>
        <v>3.1480000000000001</v>
      </c>
      <c r="CF52" cm="1">
        <f t="array" aca="1" ref="CF52" ca="1">IF( AND($G$7,NOT(ISBLANK($G52))), IF( _xll.IMDP("IR", $G52, CF$8, Matrix!$D$6)=0, "", _xll.IMDP("IR", $G52, CF$8, Matrix!$D$6)), "")</f>
        <v>3.1320000000000001</v>
      </c>
      <c r="CG52" cm="1">
        <f t="array" aca="1" ref="CG52" ca="1">IF( AND($G$7,NOT(ISBLANK($G52))), IF( _xll.IMDP("IR", $G52, CG$8, Matrix!$D$6)=0, "", _xll.IMDP("IR", $G52, CG$8, Matrix!$D$6)), "")</f>
        <v>3.1230000000000002</v>
      </c>
      <c r="CH52" cm="1">
        <f t="array" aca="1" ref="CH52" ca="1">IF( AND($G$7,NOT(ISBLANK($G52))), IF( _xll.IMDP("IR", $G52, CH$8, Matrix!$D$6)=0, "", _xll.IMDP("IR", $G52, CH$8, Matrix!$D$6)), "")</f>
        <v>3.1269999999999998</v>
      </c>
      <c r="CI52" cm="1">
        <f t="array" aca="1" ref="CI52" ca="1">IF( AND($G$7,NOT(ISBLANK($G52))), IF( _xll.IMDP("IR", $G52, CI$8, Matrix!$D$6)=0, "", _xll.IMDP("IR", $G52, CI$8, Matrix!$D$6)), "")</f>
        <v>3.3029999999999999</v>
      </c>
      <c r="CJ52" cm="1">
        <f t="array" aca="1" ref="CJ52" ca="1">IF( AND($G$7,NOT(ISBLANK($G52))), IF( _xll.IMDP("IR", $G52, CJ$8, Matrix!$D$6)=0, "", _xll.IMDP("IR", $G52, CJ$8, Matrix!$D$6)), "")</f>
        <v>3.5230000000000001</v>
      </c>
      <c r="CK52" cm="1">
        <f t="array" aca="1" ref="CK52" ca="1">IF( AND($G$7,NOT(ISBLANK($G52))), IF( _xll.IMDP("IR", $G52, CK$8, Matrix!$D$6)=0, "", _xll.IMDP("IR", $G52, CK$8, Matrix!$D$6)), "")</f>
        <v>3.6280000000000001</v>
      </c>
      <c r="CL52" cm="1">
        <f t="array" aca="1" ref="CL52" ca="1">IF( AND($G$7,NOT(ISBLANK($G52))), IF( _xll.IMDP("IR", $G52, CL$8, Matrix!$D$6)=0, "", _xll.IMDP("IR", $G52, CL$8, Matrix!$D$6)), "")</f>
        <v>3.698</v>
      </c>
      <c r="CM52" t="str" cm="1">
        <f t="array" aca="1" ref="CM52" ca="1">IF( AND($G$7,NOT(ISBLANK($G52))), IF( _xll.IMDP("IR", $G52, CM$8, Matrix!$D$6)=0, "", _xll.IMDP("IR", $G52, CM$8, Matrix!$D$6)), "")</f>
        <v/>
      </c>
      <c r="CN52" t="str" cm="1">
        <f t="array" aca="1" ref="CN52" ca="1">IF( AND($G$7,NOT(ISBLANK($G52))), IF( _xll.IMDP("IR", $G52, CN$8, Matrix!$D$6)=0, "", _xll.IMDP("IR", $G52, CN$8, Matrix!$D$6)), "")</f>
        <v/>
      </c>
      <c r="CO52" cm="1">
        <f t="array" aca="1" ref="CO52" ca="1">IF( AND($H$7,NOT(ISBLANK($H52))), IF( _xll.IMDP("IR", $H52, CO$8, Matrix!$D$6)=0, "", _xll.IMDP("IR", $H52, CO$8, Matrix!$D$6)), "")</f>
        <v>3.42</v>
      </c>
      <c r="CP52" cm="1">
        <f t="array" aca="1" ref="CP52" ca="1">IF( AND($H$7,NOT(ISBLANK($H52))), IF( _xll.IMDP("IR", $H52, CP$8, Matrix!$D$6)=0, "", _xll.IMDP("IR", $H52, CP$8, Matrix!$D$6)), "")</f>
        <v>3.4</v>
      </c>
      <c r="CQ52" cm="1">
        <f t="array" aca="1" ref="CQ52" ca="1">IF( AND($H$7,NOT(ISBLANK($H52))), IF( _xll.IMDP("IR", $H52, CQ$8, Matrix!$D$6)=0, "", _xll.IMDP("IR", $H52, CQ$8, Matrix!$D$6)), "")</f>
        <v>3.3370000000000002</v>
      </c>
      <c r="CR52" cm="1">
        <f t="array" aca="1" ref="CR52" ca="1">IF( AND($H$7,NOT(ISBLANK($H52))), IF( _xll.IMDP("IR", $H52, CR$8, Matrix!$D$6)=0, "", _xll.IMDP("IR", $H52, CR$8, Matrix!$D$6)), "")</f>
        <v>3.2970000000000002</v>
      </c>
      <c r="CS52" cm="1">
        <f t="array" aca="1" ref="CS52" ca="1">IF( AND($H$7,NOT(ISBLANK($H52))), IF( _xll.IMDP("IR", $H52, CS$8, Matrix!$D$6)=0, "", _xll.IMDP("IR", $H52, CS$8, Matrix!$D$6)), "")</f>
        <v>3.274</v>
      </c>
      <c r="CT52" cm="1">
        <f t="array" aca="1" ref="CT52" ca="1">IF( AND($H$7,NOT(ISBLANK($H52))), IF( _xll.IMDP("IR", $H52, CT$8, Matrix!$D$6)=0, "", _xll.IMDP("IR", $H52, CT$8, Matrix!$D$6)), "")</f>
        <v>3.2440000000000002</v>
      </c>
      <c r="CU52" cm="1">
        <f t="array" aca="1" ref="CU52" ca="1">IF( AND($H$7,NOT(ISBLANK($H52))), IF( _xll.IMDP("IR", $H52, CU$8, Matrix!$D$6)=0, "", _xll.IMDP("IR", $H52, CU$8, Matrix!$D$6)), "")</f>
        <v>3.2250000000000001</v>
      </c>
      <c r="CV52" cm="1">
        <f t="array" aca="1" ref="CV52" ca="1">IF( AND($H$7,NOT(ISBLANK($H52))), IF( _xll.IMDP("IR", $H52, CV$8, Matrix!$D$6)=0, "", _xll.IMDP("IR", $H52, CV$8, Matrix!$D$6)), "")</f>
        <v>3.2170000000000001</v>
      </c>
      <c r="CW52" t="str" cm="1">
        <f t="array" aca="1" ref="CW52" ca="1">IF( AND($H$7,NOT(ISBLANK($H52))), IF( _xll.IMDP("IR", $H52, CW$8, Matrix!$D$6)=0, "", _xll.IMDP("IR", $H52, CW$8, Matrix!$D$6)), "")</f>
        <v/>
      </c>
      <c r="CX52" cm="1">
        <f t="array" aca="1" ref="CX52" ca="1">IF( AND($H$7,NOT(ISBLANK($H52))), IF( _xll.IMDP("IR", $H52, CX$8, Matrix!$D$6)=0, "", _xll.IMDP("IR", $H52, CX$8, Matrix!$D$6)), "")</f>
        <v>3.214</v>
      </c>
      <c r="CY52" t="str" cm="1">
        <f t="array" aca="1" ref="CY52" ca="1">IF( AND($H$7,NOT(ISBLANK($H52))), IF( _xll.IMDP("IR", $H52, CY$8, Matrix!$D$6)=0, "", _xll.IMDP("IR", $H52, CY$8, Matrix!$D$6)), "")</f>
        <v/>
      </c>
      <c r="CZ52" t="str" cm="1">
        <f t="array" aca="1" ref="CZ52" ca="1">IF( AND($H$7,NOT(ISBLANK($H52))), IF( _xll.IMDP("IR", $H52, CZ$8, Matrix!$D$6)=0, "", _xll.IMDP("IR", $H52, CZ$8, Matrix!$D$6)), "")</f>
        <v/>
      </c>
      <c r="DA52" t="str" cm="1">
        <f t="array" aca="1" ref="DA52" ca="1">IF( AND($H$7,NOT(ISBLANK($H52))), IF( _xll.IMDP("IR", $H52, DA$8, Matrix!$D$6)=0, "", _xll.IMDP("IR", $H52, DA$8, Matrix!$D$6)), "")</f>
        <v/>
      </c>
      <c r="DB52" t="str" cm="1">
        <f t="array" aca="1" ref="DB52" ca="1">IF( AND($H$7,NOT(ISBLANK($H52))), IF( _xll.IMDP("IR", $H52, DB$8, Matrix!$D$6)=0, "", _xll.IMDP("IR", $H52, DB$8, Matrix!$D$6)), "")</f>
        <v/>
      </c>
      <c r="DC52" t="str" cm="1">
        <f t="array" aca="1" ref="DC52" ca="1">IF( AND($H$7,NOT(ISBLANK($H52))), IF( _xll.IMDP("IR", $H52, DC$8, Matrix!$D$6)=0, "", _xll.IMDP("IR", $H52, DC$8, Matrix!$D$6)), "")</f>
        <v/>
      </c>
      <c r="DD52" t="str" cm="1">
        <f t="array" aca="1" ref="DD52" ca="1">IF( AND($H$7,NOT(ISBLANK($H52))), IF( _xll.IMDP("IR", $H52, DD$8, Matrix!$D$6)=0, "", _xll.IMDP("IR", $H52, DD$8, Matrix!$D$6)), "")</f>
        <v/>
      </c>
    </row>
    <row r="53" spans="2:108">
      <c r="B53" t="s">
        <v>121</v>
      </c>
      <c r="C53" t="s">
        <v>195</v>
      </c>
      <c r="D53" t="s">
        <v>267</v>
      </c>
      <c r="E53" t="s">
        <v>529</v>
      </c>
      <c r="G53" t="s">
        <v>461</v>
      </c>
      <c r="H53" t="s">
        <v>508</v>
      </c>
      <c r="M53" s="21">
        <f t="shared" ca="1" si="1"/>
        <v>3.437242034808667</v>
      </c>
      <c r="N53" s="21">
        <f t="shared" ca="1" si="2"/>
        <v>3.420975765130216</v>
      </c>
      <c r="O53" s="21">
        <f t="shared" ca="1" si="3"/>
        <v>3.3702481920776046</v>
      </c>
      <c r="P53" s="21">
        <f t="shared" ca="1" si="4"/>
        <v>3.3364981650510797</v>
      </c>
      <c r="Q53" s="21">
        <f t="shared" ca="1" si="5"/>
        <v>3.3325580375357307</v>
      </c>
      <c r="R53" s="21">
        <f t="shared" ca="1" si="6"/>
        <v>3.341248581142251</v>
      </c>
      <c r="S53" s="21">
        <f t="shared" ca="1" si="7"/>
        <v>3.3458957951447705</v>
      </c>
      <c r="T53" s="21">
        <f t="shared" ca="1" si="8"/>
        <v>3.3618336224460719</v>
      </c>
      <c r="U53" s="21">
        <f t="shared" ca="1" si="9"/>
        <v>3.3471721702107029</v>
      </c>
      <c r="V53" s="21">
        <f t="shared" ca="1" si="10"/>
        <v>3.3694382435140224</v>
      </c>
      <c r="W53" s="21">
        <f t="shared" ca="1" si="11"/>
        <v>3.521694983685498</v>
      </c>
      <c r="X53" s="21">
        <f t="shared" ca="1" si="12"/>
        <v>3.7960702694591357</v>
      </c>
      <c r="Y53" s="21">
        <f t="shared" ca="1" si="13"/>
        <v>4.0003723755622014</v>
      </c>
      <c r="Z53" s="21">
        <f t="shared" ca="1" si="14"/>
        <v>4.279017720979823</v>
      </c>
      <c r="AA53" s="21" t="e">
        <f t="shared" ca="1" si="15"/>
        <v>#NUM!</v>
      </c>
      <c r="AB53" s="21" t="e">
        <f t="shared" ca="1" si="16"/>
        <v>#NUM!</v>
      </c>
      <c r="AC53" cm="1">
        <f t="array" aca="1" ref="AC53" ca="1">IF( AND($D$7,NOT(ISBLANK($D53))), IF(_xll.IMDP("IR", $D53, AC$8, Matrix!$D$6)=0,"",_xll.IMDP("IR", $D53, AC$8, Matrix!$D$6)), "")</f>
        <v>3.4249999999999998</v>
      </c>
      <c r="AD53" cm="1">
        <f t="array" aca="1" ref="AD53" ca="1">IF( AND($D$7,NOT(ISBLANK($D53))), IF(_xll.IMDP("IR", $D53, AD$8, Matrix!$D$6)=0,"",_xll.IMDP("IR", $D53, AD$8, Matrix!$D$6)), "")</f>
        <v>3.4</v>
      </c>
      <c r="AE53" cm="1">
        <f t="array" aca="1" ref="AE53" ca="1">IF( AND($D$7,NOT(ISBLANK($D53))), IF(_xll.IMDP("IR", $D53, AE$8, Matrix!$D$6)=0,"",_xll.IMDP("IR", $D53, AE$8, Matrix!$D$6)), "")</f>
        <v>3.3679999999999999</v>
      </c>
      <c r="AF53" cm="1">
        <f t="array" aca="1" ref="AF53" ca="1">IF( AND($D$7,NOT(ISBLANK($D53))), IF(_xll.IMDP("IR", $D53, AF$8, Matrix!$D$6)=0,"",_xll.IMDP("IR", $D53, AF$8, Matrix!$D$6)), "")</f>
        <v>3.3330000000000002</v>
      </c>
      <c r="AG53" cm="1">
        <f t="array" aca="1" ref="AG53" ca="1">IF( AND($D$7,NOT(ISBLANK($D53))), IF(_xll.IMDP("IR", $D53, AG$8, Matrix!$D$6)=0,"",_xll.IMDP("IR", $D53, AG$8, Matrix!$D$6)), "")</f>
        <v>3.3879999999999999</v>
      </c>
      <c r="AH53" cm="1">
        <f t="array" aca="1" ref="AH53" ca="1">IF( AND($D$7,NOT(ISBLANK($D53))), IF(_xll.IMDP("IR", $D53, AH$8, Matrix!$D$6)=0,"",_xll.IMDP("IR", $D53, AH$8, Matrix!$D$6)), "")</f>
        <v>3.4769999999999999</v>
      </c>
      <c r="AI53" cm="1">
        <f t="array" aca="1" ref="AI53" ca="1">IF( AND($D$7,NOT(ISBLANK($D53))), IF(_xll.IMDP("IR", $D53, AI$8, Matrix!$D$6)=0,"",_xll.IMDP("IR", $D53, AI$8, Matrix!$D$6)), "")</f>
        <v>3.5169999999999999</v>
      </c>
      <c r="AJ53" cm="1">
        <f t="array" aca="1" ref="AJ53" ca="1">IF( AND($D$7,NOT(ISBLANK($D53))), IF(_xll.IMDP("IR", $D53, AJ$8, Matrix!$D$6)=0,"",_xll.IMDP("IR", $D53, AJ$8, Matrix!$D$6)), "")</f>
        <v>3.55</v>
      </c>
      <c r="AK53" cm="1">
        <f t="array" aca="1" ref="AK53" ca="1">IF( AND($D$7,NOT(ISBLANK($D53))), IF(_xll.IMDP("IR", $D53, AK$8, Matrix!$D$6)=0,"",_xll.IMDP("IR", $D53, AK$8, Matrix!$D$6)), "")</f>
        <v>3.5339999999999998</v>
      </c>
      <c r="AL53" cm="1">
        <f t="array" aca="1" ref="AL53" ca="1">IF( AND($D$7,NOT(ISBLANK($D53))), IF(_xll.IMDP("IR", $D53, AL$8, Matrix!$D$6)=0,"",_xll.IMDP("IR", $D53, AL$8, Matrix!$D$6)), "")</f>
        <v>3.5619999999999998</v>
      </c>
      <c r="AM53" cm="1">
        <f t="array" aca="1" ref="AM53" ca="1">IF( AND($D$7,NOT(ISBLANK($D53))), IF(_xll.IMDP("IR", $D53, AM$8, Matrix!$D$6)=0,"",_xll.IMDP("IR", $D53, AM$8, Matrix!$D$6)), "")</f>
        <v>3.7429999999999999</v>
      </c>
      <c r="AN53" cm="1">
        <f t="array" aca="1" ref="AN53" ca="1">IF( AND($D$7,NOT(ISBLANK($D53))), IF(_xll.IMDP("IR", $D53, AN$8, Matrix!$D$6)=0,"",_xll.IMDP("IR", $D53, AN$8, Matrix!$D$6)), "")</f>
        <v>4.1399999999999997</v>
      </c>
      <c r="AO53" cm="1">
        <f t="array" aca="1" ref="AO53" ca="1">IF( AND($D$7,NOT(ISBLANK($D53))), IF(_xll.IMDP("IR", $D53, AO$8, Matrix!$D$6)=0,"",_xll.IMDP("IR", $D53, AO$8, Matrix!$D$6)), "")</f>
        <v>4.5090000000000003</v>
      </c>
      <c r="AP53" cm="1">
        <f t="array" aca="1" ref="AP53" ca="1">IF( AND($D$7,NOT(ISBLANK($D53))), IF(_xll.IMDP("IR", $D53, AP$8, Matrix!$D$6)=0,"",_xll.IMDP("IR", $D53, AP$8, Matrix!$D$6)), "")</f>
        <v>5.2679999999999998</v>
      </c>
      <c r="AQ53" t="str" cm="1">
        <f t="array" aca="1" ref="AQ53" ca="1">IF( AND($D$7,NOT(ISBLANK($D53))), IF(_xll.IMDP("IR", $D53, AQ$8, Matrix!$D$6)=0,"",_xll.IMDP("IR", $D53, AQ$8, Matrix!$D$6)), "")</f>
        <v/>
      </c>
      <c r="AR53" t="str" cm="1">
        <f t="array" aca="1" ref="AR53" ca="1">IF( AND($D$7,NOT(ISBLANK($D53))), IF(_xll.IMDP("IR", $D53, AR$8, Matrix!$D$6)=0,"",_xll.IMDP("IR", $D53, AR$8, Matrix!$D$6)), "")</f>
        <v/>
      </c>
      <c r="AS53" cm="1">
        <f t="array" aca="1" ref="AS53" ca="1">IF( AND($E$7,NOT(ISBLANK($E53))), IF( _xll.IMDP("IR", $E53, AS$8, Matrix!$D$6)=0,"",_xll.IMDP("IR", $E53, AS$8, Matrix!$D$6)), "")</f>
        <v>3.444</v>
      </c>
      <c r="AT53" cm="1">
        <f t="array" aca="1" ref="AT53" ca="1">IF( AND($E$7,NOT(ISBLANK($E53))), IF( _xll.IMDP("IR", $E53, AT$8, Matrix!$D$6)=0,"",_xll.IMDP("IR", $E53, AT$8, Matrix!$D$6)), "")</f>
        <v>3.4350000000000001</v>
      </c>
      <c r="AU53" cm="1">
        <f t="array" aca="1" ref="AU53" ca="1">IF( AND($E$7,NOT(ISBLANK($E53))), IF( _xll.IMDP("IR", $E53, AU$8, Matrix!$D$6)=0,"",_xll.IMDP("IR", $E53, AU$8, Matrix!$D$6)), "")</f>
        <v>3.3719999999999999</v>
      </c>
      <c r="AV53" cm="1">
        <f t="array" aca="1" ref="AV53" ca="1">IF( AND($E$7,NOT(ISBLANK($E53))), IF( _xll.IMDP("IR", $E53, AV$8, Matrix!$D$6)=0,"",_xll.IMDP("IR", $E53, AV$8, Matrix!$D$6)), "")</f>
        <v>3.3370000000000002</v>
      </c>
      <c r="AW53" cm="1">
        <f t="array" aca="1" ref="AW53" ca="1">IF( AND($E$7,NOT(ISBLANK($E53))), IF( _xll.IMDP("IR", $E53, AW$8, Matrix!$D$6)=0,"",_xll.IMDP("IR", $E53, AW$8, Matrix!$D$6)), "")</f>
        <v>3.302</v>
      </c>
      <c r="AX53" cm="1">
        <f t="array" aca="1" ref="AX53" ca="1">IF( AND($E$7,NOT(ISBLANK($E53))), IF( _xll.IMDP("IR", $E53, AX$8, Matrix!$D$6)=0,"",_xll.IMDP("IR", $E53, AX$8, Matrix!$D$6)), "")</f>
        <v>3.2810000000000001</v>
      </c>
      <c r="AY53" cm="1">
        <f t="array" aca="1" ref="AY53" ca="1">IF( AND($E$7,NOT(ISBLANK($E53))), IF( _xll.IMDP("IR", $E53, AY$8, Matrix!$D$6)=0,"",_xll.IMDP("IR", $E53, AY$8, Matrix!$D$6)), "")</f>
        <v>3.2690000000000001</v>
      </c>
      <c r="AZ53" cm="1">
        <f t="array" aca="1" ref="AZ53" ca="1">IF( AND($E$7,NOT(ISBLANK($E53))), IF( _xll.IMDP("IR", $E53, AZ$8, Matrix!$D$6)=0,"",_xll.IMDP("IR", $E53, AZ$8, Matrix!$D$6)), "")</f>
        <v>3.28</v>
      </c>
      <c r="BA53" cm="1">
        <f t="array" aca="1" ref="BA53" ca="1">IF( AND($E$7,NOT(ISBLANK($E53))), IF( _xll.IMDP("IR", $E53, BA$8, Matrix!$D$6)=0,"",_xll.IMDP("IR", $E53, BA$8, Matrix!$D$6)), "")</f>
        <v>3.2629999999999999</v>
      </c>
      <c r="BB53" cm="1">
        <f t="array" aca="1" ref="BB53" ca="1">IF( AND($E$7,NOT(ISBLANK($E53))), IF( _xll.IMDP("IR", $E53, BB$8, Matrix!$D$6)=0,"",_xll.IMDP("IR", $E53, BB$8, Matrix!$D$6)), "")</f>
        <v>3.28</v>
      </c>
      <c r="BC53" cm="1">
        <f t="array" aca="1" ref="BC53" ca="1">IF( AND($E$7,NOT(ISBLANK($E53))), IF( _xll.IMDP("IR", $E53, BC$8, Matrix!$D$6)=0,"",_xll.IMDP("IR", $E53, BC$8, Matrix!$D$6)), "")</f>
        <v>3.419</v>
      </c>
      <c r="BD53" cm="1">
        <f t="array" aca="1" ref="BD53" ca="1">IF( AND($E$7,NOT(ISBLANK($E53))), IF( _xll.IMDP("IR", $E53, BD$8, Matrix!$D$6)=0,"",_xll.IMDP("IR", $E53, BD$8, Matrix!$D$6)), "")</f>
        <v>3.649</v>
      </c>
      <c r="BE53" cm="1">
        <f t="array" aca="1" ref="BE53" ca="1">IF( AND($E$7,NOT(ISBLANK($E53))), IF( _xll.IMDP("IR", $E53, BE$8, Matrix!$D$6)=0,"",_xll.IMDP("IR", $E53, BE$8, Matrix!$D$6)), "")</f>
        <v>3.7730000000000001</v>
      </c>
      <c r="BF53" cm="1">
        <f t="array" aca="1" ref="BF53" ca="1">IF( AND($E$7,NOT(ISBLANK($E53))), IF( _xll.IMDP("IR", $E53, BF$8, Matrix!$D$6)=0,"",_xll.IMDP("IR", $E53, BF$8, Matrix!$D$6)), "")</f>
        <v>3.859</v>
      </c>
      <c r="BG53" t="str" cm="1">
        <f t="array" aca="1" ref="BG53" ca="1">IF( AND($E$7,NOT(ISBLANK($E53))), IF( _xll.IMDP("IR", $E53, BG$8, Matrix!$D$6)=0,"",_xll.IMDP("IR", $E53, BG$8, Matrix!$D$6)), "")</f>
        <v/>
      </c>
      <c r="BH53" t="str" cm="1">
        <f t="array" aca="1" ref="BH53" ca="1">IF( AND($E$7,NOT(ISBLANK($E53))), IF( _xll.IMDP("IR", $E53, BH$8, Matrix!$D$6)=0,"",_xll.IMDP("IR", $E53, BH$8, Matrix!$D$6)), "")</f>
        <v/>
      </c>
      <c r="BI53" t="str" cm="1">
        <f t="array" ref="BI53">IF( AND($F$7,NOT(ISBLANK($F53))), IF( _xll.IMDP("IR", $F53, BI$8, Matrix!$D$6)=0,"",_xll.IMDP("IR", $F53, BI$8, Matrix!$D$6)), "")</f>
        <v/>
      </c>
      <c r="BJ53" t="str" cm="1">
        <f t="array" ref="BJ53">IF( AND($F$7,NOT(ISBLANK($F53))), IF( _xll.IMDP("IR", $F53, BJ$8, Matrix!$D$6)=0,"",_xll.IMDP("IR", $F53, BJ$8, Matrix!$D$6)), "")</f>
        <v/>
      </c>
      <c r="BK53" t="str" cm="1">
        <f t="array" ref="BK53">IF( AND($F$7,NOT(ISBLANK($F53))), IF( _xll.IMDP("IR", $F53, BK$8, Matrix!$D$6)=0,"",_xll.IMDP("IR", $F53, BK$8, Matrix!$D$6)), "")</f>
        <v/>
      </c>
      <c r="BL53" t="str" cm="1">
        <f t="array" ref="BL53">IF( AND($F$7,NOT(ISBLANK($F53))), IF( _xll.IMDP("IR", $F53, BL$8, Matrix!$D$6)=0,"",_xll.IMDP("IR", $F53, BL$8, Matrix!$D$6)), "")</f>
        <v/>
      </c>
      <c r="BM53" t="str" cm="1">
        <f t="array" ref="BM53">IF( AND($F$7,NOT(ISBLANK($F53))), IF( _xll.IMDP("IR", $F53, BM$8, Matrix!$D$6)=0,"",_xll.IMDP("IR", $F53, BM$8, Matrix!$D$6)), "")</f>
        <v/>
      </c>
      <c r="BN53" t="str" cm="1">
        <f t="array" ref="BN53">IF( AND($F$7,NOT(ISBLANK($F53))), IF( _xll.IMDP("IR", $F53, BN$8, Matrix!$D$6)=0,"",_xll.IMDP("IR", $F53, BN$8, Matrix!$D$6)), "")</f>
        <v/>
      </c>
      <c r="BO53" t="str" cm="1">
        <f t="array" ref="BO53">IF( AND($F$7,NOT(ISBLANK($F53))), IF( _xll.IMDP("IR", $F53, BO$8, Matrix!$D$6)=0,"",_xll.IMDP("IR", $F53, BO$8, Matrix!$D$6)), "")</f>
        <v/>
      </c>
      <c r="BP53" t="str" cm="1">
        <f t="array" ref="BP53">IF( AND($F$7,NOT(ISBLANK($F53))), IF( _xll.IMDP("IR", $F53, BP$8, Matrix!$D$6)=0,"",_xll.IMDP("IR", $F53, BP$8, Matrix!$D$6)), "")</f>
        <v/>
      </c>
      <c r="BQ53" t="str" cm="1">
        <f t="array" ref="BQ53">IF( AND($F$7,NOT(ISBLANK($F53))), IF( _xll.IMDP("IR", $F53, BQ$8, Matrix!$D$6)=0,"",_xll.IMDP("IR", $F53, BQ$8, Matrix!$D$6)), "")</f>
        <v/>
      </c>
      <c r="BR53" t="str" cm="1">
        <f t="array" ref="BR53">IF( AND($F$7,NOT(ISBLANK($F53))), IF( _xll.IMDP("IR", $F53, BR$8, Matrix!$D$6)=0,"",_xll.IMDP("IR", $F53, BR$8, Matrix!$D$6)), "")</f>
        <v/>
      </c>
      <c r="BS53" t="str" cm="1">
        <f t="array" ref="BS53">IF( AND($F$7,NOT(ISBLANK($F53))), IF( _xll.IMDP("IR", $F53, BS$8, Matrix!$D$6)=0,"",_xll.IMDP("IR", $F53, BS$8, Matrix!$D$6)), "")</f>
        <v/>
      </c>
      <c r="BT53" t="str" cm="1">
        <f t="array" ref="BT53">IF( AND($F$7,NOT(ISBLANK($F53))), IF( _xll.IMDP("IR", $F53, BT$8, Matrix!$D$6)=0,"",_xll.IMDP("IR", $F53, BT$8, Matrix!$D$6)), "")</f>
        <v/>
      </c>
      <c r="BU53" t="str" cm="1">
        <f t="array" ref="BU53">IF( AND($F$7,NOT(ISBLANK($F53))), IF( _xll.IMDP("IR", $F53, BU$8, Matrix!$D$6)=0,"",_xll.IMDP("IR", $F53, BU$8, Matrix!$D$6)), "")</f>
        <v/>
      </c>
      <c r="BV53" t="str" cm="1">
        <f t="array" ref="BV53">IF( AND($F$7,NOT(ISBLANK($F53))), IF( _xll.IMDP("IR", $F53, BV$8, Matrix!$D$6)=0,"",_xll.IMDP("IR", $F53, BV$8, Matrix!$D$6)), "")</f>
        <v/>
      </c>
      <c r="BW53" t="str" cm="1">
        <f t="array" ref="BW53">IF( AND($F$7,NOT(ISBLANK($F53))), IF( _xll.IMDP("IR", $F53, BW$8, Matrix!$D$6)=0,"",_xll.IMDP("IR", $F53, BW$8, Matrix!$D$6)), "")</f>
        <v/>
      </c>
      <c r="BX53" t="str" cm="1">
        <f t="array" ref="BX53">IF( AND($F$7,NOT(ISBLANK($F53))), IF( _xll.IMDP("IR", $F53, BX$8, Matrix!$D$6)=0,"",_xll.IMDP("IR", $F53, BX$8, Matrix!$D$6)), "")</f>
        <v/>
      </c>
      <c r="BY53" cm="1">
        <f t="array" aca="1" ref="BY53" ca="1">IF( AND($G$7,NOT(ISBLANK($G53))), IF( _xll.IMDP("IR", $G53, BY$8, Matrix!$D$6)=0, "", _xll.IMDP("IR", $G53, BY$8, Matrix!$D$6)), "")</f>
        <v>3.4420000000000002</v>
      </c>
      <c r="BZ53" cm="1">
        <f t="array" aca="1" ref="BZ53" ca="1">IF( AND($G$7,NOT(ISBLANK($G53))), IF( _xll.IMDP("IR", $G53, BZ$8, Matrix!$D$6)=0, "", _xll.IMDP("IR", $G53, BZ$8, Matrix!$D$6)), "")</f>
        <v>3.4239999999999999</v>
      </c>
      <c r="CA53" cm="1">
        <f t="array" aca="1" ref="CA53" ca="1">IF( AND($G$7,NOT(ISBLANK($G53))), IF( _xll.IMDP("IR", $G53, CA$8, Matrix!$D$6)=0, "", _xll.IMDP("IR", $G53, CA$8, Matrix!$D$6)), "")</f>
        <v>3.3660000000000001</v>
      </c>
      <c r="CB53" cm="1">
        <f t="array" aca="1" ref="CB53" ca="1">IF( AND($G$7,NOT(ISBLANK($G53))), IF( _xll.IMDP("IR", $G53, CB$8, Matrix!$D$6)=0, "", _xll.IMDP("IR", $G53, CB$8, Matrix!$D$6)), "")</f>
        <v>3.3340000000000001</v>
      </c>
      <c r="CC53" cm="1">
        <f t="array" aca="1" ref="CC53" ca="1">IF( AND($G$7,NOT(ISBLANK($G53))), IF( _xll.IMDP("IR", $G53, CC$8, Matrix!$D$6)=0, "", _xll.IMDP("IR", $G53, CC$8, Matrix!$D$6)), "")</f>
        <v>3.3</v>
      </c>
      <c r="CD53" cm="1">
        <f t="array" aca="1" ref="CD53" ca="1">IF( AND($G$7,NOT(ISBLANK($G53))), IF( _xll.IMDP("IR", $G53, CD$8, Matrix!$D$6)=0, "", _xll.IMDP("IR", $G53, CD$8, Matrix!$D$6)), "")</f>
        <v>3.27</v>
      </c>
      <c r="CE53" cm="1">
        <f t="array" aca="1" ref="CE53" ca="1">IF( AND($G$7,NOT(ISBLANK($G53))), IF( _xll.IMDP("IR", $G53, CE$8, Matrix!$D$6)=0, "", _xll.IMDP("IR", $G53, CE$8, Matrix!$D$6)), "")</f>
        <v>3.254</v>
      </c>
      <c r="CF53" cm="1">
        <f t="array" aca="1" ref="CF53" ca="1">IF( AND($G$7,NOT(ISBLANK($G53))), IF( _xll.IMDP("IR", $G53, CF$8, Matrix!$D$6)=0, "", _xll.IMDP("IR", $G53, CF$8, Matrix!$D$6)), "")</f>
        <v>3.26</v>
      </c>
      <c r="CG53" cm="1">
        <f t="array" aca="1" ref="CG53" ca="1">IF( AND($G$7,NOT(ISBLANK($G53))), IF( _xll.IMDP("IR", $G53, CG$8, Matrix!$D$6)=0, "", _xll.IMDP("IR", $G53, CG$8, Matrix!$D$6)), "")</f>
        <v>3.2519999999999998</v>
      </c>
      <c r="CH53" cm="1">
        <f t="array" aca="1" ref="CH53" ca="1">IF( AND($G$7,NOT(ISBLANK($G53))), IF( _xll.IMDP("IR", $G53, CH$8, Matrix!$D$6)=0, "", _xll.IMDP("IR", $G53, CH$8, Matrix!$D$6)), "")</f>
        <v>3.2629999999999999</v>
      </c>
      <c r="CI53" cm="1">
        <f t="array" aca="1" ref="CI53" ca="1">IF( AND($G$7,NOT(ISBLANK($G53))), IF( _xll.IMDP("IR", $G53, CI$8, Matrix!$D$6)=0, "", _xll.IMDP("IR", $G53, CI$8, Matrix!$D$6)), "")</f>
        <v>3.4129999999999998</v>
      </c>
      <c r="CJ53" cm="1">
        <f t="array" aca="1" ref="CJ53" ca="1">IF( AND($G$7,NOT(ISBLANK($G53))), IF( _xll.IMDP("IR", $G53, CJ$8, Matrix!$D$6)=0, "", _xll.IMDP("IR", $G53, CJ$8, Matrix!$D$6)), "")</f>
        <v>3.621</v>
      </c>
      <c r="CK53" cm="1">
        <f t="array" aca="1" ref="CK53" ca="1">IF( AND($G$7,NOT(ISBLANK($G53))), IF( _xll.IMDP("IR", $G53, CK$8, Matrix!$D$6)=0, "", _xll.IMDP("IR", $G53, CK$8, Matrix!$D$6)), "")</f>
        <v>3.7629999999999999</v>
      </c>
      <c r="CL53" cm="1">
        <f t="array" aca="1" ref="CL53" ca="1">IF( AND($G$7,NOT(ISBLANK($G53))), IF( _xll.IMDP("IR", $G53, CL$8, Matrix!$D$6)=0, "", _xll.IMDP("IR", $G53, CL$8, Matrix!$D$6)), "")</f>
        <v>3.8540000000000001</v>
      </c>
      <c r="CM53" t="str" cm="1">
        <f t="array" aca="1" ref="CM53" ca="1">IF( AND($G$7,NOT(ISBLANK($G53))), IF( _xll.IMDP("IR", $G53, CM$8, Matrix!$D$6)=0, "", _xll.IMDP("IR", $G53, CM$8, Matrix!$D$6)), "")</f>
        <v/>
      </c>
      <c r="CN53" t="str" cm="1">
        <f t="array" aca="1" ref="CN53" ca="1">IF( AND($G$7,NOT(ISBLANK($G53))), IF( _xll.IMDP("IR", $G53, CN$8, Matrix!$D$6)=0, "", _xll.IMDP("IR", $G53, CN$8, Matrix!$D$6)), "")</f>
        <v/>
      </c>
      <c r="CO53" cm="1">
        <f t="array" aca="1" ref="CO53" ca="1">IF( AND($H$7,NOT(ISBLANK($H53))), IF( _xll.IMDP("IR", $H53, CO$8, Matrix!$D$6)=0, "", _xll.IMDP("IR", $H53, CO$8, Matrix!$D$6)), "")</f>
        <v>3.4380000000000002</v>
      </c>
      <c r="CP53" cm="1">
        <f t="array" aca="1" ref="CP53" ca="1">IF( AND($H$7,NOT(ISBLANK($H53))), IF( _xll.IMDP("IR", $H53, CP$8, Matrix!$D$6)=0, "", _xll.IMDP("IR", $H53, CP$8, Matrix!$D$6)), "")</f>
        <v>3.4249999999999998</v>
      </c>
      <c r="CQ53" cm="1">
        <f t="array" aca="1" ref="CQ53" ca="1">IF( AND($H$7,NOT(ISBLANK($H53))), IF( _xll.IMDP("IR", $H53, CQ$8, Matrix!$D$6)=0, "", _xll.IMDP("IR", $H53, CQ$8, Matrix!$D$6)), "")</f>
        <v>3.375</v>
      </c>
      <c r="CR53" cm="1">
        <f t="array" aca="1" ref="CR53" ca="1">IF( AND($H$7,NOT(ISBLANK($H53))), IF( _xll.IMDP("IR", $H53, CR$8, Matrix!$D$6)=0, "", _xll.IMDP("IR", $H53, CR$8, Matrix!$D$6)), "")</f>
        <v>3.3420000000000001</v>
      </c>
      <c r="CS53" cm="1">
        <f t="array" aca="1" ref="CS53" ca="1">IF( AND($H$7,NOT(ISBLANK($H53))), IF( _xll.IMDP("IR", $H53, CS$8, Matrix!$D$6)=0, "", _xll.IMDP("IR", $H53, CS$8, Matrix!$D$6)), "")</f>
        <v>3.3410000000000002</v>
      </c>
      <c r="CT53" cm="1">
        <f t="array" aca="1" ref="CT53" ca="1">IF( AND($H$7,NOT(ISBLANK($H53))), IF( _xll.IMDP("IR", $H53, CT$8, Matrix!$D$6)=0, "", _xll.IMDP("IR", $H53, CT$8, Matrix!$D$6)), "")</f>
        <v>3.3410000000000002</v>
      </c>
      <c r="CU53" cm="1">
        <f t="array" aca="1" ref="CU53" ca="1">IF( AND($H$7,NOT(ISBLANK($H53))), IF( _xll.IMDP("IR", $H53, CU$8, Matrix!$D$6)=0, "", _xll.IMDP("IR", $H53, CU$8, Matrix!$D$6)), "")</f>
        <v>3.35</v>
      </c>
      <c r="CV53" cm="1">
        <f t="array" aca="1" ref="CV53" ca="1">IF( AND($H$7,NOT(ISBLANK($H53))), IF( _xll.IMDP("IR", $H53, CV$8, Matrix!$D$6)=0, "", _xll.IMDP("IR", $H53, CV$8, Matrix!$D$6)), "")</f>
        <v>3.3650000000000002</v>
      </c>
      <c r="CW53" t="str" cm="1">
        <f t="array" aca="1" ref="CW53" ca="1">IF( AND($H$7,NOT(ISBLANK($H53))), IF( _xll.IMDP("IR", $H53, CW$8, Matrix!$D$6)=0, "", _xll.IMDP("IR", $H53, CW$8, Matrix!$D$6)), "")</f>
        <v/>
      </c>
      <c r="CX53" cm="1">
        <f t="array" aca="1" ref="CX53" ca="1">IF( AND($H$7,NOT(ISBLANK($H53))), IF( _xll.IMDP("IR", $H53, CX$8, Matrix!$D$6)=0, "", _xll.IMDP("IR", $H53, CX$8, Matrix!$D$6)), "")</f>
        <v>3.3809999999999998</v>
      </c>
      <c r="CY53" t="str" cm="1">
        <f t="array" aca="1" ref="CY53" ca="1">IF( AND($H$7,NOT(ISBLANK($H53))), IF( _xll.IMDP("IR", $H53, CY$8, Matrix!$D$6)=0, "", _xll.IMDP("IR", $H53, CY$8, Matrix!$D$6)), "")</f>
        <v/>
      </c>
      <c r="CZ53" t="str" cm="1">
        <f t="array" aca="1" ref="CZ53" ca="1">IF( AND($H$7,NOT(ISBLANK($H53))), IF( _xll.IMDP("IR", $H53, CZ$8, Matrix!$D$6)=0, "", _xll.IMDP("IR", $H53, CZ$8, Matrix!$D$6)), "")</f>
        <v/>
      </c>
      <c r="DA53" t="str" cm="1">
        <f t="array" aca="1" ref="DA53" ca="1">IF( AND($H$7,NOT(ISBLANK($H53))), IF( _xll.IMDP("IR", $H53, DA$8, Matrix!$D$6)=0, "", _xll.IMDP("IR", $H53, DA$8, Matrix!$D$6)), "")</f>
        <v/>
      </c>
      <c r="DB53" t="str" cm="1">
        <f t="array" aca="1" ref="DB53" ca="1">IF( AND($H$7,NOT(ISBLANK($H53))), IF( _xll.IMDP("IR", $H53, DB$8, Matrix!$D$6)=0, "", _xll.IMDP("IR", $H53, DB$8, Matrix!$D$6)), "")</f>
        <v/>
      </c>
      <c r="DC53" t="str" cm="1">
        <f t="array" aca="1" ref="DC53" ca="1">IF( AND($H$7,NOT(ISBLANK($H53))), IF( _xll.IMDP("IR", $H53, DC$8, Matrix!$D$6)=0, "", _xll.IMDP("IR", $H53, DC$8, Matrix!$D$6)), "")</f>
        <v/>
      </c>
      <c r="DD53" t="str" cm="1">
        <f t="array" aca="1" ref="DD53" ca="1">IF( AND($H$7,NOT(ISBLANK($H53))), IF( _xll.IMDP("IR", $H53, DD$8, Matrix!$D$6)=0, "", _xll.IMDP("IR", $H53, DD$8, Matrix!$D$6)), "")</f>
        <v/>
      </c>
    </row>
    <row r="54" spans="2:108">
      <c r="B54" t="s">
        <v>122</v>
      </c>
      <c r="C54" t="s">
        <v>196</v>
      </c>
      <c r="D54" t="s">
        <v>268</v>
      </c>
      <c r="E54" t="s">
        <v>530</v>
      </c>
      <c r="G54" t="s">
        <v>462</v>
      </c>
      <c r="H54" t="s">
        <v>509</v>
      </c>
      <c r="M54" s="21">
        <f t="shared" ca="1" si="1"/>
        <v>3.5442290739747011</v>
      </c>
      <c r="N54" s="21">
        <f t="shared" ca="1" si="2"/>
        <v>3.5362381038065234</v>
      </c>
      <c r="O54" s="21">
        <f t="shared" ca="1" si="3"/>
        <v>3.5004291759625699</v>
      </c>
      <c r="P54" s="21">
        <f t="shared" ca="1" si="4"/>
        <v>3.4854292363193728</v>
      </c>
      <c r="Q54" s="21">
        <f t="shared" ca="1" si="5"/>
        <v>3.5074600346719915</v>
      </c>
      <c r="R54" s="21">
        <f t="shared" ca="1" si="6"/>
        <v>3.5025113254084475</v>
      </c>
      <c r="S54" s="21">
        <f t="shared" ca="1" si="7"/>
        <v>3.5194018192636709</v>
      </c>
      <c r="T54" s="21">
        <f t="shared" ca="1" si="8"/>
        <v>3.5372476049107928</v>
      </c>
      <c r="U54" s="21">
        <f t="shared" ca="1" si="9"/>
        <v>3.5081127540103276</v>
      </c>
      <c r="V54" s="21">
        <f t="shared" ca="1" si="10"/>
        <v>3.5944200881747124</v>
      </c>
      <c r="W54" s="21">
        <f t="shared" ca="1" si="11"/>
        <v>3.6757666828704192</v>
      </c>
      <c r="X54" s="21">
        <f t="shared" ca="1" si="12"/>
        <v>4.0750429790591625</v>
      </c>
      <c r="Y54" s="21">
        <f t="shared" ca="1" si="13"/>
        <v>4.4011172145795872</v>
      </c>
      <c r="Z54" s="21">
        <f t="shared" ca="1" si="14"/>
        <v>4.7087851319979297</v>
      </c>
      <c r="AA54" s="21" t="e">
        <f t="shared" ca="1" si="15"/>
        <v>#NUM!</v>
      </c>
      <c r="AB54" s="21" t="e">
        <f t="shared" ca="1" si="16"/>
        <v>#NUM!</v>
      </c>
      <c r="AC54" cm="1">
        <f t="array" aca="1" ref="AC54" ca="1">IF( AND($D$7,NOT(ISBLANK($D54))), IF(_xll.IMDP("IR", $D54, AC$8, Matrix!$D$6)=0,"",_xll.IMDP("IR", $D54, AC$8, Matrix!$D$6)), "")</f>
        <v>3.5649999999999999</v>
      </c>
      <c r="AD54" cm="1">
        <f t="array" aca="1" ref="AD54" ca="1">IF( AND($D$7,NOT(ISBLANK($D54))), IF(_xll.IMDP("IR", $D54, AD$8, Matrix!$D$6)=0,"",_xll.IMDP("IR", $D54, AD$8, Matrix!$D$6)), "")</f>
        <v>3.55</v>
      </c>
      <c r="AE54" cm="1">
        <f t="array" aca="1" ref="AE54" ca="1">IF( AND($D$7,NOT(ISBLANK($D54))), IF(_xll.IMDP("IR", $D54, AE$8, Matrix!$D$6)=0,"",_xll.IMDP("IR", $D54, AE$8, Matrix!$D$6)), "")</f>
        <v>3.5310000000000001</v>
      </c>
      <c r="AF54" cm="1">
        <f t="array" aca="1" ref="AF54" ca="1">IF( AND($D$7,NOT(ISBLANK($D54))), IF(_xll.IMDP("IR", $D54, AF$8, Matrix!$D$6)=0,"",_xll.IMDP("IR", $D54, AF$8, Matrix!$D$6)), "")</f>
        <v>3.51</v>
      </c>
      <c r="AG54" cm="1">
        <f t="array" aca="1" ref="AG54" ca="1">IF( AND($D$7,NOT(ISBLANK($D54))), IF(_xll.IMDP("IR", $D54, AG$8, Matrix!$D$6)=0,"",_xll.IMDP("IR", $D54, AG$8, Matrix!$D$6)), "")</f>
        <v>3.5939999999999999</v>
      </c>
      <c r="AH54" cm="1">
        <f t="array" aca="1" ref="AH54" ca="1">IF( AND($D$7,NOT(ISBLANK($D54))), IF(_xll.IMDP("IR", $D54, AH$8, Matrix!$D$6)=0,"",_xll.IMDP("IR", $D54, AH$8, Matrix!$D$6)), "")</f>
        <v>3.6019999999999999</v>
      </c>
      <c r="AI54" cm="1">
        <f t="array" aca="1" ref="AI54" ca="1">IF( AND($D$7,NOT(ISBLANK($D54))), IF(_xll.IMDP("IR", $D54, AI$8, Matrix!$D$6)=0,"",_xll.IMDP("IR", $D54, AI$8, Matrix!$D$6)), "")</f>
        <v>3.6429999999999998</v>
      </c>
      <c r="AJ54" cm="1">
        <f t="array" aca="1" ref="AJ54" ca="1">IF( AND($D$7,NOT(ISBLANK($D54))), IF(_xll.IMDP("IR", $D54, AJ$8, Matrix!$D$6)=0,"",_xll.IMDP("IR", $D54, AJ$8, Matrix!$D$6)), "")</f>
        <v>3.6829999999999998</v>
      </c>
      <c r="AK54" cm="1">
        <f t="array" aca="1" ref="AK54" ca="1">IF( AND($D$7,NOT(ISBLANK($D54))), IF(_xll.IMDP("IR", $D54, AK$8, Matrix!$D$6)=0,"",_xll.IMDP("IR", $D54, AK$8, Matrix!$D$6)), "")</f>
        <v>3.6739999999999999</v>
      </c>
      <c r="AL54" cm="1">
        <f t="array" aca="1" ref="AL54" ca="1">IF( AND($D$7,NOT(ISBLANK($D54))), IF(_xll.IMDP("IR", $D54, AL$8, Matrix!$D$6)=0,"",_xll.IMDP("IR", $D54, AL$8, Matrix!$D$6)), "")</f>
        <v>3.726</v>
      </c>
      <c r="AM54" cm="1">
        <f t="array" aca="1" ref="AM54" ca="1">IF( AND($D$7,NOT(ISBLANK($D54))), IF(_xll.IMDP("IR", $D54, AM$8, Matrix!$D$6)=0,"",_xll.IMDP("IR", $D54, AM$8, Matrix!$D$6)), "")</f>
        <v>3.83</v>
      </c>
      <c r="AN54" cm="1">
        <f t="array" aca="1" ref="AN54" ca="1">IF( AND($D$7,NOT(ISBLANK($D54))), IF(_xll.IMDP("IR", $D54, AN$8, Matrix!$D$6)=0,"",_xll.IMDP("IR", $D54, AN$8, Matrix!$D$6)), "")</f>
        <v>4.556</v>
      </c>
      <c r="AO54" cm="1">
        <f t="array" aca="1" ref="AO54" ca="1">IF( AND($D$7,NOT(ISBLANK($D54))), IF(_xll.IMDP("IR", $D54, AO$8, Matrix!$D$6)=0,"",_xll.IMDP("IR", $D54, AO$8, Matrix!$D$6)), "")</f>
        <v>5.266</v>
      </c>
      <c r="AP54" cm="1">
        <f t="array" aca="1" ref="AP54" ca="1">IF( AND($D$7,NOT(ISBLANK($D54))), IF(_xll.IMDP("IR", $D54, AP$8, Matrix!$D$6)=0,"",_xll.IMDP("IR", $D54, AP$8, Matrix!$D$6)), "")</f>
        <v>6.1269999999999998</v>
      </c>
      <c r="AQ54" t="str" cm="1">
        <f t="array" aca="1" ref="AQ54" ca="1">IF( AND($D$7,NOT(ISBLANK($D54))), IF(_xll.IMDP("IR", $D54, AQ$8, Matrix!$D$6)=0,"",_xll.IMDP("IR", $D54, AQ$8, Matrix!$D$6)), "")</f>
        <v/>
      </c>
      <c r="AR54" t="str" cm="1">
        <f t="array" aca="1" ref="AR54" ca="1">IF( AND($D$7,NOT(ISBLANK($D54))), IF(_xll.IMDP("IR", $D54, AR$8, Matrix!$D$6)=0,"",_xll.IMDP("IR", $D54, AR$8, Matrix!$D$6)), "")</f>
        <v/>
      </c>
      <c r="AS54" cm="1">
        <f t="array" aca="1" ref="AS54" ca="1">IF( AND($E$7,NOT(ISBLANK($E54))), IF( _xll.IMDP("IR", $E54, AS$8, Matrix!$D$6)=0,"",_xll.IMDP("IR", $E54, AS$8, Matrix!$D$6)), "")</f>
        <v>3.5350000000000001</v>
      </c>
      <c r="AT54" cm="1">
        <f t="array" aca="1" ref="AT54" ca="1">IF( AND($E$7,NOT(ISBLANK($E54))), IF( _xll.IMDP("IR", $E54, AT$8, Matrix!$D$6)=0,"",_xll.IMDP("IR", $E54, AT$8, Matrix!$D$6)), "")</f>
        <v>3.532</v>
      </c>
      <c r="AU54" cm="1">
        <f t="array" aca="1" ref="AU54" ca="1">IF( AND($E$7,NOT(ISBLANK($E54))), IF( _xll.IMDP("IR", $E54, AU$8, Matrix!$D$6)=0,"",_xll.IMDP("IR", $E54, AU$8, Matrix!$D$6)), "")</f>
        <v>3.484</v>
      </c>
      <c r="AV54" cm="1">
        <f t="array" aca="1" ref="AV54" ca="1">IF( AND($E$7,NOT(ISBLANK($E54))), IF( _xll.IMDP("IR", $E54, AV$8, Matrix!$D$6)=0,"",_xll.IMDP("IR", $E54, AV$8, Matrix!$D$6)), "")</f>
        <v>3.4670000000000001</v>
      </c>
      <c r="AW54" cm="1">
        <f t="array" aca="1" ref="AW54" ca="1">IF( AND($E$7,NOT(ISBLANK($E54))), IF( _xll.IMDP("IR", $E54, AW$8, Matrix!$D$6)=0,"",_xll.IMDP("IR", $E54, AW$8, Matrix!$D$6)), "")</f>
        <v>3.45</v>
      </c>
      <c r="AX54" cm="1">
        <f t="array" aca="1" ref="AX54" ca="1">IF( AND($E$7,NOT(ISBLANK($E54))), IF( _xll.IMDP("IR", $E54, AX$8, Matrix!$D$6)=0,"",_xll.IMDP("IR", $E54, AX$8, Matrix!$D$6)), "")</f>
        <v>3.44</v>
      </c>
      <c r="AY54" cm="1">
        <f t="array" aca="1" ref="AY54" ca="1">IF( AND($E$7,NOT(ISBLANK($E54))), IF( _xll.IMDP("IR", $E54, AY$8, Matrix!$D$6)=0,"",_xll.IMDP("IR", $E54, AY$8, Matrix!$D$6)), "")</f>
        <v>3.4449999999999998</v>
      </c>
      <c r="AZ54" cm="1">
        <f t="array" aca="1" ref="AZ54" ca="1">IF( AND($E$7,NOT(ISBLANK($E54))), IF( _xll.IMDP("IR", $E54, AZ$8, Matrix!$D$6)=0,"",_xll.IMDP("IR", $E54, AZ$8, Matrix!$D$6)), "")</f>
        <v>3.4510000000000001</v>
      </c>
      <c r="BA54" cm="1">
        <f t="array" aca="1" ref="BA54" ca="1">IF( AND($E$7,NOT(ISBLANK($E54))), IF( _xll.IMDP("IR", $E54, BA$8, Matrix!$D$6)=0,"",_xll.IMDP("IR", $E54, BA$8, Matrix!$D$6)), "")</f>
        <v>3.4260000000000002</v>
      </c>
      <c r="BB54" cm="1">
        <f t="array" aca="1" ref="BB54" ca="1">IF( AND($E$7,NOT(ISBLANK($E54))), IF( _xll.IMDP("IR", $E54, BB$8, Matrix!$D$6)=0,"",_xll.IMDP("IR", $E54, BB$8, Matrix!$D$6)), "")</f>
        <v>3.4689999999999999</v>
      </c>
      <c r="BC54" cm="1">
        <f t="array" aca="1" ref="BC54" ca="1">IF( AND($E$7,NOT(ISBLANK($E54))), IF( _xll.IMDP("IR", $E54, BC$8, Matrix!$D$6)=0,"",_xll.IMDP("IR", $E54, BC$8, Matrix!$D$6)), "")</f>
        <v>3.5950000000000002</v>
      </c>
      <c r="BD54" cm="1">
        <f t="array" aca="1" ref="BD54" ca="1">IF( AND($E$7,NOT(ISBLANK($E54))), IF( _xll.IMDP("IR", $E54, BD$8, Matrix!$D$6)=0,"",_xll.IMDP("IR", $E54, BD$8, Matrix!$D$6)), "")</f>
        <v>3.8730000000000002</v>
      </c>
      <c r="BE54" cm="1">
        <f t="array" aca="1" ref="BE54" ca="1">IF( AND($E$7,NOT(ISBLANK($E54))), IF( _xll.IMDP("IR", $E54, BE$8, Matrix!$D$6)=0,"",_xll.IMDP("IR", $E54, BE$8, Matrix!$D$6)), "")</f>
        <v>4.0250000000000004</v>
      </c>
      <c r="BF54" cm="1">
        <f t="array" aca="1" ref="BF54" ca="1">IF( AND($E$7,NOT(ISBLANK($E54))), IF( _xll.IMDP("IR", $E54, BF$8, Matrix!$D$6)=0,"",_xll.IMDP("IR", $E54, BF$8, Matrix!$D$6)), "")</f>
        <v>4.1230000000000002</v>
      </c>
      <c r="BG54" t="str" cm="1">
        <f t="array" aca="1" ref="BG54" ca="1">IF( AND($E$7,NOT(ISBLANK($E54))), IF( _xll.IMDP("IR", $E54, BG$8, Matrix!$D$6)=0,"",_xll.IMDP("IR", $E54, BG$8, Matrix!$D$6)), "")</f>
        <v/>
      </c>
      <c r="BH54" t="str" cm="1">
        <f t="array" aca="1" ref="BH54" ca="1">IF( AND($E$7,NOT(ISBLANK($E54))), IF( _xll.IMDP("IR", $E54, BH$8, Matrix!$D$6)=0,"",_xll.IMDP("IR", $E54, BH$8, Matrix!$D$6)), "")</f>
        <v/>
      </c>
      <c r="BI54" t="str" cm="1">
        <f t="array" ref="BI54">IF( AND($F$7,NOT(ISBLANK($F54))), IF( _xll.IMDP("IR", $F54, BI$8, Matrix!$D$6)=0,"",_xll.IMDP("IR", $F54, BI$8, Matrix!$D$6)), "")</f>
        <v/>
      </c>
      <c r="BJ54" t="str" cm="1">
        <f t="array" ref="BJ54">IF( AND($F$7,NOT(ISBLANK($F54))), IF( _xll.IMDP("IR", $F54, BJ$8, Matrix!$D$6)=0,"",_xll.IMDP("IR", $F54, BJ$8, Matrix!$D$6)), "")</f>
        <v/>
      </c>
      <c r="BK54" t="str" cm="1">
        <f t="array" ref="BK54">IF( AND($F$7,NOT(ISBLANK($F54))), IF( _xll.IMDP("IR", $F54, BK$8, Matrix!$D$6)=0,"",_xll.IMDP("IR", $F54, BK$8, Matrix!$D$6)), "")</f>
        <v/>
      </c>
      <c r="BL54" t="str" cm="1">
        <f t="array" ref="BL54">IF( AND($F$7,NOT(ISBLANK($F54))), IF( _xll.IMDP("IR", $F54, BL$8, Matrix!$D$6)=0,"",_xll.IMDP("IR", $F54, BL$8, Matrix!$D$6)), "")</f>
        <v/>
      </c>
      <c r="BM54" t="str" cm="1">
        <f t="array" ref="BM54">IF( AND($F$7,NOT(ISBLANK($F54))), IF( _xll.IMDP("IR", $F54, BM$8, Matrix!$D$6)=0,"",_xll.IMDP("IR", $F54, BM$8, Matrix!$D$6)), "")</f>
        <v/>
      </c>
      <c r="BN54" t="str" cm="1">
        <f t="array" ref="BN54">IF( AND($F$7,NOT(ISBLANK($F54))), IF( _xll.IMDP("IR", $F54, BN$8, Matrix!$D$6)=0,"",_xll.IMDP("IR", $F54, BN$8, Matrix!$D$6)), "")</f>
        <v/>
      </c>
      <c r="BO54" t="str" cm="1">
        <f t="array" ref="BO54">IF( AND($F$7,NOT(ISBLANK($F54))), IF( _xll.IMDP("IR", $F54, BO$8, Matrix!$D$6)=0,"",_xll.IMDP("IR", $F54, BO$8, Matrix!$D$6)), "")</f>
        <v/>
      </c>
      <c r="BP54" t="str" cm="1">
        <f t="array" ref="BP54">IF( AND($F$7,NOT(ISBLANK($F54))), IF( _xll.IMDP("IR", $F54, BP$8, Matrix!$D$6)=0,"",_xll.IMDP("IR", $F54, BP$8, Matrix!$D$6)), "")</f>
        <v/>
      </c>
      <c r="BQ54" t="str" cm="1">
        <f t="array" ref="BQ54">IF( AND($F$7,NOT(ISBLANK($F54))), IF( _xll.IMDP("IR", $F54, BQ$8, Matrix!$D$6)=0,"",_xll.IMDP("IR", $F54, BQ$8, Matrix!$D$6)), "")</f>
        <v/>
      </c>
      <c r="BR54" t="str" cm="1">
        <f t="array" ref="BR54">IF( AND($F$7,NOT(ISBLANK($F54))), IF( _xll.IMDP("IR", $F54, BR$8, Matrix!$D$6)=0,"",_xll.IMDP("IR", $F54, BR$8, Matrix!$D$6)), "")</f>
        <v/>
      </c>
      <c r="BS54" t="str" cm="1">
        <f t="array" ref="BS54">IF( AND($F$7,NOT(ISBLANK($F54))), IF( _xll.IMDP("IR", $F54, BS$8, Matrix!$D$6)=0,"",_xll.IMDP("IR", $F54, BS$8, Matrix!$D$6)), "")</f>
        <v/>
      </c>
      <c r="BT54" t="str" cm="1">
        <f t="array" ref="BT54">IF( AND($F$7,NOT(ISBLANK($F54))), IF( _xll.IMDP("IR", $F54, BT$8, Matrix!$D$6)=0,"",_xll.IMDP("IR", $F54, BT$8, Matrix!$D$6)), "")</f>
        <v/>
      </c>
      <c r="BU54" t="str" cm="1">
        <f t="array" ref="BU54">IF( AND($F$7,NOT(ISBLANK($F54))), IF( _xll.IMDP("IR", $F54, BU$8, Matrix!$D$6)=0,"",_xll.IMDP("IR", $F54, BU$8, Matrix!$D$6)), "")</f>
        <v/>
      </c>
      <c r="BV54" t="str" cm="1">
        <f t="array" ref="BV54">IF( AND($F$7,NOT(ISBLANK($F54))), IF( _xll.IMDP("IR", $F54, BV$8, Matrix!$D$6)=0,"",_xll.IMDP("IR", $F54, BV$8, Matrix!$D$6)), "")</f>
        <v/>
      </c>
      <c r="BW54" t="str" cm="1">
        <f t="array" ref="BW54">IF( AND($F$7,NOT(ISBLANK($F54))), IF( _xll.IMDP("IR", $F54, BW$8, Matrix!$D$6)=0,"",_xll.IMDP("IR", $F54, BW$8, Matrix!$D$6)), "")</f>
        <v/>
      </c>
      <c r="BX54" t="str" cm="1">
        <f t="array" ref="BX54">IF( AND($F$7,NOT(ISBLANK($F54))), IF( _xll.IMDP("IR", $F54, BX$8, Matrix!$D$6)=0,"",_xll.IMDP("IR", $F54, BX$8, Matrix!$D$6)), "")</f>
        <v/>
      </c>
      <c r="BY54" cm="1">
        <f t="array" aca="1" ref="BY54" ca="1">IF( AND($G$7,NOT(ISBLANK($G54))), IF( _xll.IMDP("IR", $G54, BY$8, Matrix!$D$6)=0, "", _xll.IMDP("IR", $G54, BY$8, Matrix!$D$6)), "")</f>
        <v>3.5409999999999999</v>
      </c>
      <c r="BZ54" cm="1">
        <f t="array" aca="1" ref="BZ54" ca="1">IF( AND($G$7,NOT(ISBLANK($G54))), IF( _xll.IMDP("IR", $G54, BZ$8, Matrix!$D$6)=0, "", _xll.IMDP("IR", $G54, BZ$8, Matrix!$D$6)), "")</f>
        <v>3.5249999999999999</v>
      </c>
      <c r="CA54" cm="1">
        <f t="array" aca="1" ref="CA54" ca="1">IF( AND($G$7,NOT(ISBLANK($G54))), IF( _xll.IMDP("IR", $G54, CA$8, Matrix!$D$6)=0, "", _xll.IMDP("IR", $G54, CA$8, Matrix!$D$6)), "")</f>
        <v>3.4750000000000001</v>
      </c>
      <c r="CB54" cm="1">
        <f t="array" aca="1" ref="CB54" ca="1">IF( AND($G$7,NOT(ISBLANK($G54))), IF( _xll.IMDP("IR", $G54, CB$8, Matrix!$D$6)=0, "", _xll.IMDP("IR", $G54, CB$8, Matrix!$D$6)), "")</f>
        <v>3.46</v>
      </c>
      <c r="CC54" cm="1">
        <f t="array" aca="1" ref="CC54" ca="1">IF( AND($G$7,NOT(ISBLANK($G54))), IF( _xll.IMDP("IR", $G54, CC$8, Matrix!$D$6)=0, "", _xll.IMDP("IR", $G54, CC$8, Matrix!$D$6)), "")</f>
        <v>3.4489999999999998</v>
      </c>
      <c r="CD54" cm="1">
        <f t="array" aca="1" ref="CD54" ca="1">IF( AND($G$7,NOT(ISBLANK($G54))), IF( _xll.IMDP("IR", $G54, CD$8, Matrix!$D$6)=0, "", _xll.IMDP("IR", $G54, CD$8, Matrix!$D$6)), "")</f>
        <v>3.4289999999999998</v>
      </c>
      <c r="CE54" cm="1">
        <f t="array" aca="1" ref="CE54" ca="1">IF( AND($G$7,NOT(ISBLANK($G54))), IF( _xll.IMDP("IR", $G54, CE$8, Matrix!$D$6)=0, "", _xll.IMDP("IR", $G54, CE$8, Matrix!$D$6)), "")</f>
        <v>3.4289999999999998</v>
      </c>
      <c r="CF54" cm="1">
        <f t="array" aca="1" ref="CF54" ca="1">IF( AND($G$7,NOT(ISBLANK($G54))), IF( _xll.IMDP("IR", $G54, CF$8, Matrix!$D$6)=0, "", _xll.IMDP("IR", $G54, CF$8, Matrix!$D$6)), "")</f>
        <v>3.431</v>
      </c>
      <c r="CG54" cm="1">
        <f t="array" aca="1" ref="CG54" ca="1">IF( AND($G$7,NOT(ISBLANK($G54))), IF( _xll.IMDP("IR", $G54, CG$8, Matrix!$D$6)=0, "", _xll.IMDP("IR", $G54, CG$8, Matrix!$D$6)), "")</f>
        <v>3.43</v>
      </c>
      <c r="CH54" cm="1">
        <f t="array" aca="1" ref="CH54" ca="1">IF( AND($G$7,NOT(ISBLANK($G54))), IF( _xll.IMDP("IR", $G54, CH$8, Matrix!$D$6)=0, "", _xll.IMDP("IR", $G54, CH$8, Matrix!$D$6)), "")</f>
        <v>3.4529999999999998</v>
      </c>
      <c r="CI54" cm="1">
        <f t="array" aca="1" ref="CI54" ca="1">IF( AND($G$7,NOT(ISBLANK($G54))), IF( _xll.IMDP("IR", $G54, CI$8, Matrix!$D$6)=0, "", _xll.IMDP("IR", $G54, CI$8, Matrix!$D$6)), "")</f>
        <v>3.6070000000000002</v>
      </c>
      <c r="CJ54" cm="1">
        <f t="array" aca="1" ref="CJ54" ca="1">IF( AND($G$7,NOT(ISBLANK($G54))), IF( _xll.IMDP("IR", $G54, CJ$8, Matrix!$D$6)=0, "", _xll.IMDP("IR", $G54, CJ$8, Matrix!$D$6)), "")</f>
        <v>3.835</v>
      </c>
      <c r="CK54" cm="1">
        <f t="array" aca="1" ref="CK54" ca="1">IF( AND($G$7,NOT(ISBLANK($G54))), IF( _xll.IMDP("IR", $G54, CK$8, Matrix!$D$6)=0, "", _xll.IMDP("IR", $G54, CK$8, Matrix!$D$6)), "")</f>
        <v>4.0220000000000002</v>
      </c>
      <c r="CL54" cm="1">
        <f t="array" aca="1" ref="CL54" ca="1">IF( AND($G$7,NOT(ISBLANK($G54))), IF( _xll.IMDP("IR", $G54, CL$8, Matrix!$D$6)=0, "", _xll.IMDP("IR", $G54, CL$8, Matrix!$D$6)), "")</f>
        <v>4.133</v>
      </c>
      <c r="CM54" t="str" cm="1">
        <f t="array" aca="1" ref="CM54" ca="1">IF( AND($G$7,NOT(ISBLANK($G54))), IF( _xll.IMDP("IR", $G54, CM$8, Matrix!$D$6)=0, "", _xll.IMDP("IR", $G54, CM$8, Matrix!$D$6)), "")</f>
        <v/>
      </c>
      <c r="CN54" t="str" cm="1">
        <f t="array" aca="1" ref="CN54" ca="1">IF( AND($G$7,NOT(ISBLANK($G54))), IF( _xll.IMDP("IR", $G54, CN$8, Matrix!$D$6)=0, "", _xll.IMDP("IR", $G54, CN$8, Matrix!$D$6)), "")</f>
        <v/>
      </c>
      <c r="CO54" cm="1">
        <f t="array" aca="1" ref="CO54" ca="1">IF( AND($H$7,NOT(ISBLANK($H54))), IF( _xll.IMDP("IR", $H54, CO$8, Matrix!$D$6)=0, "", _xll.IMDP("IR", $H54, CO$8, Matrix!$D$6)), "")</f>
        <v>3.536</v>
      </c>
      <c r="CP54" cm="1">
        <f t="array" aca="1" ref="CP54" ca="1">IF( AND($H$7,NOT(ISBLANK($H54))), IF( _xll.IMDP("IR", $H54, CP$8, Matrix!$D$6)=0, "", _xll.IMDP("IR", $H54, CP$8, Matrix!$D$6)), "")</f>
        <v>3.5379999999999998</v>
      </c>
      <c r="CQ54" cm="1">
        <f t="array" aca="1" ref="CQ54" ca="1">IF( AND($H$7,NOT(ISBLANK($H54))), IF( _xll.IMDP("IR", $H54, CQ$8, Matrix!$D$6)=0, "", _xll.IMDP("IR", $H54, CQ$8, Matrix!$D$6)), "")</f>
        <v>3.512</v>
      </c>
      <c r="CR54" cm="1">
        <f t="array" aca="1" ref="CR54" ca="1">IF( AND($H$7,NOT(ISBLANK($H54))), IF( _xll.IMDP("IR", $H54, CR$8, Matrix!$D$6)=0, "", _xll.IMDP("IR", $H54, CR$8, Matrix!$D$6)), "")</f>
        <v>3.5049999999999999</v>
      </c>
      <c r="CS54" cm="1">
        <f t="array" aca="1" ref="CS54" ca="1">IF( AND($H$7,NOT(ISBLANK($H54))), IF( _xll.IMDP("IR", $H54, CS$8, Matrix!$D$6)=0, "", _xll.IMDP("IR", $H54, CS$8, Matrix!$D$6)), "")</f>
        <v>3.5390000000000001</v>
      </c>
      <c r="CT54" cm="1">
        <f t="array" aca="1" ref="CT54" ca="1">IF( AND($H$7,NOT(ISBLANK($H54))), IF( _xll.IMDP("IR", $H54, CT$8, Matrix!$D$6)=0, "", _xll.IMDP("IR", $H54, CT$8, Matrix!$D$6)), "")</f>
        <v>3.5419999999999998</v>
      </c>
      <c r="CU54" cm="1">
        <f t="array" aca="1" ref="CU54" ca="1">IF( AND($H$7,NOT(ISBLANK($H54))), IF( _xll.IMDP("IR", $H54, CU$8, Matrix!$D$6)=0, "", _xll.IMDP("IR", $H54, CU$8, Matrix!$D$6)), "")</f>
        <v>3.5649999999999999</v>
      </c>
      <c r="CV54" cm="1">
        <f t="array" aca="1" ref="CV54" ca="1">IF( AND($H$7,NOT(ISBLANK($H54))), IF( _xll.IMDP("IR", $H54, CV$8, Matrix!$D$6)=0, "", _xll.IMDP("IR", $H54, CV$8, Matrix!$D$6)), "")</f>
        <v>3.59</v>
      </c>
      <c r="CW54" t="str" cm="1">
        <f t="array" aca="1" ref="CW54" ca="1">IF( AND($H$7,NOT(ISBLANK($H54))), IF( _xll.IMDP("IR", $H54, CW$8, Matrix!$D$6)=0, "", _xll.IMDP("IR", $H54, CW$8, Matrix!$D$6)), "")</f>
        <v/>
      </c>
      <c r="CX54" cm="1">
        <f t="array" aca="1" ref="CX54" ca="1">IF( AND($H$7,NOT(ISBLANK($H54))), IF( _xll.IMDP("IR", $H54, CX$8, Matrix!$D$6)=0, "", _xll.IMDP("IR", $H54, CX$8, Matrix!$D$6)), "")</f>
        <v>3.74</v>
      </c>
      <c r="CY54" t="str" cm="1">
        <f t="array" aca="1" ref="CY54" ca="1">IF( AND($H$7,NOT(ISBLANK($H54))), IF( _xll.IMDP("IR", $H54, CY$8, Matrix!$D$6)=0, "", _xll.IMDP("IR", $H54, CY$8, Matrix!$D$6)), "")</f>
        <v/>
      </c>
      <c r="CZ54" t="str" cm="1">
        <f t="array" aca="1" ref="CZ54" ca="1">IF( AND($H$7,NOT(ISBLANK($H54))), IF( _xll.IMDP("IR", $H54, CZ$8, Matrix!$D$6)=0, "", _xll.IMDP("IR", $H54, CZ$8, Matrix!$D$6)), "")</f>
        <v/>
      </c>
      <c r="DA54" t="str" cm="1">
        <f t="array" aca="1" ref="DA54" ca="1">IF( AND($H$7,NOT(ISBLANK($H54))), IF( _xll.IMDP("IR", $H54, DA$8, Matrix!$D$6)=0, "", _xll.IMDP("IR", $H54, DA$8, Matrix!$D$6)), "")</f>
        <v/>
      </c>
      <c r="DB54" t="str" cm="1">
        <f t="array" aca="1" ref="DB54" ca="1">IF( AND($H$7,NOT(ISBLANK($H54))), IF( _xll.IMDP("IR", $H54, DB$8, Matrix!$D$6)=0, "", _xll.IMDP("IR", $H54, DB$8, Matrix!$D$6)), "")</f>
        <v/>
      </c>
      <c r="DC54" t="str" cm="1">
        <f t="array" aca="1" ref="DC54" ca="1">IF( AND($H$7,NOT(ISBLANK($H54))), IF( _xll.IMDP("IR", $H54, DC$8, Matrix!$D$6)=0, "", _xll.IMDP("IR", $H54, DC$8, Matrix!$D$6)), "")</f>
        <v/>
      </c>
      <c r="DD54" t="str" cm="1">
        <f t="array" aca="1" ref="DD54" ca="1">IF( AND($H$7,NOT(ISBLANK($H54))), IF( _xll.IMDP("IR", $H54, DD$8, Matrix!$D$6)=0, "", _xll.IMDP("IR", $H54, DD$8, Matrix!$D$6)), "")</f>
        <v/>
      </c>
    </row>
    <row r="55" spans="2:108">
      <c r="B55" t="s">
        <v>123</v>
      </c>
      <c r="C55" t="s">
        <v>197</v>
      </c>
      <c r="D55" t="s">
        <v>269</v>
      </c>
      <c r="E55" t="s">
        <v>531</v>
      </c>
      <c r="G55" t="s">
        <v>463</v>
      </c>
      <c r="H55" t="s">
        <v>510</v>
      </c>
      <c r="M55" s="21">
        <f t="shared" ca="1" si="1"/>
        <v>3.5540870191979193</v>
      </c>
      <c r="N55" s="21">
        <f t="shared" ca="1" si="2"/>
        <v>3.6493526760770245</v>
      </c>
      <c r="O55" s="21">
        <f t="shared" ca="1" si="3"/>
        <v>3.710187420070997</v>
      </c>
      <c r="P55" s="21">
        <f t="shared" ca="1" si="4"/>
        <v>3.7281645907574514</v>
      </c>
      <c r="Q55" s="21">
        <f t="shared" ca="1" si="5"/>
        <v>3.8461462275834748</v>
      </c>
      <c r="R55" s="21">
        <f t="shared" ca="1" si="6"/>
        <v>3.9680235187934496</v>
      </c>
      <c r="S55" s="21">
        <f t="shared" ca="1" si="7"/>
        <v>4.0372330765050828</v>
      </c>
      <c r="T55" s="21">
        <f t="shared" ca="1" si="8"/>
        <v>4.1096942564601378</v>
      </c>
      <c r="U55" s="21">
        <f t="shared" ca="1" si="9"/>
        <v>4.0767825354806151</v>
      </c>
      <c r="V55" s="21">
        <f t="shared" ca="1" si="10"/>
        <v>4.1920251382858043</v>
      </c>
      <c r="W55" s="21">
        <f t="shared" ca="1" si="11"/>
        <v>4.2364629170169472</v>
      </c>
      <c r="X55" s="21">
        <f t="shared" ca="1" si="12"/>
        <v>4.6110987437880375</v>
      </c>
      <c r="Y55" s="21">
        <f t="shared" ca="1" si="13"/>
        <v>4.9381064397006051</v>
      </c>
      <c r="Z55" s="21">
        <f t="shared" ca="1" si="14"/>
        <v>5.1220148521539803</v>
      </c>
      <c r="AA55" s="21" t="e">
        <f t="shared" ca="1" si="15"/>
        <v>#NUM!</v>
      </c>
      <c r="AB55" s="21" t="e">
        <f t="shared" ca="1" si="16"/>
        <v>#NUM!</v>
      </c>
      <c r="AC55" cm="1">
        <f t="array" aca="1" ref="AC55" ca="1">IF( AND($D$7,NOT(ISBLANK($D55))), IF(_xll.IMDP("IR", $D55, AC$8, Matrix!$D$6)=0,"",_xll.IMDP("IR", $D55, AC$8, Matrix!$D$6)), "")</f>
        <v>3.8239999999999998</v>
      </c>
      <c r="AD55" cm="1">
        <f t="array" aca="1" ref="AD55" ca="1">IF( AND($D$7,NOT(ISBLANK($D55))), IF(_xll.IMDP("IR", $D55, AD$8, Matrix!$D$6)=0,"",_xll.IMDP("IR", $D55, AD$8, Matrix!$D$6)), "")</f>
        <v>4.1719999999999997</v>
      </c>
      <c r="AE55" cm="1">
        <f t="array" aca="1" ref="AE55" ca="1">IF( AND($D$7,NOT(ISBLANK($D55))), IF(_xll.IMDP("IR", $D55, AE$8, Matrix!$D$6)=0,"",_xll.IMDP("IR", $D55, AE$8, Matrix!$D$6)), "")</f>
        <v>4.5</v>
      </c>
      <c r="AF55" cm="1">
        <f t="array" aca="1" ref="AF55" ca="1">IF( AND($D$7,NOT(ISBLANK($D55))), IF(_xll.IMDP("IR", $D55, AF$8, Matrix!$D$6)=0,"",_xll.IMDP("IR", $D55, AF$8, Matrix!$D$6)), "")</f>
        <v>4.6449999999999996</v>
      </c>
      <c r="AG55" cm="1">
        <f t="array" aca="1" ref="AG55" ca="1">IF( AND($D$7,NOT(ISBLANK($D55))), IF(_xll.IMDP("IR", $D55, AG$8, Matrix!$D$6)=0,"",_xll.IMDP("IR", $D55, AG$8, Matrix!$D$6)), "")</f>
        <v>4.9969999999999999</v>
      </c>
      <c r="AH55" cm="1">
        <f t="array" aca="1" ref="AH55" ca="1">IF( AND($D$7,NOT(ISBLANK($D55))), IF(_xll.IMDP("IR", $D55, AH$8, Matrix!$D$6)=0,"",_xll.IMDP("IR", $D55, AH$8, Matrix!$D$6)), "")</f>
        <v>5.4960000000000004</v>
      </c>
      <c r="AI55" cm="1">
        <f t="array" aca="1" ref="AI55" ca="1">IF( AND($D$7,NOT(ISBLANK($D55))), IF(_xll.IMDP("IR", $D55, AI$8, Matrix!$D$6)=0,"",_xll.IMDP("IR", $D55, AI$8, Matrix!$D$6)), "")</f>
        <v>5.7779999999999996</v>
      </c>
      <c r="AJ55" cm="1">
        <f t="array" aca="1" ref="AJ55" ca="1">IF( AND($D$7,NOT(ISBLANK($D55))), IF(_xll.IMDP("IR", $D55, AJ$8, Matrix!$D$6)=0,"",_xll.IMDP("IR", $D55, AJ$8, Matrix!$D$6)), "")</f>
        <v>6.0410000000000004</v>
      </c>
      <c r="AK55" cm="1">
        <f t="array" aca="1" ref="AK55" ca="1">IF( AND($D$7,NOT(ISBLANK($D55))), IF(_xll.IMDP("IR", $D55, AK$8, Matrix!$D$6)=0,"",_xll.IMDP("IR", $D55, AK$8, Matrix!$D$6)), "")</f>
        <v>6.226</v>
      </c>
      <c r="AL55" cm="1">
        <f t="array" aca="1" ref="AL55" ca="1">IF( AND($D$7,NOT(ISBLANK($D55))), IF(_xll.IMDP("IR", $D55, AL$8, Matrix!$D$6)=0,"",_xll.IMDP("IR", $D55, AL$8, Matrix!$D$6)), "")</f>
        <v>6.2519999999999998</v>
      </c>
      <c r="AM55" cm="1">
        <f t="array" aca="1" ref="AM55" ca="1">IF( AND($D$7,NOT(ISBLANK($D55))), IF(_xll.IMDP("IR", $D55, AM$8, Matrix!$D$6)=0,"",_xll.IMDP("IR", $D55, AM$8, Matrix!$D$6)), "")</f>
        <v>6.2770000000000001</v>
      </c>
      <c r="AN55" cm="1">
        <f t="array" aca="1" ref="AN55" ca="1">IF( AND($D$7,NOT(ISBLANK($D55))), IF(_xll.IMDP("IR", $D55, AN$8, Matrix!$D$6)=0,"",_xll.IMDP("IR", $D55, AN$8, Matrix!$D$6)), "")</f>
        <v>6.5119999999999996</v>
      </c>
      <c r="AO55" cm="1">
        <f t="array" aca="1" ref="AO55" ca="1">IF( AND($D$7,NOT(ISBLANK($D55))), IF(_xll.IMDP("IR", $D55, AO$8, Matrix!$D$6)=0,"",_xll.IMDP("IR", $D55, AO$8, Matrix!$D$6)), "")</f>
        <v>6.8310000000000004</v>
      </c>
      <c r="AP55" cm="1">
        <f t="array" aca="1" ref="AP55" ca="1">IF( AND($D$7,NOT(ISBLANK($D55))), IF(_xll.IMDP("IR", $D55, AP$8, Matrix!$D$6)=0,"",_xll.IMDP("IR", $D55, AP$8, Matrix!$D$6)), "")</f>
        <v>7.1550000000000002</v>
      </c>
      <c r="AQ55" t="str" cm="1">
        <f t="array" aca="1" ref="AQ55" ca="1">IF( AND($D$7,NOT(ISBLANK($D55))), IF(_xll.IMDP("IR", $D55, AQ$8, Matrix!$D$6)=0,"",_xll.IMDP("IR", $D55, AQ$8, Matrix!$D$6)), "")</f>
        <v/>
      </c>
      <c r="AR55" t="str" cm="1">
        <f t="array" aca="1" ref="AR55" ca="1">IF( AND($D$7,NOT(ISBLANK($D55))), IF(_xll.IMDP("IR", $D55, AR$8, Matrix!$D$6)=0,"",_xll.IMDP("IR", $D55, AR$8, Matrix!$D$6)), "")</f>
        <v/>
      </c>
      <c r="AS55" cm="1">
        <f t="array" aca="1" ref="AS55" ca="1">IF( AND($E$7,NOT(ISBLANK($E55))), IF( _xll.IMDP("IR", $E55, AS$8, Matrix!$D$6)=0,"",_xll.IMDP("IR", $E55, AS$8, Matrix!$D$6)), "")</f>
        <v>3.375</v>
      </c>
      <c r="AT55" cm="1">
        <f t="array" aca="1" ref="AT55" ca="1">IF( AND($E$7,NOT(ISBLANK($E55))), IF( _xll.IMDP("IR", $E55, AT$8, Matrix!$D$6)=0,"",_xll.IMDP("IR", $E55, AT$8, Matrix!$D$6)), "")</f>
        <v>3.3660000000000001</v>
      </c>
      <c r="AU55" cm="1">
        <f t="array" aca="1" ref="AU55" ca="1">IF( AND($E$7,NOT(ISBLANK($E55))), IF( _xll.IMDP("IR", $E55, AU$8, Matrix!$D$6)=0,"",_xll.IMDP("IR", $E55, AU$8, Matrix!$D$6)), "")</f>
        <v>3.3290000000000002</v>
      </c>
      <c r="AV55" cm="1">
        <f t="array" aca="1" ref="AV55" ca="1">IF( AND($E$7,NOT(ISBLANK($E55))), IF( _xll.IMDP("IR", $E55, AV$8, Matrix!$D$6)=0,"",_xll.IMDP("IR", $E55, AV$8, Matrix!$D$6)), "")</f>
        <v>3.2959999999999998</v>
      </c>
      <c r="AW55" cm="1">
        <f t="array" aca="1" ref="AW55" ca="1">IF( AND($E$7,NOT(ISBLANK($E55))), IF( _xll.IMDP("IR", $E55, AW$8, Matrix!$D$6)=0,"",_xll.IMDP("IR", $E55, AW$8, Matrix!$D$6)), "")</f>
        <v>3.3380000000000001</v>
      </c>
      <c r="AX55" cm="1">
        <f t="array" aca="1" ref="AX55" ca="1">IF( AND($E$7,NOT(ISBLANK($E55))), IF( _xll.IMDP("IR", $E55, AX$8, Matrix!$D$6)=0,"",_xll.IMDP("IR", $E55, AX$8, Matrix!$D$6)), "")</f>
        <v>3.331</v>
      </c>
      <c r="AY55" cm="1">
        <f t="array" aca="1" ref="AY55" ca="1">IF( AND($E$7,NOT(ISBLANK($E55))), IF( _xll.IMDP("IR", $E55, AY$8, Matrix!$D$6)=0,"",_xll.IMDP("IR", $E55, AY$8, Matrix!$D$6)), "")</f>
        <v>3.31</v>
      </c>
      <c r="AZ55" cm="1">
        <f t="array" aca="1" ref="AZ55" ca="1">IF( AND($E$7,NOT(ISBLANK($E55))), IF( _xll.IMDP("IR", $E55, AZ$8, Matrix!$D$6)=0,"",_xll.IMDP("IR", $E55, AZ$8, Matrix!$D$6)), "")</f>
        <v>3.306</v>
      </c>
      <c r="BA55" cm="1">
        <f t="array" aca="1" ref="BA55" ca="1">IF( AND($E$7,NOT(ISBLANK($E55))), IF( _xll.IMDP("IR", $E55, BA$8, Matrix!$D$6)=0,"",_xll.IMDP("IR", $E55, BA$8, Matrix!$D$6)), "")</f>
        <v>3.2759999999999998</v>
      </c>
      <c r="BB55" cm="1">
        <f t="array" aca="1" ref="BB55" ca="1">IF( AND($E$7,NOT(ISBLANK($E55))), IF( _xll.IMDP("IR", $E55, BB$8, Matrix!$D$6)=0,"",_xll.IMDP("IR", $E55, BB$8, Matrix!$D$6)), "")</f>
        <v>3.2770000000000001</v>
      </c>
      <c r="BC55" cm="1">
        <f t="array" aca="1" ref="BC55" ca="1">IF( AND($E$7,NOT(ISBLANK($E55))), IF( _xll.IMDP("IR", $E55, BC$8, Matrix!$D$6)=0,"",_xll.IMDP("IR", $E55, BC$8, Matrix!$D$6)), "")</f>
        <v>3.5070000000000001</v>
      </c>
      <c r="BD55" cm="1">
        <f t="array" aca="1" ref="BD55" ca="1">IF( AND($E$7,NOT(ISBLANK($E55))), IF( _xll.IMDP("IR", $E55, BD$8, Matrix!$D$6)=0,"",_xll.IMDP("IR", $E55, BD$8, Matrix!$D$6)), "")</f>
        <v>3.9319999999999999</v>
      </c>
      <c r="BE55" cm="1">
        <f t="array" aca="1" ref="BE55" ca="1">IF( AND($E$7,NOT(ISBLANK($E55))), IF( _xll.IMDP("IR", $E55, BE$8, Matrix!$D$6)=0,"",_xll.IMDP("IR", $E55, BE$8, Matrix!$D$6)), "")</f>
        <v>4.2610000000000001</v>
      </c>
      <c r="BF55" cm="1">
        <f t="array" aca="1" ref="BF55" ca="1">IF( AND($E$7,NOT(ISBLANK($E55))), IF( _xll.IMDP("IR", $E55, BF$8, Matrix!$D$6)=0,"",_xll.IMDP("IR", $E55, BF$8, Matrix!$D$6)), "")</f>
        <v>4.3869999999999996</v>
      </c>
      <c r="BG55" t="str" cm="1">
        <f t="array" aca="1" ref="BG55" ca="1">IF( AND($E$7,NOT(ISBLANK($E55))), IF( _xll.IMDP("IR", $E55, BG$8, Matrix!$D$6)=0,"",_xll.IMDP("IR", $E55, BG$8, Matrix!$D$6)), "")</f>
        <v/>
      </c>
      <c r="BH55" t="str" cm="1">
        <f t="array" aca="1" ref="BH55" ca="1">IF( AND($E$7,NOT(ISBLANK($E55))), IF( _xll.IMDP("IR", $E55, BH$8, Matrix!$D$6)=0,"",_xll.IMDP("IR", $E55, BH$8, Matrix!$D$6)), "")</f>
        <v/>
      </c>
      <c r="BI55" t="str" cm="1">
        <f t="array" ref="BI55">IF( AND($F$7,NOT(ISBLANK($F55))), IF( _xll.IMDP("IR", $F55, BI$8, Matrix!$D$6)=0,"",_xll.IMDP("IR", $F55, BI$8, Matrix!$D$6)), "")</f>
        <v/>
      </c>
      <c r="BJ55" t="str" cm="1">
        <f t="array" ref="BJ55">IF( AND($F$7,NOT(ISBLANK($F55))), IF( _xll.IMDP("IR", $F55, BJ$8, Matrix!$D$6)=0,"",_xll.IMDP("IR", $F55, BJ$8, Matrix!$D$6)), "")</f>
        <v/>
      </c>
      <c r="BK55" t="str" cm="1">
        <f t="array" ref="BK55">IF( AND($F$7,NOT(ISBLANK($F55))), IF( _xll.IMDP("IR", $F55, BK$8, Matrix!$D$6)=0,"",_xll.IMDP("IR", $F55, BK$8, Matrix!$D$6)), "")</f>
        <v/>
      </c>
      <c r="BL55" t="str" cm="1">
        <f t="array" ref="BL55">IF( AND($F$7,NOT(ISBLANK($F55))), IF( _xll.IMDP("IR", $F55, BL$8, Matrix!$D$6)=0,"",_xll.IMDP("IR", $F55, BL$8, Matrix!$D$6)), "")</f>
        <v/>
      </c>
      <c r="BM55" t="str" cm="1">
        <f t="array" ref="BM55">IF( AND($F$7,NOT(ISBLANK($F55))), IF( _xll.IMDP("IR", $F55, BM$8, Matrix!$D$6)=0,"",_xll.IMDP("IR", $F55, BM$8, Matrix!$D$6)), "")</f>
        <v/>
      </c>
      <c r="BN55" t="str" cm="1">
        <f t="array" ref="BN55">IF( AND($F$7,NOT(ISBLANK($F55))), IF( _xll.IMDP("IR", $F55, BN$8, Matrix!$D$6)=0,"",_xll.IMDP("IR", $F55, BN$8, Matrix!$D$6)), "")</f>
        <v/>
      </c>
      <c r="BO55" t="str" cm="1">
        <f t="array" ref="BO55">IF( AND($F$7,NOT(ISBLANK($F55))), IF( _xll.IMDP("IR", $F55, BO$8, Matrix!$D$6)=0,"",_xll.IMDP("IR", $F55, BO$8, Matrix!$D$6)), "")</f>
        <v/>
      </c>
      <c r="BP55" t="str" cm="1">
        <f t="array" ref="BP55">IF( AND($F$7,NOT(ISBLANK($F55))), IF( _xll.IMDP("IR", $F55, BP$8, Matrix!$D$6)=0,"",_xll.IMDP("IR", $F55, BP$8, Matrix!$D$6)), "")</f>
        <v/>
      </c>
      <c r="BQ55" t="str" cm="1">
        <f t="array" ref="BQ55">IF( AND($F$7,NOT(ISBLANK($F55))), IF( _xll.IMDP("IR", $F55, BQ$8, Matrix!$D$6)=0,"",_xll.IMDP("IR", $F55, BQ$8, Matrix!$D$6)), "")</f>
        <v/>
      </c>
      <c r="BR55" t="str" cm="1">
        <f t="array" ref="BR55">IF( AND($F$7,NOT(ISBLANK($F55))), IF( _xll.IMDP("IR", $F55, BR$8, Matrix!$D$6)=0,"",_xll.IMDP("IR", $F55, BR$8, Matrix!$D$6)), "")</f>
        <v/>
      </c>
      <c r="BS55" t="str" cm="1">
        <f t="array" ref="BS55">IF( AND($F$7,NOT(ISBLANK($F55))), IF( _xll.IMDP("IR", $F55, BS$8, Matrix!$D$6)=0,"",_xll.IMDP("IR", $F55, BS$8, Matrix!$D$6)), "")</f>
        <v/>
      </c>
      <c r="BT55" t="str" cm="1">
        <f t="array" ref="BT55">IF( AND($F$7,NOT(ISBLANK($F55))), IF( _xll.IMDP("IR", $F55, BT$8, Matrix!$D$6)=0,"",_xll.IMDP("IR", $F55, BT$8, Matrix!$D$6)), "")</f>
        <v/>
      </c>
      <c r="BU55" t="str" cm="1">
        <f t="array" ref="BU55">IF( AND($F$7,NOT(ISBLANK($F55))), IF( _xll.IMDP("IR", $F55, BU$8, Matrix!$D$6)=0,"",_xll.IMDP("IR", $F55, BU$8, Matrix!$D$6)), "")</f>
        <v/>
      </c>
      <c r="BV55" t="str" cm="1">
        <f t="array" ref="BV55">IF( AND($F$7,NOT(ISBLANK($F55))), IF( _xll.IMDP("IR", $F55, BV$8, Matrix!$D$6)=0,"",_xll.IMDP("IR", $F55, BV$8, Matrix!$D$6)), "")</f>
        <v/>
      </c>
      <c r="BW55" t="str" cm="1">
        <f t="array" ref="BW55">IF( AND($F$7,NOT(ISBLANK($F55))), IF( _xll.IMDP("IR", $F55, BW$8, Matrix!$D$6)=0,"",_xll.IMDP("IR", $F55, BW$8, Matrix!$D$6)), "")</f>
        <v/>
      </c>
      <c r="BX55" t="str" cm="1">
        <f t="array" ref="BX55">IF( AND($F$7,NOT(ISBLANK($F55))), IF( _xll.IMDP("IR", $F55, BX$8, Matrix!$D$6)=0,"",_xll.IMDP("IR", $F55, BX$8, Matrix!$D$6)), "")</f>
        <v/>
      </c>
      <c r="BY55" cm="1">
        <f t="array" aca="1" ref="BY55" ca="1">IF( AND($G$7,NOT(ISBLANK($G55))), IF( _xll.IMDP("IR", $G55, BY$8, Matrix!$D$6)=0, "", _xll.IMDP("IR", $G55, BY$8, Matrix!$D$6)), "")</f>
        <v>3.4180000000000001</v>
      </c>
      <c r="BZ55" cm="1">
        <f t="array" aca="1" ref="BZ55" ca="1">IF( AND($G$7,NOT(ISBLANK($G55))), IF( _xll.IMDP("IR", $G55, BZ$8, Matrix!$D$6)=0, "", _xll.IMDP("IR", $G55, BZ$8, Matrix!$D$6)), "")</f>
        <v>3.3969999999999998</v>
      </c>
      <c r="CA55" cm="1">
        <f t="array" aca="1" ref="CA55" ca="1">IF( AND($G$7,NOT(ISBLANK($G55))), IF( _xll.IMDP("IR", $G55, CA$8, Matrix!$D$6)=0, "", _xll.IMDP("IR", $G55, CA$8, Matrix!$D$6)), "")</f>
        <v>3.3410000000000002</v>
      </c>
      <c r="CB55" cm="1">
        <f t="array" aca="1" ref="CB55" ca="1">IF( AND($G$7,NOT(ISBLANK($G55))), IF( _xll.IMDP("IR", $G55, CB$8, Matrix!$D$6)=0, "", _xll.IMDP("IR", $G55, CB$8, Matrix!$D$6)), "")</f>
        <v>3.3050000000000002</v>
      </c>
      <c r="CC55" cm="1">
        <f t="array" aca="1" ref="CC55" ca="1">IF( AND($G$7,NOT(ISBLANK($G55))), IF( _xll.IMDP("IR", $G55, CC$8, Matrix!$D$6)=0, "", _xll.IMDP("IR", $G55, CC$8, Matrix!$D$6)), "")</f>
        <v>3.323</v>
      </c>
      <c r="CD55" cm="1">
        <f t="array" aca="1" ref="CD55" ca="1">IF( AND($G$7,NOT(ISBLANK($G55))), IF( _xll.IMDP("IR", $G55, CD$8, Matrix!$D$6)=0, "", _xll.IMDP("IR", $G55, CD$8, Matrix!$D$6)), "")</f>
        <v>3.3149999999999999</v>
      </c>
      <c r="CE55" cm="1">
        <f t="array" aca="1" ref="CE55" ca="1">IF( AND($G$7,NOT(ISBLANK($G55))), IF( _xll.IMDP("IR", $G55, CE$8, Matrix!$D$6)=0, "", _xll.IMDP("IR", $G55, CE$8, Matrix!$D$6)), "")</f>
        <v>3.32</v>
      </c>
      <c r="CF55" cm="1">
        <f t="array" aca="1" ref="CF55" ca="1">IF( AND($G$7,NOT(ISBLANK($G55))), IF( _xll.IMDP("IR", $G55, CF$8, Matrix!$D$6)=0, "", _xll.IMDP("IR", $G55, CF$8, Matrix!$D$6)), "")</f>
        <v>3.3239999999999998</v>
      </c>
      <c r="CG55" cm="1">
        <f t="array" aca="1" ref="CG55" ca="1">IF( AND($G$7,NOT(ISBLANK($G55))), IF( _xll.IMDP("IR", $G55, CG$8, Matrix!$D$6)=0, "", _xll.IMDP("IR", $G55, CG$8, Matrix!$D$6)), "")</f>
        <v>3.3220000000000001</v>
      </c>
      <c r="CH55" cm="1">
        <f t="array" aca="1" ref="CH55" ca="1">IF( AND($G$7,NOT(ISBLANK($G55))), IF( _xll.IMDP("IR", $G55, CH$8, Matrix!$D$6)=0, "", _xll.IMDP("IR", $G55, CH$8, Matrix!$D$6)), "")</f>
        <v>3.3340000000000001</v>
      </c>
      <c r="CI55" cm="1">
        <f t="array" aca="1" ref="CI55" ca="1">IF( AND($G$7,NOT(ISBLANK($G55))), IF( _xll.IMDP("IR", $G55, CI$8, Matrix!$D$6)=0, "", _xll.IMDP("IR", $G55, CI$8, Matrix!$D$6)), "")</f>
        <v>3.4540000000000002</v>
      </c>
      <c r="CJ55" cm="1">
        <f t="array" aca="1" ref="CJ55" ca="1">IF( AND($G$7,NOT(ISBLANK($G55))), IF( _xll.IMDP("IR", $G55, CJ$8, Matrix!$D$6)=0, "", _xll.IMDP("IR", $G55, CJ$8, Matrix!$D$6)), "")</f>
        <v>3.8290000000000002</v>
      </c>
      <c r="CK55" cm="1">
        <f t="array" aca="1" ref="CK55" ca="1">IF( AND($G$7,NOT(ISBLANK($G55))), IF( _xll.IMDP("IR", $G55, CK$8, Matrix!$D$6)=0, "", _xll.IMDP("IR", $G55, CK$8, Matrix!$D$6)), "")</f>
        <v>4.1369999999999996</v>
      </c>
      <c r="CL55" cm="1">
        <f t="array" aca="1" ref="CL55" ca="1">IF( AND($G$7,NOT(ISBLANK($G55))), IF( _xll.IMDP("IR", $G55, CL$8, Matrix!$D$6)=0, "", _xll.IMDP("IR", $G55, CL$8, Matrix!$D$6)), "")</f>
        <v>4.2809999999999997</v>
      </c>
      <c r="CM55" t="str" cm="1">
        <f t="array" aca="1" ref="CM55" ca="1">IF( AND($G$7,NOT(ISBLANK($G55))), IF( _xll.IMDP("IR", $G55, CM$8, Matrix!$D$6)=0, "", _xll.IMDP("IR", $G55, CM$8, Matrix!$D$6)), "")</f>
        <v/>
      </c>
      <c r="CN55" t="str" cm="1">
        <f t="array" aca="1" ref="CN55" ca="1">IF( AND($G$7,NOT(ISBLANK($G55))), IF( _xll.IMDP("IR", $G55, CN$8, Matrix!$D$6)=0, "", _xll.IMDP("IR", $G55, CN$8, Matrix!$D$6)), "")</f>
        <v/>
      </c>
      <c r="CO55" cm="1">
        <f t="array" aca="1" ref="CO55" ca="1">IF( AND($H$7,NOT(ISBLANK($H55))), IF( _xll.IMDP("IR", $H55, CO$8, Matrix!$D$6)=0, "", _xll.IMDP("IR", $H55, CO$8, Matrix!$D$6)), "")</f>
        <v>3.617</v>
      </c>
      <c r="CP55" cm="1">
        <f t="array" aca="1" ref="CP55" ca="1">IF( AND($H$7,NOT(ISBLANK($H55))), IF( _xll.IMDP("IR", $H55, CP$8, Matrix!$D$6)=0, "", _xll.IMDP("IR", $H55, CP$8, Matrix!$D$6)), "")</f>
        <v>3.718</v>
      </c>
      <c r="CQ55" cm="1">
        <f t="array" aca="1" ref="CQ55" ca="1">IF( AND($H$7,NOT(ISBLANK($H55))), IF( _xll.IMDP("IR", $H55, CQ$8, Matrix!$D$6)=0, "", _xll.IMDP("IR", $H55, CQ$8, Matrix!$D$6)), "")</f>
        <v>3.786</v>
      </c>
      <c r="CR55" cm="1">
        <f t="array" aca="1" ref="CR55" ca="1">IF( AND($H$7,NOT(ISBLANK($H55))), IF( _xll.IMDP("IR", $H55, CR$8, Matrix!$D$6)=0, "", _xll.IMDP("IR", $H55, CR$8, Matrix!$D$6)), "")</f>
        <v>3.8180000000000001</v>
      </c>
      <c r="CS55" cm="1">
        <f t="array" aca="1" ref="CS55" ca="1">IF( AND($H$7,NOT(ISBLANK($H55))), IF( _xll.IMDP("IR", $H55, CS$8, Matrix!$D$6)=0, "", _xll.IMDP("IR", $H55, CS$8, Matrix!$D$6)), "")</f>
        <v>3.948</v>
      </c>
      <c r="CT55" cm="1">
        <f t="array" aca="1" ref="CT55" ca="1">IF( AND($H$7,NOT(ISBLANK($H55))), IF( _xll.IMDP("IR", $H55, CT$8, Matrix!$D$6)=0, "", _xll.IMDP("IR", $H55, CT$8, Matrix!$D$6)), "")</f>
        <v>4.085</v>
      </c>
      <c r="CU55" cm="1">
        <f t="array" aca="1" ref="CU55" ca="1">IF( AND($H$7,NOT(ISBLANK($H55))), IF( _xll.IMDP("IR", $H55, CU$8, Matrix!$D$6)=0, "", _xll.IMDP("IR", $H55, CU$8, Matrix!$D$6)), "")</f>
        <v>4.1840000000000002</v>
      </c>
      <c r="CV55" cm="1">
        <f t="array" aca="1" ref="CV55" ca="1">IF( AND($H$7,NOT(ISBLANK($H55))), IF( _xll.IMDP("IR", $H55, CV$8, Matrix!$D$6)=0, "", _xll.IMDP("IR", $H55, CV$8, Matrix!$D$6)), "")</f>
        <v>4.2969999999999997</v>
      </c>
      <c r="CW55" t="str" cm="1">
        <f t="array" aca="1" ref="CW55" ca="1">IF( AND($H$7,NOT(ISBLANK($H55))), IF( _xll.IMDP("IR", $H55, CW$8, Matrix!$D$6)=0, "", _xll.IMDP("IR", $H55, CW$8, Matrix!$D$6)), "")</f>
        <v/>
      </c>
      <c r="CX55" cm="1">
        <f t="array" aca="1" ref="CX55" ca="1">IF( AND($H$7,NOT(ISBLANK($H55))), IF( _xll.IMDP("IR", $H55, CX$8, Matrix!$D$6)=0, "", _xll.IMDP("IR", $H55, CX$8, Matrix!$D$6)), "")</f>
        <v>4.5209999999999999</v>
      </c>
      <c r="CY55" t="str" cm="1">
        <f t="array" aca="1" ref="CY55" ca="1">IF( AND($H$7,NOT(ISBLANK($H55))), IF( _xll.IMDP("IR", $H55, CY$8, Matrix!$D$6)=0, "", _xll.IMDP("IR", $H55, CY$8, Matrix!$D$6)), "")</f>
        <v/>
      </c>
      <c r="CZ55" t="str" cm="1">
        <f t="array" aca="1" ref="CZ55" ca="1">IF( AND($H$7,NOT(ISBLANK($H55))), IF( _xll.IMDP("IR", $H55, CZ$8, Matrix!$D$6)=0, "", _xll.IMDP("IR", $H55, CZ$8, Matrix!$D$6)), "")</f>
        <v/>
      </c>
      <c r="DA55" t="str" cm="1">
        <f t="array" aca="1" ref="DA55" ca="1">IF( AND($H$7,NOT(ISBLANK($H55))), IF( _xll.IMDP("IR", $H55, DA$8, Matrix!$D$6)=0, "", _xll.IMDP("IR", $H55, DA$8, Matrix!$D$6)), "")</f>
        <v/>
      </c>
      <c r="DB55" t="str" cm="1">
        <f t="array" aca="1" ref="DB55" ca="1">IF( AND($H$7,NOT(ISBLANK($H55))), IF( _xll.IMDP("IR", $H55, DB$8, Matrix!$D$6)=0, "", _xll.IMDP("IR", $H55, DB$8, Matrix!$D$6)), "")</f>
        <v/>
      </c>
      <c r="DC55" t="str" cm="1">
        <f t="array" aca="1" ref="DC55" ca="1">IF( AND($H$7,NOT(ISBLANK($H55))), IF( _xll.IMDP("IR", $H55, DC$8, Matrix!$D$6)=0, "", _xll.IMDP("IR", $H55, DC$8, Matrix!$D$6)), "")</f>
        <v/>
      </c>
      <c r="DD55" t="str" cm="1">
        <f t="array" aca="1" ref="DD55" ca="1">IF( AND($H$7,NOT(ISBLANK($H55))), IF( _xll.IMDP("IR", $H55, DD$8, Matrix!$D$6)=0, "", _xll.IMDP("IR", $H55, DD$8, Matrix!$D$6)), "")</f>
        <v/>
      </c>
    </row>
    <row r="56" spans="2:108">
      <c r="B56" t="s">
        <v>124</v>
      </c>
      <c r="C56" t="s">
        <v>198</v>
      </c>
      <c r="F56" t="s">
        <v>394</v>
      </c>
      <c r="M56" s="21">
        <f t="shared" ca="1" si="1"/>
        <v>3.4239999999999999</v>
      </c>
      <c r="N56" s="21">
        <f t="shared" ca="1" si="2"/>
        <v>3.4079999999999999</v>
      </c>
      <c r="O56" s="21">
        <f t="shared" ca="1" si="3"/>
        <v>3.363</v>
      </c>
      <c r="P56" s="21">
        <f t="shared" ca="1" si="4"/>
        <v>3.3290000000000002</v>
      </c>
      <c r="Q56" s="21">
        <f t="shared" ca="1" si="5"/>
        <v>3.319</v>
      </c>
      <c r="R56" s="21">
        <f t="shared" ca="1" si="6"/>
        <v>3.28</v>
      </c>
      <c r="S56" s="21">
        <f t="shared" ca="1" si="7"/>
        <v>3.28</v>
      </c>
      <c r="T56" s="21">
        <f t="shared" ca="1" si="8"/>
        <v>3.28</v>
      </c>
      <c r="U56" s="21">
        <f t="shared" ca="1" si="9"/>
        <v>3.28</v>
      </c>
      <c r="V56" s="21">
        <f t="shared" ca="1" si="10"/>
        <v>3.2810000000000001</v>
      </c>
      <c r="W56" s="21">
        <f t="shared" ca="1" si="11"/>
        <v>3.3519999999999999</v>
      </c>
      <c r="X56" s="21">
        <f t="shared" ca="1" si="12"/>
        <v>3.6150000000000002</v>
      </c>
      <c r="Y56" s="21">
        <f t="shared" ca="1" si="13"/>
        <v>3.8260000000000001</v>
      </c>
      <c r="Z56" s="21">
        <f t="shared" ca="1" si="14"/>
        <v>3.9660000000000002</v>
      </c>
      <c r="AA56" s="21" t="e">
        <f t="shared" ca="1" si="15"/>
        <v>#NUM!</v>
      </c>
      <c r="AB56" s="21" t="e">
        <f t="shared" ca="1" si="16"/>
        <v>#NUM!</v>
      </c>
      <c r="AC56" t="str" cm="1">
        <f t="array" ref="AC56">IF( AND($D$7,NOT(ISBLANK($D56))), IF(_xll.IMDP("IR", $D56, AC$8, Matrix!$D$6)=0,"",_xll.IMDP("IR", $D56, AC$8, Matrix!$D$6)), "")</f>
        <v/>
      </c>
      <c r="AD56" t="str" cm="1">
        <f t="array" ref="AD56">IF( AND($D$7,NOT(ISBLANK($D56))), IF(_xll.IMDP("IR", $D56, AD$8, Matrix!$D$6)=0,"",_xll.IMDP("IR", $D56, AD$8, Matrix!$D$6)), "")</f>
        <v/>
      </c>
      <c r="AE56" t="str" cm="1">
        <f t="array" ref="AE56">IF( AND($D$7,NOT(ISBLANK($D56))), IF(_xll.IMDP("IR", $D56, AE$8, Matrix!$D$6)=0,"",_xll.IMDP("IR", $D56, AE$8, Matrix!$D$6)), "")</f>
        <v/>
      </c>
      <c r="AF56" t="str" cm="1">
        <f t="array" ref="AF56">IF( AND($D$7,NOT(ISBLANK($D56))), IF(_xll.IMDP("IR", $D56, AF$8, Matrix!$D$6)=0,"",_xll.IMDP("IR", $D56, AF$8, Matrix!$D$6)), "")</f>
        <v/>
      </c>
      <c r="AG56" t="str" cm="1">
        <f t="array" ref="AG56">IF( AND($D$7,NOT(ISBLANK($D56))), IF(_xll.IMDP("IR", $D56, AG$8, Matrix!$D$6)=0,"",_xll.IMDP("IR", $D56, AG$8, Matrix!$D$6)), "")</f>
        <v/>
      </c>
      <c r="AH56" t="str" cm="1">
        <f t="array" ref="AH56">IF( AND($D$7,NOT(ISBLANK($D56))), IF(_xll.IMDP("IR", $D56, AH$8, Matrix!$D$6)=0,"",_xll.IMDP("IR", $D56, AH$8, Matrix!$D$6)), "")</f>
        <v/>
      </c>
      <c r="AI56" t="str" cm="1">
        <f t="array" ref="AI56">IF( AND($D$7,NOT(ISBLANK($D56))), IF(_xll.IMDP("IR", $D56, AI$8, Matrix!$D$6)=0,"",_xll.IMDP("IR", $D56, AI$8, Matrix!$D$6)), "")</f>
        <v/>
      </c>
      <c r="AJ56" t="str" cm="1">
        <f t="array" ref="AJ56">IF( AND($D$7,NOT(ISBLANK($D56))), IF(_xll.IMDP("IR", $D56, AJ$8, Matrix!$D$6)=0,"",_xll.IMDP("IR", $D56, AJ$8, Matrix!$D$6)), "")</f>
        <v/>
      </c>
      <c r="AK56" t="str" cm="1">
        <f t="array" ref="AK56">IF( AND($D$7,NOT(ISBLANK($D56))), IF(_xll.IMDP("IR", $D56, AK$8, Matrix!$D$6)=0,"",_xll.IMDP("IR", $D56, AK$8, Matrix!$D$6)), "")</f>
        <v/>
      </c>
      <c r="AL56" t="str" cm="1">
        <f t="array" ref="AL56">IF( AND($D$7,NOT(ISBLANK($D56))), IF(_xll.IMDP("IR", $D56, AL$8, Matrix!$D$6)=0,"",_xll.IMDP("IR", $D56, AL$8, Matrix!$D$6)), "")</f>
        <v/>
      </c>
      <c r="AM56" t="str" cm="1">
        <f t="array" ref="AM56">IF( AND($D$7,NOT(ISBLANK($D56))), IF(_xll.IMDP("IR", $D56, AM$8, Matrix!$D$6)=0,"",_xll.IMDP("IR", $D56, AM$8, Matrix!$D$6)), "")</f>
        <v/>
      </c>
      <c r="AN56" t="str" cm="1">
        <f t="array" ref="AN56">IF( AND($D$7,NOT(ISBLANK($D56))), IF(_xll.IMDP("IR", $D56, AN$8, Matrix!$D$6)=0,"",_xll.IMDP("IR", $D56, AN$8, Matrix!$D$6)), "")</f>
        <v/>
      </c>
      <c r="AO56" t="str" cm="1">
        <f t="array" ref="AO56">IF( AND($D$7,NOT(ISBLANK($D56))), IF(_xll.IMDP("IR", $D56, AO$8, Matrix!$D$6)=0,"",_xll.IMDP("IR", $D56, AO$8, Matrix!$D$6)), "")</f>
        <v/>
      </c>
      <c r="AP56" t="str" cm="1">
        <f t="array" ref="AP56">IF( AND($D$7,NOT(ISBLANK($D56))), IF(_xll.IMDP("IR", $D56, AP$8, Matrix!$D$6)=0,"",_xll.IMDP("IR", $D56, AP$8, Matrix!$D$6)), "")</f>
        <v/>
      </c>
      <c r="AQ56" t="str" cm="1">
        <f t="array" ref="AQ56">IF( AND($D$7,NOT(ISBLANK($D56))), IF(_xll.IMDP("IR", $D56, AQ$8, Matrix!$D$6)=0,"",_xll.IMDP("IR", $D56, AQ$8, Matrix!$D$6)), "")</f>
        <v/>
      </c>
      <c r="AR56" t="str" cm="1">
        <f t="array" ref="AR56">IF( AND($D$7,NOT(ISBLANK($D56))), IF(_xll.IMDP("IR", $D56, AR$8, Matrix!$D$6)=0,"",_xll.IMDP("IR", $D56, AR$8, Matrix!$D$6)), "")</f>
        <v/>
      </c>
      <c r="AS56" t="str" cm="1">
        <f t="array" ref="AS56">IF( AND($E$7,NOT(ISBLANK($E56))), IF( _xll.IMDP("IR", $E56, AS$8, Matrix!$D$6)=0,"",_xll.IMDP("IR", $E56, AS$8, Matrix!$D$6)), "")</f>
        <v/>
      </c>
      <c r="AT56" t="str" cm="1">
        <f t="array" ref="AT56">IF( AND($E$7,NOT(ISBLANK($E56))), IF( _xll.IMDP("IR", $E56, AT$8, Matrix!$D$6)=0,"",_xll.IMDP("IR", $E56, AT$8, Matrix!$D$6)), "")</f>
        <v/>
      </c>
      <c r="AU56" t="str" cm="1">
        <f t="array" ref="AU56">IF( AND($E$7,NOT(ISBLANK($E56))), IF( _xll.IMDP("IR", $E56, AU$8, Matrix!$D$6)=0,"",_xll.IMDP("IR", $E56, AU$8, Matrix!$D$6)), "")</f>
        <v/>
      </c>
      <c r="AV56" t="str" cm="1">
        <f t="array" ref="AV56">IF( AND($E$7,NOT(ISBLANK($E56))), IF( _xll.IMDP("IR", $E56, AV$8, Matrix!$D$6)=0,"",_xll.IMDP("IR", $E56, AV$8, Matrix!$D$6)), "")</f>
        <v/>
      </c>
      <c r="AW56" t="str" cm="1">
        <f t="array" ref="AW56">IF( AND($E$7,NOT(ISBLANK($E56))), IF( _xll.IMDP("IR", $E56, AW$8, Matrix!$D$6)=0,"",_xll.IMDP("IR", $E56, AW$8, Matrix!$D$6)), "")</f>
        <v/>
      </c>
      <c r="AX56" t="str" cm="1">
        <f t="array" ref="AX56">IF( AND($E$7,NOT(ISBLANK($E56))), IF( _xll.IMDP("IR", $E56, AX$8, Matrix!$D$6)=0,"",_xll.IMDP("IR", $E56, AX$8, Matrix!$D$6)), "")</f>
        <v/>
      </c>
      <c r="AY56" t="str" cm="1">
        <f t="array" ref="AY56">IF( AND($E$7,NOT(ISBLANK($E56))), IF( _xll.IMDP("IR", $E56, AY$8, Matrix!$D$6)=0,"",_xll.IMDP("IR", $E56, AY$8, Matrix!$D$6)), "")</f>
        <v/>
      </c>
      <c r="AZ56" t="str" cm="1">
        <f t="array" ref="AZ56">IF( AND($E$7,NOT(ISBLANK($E56))), IF( _xll.IMDP("IR", $E56, AZ$8, Matrix!$D$6)=0,"",_xll.IMDP("IR", $E56, AZ$8, Matrix!$D$6)), "")</f>
        <v/>
      </c>
      <c r="BA56" t="str" cm="1">
        <f t="array" ref="BA56">IF( AND($E$7,NOT(ISBLANK($E56))), IF( _xll.IMDP("IR", $E56, BA$8, Matrix!$D$6)=0,"",_xll.IMDP("IR", $E56, BA$8, Matrix!$D$6)), "")</f>
        <v/>
      </c>
      <c r="BB56" t="str" cm="1">
        <f t="array" ref="BB56">IF( AND($E$7,NOT(ISBLANK($E56))), IF( _xll.IMDP("IR", $E56, BB$8, Matrix!$D$6)=0,"",_xll.IMDP("IR", $E56, BB$8, Matrix!$D$6)), "")</f>
        <v/>
      </c>
      <c r="BC56" t="str" cm="1">
        <f t="array" ref="BC56">IF( AND($E$7,NOT(ISBLANK($E56))), IF( _xll.IMDP("IR", $E56, BC$8, Matrix!$D$6)=0,"",_xll.IMDP("IR", $E56, BC$8, Matrix!$D$6)), "")</f>
        <v/>
      </c>
      <c r="BD56" t="str" cm="1">
        <f t="array" ref="BD56">IF( AND($E$7,NOT(ISBLANK($E56))), IF( _xll.IMDP("IR", $E56, BD$8, Matrix!$D$6)=0,"",_xll.IMDP("IR", $E56, BD$8, Matrix!$D$6)), "")</f>
        <v/>
      </c>
      <c r="BE56" t="str" cm="1">
        <f t="array" ref="BE56">IF( AND($E$7,NOT(ISBLANK($E56))), IF( _xll.IMDP("IR", $E56, BE$8, Matrix!$D$6)=0,"",_xll.IMDP("IR", $E56, BE$8, Matrix!$D$6)), "")</f>
        <v/>
      </c>
      <c r="BF56" t="str" cm="1">
        <f t="array" ref="BF56">IF( AND($E$7,NOT(ISBLANK($E56))), IF( _xll.IMDP("IR", $E56, BF$8, Matrix!$D$6)=0,"",_xll.IMDP("IR", $E56, BF$8, Matrix!$D$6)), "")</f>
        <v/>
      </c>
      <c r="BG56" t="str" cm="1">
        <f t="array" ref="BG56">IF( AND($E$7,NOT(ISBLANK($E56))), IF( _xll.IMDP("IR", $E56, BG$8, Matrix!$D$6)=0,"",_xll.IMDP("IR", $E56, BG$8, Matrix!$D$6)), "")</f>
        <v/>
      </c>
      <c r="BH56" t="str" cm="1">
        <f t="array" ref="BH56">IF( AND($E$7,NOT(ISBLANK($E56))), IF( _xll.IMDP("IR", $E56, BH$8, Matrix!$D$6)=0,"",_xll.IMDP("IR", $E56, BH$8, Matrix!$D$6)), "")</f>
        <v/>
      </c>
      <c r="BI56" cm="1">
        <f t="array" aca="1" ref="BI56" ca="1">IF( AND($F$7,NOT(ISBLANK($F56))), IF( _xll.IMDP("IR", $F56, BI$8, Matrix!$D$6)=0,"",_xll.IMDP("IR", $F56, BI$8, Matrix!$D$6)), "")</f>
        <v>3.4239999999999999</v>
      </c>
      <c r="BJ56" cm="1">
        <f t="array" aca="1" ref="BJ56" ca="1">IF( AND($F$7,NOT(ISBLANK($F56))), IF( _xll.IMDP("IR", $F56, BJ$8, Matrix!$D$6)=0,"",_xll.IMDP("IR", $F56, BJ$8, Matrix!$D$6)), "")</f>
        <v>3.4079999999999999</v>
      </c>
      <c r="BK56" cm="1">
        <f t="array" aca="1" ref="BK56" ca="1">IF( AND($F$7,NOT(ISBLANK($F56))), IF( _xll.IMDP("IR", $F56, BK$8, Matrix!$D$6)=0,"",_xll.IMDP("IR", $F56, BK$8, Matrix!$D$6)), "")</f>
        <v>3.363</v>
      </c>
      <c r="BL56" cm="1">
        <f t="array" aca="1" ref="BL56" ca="1">IF( AND($F$7,NOT(ISBLANK($F56))), IF( _xll.IMDP("IR", $F56, BL$8, Matrix!$D$6)=0,"",_xll.IMDP("IR", $F56, BL$8, Matrix!$D$6)), "")</f>
        <v>3.3290000000000002</v>
      </c>
      <c r="BM56" cm="1">
        <f t="array" aca="1" ref="BM56" ca="1">IF( AND($F$7,NOT(ISBLANK($F56))), IF( _xll.IMDP("IR", $F56, BM$8, Matrix!$D$6)=0,"",_xll.IMDP("IR", $F56, BM$8, Matrix!$D$6)), "")</f>
        <v>3.319</v>
      </c>
      <c r="BN56" cm="1">
        <f t="array" aca="1" ref="BN56" ca="1">IF( AND($F$7,NOT(ISBLANK($F56))), IF( _xll.IMDP("IR", $F56, BN$8, Matrix!$D$6)=0,"",_xll.IMDP("IR", $F56, BN$8, Matrix!$D$6)), "")</f>
        <v>3.28</v>
      </c>
      <c r="BO56" cm="1">
        <f t="array" aca="1" ref="BO56" ca="1">IF( AND($F$7,NOT(ISBLANK($F56))), IF( _xll.IMDP("IR", $F56, BO$8, Matrix!$D$6)=0,"",_xll.IMDP("IR", $F56, BO$8, Matrix!$D$6)), "")</f>
        <v>3.28</v>
      </c>
      <c r="BP56" cm="1">
        <f t="array" aca="1" ref="BP56" ca="1">IF( AND($F$7,NOT(ISBLANK($F56))), IF( _xll.IMDP("IR", $F56, BP$8, Matrix!$D$6)=0,"",_xll.IMDP("IR", $F56, BP$8, Matrix!$D$6)), "")</f>
        <v>3.28</v>
      </c>
      <c r="BQ56" cm="1">
        <f t="array" aca="1" ref="BQ56" ca="1">IF( AND($F$7,NOT(ISBLANK($F56))), IF( _xll.IMDP("IR", $F56, BQ$8, Matrix!$D$6)=0,"",_xll.IMDP("IR", $F56, BQ$8, Matrix!$D$6)), "")</f>
        <v>3.28</v>
      </c>
      <c r="BR56" cm="1">
        <f t="array" aca="1" ref="BR56" ca="1">IF( AND($F$7,NOT(ISBLANK($F56))), IF( _xll.IMDP("IR", $F56, BR$8, Matrix!$D$6)=0,"",_xll.IMDP("IR", $F56, BR$8, Matrix!$D$6)), "")</f>
        <v>3.2810000000000001</v>
      </c>
      <c r="BS56" cm="1">
        <f t="array" aca="1" ref="BS56" ca="1">IF( AND($F$7,NOT(ISBLANK($F56))), IF( _xll.IMDP("IR", $F56, BS$8, Matrix!$D$6)=0,"",_xll.IMDP("IR", $F56, BS$8, Matrix!$D$6)), "")</f>
        <v>3.3519999999999999</v>
      </c>
      <c r="BT56" cm="1">
        <f t="array" aca="1" ref="BT56" ca="1">IF( AND($F$7,NOT(ISBLANK($F56))), IF( _xll.IMDP("IR", $F56, BT$8, Matrix!$D$6)=0,"",_xll.IMDP("IR", $F56, BT$8, Matrix!$D$6)), "")</f>
        <v>3.6150000000000002</v>
      </c>
      <c r="BU56" cm="1">
        <f t="array" aca="1" ref="BU56" ca="1">IF( AND($F$7,NOT(ISBLANK($F56))), IF( _xll.IMDP("IR", $F56, BU$8, Matrix!$D$6)=0,"",_xll.IMDP("IR", $F56, BU$8, Matrix!$D$6)), "")</f>
        <v>3.8260000000000001</v>
      </c>
      <c r="BV56" cm="1">
        <f t="array" aca="1" ref="BV56" ca="1">IF( AND($F$7,NOT(ISBLANK($F56))), IF( _xll.IMDP("IR", $F56, BV$8, Matrix!$D$6)=0,"",_xll.IMDP("IR", $F56, BV$8, Matrix!$D$6)), "")</f>
        <v>3.9660000000000002</v>
      </c>
      <c r="BW56" t="str" cm="1">
        <f t="array" aca="1" ref="BW56" ca="1">IF( AND($F$7,NOT(ISBLANK($F56))), IF( _xll.IMDP("IR", $F56, BW$8, Matrix!$D$6)=0,"",_xll.IMDP("IR", $F56, BW$8, Matrix!$D$6)), "")</f>
        <v/>
      </c>
      <c r="BX56" t="str" cm="1">
        <f t="array" aca="1" ref="BX56" ca="1">IF( AND($F$7,NOT(ISBLANK($F56))), IF( _xll.IMDP("IR", $F56, BX$8, Matrix!$D$6)=0,"",_xll.IMDP("IR", $F56, BX$8, Matrix!$D$6)), "")</f>
        <v/>
      </c>
      <c r="BY56" t="str" cm="1">
        <f t="array" ref="BY56">IF( AND($G$7,NOT(ISBLANK($G56))), IF( _xll.IMDP("IR", $G56, BY$8, Matrix!$D$6)=0, "", _xll.IMDP("IR", $G56, BY$8, Matrix!$D$6)), "")</f>
        <v/>
      </c>
      <c r="BZ56" t="str" cm="1">
        <f t="array" ref="BZ56">IF( AND($G$7,NOT(ISBLANK($G56))), IF( _xll.IMDP("IR", $G56, BZ$8, Matrix!$D$6)=0, "", _xll.IMDP("IR", $G56, BZ$8, Matrix!$D$6)), "")</f>
        <v/>
      </c>
      <c r="CA56" t="str" cm="1">
        <f t="array" ref="CA56">IF( AND($G$7,NOT(ISBLANK($G56))), IF( _xll.IMDP("IR", $G56, CA$8, Matrix!$D$6)=0, "", _xll.IMDP("IR", $G56, CA$8, Matrix!$D$6)), "")</f>
        <v/>
      </c>
      <c r="CB56" t="str" cm="1">
        <f t="array" ref="CB56">IF( AND($G$7,NOT(ISBLANK($G56))), IF( _xll.IMDP("IR", $G56, CB$8, Matrix!$D$6)=0, "", _xll.IMDP("IR", $G56, CB$8, Matrix!$D$6)), "")</f>
        <v/>
      </c>
      <c r="CC56" t="str" cm="1">
        <f t="array" ref="CC56">IF( AND($G$7,NOT(ISBLANK($G56))), IF( _xll.IMDP("IR", $G56, CC$8, Matrix!$D$6)=0, "", _xll.IMDP("IR", $G56, CC$8, Matrix!$D$6)), "")</f>
        <v/>
      </c>
      <c r="CD56" t="str" cm="1">
        <f t="array" ref="CD56">IF( AND($G$7,NOT(ISBLANK($G56))), IF( _xll.IMDP("IR", $G56, CD$8, Matrix!$D$6)=0, "", _xll.IMDP("IR", $G56, CD$8, Matrix!$D$6)), "")</f>
        <v/>
      </c>
      <c r="CE56" t="str" cm="1">
        <f t="array" ref="CE56">IF( AND($G$7,NOT(ISBLANK($G56))), IF( _xll.IMDP("IR", $G56, CE$8, Matrix!$D$6)=0, "", _xll.IMDP("IR", $G56, CE$8, Matrix!$D$6)), "")</f>
        <v/>
      </c>
      <c r="CF56" t="str" cm="1">
        <f t="array" ref="CF56">IF( AND($G$7,NOT(ISBLANK($G56))), IF( _xll.IMDP("IR", $G56, CF$8, Matrix!$D$6)=0, "", _xll.IMDP("IR", $G56, CF$8, Matrix!$D$6)), "")</f>
        <v/>
      </c>
      <c r="CG56" t="str" cm="1">
        <f t="array" ref="CG56">IF( AND($G$7,NOT(ISBLANK($G56))), IF( _xll.IMDP("IR", $G56, CG$8, Matrix!$D$6)=0, "", _xll.IMDP("IR", $G56, CG$8, Matrix!$D$6)), "")</f>
        <v/>
      </c>
      <c r="CH56" t="str" cm="1">
        <f t="array" ref="CH56">IF( AND($G$7,NOT(ISBLANK($G56))), IF( _xll.IMDP("IR", $G56, CH$8, Matrix!$D$6)=0, "", _xll.IMDP("IR", $G56, CH$8, Matrix!$D$6)), "")</f>
        <v/>
      </c>
      <c r="CI56" t="str" cm="1">
        <f t="array" ref="CI56">IF( AND($G$7,NOT(ISBLANK($G56))), IF( _xll.IMDP("IR", $G56, CI$8, Matrix!$D$6)=0, "", _xll.IMDP("IR", $G56, CI$8, Matrix!$D$6)), "")</f>
        <v/>
      </c>
      <c r="CJ56" t="str" cm="1">
        <f t="array" ref="CJ56">IF( AND($G$7,NOT(ISBLANK($G56))), IF( _xll.IMDP("IR", $G56, CJ$8, Matrix!$D$6)=0, "", _xll.IMDP("IR", $G56, CJ$8, Matrix!$D$6)), "")</f>
        <v/>
      </c>
      <c r="CK56" t="str" cm="1">
        <f t="array" ref="CK56">IF( AND($G$7,NOT(ISBLANK($G56))), IF( _xll.IMDP("IR", $G56, CK$8, Matrix!$D$6)=0, "", _xll.IMDP("IR", $G56, CK$8, Matrix!$D$6)), "")</f>
        <v/>
      </c>
      <c r="CL56" t="str" cm="1">
        <f t="array" ref="CL56">IF( AND($G$7,NOT(ISBLANK($G56))), IF( _xll.IMDP("IR", $G56, CL$8, Matrix!$D$6)=0, "", _xll.IMDP("IR", $G56, CL$8, Matrix!$D$6)), "")</f>
        <v/>
      </c>
      <c r="CM56" t="str" cm="1">
        <f t="array" ref="CM56">IF( AND($G$7,NOT(ISBLANK($G56))), IF( _xll.IMDP("IR", $G56, CM$8, Matrix!$D$6)=0, "", _xll.IMDP("IR", $G56, CM$8, Matrix!$D$6)), "")</f>
        <v/>
      </c>
      <c r="CN56" t="str" cm="1">
        <f t="array" ref="CN56">IF( AND($G$7,NOT(ISBLANK($G56))), IF( _xll.IMDP("IR", $G56, CN$8, Matrix!$D$6)=0, "", _xll.IMDP("IR", $G56, CN$8, Matrix!$D$6)), "")</f>
        <v/>
      </c>
      <c r="CO56" t="str" cm="1">
        <f t="array" ref="CO56">IF( AND($H$7,NOT(ISBLANK($H56))), IF( _xll.IMDP("IR", $H56, CO$8, Matrix!$D$6)=0, "", _xll.IMDP("IR", $H56, CO$8, Matrix!$D$6)), "")</f>
        <v/>
      </c>
      <c r="CP56" t="str" cm="1">
        <f t="array" ref="CP56">IF( AND($H$7,NOT(ISBLANK($H56))), IF( _xll.IMDP("IR", $H56, CP$8, Matrix!$D$6)=0, "", _xll.IMDP("IR", $H56, CP$8, Matrix!$D$6)), "")</f>
        <v/>
      </c>
      <c r="CQ56" t="str" cm="1">
        <f t="array" ref="CQ56">IF( AND($H$7,NOT(ISBLANK($H56))), IF( _xll.IMDP("IR", $H56, CQ$8, Matrix!$D$6)=0, "", _xll.IMDP("IR", $H56, CQ$8, Matrix!$D$6)), "")</f>
        <v/>
      </c>
      <c r="CR56" t="str" cm="1">
        <f t="array" ref="CR56">IF( AND($H$7,NOT(ISBLANK($H56))), IF( _xll.IMDP("IR", $H56, CR$8, Matrix!$D$6)=0, "", _xll.IMDP("IR", $H56, CR$8, Matrix!$D$6)), "")</f>
        <v/>
      </c>
      <c r="CS56" t="str" cm="1">
        <f t="array" ref="CS56">IF( AND($H$7,NOT(ISBLANK($H56))), IF( _xll.IMDP("IR", $H56, CS$8, Matrix!$D$6)=0, "", _xll.IMDP("IR", $H56, CS$8, Matrix!$D$6)), "")</f>
        <v/>
      </c>
      <c r="CT56" t="str" cm="1">
        <f t="array" ref="CT56">IF( AND($H$7,NOT(ISBLANK($H56))), IF( _xll.IMDP("IR", $H56, CT$8, Matrix!$D$6)=0, "", _xll.IMDP("IR", $H56, CT$8, Matrix!$D$6)), "")</f>
        <v/>
      </c>
      <c r="CU56" t="str" cm="1">
        <f t="array" ref="CU56">IF( AND($H$7,NOT(ISBLANK($H56))), IF( _xll.IMDP("IR", $H56, CU$8, Matrix!$D$6)=0, "", _xll.IMDP("IR", $H56, CU$8, Matrix!$D$6)), "")</f>
        <v/>
      </c>
      <c r="CV56" t="str" cm="1">
        <f t="array" ref="CV56">IF( AND($H$7,NOT(ISBLANK($H56))), IF( _xll.IMDP("IR", $H56, CV$8, Matrix!$D$6)=0, "", _xll.IMDP("IR", $H56, CV$8, Matrix!$D$6)), "")</f>
        <v/>
      </c>
      <c r="CW56" t="str" cm="1">
        <f t="array" ref="CW56">IF( AND($H$7,NOT(ISBLANK($H56))), IF( _xll.IMDP("IR", $H56, CW$8, Matrix!$D$6)=0, "", _xll.IMDP("IR", $H56, CW$8, Matrix!$D$6)), "")</f>
        <v/>
      </c>
      <c r="CX56" t="str" cm="1">
        <f t="array" ref="CX56">IF( AND($H$7,NOT(ISBLANK($H56))), IF( _xll.IMDP("IR", $H56, CX$8, Matrix!$D$6)=0, "", _xll.IMDP("IR", $H56, CX$8, Matrix!$D$6)), "")</f>
        <v/>
      </c>
      <c r="CY56" t="str" cm="1">
        <f t="array" ref="CY56">IF( AND($H$7,NOT(ISBLANK($H56))), IF( _xll.IMDP("IR", $H56, CY$8, Matrix!$D$6)=0, "", _xll.IMDP("IR", $H56, CY$8, Matrix!$D$6)), "")</f>
        <v/>
      </c>
      <c r="CZ56" t="str" cm="1">
        <f t="array" ref="CZ56">IF( AND($H$7,NOT(ISBLANK($H56))), IF( _xll.IMDP("IR", $H56, CZ$8, Matrix!$D$6)=0, "", _xll.IMDP("IR", $H56, CZ$8, Matrix!$D$6)), "")</f>
        <v/>
      </c>
      <c r="DA56" t="str" cm="1">
        <f t="array" ref="DA56">IF( AND($H$7,NOT(ISBLANK($H56))), IF( _xll.IMDP("IR", $H56, DA$8, Matrix!$D$6)=0, "", _xll.IMDP("IR", $H56, DA$8, Matrix!$D$6)), "")</f>
        <v/>
      </c>
      <c r="DB56" t="str" cm="1">
        <f t="array" ref="DB56">IF( AND($H$7,NOT(ISBLANK($H56))), IF( _xll.IMDP("IR", $H56, DB$8, Matrix!$D$6)=0, "", _xll.IMDP("IR", $H56, DB$8, Matrix!$D$6)), "")</f>
        <v/>
      </c>
      <c r="DC56" t="str" cm="1">
        <f t="array" ref="DC56">IF( AND($H$7,NOT(ISBLANK($H56))), IF( _xll.IMDP("IR", $H56, DC$8, Matrix!$D$6)=0, "", _xll.IMDP("IR", $H56, DC$8, Matrix!$D$6)), "")</f>
        <v/>
      </c>
      <c r="DD56" t="str" cm="1">
        <f t="array" ref="DD56">IF( AND($H$7,NOT(ISBLANK($H56))), IF( _xll.IMDP("IR", $H56, DD$8, Matrix!$D$6)=0, "", _xll.IMDP("IR", $H56, DD$8, Matrix!$D$6)), "")</f>
        <v/>
      </c>
    </row>
    <row r="57" spans="2:108">
      <c r="B57" t="s">
        <v>125</v>
      </c>
      <c r="C57" t="s">
        <v>199</v>
      </c>
      <c r="F57" t="s">
        <v>395</v>
      </c>
      <c r="M57" s="21">
        <f t="shared" ca="1" si="1"/>
        <v>3.4329999999999998</v>
      </c>
      <c r="N57" s="21">
        <f t="shared" ca="1" si="2"/>
        <v>3.4249999999999998</v>
      </c>
      <c r="O57" s="21">
        <f t="shared" ca="1" si="3"/>
        <v>3.3769999999999998</v>
      </c>
      <c r="P57" s="21">
        <f t="shared" ca="1" si="4"/>
        <v>3.3380000000000001</v>
      </c>
      <c r="Q57" s="21">
        <f t="shared" ca="1" si="5"/>
        <v>3.34</v>
      </c>
      <c r="R57" s="21">
        <f t="shared" ca="1" si="6"/>
        <v>3.3029999999999999</v>
      </c>
      <c r="S57" s="21">
        <f t="shared" ca="1" si="7"/>
        <v>3.3250000000000002</v>
      </c>
      <c r="T57" s="21">
        <f t="shared" ca="1" si="8"/>
        <v>3.3319999999999999</v>
      </c>
      <c r="U57" s="21">
        <f t="shared" ca="1" si="9"/>
        <v>3.3370000000000002</v>
      </c>
      <c r="V57" s="21">
        <f t="shared" ca="1" si="10"/>
        <v>3.3580000000000001</v>
      </c>
      <c r="W57" s="21">
        <f t="shared" ca="1" si="11"/>
        <v>3.4780000000000002</v>
      </c>
      <c r="X57" s="21">
        <f t="shared" ca="1" si="12"/>
        <v>3.911</v>
      </c>
      <c r="Y57" s="21">
        <f t="shared" ca="1" si="13"/>
        <v>4.1849999999999996</v>
      </c>
      <c r="Z57" s="21">
        <f t="shared" ca="1" si="14"/>
        <v>4.3479999999999999</v>
      </c>
      <c r="AA57" s="21" t="e">
        <f t="shared" ca="1" si="15"/>
        <v>#NUM!</v>
      </c>
      <c r="AB57" s="21" t="e">
        <f t="shared" ca="1" si="16"/>
        <v>#NUM!</v>
      </c>
      <c r="AC57" t="str" cm="1">
        <f t="array" ref="AC57">IF( AND($D$7,NOT(ISBLANK($D57))), IF(_xll.IMDP("IR", $D57, AC$8, Matrix!$D$6)=0,"",_xll.IMDP("IR", $D57, AC$8, Matrix!$D$6)), "")</f>
        <v/>
      </c>
      <c r="AD57" t="str" cm="1">
        <f t="array" ref="AD57">IF( AND($D$7,NOT(ISBLANK($D57))), IF(_xll.IMDP("IR", $D57, AD$8, Matrix!$D$6)=0,"",_xll.IMDP("IR", $D57, AD$8, Matrix!$D$6)), "")</f>
        <v/>
      </c>
      <c r="AE57" t="str" cm="1">
        <f t="array" ref="AE57">IF( AND($D$7,NOT(ISBLANK($D57))), IF(_xll.IMDP("IR", $D57, AE$8, Matrix!$D$6)=0,"",_xll.IMDP("IR", $D57, AE$8, Matrix!$D$6)), "")</f>
        <v/>
      </c>
      <c r="AF57" t="str" cm="1">
        <f t="array" ref="AF57">IF( AND($D$7,NOT(ISBLANK($D57))), IF(_xll.IMDP("IR", $D57, AF$8, Matrix!$D$6)=0,"",_xll.IMDP("IR", $D57, AF$8, Matrix!$D$6)), "")</f>
        <v/>
      </c>
      <c r="AG57" t="str" cm="1">
        <f t="array" ref="AG57">IF( AND($D$7,NOT(ISBLANK($D57))), IF(_xll.IMDP("IR", $D57, AG$8, Matrix!$D$6)=0,"",_xll.IMDP("IR", $D57, AG$8, Matrix!$D$6)), "")</f>
        <v/>
      </c>
      <c r="AH57" t="str" cm="1">
        <f t="array" ref="AH57">IF( AND($D$7,NOT(ISBLANK($D57))), IF(_xll.IMDP("IR", $D57, AH$8, Matrix!$D$6)=0,"",_xll.IMDP("IR", $D57, AH$8, Matrix!$D$6)), "")</f>
        <v/>
      </c>
      <c r="AI57" t="str" cm="1">
        <f t="array" ref="AI57">IF( AND($D$7,NOT(ISBLANK($D57))), IF(_xll.IMDP("IR", $D57, AI$8, Matrix!$D$6)=0,"",_xll.IMDP("IR", $D57, AI$8, Matrix!$D$6)), "")</f>
        <v/>
      </c>
      <c r="AJ57" t="str" cm="1">
        <f t="array" ref="AJ57">IF( AND($D$7,NOT(ISBLANK($D57))), IF(_xll.IMDP("IR", $D57, AJ$8, Matrix!$D$6)=0,"",_xll.IMDP("IR", $D57, AJ$8, Matrix!$D$6)), "")</f>
        <v/>
      </c>
      <c r="AK57" t="str" cm="1">
        <f t="array" ref="AK57">IF( AND($D$7,NOT(ISBLANK($D57))), IF(_xll.IMDP("IR", $D57, AK$8, Matrix!$D$6)=0,"",_xll.IMDP("IR", $D57, AK$8, Matrix!$D$6)), "")</f>
        <v/>
      </c>
      <c r="AL57" t="str" cm="1">
        <f t="array" ref="AL57">IF( AND($D$7,NOT(ISBLANK($D57))), IF(_xll.IMDP("IR", $D57, AL$8, Matrix!$D$6)=0,"",_xll.IMDP("IR", $D57, AL$8, Matrix!$D$6)), "")</f>
        <v/>
      </c>
      <c r="AM57" t="str" cm="1">
        <f t="array" ref="AM57">IF( AND($D$7,NOT(ISBLANK($D57))), IF(_xll.IMDP("IR", $D57, AM$8, Matrix!$D$6)=0,"",_xll.IMDP("IR", $D57, AM$8, Matrix!$D$6)), "")</f>
        <v/>
      </c>
      <c r="AN57" t="str" cm="1">
        <f t="array" ref="AN57">IF( AND($D$7,NOT(ISBLANK($D57))), IF(_xll.IMDP("IR", $D57, AN$8, Matrix!$D$6)=0,"",_xll.IMDP("IR", $D57, AN$8, Matrix!$D$6)), "")</f>
        <v/>
      </c>
      <c r="AO57" t="str" cm="1">
        <f t="array" ref="AO57">IF( AND($D$7,NOT(ISBLANK($D57))), IF(_xll.IMDP("IR", $D57, AO$8, Matrix!$D$6)=0,"",_xll.IMDP("IR", $D57, AO$8, Matrix!$D$6)), "")</f>
        <v/>
      </c>
      <c r="AP57" t="str" cm="1">
        <f t="array" ref="AP57">IF( AND($D$7,NOT(ISBLANK($D57))), IF(_xll.IMDP("IR", $D57, AP$8, Matrix!$D$6)=0,"",_xll.IMDP("IR", $D57, AP$8, Matrix!$D$6)), "")</f>
        <v/>
      </c>
      <c r="AQ57" t="str" cm="1">
        <f t="array" ref="AQ57">IF( AND($D$7,NOT(ISBLANK($D57))), IF(_xll.IMDP("IR", $D57, AQ$8, Matrix!$D$6)=0,"",_xll.IMDP("IR", $D57, AQ$8, Matrix!$D$6)), "")</f>
        <v/>
      </c>
      <c r="AR57" t="str" cm="1">
        <f t="array" ref="AR57">IF( AND($D$7,NOT(ISBLANK($D57))), IF(_xll.IMDP("IR", $D57, AR$8, Matrix!$D$6)=0,"",_xll.IMDP("IR", $D57, AR$8, Matrix!$D$6)), "")</f>
        <v/>
      </c>
      <c r="AS57" t="str" cm="1">
        <f t="array" ref="AS57">IF( AND($E$7,NOT(ISBLANK($E57))), IF( _xll.IMDP("IR", $E57, AS$8, Matrix!$D$6)=0,"",_xll.IMDP("IR", $E57, AS$8, Matrix!$D$6)), "")</f>
        <v/>
      </c>
      <c r="AT57" t="str" cm="1">
        <f t="array" ref="AT57">IF( AND($E$7,NOT(ISBLANK($E57))), IF( _xll.IMDP("IR", $E57, AT$8, Matrix!$D$6)=0,"",_xll.IMDP("IR", $E57, AT$8, Matrix!$D$6)), "")</f>
        <v/>
      </c>
      <c r="AU57" t="str" cm="1">
        <f t="array" ref="AU57">IF( AND($E$7,NOT(ISBLANK($E57))), IF( _xll.IMDP("IR", $E57, AU$8, Matrix!$D$6)=0,"",_xll.IMDP("IR", $E57, AU$8, Matrix!$D$6)), "")</f>
        <v/>
      </c>
      <c r="AV57" t="str" cm="1">
        <f t="array" ref="AV57">IF( AND($E$7,NOT(ISBLANK($E57))), IF( _xll.IMDP("IR", $E57, AV$8, Matrix!$D$6)=0,"",_xll.IMDP("IR", $E57, AV$8, Matrix!$D$6)), "")</f>
        <v/>
      </c>
      <c r="AW57" t="str" cm="1">
        <f t="array" ref="AW57">IF( AND($E$7,NOT(ISBLANK($E57))), IF( _xll.IMDP("IR", $E57, AW$8, Matrix!$D$6)=0,"",_xll.IMDP("IR", $E57, AW$8, Matrix!$D$6)), "")</f>
        <v/>
      </c>
      <c r="AX57" t="str" cm="1">
        <f t="array" ref="AX57">IF( AND($E$7,NOT(ISBLANK($E57))), IF( _xll.IMDP("IR", $E57, AX$8, Matrix!$D$6)=0,"",_xll.IMDP("IR", $E57, AX$8, Matrix!$D$6)), "")</f>
        <v/>
      </c>
      <c r="AY57" t="str" cm="1">
        <f t="array" ref="AY57">IF( AND($E$7,NOT(ISBLANK($E57))), IF( _xll.IMDP("IR", $E57, AY$8, Matrix!$D$6)=0,"",_xll.IMDP("IR", $E57, AY$8, Matrix!$D$6)), "")</f>
        <v/>
      </c>
      <c r="AZ57" t="str" cm="1">
        <f t="array" ref="AZ57">IF( AND($E$7,NOT(ISBLANK($E57))), IF( _xll.IMDP("IR", $E57, AZ$8, Matrix!$D$6)=0,"",_xll.IMDP("IR", $E57, AZ$8, Matrix!$D$6)), "")</f>
        <v/>
      </c>
      <c r="BA57" t="str" cm="1">
        <f t="array" ref="BA57">IF( AND($E$7,NOT(ISBLANK($E57))), IF( _xll.IMDP("IR", $E57, BA$8, Matrix!$D$6)=0,"",_xll.IMDP("IR", $E57, BA$8, Matrix!$D$6)), "")</f>
        <v/>
      </c>
      <c r="BB57" t="str" cm="1">
        <f t="array" ref="BB57">IF( AND($E$7,NOT(ISBLANK($E57))), IF( _xll.IMDP("IR", $E57, BB$8, Matrix!$D$6)=0,"",_xll.IMDP("IR", $E57, BB$8, Matrix!$D$6)), "")</f>
        <v/>
      </c>
      <c r="BC57" t="str" cm="1">
        <f t="array" ref="BC57">IF( AND($E$7,NOT(ISBLANK($E57))), IF( _xll.IMDP("IR", $E57, BC$8, Matrix!$D$6)=0,"",_xll.IMDP("IR", $E57, BC$8, Matrix!$D$6)), "")</f>
        <v/>
      </c>
      <c r="BD57" t="str" cm="1">
        <f t="array" ref="BD57">IF( AND($E$7,NOT(ISBLANK($E57))), IF( _xll.IMDP("IR", $E57, BD$8, Matrix!$D$6)=0,"",_xll.IMDP("IR", $E57, BD$8, Matrix!$D$6)), "")</f>
        <v/>
      </c>
      <c r="BE57" t="str" cm="1">
        <f t="array" ref="BE57">IF( AND($E$7,NOT(ISBLANK($E57))), IF( _xll.IMDP("IR", $E57, BE$8, Matrix!$D$6)=0,"",_xll.IMDP("IR", $E57, BE$8, Matrix!$D$6)), "")</f>
        <v/>
      </c>
      <c r="BF57" t="str" cm="1">
        <f t="array" ref="BF57">IF( AND($E$7,NOT(ISBLANK($E57))), IF( _xll.IMDP("IR", $E57, BF$8, Matrix!$D$6)=0,"",_xll.IMDP("IR", $E57, BF$8, Matrix!$D$6)), "")</f>
        <v/>
      </c>
      <c r="BG57" t="str" cm="1">
        <f t="array" ref="BG57">IF( AND($E$7,NOT(ISBLANK($E57))), IF( _xll.IMDP("IR", $E57, BG$8, Matrix!$D$6)=0,"",_xll.IMDP("IR", $E57, BG$8, Matrix!$D$6)), "")</f>
        <v/>
      </c>
      <c r="BH57" t="str" cm="1">
        <f t="array" ref="BH57">IF( AND($E$7,NOT(ISBLANK($E57))), IF( _xll.IMDP("IR", $E57, BH$8, Matrix!$D$6)=0,"",_xll.IMDP("IR", $E57, BH$8, Matrix!$D$6)), "")</f>
        <v/>
      </c>
      <c r="BI57" cm="1">
        <f t="array" aca="1" ref="BI57" ca="1">IF( AND($F$7,NOT(ISBLANK($F57))), IF( _xll.IMDP("IR", $F57, BI$8, Matrix!$D$6)=0,"",_xll.IMDP("IR", $F57, BI$8, Matrix!$D$6)), "")</f>
        <v>3.4329999999999998</v>
      </c>
      <c r="BJ57" cm="1">
        <f t="array" aca="1" ref="BJ57" ca="1">IF( AND($F$7,NOT(ISBLANK($F57))), IF( _xll.IMDP("IR", $F57, BJ$8, Matrix!$D$6)=0,"",_xll.IMDP("IR", $F57, BJ$8, Matrix!$D$6)), "")</f>
        <v>3.4249999999999998</v>
      </c>
      <c r="BK57" cm="1">
        <f t="array" aca="1" ref="BK57" ca="1">IF( AND($F$7,NOT(ISBLANK($F57))), IF( _xll.IMDP("IR", $F57, BK$8, Matrix!$D$6)=0,"",_xll.IMDP("IR", $F57, BK$8, Matrix!$D$6)), "")</f>
        <v>3.3769999999999998</v>
      </c>
      <c r="BL57" cm="1">
        <f t="array" aca="1" ref="BL57" ca="1">IF( AND($F$7,NOT(ISBLANK($F57))), IF( _xll.IMDP("IR", $F57, BL$8, Matrix!$D$6)=0,"",_xll.IMDP("IR", $F57, BL$8, Matrix!$D$6)), "")</f>
        <v>3.3380000000000001</v>
      </c>
      <c r="BM57" cm="1">
        <f t="array" aca="1" ref="BM57" ca="1">IF( AND($F$7,NOT(ISBLANK($F57))), IF( _xll.IMDP("IR", $F57, BM$8, Matrix!$D$6)=0,"",_xll.IMDP("IR", $F57, BM$8, Matrix!$D$6)), "")</f>
        <v>3.34</v>
      </c>
      <c r="BN57" cm="1">
        <f t="array" aca="1" ref="BN57" ca="1">IF( AND($F$7,NOT(ISBLANK($F57))), IF( _xll.IMDP("IR", $F57, BN$8, Matrix!$D$6)=0,"",_xll.IMDP("IR", $F57, BN$8, Matrix!$D$6)), "")</f>
        <v>3.3029999999999999</v>
      </c>
      <c r="BO57" cm="1">
        <f t="array" aca="1" ref="BO57" ca="1">IF( AND($F$7,NOT(ISBLANK($F57))), IF( _xll.IMDP("IR", $F57, BO$8, Matrix!$D$6)=0,"",_xll.IMDP("IR", $F57, BO$8, Matrix!$D$6)), "")</f>
        <v>3.3250000000000002</v>
      </c>
      <c r="BP57" cm="1">
        <f t="array" aca="1" ref="BP57" ca="1">IF( AND($F$7,NOT(ISBLANK($F57))), IF( _xll.IMDP("IR", $F57, BP$8, Matrix!$D$6)=0,"",_xll.IMDP("IR", $F57, BP$8, Matrix!$D$6)), "")</f>
        <v>3.3319999999999999</v>
      </c>
      <c r="BQ57" cm="1">
        <f t="array" aca="1" ref="BQ57" ca="1">IF( AND($F$7,NOT(ISBLANK($F57))), IF( _xll.IMDP("IR", $F57, BQ$8, Matrix!$D$6)=0,"",_xll.IMDP("IR", $F57, BQ$8, Matrix!$D$6)), "")</f>
        <v>3.3370000000000002</v>
      </c>
      <c r="BR57" cm="1">
        <f t="array" aca="1" ref="BR57" ca="1">IF( AND($F$7,NOT(ISBLANK($F57))), IF( _xll.IMDP("IR", $F57, BR$8, Matrix!$D$6)=0,"",_xll.IMDP("IR", $F57, BR$8, Matrix!$D$6)), "")</f>
        <v>3.3580000000000001</v>
      </c>
      <c r="BS57" cm="1">
        <f t="array" aca="1" ref="BS57" ca="1">IF( AND($F$7,NOT(ISBLANK($F57))), IF( _xll.IMDP("IR", $F57, BS$8, Matrix!$D$6)=0,"",_xll.IMDP("IR", $F57, BS$8, Matrix!$D$6)), "")</f>
        <v>3.4780000000000002</v>
      </c>
      <c r="BT57" cm="1">
        <f t="array" aca="1" ref="BT57" ca="1">IF( AND($F$7,NOT(ISBLANK($F57))), IF( _xll.IMDP("IR", $F57, BT$8, Matrix!$D$6)=0,"",_xll.IMDP("IR", $F57, BT$8, Matrix!$D$6)), "")</f>
        <v>3.911</v>
      </c>
      <c r="BU57" cm="1">
        <f t="array" aca="1" ref="BU57" ca="1">IF( AND($F$7,NOT(ISBLANK($F57))), IF( _xll.IMDP("IR", $F57, BU$8, Matrix!$D$6)=0,"",_xll.IMDP("IR", $F57, BU$8, Matrix!$D$6)), "")</f>
        <v>4.1849999999999996</v>
      </c>
      <c r="BV57" cm="1">
        <f t="array" aca="1" ref="BV57" ca="1">IF( AND($F$7,NOT(ISBLANK($F57))), IF( _xll.IMDP("IR", $F57, BV$8, Matrix!$D$6)=0,"",_xll.IMDP("IR", $F57, BV$8, Matrix!$D$6)), "")</f>
        <v>4.3479999999999999</v>
      </c>
      <c r="BW57" t="str" cm="1">
        <f t="array" aca="1" ref="BW57" ca="1">IF( AND($F$7,NOT(ISBLANK($F57))), IF( _xll.IMDP("IR", $F57, BW$8, Matrix!$D$6)=0,"",_xll.IMDP("IR", $F57, BW$8, Matrix!$D$6)), "")</f>
        <v/>
      </c>
      <c r="BX57" t="str" cm="1">
        <f t="array" aca="1" ref="BX57" ca="1">IF( AND($F$7,NOT(ISBLANK($F57))), IF( _xll.IMDP("IR", $F57, BX$8, Matrix!$D$6)=0,"",_xll.IMDP("IR", $F57, BX$8, Matrix!$D$6)), "")</f>
        <v/>
      </c>
      <c r="BY57" t="str" cm="1">
        <f t="array" ref="BY57">IF( AND($G$7,NOT(ISBLANK($G57))), IF( _xll.IMDP("IR", $G57, BY$8, Matrix!$D$6)=0, "", _xll.IMDP("IR", $G57, BY$8, Matrix!$D$6)), "")</f>
        <v/>
      </c>
      <c r="BZ57" t="str" cm="1">
        <f t="array" ref="BZ57">IF( AND($G$7,NOT(ISBLANK($G57))), IF( _xll.IMDP("IR", $G57, BZ$8, Matrix!$D$6)=0, "", _xll.IMDP("IR", $G57, BZ$8, Matrix!$D$6)), "")</f>
        <v/>
      </c>
      <c r="CA57" t="str" cm="1">
        <f t="array" ref="CA57">IF( AND($G$7,NOT(ISBLANK($G57))), IF( _xll.IMDP("IR", $G57, CA$8, Matrix!$D$6)=0, "", _xll.IMDP("IR", $G57, CA$8, Matrix!$D$6)), "")</f>
        <v/>
      </c>
      <c r="CB57" t="str" cm="1">
        <f t="array" ref="CB57">IF( AND($G$7,NOT(ISBLANK($G57))), IF( _xll.IMDP("IR", $G57, CB$8, Matrix!$D$6)=0, "", _xll.IMDP("IR", $G57, CB$8, Matrix!$D$6)), "")</f>
        <v/>
      </c>
      <c r="CC57" t="str" cm="1">
        <f t="array" ref="CC57">IF( AND($G$7,NOT(ISBLANK($G57))), IF( _xll.IMDP("IR", $G57, CC$8, Matrix!$D$6)=0, "", _xll.IMDP("IR", $G57, CC$8, Matrix!$D$6)), "")</f>
        <v/>
      </c>
      <c r="CD57" t="str" cm="1">
        <f t="array" ref="CD57">IF( AND($G$7,NOT(ISBLANK($G57))), IF( _xll.IMDP("IR", $G57, CD$8, Matrix!$D$6)=0, "", _xll.IMDP("IR", $G57, CD$8, Matrix!$D$6)), "")</f>
        <v/>
      </c>
      <c r="CE57" t="str" cm="1">
        <f t="array" ref="CE57">IF( AND($G$7,NOT(ISBLANK($G57))), IF( _xll.IMDP("IR", $G57, CE$8, Matrix!$D$6)=0, "", _xll.IMDP("IR", $G57, CE$8, Matrix!$D$6)), "")</f>
        <v/>
      </c>
      <c r="CF57" t="str" cm="1">
        <f t="array" ref="CF57">IF( AND($G$7,NOT(ISBLANK($G57))), IF( _xll.IMDP("IR", $G57, CF$8, Matrix!$D$6)=0, "", _xll.IMDP("IR", $G57, CF$8, Matrix!$D$6)), "")</f>
        <v/>
      </c>
      <c r="CG57" t="str" cm="1">
        <f t="array" ref="CG57">IF( AND($G$7,NOT(ISBLANK($G57))), IF( _xll.IMDP("IR", $G57, CG$8, Matrix!$D$6)=0, "", _xll.IMDP("IR", $G57, CG$8, Matrix!$D$6)), "")</f>
        <v/>
      </c>
      <c r="CH57" t="str" cm="1">
        <f t="array" ref="CH57">IF( AND($G$7,NOT(ISBLANK($G57))), IF( _xll.IMDP("IR", $G57, CH$8, Matrix!$D$6)=0, "", _xll.IMDP("IR", $G57, CH$8, Matrix!$D$6)), "")</f>
        <v/>
      </c>
      <c r="CI57" t="str" cm="1">
        <f t="array" ref="CI57">IF( AND($G$7,NOT(ISBLANK($G57))), IF( _xll.IMDP("IR", $G57, CI$8, Matrix!$D$6)=0, "", _xll.IMDP("IR", $G57, CI$8, Matrix!$D$6)), "")</f>
        <v/>
      </c>
      <c r="CJ57" t="str" cm="1">
        <f t="array" ref="CJ57">IF( AND($G$7,NOT(ISBLANK($G57))), IF( _xll.IMDP("IR", $G57, CJ$8, Matrix!$D$6)=0, "", _xll.IMDP("IR", $G57, CJ$8, Matrix!$D$6)), "")</f>
        <v/>
      </c>
      <c r="CK57" t="str" cm="1">
        <f t="array" ref="CK57">IF( AND($G$7,NOT(ISBLANK($G57))), IF( _xll.IMDP("IR", $G57, CK$8, Matrix!$D$6)=0, "", _xll.IMDP("IR", $G57, CK$8, Matrix!$D$6)), "")</f>
        <v/>
      </c>
      <c r="CL57" t="str" cm="1">
        <f t="array" ref="CL57">IF( AND($G$7,NOT(ISBLANK($G57))), IF( _xll.IMDP("IR", $G57, CL$8, Matrix!$D$6)=0, "", _xll.IMDP("IR", $G57, CL$8, Matrix!$D$6)), "")</f>
        <v/>
      </c>
      <c r="CM57" t="str" cm="1">
        <f t="array" ref="CM57">IF( AND($G$7,NOT(ISBLANK($G57))), IF( _xll.IMDP("IR", $G57, CM$8, Matrix!$D$6)=0, "", _xll.IMDP("IR", $G57, CM$8, Matrix!$D$6)), "")</f>
        <v/>
      </c>
      <c r="CN57" t="str" cm="1">
        <f t="array" ref="CN57">IF( AND($G$7,NOT(ISBLANK($G57))), IF( _xll.IMDP("IR", $G57, CN$8, Matrix!$D$6)=0, "", _xll.IMDP("IR", $G57, CN$8, Matrix!$D$6)), "")</f>
        <v/>
      </c>
      <c r="CO57" t="str" cm="1">
        <f t="array" ref="CO57">IF( AND($H$7,NOT(ISBLANK($H57))), IF( _xll.IMDP("IR", $H57, CO$8, Matrix!$D$6)=0, "", _xll.IMDP("IR", $H57, CO$8, Matrix!$D$6)), "")</f>
        <v/>
      </c>
      <c r="CP57" t="str" cm="1">
        <f t="array" ref="CP57">IF( AND($H$7,NOT(ISBLANK($H57))), IF( _xll.IMDP("IR", $H57, CP$8, Matrix!$D$6)=0, "", _xll.IMDP("IR", $H57, CP$8, Matrix!$D$6)), "")</f>
        <v/>
      </c>
      <c r="CQ57" t="str" cm="1">
        <f t="array" ref="CQ57">IF( AND($H$7,NOT(ISBLANK($H57))), IF( _xll.IMDP("IR", $H57, CQ$8, Matrix!$D$6)=0, "", _xll.IMDP("IR", $H57, CQ$8, Matrix!$D$6)), "")</f>
        <v/>
      </c>
      <c r="CR57" t="str" cm="1">
        <f t="array" ref="CR57">IF( AND($H$7,NOT(ISBLANK($H57))), IF( _xll.IMDP("IR", $H57, CR$8, Matrix!$D$6)=0, "", _xll.IMDP("IR", $H57, CR$8, Matrix!$D$6)), "")</f>
        <v/>
      </c>
      <c r="CS57" t="str" cm="1">
        <f t="array" ref="CS57">IF( AND($H$7,NOT(ISBLANK($H57))), IF( _xll.IMDP("IR", $H57, CS$8, Matrix!$D$6)=0, "", _xll.IMDP("IR", $H57, CS$8, Matrix!$D$6)), "")</f>
        <v/>
      </c>
      <c r="CT57" t="str" cm="1">
        <f t="array" ref="CT57">IF( AND($H$7,NOT(ISBLANK($H57))), IF( _xll.IMDP("IR", $H57, CT$8, Matrix!$D$6)=0, "", _xll.IMDP("IR", $H57, CT$8, Matrix!$D$6)), "")</f>
        <v/>
      </c>
      <c r="CU57" t="str" cm="1">
        <f t="array" ref="CU57">IF( AND($H$7,NOT(ISBLANK($H57))), IF( _xll.IMDP("IR", $H57, CU$8, Matrix!$D$6)=0, "", _xll.IMDP("IR", $H57, CU$8, Matrix!$D$6)), "")</f>
        <v/>
      </c>
      <c r="CV57" t="str" cm="1">
        <f t="array" ref="CV57">IF( AND($H$7,NOT(ISBLANK($H57))), IF( _xll.IMDP("IR", $H57, CV$8, Matrix!$D$6)=0, "", _xll.IMDP("IR", $H57, CV$8, Matrix!$D$6)), "")</f>
        <v/>
      </c>
      <c r="CW57" t="str" cm="1">
        <f t="array" ref="CW57">IF( AND($H$7,NOT(ISBLANK($H57))), IF( _xll.IMDP("IR", $H57, CW$8, Matrix!$D$6)=0, "", _xll.IMDP("IR", $H57, CW$8, Matrix!$D$6)), "")</f>
        <v/>
      </c>
      <c r="CX57" t="str" cm="1">
        <f t="array" ref="CX57">IF( AND($H$7,NOT(ISBLANK($H57))), IF( _xll.IMDP("IR", $H57, CX$8, Matrix!$D$6)=0, "", _xll.IMDP("IR", $H57, CX$8, Matrix!$D$6)), "")</f>
        <v/>
      </c>
      <c r="CY57" t="str" cm="1">
        <f t="array" ref="CY57">IF( AND($H$7,NOT(ISBLANK($H57))), IF( _xll.IMDP("IR", $H57, CY$8, Matrix!$D$6)=0, "", _xll.IMDP("IR", $H57, CY$8, Matrix!$D$6)), "")</f>
        <v/>
      </c>
      <c r="CZ57" t="str" cm="1">
        <f t="array" ref="CZ57">IF( AND($H$7,NOT(ISBLANK($H57))), IF( _xll.IMDP("IR", $H57, CZ$8, Matrix!$D$6)=0, "", _xll.IMDP("IR", $H57, CZ$8, Matrix!$D$6)), "")</f>
        <v/>
      </c>
      <c r="DA57" t="str" cm="1">
        <f t="array" ref="DA57">IF( AND($H$7,NOT(ISBLANK($H57))), IF( _xll.IMDP("IR", $H57, DA$8, Matrix!$D$6)=0, "", _xll.IMDP("IR", $H57, DA$8, Matrix!$D$6)), "")</f>
        <v/>
      </c>
      <c r="DB57" t="str" cm="1">
        <f t="array" ref="DB57">IF( AND($H$7,NOT(ISBLANK($H57))), IF( _xll.IMDP("IR", $H57, DB$8, Matrix!$D$6)=0, "", _xll.IMDP("IR", $H57, DB$8, Matrix!$D$6)), "")</f>
        <v/>
      </c>
      <c r="DC57" t="str" cm="1">
        <f t="array" ref="DC57">IF( AND($H$7,NOT(ISBLANK($H57))), IF( _xll.IMDP("IR", $H57, DC$8, Matrix!$D$6)=0, "", _xll.IMDP("IR", $H57, DC$8, Matrix!$D$6)), "")</f>
        <v/>
      </c>
      <c r="DD57" t="str" cm="1">
        <f t="array" ref="DD57">IF( AND($H$7,NOT(ISBLANK($H57))), IF( _xll.IMDP("IR", $H57, DD$8, Matrix!$D$6)=0, "", _xll.IMDP("IR", $H57, DD$8, Matrix!$D$6)), "")</f>
        <v/>
      </c>
    </row>
    <row r="58" spans="2:108">
      <c r="B58" t="s">
        <v>126</v>
      </c>
      <c r="C58" t="s">
        <v>200</v>
      </c>
      <c r="F58" t="s">
        <v>396</v>
      </c>
      <c r="M58" s="21">
        <f t="shared" ca="1" si="1"/>
        <v>3.444</v>
      </c>
      <c r="N58" s="21">
        <f t="shared" ca="1" si="2"/>
        <v>3.4430000000000001</v>
      </c>
      <c r="O58" s="21">
        <f t="shared" ca="1" si="3"/>
        <v>3.3969999999999998</v>
      </c>
      <c r="P58" s="21">
        <f t="shared" ca="1" si="4"/>
        <v>3.3639999999999999</v>
      </c>
      <c r="Q58" s="21">
        <f t="shared" ca="1" si="5"/>
        <v>3.375</v>
      </c>
      <c r="R58" s="21">
        <f t="shared" ca="1" si="6"/>
        <v>3.3380000000000001</v>
      </c>
      <c r="S58" s="21">
        <f t="shared" ca="1" si="7"/>
        <v>3.3620000000000001</v>
      </c>
      <c r="T58" s="21">
        <f t="shared" ca="1" si="8"/>
        <v>3.3730000000000002</v>
      </c>
      <c r="U58" s="21">
        <f t="shared" ca="1" si="9"/>
        <v>3.3740000000000001</v>
      </c>
      <c r="V58" s="21">
        <f t="shared" ca="1" si="10"/>
        <v>3.419</v>
      </c>
      <c r="W58" s="21">
        <f t="shared" ca="1" si="11"/>
        <v>3.5760000000000001</v>
      </c>
      <c r="X58" s="21">
        <f t="shared" ca="1" si="12"/>
        <v>4.2469999999999999</v>
      </c>
      <c r="Y58" s="21">
        <f t="shared" ca="1" si="13"/>
        <v>4.74</v>
      </c>
      <c r="Z58" s="21">
        <f t="shared" ca="1" si="14"/>
        <v>4.9320000000000004</v>
      </c>
      <c r="AA58" s="21" t="e">
        <f t="shared" ca="1" si="15"/>
        <v>#NUM!</v>
      </c>
      <c r="AB58" s="21" t="e">
        <f t="shared" ca="1" si="16"/>
        <v>#NUM!</v>
      </c>
      <c r="AC58" t="str" cm="1">
        <f t="array" ref="AC58">IF( AND($D$7,NOT(ISBLANK($D58))), IF(_xll.IMDP("IR", $D58, AC$8, Matrix!$D$6)=0,"",_xll.IMDP("IR", $D58, AC$8, Matrix!$D$6)), "")</f>
        <v/>
      </c>
      <c r="AD58" t="str" cm="1">
        <f t="array" ref="AD58">IF( AND($D$7,NOT(ISBLANK($D58))), IF(_xll.IMDP("IR", $D58, AD$8, Matrix!$D$6)=0,"",_xll.IMDP("IR", $D58, AD$8, Matrix!$D$6)), "")</f>
        <v/>
      </c>
      <c r="AE58" t="str" cm="1">
        <f t="array" ref="AE58">IF( AND($D$7,NOT(ISBLANK($D58))), IF(_xll.IMDP("IR", $D58, AE$8, Matrix!$D$6)=0,"",_xll.IMDP("IR", $D58, AE$8, Matrix!$D$6)), "")</f>
        <v/>
      </c>
      <c r="AF58" t="str" cm="1">
        <f t="array" ref="AF58">IF( AND($D$7,NOT(ISBLANK($D58))), IF(_xll.IMDP("IR", $D58, AF$8, Matrix!$D$6)=0,"",_xll.IMDP("IR", $D58, AF$8, Matrix!$D$6)), "")</f>
        <v/>
      </c>
      <c r="AG58" t="str" cm="1">
        <f t="array" ref="AG58">IF( AND($D$7,NOT(ISBLANK($D58))), IF(_xll.IMDP("IR", $D58, AG$8, Matrix!$D$6)=0,"",_xll.IMDP("IR", $D58, AG$8, Matrix!$D$6)), "")</f>
        <v/>
      </c>
      <c r="AH58" t="str" cm="1">
        <f t="array" ref="AH58">IF( AND($D$7,NOT(ISBLANK($D58))), IF(_xll.IMDP("IR", $D58, AH$8, Matrix!$D$6)=0,"",_xll.IMDP("IR", $D58, AH$8, Matrix!$D$6)), "")</f>
        <v/>
      </c>
      <c r="AI58" t="str" cm="1">
        <f t="array" ref="AI58">IF( AND($D$7,NOT(ISBLANK($D58))), IF(_xll.IMDP("IR", $D58, AI$8, Matrix!$D$6)=0,"",_xll.IMDP("IR", $D58, AI$8, Matrix!$D$6)), "")</f>
        <v/>
      </c>
      <c r="AJ58" t="str" cm="1">
        <f t="array" ref="AJ58">IF( AND($D$7,NOT(ISBLANK($D58))), IF(_xll.IMDP("IR", $D58, AJ$8, Matrix!$D$6)=0,"",_xll.IMDP("IR", $D58, AJ$8, Matrix!$D$6)), "")</f>
        <v/>
      </c>
      <c r="AK58" t="str" cm="1">
        <f t="array" ref="AK58">IF( AND($D$7,NOT(ISBLANK($D58))), IF(_xll.IMDP("IR", $D58, AK$8, Matrix!$D$6)=0,"",_xll.IMDP("IR", $D58, AK$8, Matrix!$D$6)), "")</f>
        <v/>
      </c>
      <c r="AL58" t="str" cm="1">
        <f t="array" ref="AL58">IF( AND($D$7,NOT(ISBLANK($D58))), IF(_xll.IMDP("IR", $D58, AL$8, Matrix!$D$6)=0,"",_xll.IMDP("IR", $D58, AL$8, Matrix!$D$6)), "")</f>
        <v/>
      </c>
      <c r="AM58" t="str" cm="1">
        <f t="array" ref="AM58">IF( AND($D$7,NOT(ISBLANK($D58))), IF(_xll.IMDP("IR", $D58, AM$8, Matrix!$D$6)=0,"",_xll.IMDP("IR", $D58, AM$8, Matrix!$D$6)), "")</f>
        <v/>
      </c>
      <c r="AN58" t="str" cm="1">
        <f t="array" ref="AN58">IF( AND($D$7,NOT(ISBLANK($D58))), IF(_xll.IMDP("IR", $D58, AN$8, Matrix!$D$6)=0,"",_xll.IMDP("IR", $D58, AN$8, Matrix!$D$6)), "")</f>
        <v/>
      </c>
      <c r="AO58" t="str" cm="1">
        <f t="array" ref="AO58">IF( AND($D$7,NOT(ISBLANK($D58))), IF(_xll.IMDP("IR", $D58, AO$8, Matrix!$D$6)=0,"",_xll.IMDP("IR", $D58, AO$8, Matrix!$D$6)), "")</f>
        <v/>
      </c>
      <c r="AP58" t="str" cm="1">
        <f t="array" ref="AP58">IF( AND($D$7,NOT(ISBLANK($D58))), IF(_xll.IMDP("IR", $D58, AP$8, Matrix!$D$6)=0,"",_xll.IMDP("IR", $D58, AP$8, Matrix!$D$6)), "")</f>
        <v/>
      </c>
      <c r="AQ58" t="str" cm="1">
        <f t="array" ref="AQ58">IF( AND($D$7,NOT(ISBLANK($D58))), IF(_xll.IMDP("IR", $D58, AQ$8, Matrix!$D$6)=0,"",_xll.IMDP("IR", $D58, AQ$8, Matrix!$D$6)), "")</f>
        <v/>
      </c>
      <c r="AR58" t="str" cm="1">
        <f t="array" ref="AR58">IF( AND($D$7,NOT(ISBLANK($D58))), IF(_xll.IMDP("IR", $D58, AR$8, Matrix!$D$6)=0,"",_xll.IMDP("IR", $D58, AR$8, Matrix!$D$6)), "")</f>
        <v/>
      </c>
      <c r="AS58" t="str" cm="1">
        <f t="array" ref="AS58">IF( AND($E$7,NOT(ISBLANK($E58))), IF( _xll.IMDP("IR", $E58, AS$8, Matrix!$D$6)=0,"",_xll.IMDP("IR", $E58, AS$8, Matrix!$D$6)), "")</f>
        <v/>
      </c>
      <c r="AT58" t="str" cm="1">
        <f t="array" ref="AT58">IF( AND($E$7,NOT(ISBLANK($E58))), IF( _xll.IMDP("IR", $E58, AT$8, Matrix!$D$6)=0,"",_xll.IMDP("IR", $E58, AT$8, Matrix!$D$6)), "")</f>
        <v/>
      </c>
      <c r="AU58" t="str" cm="1">
        <f t="array" ref="AU58">IF( AND($E$7,NOT(ISBLANK($E58))), IF( _xll.IMDP("IR", $E58, AU$8, Matrix!$D$6)=0,"",_xll.IMDP("IR", $E58, AU$8, Matrix!$D$6)), "")</f>
        <v/>
      </c>
      <c r="AV58" t="str" cm="1">
        <f t="array" ref="AV58">IF( AND($E$7,NOT(ISBLANK($E58))), IF( _xll.IMDP("IR", $E58, AV$8, Matrix!$D$6)=0,"",_xll.IMDP("IR", $E58, AV$8, Matrix!$D$6)), "")</f>
        <v/>
      </c>
      <c r="AW58" t="str" cm="1">
        <f t="array" ref="AW58">IF( AND($E$7,NOT(ISBLANK($E58))), IF( _xll.IMDP("IR", $E58, AW$8, Matrix!$D$6)=0,"",_xll.IMDP("IR", $E58, AW$8, Matrix!$D$6)), "")</f>
        <v/>
      </c>
      <c r="AX58" t="str" cm="1">
        <f t="array" ref="AX58">IF( AND($E$7,NOT(ISBLANK($E58))), IF( _xll.IMDP("IR", $E58, AX$8, Matrix!$D$6)=0,"",_xll.IMDP("IR", $E58, AX$8, Matrix!$D$6)), "")</f>
        <v/>
      </c>
      <c r="AY58" t="str" cm="1">
        <f t="array" ref="AY58">IF( AND($E$7,NOT(ISBLANK($E58))), IF( _xll.IMDP("IR", $E58, AY$8, Matrix!$D$6)=0,"",_xll.IMDP("IR", $E58, AY$8, Matrix!$D$6)), "")</f>
        <v/>
      </c>
      <c r="AZ58" t="str" cm="1">
        <f t="array" ref="AZ58">IF( AND($E$7,NOT(ISBLANK($E58))), IF( _xll.IMDP("IR", $E58, AZ$8, Matrix!$D$6)=0,"",_xll.IMDP("IR", $E58, AZ$8, Matrix!$D$6)), "")</f>
        <v/>
      </c>
      <c r="BA58" t="str" cm="1">
        <f t="array" ref="BA58">IF( AND($E$7,NOT(ISBLANK($E58))), IF( _xll.IMDP("IR", $E58, BA$8, Matrix!$D$6)=0,"",_xll.IMDP("IR", $E58, BA$8, Matrix!$D$6)), "")</f>
        <v/>
      </c>
      <c r="BB58" t="str" cm="1">
        <f t="array" ref="BB58">IF( AND($E$7,NOT(ISBLANK($E58))), IF( _xll.IMDP("IR", $E58, BB$8, Matrix!$D$6)=0,"",_xll.IMDP("IR", $E58, BB$8, Matrix!$D$6)), "")</f>
        <v/>
      </c>
      <c r="BC58" t="str" cm="1">
        <f t="array" ref="BC58">IF( AND($E$7,NOT(ISBLANK($E58))), IF( _xll.IMDP("IR", $E58, BC$8, Matrix!$D$6)=0,"",_xll.IMDP("IR", $E58, BC$8, Matrix!$D$6)), "")</f>
        <v/>
      </c>
      <c r="BD58" t="str" cm="1">
        <f t="array" ref="BD58">IF( AND($E$7,NOT(ISBLANK($E58))), IF( _xll.IMDP("IR", $E58, BD$8, Matrix!$D$6)=0,"",_xll.IMDP("IR", $E58, BD$8, Matrix!$D$6)), "")</f>
        <v/>
      </c>
      <c r="BE58" t="str" cm="1">
        <f t="array" ref="BE58">IF( AND($E$7,NOT(ISBLANK($E58))), IF( _xll.IMDP("IR", $E58, BE$8, Matrix!$D$6)=0,"",_xll.IMDP("IR", $E58, BE$8, Matrix!$D$6)), "")</f>
        <v/>
      </c>
      <c r="BF58" t="str" cm="1">
        <f t="array" ref="BF58">IF( AND($E$7,NOT(ISBLANK($E58))), IF( _xll.IMDP("IR", $E58, BF$8, Matrix!$D$6)=0,"",_xll.IMDP("IR", $E58, BF$8, Matrix!$D$6)), "")</f>
        <v/>
      </c>
      <c r="BG58" t="str" cm="1">
        <f t="array" ref="BG58">IF( AND($E$7,NOT(ISBLANK($E58))), IF( _xll.IMDP("IR", $E58, BG$8, Matrix!$D$6)=0,"",_xll.IMDP("IR", $E58, BG$8, Matrix!$D$6)), "")</f>
        <v/>
      </c>
      <c r="BH58" t="str" cm="1">
        <f t="array" ref="BH58">IF( AND($E$7,NOT(ISBLANK($E58))), IF( _xll.IMDP("IR", $E58, BH$8, Matrix!$D$6)=0,"",_xll.IMDP("IR", $E58, BH$8, Matrix!$D$6)), "")</f>
        <v/>
      </c>
      <c r="BI58" cm="1">
        <f t="array" aca="1" ref="BI58" ca="1">IF( AND($F$7,NOT(ISBLANK($F58))), IF( _xll.IMDP("IR", $F58, BI$8, Matrix!$D$6)=0,"",_xll.IMDP("IR", $F58, BI$8, Matrix!$D$6)), "")</f>
        <v>3.444</v>
      </c>
      <c r="BJ58" cm="1">
        <f t="array" aca="1" ref="BJ58" ca="1">IF( AND($F$7,NOT(ISBLANK($F58))), IF( _xll.IMDP("IR", $F58, BJ$8, Matrix!$D$6)=0,"",_xll.IMDP("IR", $F58, BJ$8, Matrix!$D$6)), "")</f>
        <v>3.4430000000000001</v>
      </c>
      <c r="BK58" cm="1">
        <f t="array" aca="1" ref="BK58" ca="1">IF( AND($F$7,NOT(ISBLANK($F58))), IF( _xll.IMDP("IR", $F58, BK$8, Matrix!$D$6)=0,"",_xll.IMDP("IR", $F58, BK$8, Matrix!$D$6)), "")</f>
        <v>3.3969999999999998</v>
      </c>
      <c r="BL58" cm="1">
        <f t="array" aca="1" ref="BL58" ca="1">IF( AND($F$7,NOT(ISBLANK($F58))), IF( _xll.IMDP("IR", $F58, BL$8, Matrix!$D$6)=0,"",_xll.IMDP("IR", $F58, BL$8, Matrix!$D$6)), "")</f>
        <v>3.3639999999999999</v>
      </c>
      <c r="BM58" cm="1">
        <f t="array" aca="1" ref="BM58" ca="1">IF( AND($F$7,NOT(ISBLANK($F58))), IF( _xll.IMDP("IR", $F58, BM$8, Matrix!$D$6)=0,"",_xll.IMDP("IR", $F58, BM$8, Matrix!$D$6)), "")</f>
        <v>3.375</v>
      </c>
      <c r="BN58" cm="1">
        <f t="array" aca="1" ref="BN58" ca="1">IF( AND($F$7,NOT(ISBLANK($F58))), IF( _xll.IMDP("IR", $F58, BN$8, Matrix!$D$6)=0,"",_xll.IMDP("IR", $F58, BN$8, Matrix!$D$6)), "")</f>
        <v>3.3380000000000001</v>
      </c>
      <c r="BO58" cm="1">
        <f t="array" aca="1" ref="BO58" ca="1">IF( AND($F$7,NOT(ISBLANK($F58))), IF( _xll.IMDP("IR", $F58, BO$8, Matrix!$D$6)=0,"",_xll.IMDP("IR", $F58, BO$8, Matrix!$D$6)), "")</f>
        <v>3.3620000000000001</v>
      </c>
      <c r="BP58" cm="1">
        <f t="array" aca="1" ref="BP58" ca="1">IF( AND($F$7,NOT(ISBLANK($F58))), IF( _xll.IMDP("IR", $F58, BP$8, Matrix!$D$6)=0,"",_xll.IMDP("IR", $F58, BP$8, Matrix!$D$6)), "")</f>
        <v>3.3730000000000002</v>
      </c>
      <c r="BQ58" cm="1">
        <f t="array" aca="1" ref="BQ58" ca="1">IF( AND($F$7,NOT(ISBLANK($F58))), IF( _xll.IMDP("IR", $F58, BQ$8, Matrix!$D$6)=0,"",_xll.IMDP("IR", $F58, BQ$8, Matrix!$D$6)), "")</f>
        <v>3.3740000000000001</v>
      </c>
      <c r="BR58" cm="1">
        <f t="array" aca="1" ref="BR58" ca="1">IF( AND($F$7,NOT(ISBLANK($F58))), IF( _xll.IMDP("IR", $F58, BR$8, Matrix!$D$6)=0,"",_xll.IMDP("IR", $F58, BR$8, Matrix!$D$6)), "")</f>
        <v>3.419</v>
      </c>
      <c r="BS58" cm="1">
        <f t="array" aca="1" ref="BS58" ca="1">IF( AND($F$7,NOT(ISBLANK($F58))), IF( _xll.IMDP("IR", $F58, BS$8, Matrix!$D$6)=0,"",_xll.IMDP("IR", $F58, BS$8, Matrix!$D$6)), "")</f>
        <v>3.5760000000000001</v>
      </c>
      <c r="BT58" cm="1">
        <f t="array" aca="1" ref="BT58" ca="1">IF( AND($F$7,NOT(ISBLANK($F58))), IF( _xll.IMDP("IR", $F58, BT$8, Matrix!$D$6)=0,"",_xll.IMDP("IR", $F58, BT$8, Matrix!$D$6)), "")</f>
        <v>4.2469999999999999</v>
      </c>
      <c r="BU58" cm="1">
        <f t="array" aca="1" ref="BU58" ca="1">IF( AND($F$7,NOT(ISBLANK($F58))), IF( _xll.IMDP("IR", $F58, BU$8, Matrix!$D$6)=0,"",_xll.IMDP("IR", $F58, BU$8, Matrix!$D$6)), "")</f>
        <v>4.74</v>
      </c>
      <c r="BV58" cm="1">
        <f t="array" aca="1" ref="BV58" ca="1">IF( AND($F$7,NOT(ISBLANK($F58))), IF( _xll.IMDP("IR", $F58, BV$8, Matrix!$D$6)=0,"",_xll.IMDP("IR", $F58, BV$8, Matrix!$D$6)), "")</f>
        <v>4.9320000000000004</v>
      </c>
      <c r="BW58" t="str" cm="1">
        <f t="array" aca="1" ref="BW58" ca="1">IF( AND($F$7,NOT(ISBLANK($F58))), IF( _xll.IMDP("IR", $F58, BW$8, Matrix!$D$6)=0,"",_xll.IMDP("IR", $F58, BW$8, Matrix!$D$6)), "")</f>
        <v/>
      </c>
      <c r="BX58" t="str" cm="1">
        <f t="array" aca="1" ref="BX58" ca="1">IF( AND($F$7,NOT(ISBLANK($F58))), IF( _xll.IMDP("IR", $F58, BX$8, Matrix!$D$6)=0,"",_xll.IMDP("IR", $F58, BX$8, Matrix!$D$6)), "")</f>
        <v/>
      </c>
      <c r="BY58" t="str" cm="1">
        <f t="array" ref="BY58">IF( AND($G$7,NOT(ISBLANK($G58))), IF( _xll.IMDP("IR", $G58, BY$8, Matrix!$D$6)=0, "", _xll.IMDP("IR", $G58, BY$8, Matrix!$D$6)), "")</f>
        <v/>
      </c>
      <c r="BZ58" t="str" cm="1">
        <f t="array" ref="BZ58">IF( AND($G$7,NOT(ISBLANK($G58))), IF( _xll.IMDP("IR", $G58, BZ$8, Matrix!$D$6)=0, "", _xll.IMDP("IR", $G58, BZ$8, Matrix!$D$6)), "")</f>
        <v/>
      </c>
      <c r="CA58" t="str" cm="1">
        <f t="array" ref="CA58">IF( AND($G$7,NOT(ISBLANK($G58))), IF( _xll.IMDP("IR", $G58, CA$8, Matrix!$D$6)=0, "", _xll.IMDP("IR", $G58, CA$8, Matrix!$D$6)), "")</f>
        <v/>
      </c>
      <c r="CB58" t="str" cm="1">
        <f t="array" ref="CB58">IF( AND($G$7,NOT(ISBLANK($G58))), IF( _xll.IMDP("IR", $G58, CB$8, Matrix!$D$6)=0, "", _xll.IMDP("IR", $G58, CB$8, Matrix!$D$6)), "")</f>
        <v/>
      </c>
      <c r="CC58" t="str" cm="1">
        <f t="array" ref="CC58">IF( AND($G$7,NOT(ISBLANK($G58))), IF( _xll.IMDP("IR", $G58, CC$8, Matrix!$D$6)=0, "", _xll.IMDP("IR", $G58, CC$8, Matrix!$D$6)), "")</f>
        <v/>
      </c>
      <c r="CD58" t="str" cm="1">
        <f t="array" ref="CD58">IF( AND($G$7,NOT(ISBLANK($G58))), IF( _xll.IMDP("IR", $G58, CD$8, Matrix!$D$6)=0, "", _xll.IMDP("IR", $G58, CD$8, Matrix!$D$6)), "")</f>
        <v/>
      </c>
      <c r="CE58" t="str" cm="1">
        <f t="array" ref="CE58">IF( AND($G$7,NOT(ISBLANK($G58))), IF( _xll.IMDP("IR", $G58, CE$8, Matrix!$D$6)=0, "", _xll.IMDP("IR", $G58, CE$8, Matrix!$D$6)), "")</f>
        <v/>
      </c>
      <c r="CF58" t="str" cm="1">
        <f t="array" ref="CF58">IF( AND($G$7,NOT(ISBLANK($G58))), IF( _xll.IMDP("IR", $G58, CF$8, Matrix!$D$6)=0, "", _xll.IMDP("IR", $G58, CF$8, Matrix!$D$6)), "")</f>
        <v/>
      </c>
      <c r="CG58" t="str" cm="1">
        <f t="array" ref="CG58">IF( AND($G$7,NOT(ISBLANK($G58))), IF( _xll.IMDP("IR", $G58, CG$8, Matrix!$D$6)=0, "", _xll.IMDP("IR", $G58, CG$8, Matrix!$D$6)), "")</f>
        <v/>
      </c>
      <c r="CH58" t="str" cm="1">
        <f t="array" ref="CH58">IF( AND($G$7,NOT(ISBLANK($G58))), IF( _xll.IMDP("IR", $G58, CH$8, Matrix!$D$6)=0, "", _xll.IMDP("IR", $G58, CH$8, Matrix!$D$6)), "")</f>
        <v/>
      </c>
      <c r="CI58" t="str" cm="1">
        <f t="array" ref="CI58">IF( AND($G$7,NOT(ISBLANK($G58))), IF( _xll.IMDP("IR", $G58, CI$8, Matrix!$D$6)=0, "", _xll.IMDP("IR", $G58, CI$8, Matrix!$D$6)), "")</f>
        <v/>
      </c>
      <c r="CJ58" t="str" cm="1">
        <f t="array" ref="CJ58">IF( AND($G$7,NOT(ISBLANK($G58))), IF( _xll.IMDP("IR", $G58, CJ$8, Matrix!$D$6)=0, "", _xll.IMDP("IR", $G58, CJ$8, Matrix!$D$6)), "")</f>
        <v/>
      </c>
      <c r="CK58" t="str" cm="1">
        <f t="array" ref="CK58">IF( AND($G$7,NOT(ISBLANK($G58))), IF( _xll.IMDP("IR", $G58, CK$8, Matrix!$D$6)=0, "", _xll.IMDP("IR", $G58, CK$8, Matrix!$D$6)), "")</f>
        <v/>
      </c>
      <c r="CL58" t="str" cm="1">
        <f t="array" ref="CL58">IF( AND($G$7,NOT(ISBLANK($G58))), IF( _xll.IMDP("IR", $G58, CL$8, Matrix!$D$6)=0, "", _xll.IMDP("IR", $G58, CL$8, Matrix!$D$6)), "")</f>
        <v/>
      </c>
      <c r="CM58" t="str" cm="1">
        <f t="array" ref="CM58">IF( AND($G$7,NOT(ISBLANK($G58))), IF( _xll.IMDP("IR", $G58, CM$8, Matrix!$D$6)=0, "", _xll.IMDP("IR", $G58, CM$8, Matrix!$D$6)), "")</f>
        <v/>
      </c>
      <c r="CN58" t="str" cm="1">
        <f t="array" ref="CN58">IF( AND($G$7,NOT(ISBLANK($G58))), IF( _xll.IMDP("IR", $G58, CN$8, Matrix!$D$6)=0, "", _xll.IMDP("IR", $G58, CN$8, Matrix!$D$6)), "")</f>
        <v/>
      </c>
      <c r="CO58" t="str" cm="1">
        <f t="array" ref="CO58">IF( AND($H$7,NOT(ISBLANK($H58))), IF( _xll.IMDP("IR", $H58, CO$8, Matrix!$D$6)=0, "", _xll.IMDP("IR", $H58, CO$8, Matrix!$D$6)), "")</f>
        <v/>
      </c>
      <c r="CP58" t="str" cm="1">
        <f t="array" ref="CP58">IF( AND($H$7,NOT(ISBLANK($H58))), IF( _xll.IMDP("IR", $H58, CP$8, Matrix!$D$6)=0, "", _xll.IMDP("IR", $H58, CP$8, Matrix!$D$6)), "")</f>
        <v/>
      </c>
      <c r="CQ58" t="str" cm="1">
        <f t="array" ref="CQ58">IF( AND($H$7,NOT(ISBLANK($H58))), IF( _xll.IMDP("IR", $H58, CQ$8, Matrix!$D$6)=0, "", _xll.IMDP("IR", $H58, CQ$8, Matrix!$D$6)), "")</f>
        <v/>
      </c>
      <c r="CR58" t="str" cm="1">
        <f t="array" ref="CR58">IF( AND($H$7,NOT(ISBLANK($H58))), IF( _xll.IMDP("IR", $H58, CR$8, Matrix!$D$6)=0, "", _xll.IMDP("IR", $H58, CR$8, Matrix!$D$6)), "")</f>
        <v/>
      </c>
      <c r="CS58" t="str" cm="1">
        <f t="array" ref="CS58">IF( AND($H$7,NOT(ISBLANK($H58))), IF( _xll.IMDP("IR", $H58, CS$8, Matrix!$D$6)=0, "", _xll.IMDP("IR", $H58, CS$8, Matrix!$D$6)), "")</f>
        <v/>
      </c>
      <c r="CT58" t="str" cm="1">
        <f t="array" ref="CT58">IF( AND($H$7,NOT(ISBLANK($H58))), IF( _xll.IMDP("IR", $H58, CT$8, Matrix!$D$6)=0, "", _xll.IMDP("IR", $H58, CT$8, Matrix!$D$6)), "")</f>
        <v/>
      </c>
      <c r="CU58" t="str" cm="1">
        <f t="array" ref="CU58">IF( AND($H$7,NOT(ISBLANK($H58))), IF( _xll.IMDP("IR", $H58, CU$8, Matrix!$D$6)=0, "", _xll.IMDP("IR", $H58, CU$8, Matrix!$D$6)), "")</f>
        <v/>
      </c>
      <c r="CV58" t="str" cm="1">
        <f t="array" ref="CV58">IF( AND($H$7,NOT(ISBLANK($H58))), IF( _xll.IMDP("IR", $H58, CV$8, Matrix!$D$6)=0, "", _xll.IMDP("IR", $H58, CV$8, Matrix!$D$6)), "")</f>
        <v/>
      </c>
      <c r="CW58" t="str" cm="1">
        <f t="array" ref="CW58">IF( AND($H$7,NOT(ISBLANK($H58))), IF( _xll.IMDP("IR", $H58, CW$8, Matrix!$D$6)=0, "", _xll.IMDP("IR", $H58, CW$8, Matrix!$D$6)), "")</f>
        <v/>
      </c>
      <c r="CX58" t="str" cm="1">
        <f t="array" ref="CX58">IF( AND($H$7,NOT(ISBLANK($H58))), IF( _xll.IMDP("IR", $H58, CX$8, Matrix!$D$6)=0, "", _xll.IMDP("IR", $H58, CX$8, Matrix!$D$6)), "")</f>
        <v/>
      </c>
      <c r="CY58" t="str" cm="1">
        <f t="array" ref="CY58">IF( AND($H$7,NOT(ISBLANK($H58))), IF( _xll.IMDP("IR", $H58, CY$8, Matrix!$D$6)=0, "", _xll.IMDP("IR", $H58, CY$8, Matrix!$D$6)), "")</f>
        <v/>
      </c>
      <c r="CZ58" t="str" cm="1">
        <f t="array" ref="CZ58">IF( AND($H$7,NOT(ISBLANK($H58))), IF( _xll.IMDP("IR", $H58, CZ$8, Matrix!$D$6)=0, "", _xll.IMDP("IR", $H58, CZ$8, Matrix!$D$6)), "")</f>
        <v/>
      </c>
      <c r="DA58" t="str" cm="1">
        <f t="array" ref="DA58">IF( AND($H$7,NOT(ISBLANK($H58))), IF( _xll.IMDP("IR", $H58, DA$8, Matrix!$D$6)=0, "", _xll.IMDP("IR", $H58, DA$8, Matrix!$D$6)), "")</f>
        <v/>
      </c>
      <c r="DB58" t="str" cm="1">
        <f t="array" ref="DB58">IF( AND($H$7,NOT(ISBLANK($H58))), IF( _xll.IMDP("IR", $H58, DB$8, Matrix!$D$6)=0, "", _xll.IMDP("IR", $H58, DB$8, Matrix!$D$6)), "")</f>
        <v/>
      </c>
      <c r="DC58" t="str" cm="1">
        <f t="array" ref="DC58">IF( AND($H$7,NOT(ISBLANK($H58))), IF( _xll.IMDP("IR", $H58, DC$8, Matrix!$D$6)=0, "", _xll.IMDP("IR", $H58, DC$8, Matrix!$D$6)), "")</f>
        <v/>
      </c>
      <c r="DD58" t="str" cm="1">
        <f t="array" ref="DD58">IF( AND($H$7,NOT(ISBLANK($H58))), IF( _xll.IMDP("IR", $H58, DD$8, Matrix!$D$6)=0, "", _xll.IMDP("IR", $H58, DD$8, Matrix!$D$6)), "")</f>
        <v/>
      </c>
    </row>
    <row r="59" spans="2:108">
      <c r="B59" t="s">
        <v>127</v>
      </c>
      <c r="C59" t="s">
        <v>201</v>
      </c>
      <c r="F59" t="s">
        <v>397</v>
      </c>
      <c r="M59" s="21">
        <f t="shared" ca="1" si="1"/>
        <v>3.4670000000000001</v>
      </c>
      <c r="N59" s="21">
        <f t="shared" ca="1" si="2"/>
        <v>3.4660000000000002</v>
      </c>
      <c r="O59" s="21">
        <f t="shared" ca="1" si="3"/>
        <v>3.4209999999999998</v>
      </c>
      <c r="P59" s="21">
        <f t="shared" ca="1" si="4"/>
        <v>3.391</v>
      </c>
      <c r="Q59" s="21">
        <f t="shared" ca="1" si="5"/>
        <v>3.3969999999999998</v>
      </c>
      <c r="R59" s="21">
        <f t="shared" ca="1" si="6"/>
        <v>3.3730000000000002</v>
      </c>
      <c r="S59" s="21">
        <f t="shared" ca="1" si="7"/>
        <v>3.4</v>
      </c>
      <c r="T59" s="21">
        <f t="shared" ca="1" si="8"/>
        <v>3.4129999999999998</v>
      </c>
      <c r="U59" s="21">
        <f t="shared" ca="1" si="9"/>
        <v>3.423</v>
      </c>
      <c r="V59" s="21">
        <f t="shared" ca="1" si="10"/>
        <v>3.5219999999999998</v>
      </c>
      <c r="W59" s="21">
        <f t="shared" ca="1" si="11"/>
        <v>3.7749999999999999</v>
      </c>
      <c r="X59" s="21">
        <f t="shared" ca="1" si="12"/>
        <v>4.6189999999999998</v>
      </c>
      <c r="Y59" s="21">
        <f t="shared" ca="1" si="13"/>
        <v>5.2370000000000001</v>
      </c>
      <c r="Z59" s="21">
        <f t="shared" ca="1" si="14"/>
        <v>5.4690000000000003</v>
      </c>
      <c r="AA59" s="21" t="e">
        <f t="shared" ca="1" si="15"/>
        <v>#NUM!</v>
      </c>
      <c r="AB59" s="21" t="e">
        <f t="shared" ca="1" si="16"/>
        <v>#NUM!</v>
      </c>
      <c r="AC59" t="str" cm="1">
        <f t="array" ref="AC59">IF( AND($D$7,NOT(ISBLANK($D59))), IF(_xll.IMDP("IR", $D59, AC$8, Matrix!$D$6)=0,"",_xll.IMDP("IR", $D59, AC$8, Matrix!$D$6)), "")</f>
        <v/>
      </c>
      <c r="AD59" t="str" cm="1">
        <f t="array" ref="AD59">IF( AND($D$7,NOT(ISBLANK($D59))), IF(_xll.IMDP("IR", $D59, AD$8, Matrix!$D$6)=0,"",_xll.IMDP("IR", $D59, AD$8, Matrix!$D$6)), "")</f>
        <v/>
      </c>
      <c r="AE59" t="str" cm="1">
        <f t="array" ref="AE59">IF( AND($D$7,NOT(ISBLANK($D59))), IF(_xll.IMDP("IR", $D59, AE$8, Matrix!$D$6)=0,"",_xll.IMDP("IR", $D59, AE$8, Matrix!$D$6)), "")</f>
        <v/>
      </c>
      <c r="AF59" t="str" cm="1">
        <f t="array" ref="AF59">IF( AND($D$7,NOT(ISBLANK($D59))), IF(_xll.IMDP("IR", $D59, AF$8, Matrix!$D$6)=0,"",_xll.IMDP("IR", $D59, AF$8, Matrix!$D$6)), "")</f>
        <v/>
      </c>
      <c r="AG59" t="str" cm="1">
        <f t="array" ref="AG59">IF( AND($D$7,NOT(ISBLANK($D59))), IF(_xll.IMDP("IR", $D59, AG$8, Matrix!$D$6)=0,"",_xll.IMDP("IR", $D59, AG$8, Matrix!$D$6)), "")</f>
        <v/>
      </c>
      <c r="AH59" t="str" cm="1">
        <f t="array" ref="AH59">IF( AND($D$7,NOT(ISBLANK($D59))), IF(_xll.IMDP("IR", $D59, AH$8, Matrix!$D$6)=0,"",_xll.IMDP("IR", $D59, AH$8, Matrix!$D$6)), "")</f>
        <v/>
      </c>
      <c r="AI59" t="str" cm="1">
        <f t="array" ref="AI59">IF( AND($D$7,NOT(ISBLANK($D59))), IF(_xll.IMDP("IR", $D59, AI$8, Matrix!$D$6)=0,"",_xll.IMDP("IR", $D59, AI$8, Matrix!$D$6)), "")</f>
        <v/>
      </c>
      <c r="AJ59" t="str" cm="1">
        <f t="array" ref="AJ59">IF( AND($D$7,NOT(ISBLANK($D59))), IF(_xll.IMDP("IR", $D59, AJ$8, Matrix!$D$6)=0,"",_xll.IMDP("IR", $D59, AJ$8, Matrix!$D$6)), "")</f>
        <v/>
      </c>
      <c r="AK59" t="str" cm="1">
        <f t="array" ref="AK59">IF( AND($D$7,NOT(ISBLANK($D59))), IF(_xll.IMDP("IR", $D59, AK$8, Matrix!$D$6)=0,"",_xll.IMDP("IR", $D59, AK$8, Matrix!$D$6)), "")</f>
        <v/>
      </c>
      <c r="AL59" t="str" cm="1">
        <f t="array" ref="AL59">IF( AND($D$7,NOT(ISBLANK($D59))), IF(_xll.IMDP("IR", $D59, AL$8, Matrix!$D$6)=0,"",_xll.IMDP("IR", $D59, AL$8, Matrix!$D$6)), "")</f>
        <v/>
      </c>
      <c r="AM59" t="str" cm="1">
        <f t="array" ref="AM59">IF( AND($D$7,NOT(ISBLANK($D59))), IF(_xll.IMDP("IR", $D59, AM$8, Matrix!$D$6)=0,"",_xll.IMDP("IR", $D59, AM$8, Matrix!$D$6)), "")</f>
        <v/>
      </c>
      <c r="AN59" t="str" cm="1">
        <f t="array" ref="AN59">IF( AND($D$7,NOT(ISBLANK($D59))), IF(_xll.IMDP("IR", $D59, AN$8, Matrix!$D$6)=0,"",_xll.IMDP("IR", $D59, AN$8, Matrix!$D$6)), "")</f>
        <v/>
      </c>
      <c r="AO59" t="str" cm="1">
        <f t="array" ref="AO59">IF( AND($D$7,NOT(ISBLANK($D59))), IF(_xll.IMDP("IR", $D59, AO$8, Matrix!$D$6)=0,"",_xll.IMDP("IR", $D59, AO$8, Matrix!$D$6)), "")</f>
        <v/>
      </c>
      <c r="AP59" t="str" cm="1">
        <f t="array" ref="AP59">IF( AND($D$7,NOT(ISBLANK($D59))), IF(_xll.IMDP("IR", $D59, AP$8, Matrix!$D$6)=0,"",_xll.IMDP("IR", $D59, AP$8, Matrix!$D$6)), "")</f>
        <v/>
      </c>
      <c r="AQ59" t="str" cm="1">
        <f t="array" ref="AQ59">IF( AND($D$7,NOT(ISBLANK($D59))), IF(_xll.IMDP("IR", $D59, AQ$8, Matrix!$D$6)=0,"",_xll.IMDP("IR", $D59, AQ$8, Matrix!$D$6)), "")</f>
        <v/>
      </c>
      <c r="AR59" t="str" cm="1">
        <f t="array" ref="AR59">IF( AND($D$7,NOT(ISBLANK($D59))), IF(_xll.IMDP("IR", $D59, AR$8, Matrix!$D$6)=0,"",_xll.IMDP("IR", $D59, AR$8, Matrix!$D$6)), "")</f>
        <v/>
      </c>
      <c r="AS59" t="str" cm="1">
        <f t="array" ref="AS59">IF( AND($E$7,NOT(ISBLANK($E59))), IF( _xll.IMDP("IR", $E59, AS$8, Matrix!$D$6)=0,"",_xll.IMDP("IR", $E59, AS$8, Matrix!$D$6)), "")</f>
        <v/>
      </c>
      <c r="AT59" t="str" cm="1">
        <f t="array" ref="AT59">IF( AND($E$7,NOT(ISBLANK($E59))), IF( _xll.IMDP("IR", $E59, AT$8, Matrix!$D$6)=0,"",_xll.IMDP("IR", $E59, AT$8, Matrix!$D$6)), "")</f>
        <v/>
      </c>
      <c r="AU59" t="str" cm="1">
        <f t="array" ref="AU59">IF( AND($E$7,NOT(ISBLANK($E59))), IF( _xll.IMDP("IR", $E59, AU$8, Matrix!$D$6)=0,"",_xll.IMDP("IR", $E59, AU$8, Matrix!$D$6)), "")</f>
        <v/>
      </c>
      <c r="AV59" t="str" cm="1">
        <f t="array" ref="AV59">IF( AND($E$7,NOT(ISBLANK($E59))), IF( _xll.IMDP("IR", $E59, AV$8, Matrix!$D$6)=0,"",_xll.IMDP("IR", $E59, AV$8, Matrix!$D$6)), "")</f>
        <v/>
      </c>
      <c r="AW59" t="str" cm="1">
        <f t="array" ref="AW59">IF( AND($E$7,NOT(ISBLANK($E59))), IF( _xll.IMDP("IR", $E59, AW$8, Matrix!$D$6)=0,"",_xll.IMDP("IR", $E59, AW$8, Matrix!$D$6)), "")</f>
        <v/>
      </c>
      <c r="AX59" t="str" cm="1">
        <f t="array" ref="AX59">IF( AND($E$7,NOT(ISBLANK($E59))), IF( _xll.IMDP("IR", $E59, AX$8, Matrix!$D$6)=0,"",_xll.IMDP("IR", $E59, AX$8, Matrix!$D$6)), "")</f>
        <v/>
      </c>
      <c r="AY59" t="str" cm="1">
        <f t="array" ref="AY59">IF( AND($E$7,NOT(ISBLANK($E59))), IF( _xll.IMDP("IR", $E59, AY$8, Matrix!$D$6)=0,"",_xll.IMDP("IR", $E59, AY$8, Matrix!$D$6)), "")</f>
        <v/>
      </c>
      <c r="AZ59" t="str" cm="1">
        <f t="array" ref="AZ59">IF( AND($E$7,NOT(ISBLANK($E59))), IF( _xll.IMDP("IR", $E59, AZ$8, Matrix!$D$6)=0,"",_xll.IMDP("IR", $E59, AZ$8, Matrix!$D$6)), "")</f>
        <v/>
      </c>
      <c r="BA59" t="str" cm="1">
        <f t="array" ref="BA59">IF( AND($E$7,NOT(ISBLANK($E59))), IF( _xll.IMDP("IR", $E59, BA$8, Matrix!$D$6)=0,"",_xll.IMDP("IR", $E59, BA$8, Matrix!$D$6)), "")</f>
        <v/>
      </c>
      <c r="BB59" t="str" cm="1">
        <f t="array" ref="BB59">IF( AND($E$7,NOT(ISBLANK($E59))), IF( _xll.IMDP("IR", $E59, BB$8, Matrix!$D$6)=0,"",_xll.IMDP("IR", $E59, BB$8, Matrix!$D$6)), "")</f>
        <v/>
      </c>
      <c r="BC59" t="str" cm="1">
        <f t="array" ref="BC59">IF( AND($E$7,NOT(ISBLANK($E59))), IF( _xll.IMDP("IR", $E59, BC$8, Matrix!$D$6)=0,"",_xll.IMDP("IR", $E59, BC$8, Matrix!$D$6)), "")</f>
        <v/>
      </c>
      <c r="BD59" t="str" cm="1">
        <f t="array" ref="BD59">IF( AND($E$7,NOT(ISBLANK($E59))), IF( _xll.IMDP("IR", $E59, BD$8, Matrix!$D$6)=0,"",_xll.IMDP("IR", $E59, BD$8, Matrix!$D$6)), "")</f>
        <v/>
      </c>
      <c r="BE59" t="str" cm="1">
        <f t="array" ref="BE59">IF( AND($E$7,NOT(ISBLANK($E59))), IF( _xll.IMDP("IR", $E59, BE$8, Matrix!$D$6)=0,"",_xll.IMDP("IR", $E59, BE$8, Matrix!$D$6)), "")</f>
        <v/>
      </c>
      <c r="BF59" t="str" cm="1">
        <f t="array" ref="BF59">IF( AND($E$7,NOT(ISBLANK($E59))), IF( _xll.IMDP("IR", $E59, BF$8, Matrix!$D$6)=0,"",_xll.IMDP("IR", $E59, BF$8, Matrix!$D$6)), "")</f>
        <v/>
      </c>
      <c r="BG59" t="str" cm="1">
        <f t="array" ref="BG59">IF( AND($E$7,NOT(ISBLANK($E59))), IF( _xll.IMDP("IR", $E59, BG$8, Matrix!$D$6)=0,"",_xll.IMDP("IR", $E59, BG$8, Matrix!$D$6)), "")</f>
        <v/>
      </c>
      <c r="BH59" t="str" cm="1">
        <f t="array" ref="BH59">IF( AND($E$7,NOT(ISBLANK($E59))), IF( _xll.IMDP("IR", $E59, BH$8, Matrix!$D$6)=0,"",_xll.IMDP("IR", $E59, BH$8, Matrix!$D$6)), "")</f>
        <v/>
      </c>
      <c r="BI59" cm="1">
        <f t="array" aca="1" ref="BI59" ca="1">IF( AND($F$7,NOT(ISBLANK($F59))), IF( _xll.IMDP("IR", $F59, BI$8, Matrix!$D$6)=0,"",_xll.IMDP("IR", $F59, BI$8, Matrix!$D$6)), "")</f>
        <v>3.4670000000000001</v>
      </c>
      <c r="BJ59" cm="1">
        <f t="array" aca="1" ref="BJ59" ca="1">IF( AND($F$7,NOT(ISBLANK($F59))), IF( _xll.IMDP("IR", $F59, BJ$8, Matrix!$D$6)=0,"",_xll.IMDP("IR", $F59, BJ$8, Matrix!$D$6)), "")</f>
        <v>3.4660000000000002</v>
      </c>
      <c r="BK59" cm="1">
        <f t="array" aca="1" ref="BK59" ca="1">IF( AND($F$7,NOT(ISBLANK($F59))), IF( _xll.IMDP("IR", $F59, BK$8, Matrix!$D$6)=0,"",_xll.IMDP("IR", $F59, BK$8, Matrix!$D$6)), "")</f>
        <v>3.4209999999999998</v>
      </c>
      <c r="BL59" cm="1">
        <f t="array" aca="1" ref="BL59" ca="1">IF( AND($F$7,NOT(ISBLANK($F59))), IF( _xll.IMDP("IR", $F59, BL$8, Matrix!$D$6)=0,"",_xll.IMDP("IR", $F59, BL$8, Matrix!$D$6)), "")</f>
        <v>3.391</v>
      </c>
      <c r="BM59" cm="1">
        <f t="array" aca="1" ref="BM59" ca="1">IF( AND($F$7,NOT(ISBLANK($F59))), IF( _xll.IMDP("IR", $F59, BM$8, Matrix!$D$6)=0,"",_xll.IMDP("IR", $F59, BM$8, Matrix!$D$6)), "")</f>
        <v>3.3969999999999998</v>
      </c>
      <c r="BN59" cm="1">
        <f t="array" aca="1" ref="BN59" ca="1">IF( AND($F$7,NOT(ISBLANK($F59))), IF( _xll.IMDP("IR", $F59, BN$8, Matrix!$D$6)=0,"",_xll.IMDP("IR", $F59, BN$8, Matrix!$D$6)), "")</f>
        <v>3.3730000000000002</v>
      </c>
      <c r="BO59" cm="1">
        <f t="array" aca="1" ref="BO59" ca="1">IF( AND($F$7,NOT(ISBLANK($F59))), IF( _xll.IMDP("IR", $F59, BO$8, Matrix!$D$6)=0,"",_xll.IMDP("IR", $F59, BO$8, Matrix!$D$6)), "")</f>
        <v>3.4</v>
      </c>
      <c r="BP59" cm="1">
        <f t="array" aca="1" ref="BP59" ca="1">IF( AND($F$7,NOT(ISBLANK($F59))), IF( _xll.IMDP("IR", $F59, BP$8, Matrix!$D$6)=0,"",_xll.IMDP("IR", $F59, BP$8, Matrix!$D$6)), "")</f>
        <v>3.4129999999999998</v>
      </c>
      <c r="BQ59" cm="1">
        <f t="array" aca="1" ref="BQ59" ca="1">IF( AND($F$7,NOT(ISBLANK($F59))), IF( _xll.IMDP("IR", $F59, BQ$8, Matrix!$D$6)=0,"",_xll.IMDP("IR", $F59, BQ$8, Matrix!$D$6)), "")</f>
        <v>3.423</v>
      </c>
      <c r="BR59" cm="1">
        <f t="array" aca="1" ref="BR59" ca="1">IF( AND($F$7,NOT(ISBLANK($F59))), IF( _xll.IMDP("IR", $F59, BR$8, Matrix!$D$6)=0,"",_xll.IMDP("IR", $F59, BR$8, Matrix!$D$6)), "")</f>
        <v>3.5219999999999998</v>
      </c>
      <c r="BS59" cm="1">
        <f t="array" aca="1" ref="BS59" ca="1">IF( AND($F$7,NOT(ISBLANK($F59))), IF( _xll.IMDP("IR", $F59, BS$8, Matrix!$D$6)=0,"",_xll.IMDP("IR", $F59, BS$8, Matrix!$D$6)), "")</f>
        <v>3.7749999999999999</v>
      </c>
      <c r="BT59" cm="1">
        <f t="array" aca="1" ref="BT59" ca="1">IF( AND($F$7,NOT(ISBLANK($F59))), IF( _xll.IMDP("IR", $F59, BT$8, Matrix!$D$6)=0,"",_xll.IMDP("IR", $F59, BT$8, Matrix!$D$6)), "")</f>
        <v>4.6189999999999998</v>
      </c>
      <c r="BU59" cm="1">
        <f t="array" aca="1" ref="BU59" ca="1">IF( AND($F$7,NOT(ISBLANK($F59))), IF( _xll.IMDP("IR", $F59, BU$8, Matrix!$D$6)=0,"",_xll.IMDP("IR", $F59, BU$8, Matrix!$D$6)), "")</f>
        <v>5.2370000000000001</v>
      </c>
      <c r="BV59" cm="1">
        <f t="array" aca="1" ref="BV59" ca="1">IF( AND($F$7,NOT(ISBLANK($F59))), IF( _xll.IMDP("IR", $F59, BV$8, Matrix!$D$6)=0,"",_xll.IMDP("IR", $F59, BV$8, Matrix!$D$6)), "")</f>
        <v>5.4690000000000003</v>
      </c>
      <c r="BW59" t="str" cm="1">
        <f t="array" aca="1" ref="BW59" ca="1">IF( AND($F$7,NOT(ISBLANK($F59))), IF( _xll.IMDP("IR", $F59, BW$8, Matrix!$D$6)=0,"",_xll.IMDP("IR", $F59, BW$8, Matrix!$D$6)), "")</f>
        <v/>
      </c>
      <c r="BX59" t="str" cm="1">
        <f t="array" aca="1" ref="BX59" ca="1">IF( AND($F$7,NOT(ISBLANK($F59))), IF( _xll.IMDP("IR", $F59, BX$8, Matrix!$D$6)=0,"",_xll.IMDP("IR", $F59, BX$8, Matrix!$D$6)), "")</f>
        <v/>
      </c>
      <c r="BY59" t="str" cm="1">
        <f t="array" ref="BY59">IF( AND($G$7,NOT(ISBLANK($G59))), IF( _xll.IMDP("IR", $G59, BY$8, Matrix!$D$6)=0, "", _xll.IMDP("IR", $G59, BY$8, Matrix!$D$6)), "")</f>
        <v/>
      </c>
      <c r="BZ59" t="str" cm="1">
        <f t="array" ref="BZ59">IF( AND($G$7,NOT(ISBLANK($G59))), IF( _xll.IMDP("IR", $G59, BZ$8, Matrix!$D$6)=0, "", _xll.IMDP("IR", $G59, BZ$8, Matrix!$D$6)), "")</f>
        <v/>
      </c>
      <c r="CA59" t="str" cm="1">
        <f t="array" ref="CA59">IF( AND($G$7,NOT(ISBLANK($G59))), IF( _xll.IMDP("IR", $G59, CA$8, Matrix!$D$6)=0, "", _xll.IMDP("IR", $G59, CA$8, Matrix!$D$6)), "")</f>
        <v/>
      </c>
      <c r="CB59" t="str" cm="1">
        <f t="array" ref="CB59">IF( AND($G$7,NOT(ISBLANK($G59))), IF( _xll.IMDP("IR", $G59, CB$8, Matrix!$D$6)=0, "", _xll.IMDP("IR", $G59, CB$8, Matrix!$D$6)), "")</f>
        <v/>
      </c>
      <c r="CC59" t="str" cm="1">
        <f t="array" ref="CC59">IF( AND($G$7,NOT(ISBLANK($G59))), IF( _xll.IMDP("IR", $G59, CC$8, Matrix!$D$6)=0, "", _xll.IMDP("IR", $G59, CC$8, Matrix!$D$6)), "")</f>
        <v/>
      </c>
      <c r="CD59" t="str" cm="1">
        <f t="array" ref="CD59">IF( AND($G$7,NOT(ISBLANK($G59))), IF( _xll.IMDP("IR", $G59, CD$8, Matrix!$D$6)=0, "", _xll.IMDP("IR", $G59, CD$8, Matrix!$D$6)), "")</f>
        <v/>
      </c>
      <c r="CE59" t="str" cm="1">
        <f t="array" ref="CE59">IF( AND($G$7,NOT(ISBLANK($G59))), IF( _xll.IMDP("IR", $G59, CE$8, Matrix!$D$6)=0, "", _xll.IMDP("IR", $G59, CE$8, Matrix!$D$6)), "")</f>
        <v/>
      </c>
      <c r="CF59" t="str" cm="1">
        <f t="array" ref="CF59">IF( AND($G$7,NOT(ISBLANK($G59))), IF( _xll.IMDP("IR", $G59, CF$8, Matrix!$D$6)=0, "", _xll.IMDP("IR", $G59, CF$8, Matrix!$D$6)), "")</f>
        <v/>
      </c>
      <c r="CG59" t="str" cm="1">
        <f t="array" ref="CG59">IF( AND($G$7,NOT(ISBLANK($G59))), IF( _xll.IMDP("IR", $G59, CG$8, Matrix!$D$6)=0, "", _xll.IMDP("IR", $G59, CG$8, Matrix!$D$6)), "")</f>
        <v/>
      </c>
      <c r="CH59" t="str" cm="1">
        <f t="array" ref="CH59">IF( AND($G$7,NOT(ISBLANK($G59))), IF( _xll.IMDP("IR", $G59, CH$8, Matrix!$D$6)=0, "", _xll.IMDP("IR", $G59, CH$8, Matrix!$D$6)), "")</f>
        <v/>
      </c>
      <c r="CI59" t="str" cm="1">
        <f t="array" ref="CI59">IF( AND($G$7,NOT(ISBLANK($G59))), IF( _xll.IMDP("IR", $G59, CI$8, Matrix!$D$6)=0, "", _xll.IMDP("IR", $G59, CI$8, Matrix!$D$6)), "")</f>
        <v/>
      </c>
      <c r="CJ59" t="str" cm="1">
        <f t="array" ref="CJ59">IF( AND($G$7,NOT(ISBLANK($G59))), IF( _xll.IMDP("IR", $G59, CJ$8, Matrix!$D$6)=0, "", _xll.IMDP("IR", $G59, CJ$8, Matrix!$D$6)), "")</f>
        <v/>
      </c>
      <c r="CK59" t="str" cm="1">
        <f t="array" ref="CK59">IF( AND($G$7,NOT(ISBLANK($G59))), IF( _xll.IMDP("IR", $G59, CK$8, Matrix!$D$6)=0, "", _xll.IMDP("IR", $G59, CK$8, Matrix!$D$6)), "")</f>
        <v/>
      </c>
      <c r="CL59" t="str" cm="1">
        <f t="array" ref="CL59">IF( AND($G$7,NOT(ISBLANK($G59))), IF( _xll.IMDP("IR", $G59, CL$8, Matrix!$D$6)=0, "", _xll.IMDP("IR", $G59, CL$8, Matrix!$D$6)), "")</f>
        <v/>
      </c>
      <c r="CM59" t="str" cm="1">
        <f t="array" ref="CM59">IF( AND($G$7,NOT(ISBLANK($G59))), IF( _xll.IMDP("IR", $G59, CM$8, Matrix!$D$6)=0, "", _xll.IMDP("IR", $G59, CM$8, Matrix!$D$6)), "")</f>
        <v/>
      </c>
      <c r="CN59" t="str" cm="1">
        <f t="array" ref="CN59">IF( AND($G$7,NOT(ISBLANK($G59))), IF( _xll.IMDP("IR", $G59, CN$8, Matrix!$D$6)=0, "", _xll.IMDP("IR", $G59, CN$8, Matrix!$D$6)), "")</f>
        <v/>
      </c>
      <c r="CO59" t="str" cm="1">
        <f t="array" ref="CO59">IF( AND($H$7,NOT(ISBLANK($H59))), IF( _xll.IMDP("IR", $H59, CO$8, Matrix!$D$6)=0, "", _xll.IMDP("IR", $H59, CO$8, Matrix!$D$6)), "")</f>
        <v/>
      </c>
      <c r="CP59" t="str" cm="1">
        <f t="array" ref="CP59">IF( AND($H$7,NOT(ISBLANK($H59))), IF( _xll.IMDP("IR", $H59, CP$8, Matrix!$D$6)=0, "", _xll.IMDP("IR", $H59, CP$8, Matrix!$D$6)), "")</f>
        <v/>
      </c>
      <c r="CQ59" t="str" cm="1">
        <f t="array" ref="CQ59">IF( AND($H$7,NOT(ISBLANK($H59))), IF( _xll.IMDP("IR", $H59, CQ$8, Matrix!$D$6)=0, "", _xll.IMDP("IR", $H59, CQ$8, Matrix!$D$6)), "")</f>
        <v/>
      </c>
      <c r="CR59" t="str" cm="1">
        <f t="array" ref="CR59">IF( AND($H$7,NOT(ISBLANK($H59))), IF( _xll.IMDP("IR", $H59, CR$8, Matrix!$D$6)=0, "", _xll.IMDP("IR", $H59, CR$8, Matrix!$D$6)), "")</f>
        <v/>
      </c>
      <c r="CS59" t="str" cm="1">
        <f t="array" ref="CS59">IF( AND($H$7,NOT(ISBLANK($H59))), IF( _xll.IMDP("IR", $H59, CS$8, Matrix!$D$6)=0, "", _xll.IMDP("IR", $H59, CS$8, Matrix!$D$6)), "")</f>
        <v/>
      </c>
      <c r="CT59" t="str" cm="1">
        <f t="array" ref="CT59">IF( AND($H$7,NOT(ISBLANK($H59))), IF( _xll.IMDP("IR", $H59, CT$8, Matrix!$D$6)=0, "", _xll.IMDP("IR", $H59, CT$8, Matrix!$D$6)), "")</f>
        <v/>
      </c>
      <c r="CU59" t="str" cm="1">
        <f t="array" ref="CU59">IF( AND($H$7,NOT(ISBLANK($H59))), IF( _xll.IMDP("IR", $H59, CU$8, Matrix!$D$6)=0, "", _xll.IMDP("IR", $H59, CU$8, Matrix!$D$6)), "")</f>
        <v/>
      </c>
      <c r="CV59" t="str" cm="1">
        <f t="array" ref="CV59">IF( AND($H$7,NOT(ISBLANK($H59))), IF( _xll.IMDP("IR", $H59, CV$8, Matrix!$D$6)=0, "", _xll.IMDP("IR", $H59, CV$8, Matrix!$D$6)), "")</f>
        <v/>
      </c>
      <c r="CW59" t="str" cm="1">
        <f t="array" ref="CW59">IF( AND($H$7,NOT(ISBLANK($H59))), IF( _xll.IMDP("IR", $H59, CW$8, Matrix!$D$6)=0, "", _xll.IMDP("IR", $H59, CW$8, Matrix!$D$6)), "")</f>
        <v/>
      </c>
      <c r="CX59" t="str" cm="1">
        <f t="array" ref="CX59">IF( AND($H$7,NOT(ISBLANK($H59))), IF( _xll.IMDP("IR", $H59, CX$8, Matrix!$D$6)=0, "", _xll.IMDP("IR", $H59, CX$8, Matrix!$D$6)), "")</f>
        <v/>
      </c>
      <c r="CY59" t="str" cm="1">
        <f t="array" ref="CY59">IF( AND($H$7,NOT(ISBLANK($H59))), IF( _xll.IMDP("IR", $H59, CY$8, Matrix!$D$6)=0, "", _xll.IMDP("IR", $H59, CY$8, Matrix!$D$6)), "")</f>
        <v/>
      </c>
      <c r="CZ59" t="str" cm="1">
        <f t="array" ref="CZ59">IF( AND($H$7,NOT(ISBLANK($H59))), IF( _xll.IMDP("IR", $H59, CZ$8, Matrix!$D$6)=0, "", _xll.IMDP("IR", $H59, CZ$8, Matrix!$D$6)), "")</f>
        <v/>
      </c>
      <c r="DA59" t="str" cm="1">
        <f t="array" ref="DA59">IF( AND($H$7,NOT(ISBLANK($H59))), IF( _xll.IMDP("IR", $H59, DA$8, Matrix!$D$6)=0, "", _xll.IMDP("IR", $H59, DA$8, Matrix!$D$6)), "")</f>
        <v/>
      </c>
      <c r="DB59" t="str" cm="1">
        <f t="array" ref="DB59">IF( AND($H$7,NOT(ISBLANK($H59))), IF( _xll.IMDP("IR", $H59, DB$8, Matrix!$D$6)=0, "", _xll.IMDP("IR", $H59, DB$8, Matrix!$D$6)), "")</f>
        <v/>
      </c>
      <c r="DC59" t="str" cm="1">
        <f t="array" ref="DC59">IF( AND($H$7,NOT(ISBLANK($H59))), IF( _xll.IMDP("IR", $H59, DC$8, Matrix!$D$6)=0, "", _xll.IMDP("IR", $H59, DC$8, Matrix!$D$6)), "")</f>
        <v/>
      </c>
      <c r="DD59" t="str" cm="1">
        <f t="array" ref="DD59">IF( AND($H$7,NOT(ISBLANK($H59))), IF( _xll.IMDP("IR", $H59, DD$8, Matrix!$D$6)=0, "", _xll.IMDP("IR", $H59, DD$8, Matrix!$D$6)), "")</f>
        <v/>
      </c>
    </row>
    <row r="60" spans="2:108">
      <c r="B60" t="s">
        <v>128</v>
      </c>
      <c r="C60" t="s">
        <v>202</v>
      </c>
      <c r="F60" t="s">
        <v>398</v>
      </c>
      <c r="M60" s="21">
        <f t="shared" ca="1" si="1"/>
        <v>3.504</v>
      </c>
      <c r="N60" s="21">
        <f t="shared" ca="1" si="2"/>
        <v>3.5449999999999999</v>
      </c>
      <c r="O60" s="21">
        <f t="shared" ca="1" si="3"/>
        <v>3.5579999999999998</v>
      </c>
      <c r="P60" s="21">
        <f t="shared" ca="1" si="4"/>
        <v>3.5830000000000002</v>
      </c>
      <c r="Q60" s="21">
        <f t="shared" ca="1" si="5"/>
        <v>3.6629999999999998</v>
      </c>
      <c r="R60" s="21">
        <f t="shared" ca="1" si="6"/>
        <v>3.7</v>
      </c>
      <c r="S60" s="21">
        <f t="shared" ca="1" si="7"/>
        <v>3.7450000000000001</v>
      </c>
      <c r="T60" s="21">
        <f t="shared" ca="1" si="8"/>
        <v>3.7959999999999998</v>
      </c>
      <c r="U60" s="21">
        <f t="shared" ca="1" si="9"/>
        <v>4.093</v>
      </c>
      <c r="V60" s="21">
        <f t="shared" ca="1" si="10"/>
        <v>4.3129999999999997</v>
      </c>
      <c r="W60" s="21">
        <f t="shared" ca="1" si="11"/>
        <v>4.5410000000000004</v>
      </c>
      <c r="X60" s="21">
        <f t="shared" ca="1" si="12"/>
        <v>5.1879999999999997</v>
      </c>
      <c r="Y60" s="21">
        <f t="shared" ca="1" si="13"/>
        <v>5.6420000000000003</v>
      </c>
      <c r="Z60" s="21">
        <f t="shared" ca="1" si="14"/>
        <v>5.8810000000000002</v>
      </c>
      <c r="AA60" s="21" t="e">
        <f t="shared" ca="1" si="15"/>
        <v>#NUM!</v>
      </c>
      <c r="AB60" s="21" t="e">
        <f t="shared" ca="1" si="16"/>
        <v>#NUM!</v>
      </c>
      <c r="AC60" t="str" cm="1">
        <f t="array" ref="AC60">IF( AND($D$7,NOT(ISBLANK($D60))), IF(_xll.IMDP("IR", $D60, AC$8, Matrix!$D$6)=0,"",_xll.IMDP("IR", $D60, AC$8, Matrix!$D$6)), "")</f>
        <v/>
      </c>
      <c r="AD60" t="str" cm="1">
        <f t="array" ref="AD60">IF( AND($D$7,NOT(ISBLANK($D60))), IF(_xll.IMDP("IR", $D60, AD$8, Matrix!$D$6)=0,"",_xll.IMDP("IR", $D60, AD$8, Matrix!$D$6)), "")</f>
        <v/>
      </c>
      <c r="AE60" t="str" cm="1">
        <f t="array" ref="AE60">IF( AND($D$7,NOT(ISBLANK($D60))), IF(_xll.IMDP("IR", $D60, AE$8, Matrix!$D$6)=0,"",_xll.IMDP("IR", $D60, AE$8, Matrix!$D$6)), "")</f>
        <v/>
      </c>
      <c r="AF60" t="str" cm="1">
        <f t="array" ref="AF60">IF( AND($D$7,NOT(ISBLANK($D60))), IF(_xll.IMDP("IR", $D60, AF$8, Matrix!$D$6)=0,"",_xll.IMDP("IR", $D60, AF$8, Matrix!$D$6)), "")</f>
        <v/>
      </c>
      <c r="AG60" t="str" cm="1">
        <f t="array" ref="AG60">IF( AND($D$7,NOT(ISBLANK($D60))), IF(_xll.IMDP("IR", $D60, AG$8, Matrix!$D$6)=0,"",_xll.IMDP("IR", $D60, AG$8, Matrix!$D$6)), "")</f>
        <v/>
      </c>
      <c r="AH60" t="str" cm="1">
        <f t="array" ref="AH60">IF( AND($D$7,NOT(ISBLANK($D60))), IF(_xll.IMDP("IR", $D60, AH$8, Matrix!$D$6)=0,"",_xll.IMDP("IR", $D60, AH$8, Matrix!$D$6)), "")</f>
        <v/>
      </c>
      <c r="AI60" t="str" cm="1">
        <f t="array" ref="AI60">IF( AND($D$7,NOT(ISBLANK($D60))), IF(_xll.IMDP("IR", $D60, AI$8, Matrix!$D$6)=0,"",_xll.IMDP("IR", $D60, AI$8, Matrix!$D$6)), "")</f>
        <v/>
      </c>
      <c r="AJ60" t="str" cm="1">
        <f t="array" ref="AJ60">IF( AND($D$7,NOT(ISBLANK($D60))), IF(_xll.IMDP("IR", $D60, AJ$8, Matrix!$D$6)=0,"",_xll.IMDP("IR", $D60, AJ$8, Matrix!$D$6)), "")</f>
        <v/>
      </c>
      <c r="AK60" t="str" cm="1">
        <f t="array" ref="AK60">IF( AND($D$7,NOT(ISBLANK($D60))), IF(_xll.IMDP("IR", $D60, AK$8, Matrix!$D$6)=0,"",_xll.IMDP("IR", $D60, AK$8, Matrix!$D$6)), "")</f>
        <v/>
      </c>
      <c r="AL60" t="str" cm="1">
        <f t="array" ref="AL60">IF( AND($D$7,NOT(ISBLANK($D60))), IF(_xll.IMDP("IR", $D60, AL$8, Matrix!$D$6)=0,"",_xll.IMDP("IR", $D60, AL$8, Matrix!$D$6)), "")</f>
        <v/>
      </c>
      <c r="AM60" t="str" cm="1">
        <f t="array" ref="AM60">IF( AND($D$7,NOT(ISBLANK($D60))), IF(_xll.IMDP("IR", $D60, AM$8, Matrix!$D$6)=0,"",_xll.IMDP("IR", $D60, AM$8, Matrix!$D$6)), "")</f>
        <v/>
      </c>
      <c r="AN60" t="str" cm="1">
        <f t="array" ref="AN60">IF( AND($D$7,NOT(ISBLANK($D60))), IF(_xll.IMDP("IR", $D60, AN$8, Matrix!$D$6)=0,"",_xll.IMDP("IR", $D60, AN$8, Matrix!$D$6)), "")</f>
        <v/>
      </c>
      <c r="AO60" t="str" cm="1">
        <f t="array" ref="AO60">IF( AND($D$7,NOT(ISBLANK($D60))), IF(_xll.IMDP("IR", $D60, AO$8, Matrix!$D$6)=0,"",_xll.IMDP("IR", $D60, AO$8, Matrix!$D$6)), "")</f>
        <v/>
      </c>
      <c r="AP60" t="str" cm="1">
        <f t="array" ref="AP60">IF( AND($D$7,NOT(ISBLANK($D60))), IF(_xll.IMDP("IR", $D60, AP$8, Matrix!$D$6)=0,"",_xll.IMDP("IR", $D60, AP$8, Matrix!$D$6)), "")</f>
        <v/>
      </c>
      <c r="AQ60" t="str" cm="1">
        <f t="array" ref="AQ60">IF( AND($D$7,NOT(ISBLANK($D60))), IF(_xll.IMDP("IR", $D60, AQ$8, Matrix!$D$6)=0,"",_xll.IMDP("IR", $D60, AQ$8, Matrix!$D$6)), "")</f>
        <v/>
      </c>
      <c r="AR60" t="str" cm="1">
        <f t="array" ref="AR60">IF( AND($D$7,NOT(ISBLANK($D60))), IF(_xll.IMDP("IR", $D60, AR$8, Matrix!$D$6)=0,"",_xll.IMDP("IR", $D60, AR$8, Matrix!$D$6)), "")</f>
        <v/>
      </c>
      <c r="AS60" t="str" cm="1">
        <f t="array" ref="AS60">IF( AND($E$7,NOT(ISBLANK($E60))), IF( _xll.IMDP("IR", $E60, AS$8, Matrix!$D$6)=0,"",_xll.IMDP("IR", $E60, AS$8, Matrix!$D$6)), "")</f>
        <v/>
      </c>
      <c r="AT60" t="str" cm="1">
        <f t="array" ref="AT60">IF( AND($E$7,NOT(ISBLANK($E60))), IF( _xll.IMDP("IR", $E60, AT$8, Matrix!$D$6)=0,"",_xll.IMDP("IR", $E60, AT$8, Matrix!$D$6)), "")</f>
        <v/>
      </c>
      <c r="AU60" t="str" cm="1">
        <f t="array" ref="AU60">IF( AND($E$7,NOT(ISBLANK($E60))), IF( _xll.IMDP("IR", $E60, AU$8, Matrix!$D$6)=0,"",_xll.IMDP("IR", $E60, AU$8, Matrix!$D$6)), "")</f>
        <v/>
      </c>
      <c r="AV60" t="str" cm="1">
        <f t="array" ref="AV60">IF( AND($E$7,NOT(ISBLANK($E60))), IF( _xll.IMDP("IR", $E60, AV$8, Matrix!$D$6)=0,"",_xll.IMDP("IR", $E60, AV$8, Matrix!$D$6)), "")</f>
        <v/>
      </c>
      <c r="AW60" t="str" cm="1">
        <f t="array" ref="AW60">IF( AND($E$7,NOT(ISBLANK($E60))), IF( _xll.IMDP("IR", $E60, AW$8, Matrix!$D$6)=0,"",_xll.IMDP("IR", $E60, AW$8, Matrix!$D$6)), "")</f>
        <v/>
      </c>
      <c r="AX60" t="str" cm="1">
        <f t="array" ref="AX60">IF( AND($E$7,NOT(ISBLANK($E60))), IF( _xll.IMDP("IR", $E60, AX$8, Matrix!$D$6)=0,"",_xll.IMDP("IR", $E60, AX$8, Matrix!$D$6)), "")</f>
        <v/>
      </c>
      <c r="AY60" t="str" cm="1">
        <f t="array" ref="AY60">IF( AND($E$7,NOT(ISBLANK($E60))), IF( _xll.IMDP("IR", $E60, AY$8, Matrix!$D$6)=0,"",_xll.IMDP("IR", $E60, AY$8, Matrix!$D$6)), "")</f>
        <v/>
      </c>
      <c r="AZ60" t="str" cm="1">
        <f t="array" ref="AZ60">IF( AND($E$7,NOT(ISBLANK($E60))), IF( _xll.IMDP("IR", $E60, AZ$8, Matrix!$D$6)=0,"",_xll.IMDP("IR", $E60, AZ$8, Matrix!$D$6)), "")</f>
        <v/>
      </c>
      <c r="BA60" t="str" cm="1">
        <f t="array" ref="BA60">IF( AND($E$7,NOT(ISBLANK($E60))), IF( _xll.IMDP("IR", $E60, BA$8, Matrix!$D$6)=0,"",_xll.IMDP("IR", $E60, BA$8, Matrix!$D$6)), "")</f>
        <v/>
      </c>
      <c r="BB60" t="str" cm="1">
        <f t="array" ref="BB60">IF( AND($E$7,NOT(ISBLANK($E60))), IF( _xll.IMDP("IR", $E60, BB$8, Matrix!$D$6)=0,"",_xll.IMDP("IR", $E60, BB$8, Matrix!$D$6)), "")</f>
        <v/>
      </c>
      <c r="BC60" t="str" cm="1">
        <f t="array" ref="BC60">IF( AND($E$7,NOT(ISBLANK($E60))), IF( _xll.IMDP("IR", $E60, BC$8, Matrix!$D$6)=0,"",_xll.IMDP("IR", $E60, BC$8, Matrix!$D$6)), "")</f>
        <v/>
      </c>
      <c r="BD60" t="str" cm="1">
        <f t="array" ref="BD60">IF( AND($E$7,NOT(ISBLANK($E60))), IF( _xll.IMDP("IR", $E60, BD$8, Matrix!$D$6)=0,"",_xll.IMDP("IR", $E60, BD$8, Matrix!$D$6)), "")</f>
        <v/>
      </c>
      <c r="BE60" t="str" cm="1">
        <f t="array" ref="BE60">IF( AND($E$7,NOT(ISBLANK($E60))), IF( _xll.IMDP("IR", $E60, BE$8, Matrix!$D$6)=0,"",_xll.IMDP("IR", $E60, BE$8, Matrix!$D$6)), "")</f>
        <v/>
      </c>
      <c r="BF60" t="str" cm="1">
        <f t="array" ref="BF60">IF( AND($E$7,NOT(ISBLANK($E60))), IF( _xll.IMDP("IR", $E60, BF$8, Matrix!$D$6)=0,"",_xll.IMDP("IR", $E60, BF$8, Matrix!$D$6)), "")</f>
        <v/>
      </c>
      <c r="BG60" t="str" cm="1">
        <f t="array" ref="BG60">IF( AND($E$7,NOT(ISBLANK($E60))), IF( _xll.IMDP("IR", $E60, BG$8, Matrix!$D$6)=0,"",_xll.IMDP("IR", $E60, BG$8, Matrix!$D$6)), "")</f>
        <v/>
      </c>
      <c r="BH60" t="str" cm="1">
        <f t="array" ref="BH60">IF( AND($E$7,NOT(ISBLANK($E60))), IF( _xll.IMDP("IR", $E60, BH$8, Matrix!$D$6)=0,"",_xll.IMDP("IR", $E60, BH$8, Matrix!$D$6)), "")</f>
        <v/>
      </c>
      <c r="BI60" cm="1">
        <f t="array" aca="1" ref="BI60" ca="1">IF( AND($F$7,NOT(ISBLANK($F60))), IF( _xll.IMDP("IR", $F60, BI$8, Matrix!$D$6)=0,"",_xll.IMDP("IR", $F60, BI$8, Matrix!$D$6)), "")</f>
        <v>3.504</v>
      </c>
      <c r="BJ60" cm="1">
        <f t="array" aca="1" ref="BJ60" ca="1">IF( AND($F$7,NOT(ISBLANK($F60))), IF( _xll.IMDP("IR", $F60, BJ$8, Matrix!$D$6)=0,"",_xll.IMDP("IR", $F60, BJ$8, Matrix!$D$6)), "")</f>
        <v>3.5449999999999999</v>
      </c>
      <c r="BK60" cm="1">
        <f t="array" aca="1" ref="BK60" ca="1">IF( AND($F$7,NOT(ISBLANK($F60))), IF( _xll.IMDP("IR", $F60, BK$8, Matrix!$D$6)=0,"",_xll.IMDP("IR", $F60, BK$8, Matrix!$D$6)), "")</f>
        <v>3.5579999999999998</v>
      </c>
      <c r="BL60" cm="1">
        <f t="array" aca="1" ref="BL60" ca="1">IF( AND($F$7,NOT(ISBLANK($F60))), IF( _xll.IMDP("IR", $F60, BL$8, Matrix!$D$6)=0,"",_xll.IMDP("IR", $F60, BL$8, Matrix!$D$6)), "")</f>
        <v>3.5830000000000002</v>
      </c>
      <c r="BM60" cm="1">
        <f t="array" aca="1" ref="BM60" ca="1">IF( AND($F$7,NOT(ISBLANK($F60))), IF( _xll.IMDP("IR", $F60, BM$8, Matrix!$D$6)=0,"",_xll.IMDP("IR", $F60, BM$8, Matrix!$D$6)), "")</f>
        <v>3.6629999999999998</v>
      </c>
      <c r="BN60" cm="1">
        <f t="array" aca="1" ref="BN60" ca="1">IF( AND($F$7,NOT(ISBLANK($F60))), IF( _xll.IMDP("IR", $F60, BN$8, Matrix!$D$6)=0,"",_xll.IMDP("IR", $F60, BN$8, Matrix!$D$6)), "")</f>
        <v>3.7</v>
      </c>
      <c r="BO60" cm="1">
        <f t="array" aca="1" ref="BO60" ca="1">IF( AND($F$7,NOT(ISBLANK($F60))), IF( _xll.IMDP("IR", $F60, BO$8, Matrix!$D$6)=0,"",_xll.IMDP("IR", $F60, BO$8, Matrix!$D$6)), "")</f>
        <v>3.7450000000000001</v>
      </c>
      <c r="BP60" cm="1">
        <f t="array" aca="1" ref="BP60" ca="1">IF( AND($F$7,NOT(ISBLANK($F60))), IF( _xll.IMDP("IR", $F60, BP$8, Matrix!$D$6)=0,"",_xll.IMDP("IR", $F60, BP$8, Matrix!$D$6)), "")</f>
        <v>3.7959999999999998</v>
      </c>
      <c r="BQ60" cm="1">
        <f t="array" aca="1" ref="BQ60" ca="1">IF( AND($F$7,NOT(ISBLANK($F60))), IF( _xll.IMDP("IR", $F60, BQ$8, Matrix!$D$6)=0,"",_xll.IMDP("IR", $F60, BQ$8, Matrix!$D$6)), "")</f>
        <v>4.093</v>
      </c>
      <c r="BR60" cm="1">
        <f t="array" aca="1" ref="BR60" ca="1">IF( AND($F$7,NOT(ISBLANK($F60))), IF( _xll.IMDP("IR", $F60, BR$8, Matrix!$D$6)=0,"",_xll.IMDP("IR", $F60, BR$8, Matrix!$D$6)), "")</f>
        <v>4.3129999999999997</v>
      </c>
      <c r="BS60" cm="1">
        <f t="array" aca="1" ref="BS60" ca="1">IF( AND($F$7,NOT(ISBLANK($F60))), IF( _xll.IMDP("IR", $F60, BS$8, Matrix!$D$6)=0,"",_xll.IMDP("IR", $F60, BS$8, Matrix!$D$6)), "")</f>
        <v>4.5410000000000004</v>
      </c>
      <c r="BT60" cm="1">
        <f t="array" aca="1" ref="BT60" ca="1">IF( AND($F$7,NOT(ISBLANK($F60))), IF( _xll.IMDP("IR", $F60, BT$8, Matrix!$D$6)=0,"",_xll.IMDP("IR", $F60, BT$8, Matrix!$D$6)), "")</f>
        <v>5.1879999999999997</v>
      </c>
      <c r="BU60" cm="1">
        <f t="array" aca="1" ref="BU60" ca="1">IF( AND($F$7,NOT(ISBLANK($F60))), IF( _xll.IMDP("IR", $F60, BU$8, Matrix!$D$6)=0,"",_xll.IMDP("IR", $F60, BU$8, Matrix!$D$6)), "")</f>
        <v>5.6420000000000003</v>
      </c>
      <c r="BV60" cm="1">
        <f t="array" aca="1" ref="BV60" ca="1">IF( AND($F$7,NOT(ISBLANK($F60))), IF( _xll.IMDP("IR", $F60, BV$8, Matrix!$D$6)=0,"",_xll.IMDP("IR", $F60, BV$8, Matrix!$D$6)), "")</f>
        <v>5.8810000000000002</v>
      </c>
      <c r="BW60" t="str" cm="1">
        <f t="array" aca="1" ref="BW60" ca="1">IF( AND($F$7,NOT(ISBLANK($F60))), IF( _xll.IMDP("IR", $F60, BW$8, Matrix!$D$6)=0,"",_xll.IMDP("IR", $F60, BW$8, Matrix!$D$6)), "")</f>
        <v/>
      </c>
      <c r="BX60" t="str" cm="1">
        <f t="array" aca="1" ref="BX60" ca="1">IF( AND($F$7,NOT(ISBLANK($F60))), IF( _xll.IMDP("IR", $F60, BX$8, Matrix!$D$6)=0,"",_xll.IMDP("IR", $F60, BX$8, Matrix!$D$6)), "")</f>
        <v/>
      </c>
      <c r="BY60" t="str" cm="1">
        <f t="array" ref="BY60">IF( AND($G$7,NOT(ISBLANK($G60))), IF( _xll.IMDP("IR", $G60, BY$8, Matrix!$D$6)=0, "", _xll.IMDP("IR", $G60, BY$8, Matrix!$D$6)), "")</f>
        <v/>
      </c>
      <c r="BZ60" t="str" cm="1">
        <f t="array" ref="BZ60">IF( AND($G$7,NOT(ISBLANK($G60))), IF( _xll.IMDP("IR", $G60, BZ$8, Matrix!$D$6)=0, "", _xll.IMDP("IR", $G60, BZ$8, Matrix!$D$6)), "")</f>
        <v/>
      </c>
      <c r="CA60" t="str" cm="1">
        <f t="array" ref="CA60">IF( AND($G$7,NOT(ISBLANK($G60))), IF( _xll.IMDP("IR", $G60, CA$8, Matrix!$D$6)=0, "", _xll.IMDP("IR", $G60, CA$8, Matrix!$D$6)), "")</f>
        <v/>
      </c>
      <c r="CB60" t="str" cm="1">
        <f t="array" ref="CB60">IF( AND($G$7,NOT(ISBLANK($G60))), IF( _xll.IMDP("IR", $G60, CB$8, Matrix!$D$6)=0, "", _xll.IMDP("IR", $G60, CB$8, Matrix!$D$6)), "")</f>
        <v/>
      </c>
      <c r="CC60" t="str" cm="1">
        <f t="array" ref="CC60">IF( AND($G$7,NOT(ISBLANK($G60))), IF( _xll.IMDP("IR", $G60, CC$8, Matrix!$D$6)=0, "", _xll.IMDP("IR", $G60, CC$8, Matrix!$D$6)), "")</f>
        <v/>
      </c>
      <c r="CD60" t="str" cm="1">
        <f t="array" ref="CD60">IF( AND($G$7,NOT(ISBLANK($G60))), IF( _xll.IMDP("IR", $G60, CD$8, Matrix!$D$6)=0, "", _xll.IMDP("IR", $G60, CD$8, Matrix!$D$6)), "")</f>
        <v/>
      </c>
      <c r="CE60" t="str" cm="1">
        <f t="array" ref="CE60">IF( AND($G$7,NOT(ISBLANK($G60))), IF( _xll.IMDP("IR", $G60, CE$8, Matrix!$D$6)=0, "", _xll.IMDP("IR", $G60, CE$8, Matrix!$D$6)), "")</f>
        <v/>
      </c>
      <c r="CF60" t="str" cm="1">
        <f t="array" ref="CF60">IF( AND($G$7,NOT(ISBLANK($G60))), IF( _xll.IMDP("IR", $G60, CF$8, Matrix!$D$6)=0, "", _xll.IMDP("IR", $G60, CF$8, Matrix!$D$6)), "")</f>
        <v/>
      </c>
      <c r="CG60" t="str" cm="1">
        <f t="array" ref="CG60">IF( AND($G$7,NOT(ISBLANK($G60))), IF( _xll.IMDP("IR", $G60, CG$8, Matrix!$D$6)=0, "", _xll.IMDP("IR", $G60, CG$8, Matrix!$D$6)), "")</f>
        <v/>
      </c>
      <c r="CH60" t="str" cm="1">
        <f t="array" ref="CH60">IF( AND($G$7,NOT(ISBLANK($G60))), IF( _xll.IMDP("IR", $G60, CH$8, Matrix!$D$6)=0, "", _xll.IMDP("IR", $G60, CH$8, Matrix!$D$6)), "")</f>
        <v/>
      </c>
      <c r="CI60" t="str" cm="1">
        <f t="array" ref="CI60">IF( AND($G$7,NOT(ISBLANK($G60))), IF( _xll.IMDP("IR", $G60, CI$8, Matrix!$D$6)=0, "", _xll.IMDP("IR", $G60, CI$8, Matrix!$D$6)), "")</f>
        <v/>
      </c>
      <c r="CJ60" t="str" cm="1">
        <f t="array" ref="CJ60">IF( AND($G$7,NOT(ISBLANK($G60))), IF( _xll.IMDP("IR", $G60, CJ$8, Matrix!$D$6)=0, "", _xll.IMDP("IR", $G60, CJ$8, Matrix!$D$6)), "")</f>
        <v/>
      </c>
      <c r="CK60" t="str" cm="1">
        <f t="array" ref="CK60">IF( AND($G$7,NOT(ISBLANK($G60))), IF( _xll.IMDP("IR", $G60, CK$8, Matrix!$D$6)=0, "", _xll.IMDP("IR", $G60, CK$8, Matrix!$D$6)), "")</f>
        <v/>
      </c>
      <c r="CL60" t="str" cm="1">
        <f t="array" ref="CL60">IF( AND($G$7,NOT(ISBLANK($G60))), IF( _xll.IMDP("IR", $G60, CL$8, Matrix!$D$6)=0, "", _xll.IMDP("IR", $G60, CL$8, Matrix!$D$6)), "")</f>
        <v/>
      </c>
      <c r="CM60" t="str" cm="1">
        <f t="array" ref="CM60">IF( AND($G$7,NOT(ISBLANK($G60))), IF( _xll.IMDP("IR", $G60, CM$8, Matrix!$D$6)=0, "", _xll.IMDP("IR", $G60, CM$8, Matrix!$D$6)), "")</f>
        <v/>
      </c>
      <c r="CN60" t="str" cm="1">
        <f t="array" ref="CN60">IF( AND($G$7,NOT(ISBLANK($G60))), IF( _xll.IMDP("IR", $G60, CN$8, Matrix!$D$6)=0, "", _xll.IMDP("IR", $G60, CN$8, Matrix!$D$6)), "")</f>
        <v/>
      </c>
      <c r="CO60" t="str" cm="1">
        <f t="array" ref="CO60">IF( AND($H$7,NOT(ISBLANK($H60))), IF( _xll.IMDP("IR", $H60, CO$8, Matrix!$D$6)=0, "", _xll.IMDP("IR", $H60, CO$8, Matrix!$D$6)), "")</f>
        <v/>
      </c>
      <c r="CP60" t="str" cm="1">
        <f t="array" ref="CP60">IF( AND($H$7,NOT(ISBLANK($H60))), IF( _xll.IMDP("IR", $H60, CP$8, Matrix!$D$6)=0, "", _xll.IMDP("IR", $H60, CP$8, Matrix!$D$6)), "")</f>
        <v/>
      </c>
      <c r="CQ60" t="str" cm="1">
        <f t="array" ref="CQ60">IF( AND($H$7,NOT(ISBLANK($H60))), IF( _xll.IMDP("IR", $H60, CQ$8, Matrix!$D$6)=0, "", _xll.IMDP("IR", $H60, CQ$8, Matrix!$D$6)), "")</f>
        <v/>
      </c>
      <c r="CR60" t="str" cm="1">
        <f t="array" ref="CR60">IF( AND($H$7,NOT(ISBLANK($H60))), IF( _xll.IMDP("IR", $H60, CR$8, Matrix!$D$6)=0, "", _xll.IMDP("IR", $H60, CR$8, Matrix!$D$6)), "")</f>
        <v/>
      </c>
      <c r="CS60" t="str" cm="1">
        <f t="array" ref="CS60">IF( AND($H$7,NOT(ISBLANK($H60))), IF( _xll.IMDP("IR", $H60, CS$8, Matrix!$D$6)=0, "", _xll.IMDP("IR", $H60, CS$8, Matrix!$D$6)), "")</f>
        <v/>
      </c>
      <c r="CT60" t="str" cm="1">
        <f t="array" ref="CT60">IF( AND($H$7,NOT(ISBLANK($H60))), IF( _xll.IMDP("IR", $H60, CT$8, Matrix!$D$6)=0, "", _xll.IMDP("IR", $H60, CT$8, Matrix!$D$6)), "")</f>
        <v/>
      </c>
      <c r="CU60" t="str" cm="1">
        <f t="array" ref="CU60">IF( AND($H$7,NOT(ISBLANK($H60))), IF( _xll.IMDP("IR", $H60, CU$8, Matrix!$D$6)=0, "", _xll.IMDP("IR", $H60, CU$8, Matrix!$D$6)), "")</f>
        <v/>
      </c>
      <c r="CV60" t="str" cm="1">
        <f t="array" ref="CV60">IF( AND($H$7,NOT(ISBLANK($H60))), IF( _xll.IMDP("IR", $H60, CV$8, Matrix!$D$6)=0, "", _xll.IMDP("IR", $H60, CV$8, Matrix!$D$6)), "")</f>
        <v/>
      </c>
      <c r="CW60" t="str" cm="1">
        <f t="array" ref="CW60">IF( AND($H$7,NOT(ISBLANK($H60))), IF( _xll.IMDP("IR", $H60, CW$8, Matrix!$D$6)=0, "", _xll.IMDP("IR", $H60, CW$8, Matrix!$D$6)), "")</f>
        <v/>
      </c>
      <c r="CX60" t="str" cm="1">
        <f t="array" ref="CX60">IF( AND($H$7,NOT(ISBLANK($H60))), IF( _xll.IMDP("IR", $H60, CX$8, Matrix!$D$6)=0, "", _xll.IMDP("IR", $H60, CX$8, Matrix!$D$6)), "")</f>
        <v/>
      </c>
      <c r="CY60" t="str" cm="1">
        <f t="array" ref="CY60">IF( AND($H$7,NOT(ISBLANK($H60))), IF( _xll.IMDP("IR", $H60, CY$8, Matrix!$D$6)=0, "", _xll.IMDP("IR", $H60, CY$8, Matrix!$D$6)), "")</f>
        <v/>
      </c>
      <c r="CZ60" t="str" cm="1">
        <f t="array" ref="CZ60">IF( AND($H$7,NOT(ISBLANK($H60))), IF( _xll.IMDP("IR", $H60, CZ$8, Matrix!$D$6)=0, "", _xll.IMDP("IR", $H60, CZ$8, Matrix!$D$6)), "")</f>
        <v/>
      </c>
      <c r="DA60" t="str" cm="1">
        <f t="array" ref="DA60">IF( AND($H$7,NOT(ISBLANK($H60))), IF( _xll.IMDP("IR", $H60, DA$8, Matrix!$D$6)=0, "", _xll.IMDP("IR", $H60, DA$8, Matrix!$D$6)), "")</f>
        <v/>
      </c>
      <c r="DB60" t="str" cm="1">
        <f t="array" ref="DB60">IF( AND($H$7,NOT(ISBLANK($H60))), IF( _xll.IMDP("IR", $H60, DB$8, Matrix!$D$6)=0, "", _xll.IMDP("IR", $H60, DB$8, Matrix!$D$6)), "")</f>
        <v/>
      </c>
      <c r="DC60" t="str" cm="1">
        <f t="array" ref="DC60">IF( AND($H$7,NOT(ISBLANK($H60))), IF( _xll.IMDP("IR", $H60, DC$8, Matrix!$D$6)=0, "", _xll.IMDP("IR", $H60, DC$8, Matrix!$D$6)), "")</f>
        <v/>
      </c>
      <c r="DD60" t="str" cm="1">
        <f t="array" ref="DD60">IF( AND($H$7,NOT(ISBLANK($H60))), IF( _xll.IMDP("IR", $H60, DD$8, Matrix!$D$6)=0, "", _xll.IMDP("IR", $H60, DD$8, Matrix!$D$6)), "")</f>
        <v/>
      </c>
    </row>
    <row r="61" spans="2:108">
      <c r="B61" t="s">
        <v>129</v>
      </c>
      <c r="C61" t="s">
        <v>203</v>
      </c>
      <c r="F61" t="s">
        <v>399</v>
      </c>
      <c r="M61" s="21">
        <f t="shared" ca="1" si="1"/>
        <v>3.6309999999999998</v>
      </c>
      <c r="N61" s="21">
        <f t="shared" ca="1" si="2"/>
        <v>3.6840000000000002</v>
      </c>
      <c r="O61" s="21">
        <f t="shared" ca="1" si="3"/>
        <v>3.7069999999999999</v>
      </c>
      <c r="P61" s="21">
        <f t="shared" ca="1" si="4"/>
        <v>3.76</v>
      </c>
      <c r="Q61" s="21">
        <f t="shared" ca="1" si="5"/>
        <v>3.8439999999999999</v>
      </c>
      <c r="R61" s="21">
        <f t="shared" ca="1" si="6"/>
        <v>3.88</v>
      </c>
      <c r="S61" s="21">
        <f t="shared" ca="1" si="7"/>
        <v>3.9420000000000002</v>
      </c>
      <c r="T61" s="21">
        <f t="shared" ca="1" si="8"/>
        <v>4.0549999999999997</v>
      </c>
      <c r="U61" s="21">
        <f t="shared" ca="1" si="9"/>
        <v>4.4130000000000003</v>
      </c>
      <c r="V61" s="21">
        <f t="shared" ca="1" si="10"/>
        <v>4.7080000000000002</v>
      </c>
      <c r="W61" s="21">
        <f t="shared" ca="1" si="11"/>
        <v>4.9489999999999998</v>
      </c>
      <c r="X61" s="21">
        <f t="shared" ca="1" si="12"/>
        <v>5.6180000000000003</v>
      </c>
      <c r="Y61" s="21">
        <f t="shared" ca="1" si="13"/>
        <v>6.0069999999999997</v>
      </c>
      <c r="Z61" s="21">
        <f t="shared" ca="1" si="14"/>
        <v>6.2389999999999999</v>
      </c>
      <c r="AA61" s="21" t="e">
        <f t="shared" ca="1" si="15"/>
        <v>#NUM!</v>
      </c>
      <c r="AB61" s="21" t="e">
        <f t="shared" ca="1" si="16"/>
        <v>#NUM!</v>
      </c>
      <c r="AC61" t="str" cm="1">
        <f t="array" ref="AC61">IF( AND($D$7,NOT(ISBLANK($D61))), IF(_xll.IMDP("IR", $D61, AC$8, Matrix!$D$6)=0,"",_xll.IMDP("IR", $D61, AC$8, Matrix!$D$6)), "")</f>
        <v/>
      </c>
      <c r="AD61" t="str" cm="1">
        <f t="array" ref="AD61">IF( AND($D$7,NOT(ISBLANK($D61))), IF(_xll.IMDP("IR", $D61, AD$8, Matrix!$D$6)=0,"",_xll.IMDP("IR", $D61, AD$8, Matrix!$D$6)), "")</f>
        <v/>
      </c>
      <c r="AE61" t="str" cm="1">
        <f t="array" ref="AE61">IF( AND($D$7,NOT(ISBLANK($D61))), IF(_xll.IMDP("IR", $D61, AE$8, Matrix!$D$6)=0,"",_xll.IMDP("IR", $D61, AE$8, Matrix!$D$6)), "")</f>
        <v/>
      </c>
      <c r="AF61" t="str" cm="1">
        <f t="array" ref="AF61">IF( AND($D$7,NOT(ISBLANK($D61))), IF(_xll.IMDP("IR", $D61, AF$8, Matrix!$D$6)=0,"",_xll.IMDP("IR", $D61, AF$8, Matrix!$D$6)), "")</f>
        <v/>
      </c>
      <c r="AG61" t="str" cm="1">
        <f t="array" ref="AG61">IF( AND($D$7,NOT(ISBLANK($D61))), IF(_xll.IMDP("IR", $D61, AG$8, Matrix!$D$6)=0,"",_xll.IMDP("IR", $D61, AG$8, Matrix!$D$6)), "")</f>
        <v/>
      </c>
      <c r="AH61" t="str" cm="1">
        <f t="array" ref="AH61">IF( AND($D$7,NOT(ISBLANK($D61))), IF(_xll.IMDP("IR", $D61, AH$8, Matrix!$D$6)=0,"",_xll.IMDP("IR", $D61, AH$8, Matrix!$D$6)), "")</f>
        <v/>
      </c>
      <c r="AI61" t="str" cm="1">
        <f t="array" ref="AI61">IF( AND($D$7,NOT(ISBLANK($D61))), IF(_xll.IMDP("IR", $D61, AI$8, Matrix!$D$6)=0,"",_xll.IMDP("IR", $D61, AI$8, Matrix!$D$6)), "")</f>
        <v/>
      </c>
      <c r="AJ61" t="str" cm="1">
        <f t="array" ref="AJ61">IF( AND($D$7,NOT(ISBLANK($D61))), IF(_xll.IMDP("IR", $D61, AJ$8, Matrix!$D$6)=0,"",_xll.IMDP("IR", $D61, AJ$8, Matrix!$D$6)), "")</f>
        <v/>
      </c>
      <c r="AK61" t="str" cm="1">
        <f t="array" ref="AK61">IF( AND($D$7,NOT(ISBLANK($D61))), IF(_xll.IMDP("IR", $D61, AK$8, Matrix!$D$6)=0,"",_xll.IMDP("IR", $D61, AK$8, Matrix!$D$6)), "")</f>
        <v/>
      </c>
      <c r="AL61" t="str" cm="1">
        <f t="array" ref="AL61">IF( AND($D$7,NOT(ISBLANK($D61))), IF(_xll.IMDP("IR", $D61, AL$8, Matrix!$D$6)=0,"",_xll.IMDP("IR", $D61, AL$8, Matrix!$D$6)), "")</f>
        <v/>
      </c>
      <c r="AM61" t="str" cm="1">
        <f t="array" ref="AM61">IF( AND($D$7,NOT(ISBLANK($D61))), IF(_xll.IMDP("IR", $D61, AM$8, Matrix!$D$6)=0,"",_xll.IMDP("IR", $D61, AM$8, Matrix!$D$6)), "")</f>
        <v/>
      </c>
      <c r="AN61" t="str" cm="1">
        <f t="array" ref="AN61">IF( AND($D$7,NOT(ISBLANK($D61))), IF(_xll.IMDP("IR", $D61, AN$8, Matrix!$D$6)=0,"",_xll.IMDP("IR", $D61, AN$8, Matrix!$D$6)), "")</f>
        <v/>
      </c>
      <c r="AO61" t="str" cm="1">
        <f t="array" ref="AO61">IF( AND($D$7,NOT(ISBLANK($D61))), IF(_xll.IMDP("IR", $D61, AO$8, Matrix!$D$6)=0,"",_xll.IMDP("IR", $D61, AO$8, Matrix!$D$6)), "")</f>
        <v/>
      </c>
      <c r="AP61" t="str" cm="1">
        <f t="array" ref="AP61">IF( AND($D$7,NOT(ISBLANK($D61))), IF(_xll.IMDP("IR", $D61, AP$8, Matrix!$D$6)=0,"",_xll.IMDP("IR", $D61, AP$8, Matrix!$D$6)), "")</f>
        <v/>
      </c>
      <c r="AQ61" t="str" cm="1">
        <f t="array" ref="AQ61">IF( AND($D$7,NOT(ISBLANK($D61))), IF(_xll.IMDP("IR", $D61, AQ$8, Matrix!$D$6)=0,"",_xll.IMDP("IR", $D61, AQ$8, Matrix!$D$6)), "")</f>
        <v/>
      </c>
      <c r="AR61" t="str" cm="1">
        <f t="array" ref="AR61">IF( AND($D$7,NOT(ISBLANK($D61))), IF(_xll.IMDP("IR", $D61, AR$8, Matrix!$D$6)=0,"",_xll.IMDP("IR", $D61, AR$8, Matrix!$D$6)), "")</f>
        <v/>
      </c>
      <c r="AS61" t="str" cm="1">
        <f t="array" ref="AS61">IF( AND($E$7,NOT(ISBLANK($E61))), IF( _xll.IMDP("IR", $E61, AS$8, Matrix!$D$6)=0,"",_xll.IMDP("IR", $E61, AS$8, Matrix!$D$6)), "")</f>
        <v/>
      </c>
      <c r="AT61" t="str" cm="1">
        <f t="array" ref="AT61">IF( AND($E$7,NOT(ISBLANK($E61))), IF( _xll.IMDP("IR", $E61, AT$8, Matrix!$D$6)=0,"",_xll.IMDP("IR", $E61, AT$8, Matrix!$D$6)), "")</f>
        <v/>
      </c>
      <c r="AU61" t="str" cm="1">
        <f t="array" ref="AU61">IF( AND($E$7,NOT(ISBLANK($E61))), IF( _xll.IMDP("IR", $E61, AU$8, Matrix!$D$6)=0,"",_xll.IMDP("IR", $E61, AU$8, Matrix!$D$6)), "")</f>
        <v/>
      </c>
      <c r="AV61" t="str" cm="1">
        <f t="array" ref="AV61">IF( AND($E$7,NOT(ISBLANK($E61))), IF( _xll.IMDP("IR", $E61, AV$8, Matrix!$D$6)=0,"",_xll.IMDP("IR", $E61, AV$8, Matrix!$D$6)), "")</f>
        <v/>
      </c>
      <c r="AW61" t="str" cm="1">
        <f t="array" ref="AW61">IF( AND($E$7,NOT(ISBLANK($E61))), IF( _xll.IMDP("IR", $E61, AW$8, Matrix!$D$6)=0,"",_xll.IMDP("IR", $E61, AW$8, Matrix!$D$6)), "")</f>
        <v/>
      </c>
      <c r="AX61" t="str" cm="1">
        <f t="array" ref="AX61">IF( AND($E$7,NOT(ISBLANK($E61))), IF( _xll.IMDP("IR", $E61, AX$8, Matrix!$D$6)=0,"",_xll.IMDP("IR", $E61, AX$8, Matrix!$D$6)), "")</f>
        <v/>
      </c>
      <c r="AY61" t="str" cm="1">
        <f t="array" ref="AY61">IF( AND($E$7,NOT(ISBLANK($E61))), IF( _xll.IMDP("IR", $E61, AY$8, Matrix!$D$6)=0,"",_xll.IMDP("IR", $E61, AY$8, Matrix!$D$6)), "")</f>
        <v/>
      </c>
      <c r="AZ61" t="str" cm="1">
        <f t="array" ref="AZ61">IF( AND($E$7,NOT(ISBLANK($E61))), IF( _xll.IMDP("IR", $E61, AZ$8, Matrix!$D$6)=0,"",_xll.IMDP("IR", $E61, AZ$8, Matrix!$D$6)), "")</f>
        <v/>
      </c>
      <c r="BA61" t="str" cm="1">
        <f t="array" ref="BA61">IF( AND($E$7,NOT(ISBLANK($E61))), IF( _xll.IMDP("IR", $E61, BA$8, Matrix!$D$6)=0,"",_xll.IMDP("IR", $E61, BA$8, Matrix!$D$6)), "")</f>
        <v/>
      </c>
      <c r="BB61" t="str" cm="1">
        <f t="array" ref="BB61">IF( AND($E$7,NOT(ISBLANK($E61))), IF( _xll.IMDP("IR", $E61, BB$8, Matrix!$D$6)=0,"",_xll.IMDP("IR", $E61, BB$8, Matrix!$D$6)), "")</f>
        <v/>
      </c>
      <c r="BC61" t="str" cm="1">
        <f t="array" ref="BC61">IF( AND($E$7,NOT(ISBLANK($E61))), IF( _xll.IMDP("IR", $E61, BC$8, Matrix!$D$6)=0,"",_xll.IMDP("IR", $E61, BC$8, Matrix!$D$6)), "")</f>
        <v/>
      </c>
      <c r="BD61" t="str" cm="1">
        <f t="array" ref="BD61">IF( AND($E$7,NOT(ISBLANK($E61))), IF( _xll.IMDP("IR", $E61, BD$8, Matrix!$D$6)=0,"",_xll.IMDP("IR", $E61, BD$8, Matrix!$D$6)), "")</f>
        <v/>
      </c>
      <c r="BE61" t="str" cm="1">
        <f t="array" ref="BE61">IF( AND($E$7,NOT(ISBLANK($E61))), IF( _xll.IMDP("IR", $E61, BE$8, Matrix!$D$6)=0,"",_xll.IMDP("IR", $E61, BE$8, Matrix!$D$6)), "")</f>
        <v/>
      </c>
      <c r="BF61" t="str" cm="1">
        <f t="array" ref="BF61">IF( AND($E$7,NOT(ISBLANK($E61))), IF( _xll.IMDP("IR", $E61, BF$8, Matrix!$D$6)=0,"",_xll.IMDP("IR", $E61, BF$8, Matrix!$D$6)), "")</f>
        <v/>
      </c>
      <c r="BG61" t="str" cm="1">
        <f t="array" ref="BG61">IF( AND($E$7,NOT(ISBLANK($E61))), IF( _xll.IMDP("IR", $E61, BG$8, Matrix!$D$6)=0,"",_xll.IMDP("IR", $E61, BG$8, Matrix!$D$6)), "")</f>
        <v/>
      </c>
      <c r="BH61" t="str" cm="1">
        <f t="array" ref="BH61">IF( AND($E$7,NOT(ISBLANK($E61))), IF( _xll.IMDP("IR", $E61, BH$8, Matrix!$D$6)=0,"",_xll.IMDP("IR", $E61, BH$8, Matrix!$D$6)), "")</f>
        <v/>
      </c>
      <c r="BI61" cm="1">
        <f t="array" aca="1" ref="BI61" ca="1">IF( AND($F$7,NOT(ISBLANK($F61))), IF( _xll.IMDP("IR", $F61, BI$8, Matrix!$D$6)=0,"",_xll.IMDP("IR", $F61, BI$8, Matrix!$D$6)), "")</f>
        <v>3.6309999999999998</v>
      </c>
      <c r="BJ61" cm="1">
        <f t="array" aca="1" ref="BJ61" ca="1">IF( AND($F$7,NOT(ISBLANK($F61))), IF( _xll.IMDP("IR", $F61, BJ$8, Matrix!$D$6)=0,"",_xll.IMDP("IR", $F61, BJ$8, Matrix!$D$6)), "")</f>
        <v>3.6840000000000002</v>
      </c>
      <c r="BK61" cm="1">
        <f t="array" aca="1" ref="BK61" ca="1">IF( AND($F$7,NOT(ISBLANK($F61))), IF( _xll.IMDP("IR", $F61, BK$8, Matrix!$D$6)=0,"",_xll.IMDP("IR", $F61, BK$8, Matrix!$D$6)), "")</f>
        <v>3.7069999999999999</v>
      </c>
      <c r="BL61" cm="1">
        <f t="array" aca="1" ref="BL61" ca="1">IF( AND($F$7,NOT(ISBLANK($F61))), IF( _xll.IMDP("IR", $F61, BL$8, Matrix!$D$6)=0,"",_xll.IMDP("IR", $F61, BL$8, Matrix!$D$6)), "")</f>
        <v>3.76</v>
      </c>
      <c r="BM61" cm="1">
        <f t="array" aca="1" ref="BM61" ca="1">IF( AND($F$7,NOT(ISBLANK($F61))), IF( _xll.IMDP("IR", $F61, BM$8, Matrix!$D$6)=0,"",_xll.IMDP("IR", $F61, BM$8, Matrix!$D$6)), "")</f>
        <v>3.8439999999999999</v>
      </c>
      <c r="BN61" cm="1">
        <f t="array" aca="1" ref="BN61" ca="1">IF( AND($F$7,NOT(ISBLANK($F61))), IF( _xll.IMDP("IR", $F61, BN$8, Matrix!$D$6)=0,"",_xll.IMDP("IR", $F61, BN$8, Matrix!$D$6)), "")</f>
        <v>3.88</v>
      </c>
      <c r="BO61" cm="1">
        <f t="array" aca="1" ref="BO61" ca="1">IF( AND($F$7,NOT(ISBLANK($F61))), IF( _xll.IMDP("IR", $F61, BO$8, Matrix!$D$6)=0,"",_xll.IMDP("IR", $F61, BO$8, Matrix!$D$6)), "")</f>
        <v>3.9420000000000002</v>
      </c>
      <c r="BP61" cm="1">
        <f t="array" aca="1" ref="BP61" ca="1">IF( AND($F$7,NOT(ISBLANK($F61))), IF( _xll.IMDP("IR", $F61, BP$8, Matrix!$D$6)=0,"",_xll.IMDP("IR", $F61, BP$8, Matrix!$D$6)), "")</f>
        <v>4.0549999999999997</v>
      </c>
      <c r="BQ61" cm="1">
        <f t="array" aca="1" ref="BQ61" ca="1">IF( AND($F$7,NOT(ISBLANK($F61))), IF( _xll.IMDP("IR", $F61, BQ$8, Matrix!$D$6)=0,"",_xll.IMDP("IR", $F61, BQ$8, Matrix!$D$6)), "")</f>
        <v>4.4130000000000003</v>
      </c>
      <c r="BR61" cm="1">
        <f t="array" aca="1" ref="BR61" ca="1">IF( AND($F$7,NOT(ISBLANK($F61))), IF( _xll.IMDP("IR", $F61, BR$8, Matrix!$D$6)=0,"",_xll.IMDP("IR", $F61, BR$8, Matrix!$D$6)), "")</f>
        <v>4.7080000000000002</v>
      </c>
      <c r="BS61" cm="1">
        <f t="array" aca="1" ref="BS61" ca="1">IF( AND($F$7,NOT(ISBLANK($F61))), IF( _xll.IMDP("IR", $F61, BS$8, Matrix!$D$6)=0,"",_xll.IMDP("IR", $F61, BS$8, Matrix!$D$6)), "")</f>
        <v>4.9489999999999998</v>
      </c>
      <c r="BT61" cm="1">
        <f t="array" aca="1" ref="BT61" ca="1">IF( AND($F$7,NOT(ISBLANK($F61))), IF( _xll.IMDP("IR", $F61, BT$8, Matrix!$D$6)=0,"",_xll.IMDP("IR", $F61, BT$8, Matrix!$D$6)), "")</f>
        <v>5.6180000000000003</v>
      </c>
      <c r="BU61" cm="1">
        <f t="array" aca="1" ref="BU61" ca="1">IF( AND($F$7,NOT(ISBLANK($F61))), IF( _xll.IMDP("IR", $F61, BU$8, Matrix!$D$6)=0,"",_xll.IMDP("IR", $F61, BU$8, Matrix!$D$6)), "")</f>
        <v>6.0069999999999997</v>
      </c>
      <c r="BV61" cm="1">
        <f t="array" aca="1" ref="BV61" ca="1">IF( AND($F$7,NOT(ISBLANK($F61))), IF( _xll.IMDP("IR", $F61, BV$8, Matrix!$D$6)=0,"",_xll.IMDP("IR", $F61, BV$8, Matrix!$D$6)), "")</f>
        <v>6.2389999999999999</v>
      </c>
      <c r="BW61" t="str" cm="1">
        <f t="array" aca="1" ref="BW61" ca="1">IF( AND($F$7,NOT(ISBLANK($F61))), IF( _xll.IMDP("IR", $F61, BW$8, Matrix!$D$6)=0,"",_xll.IMDP("IR", $F61, BW$8, Matrix!$D$6)), "")</f>
        <v/>
      </c>
      <c r="BX61" t="str" cm="1">
        <f t="array" aca="1" ref="BX61" ca="1">IF( AND($F$7,NOT(ISBLANK($F61))), IF( _xll.IMDP("IR", $F61, BX$8, Matrix!$D$6)=0,"",_xll.IMDP("IR", $F61, BX$8, Matrix!$D$6)), "")</f>
        <v/>
      </c>
      <c r="BY61" t="str" cm="1">
        <f t="array" ref="BY61">IF( AND($G$7,NOT(ISBLANK($G61))), IF( _xll.IMDP("IR", $G61, BY$8, Matrix!$D$6)=0, "", _xll.IMDP("IR", $G61, BY$8, Matrix!$D$6)), "")</f>
        <v/>
      </c>
      <c r="BZ61" t="str" cm="1">
        <f t="array" ref="BZ61">IF( AND($G$7,NOT(ISBLANK($G61))), IF( _xll.IMDP("IR", $G61, BZ$8, Matrix!$D$6)=0, "", _xll.IMDP("IR", $G61, BZ$8, Matrix!$D$6)), "")</f>
        <v/>
      </c>
      <c r="CA61" t="str" cm="1">
        <f t="array" ref="CA61">IF( AND($G$7,NOT(ISBLANK($G61))), IF( _xll.IMDP("IR", $G61, CA$8, Matrix!$D$6)=0, "", _xll.IMDP("IR", $G61, CA$8, Matrix!$D$6)), "")</f>
        <v/>
      </c>
      <c r="CB61" t="str" cm="1">
        <f t="array" ref="CB61">IF( AND($G$7,NOT(ISBLANK($G61))), IF( _xll.IMDP("IR", $G61, CB$8, Matrix!$D$6)=0, "", _xll.IMDP("IR", $G61, CB$8, Matrix!$D$6)), "")</f>
        <v/>
      </c>
      <c r="CC61" t="str" cm="1">
        <f t="array" ref="CC61">IF( AND($G$7,NOT(ISBLANK($G61))), IF( _xll.IMDP("IR", $G61, CC$8, Matrix!$D$6)=0, "", _xll.IMDP("IR", $G61, CC$8, Matrix!$D$6)), "")</f>
        <v/>
      </c>
      <c r="CD61" t="str" cm="1">
        <f t="array" ref="CD61">IF( AND($G$7,NOT(ISBLANK($G61))), IF( _xll.IMDP("IR", $G61, CD$8, Matrix!$D$6)=0, "", _xll.IMDP("IR", $G61, CD$8, Matrix!$D$6)), "")</f>
        <v/>
      </c>
      <c r="CE61" t="str" cm="1">
        <f t="array" ref="CE61">IF( AND($G$7,NOT(ISBLANK($G61))), IF( _xll.IMDP("IR", $G61, CE$8, Matrix!$D$6)=0, "", _xll.IMDP("IR", $G61, CE$8, Matrix!$D$6)), "")</f>
        <v/>
      </c>
      <c r="CF61" t="str" cm="1">
        <f t="array" ref="CF61">IF( AND($G$7,NOT(ISBLANK($G61))), IF( _xll.IMDP("IR", $G61, CF$8, Matrix!$D$6)=0, "", _xll.IMDP("IR", $G61, CF$8, Matrix!$D$6)), "")</f>
        <v/>
      </c>
      <c r="CG61" t="str" cm="1">
        <f t="array" ref="CG61">IF( AND($G$7,NOT(ISBLANK($G61))), IF( _xll.IMDP("IR", $G61, CG$8, Matrix!$D$6)=0, "", _xll.IMDP("IR", $G61, CG$8, Matrix!$D$6)), "")</f>
        <v/>
      </c>
      <c r="CH61" t="str" cm="1">
        <f t="array" ref="CH61">IF( AND($G$7,NOT(ISBLANK($G61))), IF( _xll.IMDP("IR", $G61, CH$8, Matrix!$D$6)=0, "", _xll.IMDP("IR", $G61, CH$8, Matrix!$D$6)), "")</f>
        <v/>
      </c>
      <c r="CI61" t="str" cm="1">
        <f t="array" ref="CI61">IF( AND($G$7,NOT(ISBLANK($G61))), IF( _xll.IMDP("IR", $G61, CI$8, Matrix!$D$6)=0, "", _xll.IMDP("IR", $G61, CI$8, Matrix!$D$6)), "")</f>
        <v/>
      </c>
      <c r="CJ61" t="str" cm="1">
        <f t="array" ref="CJ61">IF( AND($G$7,NOT(ISBLANK($G61))), IF( _xll.IMDP("IR", $G61, CJ$8, Matrix!$D$6)=0, "", _xll.IMDP("IR", $G61, CJ$8, Matrix!$D$6)), "")</f>
        <v/>
      </c>
      <c r="CK61" t="str" cm="1">
        <f t="array" ref="CK61">IF( AND($G$7,NOT(ISBLANK($G61))), IF( _xll.IMDP("IR", $G61, CK$8, Matrix!$D$6)=0, "", _xll.IMDP("IR", $G61, CK$8, Matrix!$D$6)), "")</f>
        <v/>
      </c>
      <c r="CL61" t="str" cm="1">
        <f t="array" ref="CL61">IF( AND($G$7,NOT(ISBLANK($G61))), IF( _xll.IMDP("IR", $G61, CL$8, Matrix!$D$6)=0, "", _xll.IMDP("IR", $G61, CL$8, Matrix!$D$6)), "")</f>
        <v/>
      </c>
      <c r="CM61" t="str" cm="1">
        <f t="array" ref="CM61">IF( AND($G$7,NOT(ISBLANK($G61))), IF( _xll.IMDP("IR", $G61, CM$8, Matrix!$D$6)=0, "", _xll.IMDP("IR", $G61, CM$8, Matrix!$D$6)), "")</f>
        <v/>
      </c>
      <c r="CN61" t="str" cm="1">
        <f t="array" ref="CN61">IF( AND($G$7,NOT(ISBLANK($G61))), IF( _xll.IMDP("IR", $G61, CN$8, Matrix!$D$6)=0, "", _xll.IMDP("IR", $G61, CN$8, Matrix!$D$6)), "")</f>
        <v/>
      </c>
      <c r="CO61" t="str" cm="1">
        <f t="array" ref="CO61">IF( AND($H$7,NOT(ISBLANK($H61))), IF( _xll.IMDP("IR", $H61, CO$8, Matrix!$D$6)=0, "", _xll.IMDP("IR", $H61, CO$8, Matrix!$D$6)), "")</f>
        <v/>
      </c>
      <c r="CP61" t="str" cm="1">
        <f t="array" ref="CP61">IF( AND($H$7,NOT(ISBLANK($H61))), IF( _xll.IMDP("IR", $H61, CP$8, Matrix!$D$6)=0, "", _xll.IMDP("IR", $H61, CP$8, Matrix!$D$6)), "")</f>
        <v/>
      </c>
      <c r="CQ61" t="str" cm="1">
        <f t="array" ref="CQ61">IF( AND($H$7,NOT(ISBLANK($H61))), IF( _xll.IMDP("IR", $H61, CQ$8, Matrix!$D$6)=0, "", _xll.IMDP("IR", $H61, CQ$8, Matrix!$D$6)), "")</f>
        <v/>
      </c>
      <c r="CR61" t="str" cm="1">
        <f t="array" ref="CR61">IF( AND($H$7,NOT(ISBLANK($H61))), IF( _xll.IMDP("IR", $H61, CR$8, Matrix!$D$6)=0, "", _xll.IMDP("IR", $H61, CR$8, Matrix!$D$6)), "")</f>
        <v/>
      </c>
      <c r="CS61" t="str" cm="1">
        <f t="array" ref="CS61">IF( AND($H$7,NOT(ISBLANK($H61))), IF( _xll.IMDP("IR", $H61, CS$8, Matrix!$D$6)=0, "", _xll.IMDP("IR", $H61, CS$8, Matrix!$D$6)), "")</f>
        <v/>
      </c>
      <c r="CT61" t="str" cm="1">
        <f t="array" ref="CT61">IF( AND($H$7,NOT(ISBLANK($H61))), IF( _xll.IMDP("IR", $H61, CT$8, Matrix!$D$6)=0, "", _xll.IMDP("IR", $H61, CT$8, Matrix!$D$6)), "")</f>
        <v/>
      </c>
      <c r="CU61" t="str" cm="1">
        <f t="array" ref="CU61">IF( AND($H$7,NOT(ISBLANK($H61))), IF( _xll.IMDP("IR", $H61, CU$8, Matrix!$D$6)=0, "", _xll.IMDP("IR", $H61, CU$8, Matrix!$D$6)), "")</f>
        <v/>
      </c>
      <c r="CV61" t="str" cm="1">
        <f t="array" ref="CV61">IF( AND($H$7,NOT(ISBLANK($H61))), IF( _xll.IMDP("IR", $H61, CV$8, Matrix!$D$6)=0, "", _xll.IMDP("IR", $H61, CV$8, Matrix!$D$6)), "")</f>
        <v/>
      </c>
      <c r="CW61" t="str" cm="1">
        <f t="array" ref="CW61">IF( AND($H$7,NOT(ISBLANK($H61))), IF( _xll.IMDP("IR", $H61, CW$8, Matrix!$D$6)=0, "", _xll.IMDP("IR", $H61, CW$8, Matrix!$D$6)), "")</f>
        <v/>
      </c>
      <c r="CX61" t="str" cm="1">
        <f t="array" ref="CX61">IF( AND($H$7,NOT(ISBLANK($H61))), IF( _xll.IMDP("IR", $H61, CX$8, Matrix!$D$6)=0, "", _xll.IMDP("IR", $H61, CX$8, Matrix!$D$6)), "")</f>
        <v/>
      </c>
      <c r="CY61" t="str" cm="1">
        <f t="array" ref="CY61">IF( AND($H$7,NOT(ISBLANK($H61))), IF( _xll.IMDP("IR", $H61, CY$8, Matrix!$D$6)=0, "", _xll.IMDP("IR", $H61, CY$8, Matrix!$D$6)), "")</f>
        <v/>
      </c>
      <c r="CZ61" t="str" cm="1">
        <f t="array" ref="CZ61">IF( AND($H$7,NOT(ISBLANK($H61))), IF( _xll.IMDP("IR", $H61, CZ$8, Matrix!$D$6)=0, "", _xll.IMDP("IR", $H61, CZ$8, Matrix!$D$6)), "")</f>
        <v/>
      </c>
      <c r="DA61" t="str" cm="1">
        <f t="array" ref="DA61">IF( AND($H$7,NOT(ISBLANK($H61))), IF( _xll.IMDP("IR", $H61, DA$8, Matrix!$D$6)=0, "", _xll.IMDP("IR", $H61, DA$8, Matrix!$D$6)), "")</f>
        <v/>
      </c>
      <c r="DB61" t="str" cm="1">
        <f t="array" ref="DB61">IF( AND($H$7,NOT(ISBLANK($H61))), IF( _xll.IMDP("IR", $H61, DB$8, Matrix!$D$6)=0, "", _xll.IMDP("IR", $H61, DB$8, Matrix!$D$6)), "")</f>
        <v/>
      </c>
      <c r="DC61" t="str" cm="1">
        <f t="array" ref="DC61">IF( AND($H$7,NOT(ISBLANK($H61))), IF( _xll.IMDP("IR", $H61, DC$8, Matrix!$D$6)=0, "", _xll.IMDP("IR", $H61, DC$8, Matrix!$D$6)), "")</f>
        <v/>
      </c>
      <c r="DD61" t="str" cm="1">
        <f t="array" ref="DD61">IF( AND($H$7,NOT(ISBLANK($H61))), IF( _xll.IMDP("IR", $H61, DD$8, Matrix!$D$6)=0, "", _xll.IMDP("IR", $H61, DD$8, Matrix!$D$6)), "")</f>
        <v/>
      </c>
    </row>
    <row r="62" spans="2:108">
      <c r="B62" t="s">
        <v>130</v>
      </c>
      <c r="C62" t="s">
        <v>204</v>
      </c>
      <c r="F62" t="s">
        <v>400</v>
      </c>
      <c r="M62" s="21">
        <f t="shared" ca="1" si="1"/>
        <v>3.851</v>
      </c>
      <c r="N62" s="21">
        <f t="shared" ca="1" si="2"/>
        <v>3.9390000000000001</v>
      </c>
      <c r="O62" s="21">
        <f t="shared" ca="1" si="3"/>
        <v>3.9769999999999999</v>
      </c>
      <c r="P62" s="21">
        <f t="shared" ca="1" si="4"/>
        <v>4.0270000000000001</v>
      </c>
      <c r="Q62" s="21">
        <f t="shared" ca="1" si="5"/>
        <v>4.1360000000000001</v>
      </c>
      <c r="R62" s="21">
        <f t="shared" ca="1" si="6"/>
        <v>4.2009999999999996</v>
      </c>
      <c r="S62" s="21">
        <f t="shared" ca="1" si="7"/>
        <v>4.3280000000000003</v>
      </c>
      <c r="T62" s="21">
        <f t="shared" ca="1" si="8"/>
        <v>4.5170000000000003</v>
      </c>
      <c r="U62" s="21">
        <f t="shared" ca="1" si="9"/>
        <v>4.9560000000000004</v>
      </c>
      <c r="V62" s="21">
        <f t="shared" ca="1" si="10"/>
        <v>5.3579999999999997</v>
      </c>
      <c r="W62" s="21">
        <f t="shared" ca="1" si="11"/>
        <v>5.5140000000000002</v>
      </c>
      <c r="X62" s="21">
        <f t="shared" ca="1" si="12"/>
        <v>6.1529999999999996</v>
      </c>
      <c r="Y62" s="21">
        <f t="shared" ca="1" si="13"/>
        <v>6.5270000000000001</v>
      </c>
      <c r="Z62" s="21">
        <f t="shared" ca="1" si="14"/>
        <v>6.8090000000000002</v>
      </c>
      <c r="AA62" s="21" t="e">
        <f t="shared" ca="1" si="15"/>
        <v>#NUM!</v>
      </c>
      <c r="AB62" s="21" t="e">
        <f t="shared" ca="1" si="16"/>
        <v>#NUM!</v>
      </c>
      <c r="AC62" t="str" cm="1">
        <f t="array" ref="AC62">IF( AND($D$7,NOT(ISBLANK($D62))), IF(_xll.IMDP("IR", $D62, AC$8, Matrix!$D$6)=0,"",_xll.IMDP("IR", $D62, AC$8, Matrix!$D$6)), "")</f>
        <v/>
      </c>
      <c r="AD62" t="str" cm="1">
        <f t="array" ref="AD62">IF( AND($D$7,NOT(ISBLANK($D62))), IF(_xll.IMDP("IR", $D62, AD$8, Matrix!$D$6)=0,"",_xll.IMDP("IR", $D62, AD$8, Matrix!$D$6)), "")</f>
        <v/>
      </c>
      <c r="AE62" t="str" cm="1">
        <f t="array" ref="AE62">IF( AND($D$7,NOT(ISBLANK($D62))), IF(_xll.IMDP("IR", $D62, AE$8, Matrix!$D$6)=0,"",_xll.IMDP("IR", $D62, AE$8, Matrix!$D$6)), "")</f>
        <v/>
      </c>
      <c r="AF62" t="str" cm="1">
        <f t="array" ref="AF62">IF( AND($D$7,NOT(ISBLANK($D62))), IF(_xll.IMDP("IR", $D62, AF$8, Matrix!$D$6)=0,"",_xll.IMDP("IR", $D62, AF$8, Matrix!$D$6)), "")</f>
        <v/>
      </c>
      <c r="AG62" t="str" cm="1">
        <f t="array" ref="AG62">IF( AND($D$7,NOT(ISBLANK($D62))), IF(_xll.IMDP("IR", $D62, AG$8, Matrix!$D$6)=0,"",_xll.IMDP("IR", $D62, AG$8, Matrix!$D$6)), "")</f>
        <v/>
      </c>
      <c r="AH62" t="str" cm="1">
        <f t="array" ref="AH62">IF( AND($D$7,NOT(ISBLANK($D62))), IF(_xll.IMDP("IR", $D62, AH$8, Matrix!$D$6)=0,"",_xll.IMDP("IR", $D62, AH$8, Matrix!$D$6)), "")</f>
        <v/>
      </c>
      <c r="AI62" t="str" cm="1">
        <f t="array" ref="AI62">IF( AND($D$7,NOT(ISBLANK($D62))), IF(_xll.IMDP("IR", $D62, AI$8, Matrix!$D$6)=0,"",_xll.IMDP("IR", $D62, AI$8, Matrix!$D$6)), "")</f>
        <v/>
      </c>
      <c r="AJ62" t="str" cm="1">
        <f t="array" ref="AJ62">IF( AND($D$7,NOT(ISBLANK($D62))), IF(_xll.IMDP("IR", $D62, AJ$8, Matrix!$D$6)=0,"",_xll.IMDP("IR", $D62, AJ$8, Matrix!$D$6)), "")</f>
        <v/>
      </c>
      <c r="AK62" t="str" cm="1">
        <f t="array" ref="AK62">IF( AND($D$7,NOT(ISBLANK($D62))), IF(_xll.IMDP("IR", $D62, AK$8, Matrix!$D$6)=0,"",_xll.IMDP("IR", $D62, AK$8, Matrix!$D$6)), "")</f>
        <v/>
      </c>
      <c r="AL62" t="str" cm="1">
        <f t="array" ref="AL62">IF( AND($D$7,NOT(ISBLANK($D62))), IF(_xll.IMDP("IR", $D62, AL$8, Matrix!$D$6)=0,"",_xll.IMDP("IR", $D62, AL$8, Matrix!$D$6)), "")</f>
        <v/>
      </c>
      <c r="AM62" t="str" cm="1">
        <f t="array" ref="AM62">IF( AND($D$7,NOT(ISBLANK($D62))), IF(_xll.IMDP("IR", $D62, AM$8, Matrix!$D$6)=0,"",_xll.IMDP("IR", $D62, AM$8, Matrix!$D$6)), "")</f>
        <v/>
      </c>
      <c r="AN62" t="str" cm="1">
        <f t="array" ref="AN62">IF( AND($D$7,NOT(ISBLANK($D62))), IF(_xll.IMDP("IR", $D62, AN$8, Matrix!$D$6)=0,"",_xll.IMDP("IR", $D62, AN$8, Matrix!$D$6)), "")</f>
        <v/>
      </c>
      <c r="AO62" t="str" cm="1">
        <f t="array" ref="AO62">IF( AND($D$7,NOT(ISBLANK($D62))), IF(_xll.IMDP("IR", $D62, AO$8, Matrix!$D$6)=0,"",_xll.IMDP("IR", $D62, AO$8, Matrix!$D$6)), "")</f>
        <v/>
      </c>
      <c r="AP62" t="str" cm="1">
        <f t="array" ref="AP62">IF( AND($D$7,NOT(ISBLANK($D62))), IF(_xll.IMDP("IR", $D62, AP$8, Matrix!$D$6)=0,"",_xll.IMDP("IR", $D62, AP$8, Matrix!$D$6)), "")</f>
        <v/>
      </c>
      <c r="AQ62" t="str" cm="1">
        <f t="array" ref="AQ62">IF( AND($D$7,NOT(ISBLANK($D62))), IF(_xll.IMDP("IR", $D62, AQ$8, Matrix!$D$6)=0,"",_xll.IMDP("IR", $D62, AQ$8, Matrix!$D$6)), "")</f>
        <v/>
      </c>
      <c r="AR62" t="str" cm="1">
        <f t="array" ref="AR62">IF( AND($D$7,NOT(ISBLANK($D62))), IF(_xll.IMDP("IR", $D62, AR$8, Matrix!$D$6)=0,"",_xll.IMDP("IR", $D62, AR$8, Matrix!$D$6)), "")</f>
        <v/>
      </c>
      <c r="AS62" t="str" cm="1">
        <f t="array" ref="AS62">IF( AND($E$7,NOT(ISBLANK($E62))), IF( _xll.IMDP("IR", $E62, AS$8, Matrix!$D$6)=0,"",_xll.IMDP("IR", $E62, AS$8, Matrix!$D$6)), "")</f>
        <v/>
      </c>
      <c r="AT62" t="str" cm="1">
        <f t="array" ref="AT62">IF( AND($E$7,NOT(ISBLANK($E62))), IF( _xll.IMDP("IR", $E62, AT$8, Matrix!$D$6)=0,"",_xll.IMDP("IR", $E62, AT$8, Matrix!$D$6)), "")</f>
        <v/>
      </c>
      <c r="AU62" t="str" cm="1">
        <f t="array" ref="AU62">IF( AND($E$7,NOT(ISBLANK($E62))), IF( _xll.IMDP("IR", $E62, AU$8, Matrix!$D$6)=0,"",_xll.IMDP("IR", $E62, AU$8, Matrix!$D$6)), "")</f>
        <v/>
      </c>
      <c r="AV62" t="str" cm="1">
        <f t="array" ref="AV62">IF( AND($E$7,NOT(ISBLANK($E62))), IF( _xll.IMDP("IR", $E62, AV$8, Matrix!$D$6)=0,"",_xll.IMDP("IR", $E62, AV$8, Matrix!$D$6)), "")</f>
        <v/>
      </c>
      <c r="AW62" t="str" cm="1">
        <f t="array" ref="AW62">IF( AND($E$7,NOT(ISBLANK($E62))), IF( _xll.IMDP("IR", $E62, AW$8, Matrix!$D$6)=0,"",_xll.IMDP("IR", $E62, AW$8, Matrix!$D$6)), "")</f>
        <v/>
      </c>
      <c r="AX62" t="str" cm="1">
        <f t="array" ref="AX62">IF( AND($E$7,NOT(ISBLANK($E62))), IF( _xll.IMDP("IR", $E62, AX$8, Matrix!$D$6)=0,"",_xll.IMDP("IR", $E62, AX$8, Matrix!$D$6)), "")</f>
        <v/>
      </c>
      <c r="AY62" t="str" cm="1">
        <f t="array" ref="AY62">IF( AND($E$7,NOT(ISBLANK($E62))), IF( _xll.IMDP("IR", $E62, AY$8, Matrix!$D$6)=0,"",_xll.IMDP("IR", $E62, AY$8, Matrix!$D$6)), "")</f>
        <v/>
      </c>
      <c r="AZ62" t="str" cm="1">
        <f t="array" ref="AZ62">IF( AND($E$7,NOT(ISBLANK($E62))), IF( _xll.IMDP("IR", $E62, AZ$8, Matrix!$D$6)=0,"",_xll.IMDP("IR", $E62, AZ$8, Matrix!$D$6)), "")</f>
        <v/>
      </c>
      <c r="BA62" t="str" cm="1">
        <f t="array" ref="BA62">IF( AND($E$7,NOT(ISBLANK($E62))), IF( _xll.IMDP("IR", $E62, BA$8, Matrix!$D$6)=0,"",_xll.IMDP("IR", $E62, BA$8, Matrix!$D$6)), "")</f>
        <v/>
      </c>
      <c r="BB62" t="str" cm="1">
        <f t="array" ref="BB62">IF( AND($E$7,NOT(ISBLANK($E62))), IF( _xll.IMDP("IR", $E62, BB$8, Matrix!$D$6)=0,"",_xll.IMDP("IR", $E62, BB$8, Matrix!$D$6)), "")</f>
        <v/>
      </c>
      <c r="BC62" t="str" cm="1">
        <f t="array" ref="BC62">IF( AND($E$7,NOT(ISBLANK($E62))), IF( _xll.IMDP("IR", $E62, BC$8, Matrix!$D$6)=0,"",_xll.IMDP("IR", $E62, BC$8, Matrix!$D$6)), "")</f>
        <v/>
      </c>
      <c r="BD62" t="str" cm="1">
        <f t="array" ref="BD62">IF( AND($E$7,NOT(ISBLANK($E62))), IF( _xll.IMDP("IR", $E62, BD$8, Matrix!$D$6)=0,"",_xll.IMDP("IR", $E62, BD$8, Matrix!$D$6)), "")</f>
        <v/>
      </c>
      <c r="BE62" t="str" cm="1">
        <f t="array" ref="BE62">IF( AND($E$7,NOT(ISBLANK($E62))), IF( _xll.IMDP("IR", $E62, BE$8, Matrix!$D$6)=0,"",_xll.IMDP("IR", $E62, BE$8, Matrix!$D$6)), "")</f>
        <v/>
      </c>
      <c r="BF62" t="str" cm="1">
        <f t="array" ref="BF62">IF( AND($E$7,NOT(ISBLANK($E62))), IF( _xll.IMDP("IR", $E62, BF$8, Matrix!$D$6)=0,"",_xll.IMDP("IR", $E62, BF$8, Matrix!$D$6)), "")</f>
        <v/>
      </c>
      <c r="BG62" t="str" cm="1">
        <f t="array" ref="BG62">IF( AND($E$7,NOT(ISBLANK($E62))), IF( _xll.IMDP("IR", $E62, BG$8, Matrix!$D$6)=0,"",_xll.IMDP("IR", $E62, BG$8, Matrix!$D$6)), "")</f>
        <v/>
      </c>
      <c r="BH62" t="str" cm="1">
        <f t="array" ref="BH62">IF( AND($E$7,NOT(ISBLANK($E62))), IF( _xll.IMDP("IR", $E62, BH$8, Matrix!$D$6)=0,"",_xll.IMDP("IR", $E62, BH$8, Matrix!$D$6)), "")</f>
        <v/>
      </c>
      <c r="BI62" cm="1">
        <f t="array" aca="1" ref="BI62" ca="1">IF( AND($F$7,NOT(ISBLANK($F62))), IF( _xll.IMDP("IR", $F62, BI$8, Matrix!$D$6)=0,"",_xll.IMDP("IR", $F62, BI$8, Matrix!$D$6)), "")</f>
        <v>3.851</v>
      </c>
      <c r="BJ62" cm="1">
        <f t="array" aca="1" ref="BJ62" ca="1">IF( AND($F$7,NOT(ISBLANK($F62))), IF( _xll.IMDP("IR", $F62, BJ$8, Matrix!$D$6)=0,"",_xll.IMDP("IR", $F62, BJ$8, Matrix!$D$6)), "")</f>
        <v>3.9390000000000001</v>
      </c>
      <c r="BK62" cm="1">
        <f t="array" aca="1" ref="BK62" ca="1">IF( AND($F$7,NOT(ISBLANK($F62))), IF( _xll.IMDP("IR", $F62, BK$8, Matrix!$D$6)=0,"",_xll.IMDP("IR", $F62, BK$8, Matrix!$D$6)), "")</f>
        <v>3.9769999999999999</v>
      </c>
      <c r="BL62" cm="1">
        <f t="array" aca="1" ref="BL62" ca="1">IF( AND($F$7,NOT(ISBLANK($F62))), IF( _xll.IMDP("IR", $F62, BL$8, Matrix!$D$6)=0,"",_xll.IMDP("IR", $F62, BL$8, Matrix!$D$6)), "")</f>
        <v>4.0270000000000001</v>
      </c>
      <c r="BM62" cm="1">
        <f t="array" aca="1" ref="BM62" ca="1">IF( AND($F$7,NOT(ISBLANK($F62))), IF( _xll.IMDP("IR", $F62, BM$8, Matrix!$D$6)=0,"",_xll.IMDP("IR", $F62, BM$8, Matrix!$D$6)), "")</f>
        <v>4.1360000000000001</v>
      </c>
      <c r="BN62" cm="1">
        <f t="array" aca="1" ref="BN62" ca="1">IF( AND($F$7,NOT(ISBLANK($F62))), IF( _xll.IMDP("IR", $F62, BN$8, Matrix!$D$6)=0,"",_xll.IMDP("IR", $F62, BN$8, Matrix!$D$6)), "")</f>
        <v>4.2009999999999996</v>
      </c>
      <c r="BO62" cm="1">
        <f t="array" aca="1" ref="BO62" ca="1">IF( AND($F$7,NOT(ISBLANK($F62))), IF( _xll.IMDP("IR", $F62, BO$8, Matrix!$D$6)=0,"",_xll.IMDP("IR", $F62, BO$8, Matrix!$D$6)), "")</f>
        <v>4.3280000000000003</v>
      </c>
      <c r="BP62" cm="1">
        <f t="array" aca="1" ref="BP62" ca="1">IF( AND($F$7,NOT(ISBLANK($F62))), IF( _xll.IMDP("IR", $F62, BP$8, Matrix!$D$6)=0,"",_xll.IMDP("IR", $F62, BP$8, Matrix!$D$6)), "")</f>
        <v>4.5170000000000003</v>
      </c>
      <c r="BQ62" cm="1">
        <f t="array" aca="1" ref="BQ62" ca="1">IF( AND($F$7,NOT(ISBLANK($F62))), IF( _xll.IMDP("IR", $F62, BQ$8, Matrix!$D$6)=0,"",_xll.IMDP("IR", $F62, BQ$8, Matrix!$D$6)), "")</f>
        <v>4.9560000000000004</v>
      </c>
      <c r="BR62" cm="1">
        <f t="array" aca="1" ref="BR62" ca="1">IF( AND($F$7,NOT(ISBLANK($F62))), IF( _xll.IMDP("IR", $F62, BR$8, Matrix!$D$6)=0,"",_xll.IMDP("IR", $F62, BR$8, Matrix!$D$6)), "")</f>
        <v>5.3579999999999997</v>
      </c>
      <c r="BS62" cm="1">
        <f t="array" aca="1" ref="BS62" ca="1">IF( AND($F$7,NOT(ISBLANK($F62))), IF( _xll.IMDP("IR", $F62, BS$8, Matrix!$D$6)=0,"",_xll.IMDP("IR", $F62, BS$8, Matrix!$D$6)), "")</f>
        <v>5.5140000000000002</v>
      </c>
      <c r="BT62" cm="1">
        <f t="array" aca="1" ref="BT62" ca="1">IF( AND($F$7,NOT(ISBLANK($F62))), IF( _xll.IMDP("IR", $F62, BT$8, Matrix!$D$6)=0,"",_xll.IMDP("IR", $F62, BT$8, Matrix!$D$6)), "")</f>
        <v>6.1529999999999996</v>
      </c>
      <c r="BU62" cm="1">
        <f t="array" aca="1" ref="BU62" ca="1">IF( AND($F$7,NOT(ISBLANK($F62))), IF( _xll.IMDP("IR", $F62, BU$8, Matrix!$D$6)=0,"",_xll.IMDP("IR", $F62, BU$8, Matrix!$D$6)), "")</f>
        <v>6.5270000000000001</v>
      </c>
      <c r="BV62" cm="1">
        <f t="array" aca="1" ref="BV62" ca="1">IF( AND($F$7,NOT(ISBLANK($F62))), IF( _xll.IMDP("IR", $F62, BV$8, Matrix!$D$6)=0,"",_xll.IMDP("IR", $F62, BV$8, Matrix!$D$6)), "")</f>
        <v>6.8090000000000002</v>
      </c>
      <c r="BW62" t="str" cm="1">
        <f t="array" aca="1" ref="BW62" ca="1">IF( AND($F$7,NOT(ISBLANK($F62))), IF( _xll.IMDP("IR", $F62, BW$8, Matrix!$D$6)=0,"",_xll.IMDP("IR", $F62, BW$8, Matrix!$D$6)), "")</f>
        <v/>
      </c>
      <c r="BX62" t="str" cm="1">
        <f t="array" aca="1" ref="BX62" ca="1">IF( AND($F$7,NOT(ISBLANK($F62))), IF( _xll.IMDP("IR", $F62, BX$8, Matrix!$D$6)=0,"",_xll.IMDP("IR", $F62, BX$8, Matrix!$D$6)), "")</f>
        <v/>
      </c>
      <c r="BY62" t="str" cm="1">
        <f t="array" ref="BY62">IF( AND($G$7,NOT(ISBLANK($G62))), IF( _xll.IMDP("IR", $G62, BY$8, Matrix!$D$6)=0, "", _xll.IMDP("IR", $G62, BY$8, Matrix!$D$6)), "")</f>
        <v/>
      </c>
      <c r="BZ62" t="str" cm="1">
        <f t="array" ref="BZ62">IF( AND($G$7,NOT(ISBLANK($G62))), IF( _xll.IMDP("IR", $G62, BZ$8, Matrix!$D$6)=0, "", _xll.IMDP("IR", $G62, BZ$8, Matrix!$D$6)), "")</f>
        <v/>
      </c>
      <c r="CA62" t="str" cm="1">
        <f t="array" ref="CA62">IF( AND($G$7,NOT(ISBLANK($G62))), IF( _xll.IMDP("IR", $G62, CA$8, Matrix!$D$6)=0, "", _xll.IMDP("IR", $G62, CA$8, Matrix!$D$6)), "")</f>
        <v/>
      </c>
      <c r="CB62" t="str" cm="1">
        <f t="array" ref="CB62">IF( AND($G$7,NOT(ISBLANK($G62))), IF( _xll.IMDP("IR", $G62, CB$8, Matrix!$D$6)=0, "", _xll.IMDP("IR", $G62, CB$8, Matrix!$D$6)), "")</f>
        <v/>
      </c>
      <c r="CC62" t="str" cm="1">
        <f t="array" ref="CC62">IF( AND($G$7,NOT(ISBLANK($G62))), IF( _xll.IMDP("IR", $G62, CC$8, Matrix!$D$6)=0, "", _xll.IMDP("IR", $G62, CC$8, Matrix!$D$6)), "")</f>
        <v/>
      </c>
      <c r="CD62" t="str" cm="1">
        <f t="array" ref="CD62">IF( AND($G$7,NOT(ISBLANK($G62))), IF( _xll.IMDP("IR", $G62, CD$8, Matrix!$D$6)=0, "", _xll.IMDP("IR", $G62, CD$8, Matrix!$D$6)), "")</f>
        <v/>
      </c>
      <c r="CE62" t="str" cm="1">
        <f t="array" ref="CE62">IF( AND($G$7,NOT(ISBLANK($G62))), IF( _xll.IMDP("IR", $G62, CE$8, Matrix!$D$6)=0, "", _xll.IMDP("IR", $G62, CE$8, Matrix!$D$6)), "")</f>
        <v/>
      </c>
      <c r="CF62" t="str" cm="1">
        <f t="array" ref="CF62">IF( AND($G$7,NOT(ISBLANK($G62))), IF( _xll.IMDP("IR", $G62, CF$8, Matrix!$D$6)=0, "", _xll.IMDP("IR", $G62, CF$8, Matrix!$D$6)), "")</f>
        <v/>
      </c>
      <c r="CG62" t="str" cm="1">
        <f t="array" ref="CG62">IF( AND($G$7,NOT(ISBLANK($G62))), IF( _xll.IMDP("IR", $G62, CG$8, Matrix!$D$6)=0, "", _xll.IMDP("IR", $G62, CG$8, Matrix!$D$6)), "")</f>
        <v/>
      </c>
      <c r="CH62" t="str" cm="1">
        <f t="array" ref="CH62">IF( AND($G$7,NOT(ISBLANK($G62))), IF( _xll.IMDP("IR", $G62, CH$8, Matrix!$D$6)=0, "", _xll.IMDP("IR", $G62, CH$8, Matrix!$D$6)), "")</f>
        <v/>
      </c>
      <c r="CI62" t="str" cm="1">
        <f t="array" ref="CI62">IF( AND($G$7,NOT(ISBLANK($G62))), IF( _xll.IMDP("IR", $G62, CI$8, Matrix!$D$6)=0, "", _xll.IMDP("IR", $G62, CI$8, Matrix!$D$6)), "")</f>
        <v/>
      </c>
      <c r="CJ62" t="str" cm="1">
        <f t="array" ref="CJ62">IF( AND($G$7,NOT(ISBLANK($G62))), IF( _xll.IMDP("IR", $G62, CJ$8, Matrix!$D$6)=0, "", _xll.IMDP("IR", $G62, CJ$8, Matrix!$D$6)), "")</f>
        <v/>
      </c>
      <c r="CK62" t="str" cm="1">
        <f t="array" ref="CK62">IF( AND($G$7,NOT(ISBLANK($G62))), IF( _xll.IMDP("IR", $G62, CK$8, Matrix!$D$6)=0, "", _xll.IMDP("IR", $G62, CK$8, Matrix!$D$6)), "")</f>
        <v/>
      </c>
      <c r="CL62" t="str" cm="1">
        <f t="array" ref="CL62">IF( AND($G$7,NOT(ISBLANK($G62))), IF( _xll.IMDP("IR", $G62, CL$8, Matrix!$D$6)=0, "", _xll.IMDP("IR", $G62, CL$8, Matrix!$D$6)), "")</f>
        <v/>
      </c>
      <c r="CM62" t="str" cm="1">
        <f t="array" ref="CM62">IF( AND($G$7,NOT(ISBLANK($G62))), IF( _xll.IMDP("IR", $G62, CM$8, Matrix!$D$6)=0, "", _xll.IMDP("IR", $G62, CM$8, Matrix!$D$6)), "")</f>
        <v/>
      </c>
      <c r="CN62" t="str" cm="1">
        <f t="array" ref="CN62">IF( AND($G$7,NOT(ISBLANK($G62))), IF( _xll.IMDP("IR", $G62, CN$8, Matrix!$D$6)=0, "", _xll.IMDP("IR", $G62, CN$8, Matrix!$D$6)), "")</f>
        <v/>
      </c>
      <c r="CO62" t="str" cm="1">
        <f t="array" ref="CO62">IF( AND($H$7,NOT(ISBLANK($H62))), IF( _xll.IMDP("IR", $H62, CO$8, Matrix!$D$6)=0, "", _xll.IMDP("IR", $H62, CO$8, Matrix!$D$6)), "")</f>
        <v/>
      </c>
      <c r="CP62" t="str" cm="1">
        <f t="array" ref="CP62">IF( AND($H$7,NOT(ISBLANK($H62))), IF( _xll.IMDP("IR", $H62, CP$8, Matrix!$D$6)=0, "", _xll.IMDP("IR", $H62, CP$8, Matrix!$D$6)), "")</f>
        <v/>
      </c>
      <c r="CQ62" t="str" cm="1">
        <f t="array" ref="CQ62">IF( AND($H$7,NOT(ISBLANK($H62))), IF( _xll.IMDP("IR", $H62, CQ$8, Matrix!$D$6)=0, "", _xll.IMDP("IR", $H62, CQ$8, Matrix!$D$6)), "")</f>
        <v/>
      </c>
      <c r="CR62" t="str" cm="1">
        <f t="array" ref="CR62">IF( AND($H$7,NOT(ISBLANK($H62))), IF( _xll.IMDP("IR", $H62, CR$8, Matrix!$D$6)=0, "", _xll.IMDP("IR", $H62, CR$8, Matrix!$D$6)), "")</f>
        <v/>
      </c>
      <c r="CS62" t="str" cm="1">
        <f t="array" ref="CS62">IF( AND($H$7,NOT(ISBLANK($H62))), IF( _xll.IMDP("IR", $H62, CS$8, Matrix!$D$6)=0, "", _xll.IMDP("IR", $H62, CS$8, Matrix!$D$6)), "")</f>
        <v/>
      </c>
      <c r="CT62" t="str" cm="1">
        <f t="array" ref="CT62">IF( AND($H$7,NOT(ISBLANK($H62))), IF( _xll.IMDP("IR", $H62, CT$8, Matrix!$D$6)=0, "", _xll.IMDP("IR", $H62, CT$8, Matrix!$D$6)), "")</f>
        <v/>
      </c>
      <c r="CU62" t="str" cm="1">
        <f t="array" ref="CU62">IF( AND($H$7,NOT(ISBLANK($H62))), IF( _xll.IMDP("IR", $H62, CU$8, Matrix!$D$6)=0, "", _xll.IMDP("IR", $H62, CU$8, Matrix!$D$6)), "")</f>
        <v/>
      </c>
      <c r="CV62" t="str" cm="1">
        <f t="array" ref="CV62">IF( AND($H$7,NOT(ISBLANK($H62))), IF( _xll.IMDP("IR", $H62, CV$8, Matrix!$D$6)=0, "", _xll.IMDP("IR", $H62, CV$8, Matrix!$D$6)), "")</f>
        <v/>
      </c>
      <c r="CW62" t="str" cm="1">
        <f t="array" ref="CW62">IF( AND($H$7,NOT(ISBLANK($H62))), IF( _xll.IMDP("IR", $H62, CW$8, Matrix!$D$6)=0, "", _xll.IMDP("IR", $H62, CW$8, Matrix!$D$6)), "")</f>
        <v/>
      </c>
      <c r="CX62" t="str" cm="1">
        <f t="array" ref="CX62">IF( AND($H$7,NOT(ISBLANK($H62))), IF( _xll.IMDP("IR", $H62, CX$8, Matrix!$D$6)=0, "", _xll.IMDP("IR", $H62, CX$8, Matrix!$D$6)), "")</f>
        <v/>
      </c>
      <c r="CY62" t="str" cm="1">
        <f t="array" ref="CY62">IF( AND($H$7,NOT(ISBLANK($H62))), IF( _xll.IMDP("IR", $H62, CY$8, Matrix!$D$6)=0, "", _xll.IMDP("IR", $H62, CY$8, Matrix!$D$6)), "")</f>
        <v/>
      </c>
      <c r="CZ62" t="str" cm="1">
        <f t="array" ref="CZ62">IF( AND($H$7,NOT(ISBLANK($H62))), IF( _xll.IMDP("IR", $H62, CZ$8, Matrix!$D$6)=0, "", _xll.IMDP("IR", $H62, CZ$8, Matrix!$D$6)), "")</f>
        <v/>
      </c>
      <c r="DA62" t="str" cm="1">
        <f t="array" ref="DA62">IF( AND($H$7,NOT(ISBLANK($H62))), IF( _xll.IMDP("IR", $H62, DA$8, Matrix!$D$6)=0, "", _xll.IMDP("IR", $H62, DA$8, Matrix!$D$6)), "")</f>
        <v/>
      </c>
      <c r="DB62" t="str" cm="1">
        <f t="array" ref="DB62">IF( AND($H$7,NOT(ISBLANK($H62))), IF( _xll.IMDP("IR", $H62, DB$8, Matrix!$D$6)=0, "", _xll.IMDP("IR", $H62, DB$8, Matrix!$D$6)), "")</f>
        <v/>
      </c>
      <c r="DC62" t="str" cm="1">
        <f t="array" ref="DC62">IF( AND($H$7,NOT(ISBLANK($H62))), IF( _xll.IMDP("IR", $H62, DC$8, Matrix!$D$6)=0, "", _xll.IMDP("IR", $H62, DC$8, Matrix!$D$6)), "")</f>
        <v/>
      </c>
      <c r="DD62" t="str" cm="1">
        <f t="array" ref="DD62">IF( AND($H$7,NOT(ISBLANK($H62))), IF( _xll.IMDP("IR", $H62, DD$8, Matrix!$D$6)=0, "", _xll.IMDP("IR", $H62, DD$8, Matrix!$D$6)), "")</f>
        <v/>
      </c>
    </row>
    <row r="63" spans="2:108">
      <c r="B63" t="s">
        <v>131</v>
      </c>
      <c r="C63" t="s">
        <v>205</v>
      </c>
      <c r="D63" t="s">
        <v>270</v>
      </c>
      <c r="E63" t="s">
        <v>331</v>
      </c>
      <c r="F63" t="s">
        <v>401</v>
      </c>
      <c r="G63" t="s">
        <v>464</v>
      </c>
      <c r="H63" t="s">
        <v>511</v>
      </c>
      <c r="M63" s="21">
        <f t="shared" ca="1" si="1"/>
        <v>3.3981244673021118</v>
      </c>
      <c r="N63" s="21">
        <f t="shared" ca="1" si="2"/>
        <v>3.3835584468321289</v>
      </c>
      <c r="O63" s="21">
        <f t="shared" ca="1" si="3"/>
        <v>3.3319560012907514</v>
      </c>
      <c r="P63" s="21">
        <f t="shared" ca="1" si="4"/>
        <v>3.2885073532180411</v>
      </c>
      <c r="Q63" s="21">
        <f t="shared" ca="1" si="5"/>
        <v>3.2983729369990766</v>
      </c>
      <c r="R63" s="21">
        <f t="shared" ca="1" si="6"/>
        <v>3.2863977112693168</v>
      </c>
      <c r="S63" s="21">
        <f t="shared" ca="1" si="7"/>
        <v>3.2865944264120177</v>
      </c>
      <c r="T63" s="21">
        <f t="shared" ca="1" si="8"/>
        <v>3.2875926640673043</v>
      </c>
      <c r="U63" s="21">
        <f t="shared" ca="1" si="9"/>
        <v>3.2843940583050339</v>
      </c>
      <c r="V63" s="21">
        <f t="shared" ca="1" si="10"/>
        <v>3.2851955928538197</v>
      </c>
      <c r="W63" s="21">
        <f t="shared" ca="1" si="11"/>
        <v>3.3509994031630699</v>
      </c>
      <c r="X63" s="21">
        <f t="shared" ca="1" si="12"/>
        <v>3.6093825645146094</v>
      </c>
      <c r="Y63" s="21">
        <f t="shared" ca="1" si="13"/>
        <v>3.8347382434857256</v>
      </c>
      <c r="Z63" s="21">
        <f t="shared" ca="1" si="14"/>
        <v>3.964734644181235</v>
      </c>
      <c r="AA63" s="21" t="e">
        <f t="shared" ca="1" si="15"/>
        <v>#NUM!</v>
      </c>
      <c r="AB63" s="21" t="e">
        <f t="shared" ca="1" si="16"/>
        <v>#NUM!</v>
      </c>
      <c r="AC63" cm="1">
        <f t="array" aca="1" ref="AC63" ca="1">IF( AND($D$7,NOT(ISBLANK($D63))), IF(_xll.IMDP("IR", $D63, AC$8, Matrix!$D$6)=0,"",_xll.IMDP("IR", $D63, AC$8, Matrix!$D$6)), "")</f>
        <v>3.4119999999999999</v>
      </c>
      <c r="AD63" cm="1">
        <f t="array" aca="1" ref="AD63" ca="1">IF( AND($D$7,NOT(ISBLANK($D63))), IF(_xll.IMDP("IR", $D63, AD$8, Matrix!$D$6)=0,"",_xll.IMDP("IR", $D63, AD$8, Matrix!$D$6)), "")</f>
        <v>3.3919999999999999</v>
      </c>
      <c r="AE63" cm="1">
        <f t="array" aca="1" ref="AE63" ca="1">IF( AND($D$7,NOT(ISBLANK($D63))), IF(_xll.IMDP("IR", $D63, AE$8, Matrix!$D$6)=0,"",_xll.IMDP("IR", $D63, AE$8, Matrix!$D$6)), "")</f>
        <v>3.33</v>
      </c>
      <c r="AF63" cm="1">
        <f t="array" aca="1" ref="AF63" ca="1">IF( AND($D$7,NOT(ISBLANK($D63))), IF(_xll.IMDP("IR", $D63, AF$8, Matrix!$D$6)=0,"",_xll.IMDP("IR", $D63, AF$8, Matrix!$D$6)), "")</f>
        <v>3.2879999999999998</v>
      </c>
      <c r="AG63" cm="1">
        <f t="array" aca="1" ref="AG63" ca="1">IF( AND($D$7,NOT(ISBLANK($D63))), IF(_xll.IMDP("IR", $D63, AG$8, Matrix!$D$6)=0,"",_xll.IMDP("IR", $D63, AG$8, Matrix!$D$6)), "")</f>
        <v>3.2879999999999998</v>
      </c>
      <c r="AH63" cm="1">
        <f t="array" aca="1" ref="AH63" ca="1">IF( AND($D$7,NOT(ISBLANK($D63))), IF(_xll.IMDP("IR", $D63, AH$8, Matrix!$D$6)=0,"",_xll.IMDP("IR", $D63, AH$8, Matrix!$D$6)), "")</f>
        <v>3.2879999999999998</v>
      </c>
      <c r="AI63" cm="1">
        <f t="array" aca="1" ref="AI63" ca="1">IF( AND($D$7,NOT(ISBLANK($D63))), IF(_xll.IMDP("IR", $D63, AI$8, Matrix!$D$6)=0,"",_xll.IMDP("IR", $D63, AI$8, Matrix!$D$6)), "")</f>
        <v>3.28</v>
      </c>
      <c r="AJ63" cm="1">
        <f t="array" aca="1" ref="AJ63" ca="1">IF( AND($D$7,NOT(ISBLANK($D63))), IF(_xll.IMDP("IR", $D63, AJ$8, Matrix!$D$6)=0,"",_xll.IMDP("IR", $D63, AJ$8, Matrix!$D$6)), "")</f>
        <v>3.28</v>
      </c>
      <c r="AK63" cm="1">
        <f t="array" aca="1" ref="AK63" ca="1">IF( AND($D$7,NOT(ISBLANK($D63))), IF(_xll.IMDP("IR", $D63, AK$8, Matrix!$D$6)=0,"",_xll.IMDP("IR", $D63, AK$8, Matrix!$D$6)), "")</f>
        <v>3.2759999999999998</v>
      </c>
      <c r="AL63" cm="1">
        <f t="array" aca="1" ref="AL63" ca="1">IF( AND($D$7,NOT(ISBLANK($D63))), IF(_xll.IMDP("IR", $D63, AL$8, Matrix!$D$6)=0,"",_xll.IMDP("IR", $D63, AL$8, Matrix!$D$6)), "")</f>
        <v>3.278</v>
      </c>
      <c r="AM63" cm="1">
        <f t="array" aca="1" ref="AM63" ca="1">IF( AND($D$7,NOT(ISBLANK($D63))), IF(_xll.IMDP("IR", $D63, AM$8, Matrix!$D$6)=0,"",_xll.IMDP("IR", $D63, AM$8, Matrix!$D$6)), "")</f>
        <v>3.3479999999999999</v>
      </c>
      <c r="AN63" cm="1">
        <f t="array" aca="1" ref="AN63" ca="1">IF( AND($D$7,NOT(ISBLANK($D63))), IF(_xll.IMDP("IR", $D63, AN$8, Matrix!$D$6)=0,"",_xll.IMDP("IR", $D63, AN$8, Matrix!$D$6)), "")</f>
        <v>3.5920000000000001</v>
      </c>
      <c r="AO63" cm="1">
        <f t="array" aca="1" ref="AO63" ca="1">IF( AND($D$7,NOT(ISBLANK($D63))), IF(_xll.IMDP("IR", $D63, AO$8, Matrix!$D$6)=0,"",_xll.IMDP("IR", $D63, AO$8, Matrix!$D$6)), "")</f>
        <v>3.8250000000000002</v>
      </c>
      <c r="AP63" cm="1">
        <f t="array" aca="1" ref="AP63" ca="1">IF( AND($D$7,NOT(ISBLANK($D63))), IF(_xll.IMDP("IR", $D63, AP$8, Matrix!$D$6)=0,"",_xll.IMDP("IR", $D63, AP$8, Matrix!$D$6)), "")</f>
        <v>3.948</v>
      </c>
      <c r="AQ63" t="str" cm="1">
        <f t="array" aca="1" ref="AQ63" ca="1">IF( AND($D$7,NOT(ISBLANK($D63))), IF(_xll.IMDP("IR", $D63, AQ$8, Matrix!$D$6)=0,"",_xll.IMDP("IR", $D63, AQ$8, Matrix!$D$6)), "")</f>
        <v/>
      </c>
      <c r="AR63" t="str" cm="1">
        <f t="array" aca="1" ref="AR63" ca="1">IF( AND($D$7,NOT(ISBLANK($D63))), IF(_xll.IMDP("IR", $D63, AR$8, Matrix!$D$6)=0,"",_xll.IMDP("IR", $D63, AR$8, Matrix!$D$6)), "")</f>
        <v/>
      </c>
      <c r="AS63" cm="1">
        <f t="array" aca="1" ref="AS63" ca="1">IF( AND($E$7,NOT(ISBLANK($E63))), IF( _xll.IMDP("IR", $E63, AS$8, Matrix!$D$6)=0,"",_xll.IMDP("IR", $E63, AS$8, Matrix!$D$6)), "")</f>
        <v>3.3570000000000002</v>
      </c>
      <c r="AT63" cm="1">
        <f t="array" aca="1" ref="AT63" ca="1">IF( AND($E$7,NOT(ISBLANK($E63))), IF( _xll.IMDP("IR", $E63, AT$8, Matrix!$D$6)=0,"",_xll.IMDP("IR", $E63, AT$8, Matrix!$D$6)), "")</f>
        <v>3.3570000000000002</v>
      </c>
      <c r="AU63" cm="1">
        <f t="array" aca="1" ref="AU63" ca="1">IF( AND($E$7,NOT(ISBLANK($E63))), IF( _xll.IMDP("IR", $E63, AU$8, Matrix!$D$6)=0,"",_xll.IMDP("IR", $E63, AU$8, Matrix!$D$6)), "")</f>
        <v>3.3109999999999999</v>
      </c>
      <c r="AV63" cm="1">
        <f t="array" aca="1" ref="AV63" ca="1">IF( AND($E$7,NOT(ISBLANK($E63))), IF( _xll.IMDP("IR", $E63, AV$8, Matrix!$D$6)=0,"",_xll.IMDP("IR", $E63, AV$8, Matrix!$D$6)), "")</f>
        <v>3.2509999999999999</v>
      </c>
      <c r="AW63" cm="1">
        <f t="array" aca="1" ref="AW63" ca="1">IF( AND($E$7,NOT(ISBLANK($E63))), IF( _xll.IMDP("IR", $E63, AW$8, Matrix!$D$6)=0,"",_xll.IMDP("IR", $E63, AW$8, Matrix!$D$6)), "")</f>
        <v>3.2810000000000001</v>
      </c>
      <c r="AX63" cm="1">
        <f t="array" aca="1" ref="AX63" ca="1">IF( AND($E$7,NOT(ISBLANK($E63))), IF( _xll.IMDP("IR", $E63, AX$8, Matrix!$D$6)=0,"",_xll.IMDP("IR", $E63, AX$8, Matrix!$D$6)), "")</f>
        <v>3.286</v>
      </c>
      <c r="AY63" cm="1">
        <f t="array" aca="1" ref="AY63" ca="1">IF( AND($E$7,NOT(ISBLANK($E63))), IF( _xll.IMDP("IR", $E63, AY$8, Matrix!$D$6)=0,"",_xll.IMDP("IR", $E63, AY$8, Matrix!$D$6)), "")</f>
        <v>3.294</v>
      </c>
      <c r="AZ63" cm="1">
        <f t="array" aca="1" ref="AZ63" ca="1">IF( AND($E$7,NOT(ISBLANK($E63))), IF( _xll.IMDP("IR", $E63, AZ$8, Matrix!$D$6)=0,"",_xll.IMDP("IR", $E63, AZ$8, Matrix!$D$6)), "")</f>
        <v>3.2959999999999998</v>
      </c>
      <c r="BA63" cm="1">
        <f t="array" aca="1" ref="BA63" ca="1">IF( AND($E$7,NOT(ISBLANK($E63))), IF( _xll.IMDP("IR", $E63, BA$8, Matrix!$D$6)=0,"",_xll.IMDP("IR", $E63, BA$8, Matrix!$D$6)), "")</f>
        <v>3.294</v>
      </c>
      <c r="BB63" cm="1">
        <f t="array" aca="1" ref="BB63" ca="1">IF( AND($E$7,NOT(ISBLANK($E63))), IF( _xll.IMDP("IR", $E63, BB$8, Matrix!$D$6)=0,"",_xll.IMDP("IR", $E63, BB$8, Matrix!$D$6)), "")</f>
        <v>3.2930000000000001</v>
      </c>
      <c r="BC63" cm="1">
        <f t="array" aca="1" ref="BC63" ca="1">IF( AND($E$7,NOT(ISBLANK($E63))), IF( _xll.IMDP("IR", $E63, BC$8, Matrix!$D$6)=0,"",_xll.IMDP("IR", $E63, BC$8, Matrix!$D$6)), "")</f>
        <v>3.3540000000000001</v>
      </c>
      <c r="BD63" cm="1">
        <f t="array" aca="1" ref="BD63" ca="1">IF( AND($E$7,NOT(ISBLANK($E63))), IF( _xll.IMDP("IR", $E63, BD$8, Matrix!$D$6)=0,"",_xll.IMDP("IR", $E63, BD$8, Matrix!$D$6)), "")</f>
        <v>3.6259999999999999</v>
      </c>
      <c r="BE63" cm="1">
        <f t="array" aca="1" ref="BE63" ca="1">IF( AND($E$7,NOT(ISBLANK($E63))), IF( _xll.IMDP("IR", $E63, BE$8, Matrix!$D$6)=0,"",_xll.IMDP("IR", $E63, BE$8, Matrix!$D$6)), "")</f>
        <v>3.847</v>
      </c>
      <c r="BF63" cm="1">
        <f t="array" aca="1" ref="BF63" ca="1">IF( AND($E$7,NOT(ISBLANK($E63))), IF( _xll.IMDP("IR", $E63, BF$8, Matrix!$D$6)=0,"",_xll.IMDP("IR", $E63, BF$8, Matrix!$D$6)), "")</f>
        <v>3.9790000000000001</v>
      </c>
      <c r="BG63" t="str" cm="1">
        <f t="array" aca="1" ref="BG63" ca="1">IF( AND($E$7,NOT(ISBLANK($E63))), IF( _xll.IMDP("IR", $E63, BG$8, Matrix!$D$6)=0,"",_xll.IMDP("IR", $E63, BG$8, Matrix!$D$6)), "")</f>
        <v/>
      </c>
      <c r="BH63" t="str" cm="1">
        <f t="array" aca="1" ref="BH63" ca="1">IF( AND($E$7,NOT(ISBLANK($E63))), IF( _xll.IMDP("IR", $E63, BH$8, Matrix!$D$6)=0,"",_xll.IMDP("IR", $E63, BH$8, Matrix!$D$6)), "")</f>
        <v/>
      </c>
      <c r="BI63" cm="1">
        <f t="array" aca="1" ref="BI63" ca="1">IF( AND($F$7,NOT(ISBLANK($F63))), IF( _xll.IMDP("IR", $F63, BI$8, Matrix!$D$6)=0,"",_xll.IMDP("IR", $F63, BI$8, Matrix!$D$6)), "")</f>
        <v>3.4239999999999999</v>
      </c>
      <c r="BJ63" cm="1">
        <f t="array" aca="1" ref="BJ63" ca="1">IF( AND($F$7,NOT(ISBLANK($F63))), IF( _xll.IMDP("IR", $F63, BJ$8, Matrix!$D$6)=0,"",_xll.IMDP("IR", $F63, BJ$8, Matrix!$D$6)), "")</f>
        <v>3.4079999999999999</v>
      </c>
      <c r="BK63" cm="1">
        <f t="array" aca="1" ref="BK63" ca="1">IF( AND($F$7,NOT(ISBLANK($F63))), IF( _xll.IMDP("IR", $F63, BK$8, Matrix!$D$6)=0,"",_xll.IMDP("IR", $F63, BK$8, Matrix!$D$6)), "")</f>
        <v>3.363</v>
      </c>
      <c r="BL63" cm="1">
        <f t="array" aca="1" ref="BL63" ca="1">IF( AND($F$7,NOT(ISBLANK($F63))), IF( _xll.IMDP("IR", $F63, BL$8, Matrix!$D$6)=0,"",_xll.IMDP("IR", $F63, BL$8, Matrix!$D$6)), "")</f>
        <v>3.3290000000000002</v>
      </c>
      <c r="BM63" cm="1">
        <f t="array" aca="1" ref="BM63" ca="1">IF( AND($F$7,NOT(ISBLANK($F63))), IF( _xll.IMDP("IR", $F63, BM$8, Matrix!$D$6)=0,"",_xll.IMDP("IR", $F63, BM$8, Matrix!$D$6)), "")</f>
        <v>3.319</v>
      </c>
      <c r="BN63" cm="1">
        <f t="array" aca="1" ref="BN63" ca="1">IF( AND($F$7,NOT(ISBLANK($F63))), IF( _xll.IMDP("IR", $F63, BN$8, Matrix!$D$6)=0,"",_xll.IMDP("IR", $F63, BN$8, Matrix!$D$6)), "")</f>
        <v>3.28</v>
      </c>
      <c r="BO63" cm="1">
        <f t="array" aca="1" ref="BO63" ca="1">IF( AND($F$7,NOT(ISBLANK($F63))), IF( _xll.IMDP("IR", $F63, BO$8, Matrix!$D$6)=0,"",_xll.IMDP("IR", $F63, BO$8, Matrix!$D$6)), "")</f>
        <v>3.28</v>
      </c>
      <c r="BP63" cm="1">
        <f t="array" aca="1" ref="BP63" ca="1">IF( AND($F$7,NOT(ISBLANK($F63))), IF( _xll.IMDP("IR", $F63, BP$8, Matrix!$D$6)=0,"",_xll.IMDP("IR", $F63, BP$8, Matrix!$D$6)), "")</f>
        <v>3.28</v>
      </c>
      <c r="BQ63" cm="1">
        <f t="array" aca="1" ref="BQ63" ca="1">IF( AND($F$7,NOT(ISBLANK($F63))), IF( _xll.IMDP("IR", $F63, BQ$8, Matrix!$D$6)=0,"",_xll.IMDP("IR", $F63, BQ$8, Matrix!$D$6)), "")</f>
        <v>3.28</v>
      </c>
      <c r="BR63" cm="1">
        <f t="array" aca="1" ref="BR63" ca="1">IF( AND($F$7,NOT(ISBLANK($F63))), IF( _xll.IMDP("IR", $F63, BR$8, Matrix!$D$6)=0,"",_xll.IMDP("IR", $F63, BR$8, Matrix!$D$6)), "")</f>
        <v>3.2810000000000001</v>
      </c>
      <c r="BS63" cm="1">
        <f t="array" aca="1" ref="BS63" ca="1">IF( AND($F$7,NOT(ISBLANK($F63))), IF( _xll.IMDP("IR", $F63, BS$8, Matrix!$D$6)=0,"",_xll.IMDP("IR", $F63, BS$8, Matrix!$D$6)), "")</f>
        <v>3.3519999999999999</v>
      </c>
      <c r="BT63" cm="1">
        <f t="array" aca="1" ref="BT63" ca="1">IF( AND($F$7,NOT(ISBLANK($F63))), IF( _xll.IMDP("IR", $F63, BT$8, Matrix!$D$6)=0,"",_xll.IMDP("IR", $F63, BT$8, Matrix!$D$6)), "")</f>
        <v>3.6150000000000002</v>
      </c>
      <c r="BU63" cm="1">
        <f t="array" aca="1" ref="BU63" ca="1">IF( AND($F$7,NOT(ISBLANK($F63))), IF( _xll.IMDP("IR", $F63, BU$8, Matrix!$D$6)=0,"",_xll.IMDP("IR", $F63, BU$8, Matrix!$D$6)), "")</f>
        <v>3.8260000000000001</v>
      </c>
      <c r="BV63" cm="1">
        <f t="array" aca="1" ref="BV63" ca="1">IF( AND($F$7,NOT(ISBLANK($F63))), IF( _xll.IMDP("IR", $F63, BV$8, Matrix!$D$6)=0,"",_xll.IMDP("IR", $F63, BV$8, Matrix!$D$6)), "")</f>
        <v>3.9660000000000002</v>
      </c>
      <c r="BW63" t="str" cm="1">
        <f t="array" aca="1" ref="BW63" ca="1">IF( AND($F$7,NOT(ISBLANK($F63))), IF( _xll.IMDP("IR", $F63, BW$8, Matrix!$D$6)=0,"",_xll.IMDP("IR", $F63, BW$8, Matrix!$D$6)), "")</f>
        <v/>
      </c>
      <c r="BX63" t="str" cm="1">
        <f t="array" aca="1" ref="BX63" ca="1">IF( AND($F$7,NOT(ISBLANK($F63))), IF( _xll.IMDP("IR", $F63, BX$8, Matrix!$D$6)=0,"",_xll.IMDP("IR", $F63, BX$8, Matrix!$D$6)), "")</f>
        <v/>
      </c>
      <c r="BY63" cm="1">
        <f t="array" aca="1" ref="BY63" ca="1">IF( AND($G$7,NOT(ISBLANK($G63))), IF( _xll.IMDP("IR", $G63, BY$8, Matrix!$D$6)=0, "", _xll.IMDP("IR", $G63, BY$8, Matrix!$D$6)), "")</f>
        <v>3.4</v>
      </c>
      <c r="BZ63" cm="1">
        <f t="array" aca="1" ref="BZ63" ca="1">IF( AND($G$7,NOT(ISBLANK($G63))), IF( _xll.IMDP("IR", $G63, BZ$8, Matrix!$D$6)=0, "", _xll.IMDP("IR", $G63, BZ$8, Matrix!$D$6)), "")</f>
        <v>3.3780000000000001</v>
      </c>
      <c r="CA63" cm="1">
        <f t="array" aca="1" ref="CA63" ca="1">IF( AND($G$7,NOT(ISBLANK($G63))), IF( _xll.IMDP("IR", $G63, CA$8, Matrix!$D$6)=0, "", _xll.IMDP("IR", $G63, CA$8, Matrix!$D$6)), "")</f>
        <v>3.3239999999999998</v>
      </c>
      <c r="CB63" cm="1">
        <f t="array" aca="1" ref="CB63" ca="1">IF( AND($G$7,NOT(ISBLANK($G63))), IF( _xll.IMDP("IR", $G63, CB$8, Matrix!$D$6)=0, "", _xll.IMDP("IR", $G63, CB$8, Matrix!$D$6)), "")</f>
        <v>3.2869999999999999</v>
      </c>
      <c r="CC63" cm="1">
        <f t="array" aca="1" ref="CC63" ca="1">IF( AND($G$7,NOT(ISBLANK($G63))), IF( _xll.IMDP("IR", $G63, CC$8, Matrix!$D$6)=0, "", _xll.IMDP("IR", $G63, CC$8, Matrix!$D$6)), "")</f>
        <v>3.306</v>
      </c>
      <c r="CD63" cm="1">
        <f t="array" aca="1" ref="CD63" ca="1">IF( AND($G$7,NOT(ISBLANK($G63))), IF( _xll.IMDP("IR", $G63, CD$8, Matrix!$D$6)=0, "", _xll.IMDP("IR", $G63, CD$8, Matrix!$D$6)), "")</f>
        <v>3.2919999999999998</v>
      </c>
      <c r="CE63" cm="1">
        <f t="array" aca="1" ref="CE63" ca="1">IF( AND($G$7,NOT(ISBLANK($G63))), IF( _xll.IMDP("IR", $G63, CE$8, Matrix!$D$6)=0, "", _xll.IMDP("IR", $G63, CE$8, Matrix!$D$6)), "")</f>
        <v>3.2930000000000001</v>
      </c>
      <c r="CF63" cm="1">
        <f t="array" aca="1" ref="CF63" ca="1">IF( AND($G$7,NOT(ISBLANK($G63))), IF( _xll.IMDP("IR", $G63, CF$8, Matrix!$D$6)=0, "", _xll.IMDP("IR", $G63, CF$8, Matrix!$D$6)), "")</f>
        <v>3.2949999999999999</v>
      </c>
      <c r="CG63" cm="1">
        <f t="array" aca="1" ref="CG63" ca="1">IF( AND($G$7,NOT(ISBLANK($G63))), IF( _xll.IMDP("IR", $G63, CG$8, Matrix!$D$6)=0, "", _xll.IMDP("IR", $G63, CG$8, Matrix!$D$6)), "")</f>
        <v>3.2879999999999998</v>
      </c>
      <c r="CH63" cm="1">
        <f t="array" aca="1" ref="CH63" ca="1">IF( AND($G$7,NOT(ISBLANK($G63))), IF( _xll.IMDP("IR", $G63, CH$8, Matrix!$D$6)=0, "", _xll.IMDP("IR", $G63, CH$8, Matrix!$D$6)), "")</f>
        <v>3.2890000000000001</v>
      </c>
      <c r="CI63" cm="1">
        <f t="array" aca="1" ref="CI63" ca="1">IF( AND($G$7,NOT(ISBLANK($G63))), IF( _xll.IMDP("IR", $G63, CI$8, Matrix!$D$6)=0, "", _xll.IMDP("IR", $G63, CI$8, Matrix!$D$6)), "")</f>
        <v>3.35</v>
      </c>
      <c r="CJ63" cm="1">
        <f t="array" aca="1" ref="CJ63" ca="1">IF( AND($G$7,NOT(ISBLANK($G63))), IF( _xll.IMDP("IR", $G63, CJ$8, Matrix!$D$6)=0, "", _xll.IMDP("IR", $G63, CJ$8, Matrix!$D$6)), "")</f>
        <v>3.605</v>
      </c>
      <c r="CK63" cm="1">
        <f t="array" aca="1" ref="CK63" ca="1">IF( AND($G$7,NOT(ISBLANK($G63))), IF( _xll.IMDP("IR", $G63, CK$8, Matrix!$D$6)=0, "", _xll.IMDP("IR", $G63, CK$8, Matrix!$D$6)), "")</f>
        <v>3.8410000000000002</v>
      </c>
      <c r="CL63" cm="1">
        <f t="array" aca="1" ref="CL63" ca="1">IF( AND($G$7,NOT(ISBLANK($G63))), IF( _xll.IMDP("IR", $G63, CL$8, Matrix!$D$6)=0, "", _xll.IMDP("IR", $G63, CL$8, Matrix!$D$6)), "")</f>
        <v>3.9660000000000002</v>
      </c>
      <c r="CM63" t="str" cm="1">
        <f t="array" aca="1" ref="CM63" ca="1">IF( AND($G$7,NOT(ISBLANK($G63))), IF( _xll.IMDP("IR", $G63, CM$8, Matrix!$D$6)=0, "", _xll.IMDP("IR", $G63, CM$8, Matrix!$D$6)), "")</f>
        <v/>
      </c>
      <c r="CN63" t="str" cm="1">
        <f t="array" aca="1" ref="CN63" ca="1">IF( AND($G$7,NOT(ISBLANK($G63))), IF( _xll.IMDP("IR", $G63, CN$8, Matrix!$D$6)=0, "", _xll.IMDP("IR", $G63, CN$8, Matrix!$D$6)), "")</f>
        <v/>
      </c>
      <c r="CO63" cm="1">
        <f t="array" aca="1" ref="CO63" ca="1">IF( AND($H$7,NOT(ISBLANK($H63))), IF( _xll.IMDP("IR", $H63, CO$8, Matrix!$D$6)=0, "", _xll.IMDP("IR", $H63, CO$8, Matrix!$D$6)), "")</f>
        <v>3.3980000000000001</v>
      </c>
      <c r="CP63" cm="1">
        <f t="array" aca="1" ref="CP63" ca="1">IF( AND($H$7,NOT(ISBLANK($H63))), IF( _xll.IMDP("IR", $H63, CP$8, Matrix!$D$6)=0, "", _xll.IMDP("IR", $H63, CP$8, Matrix!$D$6)), "")</f>
        <v>3.383</v>
      </c>
      <c r="CQ63" cm="1">
        <f t="array" aca="1" ref="CQ63" ca="1">IF( AND($H$7,NOT(ISBLANK($H63))), IF( _xll.IMDP("IR", $H63, CQ$8, Matrix!$D$6)=0, "", _xll.IMDP("IR", $H63, CQ$8, Matrix!$D$6)), "")</f>
        <v>3.3319999999999999</v>
      </c>
      <c r="CR63" cm="1">
        <f t="array" aca="1" ref="CR63" ca="1">IF( AND($H$7,NOT(ISBLANK($H63))), IF( _xll.IMDP("IR", $H63, CR$8, Matrix!$D$6)=0, "", _xll.IMDP("IR", $H63, CR$8, Matrix!$D$6)), "")</f>
        <v>3.2879999999999998</v>
      </c>
      <c r="CS63" cm="1">
        <f t="array" aca="1" ref="CS63" ca="1">IF( AND($H$7,NOT(ISBLANK($H63))), IF( _xll.IMDP("IR", $H63, CS$8, Matrix!$D$6)=0, "", _xll.IMDP("IR", $H63, CS$8, Matrix!$D$6)), "")</f>
        <v>3.298</v>
      </c>
      <c r="CT63" cm="1">
        <f t="array" aca="1" ref="CT63" ca="1">IF( AND($H$7,NOT(ISBLANK($H63))), IF( _xll.IMDP("IR", $H63, CT$8, Matrix!$D$6)=0, "", _xll.IMDP("IR", $H63, CT$8, Matrix!$D$6)), "")</f>
        <v>3.286</v>
      </c>
      <c r="CU63" cm="1">
        <f t="array" aca="1" ref="CU63" ca="1">IF( AND($H$7,NOT(ISBLANK($H63))), IF( _xll.IMDP("IR", $H63, CU$8, Matrix!$D$6)=0, "", _xll.IMDP("IR", $H63, CU$8, Matrix!$D$6)), "")</f>
        <v>3.286</v>
      </c>
      <c r="CV63" cm="1">
        <f t="array" aca="1" ref="CV63" ca="1">IF( AND($H$7,NOT(ISBLANK($H63))), IF( _xll.IMDP("IR", $H63, CV$8, Matrix!$D$6)=0, "", _xll.IMDP("IR", $H63, CV$8, Matrix!$D$6)), "")</f>
        <v>3.2869999999999999</v>
      </c>
      <c r="CW63" cm="1">
        <f t="array" aca="1" ref="CW63" ca="1">IF( AND($H$7,NOT(ISBLANK($H63))), IF( _xll.IMDP("IR", $H63, CW$8, Matrix!$D$6)=0, "", _xll.IMDP("IR", $H63, CW$8, Matrix!$D$6)), "")</f>
        <v>3.2839999999999998</v>
      </c>
      <c r="CX63" cm="1">
        <f t="array" aca="1" ref="CX63" ca="1">IF( AND($H$7,NOT(ISBLANK($H63))), IF( _xll.IMDP("IR", $H63, CX$8, Matrix!$D$6)=0, "", _xll.IMDP("IR", $H63, CX$8, Matrix!$D$6)), "")</f>
        <v>3.2850000000000001</v>
      </c>
      <c r="CY63" cm="1">
        <f t="array" aca="1" ref="CY63" ca="1">IF( AND($H$7,NOT(ISBLANK($H63))), IF( _xll.IMDP("IR", $H63, CY$8, Matrix!$D$6)=0, "", _xll.IMDP("IR", $H63, CY$8, Matrix!$D$6)), "")</f>
        <v>3.351</v>
      </c>
      <c r="CZ63" cm="1">
        <f t="array" aca="1" ref="CZ63" ca="1">IF( AND($H$7,NOT(ISBLANK($H63))), IF( _xll.IMDP("IR", $H63, CZ$8, Matrix!$D$6)=0, "", _xll.IMDP("IR", $H63, CZ$8, Matrix!$D$6)), "")</f>
        <v>3.609</v>
      </c>
      <c r="DA63" t="str" cm="1">
        <f t="array" aca="1" ref="DA63" ca="1">IF( AND($H$7,NOT(ISBLANK($H63))), IF( _xll.IMDP("IR", $H63, DA$8, Matrix!$D$6)=0, "", _xll.IMDP("IR", $H63, DA$8, Matrix!$D$6)), "")</f>
        <v/>
      </c>
      <c r="DB63" t="str" cm="1">
        <f t="array" aca="1" ref="DB63" ca="1">IF( AND($H$7,NOT(ISBLANK($H63))), IF( _xll.IMDP("IR", $H63, DB$8, Matrix!$D$6)=0, "", _xll.IMDP("IR", $H63, DB$8, Matrix!$D$6)), "")</f>
        <v/>
      </c>
      <c r="DC63" t="str" cm="1">
        <f t="array" aca="1" ref="DC63" ca="1">IF( AND($H$7,NOT(ISBLANK($H63))), IF( _xll.IMDP("IR", $H63, DC$8, Matrix!$D$6)=0, "", _xll.IMDP("IR", $H63, DC$8, Matrix!$D$6)), "")</f>
        <v/>
      </c>
      <c r="DD63" t="str" cm="1">
        <f t="array" aca="1" ref="DD63" ca="1">IF( AND($H$7,NOT(ISBLANK($H63))), IF( _xll.IMDP("IR", $H63, DD$8, Matrix!$D$6)=0, "", _xll.IMDP("IR", $H63, DD$8, Matrix!$D$6)), "")</f>
        <v/>
      </c>
    </row>
    <row r="64" spans="2:108">
      <c r="B64" t="s">
        <v>132</v>
      </c>
      <c r="C64" t="s">
        <v>206</v>
      </c>
      <c r="D64" t="s">
        <v>271</v>
      </c>
      <c r="E64" t="s">
        <v>332</v>
      </c>
      <c r="F64" t="s">
        <v>402</v>
      </c>
      <c r="G64" t="s">
        <v>465</v>
      </c>
      <c r="H64" t="s">
        <v>512</v>
      </c>
      <c r="M64" s="21">
        <f t="shared" ca="1" si="1"/>
        <v>3.4145674614354999</v>
      </c>
      <c r="N64" s="21">
        <f t="shared" ca="1" si="2"/>
        <v>3.4011635306671866</v>
      </c>
      <c r="O64" s="21">
        <f t="shared" ca="1" si="3"/>
        <v>3.346133369735063</v>
      </c>
      <c r="P64" s="21">
        <f t="shared" ca="1" si="4"/>
        <v>3.3051272507165002</v>
      </c>
      <c r="Q64" s="21">
        <f t="shared" ca="1" si="5"/>
        <v>3.3271898225119005</v>
      </c>
      <c r="R64" s="21">
        <f t="shared" ca="1" si="6"/>
        <v>3.3205793643900825</v>
      </c>
      <c r="S64" s="21">
        <f t="shared" ca="1" si="7"/>
        <v>3.3345927701020006</v>
      </c>
      <c r="T64" s="21">
        <f t="shared" ca="1" si="8"/>
        <v>3.3423876404715314</v>
      </c>
      <c r="U64" s="21">
        <f t="shared" ca="1" si="9"/>
        <v>3.3411857357142409</v>
      </c>
      <c r="V64" s="21">
        <f t="shared" ca="1" si="10"/>
        <v>3.3629963754619245</v>
      </c>
      <c r="W64" s="21">
        <f t="shared" ca="1" si="11"/>
        <v>3.487595947841367</v>
      </c>
      <c r="X64" s="21">
        <f t="shared" ca="1" si="12"/>
        <v>3.8979493550228819</v>
      </c>
      <c r="Y64" s="21">
        <f t="shared" ca="1" si="13"/>
        <v>4.1777165466522979</v>
      </c>
      <c r="Z64" s="21">
        <f t="shared" ca="1" si="14"/>
        <v>4.3389926806426935</v>
      </c>
      <c r="AA64" s="21" t="e">
        <f t="shared" ca="1" si="15"/>
        <v>#NUM!</v>
      </c>
      <c r="AB64" s="21" t="e">
        <f t="shared" ca="1" si="16"/>
        <v>#NUM!</v>
      </c>
      <c r="AC64" cm="1">
        <f t="array" aca="1" ref="AC64" ca="1">IF( AND($D$7,NOT(ISBLANK($D64))), IF(_xll.IMDP("IR", $D64, AC$8, Matrix!$D$6)=0,"",_xll.IMDP("IR", $D64, AC$8, Matrix!$D$6)), "")</f>
        <v>3.4249999999999998</v>
      </c>
      <c r="AD64" cm="1">
        <f t="array" aca="1" ref="AD64" ca="1">IF( AND($D$7,NOT(ISBLANK($D64))), IF(_xll.IMDP("IR", $D64, AD$8, Matrix!$D$6)=0,"",_xll.IMDP("IR", $D64, AD$8, Matrix!$D$6)), "")</f>
        <v>3.41</v>
      </c>
      <c r="AE64" cm="1">
        <f t="array" aca="1" ref="AE64" ca="1">IF( AND($D$7,NOT(ISBLANK($D64))), IF(_xll.IMDP("IR", $D64, AE$8, Matrix!$D$6)=0,"",_xll.IMDP("IR", $D64, AE$8, Matrix!$D$6)), "")</f>
        <v>3.3580000000000001</v>
      </c>
      <c r="AF64" cm="1">
        <f t="array" aca="1" ref="AF64" ca="1">IF( AND($D$7,NOT(ISBLANK($D64))), IF(_xll.IMDP("IR", $D64, AF$8, Matrix!$D$6)=0,"",_xll.IMDP("IR", $D64, AF$8, Matrix!$D$6)), "")</f>
        <v>3.3130000000000002</v>
      </c>
      <c r="AG64" cm="1">
        <f t="array" aca="1" ref="AG64" ca="1">IF( AND($D$7,NOT(ISBLANK($D64))), IF(_xll.IMDP("IR", $D64, AG$8, Matrix!$D$6)=0,"",_xll.IMDP("IR", $D64, AG$8, Matrix!$D$6)), "")</f>
        <v>3.3180000000000001</v>
      </c>
      <c r="AH64" cm="1">
        <f t="array" aca="1" ref="AH64" ca="1">IF( AND($D$7,NOT(ISBLANK($D64))), IF(_xll.IMDP("IR", $D64, AH$8, Matrix!$D$6)=0,"",_xll.IMDP("IR", $D64, AH$8, Matrix!$D$6)), "")</f>
        <v>3.327</v>
      </c>
      <c r="AI64" cm="1">
        <f t="array" aca="1" ref="AI64" ca="1">IF( AND($D$7,NOT(ISBLANK($D64))), IF(_xll.IMDP("IR", $D64, AI$8, Matrix!$D$6)=0,"",_xll.IMDP("IR", $D64, AI$8, Matrix!$D$6)), "")</f>
        <v>3.3370000000000002</v>
      </c>
      <c r="AJ64" cm="1">
        <f t="array" aca="1" ref="AJ64" ca="1">IF( AND($D$7,NOT(ISBLANK($D64))), IF(_xll.IMDP("IR", $D64, AJ$8, Matrix!$D$6)=0,"",_xll.IMDP("IR", $D64, AJ$8, Matrix!$D$6)), "")</f>
        <v>3.35</v>
      </c>
      <c r="AK64" cm="1">
        <f t="array" aca="1" ref="AK64" ca="1">IF( AND($D$7,NOT(ISBLANK($D64))), IF(_xll.IMDP("IR", $D64, AK$8, Matrix!$D$6)=0,"",_xll.IMDP("IR", $D64, AK$8, Matrix!$D$6)), "")</f>
        <v>3.3439999999999999</v>
      </c>
      <c r="AL64" cm="1">
        <f t="array" aca="1" ref="AL64" ca="1">IF( AND($D$7,NOT(ISBLANK($D64))), IF(_xll.IMDP("IR", $D64, AL$8, Matrix!$D$6)=0,"",_xll.IMDP("IR", $D64, AL$8, Matrix!$D$6)), "")</f>
        <v>3.3719999999999999</v>
      </c>
      <c r="AM64" cm="1">
        <f t="array" aca="1" ref="AM64" ca="1">IF( AND($D$7,NOT(ISBLANK($D64))), IF(_xll.IMDP("IR", $D64, AM$8, Matrix!$D$6)=0,"",_xll.IMDP("IR", $D64, AM$8, Matrix!$D$6)), "")</f>
        <v>3.4929999999999999</v>
      </c>
      <c r="AN64" cm="1">
        <f t="array" aca="1" ref="AN64" ca="1">IF( AND($D$7,NOT(ISBLANK($D64))), IF(_xll.IMDP("IR", $D64, AN$8, Matrix!$D$6)=0,"",_xll.IMDP("IR", $D64, AN$8, Matrix!$D$6)), "")</f>
        <v>3.86</v>
      </c>
      <c r="AO64" cm="1">
        <f t="array" aca="1" ref="AO64" ca="1">IF( AND($D$7,NOT(ISBLANK($D64))), IF(_xll.IMDP("IR", $D64, AO$8, Matrix!$D$6)=0,"",_xll.IMDP("IR", $D64, AO$8, Matrix!$D$6)), "")</f>
        <v>4.149</v>
      </c>
      <c r="AP64" cm="1">
        <f t="array" aca="1" ref="AP64" ca="1">IF( AND($D$7,NOT(ISBLANK($D64))), IF(_xll.IMDP("IR", $D64, AP$8, Matrix!$D$6)=0,"",_xll.IMDP("IR", $D64, AP$8, Matrix!$D$6)), "")</f>
        <v>4.3280000000000003</v>
      </c>
      <c r="AQ64" t="str" cm="1">
        <f t="array" aca="1" ref="AQ64" ca="1">IF( AND($D$7,NOT(ISBLANK($D64))), IF(_xll.IMDP("IR", $D64, AQ$8, Matrix!$D$6)=0,"",_xll.IMDP("IR", $D64, AQ$8, Matrix!$D$6)), "")</f>
        <v/>
      </c>
      <c r="AR64" t="str" cm="1">
        <f t="array" aca="1" ref="AR64" ca="1">IF( AND($D$7,NOT(ISBLANK($D64))), IF(_xll.IMDP("IR", $D64, AR$8, Matrix!$D$6)=0,"",_xll.IMDP("IR", $D64, AR$8, Matrix!$D$6)), "")</f>
        <v/>
      </c>
      <c r="AS64" cm="1">
        <f t="array" aca="1" ref="AS64" ca="1">IF( AND($E$7,NOT(ISBLANK($E64))), IF( _xll.IMDP("IR", $E64, AS$8, Matrix!$D$6)=0,"",_xll.IMDP("IR", $E64, AS$8, Matrix!$D$6)), "")</f>
        <v>3.3889999999999998</v>
      </c>
      <c r="AT64" cm="1">
        <f t="array" aca="1" ref="AT64" ca="1">IF( AND($E$7,NOT(ISBLANK($E64))), IF( _xll.IMDP("IR", $E64, AT$8, Matrix!$D$6)=0,"",_xll.IMDP("IR", $E64, AT$8, Matrix!$D$6)), "")</f>
        <v>3.379</v>
      </c>
      <c r="AU64" cm="1">
        <f t="array" aca="1" ref="AU64" ca="1">IF( AND($E$7,NOT(ISBLANK($E64))), IF( _xll.IMDP("IR", $E64, AU$8, Matrix!$D$6)=0,"",_xll.IMDP("IR", $E64, AU$8, Matrix!$D$6)), "")</f>
        <v>3.3140000000000001</v>
      </c>
      <c r="AV64" cm="1">
        <f t="array" aca="1" ref="AV64" ca="1">IF( AND($E$7,NOT(ISBLANK($E64))), IF( _xll.IMDP("IR", $E64, AV$8, Matrix!$D$6)=0,"",_xll.IMDP("IR", $E64, AV$8, Matrix!$D$6)), "")</f>
        <v>3.27</v>
      </c>
      <c r="AW64" cm="1">
        <f t="array" aca="1" ref="AW64" ca="1">IF( AND($E$7,NOT(ISBLANK($E64))), IF( _xll.IMDP("IR", $E64, AW$8, Matrix!$D$6)=0,"",_xll.IMDP("IR", $E64, AW$8, Matrix!$D$6)), "")</f>
        <v>3.3319999999999999</v>
      </c>
      <c r="AX64" cm="1">
        <f t="array" aca="1" ref="AX64" ca="1">IF( AND($E$7,NOT(ISBLANK($E64))), IF( _xll.IMDP("IR", $E64, AX$8, Matrix!$D$6)=0,"",_xll.IMDP("IR", $E64, AX$8, Matrix!$D$6)), "")</f>
        <v>3.3380000000000001</v>
      </c>
      <c r="AY64" cm="1">
        <f t="array" aca="1" ref="AY64" ca="1">IF( AND($E$7,NOT(ISBLANK($E64))), IF( _xll.IMDP("IR", $E64, AY$8, Matrix!$D$6)=0,"",_xll.IMDP("IR", $E64, AY$8, Matrix!$D$6)), "")</f>
        <v>3.3460000000000001</v>
      </c>
      <c r="AZ64" cm="1">
        <f t="array" aca="1" ref="AZ64" ca="1">IF( AND($E$7,NOT(ISBLANK($E64))), IF( _xll.IMDP("IR", $E64, AZ$8, Matrix!$D$6)=0,"",_xll.IMDP("IR", $E64, AZ$8, Matrix!$D$6)), "")</f>
        <v>3.355</v>
      </c>
      <c r="BA64" cm="1">
        <f t="array" aca="1" ref="BA64" ca="1">IF( AND($E$7,NOT(ISBLANK($E64))), IF( _xll.IMDP("IR", $E64, BA$8, Matrix!$D$6)=0,"",_xll.IMDP("IR", $E64, BA$8, Matrix!$D$6)), "")</f>
        <v>3.3570000000000002</v>
      </c>
      <c r="BB64" cm="1">
        <f t="array" aca="1" ref="BB64" ca="1">IF( AND($E$7,NOT(ISBLANK($E64))), IF( _xll.IMDP("IR", $E64, BB$8, Matrix!$D$6)=0,"",_xll.IMDP("IR", $E64, BB$8, Matrix!$D$6)), "")</f>
        <v>3.359</v>
      </c>
      <c r="BC64" cm="1">
        <f t="array" aca="1" ref="BC64" ca="1">IF( AND($E$7,NOT(ISBLANK($E64))), IF( _xll.IMDP("IR", $E64, BC$8, Matrix!$D$6)=0,"",_xll.IMDP("IR", $E64, BC$8, Matrix!$D$6)), "")</f>
        <v>3.488</v>
      </c>
      <c r="BD64" cm="1">
        <f t="array" aca="1" ref="BD64" ca="1">IF( AND($E$7,NOT(ISBLANK($E64))), IF( _xll.IMDP("IR", $E64, BD$8, Matrix!$D$6)=0,"",_xll.IMDP("IR", $E64, BD$8, Matrix!$D$6)), "")</f>
        <v>3.915</v>
      </c>
      <c r="BE64" cm="1">
        <f t="array" aca="1" ref="BE64" ca="1">IF( AND($E$7,NOT(ISBLANK($E64))), IF( _xll.IMDP("IR", $E64, BE$8, Matrix!$D$6)=0,"",_xll.IMDP("IR", $E64, BE$8, Matrix!$D$6)), "")</f>
        <v>4.1900000000000004</v>
      </c>
      <c r="BF64" cm="1">
        <f t="array" aca="1" ref="BF64" ca="1">IF( AND($E$7,NOT(ISBLANK($E64))), IF( _xll.IMDP("IR", $E64, BF$8, Matrix!$D$6)=0,"",_xll.IMDP("IR", $E64, BF$8, Matrix!$D$6)), "")</f>
        <v>4.3449999999999998</v>
      </c>
      <c r="BG64" t="str" cm="1">
        <f t="array" aca="1" ref="BG64" ca="1">IF( AND($E$7,NOT(ISBLANK($E64))), IF( _xll.IMDP("IR", $E64, BG$8, Matrix!$D$6)=0,"",_xll.IMDP("IR", $E64, BG$8, Matrix!$D$6)), "")</f>
        <v/>
      </c>
      <c r="BH64" t="str" cm="1">
        <f t="array" aca="1" ref="BH64" ca="1">IF( AND($E$7,NOT(ISBLANK($E64))), IF( _xll.IMDP("IR", $E64, BH$8, Matrix!$D$6)=0,"",_xll.IMDP("IR", $E64, BH$8, Matrix!$D$6)), "")</f>
        <v/>
      </c>
      <c r="BI64" cm="1">
        <f t="array" aca="1" ref="BI64" ca="1">IF( AND($F$7,NOT(ISBLANK($F64))), IF( _xll.IMDP("IR", $F64, BI$8, Matrix!$D$6)=0,"",_xll.IMDP("IR", $F64, BI$8, Matrix!$D$6)), "")</f>
        <v>3.4329999999999998</v>
      </c>
      <c r="BJ64" cm="1">
        <f t="array" aca="1" ref="BJ64" ca="1">IF( AND($F$7,NOT(ISBLANK($F64))), IF( _xll.IMDP("IR", $F64, BJ$8, Matrix!$D$6)=0,"",_xll.IMDP("IR", $F64, BJ$8, Matrix!$D$6)), "")</f>
        <v>3.4249999999999998</v>
      </c>
      <c r="BK64" cm="1">
        <f t="array" aca="1" ref="BK64" ca="1">IF( AND($F$7,NOT(ISBLANK($F64))), IF( _xll.IMDP("IR", $F64, BK$8, Matrix!$D$6)=0,"",_xll.IMDP("IR", $F64, BK$8, Matrix!$D$6)), "")</f>
        <v>3.3769999999999998</v>
      </c>
      <c r="BL64" cm="1">
        <f t="array" aca="1" ref="BL64" ca="1">IF( AND($F$7,NOT(ISBLANK($F64))), IF( _xll.IMDP("IR", $F64, BL$8, Matrix!$D$6)=0,"",_xll.IMDP("IR", $F64, BL$8, Matrix!$D$6)), "")</f>
        <v>3.3380000000000001</v>
      </c>
      <c r="BM64" cm="1">
        <f t="array" aca="1" ref="BM64" ca="1">IF( AND($F$7,NOT(ISBLANK($F64))), IF( _xll.IMDP("IR", $F64, BM$8, Matrix!$D$6)=0,"",_xll.IMDP("IR", $F64, BM$8, Matrix!$D$6)), "")</f>
        <v>3.34</v>
      </c>
      <c r="BN64" cm="1">
        <f t="array" aca="1" ref="BN64" ca="1">IF( AND($F$7,NOT(ISBLANK($F64))), IF( _xll.IMDP("IR", $F64, BN$8, Matrix!$D$6)=0,"",_xll.IMDP("IR", $F64, BN$8, Matrix!$D$6)), "")</f>
        <v>3.3029999999999999</v>
      </c>
      <c r="BO64" cm="1">
        <f t="array" aca="1" ref="BO64" ca="1">IF( AND($F$7,NOT(ISBLANK($F64))), IF( _xll.IMDP("IR", $F64, BO$8, Matrix!$D$6)=0,"",_xll.IMDP("IR", $F64, BO$8, Matrix!$D$6)), "")</f>
        <v>3.3250000000000002</v>
      </c>
      <c r="BP64" cm="1">
        <f t="array" aca="1" ref="BP64" ca="1">IF( AND($F$7,NOT(ISBLANK($F64))), IF( _xll.IMDP("IR", $F64, BP$8, Matrix!$D$6)=0,"",_xll.IMDP("IR", $F64, BP$8, Matrix!$D$6)), "")</f>
        <v>3.3319999999999999</v>
      </c>
      <c r="BQ64" cm="1">
        <f t="array" aca="1" ref="BQ64" ca="1">IF( AND($F$7,NOT(ISBLANK($F64))), IF( _xll.IMDP("IR", $F64, BQ$8, Matrix!$D$6)=0,"",_xll.IMDP("IR", $F64, BQ$8, Matrix!$D$6)), "")</f>
        <v>3.3370000000000002</v>
      </c>
      <c r="BR64" cm="1">
        <f t="array" aca="1" ref="BR64" ca="1">IF( AND($F$7,NOT(ISBLANK($F64))), IF( _xll.IMDP("IR", $F64, BR$8, Matrix!$D$6)=0,"",_xll.IMDP("IR", $F64, BR$8, Matrix!$D$6)), "")</f>
        <v>3.3580000000000001</v>
      </c>
      <c r="BS64" cm="1">
        <f t="array" aca="1" ref="BS64" ca="1">IF( AND($F$7,NOT(ISBLANK($F64))), IF( _xll.IMDP("IR", $F64, BS$8, Matrix!$D$6)=0,"",_xll.IMDP("IR", $F64, BS$8, Matrix!$D$6)), "")</f>
        <v>3.4780000000000002</v>
      </c>
      <c r="BT64" cm="1">
        <f t="array" aca="1" ref="BT64" ca="1">IF( AND($F$7,NOT(ISBLANK($F64))), IF( _xll.IMDP("IR", $F64, BT$8, Matrix!$D$6)=0,"",_xll.IMDP("IR", $F64, BT$8, Matrix!$D$6)), "")</f>
        <v>3.911</v>
      </c>
      <c r="BU64" cm="1">
        <f t="array" aca="1" ref="BU64" ca="1">IF( AND($F$7,NOT(ISBLANK($F64))), IF( _xll.IMDP("IR", $F64, BU$8, Matrix!$D$6)=0,"",_xll.IMDP("IR", $F64, BU$8, Matrix!$D$6)), "")</f>
        <v>4.1849999999999996</v>
      </c>
      <c r="BV64" cm="1">
        <f t="array" aca="1" ref="BV64" ca="1">IF( AND($F$7,NOT(ISBLANK($F64))), IF( _xll.IMDP("IR", $F64, BV$8, Matrix!$D$6)=0,"",_xll.IMDP("IR", $F64, BV$8, Matrix!$D$6)), "")</f>
        <v>4.3479999999999999</v>
      </c>
      <c r="BW64" t="str" cm="1">
        <f t="array" aca="1" ref="BW64" ca="1">IF( AND($F$7,NOT(ISBLANK($F64))), IF( _xll.IMDP("IR", $F64, BW$8, Matrix!$D$6)=0,"",_xll.IMDP("IR", $F64, BW$8, Matrix!$D$6)), "")</f>
        <v/>
      </c>
      <c r="BX64" t="str" cm="1">
        <f t="array" aca="1" ref="BX64" ca="1">IF( AND($F$7,NOT(ISBLANK($F64))), IF( _xll.IMDP("IR", $F64, BX$8, Matrix!$D$6)=0,"",_xll.IMDP("IR", $F64, BX$8, Matrix!$D$6)), "")</f>
        <v/>
      </c>
      <c r="BY64" cm="1">
        <f t="array" aca="1" ref="BY64" ca="1">IF( AND($G$7,NOT(ISBLANK($G64))), IF( _xll.IMDP("IR", $G64, BY$8, Matrix!$D$6)=0, "", _xll.IMDP("IR", $G64, BY$8, Matrix!$D$6)), "")</f>
        <v>3.4119999999999999</v>
      </c>
      <c r="BZ64" cm="1">
        <f t="array" aca="1" ref="BZ64" ca="1">IF( AND($G$7,NOT(ISBLANK($G64))), IF( _xll.IMDP("IR", $G64, BZ$8, Matrix!$D$6)=0, "", _xll.IMDP("IR", $G64, BZ$8, Matrix!$D$6)), "")</f>
        <v>3.391</v>
      </c>
      <c r="CA64" cm="1">
        <f t="array" aca="1" ref="CA64" ca="1">IF( AND($G$7,NOT(ISBLANK($G64))), IF( _xll.IMDP("IR", $G64, CA$8, Matrix!$D$6)=0, "", _xll.IMDP("IR", $G64, CA$8, Matrix!$D$6)), "")</f>
        <v>3.3359999999999999</v>
      </c>
      <c r="CB64" cm="1">
        <f t="array" aca="1" ref="CB64" ca="1">IF( AND($G$7,NOT(ISBLANK($G64))), IF( _xll.IMDP("IR", $G64, CB$8, Matrix!$D$6)=0, "", _xll.IMDP("IR", $G64, CB$8, Matrix!$D$6)), "")</f>
        <v>3.3</v>
      </c>
      <c r="CC64" cm="1">
        <f t="array" aca="1" ref="CC64" ca="1">IF( AND($G$7,NOT(ISBLANK($G64))), IF( _xll.IMDP("IR", $G64, CC$8, Matrix!$D$6)=0, "", _xll.IMDP("IR", $G64, CC$8, Matrix!$D$6)), "")</f>
        <v>3.319</v>
      </c>
      <c r="CD64" cm="1">
        <f t="array" aca="1" ref="CD64" ca="1">IF( AND($G$7,NOT(ISBLANK($G64))), IF( _xll.IMDP("IR", $G64, CD$8, Matrix!$D$6)=0, "", _xll.IMDP("IR", $G64, CD$8, Matrix!$D$6)), "")</f>
        <v>3.3149999999999999</v>
      </c>
      <c r="CE64" cm="1">
        <f t="array" aca="1" ref="CE64" ca="1">IF( AND($G$7,NOT(ISBLANK($G64))), IF( _xll.IMDP("IR", $G64, CE$8, Matrix!$D$6)=0, "", _xll.IMDP("IR", $G64, CE$8, Matrix!$D$6)), "")</f>
        <v>3.331</v>
      </c>
      <c r="CF64" cm="1">
        <f t="array" aca="1" ref="CF64" ca="1">IF( AND($G$7,NOT(ISBLANK($G64))), IF( _xll.IMDP("IR", $G64, CF$8, Matrix!$D$6)=0, "", _xll.IMDP("IR", $G64, CF$8, Matrix!$D$6)), "")</f>
        <v>3.3330000000000002</v>
      </c>
      <c r="CG64" cm="1">
        <f t="array" aca="1" ref="CG64" ca="1">IF( AND($G$7,NOT(ISBLANK($G64))), IF( _xll.IMDP("IR", $G64, CG$8, Matrix!$D$6)=0, "", _xll.IMDP("IR", $G64, CG$8, Matrix!$D$6)), "")</f>
        <v>3.327</v>
      </c>
      <c r="CH64" cm="1">
        <f t="array" aca="1" ref="CH64" ca="1">IF( AND($G$7,NOT(ISBLANK($G64))), IF( _xll.IMDP("IR", $G64, CH$8, Matrix!$D$6)=0, "", _xll.IMDP("IR", $G64, CH$8, Matrix!$D$6)), "")</f>
        <v>3.363</v>
      </c>
      <c r="CI64" cm="1">
        <f t="array" aca="1" ref="CI64" ca="1">IF( AND($G$7,NOT(ISBLANK($G64))), IF( _xll.IMDP("IR", $G64, CI$8, Matrix!$D$6)=0, "", _xll.IMDP("IR", $G64, CI$8, Matrix!$D$6)), "")</f>
        <v>3.492</v>
      </c>
      <c r="CJ64" cm="1">
        <f t="array" aca="1" ref="CJ64" ca="1">IF( AND($G$7,NOT(ISBLANK($G64))), IF( _xll.IMDP("IR", $G64, CJ$8, Matrix!$D$6)=0, "", _xll.IMDP("IR", $G64, CJ$8, Matrix!$D$6)), "")</f>
        <v>3.9060000000000001</v>
      </c>
      <c r="CK64" cm="1">
        <f t="array" aca="1" ref="CK64" ca="1">IF( AND($G$7,NOT(ISBLANK($G64))), IF( _xll.IMDP("IR", $G64, CK$8, Matrix!$D$6)=0, "", _xll.IMDP("IR", $G64, CK$8, Matrix!$D$6)), "")</f>
        <v>4.1870000000000003</v>
      </c>
      <c r="CL64" cm="1">
        <f t="array" aca="1" ref="CL64" ca="1">IF( AND($G$7,NOT(ISBLANK($G64))), IF( _xll.IMDP("IR", $G64, CL$8, Matrix!$D$6)=0, "", _xll.IMDP("IR", $G64, CL$8, Matrix!$D$6)), "")</f>
        <v>4.335</v>
      </c>
      <c r="CM64" t="str" cm="1">
        <f t="array" aca="1" ref="CM64" ca="1">IF( AND($G$7,NOT(ISBLANK($G64))), IF( _xll.IMDP("IR", $G64, CM$8, Matrix!$D$6)=0, "", _xll.IMDP("IR", $G64, CM$8, Matrix!$D$6)), "")</f>
        <v/>
      </c>
      <c r="CN64" t="str" cm="1">
        <f t="array" aca="1" ref="CN64" ca="1">IF( AND($G$7,NOT(ISBLANK($G64))), IF( _xll.IMDP("IR", $G64, CN$8, Matrix!$D$6)=0, "", _xll.IMDP("IR", $G64, CN$8, Matrix!$D$6)), "")</f>
        <v/>
      </c>
      <c r="CO64" cm="1">
        <f t="array" aca="1" ref="CO64" ca="1">IF( AND($H$7,NOT(ISBLANK($H64))), IF( _xll.IMDP("IR", $H64, CO$8, Matrix!$D$6)=0, "", _xll.IMDP("IR", $H64, CO$8, Matrix!$D$6)), "")</f>
        <v>3.4140000000000001</v>
      </c>
      <c r="CP64" cm="1">
        <f t="array" aca="1" ref="CP64" ca="1">IF( AND($H$7,NOT(ISBLANK($H64))), IF( _xll.IMDP("IR", $H64, CP$8, Matrix!$D$6)=0, "", _xll.IMDP("IR", $H64, CP$8, Matrix!$D$6)), "")</f>
        <v>3.4009999999999998</v>
      </c>
      <c r="CQ64" cm="1">
        <f t="array" aca="1" ref="CQ64" ca="1">IF( AND($H$7,NOT(ISBLANK($H64))), IF( _xll.IMDP("IR", $H64, CQ$8, Matrix!$D$6)=0, "", _xll.IMDP("IR", $H64, CQ$8, Matrix!$D$6)), "")</f>
        <v>3.3460000000000001</v>
      </c>
      <c r="CR64" cm="1">
        <f t="array" aca="1" ref="CR64" ca="1">IF( AND($H$7,NOT(ISBLANK($H64))), IF( _xll.IMDP("IR", $H64, CR$8, Matrix!$D$6)=0, "", _xll.IMDP("IR", $H64, CR$8, Matrix!$D$6)), "")</f>
        <v>3.3050000000000002</v>
      </c>
      <c r="CS64" cm="1">
        <f t="array" aca="1" ref="CS64" ca="1">IF( AND($H$7,NOT(ISBLANK($H64))), IF( _xll.IMDP("IR", $H64, CS$8, Matrix!$D$6)=0, "", _xll.IMDP("IR", $H64, CS$8, Matrix!$D$6)), "")</f>
        <v>3.327</v>
      </c>
      <c r="CT64" cm="1">
        <f t="array" aca="1" ref="CT64" ca="1">IF( AND($H$7,NOT(ISBLANK($H64))), IF( _xll.IMDP("IR", $H64, CT$8, Matrix!$D$6)=0, "", _xll.IMDP("IR", $H64, CT$8, Matrix!$D$6)), "")</f>
        <v>3.32</v>
      </c>
      <c r="CU64" cm="1">
        <f t="array" aca="1" ref="CU64" ca="1">IF( AND($H$7,NOT(ISBLANK($H64))), IF( _xll.IMDP("IR", $H64, CU$8, Matrix!$D$6)=0, "", _xll.IMDP("IR", $H64, CU$8, Matrix!$D$6)), "")</f>
        <v>3.3340000000000001</v>
      </c>
      <c r="CV64" cm="1">
        <f t="array" aca="1" ref="CV64" ca="1">IF( AND($H$7,NOT(ISBLANK($H64))), IF( _xll.IMDP("IR", $H64, CV$8, Matrix!$D$6)=0, "", _xll.IMDP("IR", $H64, CV$8, Matrix!$D$6)), "")</f>
        <v>3.3420000000000001</v>
      </c>
      <c r="CW64" cm="1">
        <f t="array" aca="1" ref="CW64" ca="1">IF( AND($H$7,NOT(ISBLANK($H64))), IF( _xll.IMDP("IR", $H64, CW$8, Matrix!$D$6)=0, "", _xll.IMDP("IR", $H64, CW$8, Matrix!$D$6)), "")</f>
        <v>3.3410000000000002</v>
      </c>
      <c r="CX64" cm="1">
        <f t="array" aca="1" ref="CX64" ca="1">IF( AND($H$7,NOT(ISBLANK($H64))), IF( _xll.IMDP("IR", $H64, CX$8, Matrix!$D$6)=0, "", _xll.IMDP("IR", $H64, CX$8, Matrix!$D$6)), "")</f>
        <v>3.363</v>
      </c>
      <c r="CY64" cm="1">
        <f t="array" aca="1" ref="CY64" ca="1">IF( AND($H$7,NOT(ISBLANK($H64))), IF( _xll.IMDP("IR", $H64, CY$8, Matrix!$D$6)=0, "", _xll.IMDP("IR", $H64, CY$8, Matrix!$D$6)), "")</f>
        <v>3.4870000000000001</v>
      </c>
      <c r="CZ64" cm="1">
        <f t="array" aca="1" ref="CZ64" ca="1">IF( AND($H$7,NOT(ISBLANK($H64))), IF( _xll.IMDP("IR", $H64, CZ$8, Matrix!$D$6)=0, "", _xll.IMDP("IR", $H64, CZ$8, Matrix!$D$6)), "")</f>
        <v>3.8980000000000001</v>
      </c>
      <c r="DA64" t="str" cm="1">
        <f t="array" aca="1" ref="DA64" ca="1">IF( AND($H$7,NOT(ISBLANK($H64))), IF( _xll.IMDP("IR", $H64, DA$8, Matrix!$D$6)=0, "", _xll.IMDP("IR", $H64, DA$8, Matrix!$D$6)), "")</f>
        <v/>
      </c>
      <c r="DB64" t="str" cm="1">
        <f t="array" aca="1" ref="DB64" ca="1">IF( AND($H$7,NOT(ISBLANK($H64))), IF( _xll.IMDP("IR", $H64, DB$8, Matrix!$D$6)=0, "", _xll.IMDP("IR", $H64, DB$8, Matrix!$D$6)), "")</f>
        <v/>
      </c>
      <c r="DC64" t="str" cm="1">
        <f t="array" aca="1" ref="DC64" ca="1">IF( AND($H$7,NOT(ISBLANK($H64))), IF( _xll.IMDP("IR", $H64, DC$8, Matrix!$D$6)=0, "", _xll.IMDP("IR", $H64, DC$8, Matrix!$D$6)), "")</f>
        <v/>
      </c>
      <c r="DD64" t="str" cm="1">
        <f t="array" aca="1" ref="DD64" ca="1">IF( AND($H$7,NOT(ISBLANK($H64))), IF( _xll.IMDP("IR", $H64, DD$8, Matrix!$D$6)=0, "", _xll.IMDP("IR", $H64, DD$8, Matrix!$D$6)), "")</f>
        <v/>
      </c>
    </row>
    <row r="65" spans="2:108">
      <c r="B65" t="s">
        <v>133</v>
      </c>
      <c r="C65" t="s">
        <v>207</v>
      </c>
      <c r="D65" t="s">
        <v>272</v>
      </c>
      <c r="E65" t="s">
        <v>333</v>
      </c>
      <c r="F65" t="s">
        <v>403</v>
      </c>
      <c r="G65" t="s">
        <v>466</v>
      </c>
      <c r="H65" t="s">
        <v>513</v>
      </c>
      <c r="M65" s="21">
        <f t="shared" ca="1" si="1"/>
        <v>3.4295576020921676</v>
      </c>
      <c r="N65" s="21">
        <f t="shared" ca="1" si="2"/>
        <v>3.4179450646345111</v>
      </c>
      <c r="O65" s="21">
        <f t="shared" ca="1" si="3"/>
        <v>3.3659092888420137</v>
      </c>
      <c r="P65" s="21">
        <f t="shared" ca="1" si="4"/>
        <v>3.3278841301884206</v>
      </c>
      <c r="Q65" s="21">
        <f t="shared" ca="1" si="5"/>
        <v>3.3549819702893156</v>
      </c>
      <c r="R65" s="21">
        <f t="shared" ca="1" si="6"/>
        <v>3.3493913089286269</v>
      </c>
      <c r="S65" s="21">
        <f t="shared" ca="1" si="7"/>
        <v>3.3671972442064022</v>
      </c>
      <c r="T65" s="21">
        <f t="shared" ca="1" si="8"/>
        <v>3.3811930021245544</v>
      </c>
      <c r="U65" s="21">
        <f t="shared" ca="1" si="9"/>
        <v>3.3839869384958994</v>
      </c>
      <c r="V65" s="21">
        <f t="shared" ca="1" si="10"/>
        <v>3.4283952961149642</v>
      </c>
      <c r="W65" s="21">
        <f t="shared" ca="1" si="11"/>
        <v>3.5869913618407891</v>
      </c>
      <c r="X65" s="21">
        <f t="shared" ca="1" si="12"/>
        <v>4.2391872923808736</v>
      </c>
      <c r="Y65" s="21">
        <f t="shared" ca="1" si="13"/>
        <v>4.7447420318912288</v>
      </c>
      <c r="Z65" s="21">
        <f t="shared" ca="1" si="14"/>
        <v>4.9267453618698847</v>
      </c>
      <c r="AA65" s="21" t="e">
        <f t="shared" ca="1" si="15"/>
        <v>#NUM!</v>
      </c>
      <c r="AB65" s="21" t="e">
        <f t="shared" ca="1" si="16"/>
        <v>#NUM!</v>
      </c>
      <c r="AC65" cm="1">
        <f t="array" aca="1" ref="AC65" ca="1">IF( AND($D$7,NOT(ISBLANK($D65))), IF(_xll.IMDP("IR", $D65, AC$8, Matrix!$D$6)=0,"",_xll.IMDP("IR", $D65, AC$8, Matrix!$D$6)), "")</f>
        <v>3.4449999999999998</v>
      </c>
      <c r="AD65" cm="1">
        <f t="array" aca="1" ref="AD65" ca="1">IF( AND($D$7,NOT(ISBLANK($D65))), IF(_xll.IMDP("IR", $D65, AD$8, Matrix!$D$6)=0,"",_xll.IMDP("IR", $D65, AD$8, Matrix!$D$6)), "")</f>
        <v>3.43</v>
      </c>
      <c r="AE65" cm="1">
        <f t="array" aca="1" ref="AE65" ca="1">IF( AND($D$7,NOT(ISBLANK($D65))), IF(_xll.IMDP("IR", $D65, AE$8, Matrix!$D$6)=0,"",_xll.IMDP("IR", $D65, AE$8, Matrix!$D$6)), "")</f>
        <v>3.3809999999999998</v>
      </c>
      <c r="AF65" cm="1">
        <f t="array" aca="1" ref="AF65" ca="1">IF( AND($D$7,NOT(ISBLANK($D65))), IF(_xll.IMDP("IR", $D65, AF$8, Matrix!$D$6)=0,"",_xll.IMDP("IR", $D65, AF$8, Matrix!$D$6)), "")</f>
        <v>3.34</v>
      </c>
      <c r="AG65" cm="1">
        <f t="array" aca="1" ref="AG65" ca="1">IF( AND($D$7,NOT(ISBLANK($D65))), IF(_xll.IMDP("IR", $D65, AG$8, Matrix!$D$6)=0,"",_xll.IMDP("IR", $D65, AG$8, Matrix!$D$6)), "")</f>
        <v>3.3540000000000001</v>
      </c>
      <c r="AH65" cm="1">
        <f t="array" aca="1" ref="AH65" ca="1">IF( AND($D$7,NOT(ISBLANK($D65))), IF(_xll.IMDP("IR", $D65, AH$8, Matrix!$D$6)=0,"",_xll.IMDP("IR", $D65, AH$8, Matrix!$D$6)), "")</f>
        <v>3.3620000000000001</v>
      </c>
      <c r="AI65" cm="1">
        <f t="array" aca="1" ref="AI65" ca="1">IF( AND($D$7,NOT(ISBLANK($D65))), IF(_xll.IMDP("IR", $D65, AI$8, Matrix!$D$6)=0,"",_xll.IMDP("IR", $D65, AI$8, Matrix!$D$6)), "")</f>
        <v>3.3730000000000002</v>
      </c>
      <c r="AJ65" cm="1">
        <f t="array" aca="1" ref="AJ65" ca="1">IF( AND($D$7,NOT(ISBLANK($D65))), IF(_xll.IMDP("IR", $D65, AJ$8, Matrix!$D$6)=0,"",_xll.IMDP("IR", $D65, AJ$8, Matrix!$D$6)), "")</f>
        <v>3.383</v>
      </c>
      <c r="AK65" cm="1">
        <f t="array" aca="1" ref="AK65" ca="1">IF( AND($D$7,NOT(ISBLANK($D65))), IF(_xll.IMDP("IR", $D65, AK$8, Matrix!$D$6)=0,"",_xll.IMDP("IR", $D65, AK$8, Matrix!$D$6)), "")</f>
        <v>3.3940000000000001</v>
      </c>
      <c r="AL65" cm="1">
        <f t="array" aca="1" ref="AL65" ca="1">IF( AND($D$7,NOT(ISBLANK($D65))), IF(_xll.IMDP("IR", $D65, AL$8, Matrix!$D$6)=0,"",_xll.IMDP("IR", $D65, AL$8, Matrix!$D$6)), "")</f>
        <v>3.4359999999999999</v>
      </c>
      <c r="AM65" cm="1">
        <f t="array" aca="1" ref="AM65" ca="1">IF( AND($D$7,NOT(ISBLANK($D65))), IF(_xll.IMDP("IR", $D65, AM$8, Matrix!$D$6)=0,"",_xll.IMDP("IR", $D65, AM$8, Matrix!$D$6)), "")</f>
        <v>3.6</v>
      </c>
      <c r="AN65" cm="1">
        <f t="array" aca="1" ref="AN65" ca="1">IF( AND($D$7,NOT(ISBLANK($D65))), IF(_xll.IMDP("IR", $D65, AN$8, Matrix!$D$6)=0,"",_xll.IMDP("IR", $D65, AN$8, Matrix!$D$6)), "")</f>
        <v>4.226</v>
      </c>
      <c r="AO65" cm="1">
        <f t="array" aca="1" ref="AO65" ca="1">IF( AND($D$7,NOT(ISBLANK($D65))), IF(_xll.IMDP("IR", $D65, AO$8, Matrix!$D$6)=0,"",_xll.IMDP("IR", $D65, AO$8, Matrix!$D$6)), "")</f>
        <v>4.7359999999999998</v>
      </c>
      <c r="AP65" cm="1">
        <f t="array" aca="1" ref="AP65" ca="1">IF( AND($D$7,NOT(ISBLANK($D65))), IF(_xll.IMDP("IR", $D65, AP$8, Matrix!$D$6)=0,"",_xll.IMDP("IR", $D65, AP$8, Matrix!$D$6)), "")</f>
        <v>4.9169999999999998</v>
      </c>
      <c r="AQ65" t="str" cm="1">
        <f t="array" aca="1" ref="AQ65" ca="1">IF( AND($D$7,NOT(ISBLANK($D65))), IF(_xll.IMDP("IR", $D65, AQ$8, Matrix!$D$6)=0,"",_xll.IMDP("IR", $D65, AQ$8, Matrix!$D$6)), "")</f>
        <v/>
      </c>
      <c r="AR65" t="str" cm="1">
        <f t="array" aca="1" ref="AR65" ca="1">IF( AND($D$7,NOT(ISBLANK($D65))), IF(_xll.IMDP("IR", $D65, AR$8, Matrix!$D$6)=0,"",_xll.IMDP("IR", $D65, AR$8, Matrix!$D$6)), "")</f>
        <v/>
      </c>
      <c r="AS65" cm="1">
        <f t="array" aca="1" ref="AS65" ca="1">IF( AND($E$7,NOT(ISBLANK($E65))), IF( _xll.IMDP("IR", $E65, AS$8, Matrix!$D$6)=0,"",_xll.IMDP("IR", $E65, AS$8, Matrix!$D$6)), "")</f>
        <v>3.3980000000000001</v>
      </c>
      <c r="AT65" cm="1">
        <f t="array" aca="1" ref="AT65" ca="1">IF( AND($E$7,NOT(ISBLANK($E65))), IF( _xll.IMDP("IR", $E65, AT$8, Matrix!$D$6)=0,"",_xll.IMDP("IR", $E65, AT$8, Matrix!$D$6)), "")</f>
        <v>3.3849999999999998</v>
      </c>
      <c r="AU65" cm="1">
        <f t="array" aca="1" ref="AU65" ca="1">IF( AND($E$7,NOT(ISBLANK($E65))), IF( _xll.IMDP("IR", $E65, AU$8, Matrix!$D$6)=0,"",_xll.IMDP("IR", $E65, AU$8, Matrix!$D$6)), "")</f>
        <v>3.323</v>
      </c>
      <c r="AV65" cm="1">
        <f t="array" aca="1" ref="AV65" ca="1">IF( AND($E$7,NOT(ISBLANK($E65))), IF( _xll.IMDP("IR", $E65, AV$8, Matrix!$D$6)=0,"",_xll.IMDP("IR", $E65, AV$8, Matrix!$D$6)), "")</f>
        <v>3.2789999999999999</v>
      </c>
      <c r="AW65" cm="1">
        <f t="array" aca="1" ref="AW65" ca="1">IF( AND($E$7,NOT(ISBLANK($E65))), IF( _xll.IMDP("IR", $E65, AW$8, Matrix!$D$6)=0,"",_xll.IMDP("IR", $E65, AW$8, Matrix!$D$6)), "")</f>
        <v>3.3420000000000001</v>
      </c>
      <c r="AX65" cm="1">
        <f t="array" aca="1" ref="AX65" ca="1">IF( AND($E$7,NOT(ISBLANK($E65))), IF( _xll.IMDP("IR", $E65, AX$8, Matrix!$D$6)=0,"",_xll.IMDP("IR", $E65, AX$8, Matrix!$D$6)), "")</f>
        <v>3.35</v>
      </c>
      <c r="AY65" cm="1">
        <f t="array" aca="1" ref="AY65" ca="1">IF( AND($E$7,NOT(ISBLANK($E65))), IF( _xll.IMDP("IR", $E65, AY$8, Matrix!$D$6)=0,"",_xll.IMDP("IR", $E65, AY$8, Matrix!$D$6)), "")</f>
        <v>3.371</v>
      </c>
      <c r="AZ65" cm="1">
        <f t="array" aca="1" ref="AZ65" ca="1">IF( AND($E$7,NOT(ISBLANK($E65))), IF( _xll.IMDP("IR", $E65, AZ$8, Matrix!$D$6)=0,"",_xll.IMDP("IR", $E65, AZ$8, Matrix!$D$6)), "")</f>
        <v>3.3929999999999998</v>
      </c>
      <c r="BA65" cm="1">
        <f t="array" aca="1" ref="BA65" ca="1">IF( AND($E$7,NOT(ISBLANK($E65))), IF( _xll.IMDP("IR", $E65, BA$8, Matrix!$D$6)=0,"",_xll.IMDP("IR", $E65, BA$8, Matrix!$D$6)), "")</f>
        <v>3.395</v>
      </c>
      <c r="BB65" cm="1">
        <f t="array" aca="1" ref="BB65" ca="1">IF( AND($E$7,NOT(ISBLANK($E65))), IF( _xll.IMDP("IR", $E65, BB$8, Matrix!$D$6)=0,"",_xll.IMDP("IR", $E65, BB$8, Matrix!$D$6)), "")</f>
        <v>3.427</v>
      </c>
      <c r="BC65" cm="1">
        <f t="array" aca="1" ref="BC65" ca="1">IF( AND($E$7,NOT(ISBLANK($E65))), IF( _xll.IMDP("IR", $E65, BC$8, Matrix!$D$6)=0,"",_xll.IMDP("IR", $E65, BC$8, Matrix!$D$6)), "")</f>
        <v>3.5830000000000002</v>
      </c>
      <c r="BD65" cm="1">
        <f t="array" aca="1" ref="BD65" ca="1">IF( AND($E$7,NOT(ISBLANK($E65))), IF( _xll.IMDP("IR", $E65, BD$8, Matrix!$D$6)=0,"",_xll.IMDP("IR", $E65, BD$8, Matrix!$D$6)), "")</f>
        <v>4.2539999999999996</v>
      </c>
      <c r="BE65" cm="1">
        <f t="array" aca="1" ref="BE65" ca="1">IF( AND($E$7,NOT(ISBLANK($E65))), IF( _xll.IMDP("IR", $E65, BE$8, Matrix!$D$6)=0,"",_xll.IMDP("IR", $E65, BE$8, Matrix!$D$6)), "")</f>
        <v>4.7590000000000003</v>
      </c>
      <c r="BF65" cm="1">
        <f t="array" aca="1" ref="BF65" ca="1">IF( AND($E$7,NOT(ISBLANK($E65))), IF( _xll.IMDP("IR", $E65, BF$8, Matrix!$D$6)=0,"",_xll.IMDP("IR", $E65, BF$8, Matrix!$D$6)), "")</f>
        <v>4.9340000000000002</v>
      </c>
      <c r="BG65" t="str" cm="1">
        <f t="array" aca="1" ref="BG65" ca="1">IF( AND($E$7,NOT(ISBLANK($E65))), IF( _xll.IMDP("IR", $E65, BG$8, Matrix!$D$6)=0,"",_xll.IMDP("IR", $E65, BG$8, Matrix!$D$6)), "")</f>
        <v/>
      </c>
      <c r="BH65" t="str" cm="1">
        <f t="array" aca="1" ref="BH65" ca="1">IF( AND($E$7,NOT(ISBLANK($E65))), IF( _xll.IMDP("IR", $E65, BH$8, Matrix!$D$6)=0,"",_xll.IMDP("IR", $E65, BH$8, Matrix!$D$6)), "")</f>
        <v/>
      </c>
      <c r="BI65" cm="1">
        <f t="array" aca="1" ref="BI65" ca="1">IF( AND($F$7,NOT(ISBLANK($F65))), IF( _xll.IMDP("IR", $F65, BI$8, Matrix!$D$6)=0,"",_xll.IMDP("IR", $F65, BI$8, Matrix!$D$6)), "")</f>
        <v>3.444</v>
      </c>
      <c r="BJ65" cm="1">
        <f t="array" aca="1" ref="BJ65" ca="1">IF( AND($F$7,NOT(ISBLANK($F65))), IF( _xll.IMDP("IR", $F65, BJ$8, Matrix!$D$6)=0,"",_xll.IMDP("IR", $F65, BJ$8, Matrix!$D$6)), "")</f>
        <v>3.4430000000000001</v>
      </c>
      <c r="BK65" cm="1">
        <f t="array" aca="1" ref="BK65" ca="1">IF( AND($F$7,NOT(ISBLANK($F65))), IF( _xll.IMDP("IR", $F65, BK$8, Matrix!$D$6)=0,"",_xll.IMDP("IR", $F65, BK$8, Matrix!$D$6)), "")</f>
        <v>3.3969999999999998</v>
      </c>
      <c r="BL65" cm="1">
        <f t="array" aca="1" ref="BL65" ca="1">IF( AND($F$7,NOT(ISBLANK($F65))), IF( _xll.IMDP("IR", $F65, BL$8, Matrix!$D$6)=0,"",_xll.IMDP("IR", $F65, BL$8, Matrix!$D$6)), "")</f>
        <v>3.3639999999999999</v>
      </c>
      <c r="BM65" cm="1">
        <f t="array" aca="1" ref="BM65" ca="1">IF( AND($F$7,NOT(ISBLANK($F65))), IF( _xll.IMDP("IR", $F65, BM$8, Matrix!$D$6)=0,"",_xll.IMDP("IR", $F65, BM$8, Matrix!$D$6)), "")</f>
        <v>3.375</v>
      </c>
      <c r="BN65" cm="1">
        <f t="array" aca="1" ref="BN65" ca="1">IF( AND($F$7,NOT(ISBLANK($F65))), IF( _xll.IMDP("IR", $F65, BN$8, Matrix!$D$6)=0,"",_xll.IMDP("IR", $F65, BN$8, Matrix!$D$6)), "")</f>
        <v>3.3380000000000001</v>
      </c>
      <c r="BO65" cm="1">
        <f t="array" aca="1" ref="BO65" ca="1">IF( AND($F$7,NOT(ISBLANK($F65))), IF( _xll.IMDP("IR", $F65, BO$8, Matrix!$D$6)=0,"",_xll.IMDP("IR", $F65, BO$8, Matrix!$D$6)), "")</f>
        <v>3.3620000000000001</v>
      </c>
      <c r="BP65" cm="1">
        <f t="array" aca="1" ref="BP65" ca="1">IF( AND($F$7,NOT(ISBLANK($F65))), IF( _xll.IMDP("IR", $F65, BP$8, Matrix!$D$6)=0,"",_xll.IMDP("IR", $F65, BP$8, Matrix!$D$6)), "")</f>
        <v>3.3730000000000002</v>
      </c>
      <c r="BQ65" cm="1">
        <f t="array" aca="1" ref="BQ65" ca="1">IF( AND($F$7,NOT(ISBLANK($F65))), IF( _xll.IMDP("IR", $F65, BQ$8, Matrix!$D$6)=0,"",_xll.IMDP("IR", $F65, BQ$8, Matrix!$D$6)), "")</f>
        <v>3.3740000000000001</v>
      </c>
      <c r="BR65" cm="1">
        <f t="array" aca="1" ref="BR65" ca="1">IF( AND($F$7,NOT(ISBLANK($F65))), IF( _xll.IMDP("IR", $F65, BR$8, Matrix!$D$6)=0,"",_xll.IMDP("IR", $F65, BR$8, Matrix!$D$6)), "")</f>
        <v>3.419</v>
      </c>
      <c r="BS65" cm="1">
        <f t="array" aca="1" ref="BS65" ca="1">IF( AND($F$7,NOT(ISBLANK($F65))), IF( _xll.IMDP("IR", $F65, BS$8, Matrix!$D$6)=0,"",_xll.IMDP("IR", $F65, BS$8, Matrix!$D$6)), "")</f>
        <v>3.5760000000000001</v>
      </c>
      <c r="BT65" cm="1">
        <f t="array" aca="1" ref="BT65" ca="1">IF( AND($F$7,NOT(ISBLANK($F65))), IF( _xll.IMDP("IR", $F65, BT$8, Matrix!$D$6)=0,"",_xll.IMDP("IR", $F65, BT$8, Matrix!$D$6)), "")</f>
        <v>4.2469999999999999</v>
      </c>
      <c r="BU65" cm="1">
        <f t="array" aca="1" ref="BU65" ca="1">IF( AND($F$7,NOT(ISBLANK($F65))), IF( _xll.IMDP("IR", $F65, BU$8, Matrix!$D$6)=0,"",_xll.IMDP("IR", $F65, BU$8, Matrix!$D$6)), "")</f>
        <v>4.74</v>
      </c>
      <c r="BV65" cm="1">
        <f t="array" aca="1" ref="BV65" ca="1">IF( AND($F$7,NOT(ISBLANK($F65))), IF( _xll.IMDP("IR", $F65, BV$8, Matrix!$D$6)=0,"",_xll.IMDP("IR", $F65, BV$8, Matrix!$D$6)), "")</f>
        <v>4.9320000000000004</v>
      </c>
      <c r="BW65" t="str" cm="1">
        <f t="array" aca="1" ref="BW65" ca="1">IF( AND($F$7,NOT(ISBLANK($F65))), IF( _xll.IMDP("IR", $F65, BW$8, Matrix!$D$6)=0,"",_xll.IMDP("IR", $F65, BW$8, Matrix!$D$6)), "")</f>
        <v/>
      </c>
      <c r="BX65" t="str" cm="1">
        <f t="array" aca="1" ref="BX65" ca="1">IF( AND($F$7,NOT(ISBLANK($F65))), IF( _xll.IMDP("IR", $F65, BX$8, Matrix!$D$6)=0,"",_xll.IMDP("IR", $F65, BX$8, Matrix!$D$6)), "")</f>
        <v/>
      </c>
      <c r="BY65" cm="1">
        <f t="array" aca="1" ref="BY65" ca="1">IF( AND($G$7,NOT(ISBLANK($G65))), IF( _xll.IMDP("IR", $G65, BY$8, Matrix!$D$6)=0, "", _xll.IMDP("IR", $G65, BY$8, Matrix!$D$6)), "")</f>
        <v>3.4319999999999999</v>
      </c>
      <c r="BZ65" cm="1">
        <f t="array" aca="1" ref="BZ65" ca="1">IF( AND($G$7,NOT(ISBLANK($G65))), IF( _xll.IMDP("IR", $G65, BZ$8, Matrix!$D$6)=0, "", _xll.IMDP("IR", $G65, BZ$8, Matrix!$D$6)), "")</f>
        <v>3.4140000000000001</v>
      </c>
      <c r="CA65" cm="1">
        <f t="array" aca="1" ref="CA65" ca="1">IF( AND($G$7,NOT(ISBLANK($G65))), IF( _xll.IMDP("IR", $G65, CA$8, Matrix!$D$6)=0, "", _xll.IMDP("IR", $G65, CA$8, Matrix!$D$6)), "")</f>
        <v>3.363</v>
      </c>
      <c r="CB65" cm="1">
        <f t="array" aca="1" ref="CB65" ca="1">IF( AND($G$7,NOT(ISBLANK($G65))), IF( _xll.IMDP("IR", $G65, CB$8, Matrix!$D$6)=0, "", _xll.IMDP("IR", $G65, CB$8, Matrix!$D$6)), "")</f>
        <v>3.3290000000000002</v>
      </c>
      <c r="CC65" cm="1">
        <f t="array" aca="1" ref="CC65" ca="1">IF( AND($G$7,NOT(ISBLANK($G65))), IF( _xll.IMDP("IR", $G65, CC$8, Matrix!$D$6)=0, "", _xll.IMDP("IR", $G65, CC$8, Matrix!$D$6)), "")</f>
        <v>3.3490000000000002</v>
      </c>
      <c r="CD65" cm="1">
        <f t="array" aca="1" ref="CD65" ca="1">IF( AND($G$7,NOT(ISBLANK($G65))), IF( _xll.IMDP("IR", $G65, CD$8, Matrix!$D$6)=0, "", _xll.IMDP("IR", $G65, CD$8, Matrix!$D$6)), "")</f>
        <v>3.3479999999999999</v>
      </c>
      <c r="CE65" cm="1">
        <f t="array" aca="1" ref="CE65" ca="1">IF( AND($G$7,NOT(ISBLANK($G65))), IF( _xll.IMDP("IR", $G65, CE$8, Matrix!$D$6)=0, "", _xll.IMDP("IR", $G65, CE$8, Matrix!$D$6)), "")</f>
        <v>3.363</v>
      </c>
      <c r="CF65" cm="1">
        <f t="array" aca="1" ref="CF65" ca="1">IF( AND($G$7,NOT(ISBLANK($G65))), IF( _xll.IMDP("IR", $G65, CF$8, Matrix!$D$6)=0, "", _xll.IMDP("IR", $G65, CF$8, Matrix!$D$6)), "")</f>
        <v>3.3759999999999999</v>
      </c>
      <c r="CG65" cm="1">
        <f t="array" aca="1" ref="CG65" ca="1">IF( AND($G$7,NOT(ISBLANK($G65))), IF( _xll.IMDP("IR", $G65, CG$8, Matrix!$D$6)=0, "", _xll.IMDP("IR", $G65, CG$8, Matrix!$D$6)), "")</f>
        <v>3.3730000000000002</v>
      </c>
      <c r="CH65" cm="1">
        <f t="array" aca="1" ref="CH65" ca="1">IF( AND($G$7,NOT(ISBLANK($G65))), IF( _xll.IMDP("IR", $G65, CH$8, Matrix!$D$6)=0, "", _xll.IMDP("IR", $G65, CH$8, Matrix!$D$6)), "")</f>
        <v>3.4319999999999999</v>
      </c>
      <c r="CI65" cm="1">
        <f t="array" aca="1" ref="CI65" ca="1">IF( AND($G$7,NOT(ISBLANK($G65))), IF( _xll.IMDP("IR", $G65, CI$8, Matrix!$D$6)=0, "", _xll.IMDP("IR", $G65, CI$8, Matrix!$D$6)), "")</f>
        <v>3.589</v>
      </c>
      <c r="CJ65" cm="1">
        <f t="array" aca="1" ref="CJ65" ca="1">IF( AND($G$7,NOT(ISBLANK($G65))), IF( _xll.IMDP("IR", $G65, CJ$8, Matrix!$D$6)=0, "", _xll.IMDP("IR", $G65, CJ$8, Matrix!$D$6)), "")</f>
        <v>4.2300000000000004</v>
      </c>
      <c r="CK65" cm="1">
        <f t="array" aca="1" ref="CK65" ca="1">IF( AND($G$7,NOT(ISBLANK($G65))), IF( _xll.IMDP("IR", $G65, CK$8, Matrix!$D$6)=0, "", _xll.IMDP("IR", $G65, CK$8, Matrix!$D$6)), "")</f>
        <v>4.7439999999999998</v>
      </c>
      <c r="CL65" cm="1">
        <f t="array" aca="1" ref="CL65" ca="1">IF( AND($G$7,NOT(ISBLANK($G65))), IF( _xll.IMDP("IR", $G65, CL$8, Matrix!$D$6)=0, "", _xll.IMDP("IR", $G65, CL$8, Matrix!$D$6)), "")</f>
        <v>4.9240000000000004</v>
      </c>
      <c r="CM65" t="str" cm="1">
        <f t="array" aca="1" ref="CM65" ca="1">IF( AND($G$7,NOT(ISBLANK($G65))), IF( _xll.IMDP("IR", $G65, CM$8, Matrix!$D$6)=0, "", _xll.IMDP("IR", $G65, CM$8, Matrix!$D$6)), "")</f>
        <v/>
      </c>
      <c r="CN65" t="str" cm="1">
        <f t="array" aca="1" ref="CN65" ca="1">IF( AND($G$7,NOT(ISBLANK($G65))), IF( _xll.IMDP("IR", $G65, CN$8, Matrix!$D$6)=0, "", _xll.IMDP("IR", $G65, CN$8, Matrix!$D$6)), "")</f>
        <v/>
      </c>
      <c r="CO65" cm="1">
        <f t="array" aca="1" ref="CO65" ca="1">IF( AND($H$7,NOT(ISBLANK($H65))), IF( _xll.IMDP("IR", $H65, CO$8, Matrix!$D$6)=0, "", _xll.IMDP("IR", $H65, CO$8, Matrix!$D$6)), "")</f>
        <v>3.4289999999999998</v>
      </c>
      <c r="CP65" cm="1">
        <f t="array" aca="1" ref="CP65" ca="1">IF( AND($H$7,NOT(ISBLANK($H65))), IF( _xll.IMDP("IR", $H65, CP$8, Matrix!$D$6)=0, "", _xll.IMDP("IR", $H65, CP$8, Matrix!$D$6)), "")</f>
        <v>3.4180000000000001</v>
      </c>
      <c r="CQ65" cm="1">
        <f t="array" aca="1" ref="CQ65" ca="1">IF( AND($H$7,NOT(ISBLANK($H65))), IF( _xll.IMDP("IR", $H65, CQ$8, Matrix!$D$6)=0, "", _xll.IMDP("IR", $H65, CQ$8, Matrix!$D$6)), "")</f>
        <v>3.3660000000000001</v>
      </c>
      <c r="CR65" cm="1">
        <f t="array" aca="1" ref="CR65" ca="1">IF( AND($H$7,NOT(ISBLANK($H65))), IF( _xll.IMDP("IR", $H65, CR$8, Matrix!$D$6)=0, "", _xll.IMDP("IR", $H65, CR$8, Matrix!$D$6)), "")</f>
        <v>3.3279999999999998</v>
      </c>
      <c r="CS65" cm="1">
        <f t="array" aca="1" ref="CS65" ca="1">IF( AND($H$7,NOT(ISBLANK($H65))), IF( _xll.IMDP("IR", $H65, CS$8, Matrix!$D$6)=0, "", _xll.IMDP("IR", $H65, CS$8, Matrix!$D$6)), "")</f>
        <v>3.355</v>
      </c>
      <c r="CT65" cm="1">
        <f t="array" aca="1" ref="CT65" ca="1">IF( AND($H$7,NOT(ISBLANK($H65))), IF( _xll.IMDP("IR", $H65, CT$8, Matrix!$D$6)=0, "", _xll.IMDP("IR", $H65, CT$8, Matrix!$D$6)), "")</f>
        <v>3.3490000000000002</v>
      </c>
      <c r="CU65" cm="1">
        <f t="array" aca="1" ref="CU65" ca="1">IF( AND($H$7,NOT(ISBLANK($H65))), IF( _xll.IMDP("IR", $H65, CU$8, Matrix!$D$6)=0, "", _xll.IMDP("IR", $H65, CU$8, Matrix!$D$6)), "")</f>
        <v>3.367</v>
      </c>
      <c r="CV65" cm="1">
        <f t="array" aca="1" ref="CV65" ca="1">IF( AND($H$7,NOT(ISBLANK($H65))), IF( _xll.IMDP("IR", $H65, CV$8, Matrix!$D$6)=0, "", _xll.IMDP("IR", $H65, CV$8, Matrix!$D$6)), "")</f>
        <v>3.3809999999999998</v>
      </c>
      <c r="CW65" cm="1">
        <f t="array" aca="1" ref="CW65" ca="1">IF( AND($H$7,NOT(ISBLANK($H65))), IF( _xll.IMDP("IR", $H65, CW$8, Matrix!$D$6)=0, "", _xll.IMDP("IR", $H65, CW$8, Matrix!$D$6)), "")</f>
        <v>3.3839999999999999</v>
      </c>
      <c r="CX65" cm="1">
        <f t="array" aca="1" ref="CX65" ca="1">IF( AND($H$7,NOT(ISBLANK($H65))), IF( _xll.IMDP("IR", $H65, CX$8, Matrix!$D$6)=0, "", _xll.IMDP("IR", $H65, CX$8, Matrix!$D$6)), "")</f>
        <v>3.4279999999999999</v>
      </c>
      <c r="CY65" cm="1">
        <f t="array" aca="1" ref="CY65" ca="1">IF( AND($H$7,NOT(ISBLANK($H65))), IF( _xll.IMDP("IR", $H65, CY$8, Matrix!$D$6)=0, "", _xll.IMDP("IR", $H65, CY$8, Matrix!$D$6)), "")</f>
        <v>3.5870000000000002</v>
      </c>
      <c r="CZ65" cm="1">
        <f t="array" aca="1" ref="CZ65" ca="1">IF( AND($H$7,NOT(ISBLANK($H65))), IF( _xll.IMDP("IR", $H65, CZ$8, Matrix!$D$6)=0, "", _xll.IMDP("IR", $H65, CZ$8, Matrix!$D$6)), "")</f>
        <v>4.2389999999999999</v>
      </c>
      <c r="DA65" t="str" cm="1">
        <f t="array" aca="1" ref="DA65" ca="1">IF( AND($H$7,NOT(ISBLANK($H65))), IF( _xll.IMDP("IR", $H65, DA$8, Matrix!$D$6)=0, "", _xll.IMDP("IR", $H65, DA$8, Matrix!$D$6)), "")</f>
        <v/>
      </c>
      <c r="DB65" t="str" cm="1">
        <f t="array" aca="1" ref="DB65" ca="1">IF( AND($H$7,NOT(ISBLANK($H65))), IF( _xll.IMDP("IR", $H65, DB$8, Matrix!$D$6)=0, "", _xll.IMDP("IR", $H65, DB$8, Matrix!$D$6)), "")</f>
        <v/>
      </c>
      <c r="DC65" t="str" cm="1">
        <f t="array" aca="1" ref="DC65" ca="1">IF( AND($H$7,NOT(ISBLANK($H65))), IF( _xll.IMDP("IR", $H65, DC$8, Matrix!$D$6)=0, "", _xll.IMDP("IR", $H65, DC$8, Matrix!$D$6)), "")</f>
        <v/>
      </c>
      <c r="DD65" t="str" cm="1">
        <f t="array" aca="1" ref="DD65" ca="1">IF( AND($H$7,NOT(ISBLANK($H65))), IF( _xll.IMDP("IR", $H65, DD$8, Matrix!$D$6)=0, "", _xll.IMDP("IR", $H65, DD$8, Matrix!$D$6)), "")</f>
        <v/>
      </c>
    </row>
    <row r="66" spans="2:108">
      <c r="B66" t="s">
        <v>134</v>
      </c>
      <c r="C66" t="s">
        <v>208</v>
      </c>
      <c r="D66" t="s">
        <v>273</v>
      </c>
      <c r="E66" t="s">
        <v>334</v>
      </c>
      <c r="F66" t="s">
        <v>404</v>
      </c>
      <c r="G66" t="s">
        <v>467</v>
      </c>
      <c r="H66" t="s">
        <v>514</v>
      </c>
      <c r="M66" s="21">
        <f t="shared" ca="1" si="1"/>
        <v>3.4545653340590183</v>
      </c>
      <c r="N66" s="21">
        <f t="shared" ca="1" si="2"/>
        <v>3.4441636874104749</v>
      </c>
      <c r="O66" s="21">
        <f t="shared" ca="1" si="3"/>
        <v>3.3921310162315095</v>
      </c>
      <c r="P66" s="21">
        <f t="shared" ca="1" si="4"/>
        <v>3.3569013338843021</v>
      </c>
      <c r="Q66" s="21">
        <f t="shared" ca="1" si="5"/>
        <v>3.3823889732882377</v>
      </c>
      <c r="R66" s="21">
        <f t="shared" ca="1" si="6"/>
        <v>3.3821960704715486</v>
      </c>
      <c r="S66" s="21">
        <f t="shared" ca="1" si="7"/>
        <v>3.4023985546670263</v>
      </c>
      <c r="T66" s="21">
        <f t="shared" ca="1" si="8"/>
        <v>3.4271843522697552</v>
      </c>
      <c r="U66" s="21">
        <f t="shared" ca="1" si="9"/>
        <v>3.4471652509389585</v>
      </c>
      <c r="V66" s="21">
        <f t="shared" ca="1" si="10"/>
        <v>3.5319930366572625</v>
      </c>
      <c r="W66" s="21">
        <f t="shared" ca="1" si="11"/>
        <v>3.7859939746742959</v>
      </c>
      <c r="X66" s="21">
        <f t="shared" ca="1" si="12"/>
        <v>4.6019549667018556</v>
      </c>
      <c r="Y66" s="21">
        <f t="shared" ca="1" si="13"/>
        <v>5.2179752105434449</v>
      </c>
      <c r="Z66" s="21">
        <f t="shared" ca="1" si="14"/>
        <v>5.4574893447978301</v>
      </c>
      <c r="AA66" s="21" t="e">
        <f t="shared" ca="1" si="15"/>
        <v>#NUM!</v>
      </c>
      <c r="AB66" s="21" t="e">
        <f t="shared" ca="1" si="16"/>
        <v>#NUM!</v>
      </c>
      <c r="AC66" cm="1">
        <f t="array" aca="1" ref="AC66" ca="1">IF( AND($D$7,NOT(ISBLANK($D66))), IF(_xll.IMDP("IR", $D66, AC$8, Matrix!$D$6)=0,"",_xll.IMDP("IR", $D66, AC$8, Matrix!$D$6)), "")</f>
        <v>3.4649999999999999</v>
      </c>
      <c r="AD66" cm="1">
        <f t="array" aca="1" ref="AD66" ca="1">IF( AND($D$7,NOT(ISBLANK($D66))), IF(_xll.IMDP("IR", $D66, AD$8, Matrix!$D$6)=0,"",_xll.IMDP("IR", $D66, AD$8, Matrix!$D$6)), "")</f>
        <v>3.45</v>
      </c>
      <c r="AE66" cm="1">
        <f t="array" aca="1" ref="AE66" ca="1">IF( AND($D$7,NOT(ISBLANK($D66))), IF(_xll.IMDP("IR", $D66, AE$8, Matrix!$D$6)=0,"",_xll.IMDP("IR", $D66, AE$8, Matrix!$D$6)), "")</f>
        <v>3.403</v>
      </c>
      <c r="AF66" cm="1">
        <f t="array" aca="1" ref="AF66" ca="1">IF( AND($D$7,NOT(ISBLANK($D66))), IF(_xll.IMDP("IR", $D66, AF$8, Matrix!$D$6)=0,"",_xll.IMDP("IR", $D66, AF$8, Matrix!$D$6)), "")</f>
        <v>3.3679999999999999</v>
      </c>
      <c r="AG66" cm="1">
        <f t="array" aca="1" ref="AG66" ca="1">IF( AND($D$7,NOT(ISBLANK($D66))), IF(_xll.IMDP("IR", $D66, AG$8, Matrix!$D$6)=0,"",_xll.IMDP("IR", $D66, AG$8, Matrix!$D$6)), "")</f>
        <v>3.38</v>
      </c>
      <c r="AH66" cm="1">
        <f t="array" aca="1" ref="AH66" ca="1">IF( AND($D$7,NOT(ISBLANK($D66))), IF(_xll.IMDP("IR", $D66, AH$8, Matrix!$D$6)=0,"",_xll.IMDP("IR", $D66, AH$8, Matrix!$D$6)), "")</f>
        <v>3.3879999999999999</v>
      </c>
      <c r="AI66" cm="1">
        <f t="array" aca="1" ref="AI66" ca="1">IF( AND($D$7,NOT(ISBLANK($D66))), IF(_xll.IMDP("IR", $D66, AI$8, Matrix!$D$6)=0,"",_xll.IMDP("IR", $D66, AI$8, Matrix!$D$6)), "")</f>
        <v>3.403</v>
      </c>
      <c r="AJ66" cm="1">
        <f t="array" aca="1" ref="AJ66" ca="1">IF( AND($D$7,NOT(ISBLANK($D66))), IF(_xll.IMDP("IR", $D66, AJ$8, Matrix!$D$6)=0,"",_xll.IMDP("IR", $D66, AJ$8, Matrix!$D$6)), "")</f>
        <v>3.4279999999999999</v>
      </c>
      <c r="AK66" cm="1">
        <f t="array" aca="1" ref="AK66" ca="1">IF( AND($D$7,NOT(ISBLANK($D66))), IF(_xll.IMDP("IR", $D66, AK$8, Matrix!$D$6)=0,"",_xll.IMDP("IR", $D66, AK$8, Matrix!$D$6)), "")</f>
        <v>3.4609999999999999</v>
      </c>
      <c r="AL66" cm="1">
        <f t="array" aca="1" ref="AL66" ca="1">IF( AND($D$7,NOT(ISBLANK($D66))), IF(_xll.IMDP("IR", $D66, AL$8, Matrix!$D$6)=0,"",_xll.IMDP("IR", $D66, AL$8, Matrix!$D$6)), "")</f>
        <v>3.5430000000000001</v>
      </c>
      <c r="AM66" cm="1">
        <f t="array" aca="1" ref="AM66" ca="1">IF( AND($D$7,NOT(ISBLANK($D66))), IF(_xll.IMDP("IR", $D66, AM$8, Matrix!$D$6)=0,"",_xll.IMDP("IR", $D66, AM$8, Matrix!$D$6)), "")</f>
        <v>3.7829999999999999</v>
      </c>
      <c r="AN66" cm="1">
        <f t="array" aca="1" ref="AN66" ca="1">IF( AND($D$7,NOT(ISBLANK($D66))), IF(_xll.IMDP("IR", $D66, AN$8, Matrix!$D$6)=0,"",_xll.IMDP("IR", $D66, AN$8, Matrix!$D$6)), "")</f>
        <v>4.5640000000000001</v>
      </c>
      <c r="AO66" cm="1">
        <f t="array" aca="1" ref="AO66" ca="1">IF( AND($D$7,NOT(ISBLANK($D66))), IF(_xll.IMDP("IR", $D66, AO$8, Matrix!$D$6)=0,"",_xll.IMDP("IR", $D66, AO$8, Matrix!$D$6)), "")</f>
        <v>5.194</v>
      </c>
      <c r="AP66" cm="1">
        <f t="array" aca="1" ref="AP66" ca="1">IF( AND($D$7,NOT(ISBLANK($D66))), IF(_xll.IMDP("IR", $D66, AP$8, Matrix!$D$6)=0,"",_xll.IMDP("IR", $D66, AP$8, Matrix!$D$6)), "")</f>
        <v>5.4420000000000002</v>
      </c>
      <c r="AQ66" t="str" cm="1">
        <f t="array" aca="1" ref="AQ66" ca="1">IF( AND($D$7,NOT(ISBLANK($D66))), IF(_xll.IMDP("IR", $D66, AQ$8, Matrix!$D$6)=0,"",_xll.IMDP("IR", $D66, AQ$8, Matrix!$D$6)), "")</f>
        <v/>
      </c>
      <c r="AR66" t="str" cm="1">
        <f t="array" aca="1" ref="AR66" ca="1">IF( AND($D$7,NOT(ISBLANK($D66))), IF(_xll.IMDP("IR", $D66, AR$8, Matrix!$D$6)=0,"",_xll.IMDP("IR", $D66, AR$8, Matrix!$D$6)), "")</f>
        <v/>
      </c>
      <c r="AS66" cm="1">
        <f t="array" aca="1" ref="AS66" ca="1">IF( AND($E$7,NOT(ISBLANK($E66))), IF( _xll.IMDP("IR", $E66, AS$8, Matrix!$D$6)=0,"",_xll.IMDP("IR", $E66, AS$8, Matrix!$D$6)), "")</f>
        <v>3.4249999999999998</v>
      </c>
      <c r="AT66" cm="1">
        <f t="array" aca="1" ref="AT66" ca="1">IF( AND($E$7,NOT(ISBLANK($E66))), IF( _xll.IMDP("IR", $E66, AT$8, Matrix!$D$6)=0,"",_xll.IMDP("IR", $E66, AT$8, Matrix!$D$6)), "")</f>
        <v>3.4169999999999998</v>
      </c>
      <c r="AU66" cm="1">
        <f t="array" aca="1" ref="AU66" ca="1">IF( AND($E$7,NOT(ISBLANK($E66))), IF( _xll.IMDP("IR", $E66, AU$8, Matrix!$D$6)=0,"",_xll.IMDP("IR", $E66, AU$8, Matrix!$D$6)), "")</f>
        <v>3.355</v>
      </c>
      <c r="AV66" cm="1">
        <f t="array" aca="1" ref="AV66" ca="1">IF( AND($E$7,NOT(ISBLANK($E66))), IF( _xll.IMDP("IR", $E66, AV$8, Matrix!$D$6)=0,"",_xll.IMDP("IR", $E66, AV$8, Matrix!$D$6)), "")</f>
        <v>3.3119999999999998</v>
      </c>
      <c r="AW66" cm="1">
        <f t="array" aca="1" ref="AW66" ca="1">IF( AND($E$7,NOT(ISBLANK($E66))), IF( _xll.IMDP("IR", $E66, AW$8, Matrix!$D$6)=0,"",_xll.IMDP("IR", $E66, AW$8, Matrix!$D$6)), "")</f>
        <v>3.37</v>
      </c>
      <c r="AX66" cm="1">
        <f t="array" aca="1" ref="AX66" ca="1">IF( AND($E$7,NOT(ISBLANK($E66))), IF( _xll.IMDP("IR", $E66, AX$8, Matrix!$D$6)=0,"",_xll.IMDP("IR", $E66, AX$8, Matrix!$D$6)), "")</f>
        <v>3.3860000000000001</v>
      </c>
      <c r="AY66" cm="1">
        <f t="array" aca="1" ref="AY66" ca="1">IF( AND($E$7,NOT(ISBLANK($E66))), IF( _xll.IMDP("IR", $E66, AY$8, Matrix!$D$6)=0,"",_xll.IMDP("IR", $E66, AY$8, Matrix!$D$6)), "")</f>
        <v>3.4079999999999999</v>
      </c>
      <c r="AZ66" cm="1">
        <f t="array" aca="1" ref="AZ66" ca="1">IF( AND($E$7,NOT(ISBLANK($E66))), IF( _xll.IMDP("IR", $E66, AZ$8, Matrix!$D$6)=0,"",_xll.IMDP("IR", $E66, AZ$8, Matrix!$D$6)), "")</f>
        <v>3.4449999999999998</v>
      </c>
      <c r="BA66" cm="1">
        <f t="array" aca="1" ref="BA66" ca="1">IF( AND($E$7,NOT(ISBLANK($E66))), IF( _xll.IMDP("IR", $E66, BA$8, Matrix!$D$6)=0,"",_xll.IMDP("IR", $E66, BA$8, Matrix!$D$6)), "")</f>
        <v>3.4660000000000002</v>
      </c>
      <c r="BB66" cm="1">
        <f t="array" aca="1" ref="BB66" ca="1">IF( AND($E$7,NOT(ISBLANK($E66))), IF( _xll.IMDP("IR", $E66, BB$8, Matrix!$D$6)=0,"",_xll.IMDP("IR", $E66, BB$8, Matrix!$D$6)), "")</f>
        <v>3.528</v>
      </c>
      <c r="BC66" cm="1">
        <f t="array" aca="1" ref="BC66" ca="1">IF( AND($E$7,NOT(ISBLANK($E66))), IF( _xll.IMDP("IR", $E66, BC$8, Matrix!$D$6)=0,"",_xll.IMDP("IR", $E66, BC$8, Matrix!$D$6)), "")</f>
        <v>3.7930000000000001</v>
      </c>
      <c r="BD66" cm="1">
        <f t="array" aca="1" ref="BD66" ca="1">IF( AND($E$7,NOT(ISBLANK($E66))), IF( _xll.IMDP("IR", $E66, BD$8, Matrix!$D$6)=0,"",_xll.IMDP("IR", $E66, BD$8, Matrix!$D$6)), "")</f>
        <v>4.62</v>
      </c>
      <c r="BE66" cm="1">
        <f t="array" aca="1" ref="BE66" ca="1">IF( AND($E$7,NOT(ISBLANK($E66))), IF( _xll.IMDP("IR", $E66, BE$8, Matrix!$D$6)=0,"",_xll.IMDP("IR", $E66, BE$8, Matrix!$D$6)), "")</f>
        <v>5.2140000000000004</v>
      </c>
      <c r="BF66" cm="1">
        <f t="array" aca="1" ref="BF66" ca="1">IF( AND($E$7,NOT(ISBLANK($E66))), IF( _xll.IMDP("IR", $E66, BF$8, Matrix!$D$6)=0,"",_xll.IMDP("IR", $E66, BF$8, Matrix!$D$6)), "")</f>
        <v>5.4660000000000002</v>
      </c>
      <c r="BG66" t="str" cm="1">
        <f t="array" aca="1" ref="BG66" ca="1">IF( AND($E$7,NOT(ISBLANK($E66))), IF( _xll.IMDP("IR", $E66, BG$8, Matrix!$D$6)=0,"",_xll.IMDP("IR", $E66, BG$8, Matrix!$D$6)), "")</f>
        <v/>
      </c>
      <c r="BH66" t="str" cm="1">
        <f t="array" aca="1" ref="BH66" ca="1">IF( AND($E$7,NOT(ISBLANK($E66))), IF( _xll.IMDP("IR", $E66, BH$8, Matrix!$D$6)=0,"",_xll.IMDP("IR", $E66, BH$8, Matrix!$D$6)), "")</f>
        <v/>
      </c>
      <c r="BI66" cm="1">
        <f t="array" aca="1" ref="BI66" ca="1">IF( AND($F$7,NOT(ISBLANK($F66))), IF( _xll.IMDP("IR", $F66, BI$8, Matrix!$D$6)=0,"",_xll.IMDP("IR", $F66, BI$8, Matrix!$D$6)), "")</f>
        <v>3.4670000000000001</v>
      </c>
      <c r="BJ66" cm="1">
        <f t="array" aca="1" ref="BJ66" ca="1">IF( AND($F$7,NOT(ISBLANK($F66))), IF( _xll.IMDP("IR", $F66, BJ$8, Matrix!$D$6)=0,"",_xll.IMDP("IR", $F66, BJ$8, Matrix!$D$6)), "")</f>
        <v>3.4660000000000002</v>
      </c>
      <c r="BK66" cm="1">
        <f t="array" aca="1" ref="BK66" ca="1">IF( AND($F$7,NOT(ISBLANK($F66))), IF( _xll.IMDP("IR", $F66, BK$8, Matrix!$D$6)=0,"",_xll.IMDP("IR", $F66, BK$8, Matrix!$D$6)), "")</f>
        <v>3.4209999999999998</v>
      </c>
      <c r="BL66" cm="1">
        <f t="array" aca="1" ref="BL66" ca="1">IF( AND($F$7,NOT(ISBLANK($F66))), IF( _xll.IMDP("IR", $F66, BL$8, Matrix!$D$6)=0,"",_xll.IMDP("IR", $F66, BL$8, Matrix!$D$6)), "")</f>
        <v>3.391</v>
      </c>
      <c r="BM66" cm="1">
        <f t="array" aca="1" ref="BM66" ca="1">IF( AND($F$7,NOT(ISBLANK($F66))), IF( _xll.IMDP("IR", $F66, BM$8, Matrix!$D$6)=0,"",_xll.IMDP("IR", $F66, BM$8, Matrix!$D$6)), "")</f>
        <v>3.3969999999999998</v>
      </c>
      <c r="BN66" cm="1">
        <f t="array" aca="1" ref="BN66" ca="1">IF( AND($F$7,NOT(ISBLANK($F66))), IF( _xll.IMDP("IR", $F66, BN$8, Matrix!$D$6)=0,"",_xll.IMDP("IR", $F66, BN$8, Matrix!$D$6)), "")</f>
        <v>3.3730000000000002</v>
      </c>
      <c r="BO66" cm="1">
        <f t="array" aca="1" ref="BO66" ca="1">IF( AND($F$7,NOT(ISBLANK($F66))), IF( _xll.IMDP("IR", $F66, BO$8, Matrix!$D$6)=0,"",_xll.IMDP("IR", $F66, BO$8, Matrix!$D$6)), "")</f>
        <v>3.4</v>
      </c>
      <c r="BP66" cm="1">
        <f t="array" aca="1" ref="BP66" ca="1">IF( AND($F$7,NOT(ISBLANK($F66))), IF( _xll.IMDP("IR", $F66, BP$8, Matrix!$D$6)=0,"",_xll.IMDP("IR", $F66, BP$8, Matrix!$D$6)), "")</f>
        <v>3.4129999999999998</v>
      </c>
      <c r="BQ66" cm="1">
        <f t="array" aca="1" ref="BQ66" ca="1">IF( AND($F$7,NOT(ISBLANK($F66))), IF( _xll.IMDP("IR", $F66, BQ$8, Matrix!$D$6)=0,"",_xll.IMDP("IR", $F66, BQ$8, Matrix!$D$6)), "")</f>
        <v>3.423</v>
      </c>
      <c r="BR66" cm="1">
        <f t="array" aca="1" ref="BR66" ca="1">IF( AND($F$7,NOT(ISBLANK($F66))), IF( _xll.IMDP("IR", $F66, BR$8, Matrix!$D$6)=0,"",_xll.IMDP("IR", $F66, BR$8, Matrix!$D$6)), "")</f>
        <v>3.5219999999999998</v>
      </c>
      <c r="BS66" cm="1">
        <f t="array" aca="1" ref="BS66" ca="1">IF( AND($F$7,NOT(ISBLANK($F66))), IF( _xll.IMDP("IR", $F66, BS$8, Matrix!$D$6)=0,"",_xll.IMDP("IR", $F66, BS$8, Matrix!$D$6)), "")</f>
        <v>3.7749999999999999</v>
      </c>
      <c r="BT66" cm="1">
        <f t="array" aca="1" ref="BT66" ca="1">IF( AND($F$7,NOT(ISBLANK($F66))), IF( _xll.IMDP("IR", $F66, BT$8, Matrix!$D$6)=0,"",_xll.IMDP("IR", $F66, BT$8, Matrix!$D$6)), "")</f>
        <v>4.6189999999999998</v>
      </c>
      <c r="BU66" cm="1">
        <f t="array" aca="1" ref="BU66" ca="1">IF( AND($F$7,NOT(ISBLANK($F66))), IF( _xll.IMDP("IR", $F66, BU$8, Matrix!$D$6)=0,"",_xll.IMDP("IR", $F66, BU$8, Matrix!$D$6)), "")</f>
        <v>5.2370000000000001</v>
      </c>
      <c r="BV66" cm="1">
        <f t="array" aca="1" ref="BV66" ca="1">IF( AND($F$7,NOT(ISBLANK($F66))), IF( _xll.IMDP("IR", $F66, BV$8, Matrix!$D$6)=0,"",_xll.IMDP("IR", $F66, BV$8, Matrix!$D$6)), "")</f>
        <v>5.4690000000000003</v>
      </c>
      <c r="BW66" t="str" cm="1">
        <f t="array" aca="1" ref="BW66" ca="1">IF( AND($F$7,NOT(ISBLANK($F66))), IF( _xll.IMDP("IR", $F66, BW$8, Matrix!$D$6)=0,"",_xll.IMDP("IR", $F66, BW$8, Matrix!$D$6)), "")</f>
        <v/>
      </c>
      <c r="BX66" t="str" cm="1">
        <f t="array" aca="1" ref="BX66" ca="1">IF( AND($F$7,NOT(ISBLANK($F66))), IF( _xll.IMDP("IR", $F66, BX$8, Matrix!$D$6)=0,"",_xll.IMDP("IR", $F66, BX$8, Matrix!$D$6)), "")</f>
        <v/>
      </c>
      <c r="BY66" cm="1">
        <f t="array" aca="1" ref="BY66" ca="1">IF( AND($G$7,NOT(ISBLANK($G66))), IF( _xll.IMDP("IR", $G66, BY$8, Matrix!$D$6)=0, "", _xll.IMDP("IR", $G66, BY$8, Matrix!$D$6)), "")</f>
        <v>3.4620000000000002</v>
      </c>
      <c r="BZ66" cm="1">
        <f t="array" aca="1" ref="BZ66" ca="1">IF( AND($G$7,NOT(ISBLANK($G66))), IF( _xll.IMDP("IR", $G66, BZ$8, Matrix!$D$6)=0, "", _xll.IMDP("IR", $G66, BZ$8, Matrix!$D$6)), "")</f>
        <v>3.444</v>
      </c>
      <c r="CA66" cm="1">
        <f t="array" aca="1" ref="CA66" ca="1">IF( AND($G$7,NOT(ISBLANK($G66))), IF( _xll.IMDP("IR", $G66, CA$8, Matrix!$D$6)=0, "", _xll.IMDP("IR", $G66, CA$8, Matrix!$D$6)), "")</f>
        <v>3.39</v>
      </c>
      <c r="CB66" cm="1">
        <f t="array" aca="1" ref="CB66" ca="1">IF( AND($G$7,NOT(ISBLANK($G66))), IF( _xll.IMDP("IR", $G66, CB$8, Matrix!$D$6)=0, "", _xll.IMDP("IR", $G66, CB$8, Matrix!$D$6)), "")</f>
        <v>3.3570000000000002</v>
      </c>
      <c r="CC66" cm="1">
        <f t="array" aca="1" ref="CC66" ca="1">IF( AND($G$7,NOT(ISBLANK($G66))), IF( _xll.IMDP("IR", $G66, CC$8, Matrix!$D$6)=0, "", _xll.IMDP("IR", $G66, CC$8, Matrix!$D$6)), "")</f>
        <v>3.383</v>
      </c>
      <c r="CD66" cm="1">
        <f t="array" aca="1" ref="CD66" ca="1">IF( AND($G$7,NOT(ISBLANK($G66))), IF( _xll.IMDP("IR", $G66, CD$8, Matrix!$D$6)=0, "", _xll.IMDP("IR", $G66, CD$8, Matrix!$D$6)), "")</f>
        <v>3.3820000000000001</v>
      </c>
      <c r="CE66" cm="1">
        <f t="array" aca="1" ref="CE66" ca="1">IF( AND($G$7,NOT(ISBLANK($G66))), IF( _xll.IMDP("IR", $G66, CE$8, Matrix!$D$6)=0, "", _xll.IMDP("IR", $G66, CE$8, Matrix!$D$6)), "")</f>
        <v>3.399</v>
      </c>
      <c r="CF66" cm="1">
        <f t="array" aca="1" ref="CF66" ca="1">IF( AND($G$7,NOT(ISBLANK($G66))), IF( _xll.IMDP("IR", $G66, CF$8, Matrix!$D$6)=0, "", _xll.IMDP("IR", $G66, CF$8, Matrix!$D$6)), "")</f>
        <v>3.423</v>
      </c>
      <c r="CG66" cm="1">
        <f t="array" aca="1" ref="CG66" ca="1">IF( AND($G$7,NOT(ISBLANK($G66))), IF( _xll.IMDP("IR", $G66, CG$8, Matrix!$D$6)=0, "", _xll.IMDP("IR", $G66, CG$8, Matrix!$D$6)), "")</f>
        <v>3.4390000000000001</v>
      </c>
      <c r="CH66" cm="1">
        <f t="array" aca="1" ref="CH66" ca="1">IF( AND($G$7,NOT(ISBLANK($G66))), IF( _xll.IMDP("IR", $G66, CH$8, Matrix!$D$6)=0, "", _xll.IMDP("IR", $G66, CH$8, Matrix!$D$6)), "")</f>
        <v>3.5350000000000001</v>
      </c>
      <c r="CI66" cm="1">
        <f t="array" aca="1" ref="CI66" ca="1">IF( AND($G$7,NOT(ISBLANK($G66))), IF( _xll.IMDP("IR", $G66, CI$8, Matrix!$D$6)=0, "", _xll.IMDP("IR", $G66, CI$8, Matrix!$D$6)), "")</f>
        <v>3.7930000000000001</v>
      </c>
      <c r="CJ66" cm="1">
        <f t="array" aca="1" ref="CJ66" ca="1">IF( AND($G$7,NOT(ISBLANK($G66))), IF( _xll.IMDP("IR", $G66, CJ$8, Matrix!$D$6)=0, "", _xll.IMDP("IR", $G66, CJ$8, Matrix!$D$6)), "")</f>
        <v>4.6050000000000004</v>
      </c>
      <c r="CK66" cm="1">
        <f t="array" aca="1" ref="CK66" ca="1">IF( AND($G$7,NOT(ISBLANK($G66))), IF( _xll.IMDP("IR", $G66, CK$8, Matrix!$D$6)=0, "", _xll.IMDP("IR", $G66, CK$8, Matrix!$D$6)), "")</f>
        <v>5.2270000000000003</v>
      </c>
      <c r="CL66" cm="1">
        <f t="array" aca="1" ref="CL66" ca="1">IF( AND($G$7,NOT(ISBLANK($G66))), IF( _xll.IMDP("IR", $G66, CL$8, Matrix!$D$6)=0, "", _xll.IMDP("IR", $G66, CL$8, Matrix!$D$6)), "")</f>
        <v>5.4530000000000003</v>
      </c>
      <c r="CM66" t="str" cm="1">
        <f t="array" aca="1" ref="CM66" ca="1">IF( AND($G$7,NOT(ISBLANK($G66))), IF( _xll.IMDP("IR", $G66, CM$8, Matrix!$D$6)=0, "", _xll.IMDP("IR", $G66, CM$8, Matrix!$D$6)), "")</f>
        <v/>
      </c>
      <c r="CN66" t="str" cm="1">
        <f t="array" aca="1" ref="CN66" ca="1">IF( AND($G$7,NOT(ISBLANK($G66))), IF( _xll.IMDP("IR", $G66, CN$8, Matrix!$D$6)=0, "", _xll.IMDP("IR", $G66, CN$8, Matrix!$D$6)), "")</f>
        <v/>
      </c>
      <c r="CO66" cm="1">
        <f t="array" aca="1" ref="CO66" ca="1">IF( AND($H$7,NOT(ISBLANK($H66))), IF( _xll.IMDP("IR", $H66, CO$8, Matrix!$D$6)=0, "", _xll.IMDP("IR", $H66, CO$8, Matrix!$D$6)), "")</f>
        <v>3.4540000000000002</v>
      </c>
      <c r="CP66" cm="1">
        <f t="array" aca="1" ref="CP66" ca="1">IF( AND($H$7,NOT(ISBLANK($H66))), IF( _xll.IMDP("IR", $H66, CP$8, Matrix!$D$6)=0, "", _xll.IMDP("IR", $H66, CP$8, Matrix!$D$6)), "")</f>
        <v>3.444</v>
      </c>
      <c r="CQ66" cm="1">
        <f t="array" aca="1" ref="CQ66" ca="1">IF( AND($H$7,NOT(ISBLANK($H66))), IF( _xll.IMDP("IR", $H66, CQ$8, Matrix!$D$6)=0, "", _xll.IMDP("IR", $H66, CQ$8, Matrix!$D$6)), "")</f>
        <v>3.3919999999999999</v>
      </c>
      <c r="CR66" cm="1">
        <f t="array" aca="1" ref="CR66" ca="1">IF( AND($H$7,NOT(ISBLANK($H66))), IF( _xll.IMDP("IR", $H66, CR$8, Matrix!$D$6)=0, "", _xll.IMDP("IR", $H66, CR$8, Matrix!$D$6)), "")</f>
        <v>3.3570000000000002</v>
      </c>
      <c r="CS66" cm="1">
        <f t="array" aca="1" ref="CS66" ca="1">IF( AND($H$7,NOT(ISBLANK($H66))), IF( _xll.IMDP("IR", $H66, CS$8, Matrix!$D$6)=0, "", _xll.IMDP("IR", $H66, CS$8, Matrix!$D$6)), "")</f>
        <v>3.3820000000000001</v>
      </c>
      <c r="CT66" cm="1">
        <f t="array" aca="1" ref="CT66" ca="1">IF( AND($H$7,NOT(ISBLANK($H66))), IF( _xll.IMDP("IR", $H66, CT$8, Matrix!$D$6)=0, "", _xll.IMDP("IR", $H66, CT$8, Matrix!$D$6)), "")</f>
        <v>3.3820000000000001</v>
      </c>
      <c r="CU66" cm="1">
        <f t="array" aca="1" ref="CU66" ca="1">IF( AND($H$7,NOT(ISBLANK($H66))), IF( _xll.IMDP("IR", $H66, CU$8, Matrix!$D$6)=0, "", _xll.IMDP("IR", $H66, CU$8, Matrix!$D$6)), "")</f>
        <v>3.4020000000000001</v>
      </c>
      <c r="CV66" cm="1">
        <f t="array" aca="1" ref="CV66" ca="1">IF( AND($H$7,NOT(ISBLANK($H66))), IF( _xll.IMDP("IR", $H66, CV$8, Matrix!$D$6)=0, "", _xll.IMDP("IR", $H66, CV$8, Matrix!$D$6)), "")</f>
        <v>3.427</v>
      </c>
      <c r="CW66" cm="1">
        <f t="array" aca="1" ref="CW66" ca="1">IF( AND($H$7,NOT(ISBLANK($H66))), IF( _xll.IMDP("IR", $H66, CW$8, Matrix!$D$6)=0, "", _xll.IMDP("IR", $H66, CW$8, Matrix!$D$6)), "")</f>
        <v>3.4470000000000001</v>
      </c>
      <c r="CX66" cm="1">
        <f t="array" aca="1" ref="CX66" ca="1">IF( AND($H$7,NOT(ISBLANK($H66))), IF( _xll.IMDP("IR", $H66, CX$8, Matrix!$D$6)=0, "", _xll.IMDP("IR", $H66, CX$8, Matrix!$D$6)), "")</f>
        <v>3.532</v>
      </c>
      <c r="CY66" cm="1">
        <f t="array" aca="1" ref="CY66" ca="1">IF( AND($H$7,NOT(ISBLANK($H66))), IF( _xll.IMDP("IR", $H66, CY$8, Matrix!$D$6)=0, "", _xll.IMDP("IR", $H66, CY$8, Matrix!$D$6)), "")</f>
        <v>3.786</v>
      </c>
      <c r="CZ66" cm="1">
        <f t="array" aca="1" ref="CZ66" ca="1">IF( AND($H$7,NOT(ISBLANK($H66))), IF( _xll.IMDP("IR", $H66, CZ$8, Matrix!$D$6)=0, "", _xll.IMDP("IR", $H66, CZ$8, Matrix!$D$6)), "")</f>
        <v>4.6020000000000003</v>
      </c>
      <c r="DA66" t="str" cm="1">
        <f t="array" aca="1" ref="DA66" ca="1">IF( AND($H$7,NOT(ISBLANK($H66))), IF( _xll.IMDP("IR", $H66, DA$8, Matrix!$D$6)=0, "", _xll.IMDP("IR", $H66, DA$8, Matrix!$D$6)), "")</f>
        <v/>
      </c>
      <c r="DB66" t="str" cm="1">
        <f t="array" aca="1" ref="DB66" ca="1">IF( AND($H$7,NOT(ISBLANK($H66))), IF( _xll.IMDP("IR", $H66, DB$8, Matrix!$D$6)=0, "", _xll.IMDP("IR", $H66, DB$8, Matrix!$D$6)), "")</f>
        <v/>
      </c>
      <c r="DC66" t="str" cm="1">
        <f t="array" aca="1" ref="DC66" ca="1">IF( AND($H$7,NOT(ISBLANK($H66))), IF( _xll.IMDP("IR", $H66, DC$8, Matrix!$D$6)=0, "", _xll.IMDP("IR", $H66, DC$8, Matrix!$D$6)), "")</f>
        <v/>
      </c>
      <c r="DD66" t="str" cm="1">
        <f t="array" aca="1" ref="DD66" ca="1">IF( AND($H$7,NOT(ISBLANK($H66))), IF( _xll.IMDP("IR", $H66, DD$8, Matrix!$D$6)=0, "", _xll.IMDP("IR", $H66, DD$8, Matrix!$D$6)), "")</f>
        <v/>
      </c>
    </row>
    <row r="67" spans="2:108">
      <c r="B67" t="s">
        <v>135</v>
      </c>
      <c r="C67" t="s">
        <v>209</v>
      </c>
      <c r="D67" t="s">
        <v>274</v>
      </c>
      <c r="E67" t="s">
        <v>335</v>
      </c>
      <c r="F67" t="s">
        <v>405</v>
      </c>
      <c r="G67" t="s">
        <v>468</v>
      </c>
      <c r="H67" t="s">
        <v>515</v>
      </c>
      <c r="M67" s="21">
        <f t="shared" ca="1" si="1"/>
        <v>3.4921855384869938</v>
      </c>
      <c r="N67" s="21">
        <f t="shared" ca="1" si="2"/>
        <v>3.5615893323900214</v>
      </c>
      <c r="O67" s="21">
        <f t="shared" ca="1" si="3"/>
        <v>3.5709928785547187</v>
      </c>
      <c r="P67" s="21">
        <f t="shared" ca="1" si="4"/>
        <v>3.5845975127430814</v>
      </c>
      <c r="Q67" s="21">
        <f t="shared" ca="1" si="5"/>
        <v>3.6559968271297771</v>
      </c>
      <c r="R67" s="21">
        <f t="shared" ca="1" si="6"/>
        <v>3.6971961331861234</v>
      </c>
      <c r="S67" s="21">
        <f t="shared" ca="1" si="7"/>
        <v>3.7713734890209336</v>
      </c>
      <c r="T67" s="21">
        <f t="shared" ca="1" si="8"/>
        <v>3.8209675681039861</v>
      </c>
      <c r="U67" s="21">
        <f t="shared" ca="1" si="9"/>
        <v>4.069177503590244</v>
      </c>
      <c r="V67" s="21">
        <f t="shared" ca="1" si="10"/>
        <v>4.2975529085305046</v>
      </c>
      <c r="W67" s="21">
        <f t="shared" ca="1" si="11"/>
        <v>4.4979091207253843</v>
      </c>
      <c r="X67" s="21">
        <f t="shared" ca="1" si="12"/>
        <v>5.1523562141820287</v>
      </c>
      <c r="Y67" s="21">
        <f t="shared" ca="1" si="13"/>
        <v>5.607444426375336</v>
      </c>
      <c r="Z67" s="21">
        <f t="shared" ca="1" si="14"/>
        <v>5.8629646449577359</v>
      </c>
      <c r="AA67" s="21" t="e">
        <f t="shared" ca="1" si="15"/>
        <v>#NUM!</v>
      </c>
      <c r="AB67" s="21" t="e">
        <f t="shared" ca="1" si="16"/>
        <v>#NUM!</v>
      </c>
      <c r="AC67" cm="1">
        <f t="array" aca="1" ref="AC67" ca="1">IF( AND($D$7,NOT(ISBLANK($D67))), IF(_xll.IMDP("IR", $D67, AC$8, Matrix!$D$6)=0,"",_xll.IMDP("IR", $D67, AC$8, Matrix!$D$6)), "")</f>
        <v>3.4769999999999999</v>
      </c>
      <c r="AD67" cm="1">
        <f t="array" aca="1" ref="AD67" ca="1">IF( AND($D$7,NOT(ISBLANK($D67))), IF(_xll.IMDP("IR", $D67, AD$8, Matrix!$D$6)=0,"",_xll.IMDP("IR", $D67, AD$8, Matrix!$D$6)), "")</f>
        <v>3.5670000000000002</v>
      </c>
      <c r="AE67" cm="1">
        <f t="array" aca="1" ref="AE67" ca="1">IF( AND($D$7,NOT(ISBLANK($D67))), IF(_xll.IMDP("IR", $D67, AE$8, Matrix!$D$6)=0,"",_xll.IMDP("IR", $D67, AE$8, Matrix!$D$6)), "")</f>
        <v>3.5779999999999998</v>
      </c>
      <c r="AF67" cm="1">
        <f t="array" aca="1" ref="AF67" ca="1">IF( AND($D$7,NOT(ISBLANK($D67))), IF(_xll.IMDP("IR", $D67, AF$8, Matrix!$D$6)=0,"",_xll.IMDP("IR", $D67, AF$8, Matrix!$D$6)), "")</f>
        <v>3.5920000000000001</v>
      </c>
      <c r="AG67" cm="1">
        <f t="array" aca="1" ref="AG67" ca="1">IF( AND($D$7,NOT(ISBLANK($D67))), IF(_xll.IMDP("IR", $D67, AG$8, Matrix!$D$6)=0,"",_xll.IMDP("IR", $D67, AG$8, Matrix!$D$6)), "")</f>
        <v>3.6589999999999998</v>
      </c>
      <c r="AH67" cm="1">
        <f t="array" aca="1" ref="AH67" ca="1">IF( AND($D$7,NOT(ISBLANK($D67))), IF(_xll.IMDP("IR", $D67, AH$8, Matrix!$D$6)=0,"",_xll.IMDP("IR", $D67, AH$8, Matrix!$D$6)), "")</f>
        <v>3.6869999999999998</v>
      </c>
      <c r="AI67" cm="1">
        <f t="array" aca="1" ref="AI67" ca="1">IF( AND($D$7,NOT(ISBLANK($D67))), IF(_xll.IMDP("IR", $D67, AI$8, Matrix!$D$6)=0,"",_xll.IMDP("IR", $D67, AI$8, Matrix!$D$6)), "")</f>
        <v>3.774</v>
      </c>
      <c r="AJ67" cm="1">
        <f t="array" aca="1" ref="AJ67" ca="1">IF( AND($D$7,NOT(ISBLANK($D67))), IF(_xll.IMDP("IR", $D67, AJ$8, Matrix!$D$6)=0,"",_xll.IMDP("IR", $D67, AJ$8, Matrix!$D$6)), "")</f>
        <v>3.8359999999999999</v>
      </c>
      <c r="AK67" cm="1">
        <f t="array" aca="1" ref="AK67" ca="1">IF( AND($D$7,NOT(ISBLANK($D67))), IF(_xll.IMDP("IR", $D67, AK$8, Matrix!$D$6)=0,"",_xll.IMDP("IR", $D67, AK$8, Matrix!$D$6)), "")</f>
        <v>4.0709999999999997</v>
      </c>
      <c r="AL67" cm="1">
        <f t="array" aca="1" ref="AL67" ca="1">IF( AND($D$7,NOT(ISBLANK($D67))), IF(_xll.IMDP("IR", $D67, AL$8, Matrix!$D$6)=0,"",_xll.IMDP("IR", $D67, AL$8, Matrix!$D$6)), "")</f>
        <v>4.2679999999999998</v>
      </c>
      <c r="AM67" cm="1">
        <f t="array" aca="1" ref="AM67" ca="1">IF( AND($D$7,NOT(ISBLANK($D67))), IF(_xll.IMDP("IR", $D67, AM$8, Matrix!$D$6)=0,"",_xll.IMDP("IR", $D67, AM$8, Matrix!$D$6)), "")</f>
        <v>4.4509999999999996</v>
      </c>
      <c r="AN67" cm="1">
        <f t="array" aca="1" ref="AN67" ca="1">IF( AND($D$7,NOT(ISBLANK($D67))), IF(_xll.IMDP("IR", $D67, AN$8, Matrix!$D$6)=0,"",_xll.IMDP("IR", $D67, AN$8, Matrix!$D$6)), "")</f>
        <v>5.1280000000000001</v>
      </c>
      <c r="AO67" cm="1">
        <f t="array" aca="1" ref="AO67" ca="1">IF( AND($D$7,NOT(ISBLANK($D67))), IF(_xll.IMDP("IR", $D67, AO$8, Matrix!$D$6)=0,"",_xll.IMDP("IR", $D67, AO$8, Matrix!$D$6)), "")</f>
        <v>5.5730000000000004</v>
      </c>
      <c r="AP67" cm="1">
        <f t="array" aca="1" ref="AP67" ca="1">IF( AND($D$7,NOT(ISBLANK($D67))), IF(_xll.IMDP("IR", $D67, AP$8, Matrix!$D$6)=0,"",_xll.IMDP("IR", $D67, AP$8, Matrix!$D$6)), "")</f>
        <v>5.8380000000000001</v>
      </c>
      <c r="AQ67" t="str" cm="1">
        <f t="array" aca="1" ref="AQ67" ca="1">IF( AND($D$7,NOT(ISBLANK($D67))), IF(_xll.IMDP("IR", $D67, AQ$8, Matrix!$D$6)=0,"",_xll.IMDP("IR", $D67, AQ$8, Matrix!$D$6)), "")</f>
        <v/>
      </c>
      <c r="AR67" t="str" cm="1">
        <f t="array" aca="1" ref="AR67" ca="1">IF( AND($D$7,NOT(ISBLANK($D67))), IF(_xll.IMDP("IR", $D67, AR$8, Matrix!$D$6)=0,"",_xll.IMDP("IR", $D67, AR$8, Matrix!$D$6)), "")</f>
        <v/>
      </c>
      <c r="AS67" cm="1">
        <f t="array" aca="1" ref="AS67" ca="1">IF( AND($E$7,NOT(ISBLANK($E67))), IF( _xll.IMDP("IR", $E67, AS$8, Matrix!$D$6)=0,"",_xll.IMDP("IR", $E67, AS$8, Matrix!$D$6)), "")</f>
        <v>3.5019999999999998</v>
      </c>
      <c r="AT67" cm="1">
        <f t="array" aca="1" ref="AT67" ca="1">IF( AND($E$7,NOT(ISBLANK($E67))), IF( _xll.IMDP("IR", $E67, AT$8, Matrix!$D$6)=0,"",_xll.IMDP("IR", $E67, AT$8, Matrix!$D$6)), "")</f>
        <v>3.5659999999999998</v>
      </c>
      <c r="AU67" cm="1">
        <f t="array" aca="1" ref="AU67" ca="1">IF( AND($E$7,NOT(ISBLANK($E67))), IF( _xll.IMDP("IR", $E67, AU$8, Matrix!$D$6)=0,"",_xll.IMDP("IR", $E67, AU$8, Matrix!$D$6)), "")</f>
        <v>3.5710000000000002</v>
      </c>
      <c r="AV67" cm="1">
        <f t="array" aca="1" ref="AV67" ca="1">IF( AND($E$7,NOT(ISBLANK($E67))), IF( _xll.IMDP("IR", $E67, AV$8, Matrix!$D$6)=0,"",_xll.IMDP("IR", $E67, AV$8, Matrix!$D$6)), "")</f>
        <v>3.5790000000000002</v>
      </c>
      <c r="AW67" cm="1">
        <f t="array" aca="1" ref="AW67" ca="1">IF( AND($E$7,NOT(ISBLANK($E67))), IF( _xll.IMDP("IR", $E67, AW$8, Matrix!$D$6)=0,"",_xll.IMDP("IR", $E67, AW$8, Matrix!$D$6)), "")</f>
        <v>3.653</v>
      </c>
      <c r="AX67" cm="1">
        <f t="array" aca="1" ref="AX67" ca="1">IF( AND($E$7,NOT(ISBLANK($E67))), IF( _xll.IMDP("IR", $E67, AX$8, Matrix!$D$6)=0,"",_xll.IMDP("IR", $E67, AX$8, Matrix!$D$6)), "")</f>
        <v>3.7</v>
      </c>
      <c r="AY67" cm="1">
        <f t="array" aca="1" ref="AY67" ca="1">IF( AND($E$7,NOT(ISBLANK($E67))), IF( _xll.IMDP("IR", $E67, AY$8, Matrix!$D$6)=0,"",_xll.IMDP("IR", $E67, AY$8, Matrix!$D$6)), "")</f>
        <v>3.7839999999999998</v>
      </c>
      <c r="AZ67" cm="1">
        <f t="array" aca="1" ref="AZ67" ca="1">IF( AND($E$7,NOT(ISBLANK($E67))), IF( _xll.IMDP("IR", $E67, AZ$8, Matrix!$D$6)=0,"",_xll.IMDP("IR", $E67, AZ$8, Matrix!$D$6)), "")</f>
        <v>3.8130000000000002</v>
      </c>
      <c r="BA67" cm="1">
        <f t="array" aca="1" ref="BA67" ca="1">IF( AND($E$7,NOT(ISBLANK($E67))), IF( _xll.IMDP("IR", $E67, BA$8, Matrix!$D$6)=0,"",_xll.IMDP("IR", $E67, BA$8, Matrix!$D$6)), "")</f>
        <v>4.0599999999999996</v>
      </c>
      <c r="BB67" cm="1">
        <f t="array" aca="1" ref="BB67" ca="1">IF( AND($E$7,NOT(ISBLANK($E67))), IF( _xll.IMDP("IR", $E67, BB$8, Matrix!$D$6)=0,"",_xll.IMDP("IR", $E67, BB$8, Matrix!$D$6)), "")</f>
        <v>4.2850000000000001</v>
      </c>
      <c r="BC67" cm="1">
        <f t="array" aca="1" ref="BC67" ca="1">IF( AND($E$7,NOT(ISBLANK($E67))), IF( _xll.IMDP("IR", $E67, BC$8, Matrix!$D$6)=0,"",_xll.IMDP("IR", $E67, BC$8, Matrix!$D$6)), "")</f>
        <v>4.5030000000000001</v>
      </c>
      <c r="BD67" cm="1">
        <f t="array" aca="1" ref="BD67" ca="1">IF( AND($E$7,NOT(ISBLANK($E67))), IF( _xll.IMDP("IR", $E67, BD$8, Matrix!$D$6)=0,"",_xll.IMDP("IR", $E67, BD$8, Matrix!$D$6)), "")</f>
        <v>5.16</v>
      </c>
      <c r="BE67" cm="1">
        <f t="array" aca="1" ref="BE67" ca="1">IF( AND($E$7,NOT(ISBLANK($E67))), IF( _xll.IMDP("IR", $E67, BE$8, Matrix!$D$6)=0,"",_xll.IMDP("IR", $E67, BE$8, Matrix!$D$6)), "")</f>
        <v>5.6</v>
      </c>
      <c r="BF67" cm="1">
        <f t="array" aca="1" ref="BF67" ca="1">IF( AND($E$7,NOT(ISBLANK($E67))), IF( _xll.IMDP("IR", $E67, BF$8, Matrix!$D$6)=0,"",_xll.IMDP("IR", $E67, BF$8, Matrix!$D$6)), "")</f>
        <v>5.8849999999999998</v>
      </c>
      <c r="BG67" t="str" cm="1">
        <f t="array" aca="1" ref="BG67" ca="1">IF( AND($E$7,NOT(ISBLANK($E67))), IF( _xll.IMDP("IR", $E67, BG$8, Matrix!$D$6)=0,"",_xll.IMDP("IR", $E67, BG$8, Matrix!$D$6)), "")</f>
        <v/>
      </c>
      <c r="BH67" t="str" cm="1">
        <f t="array" aca="1" ref="BH67" ca="1">IF( AND($E$7,NOT(ISBLANK($E67))), IF( _xll.IMDP("IR", $E67, BH$8, Matrix!$D$6)=0,"",_xll.IMDP("IR", $E67, BH$8, Matrix!$D$6)), "")</f>
        <v/>
      </c>
      <c r="BI67" cm="1">
        <f t="array" aca="1" ref="BI67" ca="1">IF( AND($F$7,NOT(ISBLANK($F67))), IF( _xll.IMDP("IR", $F67, BI$8, Matrix!$D$6)=0,"",_xll.IMDP("IR", $F67, BI$8, Matrix!$D$6)), "")</f>
        <v>3.504</v>
      </c>
      <c r="BJ67" cm="1">
        <f t="array" aca="1" ref="BJ67" ca="1">IF( AND($F$7,NOT(ISBLANK($F67))), IF( _xll.IMDP("IR", $F67, BJ$8, Matrix!$D$6)=0,"",_xll.IMDP("IR", $F67, BJ$8, Matrix!$D$6)), "")</f>
        <v>3.5449999999999999</v>
      </c>
      <c r="BK67" cm="1">
        <f t="array" aca="1" ref="BK67" ca="1">IF( AND($F$7,NOT(ISBLANK($F67))), IF( _xll.IMDP("IR", $F67, BK$8, Matrix!$D$6)=0,"",_xll.IMDP("IR", $F67, BK$8, Matrix!$D$6)), "")</f>
        <v>3.5579999999999998</v>
      </c>
      <c r="BL67" cm="1">
        <f t="array" aca="1" ref="BL67" ca="1">IF( AND($F$7,NOT(ISBLANK($F67))), IF( _xll.IMDP("IR", $F67, BL$8, Matrix!$D$6)=0,"",_xll.IMDP("IR", $F67, BL$8, Matrix!$D$6)), "")</f>
        <v>3.5830000000000002</v>
      </c>
      <c r="BM67" cm="1">
        <f t="array" aca="1" ref="BM67" ca="1">IF( AND($F$7,NOT(ISBLANK($F67))), IF( _xll.IMDP("IR", $F67, BM$8, Matrix!$D$6)=0,"",_xll.IMDP("IR", $F67, BM$8, Matrix!$D$6)), "")</f>
        <v>3.6629999999999998</v>
      </c>
      <c r="BN67" cm="1">
        <f t="array" aca="1" ref="BN67" ca="1">IF( AND($F$7,NOT(ISBLANK($F67))), IF( _xll.IMDP("IR", $F67, BN$8, Matrix!$D$6)=0,"",_xll.IMDP("IR", $F67, BN$8, Matrix!$D$6)), "")</f>
        <v>3.7</v>
      </c>
      <c r="BO67" cm="1">
        <f t="array" aca="1" ref="BO67" ca="1">IF( AND($F$7,NOT(ISBLANK($F67))), IF( _xll.IMDP("IR", $F67, BO$8, Matrix!$D$6)=0,"",_xll.IMDP("IR", $F67, BO$8, Matrix!$D$6)), "")</f>
        <v>3.7450000000000001</v>
      </c>
      <c r="BP67" cm="1">
        <f t="array" aca="1" ref="BP67" ca="1">IF( AND($F$7,NOT(ISBLANK($F67))), IF( _xll.IMDP("IR", $F67, BP$8, Matrix!$D$6)=0,"",_xll.IMDP("IR", $F67, BP$8, Matrix!$D$6)), "")</f>
        <v>3.7959999999999998</v>
      </c>
      <c r="BQ67" cm="1">
        <f t="array" aca="1" ref="BQ67" ca="1">IF( AND($F$7,NOT(ISBLANK($F67))), IF( _xll.IMDP("IR", $F67, BQ$8, Matrix!$D$6)=0,"",_xll.IMDP("IR", $F67, BQ$8, Matrix!$D$6)), "")</f>
        <v>4.093</v>
      </c>
      <c r="BR67" cm="1">
        <f t="array" aca="1" ref="BR67" ca="1">IF( AND($F$7,NOT(ISBLANK($F67))), IF( _xll.IMDP("IR", $F67, BR$8, Matrix!$D$6)=0,"",_xll.IMDP("IR", $F67, BR$8, Matrix!$D$6)), "")</f>
        <v>4.3129999999999997</v>
      </c>
      <c r="BS67" cm="1">
        <f t="array" aca="1" ref="BS67" ca="1">IF( AND($F$7,NOT(ISBLANK($F67))), IF( _xll.IMDP("IR", $F67, BS$8, Matrix!$D$6)=0,"",_xll.IMDP("IR", $F67, BS$8, Matrix!$D$6)), "")</f>
        <v>4.5410000000000004</v>
      </c>
      <c r="BT67" cm="1">
        <f t="array" aca="1" ref="BT67" ca="1">IF( AND($F$7,NOT(ISBLANK($F67))), IF( _xll.IMDP("IR", $F67, BT$8, Matrix!$D$6)=0,"",_xll.IMDP("IR", $F67, BT$8, Matrix!$D$6)), "")</f>
        <v>5.1879999999999997</v>
      </c>
      <c r="BU67" cm="1">
        <f t="array" aca="1" ref="BU67" ca="1">IF( AND($F$7,NOT(ISBLANK($F67))), IF( _xll.IMDP("IR", $F67, BU$8, Matrix!$D$6)=0,"",_xll.IMDP("IR", $F67, BU$8, Matrix!$D$6)), "")</f>
        <v>5.6420000000000003</v>
      </c>
      <c r="BV67" cm="1">
        <f t="array" aca="1" ref="BV67" ca="1">IF( AND($F$7,NOT(ISBLANK($F67))), IF( _xll.IMDP("IR", $F67, BV$8, Matrix!$D$6)=0,"",_xll.IMDP("IR", $F67, BV$8, Matrix!$D$6)), "")</f>
        <v>5.8810000000000002</v>
      </c>
      <c r="BW67" t="str" cm="1">
        <f t="array" aca="1" ref="BW67" ca="1">IF( AND($F$7,NOT(ISBLANK($F67))), IF( _xll.IMDP("IR", $F67, BW$8, Matrix!$D$6)=0,"",_xll.IMDP("IR", $F67, BW$8, Matrix!$D$6)), "")</f>
        <v/>
      </c>
      <c r="BX67" t="str" cm="1">
        <f t="array" aca="1" ref="BX67" ca="1">IF( AND($F$7,NOT(ISBLANK($F67))), IF( _xll.IMDP("IR", $F67, BX$8, Matrix!$D$6)=0,"",_xll.IMDP("IR", $F67, BX$8, Matrix!$D$6)), "")</f>
        <v/>
      </c>
      <c r="BY67" cm="1">
        <f t="array" aca="1" ref="BY67" ca="1">IF( AND($G$7,NOT(ISBLANK($G67))), IF( _xll.IMDP("IR", $G67, BY$8, Matrix!$D$6)=0, "", _xll.IMDP("IR", $G67, BY$8, Matrix!$D$6)), "")</f>
        <v>3.4860000000000002</v>
      </c>
      <c r="BZ67" cm="1">
        <f t="array" aca="1" ref="BZ67" ca="1">IF( AND($G$7,NOT(ISBLANK($G67))), IF( _xll.IMDP("IR", $G67, BZ$8, Matrix!$D$6)=0, "", _xll.IMDP("IR", $G67, BZ$8, Matrix!$D$6)), "")</f>
        <v>3.569</v>
      </c>
      <c r="CA67" cm="1">
        <f t="array" aca="1" ref="CA67" ca="1">IF( AND($G$7,NOT(ISBLANK($G67))), IF( _xll.IMDP("IR", $G67, CA$8, Matrix!$D$6)=0, "", _xll.IMDP("IR", $G67, CA$8, Matrix!$D$6)), "")</f>
        <v>3.577</v>
      </c>
      <c r="CB67" cm="1">
        <f t="array" aca="1" ref="CB67" ca="1">IF( AND($G$7,NOT(ISBLANK($G67))), IF( _xll.IMDP("IR", $G67, CB$8, Matrix!$D$6)=0, "", _xll.IMDP("IR", $G67, CB$8, Matrix!$D$6)), "")</f>
        <v>3.585</v>
      </c>
      <c r="CC67" cm="1">
        <f t="array" aca="1" ref="CC67" ca="1">IF( AND($G$7,NOT(ISBLANK($G67))), IF( _xll.IMDP("IR", $G67, CC$8, Matrix!$D$6)=0, "", _xll.IMDP("IR", $G67, CC$8, Matrix!$D$6)), "")</f>
        <v>3.649</v>
      </c>
      <c r="CD67" cm="1">
        <f t="array" aca="1" ref="CD67" ca="1">IF( AND($G$7,NOT(ISBLANK($G67))), IF( _xll.IMDP("IR", $G67, CD$8, Matrix!$D$6)=0, "", _xll.IMDP("IR", $G67, CD$8, Matrix!$D$6)), "")</f>
        <v>3.702</v>
      </c>
      <c r="CE67" cm="1">
        <f t="array" aca="1" ref="CE67" ca="1">IF( AND($G$7,NOT(ISBLANK($G67))), IF( _xll.IMDP("IR", $G67, CE$8, Matrix!$D$6)=0, "", _xll.IMDP("IR", $G67, CE$8, Matrix!$D$6)), "")</f>
        <v>3.7829999999999999</v>
      </c>
      <c r="CF67" cm="1">
        <f t="array" aca="1" ref="CF67" ca="1">IF( AND($G$7,NOT(ISBLANK($G67))), IF( _xll.IMDP("IR", $G67, CF$8, Matrix!$D$6)=0, "", _xll.IMDP("IR", $G67, CF$8, Matrix!$D$6)), "")</f>
        <v>3.839</v>
      </c>
      <c r="CG67" cm="1">
        <f t="array" aca="1" ref="CG67" ca="1">IF( AND($G$7,NOT(ISBLANK($G67))), IF( _xll.IMDP("IR", $G67, CG$8, Matrix!$D$6)=0, "", _xll.IMDP("IR", $G67, CG$8, Matrix!$D$6)), "")</f>
        <v>4.0529999999999999</v>
      </c>
      <c r="CH67" cm="1">
        <f t="array" aca="1" ref="CH67" ca="1">IF( AND($G$7,NOT(ISBLANK($G67))), IF( _xll.IMDP("IR", $G67, CH$8, Matrix!$D$6)=0, "", _xll.IMDP("IR", $G67, CH$8, Matrix!$D$6)), "")</f>
        <v>4.3250000000000002</v>
      </c>
      <c r="CI67" cm="1">
        <f t="array" aca="1" ref="CI67" ca="1">IF( AND($G$7,NOT(ISBLANK($G67))), IF( _xll.IMDP("IR", $G67, CI$8, Matrix!$D$6)=0, "", _xll.IMDP("IR", $G67, CI$8, Matrix!$D$6)), "")</f>
        <v>4.4969999999999999</v>
      </c>
      <c r="CJ67" cm="1">
        <f t="array" aca="1" ref="CJ67" ca="1">IF( AND($G$7,NOT(ISBLANK($G67))), IF( _xll.IMDP("IR", $G67, CJ$8, Matrix!$D$6)=0, "", _xll.IMDP("IR", $G67, CJ$8, Matrix!$D$6)), "")</f>
        <v>5.1340000000000003</v>
      </c>
      <c r="CK67" cm="1">
        <f t="array" aca="1" ref="CK67" ca="1">IF( AND($G$7,NOT(ISBLANK($G67))), IF( _xll.IMDP("IR", $G67, CK$8, Matrix!$D$6)=0, "", _xll.IMDP("IR", $G67, CK$8, Matrix!$D$6)), "")</f>
        <v>5.6150000000000002</v>
      </c>
      <c r="CL67" cm="1">
        <f t="array" aca="1" ref="CL67" ca="1">IF( AND($G$7,NOT(ISBLANK($G67))), IF( _xll.IMDP("IR", $G67, CL$8, Matrix!$D$6)=0, "", _xll.IMDP("IR", $G67, CL$8, Matrix!$D$6)), "")</f>
        <v>5.8479999999999999</v>
      </c>
      <c r="CM67" t="str" cm="1">
        <f t="array" aca="1" ref="CM67" ca="1">IF( AND($G$7,NOT(ISBLANK($G67))), IF( _xll.IMDP("IR", $G67, CM$8, Matrix!$D$6)=0, "", _xll.IMDP("IR", $G67, CM$8, Matrix!$D$6)), "")</f>
        <v/>
      </c>
      <c r="CN67" t="str" cm="1">
        <f t="array" aca="1" ref="CN67" ca="1">IF( AND($G$7,NOT(ISBLANK($G67))), IF( _xll.IMDP("IR", $G67, CN$8, Matrix!$D$6)=0, "", _xll.IMDP("IR", $G67, CN$8, Matrix!$D$6)), "")</f>
        <v/>
      </c>
      <c r="CO67" cm="1">
        <f t="array" aca="1" ref="CO67" ca="1">IF( AND($H$7,NOT(ISBLANK($H67))), IF( _xll.IMDP("IR", $H67, CO$8, Matrix!$D$6)=0, "", _xll.IMDP("IR", $H67, CO$8, Matrix!$D$6)), "")</f>
        <v>3.492</v>
      </c>
      <c r="CP67" cm="1">
        <f t="array" aca="1" ref="CP67" ca="1">IF( AND($H$7,NOT(ISBLANK($H67))), IF( _xll.IMDP("IR", $H67, CP$8, Matrix!$D$6)=0, "", _xll.IMDP("IR", $H67, CP$8, Matrix!$D$6)), "")</f>
        <v>3.5609999999999999</v>
      </c>
      <c r="CQ67" cm="1">
        <f t="array" aca="1" ref="CQ67" ca="1">IF( AND($H$7,NOT(ISBLANK($H67))), IF( _xll.IMDP("IR", $H67, CQ$8, Matrix!$D$6)=0, "", _xll.IMDP("IR", $H67, CQ$8, Matrix!$D$6)), "")</f>
        <v>3.5710000000000002</v>
      </c>
      <c r="CR67" cm="1">
        <f t="array" aca="1" ref="CR67" ca="1">IF( AND($H$7,NOT(ISBLANK($H67))), IF( _xll.IMDP("IR", $H67, CR$8, Matrix!$D$6)=0, "", _xll.IMDP("IR", $H67, CR$8, Matrix!$D$6)), "")</f>
        <v>3.5840000000000001</v>
      </c>
      <c r="CS67" cm="1">
        <f t="array" aca="1" ref="CS67" ca="1">IF( AND($H$7,NOT(ISBLANK($H67))), IF( _xll.IMDP("IR", $H67, CS$8, Matrix!$D$6)=0, "", _xll.IMDP("IR", $H67, CS$8, Matrix!$D$6)), "")</f>
        <v>3.6560000000000001</v>
      </c>
      <c r="CT67" cm="1">
        <f t="array" aca="1" ref="CT67" ca="1">IF( AND($H$7,NOT(ISBLANK($H67))), IF( _xll.IMDP("IR", $H67, CT$8, Matrix!$D$6)=0, "", _xll.IMDP("IR", $H67, CT$8, Matrix!$D$6)), "")</f>
        <v>3.6970000000000001</v>
      </c>
      <c r="CU67" cm="1">
        <f t="array" aca="1" ref="CU67" ca="1">IF( AND($H$7,NOT(ISBLANK($H67))), IF( _xll.IMDP("IR", $H67, CU$8, Matrix!$D$6)=0, "", _xll.IMDP("IR", $H67, CU$8, Matrix!$D$6)), "")</f>
        <v>3.7709999999999999</v>
      </c>
      <c r="CV67" cm="1">
        <f t="array" aca="1" ref="CV67" ca="1">IF( AND($H$7,NOT(ISBLANK($H67))), IF( _xll.IMDP("IR", $H67, CV$8, Matrix!$D$6)=0, "", _xll.IMDP("IR", $H67, CV$8, Matrix!$D$6)), "")</f>
        <v>3.8210000000000002</v>
      </c>
      <c r="CW67" cm="1">
        <f t="array" aca="1" ref="CW67" ca="1">IF( AND($H$7,NOT(ISBLANK($H67))), IF( _xll.IMDP("IR", $H67, CW$8, Matrix!$D$6)=0, "", _xll.IMDP("IR", $H67, CW$8, Matrix!$D$6)), "")</f>
        <v>4.069</v>
      </c>
      <c r="CX67" cm="1">
        <f t="array" aca="1" ref="CX67" ca="1">IF( AND($H$7,NOT(ISBLANK($H67))), IF( _xll.IMDP("IR", $H67, CX$8, Matrix!$D$6)=0, "", _xll.IMDP("IR", $H67, CX$8, Matrix!$D$6)), "")</f>
        <v>4.2969999999999997</v>
      </c>
      <c r="CY67" cm="1">
        <f t="array" aca="1" ref="CY67" ca="1">IF( AND($H$7,NOT(ISBLANK($H67))), IF( _xll.IMDP("IR", $H67, CY$8, Matrix!$D$6)=0, "", _xll.IMDP("IR", $H67, CY$8, Matrix!$D$6)), "")</f>
        <v>4.4980000000000002</v>
      </c>
      <c r="CZ67" cm="1">
        <f t="array" aca="1" ref="CZ67" ca="1">IF( AND($H$7,NOT(ISBLANK($H67))), IF( _xll.IMDP("IR", $H67, CZ$8, Matrix!$D$6)=0, "", _xll.IMDP("IR", $H67, CZ$8, Matrix!$D$6)), "")</f>
        <v>5.1520000000000001</v>
      </c>
      <c r="DA67" t="str" cm="1">
        <f t="array" aca="1" ref="DA67" ca="1">IF( AND($H$7,NOT(ISBLANK($H67))), IF( _xll.IMDP("IR", $H67, DA$8, Matrix!$D$6)=0, "", _xll.IMDP("IR", $H67, DA$8, Matrix!$D$6)), "")</f>
        <v/>
      </c>
      <c r="DB67" t="str" cm="1">
        <f t="array" aca="1" ref="DB67" ca="1">IF( AND($H$7,NOT(ISBLANK($H67))), IF( _xll.IMDP("IR", $H67, DB$8, Matrix!$D$6)=0, "", _xll.IMDP("IR", $H67, DB$8, Matrix!$D$6)), "")</f>
        <v/>
      </c>
      <c r="DC67" t="str" cm="1">
        <f t="array" aca="1" ref="DC67" ca="1">IF( AND($H$7,NOT(ISBLANK($H67))), IF( _xll.IMDP("IR", $H67, DC$8, Matrix!$D$6)=0, "", _xll.IMDP("IR", $H67, DC$8, Matrix!$D$6)), "")</f>
        <v/>
      </c>
      <c r="DD67" t="str" cm="1">
        <f t="array" aca="1" ref="DD67" ca="1">IF( AND($H$7,NOT(ISBLANK($H67))), IF( _xll.IMDP("IR", $H67, DD$8, Matrix!$D$6)=0, "", _xll.IMDP("IR", $H67, DD$8, Matrix!$D$6)), "")</f>
        <v/>
      </c>
    </row>
    <row r="68" spans="2:108">
      <c r="B68" t="s">
        <v>136</v>
      </c>
      <c r="C68" t="s">
        <v>210</v>
      </c>
      <c r="D68" t="s">
        <v>275</v>
      </c>
      <c r="E68" t="s">
        <v>336</v>
      </c>
      <c r="F68" t="s">
        <v>406</v>
      </c>
      <c r="G68" t="s">
        <v>469</v>
      </c>
      <c r="H68" t="s">
        <v>516</v>
      </c>
      <c r="M68" s="21">
        <f t="shared" ca="1" si="1"/>
        <v>3.6395931040358342</v>
      </c>
      <c r="N68" s="21">
        <f t="shared" ca="1" si="2"/>
        <v>3.7173593506815608</v>
      </c>
      <c r="O68" s="21">
        <f t="shared" ca="1" si="3"/>
        <v>3.7363624320972302</v>
      </c>
      <c r="P68" s="21">
        <f t="shared" ca="1" si="4"/>
        <v>3.7605884385834596</v>
      </c>
      <c r="Q68" s="21">
        <f t="shared" ca="1" si="5"/>
        <v>3.8299916000174568</v>
      </c>
      <c r="R68" s="21">
        <f t="shared" ca="1" si="6"/>
        <v>3.8719926042414272</v>
      </c>
      <c r="S68" s="21">
        <f t="shared" ca="1" si="7"/>
        <v>3.9619836220799267</v>
      </c>
      <c r="T68" s="21">
        <f t="shared" ca="1" si="8"/>
        <v>4.0831660375310097</v>
      </c>
      <c r="U68" s="21">
        <f t="shared" ca="1" si="9"/>
        <v>4.4161917841488449</v>
      </c>
      <c r="V68" s="21">
        <f t="shared" ca="1" si="10"/>
        <v>4.7153530127918755</v>
      </c>
      <c r="W68" s="21">
        <f t="shared" ca="1" si="11"/>
        <v>4.9321653489877715</v>
      </c>
      <c r="X68" s="21">
        <f t="shared" ca="1" si="12"/>
        <v>5.6061881410383654</v>
      </c>
      <c r="Y68" s="21">
        <f t="shared" ca="1" si="13"/>
        <v>6.0067338986053302</v>
      </c>
      <c r="Z68" s="21">
        <f t="shared" ca="1" si="14"/>
        <v>6.2959637059082967</v>
      </c>
      <c r="AA68" s="21" t="e">
        <f t="shared" ca="1" si="15"/>
        <v>#NUM!</v>
      </c>
      <c r="AB68" s="21" t="e">
        <f t="shared" ca="1" si="16"/>
        <v>#NUM!</v>
      </c>
      <c r="AC68" cm="1">
        <f t="array" aca="1" ref="AC68" ca="1">IF( AND($D$7,NOT(ISBLANK($D68))), IF(_xll.IMDP("IR", $D68, AC$8, Matrix!$D$6)=0,"",_xll.IMDP("IR", $D68, AC$8, Matrix!$D$6)), "")</f>
        <v>3.6349999999999998</v>
      </c>
      <c r="AD68" cm="1">
        <f t="array" aca="1" ref="AD68" ca="1">IF( AND($D$7,NOT(ISBLANK($D68))), IF(_xll.IMDP("IR", $D68, AD$8, Matrix!$D$6)=0,"",_xll.IMDP("IR", $D68, AD$8, Matrix!$D$6)), "")</f>
        <v>3.7280000000000002</v>
      </c>
      <c r="AE68" cm="1">
        <f t="array" aca="1" ref="AE68" ca="1">IF( AND($D$7,NOT(ISBLANK($D68))), IF(_xll.IMDP("IR", $D68, AE$8, Matrix!$D$6)=0,"",_xll.IMDP("IR", $D68, AE$8, Matrix!$D$6)), "")</f>
        <v>3.7589999999999999</v>
      </c>
      <c r="AF68" cm="1">
        <f t="array" aca="1" ref="AF68" ca="1">IF( AND($D$7,NOT(ISBLANK($D68))), IF(_xll.IMDP("IR", $D68, AF$8, Matrix!$D$6)=0,"",_xll.IMDP("IR", $D68, AF$8, Matrix!$D$6)), "")</f>
        <v>3.7770000000000001</v>
      </c>
      <c r="AG68" cm="1">
        <f t="array" aca="1" ref="AG68" ca="1">IF( AND($D$7,NOT(ISBLANK($D68))), IF(_xll.IMDP("IR", $D68, AG$8, Matrix!$D$6)=0,"",_xll.IMDP("IR", $D68, AG$8, Matrix!$D$6)), "")</f>
        <v>3.831</v>
      </c>
      <c r="AH68" cm="1">
        <f t="array" aca="1" ref="AH68" ca="1">IF( AND($D$7,NOT(ISBLANK($D68))), IF(_xll.IMDP("IR", $D68, AH$8, Matrix!$D$6)=0,"",_xll.IMDP("IR", $D68, AH$8, Matrix!$D$6)), "")</f>
        <v>3.8580000000000001</v>
      </c>
      <c r="AI68" cm="1">
        <f t="array" aca="1" ref="AI68" ca="1">IF( AND($D$7,NOT(ISBLANK($D68))), IF(_xll.IMDP("IR", $D68, AI$8, Matrix!$D$6)=0,"",_xll.IMDP("IR", $D68, AI$8, Matrix!$D$6)), "")</f>
        <v>3.9740000000000002</v>
      </c>
      <c r="AJ68" cm="1">
        <f t="array" aca="1" ref="AJ68" ca="1">IF( AND($D$7,NOT(ISBLANK($D68))), IF(_xll.IMDP("IR", $D68, AJ$8, Matrix!$D$6)=0,"",_xll.IMDP("IR", $D68, AJ$8, Matrix!$D$6)), "")</f>
        <v>4.0949999999999998</v>
      </c>
      <c r="AK68" cm="1">
        <f t="array" aca="1" ref="AK68" ca="1">IF( AND($D$7,NOT(ISBLANK($D68))), IF(_xll.IMDP("IR", $D68, AK$8, Matrix!$D$6)=0,"",_xll.IMDP("IR", $D68, AK$8, Matrix!$D$6)), "")</f>
        <v>4.4290000000000003</v>
      </c>
      <c r="AL68" cm="1">
        <f t="array" aca="1" ref="AL68" ca="1">IF( AND($D$7,NOT(ISBLANK($D68))), IF(_xll.IMDP("IR", $D68, AL$8, Matrix!$D$6)=0,"",_xll.IMDP("IR", $D68, AL$8, Matrix!$D$6)), "")</f>
        <v>4.681</v>
      </c>
      <c r="AM68" cm="1">
        <f t="array" aca="1" ref="AM68" ca="1">IF( AND($D$7,NOT(ISBLANK($D68))), IF(_xll.IMDP("IR", $D68, AM$8, Matrix!$D$6)=0,"",_xll.IMDP("IR", $D68, AM$8, Matrix!$D$6)), "")</f>
        <v>4.8979999999999997</v>
      </c>
      <c r="AN68" cm="1">
        <f t="array" aca="1" ref="AN68" ca="1">IF( AND($D$7,NOT(ISBLANK($D68))), IF(_xll.IMDP("IR", $D68, AN$8, Matrix!$D$6)=0,"",_xll.IMDP("IR", $D68, AN$8, Matrix!$D$6)), "")</f>
        <v>5.5960000000000001</v>
      </c>
      <c r="AO68" cm="1">
        <f t="array" aca="1" ref="AO68" ca="1">IF( AND($D$7,NOT(ISBLANK($D68))), IF(_xll.IMDP("IR", $D68, AO$8, Matrix!$D$6)=0,"",_xll.IMDP("IR", $D68, AO$8, Matrix!$D$6)), "")</f>
        <v>5.984</v>
      </c>
      <c r="AP68" cm="1">
        <f t="array" aca="1" ref="AP68" ca="1">IF( AND($D$7,NOT(ISBLANK($D68))), IF(_xll.IMDP("IR", $D68, AP$8, Matrix!$D$6)=0,"",_xll.IMDP("IR", $D68, AP$8, Matrix!$D$6)), "")</f>
        <v>6.3879999999999999</v>
      </c>
      <c r="AQ68" t="str" cm="1">
        <f t="array" aca="1" ref="AQ68" ca="1">IF( AND($D$7,NOT(ISBLANK($D68))), IF(_xll.IMDP("IR", $D68, AQ$8, Matrix!$D$6)=0,"",_xll.IMDP("IR", $D68, AQ$8, Matrix!$D$6)), "")</f>
        <v/>
      </c>
      <c r="AR68" t="str" cm="1">
        <f t="array" aca="1" ref="AR68" ca="1">IF( AND($D$7,NOT(ISBLANK($D68))), IF(_xll.IMDP("IR", $D68, AR$8, Matrix!$D$6)=0,"",_xll.IMDP("IR", $D68, AR$8, Matrix!$D$6)), "")</f>
        <v/>
      </c>
      <c r="AS68" cm="1">
        <f t="array" aca="1" ref="AS68" ca="1">IF( AND($E$7,NOT(ISBLANK($E68))), IF( _xll.IMDP("IR", $E68, AS$8, Matrix!$D$6)=0,"",_xll.IMDP("IR", $E68, AS$8, Matrix!$D$6)), "")</f>
        <v>3.641</v>
      </c>
      <c r="AT68" cm="1">
        <f t="array" aca="1" ref="AT68" ca="1">IF( AND($E$7,NOT(ISBLANK($E68))), IF( _xll.IMDP("IR", $E68, AT$8, Matrix!$D$6)=0,"",_xll.IMDP("IR", $E68, AT$8, Matrix!$D$6)), "")</f>
        <v>3.7269999999999999</v>
      </c>
      <c r="AU68" cm="1">
        <f t="array" aca="1" ref="AU68" ca="1">IF( AND($E$7,NOT(ISBLANK($E68))), IF( _xll.IMDP("IR", $E68, AU$8, Matrix!$D$6)=0,"",_xll.IMDP("IR", $E68, AU$8, Matrix!$D$6)), "")</f>
        <v>3.74</v>
      </c>
      <c r="AV68" cm="1">
        <f t="array" aca="1" ref="AV68" ca="1">IF( AND($E$7,NOT(ISBLANK($E68))), IF( _xll.IMDP("IR", $E68, AV$8, Matrix!$D$6)=0,"",_xll.IMDP("IR", $E68, AV$8, Matrix!$D$6)), "")</f>
        <v>3.7480000000000002</v>
      </c>
      <c r="AW68" cm="1">
        <f t="array" aca="1" ref="AW68" ca="1">IF( AND($E$7,NOT(ISBLANK($E68))), IF( _xll.IMDP("IR", $E68, AW$8, Matrix!$D$6)=0,"",_xll.IMDP("IR", $E68, AW$8, Matrix!$D$6)), "")</f>
        <v>3.82</v>
      </c>
      <c r="AX68" cm="1">
        <f t="array" aca="1" ref="AX68" ca="1">IF( AND($E$7,NOT(ISBLANK($E68))), IF( _xll.IMDP("IR", $E68, AX$8, Matrix!$D$6)=0,"",_xll.IMDP("IR", $E68, AX$8, Matrix!$D$6)), "")</f>
        <v>3.8730000000000002</v>
      </c>
      <c r="AY68" cm="1">
        <f t="array" aca="1" ref="AY68" ca="1">IF( AND($E$7,NOT(ISBLANK($E68))), IF( _xll.IMDP("IR", $E68, AY$8, Matrix!$D$6)=0,"",_xll.IMDP("IR", $E68, AY$8, Matrix!$D$6)), "")</f>
        <v>3.96</v>
      </c>
      <c r="AZ68" cm="1">
        <f t="array" aca="1" ref="AZ68" ca="1">IF( AND($E$7,NOT(ISBLANK($E68))), IF( _xll.IMDP("IR", $E68, AZ$8, Matrix!$D$6)=0,"",_xll.IMDP("IR", $E68, AZ$8, Matrix!$D$6)), "")</f>
        <v>4.0789999999999997</v>
      </c>
      <c r="BA68" cm="1">
        <f t="array" aca="1" ref="BA68" ca="1">IF( AND($E$7,NOT(ISBLANK($E68))), IF( _xll.IMDP("IR", $E68, BA$8, Matrix!$D$6)=0,"",_xll.IMDP("IR", $E68, BA$8, Matrix!$D$6)), "")</f>
        <v>4.4029999999999996</v>
      </c>
      <c r="BB68" cm="1">
        <f t="array" aca="1" ref="BB68" ca="1">IF( AND($E$7,NOT(ISBLANK($E68))), IF( _xll.IMDP("IR", $E68, BB$8, Matrix!$D$6)=0,"",_xll.IMDP("IR", $E68, BB$8, Matrix!$D$6)), "")</f>
        <v>4.7300000000000004</v>
      </c>
      <c r="BC68" cm="1">
        <f t="array" aca="1" ref="BC68" ca="1">IF( AND($E$7,NOT(ISBLANK($E68))), IF( _xll.IMDP("IR", $E68, BC$8, Matrix!$D$6)=0,"",_xll.IMDP("IR", $E68, BC$8, Matrix!$D$6)), "")</f>
        <v>4.9480000000000004</v>
      </c>
      <c r="BD68" cm="1">
        <f t="array" aca="1" ref="BD68" ca="1">IF( AND($E$7,NOT(ISBLANK($E68))), IF( _xll.IMDP("IR", $E68, BD$8, Matrix!$D$6)=0,"",_xll.IMDP("IR", $E68, BD$8, Matrix!$D$6)), "")</f>
        <v>5.62</v>
      </c>
      <c r="BE68" cm="1">
        <f t="array" aca="1" ref="BE68" ca="1">IF( AND($E$7,NOT(ISBLANK($E68))), IF( _xll.IMDP("IR", $E68, BE$8, Matrix!$D$6)=0,"",_xll.IMDP("IR", $E68, BE$8, Matrix!$D$6)), "")</f>
        <v>6.0170000000000003</v>
      </c>
      <c r="BF68" cm="1">
        <f t="array" aca="1" ref="BF68" ca="1">IF( AND($E$7,NOT(ISBLANK($E68))), IF( _xll.IMDP("IR", $E68, BF$8, Matrix!$D$6)=0,"",_xll.IMDP("IR", $E68, BF$8, Matrix!$D$6)), "")</f>
        <v>6.3120000000000003</v>
      </c>
      <c r="BG68" t="str" cm="1">
        <f t="array" aca="1" ref="BG68" ca="1">IF( AND($E$7,NOT(ISBLANK($E68))), IF( _xll.IMDP("IR", $E68, BG$8, Matrix!$D$6)=0,"",_xll.IMDP("IR", $E68, BG$8, Matrix!$D$6)), "")</f>
        <v/>
      </c>
      <c r="BH68" t="str" cm="1">
        <f t="array" aca="1" ref="BH68" ca="1">IF( AND($E$7,NOT(ISBLANK($E68))), IF( _xll.IMDP("IR", $E68, BH$8, Matrix!$D$6)=0,"",_xll.IMDP("IR", $E68, BH$8, Matrix!$D$6)), "")</f>
        <v/>
      </c>
      <c r="BI68" cm="1">
        <f t="array" aca="1" ref="BI68" ca="1">IF( AND($F$7,NOT(ISBLANK($F68))), IF( _xll.IMDP("IR", $F68, BI$8, Matrix!$D$6)=0,"",_xll.IMDP("IR", $F68, BI$8, Matrix!$D$6)), "")</f>
        <v>3.6309999999999998</v>
      </c>
      <c r="BJ68" cm="1">
        <f t="array" aca="1" ref="BJ68" ca="1">IF( AND($F$7,NOT(ISBLANK($F68))), IF( _xll.IMDP("IR", $F68, BJ$8, Matrix!$D$6)=0,"",_xll.IMDP("IR", $F68, BJ$8, Matrix!$D$6)), "")</f>
        <v>3.6840000000000002</v>
      </c>
      <c r="BK68" cm="1">
        <f t="array" aca="1" ref="BK68" ca="1">IF( AND($F$7,NOT(ISBLANK($F68))), IF( _xll.IMDP("IR", $F68, BK$8, Matrix!$D$6)=0,"",_xll.IMDP("IR", $F68, BK$8, Matrix!$D$6)), "")</f>
        <v>3.7069999999999999</v>
      </c>
      <c r="BL68" cm="1">
        <f t="array" aca="1" ref="BL68" ca="1">IF( AND($F$7,NOT(ISBLANK($F68))), IF( _xll.IMDP("IR", $F68, BL$8, Matrix!$D$6)=0,"",_xll.IMDP("IR", $F68, BL$8, Matrix!$D$6)), "")</f>
        <v>3.76</v>
      </c>
      <c r="BM68" cm="1">
        <f t="array" aca="1" ref="BM68" ca="1">IF( AND($F$7,NOT(ISBLANK($F68))), IF( _xll.IMDP("IR", $F68, BM$8, Matrix!$D$6)=0,"",_xll.IMDP("IR", $F68, BM$8, Matrix!$D$6)), "")</f>
        <v>3.8439999999999999</v>
      </c>
      <c r="BN68" cm="1">
        <f t="array" aca="1" ref="BN68" ca="1">IF( AND($F$7,NOT(ISBLANK($F68))), IF( _xll.IMDP("IR", $F68, BN$8, Matrix!$D$6)=0,"",_xll.IMDP("IR", $F68, BN$8, Matrix!$D$6)), "")</f>
        <v>3.88</v>
      </c>
      <c r="BO68" cm="1">
        <f t="array" aca="1" ref="BO68" ca="1">IF( AND($F$7,NOT(ISBLANK($F68))), IF( _xll.IMDP("IR", $F68, BO$8, Matrix!$D$6)=0,"",_xll.IMDP("IR", $F68, BO$8, Matrix!$D$6)), "")</f>
        <v>3.9420000000000002</v>
      </c>
      <c r="BP68" cm="1">
        <f t="array" aca="1" ref="BP68" ca="1">IF( AND($F$7,NOT(ISBLANK($F68))), IF( _xll.IMDP("IR", $F68, BP$8, Matrix!$D$6)=0,"",_xll.IMDP("IR", $F68, BP$8, Matrix!$D$6)), "")</f>
        <v>4.0549999999999997</v>
      </c>
      <c r="BQ68" cm="1">
        <f t="array" aca="1" ref="BQ68" ca="1">IF( AND($F$7,NOT(ISBLANK($F68))), IF( _xll.IMDP("IR", $F68, BQ$8, Matrix!$D$6)=0,"",_xll.IMDP("IR", $F68, BQ$8, Matrix!$D$6)), "")</f>
        <v>4.4130000000000003</v>
      </c>
      <c r="BR68" cm="1">
        <f t="array" aca="1" ref="BR68" ca="1">IF( AND($F$7,NOT(ISBLANK($F68))), IF( _xll.IMDP("IR", $F68, BR$8, Matrix!$D$6)=0,"",_xll.IMDP("IR", $F68, BR$8, Matrix!$D$6)), "")</f>
        <v>4.7080000000000002</v>
      </c>
      <c r="BS68" cm="1">
        <f t="array" aca="1" ref="BS68" ca="1">IF( AND($F$7,NOT(ISBLANK($F68))), IF( _xll.IMDP("IR", $F68, BS$8, Matrix!$D$6)=0,"",_xll.IMDP("IR", $F68, BS$8, Matrix!$D$6)), "")</f>
        <v>4.9489999999999998</v>
      </c>
      <c r="BT68" cm="1">
        <f t="array" aca="1" ref="BT68" ca="1">IF( AND($F$7,NOT(ISBLANK($F68))), IF( _xll.IMDP("IR", $F68, BT$8, Matrix!$D$6)=0,"",_xll.IMDP("IR", $F68, BT$8, Matrix!$D$6)), "")</f>
        <v>5.6180000000000003</v>
      </c>
      <c r="BU68" cm="1">
        <f t="array" aca="1" ref="BU68" ca="1">IF( AND($F$7,NOT(ISBLANK($F68))), IF( _xll.IMDP("IR", $F68, BU$8, Matrix!$D$6)=0,"",_xll.IMDP("IR", $F68, BU$8, Matrix!$D$6)), "")</f>
        <v>6.0069999999999997</v>
      </c>
      <c r="BV68" cm="1">
        <f t="array" aca="1" ref="BV68" ca="1">IF( AND($F$7,NOT(ISBLANK($F68))), IF( _xll.IMDP("IR", $F68, BV$8, Matrix!$D$6)=0,"",_xll.IMDP("IR", $F68, BV$8, Matrix!$D$6)), "")</f>
        <v>6.2389999999999999</v>
      </c>
      <c r="BW68" t="str" cm="1">
        <f t="array" aca="1" ref="BW68" ca="1">IF( AND($F$7,NOT(ISBLANK($F68))), IF( _xll.IMDP("IR", $F68, BW$8, Matrix!$D$6)=0,"",_xll.IMDP("IR", $F68, BW$8, Matrix!$D$6)), "")</f>
        <v/>
      </c>
      <c r="BX68" t="str" cm="1">
        <f t="array" aca="1" ref="BX68" ca="1">IF( AND($F$7,NOT(ISBLANK($F68))), IF( _xll.IMDP("IR", $F68, BX$8, Matrix!$D$6)=0,"",_xll.IMDP("IR", $F68, BX$8, Matrix!$D$6)), "")</f>
        <v/>
      </c>
      <c r="BY68" cm="1">
        <f t="array" aca="1" ref="BY68" ca="1">IF( AND($G$7,NOT(ISBLANK($G68))), IF( _xll.IMDP("IR", $G68, BY$8, Matrix!$D$6)=0, "", _xll.IMDP("IR", $G68, BY$8, Matrix!$D$6)), "")</f>
        <v>3.6520000000000001</v>
      </c>
      <c r="BZ68" cm="1">
        <f t="array" aca="1" ref="BZ68" ca="1">IF( AND($G$7,NOT(ISBLANK($G68))), IF( _xll.IMDP("IR", $G68, BZ$8, Matrix!$D$6)=0, "", _xll.IMDP("IR", $G68, BZ$8, Matrix!$D$6)), "")</f>
        <v>3.7309999999999999</v>
      </c>
      <c r="CA68" cm="1">
        <f t="array" aca="1" ref="CA68" ca="1">IF( AND($G$7,NOT(ISBLANK($G68))), IF( _xll.IMDP("IR", $G68, CA$8, Matrix!$D$6)=0, "", _xll.IMDP("IR", $G68, CA$8, Matrix!$D$6)), "")</f>
        <v>3.74</v>
      </c>
      <c r="CB68" cm="1">
        <f t="array" aca="1" ref="CB68" ca="1">IF( AND($G$7,NOT(ISBLANK($G68))), IF( _xll.IMDP("IR", $G68, CB$8, Matrix!$D$6)=0, "", _xll.IMDP("IR", $G68, CB$8, Matrix!$D$6)), "")</f>
        <v>3.758</v>
      </c>
      <c r="CC68" cm="1">
        <f t="array" aca="1" ref="CC68" ca="1">IF( AND($G$7,NOT(ISBLANK($G68))), IF( _xll.IMDP("IR", $G68, CC$8, Matrix!$D$6)=0, "", _xll.IMDP("IR", $G68, CC$8, Matrix!$D$6)), "")</f>
        <v>3.8250000000000002</v>
      </c>
      <c r="CD68" cm="1">
        <f t="array" aca="1" ref="CD68" ca="1">IF( AND($G$7,NOT(ISBLANK($G68))), IF( _xll.IMDP("IR", $G68, CD$8, Matrix!$D$6)=0, "", _xll.IMDP("IR", $G68, CD$8, Matrix!$D$6)), "")</f>
        <v>3.8769999999999998</v>
      </c>
      <c r="CE68" cm="1">
        <f t="array" aca="1" ref="CE68" ca="1">IF( AND($G$7,NOT(ISBLANK($G68))), IF( _xll.IMDP("IR", $G68, CE$8, Matrix!$D$6)=0, "", _xll.IMDP("IR", $G68, CE$8, Matrix!$D$6)), "")</f>
        <v>3.972</v>
      </c>
      <c r="CF68" cm="1">
        <f t="array" aca="1" ref="CF68" ca="1">IF( AND($G$7,NOT(ISBLANK($G68))), IF( _xll.IMDP("IR", $G68, CF$8, Matrix!$D$6)=0, "", _xll.IMDP("IR", $G68, CF$8, Matrix!$D$6)), "")</f>
        <v>4.1040000000000001</v>
      </c>
      <c r="CG68" cm="1">
        <f t="array" aca="1" ref="CG68" ca="1">IF( AND($G$7,NOT(ISBLANK($G68))), IF( _xll.IMDP("IR", $G68, CG$8, Matrix!$D$6)=0, "", _xll.IMDP("IR", $G68, CG$8, Matrix!$D$6)), "")</f>
        <v>4.42</v>
      </c>
      <c r="CH68" cm="1">
        <f t="array" aca="1" ref="CH68" ca="1">IF( AND($G$7,NOT(ISBLANK($G68))), IF( _xll.IMDP("IR", $G68, CH$8, Matrix!$D$6)=0, "", _xll.IMDP("IR", $G68, CH$8, Matrix!$D$6)), "")</f>
        <v>4.7430000000000003</v>
      </c>
      <c r="CI68" cm="1">
        <f t="array" aca="1" ref="CI68" ca="1">IF( AND($G$7,NOT(ISBLANK($G68))), IF( _xll.IMDP("IR", $G68, CI$8, Matrix!$D$6)=0, "", _xll.IMDP("IR", $G68, CI$8, Matrix!$D$6)), "")</f>
        <v>4.9340000000000002</v>
      </c>
      <c r="CJ68" cm="1">
        <f t="array" aca="1" ref="CJ68" ca="1">IF( AND($G$7,NOT(ISBLANK($G68))), IF( _xll.IMDP("IR", $G68, CJ$8, Matrix!$D$6)=0, "", _xll.IMDP("IR", $G68, CJ$8, Matrix!$D$6)), "")</f>
        <v>5.5910000000000002</v>
      </c>
      <c r="CK68" cm="1">
        <f t="array" aca="1" ref="CK68" ca="1">IF( AND($G$7,NOT(ISBLANK($G68))), IF( _xll.IMDP("IR", $G68, CK$8, Matrix!$D$6)=0, "", _xll.IMDP("IR", $G68, CK$8, Matrix!$D$6)), "")</f>
        <v>6.0190000000000001</v>
      </c>
      <c r="CL68" cm="1">
        <f t="array" aca="1" ref="CL68" ca="1">IF( AND($G$7,NOT(ISBLANK($G68))), IF( _xll.IMDP("IR", $G68, CL$8, Matrix!$D$6)=0, "", _xll.IMDP("IR", $G68, CL$8, Matrix!$D$6)), "")</f>
        <v>6.2460000000000004</v>
      </c>
      <c r="CM68" t="str" cm="1">
        <f t="array" aca="1" ref="CM68" ca="1">IF( AND($G$7,NOT(ISBLANK($G68))), IF( _xll.IMDP("IR", $G68, CM$8, Matrix!$D$6)=0, "", _xll.IMDP("IR", $G68, CM$8, Matrix!$D$6)), "")</f>
        <v/>
      </c>
      <c r="CN68" t="str" cm="1">
        <f t="array" aca="1" ref="CN68" ca="1">IF( AND($G$7,NOT(ISBLANK($G68))), IF( _xll.IMDP("IR", $G68, CN$8, Matrix!$D$6)=0, "", _xll.IMDP("IR", $G68, CN$8, Matrix!$D$6)), "")</f>
        <v/>
      </c>
      <c r="CO68" cm="1">
        <f t="array" aca="1" ref="CO68" ca="1">IF( AND($H$7,NOT(ISBLANK($H68))), IF( _xll.IMDP("IR", $H68, CO$8, Matrix!$D$6)=0, "", _xll.IMDP("IR", $H68, CO$8, Matrix!$D$6)), "")</f>
        <v>3.6389999999999998</v>
      </c>
      <c r="CP68" cm="1">
        <f t="array" aca="1" ref="CP68" ca="1">IF( AND($H$7,NOT(ISBLANK($H68))), IF( _xll.IMDP("IR", $H68, CP$8, Matrix!$D$6)=0, "", _xll.IMDP("IR", $H68, CP$8, Matrix!$D$6)), "")</f>
        <v>3.7170000000000001</v>
      </c>
      <c r="CQ68" cm="1">
        <f t="array" aca="1" ref="CQ68" ca="1">IF( AND($H$7,NOT(ISBLANK($H68))), IF( _xll.IMDP("IR", $H68, CQ$8, Matrix!$D$6)=0, "", _xll.IMDP("IR", $H68, CQ$8, Matrix!$D$6)), "")</f>
        <v>3.7360000000000002</v>
      </c>
      <c r="CR68" cm="1">
        <f t="array" aca="1" ref="CR68" ca="1">IF( AND($H$7,NOT(ISBLANK($H68))), IF( _xll.IMDP("IR", $H68, CR$8, Matrix!$D$6)=0, "", _xll.IMDP("IR", $H68, CR$8, Matrix!$D$6)), "")</f>
        <v>3.76</v>
      </c>
      <c r="CS68" cm="1">
        <f t="array" aca="1" ref="CS68" ca="1">IF( AND($H$7,NOT(ISBLANK($H68))), IF( _xll.IMDP("IR", $H68, CS$8, Matrix!$D$6)=0, "", _xll.IMDP("IR", $H68, CS$8, Matrix!$D$6)), "")</f>
        <v>3.83</v>
      </c>
      <c r="CT68" cm="1">
        <f t="array" aca="1" ref="CT68" ca="1">IF( AND($H$7,NOT(ISBLANK($H68))), IF( _xll.IMDP("IR", $H68, CT$8, Matrix!$D$6)=0, "", _xll.IMDP("IR", $H68, CT$8, Matrix!$D$6)), "")</f>
        <v>3.8719999999999999</v>
      </c>
      <c r="CU68" cm="1">
        <f t="array" aca="1" ref="CU68" ca="1">IF( AND($H$7,NOT(ISBLANK($H68))), IF( _xll.IMDP("IR", $H68, CU$8, Matrix!$D$6)=0, "", _xll.IMDP("IR", $H68, CU$8, Matrix!$D$6)), "")</f>
        <v>3.9620000000000002</v>
      </c>
      <c r="CV68" cm="1">
        <f t="array" aca="1" ref="CV68" ca="1">IF( AND($H$7,NOT(ISBLANK($H68))), IF( _xll.IMDP("IR", $H68, CV$8, Matrix!$D$6)=0, "", _xll.IMDP("IR", $H68, CV$8, Matrix!$D$6)), "")</f>
        <v>4.0830000000000002</v>
      </c>
      <c r="CW68" cm="1">
        <f t="array" aca="1" ref="CW68" ca="1">IF( AND($H$7,NOT(ISBLANK($H68))), IF( _xll.IMDP("IR", $H68, CW$8, Matrix!$D$6)=0, "", _xll.IMDP("IR", $H68, CW$8, Matrix!$D$6)), "")</f>
        <v>4.4160000000000004</v>
      </c>
      <c r="CX68" cm="1">
        <f t="array" aca="1" ref="CX68" ca="1">IF( AND($H$7,NOT(ISBLANK($H68))), IF( _xll.IMDP("IR", $H68, CX$8, Matrix!$D$6)=0, "", _xll.IMDP("IR", $H68, CX$8, Matrix!$D$6)), "")</f>
        <v>4.7149999999999999</v>
      </c>
      <c r="CY68" cm="1">
        <f t="array" aca="1" ref="CY68" ca="1">IF( AND($H$7,NOT(ISBLANK($H68))), IF( _xll.IMDP("IR", $H68, CY$8, Matrix!$D$6)=0, "", _xll.IMDP("IR", $H68, CY$8, Matrix!$D$6)), "")</f>
        <v>4.9320000000000004</v>
      </c>
      <c r="CZ68" cm="1">
        <f t="array" aca="1" ref="CZ68" ca="1">IF( AND($H$7,NOT(ISBLANK($H68))), IF( _xll.IMDP("IR", $H68, CZ$8, Matrix!$D$6)=0, "", _xll.IMDP("IR", $H68, CZ$8, Matrix!$D$6)), "")</f>
        <v>5.6059999999999999</v>
      </c>
      <c r="DA68" t="str" cm="1">
        <f t="array" aca="1" ref="DA68" ca="1">IF( AND($H$7,NOT(ISBLANK($H68))), IF( _xll.IMDP("IR", $H68, DA$8, Matrix!$D$6)=0, "", _xll.IMDP("IR", $H68, DA$8, Matrix!$D$6)), "")</f>
        <v/>
      </c>
      <c r="DB68" t="str" cm="1">
        <f t="array" aca="1" ref="DB68" ca="1">IF( AND($H$7,NOT(ISBLANK($H68))), IF( _xll.IMDP("IR", $H68, DB$8, Matrix!$D$6)=0, "", _xll.IMDP("IR", $H68, DB$8, Matrix!$D$6)), "")</f>
        <v/>
      </c>
      <c r="DC68" t="str" cm="1">
        <f t="array" aca="1" ref="DC68" ca="1">IF( AND($H$7,NOT(ISBLANK($H68))), IF( _xll.IMDP("IR", $H68, DC$8, Matrix!$D$6)=0, "", _xll.IMDP("IR", $H68, DC$8, Matrix!$D$6)), "")</f>
        <v/>
      </c>
      <c r="DD68" t="str" cm="1">
        <f t="array" aca="1" ref="DD68" ca="1">IF( AND($H$7,NOT(ISBLANK($H68))), IF( _xll.IMDP("IR", $H68, DD$8, Matrix!$D$6)=0, "", _xll.IMDP("IR", $H68, DD$8, Matrix!$D$6)), "")</f>
        <v/>
      </c>
    </row>
    <row r="69" spans="2:108">
      <c r="B69" t="s">
        <v>137</v>
      </c>
      <c r="C69" t="s">
        <v>211</v>
      </c>
      <c r="D69" t="s">
        <v>276</v>
      </c>
      <c r="E69" t="s">
        <v>337</v>
      </c>
      <c r="F69" t="s">
        <v>407</v>
      </c>
      <c r="G69" t="s">
        <v>470</v>
      </c>
      <c r="H69" t="s">
        <v>517</v>
      </c>
      <c r="M69" s="21">
        <f t="shared" ca="1" si="1"/>
        <v>3.8643930258249646</v>
      </c>
      <c r="N69" s="21">
        <f t="shared" ca="1" si="2"/>
        <v>3.9575855020514616</v>
      </c>
      <c r="O69" s="21">
        <f t="shared" ca="1" si="3"/>
        <v>3.9993830261237724</v>
      </c>
      <c r="P69" s="21">
        <f t="shared" ca="1" si="4"/>
        <v>4.0263953983544907</v>
      </c>
      <c r="Q69" s="21">
        <f t="shared" ca="1" si="5"/>
        <v>4.1191768502753563</v>
      </c>
      <c r="R69" s="21">
        <f t="shared" ca="1" si="6"/>
        <v>4.1951678091677245</v>
      </c>
      <c r="S69" s="21">
        <f t="shared" ca="1" si="7"/>
        <v>4.3481869861855209</v>
      </c>
      <c r="T69" s="21">
        <f t="shared" ca="1" si="8"/>
        <v>4.5259965084099321</v>
      </c>
      <c r="U69" s="21">
        <f t="shared" ca="1" si="9"/>
        <v>4.922550020943449</v>
      </c>
      <c r="V69" s="21">
        <f t="shared" ca="1" si="10"/>
        <v>5.3099763596703458</v>
      </c>
      <c r="W69" s="21">
        <f t="shared" ca="1" si="11"/>
        <v>5.4718542442208413</v>
      </c>
      <c r="X69" s="21">
        <f t="shared" ca="1" si="12"/>
        <v>6.1199526653514766</v>
      </c>
      <c r="Y69" s="21">
        <f t="shared" ca="1" si="13"/>
        <v>6.5097150033995286</v>
      </c>
      <c r="Z69" s="21">
        <f t="shared" ca="1" si="14"/>
        <v>6.8672508557055885</v>
      </c>
      <c r="AA69" s="21" t="e">
        <f t="shared" ca="1" si="15"/>
        <v>#NUM!</v>
      </c>
      <c r="AB69" s="21" t="e">
        <f t="shared" ca="1" si="16"/>
        <v>#NUM!</v>
      </c>
      <c r="AC69" cm="1">
        <f t="array" aca="1" ref="AC69" ca="1">IF( AND($D$7,NOT(ISBLANK($D69))), IF(_xll.IMDP("IR", $D69, AC$8, Matrix!$D$6)=0,"",_xll.IMDP("IR", $D69, AC$8, Matrix!$D$6)), "")</f>
        <v>3.8650000000000002</v>
      </c>
      <c r="AD69" cm="1">
        <f t="array" aca="1" ref="AD69" ca="1">IF( AND($D$7,NOT(ISBLANK($D69))), IF(_xll.IMDP("IR", $D69, AD$8, Matrix!$D$6)=0,"",_xll.IMDP("IR", $D69, AD$8, Matrix!$D$6)), "")</f>
        <v>3.9580000000000002</v>
      </c>
      <c r="AE69" cm="1">
        <f t="array" aca="1" ref="AE69" ca="1">IF( AND($D$7,NOT(ISBLANK($D69))), IF(_xll.IMDP("IR", $D69, AE$8, Matrix!$D$6)=0,"",_xll.IMDP("IR", $D69, AE$8, Matrix!$D$6)), "")</f>
        <v>4.0060000000000002</v>
      </c>
      <c r="AF69" cm="1">
        <f t="array" aca="1" ref="AF69" ca="1">IF( AND($D$7,NOT(ISBLANK($D69))), IF(_xll.IMDP("IR", $D69, AF$8, Matrix!$D$6)=0,"",_xll.IMDP("IR", $D69, AF$8, Matrix!$D$6)), "")</f>
        <v>4.0350000000000001</v>
      </c>
      <c r="AG69" cm="1">
        <f t="array" aca="1" ref="AG69" ca="1">IF( AND($D$7,NOT(ISBLANK($D69))), IF(_xll.IMDP("IR", $D69, AG$8, Matrix!$D$6)=0,"",_xll.IMDP("IR", $D69, AG$8, Matrix!$D$6)), "")</f>
        <v>4.1130000000000004</v>
      </c>
      <c r="AH69" cm="1">
        <f t="array" aca="1" ref="AH69" ca="1">IF( AND($D$7,NOT(ISBLANK($D69))), IF(_xll.IMDP("IR", $D69, AH$8, Matrix!$D$6)=0,"",_xll.IMDP("IR", $D69, AH$8, Matrix!$D$6)), "")</f>
        <v>4.1669999999999998</v>
      </c>
      <c r="AI69" cm="1">
        <f t="array" aca="1" ref="AI69" ca="1">IF( AND($D$7,NOT(ISBLANK($D69))), IF(_xll.IMDP("IR", $D69, AI$8, Matrix!$D$6)=0,"",_xll.IMDP("IR", $D69, AI$8, Matrix!$D$6)), "")</f>
        <v>4.3520000000000003</v>
      </c>
      <c r="AJ69" cm="1">
        <f t="array" aca="1" ref="AJ69" ca="1">IF( AND($D$7,NOT(ISBLANK($D69))), IF(_xll.IMDP("IR", $D69, AJ$8, Matrix!$D$6)=0,"",_xll.IMDP("IR", $D69, AJ$8, Matrix!$D$6)), "")</f>
        <v>4.5289999999999999</v>
      </c>
      <c r="AK69" cm="1">
        <f t="array" aca="1" ref="AK69" ca="1">IF( AND($D$7,NOT(ISBLANK($D69))), IF(_xll.IMDP("IR", $D69, AK$8, Matrix!$D$6)=0,"",_xll.IMDP("IR", $D69, AK$8, Matrix!$D$6)), "")</f>
        <v>4.8869999999999996</v>
      </c>
      <c r="AL69" cm="1">
        <f t="array" aca="1" ref="AL69" ca="1">IF( AND($D$7,NOT(ISBLANK($D69))), IF(_xll.IMDP("IR", $D69, AL$8, Matrix!$D$6)=0,"",_xll.IMDP("IR", $D69, AL$8, Matrix!$D$6)), "")</f>
        <v>5.218</v>
      </c>
      <c r="AM69" cm="1">
        <f t="array" aca="1" ref="AM69" ca="1">IF( AND($D$7,NOT(ISBLANK($D69))), IF(_xll.IMDP("IR", $D69, AM$8, Matrix!$D$6)=0,"",_xll.IMDP("IR", $D69, AM$8, Matrix!$D$6)), "")</f>
        <v>5.3970000000000002</v>
      </c>
      <c r="AN69" cm="1">
        <f t="array" aca="1" ref="AN69" ca="1">IF( AND($D$7,NOT(ISBLANK($D69))), IF(_xll.IMDP("IR", $D69, AN$8, Matrix!$D$6)=0,"",_xll.IMDP("IR", $D69, AN$8, Matrix!$D$6)), "")</f>
        <v>6.08</v>
      </c>
      <c r="AO69" cm="1">
        <f t="array" aca="1" ref="AO69" ca="1">IF( AND($D$7,NOT(ISBLANK($D69))), IF(_xll.IMDP("IR", $D69, AO$8, Matrix!$D$6)=0,"",_xll.IMDP("IR", $D69, AO$8, Matrix!$D$6)), "")</f>
        <v>6.4740000000000002</v>
      </c>
      <c r="AP69" cm="1">
        <f t="array" aca="1" ref="AP69" ca="1">IF( AND($D$7,NOT(ISBLANK($D69))), IF(_xll.IMDP("IR", $D69, AP$8, Matrix!$D$6)=0,"",_xll.IMDP("IR", $D69, AP$8, Matrix!$D$6)), "")</f>
        <v>7.0049999999999999</v>
      </c>
      <c r="AQ69" t="str" cm="1">
        <f t="array" aca="1" ref="AQ69" ca="1">IF( AND($D$7,NOT(ISBLANK($D69))), IF(_xll.IMDP("IR", $D69, AQ$8, Matrix!$D$6)=0,"",_xll.IMDP("IR", $D69, AQ$8, Matrix!$D$6)), "")</f>
        <v/>
      </c>
      <c r="AR69" t="str" cm="1">
        <f t="array" aca="1" ref="AR69" ca="1">IF( AND($D$7,NOT(ISBLANK($D69))), IF(_xll.IMDP("IR", $D69, AR$8, Matrix!$D$6)=0,"",_xll.IMDP("IR", $D69, AR$8, Matrix!$D$6)), "")</f>
        <v/>
      </c>
      <c r="AS69" cm="1">
        <f t="array" aca="1" ref="AS69" ca="1">IF( AND($E$7,NOT(ISBLANK($E69))), IF( _xll.IMDP("IR", $E69, AS$8, Matrix!$D$6)=0,"",_xll.IMDP("IR", $E69, AS$8, Matrix!$D$6)), "")</f>
        <v>3.87</v>
      </c>
      <c r="AT69" cm="1">
        <f t="array" aca="1" ref="AT69" ca="1">IF( AND($E$7,NOT(ISBLANK($E69))), IF( _xll.IMDP("IR", $E69, AT$8, Matrix!$D$6)=0,"",_xll.IMDP("IR", $E69, AT$8, Matrix!$D$6)), "")</f>
        <v>3.972</v>
      </c>
      <c r="AU69" cm="1">
        <f t="array" aca="1" ref="AU69" ca="1">IF( AND($E$7,NOT(ISBLANK($E69))), IF( _xll.IMDP("IR", $E69, AU$8, Matrix!$D$6)=0,"",_xll.IMDP("IR", $E69, AU$8, Matrix!$D$6)), "")</f>
        <v>4.008</v>
      </c>
      <c r="AV69" cm="1">
        <f t="array" aca="1" ref="AV69" ca="1">IF( AND($E$7,NOT(ISBLANK($E69))), IF( _xll.IMDP("IR", $E69, AV$8, Matrix!$D$6)=0,"",_xll.IMDP("IR", $E69, AV$8, Matrix!$D$6)), "")</f>
        <v>4.016</v>
      </c>
      <c r="AW69" cm="1">
        <f t="array" aca="1" ref="AW69" ca="1">IF( AND($E$7,NOT(ISBLANK($E69))), IF( _xll.IMDP("IR", $E69, AW$8, Matrix!$D$6)=0,"",_xll.IMDP("IR", $E69, AW$8, Matrix!$D$6)), "")</f>
        <v>4.1310000000000002</v>
      </c>
      <c r="AX69" cm="1">
        <f t="array" aca="1" ref="AX69" ca="1">IF( AND($E$7,NOT(ISBLANK($E69))), IF( _xll.IMDP("IR", $E69, AX$8, Matrix!$D$6)=0,"",_xll.IMDP("IR", $E69, AX$8, Matrix!$D$6)), "")</f>
        <v>4.218</v>
      </c>
      <c r="AY69" cm="1">
        <f t="array" aca="1" ref="AY69" ca="1">IF( AND($E$7,NOT(ISBLANK($E69))), IF( _xll.IMDP("IR", $E69, AY$8, Matrix!$D$6)=0,"",_xll.IMDP("IR", $E69, AY$8, Matrix!$D$6)), "")</f>
        <v>4.3550000000000004</v>
      </c>
      <c r="AZ69" cm="1">
        <f t="array" aca="1" ref="AZ69" ca="1">IF( AND($E$7,NOT(ISBLANK($E69))), IF( _xll.IMDP("IR", $E69, AZ$8, Matrix!$D$6)=0,"",_xll.IMDP("IR", $E69, AZ$8, Matrix!$D$6)), "")</f>
        <v>4.524</v>
      </c>
      <c r="BA69" cm="1">
        <f t="array" aca="1" ref="BA69" ca="1">IF( AND($E$7,NOT(ISBLANK($E69))), IF( _xll.IMDP("IR", $E69, BA$8, Matrix!$D$6)=0,"",_xll.IMDP("IR", $E69, BA$8, Matrix!$D$6)), "")</f>
        <v>4.9180000000000001</v>
      </c>
      <c r="BB69" cm="1">
        <f t="array" aca="1" ref="BB69" ca="1">IF( AND($E$7,NOT(ISBLANK($E69))), IF( _xll.IMDP("IR", $E69, BB$8, Matrix!$D$6)=0,"",_xll.IMDP("IR", $E69, BB$8, Matrix!$D$6)), "")</f>
        <v>5.33</v>
      </c>
      <c r="BC69" cm="1">
        <f t="array" aca="1" ref="BC69" ca="1">IF( AND($E$7,NOT(ISBLANK($E69))), IF( _xll.IMDP("IR", $E69, BC$8, Matrix!$D$6)=0,"",_xll.IMDP("IR", $E69, BC$8, Matrix!$D$6)), "")</f>
        <v>5.4889999999999999</v>
      </c>
      <c r="BD69" cm="1">
        <f t="array" aca="1" ref="BD69" ca="1">IF( AND($E$7,NOT(ISBLANK($E69))), IF( _xll.IMDP("IR", $E69, BD$8, Matrix!$D$6)=0,"",_xll.IMDP("IR", $E69, BD$8, Matrix!$D$6)), "")</f>
        <v>6.133</v>
      </c>
      <c r="BE69" cm="1">
        <f t="array" aca="1" ref="BE69" ca="1">IF( AND($E$7,NOT(ISBLANK($E69))), IF( _xll.IMDP("IR", $E69, BE$8, Matrix!$D$6)=0,"",_xll.IMDP("IR", $E69, BE$8, Matrix!$D$6)), "")</f>
        <v>6.5250000000000004</v>
      </c>
      <c r="BF69" cm="1">
        <f t="array" aca="1" ref="BF69" ca="1">IF( AND($E$7,NOT(ISBLANK($E69))), IF( _xll.IMDP("IR", $E69, BF$8, Matrix!$D$6)=0,"",_xll.IMDP("IR", $E69, BF$8, Matrix!$D$6)), "")</f>
        <v>6.8620000000000001</v>
      </c>
      <c r="BG69" t="str" cm="1">
        <f t="array" aca="1" ref="BG69" ca="1">IF( AND($E$7,NOT(ISBLANK($E69))), IF( _xll.IMDP("IR", $E69, BG$8, Matrix!$D$6)=0,"",_xll.IMDP("IR", $E69, BG$8, Matrix!$D$6)), "")</f>
        <v/>
      </c>
      <c r="BH69" t="str" cm="1">
        <f t="array" aca="1" ref="BH69" ca="1">IF( AND($E$7,NOT(ISBLANK($E69))), IF( _xll.IMDP("IR", $E69, BH$8, Matrix!$D$6)=0,"",_xll.IMDP("IR", $E69, BH$8, Matrix!$D$6)), "")</f>
        <v/>
      </c>
      <c r="BI69" cm="1">
        <f t="array" aca="1" ref="BI69" ca="1">IF( AND($F$7,NOT(ISBLANK($F69))), IF( _xll.IMDP("IR", $F69, BI$8, Matrix!$D$6)=0,"",_xll.IMDP("IR", $F69, BI$8, Matrix!$D$6)), "")</f>
        <v>3.851</v>
      </c>
      <c r="BJ69" cm="1">
        <f t="array" aca="1" ref="BJ69" ca="1">IF( AND($F$7,NOT(ISBLANK($F69))), IF( _xll.IMDP("IR", $F69, BJ$8, Matrix!$D$6)=0,"",_xll.IMDP("IR", $F69, BJ$8, Matrix!$D$6)), "")</f>
        <v>3.9390000000000001</v>
      </c>
      <c r="BK69" cm="1">
        <f t="array" aca="1" ref="BK69" ca="1">IF( AND($F$7,NOT(ISBLANK($F69))), IF( _xll.IMDP("IR", $F69, BK$8, Matrix!$D$6)=0,"",_xll.IMDP("IR", $F69, BK$8, Matrix!$D$6)), "")</f>
        <v>3.9769999999999999</v>
      </c>
      <c r="BL69" cm="1">
        <f t="array" aca="1" ref="BL69" ca="1">IF( AND($F$7,NOT(ISBLANK($F69))), IF( _xll.IMDP("IR", $F69, BL$8, Matrix!$D$6)=0,"",_xll.IMDP("IR", $F69, BL$8, Matrix!$D$6)), "")</f>
        <v>4.0270000000000001</v>
      </c>
      <c r="BM69" cm="1">
        <f t="array" aca="1" ref="BM69" ca="1">IF( AND($F$7,NOT(ISBLANK($F69))), IF( _xll.IMDP("IR", $F69, BM$8, Matrix!$D$6)=0,"",_xll.IMDP("IR", $F69, BM$8, Matrix!$D$6)), "")</f>
        <v>4.1360000000000001</v>
      </c>
      <c r="BN69" cm="1">
        <f t="array" aca="1" ref="BN69" ca="1">IF( AND($F$7,NOT(ISBLANK($F69))), IF( _xll.IMDP("IR", $F69, BN$8, Matrix!$D$6)=0,"",_xll.IMDP("IR", $F69, BN$8, Matrix!$D$6)), "")</f>
        <v>4.2009999999999996</v>
      </c>
      <c r="BO69" cm="1">
        <f t="array" aca="1" ref="BO69" ca="1">IF( AND($F$7,NOT(ISBLANK($F69))), IF( _xll.IMDP("IR", $F69, BO$8, Matrix!$D$6)=0,"",_xll.IMDP("IR", $F69, BO$8, Matrix!$D$6)), "")</f>
        <v>4.3280000000000003</v>
      </c>
      <c r="BP69" cm="1">
        <f t="array" aca="1" ref="BP69" ca="1">IF( AND($F$7,NOT(ISBLANK($F69))), IF( _xll.IMDP("IR", $F69, BP$8, Matrix!$D$6)=0,"",_xll.IMDP("IR", $F69, BP$8, Matrix!$D$6)), "")</f>
        <v>4.5170000000000003</v>
      </c>
      <c r="BQ69" cm="1">
        <f t="array" aca="1" ref="BQ69" ca="1">IF( AND($F$7,NOT(ISBLANK($F69))), IF( _xll.IMDP("IR", $F69, BQ$8, Matrix!$D$6)=0,"",_xll.IMDP("IR", $F69, BQ$8, Matrix!$D$6)), "")</f>
        <v>4.9560000000000004</v>
      </c>
      <c r="BR69" cm="1">
        <f t="array" aca="1" ref="BR69" ca="1">IF( AND($F$7,NOT(ISBLANK($F69))), IF( _xll.IMDP("IR", $F69, BR$8, Matrix!$D$6)=0,"",_xll.IMDP("IR", $F69, BR$8, Matrix!$D$6)), "")</f>
        <v>5.3579999999999997</v>
      </c>
      <c r="BS69" cm="1">
        <f t="array" aca="1" ref="BS69" ca="1">IF( AND($F$7,NOT(ISBLANK($F69))), IF( _xll.IMDP("IR", $F69, BS$8, Matrix!$D$6)=0,"",_xll.IMDP("IR", $F69, BS$8, Matrix!$D$6)), "")</f>
        <v>5.5140000000000002</v>
      </c>
      <c r="BT69" cm="1">
        <f t="array" aca="1" ref="BT69" ca="1">IF( AND($F$7,NOT(ISBLANK($F69))), IF( _xll.IMDP("IR", $F69, BT$8, Matrix!$D$6)=0,"",_xll.IMDP("IR", $F69, BT$8, Matrix!$D$6)), "")</f>
        <v>6.1529999999999996</v>
      </c>
      <c r="BU69" cm="1">
        <f t="array" aca="1" ref="BU69" ca="1">IF( AND($F$7,NOT(ISBLANK($F69))), IF( _xll.IMDP("IR", $F69, BU$8, Matrix!$D$6)=0,"",_xll.IMDP("IR", $F69, BU$8, Matrix!$D$6)), "")</f>
        <v>6.5270000000000001</v>
      </c>
      <c r="BV69" cm="1">
        <f t="array" aca="1" ref="BV69" ca="1">IF( AND($F$7,NOT(ISBLANK($F69))), IF( _xll.IMDP("IR", $F69, BV$8, Matrix!$D$6)=0,"",_xll.IMDP("IR", $F69, BV$8, Matrix!$D$6)), "")</f>
        <v>6.8090000000000002</v>
      </c>
      <c r="BW69" t="str" cm="1">
        <f t="array" aca="1" ref="BW69" ca="1">IF( AND($F$7,NOT(ISBLANK($F69))), IF( _xll.IMDP("IR", $F69, BW$8, Matrix!$D$6)=0,"",_xll.IMDP("IR", $F69, BW$8, Matrix!$D$6)), "")</f>
        <v/>
      </c>
      <c r="BX69" t="str" cm="1">
        <f t="array" aca="1" ref="BX69" ca="1">IF( AND($F$7,NOT(ISBLANK($F69))), IF( _xll.IMDP("IR", $F69, BX$8, Matrix!$D$6)=0,"",_xll.IMDP("IR", $F69, BX$8, Matrix!$D$6)), "")</f>
        <v/>
      </c>
      <c r="BY69" cm="1">
        <f t="array" aca="1" ref="BY69" ca="1">IF( AND($G$7,NOT(ISBLANK($G69))), IF( _xll.IMDP("IR", $G69, BY$8, Matrix!$D$6)=0, "", _xll.IMDP("IR", $G69, BY$8, Matrix!$D$6)), "")</f>
        <v>3.8719999999999999</v>
      </c>
      <c r="BZ69" cm="1">
        <f t="array" aca="1" ref="BZ69" ca="1">IF( AND($G$7,NOT(ISBLANK($G69))), IF( _xll.IMDP("IR", $G69, BZ$8, Matrix!$D$6)=0, "", _xll.IMDP("IR", $G69, BZ$8, Matrix!$D$6)), "")</f>
        <v>3.9620000000000002</v>
      </c>
      <c r="CA69" cm="1">
        <f t="array" aca="1" ref="CA69" ca="1">IF( AND($G$7,NOT(ISBLANK($G69))), IF( _xll.IMDP("IR", $G69, CA$8, Matrix!$D$6)=0, "", _xll.IMDP("IR", $G69, CA$8, Matrix!$D$6)), "")</f>
        <v>4.0069999999999997</v>
      </c>
      <c r="CB69" cm="1">
        <f t="array" aca="1" ref="CB69" ca="1">IF( AND($G$7,NOT(ISBLANK($G69))), IF( _xll.IMDP("IR", $G69, CB$8, Matrix!$D$6)=0, "", _xll.IMDP("IR", $G69, CB$8, Matrix!$D$6)), "")</f>
        <v>4.0279999999999996</v>
      </c>
      <c r="CC69" cm="1">
        <f t="array" aca="1" ref="CC69" ca="1">IF( AND($G$7,NOT(ISBLANK($G69))), IF( _xll.IMDP("IR", $G69, CC$8, Matrix!$D$6)=0, "", _xll.IMDP("IR", $G69, CC$8, Matrix!$D$6)), "")</f>
        <v>4.0970000000000004</v>
      </c>
      <c r="CD69" cm="1">
        <f t="array" aca="1" ref="CD69" ca="1">IF( AND($G$7,NOT(ISBLANK($G69))), IF( _xll.IMDP("IR", $G69, CD$8, Matrix!$D$6)=0, "", _xll.IMDP("IR", $G69, CD$8, Matrix!$D$6)), "")</f>
        <v>4.1950000000000003</v>
      </c>
      <c r="CE69" cm="1">
        <f t="array" aca="1" ref="CE69" ca="1">IF( AND($G$7,NOT(ISBLANK($G69))), IF( _xll.IMDP("IR", $G69, CE$8, Matrix!$D$6)=0, "", _xll.IMDP("IR", $G69, CE$8, Matrix!$D$6)), "")</f>
        <v>4.3579999999999997</v>
      </c>
      <c r="CF69" cm="1">
        <f t="array" aca="1" ref="CF69" ca="1">IF( AND($G$7,NOT(ISBLANK($G69))), IF( _xll.IMDP("IR", $G69, CF$8, Matrix!$D$6)=0, "", _xll.IMDP("IR", $G69, CF$8, Matrix!$D$6)), "")</f>
        <v>4.5339999999999998</v>
      </c>
      <c r="CG69" cm="1">
        <f t="array" aca="1" ref="CG69" ca="1">IF( AND($G$7,NOT(ISBLANK($G69))), IF( _xll.IMDP("IR", $G69, CG$8, Matrix!$D$6)=0, "", _xll.IMDP("IR", $G69, CG$8, Matrix!$D$6)), "")</f>
        <v>4.93</v>
      </c>
      <c r="CH69" cm="1">
        <f t="array" aca="1" ref="CH69" ca="1">IF( AND($G$7,NOT(ISBLANK($G69))), IF( _xll.IMDP("IR", $G69, CH$8, Matrix!$D$6)=0, "", _xll.IMDP("IR", $G69, CH$8, Matrix!$D$6)), "")</f>
        <v>5.335</v>
      </c>
      <c r="CI69" cm="1">
        <f t="array" aca="1" ref="CI69" ca="1">IF( AND($G$7,NOT(ISBLANK($G69))), IF( _xll.IMDP("IR", $G69, CI$8, Matrix!$D$6)=0, "", _xll.IMDP("IR", $G69, CI$8, Matrix!$D$6)), "")</f>
        <v>5.4880000000000004</v>
      </c>
      <c r="CJ69" cm="1">
        <f t="array" aca="1" ref="CJ69" ca="1">IF( AND($G$7,NOT(ISBLANK($G69))), IF( _xll.IMDP("IR", $G69, CJ$8, Matrix!$D$6)=0, "", _xll.IMDP("IR", $G69, CJ$8, Matrix!$D$6)), "")</f>
        <v>6.1139999999999999</v>
      </c>
      <c r="CK69" cm="1">
        <f t="array" aca="1" ref="CK69" ca="1">IF( AND($G$7,NOT(ISBLANK($G69))), IF( _xll.IMDP("IR", $G69, CK$8, Matrix!$D$6)=0, "", _xll.IMDP("IR", $G69, CK$8, Matrix!$D$6)), "")</f>
        <v>6.5129999999999999</v>
      </c>
      <c r="CL69" cm="1">
        <f t="array" aca="1" ref="CL69" ca="1">IF( AND($G$7,NOT(ISBLANK($G69))), IF( _xll.IMDP("IR", $G69, CL$8, Matrix!$D$6)=0, "", _xll.IMDP("IR", $G69, CL$8, Matrix!$D$6)), "")</f>
        <v>6.7949999999999999</v>
      </c>
      <c r="CM69" t="str" cm="1">
        <f t="array" aca="1" ref="CM69" ca="1">IF( AND($G$7,NOT(ISBLANK($G69))), IF( _xll.IMDP("IR", $G69, CM$8, Matrix!$D$6)=0, "", _xll.IMDP("IR", $G69, CM$8, Matrix!$D$6)), "")</f>
        <v/>
      </c>
      <c r="CN69" t="str" cm="1">
        <f t="array" aca="1" ref="CN69" ca="1">IF( AND($G$7,NOT(ISBLANK($G69))), IF( _xll.IMDP("IR", $G69, CN$8, Matrix!$D$6)=0, "", _xll.IMDP("IR", $G69, CN$8, Matrix!$D$6)), "")</f>
        <v/>
      </c>
      <c r="CO69" cm="1">
        <f t="array" aca="1" ref="CO69" ca="1">IF( AND($H$7,NOT(ISBLANK($H69))), IF( _xll.IMDP("IR", $H69, CO$8, Matrix!$D$6)=0, "", _xll.IMDP("IR", $H69, CO$8, Matrix!$D$6)), "")</f>
        <v>3.8639999999999999</v>
      </c>
      <c r="CP69" cm="1">
        <f t="array" aca="1" ref="CP69" ca="1">IF( AND($H$7,NOT(ISBLANK($H69))), IF( _xll.IMDP("IR", $H69, CP$8, Matrix!$D$6)=0, "", _xll.IMDP("IR", $H69, CP$8, Matrix!$D$6)), "")</f>
        <v>3.9569999999999999</v>
      </c>
      <c r="CQ69" cm="1">
        <f t="array" aca="1" ref="CQ69" ca="1">IF( AND($H$7,NOT(ISBLANK($H69))), IF( _xll.IMDP("IR", $H69, CQ$8, Matrix!$D$6)=0, "", _xll.IMDP("IR", $H69, CQ$8, Matrix!$D$6)), "")</f>
        <v>3.9990000000000001</v>
      </c>
      <c r="CR69" cm="1">
        <f t="array" aca="1" ref="CR69" ca="1">IF( AND($H$7,NOT(ISBLANK($H69))), IF( _xll.IMDP("IR", $H69, CR$8, Matrix!$D$6)=0, "", _xll.IMDP("IR", $H69, CR$8, Matrix!$D$6)), "")</f>
        <v>4.0259999999999998</v>
      </c>
      <c r="CS69" cm="1">
        <f t="array" aca="1" ref="CS69" ca="1">IF( AND($H$7,NOT(ISBLANK($H69))), IF( _xll.IMDP("IR", $H69, CS$8, Matrix!$D$6)=0, "", _xll.IMDP("IR", $H69, CS$8, Matrix!$D$6)), "")</f>
        <v>4.1189999999999998</v>
      </c>
      <c r="CT69" cm="1">
        <f t="array" aca="1" ref="CT69" ca="1">IF( AND($H$7,NOT(ISBLANK($H69))), IF( _xll.IMDP("IR", $H69, CT$8, Matrix!$D$6)=0, "", _xll.IMDP("IR", $H69, CT$8, Matrix!$D$6)), "")</f>
        <v>4.1950000000000003</v>
      </c>
      <c r="CU69" cm="1">
        <f t="array" aca="1" ref="CU69" ca="1">IF( AND($H$7,NOT(ISBLANK($H69))), IF( _xll.IMDP("IR", $H69, CU$8, Matrix!$D$6)=0, "", _xll.IMDP("IR", $H69, CU$8, Matrix!$D$6)), "")</f>
        <v>4.3479999999999999</v>
      </c>
      <c r="CV69" cm="1">
        <f t="array" aca="1" ref="CV69" ca="1">IF( AND($H$7,NOT(ISBLANK($H69))), IF( _xll.IMDP("IR", $H69, CV$8, Matrix!$D$6)=0, "", _xll.IMDP("IR", $H69, CV$8, Matrix!$D$6)), "")</f>
        <v>4.5259999999999998</v>
      </c>
      <c r="CW69" cm="1">
        <f t="array" aca="1" ref="CW69" ca="1">IF( AND($H$7,NOT(ISBLANK($H69))), IF( _xll.IMDP("IR", $H69, CW$8, Matrix!$D$6)=0, "", _xll.IMDP("IR", $H69, CW$8, Matrix!$D$6)), "")</f>
        <v>4.9219999999999997</v>
      </c>
      <c r="CX69" cm="1">
        <f t="array" aca="1" ref="CX69" ca="1">IF( AND($H$7,NOT(ISBLANK($H69))), IF( _xll.IMDP("IR", $H69, CX$8, Matrix!$D$6)=0, "", _xll.IMDP("IR", $H69, CX$8, Matrix!$D$6)), "")</f>
        <v>5.31</v>
      </c>
      <c r="CY69" cm="1">
        <f t="array" aca="1" ref="CY69" ca="1">IF( AND($H$7,NOT(ISBLANK($H69))), IF( _xll.IMDP("IR", $H69, CY$8, Matrix!$D$6)=0, "", _xll.IMDP("IR", $H69, CY$8, Matrix!$D$6)), "")</f>
        <v>5.4720000000000004</v>
      </c>
      <c r="CZ69" cm="1">
        <f t="array" aca="1" ref="CZ69" ca="1">IF( AND($H$7,NOT(ISBLANK($H69))), IF( _xll.IMDP("IR", $H69, CZ$8, Matrix!$D$6)=0, "", _xll.IMDP("IR", $H69, CZ$8, Matrix!$D$6)), "")</f>
        <v>6.12</v>
      </c>
      <c r="DA69" t="str" cm="1">
        <f t="array" aca="1" ref="DA69" ca="1">IF( AND($H$7,NOT(ISBLANK($H69))), IF( _xll.IMDP("IR", $H69, DA$8, Matrix!$D$6)=0, "", _xll.IMDP("IR", $H69, DA$8, Matrix!$D$6)), "")</f>
        <v/>
      </c>
      <c r="DB69" t="str" cm="1">
        <f t="array" aca="1" ref="DB69" ca="1">IF( AND($H$7,NOT(ISBLANK($H69))), IF( _xll.IMDP("IR", $H69, DB$8, Matrix!$D$6)=0, "", _xll.IMDP("IR", $H69, DB$8, Matrix!$D$6)), "")</f>
        <v/>
      </c>
      <c r="DC69" t="str" cm="1">
        <f t="array" aca="1" ref="DC69" ca="1">IF( AND($H$7,NOT(ISBLANK($H69))), IF( _xll.IMDP("IR", $H69, DC$8, Matrix!$D$6)=0, "", _xll.IMDP("IR", $H69, DC$8, Matrix!$D$6)), "")</f>
        <v/>
      </c>
      <c r="DD69" t="str" cm="1">
        <f t="array" aca="1" ref="DD69" ca="1">IF( AND($H$7,NOT(ISBLANK($H69))), IF( _xll.IMDP("IR", $H69, DD$8, Matrix!$D$6)=0, "", _xll.IMDP("IR", $H69, DD$8, Matrix!$D$6)), "")</f>
        <v/>
      </c>
    </row>
    <row r="70" spans="2:108">
      <c r="B70" t="s">
        <v>138</v>
      </c>
      <c r="C70" t="s">
        <v>212</v>
      </c>
      <c r="D70" t="s">
        <v>277</v>
      </c>
      <c r="E70" t="s">
        <v>338</v>
      </c>
      <c r="F70" t="s">
        <v>408</v>
      </c>
      <c r="G70" t="s">
        <v>471</v>
      </c>
      <c r="H70" t="s">
        <v>518</v>
      </c>
      <c r="M70" s="21">
        <f t="shared" ref="M70:M83" ca="1" si="34">CHOOSE( $N$7, AVERAGE(AC70,AS70,BI70,BY70,CO70), GEOMEAN(AC70,AS70,BI70,BY70,CO70) )</f>
        <v>4.462179915171574</v>
      </c>
      <c r="N70" s="21">
        <f t="shared" ref="N70:N83" ca="1" si="35">CHOOSE( $N$7, AVERAGE(AD70,AT70,BJ70,BZ70,CP70), GEOMEAN(AD70,AT70,BJ70,BZ70,CP70) )</f>
        <v>4.8541039166872659</v>
      </c>
      <c r="O70" s="21">
        <f t="shared" ref="O70:O83" ca="1" si="36">CHOOSE( $N$7, AVERAGE(AE70,AU70,BK70,CA70,CQ70), GEOMEAN(AE70,AU70,BK70,CA70,CQ70) )</f>
        <v>5.20655137875249</v>
      </c>
      <c r="P70" s="21">
        <f t="shared" ref="P70:P83" ca="1" si="37">CHOOSE( $N$7, AVERAGE(AF70,AV70,BL70,CB70,CR70), GEOMEAN(AF70,AV70,BL70,CB70,CR70) )</f>
        <v>5.3925925678016382</v>
      </c>
      <c r="Q70" s="21">
        <f t="shared" ref="Q70:Q83" ca="1" si="38">CHOOSE( $N$7, AVERAGE(AG70,AW70,BM70,CC70,CS70), GEOMEAN(AG70,AW70,BM70,CC70,CS70) )</f>
        <v>5.802992858172936</v>
      </c>
      <c r="R70" s="21">
        <f t="shared" ref="R70:R83" ca="1" si="39">CHOOSE( $N$7, AVERAGE(AH70,AX70,BN70,CD70,CT70), GEOMEAN(AH70,AX70,BN70,CD70,CT70) )</f>
        <v>6.3481949131416053</v>
      </c>
      <c r="S70" s="21">
        <f t="shared" ref="S70:S83" ca="1" si="40">CHOOSE( $N$7, AVERAGE(AI70,AY70,BO70,CE70,CU70), GEOMEAN(AI70,AY70,BO70,CE70,CU70) )</f>
        <v>6.7159717593786237</v>
      </c>
      <c r="T70" s="21">
        <f t="shared" ref="T70:T83" ca="1" si="41">CHOOSE( $N$7, AVERAGE(AJ70,AZ70,BP70,CF70,CV70), GEOMEAN(AJ70,AZ70,BP70,CF70,CV70) )</f>
        <v>6.98537880728004</v>
      </c>
      <c r="U70" s="21">
        <f t="shared" ref="U70:U83" ca="1" si="42">CHOOSE( $N$7, AVERAGE(AK70,BA70,BQ70,CG70,CW70), GEOMEAN(AK70,BA70,BQ70,CG70,CW70) )</f>
        <v>7.1961812301025514</v>
      </c>
      <c r="V70" s="21">
        <f t="shared" ref="V70:V83" ca="1" si="43">CHOOSE( $N$7, AVERAGE(AL70,BB70,BR70,CH70,CX70), GEOMEAN(AL70,BB70,BR70,CH70,CX70) )</f>
        <v>7.2841183954279369</v>
      </c>
      <c r="W70" s="21">
        <f t="shared" ref="W70:W83" ca="1" si="44">CHOOSE( $N$7, AVERAGE(AM70,BC70,BS70,CI70,CY70), GEOMEAN(AM70,BC70,BS70,CI70,CY70) )</f>
        <v>7.3593646347858144</v>
      </c>
      <c r="X70" s="21">
        <f t="shared" ref="X70:X83" ca="1" si="45">CHOOSE( $N$7, AVERAGE(AN70,BD70,BT70,CJ70,CZ70), GEOMEAN(AN70,BD70,BT70,CJ70,CZ70) )</f>
        <v>7.6793812421319201</v>
      </c>
      <c r="Y70" s="21">
        <f t="shared" ref="Y70:Y83" ca="1" si="46">CHOOSE( $N$7, AVERAGE(AO70,BE70,BU70,CK70,DA70), GEOMEAN(AO70,BE70,BU70,CK70,DA70) )</f>
        <v>8.010726130047507</v>
      </c>
      <c r="Z70" s="21">
        <f t="shared" ref="Z70:Z83" ca="1" si="47">CHOOSE( $N$7, AVERAGE(AP70,BF70,BV70,CL70,DB70), GEOMEAN(AP70,BF70,BV70,CL70,DB70) )</f>
        <v>8.3192401392214972</v>
      </c>
      <c r="AA70" s="21" t="e">
        <f t="shared" ref="AA70:AA83" ca="1" si="48">CHOOSE( $N$7, AVERAGE(AQ70,BG70,BW70,CM70,DC70), GEOMEAN(AQ70,BG70,BW70,CM70,DC70) )</f>
        <v>#NUM!</v>
      </c>
      <c r="AB70" s="21" t="e">
        <f t="shared" ref="AB70:AB83" ca="1" si="49">CHOOSE( $N$7, AVERAGE(AR70,BH70,BX70,CN70,DD70), GEOMEAN(AR70,BH70,BX70,CN70,DD70) )</f>
        <v>#NUM!</v>
      </c>
      <c r="AC70" cm="1">
        <f t="array" aca="1" ref="AC70" ca="1">IF( AND($D$7,NOT(ISBLANK($D70))), IF(_xll.IMDP("IR", $D70, AC$8, Matrix!$D$6)=0,"",_xll.IMDP("IR", $D70, AC$8, Matrix!$D$6)), "")</f>
        <v>4.444</v>
      </c>
      <c r="AD70" cm="1">
        <f t="array" aca="1" ref="AD70" ca="1">IF( AND($D$7,NOT(ISBLANK($D70))), IF(_xll.IMDP("IR", $D70, AD$8, Matrix!$D$6)=0,"",_xll.IMDP("IR", $D70, AD$8, Matrix!$D$6)), "")</f>
        <v>4.8719999999999999</v>
      </c>
      <c r="AE70" cm="1">
        <f t="array" aca="1" ref="AE70" ca="1">IF( AND($D$7,NOT(ISBLANK($D70))), IF(_xll.IMDP("IR", $D70, AE$8, Matrix!$D$6)=0,"",_xll.IMDP("IR", $D70, AE$8, Matrix!$D$6)), "")</f>
        <v>5.22</v>
      </c>
      <c r="AF70" cm="1">
        <f t="array" aca="1" ref="AF70" ca="1">IF( AND($D$7,NOT(ISBLANK($D70))), IF(_xll.IMDP("IR", $D70, AF$8, Matrix!$D$6)=0,"",_xll.IMDP("IR", $D70, AF$8, Matrix!$D$6)), "")</f>
        <v>5.3849999999999998</v>
      </c>
      <c r="AG70" cm="1">
        <f t="array" aca="1" ref="AG70" ca="1">IF( AND($D$7,NOT(ISBLANK($D70))), IF(_xll.IMDP("IR", $D70, AG$8, Matrix!$D$6)=0,"",_xll.IMDP("IR", $D70, AG$8, Matrix!$D$6)), "")</f>
        <v>5.8070000000000004</v>
      </c>
      <c r="AH70" cm="1">
        <f t="array" aca="1" ref="AH70" ca="1">IF( AND($D$7,NOT(ISBLANK($D70))), IF(_xll.IMDP("IR", $D70, AH$8, Matrix!$D$6)=0,"",_xll.IMDP("IR", $D70, AH$8, Matrix!$D$6)), "")</f>
        <v>6.3559999999999999</v>
      </c>
      <c r="AI70" cm="1">
        <f t="array" aca="1" ref="AI70" ca="1">IF( AND($D$7,NOT(ISBLANK($D70))), IF(_xll.IMDP("IR", $D70, AI$8, Matrix!$D$6)=0,"",_xll.IMDP("IR", $D70, AI$8, Matrix!$D$6)), "")</f>
        <v>6.6879999999999997</v>
      </c>
      <c r="AJ70" cm="1">
        <f t="array" aca="1" ref="AJ70" ca="1">IF( AND($D$7,NOT(ISBLANK($D70))), IF(_xll.IMDP("IR", $D70, AJ$8, Matrix!$D$6)=0,"",_xll.IMDP("IR", $D70, AJ$8, Matrix!$D$6)), "")</f>
        <v>6.9610000000000003</v>
      </c>
      <c r="AK70" cm="1">
        <f t="array" aca="1" ref="AK70" ca="1">IF( AND($D$7,NOT(ISBLANK($D70))), IF(_xll.IMDP("IR", $D70, AK$8, Matrix!$D$6)=0,"",_xll.IMDP("IR", $D70, AK$8, Matrix!$D$6)), "")</f>
        <v>7.1660000000000004</v>
      </c>
      <c r="AL70" cm="1">
        <f t="array" aca="1" ref="AL70" ca="1">IF( AND($D$7,NOT(ISBLANK($D70))), IF(_xll.IMDP("IR", $D70, AL$8, Matrix!$D$6)=0,"",_xll.IMDP("IR", $D70, AL$8, Matrix!$D$6)), "")</f>
        <v>7.2220000000000004</v>
      </c>
      <c r="AM70" cm="1">
        <f t="array" aca="1" ref="AM70" ca="1">IF( AND($D$7,NOT(ISBLANK($D70))), IF(_xll.IMDP("IR", $D70, AM$8, Matrix!$D$6)=0,"",_xll.IMDP("IR", $D70, AM$8, Matrix!$D$6)), "")</f>
        <v>7.3170000000000002</v>
      </c>
      <c r="AN70" cm="1">
        <f t="array" aca="1" ref="AN70" ca="1">IF( AND($D$7,NOT(ISBLANK($D70))), IF(_xll.IMDP("IR", $D70, AN$8, Matrix!$D$6)=0,"",_xll.IMDP("IR", $D70, AN$8, Matrix!$D$6)), "")</f>
        <v>7.6619999999999999</v>
      </c>
      <c r="AO70" cm="1">
        <f t="array" aca="1" ref="AO70" ca="1">IF( AND($D$7,NOT(ISBLANK($D70))), IF(_xll.IMDP("IR", $D70, AO$8, Matrix!$D$6)=0,"",_xll.IMDP("IR", $D70, AO$8, Matrix!$D$6)), "")</f>
        <v>7.9809999999999999</v>
      </c>
      <c r="AP70" cm="1">
        <f t="array" aca="1" ref="AP70" ca="1">IF( AND($D$7,NOT(ISBLANK($D70))), IF(_xll.IMDP("IR", $D70, AP$8, Matrix!$D$6)=0,"",_xll.IMDP("IR", $D70, AP$8, Matrix!$D$6)), "")</f>
        <v>8.3049999999999997</v>
      </c>
      <c r="AQ70" t="str" cm="1">
        <f t="array" aca="1" ref="AQ70" ca="1">IF( AND($D$7,NOT(ISBLANK($D70))), IF(_xll.IMDP("IR", $D70, AQ$8, Matrix!$D$6)=0,"",_xll.IMDP("IR", $D70, AQ$8, Matrix!$D$6)), "")</f>
        <v/>
      </c>
      <c r="AR70" t="str" cm="1">
        <f t="array" aca="1" ref="AR70" ca="1">IF( AND($D$7,NOT(ISBLANK($D70))), IF(_xll.IMDP("IR", $D70, AR$8, Matrix!$D$6)=0,"",_xll.IMDP("IR", $D70, AR$8, Matrix!$D$6)), "")</f>
        <v/>
      </c>
      <c r="AS70" cm="1">
        <f t="array" aca="1" ref="AS70" ca="1">IF( AND($E$7,NOT(ISBLANK($E70))), IF( _xll.IMDP("IR", $E70, AS$8, Matrix!$D$6)=0,"",_xll.IMDP("IR", $E70, AS$8, Matrix!$D$6)), "")</f>
        <v>4.4669999999999996</v>
      </c>
      <c r="AT70" cm="1">
        <f t="array" aca="1" ref="AT70" ca="1">IF( AND($E$7,NOT(ISBLANK($E70))), IF( _xll.IMDP("IR", $E70, AT$8, Matrix!$D$6)=0,"",_xll.IMDP("IR", $E70, AT$8, Matrix!$D$6)), "")</f>
        <v>4.867</v>
      </c>
      <c r="AU70" cm="1">
        <f t="array" aca="1" ref="AU70" ca="1">IF( AND($E$7,NOT(ISBLANK($E70))), IF( _xll.IMDP("IR", $E70, AU$8, Matrix!$D$6)=0,"",_xll.IMDP("IR", $E70, AU$8, Matrix!$D$6)), "")</f>
        <v>5.2279999999999998</v>
      </c>
      <c r="AV70" cm="1">
        <f t="array" aca="1" ref="AV70" ca="1">IF( AND($E$7,NOT(ISBLANK($E70))), IF( _xll.IMDP("IR", $E70, AV$8, Matrix!$D$6)=0,"",_xll.IMDP("IR", $E70, AV$8, Matrix!$D$6)), "")</f>
        <v>5.3929999999999998</v>
      </c>
      <c r="AW70" cm="1">
        <f t="array" aca="1" ref="AW70" ca="1">IF( AND($E$7,NOT(ISBLANK($E70))), IF( _xll.IMDP("IR", $E70, AW$8, Matrix!$D$6)=0,"",_xll.IMDP("IR", $E70, AW$8, Matrix!$D$6)), "")</f>
        <v>5.806</v>
      </c>
      <c r="AX70" cm="1">
        <f t="array" aca="1" ref="AX70" ca="1">IF( AND($E$7,NOT(ISBLANK($E70))), IF( _xll.IMDP("IR", $E70, AX$8, Matrix!$D$6)=0,"",_xll.IMDP("IR", $E70, AX$8, Matrix!$D$6)), "")</f>
        <v>6.3449999999999998</v>
      </c>
      <c r="AY70" cm="1">
        <f t="array" aca="1" ref="AY70" ca="1">IF( AND($E$7,NOT(ISBLANK($E70))), IF( _xll.IMDP("IR", $E70, AY$8, Matrix!$D$6)=0,"",_xll.IMDP("IR", $E70, AY$8, Matrix!$D$6)), "")</f>
        <v>6.7160000000000002</v>
      </c>
      <c r="AZ70" cm="1">
        <f t="array" aca="1" ref="AZ70" ca="1">IF( AND($E$7,NOT(ISBLANK($E70))), IF( _xll.IMDP("IR", $E70, AZ$8, Matrix!$D$6)=0,"",_xll.IMDP("IR", $E70, AZ$8, Matrix!$D$6)), "")</f>
        <v>6.9889999999999999</v>
      </c>
      <c r="BA70" cm="1">
        <f t="array" aca="1" ref="BA70" ca="1">IF( AND($E$7,NOT(ISBLANK($E70))), IF( _xll.IMDP("IR", $E70, BA$8, Matrix!$D$6)=0,"",_xll.IMDP("IR", $E70, BA$8, Matrix!$D$6)), "")</f>
        <v>7.1980000000000004</v>
      </c>
      <c r="BB70" cm="1">
        <f t="array" aca="1" ref="BB70" ca="1">IF( AND($E$7,NOT(ISBLANK($E70))), IF( _xll.IMDP("IR", $E70, BB$8, Matrix!$D$6)=0,"",_xll.IMDP("IR", $E70, BB$8, Matrix!$D$6)), "")</f>
        <v>7.2850000000000001</v>
      </c>
      <c r="BC70" cm="1">
        <f t="array" aca="1" ref="BC70" ca="1">IF( AND($E$7,NOT(ISBLANK($E70))), IF( _xll.IMDP("IR", $E70, BC$8, Matrix!$D$6)=0,"",_xll.IMDP("IR", $E70, BC$8, Matrix!$D$6)), "")</f>
        <v>7.3630000000000004</v>
      </c>
      <c r="BD70" cm="1">
        <f t="array" aca="1" ref="BD70" ca="1">IF( AND($E$7,NOT(ISBLANK($E70))), IF( _xll.IMDP("IR", $E70, BD$8, Matrix!$D$6)=0,"",_xll.IMDP("IR", $E70, BD$8, Matrix!$D$6)), "")</f>
        <v>7.6890000000000001</v>
      </c>
      <c r="BE70" cm="1">
        <f t="array" aca="1" ref="BE70" ca="1">IF( AND($E$7,NOT(ISBLANK($E70))), IF( _xll.IMDP("IR", $E70, BE$8, Matrix!$D$6)=0,"",_xll.IMDP("IR", $E70, BE$8, Matrix!$D$6)), "")</f>
        <v>8.0090000000000003</v>
      </c>
      <c r="BF70" cm="1">
        <f t="array" aca="1" ref="BF70" ca="1">IF( AND($E$7,NOT(ISBLANK($E70))), IF( _xll.IMDP("IR", $E70, BF$8, Matrix!$D$6)=0,"",_xll.IMDP("IR", $E70, BF$8, Matrix!$D$6)), "")</f>
        <v>8.3170000000000002</v>
      </c>
      <c r="BG70" t="str" cm="1">
        <f t="array" aca="1" ref="BG70" ca="1">IF( AND($E$7,NOT(ISBLANK($E70))), IF( _xll.IMDP("IR", $E70, BG$8, Matrix!$D$6)=0,"",_xll.IMDP("IR", $E70, BG$8, Matrix!$D$6)), "")</f>
        <v/>
      </c>
      <c r="BH70" t="str" cm="1">
        <f t="array" aca="1" ref="BH70" ca="1">IF( AND($E$7,NOT(ISBLANK($E70))), IF( _xll.IMDP("IR", $E70, BH$8, Matrix!$D$6)=0,"",_xll.IMDP("IR", $E70, BH$8, Matrix!$D$6)), "")</f>
        <v/>
      </c>
      <c r="BI70" cm="1">
        <f t="array" aca="1" ref="BI70" ca="1">IF( AND($F$7,NOT(ISBLANK($F70))), IF( _xll.IMDP("IR", $F70, BI$8, Matrix!$D$6)=0,"",_xll.IMDP("IR", $F70, BI$8, Matrix!$D$6)), "")</f>
        <v>4.4539999999999997</v>
      </c>
      <c r="BJ70" cm="1">
        <f t="array" aca="1" ref="BJ70" ca="1">IF( AND($F$7,NOT(ISBLANK($F70))), IF( _xll.IMDP("IR", $F70, BJ$8, Matrix!$D$6)=0,"",_xll.IMDP("IR", $F70, BJ$8, Matrix!$D$6)), "")</f>
        <v>4.7960000000000003</v>
      </c>
      <c r="BK70" cm="1">
        <f t="array" aca="1" ref="BK70" ca="1">IF( AND($F$7,NOT(ISBLANK($F70))), IF( _xll.IMDP("IR", $F70, BK$8, Matrix!$D$6)=0,"",_xll.IMDP("IR", $F70, BK$8, Matrix!$D$6)), "")</f>
        <v>5.1639999999999997</v>
      </c>
      <c r="BL70" cm="1">
        <f t="array" aca="1" ref="BL70" ca="1">IF( AND($F$7,NOT(ISBLANK($F70))), IF( _xll.IMDP("IR", $F70, BL$8, Matrix!$D$6)=0,"",_xll.IMDP("IR", $F70, BL$8, Matrix!$D$6)), "")</f>
        <v>5.3840000000000003</v>
      </c>
      <c r="BM70" cm="1">
        <f t="array" aca="1" ref="BM70" ca="1">IF( AND($F$7,NOT(ISBLANK($F70))), IF( _xll.IMDP("IR", $F70, BM$8, Matrix!$D$6)=0,"",_xll.IMDP("IR", $F70, BM$8, Matrix!$D$6)), "")</f>
        <v>5.7859999999999996</v>
      </c>
      <c r="BN70" cm="1">
        <f t="array" aca="1" ref="BN70" ca="1">IF( AND($F$7,NOT(ISBLANK($F70))), IF( _xll.IMDP("IR", $F70, BN$8, Matrix!$D$6)=0,"",_xll.IMDP("IR", $F70, BN$8, Matrix!$D$6)), "")</f>
        <v>6.335</v>
      </c>
      <c r="BO70" cm="1">
        <f t="array" aca="1" ref="BO70" ca="1">IF( AND($F$7,NOT(ISBLANK($F70))), IF( _xll.IMDP("IR", $F70, BO$8, Matrix!$D$6)=0,"",_xll.IMDP("IR", $F70, BO$8, Matrix!$D$6)), "")</f>
        <v>6.7110000000000003</v>
      </c>
      <c r="BP70" cm="1">
        <f t="array" aca="1" ref="BP70" ca="1">IF( AND($F$7,NOT(ISBLANK($F70))), IF( _xll.IMDP("IR", $F70, BP$8, Matrix!$D$6)=0,"",_xll.IMDP("IR", $F70, BP$8, Matrix!$D$6)), "")</f>
        <v>6.9779999999999998</v>
      </c>
      <c r="BQ70" cm="1">
        <f t="array" aca="1" ref="BQ70" ca="1">IF( AND($F$7,NOT(ISBLANK($F70))), IF( _xll.IMDP("IR", $F70, BQ$8, Matrix!$D$6)=0,"",_xll.IMDP("IR", $F70, BQ$8, Matrix!$D$6)), "")</f>
        <v>7.2069999999999999</v>
      </c>
      <c r="BR70" cm="1">
        <f t="array" aca="1" ref="BR70" ca="1">IF( AND($F$7,NOT(ISBLANK($F70))), IF( _xll.IMDP("IR", $F70, BR$8, Matrix!$D$6)=0,"",_xll.IMDP("IR", $F70, BR$8, Matrix!$D$6)), "")</f>
        <v>7.306</v>
      </c>
      <c r="BS70" cm="1">
        <f t="array" aca="1" ref="BS70" ca="1">IF( AND($F$7,NOT(ISBLANK($F70))), IF( _xll.IMDP("IR", $F70, BS$8, Matrix!$D$6)=0,"",_xll.IMDP("IR", $F70, BS$8, Matrix!$D$6)), "")</f>
        <v>7.3760000000000003</v>
      </c>
      <c r="BT70" cm="1">
        <f t="array" aca="1" ref="BT70" ca="1">IF( AND($F$7,NOT(ISBLANK($F70))), IF( _xll.IMDP("IR", $F70, BT$8, Matrix!$D$6)=0,"",_xll.IMDP("IR", $F70, BT$8, Matrix!$D$6)), "")</f>
        <v>7.7060000000000004</v>
      </c>
      <c r="BU70" cm="1">
        <f t="array" aca="1" ref="BU70" ca="1">IF( AND($F$7,NOT(ISBLANK($F70))), IF( _xll.IMDP("IR", $F70, BU$8, Matrix!$D$6)=0,"",_xll.IMDP("IR", $F70, BU$8, Matrix!$D$6)), "")</f>
        <v>8.0350000000000001</v>
      </c>
      <c r="BV70" cm="1">
        <f t="array" aca="1" ref="BV70" ca="1">IF( AND($F$7,NOT(ISBLANK($F70))), IF( _xll.IMDP("IR", $F70, BV$8, Matrix!$D$6)=0,"",_xll.IMDP("IR", $F70, BV$8, Matrix!$D$6)), "")</f>
        <v>8.34</v>
      </c>
      <c r="BW70" t="str" cm="1">
        <f t="array" aca="1" ref="BW70" ca="1">IF( AND($F$7,NOT(ISBLANK($F70))), IF( _xll.IMDP("IR", $F70, BW$8, Matrix!$D$6)=0,"",_xll.IMDP("IR", $F70, BW$8, Matrix!$D$6)), "")</f>
        <v/>
      </c>
      <c r="BX70" t="str" cm="1">
        <f t="array" aca="1" ref="BX70" ca="1">IF( AND($F$7,NOT(ISBLANK($F70))), IF( _xll.IMDP("IR", $F70, BX$8, Matrix!$D$6)=0,"",_xll.IMDP("IR", $F70, BX$8, Matrix!$D$6)), "")</f>
        <v/>
      </c>
      <c r="BY70" cm="1">
        <f t="array" aca="1" ref="BY70" ca="1">IF( AND($G$7,NOT(ISBLANK($G70))), IF( _xll.IMDP("IR", $G70, BY$8, Matrix!$D$6)=0, "", _xll.IMDP("IR", $G70, BY$8, Matrix!$D$6)), "")</f>
        <v>4.484</v>
      </c>
      <c r="BZ70" cm="1">
        <f t="array" aca="1" ref="BZ70" ca="1">IF( AND($G$7,NOT(ISBLANK($G70))), IF( _xll.IMDP("IR", $G70, BZ$8, Matrix!$D$6)=0, "", _xll.IMDP("IR", $G70, BZ$8, Matrix!$D$6)), "")</f>
        <v>4.8819999999999997</v>
      </c>
      <c r="CA70" cm="1">
        <f t="array" aca="1" ref="CA70" ca="1">IF( AND($G$7,NOT(ISBLANK($G70))), IF( _xll.IMDP("IR", $G70, CA$8, Matrix!$D$6)=0, "", _xll.IMDP("IR", $G70, CA$8, Matrix!$D$6)), "")</f>
        <v>5.2149999999999999</v>
      </c>
      <c r="CB70" cm="1">
        <f t="array" aca="1" ref="CB70" ca="1">IF( AND($G$7,NOT(ISBLANK($G70))), IF( _xll.IMDP("IR", $G70, CB$8, Matrix!$D$6)=0, "", _xll.IMDP("IR", $G70, CB$8, Matrix!$D$6)), "")</f>
        <v>5.4089999999999998</v>
      </c>
      <c r="CC70" cm="1">
        <f t="array" aca="1" ref="CC70" ca="1">IF( AND($G$7,NOT(ISBLANK($G70))), IF( _xll.IMDP("IR", $G70, CC$8, Matrix!$D$6)=0, "", _xll.IMDP("IR", $G70, CC$8, Matrix!$D$6)), "")</f>
        <v>5.8129999999999997</v>
      </c>
      <c r="CD70" cm="1">
        <f t="array" aca="1" ref="CD70" ca="1">IF( AND($G$7,NOT(ISBLANK($G70))), IF( _xll.IMDP("IR", $G70, CD$8, Matrix!$D$6)=0, "", _xll.IMDP("IR", $G70, CD$8, Matrix!$D$6)), "")</f>
        <v>6.3570000000000002</v>
      </c>
      <c r="CE70" cm="1">
        <f t="array" aca="1" ref="CE70" ca="1">IF( AND($G$7,NOT(ISBLANK($G70))), IF( _xll.IMDP("IR", $G70, CE$8, Matrix!$D$6)=0, "", _xll.IMDP("IR", $G70, CE$8, Matrix!$D$6)), "")</f>
        <v>6.7489999999999997</v>
      </c>
      <c r="CF70" cm="1">
        <f t="array" aca="1" ref="CF70" ca="1">IF( AND($G$7,NOT(ISBLANK($G70))), IF( _xll.IMDP("IR", $G70, CF$8, Matrix!$D$6)=0, "", _xll.IMDP("IR", $G70, CF$8, Matrix!$D$6)), "")</f>
        <v>7.0140000000000002</v>
      </c>
      <c r="CG70" cm="1">
        <f t="array" aca="1" ref="CG70" ca="1">IF( AND($G$7,NOT(ISBLANK($G70))), IF( _xll.IMDP("IR", $G70, CG$8, Matrix!$D$6)=0, "", _xll.IMDP("IR", $G70, CG$8, Matrix!$D$6)), "")</f>
        <v>7.2140000000000004</v>
      </c>
      <c r="CH70" cm="1">
        <f t="array" aca="1" ref="CH70" ca="1">IF( AND($G$7,NOT(ISBLANK($G70))), IF( _xll.IMDP("IR", $G70, CH$8, Matrix!$D$6)=0, "", _xll.IMDP("IR", $G70, CH$8, Matrix!$D$6)), "")</f>
        <v>7.3239999999999998</v>
      </c>
      <c r="CI70" cm="1">
        <f t="array" aca="1" ref="CI70" ca="1">IF( AND($G$7,NOT(ISBLANK($G70))), IF( _xll.IMDP("IR", $G70, CI$8, Matrix!$D$6)=0, "", _xll.IMDP("IR", $G70, CI$8, Matrix!$D$6)), "")</f>
        <v>7.3819999999999997</v>
      </c>
      <c r="CJ70" cm="1">
        <f t="array" aca="1" ref="CJ70" ca="1">IF( AND($G$7,NOT(ISBLANK($G70))), IF( _xll.IMDP("IR", $G70, CJ$8, Matrix!$D$6)=0, "", _xll.IMDP("IR", $G70, CJ$8, Matrix!$D$6)), "")</f>
        <v>7.6609999999999996</v>
      </c>
      <c r="CK70" cm="1">
        <f t="array" aca="1" ref="CK70" ca="1">IF( AND($G$7,NOT(ISBLANK($G70))), IF( _xll.IMDP("IR", $G70, CK$8, Matrix!$D$6)=0, "", _xll.IMDP("IR", $G70, CK$8, Matrix!$D$6)), "")</f>
        <v>8.0180000000000007</v>
      </c>
      <c r="CL70" cm="1">
        <f t="array" aca="1" ref="CL70" ca="1">IF( AND($G$7,NOT(ISBLANK($G70))), IF( _xll.IMDP("IR", $G70, CL$8, Matrix!$D$6)=0, "", _xll.IMDP("IR", $G70, CL$8, Matrix!$D$6)), "")</f>
        <v>8.3149999999999995</v>
      </c>
      <c r="CM70" t="str" cm="1">
        <f t="array" aca="1" ref="CM70" ca="1">IF( AND($G$7,NOT(ISBLANK($G70))), IF( _xll.IMDP("IR", $G70, CM$8, Matrix!$D$6)=0, "", _xll.IMDP("IR", $G70, CM$8, Matrix!$D$6)), "")</f>
        <v/>
      </c>
      <c r="CN70" t="str" cm="1">
        <f t="array" aca="1" ref="CN70" ca="1">IF( AND($G$7,NOT(ISBLANK($G70))), IF( _xll.IMDP("IR", $G70, CN$8, Matrix!$D$6)=0, "", _xll.IMDP("IR", $G70, CN$8, Matrix!$D$6)), "")</f>
        <v/>
      </c>
      <c r="CO70" cm="1">
        <f t="array" aca="1" ref="CO70" ca="1">IF( AND($H$7,NOT(ISBLANK($H70))), IF( _xll.IMDP("IR", $H70, CO$8, Matrix!$D$6)=0, "", _xll.IMDP("IR", $H70, CO$8, Matrix!$D$6)), "")</f>
        <v>4.4619999999999997</v>
      </c>
      <c r="CP70" cm="1">
        <f t="array" aca="1" ref="CP70" ca="1">IF( AND($H$7,NOT(ISBLANK($H70))), IF( _xll.IMDP("IR", $H70, CP$8, Matrix!$D$6)=0, "", _xll.IMDP("IR", $H70, CP$8, Matrix!$D$6)), "")</f>
        <v>4.8540000000000001</v>
      </c>
      <c r="CQ70" cm="1">
        <f t="array" aca="1" ref="CQ70" ca="1">IF( AND($H$7,NOT(ISBLANK($H70))), IF( _xll.IMDP("IR", $H70, CQ$8, Matrix!$D$6)=0, "", _xll.IMDP("IR", $H70, CQ$8, Matrix!$D$6)), "")</f>
        <v>5.2060000000000004</v>
      </c>
      <c r="CR70" cm="1">
        <f t="array" aca="1" ref="CR70" ca="1">IF( AND($H$7,NOT(ISBLANK($H70))), IF( _xll.IMDP("IR", $H70, CR$8, Matrix!$D$6)=0, "", _xll.IMDP("IR", $H70, CR$8, Matrix!$D$6)), "")</f>
        <v>5.3920000000000003</v>
      </c>
      <c r="CS70" cm="1">
        <f t="array" aca="1" ref="CS70" ca="1">IF( AND($H$7,NOT(ISBLANK($H70))), IF( _xll.IMDP("IR", $H70, CS$8, Matrix!$D$6)=0, "", _xll.IMDP("IR", $H70, CS$8, Matrix!$D$6)), "")</f>
        <v>5.8029999999999999</v>
      </c>
      <c r="CT70" cm="1">
        <f t="array" aca="1" ref="CT70" ca="1">IF( AND($H$7,NOT(ISBLANK($H70))), IF( _xll.IMDP("IR", $H70, CT$8, Matrix!$D$6)=0, "", _xll.IMDP("IR", $H70, CT$8, Matrix!$D$6)), "")</f>
        <v>6.3479999999999999</v>
      </c>
      <c r="CU70" cm="1">
        <f t="array" aca="1" ref="CU70" ca="1">IF( AND($H$7,NOT(ISBLANK($H70))), IF( _xll.IMDP("IR", $H70, CU$8, Matrix!$D$6)=0, "", _xll.IMDP("IR", $H70, CU$8, Matrix!$D$6)), "")</f>
        <v>6.7160000000000002</v>
      </c>
      <c r="CV70" cm="1">
        <f t="array" aca="1" ref="CV70" ca="1">IF( AND($H$7,NOT(ISBLANK($H70))), IF( _xll.IMDP("IR", $H70, CV$8, Matrix!$D$6)=0, "", _xll.IMDP("IR", $H70, CV$8, Matrix!$D$6)), "")</f>
        <v>6.9850000000000003</v>
      </c>
      <c r="CW70" cm="1">
        <f t="array" aca="1" ref="CW70" ca="1">IF( AND($H$7,NOT(ISBLANK($H70))), IF( _xll.IMDP("IR", $H70, CW$8, Matrix!$D$6)=0, "", _xll.IMDP("IR", $H70, CW$8, Matrix!$D$6)), "")</f>
        <v>7.1959999999999997</v>
      </c>
      <c r="CX70" cm="1">
        <f t="array" aca="1" ref="CX70" ca="1">IF( AND($H$7,NOT(ISBLANK($H70))), IF( _xll.IMDP("IR", $H70, CX$8, Matrix!$D$6)=0, "", _xll.IMDP("IR", $H70, CX$8, Matrix!$D$6)), "")</f>
        <v>7.2839999999999998</v>
      </c>
      <c r="CY70" cm="1">
        <f t="array" aca="1" ref="CY70" ca="1">IF( AND($H$7,NOT(ISBLANK($H70))), IF( _xll.IMDP("IR", $H70, CY$8, Matrix!$D$6)=0, "", _xll.IMDP("IR", $H70, CY$8, Matrix!$D$6)), "")</f>
        <v>7.359</v>
      </c>
      <c r="CZ70" cm="1">
        <f t="array" aca="1" ref="CZ70" ca="1">IF( AND($H$7,NOT(ISBLANK($H70))), IF( _xll.IMDP("IR", $H70, CZ$8, Matrix!$D$6)=0, "", _xll.IMDP("IR", $H70, CZ$8, Matrix!$D$6)), "")</f>
        <v>7.6790000000000003</v>
      </c>
      <c r="DA70" t="str" cm="1">
        <f t="array" aca="1" ref="DA70" ca="1">IF( AND($H$7,NOT(ISBLANK($H70))), IF( _xll.IMDP("IR", $H70, DA$8, Matrix!$D$6)=0, "", _xll.IMDP("IR", $H70, DA$8, Matrix!$D$6)), "")</f>
        <v/>
      </c>
      <c r="DB70" t="str" cm="1">
        <f t="array" aca="1" ref="DB70" ca="1">IF( AND($H$7,NOT(ISBLANK($H70))), IF( _xll.IMDP("IR", $H70, DB$8, Matrix!$D$6)=0, "", _xll.IMDP("IR", $H70, DB$8, Matrix!$D$6)), "")</f>
        <v/>
      </c>
      <c r="DC70" t="str" cm="1">
        <f t="array" aca="1" ref="DC70" ca="1">IF( AND($H$7,NOT(ISBLANK($H70))), IF( _xll.IMDP("IR", $H70, DC$8, Matrix!$D$6)=0, "", _xll.IMDP("IR", $H70, DC$8, Matrix!$D$6)), "")</f>
        <v/>
      </c>
      <c r="DD70" t="str" cm="1">
        <f t="array" aca="1" ref="DD70" ca="1">IF( AND($H$7,NOT(ISBLANK($H70))), IF( _xll.IMDP("IR", $H70, DD$8, Matrix!$D$6)=0, "", _xll.IMDP("IR", $H70, DD$8, Matrix!$D$6)), "")</f>
        <v/>
      </c>
    </row>
    <row r="71" spans="2:108">
      <c r="B71" t="s">
        <v>139</v>
      </c>
      <c r="C71" t="s">
        <v>213</v>
      </c>
      <c r="D71" t="s">
        <v>278</v>
      </c>
      <c r="E71" t="s">
        <v>339</v>
      </c>
      <c r="F71" t="s">
        <v>409</v>
      </c>
      <c r="G71" t="s">
        <v>472</v>
      </c>
      <c r="H71" t="s">
        <v>519</v>
      </c>
      <c r="M71" s="21">
        <f t="shared" ca="1" si="34"/>
        <v>4.8371589946130502</v>
      </c>
      <c r="N71" s="21">
        <f t="shared" ca="1" si="35"/>
        <v>5.361175092070714</v>
      </c>
      <c r="O71" s="21">
        <f t="shared" ca="1" si="36"/>
        <v>5.7911895904244979</v>
      </c>
      <c r="P71" s="21">
        <f t="shared" ca="1" si="37"/>
        <v>6.0763874755731839</v>
      </c>
      <c r="Q71" s="21">
        <f t="shared" ca="1" si="38"/>
        <v>6.6055952588805722</v>
      </c>
      <c r="R71" s="21">
        <f t="shared" ca="1" si="39"/>
        <v>7.2941951363596766</v>
      </c>
      <c r="S71" s="21">
        <f t="shared" ca="1" si="40"/>
        <v>7.7403910853779188</v>
      </c>
      <c r="T71" s="21">
        <f t="shared" ca="1" si="41"/>
        <v>8.0231885599388786</v>
      </c>
      <c r="U71" s="21">
        <f t="shared" ca="1" si="42"/>
        <v>8.239187722665438</v>
      </c>
      <c r="V71" s="21">
        <f t="shared" ca="1" si="43"/>
        <v>8.3349229614262779</v>
      </c>
      <c r="W71" s="21">
        <f t="shared" ca="1" si="44"/>
        <v>8.4133650372486279</v>
      </c>
      <c r="X71" s="21">
        <f t="shared" ca="1" si="45"/>
        <v>8.7763894103317686</v>
      </c>
      <c r="Y71" s="21">
        <f t="shared" ca="1" si="46"/>
        <v>9.1157020363541257</v>
      </c>
      <c r="Z71" s="21">
        <f t="shared" ca="1" si="47"/>
        <v>9.4494465926396281</v>
      </c>
      <c r="AA71" s="21" t="e">
        <f t="shared" ca="1" si="48"/>
        <v>#NUM!</v>
      </c>
      <c r="AB71" s="21" t="e">
        <f t="shared" ca="1" si="49"/>
        <v>#NUM!</v>
      </c>
      <c r="AC71" cm="1">
        <f t="array" aca="1" ref="AC71" ca="1">IF( AND($D$7,NOT(ISBLANK($D71))), IF(_xll.IMDP("IR", $D71, AC$8, Matrix!$D$6)=0,"",_xll.IMDP("IR", $D71, AC$8, Matrix!$D$6)), "")</f>
        <v>4.7990000000000004</v>
      </c>
      <c r="AD71" cm="1">
        <f t="array" aca="1" ref="AD71" ca="1">IF( AND($D$7,NOT(ISBLANK($D71))), IF(_xll.IMDP("IR", $D71, AD$8, Matrix!$D$6)=0,"",_xll.IMDP("IR", $D71, AD$8, Matrix!$D$6)), "")</f>
        <v>5.367</v>
      </c>
      <c r="AE71" cm="1">
        <f t="array" aca="1" ref="AE71" ca="1">IF( AND($D$7,NOT(ISBLANK($D71))), IF(_xll.IMDP("IR", $D71, AE$8, Matrix!$D$6)=0,"",_xll.IMDP("IR", $D71, AE$8, Matrix!$D$6)), "")</f>
        <v>5.7880000000000003</v>
      </c>
      <c r="AF71" cm="1">
        <f t="array" aca="1" ref="AF71" ca="1">IF( AND($D$7,NOT(ISBLANK($D71))), IF(_xll.IMDP("IR", $D71, AF$8, Matrix!$D$6)=0,"",_xll.IMDP("IR", $D71, AF$8, Matrix!$D$6)), "")</f>
        <v>6.0629999999999997</v>
      </c>
      <c r="AG71" cm="1">
        <f t="array" aca="1" ref="AG71" ca="1">IF( AND($D$7,NOT(ISBLANK($D71))), IF(_xll.IMDP("IR", $D71, AG$8, Matrix!$D$6)=0,"",_xll.IMDP("IR", $D71, AG$8, Matrix!$D$6)), "")</f>
        <v>6.6130000000000004</v>
      </c>
      <c r="AH71" cm="1">
        <f t="array" aca="1" ref="AH71" ca="1">IF( AND($D$7,NOT(ISBLANK($D71))), IF(_xll.IMDP("IR", $D71, AH$8, Matrix!$D$6)=0,"",_xll.IMDP("IR", $D71, AH$8, Matrix!$D$6)), "")</f>
        <v>7.306</v>
      </c>
      <c r="AI71" cm="1">
        <f t="array" aca="1" ref="AI71" ca="1">IF( AND($D$7,NOT(ISBLANK($D71))), IF(_xll.IMDP("IR", $D71, AI$8, Matrix!$D$6)=0,"",_xll.IMDP("IR", $D71, AI$8, Matrix!$D$6)), "")</f>
        <v>7.718</v>
      </c>
      <c r="AJ71" cm="1">
        <f t="array" aca="1" ref="AJ71" ca="1">IF( AND($D$7,NOT(ISBLANK($D71))), IF(_xll.IMDP("IR", $D71, AJ$8, Matrix!$D$6)=0,"",_xll.IMDP("IR", $D71, AJ$8, Matrix!$D$6)), "")</f>
        <v>7.9980000000000002</v>
      </c>
      <c r="AK71" cm="1">
        <f t="array" aca="1" ref="AK71" ca="1">IF( AND($D$7,NOT(ISBLANK($D71))), IF(_xll.IMDP("IR", $D71, AK$8, Matrix!$D$6)=0,"",_xll.IMDP("IR", $D71, AK$8, Matrix!$D$6)), "")</f>
        <v>8.2140000000000004</v>
      </c>
      <c r="AL71" cm="1">
        <f t="array" aca="1" ref="AL71" ca="1">IF( AND($D$7,NOT(ISBLANK($D71))), IF(_xll.IMDP("IR", $D71, AL$8, Matrix!$D$6)=0,"",_xll.IMDP("IR", $D71, AL$8, Matrix!$D$6)), "")</f>
        <v>8.2720000000000002</v>
      </c>
      <c r="AM71" cm="1">
        <f t="array" aca="1" ref="AM71" ca="1">IF( AND($D$7,NOT(ISBLANK($D71))), IF(_xll.IMDP("IR", $D71, AM$8, Matrix!$D$6)=0,"",_xll.IMDP("IR", $D71, AM$8, Matrix!$D$6)), "")</f>
        <v>8.3719999999999999</v>
      </c>
      <c r="AN71" cm="1">
        <f t="array" aca="1" ref="AN71" ca="1">IF( AND($D$7,NOT(ISBLANK($D71))), IF(_xll.IMDP("IR", $D71, AN$8, Matrix!$D$6)=0,"",_xll.IMDP("IR", $D71, AN$8, Matrix!$D$6)), "")</f>
        <v>8.7769999999999992</v>
      </c>
      <c r="AO71" cm="1">
        <f t="array" aca="1" ref="AO71" ca="1">IF( AND($D$7,NOT(ISBLANK($D71))), IF(_xll.IMDP("IR", $D71, AO$8, Matrix!$D$6)=0,"",_xll.IMDP("IR", $D71, AO$8, Matrix!$D$6)), "")</f>
        <v>9.0690000000000008</v>
      </c>
      <c r="AP71" cm="1">
        <f t="array" aca="1" ref="AP71" ca="1">IF( AND($D$7,NOT(ISBLANK($D71))), IF(_xll.IMDP("IR", $D71, AP$8, Matrix!$D$6)=0,"",_xll.IMDP("IR", $D71, AP$8, Matrix!$D$6)), "")</f>
        <v>9.4060000000000006</v>
      </c>
      <c r="AQ71" t="str" cm="1">
        <f t="array" aca="1" ref="AQ71" ca="1">IF( AND($D$7,NOT(ISBLANK($D71))), IF(_xll.IMDP("IR", $D71, AQ$8, Matrix!$D$6)=0,"",_xll.IMDP("IR", $D71, AQ$8, Matrix!$D$6)), "")</f>
        <v/>
      </c>
      <c r="AR71" t="str" cm="1">
        <f t="array" aca="1" ref="AR71" ca="1">IF( AND($D$7,NOT(ISBLANK($D71))), IF(_xll.IMDP("IR", $D71, AR$8, Matrix!$D$6)=0,"",_xll.IMDP("IR", $D71, AR$8, Matrix!$D$6)), "")</f>
        <v/>
      </c>
      <c r="AS71" cm="1">
        <f t="array" aca="1" ref="AS71" ca="1">IF( AND($E$7,NOT(ISBLANK($E71))), IF( _xll.IMDP("IR", $E71, AS$8, Matrix!$D$6)=0,"",_xll.IMDP("IR", $E71, AS$8, Matrix!$D$6)), "")</f>
        <v>4.8470000000000004</v>
      </c>
      <c r="AT71" cm="1">
        <f t="array" aca="1" ref="AT71" ca="1">IF( AND($E$7,NOT(ISBLANK($E71))), IF( _xll.IMDP("IR", $E71, AT$8, Matrix!$D$6)=0,"",_xll.IMDP("IR", $E71, AT$8, Matrix!$D$6)), "")</f>
        <v>5.367</v>
      </c>
      <c r="AU71" cm="1">
        <f t="array" aca="1" ref="AU71" ca="1">IF( AND($E$7,NOT(ISBLANK($E71))), IF( _xll.IMDP("IR", $E71, AU$8, Matrix!$D$6)=0,"",_xll.IMDP("IR", $E71, AU$8, Matrix!$D$6)), "")</f>
        <v>5.8079999999999998</v>
      </c>
      <c r="AV71" cm="1">
        <f t="array" aca="1" ref="AV71" ca="1">IF( AND($E$7,NOT(ISBLANK($E71))), IF( _xll.IMDP("IR", $E71, AV$8, Matrix!$D$6)=0,"",_xll.IMDP("IR", $E71, AV$8, Matrix!$D$6)), "")</f>
        <v>6.0629999999999997</v>
      </c>
      <c r="AW71" cm="1">
        <f t="array" aca="1" ref="AW71" ca="1">IF( AND($E$7,NOT(ISBLANK($E71))), IF( _xll.IMDP("IR", $E71, AW$8, Matrix!$D$6)=0,"",_xll.IMDP("IR", $E71, AW$8, Matrix!$D$6)), "")</f>
        <v>6.6159999999999997</v>
      </c>
      <c r="AX71" cm="1">
        <f t="array" aca="1" ref="AX71" ca="1">IF( AND($E$7,NOT(ISBLANK($E71))), IF( _xll.IMDP("IR", $E71, AX$8, Matrix!$D$6)=0,"",_xll.IMDP("IR", $E71, AX$8, Matrix!$D$6)), "")</f>
        <v>7.2850000000000001</v>
      </c>
      <c r="AY71" cm="1">
        <f t="array" aca="1" ref="AY71" ca="1">IF( AND($E$7,NOT(ISBLANK($E71))), IF( _xll.IMDP("IR", $E71, AY$8, Matrix!$D$6)=0,"",_xll.IMDP("IR", $E71, AY$8, Matrix!$D$6)), "")</f>
        <v>7.7460000000000004</v>
      </c>
      <c r="AZ71" cm="1">
        <f t="array" aca="1" ref="AZ71" ca="1">IF( AND($E$7,NOT(ISBLANK($E71))), IF( _xll.IMDP("IR", $E71, AZ$8, Matrix!$D$6)=0,"",_xll.IMDP("IR", $E71, AZ$8, Matrix!$D$6)), "")</f>
        <v>8.0350000000000001</v>
      </c>
      <c r="BA71" cm="1">
        <f t="array" aca="1" ref="BA71" ca="1">IF( AND($E$7,NOT(ISBLANK($E71))), IF( _xll.IMDP("IR", $E71, BA$8, Matrix!$D$6)=0,"",_xll.IMDP("IR", $E71, BA$8, Matrix!$D$6)), "")</f>
        <v>8.2430000000000003</v>
      </c>
      <c r="BB71" cm="1">
        <f t="array" aca="1" ref="BB71" ca="1">IF( AND($E$7,NOT(ISBLANK($E71))), IF( _xll.IMDP("IR", $E71, BB$8, Matrix!$D$6)=0,"",_xll.IMDP("IR", $E71, BB$8, Matrix!$D$6)), "")</f>
        <v>8.3390000000000004</v>
      </c>
      <c r="BC71" cm="1">
        <f t="array" aca="1" ref="BC71" ca="1">IF( AND($E$7,NOT(ISBLANK($E71))), IF( _xll.IMDP("IR", $E71, BC$8, Matrix!$D$6)=0,"",_xll.IMDP("IR", $E71, BC$8, Matrix!$D$6)), "")</f>
        <v>8.4179999999999993</v>
      </c>
      <c r="BD71" cm="1">
        <f t="array" aca="1" ref="BD71" ca="1">IF( AND($E$7,NOT(ISBLANK($E71))), IF( _xll.IMDP("IR", $E71, BD$8, Matrix!$D$6)=0,"",_xll.IMDP("IR", $E71, BD$8, Matrix!$D$6)), "")</f>
        <v>8.7970000000000006</v>
      </c>
      <c r="BE71" cm="1">
        <f t="array" aca="1" ref="BE71" ca="1">IF( AND($E$7,NOT(ISBLANK($E71))), IF( _xll.IMDP("IR", $E71, BE$8, Matrix!$D$6)=0,"",_xll.IMDP("IR", $E71, BE$8, Matrix!$D$6)), "")</f>
        <v>9.1440000000000001</v>
      </c>
      <c r="BF71" cm="1">
        <f t="array" aca="1" ref="BF71" ca="1">IF( AND($E$7,NOT(ISBLANK($E71))), IF( _xll.IMDP("IR", $E71, BF$8, Matrix!$D$6)=0,"",_xll.IMDP("IR", $E71, BF$8, Matrix!$D$6)), "")</f>
        <v>9.4920000000000009</v>
      </c>
      <c r="BG71" t="str" cm="1">
        <f t="array" aca="1" ref="BG71" ca="1">IF( AND($E$7,NOT(ISBLANK($E71))), IF( _xll.IMDP("IR", $E71, BG$8, Matrix!$D$6)=0,"",_xll.IMDP("IR", $E71, BG$8, Matrix!$D$6)), "")</f>
        <v/>
      </c>
      <c r="BH71" t="str" cm="1">
        <f t="array" aca="1" ref="BH71" ca="1">IF( AND($E$7,NOT(ISBLANK($E71))), IF( _xll.IMDP("IR", $E71, BH$8, Matrix!$D$6)=0,"",_xll.IMDP("IR", $E71, BH$8, Matrix!$D$6)), "")</f>
        <v/>
      </c>
      <c r="BI71" cm="1">
        <f t="array" aca="1" ref="BI71" ca="1">IF( AND($F$7,NOT(ISBLANK($F71))), IF( _xll.IMDP("IR", $F71, BI$8, Matrix!$D$6)=0,"",_xll.IMDP("IR", $F71, BI$8, Matrix!$D$6)), "")</f>
        <v>4.8490000000000002</v>
      </c>
      <c r="BJ71" cm="1">
        <f t="array" aca="1" ref="BJ71" ca="1">IF( AND($F$7,NOT(ISBLANK($F71))), IF( _xll.IMDP("IR", $F71, BJ$8, Matrix!$D$6)=0,"",_xll.IMDP("IR", $F71, BJ$8, Matrix!$D$6)), "")</f>
        <v>5.3310000000000004</v>
      </c>
      <c r="BK71" cm="1">
        <f t="array" aca="1" ref="BK71" ca="1">IF( AND($F$7,NOT(ISBLANK($F71))), IF( _xll.IMDP("IR", $F71, BK$8, Matrix!$D$6)=0,"",_xll.IMDP("IR", $F71, BK$8, Matrix!$D$6)), "")</f>
        <v>5.774</v>
      </c>
      <c r="BL71" cm="1">
        <f t="array" aca="1" ref="BL71" ca="1">IF( AND($F$7,NOT(ISBLANK($F71))), IF( _xll.IMDP("IR", $F71, BL$8, Matrix!$D$6)=0,"",_xll.IMDP("IR", $F71, BL$8, Matrix!$D$6)), "")</f>
        <v>6.0940000000000003</v>
      </c>
      <c r="BM71" cm="1">
        <f t="array" aca="1" ref="BM71" ca="1">IF( AND($F$7,NOT(ISBLANK($F71))), IF( _xll.IMDP("IR", $F71, BM$8, Matrix!$D$6)=0,"",_xll.IMDP("IR", $F71, BM$8, Matrix!$D$6)), "")</f>
        <v>6.5960000000000001</v>
      </c>
      <c r="BN71" cm="1">
        <f t="array" aca="1" ref="BN71" ca="1">IF( AND($F$7,NOT(ISBLANK($F71))), IF( _xll.IMDP("IR", $F71, BN$8, Matrix!$D$6)=0,"",_xll.IMDP("IR", $F71, BN$8, Matrix!$D$6)), "")</f>
        <v>7.2850000000000001</v>
      </c>
      <c r="BO71" cm="1">
        <f t="array" aca="1" ref="BO71" ca="1">IF( AND($F$7,NOT(ISBLANK($F71))), IF( _xll.IMDP("IR", $F71, BO$8, Matrix!$D$6)=0,"",_xll.IMDP("IR", $F71, BO$8, Matrix!$D$6)), "")</f>
        <v>7.7510000000000003</v>
      </c>
      <c r="BP71" cm="1">
        <f t="array" aca="1" ref="BP71" ca="1">IF( AND($F$7,NOT(ISBLANK($F71))), IF( _xll.IMDP("IR", $F71, BP$8, Matrix!$D$6)=0,"",_xll.IMDP("IR", $F71, BP$8, Matrix!$D$6)), "")</f>
        <v>8.0250000000000004</v>
      </c>
      <c r="BQ71" cm="1">
        <f t="array" aca="1" ref="BQ71" ca="1">IF( AND($F$7,NOT(ISBLANK($F71))), IF( _xll.IMDP("IR", $F71, BQ$8, Matrix!$D$6)=0,"",_xll.IMDP("IR", $F71, BQ$8, Matrix!$D$6)), "")</f>
        <v>8.2420000000000009</v>
      </c>
      <c r="BR71" cm="1">
        <f t="array" aca="1" ref="BR71" ca="1">IF( AND($F$7,NOT(ISBLANK($F71))), IF( _xll.IMDP("IR", $F71, BR$8, Matrix!$D$6)=0,"",_xll.IMDP("IR", $F71, BR$8, Matrix!$D$6)), "")</f>
        <v>8.3460000000000001</v>
      </c>
      <c r="BS71" cm="1">
        <f t="array" aca="1" ref="BS71" ca="1">IF( AND($F$7,NOT(ISBLANK($F71))), IF( _xll.IMDP("IR", $F71, BS$8, Matrix!$D$6)=0,"",_xll.IMDP("IR", $F71, BS$8, Matrix!$D$6)), "")</f>
        <v>8.4160000000000004</v>
      </c>
      <c r="BT71" cm="1">
        <f t="array" aca="1" ref="BT71" ca="1">IF( AND($F$7,NOT(ISBLANK($F71))), IF( _xll.IMDP("IR", $F71, BT$8, Matrix!$D$6)=0,"",_xll.IMDP("IR", $F71, BT$8, Matrix!$D$6)), "")</f>
        <v>8.7539999999999996</v>
      </c>
      <c r="BU71" cm="1">
        <f t="array" aca="1" ref="BU71" ca="1">IF( AND($F$7,NOT(ISBLANK($F71))), IF( _xll.IMDP("IR", $F71, BU$8, Matrix!$D$6)=0,"",_xll.IMDP("IR", $F71, BU$8, Matrix!$D$6)), "")</f>
        <v>9.1120000000000001</v>
      </c>
      <c r="BV71" cm="1">
        <f t="array" aca="1" ref="BV71" ca="1">IF( AND($F$7,NOT(ISBLANK($F71))), IF( _xll.IMDP("IR", $F71, BV$8, Matrix!$D$6)=0,"",_xll.IMDP("IR", $F71, BV$8, Matrix!$D$6)), "")</f>
        <v>9.4369999999999994</v>
      </c>
      <c r="BW71" t="str" cm="1">
        <f t="array" aca="1" ref="BW71" ca="1">IF( AND($F$7,NOT(ISBLANK($F71))), IF( _xll.IMDP("IR", $F71, BW$8, Matrix!$D$6)=0,"",_xll.IMDP("IR", $F71, BW$8, Matrix!$D$6)), "")</f>
        <v/>
      </c>
      <c r="BX71" t="str" cm="1">
        <f t="array" aca="1" ref="BX71" ca="1">IF( AND($F$7,NOT(ISBLANK($F71))), IF( _xll.IMDP("IR", $F71, BX$8, Matrix!$D$6)=0,"",_xll.IMDP("IR", $F71, BX$8, Matrix!$D$6)), "")</f>
        <v/>
      </c>
      <c r="BY71" cm="1">
        <f t="array" aca="1" ref="BY71" ca="1">IF( AND($G$7,NOT(ISBLANK($G71))), IF( _xll.IMDP("IR", $G71, BY$8, Matrix!$D$6)=0, "", _xll.IMDP("IR", $G71, BY$8, Matrix!$D$6)), "")</f>
        <v>4.8540000000000001</v>
      </c>
      <c r="BZ71" cm="1">
        <f t="array" aca="1" ref="BZ71" ca="1">IF( AND($G$7,NOT(ISBLANK($G71))), IF( _xll.IMDP("IR", $G71, BZ$8, Matrix!$D$6)=0, "", _xll.IMDP("IR", $G71, BZ$8, Matrix!$D$6)), "")</f>
        <v>5.38</v>
      </c>
      <c r="CA71" cm="1">
        <f t="array" aca="1" ref="CA71" ca="1">IF( AND($G$7,NOT(ISBLANK($G71))), IF( _xll.IMDP("IR", $G71, CA$8, Matrix!$D$6)=0, "", _xll.IMDP("IR", $G71, CA$8, Matrix!$D$6)), "")</f>
        <v>5.7949999999999999</v>
      </c>
      <c r="CB71" cm="1">
        <f t="array" aca="1" ref="CB71" ca="1">IF( AND($G$7,NOT(ISBLANK($G71))), IF( _xll.IMDP("IR", $G71, CB$8, Matrix!$D$6)=0, "", _xll.IMDP("IR", $G71, CB$8, Matrix!$D$6)), "")</f>
        <v>6.0860000000000003</v>
      </c>
      <c r="CC71" cm="1">
        <f t="array" aca="1" ref="CC71" ca="1">IF( AND($G$7,NOT(ISBLANK($G71))), IF( _xll.IMDP("IR", $G71, CC$8, Matrix!$D$6)=0, "", _xll.IMDP("IR", $G71, CC$8, Matrix!$D$6)), "")</f>
        <v>6.5979999999999999</v>
      </c>
      <c r="CD71" cm="1">
        <f t="array" aca="1" ref="CD71" ca="1">IF( AND($G$7,NOT(ISBLANK($G71))), IF( _xll.IMDP("IR", $G71, CD$8, Matrix!$D$6)=0, "", _xll.IMDP("IR", $G71, CD$8, Matrix!$D$6)), "")</f>
        <v>7.3010000000000002</v>
      </c>
      <c r="CE71" cm="1">
        <f t="array" aca="1" ref="CE71" ca="1">IF( AND($G$7,NOT(ISBLANK($G71))), IF( _xll.IMDP("IR", $G71, CE$8, Matrix!$D$6)=0, "", _xll.IMDP("IR", $G71, CE$8, Matrix!$D$6)), "")</f>
        <v>7.7469999999999999</v>
      </c>
      <c r="CF71" cm="1">
        <f t="array" aca="1" ref="CF71" ca="1">IF( AND($G$7,NOT(ISBLANK($G71))), IF( _xll.IMDP("IR", $G71, CF$8, Matrix!$D$6)=0, "", _xll.IMDP("IR", $G71, CF$8, Matrix!$D$6)), "")</f>
        <v>8.0350000000000001</v>
      </c>
      <c r="CG71" cm="1">
        <f t="array" aca="1" ref="CG71" ca="1">IF( AND($G$7,NOT(ISBLANK($G71))), IF( _xll.IMDP("IR", $G71, CG$8, Matrix!$D$6)=0, "", _xll.IMDP("IR", $G71, CG$8, Matrix!$D$6)), "")</f>
        <v>8.2579999999999991</v>
      </c>
      <c r="CH71" cm="1">
        <f t="array" aca="1" ref="CH71" ca="1">IF( AND($G$7,NOT(ISBLANK($G71))), IF( _xll.IMDP("IR", $G71, CH$8, Matrix!$D$6)=0, "", _xll.IMDP("IR", $G71, CH$8, Matrix!$D$6)), "")</f>
        <v>8.3829999999999991</v>
      </c>
      <c r="CI71" cm="1">
        <f t="array" aca="1" ref="CI71" ca="1">IF( AND($G$7,NOT(ISBLANK($G71))), IF( _xll.IMDP("IR", $G71, CI$8, Matrix!$D$6)=0, "", _xll.IMDP("IR", $G71, CI$8, Matrix!$D$6)), "")</f>
        <v>8.4480000000000004</v>
      </c>
      <c r="CJ71" cm="1">
        <f t="array" aca="1" ref="CJ71" ca="1">IF( AND($G$7,NOT(ISBLANK($G71))), IF( _xll.IMDP("IR", $G71, CJ$8, Matrix!$D$6)=0, "", _xll.IMDP("IR", $G71, CJ$8, Matrix!$D$6)), "")</f>
        <v>8.7780000000000005</v>
      </c>
      <c r="CK71" cm="1">
        <f t="array" aca="1" ref="CK71" ca="1">IF( AND($G$7,NOT(ISBLANK($G71))), IF( _xll.IMDP("IR", $G71, CK$8, Matrix!$D$6)=0, "", _xll.IMDP("IR", $G71, CK$8, Matrix!$D$6)), "")</f>
        <v>9.1379999999999999</v>
      </c>
      <c r="CL71" cm="1">
        <f t="array" aca="1" ref="CL71" ca="1">IF( AND($G$7,NOT(ISBLANK($G71))), IF( _xll.IMDP("IR", $G71, CL$8, Matrix!$D$6)=0, "", _xll.IMDP("IR", $G71, CL$8, Matrix!$D$6)), "")</f>
        <v>9.4629999999999992</v>
      </c>
      <c r="CM71" t="str" cm="1">
        <f t="array" aca="1" ref="CM71" ca="1">IF( AND($G$7,NOT(ISBLANK($G71))), IF( _xll.IMDP("IR", $G71, CM$8, Matrix!$D$6)=0, "", _xll.IMDP("IR", $G71, CM$8, Matrix!$D$6)), "")</f>
        <v/>
      </c>
      <c r="CN71" t="str" cm="1">
        <f t="array" aca="1" ref="CN71" ca="1">IF( AND($G$7,NOT(ISBLANK($G71))), IF( _xll.IMDP("IR", $G71, CN$8, Matrix!$D$6)=0, "", _xll.IMDP("IR", $G71, CN$8, Matrix!$D$6)), "")</f>
        <v/>
      </c>
      <c r="CO71" cm="1">
        <f t="array" aca="1" ref="CO71" ca="1">IF( AND($H$7,NOT(ISBLANK($H71))), IF( _xll.IMDP("IR", $H71, CO$8, Matrix!$D$6)=0, "", _xll.IMDP("IR", $H71, CO$8, Matrix!$D$6)), "")</f>
        <v>4.8369999999999997</v>
      </c>
      <c r="CP71" cm="1">
        <f t="array" aca="1" ref="CP71" ca="1">IF( AND($H$7,NOT(ISBLANK($H71))), IF( _xll.IMDP("IR", $H71, CP$8, Matrix!$D$6)=0, "", _xll.IMDP("IR", $H71, CP$8, Matrix!$D$6)), "")</f>
        <v>5.3609999999999998</v>
      </c>
      <c r="CQ71" cm="1">
        <f t="array" aca="1" ref="CQ71" ca="1">IF( AND($H$7,NOT(ISBLANK($H71))), IF( _xll.IMDP("IR", $H71, CQ$8, Matrix!$D$6)=0, "", _xll.IMDP("IR", $H71, CQ$8, Matrix!$D$6)), "")</f>
        <v>5.7910000000000004</v>
      </c>
      <c r="CR71" cm="1">
        <f t="array" aca="1" ref="CR71" ca="1">IF( AND($H$7,NOT(ISBLANK($H71))), IF( _xll.IMDP("IR", $H71, CR$8, Matrix!$D$6)=0, "", _xll.IMDP("IR", $H71, CR$8, Matrix!$D$6)), "")</f>
        <v>6.0759999999999996</v>
      </c>
      <c r="CS71" cm="1">
        <f t="array" aca="1" ref="CS71" ca="1">IF( AND($H$7,NOT(ISBLANK($H71))), IF( _xll.IMDP("IR", $H71, CS$8, Matrix!$D$6)=0, "", _xll.IMDP("IR", $H71, CS$8, Matrix!$D$6)), "")</f>
        <v>6.6050000000000004</v>
      </c>
      <c r="CT71" cm="1">
        <f t="array" aca="1" ref="CT71" ca="1">IF( AND($H$7,NOT(ISBLANK($H71))), IF( _xll.IMDP("IR", $H71, CT$8, Matrix!$D$6)=0, "", _xll.IMDP("IR", $H71, CT$8, Matrix!$D$6)), "")</f>
        <v>7.2939999999999996</v>
      </c>
      <c r="CU71" cm="1">
        <f t="array" aca="1" ref="CU71" ca="1">IF( AND($H$7,NOT(ISBLANK($H71))), IF( _xll.IMDP("IR", $H71, CU$8, Matrix!$D$6)=0, "", _xll.IMDP("IR", $H71, CU$8, Matrix!$D$6)), "")</f>
        <v>7.74</v>
      </c>
      <c r="CV71" cm="1">
        <f t="array" aca="1" ref="CV71" ca="1">IF( AND($H$7,NOT(ISBLANK($H71))), IF( _xll.IMDP("IR", $H71, CV$8, Matrix!$D$6)=0, "", _xll.IMDP("IR", $H71, CV$8, Matrix!$D$6)), "")</f>
        <v>8.0229999999999997</v>
      </c>
      <c r="CW71" cm="1">
        <f t="array" aca="1" ref="CW71" ca="1">IF( AND($H$7,NOT(ISBLANK($H71))), IF( _xll.IMDP("IR", $H71, CW$8, Matrix!$D$6)=0, "", _xll.IMDP("IR", $H71, CW$8, Matrix!$D$6)), "")</f>
        <v>8.2390000000000008</v>
      </c>
      <c r="CX71" cm="1">
        <f t="array" aca="1" ref="CX71" ca="1">IF( AND($H$7,NOT(ISBLANK($H71))), IF( _xll.IMDP("IR", $H71, CX$8, Matrix!$D$6)=0, "", _xll.IMDP("IR", $H71, CX$8, Matrix!$D$6)), "")</f>
        <v>8.3350000000000009</v>
      </c>
      <c r="CY71" cm="1">
        <f t="array" aca="1" ref="CY71" ca="1">IF( AND($H$7,NOT(ISBLANK($H71))), IF( _xll.IMDP("IR", $H71, CY$8, Matrix!$D$6)=0, "", _xll.IMDP("IR", $H71, CY$8, Matrix!$D$6)), "")</f>
        <v>8.4130000000000003</v>
      </c>
      <c r="CZ71" cm="1">
        <f t="array" aca="1" ref="CZ71" ca="1">IF( AND($H$7,NOT(ISBLANK($H71))), IF( _xll.IMDP("IR", $H71, CZ$8, Matrix!$D$6)=0, "", _xll.IMDP("IR", $H71, CZ$8, Matrix!$D$6)), "")</f>
        <v>8.7759999999999998</v>
      </c>
      <c r="DA71" t="str" cm="1">
        <f t="array" aca="1" ref="DA71" ca="1">IF( AND($H$7,NOT(ISBLANK($H71))), IF( _xll.IMDP("IR", $H71, DA$8, Matrix!$D$6)=0, "", _xll.IMDP("IR", $H71, DA$8, Matrix!$D$6)), "")</f>
        <v/>
      </c>
      <c r="DB71" t="str" cm="1">
        <f t="array" aca="1" ref="DB71" ca="1">IF( AND($H$7,NOT(ISBLANK($H71))), IF( _xll.IMDP("IR", $H71, DB$8, Matrix!$D$6)=0, "", _xll.IMDP("IR", $H71, DB$8, Matrix!$D$6)), "")</f>
        <v/>
      </c>
      <c r="DC71" t="str" cm="1">
        <f t="array" aca="1" ref="DC71" ca="1">IF( AND($H$7,NOT(ISBLANK($H71))), IF( _xll.IMDP("IR", $H71, DC$8, Matrix!$D$6)=0, "", _xll.IMDP("IR", $H71, DC$8, Matrix!$D$6)), "")</f>
        <v/>
      </c>
      <c r="DD71" t="str" cm="1">
        <f t="array" aca="1" ref="DD71" ca="1">IF( AND($H$7,NOT(ISBLANK($H71))), IF( _xll.IMDP("IR", $H71, DD$8, Matrix!$D$6)=0, "", _xll.IMDP("IR", $H71, DD$8, Matrix!$D$6)), "")</f>
        <v/>
      </c>
    </row>
    <row r="72" spans="2:108">
      <c r="B72" t="s">
        <v>140</v>
      </c>
      <c r="C72" t="s">
        <v>214</v>
      </c>
      <c r="D72" t="s">
        <v>279</v>
      </c>
      <c r="E72" t="s">
        <v>340</v>
      </c>
      <c r="F72" t="s">
        <v>410</v>
      </c>
      <c r="G72" t="s">
        <v>473</v>
      </c>
      <c r="H72" t="s">
        <v>520</v>
      </c>
      <c r="M72" s="21">
        <f t="shared" ca="1" si="34"/>
        <v>5.5163759648504067</v>
      </c>
      <c r="N72" s="21">
        <f t="shared" ca="1" si="35"/>
        <v>6.1631862838117009</v>
      </c>
      <c r="O72" s="21">
        <f t="shared" ca="1" si="36"/>
        <v>6.7263930582077291</v>
      </c>
      <c r="P72" s="21">
        <f t="shared" ca="1" si="37"/>
        <v>7.0721935734281223</v>
      </c>
      <c r="Q72" s="21">
        <f t="shared" ca="1" si="38"/>
        <v>7.733194683062651</v>
      </c>
      <c r="R72" s="21">
        <f t="shared" ca="1" si="39"/>
        <v>8.4593970547802524</v>
      </c>
      <c r="S72" s="21">
        <f t="shared" ca="1" si="40"/>
        <v>8.9819925421869549</v>
      </c>
      <c r="T72" s="21">
        <f t="shared" ca="1" si="41"/>
        <v>9.4011804852403564</v>
      </c>
      <c r="U72" s="21">
        <f t="shared" ca="1" si="42"/>
        <v>9.6611796128823411</v>
      </c>
      <c r="V72" s="21">
        <f t="shared" ca="1" si="43"/>
        <v>9.7583271990746283</v>
      </c>
      <c r="W72" s="21">
        <f t="shared" ca="1" si="44"/>
        <v>9.8303773967667247</v>
      </c>
      <c r="X72" s="21">
        <f t="shared" ca="1" si="45"/>
        <v>10.208992961902236</v>
      </c>
      <c r="Y72" s="21">
        <f t="shared" ca="1" si="46"/>
        <v>10.595229007532662</v>
      </c>
      <c r="Z72" s="21">
        <f t="shared" ca="1" si="47"/>
        <v>10.912975808631222</v>
      </c>
      <c r="AA72" s="21" t="e">
        <f t="shared" ca="1" si="48"/>
        <v>#NUM!</v>
      </c>
      <c r="AB72" s="21" t="e">
        <f t="shared" ca="1" si="49"/>
        <v>#NUM!</v>
      </c>
      <c r="AC72" cm="1">
        <f t="array" aca="1" ref="AC72" ca="1">IF( AND($D$7,NOT(ISBLANK($D72))), IF(_xll.IMDP("IR", $D72, AC$8, Matrix!$D$6)=0,"",_xll.IMDP("IR", $D72, AC$8, Matrix!$D$6)), "")</f>
        <v>5.4859999999999998</v>
      </c>
      <c r="AD72" cm="1">
        <f t="array" aca="1" ref="AD72" ca="1">IF( AND($D$7,NOT(ISBLANK($D72))), IF(_xll.IMDP("IR", $D72, AD$8, Matrix!$D$6)=0,"",_xll.IMDP("IR", $D72, AD$8, Matrix!$D$6)), "")</f>
        <v>6.1689999999999996</v>
      </c>
      <c r="AE72" cm="1">
        <f t="array" aca="1" ref="AE72" ca="1">IF( AND($D$7,NOT(ISBLANK($D72))), IF(_xll.IMDP("IR", $D72, AE$8, Matrix!$D$6)=0,"",_xll.IMDP("IR", $D72, AE$8, Matrix!$D$6)), "")</f>
        <v>6.7149999999999999</v>
      </c>
      <c r="AF72" cm="1">
        <f t="array" aca="1" ref="AF72" ca="1">IF( AND($D$7,NOT(ISBLANK($D72))), IF(_xll.IMDP("IR", $D72, AF$8, Matrix!$D$6)=0,"",_xll.IMDP("IR", $D72, AF$8, Matrix!$D$6)), "")</f>
        <v>7.0629999999999997</v>
      </c>
      <c r="AG72" cm="1">
        <f t="array" aca="1" ref="AG72" ca="1">IF( AND($D$7,NOT(ISBLANK($D72))), IF(_xll.IMDP("IR", $D72, AG$8, Matrix!$D$6)=0,"",_xll.IMDP("IR", $D72, AG$8, Matrix!$D$6)), "")</f>
        <v>7.74</v>
      </c>
      <c r="AH72" cm="1">
        <f t="array" aca="1" ref="AH72" ca="1">IF( AND($D$7,NOT(ISBLANK($D72))), IF(_xll.IMDP("IR", $D72, AH$8, Matrix!$D$6)=0,"",_xll.IMDP("IR", $D72, AH$8, Matrix!$D$6)), "")</f>
        <v>8.4710000000000001</v>
      </c>
      <c r="AI72" cm="1">
        <f t="array" aca="1" ref="AI72" ca="1">IF( AND($D$7,NOT(ISBLANK($D72))), IF(_xll.IMDP("IR", $D72, AI$8, Matrix!$D$6)=0,"",_xll.IMDP("IR", $D72, AI$8, Matrix!$D$6)), "")</f>
        <v>8.9649999999999999</v>
      </c>
      <c r="AJ72" cm="1">
        <f t="array" aca="1" ref="AJ72" ca="1">IF( AND($D$7,NOT(ISBLANK($D72))), IF(_xll.IMDP("IR", $D72, AJ$8, Matrix!$D$6)=0,"",_xll.IMDP("IR", $D72, AJ$8, Matrix!$D$6)), "")</f>
        <v>9.3670000000000009</v>
      </c>
      <c r="AK72" cm="1">
        <f t="array" aca="1" ref="AK72" ca="1">IF( AND($D$7,NOT(ISBLANK($D72))), IF(_xll.IMDP("IR", $D72, AK$8, Matrix!$D$6)=0,"",_xll.IMDP("IR", $D72, AK$8, Matrix!$D$6)), "")</f>
        <v>9.6240000000000006</v>
      </c>
      <c r="AL72" cm="1">
        <f t="array" aca="1" ref="AL72" ca="1">IF( AND($D$7,NOT(ISBLANK($D72))), IF(_xll.IMDP("IR", $D72, AL$8, Matrix!$D$6)=0,"",_xll.IMDP("IR", $D72, AL$8, Matrix!$D$6)), "")</f>
        <v>9.6920000000000002</v>
      </c>
      <c r="AM72" cm="1">
        <f t="array" aca="1" ref="AM72" ca="1">IF( AND($D$7,NOT(ISBLANK($D72))), IF(_xll.IMDP("IR", $D72, AM$8, Matrix!$D$6)=0,"",_xll.IMDP("IR", $D72, AM$8, Matrix!$D$6)), "")</f>
        <v>9.7919999999999998</v>
      </c>
      <c r="AN72" cm="1">
        <f t="array" aca="1" ref="AN72" ca="1">IF( AND($D$7,NOT(ISBLANK($D72))), IF(_xll.IMDP("IR", $D72, AN$8, Matrix!$D$6)=0,"",_xll.IMDP("IR", $D72, AN$8, Matrix!$D$6)), "")</f>
        <v>10.217000000000001</v>
      </c>
      <c r="AO72" cm="1">
        <f t="array" aca="1" ref="AO72" ca="1">IF( AND($D$7,NOT(ISBLANK($D72))), IF(_xll.IMDP("IR", $D72, AO$8, Matrix!$D$6)=0,"",_xll.IMDP("IR", $D72, AO$8, Matrix!$D$6)), "")</f>
        <v>10.611000000000001</v>
      </c>
      <c r="AP72" cm="1">
        <f t="array" aca="1" ref="AP72" ca="1">IF( AND($D$7,NOT(ISBLANK($D72))), IF(_xll.IMDP("IR", $D72, AP$8, Matrix!$D$6)=0,"",_xll.IMDP("IR", $D72, AP$8, Matrix!$D$6)), "")</f>
        <v>10.875999999999999</v>
      </c>
      <c r="AQ72" t="str" cm="1">
        <f t="array" aca="1" ref="AQ72" ca="1">IF( AND($D$7,NOT(ISBLANK($D72))), IF(_xll.IMDP("IR", $D72, AQ$8, Matrix!$D$6)=0,"",_xll.IMDP("IR", $D72, AQ$8, Matrix!$D$6)), "")</f>
        <v/>
      </c>
      <c r="AR72" t="str" cm="1">
        <f t="array" aca="1" ref="AR72" ca="1">IF( AND($D$7,NOT(ISBLANK($D72))), IF(_xll.IMDP("IR", $D72, AR$8, Matrix!$D$6)=0,"",_xll.IMDP("IR", $D72, AR$8, Matrix!$D$6)), "")</f>
        <v/>
      </c>
      <c r="AS72" cm="1">
        <f t="array" aca="1" ref="AS72" ca="1">IF( AND($E$7,NOT(ISBLANK($E72))), IF( _xll.IMDP("IR", $E72, AS$8, Matrix!$D$6)=0,"",_xll.IMDP("IR", $E72, AS$8, Matrix!$D$6)), "")</f>
        <v>5.5220000000000002</v>
      </c>
      <c r="AT72" cm="1">
        <f t="array" aca="1" ref="AT72" ca="1">IF( AND($E$7,NOT(ISBLANK($E72))), IF( _xll.IMDP("IR", $E72, AT$8, Matrix!$D$6)=0,"",_xll.IMDP("IR", $E72, AT$8, Matrix!$D$6)), "")</f>
        <v>6.1619999999999999</v>
      </c>
      <c r="AU72" cm="1">
        <f t="array" aca="1" ref="AU72" ca="1">IF( AND($E$7,NOT(ISBLANK($E72))), IF( _xll.IMDP("IR", $E72, AU$8, Matrix!$D$6)=0,"",_xll.IMDP("IR", $E72, AU$8, Matrix!$D$6)), "")</f>
        <v>6.7430000000000003</v>
      </c>
      <c r="AV72" cm="1">
        <f t="array" aca="1" ref="AV72" ca="1">IF( AND($E$7,NOT(ISBLANK($E72))), IF( _xll.IMDP("IR", $E72, AV$8, Matrix!$D$6)=0,"",_xll.IMDP("IR", $E72, AV$8, Matrix!$D$6)), "")</f>
        <v>7.0629999999999997</v>
      </c>
      <c r="AW72" cm="1">
        <f t="array" aca="1" ref="AW72" ca="1">IF( AND($E$7,NOT(ISBLANK($E72))), IF( _xll.IMDP("IR", $E72, AW$8, Matrix!$D$6)=0,"",_xll.IMDP("IR", $E72, AW$8, Matrix!$D$6)), "")</f>
        <v>7.7409999999999997</v>
      </c>
      <c r="AX72" cm="1">
        <f t="array" aca="1" ref="AX72" ca="1">IF( AND($E$7,NOT(ISBLANK($E72))), IF( _xll.IMDP("IR", $E72, AX$8, Matrix!$D$6)=0,"",_xll.IMDP("IR", $E72, AX$8, Matrix!$D$6)), "")</f>
        <v>8.4499999999999993</v>
      </c>
      <c r="AY72" cm="1">
        <f t="array" aca="1" ref="AY72" ca="1">IF( AND($E$7,NOT(ISBLANK($E72))), IF( _xll.IMDP("IR", $E72, AY$8, Matrix!$D$6)=0,"",_xll.IMDP("IR", $E72, AY$8, Matrix!$D$6)), "")</f>
        <v>8.9779999999999998</v>
      </c>
      <c r="AZ72" cm="1">
        <f t="array" aca="1" ref="AZ72" ca="1">IF( AND($E$7,NOT(ISBLANK($E72))), IF( _xll.IMDP("IR", $E72, AZ$8, Matrix!$D$6)=0,"",_xll.IMDP("IR", $E72, AZ$8, Matrix!$D$6)), "")</f>
        <v>9.4019999999999992</v>
      </c>
      <c r="BA72" cm="1">
        <f t="array" aca="1" ref="BA72" ca="1">IF( AND($E$7,NOT(ISBLANK($E72))), IF( _xll.IMDP("IR", $E72, BA$8, Matrix!$D$6)=0,"",_xll.IMDP("IR", $E72, BA$8, Matrix!$D$6)), "")</f>
        <v>9.6669999999999998</v>
      </c>
      <c r="BB72" cm="1">
        <f t="array" aca="1" ref="BB72" ca="1">IF( AND($E$7,NOT(ISBLANK($E72))), IF( _xll.IMDP("IR", $E72, BB$8, Matrix!$D$6)=0,"",_xll.IMDP("IR", $E72, BB$8, Matrix!$D$6)), "")</f>
        <v>9.7539999999999996</v>
      </c>
      <c r="BC72" cm="1">
        <f t="array" aca="1" ref="BC72" ca="1">IF( AND($E$7,NOT(ISBLANK($E72))), IF( _xll.IMDP("IR", $E72, BC$8, Matrix!$D$6)=0,"",_xll.IMDP("IR", $E72, BC$8, Matrix!$D$6)), "")</f>
        <v>9.8320000000000007</v>
      </c>
      <c r="BD72" cm="1">
        <f t="array" aca="1" ref="BD72" ca="1">IF( AND($E$7,NOT(ISBLANK($E72))), IF( _xll.IMDP("IR", $E72, BD$8, Matrix!$D$6)=0,"",_xll.IMDP("IR", $E72, BD$8, Matrix!$D$6)), "")</f>
        <v>10.222</v>
      </c>
      <c r="BE72" cm="1">
        <f t="array" aca="1" ref="BE72" ca="1">IF( AND($E$7,NOT(ISBLANK($E72))), IF( _xll.IMDP("IR", $E72, BE$8, Matrix!$D$6)=0,"",_xll.IMDP("IR", $E72, BE$8, Matrix!$D$6)), "")</f>
        <v>10.558999999999999</v>
      </c>
      <c r="BF72" cm="1">
        <f t="array" aca="1" ref="BF72" ca="1">IF( AND($E$7,NOT(ISBLANK($E72))), IF( _xll.IMDP("IR", $E72, BF$8, Matrix!$D$6)=0,"",_xll.IMDP("IR", $E72, BF$8, Matrix!$D$6)), "")</f>
        <v>10.917</v>
      </c>
      <c r="BG72" t="str" cm="1">
        <f t="array" aca="1" ref="BG72" ca="1">IF( AND($E$7,NOT(ISBLANK($E72))), IF( _xll.IMDP("IR", $E72, BG$8, Matrix!$D$6)=0,"",_xll.IMDP("IR", $E72, BG$8, Matrix!$D$6)), "")</f>
        <v/>
      </c>
      <c r="BH72" t="str" cm="1">
        <f t="array" aca="1" ref="BH72" ca="1">IF( AND($E$7,NOT(ISBLANK($E72))), IF( _xll.IMDP("IR", $E72, BH$8, Matrix!$D$6)=0,"",_xll.IMDP("IR", $E72, BH$8, Matrix!$D$6)), "")</f>
        <v/>
      </c>
      <c r="BI72" cm="1">
        <f t="array" aca="1" ref="BI72" ca="1">IF( AND($F$7,NOT(ISBLANK($F72))), IF( _xll.IMDP("IR", $F72, BI$8, Matrix!$D$6)=0,"",_xll.IMDP("IR", $F72, BI$8, Matrix!$D$6)), "")</f>
        <v>5.524</v>
      </c>
      <c r="BJ72" cm="1">
        <f t="array" aca="1" ref="BJ72" ca="1">IF( AND($F$7,NOT(ISBLANK($F72))), IF( _xll.IMDP("IR", $F72, BJ$8, Matrix!$D$6)=0,"",_xll.IMDP("IR", $F72, BJ$8, Matrix!$D$6)), "")</f>
        <v>6.141</v>
      </c>
      <c r="BK72" cm="1">
        <f t="array" aca="1" ref="BK72" ca="1">IF( AND($F$7,NOT(ISBLANK($F72))), IF( _xll.IMDP("IR", $F72, BK$8, Matrix!$D$6)=0,"",_xll.IMDP("IR", $F72, BK$8, Matrix!$D$6)), "")</f>
        <v>6.7190000000000003</v>
      </c>
      <c r="BL72" cm="1">
        <f t="array" aca="1" ref="BL72" ca="1">IF( AND($F$7,NOT(ISBLANK($F72))), IF( _xll.IMDP("IR", $F72, BL$8, Matrix!$D$6)=0,"",_xll.IMDP("IR", $F72, BL$8, Matrix!$D$6)), "")</f>
        <v>7.0890000000000004</v>
      </c>
      <c r="BM72" cm="1">
        <f t="array" aca="1" ref="BM72" ca="1">IF( AND($F$7,NOT(ISBLANK($F72))), IF( _xll.IMDP("IR", $F72, BM$8, Matrix!$D$6)=0,"",_xll.IMDP("IR", $F72, BM$8, Matrix!$D$6)), "")</f>
        <v>7.7160000000000002</v>
      </c>
      <c r="BN72" cm="1">
        <f t="array" aca="1" ref="BN72" ca="1">IF( AND($F$7,NOT(ISBLANK($F72))), IF( _xll.IMDP("IR", $F72, BN$8, Matrix!$D$6)=0,"",_xll.IMDP("IR", $F72, BN$8, Matrix!$D$6)), "")</f>
        <v>8.4550000000000001</v>
      </c>
      <c r="BO72" cm="1">
        <f t="array" aca="1" ref="BO72" ca="1">IF( AND($F$7,NOT(ISBLANK($F72))), IF( _xll.IMDP("IR", $F72, BO$8, Matrix!$D$6)=0,"",_xll.IMDP("IR", $F72, BO$8, Matrix!$D$6)), "")</f>
        <v>9.0009999999999994</v>
      </c>
      <c r="BP72" cm="1">
        <f t="array" aca="1" ref="BP72" ca="1">IF( AND($F$7,NOT(ISBLANK($F72))), IF( _xll.IMDP("IR", $F72, BP$8, Matrix!$D$6)=0,"",_xll.IMDP("IR", $F72, BP$8, Matrix!$D$6)), "")</f>
        <v>9.4109999999999996</v>
      </c>
      <c r="BQ72" cm="1">
        <f t="array" aca="1" ref="BQ72" ca="1">IF( AND($F$7,NOT(ISBLANK($F72))), IF( _xll.IMDP("IR", $F72, BQ$8, Matrix!$D$6)=0,"",_xll.IMDP("IR", $F72, BQ$8, Matrix!$D$6)), "")</f>
        <v>9.6820000000000004</v>
      </c>
      <c r="BR72" cm="1">
        <f t="array" aca="1" ref="BR72" ca="1">IF( AND($F$7,NOT(ISBLANK($F72))), IF( _xll.IMDP("IR", $F72, BR$8, Matrix!$D$6)=0,"",_xll.IMDP("IR", $F72, BR$8, Matrix!$D$6)), "")</f>
        <v>9.7859999999999996</v>
      </c>
      <c r="BS72" cm="1">
        <f t="array" aca="1" ref="BS72" ca="1">IF( AND($F$7,NOT(ISBLANK($F72))), IF( _xll.IMDP("IR", $F72, BS$8, Matrix!$D$6)=0,"",_xll.IMDP("IR", $F72, BS$8, Matrix!$D$6)), "")</f>
        <v>9.8539999999999992</v>
      </c>
      <c r="BT72" cm="1">
        <f t="array" aca="1" ref="BT72" ca="1">IF( AND($F$7,NOT(ISBLANK($F72))), IF( _xll.IMDP("IR", $F72, BT$8, Matrix!$D$6)=0,"",_xll.IMDP("IR", $F72, BT$8, Matrix!$D$6)), "")</f>
        <v>10.186999999999999</v>
      </c>
      <c r="BU72" cm="1">
        <f t="array" aca="1" ref="BU72" ca="1">IF( AND($F$7,NOT(ISBLANK($F72))), IF( _xll.IMDP("IR", $F72, BU$8, Matrix!$D$6)=0,"",_xll.IMDP("IR", $F72, BU$8, Matrix!$D$6)), "")</f>
        <v>10.603999999999999</v>
      </c>
      <c r="BV72" cm="1">
        <f t="array" aca="1" ref="BV72" ca="1">IF( AND($F$7,NOT(ISBLANK($F72))), IF( _xll.IMDP("IR", $F72, BV$8, Matrix!$D$6)=0,"",_xll.IMDP("IR", $F72, BV$8, Matrix!$D$6)), "")</f>
        <v>10.939</v>
      </c>
      <c r="BW72" t="str" cm="1">
        <f t="array" aca="1" ref="BW72" ca="1">IF( AND($F$7,NOT(ISBLANK($F72))), IF( _xll.IMDP("IR", $F72, BW$8, Matrix!$D$6)=0,"",_xll.IMDP("IR", $F72, BW$8, Matrix!$D$6)), "")</f>
        <v/>
      </c>
      <c r="BX72" t="str" cm="1">
        <f t="array" aca="1" ref="BX72" ca="1">IF( AND($F$7,NOT(ISBLANK($F72))), IF( _xll.IMDP("IR", $F72, BX$8, Matrix!$D$6)=0,"",_xll.IMDP("IR", $F72, BX$8, Matrix!$D$6)), "")</f>
        <v/>
      </c>
      <c r="BY72" cm="1">
        <f t="array" aca="1" ref="BY72" ca="1">IF( AND($G$7,NOT(ISBLANK($G72))), IF( _xll.IMDP("IR", $G72, BY$8, Matrix!$D$6)=0, "", _xll.IMDP("IR", $G72, BY$8, Matrix!$D$6)), "")</f>
        <v>5.5339999999999998</v>
      </c>
      <c r="BZ72" cm="1">
        <f t="array" aca="1" ref="BZ72" ca="1">IF( AND($G$7,NOT(ISBLANK($G72))), IF( _xll.IMDP("IR", $G72, BZ$8, Matrix!$D$6)=0, "", _xll.IMDP("IR", $G72, BZ$8, Matrix!$D$6)), "")</f>
        <v>6.181</v>
      </c>
      <c r="CA72" cm="1">
        <f t="array" aca="1" ref="CA72" ca="1">IF( AND($G$7,NOT(ISBLANK($G72))), IF( _xll.IMDP("IR", $G72, CA$8, Matrix!$D$6)=0, "", _xll.IMDP("IR", $G72, CA$8, Matrix!$D$6)), "")</f>
        <v>6.7290000000000001</v>
      </c>
      <c r="CB72" cm="1">
        <f t="array" aca="1" ref="CB72" ca="1">IF( AND($G$7,NOT(ISBLANK($G72))), IF( _xll.IMDP("IR", $G72, CB$8, Matrix!$D$6)=0, "", _xll.IMDP("IR", $G72, CB$8, Matrix!$D$6)), "")</f>
        <v>7.0739999999999998</v>
      </c>
      <c r="CC72" cm="1">
        <f t="array" aca="1" ref="CC72" ca="1">IF( AND($G$7,NOT(ISBLANK($G72))), IF( _xll.IMDP("IR", $G72, CC$8, Matrix!$D$6)=0, "", _xll.IMDP("IR", $G72, CC$8, Matrix!$D$6)), "")</f>
        <v>7.7359999999999998</v>
      </c>
      <c r="CD72" cm="1">
        <f t="array" aca="1" ref="CD72" ca="1">IF( AND($G$7,NOT(ISBLANK($G72))), IF( _xll.IMDP("IR", $G72, CD$8, Matrix!$D$6)=0, "", _xll.IMDP("IR", $G72, CD$8, Matrix!$D$6)), "")</f>
        <v>8.4619999999999997</v>
      </c>
      <c r="CE72" cm="1">
        <f t="array" aca="1" ref="CE72" ca="1">IF( AND($G$7,NOT(ISBLANK($G72))), IF( _xll.IMDP("IR", $G72, CE$8, Matrix!$D$6)=0, "", _xll.IMDP("IR", $G72, CE$8, Matrix!$D$6)), "")</f>
        <v>8.984</v>
      </c>
      <c r="CF72" cm="1">
        <f t="array" aca="1" ref="CF72" ca="1">IF( AND($G$7,NOT(ISBLANK($G72))), IF( _xll.IMDP("IR", $G72, CF$8, Matrix!$D$6)=0, "", _xll.IMDP("IR", $G72, CF$8, Matrix!$D$6)), "")</f>
        <v>9.4250000000000007</v>
      </c>
      <c r="CG72" cm="1">
        <f t="array" aca="1" ref="CG72" ca="1">IF( AND($G$7,NOT(ISBLANK($G72))), IF( _xll.IMDP("IR", $G72, CG$8, Matrix!$D$6)=0, "", _xll.IMDP("IR", $G72, CG$8, Matrix!$D$6)), "")</f>
        <v>9.6720000000000006</v>
      </c>
      <c r="CH72" cm="1">
        <f t="array" aca="1" ref="CH72" ca="1">IF( AND($G$7,NOT(ISBLANK($G72))), IF( _xll.IMDP("IR", $G72, CH$8, Matrix!$D$6)=0, "", _xll.IMDP("IR", $G72, CH$8, Matrix!$D$6)), "")</f>
        <v>9.8019999999999996</v>
      </c>
      <c r="CI72" cm="1">
        <f t="array" aca="1" ref="CI72" ca="1">IF( AND($G$7,NOT(ISBLANK($G72))), IF( _xll.IMDP("IR", $G72, CI$8, Matrix!$D$6)=0, "", _xll.IMDP("IR", $G72, CI$8, Matrix!$D$6)), "")</f>
        <v>9.8439999999999994</v>
      </c>
      <c r="CJ72" cm="1">
        <f t="array" aca="1" ref="CJ72" ca="1">IF( AND($G$7,NOT(ISBLANK($G72))), IF( _xll.IMDP("IR", $G72, CJ$8, Matrix!$D$6)=0, "", _xll.IMDP("IR", $G72, CJ$8, Matrix!$D$6)), "")</f>
        <v>10.210000000000001</v>
      </c>
      <c r="CK72" cm="1">
        <f t="array" aca="1" ref="CK72" ca="1">IF( AND($G$7,NOT(ISBLANK($G72))), IF( _xll.IMDP("IR", $G72, CK$8, Matrix!$D$6)=0, "", _xll.IMDP("IR", $G72, CK$8, Matrix!$D$6)), "")</f>
        <v>10.606999999999999</v>
      </c>
      <c r="CL72" cm="1">
        <f t="array" aca="1" ref="CL72" ca="1">IF( AND($G$7,NOT(ISBLANK($G72))), IF( _xll.IMDP("IR", $G72, CL$8, Matrix!$D$6)=0, "", _xll.IMDP("IR", $G72, CL$8, Matrix!$D$6)), "")</f>
        <v>10.92</v>
      </c>
      <c r="CM72" t="str" cm="1">
        <f t="array" aca="1" ref="CM72" ca="1">IF( AND($G$7,NOT(ISBLANK($G72))), IF( _xll.IMDP("IR", $G72, CM$8, Matrix!$D$6)=0, "", _xll.IMDP("IR", $G72, CM$8, Matrix!$D$6)), "")</f>
        <v/>
      </c>
      <c r="CN72" t="str" cm="1">
        <f t="array" aca="1" ref="CN72" ca="1">IF( AND($G$7,NOT(ISBLANK($G72))), IF( _xll.IMDP("IR", $G72, CN$8, Matrix!$D$6)=0, "", _xll.IMDP("IR", $G72, CN$8, Matrix!$D$6)), "")</f>
        <v/>
      </c>
      <c r="CO72" cm="1">
        <f t="array" aca="1" ref="CO72" ca="1">IF( AND($H$7,NOT(ISBLANK($H72))), IF( _xll.IMDP("IR", $H72, CO$8, Matrix!$D$6)=0, "", _xll.IMDP("IR", $H72, CO$8, Matrix!$D$6)), "")</f>
        <v>5.516</v>
      </c>
      <c r="CP72" cm="1">
        <f t="array" aca="1" ref="CP72" ca="1">IF( AND($H$7,NOT(ISBLANK($H72))), IF( _xll.IMDP("IR", $H72, CP$8, Matrix!$D$6)=0, "", _xll.IMDP("IR", $H72, CP$8, Matrix!$D$6)), "")</f>
        <v>6.1630000000000003</v>
      </c>
      <c r="CQ72" cm="1">
        <f t="array" aca="1" ref="CQ72" ca="1">IF( AND($H$7,NOT(ISBLANK($H72))), IF( _xll.IMDP("IR", $H72, CQ$8, Matrix!$D$6)=0, "", _xll.IMDP("IR", $H72, CQ$8, Matrix!$D$6)), "")</f>
        <v>6.726</v>
      </c>
      <c r="CR72" cm="1">
        <f t="array" aca="1" ref="CR72" ca="1">IF( AND($H$7,NOT(ISBLANK($H72))), IF( _xll.IMDP("IR", $H72, CR$8, Matrix!$D$6)=0, "", _xll.IMDP("IR", $H72, CR$8, Matrix!$D$6)), "")</f>
        <v>7.0720000000000001</v>
      </c>
      <c r="CS72" cm="1">
        <f t="array" aca="1" ref="CS72" ca="1">IF( AND($H$7,NOT(ISBLANK($H72))), IF( _xll.IMDP("IR", $H72, CS$8, Matrix!$D$6)=0, "", _xll.IMDP("IR", $H72, CS$8, Matrix!$D$6)), "")</f>
        <v>7.7329999999999997</v>
      </c>
      <c r="CT72" cm="1">
        <f t="array" aca="1" ref="CT72" ca="1">IF( AND($H$7,NOT(ISBLANK($H72))), IF( _xll.IMDP("IR", $H72, CT$8, Matrix!$D$6)=0, "", _xll.IMDP("IR", $H72, CT$8, Matrix!$D$6)), "")</f>
        <v>8.4589999999999996</v>
      </c>
      <c r="CU72" cm="1">
        <f t="array" aca="1" ref="CU72" ca="1">IF( AND($H$7,NOT(ISBLANK($H72))), IF( _xll.IMDP("IR", $H72, CU$8, Matrix!$D$6)=0, "", _xll.IMDP("IR", $H72, CU$8, Matrix!$D$6)), "")</f>
        <v>8.9819999999999993</v>
      </c>
      <c r="CV72" cm="1">
        <f t="array" aca="1" ref="CV72" ca="1">IF( AND($H$7,NOT(ISBLANK($H72))), IF( _xll.IMDP("IR", $H72, CV$8, Matrix!$D$6)=0, "", _xll.IMDP("IR", $H72, CV$8, Matrix!$D$6)), "")</f>
        <v>9.4009999999999998</v>
      </c>
      <c r="CW72" cm="1">
        <f t="array" aca="1" ref="CW72" ca="1">IF( AND($H$7,NOT(ISBLANK($H72))), IF( _xll.IMDP("IR", $H72, CW$8, Matrix!$D$6)=0, "", _xll.IMDP("IR", $H72, CW$8, Matrix!$D$6)), "")</f>
        <v>9.6609999999999996</v>
      </c>
      <c r="CX72" cm="1">
        <f t="array" aca="1" ref="CX72" ca="1">IF( AND($H$7,NOT(ISBLANK($H72))), IF( _xll.IMDP("IR", $H72, CX$8, Matrix!$D$6)=0, "", _xll.IMDP("IR", $H72, CX$8, Matrix!$D$6)), "")</f>
        <v>9.7579999999999991</v>
      </c>
      <c r="CY72" cm="1">
        <f t="array" aca="1" ref="CY72" ca="1">IF( AND($H$7,NOT(ISBLANK($H72))), IF( _xll.IMDP("IR", $H72, CY$8, Matrix!$D$6)=0, "", _xll.IMDP("IR", $H72, CY$8, Matrix!$D$6)), "")</f>
        <v>9.83</v>
      </c>
      <c r="CZ72" cm="1">
        <f t="array" aca="1" ref="CZ72" ca="1">IF( AND($H$7,NOT(ISBLANK($H72))), IF( _xll.IMDP("IR", $H72, CZ$8, Matrix!$D$6)=0, "", _xll.IMDP("IR", $H72, CZ$8, Matrix!$D$6)), "")</f>
        <v>10.209</v>
      </c>
      <c r="DA72" t="str" cm="1">
        <f t="array" aca="1" ref="DA72" ca="1">IF( AND($H$7,NOT(ISBLANK($H72))), IF( _xll.IMDP("IR", $H72, DA$8, Matrix!$D$6)=0, "", _xll.IMDP("IR", $H72, DA$8, Matrix!$D$6)), "")</f>
        <v/>
      </c>
      <c r="DB72" t="str" cm="1">
        <f t="array" aca="1" ref="DB72" ca="1">IF( AND($H$7,NOT(ISBLANK($H72))), IF( _xll.IMDP("IR", $H72, DB$8, Matrix!$D$6)=0, "", _xll.IMDP("IR", $H72, DB$8, Matrix!$D$6)), "")</f>
        <v/>
      </c>
      <c r="DC72" t="str" cm="1">
        <f t="array" aca="1" ref="DC72" ca="1">IF( AND($H$7,NOT(ISBLANK($H72))), IF( _xll.IMDP("IR", $H72, DC$8, Matrix!$D$6)=0, "", _xll.IMDP("IR", $H72, DC$8, Matrix!$D$6)), "")</f>
        <v/>
      </c>
      <c r="DD72" t="str" cm="1">
        <f t="array" aca="1" ref="DD72" ca="1">IF( AND($H$7,NOT(ISBLANK($H72))), IF( _xll.IMDP("IR", $H72, DD$8, Matrix!$D$6)=0, "", _xll.IMDP("IR", $H72, DD$8, Matrix!$D$6)), "")</f>
        <v/>
      </c>
    </row>
    <row r="73" spans="2:108">
      <c r="B73" t="s">
        <v>141</v>
      </c>
      <c r="C73" t="s">
        <v>215</v>
      </c>
      <c r="D73" t="s">
        <v>280</v>
      </c>
      <c r="E73" t="s">
        <v>341</v>
      </c>
      <c r="F73" t="s">
        <v>411</v>
      </c>
      <c r="G73" t="s">
        <v>474</v>
      </c>
      <c r="H73" t="s">
        <v>521</v>
      </c>
      <c r="M73" s="21">
        <f t="shared" ca="1" si="34"/>
        <v>3.46084577313631</v>
      </c>
      <c r="N73" s="21">
        <f t="shared" ca="1" si="35"/>
        <v>3.4952377471791025</v>
      </c>
      <c r="O73" s="21">
        <f t="shared" ca="1" si="36"/>
        <v>3.4579429031167628</v>
      </c>
      <c r="P73" s="21">
        <f t="shared" ca="1" si="37"/>
        <v>3.4259092623605971</v>
      </c>
      <c r="Q73" s="21">
        <f t="shared" ca="1" si="38"/>
        <v>3.4493017871892939</v>
      </c>
      <c r="R73" s="21">
        <f t="shared" ca="1" si="39"/>
        <v>3.4477076364611121</v>
      </c>
      <c r="S73" s="21">
        <f t="shared" ca="1" si="40"/>
        <v>3.4593128864319911</v>
      </c>
      <c r="T73" s="21">
        <f t="shared" ca="1" si="41"/>
        <v>3.4654586873914273</v>
      </c>
      <c r="U73" s="21">
        <f t="shared" ca="1" si="42"/>
        <v>3.474523935627881</v>
      </c>
      <c r="V73" s="21">
        <f t="shared" ca="1" si="43"/>
        <v>3.4971559272653296</v>
      </c>
      <c r="W73" s="21">
        <f t="shared" ca="1" si="44"/>
        <v>3.5926276159236403</v>
      </c>
      <c r="X73" s="21">
        <f t="shared" ca="1" si="45"/>
        <v>3.8799934274417103</v>
      </c>
      <c r="Y73" s="21">
        <f t="shared" ca="1" si="46"/>
        <v>4.154531302669346</v>
      </c>
      <c r="Z73" s="21">
        <f t="shared" ca="1" si="47"/>
        <v>4.3157006859382152</v>
      </c>
      <c r="AA73" s="21" t="e">
        <f t="shared" ca="1" si="48"/>
        <v>#NUM!</v>
      </c>
      <c r="AB73" s="21" t="e">
        <f t="shared" ca="1" si="49"/>
        <v>#NUM!</v>
      </c>
      <c r="AC73" cm="1">
        <f t="array" aca="1" ref="AC73" ca="1">IF( AND($D$7,NOT(ISBLANK($D73))), IF(_xll.IMDP("IR", $D73, AC$8, Matrix!$D$6)=0,"",_xll.IMDP("IR", $D73, AC$8, Matrix!$D$6)), "")</f>
        <v>3.4159999999999999</v>
      </c>
      <c r="AD73" cm="1">
        <f t="array" aca="1" ref="AD73" ca="1">IF( AND($D$7,NOT(ISBLANK($D73))), IF(_xll.IMDP("IR", $D73, AD$8, Matrix!$D$6)=0,"",_xll.IMDP("IR", $D73, AD$8, Matrix!$D$6)), "")</f>
        <v>3.4849999999999999</v>
      </c>
      <c r="AE73" cm="1">
        <f t="array" aca="1" ref="AE73" ca="1">IF( AND($D$7,NOT(ISBLANK($D73))), IF(_xll.IMDP("IR", $D73, AE$8, Matrix!$D$6)=0,"",_xll.IMDP("IR", $D73, AE$8, Matrix!$D$6)), "")</f>
        <v>3.4249999999999998</v>
      </c>
      <c r="AF73" cm="1">
        <f t="array" aca="1" ref="AF73" ca="1">IF( AND($D$7,NOT(ISBLANK($D73))), IF(_xll.IMDP("IR", $D73, AF$8, Matrix!$D$6)=0,"",_xll.IMDP("IR", $D73, AF$8, Matrix!$D$6)), "")</f>
        <v>3.3889999999999998</v>
      </c>
      <c r="AG73" cm="1">
        <f t="array" aca="1" ref="AG73" ca="1">IF( AND($D$7,NOT(ISBLANK($D73))), IF(_xll.IMDP("IR", $D73, AG$8, Matrix!$D$6)=0,"",_xll.IMDP("IR", $D73, AG$8, Matrix!$D$6)), "")</f>
        <v>3.391</v>
      </c>
      <c r="AH73" cm="1">
        <f t="array" aca="1" ref="AH73" ca="1">IF( AND($D$7,NOT(ISBLANK($D73))), IF(_xll.IMDP("IR", $D73, AH$8, Matrix!$D$6)=0,"",_xll.IMDP("IR", $D73, AH$8, Matrix!$D$6)), "")</f>
        <v>3.3940000000000001</v>
      </c>
      <c r="AI73" cm="1">
        <f t="array" aca="1" ref="AI73" ca="1">IF( AND($D$7,NOT(ISBLANK($D73))), IF(_xll.IMDP("IR", $D73, AI$8, Matrix!$D$6)=0,"",_xll.IMDP("IR", $D73, AI$8, Matrix!$D$6)), "")</f>
        <v>3.3940000000000001</v>
      </c>
      <c r="AJ73" cm="1">
        <f t="array" aca="1" ref="AJ73" ca="1">IF( AND($D$7,NOT(ISBLANK($D73))), IF(_xll.IMDP("IR", $D73, AJ$8, Matrix!$D$6)=0,"",_xll.IMDP("IR", $D73, AJ$8, Matrix!$D$6)), "")</f>
        <v>3.3980000000000001</v>
      </c>
      <c r="AK73" cm="1">
        <f t="array" aca="1" ref="AK73" ca="1">IF( AND($D$7,NOT(ISBLANK($D73))), IF(_xll.IMDP("IR", $D73, AK$8, Matrix!$D$6)=0,"",_xll.IMDP("IR", $D73, AK$8, Matrix!$D$6)), "")</f>
        <v>3.4009999999999998</v>
      </c>
      <c r="AL73" cm="1">
        <f t="array" aca="1" ref="AL73" ca="1">IF( AND($D$7,NOT(ISBLANK($D73))), IF(_xll.IMDP("IR", $D73, AL$8, Matrix!$D$6)=0,"",_xll.IMDP("IR", $D73, AL$8, Matrix!$D$6)), "")</f>
        <v>3.4089999999999998</v>
      </c>
      <c r="AM73" cm="1">
        <f t="array" aca="1" ref="AM73" ca="1">IF( AND($D$7,NOT(ISBLANK($D73))), IF(_xll.IMDP("IR", $D73, AM$8, Matrix!$D$6)=0,"",_xll.IMDP("IR", $D73, AM$8, Matrix!$D$6)), "")</f>
        <v>3.5049999999999999</v>
      </c>
      <c r="AN73" cm="1">
        <f t="array" aca="1" ref="AN73" ca="1">IF( AND($D$7,NOT(ISBLANK($D73))), IF(_xll.IMDP("IR", $D73, AN$8, Matrix!$D$6)=0,"",_xll.IMDP("IR", $D73, AN$8, Matrix!$D$6)), "")</f>
        <v>3.7559999999999998</v>
      </c>
      <c r="AO73" cm="1">
        <f t="array" aca="1" ref="AO73" ca="1">IF( AND($D$7,NOT(ISBLANK($D73))), IF(_xll.IMDP("IR", $D73, AO$8, Matrix!$D$6)=0,"",_xll.IMDP("IR", $D73, AO$8, Matrix!$D$6)), "")</f>
        <v>4.0140000000000002</v>
      </c>
      <c r="AP73" cm="1">
        <f t="array" aca="1" ref="AP73" ca="1">IF( AND($D$7,NOT(ISBLANK($D73))), IF(_xll.IMDP("IR", $D73, AP$8, Matrix!$D$6)=0,"",_xll.IMDP("IR", $D73, AP$8, Matrix!$D$6)), "")</f>
        <v>4.1660000000000004</v>
      </c>
      <c r="AQ73" t="str" cm="1">
        <f t="array" aca="1" ref="AQ73" ca="1">IF( AND($D$7,NOT(ISBLANK($D73))), IF(_xll.IMDP("IR", $D73, AQ$8, Matrix!$D$6)=0,"",_xll.IMDP("IR", $D73, AQ$8, Matrix!$D$6)), "")</f>
        <v/>
      </c>
      <c r="AR73" t="str" cm="1">
        <f t="array" aca="1" ref="AR73" ca="1">IF( AND($D$7,NOT(ISBLANK($D73))), IF(_xll.IMDP("IR", $D73, AR$8, Matrix!$D$6)=0,"",_xll.IMDP("IR", $D73, AR$8, Matrix!$D$6)), "")</f>
        <v/>
      </c>
      <c r="AS73" cm="1">
        <f t="array" aca="1" ref="AS73" ca="1">IF( AND($E$7,NOT(ISBLANK($E73))), IF( _xll.IMDP("IR", $E73, AS$8, Matrix!$D$6)=0,"",_xll.IMDP("IR", $E73, AS$8, Matrix!$D$6)), "")</f>
        <v>3.476</v>
      </c>
      <c r="AT73" cm="1">
        <f t="array" aca="1" ref="AT73" ca="1">IF( AND($E$7,NOT(ISBLANK($E73))), IF( _xll.IMDP("IR", $E73, AT$8, Matrix!$D$6)=0,"",_xll.IMDP("IR", $E73, AT$8, Matrix!$D$6)), "")</f>
        <v>3.5</v>
      </c>
      <c r="AU73" cm="1">
        <f t="array" aca="1" ref="AU73" ca="1">IF( AND($E$7,NOT(ISBLANK($E73))), IF( _xll.IMDP("IR", $E73, AU$8, Matrix!$D$6)=0,"",_xll.IMDP("IR", $E73, AU$8, Matrix!$D$6)), "")</f>
        <v>3.4740000000000002</v>
      </c>
      <c r="AV73" cm="1">
        <f t="array" aca="1" ref="AV73" ca="1">IF( AND($E$7,NOT(ISBLANK($E73))), IF( _xll.IMDP("IR", $E73, AV$8, Matrix!$D$6)=0,"",_xll.IMDP("IR", $E73, AV$8, Matrix!$D$6)), "")</f>
        <v>3.431</v>
      </c>
      <c r="AW73" cm="1">
        <f t="array" aca="1" ref="AW73" ca="1">IF( AND($E$7,NOT(ISBLANK($E73))), IF( _xll.IMDP("IR", $E73, AW$8, Matrix!$D$6)=0,"",_xll.IMDP("IR", $E73, AW$8, Matrix!$D$6)), "")</f>
        <v>3.49</v>
      </c>
      <c r="AX73" cm="1">
        <f t="array" aca="1" ref="AX73" ca="1">IF( AND($E$7,NOT(ISBLANK($E73))), IF( _xll.IMDP("IR", $E73, AX$8, Matrix!$D$6)=0,"",_xll.IMDP("IR", $E73, AX$8, Matrix!$D$6)), "")</f>
        <v>3.5190000000000001</v>
      </c>
      <c r="AY73" cm="1">
        <f t="array" aca="1" ref="AY73" ca="1">IF( AND($E$7,NOT(ISBLANK($E73))), IF( _xll.IMDP("IR", $E73, AY$8, Matrix!$D$6)=0,"",_xll.IMDP("IR", $E73, AY$8, Matrix!$D$6)), "")</f>
        <v>3.5470000000000002</v>
      </c>
      <c r="AZ73" cm="1">
        <f t="array" aca="1" ref="AZ73" ca="1">IF( AND($E$7,NOT(ISBLANK($E73))), IF( _xll.IMDP("IR", $E73, AZ$8, Matrix!$D$6)=0,"",_xll.IMDP("IR", $E73, AZ$8, Matrix!$D$6)), "")</f>
        <v>3.5659999999999998</v>
      </c>
      <c r="BA73" cm="1">
        <f t="array" aca="1" ref="BA73" ca="1">IF( AND($E$7,NOT(ISBLANK($E73))), IF( _xll.IMDP("IR", $E73, BA$8, Matrix!$D$6)=0,"",_xll.IMDP("IR", $E73, BA$8, Matrix!$D$6)), "")</f>
        <v>3.593</v>
      </c>
      <c r="BB73" cm="1">
        <f t="array" aca="1" ref="BB73" ca="1">IF( AND($E$7,NOT(ISBLANK($E73))), IF( _xll.IMDP("IR", $E73, BB$8, Matrix!$D$6)=0,"",_xll.IMDP("IR", $E73, BB$8, Matrix!$D$6)), "")</f>
        <v>3.6160000000000001</v>
      </c>
      <c r="BC73" cm="1">
        <f t="array" aca="1" ref="BC73" ca="1">IF( AND($E$7,NOT(ISBLANK($E73))), IF( _xll.IMDP("IR", $E73, BC$8, Matrix!$D$6)=0,"",_xll.IMDP("IR", $E73, BC$8, Matrix!$D$6)), "")</f>
        <v>3.714</v>
      </c>
      <c r="BD73" cm="1">
        <f t="array" aca="1" ref="BD73" ca="1">IF( AND($E$7,NOT(ISBLANK($E73))), IF( _xll.IMDP("IR", $E73, BD$8, Matrix!$D$6)=0,"",_xll.IMDP("IR", $E73, BD$8, Matrix!$D$6)), "")</f>
        <v>4.0279999999999996</v>
      </c>
      <c r="BE73" cm="1">
        <f t="array" aca="1" ref="BE73" ca="1">IF( AND($E$7,NOT(ISBLANK($E73))), IF( _xll.IMDP("IR", $E73, BE$8, Matrix!$D$6)=0,"",_xll.IMDP("IR", $E73, BE$8, Matrix!$D$6)), "")</f>
        <v>4.2969999999999997</v>
      </c>
      <c r="BF73" cm="1">
        <f t="array" aca="1" ref="BF73" ca="1">IF( AND($E$7,NOT(ISBLANK($E73))), IF( _xll.IMDP("IR", $E73, BF$8, Matrix!$D$6)=0,"",_xll.IMDP("IR", $E73, BF$8, Matrix!$D$6)), "")</f>
        <v>4.4649999999999999</v>
      </c>
      <c r="BG73" t="str" cm="1">
        <f t="array" aca="1" ref="BG73" ca="1">IF( AND($E$7,NOT(ISBLANK($E73))), IF( _xll.IMDP("IR", $E73, BG$8, Matrix!$D$6)=0,"",_xll.IMDP("IR", $E73, BG$8, Matrix!$D$6)), "")</f>
        <v/>
      </c>
      <c r="BH73" t="str" cm="1">
        <f t="array" aca="1" ref="BH73" ca="1">IF( AND($E$7,NOT(ISBLANK($E73))), IF( _xll.IMDP("IR", $E73, BH$8, Matrix!$D$6)=0,"",_xll.IMDP("IR", $E73, BH$8, Matrix!$D$6)), "")</f>
        <v/>
      </c>
      <c r="BI73" cm="1">
        <f t="array" aca="1" ref="BI73" ca="1">IF( AND($F$7,NOT(ISBLANK($F73))), IF( _xll.IMDP("IR", $F73, BI$8, Matrix!$D$6)=0,"",_xll.IMDP("IR", $F73, BI$8, Matrix!$D$6)), "")</f>
        <v>3.504</v>
      </c>
      <c r="BJ73" cm="1">
        <f t="array" aca="1" ref="BJ73" ca="1">IF( AND($F$7,NOT(ISBLANK($F73))), IF( _xll.IMDP("IR", $F73, BJ$8, Matrix!$D$6)=0,"",_xll.IMDP("IR", $F73, BJ$8, Matrix!$D$6)), "")</f>
        <v>3.508</v>
      </c>
      <c r="BK73" cm="1">
        <f t="array" aca="1" ref="BK73" ca="1">IF( AND($F$7,NOT(ISBLANK($F73))), IF( _xll.IMDP("IR", $F73, BK$8, Matrix!$D$6)=0,"",_xll.IMDP("IR", $F73, BK$8, Matrix!$D$6)), "")</f>
        <v>3.4729999999999999</v>
      </c>
      <c r="BL73" cm="1">
        <f t="array" aca="1" ref="BL73" ca="1">IF( AND($F$7,NOT(ISBLANK($F73))), IF( _xll.IMDP("IR", $F73, BL$8, Matrix!$D$6)=0,"",_xll.IMDP("IR", $F73, BL$8, Matrix!$D$6)), "")</f>
        <v>3.4590000000000001</v>
      </c>
      <c r="BM73" cm="1">
        <f t="array" aca="1" ref="BM73" ca="1">IF( AND($F$7,NOT(ISBLANK($F73))), IF( _xll.IMDP("IR", $F73, BM$8, Matrix!$D$6)=0,"",_xll.IMDP("IR", $F73, BM$8, Matrix!$D$6)), "")</f>
        <v>3.4689999999999999</v>
      </c>
      <c r="BN73" cm="1">
        <f t="array" aca="1" ref="BN73" ca="1">IF( AND($F$7,NOT(ISBLANK($F73))), IF( _xll.IMDP("IR", $F73, BN$8, Matrix!$D$6)=0,"",_xll.IMDP("IR", $F73, BN$8, Matrix!$D$6)), "")</f>
        <v>3.44</v>
      </c>
      <c r="BO73" cm="1">
        <f t="array" aca="1" ref="BO73" ca="1">IF( AND($F$7,NOT(ISBLANK($F73))), IF( _xll.IMDP("IR", $F73, BO$8, Matrix!$D$6)=0,"",_xll.IMDP("IR", $F73, BO$8, Matrix!$D$6)), "")</f>
        <v>3.45</v>
      </c>
      <c r="BP73" cm="1">
        <f t="array" aca="1" ref="BP73" ca="1">IF( AND($F$7,NOT(ISBLANK($F73))), IF( _xll.IMDP("IR", $F73, BP$8, Matrix!$D$6)=0,"",_xll.IMDP("IR", $F73, BP$8, Matrix!$D$6)), "")</f>
        <v>3.45</v>
      </c>
      <c r="BQ73" cm="1">
        <f t="array" aca="1" ref="BQ73" ca="1">IF( AND($F$7,NOT(ISBLANK($F73))), IF( _xll.IMDP("IR", $F73, BQ$8, Matrix!$D$6)=0,"",_xll.IMDP("IR", $F73, BQ$8, Matrix!$D$6)), "")</f>
        <v>3.46</v>
      </c>
      <c r="BR73" cm="1">
        <f t="array" aca="1" ref="BR73" ca="1">IF( AND($F$7,NOT(ISBLANK($F73))), IF( _xll.IMDP("IR", $F73, BR$8, Matrix!$D$6)=0,"",_xll.IMDP("IR", $F73, BR$8, Matrix!$D$6)), "")</f>
        <v>3.5110000000000001</v>
      </c>
      <c r="BS73" cm="1">
        <f t="array" aca="1" ref="BS73" ca="1">IF( AND($F$7,NOT(ISBLANK($F73))), IF( _xll.IMDP("IR", $F73, BS$8, Matrix!$D$6)=0,"",_xll.IMDP("IR", $F73, BS$8, Matrix!$D$6)), "")</f>
        <v>3.6120000000000001</v>
      </c>
      <c r="BT73" cm="1">
        <f t="array" aca="1" ref="BT73" ca="1">IF( AND($F$7,NOT(ISBLANK($F73))), IF( _xll.IMDP("IR", $F73, BT$8, Matrix!$D$6)=0,"",_xll.IMDP("IR", $F73, BT$8, Matrix!$D$6)), "")</f>
        <v>3.9</v>
      </c>
      <c r="BU73" cm="1">
        <f t="array" aca="1" ref="BU73" ca="1">IF( AND($F$7,NOT(ISBLANK($F73))), IF( _xll.IMDP("IR", $F73, BU$8, Matrix!$D$6)=0,"",_xll.IMDP("IR", $F73, BU$8, Matrix!$D$6)), "")</f>
        <v>4.1710000000000003</v>
      </c>
      <c r="BV73" cm="1">
        <f t="array" aca="1" ref="BV73" ca="1">IF( AND($F$7,NOT(ISBLANK($F73))), IF( _xll.IMDP("IR", $F73, BV$8, Matrix!$D$6)=0,"",_xll.IMDP("IR", $F73, BV$8, Matrix!$D$6)), "")</f>
        <v>4.3109999999999999</v>
      </c>
      <c r="BW73" t="str" cm="1">
        <f t="array" aca="1" ref="BW73" ca="1">IF( AND($F$7,NOT(ISBLANK($F73))), IF( _xll.IMDP("IR", $F73, BW$8, Matrix!$D$6)=0,"",_xll.IMDP("IR", $F73, BW$8, Matrix!$D$6)), "")</f>
        <v/>
      </c>
      <c r="BX73" t="str" cm="1">
        <f t="array" aca="1" ref="BX73" ca="1">IF( AND($F$7,NOT(ISBLANK($F73))), IF( _xll.IMDP("IR", $F73, BX$8, Matrix!$D$6)=0,"",_xll.IMDP("IR", $F73, BX$8, Matrix!$D$6)), "")</f>
        <v/>
      </c>
      <c r="BY73" cm="1">
        <f t="array" aca="1" ref="BY73" ca="1">IF( AND($G$7,NOT(ISBLANK($G73))), IF( _xll.IMDP("IR", $G73, BY$8, Matrix!$D$6)=0, "", _xll.IMDP("IR", $G73, BY$8, Matrix!$D$6)), "")</f>
        <v>3.448</v>
      </c>
      <c r="BZ73" cm="1">
        <f t="array" aca="1" ref="BZ73" ca="1">IF( AND($G$7,NOT(ISBLANK($G73))), IF( _xll.IMDP("IR", $G73, BZ$8, Matrix!$D$6)=0, "", _xll.IMDP("IR", $G73, BZ$8, Matrix!$D$6)), "")</f>
        <v>3.488</v>
      </c>
      <c r="CA73" cm="1">
        <f t="array" aca="1" ref="CA73" ca="1">IF( AND($G$7,NOT(ISBLANK($G73))), IF( _xll.IMDP("IR", $G73, CA$8, Matrix!$D$6)=0, "", _xll.IMDP("IR", $G73, CA$8, Matrix!$D$6)), "")</f>
        <v>3.46</v>
      </c>
      <c r="CB73" cm="1">
        <f t="array" aca="1" ref="CB73" ca="1">IF( AND($G$7,NOT(ISBLANK($G73))), IF( _xll.IMDP("IR", $G73, CB$8, Matrix!$D$6)=0, "", _xll.IMDP("IR", $G73, CB$8, Matrix!$D$6)), "")</f>
        <v>3.4249999999999998</v>
      </c>
      <c r="CC73" cm="1">
        <f t="array" aca="1" ref="CC73" ca="1">IF( AND($G$7,NOT(ISBLANK($G73))), IF( _xll.IMDP("IR", $G73, CC$8, Matrix!$D$6)=0, "", _xll.IMDP("IR", $G73, CC$8, Matrix!$D$6)), "")</f>
        <v>3.448</v>
      </c>
      <c r="CD73" cm="1">
        <f t="array" aca="1" ref="CD73" ca="1">IF( AND($G$7,NOT(ISBLANK($G73))), IF( _xll.IMDP("IR", $G73, CD$8, Matrix!$D$6)=0, "", _xll.IMDP("IR", $G73, CD$8, Matrix!$D$6)), "")</f>
        <v>3.4390000000000001</v>
      </c>
      <c r="CE73" cm="1">
        <f t="array" aca="1" ref="CE73" ca="1">IF( AND($G$7,NOT(ISBLANK($G73))), IF( _xll.IMDP("IR", $G73, CE$8, Matrix!$D$6)=0, "", _xll.IMDP("IR", $G73, CE$8, Matrix!$D$6)), "")</f>
        <v>3.448</v>
      </c>
      <c r="CF73" cm="1">
        <f t="array" aca="1" ref="CF73" ca="1">IF( AND($G$7,NOT(ISBLANK($G73))), IF( _xll.IMDP("IR", $G73, CF$8, Matrix!$D$6)=0, "", _xll.IMDP("IR", $G73, CF$8, Matrix!$D$6)), "")</f>
        <v>3.45</v>
      </c>
      <c r="CG73" cm="1">
        <f t="array" aca="1" ref="CG73" ca="1">IF( AND($G$7,NOT(ISBLANK($G73))), IF( _xll.IMDP("IR", $G73, CG$8, Matrix!$D$6)=0, "", _xll.IMDP("IR", $G73, CG$8, Matrix!$D$6)), "")</f>
        <v>3.4470000000000001</v>
      </c>
      <c r="CH73" cm="1">
        <f t="array" aca="1" ref="CH73" ca="1">IF( AND($G$7,NOT(ISBLANK($G73))), IF( _xll.IMDP("IR", $G73, CH$8, Matrix!$D$6)=0, "", _xll.IMDP("IR", $G73, CH$8, Matrix!$D$6)), "")</f>
        <v>3.456</v>
      </c>
      <c r="CI73" cm="1">
        <f t="array" aca="1" ref="CI73" ca="1">IF( AND($G$7,NOT(ISBLANK($G73))), IF( _xll.IMDP("IR", $G73, CI$8, Matrix!$D$6)=0, "", _xll.IMDP("IR", $G73, CI$8, Matrix!$D$6)), "")</f>
        <v>3.5430000000000001</v>
      </c>
      <c r="CJ73" cm="1">
        <f t="array" aca="1" ref="CJ73" ca="1">IF( AND($G$7,NOT(ISBLANK($G73))), IF( _xll.IMDP("IR", $G73, CJ$8, Matrix!$D$6)=0, "", _xll.IMDP("IR", $G73, CJ$8, Matrix!$D$6)), "")</f>
        <v>3.8410000000000002</v>
      </c>
      <c r="CK73" cm="1">
        <f t="array" aca="1" ref="CK73" ca="1">IF( AND($G$7,NOT(ISBLANK($G73))), IF( _xll.IMDP("IR", $G73, CK$8, Matrix!$D$6)=0, "", _xll.IMDP("IR", $G73, CK$8, Matrix!$D$6)), "")</f>
        <v>4.141</v>
      </c>
      <c r="CL73" cm="1">
        <f t="array" aca="1" ref="CL73" ca="1">IF( AND($G$7,NOT(ISBLANK($G73))), IF( _xll.IMDP("IR", $G73, CL$8, Matrix!$D$6)=0, "", _xll.IMDP("IR", $G73, CL$8, Matrix!$D$6)), "")</f>
        <v>4.3259999999999996</v>
      </c>
      <c r="CM73" t="str" cm="1">
        <f t="array" aca="1" ref="CM73" ca="1">IF( AND($G$7,NOT(ISBLANK($G73))), IF( _xll.IMDP("IR", $G73, CM$8, Matrix!$D$6)=0, "", _xll.IMDP("IR", $G73, CM$8, Matrix!$D$6)), "")</f>
        <v/>
      </c>
      <c r="CN73" t="str" cm="1">
        <f t="array" aca="1" ref="CN73" ca="1">IF( AND($G$7,NOT(ISBLANK($G73))), IF( _xll.IMDP("IR", $G73, CN$8, Matrix!$D$6)=0, "", _xll.IMDP("IR", $G73, CN$8, Matrix!$D$6)), "")</f>
        <v/>
      </c>
      <c r="CO73" t="str" cm="1">
        <f t="array" aca="1" ref="CO73" ca="1">IF( AND($H$7,NOT(ISBLANK($H73))), IF( _xll.IMDP("IR", $H73, CO$8, Matrix!$D$6)=0, "", _xll.IMDP("IR", $H73, CO$8, Matrix!$D$6)), "")</f>
        <v xml:space="preserve"> </v>
      </c>
      <c r="CP73" t="str" cm="1">
        <f t="array" aca="1" ref="CP73" ca="1">IF( AND($H$7,NOT(ISBLANK($H73))), IF( _xll.IMDP("IR", $H73, CP$8, Matrix!$D$6)=0, "", _xll.IMDP("IR", $H73, CP$8, Matrix!$D$6)), "")</f>
        <v xml:space="preserve"> </v>
      </c>
      <c r="CQ73" t="str" cm="1">
        <f t="array" aca="1" ref="CQ73" ca="1">IF( AND($H$7,NOT(ISBLANK($H73))), IF( _xll.IMDP("IR", $H73, CQ$8, Matrix!$D$6)=0, "", _xll.IMDP("IR", $H73, CQ$8, Matrix!$D$6)), "")</f>
        <v xml:space="preserve"> </v>
      </c>
      <c r="CR73" t="str" cm="1">
        <f t="array" aca="1" ref="CR73" ca="1">IF( AND($H$7,NOT(ISBLANK($H73))), IF( _xll.IMDP("IR", $H73, CR$8, Matrix!$D$6)=0, "", _xll.IMDP("IR", $H73, CR$8, Matrix!$D$6)), "")</f>
        <v xml:space="preserve"> </v>
      </c>
      <c r="CS73" t="str" cm="1">
        <f t="array" aca="1" ref="CS73" ca="1">IF( AND($H$7,NOT(ISBLANK($H73))), IF( _xll.IMDP("IR", $H73, CS$8, Matrix!$D$6)=0, "", _xll.IMDP("IR", $H73, CS$8, Matrix!$D$6)), "")</f>
        <v xml:space="preserve"> </v>
      </c>
      <c r="CT73" t="str" cm="1">
        <f t="array" aca="1" ref="CT73" ca="1">IF( AND($H$7,NOT(ISBLANK($H73))), IF( _xll.IMDP("IR", $H73, CT$8, Matrix!$D$6)=0, "", _xll.IMDP("IR", $H73, CT$8, Matrix!$D$6)), "")</f>
        <v xml:space="preserve"> </v>
      </c>
      <c r="CU73" t="str" cm="1">
        <f t="array" aca="1" ref="CU73" ca="1">IF( AND($H$7,NOT(ISBLANK($H73))), IF( _xll.IMDP("IR", $H73, CU$8, Matrix!$D$6)=0, "", _xll.IMDP("IR", $H73, CU$8, Matrix!$D$6)), "")</f>
        <v xml:space="preserve"> </v>
      </c>
      <c r="CV73" t="str" cm="1">
        <f t="array" aca="1" ref="CV73" ca="1">IF( AND($H$7,NOT(ISBLANK($H73))), IF( _xll.IMDP("IR", $H73, CV$8, Matrix!$D$6)=0, "", _xll.IMDP("IR", $H73, CV$8, Matrix!$D$6)), "")</f>
        <v xml:space="preserve"> </v>
      </c>
      <c r="CW73" t="str" cm="1">
        <f t="array" aca="1" ref="CW73" ca="1">IF( AND($H$7,NOT(ISBLANK($H73))), IF( _xll.IMDP("IR", $H73, CW$8, Matrix!$D$6)=0, "", _xll.IMDP("IR", $H73, CW$8, Matrix!$D$6)), "")</f>
        <v xml:space="preserve"> </v>
      </c>
      <c r="CX73" t="str" cm="1">
        <f t="array" aca="1" ref="CX73" ca="1">IF( AND($H$7,NOT(ISBLANK($H73))), IF( _xll.IMDP("IR", $H73, CX$8, Matrix!$D$6)=0, "", _xll.IMDP("IR", $H73, CX$8, Matrix!$D$6)), "")</f>
        <v xml:space="preserve"> </v>
      </c>
      <c r="CY73" t="str" cm="1">
        <f t="array" aca="1" ref="CY73" ca="1">IF( AND($H$7,NOT(ISBLANK($H73))), IF( _xll.IMDP("IR", $H73, CY$8, Matrix!$D$6)=0, "", _xll.IMDP("IR", $H73, CY$8, Matrix!$D$6)), "")</f>
        <v xml:space="preserve"> </v>
      </c>
      <c r="CZ73" t="str" cm="1">
        <f t="array" aca="1" ref="CZ73" ca="1">IF( AND($H$7,NOT(ISBLANK($H73))), IF( _xll.IMDP("IR", $H73, CZ$8, Matrix!$D$6)=0, "", _xll.IMDP("IR", $H73, CZ$8, Matrix!$D$6)), "")</f>
        <v xml:space="preserve"> </v>
      </c>
      <c r="DA73" t="str" cm="1">
        <f t="array" aca="1" ref="DA73" ca="1">IF( AND($H$7,NOT(ISBLANK($H73))), IF( _xll.IMDP("IR", $H73, DA$8, Matrix!$D$6)=0, "", _xll.IMDP("IR", $H73, DA$8, Matrix!$D$6)), "")</f>
        <v/>
      </c>
      <c r="DB73" t="str" cm="1">
        <f t="array" aca="1" ref="DB73" ca="1">IF( AND($H$7,NOT(ISBLANK($H73))), IF( _xll.IMDP("IR", $H73, DB$8, Matrix!$D$6)=0, "", _xll.IMDP("IR", $H73, DB$8, Matrix!$D$6)), "")</f>
        <v xml:space="preserve"> </v>
      </c>
      <c r="DC73" t="str" cm="1">
        <f t="array" aca="1" ref="DC73" ca="1">IF( AND($H$7,NOT(ISBLANK($H73))), IF( _xll.IMDP("IR", $H73, DC$8, Matrix!$D$6)=0, "", _xll.IMDP("IR", $H73, DC$8, Matrix!$D$6)), "")</f>
        <v xml:space="preserve"> </v>
      </c>
      <c r="DD73" t="str" cm="1">
        <f t="array" aca="1" ref="DD73" ca="1">IF( AND($H$7,NOT(ISBLANK($H73))), IF( _xll.IMDP("IR", $H73, DD$8, Matrix!$D$6)=0, "", _xll.IMDP("IR", $H73, DD$8, Matrix!$D$6)), "")</f>
        <v/>
      </c>
    </row>
    <row r="74" spans="2:108">
      <c r="B74" t="s">
        <v>142</v>
      </c>
      <c r="C74" t="s">
        <v>216</v>
      </c>
      <c r="D74" t="s">
        <v>281</v>
      </c>
      <c r="E74" t="s">
        <v>342</v>
      </c>
      <c r="F74" t="s">
        <v>412</v>
      </c>
      <c r="G74" t="s">
        <v>475</v>
      </c>
      <c r="M74" s="21">
        <f t="shared" ca="1" si="34"/>
        <v>3.4884668830447771</v>
      </c>
      <c r="N74" s="21">
        <f t="shared" ca="1" si="35"/>
        <v>3.5284435865017945</v>
      </c>
      <c r="O74" s="21">
        <f t="shared" ca="1" si="36"/>
        <v>3.5064973969550817</v>
      </c>
      <c r="P74" s="21">
        <f t="shared" ca="1" si="37"/>
        <v>3.4727402401198222</v>
      </c>
      <c r="Q74" s="21">
        <f t="shared" ca="1" si="38"/>
        <v>3.5072824290836144</v>
      </c>
      <c r="R74" s="21">
        <f t="shared" ca="1" si="39"/>
        <v>3.5103614192385391</v>
      </c>
      <c r="S74" s="21">
        <f t="shared" ca="1" si="40"/>
        <v>3.535848740528913</v>
      </c>
      <c r="T74" s="21">
        <f t="shared" ca="1" si="41"/>
        <v>3.5459535346706312</v>
      </c>
      <c r="U74" s="21">
        <f t="shared" ca="1" si="42"/>
        <v>3.55748593612133</v>
      </c>
      <c r="V74" s="21">
        <f t="shared" ca="1" si="43"/>
        <v>3.6018972551553481</v>
      </c>
      <c r="W74" s="21">
        <f t="shared" ca="1" si="44"/>
        <v>3.7476716160950363</v>
      </c>
      <c r="X74" s="21">
        <f t="shared" ca="1" si="45"/>
        <v>4.175529780002976</v>
      </c>
      <c r="Y74" s="21">
        <f t="shared" ca="1" si="46"/>
        <v>4.4851451129377917</v>
      </c>
      <c r="Z74" s="21">
        <f t="shared" ca="1" si="47"/>
        <v>4.6669508262691259</v>
      </c>
      <c r="AA74" s="21" t="e">
        <f t="shared" ca="1" si="48"/>
        <v>#NUM!</v>
      </c>
      <c r="AB74" s="21" t="e">
        <f t="shared" ca="1" si="49"/>
        <v>#NUM!</v>
      </c>
      <c r="AC74" cm="1">
        <f t="array" aca="1" ref="AC74" ca="1">IF( AND($D$7,NOT(ISBLANK($D74))), IF(_xll.IMDP("IR", $D74, AC$8, Matrix!$D$6)=0,"",_xll.IMDP("IR", $D74, AC$8, Matrix!$D$6)), "")</f>
        <v>3.427</v>
      </c>
      <c r="AD74" cm="1">
        <f t="array" aca="1" ref="AD74" ca="1">IF( AND($D$7,NOT(ISBLANK($D74))), IF(_xll.IMDP("IR", $D74, AD$8, Matrix!$D$6)=0,"",_xll.IMDP("IR", $D74, AD$8, Matrix!$D$6)), "")</f>
        <v>3.53</v>
      </c>
      <c r="AE74" cm="1">
        <f t="array" aca="1" ref="AE74" ca="1">IF( AND($D$7,NOT(ISBLANK($D74))), IF(_xll.IMDP("IR", $D74, AE$8, Matrix!$D$6)=0,"",_xll.IMDP("IR", $D74, AE$8, Matrix!$D$6)), "")</f>
        <v>3.5</v>
      </c>
      <c r="AF74" cm="1">
        <f t="array" aca="1" ref="AF74" ca="1">IF( AND($D$7,NOT(ISBLANK($D74))), IF(_xll.IMDP("IR", $D74, AF$8, Matrix!$D$6)=0,"",_xll.IMDP("IR", $D74, AF$8, Matrix!$D$6)), "")</f>
        <v>3.4590000000000001</v>
      </c>
      <c r="AG74" cm="1">
        <f t="array" aca="1" ref="AG74" ca="1">IF( AND($D$7,NOT(ISBLANK($D74))), IF(_xll.IMDP("IR", $D74, AG$8, Matrix!$D$6)=0,"",_xll.IMDP("IR", $D74, AG$8, Matrix!$D$6)), "")</f>
        <v>3.464</v>
      </c>
      <c r="AH74" cm="1">
        <f t="array" aca="1" ref="AH74" ca="1">IF( AND($D$7,NOT(ISBLANK($D74))), IF(_xll.IMDP("IR", $D74, AH$8, Matrix!$D$6)=0,"",_xll.IMDP("IR", $D74, AH$8, Matrix!$D$6)), "")</f>
        <v>3.4780000000000002</v>
      </c>
      <c r="AI74" cm="1">
        <f t="array" aca="1" ref="AI74" ca="1">IF( AND($D$7,NOT(ISBLANK($D74))), IF(_xll.IMDP("IR", $D74, AI$8, Matrix!$D$6)=0,"",_xll.IMDP("IR", $D74, AI$8, Matrix!$D$6)), "")</f>
        <v>3.5030000000000001</v>
      </c>
      <c r="AJ74" cm="1">
        <f t="array" aca="1" ref="AJ74" ca="1">IF( AND($D$7,NOT(ISBLANK($D74))), IF(_xll.IMDP("IR", $D74, AJ$8, Matrix!$D$6)=0,"",_xll.IMDP("IR", $D74, AJ$8, Matrix!$D$6)), "")</f>
        <v>3.512</v>
      </c>
      <c r="AK74" cm="1">
        <f t="array" aca="1" ref="AK74" ca="1">IF( AND($D$7,NOT(ISBLANK($D74))), IF(_xll.IMDP("IR", $D74, AK$8, Matrix!$D$6)=0,"",_xll.IMDP("IR", $D74, AK$8, Matrix!$D$6)), "")</f>
        <v>3.5179999999999998</v>
      </c>
      <c r="AL74" cm="1">
        <f t="array" aca="1" ref="AL74" ca="1">IF( AND($D$7,NOT(ISBLANK($D74))), IF(_xll.IMDP("IR", $D74, AL$8, Matrix!$D$6)=0,"",_xll.IMDP("IR", $D74, AL$8, Matrix!$D$6)), "")</f>
        <v>3.5459999999999998</v>
      </c>
      <c r="AM74" cm="1">
        <f t="array" aca="1" ref="AM74" ca="1">IF( AND($D$7,NOT(ISBLANK($D74))), IF(_xll.IMDP("IR", $D74, AM$8, Matrix!$D$6)=0,"",_xll.IMDP("IR", $D74, AM$8, Matrix!$D$6)), "")</f>
        <v>3.68</v>
      </c>
      <c r="AN74" cm="1">
        <f t="array" aca="1" ref="AN74" ca="1">IF( AND($D$7,NOT(ISBLANK($D74))), IF(_xll.IMDP("IR", $D74, AN$8, Matrix!$D$6)=0,"",_xll.IMDP("IR", $D74, AN$8, Matrix!$D$6)), "")</f>
        <v>4.0549999999999997</v>
      </c>
      <c r="AO74" cm="1">
        <f t="array" aca="1" ref="AO74" ca="1">IF( AND($D$7,NOT(ISBLANK($D74))), IF(_xll.IMDP("IR", $D74, AO$8, Matrix!$D$6)=0,"",_xll.IMDP("IR", $D74, AO$8, Matrix!$D$6)), "")</f>
        <v>4.3250000000000002</v>
      </c>
      <c r="AP74" cm="1">
        <f t="array" aca="1" ref="AP74" ca="1">IF( AND($D$7,NOT(ISBLANK($D74))), IF(_xll.IMDP("IR", $D74, AP$8, Matrix!$D$6)=0,"",_xll.IMDP("IR", $D74, AP$8, Matrix!$D$6)), "")</f>
        <v>4.5069999999999997</v>
      </c>
      <c r="AQ74" t="str" cm="1">
        <f t="array" aca="1" ref="AQ74" ca="1">IF( AND($D$7,NOT(ISBLANK($D74))), IF(_xll.IMDP("IR", $D74, AQ$8, Matrix!$D$6)=0,"",_xll.IMDP("IR", $D74, AQ$8, Matrix!$D$6)), "")</f>
        <v/>
      </c>
      <c r="AR74" t="str" cm="1">
        <f t="array" aca="1" ref="AR74" ca="1">IF( AND($D$7,NOT(ISBLANK($D74))), IF(_xll.IMDP("IR", $D74, AR$8, Matrix!$D$6)=0,"",_xll.IMDP("IR", $D74, AR$8, Matrix!$D$6)), "")</f>
        <v/>
      </c>
      <c r="AS74" cm="1">
        <f t="array" aca="1" ref="AS74" ca="1">IF( AND($E$7,NOT(ISBLANK($E74))), IF( _xll.IMDP("IR", $E74, AS$8, Matrix!$D$6)=0,"",_xll.IMDP("IR", $E74, AS$8, Matrix!$D$6)), "")</f>
        <v>3.5379999999999998</v>
      </c>
      <c r="AT74" cm="1">
        <f t="array" aca="1" ref="AT74" ca="1">IF( AND($E$7,NOT(ISBLANK($E74))), IF( _xll.IMDP("IR", $E74, AT$8, Matrix!$D$6)=0,"",_xll.IMDP("IR", $E74, AT$8, Matrix!$D$6)), "")</f>
        <v>3.552</v>
      </c>
      <c r="AU74" cm="1">
        <f t="array" aca="1" ref="AU74" ca="1">IF( AND($E$7,NOT(ISBLANK($E74))), IF( _xll.IMDP("IR", $E74, AU$8, Matrix!$D$6)=0,"",_xll.IMDP("IR", $E74, AU$8, Matrix!$D$6)), "")</f>
        <v>3.5070000000000001</v>
      </c>
      <c r="AV74" cm="1">
        <f t="array" aca="1" ref="AV74" ca="1">IF( AND($E$7,NOT(ISBLANK($E74))), IF( _xll.IMDP("IR", $E74, AV$8, Matrix!$D$6)=0,"",_xll.IMDP("IR", $E74, AV$8, Matrix!$D$6)), "")</f>
        <v>3.48</v>
      </c>
      <c r="AW74" cm="1">
        <f t="array" aca="1" ref="AW74" ca="1">IF( AND($E$7,NOT(ISBLANK($E74))), IF( _xll.IMDP("IR", $E74, AW$8, Matrix!$D$6)=0,"",_xll.IMDP("IR", $E74, AW$8, Matrix!$D$6)), "")</f>
        <v>3.5710000000000002</v>
      </c>
      <c r="AX74" cm="1">
        <f t="array" aca="1" ref="AX74" ca="1">IF( AND($E$7,NOT(ISBLANK($E74))), IF( _xll.IMDP("IR", $E74, AX$8, Matrix!$D$6)=0,"",_xll.IMDP("IR", $E74, AX$8, Matrix!$D$6)), "")</f>
        <v>3.601</v>
      </c>
      <c r="AY74" cm="1">
        <f t="array" aca="1" ref="AY74" ca="1">IF( AND($E$7,NOT(ISBLANK($E74))), IF( _xll.IMDP("IR", $E74, AY$8, Matrix!$D$6)=0,"",_xll.IMDP("IR", $E74, AY$8, Matrix!$D$6)), "")</f>
        <v>3.629</v>
      </c>
      <c r="AZ74" cm="1">
        <f t="array" aca="1" ref="AZ74" ca="1">IF( AND($E$7,NOT(ISBLANK($E74))), IF( _xll.IMDP("IR", $E74, AZ$8, Matrix!$D$6)=0,"",_xll.IMDP("IR", $E74, AZ$8, Matrix!$D$6)), "")</f>
        <v>3.6549999999999998</v>
      </c>
      <c r="BA74" cm="1">
        <f t="array" aca="1" ref="BA74" ca="1">IF( AND($E$7,NOT(ISBLANK($E74))), IF( _xll.IMDP("IR", $E74, BA$8, Matrix!$D$6)=0,"",_xll.IMDP("IR", $E74, BA$8, Matrix!$D$6)), "")</f>
        <v>3.6859999999999999</v>
      </c>
      <c r="BB74" cm="1">
        <f t="array" aca="1" ref="BB74" ca="1">IF( AND($E$7,NOT(ISBLANK($E74))), IF( _xll.IMDP("IR", $E74, BB$8, Matrix!$D$6)=0,"",_xll.IMDP("IR", $E74, BB$8, Matrix!$D$6)), "")</f>
        <v>3.7120000000000002</v>
      </c>
      <c r="BC74" cm="1">
        <f t="array" aca="1" ref="BC74" ca="1">IF( AND($E$7,NOT(ISBLANK($E74))), IF( _xll.IMDP("IR", $E74, BC$8, Matrix!$D$6)=0,"",_xll.IMDP("IR", $E74, BC$8, Matrix!$D$6)), "")</f>
        <v>3.8780000000000001</v>
      </c>
      <c r="BD74" cm="1">
        <f t="array" aca="1" ref="BD74" ca="1">IF( AND($E$7,NOT(ISBLANK($E74))), IF( _xll.IMDP("IR", $E74, BD$8, Matrix!$D$6)=0,"",_xll.IMDP("IR", $E74, BD$8, Matrix!$D$6)), "")</f>
        <v>4.3470000000000004</v>
      </c>
      <c r="BE74" cm="1">
        <f t="array" aca="1" ref="BE74" ca="1">IF( AND($E$7,NOT(ISBLANK($E74))), IF( _xll.IMDP("IR", $E74, BE$8, Matrix!$D$6)=0,"",_xll.IMDP("IR", $E74, BE$8, Matrix!$D$6)), "")</f>
        <v>4.67</v>
      </c>
      <c r="BF74" cm="1">
        <f t="array" aca="1" ref="BF74" ca="1">IF( AND($E$7,NOT(ISBLANK($E74))), IF( _xll.IMDP("IR", $E74, BF$8, Matrix!$D$6)=0,"",_xll.IMDP("IR", $E74, BF$8, Matrix!$D$6)), "")</f>
        <v>4.8609999999999998</v>
      </c>
      <c r="BG74" t="str" cm="1">
        <f t="array" aca="1" ref="BG74" ca="1">IF( AND($E$7,NOT(ISBLANK($E74))), IF( _xll.IMDP("IR", $E74, BG$8, Matrix!$D$6)=0,"",_xll.IMDP("IR", $E74, BG$8, Matrix!$D$6)), "")</f>
        <v/>
      </c>
      <c r="BH74" t="str" cm="1">
        <f t="array" aca="1" ref="BH74" ca="1">IF( AND($E$7,NOT(ISBLANK($E74))), IF( _xll.IMDP("IR", $E74, BH$8, Matrix!$D$6)=0,"",_xll.IMDP("IR", $E74, BH$8, Matrix!$D$6)), "")</f>
        <v/>
      </c>
      <c r="BI74" cm="1">
        <f t="array" aca="1" ref="BI74" ca="1">IF( AND($F$7,NOT(ISBLANK($F74))), IF( _xll.IMDP("IR", $F74, BI$8, Matrix!$D$6)=0,"",_xll.IMDP("IR", $F74, BI$8, Matrix!$D$6)), "")</f>
        <v>3.5230000000000001</v>
      </c>
      <c r="BJ74" cm="1">
        <f t="array" aca="1" ref="BJ74" ca="1">IF( AND($F$7,NOT(ISBLANK($F74))), IF( _xll.IMDP("IR", $F74, BJ$8, Matrix!$D$6)=0,"",_xll.IMDP("IR", $F74, BJ$8, Matrix!$D$6)), "")</f>
        <v>3.5350000000000001</v>
      </c>
      <c r="BK74" cm="1">
        <f t="array" aca="1" ref="BK74" ca="1">IF( AND($F$7,NOT(ISBLANK($F74))), IF( _xll.IMDP("IR", $F74, BK$8, Matrix!$D$6)=0,"",_xll.IMDP("IR", $F74, BK$8, Matrix!$D$6)), "")</f>
        <v>3.5070000000000001</v>
      </c>
      <c r="BL74" cm="1">
        <f t="array" aca="1" ref="BL74" ca="1">IF( AND($F$7,NOT(ISBLANK($F74))), IF( _xll.IMDP("IR", $F74, BL$8, Matrix!$D$6)=0,"",_xll.IMDP("IR", $F74, BL$8, Matrix!$D$6)), "")</f>
        <v>3.4780000000000002</v>
      </c>
      <c r="BM74" cm="1">
        <f t="array" aca="1" ref="BM74" ca="1">IF( AND($F$7,NOT(ISBLANK($F74))), IF( _xll.IMDP("IR", $F74, BM$8, Matrix!$D$6)=0,"",_xll.IMDP("IR", $F74, BM$8, Matrix!$D$6)), "")</f>
        <v>3.5</v>
      </c>
      <c r="BN74" cm="1">
        <f t="array" aca="1" ref="BN74" ca="1">IF( AND($F$7,NOT(ISBLANK($F74))), IF( _xll.IMDP("IR", $F74, BN$8, Matrix!$D$6)=0,"",_xll.IMDP("IR", $F74, BN$8, Matrix!$D$6)), "")</f>
        <v>3.4729999999999999</v>
      </c>
      <c r="BO74" cm="1">
        <f t="array" aca="1" ref="BO74" ca="1">IF( AND($F$7,NOT(ISBLANK($F74))), IF( _xll.IMDP("IR", $F74, BO$8, Matrix!$D$6)=0,"",_xll.IMDP("IR", $F74, BO$8, Matrix!$D$6)), "")</f>
        <v>3.5049999999999999</v>
      </c>
      <c r="BP74" cm="1">
        <f t="array" aca="1" ref="BP74" ca="1">IF( AND($F$7,NOT(ISBLANK($F74))), IF( _xll.IMDP("IR", $F74, BP$8, Matrix!$D$6)=0,"",_xll.IMDP("IR", $F74, BP$8, Matrix!$D$6)), "")</f>
        <v>3.512</v>
      </c>
      <c r="BQ74" cm="1">
        <f t="array" aca="1" ref="BQ74" ca="1">IF( AND($F$7,NOT(ISBLANK($F74))), IF( _xll.IMDP("IR", $F74, BQ$8, Matrix!$D$6)=0,"",_xll.IMDP("IR", $F74, BQ$8, Matrix!$D$6)), "")</f>
        <v>3.5270000000000001</v>
      </c>
      <c r="BR74" cm="1">
        <f t="array" aca="1" ref="BR74" ca="1">IF( AND($F$7,NOT(ISBLANK($F74))), IF( _xll.IMDP("IR", $F74, BR$8, Matrix!$D$6)=0,"",_xll.IMDP("IR", $F74, BR$8, Matrix!$D$6)), "")</f>
        <v>3.5979999999999999</v>
      </c>
      <c r="BS74" cm="1">
        <f t="array" aca="1" ref="BS74" ca="1">IF( AND($F$7,NOT(ISBLANK($F74))), IF( _xll.IMDP("IR", $F74, BS$8, Matrix!$D$6)=0,"",_xll.IMDP("IR", $F74, BS$8, Matrix!$D$6)), "")</f>
        <v>3.7480000000000002</v>
      </c>
      <c r="BT74" cm="1">
        <f t="array" aca="1" ref="BT74" ca="1">IF( AND($F$7,NOT(ISBLANK($F74))), IF( _xll.IMDP("IR", $F74, BT$8, Matrix!$D$6)=0,"",_xll.IMDP("IR", $F74, BT$8, Matrix!$D$6)), "")</f>
        <v>4.2009999999999996</v>
      </c>
      <c r="BU74" cm="1">
        <f t="array" aca="1" ref="BU74" ca="1">IF( AND($F$7,NOT(ISBLANK($F74))), IF( _xll.IMDP("IR", $F74, BU$8, Matrix!$D$6)=0,"",_xll.IMDP("IR", $F74, BU$8, Matrix!$D$6)), "")</f>
        <v>4.5350000000000001</v>
      </c>
      <c r="BV74" cm="1">
        <f t="array" aca="1" ref="BV74" ca="1">IF( AND($F$7,NOT(ISBLANK($F74))), IF( _xll.IMDP("IR", $F74, BV$8, Matrix!$D$6)=0,"",_xll.IMDP("IR", $F74, BV$8, Matrix!$D$6)), "")</f>
        <v>4.6980000000000004</v>
      </c>
      <c r="BW74" t="str" cm="1">
        <f t="array" aca="1" ref="BW74" ca="1">IF( AND($F$7,NOT(ISBLANK($F74))), IF( _xll.IMDP("IR", $F74, BW$8, Matrix!$D$6)=0,"",_xll.IMDP("IR", $F74, BW$8, Matrix!$D$6)), "")</f>
        <v/>
      </c>
      <c r="BX74" t="str" cm="1">
        <f t="array" aca="1" ref="BX74" ca="1">IF( AND($F$7,NOT(ISBLANK($F74))), IF( _xll.IMDP("IR", $F74, BX$8, Matrix!$D$6)=0,"",_xll.IMDP("IR", $F74, BX$8, Matrix!$D$6)), "")</f>
        <v/>
      </c>
      <c r="BY74" cm="1">
        <f t="array" aca="1" ref="BY74" ca="1">IF( AND($G$7,NOT(ISBLANK($G74))), IF( _xll.IMDP("IR", $G74, BY$8, Matrix!$D$6)=0, "", _xll.IMDP("IR", $G74, BY$8, Matrix!$D$6)), "")</f>
        <v>3.4670000000000001</v>
      </c>
      <c r="BZ74" cm="1">
        <f t="array" aca="1" ref="BZ74" ca="1">IF( AND($G$7,NOT(ISBLANK($G74))), IF( _xll.IMDP("IR", $G74, BZ$8, Matrix!$D$6)=0, "", _xll.IMDP("IR", $G74, BZ$8, Matrix!$D$6)), "")</f>
        <v>3.4969999999999999</v>
      </c>
      <c r="CA74" cm="1">
        <f t="array" aca="1" ref="CA74" ca="1">IF( AND($G$7,NOT(ISBLANK($G74))), IF( _xll.IMDP("IR", $G74, CA$8, Matrix!$D$6)=0, "", _xll.IMDP("IR", $G74, CA$8, Matrix!$D$6)), "")</f>
        <v>3.512</v>
      </c>
      <c r="CB74" cm="1">
        <f t="array" aca="1" ref="CB74" ca="1">IF( AND($G$7,NOT(ISBLANK($G74))), IF( _xll.IMDP("IR", $G74, CB$8, Matrix!$D$6)=0, "", _xll.IMDP("IR", $G74, CB$8, Matrix!$D$6)), "")</f>
        <v>3.4740000000000002</v>
      </c>
      <c r="CC74" cm="1">
        <f t="array" aca="1" ref="CC74" ca="1">IF( AND($G$7,NOT(ISBLANK($G74))), IF( _xll.IMDP("IR", $G74, CC$8, Matrix!$D$6)=0, "", _xll.IMDP("IR", $G74, CC$8, Matrix!$D$6)), "")</f>
        <v>3.4950000000000001</v>
      </c>
      <c r="CD74" cm="1">
        <f t="array" aca="1" ref="CD74" ca="1">IF( AND($G$7,NOT(ISBLANK($G74))), IF( _xll.IMDP("IR", $G74, CD$8, Matrix!$D$6)=0, "", _xll.IMDP("IR", $G74, CD$8, Matrix!$D$6)), "")</f>
        <v>3.4910000000000001</v>
      </c>
      <c r="CE74" cm="1">
        <f t="array" aca="1" ref="CE74" ca="1">IF( AND($G$7,NOT(ISBLANK($G74))), IF( _xll.IMDP("IR", $G74, CE$8, Matrix!$D$6)=0, "", _xll.IMDP("IR", $G74, CE$8, Matrix!$D$6)), "")</f>
        <v>3.508</v>
      </c>
      <c r="CF74" cm="1">
        <f t="array" aca="1" ref="CF74" ca="1">IF( AND($G$7,NOT(ISBLANK($G74))), IF( _xll.IMDP("IR", $G74, CF$8, Matrix!$D$6)=0, "", _xll.IMDP("IR", $G74, CF$8, Matrix!$D$6)), "")</f>
        <v>3.5070000000000001</v>
      </c>
      <c r="CG74" cm="1">
        <f t="array" aca="1" ref="CG74" ca="1">IF( AND($G$7,NOT(ISBLANK($G74))), IF( _xll.IMDP("IR", $G74, CG$8, Matrix!$D$6)=0, "", _xll.IMDP("IR", $G74, CG$8, Matrix!$D$6)), "")</f>
        <v>3.5019999999999998</v>
      </c>
      <c r="CH74" cm="1">
        <f t="array" aca="1" ref="CH74" ca="1">IF( AND($G$7,NOT(ISBLANK($G74))), IF( _xll.IMDP("IR", $G74, CH$8, Matrix!$D$6)=0, "", _xll.IMDP("IR", $G74, CH$8, Matrix!$D$6)), "")</f>
        <v>3.5539999999999998</v>
      </c>
      <c r="CI74" cm="1">
        <f t="array" aca="1" ref="CI74" ca="1">IF( AND($G$7,NOT(ISBLANK($G74))), IF( _xll.IMDP("IR", $G74, CI$8, Matrix!$D$6)=0, "", _xll.IMDP("IR", $G74, CI$8, Matrix!$D$6)), "")</f>
        <v>3.6880000000000002</v>
      </c>
      <c r="CJ74" cm="1">
        <f t="array" aca="1" ref="CJ74" ca="1">IF( AND($G$7,NOT(ISBLANK($G74))), IF( _xll.IMDP("IR", $G74, CJ$8, Matrix!$D$6)=0, "", _xll.IMDP("IR", $G74, CJ$8, Matrix!$D$6)), "")</f>
        <v>4.1050000000000004</v>
      </c>
      <c r="CK74" cm="1">
        <f t="array" aca="1" ref="CK74" ca="1">IF( AND($G$7,NOT(ISBLANK($G74))), IF( _xll.IMDP("IR", $G74, CK$8, Matrix!$D$6)=0, "", _xll.IMDP("IR", $G74, CK$8, Matrix!$D$6)), "")</f>
        <v>4.4180000000000001</v>
      </c>
      <c r="CL74" cm="1">
        <f t="array" aca="1" ref="CL74" ca="1">IF( AND($G$7,NOT(ISBLANK($G74))), IF( _xll.IMDP("IR", $G74, CL$8, Matrix!$D$6)=0, "", _xll.IMDP("IR", $G74, CL$8, Matrix!$D$6)), "")</f>
        <v>4.609</v>
      </c>
      <c r="CM74" t="str" cm="1">
        <f t="array" aca="1" ref="CM74" ca="1">IF( AND($G$7,NOT(ISBLANK($G74))), IF( _xll.IMDP("IR", $G74, CM$8, Matrix!$D$6)=0, "", _xll.IMDP("IR", $G74, CM$8, Matrix!$D$6)), "")</f>
        <v/>
      </c>
      <c r="CN74" t="str" cm="1">
        <f t="array" aca="1" ref="CN74" ca="1">IF( AND($G$7,NOT(ISBLANK($G74))), IF( _xll.IMDP("IR", $G74, CN$8, Matrix!$D$6)=0, "", _xll.IMDP("IR", $G74, CN$8, Matrix!$D$6)), "")</f>
        <v/>
      </c>
      <c r="CO74" t="str" cm="1">
        <f t="array" ref="CO74">IF( AND($H$7,NOT(ISBLANK($H74))), IF( _xll.IMDP("IR", $H74, CO$8, Matrix!$D$6)=0, "", _xll.IMDP("IR", $H74, CO$8, Matrix!$D$6)), "")</f>
        <v/>
      </c>
      <c r="CP74" t="str" cm="1">
        <f t="array" ref="CP74">IF( AND($H$7,NOT(ISBLANK($H74))), IF( _xll.IMDP("IR", $H74, CP$8, Matrix!$D$6)=0, "", _xll.IMDP("IR", $H74, CP$8, Matrix!$D$6)), "")</f>
        <v/>
      </c>
      <c r="CQ74" t="str" cm="1">
        <f t="array" ref="CQ74">IF( AND($H$7,NOT(ISBLANK($H74))), IF( _xll.IMDP("IR", $H74, CQ$8, Matrix!$D$6)=0, "", _xll.IMDP("IR", $H74, CQ$8, Matrix!$D$6)), "")</f>
        <v/>
      </c>
      <c r="CR74" t="str" cm="1">
        <f t="array" ref="CR74">IF( AND($H$7,NOT(ISBLANK($H74))), IF( _xll.IMDP("IR", $H74, CR$8, Matrix!$D$6)=0, "", _xll.IMDP("IR", $H74, CR$8, Matrix!$D$6)), "")</f>
        <v/>
      </c>
      <c r="CS74" t="str" cm="1">
        <f t="array" ref="CS74">IF( AND($H$7,NOT(ISBLANK($H74))), IF( _xll.IMDP("IR", $H74, CS$8, Matrix!$D$6)=0, "", _xll.IMDP("IR", $H74, CS$8, Matrix!$D$6)), "")</f>
        <v/>
      </c>
      <c r="CT74" t="str" cm="1">
        <f t="array" ref="CT74">IF( AND($H$7,NOT(ISBLANK($H74))), IF( _xll.IMDP("IR", $H74, CT$8, Matrix!$D$6)=0, "", _xll.IMDP("IR", $H74, CT$8, Matrix!$D$6)), "")</f>
        <v/>
      </c>
      <c r="CU74" t="str" cm="1">
        <f t="array" ref="CU74">IF( AND($H$7,NOT(ISBLANK($H74))), IF( _xll.IMDP("IR", $H74, CU$8, Matrix!$D$6)=0, "", _xll.IMDP("IR", $H74, CU$8, Matrix!$D$6)), "")</f>
        <v/>
      </c>
      <c r="CV74" t="str" cm="1">
        <f t="array" ref="CV74">IF( AND($H$7,NOT(ISBLANK($H74))), IF( _xll.IMDP("IR", $H74, CV$8, Matrix!$D$6)=0, "", _xll.IMDP("IR", $H74, CV$8, Matrix!$D$6)), "")</f>
        <v/>
      </c>
      <c r="CW74" t="str" cm="1">
        <f t="array" ref="CW74">IF( AND($H$7,NOT(ISBLANK($H74))), IF( _xll.IMDP("IR", $H74, CW$8, Matrix!$D$6)=0, "", _xll.IMDP("IR", $H74, CW$8, Matrix!$D$6)), "")</f>
        <v/>
      </c>
      <c r="CX74" t="str" cm="1">
        <f t="array" ref="CX74">IF( AND($H$7,NOT(ISBLANK($H74))), IF( _xll.IMDP("IR", $H74, CX$8, Matrix!$D$6)=0, "", _xll.IMDP("IR", $H74, CX$8, Matrix!$D$6)), "")</f>
        <v/>
      </c>
      <c r="CY74" t="str" cm="1">
        <f t="array" ref="CY74">IF( AND($H$7,NOT(ISBLANK($H74))), IF( _xll.IMDP("IR", $H74, CY$8, Matrix!$D$6)=0, "", _xll.IMDP("IR", $H74, CY$8, Matrix!$D$6)), "")</f>
        <v/>
      </c>
      <c r="CZ74" t="str" cm="1">
        <f t="array" ref="CZ74">IF( AND($H$7,NOT(ISBLANK($H74))), IF( _xll.IMDP("IR", $H74, CZ$8, Matrix!$D$6)=0, "", _xll.IMDP("IR", $H74, CZ$8, Matrix!$D$6)), "")</f>
        <v/>
      </c>
      <c r="DA74" t="str" cm="1">
        <f t="array" ref="DA74">IF( AND($H$7,NOT(ISBLANK($H74))), IF( _xll.IMDP("IR", $H74, DA$8, Matrix!$D$6)=0, "", _xll.IMDP("IR", $H74, DA$8, Matrix!$D$6)), "")</f>
        <v/>
      </c>
      <c r="DB74" t="str" cm="1">
        <f t="array" ref="DB74">IF( AND($H$7,NOT(ISBLANK($H74))), IF( _xll.IMDP("IR", $H74, DB$8, Matrix!$D$6)=0, "", _xll.IMDP("IR", $H74, DB$8, Matrix!$D$6)), "")</f>
        <v/>
      </c>
      <c r="DC74" t="str" cm="1">
        <f t="array" ref="DC74">IF( AND($H$7,NOT(ISBLANK($H74))), IF( _xll.IMDP("IR", $H74, DC$8, Matrix!$D$6)=0, "", _xll.IMDP("IR", $H74, DC$8, Matrix!$D$6)), "")</f>
        <v/>
      </c>
      <c r="DD74" t="str" cm="1">
        <f t="array" ref="DD74">IF( AND($H$7,NOT(ISBLANK($H74))), IF( _xll.IMDP("IR", $H74, DD$8, Matrix!$D$6)=0, "", _xll.IMDP("IR", $H74, DD$8, Matrix!$D$6)), "")</f>
        <v/>
      </c>
    </row>
    <row r="75" spans="2:108">
      <c r="B75" t="s">
        <v>143</v>
      </c>
      <c r="C75" t="s">
        <v>217</v>
      </c>
      <c r="D75" t="s">
        <v>282</v>
      </c>
      <c r="E75" t="s">
        <v>343</v>
      </c>
      <c r="F75" t="s">
        <v>413</v>
      </c>
      <c r="G75" t="s">
        <v>476</v>
      </c>
      <c r="H75" t="s">
        <v>522</v>
      </c>
      <c r="M75" s="21">
        <f t="shared" ca="1" si="34"/>
        <v>3.5222591826826917</v>
      </c>
      <c r="N75" s="21">
        <f t="shared" ca="1" si="35"/>
        <v>3.5774815240795581</v>
      </c>
      <c r="O75" s="21">
        <f t="shared" ca="1" si="36"/>
        <v>3.5412285138256232</v>
      </c>
      <c r="P75" s="21">
        <f t="shared" ca="1" si="37"/>
        <v>3.5107177674051009</v>
      </c>
      <c r="Q75" s="21">
        <f t="shared" ca="1" si="38"/>
        <v>3.552607321329186</v>
      </c>
      <c r="R75" s="21">
        <f t="shared" ca="1" si="39"/>
        <v>3.5610614345464731</v>
      </c>
      <c r="S75" s="21">
        <f t="shared" ca="1" si="40"/>
        <v>3.5852020484334326</v>
      </c>
      <c r="T75" s="21">
        <f t="shared" ca="1" si="41"/>
        <v>3.6110906322978633</v>
      </c>
      <c r="U75" s="21">
        <f t="shared" ca="1" si="42"/>
        <v>3.6249327152962323</v>
      </c>
      <c r="V75" s="21">
        <f t="shared" ca="1" si="43"/>
        <v>3.690980310369532</v>
      </c>
      <c r="W75" s="21">
        <f t="shared" ca="1" si="44"/>
        <v>3.8685903157944357</v>
      </c>
      <c r="X75" s="21">
        <f t="shared" ca="1" si="45"/>
        <v>4.5160089217242581</v>
      </c>
      <c r="Y75" s="21">
        <f t="shared" ca="1" si="46"/>
        <v>5.075459038175941</v>
      </c>
      <c r="Z75" s="21">
        <f t="shared" ca="1" si="47"/>
        <v>5.2697814121712883</v>
      </c>
      <c r="AA75" s="21" t="e">
        <f t="shared" ca="1" si="48"/>
        <v>#NUM!</v>
      </c>
      <c r="AB75" s="21" t="e">
        <f t="shared" ca="1" si="49"/>
        <v>#NUM!</v>
      </c>
      <c r="AC75" cm="1">
        <f t="array" aca="1" ref="AC75" ca="1">IF( AND($D$7,NOT(ISBLANK($D75))), IF(_xll.IMDP("IR", $D75, AC$8, Matrix!$D$6)=0,"",_xll.IMDP("IR", $D75, AC$8, Matrix!$D$6)), "")</f>
        <v>3.4550000000000001</v>
      </c>
      <c r="AD75" cm="1">
        <f t="array" aca="1" ref="AD75" ca="1">IF( AND($D$7,NOT(ISBLANK($D75))), IF(_xll.IMDP("IR", $D75, AD$8, Matrix!$D$6)=0,"",_xll.IMDP("IR", $D75, AD$8, Matrix!$D$6)), "")</f>
        <v>3.5649999999999999</v>
      </c>
      <c r="AE75" cm="1">
        <f t="array" aca="1" ref="AE75" ca="1">IF( AND($D$7,NOT(ISBLANK($D75))), IF(_xll.IMDP("IR", $D75, AE$8, Matrix!$D$6)=0,"",_xll.IMDP("IR", $D75, AE$8, Matrix!$D$6)), "")</f>
        <v>3.5329999999999999</v>
      </c>
      <c r="AF75" cm="1">
        <f t="array" aca="1" ref="AF75" ca="1">IF( AND($D$7,NOT(ISBLANK($D75))), IF(_xll.IMDP("IR", $D75, AF$8, Matrix!$D$6)=0,"",_xll.IMDP("IR", $D75, AF$8, Matrix!$D$6)), "")</f>
        <v>3.496</v>
      </c>
      <c r="AG75" cm="1">
        <f t="array" aca="1" ref="AG75" ca="1">IF( AND($D$7,NOT(ISBLANK($D75))), IF(_xll.IMDP("IR", $D75, AG$8, Matrix!$D$6)=0,"",_xll.IMDP("IR", $D75, AG$8, Matrix!$D$6)), "")</f>
        <v>3.5110000000000001</v>
      </c>
      <c r="AH75" cm="1">
        <f t="array" aca="1" ref="AH75" ca="1">IF( AND($D$7,NOT(ISBLANK($D75))), IF(_xll.IMDP("IR", $D75, AH$8, Matrix!$D$6)=0,"",_xll.IMDP("IR", $D75, AH$8, Matrix!$D$6)), "")</f>
        <v>3.5259999999999998</v>
      </c>
      <c r="AI75" cm="1">
        <f t="array" aca="1" ref="AI75" ca="1">IF( AND($D$7,NOT(ISBLANK($D75))), IF(_xll.IMDP("IR", $D75, AI$8, Matrix!$D$6)=0,"",_xll.IMDP("IR", $D75, AI$8, Matrix!$D$6)), "")</f>
        <v>3.544</v>
      </c>
      <c r="AJ75" cm="1">
        <f t="array" aca="1" ref="AJ75" ca="1">IF( AND($D$7,NOT(ISBLANK($D75))), IF(_xll.IMDP("IR", $D75, AJ$8, Matrix!$D$6)=0,"",_xll.IMDP("IR", $D75, AJ$8, Matrix!$D$6)), "")</f>
        <v>3.5649999999999999</v>
      </c>
      <c r="AK75" cm="1">
        <f t="array" aca="1" ref="AK75" ca="1">IF( AND($D$7,NOT(ISBLANK($D75))), IF(_xll.IMDP("IR", $D75, AK$8, Matrix!$D$6)=0,"",_xll.IMDP("IR", $D75, AK$8, Matrix!$D$6)), "")</f>
        <v>3.573</v>
      </c>
      <c r="AL75" cm="1">
        <f t="array" aca="1" ref="AL75" ca="1">IF( AND($D$7,NOT(ISBLANK($D75))), IF(_xll.IMDP("IR", $D75, AL$8, Matrix!$D$6)=0,"",_xll.IMDP("IR", $D75, AL$8, Matrix!$D$6)), "")</f>
        <v>3.6320000000000001</v>
      </c>
      <c r="AM75" cm="1">
        <f t="array" aca="1" ref="AM75" ca="1">IF( AND($D$7,NOT(ISBLANK($D75))), IF(_xll.IMDP("IR", $D75, AM$8, Matrix!$D$6)=0,"",_xll.IMDP("IR", $D75, AM$8, Matrix!$D$6)), "")</f>
        <v>3.8220000000000001</v>
      </c>
      <c r="AN75" cm="1">
        <f t="array" aca="1" ref="AN75" ca="1">IF( AND($D$7,NOT(ISBLANK($D75))), IF(_xll.IMDP("IR", $D75, AN$8, Matrix!$D$6)=0,"",_xll.IMDP("IR", $D75, AN$8, Matrix!$D$6)), "")</f>
        <v>4.4109999999999996</v>
      </c>
      <c r="AO75" cm="1">
        <f t="array" aca="1" ref="AO75" ca="1">IF( AND($D$7,NOT(ISBLANK($D75))), IF(_xll.IMDP("IR", $D75, AO$8, Matrix!$D$6)=0,"",_xll.IMDP("IR", $D75, AO$8, Matrix!$D$6)), "")</f>
        <v>4.931</v>
      </c>
      <c r="AP75" cm="1">
        <f t="array" aca="1" ref="AP75" ca="1">IF( AND($D$7,NOT(ISBLANK($D75))), IF(_xll.IMDP("IR", $D75, AP$8, Matrix!$D$6)=0,"",_xll.IMDP("IR", $D75, AP$8, Matrix!$D$6)), "")</f>
        <v>5.1139999999999999</v>
      </c>
      <c r="AQ75" t="str" cm="1">
        <f t="array" aca="1" ref="AQ75" ca="1">IF( AND($D$7,NOT(ISBLANK($D75))), IF(_xll.IMDP("IR", $D75, AQ$8, Matrix!$D$6)=0,"",_xll.IMDP("IR", $D75, AQ$8, Matrix!$D$6)), "")</f>
        <v/>
      </c>
      <c r="AR75" t="str" cm="1">
        <f t="array" aca="1" ref="AR75" ca="1">IF( AND($D$7,NOT(ISBLANK($D75))), IF(_xll.IMDP("IR", $D75, AR$8, Matrix!$D$6)=0,"",_xll.IMDP("IR", $D75, AR$8, Matrix!$D$6)), "")</f>
        <v/>
      </c>
      <c r="AS75" cm="1">
        <f t="array" aca="1" ref="AS75" ca="1">IF( AND($E$7,NOT(ISBLANK($E75))), IF( _xll.IMDP("IR", $E75, AS$8, Matrix!$D$6)=0,"",_xll.IMDP("IR", $E75, AS$8, Matrix!$D$6)), "")</f>
        <v>3.5569999999999999</v>
      </c>
      <c r="AT75" cm="1">
        <f t="array" aca="1" ref="AT75" ca="1">IF( AND($E$7,NOT(ISBLANK($E75))), IF( _xll.IMDP("IR", $E75, AT$8, Matrix!$D$6)=0,"",_xll.IMDP("IR", $E75, AT$8, Matrix!$D$6)), "")</f>
        <v>3.5680000000000001</v>
      </c>
      <c r="AU75" cm="1">
        <f t="array" aca="1" ref="AU75" ca="1">IF( AND($E$7,NOT(ISBLANK($E75))), IF( _xll.IMDP("IR", $E75, AU$8, Matrix!$D$6)=0,"",_xll.IMDP("IR", $E75, AU$8, Matrix!$D$6)), "")</f>
        <v>3.5259999999999998</v>
      </c>
      <c r="AV75" cm="1">
        <f t="array" aca="1" ref="AV75" ca="1">IF( AND($E$7,NOT(ISBLANK($E75))), IF( _xll.IMDP("IR", $E75, AV$8, Matrix!$D$6)=0,"",_xll.IMDP("IR", $E75, AV$8, Matrix!$D$6)), "")</f>
        <v>3.4990000000000001</v>
      </c>
      <c r="AW75" cm="1">
        <f t="array" aca="1" ref="AW75" ca="1">IF( AND($E$7,NOT(ISBLANK($E75))), IF( _xll.IMDP("IR", $E75, AW$8, Matrix!$D$6)=0,"",_xll.IMDP("IR", $E75, AW$8, Matrix!$D$6)), "")</f>
        <v>3.5910000000000002</v>
      </c>
      <c r="AX75" cm="1">
        <f t="array" aca="1" ref="AX75" ca="1">IF( AND($E$7,NOT(ISBLANK($E75))), IF( _xll.IMDP("IR", $E75, AX$8, Matrix!$D$6)=0,"",_xll.IMDP("IR", $E75, AX$8, Matrix!$D$6)), "")</f>
        <v>3.6230000000000002</v>
      </c>
      <c r="AY75" cm="1">
        <f t="array" aca="1" ref="AY75" ca="1">IF( AND($E$7,NOT(ISBLANK($E75))), IF( _xll.IMDP("IR", $E75, AY$8, Matrix!$D$6)=0,"",_xll.IMDP("IR", $E75, AY$8, Matrix!$D$6)), "")</f>
        <v>3.6640000000000001</v>
      </c>
      <c r="AZ75" cm="1">
        <f t="array" aca="1" ref="AZ75" ca="1">IF( AND($E$7,NOT(ISBLANK($E75))), IF( _xll.IMDP("IR", $E75, AZ$8, Matrix!$D$6)=0,"",_xll.IMDP("IR", $E75, AZ$8, Matrix!$D$6)), "")</f>
        <v>3.7029999999999998</v>
      </c>
      <c r="BA75" cm="1">
        <f t="array" aca="1" ref="BA75" ca="1">IF( AND($E$7,NOT(ISBLANK($E75))), IF( _xll.IMDP("IR", $E75, BA$8, Matrix!$D$6)=0,"",_xll.IMDP("IR", $E75, BA$8, Matrix!$D$6)), "")</f>
        <v>3.734</v>
      </c>
      <c r="BB75" cm="1">
        <f t="array" aca="1" ref="BB75" ca="1">IF( AND($E$7,NOT(ISBLANK($E75))), IF( _xll.IMDP("IR", $E75, BB$8, Matrix!$D$6)=0,"",_xll.IMDP("IR", $E75, BB$8, Matrix!$D$6)), "")</f>
        <v>3.79</v>
      </c>
      <c r="BC75" cm="1">
        <f t="array" aca="1" ref="BC75" ca="1">IF( AND($E$7,NOT(ISBLANK($E75))), IF( _xll.IMDP("IR", $E75, BC$8, Matrix!$D$6)=0,"",_xll.IMDP("IR", $E75, BC$8, Matrix!$D$6)), "")</f>
        <v>3.9830000000000001</v>
      </c>
      <c r="BD75" cm="1">
        <f t="array" aca="1" ref="BD75" ca="1">IF( AND($E$7,NOT(ISBLANK($E75))), IF( _xll.IMDP("IR", $E75, BD$8, Matrix!$D$6)=0,"",_xll.IMDP("IR", $E75, BD$8, Matrix!$D$6)), "")</f>
        <v>4.6959999999999997</v>
      </c>
      <c r="BE75" cm="1">
        <f t="array" aca="1" ref="BE75" ca="1">IF( AND($E$7,NOT(ISBLANK($E75))), IF( _xll.IMDP("IR", $E75, BE$8, Matrix!$D$6)=0,"",_xll.IMDP("IR", $E75, BE$8, Matrix!$D$6)), "")</f>
        <v>5.2489999999999997</v>
      </c>
      <c r="BF75" cm="1">
        <f t="array" aca="1" ref="BF75" ca="1">IF( AND($E$7,NOT(ISBLANK($E75))), IF( _xll.IMDP("IR", $E75, BF$8, Matrix!$D$6)=0,"",_xll.IMDP("IR", $E75, BF$8, Matrix!$D$6)), "")</f>
        <v>5.46</v>
      </c>
      <c r="BG75" t="str" cm="1">
        <f t="array" aca="1" ref="BG75" ca="1">IF( AND($E$7,NOT(ISBLANK($E75))), IF( _xll.IMDP("IR", $E75, BG$8, Matrix!$D$6)=0,"",_xll.IMDP("IR", $E75, BG$8, Matrix!$D$6)), "")</f>
        <v/>
      </c>
      <c r="BH75" t="str" cm="1">
        <f t="array" aca="1" ref="BH75" ca="1">IF( AND($E$7,NOT(ISBLANK($E75))), IF( _xll.IMDP("IR", $E75, BH$8, Matrix!$D$6)=0,"",_xll.IMDP("IR", $E75, BH$8, Matrix!$D$6)), "")</f>
        <v/>
      </c>
      <c r="BI75" cm="1">
        <f t="array" aca="1" ref="BI75" ca="1">IF( AND($F$7,NOT(ISBLANK($F75))), IF( _xll.IMDP("IR", $F75, BI$8, Matrix!$D$6)=0,"",_xll.IMDP("IR", $F75, BI$8, Matrix!$D$6)), "")</f>
        <v>3.5539999999999998</v>
      </c>
      <c r="BJ75" cm="1">
        <f t="array" aca="1" ref="BJ75" ca="1">IF( AND($F$7,NOT(ISBLANK($F75))), IF( _xll.IMDP("IR", $F75, BJ$8, Matrix!$D$6)=0,"",_xll.IMDP("IR", $F75, BJ$8, Matrix!$D$6)), "")</f>
        <v>3.593</v>
      </c>
      <c r="BK75" cm="1">
        <f t="array" aca="1" ref="BK75" ca="1">IF( AND($F$7,NOT(ISBLANK($F75))), IF( _xll.IMDP("IR", $F75, BK$8, Matrix!$D$6)=0,"",_xll.IMDP("IR", $F75, BK$8, Matrix!$D$6)), "")</f>
        <v>3.5569999999999999</v>
      </c>
      <c r="BL75" cm="1">
        <f t="array" aca="1" ref="BL75" ca="1">IF( AND($F$7,NOT(ISBLANK($F75))), IF( _xll.IMDP("IR", $F75, BL$8, Matrix!$D$6)=0,"",_xll.IMDP("IR", $F75, BL$8, Matrix!$D$6)), "")</f>
        <v>3.5339999999999998</v>
      </c>
      <c r="BM75" cm="1">
        <f t="array" aca="1" ref="BM75" ca="1">IF( AND($F$7,NOT(ISBLANK($F75))), IF( _xll.IMDP("IR", $F75, BM$8, Matrix!$D$6)=0,"",_xll.IMDP("IR", $F75, BM$8, Matrix!$D$6)), "")</f>
        <v>3.5750000000000002</v>
      </c>
      <c r="BN75" cm="1">
        <f t="array" aca="1" ref="BN75" ca="1">IF( AND($F$7,NOT(ISBLANK($F75))), IF( _xll.IMDP("IR", $F75, BN$8, Matrix!$D$6)=0,"",_xll.IMDP("IR", $F75, BN$8, Matrix!$D$6)), "")</f>
        <v>3.548</v>
      </c>
      <c r="BO75" cm="1">
        <f t="array" aca="1" ref="BO75" ca="1">IF( AND($F$7,NOT(ISBLANK($F75))), IF( _xll.IMDP("IR", $F75, BO$8, Matrix!$D$6)=0,"",_xll.IMDP("IR", $F75, BO$8, Matrix!$D$6)), "")</f>
        <v>3.5720000000000001</v>
      </c>
      <c r="BP75" cm="1">
        <f t="array" aca="1" ref="BP75" ca="1">IF( AND($F$7,NOT(ISBLANK($F75))), IF( _xll.IMDP("IR", $F75, BP$8, Matrix!$D$6)=0,"",_xll.IMDP("IR", $F75, BP$8, Matrix!$D$6)), "")</f>
        <v>3.6030000000000002</v>
      </c>
      <c r="BQ75" cm="1">
        <f t="array" aca="1" ref="BQ75" ca="1">IF( AND($F$7,NOT(ISBLANK($F75))), IF( _xll.IMDP("IR", $F75, BQ$8, Matrix!$D$6)=0,"",_xll.IMDP("IR", $F75, BQ$8, Matrix!$D$6)), "")</f>
        <v>3.6139999999999999</v>
      </c>
      <c r="BR75" cm="1">
        <f t="array" aca="1" ref="BR75" ca="1">IF( AND($F$7,NOT(ISBLANK($F75))), IF( _xll.IMDP("IR", $F75, BR$8, Matrix!$D$6)=0,"",_xll.IMDP("IR", $F75, BR$8, Matrix!$D$6)), "")</f>
        <v>3.6989999999999998</v>
      </c>
      <c r="BS75" cm="1">
        <f t="array" aca="1" ref="BS75" ca="1">IF( AND($F$7,NOT(ISBLANK($F75))), IF( _xll.IMDP("IR", $F75, BS$8, Matrix!$D$6)=0,"",_xll.IMDP("IR", $F75, BS$8, Matrix!$D$6)), "")</f>
        <v>3.8759999999999999</v>
      </c>
      <c r="BT75" cm="1">
        <f t="array" aca="1" ref="BT75" ca="1">IF( AND($F$7,NOT(ISBLANK($F75))), IF( _xll.IMDP("IR", $F75, BT$8, Matrix!$D$6)=0,"",_xll.IMDP("IR", $F75, BT$8, Matrix!$D$6)), "")</f>
        <v>4.5469999999999997</v>
      </c>
      <c r="BU75" cm="1">
        <f t="array" aca="1" ref="BU75" ca="1">IF( AND($F$7,NOT(ISBLANK($F75))), IF( _xll.IMDP("IR", $F75, BU$8, Matrix!$D$6)=0,"",_xll.IMDP("IR", $F75, BU$8, Matrix!$D$6)), "")</f>
        <v>5.09</v>
      </c>
      <c r="BV75" cm="1">
        <f t="array" aca="1" ref="BV75" ca="1">IF( AND($F$7,NOT(ISBLANK($F75))), IF( _xll.IMDP("IR", $F75, BV$8, Matrix!$D$6)=0,"",_xll.IMDP("IR", $F75, BV$8, Matrix!$D$6)), "")</f>
        <v>5.282</v>
      </c>
      <c r="BW75" t="str" cm="1">
        <f t="array" aca="1" ref="BW75" ca="1">IF( AND($F$7,NOT(ISBLANK($F75))), IF( _xll.IMDP("IR", $F75, BW$8, Matrix!$D$6)=0,"",_xll.IMDP("IR", $F75, BW$8, Matrix!$D$6)), "")</f>
        <v/>
      </c>
      <c r="BX75" t="str" cm="1">
        <f t="array" aca="1" ref="BX75" ca="1">IF( AND($F$7,NOT(ISBLANK($F75))), IF( _xll.IMDP("IR", $F75, BX$8, Matrix!$D$6)=0,"",_xll.IMDP("IR", $F75, BX$8, Matrix!$D$6)), "")</f>
        <v/>
      </c>
      <c r="BY75" cm="1">
        <f t="array" aca="1" ref="BY75" ca="1">IF( AND($G$7,NOT(ISBLANK($G75))), IF( _xll.IMDP("IR", $G75, BY$8, Matrix!$D$6)=0, "", _xll.IMDP("IR", $G75, BY$8, Matrix!$D$6)), "")</f>
        <v>3.524</v>
      </c>
      <c r="BZ75" cm="1">
        <f t="array" aca="1" ref="BZ75" ca="1">IF( AND($G$7,NOT(ISBLANK($G75))), IF( _xll.IMDP("IR", $G75, BZ$8, Matrix!$D$6)=0, "", _xll.IMDP("IR", $G75, BZ$8, Matrix!$D$6)), "")</f>
        <v>3.5840000000000001</v>
      </c>
      <c r="CA75" cm="1">
        <f t="array" aca="1" ref="CA75" ca="1">IF( AND($G$7,NOT(ISBLANK($G75))), IF( _xll.IMDP("IR", $G75, CA$8, Matrix!$D$6)=0, "", _xll.IMDP("IR", $G75, CA$8, Matrix!$D$6)), "")</f>
        <v>3.5489999999999999</v>
      </c>
      <c r="CB75" cm="1">
        <f t="array" aca="1" ref="CB75" ca="1">IF( AND($G$7,NOT(ISBLANK($G75))), IF( _xll.IMDP("IR", $G75, CB$8, Matrix!$D$6)=0, "", _xll.IMDP("IR", $G75, CB$8, Matrix!$D$6)), "")</f>
        <v>3.5139999999999998</v>
      </c>
      <c r="CC75" cm="1">
        <f t="array" aca="1" ref="CC75" ca="1">IF( AND($G$7,NOT(ISBLANK($G75))), IF( _xll.IMDP("IR", $G75, CC$8, Matrix!$D$6)=0, "", _xll.IMDP("IR", $G75, CC$8, Matrix!$D$6)), "")</f>
        <v>3.5339999999999998</v>
      </c>
      <c r="CD75" cm="1">
        <f t="array" aca="1" ref="CD75" ca="1">IF( AND($G$7,NOT(ISBLANK($G75))), IF( _xll.IMDP("IR", $G75, CD$8, Matrix!$D$6)=0, "", _xll.IMDP("IR", $G75, CD$8, Matrix!$D$6)), "")</f>
        <v>3.548</v>
      </c>
      <c r="CE75" cm="1">
        <f t="array" aca="1" ref="CE75" ca="1">IF( AND($G$7,NOT(ISBLANK($G75))), IF( _xll.IMDP("IR", $G75, CE$8, Matrix!$D$6)=0, "", _xll.IMDP("IR", $G75, CE$8, Matrix!$D$6)), "")</f>
        <v>3.5619999999999998</v>
      </c>
      <c r="CF75" cm="1">
        <f t="array" aca="1" ref="CF75" ca="1">IF( AND($G$7,NOT(ISBLANK($G75))), IF( _xll.IMDP("IR", $G75, CF$8, Matrix!$D$6)=0, "", _xll.IMDP("IR", $G75, CF$8, Matrix!$D$6)), "")</f>
        <v>3.5750000000000002</v>
      </c>
      <c r="CG75" cm="1">
        <f t="array" aca="1" ref="CG75" ca="1">IF( AND($G$7,NOT(ISBLANK($G75))), IF( _xll.IMDP("IR", $G75, CG$8, Matrix!$D$6)=0, "", _xll.IMDP("IR", $G75, CG$8, Matrix!$D$6)), "")</f>
        <v>3.581</v>
      </c>
      <c r="CH75" cm="1">
        <f t="array" aca="1" ref="CH75" ca="1">IF( AND($G$7,NOT(ISBLANK($G75))), IF( _xll.IMDP("IR", $G75, CH$8, Matrix!$D$6)=0, "", _xll.IMDP("IR", $G75, CH$8, Matrix!$D$6)), "")</f>
        <v>3.645</v>
      </c>
      <c r="CI75" cm="1">
        <f t="array" aca="1" ref="CI75" ca="1">IF( AND($G$7,NOT(ISBLANK($G75))), IF( _xll.IMDP("IR", $G75, CI$8, Matrix!$D$6)=0, "", _xll.IMDP("IR", $G75, CI$8, Matrix!$D$6)), "")</f>
        <v>3.7959999999999998</v>
      </c>
      <c r="CJ75" cm="1">
        <f t="array" aca="1" ref="CJ75" ca="1">IF( AND($G$7,NOT(ISBLANK($G75))), IF( _xll.IMDP("IR", $G75, CJ$8, Matrix!$D$6)=0, "", _xll.IMDP("IR", $G75, CJ$8, Matrix!$D$6)), "")</f>
        <v>4.4160000000000004</v>
      </c>
      <c r="CK75" cm="1">
        <f t="array" aca="1" ref="CK75" ca="1">IF( AND($G$7,NOT(ISBLANK($G75))), IF( _xll.IMDP("IR", $G75, CK$8, Matrix!$D$6)=0, "", _xll.IMDP("IR", $G75, CK$8, Matrix!$D$6)), "")</f>
        <v>5.0369999999999999</v>
      </c>
      <c r="CL75" cm="1">
        <f t="array" aca="1" ref="CL75" ca="1">IF( AND($G$7,NOT(ISBLANK($G75))), IF( _xll.IMDP("IR", $G75, CL$8, Matrix!$D$6)=0, "", _xll.IMDP("IR", $G75, CL$8, Matrix!$D$6)), "")</f>
        <v>5.2290000000000001</v>
      </c>
      <c r="CM75" t="str" cm="1">
        <f t="array" aca="1" ref="CM75" ca="1">IF( AND($G$7,NOT(ISBLANK($G75))), IF( _xll.IMDP("IR", $G75, CM$8, Matrix!$D$6)=0, "", _xll.IMDP("IR", $G75, CM$8, Matrix!$D$6)), "")</f>
        <v/>
      </c>
      <c r="CN75" t="str" cm="1">
        <f t="array" aca="1" ref="CN75" ca="1">IF( AND($G$7,NOT(ISBLANK($G75))), IF( _xll.IMDP("IR", $G75, CN$8, Matrix!$D$6)=0, "", _xll.IMDP("IR", $G75, CN$8, Matrix!$D$6)), "")</f>
        <v/>
      </c>
      <c r="CO75" t="str" cm="1">
        <f t="array" aca="1" ref="CO75" ca="1">IF( AND($H$7,NOT(ISBLANK($H75))), IF( _xll.IMDP("IR", $H75, CO$8, Matrix!$D$6)=0, "", _xll.IMDP("IR", $H75, CO$8, Matrix!$D$6)), "")</f>
        <v xml:space="preserve"> </v>
      </c>
      <c r="CP75" t="str" cm="1">
        <f t="array" aca="1" ref="CP75" ca="1">IF( AND($H$7,NOT(ISBLANK($H75))), IF( _xll.IMDP("IR", $H75, CP$8, Matrix!$D$6)=0, "", _xll.IMDP("IR", $H75, CP$8, Matrix!$D$6)), "")</f>
        <v xml:space="preserve"> </v>
      </c>
      <c r="CQ75" t="str" cm="1">
        <f t="array" aca="1" ref="CQ75" ca="1">IF( AND($H$7,NOT(ISBLANK($H75))), IF( _xll.IMDP("IR", $H75, CQ$8, Matrix!$D$6)=0, "", _xll.IMDP("IR", $H75, CQ$8, Matrix!$D$6)), "")</f>
        <v xml:space="preserve"> </v>
      </c>
      <c r="CR75" t="str" cm="1">
        <f t="array" aca="1" ref="CR75" ca="1">IF( AND($H$7,NOT(ISBLANK($H75))), IF( _xll.IMDP("IR", $H75, CR$8, Matrix!$D$6)=0, "", _xll.IMDP("IR", $H75, CR$8, Matrix!$D$6)), "")</f>
        <v xml:space="preserve"> </v>
      </c>
      <c r="CS75" t="str" cm="1">
        <f t="array" aca="1" ref="CS75" ca="1">IF( AND($H$7,NOT(ISBLANK($H75))), IF( _xll.IMDP("IR", $H75, CS$8, Matrix!$D$6)=0, "", _xll.IMDP("IR", $H75, CS$8, Matrix!$D$6)), "")</f>
        <v xml:space="preserve"> </v>
      </c>
      <c r="CT75" t="str" cm="1">
        <f t="array" aca="1" ref="CT75" ca="1">IF( AND($H$7,NOT(ISBLANK($H75))), IF( _xll.IMDP("IR", $H75, CT$8, Matrix!$D$6)=0, "", _xll.IMDP("IR", $H75, CT$8, Matrix!$D$6)), "")</f>
        <v xml:space="preserve"> </v>
      </c>
      <c r="CU75" t="str" cm="1">
        <f t="array" aca="1" ref="CU75" ca="1">IF( AND($H$7,NOT(ISBLANK($H75))), IF( _xll.IMDP("IR", $H75, CU$8, Matrix!$D$6)=0, "", _xll.IMDP("IR", $H75, CU$8, Matrix!$D$6)), "")</f>
        <v xml:space="preserve"> </v>
      </c>
      <c r="CV75" t="str" cm="1">
        <f t="array" aca="1" ref="CV75" ca="1">IF( AND($H$7,NOT(ISBLANK($H75))), IF( _xll.IMDP("IR", $H75, CV$8, Matrix!$D$6)=0, "", _xll.IMDP("IR", $H75, CV$8, Matrix!$D$6)), "")</f>
        <v xml:space="preserve"> </v>
      </c>
      <c r="CW75" t="str" cm="1">
        <f t="array" aca="1" ref="CW75" ca="1">IF( AND($H$7,NOT(ISBLANK($H75))), IF( _xll.IMDP("IR", $H75, CW$8, Matrix!$D$6)=0, "", _xll.IMDP("IR", $H75, CW$8, Matrix!$D$6)), "")</f>
        <v xml:space="preserve"> </v>
      </c>
      <c r="CX75" t="str" cm="1">
        <f t="array" aca="1" ref="CX75" ca="1">IF( AND($H$7,NOT(ISBLANK($H75))), IF( _xll.IMDP("IR", $H75, CX$8, Matrix!$D$6)=0, "", _xll.IMDP("IR", $H75, CX$8, Matrix!$D$6)), "")</f>
        <v xml:space="preserve"> </v>
      </c>
      <c r="CY75" t="str" cm="1">
        <f t="array" aca="1" ref="CY75" ca="1">IF( AND($H$7,NOT(ISBLANK($H75))), IF( _xll.IMDP("IR", $H75, CY$8, Matrix!$D$6)=0, "", _xll.IMDP("IR", $H75, CY$8, Matrix!$D$6)), "")</f>
        <v xml:space="preserve"> </v>
      </c>
      <c r="CZ75" t="str" cm="1">
        <f t="array" aca="1" ref="CZ75" ca="1">IF( AND($H$7,NOT(ISBLANK($H75))), IF( _xll.IMDP("IR", $H75, CZ$8, Matrix!$D$6)=0, "", _xll.IMDP("IR", $H75, CZ$8, Matrix!$D$6)), "")</f>
        <v xml:space="preserve"> </v>
      </c>
      <c r="DA75" t="str" cm="1">
        <f t="array" aca="1" ref="DA75" ca="1">IF( AND($H$7,NOT(ISBLANK($H75))), IF( _xll.IMDP("IR", $H75, DA$8, Matrix!$D$6)=0, "", _xll.IMDP("IR", $H75, DA$8, Matrix!$D$6)), "")</f>
        <v/>
      </c>
      <c r="DB75" t="str" cm="1">
        <f t="array" aca="1" ref="DB75" ca="1">IF( AND($H$7,NOT(ISBLANK($H75))), IF( _xll.IMDP("IR", $H75, DB$8, Matrix!$D$6)=0, "", _xll.IMDP("IR", $H75, DB$8, Matrix!$D$6)), "")</f>
        <v xml:space="preserve"> </v>
      </c>
      <c r="DC75" t="str" cm="1">
        <f t="array" aca="1" ref="DC75" ca="1">IF( AND($H$7,NOT(ISBLANK($H75))), IF( _xll.IMDP("IR", $H75, DC$8, Matrix!$D$6)=0, "", _xll.IMDP("IR", $H75, DC$8, Matrix!$D$6)), "")</f>
        <v xml:space="preserve"> </v>
      </c>
      <c r="DD75" t="str" cm="1">
        <f t="array" aca="1" ref="DD75" ca="1">IF( AND($H$7,NOT(ISBLANK($H75))), IF( _xll.IMDP("IR", $H75, DD$8, Matrix!$D$6)=0, "", _xll.IMDP("IR", $H75, DD$8, Matrix!$D$6)), "")</f>
        <v/>
      </c>
    </row>
    <row r="76" spans="2:108">
      <c r="B76" t="s">
        <v>144</v>
      </c>
      <c r="C76" t="s">
        <v>218</v>
      </c>
      <c r="D76" t="s">
        <v>283</v>
      </c>
      <c r="E76" t="s">
        <v>344</v>
      </c>
      <c r="F76" t="s">
        <v>414</v>
      </c>
      <c r="G76" t="s">
        <v>477</v>
      </c>
      <c r="M76" s="21">
        <f t="shared" ca="1" si="34"/>
        <v>3.5697240627744287</v>
      </c>
      <c r="N76" s="21">
        <f t="shared" ca="1" si="35"/>
        <v>3.6179792533723893</v>
      </c>
      <c r="O76" s="21">
        <f t="shared" ca="1" si="36"/>
        <v>3.5867222679355759</v>
      </c>
      <c r="P76" s="21">
        <f t="shared" ca="1" si="37"/>
        <v>3.562216221682851</v>
      </c>
      <c r="Q76" s="21">
        <f t="shared" ca="1" si="38"/>
        <v>3.6026264135492814</v>
      </c>
      <c r="R76" s="21">
        <f t="shared" ca="1" si="39"/>
        <v>3.61477365603792</v>
      </c>
      <c r="S76" s="21">
        <f t="shared" ca="1" si="40"/>
        <v>3.6458993971638747</v>
      </c>
      <c r="T76" s="21">
        <f t="shared" ca="1" si="41"/>
        <v>3.6840174173093563</v>
      </c>
      <c r="U76" s="21">
        <f t="shared" ca="1" si="42"/>
        <v>3.7206655258662851</v>
      </c>
      <c r="V76" s="21">
        <f t="shared" ca="1" si="43"/>
        <v>3.8241637787693636</v>
      </c>
      <c r="W76" s="21">
        <f t="shared" ca="1" si="44"/>
        <v>4.1053419894960941</v>
      </c>
      <c r="X76" s="21">
        <f t="shared" ca="1" si="45"/>
        <v>4.9188794874648929</v>
      </c>
      <c r="Y76" s="21">
        <f t="shared" ca="1" si="46"/>
        <v>5.5677168565706712</v>
      </c>
      <c r="Z76" s="21">
        <f t="shared" ca="1" si="47"/>
        <v>5.8252447890420154</v>
      </c>
      <c r="AA76" s="21" t="e">
        <f t="shared" ca="1" si="48"/>
        <v>#NUM!</v>
      </c>
      <c r="AB76" s="21" t="e">
        <f t="shared" ca="1" si="49"/>
        <v>#NUM!</v>
      </c>
      <c r="AC76" cm="1">
        <f t="array" aca="1" ref="AC76" ca="1">IF( AND($D$7,NOT(ISBLANK($D76))), IF(_xll.IMDP("IR", $D76, AC$8, Matrix!$D$6)=0,"",_xll.IMDP("IR", $D76, AC$8, Matrix!$D$6)), "")</f>
        <v>3.4950000000000001</v>
      </c>
      <c r="AD76" cm="1">
        <f t="array" aca="1" ref="AD76" ca="1">IF( AND($D$7,NOT(ISBLANK($D76))), IF(_xll.IMDP("IR", $D76, AD$8, Matrix!$D$6)=0,"",_xll.IMDP("IR", $D76, AD$8, Matrix!$D$6)), "")</f>
        <v>3.6</v>
      </c>
      <c r="AE76" cm="1">
        <f t="array" aca="1" ref="AE76" ca="1">IF( AND($D$7,NOT(ISBLANK($D76))), IF(_xll.IMDP("IR", $D76, AE$8, Matrix!$D$6)=0,"",_xll.IMDP("IR", $D76, AE$8, Matrix!$D$6)), "")</f>
        <v>3.5750000000000002</v>
      </c>
      <c r="AF76" cm="1">
        <f t="array" aca="1" ref="AF76" ca="1">IF( AND($D$7,NOT(ISBLANK($D76))), IF(_xll.IMDP("IR", $D76, AF$8, Matrix!$D$6)=0,"",_xll.IMDP("IR", $D76, AF$8, Matrix!$D$6)), "")</f>
        <v>3.5449999999999999</v>
      </c>
      <c r="AG76" cm="1">
        <f t="array" aca="1" ref="AG76" ca="1">IF( AND($D$7,NOT(ISBLANK($D76))), IF(_xll.IMDP("IR", $D76, AG$8, Matrix!$D$6)=0,"",_xll.IMDP("IR", $D76, AG$8, Matrix!$D$6)), "")</f>
        <v>3.5569999999999999</v>
      </c>
      <c r="AH76" cm="1">
        <f t="array" aca="1" ref="AH76" ca="1">IF( AND($D$7,NOT(ISBLANK($D76))), IF(_xll.IMDP("IR", $D76, AH$8, Matrix!$D$6)=0,"",_xll.IMDP("IR", $D76, AH$8, Matrix!$D$6)), "")</f>
        <v>3.57</v>
      </c>
      <c r="AI76" cm="1">
        <f t="array" aca="1" ref="AI76" ca="1">IF( AND($D$7,NOT(ISBLANK($D76))), IF(_xll.IMDP("IR", $D76, AI$8, Matrix!$D$6)=0,"",_xll.IMDP("IR", $D76, AI$8, Matrix!$D$6)), "")</f>
        <v>3.5939999999999999</v>
      </c>
      <c r="AJ76" cm="1">
        <f t="array" aca="1" ref="AJ76" ca="1">IF( AND($D$7,NOT(ISBLANK($D76))), IF(_xll.IMDP("IR", $D76, AJ$8, Matrix!$D$6)=0,"",_xll.IMDP("IR", $D76, AJ$8, Matrix!$D$6)), "")</f>
        <v>3.63</v>
      </c>
      <c r="AK76" cm="1">
        <f t="array" aca="1" ref="AK76" ca="1">IF( AND($D$7,NOT(ISBLANK($D76))), IF(_xll.IMDP("IR", $D76, AK$8, Matrix!$D$6)=0,"",_xll.IMDP("IR", $D76, AK$8, Matrix!$D$6)), "")</f>
        <v>3.6579999999999999</v>
      </c>
      <c r="AL76" cm="1">
        <f t="array" aca="1" ref="AL76" ca="1">IF( AND($D$7,NOT(ISBLANK($D76))), IF(_xll.IMDP("IR", $D76, AL$8, Matrix!$D$6)=0,"",_xll.IMDP("IR", $D76, AL$8, Matrix!$D$6)), "")</f>
        <v>3.742</v>
      </c>
      <c r="AM76" cm="1">
        <f t="array" aca="1" ref="AM76" ca="1">IF( AND($D$7,NOT(ISBLANK($D76))), IF(_xll.IMDP("IR", $D76, AM$8, Matrix!$D$6)=0,"",_xll.IMDP("IR", $D76, AM$8, Matrix!$D$6)), "")</f>
        <v>4.0250000000000004</v>
      </c>
      <c r="AN76" cm="1">
        <f t="array" aca="1" ref="AN76" ca="1">IF( AND($D$7,NOT(ISBLANK($D76))), IF(_xll.IMDP("IR", $D76, AN$8, Matrix!$D$6)=0,"",_xll.IMDP("IR", $D76, AN$8, Matrix!$D$6)), "")</f>
        <v>4.7889999999999997</v>
      </c>
      <c r="AO76" cm="1">
        <f t="array" aca="1" ref="AO76" ca="1">IF( AND($D$7,NOT(ISBLANK($D76))), IF(_xll.IMDP("IR", $D76, AO$8, Matrix!$D$6)=0,"",_xll.IMDP("IR", $D76, AO$8, Matrix!$D$6)), "")</f>
        <v>5.4119999999999999</v>
      </c>
      <c r="AP76" cm="1">
        <f t="array" aca="1" ref="AP76" ca="1">IF( AND($D$7,NOT(ISBLANK($D76))), IF(_xll.IMDP("IR", $D76, AP$8, Matrix!$D$6)=0,"",_xll.IMDP("IR", $D76, AP$8, Matrix!$D$6)), "")</f>
        <v>5.6639999999999997</v>
      </c>
      <c r="AQ76" t="str" cm="1">
        <f t="array" aca="1" ref="AQ76" ca="1">IF( AND($D$7,NOT(ISBLANK($D76))), IF(_xll.IMDP("IR", $D76, AQ$8, Matrix!$D$6)=0,"",_xll.IMDP("IR", $D76, AQ$8, Matrix!$D$6)), "")</f>
        <v/>
      </c>
      <c r="AR76" t="str" cm="1">
        <f t="array" aca="1" ref="AR76" ca="1">IF( AND($D$7,NOT(ISBLANK($D76))), IF(_xll.IMDP("IR", $D76, AR$8, Matrix!$D$6)=0,"",_xll.IMDP("IR", $D76, AR$8, Matrix!$D$6)), "")</f>
        <v/>
      </c>
      <c r="AS76" cm="1">
        <f t="array" aca="1" ref="AS76" ca="1">IF( AND($E$7,NOT(ISBLANK($E76))), IF( _xll.IMDP("IR", $E76, AS$8, Matrix!$D$6)=0,"",_xll.IMDP("IR", $E76, AS$8, Matrix!$D$6)), "")</f>
        <v>3.5960000000000001</v>
      </c>
      <c r="AT76" cm="1">
        <f t="array" aca="1" ref="AT76" ca="1">IF( AND($E$7,NOT(ISBLANK($E76))), IF( _xll.IMDP("IR", $E76, AT$8, Matrix!$D$6)=0,"",_xll.IMDP("IR", $E76, AT$8, Matrix!$D$6)), "")</f>
        <v>3.6139999999999999</v>
      </c>
      <c r="AU76" cm="1">
        <f t="array" aca="1" ref="AU76" ca="1">IF( AND($E$7,NOT(ISBLANK($E76))), IF( _xll.IMDP("IR", $E76, AU$8, Matrix!$D$6)=0,"",_xll.IMDP("IR", $E76, AU$8, Matrix!$D$6)), "")</f>
        <v>3.573</v>
      </c>
      <c r="AV76" cm="1">
        <f t="array" aca="1" ref="AV76" ca="1">IF( AND($E$7,NOT(ISBLANK($E76))), IF( _xll.IMDP("IR", $E76, AV$8, Matrix!$D$6)=0,"",_xll.IMDP("IR", $E76, AV$8, Matrix!$D$6)), "")</f>
        <v>3.5489999999999999</v>
      </c>
      <c r="AW76" cm="1">
        <f t="array" aca="1" ref="AW76" ca="1">IF( AND($E$7,NOT(ISBLANK($E76))), IF( _xll.IMDP("IR", $E76, AW$8, Matrix!$D$6)=0,"",_xll.IMDP("IR", $E76, AW$8, Matrix!$D$6)), "")</f>
        <v>3.6379999999999999</v>
      </c>
      <c r="AX76" cm="1">
        <f t="array" aca="1" ref="AX76" ca="1">IF( AND($E$7,NOT(ISBLANK($E76))), IF( _xll.IMDP("IR", $E76, AX$8, Matrix!$D$6)=0,"",_xll.IMDP("IR", $E76, AX$8, Matrix!$D$6)), "")</f>
        <v>3.68</v>
      </c>
      <c r="AY76" cm="1">
        <f t="array" aca="1" ref="AY76" ca="1">IF( AND($E$7,NOT(ISBLANK($E76))), IF( _xll.IMDP("IR", $E76, AY$8, Matrix!$D$6)=0,"",_xll.IMDP("IR", $E76, AY$8, Matrix!$D$6)), "")</f>
        <v>3.7229999999999999</v>
      </c>
      <c r="AZ76" cm="1">
        <f t="array" aca="1" ref="AZ76" ca="1">IF( AND($E$7,NOT(ISBLANK($E76))), IF( _xll.IMDP("IR", $E76, AZ$8, Matrix!$D$6)=0,"",_xll.IMDP("IR", $E76, AZ$8, Matrix!$D$6)), "")</f>
        <v>3.7789999999999999</v>
      </c>
      <c r="BA76" cm="1">
        <f t="array" aca="1" ref="BA76" ca="1">IF( AND($E$7,NOT(ISBLANK($E76))), IF( _xll.IMDP("IR", $E76, BA$8, Matrix!$D$6)=0,"",_xll.IMDP("IR", $E76, BA$8, Matrix!$D$6)), "")</f>
        <v>3.831</v>
      </c>
      <c r="BB76" cm="1">
        <f t="array" aca="1" ref="BB76" ca="1">IF( AND($E$7,NOT(ISBLANK($E76))), IF( _xll.IMDP("IR", $E76, BB$8, Matrix!$D$6)=0,"",_xll.IMDP("IR", $E76, BB$8, Matrix!$D$6)), "")</f>
        <v>3.919</v>
      </c>
      <c r="BC76" cm="1">
        <f t="array" aca="1" ref="BC76" ca="1">IF( AND($E$7,NOT(ISBLANK($E76))), IF( _xll.IMDP("IR", $E76, BC$8, Matrix!$D$6)=0,"",_xll.IMDP("IR", $E76, BC$8, Matrix!$D$6)), "")</f>
        <v>4.2240000000000002</v>
      </c>
      <c r="BD76" cm="1">
        <f t="array" aca="1" ref="BD76" ca="1">IF( AND($E$7,NOT(ISBLANK($E76))), IF( _xll.IMDP("IR", $E76, BD$8, Matrix!$D$6)=0,"",_xll.IMDP("IR", $E76, BD$8, Matrix!$D$6)), "")</f>
        <v>5.0960000000000001</v>
      </c>
      <c r="BE76" cm="1">
        <f t="array" aca="1" ref="BE76" ca="1">IF( AND($E$7,NOT(ISBLANK($E76))), IF( _xll.IMDP("IR", $E76, BE$8, Matrix!$D$6)=0,"",_xll.IMDP("IR", $E76, BE$8, Matrix!$D$6)), "")</f>
        <v>5.742</v>
      </c>
      <c r="BF76" cm="1">
        <f t="array" aca="1" ref="BF76" ca="1">IF( AND($E$7,NOT(ISBLANK($E76))), IF( _xll.IMDP("IR", $E76, BF$8, Matrix!$D$6)=0,"",_xll.IMDP("IR", $E76, BF$8, Matrix!$D$6)), "")</f>
        <v>6.032</v>
      </c>
      <c r="BG76" t="str" cm="1">
        <f t="array" aca="1" ref="BG76" ca="1">IF( AND($E$7,NOT(ISBLANK($E76))), IF( _xll.IMDP("IR", $E76, BG$8, Matrix!$D$6)=0,"",_xll.IMDP("IR", $E76, BG$8, Matrix!$D$6)), "")</f>
        <v/>
      </c>
      <c r="BH76" t="str" cm="1">
        <f t="array" aca="1" ref="BH76" ca="1">IF( AND($E$7,NOT(ISBLANK($E76))), IF( _xll.IMDP("IR", $E76, BH$8, Matrix!$D$6)=0,"",_xll.IMDP("IR", $E76, BH$8, Matrix!$D$6)), "")</f>
        <v/>
      </c>
      <c r="BI76" cm="1">
        <f t="array" aca="1" ref="BI76" ca="1">IF( AND($F$7,NOT(ISBLANK($F76))), IF( _xll.IMDP("IR", $F76, BI$8, Matrix!$D$6)=0,"",_xll.IMDP("IR", $F76, BI$8, Matrix!$D$6)), "")</f>
        <v>3.6070000000000002</v>
      </c>
      <c r="BJ76" cm="1">
        <f t="array" aca="1" ref="BJ76" ca="1">IF( AND($F$7,NOT(ISBLANK($F76))), IF( _xll.IMDP("IR", $F76, BJ$8, Matrix!$D$6)=0,"",_xll.IMDP("IR", $F76, BJ$8, Matrix!$D$6)), "")</f>
        <v>3.6259999999999999</v>
      </c>
      <c r="BK76" cm="1">
        <f t="array" aca="1" ref="BK76" ca="1">IF( AND($F$7,NOT(ISBLANK($F76))), IF( _xll.IMDP("IR", $F76, BK$8, Matrix!$D$6)=0,"",_xll.IMDP("IR", $F76, BK$8, Matrix!$D$6)), "")</f>
        <v>3.5910000000000002</v>
      </c>
      <c r="BL76" cm="1">
        <f t="array" aca="1" ref="BL76" ca="1">IF( AND($F$7,NOT(ISBLANK($F76))), IF( _xll.IMDP("IR", $F76, BL$8, Matrix!$D$6)=0,"",_xll.IMDP("IR", $F76, BL$8, Matrix!$D$6)), "")</f>
        <v>3.581</v>
      </c>
      <c r="BM76" cm="1">
        <f t="array" aca="1" ref="BM76" ca="1">IF( AND($F$7,NOT(ISBLANK($F76))), IF( _xll.IMDP("IR", $F76, BM$8, Matrix!$D$6)=0,"",_xll.IMDP("IR", $F76, BM$8, Matrix!$D$6)), "")</f>
        <v>3.617</v>
      </c>
      <c r="BN76" cm="1">
        <f t="array" aca="1" ref="BN76" ca="1">IF( AND($F$7,NOT(ISBLANK($F76))), IF( _xll.IMDP("IR", $F76, BN$8, Matrix!$D$6)=0,"",_xll.IMDP("IR", $F76, BN$8, Matrix!$D$6)), "")</f>
        <v>3.613</v>
      </c>
      <c r="BO76" cm="1">
        <f t="array" aca="1" ref="BO76" ca="1">IF( AND($F$7,NOT(ISBLANK($F76))), IF( _xll.IMDP("IR", $F76, BO$8, Matrix!$D$6)=0,"",_xll.IMDP("IR", $F76, BO$8, Matrix!$D$6)), "")</f>
        <v>3.66</v>
      </c>
      <c r="BP76" cm="1">
        <f t="array" aca="1" ref="BP76" ca="1">IF( AND($F$7,NOT(ISBLANK($F76))), IF( _xll.IMDP("IR", $F76, BP$8, Matrix!$D$6)=0,"",_xll.IMDP("IR", $F76, BP$8, Matrix!$D$6)), "")</f>
        <v>3.6930000000000001</v>
      </c>
      <c r="BQ76" cm="1">
        <f t="array" aca="1" ref="BQ76" ca="1">IF( AND($F$7,NOT(ISBLANK($F76))), IF( _xll.IMDP("IR", $F76, BQ$8, Matrix!$D$6)=0,"",_xll.IMDP("IR", $F76, BQ$8, Matrix!$D$6)), "")</f>
        <v>3.7130000000000001</v>
      </c>
      <c r="BR76" cm="1">
        <f t="array" aca="1" ref="BR76" ca="1">IF( AND($F$7,NOT(ISBLANK($F76))), IF( _xll.IMDP("IR", $F76, BR$8, Matrix!$D$6)=0,"",_xll.IMDP("IR", $F76, BR$8, Matrix!$D$6)), "")</f>
        <v>3.8519999999999999</v>
      </c>
      <c r="BS76" cm="1">
        <f t="array" aca="1" ref="BS76" ca="1">IF( AND($F$7,NOT(ISBLANK($F76))), IF( _xll.IMDP("IR", $F76, BS$8, Matrix!$D$6)=0,"",_xll.IMDP("IR", $F76, BS$8, Matrix!$D$6)), "")</f>
        <v>4.1050000000000004</v>
      </c>
      <c r="BT76" cm="1">
        <f t="array" aca="1" ref="BT76" ca="1">IF( AND($F$7,NOT(ISBLANK($F76))), IF( _xll.IMDP("IR", $F76, BT$8, Matrix!$D$6)=0,"",_xll.IMDP("IR", $F76, BT$8, Matrix!$D$6)), "")</f>
        <v>4.9489999999999998</v>
      </c>
      <c r="BU76" cm="1">
        <f t="array" aca="1" ref="BU76" ca="1">IF( AND($F$7,NOT(ISBLANK($F76))), IF( _xll.IMDP("IR", $F76, BU$8, Matrix!$D$6)=0,"",_xll.IMDP("IR", $F76, BU$8, Matrix!$D$6)), "")</f>
        <v>5.5970000000000004</v>
      </c>
      <c r="BV76" cm="1">
        <f t="array" aca="1" ref="BV76" ca="1">IF( AND($F$7,NOT(ISBLANK($F76))), IF( _xll.IMDP("IR", $F76, BV$8, Matrix!$D$6)=0,"",_xll.IMDP("IR", $F76, BV$8, Matrix!$D$6)), "")</f>
        <v>5.8289999999999997</v>
      </c>
      <c r="BW76" t="str" cm="1">
        <f t="array" aca="1" ref="BW76" ca="1">IF( AND($F$7,NOT(ISBLANK($F76))), IF( _xll.IMDP("IR", $F76, BW$8, Matrix!$D$6)=0,"",_xll.IMDP("IR", $F76, BW$8, Matrix!$D$6)), "")</f>
        <v/>
      </c>
      <c r="BX76" t="str" cm="1">
        <f t="array" aca="1" ref="BX76" ca="1">IF( AND($F$7,NOT(ISBLANK($F76))), IF( _xll.IMDP("IR", $F76, BX$8, Matrix!$D$6)=0,"",_xll.IMDP("IR", $F76, BX$8, Matrix!$D$6)), "")</f>
        <v/>
      </c>
      <c r="BY76" cm="1">
        <f t="array" aca="1" ref="BY76" ca="1">IF( AND($G$7,NOT(ISBLANK($G76))), IF( _xll.IMDP("IR", $G76, BY$8, Matrix!$D$6)=0, "", _xll.IMDP("IR", $G76, BY$8, Matrix!$D$6)), "")</f>
        <v>3.5819999999999999</v>
      </c>
      <c r="BZ76" cm="1">
        <f t="array" aca="1" ref="BZ76" ca="1">IF( AND($G$7,NOT(ISBLANK($G76))), IF( _xll.IMDP("IR", $G76, BZ$8, Matrix!$D$6)=0, "", _xll.IMDP("IR", $G76, BZ$8, Matrix!$D$6)), "")</f>
        <v>3.6320000000000001</v>
      </c>
      <c r="CA76" cm="1">
        <f t="array" aca="1" ref="CA76" ca="1">IF( AND($G$7,NOT(ISBLANK($G76))), IF( _xll.IMDP("IR", $G76, CA$8, Matrix!$D$6)=0, "", _xll.IMDP("IR", $G76, CA$8, Matrix!$D$6)), "")</f>
        <v>3.6080000000000001</v>
      </c>
      <c r="CB76" cm="1">
        <f t="array" aca="1" ref="CB76" ca="1">IF( AND($G$7,NOT(ISBLANK($G76))), IF( _xll.IMDP("IR", $G76, CB$8, Matrix!$D$6)=0, "", _xll.IMDP("IR", $G76, CB$8, Matrix!$D$6)), "")</f>
        <v>3.5739999999999998</v>
      </c>
      <c r="CC76" cm="1">
        <f t="array" aca="1" ref="CC76" ca="1">IF( AND($G$7,NOT(ISBLANK($G76))), IF( _xll.IMDP("IR", $G76, CC$8, Matrix!$D$6)=0, "", _xll.IMDP("IR", $G76, CC$8, Matrix!$D$6)), "")</f>
        <v>3.5990000000000002</v>
      </c>
      <c r="CD76" cm="1">
        <f t="array" aca="1" ref="CD76" ca="1">IF( AND($G$7,NOT(ISBLANK($G76))), IF( _xll.IMDP("IR", $G76, CD$8, Matrix!$D$6)=0, "", _xll.IMDP("IR", $G76, CD$8, Matrix!$D$6)), "")</f>
        <v>3.597</v>
      </c>
      <c r="CE76" cm="1">
        <f t="array" aca="1" ref="CE76" ca="1">IF( AND($G$7,NOT(ISBLANK($G76))), IF( _xll.IMDP("IR", $G76, CE$8, Matrix!$D$6)=0, "", _xll.IMDP("IR", $G76, CE$8, Matrix!$D$6)), "")</f>
        <v>3.6080000000000001</v>
      </c>
      <c r="CF76" cm="1">
        <f t="array" aca="1" ref="CF76" ca="1">IF( AND($G$7,NOT(ISBLANK($G76))), IF( _xll.IMDP("IR", $G76, CF$8, Matrix!$D$6)=0, "", _xll.IMDP("IR", $G76, CF$8, Matrix!$D$6)), "")</f>
        <v>3.6360000000000001</v>
      </c>
      <c r="CG76" cm="1">
        <f t="array" aca="1" ref="CG76" ca="1">IF( AND($G$7,NOT(ISBLANK($G76))), IF( _xll.IMDP("IR", $G76, CG$8, Matrix!$D$6)=0, "", _xll.IMDP("IR", $G76, CG$8, Matrix!$D$6)), "")</f>
        <v>3.6829999999999998</v>
      </c>
      <c r="CH76" cm="1">
        <f t="array" aca="1" ref="CH76" ca="1">IF( AND($G$7,NOT(ISBLANK($G76))), IF( _xll.IMDP("IR", $G76, CH$8, Matrix!$D$6)=0, "", _xll.IMDP("IR", $G76, CH$8, Matrix!$D$6)), "")</f>
        <v>3.786</v>
      </c>
      <c r="CI76" cm="1">
        <f t="array" aca="1" ref="CI76" ca="1">IF( AND($G$7,NOT(ISBLANK($G76))), IF( _xll.IMDP("IR", $G76, CI$8, Matrix!$D$6)=0, "", _xll.IMDP("IR", $G76, CI$8, Matrix!$D$6)), "")</f>
        <v>4.07</v>
      </c>
      <c r="CJ76" cm="1">
        <f t="array" aca="1" ref="CJ76" ca="1">IF( AND($G$7,NOT(ISBLANK($G76))), IF( _xll.IMDP("IR", $G76, CJ$8, Matrix!$D$6)=0, "", _xll.IMDP("IR", $G76, CJ$8, Matrix!$D$6)), "")</f>
        <v>4.8470000000000004</v>
      </c>
      <c r="CK76" cm="1">
        <f t="array" aca="1" ref="CK76" ca="1">IF( AND($G$7,NOT(ISBLANK($G76))), IF( _xll.IMDP("IR", $G76, CK$8, Matrix!$D$6)=0, "", _xll.IMDP("IR", $G76, CK$8, Matrix!$D$6)), "")</f>
        <v>5.5250000000000004</v>
      </c>
      <c r="CL76" cm="1">
        <f t="array" aca="1" ref="CL76" ca="1">IF( AND($G$7,NOT(ISBLANK($G76))), IF( _xll.IMDP("IR", $G76, CL$8, Matrix!$D$6)=0, "", _xll.IMDP("IR", $G76, CL$8, Matrix!$D$6)), "")</f>
        <v>5.782</v>
      </c>
      <c r="CM76" t="str" cm="1">
        <f t="array" aca="1" ref="CM76" ca="1">IF( AND($G$7,NOT(ISBLANK($G76))), IF( _xll.IMDP("IR", $G76, CM$8, Matrix!$D$6)=0, "", _xll.IMDP("IR", $G76, CM$8, Matrix!$D$6)), "")</f>
        <v/>
      </c>
      <c r="CN76" t="str" cm="1">
        <f t="array" aca="1" ref="CN76" ca="1">IF( AND($G$7,NOT(ISBLANK($G76))), IF( _xll.IMDP("IR", $G76, CN$8, Matrix!$D$6)=0, "", _xll.IMDP("IR", $G76, CN$8, Matrix!$D$6)), "")</f>
        <v/>
      </c>
      <c r="CO76" t="str" cm="1">
        <f t="array" ref="CO76">IF( AND($H$7,NOT(ISBLANK($H76))), IF( _xll.IMDP("IR", $H76, CO$8, Matrix!$D$6)=0, "", _xll.IMDP("IR", $H76, CO$8, Matrix!$D$6)), "")</f>
        <v/>
      </c>
      <c r="CP76" t="str" cm="1">
        <f t="array" ref="CP76">IF( AND($H$7,NOT(ISBLANK($H76))), IF( _xll.IMDP("IR", $H76, CP$8, Matrix!$D$6)=0, "", _xll.IMDP("IR", $H76, CP$8, Matrix!$D$6)), "")</f>
        <v/>
      </c>
      <c r="CQ76" t="str" cm="1">
        <f t="array" ref="CQ76">IF( AND($H$7,NOT(ISBLANK($H76))), IF( _xll.IMDP("IR", $H76, CQ$8, Matrix!$D$6)=0, "", _xll.IMDP("IR", $H76, CQ$8, Matrix!$D$6)), "")</f>
        <v/>
      </c>
      <c r="CR76" t="str" cm="1">
        <f t="array" ref="CR76">IF( AND($H$7,NOT(ISBLANK($H76))), IF( _xll.IMDP("IR", $H76, CR$8, Matrix!$D$6)=0, "", _xll.IMDP("IR", $H76, CR$8, Matrix!$D$6)), "")</f>
        <v/>
      </c>
      <c r="CS76" t="str" cm="1">
        <f t="array" ref="CS76">IF( AND($H$7,NOT(ISBLANK($H76))), IF( _xll.IMDP("IR", $H76, CS$8, Matrix!$D$6)=0, "", _xll.IMDP("IR", $H76, CS$8, Matrix!$D$6)), "")</f>
        <v/>
      </c>
      <c r="CT76" t="str" cm="1">
        <f t="array" ref="CT76">IF( AND($H$7,NOT(ISBLANK($H76))), IF( _xll.IMDP("IR", $H76, CT$8, Matrix!$D$6)=0, "", _xll.IMDP("IR", $H76, CT$8, Matrix!$D$6)), "")</f>
        <v/>
      </c>
      <c r="CU76" t="str" cm="1">
        <f t="array" ref="CU76">IF( AND($H$7,NOT(ISBLANK($H76))), IF( _xll.IMDP("IR", $H76, CU$8, Matrix!$D$6)=0, "", _xll.IMDP("IR", $H76, CU$8, Matrix!$D$6)), "")</f>
        <v/>
      </c>
      <c r="CV76" t="str" cm="1">
        <f t="array" ref="CV76">IF( AND($H$7,NOT(ISBLANK($H76))), IF( _xll.IMDP("IR", $H76, CV$8, Matrix!$D$6)=0, "", _xll.IMDP("IR", $H76, CV$8, Matrix!$D$6)), "")</f>
        <v/>
      </c>
      <c r="CW76" t="str" cm="1">
        <f t="array" ref="CW76">IF( AND($H$7,NOT(ISBLANK($H76))), IF( _xll.IMDP("IR", $H76, CW$8, Matrix!$D$6)=0, "", _xll.IMDP("IR", $H76, CW$8, Matrix!$D$6)), "")</f>
        <v/>
      </c>
      <c r="CX76" t="str" cm="1">
        <f t="array" ref="CX76">IF( AND($H$7,NOT(ISBLANK($H76))), IF( _xll.IMDP("IR", $H76, CX$8, Matrix!$D$6)=0, "", _xll.IMDP("IR", $H76, CX$8, Matrix!$D$6)), "")</f>
        <v/>
      </c>
      <c r="CY76" t="str" cm="1">
        <f t="array" ref="CY76">IF( AND($H$7,NOT(ISBLANK($H76))), IF( _xll.IMDP("IR", $H76, CY$8, Matrix!$D$6)=0, "", _xll.IMDP("IR", $H76, CY$8, Matrix!$D$6)), "")</f>
        <v/>
      </c>
      <c r="CZ76" t="str" cm="1">
        <f t="array" ref="CZ76">IF( AND($H$7,NOT(ISBLANK($H76))), IF( _xll.IMDP("IR", $H76, CZ$8, Matrix!$D$6)=0, "", _xll.IMDP("IR", $H76, CZ$8, Matrix!$D$6)), "")</f>
        <v/>
      </c>
      <c r="DA76" t="str" cm="1">
        <f t="array" ref="DA76">IF( AND($H$7,NOT(ISBLANK($H76))), IF( _xll.IMDP("IR", $H76, DA$8, Matrix!$D$6)=0, "", _xll.IMDP("IR", $H76, DA$8, Matrix!$D$6)), "")</f>
        <v/>
      </c>
      <c r="DB76" t="str" cm="1">
        <f t="array" ref="DB76">IF( AND($H$7,NOT(ISBLANK($H76))), IF( _xll.IMDP("IR", $H76, DB$8, Matrix!$D$6)=0, "", _xll.IMDP("IR", $H76, DB$8, Matrix!$D$6)), "")</f>
        <v/>
      </c>
      <c r="DC76" t="str" cm="1">
        <f t="array" ref="DC76">IF( AND($H$7,NOT(ISBLANK($H76))), IF( _xll.IMDP("IR", $H76, DC$8, Matrix!$D$6)=0, "", _xll.IMDP("IR", $H76, DC$8, Matrix!$D$6)), "")</f>
        <v/>
      </c>
      <c r="DD76" t="str" cm="1">
        <f t="array" ref="DD76">IF( AND($H$7,NOT(ISBLANK($H76))), IF( _xll.IMDP("IR", $H76, DD$8, Matrix!$D$6)=0, "", _xll.IMDP("IR", $H76, DD$8, Matrix!$D$6)), "")</f>
        <v/>
      </c>
    </row>
    <row r="77" spans="2:108">
      <c r="B77" t="s">
        <v>145</v>
      </c>
      <c r="C77" t="s">
        <v>219</v>
      </c>
      <c r="D77" t="s">
        <v>284</v>
      </c>
      <c r="E77" t="s">
        <v>345</v>
      </c>
      <c r="F77" t="s">
        <v>415</v>
      </c>
      <c r="G77" t="s">
        <v>478</v>
      </c>
      <c r="H77" t="s">
        <v>523</v>
      </c>
      <c r="M77" s="21">
        <f t="shared" ca="1" si="34"/>
        <v>3.6872314731505798</v>
      </c>
      <c r="N77" s="21">
        <f t="shared" ca="1" si="35"/>
        <v>3.8009747044946929</v>
      </c>
      <c r="O77" s="21">
        <f t="shared" ca="1" si="36"/>
        <v>3.8357080302370923</v>
      </c>
      <c r="P77" s="21">
        <f t="shared" ca="1" si="37"/>
        <v>3.8637341657987285</v>
      </c>
      <c r="Q77" s="21">
        <f t="shared" ca="1" si="38"/>
        <v>3.9559970306885202</v>
      </c>
      <c r="R77" s="21">
        <f t="shared" ca="1" si="39"/>
        <v>4.0129886584671031</v>
      </c>
      <c r="S77" s="21">
        <f t="shared" ca="1" si="40"/>
        <v>4.1216776447454935</v>
      </c>
      <c r="T77" s="21">
        <f t="shared" ca="1" si="41"/>
        <v>4.1852217963754965</v>
      </c>
      <c r="U77" s="21">
        <f t="shared" ca="1" si="42"/>
        <v>4.4411737882868616</v>
      </c>
      <c r="V77" s="21">
        <f t="shared" ca="1" si="43"/>
        <v>4.6906496668089979</v>
      </c>
      <c r="W77" s="21">
        <f t="shared" ca="1" si="44"/>
        <v>4.9294947303579546</v>
      </c>
      <c r="X77" s="21">
        <f t="shared" ca="1" si="45"/>
        <v>5.6080688351596262</v>
      </c>
      <c r="Y77" s="21">
        <f t="shared" ca="1" si="46"/>
        <v>6.100366048161999</v>
      </c>
      <c r="Z77" s="21">
        <f t="shared" ca="1" si="47"/>
        <v>6.3701720979533336</v>
      </c>
      <c r="AA77" s="21" t="e">
        <f t="shared" ca="1" si="48"/>
        <v>#NUM!</v>
      </c>
      <c r="AB77" s="21" t="e">
        <f t="shared" ca="1" si="49"/>
        <v>#NUM!</v>
      </c>
      <c r="AC77" cm="1">
        <f t="array" aca="1" ref="AC77" ca="1">IF( AND($D$7,NOT(ISBLANK($D77))), IF(_xll.IMDP("IR", $D77, AC$8, Matrix!$D$6)=0,"",_xll.IMDP("IR", $D77, AC$8, Matrix!$D$6)), "")</f>
        <v>3.6760000000000002</v>
      </c>
      <c r="AD77" cm="1">
        <f t="array" aca="1" ref="AD77" ca="1">IF( AND($D$7,NOT(ISBLANK($D77))), IF(_xll.IMDP("IR", $D77, AD$8, Matrix!$D$6)=0,"",_xll.IMDP("IR", $D77, AD$8, Matrix!$D$6)), "")</f>
        <v>3.8220000000000001</v>
      </c>
      <c r="AE77" cm="1">
        <f t="array" aca="1" ref="AE77" ca="1">IF( AND($D$7,NOT(ISBLANK($D77))), IF(_xll.IMDP("IR", $D77, AE$8, Matrix!$D$6)=0,"",_xll.IMDP("IR", $D77, AE$8, Matrix!$D$6)), "")</f>
        <v>3.86</v>
      </c>
      <c r="AF77" cm="1">
        <f t="array" aca="1" ref="AF77" ca="1">IF( AND($D$7,NOT(ISBLANK($D77))), IF(_xll.IMDP("IR", $D77, AF$8, Matrix!$D$6)=0,"",_xll.IMDP("IR", $D77, AF$8, Matrix!$D$6)), "")</f>
        <v>3.8740000000000001</v>
      </c>
      <c r="AG77" cm="1">
        <f t="array" aca="1" ref="AG77" ca="1">IF( AND($D$7,NOT(ISBLANK($D77))), IF(_xll.IMDP("IR", $D77, AG$8, Matrix!$D$6)=0,"",_xll.IMDP("IR", $D77, AG$8, Matrix!$D$6)), "")</f>
        <v>3.9580000000000002</v>
      </c>
      <c r="AH77" cm="1">
        <f t="array" aca="1" ref="AH77" ca="1">IF( AND($D$7,NOT(ISBLANK($D77))), IF(_xll.IMDP("IR", $D77, AH$8, Matrix!$D$6)=0,"",_xll.IMDP("IR", $D77, AH$8, Matrix!$D$6)), "")</f>
        <v>4</v>
      </c>
      <c r="AI77" cm="1">
        <f t="array" aca="1" ref="AI77" ca="1">IF( AND($D$7,NOT(ISBLANK($D77))), IF(_xll.IMDP("IR", $D77, AI$8, Matrix!$D$6)=0,"",_xll.IMDP("IR", $D77, AI$8, Matrix!$D$6)), "")</f>
        <v>4.1529999999999996</v>
      </c>
      <c r="AJ77" cm="1">
        <f t="array" aca="1" ref="AJ77" ca="1">IF( AND($D$7,NOT(ISBLANK($D77))), IF(_xll.IMDP("IR", $D77, AJ$8, Matrix!$D$6)=0,"",_xll.IMDP("IR", $D77, AJ$8, Matrix!$D$6)), "")</f>
        <v>4.2069999999999999</v>
      </c>
      <c r="AK77" cm="1">
        <f t="array" aca="1" ref="AK77" ca="1">IF( AND($D$7,NOT(ISBLANK($D77))), IF(_xll.IMDP("IR", $D77, AK$8, Matrix!$D$6)=0,"",_xll.IMDP("IR", $D77, AK$8, Matrix!$D$6)), "")</f>
        <v>4.45</v>
      </c>
      <c r="AL77" cm="1">
        <f t="array" aca="1" ref="AL77" ca="1">IF( AND($D$7,NOT(ISBLANK($D77))), IF(_xll.IMDP("IR", $D77, AL$8, Matrix!$D$6)=0,"",_xll.IMDP("IR", $D77, AL$8, Matrix!$D$6)), "")</f>
        <v>4.641</v>
      </c>
      <c r="AM77" cm="1">
        <f t="array" aca="1" ref="AM77" ca="1">IF( AND($D$7,NOT(ISBLANK($D77))), IF(_xll.IMDP("IR", $D77, AM$8, Matrix!$D$6)=0,"",_xll.IMDP("IR", $D77, AM$8, Matrix!$D$6)), "")</f>
        <v>4.8650000000000002</v>
      </c>
      <c r="AN77" cm="1">
        <f t="array" aca="1" ref="AN77" ca="1">IF( AND($D$7,NOT(ISBLANK($D77))), IF(_xll.IMDP("IR", $D77, AN$8, Matrix!$D$6)=0,"",_xll.IMDP("IR", $D77, AN$8, Matrix!$D$6)), "")</f>
        <v>5.5579999999999998</v>
      </c>
      <c r="AO77" cm="1">
        <f t="array" aca="1" ref="AO77" ca="1">IF( AND($D$7,NOT(ISBLANK($D77))), IF(_xll.IMDP("IR", $D77, AO$8, Matrix!$D$6)=0,"",_xll.IMDP("IR", $D77, AO$8, Matrix!$D$6)), "")</f>
        <v>6.0469999999999997</v>
      </c>
      <c r="AP77" cm="1">
        <f t="array" aca="1" ref="AP77" ca="1">IF( AND($D$7,NOT(ISBLANK($D77))), IF(_xll.IMDP("IR", $D77, AP$8, Matrix!$D$6)=0,"",_xll.IMDP("IR", $D77, AP$8, Matrix!$D$6)), "")</f>
        <v>6.3179999999999996</v>
      </c>
      <c r="AQ77" t="str" cm="1">
        <f t="array" aca="1" ref="AQ77" ca="1">IF( AND($D$7,NOT(ISBLANK($D77))), IF(_xll.IMDP("IR", $D77, AQ$8, Matrix!$D$6)=0,"",_xll.IMDP("IR", $D77, AQ$8, Matrix!$D$6)), "")</f>
        <v/>
      </c>
      <c r="AR77" t="str" cm="1">
        <f t="array" aca="1" ref="AR77" ca="1">IF( AND($D$7,NOT(ISBLANK($D77))), IF(_xll.IMDP("IR", $D77, AR$8, Matrix!$D$6)=0,"",_xll.IMDP("IR", $D77, AR$8, Matrix!$D$6)), "")</f>
        <v/>
      </c>
      <c r="AS77" cm="1">
        <f t="array" aca="1" ref="AS77" ca="1">IF( AND($E$7,NOT(ISBLANK($E77))), IF( _xll.IMDP("IR", $E77, AS$8, Matrix!$D$6)=0,"",_xll.IMDP("IR", $E77, AS$8, Matrix!$D$6)), "")</f>
        <v>3.7029999999999998</v>
      </c>
      <c r="AT77" cm="1">
        <f t="array" aca="1" ref="AT77" ca="1">IF( AND($E$7,NOT(ISBLANK($E77))), IF( _xll.IMDP("IR", $E77, AT$8, Matrix!$D$6)=0,"",_xll.IMDP("IR", $E77, AT$8, Matrix!$D$6)), "")</f>
        <v>3.7930000000000001</v>
      </c>
      <c r="AU77" cm="1">
        <f t="array" aca="1" ref="AU77" ca="1">IF( AND($E$7,NOT(ISBLANK($E77))), IF( _xll.IMDP("IR", $E77, AU$8, Matrix!$D$6)=0,"",_xll.IMDP("IR", $E77, AU$8, Matrix!$D$6)), "")</f>
        <v>3.819</v>
      </c>
      <c r="AV77" cm="1">
        <f t="array" aca="1" ref="AV77" ca="1">IF( AND($E$7,NOT(ISBLANK($E77))), IF( _xll.IMDP("IR", $E77, AV$8, Matrix!$D$6)=0,"",_xll.IMDP("IR", $E77, AV$8, Matrix!$D$6)), "")</f>
        <v>3.8460000000000001</v>
      </c>
      <c r="AW77" cm="1">
        <f t="array" aca="1" ref="AW77" ca="1">IF( AND($E$7,NOT(ISBLANK($E77))), IF( _xll.IMDP("IR", $E77, AW$8, Matrix!$D$6)=0,"",_xll.IMDP("IR", $E77, AW$8, Matrix!$D$6)), "")</f>
        <v>3.9510000000000001</v>
      </c>
      <c r="AX77" cm="1">
        <f t="array" aca="1" ref="AX77" ca="1">IF( AND($E$7,NOT(ISBLANK($E77))), IF( _xll.IMDP("IR", $E77, AX$8, Matrix!$D$6)=0,"",_xll.IMDP("IR", $E77, AX$8, Matrix!$D$6)), "")</f>
        <v>4.024</v>
      </c>
      <c r="AY77" cm="1">
        <f t="array" aca="1" ref="AY77" ca="1">IF( AND($E$7,NOT(ISBLANK($E77))), IF( _xll.IMDP("IR", $E77, AY$8, Matrix!$D$6)=0,"",_xll.IMDP("IR", $E77, AY$8, Matrix!$D$6)), "")</f>
        <v>4.1289999999999996</v>
      </c>
      <c r="AZ77" cm="1">
        <f t="array" aca="1" ref="AZ77" ca="1">IF( AND($E$7,NOT(ISBLANK($E77))), IF( _xll.IMDP("IR", $E77, AZ$8, Matrix!$D$6)=0,"",_xll.IMDP("IR", $E77, AZ$8, Matrix!$D$6)), "")</f>
        <v>4.1769999999999996</v>
      </c>
      <c r="BA77" cm="1">
        <f t="array" aca="1" ref="BA77" ca="1">IF( AND($E$7,NOT(ISBLANK($E77))), IF( _xll.IMDP("IR", $E77, BA$8, Matrix!$D$6)=0,"",_xll.IMDP("IR", $E77, BA$8, Matrix!$D$6)), "")</f>
        <v>4.4550000000000001</v>
      </c>
      <c r="BB77" cm="1">
        <f t="array" aca="1" ref="BB77" ca="1">IF( AND($E$7,NOT(ISBLANK($E77))), IF( _xll.IMDP("IR", $E77, BB$8, Matrix!$D$6)=0,"",_xll.IMDP("IR", $E77, BB$8, Matrix!$D$6)), "")</f>
        <v>4.7060000000000004</v>
      </c>
      <c r="BC77" cm="1">
        <f t="array" aca="1" ref="BC77" ca="1">IF( AND($E$7,NOT(ISBLANK($E77))), IF( _xll.IMDP("IR", $E77, BC$8, Matrix!$D$6)=0,"",_xll.IMDP("IR", $E77, BC$8, Matrix!$D$6)), "")</f>
        <v>4.9640000000000004</v>
      </c>
      <c r="BD77" cm="1">
        <f t="array" aca="1" ref="BD77" ca="1">IF( AND($E$7,NOT(ISBLANK($E77))), IF( _xll.IMDP("IR", $E77, BD$8, Matrix!$D$6)=0,"",_xll.IMDP("IR", $E77, BD$8, Matrix!$D$6)), "")</f>
        <v>5.6660000000000004</v>
      </c>
      <c r="BE77" cm="1">
        <f t="array" aca="1" ref="BE77" ca="1">IF( AND($E$7,NOT(ISBLANK($E77))), IF( _xll.IMDP("IR", $E77, BE$8, Matrix!$D$6)=0,"",_xll.IMDP("IR", $E77, BE$8, Matrix!$D$6)), "")</f>
        <v>6.1580000000000004</v>
      </c>
      <c r="BF77" cm="1">
        <f t="array" aca="1" ref="BF77" ca="1">IF( AND($E$7,NOT(ISBLANK($E77))), IF( _xll.IMDP("IR", $E77, BF$8, Matrix!$D$6)=0,"",_xll.IMDP("IR", $E77, BF$8, Matrix!$D$6)), "")</f>
        <v>6.4809999999999999</v>
      </c>
      <c r="BG77" t="str" cm="1">
        <f t="array" aca="1" ref="BG77" ca="1">IF( AND($E$7,NOT(ISBLANK($E77))), IF( _xll.IMDP("IR", $E77, BG$8, Matrix!$D$6)=0,"",_xll.IMDP("IR", $E77, BG$8, Matrix!$D$6)), "")</f>
        <v/>
      </c>
      <c r="BH77" t="str" cm="1">
        <f t="array" aca="1" ref="BH77" ca="1">IF( AND($E$7,NOT(ISBLANK($E77))), IF( _xll.IMDP("IR", $E77, BH$8, Matrix!$D$6)=0,"",_xll.IMDP("IR", $E77, BH$8, Matrix!$D$6)), "")</f>
        <v/>
      </c>
      <c r="BI77" cm="1">
        <f t="array" aca="1" ref="BI77" ca="1">IF( AND($F$7,NOT(ISBLANK($F77))), IF( _xll.IMDP("IR", $F77, BI$8, Matrix!$D$6)=0,"",_xll.IMDP("IR", $F77, BI$8, Matrix!$D$6)), "")</f>
        <v>3.694</v>
      </c>
      <c r="BJ77" cm="1">
        <f t="array" aca="1" ref="BJ77" ca="1">IF( AND($F$7,NOT(ISBLANK($F77))), IF( _xll.IMDP("IR", $F77, BJ$8, Matrix!$D$6)=0,"",_xll.IMDP("IR", $F77, BJ$8, Matrix!$D$6)), "")</f>
        <v>3.7850000000000001</v>
      </c>
      <c r="BK77" cm="1">
        <f t="array" aca="1" ref="BK77" ca="1">IF( AND($F$7,NOT(ISBLANK($F77))), IF( _xll.IMDP("IR", $F77, BK$8, Matrix!$D$6)=0,"",_xll.IMDP("IR", $F77, BK$8, Matrix!$D$6)), "")</f>
        <v>3.8180000000000001</v>
      </c>
      <c r="BL77" cm="1">
        <f t="array" aca="1" ref="BL77" ca="1">IF( AND($F$7,NOT(ISBLANK($F77))), IF( _xll.IMDP("IR", $F77, BL$8, Matrix!$D$6)=0,"",_xll.IMDP("IR", $F77, BL$8, Matrix!$D$6)), "")</f>
        <v>3.863</v>
      </c>
      <c r="BM77" cm="1">
        <f t="array" aca="1" ref="BM77" ca="1">IF( AND($F$7,NOT(ISBLANK($F77))), IF( _xll.IMDP("IR", $F77, BM$8, Matrix!$D$6)=0,"",_xll.IMDP("IR", $F77, BM$8, Matrix!$D$6)), "")</f>
        <v>3.9630000000000001</v>
      </c>
      <c r="BN77" cm="1">
        <f t="array" aca="1" ref="BN77" ca="1">IF( AND($F$7,NOT(ISBLANK($F77))), IF( _xll.IMDP("IR", $F77, BN$8, Matrix!$D$6)=0,"",_xll.IMDP("IR", $F77, BN$8, Matrix!$D$6)), "")</f>
        <v>4.0199999999999996</v>
      </c>
      <c r="BO77" cm="1">
        <f t="array" aca="1" ref="BO77" ca="1">IF( AND($F$7,NOT(ISBLANK($F77))), IF( _xll.IMDP("IR", $F77, BO$8, Matrix!$D$6)=0,"",_xll.IMDP("IR", $F77, BO$8, Matrix!$D$6)), "")</f>
        <v>4.085</v>
      </c>
      <c r="BP77" cm="1">
        <f t="array" aca="1" ref="BP77" ca="1">IF( AND($F$7,NOT(ISBLANK($F77))), IF( _xll.IMDP("IR", $F77, BP$8, Matrix!$D$6)=0,"",_xll.IMDP("IR", $F77, BP$8, Matrix!$D$6)), "")</f>
        <v>4.1660000000000004</v>
      </c>
      <c r="BQ77" cm="1">
        <f t="array" aca="1" ref="BQ77" ca="1">IF( AND($F$7,NOT(ISBLANK($F77))), IF( _xll.IMDP("IR", $F77, BQ$8, Matrix!$D$6)=0,"",_xll.IMDP("IR", $F77, BQ$8, Matrix!$D$6)), "")</f>
        <v>4.4630000000000001</v>
      </c>
      <c r="BR77" cm="1">
        <f t="array" aca="1" ref="BR77" ca="1">IF( AND($F$7,NOT(ISBLANK($F77))), IF( _xll.IMDP("IR", $F77, BR$8, Matrix!$D$6)=0,"",_xll.IMDP("IR", $F77, BR$8, Matrix!$D$6)), "")</f>
        <v>4.7229999999999999</v>
      </c>
      <c r="BS77" cm="1">
        <f t="array" aca="1" ref="BS77" ca="1">IF( AND($F$7,NOT(ISBLANK($F77))), IF( _xll.IMDP("IR", $F77, BS$8, Matrix!$D$6)=0,"",_xll.IMDP("IR", $F77, BS$8, Matrix!$D$6)), "")</f>
        <v>4.9909999999999997</v>
      </c>
      <c r="BT77" cm="1">
        <f t="array" aca="1" ref="BT77" ca="1">IF( AND($F$7,NOT(ISBLANK($F77))), IF( _xll.IMDP("IR", $F77, BT$8, Matrix!$D$6)=0,"",_xll.IMDP("IR", $F77, BT$8, Matrix!$D$6)), "")</f>
        <v>5.6379999999999999</v>
      </c>
      <c r="BU77" cm="1">
        <f t="array" aca="1" ref="BU77" ca="1">IF( AND($F$7,NOT(ISBLANK($F77))), IF( _xll.IMDP("IR", $F77, BU$8, Matrix!$D$6)=0,"",_xll.IMDP("IR", $F77, BU$8, Matrix!$D$6)), "")</f>
        <v>6.1120000000000001</v>
      </c>
      <c r="BV77" cm="1">
        <f t="array" aca="1" ref="BV77" ca="1">IF( AND($F$7,NOT(ISBLANK($F77))), IF( _xll.IMDP("IR", $F77, BV$8, Matrix!$D$6)=0,"",_xll.IMDP("IR", $F77, BV$8, Matrix!$D$6)), "")</f>
        <v>6.351</v>
      </c>
      <c r="BW77" t="str" cm="1">
        <f t="array" aca="1" ref="BW77" ca="1">IF( AND($F$7,NOT(ISBLANK($F77))), IF( _xll.IMDP("IR", $F77, BW$8, Matrix!$D$6)=0,"",_xll.IMDP("IR", $F77, BW$8, Matrix!$D$6)), "")</f>
        <v/>
      </c>
      <c r="BX77" t="str" cm="1">
        <f t="array" aca="1" ref="BX77" ca="1">IF( AND($F$7,NOT(ISBLANK($F77))), IF( _xll.IMDP("IR", $F77, BX$8, Matrix!$D$6)=0,"",_xll.IMDP("IR", $F77, BX$8, Matrix!$D$6)), "")</f>
        <v/>
      </c>
      <c r="BY77" cm="1">
        <f t="array" aca="1" ref="BY77" ca="1">IF( AND($G$7,NOT(ISBLANK($G77))), IF( _xll.IMDP("IR", $G77, BY$8, Matrix!$D$6)=0, "", _xll.IMDP("IR", $G77, BY$8, Matrix!$D$6)), "")</f>
        <v>3.6760000000000002</v>
      </c>
      <c r="BZ77" cm="1">
        <f t="array" aca="1" ref="BZ77" ca="1">IF( AND($G$7,NOT(ISBLANK($G77))), IF( _xll.IMDP("IR", $G77, BZ$8, Matrix!$D$6)=0, "", _xll.IMDP("IR", $G77, BZ$8, Matrix!$D$6)), "")</f>
        <v>3.8039999999999998</v>
      </c>
      <c r="CA77" cm="1">
        <f t="array" aca="1" ref="CA77" ca="1">IF( AND($G$7,NOT(ISBLANK($G77))), IF( _xll.IMDP("IR", $G77, CA$8, Matrix!$D$6)=0, "", _xll.IMDP("IR", $G77, CA$8, Matrix!$D$6)), "")</f>
        <v>3.8460000000000001</v>
      </c>
      <c r="CB77" cm="1">
        <f t="array" aca="1" ref="CB77" ca="1">IF( AND($G$7,NOT(ISBLANK($G77))), IF( _xll.IMDP("IR", $G77, CB$8, Matrix!$D$6)=0, "", _xll.IMDP("IR", $G77, CB$8, Matrix!$D$6)), "")</f>
        <v>3.8719999999999999</v>
      </c>
      <c r="CC77" cm="1">
        <f t="array" aca="1" ref="CC77" ca="1">IF( AND($G$7,NOT(ISBLANK($G77))), IF( _xll.IMDP("IR", $G77, CC$8, Matrix!$D$6)=0, "", _xll.IMDP("IR", $G77, CC$8, Matrix!$D$6)), "")</f>
        <v>3.952</v>
      </c>
      <c r="CD77" cm="1">
        <f t="array" aca="1" ref="CD77" ca="1">IF( AND($G$7,NOT(ISBLANK($G77))), IF( _xll.IMDP("IR", $G77, CD$8, Matrix!$D$6)=0, "", _xll.IMDP("IR", $G77, CD$8, Matrix!$D$6)), "")</f>
        <v>4.008</v>
      </c>
      <c r="CE77" cm="1">
        <f t="array" aca="1" ref="CE77" ca="1">IF( AND($G$7,NOT(ISBLANK($G77))), IF( _xll.IMDP("IR", $G77, CE$8, Matrix!$D$6)=0, "", _xll.IMDP("IR", $G77, CE$8, Matrix!$D$6)), "")</f>
        <v>4.12</v>
      </c>
      <c r="CF77" cm="1">
        <f t="array" aca="1" ref="CF77" ca="1">IF( AND($G$7,NOT(ISBLANK($G77))), IF( _xll.IMDP("IR", $G77, CF$8, Matrix!$D$6)=0, "", _xll.IMDP("IR", $G77, CF$8, Matrix!$D$6)), "")</f>
        <v>4.1909999999999998</v>
      </c>
      <c r="CG77" cm="1">
        <f t="array" aca="1" ref="CG77" ca="1">IF( AND($G$7,NOT(ISBLANK($G77))), IF( _xll.IMDP("IR", $G77, CG$8, Matrix!$D$6)=0, "", _xll.IMDP("IR", $G77, CG$8, Matrix!$D$6)), "")</f>
        <v>4.3970000000000002</v>
      </c>
      <c r="CH77" cm="1">
        <f t="array" aca="1" ref="CH77" ca="1">IF( AND($G$7,NOT(ISBLANK($G77))), IF( _xll.IMDP("IR", $G77, CH$8, Matrix!$D$6)=0, "", _xll.IMDP("IR", $G77, CH$8, Matrix!$D$6)), "")</f>
        <v>4.6929999999999996</v>
      </c>
      <c r="CI77" cm="1">
        <f t="array" aca="1" ref="CI77" ca="1">IF( AND($G$7,NOT(ISBLANK($G77))), IF( _xll.IMDP("IR", $G77, CI$8, Matrix!$D$6)=0, "", _xll.IMDP("IR", $G77, CI$8, Matrix!$D$6)), "")</f>
        <v>4.899</v>
      </c>
      <c r="CJ77" cm="1">
        <f t="array" aca="1" ref="CJ77" ca="1">IF( AND($G$7,NOT(ISBLANK($G77))), IF( _xll.IMDP("IR", $G77, CJ$8, Matrix!$D$6)=0, "", _xll.IMDP("IR", $G77, CJ$8, Matrix!$D$6)), "")</f>
        <v>5.5709999999999997</v>
      </c>
      <c r="CK77" cm="1">
        <f t="array" aca="1" ref="CK77" ca="1">IF( AND($G$7,NOT(ISBLANK($G77))), IF( _xll.IMDP("IR", $G77, CK$8, Matrix!$D$6)=0, "", _xll.IMDP("IR", $G77, CK$8, Matrix!$D$6)), "")</f>
        <v>6.085</v>
      </c>
      <c r="CL77" cm="1">
        <f t="array" aca="1" ref="CL77" ca="1">IF( AND($G$7,NOT(ISBLANK($G77))), IF( _xll.IMDP("IR", $G77, CL$8, Matrix!$D$6)=0, "", _xll.IMDP("IR", $G77, CL$8, Matrix!$D$6)), "")</f>
        <v>6.3319999999999999</v>
      </c>
      <c r="CM77" t="str" cm="1">
        <f t="array" aca="1" ref="CM77" ca="1">IF( AND($G$7,NOT(ISBLANK($G77))), IF( _xll.IMDP("IR", $G77, CM$8, Matrix!$D$6)=0, "", _xll.IMDP("IR", $G77, CM$8, Matrix!$D$6)), "")</f>
        <v/>
      </c>
      <c r="CN77" t="str" cm="1">
        <f t="array" aca="1" ref="CN77" ca="1">IF( AND($G$7,NOT(ISBLANK($G77))), IF( _xll.IMDP("IR", $G77, CN$8, Matrix!$D$6)=0, "", _xll.IMDP("IR", $G77, CN$8, Matrix!$D$6)), "")</f>
        <v/>
      </c>
      <c r="CO77" t="str" cm="1">
        <f t="array" aca="1" ref="CO77" ca="1">IF( AND($H$7,NOT(ISBLANK($H77))), IF( _xll.IMDP("IR", $H77, CO$8, Matrix!$D$6)=0, "", _xll.IMDP("IR", $H77, CO$8, Matrix!$D$6)), "")</f>
        <v xml:space="preserve"> </v>
      </c>
      <c r="CP77" t="str" cm="1">
        <f t="array" aca="1" ref="CP77" ca="1">IF( AND($H$7,NOT(ISBLANK($H77))), IF( _xll.IMDP("IR", $H77, CP$8, Matrix!$D$6)=0, "", _xll.IMDP("IR", $H77, CP$8, Matrix!$D$6)), "")</f>
        <v xml:space="preserve"> </v>
      </c>
      <c r="CQ77" t="str" cm="1">
        <f t="array" aca="1" ref="CQ77" ca="1">IF( AND($H$7,NOT(ISBLANK($H77))), IF( _xll.IMDP("IR", $H77, CQ$8, Matrix!$D$6)=0, "", _xll.IMDP("IR", $H77, CQ$8, Matrix!$D$6)), "")</f>
        <v xml:space="preserve"> </v>
      </c>
      <c r="CR77" t="str" cm="1">
        <f t="array" aca="1" ref="CR77" ca="1">IF( AND($H$7,NOT(ISBLANK($H77))), IF( _xll.IMDP("IR", $H77, CR$8, Matrix!$D$6)=0, "", _xll.IMDP("IR", $H77, CR$8, Matrix!$D$6)), "")</f>
        <v xml:space="preserve"> </v>
      </c>
      <c r="CS77" t="str" cm="1">
        <f t="array" aca="1" ref="CS77" ca="1">IF( AND($H$7,NOT(ISBLANK($H77))), IF( _xll.IMDP("IR", $H77, CS$8, Matrix!$D$6)=0, "", _xll.IMDP("IR", $H77, CS$8, Matrix!$D$6)), "")</f>
        <v xml:space="preserve"> </v>
      </c>
      <c r="CT77" t="str" cm="1">
        <f t="array" aca="1" ref="CT77" ca="1">IF( AND($H$7,NOT(ISBLANK($H77))), IF( _xll.IMDP("IR", $H77, CT$8, Matrix!$D$6)=0, "", _xll.IMDP("IR", $H77, CT$8, Matrix!$D$6)), "")</f>
        <v xml:space="preserve"> </v>
      </c>
      <c r="CU77" t="str" cm="1">
        <f t="array" aca="1" ref="CU77" ca="1">IF( AND($H$7,NOT(ISBLANK($H77))), IF( _xll.IMDP("IR", $H77, CU$8, Matrix!$D$6)=0, "", _xll.IMDP("IR", $H77, CU$8, Matrix!$D$6)), "")</f>
        <v xml:space="preserve"> </v>
      </c>
      <c r="CV77" t="str" cm="1">
        <f t="array" aca="1" ref="CV77" ca="1">IF( AND($H$7,NOT(ISBLANK($H77))), IF( _xll.IMDP("IR", $H77, CV$8, Matrix!$D$6)=0, "", _xll.IMDP("IR", $H77, CV$8, Matrix!$D$6)), "")</f>
        <v xml:space="preserve"> </v>
      </c>
      <c r="CW77" t="str" cm="1">
        <f t="array" aca="1" ref="CW77" ca="1">IF( AND($H$7,NOT(ISBLANK($H77))), IF( _xll.IMDP("IR", $H77, CW$8, Matrix!$D$6)=0, "", _xll.IMDP("IR", $H77, CW$8, Matrix!$D$6)), "")</f>
        <v xml:space="preserve"> </v>
      </c>
      <c r="CX77" t="str" cm="1">
        <f t="array" aca="1" ref="CX77" ca="1">IF( AND($H$7,NOT(ISBLANK($H77))), IF( _xll.IMDP("IR", $H77, CX$8, Matrix!$D$6)=0, "", _xll.IMDP("IR", $H77, CX$8, Matrix!$D$6)), "")</f>
        <v xml:space="preserve"> </v>
      </c>
      <c r="CY77" t="str" cm="1">
        <f t="array" aca="1" ref="CY77" ca="1">IF( AND($H$7,NOT(ISBLANK($H77))), IF( _xll.IMDP("IR", $H77, CY$8, Matrix!$D$6)=0, "", _xll.IMDP("IR", $H77, CY$8, Matrix!$D$6)), "")</f>
        <v xml:space="preserve"> </v>
      </c>
      <c r="CZ77" t="str" cm="1">
        <f t="array" aca="1" ref="CZ77" ca="1">IF( AND($H$7,NOT(ISBLANK($H77))), IF( _xll.IMDP("IR", $H77, CZ$8, Matrix!$D$6)=0, "", _xll.IMDP("IR", $H77, CZ$8, Matrix!$D$6)), "")</f>
        <v xml:space="preserve"> </v>
      </c>
      <c r="DA77" t="str" cm="1">
        <f t="array" aca="1" ref="DA77" ca="1">IF( AND($H$7,NOT(ISBLANK($H77))), IF( _xll.IMDP("IR", $H77, DA$8, Matrix!$D$6)=0, "", _xll.IMDP("IR", $H77, DA$8, Matrix!$D$6)), "")</f>
        <v/>
      </c>
      <c r="DB77" t="str" cm="1">
        <f t="array" aca="1" ref="DB77" ca="1">IF( AND($H$7,NOT(ISBLANK($H77))), IF( _xll.IMDP("IR", $H77, DB$8, Matrix!$D$6)=0, "", _xll.IMDP("IR", $H77, DB$8, Matrix!$D$6)), "")</f>
        <v xml:space="preserve"> </v>
      </c>
      <c r="DC77" t="str" cm="1">
        <f t="array" aca="1" ref="DC77" ca="1">IF( AND($H$7,NOT(ISBLANK($H77))), IF( _xll.IMDP("IR", $H77, DC$8, Matrix!$D$6)=0, "", _xll.IMDP("IR", $H77, DC$8, Matrix!$D$6)), "")</f>
        <v xml:space="preserve"> </v>
      </c>
      <c r="DD77" t="str" cm="1">
        <f t="array" aca="1" ref="DD77" ca="1">IF( AND($H$7,NOT(ISBLANK($H77))), IF( _xll.IMDP("IR", $H77, DD$8, Matrix!$D$6)=0, "", _xll.IMDP("IR", $H77, DD$8, Matrix!$D$6)), "")</f>
        <v/>
      </c>
    </row>
    <row r="78" spans="2:108">
      <c r="B78" t="s">
        <v>146</v>
      </c>
      <c r="C78" t="s">
        <v>220</v>
      </c>
      <c r="D78" t="s">
        <v>285</v>
      </c>
      <c r="E78" t="s">
        <v>346</v>
      </c>
      <c r="F78" t="s">
        <v>416</v>
      </c>
      <c r="G78" t="s">
        <v>479</v>
      </c>
      <c r="H78" t="s">
        <v>524</v>
      </c>
      <c r="M78" s="21">
        <f t="shared" ca="1" si="34"/>
        <v>3.8584850963675841</v>
      </c>
      <c r="N78" s="21">
        <f t="shared" ca="1" si="35"/>
        <v>3.9889361177637093</v>
      </c>
      <c r="O78" s="21">
        <f t="shared" ca="1" si="36"/>
        <v>4.0296213350254302</v>
      </c>
      <c r="P78" s="21">
        <f t="shared" ca="1" si="37"/>
        <v>4.0656639481697541</v>
      </c>
      <c r="Q78" s="21">
        <f t="shared" ca="1" si="38"/>
        <v>4.1519449243413691</v>
      </c>
      <c r="R78" s="21">
        <f t="shared" ca="1" si="39"/>
        <v>4.2247195482537538</v>
      </c>
      <c r="S78" s="21">
        <f t="shared" ca="1" si="40"/>
        <v>4.3438782399767879</v>
      </c>
      <c r="T78" s="21">
        <f t="shared" ca="1" si="41"/>
        <v>4.4782026002423621</v>
      </c>
      <c r="U78" s="21">
        <f t="shared" ca="1" si="42"/>
        <v>4.8406621710044577</v>
      </c>
      <c r="V78" s="21">
        <f t="shared" ca="1" si="43"/>
        <v>5.1542197374145839</v>
      </c>
      <c r="W78" s="21">
        <f t="shared" ca="1" si="44"/>
        <v>5.409195098749616</v>
      </c>
      <c r="X78" s="21">
        <f t="shared" ca="1" si="45"/>
        <v>6.1132312287522863</v>
      </c>
      <c r="Y78" s="21">
        <f t="shared" ca="1" si="46"/>
        <v>6.5496881227995303</v>
      </c>
      <c r="Z78" s="21">
        <f t="shared" ca="1" si="47"/>
        <v>6.8433430913340541</v>
      </c>
      <c r="AA78" s="21" t="e">
        <f t="shared" ca="1" si="48"/>
        <v>#NUM!</v>
      </c>
      <c r="AB78" s="21" t="e">
        <f t="shared" ca="1" si="49"/>
        <v>#NUM!</v>
      </c>
      <c r="AC78" cm="1">
        <f t="array" aca="1" ref="AC78" ca="1">IF( AND($D$7,NOT(ISBLANK($D78))), IF(_xll.IMDP("IR", $D78, AC$8, Matrix!$D$6)=0,"",_xll.IMDP("IR", $D78, AC$8, Matrix!$D$6)), "")</f>
        <v>3.8540000000000001</v>
      </c>
      <c r="AD78" cm="1">
        <f t="array" aca="1" ref="AD78" ca="1">IF( AND($D$7,NOT(ISBLANK($D78))), IF(_xll.IMDP("IR", $D78, AD$8, Matrix!$D$6)=0,"",_xll.IMDP("IR", $D78, AD$8, Matrix!$D$6)), "")</f>
        <v>4.0229999999999997</v>
      </c>
      <c r="AE78" cm="1">
        <f t="array" aca="1" ref="AE78" ca="1">IF( AND($D$7,NOT(ISBLANK($D78))), IF(_xll.IMDP("IR", $D78, AE$8, Matrix!$D$6)=0,"",_xll.IMDP("IR", $D78, AE$8, Matrix!$D$6)), "")</f>
        <v>4.0810000000000004</v>
      </c>
      <c r="AF78" cm="1">
        <f t="array" aca="1" ref="AF78" ca="1">IF( AND($D$7,NOT(ISBLANK($D78))), IF(_xll.IMDP("IR", $D78, AF$8, Matrix!$D$6)=0,"",_xll.IMDP("IR", $D78, AF$8, Matrix!$D$6)), "")</f>
        <v>4.0960000000000001</v>
      </c>
      <c r="AG78" cm="1">
        <f t="array" aca="1" ref="AG78" ca="1">IF( AND($D$7,NOT(ISBLANK($D78))), IF(_xll.IMDP("IR", $D78, AG$8, Matrix!$D$6)=0,"",_xll.IMDP("IR", $D78, AG$8, Matrix!$D$6)), "")</f>
        <v>4.1580000000000004</v>
      </c>
      <c r="AH78" cm="1">
        <f t="array" aca="1" ref="AH78" ca="1">IF( AND($D$7,NOT(ISBLANK($D78))), IF(_xll.IMDP("IR", $D78, AH$8, Matrix!$D$6)=0,"",_xll.IMDP("IR", $D78, AH$8, Matrix!$D$6)), "")</f>
        <v>4.2160000000000002</v>
      </c>
      <c r="AI78" cm="1">
        <f t="array" aca="1" ref="AI78" ca="1">IF( AND($D$7,NOT(ISBLANK($D78))), IF(_xll.IMDP("IR", $D78, AI$8, Matrix!$D$6)=0,"",_xll.IMDP("IR", $D78, AI$8, Matrix!$D$6)), "")</f>
        <v>4.3979999999999997</v>
      </c>
      <c r="AJ78" cm="1">
        <f t="array" aca="1" ref="AJ78" ca="1">IF( AND($D$7,NOT(ISBLANK($D78))), IF(_xll.IMDP("IR", $D78, AJ$8, Matrix!$D$6)=0,"",_xll.IMDP("IR", $D78, AJ$8, Matrix!$D$6)), "")</f>
        <v>4.5060000000000002</v>
      </c>
      <c r="AK78" cm="1">
        <f t="array" aca="1" ref="AK78" ca="1">IF( AND($D$7,NOT(ISBLANK($D78))), IF(_xll.IMDP("IR", $D78, AK$8, Matrix!$D$6)=0,"",_xll.IMDP("IR", $D78, AK$8, Matrix!$D$6)), "")</f>
        <v>4.8879999999999999</v>
      </c>
      <c r="AL78" cm="1">
        <f t="array" aca="1" ref="AL78" ca="1">IF( AND($D$7,NOT(ISBLANK($D78))), IF(_xll.IMDP("IR", $D78, AL$8, Matrix!$D$6)=0,"",_xll.IMDP("IR", $D78, AL$8, Matrix!$D$6)), "")</f>
        <v>5.1239999999999997</v>
      </c>
      <c r="AM78" cm="1">
        <f t="array" aca="1" ref="AM78" ca="1">IF( AND($D$7,NOT(ISBLANK($D78))), IF(_xll.IMDP("IR", $D78, AM$8, Matrix!$D$6)=0,"",_xll.IMDP("IR", $D78, AM$8, Matrix!$D$6)), "")</f>
        <v>5.3719999999999999</v>
      </c>
      <c r="AN78" cm="1">
        <f t="array" aca="1" ref="AN78" ca="1">IF( AND($D$7,NOT(ISBLANK($D78))), IF(_xll.IMDP("IR", $D78, AN$8, Matrix!$D$6)=0,"",_xll.IMDP("IR", $D78, AN$8, Matrix!$D$6)), "")</f>
        <v>6.0990000000000002</v>
      </c>
      <c r="AO78" cm="1">
        <f t="array" aca="1" ref="AO78" ca="1">IF( AND($D$7,NOT(ISBLANK($D78))), IF(_xll.IMDP("IR", $D78, AO$8, Matrix!$D$6)=0,"",_xll.IMDP("IR", $D78, AO$8, Matrix!$D$6)), "")</f>
        <v>6.5170000000000003</v>
      </c>
      <c r="AP78" cm="1">
        <f t="array" aca="1" ref="AP78" ca="1">IF( AND($D$7,NOT(ISBLANK($D78))), IF(_xll.IMDP("IR", $D78, AP$8, Matrix!$D$6)=0,"",_xll.IMDP("IR", $D78, AP$8, Matrix!$D$6)), "")</f>
        <v>6.9180000000000001</v>
      </c>
      <c r="AQ78" t="str" cm="1">
        <f t="array" aca="1" ref="AQ78" ca="1">IF( AND($D$7,NOT(ISBLANK($D78))), IF(_xll.IMDP("IR", $D78, AQ$8, Matrix!$D$6)=0,"",_xll.IMDP("IR", $D78, AQ$8, Matrix!$D$6)), "")</f>
        <v/>
      </c>
      <c r="AR78" t="str" cm="1">
        <f t="array" aca="1" ref="AR78" ca="1">IF( AND($D$7,NOT(ISBLANK($D78))), IF(_xll.IMDP("IR", $D78, AR$8, Matrix!$D$6)=0,"",_xll.IMDP("IR", $D78, AR$8, Matrix!$D$6)), "")</f>
        <v/>
      </c>
      <c r="AS78" cm="1">
        <f t="array" aca="1" ref="AS78" ca="1">IF( AND($E$7,NOT(ISBLANK($E78))), IF( _xll.IMDP("IR", $E78, AS$8, Matrix!$D$6)=0,"",_xll.IMDP("IR", $E78, AS$8, Matrix!$D$6)), "")</f>
        <v>3.8519999999999999</v>
      </c>
      <c r="AT78" cm="1">
        <f t="array" aca="1" ref="AT78" ca="1">IF( AND($E$7,NOT(ISBLANK($E78))), IF( _xll.IMDP("IR", $E78, AT$8, Matrix!$D$6)=0,"",_xll.IMDP("IR", $E78, AT$8, Matrix!$D$6)), "")</f>
        <v>3.964</v>
      </c>
      <c r="AU78" cm="1">
        <f t="array" aca="1" ref="AU78" ca="1">IF( AND($E$7,NOT(ISBLANK($E78))), IF( _xll.IMDP("IR", $E78, AU$8, Matrix!$D$6)=0,"",_xll.IMDP("IR", $E78, AU$8, Matrix!$D$6)), "")</f>
        <v>3.9980000000000002</v>
      </c>
      <c r="AV78" cm="1">
        <f t="array" aca="1" ref="AV78" ca="1">IF( AND($E$7,NOT(ISBLANK($E78))), IF( _xll.IMDP("IR", $E78, AV$8, Matrix!$D$6)=0,"",_xll.IMDP("IR", $E78, AV$8, Matrix!$D$6)), "")</f>
        <v>4.0250000000000004</v>
      </c>
      <c r="AW78" cm="1">
        <f t="array" aca="1" ref="AW78" ca="1">IF( AND($E$7,NOT(ISBLANK($E78))), IF( _xll.IMDP("IR", $E78, AW$8, Matrix!$D$6)=0,"",_xll.IMDP("IR", $E78, AW$8, Matrix!$D$6)), "")</f>
        <v>4.1280000000000001</v>
      </c>
      <c r="AX78" cm="1">
        <f t="array" aca="1" ref="AX78" ca="1">IF( AND($E$7,NOT(ISBLANK($E78))), IF( _xll.IMDP("IR", $E78, AX$8, Matrix!$D$6)=0,"",_xll.IMDP("IR", $E78, AX$8, Matrix!$D$6)), "")</f>
        <v>4.2069999999999999</v>
      </c>
      <c r="AY78" cm="1">
        <f t="array" aca="1" ref="AY78" ca="1">IF( AND($E$7,NOT(ISBLANK($E78))), IF( _xll.IMDP("IR", $E78, AY$8, Matrix!$D$6)=0,"",_xll.IMDP("IR", $E78, AY$8, Matrix!$D$6)), "")</f>
        <v>4.3150000000000004</v>
      </c>
      <c r="AZ78" cm="1">
        <f t="array" aca="1" ref="AZ78" ca="1">IF( AND($E$7,NOT(ISBLANK($E78))), IF( _xll.IMDP("IR", $E78, AZ$8, Matrix!$D$6)=0,"",_xll.IMDP("IR", $E78, AZ$8, Matrix!$D$6)), "")</f>
        <v>4.4530000000000003</v>
      </c>
      <c r="BA78" cm="1">
        <f t="array" aca="1" ref="BA78" ca="1">IF( AND($E$7,NOT(ISBLANK($E78))), IF( _xll.IMDP("IR", $E78, BA$8, Matrix!$D$6)=0,"",_xll.IMDP("IR", $E78, BA$8, Matrix!$D$6)), "")</f>
        <v>4.8079999999999998</v>
      </c>
      <c r="BB78" cm="1">
        <f t="array" aca="1" ref="BB78" ca="1">IF( AND($E$7,NOT(ISBLANK($E78))), IF( _xll.IMDP("IR", $E78, BB$8, Matrix!$D$6)=0,"",_xll.IMDP("IR", $E78, BB$8, Matrix!$D$6)), "")</f>
        <v>5.1609999999999996</v>
      </c>
      <c r="BC78" cm="1">
        <f t="array" aca="1" ref="BC78" ca="1">IF( AND($E$7,NOT(ISBLANK($E78))), IF( _xll.IMDP("IR", $E78, BC$8, Matrix!$D$6)=0,"",_xll.IMDP("IR", $E78, BC$8, Matrix!$D$6)), "")</f>
        <v>5.4189999999999996</v>
      </c>
      <c r="BD78" cm="1">
        <f t="array" aca="1" ref="BD78" ca="1">IF( AND($E$7,NOT(ISBLANK($E78))), IF( _xll.IMDP("IR", $E78, BD$8, Matrix!$D$6)=0,"",_xll.IMDP("IR", $E78, BD$8, Matrix!$D$6)), "")</f>
        <v>6.1360000000000001</v>
      </c>
      <c r="BE78" cm="1">
        <f t="array" aca="1" ref="BE78" ca="1">IF( AND($E$7,NOT(ISBLANK($E78))), IF( _xll.IMDP("IR", $E78, BE$8, Matrix!$D$6)=0,"",_xll.IMDP("IR", $E78, BE$8, Matrix!$D$6)), "")</f>
        <v>6.585</v>
      </c>
      <c r="BF78" cm="1">
        <f t="array" aca="1" ref="BF78" ca="1">IF( AND($E$7,NOT(ISBLANK($E78))), IF( _xll.IMDP("IR", $E78, BF$8, Matrix!$D$6)=0,"",_xll.IMDP("IR", $E78, BF$8, Matrix!$D$6)), "")</f>
        <v>6.9180000000000001</v>
      </c>
      <c r="BG78" t="str" cm="1">
        <f t="array" aca="1" ref="BG78" ca="1">IF( AND($E$7,NOT(ISBLANK($E78))), IF( _xll.IMDP("IR", $E78, BG$8, Matrix!$D$6)=0,"",_xll.IMDP("IR", $E78, BG$8, Matrix!$D$6)), "")</f>
        <v/>
      </c>
      <c r="BH78" t="str" cm="1">
        <f t="array" aca="1" ref="BH78" ca="1">IF( AND($E$7,NOT(ISBLANK($E78))), IF( _xll.IMDP("IR", $E78, BH$8, Matrix!$D$6)=0,"",_xll.IMDP("IR", $E78, BH$8, Matrix!$D$6)), "")</f>
        <v/>
      </c>
      <c r="BI78" cm="1">
        <f t="array" aca="1" ref="BI78" ca="1">IF( AND($F$7,NOT(ISBLANK($F78))), IF( _xll.IMDP("IR", $F78, BI$8, Matrix!$D$6)=0,"",_xll.IMDP("IR", $F78, BI$8, Matrix!$D$6)), "")</f>
        <v>3.851</v>
      </c>
      <c r="BJ78" cm="1">
        <f t="array" aca="1" ref="BJ78" ca="1">IF( AND($F$7,NOT(ISBLANK($F78))), IF( _xll.IMDP("IR", $F78, BJ$8, Matrix!$D$6)=0,"",_xll.IMDP("IR", $F78, BJ$8, Matrix!$D$6)), "")</f>
        <v>3.9740000000000002</v>
      </c>
      <c r="BK78" cm="1">
        <f t="array" aca="1" ref="BK78" ca="1">IF( AND($F$7,NOT(ISBLANK($F78))), IF( _xll.IMDP("IR", $F78, BK$8, Matrix!$D$6)=0,"",_xll.IMDP("IR", $F78, BK$8, Matrix!$D$6)), "")</f>
        <v>4.0069999999999997</v>
      </c>
      <c r="BL78" cm="1">
        <f t="array" aca="1" ref="BL78" ca="1">IF( AND($F$7,NOT(ISBLANK($F78))), IF( _xll.IMDP("IR", $F78, BL$8, Matrix!$D$6)=0,"",_xll.IMDP("IR", $F78, BL$8, Matrix!$D$6)), "")</f>
        <v>4.08</v>
      </c>
      <c r="BM78" cm="1">
        <f t="array" aca="1" ref="BM78" ca="1">IF( AND($F$7,NOT(ISBLANK($F78))), IF( _xll.IMDP("IR", $F78, BM$8, Matrix!$D$6)=0,"",_xll.IMDP("IR", $F78, BM$8, Matrix!$D$6)), "")</f>
        <v>4.1840000000000002</v>
      </c>
      <c r="BN78" cm="1">
        <f t="array" aca="1" ref="BN78" ca="1">IF( AND($F$7,NOT(ISBLANK($F78))), IF( _xll.IMDP("IR", $F78, BN$8, Matrix!$D$6)=0,"",_xll.IMDP("IR", $F78, BN$8, Matrix!$D$6)), "")</f>
        <v>4.25</v>
      </c>
      <c r="BO78" cm="1">
        <f t="array" aca="1" ref="BO78" ca="1">IF( AND($F$7,NOT(ISBLANK($F78))), IF( _xll.IMDP("IR", $F78, BO$8, Matrix!$D$6)=0,"",_xll.IMDP("IR", $F78, BO$8, Matrix!$D$6)), "")</f>
        <v>4.3220000000000001</v>
      </c>
      <c r="BP78" cm="1">
        <f t="array" aca="1" ref="BP78" ca="1">IF( AND($F$7,NOT(ISBLANK($F78))), IF( _xll.IMDP("IR", $F78, BP$8, Matrix!$D$6)=0,"",_xll.IMDP("IR", $F78, BP$8, Matrix!$D$6)), "")</f>
        <v>4.4649999999999999</v>
      </c>
      <c r="BQ78" cm="1">
        <f t="array" aca="1" ref="BQ78" ca="1">IF( AND($F$7,NOT(ISBLANK($F78))), IF( _xll.IMDP("IR", $F78, BQ$8, Matrix!$D$6)=0,"",_xll.IMDP("IR", $F78, BQ$8, Matrix!$D$6)), "")</f>
        <v>4.8330000000000002</v>
      </c>
      <c r="BR78" cm="1">
        <f t="array" aca="1" ref="BR78" ca="1">IF( AND($F$7,NOT(ISBLANK($F78))), IF( _xll.IMDP("IR", $F78, BR$8, Matrix!$D$6)=0,"",_xll.IMDP("IR", $F78, BR$8, Matrix!$D$6)), "")</f>
        <v>5.1680000000000001</v>
      </c>
      <c r="BS78" cm="1">
        <f t="array" aca="1" ref="BS78" ca="1">IF( AND($F$7,NOT(ISBLANK($F78))), IF( _xll.IMDP("IR", $F78, BS$8, Matrix!$D$6)=0,"",_xll.IMDP("IR", $F78, BS$8, Matrix!$D$6)), "")</f>
        <v>5.4390000000000001</v>
      </c>
      <c r="BT78" cm="1">
        <f t="array" aca="1" ref="BT78" ca="1">IF( AND($F$7,NOT(ISBLANK($F78))), IF( _xll.IMDP("IR", $F78, BT$8, Matrix!$D$6)=0,"",_xll.IMDP("IR", $F78, BT$8, Matrix!$D$6)), "")</f>
        <v>6.1180000000000003</v>
      </c>
      <c r="BU78" cm="1">
        <f t="array" aca="1" ref="BU78" ca="1">IF( AND($F$7,NOT(ISBLANK($F78))), IF( _xll.IMDP("IR", $F78, BU$8, Matrix!$D$6)=0,"",_xll.IMDP("IR", $F78, BU$8, Matrix!$D$6)), "")</f>
        <v>6.5270000000000001</v>
      </c>
      <c r="BV78" cm="1">
        <f t="array" aca="1" ref="BV78" ca="1">IF( AND($F$7,NOT(ISBLANK($F78))), IF( _xll.IMDP("IR", $F78, BV$8, Matrix!$D$6)=0,"",_xll.IMDP("IR", $F78, BV$8, Matrix!$D$6)), "")</f>
        <v>6.7590000000000003</v>
      </c>
      <c r="BW78" t="str" cm="1">
        <f t="array" aca="1" ref="BW78" ca="1">IF( AND($F$7,NOT(ISBLANK($F78))), IF( _xll.IMDP("IR", $F78, BW$8, Matrix!$D$6)=0,"",_xll.IMDP("IR", $F78, BW$8, Matrix!$D$6)), "")</f>
        <v/>
      </c>
      <c r="BX78" t="str" cm="1">
        <f t="array" aca="1" ref="BX78" ca="1">IF( AND($F$7,NOT(ISBLANK($F78))), IF( _xll.IMDP("IR", $F78, BX$8, Matrix!$D$6)=0,"",_xll.IMDP("IR", $F78, BX$8, Matrix!$D$6)), "")</f>
        <v/>
      </c>
      <c r="BY78" cm="1">
        <f t="array" aca="1" ref="BY78" ca="1">IF( AND($G$7,NOT(ISBLANK($G78))), IF( _xll.IMDP("IR", $G78, BY$8, Matrix!$D$6)=0, "", _xll.IMDP("IR", $G78, BY$8, Matrix!$D$6)), "")</f>
        <v>3.8769999999999998</v>
      </c>
      <c r="BZ78" cm="1">
        <f t="array" aca="1" ref="BZ78" ca="1">IF( AND($G$7,NOT(ISBLANK($G78))), IF( _xll.IMDP("IR", $G78, BZ$8, Matrix!$D$6)=0, "", _xll.IMDP("IR", $G78, BZ$8, Matrix!$D$6)), "")</f>
        <v>3.9950000000000001</v>
      </c>
      <c r="CA78" cm="1">
        <f t="array" aca="1" ref="CA78" ca="1">IF( AND($G$7,NOT(ISBLANK($G78))), IF( _xll.IMDP("IR", $G78, CA$8, Matrix!$D$6)=0, "", _xll.IMDP("IR", $G78, CA$8, Matrix!$D$6)), "")</f>
        <v>4.0330000000000004</v>
      </c>
      <c r="CB78" cm="1">
        <f t="array" aca="1" ref="CB78" ca="1">IF( AND($G$7,NOT(ISBLANK($G78))), IF( _xll.IMDP("IR", $G78, CB$8, Matrix!$D$6)=0, "", _xll.IMDP("IR", $G78, CB$8, Matrix!$D$6)), "")</f>
        <v>4.0620000000000003</v>
      </c>
      <c r="CC78" cm="1">
        <f t="array" aca="1" ref="CC78" ca="1">IF( AND($G$7,NOT(ISBLANK($G78))), IF( _xll.IMDP("IR", $G78, CC$8, Matrix!$D$6)=0, "", _xll.IMDP("IR", $G78, CC$8, Matrix!$D$6)), "")</f>
        <v>4.1379999999999999</v>
      </c>
      <c r="CD78" cm="1">
        <f t="array" aca="1" ref="CD78" ca="1">IF( AND($G$7,NOT(ISBLANK($G78))), IF( _xll.IMDP("IR", $G78, CD$8, Matrix!$D$6)=0, "", _xll.IMDP("IR", $G78, CD$8, Matrix!$D$6)), "")</f>
        <v>4.226</v>
      </c>
      <c r="CE78" cm="1">
        <f t="array" aca="1" ref="CE78" ca="1">IF( AND($G$7,NOT(ISBLANK($G78))), IF( _xll.IMDP("IR", $G78, CE$8, Matrix!$D$6)=0, "", _xll.IMDP("IR", $G78, CE$8, Matrix!$D$6)), "")</f>
        <v>4.3410000000000002</v>
      </c>
      <c r="CF78" cm="1">
        <f t="array" aca="1" ref="CF78" ca="1">IF( AND($G$7,NOT(ISBLANK($G78))), IF( _xll.IMDP("IR", $G78, CF$8, Matrix!$D$6)=0, "", _xll.IMDP("IR", $G78, CF$8, Matrix!$D$6)), "")</f>
        <v>4.4889999999999999</v>
      </c>
      <c r="CG78" cm="1">
        <f t="array" aca="1" ref="CG78" ca="1">IF( AND($G$7,NOT(ISBLANK($G78))), IF( _xll.IMDP("IR", $G78, CG$8, Matrix!$D$6)=0, "", _xll.IMDP("IR", $G78, CG$8, Matrix!$D$6)), "")</f>
        <v>4.8339999999999996</v>
      </c>
      <c r="CH78" cm="1">
        <f t="array" aca="1" ref="CH78" ca="1">IF( AND($G$7,NOT(ISBLANK($G78))), IF( _xll.IMDP("IR", $G78, CH$8, Matrix!$D$6)=0, "", _xll.IMDP("IR", $G78, CH$8, Matrix!$D$6)), "")</f>
        <v>5.1639999999999997</v>
      </c>
      <c r="CI78" cm="1">
        <f t="array" aca="1" ref="CI78" ca="1">IF( AND($G$7,NOT(ISBLANK($G78))), IF( _xll.IMDP("IR", $G78, CI$8, Matrix!$D$6)=0, "", _xll.IMDP("IR", $G78, CI$8, Matrix!$D$6)), "")</f>
        <v>5.407</v>
      </c>
      <c r="CJ78" cm="1">
        <f t="array" aca="1" ref="CJ78" ca="1">IF( AND($G$7,NOT(ISBLANK($G78))), IF( _xll.IMDP("IR", $G78, CJ$8, Matrix!$D$6)=0, "", _xll.IMDP("IR", $G78, CJ$8, Matrix!$D$6)), "")</f>
        <v>6.1</v>
      </c>
      <c r="CK78" cm="1">
        <f t="array" aca="1" ref="CK78" ca="1">IF( AND($G$7,NOT(ISBLANK($G78))), IF( _xll.IMDP("IR", $G78, CK$8, Matrix!$D$6)=0, "", _xll.IMDP("IR", $G78, CK$8, Matrix!$D$6)), "")</f>
        <v>6.57</v>
      </c>
      <c r="CL78" cm="1">
        <f t="array" aca="1" ref="CL78" ca="1">IF( AND($G$7,NOT(ISBLANK($G78))), IF( _xll.IMDP("IR", $G78, CL$8, Matrix!$D$6)=0, "", _xll.IMDP("IR", $G78, CL$8, Matrix!$D$6)), "")</f>
        <v>6.78</v>
      </c>
      <c r="CM78" t="str" cm="1">
        <f t="array" aca="1" ref="CM78" ca="1">IF( AND($G$7,NOT(ISBLANK($G78))), IF( _xll.IMDP("IR", $G78, CM$8, Matrix!$D$6)=0, "", _xll.IMDP("IR", $G78, CM$8, Matrix!$D$6)), "")</f>
        <v/>
      </c>
      <c r="CN78" t="str" cm="1">
        <f t="array" aca="1" ref="CN78" ca="1">IF( AND($G$7,NOT(ISBLANK($G78))), IF( _xll.IMDP("IR", $G78, CN$8, Matrix!$D$6)=0, "", _xll.IMDP("IR", $G78, CN$8, Matrix!$D$6)), "")</f>
        <v/>
      </c>
      <c r="CO78" t="str" cm="1">
        <f t="array" aca="1" ref="CO78" ca="1">IF( AND($H$7,NOT(ISBLANK($H78))), IF( _xll.IMDP("IR", $H78, CO$8, Matrix!$D$6)=0, "", _xll.IMDP("IR", $H78, CO$8, Matrix!$D$6)), "")</f>
        <v xml:space="preserve"> </v>
      </c>
      <c r="CP78" t="str" cm="1">
        <f t="array" aca="1" ref="CP78" ca="1">IF( AND($H$7,NOT(ISBLANK($H78))), IF( _xll.IMDP("IR", $H78, CP$8, Matrix!$D$6)=0, "", _xll.IMDP("IR", $H78, CP$8, Matrix!$D$6)), "")</f>
        <v xml:space="preserve"> </v>
      </c>
      <c r="CQ78" t="str" cm="1">
        <f t="array" aca="1" ref="CQ78" ca="1">IF( AND($H$7,NOT(ISBLANK($H78))), IF( _xll.IMDP("IR", $H78, CQ$8, Matrix!$D$6)=0, "", _xll.IMDP("IR", $H78, CQ$8, Matrix!$D$6)), "")</f>
        <v xml:space="preserve"> </v>
      </c>
      <c r="CR78" t="str" cm="1">
        <f t="array" aca="1" ref="CR78" ca="1">IF( AND($H$7,NOT(ISBLANK($H78))), IF( _xll.IMDP("IR", $H78, CR$8, Matrix!$D$6)=0, "", _xll.IMDP("IR", $H78, CR$8, Matrix!$D$6)), "")</f>
        <v xml:space="preserve"> </v>
      </c>
      <c r="CS78" t="str" cm="1">
        <f t="array" aca="1" ref="CS78" ca="1">IF( AND($H$7,NOT(ISBLANK($H78))), IF( _xll.IMDP("IR", $H78, CS$8, Matrix!$D$6)=0, "", _xll.IMDP("IR", $H78, CS$8, Matrix!$D$6)), "")</f>
        <v xml:space="preserve"> </v>
      </c>
      <c r="CT78" t="str" cm="1">
        <f t="array" aca="1" ref="CT78" ca="1">IF( AND($H$7,NOT(ISBLANK($H78))), IF( _xll.IMDP("IR", $H78, CT$8, Matrix!$D$6)=0, "", _xll.IMDP("IR", $H78, CT$8, Matrix!$D$6)), "")</f>
        <v xml:space="preserve"> </v>
      </c>
      <c r="CU78" t="str" cm="1">
        <f t="array" aca="1" ref="CU78" ca="1">IF( AND($H$7,NOT(ISBLANK($H78))), IF( _xll.IMDP("IR", $H78, CU$8, Matrix!$D$6)=0, "", _xll.IMDP("IR", $H78, CU$8, Matrix!$D$6)), "")</f>
        <v xml:space="preserve"> </v>
      </c>
      <c r="CV78" t="str" cm="1">
        <f t="array" aca="1" ref="CV78" ca="1">IF( AND($H$7,NOT(ISBLANK($H78))), IF( _xll.IMDP("IR", $H78, CV$8, Matrix!$D$6)=0, "", _xll.IMDP("IR", $H78, CV$8, Matrix!$D$6)), "")</f>
        <v xml:space="preserve"> </v>
      </c>
      <c r="CW78" t="str" cm="1">
        <f t="array" aca="1" ref="CW78" ca="1">IF( AND($H$7,NOT(ISBLANK($H78))), IF( _xll.IMDP("IR", $H78, CW$8, Matrix!$D$6)=0, "", _xll.IMDP("IR", $H78, CW$8, Matrix!$D$6)), "")</f>
        <v xml:space="preserve"> </v>
      </c>
      <c r="CX78" t="str" cm="1">
        <f t="array" aca="1" ref="CX78" ca="1">IF( AND($H$7,NOT(ISBLANK($H78))), IF( _xll.IMDP("IR", $H78, CX$8, Matrix!$D$6)=0, "", _xll.IMDP("IR", $H78, CX$8, Matrix!$D$6)), "")</f>
        <v xml:space="preserve"> </v>
      </c>
      <c r="CY78" t="str" cm="1">
        <f t="array" aca="1" ref="CY78" ca="1">IF( AND($H$7,NOT(ISBLANK($H78))), IF( _xll.IMDP("IR", $H78, CY$8, Matrix!$D$6)=0, "", _xll.IMDP("IR", $H78, CY$8, Matrix!$D$6)), "")</f>
        <v xml:space="preserve"> </v>
      </c>
      <c r="CZ78" t="str" cm="1">
        <f t="array" aca="1" ref="CZ78" ca="1">IF( AND($H$7,NOT(ISBLANK($H78))), IF( _xll.IMDP("IR", $H78, CZ$8, Matrix!$D$6)=0, "", _xll.IMDP("IR", $H78, CZ$8, Matrix!$D$6)), "")</f>
        <v xml:space="preserve"> </v>
      </c>
      <c r="DA78" t="str" cm="1">
        <f t="array" aca="1" ref="DA78" ca="1">IF( AND($H$7,NOT(ISBLANK($H78))), IF( _xll.IMDP("IR", $H78, DA$8, Matrix!$D$6)=0, "", _xll.IMDP("IR", $H78, DA$8, Matrix!$D$6)), "")</f>
        <v/>
      </c>
      <c r="DB78" t="str" cm="1">
        <f t="array" aca="1" ref="DB78" ca="1">IF( AND($H$7,NOT(ISBLANK($H78))), IF( _xll.IMDP("IR", $H78, DB$8, Matrix!$D$6)=0, "", _xll.IMDP("IR", $H78, DB$8, Matrix!$D$6)), "")</f>
        <v xml:space="preserve"> </v>
      </c>
      <c r="DC78" t="str" cm="1">
        <f t="array" aca="1" ref="DC78" ca="1">IF( AND($H$7,NOT(ISBLANK($H78))), IF( _xll.IMDP("IR", $H78, DC$8, Matrix!$D$6)=0, "", _xll.IMDP("IR", $H78, DC$8, Matrix!$D$6)), "")</f>
        <v xml:space="preserve"> </v>
      </c>
      <c r="DD78" t="str" cm="1">
        <f t="array" aca="1" ref="DD78" ca="1">IF( AND($H$7,NOT(ISBLANK($H78))), IF( _xll.IMDP("IR", $H78, DD$8, Matrix!$D$6)=0, "", _xll.IMDP("IR", $H78, DD$8, Matrix!$D$6)), "")</f>
        <v/>
      </c>
    </row>
    <row r="79" spans="2:108">
      <c r="B79" t="s">
        <v>147</v>
      </c>
      <c r="C79" t="s">
        <v>221</v>
      </c>
      <c r="D79" t="s">
        <v>286</v>
      </c>
      <c r="E79" t="s">
        <v>347</v>
      </c>
      <c r="F79" t="s">
        <v>417</v>
      </c>
      <c r="G79" t="s">
        <v>480</v>
      </c>
      <c r="H79" t="s">
        <v>525</v>
      </c>
      <c r="M79" s="21">
        <f t="shared" ca="1" si="34"/>
        <v>4.1157064601472966</v>
      </c>
      <c r="N79" s="21">
        <f t="shared" ca="1" si="35"/>
        <v>4.2610873165716576</v>
      </c>
      <c r="O79" s="21">
        <f t="shared" ca="1" si="36"/>
        <v>4.3299573459227982</v>
      </c>
      <c r="P79" s="21">
        <f t="shared" ca="1" si="37"/>
        <v>4.3739575209473571</v>
      </c>
      <c r="Q79" s="21">
        <f t="shared" ca="1" si="38"/>
        <v>4.4825664046714744</v>
      </c>
      <c r="R79" s="21">
        <f t="shared" ca="1" si="39"/>
        <v>4.5846950365459529</v>
      </c>
      <c r="S79" s="21">
        <f t="shared" ca="1" si="40"/>
        <v>4.7646453760587484</v>
      </c>
      <c r="T79" s="21">
        <f t="shared" ca="1" si="41"/>
        <v>4.9563415966332496</v>
      </c>
      <c r="U79" s="21">
        <f t="shared" ca="1" si="42"/>
        <v>5.3649102022548103</v>
      </c>
      <c r="V79" s="21">
        <f t="shared" ca="1" si="43"/>
        <v>5.7806959368112114</v>
      </c>
      <c r="W79" s="21">
        <f t="shared" ca="1" si="44"/>
        <v>5.9773802696771678</v>
      </c>
      <c r="X79" s="21">
        <f t="shared" ca="1" si="45"/>
        <v>6.6494462019738361</v>
      </c>
      <c r="Y79" s="21">
        <f t="shared" ca="1" si="46"/>
        <v>7.0727158391519751</v>
      </c>
      <c r="Z79" s="21">
        <f t="shared" ca="1" si="47"/>
        <v>7.427106809335843</v>
      </c>
      <c r="AA79" s="21" t="e">
        <f t="shared" ca="1" si="48"/>
        <v>#NUM!</v>
      </c>
      <c r="AB79" s="21" t="e">
        <f t="shared" ca="1" si="49"/>
        <v>#NUM!</v>
      </c>
      <c r="AC79" cm="1">
        <f t="array" aca="1" ref="AC79" ca="1">IF( AND($D$7,NOT(ISBLANK($D79))), IF(_xll.IMDP("IR", $D79, AC$8, Matrix!$D$6)=0,"",_xll.IMDP("IR", $D79, AC$8, Matrix!$D$6)), "")</f>
        <v>4.1440000000000001</v>
      </c>
      <c r="AD79" cm="1">
        <f t="array" aca="1" ref="AD79" ca="1">IF( AND($D$7,NOT(ISBLANK($D79))), IF(_xll.IMDP("IR", $D79, AD$8, Matrix!$D$6)=0,"",_xll.IMDP("IR", $D79, AD$8, Matrix!$D$6)), "")</f>
        <v>4.3179999999999996</v>
      </c>
      <c r="AE79" cm="1">
        <f t="array" aca="1" ref="AE79" ca="1">IF( AND($D$7,NOT(ISBLANK($D79))), IF(_xll.IMDP("IR", $D79, AE$8, Matrix!$D$6)=0,"",_xll.IMDP("IR", $D79, AE$8, Matrix!$D$6)), "")</f>
        <v>4.4130000000000003</v>
      </c>
      <c r="AF79" cm="1">
        <f t="array" aca="1" ref="AF79" ca="1">IF( AND($D$7,NOT(ISBLANK($D79))), IF(_xll.IMDP("IR", $D79, AF$8, Matrix!$D$6)=0,"",_xll.IMDP("IR", $D79, AF$8, Matrix!$D$6)), "")</f>
        <v>4.444</v>
      </c>
      <c r="AG79" cm="1">
        <f t="array" aca="1" ref="AG79" ca="1">IF( AND($D$7,NOT(ISBLANK($D79))), IF(_xll.IMDP("IR", $D79, AG$8, Matrix!$D$6)=0,"",_xll.IMDP("IR", $D79, AG$8, Matrix!$D$6)), "")</f>
        <v>4.5199999999999996</v>
      </c>
      <c r="AH79" cm="1">
        <f t="array" aca="1" ref="AH79" ca="1">IF( AND($D$7,NOT(ISBLANK($D79))), IF(_xll.IMDP("IR", $D79, AH$8, Matrix!$D$6)=0,"",_xll.IMDP("IR", $D79, AH$8, Matrix!$D$6)), "")</f>
        <v>4.585</v>
      </c>
      <c r="AI79" cm="1">
        <f t="array" aca="1" ref="AI79" ca="1">IF( AND($D$7,NOT(ISBLANK($D79))), IF(_xll.IMDP("IR", $D79, AI$8, Matrix!$D$6)=0,"",_xll.IMDP("IR", $D79, AI$8, Matrix!$D$6)), "")</f>
        <v>4.8079999999999998</v>
      </c>
      <c r="AJ79" cm="1">
        <f t="array" aca="1" ref="AJ79" ca="1">IF( AND($D$7,NOT(ISBLANK($D79))), IF(_xll.IMDP("IR", $D79, AJ$8, Matrix!$D$6)=0,"",_xll.IMDP("IR", $D79, AJ$8, Matrix!$D$6)), "")</f>
        <v>5.01</v>
      </c>
      <c r="AK79" cm="1">
        <f t="array" aca="1" ref="AK79" ca="1">IF( AND($D$7,NOT(ISBLANK($D79))), IF(_xll.IMDP("IR", $D79, AK$8, Matrix!$D$6)=0,"",_xll.IMDP("IR", $D79, AK$8, Matrix!$D$6)), "")</f>
        <v>5.35</v>
      </c>
      <c r="AL79" cm="1">
        <f t="array" aca="1" ref="AL79" ca="1">IF( AND($D$7,NOT(ISBLANK($D79))), IF(_xll.IMDP("IR", $D79, AL$8, Matrix!$D$6)=0,"",_xll.IMDP("IR", $D79, AL$8, Matrix!$D$6)), "")</f>
        <v>5.7009999999999996</v>
      </c>
      <c r="AM79" cm="1">
        <f t="array" aca="1" ref="AM79" ca="1">IF( AND($D$7,NOT(ISBLANK($D79))), IF(_xll.IMDP("IR", $D79, AM$8, Matrix!$D$6)=0,"",_xll.IMDP("IR", $D79, AM$8, Matrix!$D$6)), "")</f>
        <v>5.9210000000000003</v>
      </c>
      <c r="AN79" cm="1">
        <f t="array" aca="1" ref="AN79" ca="1">IF( AND($D$7,NOT(ISBLANK($D79))), IF(_xll.IMDP("IR", $D79, AN$8, Matrix!$D$6)=0,"",_xll.IMDP("IR", $D79, AN$8, Matrix!$D$6)), "")</f>
        <v>6.609</v>
      </c>
      <c r="AO79" cm="1">
        <f t="array" aca="1" ref="AO79" ca="1">IF( AND($D$7,NOT(ISBLANK($D79))), IF(_xll.IMDP("IR", $D79, AO$8, Matrix!$D$6)=0,"",_xll.IMDP("IR", $D79, AO$8, Matrix!$D$6)), "")</f>
        <v>7.0419999999999998</v>
      </c>
      <c r="AP79" cm="1">
        <f t="array" aca="1" ref="AP79" ca="1">IF( AND($D$7,NOT(ISBLANK($D79))), IF(_xll.IMDP("IR", $D79, AP$8, Matrix!$D$6)=0,"",_xll.IMDP("IR", $D79, AP$8, Matrix!$D$6)), "")</f>
        <v>7.5259999999999998</v>
      </c>
      <c r="AQ79" t="str" cm="1">
        <f t="array" aca="1" ref="AQ79" ca="1">IF( AND($D$7,NOT(ISBLANK($D79))), IF(_xll.IMDP("IR", $D79, AQ$8, Matrix!$D$6)=0,"",_xll.IMDP("IR", $D79, AQ$8, Matrix!$D$6)), "")</f>
        <v/>
      </c>
      <c r="AR79" t="str" cm="1">
        <f t="array" aca="1" ref="AR79" ca="1">IF( AND($D$7,NOT(ISBLANK($D79))), IF(_xll.IMDP("IR", $D79, AR$8, Matrix!$D$6)=0,"",_xll.IMDP("IR", $D79, AR$8, Matrix!$D$6)), "")</f>
        <v/>
      </c>
      <c r="AS79" cm="1">
        <f t="array" aca="1" ref="AS79" ca="1">IF( AND($E$7,NOT(ISBLANK($E79))), IF( _xll.IMDP("IR", $E79, AS$8, Matrix!$D$6)=0,"",_xll.IMDP("IR", $E79, AS$8, Matrix!$D$6)), "")</f>
        <v>4.0910000000000002</v>
      </c>
      <c r="AT79" cm="1">
        <f t="array" aca="1" ref="AT79" ca="1">IF( AND($E$7,NOT(ISBLANK($E79))), IF( _xll.IMDP("IR", $E79, AT$8, Matrix!$D$6)=0,"",_xll.IMDP("IR", $E79, AT$8, Matrix!$D$6)), "")</f>
        <v>4.2190000000000003</v>
      </c>
      <c r="AU79" cm="1">
        <f t="array" aca="1" ref="AU79" ca="1">IF( AND($E$7,NOT(ISBLANK($E79))), IF( _xll.IMDP("IR", $E79, AU$8, Matrix!$D$6)=0,"",_xll.IMDP("IR", $E79, AU$8, Matrix!$D$6)), "")</f>
        <v>4.2759999999999998</v>
      </c>
      <c r="AV79" cm="1">
        <f t="array" aca="1" ref="AV79" ca="1">IF( AND($E$7,NOT(ISBLANK($E79))), IF( _xll.IMDP("IR", $E79, AV$8, Matrix!$D$6)=0,"",_xll.IMDP("IR", $E79, AV$8, Matrix!$D$6)), "")</f>
        <v>4.3029999999999999</v>
      </c>
      <c r="AW79" cm="1">
        <f t="array" aca="1" ref="AW79" ca="1">IF( AND($E$7,NOT(ISBLANK($E79))), IF( _xll.IMDP("IR", $E79, AW$8, Matrix!$D$6)=0,"",_xll.IMDP("IR", $E79, AW$8, Matrix!$D$6)), "")</f>
        <v>4.4489999999999998</v>
      </c>
      <c r="AX79" cm="1">
        <f t="array" aca="1" ref="AX79" ca="1">IF( AND($E$7,NOT(ISBLANK($E79))), IF( _xll.IMDP("IR", $E79, AX$8, Matrix!$D$6)=0,"",_xll.IMDP("IR", $E79, AX$8, Matrix!$D$6)), "")</f>
        <v>4.5620000000000003</v>
      </c>
      <c r="AY79" cm="1">
        <f t="array" aca="1" ref="AY79" ca="1">IF( AND($E$7,NOT(ISBLANK($E79))), IF( _xll.IMDP("IR", $E79, AY$8, Matrix!$D$6)=0,"",_xll.IMDP("IR", $E79, AY$8, Matrix!$D$6)), "")</f>
        <v>4.72</v>
      </c>
      <c r="AZ79" cm="1">
        <f t="array" aca="1" ref="AZ79" ca="1">IF( AND($E$7,NOT(ISBLANK($E79))), IF( _xll.IMDP("IR", $E79, AZ$8, Matrix!$D$6)=0,"",_xll.IMDP("IR", $E79, AZ$8, Matrix!$D$6)), "")</f>
        <v>4.9080000000000004</v>
      </c>
      <c r="BA79" cm="1">
        <f t="array" aca="1" ref="BA79" ca="1">IF( AND($E$7,NOT(ISBLANK($E79))), IF( _xll.IMDP("IR", $E79, BA$8, Matrix!$D$6)=0,"",_xll.IMDP("IR", $E79, BA$8, Matrix!$D$6)), "")</f>
        <v>5.3330000000000002</v>
      </c>
      <c r="BB79" cm="1">
        <f t="array" aca="1" ref="BB79" ca="1">IF( AND($E$7,NOT(ISBLANK($E79))), IF( _xll.IMDP("IR", $E79, BB$8, Matrix!$D$6)=0,"",_xll.IMDP("IR", $E79, BB$8, Matrix!$D$6)), "")</f>
        <v>5.7709999999999999</v>
      </c>
      <c r="BC79" cm="1">
        <f t="array" aca="1" ref="BC79" ca="1">IF( AND($E$7,NOT(ISBLANK($E79))), IF( _xll.IMDP("IR", $E79, BC$8, Matrix!$D$6)=0,"",_xll.IMDP("IR", $E79, BC$8, Matrix!$D$6)), "")</f>
        <v>5.97</v>
      </c>
      <c r="BD79" cm="1">
        <f t="array" aca="1" ref="BD79" ca="1">IF( AND($E$7,NOT(ISBLANK($E79))), IF( _xll.IMDP("IR", $E79, BD$8, Matrix!$D$6)=0,"",_xll.IMDP("IR", $E79, BD$8, Matrix!$D$6)), "")</f>
        <v>6.6589999999999998</v>
      </c>
      <c r="BE79" cm="1">
        <f t="array" aca="1" ref="BE79" ca="1">IF( AND($E$7,NOT(ISBLANK($E79))), IF( _xll.IMDP("IR", $E79, BE$8, Matrix!$D$6)=0,"",_xll.IMDP("IR", $E79, BE$8, Matrix!$D$6)), "")</f>
        <v>7.1029999999999998</v>
      </c>
      <c r="BF79" cm="1">
        <f t="array" aca="1" ref="BF79" ca="1">IF( AND($E$7,NOT(ISBLANK($E79))), IF( _xll.IMDP("IR", $E79, BF$8, Matrix!$D$6)=0,"",_xll.IMDP("IR", $E79, BF$8, Matrix!$D$6)), "")</f>
        <v>7.4779999999999998</v>
      </c>
      <c r="BG79" t="str" cm="1">
        <f t="array" aca="1" ref="BG79" ca="1">IF( AND($E$7,NOT(ISBLANK($E79))), IF( _xll.IMDP("IR", $E79, BG$8, Matrix!$D$6)=0,"",_xll.IMDP("IR", $E79, BG$8, Matrix!$D$6)), "")</f>
        <v/>
      </c>
      <c r="BH79" t="str" cm="1">
        <f t="array" aca="1" ref="BH79" ca="1">IF( AND($E$7,NOT(ISBLANK($E79))), IF( _xll.IMDP("IR", $E79, BH$8, Matrix!$D$6)=0,"",_xll.IMDP("IR", $E79, BH$8, Matrix!$D$6)), "")</f>
        <v/>
      </c>
      <c r="BI79" cm="1">
        <f t="array" aca="1" ref="BI79" ca="1">IF( AND($F$7,NOT(ISBLANK($F79))), IF( _xll.IMDP("IR", $F79, BI$8, Matrix!$D$6)=0,"",_xll.IMDP("IR", $F79, BI$8, Matrix!$D$6)), "")</f>
        <v>4.1109999999999998</v>
      </c>
      <c r="BJ79" cm="1">
        <f t="array" aca="1" ref="BJ79" ca="1">IF( AND($F$7,NOT(ISBLANK($F79))), IF( _xll.IMDP("IR", $F79, BJ$8, Matrix!$D$6)=0,"",_xll.IMDP("IR", $F79, BJ$8, Matrix!$D$6)), "")</f>
        <v>4.2690000000000001</v>
      </c>
      <c r="BK79" cm="1">
        <f t="array" aca="1" ref="BK79" ca="1">IF( AND($F$7,NOT(ISBLANK($F79))), IF( _xll.IMDP("IR", $F79, BK$8, Matrix!$D$6)=0,"",_xll.IMDP("IR", $F79, BK$8, Matrix!$D$6)), "")</f>
        <v>4.3170000000000002</v>
      </c>
      <c r="BL79" cm="1">
        <f t="array" aca="1" ref="BL79" ca="1">IF( AND($F$7,NOT(ISBLANK($F79))), IF( _xll.IMDP("IR", $F79, BL$8, Matrix!$D$6)=0,"",_xll.IMDP("IR", $F79, BL$8, Matrix!$D$6)), "")</f>
        <v>4.3869999999999996</v>
      </c>
      <c r="BM79" cm="1">
        <f t="array" aca="1" ref="BM79" ca="1">IF( AND($F$7,NOT(ISBLANK($F79))), IF( _xll.IMDP("IR", $F79, BM$8, Matrix!$D$6)=0,"",_xll.IMDP("IR", $F79, BM$8, Matrix!$D$6)), "")</f>
        <v>4.5259999999999998</v>
      </c>
      <c r="BN79" cm="1">
        <f t="array" aca="1" ref="BN79" ca="1">IF( AND($F$7,NOT(ISBLANK($F79))), IF( _xll.IMDP("IR", $F79, BN$8, Matrix!$D$6)=0,"",_xll.IMDP("IR", $F79, BN$8, Matrix!$D$6)), "")</f>
        <v>4.6210000000000004</v>
      </c>
      <c r="BO79" cm="1">
        <f t="array" aca="1" ref="BO79" ca="1">IF( AND($F$7,NOT(ISBLANK($F79))), IF( _xll.IMDP("IR", $F79, BO$8, Matrix!$D$6)=0,"",_xll.IMDP("IR", $F79, BO$8, Matrix!$D$6)), "")</f>
        <v>4.758</v>
      </c>
      <c r="BP79" cm="1">
        <f t="array" aca="1" ref="BP79" ca="1">IF( AND($F$7,NOT(ISBLANK($F79))), IF( _xll.IMDP("IR", $F79, BP$8, Matrix!$D$6)=0,"",_xll.IMDP("IR", $F79, BP$8, Matrix!$D$6)), "")</f>
        <v>4.9770000000000003</v>
      </c>
      <c r="BQ79" cm="1">
        <f t="array" aca="1" ref="BQ79" ca="1">IF( AND($F$7,NOT(ISBLANK($F79))), IF( _xll.IMDP("IR", $F79, BQ$8, Matrix!$D$6)=0,"",_xll.IMDP("IR", $F79, BQ$8, Matrix!$D$6)), "")</f>
        <v>5.4160000000000004</v>
      </c>
      <c r="BR79" cm="1">
        <f t="array" aca="1" ref="BR79" ca="1">IF( AND($F$7,NOT(ISBLANK($F79))), IF( _xll.IMDP("IR", $F79, BR$8, Matrix!$D$6)=0,"",_xll.IMDP("IR", $F79, BR$8, Matrix!$D$6)), "")</f>
        <v>5.8680000000000003</v>
      </c>
      <c r="BS79" cm="1">
        <f t="array" aca="1" ref="BS79" ca="1">IF( AND($F$7,NOT(ISBLANK($F79))), IF( _xll.IMDP("IR", $F79, BS$8, Matrix!$D$6)=0,"",_xll.IMDP("IR", $F79, BS$8, Matrix!$D$6)), "")</f>
        <v>6.024</v>
      </c>
      <c r="BT79" cm="1">
        <f t="array" aca="1" ref="BT79" ca="1">IF( AND($F$7,NOT(ISBLANK($F79))), IF( _xll.IMDP("IR", $F79, BT$8, Matrix!$D$6)=0,"",_xll.IMDP("IR", $F79, BT$8, Matrix!$D$6)), "")</f>
        <v>6.6829999999999998</v>
      </c>
      <c r="BU79" cm="1">
        <f t="array" aca="1" ref="BU79" ca="1">IF( AND($F$7,NOT(ISBLANK($F79))), IF( _xll.IMDP("IR", $F79, BU$8, Matrix!$D$6)=0,"",_xll.IMDP("IR", $F79, BU$8, Matrix!$D$6)), "")</f>
        <v>7.0670000000000002</v>
      </c>
      <c r="BV79" cm="1">
        <f t="array" aca="1" ref="BV79" ca="1">IF( AND($F$7,NOT(ISBLANK($F79))), IF( _xll.IMDP("IR", $F79, BV$8, Matrix!$D$6)=0,"",_xll.IMDP("IR", $F79, BV$8, Matrix!$D$6)), "")</f>
        <v>7.3490000000000002</v>
      </c>
      <c r="BW79" t="str" cm="1">
        <f t="array" aca="1" ref="BW79" ca="1">IF( AND($F$7,NOT(ISBLANK($F79))), IF( _xll.IMDP("IR", $F79, BW$8, Matrix!$D$6)=0,"",_xll.IMDP("IR", $F79, BW$8, Matrix!$D$6)), "")</f>
        <v/>
      </c>
      <c r="BX79" t="str" cm="1">
        <f t="array" aca="1" ref="BX79" ca="1">IF( AND($F$7,NOT(ISBLANK($F79))), IF( _xll.IMDP("IR", $F79, BX$8, Matrix!$D$6)=0,"",_xll.IMDP("IR", $F79, BX$8, Matrix!$D$6)), "")</f>
        <v/>
      </c>
      <c r="BY79" cm="1">
        <f t="array" aca="1" ref="BY79" ca="1">IF( AND($G$7,NOT(ISBLANK($G79))), IF( _xll.IMDP("IR", $G79, BY$8, Matrix!$D$6)=0, "", _xll.IMDP("IR", $G79, BY$8, Matrix!$D$6)), "")</f>
        <v>4.117</v>
      </c>
      <c r="BZ79" cm="1">
        <f t="array" aca="1" ref="BZ79" ca="1">IF( AND($G$7,NOT(ISBLANK($G79))), IF( _xll.IMDP("IR", $G79, BZ$8, Matrix!$D$6)=0, "", _xll.IMDP("IR", $G79, BZ$8, Matrix!$D$6)), "")</f>
        <v>4.2389999999999999</v>
      </c>
      <c r="CA79" cm="1">
        <f t="array" aca="1" ref="CA79" ca="1">IF( AND($G$7,NOT(ISBLANK($G79))), IF( _xll.IMDP("IR", $G79, CA$8, Matrix!$D$6)=0, "", _xll.IMDP("IR", $G79, CA$8, Matrix!$D$6)), "")</f>
        <v>4.3150000000000004</v>
      </c>
      <c r="CB79" cm="1">
        <f t="array" aca="1" ref="CB79" ca="1">IF( AND($G$7,NOT(ISBLANK($G79))), IF( _xll.IMDP("IR", $G79, CB$8, Matrix!$D$6)=0, "", _xll.IMDP("IR", $G79, CB$8, Matrix!$D$6)), "")</f>
        <v>4.3630000000000004</v>
      </c>
      <c r="CC79" cm="1">
        <f t="array" aca="1" ref="CC79" ca="1">IF( AND($G$7,NOT(ISBLANK($G79))), IF( _xll.IMDP("IR", $G79, CC$8, Matrix!$D$6)=0, "", _xll.IMDP("IR", $G79, CC$8, Matrix!$D$6)), "")</f>
        <v>4.4359999999999999</v>
      </c>
      <c r="CD79" cm="1">
        <f t="array" aca="1" ref="CD79" ca="1">IF( AND($G$7,NOT(ISBLANK($G79))), IF( _xll.IMDP("IR", $G79, CD$8, Matrix!$D$6)=0, "", _xll.IMDP("IR", $G79, CD$8, Matrix!$D$6)), "")</f>
        <v>4.5709999999999997</v>
      </c>
      <c r="CE79" cm="1">
        <f t="array" aca="1" ref="CE79" ca="1">IF( AND($G$7,NOT(ISBLANK($G79))), IF( _xll.IMDP("IR", $G79, CE$8, Matrix!$D$6)=0, "", _xll.IMDP("IR", $G79, CE$8, Matrix!$D$6)), "")</f>
        <v>4.7729999999999997</v>
      </c>
      <c r="CF79" cm="1">
        <f t="array" aca="1" ref="CF79" ca="1">IF( AND($G$7,NOT(ISBLANK($G79))), IF( _xll.IMDP("IR", $G79, CF$8, Matrix!$D$6)=0, "", _xll.IMDP("IR", $G79, CF$8, Matrix!$D$6)), "")</f>
        <v>4.931</v>
      </c>
      <c r="CG79" cm="1">
        <f t="array" aca="1" ref="CG79" ca="1">IF( AND($G$7,NOT(ISBLANK($G79))), IF( _xll.IMDP("IR", $G79, CG$8, Matrix!$D$6)=0, "", _xll.IMDP("IR", $G79, CG$8, Matrix!$D$6)), "")</f>
        <v>5.3609999999999998</v>
      </c>
      <c r="CH79" cm="1">
        <f t="array" aca="1" ref="CH79" ca="1">IF( AND($G$7,NOT(ISBLANK($G79))), IF( _xll.IMDP("IR", $G79, CH$8, Matrix!$D$6)=0, "", _xll.IMDP("IR", $G79, CH$8, Matrix!$D$6)), "")</f>
        <v>5.7839999999999998</v>
      </c>
      <c r="CI79" cm="1">
        <f t="array" aca="1" ref="CI79" ca="1">IF( AND($G$7,NOT(ISBLANK($G79))), IF( _xll.IMDP("IR", $G79, CI$8, Matrix!$D$6)=0, "", _xll.IMDP("IR", $G79, CI$8, Matrix!$D$6)), "")</f>
        <v>5.9950000000000001</v>
      </c>
      <c r="CJ79" cm="1">
        <f t="array" aca="1" ref="CJ79" ca="1">IF( AND($G$7,NOT(ISBLANK($G79))), IF( _xll.IMDP("IR", $G79, CJ$8, Matrix!$D$6)=0, "", _xll.IMDP("IR", $G79, CJ$8, Matrix!$D$6)), "")</f>
        <v>6.6470000000000002</v>
      </c>
      <c r="CK79" cm="1">
        <f t="array" aca="1" ref="CK79" ca="1">IF( AND($G$7,NOT(ISBLANK($G79))), IF( _xll.IMDP("IR", $G79, CK$8, Matrix!$D$6)=0, "", _xll.IMDP("IR", $G79, CK$8, Matrix!$D$6)), "")</f>
        <v>7.0789999999999997</v>
      </c>
      <c r="CL79" cm="1">
        <f t="array" aca="1" ref="CL79" ca="1">IF( AND($G$7,NOT(ISBLANK($G79))), IF( _xll.IMDP("IR", $G79, CL$8, Matrix!$D$6)=0, "", _xll.IMDP("IR", $G79, CL$8, Matrix!$D$6)), "")</f>
        <v>7.3570000000000002</v>
      </c>
      <c r="CM79" t="str" cm="1">
        <f t="array" aca="1" ref="CM79" ca="1">IF( AND($G$7,NOT(ISBLANK($G79))), IF( _xll.IMDP("IR", $G79, CM$8, Matrix!$D$6)=0, "", _xll.IMDP("IR", $G79, CM$8, Matrix!$D$6)), "")</f>
        <v/>
      </c>
      <c r="CN79" t="str" cm="1">
        <f t="array" aca="1" ref="CN79" ca="1">IF( AND($G$7,NOT(ISBLANK($G79))), IF( _xll.IMDP("IR", $G79, CN$8, Matrix!$D$6)=0, "", _xll.IMDP("IR", $G79, CN$8, Matrix!$D$6)), "")</f>
        <v/>
      </c>
      <c r="CO79" t="str" cm="1">
        <f t="array" aca="1" ref="CO79" ca="1">IF( AND($H$7,NOT(ISBLANK($H79))), IF( _xll.IMDP("IR", $H79, CO$8, Matrix!$D$6)=0, "", _xll.IMDP("IR", $H79, CO$8, Matrix!$D$6)), "")</f>
        <v xml:space="preserve"> </v>
      </c>
      <c r="CP79" t="str" cm="1">
        <f t="array" aca="1" ref="CP79" ca="1">IF( AND($H$7,NOT(ISBLANK($H79))), IF( _xll.IMDP("IR", $H79, CP$8, Matrix!$D$6)=0, "", _xll.IMDP("IR", $H79, CP$8, Matrix!$D$6)), "")</f>
        <v xml:space="preserve"> </v>
      </c>
      <c r="CQ79" t="str" cm="1">
        <f t="array" aca="1" ref="CQ79" ca="1">IF( AND($H$7,NOT(ISBLANK($H79))), IF( _xll.IMDP("IR", $H79, CQ$8, Matrix!$D$6)=0, "", _xll.IMDP("IR", $H79, CQ$8, Matrix!$D$6)), "")</f>
        <v xml:space="preserve"> </v>
      </c>
      <c r="CR79" t="str" cm="1">
        <f t="array" aca="1" ref="CR79" ca="1">IF( AND($H$7,NOT(ISBLANK($H79))), IF( _xll.IMDP("IR", $H79, CR$8, Matrix!$D$6)=0, "", _xll.IMDP("IR", $H79, CR$8, Matrix!$D$6)), "")</f>
        <v xml:space="preserve"> </v>
      </c>
      <c r="CS79" t="str" cm="1">
        <f t="array" aca="1" ref="CS79" ca="1">IF( AND($H$7,NOT(ISBLANK($H79))), IF( _xll.IMDP("IR", $H79, CS$8, Matrix!$D$6)=0, "", _xll.IMDP("IR", $H79, CS$8, Matrix!$D$6)), "")</f>
        <v xml:space="preserve"> </v>
      </c>
      <c r="CT79" t="str" cm="1">
        <f t="array" aca="1" ref="CT79" ca="1">IF( AND($H$7,NOT(ISBLANK($H79))), IF( _xll.IMDP("IR", $H79, CT$8, Matrix!$D$6)=0, "", _xll.IMDP("IR", $H79, CT$8, Matrix!$D$6)), "")</f>
        <v xml:space="preserve"> </v>
      </c>
      <c r="CU79" t="str" cm="1">
        <f t="array" aca="1" ref="CU79" ca="1">IF( AND($H$7,NOT(ISBLANK($H79))), IF( _xll.IMDP("IR", $H79, CU$8, Matrix!$D$6)=0, "", _xll.IMDP("IR", $H79, CU$8, Matrix!$D$6)), "")</f>
        <v xml:space="preserve"> </v>
      </c>
      <c r="CV79" t="str" cm="1">
        <f t="array" aca="1" ref="CV79" ca="1">IF( AND($H$7,NOT(ISBLANK($H79))), IF( _xll.IMDP("IR", $H79, CV$8, Matrix!$D$6)=0, "", _xll.IMDP("IR", $H79, CV$8, Matrix!$D$6)), "")</f>
        <v xml:space="preserve"> </v>
      </c>
      <c r="CW79" t="str" cm="1">
        <f t="array" aca="1" ref="CW79" ca="1">IF( AND($H$7,NOT(ISBLANK($H79))), IF( _xll.IMDP("IR", $H79, CW$8, Matrix!$D$6)=0, "", _xll.IMDP("IR", $H79, CW$8, Matrix!$D$6)), "")</f>
        <v xml:space="preserve"> </v>
      </c>
      <c r="CX79" t="str" cm="1">
        <f t="array" aca="1" ref="CX79" ca="1">IF( AND($H$7,NOT(ISBLANK($H79))), IF( _xll.IMDP("IR", $H79, CX$8, Matrix!$D$6)=0, "", _xll.IMDP("IR", $H79, CX$8, Matrix!$D$6)), "")</f>
        <v xml:space="preserve"> </v>
      </c>
      <c r="CY79" t="str" cm="1">
        <f t="array" aca="1" ref="CY79" ca="1">IF( AND($H$7,NOT(ISBLANK($H79))), IF( _xll.IMDP("IR", $H79, CY$8, Matrix!$D$6)=0, "", _xll.IMDP("IR", $H79, CY$8, Matrix!$D$6)), "")</f>
        <v xml:space="preserve"> </v>
      </c>
      <c r="CZ79" t="str" cm="1">
        <f t="array" aca="1" ref="CZ79" ca="1">IF( AND($H$7,NOT(ISBLANK($H79))), IF( _xll.IMDP("IR", $H79, CZ$8, Matrix!$D$6)=0, "", _xll.IMDP("IR", $H79, CZ$8, Matrix!$D$6)), "")</f>
        <v xml:space="preserve"> </v>
      </c>
      <c r="DA79" t="str" cm="1">
        <f t="array" aca="1" ref="DA79" ca="1">IF( AND($H$7,NOT(ISBLANK($H79))), IF( _xll.IMDP("IR", $H79, DA$8, Matrix!$D$6)=0, "", _xll.IMDP("IR", $H79, DA$8, Matrix!$D$6)), "")</f>
        <v/>
      </c>
      <c r="DB79" t="str" cm="1">
        <f t="array" aca="1" ref="DB79" ca="1">IF( AND($H$7,NOT(ISBLANK($H79))), IF( _xll.IMDP("IR", $H79, DB$8, Matrix!$D$6)=0, "", _xll.IMDP("IR", $H79, DB$8, Matrix!$D$6)), "")</f>
        <v xml:space="preserve"> </v>
      </c>
      <c r="DC79" t="str" cm="1">
        <f t="array" aca="1" ref="DC79" ca="1">IF( AND($H$7,NOT(ISBLANK($H79))), IF( _xll.IMDP("IR", $H79, DC$8, Matrix!$D$6)=0, "", _xll.IMDP("IR", $H79, DC$8, Matrix!$D$6)), "")</f>
        <v xml:space="preserve"> </v>
      </c>
      <c r="DD79" t="str" cm="1">
        <f t="array" aca="1" ref="DD79" ca="1">IF( AND($H$7,NOT(ISBLANK($H79))), IF( _xll.IMDP("IR", $H79, DD$8, Matrix!$D$6)=0, "", _xll.IMDP("IR", $H79, DD$8, Matrix!$D$6)), "")</f>
        <v/>
      </c>
    </row>
    <row r="80" spans="2:108">
      <c r="B80" t="s">
        <v>148</v>
      </c>
      <c r="C80" t="s">
        <v>222</v>
      </c>
      <c r="D80" t="s">
        <v>287</v>
      </c>
      <c r="E80" t="s">
        <v>348</v>
      </c>
      <c r="F80" t="s">
        <v>418</v>
      </c>
      <c r="G80" t="s">
        <v>481</v>
      </c>
      <c r="M80" s="21">
        <f t="shared" ca="1" si="34"/>
        <v>4.7352286049174372</v>
      </c>
      <c r="N80" s="21">
        <f t="shared" ca="1" si="35"/>
        <v>5.1955514703757988</v>
      </c>
      <c r="O80" s="21">
        <f t="shared" ca="1" si="36"/>
        <v>5.6284146378831172</v>
      </c>
      <c r="P80" s="21">
        <f t="shared" ca="1" si="37"/>
        <v>5.844575325588881</v>
      </c>
      <c r="Q80" s="21">
        <f t="shared" ca="1" si="38"/>
        <v>6.2847492783808248</v>
      </c>
      <c r="R80" s="21">
        <f t="shared" ca="1" si="39"/>
        <v>6.8279486755499956</v>
      </c>
      <c r="S80" s="21">
        <f t="shared" ca="1" si="40"/>
        <v>7.2277221220037191</v>
      </c>
      <c r="T80" s="21">
        <f t="shared" ca="1" si="41"/>
        <v>7.5189315543797584</v>
      </c>
      <c r="U80" s="21">
        <f t="shared" ca="1" si="42"/>
        <v>7.7544734728565858</v>
      </c>
      <c r="V80" s="21">
        <f t="shared" ca="1" si="43"/>
        <v>7.8692291072081533</v>
      </c>
      <c r="W80" s="21">
        <f t="shared" ca="1" si="44"/>
        <v>7.9561130654737333</v>
      </c>
      <c r="X80" s="21">
        <f t="shared" ca="1" si="45"/>
        <v>8.3051394523896676</v>
      </c>
      <c r="Y80" s="21">
        <f t="shared" ca="1" si="46"/>
        <v>8.6684716168573086</v>
      </c>
      <c r="Z80" s="21">
        <f t="shared" ca="1" si="47"/>
        <v>8.9799702709973328</v>
      </c>
      <c r="AA80" s="21" t="e">
        <f t="shared" ca="1" si="48"/>
        <v>#NUM!</v>
      </c>
      <c r="AB80" s="21" t="e">
        <f t="shared" ca="1" si="49"/>
        <v>#NUM!</v>
      </c>
      <c r="AC80" cm="1">
        <f t="array" aca="1" ref="AC80" ca="1">IF( AND($D$7,NOT(ISBLANK($D80))), IF(_xll.IMDP("IR", $D80, AC$8, Matrix!$D$6)=0,"",_xll.IMDP("IR", $D80, AC$8, Matrix!$D$6)), "")</f>
        <v>4.7229999999999999</v>
      </c>
      <c r="AD80" cm="1">
        <f t="array" aca="1" ref="AD80" ca="1">IF( AND($D$7,NOT(ISBLANK($D80))), IF(_xll.IMDP("IR", $D80, AD$8, Matrix!$D$6)=0,"",_xll.IMDP("IR", $D80, AD$8, Matrix!$D$6)), "")</f>
        <v>5.2670000000000003</v>
      </c>
      <c r="AE80" cm="1">
        <f t="array" aca="1" ref="AE80" ca="1">IF( AND($D$7,NOT(ISBLANK($D80))), IF(_xll.IMDP("IR", $D80, AE$8, Matrix!$D$6)=0,"",_xll.IMDP("IR", $D80, AE$8, Matrix!$D$6)), "")</f>
        <v>5.7569999999999997</v>
      </c>
      <c r="AF80" cm="1">
        <f t="array" aca="1" ref="AF80" ca="1">IF( AND($D$7,NOT(ISBLANK($D80))), IF(_xll.IMDP("IR", $D80, AF$8, Matrix!$D$6)=0,"",_xll.IMDP("IR", $D80, AF$8, Matrix!$D$6)), "")</f>
        <v>5.9589999999999996</v>
      </c>
      <c r="AG80" cm="1">
        <f t="array" aca="1" ref="AG80" ca="1">IF( AND($D$7,NOT(ISBLANK($D80))), IF(_xll.IMDP("IR", $D80, AG$8, Matrix!$D$6)=0,"",_xll.IMDP("IR", $D80, AG$8, Matrix!$D$6)), "")</f>
        <v>6.3810000000000002</v>
      </c>
      <c r="AH80" cm="1">
        <f t="array" aca="1" ref="AH80" ca="1">IF( AND($D$7,NOT(ISBLANK($D80))), IF(_xll.IMDP("IR", $D80, AH$8, Matrix!$D$6)=0,"",_xll.IMDP("IR", $D80, AH$8, Matrix!$D$6)), "")</f>
        <v>6.8739999999999997</v>
      </c>
      <c r="AI80" cm="1">
        <f t="array" aca="1" ref="AI80" ca="1">IF( AND($D$7,NOT(ISBLANK($D80))), IF(_xll.IMDP("IR", $D80, AI$8, Matrix!$D$6)=0,"",_xll.IMDP("IR", $D80, AI$8, Matrix!$D$6)), "")</f>
        <v>7.2619999999999996</v>
      </c>
      <c r="AJ80" cm="1">
        <f t="array" aca="1" ref="AJ80" ca="1">IF( AND($D$7,NOT(ISBLANK($D80))), IF(_xll.IMDP("IR", $D80, AJ$8, Matrix!$D$6)=0,"",_xll.IMDP("IR", $D80, AJ$8, Matrix!$D$6)), "")</f>
        <v>7.577</v>
      </c>
      <c r="AK80" cm="1">
        <f t="array" aca="1" ref="AK80" ca="1">IF( AND($D$7,NOT(ISBLANK($D80))), IF(_xll.IMDP("IR", $D80, AK$8, Matrix!$D$6)=0,"",_xll.IMDP("IR", $D80, AK$8, Matrix!$D$6)), "")</f>
        <v>7.7850000000000001</v>
      </c>
      <c r="AL80" cm="1">
        <f t="array" aca="1" ref="AL80" ca="1">IF( AND($D$7,NOT(ISBLANK($D80))), IF(_xll.IMDP("IR", $D80, AL$8, Matrix!$D$6)=0,"",_xll.IMDP("IR", $D80, AL$8, Matrix!$D$6)), "")</f>
        <v>7.86</v>
      </c>
      <c r="AM80" cm="1">
        <f t="array" aca="1" ref="AM80" ca="1">IF( AND($D$7,NOT(ISBLANK($D80))), IF(_xll.IMDP("IR", $D80, AM$8, Matrix!$D$6)=0,"",_xll.IMDP("IR", $D80, AM$8, Matrix!$D$6)), "")</f>
        <v>7.9580000000000002</v>
      </c>
      <c r="AN80" cm="1">
        <f t="array" aca="1" ref="AN80" ca="1">IF( AND($D$7,NOT(ISBLANK($D80))), IF(_xll.IMDP("IR", $D80, AN$8, Matrix!$D$6)=0,"",_xll.IMDP("IR", $D80, AN$8, Matrix!$D$6)), "")</f>
        <v>8.3249999999999993</v>
      </c>
      <c r="AO80" cm="1">
        <f t="array" aca="1" ref="AO80" ca="1">IF( AND($D$7,NOT(ISBLANK($D80))), IF(_xll.IMDP("IR", $D80, AO$8, Matrix!$D$6)=0,"",_xll.IMDP("IR", $D80, AO$8, Matrix!$D$6)), "")</f>
        <v>8.6630000000000003</v>
      </c>
      <c r="AP80" cm="1">
        <f t="array" aca="1" ref="AP80" ca="1">IF( AND($D$7,NOT(ISBLANK($D80))), IF(_xll.IMDP("IR", $D80, AP$8, Matrix!$D$6)=0,"",_xll.IMDP("IR", $D80, AP$8, Matrix!$D$6)), "")</f>
        <v>8.952</v>
      </c>
      <c r="AQ80" t="str" cm="1">
        <f t="array" aca="1" ref="AQ80" ca="1">IF( AND($D$7,NOT(ISBLANK($D80))), IF(_xll.IMDP("IR", $D80, AQ$8, Matrix!$D$6)=0,"",_xll.IMDP("IR", $D80, AQ$8, Matrix!$D$6)), "")</f>
        <v/>
      </c>
      <c r="AR80" t="str" cm="1">
        <f t="array" aca="1" ref="AR80" ca="1">IF( AND($D$7,NOT(ISBLANK($D80))), IF(_xll.IMDP("IR", $D80, AR$8, Matrix!$D$6)=0,"",_xll.IMDP("IR", $D80, AR$8, Matrix!$D$6)), "")</f>
        <v/>
      </c>
      <c r="AS80" cm="1">
        <f t="array" aca="1" ref="AS80" ca="1">IF( AND($E$7,NOT(ISBLANK($E80))), IF( _xll.IMDP("IR", $E80, AS$8, Matrix!$D$6)=0,"",_xll.IMDP("IR", $E80, AS$8, Matrix!$D$6)), "")</f>
        <v>4.72</v>
      </c>
      <c r="AT80" cm="1">
        <f t="array" aca="1" ref="AT80" ca="1">IF( AND($E$7,NOT(ISBLANK($E80))), IF( _xll.IMDP("IR", $E80, AT$8, Matrix!$D$6)=0,"",_xll.IMDP("IR", $E80, AT$8, Matrix!$D$6)), "")</f>
        <v>5.1479999999999997</v>
      </c>
      <c r="AU80" cm="1">
        <f t="array" aca="1" ref="AU80" ca="1">IF( AND($E$7,NOT(ISBLANK($E80))), IF( _xll.IMDP("IR", $E80, AU$8, Matrix!$D$6)=0,"",_xll.IMDP("IR", $E80, AU$8, Matrix!$D$6)), "")</f>
        <v>5.532</v>
      </c>
      <c r="AV80" cm="1">
        <f t="array" aca="1" ref="AV80" ca="1">IF( AND($E$7,NOT(ISBLANK($E80))), IF( _xll.IMDP("IR", $E80, AV$8, Matrix!$D$6)=0,"",_xll.IMDP("IR", $E80, AV$8, Matrix!$D$6)), "")</f>
        <v>5.7169999999999996</v>
      </c>
      <c r="AW80" cm="1">
        <f t="array" aca="1" ref="AW80" ca="1">IF( AND($E$7,NOT(ISBLANK($E80))), IF( _xll.IMDP("IR", $E80, AW$8, Matrix!$D$6)=0,"",_xll.IMDP("IR", $E80, AW$8, Matrix!$D$6)), "")</f>
        <v>6.1630000000000003</v>
      </c>
      <c r="AX80" cm="1">
        <f t="array" aca="1" ref="AX80" ca="1">IF( AND($E$7,NOT(ISBLANK($E80))), IF( _xll.IMDP("IR", $E80, AX$8, Matrix!$D$6)=0,"",_xll.IMDP("IR", $E80, AX$8, Matrix!$D$6)), "")</f>
        <v>6.73</v>
      </c>
      <c r="AY80" cm="1">
        <f t="array" aca="1" ref="AY80" ca="1">IF( AND($E$7,NOT(ISBLANK($E80))), IF( _xll.IMDP("IR", $E80, AY$8, Matrix!$D$6)=0,"",_xll.IMDP("IR", $E80, AY$8, Matrix!$D$6)), "")</f>
        <v>7.1239999999999997</v>
      </c>
      <c r="AZ80" cm="1">
        <f t="array" aca="1" ref="AZ80" ca="1">IF( AND($E$7,NOT(ISBLANK($E80))), IF( _xll.IMDP("IR", $E80, AZ$8, Matrix!$D$6)=0,"",_xll.IMDP("IR", $E80, AZ$8, Matrix!$D$6)), "")</f>
        <v>7.4169999999999998</v>
      </c>
      <c r="BA80" cm="1">
        <f t="array" aca="1" ref="BA80" ca="1">IF( AND($E$7,NOT(ISBLANK($E80))), IF( _xll.IMDP("IR", $E80, BA$8, Matrix!$D$6)=0,"",_xll.IMDP("IR", $E80, BA$8, Matrix!$D$6)), "")</f>
        <v>7.6589999999999998</v>
      </c>
      <c r="BB80" cm="1">
        <f t="array" aca="1" ref="BB80" ca="1">IF( AND($E$7,NOT(ISBLANK($E80))), IF( _xll.IMDP("IR", $E80, BB$8, Matrix!$D$6)=0,"",_xll.IMDP("IR", $E80, BB$8, Matrix!$D$6)), "")</f>
        <v>7.774</v>
      </c>
      <c r="BC80" cm="1">
        <f t="array" aca="1" ref="BC80" ca="1">IF( AND($E$7,NOT(ISBLANK($E80))), IF( _xll.IMDP("IR", $E80, BC$8, Matrix!$D$6)=0,"",_xll.IMDP("IR", $E80, BC$8, Matrix!$D$6)), "")</f>
        <v>7.8949999999999996</v>
      </c>
      <c r="BD80" cm="1">
        <f t="array" aca="1" ref="BD80" ca="1">IF( AND($E$7,NOT(ISBLANK($E80))), IF( _xll.IMDP("IR", $E80, BD$8, Matrix!$D$6)=0,"",_xll.IMDP("IR", $E80, BD$8, Matrix!$D$6)), "")</f>
        <v>8.2690000000000001</v>
      </c>
      <c r="BE80" cm="1">
        <f t="array" aca="1" ref="BE80" ca="1">IF( AND($E$7,NOT(ISBLANK($E80))), IF( _xll.IMDP("IR", $E80, BE$8, Matrix!$D$6)=0,"",_xll.IMDP("IR", $E80, BE$8, Matrix!$D$6)), "")</f>
        <v>8.6449999999999996</v>
      </c>
      <c r="BF80" cm="1">
        <f t="array" aca="1" ref="BF80" ca="1">IF( AND($E$7,NOT(ISBLANK($E80))), IF( _xll.IMDP("IR", $E80, BF$8, Matrix!$D$6)=0,"",_xll.IMDP("IR", $E80, BF$8, Matrix!$D$6)), "")</f>
        <v>8.9939999999999998</v>
      </c>
      <c r="BG80" t="str" cm="1">
        <f t="array" aca="1" ref="BG80" ca="1">IF( AND($E$7,NOT(ISBLANK($E80))), IF( _xll.IMDP("IR", $E80, BG$8, Matrix!$D$6)=0,"",_xll.IMDP("IR", $E80, BG$8, Matrix!$D$6)), "")</f>
        <v/>
      </c>
      <c r="BH80" t="str" cm="1">
        <f t="array" aca="1" ref="BH80" ca="1">IF( AND($E$7,NOT(ISBLANK($E80))), IF( _xll.IMDP("IR", $E80, BH$8, Matrix!$D$6)=0,"",_xll.IMDP("IR", $E80, BH$8, Matrix!$D$6)), "")</f>
        <v/>
      </c>
      <c r="BI80" cm="1">
        <f t="array" aca="1" ref="BI80" ca="1">IF( AND($F$7,NOT(ISBLANK($F80))), IF( _xll.IMDP("IR", $F80, BI$8, Matrix!$D$6)=0,"",_xll.IMDP("IR", $F80, BI$8, Matrix!$D$6)), "")</f>
        <v>4.7439999999999998</v>
      </c>
      <c r="BJ80" cm="1">
        <f t="array" aca="1" ref="BJ80" ca="1">IF( AND($F$7,NOT(ISBLANK($F80))), IF( _xll.IMDP("IR", $F80, BJ$8, Matrix!$D$6)=0,"",_xll.IMDP("IR", $F80, BJ$8, Matrix!$D$6)), "")</f>
        <v>5.1660000000000004</v>
      </c>
      <c r="BK80" cm="1">
        <f t="array" aca="1" ref="BK80" ca="1">IF( AND($F$7,NOT(ISBLANK($F80))), IF( _xll.IMDP("IR", $F80, BK$8, Matrix!$D$6)=0,"",_xll.IMDP("IR", $F80, BK$8, Matrix!$D$6)), "")</f>
        <v>5.6239999999999997</v>
      </c>
      <c r="BL80" cm="1">
        <f t="array" aca="1" ref="BL80" ca="1">IF( AND($F$7,NOT(ISBLANK($F80))), IF( _xll.IMDP("IR", $F80, BL$8, Matrix!$D$6)=0,"",_xll.IMDP("IR", $F80, BL$8, Matrix!$D$6)), "")</f>
        <v>5.8840000000000003</v>
      </c>
      <c r="BM80" cm="1">
        <f t="array" aca="1" ref="BM80" ca="1">IF( AND($F$7,NOT(ISBLANK($F80))), IF( _xll.IMDP("IR", $F80, BM$8, Matrix!$D$6)=0,"",_xll.IMDP("IR", $F80, BM$8, Matrix!$D$6)), "")</f>
        <v>6.3159999999999998</v>
      </c>
      <c r="BN80" cm="1">
        <f t="array" aca="1" ref="BN80" ca="1">IF( AND($F$7,NOT(ISBLANK($F80))), IF( _xll.IMDP("IR", $F80, BN$8, Matrix!$D$6)=0,"",_xll.IMDP("IR", $F80, BN$8, Matrix!$D$6)), "")</f>
        <v>6.8949999999999996</v>
      </c>
      <c r="BO80" cm="1">
        <f t="array" aca="1" ref="BO80" ca="1">IF( AND($F$7,NOT(ISBLANK($F80))), IF( _xll.IMDP("IR", $F80, BO$8, Matrix!$D$6)=0,"",_xll.IMDP("IR", $F80, BO$8, Matrix!$D$6)), "")</f>
        <v>7.2910000000000004</v>
      </c>
      <c r="BP80" cm="1">
        <f t="array" aca="1" ref="BP80" ca="1">IF( AND($F$7,NOT(ISBLANK($F80))), IF( _xll.IMDP("IR", $F80, BP$8, Matrix!$D$6)=0,"",_xll.IMDP("IR", $F80, BP$8, Matrix!$D$6)), "")</f>
        <v>7.5880000000000001</v>
      </c>
      <c r="BQ80" cm="1">
        <f t="array" aca="1" ref="BQ80" ca="1">IF( AND($F$7,NOT(ISBLANK($F80))), IF( _xll.IMDP("IR", $F80, BQ$8, Matrix!$D$6)=0,"",_xll.IMDP("IR", $F80, BQ$8, Matrix!$D$6)), "")</f>
        <v>7.8369999999999997</v>
      </c>
      <c r="BR80" cm="1">
        <f t="array" aca="1" ref="BR80" ca="1">IF( AND($F$7,NOT(ISBLANK($F80))), IF( _xll.IMDP("IR", $F80, BR$8, Matrix!$D$6)=0,"",_xll.IMDP("IR", $F80, BR$8, Matrix!$D$6)), "")</f>
        <v>7.9560000000000004</v>
      </c>
      <c r="BS80" cm="1">
        <f t="array" aca="1" ref="BS80" ca="1">IF( AND($F$7,NOT(ISBLANK($F80))), IF( _xll.IMDP("IR", $F80, BS$8, Matrix!$D$6)=0,"",_xll.IMDP("IR", $F80, BS$8, Matrix!$D$6)), "")</f>
        <v>8.0259999999999998</v>
      </c>
      <c r="BT80" cm="1">
        <f t="array" aca="1" ref="BT80" ca="1">IF( AND($F$7,NOT(ISBLANK($F80))), IF( _xll.IMDP("IR", $F80, BT$8, Matrix!$D$6)=0,"",_xll.IMDP("IR", $F80, BT$8, Matrix!$D$6)), "")</f>
        <v>8.3659999999999997</v>
      </c>
      <c r="BU80" cm="1">
        <f t="array" aca="1" ref="BU80" ca="1">IF( AND($F$7,NOT(ISBLANK($F80))), IF( _xll.IMDP("IR", $F80, BU$8, Matrix!$D$6)=0,"",_xll.IMDP("IR", $F80, BU$8, Matrix!$D$6)), "")</f>
        <v>8.7050000000000001</v>
      </c>
      <c r="BV80" cm="1">
        <f t="array" aca="1" ref="BV80" ca="1">IF( AND($F$7,NOT(ISBLANK($F80))), IF( _xll.IMDP("IR", $F80, BV$8, Matrix!$D$6)=0,"",_xll.IMDP("IR", $F80, BV$8, Matrix!$D$6)), "")</f>
        <v>9.01</v>
      </c>
      <c r="BW80" t="str" cm="1">
        <f t="array" aca="1" ref="BW80" ca="1">IF( AND($F$7,NOT(ISBLANK($F80))), IF( _xll.IMDP("IR", $F80, BW$8, Matrix!$D$6)=0,"",_xll.IMDP("IR", $F80, BW$8, Matrix!$D$6)), "")</f>
        <v/>
      </c>
      <c r="BX80" t="str" cm="1">
        <f t="array" aca="1" ref="BX80" ca="1">IF( AND($F$7,NOT(ISBLANK($F80))), IF( _xll.IMDP("IR", $F80, BX$8, Matrix!$D$6)=0,"",_xll.IMDP("IR", $F80, BX$8, Matrix!$D$6)), "")</f>
        <v/>
      </c>
      <c r="BY80" cm="1">
        <f t="array" aca="1" ref="BY80" ca="1">IF( AND($G$7,NOT(ISBLANK($G80))), IF( _xll.IMDP("IR", $G80, BY$8, Matrix!$D$6)=0, "", _xll.IMDP("IR", $G80, BY$8, Matrix!$D$6)), "")</f>
        <v>4.7539999999999996</v>
      </c>
      <c r="BZ80" cm="1">
        <f t="array" aca="1" ref="BZ80" ca="1">IF( AND($G$7,NOT(ISBLANK($G80))), IF( _xll.IMDP("IR", $G80, BZ$8, Matrix!$D$6)=0, "", _xll.IMDP("IR", $G80, BZ$8, Matrix!$D$6)), "")</f>
        <v>5.202</v>
      </c>
      <c r="CA80" cm="1">
        <f t="array" aca="1" ref="CA80" ca="1">IF( AND($G$7,NOT(ISBLANK($G80))), IF( _xll.IMDP("IR", $G80, CA$8, Matrix!$D$6)=0, "", _xll.IMDP("IR", $G80, CA$8, Matrix!$D$6)), "")</f>
        <v>5.6029999999999998</v>
      </c>
      <c r="CB80" cm="1">
        <f t="array" aca="1" ref="CB80" ca="1">IF( AND($G$7,NOT(ISBLANK($G80))), IF( _xll.IMDP("IR", $G80, CB$8, Matrix!$D$6)=0, "", _xll.IMDP("IR", $G80, CB$8, Matrix!$D$6)), "")</f>
        <v>5.8209999999999997</v>
      </c>
      <c r="CC80" cm="1">
        <f t="array" aca="1" ref="CC80" ca="1">IF( AND($G$7,NOT(ISBLANK($G80))), IF( _xll.IMDP("IR", $G80, CC$8, Matrix!$D$6)=0, "", _xll.IMDP("IR", $G80, CC$8, Matrix!$D$6)), "")</f>
        <v>6.2809999999999997</v>
      </c>
      <c r="CD80" cm="1">
        <f t="array" aca="1" ref="CD80" ca="1">IF( AND($G$7,NOT(ISBLANK($G80))), IF( _xll.IMDP("IR", $G80, CD$8, Matrix!$D$6)=0, "", _xll.IMDP("IR", $G80, CD$8, Matrix!$D$6)), "")</f>
        <v>6.8140000000000001</v>
      </c>
      <c r="CE80" cm="1">
        <f t="array" aca="1" ref="CE80" ca="1">IF( AND($G$7,NOT(ISBLANK($G80))), IF( _xll.IMDP("IR", $G80, CE$8, Matrix!$D$6)=0, "", _xll.IMDP("IR", $G80, CE$8, Matrix!$D$6)), "")</f>
        <v>7.2350000000000003</v>
      </c>
      <c r="CF80" cm="1">
        <f t="array" aca="1" ref="CF80" ca="1">IF( AND($G$7,NOT(ISBLANK($G80))), IF( _xll.IMDP("IR", $G80, CF$8, Matrix!$D$6)=0, "", _xll.IMDP("IR", $G80, CF$8, Matrix!$D$6)), "")</f>
        <v>7.4950000000000001</v>
      </c>
      <c r="CG80" cm="1">
        <f t="array" aca="1" ref="CG80" ca="1">IF( AND($G$7,NOT(ISBLANK($G80))), IF( _xll.IMDP("IR", $G80, CG$8, Matrix!$D$6)=0, "", _xll.IMDP("IR", $G80, CG$8, Matrix!$D$6)), "")</f>
        <v>7.7380000000000004</v>
      </c>
      <c r="CH80" cm="1">
        <f t="array" aca="1" ref="CH80" ca="1">IF( AND($G$7,NOT(ISBLANK($G80))), IF( _xll.IMDP("IR", $G80, CH$8, Matrix!$D$6)=0, "", _xll.IMDP("IR", $G80, CH$8, Matrix!$D$6)), "")</f>
        <v>7.8879999999999999</v>
      </c>
      <c r="CI80" cm="1">
        <f t="array" aca="1" ref="CI80" ca="1">IF( AND($G$7,NOT(ISBLANK($G80))), IF( _xll.IMDP("IR", $G80, CI$8, Matrix!$D$6)=0, "", _xll.IMDP("IR", $G80, CI$8, Matrix!$D$6)), "")</f>
        <v>7.9459999999999997</v>
      </c>
      <c r="CJ80" cm="1">
        <f t="array" aca="1" ref="CJ80" ca="1">IF( AND($G$7,NOT(ISBLANK($G80))), IF( _xll.IMDP("IR", $G80, CJ$8, Matrix!$D$6)=0, "", _xll.IMDP("IR", $G80, CJ$8, Matrix!$D$6)), "")</f>
        <v>8.2609999999999992</v>
      </c>
      <c r="CK80" cm="1">
        <f t="array" aca="1" ref="CK80" ca="1">IF( AND($G$7,NOT(ISBLANK($G80))), IF( _xll.IMDP("IR", $G80, CK$8, Matrix!$D$6)=0, "", _xll.IMDP("IR", $G80, CK$8, Matrix!$D$6)), "")</f>
        <v>8.6609999999999996</v>
      </c>
      <c r="CL80" cm="1">
        <f t="array" aca="1" ref="CL80" ca="1">IF( AND($G$7,NOT(ISBLANK($G80))), IF( _xll.IMDP("IR", $G80, CL$8, Matrix!$D$6)=0, "", _xll.IMDP("IR", $G80, CL$8, Matrix!$D$6)), "")</f>
        <v>8.9640000000000004</v>
      </c>
      <c r="CM80" t="str" cm="1">
        <f t="array" aca="1" ref="CM80" ca="1">IF( AND($G$7,NOT(ISBLANK($G80))), IF( _xll.IMDP("IR", $G80, CM$8, Matrix!$D$6)=0, "", _xll.IMDP("IR", $G80, CM$8, Matrix!$D$6)), "")</f>
        <v/>
      </c>
      <c r="CN80" t="str" cm="1">
        <f t="array" aca="1" ref="CN80" ca="1">IF( AND($G$7,NOT(ISBLANK($G80))), IF( _xll.IMDP("IR", $G80, CN$8, Matrix!$D$6)=0, "", _xll.IMDP("IR", $G80, CN$8, Matrix!$D$6)), "")</f>
        <v/>
      </c>
      <c r="CO80" t="str" cm="1">
        <f t="array" ref="CO80">IF( AND($H$7,NOT(ISBLANK($H80))), IF( _xll.IMDP("IR", $H80, CO$8, Matrix!$D$6)=0, "", _xll.IMDP("IR", $H80, CO$8, Matrix!$D$6)), "")</f>
        <v/>
      </c>
      <c r="CP80" t="str" cm="1">
        <f t="array" ref="CP80">IF( AND($H$7,NOT(ISBLANK($H80))), IF( _xll.IMDP("IR", $H80, CP$8, Matrix!$D$6)=0, "", _xll.IMDP("IR", $H80, CP$8, Matrix!$D$6)), "")</f>
        <v/>
      </c>
      <c r="CQ80" t="str" cm="1">
        <f t="array" ref="CQ80">IF( AND($H$7,NOT(ISBLANK($H80))), IF( _xll.IMDP("IR", $H80, CQ$8, Matrix!$D$6)=0, "", _xll.IMDP("IR", $H80, CQ$8, Matrix!$D$6)), "")</f>
        <v/>
      </c>
      <c r="CR80" t="str" cm="1">
        <f t="array" ref="CR80">IF( AND($H$7,NOT(ISBLANK($H80))), IF( _xll.IMDP("IR", $H80, CR$8, Matrix!$D$6)=0, "", _xll.IMDP("IR", $H80, CR$8, Matrix!$D$6)), "")</f>
        <v/>
      </c>
      <c r="CS80" t="str" cm="1">
        <f t="array" ref="CS80">IF( AND($H$7,NOT(ISBLANK($H80))), IF( _xll.IMDP("IR", $H80, CS$8, Matrix!$D$6)=0, "", _xll.IMDP("IR", $H80, CS$8, Matrix!$D$6)), "")</f>
        <v/>
      </c>
      <c r="CT80" t="str" cm="1">
        <f t="array" ref="CT80">IF( AND($H$7,NOT(ISBLANK($H80))), IF( _xll.IMDP("IR", $H80, CT$8, Matrix!$D$6)=0, "", _xll.IMDP("IR", $H80, CT$8, Matrix!$D$6)), "")</f>
        <v/>
      </c>
      <c r="CU80" t="str" cm="1">
        <f t="array" ref="CU80">IF( AND($H$7,NOT(ISBLANK($H80))), IF( _xll.IMDP("IR", $H80, CU$8, Matrix!$D$6)=0, "", _xll.IMDP("IR", $H80, CU$8, Matrix!$D$6)), "")</f>
        <v/>
      </c>
      <c r="CV80" t="str" cm="1">
        <f t="array" ref="CV80">IF( AND($H$7,NOT(ISBLANK($H80))), IF( _xll.IMDP("IR", $H80, CV$8, Matrix!$D$6)=0, "", _xll.IMDP("IR", $H80, CV$8, Matrix!$D$6)), "")</f>
        <v/>
      </c>
      <c r="CW80" t="str" cm="1">
        <f t="array" ref="CW80">IF( AND($H$7,NOT(ISBLANK($H80))), IF( _xll.IMDP("IR", $H80, CW$8, Matrix!$D$6)=0, "", _xll.IMDP("IR", $H80, CW$8, Matrix!$D$6)), "")</f>
        <v/>
      </c>
      <c r="CX80" t="str" cm="1">
        <f t="array" ref="CX80">IF( AND($H$7,NOT(ISBLANK($H80))), IF( _xll.IMDP("IR", $H80, CX$8, Matrix!$D$6)=0, "", _xll.IMDP("IR", $H80, CX$8, Matrix!$D$6)), "")</f>
        <v/>
      </c>
      <c r="CY80" t="str" cm="1">
        <f t="array" ref="CY80">IF( AND($H$7,NOT(ISBLANK($H80))), IF( _xll.IMDP("IR", $H80, CY$8, Matrix!$D$6)=0, "", _xll.IMDP("IR", $H80, CY$8, Matrix!$D$6)), "")</f>
        <v/>
      </c>
      <c r="CZ80" t="str" cm="1">
        <f t="array" ref="CZ80">IF( AND($H$7,NOT(ISBLANK($H80))), IF( _xll.IMDP("IR", $H80, CZ$8, Matrix!$D$6)=0, "", _xll.IMDP("IR", $H80, CZ$8, Matrix!$D$6)), "")</f>
        <v/>
      </c>
      <c r="DA80" t="str" cm="1">
        <f t="array" ref="DA80">IF( AND($H$7,NOT(ISBLANK($H80))), IF( _xll.IMDP("IR", $H80, DA$8, Matrix!$D$6)=0, "", _xll.IMDP("IR", $H80, DA$8, Matrix!$D$6)), "")</f>
        <v/>
      </c>
      <c r="DB80" t="str" cm="1">
        <f t="array" ref="DB80">IF( AND($H$7,NOT(ISBLANK($H80))), IF( _xll.IMDP("IR", $H80, DB$8, Matrix!$D$6)=0, "", _xll.IMDP("IR", $H80, DB$8, Matrix!$D$6)), "")</f>
        <v/>
      </c>
      <c r="DC80" t="str" cm="1">
        <f t="array" ref="DC80">IF( AND($H$7,NOT(ISBLANK($H80))), IF( _xll.IMDP("IR", $H80, DC$8, Matrix!$D$6)=0, "", _xll.IMDP("IR", $H80, DC$8, Matrix!$D$6)), "")</f>
        <v/>
      </c>
      <c r="DD80" t="str" cm="1">
        <f t="array" ref="DD80">IF( AND($H$7,NOT(ISBLANK($H80))), IF( _xll.IMDP("IR", $H80, DD$8, Matrix!$D$6)=0, "", _xll.IMDP("IR", $H80, DD$8, Matrix!$D$6)), "")</f>
        <v/>
      </c>
    </row>
    <row r="81" spans="2:108">
      <c r="B81" t="s">
        <v>149</v>
      </c>
      <c r="C81" t="s">
        <v>223</v>
      </c>
      <c r="D81" t="s">
        <v>288</v>
      </c>
      <c r="E81" t="s">
        <v>349</v>
      </c>
      <c r="F81" t="s">
        <v>419</v>
      </c>
      <c r="G81" t="s">
        <v>482</v>
      </c>
      <c r="M81" s="21">
        <f t="shared" ca="1" si="34"/>
        <v>5.1286871858233383</v>
      </c>
      <c r="N81" s="21">
        <f t="shared" ca="1" si="35"/>
        <v>5.7318474043005034</v>
      </c>
      <c r="O81" s="21">
        <f t="shared" ca="1" si="36"/>
        <v>6.2272635655002659</v>
      </c>
      <c r="P81" s="21">
        <f t="shared" ca="1" si="37"/>
        <v>6.5790920669731321</v>
      </c>
      <c r="Q81" s="21">
        <f t="shared" ca="1" si="38"/>
        <v>7.1228180888091162</v>
      </c>
      <c r="R81" s="21">
        <f t="shared" ca="1" si="39"/>
        <v>7.8341676477254829</v>
      </c>
      <c r="S81" s="21">
        <f t="shared" ca="1" si="40"/>
        <v>8.3009661818253431</v>
      </c>
      <c r="T81" s="21">
        <f t="shared" ca="1" si="41"/>
        <v>8.6269635621936622</v>
      </c>
      <c r="U81" s="21">
        <f t="shared" ca="1" si="42"/>
        <v>8.8853949306764157</v>
      </c>
      <c r="V81" s="21">
        <f t="shared" ca="1" si="43"/>
        <v>8.9952318117351329</v>
      </c>
      <c r="W81" s="21">
        <f t="shared" ca="1" si="44"/>
        <v>9.0985731900353048</v>
      </c>
      <c r="X81" s="21">
        <f t="shared" ca="1" si="45"/>
        <v>9.4822612594847122</v>
      </c>
      <c r="Y81" s="21">
        <f t="shared" ca="1" si="46"/>
        <v>9.8671583475016522</v>
      </c>
      <c r="Z81" s="21">
        <f t="shared" ca="1" si="47"/>
        <v>10.211235599683201</v>
      </c>
      <c r="AA81" s="21" t="e">
        <f t="shared" ca="1" si="48"/>
        <v>#NUM!</v>
      </c>
      <c r="AB81" s="21" t="e">
        <f t="shared" ca="1" si="49"/>
        <v>#NUM!</v>
      </c>
      <c r="AC81" cm="1">
        <f t="array" aca="1" ref="AC81" ca="1">IF( AND($D$7,NOT(ISBLANK($D81))), IF(_xll.IMDP("IR", $D81, AC$8, Matrix!$D$6)=0,"",_xll.IMDP("IR", $D81, AC$8, Matrix!$D$6)), "")</f>
        <v>5.0919999999999996</v>
      </c>
      <c r="AD81" cm="1">
        <f t="array" aca="1" ref="AD81" ca="1">IF( AND($D$7,NOT(ISBLANK($D81))), IF(_xll.IMDP("IR", $D81, AD$8, Matrix!$D$6)=0,"",_xll.IMDP("IR", $D81, AD$8, Matrix!$D$6)), "")</f>
        <v>5.782</v>
      </c>
      <c r="AE81" cm="1">
        <f t="array" aca="1" ref="AE81" ca="1">IF( AND($D$7,NOT(ISBLANK($D81))), IF(_xll.IMDP("IR", $D81, AE$8, Matrix!$D$6)=0,"",_xll.IMDP("IR", $D81, AE$8, Matrix!$D$6)), "")</f>
        <v>6.335</v>
      </c>
      <c r="AF81" cm="1">
        <f t="array" aca="1" ref="AF81" ca="1">IF( AND($D$7,NOT(ISBLANK($D81))), IF(_xll.IMDP("IR", $D81, AF$8, Matrix!$D$6)=0,"",_xll.IMDP("IR", $D81, AF$8, Matrix!$D$6)), "")</f>
        <v>6.742</v>
      </c>
      <c r="AG81" cm="1">
        <f t="array" aca="1" ref="AG81" ca="1">IF( AND($D$7,NOT(ISBLANK($D81))), IF(_xll.IMDP("IR", $D81, AG$8, Matrix!$D$6)=0,"",_xll.IMDP("IR", $D81, AG$8, Matrix!$D$6)), "")</f>
        <v>7.2519999999999998</v>
      </c>
      <c r="AH81" cm="1">
        <f t="array" aca="1" ref="AH81" ca="1">IF( AND($D$7,NOT(ISBLANK($D81))), IF(_xll.IMDP("IR", $D81, AH$8, Matrix!$D$6)=0,"",_xll.IMDP("IR", $D81, AH$8, Matrix!$D$6)), "")</f>
        <v>7.9340000000000002</v>
      </c>
      <c r="AI81" cm="1">
        <f t="array" aca="1" ref="AI81" ca="1">IF( AND($D$7,NOT(ISBLANK($D81))), IF(_xll.IMDP("IR", $D81, AI$8, Matrix!$D$6)=0,"",_xll.IMDP("IR", $D81, AI$8, Matrix!$D$6)), "")</f>
        <v>8.3819999999999997</v>
      </c>
      <c r="AJ81" cm="1">
        <f t="array" aca="1" ref="AJ81" ca="1">IF( AND($D$7,NOT(ISBLANK($D81))), IF(_xll.IMDP("IR", $D81, AJ$8, Matrix!$D$6)=0,"",_xll.IMDP("IR", $D81, AJ$8, Matrix!$D$6)), "")</f>
        <v>8.7140000000000004</v>
      </c>
      <c r="AK81" cm="1">
        <f t="array" aca="1" ref="AK81" ca="1">IF( AND($D$7,NOT(ISBLANK($D81))), IF(_xll.IMDP("IR", $D81, AK$8, Matrix!$D$6)=0,"",_xll.IMDP("IR", $D81, AK$8, Matrix!$D$6)), "")</f>
        <v>8.98</v>
      </c>
      <c r="AL81" cm="1">
        <f t="array" aca="1" ref="AL81" ca="1">IF( AND($D$7,NOT(ISBLANK($D81))), IF(_xll.IMDP("IR", $D81, AL$8, Matrix!$D$6)=0,"",_xll.IMDP("IR", $D81, AL$8, Matrix!$D$6)), "")</f>
        <v>9.0649999999999995</v>
      </c>
      <c r="AM81" cm="1">
        <f t="array" aca="1" ref="AM81" ca="1">IF( AND($D$7,NOT(ISBLANK($D81))), IF(_xll.IMDP("IR", $D81, AM$8, Matrix!$D$6)=0,"",_xll.IMDP("IR", $D81, AM$8, Matrix!$D$6)), "")</f>
        <v>9.1929999999999996</v>
      </c>
      <c r="AN81" cm="1">
        <f t="array" aca="1" ref="AN81" ca="1">IF( AND($D$7,NOT(ISBLANK($D81))), IF(_xll.IMDP("IR", $D81, AN$8, Matrix!$D$6)=0,"",_xll.IMDP("IR", $D81, AN$8, Matrix!$D$6)), "")</f>
        <v>9.6270000000000007</v>
      </c>
      <c r="AO81" cm="1">
        <f t="array" aca="1" ref="AO81" ca="1">IF( AND($D$7,NOT(ISBLANK($D81))), IF(_xll.IMDP("IR", $D81, AO$8, Matrix!$D$6)=0,"",_xll.IMDP("IR", $D81, AO$8, Matrix!$D$6)), "")</f>
        <v>9.9169999999999998</v>
      </c>
      <c r="AP81" cm="1">
        <f t="array" aca="1" ref="AP81" ca="1">IF( AND($D$7,NOT(ISBLANK($D81))), IF(_xll.IMDP("IR", $D81, AP$8, Matrix!$D$6)=0,"",_xll.IMDP("IR", $D81, AP$8, Matrix!$D$6)), "")</f>
        <v>10.237</v>
      </c>
      <c r="AQ81" t="str" cm="1">
        <f t="array" aca="1" ref="AQ81" ca="1">IF( AND($D$7,NOT(ISBLANK($D81))), IF(_xll.IMDP("IR", $D81, AQ$8, Matrix!$D$6)=0,"",_xll.IMDP("IR", $D81, AQ$8, Matrix!$D$6)), "")</f>
        <v/>
      </c>
      <c r="AR81" t="str" cm="1">
        <f t="array" aca="1" ref="AR81" ca="1">IF( AND($D$7,NOT(ISBLANK($D81))), IF(_xll.IMDP("IR", $D81, AR$8, Matrix!$D$6)=0,"",_xll.IMDP("IR", $D81, AR$8, Matrix!$D$6)), "")</f>
        <v/>
      </c>
      <c r="AS81" cm="1">
        <f t="array" aca="1" ref="AS81" ca="1">IF( AND($E$7,NOT(ISBLANK($E81))), IF( _xll.IMDP("IR", $E81, AS$8, Matrix!$D$6)=0,"",_xll.IMDP("IR", $E81, AS$8, Matrix!$D$6)), "")</f>
        <v>5.12</v>
      </c>
      <c r="AT81" cm="1">
        <f t="array" aca="1" ref="AT81" ca="1">IF( AND($E$7,NOT(ISBLANK($E81))), IF( _xll.IMDP("IR", $E81, AT$8, Matrix!$D$6)=0,"",_xll.IMDP("IR", $E81, AT$8, Matrix!$D$6)), "")</f>
        <v>5.6680000000000001</v>
      </c>
      <c r="AU81" cm="1">
        <f t="array" aca="1" ref="AU81" ca="1">IF( AND($E$7,NOT(ISBLANK($E81))), IF( _xll.IMDP("IR", $E81, AU$8, Matrix!$D$6)=0,"",_xll.IMDP("IR", $E81, AU$8, Matrix!$D$6)), "")</f>
        <v>6.1319999999999997</v>
      </c>
      <c r="AV81" cm="1">
        <f t="array" aca="1" ref="AV81" ca="1">IF( AND($E$7,NOT(ISBLANK($E81))), IF( _xll.IMDP("IR", $E81, AV$8, Matrix!$D$6)=0,"",_xll.IMDP("IR", $E81, AV$8, Matrix!$D$6)), "")</f>
        <v>6.407</v>
      </c>
      <c r="AW81" cm="1">
        <f t="array" aca="1" ref="AW81" ca="1">IF( AND($E$7,NOT(ISBLANK($E81))), IF( _xll.IMDP("IR", $E81, AW$8, Matrix!$D$6)=0,"",_xll.IMDP("IR", $E81, AW$8, Matrix!$D$6)), "")</f>
        <v>6.9930000000000003</v>
      </c>
      <c r="AX81" cm="1">
        <f t="array" aca="1" ref="AX81" ca="1">IF( AND($E$7,NOT(ISBLANK($E81))), IF( _xll.IMDP("IR", $E81, AX$8, Matrix!$D$6)=0,"",_xll.IMDP("IR", $E81, AX$8, Matrix!$D$6)), "")</f>
        <v>7.69</v>
      </c>
      <c r="AY81" cm="1">
        <f t="array" aca="1" ref="AY81" ca="1">IF( AND($E$7,NOT(ISBLANK($E81))), IF( _xll.IMDP("IR", $E81, AY$8, Matrix!$D$6)=0,"",_xll.IMDP("IR", $E81, AY$8, Matrix!$D$6)), "")</f>
        <v>8.1739999999999995</v>
      </c>
      <c r="AZ81" cm="1">
        <f t="array" aca="1" ref="AZ81" ca="1">IF( AND($E$7,NOT(ISBLANK($E81))), IF( _xll.IMDP("IR", $E81, AZ$8, Matrix!$D$6)=0,"",_xll.IMDP("IR", $E81, AZ$8, Matrix!$D$6)), "")</f>
        <v>8.4830000000000005</v>
      </c>
      <c r="BA81" cm="1">
        <f t="array" aca="1" ref="BA81" ca="1">IF( AND($E$7,NOT(ISBLANK($E81))), IF( _xll.IMDP("IR", $E81, BA$8, Matrix!$D$6)=0,"",_xll.IMDP("IR", $E81, BA$8, Matrix!$D$6)), "")</f>
        <v>8.7240000000000002</v>
      </c>
      <c r="BB81" cm="1">
        <f t="array" aca="1" ref="BB81" ca="1">IF( AND($E$7,NOT(ISBLANK($E81))), IF( _xll.IMDP("IR", $E81, BB$8, Matrix!$D$6)=0,"",_xll.IMDP("IR", $E81, BB$8, Matrix!$D$6)), "")</f>
        <v>8.8480000000000008</v>
      </c>
      <c r="BC81" cm="1">
        <f t="array" aca="1" ref="BC81" ca="1">IF( AND($E$7,NOT(ISBLANK($E81))), IF( _xll.IMDP("IR", $E81, BC$8, Matrix!$D$6)=0,"",_xll.IMDP("IR", $E81, BC$8, Matrix!$D$6)), "")</f>
        <v>8.9700000000000006</v>
      </c>
      <c r="BD81" cm="1">
        <f t="array" aca="1" ref="BD81" ca="1">IF( AND($E$7,NOT(ISBLANK($E81))), IF( _xll.IMDP("IR", $E81, BD$8, Matrix!$D$6)=0,"",_xll.IMDP("IR", $E81, BD$8, Matrix!$D$6)), "")</f>
        <v>9.3970000000000002</v>
      </c>
      <c r="BE81" cm="1">
        <f t="array" aca="1" ref="BE81" ca="1">IF( AND($E$7,NOT(ISBLANK($E81))), IF( _xll.IMDP("IR", $E81, BE$8, Matrix!$D$6)=0,"",_xll.IMDP("IR", $E81, BE$8, Matrix!$D$6)), "")</f>
        <v>9.8000000000000007</v>
      </c>
      <c r="BF81" cm="1">
        <f t="array" aca="1" ref="BF81" ca="1">IF( AND($E$7,NOT(ISBLANK($E81))), IF( _xll.IMDP("IR", $E81, BF$8, Matrix!$D$6)=0,"",_xll.IMDP("IR", $E81, BF$8, Matrix!$D$6)), "")</f>
        <v>10.189</v>
      </c>
      <c r="BG81" t="str" cm="1">
        <f t="array" aca="1" ref="BG81" ca="1">IF( AND($E$7,NOT(ISBLANK($E81))), IF( _xll.IMDP("IR", $E81, BG$8, Matrix!$D$6)=0,"",_xll.IMDP("IR", $E81, BG$8, Matrix!$D$6)), "")</f>
        <v/>
      </c>
      <c r="BH81" t="str" cm="1">
        <f t="array" aca="1" ref="BH81" ca="1">IF( AND($E$7,NOT(ISBLANK($E81))), IF( _xll.IMDP("IR", $E81, BH$8, Matrix!$D$6)=0,"",_xll.IMDP("IR", $E81, BH$8, Matrix!$D$6)), "")</f>
        <v/>
      </c>
      <c r="BI81" cm="1">
        <f t="array" aca="1" ref="BI81" ca="1">IF( AND($F$7,NOT(ISBLANK($F81))), IF( _xll.IMDP("IR", $F81, BI$8, Matrix!$D$6)=0,"",_xll.IMDP("IR", $F81, BI$8, Matrix!$D$6)), "")</f>
        <v>5.1589999999999998</v>
      </c>
      <c r="BJ81" cm="1">
        <f t="array" aca="1" ref="BJ81" ca="1">IF( AND($F$7,NOT(ISBLANK($F81))), IF( _xll.IMDP("IR", $F81, BJ$8, Matrix!$D$6)=0,"",_xll.IMDP("IR", $F81, BJ$8, Matrix!$D$6)), "")</f>
        <v>5.7510000000000003</v>
      </c>
      <c r="BK81" cm="1">
        <f t="array" aca="1" ref="BK81" ca="1">IF( AND($F$7,NOT(ISBLANK($F81))), IF( _xll.IMDP("IR", $F81, BK$8, Matrix!$D$6)=0,"",_xll.IMDP("IR", $F81, BK$8, Matrix!$D$6)), "")</f>
        <v>6.2640000000000002</v>
      </c>
      <c r="BL81" cm="1">
        <f t="array" aca="1" ref="BL81" ca="1">IF( AND($F$7,NOT(ISBLANK($F81))), IF( _xll.IMDP("IR", $F81, BL$8, Matrix!$D$6)=0,"",_xll.IMDP("IR", $F81, BL$8, Matrix!$D$6)), "")</f>
        <v>6.6340000000000003</v>
      </c>
      <c r="BM81" cm="1">
        <f t="array" aca="1" ref="BM81" ca="1">IF( AND($F$7,NOT(ISBLANK($F81))), IF( _xll.IMDP("IR", $F81, BM$8, Matrix!$D$6)=0,"",_xll.IMDP("IR", $F81, BM$8, Matrix!$D$6)), "")</f>
        <v>7.1760000000000002</v>
      </c>
      <c r="BN81" cm="1">
        <f t="array" aca="1" ref="BN81" ca="1">IF( AND($F$7,NOT(ISBLANK($F81))), IF( _xll.IMDP("IR", $F81, BN$8, Matrix!$D$6)=0,"",_xll.IMDP("IR", $F81, BN$8, Matrix!$D$6)), "")</f>
        <v>7.9050000000000002</v>
      </c>
      <c r="BO81" cm="1">
        <f t="array" aca="1" ref="BO81" ca="1">IF( AND($F$7,NOT(ISBLANK($F81))), IF( _xll.IMDP("IR", $F81, BO$8, Matrix!$D$6)=0,"",_xll.IMDP("IR", $F81, BO$8, Matrix!$D$6)), "")</f>
        <v>8.4009999999999998</v>
      </c>
      <c r="BP81" cm="1">
        <f t="array" aca="1" ref="BP81" ca="1">IF( AND($F$7,NOT(ISBLANK($F81))), IF( _xll.IMDP("IR", $F81, BP$8, Matrix!$D$6)=0,"",_xll.IMDP("IR", $F81, BP$8, Matrix!$D$6)), "")</f>
        <v>8.7149999999999999</v>
      </c>
      <c r="BQ81" cm="1">
        <f t="array" aca="1" ref="BQ81" ca="1">IF( AND($F$7,NOT(ISBLANK($F81))), IF( _xll.IMDP("IR", $F81, BQ$8, Matrix!$D$6)=0,"",_xll.IMDP("IR", $F81, BQ$8, Matrix!$D$6)), "")</f>
        <v>8.9719999999999995</v>
      </c>
      <c r="BR81" cm="1">
        <f t="array" aca="1" ref="BR81" ca="1">IF( AND($F$7,NOT(ISBLANK($F81))), IF( _xll.IMDP("IR", $F81, BR$8, Matrix!$D$6)=0,"",_xll.IMDP("IR", $F81, BR$8, Matrix!$D$6)), "")</f>
        <v>9.0960000000000001</v>
      </c>
      <c r="BS81" cm="1">
        <f t="array" aca="1" ref="BS81" ca="1">IF( AND($F$7,NOT(ISBLANK($F81))), IF( _xll.IMDP("IR", $F81, BS$8, Matrix!$D$6)=0,"",_xll.IMDP("IR", $F81, BS$8, Matrix!$D$6)), "")</f>
        <v>9.1660000000000004</v>
      </c>
      <c r="BT81" cm="1">
        <f t="array" aca="1" ref="BT81" ca="1">IF( AND($F$7,NOT(ISBLANK($F81))), IF( _xll.IMDP("IR", $F81, BT$8, Matrix!$D$6)=0,"",_xll.IMDP("IR", $F81, BT$8, Matrix!$D$6)), "")</f>
        <v>9.5139999999999993</v>
      </c>
      <c r="BU81" cm="1">
        <f t="array" aca="1" ref="BU81" ca="1">IF( AND($F$7,NOT(ISBLANK($F81))), IF( _xll.IMDP("IR", $F81, BU$8, Matrix!$D$6)=0,"",_xll.IMDP("IR", $F81, BU$8, Matrix!$D$6)), "")</f>
        <v>9.8819999999999997</v>
      </c>
      <c r="BV81" cm="1">
        <f t="array" aca="1" ref="BV81" ca="1">IF( AND($F$7,NOT(ISBLANK($F81))), IF( _xll.IMDP("IR", $F81, BV$8, Matrix!$D$6)=0,"",_xll.IMDP("IR", $F81, BV$8, Matrix!$D$6)), "")</f>
        <v>10.207000000000001</v>
      </c>
      <c r="BW81" t="str" cm="1">
        <f t="array" aca="1" ref="BW81" ca="1">IF( AND($F$7,NOT(ISBLANK($F81))), IF( _xll.IMDP("IR", $F81, BW$8, Matrix!$D$6)=0,"",_xll.IMDP("IR", $F81, BW$8, Matrix!$D$6)), "")</f>
        <v/>
      </c>
      <c r="BX81" t="str" cm="1">
        <f t="array" aca="1" ref="BX81" ca="1">IF( AND($F$7,NOT(ISBLANK($F81))), IF( _xll.IMDP("IR", $F81, BX$8, Matrix!$D$6)=0,"",_xll.IMDP("IR", $F81, BX$8, Matrix!$D$6)), "")</f>
        <v/>
      </c>
      <c r="BY81" cm="1">
        <f t="array" aca="1" ref="BY81" ca="1">IF( AND($G$7,NOT(ISBLANK($G81))), IF( _xll.IMDP("IR", $G81, BY$8, Matrix!$D$6)=0, "", _xll.IMDP("IR", $G81, BY$8, Matrix!$D$6)), "")</f>
        <v>5.1440000000000001</v>
      </c>
      <c r="BZ81" cm="1">
        <f t="array" aca="1" ref="BZ81" ca="1">IF( AND($G$7,NOT(ISBLANK($G81))), IF( _xll.IMDP("IR", $G81, BZ$8, Matrix!$D$6)=0, "", _xll.IMDP("IR", $G81, BZ$8, Matrix!$D$6)), "")</f>
        <v>5.7270000000000003</v>
      </c>
      <c r="CA81" cm="1">
        <f t="array" aca="1" ref="CA81" ca="1">IF( AND($G$7,NOT(ISBLANK($G81))), IF( _xll.IMDP("IR", $G81, CA$8, Matrix!$D$6)=0, "", _xll.IMDP("IR", $G81, CA$8, Matrix!$D$6)), "")</f>
        <v>6.18</v>
      </c>
      <c r="CB81" cm="1">
        <f t="array" aca="1" ref="CB81" ca="1">IF( AND($G$7,NOT(ISBLANK($G81))), IF( _xll.IMDP("IR", $G81, CB$8, Matrix!$D$6)=0, "", _xll.IMDP("IR", $G81, CB$8, Matrix!$D$6)), "")</f>
        <v>6.5380000000000003</v>
      </c>
      <c r="CC81" cm="1">
        <f t="array" aca="1" ref="CC81" ca="1">IF( AND($G$7,NOT(ISBLANK($G81))), IF( _xll.IMDP("IR", $G81, CC$8, Matrix!$D$6)=0, "", _xll.IMDP("IR", $G81, CC$8, Matrix!$D$6)), "")</f>
        <v>7.0730000000000004</v>
      </c>
      <c r="CD81" cm="1">
        <f t="array" aca="1" ref="CD81" ca="1">IF( AND($G$7,NOT(ISBLANK($G81))), IF( _xll.IMDP("IR", $G81, CD$8, Matrix!$D$6)=0, "", _xll.IMDP("IR", $G81, CD$8, Matrix!$D$6)), "")</f>
        <v>7.81</v>
      </c>
      <c r="CE81" cm="1">
        <f t="array" aca="1" ref="CE81" ca="1">IF( AND($G$7,NOT(ISBLANK($G81))), IF( _xll.IMDP("IR", $G81, CE$8, Matrix!$D$6)=0, "", _xll.IMDP("IR", $G81, CE$8, Matrix!$D$6)), "")</f>
        <v>8.2490000000000006</v>
      </c>
      <c r="CF81" cm="1">
        <f t="array" aca="1" ref="CF81" ca="1">IF( AND($G$7,NOT(ISBLANK($G81))), IF( _xll.IMDP("IR", $G81, CF$8, Matrix!$D$6)=0, "", _xll.IMDP("IR", $G81, CF$8, Matrix!$D$6)), "")</f>
        <v>8.5980000000000008</v>
      </c>
      <c r="CG81" cm="1">
        <f t="array" aca="1" ref="CG81" ca="1">IF( AND($G$7,NOT(ISBLANK($G81))), IF( _xll.IMDP("IR", $G81, CG$8, Matrix!$D$6)=0, "", _xll.IMDP("IR", $G81, CG$8, Matrix!$D$6)), "")</f>
        <v>8.8680000000000003</v>
      </c>
      <c r="CH81" cm="1">
        <f t="array" aca="1" ref="CH81" ca="1">IF( AND($G$7,NOT(ISBLANK($G81))), IF( _xll.IMDP("IR", $G81, CH$8, Matrix!$D$6)=0, "", _xll.IMDP("IR", $G81, CH$8, Matrix!$D$6)), "")</f>
        <v>8.9740000000000002</v>
      </c>
      <c r="CI81" cm="1">
        <f t="array" aca="1" ref="CI81" ca="1">IF( AND($G$7,NOT(ISBLANK($G81))), IF( _xll.IMDP("IR", $G81, CI$8, Matrix!$D$6)=0, "", _xll.IMDP("IR", $G81, CI$8, Matrix!$D$6)), "")</f>
        <v>9.0670000000000002</v>
      </c>
      <c r="CJ81" cm="1">
        <f t="array" aca="1" ref="CJ81" ca="1">IF( AND($G$7,NOT(ISBLANK($G81))), IF( _xll.IMDP("IR", $G81, CJ$8, Matrix!$D$6)=0, "", _xll.IMDP("IR", $G81, CJ$8, Matrix!$D$6)), "")</f>
        <v>9.3930000000000007</v>
      </c>
      <c r="CK81" cm="1">
        <f t="array" aca="1" ref="CK81" ca="1">IF( AND($G$7,NOT(ISBLANK($G81))), IF( _xll.IMDP("IR", $G81, CK$8, Matrix!$D$6)=0, "", _xll.IMDP("IR", $G81, CK$8, Matrix!$D$6)), "")</f>
        <v>9.8699999999999992</v>
      </c>
      <c r="CL81" cm="1">
        <f t="array" aca="1" ref="CL81" ca="1">IF( AND($G$7,NOT(ISBLANK($G81))), IF( _xll.IMDP("IR", $G81, CL$8, Matrix!$D$6)=0, "", _xll.IMDP("IR", $G81, CL$8, Matrix!$D$6)), "")</f>
        <v>10.212</v>
      </c>
      <c r="CM81" t="str" cm="1">
        <f t="array" aca="1" ref="CM81" ca="1">IF( AND($G$7,NOT(ISBLANK($G81))), IF( _xll.IMDP("IR", $G81, CM$8, Matrix!$D$6)=0, "", _xll.IMDP("IR", $G81, CM$8, Matrix!$D$6)), "")</f>
        <v/>
      </c>
      <c r="CN81" t="str" cm="1">
        <f t="array" aca="1" ref="CN81" ca="1">IF( AND($G$7,NOT(ISBLANK($G81))), IF( _xll.IMDP("IR", $G81, CN$8, Matrix!$D$6)=0, "", _xll.IMDP("IR", $G81, CN$8, Matrix!$D$6)), "")</f>
        <v/>
      </c>
      <c r="CO81" t="str" cm="1">
        <f t="array" ref="CO81">IF( AND($H$7,NOT(ISBLANK($H81))), IF( _xll.IMDP("IR", $H81, CO$8, Matrix!$D$6)=0, "", _xll.IMDP("IR", $H81, CO$8, Matrix!$D$6)), "")</f>
        <v/>
      </c>
      <c r="CP81" t="str" cm="1">
        <f t="array" ref="CP81">IF( AND($H$7,NOT(ISBLANK($H81))), IF( _xll.IMDP("IR", $H81, CP$8, Matrix!$D$6)=0, "", _xll.IMDP("IR", $H81, CP$8, Matrix!$D$6)), "")</f>
        <v/>
      </c>
      <c r="CQ81" t="str" cm="1">
        <f t="array" ref="CQ81">IF( AND($H$7,NOT(ISBLANK($H81))), IF( _xll.IMDP("IR", $H81, CQ$8, Matrix!$D$6)=0, "", _xll.IMDP("IR", $H81, CQ$8, Matrix!$D$6)), "")</f>
        <v/>
      </c>
      <c r="CR81" t="str" cm="1">
        <f t="array" ref="CR81">IF( AND($H$7,NOT(ISBLANK($H81))), IF( _xll.IMDP("IR", $H81, CR$8, Matrix!$D$6)=0, "", _xll.IMDP("IR", $H81, CR$8, Matrix!$D$6)), "")</f>
        <v/>
      </c>
      <c r="CS81" t="str" cm="1">
        <f t="array" ref="CS81">IF( AND($H$7,NOT(ISBLANK($H81))), IF( _xll.IMDP("IR", $H81, CS$8, Matrix!$D$6)=0, "", _xll.IMDP("IR", $H81, CS$8, Matrix!$D$6)), "")</f>
        <v/>
      </c>
      <c r="CT81" t="str" cm="1">
        <f t="array" ref="CT81">IF( AND($H$7,NOT(ISBLANK($H81))), IF( _xll.IMDP("IR", $H81, CT$8, Matrix!$D$6)=0, "", _xll.IMDP("IR", $H81, CT$8, Matrix!$D$6)), "")</f>
        <v/>
      </c>
      <c r="CU81" t="str" cm="1">
        <f t="array" ref="CU81">IF( AND($H$7,NOT(ISBLANK($H81))), IF( _xll.IMDP("IR", $H81, CU$8, Matrix!$D$6)=0, "", _xll.IMDP("IR", $H81, CU$8, Matrix!$D$6)), "")</f>
        <v/>
      </c>
      <c r="CV81" t="str" cm="1">
        <f t="array" ref="CV81">IF( AND($H$7,NOT(ISBLANK($H81))), IF( _xll.IMDP("IR", $H81, CV$8, Matrix!$D$6)=0, "", _xll.IMDP("IR", $H81, CV$8, Matrix!$D$6)), "")</f>
        <v/>
      </c>
      <c r="CW81" t="str" cm="1">
        <f t="array" ref="CW81">IF( AND($H$7,NOT(ISBLANK($H81))), IF( _xll.IMDP("IR", $H81, CW$8, Matrix!$D$6)=0, "", _xll.IMDP("IR", $H81, CW$8, Matrix!$D$6)), "")</f>
        <v/>
      </c>
      <c r="CX81" t="str" cm="1">
        <f t="array" ref="CX81">IF( AND($H$7,NOT(ISBLANK($H81))), IF( _xll.IMDP("IR", $H81, CX$8, Matrix!$D$6)=0, "", _xll.IMDP("IR", $H81, CX$8, Matrix!$D$6)), "")</f>
        <v/>
      </c>
      <c r="CY81" t="str" cm="1">
        <f t="array" ref="CY81">IF( AND($H$7,NOT(ISBLANK($H81))), IF( _xll.IMDP("IR", $H81, CY$8, Matrix!$D$6)=0, "", _xll.IMDP("IR", $H81, CY$8, Matrix!$D$6)), "")</f>
        <v/>
      </c>
      <c r="CZ81" t="str" cm="1">
        <f t="array" ref="CZ81">IF( AND($H$7,NOT(ISBLANK($H81))), IF( _xll.IMDP("IR", $H81, CZ$8, Matrix!$D$6)=0, "", _xll.IMDP("IR", $H81, CZ$8, Matrix!$D$6)), "")</f>
        <v/>
      </c>
      <c r="DA81" t="str" cm="1">
        <f t="array" ref="DA81">IF( AND($H$7,NOT(ISBLANK($H81))), IF( _xll.IMDP("IR", $H81, DA$8, Matrix!$D$6)=0, "", _xll.IMDP("IR", $H81, DA$8, Matrix!$D$6)), "")</f>
        <v/>
      </c>
      <c r="DB81" t="str" cm="1">
        <f t="array" ref="DB81">IF( AND($H$7,NOT(ISBLANK($H81))), IF( _xll.IMDP("IR", $H81, DB$8, Matrix!$D$6)=0, "", _xll.IMDP("IR", $H81, DB$8, Matrix!$D$6)), "")</f>
        <v/>
      </c>
      <c r="DC81" t="str" cm="1">
        <f t="array" ref="DC81">IF( AND($H$7,NOT(ISBLANK($H81))), IF( _xll.IMDP("IR", $H81, DC$8, Matrix!$D$6)=0, "", _xll.IMDP("IR", $H81, DC$8, Matrix!$D$6)), "")</f>
        <v/>
      </c>
      <c r="DD81" t="str" cm="1">
        <f t="array" ref="DD81">IF( AND($H$7,NOT(ISBLANK($H81))), IF( _xll.IMDP("IR", $H81, DD$8, Matrix!$D$6)=0, "", _xll.IMDP("IR", $H81, DD$8, Matrix!$D$6)), "")</f>
        <v/>
      </c>
    </row>
    <row r="82" spans="2:108">
      <c r="B82" t="s">
        <v>150</v>
      </c>
      <c r="C82" t="s">
        <v>224</v>
      </c>
      <c r="D82" t="s">
        <v>289</v>
      </c>
      <c r="E82" t="s">
        <v>350</v>
      </c>
      <c r="F82" t="s">
        <v>420</v>
      </c>
      <c r="G82" t="s">
        <v>483</v>
      </c>
      <c r="M82" s="21">
        <f t="shared" ca="1" si="34"/>
        <v>6.094761052401676</v>
      </c>
      <c r="N82" s="21">
        <f t="shared" ca="1" si="35"/>
        <v>6.7994982671000246</v>
      </c>
      <c r="O82" s="21">
        <f t="shared" ca="1" si="36"/>
        <v>7.4342259491396696</v>
      </c>
      <c r="P82" s="21">
        <f t="shared" ca="1" si="37"/>
        <v>7.84014745721724</v>
      </c>
      <c r="Q82" s="21">
        <f t="shared" ca="1" si="38"/>
        <v>8.566305544024722</v>
      </c>
      <c r="R82" s="21">
        <f t="shared" ca="1" si="39"/>
        <v>9.3042959822357858</v>
      </c>
      <c r="S82" s="21">
        <f t="shared" ca="1" si="40"/>
        <v>9.8537820166169645</v>
      </c>
      <c r="T82" s="21">
        <f t="shared" ca="1" si="41"/>
        <v>10.303271509384722</v>
      </c>
      <c r="U82" s="21">
        <f t="shared" ca="1" si="42"/>
        <v>10.579325505523435</v>
      </c>
      <c r="V82" s="21">
        <f t="shared" ca="1" si="43"/>
        <v>10.706092536495417</v>
      </c>
      <c r="W82" s="21">
        <f t="shared" ca="1" si="44"/>
        <v>10.8222867019257</v>
      </c>
      <c r="X82" s="21">
        <f t="shared" ca="1" si="45"/>
        <v>11.200489985880555</v>
      </c>
      <c r="Y82" s="21">
        <f t="shared" ca="1" si="46"/>
        <v>11.60793423663573</v>
      </c>
      <c r="Z82" s="21">
        <f t="shared" ca="1" si="47"/>
        <v>11.923723307596696</v>
      </c>
      <c r="AA82" s="21" t="e">
        <f t="shared" ca="1" si="48"/>
        <v>#NUM!</v>
      </c>
      <c r="AB82" s="21" t="e">
        <f t="shared" ca="1" si="49"/>
        <v>#NUM!</v>
      </c>
      <c r="AC82" cm="1">
        <f t="array" aca="1" ref="AC82" ca="1">IF( AND($D$7,NOT(ISBLANK($D82))), IF(_xll.IMDP("IR", $D82, AC$8, Matrix!$D$6)=0,"",_xll.IMDP("IR", $D82, AC$8, Matrix!$D$6)), "")</f>
        <v>5.7939999999999996</v>
      </c>
      <c r="AD82" cm="1">
        <f t="array" aca="1" ref="AD82" ca="1">IF( AND($D$7,NOT(ISBLANK($D82))), IF(_xll.IMDP("IR", $D82, AD$8, Matrix!$D$6)=0,"",_xll.IMDP("IR", $D82, AD$8, Matrix!$D$6)), "")</f>
        <v>6.6040000000000001</v>
      </c>
      <c r="AE82" cm="1">
        <f t="array" aca="1" ref="AE82" ca="1">IF( AND($D$7,NOT(ISBLANK($D82))), IF(_xll.IMDP("IR", $D82, AE$8, Matrix!$D$6)=0,"",_xll.IMDP("IR", $D82, AE$8, Matrix!$D$6)), "")</f>
        <v>7.3220000000000001</v>
      </c>
      <c r="AF82" cm="1">
        <f t="array" aca="1" ref="AF82" ca="1">IF( AND($D$7,NOT(ISBLANK($D82))), IF(_xll.IMDP("IR", $D82, AF$8, Matrix!$D$6)=0,"",_xll.IMDP("IR", $D82, AF$8, Matrix!$D$6)), "")</f>
        <v>7.7519999999999998</v>
      </c>
      <c r="AG82" cm="1">
        <f t="array" aca="1" ref="AG82" ca="1">IF( AND($D$7,NOT(ISBLANK($D82))), IF(_xll.IMDP("IR", $D82, AG$8, Matrix!$D$6)=0,"",_xll.IMDP("IR", $D82, AG$8, Matrix!$D$6)), "")</f>
        <v>8.4990000000000006</v>
      </c>
      <c r="AH82" cm="1">
        <f t="array" aca="1" ref="AH82" ca="1">IF( AND($D$7,NOT(ISBLANK($D82))), IF(_xll.IMDP("IR", $D82, AH$8, Matrix!$D$6)=0,"",_xll.IMDP("IR", $D82, AH$8, Matrix!$D$6)), "")</f>
        <v>9.2240000000000002</v>
      </c>
      <c r="AI82" cm="1">
        <f t="array" aca="1" ref="AI82" ca="1">IF( AND($D$7,NOT(ISBLANK($D82))), IF(_xll.IMDP("IR", $D82, AI$8, Matrix!$D$6)=0,"",_xll.IMDP("IR", $D82, AI$8, Matrix!$D$6)), "")</f>
        <v>9.7729999999999997</v>
      </c>
      <c r="AJ82" cm="1">
        <f t="array" aca="1" ref="AJ82" ca="1">IF( AND($D$7,NOT(ISBLANK($D82))), IF(_xll.IMDP("IR", $D82, AJ$8, Matrix!$D$6)=0,"",_xll.IMDP("IR", $D82, AJ$8, Matrix!$D$6)), "")</f>
        <v>10.208</v>
      </c>
      <c r="AK82" cm="1">
        <f t="array" aca="1" ref="AK82" ca="1">IF( AND($D$7,NOT(ISBLANK($D82))), IF(_xll.IMDP("IR", $D82, AK$8, Matrix!$D$6)=0,"",_xll.IMDP("IR", $D82, AK$8, Matrix!$D$6)), "")</f>
        <v>10.452999999999999</v>
      </c>
      <c r="AL82" cm="1">
        <f t="array" aca="1" ref="AL82" ca="1">IF( AND($D$7,NOT(ISBLANK($D82))), IF(_xll.IMDP("IR", $D82, AL$8, Matrix!$D$6)=0,"",_xll.IMDP("IR", $D82, AL$8, Matrix!$D$6)), "")</f>
        <v>10.555</v>
      </c>
      <c r="AM82" cm="1">
        <f t="array" aca="1" ref="AM82" ca="1">IF( AND($D$7,NOT(ISBLANK($D82))), IF(_xll.IMDP("IR", $D82, AM$8, Matrix!$D$6)=0,"",_xll.IMDP("IR", $D82, AM$8, Matrix!$D$6)), "")</f>
        <v>10.661</v>
      </c>
      <c r="AN82" cm="1">
        <f t="array" aca="1" ref="AN82" ca="1">IF( AND($D$7,NOT(ISBLANK($D82))), IF(_xll.IMDP("IR", $D82, AN$8, Matrix!$D$6)=0,"",_xll.IMDP("IR", $D82, AN$8, Matrix!$D$6)), "")</f>
        <v>11.068</v>
      </c>
      <c r="AO82" cm="1">
        <f t="array" aca="1" ref="AO82" ca="1">IF( AND($D$7,NOT(ISBLANK($D82))), IF(_xll.IMDP("IR", $D82, AO$8, Matrix!$D$6)=0,"",_xll.IMDP("IR", $D82, AO$8, Matrix!$D$6)), "")</f>
        <v>11.444000000000001</v>
      </c>
      <c r="AP82" cm="1">
        <f t="array" aca="1" ref="AP82" ca="1">IF( AND($D$7,NOT(ISBLANK($D82))), IF(_xll.IMDP("IR", $D82, AP$8, Matrix!$D$6)=0,"",_xll.IMDP("IR", $D82, AP$8, Matrix!$D$6)), "")</f>
        <v>11.712</v>
      </c>
      <c r="AQ82" t="str" cm="1">
        <f t="array" aca="1" ref="AQ82" ca="1">IF( AND($D$7,NOT(ISBLANK($D82))), IF(_xll.IMDP("IR", $D82, AQ$8, Matrix!$D$6)=0,"",_xll.IMDP("IR", $D82, AQ$8, Matrix!$D$6)), "")</f>
        <v/>
      </c>
      <c r="AR82" t="str" cm="1">
        <f t="array" aca="1" ref="AR82" ca="1">IF( AND($D$7,NOT(ISBLANK($D82))), IF(_xll.IMDP("IR", $D82, AR$8, Matrix!$D$6)=0,"",_xll.IMDP("IR", $D82, AR$8, Matrix!$D$6)), "")</f>
        <v/>
      </c>
      <c r="AS82" cm="1">
        <f t="array" aca="1" ref="AS82" ca="1">IF( AND($E$7,NOT(ISBLANK($E82))), IF( _xll.IMDP("IR", $E82, AS$8, Matrix!$D$6)=0,"",_xll.IMDP("IR", $E82, AS$8, Matrix!$D$6)), "")</f>
        <v>6.335</v>
      </c>
      <c r="AT82" cm="1">
        <f t="array" aca="1" ref="AT82" ca="1">IF( AND($E$7,NOT(ISBLANK($E82))), IF( _xll.IMDP("IR", $E82, AT$8, Matrix!$D$6)=0,"",_xll.IMDP("IR", $E82, AT$8, Matrix!$D$6)), "")</f>
        <v>7.0030000000000001</v>
      </c>
      <c r="AU82" cm="1">
        <f t="array" aca="1" ref="AU82" ca="1">IF( AND($E$7,NOT(ISBLANK($E82))), IF( _xll.IMDP("IR", $E82, AU$8, Matrix!$D$6)=0,"",_xll.IMDP("IR", $E82, AU$8, Matrix!$D$6)), "")</f>
        <v>7.6070000000000002</v>
      </c>
      <c r="AV82" cm="1">
        <f t="array" aca="1" ref="AV82" ca="1">IF( AND($E$7,NOT(ISBLANK($E82))), IF( _xll.IMDP("IR", $E82, AV$8, Matrix!$D$6)=0,"",_xll.IMDP("IR", $E82, AV$8, Matrix!$D$6)), "")</f>
        <v>7.9470000000000001</v>
      </c>
      <c r="AW82" cm="1">
        <f t="array" aca="1" ref="AW82" ca="1">IF( AND($E$7,NOT(ISBLANK($E82))), IF( _xll.IMDP("IR", $E82, AW$8, Matrix!$D$6)=0,"",_xll.IMDP("IR", $E82, AW$8, Matrix!$D$6)), "")</f>
        <v>8.6579999999999995</v>
      </c>
      <c r="AX82" cm="1">
        <f t="array" aca="1" ref="AX82" ca="1">IF( AND($E$7,NOT(ISBLANK($E82))), IF( _xll.IMDP("IR", $E82, AX$8, Matrix!$D$6)=0,"",_xll.IMDP("IR", $E82, AX$8, Matrix!$D$6)), "")</f>
        <v>9.3949999999999996</v>
      </c>
      <c r="AY82" cm="1">
        <f t="array" aca="1" ref="AY82" ca="1">IF( AND($E$7,NOT(ISBLANK($E82))), IF( _xll.IMDP("IR", $E82, AY$8, Matrix!$D$6)=0,"",_xll.IMDP("IR", $E82, AY$8, Matrix!$D$6)), "")</f>
        <v>9.9459999999999997</v>
      </c>
      <c r="AZ82" cm="1">
        <f t="array" aca="1" ref="AZ82" ca="1">IF( AND($E$7,NOT(ISBLANK($E82))), IF( _xll.IMDP("IR", $E82, AZ$8, Matrix!$D$6)=0,"",_xll.IMDP("IR", $E82, AZ$8, Matrix!$D$6)), "")</f>
        <v>10.39</v>
      </c>
      <c r="BA82" cm="1">
        <f t="array" aca="1" ref="BA82" ca="1">IF( AND($E$7,NOT(ISBLANK($E82))), IF( _xll.IMDP("IR", $E82, BA$8, Matrix!$D$6)=0,"",_xll.IMDP("IR", $E82, BA$8, Matrix!$D$6)), "")</f>
        <v>10.688000000000001</v>
      </c>
      <c r="BB82" cm="1">
        <f t="array" aca="1" ref="BB82" ca="1">IF( AND($E$7,NOT(ISBLANK($E82))), IF( _xll.IMDP("IR", $E82, BB$8, Matrix!$D$6)=0,"",_xll.IMDP("IR", $E82, BB$8, Matrix!$D$6)), "")</f>
        <v>10.803000000000001</v>
      </c>
      <c r="BC82" cm="1">
        <f t="array" aca="1" ref="BC82" ca="1">IF( AND($E$7,NOT(ISBLANK($E82))), IF( _xll.IMDP("IR", $E82, BC$8, Matrix!$D$6)=0,"",_xll.IMDP("IR", $E82, BC$8, Matrix!$D$6)), "")</f>
        <v>10.923999999999999</v>
      </c>
      <c r="BD82" cm="1">
        <f t="array" aca="1" ref="BD82" ca="1">IF( AND($E$7,NOT(ISBLANK($E82))), IF( _xll.IMDP("IR", $E82, BD$8, Matrix!$D$6)=0,"",_xll.IMDP("IR", $E82, BD$8, Matrix!$D$6)), "")</f>
        <v>11.362</v>
      </c>
      <c r="BE82" cm="1">
        <f t="array" aca="1" ref="BE82" ca="1">IF( AND($E$7,NOT(ISBLANK($E82))), IF( _xll.IMDP("IR", $E82, BE$8, Matrix!$D$6)=0,"",_xll.IMDP("IR", $E82, BE$8, Matrix!$D$6)), "")</f>
        <v>11.755000000000001</v>
      </c>
      <c r="BF82" cm="1">
        <f t="array" aca="1" ref="BF82" ca="1">IF( AND($E$7,NOT(ISBLANK($E82))), IF( _xll.IMDP("IR", $E82, BF$8, Matrix!$D$6)=0,"",_xll.IMDP("IR", $E82, BF$8, Matrix!$D$6)), "")</f>
        <v>12.154</v>
      </c>
      <c r="BG82" t="str" cm="1">
        <f t="array" aca="1" ref="BG82" ca="1">IF( AND($E$7,NOT(ISBLANK($E82))), IF( _xll.IMDP("IR", $E82, BG$8, Matrix!$D$6)=0,"",_xll.IMDP("IR", $E82, BG$8, Matrix!$D$6)), "")</f>
        <v/>
      </c>
      <c r="BH82" t="str" cm="1">
        <f t="array" aca="1" ref="BH82" ca="1">IF( AND($E$7,NOT(ISBLANK($E82))), IF( _xll.IMDP("IR", $E82, BH$8, Matrix!$D$6)=0,"",_xll.IMDP("IR", $E82, BH$8, Matrix!$D$6)), "")</f>
        <v/>
      </c>
      <c r="BI82" cm="1">
        <f t="array" aca="1" ref="BI82" ca="1">IF( AND($F$7,NOT(ISBLANK($F82))), IF( _xll.IMDP("IR", $F82, BI$8, Matrix!$D$6)=0,"",_xll.IMDP("IR", $F82, BI$8, Matrix!$D$6)), "")</f>
        <v>6.1840000000000002</v>
      </c>
      <c r="BJ82" cm="1">
        <f t="array" aca="1" ref="BJ82" ca="1">IF( AND($F$7,NOT(ISBLANK($F82))), IF( _xll.IMDP("IR", $F82, BJ$8, Matrix!$D$6)=0,"",_xll.IMDP("IR", $F82, BJ$8, Matrix!$D$6)), "")</f>
        <v>6.8310000000000004</v>
      </c>
      <c r="BK82" cm="1">
        <f t="array" aca="1" ref="BK82" ca="1">IF( AND($F$7,NOT(ISBLANK($F82))), IF( _xll.IMDP("IR", $F82, BK$8, Matrix!$D$6)=0,"",_xll.IMDP("IR", $F82, BK$8, Matrix!$D$6)), "")</f>
        <v>7.4390000000000001</v>
      </c>
      <c r="BL82" cm="1">
        <f t="array" aca="1" ref="BL82" ca="1">IF( AND($F$7,NOT(ISBLANK($F82))), IF( _xll.IMDP("IR", $F82, BL$8, Matrix!$D$6)=0,"",_xll.IMDP("IR", $F82, BL$8, Matrix!$D$6)), "")</f>
        <v>7.8689999999999998</v>
      </c>
      <c r="BM82" cm="1">
        <f t="array" aca="1" ref="BM82" ca="1">IF( AND($F$7,NOT(ISBLANK($F82))), IF( _xll.IMDP("IR", $F82, BM$8, Matrix!$D$6)=0,"",_xll.IMDP("IR", $F82, BM$8, Matrix!$D$6)), "")</f>
        <v>8.5459999999999994</v>
      </c>
      <c r="BN82" cm="1">
        <f t="array" aca="1" ref="BN82" ca="1">IF( AND($F$7,NOT(ISBLANK($F82))), IF( _xll.IMDP("IR", $F82, BN$8, Matrix!$D$6)=0,"",_xll.IMDP("IR", $F82, BN$8, Matrix!$D$6)), "")</f>
        <v>9.3149999999999995</v>
      </c>
      <c r="BO82" cm="1">
        <f t="array" aca="1" ref="BO82" ca="1">IF( AND($F$7,NOT(ISBLANK($F82))), IF( _xll.IMDP("IR", $F82, BO$8, Matrix!$D$6)=0,"",_xll.IMDP("IR", $F82, BO$8, Matrix!$D$6)), "")</f>
        <v>9.8810000000000002</v>
      </c>
      <c r="BP82" cm="1">
        <f t="array" aca="1" ref="BP82" ca="1">IF( AND($F$7,NOT(ISBLANK($F82))), IF( _xll.IMDP("IR", $F82, BP$8, Matrix!$D$6)=0,"",_xll.IMDP("IR", $F82, BP$8, Matrix!$D$6)), "")</f>
        <v>10.340999999999999</v>
      </c>
      <c r="BQ82" cm="1">
        <f t="array" aca="1" ref="BQ82" ca="1">IF( AND($F$7,NOT(ISBLANK($F82))), IF( _xll.IMDP("IR", $F82, BQ$8, Matrix!$D$6)=0,"",_xll.IMDP("IR", $F82, BQ$8, Matrix!$D$6)), "")</f>
        <v>10.651999999999999</v>
      </c>
      <c r="BR82" cm="1">
        <f t="array" aca="1" ref="BR82" ca="1">IF( AND($F$7,NOT(ISBLANK($F82))), IF( _xll.IMDP("IR", $F82, BR$8, Matrix!$D$6)=0,"",_xll.IMDP("IR", $F82, BR$8, Matrix!$D$6)), "")</f>
        <v>10.756</v>
      </c>
      <c r="BS82" cm="1">
        <f t="array" aca="1" ref="BS82" ca="1">IF( AND($F$7,NOT(ISBLANK($F82))), IF( _xll.IMDP("IR", $F82, BS$8, Matrix!$D$6)=0,"",_xll.IMDP("IR", $F82, BS$8, Matrix!$D$6)), "")</f>
        <v>10.824</v>
      </c>
      <c r="BT82" cm="1">
        <f t="array" aca="1" ref="BT82" ca="1">IF( AND($F$7,NOT(ISBLANK($F82))), IF( _xll.IMDP("IR", $F82, BT$8, Matrix!$D$6)=0,"",_xll.IMDP("IR", $F82, BT$8, Matrix!$D$6)), "")</f>
        <v>11.157</v>
      </c>
      <c r="BU82" cm="1">
        <f t="array" aca="1" ref="BU82" ca="1">IF( AND($F$7,NOT(ISBLANK($F82))), IF( _xll.IMDP("IR", $F82, BU$8, Matrix!$D$6)=0,"",_xll.IMDP("IR", $F82, BU$8, Matrix!$D$6)), "")</f>
        <v>11.574</v>
      </c>
      <c r="BV82" cm="1">
        <f t="array" aca="1" ref="BV82" ca="1">IF( AND($F$7,NOT(ISBLANK($F82))), IF( _xll.IMDP("IR", $F82, BV$8, Matrix!$D$6)=0,"",_xll.IMDP("IR", $F82, BV$8, Matrix!$D$6)), "")</f>
        <v>11.909000000000001</v>
      </c>
      <c r="BW82" t="str" cm="1">
        <f t="array" aca="1" ref="BW82" ca="1">IF( AND($F$7,NOT(ISBLANK($F82))), IF( _xll.IMDP("IR", $F82, BW$8, Matrix!$D$6)=0,"",_xll.IMDP("IR", $F82, BW$8, Matrix!$D$6)), "")</f>
        <v/>
      </c>
      <c r="BX82" t="str" cm="1">
        <f t="array" aca="1" ref="BX82" ca="1">IF( AND($F$7,NOT(ISBLANK($F82))), IF( _xll.IMDP("IR", $F82, BX$8, Matrix!$D$6)=0,"",_xll.IMDP("IR", $F82, BX$8, Matrix!$D$6)), "")</f>
        <v/>
      </c>
      <c r="BY82" cm="1">
        <f t="array" aca="1" ref="BY82" ca="1">IF( AND($G$7,NOT(ISBLANK($G82))), IF( _xll.IMDP("IR", $G82, BY$8, Matrix!$D$6)=0, "", _xll.IMDP("IR", $G82, BY$8, Matrix!$D$6)), "")</f>
        <v>6.0789999999999997</v>
      </c>
      <c r="BZ82" cm="1">
        <f t="array" aca="1" ref="BZ82" ca="1">IF( AND($G$7,NOT(ISBLANK($G82))), IF( _xll.IMDP("IR", $G82, BZ$8, Matrix!$D$6)=0, "", _xll.IMDP("IR", $G82, BZ$8, Matrix!$D$6)), "")</f>
        <v>6.766</v>
      </c>
      <c r="CA82" cm="1">
        <f t="array" aca="1" ref="CA82" ca="1">IF( AND($G$7,NOT(ISBLANK($G82))), IF( _xll.IMDP("IR", $G82, CA$8, Matrix!$D$6)=0, "", _xll.IMDP("IR", $G82, CA$8, Matrix!$D$6)), "")</f>
        <v>7.3719999999999999</v>
      </c>
      <c r="CB82" cm="1">
        <f t="array" aca="1" ref="CB82" ca="1">IF( AND($G$7,NOT(ISBLANK($G82))), IF( _xll.IMDP("IR", $G82, CB$8, Matrix!$D$6)=0, "", _xll.IMDP("IR", $G82, CB$8, Matrix!$D$6)), "")</f>
        <v>7.7939999999999996</v>
      </c>
      <c r="CC82" cm="1">
        <f t="array" aca="1" ref="CC82" ca="1">IF( AND($G$7,NOT(ISBLANK($G82))), IF( _xll.IMDP("IR", $G82, CC$8, Matrix!$D$6)=0, "", _xll.IMDP("IR", $G82, CC$8, Matrix!$D$6)), "")</f>
        <v>8.5630000000000006</v>
      </c>
      <c r="CD82" cm="1">
        <f t="array" aca="1" ref="CD82" ca="1">IF( AND($G$7,NOT(ISBLANK($G82))), IF( _xll.IMDP("IR", $G82, CD$8, Matrix!$D$6)=0, "", _xll.IMDP("IR", $G82, CD$8, Matrix!$D$6)), "")</f>
        <v>9.2840000000000007</v>
      </c>
      <c r="CE82" cm="1">
        <f t="array" aca="1" ref="CE82" ca="1">IF( AND($G$7,NOT(ISBLANK($G82))), IF( _xll.IMDP("IR", $G82, CE$8, Matrix!$D$6)=0, "", _xll.IMDP("IR", $G82, CE$8, Matrix!$D$6)), "")</f>
        <v>9.8160000000000007</v>
      </c>
      <c r="CF82" cm="1">
        <f t="array" aca="1" ref="CF82" ca="1">IF( AND($G$7,NOT(ISBLANK($G82))), IF( _xll.IMDP("IR", $G82, CF$8, Matrix!$D$6)=0, "", _xll.IMDP("IR", $G82, CF$8, Matrix!$D$6)), "")</f>
        <v>10.275</v>
      </c>
      <c r="CG82" cm="1">
        <f t="array" aca="1" ref="CG82" ca="1">IF( AND($G$7,NOT(ISBLANK($G82))), IF( _xll.IMDP("IR", $G82, CG$8, Matrix!$D$6)=0, "", _xll.IMDP("IR", $G82, CG$8, Matrix!$D$6)), "")</f>
        <v>10.526</v>
      </c>
      <c r="CH82" cm="1">
        <f t="array" aca="1" ref="CH82" ca="1">IF( AND($G$7,NOT(ISBLANK($G82))), IF( _xll.IMDP("IR", $G82, CH$8, Matrix!$D$6)=0, "", _xll.IMDP("IR", $G82, CH$8, Matrix!$D$6)), "")</f>
        <v>10.712</v>
      </c>
      <c r="CI82" cm="1">
        <f t="array" aca="1" ref="CI82" ca="1">IF( AND($G$7,NOT(ISBLANK($G82))), IF( _xll.IMDP("IR", $G82, CI$8, Matrix!$D$6)=0, "", _xll.IMDP("IR", $G82, CI$8, Matrix!$D$6)), "")</f>
        <v>10.882</v>
      </c>
      <c r="CJ82" cm="1">
        <f t="array" aca="1" ref="CJ82" ca="1">IF( AND($G$7,NOT(ISBLANK($G82))), IF( _xll.IMDP("IR", $G82, CJ$8, Matrix!$D$6)=0, "", _xll.IMDP("IR", $G82, CJ$8, Matrix!$D$6)), "")</f>
        <v>11.217000000000001</v>
      </c>
      <c r="CK82" cm="1">
        <f t="array" aca="1" ref="CK82" ca="1">IF( AND($G$7,NOT(ISBLANK($G82))), IF( _xll.IMDP("IR", $G82, CK$8, Matrix!$D$6)=0, "", _xll.IMDP("IR", $G82, CK$8, Matrix!$D$6)), "")</f>
        <v>11.661</v>
      </c>
      <c r="CL82" cm="1">
        <f t="array" aca="1" ref="CL82" ca="1">IF( AND($G$7,NOT(ISBLANK($G82))), IF( _xll.IMDP("IR", $G82, CL$8, Matrix!$D$6)=0, "", _xll.IMDP("IR", $G82, CL$8, Matrix!$D$6)), "")</f>
        <v>11.923999999999999</v>
      </c>
      <c r="CM82" t="str" cm="1">
        <f t="array" aca="1" ref="CM82" ca="1">IF( AND($G$7,NOT(ISBLANK($G82))), IF( _xll.IMDP("IR", $G82, CM$8, Matrix!$D$6)=0, "", _xll.IMDP("IR", $G82, CM$8, Matrix!$D$6)), "")</f>
        <v/>
      </c>
      <c r="CN82" t="str" cm="1">
        <f t="array" aca="1" ref="CN82" ca="1">IF( AND($G$7,NOT(ISBLANK($G82))), IF( _xll.IMDP("IR", $G82, CN$8, Matrix!$D$6)=0, "", _xll.IMDP("IR", $G82, CN$8, Matrix!$D$6)), "")</f>
        <v/>
      </c>
      <c r="CO82" t="str" cm="1">
        <f t="array" ref="CO82">IF( AND($H$7,NOT(ISBLANK($H82))), IF( _xll.IMDP("IR", $H82, CO$8, Matrix!$D$6)=0, "", _xll.IMDP("IR", $H82, CO$8, Matrix!$D$6)), "")</f>
        <v/>
      </c>
      <c r="CP82" t="str" cm="1">
        <f t="array" ref="CP82">IF( AND($H$7,NOT(ISBLANK($H82))), IF( _xll.IMDP("IR", $H82, CP$8, Matrix!$D$6)=0, "", _xll.IMDP("IR", $H82, CP$8, Matrix!$D$6)), "")</f>
        <v/>
      </c>
      <c r="CQ82" t="str" cm="1">
        <f t="array" ref="CQ82">IF( AND($H$7,NOT(ISBLANK($H82))), IF( _xll.IMDP("IR", $H82, CQ$8, Matrix!$D$6)=0, "", _xll.IMDP("IR", $H82, CQ$8, Matrix!$D$6)), "")</f>
        <v/>
      </c>
      <c r="CR82" t="str" cm="1">
        <f t="array" ref="CR82">IF( AND($H$7,NOT(ISBLANK($H82))), IF( _xll.IMDP("IR", $H82, CR$8, Matrix!$D$6)=0, "", _xll.IMDP("IR", $H82, CR$8, Matrix!$D$6)), "")</f>
        <v/>
      </c>
      <c r="CS82" t="str" cm="1">
        <f t="array" ref="CS82">IF( AND($H$7,NOT(ISBLANK($H82))), IF( _xll.IMDP("IR", $H82, CS$8, Matrix!$D$6)=0, "", _xll.IMDP("IR", $H82, CS$8, Matrix!$D$6)), "")</f>
        <v/>
      </c>
      <c r="CT82" t="str" cm="1">
        <f t="array" ref="CT82">IF( AND($H$7,NOT(ISBLANK($H82))), IF( _xll.IMDP("IR", $H82, CT$8, Matrix!$D$6)=0, "", _xll.IMDP("IR", $H82, CT$8, Matrix!$D$6)), "")</f>
        <v/>
      </c>
      <c r="CU82" t="str" cm="1">
        <f t="array" ref="CU82">IF( AND($H$7,NOT(ISBLANK($H82))), IF( _xll.IMDP("IR", $H82, CU$8, Matrix!$D$6)=0, "", _xll.IMDP("IR", $H82, CU$8, Matrix!$D$6)), "")</f>
        <v/>
      </c>
      <c r="CV82" t="str" cm="1">
        <f t="array" ref="CV82">IF( AND($H$7,NOT(ISBLANK($H82))), IF( _xll.IMDP("IR", $H82, CV$8, Matrix!$D$6)=0, "", _xll.IMDP("IR", $H82, CV$8, Matrix!$D$6)), "")</f>
        <v/>
      </c>
      <c r="CW82" t="str" cm="1">
        <f t="array" ref="CW82">IF( AND($H$7,NOT(ISBLANK($H82))), IF( _xll.IMDP("IR", $H82, CW$8, Matrix!$D$6)=0, "", _xll.IMDP("IR", $H82, CW$8, Matrix!$D$6)), "")</f>
        <v/>
      </c>
      <c r="CX82" t="str" cm="1">
        <f t="array" ref="CX82">IF( AND($H$7,NOT(ISBLANK($H82))), IF( _xll.IMDP("IR", $H82, CX$8, Matrix!$D$6)=0, "", _xll.IMDP("IR", $H82, CX$8, Matrix!$D$6)), "")</f>
        <v/>
      </c>
      <c r="CY82" t="str" cm="1">
        <f t="array" ref="CY82">IF( AND($H$7,NOT(ISBLANK($H82))), IF( _xll.IMDP("IR", $H82, CY$8, Matrix!$D$6)=0, "", _xll.IMDP("IR", $H82, CY$8, Matrix!$D$6)), "")</f>
        <v/>
      </c>
      <c r="CZ82" t="str" cm="1">
        <f t="array" ref="CZ82">IF( AND($H$7,NOT(ISBLANK($H82))), IF( _xll.IMDP("IR", $H82, CZ$8, Matrix!$D$6)=0, "", _xll.IMDP("IR", $H82, CZ$8, Matrix!$D$6)), "")</f>
        <v/>
      </c>
      <c r="DA82" t="str" cm="1">
        <f t="array" ref="DA82">IF( AND($H$7,NOT(ISBLANK($H82))), IF( _xll.IMDP("IR", $H82, DA$8, Matrix!$D$6)=0, "", _xll.IMDP("IR", $H82, DA$8, Matrix!$D$6)), "")</f>
        <v/>
      </c>
      <c r="DB82" t="str" cm="1">
        <f t="array" ref="DB82">IF( AND($H$7,NOT(ISBLANK($H82))), IF( _xll.IMDP("IR", $H82, DB$8, Matrix!$D$6)=0, "", _xll.IMDP("IR", $H82, DB$8, Matrix!$D$6)), "")</f>
        <v/>
      </c>
      <c r="DC82" t="str" cm="1">
        <f t="array" ref="DC82">IF( AND($H$7,NOT(ISBLANK($H82))), IF( _xll.IMDP("IR", $H82, DC$8, Matrix!$D$6)=0, "", _xll.IMDP("IR", $H82, DC$8, Matrix!$D$6)), "")</f>
        <v/>
      </c>
      <c r="DD82" t="str" cm="1">
        <f t="array" ref="DD82">IF( AND($H$7,NOT(ISBLANK($H82))), IF( _xll.IMDP("IR", $H82, DD$8, Matrix!$D$6)=0, "", _xll.IMDP("IR", $H82, DD$8, Matrix!$D$6)), "")</f>
        <v/>
      </c>
    </row>
    <row r="83" spans="2:108">
      <c r="B83" t="s">
        <v>151</v>
      </c>
      <c r="C83" t="s">
        <v>225</v>
      </c>
      <c r="D83" t="s">
        <v>290</v>
      </c>
      <c r="E83" t="s">
        <v>351</v>
      </c>
      <c r="F83" t="s">
        <v>421</v>
      </c>
      <c r="G83" t="s">
        <v>484</v>
      </c>
      <c r="H83" t="s">
        <v>526</v>
      </c>
      <c r="M83" s="21">
        <f t="shared" ca="1" si="34"/>
        <v>3.3799173632084116</v>
      </c>
      <c r="N83" s="21">
        <f t="shared" ca="1" si="35"/>
        <v>3.3593872210730096</v>
      </c>
      <c r="O83" s="21">
        <f t="shared" ca="1" si="36"/>
        <v>3.3061864526497398</v>
      </c>
      <c r="P83" s="21">
        <f t="shared" ca="1" si="37"/>
        <v>3.2762897688610098</v>
      </c>
      <c r="Q83" s="21">
        <f t="shared" ca="1" si="38"/>
        <v>3.219970467548023</v>
      </c>
      <c r="R83" s="21">
        <f t="shared" ca="1" si="39"/>
        <v>3.2068794521846327</v>
      </c>
      <c r="S83" s="21">
        <f t="shared" ca="1" si="40"/>
        <v>3.1821149813743905</v>
      </c>
      <c r="T83" s="21">
        <f t="shared" ca="1" si="41"/>
        <v>3.1850892546202236</v>
      </c>
      <c r="U83" s="21">
        <f t="shared" ca="1" si="42"/>
        <v>3.1729807156645862</v>
      </c>
      <c r="V83" s="21">
        <f t="shared" ca="1" si="43"/>
        <v>3.1752076170302725</v>
      </c>
      <c r="W83" s="21">
        <f t="shared" ca="1" si="44"/>
        <v>3.1740947728384006</v>
      </c>
      <c r="X83" s="21">
        <f t="shared" ca="1" si="45"/>
        <v>3.1917563139611791</v>
      </c>
      <c r="Y83" s="21">
        <f t="shared" ca="1" si="46"/>
        <v>3.2052850671981967</v>
      </c>
      <c r="Z83" s="21">
        <f t="shared" ca="1" si="47"/>
        <v>3.1838514046779336</v>
      </c>
      <c r="AA83" s="21">
        <f t="shared" ca="1" si="48"/>
        <v>3.1868816155275161</v>
      </c>
      <c r="AB83" s="21" t="e">
        <f t="shared" ca="1" si="49"/>
        <v>#NUM!</v>
      </c>
      <c r="AC83" cm="1">
        <f t="array" aca="1" ref="AC83" ca="1">IF( AND($D$7,NOT(ISBLANK($D83))), IF(_xll.IMDP("IR", $D83, AC$8, Matrix!$D$6)=0,"",_xll.IMDP("IR", $D83, AC$8, Matrix!$D$6)), "")</f>
        <v>3.4119999999999999</v>
      </c>
      <c r="AD83" cm="1">
        <f t="array" aca="1" ref="AD83" ca="1">IF( AND($D$7,NOT(ISBLANK($D83))), IF(_xll.IMDP("IR", $D83, AD$8, Matrix!$D$6)=0,"",_xll.IMDP("IR", $D83, AD$8, Matrix!$D$6)), "")</f>
        <v>3.371</v>
      </c>
      <c r="AE83" cm="1">
        <f t="array" aca="1" ref="AE83" ca="1">IF( AND($D$7,NOT(ISBLANK($D83))), IF(_xll.IMDP("IR", $D83, AE$8, Matrix!$D$6)=0,"",_xll.IMDP("IR", $D83, AE$8, Matrix!$D$6)), "")</f>
        <v>3.2959999999999998</v>
      </c>
      <c r="AF83" cm="1">
        <f t="array" aca="1" ref="AF83" ca="1">IF( AND($D$7,NOT(ISBLANK($D83))), IF(_xll.IMDP("IR", $D83, AF$8, Matrix!$D$6)=0,"",_xll.IMDP("IR", $D83, AF$8, Matrix!$D$6)), "")</f>
        <v>3.266</v>
      </c>
      <c r="AG83" cm="1">
        <f t="array" aca="1" ref="AG83" ca="1">IF( AND($D$7,NOT(ISBLANK($D83))), IF(_xll.IMDP("IR", $D83, AG$8, Matrix!$D$6)=0,"",_xll.IMDP("IR", $D83, AG$8, Matrix!$D$6)), "")</f>
        <v>3.2029999999999998</v>
      </c>
      <c r="AH83" cm="1">
        <f t="array" aca="1" ref="AH83" ca="1">IF( AND($D$7,NOT(ISBLANK($D83))), IF(_xll.IMDP("IR", $D83, AH$8, Matrix!$D$6)=0,"",_xll.IMDP("IR", $D83, AH$8, Matrix!$D$6)), "")</f>
        <v>3.1850000000000001</v>
      </c>
      <c r="AI83" cm="1">
        <f t="array" aca="1" ref="AI83" ca="1">IF( AND($D$7,NOT(ISBLANK($D83))), IF(_xll.IMDP("IR", $D83, AI$8, Matrix!$D$6)=0,"",_xll.IMDP("IR", $D83, AI$8, Matrix!$D$6)), "")</f>
        <v>3.1440000000000001</v>
      </c>
      <c r="AJ83" cm="1">
        <f t="array" aca="1" ref="AJ83" ca="1">IF( AND($D$7,NOT(ISBLANK($D83))), IF(_xll.IMDP("IR", $D83, AJ$8, Matrix!$D$6)=0,"",_xll.IMDP("IR", $D83, AJ$8, Matrix!$D$6)), "")</f>
        <v>3.1459999999999999</v>
      </c>
      <c r="AK83" cm="1">
        <f t="array" aca="1" ref="AK83" ca="1">IF( AND($D$7,NOT(ISBLANK($D83))), IF(_xll.IMDP("IR", $D83, AK$8, Matrix!$D$6)=0,"",_xll.IMDP("IR", $D83, AK$8, Matrix!$D$6)), "")</f>
        <v>3.1379999999999999</v>
      </c>
      <c r="AL83" cm="1">
        <f t="array" aca="1" ref="AL83" ca="1">IF( AND($D$7,NOT(ISBLANK($D83))), IF(_xll.IMDP("IR", $D83, AL$8, Matrix!$D$6)=0,"",_xll.IMDP("IR", $D83, AL$8, Matrix!$D$6)), "")</f>
        <v>3.1459999999999999</v>
      </c>
      <c r="AM83" cm="1">
        <f t="array" aca="1" ref="AM83" ca="1">IF( AND($D$7,NOT(ISBLANK($D83))), IF(_xll.IMDP("IR", $D83, AM$8, Matrix!$D$6)=0,"",_xll.IMDP("IR", $D83, AM$8, Matrix!$D$6)), "")</f>
        <v>3.1520000000000001</v>
      </c>
      <c r="AN83" cm="1">
        <f t="array" aca="1" ref="AN83" ca="1">IF( AND($D$7,NOT(ISBLANK($D83))), IF(_xll.IMDP("IR", $D83, AN$8, Matrix!$D$6)=0,"",_xll.IMDP("IR", $D83, AN$8, Matrix!$D$6)), "")</f>
        <v>3.1709999999999998</v>
      </c>
      <c r="AO83" cm="1">
        <f t="array" aca="1" ref="AO83" ca="1">IF( AND($D$7,NOT(ISBLANK($D83))), IF(_xll.IMDP("IR", $D83, AO$8, Matrix!$D$6)=0,"",_xll.IMDP("IR", $D83, AO$8, Matrix!$D$6)), "")</f>
        <v>3.2029999999999998</v>
      </c>
      <c r="AP83" cm="1">
        <f t="array" aca="1" ref="AP83" ca="1">IF( AND($D$7,NOT(ISBLANK($D83))), IF(_xll.IMDP("IR", $D83, AP$8, Matrix!$D$6)=0,"",_xll.IMDP("IR", $D83, AP$8, Matrix!$D$6)), "")</f>
        <v>3.157</v>
      </c>
      <c r="AQ83" cm="1">
        <f t="array" aca="1" ref="AQ83" ca="1">IF( AND($D$7,NOT(ISBLANK($D83))), IF(_xll.IMDP("IR", $D83, AQ$8, Matrix!$D$6)=0,"",_xll.IMDP("IR", $D83, AQ$8, Matrix!$D$6)), "")</f>
        <v>3.1739999999999999</v>
      </c>
      <c r="AR83" t="str" cm="1">
        <f t="array" aca="1" ref="AR83" ca="1">IF( AND($D$7,NOT(ISBLANK($D83))), IF(_xll.IMDP("IR", $D83, AR$8, Matrix!$D$6)=0,"",_xll.IMDP("IR", $D83, AR$8, Matrix!$D$6)), "")</f>
        <v/>
      </c>
      <c r="AS83" cm="1">
        <f t="array" aca="1" ref="AS83" ca="1">IF( AND($E$7,NOT(ISBLANK($E83))), IF( _xll.IMDP("IR", $E83, AS$8, Matrix!$D$6)=0,"",_xll.IMDP("IR", $E83, AS$8, Matrix!$D$6)), "")</f>
        <v>3.339</v>
      </c>
      <c r="AT83" cm="1">
        <f t="array" aca="1" ref="AT83" ca="1">IF( AND($E$7,NOT(ISBLANK($E83))), IF( _xll.IMDP("IR", $E83, AT$8, Matrix!$D$6)=0,"",_xll.IMDP("IR", $E83, AT$8, Matrix!$D$6)), "")</f>
        <v>3.3679999999999999</v>
      </c>
      <c r="AU83" cm="1">
        <f t="array" aca="1" ref="AU83" ca="1">IF( AND($E$7,NOT(ISBLANK($E83))), IF( _xll.IMDP("IR", $E83, AU$8, Matrix!$D$6)=0,"",_xll.IMDP("IR", $E83, AU$8, Matrix!$D$6)), "")</f>
        <v>3.3239999999999998</v>
      </c>
      <c r="AV83" cm="1">
        <f t="array" aca="1" ref="AV83" ca="1">IF( AND($E$7,NOT(ISBLANK($E83))), IF( _xll.IMDP("IR", $E83, AV$8, Matrix!$D$6)=0,"",_xll.IMDP("IR", $E83, AV$8, Matrix!$D$6)), "")</f>
        <v>3.3279999999999998</v>
      </c>
      <c r="AW83" cm="1">
        <f t="array" aca="1" ref="AW83" ca="1">IF( AND($E$7,NOT(ISBLANK($E83))), IF( _xll.IMDP("IR", $E83, AW$8, Matrix!$D$6)=0,"",_xll.IMDP("IR", $E83, AW$8, Matrix!$D$6)), "")</f>
        <v>3.294</v>
      </c>
      <c r="AX83" cm="1">
        <f t="array" aca="1" ref="AX83" ca="1">IF( AND($E$7,NOT(ISBLANK($E83))), IF( _xll.IMDP("IR", $E83, AX$8, Matrix!$D$6)=0,"",_xll.IMDP("IR", $E83, AX$8, Matrix!$D$6)), "")</f>
        <v>3.2949999999999999</v>
      </c>
      <c r="AY83" cm="1">
        <f t="array" aca="1" ref="AY83" ca="1">IF( AND($E$7,NOT(ISBLANK($E83))), IF( _xll.IMDP("IR", $E83, AY$8, Matrix!$D$6)=0,"",_xll.IMDP("IR", $E83, AY$8, Matrix!$D$6)), "")</f>
        <v>3.2909999999999999</v>
      </c>
      <c r="AZ83" cm="1">
        <f t="array" aca="1" ref="AZ83" ca="1">IF( AND($E$7,NOT(ISBLANK($E83))), IF( _xll.IMDP("IR", $E83, AZ$8, Matrix!$D$6)=0,"",_xll.IMDP("IR", $E83, AZ$8, Matrix!$D$6)), "")</f>
        <v>3.2970000000000002</v>
      </c>
      <c r="BA83" cm="1">
        <f t="array" aca="1" ref="BA83" ca="1">IF( AND($E$7,NOT(ISBLANK($E83))), IF( _xll.IMDP("IR", $E83, BA$8, Matrix!$D$6)=0,"",_xll.IMDP("IR", $E83, BA$8, Matrix!$D$6)), "")</f>
        <v>3.274</v>
      </c>
      <c r="BB83" cm="1">
        <f t="array" aca="1" ref="BB83" ca="1">IF( AND($E$7,NOT(ISBLANK($E83))), IF( _xll.IMDP("IR", $E83, BB$8, Matrix!$D$6)=0,"",_xll.IMDP("IR", $E83, BB$8, Matrix!$D$6)), "")</f>
        <v>3.2730000000000001</v>
      </c>
      <c r="BC83" cm="1">
        <f t="array" aca="1" ref="BC83" ca="1">IF( AND($E$7,NOT(ISBLANK($E83))), IF( _xll.IMDP("IR", $E83, BC$8, Matrix!$D$6)=0,"",_xll.IMDP("IR", $E83, BC$8, Matrix!$D$6)), "")</f>
        <v>3.26</v>
      </c>
      <c r="BD83" cm="1">
        <f t="array" aca="1" ref="BD83" ca="1">IF( AND($E$7,NOT(ISBLANK($E83))), IF( _xll.IMDP("IR", $E83, BD$8, Matrix!$D$6)=0,"",_xll.IMDP("IR", $E83, BD$8, Matrix!$D$6)), "")</f>
        <v>3.2949999999999999</v>
      </c>
      <c r="BE83" cm="1">
        <f t="array" aca="1" ref="BE83" ca="1">IF( AND($E$7,NOT(ISBLANK($E83))), IF( _xll.IMDP("IR", $E83, BE$8, Matrix!$D$6)=0,"",_xll.IMDP("IR", $E83, BE$8, Matrix!$D$6)), "")</f>
        <v>3.2949999999999999</v>
      </c>
      <c r="BF83" cm="1">
        <f t="array" aca="1" ref="BF83" ca="1">IF( AND($E$7,NOT(ISBLANK($E83))), IF( _xll.IMDP("IR", $E83, BF$8, Matrix!$D$6)=0,"",_xll.IMDP("IR", $E83, BF$8, Matrix!$D$6)), "")</f>
        <v>3.2759999999999998</v>
      </c>
      <c r="BG83" cm="1">
        <f t="array" aca="1" ref="BG83" ca="1">IF( AND($E$7,NOT(ISBLANK($E83))), IF( _xll.IMDP("IR", $E83, BG$8, Matrix!$D$6)=0,"",_xll.IMDP("IR", $E83, BG$8, Matrix!$D$6)), "")</f>
        <v>3.2730000000000001</v>
      </c>
      <c r="BH83" t="str" cm="1">
        <f t="array" aca="1" ref="BH83" ca="1">IF( AND($E$7,NOT(ISBLANK($E83))), IF( _xll.IMDP("IR", $E83, BH$8, Matrix!$D$6)=0,"",_xll.IMDP("IR", $E83, BH$8, Matrix!$D$6)), "")</f>
        <v/>
      </c>
      <c r="BI83" cm="1">
        <f t="array" aca="1" ref="BI83" ca="1">IF( AND($F$7,NOT(ISBLANK($F83))), IF( _xll.IMDP("IR", $F83, BI$8, Matrix!$D$6)=0,"",_xll.IMDP("IR", $F83, BI$8, Matrix!$D$6)), "")</f>
        <v>3.38</v>
      </c>
      <c r="BJ83" cm="1">
        <f t="array" aca="1" ref="BJ83" ca="1">IF( AND($F$7,NOT(ISBLANK($F83))), IF( _xll.IMDP("IR", $F83, BJ$8, Matrix!$D$6)=0,"",_xll.IMDP("IR", $F83, BJ$8, Matrix!$D$6)), "")</f>
        <v>3.3530000000000002</v>
      </c>
      <c r="BK83" cm="1">
        <f t="array" aca="1" ref="BK83" ca="1">IF( AND($F$7,NOT(ISBLANK($F83))), IF( _xll.IMDP("IR", $F83, BK$8, Matrix!$D$6)=0,"",_xll.IMDP("IR", $F83, BK$8, Matrix!$D$6)), "")</f>
        <v>3.3029999999999999</v>
      </c>
      <c r="BL83" cm="1">
        <f t="array" aca="1" ref="BL83" ca="1">IF( AND($F$7,NOT(ISBLANK($F83))), IF( _xll.IMDP("IR", $F83, BL$8, Matrix!$D$6)=0,"",_xll.IMDP("IR", $F83, BL$8, Matrix!$D$6)), "")</f>
        <v>3.26</v>
      </c>
      <c r="BM83" cm="1">
        <f t="array" aca="1" ref="BM83" ca="1">IF( AND($F$7,NOT(ISBLANK($F83))), IF( _xll.IMDP("IR", $F83, BM$8, Matrix!$D$6)=0,"",_xll.IMDP("IR", $F83, BM$8, Matrix!$D$6)), "")</f>
        <v>3.1840000000000002</v>
      </c>
      <c r="BN83" cm="1">
        <f t="array" aca="1" ref="BN83" ca="1">IF( AND($F$7,NOT(ISBLANK($F83))), IF( _xll.IMDP("IR", $F83, BN$8, Matrix!$D$6)=0,"",_xll.IMDP("IR", $F83, BN$8, Matrix!$D$6)), "")</f>
        <v>3.169</v>
      </c>
      <c r="BO83" cm="1">
        <f t="array" aca="1" ref="BO83" ca="1">IF( AND($F$7,NOT(ISBLANK($F83))), IF( _xll.IMDP("IR", $F83, BO$8, Matrix!$D$6)=0,"",_xll.IMDP("IR", $F83, BO$8, Matrix!$D$6)), "")</f>
        <v>3.1520000000000001</v>
      </c>
      <c r="BP83" cm="1">
        <f t="array" aca="1" ref="BP83" ca="1">IF( AND($F$7,NOT(ISBLANK($F83))), IF( _xll.IMDP("IR", $F83, BP$8, Matrix!$D$6)=0,"",_xll.IMDP("IR", $F83, BP$8, Matrix!$D$6)), "")</f>
        <v>3.1480000000000001</v>
      </c>
      <c r="BQ83" cm="1">
        <f t="array" aca="1" ref="BQ83" ca="1">IF( AND($F$7,NOT(ISBLANK($F83))), IF( _xll.IMDP("IR", $F83, BQ$8, Matrix!$D$6)=0,"",_xll.IMDP("IR", $F83, BQ$8, Matrix!$D$6)), "")</f>
        <v>3.1440000000000001</v>
      </c>
      <c r="BR83" cm="1">
        <f t="array" aca="1" ref="BR83" ca="1">IF( AND($F$7,NOT(ISBLANK($F83))), IF( _xll.IMDP("IR", $F83, BR$8, Matrix!$D$6)=0,"",_xll.IMDP("IR", $F83, BR$8, Matrix!$D$6)), "")</f>
        <v>3.1440000000000001</v>
      </c>
      <c r="BS83" cm="1">
        <f t="array" aca="1" ref="BS83" ca="1">IF( AND($F$7,NOT(ISBLANK($F83))), IF( _xll.IMDP("IR", $F83, BS$8, Matrix!$D$6)=0,"",_xll.IMDP("IR", $F83, BS$8, Matrix!$D$6)), "")</f>
        <v>3.1440000000000001</v>
      </c>
      <c r="BT83" cm="1">
        <f t="array" aca="1" ref="BT83" ca="1">IF( AND($F$7,NOT(ISBLANK($F83))), IF( _xll.IMDP("IR", $F83, BT$8, Matrix!$D$6)=0,"",_xll.IMDP("IR", $F83, BT$8, Matrix!$D$6)), "")</f>
        <v>3.1549999999999998</v>
      </c>
      <c r="BU83" cm="1">
        <f t="array" aca="1" ref="BU83" ca="1">IF( AND($F$7,NOT(ISBLANK($F83))), IF( _xll.IMDP("IR", $F83, BU$8, Matrix!$D$6)=0,"",_xll.IMDP("IR", $F83, BU$8, Matrix!$D$6)), "")</f>
        <v>3.15</v>
      </c>
      <c r="BV83" cm="1">
        <f t="array" aca="1" ref="BV83" ca="1">IF( AND($F$7,NOT(ISBLANK($F83))), IF( _xll.IMDP("IR", $F83, BV$8, Matrix!$D$6)=0,"",_xll.IMDP("IR", $F83, BV$8, Matrix!$D$6)), "")</f>
        <v>3.1520000000000001</v>
      </c>
      <c r="BW83" cm="1">
        <f t="array" aca="1" ref="BW83" ca="1">IF( AND($F$7,NOT(ISBLANK($F83))), IF( _xll.IMDP("IR", $F83, BW$8, Matrix!$D$6)=0,"",_xll.IMDP("IR", $F83, BW$8, Matrix!$D$6)), "")</f>
        <v>3.1440000000000001</v>
      </c>
      <c r="BX83" t="str" cm="1">
        <f t="array" aca="1" ref="BX83" ca="1">IF( AND($F$7,NOT(ISBLANK($F83))), IF( _xll.IMDP("IR", $F83, BX$8, Matrix!$D$6)=0,"",_xll.IMDP("IR", $F83, BX$8, Matrix!$D$6)), "")</f>
        <v/>
      </c>
      <c r="BY83" cm="1">
        <f t="array" aca="1" ref="BY83" ca="1">IF( AND($G$7,NOT(ISBLANK($G83))), IF( _xll.IMDP("IR", $G83, BY$8, Matrix!$D$6)=0, "", _xll.IMDP("IR", $G83, BY$8, Matrix!$D$6)), "")</f>
        <v>3.3889999999999998</v>
      </c>
      <c r="BZ83" cm="1">
        <f t="array" aca="1" ref="BZ83" ca="1">IF( AND($G$7,NOT(ISBLANK($G83))), IF( _xll.IMDP("IR", $G83, BZ$8, Matrix!$D$6)=0, "", _xll.IMDP("IR", $G83, BZ$8, Matrix!$D$6)), "")</f>
        <v>3.3460000000000001</v>
      </c>
      <c r="CA83" cm="1">
        <f t="array" aca="1" ref="CA83" ca="1">IF( AND($G$7,NOT(ISBLANK($G83))), IF( _xll.IMDP("IR", $G83, CA$8, Matrix!$D$6)=0, "", _xll.IMDP("IR", $G83, CA$8, Matrix!$D$6)), "")</f>
        <v>3.302</v>
      </c>
      <c r="CB83" cm="1">
        <f t="array" aca="1" ref="CB83" ca="1">IF( AND($G$7,NOT(ISBLANK($G83))), IF( _xll.IMDP("IR", $G83, CB$8, Matrix!$D$6)=0, "", _xll.IMDP("IR", $G83, CB$8, Matrix!$D$6)), "")</f>
        <v>3.2519999999999998</v>
      </c>
      <c r="CC83" cm="1">
        <f t="array" aca="1" ref="CC83" ca="1">IF( AND($G$7,NOT(ISBLANK($G83))), IF( _xll.IMDP("IR", $G83, CC$8, Matrix!$D$6)=0, "", _xll.IMDP("IR", $G83, CC$8, Matrix!$D$6)), "")</f>
        <v>3.2</v>
      </c>
      <c r="CD83" cm="1">
        <f t="array" aca="1" ref="CD83" ca="1">IF( AND($G$7,NOT(ISBLANK($G83))), IF( _xll.IMDP("IR", $G83, CD$8, Matrix!$D$6)=0, "", _xll.IMDP("IR", $G83, CD$8, Matrix!$D$6)), "")</f>
        <v>3.18</v>
      </c>
      <c r="CE83" cm="1">
        <f t="array" aca="1" ref="CE83" ca="1">IF( AND($G$7,NOT(ISBLANK($G83))), IF( _xll.IMDP("IR", $G83, CE$8, Matrix!$D$6)=0, "", _xll.IMDP("IR", $G83, CE$8, Matrix!$D$6)), "")</f>
        <v>3.1440000000000001</v>
      </c>
      <c r="CF83" cm="1">
        <f t="array" aca="1" ref="CF83" ca="1">IF( AND($G$7,NOT(ISBLANK($G83))), IF( _xll.IMDP("IR", $G83, CF$8, Matrix!$D$6)=0, "", _xll.IMDP("IR", $G83, CF$8, Matrix!$D$6)), "")</f>
        <v>3.1520000000000001</v>
      </c>
      <c r="CG83" cm="1">
        <f t="array" aca="1" ref="CG83" ca="1">IF( AND($G$7,NOT(ISBLANK($G83))), IF( _xll.IMDP("IR", $G83, CG$8, Matrix!$D$6)=0, "", _xll.IMDP("IR", $G83, CG$8, Matrix!$D$6)), "")</f>
        <v>3.1379999999999999</v>
      </c>
      <c r="CH83" cm="1">
        <f t="array" aca="1" ref="CH83" ca="1">IF( AND($G$7,NOT(ISBLANK($G83))), IF( _xll.IMDP("IR", $G83, CH$8, Matrix!$D$6)=0, "", _xll.IMDP("IR", $G83, CH$8, Matrix!$D$6)), "")</f>
        <v>3.14</v>
      </c>
      <c r="CI83" cm="1">
        <f t="array" aca="1" ref="CI83" ca="1">IF( AND($G$7,NOT(ISBLANK($G83))), IF( _xll.IMDP("IR", $G83, CI$8, Matrix!$D$6)=0, "", _xll.IMDP("IR", $G83, CI$8, Matrix!$D$6)), "")</f>
        <v>3.1419999999999999</v>
      </c>
      <c r="CJ83" cm="1">
        <f t="array" aca="1" ref="CJ83" ca="1">IF( AND($G$7,NOT(ISBLANK($G83))), IF( _xll.IMDP("IR", $G83, CJ$8, Matrix!$D$6)=0, "", _xll.IMDP("IR", $G83, CJ$8, Matrix!$D$6)), "")</f>
        <v>3.1480000000000001</v>
      </c>
      <c r="CK83" cm="1">
        <f t="array" aca="1" ref="CK83" ca="1">IF( AND($G$7,NOT(ISBLANK($G83))), IF( _xll.IMDP("IR", $G83, CK$8, Matrix!$D$6)=0, "", _xll.IMDP("IR", $G83, CK$8, Matrix!$D$6)), "")</f>
        <v>3.1749999999999998</v>
      </c>
      <c r="CL83" cm="1">
        <f t="array" aca="1" ref="CL83" ca="1">IF( AND($G$7,NOT(ISBLANK($G83))), IF( _xll.IMDP("IR", $G83, CL$8, Matrix!$D$6)=0, "", _xll.IMDP("IR", $G83, CL$8, Matrix!$D$6)), "")</f>
        <v>3.1520000000000001</v>
      </c>
      <c r="CM83" cm="1">
        <f t="array" aca="1" ref="CM83" ca="1">IF( AND($G$7,NOT(ISBLANK($G83))), IF( _xll.IMDP("IR", $G83, CM$8, Matrix!$D$6)=0, "", _xll.IMDP("IR", $G83, CM$8, Matrix!$D$6)), "")</f>
        <v>3.1579999999999999</v>
      </c>
      <c r="CN83" t="str" cm="1">
        <f t="array" aca="1" ref="CN83" ca="1">IF( AND($G$7,NOT(ISBLANK($G83))), IF( _xll.IMDP("IR", $G83, CN$8, Matrix!$D$6)=0, "", _xll.IMDP("IR", $G83, CN$8, Matrix!$D$6)), "")</f>
        <v/>
      </c>
      <c r="CO83" cm="1">
        <f t="array" aca="1" ref="CO83" ca="1">IF( AND($H$7,NOT(ISBLANK($H83))), IF( _xll.IMDP("IR", $H83, CO$8, Matrix!$D$6)=0, "", _xll.IMDP("IR", $H83, CO$8, Matrix!$D$6)), "")</f>
        <v>3.38</v>
      </c>
      <c r="CP83" cm="1">
        <f t="array" aca="1" ref="CP83" ca="1">IF( AND($H$7,NOT(ISBLANK($H83))), IF( _xll.IMDP("IR", $H83, CP$8, Matrix!$D$6)=0, "", _xll.IMDP("IR", $H83, CP$8, Matrix!$D$6)), "")</f>
        <v>3.359</v>
      </c>
      <c r="CQ83" cm="1">
        <f t="array" aca="1" ref="CQ83" ca="1">IF( AND($H$7,NOT(ISBLANK($H83))), IF( _xll.IMDP("IR", $H83, CQ$8, Matrix!$D$6)=0, "", _xll.IMDP("IR", $H83, CQ$8, Matrix!$D$6)), "")</f>
        <v>3.306</v>
      </c>
      <c r="CR83" cm="1">
        <f t="array" aca="1" ref="CR83" ca="1">IF( AND($H$7,NOT(ISBLANK($H83))), IF( _xll.IMDP("IR", $H83, CR$8, Matrix!$D$6)=0, "", _xll.IMDP("IR", $H83, CR$8, Matrix!$D$6)), "")</f>
        <v>3.2759999999999998</v>
      </c>
      <c r="CS83" cm="1">
        <f t="array" aca="1" ref="CS83" ca="1">IF( AND($H$7,NOT(ISBLANK($H83))), IF( _xll.IMDP("IR", $H83, CS$8, Matrix!$D$6)=0, "", _xll.IMDP("IR", $H83, CS$8, Matrix!$D$6)), "")</f>
        <v>3.22</v>
      </c>
      <c r="CT83" cm="1">
        <f t="array" aca="1" ref="CT83" ca="1">IF( AND($H$7,NOT(ISBLANK($H83))), IF( _xll.IMDP("IR", $H83, CT$8, Matrix!$D$6)=0, "", _xll.IMDP("IR", $H83, CT$8, Matrix!$D$6)), "")</f>
        <v>3.2069999999999999</v>
      </c>
      <c r="CU83" cm="1">
        <f t="array" aca="1" ref="CU83" ca="1">IF( AND($H$7,NOT(ISBLANK($H83))), IF( _xll.IMDP("IR", $H83, CU$8, Matrix!$D$6)=0, "", _xll.IMDP("IR", $H83, CU$8, Matrix!$D$6)), "")</f>
        <v>3.1819999999999999</v>
      </c>
      <c r="CV83" cm="1">
        <f t="array" aca="1" ref="CV83" ca="1">IF( AND($H$7,NOT(ISBLANK($H83))), IF( _xll.IMDP("IR", $H83, CV$8, Matrix!$D$6)=0, "", _xll.IMDP("IR", $H83, CV$8, Matrix!$D$6)), "")</f>
        <v>3.1850000000000001</v>
      </c>
      <c r="CW83" cm="1">
        <f t="array" aca="1" ref="CW83" ca="1">IF( AND($H$7,NOT(ISBLANK($H83))), IF( _xll.IMDP("IR", $H83, CW$8, Matrix!$D$6)=0, "", _xll.IMDP("IR", $H83, CW$8, Matrix!$D$6)), "")</f>
        <v>3.173</v>
      </c>
      <c r="CX83" cm="1">
        <f t="array" aca="1" ref="CX83" ca="1">IF( AND($H$7,NOT(ISBLANK($H83))), IF( _xll.IMDP("IR", $H83, CX$8, Matrix!$D$6)=0, "", _xll.IMDP("IR", $H83, CX$8, Matrix!$D$6)), "")</f>
        <v>3.1749999999999998</v>
      </c>
      <c r="CY83" cm="1">
        <f t="array" aca="1" ref="CY83" ca="1">IF( AND($H$7,NOT(ISBLANK($H83))), IF( _xll.IMDP("IR", $H83, CY$8, Matrix!$D$6)=0, "", _xll.IMDP("IR", $H83, CY$8, Matrix!$D$6)), "")</f>
        <v>3.1739999999999999</v>
      </c>
      <c r="CZ83" cm="1">
        <f t="array" aca="1" ref="CZ83" ca="1">IF( AND($H$7,NOT(ISBLANK($H83))), IF( _xll.IMDP("IR", $H83, CZ$8, Matrix!$D$6)=0, "", _xll.IMDP("IR", $H83, CZ$8, Matrix!$D$6)), "")</f>
        <v>3.1920000000000002</v>
      </c>
      <c r="DA83" t="str" cm="1">
        <f t="array" aca="1" ref="DA83" ca="1">IF( AND($H$7,NOT(ISBLANK($H83))), IF( _xll.IMDP("IR", $H83, DA$8, Matrix!$D$6)=0, "", _xll.IMDP("IR", $H83, DA$8, Matrix!$D$6)), "")</f>
        <v/>
      </c>
      <c r="DB83" cm="1">
        <f t="array" aca="1" ref="DB83" ca="1">IF( AND($H$7,NOT(ISBLANK($H83))), IF( _xll.IMDP("IR", $H83, DB$8, Matrix!$D$6)=0, "", _xll.IMDP("IR", $H83, DB$8, Matrix!$D$6)), "")</f>
        <v>3.1840000000000002</v>
      </c>
      <c r="DC83" cm="1">
        <f t="array" aca="1" ref="DC83" ca="1">IF( AND($H$7,NOT(ISBLANK($H83))), IF( _xll.IMDP("IR", $H83, DC$8, Matrix!$D$6)=0, "", _xll.IMDP("IR", $H83, DC$8, Matrix!$D$6)), "")</f>
        <v>3.1869999999999998</v>
      </c>
      <c r="DD83" t="str" cm="1">
        <f t="array" aca="1" ref="DD83" ca="1">IF( AND($H$7,NOT(ISBLANK($H83))), IF( _xll.IMDP("IR", $H83, DD$8, Matrix!$D$6)=0, "", _xll.IMDP("IR", $H83, DD$8, Matrix!$D$6)), "")</f>
        <v/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Matrix</vt:lpstr>
      <vt:lpstr>개별종목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Snow Jung</cp:lastModifiedBy>
  <dcterms:created xsi:type="dcterms:W3CDTF">2023-05-16T06:11:34Z</dcterms:created>
  <dcterms:modified xsi:type="dcterms:W3CDTF">2024-08-19T07:32:38Z</dcterms:modified>
</cp:coreProperties>
</file>