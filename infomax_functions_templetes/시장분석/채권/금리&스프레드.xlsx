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현재_통합_문서"/>
  <bookViews>
    <workbookView xWindow="120" yWindow="120" windowWidth="24960" windowHeight="15255"/>
  </bookViews>
  <sheets>
    <sheet name="금리 및 스프레드" sheetId="2" r:id="rId1"/>
  </sheets>
  <calcPr calcId="145621"/>
</workbook>
</file>

<file path=xl/calcChain.xml><?xml version="1.0" encoding="utf-8"?>
<calcChain xmlns="http://schemas.openxmlformats.org/spreadsheetml/2006/main">
  <c r="H194" i="2" l="1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C69" i="2"/>
  <c r="H2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4" i="2"/>
  <c r="H126" i="2" s="1"/>
  <c r="H188" i="2" s="1"/>
  <c r="F188" i="2" s="1"/>
  <c r="H63" i="2"/>
  <c r="H125" i="2" s="1"/>
  <c r="H187" i="2" s="1"/>
  <c r="H62" i="2"/>
  <c r="H124" i="2" s="1"/>
  <c r="H186" i="2" s="1"/>
  <c r="H61" i="2"/>
  <c r="H123" i="2" s="1"/>
  <c r="H185" i="2" s="1"/>
  <c r="H60" i="2"/>
  <c r="H122" i="2" s="1"/>
  <c r="H184" i="2" s="1"/>
  <c r="H59" i="2"/>
  <c r="H121" i="2" s="1"/>
  <c r="H183" i="2" s="1"/>
  <c r="H58" i="2"/>
  <c r="H120" i="2" s="1"/>
  <c r="H182" i="2" s="1"/>
  <c r="H57" i="2"/>
  <c r="H119" i="2" s="1"/>
  <c r="H181" i="2" s="1"/>
  <c r="F181" i="2" s="1"/>
  <c r="H56" i="2"/>
  <c r="H118" i="2" s="1"/>
  <c r="H180" i="2" s="1"/>
  <c r="H55" i="2"/>
  <c r="H117" i="2" s="1"/>
  <c r="H179" i="2" s="1"/>
  <c r="H54" i="2"/>
  <c r="H116" i="2" s="1"/>
  <c r="H178" i="2" s="1"/>
  <c r="H53" i="2"/>
  <c r="H115" i="2" s="1"/>
  <c r="H177" i="2" s="1"/>
  <c r="H52" i="2"/>
  <c r="H114" i="2" s="1"/>
  <c r="H176" i="2" s="1"/>
  <c r="H51" i="2"/>
  <c r="H113" i="2" s="1"/>
  <c r="H175" i="2" s="1"/>
  <c r="H50" i="2"/>
  <c r="H112" i="2" s="1"/>
  <c r="H174" i="2" s="1"/>
  <c r="H49" i="2"/>
  <c r="H111" i="2" s="1"/>
  <c r="H173" i="2" s="1"/>
  <c r="H48" i="2"/>
  <c r="H110" i="2" s="1"/>
  <c r="H172" i="2" s="1"/>
  <c r="H47" i="2"/>
  <c r="H109" i="2" s="1"/>
  <c r="H171" i="2" s="1"/>
  <c r="H46" i="2"/>
  <c r="H108" i="2" s="1"/>
  <c r="H170" i="2" s="1"/>
  <c r="H45" i="2"/>
  <c r="H107" i="2" s="1"/>
  <c r="H169" i="2" s="1"/>
  <c r="H44" i="2"/>
  <c r="H106" i="2" s="1"/>
  <c r="H168" i="2" s="1"/>
  <c r="H43" i="2"/>
  <c r="H105" i="2" s="1"/>
  <c r="H167" i="2" s="1"/>
  <c r="H42" i="2"/>
  <c r="H104" i="2" s="1"/>
  <c r="H166" i="2" s="1"/>
  <c r="F166" i="2" s="1"/>
  <c r="H41" i="2"/>
  <c r="H103" i="2" s="1"/>
  <c r="H165" i="2" s="1"/>
  <c r="H40" i="2"/>
  <c r="H102" i="2" s="1"/>
  <c r="H164" i="2" s="1"/>
  <c r="H39" i="2"/>
  <c r="H101" i="2" s="1"/>
  <c r="H163" i="2" s="1"/>
  <c r="H38" i="2"/>
  <c r="H100" i="2" s="1"/>
  <c r="H162" i="2" s="1"/>
  <c r="H37" i="2"/>
  <c r="H99" i="2" s="1"/>
  <c r="H161" i="2" s="1"/>
  <c r="H36" i="2"/>
  <c r="H98" i="2" s="1"/>
  <c r="H160" i="2" s="1"/>
  <c r="H35" i="2"/>
  <c r="H97" i="2" s="1"/>
  <c r="H159" i="2" s="1"/>
  <c r="H34" i="2"/>
  <c r="H96" i="2" s="1"/>
  <c r="H158" i="2" s="1"/>
  <c r="H33" i="2"/>
  <c r="H95" i="2" s="1"/>
  <c r="H157" i="2" s="1"/>
  <c r="H32" i="2"/>
  <c r="H94" i="2" s="1"/>
  <c r="H156" i="2" s="1"/>
  <c r="H31" i="2"/>
  <c r="H93" i="2" s="1"/>
  <c r="H155" i="2" s="1"/>
  <c r="H30" i="2"/>
  <c r="H92" i="2" s="1"/>
  <c r="H154" i="2" s="1"/>
  <c r="H29" i="2"/>
  <c r="H91" i="2" s="1"/>
  <c r="H153" i="2" s="1"/>
  <c r="H28" i="2"/>
  <c r="H90" i="2" s="1"/>
  <c r="H152" i="2" s="1"/>
  <c r="H27" i="2"/>
  <c r="H89" i="2" s="1"/>
  <c r="H151" i="2" s="1"/>
  <c r="H26" i="2"/>
  <c r="H88" i="2" s="1"/>
  <c r="H150" i="2" s="1"/>
  <c r="H25" i="2"/>
  <c r="H87" i="2" s="1"/>
  <c r="H149" i="2" s="1"/>
  <c r="H24" i="2"/>
  <c r="H86" i="2" s="1"/>
  <c r="H148" i="2" s="1"/>
  <c r="H23" i="2"/>
  <c r="H85" i="2" s="1"/>
  <c r="H147" i="2" s="1"/>
  <c r="H22" i="2"/>
  <c r="H84" i="2" s="1"/>
  <c r="H146" i="2" s="1"/>
  <c r="H21" i="2"/>
  <c r="H83" i="2" s="1"/>
  <c r="H145" i="2" s="1"/>
  <c r="H20" i="2"/>
  <c r="H82" i="2" s="1"/>
  <c r="H144" i="2" s="1"/>
  <c r="H19" i="2"/>
  <c r="H81" i="2" s="1"/>
  <c r="H143" i="2" s="1"/>
  <c r="H18" i="2"/>
  <c r="H80" i="2" s="1"/>
  <c r="H142" i="2" s="1"/>
  <c r="H17" i="2"/>
  <c r="H79" i="2" s="1"/>
  <c r="H141" i="2" s="1"/>
  <c r="H16" i="2"/>
  <c r="H78" i="2" s="1"/>
  <c r="H140" i="2" s="1"/>
  <c r="H15" i="2"/>
  <c r="H77" i="2" s="1"/>
  <c r="H139" i="2" s="1"/>
  <c r="H14" i="2"/>
  <c r="H76" i="2" s="1"/>
  <c r="H138" i="2" s="1"/>
  <c r="H13" i="2"/>
  <c r="H75" i="2" s="1"/>
  <c r="H137" i="2" s="1"/>
  <c r="H12" i="2"/>
  <c r="H74" i="2" s="1"/>
  <c r="H136" i="2" s="1"/>
  <c r="H11" i="2"/>
  <c r="H73" i="2" s="1"/>
  <c r="H135" i="2" s="1"/>
  <c r="F135" i="2" s="1"/>
  <c r="H10" i="2"/>
  <c r="H72" i="2" s="1"/>
  <c r="H134" i="2" s="1"/>
  <c r="H8" i="2"/>
  <c r="H70" i="2" s="1"/>
  <c r="H132" i="2" s="1"/>
  <c r="F132" i="2" s="1"/>
  <c r="H7" i="2"/>
  <c r="H9" i="2"/>
  <c r="H71" i="2" s="1"/>
  <c r="H133" i="2" s="1"/>
  <c r="B64" i="2"/>
  <c r="B63" i="2"/>
  <c r="C63" i="2" s="1"/>
  <c r="B62" i="2"/>
  <c r="C62" i="2" s="1"/>
  <c r="B61" i="2"/>
  <c r="C61" i="2" s="1"/>
  <c r="B59" i="2"/>
  <c r="C59" i="2" s="1"/>
  <c r="B58" i="2"/>
  <c r="C58" i="2" s="1"/>
  <c r="B57" i="2"/>
  <c r="B56" i="2"/>
  <c r="C56" i="2" s="1"/>
  <c r="B55" i="2"/>
  <c r="C55" i="2" s="1"/>
  <c r="B54" i="2"/>
  <c r="C54" i="2" s="1"/>
  <c r="B53" i="2"/>
  <c r="C53" i="2" s="1"/>
  <c r="B52" i="2"/>
  <c r="C52" i="2" s="1"/>
  <c r="B51" i="2"/>
  <c r="C51" i="2" s="1"/>
  <c r="B50" i="2"/>
  <c r="C50" i="2" s="1"/>
  <c r="B49" i="2"/>
  <c r="C49" i="2" s="1"/>
  <c r="B48" i="2"/>
  <c r="C48" i="2" s="1"/>
  <c r="B47" i="2"/>
  <c r="C47" i="2" s="1"/>
  <c r="B46" i="2"/>
  <c r="C46" i="2" s="1"/>
  <c r="B45" i="2"/>
  <c r="C45" i="2" s="1"/>
  <c r="B44" i="2"/>
  <c r="C44" i="2" s="1"/>
  <c r="B43" i="2"/>
  <c r="C43" i="2" s="1"/>
  <c r="B42" i="2"/>
  <c r="B41" i="2"/>
  <c r="C41" i="2" s="1"/>
  <c r="B40" i="2"/>
  <c r="C40" i="2" s="1"/>
  <c r="B39" i="2"/>
  <c r="C39" i="2" s="1"/>
  <c r="B38" i="2"/>
  <c r="C38" i="2" s="1"/>
  <c r="B37" i="2"/>
  <c r="C37" i="2" s="1"/>
  <c r="B36" i="2"/>
  <c r="C36" i="2" s="1"/>
  <c r="B35" i="2"/>
  <c r="C35" i="2" s="1"/>
  <c r="B34" i="2"/>
  <c r="C34" i="2" s="1"/>
  <c r="B33" i="2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C13" i="2" s="1"/>
  <c r="B12" i="2"/>
  <c r="C12" i="2" s="1"/>
  <c r="B11" i="2"/>
  <c r="B10" i="2"/>
  <c r="C10" i="2" s="1"/>
  <c r="B9" i="2"/>
  <c r="C9" i="2" s="1"/>
  <c r="B8" i="2"/>
  <c r="B7" i="2"/>
  <c r="B60" i="2"/>
  <c r="C60" i="2" s="1"/>
  <c r="F136" i="2" l="1"/>
  <c r="F148" i="2"/>
  <c r="F156" i="2"/>
  <c r="F134" i="2"/>
  <c r="F133" i="2"/>
  <c r="F140" i="2"/>
  <c r="F144" i="2"/>
  <c r="F152" i="2"/>
  <c r="F160" i="2"/>
  <c r="F164" i="2"/>
  <c r="F168" i="2"/>
  <c r="F172" i="2"/>
  <c r="F176" i="2"/>
  <c r="F180" i="2"/>
  <c r="F184" i="2"/>
  <c r="F139" i="2"/>
  <c r="F147" i="2"/>
  <c r="F151" i="2"/>
  <c r="F159" i="2"/>
  <c r="F167" i="2"/>
  <c r="F171" i="2"/>
  <c r="F175" i="2"/>
  <c r="F179" i="2"/>
  <c r="F183" i="2"/>
  <c r="F187" i="2"/>
  <c r="F143" i="2"/>
  <c r="F155" i="2"/>
  <c r="F163" i="2"/>
  <c r="F137" i="2"/>
  <c r="F141" i="2"/>
  <c r="F145" i="2"/>
  <c r="F149" i="2"/>
  <c r="F153" i="2"/>
  <c r="F157" i="2"/>
  <c r="F161" i="2"/>
  <c r="F165" i="2"/>
  <c r="F169" i="2"/>
  <c r="F173" i="2"/>
  <c r="F177" i="2"/>
  <c r="F185" i="2"/>
  <c r="F138" i="2"/>
  <c r="F142" i="2"/>
  <c r="F146" i="2"/>
  <c r="F150" i="2"/>
  <c r="F154" i="2"/>
  <c r="F158" i="2"/>
  <c r="F162" i="2"/>
  <c r="F170" i="2"/>
  <c r="F174" i="2"/>
  <c r="F178" i="2"/>
  <c r="F182" i="2"/>
  <c r="F186" i="2"/>
  <c r="J64" i="2"/>
  <c r="P59" i="2"/>
  <c r="V54" i="2"/>
  <c r="N50" i="2"/>
  <c r="T45" i="2"/>
  <c r="L41" i="2"/>
  <c r="R36" i="2"/>
  <c r="J32" i="2"/>
  <c r="S63" i="2"/>
  <c r="K59" i="2"/>
  <c r="Q54" i="2"/>
  <c r="I50" i="2"/>
  <c r="O45" i="2"/>
  <c r="U40" i="2"/>
  <c r="M36" i="2"/>
  <c r="S31" i="2"/>
  <c r="J63" i="2"/>
  <c r="P58" i="2"/>
  <c r="V53" i="2"/>
  <c r="N49" i="2"/>
  <c r="T44" i="2"/>
  <c r="O62" i="2"/>
  <c r="U57" i="2"/>
  <c r="M53" i="2"/>
  <c r="S48" i="2"/>
  <c r="K44" i="2"/>
  <c r="Q39" i="2"/>
  <c r="I35" i="2"/>
  <c r="O30" i="2"/>
  <c r="J31" i="2"/>
  <c r="U24" i="2"/>
  <c r="M20" i="2"/>
  <c r="T63" i="2"/>
  <c r="L59" i="2"/>
  <c r="R54" i="2"/>
  <c r="J50" i="2"/>
  <c r="P45" i="2"/>
  <c r="V40" i="2"/>
  <c r="N36" i="2"/>
  <c r="T31" i="2"/>
  <c r="O63" i="2"/>
  <c r="U58" i="2"/>
  <c r="M54" i="2"/>
  <c r="S49" i="2"/>
  <c r="K45" i="2"/>
  <c r="Q40" i="2"/>
  <c r="I36" i="2"/>
  <c r="O31" i="2"/>
  <c r="T62" i="2"/>
  <c r="L58" i="2"/>
  <c r="R53" i="2"/>
  <c r="J49" i="2"/>
  <c r="P44" i="2"/>
  <c r="K62" i="2"/>
  <c r="Q57" i="2"/>
  <c r="I53" i="2"/>
  <c r="O48" i="2"/>
  <c r="U43" i="2"/>
  <c r="M39" i="2"/>
  <c r="S34" i="2"/>
  <c r="K30" i="2"/>
  <c r="V29" i="2"/>
  <c r="P63" i="2"/>
  <c r="V58" i="2"/>
  <c r="N54" i="2"/>
  <c r="T49" i="2"/>
  <c r="L45" i="2"/>
  <c r="R40" i="2"/>
  <c r="J36" i="2"/>
  <c r="P31" i="2"/>
  <c r="K63" i="2"/>
  <c r="Q58" i="2"/>
  <c r="I54" i="2"/>
  <c r="O49" i="2"/>
  <c r="U44" i="2"/>
  <c r="M40" i="2"/>
  <c r="S35" i="2"/>
  <c r="K31" i="2"/>
  <c r="P62" i="2"/>
  <c r="V57" i="2"/>
  <c r="N53" i="2"/>
  <c r="T48" i="2"/>
  <c r="L44" i="2"/>
  <c r="U61" i="2"/>
  <c r="M57" i="2"/>
  <c r="S52" i="2"/>
  <c r="K48" i="2"/>
  <c r="Q43" i="2"/>
  <c r="I39" i="2"/>
  <c r="L63" i="2"/>
  <c r="R58" i="2"/>
  <c r="J54" i="2"/>
  <c r="P49" i="2"/>
  <c r="V44" i="2"/>
  <c r="N40" i="2"/>
  <c r="T35" i="2"/>
  <c r="L31" i="2"/>
  <c r="U62" i="2"/>
  <c r="M58" i="2"/>
  <c r="S53" i="2"/>
  <c r="K49" i="2"/>
  <c r="Q44" i="2"/>
  <c r="I40" i="2"/>
  <c r="O35" i="2"/>
  <c r="U30" i="2"/>
  <c r="L62" i="2"/>
  <c r="R57" i="2"/>
  <c r="J53" i="2"/>
  <c r="P48" i="2"/>
  <c r="V43" i="2"/>
  <c r="Q61" i="2"/>
  <c r="I57" i="2"/>
  <c r="O52" i="2"/>
  <c r="U47" i="2"/>
  <c r="M43" i="2"/>
  <c r="S38" i="2"/>
  <c r="K34" i="2"/>
  <c r="Q29" i="2"/>
  <c r="Q28" i="2"/>
  <c r="I24" i="2"/>
  <c r="Q35" i="2"/>
  <c r="O23" i="2"/>
  <c r="Q16" i="2"/>
  <c r="I12" i="2"/>
  <c r="O7" i="2"/>
  <c r="L28" i="2"/>
  <c r="R23" i="2"/>
  <c r="V62" i="2"/>
  <c r="N58" i="2"/>
  <c r="T53" i="2"/>
  <c r="L49" i="2"/>
  <c r="R44" i="2"/>
  <c r="J40" i="2"/>
  <c r="P35" i="2"/>
  <c r="V30" i="2"/>
  <c r="Q62" i="2"/>
  <c r="I58" i="2"/>
  <c r="O53" i="2"/>
  <c r="U48" i="2"/>
  <c r="M44" i="2"/>
  <c r="S39" i="2"/>
  <c r="K35" i="2"/>
  <c r="Q30" i="2"/>
  <c r="V61" i="2"/>
  <c r="N57" i="2"/>
  <c r="T52" i="2"/>
  <c r="L48" i="2"/>
  <c r="R43" i="2"/>
  <c r="M61" i="2"/>
  <c r="S56" i="2"/>
  <c r="K52" i="2"/>
  <c r="Q47" i="2"/>
  <c r="I43" i="2"/>
  <c r="O38" i="2"/>
  <c r="U33" i="2"/>
  <c r="M29" i="2"/>
  <c r="M28" i="2"/>
  <c r="S23" i="2"/>
  <c r="K19" i="2"/>
  <c r="R62" i="2"/>
  <c r="J58" i="2"/>
  <c r="P53" i="2"/>
  <c r="V48" i="2"/>
  <c r="N44" i="2"/>
  <c r="T39" i="2"/>
  <c r="L35" i="2"/>
  <c r="R30" i="2"/>
  <c r="M62" i="2"/>
  <c r="S57" i="2"/>
  <c r="K53" i="2"/>
  <c r="Q48" i="2"/>
  <c r="I44" i="2"/>
  <c r="O39" i="2"/>
  <c r="U34" i="2"/>
  <c r="M30" i="2"/>
  <c r="R61" i="2"/>
  <c r="J57" i="2"/>
  <c r="P52" i="2"/>
  <c r="V47" i="2"/>
  <c r="N43" i="2"/>
  <c r="I61" i="2"/>
  <c r="O56" i="2"/>
  <c r="U51" i="2"/>
  <c r="M47" i="2"/>
  <c r="S42" i="2"/>
  <c r="K38" i="2"/>
  <c r="Q33" i="2"/>
  <c r="I29" i="2"/>
  <c r="I28" i="2"/>
  <c r="N62" i="2"/>
  <c r="T57" i="2"/>
  <c r="L53" i="2"/>
  <c r="R48" i="2"/>
  <c r="J44" i="2"/>
  <c r="P39" i="2"/>
  <c r="V34" i="2"/>
  <c r="N30" i="2"/>
  <c r="I62" i="2"/>
  <c r="O57" i="2"/>
  <c r="U52" i="2"/>
  <c r="M48" i="2"/>
  <c r="S43" i="2"/>
  <c r="K39" i="2"/>
  <c r="Q34" i="2"/>
  <c r="I30" i="2"/>
  <c r="N61" i="2"/>
  <c r="T56" i="2"/>
  <c r="L52" i="2"/>
  <c r="R47" i="2"/>
  <c r="J43" i="2"/>
  <c r="S60" i="2"/>
  <c r="K56" i="2"/>
  <c r="Q51" i="2"/>
  <c r="I47" i="2"/>
  <c r="O42" i="2"/>
  <c r="U37" i="2"/>
  <c r="J62" i="2"/>
  <c r="P57" i="2"/>
  <c r="V52" i="2"/>
  <c r="N48" i="2"/>
  <c r="T43" i="2"/>
  <c r="L39" i="2"/>
  <c r="R34" i="2"/>
  <c r="J30" i="2"/>
  <c r="S61" i="2"/>
  <c r="K57" i="2"/>
  <c r="Q52" i="2"/>
  <c r="I48" i="2"/>
  <c r="O43" i="2"/>
  <c r="U38" i="2"/>
  <c r="M34" i="2"/>
  <c r="S29" i="2"/>
  <c r="J61" i="2"/>
  <c r="P56" i="2"/>
  <c r="V51" i="2"/>
  <c r="N47" i="2"/>
  <c r="T42" i="2"/>
  <c r="O60" i="2"/>
  <c r="U55" i="2"/>
  <c r="M51" i="2"/>
  <c r="S46" i="2"/>
  <c r="K42" i="2"/>
  <c r="Q37" i="2"/>
  <c r="I33" i="2"/>
  <c r="N41" i="2"/>
  <c r="O27" i="2"/>
  <c r="U22" i="2"/>
  <c r="I31" i="2"/>
  <c r="K21" i="2"/>
  <c r="O15" i="2"/>
  <c r="U10" i="2"/>
  <c r="V39" i="2"/>
  <c r="J27" i="2"/>
  <c r="T61" i="2"/>
  <c r="L57" i="2"/>
  <c r="R52" i="2"/>
  <c r="J48" i="2"/>
  <c r="P43" i="2"/>
  <c r="V38" i="2"/>
  <c r="N34" i="2"/>
  <c r="T29" i="2"/>
  <c r="O61" i="2"/>
  <c r="U56" i="2"/>
  <c r="M52" i="2"/>
  <c r="S47" i="2"/>
  <c r="K43" i="2"/>
  <c r="Q38" i="2"/>
  <c r="I34" i="2"/>
  <c r="O29" i="2"/>
  <c r="T60" i="2"/>
  <c r="L56" i="2"/>
  <c r="R51" i="2"/>
  <c r="J47" i="2"/>
  <c r="S64" i="2"/>
  <c r="K60" i="2"/>
  <c r="Q55" i="2"/>
  <c r="I51" i="2"/>
  <c r="O46" i="2"/>
  <c r="U41" i="2"/>
  <c r="M37" i="2"/>
  <c r="S32" i="2"/>
  <c r="L40" i="2"/>
  <c r="K27" i="2"/>
  <c r="Q22" i="2"/>
  <c r="I18" i="2"/>
  <c r="P61" i="2"/>
  <c r="V56" i="2"/>
  <c r="N52" i="2"/>
  <c r="T47" i="2"/>
  <c r="L43" i="2"/>
  <c r="R38" i="2"/>
  <c r="J34" i="2"/>
  <c r="P29" i="2"/>
  <c r="K61" i="2"/>
  <c r="Q56" i="2"/>
  <c r="I52" i="2"/>
  <c r="O47" i="2"/>
  <c r="U42" i="2"/>
  <c r="M38" i="2"/>
  <c r="S33" i="2"/>
  <c r="K29" i="2"/>
  <c r="P60" i="2"/>
  <c r="V55" i="2"/>
  <c r="N51" i="2"/>
  <c r="T46" i="2"/>
  <c r="O64" i="2"/>
  <c r="U59" i="2"/>
  <c r="M55" i="2"/>
  <c r="S50" i="2"/>
  <c r="K46" i="2"/>
  <c r="Q41" i="2"/>
  <c r="I37" i="2"/>
  <c r="O32" i="2"/>
  <c r="J39" i="2"/>
  <c r="U26" i="2"/>
  <c r="L61" i="2"/>
  <c r="R56" i="2"/>
  <c r="J52" i="2"/>
  <c r="P47" i="2"/>
  <c r="V42" i="2"/>
  <c r="N38" i="2"/>
  <c r="T33" i="2"/>
  <c r="L29" i="2"/>
  <c r="U60" i="2"/>
  <c r="M56" i="2"/>
  <c r="S51" i="2"/>
  <c r="K47" i="2"/>
  <c r="Q42" i="2"/>
  <c r="I38" i="2"/>
  <c r="O33" i="2"/>
  <c r="T64" i="2"/>
  <c r="L60" i="2"/>
  <c r="R55" i="2"/>
  <c r="J51" i="2"/>
  <c r="P46" i="2"/>
  <c r="K64" i="2"/>
  <c r="Q59" i="2"/>
  <c r="I55" i="2"/>
  <c r="O50" i="2"/>
  <c r="U45" i="2"/>
  <c r="M41" i="2"/>
  <c r="S36" i="2"/>
  <c r="V60" i="2"/>
  <c r="N56" i="2"/>
  <c r="T51" i="2"/>
  <c r="L47" i="2"/>
  <c r="R42" i="2"/>
  <c r="J38" i="2"/>
  <c r="P33" i="2"/>
  <c r="V28" i="2"/>
  <c r="Q60" i="2"/>
  <c r="I56" i="2"/>
  <c r="O51" i="2"/>
  <c r="U46" i="2"/>
  <c r="M42" i="2"/>
  <c r="S37" i="2"/>
  <c r="K33" i="2"/>
  <c r="P64" i="2"/>
  <c r="V59" i="2"/>
  <c r="N55" i="2"/>
  <c r="T50" i="2"/>
  <c r="L46" i="2"/>
  <c r="U63" i="2"/>
  <c r="M59" i="2"/>
  <c r="S54" i="2"/>
  <c r="K50" i="2"/>
  <c r="Q45" i="2"/>
  <c r="I41" i="2"/>
  <c r="O36" i="2"/>
  <c r="U31" i="2"/>
  <c r="T36" i="2"/>
  <c r="M26" i="2"/>
  <c r="S21" i="2"/>
  <c r="N33" i="2"/>
  <c r="O19" i="2"/>
  <c r="M14" i="2"/>
  <c r="S9" i="2"/>
  <c r="N35" i="2"/>
  <c r="V25" i="2"/>
  <c r="V46" i="2"/>
  <c r="U64" i="2"/>
  <c r="Q46" i="2"/>
  <c r="L64" i="2"/>
  <c r="V45" i="2"/>
  <c r="U49" i="2"/>
  <c r="Q31" i="2"/>
  <c r="V64" i="2"/>
  <c r="R46" i="2"/>
  <c r="Q64" i="2"/>
  <c r="M46" i="2"/>
  <c r="V63" i="2"/>
  <c r="R45" i="2"/>
  <c r="Q49" i="2"/>
  <c r="M31" i="2"/>
  <c r="P55" i="2"/>
  <c r="L37" i="2"/>
  <c r="K55" i="2"/>
  <c r="U36" i="2"/>
  <c r="P54" i="2"/>
  <c r="O58" i="2"/>
  <c r="K40" i="2"/>
  <c r="R50" i="2"/>
  <c r="N32" i="2"/>
  <c r="M50" i="2"/>
  <c r="I32" i="2"/>
  <c r="R49" i="2"/>
  <c r="Q53" i="2"/>
  <c r="M35" i="2"/>
  <c r="Q20" i="2"/>
  <c r="Q8" i="2"/>
  <c r="N21" i="2"/>
  <c r="T16" i="2"/>
  <c r="L12" i="2"/>
  <c r="R7" i="2"/>
  <c r="O28" i="2"/>
  <c r="U23" i="2"/>
  <c r="M19" i="2"/>
  <c r="S14" i="2"/>
  <c r="K10" i="2"/>
  <c r="V35" i="2"/>
  <c r="J26" i="2"/>
  <c r="P21" i="2"/>
  <c r="V16" i="2"/>
  <c r="N12" i="2"/>
  <c r="T7" i="2"/>
  <c r="I8" i="2"/>
  <c r="L24" i="2"/>
  <c r="J15" i="2"/>
  <c r="P38" i="2"/>
  <c r="S18" i="2"/>
  <c r="U11" i="2"/>
  <c r="M7" i="2"/>
  <c r="T27" i="2"/>
  <c r="L23" i="2"/>
  <c r="R18" i="2"/>
  <c r="V12" i="2"/>
  <c r="L7" i="2"/>
  <c r="O25" i="2"/>
  <c r="O17" i="2"/>
  <c r="U12" i="2"/>
  <c r="M8" i="2"/>
  <c r="R29" i="2"/>
  <c r="P24" i="2"/>
  <c r="V19" i="2"/>
  <c r="N15" i="2"/>
  <c r="T10" i="2"/>
  <c r="R39" i="2"/>
  <c r="I27" i="2"/>
  <c r="O22" i="2"/>
  <c r="U17" i="2"/>
  <c r="M13" i="2"/>
  <c r="S8" i="2"/>
  <c r="L30" i="2"/>
  <c r="R24" i="2"/>
  <c r="J20" i="2"/>
  <c r="P15" i="2"/>
  <c r="V10" i="2"/>
  <c r="M33" i="2"/>
  <c r="I20" i="2"/>
  <c r="U14" i="2"/>
  <c r="L42" i="2"/>
  <c r="J23" i="2"/>
  <c r="V13" i="2"/>
  <c r="V33" i="2"/>
  <c r="M23" i="2"/>
  <c r="M15" i="2"/>
  <c r="Q26" i="2"/>
  <c r="M18" i="2"/>
  <c r="K32" i="2"/>
  <c r="R21" i="2"/>
  <c r="S28" i="2"/>
  <c r="O10" i="2"/>
  <c r="L17" i="2"/>
  <c r="V41" i="2"/>
  <c r="L25" i="2"/>
  <c r="V23" i="2"/>
  <c r="K8" i="2"/>
  <c r="N27" i="2"/>
  <c r="K16" i="2"/>
  <c r="O13" i="2"/>
  <c r="P20" i="2"/>
  <c r="P32" i="2"/>
  <c r="P28" i="2"/>
  <c r="M17" i="2"/>
  <c r="N10" i="2"/>
  <c r="T32" i="2"/>
  <c r="V22" i="2"/>
  <c r="J41" i="2"/>
  <c r="T13" i="2"/>
  <c r="R60" i="2"/>
  <c r="N42" i="2"/>
  <c r="M60" i="2"/>
  <c r="I42" i="2"/>
  <c r="R59" i="2"/>
  <c r="Q63" i="2"/>
  <c r="M45" i="2"/>
  <c r="R35" i="2"/>
  <c r="N60" i="2"/>
  <c r="J42" i="2"/>
  <c r="I60" i="2"/>
  <c r="S41" i="2"/>
  <c r="N59" i="2"/>
  <c r="M63" i="2"/>
  <c r="I45" i="2"/>
  <c r="P34" i="2"/>
  <c r="V50" i="2"/>
  <c r="R32" i="2"/>
  <c r="Q50" i="2"/>
  <c r="M32" i="2"/>
  <c r="V49" i="2"/>
  <c r="U53" i="2"/>
  <c r="N64" i="2"/>
  <c r="J46" i="2"/>
  <c r="I64" i="2"/>
  <c r="S45" i="2"/>
  <c r="N63" i="2"/>
  <c r="J45" i="2"/>
  <c r="I49" i="2"/>
  <c r="S30" i="2"/>
  <c r="S25" i="2"/>
  <c r="T30" i="2"/>
  <c r="L20" i="2"/>
  <c r="R15" i="2"/>
  <c r="J11" i="2"/>
  <c r="T40" i="2"/>
  <c r="M27" i="2"/>
  <c r="S22" i="2"/>
  <c r="K18" i="2"/>
  <c r="Q13" i="2"/>
  <c r="I9" i="2"/>
  <c r="N31" i="2"/>
  <c r="V24" i="2"/>
  <c r="N20" i="2"/>
  <c r="T15" i="2"/>
  <c r="L11" i="2"/>
  <c r="S27" i="2"/>
  <c r="R37" i="2"/>
  <c r="V21" i="2"/>
  <c r="T12" i="2"/>
  <c r="S26" i="2"/>
  <c r="O16" i="2"/>
  <c r="S10" i="2"/>
  <c r="L38" i="2"/>
  <c r="R26" i="2"/>
  <c r="J22" i="2"/>
  <c r="P17" i="2"/>
  <c r="T11" i="2"/>
  <c r="O34" i="2"/>
  <c r="K23" i="2"/>
  <c r="M16" i="2"/>
  <c r="S11" i="2"/>
  <c r="K7" i="2"/>
  <c r="V27" i="2"/>
  <c r="N23" i="2"/>
  <c r="T18" i="2"/>
  <c r="L14" i="2"/>
  <c r="R9" i="2"/>
  <c r="J35" i="2"/>
  <c r="U25" i="2"/>
  <c r="M21" i="2"/>
  <c r="S16" i="2"/>
  <c r="K12" i="2"/>
  <c r="Q7" i="2"/>
  <c r="J28" i="2"/>
  <c r="P23" i="2"/>
  <c r="V18" i="2"/>
  <c r="N14" i="2"/>
  <c r="T9" i="2"/>
  <c r="P42" i="2"/>
  <c r="Q18" i="2"/>
  <c r="Q12" i="2"/>
  <c r="J33" i="2"/>
  <c r="T20" i="2"/>
  <c r="R11" i="2"/>
  <c r="N29" i="2"/>
  <c r="K22" i="2"/>
  <c r="J14" i="2"/>
  <c r="M24" i="2"/>
  <c r="U16" i="2"/>
  <c r="I10" i="2"/>
  <c r="J17" i="2"/>
  <c r="K24" i="2"/>
  <c r="J37" i="2"/>
  <c r="R12" i="2"/>
  <c r="I23" i="2"/>
  <c r="R20" i="2"/>
  <c r="T14" i="2"/>
  <c r="J24" i="2"/>
  <c r="L18" i="2"/>
  <c r="R41" i="2"/>
  <c r="U8" i="2"/>
  <c r="N11" i="2"/>
  <c r="J16" i="2"/>
  <c r="N19" i="2"/>
  <c r="S12" i="2"/>
  <c r="S20" i="2"/>
  <c r="K51" i="2"/>
  <c r="O54" i="2"/>
  <c r="O21" i="2"/>
  <c r="V32" i="2"/>
  <c r="Q32" i="2"/>
  <c r="K54" i="2"/>
  <c r="J60" i="2"/>
  <c r="S59" i="2"/>
  <c r="J59" i="2"/>
  <c r="S44" i="2"/>
  <c r="V36" i="2"/>
  <c r="Q36" i="2"/>
  <c r="K58" i="2"/>
  <c r="K25" i="2"/>
  <c r="P22" i="2"/>
  <c r="N13" i="2"/>
  <c r="R31" i="2"/>
  <c r="J56" i="2"/>
  <c r="T37" i="2"/>
  <c r="S55" i="2"/>
  <c r="O37" i="2"/>
  <c r="J55" i="2"/>
  <c r="I59" i="2"/>
  <c r="S40" i="2"/>
  <c r="I26" i="2"/>
  <c r="T55" i="2"/>
  <c r="P37" i="2"/>
  <c r="O55" i="2"/>
  <c r="K37" i="2"/>
  <c r="T54" i="2"/>
  <c r="S58" i="2"/>
  <c r="O40" i="2"/>
  <c r="R64" i="2"/>
  <c r="N46" i="2"/>
  <c r="M64" i="2"/>
  <c r="I46" i="2"/>
  <c r="R63" i="2"/>
  <c r="N45" i="2"/>
  <c r="M49" i="2"/>
  <c r="T59" i="2"/>
  <c r="P41" i="2"/>
  <c r="O59" i="2"/>
  <c r="K41" i="2"/>
  <c r="T58" i="2"/>
  <c r="S62" i="2"/>
  <c r="O44" i="2"/>
  <c r="L32" i="2"/>
  <c r="S17" i="2"/>
  <c r="T24" i="2"/>
  <c r="J19" i="2"/>
  <c r="P14" i="2"/>
  <c r="V9" i="2"/>
  <c r="L36" i="2"/>
  <c r="K26" i="2"/>
  <c r="Q21" i="2"/>
  <c r="I17" i="2"/>
  <c r="O12" i="2"/>
  <c r="U7" i="2"/>
  <c r="N28" i="2"/>
  <c r="T23" i="2"/>
  <c r="L19" i="2"/>
  <c r="R14" i="2"/>
  <c r="J10" i="2"/>
  <c r="S13" i="2"/>
  <c r="T28" i="2"/>
  <c r="R19" i="2"/>
  <c r="P10" i="2"/>
  <c r="O24" i="2"/>
  <c r="K14" i="2"/>
  <c r="Q9" i="2"/>
  <c r="R33" i="2"/>
  <c r="P25" i="2"/>
  <c r="V20" i="2"/>
  <c r="N16" i="2"/>
  <c r="R10" i="2"/>
  <c r="U29" i="2"/>
  <c r="U20" i="2"/>
  <c r="K15" i="2"/>
  <c r="Q10" i="2"/>
  <c r="T38" i="2"/>
  <c r="T26" i="2"/>
  <c r="L22" i="2"/>
  <c r="R17" i="2"/>
  <c r="J13" i="2"/>
  <c r="P8" i="2"/>
  <c r="P30" i="2"/>
  <c r="S24" i="2"/>
  <c r="K20" i="2"/>
  <c r="Q15" i="2"/>
  <c r="I11" i="2"/>
  <c r="N39" i="2"/>
  <c r="V26" i="2"/>
  <c r="N22" i="2"/>
  <c r="T17" i="2"/>
  <c r="L13" i="2"/>
  <c r="R8" i="2"/>
  <c r="Q24" i="2"/>
  <c r="K17" i="2"/>
  <c r="O11" i="2"/>
  <c r="R27" i="2"/>
  <c r="P18" i="2"/>
  <c r="N9" i="2"/>
  <c r="U27" i="2"/>
  <c r="U19" i="2"/>
  <c r="N8" i="2"/>
  <c r="I22" i="2"/>
  <c r="S15" i="2"/>
  <c r="P36" i="2"/>
  <c r="P12" i="2"/>
  <c r="Q19" i="2"/>
  <c r="N26" i="2"/>
  <c r="J8" i="2"/>
  <c r="O18" i="2"/>
  <c r="P11" i="2"/>
  <c r="N37" i="2"/>
  <c r="V14" i="2"/>
  <c r="J9" i="2"/>
  <c r="N18" i="2"/>
  <c r="V31" i="2"/>
  <c r="Q27" i="2"/>
  <c r="I7" i="2"/>
  <c r="L10" i="2"/>
  <c r="R28" i="2"/>
  <c r="T22" i="2"/>
  <c r="Q11" i="2"/>
  <c r="P51" i="2"/>
  <c r="L33" i="2"/>
  <c r="U32" i="2"/>
  <c r="P50" i="2"/>
  <c r="K36" i="2"/>
  <c r="L51" i="2"/>
  <c r="U50" i="2"/>
  <c r="L50" i="2"/>
  <c r="U35" i="2"/>
  <c r="T41" i="2"/>
  <c r="O41" i="2"/>
  <c r="I63" i="2"/>
  <c r="L55" i="2"/>
  <c r="U54" i="2"/>
  <c r="L54" i="2"/>
  <c r="U39" i="2"/>
  <c r="K13" i="2"/>
  <c r="V17" i="2"/>
  <c r="T8" i="2"/>
  <c r="U15" i="2"/>
  <c r="R22" i="2"/>
  <c r="M10" i="2"/>
  <c r="I21" i="2"/>
  <c r="N24" i="2"/>
  <c r="U28" i="2"/>
  <c r="L34" i="2"/>
  <c r="V11" i="2"/>
  <c r="I19" i="2"/>
  <c r="T25" i="2"/>
  <c r="P7" i="2"/>
  <c r="N25" i="2"/>
  <c r="Q17" i="2"/>
  <c r="L26" i="2"/>
  <c r="V15" i="2"/>
  <c r="K11" i="2"/>
  <c r="U13" i="2"/>
  <c r="R13" i="2"/>
  <c r="N7" i="2"/>
  <c r="M22" i="2"/>
  <c r="L16" i="2"/>
  <c r="V7" i="2"/>
  <c r="M25" i="2"/>
  <c r="M12" i="2"/>
  <c r="U9" i="2"/>
  <c r="J7" i="2"/>
  <c r="S7" i="2"/>
  <c r="O20" i="2"/>
  <c r="L8" i="2"/>
  <c r="O9" i="2"/>
  <c r="T34" i="2"/>
  <c r="Q25" i="2"/>
  <c r="U21" i="2"/>
  <c r="M11" i="2"/>
  <c r="J18" i="2"/>
  <c r="P26" i="2"/>
  <c r="I13" i="2"/>
  <c r="T19" i="2"/>
  <c r="U18" i="2"/>
  <c r="R25" i="2"/>
  <c r="O14" i="2"/>
  <c r="L21" i="2"/>
  <c r="V37" i="2"/>
  <c r="M9" i="2"/>
  <c r="P27" i="2"/>
  <c r="I16" i="2"/>
  <c r="I15" i="2"/>
  <c r="O26" i="2"/>
  <c r="L27" i="2"/>
  <c r="P9" i="2"/>
  <c r="Q23" i="2"/>
  <c r="K9" i="2"/>
  <c r="T21" i="2"/>
  <c r="P19" i="2"/>
  <c r="I25" i="2"/>
  <c r="P40" i="2"/>
  <c r="P13" i="2"/>
  <c r="N17" i="2"/>
  <c r="O8" i="2"/>
  <c r="L15" i="2"/>
  <c r="I14" i="2"/>
  <c r="J21" i="2"/>
  <c r="K28" i="2"/>
  <c r="R16" i="2"/>
  <c r="S19" i="2"/>
  <c r="L9" i="2"/>
  <c r="V8" i="2"/>
  <c r="J29" i="2"/>
  <c r="P16" i="2"/>
  <c r="J12" i="2"/>
  <c r="Q14" i="2"/>
  <c r="J25" i="2"/>
  <c r="L185" i="2" l="1"/>
  <c r="L184" i="2"/>
  <c r="L187" i="2"/>
  <c r="L183" i="2"/>
  <c r="L186" i="2"/>
  <c r="L182" i="2"/>
  <c r="K186" i="2"/>
  <c r="K182" i="2"/>
  <c r="K185" i="2"/>
  <c r="K184" i="2"/>
  <c r="K187" i="2"/>
  <c r="K183" i="2"/>
  <c r="P185" i="2"/>
  <c r="P184" i="2"/>
  <c r="P187" i="2"/>
  <c r="P183" i="2"/>
  <c r="P186" i="2"/>
  <c r="P182" i="2"/>
  <c r="O186" i="2"/>
  <c r="O182" i="2"/>
  <c r="O185" i="2"/>
  <c r="O184" i="2"/>
  <c r="O187" i="2"/>
  <c r="O183" i="2"/>
  <c r="T185" i="2"/>
  <c r="T184" i="2"/>
  <c r="T187" i="2"/>
  <c r="T183" i="2"/>
  <c r="T186" i="2"/>
  <c r="T182" i="2"/>
  <c r="J187" i="2"/>
  <c r="J183" i="2"/>
  <c r="J186" i="2"/>
  <c r="J185" i="2"/>
  <c r="J184" i="2"/>
  <c r="S186" i="2"/>
  <c r="S182" i="2"/>
  <c r="S185" i="2"/>
  <c r="S184" i="2"/>
  <c r="S187" i="2"/>
  <c r="S183" i="2"/>
  <c r="N187" i="2"/>
  <c r="N183" i="2"/>
  <c r="N186" i="2"/>
  <c r="N182" i="2"/>
  <c r="N185" i="2"/>
  <c r="N184" i="2"/>
  <c r="R187" i="2"/>
  <c r="R183" i="2"/>
  <c r="R186" i="2"/>
  <c r="R182" i="2"/>
  <c r="R185" i="2"/>
  <c r="R184" i="2"/>
  <c r="M184" i="2"/>
  <c r="M187" i="2"/>
  <c r="M183" i="2"/>
  <c r="M186" i="2"/>
  <c r="M182" i="2"/>
  <c r="M185" i="2"/>
  <c r="V187" i="2"/>
  <c r="V183" i="2"/>
  <c r="V186" i="2"/>
  <c r="V182" i="2"/>
  <c r="V185" i="2"/>
  <c r="V184" i="2"/>
  <c r="Q184" i="2"/>
  <c r="Q187" i="2"/>
  <c r="Q183" i="2"/>
  <c r="Q186" i="2"/>
  <c r="Q182" i="2"/>
  <c r="Q185" i="2"/>
  <c r="U184" i="2"/>
  <c r="U187" i="2"/>
  <c r="U183" i="2"/>
  <c r="U186" i="2"/>
  <c r="U182" i="2"/>
  <c r="U185" i="2"/>
  <c r="J182" i="2"/>
  <c r="P178" i="2"/>
  <c r="P174" i="2"/>
  <c r="P170" i="2"/>
  <c r="P169" i="2"/>
  <c r="P172" i="2"/>
  <c r="P171" i="2"/>
  <c r="P177" i="2"/>
  <c r="P173" i="2"/>
  <c r="P180" i="2"/>
  <c r="P176" i="2"/>
  <c r="P168" i="2"/>
  <c r="P179" i="2"/>
  <c r="P175" i="2"/>
  <c r="P167" i="2"/>
  <c r="J180" i="2"/>
  <c r="J176" i="2"/>
  <c r="J172" i="2"/>
  <c r="J168" i="2"/>
  <c r="J173" i="2"/>
  <c r="J179" i="2"/>
  <c r="J175" i="2"/>
  <c r="J171" i="2"/>
  <c r="J174" i="2"/>
  <c r="J169" i="2"/>
  <c r="J178" i="2"/>
  <c r="J170" i="2"/>
  <c r="J177" i="2"/>
  <c r="N180" i="2"/>
  <c r="N176" i="2"/>
  <c r="N172" i="2"/>
  <c r="N168" i="2"/>
  <c r="N178" i="2"/>
  <c r="N174" i="2"/>
  <c r="N177" i="2"/>
  <c r="N179" i="2"/>
  <c r="N175" i="2"/>
  <c r="N171" i="2"/>
  <c r="N167" i="2"/>
  <c r="N170" i="2"/>
  <c r="N173" i="2"/>
  <c r="N169" i="2"/>
  <c r="L178" i="2"/>
  <c r="L174" i="2"/>
  <c r="L170" i="2"/>
  <c r="L180" i="2"/>
  <c r="L176" i="2"/>
  <c r="L168" i="2"/>
  <c r="L179" i="2"/>
  <c r="L177" i="2"/>
  <c r="L173" i="2"/>
  <c r="L169" i="2"/>
  <c r="L172" i="2"/>
  <c r="L167" i="2"/>
  <c r="L175" i="2"/>
  <c r="L171" i="2"/>
  <c r="M177" i="2"/>
  <c r="M173" i="2"/>
  <c r="M169" i="2"/>
  <c r="M168" i="2"/>
  <c r="M167" i="2"/>
  <c r="M178" i="2"/>
  <c r="M180" i="2"/>
  <c r="M176" i="2"/>
  <c r="M172" i="2"/>
  <c r="M179" i="2"/>
  <c r="M171" i="2"/>
  <c r="M175" i="2"/>
  <c r="M174" i="2"/>
  <c r="M170" i="2"/>
  <c r="R180" i="2"/>
  <c r="R176" i="2"/>
  <c r="R172" i="2"/>
  <c r="R168" i="2"/>
  <c r="R167" i="2"/>
  <c r="R170" i="2"/>
  <c r="R169" i="2"/>
  <c r="R179" i="2"/>
  <c r="R175" i="2"/>
  <c r="R171" i="2"/>
  <c r="R178" i="2"/>
  <c r="R174" i="2"/>
  <c r="R177" i="2"/>
  <c r="R173" i="2"/>
  <c r="Q177" i="2"/>
  <c r="Q173" i="2"/>
  <c r="Q169" i="2"/>
  <c r="Q179" i="2"/>
  <c r="Q171" i="2"/>
  <c r="Q170" i="2"/>
  <c r="Q180" i="2"/>
  <c r="Q176" i="2"/>
  <c r="Q172" i="2"/>
  <c r="Q168" i="2"/>
  <c r="Q175" i="2"/>
  <c r="Q167" i="2"/>
  <c r="Q178" i="2"/>
  <c r="Q174" i="2"/>
  <c r="V180" i="2"/>
  <c r="V176" i="2"/>
  <c r="V172" i="2"/>
  <c r="V168" i="2"/>
  <c r="V178" i="2"/>
  <c r="V174" i="2"/>
  <c r="V173" i="2"/>
  <c r="V179" i="2"/>
  <c r="V175" i="2"/>
  <c r="V171" i="2"/>
  <c r="V167" i="2"/>
  <c r="V169" i="2"/>
  <c r="V170" i="2"/>
  <c r="V177" i="2"/>
  <c r="U177" i="2"/>
  <c r="U173" i="2"/>
  <c r="U169" i="2"/>
  <c r="U168" i="2"/>
  <c r="U175" i="2"/>
  <c r="U174" i="2"/>
  <c r="U180" i="2"/>
  <c r="U176" i="2"/>
  <c r="U172" i="2"/>
  <c r="U179" i="2"/>
  <c r="U170" i="2"/>
  <c r="U171" i="2"/>
  <c r="U167" i="2"/>
  <c r="U178" i="2"/>
  <c r="K179" i="2"/>
  <c r="K175" i="2"/>
  <c r="K171" i="2"/>
  <c r="K167" i="2"/>
  <c r="K169" i="2"/>
  <c r="K180" i="2"/>
  <c r="K172" i="2"/>
  <c r="K178" i="2"/>
  <c r="K174" i="2"/>
  <c r="K170" i="2"/>
  <c r="K177" i="2"/>
  <c r="K173" i="2"/>
  <c r="K168" i="2"/>
  <c r="K176" i="2"/>
  <c r="T178" i="2"/>
  <c r="T174" i="2"/>
  <c r="T170" i="2"/>
  <c r="T180" i="2"/>
  <c r="T176" i="2"/>
  <c r="T175" i="2"/>
  <c r="T167" i="2"/>
  <c r="T177" i="2"/>
  <c r="T173" i="2"/>
  <c r="T169" i="2"/>
  <c r="T171" i="2"/>
  <c r="T172" i="2"/>
  <c r="T168" i="2"/>
  <c r="T179" i="2"/>
  <c r="O179" i="2"/>
  <c r="O175" i="2"/>
  <c r="O171" i="2"/>
  <c r="O167" i="2"/>
  <c r="O177" i="2"/>
  <c r="O173" i="2"/>
  <c r="O176" i="2"/>
  <c r="O178" i="2"/>
  <c r="O174" i="2"/>
  <c r="O170" i="2"/>
  <c r="O169" i="2"/>
  <c r="O180" i="2"/>
  <c r="O172" i="2"/>
  <c r="O168" i="2"/>
  <c r="S179" i="2"/>
  <c r="S175" i="2"/>
  <c r="S171" i="2"/>
  <c r="S167" i="2"/>
  <c r="S169" i="2"/>
  <c r="S168" i="2"/>
  <c r="S178" i="2"/>
  <c r="S174" i="2"/>
  <c r="S170" i="2"/>
  <c r="S177" i="2"/>
  <c r="S176" i="2"/>
  <c r="S172" i="2"/>
  <c r="S173" i="2"/>
  <c r="S180" i="2"/>
  <c r="J167" i="2"/>
  <c r="M165" i="2"/>
  <c r="M163" i="2"/>
  <c r="M161" i="2"/>
  <c r="M159" i="2"/>
  <c r="M157" i="2"/>
  <c r="M155" i="2"/>
  <c r="M153" i="2"/>
  <c r="M151" i="2"/>
  <c r="M149" i="2"/>
  <c r="M147" i="2"/>
  <c r="M145" i="2"/>
  <c r="M143" i="2"/>
  <c r="M164" i="2"/>
  <c r="M162" i="2"/>
  <c r="M160" i="2"/>
  <c r="M158" i="2"/>
  <c r="M156" i="2"/>
  <c r="M154" i="2"/>
  <c r="M152" i="2"/>
  <c r="M150" i="2"/>
  <c r="M148" i="2"/>
  <c r="M146" i="2"/>
  <c r="M144" i="2"/>
  <c r="M142" i="2"/>
  <c r="M141" i="2"/>
  <c r="M139" i="2"/>
  <c r="M137" i="2"/>
  <c r="M138" i="2"/>
  <c r="M140" i="2"/>
  <c r="M136" i="2"/>
  <c r="K164" i="2"/>
  <c r="K162" i="2"/>
  <c r="K160" i="2"/>
  <c r="K158" i="2"/>
  <c r="K156" i="2"/>
  <c r="K154" i="2"/>
  <c r="K152" i="2"/>
  <c r="K150" i="2"/>
  <c r="K148" i="2"/>
  <c r="K146" i="2"/>
  <c r="K144" i="2"/>
  <c r="K142" i="2"/>
  <c r="K165" i="2"/>
  <c r="K163" i="2"/>
  <c r="K161" i="2"/>
  <c r="K159" i="2"/>
  <c r="K157" i="2"/>
  <c r="K155" i="2"/>
  <c r="K153" i="2"/>
  <c r="K151" i="2"/>
  <c r="K149" i="2"/>
  <c r="K147" i="2"/>
  <c r="K145" i="2"/>
  <c r="K143" i="2"/>
  <c r="K140" i="2"/>
  <c r="K138" i="2"/>
  <c r="K136" i="2"/>
  <c r="K137" i="2"/>
  <c r="K141" i="2"/>
  <c r="K139" i="2"/>
  <c r="V165" i="2"/>
  <c r="V163" i="2"/>
  <c r="V161" i="2"/>
  <c r="V159" i="2"/>
  <c r="V157" i="2"/>
  <c r="V155" i="2"/>
  <c r="V153" i="2"/>
  <c r="V151" i="2"/>
  <c r="V149" i="2"/>
  <c r="V147" i="2"/>
  <c r="V145" i="2"/>
  <c r="V143" i="2"/>
  <c r="V141" i="2"/>
  <c r="V164" i="2"/>
  <c r="V162" i="2"/>
  <c r="V160" i="2"/>
  <c r="V158" i="2"/>
  <c r="V156" i="2"/>
  <c r="V154" i="2"/>
  <c r="V152" i="2"/>
  <c r="V150" i="2"/>
  <c r="V148" i="2"/>
  <c r="V146" i="2"/>
  <c r="V144" i="2"/>
  <c r="V142" i="2"/>
  <c r="V139" i="2"/>
  <c r="V137" i="2"/>
  <c r="V136" i="2"/>
  <c r="V140" i="2"/>
  <c r="V138" i="2"/>
  <c r="Q165" i="2"/>
  <c r="Q163" i="2"/>
  <c r="Q161" i="2"/>
  <c r="Q159" i="2"/>
  <c r="Q157" i="2"/>
  <c r="Q155" i="2"/>
  <c r="Q153" i="2"/>
  <c r="Q151" i="2"/>
  <c r="Q149" i="2"/>
  <c r="Q147" i="2"/>
  <c r="Q145" i="2"/>
  <c r="Q143" i="2"/>
  <c r="Q164" i="2"/>
  <c r="Q162" i="2"/>
  <c r="Q160" i="2"/>
  <c r="Q158" i="2"/>
  <c r="Q156" i="2"/>
  <c r="Q154" i="2"/>
  <c r="Q152" i="2"/>
  <c r="Q150" i="2"/>
  <c r="Q148" i="2"/>
  <c r="Q146" i="2"/>
  <c r="Q144" i="2"/>
  <c r="Q142" i="2"/>
  <c r="Q141" i="2"/>
  <c r="Q139" i="2"/>
  <c r="Q136" i="2"/>
  <c r="Q137" i="2"/>
  <c r="Q140" i="2"/>
  <c r="Q138" i="2"/>
  <c r="P164" i="2"/>
  <c r="P162" i="2"/>
  <c r="P160" i="2"/>
  <c r="P158" i="2"/>
  <c r="P156" i="2"/>
  <c r="P154" i="2"/>
  <c r="P152" i="2"/>
  <c r="P150" i="2"/>
  <c r="P148" i="2"/>
  <c r="P146" i="2"/>
  <c r="P144" i="2"/>
  <c r="P142" i="2"/>
  <c r="P165" i="2"/>
  <c r="P163" i="2"/>
  <c r="P161" i="2"/>
  <c r="P159" i="2"/>
  <c r="P157" i="2"/>
  <c r="P155" i="2"/>
  <c r="P153" i="2"/>
  <c r="P151" i="2"/>
  <c r="P149" i="2"/>
  <c r="P147" i="2"/>
  <c r="P145" i="2"/>
  <c r="P143" i="2"/>
  <c r="P140" i="2"/>
  <c r="P138" i="2"/>
  <c r="P136" i="2"/>
  <c r="P137" i="2"/>
  <c r="P141" i="2"/>
  <c r="P139" i="2"/>
  <c r="O164" i="2"/>
  <c r="O162" i="2"/>
  <c r="O160" i="2"/>
  <c r="O158" i="2"/>
  <c r="O156" i="2"/>
  <c r="O154" i="2"/>
  <c r="O152" i="2"/>
  <c r="O150" i="2"/>
  <c r="O148" i="2"/>
  <c r="O146" i="2"/>
  <c r="O144" i="2"/>
  <c r="O142" i="2"/>
  <c r="O165" i="2"/>
  <c r="O163" i="2"/>
  <c r="O161" i="2"/>
  <c r="O159" i="2"/>
  <c r="O157" i="2"/>
  <c r="O155" i="2"/>
  <c r="O153" i="2"/>
  <c r="O151" i="2"/>
  <c r="O149" i="2"/>
  <c r="O147" i="2"/>
  <c r="O145" i="2"/>
  <c r="O143" i="2"/>
  <c r="O140" i="2"/>
  <c r="O138" i="2"/>
  <c r="O141" i="2"/>
  <c r="O139" i="2"/>
  <c r="O136" i="2"/>
  <c r="O137" i="2"/>
  <c r="I165" i="2"/>
  <c r="I163" i="2"/>
  <c r="I161" i="2"/>
  <c r="I159" i="2"/>
  <c r="I157" i="2"/>
  <c r="I155" i="2"/>
  <c r="I153" i="2"/>
  <c r="I151" i="2"/>
  <c r="I149" i="2"/>
  <c r="I147" i="2"/>
  <c r="I145" i="2"/>
  <c r="I143" i="2"/>
  <c r="I164" i="2"/>
  <c r="I162" i="2"/>
  <c r="I160" i="2"/>
  <c r="I158" i="2"/>
  <c r="I156" i="2"/>
  <c r="I154" i="2"/>
  <c r="I152" i="2"/>
  <c r="I150" i="2"/>
  <c r="I148" i="2"/>
  <c r="I146" i="2"/>
  <c r="I144" i="2"/>
  <c r="I142" i="2"/>
  <c r="I141" i="2"/>
  <c r="I139" i="2"/>
  <c r="I137" i="2"/>
  <c r="I140" i="2"/>
  <c r="I138" i="2"/>
  <c r="N165" i="2"/>
  <c r="N163" i="2"/>
  <c r="N161" i="2"/>
  <c r="N159" i="2"/>
  <c r="N157" i="2"/>
  <c r="N155" i="2"/>
  <c r="N153" i="2"/>
  <c r="N151" i="2"/>
  <c r="N149" i="2"/>
  <c r="N147" i="2"/>
  <c r="N145" i="2"/>
  <c r="N143" i="2"/>
  <c r="N164" i="2"/>
  <c r="N162" i="2"/>
  <c r="N160" i="2"/>
  <c r="N158" i="2"/>
  <c r="N156" i="2"/>
  <c r="N154" i="2"/>
  <c r="N152" i="2"/>
  <c r="N150" i="2"/>
  <c r="N148" i="2"/>
  <c r="N146" i="2"/>
  <c r="N144" i="2"/>
  <c r="N142" i="2"/>
  <c r="N141" i="2"/>
  <c r="N139" i="2"/>
  <c r="N137" i="2"/>
  <c r="N136" i="2"/>
  <c r="N140" i="2"/>
  <c r="N138" i="2"/>
  <c r="R165" i="2"/>
  <c r="R163" i="2"/>
  <c r="R161" i="2"/>
  <c r="R159" i="2"/>
  <c r="R157" i="2"/>
  <c r="R155" i="2"/>
  <c r="R153" i="2"/>
  <c r="R151" i="2"/>
  <c r="R149" i="2"/>
  <c r="R147" i="2"/>
  <c r="R145" i="2"/>
  <c r="R143" i="2"/>
  <c r="R164" i="2"/>
  <c r="R162" i="2"/>
  <c r="R160" i="2"/>
  <c r="R158" i="2"/>
  <c r="R156" i="2"/>
  <c r="R154" i="2"/>
  <c r="R152" i="2"/>
  <c r="R150" i="2"/>
  <c r="R148" i="2"/>
  <c r="R146" i="2"/>
  <c r="R144" i="2"/>
  <c r="R142" i="2"/>
  <c r="R141" i="2"/>
  <c r="R139" i="2"/>
  <c r="R137" i="2"/>
  <c r="R140" i="2"/>
  <c r="R138" i="2"/>
  <c r="R136" i="2"/>
  <c r="S164" i="2"/>
  <c r="S162" i="2"/>
  <c r="S160" i="2"/>
  <c r="S158" i="2"/>
  <c r="S156" i="2"/>
  <c r="S154" i="2"/>
  <c r="S152" i="2"/>
  <c r="S150" i="2"/>
  <c r="S148" i="2"/>
  <c r="S146" i="2"/>
  <c r="S144" i="2"/>
  <c r="S142" i="2"/>
  <c r="S165" i="2"/>
  <c r="S163" i="2"/>
  <c r="S161" i="2"/>
  <c r="S159" i="2"/>
  <c r="S157" i="2"/>
  <c r="S155" i="2"/>
  <c r="S153" i="2"/>
  <c r="S151" i="2"/>
  <c r="S149" i="2"/>
  <c r="S147" i="2"/>
  <c r="S145" i="2"/>
  <c r="S143" i="2"/>
  <c r="S141" i="2"/>
  <c r="S140" i="2"/>
  <c r="S138" i="2"/>
  <c r="S136" i="2"/>
  <c r="S137" i="2"/>
  <c r="S139" i="2"/>
  <c r="T164" i="2"/>
  <c r="T162" i="2"/>
  <c r="T160" i="2"/>
  <c r="T158" i="2"/>
  <c r="T156" i="2"/>
  <c r="T154" i="2"/>
  <c r="T152" i="2"/>
  <c r="T150" i="2"/>
  <c r="T148" i="2"/>
  <c r="T146" i="2"/>
  <c r="T144" i="2"/>
  <c r="T142" i="2"/>
  <c r="T165" i="2"/>
  <c r="T163" i="2"/>
  <c r="T161" i="2"/>
  <c r="T159" i="2"/>
  <c r="T157" i="2"/>
  <c r="T155" i="2"/>
  <c r="T153" i="2"/>
  <c r="T151" i="2"/>
  <c r="T149" i="2"/>
  <c r="T147" i="2"/>
  <c r="T145" i="2"/>
  <c r="T143" i="2"/>
  <c r="T141" i="2"/>
  <c r="T140" i="2"/>
  <c r="T138" i="2"/>
  <c r="T136" i="2"/>
  <c r="T139" i="2"/>
  <c r="T137" i="2"/>
  <c r="L164" i="2"/>
  <c r="L162" i="2"/>
  <c r="L160" i="2"/>
  <c r="L158" i="2"/>
  <c r="L156" i="2"/>
  <c r="L154" i="2"/>
  <c r="L152" i="2"/>
  <c r="L150" i="2"/>
  <c r="L148" i="2"/>
  <c r="L146" i="2"/>
  <c r="L144" i="2"/>
  <c r="L142" i="2"/>
  <c r="L165" i="2"/>
  <c r="L163" i="2"/>
  <c r="L161" i="2"/>
  <c r="L159" i="2"/>
  <c r="L157" i="2"/>
  <c r="L155" i="2"/>
  <c r="L153" i="2"/>
  <c r="L151" i="2"/>
  <c r="L149" i="2"/>
  <c r="L147" i="2"/>
  <c r="L145" i="2"/>
  <c r="L143" i="2"/>
  <c r="L140" i="2"/>
  <c r="L138" i="2"/>
  <c r="L136" i="2"/>
  <c r="L141" i="2"/>
  <c r="L139" i="2"/>
  <c r="L137" i="2"/>
  <c r="J165" i="2"/>
  <c r="J163" i="2"/>
  <c r="J161" i="2"/>
  <c r="J159" i="2"/>
  <c r="J157" i="2"/>
  <c r="J155" i="2"/>
  <c r="J153" i="2"/>
  <c r="J151" i="2"/>
  <c r="J149" i="2"/>
  <c r="J147" i="2"/>
  <c r="J145" i="2"/>
  <c r="J143" i="2"/>
  <c r="J164" i="2"/>
  <c r="J162" i="2"/>
  <c r="J160" i="2"/>
  <c r="J158" i="2"/>
  <c r="J156" i="2"/>
  <c r="J154" i="2"/>
  <c r="J152" i="2"/>
  <c r="J150" i="2"/>
  <c r="J148" i="2"/>
  <c r="J146" i="2"/>
  <c r="J144" i="2"/>
  <c r="J142" i="2"/>
  <c r="J141" i="2"/>
  <c r="J139" i="2"/>
  <c r="J137" i="2"/>
  <c r="J140" i="2"/>
  <c r="J138" i="2"/>
  <c r="J136" i="2"/>
  <c r="U165" i="2"/>
  <c r="U163" i="2"/>
  <c r="U161" i="2"/>
  <c r="U159" i="2"/>
  <c r="U157" i="2"/>
  <c r="U155" i="2"/>
  <c r="U153" i="2"/>
  <c r="U151" i="2"/>
  <c r="U149" i="2"/>
  <c r="U147" i="2"/>
  <c r="U145" i="2"/>
  <c r="U143" i="2"/>
  <c r="U141" i="2"/>
  <c r="U164" i="2"/>
  <c r="U162" i="2"/>
  <c r="U160" i="2"/>
  <c r="U158" i="2"/>
  <c r="U156" i="2"/>
  <c r="U154" i="2"/>
  <c r="U152" i="2"/>
  <c r="U150" i="2"/>
  <c r="U148" i="2"/>
  <c r="U146" i="2"/>
  <c r="U144" i="2"/>
  <c r="U142" i="2"/>
  <c r="U137" i="2"/>
  <c r="U140" i="2"/>
  <c r="U138" i="2"/>
  <c r="U139" i="2"/>
  <c r="U136" i="2"/>
  <c r="I136" i="2"/>
  <c r="Q135" i="2"/>
  <c r="I124" i="2"/>
  <c r="I116" i="2"/>
  <c r="I108" i="2"/>
  <c r="I115" i="2"/>
  <c r="I113" i="2"/>
  <c r="I87" i="2"/>
  <c r="I101" i="2"/>
  <c r="I85" i="2"/>
  <c r="I78" i="2"/>
  <c r="I109" i="2"/>
  <c r="I86" i="2"/>
  <c r="I75" i="2"/>
  <c r="I73" i="2"/>
  <c r="I92" i="2"/>
  <c r="I122" i="2"/>
  <c r="I114" i="2"/>
  <c r="I106" i="2"/>
  <c r="I107" i="2"/>
  <c r="I98" i="2"/>
  <c r="I117" i="2"/>
  <c r="I96" i="2"/>
  <c r="I84" i="2"/>
  <c r="I76" i="2"/>
  <c r="I103" i="2"/>
  <c r="I102" i="2"/>
  <c r="I121" i="2"/>
  <c r="I100" i="2"/>
  <c r="I89" i="2"/>
  <c r="I126" i="2"/>
  <c r="I110" i="2"/>
  <c r="I119" i="2"/>
  <c r="I105" i="2"/>
  <c r="I80" i="2"/>
  <c r="I91" i="2"/>
  <c r="I77" i="2"/>
  <c r="I120" i="2"/>
  <c r="I104" i="2"/>
  <c r="I95" i="2"/>
  <c r="I93" i="2"/>
  <c r="I74" i="2"/>
  <c r="I94" i="2"/>
  <c r="I97" i="2"/>
  <c r="I118" i="2"/>
  <c r="I123" i="2"/>
  <c r="I90" i="2"/>
  <c r="I88" i="2"/>
  <c r="I72" i="2"/>
  <c r="I83" i="2"/>
  <c r="I79" i="2"/>
  <c r="I111" i="2"/>
  <c r="I81" i="2"/>
  <c r="I70" i="2"/>
  <c r="I125" i="2"/>
  <c r="I71" i="2"/>
  <c r="I82" i="2"/>
  <c r="I112" i="2"/>
  <c r="I99" i="2"/>
  <c r="N135" i="2"/>
  <c r="U134" i="2"/>
  <c r="U132" i="2"/>
  <c r="U133" i="2"/>
  <c r="L194" i="2"/>
  <c r="J194" i="2"/>
  <c r="K135" i="2"/>
  <c r="K132" i="2"/>
  <c r="K133" i="2"/>
  <c r="K134" i="2"/>
  <c r="S123" i="2"/>
  <c r="S115" i="2"/>
  <c r="S107" i="2"/>
  <c r="S112" i="2"/>
  <c r="S100" i="2"/>
  <c r="S84" i="2"/>
  <c r="S98" i="2"/>
  <c r="S83" i="2"/>
  <c r="S75" i="2"/>
  <c r="S116" i="2"/>
  <c r="S91" i="2"/>
  <c r="S80" i="2"/>
  <c r="S86" i="2"/>
  <c r="S114" i="2"/>
  <c r="S82" i="2"/>
  <c r="S102" i="2"/>
  <c r="S117" i="2"/>
  <c r="S106" i="2"/>
  <c r="S85" i="2"/>
  <c r="S122" i="2"/>
  <c r="S89" i="2"/>
  <c r="S121" i="2"/>
  <c r="S113" i="2"/>
  <c r="S105" i="2"/>
  <c r="S104" i="2"/>
  <c r="S95" i="2"/>
  <c r="S124" i="2"/>
  <c r="S93" i="2"/>
  <c r="S81" i="2"/>
  <c r="S73" i="2"/>
  <c r="S110" i="2"/>
  <c r="S88" i="2"/>
  <c r="S76" i="2"/>
  <c r="S109" i="2"/>
  <c r="S87" i="2"/>
  <c r="S77" i="2"/>
  <c r="S94" i="2"/>
  <c r="S78" i="2"/>
  <c r="S119" i="2"/>
  <c r="S111" i="2"/>
  <c r="S103" i="2"/>
  <c r="S126" i="2"/>
  <c r="S92" i="2"/>
  <c r="S118" i="2"/>
  <c r="S90" i="2"/>
  <c r="S79" i="2"/>
  <c r="S71" i="2"/>
  <c r="S99" i="2"/>
  <c r="S97" i="2"/>
  <c r="S72" i="2"/>
  <c r="S74" i="2"/>
  <c r="S108" i="2"/>
  <c r="S125" i="2"/>
  <c r="S120" i="2"/>
  <c r="S101" i="2"/>
  <c r="S96" i="2"/>
  <c r="S70" i="2"/>
  <c r="P135" i="2"/>
  <c r="M194" i="2"/>
  <c r="J132" i="2"/>
  <c r="J134" i="2"/>
  <c r="J133" i="2"/>
  <c r="V126" i="2"/>
  <c r="V118" i="2"/>
  <c r="V110" i="2"/>
  <c r="V102" i="2"/>
  <c r="V119" i="2"/>
  <c r="V111" i="2"/>
  <c r="V103" i="2"/>
  <c r="V94" i="2"/>
  <c r="V86" i="2"/>
  <c r="V82" i="2"/>
  <c r="V74" i="2"/>
  <c r="V77" i="2"/>
  <c r="V79" i="2"/>
  <c r="V124" i="2"/>
  <c r="V116" i="2"/>
  <c r="V108" i="2"/>
  <c r="V125" i="2"/>
  <c r="V117" i="2"/>
  <c r="V114" i="2"/>
  <c r="V123" i="2"/>
  <c r="V109" i="2"/>
  <c r="V98" i="2"/>
  <c r="V88" i="2"/>
  <c r="V80" i="2"/>
  <c r="V70" i="2"/>
  <c r="V87" i="2"/>
  <c r="V71" i="2"/>
  <c r="V85" i="2"/>
  <c r="V113" i="2"/>
  <c r="V90" i="2"/>
  <c r="V89" i="2"/>
  <c r="V112" i="2"/>
  <c r="V121" i="2"/>
  <c r="V107" i="2"/>
  <c r="V96" i="2"/>
  <c r="V84" i="2"/>
  <c r="V78" i="2"/>
  <c r="V83" i="2"/>
  <c r="V75" i="2"/>
  <c r="V101" i="2"/>
  <c r="V120" i="2"/>
  <c r="V100" i="2"/>
  <c r="V72" i="2"/>
  <c r="V73" i="2"/>
  <c r="V122" i="2"/>
  <c r="V106" i="2"/>
  <c r="V115" i="2"/>
  <c r="V105" i="2"/>
  <c r="V92" i="2"/>
  <c r="V99" i="2"/>
  <c r="V76" i="2"/>
  <c r="V97" i="2"/>
  <c r="V95" i="2"/>
  <c r="V93" i="2"/>
  <c r="V104" i="2"/>
  <c r="V91" i="2"/>
  <c r="V81" i="2"/>
  <c r="N134" i="2"/>
  <c r="N133" i="2"/>
  <c r="N132" i="2"/>
  <c r="J120" i="2"/>
  <c r="J112" i="2"/>
  <c r="J104" i="2"/>
  <c r="J119" i="2"/>
  <c r="J111" i="2"/>
  <c r="J103" i="2"/>
  <c r="J96" i="2"/>
  <c r="J88" i="2"/>
  <c r="J85" i="2"/>
  <c r="J78" i="2"/>
  <c r="J70" i="2"/>
  <c r="J77" i="2"/>
  <c r="J75" i="2"/>
  <c r="J71" i="2"/>
  <c r="J126" i="2"/>
  <c r="J118" i="2"/>
  <c r="J110" i="2"/>
  <c r="J125" i="2"/>
  <c r="J117" i="2"/>
  <c r="J109" i="2"/>
  <c r="J102" i="2"/>
  <c r="J94" i="2"/>
  <c r="J86" i="2"/>
  <c r="J84" i="2"/>
  <c r="J76" i="2"/>
  <c r="J83" i="2"/>
  <c r="J99" i="2"/>
  <c r="J97" i="2"/>
  <c r="J95" i="2"/>
  <c r="J124" i="2"/>
  <c r="J116" i="2"/>
  <c r="J108" i="2"/>
  <c r="J123" i="2"/>
  <c r="J115" i="2"/>
  <c r="J107" i="2"/>
  <c r="J100" i="2"/>
  <c r="J92" i="2"/>
  <c r="J101" i="2"/>
  <c r="J82" i="2"/>
  <c r="J74" i="2"/>
  <c r="J81" i="2"/>
  <c r="J91" i="2"/>
  <c r="J87" i="2"/>
  <c r="J106" i="2"/>
  <c r="J98" i="2"/>
  <c r="J72" i="2"/>
  <c r="J114" i="2"/>
  <c r="J80" i="2"/>
  <c r="J121" i="2"/>
  <c r="J90" i="2"/>
  <c r="J79" i="2"/>
  <c r="J105" i="2"/>
  <c r="J73" i="2"/>
  <c r="J122" i="2"/>
  <c r="J113" i="2"/>
  <c r="J93" i="2"/>
  <c r="J89" i="2"/>
  <c r="N194" i="2"/>
  <c r="N246" i="2" s="1"/>
  <c r="R135" i="2"/>
  <c r="L166" i="2"/>
  <c r="K194" i="2"/>
  <c r="K241" i="2" s="1"/>
  <c r="O135" i="2"/>
  <c r="P166" i="2"/>
  <c r="P125" i="2"/>
  <c r="P117" i="2"/>
  <c r="P109" i="2"/>
  <c r="P126" i="2"/>
  <c r="P118" i="2"/>
  <c r="P110" i="2"/>
  <c r="P101" i="2"/>
  <c r="P93" i="2"/>
  <c r="P85" i="2"/>
  <c r="P81" i="2"/>
  <c r="P73" i="2"/>
  <c r="P80" i="2"/>
  <c r="P100" i="2"/>
  <c r="P72" i="2"/>
  <c r="P90" i="2"/>
  <c r="P123" i="2"/>
  <c r="P115" i="2"/>
  <c r="P107" i="2"/>
  <c r="P124" i="2"/>
  <c r="P116" i="2"/>
  <c r="P108" i="2"/>
  <c r="P99" i="2"/>
  <c r="P91" i="2"/>
  <c r="P96" i="2"/>
  <c r="P79" i="2"/>
  <c r="P71" i="2"/>
  <c r="P102" i="2"/>
  <c r="P92" i="2"/>
  <c r="P74" i="2"/>
  <c r="P111" i="2"/>
  <c r="P120" i="2"/>
  <c r="P104" i="2"/>
  <c r="P87" i="2"/>
  <c r="P75" i="2"/>
  <c r="P86" i="2"/>
  <c r="P70" i="2"/>
  <c r="P121" i="2"/>
  <c r="P105" i="2"/>
  <c r="P114" i="2"/>
  <c r="P97" i="2"/>
  <c r="P88" i="2"/>
  <c r="P84" i="2"/>
  <c r="P78" i="2"/>
  <c r="P119" i="2"/>
  <c r="P103" i="2"/>
  <c r="P112" i="2"/>
  <c r="P95" i="2"/>
  <c r="P83" i="2"/>
  <c r="P82" i="2"/>
  <c r="P76" i="2"/>
  <c r="P113" i="2"/>
  <c r="P77" i="2"/>
  <c r="P89" i="2"/>
  <c r="P122" i="2"/>
  <c r="P94" i="2"/>
  <c r="P106" i="2"/>
  <c r="P98" i="2"/>
  <c r="R132" i="2"/>
  <c r="R134" i="2"/>
  <c r="R133" i="2"/>
  <c r="T194" i="2"/>
  <c r="T245" i="2" s="1"/>
  <c r="Q124" i="2"/>
  <c r="Q116" i="2"/>
  <c r="Q108" i="2"/>
  <c r="Q111" i="2"/>
  <c r="Q102" i="2"/>
  <c r="Q86" i="2"/>
  <c r="Q109" i="2"/>
  <c r="Q89" i="2"/>
  <c r="Q78" i="2"/>
  <c r="Q70" i="2"/>
  <c r="Q98" i="2"/>
  <c r="Q85" i="2"/>
  <c r="Q81" i="2"/>
  <c r="Q77" i="2"/>
  <c r="Q122" i="2"/>
  <c r="Q114" i="2"/>
  <c r="Q106" i="2"/>
  <c r="Q103" i="2"/>
  <c r="Q99" i="2"/>
  <c r="Q87" i="2"/>
  <c r="Q100" i="2"/>
  <c r="Q84" i="2"/>
  <c r="Q76" i="2"/>
  <c r="Q113" i="2"/>
  <c r="Q90" i="2"/>
  <c r="Q79" i="2"/>
  <c r="Q73" i="2"/>
  <c r="Q83" i="2"/>
  <c r="Q120" i="2"/>
  <c r="Q112" i="2"/>
  <c r="Q104" i="2"/>
  <c r="Q123" i="2"/>
  <c r="Q94" i="2"/>
  <c r="Q121" i="2"/>
  <c r="Q97" i="2"/>
  <c r="Q82" i="2"/>
  <c r="Q74" i="2"/>
  <c r="Q107" i="2"/>
  <c r="Q125" i="2"/>
  <c r="Q93" i="2"/>
  <c r="Q101" i="2"/>
  <c r="Q96" i="2"/>
  <c r="Q119" i="2"/>
  <c r="Q92" i="2"/>
  <c r="Q88" i="2"/>
  <c r="Q110" i="2"/>
  <c r="Q115" i="2"/>
  <c r="Q95" i="2"/>
  <c r="Q126" i="2"/>
  <c r="Q117" i="2"/>
  <c r="Q80" i="2"/>
  <c r="Q105" i="2"/>
  <c r="Q118" i="2"/>
  <c r="Q91" i="2"/>
  <c r="Q72" i="2"/>
  <c r="Q75" i="2"/>
  <c r="Q71" i="2"/>
  <c r="S134" i="2"/>
  <c r="S132" i="2"/>
  <c r="S133" i="2"/>
  <c r="U194" i="2"/>
  <c r="U244" i="2" s="1"/>
  <c r="I135" i="2"/>
  <c r="N122" i="2"/>
  <c r="N114" i="2"/>
  <c r="N106" i="2"/>
  <c r="N121" i="2"/>
  <c r="N113" i="2"/>
  <c r="N105" i="2"/>
  <c r="N98" i="2"/>
  <c r="N90" i="2"/>
  <c r="N87" i="2"/>
  <c r="N78" i="2"/>
  <c r="N70" i="2"/>
  <c r="N85" i="2"/>
  <c r="N77" i="2"/>
  <c r="N97" i="2"/>
  <c r="N120" i="2"/>
  <c r="N112" i="2"/>
  <c r="N104" i="2"/>
  <c r="N119" i="2"/>
  <c r="N111" i="2"/>
  <c r="N103" i="2"/>
  <c r="N96" i="2"/>
  <c r="N88" i="2"/>
  <c r="N84" i="2"/>
  <c r="N76" i="2"/>
  <c r="N91" i="2"/>
  <c r="N99" i="2"/>
  <c r="N83" i="2"/>
  <c r="N89" i="2"/>
  <c r="N126" i="2"/>
  <c r="N118" i="2"/>
  <c r="N110" i="2"/>
  <c r="N125" i="2"/>
  <c r="N117" i="2"/>
  <c r="N109" i="2"/>
  <c r="N102" i="2"/>
  <c r="N94" i="2"/>
  <c r="N86" i="2"/>
  <c r="N82" i="2"/>
  <c r="N74" i="2"/>
  <c r="N101" i="2"/>
  <c r="N124" i="2"/>
  <c r="N115" i="2"/>
  <c r="N95" i="2"/>
  <c r="N81" i="2"/>
  <c r="N73" i="2"/>
  <c r="N123" i="2"/>
  <c r="N71" i="2"/>
  <c r="N116" i="2"/>
  <c r="N107" i="2"/>
  <c r="N80" i="2"/>
  <c r="N79" i="2"/>
  <c r="N93" i="2"/>
  <c r="N108" i="2"/>
  <c r="N100" i="2"/>
  <c r="N72" i="2"/>
  <c r="N75" i="2"/>
  <c r="N92" i="2"/>
  <c r="P133" i="2"/>
  <c r="P132" i="2"/>
  <c r="P134" i="2"/>
  <c r="R194" i="2"/>
  <c r="R244" i="2" s="1"/>
  <c r="V135" i="2"/>
  <c r="K119" i="2"/>
  <c r="K111" i="2"/>
  <c r="K103" i="2"/>
  <c r="K122" i="2"/>
  <c r="K88" i="2"/>
  <c r="K114" i="2"/>
  <c r="K89" i="2"/>
  <c r="K79" i="2"/>
  <c r="K71" i="2"/>
  <c r="K100" i="2"/>
  <c r="K90" i="2"/>
  <c r="K101" i="2"/>
  <c r="K74" i="2"/>
  <c r="K72" i="2"/>
  <c r="K121" i="2"/>
  <c r="K108" i="2"/>
  <c r="K120" i="2"/>
  <c r="K73" i="2"/>
  <c r="K80" i="2"/>
  <c r="K125" i="2"/>
  <c r="K117" i="2"/>
  <c r="K109" i="2"/>
  <c r="K124" i="2"/>
  <c r="K99" i="2"/>
  <c r="K95" i="2"/>
  <c r="K102" i="2"/>
  <c r="K86" i="2"/>
  <c r="K77" i="2"/>
  <c r="K118" i="2"/>
  <c r="K92" i="2"/>
  <c r="K84" i="2"/>
  <c r="K98" i="2"/>
  <c r="K70" i="2"/>
  <c r="K82" i="2"/>
  <c r="K105" i="2"/>
  <c r="K94" i="2"/>
  <c r="K106" i="2"/>
  <c r="K78" i="2"/>
  <c r="K123" i="2"/>
  <c r="K115" i="2"/>
  <c r="K107" i="2"/>
  <c r="K116" i="2"/>
  <c r="K96" i="2"/>
  <c r="K126" i="2"/>
  <c r="K97" i="2"/>
  <c r="K83" i="2"/>
  <c r="K75" i="2"/>
  <c r="K112" i="2"/>
  <c r="K87" i="2"/>
  <c r="K76" i="2"/>
  <c r="K85" i="2"/>
  <c r="K110" i="2"/>
  <c r="K113" i="2"/>
  <c r="K91" i="2"/>
  <c r="K81" i="2"/>
  <c r="K93" i="2"/>
  <c r="K104" i="2"/>
  <c r="M133" i="2"/>
  <c r="M132" i="2"/>
  <c r="M134" i="2"/>
  <c r="O194" i="2"/>
  <c r="O243" i="2" s="1"/>
  <c r="S135" i="2"/>
  <c r="L123" i="2"/>
  <c r="L115" i="2"/>
  <c r="L107" i="2"/>
  <c r="L124" i="2"/>
  <c r="L116" i="2"/>
  <c r="L108" i="2"/>
  <c r="L99" i="2"/>
  <c r="L91" i="2"/>
  <c r="L102" i="2"/>
  <c r="L81" i="2"/>
  <c r="L73" i="2"/>
  <c r="L76" i="2"/>
  <c r="L84" i="2"/>
  <c r="L74" i="2"/>
  <c r="L121" i="2"/>
  <c r="L113" i="2"/>
  <c r="L105" i="2"/>
  <c r="L122" i="2"/>
  <c r="L114" i="2"/>
  <c r="L106" i="2"/>
  <c r="L97" i="2"/>
  <c r="L89" i="2"/>
  <c r="L94" i="2"/>
  <c r="L79" i="2"/>
  <c r="L71" i="2"/>
  <c r="L100" i="2"/>
  <c r="L82" i="2"/>
  <c r="L70" i="2"/>
  <c r="L125" i="2"/>
  <c r="L109" i="2"/>
  <c r="L118" i="2"/>
  <c r="L101" i="2"/>
  <c r="L85" i="2"/>
  <c r="L75" i="2"/>
  <c r="L98" i="2"/>
  <c r="L72" i="2"/>
  <c r="L119" i="2"/>
  <c r="L103" i="2"/>
  <c r="L112" i="2"/>
  <c r="L95" i="2"/>
  <c r="L86" i="2"/>
  <c r="L90" i="2"/>
  <c r="L80" i="2"/>
  <c r="L117" i="2"/>
  <c r="L126" i="2"/>
  <c r="L110" i="2"/>
  <c r="L93" i="2"/>
  <c r="L83" i="2"/>
  <c r="L78" i="2"/>
  <c r="L96" i="2"/>
  <c r="L87" i="2"/>
  <c r="L104" i="2"/>
  <c r="L88" i="2"/>
  <c r="L111" i="2"/>
  <c r="L77" i="2"/>
  <c r="L120" i="2"/>
  <c r="L92" i="2"/>
  <c r="P194" i="2"/>
  <c r="T135" i="2"/>
  <c r="M122" i="2"/>
  <c r="M114" i="2"/>
  <c r="M106" i="2"/>
  <c r="M109" i="2"/>
  <c r="M97" i="2"/>
  <c r="M123" i="2"/>
  <c r="M90" i="2"/>
  <c r="M80" i="2"/>
  <c r="M72" i="2"/>
  <c r="M101" i="2"/>
  <c r="M119" i="2"/>
  <c r="M99" i="2"/>
  <c r="M94" i="2"/>
  <c r="M81" i="2"/>
  <c r="M120" i="2"/>
  <c r="M112" i="2"/>
  <c r="M104" i="2"/>
  <c r="M111" i="2"/>
  <c r="M92" i="2"/>
  <c r="M103" i="2"/>
  <c r="M87" i="2"/>
  <c r="M78" i="2"/>
  <c r="M70" i="2"/>
  <c r="M96" i="2"/>
  <c r="M113" i="2"/>
  <c r="M77" i="2"/>
  <c r="M91" i="2"/>
  <c r="M75" i="2"/>
  <c r="M126" i="2"/>
  <c r="M118" i="2"/>
  <c r="M110" i="2"/>
  <c r="M125" i="2"/>
  <c r="M105" i="2"/>
  <c r="M89" i="2"/>
  <c r="M98" i="2"/>
  <c r="M84" i="2"/>
  <c r="M76" i="2"/>
  <c r="M121" i="2"/>
  <c r="M93" i="2"/>
  <c r="M107" i="2"/>
  <c r="M86" i="2"/>
  <c r="M79" i="2"/>
  <c r="M73" i="2"/>
  <c r="M116" i="2"/>
  <c r="M88" i="2"/>
  <c r="M115" i="2"/>
  <c r="M71" i="2"/>
  <c r="M124" i="2"/>
  <c r="M100" i="2"/>
  <c r="M83" i="2"/>
  <c r="M108" i="2"/>
  <c r="M95" i="2"/>
  <c r="M85" i="2"/>
  <c r="M74" i="2"/>
  <c r="M117" i="2"/>
  <c r="M82" i="2"/>
  <c r="M102" i="2"/>
  <c r="O134" i="2"/>
  <c r="O132" i="2"/>
  <c r="O133" i="2"/>
  <c r="Q194" i="2"/>
  <c r="U135" i="2"/>
  <c r="L132" i="2"/>
  <c r="L134" i="2"/>
  <c r="L133" i="2"/>
  <c r="I182" i="2"/>
  <c r="I174" i="2"/>
  <c r="I187" i="2"/>
  <c r="I177" i="2"/>
  <c r="I169" i="2"/>
  <c r="I133" i="2"/>
  <c r="I180" i="2"/>
  <c r="I172" i="2"/>
  <c r="I185" i="2"/>
  <c r="I175" i="2"/>
  <c r="I167" i="2"/>
  <c r="I134" i="2"/>
  <c r="I178" i="2"/>
  <c r="I183" i="2"/>
  <c r="I132" i="2"/>
  <c r="I176" i="2"/>
  <c r="I179" i="2"/>
  <c r="I186" i="2"/>
  <c r="I170" i="2"/>
  <c r="I173" i="2"/>
  <c r="I168" i="2"/>
  <c r="I171" i="2"/>
  <c r="I184" i="2"/>
  <c r="T119" i="2"/>
  <c r="T111" i="2"/>
  <c r="T125" i="2"/>
  <c r="T117" i="2"/>
  <c r="T109" i="2"/>
  <c r="T126" i="2"/>
  <c r="T118" i="2"/>
  <c r="T110" i="2"/>
  <c r="T113" i="2"/>
  <c r="T124" i="2"/>
  <c r="T114" i="2"/>
  <c r="T104" i="2"/>
  <c r="T97" i="2"/>
  <c r="T89" i="2"/>
  <c r="T90" i="2"/>
  <c r="T77" i="2"/>
  <c r="T74" i="2"/>
  <c r="T80" i="2"/>
  <c r="T78" i="2"/>
  <c r="T92" i="2"/>
  <c r="T123" i="2"/>
  <c r="T107" i="2"/>
  <c r="T122" i="2"/>
  <c r="T112" i="2"/>
  <c r="T102" i="2"/>
  <c r="T95" i="2"/>
  <c r="T87" i="2"/>
  <c r="T83" i="2"/>
  <c r="T75" i="2"/>
  <c r="T96" i="2"/>
  <c r="T76" i="2"/>
  <c r="T100" i="2"/>
  <c r="T84" i="2"/>
  <c r="T121" i="2"/>
  <c r="T105" i="2"/>
  <c r="T120" i="2"/>
  <c r="T108" i="2"/>
  <c r="T101" i="2"/>
  <c r="T93" i="2"/>
  <c r="T85" i="2"/>
  <c r="T81" i="2"/>
  <c r="T73" i="2"/>
  <c r="T88" i="2"/>
  <c r="T94" i="2"/>
  <c r="T70" i="2"/>
  <c r="T103" i="2"/>
  <c r="T91" i="2"/>
  <c r="T82" i="2"/>
  <c r="T115" i="2"/>
  <c r="T99" i="2"/>
  <c r="T71" i="2"/>
  <c r="T116" i="2"/>
  <c r="T98" i="2"/>
  <c r="T86" i="2"/>
  <c r="T106" i="2"/>
  <c r="T79" i="2"/>
  <c r="T72" i="2"/>
  <c r="V133" i="2"/>
  <c r="V134" i="2"/>
  <c r="V132" i="2"/>
  <c r="L135" i="2"/>
  <c r="U126" i="2"/>
  <c r="U118" i="2"/>
  <c r="U110" i="2"/>
  <c r="U102" i="2"/>
  <c r="U115" i="2"/>
  <c r="U96" i="2"/>
  <c r="U107" i="2"/>
  <c r="U86" i="2"/>
  <c r="U76" i="2"/>
  <c r="U125" i="2"/>
  <c r="U89" i="2"/>
  <c r="U79" i="2"/>
  <c r="U98" i="2"/>
  <c r="U71" i="2"/>
  <c r="U73" i="2"/>
  <c r="U124" i="2"/>
  <c r="U116" i="2"/>
  <c r="U108" i="2"/>
  <c r="U121" i="2"/>
  <c r="U109" i="2"/>
  <c r="U93" i="2"/>
  <c r="U99" i="2"/>
  <c r="U82" i="2"/>
  <c r="U74" i="2"/>
  <c r="U119" i="2"/>
  <c r="U92" i="2"/>
  <c r="U123" i="2"/>
  <c r="U95" i="2"/>
  <c r="U90" i="2"/>
  <c r="U122" i="2"/>
  <c r="U114" i="2"/>
  <c r="U106" i="2"/>
  <c r="U113" i="2"/>
  <c r="U103" i="2"/>
  <c r="U88" i="2"/>
  <c r="U94" i="2"/>
  <c r="U80" i="2"/>
  <c r="U72" i="2"/>
  <c r="U100" i="2"/>
  <c r="U84" i="2"/>
  <c r="U117" i="2"/>
  <c r="U83" i="2"/>
  <c r="U87" i="2"/>
  <c r="U120" i="2"/>
  <c r="U101" i="2"/>
  <c r="U70" i="2"/>
  <c r="U75" i="2"/>
  <c r="U78" i="2"/>
  <c r="U112" i="2"/>
  <c r="U85" i="2"/>
  <c r="U97" i="2"/>
  <c r="U77" i="2"/>
  <c r="U105" i="2"/>
  <c r="U111" i="2"/>
  <c r="U104" i="2"/>
  <c r="U91" i="2"/>
  <c r="U81" i="2"/>
  <c r="I194" i="2"/>
  <c r="M135" i="2"/>
  <c r="R124" i="2"/>
  <c r="R116" i="2"/>
  <c r="R108" i="2"/>
  <c r="R123" i="2"/>
  <c r="R115" i="2"/>
  <c r="R107" i="2"/>
  <c r="R100" i="2"/>
  <c r="R92" i="2"/>
  <c r="R84" i="2"/>
  <c r="R80" i="2"/>
  <c r="R72" i="2"/>
  <c r="R79" i="2"/>
  <c r="R101" i="2"/>
  <c r="R91" i="2"/>
  <c r="R122" i="2"/>
  <c r="R114" i="2"/>
  <c r="R106" i="2"/>
  <c r="R121" i="2"/>
  <c r="R113" i="2"/>
  <c r="R105" i="2"/>
  <c r="R98" i="2"/>
  <c r="R90" i="2"/>
  <c r="R97" i="2"/>
  <c r="R78" i="2"/>
  <c r="R70" i="2"/>
  <c r="R75" i="2"/>
  <c r="R93" i="2"/>
  <c r="R73" i="2"/>
  <c r="R112" i="2"/>
  <c r="R119" i="2"/>
  <c r="R103" i="2"/>
  <c r="R88" i="2"/>
  <c r="R76" i="2"/>
  <c r="R95" i="2"/>
  <c r="R71" i="2"/>
  <c r="R118" i="2"/>
  <c r="R94" i="2"/>
  <c r="R77" i="2"/>
  <c r="R126" i="2"/>
  <c r="R110" i="2"/>
  <c r="R117" i="2"/>
  <c r="R102" i="2"/>
  <c r="R86" i="2"/>
  <c r="R74" i="2"/>
  <c r="R87" i="2"/>
  <c r="R99" i="2"/>
  <c r="R125" i="2"/>
  <c r="R82" i="2"/>
  <c r="R120" i="2"/>
  <c r="R104" i="2"/>
  <c r="R111" i="2"/>
  <c r="R96" i="2"/>
  <c r="R89" i="2"/>
  <c r="R85" i="2"/>
  <c r="R83" i="2"/>
  <c r="R109" i="2"/>
  <c r="R81" i="2"/>
  <c r="T134" i="2"/>
  <c r="T132" i="2"/>
  <c r="T133" i="2"/>
  <c r="V194" i="2"/>
  <c r="J135" i="2"/>
  <c r="O121" i="2"/>
  <c r="O113" i="2"/>
  <c r="O105" i="2"/>
  <c r="O110" i="2"/>
  <c r="O101" i="2"/>
  <c r="O85" i="2"/>
  <c r="O106" i="2"/>
  <c r="O88" i="2"/>
  <c r="O77" i="2"/>
  <c r="O124" i="2"/>
  <c r="O94" i="2"/>
  <c r="O100" i="2"/>
  <c r="O116" i="2"/>
  <c r="O84" i="2"/>
  <c r="O123" i="2"/>
  <c r="O118" i="2"/>
  <c r="O112" i="2"/>
  <c r="O71" i="2"/>
  <c r="O122" i="2"/>
  <c r="O119" i="2"/>
  <c r="O111" i="2"/>
  <c r="O103" i="2"/>
  <c r="O120" i="2"/>
  <c r="O98" i="2"/>
  <c r="O89" i="2"/>
  <c r="O99" i="2"/>
  <c r="O83" i="2"/>
  <c r="O75" i="2"/>
  <c r="O104" i="2"/>
  <c r="O78" i="2"/>
  <c r="O80" i="2"/>
  <c r="O95" i="2"/>
  <c r="O70" i="2"/>
  <c r="O115" i="2"/>
  <c r="O108" i="2"/>
  <c r="O91" i="2"/>
  <c r="O97" i="2"/>
  <c r="O82" i="2"/>
  <c r="O125" i="2"/>
  <c r="O117" i="2"/>
  <c r="O109" i="2"/>
  <c r="O126" i="2"/>
  <c r="O114" i="2"/>
  <c r="O93" i="2"/>
  <c r="O86" i="2"/>
  <c r="O96" i="2"/>
  <c r="O81" i="2"/>
  <c r="O73" i="2"/>
  <c r="O102" i="2"/>
  <c r="O87" i="2"/>
  <c r="O72" i="2"/>
  <c r="O92" i="2"/>
  <c r="O76" i="2"/>
  <c r="O107" i="2"/>
  <c r="O90" i="2"/>
  <c r="O79" i="2"/>
  <c r="O74" i="2"/>
  <c r="Q132" i="2"/>
  <c r="Q133" i="2"/>
  <c r="Q134" i="2"/>
  <c r="S194" i="2"/>
  <c r="S243" i="2" s="1"/>
  <c r="K166" i="2"/>
  <c r="I181" i="2"/>
  <c r="T166" i="2"/>
  <c r="R181" i="2"/>
  <c r="P188" i="2"/>
  <c r="M166" i="2"/>
  <c r="K181" i="2"/>
  <c r="I188" i="2"/>
  <c r="R166" i="2"/>
  <c r="P181" i="2"/>
  <c r="N188" i="2"/>
  <c r="O166" i="2"/>
  <c r="M181" i="2"/>
  <c r="K188" i="2"/>
  <c r="V181" i="2"/>
  <c r="T188" i="2"/>
  <c r="Q166" i="2"/>
  <c r="O181" i="2"/>
  <c r="M188" i="2"/>
  <c r="V166" i="2"/>
  <c r="T181" i="2"/>
  <c r="R188" i="2"/>
  <c r="S166" i="2"/>
  <c r="Q181" i="2"/>
  <c r="O188" i="2"/>
  <c r="J181" i="2"/>
  <c r="U166" i="2"/>
  <c r="S181" i="2"/>
  <c r="Q188" i="2"/>
  <c r="J166" i="2"/>
  <c r="V188" i="2"/>
  <c r="U181" i="2"/>
  <c r="S188" i="2"/>
  <c r="N181" i="2"/>
  <c r="L188" i="2"/>
  <c r="I166" i="2"/>
  <c r="U188" i="2"/>
  <c r="N166" i="2"/>
  <c r="L181" i="2"/>
  <c r="J188" i="2"/>
  <c r="R246" i="2"/>
  <c r="R238" i="2"/>
  <c r="R230" i="2"/>
  <c r="R241" i="2"/>
  <c r="R233" i="2"/>
  <c r="R225" i="2"/>
  <c r="R220" i="2"/>
  <c r="R214" i="2"/>
  <c r="R203" i="2"/>
  <c r="R195" i="2"/>
  <c r="R224" i="2"/>
  <c r="R202" i="2"/>
  <c r="R215" i="2"/>
  <c r="Q246" i="2"/>
  <c r="Q244" i="2"/>
  <c r="Q242" i="2"/>
  <c r="Q240" i="2"/>
  <c r="Q238" i="2"/>
  <c r="Q236" i="2"/>
  <c r="Q234" i="2"/>
  <c r="Q232" i="2"/>
  <c r="Q230" i="2"/>
  <c r="Q228" i="2"/>
  <c r="Q226" i="2"/>
  <c r="Q224" i="2"/>
  <c r="Q245" i="2"/>
  <c r="Q237" i="2"/>
  <c r="Q229" i="2"/>
  <c r="Q225" i="2"/>
  <c r="Q221" i="2"/>
  <c r="Q219" i="2"/>
  <c r="Q217" i="2"/>
  <c r="Q215" i="2"/>
  <c r="Q213" i="2"/>
  <c r="Q211" i="2"/>
  <c r="Q209" i="2"/>
  <c r="Q207" i="2"/>
  <c r="Q239" i="2"/>
  <c r="Q231" i="2"/>
  <c r="Q241" i="2"/>
  <c r="Q233" i="2"/>
  <c r="Q227" i="2"/>
  <c r="Q220" i="2"/>
  <c r="Q218" i="2"/>
  <c r="Q235" i="2"/>
  <c r="Q216" i="2"/>
  <c r="Q208" i="2"/>
  <c r="Q214" i="2"/>
  <c r="Q206" i="2"/>
  <c r="Q205" i="2"/>
  <c r="Q203" i="2"/>
  <c r="Q201" i="2"/>
  <c r="Q199" i="2"/>
  <c r="Q197" i="2"/>
  <c r="Q195" i="2"/>
  <c r="Q243" i="2"/>
  <c r="Q223" i="2"/>
  <c r="Q222" i="2"/>
  <c r="Q204" i="2"/>
  <c r="Q200" i="2"/>
  <c r="Q196" i="2"/>
  <c r="Q210" i="2"/>
  <c r="Q202" i="2"/>
  <c r="Q198" i="2"/>
  <c r="Q212" i="2"/>
  <c r="L245" i="2"/>
  <c r="L243" i="2"/>
  <c r="L241" i="2"/>
  <c r="L239" i="2"/>
  <c r="L237" i="2"/>
  <c r="L235" i="2"/>
  <c r="L233" i="2"/>
  <c r="L231" i="2"/>
  <c r="L229" i="2"/>
  <c r="L246" i="2"/>
  <c r="L244" i="2"/>
  <c r="L242" i="2"/>
  <c r="L240" i="2"/>
  <c r="L238" i="2"/>
  <c r="L236" i="2"/>
  <c r="L234" i="2"/>
  <c r="L232" i="2"/>
  <c r="L230" i="2"/>
  <c r="L228" i="2"/>
  <c r="L226" i="2"/>
  <c r="L224" i="2"/>
  <c r="L227" i="2"/>
  <c r="L223" i="2"/>
  <c r="L221" i="2"/>
  <c r="L218" i="2"/>
  <c r="L225" i="2"/>
  <c r="L222" i="2"/>
  <c r="L219" i="2"/>
  <c r="L216" i="2"/>
  <c r="L211" i="2"/>
  <c r="L208" i="2"/>
  <c r="L204" i="2"/>
  <c r="L202" i="2"/>
  <c r="L200" i="2"/>
  <c r="L198" i="2"/>
  <c r="L196" i="2"/>
  <c r="L217" i="2"/>
  <c r="L214" i="2"/>
  <c r="L209" i="2"/>
  <c r="L206" i="2"/>
  <c r="L213" i="2"/>
  <c r="L210" i="2"/>
  <c r="L215" i="2"/>
  <c r="L212" i="2"/>
  <c r="L203" i="2"/>
  <c r="L199" i="2"/>
  <c r="L195" i="2"/>
  <c r="L220" i="2"/>
  <c r="L207" i="2"/>
  <c r="L205" i="2"/>
  <c r="L201" i="2"/>
  <c r="L197" i="2"/>
  <c r="I195" i="2"/>
  <c r="I246" i="2"/>
  <c r="I244" i="2"/>
  <c r="I242" i="2"/>
  <c r="I240" i="2"/>
  <c r="I238" i="2"/>
  <c r="I236" i="2"/>
  <c r="I234" i="2"/>
  <c r="I232" i="2"/>
  <c r="I230" i="2"/>
  <c r="I228" i="2"/>
  <c r="I226" i="2"/>
  <c r="I224" i="2"/>
  <c r="I241" i="2"/>
  <c r="I233" i="2"/>
  <c r="I225" i="2"/>
  <c r="I221" i="2"/>
  <c r="I219" i="2"/>
  <c r="I217" i="2"/>
  <c r="I215" i="2"/>
  <c r="I213" i="2"/>
  <c r="I211" i="2"/>
  <c r="I209" i="2"/>
  <c r="I207" i="2"/>
  <c r="I243" i="2"/>
  <c r="I235" i="2"/>
  <c r="I245" i="2"/>
  <c r="I237" i="2"/>
  <c r="I229" i="2"/>
  <c r="I223" i="2"/>
  <c r="I231" i="2"/>
  <c r="I220" i="2"/>
  <c r="I212" i="2"/>
  <c r="I218" i="2"/>
  <c r="I210" i="2"/>
  <c r="I205" i="2"/>
  <c r="I203" i="2"/>
  <c r="I201" i="2"/>
  <c r="I199" i="2"/>
  <c r="I197" i="2"/>
  <c r="I239" i="2"/>
  <c r="I227" i="2"/>
  <c r="I222" i="2"/>
  <c r="I214" i="2"/>
  <c r="I204" i="2"/>
  <c r="I200" i="2"/>
  <c r="I196" i="2"/>
  <c r="I216" i="2"/>
  <c r="I206" i="2"/>
  <c r="I202" i="2"/>
  <c r="I198" i="2"/>
  <c r="I208" i="2"/>
  <c r="U246" i="2"/>
  <c r="U238" i="2"/>
  <c r="U230" i="2"/>
  <c r="U222" i="2"/>
  <c r="U223" i="2"/>
  <c r="U215" i="2"/>
  <c r="U207" i="2"/>
  <c r="U235" i="2"/>
  <c r="U245" i="2"/>
  <c r="U216" i="2"/>
  <c r="U208" i="2"/>
  <c r="U201" i="2"/>
  <c r="U199" i="2"/>
  <c r="U237" i="2"/>
  <c r="U229" i="2"/>
  <c r="U202" i="2"/>
  <c r="U198" i="2"/>
  <c r="U204" i="2"/>
  <c r="U200" i="2"/>
  <c r="O245" i="2"/>
  <c r="O237" i="2"/>
  <c r="O229" i="2"/>
  <c r="O244" i="2"/>
  <c r="O222" i="2"/>
  <c r="O214" i="2"/>
  <c r="O206" i="2"/>
  <c r="O240" i="2"/>
  <c r="O215" i="2"/>
  <c r="O202" i="2"/>
  <c r="O242" i="2"/>
  <c r="O203" i="2"/>
  <c r="O211" i="2"/>
  <c r="M246" i="2"/>
  <c r="M244" i="2"/>
  <c r="M242" i="2"/>
  <c r="M240" i="2"/>
  <c r="M238" i="2"/>
  <c r="M236" i="2"/>
  <c r="M234" i="2"/>
  <c r="M232" i="2"/>
  <c r="M230" i="2"/>
  <c r="M228" i="2"/>
  <c r="M226" i="2"/>
  <c r="M224" i="2"/>
  <c r="M243" i="2"/>
  <c r="M235" i="2"/>
  <c r="M227" i="2"/>
  <c r="M223" i="2"/>
  <c r="M221" i="2"/>
  <c r="M219" i="2"/>
  <c r="M217" i="2"/>
  <c r="M215" i="2"/>
  <c r="M213" i="2"/>
  <c r="M211" i="2"/>
  <c r="M209" i="2"/>
  <c r="M207" i="2"/>
  <c r="M245" i="2"/>
  <c r="M237" i="2"/>
  <c r="M229" i="2"/>
  <c r="M239" i="2"/>
  <c r="M231" i="2"/>
  <c r="M241" i="2"/>
  <c r="M225" i="2"/>
  <c r="M222" i="2"/>
  <c r="M216" i="2"/>
  <c r="M214" i="2"/>
  <c r="M206" i="2"/>
  <c r="M212" i="2"/>
  <c r="M205" i="2"/>
  <c r="M203" i="2"/>
  <c r="M201" i="2"/>
  <c r="M199" i="2"/>
  <c r="M197" i="2"/>
  <c r="M195" i="2"/>
  <c r="M233" i="2"/>
  <c r="M218" i="2"/>
  <c r="M202" i="2"/>
  <c r="M198" i="2"/>
  <c r="M220" i="2"/>
  <c r="M208" i="2"/>
  <c r="M204" i="2"/>
  <c r="M200" i="2"/>
  <c r="M196" i="2"/>
  <c r="M210" i="2"/>
  <c r="V246" i="2"/>
  <c r="V244" i="2"/>
  <c r="V242" i="2"/>
  <c r="V240" i="2"/>
  <c r="V238" i="2"/>
  <c r="V236" i="2"/>
  <c r="V234" i="2"/>
  <c r="V232" i="2"/>
  <c r="V230" i="2"/>
  <c r="V228" i="2"/>
  <c r="V245" i="2"/>
  <c r="V243" i="2"/>
  <c r="V241" i="2"/>
  <c r="V239" i="2"/>
  <c r="V237" i="2"/>
  <c r="V235" i="2"/>
  <c r="V233" i="2"/>
  <c r="V231" i="2"/>
  <c r="V229" i="2"/>
  <c r="V227" i="2"/>
  <c r="V225" i="2"/>
  <c r="V223" i="2"/>
  <c r="V224" i="2"/>
  <c r="V220" i="2"/>
  <c r="V218" i="2"/>
  <c r="V215" i="2"/>
  <c r="V222" i="2"/>
  <c r="V216" i="2"/>
  <c r="V213" i="2"/>
  <c r="V208" i="2"/>
  <c r="V205" i="2"/>
  <c r="V203" i="2"/>
  <c r="V201" i="2"/>
  <c r="V199" i="2"/>
  <c r="V197" i="2"/>
  <c r="V195" i="2"/>
  <c r="V219" i="2"/>
  <c r="V214" i="2"/>
  <c r="V211" i="2"/>
  <c r="V206" i="2"/>
  <c r="V226" i="2"/>
  <c r="V210" i="2"/>
  <c r="V207" i="2"/>
  <c r="V217" i="2"/>
  <c r="V212" i="2"/>
  <c r="V209" i="2"/>
  <c r="V204" i="2"/>
  <c r="V200" i="2"/>
  <c r="V196" i="2"/>
  <c r="V221" i="2"/>
  <c r="V202" i="2"/>
  <c r="V198" i="2"/>
  <c r="P245" i="2"/>
  <c r="P243" i="2"/>
  <c r="P241" i="2"/>
  <c r="P239" i="2"/>
  <c r="P237" i="2"/>
  <c r="P235" i="2"/>
  <c r="P233" i="2"/>
  <c r="P231" i="2"/>
  <c r="P229" i="2"/>
  <c r="P246" i="2"/>
  <c r="P244" i="2"/>
  <c r="P242" i="2"/>
  <c r="P240" i="2"/>
  <c r="P238" i="2"/>
  <c r="P236" i="2"/>
  <c r="P234" i="2"/>
  <c r="P232" i="2"/>
  <c r="P230" i="2"/>
  <c r="P228" i="2"/>
  <c r="P226" i="2"/>
  <c r="P224" i="2"/>
  <c r="P225" i="2"/>
  <c r="P221" i="2"/>
  <c r="P227" i="2"/>
  <c r="P220" i="2"/>
  <c r="P218" i="2"/>
  <c r="P213" i="2"/>
  <c r="P210" i="2"/>
  <c r="P204" i="2"/>
  <c r="P202" i="2"/>
  <c r="P200" i="2"/>
  <c r="P198" i="2"/>
  <c r="P196" i="2"/>
  <c r="P219" i="2"/>
  <c r="P216" i="2"/>
  <c r="P211" i="2"/>
  <c r="P208" i="2"/>
  <c r="P215" i="2"/>
  <c r="P212" i="2"/>
  <c r="P223" i="2"/>
  <c r="P214" i="2"/>
  <c r="P205" i="2"/>
  <c r="P201" i="2"/>
  <c r="P197" i="2"/>
  <c r="P222" i="2"/>
  <c r="P217" i="2"/>
  <c r="P207" i="2"/>
  <c r="P209" i="2"/>
  <c r="P206" i="2"/>
  <c r="P203" i="2"/>
  <c r="P199" i="2"/>
  <c r="P195" i="2"/>
  <c r="K245" i="2"/>
  <c r="K243" i="2"/>
  <c r="K239" i="2"/>
  <c r="K237" i="2"/>
  <c r="K235" i="2"/>
  <c r="K231" i="2"/>
  <c r="K229" i="2"/>
  <c r="K227" i="2"/>
  <c r="K223" i="2"/>
  <c r="K242" i="2"/>
  <c r="K234" i="2"/>
  <c r="K222" i="2"/>
  <c r="K220" i="2"/>
  <c r="K218" i="2"/>
  <c r="K214" i="2"/>
  <c r="K212" i="2"/>
  <c r="K210" i="2"/>
  <c r="K206" i="2"/>
  <c r="K244" i="2"/>
  <c r="K236" i="2"/>
  <c r="K246" i="2"/>
  <c r="K238" i="2"/>
  <c r="K230" i="2"/>
  <c r="K228" i="2"/>
  <c r="K232" i="2"/>
  <c r="K224" i="2"/>
  <c r="K221" i="2"/>
  <c r="K240" i="2"/>
  <c r="K213" i="2"/>
  <c r="K219" i="2"/>
  <c r="K211" i="2"/>
  <c r="K204" i="2"/>
  <c r="K202" i="2"/>
  <c r="K200" i="2"/>
  <c r="K198" i="2"/>
  <c r="K196" i="2"/>
  <c r="K207" i="2"/>
  <c r="K205" i="2"/>
  <c r="K201" i="2"/>
  <c r="K197" i="2"/>
  <c r="K209" i="2"/>
  <c r="K215" i="2"/>
  <c r="K203" i="2"/>
  <c r="K199" i="2"/>
  <c r="K195" i="2"/>
  <c r="K217" i="2"/>
  <c r="J246" i="2"/>
  <c r="J244" i="2"/>
  <c r="J242" i="2"/>
  <c r="J240" i="2"/>
  <c r="J238" i="2"/>
  <c r="J236" i="2"/>
  <c r="J234" i="2"/>
  <c r="J232" i="2"/>
  <c r="J230" i="2"/>
  <c r="J245" i="2"/>
  <c r="J243" i="2"/>
  <c r="J241" i="2"/>
  <c r="J239" i="2"/>
  <c r="J237" i="2"/>
  <c r="J235" i="2"/>
  <c r="J233" i="2"/>
  <c r="J231" i="2"/>
  <c r="J229" i="2"/>
  <c r="J227" i="2"/>
  <c r="J225" i="2"/>
  <c r="J223" i="2"/>
  <c r="J226" i="2"/>
  <c r="J222" i="2"/>
  <c r="J228" i="2"/>
  <c r="J220" i="2"/>
  <c r="J217" i="2"/>
  <c r="J224" i="2"/>
  <c r="J221" i="2"/>
  <c r="J218" i="2"/>
  <c r="J215" i="2"/>
  <c r="J210" i="2"/>
  <c r="J207" i="2"/>
  <c r="J205" i="2"/>
  <c r="J203" i="2"/>
  <c r="J201" i="2"/>
  <c r="J199" i="2"/>
  <c r="J197" i="2"/>
  <c r="J195" i="2"/>
  <c r="J216" i="2"/>
  <c r="J213" i="2"/>
  <c r="J208" i="2"/>
  <c r="J214" i="2"/>
  <c r="J206" i="2"/>
  <c r="J202" i="2"/>
  <c r="J198" i="2"/>
  <c r="J219" i="2"/>
  <c r="J212" i="2"/>
  <c r="J209" i="2"/>
  <c r="J211" i="2"/>
  <c r="J204" i="2"/>
  <c r="J200" i="2"/>
  <c r="J196" i="2"/>
  <c r="T242" i="2"/>
  <c r="O219" i="2" l="1"/>
  <c r="O204" i="2"/>
  <c r="O230" i="2"/>
  <c r="O208" i="2"/>
  <c r="O223" i="2"/>
  <c r="O239" i="2"/>
  <c r="U220" i="2"/>
  <c r="U203" i="2"/>
  <c r="U243" i="2"/>
  <c r="U217" i="2"/>
  <c r="U224" i="2"/>
  <c r="U240" i="2"/>
  <c r="R196" i="2"/>
  <c r="R218" i="2"/>
  <c r="R207" i="2"/>
  <c r="R209" i="2"/>
  <c r="R197" i="2"/>
  <c r="R205" i="2"/>
  <c r="R219" i="2"/>
  <c r="R222" i="2"/>
  <c r="R227" i="2"/>
  <c r="R235" i="2"/>
  <c r="R243" i="2"/>
  <c r="R232" i="2"/>
  <c r="R240" i="2"/>
  <c r="O197" i="2"/>
  <c r="O209" i="2"/>
  <c r="O196" i="2"/>
  <c r="O217" i="2"/>
  <c r="O216" i="2"/>
  <c r="O224" i="2"/>
  <c r="O231" i="2"/>
  <c r="U214" i="2"/>
  <c r="U212" i="2"/>
  <c r="U195" i="2"/>
  <c r="U210" i="2"/>
  <c r="U209" i="2"/>
  <c r="U227" i="2"/>
  <c r="U232" i="2"/>
  <c r="K208" i="2"/>
  <c r="K216" i="2"/>
  <c r="K226" i="2"/>
  <c r="K225" i="2"/>
  <c r="K233" i="2"/>
  <c r="O201" i="2"/>
  <c r="O195" i="2"/>
  <c r="O221" i="2"/>
  <c r="O198" i="2"/>
  <c r="O213" i="2"/>
  <c r="O226" i="2"/>
  <c r="O238" i="2"/>
  <c r="O210" i="2"/>
  <c r="O218" i="2"/>
  <c r="O228" i="2"/>
  <c r="O225" i="2"/>
  <c r="O233" i="2"/>
  <c r="O241" i="2"/>
  <c r="U196" i="2"/>
  <c r="U206" i="2"/>
  <c r="U225" i="2"/>
  <c r="U197" i="2"/>
  <c r="U205" i="2"/>
  <c r="U218" i="2"/>
  <c r="U233" i="2"/>
  <c r="U211" i="2"/>
  <c r="U219" i="2"/>
  <c r="U231" i="2"/>
  <c r="U226" i="2"/>
  <c r="U234" i="2"/>
  <c r="U242" i="2"/>
  <c r="R200" i="2"/>
  <c r="R213" i="2"/>
  <c r="R210" i="2"/>
  <c r="R212" i="2"/>
  <c r="R199" i="2"/>
  <c r="R206" i="2"/>
  <c r="R221" i="2"/>
  <c r="R226" i="2"/>
  <c r="R229" i="2"/>
  <c r="R237" i="2"/>
  <c r="R245" i="2"/>
  <c r="R234" i="2"/>
  <c r="R242" i="2"/>
  <c r="O205" i="2"/>
  <c r="O199" i="2"/>
  <c r="O234" i="2"/>
  <c r="O200" i="2"/>
  <c r="O207" i="2"/>
  <c r="O232" i="2"/>
  <c r="O246" i="2"/>
  <c r="O212" i="2"/>
  <c r="O220" i="2"/>
  <c r="O236" i="2"/>
  <c r="O227" i="2"/>
  <c r="O235" i="2"/>
  <c r="U241" i="2"/>
  <c r="U213" i="2"/>
  <c r="U221" i="2"/>
  <c r="U239" i="2"/>
  <c r="U228" i="2"/>
  <c r="U236" i="2"/>
  <c r="R204" i="2"/>
  <c r="R198" i="2"/>
  <c r="R208" i="2"/>
  <c r="R217" i="2"/>
  <c r="R201" i="2"/>
  <c r="R211" i="2"/>
  <c r="R216" i="2"/>
  <c r="R223" i="2"/>
  <c r="R231" i="2"/>
  <c r="R239" i="2"/>
  <c r="R228" i="2"/>
  <c r="R236" i="2"/>
  <c r="S209" i="2"/>
  <c r="S242" i="2"/>
  <c r="S196" i="2"/>
  <c r="S203" i="2"/>
  <c r="S230" i="2"/>
  <c r="S195" i="2"/>
  <c r="S205" i="2"/>
  <c r="S202" i="2"/>
  <c r="S221" i="2"/>
  <c r="S210" i="2"/>
  <c r="S227" i="2"/>
  <c r="S199" i="2"/>
  <c r="S224" i="2"/>
  <c r="S215" i="2"/>
  <c r="S236" i="2"/>
  <c r="S216" i="2"/>
  <c r="S241" i="2"/>
  <c r="S201" i="2"/>
  <c r="S200" i="2"/>
  <c r="S217" i="2"/>
  <c r="S240" i="2"/>
  <c r="S223" i="2"/>
  <c r="N214" i="2"/>
  <c r="T199" i="2"/>
  <c r="N203" i="2"/>
  <c r="T212" i="2"/>
  <c r="N233" i="2"/>
  <c r="S197" i="2"/>
  <c r="S228" i="2"/>
  <c r="S204" i="2"/>
  <c r="S219" i="2"/>
  <c r="S232" i="2"/>
  <c r="S220" i="2"/>
  <c r="S233" i="2"/>
  <c r="S208" i="2"/>
  <c r="S218" i="2"/>
  <c r="S238" i="2"/>
  <c r="S231" i="2"/>
  <c r="S245" i="2"/>
  <c r="S212" i="2"/>
  <c r="S226" i="2"/>
  <c r="S225" i="2"/>
  <c r="S237" i="2"/>
  <c r="T216" i="2"/>
  <c r="N208" i="2"/>
  <c r="N217" i="2"/>
  <c r="N241" i="2"/>
  <c r="T231" i="2"/>
  <c r="T213" i="2"/>
  <c r="T226" i="2"/>
  <c r="N207" i="2"/>
  <c r="N222" i="2"/>
  <c r="N232" i="2"/>
  <c r="T223" i="2"/>
  <c r="T197" i="2"/>
  <c r="T239" i="2"/>
  <c r="T211" i="2"/>
  <c r="T200" i="2"/>
  <c r="T234" i="2"/>
  <c r="N198" i="2"/>
  <c r="N195" i="2"/>
  <c r="N225" i="2"/>
  <c r="N240" i="2"/>
  <c r="S213" i="2"/>
  <c r="S211" i="2"/>
  <c r="S198" i="2"/>
  <c r="S207" i="2"/>
  <c r="S244" i="2"/>
  <c r="S234" i="2"/>
  <c r="S206" i="2"/>
  <c r="S214" i="2"/>
  <c r="S222" i="2"/>
  <c r="S246" i="2"/>
  <c r="S229" i="2"/>
  <c r="S239" i="2"/>
  <c r="T201" i="2"/>
  <c r="T206" i="2"/>
  <c r="T203" i="2"/>
  <c r="T219" i="2"/>
  <c r="T218" i="2"/>
  <c r="T202" i="2"/>
  <c r="T215" i="2"/>
  <c r="T227" i="2"/>
  <c r="T228" i="2"/>
  <c r="T236" i="2"/>
  <c r="T244" i="2"/>
  <c r="T233" i="2"/>
  <c r="T241" i="2"/>
  <c r="N202" i="2"/>
  <c r="N196" i="2"/>
  <c r="N216" i="2"/>
  <c r="N210" i="2"/>
  <c r="N197" i="2"/>
  <c r="N205" i="2"/>
  <c r="N226" i="2"/>
  <c r="N224" i="2"/>
  <c r="N227" i="2"/>
  <c r="N235" i="2"/>
  <c r="N243" i="2"/>
  <c r="N234" i="2"/>
  <c r="N242" i="2"/>
  <c r="T209" i="2"/>
  <c r="T225" i="2"/>
  <c r="T217" i="2"/>
  <c r="T222" i="2"/>
  <c r="T230" i="2"/>
  <c r="T238" i="2"/>
  <c r="T246" i="2"/>
  <c r="T235" i="2"/>
  <c r="T243" i="2"/>
  <c r="N213" i="2"/>
  <c r="N200" i="2"/>
  <c r="N206" i="2"/>
  <c r="N215" i="2"/>
  <c r="N199" i="2"/>
  <c r="N209" i="2"/>
  <c r="N219" i="2"/>
  <c r="N228" i="2"/>
  <c r="N229" i="2"/>
  <c r="N237" i="2"/>
  <c r="N245" i="2"/>
  <c r="N236" i="2"/>
  <c r="N244" i="2"/>
  <c r="T205" i="2"/>
  <c r="T220" i="2"/>
  <c r="T196" i="2"/>
  <c r="T204" i="2"/>
  <c r="T208" i="2"/>
  <c r="T195" i="2"/>
  <c r="T214" i="2"/>
  <c r="T210" i="2"/>
  <c r="T198" i="2"/>
  <c r="T207" i="2"/>
  <c r="T221" i="2"/>
  <c r="T224" i="2"/>
  <c r="T232" i="2"/>
  <c r="T240" i="2"/>
  <c r="T229" i="2"/>
  <c r="T237" i="2"/>
  <c r="N211" i="2"/>
  <c r="N204" i="2"/>
  <c r="N221" i="2"/>
  <c r="N218" i="2"/>
  <c r="N201" i="2"/>
  <c r="N212" i="2"/>
  <c r="N220" i="2"/>
  <c r="N223" i="2"/>
  <c r="N231" i="2"/>
  <c r="N239" i="2"/>
  <c r="N230" i="2"/>
  <c r="N238" i="2"/>
  <c r="S235" i="2"/>
</calcChain>
</file>

<file path=xl/sharedStrings.xml><?xml version="1.0" encoding="utf-8"?>
<sst xmlns="http://schemas.openxmlformats.org/spreadsheetml/2006/main" count="222" uniqueCount="111">
  <si>
    <t>3월이하(당일)</t>
  </si>
  <si>
    <t>6월이하(당일)</t>
  </si>
  <si>
    <t>9월이하(당일)</t>
  </si>
  <si>
    <t>1년이하(당일)</t>
  </si>
  <si>
    <t>1.5년이하(당일)</t>
  </si>
  <si>
    <t>2년이하(당일)</t>
  </si>
  <si>
    <t>2.5년이하(당일)</t>
  </si>
  <si>
    <t>3년이하(당일)</t>
  </si>
  <si>
    <t>4년이하(당일)</t>
  </si>
  <si>
    <t>5년이하(당일)</t>
  </si>
  <si>
    <t>7년이하(당일)</t>
  </si>
  <si>
    <t>10년이하(당일)</t>
  </si>
  <si>
    <t>15년이하(당일)</t>
  </si>
  <si>
    <t>20년이하(당일)</t>
  </si>
  <si>
    <t>구분</t>
  </si>
  <si>
    <t>공사/공단채 정부보증</t>
  </si>
  <si>
    <t>예금보험공사</t>
  </si>
  <si>
    <t>한국장학재단</t>
  </si>
  <si>
    <t>공사/공단채 AAA</t>
  </si>
  <si>
    <t>농협중앙회</t>
  </si>
  <si>
    <t>부산교통공사</t>
  </si>
  <si>
    <t>부산항만공사</t>
  </si>
  <si>
    <t>여수광양항만공사</t>
  </si>
  <si>
    <t>울산항만공사</t>
  </si>
  <si>
    <t>인천국제공항공사</t>
  </si>
  <si>
    <t>인천항만공사</t>
  </si>
  <si>
    <t>한국가스공사</t>
  </si>
  <si>
    <t>한국도로공사</t>
  </si>
  <si>
    <t>한국산업단지공단</t>
  </si>
  <si>
    <t>한국석유공사</t>
  </si>
  <si>
    <t>한국수자원공사</t>
  </si>
  <si>
    <t>한국자산관리공사</t>
  </si>
  <si>
    <t>한국전력공사</t>
  </si>
  <si>
    <t>한국주택금융공사</t>
  </si>
  <si>
    <t>한국철도공사</t>
  </si>
  <si>
    <t>한국토지주택공사</t>
  </si>
  <si>
    <t>공사/공단채 AA+</t>
  </si>
  <si>
    <t>강원도개발공사</t>
  </si>
  <si>
    <t>경상북도개발공사</t>
  </si>
  <si>
    <t>광주광역시도시공사</t>
  </si>
  <si>
    <t>대구도시공사</t>
  </si>
  <si>
    <t>대구도시철도공사</t>
  </si>
  <si>
    <t>대전도시공사</t>
  </si>
  <si>
    <t>부산도시공사</t>
  </si>
  <si>
    <t>인천도시공사</t>
  </si>
  <si>
    <t>전남개발공사</t>
  </si>
  <si>
    <t>충북개발공사</t>
  </si>
  <si>
    <t>평택도시공사</t>
  </si>
  <si>
    <t>공사/공단채 AA-</t>
  </si>
  <si>
    <t>3M</t>
  </si>
  <si>
    <t>6M</t>
  </si>
  <si>
    <t>9M</t>
  </si>
  <si>
    <t>1Y</t>
  </si>
  <si>
    <t>1Y6M</t>
  </si>
  <si>
    <t>2Y</t>
  </si>
  <si>
    <t>2Y6M</t>
  </si>
  <si>
    <t>3Y</t>
  </si>
  <si>
    <t>4Y</t>
  </si>
  <si>
    <t>5Y</t>
  </si>
  <si>
    <t>7Y</t>
  </si>
  <si>
    <t>10Y</t>
  </si>
  <si>
    <t>15Y</t>
  </si>
  <si>
    <t>20Y</t>
  </si>
  <si>
    <t>3. 자기등급대비 Spread</t>
    <phoneticPr fontId="1" type="noConversion"/>
  </si>
  <si>
    <t>1. 수익률</t>
    <phoneticPr fontId="1" type="noConversion"/>
  </si>
  <si>
    <t>수협중앙회</t>
  </si>
  <si>
    <t>한국해양진흥공사</t>
  </si>
  <si>
    <t>울산도시공사</t>
  </si>
  <si>
    <t>경남개발공사</t>
  </si>
  <si>
    <t>충청남도개발공사</t>
  </si>
  <si>
    <t>농어촌공사</t>
  </si>
  <si>
    <t>서울주택도시공사</t>
  </si>
  <si>
    <t>지역난방공사</t>
  </si>
  <si>
    <t>서울교통공사</t>
  </si>
  <si>
    <t>4. 발행사대비 Spread</t>
    <phoneticPr fontId="1" type="noConversion"/>
  </si>
  <si>
    <t>경기주택도시공사</t>
  </si>
  <si>
    <t>광해광업공단</t>
  </si>
  <si>
    <t>국가철도공단</t>
  </si>
  <si>
    <t>제주개발센터</t>
  </si>
  <si>
    <t>중소벤처기업진흥공단</t>
  </si>
  <si>
    <t>한국공항공사</t>
  </si>
  <si>
    <t>한국해외인프라도시개발지원공사</t>
  </si>
  <si>
    <t>인천교통공사</t>
  </si>
  <si>
    <t>공사/공단채 AA0</t>
  </si>
  <si>
    <t>고양도시관리공사</t>
  </si>
  <si>
    <t>과천도시공사</t>
  </si>
  <si>
    <t>김해시도시개발공사</t>
  </si>
  <si>
    <t>시흥도시공사</t>
  </si>
  <si>
    <t>하남도시공사</t>
  </si>
  <si>
    <t>BONDAVG01</t>
    <phoneticPr fontId="1" type="noConversion"/>
  </si>
  <si>
    <t>BONDAVG13</t>
    <phoneticPr fontId="1" type="noConversion"/>
  </si>
  <si>
    <t>BONDAVG09</t>
    <phoneticPr fontId="1" type="noConversion"/>
  </si>
  <si>
    <t>BONDAVG10</t>
    <phoneticPr fontId="1" type="noConversion"/>
  </si>
  <si>
    <t>BONDAVG11</t>
    <phoneticPr fontId="1" type="noConversion"/>
  </si>
  <si>
    <t>BONDAVG12</t>
    <phoneticPr fontId="1" type="noConversion"/>
  </si>
  <si>
    <t>국고채</t>
    <phoneticPr fontId="1" type="noConversion"/>
  </si>
  <si>
    <t>3사평균</t>
    <phoneticPr fontId="1" type="noConversion"/>
  </si>
  <si>
    <t>4사평균</t>
    <phoneticPr fontId="1" type="noConversion"/>
  </si>
  <si>
    <t>KAP</t>
    <phoneticPr fontId="1" type="noConversion"/>
  </si>
  <si>
    <t>KIS</t>
    <phoneticPr fontId="1" type="noConversion"/>
  </si>
  <si>
    <t>NICE</t>
    <phoneticPr fontId="1" type="noConversion"/>
  </si>
  <si>
    <t>FN</t>
    <phoneticPr fontId="1" type="noConversion"/>
  </si>
  <si>
    <t>BONDAVG</t>
    <phoneticPr fontId="1" type="noConversion"/>
  </si>
  <si>
    <t>BONDAV4</t>
    <phoneticPr fontId="1" type="noConversion"/>
  </si>
  <si>
    <t>BONDKBP</t>
    <phoneticPr fontId="1" type="noConversion"/>
  </si>
  <si>
    <t>BONDKIS</t>
    <phoneticPr fontId="1" type="noConversion"/>
  </si>
  <si>
    <t>BONDNIC</t>
    <phoneticPr fontId="1" type="noConversion"/>
  </si>
  <si>
    <t>BONDFNP</t>
    <phoneticPr fontId="1" type="noConversion"/>
  </si>
  <si>
    <t>스프레드 (bp)</t>
    <phoneticPr fontId="1" type="noConversion"/>
  </si>
  <si>
    <t>2. 국고대비 Spread</t>
    <phoneticPr fontId="1" type="noConversion"/>
  </si>
  <si>
    <t>스프레드 (bp)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</si>
</sst>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0_ "/>
    <numFmt numFmtId="177" formatCode="mm&quot;월&quot;\ dd&quot;일&quot;"/>
    <numFmt numFmtId="178" formatCode="0.0"/>
    <numFmt numFmtId="179" formatCode="#,##0.000_ "/>
    <numFmt numFmtId="180" formatCode="0.000"/>
  </numFmts>
  <fonts count="13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theme="5" tint="-0.249977111117893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 style="hair">
        <color indexed="64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249977111117893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4.9989318521683403E-2"/>
      </left>
      <right style="thin">
        <color theme="0" tint="-0.249977111117893"/>
      </right>
      <top/>
      <bottom style="thin">
        <color theme="0" tint="-4.9989318521683403E-2"/>
      </bottom>
      <diagonal/>
    </border>
    <border>
      <left style="thin">
        <color theme="0" tint="-0.249977111117893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4.9989318521683403E-2"/>
      </left>
      <right style="thin">
        <color theme="0" tint="-0.249977111117893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0.249977111117893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465926084170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249977111117893"/>
      </left>
      <right style="thin">
        <color theme="0" tint="-0.1499984740745262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14999847407452621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4.9989318521683403E-2"/>
      </right>
      <top style="thin">
        <color theme="0" tint="-0.14999847407452621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0.14999847407452621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0.14999847407452621"/>
      </right>
      <top style="thin">
        <color theme="0" tint="-0.14999847407452621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0.14999847407452621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/>
      <top/>
      <bottom/>
      <diagonal/>
    </border>
    <border>
      <left style="thin">
        <color theme="0" tint="-0.249977111117893"/>
      </left>
      <right style="thin">
        <color theme="0" tint="-0.14999847407452621"/>
      </right>
      <top style="thin">
        <color theme="0" tint="-0.249977111117893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249977111117893"/>
      </top>
      <bottom/>
      <diagonal/>
    </border>
    <border>
      <left style="thin">
        <color theme="0" tint="-0.14999847407452621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14999847407452621"/>
      </left>
      <right style="thin">
        <color theme="0" tint="-4.9989318521683403E-2"/>
      </right>
      <top style="thin">
        <color theme="0" tint="-4.9989318521683403E-2"/>
      </top>
      <bottom style="thin">
        <color theme="0" tint="-0.14996795556505021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0.1499679555650502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0.14996795556505021"/>
      </bottom>
      <diagonal/>
    </border>
    <border>
      <left style="thin">
        <color theme="0" tint="-4.9989318521683403E-2"/>
      </left>
      <right style="thin">
        <color theme="0" tint="-0.14999847407452621"/>
      </right>
      <top style="thin">
        <color theme="0" tint="-4.9989318521683403E-2"/>
      </top>
      <bottom style="thin">
        <color theme="0" tint="-0.14996795556505021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1499984740745262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0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6" fillId="4" borderId="37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7" borderId="18" xfId="0" applyFont="1" applyFill="1" applyBorder="1">
      <alignment vertical="center"/>
    </xf>
    <xf numFmtId="0" fontId="4" fillId="7" borderId="20" xfId="0" applyFont="1" applyFill="1" applyBorder="1">
      <alignment vertical="center"/>
    </xf>
    <xf numFmtId="0" fontId="4" fillId="4" borderId="16" xfId="0" applyFont="1" applyFill="1" applyBorder="1" applyAlignment="1">
      <alignment horizontal="center" vertical="center"/>
    </xf>
    <xf numFmtId="0" fontId="4" fillId="7" borderId="16" xfId="0" applyFont="1" applyFill="1" applyBorder="1">
      <alignment vertical="center"/>
    </xf>
    <xf numFmtId="0" fontId="4" fillId="8" borderId="16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4" fillId="7" borderId="31" xfId="0" applyFont="1" applyFill="1" applyBorder="1">
      <alignment vertical="center"/>
    </xf>
    <xf numFmtId="0" fontId="4" fillId="7" borderId="27" xfId="0" applyFont="1" applyFill="1" applyBorder="1">
      <alignment vertical="center"/>
    </xf>
    <xf numFmtId="0" fontId="4" fillId="4" borderId="15" xfId="0" applyFont="1" applyFill="1" applyBorder="1" applyAlignment="1">
      <alignment horizontal="center" vertical="center"/>
    </xf>
    <xf numFmtId="0" fontId="4" fillId="7" borderId="8" xfId="0" applyFont="1" applyFill="1" applyBorder="1">
      <alignment vertical="center"/>
    </xf>
    <xf numFmtId="0" fontId="4" fillId="7" borderId="18" xfId="0" applyFont="1" applyFill="1" applyBorder="1">
      <alignment vertical="center"/>
    </xf>
    <xf numFmtId="0" fontId="4" fillId="7" borderId="16" xfId="0" applyFont="1" applyFill="1" applyBorder="1">
      <alignment vertical="center"/>
    </xf>
    <xf numFmtId="177" fontId="3" fillId="0" borderId="0" xfId="0" applyNumberFormat="1" applyFont="1">
      <alignment vertical="center"/>
    </xf>
    <xf numFmtId="0" fontId="2" fillId="2" borderId="0" xfId="0" applyFont="1" applyFill="1">
      <alignment vertical="center"/>
    </xf>
    <xf numFmtId="0" fontId="5" fillId="9" borderId="5" xfId="0" applyFont="1" applyFill="1" applyBorder="1" applyAlignment="1">
      <alignment horizontal="center" vertical="center"/>
    </xf>
    <xf numFmtId="0" fontId="3" fillId="5" borderId="31" xfId="0" applyFont="1" applyFill="1" applyBorder="1">
      <alignment vertical="center"/>
    </xf>
    <xf numFmtId="0" fontId="4" fillId="7" borderId="8" xfId="0" applyFont="1" applyFill="1" applyBorder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7" fillId="2" borderId="0" xfId="0" applyFont="1" applyFill="1">
      <alignment vertical="center"/>
    </xf>
    <xf numFmtId="0" fontId="7" fillId="2" borderId="0" xfId="0" applyFont="1" applyFill="1">
      <alignment vertical="center"/>
    </xf>
    <xf numFmtId="0" fontId="9" fillId="0" borderId="0" xfId="0" applyFont="1">
      <alignment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>
      <alignment vertical="center"/>
    </xf>
    <xf numFmtId="0" fontId="10" fillId="0" borderId="0" xfId="0" applyFont="1">
      <alignment vertical="center"/>
    </xf>
    <xf numFmtId="176" fontId="8" fillId="0" borderId="0" xfId="0" applyNumberFormat="1" applyFont="1">
      <alignment vertical="center"/>
    </xf>
    <xf numFmtId="0" fontId="3" fillId="0" borderId="0" xfId="0" applyFont="1" applyFill="1" applyBorder="1">
      <alignment vertical="center"/>
    </xf>
    <xf numFmtId="0" fontId="9" fillId="2" borderId="0" xfId="0" applyFont="1" applyFill="1" applyAlignment="1">
      <alignment horizontal="center" vertical="center"/>
    </xf>
    <xf numFmtId="0" fontId="9" fillId="2" borderId="0" xfId="0" applyNumberFormat="1" applyFont="1" applyFill="1" applyBorder="1" applyAlignment="1">
      <alignment vertical="center"/>
    </xf>
    <xf numFmtId="0" fontId="9" fillId="2" borderId="0" xfId="0" applyNumberFormat="1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178" fontId="3" fillId="4" borderId="23" xfId="0" applyNumberFormat="1" applyFont="1" applyFill="1" applyBorder="1">
      <alignment vertical="center"/>
    </xf>
    <xf numFmtId="178" fontId="3" fillId="0" borderId="9" xfId="0" applyNumberFormat="1" applyFont="1" applyBorder="1">
      <alignment vertical="center"/>
    </xf>
    <xf numFmtId="178" fontId="3" fillId="0" borderId="6" xfId="0" applyNumberFormat="1" applyFont="1" applyBorder="1">
      <alignment vertical="center"/>
    </xf>
    <xf numFmtId="178" fontId="3" fillId="0" borderId="19" xfId="0" applyNumberFormat="1" applyFont="1" applyBorder="1">
      <alignment vertical="center"/>
    </xf>
    <xf numFmtId="178" fontId="3" fillId="0" borderId="11" xfId="0" applyNumberFormat="1" applyFont="1" applyBorder="1">
      <alignment vertical="center"/>
    </xf>
    <xf numFmtId="178" fontId="3" fillId="0" borderId="7" xfId="0" applyNumberFormat="1" applyFont="1" applyBorder="1">
      <alignment vertical="center"/>
    </xf>
    <xf numFmtId="178" fontId="3" fillId="0" borderId="21" xfId="0" applyNumberFormat="1" applyFont="1" applyBorder="1">
      <alignment vertical="center"/>
    </xf>
    <xf numFmtId="178" fontId="3" fillId="4" borderId="24" xfId="0" applyNumberFormat="1" applyFont="1" applyFill="1" applyBorder="1">
      <alignment vertical="center"/>
    </xf>
    <xf numFmtId="178" fontId="3" fillId="4" borderId="25" xfId="0" applyNumberFormat="1" applyFont="1" applyFill="1" applyBorder="1">
      <alignment vertical="center"/>
    </xf>
    <xf numFmtId="178" fontId="3" fillId="4" borderId="26" xfId="0" applyNumberFormat="1" applyFont="1" applyFill="1" applyBorder="1">
      <alignment vertical="center"/>
    </xf>
    <xf numFmtId="178" fontId="3" fillId="0" borderId="10" xfId="0" applyNumberFormat="1" applyFont="1" applyBorder="1">
      <alignment vertical="center"/>
    </xf>
    <xf numFmtId="178" fontId="3" fillId="0" borderId="4" xfId="0" applyNumberFormat="1" applyFont="1" applyBorder="1">
      <alignment vertical="center"/>
    </xf>
    <xf numFmtId="178" fontId="3" fillId="0" borderId="32" xfId="0" applyNumberFormat="1" applyFont="1" applyBorder="1">
      <alignment vertical="center"/>
    </xf>
    <xf numFmtId="178" fontId="3" fillId="0" borderId="33" xfId="0" applyNumberFormat="1" applyFont="1" applyBorder="1">
      <alignment vertical="center"/>
    </xf>
    <xf numFmtId="178" fontId="3" fillId="0" borderId="34" xfId="0" applyNumberFormat="1" applyFont="1" applyBorder="1">
      <alignment vertical="center"/>
    </xf>
    <xf numFmtId="178" fontId="3" fillId="0" borderId="35" xfId="0" applyNumberFormat="1" applyFont="1" applyBorder="1">
      <alignment vertical="center"/>
    </xf>
    <xf numFmtId="178" fontId="3" fillId="0" borderId="40" xfId="0" applyNumberFormat="1" applyFont="1" applyBorder="1">
      <alignment vertical="center"/>
    </xf>
    <xf numFmtId="178" fontId="3" fillId="0" borderId="41" xfId="0" applyNumberFormat="1" applyFont="1" applyBorder="1">
      <alignment vertical="center"/>
    </xf>
    <xf numFmtId="178" fontId="3" fillId="0" borderId="42" xfId="0" applyNumberFormat="1" applyFont="1" applyBorder="1">
      <alignment vertical="center"/>
    </xf>
    <xf numFmtId="178" fontId="3" fillId="0" borderId="43" xfId="0" applyNumberFormat="1" applyFont="1" applyBorder="1">
      <alignment vertical="center"/>
    </xf>
    <xf numFmtId="0" fontId="9" fillId="0" borderId="0" xfId="0" applyFont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4" fillId="7" borderId="45" xfId="0" applyFont="1" applyFill="1" applyBorder="1">
      <alignment vertical="center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0" xfId="0" applyNumberFormat="1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2" xfId="0" applyFont="1" applyFill="1" applyBorder="1">
      <alignment vertical="center"/>
    </xf>
    <xf numFmtId="0" fontId="12" fillId="2" borderId="14" xfId="0" applyFont="1" applyFill="1" applyBorder="1">
      <alignment vertical="center"/>
    </xf>
    <xf numFmtId="0" fontId="11" fillId="2" borderId="3" xfId="0" applyFont="1" applyFill="1" applyBorder="1">
      <alignment vertical="center"/>
    </xf>
    <xf numFmtId="179" fontId="6" fillId="4" borderId="38" xfId="0" applyNumberFormat="1" applyFont="1" applyFill="1" applyBorder="1" applyAlignment="1">
      <alignment horizontal="center" vertical="center"/>
    </xf>
    <xf numFmtId="179" fontId="6" fillId="4" borderId="39" xfId="0" applyNumberFormat="1" applyFont="1" applyFill="1" applyBorder="1" applyAlignment="1">
      <alignment horizontal="center" vertical="center"/>
    </xf>
    <xf numFmtId="179" fontId="4" fillId="4" borderId="29" xfId="0" applyNumberFormat="1" applyFont="1" applyFill="1" applyBorder="1" applyAlignment="1">
      <alignment horizontal="center" vertical="center"/>
    </xf>
    <xf numFmtId="179" fontId="4" fillId="4" borderId="30" xfId="0" applyNumberFormat="1" applyFont="1" applyFill="1" applyBorder="1" applyAlignment="1">
      <alignment horizontal="center" vertical="center"/>
    </xf>
    <xf numFmtId="179" fontId="4" fillId="3" borderId="9" xfId="0" applyNumberFormat="1" applyFont="1" applyFill="1" applyBorder="1" applyAlignment="1">
      <alignment horizontal="center" vertical="center"/>
    </xf>
    <xf numFmtId="179" fontId="4" fillId="3" borderId="6" xfId="0" applyNumberFormat="1" applyFont="1" applyFill="1" applyBorder="1" applyAlignment="1">
      <alignment horizontal="center" vertical="center"/>
    </xf>
    <xf numFmtId="179" fontId="4" fillId="3" borderId="19" xfId="0" applyNumberFormat="1" applyFont="1" applyFill="1" applyBorder="1" applyAlignment="1">
      <alignment horizontal="center" vertical="center"/>
    </xf>
    <xf numFmtId="179" fontId="4" fillId="3" borderId="11" xfId="0" applyNumberFormat="1" applyFont="1" applyFill="1" applyBorder="1" applyAlignment="1">
      <alignment horizontal="center" vertical="center"/>
    </xf>
    <xf numFmtId="179" fontId="4" fillId="3" borderId="7" xfId="0" applyNumberFormat="1" applyFont="1" applyFill="1" applyBorder="1" applyAlignment="1">
      <alignment horizontal="center" vertical="center"/>
    </xf>
    <xf numFmtId="179" fontId="4" fillId="3" borderId="21" xfId="0" applyNumberFormat="1" applyFont="1" applyFill="1" applyBorder="1" applyAlignment="1">
      <alignment horizontal="center" vertical="center"/>
    </xf>
    <xf numFmtId="179" fontId="4" fillId="4" borderId="8" xfId="0" applyNumberFormat="1" applyFont="1" applyFill="1" applyBorder="1" applyAlignment="1">
      <alignment horizontal="center" vertical="center"/>
    </xf>
    <xf numFmtId="179" fontId="4" fillId="4" borderId="17" xfId="0" applyNumberFormat="1" applyFont="1" applyFill="1" applyBorder="1" applyAlignment="1">
      <alignment horizontal="center" vertical="center"/>
    </xf>
    <xf numFmtId="179" fontId="4" fillId="3" borderId="10" xfId="0" applyNumberFormat="1" applyFont="1" applyFill="1" applyBorder="1" applyAlignment="1">
      <alignment horizontal="center" vertical="center"/>
    </xf>
    <xf numFmtId="179" fontId="4" fillId="3" borderId="4" xfId="0" applyNumberFormat="1" applyFont="1" applyFill="1" applyBorder="1" applyAlignment="1">
      <alignment horizontal="center" vertical="center"/>
    </xf>
    <xf numFmtId="179" fontId="4" fillId="3" borderId="22" xfId="0" applyNumberFormat="1" applyFont="1" applyFill="1" applyBorder="1" applyAlignment="1">
      <alignment horizontal="center" vertical="center"/>
    </xf>
    <xf numFmtId="179" fontId="4" fillId="3" borderId="0" xfId="0" applyNumberFormat="1" applyFont="1" applyFill="1" applyBorder="1" applyAlignment="1">
      <alignment horizontal="center" vertical="center"/>
    </xf>
    <xf numFmtId="179" fontId="4" fillId="3" borderId="44" xfId="0" applyNumberFormat="1" applyFont="1" applyFill="1" applyBorder="1" applyAlignment="1">
      <alignment horizontal="center" vertical="center"/>
    </xf>
    <xf numFmtId="179" fontId="4" fillId="8" borderId="8" xfId="0" applyNumberFormat="1" applyFont="1" applyFill="1" applyBorder="1" applyAlignment="1">
      <alignment horizontal="center" vertical="center"/>
    </xf>
    <xf numFmtId="179" fontId="4" fillId="8" borderId="17" xfId="0" applyNumberFormat="1" applyFont="1" applyFill="1" applyBorder="1" applyAlignment="1">
      <alignment horizontal="center" vertical="center"/>
    </xf>
    <xf numFmtId="0" fontId="9" fillId="0" borderId="0" xfId="0" applyFont="1" applyBorder="1" applyAlignment="1">
      <alignment horizontal="left" vertical="center"/>
    </xf>
    <xf numFmtId="0" fontId="9" fillId="0" borderId="0" xfId="0" applyFont="1" applyBorder="1">
      <alignment vertical="center"/>
    </xf>
    <xf numFmtId="0" fontId="10" fillId="0" borderId="0" xfId="0" applyFont="1" applyBorder="1">
      <alignment vertical="center"/>
    </xf>
    <xf numFmtId="0" fontId="10" fillId="0" borderId="0" xfId="0" applyFont="1" applyBorder="1" applyAlignment="1">
      <alignment horizontal="left" vertical="center"/>
    </xf>
    <xf numFmtId="0" fontId="3" fillId="0" borderId="0" xfId="0" applyFont="1" applyBorder="1">
      <alignment vertical="center"/>
    </xf>
    <xf numFmtId="0" fontId="3" fillId="0" borderId="0" xfId="0" applyFont="1" applyBorder="1" applyAlignment="1">
      <alignment horizontal="left" vertical="center"/>
    </xf>
    <xf numFmtId="0" fontId="8" fillId="0" borderId="0" xfId="0" applyFont="1" applyBorder="1">
      <alignment vertical="center"/>
    </xf>
    <xf numFmtId="0" fontId="8" fillId="0" borderId="0" xfId="0" applyFont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NumberFormat="1" applyFont="1" applyFill="1" applyBorder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NumberFormat="1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180" fontId="3" fillId="4" borderId="23" xfId="0" applyNumberFormat="1" applyFont="1" applyFill="1" applyBorder="1">
      <alignment vertical="center"/>
    </xf>
    <xf numFmtId="180" fontId="3" fillId="4" borderId="24" xfId="0" applyNumberFormat="1" applyFont="1" applyFill="1" applyBorder="1">
      <alignment vertical="center"/>
    </xf>
    <xf numFmtId="180" fontId="3" fillId="4" borderId="25" xfId="0" applyNumberFormat="1" applyFont="1" applyFill="1" applyBorder="1">
      <alignment vertical="center"/>
    </xf>
    <xf numFmtId="180" fontId="3" fillId="4" borderId="26" xfId="0" applyNumberFormat="1" applyFont="1" applyFill="1" applyBorder="1">
      <alignment vertical="center"/>
    </xf>
    <xf numFmtId="0" fontId="6" fillId="2" borderId="36" xfId="0" applyFont="1" applyFill="1" applyBorder="1" applyAlignment="1">
      <alignment horizontal="center" vertical="center"/>
    </xf>
    <xf numFmtId="14" fontId="2" fillId="10" borderId="46" xfId="0" applyNumberFormat="1" applyFont="1" applyFill="1" applyBorder="1" applyAlignment="1">
      <alignment horizontal="center" vertical="center"/>
    </xf>
    <xf numFmtId="179" fontId="9" fillId="2" borderId="0" xfId="0" applyNumberFormat="1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FFFF99"/>
      <color rgb="FFFEF7E4"/>
      <color rgb="FFCCFF99"/>
      <color rgb="FFFF9999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3.355</v>
        <stp/>
        <stp>P</stp>
        <stp>0</stp>
        <stp>IR</stp>
        <stp>BONDAVG01</stp>
        <stp>10년이하(당일)</stp>
        <stp>45300</stp>
        <stp/>
        <tr r="T7" s="2"/>
      </tp>
      <tp>
        <v>3.2450000000000001</v>
        <stp/>
        <stp>P</stp>
        <stp>0</stp>
        <stp>IR</stp>
        <stp>BONDAVG01</stp>
        <stp>20년이하(당일)</stp>
        <stp>45300</stp>
        <stp/>
        <tr r="V7" s="2"/>
      </tp>
      <tp>
        <v>3.6629999999999998</v>
        <stp/>
        <stp>P</stp>
        <stp>0</stp>
        <stp>IR</stp>
        <stp>BONDAVG09</stp>
        <stp>10년이하(당일)</stp>
        <stp>45300</stp>
        <stp/>
        <tr r="T11" s="2"/>
      </tp>
      <tp>
        <v>3.5920000000000001</v>
        <stp/>
        <stp>P</stp>
        <stp>0</stp>
        <stp>IR</stp>
        <stp>BONDAVG09</stp>
        <stp>20년이하(당일)</stp>
        <stp>45300</stp>
        <stp/>
        <tr r="V11" s="2"/>
      </tp>
      <tp>
        <v>3.992</v>
        <stp/>
        <stp>P</stp>
        <stp>0</stp>
        <stp>IR</stp>
        <stp>BONDAVG11</stp>
        <stp>10년이하(당일)</stp>
        <stp>45300</stp>
        <stp/>
        <tr r="T57" s="2"/>
      </tp>
      <tp>
        <v>4.0039999999999996</v>
        <stp/>
        <stp>P</stp>
        <stp>0</stp>
        <stp>IR</stp>
        <stp>BONDAVG11</stp>
        <stp>20년이하(당일)</stp>
        <stp>45300</stp>
        <stp/>
        <tr r="V57" s="2"/>
      </tp>
      <tp>
        <v>3.8450000000000002</v>
        <stp/>
        <stp>P</stp>
        <stp>0</stp>
        <stp>IR</stp>
        <stp>BONDAVG10</stp>
        <stp>10년이하(당일)</stp>
        <stp>45300</stp>
        <stp/>
        <tr r="T42" s="2"/>
      </tp>
      <tp>
        <v>3.8370000000000002</v>
        <stp/>
        <stp>P</stp>
        <stp>0</stp>
        <stp>IR</stp>
        <stp>BONDAVG10</stp>
        <stp>20년이하(당일)</stp>
        <stp>45300</stp>
        <stp/>
        <tr r="V42" s="2"/>
      </tp>
      <tp>
        <v>3.601</v>
        <stp/>
        <stp>P</stp>
        <stp>0</stp>
        <stp>IR</stp>
        <stp>BONDAVG13</stp>
        <stp>10년이하(당일)</stp>
        <stp>45300</stp>
        <stp/>
        <tr r="T8" s="2"/>
      </tp>
      <tp>
        <v>3.5179999999999998</v>
        <stp/>
        <stp>P</stp>
        <stp>0</stp>
        <stp>IR</stp>
        <stp>BONDAVG13</stp>
        <stp>20년이하(당일)</stp>
        <stp>45300</stp>
        <stp/>
        <tr r="V8" s="2"/>
      </tp>
      <tp>
        <v>4.1070000000000002</v>
        <stp/>
        <stp>P</stp>
        <stp>0</stp>
        <stp>IR</stp>
        <stp>BONDAVG12</stp>
        <stp>10년이하(당일)</stp>
        <stp>45300</stp>
        <stp/>
        <tr r="T64" s="2"/>
      </tp>
      <tp>
        <v>4.1159999999999997</v>
        <stp/>
        <stp>P</stp>
        <stp>0</stp>
        <stp>IR</stp>
        <stp>BONDAVG12</stp>
        <stp>20년이하(당일)</stp>
        <stp>45300</stp>
        <stp/>
        <tr r="V64" s="2"/>
      </tp>
      <tp>
        <v>4.0170000000000003</v>
        <stp/>
        <stp>P</stp>
        <stp>0</stp>
        <stp>IR</stp>
        <stp>BONDAVG11</stp>
        <stp>15년이하(당일)</stp>
        <stp>45300</stp>
        <stp/>
        <tr r="U57" s="2"/>
      </tp>
      <tp>
        <v>3.8580000000000001</v>
        <stp/>
        <stp>P</stp>
        <stp>0</stp>
        <stp>IR</stp>
        <stp>BONDAVG10</stp>
        <stp>15년이하(당일)</stp>
        <stp>45300</stp>
        <stp/>
        <tr r="U42" s="2"/>
      </tp>
      <tp>
        <v>3.5779999999999998</v>
        <stp/>
        <stp>P</stp>
        <stp>0</stp>
        <stp>IR</stp>
        <stp>BONDAVG13</stp>
        <stp>15년이하(당일)</stp>
        <stp>45300</stp>
        <stp/>
        <tr r="U8" s="2"/>
      </tp>
      <tp>
        <v>4.1280000000000001</v>
        <stp/>
        <stp>P</stp>
        <stp>0</stp>
        <stp>IR</stp>
        <stp>BONDAVG12</stp>
        <stp>15년이하(당일)</stp>
        <stp>45300</stp>
        <stp/>
        <tr r="U64" s="2"/>
      </tp>
      <tp>
        <v>3.3119999999999998</v>
        <stp/>
        <stp>P</stp>
        <stp>0</stp>
        <stp>IR</stp>
        <stp>BONDAVG01</stp>
        <stp>15년이하(당일)</stp>
        <stp>45300</stp>
        <stp/>
        <tr r="U7" s="2"/>
      </tp>
      <tp>
        <v>3.645</v>
        <stp/>
        <stp>P</stp>
        <stp>0</stp>
        <stp>IR</stp>
        <stp>BONDAVG09</stp>
        <stp>15년이하(당일)</stp>
        <stp>45300</stp>
        <stp/>
        <tr r="U11" s="2"/>
      </tp>
      <tp>
        <v>3.7480000000000002</v>
        <stp/>
        <stp>P</stp>
        <stp>0</stp>
        <stp>IR</stp>
        <stp>BONDAVG10</stp>
        <stp>9월이하(당일)</stp>
        <stp>45300</stp>
        <stp/>
        <tr r="K42" s="2"/>
      </tp>
      <tp>
        <v>3.8519999999999999</v>
        <stp/>
        <stp>P</stp>
        <stp>0</stp>
        <stp>IR</stp>
        <stp>BONDAVG11</stp>
        <stp>9월이하(당일)</stp>
        <stp>45300</stp>
        <stp/>
        <tr r="K57" s="2"/>
      </tp>
      <tp>
        <v>3.9620000000000002</v>
        <stp/>
        <stp>P</stp>
        <stp>0</stp>
        <stp>IR</stp>
        <stp>BONDAVG12</stp>
        <stp>9월이하(당일)</stp>
        <stp>45300</stp>
        <stp/>
        <tr r="K64" s="2"/>
      </tp>
      <tp>
        <v>3.5489999999999999</v>
        <stp/>
        <stp>P</stp>
        <stp>0</stp>
        <stp>IR</stp>
        <stp>BONDAVG13</stp>
        <stp>9월이하(당일)</stp>
        <stp>45300</stp>
        <stp/>
        <tr r="K8" s="2"/>
      </tp>
      <tp>
        <v>3.4830000000000001</v>
        <stp/>
        <stp>P</stp>
        <stp>0</stp>
        <stp>IR</stp>
        <stp>BONDAVG01</stp>
        <stp>9월이하(당일)</stp>
        <stp>45300</stp>
        <stp/>
        <tr r="K7" s="2"/>
      </tp>
      <tp>
        <v>3.6509999999999998</v>
        <stp/>
        <stp>P</stp>
        <stp>0</stp>
        <stp>IR</stp>
        <stp>BONDAVG09</stp>
        <stp>9월이하(당일)</stp>
        <stp>45300</stp>
        <stp/>
        <tr r="K11" s="2"/>
      </tp>
      <tp>
        <v>3.677</v>
        <stp/>
        <stp>P</stp>
        <stp>0</stp>
        <stp>IR</stp>
        <stp>BONDAVG10</stp>
        <stp>3월이하(당일)</stp>
        <stp>45300</stp>
        <stp/>
        <tr r="I42" s="2"/>
      </tp>
      <tp>
        <v>3.76</v>
        <stp/>
        <stp>P</stp>
        <stp>0</stp>
        <stp>IR</stp>
        <stp>BONDAVG11</stp>
        <stp>3월이하(당일)</stp>
        <stp>45300</stp>
        <stp/>
        <tr r="I57" s="2"/>
      </tp>
      <tp>
        <v>3.8610000000000002</v>
        <stp/>
        <stp>P</stp>
        <stp>0</stp>
        <stp>IR</stp>
        <stp>BONDAVG12</stp>
        <stp>3월이하(당일)</stp>
        <stp>45300</stp>
        <stp/>
        <tr r="I64" s="2"/>
      </tp>
      <tp>
        <v>3.5339999999999998</v>
        <stp/>
        <stp>P</stp>
        <stp>0</stp>
        <stp>IR</stp>
        <stp>BONDAVG13</stp>
        <stp>3월이하(당일)</stp>
        <stp>45300</stp>
        <stp/>
        <tr r="I8" s="2"/>
      </tp>
      <tp>
        <v>3.488</v>
        <stp/>
        <stp>P</stp>
        <stp>0</stp>
        <stp>IR</stp>
        <stp>BONDAVG01</stp>
        <stp>3월이하(당일)</stp>
        <stp>45300</stp>
        <stp/>
        <tr r="I7" s="2"/>
      </tp>
      <tp>
        <v>3.6349999999999998</v>
        <stp/>
        <stp>P</stp>
        <stp>0</stp>
        <stp>IR</stp>
        <stp>BONDAVG09</stp>
        <stp>3월이하(당일)</stp>
        <stp>45300</stp>
        <stp/>
        <tr r="I11" s="2"/>
      </tp>
      <tp>
        <v>3.7509999999999999</v>
        <stp/>
        <stp>P</stp>
        <stp>0</stp>
        <stp>IR</stp>
        <stp>BONDAVG10</stp>
        <stp>6월이하(당일)</stp>
        <stp>45300</stp>
        <stp/>
        <tr r="J42" s="2"/>
      </tp>
      <tp>
        <v>3.8370000000000002</v>
        <stp/>
        <stp>P</stp>
        <stp>0</stp>
        <stp>IR</stp>
        <stp>BONDAVG11</stp>
        <stp>6월이하(당일)</stp>
        <stp>45300</stp>
        <stp/>
        <tr r="J57" s="2"/>
      </tp>
      <tp>
        <v>3.944</v>
        <stp/>
        <stp>P</stp>
        <stp>0</stp>
        <stp>IR</stp>
        <stp>BONDAVG12</stp>
        <stp>6월이하(당일)</stp>
        <stp>45300</stp>
        <stp/>
        <tr r="J64" s="2"/>
      </tp>
      <tp>
        <v>3.5459999999999998</v>
        <stp/>
        <stp>P</stp>
        <stp>0</stp>
        <stp>IR</stp>
        <stp>BONDAVG13</stp>
        <stp>6월이하(당일)</stp>
        <stp>45300</stp>
        <stp/>
        <tr r="J8" s="2"/>
      </tp>
      <tp>
        <v>3.4710000000000001</v>
        <stp/>
        <stp>P</stp>
        <stp>0</stp>
        <stp>IR</stp>
        <stp>BONDAVG01</stp>
        <stp>6월이하(당일)</stp>
        <stp>45300</stp>
        <stp/>
        <tr r="J7" s="2"/>
      </tp>
      <tp>
        <v>3.6669999999999998</v>
        <stp/>
        <stp>P</stp>
        <stp>0</stp>
        <stp>IR</stp>
        <stp>BONDAVG09</stp>
        <stp>6월이하(당일)</stp>
        <stp>45300</stp>
        <stp/>
        <tr r="J11" s="2"/>
      </tp>
      <tp>
        <v>3.6520000000000001</v>
        <stp/>
        <stp>P</stp>
        <stp>0</stp>
        <stp>IR</stp>
        <stp>BONDAVG56490</stp>
        <stp>2년이하(당일)</stp>
        <stp>45300</stp>
        <stp/>
        <tr r="N40" s="2"/>
      </tp>
      <tp>
        <v>3.694</v>
        <stp/>
        <stp>P</stp>
        <stp>0</stp>
        <stp>IR</stp>
        <stp>BONDAVG09587</stp>
        <stp>3년이하(당일)</stp>
        <stp>45300</stp>
        <stp/>
        <tr r="P20" s="2"/>
      </tp>
      <tp>
        <v>3.6619999999999999</v>
        <stp/>
        <stp>P</stp>
        <stp>0</stp>
        <stp>IR</stp>
        <stp>BONDAVG03432</stp>
        <stp>2년이하(당일)</stp>
        <stp>45300</stp>
        <stp/>
        <tr r="N16" s="2"/>
      </tp>
      <tp>
        <v>3.8130000000000002</v>
        <stp/>
        <stp>P</stp>
        <stp>0</stp>
        <stp>IR</stp>
        <stp>BONDAVG04130</stp>
        <stp>7년이하(당일)</stp>
        <stp>45300</stp>
        <stp/>
        <tr r="S12" s="2"/>
      </tp>
      <tp>
        <v>3.6749999999999998</v>
        <stp/>
        <stp>P</stp>
        <stp>0</stp>
        <stp>IR</stp>
        <stp>BONDAVG03523</stp>
        <stp>3년이하(당일)</stp>
        <stp>45300</stp>
        <stp/>
        <tr r="P21" s="2"/>
      </tp>
      <tp>
        <v>3.6480000000000001</v>
        <stp/>
        <stp>P</stp>
        <stp>0</stp>
        <stp>IR</stp>
        <stp>BONDAVG14727</stp>
        <stp>1년이하(당일)</stp>
        <stp>45300</stp>
        <stp/>
        <tr r="L25" s="2"/>
      </tp>
      <tp>
        <v>3.621</v>
        <stp/>
        <stp>P</stp>
        <stp>0</stp>
        <stp>IR</stp>
        <stp>BONDAVG13327</stp>
        <stp>5년이하(당일)</stp>
        <stp>45300</stp>
        <stp/>
        <tr r="R32" s="2"/>
      </tp>
      <tp>
        <v>3.62</v>
        <stp/>
        <stp>P</stp>
        <stp>0</stp>
        <stp>IR</stp>
        <stp>BONDAVG04324</stp>
        <stp>5년이하(당일)</stp>
        <stp>45300</stp>
        <stp/>
        <tr r="R33" s="2"/>
      </tp>
      <tp>
        <v>3.8519999999999999</v>
        <stp/>
        <stp>P</stp>
        <stp>0</stp>
        <stp>IR</stp>
        <stp>BONDAVG12425</stp>
        <stp>2년이하(당일)</stp>
        <stp>45300</stp>
        <stp/>
        <tr r="N45" s="2"/>
      </tp>
      <tp>
        <v>3.9049999999999998</v>
        <stp/>
        <stp>P</stp>
        <stp>0</stp>
        <stp>IR</stp>
        <stp>BONDAVG13328</stp>
        <stp>5년이하(당일)</stp>
        <stp>45300</stp>
        <stp/>
        <tr r="R43" s="2"/>
      </tp>
      <tp>
        <v>3.7869999999999999</v>
        <stp/>
        <stp>P</stp>
        <stp>0</stp>
        <stp>IR</stp>
        <stp>BONDAVG65214</stp>
        <stp>4년이하(당일)</stp>
        <stp>45300</stp>
        <stp/>
        <tr r="Q13" s="2"/>
      </tp>
      <tp>
        <v>3.629</v>
        <stp/>
        <stp>P</stp>
        <stp>0</stp>
        <stp>IR</stp>
        <stp>BONDAVG52517</stp>
        <stp>3년이하(당일)</stp>
        <stp>45300</stp>
        <stp/>
        <tr r="P34" s="2"/>
      </tp>
      <tp>
        <v>4.1349999999999998</v>
        <stp/>
        <stp>P</stp>
        <stp>0</stp>
        <stp>IR</stp>
        <stp>BONDAVG19305</stp>
        <stp>5년이하(당일)</stp>
        <stp>45300</stp>
        <stp/>
        <tr r="R63" s="2"/>
      </tp>
      <tp>
        <v>3.819</v>
        <stp/>
        <stp>P</stp>
        <stp>0</stp>
        <stp>IR</stp>
        <stp>BONDAVG13509</stp>
        <stp>3년이하(당일)</stp>
        <stp>45300</stp>
        <stp/>
        <tr r="P56" s="2"/>
      </tp>
      <tp>
        <v>3.95</v>
        <stp/>
        <stp>P</stp>
        <stp>0</stp>
        <stp>IR</stp>
        <stp>BONDAVG08573</stp>
        <stp>3년이하(당일)</stp>
        <stp>45300</stp>
        <stp/>
        <tr r="P53" s="2"/>
      </tp>
      <tp>
        <v>3.6539999999999999</v>
        <stp/>
        <stp>P</stp>
        <stp>0</stp>
        <stp>IR</stp>
        <stp>BONDAVG08572</stp>
        <stp>3년이하(당일)</stp>
        <stp>45300</stp>
        <stp/>
        <tr r="P14" s="2"/>
      </tp>
      <tp>
        <v>3.6840000000000002</v>
        <stp/>
        <stp>P</stp>
        <stp>0</stp>
        <stp>IR</stp>
        <stp>BONDAVG03776</stp>
        <stp>1년이하(당일)</stp>
        <stp>45300</stp>
        <stp/>
        <tr r="L29" s="2"/>
      </tp>
      <tp>
        <v>3.7930000000000001</v>
        <stp/>
        <stp>P</stp>
        <stp>0</stp>
        <stp>IR</stp>
        <stp>BONDAVG01576</stp>
        <stp>3년이하(당일)</stp>
        <stp>45300</stp>
        <stp/>
        <tr r="P36" s="2"/>
      </tp>
      <tp>
        <v>3.702</v>
        <stp/>
        <stp>P</stp>
        <stp>0</stp>
        <stp>IR</stp>
        <stp>BONDAVG60279</stp>
        <stp>4년이하(당일)</stp>
        <stp>45300</stp>
        <stp/>
        <tr r="Q41" s="2"/>
      </tp>
      <tp>
        <v>3.7160000000000002</v>
        <stp/>
        <stp>P</stp>
        <stp>0</stp>
        <stp>IR</stp>
        <stp>BONDAVG61461</stp>
        <stp>2년이하(당일)</stp>
        <stp>45300</stp>
        <stp/>
        <tr r="N30" s="2"/>
      </tp>
      <tp>
        <v>4.0510000000000002</v>
        <stp/>
        <stp>P</stp>
        <stp>0</stp>
        <stp>IR</stp>
        <stp>BONDAVG16253</stp>
        <stp>4년이하(당일)</stp>
        <stp>45300</stp>
        <stp/>
        <tr r="Q62" s="2"/>
      </tp>
      <tp>
        <v>4.1269999999999998</v>
        <stp/>
        <stp>P</stp>
        <stp>0</stp>
        <stp>IR</stp>
        <stp>BONDAVG62757</stp>
        <stp>1년이하(당일)</stp>
        <stp>45300</stp>
        <stp/>
        <tr r="L59" s="2"/>
      </tp>
      <tp>
        <v>3.8069999999999999</v>
        <stp/>
        <stp>P</stp>
        <stp>0</stp>
        <stp>IR</stp>
        <stp>BONDAVG12455</stp>
        <stp>2년이하(당일)</stp>
        <stp>45300</stp>
        <stp/>
        <tr r="N54" s="2"/>
      </tp>
      <tp>
        <v>3.7789999999999999</v>
        <stp/>
        <stp>P</stp>
        <stp>0</stp>
        <stp>IR</stp>
        <stp>BONDAVG53551</stp>
        <stp>3년이하(당일)</stp>
        <stp>45300</stp>
        <stp/>
        <tr r="P19" s="2"/>
      </tp>
      <tp>
        <v>3.6509999999999998</v>
        <stp/>
        <stp>P</stp>
        <stp>0</stp>
        <stp>IR</stp>
        <stp>BONDAVG41543</stp>
        <stp>3년이하(당일)</stp>
        <stp>45300</stp>
        <stp/>
        <tr r="P23" s="2"/>
      </tp>
      <tp>
        <v>3.8239999999999998</v>
        <stp/>
        <stp>P</stp>
        <stp>0</stp>
        <stp>IR</stp>
        <stp>BONDAVG12544</stp>
        <stp>3년이하(당일)</stp>
        <stp>45300</stp>
        <stp/>
        <tr r="P55" s="2"/>
      </tp>
      <tp>
        <v>4.0810000000000004</v>
        <stp/>
        <stp>P</stp>
        <stp>0</stp>
        <stp>IR</stp>
        <stp>BONDAVG64349</stp>
        <stp>5년이하(당일)</stp>
        <stp>45300</stp>
        <stp/>
        <tr r="R61" s="2"/>
      </tp>
      <tp>
        <v>3.6440000000000001</v>
        <stp/>
        <stp>P</stp>
        <stp>0</stp>
        <stp>IR</stp>
        <stp>BONDAVG56490</stp>
        <stp>3년이하(당일)</stp>
        <stp>45300</stp>
        <stp/>
        <tr r="P40" s="2"/>
      </tp>
      <tp>
        <v>3.653</v>
        <stp/>
        <stp>P</stp>
        <stp>0</stp>
        <stp>IR</stp>
        <stp>BONDAVG10095</stp>
        <stp>7년이하(당일)</stp>
        <stp>45300</stp>
        <stp/>
        <tr r="S38" s="2"/>
      </tp>
      <tp>
        <v>3.613</v>
        <stp/>
        <stp>P</stp>
        <stp>0</stp>
        <stp>IR</stp>
        <stp>BONDAVG08683</stp>
        <stp>1년이하(당일)</stp>
        <stp>45300</stp>
        <stp/>
        <tr r="L28" s="2"/>
      </tp>
      <tp>
        <v>3.7450000000000001</v>
        <stp/>
        <stp>P</stp>
        <stp>0</stp>
        <stp>IR</stp>
        <stp>BONDAVG11686</stp>
        <stp>1년이하(당일)</stp>
        <stp>45300</stp>
        <stp/>
        <tr r="L44" s="2"/>
      </tp>
      <tp>
        <v>3.7040000000000002</v>
        <stp/>
        <stp>P</stp>
        <stp>0</stp>
        <stp>IR</stp>
        <stp>BONDAVG09587</stp>
        <stp>2년이하(당일)</stp>
        <stp>45300</stp>
        <stp/>
        <tr r="N20" s="2"/>
      </tp>
      <tp>
        <v>3.657</v>
        <stp/>
        <stp>P</stp>
        <stp>0</stp>
        <stp>IR</stp>
        <stp>BONDAVG03432</stp>
        <stp>3년이하(당일)</stp>
        <stp>45300</stp>
        <stp/>
        <tr r="P16" s="2"/>
      </tp>
      <tp>
        <v>3.6859999999999999</v>
        <stp/>
        <stp>P</stp>
        <stp>0</stp>
        <stp>IR</stp>
        <stp>BONDAVG03523</stp>
        <stp>2년이하(당일)</stp>
        <stp>45300</stp>
        <stp/>
        <tr r="N21" s="2"/>
      </tp>
      <tp>
        <v>3.798</v>
        <stp/>
        <stp>P</stp>
        <stp>0</stp>
        <stp>IR</stp>
        <stp>BONDAVG04021</stp>
        <stp>7년이하(당일)</stp>
        <stp>45300</stp>
        <stp/>
        <tr r="S50" s="2"/>
      </tp>
      <tp>
        <v>3.65</v>
        <stp/>
        <stp>P</stp>
        <stp>0</stp>
        <stp>IR</stp>
        <stp>BONDAVG13327</stp>
        <stp>4년이하(당일)</stp>
        <stp>45300</stp>
        <stp/>
        <tr r="Q32" s="2"/>
      </tp>
      <tp>
        <v>3.649</v>
        <stp/>
        <stp>P</stp>
        <stp>0</stp>
        <stp>IR</stp>
        <stp>BONDAVG04324</stp>
        <stp>4년이하(당일)</stp>
        <stp>45300</stp>
        <stp/>
        <tr r="Q33" s="2"/>
      </tp>
      <tp>
        <v>3.839</v>
        <stp/>
        <stp>P</stp>
        <stp>0</stp>
        <stp>IR</stp>
        <stp>BONDAVG12425</stp>
        <stp>3년이하(당일)</stp>
        <stp>45300</stp>
        <stp/>
        <tr r="P45" s="2"/>
      </tp>
      <tp>
        <v>3.9329999999999998</v>
        <stp/>
        <stp>P</stp>
        <stp>0</stp>
        <stp>IR</stp>
        <stp>BONDAVG13328</stp>
        <stp>4년이하(당일)</stp>
        <stp>45300</stp>
        <stp/>
        <tr r="Q43" s="2"/>
      </tp>
      <tp>
        <v>3.7490000000000001</v>
        <stp/>
        <stp>P</stp>
        <stp>0</stp>
        <stp>IR</stp>
        <stp>BONDAVG65214</stp>
        <stp>5년이하(당일)</stp>
        <stp>45300</stp>
        <stp/>
        <tr r="R13" s="2"/>
      </tp>
      <tp>
        <v>3.641</v>
        <stp/>
        <stp>P</stp>
        <stp>0</stp>
        <stp>IR</stp>
        <stp>BONDAVG52517</stp>
        <stp>2년이하(당일)</stp>
        <stp>45300</stp>
        <stp/>
        <tr r="N34" s="2"/>
      </tp>
      <tp>
        <v>3.629</v>
        <stp/>
        <stp>P</stp>
        <stp>0</stp>
        <stp>IR</stp>
        <stp>BONDAVG04019</stp>
        <stp>7년이하(당일)</stp>
        <stp>45300</stp>
        <stp/>
        <tr r="S15" s="2"/>
      </tp>
      <tp>
        <v>4.0270000000000001</v>
        <stp/>
        <stp>P</stp>
        <stp>0</stp>
        <stp>IR</stp>
        <stp>BONDAVG64605</stp>
        <stp>1년이하(당일)</stp>
        <stp>45300</stp>
        <stp/>
        <tr r="L58" s="2"/>
      </tp>
      <tp>
        <v>3.6160000000000001</v>
        <stp/>
        <stp>P</stp>
        <stp>0</stp>
        <stp>IR</stp>
        <stp>BONDAVG03602</stp>
        <stp>1년이하(당일)</stp>
        <stp>45300</stp>
        <stp/>
        <tr r="L35" s="2"/>
      </tp>
      <tp>
        <v>3.653</v>
        <stp/>
        <stp>P</stp>
        <stp>0</stp>
        <stp>IR</stp>
        <stp>BONDAVG12600</stp>
        <stp>1년이하(당일)</stp>
        <stp>45300</stp>
        <stp/>
        <tr r="L18" s="2"/>
      </tp>
      <tp>
        <v>3.92</v>
        <stp/>
        <stp>P</stp>
        <stp>0</stp>
        <stp>IR</stp>
        <stp>BONDAVG56601</stp>
        <stp>1년이하(당일)</stp>
        <stp>45300</stp>
        <stp/>
        <tr r="L60" s="2"/>
      </tp>
      <tp>
        <v>3.8580000000000001</v>
        <stp/>
        <stp>P</stp>
        <stp>0</stp>
        <stp>IR</stp>
        <stp>BONDAVG04004</stp>
        <stp>7년이하(당일)</stp>
        <stp>45300</stp>
        <stp/>
        <tr r="S47" s="2"/>
      </tp>
      <tp>
        <v>4.157</v>
        <stp/>
        <stp>P</stp>
        <stp>0</stp>
        <stp>IR</stp>
        <stp>BONDAVG19305</stp>
        <stp>4년이하(당일)</stp>
        <stp>45300</stp>
        <stp/>
        <tr r="Q63" s="2"/>
      </tp>
      <tp>
        <v>3.8159999999999998</v>
        <stp/>
        <stp>P</stp>
        <stp>0</stp>
        <stp>IR</stp>
        <stp>BONDAVG13509</stp>
        <stp>2년이하(당일)</stp>
        <stp>45300</stp>
        <stp/>
        <tr r="N56" s="2"/>
      </tp>
      <tp>
        <v>3.9380000000000002</v>
        <stp/>
        <stp>P</stp>
        <stp>0</stp>
        <stp>IR</stp>
        <stp>BONDAVG08573</stp>
        <stp>2년이하(당일)</stp>
        <stp>45300</stp>
        <stp/>
        <tr r="N53" s="2"/>
      </tp>
      <tp>
        <v>3.6659999999999999</v>
        <stp/>
        <stp>P</stp>
        <stp>0</stp>
        <stp>IR</stp>
        <stp>BONDAVG08572</stp>
        <stp>2년이하(당일)</stp>
        <stp>45300</stp>
        <stp/>
        <tr r="N14" s="2"/>
      </tp>
      <tp>
        <v>3.7669999999999999</v>
        <stp/>
        <stp>P</stp>
        <stp>0</stp>
        <stp>IR</stp>
        <stp>BONDAVG01576</stp>
        <stp>2년이하(당일)</stp>
        <stp>45300</stp>
        <stp/>
        <tr r="N36" s="2"/>
      </tp>
      <tp>
        <v>3.6179999999999999</v>
        <stp/>
        <stp>P</stp>
        <stp>0</stp>
        <stp>IR</stp>
        <stp>BONDAVG15678</stp>
        <stp>1년이하(당일)</stp>
        <stp>45300</stp>
        <stp/>
        <tr r="L39" s="2"/>
      </tp>
      <tp>
        <v>3.6709999999999998</v>
        <stp/>
        <stp>P</stp>
        <stp>0</stp>
        <stp>IR</stp>
        <stp>BONDAVG60279</stp>
        <stp>5년이하(당일)</stp>
        <stp>45300</stp>
        <stp/>
        <tr r="R41" s="2"/>
      </tp>
      <tp>
        <v>3.637</v>
        <stp/>
        <stp>P</stp>
        <stp>0</stp>
        <stp>IR</stp>
        <stp>BONDAVG10062</stp>
        <stp>7년이하(당일)</stp>
        <stp>45300</stp>
        <stp/>
        <tr r="S26" s="2"/>
      </tp>
      <tp>
        <v>3.8180000000000001</v>
        <stp/>
        <stp>P</stp>
        <stp>0</stp>
        <stp>IR</stp>
        <stp>BONDAVG04067</stp>
        <stp>7년이하(당일)</stp>
        <stp>45300</stp>
        <stp/>
        <tr r="S49" s="2"/>
      </tp>
      <tp>
        <v>3.7069999999999999</v>
        <stp/>
        <stp>P</stp>
        <stp>0</stp>
        <stp>IR</stp>
        <stp>BONDAVG61461</stp>
        <stp>3년이하(당일)</stp>
        <stp>45300</stp>
        <stp/>
        <tr r="P30" s="2"/>
      </tp>
      <tp>
        <v>4.0250000000000004</v>
        <stp/>
        <stp>P</stp>
        <stp>0</stp>
        <stp>IR</stp>
        <stp>BONDAVG16253</stp>
        <stp>5년이하(당일)</stp>
        <stp>45300</stp>
        <stp/>
        <tr r="R62" s="2"/>
      </tp>
      <tp>
        <v>3.81</v>
        <stp/>
        <stp>P</stp>
        <stp>0</stp>
        <stp>IR</stp>
        <stp>BONDAVG12455</stp>
        <stp>3년이하(당일)</stp>
        <stp>45300</stp>
        <stp/>
        <tr r="P54" s="2"/>
      </tp>
      <tp>
        <v>3.7709999999999999</v>
        <stp/>
        <stp>P</stp>
        <stp>0</stp>
        <stp>IR</stp>
        <stp>BONDAVG53551</stp>
        <stp>2년이하(당일)</stp>
        <stp>45300</stp>
        <stp/>
        <tr r="N19" s="2"/>
      </tp>
      <tp>
        <v>3.66</v>
        <stp/>
        <stp>P</stp>
        <stp>0</stp>
        <stp>IR</stp>
        <stp>BONDAVG41543</stp>
        <stp>2년이하(당일)</stp>
        <stp>45300</stp>
        <stp/>
        <tr r="N23" s="2"/>
      </tp>
      <tp>
        <v>3.8239999999999998</v>
        <stp/>
        <stp>P</stp>
        <stp>0</stp>
        <stp>IR</stp>
        <stp>BONDAVG12544</stp>
        <stp>2년이하(당일)</stp>
        <stp>45300</stp>
        <stp/>
        <tr r="N55" s="2"/>
      </tp>
      <tp>
        <v>4.1070000000000002</v>
        <stp/>
        <stp>P</stp>
        <stp>0</stp>
        <stp>IR</stp>
        <stp>BONDAVG64349</stp>
        <stp>4년이하(당일)</stp>
        <stp>45300</stp>
        <stp/>
        <tr r="Q61" s="2"/>
      </tp>
      <tp>
        <v>3.6709999999999998</v>
        <stp/>
        <stp>P</stp>
        <stp>0</stp>
        <stp>IR</stp>
        <stp>BONDAVG10095</stp>
        <stp>4년이하(당일)</stp>
        <stp>45300</stp>
        <stp/>
        <tr r="Q38" s="2"/>
      </tp>
      <tp>
        <v>3.6520000000000001</v>
        <stp/>
        <stp>P</stp>
        <stp>0</stp>
        <stp>IR</stp>
        <stp>BONDAVG08683</stp>
        <stp>2년이하(당일)</stp>
        <stp>45300</stp>
        <stp/>
        <tr r="N28" s="2"/>
      </tp>
      <tp>
        <v>3.823</v>
        <stp/>
        <stp>P</stp>
        <stp>0</stp>
        <stp>IR</stp>
        <stp>BONDAVG11686</stp>
        <stp>2년이하(당일)</stp>
        <stp>45300</stp>
        <stp/>
        <tr r="N44" s="2"/>
      </tp>
      <tp>
        <v>3.6640000000000001</v>
        <stp/>
        <stp>P</stp>
        <stp>0</stp>
        <stp>IR</stp>
        <stp>BONDAVG09587</stp>
        <stp>1년이하(당일)</stp>
        <stp>45300</stp>
        <stp/>
        <tr r="L20" s="2"/>
      </tp>
      <tp>
        <v>3.7970000000000002</v>
        <stp/>
        <stp>P</stp>
        <stp>0</stp>
        <stp>IR</stp>
        <stp>BONDAVG04130</stp>
        <stp>5년이하(당일)</stp>
        <stp>45300</stp>
        <stp/>
        <tr r="R12" s="2"/>
      </tp>
      <tp>
        <v>3.6640000000000001</v>
        <stp/>
        <stp>P</stp>
        <stp>0</stp>
        <stp>IR</stp>
        <stp>BONDAVG03523</stp>
        <stp>1년이하(당일)</stp>
        <stp>45300</stp>
        <stp/>
        <tr r="L21" s="2"/>
      </tp>
      <tp>
        <v>3.8090000000000002</v>
        <stp/>
        <stp>P</stp>
        <stp>0</stp>
        <stp>IR</stp>
        <stp>BONDAVG04021</stp>
        <stp>4년이하(당일)</stp>
        <stp>45300</stp>
        <stp/>
        <tr r="Q50" s="2"/>
      </tp>
      <tp>
        <v>3.6989999999999998</v>
        <stp/>
        <stp>P</stp>
        <stp>0</stp>
        <stp>IR</stp>
        <stp>BONDAVG14727</stp>
        <stp>3년이하(당일)</stp>
        <stp>45300</stp>
        <stp/>
        <tr r="P25" s="2"/>
      </tp>
      <tp>
        <v>3.6360000000000001</v>
        <stp/>
        <stp>P</stp>
        <stp>0</stp>
        <stp>IR</stp>
        <stp>BONDAVG13327</stp>
        <stp>7년이하(당일)</stp>
        <stp>45300</stp>
        <stp/>
        <tr r="S32" s="2"/>
      </tp>
      <tp>
        <v>3.6349999999999998</v>
        <stp/>
        <stp>P</stp>
        <stp>0</stp>
        <stp>IR</stp>
        <stp>BONDAVG04324</stp>
        <stp>7년이하(당일)</stp>
        <stp>45300</stp>
        <stp/>
        <tr r="S33" s="2"/>
      </tp>
      <tp>
        <v>3.952</v>
        <stp/>
        <stp>P</stp>
        <stp>0</stp>
        <stp>IR</stp>
        <stp>BONDAVG13328</stp>
        <stp>7년이하(당일)</stp>
        <stp>45300</stp>
        <stp/>
        <tr r="S43" s="2"/>
      </tp>
      <tp>
        <v>3.6030000000000002</v>
        <stp/>
        <stp>P</stp>
        <stp>0</stp>
        <stp>IR</stp>
        <stp>BONDAVG52517</stp>
        <stp>1년이하(당일)</stp>
        <stp>45300</stp>
        <stp/>
        <tr r="L34" s="2"/>
      </tp>
      <tp>
        <v>3.6440000000000001</v>
        <stp/>
        <stp>P</stp>
        <stp>0</stp>
        <stp>IR</stp>
        <stp>BONDAVG04019</stp>
        <stp>4년이하(당일)</stp>
        <stp>45300</stp>
        <stp/>
        <tr r="Q15" s="2"/>
      </tp>
      <tp>
        <v>4.1390000000000002</v>
        <stp/>
        <stp>P</stp>
        <stp>0</stp>
        <stp>IR</stp>
        <stp>BONDAVG64605</stp>
        <stp>2년이하(당일)</stp>
        <stp>45300</stp>
        <stp/>
        <tr r="N58" s="2"/>
      </tp>
      <tp>
        <v>3.6440000000000001</v>
        <stp/>
        <stp>P</stp>
        <stp>0</stp>
        <stp>IR</stp>
        <stp>BONDAVG03602</stp>
        <stp>2년이하(당일)</stp>
        <stp>45300</stp>
        <stp/>
        <tr r="N35" s="2"/>
      </tp>
      <tp>
        <v>3.6960000000000002</v>
        <stp/>
        <stp>P</stp>
        <stp>0</stp>
        <stp>IR</stp>
        <stp>BONDAVG12600</stp>
        <stp>2년이하(당일)</stp>
        <stp>45300</stp>
        <stp/>
        <tr r="N18" s="2"/>
      </tp>
      <tp>
        <v>4.0069999999999997</v>
        <stp/>
        <stp>P</stp>
        <stp>0</stp>
        <stp>IR</stp>
        <stp>BONDAVG56601</stp>
        <stp>2년이하(당일)</stp>
        <stp>45300</stp>
        <stp/>
        <tr r="N60" s="2"/>
      </tp>
      <tp>
        <v>3.867</v>
        <stp/>
        <stp>P</stp>
        <stp>0</stp>
        <stp>IR</stp>
        <stp>BONDAVG04004</stp>
        <stp>4년이하(당일)</stp>
        <stp>45300</stp>
        <stp/>
        <tr r="Q47" s="2"/>
      </tp>
      <tp>
        <v>4.1609999999999996</v>
        <stp/>
        <stp>P</stp>
        <stp>0</stp>
        <stp>IR</stp>
        <stp>BONDAVG19305</stp>
        <stp>7년이하(당일)</stp>
        <stp>45300</stp>
        <stp/>
        <tr r="S63" s="2"/>
      </tp>
      <tp>
        <v>3.7309999999999999</v>
        <stp/>
        <stp>P</stp>
        <stp>0</stp>
        <stp>IR</stp>
        <stp>BONDAVG13509</stp>
        <stp>1년이하(당일)</stp>
        <stp>45300</stp>
        <stp/>
        <tr r="L56" s="2"/>
      </tp>
      <tp>
        <v>3.8260000000000001</v>
        <stp/>
        <stp>P</stp>
        <stp>0</stp>
        <stp>IR</stp>
        <stp>BONDAVG08573</stp>
        <stp>1년이하(당일)</stp>
        <stp>45300</stp>
        <stp/>
        <tr r="L53" s="2"/>
      </tp>
      <tp>
        <v>3.621</v>
        <stp/>
        <stp>P</stp>
        <stp>0</stp>
        <stp>IR</stp>
        <stp>BONDAVG08572</stp>
        <stp>1년이하(당일)</stp>
        <stp>45300</stp>
        <stp/>
        <tr r="L14" s="2"/>
      </tp>
      <tp>
        <v>3.7189999999999999</v>
        <stp/>
        <stp>P</stp>
        <stp>0</stp>
        <stp>IR</stp>
        <stp>BONDAVG03776</stp>
        <stp>3년이하(당일)</stp>
        <stp>45300</stp>
        <stp/>
        <tr r="P29" s="2"/>
      </tp>
      <tp>
        <v>3.7080000000000002</v>
        <stp/>
        <stp>P</stp>
        <stp>0</stp>
        <stp>IR</stp>
        <stp>BONDAVG01576</stp>
        <stp>1년이하(당일)</stp>
        <stp>45300</stp>
        <stp/>
        <tr r="L36" s="2"/>
      </tp>
      <tp>
        <v>3.6509999999999998</v>
        <stp/>
        <stp>P</stp>
        <stp>0</stp>
        <stp>IR</stp>
        <stp>BONDAVG15678</stp>
        <stp>2년이하(당일)</stp>
        <stp>45300</stp>
        <stp/>
        <tr r="N39" s="2"/>
      </tp>
      <tp>
        <v>3.6560000000000001</v>
        <stp/>
        <stp>P</stp>
        <stp>0</stp>
        <stp>IR</stp>
        <stp>BONDAVG10062</stp>
        <stp>4년이하(당일)</stp>
        <stp>45300</stp>
        <stp/>
        <tr r="Q26" s="2"/>
      </tp>
      <tp>
        <v>3.8319999999999999</v>
        <stp/>
        <stp>P</stp>
        <stp>0</stp>
        <stp>IR</stp>
        <stp>BONDAVG04067</stp>
        <stp>4년이하(당일)</stp>
        <stp>45300</stp>
        <stp/>
        <tr r="Q49" s="2"/>
      </tp>
      <tp>
        <v>4.218</v>
        <stp/>
        <stp>P</stp>
        <stp>0</stp>
        <stp>IR</stp>
        <stp>BONDAVG62757</stp>
        <stp>3년이하(당일)</stp>
        <stp>45300</stp>
        <stp/>
        <tr r="P59" s="2"/>
      </tp>
      <tp>
        <v>3.7149999999999999</v>
        <stp/>
        <stp>P</stp>
        <stp>0</stp>
        <stp>IR</stp>
        <stp>BONDAVG53551</stp>
        <stp>1년이하(당일)</stp>
        <stp>45300</stp>
        <stp/>
        <tr r="L19" s="2"/>
      </tp>
      <tp>
        <v>3.6230000000000002</v>
        <stp/>
        <stp>P</stp>
        <stp>0</stp>
        <stp>IR</stp>
        <stp>BONDAVG41543</stp>
        <stp>1년이하(당일)</stp>
        <stp>45300</stp>
        <stp/>
        <tr r="L23" s="2"/>
      </tp>
      <tp>
        <v>3.7410000000000001</v>
        <stp/>
        <stp>P</stp>
        <stp>0</stp>
        <stp>IR</stp>
        <stp>BONDAVG12544</stp>
        <stp>1년이하(당일)</stp>
        <stp>45300</stp>
        <stp/>
        <tr r="L55" s="2"/>
      </tp>
      <tp>
        <v>4.1260000000000003</v>
        <stp/>
        <stp>P</stp>
        <stp>0</stp>
        <stp>IR</stp>
        <stp>BONDAVG64349</stp>
        <stp>7년이하(당일)</stp>
        <stp>45300</stp>
        <stp/>
        <tr r="S61" s="2"/>
      </tp>
      <tp>
        <v>3.613</v>
        <stp/>
        <stp>P</stp>
        <stp>0</stp>
        <stp>IR</stp>
        <stp>BONDAVG56490</stp>
        <stp>1년이하(당일)</stp>
        <stp>45300</stp>
        <stp/>
        <tr r="L40" s="2"/>
      </tp>
      <tp>
        <v>3.6389999999999998</v>
        <stp/>
        <stp>P</stp>
        <stp>0</stp>
        <stp>IR</stp>
        <stp>BONDAVG10095</stp>
        <stp>5년이하(당일)</stp>
        <stp>45300</stp>
        <stp/>
        <tr r="R38" s="2"/>
      </tp>
      <tp>
        <v>3.6389999999999998</v>
        <stp/>
        <stp>P</stp>
        <stp>0</stp>
        <stp>IR</stp>
        <stp>BONDAVG08683</stp>
        <stp>3년이하(당일)</stp>
        <stp>45300</stp>
        <stp/>
        <tr r="P28" s="2"/>
      </tp>
      <tp>
        <v>3.83</v>
        <stp/>
        <stp>P</stp>
        <stp>0</stp>
        <stp>IR</stp>
        <stp>BONDAVG11686</stp>
        <stp>3년이하(당일)</stp>
        <stp>45300</stp>
        <stp/>
        <tr r="P44" s="2"/>
      </tp>
      <tp>
        <v>3.6230000000000002</v>
        <stp/>
        <stp>P</stp>
        <stp>0</stp>
        <stp>IR</stp>
        <stp>BONDAVG03432</stp>
        <stp>1년이하(당일)</stp>
        <stp>45300</stp>
        <stp/>
        <tr r="L16" s="2"/>
      </tp>
      <tp>
        <v>3.8290000000000002</v>
        <stp/>
        <stp>P</stp>
        <stp>0</stp>
        <stp>IR</stp>
        <stp>BONDAVG04130</stp>
        <stp>4년이하(당일)</stp>
        <stp>45300</stp>
        <stp/>
        <tr r="Q12" s="2"/>
      </tp>
      <tp>
        <v>3.7810000000000001</v>
        <stp/>
        <stp>P</stp>
        <stp>0</stp>
        <stp>IR</stp>
        <stp>BONDAVG04021</stp>
        <stp>5년이하(당일)</stp>
        <stp>45300</stp>
        <stp/>
        <tr r="R50" s="2"/>
      </tp>
      <tp>
        <v>3.6970000000000001</v>
        <stp/>
        <stp>P</stp>
        <stp>0</stp>
        <stp>IR</stp>
        <stp>BONDAVG14727</stp>
        <stp>2년이하(당일)</stp>
        <stp>45300</stp>
        <stp/>
        <tr r="N25" s="2"/>
      </tp>
      <tp>
        <v>3.762</v>
        <stp/>
        <stp>P</stp>
        <stp>0</stp>
        <stp>IR</stp>
        <stp>BONDAVG12425</stp>
        <stp>1년이하(당일)</stp>
        <stp>45300</stp>
        <stp/>
        <tr r="L45" s="2"/>
      </tp>
      <tp>
        <v>3.7639999999999998</v>
        <stp/>
        <stp>P</stp>
        <stp>0</stp>
        <stp>IR</stp>
        <stp>BONDAVG65214</stp>
        <stp>7년이하(당일)</stp>
        <stp>45300</stp>
        <stp/>
        <tr r="S13" s="2"/>
      </tp>
      <tp>
        <v>3.6139999999999999</v>
        <stp/>
        <stp>P</stp>
        <stp>0</stp>
        <stp>IR</stp>
        <stp>BONDAVG04019</stp>
        <stp>5년이하(당일)</stp>
        <stp>45300</stp>
        <stp/>
        <tr r="R15" s="2"/>
      </tp>
      <tp>
        <v>4.1840000000000002</v>
        <stp/>
        <stp>P</stp>
        <stp>0</stp>
        <stp>IR</stp>
        <stp>BONDAVG64605</stp>
        <stp>3년이하(당일)</stp>
        <stp>45300</stp>
        <stp/>
        <tr r="P58" s="2"/>
      </tp>
      <tp>
        <v>3.637</v>
        <stp/>
        <stp>P</stp>
        <stp>0</stp>
        <stp>IR</stp>
        <stp>BONDAVG03602</stp>
        <stp>3년이하(당일)</stp>
        <stp>45300</stp>
        <stp/>
        <tr r="P35" s="2"/>
      </tp>
      <tp>
        <v>3.6859999999999999</v>
        <stp/>
        <stp>P</stp>
        <stp>0</stp>
        <stp>IR</stp>
        <stp>BONDAVG12600</stp>
        <stp>3년이하(당일)</stp>
        <stp>45300</stp>
        <stp/>
        <tr r="P18" s="2"/>
      </tp>
      <tp>
        <v>4.0119999999999996</v>
        <stp/>
        <stp>P</stp>
        <stp>0</stp>
        <stp>IR</stp>
        <stp>BONDAVG56601</stp>
        <stp>3년이하(당일)</stp>
        <stp>45300</stp>
        <stp/>
        <tr r="P60" s="2"/>
      </tp>
      <tp>
        <v>3.8410000000000002</v>
        <stp/>
        <stp>P</stp>
        <stp>0</stp>
        <stp>IR</stp>
        <stp>BONDAVG04004</stp>
        <stp>5년이하(당일)</stp>
        <stp>45300</stp>
        <stp/>
        <tr r="R47" s="2"/>
      </tp>
      <tp>
        <v>3.7290000000000001</v>
        <stp/>
        <stp>P</stp>
        <stp>0</stp>
        <stp>IR</stp>
        <stp>BONDAVG03776</stp>
        <stp>2년이하(당일)</stp>
        <stp>45300</stp>
        <stp/>
        <tr r="N29" s="2"/>
      </tp>
      <tp>
        <v>3.6440000000000001</v>
        <stp/>
        <stp>P</stp>
        <stp>0</stp>
        <stp>IR</stp>
        <stp>BONDAVG15678</stp>
        <stp>3년이하(당일)</stp>
        <stp>45300</stp>
        <stp/>
        <tr r="P39" s="2"/>
      </tp>
      <tp>
        <v>3.6859999999999999</v>
        <stp/>
        <stp>P</stp>
        <stp>0</stp>
        <stp>IR</stp>
        <stp>BONDAVG60279</stp>
        <stp>7년이하(당일)</stp>
        <stp>45300</stp>
        <stp/>
        <tr r="S41" s="2"/>
      </tp>
      <tp>
        <v>3.6190000000000002</v>
        <stp/>
        <stp>P</stp>
        <stp>0</stp>
        <stp>IR</stp>
        <stp>BONDAVG10062</stp>
        <stp>5년이하(당일)</stp>
        <stp>45300</stp>
        <stp/>
        <tr r="R26" s="2"/>
      </tp>
      <tp>
        <v>3.8029999999999999</v>
        <stp/>
        <stp>P</stp>
        <stp>0</stp>
        <stp>IR</stp>
        <stp>BONDAVG04067</stp>
        <stp>5년이하(당일)</stp>
        <stp>45300</stp>
        <stp/>
        <tr r="R49" s="2"/>
      </tp>
      <tp>
        <v>3.661</v>
        <stp/>
        <stp>P</stp>
        <stp>0</stp>
        <stp>IR</stp>
        <stp>BONDAVG61461</stp>
        <stp>1년이하(당일)</stp>
        <stp>45300</stp>
        <stp/>
        <tr r="L30" s="2"/>
      </tp>
      <tp>
        <v>4.0540000000000003</v>
        <stp/>
        <stp>P</stp>
        <stp>0</stp>
        <stp>IR</stp>
        <stp>BONDAVG16253</stp>
        <stp>7년이하(당일)</stp>
        <stp>45300</stp>
        <stp/>
        <tr r="S62" s="2"/>
      </tp>
      <tp>
        <v>4.2130000000000001</v>
        <stp/>
        <stp>P</stp>
        <stp>0</stp>
        <stp>IR</stp>
        <stp>BONDAVG62757</stp>
        <stp>2년이하(당일)</stp>
        <stp>45300</stp>
        <stp/>
        <tr r="N59" s="2"/>
      </tp>
      <tp>
        <v>3.7280000000000002</v>
        <stp/>
        <stp>P</stp>
        <stp>0</stp>
        <stp>IR</stp>
        <stp>BONDAVG12455</stp>
        <stp>1년이하(당일)</stp>
        <stp>45300</stp>
        <stp/>
        <tr r="L54" s="2"/>
      </tp>
      <tp>
        <v>3.6739999999999999</v>
        <stp/>
        <stp>P</stp>
        <stp>0</stp>
        <stp>IR</stp>
        <stp>BONDAVG10095</stp>
        <stp>2년이하(당일)</stp>
        <stp>45300</stp>
        <stp/>
        <tr r="N38" s="2"/>
      </tp>
      <tp>
        <v>3.6549999999999998</v>
        <stp/>
        <stp>P</stp>
        <stp>0</stp>
        <stp>IR</stp>
        <stp>BONDAVG08683</stp>
        <stp>4년이하(당일)</stp>
        <stp>45300</stp>
        <stp/>
        <tr r="Q28" s="2"/>
      </tp>
      <tp>
        <v>3.843</v>
        <stp/>
        <stp>P</stp>
        <stp>0</stp>
        <stp>IR</stp>
        <stp>BONDAVG11686</stp>
        <stp>4년이하(당일)</stp>
        <stp>45300</stp>
        <stp/>
        <tr r="Q44" s="2"/>
      </tp>
      <tp>
        <v>3.6909999999999998</v>
        <stp/>
        <stp>P</stp>
        <stp>0</stp>
        <stp>IR</stp>
        <stp>BONDAVG09587</stp>
        <stp>7년이하(당일)</stp>
        <stp>45300</stp>
        <stp/>
        <tr r="S20" s="2"/>
      </tp>
      <tp>
        <v>3.819</v>
        <stp/>
        <stp>P</stp>
        <stp>0</stp>
        <stp>IR</stp>
        <stp>BONDAVG04130</stp>
        <stp>3년이하(당일)</stp>
        <stp>45300</stp>
        <stp/>
        <tr r="P12" s="2"/>
      </tp>
      <tp>
        <v>3.6659999999999999</v>
        <stp/>
        <stp>P</stp>
        <stp>0</stp>
        <stp>IR</stp>
        <stp>BONDAVG03523</stp>
        <stp>7년이하(당일)</stp>
        <stp>45300</stp>
        <stp/>
        <tr r="S21" s="2"/>
      </tp>
      <tp>
        <v>3.8039999999999998</v>
        <stp/>
        <stp>P</stp>
        <stp>0</stp>
        <stp>IR</stp>
        <stp>BONDAVG04021</stp>
        <stp>2년이하(당일)</stp>
        <stp>45300</stp>
        <stp/>
        <tr r="N50" s="2"/>
      </tp>
      <tp>
        <v>3.6890000000000001</v>
        <stp/>
        <stp>P</stp>
        <stp>0</stp>
        <stp>IR</stp>
        <stp>BONDAVG14727</stp>
        <stp>5년이하(당일)</stp>
        <stp>45300</stp>
        <stp/>
        <tr r="R25" s="2"/>
      </tp>
      <tp>
        <v>3.613</v>
        <stp/>
        <stp>P</stp>
        <stp>0</stp>
        <stp>IR</stp>
        <stp>BONDAVG13327</stp>
        <stp>1년이하(당일)</stp>
        <stp>45300</stp>
        <stp/>
        <tr r="L32" s="2"/>
      </tp>
      <tp>
        <v>3.61</v>
        <stp/>
        <stp>P</stp>
        <stp>0</stp>
        <stp>IR</stp>
        <stp>BONDAVG04324</stp>
        <stp>1년이하(당일)</stp>
        <stp>45300</stp>
        <stp/>
        <tr r="L33" s="2"/>
      </tp>
      <tp>
        <v>3.7850000000000001</v>
        <stp/>
        <stp>P</stp>
        <stp>0</stp>
        <stp>IR</stp>
        <stp>BONDAVG13328</stp>
        <stp>1년이하(당일)</stp>
        <stp>45300</stp>
        <stp/>
        <tr r="L43" s="2"/>
      </tp>
      <tp>
        <v>3.6110000000000002</v>
        <stp/>
        <stp>P</stp>
        <stp>0</stp>
        <stp>IR</stp>
        <stp>BONDAVG52517</stp>
        <stp>7년이하(당일)</stp>
        <stp>45300</stp>
        <stp/>
        <tr r="S34" s="2"/>
      </tp>
      <tp>
        <v>3.6419999999999999</v>
        <stp/>
        <stp>P</stp>
        <stp>0</stp>
        <stp>IR</stp>
        <stp>BONDAVG04019</stp>
        <stp>2년이하(당일)</stp>
        <stp>45300</stp>
        <stp/>
        <tr r="N15" s="2"/>
      </tp>
      <tp>
        <v>4.194</v>
        <stp/>
        <stp>P</stp>
        <stp>0</stp>
        <stp>IR</stp>
        <stp>BONDAVG64605</stp>
        <stp>4년이하(당일)</stp>
        <stp>45300</stp>
        <stp/>
        <tr r="Q58" s="2"/>
      </tp>
      <tp>
        <v>3.65</v>
        <stp/>
        <stp>P</stp>
        <stp>0</stp>
        <stp>IR</stp>
        <stp>BONDAVG03602</stp>
        <stp>4년이하(당일)</stp>
        <stp>45300</stp>
        <stp/>
        <tr r="Q35" s="2"/>
      </tp>
      <tp>
        <v>3.69</v>
        <stp/>
        <stp>P</stp>
        <stp>0</stp>
        <stp>IR</stp>
        <stp>BONDAVG12600</stp>
        <stp>4년이하(당일)</stp>
        <stp>45300</stp>
        <stp/>
        <tr r="Q18" s="2"/>
      </tp>
      <tp>
        <v>4.0449999999999999</v>
        <stp/>
        <stp>P</stp>
        <stp>0</stp>
        <stp>IR</stp>
        <stp>BONDAVG56601</stp>
        <stp>4년이하(당일)</stp>
        <stp>45300</stp>
        <stp/>
        <tr r="Q60" s="2"/>
      </tp>
      <tp>
        <v>3.8479999999999999</v>
        <stp/>
        <stp>P</stp>
        <stp>0</stp>
        <stp>IR</stp>
        <stp>BONDAVG04004</stp>
        <stp>2년이하(당일)</stp>
        <stp>45300</stp>
        <stp/>
        <tr r="N47" s="2"/>
      </tp>
      <tp>
        <v>4.0270000000000001</v>
        <stp/>
        <stp>P</stp>
        <stp>0</stp>
        <stp>IR</stp>
        <stp>BONDAVG19305</stp>
        <stp>1년이하(당일)</stp>
        <stp>45300</stp>
        <stp/>
        <tr r="L63" s="2"/>
      </tp>
      <tp>
        <v>3.831</v>
        <stp/>
        <stp>P</stp>
        <stp>0</stp>
        <stp>IR</stp>
        <stp>BONDAVG13509</stp>
        <stp>7년이하(당일)</stp>
        <stp>45300</stp>
        <stp/>
        <tr r="S56" s="2"/>
      </tp>
      <tp>
        <v>3.956</v>
        <stp/>
        <stp>P</stp>
        <stp>0</stp>
        <stp>IR</stp>
        <stp>BONDAVG08573</stp>
        <stp>7년이하(당일)</stp>
        <stp>45300</stp>
        <stp/>
        <tr r="S53" s="2"/>
      </tp>
      <tp>
        <v>3.6459999999999999</v>
        <stp/>
        <stp>P</stp>
        <stp>0</stp>
        <stp>IR</stp>
        <stp>BONDAVG08572</stp>
        <stp>7년이하(당일)</stp>
        <stp>45300</stp>
        <stp/>
        <tr r="S14" s="2"/>
      </tp>
      <tp>
        <v>3.6970000000000001</v>
        <stp/>
        <stp>P</stp>
        <stp>0</stp>
        <stp>IR</stp>
        <stp>BONDAVG03776</stp>
        <stp>5년이하(당일)</stp>
        <stp>45300</stp>
        <stp/>
        <tr r="R29" s="2"/>
      </tp>
      <tp>
        <v>3.794</v>
        <stp/>
        <stp>P</stp>
        <stp>0</stp>
        <stp>IR</stp>
        <stp>BONDAVG01576</stp>
        <stp>7년이하(당일)</stp>
        <stp>45300</stp>
        <stp/>
        <tr r="S36" s="2"/>
      </tp>
      <tp>
        <v>3.65</v>
        <stp/>
        <stp>P</stp>
        <stp>0</stp>
        <stp>IR</stp>
        <stp>BONDAVG15678</stp>
        <stp>4년이하(당일)</stp>
        <stp>45300</stp>
        <stp/>
        <tr r="Q39" s="2"/>
      </tp>
      <tp>
        <v>3.653</v>
        <stp/>
        <stp>P</stp>
        <stp>0</stp>
        <stp>IR</stp>
        <stp>BONDAVG10062</stp>
        <stp>2년이하(당일)</stp>
        <stp>45300</stp>
        <stp/>
        <tr r="N26" s="2"/>
      </tp>
      <tp>
        <v>3.8180000000000001</v>
        <stp/>
        <stp>P</stp>
        <stp>0</stp>
        <stp>IR</stp>
        <stp>BONDAVG04067</stp>
        <stp>2년이하(당일)</stp>
        <stp>45300</stp>
        <stp/>
        <tr r="N49" s="2"/>
      </tp>
      <tp>
        <v>4.2050000000000001</v>
        <stp/>
        <stp>P</stp>
        <stp>0</stp>
        <stp>IR</stp>
        <stp>BONDAVG62757</stp>
        <stp>5년이하(당일)</stp>
        <stp>45300</stp>
        <stp/>
        <tr r="R59" s="2"/>
      </tp>
      <tp>
        <v>3.778</v>
        <stp/>
        <stp>P</stp>
        <stp>0</stp>
        <stp>IR</stp>
        <stp>BONDAVG53551</stp>
        <stp>7년이하(당일)</stp>
        <stp>45300</stp>
        <stp/>
        <tr r="S19" s="2"/>
      </tp>
      <tp>
        <v>3.649</v>
        <stp/>
        <stp>P</stp>
        <stp>0</stp>
        <stp>IR</stp>
        <stp>BONDAVG41543</stp>
        <stp>7년이하(당일)</stp>
        <stp>45300</stp>
        <stp/>
        <tr r="S23" s="2"/>
      </tp>
      <tp>
        <v>3.8410000000000002</v>
        <stp/>
        <stp>P</stp>
        <stp>0</stp>
        <stp>IR</stp>
        <stp>BONDAVG12544</stp>
        <stp>7년이하(당일)</stp>
        <stp>45300</stp>
        <stp/>
        <tr r="S55" s="2"/>
      </tp>
      <tp>
        <v>4.0010000000000003</v>
        <stp/>
        <stp>P</stp>
        <stp>0</stp>
        <stp>IR</stp>
        <stp>BONDAVG64349</stp>
        <stp>1년이하(당일)</stp>
        <stp>45300</stp>
        <stp/>
        <tr r="L61" s="2"/>
      </tp>
      <tp>
        <v>3.6379999999999999</v>
        <stp/>
        <stp>P</stp>
        <stp>0</stp>
        <stp>IR</stp>
        <stp>BONDAVG56490</stp>
        <stp>7년이하(당일)</stp>
        <stp>45300</stp>
        <stp/>
        <tr r="S40" s="2"/>
      </tp>
      <tp>
        <v>3.6640000000000001</v>
        <stp/>
        <stp>P</stp>
        <stp>0</stp>
        <stp>IR</stp>
        <stp>BONDAVG10095</stp>
        <stp>3년이하(당일)</stp>
        <stp>45300</stp>
        <stp/>
        <tr r="P38" s="2"/>
      </tp>
      <tp>
        <v>3.6309999999999998</v>
        <stp/>
        <stp>P</stp>
        <stp>0</stp>
        <stp>IR</stp>
        <stp>BONDAVG08683</stp>
        <stp>5년이하(당일)</stp>
        <stp>45300</stp>
        <stp/>
        <tr r="R28" s="2"/>
      </tp>
      <tp>
        <v>3.8159999999999998</v>
        <stp/>
        <stp>P</stp>
        <stp>0</stp>
        <stp>IR</stp>
        <stp>BONDAVG11686</stp>
        <stp>5년이하(당일)</stp>
        <stp>45300</stp>
        <stp/>
        <tr r="R44" s="2"/>
      </tp>
      <tp>
        <v>3.6509999999999998</v>
        <stp/>
        <stp>P</stp>
        <stp>0</stp>
        <stp>IR</stp>
        <stp>BONDAVG03432</stp>
        <stp>7년이하(당일)</stp>
        <stp>45300</stp>
        <stp/>
        <tr r="S16" s="2"/>
      </tp>
      <tp>
        <v>3.82</v>
        <stp/>
        <stp>P</stp>
        <stp>0</stp>
        <stp>IR</stp>
        <stp>BONDAVG04130</stp>
        <stp>2년이하(당일)</stp>
        <stp>45300</stp>
        <stp/>
        <tr r="N12" s="2"/>
      </tp>
      <tp>
        <v>3.802</v>
        <stp/>
        <stp>P</stp>
        <stp>0</stp>
        <stp>IR</stp>
        <stp>BONDAVG04021</stp>
        <stp>3년이하(당일)</stp>
        <stp>45300</stp>
        <stp/>
        <tr r="P50" s="2"/>
      </tp>
      <tp>
        <v>3.714</v>
        <stp/>
        <stp>P</stp>
        <stp>0</stp>
        <stp>IR</stp>
        <stp>BONDAVG14727</stp>
        <stp>4년이하(당일)</stp>
        <stp>45300</stp>
        <stp/>
        <tr r="Q25" s="2"/>
      </tp>
      <tp>
        <v>3.859</v>
        <stp/>
        <stp>P</stp>
        <stp>0</stp>
        <stp>IR</stp>
        <stp>BONDAVG12425</stp>
        <stp>7년이하(당일)</stp>
        <stp>45300</stp>
        <stp/>
        <tr r="S45" s="2"/>
      </tp>
      <tp>
        <v>3.7490000000000001</v>
        <stp/>
        <stp>P</stp>
        <stp>0</stp>
        <stp>IR</stp>
        <stp>BONDAVG65214</stp>
        <stp>1년이하(당일)</stp>
        <stp>45300</stp>
        <stp/>
        <tr r="L13" s="2"/>
      </tp>
      <tp>
        <v>3.6360000000000001</v>
        <stp/>
        <stp>P</stp>
        <stp>0</stp>
        <stp>IR</stp>
        <stp>BONDAVG04019</stp>
        <stp>3년이하(당일)</stp>
        <stp>45300</stp>
        <stp/>
        <tr r="P15" s="2"/>
      </tp>
      <tp>
        <v>4.1689999999999996</v>
        <stp/>
        <stp>P</stp>
        <stp>0</stp>
        <stp>IR</stp>
        <stp>BONDAVG64605</stp>
        <stp>5년이하(당일)</stp>
        <stp>45300</stp>
        <stp/>
        <tr r="R58" s="2"/>
      </tp>
      <tp>
        <v>3.621</v>
        <stp/>
        <stp>P</stp>
        <stp>0</stp>
        <stp>IR</stp>
        <stp>BONDAVG03602</stp>
        <stp>5년이하(당일)</stp>
        <stp>45300</stp>
        <stp/>
        <tr r="R35" s="2"/>
      </tp>
      <tp>
        <v>3.6589999999999998</v>
        <stp/>
        <stp>P</stp>
        <stp>0</stp>
        <stp>IR</stp>
        <stp>BONDAVG12600</stp>
        <stp>5년이하(당일)</stp>
        <stp>45300</stp>
        <stp/>
        <tr r="R18" s="2"/>
      </tp>
      <tp>
        <v>4.0309999999999997</v>
        <stp/>
        <stp>P</stp>
        <stp>0</stp>
        <stp>IR</stp>
        <stp>BONDAVG56601</stp>
        <stp>5년이하(당일)</stp>
        <stp>45300</stp>
        <stp/>
        <tr r="R60" s="2"/>
      </tp>
      <tp>
        <v>3.8519999999999999</v>
        <stp/>
        <stp>P</stp>
        <stp>0</stp>
        <stp>IR</stp>
        <stp>BONDAVG04004</stp>
        <stp>3년이하(당일)</stp>
        <stp>45300</stp>
        <stp/>
        <tr r="P47" s="2"/>
      </tp>
      <tp>
        <v>3.7290000000000001</v>
        <stp/>
        <stp>P</stp>
        <stp>0</stp>
        <stp>IR</stp>
        <stp>BONDAVG03776</stp>
        <stp>4년이하(당일)</stp>
        <stp>45300</stp>
        <stp/>
        <tr r="Q29" s="2"/>
      </tp>
      <tp>
        <v>3.621</v>
        <stp/>
        <stp>P</stp>
        <stp>0</stp>
        <stp>IR</stp>
        <stp>BONDAVG15678</stp>
        <stp>5년이하(당일)</stp>
        <stp>45300</stp>
        <stp/>
        <tr r="R39" s="2"/>
      </tp>
      <tp>
        <v>3.6659999999999999</v>
        <stp/>
        <stp>P</stp>
        <stp>0</stp>
        <stp>IR</stp>
        <stp>BONDAVG60279</stp>
        <stp>1년이하(당일)</stp>
        <stp>45300</stp>
        <stp/>
        <tr r="L41" s="2"/>
      </tp>
      <tp>
        <v>3.6360000000000001</v>
        <stp/>
        <stp>P</stp>
        <stp>0</stp>
        <stp>IR</stp>
        <stp>BONDAVG10062</stp>
        <stp>3년이하(당일)</stp>
        <stp>45300</stp>
        <stp/>
        <tr r="P26" s="2"/>
      </tp>
      <tp>
        <v>3.819</v>
        <stp/>
        <stp>P</stp>
        <stp>0</stp>
        <stp>IR</stp>
        <stp>BONDAVG04067</stp>
        <stp>3년이하(당일)</stp>
        <stp>45300</stp>
        <stp/>
        <tr r="P49" s="2"/>
      </tp>
      <tp>
        <v>3.7010000000000001</v>
        <stp/>
        <stp>P</stp>
        <stp>0</stp>
        <stp>IR</stp>
        <stp>BONDAVG61461</stp>
        <stp>7년이하(당일)</stp>
        <stp>45300</stp>
        <stp/>
        <tr r="S30" s="2"/>
      </tp>
      <tp>
        <v>3.9249999999999998</v>
        <stp/>
        <stp>P</stp>
        <stp>0</stp>
        <stp>IR</stp>
        <stp>BONDAVG16253</stp>
        <stp>1년이하(당일)</stp>
        <stp>45300</stp>
        <stp/>
        <tr r="L62" s="2"/>
      </tp>
      <tp>
        <v>4.2279999999999998</v>
        <stp/>
        <stp>P</stp>
        <stp>0</stp>
        <stp>IR</stp>
        <stp>BONDAVG62757</stp>
        <stp>4년이하(당일)</stp>
        <stp>45300</stp>
        <stp/>
        <tr r="Q59" s="2"/>
      </tp>
      <tp>
        <v>3.8180000000000001</v>
        <stp/>
        <stp>P</stp>
        <stp>0</stp>
        <stp>IR</stp>
        <stp>BONDAVG12455</stp>
        <stp>7년이하(당일)</stp>
        <stp>45300</stp>
        <stp/>
        <tr r="S54" s="2"/>
      </tp>
      <tp>
        <v>3.6520000000000001</v>
        <stp/>
        <stp>P</stp>
        <stp>0</stp>
        <stp>IR</stp>
        <stp>BONDAVG56490</stp>
        <stp>4년이하(당일)</stp>
        <stp>45300</stp>
        <stp/>
        <tr r="Q40" s="2"/>
      </tp>
      <tp>
        <v>3.6709999999999998</v>
        <stp/>
        <stp>P</stp>
        <stp>0</stp>
        <stp>IR</stp>
        <stp>BONDAVG09587</stp>
        <stp>5년이하(당일)</stp>
        <stp>45300</stp>
        <stp/>
        <tr r="R20" s="2"/>
      </tp>
      <tp>
        <v>3.669</v>
        <stp/>
        <stp>P</stp>
        <stp>0</stp>
        <stp>IR</stp>
        <stp>BONDAVG03432</stp>
        <stp>4년이하(당일)</stp>
        <stp>45300</stp>
        <stp/>
        <tr r="Q16" s="2"/>
      </tp>
      <tp>
        <v>3.7440000000000002</v>
        <stp/>
        <stp>P</stp>
        <stp>0</stp>
        <stp>IR</stp>
        <stp>BONDAVG04130</stp>
        <stp>1년이하(당일)</stp>
        <stp>45300</stp>
        <stp/>
        <tr r="L12" s="2"/>
      </tp>
      <tp>
        <v>3.6509999999999998</v>
        <stp/>
        <stp>P</stp>
        <stp>0</stp>
        <stp>IR</stp>
        <stp>BONDAVG03523</stp>
        <stp>5년이하(당일)</stp>
        <stp>45300</stp>
        <stp/>
        <tr r="R21" s="2"/>
      </tp>
      <tp>
        <v>3.6989999999999998</v>
        <stp/>
        <stp>P</stp>
        <stp>0</stp>
        <stp>IR</stp>
        <stp>BONDAVG14727</stp>
        <stp>7년이하(당일)</stp>
        <stp>45300</stp>
        <stp/>
        <tr r="S25" s="2"/>
      </tp>
      <tp>
        <v>3.6419999999999999</v>
        <stp/>
        <stp>P</stp>
        <stp>0</stp>
        <stp>IR</stp>
        <stp>BONDAVG13327</stp>
        <stp>3년이하(당일)</stp>
        <stp>45300</stp>
        <stp/>
        <tr r="P32" s="2"/>
      </tp>
      <tp>
        <v>3.641</v>
        <stp/>
        <stp>P</stp>
        <stp>0</stp>
        <stp>IR</stp>
        <stp>BONDAVG04324</stp>
        <stp>3년이하(당일)</stp>
        <stp>45300</stp>
        <stp/>
        <tr r="P33" s="2"/>
      </tp>
      <tp>
        <v>3.86</v>
        <stp/>
        <stp>P</stp>
        <stp>0</stp>
        <stp>IR</stp>
        <stp>BONDAVG12425</stp>
        <stp>4년이하(당일)</stp>
        <stp>45300</stp>
        <stp/>
        <tr r="Q45" s="2"/>
      </tp>
      <tp>
        <v>3.9020000000000001</v>
        <stp/>
        <stp>P</stp>
        <stp>0</stp>
        <stp>IR</stp>
        <stp>BONDAVG13328</stp>
        <stp>3년이하(당일)</stp>
        <stp>45300</stp>
        <stp/>
        <tr r="P43" s="2"/>
      </tp>
      <tp>
        <v>3.794</v>
        <stp/>
        <stp>P</stp>
        <stp>0</stp>
        <stp>IR</stp>
        <stp>BONDAVG65214</stp>
        <stp>2년이하(당일)</stp>
        <stp>45300</stp>
        <stp/>
        <tr r="N13" s="2"/>
      </tp>
      <tp>
        <v>3.6070000000000002</v>
        <stp/>
        <stp>P</stp>
        <stp>0</stp>
        <stp>IR</stp>
        <stp>BONDAVG52517</stp>
        <stp>5년이하(당일)</stp>
        <stp>45300</stp>
        <stp/>
        <tr r="R34" s="2"/>
      </tp>
      <tp>
        <v>4.149</v>
        <stp/>
        <stp>P</stp>
        <stp>0</stp>
        <stp>IR</stp>
        <stp>BONDAVG19305</stp>
        <stp>3년이하(당일)</stp>
        <stp>45300</stp>
        <stp/>
        <tr r="P63" s="2"/>
      </tp>
      <tp>
        <v>3.8109999999999999</v>
        <stp/>
        <stp>P</stp>
        <stp>0</stp>
        <stp>IR</stp>
        <stp>BONDAVG13509</stp>
        <stp>5년이하(당일)</stp>
        <stp>45300</stp>
        <stp/>
        <tr r="R56" s="2"/>
      </tp>
      <tp>
        <v>3.9359999999999999</v>
        <stp/>
        <stp>P</stp>
        <stp>0</stp>
        <stp>IR</stp>
        <stp>BONDAVG08573</stp>
        <stp>5년이하(당일)</stp>
        <stp>45300</stp>
        <stp/>
        <tr r="R53" s="2"/>
      </tp>
      <tp>
        <v>3.6309999999999998</v>
        <stp/>
        <stp>P</stp>
        <stp>0</stp>
        <stp>IR</stp>
        <stp>BONDAVG08572</stp>
        <stp>5년이하(당일)</stp>
        <stp>45300</stp>
        <stp/>
        <tr r="R14" s="2"/>
      </tp>
      <tp>
        <v>3.7080000000000002</v>
        <stp/>
        <stp>P</stp>
        <stp>0</stp>
        <stp>IR</stp>
        <stp>BONDAVG03776</stp>
        <stp>7년이하(당일)</stp>
        <stp>45300</stp>
        <stp/>
        <tr r="S29" s="2"/>
      </tp>
      <tp>
        <v>3.7770000000000001</v>
        <stp/>
        <stp>P</stp>
        <stp>0</stp>
        <stp>IR</stp>
        <stp>BONDAVG01576</stp>
        <stp>5년이하(당일)</stp>
        <stp>45300</stp>
        <stp/>
        <tr r="R36" s="2"/>
      </tp>
      <tp>
        <v>3.7090000000000001</v>
        <stp/>
        <stp>P</stp>
        <stp>0</stp>
        <stp>IR</stp>
        <stp>BONDAVG60279</stp>
        <stp>2년이하(당일)</stp>
        <stp>45300</stp>
        <stp/>
        <tr r="N41" s="2"/>
      </tp>
      <tp>
        <v>3.7149999999999999</v>
        <stp/>
        <stp>P</stp>
        <stp>0</stp>
        <stp>IR</stp>
        <stp>BONDAVG61461</stp>
        <stp>4년이하(당일)</stp>
        <stp>45300</stp>
        <stp/>
        <tr r="Q30" s="2"/>
      </tp>
      <tp>
        <v>4.016</v>
        <stp/>
        <stp>P</stp>
        <stp>0</stp>
        <stp>IR</stp>
        <stp>BONDAVG16253</stp>
        <stp>2년이하(당일)</stp>
        <stp>45300</stp>
        <stp/>
        <tr r="N62" s="2"/>
      </tp>
      <tp>
        <v>4.2320000000000002</v>
        <stp/>
        <stp>P</stp>
        <stp>0</stp>
        <stp>IR</stp>
        <stp>BONDAVG62757</stp>
        <stp>7년이하(당일)</stp>
        <stp>45300</stp>
        <stp/>
        <tr r="S59" s="2"/>
      </tp>
      <tp>
        <v>3.8210000000000002</v>
        <stp/>
        <stp>P</stp>
        <stp>0</stp>
        <stp>IR</stp>
        <stp>BONDAVG12455</stp>
        <stp>4년이하(당일)</stp>
        <stp>45300</stp>
        <stp/>
        <tr r="Q54" s="2"/>
      </tp>
      <tp>
        <v>3.762</v>
        <stp/>
        <stp>P</stp>
        <stp>0</stp>
        <stp>IR</stp>
        <stp>BONDAVG53551</stp>
        <stp>5년이하(당일)</stp>
        <stp>45300</stp>
        <stp/>
        <tr r="R19" s="2"/>
      </tp>
      <tp>
        <v>3.6309999999999998</v>
        <stp/>
        <stp>P</stp>
        <stp>0</stp>
        <stp>IR</stp>
        <stp>BONDAVG41543</stp>
        <stp>5년이하(당일)</stp>
        <stp>45300</stp>
        <stp/>
        <tr r="R23" s="2"/>
      </tp>
      <tp>
        <v>3.82</v>
        <stp/>
        <stp>P</stp>
        <stp>0</stp>
        <stp>IR</stp>
        <stp>BONDAVG12544</stp>
        <stp>5년이하(당일)</stp>
        <stp>45300</stp>
        <stp/>
        <tr r="R55" s="2"/>
      </tp>
      <tp>
        <v>4.085</v>
        <stp/>
        <stp>P</stp>
        <stp>0</stp>
        <stp>IR</stp>
        <stp>BONDAVG64349</stp>
        <stp>3년이하(당일)</stp>
        <stp>45300</stp>
        <stp/>
        <tr r="P61" s="2"/>
      </tp>
      <tp>
        <v>3.6219999999999999</v>
        <stp/>
        <stp>P</stp>
        <stp>0</stp>
        <stp>IR</stp>
        <stp>BONDAVG56490</stp>
        <stp>5년이하(당일)</stp>
        <stp>45300</stp>
        <stp/>
        <tr r="R40" s="2"/>
      </tp>
      <tp>
        <v>3.629</v>
        <stp/>
        <stp>P</stp>
        <stp>0</stp>
        <stp>IR</stp>
        <stp>BONDAVG10095</stp>
        <stp>1년이하(당일)</stp>
        <stp>45300</stp>
        <stp/>
        <tr r="L38" s="2"/>
      </tp>
      <tp>
        <v>3.6440000000000001</v>
        <stp/>
        <stp>P</stp>
        <stp>0</stp>
        <stp>IR</stp>
        <stp>BONDAVG08683</stp>
        <stp>7년이하(당일)</stp>
        <stp>45300</stp>
        <stp/>
        <tr r="S28" s="2"/>
      </tp>
      <tp>
        <v>3.8319999999999999</v>
        <stp/>
        <stp>P</stp>
        <stp>0</stp>
        <stp>IR</stp>
        <stp>BONDAVG11686</stp>
        <stp>7년이하(당일)</stp>
        <stp>45300</stp>
        <stp/>
        <tr r="S44" s="2"/>
      </tp>
      <tp>
        <v>3.7</v>
        <stp/>
        <stp>P</stp>
        <stp>0</stp>
        <stp>IR</stp>
        <stp>BONDAVG09587</stp>
        <stp>4년이하(당일)</stp>
        <stp>45300</stp>
        <stp/>
        <tr r="Q20" s="2"/>
      </tp>
      <tp>
        <v>3.6389999999999998</v>
        <stp/>
        <stp>P</stp>
        <stp>0</stp>
        <stp>IR</stp>
        <stp>BONDAVG03432</stp>
        <stp>5년이하(당일)</stp>
        <stp>45300</stp>
        <stp/>
        <tr r="R16" s="2"/>
      </tp>
      <tp>
        <v>3.681</v>
        <stp/>
        <stp>P</stp>
        <stp>0</stp>
        <stp>IR</stp>
        <stp>BONDAVG03523</stp>
        <stp>4년이하(당일)</stp>
        <stp>45300</stp>
        <stp/>
        <tr r="Q21" s="2"/>
      </tp>
      <tp>
        <v>3.7210000000000001</v>
        <stp/>
        <stp>P</stp>
        <stp>0</stp>
        <stp>IR</stp>
        <stp>BONDAVG04021</stp>
        <stp>1년이하(당일)</stp>
        <stp>45300</stp>
        <stp/>
        <tr r="L50" s="2"/>
      </tp>
      <tp>
        <v>3.6520000000000001</v>
        <stp/>
        <stp>P</stp>
        <stp>0</stp>
        <stp>IR</stp>
        <stp>BONDAVG13327</stp>
        <stp>2년이하(당일)</stp>
        <stp>45300</stp>
        <stp/>
        <tr r="N32" s="2"/>
      </tp>
      <tp>
        <v>3.6509999999999998</v>
        <stp/>
        <stp>P</stp>
        <stp>0</stp>
        <stp>IR</stp>
        <stp>BONDAVG04324</stp>
        <stp>2년이하(당일)</stp>
        <stp>45300</stp>
        <stp/>
        <tr r="N33" s="2"/>
      </tp>
      <tp>
        <v>3.8319999999999999</v>
        <stp/>
        <stp>P</stp>
        <stp>0</stp>
        <stp>IR</stp>
        <stp>BONDAVG12425</stp>
        <stp>5년이하(당일)</stp>
        <stp>45300</stp>
        <stp/>
        <tr r="R45" s="2"/>
      </tp>
      <tp>
        <v>3.895</v>
        <stp/>
        <stp>P</stp>
        <stp>0</stp>
        <stp>IR</stp>
        <stp>BONDAVG13328</stp>
        <stp>2년이하(당일)</stp>
        <stp>45300</stp>
        <stp/>
        <tr r="N43" s="2"/>
      </tp>
      <tp>
        <v>3.7810000000000001</v>
        <stp/>
        <stp>P</stp>
        <stp>0</stp>
        <stp>IR</stp>
        <stp>BONDAVG65214</stp>
        <stp>3년이하(당일)</stp>
        <stp>45300</stp>
        <stp/>
        <tr r="P13" s="2"/>
      </tp>
      <tp>
        <v>3.6339999999999999</v>
        <stp/>
        <stp>P</stp>
        <stp>0</stp>
        <stp>IR</stp>
        <stp>BONDAVG52517</stp>
        <stp>4년이하(당일)</stp>
        <stp>45300</stp>
        <stp/>
        <tr r="Q34" s="2"/>
      </tp>
      <tp>
        <v>3.6059999999999999</v>
        <stp/>
        <stp>P</stp>
        <stp>0</stp>
        <stp>IR</stp>
        <stp>BONDAVG04019</stp>
        <stp>1년이하(당일)</stp>
        <stp>45300</stp>
        <stp/>
        <tr r="L15" s="2"/>
      </tp>
      <tp>
        <v>4.1970000000000001</v>
        <stp/>
        <stp>P</stp>
        <stp>0</stp>
        <stp>IR</stp>
        <stp>BONDAVG64605</stp>
        <stp>7년이하(당일)</stp>
        <stp>45300</stp>
        <stp/>
        <tr r="S58" s="2"/>
      </tp>
      <tp>
        <v>3.6429999999999998</v>
        <stp/>
        <stp>P</stp>
        <stp>0</stp>
        <stp>IR</stp>
        <stp>BONDAVG03602</stp>
        <stp>7년이하(당일)</stp>
        <stp>45300</stp>
        <stp/>
        <tr r="S35" s="2"/>
      </tp>
      <tp>
        <v>3.6680000000000001</v>
        <stp/>
        <stp>P</stp>
        <stp>0</stp>
        <stp>IR</stp>
        <stp>BONDAVG12600</stp>
        <stp>7년이하(당일)</stp>
        <stp>45300</stp>
        <stp/>
        <tr r="S18" s="2"/>
      </tp>
      <tp>
        <v>4.0620000000000003</v>
        <stp/>
        <stp>P</stp>
        <stp>0</stp>
        <stp>IR</stp>
        <stp>BONDAVG56601</stp>
        <stp>7년이하(당일)</stp>
        <stp>45300</stp>
        <stp/>
        <tr r="S60" s="2"/>
      </tp>
      <tp>
        <v>3.7679999999999998</v>
        <stp/>
        <stp>P</stp>
        <stp>0</stp>
        <stp>IR</stp>
        <stp>BONDAVG04004</stp>
        <stp>1년이하(당일)</stp>
        <stp>45300</stp>
        <stp/>
        <tr r="L47" s="2"/>
      </tp>
      <tp>
        <v>4.1369999999999996</v>
        <stp/>
        <stp>P</stp>
        <stp>0</stp>
        <stp>IR</stp>
        <stp>BONDAVG19305</stp>
        <stp>2년이하(당일)</stp>
        <stp>45300</stp>
        <stp/>
        <tr r="N63" s="2"/>
      </tp>
      <tp>
        <v>3.8340000000000001</v>
        <stp/>
        <stp>P</stp>
        <stp>0</stp>
        <stp>IR</stp>
        <stp>BONDAVG13509</stp>
        <stp>4년이하(당일)</stp>
        <stp>45300</stp>
        <stp/>
        <tr r="Q56" s="2"/>
      </tp>
      <tp>
        <v>3.9630000000000001</v>
        <stp/>
        <stp>P</stp>
        <stp>0</stp>
        <stp>IR</stp>
        <stp>BONDAVG08573</stp>
        <stp>4년이하(당일)</stp>
        <stp>45300</stp>
        <stp/>
        <tr r="Q53" s="2"/>
      </tp>
      <tp>
        <v>3.6619999999999999</v>
        <stp/>
        <stp>P</stp>
        <stp>0</stp>
        <stp>IR</stp>
        <stp>BONDAVG08572</stp>
        <stp>4년이하(당일)</stp>
        <stp>45300</stp>
        <stp/>
        <tr r="Q14" s="2"/>
      </tp>
      <tp>
        <v>3.8029999999999999</v>
        <stp/>
        <stp>P</stp>
        <stp>0</stp>
        <stp>IR</stp>
        <stp>BONDAVG01576</stp>
        <stp>4년이하(당일)</stp>
        <stp>45300</stp>
        <stp/>
        <tr r="Q36" s="2"/>
      </tp>
      <tp>
        <v>3.6339999999999999</v>
        <stp/>
        <stp>P</stp>
        <stp>0</stp>
        <stp>IR</stp>
        <stp>BONDAVG15678</stp>
        <stp>7년이하(당일)</stp>
        <stp>45300</stp>
        <stp/>
        <tr r="S39" s="2"/>
      </tp>
      <tp>
        <v>3.6960000000000002</v>
        <stp/>
        <stp>P</stp>
        <stp>0</stp>
        <stp>IR</stp>
        <stp>BONDAVG60279</stp>
        <stp>3년이하(당일)</stp>
        <stp>45300</stp>
        <stp/>
        <tr r="P41" s="2"/>
      </tp>
      <tp>
        <v>3.613</v>
        <stp/>
        <stp>P</stp>
        <stp>0</stp>
        <stp>IR</stp>
        <stp>BONDAVG10062</stp>
        <stp>1년이하(당일)</stp>
        <stp>45300</stp>
        <stp/>
        <tr r="L26" s="2"/>
      </tp>
      <tp>
        <v>3.74</v>
        <stp/>
        <stp>P</stp>
        <stp>0</stp>
        <stp>IR</stp>
        <stp>BONDAVG04067</stp>
        <stp>1년이하(당일)</stp>
        <stp>45300</stp>
        <stp/>
        <tr r="L49" s="2"/>
      </tp>
      <tp>
        <v>3.6859999999999999</v>
        <stp/>
        <stp>P</stp>
        <stp>0</stp>
        <stp>IR</stp>
        <stp>BONDAVG61461</stp>
        <stp>5년이하(당일)</stp>
        <stp>45300</stp>
        <stp/>
        <tr r="R30" s="2"/>
      </tp>
      <tp>
        <v>4.0380000000000003</v>
        <stp/>
        <stp>P</stp>
        <stp>0</stp>
        <stp>IR</stp>
        <stp>BONDAVG16253</stp>
        <stp>3년이하(당일)</stp>
        <stp>45300</stp>
        <stp/>
        <tr r="P62" s="2"/>
      </tp>
      <tp>
        <v>3.798</v>
        <stp/>
        <stp>P</stp>
        <stp>0</stp>
        <stp>IR</stp>
        <stp>BONDAVG12455</stp>
        <stp>5년이하(당일)</stp>
        <stp>45300</stp>
        <stp/>
        <tr r="R54" s="2"/>
      </tp>
      <tp>
        <v>3.7919999999999998</v>
        <stp/>
        <stp>P</stp>
        <stp>0</stp>
        <stp>IR</stp>
        <stp>BONDAVG53551</stp>
        <stp>4년이하(당일)</stp>
        <stp>45300</stp>
        <stp/>
        <tr r="Q19" s="2"/>
      </tp>
      <tp>
        <v>3.6589999999999998</v>
        <stp/>
        <stp>P</stp>
        <stp>0</stp>
        <stp>IR</stp>
        <stp>BONDAVG41543</stp>
        <stp>4년이하(당일)</stp>
        <stp>45300</stp>
        <stp/>
        <tr r="Q23" s="2"/>
      </tp>
      <tp>
        <v>3.843</v>
        <stp/>
        <stp>P</stp>
        <stp>0</stp>
        <stp>IR</stp>
        <stp>BONDAVG12544</stp>
        <stp>4년이하(당일)</stp>
        <stp>45300</stp>
        <stp/>
        <tr r="Q55" s="2"/>
      </tp>
      <tp>
        <v>4.0910000000000002</v>
        <stp/>
        <stp>P</stp>
        <stp>0</stp>
        <stp>IR</stp>
        <stp>BONDAVG64349</stp>
        <stp>2년이하(당일)</stp>
        <stp>45300</stp>
        <stp/>
        <tr r="N61" s="2"/>
      </tp>
      <tp>
        <v>3.8410000000000002</v>
        <stp/>
        <stp>P</stp>
        <stp>0</stp>
        <stp>IR</stp>
        <stp>BONDAVG13988</stp>
        <stp>7년이하(당일)</stp>
        <stp>45300</stp>
        <stp/>
        <tr r="S51" s="2"/>
      </tp>
      <tp>
        <v>3.8620000000000001</v>
        <stp/>
        <stp>P</stp>
        <stp>0</stp>
        <stp>IR</stp>
        <stp>BONDAVG04932</stp>
        <stp>7년이하(당일)</stp>
        <stp>45300</stp>
        <stp/>
        <tr r="S46" s="2"/>
      </tp>
      <tp>
        <v>3.7130000000000001</v>
        <stp/>
        <stp>P</stp>
        <stp>0</stp>
        <stp>IR</stp>
        <stp>BONDAVG03937</stp>
        <stp>7년이하(당일)</stp>
        <stp>45300</stp>
        <stp/>
        <tr r="S24" s="2"/>
      </tp>
      <tp>
        <v>3.7</v>
        <stp/>
        <stp>P</stp>
        <stp>0</stp>
        <stp>IR</stp>
        <stp>BONDAVG03936</stp>
        <stp>7년이하(당일)</stp>
        <stp>45300</stp>
        <stp/>
        <tr r="S22" s="2"/>
      </tp>
      <tp>
        <v>3.6240000000000001</v>
        <stp/>
        <stp>P</stp>
        <stp>0</stp>
        <stp>IR</stp>
        <stp>BONDAVG03934</stp>
        <stp>7년이하(당일)</stp>
        <stp>45300</stp>
        <stp/>
        <tr r="S27" s="2"/>
      </tp>
      <tp>
        <v>3.5979999999999999</v>
        <stp/>
        <stp>P</stp>
        <stp>0</stp>
        <stp>IR</stp>
        <stp>BONDAVG03938</stp>
        <stp>7년이하(당일)</stp>
        <stp>45300</stp>
        <stp/>
        <tr r="S9" s="2"/>
      </tp>
      <tp>
        <v>3.605</v>
        <stp/>
        <stp>P</stp>
        <stp>0</stp>
        <stp>IR</stp>
        <stp>BONDAVG03920</stp>
        <stp>7년이하(당일)</stp>
        <stp>45300</stp>
        <stp/>
        <tr r="S31" s="2"/>
      </tp>
      <tp>
        <v>3.641</v>
        <stp/>
        <stp>P</stp>
        <stp>0</stp>
        <stp>IR</stp>
        <stp>BONDAVG08918</stp>
        <stp>7년이하(당일)</stp>
        <stp>45300</stp>
        <stp/>
        <tr r="S37" s="2"/>
      </tp>
      <tp>
        <v>3.9039999999999999</v>
        <stp/>
        <stp>P</stp>
        <stp>0</stp>
        <stp>IR</stp>
        <stp>BONDAVG04908</stp>
        <stp>7년이하(당일)</stp>
        <stp>45300</stp>
        <stp/>
        <tr r="S48" s="2"/>
      </tp>
      <tp>
        <v>3.5979999999999999</v>
        <stp/>
        <stp>P</stp>
        <stp>0</stp>
        <stp>IR</stp>
        <stp>BONDAVG14957</stp>
        <stp>7년이하(당일)</stp>
        <stp>45300</stp>
        <stp/>
        <tr r="S10" s="2"/>
      </tp>
      <tp>
        <v>3.7509999999999999</v>
        <stp/>
        <stp>P</stp>
        <stp>0</stp>
        <stp>IR</stp>
        <stp>BONDAVG11802</stp>
        <stp>7년이하(당일)</stp>
        <stp>45300</stp>
        <stp/>
        <tr r="S17" s="2"/>
      </tp>
      <tp>
        <v>3.8740000000000001</v>
        <stp/>
        <stp>P</stp>
        <stp>0</stp>
        <stp>IR</stp>
        <stp>BONDAVG50879</stp>
        <stp>7년이하(당일)</stp>
        <stp>45300</stp>
        <stp/>
        <tr r="S52" s="2"/>
      </tp>
      <tp>
        <v>3.823</v>
        <stp/>
        <stp>P</stp>
        <stp>0</stp>
        <stp>IR</stp>
        <stp>BONDAVG13988</stp>
        <stp>5년이하(당일)</stp>
        <stp>45300</stp>
        <stp/>
        <tr r="R51" s="2"/>
      </tp>
      <tp>
        <v>3.8410000000000002</v>
        <stp/>
        <stp>P</stp>
        <stp>0</stp>
        <stp>IR</stp>
        <stp>BONDAVG04932</stp>
        <stp>5년이하(당일)</stp>
        <stp>45300</stp>
        <stp/>
        <tr r="R46" s="2"/>
      </tp>
      <tp>
        <v>3.706</v>
        <stp/>
        <stp>P</stp>
        <stp>0</stp>
        <stp>IR</stp>
        <stp>BONDAVG03937</stp>
        <stp>5년이하(당일)</stp>
        <stp>45300</stp>
        <stp/>
        <tr r="R24" s="2"/>
      </tp>
      <tp>
        <v>3.6749999999999998</v>
        <stp/>
        <stp>P</stp>
        <stp>0</stp>
        <stp>IR</stp>
        <stp>BONDAVG03936</stp>
        <stp>5년이하(당일)</stp>
        <stp>45300</stp>
        <stp/>
        <tr r="R22" s="2"/>
      </tp>
      <tp>
        <v>3.6059999999999999</v>
        <stp/>
        <stp>P</stp>
        <stp>0</stp>
        <stp>IR</stp>
        <stp>BONDAVG03934</stp>
        <stp>5년이하(당일)</stp>
        <stp>45300</stp>
        <stp/>
        <tr r="R27" s="2"/>
      </tp>
      <tp>
        <v>3.6019999999999999</v>
        <stp/>
        <stp>P</stp>
        <stp>0</stp>
        <stp>IR</stp>
        <stp>BONDAVG03938</stp>
        <stp>5년이하(당일)</stp>
        <stp>45300</stp>
        <stp/>
        <tr r="R9" s="2"/>
      </tp>
      <tp>
        <v>3.6</v>
        <stp/>
        <stp>P</stp>
        <stp>0</stp>
        <stp>IR</stp>
        <stp>BONDAVG03920</stp>
        <stp>5년이하(당일)</stp>
        <stp>45300</stp>
        <stp/>
        <tr r="R31" s="2"/>
      </tp>
      <tp>
        <v>3.6190000000000002</v>
        <stp/>
        <stp>P</stp>
        <stp>0</stp>
        <stp>IR</stp>
        <stp>BONDAVG08918</stp>
        <stp>5년이하(당일)</stp>
        <stp>45300</stp>
        <stp/>
        <tr r="R37" s="2"/>
      </tp>
      <tp>
        <v>3.7719999999999998</v>
        <stp/>
        <stp>P</stp>
        <stp>0</stp>
        <stp>IR</stp>
        <stp>BONDAVG11802</stp>
        <stp>4년이하(당일)</stp>
        <stp>45300</stp>
        <stp/>
        <tr r="Q17" s="2"/>
      </tp>
      <tp>
        <v>3.89</v>
        <stp/>
        <stp>P</stp>
        <stp>0</stp>
        <stp>IR</stp>
        <stp>BONDAVG04908</stp>
        <stp>5년이하(당일)</stp>
        <stp>45300</stp>
        <stp/>
        <tr r="R48" s="2"/>
      </tp>
      <tp>
        <v>3.8780000000000001</v>
        <stp/>
        <stp>P</stp>
        <stp>0</stp>
        <stp>IR</stp>
        <stp>BONDAVG50879</stp>
        <stp>4년이하(당일)</stp>
        <stp>45300</stp>
        <stp/>
        <tr r="Q52" s="2"/>
      </tp>
      <tp>
        <v>3.5990000000000002</v>
        <stp/>
        <stp>P</stp>
        <stp>0</stp>
        <stp>IR</stp>
        <stp>BONDAVG14957</stp>
        <stp>5년이하(당일)</stp>
        <stp>45300</stp>
        <stp/>
        <tr r="R10" s="2"/>
      </tp>
      <tp>
        <v>3.85</v>
        <stp/>
        <stp>P</stp>
        <stp>0</stp>
        <stp>IR</stp>
        <stp>BONDAVG13988</stp>
        <stp>4년이하(당일)</stp>
        <stp>45300</stp>
        <stp/>
        <tr r="Q51" s="2"/>
      </tp>
      <tp>
        <v>3.855</v>
        <stp/>
        <stp>P</stp>
        <stp>0</stp>
        <stp>IR</stp>
        <stp>BONDAVG04932</stp>
        <stp>4년이하(당일)</stp>
        <stp>45300</stp>
        <stp/>
        <tr r="Q46" s="2"/>
      </tp>
      <tp>
        <v>3.7349999999999999</v>
        <stp/>
        <stp>P</stp>
        <stp>0</stp>
        <stp>IR</stp>
        <stp>BONDAVG03937</stp>
        <stp>4년이하(당일)</stp>
        <stp>45300</stp>
        <stp/>
        <tr r="Q24" s="2"/>
      </tp>
      <tp>
        <v>3.6970000000000001</v>
        <stp/>
        <stp>P</stp>
        <stp>0</stp>
        <stp>IR</stp>
        <stp>BONDAVG03936</stp>
        <stp>4년이하(당일)</stp>
        <stp>45300</stp>
        <stp/>
        <tr r="Q22" s="2"/>
      </tp>
      <tp>
        <v>3.6349999999999998</v>
        <stp/>
        <stp>P</stp>
        <stp>0</stp>
        <stp>IR</stp>
        <stp>BONDAVG03934</stp>
        <stp>4년이하(당일)</stp>
        <stp>45300</stp>
        <stp/>
        <tr r="Q27" s="2"/>
      </tp>
      <tp>
        <v>3.5390000000000001</v>
        <stp/>
        <stp>P</stp>
        <stp>0</stp>
        <stp>IR</stp>
        <stp>BONDAVG03938</stp>
        <stp>4년이하(당일)</stp>
        <stp>45300</stp>
        <stp/>
        <tr r="Q9" s="2"/>
      </tp>
      <tp>
        <v>3.6269999999999998</v>
        <stp/>
        <stp>P</stp>
        <stp>0</stp>
        <stp>IR</stp>
        <stp>BONDAVG03920</stp>
        <stp>4년이하(당일)</stp>
        <stp>45300</stp>
        <stp/>
        <tr r="Q31" s="2"/>
      </tp>
      <tp>
        <v>3.6469999999999998</v>
        <stp/>
        <stp>P</stp>
        <stp>0</stp>
        <stp>IR</stp>
        <stp>BONDAVG08918</stp>
        <stp>4년이하(당일)</stp>
        <stp>45300</stp>
        <stp/>
        <tr r="Q37" s="2"/>
      </tp>
      <tp>
        <v>3.7370000000000001</v>
        <stp/>
        <stp>P</stp>
        <stp>0</stp>
        <stp>IR</stp>
        <stp>BONDAVG11802</stp>
        <stp>5년이하(당일)</stp>
        <stp>45300</stp>
        <stp/>
        <tr r="R17" s="2"/>
      </tp>
      <tp>
        <v>3.9180000000000001</v>
        <stp/>
        <stp>P</stp>
        <stp>0</stp>
        <stp>IR</stp>
        <stp>BONDAVG04908</stp>
        <stp>4년이하(당일)</stp>
        <stp>45300</stp>
        <stp/>
        <tr r="Q48" s="2"/>
      </tp>
      <tp>
        <v>3.855</v>
        <stp/>
        <stp>P</stp>
        <stp>0</stp>
        <stp>IR</stp>
        <stp>BONDAVG50879</stp>
        <stp>5년이하(당일)</stp>
        <stp>45300</stp>
        <stp/>
        <tr r="R52" s="2"/>
      </tp>
      <tp>
        <v>3.5390000000000001</v>
        <stp/>
        <stp>P</stp>
        <stp>0</stp>
        <stp>IR</stp>
        <stp>BONDAVG14957</stp>
        <stp>4년이하(당일)</stp>
        <stp>45300</stp>
        <stp/>
        <tr r="Q10" s="2"/>
      </tp>
      <tp>
        <v>3.839</v>
        <stp/>
        <stp>P</stp>
        <stp>0</stp>
        <stp>IR</stp>
        <stp>BONDAVG13988</stp>
        <stp>3년이하(당일)</stp>
        <stp>45300</stp>
        <stp/>
        <tr r="P51" s="2"/>
      </tp>
      <tp>
        <v>3.8420000000000001</v>
        <stp/>
        <stp>P</stp>
        <stp>0</stp>
        <stp>IR</stp>
        <stp>BONDAVG04932</stp>
        <stp>3년이하(당일)</stp>
        <stp>45300</stp>
        <stp/>
        <tr r="P46" s="2"/>
      </tp>
      <tp>
        <v>3.7269999999999999</v>
        <stp/>
        <stp>P</stp>
        <stp>0</stp>
        <stp>IR</stp>
        <stp>BONDAVG03937</stp>
        <stp>3년이하(당일)</stp>
        <stp>45300</stp>
        <stp/>
        <tr r="P24" s="2"/>
      </tp>
      <tp>
        <v>3.6859999999999999</v>
        <stp/>
        <stp>P</stp>
        <stp>0</stp>
        <stp>IR</stp>
        <stp>BONDAVG03936</stp>
        <stp>3년이하(당일)</stp>
        <stp>45300</stp>
        <stp/>
        <tr r="P22" s="2"/>
      </tp>
      <tp>
        <v>3.6269999999999998</v>
        <stp/>
        <stp>P</stp>
        <stp>0</stp>
        <stp>IR</stp>
        <stp>BONDAVG03934</stp>
        <stp>3년이하(당일)</stp>
        <stp>45300</stp>
        <stp/>
        <tr r="P27" s="2"/>
      </tp>
      <tp>
        <v>3.5230000000000001</v>
        <stp/>
        <stp>P</stp>
        <stp>0</stp>
        <stp>IR</stp>
        <stp>BONDAVG03938</stp>
        <stp>3년이하(당일)</stp>
        <stp>45300</stp>
        <stp/>
        <tr r="P9" s="2"/>
      </tp>
      <tp>
        <v>3.6230000000000002</v>
        <stp/>
        <stp>P</stp>
        <stp>0</stp>
        <stp>IR</stp>
        <stp>BONDAVG03920</stp>
        <stp>3년이하(당일)</stp>
        <stp>45300</stp>
        <stp/>
        <tr r="P31" s="2"/>
      </tp>
      <tp>
        <v>3.6389999999999998</v>
        <stp/>
        <stp>P</stp>
        <stp>0</stp>
        <stp>IR</stp>
        <stp>BONDAVG08918</stp>
        <stp>3년이하(당일)</stp>
        <stp>45300</stp>
        <stp/>
        <tr r="P37" s="2"/>
      </tp>
      <tp>
        <v>3.7709999999999999</v>
        <stp/>
        <stp>P</stp>
        <stp>0</stp>
        <stp>IR</stp>
        <stp>BONDAVG11802</stp>
        <stp>2년이하(당일)</stp>
        <stp>45300</stp>
        <stp/>
        <tr r="N17" s="2"/>
      </tp>
      <tp>
        <v>3.9119999999999999</v>
        <stp/>
        <stp>P</stp>
        <stp>0</stp>
        <stp>IR</stp>
        <stp>BONDAVG04908</stp>
        <stp>3년이하(당일)</stp>
        <stp>45300</stp>
        <stp/>
        <tr r="P48" s="2"/>
      </tp>
      <tp>
        <v>3.8530000000000002</v>
        <stp/>
        <stp>P</stp>
        <stp>0</stp>
        <stp>IR</stp>
        <stp>BONDAVG50879</stp>
        <stp>2년이하(당일)</stp>
        <stp>45300</stp>
        <stp/>
        <tr r="N52" s="2"/>
      </tp>
      <tp>
        <v>3.5230000000000001</v>
        <stp/>
        <stp>P</stp>
        <stp>0</stp>
        <stp>IR</stp>
        <stp>BONDAVG14957</stp>
        <stp>3년이하(당일)</stp>
        <stp>45300</stp>
        <stp/>
        <tr r="P10" s="2"/>
      </tp>
      <tp>
        <v>3.8290000000000002</v>
        <stp/>
        <stp>P</stp>
        <stp>0</stp>
        <stp>IR</stp>
        <stp>BONDAVG13988</stp>
        <stp>2년이하(당일)</stp>
        <stp>45300</stp>
        <stp/>
        <tr r="N51" s="2"/>
      </tp>
      <tp>
        <v>3.8410000000000002</v>
        <stp/>
        <stp>P</stp>
        <stp>0</stp>
        <stp>IR</stp>
        <stp>BONDAVG04932</stp>
        <stp>2년이하(당일)</stp>
        <stp>45300</stp>
        <stp/>
        <tr r="N46" s="2"/>
      </tp>
      <tp>
        <v>3.734</v>
        <stp/>
        <stp>P</stp>
        <stp>0</stp>
        <stp>IR</stp>
        <stp>BONDAVG03937</stp>
        <stp>2년이하(당일)</stp>
        <stp>45300</stp>
        <stp/>
        <tr r="N24" s="2"/>
      </tp>
      <tp>
        <v>3.6890000000000001</v>
        <stp/>
        <stp>P</stp>
        <stp>0</stp>
        <stp>IR</stp>
        <stp>BONDAVG03936</stp>
        <stp>2년이하(당일)</stp>
        <stp>45300</stp>
        <stp/>
        <tr r="N22" s="2"/>
      </tp>
      <tp>
        <v>3.637</v>
        <stp/>
        <stp>P</stp>
        <stp>0</stp>
        <stp>IR</stp>
        <stp>BONDAVG03934</stp>
        <stp>2년이하(당일)</stp>
        <stp>45300</stp>
        <stp/>
        <tr r="N27" s="2"/>
      </tp>
      <tp>
        <v>3.5259999999999998</v>
        <stp/>
        <stp>P</stp>
        <stp>0</stp>
        <stp>IR</stp>
        <stp>BONDAVG03938</stp>
        <stp>2년이하(당일)</stp>
        <stp>45300</stp>
        <stp/>
        <tr r="N9" s="2"/>
      </tp>
      <tp>
        <v>3.6349999999999998</v>
        <stp/>
        <stp>P</stp>
        <stp>0</stp>
        <stp>IR</stp>
        <stp>BONDAVG03920</stp>
        <stp>2년이하(당일)</stp>
        <stp>45300</stp>
        <stp/>
        <tr r="N31" s="2"/>
      </tp>
      <tp>
        <v>3.6469999999999998</v>
        <stp/>
        <stp>P</stp>
        <stp>0</stp>
        <stp>IR</stp>
        <stp>BONDAVG08918</stp>
        <stp>2년이하(당일)</stp>
        <stp>45300</stp>
        <stp/>
        <tr r="N37" s="2"/>
      </tp>
      <tp>
        <v>3.762</v>
        <stp/>
        <stp>P</stp>
        <stp>0</stp>
        <stp>IR</stp>
        <stp>BONDAVG11802</stp>
        <stp>3년이하(당일)</stp>
        <stp>45300</stp>
        <stp/>
        <tr r="P17" s="2"/>
      </tp>
      <tp>
        <v>3.9180000000000001</v>
        <stp/>
        <stp>P</stp>
        <stp>0</stp>
        <stp>IR</stp>
        <stp>BONDAVG04908</stp>
        <stp>2년이하(당일)</stp>
        <stp>45300</stp>
        <stp/>
        <tr r="N48" s="2"/>
      </tp>
      <tp>
        <v>3.86</v>
        <stp/>
        <stp>P</stp>
        <stp>0</stp>
        <stp>IR</stp>
        <stp>BONDAVG50879</stp>
        <stp>3년이하(당일)</stp>
        <stp>45300</stp>
        <stp/>
        <tr r="P52" s="2"/>
      </tp>
      <tp>
        <v>3.5259999999999998</v>
        <stp/>
        <stp>P</stp>
        <stp>0</stp>
        <stp>IR</stp>
        <stp>BONDAVG14957</stp>
        <stp>2년이하(당일)</stp>
        <stp>45300</stp>
        <stp/>
        <tr r="N10" s="2"/>
      </tp>
      <tp>
        <v>3.7480000000000002</v>
        <stp/>
        <stp>P</stp>
        <stp>0</stp>
        <stp>IR</stp>
        <stp>BONDAVG13988</stp>
        <stp>1년이하(당일)</stp>
        <stp>45300</stp>
        <stp/>
        <tr r="L51" s="2"/>
      </tp>
      <tp>
        <v>3.7559999999999998</v>
        <stp/>
        <stp>P</stp>
        <stp>0</stp>
        <stp>IR</stp>
        <stp>BONDAVG04932</stp>
        <stp>1년이하(당일)</stp>
        <stp>45300</stp>
        <stp/>
        <tr r="L46" s="2"/>
      </tp>
      <tp>
        <v>3.6789999999999998</v>
        <stp/>
        <stp>P</stp>
        <stp>0</stp>
        <stp>IR</stp>
        <stp>BONDAVG03937</stp>
        <stp>1년이하(당일)</stp>
        <stp>45300</stp>
        <stp/>
        <tr r="L24" s="2"/>
      </tp>
      <tp>
        <v>3.6480000000000001</v>
        <stp/>
        <stp>P</stp>
        <stp>0</stp>
        <stp>IR</stp>
        <stp>BONDAVG03936</stp>
        <stp>1년이하(당일)</stp>
        <stp>45300</stp>
        <stp/>
        <tr r="L22" s="2"/>
      </tp>
      <tp>
        <v>3.6110000000000002</v>
        <stp/>
        <stp>P</stp>
        <stp>0</stp>
        <stp>IR</stp>
        <stp>BONDAVG03934</stp>
        <stp>1년이하(당일)</stp>
        <stp>45300</stp>
        <stp/>
        <tr r="L27" s="2"/>
      </tp>
      <tp>
        <v>3.5139999999999998</v>
        <stp/>
        <stp>P</stp>
        <stp>0</stp>
        <stp>IR</stp>
        <stp>BONDAVG03938</stp>
        <stp>1년이하(당일)</stp>
        <stp>45300</stp>
        <stp/>
        <tr r="L9" s="2"/>
      </tp>
      <tp>
        <v>3.5960000000000001</v>
        <stp/>
        <stp>P</stp>
        <stp>0</stp>
        <stp>IR</stp>
        <stp>BONDAVG03920</stp>
        <stp>1년이하(당일)</stp>
        <stp>45300</stp>
        <stp/>
        <tr r="L31" s="2"/>
      </tp>
      <tp>
        <v>3.6179999999999999</v>
        <stp/>
        <stp>P</stp>
        <stp>0</stp>
        <stp>IR</stp>
        <stp>BONDAVG08918</stp>
        <stp>1년이하(당일)</stp>
        <stp>45300</stp>
        <stp/>
        <tr r="L37" s="2"/>
      </tp>
      <tp>
        <v>3.8290000000000002</v>
        <stp/>
        <stp>P</stp>
        <stp>0</stp>
        <stp>IR</stp>
        <stp>BONDAVG04908</stp>
        <stp>1년이하(당일)</stp>
        <stp>45300</stp>
        <stp/>
        <tr r="L48" s="2"/>
      </tp>
      <tp>
        <v>3.5139999999999998</v>
        <stp/>
        <stp>P</stp>
        <stp>0</stp>
        <stp>IR</stp>
        <stp>BONDAVG14957</stp>
        <stp>1년이하(당일)</stp>
        <stp>45300</stp>
        <stp/>
        <tr r="L10" s="2"/>
      </tp>
      <tp>
        <v>3.7210000000000001</v>
        <stp/>
        <stp>P</stp>
        <stp>0</stp>
        <stp>IR</stp>
        <stp>BONDAVG11802</stp>
        <stp>1년이하(당일)</stp>
        <stp>45300</stp>
        <stp/>
        <tr r="L17" s="2"/>
      </tp>
      <tp>
        <v>3.7679999999999998</v>
        <stp/>
        <stp>P</stp>
        <stp>0</stp>
        <stp>IR</stp>
        <stp>BONDAVG50879</stp>
        <stp>1년이하(당일)</stp>
        <stp>45300</stp>
        <stp/>
        <tr r="L52" s="2"/>
      </tp>
      <tp>
        <v>3.8170000000000002</v>
        <stp/>
        <stp>P</stp>
        <stp>0</stp>
        <stp>IR</stp>
        <stp>BONDAVG04130</stp>
        <stp>1.5년이하(당일)</stp>
        <stp>45300</stp>
        <stp/>
        <tr r="M12" s="2"/>
      </tp>
      <tp>
        <v>3.8239999999999998</v>
        <stp/>
        <stp>P</stp>
        <stp>0</stp>
        <stp>IR</stp>
        <stp>BONDAVG04130</stp>
        <stp>2.5년이하(당일)</stp>
        <stp>45300</stp>
        <stp/>
        <tr r="O12" s="2"/>
      </tp>
      <tp>
        <v>3.657</v>
        <stp/>
        <stp>P</stp>
        <stp>0</stp>
        <stp>IR</stp>
        <stp>BONDAVG03920</stp>
        <stp>1.5년이하(당일)</stp>
        <stp>45300</stp>
        <stp/>
        <tr r="M31" s="2"/>
      </tp>
      <tp>
        <v>3.6309999999999998</v>
        <stp/>
        <stp>P</stp>
        <stp>0</stp>
        <stp>IR</stp>
        <stp>BONDAVG03920</stp>
        <stp>2.5년이하(당일)</stp>
        <stp>45300</stp>
        <stp/>
        <tr r="O31" s="2"/>
      </tp>
      <tp>
        <v>3.8159999999999998</v>
        <stp/>
        <stp>P</stp>
        <stp>0</stp>
        <stp>IR</stp>
        <stp>BONDAVG04021</stp>
        <stp>1.5년이하(당일)</stp>
        <stp>45300</stp>
        <stp/>
        <tr r="M50" s="2"/>
      </tp>
      <tp>
        <v>3.806</v>
        <stp/>
        <stp>P</stp>
        <stp>0</stp>
        <stp>IR</stp>
        <stp>BONDAVG04021</stp>
        <stp>2.5년이하(당일)</stp>
        <stp>45300</stp>
        <stp/>
        <tr r="O50" s="2"/>
      </tp>
      <tp>
        <v>3.6930000000000001</v>
        <stp/>
        <stp>P</stp>
        <stp>0</stp>
        <stp>IR</stp>
        <stp>BONDAVG12600</stp>
        <stp>2.5년이하(당일)</stp>
        <stp>45300</stp>
        <stp/>
        <tr r="O18" s="2"/>
      </tp>
      <tp>
        <v>4.22</v>
        <stp/>
        <stp>P</stp>
        <stp>0</stp>
        <stp>IR</stp>
        <stp>BONDAVG62757</stp>
        <stp>2.5년이하(당일)</stp>
        <stp>45300</stp>
        <stp/>
        <tr r="O59" s="2"/>
      </tp>
      <tp>
        <v>4.2329999999999997</v>
        <stp/>
        <stp>P</stp>
        <stp>0</stp>
        <stp>IR</stp>
        <stp>BONDAVG62757</stp>
        <stp>1.5년이하(당일)</stp>
        <stp>45300</stp>
        <stp/>
        <tr r="M59" s="2"/>
      </tp>
      <tp>
        <v>3.714</v>
        <stp/>
        <stp>P</stp>
        <stp>0</stp>
        <stp>IR</stp>
        <stp>BONDAVG12600</stp>
        <stp>1.5년이하(당일)</stp>
        <stp>45300</stp>
        <stp/>
        <tr r="M18" s="2"/>
      </tp>
      <tp>
        <v>3.68</v>
        <stp/>
        <stp>P</stp>
        <stp>0</stp>
        <stp>IR</stp>
        <stp>BONDAVG08572</stp>
        <stp>1.5년이하(당일)</stp>
        <stp>45300</stp>
        <stp/>
        <tr r="M14" s="2"/>
      </tp>
      <tp>
        <v>3.6629999999999998</v>
        <stp/>
        <stp>P</stp>
        <stp>0</stp>
        <stp>IR</stp>
        <stp>BONDAVG08572</stp>
        <stp>2.5년이하(당일)</stp>
        <stp>45300</stp>
        <stp/>
        <tr r="O14" s="2"/>
      </tp>
      <tp>
        <v>4.0339999999999998</v>
        <stp/>
        <stp>P</stp>
        <stp>0</stp>
        <stp>IR</stp>
        <stp>BONDAVG16253</stp>
        <stp>2.5년이하(당일)</stp>
        <stp>45300</stp>
        <stp/>
        <tr r="O62" s="2"/>
      </tp>
      <tp>
        <v>4.0259999999999998</v>
        <stp/>
        <stp>P</stp>
        <stp>0</stp>
        <stp>IR</stp>
        <stp>BONDAVG16253</stp>
        <stp>1.5년이하(당일)</stp>
        <stp>45300</stp>
        <stp/>
        <tr r="M62" s="2"/>
      </tp>
      <tp>
        <v>3.7919999999999998</v>
        <stp/>
        <stp>P</stp>
        <stp>0</stp>
        <stp>IR</stp>
        <stp>BONDAVG65214</stp>
        <stp>2.5년이하(당일)</stp>
        <stp>45300</stp>
        <stp/>
        <tr r="O13" s="2"/>
      </tp>
      <tp>
        <v>3.8140000000000001</v>
        <stp/>
        <stp>P</stp>
        <stp>0</stp>
        <stp>IR</stp>
        <stp>BONDAVG65214</stp>
        <stp>1.5년이하(당일)</stp>
        <stp>45300</stp>
        <stp/>
        <tr r="M13" s="2"/>
      </tp>
      <tp>
        <v>3.8540000000000001</v>
        <stp/>
        <stp>P</stp>
        <stp>0</stp>
        <stp>IR</stp>
        <stp>BONDAVG04932</stp>
        <stp>1.5년이하(당일)</stp>
        <stp>45300</stp>
        <stp/>
        <tr r="M46" s="2"/>
      </tp>
      <tp>
        <v>3.843</v>
        <stp/>
        <stp>P</stp>
        <stp>0</stp>
        <stp>IR</stp>
        <stp>BONDAVG04932</stp>
        <stp>2.5년이하(당일)</stp>
        <stp>45300</stp>
        <stp/>
        <tr r="O46" s="2"/>
      </tp>
      <tp>
        <v>3.6440000000000001</v>
        <stp/>
        <stp>P</stp>
        <stp>0</stp>
        <stp>IR</stp>
        <stp>BONDAVG03602</stp>
        <stp>2.5년이하(당일)</stp>
        <stp>45300</stp>
        <stp/>
        <tr r="O35" s="2"/>
      </tp>
      <tp>
        <v>3.6819999999999999</v>
        <stp/>
        <stp>P</stp>
        <stp>0</stp>
        <stp>IR</stp>
        <stp>BONDAVG03432</stp>
        <stp>1.5년이하(당일)</stp>
        <stp>45300</stp>
        <stp/>
        <tr r="M16" s="2"/>
      </tp>
      <tp>
        <v>3.665</v>
        <stp/>
        <stp>P</stp>
        <stp>0</stp>
        <stp>IR</stp>
        <stp>BONDAVG03432</stp>
        <stp>2.5년이하(당일)</stp>
        <stp>45300</stp>
        <stp/>
        <tr r="O16" s="2"/>
      </tp>
      <tp>
        <v>3.67</v>
        <stp/>
        <stp>P</stp>
        <stp>0</stp>
        <stp>IR</stp>
        <stp>BONDAVG03602</stp>
        <stp>1.5년이하(당일)</stp>
        <stp>45300</stp>
        <stp/>
        <tr r="M35" s="2"/>
      </tp>
      <tp>
        <v>3.6640000000000001</v>
        <stp/>
        <stp>P</stp>
        <stp>0</stp>
        <stp>IR</stp>
        <stp>BONDAVG52517</stp>
        <stp>1.5년이하(당일)</stp>
        <stp>45300</stp>
        <stp/>
        <tr r="M34" s="2"/>
      </tp>
      <tp>
        <v>3.6379999999999999</v>
        <stp/>
        <stp>P</stp>
        <stp>0</stp>
        <stp>IR</stp>
        <stp>BONDAVG52517</stp>
        <stp>2.5년이하(당일)</stp>
        <stp>45300</stp>
        <stp/>
        <tr r="O34" s="2"/>
      </tp>
      <tp>
        <v>3.6480000000000001</v>
        <stp/>
        <stp>P</stp>
        <stp>0</stp>
        <stp>IR</stp>
        <stp>BONDAVG08683</stp>
        <stp>2.5년이하(당일)</stp>
        <stp>45300</stp>
        <stp/>
        <tr r="O28" s="2"/>
      </tp>
      <tp>
        <v>3.9380000000000002</v>
        <stp/>
        <stp>P</stp>
        <stp>0</stp>
        <stp>IR</stp>
        <stp>BONDAVG08573</stp>
        <stp>1.5년이하(당일)</stp>
        <stp>45300</stp>
        <stp/>
        <tr r="M53" s="2"/>
      </tp>
      <tp>
        <v>3.6720000000000002</v>
        <stp/>
        <stp>P</stp>
        <stp>0</stp>
        <stp>IR</stp>
        <stp>BONDAVG08683</stp>
        <stp>1.5년이하(당일)</stp>
        <stp>45300</stp>
        <stp/>
        <tr r="M28" s="2"/>
      </tp>
      <tp>
        <v>3.944</v>
        <stp/>
        <stp>P</stp>
        <stp>0</stp>
        <stp>IR</stp>
        <stp>BONDAVG08573</stp>
        <stp>2.5년이하(당일)</stp>
        <stp>45300</stp>
        <stp/>
        <tr r="O53" s="2"/>
      </tp>
      <tp>
        <v>4.17</v>
        <stp/>
        <stp>P</stp>
        <stp>0</stp>
        <stp>IR</stp>
        <stp>BONDAVG64605</stp>
        <stp>2.5년이하(당일)</stp>
        <stp>45300</stp>
        <stp/>
        <tr r="O58" s="2"/>
      </tp>
      <tp>
        <v>4.1369999999999996</v>
        <stp/>
        <stp>P</stp>
        <stp>0</stp>
        <stp>IR</stp>
        <stp>BONDAVG64605</stp>
        <stp>1.5년이하(당일)</stp>
        <stp>45300</stp>
        <stp/>
        <tr r="M58" s="2"/>
      </tp>
      <tp>
        <v>3.7149999999999999</v>
        <stp/>
        <stp>P</stp>
        <stp>0</stp>
        <stp>IR</stp>
        <stp>BONDAVG03523</stp>
        <stp>1.5년이하(당일)</stp>
        <stp>45300</stp>
        <stp/>
        <tr r="M21" s="2"/>
      </tp>
      <tp>
        <v>3.6829999999999998</v>
        <stp/>
        <stp>P</stp>
        <stp>0</stp>
        <stp>IR</stp>
        <stp>BONDAVG03523</stp>
        <stp>2.5년이하(당일)</stp>
        <stp>45300</stp>
        <stp/>
        <tr r="O21" s="2"/>
      </tp>
      <tp>
        <v>3.7850000000000001</v>
        <stp/>
        <stp>P</stp>
        <stp>0</stp>
        <stp>IR</stp>
        <stp>BONDAVG11802</stp>
        <stp>1.5년이하(당일)</stp>
        <stp>45300</stp>
        <stp/>
        <tr r="M17" s="2"/>
      </tp>
      <tp>
        <v>3.77</v>
        <stp/>
        <stp>P</stp>
        <stp>0</stp>
        <stp>IR</stp>
        <stp>BONDAVG11802</stp>
        <stp>2.5년이하(당일)</stp>
        <stp>45300</stp>
        <stp/>
        <tr r="O17" s="2"/>
      </tp>
      <tp>
        <v>3.6779999999999999</v>
        <stp/>
        <stp>P</stp>
        <stp>0</stp>
        <stp>IR</stp>
        <stp>BONDAVG10062</stp>
        <stp>1.5년이하(당일)</stp>
        <stp>45300</stp>
        <stp/>
        <tr r="M26" s="2"/>
      </tp>
      <tp>
        <v>3.6459999999999999</v>
        <stp/>
        <stp>P</stp>
        <stp>0</stp>
        <stp>IR</stp>
        <stp>BONDAVG10062</stp>
        <stp>2.5년이하(당일)</stp>
        <stp>45300</stp>
        <stp/>
        <tr r="O26" s="2"/>
      </tp>
      <tp>
        <v>4.149</v>
        <stp/>
        <stp>P</stp>
        <stp>0</stp>
        <stp>IR</stp>
        <stp>BONDAVG19305</stp>
        <stp>2.5년이하(당일)</stp>
        <stp>45300</stp>
        <stp/>
        <tr r="O63" s="2"/>
      </tp>
      <tp>
        <v>4.1390000000000002</v>
        <stp/>
        <stp>P</stp>
        <stp>0</stp>
        <stp>IR</stp>
        <stp>BONDAVG19305</stp>
        <stp>1.5년이하(당일)</stp>
        <stp>45300</stp>
        <stp/>
        <tr r="M63" s="2"/>
      </tp>
      <tp>
        <v>4.0119999999999996</v>
        <stp/>
        <stp>P</stp>
        <stp>0</stp>
        <stp>IR</stp>
        <stp>BONDAVG56601</stp>
        <stp>2.5년이하(당일)</stp>
        <stp>45300</stp>
        <stp/>
        <tr r="O60" s="2"/>
      </tp>
      <tp>
        <v>4.0209999999999999</v>
        <stp/>
        <stp>P</stp>
        <stp>0</stp>
        <stp>IR</stp>
        <stp>BONDAVG56601</stp>
        <stp>1.5년이하(당일)</stp>
        <stp>45300</stp>
        <stp/>
        <tr r="M60" s="2"/>
      </tp>
      <tp>
        <v>3.649</v>
        <stp/>
        <stp>P</stp>
        <stp>0</stp>
        <stp>IR</stp>
        <stp>BONDAVG04324</stp>
        <stp>2.5년이하(당일)</stp>
        <stp>45300</stp>
        <stp/>
        <tr r="O33" s="2"/>
      </tp>
      <tp>
        <v>3.863</v>
        <stp/>
        <stp>P</stp>
        <stp>0</stp>
        <stp>IR</stp>
        <stp>BONDAVG04004</stp>
        <stp>1.5년이하(당일)</stp>
        <stp>45300</stp>
        <stp/>
        <tr r="M47" s="2"/>
      </tp>
      <tp>
        <v>3.67</v>
        <stp/>
        <stp>P</stp>
        <stp>0</stp>
        <stp>IR</stp>
        <stp>BONDAVG04324</stp>
        <stp>1.5년이하(당일)</stp>
        <stp>45300</stp>
        <stp/>
        <tr r="M33" s="2"/>
      </tp>
      <tp>
        <v>3.8530000000000002</v>
        <stp/>
        <stp>P</stp>
        <stp>0</stp>
        <stp>IR</stp>
        <stp>BONDAVG04004</stp>
        <stp>2.5년이하(당일)</stp>
        <stp>45300</stp>
        <stp/>
        <tr r="O47" s="2"/>
      </tp>
      <tp>
        <v>3.78</v>
        <stp/>
        <stp>P</stp>
        <stp>0</stp>
        <stp>IR</stp>
        <stp>BONDAVG53551</stp>
        <stp>1.5년이하(당일)</stp>
        <stp>45300</stp>
        <stp/>
        <tr r="M19" s="2"/>
      </tp>
      <tp>
        <v>3.7770000000000001</v>
        <stp/>
        <stp>P</stp>
        <stp>0</stp>
        <stp>IR</stp>
        <stp>BONDAVG53551</stp>
        <stp>2.5년이하(당일)</stp>
        <stp>45300</stp>
        <stp/>
        <tr r="O19" s="2"/>
      </tp>
      <tp>
        <v>3.665</v>
        <stp/>
        <stp>P</stp>
        <stp>0</stp>
        <stp>IR</stp>
        <stp>BONDAVG03934</stp>
        <stp>1.5년이하(당일)</stp>
        <stp>45300</stp>
        <stp/>
        <tr r="M27" s="2"/>
      </tp>
      <tp>
        <v>3.637</v>
        <stp/>
        <stp>P</stp>
        <stp>0</stp>
        <stp>IR</stp>
        <stp>BONDAVG03934</stp>
        <stp>2.5년이하(당일)</stp>
        <stp>45300</stp>
        <stp/>
        <tr r="O27" s="2"/>
      </tp>
      <tp>
        <v>3.823</v>
        <stp/>
        <stp>P</stp>
        <stp>0</stp>
        <stp>IR</stp>
        <stp>BONDAVG12455</stp>
        <stp>1.5년이하(당일)</stp>
        <stp>45300</stp>
        <stp/>
        <tr r="M54" s="2"/>
      </tp>
      <tp>
        <v>3.8610000000000002</v>
        <stp/>
        <stp>P</stp>
        <stp>0</stp>
        <stp>IR</stp>
        <stp>BONDAVG12425</stp>
        <stp>1.5년이하(당일)</stp>
        <stp>45300</stp>
        <stp/>
        <tr r="M45" s="2"/>
      </tp>
      <tp>
        <v>3.8140000000000001</v>
        <stp/>
        <stp>P</stp>
        <stp>0</stp>
        <stp>IR</stp>
        <stp>BONDAVG12455</stp>
        <stp>2.5년이하(당일)</stp>
        <stp>45300</stp>
        <stp/>
        <tr r="O54" s="2"/>
      </tp>
      <tp>
        <v>3.8490000000000002</v>
        <stp/>
        <stp>P</stp>
        <stp>0</stp>
        <stp>IR</stp>
        <stp>BONDAVG12425</stp>
        <stp>2.5년이하(당일)</stp>
        <stp>45300</stp>
        <stp/>
        <tr r="O45" s="2"/>
      </tp>
      <tp>
        <v>3.6890000000000001</v>
        <stp/>
        <stp>P</stp>
        <stp>0</stp>
        <stp>IR</stp>
        <stp>BONDAVG10095</stp>
        <stp>1.5년이하(당일)</stp>
        <stp>45300</stp>
        <stp/>
        <tr r="M38" s="2"/>
      </tp>
      <tp>
        <v>3.67</v>
        <stp/>
        <stp>P</stp>
        <stp>0</stp>
        <stp>IR</stp>
        <stp>BONDAVG10095</stp>
        <stp>2.5년이하(당일)</stp>
        <stp>45300</stp>
        <stp/>
        <tr r="O38" s="2"/>
      </tp>
      <tp>
        <v>3.67</v>
        <stp/>
        <stp>P</stp>
        <stp>0</stp>
        <stp>IR</stp>
        <stp>BONDAVG56490</stp>
        <stp>1.5년이하(당일)</stp>
        <stp>45300</stp>
        <stp/>
        <tr r="M40" s="2"/>
      </tp>
      <tp>
        <v>3.65</v>
        <stp/>
        <stp>P</stp>
        <stp>0</stp>
        <stp>IR</stp>
        <stp>BONDAVG56490</stp>
        <stp>2.5년이하(당일)</stp>
        <stp>45300</stp>
        <stp/>
        <tr r="O40" s="2"/>
      </tp>
      <tp>
        <v>3.8380000000000001</v>
        <stp/>
        <stp>P</stp>
        <stp>0</stp>
        <stp>IR</stp>
        <stp>BONDAVG12544</stp>
        <stp>1.5년이하(당일)</stp>
        <stp>45300</stp>
        <stp/>
        <tr r="M55" s="2"/>
      </tp>
      <tp>
        <v>3.8279999999999998</v>
        <stp/>
        <stp>P</stp>
        <stp>0</stp>
        <stp>IR</stp>
        <stp>BONDAVG12544</stp>
        <stp>2.5년이하(당일)</stp>
        <stp>45300</stp>
        <stp/>
        <tr r="O55" s="2"/>
      </tp>
      <tp>
        <v>3.698</v>
        <stp/>
        <stp>P</stp>
        <stp>0</stp>
        <stp>IR</stp>
        <stp>BONDAVG14727</stp>
        <stp>2.5년이하(당일)</stp>
        <stp>45300</stp>
        <stp/>
        <tr r="O25" s="2"/>
      </tp>
      <tp>
        <v>3.714</v>
        <stp/>
        <stp>P</stp>
        <stp>0</stp>
        <stp>IR</stp>
        <stp>BONDAVG14727</stp>
        <stp>1.5년이하(당일)</stp>
        <stp>45300</stp>
        <stp/>
        <tr r="M25" s="2"/>
      </tp>
      <tp>
        <v>3.5550000000000002</v>
        <stp/>
        <stp>P</stp>
        <stp>0</stp>
        <stp>IR</stp>
        <stp>BONDAVG14957</stp>
        <stp>1.5년이하(당일)</stp>
        <stp>45300</stp>
        <stp/>
        <tr r="M10" s="2"/>
      </tp>
      <tp>
        <v>3.5219999999999998</v>
        <stp/>
        <stp>P</stp>
        <stp>0</stp>
        <stp>IR</stp>
        <stp>BONDAVG14957</stp>
        <stp>2.5년이하(당일)</stp>
        <stp>45300</stp>
        <stp/>
        <tr r="O10" s="2"/>
      </tp>
      <tp>
        <v>3.65</v>
        <stp/>
        <stp>P</stp>
        <stp>0</stp>
        <stp>IR</stp>
        <stp>BONDAVG13327</stp>
        <stp>2.5년이하(당일)</stp>
        <stp>45300</stp>
        <stp/>
        <tr r="O32" s="2"/>
      </tp>
      <tp>
        <v>3.6720000000000002</v>
        <stp/>
        <stp>P</stp>
        <stp>0</stp>
        <stp>IR</stp>
        <stp>BONDAVG13327</stp>
        <stp>1.5년이하(당일)</stp>
        <stp>45300</stp>
        <stp/>
        <tr r="M32" s="2"/>
      </tp>
      <tp>
        <v>3.7269999999999999</v>
        <stp/>
        <stp>P</stp>
        <stp>0</stp>
        <stp>IR</stp>
        <stp>BONDAVG03776</stp>
        <stp>2.5년이하(당일)</stp>
        <stp>45300</stp>
        <stp/>
        <tr r="O29" s="2"/>
      </tp>
      <tp>
        <v>3.7440000000000002</v>
        <stp/>
        <stp>P</stp>
        <stp>0</stp>
        <stp>IR</stp>
        <stp>BONDAVG03776</stp>
        <stp>1.5년이하(당일)</stp>
        <stp>45300</stp>
        <stp/>
        <tr r="M29" s="2"/>
      </tp>
      <tp>
        <v>3.7090000000000001</v>
        <stp/>
        <stp>P</stp>
        <stp>0</stp>
        <stp>IR</stp>
        <stp>BONDAVG03936</stp>
        <stp>1.5년이하(당일)</stp>
        <stp>45300</stp>
        <stp/>
        <tr r="M22" s="2"/>
      </tp>
      <tp>
        <v>3.694</v>
        <stp/>
        <stp>P</stp>
        <stp>0</stp>
        <stp>IR</stp>
        <stp>BONDAVG03936</stp>
        <stp>2.5년이하(당일)</stp>
        <stp>45300</stp>
        <stp/>
        <tr r="O22" s="2"/>
      </tp>
      <tp>
        <v>3.7810000000000001</v>
        <stp/>
        <stp>P</stp>
        <stp>0</stp>
        <stp>IR</stp>
        <stp>BONDAVG01576</stp>
        <stp>1.5년이하(당일)</stp>
        <stp>45300</stp>
        <stp/>
        <tr r="M36" s="2"/>
      </tp>
      <tp>
        <v>3.7810000000000001</v>
        <stp/>
        <stp>P</stp>
        <stp>0</stp>
        <stp>IR</stp>
        <stp>BONDAVG01576</stp>
        <stp>2.5년이하(당일)</stp>
        <stp>45300</stp>
        <stp/>
        <tr r="O36" s="2"/>
      </tp>
      <tp>
        <v>3.7250000000000001</v>
        <stp/>
        <stp>P</stp>
        <stp>0</stp>
        <stp>IR</stp>
        <stp>BONDAVG09587</stp>
        <stp>1.5년이하(당일)</stp>
        <stp>45300</stp>
        <stp/>
        <tr r="M20" s="2"/>
      </tp>
      <tp>
        <v>3.702</v>
        <stp/>
        <stp>P</stp>
        <stp>0</stp>
        <stp>IR</stp>
        <stp>BONDAVG09587</stp>
        <stp>2.5년이하(당일)</stp>
        <stp>45300</stp>
        <stp/>
        <tr r="O20" s="2"/>
      </tp>
      <tp>
        <v>3.8330000000000002</v>
        <stp/>
        <stp>P</stp>
        <stp>0</stp>
        <stp>IR</stp>
        <stp>BONDAVG04067</stp>
        <stp>1.5년이하(당일)</stp>
        <stp>45300</stp>
        <stp/>
        <tr r="M49" s="2"/>
      </tp>
      <tp>
        <v>3.8210000000000002</v>
        <stp/>
        <stp>P</stp>
        <stp>0</stp>
        <stp>IR</stp>
        <stp>BONDAVG04067</stp>
        <stp>2.5년이하(당일)</stp>
        <stp>45300</stp>
        <stp/>
        <tr r="O49" s="2"/>
      </tp>
      <tp>
        <v>3.7469999999999999</v>
        <stp/>
        <stp>P</stp>
        <stp>0</stp>
        <stp>IR</stp>
        <stp>BONDAVG03937</stp>
        <stp>1.5년이하(당일)</stp>
        <stp>45300</stp>
        <stp/>
        <tr r="M24" s="2"/>
      </tp>
      <tp>
        <v>3.7330000000000001</v>
        <stp/>
        <stp>P</stp>
        <stp>0</stp>
        <stp>IR</stp>
        <stp>BONDAVG03937</stp>
        <stp>2.5년이하(당일)</stp>
        <stp>45300</stp>
        <stp/>
        <tr r="O24" s="2"/>
      </tp>
      <tp>
        <v>3.8279999999999998</v>
        <stp/>
        <stp>P</stp>
        <stp>0</stp>
        <stp>IR</stp>
        <stp>BONDAVG11686</stp>
        <stp>2.5년이하(당일)</stp>
        <stp>45300</stp>
        <stp/>
        <tr r="O44" s="2"/>
      </tp>
      <tp>
        <v>3.681</v>
        <stp/>
        <stp>P</stp>
        <stp>0</stp>
        <stp>IR</stp>
        <stp>BONDAVG41543</stp>
        <stp>1.5년이하(당일)</stp>
        <stp>45300</stp>
        <stp/>
        <tr r="M23" s="2"/>
      </tp>
      <tp>
        <v>3.7290000000000001</v>
        <stp/>
        <stp>P</stp>
        <stp>0</stp>
        <stp>IR</stp>
        <stp>BONDAVG61461</stp>
        <stp>1.5년이하(당일)</stp>
        <stp>45300</stp>
        <stp/>
        <tr r="M30" s="2"/>
      </tp>
      <tp>
        <v>3.7130000000000001</v>
        <stp/>
        <stp>P</stp>
        <stp>0</stp>
        <stp>IR</stp>
        <stp>BONDAVG61461</stp>
        <stp>2.5년이하(당일)</stp>
        <stp>45300</stp>
        <stp/>
        <tr r="O30" s="2"/>
      </tp>
      <tp>
        <v>3.84</v>
        <stp/>
        <stp>P</stp>
        <stp>0</stp>
        <stp>IR</stp>
        <stp>BONDAVG11686</stp>
        <stp>1.5년이하(당일)</stp>
        <stp>45300</stp>
        <stp/>
        <tr r="M44" s="2"/>
      </tp>
      <tp>
        <v>3.6579999999999999</v>
        <stp/>
        <stp>P</stp>
        <stp>0</stp>
        <stp>IR</stp>
        <stp>BONDAVG41543</stp>
        <stp>2.5년이하(당일)</stp>
        <stp>45300</stp>
        <stp/>
        <tr r="O23" s="2"/>
      </tp>
      <tp>
        <v>3.6720000000000002</v>
        <stp/>
        <stp>P</stp>
        <stp>0</stp>
        <stp>IR</stp>
        <stp>BONDAVG08918</stp>
        <stp>1.5년이하(당일)</stp>
        <stp>45300</stp>
        <stp/>
        <tr r="M37" s="2"/>
      </tp>
      <tp>
        <v>3.65</v>
        <stp/>
        <stp>P</stp>
        <stp>0</stp>
        <stp>IR</stp>
        <stp>BONDAVG08918</stp>
        <stp>2.5년이하(당일)</stp>
        <stp>45300</stp>
        <stp/>
        <tr r="O37" s="2"/>
      </tp>
      <tp>
        <v>3.9239999999999999</v>
        <stp/>
        <stp>P</stp>
        <stp>0</stp>
        <stp>IR</stp>
        <stp>BONDAVG04908</stp>
        <stp>1.5년이하(당일)</stp>
        <stp>45300</stp>
        <stp/>
        <tr r="M48" s="2"/>
      </tp>
      <tp>
        <v>3.9180000000000001</v>
        <stp/>
        <stp>P</stp>
        <stp>0</stp>
        <stp>IR</stp>
        <stp>BONDAVG04908</stp>
        <stp>2.5년이하(당일)</stp>
        <stp>45300</stp>
        <stp/>
        <tr r="O48" s="2"/>
      </tp>
      <tp>
        <v>3.831</v>
        <stp/>
        <stp>P</stp>
        <stp>0</stp>
        <stp>IR</stp>
        <stp>BONDAVG13509</stp>
        <stp>1.5년이하(당일)</stp>
        <stp>45300</stp>
        <stp/>
        <tr r="M56" s="2"/>
      </tp>
      <tp>
        <v>3.823</v>
        <stp/>
        <stp>P</stp>
        <stp>0</stp>
        <stp>IR</stp>
        <stp>BONDAVG13509</stp>
        <stp>2.5년이하(당일)</stp>
        <stp>45300</stp>
        <stp/>
        <tr r="O56" s="2"/>
      </tp>
      <tp>
        <v>3.5550000000000002</v>
        <stp/>
        <stp>P</stp>
        <stp>0</stp>
        <stp>IR</stp>
        <stp>BONDAVG03938</stp>
        <stp>1.5년이하(당일)</stp>
        <stp>45300</stp>
        <stp/>
        <tr r="M9" s="2"/>
      </tp>
      <tp>
        <v>3.5219999999999998</v>
        <stp/>
        <stp>P</stp>
        <stp>0</stp>
        <stp>IR</stp>
        <stp>BONDAVG03938</stp>
        <stp>2.5년이하(당일)</stp>
        <stp>45300</stp>
        <stp/>
        <tr r="O9" s="2"/>
      </tp>
      <tp>
        <v>3.6480000000000001</v>
        <stp/>
        <stp>P</stp>
        <stp>0</stp>
        <stp>IR</stp>
        <stp>BONDAVG15678</stp>
        <stp>2.5년이하(당일)</stp>
        <stp>45300</stp>
        <stp/>
        <tr r="O39" s="2"/>
      </tp>
      <tp>
        <v>3.6720000000000002</v>
        <stp/>
        <stp>P</stp>
        <stp>0</stp>
        <stp>IR</stp>
        <stp>BONDAVG15678</stp>
        <stp>1.5년이하(당일)</stp>
        <stp>45300</stp>
        <stp/>
        <tr r="M39" s="2"/>
      </tp>
      <tp>
        <v>3.6640000000000001</v>
        <stp/>
        <stp>P</stp>
        <stp>0</stp>
        <stp>IR</stp>
        <stp>BONDAVG04019</stp>
        <stp>1.5년이하(당일)</stp>
        <stp>45300</stp>
        <stp/>
        <tr r="M15" s="2"/>
      </tp>
      <tp>
        <v>3.6429999999999998</v>
        <stp/>
        <stp>P</stp>
        <stp>0</stp>
        <stp>IR</stp>
        <stp>BONDAVG04019</stp>
        <stp>2.5년이하(당일)</stp>
        <stp>45300</stp>
        <stp/>
        <tr r="O15" s="2"/>
      </tp>
      <tp>
        <v>3.9119999999999999</v>
        <stp/>
        <stp>P</stp>
        <stp>0</stp>
        <stp>IR</stp>
        <stp>BONDAVG13328</stp>
        <stp>2.5년이하(당일)</stp>
        <stp>45300</stp>
        <stp/>
        <tr r="O43" s="2"/>
      </tp>
      <tp>
        <v>3.9039999999999999</v>
        <stp/>
        <stp>P</stp>
        <stp>0</stp>
        <stp>IR</stp>
        <stp>BONDAVG13328</stp>
        <stp>1.5년이하(당일)</stp>
        <stp>45300</stp>
        <stp/>
        <tr r="M43" s="2"/>
      </tp>
      <tp>
        <v>3.843</v>
        <stp/>
        <stp>P</stp>
        <stp>0</stp>
        <stp>IR</stp>
        <stp>BONDAVG13988</stp>
        <stp>1.5년이하(당일)</stp>
        <stp>45300</stp>
        <stp/>
        <tr r="M51" s="2"/>
      </tp>
      <tp>
        <v>3.8410000000000002</v>
        <stp/>
        <stp>P</stp>
        <stp>0</stp>
        <stp>IR</stp>
        <stp>BONDAVG13988</stp>
        <stp>2.5년이하(당일)</stp>
        <stp>45300</stp>
        <stp/>
        <tr r="O51" s="2"/>
      </tp>
      <tp>
        <v>3.863</v>
        <stp/>
        <stp>P</stp>
        <stp>0</stp>
        <stp>IR</stp>
        <stp>BONDAVG50879</stp>
        <stp>1.5년이하(당일)</stp>
        <stp>45300</stp>
        <stp/>
        <tr r="M52" s="2"/>
      </tp>
      <tp>
        <v>3.8580000000000001</v>
        <stp/>
        <stp>P</stp>
        <stp>0</stp>
        <stp>IR</stp>
        <stp>BONDAVG50879</stp>
        <stp>2.5년이하(당일)</stp>
        <stp>45300</stp>
        <stp/>
        <tr r="O52" s="2"/>
      </tp>
      <tp>
        <v>4.09</v>
        <stp/>
        <stp>P</stp>
        <stp>0</stp>
        <stp>IR</stp>
        <stp>BONDAVG64349</stp>
        <stp>2.5년이하(당일)</stp>
        <stp>45300</stp>
        <stp/>
        <tr r="O61" s="2"/>
      </tp>
      <tp>
        <v>4.1020000000000003</v>
        <stp/>
        <stp>P</stp>
        <stp>0</stp>
        <stp>IR</stp>
        <stp>BONDAVG64349</stp>
        <stp>1.5년이하(당일)</stp>
        <stp>45300</stp>
        <stp/>
        <tr r="M61" s="2"/>
      </tp>
      <tp>
        <v>3.7050000000000001</v>
        <stp/>
        <stp>P</stp>
        <stp>0</stp>
        <stp>IR</stp>
        <stp>BONDAVG60279</stp>
        <stp>2.5년이하(당일)</stp>
        <stp>45300</stp>
        <stp/>
        <tr r="O41" s="2"/>
      </tp>
      <tp>
        <v>3.7250000000000001</v>
        <stp/>
        <stp>P</stp>
        <stp>0</stp>
        <stp>IR</stp>
        <stp>BONDAVG60279</stp>
        <stp>1.5년이하(당일)</stp>
        <stp>45300</stp>
        <stp/>
        <tr r="M41" s="2"/>
      </tp>
      <tp>
        <v>3.6819999999999999</v>
        <stp/>
        <stp>P</stp>
        <stp>0</stp>
        <stp>IR</stp>
        <stp>BONDAVG14727</stp>
        <stp>6월이하(당일)</stp>
        <stp>45300</stp>
        <stp/>
        <tr r="J25" s="2"/>
      </tp>
      <tp>
        <v>3.7469999999999999</v>
        <stp/>
        <stp>P</stp>
        <stp>0</stp>
        <stp>IR</stp>
        <stp>BONDAVG65214</stp>
        <stp>3월이하(당일)</stp>
        <stp>45300</stp>
        <stp/>
        <tr r="I13" s="2"/>
      </tp>
      <tp>
        <v>3.7389999999999999</v>
        <stp/>
        <stp>P</stp>
        <stp>0</stp>
        <stp>IR</stp>
        <stp>BONDAVG11802</stp>
        <stp>9월이하(당일)</stp>
        <stp>45300</stp>
        <stp/>
        <tr r="K17" s="2"/>
      </tp>
      <tp>
        <v>3.7189999999999999</v>
        <stp/>
        <stp>P</stp>
        <stp>0</stp>
        <stp>IR</stp>
        <stp>BONDAVG03776</stp>
        <stp>6월이하(당일)</stp>
        <stp>45300</stp>
        <stp/>
        <tr r="J29" s="2"/>
      </tp>
      <tp>
        <v>3.6680000000000001</v>
        <stp/>
        <stp>P</stp>
        <stp>0</stp>
        <stp>IR</stp>
        <stp>BONDAVG60279</stp>
        <stp>3월이하(당일)</stp>
        <stp>45300</stp>
        <stp/>
        <tr r="I41" s="2"/>
      </tp>
      <tp>
        <v>3.7850000000000001</v>
        <stp/>
        <stp>P</stp>
        <stp>0</stp>
        <stp>IR</stp>
        <stp>BONDAVG50879</stp>
        <stp>9월이하(당일)</stp>
        <stp>45300</stp>
        <stp/>
        <tr r="K52" s="2"/>
      </tp>
      <tp>
        <v>3.8109999999999999</v>
        <stp/>
        <stp>P</stp>
        <stp>0</stp>
        <stp>IR</stp>
        <stp>BONDAVG16253</stp>
        <stp>3월이하(당일)</stp>
        <stp>45300</stp>
        <stp/>
        <tr r="I62" s="2"/>
      </tp>
      <tp>
        <v>4.0960000000000001</v>
        <stp/>
        <stp>P</stp>
        <stp>0</stp>
        <stp>IR</stp>
        <stp>BONDAVG62757</stp>
        <stp>6월이하(당일)</stp>
        <stp>45300</stp>
        <stp/>
        <tr r="J59" s="2"/>
      </tp>
      <tp>
        <v>3.621</v>
        <stp/>
        <stp>P</stp>
        <stp>0</stp>
        <stp>IR</stp>
        <stp>BONDAVG10095</stp>
        <stp>15년이하(당일)</stp>
        <stp>45300</stp>
        <stp/>
        <tr r="U38" s="2"/>
      </tp>
      <tp>
        <v>3.6139999999999999</v>
        <stp/>
        <stp>P</stp>
        <stp>0</stp>
        <stp>IR</stp>
        <stp>BONDAVG56490</stp>
        <stp>15년이하(당일)</stp>
        <stp>45300</stp>
        <stp/>
        <tr r="U40" s="2"/>
      </tp>
      <tp>
        <v>3.6539999999999999</v>
        <stp/>
        <stp>P</stp>
        <stp>0</stp>
        <stp>IR</stp>
        <stp>BONDAVG08683</stp>
        <stp>6월이하(당일)</stp>
        <stp>45300</stp>
        <stp/>
        <tr r="J28" s="2"/>
      </tp>
      <tp>
        <v>3.762</v>
        <stp/>
        <stp>P</stp>
        <stp>0</stp>
        <stp>IR</stp>
        <stp>BONDAVG11686</stp>
        <stp>6월이하(당일)</stp>
        <stp>45300</stp>
        <stp/>
        <tr r="J44" s="2"/>
      </tp>
      <tp>
        <v>3.758</v>
        <stp/>
        <stp>P</stp>
        <stp>0</stp>
        <stp>IR</stp>
        <stp>BONDAVG13988</stp>
        <stp>9월이하(당일)</stp>
        <stp>45300</stp>
        <stp/>
        <tr r="K51" s="2"/>
      </tp>
      <tp>
        <v>3.7719999999999998</v>
        <stp/>
        <stp>P</stp>
        <stp>0</stp>
        <stp>IR</stp>
        <stp>BONDAVG04932</stp>
        <stp>9월이하(당일)</stp>
        <stp>45300</stp>
        <stp/>
        <tr r="K46" s="2"/>
      </tp>
      <tp>
        <v>3.6920000000000002</v>
        <stp/>
        <stp>P</stp>
        <stp>0</stp>
        <stp>IR</stp>
        <stp>BONDAVG03937</stp>
        <stp>9월이하(당일)</stp>
        <stp>45300</stp>
        <stp/>
        <tr r="K24" s="2"/>
      </tp>
      <tp>
        <v>3.6709999999999998</v>
        <stp/>
        <stp>P</stp>
        <stp>0</stp>
        <stp>IR</stp>
        <stp>BONDAVG03936</stp>
        <stp>9월이하(당일)</stp>
        <stp>45300</stp>
        <stp/>
        <tr r="K22" s="2"/>
      </tp>
      <tp>
        <v>3.6339999999999999</v>
        <stp/>
        <stp>P</stp>
        <stp>0</stp>
        <stp>IR</stp>
        <stp>BONDAVG03934</stp>
        <stp>9월이하(당일)</stp>
        <stp>45300</stp>
        <stp/>
        <tr r="K27" s="2"/>
      </tp>
      <tp>
        <v>3.5489999999999999</v>
        <stp/>
        <stp>P</stp>
        <stp>0</stp>
        <stp>IR</stp>
        <stp>BONDAVG03938</stp>
        <stp>9월이하(당일)</stp>
        <stp>45300</stp>
        <stp/>
        <tr r="K9" s="2"/>
      </tp>
      <tp>
        <v>3.621</v>
        <stp/>
        <stp>P</stp>
        <stp>0</stp>
        <stp>IR</stp>
        <stp>BONDAVG03920</stp>
        <stp>9월이하(당일)</stp>
        <stp>45300</stp>
        <stp/>
        <tr r="K31" s="2"/>
      </tp>
      <tp>
        <v>3.62</v>
        <stp/>
        <stp>P</stp>
        <stp>0</stp>
        <stp>IR</stp>
        <stp>BONDAVG13327</stp>
        <stp>3월이하(당일)</stp>
        <stp>45300</stp>
        <stp/>
        <tr r="I32" s="2"/>
      </tp>
      <tp>
        <v>3.6190000000000002</v>
        <stp/>
        <stp>P</stp>
        <stp>0</stp>
        <stp>IR</stp>
        <stp>BONDAVG04324</stp>
        <stp>3월이하(당일)</stp>
        <stp>45300</stp>
        <stp/>
        <tr r="I33" s="2"/>
      </tp>
      <tp>
        <v>3.6859999999999999</v>
        <stp/>
        <stp>P</stp>
        <stp>0</stp>
        <stp>IR</stp>
        <stp>BONDAVG13328</stp>
        <stp>3월이하(당일)</stp>
        <stp>45300</stp>
        <stp/>
        <tr r="I43" s="2"/>
      </tp>
      <tp>
        <v>3.641</v>
        <stp/>
        <stp>P</stp>
        <stp>0</stp>
        <stp>IR</stp>
        <stp>BONDAVG08918</stp>
        <stp>9월이하(당일)</stp>
        <stp>45300</stp>
        <stp/>
        <tr r="K37" s="2"/>
      </tp>
      <tp>
        <v>4.0069999999999997</v>
        <stp/>
        <stp>P</stp>
        <stp>0</stp>
        <stp>IR</stp>
        <stp>BONDAVG64605</stp>
        <stp>6월이하(당일)</stp>
        <stp>45300</stp>
        <stp/>
        <tr r="J58" s="2"/>
      </tp>
      <tp>
        <v>3.6509999999999998</v>
        <stp/>
        <stp>P</stp>
        <stp>0</stp>
        <stp>IR</stp>
        <stp>BONDAVG03602</stp>
        <stp>6월이하(당일)</stp>
        <stp>45300</stp>
        <stp/>
        <tr r="J35" s="2"/>
      </tp>
      <tp>
        <v>3.6890000000000001</v>
        <stp/>
        <stp>P</stp>
        <stp>0</stp>
        <stp>IR</stp>
        <stp>BONDAVG12600</stp>
        <stp>6월이하(당일)</stp>
        <stp>45300</stp>
        <stp/>
        <tr r="J18" s="2"/>
      </tp>
      <tp>
        <v>3.8879999999999999</v>
        <stp/>
        <stp>P</stp>
        <stp>0</stp>
        <stp>IR</stp>
        <stp>BONDAVG56601</stp>
        <stp>6월이하(당일)</stp>
        <stp>45300</stp>
        <stp/>
        <tr r="J60" s="2"/>
      </tp>
      <tp>
        <v>3.9249999999999998</v>
        <stp/>
        <stp>P</stp>
        <stp>0</stp>
        <stp>IR</stp>
        <stp>BONDAVG19305</stp>
        <stp>3월이하(당일)</stp>
        <stp>45300</stp>
        <stp/>
        <tr r="I63" s="2"/>
      </tp>
      <tp>
        <v>3.8450000000000002</v>
        <stp/>
        <stp>P</stp>
        <stp>0</stp>
        <stp>IR</stp>
        <stp>BONDAVG04908</stp>
        <stp>9월이하(당일)</stp>
        <stp>45300</stp>
        <stp/>
        <tr r="K48" s="2"/>
      </tp>
      <tp>
        <v>3.657</v>
        <stp/>
        <stp>P</stp>
        <stp>0</stp>
        <stp>IR</stp>
        <stp>BONDAVG15678</stp>
        <stp>6월이하(당일)</stp>
        <stp>45300</stp>
        <stp/>
        <tr r="J39" s="2"/>
      </tp>
      <tp>
        <v>3.5489999999999999</v>
        <stp/>
        <stp>P</stp>
        <stp>0</stp>
        <stp>IR</stp>
        <stp>BONDAVG14957</stp>
        <stp>9월이하(당일)</stp>
        <stp>45300</stp>
        <stp/>
        <tr r="K10" s="2"/>
      </tp>
      <tp>
        <v>3.851</v>
        <stp/>
        <stp>P</stp>
        <stp>0</stp>
        <stp>IR</stp>
        <stp>BONDAVG64349</stp>
        <stp>3월이하(당일)</stp>
        <stp>45300</stp>
        <stp/>
        <tr r="I61" s="2"/>
      </tp>
      <tp>
        <v>3.6339999999999999</v>
        <stp/>
        <stp>P</stp>
        <stp>0</stp>
        <stp>IR</stp>
        <stp>BONDAVG08683</stp>
        <stp>15년이하(당일)</stp>
        <stp>45300</stp>
        <stp/>
        <tr r="U28" s="2"/>
      </tp>
      <tp>
        <v>3.6680000000000001</v>
        <stp/>
        <stp>P</stp>
        <stp>0</stp>
        <stp>IR</stp>
        <stp>BONDAVG09587</stp>
        <stp>15년이하(당일)</stp>
        <stp>45300</stp>
        <stp/>
        <tr r="U20" s="2"/>
      </tp>
      <tp>
        <v>3.847</v>
        <stp/>
        <stp>P</stp>
        <stp>0</stp>
        <stp>IR</stp>
        <stp>BONDAVG11686</stp>
        <stp>15년이하(당일)</stp>
        <stp>45300</stp>
        <stp/>
        <tr r="U44" s="2"/>
      </tp>
      <tp>
        <v>3.8570000000000002</v>
        <stp/>
        <stp>P</stp>
        <stp>0</stp>
        <stp>IR</stp>
        <stp>BONDAVG13988</stp>
        <stp>15년이하(당일)</stp>
        <stp>45300</stp>
        <stp/>
        <tr r="U51" s="2"/>
      </tp>
      <tp>
        <v>3.637</v>
        <stp/>
        <stp>P</stp>
        <stp>0</stp>
        <stp>IR</stp>
        <stp>BONDAVG10095</stp>
        <stp>3월이하(당일)</stp>
        <stp>45300</stp>
        <stp/>
        <tr r="I38" s="2"/>
      </tp>
      <tp>
        <v>3.6960000000000002</v>
        <stp/>
        <stp>P</stp>
        <stp>0</stp>
        <stp>IR</stp>
        <stp>BONDAVG09587</stp>
        <stp>6월이하(당일)</stp>
        <stp>45300</stp>
        <stp/>
        <tr r="J20" s="2"/>
      </tp>
      <tp>
        <v>3.6920000000000002</v>
        <stp/>
        <stp>P</stp>
        <stp>0</stp>
        <stp>IR</stp>
        <stp>BONDAVG03523</stp>
        <stp>6월이하(당일)</stp>
        <stp>45300</stp>
        <stp/>
        <tr r="J21" s="2"/>
      </tp>
      <tp>
        <v>3.665</v>
        <stp/>
        <stp>P</stp>
        <stp>0</stp>
        <stp>IR</stp>
        <stp>BONDAVG04021</stp>
        <stp>3월이하(당일)</stp>
        <stp>45300</stp>
        <stp/>
        <tr r="I50" s="2"/>
      </tp>
      <tp>
        <v>3.6360000000000001</v>
        <stp/>
        <stp>P</stp>
        <stp>0</stp>
        <stp>IR</stp>
        <stp>BONDAVG52517</stp>
        <stp>6월이하(당일)</stp>
        <stp>45300</stp>
        <stp/>
        <tr r="J34" s="2"/>
      </tp>
      <tp>
        <v>3.6160000000000001</v>
        <stp/>
        <stp>P</stp>
        <stp>0</stp>
        <stp>IR</stp>
        <stp>BONDAVG04019</stp>
        <stp>3월이하(당일)</stp>
        <stp>45300</stp>
        <stp/>
        <tr r="I15" s="2"/>
      </tp>
      <tp>
        <v>3.7090000000000001</v>
        <stp/>
        <stp>P</stp>
        <stp>0</stp>
        <stp>IR</stp>
        <stp>BONDAVG04004</stp>
        <stp>3월이하(당일)</stp>
        <stp>45300</stp>
        <stp/>
        <tr r="I47" s="2"/>
      </tp>
      <tp>
        <v>3.75</v>
        <stp/>
        <stp>P</stp>
        <stp>0</stp>
        <stp>IR</stp>
        <stp>BONDAVG13509</stp>
        <stp>6월이하(당일)</stp>
        <stp>45300</stp>
        <stp/>
        <tr r="J56" s="2"/>
      </tp>
      <tp>
        <v>3.8330000000000002</v>
        <stp/>
        <stp>P</stp>
        <stp>0</stp>
        <stp>IR</stp>
        <stp>BONDAVG08573</stp>
        <stp>6월이하(당일)</stp>
        <stp>45300</stp>
        <stp/>
        <tr r="J53" s="2"/>
      </tp>
      <tp>
        <v>3.6589999999999998</v>
        <stp/>
        <stp>P</stp>
        <stp>0</stp>
        <stp>IR</stp>
        <stp>BONDAVG08572</stp>
        <stp>6월이하(당일)</stp>
        <stp>45300</stp>
        <stp/>
        <tr r="J14" s="2"/>
      </tp>
      <tp>
        <v>3.7330000000000001</v>
        <stp/>
        <stp>P</stp>
        <stp>0</stp>
        <stp>IR</stp>
        <stp>BONDAVG01576</stp>
        <stp>6월이하(당일)</stp>
        <stp>45300</stp>
        <stp/>
        <tr r="J36" s="2"/>
      </tp>
      <tp>
        <v>3.5659999999999998</v>
        <stp/>
        <stp>P</stp>
        <stp>0</stp>
        <stp>IR</stp>
        <stp>BONDAVG10062</stp>
        <stp>3월이하(당일)</stp>
        <stp>45300</stp>
        <stp/>
        <tr r="I26" s="2"/>
      </tp>
      <tp>
        <v>3.6789999999999998</v>
        <stp/>
        <stp>P</stp>
        <stp>0</stp>
        <stp>IR</stp>
        <stp>BONDAVG04067</stp>
        <stp>3월이하(당일)</stp>
        <stp>45300</stp>
        <stp/>
        <tr r="I49" s="2"/>
      </tp>
      <tp>
        <v>3.7490000000000001</v>
        <stp/>
        <stp>P</stp>
        <stp>0</stp>
        <stp>IR</stp>
        <stp>BONDAVG53551</stp>
        <stp>6월이하(당일)</stp>
        <stp>45300</stp>
        <stp/>
        <tr r="J19" s="2"/>
      </tp>
      <tp>
        <v>3.6629999999999998</v>
        <stp/>
        <stp>P</stp>
        <stp>0</stp>
        <stp>IR</stp>
        <stp>BONDAVG41543</stp>
        <stp>6월이하(당일)</stp>
        <stp>45300</stp>
        <stp/>
        <tr r="J23" s="2"/>
      </tp>
      <tp>
        <v>3.76</v>
        <stp/>
        <stp>P</stp>
        <stp>0</stp>
        <stp>IR</stp>
        <stp>BONDAVG12544</stp>
        <stp>6월이하(당일)</stp>
        <stp>45300</stp>
        <stp/>
        <tr r="J55" s="2"/>
      </tp>
      <tp>
        <v>3.6520000000000001</v>
        <stp/>
        <stp>P</stp>
        <stp>0</stp>
        <stp>IR</stp>
        <stp>BONDAVG56490</stp>
        <stp>6월이하(당일)</stp>
        <stp>45300</stp>
        <stp/>
        <tr r="J40" s="2"/>
      </tp>
      <tp>
        <v>3.6659999999999999</v>
        <stp/>
        <stp>P</stp>
        <stp>0</stp>
        <stp>IR</stp>
        <stp>BONDAVG03432</stp>
        <stp>6월이하(당일)</stp>
        <stp>45300</stp>
        <stp/>
        <tr r="J16" s="2"/>
      </tp>
      <tp>
        <v>3.7330000000000001</v>
        <stp/>
        <stp>P</stp>
        <stp>0</stp>
        <stp>IR</stp>
        <stp>BONDAVG04130</stp>
        <stp>3월이하(당일)</stp>
        <stp>45300</stp>
        <stp/>
        <tr r="I12" s="2"/>
      </tp>
      <tp>
        <v>3.76</v>
        <stp/>
        <stp>P</stp>
        <stp>0</stp>
        <stp>IR</stp>
        <stp>BONDAVG12425</stp>
        <stp>6월이하(당일)</stp>
        <stp>45300</stp>
        <stp/>
        <tr r="J45" s="2"/>
      </tp>
      <tp>
        <v>3.6920000000000002</v>
        <stp/>
        <stp>P</stp>
        <stp>0</stp>
        <stp>IR</stp>
        <stp>BONDAVG61461</stp>
        <stp>6월이하(당일)</stp>
        <stp>45300</stp>
        <stp/>
        <tr r="J30" s="2"/>
      </tp>
      <tp>
        <v>3.7480000000000002</v>
        <stp/>
        <stp>P</stp>
        <stp>0</stp>
        <stp>IR</stp>
        <stp>BONDAVG12455</stp>
        <stp>6월이하(당일)</stp>
        <stp>45300</stp>
        <stp/>
        <tr r="J54" s="2"/>
      </tp>
      <tp>
        <v>3.6219999999999999</v>
        <stp/>
        <stp>P</stp>
        <stp>0</stp>
        <stp>IR</stp>
        <stp>BONDAVG08683</stp>
        <stp>3월이하(당일)</stp>
        <stp>45300</stp>
        <stp/>
        <tr r="I28" s="2"/>
      </tp>
      <tp>
        <v>3.6880000000000002</v>
        <stp/>
        <stp>P</stp>
        <stp>0</stp>
        <stp>IR</stp>
        <stp>BONDAVG11686</stp>
        <stp>3월이하(당일)</stp>
        <stp>45300</stp>
        <stp/>
        <tr r="I44" s="2"/>
      </tp>
      <tp>
        <v>3.6520000000000001</v>
        <stp/>
        <stp>P</stp>
        <stp>0</stp>
        <stp>IR</stp>
        <stp>BONDAVG13327</stp>
        <stp>6월이하(당일)</stp>
        <stp>45300</stp>
        <stp/>
        <tr r="J32" s="2"/>
      </tp>
      <tp>
        <v>3.6480000000000001</v>
        <stp/>
        <stp>P</stp>
        <stp>0</stp>
        <stp>IR</stp>
        <stp>BONDAVG04324</stp>
        <stp>6월이하(당일)</stp>
        <stp>45300</stp>
        <stp/>
        <tr r="J33" s="2"/>
      </tp>
      <tp>
        <v>3.7829999999999999</v>
        <stp/>
        <stp>P</stp>
        <stp>0</stp>
        <stp>IR</stp>
        <stp>BONDAVG13328</stp>
        <stp>6월이하(당일)</stp>
        <stp>45300</stp>
        <stp/>
        <tr r="J43" s="2"/>
      </tp>
      <tp>
        <v>3.9350000000000001</v>
        <stp/>
        <stp>P</stp>
        <stp>0</stp>
        <stp>IR</stp>
        <stp>BONDAVG64605</stp>
        <stp>3월이하(당일)</stp>
        <stp>45300</stp>
        <stp/>
        <tr r="I58" s="2"/>
      </tp>
      <tp>
        <v>3.62</v>
        <stp/>
        <stp>P</stp>
        <stp>0</stp>
        <stp>IR</stp>
        <stp>BONDAVG03602</stp>
        <stp>3월이하(당일)</stp>
        <stp>45300</stp>
        <stp/>
        <tr r="I35" s="2"/>
      </tp>
      <tp>
        <v>3.653</v>
        <stp/>
        <stp>P</stp>
        <stp>0</stp>
        <stp>IR</stp>
        <stp>BONDAVG12600</stp>
        <stp>3월이하(당일)</stp>
        <stp>45300</stp>
        <stp/>
        <tr r="I18" s="2"/>
      </tp>
      <tp>
        <v>3.806</v>
        <stp/>
        <stp>P</stp>
        <stp>0</stp>
        <stp>IR</stp>
        <stp>BONDAVG56601</stp>
        <stp>3월이하(당일)</stp>
        <stp>45300</stp>
        <stp/>
        <tr r="I60" s="2"/>
      </tp>
      <tp>
        <v>3.9990000000000001</v>
        <stp/>
        <stp>P</stp>
        <stp>0</stp>
        <stp>IR</stp>
        <stp>BONDAVG19305</stp>
        <stp>6월이하(당일)</stp>
        <stp>45300</stp>
        <stp/>
        <tr r="J63" s="2"/>
      </tp>
      <tp>
        <v>3.6269999999999998</v>
        <stp/>
        <stp>P</stp>
        <stp>0</stp>
        <stp>IR</stp>
        <stp>BONDAVG15678</stp>
        <stp>3월이하(당일)</stp>
        <stp>45300</stp>
        <stp/>
        <tr r="I39" s="2"/>
      </tp>
      <tp>
        <v>3.96</v>
        <stp/>
        <stp>P</stp>
        <stp>0</stp>
        <stp>IR</stp>
        <stp>BONDAVG64349</stp>
        <stp>6월이하(당일)</stp>
        <stp>45300</stp>
        <stp/>
        <tr r="J61" s="2"/>
      </tp>
      <tp>
        <v>3.66</v>
        <stp/>
        <stp>P</stp>
        <stp>0</stp>
        <stp>IR</stp>
        <stp>BONDAVG08683</stp>
        <stp>10년이하(당일)</stp>
        <stp>45300</stp>
        <stp/>
        <tr r="T28" s="2"/>
      </tp>
      <tp>
        <v>3.59</v>
        <stp/>
        <stp>P</stp>
        <stp>0</stp>
        <stp>IR</stp>
        <stp>BONDAVG08683</stp>
        <stp>20년이하(당일)</stp>
        <stp>45300</stp>
        <stp/>
        <tr r="V28" s="2"/>
      </tp>
      <tp>
        <v>3.6709999999999998</v>
        <stp/>
        <stp>P</stp>
        <stp>0</stp>
        <stp>IR</stp>
        <stp>BONDAVG09587</stp>
        <stp>20년이하(당일)</stp>
        <stp>45300</stp>
        <stp/>
        <tr r="V20" s="2"/>
      </tp>
      <tp>
        <v>3.7170000000000001</v>
        <stp/>
        <stp>P</stp>
        <stp>0</stp>
        <stp>IR</stp>
        <stp>BONDAVG09587</stp>
        <stp>10년이하(당일)</stp>
        <stp>45300</stp>
        <stp/>
        <tr r="T20" s="2"/>
      </tp>
      <tp>
        <v>3.859</v>
        <stp/>
        <stp>P</stp>
        <stp>0</stp>
        <stp>IR</stp>
        <stp>BONDAVG11686</stp>
        <stp>10년이하(당일)</stp>
        <stp>45300</stp>
        <stp/>
        <tr r="T44" s="2"/>
      </tp>
      <tp>
        <v>3.85</v>
        <stp/>
        <stp>P</stp>
        <stp>0</stp>
        <stp>IR</stp>
        <stp>BONDAVG11686</stp>
        <stp>20년이하(당일)</stp>
        <stp>45300</stp>
        <stp/>
        <tr r="V44" s="2"/>
      </tp>
      <tp>
        <v>3.86</v>
        <stp/>
        <stp>P</stp>
        <stp>0</stp>
        <stp>IR</stp>
        <stp>BONDAVG13988</stp>
        <stp>20년이하(당일)</stp>
        <stp>45300</stp>
        <stp/>
        <tr r="V51" s="2"/>
      </tp>
      <tp>
        <v>3.8690000000000002</v>
        <stp/>
        <stp>P</stp>
        <stp>0</stp>
        <stp>IR</stp>
        <stp>BONDAVG13988</stp>
        <stp>10년이하(당일)</stp>
        <stp>45300</stp>
        <stp/>
        <tr r="T51" s="2"/>
      </tp>
      <tp>
        <v>3.6480000000000001</v>
        <stp/>
        <stp>P</stp>
        <stp>0</stp>
        <stp>IR</stp>
        <stp>BONDAVG14727</stp>
        <stp>3월이하(당일)</stp>
        <stp>45300</stp>
        <stp/>
        <tr r="I25" s="2"/>
      </tp>
      <tp>
        <v>3.786</v>
        <stp/>
        <stp>P</stp>
        <stp>0</stp>
        <stp>IR</stp>
        <stp>BONDAVG65214</stp>
        <stp>6월이하(당일)</stp>
        <stp>45300</stp>
        <stp/>
        <tr r="J13" s="2"/>
      </tp>
      <tp>
        <v>3.6850000000000001</v>
        <stp/>
        <stp>P</stp>
        <stp>0</stp>
        <stp>IR</stp>
        <stp>BONDAVG03776</stp>
        <stp>3월이하(당일)</stp>
        <stp>45300</stp>
        <stp/>
        <tr r="I29" s="2"/>
      </tp>
      <tp>
        <v>3.7010000000000001</v>
        <stp/>
        <stp>P</stp>
        <stp>0</stp>
        <stp>IR</stp>
        <stp>BONDAVG60279</stp>
        <stp>6월이하(당일)</stp>
        <stp>45300</stp>
        <stp/>
        <tr r="J41" s="2"/>
      </tp>
      <tp>
        <v>3.8919999999999999</v>
        <stp/>
        <stp>P</stp>
        <stp>0</stp>
        <stp>IR</stp>
        <stp>BONDAVG16253</stp>
        <stp>6월이하(당일)</stp>
        <stp>45300</stp>
        <stp/>
        <tr r="J62" s="2"/>
      </tp>
      <tp>
        <v>4.01</v>
        <stp/>
        <stp>P</stp>
        <stp>0</stp>
        <stp>IR</stp>
        <stp>BONDAVG62757</stp>
        <stp>3월이하(당일)</stp>
        <stp>45300</stp>
        <stp/>
        <tr r="I59" s="2"/>
      </tp>
      <tp>
        <v>3.58</v>
        <stp/>
        <stp>P</stp>
        <stp>0</stp>
        <stp>IR</stp>
        <stp>BONDAVG10095</stp>
        <stp>20년이하(당일)</stp>
        <stp>45300</stp>
        <stp/>
        <tr r="V38" s="2"/>
      </tp>
      <tp>
        <v>3.6579999999999999</v>
        <stp/>
        <stp>P</stp>
        <stp>0</stp>
        <stp>IR</stp>
        <stp>BONDAVG10095</stp>
        <stp>10년이하(당일)</stp>
        <stp>45300</stp>
        <stp/>
        <tr r="T38" s="2"/>
      </tp>
      <tp>
        <v>3.577</v>
        <stp/>
        <stp>P</stp>
        <stp>0</stp>
        <stp>IR</stp>
        <stp>BONDAVG56490</stp>
        <stp>20년이하(당일)</stp>
        <stp>45300</stp>
        <stp/>
        <tr r="V40" s="2"/>
      </tp>
      <tp>
        <v>3.6480000000000001</v>
        <stp/>
        <stp>P</stp>
        <stp>0</stp>
        <stp>IR</stp>
        <stp>BONDAVG56490</stp>
        <stp>10년이하(당일)</stp>
        <stp>45300</stp>
        <stp/>
        <tr r="T40" s="2"/>
      </tp>
      <tp>
        <v>3.62</v>
        <stp/>
        <stp>P</stp>
        <stp>0</stp>
        <stp>IR</stp>
        <stp>BONDAVG56490</stp>
        <stp>3월이하(당일)</stp>
        <stp>45300</stp>
        <stp/>
        <tr r="I40" s="2"/>
      </tp>
      <tp>
        <v>3.633</v>
        <stp/>
        <stp>P</stp>
        <stp>0</stp>
        <stp>IR</stp>
        <stp>BONDAVG03432</stp>
        <stp>3월이하(당일)</stp>
        <stp>45300</stp>
        <stp/>
        <tr r="I16" s="2"/>
      </tp>
      <tp>
        <v>3.7690000000000001</v>
        <stp/>
        <stp>P</stp>
        <stp>0</stp>
        <stp>IR</stp>
        <stp>BONDAVG04130</stp>
        <stp>6월이하(당일)</stp>
        <stp>45300</stp>
        <stp/>
        <tr r="J12" s="2"/>
      </tp>
      <tp>
        <v>3.6629999999999998</v>
        <stp/>
        <stp>P</stp>
        <stp>0</stp>
        <stp>IR</stp>
        <stp>BONDAVG12425</stp>
        <stp>3월이하(당일)</stp>
        <stp>45300</stp>
        <stp/>
        <tr r="I45" s="2"/>
      </tp>
      <tp>
        <v>3.6619999999999999</v>
        <stp/>
        <stp>P</stp>
        <stp>0</stp>
        <stp>IR</stp>
        <stp>BONDAVG61461</stp>
        <stp>3월이하(당일)</stp>
        <stp>45300</stp>
        <stp/>
        <tr r="I30" s="2"/>
      </tp>
      <tp>
        <v>3.6739999999999999</v>
        <stp/>
        <stp>P</stp>
        <stp>0</stp>
        <stp>IR</stp>
        <stp>BONDAVG12455</stp>
        <stp>3월이하(당일)</stp>
        <stp>45300</stp>
        <stp/>
        <tr r="I54" s="2"/>
      </tp>
      <tp>
        <v>3.6659999999999999</v>
        <stp/>
        <stp>P</stp>
        <stp>0</stp>
        <stp>IR</stp>
        <stp>BONDAVG10095</stp>
        <stp>6월이하(당일)</stp>
        <stp>45300</stp>
        <stp/>
        <tr r="J38" s="2"/>
      </tp>
      <tp>
        <v>3.66</v>
        <stp/>
        <stp>P</stp>
        <stp>0</stp>
        <stp>IR</stp>
        <stp>BONDAVG09587</stp>
        <stp>3월이하(당일)</stp>
        <stp>45300</stp>
        <stp/>
        <tr r="I20" s="2"/>
      </tp>
      <tp>
        <v>3.6549999999999998</v>
        <stp/>
        <stp>P</stp>
        <stp>0</stp>
        <stp>IR</stp>
        <stp>BONDAVG03523</stp>
        <stp>3월이하(당일)</stp>
        <stp>45300</stp>
        <stp/>
        <tr r="I21" s="2"/>
      </tp>
      <tp>
        <v>3.74</v>
        <stp/>
        <stp>P</stp>
        <stp>0</stp>
        <stp>IR</stp>
        <stp>BONDAVG04021</stp>
        <stp>6월이하(당일)</stp>
        <stp>45300</stp>
        <stp/>
        <tr r="J50" s="2"/>
      </tp>
      <tp>
        <v>3.605</v>
        <stp/>
        <stp>P</stp>
        <stp>0</stp>
        <stp>IR</stp>
        <stp>BONDAVG52517</stp>
        <stp>3월이하(당일)</stp>
        <stp>45300</stp>
        <stp/>
        <tr r="I34" s="2"/>
      </tp>
      <tp>
        <v>3.6459999999999999</v>
        <stp/>
        <stp>P</stp>
        <stp>0</stp>
        <stp>IR</stp>
        <stp>BONDAVG04019</stp>
        <stp>6월이하(당일)</stp>
        <stp>45300</stp>
        <stp/>
        <tr r="J15" s="2"/>
      </tp>
      <tp>
        <v>3.7810000000000001</v>
        <stp/>
        <stp>P</stp>
        <stp>0</stp>
        <stp>IR</stp>
        <stp>BONDAVG04004</stp>
        <stp>6월이하(당일)</stp>
        <stp>45300</stp>
        <stp/>
        <tr r="J47" s="2"/>
      </tp>
      <tp>
        <v>3.6749999999999998</v>
        <stp/>
        <stp>P</stp>
        <stp>0</stp>
        <stp>IR</stp>
        <stp>BONDAVG13509</stp>
        <stp>3월이하(당일)</stp>
        <stp>45300</stp>
        <stp/>
        <tr r="I56" s="2"/>
      </tp>
      <tp>
        <v>3.7589999999999999</v>
        <stp/>
        <stp>P</stp>
        <stp>0</stp>
        <stp>IR</stp>
        <stp>BONDAVG08573</stp>
        <stp>3월이하(당일)</stp>
        <stp>45300</stp>
        <stp/>
        <tr r="I53" s="2"/>
      </tp>
      <tp>
        <v>3.6280000000000001</v>
        <stp/>
        <stp>P</stp>
        <stp>0</stp>
        <stp>IR</stp>
        <stp>BONDAVG08572</stp>
        <stp>3월이하(당일)</stp>
        <stp>45300</stp>
        <stp/>
        <tr r="I14" s="2"/>
      </tp>
      <tp>
        <v>3.681</v>
        <stp/>
        <stp>P</stp>
        <stp>0</stp>
        <stp>IR</stp>
        <stp>BONDAVG01576</stp>
        <stp>3월이하(당일)</stp>
        <stp>45300</stp>
        <stp/>
        <tr r="I36" s="2"/>
      </tp>
      <tp>
        <v>3.6179999999999999</v>
        <stp/>
        <stp>P</stp>
        <stp>0</stp>
        <stp>IR</stp>
        <stp>BONDAVG10062</stp>
        <stp>6월이하(당일)</stp>
        <stp>45300</stp>
        <stp/>
        <tr r="J26" s="2"/>
      </tp>
      <tp>
        <v>3.7559999999999998</v>
        <stp/>
        <stp>P</stp>
        <stp>0</stp>
        <stp>IR</stp>
        <stp>BONDAVG04067</stp>
        <stp>6월이하(당일)</stp>
        <stp>45300</stp>
        <stp/>
        <tr r="J49" s="2"/>
      </tp>
      <tp>
        <v>3.7170000000000001</v>
        <stp/>
        <stp>P</stp>
        <stp>0</stp>
        <stp>IR</stp>
        <stp>BONDAVG53551</stp>
        <stp>3월이하(당일)</stp>
        <stp>45300</stp>
        <stp/>
        <tr r="I19" s="2"/>
      </tp>
      <tp>
        <v>3.6349999999999998</v>
        <stp/>
        <stp>P</stp>
        <stp>0</stp>
        <stp>IR</stp>
        <stp>BONDAVG41543</stp>
        <stp>3월이하(당일)</stp>
        <stp>45300</stp>
        <stp/>
        <tr r="I23" s="2"/>
      </tp>
      <tp>
        <v>3.6869999999999998</v>
        <stp/>
        <stp>P</stp>
        <stp>0</stp>
        <stp>IR</stp>
        <stp>BONDAVG12544</stp>
        <stp>3월이하(당일)</stp>
        <stp>45300</stp>
        <stp/>
        <tr r="I55" s="2"/>
      </tp>
      <tp>
        <v>3.6539999999999999</v>
        <stp/>
        <stp>P</stp>
        <stp>0</stp>
        <stp>IR</stp>
        <stp>BONDAVG10095</stp>
        <stp>9월이하(당일)</stp>
        <stp>45300</stp>
        <stp/>
        <tr r="K38" s="2"/>
      </tp>
      <tp>
        <v>3.7370000000000001</v>
        <stp/>
        <stp>P</stp>
        <stp>0</stp>
        <stp>IR</stp>
        <stp>BONDAVG04021</stp>
        <stp>9월이하(당일)</stp>
        <stp>45300</stp>
        <stp/>
        <tr r="K50" s="2"/>
      </tp>
      <tp>
        <v>3.629</v>
        <stp/>
        <stp>P</stp>
        <stp>0</stp>
        <stp>IR</stp>
        <stp>BONDAVG04019</stp>
        <stp>9월이하(당일)</stp>
        <stp>45300</stp>
        <stp/>
        <tr r="K15" s="2"/>
      </tp>
      <tp>
        <v>3.782</v>
        <stp/>
        <stp>P</stp>
        <stp>0</stp>
        <stp>IR</stp>
        <stp>BONDAVG04004</stp>
        <stp>9월이하(당일)</stp>
        <stp>45300</stp>
        <stp/>
        <tr r="K47" s="2"/>
      </tp>
      <tp>
        <v>3.6080000000000001</v>
        <stp/>
        <stp>P</stp>
        <stp>0</stp>
        <stp>IR</stp>
        <stp>BONDAVG10062</stp>
        <stp>9월이하(당일)</stp>
        <stp>45300</stp>
        <stp/>
        <tr r="K26" s="2"/>
      </tp>
      <tp>
        <v>3.7549999999999999</v>
        <stp/>
        <stp>P</stp>
        <stp>0</stp>
        <stp>IR</stp>
        <stp>BONDAVG04067</stp>
        <stp>9월이하(당일)</stp>
        <stp>45300</stp>
        <stp/>
        <tr r="K49" s="2"/>
      </tp>
      <tp>
        <v>3.7639999999999998</v>
        <stp/>
        <stp>P</stp>
        <stp>0</stp>
        <stp>IR</stp>
        <stp>BONDAVG65214</stp>
        <stp>15년이하(당일)</stp>
        <stp>45300</stp>
        <stp/>
        <tr r="U13" s="2"/>
      </tp>
      <tp>
        <v>3.5990000000000002</v>
        <stp/>
        <stp>P</stp>
        <stp>0</stp>
        <stp>IR</stp>
        <stp>BONDAVG52517</stp>
        <stp>15년이하(당일)</stp>
        <stp>45300</stp>
        <stp/>
        <tr r="U34" s="2"/>
      </tp>
      <tp>
        <v>3.5910000000000002</v>
        <stp/>
        <stp>P</stp>
        <stp>0</stp>
        <stp>IR</stp>
        <stp>BONDAVG41543</stp>
        <stp>20년이하(당일)</stp>
        <stp>45300</stp>
        <stp/>
        <tr r="V23" s="2"/>
      </tp>
      <tp>
        <v>3.661</v>
        <stp/>
        <stp>P</stp>
        <stp>0</stp>
        <stp>IR</stp>
        <stp>BONDAVG41543</stp>
        <stp>10년이하(당일)</stp>
        <stp>45300</stp>
        <stp/>
        <tr r="T23" s="2"/>
      </tp>
      <tp>
        <v>3.86</v>
        <stp/>
        <stp>P</stp>
        <stp>0</stp>
        <stp>IR</stp>
        <stp>BONDAVG12544</stp>
        <stp>20년이하(당일)</stp>
        <stp>45300</stp>
        <stp/>
        <tr r="V55" s="2"/>
      </tp>
      <tp>
        <v>3.8690000000000002</v>
        <stp/>
        <stp>P</stp>
        <stp>0</stp>
        <stp>IR</stp>
        <stp>BONDAVG12544</stp>
        <stp>10년이하(당일)</stp>
        <stp>45300</stp>
        <stp/>
        <tr r="T55" s="2"/>
      </tp>
      <tp>
        <v>3.629</v>
        <stp/>
        <stp>P</stp>
        <stp>0</stp>
        <stp>IR</stp>
        <stp>BONDAVG08918</stp>
        <stp>15년이하(당일)</stp>
        <stp>45300</stp>
        <stp/>
        <tr r="U37" s="2"/>
      </tp>
      <tp>
        <v>3.6040000000000001</v>
        <stp/>
        <stp>P</stp>
        <stp>0</stp>
        <stp>IR</stp>
        <stp>BONDAVG04019</stp>
        <stp>15년이하(당일)</stp>
        <stp>45300</stp>
        <stp/>
        <tr r="U15" s="2"/>
      </tp>
      <tp>
        <v>4.141</v>
        <stp/>
        <stp>P</stp>
        <stp>0</stp>
        <stp>IR</stp>
        <stp>BONDAVG64349</stp>
        <stp>10년이하(당일)</stp>
        <stp>45300</stp>
        <stp/>
        <tr r="T61" s="2"/>
      </tp>
      <tp>
        <v>4.173</v>
        <stp/>
        <stp>P</stp>
        <stp>0</stp>
        <stp>IR</stp>
        <stp>BONDAVG64349</stp>
        <stp>20년이하(당일)</stp>
        <stp>45300</stp>
        <stp/>
        <tr r="V61" s="2"/>
      </tp>
      <tp>
        <v>3.762</v>
        <stp/>
        <stp>P</stp>
        <stp>0</stp>
        <stp>IR</stp>
        <stp>BONDAVG04130</stp>
        <stp>9월이하(당일)</stp>
        <stp>45300</stp>
        <stp/>
        <tr r="K12" s="2"/>
      </tp>
      <tp>
        <v>4.0960000000000001</v>
        <stp/>
        <stp>P</stp>
        <stp>0</stp>
        <stp>IR</stp>
        <stp>BONDAVG16253</stp>
        <stp>10년이하(당일)</stp>
        <stp>45300</stp>
        <stp/>
        <tr r="T62" s="2"/>
      </tp>
      <tp>
        <v>4.117</v>
        <stp/>
        <stp>P</stp>
        <stp>0</stp>
        <stp>IR</stp>
        <stp>BONDAVG16253</stp>
        <stp>20년이하(당일)</stp>
        <stp>45300</stp>
        <stp/>
        <tr r="V62" s="2"/>
      </tp>
      <tp>
        <v>3.6360000000000001</v>
        <stp/>
        <stp>P</stp>
        <stp>0</stp>
        <stp>IR</stp>
        <stp>BONDAVG03602</stp>
        <stp>15년이하(당일)</stp>
        <stp>45300</stp>
        <stp/>
        <tr r="U35" s="2"/>
      </tp>
      <tp>
        <v>4.2290000000000001</v>
        <stp/>
        <stp>P</stp>
        <stp>0</stp>
        <stp>IR</stp>
        <stp>BONDAVG64605</stp>
        <stp>15년이하(당일)</stp>
        <stp>45300</stp>
        <stp/>
        <tr r="U58" s="2"/>
      </tp>
      <tp>
        <v>3.7210000000000001</v>
        <stp/>
        <stp>P</stp>
        <stp>0</stp>
        <stp>IR</stp>
        <stp>BONDAVG11802</stp>
        <stp>15년이하(당일)</stp>
        <stp>45300</stp>
        <stp/>
        <tr r="U17" s="2"/>
      </tp>
      <tp>
        <v>4.2670000000000003</v>
        <stp/>
        <stp>P</stp>
        <stp>0</stp>
        <stp>IR</stp>
        <stp>BONDAVG62757</stp>
        <stp>10년이하(당일)</stp>
        <stp>45300</stp>
        <stp/>
        <tr r="T59" s="2"/>
      </tp>
      <tp>
        <v>3.649</v>
        <stp/>
        <stp>P</stp>
        <stp>0</stp>
        <stp>IR</stp>
        <stp>BONDAVG12600</stp>
        <stp>15년이하(당일)</stp>
        <stp>45300</stp>
        <stp/>
        <tr r="U18" s="2"/>
      </tp>
      <tp>
        <v>4.2789999999999999</v>
        <stp/>
        <stp>P</stp>
        <stp>0</stp>
        <stp>IR</stp>
        <stp>BONDAVG62757</stp>
        <stp>20년이하(당일)</stp>
        <stp>45300</stp>
        <stp/>
        <tr r="V59" s="2"/>
      </tp>
      <tp>
        <v>3.5179999999999998</v>
        <stp/>
        <stp>P</stp>
        <stp>0</stp>
        <stp>IR</stp>
        <stp>BONDAVG14957</stp>
        <stp>20년이하(당일)</stp>
        <stp>45300</stp>
        <stp/>
        <tr r="V10" s="2"/>
      </tp>
      <tp>
        <v>3.601</v>
        <stp/>
        <stp>P</stp>
        <stp>0</stp>
        <stp>IR</stp>
        <stp>BONDAVG14957</stp>
        <stp>10년이하(당일)</stp>
        <stp>45300</stp>
        <stp/>
        <tr r="T10" s="2"/>
      </tp>
      <tp>
        <v>4.2009999999999996</v>
        <stp/>
        <stp>P</stp>
        <stp>0</stp>
        <stp>IR</stp>
        <stp>BONDAVG19305</stp>
        <stp>15년이하(당일)</stp>
        <stp>45300</stp>
        <stp/>
        <tr r="U63" s="2"/>
      </tp>
      <tp>
        <v>3.8849999999999998</v>
        <stp/>
        <stp>P</stp>
        <stp>0</stp>
        <stp>IR</stp>
        <stp>BONDAVG04004</stp>
        <stp>15년이하(당일)</stp>
        <stp>45300</stp>
        <stp/>
        <tr r="U47" s="2"/>
      </tp>
      <tp>
        <v>4.1100000000000003</v>
        <stp/>
        <stp>P</stp>
        <stp>0</stp>
        <stp>IR</stp>
        <stp>BONDAVG56601</stp>
        <stp>15년이하(당일)</stp>
        <stp>45300</stp>
        <stp/>
        <tr r="U60" s="2"/>
      </tp>
      <tp>
        <v>3.6890000000000001</v>
        <stp/>
        <stp>P</stp>
        <stp>0</stp>
        <stp>IR</stp>
        <stp>BONDAVG53551</stp>
        <stp>20년이하(당일)</stp>
        <stp>45300</stp>
        <stp/>
        <tr r="V19" s="2"/>
      </tp>
      <tp>
        <v>3.7679999999999998</v>
        <stp/>
        <stp>P</stp>
        <stp>0</stp>
        <stp>IR</stp>
        <stp>BONDAVG53551</stp>
        <stp>10년이하(당일)</stp>
        <stp>45300</stp>
        <stp/>
        <tr r="T19" s="2"/>
      </tp>
      <tp>
        <v>3.839</v>
        <stp/>
        <stp>P</stp>
        <stp>0</stp>
        <stp>IR</stp>
        <stp>BONDAVG12455</stp>
        <stp>20년이하(당일)</stp>
        <stp>45300</stp>
        <stp/>
        <tr r="V54" s="2"/>
      </tp>
      <tp>
        <v>3.8460000000000001</v>
        <stp/>
        <stp>P</stp>
        <stp>0</stp>
        <stp>IR</stp>
        <stp>BONDAVG12455</stp>
        <stp>10년이하(당일)</stp>
        <stp>45300</stp>
        <stp/>
        <tr r="T54" s="2"/>
      </tp>
      <tp>
        <v>3.915</v>
        <stp/>
        <stp>P</stp>
        <stp>0</stp>
        <stp>IR</stp>
        <stp>BONDAVG04908</stp>
        <stp>15년이하(당일)</stp>
        <stp>45300</stp>
        <stp/>
        <tr r="U48" s="2"/>
      </tp>
      <tp>
        <v>3.8420000000000001</v>
        <stp/>
        <stp>P</stp>
        <stp>0</stp>
        <stp>IR</stp>
        <stp>BONDAVG13509</stp>
        <stp>15년이하(당일)</stp>
        <stp>45300</stp>
        <stp/>
        <tr r="U56" s="2"/>
      </tp>
      <tp>
        <v>3.7709999999999999</v>
        <stp/>
        <stp>P</stp>
        <stp>0</stp>
        <stp>IR</stp>
        <stp>BONDAVG65214</stp>
        <stp>9월이하(당일)</stp>
        <stp>45300</stp>
        <stp/>
        <tr r="K13" s="2"/>
      </tp>
      <tp>
        <v>3.7130000000000001</v>
        <stp/>
        <stp>P</stp>
        <stp>0</stp>
        <stp>IR</stp>
        <stp>BONDAVG11802</stp>
        <stp>3월이하(당일)</stp>
        <stp>45300</stp>
        <stp/>
        <tr r="I17" s="2"/>
      </tp>
      <tp>
        <v>3.6869999999999998</v>
        <stp/>
        <stp>P</stp>
        <stp>0</stp>
        <stp>IR</stp>
        <stp>BONDAVG60279</stp>
        <stp>9월이하(당일)</stp>
        <stp>45300</stp>
        <stp/>
        <tr r="K41" s="2"/>
      </tp>
      <tp>
        <v>3.714</v>
        <stp/>
        <stp>P</stp>
        <stp>0</stp>
        <stp>IR</stp>
        <stp>BONDAVG50879</stp>
        <stp>3월이하(당일)</stp>
        <stp>45300</stp>
        <stp/>
        <tr r="I52" s="2"/>
      </tp>
      <tp>
        <v>3.9089999999999998</v>
        <stp/>
        <stp>P</stp>
        <stp>0</stp>
        <stp>IR</stp>
        <stp>BONDAVG16253</stp>
        <stp>9월이하(당일)</stp>
        <stp>45300</stp>
        <stp/>
        <tr r="K62" s="2"/>
      </tp>
      <tp>
        <v>3.895</v>
        <stp/>
        <stp>P</stp>
        <stp>0</stp>
        <stp>IR</stp>
        <stp>BONDAVG04932</stp>
        <stp>15년이하(당일)</stp>
        <stp>45300</stp>
        <stp/>
        <tr r="U46" s="2"/>
      </tp>
      <tp>
        <v>3.6339999999999999</v>
        <stp/>
        <stp>P</stp>
        <stp>0</stp>
        <stp>IR</stp>
        <stp>BONDAVG03432</stp>
        <stp>15년이하(당일)</stp>
        <stp>45300</stp>
        <stp/>
        <tr r="U16" s="2"/>
      </tp>
      <tp>
        <v>3.5680000000000001</v>
        <stp/>
        <stp>P</stp>
        <stp>0</stp>
        <stp>IR</stp>
        <stp>BONDAVG10062</stp>
        <stp>20년이하(당일)</stp>
        <stp>45300</stp>
        <stp/>
        <tr r="V26" s="2"/>
      </tp>
      <tp>
        <v>3.6320000000000001</v>
        <stp/>
        <stp>P</stp>
        <stp>0</stp>
        <stp>IR</stp>
        <stp>BONDAVG10062</stp>
        <stp>10년이하(당일)</stp>
        <stp>45300</stp>
        <stp/>
        <tr r="T26" s="2"/>
      </tp>
      <tp>
        <v>3.8</v>
        <stp/>
        <stp>P</stp>
        <stp>0</stp>
        <stp>IR</stp>
        <stp>BONDAVG04130</stp>
        <stp>15년이하(당일)</stp>
        <stp>45300</stp>
        <stp/>
        <tr r="U12" s="2"/>
      </tp>
      <tp>
        <v>3.6909999999999998</v>
        <stp/>
        <stp>P</stp>
        <stp>0</stp>
        <stp>IR</stp>
        <stp>BONDAVG03936</stp>
        <stp>15년이하(당일)</stp>
        <stp>45300</stp>
        <stp/>
        <tr r="U22" s="2"/>
      </tp>
      <tp>
        <v>3.831</v>
        <stp/>
        <stp>P</stp>
        <stp>0</stp>
        <stp>IR</stp>
        <stp>BONDAVG04067</stp>
        <stp>20년이하(당일)</stp>
        <stp>45300</stp>
        <stp/>
        <tr r="V49" s="2"/>
      </tp>
      <tp>
        <v>3.8420000000000001</v>
        <stp/>
        <stp>P</stp>
        <stp>0</stp>
        <stp>IR</stp>
        <stp>BONDAVG04067</stp>
        <stp>10년이하(당일)</stp>
        <stp>45300</stp>
        <stp/>
        <tr r="T49" s="2"/>
      </tp>
      <tp>
        <v>3.64</v>
        <stp/>
        <stp>P</stp>
        <stp>0</stp>
        <stp>IR</stp>
        <stp>BONDAVG61461</stp>
        <stp>20년이하(당일)</stp>
        <stp>45300</stp>
        <stp/>
        <tr r="V30" s="2"/>
      </tp>
      <tp>
        <v>3.7120000000000002</v>
        <stp/>
        <stp>P</stp>
        <stp>0</stp>
        <stp>IR</stp>
        <stp>BONDAVG61461</stp>
        <stp>10년이하(당일)</stp>
        <stp>45300</stp>
        <stp/>
        <tr r="T30" s="2"/>
      </tp>
      <tp>
        <v>3.7010000000000001</v>
        <stp/>
        <stp>P</stp>
        <stp>0</stp>
        <stp>IR</stp>
        <stp>BONDAVG03937</stp>
        <stp>15년이하(당일)</stp>
        <stp>45300</stp>
        <stp/>
        <tr r="U24" s="2"/>
      </tp>
      <tp>
        <v>3.6160000000000001</v>
        <stp/>
        <stp>P</stp>
        <stp>0</stp>
        <stp>IR</stp>
        <stp>BONDAVG03934</stp>
        <stp>15년이하(당일)</stp>
        <stp>45300</stp>
        <stp/>
        <tr r="U27" s="2"/>
      </tp>
      <tp>
        <v>3.5779999999999998</v>
        <stp/>
        <stp>P</stp>
        <stp>0</stp>
        <stp>IR</stp>
        <stp>BONDAVG03938</stp>
        <stp>15년이하(당일)</stp>
        <stp>45300</stp>
        <stp/>
        <tr r="U9" s="2"/>
      </tp>
      <tp>
        <v>3.6869999999999998</v>
        <stp/>
        <stp>P</stp>
        <stp>0</stp>
        <stp>IR</stp>
        <stp>BONDAVG13988</stp>
        <stp>3월이하(당일)</stp>
        <stp>45300</stp>
        <stp/>
        <tr r="I51" s="2"/>
      </tp>
      <tp>
        <v>3.6989999999999998</v>
        <stp/>
        <stp>P</stp>
        <stp>0</stp>
        <stp>IR</stp>
        <stp>BONDAVG04932</stp>
        <stp>3월이하(당일)</stp>
        <stp>45300</stp>
        <stp/>
        <tr r="I46" s="2"/>
      </tp>
      <tp>
        <v>3.6749999999999998</v>
        <stp/>
        <stp>P</stp>
        <stp>0</stp>
        <stp>IR</stp>
        <stp>BONDAVG03937</stp>
        <stp>3월이하(당일)</stp>
        <stp>45300</stp>
        <stp/>
        <tr r="I24" s="2"/>
      </tp>
      <tp>
        <v>3.6539999999999999</v>
        <stp/>
        <stp>P</stp>
        <stp>0</stp>
        <stp>IR</stp>
        <stp>BONDAVG03936</stp>
        <stp>3월이하(당일)</stp>
        <stp>45300</stp>
        <stp/>
        <tr r="I22" s="2"/>
      </tp>
      <tp>
        <v>3.62</v>
        <stp/>
        <stp>P</stp>
        <stp>0</stp>
        <stp>IR</stp>
        <stp>BONDAVG03934</stp>
        <stp>3월이하(당일)</stp>
        <stp>45300</stp>
        <stp/>
        <tr r="I27" s="2"/>
      </tp>
      <tp>
        <v>3.5339999999999998</v>
        <stp/>
        <stp>P</stp>
        <stp>0</stp>
        <stp>IR</stp>
        <stp>BONDAVG03938</stp>
        <stp>3월이하(당일)</stp>
        <stp>45300</stp>
        <stp/>
        <tr r="I9" s="2"/>
      </tp>
      <tp>
        <v>3.601</v>
        <stp/>
        <stp>P</stp>
        <stp>0</stp>
        <stp>IR</stp>
        <stp>BONDAVG03920</stp>
        <stp>3월이하(당일)</stp>
        <stp>45300</stp>
        <stp/>
        <tr r="I31" s="2"/>
      </tp>
      <tp>
        <v>3.6360000000000001</v>
        <stp/>
        <stp>P</stp>
        <stp>0</stp>
        <stp>IR</stp>
        <stp>BONDAVG13327</stp>
        <stp>9월이하(당일)</stp>
        <stp>45300</stp>
        <stp/>
        <tr r="K32" s="2"/>
      </tp>
      <tp>
        <v>3.6309999999999998</v>
        <stp/>
        <stp>P</stp>
        <stp>0</stp>
        <stp>IR</stp>
        <stp>BONDAVG04324</stp>
        <stp>9월이하(당일)</stp>
        <stp>45300</stp>
        <stp/>
        <tr r="K33" s="2"/>
      </tp>
      <tp>
        <v>3.78</v>
        <stp/>
        <stp>P</stp>
        <stp>0</stp>
        <stp>IR</stp>
        <stp>BONDAVG13328</stp>
        <stp>9월이하(당일)</stp>
        <stp>45300</stp>
        <stp/>
        <tr r="K43" s="2"/>
      </tp>
      <tp>
        <v>3.625</v>
        <stp/>
        <stp>P</stp>
        <stp>0</stp>
        <stp>IR</stp>
        <stp>BONDAVG08918</stp>
        <stp>3월이하(당일)</stp>
        <stp>45300</stp>
        <stp/>
        <tr r="I37" s="2"/>
      </tp>
      <tp>
        <v>4.0190000000000001</v>
        <stp/>
        <stp>P</stp>
        <stp>0</stp>
        <stp>IR</stp>
        <stp>BONDAVG19305</stp>
        <stp>9월이하(당일)</stp>
        <stp>45300</stp>
        <stp/>
        <tr r="K63" s="2"/>
      </tp>
      <tp>
        <v>3.754</v>
        <stp/>
        <stp>P</stp>
        <stp>0</stp>
        <stp>IR</stp>
        <stp>BONDAVG04908</stp>
        <stp>3월이하(당일)</stp>
        <stp>45300</stp>
        <stp/>
        <tr r="I48" s="2"/>
      </tp>
      <tp>
        <v>3.5339999999999998</v>
        <stp/>
        <stp>P</stp>
        <stp>0</stp>
        <stp>IR</stp>
        <stp>BONDAVG14957</stp>
        <stp>3월이하(당일)</stp>
        <stp>45300</stp>
        <stp/>
        <tr r="I10" s="2"/>
      </tp>
      <tp>
        <v>3.9910000000000001</v>
        <stp/>
        <stp>P</stp>
        <stp>0</stp>
        <stp>IR</stp>
        <stp>BONDAVG64349</stp>
        <stp>9월이하(당일)</stp>
        <stp>45300</stp>
        <stp/>
        <tr r="K61" s="2"/>
      </tp>
      <tp>
        <v>3.59</v>
        <stp/>
        <stp>P</stp>
        <stp>0</stp>
        <stp>IR</stp>
        <stp>BONDAVG08572</stp>
        <stp>20년이하(당일)</stp>
        <stp>45300</stp>
        <stp/>
        <tr r="V14" s="2"/>
      </tp>
      <tp>
        <v>3.66</v>
        <stp/>
        <stp>P</stp>
        <stp>0</stp>
        <stp>IR</stp>
        <stp>BONDAVG08572</stp>
        <stp>10년이하(당일)</stp>
        <stp>45300</stp>
        <stp/>
        <tr r="T14" s="2"/>
      </tp>
      <tp>
        <v>3.9630000000000001</v>
        <stp/>
        <stp>P</stp>
        <stp>0</stp>
        <stp>IR</stp>
        <stp>BONDAVG08573</stp>
        <stp>20년이하(당일)</stp>
        <stp>45300</stp>
        <stp/>
        <tr r="V53" s="2"/>
      </tp>
      <tp>
        <v>3.9790000000000001</v>
        <stp/>
        <stp>P</stp>
        <stp>0</stp>
        <stp>IR</stp>
        <stp>BONDAVG08573</stp>
        <stp>10년이하(당일)</stp>
        <stp>45300</stp>
        <stp/>
        <tr r="T53" s="2"/>
      </tp>
      <tp>
        <v>3.6589999999999998</v>
        <stp/>
        <stp>P</stp>
        <stp>0</stp>
        <stp>IR</stp>
        <stp>BONDAVG03523</stp>
        <stp>15년이하(당일)</stp>
        <stp>45300</stp>
        <stp/>
        <tr r="U21" s="2"/>
      </tp>
      <tp>
        <v>3.589</v>
        <stp/>
        <stp>P</stp>
        <stp>0</stp>
        <stp>IR</stp>
        <stp>BONDAVG03920</stp>
        <stp>15년이하(당일)</stp>
        <stp>45300</stp>
        <stp/>
        <tr r="U31" s="2"/>
      </tp>
      <tp>
        <v>3.8</v>
        <stp/>
        <stp>P</stp>
        <stp>0</stp>
        <stp>IR</stp>
        <stp>BONDAVG04021</stp>
        <stp>15년이하(당일)</stp>
        <stp>45300</stp>
        <stp/>
        <tr r="U50" s="2"/>
      </tp>
      <tp>
        <v>3.6789999999999998</v>
        <stp/>
        <stp>P</stp>
        <stp>0</stp>
        <stp>IR</stp>
        <stp>BONDAVG14727</stp>
        <stp>15년이하(당일)</stp>
        <stp>45300</stp>
        <stp/>
        <tr r="U25" s="2"/>
      </tp>
      <tp>
        <v>3.7360000000000002</v>
        <stp/>
        <stp>P</stp>
        <stp>0</stp>
        <stp>IR</stp>
        <stp>BONDAVG01576</stp>
        <stp>20년이하(당일)</stp>
        <stp>45300</stp>
        <stp/>
        <tr r="V36" s="2"/>
      </tp>
      <tp>
        <v>3.8079999999999998</v>
        <stp/>
        <stp>P</stp>
        <stp>0</stp>
        <stp>IR</stp>
        <stp>BONDAVG01576</stp>
        <stp>10년이하(당일)</stp>
        <stp>45300</stp>
        <stp/>
        <tr r="T36" s="2"/>
      </tp>
      <tp>
        <v>3.6139999999999999</v>
        <stp/>
        <stp>P</stp>
        <stp>0</stp>
        <stp>IR</stp>
        <stp>BONDAVG13327</stp>
        <stp>15년이하(당일)</stp>
        <stp>45300</stp>
        <stp/>
        <tr r="U32" s="2"/>
      </tp>
      <tp>
        <v>3.7120000000000002</v>
        <stp/>
        <stp>P</stp>
        <stp>0</stp>
        <stp>IR</stp>
        <stp>BONDAVG03776</stp>
        <stp>10년이하(당일)</stp>
        <stp>45300</stp>
        <stp/>
        <tr r="T29" s="2"/>
      </tp>
      <tp>
        <v>3.637</v>
        <stp/>
        <stp>P</stp>
        <stp>0</stp>
        <stp>IR</stp>
        <stp>BONDAVG03776</stp>
        <stp>20년이하(당일)</stp>
        <stp>45300</stp>
        <stp/>
        <tr r="V29" s="2"/>
      </tp>
      <tp>
        <v>3.6120000000000001</v>
        <stp/>
        <stp>P</stp>
        <stp>0</stp>
        <stp>IR</stp>
        <stp>BONDAVG04324</stp>
        <stp>15년이하(당일)</stp>
        <stp>45300</stp>
        <stp/>
        <tr r="U33" s="2"/>
      </tp>
      <tp>
        <v>3.8759999999999999</v>
        <stp/>
        <stp>P</stp>
        <stp>0</stp>
        <stp>IR</stp>
        <stp>BONDAVG12425</stp>
        <stp>15년이하(당일)</stp>
        <stp>45300</stp>
        <stp/>
        <tr r="U45" s="2"/>
      </tp>
      <tp>
        <v>3.6379999999999999</v>
        <stp/>
        <stp>P</stp>
        <stp>0</stp>
        <stp>IR</stp>
        <stp>BONDAVG15678</stp>
        <stp>10년이하(당일)</stp>
        <stp>45300</stp>
        <stp/>
        <tr r="T39" s="2"/>
      </tp>
      <tp>
        <v>3.5569999999999999</v>
        <stp/>
        <stp>P</stp>
        <stp>0</stp>
        <stp>IR</stp>
        <stp>BONDAVG15678</stp>
        <stp>20년이하(당일)</stp>
        <stp>45300</stp>
        <stp/>
        <tr r="V39" s="2"/>
      </tp>
      <tp>
        <v>3.9689999999999999</v>
        <stp/>
        <stp>P</stp>
        <stp>0</stp>
        <stp>IR</stp>
        <stp>BONDAVG13328</stp>
        <stp>15년이하(당일)</stp>
        <stp>45300</stp>
        <stp/>
        <tr r="U43" s="2"/>
      </tp>
      <tp>
        <v>3.6949999999999998</v>
        <stp/>
        <stp>P</stp>
        <stp>0</stp>
        <stp>IR</stp>
        <stp>BONDAVG60279</stp>
        <stp>10년이하(당일)</stp>
        <stp>45300</stp>
        <stp/>
        <tr r="T41" s="2"/>
      </tp>
      <tp>
        <v>3.6269999999999998</v>
        <stp/>
        <stp>P</stp>
        <stp>0</stp>
        <stp>IR</stp>
        <stp>BONDAVG60279</stp>
        <stp>20년이하(당일)</stp>
        <stp>45300</stp>
        <stp/>
        <tr r="V41" s="2"/>
      </tp>
      <tp>
        <v>3.8940000000000001</v>
        <stp/>
        <stp>P</stp>
        <stp>0</stp>
        <stp>IR</stp>
        <stp>BONDAVG50879</stp>
        <stp>20년이하(당일)</stp>
        <stp>45300</stp>
        <stp/>
        <tr r="V52" s="2"/>
      </tp>
      <tp>
        <v>3.9</v>
        <stp/>
        <stp>P</stp>
        <stp>0</stp>
        <stp>IR</stp>
        <stp>BONDAVG50879</stp>
        <stp>10년이하(당일)</stp>
        <stp>45300</stp>
        <stp/>
        <tr r="T52" s="2"/>
      </tp>
      <tp>
        <v>3.6360000000000001</v>
        <stp/>
        <stp>P</stp>
        <stp>0</stp>
        <stp>IR</stp>
        <stp>BONDAVG56490</stp>
        <stp>9월이하(당일)</stp>
        <stp>45300</stp>
        <stp/>
        <tr r="K40" s="2"/>
      </tp>
      <tp>
        <v>3.649</v>
        <stp/>
        <stp>P</stp>
        <stp>0</stp>
        <stp>IR</stp>
        <stp>BONDAVG03432</stp>
        <stp>9월이하(당일)</stp>
        <stp>45300</stp>
        <stp/>
        <tr r="K16" s="2"/>
      </tp>
      <tp>
        <v>3.7570000000000001</v>
        <stp/>
        <stp>P</stp>
        <stp>0</stp>
        <stp>IR</stp>
        <stp>BONDAVG12425</stp>
        <stp>9월이하(당일)</stp>
        <stp>45300</stp>
        <stp/>
        <tr r="K45" s="2"/>
      </tp>
      <tp>
        <v>3.677</v>
        <stp/>
        <stp>P</stp>
        <stp>0</stp>
        <stp>IR</stp>
        <stp>BONDAVG61461</stp>
        <stp>9월이하(당일)</stp>
        <stp>45300</stp>
        <stp/>
        <tr r="K30" s="2"/>
      </tp>
      <tp>
        <v>3.746</v>
        <stp/>
        <stp>P</stp>
        <stp>0</stp>
        <stp>IR</stp>
        <stp>BONDAVG12455</stp>
        <stp>9월이하(당일)</stp>
        <stp>45300</stp>
        <stp/>
        <tr r="K54" s="2"/>
      </tp>
      <tp>
        <v>4.1210000000000004</v>
        <stp/>
        <stp>P</stp>
        <stp>0</stp>
        <stp>IR</stp>
        <stp>BONDAVG16253</stp>
        <stp>15년이하(당일)</stp>
        <stp>45300</stp>
        <stp/>
        <tr r="U62" s="2"/>
      </tp>
      <tp>
        <v>3.6579999999999999</v>
        <stp/>
        <stp>P</stp>
        <stp>0</stp>
        <stp>IR</stp>
        <stp>BONDAVG03602</stp>
        <stp>10년이하(당일)</stp>
        <stp>45300</stp>
        <stp/>
        <tr r="T35" s="2"/>
      </tp>
      <tp>
        <v>3.5920000000000001</v>
        <stp/>
        <stp>P</stp>
        <stp>0</stp>
        <stp>IR</stp>
        <stp>BONDAVG03602</stp>
        <stp>20년이하(당일)</stp>
        <stp>45300</stp>
        <stp/>
        <tr r="V35" s="2"/>
      </tp>
      <tp>
        <v>4.234</v>
        <stp/>
        <stp>P</stp>
        <stp>0</stp>
        <stp>IR</stp>
        <stp>BONDAVG64605</stp>
        <stp>10년이하(당일)</stp>
        <stp>45300</stp>
        <stp/>
        <tr r="T58" s="2"/>
      </tp>
      <tp>
        <v>4.2489999999999997</v>
        <stp/>
        <stp>P</stp>
        <stp>0</stp>
        <stp>IR</stp>
        <stp>BONDAVG64605</stp>
        <stp>20년이하(당일)</stp>
        <stp>45300</stp>
        <stp/>
        <tr r="V58" s="2"/>
      </tp>
      <tp>
        <v>3.6819999999999999</v>
        <stp/>
        <stp>P</stp>
        <stp>0</stp>
        <stp>IR</stp>
        <stp>BONDAVG11802</stp>
        <stp>20년이하(당일)</stp>
        <stp>45300</stp>
        <stp/>
        <tr r="V17" s="2"/>
      </tp>
      <tp>
        <v>3.7549999999999999</v>
        <stp/>
        <stp>P</stp>
        <stp>0</stp>
        <stp>IR</stp>
        <stp>BONDAVG11802</stp>
        <stp>10년이하(당일)</stp>
        <stp>45300</stp>
        <stp/>
        <tr r="T17" s="2"/>
      </tp>
      <tp>
        <v>4.2789999999999999</v>
        <stp/>
        <stp>P</stp>
        <stp>0</stp>
        <stp>IR</stp>
        <stp>BONDAVG62757</stp>
        <stp>15년이하(당일)</stp>
        <stp>45300</stp>
        <stp/>
        <tr r="U59" s="2"/>
      </tp>
      <tp>
        <v>3.6720000000000002</v>
        <stp/>
        <stp>P</stp>
        <stp>0</stp>
        <stp>IR</stp>
        <stp>BONDAVG12600</stp>
        <stp>10년이하(당일)</stp>
        <stp>45300</stp>
        <stp/>
        <tr r="T18" s="2"/>
      </tp>
      <tp>
        <v>3.6040000000000001</v>
        <stp/>
        <stp>P</stp>
        <stp>0</stp>
        <stp>IR</stp>
        <stp>BONDAVG12600</stp>
        <stp>20년이하(당일)</stp>
        <stp>45300</stp>
        <stp/>
        <tr r="V18" s="2"/>
      </tp>
      <tp>
        <v>3.5659999999999998</v>
        <stp/>
        <stp>P</stp>
        <stp>0</stp>
        <stp>IR</stp>
        <stp>BONDAVG14957</stp>
        <stp>15년이하(당일)</stp>
        <stp>45300</stp>
        <stp/>
        <tr r="U10" s="2"/>
      </tp>
      <tp>
        <v>4.1959999999999997</v>
        <stp/>
        <stp>P</stp>
        <stp>0</stp>
        <stp>IR</stp>
        <stp>BONDAVG19305</stp>
        <stp>10년이하(당일)</stp>
        <stp>45300</stp>
        <stp/>
        <tr r="T63" s="2"/>
      </tp>
      <tp>
        <v>4.2069999999999999</v>
        <stp/>
        <stp>P</stp>
        <stp>0</stp>
        <stp>IR</stp>
        <stp>BONDAVG19305</stp>
        <stp>20년이하(당일)</stp>
        <stp>45300</stp>
        <stp/>
        <tr r="V63" s="2"/>
      </tp>
      <tp>
        <v>3.875</v>
        <stp/>
        <stp>P</stp>
        <stp>0</stp>
        <stp>IR</stp>
        <stp>BONDAVG04004</stp>
        <stp>20년이하(당일)</stp>
        <stp>45300</stp>
        <stp/>
        <tr r="V47" s="2"/>
      </tp>
      <tp>
        <v>3.8839999999999999</v>
        <stp/>
        <stp>P</stp>
        <stp>0</stp>
        <stp>IR</stp>
        <stp>BONDAVG04004</stp>
        <stp>10년이하(당일)</stp>
        <stp>45300</stp>
        <stp/>
        <tr r="T47" s="2"/>
      </tp>
      <tp>
        <v>4.0960000000000001</v>
        <stp/>
        <stp>P</stp>
        <stp>0</stp>
        <stp>IR</stp>
        <stp>BONDAVG56601</stp>
        <stp>10년이하(당일)</stp>
        <stp>45300</stp>
        <stp/>
        <tr r="T60" s="2"/>
      </tp>
      <tp>
        <v>4.1180000000000003</v>
        <stp/>
        <stp>P</stp>
        <stp>0</stp>
        <stp>IR</stp>
        <stp>BONDAVG56601</stp>
        <stp>20년이하(당일)</stp>
        <stp>45300</stp>
        <stp/>
        <tr r="V60" s="2"/>
      </tp>
      <tp>
        <v>3.7389999999999999</v>
        <stp/>
        <stp>P</stp>
        <stp>0</stp>
        <stp>IR</stp>
        <stp>BONDAVG53551</stp>
        <stp>15년이하(당일)</stp>
        <stp>45300</stp>
        <stp/>
        <tr r="U19" s="2"/>
      </tp>
      <tp>
        <v>3.835</v>
        <stp/>
        <stp>P</stp>
        <stp>0</stp>
        <stp>IR</stp>
        <stp>BONDAVG12455</stp>
        <stp>15년이하(당일)</stp>
        <stp>45300</stp>
        <stp/>
        <tr r="U54" s="2"/>
      </tp>
      <tp>
        <v>3.91</v>
        <stp/>
        <stp>P</stp>
        <stp>0</stp>
        <stp>IR</stp>
        <stp>BONDAVG04908</stp>
        <stp>20년이하(당일)</stp>
        <stp>45300</stp>
        <stp/>
        <tr r="V48" s="2"/>
      </tp>
      <tp>
        <v>3.919</v>
        <stp/>
        <stp>P</stp>
        <stp>0</stp>
        <stp>IR</stp>
        <stp>BONDAVG04908</stp>
        <stp>10년이하(당일)</stp>
        <stp>45300</stp>
        <stp/>
        <tr r="T48" s="2"/>
      </tp>
      <tp>
        <v>3.85</v>
        <stp/>
        <stp>P</stp>
        <stp>0</stp>
        <stp>IR</stp>
        <stp>BONDAVG13509</stp>
        <stp>20년이하(당일)</stp>
        <stp>45300</stp>
        <stp/>
        <tr r="V56" s="2"/>
      </tp>
      <tp>
        <v>3.859</v>
        <stp/>
        <stp>P</stp>
        <stp>0</stp>
        <stp>IR</stp>
        <stp>BONDAVG13509</stp>
        <stp>10년이하(당일)</stp>
        <stp>45300</stp>
        <stp/>
        <tr r="T56" s="2"/>
      </tp>
      <tp>
        <v>3.6840000000000002</v>
        <stp/>
        <stp>P</stp>
        <stp>0</stp>
        <stp>IR</stp>
        <stp>BONDAVG09587</stp>
        <stp>9월이하(당일)</stp>
        <stp>45300</stp>
        <stp/>
        <tr r="K20" s="2"/>
      </tp>
      <tp>
        <v>3.6819999999999999</v>
        <stp/>
        <stp>P</stp>
        <stp>0</stp>
        <stp>IR</stp>
        <stp>BONDAVG03523</stp>
        <stp>9월이하(당일)</stp>
        <stp>45300</stp>
        <stp/>
        <tr r="K21" s="2"/>
      </tp>
      <tp>
        <v>3.6259999999999999</v>
        <stp/>
        <stp>P</stp>
        <stp>0</stp>
        <stp>IR</stp>
        <stp>BONDAVG52517</stp>
        <stp>9월이하(당일)</stp>
        <stp>45300</stp>
        <stp/>
        <tr r="K34" s="2"/>
      </tp>
      <tp>
        <v>3.7480000000000002</v>
        <stp/>
        <stp>P</stp>
        <stp>0</stp>
        <stp>IR</stp>
        <stp>BONDAVG13509</stp>
        <stp>9월이하(당일)</stp>
        <stp>45300</stp>
        <stp/>
        <tr r="K56" s="2"/>
      </tp>
      <tp>
        <v>3.8319999999999999</v>
        <stp/>
        <stp>P</stp>
        <stp>0</stp>
        <stp>IR</stp>
        <stp>BONDAVG08573</stp>
        <stp>9월이하(당일)</stp>
        <stp>45300</stp>
        <stp/>
        <tr r="K53" s="2"/>
      </tp>
      <tp>
        <v>3.6440000000000001</v>
        <stp/>
        <stp>P</stp>
        <stp>0</stp>
        <stp>IR</stp>
        <stp>BONDAVG08572</stp>
        <stp>9월이하(당일)</stp>
        <stp>45300</stp>
        <stp/>
        <tr r="K14" s="2"/>
      </tp>
      <tp>
        <v>3.726</v>
        <stp/>
        <stp>P</stp>
        <stp>0</stp>
        <stp>IR</stp>
        <stp>BONDAVG01576</stp>
        <stp>9월이하(당일)</stp>
        <stp>45300</stp>
        <stp/>
        <tr r="K36" s="2"/>
      </tp>
      <tp>
        <v>3.7320000000000002</v>
        <stp/>
        <stp>P</stp>
        <stp>0</stp>
        <stp>IR</stp>
        <stp>BONDAVG53551</stp>
        <stp>9월이하(당일)</stp>
        <stp>45300</stp>
        <stp/>
        <tr r="K19" s="2"/>
      </tp>
      <tp>
        <v>3.6459999999999999</v>
        <stp/>
        <stp>P</stp>
        <stp>0</stp>
        <stp>IR</stp>
        <stp>BONDAVG41543</stp>
        <stp>9월이하(당일)</stp>
        <stp>45300</stp>
        <stp/>
        <tr r="K23" s="2"/>
      </tp>
      <tp>
        <v>3.758</v>
        <stp/>
        <stp>P</stp>
        <stp>0</stp>
        <stp>IR</stp>
        <stp>BONDAVG12544</stp>
        <stp>9월이하(당일)</stp>
        <stp>45300</stp>
        <stp/>
        <tr r="K55" s="2"/>
      </tp>
      <tp>
        <v>3.79</v>
        <stp/>
        <stp>P</stp>
        <stp>0</stp>
        <stp>IR</stp>
        <stp>BONDAVG65214</stp>
        <stp>10년이하(당일)</stp>
        <stp>45300</stp>
        <stp/>
        <tr r="T13" s="2"/>
      </tp>
      <tp>
        <v>3.7370000000000001</v>
        <stp/>
        <stp>P</stp>
        <stp>0</stp>
        <stp>IR</stp>
        <stp>BONDAVG65214</stp>
        <stp>20년이하(당일)</stp>
        <stp>45300</stp>
        <stp/>
        <tr r="V13" s="2"/>
      </tp>
      <tp>
        <v>3.5430000000000001</v>
        <stp/>
        <stp>P</stp>
        <stp>0</stp>
        <stp>IR</stp>
        <stp>BONDAVG52517</stp>
        <stp>20년이하(당일)</stp>
        <stp>45300</stp>
        <stp/>
        <tr r="V34" s="2"/>
      </tp>
      <tp>
        <v>3.6230000000000002</v>
        <stp/>
        <stp>P</stp>
        <stp>0</stp>
        <stp>IR</stp>
        <stp>BONDAVG52517</stp>
        <stp>10년이하(당일)</stp>
        <stp>45300</stp>
        <stp/>
        <tr r="T34" s="2"/>
      </tp>
      <tp>
        <v>3.6339999999999999</v>
        <stp/>
        <stp>P</stp>
        <stp>0</stp>
        <stp>IR</stp>
        <stp>BONDAVG41543</stp>
        <stp>15년이하(당일)</stp>
        <stp>45300</stp>
        <stp/>
        <tr r="U23" s="2"/>
      </tp>
      <tp>
        <v>3.85</v>
        <stp/>
        <stp>P</stp>
        <stp>0</stp>
        <stp>IR</stp>
        <stp>BONDAVG12544</stp>
        <stp>15년이하(당일)</stp>
        <stp>45300</stp>
        <stp/>
        <tr r="U55" s="2"/>
      </tp>
      <tp>
        <v>3.5870000000000002</v>
        <stp/>
        <stp>P</stp>
        <stp>0</stp>
        <stp>IR</stp>
        <stp>BONDAVG08918</stp>
        <stp>20년이하(당일)</stp>
        <stp>45300</stp>
        <stp/>
        <tr r="V37" s="2"/>
      </tp>
      <tp>
        <v>3.657</v>
        <stp/>
        <stp>P</stp>
        <stp>0</stp>
        <stp>IR</stp>
        <stp>BONDAVG08918</stp>
        <stp>10년이하(당일)</stp>
        <stp>45300</stp>
        <stp/>
        <tr r="T37" s="2"/>
      </tp>
      <tp>
        <v>3.57</v>
        <stp/>
        <stp>P</stp>
        <stp>0</stp>
        <stp>IR</stp>
        <stp>BONDAVG04019</stp>
        <stp>20년이하(당일)</stp>
        <stp>45300</stp>
        <stp/>
        <tr r="V15" s="2"/>
      </tp>
      <tp>
        <v>3.6419999999999999</v>
        <stp/>
        <stp>P</stp>
        <stp>0</stp>
        <stp>IR</stp>
        <stp>BONDAVG04019</stp>
        <stp>10년이하(당일)</stp>
        <stp>45300</stp>
        <stp/>
        <tr r="T15" s="2"/>
      </tp>
      <tp>
        <v>4.1849999999999996</v>
        <stp/>
        <stp>P</stp>
        <stp>0</stp>
        <stp>IR</stp>
        <stp>BONDAVG64349</stp>
        <stp>15년이하(당일)</stp>
        <stp>45300</stp>
        <stp/>
        <tr r="U61" s="2"/>
      </tp>
      <tp>
        <v>3.637</v>
        <stp/>
        <stp>P</stp>
        <stp>0</stp>
        <stp>IR</stp>
        <stp>BONDAVG08683</stp>
        <stp>9월이하(당일)</stp>
        <stp>45300</stp>
        <stp/>
        <tr r="K28" s="2"/>
      </tp>
      <tp>
        <v>3.7589999999999999</v>
        <stp/>
        <stp>P</stp>
        <stp>0</stp>
        <stp>IR</stp>
        <stp>BONDAVG11686</stp>
        <stp>9월이하(당일)</stp>
        <stp>45300</stp>
        <stp/>
        <tr r="K44" s="2"/>
      </tp>
      <tp>
        <v>3.7610000000000001</v>
        <stp/>
        <stp>P</stp>
        <stp>0</stp>
        <stp>IR</stp>
        <stp>BONDAVG13988</stp>
        <stp>6월이하(당일)</stp>
        <stp>45300</stp>
        <stp/>
        <tr r="J51" s="2"/>
      </tp>
      <tp>
        <v>3.7730000000000001</v>
        <stp/>
        <stp>P</stp>
        <stp>0</stp>
        <stp>IR</stp>
        <stp>BONDAVG04932</stp>
        <stp>6월이하(당일)</stp>
        <stp>45300</stp>
        <stp/>
        <tr r="J46" s="2"/>
      </tp>
      <tp>
        <v>3.7069999999999999</v>
        <stp/>
        <stp>P</stp>
        <stp>0</stp>
        <stp>IR</stp>
        <stp>BONDAVG03937</stp>
        <stp>6월이하(당일)</stp>
        <stp>45300</stp>
        <stp/>
        <tr r="J24" s="2"/>
      </tp>
      <tp>
        <v>3.6880000000000002</v>
        <stp/>
        <stp>P</stp>
        <stp>0</stp>
        <stp>IR</stp>
        <stp>BONDAVG03936</stp>
        <stp>6월이하(당일)</stp>
        <stp>45300</stp>
        <stp/>
        <tr r="J22" s="2"/>
      </tp>
      <tp>
        <v>3.6509999999999998</v>
        <stp/>
        <stp>P</stp>
        <stp>0</stp>
        <stp>IR</stp>
        <stp>BONDAVG03934</stp>
        <stp>6월이하(당일)</stp>
        <stp>45300</stp>
        <stp/>
        <tr r="J27" s="2"/>
      </tp>
      <tp>
        <v>3.5459999999999998</v>
        <stp/>
        <stp>P</stp>
        <stp>0</stp>
        <stp>IR</stp>
        <stp>BONDAVG03938</stp>
        <stp>6월이하(당일)</stp>
        <stp>45300</stp>
        <stp/>
        <tr r="J9" s="2"/>
      </tp>
      <tp>
        <v>3.633</v>
        <stp/>
        <stp>P</stp>
        <stp>0</stp>
        <stp>IR</stp>
        <stp>BONDAVG03920</stp>
        <stp>6월이하(당일)</stp>
        <stp>45300</stp>
        <stp/>
        <tr r="J31" s="2"/>
      </tp>
      <tp>
        <v>3.6619999999999999</v>
        <stp/>
        <stp>P</stp>
        <stp>0</stp>
        <stp>IR</stp>
        <stp>BONDAVG08918</stp>
        <stp>6월이하(당일)</stp>
        <stp>45300</stp>
        <stp/>
        <tr r="J37" s="2"/>
      </tp>
      <tp>
        <v>4.0149999999999997</v>
        <stp/>
        <stp>P</stp>
        <stp>0</stp>
        <stp>IR</stp>
        <stp>BONDAVG64605</stp>
        <stp>9월이하(당일)</stp>
        <stp>45300</stp>
        <stp/>
        <tr r="K58" s="2"/>
      </tp>
      <tp>
        <v>3.6389999999999998</v>
        <stp/>
        <stp>P</stp>
        <stp>0</stp>
        <stp>IR</stp>
        <stp>BONDAVG03602</stp>
        <stp>9월이하(당일)</stp>
        <stp>45300</stp>
        <stp/>
        <tr r="K35" s="2"/>
      </tp>
      <tp>
        <v>3.6739999999999999</v>
        <stp/>
        <stp>P</stp>
        <stp>0</stp>
        <stp>IR</stp>
        <stp>BONDAVG12600</stp>
        <stp>9월이하(당일)</stp>
        <stp>45300</stp>
        <stp/>
        <tr r="K18" s="2"/>
      </tp>
      <tp>
        <v>3.9060000000000001</v>
        <stp/>
        <stp>P</stp>
        <stp>0</stp>
        <stp>IR</stp>
        <stp>BONDAVG56601</stp>
        <stp>9월이하(당일)</stp>
        <stp>45300</stp>
        <stp/>
        <tr r="K60" s="2"/>
      </tp>
      <tp>
        <v>3.8330000000000002</v>
        <stp/>
        <stp>P</stp>
        <stp>0</stp>
        <stp>IR</stp>
        <stp>BONDAVG04908</stp>
        <stp>6월이하(당일)</stp>
        <stp>45300</stp>
        <stp/>
        <tr r="J48" s="2"/>
      </tp>
      <tp>
        <v>3.641</v>
        <stp/>
        <stp>P</stp>
        <stp>0</stp>
        <stp>IR</stp>
        <stp>BONDAVG15678</stp>
        <stp>9월이하(당일)</stp>
        <stp>45300</stp>
        <stp/>
        <tr r="K39" s="2"/>
      </tp>
      <tp>
        <v>3.5459999999999998</v>
        <stp/>
        <stp>P</stp>
        <stp>0</stp>
        <stp>IR</stp>
        <stp>BONDAVG14957</stp>
        <stp>6월이하(당일)</stp>
        <stp>45300</stp>
        <stp/>
        <tr r="J10" s="2"/>
      </tp>
      <tp>
        <v>3.6339999999999999</v>
        <stp/>
        <stp>P</stp>
        <stp>0</stp>
        <stp>IR</stp>
        <stp>BONDAVG08572</stp>
        <stp>15년이하(당일)</stp>
        <stp>45300</stp>
        <stp/>
        <tr r="U14" s="2"/>
      </tp>
      <tp>
        <v>3.956</v>
        <stp/>
        <stp>P</stp>
        <stp>0</stp>
        <stp>IR</stp>
        <stp>BONDAVG08573</stp>
        <stp>15년이하(당일)</stp>
        <stp>45300</stp>
        <stp/>
        <tr r="U53" s="2"/>
      </tp>
      <tp>
        <v>3.6139999999999999</v>
        <stp/>
        <stp>P</stp>
        <stp>0</stp>
        <stp>IR</stp>
        <stp>BONDAVG03523</stp>
        <stp>20년이하(당일)</stp>
        <stp>45300</stp>
        <stp/>
        <tr r="V21" s="2"/>
      </tp>
      <tp>
        <v>3.68</v>
        <stp/>
        <stp>P</stp>
        <stp>0</stp>
        <stp>IR</stp>
        <stp>BONDAVG03523</stp>
        <stp>10년이하(당일)</stp>
        <stp>45300</stp>
        <stp/>
        <tr r="T21" s="2"/>
      </tp>
      <tp>
        <v>3.5329999999999999</v>
        <stp/>
        <stp>P</stp>
        <stp>0</stp>
        <stp>IR</stp>
        <stp>BONDAVG03920</stp>
        <stp>20년이하(당일)</stp>
        <stp>45300</stp>
        <stp/>
        <tr r="V31" s="2"/>
      </tp>
      <tp>
        <v>3.6160000000000001</v>
        <stp/>
        <stp>P</stp>
        <stp>0</stp>
        <stp>IR</stp>
        <stp>BONDAVG03920</stp>
        <stp>10년이하(당일)</stp>
        <stp>45300</stp>
        <stp/>
        <tr r="T31" s="2"/>
      </tp>
      <tp>
        <v>3.81</v>
        <stp/>
        <stp>P</stp>
        <stp>0</stp>
        <stp>IR</stp>
        <stp>BONDAVG04021</stp>
        <stp>20년이하(당일)</stp>
        <stp>45300</stp>
        <stp/>
        <tr r="V50" s="2"/>
      </tp>
      <tp>
        <v>3.82</v>
        <stp/>
        <stp>P</stp>
        <stp>0</stp>
        <stp>IR</stp>
        <stp>BONDAVG04021</stp>
        <stp>10년이하(당일)</stp>
        <stp>45300</stp>
        <stp/>
        <tr r="T50" s="2"/>
      </tp>
      <tp>
        <v>3.7050000000000001</v>
        <stp/>
        <stp>P</stp>
        <stp>0</stp>
        <stp>IR</stp>
        <stp>BONDAVG14727</stp>
        <stp>10년이하(당일)</stp>
        <stp>45300</stp>
        <stp/>
        <tr r="T25" s="2"/>
      </tp>
      <tp>
        <v>3.63</v>
        <stp/>
        <stp>P</stp>
        <stp>0</stp>
        <stp>IR</stp>
        <stp>BONDAVG14727</stp>
        <stp>20년이하(당일)</stp>
        <stp>45300</stp>
        <stp/>
        <tr r="V25" s="2"/>
      </tp>
      <tp>
        <v>3.778</v>
        <stp/>
        <stp>P</stp>
        <stp>0</stp>
        <stp>IR</stp>
        <stp>BONDAVG01576</stp>
        <stp>15년이하(당일)</stp>
        <stp>45300</stp>
        <stp/>
        <tr r="U36" s="2"/>
      </tp>
      <tp>
        <v>3.6480000000000001</v>
        <stp/>
        <stp>P</stp>
        <stp>0</stp>
        <stp>IR</stp>
        <stp>BONDAVG13327</stp>
        <stp>10년이하(당일)</stp>
        <stp>45300</stp>
        <stp/>
        <tr r="T32" s="2"/>
      </tp>
      <tp>
        <v>3.577</v>
        <stp/>
        <stp>P</stp>
        <stp>0</stp>
        <stp>IR</stp>
        <stp>BONDAVG13327</stp>
        <stp>20년이하(당일)</stp>
        <stp>45300</stp>
        <stp/>
        <tr r="V32" s="2"/>
      </tp>
      <tp>
        <v>3.6859999999999999</v>
        <stp/>
        <stp>P</stp>
        <stp>0</stp>
        <stp>IR</stp>
        <stp>BONDAVG03776</stp>
        <stp>15년이하(당일)</stp>
        <stp>45300</stp>
        <stp/>
        <tr r="U29" s="2"/>
      </tp>
      <tp>
        <v>3.6469999999999998</v>
        <stp/>
        <stp>P</stp>
        <stp>0</stp>
        <stp>IR</stp>
        <stp>BONDAVG04324</stp>
        <stp>10년이하(당일)</stp>
        <stp>45300</stp>
        <stp/>
        <tr r="T33" s="2"/>
      </tp>
      <tp>
        <v>3.5760000000000001</v>
        <stp/>
        <stp>P</stp>
        <stp>0</stp>
        <stp>IR</stp>
        <stp>BONDAVG04324</stp>
        <stp>20년이하(당일)</stp>
        <stp>45300</stp>
        <stp/>
        <tr r="V33" s="2"/>
      </tp>
      <tp>
        <v>3.8479999999999999</v>
        <stp/>
        <stp>P</stp>
        <stp>0</stp>
        <stp>IR</stp>
        <stp>BONDAVG12425</stp>
        <stp>20년이하(당일)</stp>
        <stp>45300</stp>
        <stp/>
        <tr r="V45" s="2"/>
      </tp>
      <tp>
        <v>3.8540000000000001</v>
        <stp/>
        <stp>P</stp>
        <stp>0</stp>
        <stp>IR</stp>
        <stp>BONDAVG12425</stp>
        <stp>10년이하(당일)</stp>
        <stp>45300</stp>
        <stp/>
        <tr r="T45" s="2"/>
      </tp>
      <tp>
        <v>3.6110000000000002</v>
        <stp/>
        <stp>P</stp>
        <stp>0</stp>
        <stp>IR</stp>
        <stp>BONDAVG15678</stp>
        <stp>15년이하(당일)</stp>
        <stp>45300</stp>
        <stp/>
        <tr r="U39" s="2"/>
      </tp>
      <tp>
        <v>3.9470000000000001</v>
        <stp/>
        <stp>P</stp>
        <stp>0</stp>
        <stp>IR</stp>
        <stp>BONDAVG13328</stp>
        <stp>10년이하(당일)</stp>
        <stp>45300</stp>
        <stp/>
        <tr r="T43" s="2"/>
      </tp>
      <tp>
        <v>3.9409999999999998</v>
        <stp/>
        <stp>P</stp>
        <stp>0</stp>
        <stp>IR</stp>
        <stp>BONDAVG13328</stp>
        <stp>20년이하(당일)</stp>
        <stp>45300</stp>
        <stp/>
        <tr r="V43" s="2"/>
      </tp>
      <tp>
        <v>3.6709999999999998</v>
        <stp/>
        <stp>P</stp>
        <stp>0</stp>
        <stp>IR</stp>
        <stp>BONDAVG60279</stp>
        <stp>15년이하(당일)</stp>
        <stp>45300</stp>
        <stp/>
        <tr r="U41" s="2"/>
      </tp>
      <tp>
        <v>3.8969999999999998</v>
        <stp/>
        <stp>P</stp>
        <stp>0</stp>
        <stp>IR</stp>
        <stp>BONDAVG50879</stp>
        <stp>15년이하(당일)</stp>
        <stp>45300</stp>
        <stp/>
        <tr r="U52" s="2"/>
      </tp>
      <tp>
        <v>3.67</v>
        <stp/>
        <stp>P</stp>
        <stp>0</stp>
        <stp>IR</stp>
        <stp>BONDAVG14727</stp>
        <stp>9월이하(당일)</stp>
        <stp>45300</stp>
        <stp/>
        <tr r="K25" s="2"/>
      </tp>
      <tp>
        <v>3.7509999999999999</v>
        <stp/>
        <stp>P</stp>
        <stp>0</stp>
        <stp>IR</stp>
        <stp>BONDAVG11802</stp>
        <stp>6월이하(당일)</stp>
        <stp>45300</stp>
        <stp/>
        <tr r="J17" s="2"/>
      </tp>
      <tp>
        <v>3.7040000000000002</v>
        <stp/>
        <stp>P</stp>
        <stp>0</stp>
        <stp>IR</stp>
        <stp>BONDAVG03776</stp>
        <stp>9월이하(당일)</stp>
        <stp>45300</stp>
        <stp/>
        <tr r="K29" s="2"/>
      </tp>
      <tp>
        <v>3.7879999999999998</v>
        <stp/>
        <stp>P</stp>
        <stp>0</stp>
        <stp>IR</stp>
        <stp>BONDAVG50879</stp>
        <stp>6월이하(당일)</stp>
        <stp>45300</stp>
        <stp/>
        <tr r="J52" s="2"/>
      </tp>
      <tp>
        <v>4.1159999999999997</v>
        <stp/>
        <stp>P</stp>
        <stp>0</stp>
        <stp>IR</stp>
        <stp>BONDAVG62757</stp>
        <stp>9월이하(당일)</stp>
        <stp>45300</stp>
        <stp/>
        <tr r="K59" s="2"/>
      </tp>
      <tp>
        <v>3.887</v>
        <stp/>
        <stp>P</stp>
        <stp>0</stp>
        <stp>IR</stp>
        <stp>BONDAVG04932</stp>
        <stp>20년이하(당일)</stp>
        <stp>45300</stp>
        <stp/>
        <tr r="V46" s="2"/>
      </tp>
      <tp>
        <v>3.89</v>
        <stp/>
        <stp>P</stp>
        <stp>0</stp>
        <stp>IR</stp>
        <stp>BONDAVG04932</stp>
        <stp>10년이하(당일)</stp>
        <stp>45300</stp>
        <stp/>
        <tr r="T46" s="2"/>
      </tp>
      <tp>
        <v>3.59</v>
        <stp/>
        <stp>P</stp>
        <stp>0</stp>
        <stp>IR</stp>
        <stp>BONDAVG03432</stp>
        <stp>20년이하(당일)</stp>
        <stp>45300</stp>
        <stp/>
        <tr r="V16" s="2"/>
      </tp>
      <tp>
        <v>3.6619999999999999</v>
        <stp/>
        <stp>P</stp>
        <stp>0</stp>
        <stp>IR</stp>
        <stp>BONDAVG03432</stp>
        <stp>10년이하(당일)</stp>
        <stp>45300</stp>
        <stp/>
        <tr r="T16" s="2"/>
      </tp>
      <tp>
        <v>3.6070000000000002</v>
        <stp/>
        <stp>P</stp>
        <stp>0</stp>
        <stp>IR</stp>
        <stp>BONDAVG10062</stp>
        <stp>15년이하(당일)</stp>
        <stp>45300</stp>
        <stp/>
        <tr r="U26" s="2"/>
      </tp>
      <tp>
        <v>3.778</v>
        <stp/>
        <stp>P</stp>
        <stp>0</stp>
        <stp>IR</stp>
        <stp>BONDAVG04130</stp>
        <stp>20년이하(당일)</stp>
        <stp>45300</stp>
        <stp/>
        <tr r="V12" s="2"/>
      </tp>
      <tp>
        <v>3.827</v>
        <stp/>
        <stp>P</stp>
        <stp>0</stp>
        <stp>IR</stp>
        <stp>BONDAVG04130</stp>
        <stp>10년이하(당일)</stp>
        <stp>45300</stp>
        <stp/>
        <tr r="T12" s="2"/>
      </tp>
      <tp>
        <v>3.6469999999999998</v>
        <stp/>
        <stp>P</stp>
        <stp>0</stp>
        <stp>IR</stp>
        <stp>BONDAVG03936</stp>
        <stp>20년이하(당일)</stp>
        <stp>45300</stp>
        <stp/>
        <tr r="V22" s="2"/>
      </tp>
      <tp>
        <v>3.7160000000000002</v>
        <stp/>
        <stp>P</stp>
        <stp>0</stp>
        <stp>IR</stp>
        <stp>BONDAVG03936</stp>
        <stp>10년이하(당일)</stp>
        <stp>45300</stp>
        <stp/>
        <tr r="T22" s="2"/>
      </tp>
      <tp>
        <v>3.8319999999999999</v>
        <stp/>
        <stp>P</stp>
        <stp>0</stp>
        <stp>IR</stp>
        <stp>BONDAVG04067</stp>
        <stp>15년이하(당일)</stp>
        <stp>45300</stp>
        <stp/>
        <tr r="U49" s="2"/>
      </tp>
      <tp>
        <v>3.6890000000000001</v>
        <stp/>
        <stp>P</stp>
        <stp>0</stp>
        <stp>IR</stp>
        <stp>BONDAVG61461</stp>
        <stp>15년이하(당일)</stp>
        <stp>45300</stp>
        <stp/>
        <tr r="U30" s="2"/>
      </tp>
      <tp>
        <v>3.657</v>
        <stp/>
        <stp>P</stp>
        <stp>0</stp>
        <stp>IR</stp>
        <stp>BONDAVG03937</stp>
        <stp>20년이하(당일)</stp>
        <stp>45300</stp>
        <stp/>
        <tr r="V24" s="2"/>
      </tp>
      <tp>
        <v>3.722</v>
        <stp/>
        <stp>P</stp>
        <stp>0</stp>
        <stp>IR</stp>
        <stp>BONDAVG03937</stp>
        <stp>10년이하(당일)</stp>
        <stp>45300</stp>
        <stp/>
        <tr r="T24" s="2"/>
      </tp>
      <tp>
        <v>3.5750000000000002</v>
        <stp/>
        <stp>P</stp>
        <stp>0</stp>
        <stp>IR</stp>
        <stp>BONDAVG03934</stp>
        <stp>20년이하(당일)</stp>
        <stp>45300</stp>
        <stp/>
        <tr r="V27" s="2"/>
      </tp>
      <tp>
        <v>3.6419999999999999</v>
        <stp/>
        <stp>P</stp>
        <stp>0</stp>
        <stp>IR</stp>
        <stp>BONDAVG03934</stp>
        <stp>10년이하(당일)</stp>
        <stp>45300</stp>
        <stp/>
        <tr r="T27" s="2"/>
      </tp>
      <tp>
        <v>3.5179999999999998</v>
        <stp/>
        <stp>P</stp>
        <stp>0</stp>
        <stp>IR</stp>
        <stp>BONDAVG03938</stp>
        <stp>20년이하(당일)</stp>
        <stp>45300</stp>
        <stp/>
        <tr r="V9" s="2"/>
      </tp>
      <tp>
        <v>3.601</v>
        <stp/>
        <stp>P</stp>
        <stp>0</stp>
        <stp>IR</stp>
        <stp>BONDAVG03938</stp>
        <stp>10년이하(당일)</stp>
        <stp>45300</stp>
        <stp/>
        <tr r="T9" s="2"/>
      </tp>
      <tp>
        <v>3.823</v>
        <stp/>
        <stp>P</stp>
        <stp>0</stp>
        <stp>IR</stp>
        <stp>BONDAVG10</stp>
        <stp>4년이하(당일)</stp>
        <stp>45300</stp>
        <stp/>
        <tr r="Q42" s="2"/>
      </tp>
      <tp>
        <v>3.9529999999999998</v>
        <stp/>
        <stp>P</stp>
        <stp>0</stp>
        <stp>IR</stp>
        <stp>BONDAVG11</stp>
        <stp>4년이하(당일)</stp>
        <stp>45300</stp>
        <stp/>
        <tr r="Q57" s="2"/>
      </tp>
      <tp>
        <v>4.0750000000000002</v>
        <stp/>
        <stp>P</stp>
        <stp>0</stp>
        <stp>IR</stp>
        <stp>BONDAVG12</stp>
        <stp>4년이하(당일)</stp>
        <stp>45300</stp>
        <stp/>
        <tr r="Q64" s="2"/>
      </tp>
      <tp>
        <v>3.5390000000000001</v>
        <stp/>
        <stp>P</stp>
        <stp>0</stp>
        <stp>IR</stp>
        <stp>BONDAVG13</stp>
        <stp>4년이하(당일)</stp>
        <stp>45300</stp>
        <stp/>
        <tr r="Q8" s="2"/>
      </tp>
      <tp>
        <v>3.3519999999999999</v>
        <stp/>
        <stp>P</stp>
        <stp>0</stp>
        <stp>IR</stp>
        <stp>BONDAVG01</stp>
        <stp>4년이하(당일)</stp>
        <stp>45300</stp>
        <stp/>
        <tr r="Q7" s="2"/>
      </tp>
      <tp>
        <v>3.665</v>
        <stp/>
        <stp>P</stp>
        <stp>0</stp>
        <stp>IR</stp>
        <stp>BONDAVG09</stp>
        <stp>4년이하(당일)</stp>
        <stp>45300</stp>
        <stp/>
        <tr r="Q11" s="2"/>
      </tp>
      <tp>
        <v>3.798</v>
        <stp/>
        <stp>P</stp>
        <stp>0</stp>
        <stp>IR</stp>
        <stp>BONDAVG10</stp>
        <stp>5년이하(당일)</stp>
        <stp>45300</stp>
        <stp/>
        <tr r="R42" s="2"/>
      </tp>
      <tp>
        <v>3.9289999999999998</v>
        <stp/>
        <stp>P</stp>
        <stp>0</stp>
        <stp>IR</stp>
        <stp>BONDAVG11</stp>
        <stp>5년이하(당일)</stp>
        <stp>45300</stp>
        <stp/>
        <tr r="R57" s="2"/>
      </tp>
      <tp>
        <v>4.0540000000000003</v>
        <stp/>
        <stp>P</stp>
        <stp>0</stp>
        <stp>IR</stp>
        <stp>BONDAVG12</stp>
        <stp>5년이하(당일)</stp>
        <stp>45300</stp>
        <stp/>
        <tr r="R64" s="2"/>
      </tp>
      <tp>
        <v>3.6019999999999999</v>
        <stp/>
        <stp>P</stp>
        <stp>0</stp>
        <stp>IR</stp>
        <stp>BONDAVG13</stp>
        <stp>5년이하(당일)</stp>
        <stp>45300</stp>
        <stp/>
        <tr r="R8" s="2"/>
      </tp>
      <tp>
        <v>3.306</v>
        <stp/>
        <stp>P</stp>
        <stp>0</stp>
        <stp>IR</stp>
        <stp>BONDAVG01</stp>
        <stp>5년이하(당일)</stp>
        <stp>45300</stp>
        <stp/>
        <tr r="R7" s="2"/>
      </tp>
      <tp>
        <v>3.6360000000000001</v>
        <stp/>
        <stp>P</stp>
        <stp>0</stp>
        <stp>IR</stp>
        <stp>BONDAVG09</stp>
        <stp>5년이하(당일)</stp>
        <stp>45300</stp>
        <stp/>
        <tr r="R11" s="2"/>
      </tp>
      <tp>
        <v>3.8180000000000001</v>
        <stp/>
        <stp>P</stp>
        <stp>0</stp>
        <stp>IR</stp>
        <stp>BONDAVG10</stp>
        <stp>7년이하(당일)</stp>
        <stp>45300</stp>
        <stp/>
        <tr r="S42" s="2"/>
      </tp>
      <tp>
        <v>3.956</v>
        <stp/>
        <stp>P</stp>
        <stp>0</stp>
        <stp>IR</stp>
        <stp>BONDAVG11</stp>
        <stp>7년이하(당일)</stp>
        <stp>45300</stp>
        <stp/>
        <tr r="S57" s="2"/>
      </tp>
      <tp>
        <v>4.0810000000000004</v>
        <stp/>
        <stp>P</stp>
        <stp>0</stp>
        <stp>IR</stp>
        <stp>BONDAVG12</stp>
        <stp>7년이하(당일)</stp>
        <stp>45300</stp>
        <stp/>
        <tr r="S64" s="2"/>
      </tp>
      <tp>
        <v>3.5979999999999999</v>
        <stp/>
        <stp>P</stp>
        <stp>0</stp>
        <stp>IR</stp>
        <stp>BONDAVG13</stp>
        <stp>7년이하(당일)</stp>
        <stp>45300</stp>
        <stp/>
        <tr r="S8" s="2"/>
      </tp>
      <tp>
        <v>3.3780000000000001</v>
        <stp/>
        <stp>P</stp>
        <stp>0</stp>
        <stp>IR</stp>
        <stp>BONDAVG01</stp>
        <stp>7년이하(당일)</stp>
        <stp>45300</stp>
        <stp/>
        <tr r="S7" s="2"/>
      </tp>
      <tp>
        <v>3.6509999999999998</v>
        <stp/>
        <stp>P</stp>
        <stp>0</stp>
        <stp>IR</stp>
        <stp>BONDAVG09</stp>
        <stp>7년이하(당일)</stp>
        <stp>45300</stp>
        <stp/>
        <tr r="S11" s="2"/>
      </tp>
      <tp>
        <v>3.7309999999999999</v>
        <stp/>
        <stp>P</stp>
        <stp>0</stp>
        <stp>IR</stp>
        <stp>BONDAVG10</stp>
        <stp>1년이하(당일)</stp>
        <stp>45300</stp>
        <stp/>
        <tr r="L42" s="2"/>
      </tp>
      <tp>
        <v>3.8570000000000002</v>
        <stp/>
        <stp>P</stp>
        <stp>0</stp>
        <stp>IR</stp>
        <stp>BONDAVG11</stp>
        <stp>1년이하(당일)</stp>
        <stp>45300</stp>
        <stp/>
        <tr r="L57" s="2"/>
      </tp>
      <tp>
        <v>3.97</v>
        <stp/>
        <stp>P</stp>
        <stp>0</stp>
        <stp>IR</stp>
        <stp>BONDAVG12</stp>
        <stp>1년이하(당일)</stp>
        <stp>45300</stp>
        <stp/>
        <tr r="L64" s="2"/>
      </tp>
      <tp>
        <v>3.5139999999999998</v>
        <stp/>
        <stp>P</stp>
        <stp>0</stp>
        <stp>IR</stp>
        <stp>BONDAVG13</stp>
        <stp>1년이하(당일)</stp>
        <stp>45300</stp>
        <stp/>
        <tr r="L8" s="2"/>
      </tp>
      <tp>
        <v>3.43</v>
        <stp/>
        <stp>P</stp>
        <stp>0</stp>
        <stp>IR</stp>
        <stp>BONDAVG01</stp>
        <stp>1년이하(당일)</stp>
        <stp>45300</stp>
        <stp/>
        <tr r="L7" s="2"/>
      </tp>
      <tp>
        <v>3.6280000000000001</v>
        <stp/>
        <stp>P</stp>
        <stp>0</stp>
        <stp>IR</stp>
        <stp>BONDAVG09</stp>
        <stp>1년이하(당일)</stp>
        <stp>45300</stp>
        <stp/>
        <tr r="L11" s="2"/>
      </tp>
      <tp>
        <v>3.8130000000000002</v>
        <stp/>
        <stp>P</stp>
        <stp>0</stp>
        <stp>IR</stp>
        <stp>BONDAVG10</stp>
        <stp>2년이하(당일)</stp>
        <stp>45300</stp>
        <stp/>
        <tr r="N42" s="2"/>
      </tp>
      <tp>
        <v>3.9420000000000002</v>
        <stp/>
        <stp>P</stp>
        <stp>0</stp>
        <stp>IR</stp>
        <stp>BONDAVG11</stp>
        <stp>2년이하(당일)</stp>
        <stp>45300</stp>
        <stp/>
        <tr r="N57" s="2"/>
      </tp>
      <tp>
        <v>4.0599999999999996</v>
        <stp/>
        <stp>P</stp>
        <stp>0</stp>
        <stp>IR</stp>
        <stp>BONDAVG12</stp>
        <stp>2년이하(당일)</stp>
        <stp>45300</stp>
        <stp/>
        <tr r="N64" s="2"/>
      </tp>
      <tp>
        <v>3.5259999999999998</v>
        <stp/>
        <stp>P</stp>
        <stp>0</stp>
        <stp>IR</stp>
        <stp>BONDAVG13</stp>
        <stp>2년이하(당일)</stp>
        <stp>45300</stp>
        <stp/>
        <tr r="N8" s="2"/>
      </tp>
      <tp>
        <v>3.39</v>
        <stp/>
        <stp>P</stp>
        <stp>0</stp>
        <stp>IR</stp>
        <stp>BONDAVG01</stp>
        <stp>2년이하(당일)</stp>
        <stp>45300</stp>
        <stp/>
        <tr r="N7" s="2"/>
      </tp>
      <tp>
        <v>3.6669999999999998</v>
        <stp/>
        <stp>P</stp>
        <stp>0</stp>
        <stp>IR</stp>
        <stp>BONDAVG09</stp>
        <stp>2년이하(당일)</stp>
        <stp>45300</stp>
        <stp/>
        <tr r="N11" s="2"/>
      </tp>
      <tp>
        <v>3.8119999999999998</v>
        <stp/>
        <stp>P</stp>
        <stp>0</stp>
        <stp>IR</stp>
        <stp>BONDAVG10</stp>
        <stp>3년이하(당일)</stp>
        <stp>45300</stp>
        <stp/>
        <tr r="P42" s="2"/>
      </tp>
      <tp>
        <v>3.9430000000000001</v>
        <stp/>
        <stp>P</stp>
        <stp>0</stp>
        <stp>IR</stp>
        <stp>BONDAVG11</stp>
        <stp>3년이하(당일)</stp>
        <stp>45300</stp>
        <stp/>
        <tr r="P57" s="2"/>
      </tp>
      <tp>
        <v>4.0670000000000002</v>
        <stp/>
        <stp>P</stp>
        <stp>0</stp>
        <stp>IR</stp>
        <stp>BONDAVG12</stp>
        <stp>3년이하(당일)</stp>
        <stp>45300</stp>
        <stp/>
        <tr r="P64" s="2"/>
      </tp>
      <tp>
        <v>3.5230000000000001</v>
        <stp/>
        <stp>P</stp>
        <stp>0</stp>
        <stp>IR</stp>
        <stp>BONDAVG13</stp>
        <stp>3년이하(당일)</stp>
        <stp>45300</stp>
        <stp/>
        <tr r="P8" s="2"/>
      </tp>
      <tp>
        <v>3.29</v>
        <stp/>
        <stp>P</stp>
        <stp>0</stp>
        <stp>IR</stp>
        <stp>BONDAVG01</stp>
        <stp>3년이하(당일)</stp>
        <stp>45300</stp>
        <stp/>
        <tr r="P7" s="2"/>
      </tp>
      <tp>
        <v>3.657</v>
        <stp/>
        <stp>P</stp>
        <stp>0</stp>
        <stp>IR</stp>
        <stp>BONDAVG09</stp>
        <stp>3년이하(당일)</stp>
        <stp>45300</stp>
        <stp/>
        <tr r="P11" s="2"/>
      </tp>
      <tp>
        <v>3.5219999999999998</v>
        <stp/>
        <stp>P</stp>
        <stp>0</stp>
        <stp>IR</stp>
        <stp>BONDAVG13</stp>
        <stp>2.5년이하(당일)</stp>
        <stp>45300</stp>
        <stp/>
        <tr r="O8" s="2"/>
      </tp>
      <tp>
        <v>3.5550000000000002</v>
        <stp/>
        <stp>P</stp>
        <stp>0</stp>
        <stp>IR</stp>
        <stp>BONDAVG13</stp>
        <stp>1.5년이하(당일)</stp>
        <stp>45300</stp>
        <stp/>
        <tr r="M8" s="2"/>
      </tp>
      <tp>
        <v>4.07</v>
        <stp/>
        <stp>P</stp>
        <stp>0</stp>
        <stp>IR</stp>
        <stp>BONDAVG12</stp>
        <stp>2.5년이하(당일)</stp>
        <stp>45300</stp>
        <stp/>
        <tr r="O64" s="2"/>
      </tp>
      <tp>
        <v>4.0730000000000004</v>
        <stp/>
        <stp>P</stp>
        <stp>0</stp>
        <stp>IR</stp>
        <stp>BONDAVG12</stp>
        <stp>1.5년이하(당일)</stp>
        <stp>45300</stp>
        <stp/>
        <tr r="M64" s="2"/>
      </tp>
      <tp>
        <v>3.3250000000000002</v>
        <stp/>
        <stp>P</stp>
        <stp>0</stp>
        <stp>IR</stp>
        <stp>BONDAVG01</stp>
        <stp>2.5년이하(당일)</stp>
        <stp>45300</stp>
        <stp/>
        <tr r="O7" s="2"/>
      </tp>
      <tp>
        <v>3.9489999999999998</v>
        <stp/>
        <stp>P</stp>
        <stp>0</stp>
        <stp>IR</stp>
        <stp>BONDAVG11</stp>
        <stp>2.5년이하(당일)</stp>
        <stp>45300</stp>
        <stp/>
        <tr r="O57" s="2"/>
      </tp>
      <tp>
        <v>3.4359999999999999</v>
        <stp/>
        <stp>P</stp>
        <stp>0</stp>
        <stp>IR</stp>
        <stp>BONDAVG01</stp>
        <stp>1.5년이하(당일)</stp>
        <stp>45300</stp>
        <stp/>
        <tr r="M7" s="2"/>
      </tp>
      <tp>
        <v>3.956</v>
        <stp/>
        <stp>P</stp>
        <stp>0</stp>
        <stp>IR</stp>
        <stp>BONDAVG11</stp>
        <stp>1.5년이하(당일)</stp>
        <stp>45300</stp>
        <stp/>
        <tr r="M57" s="2"/>
      </tp>
      <tp>
        <v>3.8159999999999998</v>
        <stp/>
        <stp>P</stp>
        <stp>0</stp>
        <stp>IR</stp>
        <stp>BONDAVG10</stp>
        <stp>2.5년이하(당일)</stp>
        <stp>45300</stp>
        <stp/>
        <tr r="O42" s="2"/>
      </tp>
      <tp>
        <v>3.8260000000000001</v>
        <stp/>
        <stp>P</stp>
        <stp>0</stp>
        <stp>IR</stp>
        <stp>BONDAVG10</stp>
        <stp>1.5년이하(당일)</stp>
        <stp>45300</stp>
        <stp/>
        <tr r="M42" s="2"/>
      </tp>
      <tp>
        <v>3.665</v>
        <stp/>
        <stp>P</stp>
        <stp>0</stp>
        <stp>IR</stp>
        <stp>BONDAVG09</stp>
        <stp>2.5년이하(당일)</stp>
        <stp>45300</stp>
        <stp/>
        <tr r="O11" s="2"/>
      </tp>
      <tp>
        <v>3.6869999999999998</v>
        <stp/>
        <stp>P</stp>
        <stp>0</stp>
        <stp>IR</stp>
        <stp>BONDAVG09</stp>
        <stp>1.5년이하(당일)</stp>
        <stp>45300</stp>
        <stp/>
        <tr r="M11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Style="combo" dx="16" fmlaLink="$F$194" fmlaRange="$H$195:$H$246" val="37"/>
</file>

<file path=xl/ctrlProps/ctrlProp2.xml><?xml version="1.0" encoding="utf-8"?>
<formControlPr xmlns="http://schemas.microsoft.com/office/spreadsheetml/2009/9/main" objectType="Drop" dropStyle="combo" dx="16" fmlaLink="$B$69" fmlaRange="$B$70:$B$75" noThreeD="1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192</xdr:row>
          <xdr:rowOff>152400</xdr:rowOff>
        </xdr:from>
        <xdr:to>
          <xdr:col>8</xdr:col>
          <xdr:colOff>9525</xdr:colOff>
          <xdr:row>193</xdr:row>
          <xdr:rowOff>161925</xdr:rowOff>
        </xdr:to>
        <xdr:sp macro="" textlink="">
          <xdr:nvSpPr>
            <xdr:cNvPr id="2050" name="Drop Down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</xdr:row>
          <xdr:rowOff>28575</xdr:rowOff>
        </xdr:from>
        <xdr:to>
          <xdr:col>6</xdr:col>
          <xdr:colOff>704850</xdr:colOff>
          <xdr:row>1</xdr:row>
          <xdr:rowOff>209550</xdr:rowOff>
        </xdr:to>
        <xdr:sp macro="" textlink="">
          <xdr:nvSpPr>
            <xdr:cNvPr id="2052" name="Drop Down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rtlCol="0" anchor="ctr"/>
      <a:lstStyle>
        <a:defPPr algn="ctr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X246"/>
  <sheetViews>
    <sheetView showGridLines="0" tabSelected="1" zoomScaleNormal="100" workbookViewId="0">
      <pane xSplit="8" ySplit="6" topLeftCell="J7" activePane="bottomRight" state="frozen"/>
      <selection pane="topRight" activeCell="I1" sqref="I1"/>
      <selection pane="bottomLeft" activeCell="A7" sqref="A7"/>
      <selection pane="bottomRight"/>
    </sheetView>
  </sheetViews>
  <sheetFormatPr defaultRowHeight="13.5" x14ac:dyDescent="0.25"/>
  <cols>
    <col min="1" max="1" width="2.140625" style="29" customWidth="1"/>
    <col min="2" max="2" width="9.140625" style="95" hidden="1" customWidth="1"/>
    <col min="3" max="3" width="14.85546875" style="94" hidden="1" customWidth="1"/>
    <col min="4" max="4" width="11.42578125" style="91" hidden="1" customWidth="1"/>
    <col min="5" max="5" width="20" style="90" hidden="1" customWidth="1"/>
    <col min="6" max="6" width="14.7109375" style="90" hidden="1" customWidth="1"/>
    <col min="7" max="7" width="11" style="59" bestFit="1" customWidth="1"/>
    <col min="8" max="8" width="29.5703125" style="1" customWidth="1"/>
    <col min="9" max="23" width="9.140625" style="1"/>
    <col min="24" max="24" width="10.140625" style="1" bestFit="1" customWidth="1"/>
    <col min="25" max="16384" width="9.140625" style="1"/>
  </cols>
  <sheetData>
    <row r="1" spans="1:22" ht="14.25" thickBot="1" x14ac:dyDescent="0.3"/>
    <row r="2" spans="1:22" ht="18" customHeight="1" thickBot="1" x14ac:dyDescent="0.3">
      <c r="H2" s="108">
        <f ca="1">TODAY()</f>
        <v>45300</v>
      </c>
      <c r="N2" s="34"/>
    </row>
    <row r="3" spans="1:22" ht="7.5" customHeight="1" x14ac:dyDescent="0.25"/>
    <row r="4" spans="1:22" ht="14.25" customHeight="1" x14ac:dyDescent="0.25">
      <c r="A4" s="35"/>
      <c r="B4" s="66"/>
      <c r="C4" s="65"/>
      <c r="D4" s="30"/>
      <c r="H4" s="2" t="s">
        <v>14</v>
      </c>
      <c r="I4" s="3" t="s">
        <v>49</v>
      </c>
      <c r="J4" s="3" t="s">
        <v>50</v>
      </c>
      <c r="K4" s="3" t="s">
        <v>51</v>
      </c>
      <c r="L4" s="3" t="s">
        <v>52</v>
      </c>
      <c r="M4" s="3" t="s">
        <v>53</v>
      </c>
      <c r="N4" s="3" t="s">
        <v>54</v>
      </c>
      <c r="O4" s="3" t="s">
        <v>55</v>
      </c>
      <c r="P4" s="3" t="s">
        <v>56</v>
      </c>
      <c r="Q4" s="3" t="s">
        <v>57</v>
      </c>
      <c r="R4" s="3" t="s">
        <v>58</v>
      </c>
      <c r="S4" s="3" t="s">
        <v>59</v>
      </c>
      <c r="T4" s="3" t="s">
        <v>60</v>
      </c>
      <c r="U4" s="3" t="s">
        <v>61</v>
      </c>
      <c r="V4" s="4" t="s">
        <v>62</v>
      </c>
    </row>
    <row r="5" spans="1:22" hidden="1" x14ac:dyDescent="0.25">
      <c r="A5" s="65"/>
      <c r="B5" s="66"/>
      <c r="C5" s="65"/>
      <c r="D5" s="65"/>
      <c r="H5" s="67"/>
      <c r="I5" s="68" t="s">
        <v>0</v>
      </c>
      <c r="J5" s="68" t="s">
        <v>1</v>
      </c>
      <c r="K5" s="68" t="s">
        <v>2</v>
      </c>
      <c r="L5" s="68" t="s">
        <v>3</v>
      </c>
      <c r="M5" s="68" t="s">
        <v>4</v>
      </c>
      <c r="N5" s="68" t="s">
        <v>5</v>
      </c>
      <c r="O5" s="68" t="s">
        <v>6</v>
      </c>
      <c r="P5" s="68" t="s">
        <v>7</v>
      </c>
      <c r="Q5" s="68" t="s">
        <v>8</v>
      </c>
      <c r="R5" s="68" t="s">
        <v>9</v>
      </c>
      <c r="S5" s="68" t="s">
        <v>10</v>
      </c>
      <c r="T5" s="68" t="s">
        <v>11</v>
      </c>
      <c r="U5" s="68" t="s">
        <v>12</v>
      </c>
      <c r="V5" s="69" t="s">
        <v>13</v>
      </c>
    </row>
    <row r="6" spans="1:22" hidden="1" x14ac:dyDescent="0.25">
      <c r="A6" s="65"/>
      <c r="B6" s="66"/>
      <c r="C6" s="65"/>
      <c r="D6" s="65"/>
      <c r="H6" s="67">
        <v>1</v>
      </c>
      <c r="I6" s="70">
        <v>2</v>
      </c>
      <c r="J6" s="70">
        <v>3</v>
      </c>
      <c r="K6" s="70">
        <v>4</v>
      </c>
      <c r="L6" s="70">
        <v>5</v>
      </c>
      <c r="M6" s="70">
        <v>6</v>
      </c>
      <c r="N6" s="70">
        <v>7</v>
      </c>
      <c r="O6" s="70">
        <v>8</v>
      </c>
      <c r="P6" s="70">
        <v>9</v>
      </c>
      <c r="Q6" s="70">
        <v>10</v>
      </c>
      <c r="R6" s="70">
        <v>11</v>
      </c>
      <c r="S6" s="70">
        <v>12</v>
      </c>
      <c r="T6" s="70">
        <v>13</v>
      </c>
      <c r="U6" s="70">
        <v>14</v>
      </c>
      <c r="V6" s="70">
        <v>15</v>
      </c>
    </row>
    <row r="7" spans="1:22" ht="16.5" x14ac:dyDescent="0.25">
      <c r="A7" s="31"/>
      <c r="B7" s="98" t="str">
        <f t="shared" ref="B7:B59" si="0">TEXT(D7,"00000")</f>
        <v>00000</v>
      </c>
      <c r="C7" s="99" t="s">
        <v>89</v>
      </c>
      <c r="D7" s="36"/>
      <c r="E7" s="60" t="s">
        <v>95</v>
      </c>
      <c r="F7" s="60" t="s">
        <v>95</v>
      </c>
      <c r="G7" s="25" t="s">
        <v>64</v>
      </c>
      <c r="H7" s="5" t="str">
        <f t="shared" ref="H7:H38" si="1">E7</f>
        <v>국고채</v>
      </c>
      <c r="I7" s="71">
        <f ca="1">_xll.IMDP("IR", $C7, I$5, $H$2)</f>
        <v>3.488</v>
      </c>
      <c r="J7" s="71">
        <f ca="1">_xll.IMDP("IR", $C7, J$5, $H$2)</f>
        <v>3.4710000000000001</v>
      </c>
      <c r="K7" s="71">
        <f ca="1">_xll.IMDP("IR", $C7, K$5, $H$2)</f>
        <v>3.4830000000000001</v>
      </c>
      <c r="L7" s="71">
        <f ca="1">_xll.IMDP("IR", $C7, L$5, $H$2)</f>
        <v>3.43</v>
      </c>
      <c r="M7" s="71">
        <f ca="1">_xll.IMDP("IR", $C7, M$5, $H$2)</f>
        <v>3.4359999999999999</v>
      </c>
      <c r="N7" s="71">
        <f ca="1">_xll.IMDP("IR", $C7, N$5, $H$2)</f>
        <v>3.39</v>
      </c>
      <c r="O7" s="71">
        <f ca="1">_xll.IMDP("IR", $C7, O$5, $H$2)</f>
        <v>3.3250000000000002</v>
      </c>
      <c r="P7" s="71">
        <f ca="1">_xll.IMDP("IR", $C7, P$5, $H$2)</f>
        <v>3.29</v>
      </c>
      <c r="Q7" s="71">
        <f ca="1">_xll.IMDP("IR", $C7, Q$5, $H$2)</f>
        <v>3.3519999999999999</v>
      </c>
      <c r="R7" s="71">
        <f ca="1">_xll.IMDP("IR", $C7, R$5, $H$2)</f>
        <v>3.306</v>
      </c>
      <c r="S7" s="71">
        <f ca="1">_xll.IMDP("IR", $C7, S$5, $H$2)</f>
        <v>3.3780000000000001</v>
      </c>
      <c r="T7" s="71">
        <f ca="1">_xll.IMDP("IR", $C7, T$5, $H$2)</f>
        <v>3.355</v>
      </c>
      <c r="U7" s="71">
        <f ca="1">_xll.IMDP("IR", $C7, U$5, $H$2)</f>
        <v>3.3119999999999998</v>
      </c>
      <c r="V7" s="72">
        <f ca="1">_xll.IMDP("IR", $C7, V$5, $H$2)</f>
        <v>3.2450000000000001</v>
      </c>
    </row>
    <row r="8" spans="1:22" x14ac:dyDescent="0.25">
      <c r="A8" s="31"/>
      <c r="B8" s="98" t="str">
        <f t="shared" si="0"/>
        <v>00000</v>
      </c>
      <c r="C8" s="99" t="s">
        <v>90</v>
      </c>
      <c r="D8" s="36"/>
      <c r="E8" s="60" t="s">
        <v>15</v>
      </c>
      <c r="F8" s="60" t="s">
        <v>15</v>
      </c>
      <c r="G8" s="60"/>
      <c r="H8" s="6" t="str">
        <f t="shared" si="1"/>
        <v>공사/공단채 정부보증</v>
      </c>
      <c r="I8" s="73">
        <f ca="1">_xll.IMDP("IR", $C8, I$5, $H$2)</f>
        <v>3.5339999999999998</v>
      </c>
      <c r="J8" s="73">
        <f ca="1">_xll.IMDP("IR", $C8, J$5, $H$2)</f>
        <v>3.5459999999999998</v>
      </c>
      <c r="K8" s="73">
        <f ca="1">_xll.IMDP("IR", $C8, K$5, $H$2)</f>
        <v>3.5489999999999999</v>
      </c>
      <c r="L8" s="73">
        <f ca="1">_xll.IMDP("IR", $C8, L$5, $H$2)</f>
        <v>3.5139999999999998</v>
      </c>
      <c r="M8" s="73">
        <f ca="1">_xll.IMDP("IR", $C8, M$5, $H$2)</f>
        <v>3.5550000000000002</v>
      </c>
      <c r="N8" s="73">
        <f ca="1">_xll.IMDP("IR", $C8, N$5, $H$2)</f>
        <v>3.5259999999999998</v>
      </c>
      <c r="O8" s="73">
        <f ca="1">_xll.IMDP("IR", $C8, O$5, $H$2)</f>
        <v>3.5219999999999998</v>
      </c>
      <c r="P8" s="73">
        <f ca="1">_xll.IMDP("IR", $C8, P$5, $H$2)</f>
        <v>3.5230000000000001</v>
      </c>
      <c r="Q8" s="73">
        <f ca="1">_xll.IMDP("IR", $C8, Q$5, $H$2)</f>
        <v>3.5390000000000001</v>
      </c>
      <c r="R8" s="73">
        <f ca="1">_xll.IMDP("IR", $C8, R$5, $H$2)</f>
        <v>3.6019999999999999</v>
      </c>
      <c r="S8" s="73">
        <f ca="1">_xll.IMDP("IR", $C8, S$5, $H$2)</f>
        <v>3.5979999999999999</v>
      </c>
      <c r="T8" s="73">
        <f ca="1">_xll.IMDP("IR", $C8, T$5, $H$2)</f>
        <v>3.601</v>
      </c>
      <c r="U8" s="73">
        <f ca="1">_xll.IMDP("IR", $C8, U$5, $H$2)</f>
        <v>3.5779999999999998</v>
      </c>
      <c r="V8" s="74">
        <f ca="1">_xll.IMDP("IR", $C8, V$5, $H$2)</f>
        <v>3.5179999999999998</v>
      </c>
    </row>
    <row r="9" spans="1:22" x14ac:dyDescent="0.25">
      <c r="A9" s="31"/>
      <c r="B9" s="98" t="str">
        <f t="shared" si="0"/>
        <v>03938</v>
      </c>
      <c r="C9" s="99" t="str">
        <f>"BONDAVG"&amp;B9</f>
        <v>BONDAVG03938</v>
      </c>
      <c r="D9" s="36">
        <v>3938</v>
      </c>
      <c r="E9" s="60" t="s">
        <v>16</v>
      </c>
      <c r="F9" s="60" t="s">
        <v>15</v>
      </c>
      <c r="G9" s="60"/>
      <c r="H9" s="7" t="str">
        <f t="shared" si="1"/>
        <v>예금보험공사</v>
      </c>
      <c r="I9" s="75">
        <f ca="1">_xll.IMDP("IR", $C9, I$5, $H$2)</f>
        <v>3.5339999999999998</v>
      </c>
      <c r="J9" s="76">
        <f ca="1">_xll.IMDP("IR", $C9, J$5, $H$2)</f>
        <v>3.5459999999999998</v>
      </c>
      <c r="K9" s="76">
        <f ca="1">_xll.IMDP("IR", $C9, K$5, $H$2)</f>
        <v>3.5489999999999999</v>
      </c>
      <c r="L9" s="76">
        <f ca="1">_xll.IMDP("IR", $C9, L$5, $H$2)</f>
        <v>3.5139999999999998</v>
      </c>
      <c r="M9" s="76">
        <f ca="1">_xll.IMDP("IR", $C9, M$5, $H$2)</f>
        <v>3.5550000000000002</v>
      </c>
      <c r="N9" s="76">
        <f ca="1">_xll.IMDP("IR", $C9, N$5, $H$2)</f>
        <v>3.5259999999999998</v>
      </c>
      <c r="O9" s="76">
        <f ca="1">_xll.IMDP("IR", $C9, O$5, $H$2)</f>
        <v>3.5219999999999998</v>
      </c>
      <c r="P9" s="76">
        <f ca="1">_xll.IMDP("IR", $C9, P$5, $H$2)</f>
        <v>3.5230000000000001</v>
      </c>
      <c r="Q9" s="76">
        <f ca="1">_xll.IMDP("IR", $C9, Q$5, $H$2)</f>
        <v>3.5390000000000001</v>
      </c>
      <c r="R9" s="76">
        <f ca="1">_xll.IMDP("IR", $C9, R$5, $H$2)</f>
        <v>3.6019999999999999</v>
      </c>
      <c r="S9" s="76">
        <f ca="1">_xll.IMDP("IR", $C9, S$5, $H$2)</f>
        <v>3.5979999999999999</v>
      </c>
      <c r="T9" s="76">
        <f ca="1">_xll.IMDP("IR", $C9, T$5, $H$2)</f>
        <v>3.601</v>
      </c>
      <c r="U9" s="76">
        <f ca="1">_xll.IMDP("IR", $C9, U$5, $H$2)</f>
        <v>3.5779999999999998</v>
      </c>
      <c r="V9" s="77">
        <f ca="1">_xll.IMDP("IR", $C9, V$5, $H$2)</f>
        <v>3.5179999999999998</v>
      </c>
    </row>
    <row r="10" spans="1:22" x14ac:dyDescent="0.25">
      <c r="A10" s="31"/>
      <c r="B10" s="98" t="str">
        <f t="shared" si="0"/>
        <v>14957</v>
      </c>
      <c r="C10" s="99" t="str">
        <f>"BONDAVG"&amp;B10</f>
        <v>BONDAVG14957</v>
      </c>
      <c r="D10" s="36">
        <v>14957</v>
      </c>
      <c r="E10" s="60" t="s">
        <v>17</v>
      </c>
      <c r="F10" s="60" t="s">
        <v>15</v>
      </c>
      <c r="G10" s="60"/>
      <c r="H10" s="8" t="str">
        <f t="shared" si="1"/>
        <v>한국장학재단</v>
      </c>
      <c r="I10" s="78">
        <f ca="1">_xll.IMDP("IR", $C10, I$5, $H$2)</f>
        <v>3.5339999999999998</v>
      </c>
      <c r="J10" s="79">
        <f ca="1">_xll.IMDP("IR", $C10, J$5, $H$2)</f>
        <v>3.5459999999999998</v>
      </c>
      <c r="K10" s="79">
        <f ca="1">_xll.IMDP("IR", $C10, K$5, $H$2)</f>
        <v>3.5489999999999999</v>
      </c>
      <c r="L10" s="79">
        <f ca="1">_xll.IMDP("IR", $C10, L$5, $H$2)</f>
        <v>3.5139999999999998</v>
      </c>
      <c r="M10" s="79">
        <f ca="1">_xll.IMDP("IR", $C10, M$5, $H$2)</f>
        <v>3.5550000000000002</v>
      </c>
      <c r="N10" s="79">
        <f ca="1">_xll.IMDP("IR", $C10, N$5, $H$2)</f>
        <v>3.5259999999999998</v>
      </c>
      <c r="O10" s="79">
        <f ca="1">_xll.IMDP("IR", $C10, O$5, $H$2)</f>
        <v>3.5219999999999998</v>
      </c>
      <c r="P10" s="79">
        <f ca="1">_xll.IMDP("IR", $C10, P$5, $H$2)</f>
        <v>3.5230000000000001</v>
      </c>
      <c r="Q10" s="79">
        <f ca="1">_xll.IMDP("IR", $C10, Q$5, $H$2)</f>
        <v>3.5390000000000001</v>
      </c>
      <c r="R10" s="79">
        <f ca="1">_xll.IMDP("IR", $C10, R$5, $H$2)</f>
        <v>3.5990000000000002</v>
      </c>
      <c r="S10" s="79">
        <f ca="1">_xll.IMDP("IR", $C10, S$5, $H$2)</f>
        <v>3.5979999999999999</v>
      </c>
      <c r="T10" s="79">
        <f ca="1">_xll.IMDP("IR", $C10, T$5, $H$2)</f>
        <v>3.601</v>
      </c>
      <c r="U10" s="79">
        <f ca="1">_xll.IMDP("IR", $C10, U$5, $H$2)</f>
        <v>3.5659999999999998</v>
      </c>
      <c r="V10" s="80">
        <f ca="1">_xll.IMDP("IR", $C10, V$5, $H$2)</f>
        <v>3.5179999999999998</v>
      </c>
    </row>
    <row r="11" spans="1:22" x14ac:dyDescent="0.25">
      <c r="A11" s="31"/>
      <c r="B11" s="98" t="str">
        <f t="shared" si="0"/>
        <v>00000</v>
      </c>
      <c r="C11" s="99" t="s">
        <v>91</v>
      </c>
      <c r="D11" s="36"/>
      <c r="E11" s="60" t="s">
        <v>18</v>
      </c>
      <c r="F11" s="60" t="s">
        <v>18</v>
      </c>
      <c r="G11" s="60"/>
      <c r="H11" s="9" t="str">
        <f t="shared" si="1"/>
        <v>공사/공단채 AAA</v>
      </c>
      <c r="I11" s="81">
        <f ca="1">_xll.IMDP("IR", $C11, I$5, $H$2)</f>
        <v>3.6349999999999998</v>
      </c>
      <c r="J11" s="81">
        <f ca="1">_xll.IMDP("IR", $C11, J$5, $H$2)</f>
        <v>3.6669999999999998</v>
      </c>
      <c r="K11" s="81">
        <f ca="1">_xll.IMDP("IR", $C11, K$5, $H$2)</f>
        <v>3.6509999999999998</v>
      </c>
      <c r="L11" s="81">
        <f ca="1">_xll.IMDP("IR", $C11, L$5, $H$2)</f>
        <v>3.6280000000000001</v>
      </c>
      <c r="M11" s="81">
        <f ca="1">_xll.IMDP("IR", $C11, M$5, $H$2)</f>
        <v>3.6869999999999998</v>
      </c>
      <c r="N11" s="81">
        <f ca="1">_xll.IMDP("IR", $C11, N$5, $H$2)</f>
        <v>3.6669999999999998</v>
      </c>
      <c r="O11" s="81">
        <f ca="1">_xll.IMDP("IR", $C11, O$5, $H$2)</f>
        <v>3.665</v>
      </c>
      <c r="P11" s="81">
        <f ca="1">_xll.IMDP("IR", $C11, P$5, $H$2)</f>
        <v>3.657</v>
      </c>
      <c r="Q11" s="81">
        <f ca="1">_xll.IMDP("IR", $C11, Q$5, $H$2)</f>
        <v>3.665</v>
      </c>
      <c r="R11" s="81">
        <f ca="1">_xll.IMDP("IR", $C11, R$5, $H$2)</f>
        <v>3.6360000000000001</v>
      </c>
      <c r="S11" s="81">
        <f ca="1">_xll.IMDP("IR", $C11, S$5, $H$2)</f>
        <v>3.6509999999999998</v>
      </c>
      <c r="T11" s="81">
        <f ca="1">_xll.IMDP("IR", $C11, T$5, $H$2)</f>
        <v>3.6629999999999998</v>
      </c>
      <c r="U11" s="81">
        <f ca="1">_xll.IMDP("IR", $C11, U$5, $H$2)</f>
        <v>3.645</v>
      </c>
      <c r="V11" s="82">
        <f ca="1">_xll.IMDP("IR", $C11, V$5, $H$2)</f>
        <v>3.5920000000000001</v>
      </c>
    </row>
    <row r="12" spans="1:22" x14ac:dyDescent="0.25">
      <c r="A12" s="31"/>
      <c r="B12" s="98" t="str">
        <f t="shared" si="0"/>
        <v>04130</v>
      </c>
      <c r="C12" s="99" t="str">
        <f t="shared" ref="C12:C41" si="2">"BONDAVG"&amp;B12</f>
        <v>BONDAVG04130</v>
      </c>
      <c r="D12" s="36">
        <v>4130</v>
      </c>
      <c r="E12" s="60" t="s">
        <v>75</v>
      </c>
      <c r="F12" s="60" t="s">
        <v>18</v>
      </c>
      <c r="G12" s="109"/>
      <c r="H12" s="7" t="str">
        <f t="shared" si="1"/>
        <v>경기주택도시공사</v>
      </c>
      <c r="I12" s="75">
        <f ca="1">_xll.IMDP("IR", $C12, I$5, $H$2)</f>
        <v>3.7330000000000001</v>
      </c>
      <c r="J12" s="76">
        <f ca="1">_xll.IMDP("IR", $C12, J$5, $H$2)</f>
        <v>3.7690000000000001</v>
      </c>
      <c r="K12" s="76">
        <f ca="1">_xll.IMDP("IR", $C12, K$5, $H$2)</f>
        <v>3.762</v>
      </c>
      <c r="L12" s="76">
        <f ca="1">_xll.IMDP("IR", $C12, L$5, $H$2)</f>
        <v>3.7440000000000002</v>
      </c>
      <c r="M12" s="76">
        <f ca="1">_xll.IMDP("IR", $C12, M$5, $H$2)</f>
        <v>3.8170000000000002</v>
      </c>
      <c r="N12" s="76">
        <f ca="1">_xll.IMDP("IR", $C12, N$5, $H$2)</f>
        <v>3.82</v>
      </c>
      <c r="O12" s="76">
        <f ca="1">_xll.IMDP("IR", $C12, O$5, $H$2)</f>
        <v>3.8239999999999998</v>
      </c>
      <c r="P12" s="76">
        <f ca="1">_xll.IMDP("IR", $C12, P$5, $H$2)</f>
        <v>3.819</v>
      </c>
      <c r="Q12" s="76">
        <f ca="1">_xll.IMDP("IR", $C12, Q$5, $H$2)</f>
        <v>3.8290000000000002</v>
      </c>
      <c r="R12" s="76">
        <f ca="1">_xll.IMDP("IR", $C12, R$5, $H$2)</f>
        <v>3.7970000000000002</v>
      </c>
      <c r="S12" s="76">
        <f ca="1">_xll.IMDP("IR", $C12, S$5, $H$2)</f>
        <v>3.8130000000000002</v>
      </c>
      <c r="T12" s="76">
        <f ca="1">_xll.IMDP("IR", $C12, T$5, $H$2)</f>
        <v>3.827</v>
      </c>
      <c r="U12" s="76">
        <f ca="1">_xll.IMDP("IR", $C12, U$5, $H$2)</f>
        <v>3.8</v>
      </c>
      <c r="V12" s="77">
        <f ca="1">_xll.IMDP("IR", $C12, V$5, $H$2)</f>
        <v>3.778</v>
      </c>
    </row>
    <row r="13" spans="1:22" x14ac:dyDescent="0.25">
      <c r="A13" s="31"/>
      <c r="B13" s="98" t="str">
        <f t="shared" si="0"/>
        <v>65214</v>
      </c>
      <c r="C13" s="99" t="str">
        <f t="shared" si="2"/>
        <v>BONDAVG65214</v>
      </c>
      <c r="D13" s="36">
        <v>65214</v>
      </c>
      <c r="E13" s="60" t="s">
        <v>76</v>
      </c>
      <c r="F13" s="60" t="s">
        <v>18</v>
      </c>
      <c r="G13" s="60"/>
      <c r="H13" s="10" t="str">
        <f t="shared" si="1"/>
        <v>광해광업공단</v>
      </c>
      <c r="I13" s="83">
        <f ca="1">_xll.IMDP("IR", $C13, I$5, $H$2)</f>
        <v>3.7469999999999999</v>
      </c>
      <c r="J13" s="84">
        <f ca="1">_xll.IMDP("IR", $C13, J$5, $H$2)</f>
        <v>3.786</v>
      </c>
      <c r="K13" s="84">
        <f ca="1">_xll.IMDP("IR", $C13, K$5, $H$2)</f>
        <v>3.7709999999999999</v>
      </c>
      <c r="L13" s="84">
        <f ca="1">_xll.IMDP("IR", $C13, L$5, $H$2)</f>
        <v>3.7490000000000001</v>
      </c>
      <c r="M13" s="84">
        <f ca="1">_xll.IMDP("IR", $C13, M$5, $H$2)</f>
        <v>3.8140000000000001</v>
      </c>
      <c r="N13" s="84">
        <f ca="1">_xll.IMDP("IR", $C13, N$5, $H$2)</f>
        <v>3.794</v>
      </c>
      <c r="O13" s="84">
        <f ca="1">_xll.IMDP("IR", $C13, O$5, $H$2)</f>
        <v>3.7919999999999998</v>
      </c>
      <c r="P13" s="84">
        <f ca="1">_xll.IMDP("IR", $C13, P$5, $H$2)</f>
        <v>3.7810000000000001</v>
      </c>
      <c r="Q13" s="84">
        <f ca="1">_xll.IMDP("IR", $C13, Q$5, $H$2)</f>
        <v>3.7869999999999999</v>
      </c>
      <c r="R13" s="84">
        <f ca="1">_xll.IMDP("IR", $C13, R$5, $H$2)</f>
        <v>3.7490000000000001</v>
      </c>
      <c r="S13" s="84">
        <f ca="1">_xll.IMDP("IR", $C13, S$5, $H$2)</f>
        <v>3.7639999999999998</v>
      </c>
      <c r="T13" s="84">
        <f ca="1">_xll.IMDP("IR", $C13, T$5, $H$2)</f>
        <v>3.79</v>
      </c>
      <c r="U13" s="84">
        <f ca="1">_xll.IMDP("IR", $C13, U$5, $H$2)</f>
        <v>3.7639999999999998</v>
      </c>
      <c r="V13" s="85">
        <f ca="1">_xll.IMDP("IR", $C13, V$5, $H$2)</f>
        <v>3.7370000000000001</v>
      </c>
    </row>
    <row r="14" spans="1:22" x14ac:dyDescent="0.25">
      <c r="A14" s="31"/>
      <c r="B14" s="98" t="str">
        <f t="shared" si="0"/>
        <v>08572</v>
      </c>
      <c r="C14" s="99" t="str">
        <f t="shared" si="2"/>
        <v>BONDAVG08572</v>
      </c>
      <c r="D14" s="36">
        <v>8572</v>
      </c>
      <c r="E14" s="60" t="s">
        <v>77</v>
      </c>
      <c r="F14" s="60" t="s">
        <v>18</v>
      </c>
      <c r="G14" s="60"/>
      <c r="H14" s="10" t="str">
        <f t="shared" si="1"/>
        <v>국가철도공단</v>
      </c>
      <c r="I14" s="83">
        <f ca="1">_xll.IMDP("IR", $C14, I$5, $H$2)</f>
        <v>3.6280000000000001</v>
      </c>
      <c r="J14" s="84">
        <f ca="1">_xll.IMDP("IR", $C14, J$5, $H$2)</f>
        <v>3.6589999999999998</v>
      </c>
      <c r="K14" s="84">
        <f ca="1">_xll.IMDP("IR", $C14, K$5, $H$2)</f>
        <v>3.6440000000000001</v>
      </c>
      <c r="L14" s="84">
        <f ca="1">_xll.IMDP("IR", $C14, L$5, $H$2)</f>
        <v>3.621</v>
      </c>
      <c r="M14" s="84">
        <f ca="1">_xll.IMDP("IR", $C14, M$5, $H$2)</f>
        <v>3.68</v>
      </c>
      <c r="N14" s="84">
        <f ca="1">_xll.IMDP("IR", $C14, N$5, $H$2)</f>
        <v>3.6659999999999999</v>
      </c>
      <c r="O14" s="84">
        <f ca="1">_xll.IMDP("IR", $C14, O$5, $H$2)</f>
        <v>3.6629999999999998</v>
      </c>
      <c r="P14" s="84">
        <f ca="1">_xll.IMDP("IR", $C14, P$5, $H$2)</f>
        <v>3.6539999999999999</v>
      </c>
      <c r="Q14" s="84">
        <f ca="1">_xll.IMDP("IR", $C14, Q$5, $H$2)</f>
        <v>3.6619999999999999</v>
      </c>
      <c r="R14" s="84">
        <f ca="1">_xll.IMDP("IR", $C14, R$5, $H$2)</f>
        <v>3.6309999999999998</v>
      </c>
      <c r="S14" s="84">
        <f ca="1">_xll.IMDP("IR", $C14, S$5, $H$2)</f>
        <v>3.6459999999999999</v>
      </c>
      <c r="T14" s="84">
        <f ca="1">_xll.IMDP("IR", $C14, T$5, $H$2)</f>
        <v>3.66</v>
      </c>
      <c r="U14" s="84">
        <f ca="1">_xll.IMDP("IR", $C14, U$5, $H$2)</f>
        <v>3.6339999999999999</v>
      </c>
      <c r="V14" s="85">
        <f ca="1">_xll.IMDP("IR", $C14, V$5, $H$2)</f>
        <v>3.59</v>
      </c>
    </row>
    <row r="15" spans="1:22" x14ac:dyDescent="0.25">
      <c r="A15" s="31"/>
      <c r="B15" s="98" t="str">
        <f t="shared" si="0"/>
        <v>04019</v>
      </c>
      <c r="C15" s="99" t="str">
        <f t="shared" si="2"/>
        <v>BONDAVG04019</v>
      </c>
      <c r="D15" s="36">
        <v>4019</v>
      </c>
      <c r="E15" s="60" t="s">
        <v>70</v>
      </c>
      <c r="F15" s="60" t="s">
        <v>18</v>
      </c>
      <c r="G15" s="60"/>
      <c r="H15" s="10" t="str">
        <f t="shared" si="1"/>
        <v>농어촌공사</v>
      </c>
      <c r="I15" s="83">
        <f ca="1">_xll.IMDP("IR", $C15, I$5, $H$2)</f>
        <v>3.6160000000000001</v>
      </c>
      <c r="J15" s="84">
        <f ca="1">_xll.IMDP("IR", $C15, J$5, $H$2)</f>
        <v>3.6459999999999999</v>
      </c>
      <c r="K15" s="84">
        <f ca="1">_xll.IMDP("IR", $C15, K$5, $H$2)</f>
        <v>3.629</v>
      </c>
      <c r="L15" s="84">
        <f ca="1">_xll.IMDP("IR", $C15, L$5, $H$2)</f>
        <v>3.6059999999999999</v>
      </c>
      <c r="M15" s="84">
        <f ca="1">_xll.IMDP("IR", $C15, M$5, $H$2)</f>
        <v>3.6640000000000001</v>
      </c>
      <c r="N15" s="84">
        <f ca="1">_xll.IMDP("IR", $C15, N$5, $H$2)</f>
        <v>3.6419999999999999</v>
      </c>
      <c r="O15" s="84">
        <f ca="1">_xll.IMDP("IR", $C15, O$5, $H$2)</f>
        <v>3.6429999999999998</v>
      </c>
      <c r="P15" s="84">
        <f ca="1">_xll.IMDP("IR", $C15, P$5, $H$2)</f>
        <v>3.6360000000000001</v>
      </c>
      <c r="Q15" s="84">
        <f ca="1">_xll.IMDP("IR", $C15, Q$5, $H$2)</f>
        <v>3.6440000000000001</v>
      </c>
      <c r="R15" s="84">
        <f ca="1">_xll.IMDP("IR", $C15, R$5, $H$2)</f>
        <v>3.6139999999999999</v>
      </c>
      <c r="S15" s="84">
        <f ca="1">_xll.IMDP("IR", $C15, S$5, $H$2)</f>
        <v>3.629</v>
      </c>
      <c r="T15" s="84">
        <f ca="1">_xll.IMDP("IR", $C15, T$5, $H$2)</f>
        <v>3.6419999999999999</v>
      </c>
      <c r="U15" s="84">
        <f ca="1">_xll.IMDP("IR", $C15, U$5, $H$2)</f>
        <v>3.6040000000000001</v>
      </c>
      <c r="V15" s="85">
        <f ca="1">_xll.IMDP("IR", $C15, V$5, $H$2)</f>
        <v>3.57</v>
      </c>
    </row>
    <row r="16" spans="1:22" x14ac:dyDescent="0.25">
      <c r="A16" s="31"/>
      <c r="B16" s="98" t="str">
        <f t="shared" si="0"/>
        <v>03432</v>
      </c>
      <c r="C16" s="99" t="str">
        <f t="shared" si="2"/>
        <v>BONDAVG03432</v>
      </c>
      <c r="D16" s="36">
        <v>3432</v>
      </c>
      <c r="E16" s="60" t="s">
        <v>19</v>
      </c>
      <c r="F16" s="60" t="s">
        <v>18</v>
      </c>
      <c r="G16" s="60"/>
      <c r="H16" s="10" t="str">
        <f t="shared" si="1"/>
        <v>농협중앙회</v>
      </c>
      <c r="I16" s="83">
        <f ca="1">_xll.IMDP("IR", $C16, I$5, $H$2)</f>
        <v>3.633</v>
      </c>
      <c r="J16" s="84">
        <f ca="1">_xll.IMDP("IR", $C16, J$5, $H$2)</f>
        <v>3.6659999999999999</v>
      </c>
      <c r="K16" s="84">
        <f ca="1">_xll.IMDP("IR", $C16, K$5, $H$2)</f>
        <v>3.649</v>
      </c>
      <c r="L16" s="84">
        <f ca="1">_xll.IMDP("IR", $C16, L$5, $H$2)</f>
        <v>3.6230000000000002</v>
      </c>
      <c r="M16" s="84">
        <f ca="1">_xll.IMDP("IR", $C16, M$5, $H$2)</f>
        <v>3.6819999999999999</v>
      </c>
      <c r="N16" s="84">
        <f ca="1">_xll.IMDP("IR", $C16, N$5, $H$2)</f>
        <v>3.6619999999999999</v>
      </c>
      <c r="O16" s="84">
        <f ca="1">_xll.IMDP("IR", $C16, O$5, $H$2)</f>
        <v>3.665</v>
      </c>
      <c r="P16" s="84">
        <f ca="1">_xll.IMDP("IR", $C16, P$5, $H$2)</f>
        <v>3.657</v>
      </c>
      <c r="Q16" s="84">
        <f ca="1">_xll.IMDP("IR", $C16, Q$5, $H$2)</f>
        <v>3.669</v>
      </c>
      <c r="R16" s="84">
        <f ca="1">_xll.IMDP("IR", $C16, R$5, $H$2)</f>
        <v>3.6389999999999998</v>
      </c>
      <c r="S16" s="84">
        <f ca="1">_xll.IMDP("IR", $C16, S$5, $H$2)</f>
        <v>3.6509999999999998</v>
      </c>
      <c r="T16" s="84">
        <f ca="1">_xll.IMDP("IR", $C16, T$5, $H$2)</f>
        <v>3.6619999999999999</v>
      </c>
      <c r="U16" s="84">
        <f ca="1">_xll.IMDP("IR", $C16, U$5, $H$2)</f>
        <v>3.6339999999999999</v>
      </c>
      <c r="V16" s="85">
        <f ca="1">_xll.IMDP("IR", $C16, V$5, $H$2)</f>
        <v>3.59</v>
      </c>
    </row>
    <row r="17" spans="1:22" x14ac:dyDescent="0.25">
      <c r="A17" s="31"/>
      <c r="B17" s="98" t="str">
        <f t="shared" si="0"/>
        <v>11802</v>
      </c>
      <c r="C17" s="99" t="str">
        <f t="shared" si="2"/>
        <v>BONDAVG11802</v>
      </c>
      <c r="D17" s="36">
        <v>11802</v>
      </c>
      <c r="E17" s="60" t="s">
        <v>20</v>
      </c>
      <c r="F17" s="60" t="s">
        <v>18</v>
      </c>
      <c r="G17" s="60"/>
      <c r="H17" s="10" t="str">
        <f t="shared" si="1"/>
        <v>부산교통공사</v>
      </c>
      <c r="I17" s="83">
        <f ca="1">_xll.IMDP("IR", $C17, I$5, $H$2)</f>
        <v>3.7130000000000001</v>
      </c>
      <c r="J17" s="84">
        <f ca="1">_xll.IMDP("IR", $C17, J$5, $H$2)</f>
        <v>3.7509999999999999</v>
      </c>
      <c r="K17" s="84">
        <f ca="1">_xll.IMDP("IR", $C17, K$5, $H$2)</f>
        <v>3.7389999999999999</v>
      </c>
      <c r="L17" s="84">
        <f ca="1">_xll.IMDP("IR", $C17, L$5, $H$2)</f>
        <v>3.7210000000000001</v>
      </c>
      <c r="M17" s="84">
        <f ca="1">_xll.IMDP("IR", $C17, M$5, $H$2)</f>
        <v>3.7850000000000001</v>
      </c>
      <c r="N17" s="84">
        <f ca="1">_xll.IMDP("IR", $C17, N$5, $H$2)</f>
        <v>3.7709999999999999</v>
      </c>
      <c r="O17" s="84">
        <f ca="1">_xll.IMDP("IR", $C17, O$5, $H$2)</f>
        <v>3.77</v>
      </c>
      <c r="P17" s="84">
        <f ca="1">_xll.IMDP("IR", $C17, P$5, $H$2)</f>
        <v>3.762</v>
      </c>
      <c r="Q17" s="84">
        <f ca="1">_xll.IMDP("IR", $C17, Q$5, $H$2)</f>
        <v>3.7719999999999998</v>
      </c>
      <c r="R17" s="84">
        <f ca="1">_xll.IMDP("IR", $C17, R$5, $H$2)</f>
        <v>3.7370000000000001</v>
      </c>
      <c r="S17" s="84">
        <f ca="1">_xll.IMDP("IR", $C17, S$5, $H$2)</f>
        <v>3.7509999999999999</v>
      </c>
      <c r="T17" s="84">
        <f ca="1">_xll.IMDP("IR", $C17, T$5, $H$2)</f>
        <v>3.7549999999999999</v>
      </c>
      <c r="U17" s="84">
        <f ca="1">_xll.IMDP("IR", $C17, U$5, $H$2)</f>
        <v>3.7210000000000001</v>
      </c>
      <c r="V17" s="85">
        <f ca="1">_xll.IMDP("IR", $C17, V$5, $H$2)</f>
        <v>3.6819999999999999</v>
      </c>
    </row>
    <row r="18" spans="1:22" x14ac:dyDescent="0.25">
      <c r="A18" s="31"/>
      <c r="B18" s="98" t="str">
        <f t="shared" si="0"/>
        <v>12600</v>
      </c>
      <c r="C18" s="99" t="str">
        <f t="shared" si="2"/>
        <v>BONDAVG12600</v>
      </c>
      <c r="D18" s="36">
        <v>12600</v>
      </c>
      <c r="E18" s="60" t="s">
        <v>21</v>
      </c>
      <c r="F18" s="60" t="s">
        <v>18</v>
      </c>
      <c r="G18" s="60"/>
      <c r="H18" s="10" t="str">
        <f t="shared" si="1"/>
        <v>부산항만공사</v>
      </c>
      <c r="I18" s="83">
        <f ca="1">_xll.IMDP("IR", $C18, I$5, $H$2)</f>
        <v>3.653</v>
      </c>
      <c r="J18" s="84">
        <f ca="1">_xll.IMDP("IR", $C18, J$5, $H$2)</f>
        <v>3.6890000000000001</v>
      </c>
      <c r="K18" s="84">
        <f ca="1">_xll.IMDP("IR", $C18, K$5, $H$2)</f>
        <v>3.6739999999999999</v>
      </c>
      <c r="L18" s="84">
        <f ca="1">_xll.IMDP("IR", $C18, L$5, $H$2)</f>
        <v>3.653</v>
      </c>
      <c r="M18" s="84">
        <f ca="1">_xll.IMDP("IR", $C18, M$5, $H$2)</f>
        <v>3.714</v>
      </c>
      <c r="N18" s="84">
        <f ca="1">_xll.IMDP("IR", $C18, N$5, $H$2)</f>
        <v>3.6960000000000002</v>
      </c>
      <c r="O18" s="84">
        <f ca="1">_xll.IMDP("IR", $C18, O$5, $H$2)</f>
        <v>3.6930000000000001</v>
      </c>
      <c r="P18" s="84">
        <f ca="1">_xll.IMDP("IR", $C18, P$5, $H$2)</f>
        <v>3.6859999999999999</v>
      </c>
      <c r="Q18" s="84">
        <f ca="1">_xll.IMDP("IR", $C18, Q$5, $H$2)</f>
        <v>3.69</v>
      </c>
      <c r="R18" s="84">
        <f ca="1">_xll.IMDP("IR", $C18, R$5, $H$2)</f>
        <v>3.6589999999999998</v>
      </c>
      <c r="S18" s="84">
        <f ca="1">_xll.IMDP("IR", $C18, S$5, $H$2)</f>
        <v>3.6680000000000001</v>
      </c>
      <c r="T18" s="84">
        <f ca="1">_xll.IMDP("IR", $C18, T$5, $H$2)</f>
        <v>3.6720000000000002</v>
      </c>
      <c r="U18" s="84">
        <f ca="1">_xll.IMDP("IR", $C18, U$5, $H$2)</f>
        <v>3.649</v>
      </c>
      <c r="V18" s="85">
        <f ca="1">_xll.IMDP("IR", $C18, V$5, $H$2)</f>
        <v>3.6040000000000001</v>
      </c>
    </row>
    <row r="19" spans="1:22" x14ac:dyDescent="0.25">
      <c r="A19" s="31"/>
      <c r="B19" s="98" t="str">
        <f t="shared" si="0"/>
        <v>53551</v>
      </c>
      <c r="C19" s="99" t="str">
        <f t="shared" si="2"/>
        <v>BONDAVG53551</v>
      </c>
      <c r="D19" s="36">
        <v>53551</v>
      </c>
      <c r="E19" s="60" t="s">
        <v>73</v>
      </c>
      <c r="F19" s="60" t="s">
        <v>18</v>
      </c>
      <c r="G19" s="60"/>
      <c r="H19" s="10" t="str">
        <f t="shared" si="1"/>
        <v>서울교통공사</v>
      </c>
      <c r="I19" s="83">
        <f ca="1">_xll.IMDP("IR", $C19, I$5, $H$2)</f>
        <v>3.7170000000000001</v>
      </c>
      <c r="J19" s="83">
        <f ca="1">_xll.IMDP("IR", $C19, J$5, $H$2)</f>
        <v>3.7490000000000001</v>
      </c>
      <c r="K19" s="83">
        <f ca="1">_xll.IMDP("IR", $C19, K$5, $H$2)</f>
        <v>3.7320000000000002</v>
      </c>
      <c r="L19" s="83">
        <f ca="1">_xll.IMDP("IR", $C19, L$5, $H$2)</f>
        <v>3.7149999999999999</v>
      </c>
      <c r="M19" s="83">
        <f ca="1">_xll.IMDP("IR", $C19, M$5, $H$2)</f>
        <v>3.78</v>
      </c>
      <c r="N19" s="83">
        <f ca="1">_xll.IMDP("IR", $C19, N$5, $H$2)</f>
        <v>3.7709999999999999</v>
      </c>
      <c r="O19" s="83">
        <f ca="1">_xll.IMDP("IR", $C19, O$5, $H$2)</f>
        <v>3.7770000000000001</v>
      </c>
      <c r="P19" s="83">
        <f ca="1">_xll.IMDP("IR", $C19, P$5, $H$2)</f>
        <v>3.7789999999999999</v>
      </c>
      <c r="Q19" s="83">
        <f ca="1">_xll.IMDP("IR", $C19, Q$5, $H$2)</f>
        <v>3.7919999999999998</v>
      </c>
      <c r="R19" s="83">
        <f ca="1">_xll.IMDP("IR", $C19, R$5, $H$2)</f>
        <v>3.762</v>
      </c>
      <c r="S19" s="83">
        <f ca="1">_xll.IMDP("IR", $C19, S$5, $H$2)</f>
        <v>3.778</v>
      </c>
      <c r="T19" s="83">
        <f ca="1">_xll.IMDP("IR", $C19, T$5, $H$2)</f>
        <v>3.7679999999999998</v>
      </c>
      <c r="U19" s="83">
        <f ca="1">_xll.IMDP("IR", $C19, U$5, $H$2)</f>
        <v>3.7389999999999999</v>
      </c>
      <c r="V19" s="85">
        <f ca="1">_xll.IMDP("IR", $C19, V$5, $H$2)</f>
        <v>3.6890000000000001</v>
      </c>
    </row>
    <row r="20" spans="1:22" x14ac:dyDescent="0.25">
      <c r="A20" s="31"/>
      <c r="B20" s="98" t="str">
        <f t="shared" si="0"/>
        <v>09587</v>
      </c>
      <c r="C20" s="99" t="str">
        <f t="shared" si="2"/>
        <v>BONDAVG09587</v>
      </c>
      <c r="D20" s="36">
        <v>9587</v>
      </c>
      <c r="E20" s="60" t="s">
        <v>71</v>
      </c>
      <c r="F20" s="60" t="s">
        <v>18</v>
      </c>
      <c r="G20" s="60"/>
      <c r="H20" s="10" t="str">
        <f t="shared" si="1"/>
        <v>서울주택도시공사</v>
      </c>
      <c r="I20" s="83">
        <f ca="1">_xll.IMDP("IR", $C20, I$5, $H$2)</f>
        <v>3.66</v>
      </c>
      <c r="J20" s="84">
        <f ca="1">_xll.IMDP("IR", $C20, J$5, $H$2)</f>
        <v>3.6960000000000002</v>
      </c>
      <c r="K20" s="84">
        <f ca="1">_xll.IMDP("IR", $C20, K$5, $H$2)</f>
        <v>3.6840000000000002</v>
      </c>
      <c r="L20" s="84">
        <f ca="1">_xll.IMDP("IR", $C20, L$5, $H$2)</f>
        <v>3.6640000000000001</v>
      </c>
      <c r="M20" s="84">
        <f ca="1">_xll.IMDP("IR", $C20, M$5, $H$2)</f>
        <v>3.7250000000000001</v>
      </c>
      <c r="N20" s="84">
        <f ca="1">_xll.IMDP("IR", $C20, N$5, $H$2)</f>
        <v>3.7040000000000002</v>
      </c>
      <c r="O20" s="84">
        <f ca="1">_xll.IMDP("IR", $C20, O$5, $H$2)</f>
        <v>3.702</v>
      </c>
      <c r="P20" s="84">
        <f ca="1">_xll.IMDP("IR", $C20, P$5, $H$2)</f>
        <v>3.694</v>
      </c>
      <c r="Q20" s="84">
        <f ca="1">_xll.IMDP("IR", $C20, Q$5, $H$2)</f>
        <v>3.7</v>
      </c>
      <c r="R20" s="84">
        <f ca="1">_xll.IMDP("IR", $C20, R$5, $H$2)</f>
        <v>3.6709999999999998</v>
      </c>
      <c r="S20" s="84">
        <f ca="1">_xll.IMDP("IR", $C20, S$5, $H$2)</f>
        <v>3.6909999999999998</v>
      </c>
      <c r="T20" s="84">
        <f ca="1">_xll.IMDP("IR", $C20, T$5, $H$2)</f>
        <v>3.7170000000000001</v>
      </c>
      <c r="U20" s="84">
        <f ca="1">_xll.IMDP("IR", $C20, U$5, $H$2)</f>
        <v>3.6680000000000001</v>
      </c>
      <c r="V20" s="85">
        <f ca="1">_xll.IMDP("IR", $C20, V$5, $H$2)</f>
        <v>3.6709999999999998</v>
      </c>
    </row>
    <row r="21" spans="1:22" x14ac:dyDescent="0.25">
      <c r="A21" s="31"/>
      <c r="B21" s="98" t="str">
        <f t="shared" si="0"/>
        <v>03523</v>
      </c>
      <c r="C21" s="99" t="str">
        <f t="shared" si="2"/>
        <v>BONDAVG03523</v>
      </c>
      <c r="D21" s="36">
        <v>3523</v>
      </c>
      <c r="E21" s="60" t="s">
        <v>65</v>
      </c>
      <c r="F21" s="60" t="s">
        <v>18</v>
      </c>
      <c r="G21" s="60"/>
      <c r="H21" s="10" t="str">
        <f t="shared" si="1"/>
        <v>수협중앙회</v>
      </c>
      <c r="I21" s="83">
        <f ca="1">_xll.IMDP("IR", $C21, I$5, $H$2)</f>
        <v>3.6549999999999998</v>
      </c>
      <c r="J21" s="84">
        <f ca="1">_xll.IMDP("IR", $C21, J$5, $H$2)</f>
        <v>3.6920000000000002</v>
      </c>
      <c r="K21" s="84">
        <f ca="1">_xll.IMDP("IR", $C21, K$5, $H$2)</f>
        <v>3.6819999999999999</v>
      </c>
      <c r="L21" s="84">
        <f ca="1">_xll.IMDP("IR", $C21, L$5, $H$2)</f>
        <v>3.6640000000000001</v>
      </c>
      <c r="M21" s="84">
        <f ca="1">_xll.IMDP("IR", $C21, M$5, $H$2)</f>
        <v>3.7149999999999999</v>
      </c>
      <c r="N21" s="84">
        <f ca="1">_xll.IMDP("IR", $C21, N$5, $H$2)</f>
        <v>3.6859999999999999</v>
      </c>
      <c r="O21" s="84">
        <f ca="1">_xll.IMDP("IR", $C21, O$5, $H$2)</f>
        <v>3.6829999999999998</v>
      </c>
      <c r="P21" s="84">
        <f ca="1">_xll.IMDP("IR", $C21, P$5, $H$2)</f>
        <v>3.6749999999999998</v>
      </c>
      <c r="Q21" s="84">
        <f ca="1">_xll.IMDP("IR", $C21, Q$5, $H$2)</f>
        <v>3.681</v>
      </c>
      <c r="R21" s="84">
        <f ca="1">_xll.IMDP("IR", $C21, R$5, $H$2)</f>
        <v>3.6509999999999998</v>
      </c>
      <c r="S21" s="84">
        <f ca="1">_xll.IMDP("IR", $C21, S$5, $H$2)</f>
        <v>3.6659999999999999</v>
      </c>
      <c r="T21" s="84">
        <f ca="1">_xll.IMDP("IR", $C21, T$5, $H$2)</f>
        <v>3.68</v>
      </c>
      <c r="U21" s="84">
        <f ca="1">_xll.IMDP("IR", $C21, U$5, $H$2)</f>
        <v>3.6589999999999998</v>
      </c>
      <c r="V21" s="85">
        <f ca="1">_xll.IMDP("IR", $C21, V$5, $H$2)</f>
        <v>3.6139999999999999</v>
      </c>
    </row>
    <row r="22" spans="1:22" x14ac:dyDescent="0.25">
      <c r="A22" s="31"/>
      <c r="B22" s="98" t="str">
        <f t="shared" si="0"/>
        <v>03936</v>
      </c>
      <c r="C22" s="99" t="str">
        <f t="shared" si="2"/>
        <v>BONDAVG03936</v>
      </c>
      <c r="D22" s="36">
        <v>3936</v>
      </c>
      <c r="E22" s="60" t="s">
        <v>22</v>
      </c>
      <c r="F22" s="60" t="s">
        <v>18</v>
      </c>
      <c r="G22" s="60"/>
      <c r="H22" s="10" t="str">
        <f t="shared" si="1"/>
        <v>여수광양항만공사</v>
      </c>
      <c r="I22" s="83">
        <f ca="1">_xll.IMDP("IR", $C22, I$5, $H$2)</f>
        <v>3.6539999999999999</v>
      </c>
      <c r="J22" s="84">
        <f ca="1">_xll.IMDP("IR", $C22, J$5, $H$2)</f>
        <v>3.6880000000000002</v>
      </c>
      <c r="K22" s="84">
        <f ca="1">_xll.IMDP("IR", $C22, K$5, $H$2)</f>
        <v>3.6709999999999998</v>
      </c>
      <c r="L22" s="84">
        <f ca="1">_xll.IMDP("IR", $C22, L$5, $H$2)</f>
        <v>3.6480000000000001</v>
      </c>
      <c r="M22" s="84">
        <f ca="1">_xll.IMDP("IR", $C22, M$5, $H$2)</f>
        <v>3.7090000000000001</v>
      </c>
      <c r="N22" s="84">
        <f ca="1">_xll.IMDP("IR", $C22, N$5, $H$2)</f>
        <v>3.6890000000000001</v>
      </c>
      <c r="O22" s="84">
        <f ca="1">_xll.IMDP("IR", $C22, O$5, $H$2)</f>
        <v>3.694</v>
      </c>
      <c r="P22" s="84">
        <f ca="1">_xll.IMDP("IR", $C22, P$5, $H$2)</f>
        <v>3.6859999999999999</v>
      </c>
      <c r="Q22" s="84">
        <f ca="1">_xll.IMDP("IR", $C22, Q$5, $H$2)</f>
        <v>3.6970000000000001</v>
      </c>
      <c r="R22" s="84">
        <f ca="1">_xll.IMDP("IR", $C22, R$5, $H$2)</f>
        <v>3.6749999999999998</v>
      </c>
      <c r="S22" s="84">
        <f ca="1">_xll.IMDP("IR", $C22, S$5, $H$2)</f>
        <v>3.7</v>
      </c>
      <c r="T22" s="84">
        <f ca="1">_xll.IMDP("IR", $C22, T$5, $H$2)</f>
        <v>3.7160000000000002</v>
      </c>
      <c r="U22" s="84">
        <f ca="1">_xll.IMDP("IR", $C22, U$5, $H$2)</f>
        <v>3.6909999999999998</v>
      </c>
      <c r="V22" s="85">
        <f ca="1">_xll.IMDP("IR", $C22, V$5, $H$2)</f>
        <v>3.6469999999999998</v>
      </c>
    </row>
    <row r="23" spans="1:22" x14ac:dyDescent="0.25">
      <c r="A23" s="31"/>
      <c r="B23" s="98" t="str">
        <f t="shared" si="0"/>
        <v>41543</v>
      </c>
      <c r="C23" s="99" t="str">
        <f t="shared" si="2"/>
        <v>BONDAVG41543</v>
      </c>
      <c r="D23" s="36">
        <v>41543</v>
      </c>
      <c r="E23" s="60" t="s">
        <v>23</v>
      </c>
      <c r="F23" s="60" t="s">
        <v>18</v>
      </c>
      <c r="G23" s="60"/>
      <c r="H23" s="10" t="str">
        <f t="shared" si="1"/>
        <v>울산항만공사</v>
      </c>
      <c r="I23" s="83">
        <f ca="1">_xll.IMDP("IR", $C23, I$5, $H$2)</f>
        <v>3.6349999999999998</v>
      </c>
      <c r="J23" s="84">
        <f ca="1">_xll.IMDP("IR", $C23, J$5, $H$2)</f>
        <v>3.6629999999999998</v>
      </c>
      <c r="K23" s="84">
        <f ca="1">_xll.IMDP("IR", $C23, K$5, $H$2)</f>
        <v>3.6459999999999999</v>
      </c>
      <c r="L23" s="84">
        <f ca="1">_xll.IMDP("IR", $C23, L$5, $H$2)</f>
        <v>3.6230000000000002</v>
      </c>
      <c r="M23" s="84">
        <f ca="1">_xll.IMDP("IR", $C23, M$5, $H$2)</f>
        <v>3.681</v>
      </c>
      <c r="N23" s="84">
        <f ca="1">_xll.IMDP("IR", $C23, N$5, $H$2)</f>
        <v>3.66</v>
      </c>
      <c r="O23" s="84">
        <f ca="1">_xll.IMDP("IR", $C23, O$5, $H$2)</f>
        <v>3.6579999999999999</v>
      </c>
      <c r="P23" s="84">
        <f ca="1">_xll.IMDP("IR", $C23, P$5, $H$2)</f>
        <v>3.6509999999999998</v>
      </c>
      <c r="Q23" s="84">
        <f ca="1">_xll.IMDP("IR", $C23, Q$5, $H$2)</f>
        <v>3.6589999999999998</v>
      </c>
      <c r="R23" s="84">
        <f ca="1">_xll.IMDP("IR", $C23, R$5, $H$2)</f>
        <v>3.6309999999999998</v>
      </c>
      <c r="S23" s="84">
        <f ca="1">_xll.IMDP("IR", $C23, S$5, $H$2)</f>
        <v>3.649</v>
      </c>
      <c r="T23" s="84">
        <f ca="1">_xll.IMDP("IR", $C23, T$5, $H$2)</f>
        <v>3.661</v>
      </c>
      <c r="U23" s="84">
        <f ca="1">_xll.IMDP("IR", $C23, U$5, $H$2)</f>
        <v>3.6339999999999999</v>
      </c>
      <c r="V23" s="85">
        <f ca="1">_xll.IMDP("IR", $C23, V$5, $H$2)</f>
        <v>3.5910000000000002</v>
      </c>
    </row>
    <row r="24" spans="1:22" x14ac:dyDescent="0.25">
      <c r="A24" s="31"/>
      <c r="B24" s="98" t="str">
        <f t="shared" si="0"/>
        <v>03937</v>
      </c>
      <c r="C24" s="99" t="str">
        <f t="shared" si="2"/>
        <v>BONDAVG03937</v>
      </c>
      <c r="D24" s="36">
        <v>3937</v>
      </c>
      <c r="E24" s="60" t="s">
        <v>24</v>
      </c>
      <c r="F24" s="60" t="s">
        <v>18</v>
      </c>
      <c r="G24" s="60"/>
      <c r="H24" s="10" t="str">
        <f t="shared" si="1"/>
        <v>인천국제공항공사</v>
      </c>
      <c r="I24" s="83">
        <f ca="1">_xll.IMDP("IR", $C24, I$5, $H$2)</f>
        <v>3.6749999999999998</v>
      </c>
      <c r="J24" s="84">
        <f ca="1">_xll.IMDP("IR", $C24, J$5, $H$2)</f>
        <v>3.7069999999999999</v>
      </c>
      <c r="K24" s="84">
        <f ca="1">_xll.IMDP("IR", $C24, K$5, $H$2)</f>
        <v>3.6920000000000002</v>
      </c>
      <c r="L24" s="84">
        <f ca="1">_xll.IMDP("IR", $C24, L$5, $H$2)</f>
        <v>3.6789999999999998</v>
      </c>
      <c r="M24" s="84">
        <f ca="1">_xll.IMDP("IR", $C24, M$5, $H$2)</f>
        <v>3.7469999999999999</v>
      </c>
      <c r="N24" s="84">
        <f ca="1">_xll.IMDP("IR", $C24, N$5, $H$2)</f>
        <v>3.734</v>
      </c>
      <c r="O24" s="84">
        <f ca="1">_xll.IMDP("IR", $C24, O$5, $H$2)</f>
        <v>3.7330000000000001</v>
      </c>
      <c r="P24" s="84">
        <f ca="1">_xll.IMDP("IR", $C24, P$5, $H$2)</f>
        <v>3.7269999999999999</v>
      </c>
      <c r="Q24" s="84">
        <f ca="1">_xll.IMDP("IR", $C24, Q$5, $H$2)</f>
        <v>3.7349999999999999</v>
      </c>
      <c r="R24" s="84">
        <f ca="1">_xll.IMDP("IR", $C24, R$5, $H$2)</f>
        <v>3.706</v>
      </c>
      <c r="S24" s="84">
        <f ca="1">_xll.IMDP("IR", $C24, S$5, $H$2)</f>
        <v>3.7130000000000001</v>
      </c>
      <c r="T24" s="84">
        <f ca="1">_xll.IMDP("IR", $C24, T$5, $H$2)</f>
        <v>3.722</v>
      </c>
      <c r="U24" s="84">
        <f ca="1">_xll.IMDP("IR", $C24, U$5, $H$2)</f>
        <v>3.7010000000000001</v>
      </c>
      <c r="V24" s="85">
        <f ca="1">_xll.IMDP("IR", $C24, V$5, $H$2)</f>
        <v>3.657</v>
      </c>
    </row>
    <row r="25" spans="1:22" x14ac:dyDescent="0.25">
      <c r="A25" s="31"/>
      <c r="B25" s="98" t="str">
        <f t="shared" si="0"/>
        <v>14727</v>
      </c>
      <c r="C25" s="99" t="str">
        <f t="shared" si="2"/>
        <v>BONDAVG14727</v>
      </c>
      <c r="D25" s="36">
        <v>14727</v>
      </c>
      <c r="E25" s="60" t="s">
        <v>25</v>
      </c>
      <c r="F25" s="60" t="s">
        <v>18</v>
      </c>
      <c r="G25" s="60"/>
      <c r="H25" s="10" t="str">
        <f t="shared" si="1"/>
        <v>인천항만공사</v>
      </c>
      <c r="I25" s="83">
        <f ca="1">_xll.IMDP("IR", $C25, I$5, $H$2)</f>
        <v>3.6480000000000001</v>
      </c>
      <c r="J25" s="84">
        <f ca="1">_xll.IMDP("IR", $C25, J$5, $H$2)</f>
        <v>3.6819999999999999</v>
      </c>
      <c r="K25" s="84">
        <f ca="1">_xll.IMDP("IR", $C25, K$5, $H$2)</f>
        <v>3.67</v>
      </c>
      <c r="L25" s="84">
        <f ca="1">_xll.IMDP("IR", $C25, L$5, $H$2)</f>
        <v>3.6480000000000001</v>
      </c>
      <c r="M25" s="84">
        <f ca="1">_xll.IMDP("IR", $C25, M$5, $H$2)</f>
        <v>3.714</v>
      </c>
      <c r="N25" s="84">
        <f ca="1">_xll.IMDP("IR", $C25, N$5, $H$2)</f>
        <v>3.6970000000000001</v>
      </c>
      <c r="O25" s="84">
        <f ca="1">_xll.IMDP("IR", $C25, O$5, $H$2)</f>
        <v>3.698</v>
      </c>
      <c r="P25" s="84">
        <f ca="1">_xll.IMDP("IR", $C25, P$5, $H$2)</f>
        <v>3.6989999999999998</v>
      </c>
      <c r="Q25" s="84">
        <f ca="1">_xll.IMDP("IR", $C25, Q$5, $H$2)</f>
        <v>3.714</v>
      </c>
      <c r="R25" s="84">
        <f ca="1">_xll.IMDP("IR", $C25, R$5, $H$2)</f>
        <v>3.6890000000000001</v>
      </c>
      <c r="S25" s="84">
        <f ca="1">_xll.IMDP("IR", $C25, S$5, $H$2)</f>
        <v>3.6989999999999998</v>
      </c>
      <c r="T25" s="84">
        <f ca="1">_xll.IMDP("IR", $C25, T$5, $H$2)</f>
        <v>3.7050000000000001</v>
      </c>
      <c r="U25" s="84">
        <f ca="1">_xll.IMDP("IR", $C25, U$5, $H$2)</f>
        <v>3.6789999999999998</v>
      </c>
      <c r="V25" s="85">
        <f ca="1">_xll.IMDP("IR", $C25, V$5, $H$2)</f>
        <v>3.63</v>
      </c>
    </row>
    <row r="26" spans="1:22" x14ac:dyDescent="0.25">
      <c r="A26" s="31"/>
      <c r="B26" s="98" t="str">
        <f t="shared" si="0"/>
        <v>10062</v>
      </c>
      <c r="C26" s="99" t="str">
        <f t="shared" si="2"/>
        <v>BONDAVG10062</v>
      </c>
      <c r="D26" s="36">
        <v>10062</v>
      </c>
      <c r="E26" s="60" t="s">
        <v>78</v>
      </c>
      <c r="F26" s="60" t="s">
        <v>18</v>
      </c>
      <c r="G26" s="60"/>
      <c r="H26" s="10" t="str">
        <f t="shared" si="1"/>
        <v>제주개발센터</v>
      </c>
      <c r="I26" s="83">
        <f ca="1">_xll.IMDP("IR", $C26, I$5, $H$2)</f>
        <v>3.5659999999999998</v>
      </c>
      <c r="J26" s="84">
        <f ca="1">_xll.IMDP("IR", $C26, J$5, $H$2)</f>
        <v>3.6179999999999999</v>
      </c>
      <c r="K26" s="84">
        <f ca="1">_xll.IMDP("IR", $C26, K$5, $H$2)</f>
        <v>3.6080000000000001</v>
      </c>
      <c r="L26" s="84">
        <f ca="1">_xll.IMDP("IR", $C26, L$5, $H$2)</f>
        <v>3.613</v>
      </c>
      <c r="M26" s="84">
        <f ca="1">_xll.IMDP("IR", $C26, M$5, $H$2)</f>
        <v>3.6779999999999999</v>
      </c>
      <c r="N26" s="84">
        <f ca="1">_xll.IMDP("IR", $C26, N$5, $H$2)</f>
        <v>3.653</v>
      </c>
      <c r="O26" s="84">
        <f ca="1">_xll.IMDP("IR", $C26, O$5, $H$2)</f>
        <v>3.6459999999999999</v>
      </c>
      <c r="P26" s="84">
        <f ca="1">_xll.IMDP("IR", $C26, P$5, $H$2)</f>
        <v>3.6360000000000001</v>
      </c>
      <c r="Q26" s="84">
        <f ca="1">_xll.IMDP("IR", $C26, Q$5, $H$2)</f>
        <v>3.6560000000000001</v>
      </c>
      <c r="R26" s="84">
        <f ca="1">_xll.IMDP("IR", $C26, R$5, $H$2)</f>
        <v>3.6190000000000002</v>
      </c>
      <c r="S26" s="84">
        <f ca="1">_xll.IMDP("IR", $C26, S$5, $H$2)</f>
        <v>3.637</v>
      </c>
      <c r="T26" s="84">
        <f ca="1">_xll.IMDP("IR", $C26, T$5, $H$2)</f>
        <v>3.6320000000000001</v>
      </c>
      <c r="U26" s="84">
        <f ca="1">_xll.IMDP("IR", $C26, U$5, $H$2)</f>
        <v>3.6070000000000002</v>
      </c>
      <c r="V26" s="85">
        <f ca="1">_xll.IMDP("IR", $C26, V$5, $H$2)</f>
        <v>3.5680000000000001</v>
      </c>
    </row>
    <row r="27" spans="1:22" x14ac:dyDescent="0.25">
      <c r="A27" s="31"/>
      <c r="B27" s="98" t="str">
        <f t="shared" si="0"/>
        <v>03934</v>
      </c>
      <c r="C27" s="99" t="str">
        <f t="shared" si="2"/>
        <v>BONDAVG03934</v>
      </c>
      <c r="D27" s="36">
        <v>3934</v>
      </c>
      <c r="E27" s="60" t="s">
        <v>79</v>
      </c>
      <c r="F27" s="60" t="s">
        <v>18</v>
      </c>
      <c r="G27" s="60"/>
      <c r="H27" s="10" t="str">
        <f t="shared" si="1"/>
        <v>중소벤처기업진흥공단</v>
      </c>
      <c r="I27" s="83">
        <f ca="1">_xll.IMDP("IR", $C27, I$5, $H$2)</f>
        <v>3.62</v>
      </c>
      <c r="J27" s="84">
        <f ca="1">_xll.IMDP("IR", $C27, J$5, $H$2)</f>
        <v>3.6509999999999998</v>
      </c>
      <c r="K27" s="84">
        <f ca="1">_xll.IMDP("IR", $C27, K$5, $H$2)</f>
        <v>3.6339999999999999</v>
      </c>
      <c r="L27" s="84">
        <f ca="1">_xll.IMDP("IR", $C27, L$5, $H$2)</f>
        <v>3.6110000000000002</v>
      </c>
      <c r="M27" s="84">
        <f ca="1">_xll.IMDP("IR", $C27, M$5, $H$2)</f>
        <v>3.665</v>
      </c>
      <c r="N27" s="84">
        <f ca="1">_xll.IMDP("IR", $C27, N$5, $H$2)</f>
        <v>3.637</v>
      </c>
      <c r="O27" s="84">
        <f ca="1">_xll.IMDP("IR", $C27, O$5, $H$2)</f>
        <v>3.637</v>
      </c>
      <c r="P27" s="84">
        <f ca="1">_xll.IMDP("IR", $C27, P$5, $H$2)</f>
        <v>3.6269999999999998</v>
      </c>
      <c r="Q27" s="84">
        <f ca="1">_xll.IMDP("IR", $C27, Q$5, $H$2)</f>
        <v>3.6349999999999998</v>
      </c>
      <c r="R27" s="84">
        <f ca="1">_xll.IMDP("IR", $C27, R$5, $H$2)</f>
        <v>3.6059999999999999</v>
      </c>
      <c r="S27" s="84">
        <f ca="1">_xll.IMDP("IR", $C27, S$5, $H$2)</f>
        <v>3.6240000000000001</v>
      </c>
      <c r="T27" s="84">
        <f ca="1">_xll.IMDP("IR", $C27, T$5, $H$2)</f>
        <v>3.6419999999999999</v>
      </c>
      <c r="U27" s="84">
        <f ca="1">_xll.IMDP("IR", $C27, U$5, $H$2)</f>
        <v>3.6160000000000001</v>
      </c>
      <c r="V27" s="85">
        <f ca="1">_xll.IMDP("IR", $C27, V$5, $H$2)</f>
        <v>3.5750000000000002</v>
      </c>
    </row>
    <row r="28" spans="1:22" x14ac:dyDescent="0.25">
      <c r="A28" s="31"/>
      <c r="B28" s="98" t="str">
        <f t="shared" si="0"/>
        <v>08683</v>
      </c>
      <c r="C28" s="99" t="str">
        <f t="shared" si="2"/>
        <v>BONDAVG08683</v>
      </c>
      <c r="D28" s="36">
        <v>8683</v>
      </c>
      <c r="E28" s="60" t="s">
        <v>72</v>
      </c>
      <c r="F28" s="60" t="s">
        <v>18</v>
      </c>
      <c r="G28" s="60"/>
      <c r="H28" s="10" t="str">
        <f t="shared" si="1"/>
        <v>지역난방공사</v>
      </c>
      <c r="I28" s="83">
        <f ca="1">_xll.IMDP("IR", $C28, I$5, $H$2)</f>
        <v>3.6219999999999999</v>
      </c>
      <c r="J28" s="84">
        <f ca="1">_xll.IMDP("IR", $C28, J$5, $H$2)</f>
        <v>3.6539999999999999</v>
      </c>
      <c r="K28" s="84">
        <f ca="1">_xll.IMDP("IR", $C28, K$5, $H$2)</f>
        <v>3.637</v>
      </c>
      <c r="L28" s="84">
        <f ca="1">_xll.IMDP("IR", $C28, L$5, $H$2)</f>
        <v>3.613</v>
      </c>
      <c r="M28" s="84">
        <f ca="1">_xll.IMDP("IR", $C28, M$5, $H$2)</f>
        <v>3.6720000000000002</v>
      </c>
      <c r="N28" s="84">
        <f ca="1">_xll.IMDP("IR", $C28, N$5, $H$2)</f>
        <v>3.6520000000000001</v>
      </c>
      <c r="O28" s="84">
        <f ca="1">_xll.IMDP("IR", $C28, O$5, $H$2)</f>
        <v>3.6480000000000001</v>
      </c>
      <c r="P28" s="84">
        <f ca="1">_xll.IMDP("IR", $C28, P$5, $H$2)</f>
        <v>3.6389999999999998</v>
      </c>
      <c r="Q28" s="84">
        <f ca="1">_xll.IMDP("IR", $C28, Q$5, $H$2)</f>
        <v>3.6549999999999998</v>
      </c>
      <c r="R28" s="84">
        <f ca="1">_xll.IMDP("IR", $C28, R$5, $H$2)</f>
        <v>3.6309999999999998</v>
      </c>
      <c r="S28" s="84">
        <f ca="1">_xll.IMDP("IR", $C28, S$5, $H$2)</f>
        <v>3.6440000000000001</v>
      </c>
      <c r="T28" s="84">
        <f ca="1">_xll.IMDP("IR", $C28, T$5, $H$2)</f>
        <v>3.66</v>
      </c>
      <c r="U28" s="84">
        <f ca="1">_xll.IMDP("IR", $C28, U$5, $H$2)</f>
        <v>3.6339999999999999</v>
      </c>
      <c r="V28" s="85">
        <f ca="1">_xll.IMDP("IR", $C28, V$5, $H$2)</f>
        <v>3.59</v>
      </c>
    </row>
    <row r="29" spans="1:22" x14ac:dyDescent="0.25">
      <c r="A29" s="31"/>
      <c r="B29" s="98" t="str">
        <f t="shared" si="0"/>
        <v>03776</v>
      </c>
      <c r="C29" s="99" t="str">
        <f t="shared" si="2"/>
        <v>BONDAVG03776</v>
      </c>
      <c r="D29" s="36">
        <v>3776</v>
      </c>
      <c r="E29" s="60" t="s">
        <v>26</v>
      </c>
      <c r="F29" s="60" t="s">
        <v>18</v>
      </c>
      <c r="G29" s="60"/>
      <c r="H29" s="10" t="str">
        <f t="shared" si="1"/>
        <v>한국가스공사</v>
      </c>
      <c r="I29" s="83">
        <f ca="1">_xll.IMDP("IR", $C29, I$5, $H$2)</f>
        <v>3.6850000000000001</v>
      </c>
      <c r="J29" s="84">
        <f ca="1">_xll.IMDP("IR", $C29, J$5, $H$2)</f>
        <v>3.7189999999999999</v>
      </c>
      <c r="K29" s="84">
        <f ca="1">_xll.IMDP("IR", $C29, K$5, $H$2)</f>
        <v>3.7040000000000002</v>
      </c>
      <c r="L29" s="84">
        <f ca="1">_xll.IMDP("IR", $C29, L$5, $H$2)</f>
        <v>3.6840000000000002</v>
      </c>
      <c r="M29" s="84">
        <f ca="1">_xll.IMDP("IR", $C29, M$5, $H$2)</f>
        <v>3.7440000000000002</v>
      </c>
      <c r="N29" s="84">
        <f ca="1">_xll.IMDP("IR", $C29, N$5, $H$2)</f>
        <v>3.7290000000000001</v>
      </c>
      <c r="O29" s="84">
        <f ca="1">_xll.IMDP("IR", $C29, O$5, $H$2)</f>
        <v>3.7269999999999999</v>
      </c>
      <c r="P29" s="84">
        <f ca="1">_xll.IMDP("IR", $C29, P$5, $H$2)</f>
        <v>3.7189999999999999</v>
      </c>
      <c r="Q29" s="84">
        <f ca="1">_xll.IMDP("IR", $C29, Q$5, $H$2)</f>
        <v>3.7290000000000001</v>
      </c>
      <c r="R29" s="84">
        <f ca="1">_xll.IMDP("IR", $C29, R$5, $H$2)</f>
        <v>3.6970000000000001</v>
      </c>
      <c r="S29" s="84">
        <f ca="1">_xll.IMDP("IR", $C29, S$5, $H$2)</f>
        <v>3.7080000000000002</v>
      </c>
      <c r="T29" s="84">
        <f ca="1">_xll.IMDP("IR", $C29, T$5, $H$2)</f>
        <v>3.7120000000000002</v>
      </c>
      <c r="U29" s="84">
        <f ca="1">_xll.IMDP("IR", $C29, U$5, $H$2)</f>
        <v>3.6859999999999999</v>
      </c>
      <c r="V29" s="85">
        <f ca="1">_xll.IMDP("IR", $C29, V$5, $H$2)</f>
        <v>3.637</v>
      </c>
    </row>
    <row r="30" spans="1:22" x14ac:dyDescent="0.25">
      <c r="A30" s="31"/>
      <c r="B30" s="98" t="str">
        <f t="shared" si="0"/>
        <v>61461</v>
      </c>
      <c r="C30" s="99" t="str">
        <f t="shared" si="2"/>
        <v>BONDAVG61461</v>
      </c>
      <c r="D30" s="36">
        <v>61461</v>
      </c>
      <c r="E30" s="60" t="s">
        <v>80</v>
      </c>
      <c r="F30" s="60" t="s">
        <v>18</v>
      </c>
      <c r="G30" s="60"/>
      <c r="H30" s="10" t="str">
        <f t="shared" si="1"/>
        <v>한국공항공사</v>
      </c>
      <c r="I30" s="83">
        <f ca="1">_xll.IMDP("IR", $C30, I$5, $H$2)</f>
        <v>3.6619999999999999</v>
      </c>
      <c r="J30" s="84">
        <f ca="1">_xll.IMDP("IR", $C30, J$5, $H$2)</f>
        <v>3.6920000000000002</v>
      </c>
      <c r="K30" s="84">
        <f ca="1">_xll.IMDP("IR", $C30, K$5, $H$2)</f>
        <v>3.677</v>
      </c>
      <c r="L30" s="84">
        <f ca="1">_xll.IMDP("IR", $C30, L$5, $H$2)</f>
        <v>3.661</v>
      </c>
      <c r="M30" s="84">
        <f ca="1">_xll.IMDP("IR", $C30, M$5, $H$2)</f>
        <v>3.7290000000000001</v>
      </c>
      <c r="N30" s="84">
        <f ca="1">_xll.IMDP("IR", $C30, N$5, $H$2)</f>
        <v>3.7160000000000002</v>
      </c>
      <c r="O30" s="84">
        <f ca="1">_xll.IMDP("IR", $C30, O$5, $H$2)</f>
        <v>3.7130000000000001</v>
      </c>
      <c r="P30" s="84">
        <f ca="1">_xll.IMDP("IR", $C30, P$5, $H$2)</f>
        <v>3.7069999999999999</v>
      </c>
      <c r="Q30" s="84">
        <f ca="1">_xll.IMDP("IR", $C30, Q$5, $H$2)</f>
        <v>3.7149999999999999</v>
      </c>
      <c r="R30" s="84">
        <f ca="1">_xll.IMDP("IR", $C30, R$5, $H$2)</f>
        <v>3.6859999999999999</v>
      </c>
      <c r="S30" s="84">
        <f ca="1">_xll.IMDP("IR", $C30, S$5, $H$2)</f>
        <v>3.7010000000000001</v>
      </c>
      <c r="T30" s="84">
        <f ca="1">_xll.IMDP("IR", $C30, T$5, $H$2)</f>
        <v>3.7120000000000002</v>
      </c>
      <c r="U30" s="84">
        <f ca="1">_xll.IMDP("IR", $C30, U$5, $H$2)</f>
        <v>3.6890000000000001</v>
      </c>
      <c r="V30" s="85">
        <f ca="1">_xll.IMDP("IR", $C30, V$5, $H$2)</f>
        <v>3.64</v>
      </c>
    </row>
    <row r="31" spans="1:22" x14ac:dyDescent="0.25">
      <c r="A31" s="31"/>
      <c r="B31" s="98" t="str">
        <f t="shared" si="0"/>
        <v>03920</v>
      </c>
      <c r="C31" s="99" t="str">
        <f t="shared" si="2"/>
        <v>BONDAVG03920</v>
      </c>
      <c r="D31" s="36">
        <v>3920</v>
      </c>
      <c r="E31" s="60" t="s">
        <v>27</v>
      </c>
      <c r="F31" s="60" t="s">
        <v>18</v>
      </c>
      <c r="G31" s="60"/>
      <c r="H31" s="10" t="str">
        <f t="shared" si="1"/>
        <v>한국도로공사</v>
      </c>
      <c r="I31" s="83">
        <f ca="1">_xll.IMDP("IR", $C31, I$5, $H$2)</f>
        <v>3.601</v>
      </c>
      <c r="J31" s="84">
        <f ca="1">_xll.IMDP("IR", $C31, J$5, $H$2)</f>
        <v>3.633</v>
      </c>
      <c r="K31" s="84">
        <f ca="1">_xll.IMDP("IR", $C31, K$5, $H$2)</f>
        <v>3.621</v>
      </c>
      <c r="L31" s="84">
        <f ca="1">_xll.IMDP("IR", $C31, L$5, $H$2)</f>
        <v>3.5960000000000001</v>
      </c>
      <c r="M31" s="84">
        <f ca="1">_xll.IMDP("IR", $C31, M$5, $H$2)</f>
        <v>3.657</v>
      </c>
      <c r="N31" s="84">
        <f ca="1">_xll.IMDP("IR", $C31, N$5, $H$2)</f>
        <v>3.6349999999999998</v>
      </c>
      <c r="O31" s="84">
        <f ca="1">_xll.IMDP("IR", $C31, O$5, $H$2)</f>
        <v>3.6309999999999998</v>
      </c>
      <c r="P31" s="84">
        <f ca="1">_xll.IMDP("IR", $C31, P$5, $H$2)</f>
        <v>3.6230000000000002</v>
      </c>
      <c r="Q31" s="84">
        <f ca="1">_xll.IMDP("IR", $C31, Q$5, $H$2)</f>
        <v>3.6269999999999998</v>
      </c>
      <c r="R31" s="84">
        <f ca="1">_xll.IMDP("IR", $C31, R$5, $H$2)</f>
        <v>3.6</v>
      </c>
      <c r="S31" s="84">
        <f ca="1">_xll.IMDP("IR", $C31, S$5, $H$2)</f>
        <v>3.605</v>
      </c>
      <c r="T31" s="84">
        <f ca="1">_xll.IMDP("IR", $C31, T$5, $H$2)</f>
        <v>3.6160000000000001</v>
      </c>
      <c r="U31" s="84">
        <f ca="1">_xll.IMDP("IR", $C31, U$5, $H$2)</f>
        <v>3.589</v>
      </c>
      <c r="V31" s="85">
        <f ca="1">_xll.IMDP("IR", $C31, V$5, $H$2)</f>
        <v>3.5329999999999999</v>
      </c>
    </row>
    <row r="32" spans="1:22" x14ac:dyDescent="0.25">
      <c r="A32" s="31"/>
      <c r="B32" s="98" t="str">
        <f t="shared" si="0"/>
        <v>13327</v>
      </c>
      <c r="C32" s="99" t="str">
        <f t="shared" si="2"/>
        <v>BONDAVG13327</v>
      </c>
      <c r="D32" s="36">
        <v>13327</v>
      </c>
      <c r="E32" s="60" t="s">
        <v>28</v>
      </c>
      <c r="F32" s="60" t="s">
        <v>18</v>
      </c>
      <c r="G32" s="60"/>
      <c r="H32" s="10" t="str">
        <f t="shared" si="1"/>
        <v>한국산업단지공단</v>
      </c>
      <c r="I32" s="83">
        <f ca="1">_xll.IMDP("IR", $C32, I$5, $H$2)</f>
        <v>3.62</v>
      </c>
      <c r="J32" s="84">
        <f ca="1">_xll.IMDP("IR", $C32, J$5, $H$2)</f>
        <v>3.6520000000000001</v>
      </c>
      <c r="K32" s="84">
        <f ca="1">_xll.IMDP("IR", $C32, K$5, $H$2)</f>
        <v>3.6360000000000001</v>
      </c>
      <c r="L32" s="84">
        <f ca="1">_xll.IMDP("IR", $C32, L$5, $H$2)</f>
        <v>3.613</v>
      </c>
      <c r="M32" s="84">
        <f ca="1">_xll.IMDP("IR", $C32, M$5, $H$2)</f>
        <v>3.6720000000000002</v>
      </c>
      <c r="N32" s="84">
        <f ca="1">_xll.IMDP("IR", $C32, N$5, $H$2)</f>
        <v>3.6520000000000001</v>
      </c>
      <c r="O32" s="84">
        <f ca="1">_xll.IMDP("IR", $C32, O$5, $H$2)</f>
        <v>3.65</v>
      </c>
      <c r="P32" s="84">
        <f ca="1">_xll.IMDP("IR", $C32, P$5, $H$2)</f>
        <v>3.6419999999999999</v>
      </c>
      <c r="Q32" s="84">
        <f ca="1">_xll.IMDP("IR", $C32, Q$5, $H$2)</f>
        <v>3.65</v>
      </c>
      <c r="R32" s="84">
        <f ca="1">_xll.IMDP("IR", $C32, R$5, $H$2)</f>
        <v>3.621</v>
      </c>
      <c r="S32" s="84">
        <f ca="1">_xll.IMDP("IR", $C32, S$5, $H$2)</f>
        <v>3.6360000000000001</v>
      </c>
      <c r="T32" s="84">
        <f ca="1">_xll.IMDP("IR", $C32, T$5, $H$2)</f>
        <v>3.6480000000000001</v>
      </c>
      <c r="U32" s="84">
        <f ca="1">_xll.IMDP("IR", $C32, U$5, $H$2)</f>
        <v>3.6139999999999999</v>
      </c>
      <c r="V32" s="85">
        <f ca="1">_xll.IMDP("IR", $C32, V$5, $H$2)</f>
        <v>3.577</v>
      </c>
    </row>
    <row r="33" spans="1:22" x14ac:dyDescent="0.25">
      <c r="A33" s="31"/>
      <c r="B33" s="98" t="str">
        <f t="shared" si="0"/>
        <v>04324</v>
      </c>
      <c r="C33" s="99" t="str">
        <f t="shared" si="2"/>
        <v>BONDAVG04324</v>
      </c>
      <c r="D33" s="36">
        <v>4324</v>
      </c>
      <c r="E33" s="60" t="s">
        <v>29</v>
      </c>
      <c r="F33" s="60" t="s">
        <v>18</v>
      </c>
      <c r="G33" s="60"/>
      <c r="H33" s="10" t="str">
        <f t="shared" si="1"/>
        <v>한국석유공사</v>
      </c>
      <c r="I33" s="83">
        <f ca="1">_xll.IMDP("IR", $C33, I$5, $H$2)</f>
        <v>3.6190000000000002</v>
      </c>
      <c r="J33" s="84">
        <f ca="1">_xll.IMDP("IR", $C33, J$5, $H$2)</f>
        <v>3.6480000000000001</v>
      </c>
      <c r="K33" s="84">
        <f ca="1">_xll.IMDP("IR", $C33, K$5, $H$2)</f>
        <v>3.6309999999999998</v>
      </c>
      <c r="L33" s="84">
        <f ca="1">_xll.IMDP("IR", $C33, L$5, $H$2)</f>
        <v>3.61</v>
      </c>
      <c r="M33" s="84">
        <f ca="1">_xll.IMDP("IR", $C33, M$5, $H$2)</f>
        <v>3.67</v>
      </c>
      <c r="N33" s="84">
        <f ca="1">_xll.IMDP("IR", $C33, N$5, $H$2)</f>
        <v>3.6509999999999998</v>
      </c>
      <c r="O33" s="84">
        <f ca="1">_xll.IMDP("IR", $C33, O$5, $H$2)</f>
        <v>3.649</v>
      </c>
      <c r="P33" s="84">
        <f ca="1">_xll.IMDP("IR", $C33, P$5, $H$2)</f>
        <v>3.641</v>
      </c>
      <c r="Q33" s="84">
        <f ca="1">_xll.IMDP("IR", $C33, Q$5, $H$2)</f>
        <v>3.649</v>
      </c>
      <c r="R33" s="84">
        <f ca="1">_xll.IMDP("IR", $C33, R$5, $H$2)</f>
        <v>3.62</v>
      </c>
      <c r="S33" s="84">
        <f ca="1">_xll.IMDP("IR", $C33, S$5, $H$2)</f>
        <v>3.6349999999999998</v>
      </c>
      <c r="T33" s="84">
        <f ca="1">_xll.IMDP("IR", $C33, T$5, $H$2)</f>
        <v>3.6469999999999998</v>
      </c>
      <c r="U33" s="84">
        <f ca="1">_xll.IMDP("IR", $C33, U$5, $H$2)</f>
        <v>3.6120000000000001</v>
      </c>
      <c r="V33" s="85">
        <f ca="1">_xll.IMDP("IR", $C33, V$5, $H$2)</f>
        <v>3.5760000000000001</v>
      </c>
    </row>
    <row r="34" spans="1:22" x14ac:dyDescent="0.25">
      <c r="A34" s="31"/>
      <c r="B34" s="98" t="str">
        <f t="shared" si="0"/>
        <v>52517</v>
      </c>
      <c r="C34" s="99" t="str">
        <f t="shared" si="2"/>
        <v>BONDAVG52517</v>
      </c>
      <c r="D34" s="36">
        <v>52517</v>
      </c>
      <c r="E34" s="60" t="s">
        <v>30</v>
      </c>
      <c r="F34" s="60" t="s">
        <v>18</v>
      </c>
      <c r="G34" s="60"/>
      <c r="H34" s="10" t="str">
        <f t="shared" si="1"/>
        <v>한국수자원공사</v>
      </c>
      <c r="I34" s="83">
        <f ca="1">_xll.IMDP("IR", $C34, I$5, $H$2)</f>
        <v>3.605</v>
      </c>
      <c r="J34" s="84">
        <f ca="1">_xll.IMDP("IR", $C34, J$5, $H$2)</f>
        <v>3.6360000000000001</v>
      </c>
      <c r="K34" s="84">
        <f ca="1">_xll.IMDP("IR", $C34, K$5, $H$2)</f>
        <v>3.6259999999999999</v>
      </c>
      <c r="L34" s="84">
        <f ca="1">_xll.IMDP("IR", $C34, L$5, $H$2)</f>
        <v>3.6030000000000002</v>
      </c>
      <c r="M34" s="84">
        <f ca="1">_xll.IMDP("IR", $C34, M$5, $H$2)</f>
        <v>3.6640000000000001</v>
      </c>
      <c r="N34" s="84">
        <f ca="1">_xll.IMDP("IR", $C34, N$5, $H$2)</f>
        <v>3.641</v>
      </c>
      <c r="O34" s="84">
        <f ca="1">_xll.IMDP("IR", $C34, O$5, $H$2)</f>
        <v>3.6379999999999999</v>
      </c>
      <c r="P34" s="84">
        <f ca="1">_xll.IMDP("IR", $C34, P$5, $H$2)</f>
        <v>3.629</v>
      </c>
      <c r="Q34" s="84">
        <f ca="1">_xll.IMDP("IR", $C34, Q$5, $H$2)</f>
        <v>3.6339999999999999</v>
      </c>
      <c r="R34" s="84">
        <f ca="1">_xll.IMDP("IR", $C34, R$5, $H$2)</f>
        <v>3.6070000000000002</v>
      </c>
      <c r="S34" s="84">
        <f ca="1">_xll.IMDP("IR", $C34, S$5, $H$2)</f>
        <v>3.6110000000000002</v>
      </c>
      <c r="T34" s="84">
        <f ca="1">_xll.IMDP("IR", $C34, T$5, $H$2)</f>
        <v>3.6230000000000002</v>
      </c>
      <c r="U34" s="84">
        <f ca="1">_xll.IMDP("IR", $C34, U$5, $H$2)</f>
        <v>3.5990000000000002</v>
      </c>
      <c r="V34" s="85">
        <f ca="1">_xll.IMDP("IR", $C34, V$5, $H$2)</f>
        <v>3.5430000000000001</v>
      </c>
    </row>
    <row r="35" spans="1:22" x14ac:dyDescent="0.25">
      <c r="A35" s="31"/>
      <c r="B35" s="98" t="str">
        <f t="shared" si="0"/>
        <v>03602</v>
      </c>
      <c r="C35" s="99" t="str">
        <f t="shared" si="2"/>
        <v>BONDAVG03602</v>
      </c>
      <c r="D35" s="36">
        <v>3602</v>
      </c>
      <c r="E35" s="60" t="s">
        <v>31</v>
      </c>
      <c r="F35" s="60" t="s">
        <v>18</v>
      </c>
      <c r="G35" s="60"/>
      <c r="H35" s="10" t="str">
        <f t="shared" si="1"/>
        <v>한국자산관리공사</v>
      </c>
      <c r="I35" s="83">
        <f ca="1">_xll.IMDP("IR", $C35, I$5, $H$2)</f>
        <v>3.62</v>
      </c>
      <c r="J35" s="84">
        <f ca="1">_xll.IMDP("IR", $C35, J$5, $H$2)</f>
        <v>3.6509999999999998</v>
      </c>
      <c r="K35" s="84">
        <f ca="1">_xll.IMDP("IR", $C35, K$5, $H$2)</f>
        <v>3.6389999999999998</v>
      </c>
      <c r="L35" s="84">
        <f ca="1">_xll.IMDP("IR", $C35, L$5, $H$2)</f>
        <v>3.6160000000000001</v>
      </c>
      <c r="M35" s="84">
        <f ca="1">_xll.IMDP("IR", $C35, M$5, $H$2)</f>
        <v>3.67</v>
      </c>
      <c r="N35" s="84">
        <f ca="1">_xll.IMDP("IR", $C35, N$5, $H$2)</f>
        <v>3.6440000000000001</v>
      </c>
      <c r="O35" s="84">
        <f ca="1">_xll.IMDP("IR", $C35, O$5, $H$2)</f>
        <v>3.6440000000000001</v>
      </c>
      <c r="P35" s="84">
        <f ca="1">_xll.IMDP("IR", $C35, P$5, $H$2)</f>
        <v>3.637</v>
      </c>
      <c r="Q35" s="84">
        <f ca="1">_xll.IMDP("IR", $C35, Q$5, $H$2)</f>
        <v>3.65</v>
      </c>
      <c r="R35" s="84">
        <f ca="1">_xll.IMDP("IR", $C35, R$5, $H$2)</f>
        <v>3.621</v>
      </c>
      <c r="S35" s="84">
        <f ca="1">_xll.IMDP("IR", $C35, S$5, $H$2)</f>
        <v>3.6429999999999998</v>
      </c>
      <c r="T35" s="84">
        <f ca="1">_xll.IMDP("IR", $C35, T$5, $H$2)</f>
        <v>3.6579999999999999</v>
      </c>
      <c r="U35" s="84">
        <f ca="1">_xll.IMDP("IR", $C35, U$5, $H$2)</f>
        <v>3.6360000000000001</v>
      </c>
      <c r="V35" s="85">
        <f ca="1">_xll.IMDP("IR", $C35, V$5, $H$2)</f>
        <v>3.5920000000000001</v>
      </c>
    </row>
    <row r="36" spans="1:22" x14ac:dyDescent="0.25">
      <c r="A36" s="31"/>
      <c r="B36" s="98" t="str">
        <f t="shared" si="0"/>
        <v>01576</v>
      </c>
      <c r="C36" s="99" t="str">
        <f t="shared" si="2"/>
        <v>BONDAVG01576</v>
      </c>
      <c r="D36" s="36">
        <v>1576</v>
      </c>
      <c r="E36" s="60" t="s">
        <v>32</v>
      </c>
      <c r="F36" s="60" t="s">
        <v>18</v>
      </c>
      <c r="G36" s="60"/>
      <c r="H36" s="10" t="str">
        <f t="shared" si="1"/>
        <v>한국전력공사</v>
      </c>
      <c r="I36" s="83">
        <f ca="1">_xll.IMDP("IR", $C36, I$5, $H$2)</f>
        <v>3.681</v>
      </c>
      <c r="J36" s="84">
        <f ca="1">_xll.IMDP("IR", $C36, J$5, $H$2)</f>
        <v>3.7330000000000001</v>
      </c>
      <c r="K36" s="84">
        <f ca="1">_xll.IMDP("IR", $C36, K$5, $H$2)</f>
        <v>3.726</v>
      </c>
      <c r="L36" s="84">
        <f ca="1">_xll.IMDP("IR", $C36, L$5, $H$2)</f>
        <v>3.7080000000000002</v>
      </c>
      <c r="M36" s="84">
        <f ca="1">_xll.IMDP("IR", $C36, M$5, $H$2)</f>
        <v>3.7810000000000001</v>
      </c>
      <c r="N36" s="84">
        <f ca="1">_xll.IMDP("IR", $C36, N$5, $H$2)</f>
        <v>3.7669999999999999</v>
      </c>
      <c r="O36" s="84">
        <f ca="1">_xll.IMDP("IR", $C36, O$5, $H$2)</f>
        <v>3.7810000000000001</v>
      </c>
      <c r="P36" s="84">
        <f ca="1">_xll.IMDP("IR", $C36, P$5, $H$2)</f>
        <v>3.7930000000000001</v>
      </c>
      <c r="Q36" s="84">
        <f ca="1">_xll.IMDP("IR", $C36, Q$5, $H$2)</f>
        <v>3.8029999999999999</v>
      </c>
      <c r="R36" s="84">
        <f ca="1">_xll.IMDP("IR", $C36, R$5, $H$2)</f>
        <v>3.7770000000000001</v>
      </c>
      <c r="S36" s="84">
        <f ca="1">_xll.IMDP("IR", $C36, S$5, $H$2)</f>
        <v>3.794</v>
      </c>
      <c r="T36" s="84">
        <f ca="1">_xll.IMDP("IR", $C36, T$5, $H$2)</f>
        <v>3.8079999999999998</v>
      </c>
      <c r="U36" s="84">
        <f ca="1">_xll.IMDP("IR", $C36, U$5, $H$2)</f>
        <v>3.778</v>
      </c>
      <c r="V36" s="85">
        <f ca="1">_xll.IMDP("IR", $C36, V$5, $H$2)</f>
        <v>3.7360000000000002</v>
      </c>
    </row>
    <row r="37" spans="1:22" x14ac:dyDescent="0.25">
      <c r="A37" s="31"/>
      <c r="B37" s="98" t="str">
        <f t="shared" si="0"/>
        <v>08918</v>
      </c>
      <c r="C37" s="99" t="str">
        <f t="shared" si="2"/>
        <v>BONDAVG08918</v>
      </c>
      <c r="D37" s="36">
        <v>8918</v>
      </c>
      <c r="E37" s="60" t="s">
        <v>33</v>
      </c>
      <c r="F37" s="60" t="s">
        <v>18</v>
      </c>
      <c r="G37" s="60"/>
      <c r="H37" s="8" t="str">
        <f t="shared" si="1"/>
        <v>한국주택금융공사</v>
      </c>
      <c r="I37" s="78">
        <f ca="1">_xll.IMDP("IR", $C37, I$5, $H$2)</f>
        <v>3.625</v>
      </c>
      <c r="J37" s="79">
        <f ca="1">_xll.IMDP("IR", $C37, J$5, $H$2)</f>
        <v>3.6619999999999999</v>
      </c>
      <c r="K37" s="79">
        <f ca="1">_xll.IMDP("IR", $C37, K$5, $H$2)</f>
        <v>3.641</v>
      </c>
      <c r="L37" s="79">
        <f ca="1">_xll.IMDP("IR", $C37, L$5, $H$2)</f>
        <v>3.6179999999999999</v>
      </c>
      <c r="M37" s="79">
        <f ca="1">_xll.IMDP("IR", $C37, M$5, $H$2)</f>
        <v>3.6720000000000002</v>
      </c>
      <c r="N37" s="79">
        <f ca="1">_xll.IMDP("IR", $C37, N$5, $H$2)</f>
        <v>3.6469999999999998</v>
      </c>
      <c r="O37" s="79">
        <f ca="1">_xll.IMDP("IR", $C37, O$5, $H$2)</f>
        <v>3.65</v>
      </c>
      <c r="P37" s="79">
        <f ca="1">_xll.IMDP("IR", $C37, P$5, $H$2)</f>
        <v>3.6389999999999998</v>
      </c>
      <c r="Q37" s="79">
        <f ca="1">_xll.IMDP("IR", $C37, Q$5, $H$2)</f>
        <v>3.6469999999999998</v>
      </c>
      <c r="R37" s="79">
        <f ca="1">_xll.IMDP("IR", $C37, R$5, $H$2)</f>
        <v>3.6190000000000002</v>
      </c>
      <c r="S37" s="79">
        <f ca="1">_xll.IMDP("IR", $C37, S$5, $H$2)</f>
        <v>3.641</v>
      </c>
      <c r="T37" s="79">
        <f ca="1">_xll.IMDP("IR", $C37, T$5, $H$2)</f>
        <v>3.657</v>
      </c>
      <c r="U37" s="79">
        <f ca="1">_xll.IMDP("IR", $C37, U$5, $H$2)</f>
        <v>3.629</v>
      </c>
      <c r="V37" s="80">
        <f ca="1">_xll.IMDP("IR", $C37, V$5, $H$2)</f>
        <v>3.5870000000000002</v>
      </c>
    </row>
    <row r="38" spans="1:22" x14ac:dyDescent="0.25">
      <c r="A38" s="31"/>
      <c r="B38" s="98" t="str">
        <f t="shared" si="0"/>
        <v>10095</v>
      </c>
      <c r="C38" s="99" t="str">
        <f t="shared" si="2"/>
        <v>BONDAVG10095</v>
      </c>
      <c r="D38" s="36">
        <v>10095</v>
      </c>
      <c r="E38" s="60" t="s">
        <v>34</v>
      </c>
      <c r="F38" s="60" t="s">
        <v>18</v>
      </c>
      <c r="G38" s="60"/>
      <c r="H38" s="8" t="str">
        <f t="shared" si="1"/>
        <v>한국철도공사</v>
      </c>
      <c r="I38" s="78">
        <f ca="1">_xll.IMDP("IR", $C38, I$5, $H$2)</f>
        <v>3.637</v>
      </c>
      <c r="J38" s="78">
        <f ca="1">_xll.IMDP("IR", $C38, J$5, $H$2)</f>
        <v>3.6659999999999999</v>
      </c>
      <c r="K38" s="78">
        <f ca="1">_xll.IMDP("IR", $C38, K$5, $H$2)</f>
        <v>3.6539999999999999</v>
      </c>
      <c r="L38" s="78">
        <f ca="1">_xll.IMDP("IR", $C38, L$5, $H$2)</f>
        <v>3.629</v>
      </c>
      <c r="M38" s="78">
        <f ca="1">_xll.IMDP("IR", $C38, M$5, $H$2)</f>
        <v>3.6890000000000001</v>
      </c>
      <c r="N38" s="78">
        <f ca="1">_xll.IMDP("IR", $C38, N$5, $H$2)</f>
        <v>3.6739999999999999</v>
      </c>
      <c r="O38" s="78">
        <f ca="1">_xll.IMDP("IR", $C38, O$5, $H$2)</f>
        <v>3.67</v>
      </c>
      <c r="P38" s="78">
        <f ca="1">_xll.IMDP("IR", $C38, P$5, $H$2)</f>
        <v>3.6640000000000001</v>
      </c>
      <c r="Q38" s="78">
        <f ca="1">_xll.IMDP("IR", $C38, Q$5, $H$2)</f>
        <v>3.6709999999999998</v>
      </c>
      <c r="R38" s="78">
        <f ca="1">_xll.IMDP("IR", $C38, R$5, $H$2)</f>
        <v>3.6389999999999998</v>
      </c>
      <c r="S38" s="78">
        <f ca="1">_xll.IMDP("IR", $C38, S$5, $H$2)</f>
        <v>3.653</v>
      </c>
      <c r="T38" s="78">
        <f ca="1">_xll.IMDP("IR", $C38, T$5, $H$2)</f>
        <v>3.6579999999999999</v>
      </c>
      <c r="U38" s="78">
        <f ca="1">_xll.IMDP("IR", $C38, U$5, $H$2)</f>
        <v>3.621</v>
      </c>
      <c r="V38" s="80">
        <f ca="1">_xll.IMDP("IR", $C38, V$5, $H$2)</f>
        <v>3.58</v>
      </c>
    </row>
    <row r="39" spans="1:22" x14ac:dyDescent="0.25">
      <c r="A39" s="31"/>
      <c r="B39" s="98" t="str">
        <f t="shared" si="0"/>
        <v>15678</v>
      </c>
      <c r="C39" s="99" t="str">
        <f t="shared" si="2"/>
        <v>BONDAVG15678</v>
      </c>
      <c r="D39" s="36">
        <v>15678</v>
      </c>
      <c r="E39" s="60" t="s">
        <v>35</v>
      </c>
      <c r="F39" s="60" t="s">
        <v>18</v>
      </c>
      <c r="G39" s="60"/>
      <c r="H39" s="8" t="str">
        <f t="shared" ref="H39:H64" si="3">E39</f>
        <v>한국토지주택공사</v>
      </c>
      <c r="I39" s="86">
        <f ca="1">_xll.IMDP("IR", $C39, I$5, $H$2)</f>
        <v>3.6269999999999998</v>
      </c>
      <c r="J39" s="86">
        <f ca="1">_xll.IMDP("IR", $C39, J$5, $H$2)</f>
        <v>3.657</v>
      </c>
      <c r="K39" s="86">
        <f ca="1">_xll.IMDP("IR", $C39, K$5, $H$2)</f>
        <v>3.641</v>
      </c>
      <c r="L39" s="86">
        <f ca="1">_xll.IMDP("IR", $C39, L$5, $H$2)</f>
        <v>3.6179999999999999</v>
      </c>
      <c r="M39" s="86">
        <f ca="1">_xll.IMDP("IR", $C39, M$5, $H$2)</f>
        <v>3.6720000000000002</v>
      </c>
      <c r="N39" s="86">
        <f ca="1">_xll.IMDP("IR", $C39, N$5, $H$2)</f>
        <v>3.6509999999999998</v>
      </c>
      <c r="O39" s="86">
        <f ca="1">_xll.IMDP("IR", $C39, O$5, $H$2)</f>
        <v>3.6480000000000001</v>
      </c>
      <c r="P39" s="86">
        <f ca="1">_xll.IMDP("IR", $C39, P$5, $H$2)</f>
        <v>3.6440000000000001</v>
      </c>
      <c r="Q39" s="86">
        <f ca="1">_xll.IMDP("IR", $C39, Q$5, $H$2)</f>
        <v>3.65</v>
      </c>
      <c r="R39" s="86">
        <f ca="1">_xll.IMDP("IR", $C39, R$5, $H$2)</f>
        <v>3.621</v>
      </c>
      <c r="S39" s="86">
        <f ca="1">_xll.IMDP("IR", $C39, S$5, $H$2)</f>
        <v>3.6339999999999999</v>
      </c>
      <c r="T39" s="86">
        <f ca="1">_xll.IMDP("IR", $C39, T$5, $H$2)</f>
        <v>3.6379999999999999</v>
      </c>
      <c r="U39" s="86">
        <f ca="1">_xll.IMDP("IR", $C39, U$5, $H$2)</f>
        <v>3.6110000000000002</v>
      </c>
      <c r="V39" s="87">
        <f ca="1">_xll.IMDP("IR", $C39, V$5, $H$2)</f>
        <v>3.5569999999999999</v>
      </c>
    </row>
    <row r="40" spans="1:22" x14ac:dyDescent="0.25">
      <c r="A40" s="31"/>
      <c r="B40" s="98" t="str">
        <f t="shared" si="0"/>
        <v>56490</v>
      </c>
      <c r="C40" s="99" t="str">
        <f t="shared" si="2"/>
        <v>BONDAVG56490</v>
      </c>
      <c r="D40" s="36">
        <v>56490</v>
      </c>
      <c r="E40" s="60" t="s">
        <v>66</v>
      </c>
      <c r="F40" s="60" t="s">
        <v>18</v>
      </c>
      <c r="G40" s="60"/>
      <c r="H40" s="8" t="str">
        <f t="shared" si="3"/>
        <v>한국해양진흥공사</v>
      </c>
      <c r="I40" s="86">
        <f ca="1">_xll.IMDP("IR", $C40, I$5, $H$2)</f>
        <v>3.62</v>
      </c>
      <c r="J40" s="86">
        <f ca="1">_xll.IMDP("IR", $C40, J$5, $H$2)</f>
        <v>3.6520000000000001</v>
      </c>
      <c r="K40" s="86">
        <f ca="1">_xll.IMDP("IR", $C40, K$5, $H$2)</f>
        <v>3.6360000000000001</v>
      </c>
      <c r="L40" s="86">
        <f ca="1">_xll.IMDP("IR", $C40, L$5, $H$2)</f>
        <v>3.613</v>
      </c>
      <c r="M40" s="86">
        <f ca="1">_xll.IMDP("IR", $C40, M$5, $H$2)</f>
        <v>3.67</v>
      </c>
      <c r="N40" s="86">
        <f ca="1">_xll.IMDP("IR", $C40, N$5, $H$2)</f>
        <v>3.6520000000000001</v>
      </c>
      <c r="O40" s="86">
        <f ca="1">_xll.IMDP("IR", $C40, O$5, $H$2)</f>
        <v>3.65</v>
      </c>
      <c r="P40" s="86">
        <f ca="1">_xll.IMDP("IR", $C40, P$5, $H$2)</f>
        <v>3.6440000000000001</v>
      </c>
      <c r="Q40" s="86">
        <f ca="1">_xll.IMDP("IR", $C40, Q$5, $H$2)</f>
        <v>3.6520000000000001</v>
      </c>
      <c r="R40" s="86">
        <f ca="1">_xll.IMDP("IR", $C40, R$5, $H$2)</f>
        <v>3.6219999999999999</v>
      </c>
      <c r="S40" s="86">
        <f ca="1">_xll.IMDP("IR", $C40, S$5, $H$2)</f>
        <v>3.6379999999999999</v>
      </c>
      <c r="T40" s="86">
        <f ca="1">_xll.IMDP("IR", $C40, T$5, $H$2)</f>
        <v>3.6480000000000001</v>
      </c>
      <c r="U40" s="86">
        <f ca="1">_xll.IMDP("IR", $C40, U$5, $H$2)</f>
        <v>3.6139999999999999</v>
      </c>
      <c r="V40" s="87">
        <f ca="1">_xll.IMDP("IR", $C40, V$5, $H$2)</f>
        <v>3.577</v>
      </c>
    </row>
    <row r="41" spans="1:22" x14ac:dyDescent="0.25">
      <c r="A41" s="31"/>
      <c r="B41" s="98" t="str">
        <f t="shared" si="0"/>
        <v>60279</v>
      </c>
      <c r="C41" s="99" t="str">
        <f t="shared" si="2"/>
        <v>BONDAVG60279</v>
      </c>
      <c r="D41" s="36">
        <v>60279</v>
      </c>
      <c r="E41" s="60" t="s">
        <v>81</v>
      </c>
      <c r="F41" s="60" t="s">
        <v>18</v>
      </c>
      <c r="G41" s="60"/>
      <c r="H41" s="8" t="str">
        <f t="shared" si="3"/>
        <v>한국해외인프라도시개발지원공사</v>
      </c>
      <c r="I41" s="86">
        <f ca="1">_xll.IMDP("IR", $C41, I$5, $H$2)</f>
        <v>3.6680000000000001</v>
      </c>
      <c r="J41" s="86">
        <f ca="1">_xll.IMDP("IR", $C41, J$5, $H$2)</f>
        <v>3.7010000000000001</v>
      </c>
      <c r="K41" s="86">
        <f ca="1">_xll.IMDP("IR", $C41, K$5, $H$2)</f>
        <v>3.6869999999999998</v>
      </c>
      <c r="L41" s="86">
        <f ca="1">_xll.IMDP("IR", $C41, L$5, $H$2)</f>
        <v>3.6659999999999999</v>
      </c>
      <c r="M41" s="86">
        <f ca="1">_xll.IMDP("IR", $C41, M$5, $H$2)</f>
        <v>3.7250000000000001</v>
      </c>
      <c r="N41" s="86">
        <f ca="1">_xll.IMDP("IR", $C41, N$5, $H$2)</f>
        <v>3.7090000000000001</v>
      </c>
      <c r="O41" s="86">
        <f ca="1">_xll.IMDP("IR", $C41, O$5, $H$2)</f>
        <v>3.7050000000000001</v>
      </c>
      <c r="P41" s="86">
        <f ca="1">_xll.IMDP("IR", $C41, P$5, $H$2)</f>
        <v>3.6960000000000002</v>
      </c>
      <c r="Q41" s="86">
        <f ca="1">_xll.IMDP("IR", $C41, Q$5, $H$2)</f>
        <v>3.702</v>
      </c>
      <c r="R41" s="86">
        <f ca="1">_xll.IMDP("IR", $C41, R$5, $H$2)</f>
        <v>3.6709999999999998</v>
      </c>
      <c r="S41" s="86">
        <f ca="1">_xll.IMDP("IR", $C41, S$5, $H$2)</f>
        <v>3.6859999999999999</v>
      </c>
      <c r="T41" s="86">
        <f ca="1">_xll.IMDP("IR", $C41, T$5, $H$2)</f>
        <v>3.6949999999999998</v>
      </c>
      <c r="U41" s="86">
        <f ca="1">_xll.IMDP("IR", $C41, U$5, $H$2)</f>
        <v>3.6709999999999998</v>
      </c>
      <c r="V41" s="87">
        <f ca="1">_xll.IMDP("IR", $C41, V$5, $H$2)</f>
        <v>3.6269999999999998</v>
      </c>
    </row>
    <row r="42" spans="1:22" x14ac:dyDescent="0.25">
      <c r="A42" s="31"/>
      <c r="B42" s="98" t="str">
        <f t="shared" si="0"/>
        <v>00000</v>
      </c>
      <c r="C42" s="99" t="s">
        <v>92</v>
      </c>
      <c r="D42" s="36"/>
      <c r="E42" s="60" t="s">
        <v>36</v>
      </c>
      <c r="F42" s="60" t="s">
        <v>36</v>
      </c>
      <c r="G42" s="60"/>
      <c r="H42" s="11" t="str">
        <f t="shared" si="3"/>
        <v>공사/공단채 AA+</v>
      </c>
      <c r="I42" s="88">
        <f ca="1">_xll.IMDP("IR", $C42, I$5, $H$2)</f>
        <v>3.677</v>
      </c>
      <c r="J42" s="88">
        <f ca="1">_xll.IMDP("IR", $C42, J$5, $H$2)</f>
        <v>3.7509999999999999</v>
      </c>
      <c r="K42" s="88">
        <f ca="1">_xll.IMDP("IR", $C42, K$5, $H$2)</f>
        <v>3.7480000000000002</v>
      </c>
      <c r="L42" s="88">
        <f ca="1">_xll.IMDP("IR", $C42, L$5, $H$2)</f>
        <v>3.7309999999999999</v>
      </c>
      <c r="M42" s="88">
        <f ca="1">_xll.IMDP("IR", $C42, M$5, $H$2)</f>
        <v>3.8260000000000001</v>
      </c>
      <c r="N42" s="88">
        <f ca="1">_xll.IMDP("IR", $C42, N$5, $H$2)</f>
        <v>3.8130000000000002</v>
      </c>
      <c r="O42" s="88">
        <f ca="1">_xll.IMDP("IR", $C42, O$5, $H$2)</f>
        <v>3.8159999999999998</v>
      </c>
      <c r="P42" s="88">
        <f ca="1">_xll.IMDP("IR", $C42, P$5, $H$2)</f>
        <v>3.8119999999999998</v>
      </c>
      <c r="Q42" s="88">
        <f ca="1">_xll.IMDP("IR", $C42, Q$5, $H$2)</f>
        <v>3.823</v>
      </c>
      <c r="R42" s="88">
        <f ca="1">_xll.IMDP("IR", $C42, R$5, $H$2)</f>
        <v>3.798</v>
      </c>
      <c r="S42" s="88">
        <f ca="1">_xll.IMDP("IR", $C42, S$5, $H$2)</f>
        <v>3.8180000000000001</v>
      </c>
      <c r="T42" s="88">
        <f ca="1">_xll.IMDP("IR", $C42, T$5, $H$2)</f>
        <v>3.8450000000000002</v>
      </c>
      <c r="U42" s="88">
        <f ca="1">_xll.IMDP("IR", $C42, U$5, $H$2)</f>
        <v>3.8580000000000001</v>
      </c>
      <c r="V42" s="89">
        <f ca="1">_xll.IMDP("IR", $C42, V$5, $H$2)</f>
        <v>3.8370000000000002</v>
      </c>
    </row>
    <row r="43" spans="1:22" x14ac:dyDescent="0.25">
      <c r="A43" s="31"/>
      <c r="B43" s="98" t="str">
        <f t="shared" si="0"/>
        <v>13328</v>
      </c>
      <c r="C43" s="99" t="str">
        <f t="shared" ref="C43:C56" si="4">"BONDAVG"&amp;B43</f>
        <v>BONDAVG13328</v>
      </c>
      <c r="D43" s="36">
        <v>13328</v>
      </c>
      <c r="E43" s="60" t="s">
        <v>37</v>
      </c>
      <c r="F43" s="60" t="s">
        <v>36</v>
      </c>
      <c r="G43" s="60"/>
      <c r="H43" s="7" t="str">
        <f t="shared" si="3"/>
        <v>강원도개발공사</v>
      </c>
      <c r="I43" s="75">
        <f ca="1">_xll.IMDP("IR", $C43, I$5, $H$2)</f>
        <v>3.6859999999999999</v>
      </c>
      <c r="J43" s="76">
        <f ca="1">_xll.IMDP("IR", $C43, J$5, $H$2)</f>
        <v>3.7829999999999999</v>
      </c>
      <c r="K43" s="76">
        <f ca="1">_xll.IMDP("IR", $C43, K$5, $H$2)</f>
        <v>3.78</v>
      </c>
      <c r="L43" s="76">
        <f ca="1">_xll.IMDP("IR", $C43, L$5, $H$2)</f>
        <v>3.7850000000000001</v>
      </c>
      <c r="M43" s="76">
        <f ca="1">_xll.IMDP("IR", $C43, M$5, $H$2)</f>
        <v>3.9039999999999999</v>
      </c>
      <c r="N43" s="76">
        <f ca="1">_xll.IMDP("IR", $C43, N$5, $H$2)</f>
        <v>3.895</v>
      </c>
      <c r="O43" s="76">
        <f ca="1">_xll.IMDP("IR", $C43, O$5, $H$2)</f>
        <v>3.9119999999999999</v>
      </c>
      <c r="P43" s="76">
        <f ca="1">_xll.IMDP("IR", $C43, P$5, $H$2)</f>
        <v>3.9020000000000001</v>
      </c>
      <c r="Q43" s="76">
        <f ca="1">_xll.IMDP("IR", $C43, Q$5, $H$2)</f>
        <v>3.9329999999999998</v>
      </c>
      <c r="R43" s="76">
        <f ca="1">_xll.IMDP("IR", $C43, R$5, $H$2)</f>
        <v>3.9049999999999998</v>
      </c>
      <c r="S43" s="76">
        <f ca="1">_xll.IMDP("IR", $C43, S$5, $H$2)</f>
        <v>3.952</v>
      </c>
      <c r="T43" s="76">
        <f ca="1">_xll.IMDP("IR", $C43, T$5, $H$2)</f>
        <v>3.9470000000000001</v>
      </c>
      <c r="U43" s="76">
        <f ca="1">_xll.IMDP("IR", $C43, U$5, $H$2)</f>
        <v>3.9689999999999999</v>
      </c>
      <c r="V43" s="77">
        <f ca="1">_xll.IMDP("IR", $C43, V$5, $H$2)</f>
        <v>3.9409999999999998</v>
      </c>
    </row>
    <row r="44" spans="1:22" x14ac:dyDescent="0.25">
      <c r="A44" s="31"/>
      <c r="B44" s="98" t="str">
        <f t="shared" si="0"/>
        <v>11686</v>
      </c>
      <c r="C44" s="99" t="str">
        <f t="shared" si="4"/>
        <v>BONDAVG11686</v>
      </c>
      <c r="D44" s="36">
        <v>11686</v>
      </c>
      <c r="E44" s="60" t="s">
        <v>68</v>
      </c>
      <c r="F44" s="60" t="s">
        <v>36</v>
      </c>
      <c r="G44" s="60"/>
      <c r="H44" s="10" t="str">
        <f t="shared" si="3"/>
        <v>경남개발공사</v>
      </c>
      <c r="I44" s="83">
        <f ca="1">_xll.IMDP("IR", $C44, I$5, $H$2)</f>
        <v>3.6880000000000002</v>
      </c>
      <c r="J44" s="84">
        <f ca="1">_xll.IMDP("IR", $C44, J$5, $H$2)</f>
        <v>3.762</v>
      </c>
      <c r="K44" s="84">
        <f ca="1">_xll.IMDP("IR", $C44, K$5, $H$2)</f>
        <v>3.7589999999999999</v>
      </c>
      <c r="L44" s="84">
        <f ca="1">_xll.IMDP("IR", $C44, L$5, $H$2)</f>
        <v>3.7450000000000001</v>
      </c>
      <c r="M44" s="84">
        <f ca="1">_xll.IMDP("IR", $C44, M$5, $H$2)</f>
        <v>3.84</v>
      </c>
      <c r="N44" s="84">
        <f ca="1">_xll.IMDP("IR", $C44, N$5, $H$2)</f>
        <v>3.823</v>
      </c>
      <c r="O44" s="84">
        <f ca="1">_xll.IMDP("IR", $C44, O$5, $H$2)</f>
        <v>3.8279999999999998</v>
      </c>
      <c r="P44" s="84">
        <f ca="1">_xll.IMDP("IR", $C44, P$5, $H$2)</f>
        <v>3.83</v>
      </c>
      <c r="Q44" s="84">
        <f ca="1">_xll.IMDP("IR", $C44, Q$5, $H$2)</f>
        <v>3.843</v>
      </c>
      <c r="R44" s="84">
        <f ca="1">_xll.IMDP("IR", $C44, R$5, $H$2)</f>
        <v>3.8159999999999998</v>
      </c>
      <c r="S44" s="84">
        <f ca="1">_xll.IMDP("IR", $C44, S$5, $H$2)</f>
        <v>3.8319999999999999</v>
      </c>
      <c r="T44" s="84">
        <f ca="1">_xll.IMDP("IR", $C44, T$5, $H$2)</f>
        <v>3.859</v>
      </c>
      <c r="U44" s="84">
        <f ca="1">_xll.IMDP("IR", $C44, U$5, $H$2)</f>
        <v>3.847</v>
      </c>
      <c r="V44" s="85">
        <f ca="1">_xll.IMDP("IR", $C44, V$5, $H$2)</f>
        <v>3.85</v>
      </c>
    </row>
    <row r="45" spans="1:22" x14ac:dyDescent="0.25">
      <c r="A45" s="31"/>
      <c r="B45" s="98" t="str">
        <f t="shared" si="0"/>
        <v>12425</v>
      </c>
      <c r="C45" s="99" t="str">
        <f t="shared" si="4"/>
        <v>BONDAVG12425</v>
      </c>
      <c r="D45" s="36">
        <v>12425</v>
      </c>
      <c r="E45" s="60" t="s">
        <v>38</v>
      </c>
      <c r="F45" s="60" t="s">
        <v>36</v>
      </c>
      <c r="G45" s="60"/>
      <c r="H45" s="10" t="str">
        <f t="shared" si="3"/>
        <v>경상북도개발공사</v>
      </c>
      <c r="I45" s="83">
        <f ca="1">_xll.IMDP("IR", $C45, I$5, $H$2)</f>
        <v>3.6629999999999998</v>
      </c>
      <c r="J45" s="84">
        <f ca="1">_xll.IMDP("IR", $C45, J$5, $H$2)</f>
        <v>3.76</v>
      </c>
      <c r="K45" s="84">
        <f ca="1">_xll.IMDP("IR", $C45, K$5, $H$2)</f>
        <v>3.7570000000000001</v>
      </c>
      <c r="L45" s="84">
        <f ca="1">_xll.IMDP("IR", $C45, L$5, $H$2)</f>
        <v>3.762</v>
      </c>
      <c r="M45" s="84">
        <f ca="1">_xll.IMDP("IR", $C45, M$5, $H$2)</f>
        <v>3.8610000000000002</v>
      </c>
      <c r="N45" s="84">
        <f ca="1">_xll.IMDP("IR", $C45, N$5, $H$2)</f>
        <v>3.8519999999999999</v>
      </c>
      <c r="O45" s="84">
        <f ca="1">_xll.IMDP("IR", $C45, O$5, $H$2)</f>
        <v>3.8490000000000002</v>
      </c>
      <c r="P45" s="84">
        <f ca="1">_xll.IMDP("IR", $C45, P$5, $H$2)</f>
        <v>3.839</v>
      </c>
      <c r="Q45" s="84">
        <f ca="1">_xll.IMDP("IR", $C45, Q$5, $H$2)</f>
        <v>3.86</v>
      </c>
      <c r="R45" s="84">
        <f ca="1">_xll.IMDP("IR", $C45, R$5, $H$2)</f>
        <v>3.8319999999999999</v>
      </c>
      <c r="S45" s="84">
        <f ca="1">_xll.IMDP("IR", $C45, S$5, $H$2)</f>
        <v>3.859</v>
      </c>
      <c r="T45" s="84">
        <f ca="1">_xll.IMDP("IR", $C45, T$5, $H$2)</f>
        <v>3.8540000000000001</v>
      </c>
      <c r="U45" s="84">
        <f ca="1">_xll.IMDP("IR", $C45, U$5, $H$2)</f>
        <v>3.8759999999999999</v>
      </c>
      <c r="V45" s="85">
        <f ca="1">_xll.IMDP("IR", $C45, V$5, $H$2)</f>
        <v>3.8479999999999999</v>
      </c>
    </row>
    <row r="46" spans="1:22" x14ac:dyDescent="0.25">
      <c r="A46" s="31"/>
      <c r="B46" s="98" t="str">
        <f t="shared" si="0"/>
        <v>04932</v>
      </c>
      <c r="C46" s="99" t="str">
        <f t="shared" si="4"/>
        <v>BONDAVG04932</v>
      </c>
      <c r="D46" s="36">
        <v>4932</v>
      </c>
      <c r="E46" s="60" t="s">
        <v>39</v>
      </c>
      <c r="F46" s="60" t="s">
        <v>36</v>
      </c>
      <c r="G46" s="60"/>
      <c r="H46" s="10" t="str">
        <f t="shared" si="3"/>
        <v>광주광역시도시공사</v>
      </c>
      <c r="I46" s="83">
        <f ca="1">_xll.IMDP("IR", $C46, I$5, $H$2)</f>
        <v>3.6989999999999998</v>
      </c>
      <c r="J46" s="84">
        <f ca="1">_xll.IMDP("IR", $C46, J$5, $H$2)</f>
        <v>3.7730000000000001</v>
      </c>
      <c r="K46" s="84">
        <f ca="1">_xll.IMDP("IR", $C46, K$5, $H$2)</f>
        <v>3.7719999999999998</v>
      </c>
      <c r="L46" s="84">
        <f ca="1">_xll.IMDP("IR", $C46, L$5, $H$2)</f>
        <v>3.7559999999999998</v>
      </c>
      <c r="M46" s="84">
        <f ca="1">_xll.IMDP("IR", $C46, M$5, $H$2)</f>
        <v>3.8540000000000001</v>
      </c>
      <c r="N46" s="84">
        <f ca="1">_xll.IMDP("IR", $C46, N$5, $H$2)</f>
        <v>3.8410000000000002</v>
      </c>
      <c r="O46" s="84">
        <f ca="1">_xll.IMDP("IR", $C46, O$5, $H$2)</f>
        <v>3.843</v>
      </c>
      <c r="P46" s="84">
        <f ca="1">_xll.IMDP("IR", $C46, P$5, $H$2)</f>
        <v>3.8420000000000001</v>
      </c>
      <c r="Q46" s="84">
        <f ca="1">_xll.IMDP("IR", $C46, Q$5, $H$2)</f>
        <v>3.855</v>
      </c>
      <c r="R46" s="84">
        <f ca="1">_xll.IMDP("IR", $C46, R$5, $H$2)</f>
        <v>3.8410000000000002</v>
      </c>
      <c r="S46" s="84">
        <f ca="1">_xll.IMDP("IR", $C46, S$5, $H$2)</f>
        <v>3.8620000000000001</v>
      </c>
      <c r="T46" s="84">
        <f ca="1">_xll.IMDP("IR", $C46, T$5, $H$2)</f>
        <v>3.89</v>
      </c>
      <c r="U46" s="84">
        <f ca="1">_xll.IMDP("IR", $C46, U$5, $H$2)</f>
        <v>3.895</v>
      </c>
      <c r="V46" s="85">
        <f ca="1">_xll.IMDP("IR", $C46, V$5, $H$2)</f>
        <v>3.887</v>
      </c>
    </row>
    <row r="47" spans="1:22" x14ac:dyDescent="0.25">
      <c r="A47" s="31"/>
      <c r="B47" s="98" t="str">
        <f t="shared" si="0"/>
        <v>04004</v>
      </c>
      <c r="C47" s="99" t="str">
        <f t="shared" si="4"/>
        <v>BONDAVG04004</v>
      </c>
      <c r="D47" s="36">
        <v>4004</v>
      </c>
      <c r="E47" s="60" t="s">
        <v>40</v>
      </c>
      <c r="F47" s="60" t="s">
        <v>36</v>
      </c>
      <c r="G47" s="60"/>
      <c r="H47" s="10" t="str">
        <f t="shared" si="3"/>
        <v>대구도시공사</v>
      </c>
      <c r="I47" s="83">
        <f ca="1">_xll.IMDP("IR", $C47, I$5, $H$2)</f>
        <v>3.7090000000000001</v>
      </c>
      <c r="J47" s="84">
        <f ca="1">_xll.IMDP("IR", $C47, J$5, $H$2)</f>
        <v>3.7810000000000001</v>
      </c>
      <c r="K47" s="84">
        <f ca="1">_xll.IMDP("IR", $C47, K$5, $H$2)</f>
        <v>3.782</v>
      </c>
      <c r="L47" s="84">
        <f ca="1">_xll.IMDP("IR", $C47, L$5, $H$2)</f>
        <v>3.7679999999999998</v>
      </c>
      <c r="M47" s="84">
        <f ca="1">_xll.IMDP("IR", $C47, M$5, $H$2)</f>
        <v>3.863</v>
      </c>
      <c r="N47" s="84">
        <f ca="1">_xll.IMDP("IR", $C47, N$5, $H$2)</f>
        <v>3.8479999999999999</v>
      </c>
      <c r="O47" s="84">
        <f ca="1">_xll.IMDP("IR", $C47, O$5, $H$2)</f>
        <v>3.8530000000000002</v>
      </c>
      <c r="P47" s="84">
        <f ca="1">_xll.IMDP("IR", $C47, P$5, $H$2)</f>
        <v>3.8519999999999999</v>
      </c>
      <c r="Q47" s="84">
        <f ca="1">_xll.IMDP("IR", $C47, Q$5, $H$2)</f>
        <v>3.867</v>
      </c>
      <c r="R47" s="84">
        <f ca="1">_xll.IMDP("IR", $C47, R$5, $H$2)</f>
        <v>3.8410000000000002</v>
      </c>
      <c r="S47" s="84">
        <f ca="1">_xll.IMDP("IR", $C47, S$5, $H$2)</f>
        <v>3.8580000000000001</v>
      </c>
      <c r="T47" s="84">
        <f ca="1">_xll.IMDP("IR", $C47, T$5, $H$2)</f>
        <v>3.8839999999999999</v>
      </c>
      <c r="U47" s="84">
        <f ca="1">_xll.IMDP("IR", $C47, U$5, $H$2)</f>
        <v>3.8849999999999998</v>
      </c>
      <c r="V47" s="85">
        <f ca="1">_xll.IMDP("IR", $C47, V$5, $H$2)</f>
        <v>3.875</v>
      </c>
    </row>
    <row r="48" spans="1:22" x14ac:dyDescent="0.25">
      <c r="A48" s="31"/>
      <c r="B48" s="98" t="str">
        <f t="shared" si="0"/>
        <v>04908</v>
      </c>
      <c r="C48" s="99" t="str">
        <f t="shared" si="4"/>
        <v>BONDAVG04908</v>
      </c>
      <c r="D48" s="36">
        <v>4908</v>
      </c>
      <c r="E48" s="60" t="s">
        <v>41</v>
      </c>
      <c r="F48" s="60" t="s">
        <v>36</v>
      </c>
      <c r="G48" s="60"/>
      <c r="H48" s="10" t="str">
        <f t="shared" si="3"/>
        <v>대구도시철도공사</v>
      </c>
      <c r="I48" s="83">
        <f ca="1">_xll.IMDP("IR", $C48, I$5, $H$2)</f>
        <v>3.754</v>
      </c>
      <c r="J48" s="84">
        <f ca="1">_xll.IMDP("IR", $C48, J$5, $H$2)</f>
        <v>3.8330000000000002</v>
      </c>
      <c r="K48" s="84">
        <f ca="1">_xll.IMDP("IR", $C48, K$5, $H$2)</f>
        <v>3.8450000000000002</v>
      </c>
      <c r="L48" s="84">
        <f ca="1">_xll.IMDP("IR", $C48, L$5, $H$2)</f>
        <v>3.8290000000000002</v>
      </c>
      <c r="M48" s="84">
        <f ca="1">_xll.IMDP("IR", $C48, M$5, $H$2)</f>
        <v>3.9239999999999999</v>
      </c>
      <c r="N48" s="84">
        <f ca="1">_xll.IMDP("IR", $C48, N$5, $H$2)</f>
        <v>3.9180000000000001</v>
      </c>
      <c r="O48" s="84">
        <f ca="1">_xll.IMDP("IR", $C48, O$5, $H$2)</f>
        <v>3.9180000000000001</v>
      </c>
      <c r="P48" s="84">
        <f ca="1">_xll.IMDP("IR", $C48, P$5, $H$2)</f>
        <v>3.9119999999999999</v>
      </c>
      <c r="Q48" s="84">
        <f ca="1">_xll.IMDP("IR", $C48, Q$5, $H$2)</f>
        <v>3.9180000000000001</v>
      </c>
      <c r="R48" s="84">
        <f ca="1">_xll.IMDP("IR", $C48, R$5, $H$2)</f>
        <v>3.89</v>
      </c>
      <c r="S48" s="84">
        <f ca="1">_xll.IMDP("IR", $C48, S$5, $H$2)</f>
        <v>3.9039999999999999</v>
      </c>
      <c r="T48" s="84">
        <f ca="1">_xll.IMDP("IR", $C48, T$5, $H$2)</f>
        <v>3.919</v>
      </c>
      <c r="U48" s="84">
        <f ca="1">_xll.IMDP("IR", $C48, U$5, $H$2)</f>
        <v>3.915</v>
      </c>
      <c r="V48" s="85">
        <f ca="1">_xll.IMDP("IR", $C48, V$5, $H$2)</f>
        <v>3.91</v>
      </c>
    </row>
    <row r="49" spans="1:22" x14ac:dyDescent="0.25">
      <c r="A49" s="31"/>
      <c r="B49" s="98" t="str">
        <f t="shared" si="0"/>
        <v>04067</v>
      </c>
      <c r="C49" s="99" t="str">
        <f t="shared" si="4"/>
        <v>BONDAVG04067</v>
      </c>
      <c r="D49" s="36">
        <v>4067</v>
      </c>
      <c r="E49" s="60" t="s">
        <v>42</v>
      </c>
      <c r="F49" s="60" t="s">
        <v>36</v>
      </c>
      <c r="G49" s="60"/>
      <c r="H49" s="10" t="str">
        <f t="shared" si="3"/>
        <v>대전도시공사</v>
      </c>
      <c r="I49" s="83">
        <f ca="1">_xll.IMDP("IR", $C49, I$5, $H$2)</f>
        <v>3.6789999999999998</v>
      </c>
      <c r="J49" s="84">
        <f ca="1">_xll.IMDP("IR", $C49, J$5, $H$2)</f>
        <v>3.7559999999999998</v>
      </c>
      <c r="K49" s="84">
        <f ca="1">_xll.IMDP("IR", $C49, K$5, $H$2)</f>
        <v>3.7549999999999999</v>
      </c>
      <c r="L49" s="84">
        <f ca="1">_xll.IMDP("IR", $C49, L$5, $H$2)</f>
        <v>3.74</v>
      </c>
      <c r="M49" s="84">
        <f ca="1">_xll.IMDP("IR", $C49, M$5, $H$2)</f>
        <v>3.8330000000000002</v>
      </c>
      <c r="N49" s="84">
        <f ca="1">_xll.IMDP("IR", $C49, N$5, $H$2)</f>
        <v>3.8180000000000001</v>
      </c>
      <c r="O49" s="84">
        <f ca="1">_xll.IMDP("IR", $C49, O$5, $H$2)</f>
        <v>3.8210000000000002</v>
      </c>
      <c r="P49" s="84">
        <f ca="1">_xll.IMDP("IR", $C49, P$5, $H$2)</f>
        <v>3.819</v>
      </c>
      <c r="Q49" s="84">
        <f ca="1">_xll.IMDP("IR", $C49, Q$5, $H$2)</f>
        <v>3.8319999999999999</v>
      </c>
      <c r="R49" s="84">
        <f ca="1">_xll.IMDP("IR", $C49, R$5, $H$2)</f>
        <v>3.8029999999999999</v>
      </c>
      <c r="S49" s="84">
        <f ca="1">_xll.IMDP("IR", $C49, S$5, $H$2)</f>
        <v>3.8180000000000001</v>
      </c>
      <c r="T49" s="84">
        <f ca="1">_xll.IMDP("IR", $C49, T$5, $H$2)</f>
        <v>3.8420000000000001</v>
      </c>
      <c r="U49" s="84">
        <f ca="1">_xll.IMDP("IR", $C49, U$5, $H$2)</f>
        <v>3.8319999999999999</v>
      </c>
      <c r="V49" s="85">
        <f ca="1">_xll.IMDP("IR", $C49, V$5, $H$2)</f>
        <v>3.831</v>
      </c>
    </row>
    <row r="50" spans="1:22" x14ac:dyDescent="0.25">
      <c r="A50" s="31"/>
      <c r="B50" s="98" t="str">
        <f t="shared" si="0"/>
        <v>04021</v>
      </c>
      <c r="C50" s="99" t="str">
        <f t="shared" si="4"/>
        <v>BONDAVG04021</v>
      </c>
      <c r="D50" s="36">
        <v>4021</v>
      </c>
      <c r="E50" s="60" t="s">
        <v>43</v>
      </c>
      <c r="F50" s="60" t="s">
        <v>36</v>
      </c>
      <c r="G50" s="60"/>
      <c r="H50" s="10" t="str">
        <f t="shared" si="3"/>
        <v>부산도시공사</v>
      </c>
      <c r="I50" s="83">
        <f ca="1">_xll.IMDP("IR", $C50, I$5, $H$2)</f>
        <v>3.665</v>
      </c>
      <c r="J50" s="84">
        <f ca="1">_xll.IMDP("IR", $C50, J$5, $H$2)</f>
        <v>3.74</v>
      </c>
      <c r="K50" s="84">
        <f ca="1">_xll.IMDP("IR", $C50, K$5, $H$2)</f>
        <v>3.7370000000000001</v>
      </c>
      <c r="L50" s="84">
        <f ca="1">_xll.IMDP("IR", $C50, L$5, $H$2)</f>
        <v>3.7210000000000001</v>
      </c>
      <c r="M50" s="84">
        <f ca="1">_xll.IMDP("IR", $C50, M$5, $H$2)</f>
        <v>3.8159999999999998</v>
      </c>
      <c r="N50" s="84">
        <f ca="1">_xll.IMDP("IR", $C50, N$5, $H$2)</f>
        <v>3.8039999999999998</v>
      </c>
      <c r="O50" s="84">
        <f ca="1">_xll.IMDP("IR", $C50, O$5, $H$2)</f>
        <v>3.806</v>
      </c>
      <c r="P50" s="84">
        <f ca="1">_xll.IMDP("IR", $C50, P$5, $H$2)</f>
        <v>3.802</v>
      </c>
      <c r="Q50" s="84">
        <f ca="1">_xll.IMDP("IR", $C50, Q$5, $H$2)</f>
        <v>3.8090000000000002</v>
      </c>
      <c r="R50" s="84">
        <f ca="1">_xll.IMDP("IR", $C50, R$5, $H$2)</f>
        <v>3.7810000000000001</v>
      </c>
      <c r="S50" s="84">
        <f ca="1">_xll.IMDP("IR", $C50, S$5, $H$2)</f>
        <v>3.798</v>
      </c>
      <c r="T50" s="84">
        <f ca="1">_xll.IMDP("IR", $C50, T$5, $H$2)</f>
        <v>3.82</v>
      </c>
      <c r="U50" s="84">
        <f ca="1">_xll.IMDP("IR", $C50, U$5, $H$2)</f>
        <v>3.8</v>
      </c>
      <c r="V50" s="85">
        <f ca="1">_xll.IMDP("IR", $C50, V$5, $H$2)</f>
        <v>3.81</v>
      </c>
    </row>
    <row r="51" spans="1:22" x14ac:dyDescent="0.25">
      <c r="A51" s="31"/>
      <c r="B51" s="98" t="str">
        <f t="shared" si="0"/>
        <v>13988</v>
      </c>
      <c r="C51" s="99" t="str">
        <f t="shared" si="4"/>
        <v>BONDAVG13988</v>
      </c>
      <c r="D51" s="36">
        <v>13988</v>
      </c>
      <c r="E51" s="60" t="s">
        <v>67</v>
      </c>
      <c r="F51" s="60" t="s">
        <v>36</v>
      </c>
      <c r="G51" s="60"/>
      <c r="H51" s="10" t="str">
        <f t="shared" si="3"/>
        <v>울산도시공사</v>
      </c>
      <c r="I51" s="83">
        <f ca="1">_xll.IMDP("IR", $C51, I$5, $H$2)</f>
        <v>3.6869999999999998</v>
      </c>
      <c r="J51" s="84">
        <f ca="1">_xll.IMDP("IR", $C51, J$5, $H$2)</f>
        <v>3.7610000000000001</v>
      </c>
      <c r="K51" s="84">
        <f ca="1">_xll.IMDP("IR", $C51, K$5, $H$2)</f>
        <v>3.758</v>
      </c>
      <c r="L51" s="84">
        <f ca="1">_xll.IMDP("IR", $C51, L$5, $H$2)</f>
        <v>3.7480000000000002</v>
      </c>
      <c r="M51" s="84">
        <f ca="1">_xll.IMDP("IR", $C51, M$5, $H$2)</f>
        <v>3.843</v>
      </c>
      <c r="N51" s="84">
        <f ca="1">_xll.IMDP("IR", $C51, N$5, $H$2)</f>
        <v>3.8290000000000002</v>
      </c>
      <c r="O51" s="84">
        <f ca="1">_xll.IMDP("IR", $C51, O$5, $H$2)</f>
        <v>3.8410000000000002</v>
      </c>
      <c r="P51" s="84">
        <f ca="1">_xll.IMDP("IR", $C51, P$5, $H$2)</f>
        <v>3.839</v>
      </c>
      <c r="Q51" s="84">
        <f ca="1">_xll.IMDP("IR", $C51, Q$5, $H$2)</f>
        <v>3.85</v>
      </c>
      <c r="R51" s="84">
        <f ca="1">_xll.IMDP("IR", $C51, R$5, $H$2)</f>
        <v>3.823</v>
      </c>
      <c r="S51" s="84">
        <f ca="1">_xll.IMDP("IR", $C51, S$5, $H$2)</f>
        <v>3.8410000000000002</v>
      </c>
      <c r="T51" s="84">
        <f ca="1">_xll.IMDP("IR", $C51, T$5, $H$2)</f>
        <v>3.8690000000000002</v>
      </c>
      <c r="U51" s="84">
        <f ca="1">_xll.IMDP("IR", $C51, U$5, $H$2)</f>
        <v>3.8570000000000002</v>
      </c>
      <c r="V51" s="85">
        <f ca="1">_xll.IMDP("IR", $C51, V$5, $H$2)</f>
        <v>3.86</v>
      </c>
    </row>
    <row r="52" spans="1:22" x14ac:dyDescent="0.25">
      <c r="A52" s="31"/>
      <c r="B52" s="98" t="str">
        <f t="shared" si="0"/>
        <v>50879</v>
      </c>
      <c r="C52" s="99" t="str">
        <f t="shared" si="4"/>
        <v>BONDAVG50879</v>
      </c>
      <c r="D52" s="36">
        <v>50879</v>
      </c>
      <c r="E52" s="60" t="s">
        <v>82</v>
      </c>
      <c r="F52" s="60" t="s">
        <v>36</v>
      </c>
      <c r="G52" s="60"/>
      <c r="H52" s="10" t="str">
        <f t="shared" si="3"/>
        <v>인천교통공사</v>
      </c>
      <c r="I52" s="83">
        <f ca="1">_xll.IMDP("IR", $C52, I$5, $H$2)</f>
        <v>3.714</v>
      </c>
      <c r="J52" s="84">
        <f ca="1">_xll.IMDP("IR", $C52, J$5, $H$2)</f>
        <v>3.7879999999999998</v>
      </c>
      <c r="K52" s="84">
        <f ca="1">_xll.IMDP("IR", $C52, K$5, $H$2)</f>
        <v>3.7850000000000001</v>
      </c>
      <c r="L52" s="84">
        <f ca="1">_xll.IMDP("IR", $C52, L$5, $H$2)</f>
        <v>3.7679999999999998</v>
      </c>
      <c r="M52" s="84">
        <f ca="1">_xll.IMDP("IR", $C52, M$5, $H$2)</f>
        <v>3.863</v>
      </c>
      <c r="N52" s="84">
        <f ca="1">_xll.IMDP("IR", $C52, N$5, $H$2)</f>
        <v>3.8530000000000002</v>
      </c>
      <c r="O52" s="84">
        <f ca="1">_xll.IMDP("IR", $C52, O$5, $H$2)</f>
        <v>3.8580000000000001</v>
      </c>
      <c r="P52" s="84">
        <f ca="1">_xll.IMDP("IR", $C52, P$5, $H$2)</f>
        <v>3.86</v>
      </c>
      <c r="Q52" s="84">
        <f ca="1">_xll.IMDP("IR", $C52, Q$5, $H$2)</f>
        <v>3.8780000000000001</v>
      </c>
      <c r="R52" s="84">
        <f ca="1">_xll.IMDP("IR", $C52, R$5, $H$2)</f>
        <v>3.855</v>
      </c>
      <c r="S52" s="84">
        <f ca="1">_xll.IMDP("IR", $C52, S$5, $H$2)</f>
        <v>3.8740000000000001</v>
      </c>
      <c r="T52" s="84">
        <f ca="1">_xll.IMDP("IR", $C52, T$5, $H$2)</f>
        <v>3.9</v>
      </c>
      <c r="U52" s="84">
        <f ca="1">_xll.IMDP("IR", $C52, U$5, $H$2)</f>
        <v>3.8969999999999998</v>
      </c>
      <c r="V52" s="85">
        <f ca="1">_xll.IMDP("IR", $C52, V$5, $H$2)</f>
        <v>3.8940000000000001</v>
      </c>
    </row>
    <row r="53" spans="1:22" x14ac:dyDescent="0.25">
      <c r="A53" s="31"/>
      <c r="B53" s="98" t="str">
        <f t="shared" si="0"/>
        <v>08573</v>
      </c>
      <c r="C53" s="99" t="str">
        <f t="shared" si="4"/>
        <v>BONDAVG08573</v>
      </c>
      <c r="D53" s="36">
        <v>8573</v>
      </c>
      <c r="E53" s="60" t="s">
        <v>44</v>
      </c>
      <c r="F53" s="60" t="s">
        <v>36</v>
      </c>
      <c r="G53" s="60"/>
      <c r="H53" s="10" t="str">
        <f t="shared" si="3"/>
        <v>인천도시공사</v>
      </c>
      <c r="I53" s="83">
        <f ca="1">_xll.IMDP("IR", $C53, I$5, $H$2)</f>
        <v>3.7589999999999999</v>
      </c>
      <c r="J53" s="84">
        <f ca="1">_xll.IMDP("IR", $C53, J$5, $H$2)</f>
        <v>3.8330000000000002</v>
      </c>
      <c r="K53" s="84">
        <f ca="1">_xll.IMDP("IR", $C53, K$5, $H$2)</f>
        <v>3.8319999999999999</v>
      </c>
      <c r="L53" s="84">
        <f ca="1">_xll.IMDP("IR", $C53, L$5, $H$2)</f>
        <v>3.8260000000000001</v>
      </c>
      <c r="M53" s="84">
        <f ca="1">_xll.IMDP("IR", $C53, M$5, $H$2)</f>
        <v>3.9380000000000002</v>
      </c>
      <c r="N53" s="84">
        <f ca="1">_xll.IMDP("IR", $C53, N$5, $H$2)</f>
        <v>3.9380000000000002</v>
      </c>
      <c r="O53" s="84">
        <f ca="1">_xll.IMDP("IR", $C53, O$5, $H$2)</f>
        <v>3.944</v>
      </c>
      <c r="P53" s="84">
        <f ca="1">_xll.IMDP("IR", $C53, P$5, $H$2)</f>
        <v>3.95</v>
      </c>
      <c r="Q53" s="84">
        <f ca="1">_xll.IMDP("IR", $C53, Q$5, $H$2)</f>
        <v>3.9630000000000001</v>
      </c>
      <c r="R53" s="84">
        <f ca="1">_xll.IMDP("IR", $C53, R$5, $H$2)</f>
        <v>3.9359999999999999</v>
      </c>
      <c r="S53" s="84">
        <f ca="1">_xll.IMDP("IR", $C53, S$5, $H$2)</f>
        <v>3.956</v>
      </c>
      <c r="T53" s="84">
        <f ca="1">_xll.IMDP("IR", $C53, T$5, $H$2)</f>
        <v>3.9790000000000001</v>
      </c>
      <c r="U53" s="84">
        <f ca="1">_xll.IMDP("IR", $C53, U$5, $H$2)</f>
        <v>3.956</v>
      </c>
      <c r="V53" s="85">
        <f ca="1">_xll.IMDP("IR", $C53, V$5, $H$2)</f>
        <v>3.9630000000000001</v>
      </c>
    </row>
    <row r="54" spans="1:22" x14ac:dyDescent="0.25">
      <c r="A54" s="31"/>
      <c r="B54" s="98" t="str">
        <f t="shared" si="0"/>
        <v>12455</v>
      </c>
      <c r="C54" s="99" t="str">
        <f t="shared" si="4"/>
        <v>BONDAVG12455</v>
      </c>
      <c r="D54" s="36">
        <v>12455</v>
      </c>
      <c r="E54" s="60" t="s">
        <v>45</v>
      </c>
      <c r="F54" s="60" t="s">
        <v>36</v>
      </c>
      <c r="G54" s="60"/>
      <c r="H54" s="10" t="str">
        <f t="shared" si="3"/>
        <v>전남개발공사</v>
      </c>
      <c r="I54" s="83">
        <f ca="1">_xll.IMDP("IR", $C54, I$5, $H$2)</f>
        <v>3.6739999999999999</v>
      </c>
      <c r="J54" s="84">
        <f ca="1">_xll.IMDP("IR", $C54, J$5, $H$2)</f>
        <v>3.7480000000000002</v>
      </c>
      <c r="K54" s="84">
        <f ca="1">_xll.IMDP("IR", $C54, K$5, $H$2)</f>
        <v>3.746</v>
      </c>
      <c r="L54" s="84">
        <f ca="1">_xll.IMDP("IR", $C54, L$5, $H$2)</f>
        <v>3.7280000000000002</v>
      </c>
      <c r="M54" s="84">
        <f ca="1">_xll.IMDP("IR", $C54, M$5, $H$2)</f>
        <v>3.823</v>
      </c>
      <c r="N54" s="84">
        <f ca="1">_xll.IMDP("IR", $C54, N$5, $H$2)</f>
        <v>3.8069999999999999</v>
      </c>
      <c r="O54" s="84">
        <f ca="1">_xll.IMDP("IR", $C54, O$5, $H$2)</f>
        <v>3.8140000000000001</v>
      </c>
      <c r="P54" s="84">
        <f ca="1">_xll.IMDP("IR", $C54, P$5, $H$2)</f>
        <v>3.81</v>
      </c>
      <c r="Q54" s="84">
        <f ca="1">_xll.IMDP("IR", $C54, Q$5, $H$2)</f>
        <v>3.8210000000000002</v>
      </c>
      <c r="R54" s="84">
        <f ca="1">_xll.IMDP("IR", $C54, R$5, $H$2)</f>
        <v>3.798</v>
      </c>
      <c r="S54" s="84">
        <f ca="1">_xll.IMDP("IR", $C54, S$5, $H$2)</f>
        <v>3.8180000000000001</v>
      </c>
      <c r="T54" s="84">
        <f ca="1">_xll.IMDP("IR", $C54, T$5, $H$2)</f>
        <v>3.8460000000000001</v>
      </c>
      <c r="U54" s="84">
        <f ca="1">_xll.IMDP("IR", $C54, U$5, $H$2)</f>
        <v>3.835</v>
      </c>
      <c r="V54" s="85">
        <f ca="1">_xll.IMDP("IR", $C54, V$5, $H$2)</f>
        <v>3.839</v>
      </c>
    </row>
    <row r="55" spans="1:22" x14ac:dyDescent="0.25">
      <c r="A55" s="31"/>
      <c r="B55" s="98" t="str">
        <f t="shared" si="0"/>
        <v>12544</v>
      </c>
      <c r="C55" s="99" t="str">
        <f t="shared" si="4"/>
        <v>BONDAVG12544</v>
      </c>
      <c r="D55" s="36">
        <v>12544</v>
      </c>
      <c r="E55" s="60" t="s">
        <v>46</v>
      </c>
      <c r="F55" s="60" t="s">
        <v>36</v>
      </c>
      <c r="G55" s="60"/>
      <c r="H55" s="10" t="str">
        <f t="shared" si="3"/>
        <v>충북개발공사</v>
      </c>
      <c r="I55" s="83">
        <f ca="1">_xll.IMDP("IR", $C55, I$5, $H$2)</f>
        <v>3.6869999999999998</v>
      </c>
      <c r="J55" s="84">
        <f ca="1">_xll.IMDP("IR", $C55, J$5, $H$2)</f>
        <v>3.76</v>
      </c>
      <c r="K55" s="84">
        <f ca="1">_xll.IMDP("IR", $C55, K$5, $H$2)</f>
        <v>3.758</v>
      </c>
      <c r="L55" s="84">
        <f ca="1">_xll.IMDP("IR", $C55, L$5, $H$2)</f>
        <v>3.7410000000000001</v>
      </c>
      <c r="M55" s="84">
        <f ca="1">_xll.IMDP("IR", $C55, M$5, $H$2)</f>
        <v>3.8380000000000001</v>
      </c>
      <c r="N55" s="84">
        <f ca="1">_xll.IMDP("IR", $C55, N$5, $H$2)</f>
        <v>3.8239999999999998</v>
      </c>
      <c r="O55" s="84">
        <f ca="1">_xll.IMDP("IR", $C55, O$5, $H$2)</f>
        <v>3.8279999999999998</v>
      </c>
      <c r="P55" s="84">
        <f ca="1">_xll.IMDP("IR", $C55, P$5, $H$2)</f>
        <v>3.8239999999999998</v>
      </c>
      <c r="Q55" s="84">
        <f ca="1">_xll.IMDP("IR", $C55, Q$5, $H$2)</f>
        <v>3.843</v>
      </c>
      <c r="R55" s="84">
        <f ca="1">_xll.IMDP("IR", $C55, R$5, $H$2)</f>
        <v>3.82</v>
      </c>
      <c r="S55" s="84">
        <f ca="1">_xll.IMDP("IR", $C55, S$5, $H$2)</f>
        <v>3.8410000000000002</v>
      </c>
      <c r="T55" s="84">
        <f ca="1">_xll.IMDP("IR", $C55, T$5, $H$2)</f>
        <v>3.8690000000000002</v>
      </c>
      <c r="U55" s="84">
        <f ca="1">_xll.IMDP("IR", $C55, U$5, $H$2)</f>
        <v>3.85</v>
      </c>
      <c r="V55" s="85">
        <f ca="1">_xll.IMDP("IR", $C55, V$5, $H$2)</f>
        <v>3.86</v>
      </c>
    </row>
    <row r="56" spans="1:22" x14ac:dyDescent="0.25">
      <c r="A56" s="31"/>
      <c r="B56" s="98" t="str">
        <f t="shared" si="0"/>
        <v>13509</v>
      </c>
      <c r="C56" s="99" t="str">
        <f t="shared" si="4"/>
        <v>BONDAVG13509</v>
      </c>
      <c r="D56" s="36">
        <v>13509</v>
      </c>
      <c r="E56" s="60" t="s">
        <v>69</v>
      </c>
      <c r="F56" s="60" t="s">
        <v>36</v>
      </c>
      <c r="G56" s="60"/>
      <c r="H56" s="8" t="str">
        <f t="shared" si="3"/>
        <v>충청남도개발공사</v>
      </c>
      <c r="I56" s="78">
        <f ca="1">_xll.IMDP("IR", $C56, I$5, $H$2)</f>
        <v>3.6749999999999998</v>
      </c>
      <c r="J56" s="79">
        <f ca="1">_xll.IMDP("IR", $C56, J$5, $H$2)</f>
        <v>3.75</v>
      </c>
      <c r="K56" s="79">
        <f ca="1">_xll.IMDP("IR", $C56, K$5, $H$2)</f>
        <v>3.7480000000000002</v>
      </c>
      <c r="L56" s="79">
        <f ca="1">_xll.IMDP("IR", $C56, L$5, $H$2)</f>
        <v>3.7309999999999999</v>
      </c>
      <c r="M56" s="79">
        <f ca="1">_xll.IMDP("IR", $C56, M$5, $H$2)</f>
        <v>3.831</v>
      </c>
      <c r="N56" s="79">
        <f ca="1">_xll.IMDP("IR", $C56, N$5, $H$2)</f>
        <v>3.8159999999999998</v>
      </c>
      <c r="O56" s="79">
        <f ca="1">_xll.IMDP("IR", $C56, O$5, $H$2)</f>
        <v>3.823</v>
      </c>
      <c r="P56" s="79">
        <f ca="1">_xll.IMDP("IR", $C56, P$5, $H$2)</f>
        <v>3.819</v>
      </c>
      <c r="Q56" s="79">
        <f ca="1">_xll.IMDP("IR", $C56, Q$5, $H$2)</f>
        <v>3.8340000000000001</v>
      </c>
      <c r="R56" s="79">
        <f ca="1">_xll.IMDP("IR", $C56, R$5, $H$2)</f>
        <v>3.8109999999999999</v>
      </c>
      <c r="S56" s="79">
        <f ca="1">_xll.IMDP("IR", $C56, S$5, $H$2)</f>
        <v>3.831</v>
      </c>
      <c r="T56" s="79">
        <f ca="1">_xll.IMDP("IR", $C56, T$5, $H$2)</f>
        <v>3.859</v>
      </c>
      <c r="U56" s="79">
        <f ca="1">_xll.IMDP("IR", $C56, U$5, $H$2)</f>
        <v>3.8420000000000001</v>
      </c>
      <c r="V56" s="80">
        <f ca="1">_xll.IMDP("IR", $C56, V$5, $H$2)</f>
        <v>3.85</v>
      </c>
    </row>
    <row r="57" spans="1:22" x14ac:dyDescent="0.25">
      <c r="A57" s="31"/>
      <c r="B57" s="98" t="str">
        <f t="shared" si="0"/>
        <v>00000</v>
      </c>
      <c r="C57" s="99" t="s">
        <v>93</v>
      </c>
      <c r="D57" s="36"/>
      <c r="E57" s="60" t="s">
        <v>83</v>
      </c>
      <c r="F57" s="60" t="s">
        <v>83</v>
      </c>
      <c r="G57" s="60"/>
      <c r="H57" s="6" t="str">
        <f t="shared" si="3"/>
        <v>공사/공단채 AA0</v>
      </c>
      <c r="I57" s="73">
        <f ca="1">_xll.IMDP("IR", $C57, I$5, $H$2)</f>
        <v>3.76</v>
      </c>
      <c r="J57" s="73">
        <f ca="1">_xll.IMDP("IR", $C57, J$5, $H$2)</f>
        <v>3.8370000000000002</v>
      </c>
      <c r="K57" s="73">
        <f ca="1">_xll.IMDP("IR", $C57, K$5, $H$2)</f>
        <v>3.8519999999999999</v>
      </c>
      <c r="L57" s="73">
        <f ca="1">_xll.IMDP("IR", $C57, L$5, $H$2)</f>
        <v>3.8570000000000002</v>
      </c>
      <c r="M57" s="73">
        <f ca="1">_xll.IMDP("IR", $C57, M$5, $H$2)</f>
        <v>3.956</v>
      </c>
      <c r="N57" s="73">
        <f ca="1">_xll.IMDP("IR", $C57, N$5, $H$2)</f>
        <v>3.9420000000000002</v>
      </c>
      <c r="O57" s="73">
        <f ca="1">_xll.IMDP("IR", $C57, O$5, $H$2)</f>
        <v>3.9489999999999998</v>
      </c>
      <c r="P57" s="73">
        <f ca="1">_xll.IMDP("IR", $C57, P$5, $H$2)</f>
        <v>3.9430000000000001</v>
      </c>
      <c r="Q57" s="73">
        <f ca="1">_xll.IMDP("IR", $C57, Q$5, $H$2)</f>
        <v>3.9529999999999998</v>
      </c>
      <c r="R57" s="73">
        <f ca="1">_xll.IMDP("IR", $C57, R$5, $H$2)</f>
        <v>3.9289999999999998</v>
      </c>
      <c r="S57" s="73">
        <f ca="1">_xll.IMDP("IR", $C57, S$5, $H$2)</f>
        <v>3.956</v>
      </c>
      <c r="T57" s="73">
        <f ca="1">_xll.IMDP("IR", $C57, T$5, $H$2)</f>
        <v>3.992</v>
      </c>
      <c r="U57" s="73">
        <f ca="1">_xll.IMDP("IR", $C57, U$5, $H$2)</f>
        <v>4.0170000000000003</v>
      </c>
      <c r="V57" s="74">
        <f ca="1">_xll.IMDP("IR", $C57, V$5, $H$2)</f>
        <v>4.0039999999999996</v>
      </c>
    </row>
    <row r="58" spans="1:22" x14ac:dyDescent="0.25">
      <c r="A58" s="31"/>
      <c r="B58" s="98" t="str">
        <f t="shared" si="0"/>
        <v>64605</v>
      </c>
      <c r="C58" s="99" t="str">
        <f t="shared" ref="C58:C63" si="5">"BONDAVG"&amp;B58</f>
        <v>BONDAVG64605</v>
      </c>
      <c r="D58" s="36">
        <v>64605</v>
      </c>
      <c r="E58" s="60" t="s">
        <v>84</v>
      </c>
      <c r="F58" s="60" t="s">
        <v>83</v>
      </c>
      <c r="G58" s="60"/>
      <c r="H58" s="7" t="str">
        <f t="shared" si="3"/>
        <v>고양도시관리공사</v>
      </c>
      <c r="I58" s="75">
        <f ca="1">_xll.IMDP("IR", $C58, I$5, $H$2)</f>
        <v>3.9350000000000001</v>
      </c>
      <c r="J58" s="76">
        <f ca="1">_xll.IMDP("IR", $C58, J$5, $H$2)</f>
        <v>4.0069999999999997</v>
      </c>
      <c r="K58" s="76">
        <f ca="1">_xll.IMDP("IR", $C58, K$5, $H$2)</f>
        <v>4.0149999999999997</v>
      </c>
      <c r="L58" s="76">
        <f ca="1">_xll.IMDP("IR", $C58, L$5, $H$2)</f>
        <v>4.0270000000000001</v>
      </c>
      <c r="M58" s="76">
        <f ca="1">_xll.IMDP("IR", $C58, M$5, $H$2)</f>
        <v>4.1369999999999996</v>
      </c>
      <c r="N58" s="76">
        <f ca="1">_xll.IMDP("IR", $C58, N$5, $H$2)</f>
        <v>4.1390000000000002</v>
      </c>
      <c r="O58" s="76">
        <f ca="1">_xll.IMDP("IR", $C58, O$5, $H$2)</f>
        <v>4.17</v>
      </c>
      <c r="P58" s="76">
        <f ca="1">_xll.IMDP("IR", $C58, P$5, $H$2)</f>
        <v>4.1840000000000002</v>
      </c>
      <c r="Q58" s="76">
        <f ca="1">_xll.IMDP("IR", $C58, Q$5, $H$2)</f>
        <v>4.194</v>
      </c>
      <c r="R58" s="76">
        <f ca="1">_xll.IMDP("IR", $C58, R$5, $H$2)</f>
        <v>4.1689999999999996</v>
      </c>
      <c r="S58" s="76">
        <f ca="1">_xll.IMDP("IR", $C58, S$5, $H$2)</f>
        <v>4.1970000000000001</v>
      </c>
      <c r="T58" s="76">
        <f ca="1">_xll.IMDP("IR", $C58, T$5, $H$2)</f>
        <v>4.234</v>
      </c>
      <c r="U58" s="76">
        <f ca="1">_xll.IMDP("IR", $C58, U$5, $H$2)</f>
        <v>4.2290000000000001</v>
      </c>
      <c r="V58" s="77">
        <f ca="1">_xll.IMDP("IR", $C58, V$5, $H$2)</f>
        <v>4.2489999999999997</v>
      </c>
    </row>
    <row r="59" spans="1:22" x14ac:dyDescent="0.25">
      <c r="A59" s="31"/>
      <c r="B59" s="98" t="str">
        <f t="shared" si="0"/>
        <v>62757</v>
      </c>
      <c r="C59" s="99" t="str">
        <f t="shared" si="5"/>
        <v>BONDAVG62757</v>
      </c>
      <c r="D59" s="36">
        <v>62757</v>
      </c>
      <c r="E59" s="60" t="s">
        <v>85</v>
      </c>
      <c r="F59" s="60" t="s">
        <v>83</v>
      </c>
      <c r="G59" s="60"/>
      <c r="H59" s="10" t="str">
        <f t="shared" si="3"/>
        <v>과천도시공사</v>
      </c>
      <c r="I59" s="83">
        <f ca="1">_xll.IMDP("IR", $C59, I$5, $H$2)</f>
        <v>4.01</v>
      </c>
      <c r="J59" s="84">
        <f ca="1">_xll.IMDP("IR", $C59, J$5, $H$2)</f>
        <v>4.0960000000000001</v>
      </c>
      <c r="K59" s="84">
        <f ca="1">_xll.IMDP("IR", $C59, K$5, $H$2)</f>
        <v>4.1159999999999997</v>
      </c>
      <c r="L59" s="84">
        <f ca="1">_xll.IMDP("IR", $C59, L$5, $H$2)</f>
        <v>4.1269999999999998</v>
      </c>
      <c r="M59" s="84">
        <f ca="1">_xll.IMDP("IR", $C59, M$5, $H$2)</f>
        <v>4.2329999999999997</v>
      </c>
      <c r="N59" s="84">
        <f ca="1">_xll.IMDP("IR", $C59, N$5, $H$2)</f>
        <v>4.2130000000000001</v>
      </c>
      <c r="O59" s="84">
        <f ca="1">_xll.IMDP("IR", $C59, O$5, $H$2)</f>
        <v>4.22</v>
      </c>
      <c r="P59" s="84">
        <f ca="1">_xll.IMDP("IR", $C59, P$5, $H$2)</f>
        <v>4.218</v>
      </c>
      <c r="Q59" s="84">
        <f ca="1">_xll.IMDP("IR", $C59, Q$5, $H$2)</f>
        <v>4.2279999999999998</v>
      </c>
      <c r="R59" s="84">
        <f ca="1">_xll.IMDP("IR", $C59, R$5, $H$2)</f>
        <v>4.2050000000000001</v>
      </c>
      <c r="S59" s="84">
        <f ca="1">_xll.IMDP("IR", $C59, S$5, $H$2)</f>
        <v>4.2320000000000002</v>
      </c>
      <c r="T59" s="84">
        <f ca="1">_xll.IMDP("IR", $C59, T$5, $H$2)</f>
        <v>4.2670000000000003</v>
      </c>
      <c r="U59" s="84">
        <f ca="1">_xll.IMDP("IR", $C59, U$5, $H$2)</f>
        <v>4.2789999999999999</v>
      </c>
      <c r="V59" s="85">
        <f ca="1">_xll.IMDP("IR", $C59, V$5, $H$2)</f>
        <v>4.2789999999999999</v>
      </c>
    </row>
    <row r="60" spans="1:22" x14ac:dyDescent="0.25">
      <c r="A60" s="31"/>
      <c r="B60" s="98" t="str">
        <f t="shared" ref="B60:B64" si="6">TEXT(D60,"00000")</f>
        <v>56601</v>
      </c>
      <c r="C60" s="99" t="str">
        <f t="shared" si="5"/>
        <v>BONDAVG56601</v>
      </c>
      <c r="D60" s="91">
        <v>56601</v>
      </c>
      <c r="E60" s="90" t="s">
        <v>86</v>
      </c>
      <c r="F60" s="60" t="s">
        <v>83</v>
      </c>
      <c r="H60" s="8" t="str">
        <f t="shared" si="3"/>
        <v>김해시도시개발공사</v>
      </c>
      <c r="I60" s="78">
        <f ca="1">_xll.IMDP("IR", $C60, I$5, $H$2)</f>
        <v>3.806</v>
      </c>
      <c r="J60" s="79">
        <f ca="1">_xll.IMDP("IR", $C60, J$5, $H$2)</f>
        <v>3.8879999999999999</v>
      </c>
      <c r="K60" s="79">
        <f ca="1">_xll.IMDP("IR", $C60, K$5, $H$2)</f>
        <v>3.9060000000000001</v>
      </c>
      <c r="L60" s="79">
        <f ca="1">_xll.IMDP("IR", $C60, L$5, $H$2)</f>
        <v>3.92</v>
      </c>
      <c r="M60" s="79">
        <f ca="1">_xll.IMDP("IR", $C60, M$5, $H$2)</f>
        <v>4.0209999999999999</v>
      </c>
      <c r="N60" s="79">
        <f ca="1">_xll.IMDP("IR", $C60, N$5, $H$2)</f>
        <v>4.0069999999999997</v>
      </c>
      <c r="O60" s="79">
        <f ca="1">_xll.IMDP("IR", $C60, O$5, $H$2)</f>
        <v>4.0119999999999996</v>
      </c>
      <c r="P60" s="79">
        <f ca="1">_xll.IMDP("IR", $C60, P$5, $H$2)</f>
        <v>4.0119999999999996</v>
      </c>
      <c r="Q60" s="79">
        <f ca="1">_xll.IMDP("IR", $C60, Q$5, $H$2)</f>
        <v>4.0449999999999999</v>
      </c>
      <c r="R60" s="79">
        <f ca="1">_xll.IMDP("IR", $C60, R$5, $H$2)</f>
        <v>4.0309999999999997</v>
      </c>
      <c r="S60" s="79">
        <f ca="1">_xll.IMDP("IR", $C60, S$5, $H$2)</f>
        <v>4.0620000000000003</v>
      </c>
      <c r="T60" s="79">
        <f ca="1">_xll.IMDP("IR", $C60, T$5, $H$2)</f>
        <v>4.0960000000000001</v>
      </c>
      <c r="U60" s="79">
        <f ca="1">_xll.IMDP("IR", $C60, U$5, $H$2)</f>
        <v>4.1100000000000003</v>
      </c>
      <c r="V60" s="80">
        <f ca="1">_xll.IMDP("IR", $C60, V$5, $H$2)</f>
        <v>4.1180000000000003</v>
      </c>
    </row>
    <row r="61" spans="1:22" x14ac:dyDescent="0.25">
      <c r="A61" s="31"/>
      <c r="B61" s="98" t="str">
        <f t="shared" si="6"/>
        <v>64349</v>
      </c>
      <c r="C61" s="99" t="str">
        <f t="shared" si="5"/>
        <v>BONDAVG64349</v>
      </c>
      <c r="D61" s="91">
        <v>64349</v>
      </c>
      <c r="E61" s="90" t="s">
        <v>87</v>
      </c>
      <c r="F61" s="60" t="s">
        <v>83</v>
      </c>
      <c r="H61" s="62" t="str">
        <f t="shared" si="3"/>
        <v>시흥도시공사</v>
      </c>
      <c r="I61" s="86">
        <f ca="1">_xll.IMDP("IR", $C61, I$5, $H$2)</f>
        <v>3.851</v>
      </c>
      <c r="J61" s="86">
        <f ca="1">_xll.IMDP("IR", $C61, J$5, $H$2)</f>
        <v>3.96</v>
      </c>
      <c r="K61" s="86">
        <f ca="1">_xll.IMDP("IR", $C61, K$5, $H$2)</f>
        <v>3.9910000000000001</v>
      </c>
      <c r="L61" s="86">
        <f ca="1">_xll.IMDP("IR", $C61, L$5, $H$2)</f>
        <v>4.0010000000000003</v>
      </c>
      <c r="M61" s="86">
        <f ca="1">_xll.IMDP("IR", $C61, M$5, $H$2)</f>
        <v>4.1020000000000003</v>
      </c>
      <c r="N61" s="86">
        <f ca="1">_xll.IMDP("IR", $C61, N$5, $H$2)</f>
        <v>4.0910000000000002</v>
      </c>
      <c r="O61" s="86">
        <f ca="1">_xll.IMDP("IR", $C61, O$5, $H$2)</f>
        <v>4.09</v>
      </c>
      <c r="P61" s="86">
        <f ca="1">_xll.IMDP("IR", $C61, P$5, $H$2)</f>
        <v>4.085</v>
      </c>
      <c r="Q61" s="86">
        <f ca="1">_xll.IMDP("IR", $C61, Q$5, $H$2)</f>
        <v>4.1070000000000002</v>
      </c>
      <c r="R61" s="86">
        <f ca="1">_xll.IMDP("IR", $C61, R$5, $H$2)</f>
        <v>4.0810000000000004</v>
      </c>
      <c r="S61" s="86">
        <f ca="1">_xll.IMDP("IR", $C61, S$5, $H$2)</f>
        <v>4.1260000000000003</v>
      </c>
      <c r="T61" s="86">
        <f ca="1">_xll.IMDP("IR", $C61, T$5, $H$2)</f>
        <v>4.141</v>
      </c>
      <c r="U61" s="86">
        <f ca="1">_xll.IMDP("IR", $C61, U$5, $H$2)</f>
        <v>4.1849999999999996</v>
      </c>
      <c r="V61" s="87">
        <f ca="1">_xll.IMDP("IR", $C61, V$5, $H$2)</f>
        <v>4.173</v>
      </c>
    </row>
    <row r="62" spans="1:22" ht="16.5" x14ac:dyDescent="0.25">
      <c r="A62" s="31"/>
      <c r="B62" s="98" t="str">
        <f t="shared" si="6"/>
        <v>16253</v>
      </c>
      <c r="C62" s="99" t="str">
        <f t="shared" si="5"/>
        <v>BONDAVG16253</v>
      </c>
      <c r="D62" s="92">
        <v>16253</v>
      </c>
      <c r="E62" s="93" t="s">
        <v>47</v>
      </c>
      <c r="F62" s="60" t="s">
        <v>83</v>
      </c>
      <c r="G62" s="61"/>
      <c r="H62" s="62" t="str">
        <f t="shared" si="3"/>
        <v>평택도시공사</v>
      </c>
      <c r="I62" s="86">
        <f ca="1">_xll.IMDP("IR", $C62, I$5, $H$2)</f>
        <v>3.8109999999999999</v>
      </c>
      <c r="J62" s="86">
        <f ca="1">_xll.IMDP("IR", $C62, J$5, $H$2)</f>
        <v>3.8919999999999999</v>
      </c>
      <c r="K62" s="86">
        <f ca="1">_xll.IMDP("IR", $C62, K$5, $H$2)</f>
        <v>3.9089999999999998</v>
      </c>
      <c r="L62" s="86">
        <f ca="1">_xll.IMDP("IR", $C62, L$5, $H$2)</f>
        <v>3.9249999999999998</v>
      </c>
      <c r="M62" s="86">
        <f ca="1">_xll.IMDP("IR", $C62, M$5, $H$2)</f>
        <v>4.0259999999999998</v>
      </c>
      <c r="N62" s="86">
        <f ca="1">_xll.IMDP("IR", $C62, N$5, $H$2)</f>
        <v>4.016</v>
      </c>
      <c r="O62" s="86">
        <f ca="1">_xll.IMDP("IR", $C62, O$5, $H$2)</f>
        <v>4.0339999999999998</v>
      </c>
      <c r="P62" s="86">
        <f ca="1">_xll.IMDP("IR", $C62, P$5, $H$2)</f>
        <v>4.0380000000000003</v>
      </c>
      <c r="Q62" s="86">
        <f ca="1">_xll.IMDP("IR", $C62, Q$5, $H$2)</f>
        <v>4.0510000000000002</v>
      </c>
      <c r="R62" s="86">
        <f ca="1">_xll.IMDP("IR", $C62, R$5, $H$2)</f>
        <v>4.0250000000000004</v>
      </c>
      <c r="S62" s="86">
        <f ca="1">_xll.IMDP("IR", $C62, S$5, $H$2)</f>
        <v>4.0540000000000003</v>
      </c>
      <c r="T62" s="86">
        <f ca="1">_xll.IMDP("IR", $C62, T$5, $H$2)</f>
        <v>4.0960000000000001</v>
      </c>
      <c r="U62" s="86">
        <f ca="1">_xll.IMDP("IR", $C62, U$5, $H$2)</f>
        <v>4.1210000000000004</v>
      </c>
      <c r="V62" s="87">
        <f ca="1">_xll.IMDP("IR", $C62, V$5, $H$2)</f>
        <v>4.117</v>
      </c>
    </row>
    <row r="63" spans="1:22" x14ac:dyDescent="0.25">
      <c r="A63" s="31"/>
      <c r="B63" s="98" t="str">
        <f t="shared" si="6"/>
        <v>19305</v>
      </c>
      <c r="C63" s="99" t="str">
        <f t="shared" si="5"/>
        <v>BONDAVG19305</v>
      </c>
      <c r="D63" s="91">
        <v>19305</v>
      </c>
      <c r="E63" s="90" t="s">
        <v>88</v>
      </c>
      <c r="F63" s="60" t="s">
        <v>83</v>
      </c>
      <c r="H63" s="62" t="str">
        <f t="shared" si="3"/>
        <v>하남도시공사</v>
      </c>
      <c r="I63" s="86">
        <f ca="1">_xll.IMDP("IR", $C63, I$5, $H$2)</f>
        <v>3.9249999999999998</v>
      </c>
      <c r="J63" s="86">
        <f ca="1">_xll.IMDP("IR", $C63, J$5, $H$2)</f>
        <v>3.9990000000000001</v>
      </c>
      <c r="K63" s="86">
        <f ca="1">_xll.IMDP("IR", $C63, K$5, $H$2)</f>
        <v>4.0190000000000001</v>
      </c>
      <c r="L63" s="86">
        <f ca="1">_xll.IMDP("IR", $C63, L$5, $H$2)</f>
        <v>4.0270000000000001</v>
      </c>
      <c r="M63" s="86">
        <f ca="1">_xll.IMDP("IR", $C63, M$5, $H$2)</f>
        <v>4.1390000000000002</v>
      </c>
      <c r="N63" s="86">
        <f ca="1">_xll.IMDP("IR", $C63, N$5, $H$2)</f>
        <v>4.1369999999999996</v>
      </c>
      <c r="O63" s="86">
        <f ca="1">_xll.IMDP("IR", $C63, O$5, $H$2)</f>
        <v>4.149</v>
      </c>
      <c r="P63" s="86">
        <f ca="1">_xll.IMDP("IR", $C63, P$5, $H$2)</f>
        <v>4.149</v>
      </c>
      <c r="Q63" s="86">
        <f ca="1">_xll.IMDP("IR", $C63, Q$5, $H$2)</f>
        <v>4.157</v>
      </c>
      <c r="R63" s="86">
        <f ca="1">_xll.IMDP("IR", $C63, R$5, $H$2)</f>
        <v>4.1349999999999998</v>
      </c>
      <c r="S63" s="86">
        <f ca="1">_xll.IMDP("IR", $C63, S$5, $H$2)</f>
        <v>4.1609999999999996</v>
      </c>
      <c r="T63" s="86">
        <f ca="1">_xll.IMDP("IR", $C63, T$5, $H$2)</f>
        <v>4.1959999999999997</v>
      </c>
      <c r="U63" s="86">
        <f ca="1">_xll.IMDP("IR", $C63, U$5, $H$2)</f>
        <v>4.2009999999999996</v>
      </c>
      <c r="V63" s="87">
        <f ca="1">_xll.IMDP("IR", $C63, V$5, $H$2)</f>
        <v>4.2069999999999999</v>
      </c>
    </row>
    <row r="64" spans="1:22" x14ac:dyDescent="0.25">
      <c r="A64" s="31"/>
      <c r="B64" s="98" t="str">
        <f t="shared" si="6"/>
        <v>00000</v>
      </c>
      <c r="C64" s="99" t="s">
        <v>94</v>
      </c>
      <c r="D64" s="37">
        <v>0</v>
      </c>
      <c r="E64" s="90" t="s">
        <v>48</v>
      </c>
      <c r="F64" s="90" t="s">
        <v>48</v>
      </c>
      <c r="H64" s="6" t="str">
        <f t="shared" si="3"/>
        <v>공사/공단채 AA-</v>
      </c>
      <c r="I64" s="73">
        <f ca="1">_xll.IMDP("IR", $C64, I$5, $H$2)</f>
        <v>3.8610000000000002</v>
      </c>
      <c r="J64" s="73">
        <f ca="1">_xll.IMDP("IR", $C64, J$5, $H$2)</f>
        <v>3.944</v>
      </c>
      <c r="K64" s="73">
        <f ca="1">_xll.IMDP("IR", $C64, K$5, $H$2)</f>
        <v>3.9620000000000002</v>
      </c>
      <c r="L64" s="73">
        <f ca="1">_xll.IMDP("IR", $C64, L$5, $H$2)</f>
        <v>3.97</v>
      </c>
      <c r="M64" s="73">
        <f ca="1">_xll.IMDP("IR", $C64, M$5, $H$2)</f>
        <v>4.0730000000000004</v>
      </c>
      <c r="N64" s="73">
        <f ca="1">_xll.IMDP("IR", $C64, N$5, $H$2)</f>
        <v>4.0599999999999996</v>
      </c>
      <c r="O64" s="73">
        <f ca="1">_xll.IMDP("IR", $C64, O$5, $H$2)</f>
        <v>4.07</v>
      </c>
      <c r="P64" s="73">
        <f ca="1">_xll.IMDP("IR", $C64, P$5, $H$2)</f>
        <v>4.0670000000000002</v>
      </c>
      <c r="Q64" s="73">
        <f ca="1">_xll.IMDP("IR", $C64, Q$5, $H$2)</f>
        <v>4.0750000000000002</v>
      </c>
      <c r="R64" s="73">
        <f ca="1">_xll.IMDP("IR", $C64, R$5, $H$2)</f>
        <v>4.0540000000000003</v>
      </c>
      <c r="S64" s="73">
        <f ca="1">_xll.IMDP("IR", $C64, S$5, $H$2)</f>
        <v>4.0810000000000004</v>
      </c>
      <c r="T64" s="73">
        <f ca="1">_xll.IMDP("IR", $C64, T$5, $H$2)</f>
        <v>4.1070000000000002</v>
      </c>
      <c r="U64" s="73">
        <f ca="1">_xll.IMDP("IR", $C64, U$5, $H$2)</f>
        <v>4.1280000000000001</v>
      </c>
      <c r="V64" s="74">
        <f ca="1">_xll.IMDP("IR", $C64, V$5, $H$2)</f>
        <v>4.1159999999999997</v>
      </c>
    </row>
    <row r="65" spans="1:22" x14ac:dyDescent="0.25">
      <c r="B65" s="94"/>
      <c r="D65" s="94"/>
      <c r="E65" s="95"/>
      <c r="F65" s="95"/>
      <c r="G65" s="63"/>
    </row>
    <row r="66" spans="1:22" x14ac:dyDescent="0.25">
      <c r="B66" s="94"/>
      <c r="D66" s="94"/>
      <c r="E66" s="95"/>
      <c r="F66" s="95"/>
      <c r="G66" s="63"/>
    </row>
    <row r="67" spans="1:22" s="26" customFormat="1" ht="16.5" x14ac:dyDescent="0.25">
      <c r="A67" s="32"/>
      <c r="B67" s="96"/>
      <c r="C67" s="96"/>
      <c r="D67" s="96"/>
      <c r="E67" s="97"/>
      <c r="F67" s="97"/>
      <c r="G67" s="64"/>
      <c r="H67" s="25" t="s">
        <v>109</v>
      </c>
    </row>
    <row r="68" spans="1:22" ht="6.75" customHeight="1" x14ac:dyDescent="0.25">
      <c r="B68" s="94"/>
      <c r="D68" s="94"/>
      <c r="E68" s="95"/>
      <c r="F68" s="95"/>
      <c r="G68" s="63"/>
    </row>
    <row r="69" spans="1:22" x14ac:dyDescent="0.25">
      <c r="B69" s="95">
        <v>1</v>
      </c>
      <c r="C69" s="94" t="str">
        <f>INDEX(C71:C75,B69)</f>
        <v>BONDAV4</v>
      </c>
      <c r="D69" s="94"/>
      <c r="E69" s="95"/>
      <c r="F69" s="95"/>
      <c r="G69" s="63"/>
      <c r="H69" s="12" t="s">
        <v>108</v>
      </c>
      <c r="I69" s="12" t="str">
        <f t="shared" ref="I69:V69" si="7">I4</f>
        <v>3M</v>
      </c>
      <c r="J69" s="12" t="str">
        <f t="shared" si="7"/>
        <v>6M</v>
      </c>
      <c r="K69" s="12" t="str">
        <f t="shared" si="7"/>
        <v>9M</v>
      </c>
      <c r="L69" s="12" t="str">
        <f t="shared" si="7"/>
        <v>1Y</v>
      </c>
      <c r="M69" s="12" t="str">
        <f t="shared" si="7"/>
        <v>1Y6M</v>
      </c>
      <c r="N69" s="12" t="str">
        <f t="shared" si="7"/>
        <v>2Y</v>
      </c>
      <c r="O69" s="12" t="str">
        <f t="shared" si="7"/>
        <v>2Y6M</v>
      </c>
      <c r="P69" s="12" t="str">
        <f t="shared" si="7"/>
        <v>3Y</v>
      </c>
      <c r="Q69" s="12" t="str">
        <f t="shared" si="7"/>
        <v>4Y</v>
      </c>
      <c r="R69" s="12" t="str">
        <f t="shared" si="7"/>
        <v>5Y</v>
      </c>
      <c r="S69" s="12" t="str">
        <f t="shared" si="7"/>
        <v>7Y</v>
      </c>
      <c r="T69" s="12" t="str">
        <f t="shared" si="7"/>
        <v>10Y</v>
      </c>
      <c r="U69" s="12" t="str">
        <f t="shared" si="7"/>
        <v>15Y</v>
      </c>
      <c r="V69" s="12" t="str">
        <f t="shared" si="7"/>
        <v>20Y</v>
      </c>
    </row>
    <row r="70" spans="1:22" x14ac:dyDescent="0.25">
      <c r="B70" s="100" t="s">
        <v>96</v>
      </c>
      <c r="C70" s="101" t="s">
        <v>102</v>
      </c>
      <c r="D70" s="37"/>
      <c r="H70" s="13" t="str">
        <f>H8</f>
        <v>공사/공단채 정부보증</v>
      </c>
      <c r="I70" s="39">
        <f ca="1">( INDEX( $H$7:$V$64, MATCH($H70, $H$7:$H$64, 0), I$6) - I$7 )*100</f>
        <v>4.5999999999999819</v>
      </c>
      <c r="J70" s="39">
        <f t="shared" ref="J70:V85" ca="1" si="8">( INDEX( $H$7:$V$64, MATCH($H70, $H$7:$H$64, 0), J$6) - J$7 )*100</f>
        <v>7.4999999999999734</v>
      </c>
      <c r="K70" s="39">
        <f t="shared" ca="1" si="8"/>
        <v>6.5999999999999837</v>
      </c>
      <c r="L70" s="39">
        <f t="shared" ca="1" si="8"/>
        <v>8.3999999999999631</v>
      </c>
      <c r="M70" s="39">
        <f t="shared" ca="1" si="8"/>
        <v>11.900000000000022</v>
      </c>
      <c r="N70" s="39">
        <f t="shared" ca="1" si="8"/>
        <v>13.599999999999968</v>
      </c>
      <c r="O70" s="39">
        <f t="shared" ca="1" si="8"/>
        <v>19.69999999999996</v>
      </c>
      <c r="P70" s="39">
        <f t="shared" ca="1" si="8"/>
        <v>23.300000000000011</v>
      </c>
      <c r="Q70" s="39">
        <f t="shared" ca="1" si="8"/>
        <v>18.700000000000028</v>
      </c>
      <c r="R70" s="39">
        <f t="shared" ca="1" si="8"/>
        <v>29.59999999999998</v>
      </c>
      <c r="S70" s="39">
        <f t="shared" ca="1" si="8"/>
        <v>21.999999999999975</v>
      </c>
      <c r="T70" s="39">
        <f t="shared" ca="1" si="8"/>
        <v>24.6</v>
      </c>
      <c r="U70" s="39">
        <f t="shared" ca="1" si="8"/>
        <v>26.6</v>
      </c>
      <c r="V70" s="39">
        <f t="shared" ca="1" si="8"/>
        <v>27.299999999999969</v>
      </c>
    </row>
    <row r="71" spans="1:22" x14ac:dyDescent="0.25">
      <c r="B71" s="100" t="s">
        <v>97</v>
      </c>
      <c r="C71" s="101" t="s">
        <v>103</v>
      </c>
      <c r="D71" s="38"/>
      <c r="H71" s="14" t="str">
        <f t="shared" ref="H71:H126" si="9">H9</f>
        <v>예금보험공사</v>
      </c>
      <c r="I71" s="40">
        <f t="shared" ref="I71:V86" ca="1" si="10">( INDEX( $H$7:$V$64, MATCH($H71, $H$7:$H$64, 0), I$6) - I$7 )*100</f>
        <v>4.5999999999999819</v>
      </c>
      <c r="J71" s="41">
        <f t="shared" ca="1" si="8"/>
        <v>7.4999999999999734</v>
      </c>
      <c r="K71" s="41">
        <f t="shared" ca="1" si="8"/>
        <v>6.5999999999999837</v>
      </c>
      <c r="L71" s="41">
        <f t="shared" ca="1" si="8"/>
        <v>8.3999999999999631</v>
      </c>
      <c r="M71" s="41">
        <f t="shared" ca="1" si="8"/>
        <v>11.900000000000022</v>
      </c>
      <c r="N71" s="41">
        <f t="shared" ca="1" si="8"/>
        <v>13.599999999999968</v>
      </c>
      <c r="O71" s="41">
        <f t="shared" ca="1" si="8"/>
        <v>19.69999999999996</v>
      </c>
      <c r="P71" s="41">
        <f t="shared" ca="1" si="8"/>
        <v>23.300000000000011</v>
      </c>
      <c r="Q71" s="41">
        <f t="shared" ca="1" si="8"/>
        <v>18.700000000000028</v>
      </c>
      <c r="R71" s="41">
        <f t="shared" ca="1" si="8"/>
        <v>29.59999999999998</v>
      </c>
      <c r="S71" s="41">
        <f t="shared" ca="1" si="8"/>
        <v>21.999999999999975</v>
      </c>
      <c r="T71" s="41">
        <f t="shared" ca="1" si="8"/>
        <v>24.6</v>
      </c>
      <c r="U71" s="41">
        <f t="shared" ca="1" si="8"/>
        <v>26.6</v>
      </c>
      <c r="V71" s="42">
        <f t="shared" ca="1" si="8"/>
        <v>27.299999999999969</v>
      </c>
    </row>
    <row r="72" spans="1:22" x14ac:dyDescent="0.25">
      <c r="B72" s="100" t="s">
        <v>98</v>
      </c>
      <c r="C72" s="102" t="s">
        <v>104</v>
      </c>
      <c r="D72" s="38"/>
      <c r="H72" s="15" t="str">
        <f t="shared" si="9"/>
        <v>한국장학재단</v>
      </c>
      <c r="I72" s="43">
        <f t="shared" ca="1" si="10"/>
        <v>4.5999999999999819</v>
      </c>
      <c r="J72" s="44">
        <f t="shared" ca="1" si="8"/>
        <v>7.4999999999999734</v>
      </c>
      <c r="K72" s="44">
        <f t="shared" ca="1" si="8"/>
        <v>6.5999999999999837</v>
      </c>
      <c r="L72" s="44">
        <f t="shared" ca="1" si="8"/>
        <v>8.3999999999999631</v>
      </c>
      <c r="M72" s="44">
        <f t="shared" ca="1" si="8"/>
        <v>11.900000000000022</v>
      </c>
      <c r="N72" s="44">
        <f t="shared" ca="1" si="8"/>
        <v>13.599999999999968</v>
      </c>
      <c r="O72" s="44">
        <f t="shared" ca="1" si="8"/>
        <v>19.69999999999996</v>
      </c>
      <c r="P72" s="44">
        <f t="shared" ca="1" si="8"/>
        <v>23.300000000000011</v>
      </c>
      <c r="Q72" s="44">
        <f t="shared" ca="1" si="8"/>
        <v>18.700000000000028</v>
      </c>
      <c r="R72" s="44">
        <f t="shared" ca="1" si="8"/>
        <v>29.300000000000015</v>
      </c>
      <c r="S72" s="44">
        <f t="shared" ca="1" si="8"/>
        <v>21.999999999999975</v>
      </c>
      <c r="T72" s="44">
        <f t="shared" ca="1" si="8"/>
        <v>24.6</v>
      </c>
      <c r="U72" s="44">
        <f t="shared" ca="1" si="8"/>
        <v>25.4</v>
      </c>
      <c r="V72" s="45">
        <f t="shared" ca="1" si="8"/>
        <v>27.299999999999969</v>
      </c>
    </row>
    <row r="73" spans="1:22" x14ac:dyDescent="0.25">
      <c r="B73" s="100" t="s">
        <v>99</v>
      </c>
      <c r="C73" s="102" t="s">
        <v>105</v>
      </c>
      <c r="D73" s="38"/>
      <c r="H73" s="16" t="str">
        <f t="shared" si="9"/>
        <v>공사/공단채 AAA</v>
      </c>
      <c r="I73" s="46">
        <f t="shared" ca="1" si="10"/>
        <v>14.69999999999998</v>
      </c>
      <c r="J73" s="47">
        <f t="shared" ca="1" si="8"/>
        <v>19.599999999999973</v>
      </c>
      <c r="K73" s="47">
        <f t="shared" ca="1" si="8"/>
        <v>16.799999999999969</v>
      </c>
      <c r="L73" s="47">
        <f t="shared" ca="1" si="8"/>
        <v>19.799999999999997</v>
      </c>
      <c r="M73" s="47">
        <f t="shared" ca="1" si="8"/>
        <v>25.099999999999987</v>
      </c>
      <c r="N73" s="47">
        <f t="shared" ca="1" si="8"/>
        <v>27.699999999999967</v>
      </c>
      <c r="O73" s="47">
        <f t="shared" ca="1" si="8"/>
        <v>33.999999999999986</v>
      </c>
      <c r="P73" s="47">
        <f t="shared" ca="1" si="8"/>
        <v>36.700000000000003</v>
      </c>
      <c r="Q73" s="47">
        <f t="shared" ca="1" si="8"/>
        <v>31.300000000000018</v>
      </c>
      <c r="R73" s="47">
        <f t="shared" ca="1" si="8"/>
        <v>33.000000000000007</v>
      </c>
      <c r="S73" s="47">
        <f t="shared" ca="1" si="8"/>
        <v>27.299999999999969</v>
      </c>
      <c r="T73" s="47">
        <f t="shared" ca="1" si="8"/>
        <v>30.799999999999983</v>
      </c>
      <c r="U73" s="47">
        <f t="shared" ca="1" si="8"/>
        <v>33.300000000000018</v>
      </c>
      <c r="V73" s="48">
        <f t="shared" ca="1" si="8"/>
        <v>34.699999999999996</v>
      </c>
    </row>
    <row r="74" spans="1:22" x14ac:dyDescent="0.25">
      <c r="B74" s="100" t="s">
        <v>100</v>
      </c>
      <c r="C74" s="102" t="s">
        <v>106</v>
      </c>
      <c r="D74" s="38"/>
      <c r="H74" s="14" t="str">
        <f t="shared" si="9"/>
        <v>경기주택도시공사</v>
      </c>
      <c r="I74" s="40">
        <f t="shared" ca="1" si="10"/>
        <v>24.500000000000011</v>
      </c>
      <c r="J74" s="41">
        <f t="shared" ca="1" si="8"/>
        <v>29.800000000000004</v>
      </c>
      <c r="K74" s="41">
        <f t="shared" ca="1" si="8"/>
        <v>27.899999999999991</v>
      </c>
      <c r="L74" s="41">
        <f t="shared" ca="1" si="8"/>
        <v>31.400000000000006</v>
      </c>
      <c r="M74" s="41">
        <f t="shared" ca="1" si="8"/>
        <v>38.100000000000023</v>
      </c>
      <c r="N74" s="41">
        <f t="shared" ca="1" si="8"/>
        <v>42.999999999999972</v>
      </c>
      <c r="O74" s="41">
        <f t="shared" ca="1" si="8"/>
        <v>49.899999999999963</v>
      </c>
      <c r="P74" s="41">
        <f t="shared" ca="1" si="8"/>
        <v>52.899999999999991</v>
      </c>
      <c r="Q74" s="41">
        <f t="shared" ca="1" si="8"/>
        <v>47.700000000000031</v>
      </c>
      <c r="R74" s="41">
        <f t="shared" ca="1" si="8"/>
        <v>49.100000000000009</v>
      </c>
      <c r="S74" s="41">
        <f t="shared" ca="1" si="8"/>
        <v>43.500000000000007</v>
      </c>
      <c r="T74" s="41">
        <f t="shared" ca="1" si="8"/>
        <v>47.199999999999996</v>
      </c>
      <c r="U74" s="41">
        <f t="shared" ca="1" si="8"/>
        <v>48.8</v>
      </c>
      <c r="V74" s="42">
        <f t="shared" ca="1" si="8"/>
        <v>53.29999999999999</v>
      </c>
    </row>
    <row r="75" spans="1:22" x14ac:dyDescent="0.25">
      <c r="B75" s="100" t="s">
        <v>101</v>
      </c>
      <c r="C75" s="102" t="s">
        <v>107</v>
      </c>
      <c r="D75" s="38"/>
      <c r="H75" s="17" t="str">
        <f t="shared" si="9"/>
        <v>광해광업공단</v>
      </c>
      <c r="I75" s="40">
        <f t="shared" ca="1" si="10"/>
        <v>25.899999999999991</v>
      </c>
      <c r="J75" s="41">
        <f t="shared" ca="1" si="8"/>
        <v>31.499999999999993</v>
      </c>
      <c r="K75" s="41">
        <f t="shared" ca="1" si="8"/>
        <v>28.799999999999983</v>
      </c>
      <c r="L75" s="41">
        <f t="shared" ca="1" si="8"/>
        <v>31.899999999999995</v>
      </c>
      <c r="M75" s="41">
        <f t="shared" ca="1" si="8"/>
        <v>37.800000000000011</v>
      </c>
      <c r="N75" s="41">
        <f t="shared" ca="1" si="8"/>
        <v>40.399999999999991</v>
      </c>
      <c r="O75" s="41">
        <f t="shared" ca="1" si="8"/>
        <v>46.69999999999996</v>
      </c>
      <c r="P75" s="41">
        <f t="shared" ca="1" si="8"/>
        <v>49.100000000000009</v>
      </c>
      <c r="Q75" s="41">
        <f t="shared" ca="1" si="8"/>
        <v>43.500000000000007</v>
      </c>
      <c r="R75" s="41">
        <f t="shared" ca="1" si="8"/>
        <v>44.300000000000004</v>
      </c>
      <c r="S75" s="41">
        <f t="shared" ca="1" si="8"/>
        <v>38.599999999999966</v>
      </c>
      <c r="T75" s="41">
        <f t="shared" ca="1" si="8"/>
        <v>43.500000000000007</v>
      </c>
      <c r="U75" s="41">
        <f t="shared" ca="1" si="8"/>
        <v>45.199999999999996</v>
      </c>
      <c r="V75" s="42">
        <f t="shared" ca="1" si="8"/>
        <v>49.2</v>
      </c>
    </row>
    <row r="76" spans="1:22" x14ac:dyDescent="0.25">
      <c r="B76" s="100"/>
      <c r="C76" s="102"/>
      <c r="D76" s="38"/>
      <c r="H76" s="17" t="str">
        <f t="shared" si="9"/>
        <v>국가철도공단</v>
      </c>
      <c r="I76" s="40">
        <f t="shared" ca="1" si="10"/>
        <v>14.000000000000012</v>
      </c>
      <c r="J76" s="41">
        <f t="shared" ca="1" si="8"/>
        <v>18.799999999999972</v>
      </c>
      <c r="K76" s="41">
        <f t="shared" ca="1" si="8"/>
        <v>16.100000000000001</v>
      </c>
      <c r="L76" s="41">
        <f t="shared" ca="1" si="8"/>
        <v>19.099999999999984</v>
      </c>
      <c r="M76" s="41">
        <f t="shared" ca="1" si="8"/>
        <v>24.40000000000002</v>
      </c>
      <c r="N76" s="41">
        <f t="shared" ca="1" si="8"/>
        <v>27.59999999999998</v>
      </c>
      <c r="O76" s="41">
        <f t="shared" ca="1" si="8"/>
        <v>33.799999999999962</v>
      </c>
      <c r="P76" s="41">
        <f t="shared" ca="1" si="8"/>
        <v>36.399999999999991</v>
      </c>
      <c r="Q76" s="41">
        <f t="shared" ca="1" si="8"/>
        <v>31.000000000000007</v>
      </c>
      <c r="R76" s="41">
        <f t="shared" ca="1" si="8"/>
        <v>32.499999999999972</v>
      </c>
      <c r="S76" s="41">
        <f t="shared" ca="1" si="8"/>
        <v>26.799999999999979</v>
      </c>
      <c r="T76" s="41">
        <f t="shared" ca="1" si="8"/>
        <v>30.500000000000014</v>
      </c>
      <c r="U76" s="41">
        <f t="shared" ca="1" si="8"/>
        <v>32.200000000000003</v>
      </c>
      <c r="V76" s="42">
        <f t="shared" ca="1" si="8"/>
        <v>34.499999999999972</v>
      </c>
    </row>
    <row r="77" spans="1:22" x14ac:dyDescent="0.25">
      <c r="B77" s="100"/>
      <c r="C77" s="102"/>
      <c r="D77" s="38"/>
      <c r="H77" s="17" t="str">
        <f t="shared" si="9"/>
        <v>농어촌공사</v>
      </c>
      <c r="I77" s="40">
        <f t="shared" ca="1" si="10"/>
        <v>12.800000000000011</v>
      </c>
      <c r="J77" s="41">
        <f t="shared" ca="1" si="8"/>
        <v>17.499999999999982</v>
      </c>
      <c r="K77" s="41">
        <f t="shared" ca="1" si="8"/>
        <v>14.599999999999991</v>
      </c>
      <c r="L77" s="41">
        <f t="shared" ca="1" si="8"/>
        <v>17.599999999999973</v>
      </c>
      <c r="M77" s="41">
        <f t="shared" ca="1" si="8"/>
        <v>22.800000000000018</v>
      </c>
      <c r="N77" s="41">
        <f t="shared" ca="1" si="8"/>
        <v>25.199999999999978</v>
      </c>
      <c r="O77" s="41">
        <f t="shared" ca="1" si="8"/>
        <v>31.799999999999962</v>
      </c>
      <c r="P77" s="41">
        <f t="shared" ca="1" si="8"/>
        <v>34.600000000000009</v>
      </c>
      <c r="Q77" s="41">
        <f t="shared" ca="1" si="8"/>
        <v>29.200000000000024</v>
      </c>
      <c r="R77" s="41">
        <f t="shared" ca="1" si="8"/>
        <v>30.799999999999983</v>
      </c>
      <c r="S77" s="41">
        <f t="shared" ca="1" si="8"/>
        <v>25.099999999999987</v>
      </c>
      <c r="T77" s="41">
        <f t="shared" ca="1" si="8"/>
        <v>28.699999999999992</v>
      </c>
      <c r="U77" s="41">
        <f t="shared" ca="1" si="8"/>
        <v>29.200000000000024</v>
      </c>
      <c r="V77" s="42">
        <f t="shared" ca="1" si="8"/>
        <v>32.499999999999972</v>
      </c>
    </row>
    <row r="78" spans="1:22" x14ac:dyDescent="0.25">
      <c r="B78" s="100"/>
      <c r="C78" s="102"/>
      <c r="D78" s="38"/>
      <c r="H78" s="17" t="str">
        <f t="shared" si="9"/>
        <v>농협중앙회</v>
      </c>
      <c r="I78" s="40">
        <f t="shared" ca="1" si="10"/>
        <v>14.500000000000002</v>
      </c>
      <c r="J78" s="41">
        <f t="shared" ca="1" si="8"/>
        <v>19.499999999999986</v>
      </c>
      <c r="K78" s="41">
        <f t="shared" ca="1" si="8"/>
        <v>16.599999999999994</v>
      </c>
      <c r="L78" s="41">
        <f t="shared" ca="1" si="8"/>
        <v>19.300000000000004</v>
      </c>
      <c r="M78" s="41">
        <f t="shared" ca="1" si="8"/>
        <v>24.6</v>
      </c>
      <c r="N78" s="41">
        <f t="shared" ca="1" si="8"/>
        <v>27.199999999999982</v>
      </c>
      <c r="O78" s="41">
        <f t="shared" ca="1" si="8"/>
        <v>33.999999999999986</v>
      </c>
      <c r="P78" s="41">
        <f t="shared" ca="1" si="8"/>
        <v>36.700000000000003</v>
      </c>
      <c r="Q78" s="41">
        <f t="shared" ca="1" si="8"/>
        <v>31.700000000000017</v>
      </c>
      <c r="R78" s="41">
        <f t="shared" ca="1" si="8"/>
        <v>33.299999999999976</v>
      </c>
      <c r="S78" s="41">
        <f t="shared" ca="1" si="8"/>
        <v>27.299999999999969</v>
      </c>
      <c r="T78" s="41">
        <f t="shared" ca="1" si="8"/>
        <v>30.699999999999996</v>
      </c>
      <c r="U78" s="41">
        <f t="shared" ca="1" si="8"/>
        <v>32.200000000000003</v>
      </c>
      <c r="V78" s="42">
        <f t="shared" ca="1" si="8"/>
        <v>34.499999999999972</v>
      </c>
    </row>
    <row r="79" spans="1:22" x14ac:dyDescent="0.25">
      <c r="B79" s="100"/>
      <c r="C79" s="102"/>
      <c r="D79" s="38"/>
      <c r="H79" s="17" t="str">
        <f t="shared" si="9"/>
        <v>부산교통공사</v>
      </c>
      <c r="I79" s="40">
        <f t="shared" ca="1" si="10"/>
        <v>22.500000000000007</v>
      </c>
      <c r="J79" s="41">
        <f t="shared" ca="1" si="8"/>
        <v>27.999999999999979</v>
      </c>
      <c r="K79" s="41">
        <f t="shared" ca="1" si="8"/>
        <v>25.59999999999998</v>
      </c>
      <c r="L79" s="41">
        <f t="shared" ca="1" si="8"/>
        <v>29.099999999999994</v>
      </c>
      <c r="M79" s="41">
        <f t="shared" ca="1" si="8"/>
        <v>34.90000000000002</v>
      </c>
      <c r="N79" s="41">
        <f t="shared" ca="1" si="8"/>
        <v>38.09999999999998</v>
      </c>
      <c r="O79" s="41">
        <f t="shared" ca="1" si="8"/>
        <v>44.499999999999986</v>
      </c>
      <c r="P79" s="41">
        <f t="shared" ca="1" si="8"/>
        <v>47.199999999999996</v>
      </c>
      <c r="Q79" s="41">
        <f t="shared" ca="1" si="8"/>
        <v>41.999999999999993</v>
      </c>
      <c r="R79" s="41">
        <f t="shared" ca="1" si="8"/>
        <v>43.100000000000009</v>
      </c>
      <c r="S79" s="41">
        <f t="shared" ca="1" si="8"/>
        <v>37.299999999999976</v>
      </c>
      <c r="T79" s="41">
        <f t="shared" ca="1" si="8"/>
        <v>39.999999999999993</v>
      </c>
      <c r="U79" s="41">
        <f t="shared" ca="1" si="8"/>
        <v>40.900000000000027</v>
      </c>
      <c r="V79" s="42">
        <f t="shared" ca="1" si="8"/>
        <v>43.699999999999982</v>
      </c>
    </row>
    <row r="80" spans="1:22" x14ac:dyDescent="0.25">
      <c r="B80" s="100"/>
      <c r="C80" s="102"/>
      <c r="D80" s="38"/>
      <c r="H80" s="17" t="str">
        <f t="shared" si="9"/>
        <v>부산항만공사</v>
      </c>
      <c r="I80" s="40">
        <f t="shared" ca="1" si="10"/>
        <v>16.500000000000004</v>
      </c>
      <c r="J80" s="41">
        <f t="shared" ca="1" si="8"/>
        <v>21.799999999999997</v>
      </c>
      <c r="K80" s="41">
        <f t="shared" ca="1" si="8"/>
        <v>19.099999999999984</v>
      </c>
      <c r="L80" s="41">
        <f t="shared" ca="1" si="8"/>
        <v>22.299999999999986</v>
      </c>
      <c r="M80" s="41">
        <f t="shared" ca="1" si="8"/>
        <v>27.800000000000004</v>
      </c>
      <c r="N80" s="41">
        <f t="shared" ca="1" si="8"/>
        <v>30.600000000000005</v>
      </c>
      <c r="O80" s="41">
        <f t="shared" ca="1" si="8"/>
        <v>36.79999999999999</v>
      </c>
      <c r="P80" s="41">
        <f t="shared" ca="1" si="8"/>
        <v>39.599999999999994</v>
      </c>
      <c r="Q80" s="41">
        <f t="shared" ca="1" si="8"/>
        <v>33.800000000000011</v>
      </c>
      <c r="R80" s="41">
        <f t="shared" ca="1" si="8"/>
        <v>35.299999999999976</v>
      </c>
      <c r="S80" s="41">
        <f t="shared" ca="1" si="8"/>
        <v>29.000000000000004</v>
      </c>
      <c r="T80" s="41">
        <f t="shared" ca="1" si="8"/>
        <v>31.700000000000017</v>
      </c>
      <c r="U80" s="41">
        <f t="shared" ca="1" si="8"/>
        <v>33.700000000000017</v>
      </c>
      <c r="V80" s="42">
        <f t="shared" ca="1" si="8"/>
        <v>35.9</v>
      </c>
    </row>
    <row r="81" spans="2:22" s="1" customFormat="1" x14ac:dyDescent="0.25">
      <c r="B81" s="100"/>
      <c r="C81" s="102"/>
      <c r="D81" s="38"/>
      <c r="E81" s="90"/>
      <c r="F81" s="90"/>
      <c r="G81" s="59"/>
      <c r="H81" s="17" t="str">
        <f t="shared" si="9"/>
        <v>서울교통공사</v>
      </c>
      <c r="I81" s="40">
        <f t="shared" ca="1" si="10"/>
        <v>22.900000000000009</v>
      </c>
      <c r="J81" s="41">
        <f t="shared" ca="1" si="8"/>
        <v>27.800000000000004</v>
      </c>
      <c r="K81" s="41">
        <f t="shared" ca="1" si="8"/>
        <v>24.900000000000013</v>
      </c>
      <c r="L81" s="41">
        <f t="shared" ca="1" si="8"/>
        <v>28.499999999999972</v>
      </c>
      <c r="M81" s="41">
        <f t="shared" ca="1" si="8"/>
        <v>34.399999999999984</v>
      </c>
      <c r="N81" s="41">
        <f t="shared" ca="1" si="8"/>
        <v>38.09999999999998</v>
      </c>
      <c r="O81" s="41">
        <f t="shared" ca="1" si="8"/>
        <v>45.199999999999996</v>
      </c>
      <c r="P81" s="41">
        <f t="shared" ca="1" si="8"/>
        <v>48.899999999999991</v>
      </c>
      <c r="Q81" s="41">
        <f t="shared" ca="1" si="8"/>
        <v>43.999999999999993</v>
      </c>
      <c r="R81" s="41">
        <f t="shared" ca="1" si="8"/>
        <v>45.599999999999994</v>
      </c>
      <c r="S81" s="41">
        <f t="shared" ca="1" si="8"/>
        <v>39.999999999999993</v>
      </c>
      <c r="T81" s="41">
        <f t="shared" ca="1" si="8"/>
        <v>41.299999999999983</v>
      </c>
      <c r="U81" s="41">
        <f t="shared" ca="1" si="8"/>
        <v>42.7</v>
      </c>
      <c r="V81" s="42">
        <f t="shared" ca="1" si="8"/>
        <v>44.399999999999991</v>
      </c>
    </row>
    <row r="82" spans="2:22" s="1" customFormat="1" x14ac:dyDescent="0.25">
      <c r="B82" s="100"/>
      <c r="C82" s="102"/>
      <c r="D82" s="38"/>
      <c r="E82" s="90"/>
      <c r="F82" s="90"/>
      <c r="G82" s="59"/>
      <c r="H82" s="17" t="str">
        <f t="shared" si="9"/>
        <v>서울주택도시공사</v>
      </c>
      <c r="I82" s="40">
        <f t="shared" ca="1" si="10"/>
        <v>17.200000000000017</v>
      </c>
      <c r="J82" s="41">
        <f t="shared" ca="1" si="8"/>
        <v>22.500000000000007</v>
      </c>
      <c r="K82" s="41">
        <f t="shared" ca="1" si="8"/>
        <v>20.100000000000009</v>
      </c>
      <c r="L82" s="41">
        <f t="shared" ca="1" si="8"/>
        <v>23.4</v>
      </c>
      <c r="M82" s="41">
        <f t="shared" ca="1" si="8"/>
        <v>28.900000000000013</v>
      </c>
      <c r="N82" s="41">
        <f t="shared" ca="1" si="8"/>
        <v>31.400000000000006</v>
      </c>
      <c r="O82" s="41">
        <f t="shared" ca="1" si="8"/>
        <v>37.699999999999974</v>
      </c>
      <c r="P82" s="41">
        <f t="shared" ca="1" si="8"/>
        <v>40.399999999999991</v>
      </c>
      <c r="Q82" s="41">
        <f t="shared" ca="1" si="8"/>
        <v>34.800000000000033</v>
      </c>
      <c r="R82" s="41">
        <f t="shared" ca="1" si="8"/>
        <v>36.499999999999979</v>
      </c>
      <c r="S82" s="41">
        <f t="shared" ca="1" si="8"/>
        <v>31.299999999999972</v>
      </c>
      <c r="T82" s="41">
        <f t="shared" ca="1" si="8"/>
        <v>36.20000000000001</v>
      </c>
      <c r="U82" s="41">
        <f t="shared" ca="1" si="8"/>
        <v>35.60000000000003</v>
      </c>
      <c r="V82" s="42">
        <f t="shared" ca="1" si="8"/>
        <v>42.599999999999973</v>
      </c>
    </row>
    <row r="83" spans="2:22" s="1" customFormat="1" x14ac:dyDescent="0.25">
      <c r="B83" s="95"/>
      <c r="C83" s="94"/>
      <c r="D83" s="91"/>
      <c r="E83" s="90"/>
      <c r="F83" s="90"/>
      <c r="G83" s="59"/>
      <c r="H83" s="17" t="str">
        <f t="shared" si="9"/>
        <v>수협중앙회</v>
      </c>
      <c r="I83" s="40">
        <f t="shared" ca="1" si="10"/>
        <v>16.699999999999982</v>
      </c>
      <c r="J83" s="41">
        <f t="shared" ca="1" si="8"/>
        <v>22.100000000000009</v>
      </c>
      <c r="K83" s="41">
        <f t="shared" ca="1" si="8"/>
        <v>19.899999999999984</v>
      </c>
      <c r="L83" s="41">
        <f t="shared" ca="1" si="8"/>
        <v>23.4</v>
      </c>
      <c r="M83" s="41">
        <f t="shared" ca="1" si="8"/>
        <v>27.899999999999991</v>
      </c>
      <c r="N83" s="41">
        <f t="shared" ca="1" si="8"/>
        <v>29.59999999999998</v>
      </c>
      <c r="O83" s="41">
        <f t="shared" ca="1" si="8"/>
        <v>35.799999999999969</v>
      </c>
      <c r="P83" s="41">
        <f t="shared" ca="1" si="8"/>
        <v>38.499999999999979</v>
      </c>
      <c r="Q83" s="41">
        <f t="shared" ca="1" si="8"/>
        <v>32.90000000000002</v>
      </c>
      <c r="R83" s="41">
        <f t="shared" ca="1" si="8"/>
        <v>34.499999999999972</v>
      </c>
      <c r="S83" s="41">
        <f t="shared" ca="1" si="8"/>
        <v>28.799999999999983</v>
      </c>
      <c r="T83" s="41">
        <f t="shared" ca="1" si="8"/>
        <v>32.500000000000014</v>
      </c>
      <c r="U83" s="41">
        <f t="shared" ca="1" si="8"/>
        <v>34.699999999999996</v>
      </c>
      <c r="V83" s="42">
        <f t="shared" ca="1" si="8"/>
        <v>36.899999999999977</v>
      </c>
    </row>
    <row r="84" spans="2:22" s="1" customFormat="1" x14ac:dyDescent="0.25">
      <c r="B84" s="95"/>
      <c r="C84" s="94"/>
      <c r="D84" s="91"/>
      <c r="E84" s="90"/>
      <c r="F84" s="90"/>
      <c r="G84" s="59"/>
      <c r="H84" s="17" t="str">
        <f t="shared" si="9"/>
        <v>여수광양항만공사</v>
      </c>
      <c r="I84" s="40">
        <f t="shared" ca="1" si="10"/>
        <v>16.599999999999994</v>
      </c>
      <c r="J84" s="41">
        <f t="shared" ca="1" si="8"/>
        <v>21.70000000000001</v>
      </c>
      <c r="K84" s="41">
        <f t="shared" ca="1" si="8"/>
        <v>18.799999999999972</v>
      </c>
      <c r="L84" s="41">
        <f t="shared" ca="1" si="8"/>
        <v>21.799999999999997</v>
      </c>
      <c r="M84" s="41">
        <f t="shared" ca="1" si="8"/>
        <v>27.300000000000011</v>
      </c>
      <c r="N84" s="41">
        <f t="shared" ca="1" si="8"/>
        <v>29.899999999999991</v>
      </c>
      <c r="O84" s="41">
        <f t="shared" ca="1" si="8"/>
        <v>36.899999999999977</v>
      </c>
      <c r="P84" s="41">
        <f t="shared" ca="1" si="8"/>
        <v>39.599999999999994</v>
      </c>
      <c r="Q84" s="41">
        <f t="shared" ca="1" si="8"/>
        <v>34.500000000000021</v>
      </c>
      <c r="R84" s="41">
        <f t="shared" ca="1" si="8"/>
        <v>36.899999999999977</v>
      </c>
      <c r="S84" s="41">
        <f t="shared" ca="1" si="8"/>
        <v>32.200000000000003</v>
      </c>
      <c r="T84" s="41">
        <f t="shared" ca="1" si="8"/>
        <v>36.100000000000023</v>
      </c>
      <c r="U84" s="41">
        <f t="shared" ca="1" si="8"/>
        <v>37.9</v>
      </c>
      <c r="V84" s="42">
        <f t="shared" ca="1" si="8"/>
        <v>40.199999999999967</v>
      </c>
    </row>
    <row r="85" spans="2:22" s="1" customFormat="1" x14ac:dyDescent="0.25">
      <c r="B85" s="95"/>
      <c r="C85" s="94"/>
      <c r="D85" s="91"/>
      <c r="E85" s="90"/>
      <c r="F85" s="90"/>
      <c r="G85" s="59"/>
      <c r="H85" s="17" t="str">
        <f t="shared" si="9"/>
        <v>울산항만공사</v>
      </c>
      <c r="I85" s="40">
        <f t="shared" ca="1" si="10"/>
        <v>14.69999999999998</v>
      </c>
      <c r="J85" s="41">
        <f t="shared" ca="1" si="8"/>
        <v>19.199999999999974</v>
      </c>
      <c r="K85" s="41">
        <f t="shared" ca="1" si="8"/>
        <v>16.299999999999983</v>
      </c>
      <c r="L85" s="41">
        <f t="shared" ca="1" si="8"/>
        <v>19.300000000000004</v>
      </c>
      <c r="M85" s="41">
        <f t="shared" ca="1" si="8"/>
        <v>24.500000000000011</v>
      </c>
      <c r="N85" s="41">
        <f t="shared" ca="1" si="8"/>
        <v>27</v>
      </c>
      <c r="O85" s="41">
        <f t="shared" ca="1" si="8"/>
        <v>33.299999999999976</v>
      </c>
      <c r="P85" s="41">
        <f t="shared" ca="1" si="8"/>
        <v>36.09999999999998</v>
      </c>
      <c r="Q85" s="41">
        <f t="shared" ca="1" si="8"/>
        <v>30.699999999999996</v>
      </c>
      <c r="R85" s="41">
        <f t="shared" ca="1" si="8"/>
        <v>32.499999999999972</v>
      </c>
      <c r="S85" s="41">
        <f t="shared" ca="1" si="8"/>
        <v>27.099999999999991</v>
      </c>
      <c r="T85" s="41">
        <f t="shared" ca="1" si="8"/>
        <v>30.600000000000005</v>
      </c>
      <c r="U85" s="41">
        <f t="shared" ca="1" si="8"/>
        <v>32.200000000000003</v>
      </c>
      <c r="V85" s="42">
        <f t="shared" ca="1" si="8"/>
        <v>34.600000000000009</v>
      </c>
    </row>
    <row r="86" spans="2:22" s="1" customFormat="1" x14ac:dyDescent="0.25">
      <c r="B86" s="95"/>
      <c r="C86" s="94"/>
      <c r="D86" s="91"/>
      <c r="E86" s="90"/>
      <c r="F86" s="90"/>
      <c r="G86" s="59"/>
      <c r="H86" s="17" t="str">
        <f t="shared" si="9"/>
        <v>인천국제공항공사</v>
      </c>
      <c r="I86" s="40">
        <f t="shared" ca="1" si="10"/>
        <v>18.699999999999982</v>
      </c>
      <c r="J86" s="41">
        <f t="shared" ca="1" si="10"/>
        <v>23.599999999999977</v>
      </c>
      <c r="K86" s="41">
        <f t="shared" ca="1" si="10"/>
        <v>20.900000000000006</v>
      </c>
      <c r="L86" s="41">
        <f t="shared" ca="1" si="10"/>
        <v>24.899999999999967</v>
      </c>
      <c r="M86" s="41">
        <f t="shared" ca="1" si="10"/>
        <v>31.099999999999994</v>
      </c>
      <c r="N86" s="41">
        <f t="shared" ca="1" si="10"/>
        <v>34.399999999999984</v>
      </c>
      <c r="O86" s="41">
        <f t="shared" ca="1" si="10"/>
        <v>40.79999999999999</v>
      </c>
      <c r="P86" s="41">
        <f t="shared" ca="1" si="10"/>
        <v>43.699999999999982</v>
      </c>
      <c r="Q86" s="41">
        <f t="shared" ca="1" si="10"/>
        <v>38.299999999999997</v>
      </c>
      <c r="R86" s="41">
        <f t="shared" ca="1" si="10"/>
        <v>39.999999999999993</v>
      </c>
      <c r="S86" s="41">
        <f t="shared" ca="1" si="10"/>
        <v>33.5</v>
      </c>
      <c r="T86" s="41">
        <f t="shared" ca="1" si="10"/>
        <v>36.700000000000003</v>
      </c>
      <c r="U86" s="41">
        <f t="shared" ca="1" si="10"/>
        <v>38.90000000000002</v>
      </c>
      <c r="V86" s="42">
        <f t="shared" ca="1" si="10"/>
        <v>41.199999999999989</v>
      </c>
    </row>
    <row r="87" spans="2:22" s="1" customFormat="1" x14ac:dyDescent="0.25">
      <c r="B87" s="95"/>
      <c r="C87" s="94"/>
      <c r="D87" s="91"/>
      <c r="E87" s="90"/>
      <c r="F87" s="90"/>
      <c r="G87" s="59"/>
      <c r="H87" s="17" t="str">
        <f t="shared" si="9"/>
        <v>인천항만공사</v>
      </c>
      <c r="I87" s="40">
        <f t="shared" ref="I87:V102" ca="1" si="11">( INDEX( $H$7:$V$64, MATCH($H87, $H$7:$H$64, 0), I$6) - I$7 )*100</f>
        <v>16.000000000000014</v>
      </c>
      <c r="J87" s="41">
        <f t="shared" ca="1" si="11"/>
        <v>21.099999999999987</v>
      </c>
      <c r="K87" s="41">
        <f t="shared" ca="1" si="11"/>
        <v>18.699999999999982</v>
      </c>
      <c r="L87" s="41">
        <f t="shared" ca="1" si="11"/>
        <v>21.799999999999997</v>
      </c>
      <c r="M87" s="41">
        <f t="shared" ca="1" si="11"/>
        <v>27.800000000000004</v>
      </c>
      <c r="N87" s="41">
        <f t="shared" ca="1" si="11"/>
        <v>30.699999999999996</v>
      </c>
      <c r="O87" s="41">
        <f t="shared" ca="1" si="11"/>
        <v>37.299999999999976</v>
      </c>
      <c r="P87" s="41">
        <f t="shared" ca="1" si="11"/>
        <v>40.899999999999977</v>
      </c>
      <c r="Q87" s="41">
        <f t="shared" ca="1" si="11"/>
        <v>36.20000000000001</v>
      </c>
      <c r="R87" s="41">
        <f t="shared" ca="1" si="11"/>
        <v>38.299999999999997</v>
      </c>
      <c r="S87" s="41">
        <f t="shared" ca="1" si="11"/>
        <v>32.099999999999973</v>
      </c>
      <c r="T87" s="41">
        <f t="shared" ca="1" si="11"/>
        <v>35.000000000000007</v>
      </c>
      <c r="U87" s="41">
        <f t="shared" ca="1" si="11"/>
        <v>36.700000000000003</v>
      </c>
      <c r="V87" s="42">
        <f t="shared" ca="1" si="11"/>
        <v>38.499999999999979</v>
      </c>
    </row>
    <row r="88" spans="2:22" s="1" customFormat="1" x14ac:dyDescent="0.25">
      <c r="B88" s="95"/>
      <c r="C88" s="94"/>
      <c r="D88" s="91"/>
      <c r="E88" s="90"/>
      <c r="F88" s="90"/>
      <c r="G88" s="59"/>
      <c r="H88" s="17" t="str">
        <f t="shared" si="9"/>
        <v>제주개발센터</v>
      </c>
      <c r="I88" s="40">
        <f t="shared" ca="1" si="11"/>
        <v>7.7999999999999847</v>
      </c>
      <c r="J88" s="41">
        <f t="shared" ca="1" si="11"/>
        <v>14.69999999999998</v>
      </c>
      <c r="K88" s="41">
        <f t="shared" ca="1" si="11"/>
        <v>12.5</v>
      </c>
      <c r="L88" s="41">
        <f t="shared" ca="1" si="11"/>
        <v>18.299999999999983</v>
      </c>
      <c r="M88" s="41">
        <f t="shared" ca="1" si="11"/>
        <v>24.2</v>
      </c>
      <c r="N88" s="41">
        <f t="shared" ca="1" si="11"/>
        <v>26.29999999999999</v>
      </c>
      <c r="O88" s="41">
        <f t="shared" ca="1" si="11"/>
        <v>32.099999999999973</v>
      </c>
      <c r="P88" s="41">
        <f t="shared" ca="1" si="11"/>
        <v>34.600000000000009</v>
      </c>
      <c r="Q88" s="41">
        <f t="shared" ca="1" si="11"/>
        <v>30.400000000000027</v>
      </c>
      <c r="R88" s="41">
        <f t="shared" ca="1" si="11"/>
        <v>31.300000000000018</v>
      </c>
      <c r="S88" s="41">
        <f t="shared" ca="1" si="11"/>
        <v>25.899999999999991</v>
      </c>
      <c r="T88" s="41">
        <f t="shared" ca="1" si="11"/>
        <v>27.700000000000014</v>
      </c>
      <c r="U88" s="41">
        <f t="shared" ca="1" si="11"/>
        <v>29.500000000000036</v>
      </c>
      <c r="V88" s="42">
        <f t="shared" ca="1" si="11"/>
        <v>32.299999999999997</v>
      </c>
    </row>
    <row r="89" spans="2:22" s="1" customFormat="1" x14ac:dyDescent="0.25">
      <c r="B89" s="95"/>
      <c r="C89" s="94"/>
      <c r="D89" s="91"/>
      <c r="E89" s="90"/>
      <c r="F89" s="90"/>
      <c r="G89" s="59"/>
      <c r="H89" s="17" t="str">
        <f t="shared" si="9"/>
        <v>중소벤처기업진흥공단</v>
      </c>
      <c r="I89" s="40">
        <f t="shared" ca="1" si="11"/>
        <v>13.200000000000012</v>
      </c>
      <c r="J89" s="41">
        <f t="shared" ca="1" si="11"/>
        <v>17.999999999999972</v>
      </c>
      <c r="K89" s="41">
        <f t="shared" ca="1" si="11"/>
        <v>15.09999999999998</v>
      </c>
      <c r="L89" s="41">
        <f t="shared" ca="1" si="11"/>
        <v>18.100000000000005</v>
      </c>
      <c r="M89" s="41">
        <f t="shared" ca="1" si="11"/>
        <v>22.900000000000009</v>
      </c>
      <c r="N89" s="41">
        <f t="shared" ca="1" si="11"/>
        <v>24.699999999999989</v>
      </c>
      <c r="O89" s="41">
        <f t="shared" ca="1" si="11"/>
        <v>31.199999999999982</v>
      </c>
      <c r="P89" s="41">
        <f t="shared" ca="1" si="11"/>
        <v>33.699999999999974</v>
      </c>
      <c r="Q89" s="41">
        <f t="shared" ca="1" si="11"/>
        <v>28.29999999999999</v>
      </c>
      <c r="R89" s="41">
        <f t="shared" ca="1" si="11"/>
        <v>29.999999999999982</v>
      </c>
      <c r="S89" s="41">
        <f t="shared" ca="1" si="11"/>
        <v>24.6</v>
      </c>
      <c r="T89" s="41">
        <f t="shared" ca="1" si="11"/>
        <v>28.699999999999992</v>
      </c>
      <c r="U89" s="41">
        <f t="shared" ca="1" si="11"/>
        <v>30.400000000000027</v>
      </c>
      <c r="V89" s="42">
        <f t="shared" ca="1" si="11"/>
        <v>33.000000000000007</v>
      </c>
    </row>
    <row r="90" spans="2:22" s="1" customFormat="1" x14ac:dyDescent="0.25">
      <c r="B90" s="95"/>
      <c r="C90" s="94"/>
      <c r="D90" s="91"/>
      <c r="E90" s="90"/>
      <c r="F90" s="90"/>
      <c r="G90" s="59"/>
      <c r="H90" s="17" t="str">
        <f t="shared" si="9"/>
        <v>지역난방공사</v>
      </c>
      <c r="I90" s="40">
        <f t="shared" ca="1" si="11"/>
        <v>13.39999999999999</v>
      </c>
      <c r="J90" s="41">
        <f t="shared" ca="1" si="11"/>
        <v>18.299999999999983</v>
      </c>
      <c r="K90" s="41">
        <f t="shared" ca="1" si="11"/>
        <v>15.399999999999991</v>
      </c>
      <c r="L90" s="41">
        <f t="shared" ca="1" si="11"/>
        <v>18.299999999999983</v>
      </c>
      <c r="M90" s="41">
        <f t="shared" ca="1" si="11"/>
        <v>23.600000000000023</v>
      </c>
      <c r="N90" s="41">
        <f t="shared" ca="1" si="11"/>
        <v>26.200000000000003</v>
      </c>
      <c r="O90" s="41">
        <f t="shared" ca="1" si="11"/>
        <v>32.299999999999997</v>
      </c>
      <c r="P90" s="41">
        <f t="shared" ca="1" si="11"/>
        <v>34.899999999999977</v>
      </c>
      <c r="Q90" s="41">
        <f t="shared" ca="1" si="11"/>
        <v>30.299999999999994</v>
      </c>
      <c r="R90" s="41">
        <f t="shared" ca="1" si="11"/>
        <v>32.499999999999972</v>
      </c>
      <c r="S90" s="41">
        <f t="shared" ca="1" si="11"/>
        <v>26.6</v>
      </c>
      <c r="T90" s="41">
        <f t="shared" ca="1" si="11"/>
        <v>30.500000000000014</v>
      </c>
      <c r="U90" s="41">
        <f t="shared" ca="1" si="11"/>
        <v>32.200000000000003</v>
      </c>
      <c r="V90" s="42">
        <f t="shared" ca="1" si="11"/>
        <v>34.499999999999972</v>
      </c>
    </row>
    <row r="91" spans="2:22" s="1" customFormat="1" x14ac:dyDescent="0.25">
      <c r="B91" s="95"/>
      <c r="C91" s="94"/>
      <c r="D91" s="91"/>
      <c r="E91" s="90"/>
      <c r="F91" s="90"/>
      <c r="G91" s="59"/>
      <c r="H91" s="17" t="str">
        <f t="shared" si="9"/>
        <v>한국가스공사</v>
      </c>
      <c r="I91" s="40">
        <f t="shared" ca="1" si="11"/>
        <v>19.700000000000006</v>
      </c>
      <c r="J91" s="41">
        <f t="shared" ca="1" si="11"/>
        <v>24.799999999999976</v>
      </c>
      <c r="K91" s="41">
        <f t="shared" ca="1" si="11"/>
        <v>22.100000000000009</v>
      </c>
      <c r="L91" s="41">
        <f t="shared" ca="1" si="11"/>
        <v>25.4</v>
      </c>
      <c r="M91" s="41">
        <f t="shared" ca="1" si="11"/>
        <v>30.800000000000026</v>
      </c>
      <c r="N91" s="41">
        <f t="shared" ca="1" si="11"/>
        <v>33.9</v>
      </c>
      <c r="O91" s="41">
        <f t="shared" ca="1" si="11"/>
        <v>40.199999999999967</v>
      </c>
      <c r="P91" s="41">
        <f t="shared" ca="1" si="11"/>
        <v>42.899999999999984</v>
      </c>
      <c r="Q91" s="41">
        <f t="shared" ca="1" si="11"/>
        <v>37.700000000000024</v>
      </c>
      <c r="R91" s="41">
        <f t="shared" ca="1" si="11"/>
        <v>39.1</v>
      </c>
      <c r="S91" s="41">
        <f t="shared" ca="1" si="11"/>
        <v>33.000000000000007</v>
      </c>
      <c r="T91" s="41">
        <f t="shared" ca="1" si="11"/>
        <v>35.700000000000017</v>
      </c>
      <c r="U91" s="41">
        <f t="shared" ca="1" si="11"/>
        <v>37.400000000000013</v>
      </c>
      <c r="V91" s="42">
        <f t="shared" ca="1" si="11"/>
        <v>39.199999999999989</v>
      </c>
    </row>
    <row r="92" spans="2:22" s="1" customFormat="1" x14ac:dyDescent="0.25">
      <c r="B92" s="95"/>
      <c r="C92" s="94"/>
      <c r="D92" s="91"/>
      <c r="E92" s="90"/>
      <c r="F92" s="90"/>
      <c r="G92" s="59"/>
      <c r="H92" s="17" t="str">
        <f t="shared" si="9"/>
        <v>한국공항공사</v>
      </c>
      <c r="I92" s="40">
        <f t="shared" ca="1" si="11"/>
        <v>17.399999999999991</v>
      </c>
      <c r="J92" s="41">
        <f t="shared" ca="1" si="11"/>
        <v>22.100000000000009</v>
      </c>
      <c r="K92" s="41">
        <f t="shared" ca="1" si="11"/>
        <v>19.399999999999995</v>
      </c>
      <c r="L92" s="41">
        <f t="shared" ca="1" si="11"/>
        <v>23.099999999999987</v>
      </c>
      <c r="M92" s="41">
        <f t="shared" ca="1" si="11"/>
        <v>29.300000000000015</v>
      </c>
      <c r="N92" s="41">
        <f t="shared" ca="1" si="11"/>
        <v>32.600000000000009</v>
      </c>
      <c r="O92" s="41">
        <f t="shared" ca="1" si="11"/>
        <v>38.79999999999999</v>
      </c>
      <c r="P92" s="41">
        <f t="shared" ca="1" si="11"/>
        <v>41.699999999999982</v>
      </c>
      <c r="Q92" s="41">
        <f t="shared" ca="1" si="11"/>
        <v>36.299999999999997</v>
      </c>
      <c r="R92" s="41">
        <f t="shared" ca="1" si="11"/>
        <v>37.999999999999986</v>
      </c>
      <c r="S92" s="41">
        <f t="shared" ca="1" si="11"/>
        <v>32.299999999999997</v>
      </c>
      <c r="T92" s="41">
        <f t="shared" ca="1" si="11"/>
        <v>35.700000000000017</v>
      </c>
      <c r="U92" s="41">
        <f t="shared" ca="1" si="11"/>
        <v>37.700000000000024</v>
      </c>
      <c r="V92" s="42">
        <f t="shared" ca="1" si="11"/>
        <v>39.5</v>
      </c>
    </row>
    <row r="93" spans="2:22" s="1" customFormat="1" x14ac:dyDescent="0.25">
      <c r="B93" s="95"/>
      <c r="C93" s="94"/>
      <c r="D93" s="91"/>
      <c r="E93" s="90"/>
      <c r="F93" s="90"/>
      <c r="G93" s="59"/>
      <c r="H93" s="17" t="str">
        <f t="shared" si="9"/>
        <v>한국도로공사</v>
      </c>
      <c r="I93" s="40">
        <f t="shared" ca="1" si="11"/>
        <v>11.299999999999999</v>
      </c>
      <c r="J93" s="41">
        <f t="shared" ca="1" si="11"/>
        <v>16.199999999999992</v>
      </c>
      <c r="K93" s="41">
        <f t="shared" ca="1" si="11"/>
        <v>13.79999999999999</v>
      </c>
      <c r="L93" s="41">
        <f t="shared" ca="1" si="11"/>
        <v>16.599999999999994</v>
      </c>
      <c r="M93" s="41">
        <f t="shared" ca="1" si="11"/>
        <v>22.100000000000009</v>
      </c>
      <c r="N93" s="41">
        <f t="shared" ca="1" si="11"/>
        <v>24.499999999999964</v>
      </c>
      <c r="O93" s="41">
        <f t="shared" ca="1" si="11"/>
        <v>30.599999999999959</v>
      </c>
      <c r="P93" s="41">
        <f t="shared" ca="1" si="11"/>
        <v>33.300000000000018</v>
      </c>
      <c r="Q93" s="41">
        <f t="shared" ca="1" si="11"/>
        <v>27.499999999999993</v>
      </c>
      <c r="R93" s="41">
        <f t="shared" ca="1" si="11"/>
        <v>29.400000000000006</v>
      </c>
      <c r="S93" s="41">
        <f t="shared" ca="1" si="11"/>
        <v>22.699999999999989</v>
      </c>
      <c r="T93" s="41">
        <f t="shared" ca="1" si="11"/>
        <v>26.100000000000012</v>
      </c>
      <c r="U93" s="41">
        <f t="shared" ca="1" si="11"/>
        <v>27.700000000000014</v>
      </c>
      <c r="V93" s="42">
        <f t="shared" ca="1" si="11"/>
        <v>28.799999999999983</v>
      </c>
    </row>
    <row r="94" spans="2:22" s="1" customFormat="1" x14ac:dyDescent="0.25">
      <c r="B94" s="95"/>
      <c r="C94" s="94"/>
      <c r="D94" s="91"/>
      <c r="E94" s="90"/>
      <c r="F94" s="90"/>
      <c r="G94" s="59"/>
      <c r="H94" s="17" t="str">
        <f t="shared" si="9"/>
        <v>한국산업단지공단</v>
      </c>
      <c r="I94" s="40">
        <f t="shared" ca="1" si="11"/>
        <v>13.200000000000012</v>
      </c>
      <c r="J94" s="41">
        <f t="shared" ca="1" si="11"/>
        <v>18.100000000000005</v>
      </c>
      <c r="K94" s="41">
        <f t="shared" ca="1" si="11"/>
        <v>15.300000000000002</v>
      </c>
      <c r="L94" s="41">
        <f t="shared" ca="1" si="11"/>
        <v>18.299999999999983</v>
      </c>
      <c r="M94" s="41">
        <f t="shared" ca="1" si="11"/>
        <v>23.600000000000023</v>
      </c>
      <c r="N94" s="41">
        <f t="shared" ca="1" si="11"/>
        <v>26.200000000000003</v>
      </c>
      <c r="O94" s="41">
        <f t="shared" ca="1" si="11"/>
        <v>32.499999999999972</v>
      </c>
      <c r="P94" s="41">
        <f t="shared" ca="1" si="11"/>
        <v>35.199999999999989</v>
      </c>
      <c r="Q94" s="41">
        <f t="shared" ca="1" si="11"/>
        <v>29.800000000000004</v>
      </c>
      <c r="R94" s="41">
        <f t="shared" ca="1" si="11"/>
        <v>31.499999999999993</v>
      </c>
      <c r="S94" s="41">
        <f t="shared" ca="1" si="11"/>
        <v>25.8</v>
      </c>
      <c r="T94" s="41">
        <f t="shared" ca="1" si="11"/>
        <v>29.300000000000015</v>
      </c>
      <c r="U94" s="41">
        <f t="shared" ca="1" si="11"/>
        <v>30.200000000000003</v>
      </c>
      <c r="V94" s="42">
        <f t="shared" ca="1" si="11"/>
        <v>33.199999999999989</v>
      </c>
    </row>
    <row r="95" spans="2:22" s="1" customFormat="1" x14ac:dyDescent="0.25">
      <c r="B95" s="95"/>
      <c r="C95" s="94"/>
      <c r="D95" s="91"/>
      <c r="E95" s="90"/>
      <c r="F95" s="90"/>
      <c r="G95" s="59"/>
      <c r="H95" s="17" t="str">
        <f t="shared" si="9"/>
        <v>한국석유공사</v>
      </c>
      <c r="I95" s="40">
        <f t="shared" ca="1" si="11"/>
        <v>13.100000000000023</v>
      </c>
      <c r="J95" s="41">
        <f t="shared" ca="1" si="11"/>
        <v>17.700000000000003</v>
      </c>
      <c r="K95" s="41">
        <f t="shared" ca="1" si="11"/>
        <v>14.799999999999969</v>
      </c>
      <c r="L95" s="41">
        <f t="shared" ca="1" si="11"/>
        <v>17.999999999999972</v>
      </c>
      <c r="M95" s="41">
        <f t="shared" ca="1" si="11"/>
        <v>23.4</v>
      </c>
      <c r="N95" s="41">
        <f t="shared" ca="1" si="11"/>
        <v>26.099999999999966</v>
      </c>
      <c r="O95" s="41">
        <f t="shared" ca="1" si="11"/>
        <v>32.399999999999984</v>
      </c>
      <c r="P95" s="41">
        <f t="shared" ca="1" si="11"/>
        <v>35.099999999999994</v>
      </c>
      <c r="Q95" s="41">
        <f t="shared" ca="1" si="11"/>
        <v>29.700000000000017</v>
      </c>
      <c r="R95" s="41">
        <f t="shared" ca="1" si="11"/>
        <v>31.400000000000006</v>
      </c>
      <c r="S95" s="41">
        <f t="shared" ca="1" si="11"/>
        <v>25.699999999999967</v>
      </c>
      <c r="T95" s="41">
        <f t="shared" ca="1" si="11"/>
        <v>29.199999999999982</v>
      </c>
      <c r="U95" s="41">
        <f t="shared" ca="1" si="11"/>
        <v>30.000000000000028</v>
      </c>
      <c r="V95" s="42">
        <f t="shared" ca="1" si="11"/>
        <v>33.099999999999994</v>
      </c>
    </row>
    <row r="96" spans="2:22" s="1" customFormat="1" x14ac:dyDescent="0.25">
      <c r="B96" s="95"/>
      <c r="C96" s="94"/>
      <c r="D96" s="91"/>
      <c r="E96" s="90"/>
      <c r="F96" s="90"/>
      <c r="G96" s="59"/>
      <c r="H96" s="17" t="str">
        <f t="shared" si="9"/>
        <v>한국수자원공사</v>
      </c>
      <c r="I96" s="40">
        <f t="shared" ca="1" si="11"/>
        <v>11.7</v>
      </c>
      <c r="J96" s="41">
        <f t="shared" ca="1" si="11"/>
        <v>16.500000000000004</v>
      </c>
      <c r="K96" s="41">
        <f t="shared" ca="1" si="11"/>
        <v>14.299999999999979</v>
      </c>
      <c r="L96" s="41">
        <f t="shared" ca="1" si="11"/>
        <v>17.300000000000004</v>
      </c>
      <c r="M96" s="41">
        <f t="shared" ca="1" si="11"/>
        <v>22.800000000000018</v>
      </c>
      <c r="N96" s="41">
        <f t="shared" ca="1" si="11"/>
        <v>25.099999999999987</v>
      </c>
      <c r="O96" s="41">
        <f t="shared" ca="1" si="11"/>
        <v>31.299999999999972</v>
      </c>
      <c r="P96" s="41">
        <f t="shared" ca="1" si="11"/>
        <v>33.9</v>
      </c>
      <c r="Q96" s="41">
        <f t="shared" ca="1" si="11"/>
        <v>28.200000000000003</v>
      </c>
      <c r="R96" s="41">
        <f t="shared" ca="1" si="11"/>
        <v>30.100000000000016</v>
      </c>
      <c r="S96" s="41">
        <f t="shared" ca="1" si="11"/>
        <v>23.300000000000011</v>
      </c>
      <c r="T96" s="41">
        <f t="shared" ca="1" si="11"/>
        <v>26.800000000000026</v>
      </c>
      <c r="U96" s="41">
        <f t="shared" ca="1" si="11"/>
        <v>28.700000000000038</v>
      </c>
      <c r="V96" s="42">
        <f t="shared" ca="1" si="11"/>
        <v>29.800000000000004</v>
      </c>
    </row>
    <row r="97" spans="8:22" s="1" customFormat="1" x14ac:dyDescent="0.25">
      <c r="H97" s="17" t="str">
        <f t="shared" si="9"/>
        <v>한국자산관리공사</v>
      </c>
      <c r="I97" s="40">
        <f t="shared" ca="1" si="11"/>
        <v>13.200000000000012</v>
      </c>
      <c r="J97" s="41">
        <f t="shared" ca="1" si="11"/>
        <v>17.999999999999972</v>
      </c>
      <c r="K97" s="41">
        <f t="shared" ca="1" si="11"/>
        <v>15.599999999999969</v>
      </c>
      <c r="L97" s="41">
        <f t="shared" ca="1" si="11"/>
        <v>18.599999999999994</v>
      </c>
      <c r="M97" s="41">
        <f t="shared" ca="1" si="11"/>
        <v>23.4</v>
      </c>
      <c r="N97" s="41">
        <f t="shared" ca="1" si="11"/>
        <v>25.4</v>
      </c>
      <c r="O97" s="41">
        <f t="shared" ca="1" si="11"/>
        <v>31.899999999999995</v>
      </c>
      <c r="P97" s="41">
        <f t="shared" ca="1" si="11"/>
        <v>34.699999999999996</v>
      </c>
      <c r="Q97" s="41">
        <f t="shared" ca="1" si="11"/>
        <v>29.800000000000004</v>
      </c>
      <c r="R97" s="41">
        <f t="shared" ca="1" si="11"/>
        <v>31.499999999999993</v>
      </c>
      <c r="S97" s="41">
        <f t="shared" ca="1" si="11"/>
        <v>26.499999999999968</v>
      </c>
      <c r="T97" s="41">
        <f t="shared" ca="1" si="11"/>
        <v>30.299999999999994</v>
      </c>
      <c r="U97" s="41">
        <f t="shared" ca="1" si="11"/>
        <v>32.400000000000027</v>
      </c>
      <c r="V97" s="42">
        <f t="shared" ca="1" si="11"/>
        <v>34.699999999999996</v>
      </c>
    </row>
    <row r="98" spans="8:22" s="1" customFormat="1" x14ac:dyDescent="0.25">
      <c r="H98" s="17" t="str">
        <f t="shared" si="9"/>
        <v>한국전력공사</v>
      </c>
      <c r="I98" s="40">
        <f t="shared" ca="1" si="11"/>
        <v>19.300000000000004</v>
      </c>
      <c r="J98" s="41">
        <f t="shared" ca="1" si="11"/>
        <v>26.200000000000003</v>
      </c>
      <c r="K98" s="41">
        <f t="shared" ca="1" si="11"/>
        <v>24.29999999999999</v>
      </c>
      <c r="L98" s="41">
        <f t="shared" ca="1" si="11"/>
        <v>27.800000000000004</v>
      </c>
      <c r="M98" s="41">
        <f t="shared" ca="1" si="11"/>
        <v>34.500000000000021</v>
      </c>
      <c r="N98" s="41">
        <f t="shared" ca="1" si="11"/>
        <v>37.699999999999974</v>
      </c>
      <c r="O98" s="41">
        <f t="shared" ca="1" si="11"/>
        <v>45.599999999999994</v>
      </c>
      <c r="P98" s="41">
        <f t="shared" ca="1" si="11"/>
        <v>50.300000000000011</v>
      </c>
      <c r="Q98" s="41">
        <f t="shared" ca="1" si="11"/>
        <v>45.100000000000009</v>
      </c>
      <c r="R98" s="41">
        <f t="shared" ca="1" si="11"/>
        <v>47.100000000000009</v>
      </c>
      <c r="S98" s="41">
        <f t="shared" ca="1" si="11"/>
        <v>41.599999999999994</v>
      </c>
      <c r="T98" s="41">
        <f t="shared" ca="1" si="11"/>
        <v>45.299999999999983</v>
      </c>
      <c r="U98" s="41">
        <f t="shared" ca="1" si="11"/>
        <v>46.600000000000023</v>
      </c>
      <c r="V98" s="42">
        <f t="shared" ca="1" si="11"/>
        <v>49.100000000000009</v>
      </c>
    </row>
    <row r="99" spans="8:22" s="1" customFormat="1" x14ac:dyDescent="0.25">
      <c r="H99" s="17" t="str">
        <f t="shared" si="9"/>
        <v>한국주택금융공사</v>
      </c>
      <c r="I99" s="40">
        <f t="shared" ca="1" si="11"/>
        <v>13.700000000000001</v>
      </c>
      <c r="J99" s="41">
        <f t="shared" ca="1" si="11"/>
        <v>19.099999999999984</v>
      </c>
      <c r="K99" s="41">
        <f t="shared" ca="1" si="11"/>
        <v>15.799999999999992</v>
      </c>
      <c r="L99" s="41">
        <f t="shared" ca="1" si="11"/>
        <v>18.799999999999972</v>
      </c>
      <c r="M99" s="41">
        <f t="shared" ca="1" si="11"/>
        <v>23.600000000000023</v>
      </c>
      <c r="N99" s="41">
        <f t="shared" ca="1" si="11"/>
        <v>25.699999999999967</v>
      </c>
      <c r="O99" s="41">
        <f t="shared" ca="1" si="11"/>
        <v>32.499999999999972</v>
      </c>
      <c r="P99" s="41">
        <f t="shared" ca="1" si="11"/>
        <v>34.899999999999977</v>
      </c>
      <c r="Q99" s="41">
        <f t="shared" ca="1" si="11"/>
        <v>29.499999999999993</v>
      </c>
      <c r="R99" s="41">
        <f t="shared" ca="1" si="11"/>
        <v>31.300000000000018</v>
      </c>
      <c r="S99" s="41">
        <f t="shared" ca="1" si="11"/>
        <v>26.29999999999999</v>
      </c>
      <c r="T99" s="41">
        <f t="shared" ca="1" si="11"/>
        <v>30.200000000000003</v>
      </c>
      <c r="U99" s="41">
        <f t="shared" ca="1" si="11"/>
        <v>31.700000000000017</v>
      </c>
      <c r="V99" s="42">
        <f t="shared" ca="1" si="11"/>
        <v>34.20000000000001</v>
      </c>
    </row>
    <row r="100" spans="8:22" s="1" customFormat="1" x14ac:dyDescent="0.25">
      <c r="H100" s="17" t="str">
        <f t="shared" si="9"/>
        <v>한국철도공사</v>
      </c>
      <c r="I100" s="40">
        <f t="shared" ca="1" si="11"/>
        <v>14.900000000000002</v>
      </c>
      <c r="J100" s="41">
        <f t="shared" ca="1" si="11"/>
        <v>19.499999999999986</v>
      </c>
      <c r="K100" s="41">
        <f t="shared" ca="1" si="11"/>
        <v>17.09999999999998</v>
      </c>
      <c r="L100" s="41">
        <f t="shared" ca="1" si="11"/>
        <v>19.899999999999984</v>
      </c>
      <c r="M100" s="41">
        <f t="shared" ca="1" si="11"/>
        <v>25.300000000000011</v>
      </c>
      <c r="N100" s="41">
        <f t="shared" ca="1" si="11"/>
        <v>28.399999999999981</v>
      </c>
      <c r="O100" s="41">
        <f t="shared" ca="1" si="11"/>
        <v>34.499999999999972</v>
      </c>
      <c r="P100" s="41">
        <f t="shared" ca="1" si="11"/>
        <v>37.400000000000013</v>
      </c>
      <c r="Q100" s="41">
        <f t="shared" ca="1" si="11"/>
        <v>31.899999999999995</v>
      </c>
      <c r="R100" s="41">
        <f t="shared" ca="1" si="11"/>
        <v>33.299999999999976</v>
      </c>
      <c r="S100" s="41">
        <f t="shared" ca="1" si="11"/>
        <v>27.499999999999993</v>
      </c>
      <c r="T100" s="41">
        <f t="shared" ca="1" si="11"/>
        <v>30.299999999999994</v>
      </c>
      <c r="U100" s="41">
        <f t="shared" ca="1" si="11"/>
        <v>30.900000000000016</v>
      </c>
      <c r="V100" s="42">
        <f t="shared" ca="1" si="11"/>
        <v>33.5</v>
      </c>
    </row>
    <row r="101" spans="8:22" s="1" customFormat="1" x14ac:dyDescent="0.25">
      <c r="H101" s="17" t="str">
        <f t="shared" si="9"/>
        <v>한국토지주택공사</v>
      </c>
      <c r="I101" s="40">
        <f t="shared" ca="1" si="11"/>
        <v>13.899999999999979</v>
      </c>
      <c r="J101" s="41">
        <f t="shared" ca="1" si="11"/>
        <v>18.599999999999994</v>
      </c>
      <c r="K101" s="41">
        <f t="shared" ca="1" si="11"/>
        <v>15.799999999999992</v>
      </c>
      <c r="L101" s="41">
        <f t="shared" ca="1" si="11"/>
        <v>18.799999999999972</v>
      </c>
      <c r="M101" s="41">
        <f t="shared" ca="1" si="11"/>
        <v>23.600000000000023</v>
      </c>
      <c r="N101" s="41">
        <f t="shared" ca="1" si="11"/>
        <v>26.099999999999966</v>
      </c>
      <c r="O101" s="41">
        <f t="shared" ca="1" si="11"/>
        <v>32.299999999999997</v>
      </c>
      <c r="P101" s="41">
        <f t="shared" ca="1" si="11"/>
        <v>35.400000000000006</v>
      </c>
      <c r="Q101" s="41">
        <f t="shared" ca="1" si="11"/>
        <v>29.800000000000004</v>
      </c>
      <c r="R101" s="41">
        <f t="shared" ca="1" si="11"/>
        <v>31.499999999999993</v>
      </c>
      <c r="S101" s="41">
        <f t="shared" ca="1" si="11"/>
        <v>25.59999999999998</v>
      </c>
      <c r="T101" s="41">
        <f t="shared" ca="1" si="11"/>
        <v>28.29999999999999</v>
      </c>
      <c r="U101" s="41">
        <f t="shared" ca="1" si="11"/>
        <v>29.900000000000038</v>
      </c>
      <c r="V101" s="42">
        <f t="shared" ca="1" si="11"/>
        <v>31.199999999999982</v>
      </c>
    </row>
    <row r="102" spans="8:22" s="1" customFormat="1" x14ac:dyDescent="0.25">
      <c r="H102" s="15" t="str">
        <f t="shared" si="9"/>
        <v>한국해양진흥공사</v>
      </c>
      <c r="I102" s="40">
        <f t="shared" ca="1" si="11"/>
        <v>13.200000000000012</v>
      </c>
      <c r="J102" s="41">
        <f t="shared" ca="1" si="11"/>
        <v>18.100000000000005</v>
      </c>
      <c r="K102" s="41">
        <f t="shared" ca="1" si="11"/>
        <v>15.300000000000002</v>
      </c>
      <c r="L102" s="41">
        <f t="shared" ca="1" si="11"/>
        <v>18.299999999999983</v>
      </c>
      <c r="M102" s="41">
        <f t="shared" ca="1" si="11"/>
        <v>23.4</v>
      </c>
      <c r="N102" s="41">
        <f t="shared" ca="1" si="11"/>
        <v>26.200000000000003</v>
      </c>
      <c r="O102" s="41">
        <f t="shared" ca="1" si="11"/>
        <v>32.499999999999972</v>
      </c>
      <c r="P102" s="41">
        <f t="shared" ca="1" si="11"/>
        <v>35.400000000000006</v>
      </c>
      <c r="Q102" s="41">
        <f t="shared" ca="1" si="11"/>
        <v>30.000000000000028</v>
      </c>
      <c r="R102" s="41">
        <f t="shared" ca="1" si="11"/>
        <v>31.599999999999984</v>
      </c>
      <c r="S102" s="41">
        <f t="shared" ca="1" si="11"/>
        <v>25.999999999999979</v>
      </c>
      <c r="T102" s="41">
        <f t="shared" ca="1" si="11"/>
        <v>29.300000000000015</v>
      </c>
      <c r="U102" s="41">
        <f t="shared" ca="1" si="11"/>
        <v>30.200000000000003</v>
      </c>
      <c r="V102" s="42">
        <f t="shared" ca="1" si="11"/>
        <v>33.199999999999989</v>
      </c>
    </row>
    <row r="103" spans="8:22" s="1" customFormat="1" x14ac:dyDescent="0.25">
      <c r="H103" s="15" t="str">
        <f t="shared" si="9"/>
        <v>한국해외인프라도시개발지원공사</v>
      </c>
      <c r="I103" s="40">
        <f t="shared" ref="I103:V118" ca="1" si="12">( INDEX( $H$7:$V$64, MATCH($H103, $H$7:$H$64, 0), I$6) - I$7 )*100</f>
        <v>18.000000000000014</v>
      </c>
      <c r="J103" s="41">
        <f t="shared" ca="1" si="12"/>
        <v>23</v>
      </c>
      <c r="K103" s="41">
        <f t="shared" ca="1" si="12"/>
        <v>20.399999999999974</v>
      </c>
      <c r="L103" s="41">
        <f t="shared" ca="1" si="12"/>
        <v>23.599999999999977</v>
      </c>
      <c r="M103" s="41">
        <f t="shared" ca="1" si="12"/>
        <v>28.900000000000013</v>
      </c>
      <c r="N103" s="41">
        <f t="shared" ca="1" si="12"/>
        <v>31.899999999999995</v>
      </c>
      <c r="O103" s="41">
        <f t="shared" ca="1" si="12"/>
        <v>37.999999999999986</v>
      </c>
      <c r="P103" s="41">
        <f t="shared" ca="1" si="12"/>
        <v>40.600000000000016</v>
      </c>
      <c r="Q103" s="41">
        <f t="shared" ca="1" si="12"/>
        <v>35.000000000000007</v>
      </c>
      <c r="R103" s="41">
        <f t="shared" ca="1" si="12"/>
        <v>36.499999999999979</v>
      </c>
      <c r="S103" s="41">
        <f t="shared" ca="1" si="12"/>
        <v>30.799999999999983</v>
      </c>
      <c r="T103" s="41">
        <f t="shared" ca="1" si="12"/>
        <v>33.999999999999986</v>
      </c>
      <c r="U103" s="41">
        <f t="shared" ca="1" si="12"/>
        <v>35.9</v>
      </c>
      <c r="V103" s="42">
        <f t="shared" ca="1" si="12"/>
        <v>38.199999999999967</v>
      </c>
    </row>
    <row r="104" spans="8:22" s="1" customFormat="1" x14ac:dyDescent="0.25">
      <c r="H104" s="16" t="str">
        <f t="shared" si="9"/>
        <v>공사/공단채 AA+</v>
      </c>
      <c r="I104" s="46">
        <f t="shared" ca="1" si="12"/>
        <v>18.900000000000006</v>
      </c>
      <c r="J104" s="47">
        <f t="shared" ca="1" si="12"/>
        <v>27.999999999999979</v>
      </c>
      <c r="K104" s="47">
        <f t="shared" ca="1" si="12"/>
        <v>26.500000000000014</v>
      </c>
      <c r="L104" s="47">
        <f t="shared" ca="1" si="12"/>
        <v>30.099999999999973</v>
      </c>
      <c r="M104" s="47">
        <f t="shared" ca="1" si="12"/>
        <v>39.000000000000014</v>
      </c>
      <c r="N104" s="47">
        <f t="shared" ca="1" si="12"/>
        <v>42.300000000000004</v>
      </c>
      <c r="O104" s="47">
        <f t="shared" ca="1" si="12"/>
        <v>49.099999999999966</v>
      </c>
      <c r="P104" s="47">
        <f t="shared" ca="1" si="12"/>
        <v>52.199999999999982</v>
      </c>
      <c r="Q104" s="47">
        <f t="shared" ca="1" si="12"/>
        <v>47.100000000000009</v>
      </c>
      <c r="R104" s="47">
        <f t="shared" ca="1" si="12"/>
        <v>49.2</v>
      </c>
      <c r="S104" s="47">
        <f t="shared" ca="1" si="12"/>
        <v>43.999999999999993</v>
      </c>
      <c r="T104" s="47">
        <f t="shared" ca="1" si="12"/>
        <v>49.000000000000021</v>
      </c>
      <c r="U104" s="47">
        <f t="shared" ca="1" si="12"/>
        <v>54.600000000000023</v>
      </c>
      <c r="V104" s="48">
        <f t="shared" ca="1" si="12"/>
        <v>59.20000000000001</v>
      </c>
    </row>
    <row r="105" spans="8:22" s="1" customFormat="1" x14ac:dyDescent="0.25">
      <c r="H105" s="14" t="str">
        <f t="shared" si="9"/>
        <v>강원도개발공사</v>
      </c>
      <c r="I105" s="40">
        <f t="shared" ca="1" si="12"/>
        <v>19.799999999999997</v>
      </c>
      <c r="J105" s="41">
        <f t="shared" ca="1" si="12"/>
        <v>31.199999999999982</v>
      </c>
      <c r="K105" s="41">
        <f t="shared" ca="1" si="12"/>
        <v>29.699999999999971</v>
      </c>
      <c r="L105" s="41">
        <f t="shared" ca="1" si="12"/>
        <v>35.5</v>
      </c>
      <c r="M105" s="41">
        <f t="shared" ca="1" si="12"/>
        <v>46.8</v>
      </c>
      <c r="N105" s="41">
        <f t="shared" ca="1" si="12"/>
        <v>50.499999999999986</v>
      </c>
      <c r="O105" s="41">
        <f t="shared" ca="1" si="12"/>
        <v>58.699999999999974</v>
      </c>
      <c r="P105" s="41">
        <f t="shared" ca="1" si="12"/>
        <v>61.20000000000001</v>
      </c>
      <c r="Q105" s="41">
        <f t="shared" ca="1" si="12"/>
        <v>58.099999999999994</v>
      </c>
      <c r="R105" s="41">
        <f t="shared" ca="1" si="12"/>
        <v>59.899999999999977</v>
      </c>
      <c r="S105" s="41">
        <f t="shared" ca="1" si="12"/>
        <v>57.399999999999984</v>
      </c>
      <c r="T105" s="41">
        <f t="shared" ca="1" si="12"/>
        <v>59.20000000000001</v>
      </c>
      <c r="U105" s="41">
        <f t="shared" ca="1" si="12"/>
        <v>65.7</v>
      </c>
      <c r="V105" s="42">
        <f t="shared" ca="1" si="12"/>
        <v>69.599999999999966</v>
      </c>
    </row>
    <row r="106" spans="8:22" s="1" customFormat="1" x14ac:dyDescent="0.25">
      <c r="H106" s="17" t="str">
        <f t="shared" si="9"/>
        <v>경남개발공사</v>
      </c>
      <c r="I106" s="40">
        <f t="shared" ca="1" si="12"/>
        <v>20.000000000000018</v>
      </c>
      <c r="J106" s="41">
        <f t="shared" ca="1" si="12"/>
        <v>29.099999999999994</v>
      </c>
      <c r="K106" s="41">
        <f t="shared" ca="1" si="12"/>
        <v>27.59999999999998</v>
      </c>
      <c r="L106" s="41">
        <f t="shared" ca="1" si="12"/>
        <v>31.499999999999993</v>
      </c>
      <c r="M106" s="41">
        <f t="shared" ca="1" si="12"/>
        <v>40.399999999999991</v>
      </c>
      <c r="N106" s="41">
        <f t="shared" ca="1" si="12"/>
        <v>43.299999999999983</v>
      </c>
      <c r="O106" s="41">
        <f t="shared" ca="1" si="12"/>
        <v>50.299999999999969</v>
      </c>
      <c r="P106" s="41">
        <f t="shared" ca="1" si="12"/>
        <v>54</v>
      </c>
      <c r="Q106" s="41">
        <f t="shared" ca="1" si="12"/>
        <v>49.100000000000009</v>
      </c>
      <c r="R106" s="41">
        <f t="shared" ca="1" si="12"/>
        <v>50.999999999999979</v>
      </c>
      <c r="S106" s="41">
        <f t="shared" ca="1" si="12"/>
        <v>45.399999999999977</v>
      </c>
      <c r="T106" s="41">
        <f t="shared" ca="1" si="12"/>
        <v>50.4</v>
      </c>
      <c r="U106" s="41">
        <f t="shared" ca="1" si="12"/>
        <v>53.500000000000014</v>
      </c>
      <c r="V106" s="42">
        <f t="shared" ca="1" si="12"/>
        <v>60.5</v>
      </c>
    </row>
    <row r="107" spans="8:22" s="1" customFormat="1" x14ac:dyDescent="0.25">
      <c r="H107" s="17" t="str">
        <f t="shared" si="9"/>
        <v>경상북도개발공사</v>
      </c>
      <c r="I107" s="40">
        <f t="shared" ca="1" si="12"/>
        <v>17.499999999999982</v>
      </c>
      <c r="J107" s="41">
        <f t="shared" ca="1" si="12"/>
        <v>28.89999999999997</v>
      </c>
      <c r="K107" s="41">
        <f t="shared" ca="1" si="12"/>
        <v>27.400000000000002</v>
      </c>
      <c r="L107" s="41">
        <f t="shared" ca="1" si="12"/>
        <v>33.199999999999989</v>
      </c>
      <c r="M107" s="41">
        <f t="shared" ca="1" si="12"/>
        <v>42.500000000000028</v>
      </c>
      <c r="N107" s="41">
        <f t="shared" ca="1" si="12"/>
        <v>46.199999999999974</v>
      </c>
      <c r="O107" s="41">
        <f t="shared" ca="1" si="12"/>
        <v>52.400000000000006</v>
      </c>
      <c r="P107" s="41">
        <f t="shared" ca="1" si="12"/>
        <v>54.899999999999991</v>
      </c>
      <c r="Q107" s="41">
        <f t="shared" ca="1" si="12"/>
        <v>50.8</v>
      </c>
      <c r="R107" s="41">
        <f t="shared" ca="1" si="12"/>
        <v>52.59999999999998</v>
      </c>
      <c r="S107" s="41">
        <f t="shared" ca="1" si="12"/>
        <v>48.099999999999987</v>
      </c>
      <c r="T107" s="41">
        <f t="shared" ca="1" si="12"/>
        <v>49.900000000000013</v>
      </c>
      <c r="U107" s="41">
        <f t="shared" ca="1" si="12"/>
        <v>56.400000000000006</v>
      </c>
      <c r="V107" s="42">
        <f t="shared" ca="1" si="12"/>
        <v>60.299999999999976</v>
      </c>
    </row>
    <row r="108" spans="8:22" s="1" customFormat="1" x14ac:dyDescent="0.25">
      <c r="H108" s="17" t="str">
        <f t="shared" si="9"/>
        <v>광주광역시도시공사</v>
      </c>
      <c r="I108" s="40">
        <f t="shared" ca="1" si="12"/>
        <v>21.099999999999987</v>
      </c>
      <c r="J108" s="41">
        <f t="shared" ca="1" si="12"/>
        <v>30.200000000000003</v>
      </c>
      <c r="K108" s="41">
        <f t="shared" ca="1" si="12"/>
        <v>28.89999999999997</v>
      </c>
      <c r="L108" s="41">
        <f t="shared" ca="1" si="12"/>
        <v>32.599999999999966</v>
      </c>
      <c r="M108" s="41">
        <f t="shared" ca="1" si="12"/>
        <v>41.800000000000011</v>
      </c>
      <c r="N108" s="41">
        <f t="shared" ca="1" si="12"/>
        <v>45.100000000000009</v>
      </c>
      <c r="O108" s="41">
        <f t="shared" ca="1" si="12"/>
        <v>51.799999999999983</v>
      </c>
      <c r="P108" s="41">
        <f t="shared" ca="1" si="12"/>
        <v>55.2</v>
      </c>
      <c r="Q108" s="41">
        <f t="shared" ca="1" si="12"/>
        <v>50.300000000000011</v>
      </c>
      <c r="R108" s="41">
        <f t="shared" ca="1" si="12"/>
        <v>53.500000000000014</v>
      </c>
      <c r="S108" s="41">
        <f t="shared" ca="1" si="12"/>
        <v>48.4</v>
      </c>
      <c r="T108" s="41">
        <f t="shared" ca="1" si="12"/>
        <v>53.500000000000014</v>
      </c>
      <c r="U108" s="41">
        <f t="shared" ca="1" si="12"/>
        <v>58.300000000000018</v>
      </c>
      <c r="V108" s="42">
        <f t="shared" ca="1" si="12"/>
        <v>64.199999999999989</v>
      </c>
    </row>
    <row r="109" spans="8:22" s="1" customFormat="1" x14ac:dyDescent="0.25">
      <c r="H109" s="17" t="str">
        <f t="shared" si="9"/>
        <v>대구도시공사</v>
      </c>
      <c r="I109" s="40">
        <f t="shared" ca="1" si="12"/>
        <v>22.100000000000009</v>
      </c>
      <c r="J109" s="41">
        <f t="shared" ca="1" si="12"/>
        <v>31.000000000000007</v>
      </c>
      <c r="K109" s="41">
        <f t="shared" ca="1" si="12"/>
        <v>29.899999999999991</v>
      </c>
      <c r="L109" s="41">
        <f t="shared" ca="1" si="12"/>
        <v>33.799999999999962</v>
      </c>
      <c r="M109" s="41">
        <f t="shared" ca="1" si="12"/>
        <v>42.7</v>
      </c>
      <c r="N109" s="41">
        <f t="shared" ca="1" si="12"/>
        <v>45.799999999999976</v>
      </c>
      <c r="O109" s="41">
        <f t="shared" ca="1" si="12"/>
        <v>52.800000000000004</v>
      </c>
      <c r="P109" s="41">
        <f t="shared" ca="1" si="12"/>
        <v>56.199999999999982</v>
      </c>
      <c r="Q109" s="41">
        <f t="shared" ca="1" si="12"/>
        <v>51.500000000000014</v>
      </c>
      <c r="R109" s="41">
        <f t="shared" ca="1" si="12"/>
        <v>53.500000000000014</v>
      </c>
      <c r="S109" s="41">
        <f t="shared" ca="1" si="12"/>
        <v>48</v>
      </c>
      <c r="T109" s="41">
        <f t="shared" ca="1" si="12"/>
        <v>52.899999999999991</v>
      </c>
      <c r="U109" s="41">
        <f t="shared" ca="1" si="12"/>
        <v>57.3</v>
      </c>
      <c r="V109" s="42">
        <f t="shared" ca="1" si="12"/>
        <v>62.999999999999986</v>
      </c>
    </row>
    <row r="110" spans="8:22" s="1" customFormat="1" x14ac:dyDescent="0.25">
      <c r="H110" s="17" t="str">
        <f t="shared" si="9"/>
        <v>대구도시철도공사</v>
      </c>
      <c r="I110" s="40">
        <f t="shared" ca="1" si="12"/>
        <v>26.6</v>
      </c>
      <c r="J110" s="41">
        <f t="shared" ca="1" si="12"/>
        <v>36.20000000000001</v>
      </c>
      <c r="K110" s="41">
        <f t="shared" ca="1" si="12"/>
        <v>36.20000000000001</v>
      </c>
      <c r="L110" s="41">
        <f t="shared" ca="1" si="12"/>
        <v>39.900000000000006</v>
      </c>
      <c r="M110" s="41">
        <f t="shared" ca="1" si="12"/>
        <v>48.8</v>
      </c>
      <c r="N110" s="41">
        <f t="shared" ca="1" si="12"/>
        <v>52.800000000000004</v>
      </c>
      <c r="O110" s="41">
        <f t="shared" ca="1" si="12"/>
        <v>59.3</v>
      </c>
      <c r="P110" s="41">
        <f t="shared" ca="1" si="12"/>
        <v>62.199999999999989</v>
      </c>
      <c r="Q110" s="41">
        <f t="shared" ca="1" si="12"/>
        <v>56.60000000000003</v>
      </c>
      <c r="R110" s="41">
        <f t="shared" ca="1" si="12"/>
        <v>58.400000000000006</v>
      </c>
      <c r="S110" s="41">
        <f t="shared" ca="1" si="12"/>
        <v>52.59999999999998</v>
      </c>
      <c r="T110" s="41">
        <f t="shared" ca="1" si="12"/>
        <v>56.400000000000006</v>
      </c>
      <c r="U110" s="41">
        <f t="shared" ca="1" si="12"/>
        <v>60.300000000000018</v>
      </c>
      <c r="V110" s="42">
        <f t="shared" ca="1" si="12"/>
        <v>66.5</v>
      </c>
    </row>
    <row r="111" spans="8:22" s="1" customFormat="1" x14ac:dyDescent="0.25">
      <c r="H111" s="17" t="str">
        <f t="shared" si="9"/>
        <v>대전도시공사</v>
      </c>
      <c r="I111" s="40">
        <f t="shared" ca="1" si="12"/>
        <v>19.099999999999984</v>
      </c>
      <c r="J111" s="41">
        <f t="shared" ca="1" si="12"/>
        <v>28.499999999999972</v>
      </c>
      <c r="K111" s="41">
        <f t="shared" ca="1" si="12"/>
        <v>27.199999999999982</v>
      </c>
      <c r="L111" s="41">
        <f t="shared" ca="1" si="12"/>
        <v>31.000000000000007</v>
      </c>
      <c r="M111" s="41">
        <f t="shared" ca="1" si="12"/>
        <v>39.700000000000024</v>
      </c>
      <c r="N111" s="41">
        <f t="shared" ca="1" si="12"/>
        <v>42.8</v>
      </c>
      <c r="O111" s="41">
        <f t="shared" ca="1" si="12"/>
        <v>49.6</v>
      </c>
      <c r="P111" s="41">
        <f t="shared" ca="1" si="12"/>
        <v>52.899999999999991</v>
      </c>
      <c r="Q111" s="41">
        <f t="shared" ca="1" si="12"/>
        <v>48</v>
      </c>
      <c r="R111" s="41">
        <f t="shared" ca="1" si="12"/>
        <v>49.699999999999989</v>
      </c>
      <c r="S111" s="41">
        <f t="shared" ca="1" si="12"/>
        <v>43.999999999999993</v>
      </c>
      <c r="T111" s="41">
        <f t="shared" ca="1" si="12"/>
        <v>48.70000000000001</v>
      </c>
      <c r="U111" s="41">
        <f t="shared" ca="1" si="12"/>
        <v>52</v>
      </c>
      <c r="V111" s="42">
        <f t="shared" ca="1" si="12"/>
        <v>58.599999999999987</v>
      </c>
    </row>
    <row r="112" spans="8:22" s="1" customFormat="1" x14ac:dyDescent="0.25">
      <c r="H112" s="17" t="str">
        <f t="shared" si="9"/>
        <v>부산도시공사</v>
      </c>
      <c r="I112" s="40">
        <f t="shared" ca="1" si="12"/>
        <v>17.700000000000003</v>
      </c>
      <c r="J112" s="41">
        <f t="shared" ca="1" si="12"/>
        <v>26.900000000000013</v>
      </c>
      <c r="K112" s="41">
        <f t="shared" ca="1" si="12"/>
        <v>25.4</v>
      </c>
      <c r="L112" s="41">
        <f t="shared" ca="1" si="12"/>
        <v>29.099999999999994</v>
      </c>
      <c r="M112" s="41">
        <f t="shared" ca="1" si="12"/>
        <v>37.999999999999986</v>
      </c>
      <c r="N112" s="41">
        <f t="shared" ca="1" si="12"/>
        <v>41.39999999999997</v>
      </c>
      <c r="O112" s="41">
        <f t="shared" ca="1" si="12"/>
        <v>48.099999999999987</v>
      </c>
      <c r="P112" s="41">
        <f t="shared" ca="1" si="12"/>
        <v>51.2</v>
      </c>
      <c r="Q112" s="41">
        <f t="shared" ca="1" si="12"/>
        <v>45.700000000000031</v>
      </c>
      <c r="R112" s="41">
        <f t="shared" ca="1" si="12"/>
        <v>47.500000000000007</v>
      </c>
      <c r="S112" s="41">
        <f t="shared" ca="1" si="12"/>
        <v>41.999999999999993</v>
      </c>
      <c r="T112" s="41">
        <f t="shared" ca="1" si="12"/>
        <v>46.499999999999986</v>
      </c>
      <c r="U112" s="41">
        <f t="shared" ca="1" si="12"/>
        <v>48.8</v>
      </c>
      <c r="V112" s="42">
        <f t="shared" ca="1" si="12"/>
        <v>56.499999999999993</v>
      </c>
    </row>
    <row r="113" spans="8:22" s="1" customFormat="1" x14ac:dyDescent="0.25">
      <c r="H113" s="17" t="str">
        <f t="shared" si="9"/>
        <v>울산도시공사</v>
      </c>
      <c r="I113" s="40">
        <f t="shared" ca="1" si="12"/>
        <v>19.899999999999984</v>
      </c>
      <c r="J113" s="41">
        <f t="shared" ca="1" si="12"/>
        <v>29.000000000000004</v>
      </c>
      <c r="K113" s="41">
        <f t="shared" ca="1" si="12"/>
        <v>27.499999999999993</v>
      </c>
      <c r="L113" s="41">
        <f t="shared" ca="1" si="12"/>
        <v>31.800000000000004</v>
      </c>
      <c r="M113" s="41">
        <f t="shared" ca="1" si="12"/>
        <v>40.700000000000003</v>
      </c>
      <c r="N113" s="41">
        <f t="shared" ca="1" si="12"/>
        <v>43.900000000000006</v>
      </c>
      <c r="O113" s="41">
        <f t="shared" ca="1" si="12"/>
        <v>51.6</v>
      </c>
      <c r="P113" s="41">
        <f t="shared" ca="1" si="12"/>
        <v>54.899999999999991</v>
      </c>
      <c r="Q113" s="41">
        <f t="shared" ca="1" si="12"/>
        <v>49.800000000000026</v>
      </c>
      <c r="R113" s="41">
        <f t="shared" ca="1" si="12"/>
        <v>51.699999999999989</v>
      </c>
      <c r="S113" s="41">
        <f t="shared" ca="1" si="12"/>
        <v>46.300000000000011</v>
      </c>
      <c r="T113" s="41">
        <f t="shared" ca="1" si="12"/>
        <v>51.40000000000002</v>
      </c>
      <c r="U113" s="41">
        <f t="shared" ca="1" si="12"/>
        <v>54.500000000000036</v>
      </c>
      <c r="V113" s="42">
        <f t="shared" ca="1" si="12"/>
        <v>61.499999999999979</v>
      </c>
    </row>
    <row r="114" spans="8:22" s="1" customFormat="1" x14ac:dyDescent="0.25">
      <c r="H114" s="17" t="str">
        <f t="shared" si="9"/>
        <v>인천교통공사</v>
      </c>
      <c r="I114" s="40">
        <f t="shared" ca="1" si="12"/>
        <v>22.599999999999998</v>
      </c>
      <c r="J114" s="41">
        <f t="shared" ca="1" si="12"/>
        <v>31.699999999999974</v>
      </c>
      <c r="K114" s="41">
        <f t="shared" ca="1" si="12"/>
        <v>30.200000000000003</v>
      </c>
      <c r="L114" s="41">
        <f t="shared" ca="1" si="12"/>
        <v>33.799999999999962</v>
      </c>
      <c r="M114" s="41">
        <f t="shared" ca="1" si="12"/>
        <v>42.7</v>
      </c>
      <c r="N114" s="41">
        <f t="shared" ca="1" si="12"/>
        <v>46.300000000000011</v>
      </c>
      <c r="O114" s="41">
        <f t="shared" ca="1" si="12"/>
        <v>53.29999999999999</v>
      </c>
      <c r="P114" s="41">
        <f t="shared" ca="1" si="12"/>
        <v>56.999999999999986</v>
      </c>
      <c r="Q114" s="41">
        <f t="shared" ca="1" si="12"/>
        <v>52.600000000000023</v>
      </c>
      <c r="R114" s="41">
        <f t="shared" ca="1" si="12"/>
        <v>54.899999999999991</v>
      </c>
      <c r="S114" s="41">
        <f t="shared" ca="1" si="12"/>
        <v>49.6</v>
      </c>
      <c r="T114" s="41">
        <f t="shared" ca="1" si="12"/>
        <v>54.499999999999993</v>
      </c>
      <c r="U114" s="41">
        <f t="shared" ca="1" si="12"/>
        <v>58.5</v>
      </c>
      <c r="V114" s="42">
        <f t="shared" ca="1" si="12"/>
        <v>64.900000000000006</v>
      </c>
    </row>
    <row r="115" spans="8:22" s="1" customFormat="1" x14ac:dyDescent="0.25">
      <c r="H115" s="17" t="str">
        <f t="shared" si="9"/>
        <v>인천도시공사</v>
      </c>
      <c r="I115" s="40">
        <f t="shared" ca="1" si="12"/>
        <v>27.099999999999991</v>
      </c>
      <c r="J115" s="41">
        <f t="shared" ca="1" si="12"/>
        <v>36.20000000000001</v>
      </c>
      <c r="K115" s="41">
        <f t="shared" ca="1" si="12"/>
        <v>34.899999999999977</v>
      </c>
      <c r="L115" s="41">
        <f t="shared" ca="1" si="12"/>
        <v>39.599999999999994</v>
      </c>
      <c r="M115" s="41">
        <f t="shared" ca="1" si="12"/>
        <v>50.200000000000024</v>
      </c>
      <c r="N115" s="41">
        <f t="shared" ca="1" si="12"/>
        <v>54.800000000000004</v>
      </c>
      <c r="O115" s="41">
        <f t="shared" ca="1" si="12"/>
        <v>61.899999999999977</v>
      </c>
      <c r="P115" s="41">
        <f t="shared" ca="1" si="12"/>
        <v>66.000000000000014</v>
      </c>
      <c r="Q115" s="41">
        <f t="shared" ca="1" si="12"/>
        <v>61.100000000000023</v>
      </c>
      <c r="R115" s="41">
        <f t="shared" ca="1" si="12"/>
        <v>62.999999999999986</v>
      </c>
      <c r="S115" s="41">
        <f t="shared" ca="1" si="12"/>
        <v>57.799999999999983</v>
      </c>
      <c r="T115" s="41">
        <f t="shared" ca="1" si="12"/>
        <v>62.400000000000013</v>
      </c>
      <c r="U115" s="41">
        <f t="shared" ca="1" si="12"/>
        <v>64.400000000000006</v>
      </c>
      <c r="V115" s="42">
        <f t="shared" ca="1" si="12"/>
        <v>71.8</v>
      </c>
    </row>
    <row r="116" spans="8:22" s="1" customFormat="1" x14ac:dyDescent="0.25">
      <c r="H116" s="17" t="str">
        <f t="shared" si="9"/>
        <v>전남개발공사</v>
      </c>
      <c r="I116" s="40">
        <f t="shared" ca="1" si="12"/>
        <v>18.599999999999994</v>
      </c>
      <c r="J116" s="41">
        <f t="shared" ca="1" si="12"/>
        <v>27.700000000000014</v>
      </c>
      <c r="K116" s="41">
        <f t="shared" ca="1" si="12"/>
        <v>26.29999999999999</v>
      </c>
      <c r="L116" s="41">
        <f t="shared" ca="1" si="12"/>
        <v>29.800000000000004</v>
      </c>
      <c r="M116" s="41">
        <f t="shared" ca="1" si="12"/>
        <v>38.700000000000003</v>
      </c>
      <c r="N116" s="41">
        <f t="shared" ca="1" si="12"/>
        <v>41.699999999999982</v>
      </c>
      <c r="O116" s="41">
        <f t="shared" ca="1" si="12"/>
        <v>48.899999999999991</v>
      </c>
      <c r="P116" s="41">
        <f t="shared" ca="1" si="12"/>
        <v>52</v>
      </c>
      <c r="Q116" s="41">
        <f t="shared" ca="1" si="12"/>
        <v>46.900000000000034</v>
      </c>
      <c r="R116" s="41">
        <f t="shared" ca="1" si="12"/>
        <v>49.2</v>
      </c>
      <c r="S116" s="41">
        <f t="shared" ca="1" si="12"/>
        <v>43.999999999999993</v>
      </c>
      <c r="T116" s="41">
        <f t="shared" ca="1" si="12"/>
        <v>49.100000000000009</v>
      </c>
      <c r="U116" s="41">
        <f t="shared" ca="1" si="12"/>
        <v>52.300000000000011</v>
      </c>
      <c r="V116" s="42">
        <f t="shared" ca="1" si="12"/>
        <v>59.399999999999984</v>
      </c>
    </row>
    <row r="117" spans="8:22" s="1" customFormat="1" x14ac:dyDescent="0.25">
      <c r="H117" s="17" t="str">
        <f t="shared" si="9"/>
        <v>충북개발공사</v>
      </c>
      <c r="I117" s="40">
        <f t="shared" ca="1" si="12"/>
        <v>19.899999999999984</v>
      </c>
      <c r="J117" s="41">
        <f t="shared" ca="1" si="12"/>
        <v>28.89999999999997</v>
      </c>
      <c r="K117" s="41">
        <f t="shared" ca="1" si="12"/>
        <v>27.499999999999993</v>
      </c>
      <c r="L117" s="41">
        <f t="shared" ca="1" si="12"/>
        <v>31.099999999999994</v>
      </c>
      <c r="M117" s="41">
        <f t="shared" ca="1" si="12"/>
        <v>40.200000000000017</v>
      </c>
      <c r="N117" s="41">
        <f t="shared" ca="1" si="12"/>
        <v>43.39999999999997</v>
      </c>
      <c r="O117" s="41">
        <f t="shared" ca="1" si="12"/>
        <v>50.299999999999969</v>
      </c>
      <c r="P117" s="41">
        <f t="shared" ca="1" si="12"/>
        <v>53.399999999999977</v>
      </c>
      <c r="Q117" s="41">
        <f t="shared" ca="1" si="12"/>
        <v>49.100000000000009</v>
      </c>
      <c r="R117" s="41">
        <f t="shared" ca="1" si="12"/>
        <v>51.399999999999977</v>
      </c>
      <c r="S117" s="41">
        <f t="shared" ca="1" si="12"/>
        <v>46.300000000000011</v>
      </c>
      <c r="T117" s="41">
        <f t="shared" ca="1" si="12"/>
        <v>51.40000000000002</v>
      </c>
      <c r="U117" s="41">
        <f t="shared" ca="1" si="12"/>
        <v>53.800000000000026</v>
      </c>
      <c r="V117" s="42">
        <f t="shared" ca="1" si="12"/>
        <v>61.499999999999979</v>
      </c>
    </row>
    <row r="118" spans="8:22" s="1" customFormat="1" x14ac:dyDescent="0.25">
      <c r="H118" s="15" t="str">
        <f t="shared" si="9"/>
        <v>충청남도개발공사</v>
      </c>
      <c r="I118" s="40">
        <f t="shared" ca="1" si="12"/>
        <v>18.699999999999982</v>
      </c>
      <c r="J118" s="41">
        <f t="shared" ca="1" si="12"/>
        <v>27.899999999999991</v>
      </c>
      <c r="K118" s="41">
        <f t="shared" ca="1" si="12"/>
        <v>26.500000000000014</v>
      </c>
      <c r="L118" s="41">
        <f t="shared" ca="1" si="12"/>
        <v>30.099999999999973</v>
      </c>
      <c r="M118" s="41">
        <f t="shared" ca="1" si="12"/>
        <v>39.5</v>
      </c>
      <c r="N118" s="41">
        <f t="shared" ca="1" si="12"/>
        <v>42.599999999999973</v>
      </c>
      <c r="O118" s="41">
        <f t="shared" ca="1" si="12"/>
        <v>49.799999999999976</v>
      </c>
      <c r="P118" s="41">
        <f t="shared" ca="1" si="12"/>
        <v>52.899999999999991</v>
      </c>
      <c r="Q118" s="41">
        <f t="shared" ca="1" si="12"/>
        <v>48.200000000000017</v>
      </c>
      <c r="R118" s="41">
        <f t="shared" ca="1" si="12"/>
        <v>50.499999999999986</v>
      </c>
      <c r="S118" s="41">
        <f t="shared" ca="1" si="12"/>
        <v>45.299999999999983</v>
      </c>
      <c r="T118" s="41">
        <f t="shared" ca="1" si="12"/>
        <v>50.4</v>
      </c>
      <c r="U118" s="41">
        <f t="shared" ca="1" si="12"/>
        <v>53.000000000000028</v>
      </c>
      <c r="V118" s="42">
        <f t="shared" ca="1" si="12"/>
        <v>60.5</v>
      </c>
    </row>
    <row r="119" spans="8:22" s="1" customFormat="1" x14ac:dyDescent="0.25">
      <c r="H119" s="16" t="str">
        <f t="shared" si="9"/>
        <v>공사/공단채 AA0</v>
      </c>
      <c r="I119" s="46">
        <f t="shared" ref="I119:V126" ca="1" si="13">( INDEX( $H$7:$V$64, MATCH($H119, $H$7:$H$64, 0), I$6) - I$7 )*100</f>
        <v>27.199999999999982</v>
      </c>
      <c r="J119" s="47">
        <f t="shared" ca="1" si="13"/>
        <v>36.600000000000009</v>
      </c>
      <c r="K119" s="47">
        <f t="shared" ca="1" si="13"/>
        <v>36.899999999999977</v>
      </c>
      <c r="L119" s="47">
        <f t="shared" ca="1" si="13"/>
        <v>42.7</v>
      </c>
      <c r="M119" s="47">
        <f t="shared" ca="1" si="13"/>
        <v>52</v>
      </c>
      <c r="N119" s="47">
        <f t="shared" ca="1" si="13"/>
        <v>55.2</v>
      </c>
      <c r="O119" s="47">
        <f t="shared" ca="1" si="13"/>
        <v>62.399999999999963</v>
      </c>
      <c r="P119" s="47">
        <f t="shared" ca="1" si="13"/>
        <v>65.3</v>
      </c>
      <c r="Q119" s="47">
        <f t="shared" ca="1" si="13"/>
        <v>60.099999999999994</v>
      </c>
      <c r="R119" s="47">
        <f t="shared" ca="1" si="13"/>
        <v>62.299999999999976</v>
      </c>
      <c r="S119" s="47">
        <f t="shared" ca="1" si="13"/>
        <v>57.799999999999983</v>
      </c>
      <c r="T119" s="47">
        <f t="shared" ca="1" si="13"/>
        <v>63.7</v>
      </c>
      <c r="U119" s="47">
        <f t="shared" ca="1" si="13"/>
        <v>70.500000000000057</v>
      </c>
      <c r="V119" s="48">
        <f t="shared" ca="1" si="13"/>
        <v>75.899999999999949</v>
      </c>
    </row>
    <row r="120" spans="8:22" s="1" customFormat="1" x14ac:dyDescent="0.25">
      <c r="H120" s="7" t="str">
        <f t="shared" si="9"/>
        <v>고양도시관리공사</v>
      </c>
      <c r="I120" s="40">
        <f t="shared" ca="1" si="13"/>
        <v>44.7</v>
      </c>
      <c r="J120" s="41">
        <f t="shared" ca="1" si="13"/>
        <v>53.599999999999959</v>
      </c>
      <c r="K120" s="41">
        <f t="shared" ca="1" si="13"/>
        <v>53.19999999999996</v>
      </c>
      <c r="L120" s="41">
        <f t="shared" ca="1" si="13"/>
        <v>59.699999999999996</v>
      </c>
      <c r="M120" s="41">
        <f t="shared" ca="1" si="13"/>
        <v>70.099999999999966</v>
      </c>
      <c r="N120" s="41">
        <f t="shared" ca="1" si="13"/>
        <v>74.900000000000006</v>
      </c>
      <c r="O120" s="41">
        <f t="shared" ca="1" si="13"/>
        <v>84.499999999999972</v>
      </c>
      <c r="P120" s="41">
        <f t="shared" ca="1" si="13"/>
        <v>89.4</v>
      </c>
      <c r="Q120" s="41">
        <f t="shared" ca="1" si="13"/>
        <v>84.2</v>
      </c>
      <c r="R120" s="41">
        <f t="shared" ca="1" si="13"/>
        <v>86.299999999999955</v>
      </c>
      <c r="S120" s="41">
        <f t="shared" ca="1" si="13"/>
        <v>81.899999999999991</v>
      </c>
      <c r="T120" s="41">
        <f t="shared" ca="1" si="13"/>
        <v>87.9</v>
      </c>
      <c r="U120" s="41">
        <f t="shared" ca="1" si="13"/>
        <v>91.700000000000031</v>
      </c>
      <c r="V120" s="42">
        <f t="shared" ca="1" si="13"/>
        <v>100.39999999999995</v>
      </c>
    </row>
    <row r="121" spans="8:22" s="1" customFormat="1" x14ac:dyDescent="0.25">
      <c r="H121" s="7" t="str">
        <f t="shared" si="9"/>
        <v>과천도시공사</v>
      </c>
      <c r="I121" s="40">
        <f t="shared" ca="1" si="13"/>
        <v>52.199999999999982</v>
      </c>
      <c r="J121" s="41">
        <f t="shared" ca="1" si="13"/>
        <v>62.5</v>
      </c>
      <c r="K121" s="41">
        <f t="shared" ca="1" si="13"/>
        <v>63.299999999999955</v>
      </c>
      <c r="L121" s="41">
        <f t="shared" ca="1" si="13"/>
        <v>69.69999999999996</v>
      </c>
      <c r="M121" s="41">
        <f t="shared" ca="1" si="13"/>
        <v>79.699999999999974</v>
      </c>
      <c r="N121" s="41">
        <f t="shared" ca="1" si="13"/>
        <v>82.3</v>
      </c>
      <c r="O121" s="41">
        <f t="shared" ca="1" si="13"/>
        <v>89.499999999999957</v>
      </c>
      <c r="P121" s="41">
        <f t="shared" ca="1" si="13"/>
        <v>92.8</v>
      </c>
      <c r="Q121" s="41">
        <f t="shared" ca="1" si="13"/>
        <v>87.6</v>
      </c>
      <c r="R121" s="41">
        <f t="shared" ca="1" si="13"/>
        <v>89.9</v>
      </c>
      <c r="S121" s="41">
        <f t="shared" ca="1" si="13"/>
        <v>85.4</v>
      </c>
      <c r="T121" s="41">
        <f t="shared" ca="1" si="13"/>
        <v>91.200000000000031</v>
      </c>
      <c r="U121" s="41">
        <f t="shared" ca="1" si="13"/>
        <v>96.7</v>
      </c>
      <c r="V121" s="42">
        <f t="shared" ca="1" si="13"/>
        <v>103.39999999999998</v>
      </c>
    </row>
    <row r="122" spans="8:22" s="1" customFormat="1" x14ac:dyDescent="0.25">
      <c r="H122" s="7" t="str">
        <f t="shared" si="9"/>
        <v>김해시도시개발공사</v>
      </c>
      <c r="I122" s="40">
        <f t="shared" ca="1" si="13"/>
        <v>31.800000000000004</v>
      </c>
      <c r="J122" s="41">
        <f t="shared" ca="1" si="13"/>
        <v>41.699999999999982</v>
      </c>
      <c r="K122" s="41">
        <f t="shared" ca="1" si="13"/>
        <v>42.300000000000004</v>
      </c>
      <c r="L122" s="41">
        <f t="shared" ca="1" si="13"/>
        <v>48.999999999999979</v>
      </c>
      <c r="M122" s="41">
        <f t="shared" ca="1" si="13"/>
        <v>58.5</v>
      </c>
      <c r="N122" s="41">
        <f t="shared" ca="1" si="13"/>
        <v>61.699999999999953</v>
      </c>
      <c r="O122" s="41">
        <f t="shared" ca="1" si="13"/>
        <v>68.699999999999932</v>
      </c>
      <c r="P122" s="41">
        <f t="shared" ca="1" si="13"/>
        <v>72.19999999999996</v>
      </c>
      <c r="Q122" s="41">
        <f t="shared" ca="1" si="13"/>
        <v>69.300000000000011</v>
      </c>
      <c r="R122" s="41">
        <f t="shared" ca="1" si="13"/>
        <v>72.499999999999972</v>
      </c>
      <c r="S122" s="41">
        <f t="shared" ca="1" si="13"/>
        <v>68.40000000000002</v>
      </c>
      <c r="T122" s="41">
        <f t="shared" ca="1" si="13"/>
        <v>74.100000000000009</v>
      </c>
      <c r="U122" s="41">
        <f t="shared" ca="1" si="13"/>
        <v>79.800000000000054</v>
      </c>
      <c r="V122" s="42">
        <f t="shared" ca="1" si="13"/>
        <v>87.300000000000026</v>
      </c>
    </row>
    <row r="123" spans="8:22" s="1" customFormat="1" x14ac:dyDescent="0.25">
      <c r="H123" s="7" t="str">
        <f t="shared" si="9"/>
        <v>시흥도시공사</v>
      </c>
      <c r="I123" s="40">
        <f t="shared" ca="1" si="13"/>
        <v>36.299999999999997</v>
      </c>
      <c r="J123" s="41">
        <f t="shared" ca="1" si="13"/>
        <v>48.899999999999991</v>
      </c>
      <c r="K123" s="41">
        <f t="shared" ca="1" si="13"/>
        <v>50.8</v>
      </c>
      <c r="L123" s="41">
        <f t="shared" ca="1" si="13"/>
        <v>57.100000000000016</v>
      </c>
      <c r="M123" s="41">
        <f t="shared" ca="1" si="13"/>
        <v>66.600000000000037</v>
      </c>
      <c r="N123" s="41">
        <f t="shared" ca="1" si="13"/>
        <v>70.100000000000009</v>
      </c>
      <c r="O123" s="41">
        <f t="shared" ca="1" si="13"/>
        <v>76.499999999999972</v>
      </c>
      <c r="P123" s="41">
        <f t="shared" ca="1" si="13"/>
        <v>79.5</v>
      </c>
      <c r="Q123" s="41">
        <f t="shared" ca="1" si="13"/>
        <v>75.500000000000028</v>
      </c>
      <c r="R123" s="41">
        <f t="shared" ca="1" si="13"/>
        <v>77.500000000000028</v>
      </c>
      <c r="S123" s="41">
        <f t="shared" ca="1" si="13"/>
        <v>74.800000000000026</v>
      </c>
      <c r="T123" s="41">
        <f t="shared" ca="1" si="13"/>
        <v>78.600000000000009</v>
      </c>
      <c r="U123" s="41">
        <f t="shared" ca="1" si="13"/>
        <v>87.299999999999983</v>
      </c>
      <c r="V123" s="42">
        <f t="shared" ca="1" si="13"/>
        <v>92.8</v>
      </c>
    </row>
    <row r="124" spans="8:22" s="1" customFormat="1" x14ac:dyDescent="0.25">
      <c r="H124" s="10" t="str">
        <f t="shared" si="9"/>
        <v>평택도시공사</v>
      </c>
      <c r="I124" s="40">
        <f t="shared" ca="1" si="13"/>
        <v>32.299999999999997</v>
      </c>
      <c r="J124" s="41">
        <f t="shared" ca="1" si="13"/>
        <v>42.09999999999998</v>
      </c>
      <c r="K124" s="41">
        <f t="shared" ca="1" si="13"/>
        <v>42.599999999999973</v>
      </c>
      <c r="L124" s="41">
        <f t="shared" ca="1" si="13"/>
        <v>49.499999999999964</v>
      </c>
      <c r="M124" s="41">
        <f t="shared" ca="1" si="13"/>
        <v>58.999999999999986</v>
      </c>
      <c r="N124" s="41">
        <f t="shared" ca="1" si="13"/>
        <v>62.599999999999987</v>
      </c>
      <c r="O124" s="41">
        <f t="shared" ca="1" si="13"/>
        <v>70.899999999999963</v>
      </c>
      <c r="P124" s="41">
        <f t="shared" ca="1" si="13"/>
        <v>74.800000000000026</v>
      </c>
      <c r="Q124" s="41">
        <f t="shared" ca="1" si="13"/>
        <v>69.900000000000034</v>
      </c>
      <c r="R124" s="41">
        <f t="shared" ca="1" si="13"/>
        <v>71.900000000000034</v>
      </c>
      <c r="S124" s="41">
        <f t="shared" ca="1" si="13"/>
        <v>67.600000000000023</v>
      </c>
      <c r="T124" s="41">
        <f t="shared" ca="1" si="13"/>
        <v>74.100000000000009</v>
      </c>
      <c r="U124" s="41">
        <f t="shared" ca="1" si="13"/>
        <v>80.900000000000063</v>
      </c>
      <c r="V124" s="42">
        <f t="shared" ca="1" si="13"/>
        <v>87.199999999999989</v>
      </c>
    </row>
    <row r="125" spans="8:22" s="1" customFormat="1" x14ac:dyDescent="0.25">
      <c r="H125" s="8" t="str">
        <f t="shared" si="9"/>
        <v>하남도시공사</v>
      </c>
      <c r="I125" s="40">
        <f t="shared" ca="1" si="13"/>
        <v>43.699999999999982</v>
      </c>
      <c r="J125" s="41">
        <f t="shared" ca="1" si="13"/>
        <v>52.800000000000004</v>
      </c>
      <c r="K125" s="41">
        <f t="shared" ca="1" si="13"/>
        <v>53.6</v>
      </c>
      <c r="L125" s="41">
        <f t="shared" ca="1" si="13"/>
        <v>59.699999999999996</v>
      </c>
      <c r="M125" s="41">
        <f t="shared" ca="1" si="13"/>
        <v>70.300000000000026</v>
      </c>
      <c r="N125" s="41">
        <f t="shared" ca="1" si="13"/>
        <v>74.699999999999946</v>
      </c>
      <c r="O125" s="41">
        <f t="shared" ca="1" si="13"/>
        <v>82.399999999999977</v>
      </c>
      <c r="P125" s="41">
        <f t="shared" ca="1" si="13"/>
        <v>85.9</v>
      </c>
      <c r="Q125" s="41">
        <f t="shared" ca="1" si="13"/>
        <v>80.500000000000014</v>
      </c>
      <c r="R125" s="41">
        <f t="shared" ca="1" si="13"/>
        <v>82.899999999999977</v>
      </c>
      <c r="S125" s="41">
        <f t="shared" ca="1" si="13"/>
        <v>78.299999999999955</v>
      </c>
      <c r="T125" s="41">
        <f t="shared" ca="1" si="13"/>
        <v>84.09999999999998</v>
      </c>
      <c r="U125" s="41">
        <f t="shared" ca="1" si="13"/>
        <v>88.899999999999977</v>
      </c>
      <c r="V125" s="42">
        <f t="shared" ca="1" si="13"/>
        <v>96.199999999999974</v>
      </c>
    </row>
    <row r="126" spans="8:22" s="1" customFormat="1" x14ac:dyDescent="0.25">
      <c r="H126" s="16" t="str">
        <f t="shared" si="9"/>
        <v>공사/공단채 AA-</v>
      </c>
      <c r="I126" s="46">
        <f t="shared" ca="1" si="13"/>
        <v>37.300000000000026</v>
      </c>
      <c r="J126" s="47">
        <f t="shared" ca="1" si="13"/>
        <v>47.299999999999983</v>
      </c>
      <c r="K126" s="47">
        <f t="shared" ca="1" si="13"/>
        <v>47.900000000000006</v>
      </c>
      <c r="L126" s="47">
        <f t="shared" ca="1" si="13"/>
        <v>54</v>
      </c>
      <c r="M126" s="47">
        <f t="shared" ca="1" si="13"/>
        <v>63.700000000000045</v>
      </c>
      <c r="N126" s="47">
        <f t="shared" ca="1" si="13"/>
        <v>66.999999999999943</v>
      </c>
      <c r="O126" s="47">
        <f t="shared" ca="1" si="13"/>
        <v>74.500000000000014</v>
      </c>
      <c r="P126" s="47">
        <f t="shared" ca="1" si="13"/>
        <v>77.700000000000017</v>
      </c>
      <c r="Q126" s="47">
        <f t="shared" ca="1" si="13"/>
        <v>72.300000000000026</v>
      </c>
      <c r="R126" s="47">
        <f t="shared" ca="1" si="13"/>
        <v>74.800000000000026</v>
      </c>
      <c r="S126" s="47">
        <f t="shared" ca="1" si="13"/>
        <v>70.300000000000026</v>
      </c>
      <c r="T126" s="47">
        <f t="shared" ca="1" si="13"/>
        <v>75.200000000000017</v>
      </c>
      <c r="U126" s="47">
        <f t="shared" ca="1" si="13"/>
        <v>81.600000000000023</v>
      </c>
      <c r="V126" s="48">
        <f t="shared" ca="1" si="13"/>
        <v>87.099999999999952</v>
      </c>
    </row>
    <row r="129" spans="1:24" s="26" customFormat="1" ht="16.5" x14ac:dyDescent="0.25">
      <c r="A129" s="32"/>
      <c r="B129" s="97"/>
      <c r="C129" s="96"/>
      <c r="D129" s="92"/>
      <c r="E129" s="93"/>
      <c r="F129" s="93"/>
      <c r="G129" s="61"/>
      <c r="H129" s="27" t="s">
        <v>63</v>
      </c>
      <c r="J129" s="33"/>
    </row>
    <row r="130" spans="1:24" ht="6.75" customHeight="1" x14ac:dyDescent="0.25"/>
    <row r="131" spans="1:24" x14ac:dyDescent="0.25">
      <c r="H131" s="12" t="s">
        <v>110</v>
      </c>
      <c r="I131" s="12" t="str">
        <f>I4</f>
        <v>3M</v>
      </c>
      <c r="J131" s="12" t="str">
        <f t="shared" ref="J131:V131" si="14">J4</f>
        <v>6M</v>
      </c>
      <c r="K131" s="12" t="str">
        <f t="shared" si="14"/>
        <v>9M</v>
      </c>
      <c r="L131" s="12" t="str">
        <f t="shared" si="14"/>
        <v>1Y</v>
      </c>
      <c r="M131" s="12" t="str">
        <f t="shared" si="14"/>
        <v>1Y6M</v>
      </c>
      <c r="N131" s="12" t="str">
        <f t="shared" si="14"/>
        <v>2Y</v>
      </c>
      <c r="O131" s="12" t="str">
        <f t="shared" si="14"/>
        <v>2Y6M</v>
      </c>
      <c r="P131" s="12" t="str">
        <f t="shared" si="14"/>
        <v>3Y</v>
      </c>
      <c r="Q131" s="12" t="str">
        <f t="shared" si="14"/>
        <v>4Y</v>
      </c>
      <c r="R131" s="12" t="str">
        <f t="shared" si="14"/>
        <v>5Y</v>
      </c>
      <c r="S131" s="12" t="str">
        <f t="shared" si="14"/>
        <v>7Y</v>
      </c>
      <c r="T131" s="12" t="str">
        <f t="shared" si="14"/>
        <v>10Y</v>
      </c>
      <c r="U131" s="12" t="str">
        <f t="shared" si="14"/>
        <v>15Y</v>
      </c>
      <c r="V131" s="12" t="str">
        <f t="shared" si="14"/>
        <v>20Y</v>
      </c>
    </row>
    <row r="132" spans="1:24" x14ac:dyDescent="0.25">
      <c r="F132" s="90" t="b">
        <f>IF( LEFT($H132, 7)="공사/공단채 ", TRUE, MATCH( VLOOKUP($H132, $E$7:$F$64, 2, 0), $H$7:$H$64, 0)  )</f>
        <v>1</v>
      </c>
      <c r="H132" s="13" t="str">
        <f>H70</f>
        <v>공사/공단채 정부보증</v>
      </c>
      <c r="I132" s="103">
        <f ca="1">IF( $F132=TRUE, INDEX($H$7:$V$64, MATCH($H132, $H$7:$H$64, 0), I$6), ( INDEX($H$7:$V$64, MATCH($H$132, $H$7:$H$64, 0), I$6)-INDEX($H$7:$V$64, MATCH($H132, $H$7:$H$64, 0), I$6) )*100 )</f>
        <v>3.5339999999999998</v>
      </c>
      <c r="J132" s="103">
        <f t="shared" ref="J132:V147" ca="1" si="15">IF( $F132=TRUE, INDEX($H$7:$V$64, MATCH($H132, $H$7:$H$64, 0), J$6), ( INDEX($H$7:$V$64, MATCH($H$132, $H$7:$H$64, 0), J$6)-INDEX($H$7:$V$64, MATCH($H132, $H$7:$H$64, 0), J$6) )*100 )</f>
        <v>3.5459999999999998</v>
      </c>
      <c r="K132" s="103">
        <f t="shared" ca="1" si="15"/>
        <v>3.5489999999999999</v>
      </c>
      <c r="L132" s="103">
        <f t="shared" ca="1" si="15"/>
        <v>3.5139999999999998</v>
      </c>
      <c r="M132" s="103">
        <f t="shared" ca="1" si="15"/>
        <v>3.5550000000000002</v>
      </c>
      <c r="N132" s="103">
        <f t="shared" ca="1" si="15"/>
        <v>3.5259999999999998</v>
      </c>
      <c r="O132" s="103">
        <f t="shared" ca="1" si="15"/>
        <v>3.5219999999999998</v>
      </c>
      <c r="P132" s="103">
        <f t="shared" ca="1" si="15"/>
        <v>3.5230000000000001</v>
      </c>
      <c r="Q132" s="103">
        <f t="shared" ca="1" si="15"/>
        <v>3.5390000000000001</v>
      </c>
      <c r="R132" s="103">
        <f t="shared" ca="1" si="15"/>
        <v>3.6019999999999999</v>
      </c>
      <c r="S132" s="103">
        <f t="shared" ca="1" si="15"/>
        <v>3.5979999999999999</v>
      </c>
      <c r="T132" s="103">
        <f t="shared" ca="1" si="15"/>
        <v>3.601</v>
      </c>
      <c r="U132" s="103">
        <f t="shared" ca="1" si="15"/>
        <v>3.5779999999999998</v>
      </c>
      <c r="V132" s="103">
        <f t="shared" ca="1" si="15"/>
        <v>3.5179999999999998</v>
      </c>
    </row>
    <row r="133" spans="1:24" x14ac:dyDescent="0.25">
      <c r="F133" s="90">
        <f t="shared" ref="F133:F188" si="16">IF( LEFT($H133, 7)="공사/공단채 ", TRUE, MATCH( VLOOKUP($H133, $E$7:$F$64, 2, 0), $H$7:$H$64, 0)  )</f>
        <v>2</v>
      </c>
      <c r="H133" s="14" t="str">
        <f t="shared" ref="H133:H188" si="17">H71</f>
        <v>예금보험공사</v>
      </c>
      <c r="I133" s="40">
        <f t="shared" ref="I133:V148" ca="1" si="18">IF( $F133=TRUE, INDEX($H$7:$V$64, MATCH($H133, $H$7:$H$64, 0), I$6), ( INDEX($H$7:$V$64, MATCH($H$132, $H$7:$H$64, 0), I$6)-INDEX($H$7:$V$64, MATCH($H133, $H$7:$H$64, 0), I$6) )*100 )</f>
        <v>0</v>
      </c>
      <c r="J133" s="41">
        <f t="shared" ca="1" si="15"/>
        <v>0</v>
      </c>
      <c r="K133" s="41">
        <f t="shared" ca="1" si="15"/>
        <v>0</v>
      </c>
      <c r="L133" s="41">
        <f t="shared" ca="1" si="15"/>
        <v>0</v>
      </c>
      <c r="M133" s="41">
        <f t="shared" ca="1" si="15"/>
        <v>0</v>
      </c>
      <c r="N133" s="41">
        <f t="shared" ca="1" si="15"/>
        <v>0</v>
      </c>
      <c r="O133" s="41">
        <f t="shared" ca="1" si="15"/>
        <v>0</v>
      </c>
      <c r="P133" s="41">
        <f t="shared" ca="1" si="15"/>
        <v>0</v>
      </c>
      <c r="Q133" s="41">
        <f t="shared" ca="1" si="15"/>
        <v>0</v>
      </c>
      <c r="R133" s="41">
        <f t="shared" ca="1" si="15"/>
        <v>0</v>
      </c>
      <c r="S133" s="41">
        <f t="shared" ca="1" si="15"/>
        <v>0</v>
      </c>
      <c r="T133" s="41">
        <f t="shared" ca="1" si="15"/>
        <v>0</v>
      </c>
      <c r="U133" s="41">
        <f t="shared" ca="1" si="15"/>
        <v>0</v>
      </c>
      <c r="V133" s="42">
        <f t="shared" ca="1" si="15"/>
        <v>0</v>
      </c>
    </row>
    <row r="134" spans="1:24" x14ac:dyDescent="0.25">
      <c r="F134" s="90">
        <f t="shared" si="16"/>
        <v>2</v>
      </c>
      <c r="H134" s="15" t="str">
        <f t="shared" si="17"/>
        <v>한국장학재단</v>
      </c>
      <c r="I134" s="43">
        <f t="shared" ca="1" si="18"/>
        <v>0</v>
      </c>
      <c r="J134" s="44">
        <f t="shared" ca="1" si="15"/>
        <v>0</v>
      </c>
      <c r="K134" s="44">
        <f t="shared" ca="1" si="15"/>
        <v>0</v>
      </c>
      <c r="L134" s="44">
        <f t="shared" ca="1" si="15"/>
        <v>0</v>
      </c>
      <c r="M134" s="44">
        <f t="shared" ca="1" si="15"/>
        <v>0</v>
      </c>
      <c r="N134" s="44">
        <f t="shared" ca="1" si="15"/>
        <v>0</v>
      </c>
      <c r="O134" s="44">
        <f t="shared" ca="1" si="15"/>
        <v>0</v>
      </c>
      <c r="P134" s="44">
        <f t="shared" ca="1" si="15"/>
        <v>0</v>
      </c>
      <c r="Q134" s="44">
        <f t="shared" ca="1" si="15"/>
        <v>0</v>
      </c>
      <c r="R134" s="44">
        <f t="shared" ca="1" si="15"/>
        <v>0.29999999999996696</v>
      </c>
      <c r="S134" s="44">
        <f t="shared" ca="1" si="15"/>
        <v>0</v>
      </c>
      <c r="T134" s="44">
        <f t="shared" ca="1" si="15"/>
        <v>0</v>
      </c>
      <c r="U134" s="44">
        <f t="shared" ca="1" si="15"/>
        <v>1.2000000000000011</v>
      </c>
      <c r="V134" s="45">
        <f t="shared" ca="1" si="15"/>
        <v>0</v>
      </c>
    </row>
    <row r="135" spans="1:24" x14ac:dyDescent="0.25">
      <c r="F135" s="90" t="b">
        <f t="shared" si="16"/>
        <v>1</v>
      </c>
      <c r="H135" s="16" t="str">
        <f t="shared" si="17"/>
        <v>공사/공단채 AAA</v>
      </c>
      <c r="I135" s="104">
        <f t="shared" ca="1" si="18"/>
        <v>3.6349999999999998</v>
      </c>
      <c r="J135" s="105">
        <f t="shared" ca="1" si="15"/>
        <v>3.6669999999999998</v>
      </c>
      <c r="K135" s="105">
        <f t="shared" ca="1" si="15"/>
        <v>3.6509999999999998</v>
      </c>
      <c r="L135" s="105">
        <f t="shared" ca="1" si="15"/>
        <v>3.6280000000000001</v>
      </c>
      <c r="M135" s="105">
        <f t="shared" ca="1" si="15"/>
        <v>3.6869999999999998</v>
      </c>
      <c r="N135" s="105">
        <f t="shared" ca="1" si="15"/>
        <v>3.6669999999999998</v>
      </c>
      <c r="O135" s="105">
        <f t="shared" ca="1" si="15"/>
        <v>3.665</v>
      </c>
      <c r="P135" s="105">
        <f t="shared" ca="1" si="15"/>
        <v>3.657</v>
      </c>
      <c r="Q135" s="105">
        <f t="shared" ca="1" si="15"/>
        <v>3.665</v>
      </c>
      <c r="R135" s="105">
        <f t="shared" ca="1" si="15"/>
        <v>3.6360000000000001</v>
      </c>
      <c r="S135" s="105">
        <f t="shared" ca="1" si="15"/>
        <v>3.6509999999999998</v>
      </c>
      <c r="T135" s="105">
        <f t="shared" ca="1" si="15"/>
        <v>3.6629999999999998</v>
      </c>
      <c r="U135" s="105">
        <f t="shared" ca="1" si="15"/>
        <v>3.645</v>
      </c>
      <c r="V135" s="106">
        <f t="shared" ca="1" si="15"/>
        <v>3.5920000000000001</v>
      </c>
    </row>
    <row r="136" spans="1:24" x14ac:dyDescent="0.25">
      <c r="F136" s="90">
        <f t="shared" si="16"/>
        <v>5</v>
      </c>
      <c r="H136" s="14" t="str">
        <f t="shared" si="17"/>
        <v>경기주택도시공사</v>
      </c>
      <c r="I136" s="40">
        <f ca="1">IF( $F136=TRUE, INDEX($H$7:$V$64, MATCH($H136, $H$7:$H$64, 0), I$6), ( INDEX($H$7:$V$64, MATCH($H$135, $H$7:$H$64, 0), I$6)-INDEX($H$7:$V$64, MATCH($H136, $H$7:$H$64, 0), I$6) )*100 )</f>
        <v>-9.8000000000000309</v>
      </c>
      <c r="J136" s="41">
        <f t="shared" ref="J136:V151" ca="1" si="19">IF( $F136=TRUE, INDEX($H$7:$V$64, MATCH($H136, $H$7:$H$64, 0), J$6), ( INDEX($H$7:$V$64, MATCH($H$135, $H$7:$H$64, 0), J$6)-INDEX($H$7:$V$64, MATCH($H136, $H$7:$H$64, 0), J$6) )*100 )</f>
        <v>-10.200000000000031</v>
      </c>
      <c r="K136" s="41">
        <f t="shared" ca="1" si="19"/>
        <v>-11.100000000000021</v>
      </c>
      <c r="L136" s="41">
        <f t="shared" ca="1" si="19"/>
        <v>-11.60000000000001</v>
      </c>
      <c r="M136" s="41">
        <f t="shared" ca="1" si="19"/>
        <v>-13.000000000000034</v>
      </c>
      <c r="N136" s="41">
        <f t="shared" ca="1" si="19"/>
        <v>-15.300000000000002</v>
      </c>
      <c r="O136" s="41">
        <f t="shared" ca="1" si="19"/>
        <v>-15.899999999999981</v>
      </c>
      <c r="P136" s="41">
        <f t="shared" ca="1" si="19"/>
        <v>-16.199999999999992</v>
      </c>
      <c r="Q136" s="41">
        <f t="shared" ca="1" si="19"/>
        <v>-16.400000000000013</v>
      </c>
      <c r="R136" s="41">
        <f t="shared" ca="1" si="19"/>
        <v>-16.100000000000001</v>
      </c>
      <c r="S136" s="41">
        <f t="shared" ca="1" si="19"/>
        <v>-16.200000000000038</v>
      </c>
      <c r="T136" s="41">
        <f t="shared" ca="1" si="19"/>
        <v>-16.400000000000013</v>
      </c>
      <c r="U136" s="41">
        <f t="shared" ca="1" si="19"/>
        <v>-15.49999999999998</v>
      </c>
      <c r="V136" s="42">
        <f t="shared" ca="1" si="19"/>
        <v>-18.599999999999994</v>
      </c>
    </row>
    <row r="137" spans="1:24" x14ac:dyDescent="0.25">
      <c r="F137" s="90">
        <f t="shared" si="16"/>
        <v>5</v>
      </c>
      <c r="H137" s="17" t="str">
        <f t="shared" si="17"/>
        <v>광해광업공단</v>
      </c>
      <c r="I137" s="40">
        <f t="shared" ref="I137:V152" ca="1" si="20">IF( $F137=TRUE, INDEX($H$7:$V$64, MATCH($H137, $H$7:$H$64, 0), I$6), ( INDEX($H$7:$V$64, MATCH($H$135, $H$7:$H$64, 0), I$6)-INDEX($H$7:$V$64, MATCH($H137, $H$7:$H$64, 0), I$6) )*100 )</f>
        <v>-11.20000000000001</v>
      </c>
      <c r="J137" s="41">
        <f t="shared" ca="1" si="19"/>
        <v>-11.900000000000022</v>
      </c>
      <c r="K137" s="41">
        <f t="shared" ca="1" si="19"/>
        <v>-12.000000000000011</v>
      </c>
      <c r="L137" s="41">
        <f t="shared" ca="1" si="19"/>
        <v>-12.1</v>
      </c>
      <c r="M137" s="41">
        <f t="shared" ca="1" si="19"/>
        <v>-12.700000000000022</v>
      </c>
      <c r="N137" s="41">
        <f t="shared" ca="1" si="19"/>
        <v>-12.700000000000022</v>
      </c>
      <c r="O137" s="41">
        <f t="shared" ca="1" si="19"/>
        <v>-12.699999999999978</v>
      </c>
      <c r="P137" s="41">
        <f t="shared" ca="1" si="19"/>
        <v>-12.400000000000011</v>
      </c>
      <c r="Q137" s="41">
        <f t="shared" ca="1" si="19"/>
        <v>-12.199999999999989</v>
      </c>
      <c r="R137" s="41">
        <f t="shared" ca="1" si="19"/>
        <v>-11.299999999999999</v>
      </c>
      <c r="S137" s="41">
        <f t="shared" ca="1" si="19"/>
        <v>-11.299999999999999</v>
      </c>
      <c r="T137" s="41">
        <f t="shared" ca="1" si="19"/>
        <v>-12.700000000000022</v>
      </c>
      <c r="U137" s="41">
        <f t="shared" ca="1" si="19"/>
        <v>-11.899999999999977</v>
      </c>
      <c r="V137" s="42">
        <f t="shared" ca="1" si="19"/>
        <v>-14.500000000000002</v>
      </c>
    </row>
    <row r="138" spans="1:24" x14ac:dyDescent="0.25">
      <c r="F138" s="90">
        <f t="shared" si="16"/>
        <v>5</v>
      </c>
      <c r="H138" s="17" t="str">
        <f t="shared" si="17"/>
        <v>국가철도공단</v>
      </c>
      <c r="I138" s="40">
        <f t="shared" ca="1" si="20"/>
        <v>0.69999999999996732</v>
      </c>
      <c r="J138" s="41">
        <f t="shared" ca="1" si="19"/>
        <v>0.80000000000000071</v>
      </c>
      <c r="K138" s="41">
        <f t="shared" ca="1" si="19"/>
        <v>0.69999999999996732</v>
      </c>
      <c r="L138" s="41">
        <f t="shared" ca="1" si="19"/>
        <v>0.70000000000001172</v>
      </c>
      <c r="M138" s="41">
        <f t="shared" ca="1" si="19"/>
        <v>0.69999999999996732</v>
      </c>
      <c r="N138" s="41">
        <f t="shared" ca="1" si="19"/>
        <v>9.9999999999988987E-2</v>
      </c>
      <c r="O138" s="41">
        <f t="shared" ca="1" si="19"/>
        <v>0.20000000000002238</v>
      </c>
      <c r="P138" s="41">
        <f t="shared" ca="1" si="19"/>
        <v>0.30000000000001137</v>
      </c>
      <c r="Q138" s="41">
        <f t="shared" ca="1" si="19"/>
        <v>0.30000000000001137</v>
      </c>
      <c r="R138" s="41">
        <f t="shared" ca="1" si="19"/>
        <v>0.50000000000003375</v>
      </c>
      <c r="S138" s="41">
        <f t="shared" ca="1" si="19"/>
        <v>0.49999999999998934</v>
      </c>
      <c r="T138" s="41">
        <f t="shared" ca="1" si="19"/>
        <v>0.29999999999996696</v>
      </c>
      <c r="U138" s="41">
        <f t="shared" ca="1" si="19"/>
        <v>1.1000000000000121</v>
      </c>
      <c r="V138" s="42">
        <f t="shared" ca="1" si="19"/>
        <v>0.20000000000002238</v>
      </c>
    </row>
    <row r="139" spans="1:24" x14ac:dyDescent="0.25">
      <c r="F139" s="90">
        <f t="shared" si="16"/>
        <v>5</v>
      </c>
      <c r="H139" s="17" t="str">
        <f t="shared" si="17"/>
        <v>농어촌공사</v>
      </c>
      <c r="I139" s="40">
        <f t="shared" ca="1" si="20"/>
        <v>1.8999999999999684</v>
      </c>
      <c r="J139" s="41">
        <f t="shared" ca="1" si="19"/>
        <v>2.0999999999999908</v>
      </c>
      <c r="K139" s="41">
        <f t="shared" ca="1" si="19"/>
        <v>2.1999999999999797</v>
      </c>
      <c r="L139" s="41">
        <f t="shared" ca="1" si="19"/>
        <v>2.2000000000000242</v>
      </c>
      <c r="M139" s="41">
        <f t="shared" ca="1" si="19"/>
        <v>2.2999999999999687</v>
      </c>
      <c r="N139" s="41">
        <f t="shared" ca="1" si="19"/>
        <v>2.4999999999999911</v>
      </c>
      <c r="O139" s="41">
        <f t="shared" ca="1" si="19"/>
        <v>2.2000000000000242</v>
      </c>
      <c r="P139" s="41">
        <f t="shared" ca="1" si="19"/>
        <v>2.0999999999999908</v>
      </c>
      <c r="Q139" s="41">
        <f t="shared" ca="1" si="19"/>
        <v>2.0999999999999908</v>
      </c>
      <c r="R139" s="41">
        <f t="shared" ca="1" si="19"/>
        <v>2.2000000000000242</v>
      </c>
      <c r="S139" s="41">
        <f t="shared" ca="1" si="19"/>
        <v>2.1999999999999797</v>
      </c>
      <c r="T139" s="41">
        <f t="shared" ca="1" si="19"/>
        <v>2.0999999999999908</v>
      </c>
      <c r="U139" s="41">
        <f t="shared" ca="1" si="19"/>
        <v>4.0999999999999925</v>
      </c>
      <c r="V139" s="42">
        <f t="shared" ca="1" si="19"/>
        <v>2.2000000000000242</v>
      </c>
    </row>
    <row r="140" spans="1:24" x14ac:dyDescent="0.25">
      <c r="F140" s="90">
        <f t="shared" si="16"/>
        <v>5</v>
      </c>
      <c r="H140" s="17" t="str">
        <f t="shared" si="17"/>
        <v>농협중앙회</v>
      </c>
      <c r="I140" s="40">
        <f t="shared" ca="1" si="20"/>
        <v>0.19999999999997797</v>
      </c>
      <c r="J140" s="41">
        <f t="shared" ca="1" si="19"/>
        <v>9.9999999999988987E-2</v>
      </c>
      <c r="K140" s="41">
        <f t="shared" ca="1" si="19"/>
        <v>0.19999999999997797</v>
      </c>
      <c r="L140" s="41">
        <f t="shared" ca="1" si="19"/>
        <v>0.49999999999998934</v>
      </c>
      <c r="M140" s="41">
        <f t="shared" ca="1" si="19"/>
        <v>0.49999999999998934</v>
      </c>
      <c r="N140" s="41">
        <f t="shared" ca="1" si="19"/>
        <v>0.49999999999998934</v>
      </c>
      <c r="O140" s="41">
        <f t="shared" ca="1" si="19"/>
        <v>0</v>
      </c>
      <c r="P140" s="41">
        <f t="shared" ca="1" si="19"/>
        <v>0</v>
      </c>
      <c r="Q140" s="41">
        <f t="shared" ca="1" si="19"/>
        <v>-0.40000000000000036</v>
      </c>
      <c r="R140" s="41">
        <f t="shared" ca="1" si="19"/>
        <v>-0.29999999999996696</v>
      </c>
      <c r="S140" s="41">
        <f t="shared" ca="1" si="19"/>
        <v>0</v>
      </c>
      <c r="T140" s="41">
        <f t="shared" ca="1" si="19"/>
        <v>9.9999999999988987E-2</v>
      </c>
      <c r="U140" s="41">
        <f t="shared" ca="1" si="19"/>
        <v>1.1000000000000121</v>
      </c>
      <c r="V140" s="42">
        <f t="shared" ca="1" si="19"/>
        <v>0.20000000000002238</v>
      </c>
    </row>
    <row r="141" spans="1:24" x14ac:dyDescent="0.25">
      <c r="F141" s="90">
        <f t="shared" si="16"/>
        <v>5</v>
      </c>
      <c r="H141" s="17" t="str">
        <f t="shared" si="17"/>
        <v>부산교통공사</v>
      </c>
      <c r="I141" s="40">
        <f t="shared" ca="1" si="20"/>
        <v>-7.8000000000000291</v>
      </c>
      <c r="J141" s="41">
        <f t="shared" ca="1" si="19"/>
        <v>-8.4000000000000075</v>
      </c>
      <c r="K141" s="41">
        <f t="shared" ca="1" si="19"/>
        <v>-8.8000000000000078</v>
      </c>
      <c r="L141" s="41">
        <f t="shared" ca="1" si="19"/>
        <v>-9.2999999999999972</v>
      </c>
      <c r="M141" s="41">
        <f t="shared" ca="1" si="19"/>
        <v>-9.8000000000000309</v>
      </c>
      <c r="N141" s="41">
        <f t="shared" ca="1" si="19"/>
        <v>-10.400000000000009</v>
      </c>
      <c r="O141" s="41">
        <f t="shared" ca="1" si="19"/>
        <v>-10.499999999999998</v>
      </c>
      <c r="P141" s="41">
        <f t="shared" ca="1" si="19"/>
        <v>-10.499999999999998</v>
      </c>
      <c r="Q141" s="41">
        <f t="shared" ca="1" si="19"/>
        <v>-10.699999999999976</v>
      </c>
      <c r="R141" s="41">
        <f t="shared" ca="1" si="19"/>
        <v>-10.099999999999998</v>
      </c>
      <c r="S141" s="41">
        <f t="shared" ca="1" si="19"/>
        <v>-10.000000000000009</v>
      </c>
      <c r="T141" s="41">
        <f t="shared" ca="1" si="19"/>
        <v>-9.2000000000000082</v>
      </c>
      <c r="U141" s="41">
        <f t="shared" ca="1" si="19"/>
        <v>-7.6000000000000068</v>
      </c>
      <c r="V141" s="42">
        <f t="shared" ca="1" si="19"/>
        <v>-8.9999999999999858</v>
      </c>
    </row>
    <row r="142" spans="1:24" x14ac:dyDescent="0.25">
      <c r="F142" s="90">
        <f t="shared" si="16"/>
        <v>5</v>
      </c>
      <c r="H142" s="17" t="str">
        <f t="shared" si="17"/>
        <v>부산항만공사</v>
      </c>
      <c r="I142" s="40">
        <f t="shared" ca="1" si="20"/>
        <v>-1.8000000000000238</v>
      </c>
      <c r="J142" s="41">
        <f t="shared" ca="1" si="19"/>
        <v>-2.2000000000000242</v>
      </c>
      <c r="K142" s="41">
        <f t="shared" ca="1" si="19"/>
        <v>-2.3000000000000131</v>
      </c>
      <c r="L142" s="41">
        <f t="shared" ca="1" si="19"/>
        <v>-2.4999999999999911</v>
      </c>
      <c r="M142" s="41">
        <f t="shared" ca="1" si="19"/>
        <v>-2.7000000000000135</v>
      </c>
      <c r="N142" s="41">
        <f t="shared" ca="1" si="19"/>
        <v>-2.9000000000000359</v>
      </c>
      <c r="O142" s="41">
        <f t="shared" ca="1" si="19"/>
        <v>-2.8000000000000025</v>
      </c>
      <c r="P142" s="41">
        <f t="shared" ca="1" si="19"/>
        <v>-2.8999999999999915</v>
      </c>
      <c r="Q142" s="41">
        <f t="shared" ca="1" si="19"/>
        <v>-2.4999999999999911</v>
      </c>
      <c r="R142" s="41">
        <f t="shared" ca="1" si="19"/>
        <v>-2.2999999999999687</v>
      </c>
      <c r="S142" s="41">
        <f t="shared" ca="1" si="19"/>
        <v>-1.7000000000000348</v>
      </c>
      <c r="T142" s="41">
        <f t="shared" ca="1" si="19"/>
        <v>-0.90000000000003411</v>
      </c>
      <c r="U142" s="41">
        <f t="shared" ca="1" si="19"/>
        <v>-0.40000000000000036</v>
      </c>
      <c r="V142" s="42">
        <f t="shared" ca="1" si="19"/>
        <v>-1.2000000000000011</v>
      </c>
    </row>
    <row r="143" spans="1:24" x14ac:dyDescent="0.25">
      <c r="F143" s="90">
        <f t="shared" si="16"/>
        <v>5</v>
      </c>
      <c r="H143" s="17" t="str">
        <f t="shared" si="17"/>
        <v>서울교통공사</v>
      </c>
      <c r="I143" s="40">
        <f t="shared" ca="1" si="20"/>
        <v>-8.2000000000000295</v>
      </c>
      <c r="J143" s="41">
        <f t="shared" ca="1" si="19"/>
        <v>-8.2000000000000295</v>
      </c>
      <c r="K143" s="41">
        <f t="shared" ca="1" si="19"/>
        <v>-8.1000000000000405</v>
      </c>
      <c r="L143" s="41">
        <f t="shared" ca="1" si="19"/>
        <v>-8.6999999999999744</v>
      </c>
      <c r="M143" s="41">
        <f t="shared" ca="1" si="19"/>
        <v>-9.2999999999999972</v>
      </c>
      <c r="N143" s="41">
        <f t="shared" ca="1" si="19"/>
        <v>-10.400000000000009</v>
      </c>
      <c r="O143" s="41">
        <f t="shared" ca="1" si="19"/>
        <v>-11.20000000000001</v>
      </c>
      <c r="P143" s="41">
        <f t="shared" ca="1" si="19"/>
        <v>-12.199999999999989</v>
      </c>
      <c r="Q143" s="41">
        <f t="shared" ca="1" si="19"/>
        <v>-12.699999999999978</v>
      </c>
      <c r="R143" s="41">
        <f t="shared" ca="1" si="19"/>
        <v>-12.599999999999989</v>
      </c>
      <c r="S143" s="41">
        <f t="shared" ca="1" si="19"/>
        <v>-12.700000000000022</v>
      </c>
      <c r="T143" s="41">
        <f t="shared" ca="1" si="19"/>
        <v>-10.499999999999998</v>
      </c>
      <c r="U143" s="41">
        <f t="shared" ca="1" si="19"/>
        <v>-9.3999999999999861</v>
      </c>
      <c r="V143" s="42">
        <f t="shared" ca="1" si="19"/>
        <v>-9.6999999999999975</v>
      </c>
    </row>
    <row r="144" spans="1:24" x14ac:dyDescent="0.25">
      <c r="F144" s="90">
        <f t="shared" si="16"/>
        <v>5</v>
      </c>
      <c r="H144" s="17" t="str">
        <f t="shared" si="17"/>
        <v>서울주택도시공사</v>
      </c>
      <c r="I144" s="40">
        <f t="shared" ca="1" si="20"/>
        <v>-2.5000000000000355</v>
      </c>
      <c r="J144" s="41">
        <f t="shared" ca="1" si="19"/>
        <v>-2.9000000000000359</v>
      </c>
      <c r="K144" s="41">
        <f t="shared" ca="1" si="19"/>
        <v>-3.3000000000000362</v>
      </c>
      <c r="L144" s="41">
        <f t="shared" ca="1" si="19"/>
        <v>-3.6000000000000032</v>
      </c>
      <c r="M144" s="41">
        <f t="shared" ca="1" si="19"/>
        <v>-3.8000000000000256</v>
      </c>
      <c r="N144" s="41">
        <f t="shared" ca="1" si="19"/>
        <v>-3.7000000000000366</v>
      </c>
      <c r="O144" s="41">
        <f t="shared" ca="1" si="19"/>
        <v>-3.6999999999999922</v>
      </c>
      <c r="P144" s="41">
        <f t="shared" ca="1" si="19"/>
        <v>-3.6999999999999922</v>
      </c>
      <c r="Q144" s="41">
        <f t="shared" ca="1" si="19"/>
        <v>-3.5000000000000142</v>
      </c>
      <c r="R144" s="41">
        <f t="shared" ca="1" si="19"/>
        <v>-3.4999999999999698</v>
      </c>
      <c r="S144" s="41">
        <f t="shared" ca="1" si="19"/>
        <v>-4.0000000000000036</v>
      </c>
      <c r="T144" s="41">
        <f t="shared" ca="1" si="19"/>
        <v>-5.400000000000027</v>
      </c>
      <c r="U144" s="41">
        <f t="shared" ca="1" si="19"/>
        <v>-2.3000000000000131</v>
      </c>
      <c r="V144" s="42">
        <f t="shared" ca="1" si="19"/>
        <v>-7.8999999999999737</v>
      </c>
      <c r="X144" s="20"/>
    </row>
    <row r="145" spans="6:24" s="1" customFormat="1" x14ac:dyDescent="0.25">
      <c r="F145" s="90">
        <f t="shared" si="16"/>
        <v>5</v>
      </c>
      <c r="H145" s="17" t="str">
        <f t="shared" si="17"/>
        <v>수협중앙회</v>
      </c>
      <c r="I145" s="40">
        <f t="shared" ca="1" si="20"/>
        <v>-2.0000000000000018</v>
      </c>
      <c r="J145" s="41">
        <f t="shared" ca="1" si="19"/>
        <v>-2.5000000000000355</v>
      </c>
      <c r="K145" s="41">
        <f t="shared" ca="1" si="19"/>
        <v>-3.1000000000000139</v>
      </c>
      <c r="L145" s="41">
        <f t="shared" ca="1" si="19"/>
        <v>-3.6000000000000032</v>
      </c>
      <c r="M145" s="41">
        <f t="shared" ca="1" si="19"/>
        <v>-2.8000000000000025</v>
      </c>
      <c r="N145" s="41">
        <f t="shared" ca="1" si="19"/>
        <v>-1.9000000000000128</v>
      </c>
      <c r="O145" s="41">
        <f t="shared" ca="1" si="19"/>
        <v>-1.7999999999999794</v>
      </c>
      <c r="P145" s="41">
        <f t="shared" ca="1" si="19"/>
        <v>-1.7999999999999794</v>
      </c>
      <c r="Q145" s="41">
        <f t="shared" ca="1" si="19"/>
        <v>-1.6000000000000014</v>
      </c>
      <c r="R145" s="41">
        <f t="shared" ca="1" si="19"/>
        <v>-1.499999999999968</v>
      </c>
      <c r="S145" s="41">
        <f t="shared" ca="1" si="19"/>
        <v>-1.5000000000000124</v>
      </c>
      <c r="T145" s="41">
        <f t="shared" ca="1" si="19"/>
        <v>-1.7000000000000348</v>
      </c>
      <c r="U145" s="41">
        <f t="shared" ca="1" si="19"/>
        <v>-1.399999999999979</v>
      </c>
      <c r="V145" s="42">
        <f t="shared" ca="1" si="19"/>
        <v>-2.1999999999999797</v>
      </c>
      <c r="X145" s="20"/>
    </row>
    <row r="146" spans="6:24" s="1" customFormat="1" x14ac:dyDescent="0.25">
      <c r="F146" s="90">
        <f t="shared" si="16"/>
        <v>5</v>
      </c>
      <c r="H146" s="17" t="str">
        <f t="shared" si="17"/>
        <v>여수광양항만공사</v>
      </c>
      <c r="I146" s="40">
        <f t="shared" ca="1" si="20"/>
        <v>-1.9000000000000128</v>
      </c>
      <c r="J146" s="41">
        <f t="shared" ca="1" si="19"/>
        <v>-2.1000000000000352</v>
      </c>
      <c r="K146" s="41">
        <f t="shared" ca="1" si="19"/>
        <v>-2.0000000000000018</v>
      </c>
      <c r="L146" s="41">
        <f t="shared" ca="1" si="19"/>
        <v>-2.0000000000000018</v>
      </c>
      <c r="M146" s="41">
        <f t="shared" ca="1" si="19"/>
        <v>-2.2000000000000242</v>
      </c>
      <c r="N146" s="41">
        <f t="shared" ca="1" si="19"/>
        <v>-2.2000000000000242</v>
      </c>
      <c r="O146" s="41">
        <f t="shared" ca="1" si="19"/>
        <v>-2.8999999999999915</v>
      </c>
      <c r="P146" s="41">
        <f t="shared" ca="1" si="19"/>
        <v>-2.8999999999999915</v>
      </c>
      <c r="Q146" s="41">
        <f t="shared" ca="1" si="19"/>
        <v>-3.2000000000000028</v>
      </c>
      <c r="R146" s="41">
        <f t="shared" ca="1" si="19"/>
        <v>-3.8999999999999702</v>
      </c>
      <c r="S146" s="41">
        <f t="shared" ca="1" si="19"/>
        <v>-4.9000000000000377</v>
      </c>
      <c r="T146" s="41">
        <f t="shared" ca="1" si="19"/>
        <v>-5.300000000000038</v>
      </c>
      <c r="U146" s="41">
        <f t="shared" ca="1" si="19"/>
        <v>-4.5999999999999819</v>
      </c>
      <c r="V146" s="42">
        <f t="shared" ca="1" si="19"/>
        <v>-5.4999999999999716</v>
      </c>
    </row>
    <row r="147" spans="6:24" s="1" customFormat="1" x14ac:dyDescent="0.25">
      <c r="F147" s="90">
        <f t="shared" si="16"/>
        <v>5</v>
      </c>
      <c r="H147" s="17" t="str">
        <f t="shared" si="17"/>
        <v>울산항만공사</v>
      </c>
      <c r="I147" s="40">
        <f t="shared" ca="1" si="20"/>
        <v>0</v>
      </c>
      <c r="J147" s="41">
        <f t="shared" ca="1" si="19"/>
        <v>0.40000000000000036</v>
      </c>
      <c r="K147" s="41">
        <f t="shared" ca="1" si="19"/>
        <v>0.49999999999998934</v>
      </c>
      <c r="L147" s="41">
        <f t="shared" ca="1" si="19"/>
        <v>0.49999999999998934</v>
      </c>
      <c r="M147" s="41">
        <f t="shared" ca="1" si="19"/>
        <v>0.59999999999997833</v>
      </c>
      <c r="N147" s="41">
        <f t="shared" ca="1" si="19"/>
        <v>0.69999999999996732</v>
      </c>
      <c r="O147" s="41">
        <f t="shared" ca="1" si="19"/>
        <v>0.70000000000001172</v>
      </c>
      <c r="P147" s="41">
        <f t="shared" ca="1" si="19"/>
        <v>0.60000000000002274</v>
      </c>
      <c r="Q147" s="41">
        <f t="shared" ca="1" si="19"/>
        <v>0.60000000000002274</v>
      </c>
      <c r="R147" s="41">
        <f t="shared" ca="1" si="19"/>
        <v>0.50000000000003375</v>
      </c>
      <c r="S147" s="41">
        <f t="shared" ca="1" si="19"/>
        <v>0.19999999999997797</v>
      </c>
      <c r="T147" s="41">
        <f t="shared" ca="1" si="19"/>
        <v>0.19999999999997797</v>
      </c>
      <c r="U147" s="41">
        <f t="shared" ca="1" si="19"/>
        <v>1.1000000000000121</v>
      </c>
      <c r="V147" s="42">
        <f t="shared" ca="1" si="19"/>
        <v>9.9999999999988987E-2</v>
      </c>
    </row>
    <row r="148" spans="6:24" s="1" customFormat="1" x14ac:dyDescent="0.25">
      <c r="F148" s="90">
        <f t="shared" si="16"/>
        <v>5</v>
      </c>
      <c r="H148" s="17" t="str">
        <f t="shared" si="17"/>
        <v>인천국제공항공사</v>
      </c>
      <c r="I148" s="40">
        <f t="shared" ca="1" si="20"/>
        <v>-4.0000000000000036</v>
      </c>
      <c r="J148" s="41">
        <f t="shared" ca="1" si="19"/>
        <v>-4.0000000000000036</v>
      </c>
      <c r="K148" s="41">
        <f t="shared" ca="1" si="19"/>
        <v>-4.1000000000000369</v>
      </c>
      <c r="L148" s="41">
        <f t="shared" ca="1" si="19"/>
        <v>-5.0999999999999712</v>
      </c>
      <c r="M148" s="41">
        <f t="shared" ca="1" si="19"/>
        <v>-6.0000000000000053</v>
      </c>
      <c r="N148" s="41">
        <f t="shared" ca="1" si="19"/>
        <v>-6.7000000000000171</v>
      </c>
      <c r="O148" s="41">
        <f t="shared" ca="1" si="19"/>
        <v>-6.800000000000006</v>
      </c>
      <c r="P148" s="41">
        <f t="shared" ca="1" si="19"/>
        <v>-6.999999999999984</v>
      </c>
      <c r="Q148" s="41">
        <f t="shared" ca="1" si="19"/>
        <v>-6.999999999999984</v>
      </c>
      <c r="R148" s="41">
        <f t="shared" ca="1" si="19"/>
        <v>-6.999999999999984</v>
      </c>
      <c r="S148" s="41">
        <f t="shared" ca="1" si="19"/>
        <v>-6.2000000000000277</v>
      </c>
      <c r="T148" s="41">
        <f t="shared" ca="1" si="19"/>
        <v>-5.9000000000000163</v>
      </c>
      <c r="U148" s="41">
        <f t="shared" ca="1" si="19"/>
        <v>-5.600000000000005</v>
      </c>
      <c r="V148" s="42">
        <f t="shared" ca="1" si="19"/>
        <v>-6.4999999999999947</v>
      </c>
    </row>
    <row r="149" spans="6:24" s="1" customFormat="1" x14ac:dyDescent="0.25">
      <c r="F149" s="90">
        <f t="shared" si="16"/>
        <v>5</v>
      </c>
      <c r="H149" s="17" t="str">
        <f t="shared" si="17"/>
        <v>인천항만공사</v>
      </c>
      <c r="I149" s="40">
        <f t="shared" ca="1" si="20"/>
        <v>-1.3000000000000345</v>
      </c>
      <c r="J149" s="41">
        <f t="shared" ca="1" si="19"/>
        <v>-1.5000000000000124</v>
      </c>
      <c r="K149" s="41">
        <f t="shared" ca="1" si="19"/>
        <v>-1.9000000000000128</v>
      </c>
      <c r="L149" s="41">
        <f t="shared" ca="1" si="19"/>
        <v>-2.0000000000000018</v>
      </c>
      <c r="M149" s="41">
        <f t="shared" ca="1" si="19"/>
        <v>-2.7000000000000135</v>
      </c>
      <c r="N149" s="41">
        <f t="shared" ca="1" si="19"/>
        <v>-3.0000000000000249</v>
      </c>
      <c r="O149" s="41">
        <f t="shared" ca="1" si="19"/>
        <v>-3.2999999999999918</v>
      </c>
      <c r="P149" s="41">
        <f t="shared" ca="1" si="19"/>
        <v>-4.1999999999999815</v>
      </c>
      <c r="Q149" s="41">
        <f t="shared" ca="1" si="19"/>
        <v>-4.8999999999999932</v>
      </c>
      <c r="R149" s="41">
        <f t="shared" ca="1" si="19"/>
        <v>-5.2999999999999936</v>
      </c>
      <c r="S149" s="41">
        <f t="shared" ca="1" si="19"/>
        <v>-4.8000000000000043</v>
      </c>
      <c r="T149" s="41">
        <f t="shared" ca="1" si="19"/>
        <v>-4.2000000000000259</v>
      </c>
      <c r="U149" s="41">
        <f t="shared" ca="1" si="19"/>
        <v>-3.3999999999999808</v>
      </c>
      <c r="V149" s="42">
        <f t="shared" ca="1" si="19"/>
        <v>-3.7999999999999812</v>
      </c>
    </row>
    <row r="150" spans="6:24" s="1" customFormat="1" x14ac:dyDescent="0.25">
      <c r="F150" s="90">
        <f t="shared" si="16"/>
        <v>5</v>
      </c>
      <c r="H150" s="17" t="str">
        <f t="shared" si="17"/>
        <v>제주개발센터</v>
      </c>
      <c r="I150" s="40">
        <f t="shared" ca="1" si="20"/>
        <v>6.899999999999995</v>
      </c>
      <c r="J150" s="41">
        <f t="shared" ca="1" si="19"/>
        <v>4.8999999999999932</v>
      </c>
      <c r="K150" s="41">
        <f t="shared" ca="1" si="19"/>
        <v>4.2999999999999705</v>
      </c>
      <c r="L150" s="41">
        <f t="shared" ca="1" si="19"/>
        <v>1.5000000000000124</v>
      </c>
      <c r="M150" s="41">
        <f t="shared" ca="1" si="19"/>
        <v>0.8999999999999897</v>
      </c>
      <c r="N150" s="41">
        <f t="shared" ca="1" si="19"/>
        <v>1.399999999999979</v>
      </c>
      <c r="O150" s="41">
        <f t="shared" ca="1" si="19"/>
        <v>1.9000000000000128</v>
      </c>
      <c r="P150" s="41">
        <f t="shared" ca="1" si="19"/>
        <v>2.0999999999999908</v>
      </c>
      <c r="Q150" s="41">
        <f t="shared" ca="1" si="19"/>
        <v>0.8999999999999897</v>
      </c>
      <c r="R150" s="41">
        <f t="shared" ca="1" si="19"/>
        <v>1.6999999999999904</v>
      </c>
      <c r="S150" s="41">
        <f t="shared" ca="1" si="19"/>
        <v>1.399999999999979</v>
      </c>
      <c r="T150" s="41">
        <f t="shared" ca="1" si="19"/>
        <v>3.0999999999999694</v>
      </c>
      <c r="U150" s="41">
        <f t="shared" ca="1" si="19"/>
        <v>3.7999999999999812</v>
      </c>
      <c r="V150" s="42">
        <f t="shared" ca="1" si="19"/>
        <v>2.4000000000000021</v>
      </c>
    </row>
    <row r="151" spans="6:24" s="1" customFormat="1" x14ac:dyDescent="0.25">
      <c r="F151" s="90">
        <f t="shared" si="16"/>
        <v>5</v>
      </c>
      <c r="H151" s="17" t="str">
        <f t="shared" si="17"/>
        <v>중소벤처기업진흥공단</v>
      </c>
      <c r="I151" s="40">
        <f t="shared" ca="1" si="20"/>
        <v>1.499999999999968</v>
      </c>
      <c r="J151" s="41">
        <f t="shared" ca="1" si="19"/>
        <v>1.6000000000000014</v>
      </c>
      <c r="K151" s="41">
        <f t="shared" ca="1" si="19"/>
        <v>1.6999999999999904</v>
      </c>
      <c r="L151" s="41">
        <f t="shared" ca="1" si="19"/>
        <v>1.6999999999999904</v>
      </c>
      <c r="M151" s="41">
        <f t="shared" ca="1" si="19"/>
        <v>2.1999999999999797</v>
      </c>
      <c r="N151" s="41">
        <f t="shared" ca="1" si="19"/>
        <v>2.9999999999999805</v>
      </c>
      <c r="O151" s="41">
        <f t="shared" ca="1" si="19"/>
        <v>2.8000000000000025</v>
      </c>
      <c r="P151" s="41">
        <f t="shared" ca="1" si="19"/>
        <v>3.0000000000000249</v>
      </c>
      <c r="Q151" s="41">
        <f t="shared" ca="1" si="19"/>
        <v>3.0000000000000249</v>
      </c>
      <c r="R151" s="41">
        <f t="shared" ca="1" si="19"/>
        <v>3.0000000000000249</v>
      </c>
      <c r="S151" s="41">
        <f t="shared" ca="1" si="19"/>
        <v>2.6999999999999691</v>
      </c>
      <c r="T151" s="41">
        <f t="shared" ca="1" si="19"/>
        <v>2.0999999999999908</v>
      </c>
      <c r="U151" s="41">
        <f t="shared" ca="1" si="19"/>
        <v>2.8999999999999915</v>
      </c>
      <c r="V151" s="42">
        <f t="shared" ca="1" si="19"/>
        <v>1.6999999999999904</v>
      </c>
    </row>
    <row r="152" spans="6:24" s="1" customFormat="1" x14ac:dyDescent="0.25">
      <c r="F152" s="90">
        <f t="shared" si="16"/>
        <v>5</v>
      </c>
      <c r="H152" s="17" t="str">
        <f t="shared" si="17"/>
        <v>지역난방공사</v>
      </c>
      <c r="I152" s="40">
        <f t="shared" ca="1" si="20"/>
        <v>1.2999999999999901</v>
      </c>
      <c r="J152" s="41">
        <f t="shared" ca="1" si="20"/>
        <v>1.2999999999999901</v>
      </c>
      <c r="K152" s="41">
        <f t="shared" ca="1" si="20"/>
        <v>1.399999999999979</v>
      </c>
      <c r="L152" s="41">
        <f t="shared" ca="1" si="20"/>
        <v>1.5000000000000124</v>
      </c>
      <c r="M152" s="41">
        <f t="shared" ca="1" si="20"/>
        <v>1.499999999999968</v>
      </c>
      <c r="N152" s="41">
        <f t="shared" ca="1" si="20"/>
        <v>1.499999999999968</v>
      </c>
      <c r="O152" s="41">
        <f t="shared" ca="1" si="20"/>
        <v>1.6999999999999904</v>
      </c>
      <c r="P152" s="41">
        <f t="shared" ca="1" si="20"/>
        <v>1.8000000000000238</v>
      </c>
      <c r="Q152" s="41">
        <f t="shared" ca="1" si="20"/>
        <v>1.0000000000000231</v>
      </c>
      <c r="R152" s="41">
        <f t="shared" ca="1" si="20"/>
        <v>0.50000000000003375</v>
      </c>
      <c r="S152" s="41">
        <f t="shared" ca="1" si="20"/>
        <v>0.69999999999996732</v>
      </c>
      <c r="T152" s="41">
        <f t="shared" ca="1" si="20"/>
        <v>0.29999999999996696</v>
      </c>
      <c r="U152" s="41">
        <f t="shared" ca="1" si="20"/>
        <v>1.1000000000000121</v>
      </c>
      <c r="V152" s="42">
        <f t="shared" ca="1" si="20"/>
        <v>0.20000000000002238</v>
      </c>
    </row>
    <row r="153" spans="6:24" s="1" customFormat="1" x14ac:dyDescent="0.25">
      <c r="F153" s="90">
        <f t="shared" si="16"/>
        <v>5</v>
      </c>
      <c r="H153" s="17" t="str">
        <f t="shared" si="17"/>
        <v>한국가스공사</v>
      </c>
      <c r="I153" s="40">
        <f t="shared" ref="I153:V165" ca="1" si="21">IF( $F153=TRUE, INDEX($H$7:$V$64, MATCH($H153, $H$7:$H$64, 0), I$6), ( INDEX($H$7:$V$64, MATCH($H$135, $H$7:$H$64, 0), I$6)-INDEX($H$7:$V$64, MATCH($H153, $H$7:$H$64, 0), I$6) )*100 )</f>
        <v>-5.0000000000000266</v>
      </c>
      <c r="J153" s="41">
        <f t="shared" ca="1" si="21"/>
        <v>-5.2000000000000046</v>
      </c>
      <c r="K153" s="41">
        <f t="shared" ca="1" si="21"/>
        <v>-5.300000000000038</v>
      </c>
      <c r="L153" s="41">
        <f t="shared" ca="1" si="21"/>
        <v>-5.600000000000005</v>
      </c>
      <c r="M153" s="41">
        <f t="shared" ca="1" si="21"/>
        <v>-5.7000000000000384</v>
      </c>
      <c r="N153" s="41">
        <f t="shared" ca="1" si="21"/>
        <v>-6.2000000000000277</v>
      </c>
      <c r="O153" s="41">
        <f t="shared" ca="1" si="21"/>
        <v>-6.1999999999999833</v>
      </c>
      <c r="P153" s="41">
        <f t="shared" ca="1" si="21"/>
        <v>-6.1999999999999833</v>
      </c>
      <c r="Q153" s="41">
        <f t="shared" ca="1" si="21"/>
        <v>-6.4000000000000057</v>
      </c>
      <c r="R153" s="41">
        <f t="shared" ca="1" si="21"/>
        <v>-6.0999999999999943</v>
      </c>
      <c r="S153" s="41">
        <f t="shared" ca="1" si="21"/>
        <v>-5.7000000000000384</v>
      </c>
      <c r="T153" s="41">
        <f t="shared" ca="1" si="21"/>
        <v>-4.9000000000000377</v>
      </c>
      <c r="U153" s="41">
        <f t="shared" ca="1" si="21"/>
        <v>-4.0999999999999925</v>
      </c>
      <c r="V153" s="42">
        <f t="shared" ca="1" si="21"/>
        <v>-4.4999999999999929</v>
      </c>
    </row>
    <row r="154" spans="6:24" s="1" customFormat="1" x14ac:dyDescent="0.25">
      <c r="F154" s="90">
        <f t="shared" si="16"/>
        <v>5</v>
      </c>
      <c r="H154" s="17" t="str">
        <f t="shared" si="17"/>
        <v>한국공항공사</v>
      </c>
      <c r="I154" s="40">
        <f t="shared" ca="1" si="21"/>
        <v>-2.7000000000000135</v>
      </c>
      <c r="J154" s="41">
        <f t="shared" ca="1" si="21"/>
        <v>-2.5000000000000355</v>
      </c>
      <c r="K154" s="41">
        <f t="shared" ca="1" si="21"/>
        <v>-2.6000000000000245</v>
      </c>
      <c r="L154" s="41">
        <f t="shared" ca="1" si="21"/>
        <v>-3.2999999999999918</v>
      </c>
      <c r="M154" s="41">
        <f t="shared" ca="1" si="21"/>
        <v>-4.2000000000000259</v>
      </c>
      <c r="N154" s="41">
        <f t="shared" ca="1" si="21"/>
        <v>-4.9000000000000377</v>
      </c>
      <c r="O154" s="41">
        <f t="shared" ca="1" si="21"/>
        <v>-4.8000000000000043</v>
      </c>
      <c r="P154" s="41">
        <f t="shared" ca="1" si="21"/>
        <v>-4.9999999999999822</v>
      </c>
      <c r="Q154" s="41">
        <f t="shared" ca="1" si="21"/>
        <v>-4.9999999999999822</v>
      </c>
      <c r="R154" s="41">
        <f t="shared" ca="1" si="21"/>
        <v>-4.9999999999999822</v>
      </c>
      <c r="S154" s="41">
        <f t="shared" ca="1" si="21"/>
        <v>-5.0000000000000266</v>
      </c>
      <c r="T154" s="41">
        <f t="shared" ca="1" si="21"/>
        <v>-4.9000000000000377</v>
      </c>
      <c r="U154" s="41">
        <f t="shared" ca="1" si="21"/>
        <v>-4.4000000000000039</v>
      </c>
      <c r="V154" s="42">
        <f t="shared" ca="1" si="21"/>
        <v>-4.8000000000000043</v>
      </c>
    </row>
    <row r="155" spans="6:24" s="1" customFormat="1" x14ac:dyDescent="0.25">
      <c r="F155" s="90">
        <f t="shared" si="16"/>
        <v>5</v>
      </c>
      <c r="H155" s="17" t="str">
        <f t="shared" si="17"/>
        <v>한국도로공사</v>
      </c>
      <c r="I155" s="40">
        <f t="shared" ca="1" si="21"/>
        <v>3.3999999999999808</v>
      </c>
      <c r="J155" s="41">
        <f t="shared" ca="1" si="21"/>
        <v>3.3999999999999808</v>
      </c>
      <c r="K155" s="41">
        <f t="shared" ca="1" si="21"/>
        <v>2.9999999999999805</v>
      </c>
      <c r="L155" s="41">
        <f t="shared" ca="1" si="21"/>
        <v>3.2000000000000028</v>
      </c>
      <c r="M155" s="41">
        <f t="shared" ca="1" si="21"/>
        <v>2.9999999999999805</v>
      </c>
      <c r="N155" s="41">
        <f t="shared" ca="1" si="21"/>
        <v>3.2000000000000028</v>
      </c>
      <c r="O155" s="41">
        <f t="shared" ca="1" si="21"/>
        <v>3.4000000000000252</v>
      </c>
      <c r="P155" s="41">
        <f t="shared" ca="1" si="21"/>
        <v>3.3999999999999808</v>
      </c>
      <c r="Q155" s="41">
        <f t="shared" ca="1" si="21"/>
        <v>3.8000000000000256</v>
      </c>
      <c r="R155" s="41">
        <f t="shared" ca="1" si="21"/>
        <v>3.6000000000000032</v>
      </c>
      <c r="S155" s="41">
        <f t="shared" ca="1" si="21"/>
        <v>4.5999999999999819</v>
      </c>
      <c r="T155" s="41">
        <f t="shared" ca="1" si="21"/>
        <v>4.6999999999999709</v>
      </c>
      <c r="U155" s="41">
        <f t="shared" ca="1" si="21"/>
        <v>5.600000000000005</v>
      </c>
      <c r="V155" s="42">
        <f t="shared" ca="1" si="21"/>
        <v>5.9000000000000163</v>
      </c>
    </row>
    <row r="156" spans="6:24" s="1" customFormat="1" x14ac:dyDescent="0.25">
      <c r="F156" s="90">
        <f t="shared" si="16"/>
        <v>5</v>
      </c>
      <c r="H156" s="17" t="str">
        <f t="shared" si="17"/>
        <v>한국산업단지공단</v>
      </c>
      <c r="I156" s="40">
        <f t="shared" ca="1" si="21"/>
        <v>1.499999999999968</v>
      </c>
      <c r="J156" s="41">
        <f t="shared" ca="1" si="21"/>
        <v>1.499999999999968</v>
      </c>
      <c r="K156" s="41">
        <f t="shared" ca="1" si="21"/>
        <v>1.499999999999968</v>
      </c>
      <c r="L156" s="41">
        <f t="shared" ca="1" si="21"/>
        <v>1.5000000000000124</v>
      </c>
      <c r="M156" s="41">
        <f t="shared" ca="1" si="21"/>
        <v>1.499999999999968</v>
      </c>
      <c r="N156" s="41">
        <f t="shared" ca="1" si="21"/>
        <v>1.499999999999968</v>
      </c>
      <c r="O156" s="41">
        <f t="shared" ca="1" si="21"/>
        <v>1.5000000000000124</v>
      </c>
      <c r="P156" s="41">
        <f t="shared" ca="1" si="21"/>
        <v>1.5000000000000124</v>
      </c>
      <c r="Q156" s="41">
        <f t="shared" ca="1" si="21"/>
        <v>1.5000000000000124</v>
      </c>
      <c r="R156" s="41">
        <f t="shared" ca="1" si="21"/>
        <v>1.5000000000000124</v>
      </c>
      <c r="S156" s="41">
        <f t="shared" ca="1" si="21"/>
        <v>1.499999999999968</v>
      </c>
      <c r="T156" s="41">
        <f t="shared" ca="1" si="21"/>
        <v>1.499999999999968</v>
      </c>
      <c r="U156" s="41">
        <f t="shared" ca="1" si="21"/>
        <v>3.1000000000000139</v>
      </c>
      <c r="V156" s="42">
        <f t="shared" ca="1" si="21"/>
        <v>1.5000000000000124</v>
      </c>
    </row>
    <row r="157" spans="6:24" s="1" customFormat="1" x14ac:dyDescent="0.25">
      <c r="F157" s="90">
        <f t="shared" si="16"/>
        <v>5</v>
      </c>
      <c r="H157" s="17" t="str">
        <f t="shared" si="17"/>
        <v>한국석유공사</v>
      </c>
      <c r="I157" s="40">
        <f t="shared" ca="1" si="21"/>
        <v>1.599999999999957</v>
      </c>
      <c r="J157" s="41">
        <f t="shared" ca="1" si="21"/>
        <v>1.8999999999999684</v>
      </c>
      <c r="K157" s="41">
        <f t="shared" ca="1" si="21"/>
        <v>2.0000000000000018</v>
      </c>
      <c r="L157" s="41">
        <f t="shared" ca="1" si="21"/>
        <v>1.8000000000000238</v>
      </c>
      <c r="M157" s="41">
        <f t="shared" ca="1" si="21"/>
        <v>1.6999999999999904</v>
      </c>
      <c r="N157" s="41">
        <f t="shared" ca="1" si="21"/>
        <v>1.6000000000000014</v>
      </c>
      <c r="O157" s="41">
        <f t="shared" ca="1" si="21"/>
        <v>1.6000000000000014</v>
      </c>
      <c r="P157" s="41">
        <f t="shared" ca="1" si="21"/>
        <v>1.6000000000000014</v>
      </c>
      <c r="Q157" s="41">
        <f t="shared" ca="1" si="21"/>
        <v>1.6000000000000014</v>
      </c>
      <c r="R157" s="41">
        <f t="shared" ca="1" si="21"/>
        <v>1.6000000000000014</v>
      </c>
      <c r="S157" s="41">
        <f t="shared" ca="1" si="21"/>
        <v>1.6000000000000014</v>
      </c>
      <c r="T157" s="41">
        <f t="shared" ca="1" si="21"/>
        <v>1.6000000000000014</v>
      </c>
      <c r="U157" s="41">
        <f t="shared" ca="1" si="21"/>
        <v>3.2999999999999918</v>
      </c>
      <c r="V157" s="42">
        <f t="shared" ca="1" si="21"/>
        <v>1.6000000000000014</v>
      </c>
    </row>
    <row r="158" spans="6:24" s="1" customFormat="1" x14ac:dyDescent="0.25">
      <c r="F158" s="90">
        <f t="shared" si="16"/>
        <v>5</v>
      </c>
      <c r="H158" s="17" t="str">
        <f t="shared" si="17"/>
        <v>한국수자원공사</v>
      </c>
      <c r="I158" s="40">
        <f t="shared" ca="1" si="21"/>
        <v>2.9999999999999805</v>
      </c>
      <c r="J158" s="41">
        <f t="shared" ca="1" si="21"/>
        <v>3.0999999999999694</v>
      </c>
      <c r="K158" s="41">
        <f t="shared" ca="1" si="21"/>
        <v>2.4999999999999911</v>
      </c>
      <c r="L158" s="41">
        <f t="shared" ca="1" si="21"/>
        <v>2.4999999999999911</v>
      </c>
      <c r="M158" s="41">
        <f t="shared" ca="1" si="21"/>
        <v>2.2999999999999687</v>
      </c>
      <c r="N158" s="41">
        <f t="shared" ca="1" si="21"/>
        <v>2.5999999999999801</v>
      </c>
      <c r="O158" s="41">
        <f t="shared" ca="1" si="21"/>
        <v>2.7000000000000135</v>
      </c>
      <c r="P158" s="41">
        <f t="shared" ca="1" si="21"/>
        <v>2.8000000000000025</v>
      </c>
      <c r="Q158" s="41">
        <f t="shared" ca="1" si="21"/>
        <v>3.1000000000000139</v>
      </c>
      <c r="R158" s="41">
        <f t="shared" ca="1" si="21"/>
        <v>2.8999999999999915</v>
      </c>
      <c r="S158" s="41">
        <f t="shared" ca="1" si="21"/>
        <v>3.9999999999999591</v>
      </c>
      <c r="T158" s="41">
        <f t="shared" ca="1" si="21"/>
        <v>3.9999999999999591</v>
      </c>
      <c r="U158" s="41">
        <f t="shared" ca="1" si="21"/>
        <v>4.5999999999999819</v>
      </c>
      <c r="V158" s="42">
        <f t="shared" ca="1" si="21"/>
        <v>4.8999999999999932</v>
      </c>
    </row>
    <row r="159" spans="6:24" s="1" customFormat="1" x14ac:dyDescent="0.25">
      <c r="F159" s="90">
        <f t="shared" si="16"/>
        <v>5</v>
      </c>
      <c r="H159" s="17" t="str">
        <f t="shared" si="17"/>
        <v>한국자산관리공사</v>
      </c>
      <c r="I159" s="40">
        <f t="shared" ca="1" si="21"/>
        <v>1.499999999999968</v>
      </c>
      <c r="J159" s="41">
        <f t="shared" ca="1" si="21"/>
        <v>1.6000000000000014</v>
      </c>
      <c r="K159" s="41">
        <f t="shared" ca="1" si="21"/>
        <v>1.2000000000000011</v>
      </c>
      <c r="L159" s="41">
        <f t="shared" ca="1" si="21"/>
        <v>1.2000000000000011</v>
      </c>
      <c r="M159" s="41">
        <f t="shared" ca="1" si="21"/>
        <v>1.6999999999999904</v>
      </c>
      <c r="N159" s="41">
        <f t="shared" ca="1" si="21"/>
        <v>2.2999999999999687</v>
      </c>
      <c r="O159" s="41">
        <f t="shared" ca="1" si="21"/>
        <v>2.0999999999999908</v>
      </c>
      <c r="P159" s="41">
        <f t="shared" ca="1" si="21"/>
        <v>2.0000000000000018</v>
      </c>
      <c r="Q159" s="41">
        <f t="shared" ca="1" si="21"/>
        <v>1.5000000000000124</v>
      </c>
      <c r="R159" s="41">
        <f t="shared" ca="1" si="21"/>
        <v>1.5000000000000124</v>
      </c>
      <c r="S159" s="41">
        <f t="shared" ca="1" si="21"/>
        <v>0.80000000000000071</v>
      </c>
      <c r="T159" s="41">
        <f t="shared" ca="1" si="21"/>
        <v>0.49999999999998934</v>
      </c>
      <c r="U159" s="41">
        <f t="shared" ca="1" si="21"/>
        <v>0.8999999999999897</v>
      </c>
      <c r="V159" s="42">
        <f t="shared" ca="1" si="21"/>
        <v>0</v>
      </c>
    </row>
    <row r="160" spans="6:24" s="1" customFormat="1" x14ac:dyDescent="0.25">
      <c r="F160" s="90">
        <f t="shared" si="16"/>
        <v>5</v>
      </c>
      <c r="H160" s="17" t="str">
        <f t="shared" si="17"/>
        <v>한국전력공사</v>
      </c>
      <c r="I160" s="40">
        <f t="shared" ca="1" si="21"/>
        <v>-4.6000000000000263</v>
      </c>
      <c r="J160" s="41">
        <f t="shared" ca="1" si="21"/>
        <v>-6.6000000000000281</v>
      </c>
      <c r="K160" s="41">
        <f t="shared" ca="1" si="21"/>
        <v>-7.5000000000000178</v>
      </c>
      <c r="L160" s="41">
        <f t="shared" ca="1" si="21"/>
        <v>-8.0000000000000071</v>
      </c>
      <c r="M160" s="41">
        <f t="shared" ca="1" si="21"/>
        <v>-9.4000000000000306</v>
      </c>
      <c r="N160" s="41">
        <f t="shared" ca="1" si="21"/>
        <v>-10.000000000000009</v>
      </c>
      <c r="O160" s="41">
        <f t="shared" ca="1" si="21"/>
        <v>-11.60000000000001</v>
      </c>
      <c r="P160" s="41">
        <f t="shared" ca="1" si="21"/>
        <v>-13.600000000000012</v>
      </c>
      <c r="Q160" s="41">
        <f t="shared" ca="1" si="21"/>
        <v>-13.79999999999999</v>
      </c>
      <c r="R160" s="41">
        <f t="shared" ca="1" si="21"/>
        <v>-14.100000000000001</v>
      </c>
      <c r="S160" s="41">
        <f t="shared" ca="1" si="21"/>
        <v>-14.300000000000024</v>
      </c>
      <c r="T160" s="41">
        <f t="shared" ca="1" si="21"/>
        <v>-14.500000000000002</v>
      </c>
      <c r="U160" s="41">
        <f t="shared" ca="1" si="21"/>
        <v>-13.3</v>
      </c>
      <c r="V160" s="42">
        <f t="shared" ca="1" si="21"/>
        <v>-14.400000000000013</v>
      </c>
    </row>
    <row r="161" spans="6:22" s="1" customFormat="1" x14ac:dyDescent="0.25">
      <c r="F161" s="90">
        <f t="shared" si="16"/>
        <v>5</v>
      </c>
      <c r="H161" s="17" t="str">
        <f t="shared" si="17"/>
        <v>한국주택금융공사</v>
      </c>
      <c r="I161" s="40">
        <f t="shared" ca="1" si="21"/>
        <v>0.99999999999997868</v>
      </c>
      <c r="J161" s="41">
        <f t="shared" ca="1" si="21"/>
        <v>0.49999999999998934</v>
      </c>
      <c r="K161" s="41">
        <f t="shared" ca="1" si="21"/>
        <v>0.99999999999997868</v>
      </c>
      <c r="L161" s="41">
        <f t="shared" ca="1" si="21"/>
        <v>1.0000000000000231</v>
      </c>
      <c r="M161" s="41">
        <f t="shared" ca="1" si="21"/>
        <v>1.499999999999968</v>
      </c>
      <c r="N161" s="41">
        <f t="shared" ca="1" si="21"/>
        <v>2.0000000000000018</v>
      </c>
      <c r="O161" s="41">
        <f t="shared" ca="1" si="21"/>
        <v>1.5000000000000124</v>
      </c>
      <c r="P161" s="41">
        <f t="shared" ca="1" si="21"/>
        <v>1.8000000000000238</v>
      </c>
      <c r="Q161" s="41">
        <f t="shared" ca="1" si="21"/>
        <v>1.8000000000000238</v>
      </c>
      <c r="R161" s="41">
        <f t="shared" ca="1" si="21"/>
        <v>1.6999999999999904</v>
      </c>
      <c r="S161" s="41">
        <f t="shared" ca="1" si="21"/>
        <v>0.99999999999997868</v>
      </c>
      <c r="T161" s="41">
        <f t="shared" ca="1" si="21"/>
        <v>0.59999999999997833</v>
      </c>
      <c r="U161" s="41">
        <f t="shared" ca="1" si="21"/>
        <v>1.6000000000000014</v>
      </c>
      <c r="V161" s="42">
        <f t="shared" ca="1" si="21"/>
        <v>0.49999999999998934</v>
      </c>
    </row>
    <row r="162" spans="6:22" s="1" customFormat="1" x14ac:dyDescent="0.25">
      <c r="F162" s="90">
        <f t="shared" si="16"/>
        <v>5</v>
      </c>
      <c r="H162" s="17" t="str">
        <f t="shared" si="17"/>
        <v>한국철도공사</v>
      </c>
      <c r="I162" s="40">
        <f t="shared" ca="1" si="21"/>
        <v>-0.20000000000002238</v>
      </c>
      <c r="J162" s="41">
        <f t="shared" ca="1" si="21"/>
        <v>9.9999999999988987E-2</v>
      </c>
      <c r="K162" s="41">
        <f t="shared" ca="1" si="21"/>
        <v>-0.30000000000001137</v>
      </c>
      <c r="L162" s="41">
        <f t="shared" ca="1" si="21"/>
        <v>-9.9999999999988987E-2</v>
      </c>
      <c r="M162" s="41">
        <f t="shared" ca="1" si="21"/>
        <v>-0.20000000000002238</v>
      </c>
      <c r="N162" s="41">
        <f t="shared" ca="1" si="21"/>
        <v>-0.70000000000001172</v>
      </c>
      <c r="O162" s="41">
        <f t="shared" ca="1" si="21"/>
        <v>-0.49999999999998934</v>
      </c>
      <c r="P162" s="41">
        <f t="shared" ca="1" si="21"/>
        <v>-0.70000000000001172</v>
      </c>
      <c r="Q162" s="41">
        <f t="shared" ca="1" si="21"/>
        <v>-0.59999999999997833</v>
      </c>
      <c r="R162" s="41">
        <f t="shared" ca="1" si="21"/>
        <v>-0.29999999999996696</v>
      </c>
      <c r="S162" s="41">
        <f t="shared" ca="1" si="21"/>
        <v>-0.20000000000002238</v>
      </c>
      <c r="T162" s="41">
        <f t="shared" ca="1" si="21"/>
        <v>0.49999999999998934</v>
      </c>
      <c r="U162" s="41">
        <f t="shared" ca="1" si="21"/>
        <v>2.4000000000000021</v>
      </c>
      <c r="V162" s="42">
        <f t="shared" ca="1" si="21"/>
        <v>1.2000000000000011</v>
      </c>
    </row>
    <row r="163" spans="6:22" s="1" customFormat="1" x14ac:dyDescent="0.25">
      <c r="F163" s="90">
        <f t="shared" si="16"/>
        <v>5</v>
      </c>
      <c r="H163" s="17" t="str">
        <f t="shared" si="17"/>
        <v>한국토지주택공사</v>
      </c>
      <c r="I163" s="40">
        <f t="shared" ca="1" si="21"/>
        <v>0.80000000000000071</v>
      </c>
      <c r="J163" s="41">
        <f t="shared" ca="1" si="21"/>
        <v>0.99999999999997868</v>
      </c>
      <c r="K163" s="41">
        <f t="shared" ca="1" si="21"/>
        <v>0.99999999999997868</v>
      </c>
      <c r="L163" s="41">
        <f t="shared" ca="1" si="21"/>
        <v>1.0000000000000231</v>
      </c>
      <c r="M163" s="41">
        <f t="shared" ca="1" si="21"/>
        <v>1.499999999999968</v>
      </c>
      <c r="N163" s="41">
        <f t="shared" ca="1" si="21"/>
        <v>1.6000000000000014</v>
      </c>
      <c r="O163" s="41">
        <f t="shared" ca="1" si="21"/>
        <v>1.6999999999999904</v>
      </c>
      <c r="P163" s="41">
        <f t="shared" ca="1" si="21"/>
        <v>1.2999999999999901</v>
      </c>
      <c r="Q163" s="41">
        <f t="shared" ca="1" si="21"/>
        <v>1.5000000000000124</v>
      </c>
      <c r="R163" s="41">
        <f t="shared" ca="1" si="21"/>
        <v>1.5000000000000124</v>
      </c>
      <c r="S163" s="41">
        <f t="shared" ca="1" si="21"/>
        <v>1.6999999999999904</v>
      </c>
      <c r="T163" s="41">
        <f t="shared" ca="1" si="21"/>
        <v>2.4999999999999911</v>
      </c>
      <c r="U163" s="41">
        <f t="shared" ca="1" si="21"/>
        <v>3.3999999999999808</v>
      </c>
      <c r="V163" s="42">
        <f t="shared" ca="1" si="21"/>
        <v>3.5000000000000142</v>
      </c>
    </row>
    <row r="164" spans="6:22" s="1" customFormat="1" x14ac:dyDescent="0.25">
      <c r="F164" s="90">
        <f t="shared" si="16"/>
        <v>5</v>
      </c>
      <c r="H164" s="15" t="str">
        <f t="shared" si="17"/>
        <v>한국해양진흥공사</v>
      </c>
      <c r="I164" s="40">
        <f t="shared" ca="1" si="21"/>
        <v>1.499999999999968</v>
      </c>
      <c r="J164" s="41">
        <f t="shared" ca="1" si="21"/>
        <v>1.499999999999968</v>
      </c>
      <c r="K164" s="41">
        <f t="shared" ca="1" si="21"/>
        <v>1.499999999999968</v>
      </c>
      <c r="L164" s="41">
        <f t="shared" ca="1" si="21"/>
        <v>1.5000000000000124</v>
      </c>
      <c r="M164" s="41">
        <f t="shared" ca="1" si="21"/>
        <v>1.6999999999999904</v>
      </c>
      <c r="N164" s="41">
        <f t="shared" ca="1" si="21"/>
        <v>1.499999999999968</v>
      </c>
      <c r="O164" s="41">
        <f t="shared" ca="1" si="21"/>
        <v>1.5000000000000124</v>
      </c>
      <c r="P164" s="41">
        <f t="shared" ca="1" si="21"/>
        <v>1.2999999999999901</v>
      </c>
      <c r="Q164" s="41">
        <f t="shared" ca="1" si="21"/>
        <v>1.2999999999999901</v>
      </c>
      <c r="R164" s="41">
        <f t="shared" ca="1" si="21"/>
        <v>1.4000000000000234</v>
      </c>
      <c r="S164" s="41">
        <f t="shared" ca="1" si="21"/>
        <v>1.2999999999999901</v>
      </c>
      <c r="T164" s="41">
        <f t="shared" ca="1" si="21"/>
        <v>1.499999999999968</v>
      </c>
      <c r="U164" s="41">
        <f t="shared" ca="1" si="21"/>
        <v>3.1000000000000139</v>
      </c>
      <c r="V164" s="42">
        <f t="shared" ca="1" si="21"/>
        <v>1.5000000000000124</v>
      </c>
    </row>
    <row r="165" spans="6:22" s="1" customFormat="1" x14ac:dyDescent="0.25">
      <c r="F165" s="90">
        <f t="shared" si="16"/>
        <v>5</v>
      </c>
      <c r="H165" s="15" t="str">
        <f t="shared" si="17"/>
        <v>한국해외인프라도시개발지원공사</v>
      </c>
      <c r="I165" s="40">
        <f t="shared" ca="1" si="21"/>
        <v>-3.3000000000000362</v>
      </c>
      <c r="J165" s="41">
        <f t="shared" ca="1" si="21"/>
        <v>-3.4000000000000252</v>
      </c>
      <c r="K165" s="41">
        <f t="shared" ca="1" si="21"/>
        <v>-3.6000000000000032</v>
      </c>
      <c r="L165" s="41">
        <f t="shared" ca="1" si="21"/>
        <v>-3.7999999999999812</v>
      </c>
      <c r="M165" s="41">
        <f t="shared" ca="1" si="21"/>
        <v>-3.8000000000000256</v>
      </c>
      <c r="N165" s="41">
        <f t="shared" ca="1" si="21"/>
        <v>-4.2000000000000259</v>
      </c>
      <c r="O165" s="41">
        <f t="shared" ca="1" si="21"/>
        <v>-4.0000000000000036</v>
      </c>
      <c r="P165" s="41">
        <f t="shared" ca="1" si="21"/>
        <v>-3.9000000000000146</v>
      </c>
      <c r="Q165" s="41">
        <f t="shared" ca="1" si="21"/>
        <v>-3.6999999999999922</v>
      </c>
      <c r="R165" s="41">
        <f t="shared" ca="1" si="21"/>
        <v>-3.4999999999999698</v>
      </c>
      <c r="S165" s="41">
        <f t="shared" ca="1" si="21"/>
        <v>-3.5000000000000142</v>
      </c>
      <c r="T165" s="41">
        <f t="shared" ca="1" si="21"/>
        <v>-3.2000000000000028</v>
      </c>
      <c r="U165" s="41">
        <f t="shared" ca="1" si="21"/>
        <v>-2.5999999999999801</v>
      </c>
      <c r="V165" s="42">
        <f t="shared" ca="1" si="21"/>
        <v>-3.4999999999999698</v>
      </c>
    </row>
    <row r="166" spans="6:22" s="1" customFormat="1" x14ac:dyDescent="0.25">
      <c r="F166" s="90" t="b">
        <f t="shared" si="16"/>
        <v>1</v>
      </c>
      <c r="H166" s="16" t="str">
        <f t="shared" si="17"/>
        <v>공사/공단채 AA+</v>
      </c>
      <c r="I166" s="104">
        <f t="shared" ref="I165:V180" ca="1" si="22">IF( $F166=TRUE, INDEX($H$7:$V$64, MATCH($H166, $H$7:$H$64, 0), I$6), ( INDEX($H$7:$V$64, MATCH($H$132, $H$7:$H$64, 0), I$6)-INDEX($H$7:$V$64, MATCH($H166, $H$7:$H$64, 0), I$6) )*100 )</f>
        <v>3.677</v>
      </c>
      <c r="J166" s="105">
        <f t="shared" ca="1" si="22"/>
        <v>3.7509999999999999</v>
      </c>
      <c r="K166" s="105">
        <f t="shared" ca="1" si="22"/>
        <v>3.7480000000000002</v>
      </c>
      <c r="L166" s="105">
        <f t="shared" ca="1" si="22"/>
        <v>3.7309999999999999</v>
      </c>
      <c r="M166" s="105">
        <f t="shared" ca="1" si="22"/>
        <v>3.8260000000000001</v>
      </c>
      <c r="N166" s="105">
        <f t="shared" ca="1" si="22"/>
        <v>3.8130000000000002</v>
      </c>
      <c r="O166" s="105">
        <f t="shared" ca="1" si="22"/>
        <v>3.8159999999999998</v>
      </c>
      <c r="P166" s="105">
        <f t="shared" ca="1" si="22"/>
        <v>3.8119999999999998</v>
      </c>
      <c r="Q166" s="105">
        <f t="shared" ca="1" si="22"/>
        <v>3.823</v>
      </c>
      <c r="R166" s="105">
        <f t="shared" ca="1" si="22"/>
        <v>3.798</v>
      </c>
      <c r="S166" s="105">
        <f t="shared" ca="1" si="22"/>
        <v>3.8180000000000001</v>
      </c>
      <c r="T166" s="105">
        <f t="shared" ca="1" si="22"/>
        <v>3.8450000000000002</v>
      </c>
      <c r="U166" s="105">
        <f t="shared" ca="1" si="22"/>
        <v>3.8580000000000001</v>
      </c>
      <c r="V166" s="106">
        <f t="shared" ca="1" si="22"/>
        <v>3.8370000000000002</v>
      </c>
    </row>
    <row r="167" spans="6:22" s="1" customFormat="1" x14ac:dyDescent="0.25">
      <c r="F167" s="90">
        <f t="shared" si="16"/>
        <v>36</v>
      </c>
      <c r="H167" s="14" t="str">
        <f t="shared" si="17"/>
        <v>강원도개발공사</v>
      </c>
      <c r="I167" s="40">
        <f t="shared" ca="1" si="22"/>
        <v>-15.200000000000014</v>
      </c>
      <c r="J167" s="41">
        <f ca="1">IF( $F167=TRUE, INDEX($H$7:$V$64, MATCH($H167, $H$7:$H$64, 0), J$6), ( INDEX($H$7:$V$64, MATCH($H$166, $H$7:$H$64, 0), J$6)-INDEX($H$7:$V$64, MATCH($H167, $H$7:$H$64, 0), J$6) )*100 )</f>
        <v>-3.2000000000000028</v>
      </c>
      <c r="K167" s="41">
        <f t="shared" ref="K167:V180" ca="1" si="23">IF( $F167=TRUE, INDEX($H$7:$V$64, MATCH($H167, $H$7:$H$64, 0), K$6), ( INDEX($H$7:$V$64, MATCH($H$166, $H$7:$H$64, 0), K$6)-INDEX($H$7:$V$64, MATCH($H167, $H$7:$H$64, 0), K$6) )*100 )</f>
        <v>-3.1999999999999584</v>
      </c>
      <c r="L167" s="41">
        <f t="shared" ca="1" si="23"/>
        <v>-5.400000000000027</v>
      </c>
      <c r="M167" s="41">
        <f t="shared" ca="1" si="23"/>
        <v>-7.7999999999999847</v>
      </c>
      <c r="N167" s="41">
        <f t="shared" ca="1" si="23"/>
        <v>-8.1999999999999851</v>
      </c>
      <c r="O167" s="41">
        <f t="shared" ca="1" si="23"/>
        <v>-9.6000000000000085</v>
      </c>
      <c r="P167" s="41">
        <f t="shared" ca="1" si="23"/>
        <v>-9.0000000000000302</v>
      </c>
      <c r="Q167" s="41">
        <f t="shared" ca="1" si="23"/>
        <v>-10.999999999999988</v>
      </c>
      <c r="R167" s="41">
        <f t="shared" ca="1" si="23"/>
        <v>-10.699999999999976</v>
      </c>
      <c r="S167" s="41">
        <f t="shared" ca="1" si="23"/>
        <v>-13.39999999999999</v>
      </c>
      <c r="T167" s="41">
        <f t="shared" ca="1" si="23"/>
        <v>-10.199999999999987</v>
      </c>
      <c r="U167" s="41">
        <f t="shared" ca="1" si="23"/>
        <v>-11.099999999999977</v>
      </c>
      <c r="V167" s="42">
        <f t="shared" ca="1" si="23"/>
        <v>-10.399999999999965</v>
      </c>
    </row>
    <row r="168" spans="6:22" s="1" customFormat="1" x14ac:dyDescent="0.25">
      <c r="F168" s="90">
        <f t="shared" si="16"/>
        <v>36</v>
      </c>
      <c r="H168" s="17" t="str">
        <f t="shared" si="17"/>
        <v>경남개발공사</v>
      </c>
      <c r="I168" s="40">
        <f t="shared" ca="1" si="22"/>
        <v>-15.400000000000036</v>
      </c>
      <c r="J168" s="41">
        <f t="shared" ref="J168:V180" ca="1" si="24">IF( $F168=TRUE, INDEX($H$7:$V$64, MATCH($H168, $H$7:$H$64, 0), J$6), ( INDEX($H$7:$V$64, MATCH($H$166, $H$7:$H$64, 0), J$6)-INDEX($H$7:$V$64, MATCH($H168, $H$7:$H$64, 0), J$6) )*100 )</f>
        <v>-1.1000000000000121</v>
      </c>
      <c r="K168" s="41">
        <f t="shared" ca="1" si="23"/>
        <v>-1.0999999999999677</v>
      </c>
      <c r="L168" s="41">
        <f t="shared" ca="1" si="23"/>
        <v>-1.4000000000000234</v>
      </c>
      <c r="M168" s="41">
        <f t="shared" ca="1" si="23"/>
        <v>-1.399999999999979</v>
      </c>
      <c r="N168" s="41">
        <f t="shared" ca="1" si="23"/>
        <v>-0.99999999999997868</v>
      </c>
      <c r="O168" s="41">
        <f t="shared" ca="1" si="23"/>
        <v>-1.2000000000000011</v>
      </c>
      <c r="P168" s="41">
        <f t="shared" ca="1" si="23"/>
        <v>-1.8000000000000238</v>
      </c>
      <c r="Q168" s="41">
        <f t="shared" ca="1" si="23"/>
        <v>-2.0000000000000018</v>
      </c>
      <c r="R168" s="41">
        <f t="shared" ca="1" si="23"/>
        <v>-1.7999999999999794</v>
      </c>
      <c r="S168" s="41">
        <f t="shared" ca="1" si="23"/>
        <v>-1.399999999999979</v>
      </c>
      <c r="T168" s="41">
        <f t="shared" ca="1" si="23"/>
        <v>-1.399999999999979</v>
      </c>
      <c r="U168" s="41">
        <f t="shared" ca="1" si="23"/>
        <v>1.1000000000000121</v>
      </c>
      <c r="V168" s="42">
        <f t="shared" ca="1" si="23"/>
        <v>-1.2999999999999901</v>
      </c>
    </row>
    <row r="169" spans="6:22" s="1" customFormat="1" x14ac:dyDescent="0.25">
      <c r="F169" s="90">
        <f t="shared" si="16"/>
        <v>36</v>
      </c>
      <c r="H169" s="17" t="str">
        <f t="shared" si="17"/>
        <v>경상북도개발공사</v>
      </c>
      <c r="I169" s="40">
        <f t="shared" ca="1" si="22"/>
        <v>-12.9</v>
      </c>
      <c r="J169" s="41">
        <f t="shared" ca="1" si="24"/>
        <v>-0.8999999999999897</v>
      </c>
      <c r="K169" s="41">
        <f t="shared" ca="1" si="23"/>
        <v>-0.8999999999999897</v>
      </c>
      <c r="L169" s="41">
        <f t="shared" ca="1" si="23"/>
        <v>-3.1000000000000139</v>
      </c>
      <c r="M169" s="41">
        <f t="shared" ca="1" si="23"/>
        <v>-3.5000000000000142</v>
      </c>
      <c r="N169" s="41">
        <f t="shared" ca="1" si="23"/>
        <v>-3.8999999999999702</v>
      </c>
      <c r="O169" s="41">
        <f t="shared" ca="1" si="23"/>
        <v>-3.3000000000000362</v>
      </c>
      <c r="P169" s="41">
        <f t="shared" ca="1" si="23"/>
        <v>-2.7000000000000135</v>
      </c>
      <c r="Q169" s="41">
        <f t="shared" ca="1" si="23"/>
        <v>-3.6999999999999922</v>
      </c>
      <c r="R169" s="41">
        <f t="shared" ca="1" si="23"/>
        <v>-3.3999999999999808</v>
      </c>
      <c r="S169" s="41">
        <f t="shared" ca="1" si="23"/>
        <v>-4.0999999999999925</v>
      </c>
      <c r="T169" s="41">
        <f t="shared" ca="1" si="23"/>
        <v>-0.8999999999999897</v>
      </c>
      <c r="U169" s="41">
        <f t="shared" ca="1" si="23"/>
        <v>-1.7999999999999794</v>
      </c>
      <c r="V169" s="42">
        <f t="shared" ca="1" si="23"/>
        <v>-1.0999999999999677</v>
      </c>
    </row>
    <row r="170" spans="6:22" s="1" customFormat="1" x14ac:dyDescent="0.25">
      <c r="F170" s="90">
        <f t="shared" si="16"/>
        <v>36</v>
      </c>
      <c r="H170" s="17" t="str">
        <f t="shared" si="17"/>
        <v>광주광역시도시공사</v>
      </c>
      <c r="I170" s="40">
        <f t="shared" ca="1" si="22"/>
        <v>-16.500000000000004</v>
      </c>
      <c r="J170" s="41">
        <f t="shared" ca="1" si="24"/>
        <v>-2.2000000000000242</v>
      </c>
      <c r="K170" s="41">
        <f t="shared" ca="1" si="23"/>
        <v>-2.3999999999999577</v>
      </c>
      <c r="L170" s="41">
        <f t="shared" ca="1" si="23"/>
        <v>-2.4999999999999911</v>
      </c>
      <c r="M170" s="41">
        <f t="shared" ca="1" si="23"/>
        <v>-2.8000000000000025</v>
      </c>
      <c r="N170" s="41">
        <f t="shared" ca="1" si="23"/>
        <v>-2.8000000000000025</v>
      </c>
      <c r="O170" s="41">
        <f t="shared" ca="1" si="23"/>
        <v>-2.7000000000000135</v>
      </c>
      <c r="P170" s="41">
        <f t="shared" ca="1" si="23"/>
        <v>-3.0000000000000249</v>
      </c>
      <c r="Q170" s="41">
        <f t="shared" ca="1" si="23"/>
        <v>-3.2000000000000028</v>
      </c>
      <c r="R170" s="41">
        <f t="shared" ca="1" si="23"/>
        <v>-4.3000000000000149</v>
      </c>
      <c r="S170" s="41">
        <f t="shared" ca="1" si="23"/>
        <v>-4.4000000000000039</v>
      </c>
      <c r="T170" s="41">
        <f t="shared" ca="1" si="23"/>
        <v>-4.4999999999999929</v>
      </c>
      <c r="U170" s="41">
        <f t="shared" ca="1" si="23"/>
        <v>-3.6999999999999922</v>
      </c>
      <c r="V170" s="42">
        <f t="shared" ca="1" si="23"/>
        <v>-4.9999999999999822</v>
      </c>
    </row>
    <row r="171" spans="6:22" s="1" customFormat="1" x14ac:dyDescent="0.25">
      <c r="F171" s="90">
        <f t="shared" si="16"/>
        <v>36</v>
      </c>
      <c r="H171" s="17" t="str">
        <f t="shared" si="17"/>
        <v>대구도시공사</v>
      </c>
      <c r="I171" s="40">
        <f t="shared" ca="1" si="22"/>
        <v>-17.500000000000028</v>
      </c>
      <c r="J171" s="41">
        <f t="shared" ca="1" si="24"/>
        <v>-3.0000000000000249</v>
      </c>
      <c r="K171" s="41">
        <f t="shared" ca="1" si="23"/>
        <v>-3.3999999999999808</v>
      </c>
      <c r="L171" s="41">
        <f t="shared" ca="1" si="23"/>
        <v>-3.6999999999999922</v>
      </c>
      <c r="M171" s="41">
        <f t="shared" ca="1" si="23"/>
        <v>-3.6999999999999922</v>
      </c>
      <c r="N171" s="41">
        <f t="shared" ca="1" si="23"/>
        <v>-3.4999999999999698</v>
      </c>
      <c r="O171" s="41">
        <f t="shared" ca="1" si="23"/>
        <v>-3.7000000000000366</v>
      </c>
      <c r="P171" s="41">
        <f t="shared" ca="1" si="23"/>
        <v>-4.0000000000000036</v>
      </c>
      <c r="Q171" s="41">
        <f t="shared" ca="1" si="23"/>
        <v>-4.4000000000000039</v>
      </c>
      <c r="R171" s="41">
        <f t="shared" ca="1" si="23"/>
        <v>-4.3000000000000149</v>
      </c>
      <c r="S171" s="41">
        <f t="shared" ca="1" si="23"/>
        <v>-4.0000000000000036</v>
      </c>
      <c r="T171" s="41">
        <f t="shared" ca="1" si="23"/>
        <v>-3.8999999999999702</v>
      </c>
      <c r="U171" s="41">
        <f t="shared" ca="1" si="23"/>
        <v>-2.6999999999999691</v>
      </c>
      <c r="V171" s="42">
        <f t="shared" ca="1" si="23"/>
        <v>-3.7999999999999812</v>
      </c>
    </row>
    <row r="172" spans="6:22" s="1" customFormat="1" x14ac:dyDescent="0.25">
      <c r="F172" s="90">
        <f t="shared" si="16"/>
        <v>36</v>
      </c>
      <c r="H172" s="17" t="str">
        <f t="shared" si="17"/>
        <v>대구도시철도공사</v>
      </c>
      <c r="I172" s="40">
        <f t="shared" ca="1" si="22"/>
        <v>-22.000000000000021</v>
      </c>
      <c r="J172" s="41">
        <f t="shared" ca="1" si="24"/>
        <v>-8.2000000000000295</v>
      </c>
      <c r="K172" s="41">
        <f t="shared" ca="1" si="23"/>
        <v>-9.6999999999999975</v>
      </c>
      <c r="L172" s="41">
        <f t="shared" ca="1" si="23"/>
        <v>-9.8000000000000309</v>
      </c>
      <c r="M172" s="41">
        <f t="shared" ca="1" si="23"/>
        <v>-9.7999999999999865</v>
      </c>
      <c r="N172" s="41">
        <f t="shared" ca="1" si="23"/>
        <v>-10.499999999999998</v>
      </c>
      <c r="O172" s="41">
        <f t="shared" ca="1" si="23"/>
        <v>-10.200000000000031</v>
      </c>
      <c r="P172" s="41">
        <f t="shared" ca="1" si="23"/>
        <v>-10.000000000000009</v>
      </c>
      <c r="Q172" s="41">
        <f t="shared" ca="1" si="23"/>
        <v>-9.5000000000000195</v>
      </c>
      <c r="R172" s="41">
        <f t="shared" ca="1" si="23"/>
        <v>-9.2000000000000082</v>
      </c>
      <c r="S172" s="41">
        <f t="shared" ca="1" si="23"/>
        <v>-8.5999999999999854</v>
      </c>
      <c r="T172" s="41">
        <f t="shared" ca="1" si="23"/>
        <v>-7.3999999999999844</v>
      </c>
      <c r="U172" s="41">
        <f t="shared" ca="1" si="23"/>
        <v>-5.699999999999994</v>
      </c>
      <c r="V172" s="42">
        <f t="shared" ca="1" si="23"/>
        <v>-7.2999999999999954</v>
      </c>
    </row>
    <row r="173" spans="6:22" s="1" customFormat="1" x14ac:dyDescent="0.25">
      <c r="F173" s="90">
        <f t="shared" si="16"/>
        <v>36</v>
      </c>
      <c r="H173" s="17" t="str">
        <f t="shared" si="17"/>
        <v>대전도시공사</v>
      </c>
      <c r="I173" s="40">
        <f t="shared" ca="1" si="22"/>
        <v>-14.500000000000002</v>
      </c>
      <c r="J173" s="41">
        <f t="shared" ca="1" si="24"/>
        <v>-0.49999999999998934</v>
      </c>
      <c r="K173" s="41">
        <f t="shared" ca="1" si="23"/>
        <v>-0.69999999999996732</v>
      </c>
      <c r="L173" s="41">
        <f t="shared" ca="1" si="23"/>
        <v>-0.90000000000003411</v>
      </c>
      <c r="M173" s="41">
        <f t="shared" ca="1" si="23"/>
        <v>-0.70000000000001172</v>
      </c>
      <c r="N173" s="41">
        <f t="shared" ca="1" si="23"/>
        <v>-0.49999999999998934</v>
      </c>
      <c r="O173" s="41">
        <f t="shared" ca="1" si="23"/>
        <v>-0.50000000000003375</v>
      </c>
      <c r="P173" s="41">
        <f t="shared" ca="1" si="23"/>
        <v>-0.70000000000001172</v>
      </c>
      <c r="Q173" s="41">
        <f t="shared" ca="1" si="23"/>
        <v>-0.8999999999999897</v>
      </c>
      <c r="R173" s="41">
        <f t="shared" ca="1" si="23"/>
        <v>-0.49999999999998934</v>
      </c>
      <c r="S173" s="41">
        <f t="shared" ca="1" si="23"/>
        <v>0</v>
      </c>
      <c r="T173" s="41">
        <f t="shared" ca="1" si="23"/>
        <v>0.30000000000001137</v>
      </c>
      <c r="U173" s="41">
        <f t="shared" ca="1" si="23"/>
        <v>2.6000000000000245</v>
      </c>
      <c r="V173" s="42">
        <f t="shared" ca="1" si="23"/>
        <v>0.60000000000002274</v>
      </c>
    </row>
    <row r="174" spans="6:22" s="1" customFormat="1" x14ac:dyDescent="0.25">
      <c r="F174" s="90">
        <f t="shared" si="16"/>
        <v>36</v>
      </c>
      <c r="H174" s="17" t="str">
        <f t="shared" si="17"/>
        <v>부산도시공사</v>
      </c>
      <c r="I174" s="40">
        <f t="shared" ca="1" si="22"/>
        <v>-13.100000000000023</v>
      </c>
      <c r="J174" s="41">
        <f t="shared" ca="1" si="24"/>
        <v>1.0999999999999677</v>
      </c>
      <c r="K174" s="41">
        <f t="shared" ca="1" si="23"/>
        <v>1.1000000000000121</v>
      </c>
      <c r="L174" s="41">
        <f t="shared" ca="1" si="23"/>
        <v>0.99999999999997868</v>
      </c>
      <c r="M174" s="41">
        <f t="shared" ca="1" si="23"/>
        <v>1.0000000000000231</v>
      </c>
      <c r="N174" s="41">
        <f t="shared" ca="1" si="23"/>
        <v>0.90000000000003411</v>
      </c>
      <c r="O174" s="41">
        <f t="shared" ca="1" si="23"/>
        <v>0.99999999999997868</v>
      </c>
      <c r="P174" s="41">
        <f t="shared" ca="1" si="23"/>
        <v>0.99999999999997868</v>
      </c>
      <c r="Q174" s="41">
        <f t="shared" ca="1" si="23"/>
        <v>1.399999999999979</v>
      </c>
      <c r="R174" s="41">
        <f t="shared" ca="1" si="23"/>
        <v>1.6999999999999904</v>
      </c>
      <c r="S174" s="41">
        <f t="shared" ca="1" si="23"/>
        <v>2.0000000000000018</v>
      </c>
      <c r="T174" s="41">
        <f t="shared" ca="1" si="23"/>
        <v>2.5000000000000355</v>
      </c>
      <c r="U174" s="41">
        <f t="shared" ca="1" si="23"/>
        <v>5.8000000000000274</v>
      </c>
      <c r="V174" s="42">
        <f t="shared" ca="1" si="23"/>
        <v>2.7000000000000135</v>
      </c>
    </row>
    <row r="175" spans="6:22" s="1" customFormat="1" x14ac:dyDescent="0.25">
      <c r="F175" s="90">
        <f t="shared" si="16"/>
        <v>36</v>
      </c>
      <c r="H175" s="17" t="str">
        <f t="shared" si="17"/>
        <v>울산도시공사</v>
      </c>
      <c r="I175" s="40">
        <f t="shared" ca="1" si="22"/>
        <v>-15.300000000000002</v>
      </c>
      <c r="J175" s="41">
        <f t="shared" ca="1" si="24"/>
        <v>-1.0000000000000231</v>
      </c>
      <c r="K175" s="41">
        <f t="shared" ca="1" si="23"/>
        <v>-0.99999999999997868</v>
      </c>
      <c r="L175" s="41">
        <f t="shared" ca="1" si="23"/>
        <v>-1.7000000000000348</v>
      </c>
      <c r="M175" s="41">
        <f t="shared" ca="1" si="23"/>
        <v>-1.6999999999999904</v>
      </c>
      <c r="N175" s="41">
        <f t="shared" ca="1" si="23"/>
        <v>-1.6000000000000014</v>
      </c>
      <c r="O175" s="41">
        <f t="shared" ca="1" si="23"/>
        <v>-2.5000000000000355</v>
      </c>
      <c r="P175" s="41">
        <f t="shared" ca="1" si="23"/>
        <v>-2.7000000000000135</v>
      </c>
      <c r="Q175" s="41">
        <f t="shared" ca="1" si="23"/>
        <v>-2.7000000000000135</v>
      </c>
      <c r="R175" s="41">
        <f t="shared" ca="1" si="23"/>
        <v>-2.4999999999999911</v>
      </c>
      <c r="S175" s="41">
        <f t="shared" ca="1" si="23"/>
        <v>-2.3000000000000131</v>
      </c>
      <c r="T175" s="41">
        <f t="shared" ca="1" si="23"/>
        <v>-2.4000000000000021</v>
      </c>
      <c r="U175" s="41">
        <f t="shared" ca="1" si="23"/>
        <v>9.9999999999988987E-2</v>
      </c>
      <c r="V175" s="42">
        <f t="shared" ca="1" si="23"/>
        <v>-2.2999999999999687</v>
      </c>
    </row>
    <row r="176" spans="6:22" s="1" customFormat="1" x14ac:dyDescent="0.25">
      <c r="F176" s="90">
        <f t="shared" si="16"/>
        <v>36</v>
      </c>
      <c r="H176" s="17" t="str">
        <f t="shared" si="17"/>
        <v>인천교통공사</v>
      </c>
      <c r="I176" s="40">
        <f t="shared" ca="1" si="22"/>
        <v>-18.000000000000014</v>
      </c>
      <c r="J176" s="41">
        <f t="shared" ca="1" si="24"/>
        <v>-3.6999999999999922</v>
      </c>
      <c r="K176" s="41">
        <f t="shared" ca="1" si="23"/>
        <v>-3.6999999999999922</v>
      </c>
      <c r="L176" s="41">
        <f t="shared" ca="1" si="23"/>
        <v>-3.6999999999999922</v>
      </c>
      <c r="M176" s="41">
        <f t="shared" ca="1" si="23"/>
        <v>-3.6999999999999922</v>
      </c>
      <c r="N176" s="41">
        <f t="shared" ca="1" si="23"/>
        <v>-4.0000000000000036</v>
      </c>
      <c r="O176" s="41">
        <f t="shared" ca="1" si="23"/>
        <v>-4.2000000000000259</v>
      </c>
      <c r="P176" s="41">
        <f t="shared" ca="1" si="23"/>
        <v>-4.8000000000000043</v>
      </c>
      <c r="Q176" s="41">
        <f t="shared" ca="1" si="23"/>
        <v>-5.500000000000016</v>
      </c>
      <c r="R176" s="41">
        <f t="shared" ca="1" si="23"/>
        <v>-5.699999999999994</v>
      </c>
      <c r="S176" s="41">
        <f t="shared" ca="1" si="23"/>
        <v>-5.600000000000005</v>
      </c>
      <c r="T176" s="41">
        <f t="shared" ca="1" si="23"/>
        <v>-5.4999999999999716</v>
      </c>
      <c r="U176" s="41">
        <f t="shared" ca="1" si="23"/>
        <v>-3.8999999999999702</v>
      </c>
      <c r="V176" s="42">
        <f t="shared" ca="1" si="23"/>
        <v>-5.699999999999994</v>
      </c>
    </row>
    <row r="177" spans="1:22" x14ac:dyDescent="0.25">
      <c r="F177" s="90">
        <f t="shared" si="16"/>
        <v>36</v>
      </c>
      <c r="H177" s="17" t="str">
        <f t="shared" si="17"/>
        <v>인천도시공사</v>
      </c>
      <c r="I177" s="40">
        <f t="shared" ca="1" si="22"/>
        <v>-22.500000000000007</v>
      </c>
      <c r="J177" s="41">
        <f t="shared" ca="1" si="24"/>
        <v>-8.2000000000000295</v>
      </c>
      <c r="K177" s="41">
        <f t="shared" ca="1" si="23"/>
        <v>-8.3999999999999631</v>
      </c>
      <c r="L177" s="41">
        <f t="shared" ca="1" si="23"/>
        <v>-9.5000000000000195</v>
      </c>
      <c r="M177" s="41">
        <f t="shared" ca="1" si="23"/>
        <v>-11.20000000000001</v>
      </c>
      <c r="N177" s="41">
        <f t="shared" ca="1" si="23"/>
        <v>-12.5</v>
      </c>
      <c r="O177" s="41">
        <f t="shared" ca="1" si="23"/>
        <v>-12.800000000000011</v>
      </c>
      <c r="P177" s="41">
        <f t="shared" ca="1" si="23"/>
        <v>-13.800000000000034</v>
      </c>
      <c r="Q177" s="41">
        <f t="shared" ca="1" si="23"/>
        <v>-14.000000000000012</v>
      </c>
      <c r="R177" s="41">
        <f t="shared" ca="1" si="23"/>
        <v>-13.79999999999999</v>
      </c>
      <c r="S177" s="41">
        <f t="shared" ca="1" si="23"/>
        <v>-13.79999999999999</v>
      </c>
      <c r="T177" s="41">
        <f t="shared" ca="1" si="23"/>
        <v>-13.39999999999999</v>
      </c>
      <c r="U177" s="41">
        <f t="shared" ca="1" si="23"/>
        <v>-9.7999999999999865</v>
      </c>
      <c r="V177" s="42">
        <f t="shared" ca="1" si="23"/>
        <v>-12.599999999999989</v>
      </c>
    </row>
    <row r="178" spans="1:22" x14ac:dyDescent="0.25">
      <c r="F178" s="90">
        <f t="shared" si="16"/>
        <v>36</v>
      </c>
      <c r="H178" s="17" t="str">
        <f t="shared" si="17"/>
        <v>전남개발공사</v>
      </c>
      <c r="I178" s="40">
        <f t="shared" ca="1" si="22"/>
        <v>-14.000000000000012</v>
      </c>
      <c r="J178" s="41">
        <f t="shared" ca="1" si="24"/>
        <v>0.29999999999996696</v>
      </c>
      <c r="K178" s="41">
        <f t="shared" ca="1" si="23"/>
        <v>0.20000000000002238</v>
      </c>
      <c r="L178" s="41">
        <f t="shared" ca="1" si="23"/>
        <v>0.29999999999996696</v>
      </c>
      <c r="M178" s="41">
        <f t="shared" ca="1" si="23"/>
        <v>0.30000000000001137</v>
      </c>
      <c r="N178" s="41">
        <f t="shared" ca="1" si="23"/>
        <v>0.60000000000002274</v>
      </c>
      <c r="O178" s="41">
        <f t="shared" ca="1" si="23"/>
        <v>0.19999999999997797</v>
      </c>
      <c r="P178" s="41">
        <f t="shared" ca="1" si="23"/>
        <v>0.19999999999997797</v>
      </c>
      <c r="Q178" s="41">
        <f t="shared" ca="1" si="23"/>
        <v>0.19999999999997797</v>
      </c>
      <c r="R178" s="41">
        <f t="shared" ca="1" si="23"/>
        <v>0</v>
      </c>
      <c r="S178" s="41">
        <f t="shared" ca="1" si="23"/>
        <v>0</v>
      </c>
      <c r="T178" s="41">
        <f t="shared" ca="1" si="23"/>
        <v>-9.9999999999988987E-2</v>
      </c>
      <c r="U178" s="41">
        <f t="shared" ca="1" si="23"/>
        <v>2.3000000000000131</v>
      </c>
      <c r="V178" s="42">
        <f t="shared" ca="1" si="23"/>
        <v>-0.19999999999997797</v>
      </c>
    </row>
    <row r="179" spans="1:22" x14ac:dyDescent="0.25">
      <c r="F179" s="90">
        <f t="shared" si="16"/>
        <v>36</v>
      </c>
      <c r="H179" s="17" t="str">
        <f t="shared" si="17"/>
        <v>충북개발공사</v>
      </c>
      <c r="I179" s="40">
        <f t="shared" ca="1" si="22"/>
        <v>-15.300000000000002</v>
      </c>
      <c r="J179" s="41">
        <f t="shared" ca="1" si="24"/>
        <v>-0.8999999999999897</v>
      </c>
      <c r="K179" s="41">
        <f t="shared" ca="1" si="23"/>
        <v>-0.99999999999997868</v>
      </c>
      <c r="L179" s="41">
        <f t="shared" ca="1" si="23"/>
        <v>-1.0000000000000231</v>
      </c>
      <c r="M179" s="41">
        <f t="shared" ca="1" si="23"/>
        <v>-1.2000000000000011</v>
      </c>
      <c r="N179" s="41">
        <f t="shared" ca="1" si="23"/>
        <v>-1.0999999999999677</v>
      </c>
      <c r="O179" s="41">
        <f t="shared" ca="1" si="23"/>
        <v>-1.2000000000000011</v>
      </c>
      <c r="P179" s="41">
        <f t="shared" ca="1" si="23"/>
        <v>-1.2000000000000011</v>
      </c>
      <c r="Q179" s="41">
        <f t="shared" ca="1" si="23"/>
        <v>-2.0000000000000018</v>
      </c>
      <c r="R179" s="41">
        <f t="shared" ca="1" si="23"/>
        <v>-2.1999999999999797</v>
      </c>
      <c r="S179" s="41">
        <f t="shared" ca="1" si="23"/>
        <v>-2.3000000000000131</v>
      </c>
      <c r="T179" s="41">
        <f t="shared" ca="1" si="23"/>
        <v>-2.4000000000000021</v>
      </c>
      <c r="U179" s="41">
        <f t="shared" ca="1" si="23"/>
        <v>0.80000000000000071</v>
      </c>
      <c r="V179" s="42">
        <f t="shared" ca="1" si="23"/>
        <v>-2.2999999999999687</v>
      </c>
    </row>
    <row r="180" spans="1:22" x14ac:dyDescent="0.25">
      <c r="F180" s="90">
        <f t="shared" si="16"/>
        <v>36</v>
      </c>
      <c r="H180" s="15" t="str">
        <f t="shared" si="17"/>
        <v>충청남도개발공사</v>
      </c>
      <c r="I180" s="40">
        <f t="shared" ca="1" si="22"/>
        <v>-14.100000000000001</v>
      </c>
      <c r="J180" s="41">
        <f t="shared" ca="1" si="24"/>
        <v>9.9999999999988987E-2</v>
      </c>
      <c r="K180" s="41">
        <f t="shared" ca="1" si="23"/>
        <v>0</v>
      </c>
      <c r="L180" s="41">
        <f t="shared" ca="1" si="23"/>
        <v>0</v>
      </c>
      <c r="M180" s="41">
        <f t="shared" ca="1" si="23"/>
        <v>-0.49999999999998934</v>
      </c>
      <c r="N180" s="41">
        <f t="shared" ca="1" si="23"/>
        <v>-0.29999999999996696</v>
      </c>
      <c r="O180" s="41">
        <f t="shared" ca="1" si="23"/>
        <v>-0.70000000000001172</v>
      </c>
      <c r="P180" s="41">
        <f t="shared" ca="1" si="23"/>
        <v>-0.70000000000001172</v>
      </c>
      <c r="Q180" s="41">
        <f t="shared" ca="1" si="23"/>
        <v>-1.1000000000000121</v>
      </c>
      <c r="R180" s="41">
        <f t="shared" ca="1" si="23"/>
        <v>-1.2999999999999901</v>
      </c>
      <c r="S180" s="41">
        <f t="shared" ca="1" si="23"/>
        <v>-1.2999999999999901</v>
      </c>
      <c r="T180" s="41">
        <f t="shared" ca="1" si="23"/>
        <v>-1.399999999999979</v>
      </c>
      <c r="U180" s="41">
        <f t="shared" ca="1" si="23"/>
        <v>1.6000000000000014</v>
      </c>
      <c r="V180" s="42">
        <f t="shared" ca="1" si="23"/>
        <v>-1.2999999999999901</v>
      </c>
    </row>
    <row r="181" spans="1:22" x14ac:dyDescent="0.25">
      <c r="F181" s="90" t="b">
        <f t="shared" si="16"/>
        <v>1</v>
      </c>
      <c r="H181" s="16" t="str">
        <f t="shared" si="17"/>
        <v>공사/공단채 AA0</v>
      </c>
      <c r="I181" s="104">
        <f t="shared" ref="I181:V188" ca="1" si="25">IF( $F181=TRUE, INDEX($H$7:$V$64, MATCH($H181, $H$7:$H$64, 0), I$6), ( INDEX($H$7:$V$64, MATCH($H$132, $H$7:$H$64, 0), I$6)-INDEX($H$7:$V$64, MATCH($H181, $H$7:$H$64, 0), I$6) )*100 )</f>
        <v>3.76</v>
      </c>
      <c r="J181" s="105">
        <f t="shared" ca="1" si="25"/>
        <v>3.8370000000000002</v>
      </c>
      <c r="K181" s="105">
        <f t="shared" ca="1" si="25"/>
        <v>3.8519999999999999</v>
      </c>
      <c r="L181" s="105">
        <f t="shared" ca="1" si="25"/>
        <v>3.8570000000000002</v>
      </c>
      <c r="M181" s="105">
        <f t="shared" ca="1" si="25"/>
        <v>3.956</v>
      </c>
      <c r="N181" s="105">
        <f t="shared" ca="1" si="25"/>
        <v>3.9420000000000002</v>
      </c>
      <c r="O181" s="105">
        <f t="shared" ca="1" si="25"/>
        <v>3.9489999999999998</v>
      </c>
      <c r="P181" s="105">
        <f t="shared" ca="1" si="25"/>
        <v>3.9430000000000001</v>
      </c>
      <c r="Q181" s="105">
        <f t="shared" ca="1" si="25"/>
        <v>3.9529999999999998</v>
      </c>
      <c r="R181" s="105">
        <f t="shared" ca="1" si="25"/>
        <v>3.9289999999999998</v>
      </c>
      <c r="S181" s="105">
        <f t="shared" ca="1" si="25"/>
        <v>3.956</v>
      </c>
      <c r="T181" s="105">
        <f t="shared" ca="1" si="25"/>
        <v>3.992</v>
      </c>
      <c r="U181" s="105">
        <f t="shared" ca="1" si="25"/>
        <v>4.0170000000000003</v>
      </c>
      <c r="V181" s="106">
        <f t="shared" ca="1" si="25"/>
        <v>4.0039999999999996</v>
      </c>
    </row>
    <row r="182" spans="1:22" x14ac:dyDescent="0.25">
      <c r="F182" s="90">
        <f t="shared" si="16"/>
        <v>51</v>
      </c>
      <c r="H182" s="7" t="str">
        <f t="shared" si="17"/>
        <v>고양도시관리공사</v>
      </c>
      <c r="I182" s="40">
        <f t="shared" ca="1" si="25"/>
        <v>-40.100000000000023</v>
      </c>
      <c r="J182" s="41">
        <f ca="1">IF( $F182=TRUE, INDEX($H$7:$V$64, MATCH($H182, $H$7:$H$64, 0), J$6), ( INDEX($H$7:$V$64, MATCH($H$181, $H$7:$H$64, 0), J$6)-INDEX($H$7:$V$64, MATCH($H182, $H$7:$H$64, 0), J$6) )*100 )</f>
        <v>-16.99999999999995</v>
      </c>
      <c r="K182" s="41">
        <f t="shared" ref="K182:V187" ca="1" si="26">IF( $F182=TRUE, INDEX($H$7:$V$64, MATCH($H182, $H$7:$H$64, 0), K$6), ( INDEX($H$7:$V$64, MATCH($H$181, $H$7:$H$64, 0), K$6)-INDEX($H$7:$V$64, MATCH($H182, $H$7:$H$64, 0), K$6) )*100 )</f>
        <v>-16.299999999999983</v>
      </c>
      <c r="L182" s="41">
        <f t="shared" ca="1" si="26"/>
        <v>-16.999999999999993</v>
      </c>
      <c r="M182" s="41">
        <f t="shared" ca="1" si="26"/>
        <v>-18.099999999999959</v>
      </c>
      <c r="N182" s="41">
        <f t="shared" ca="1" si="26"/>
        <v>-19.700000000000006</v>
      </c>
      <c r="O182" s="41">
        <f t="shared" ca="1" si="26"/>
        <v>-22.100000000000009</v>
      </c>
      <c r="P182" s="41">
        <f t="shared" ca="1" si="26"/>
        <v>-24.100000000000009</v>
      </c>
      <c r="Q182" s="41">
        <f t="shared" ca="1" si="26"/>
        <v>-24.100000000000009</v>
      </c>
      <c r="R182" s="41">
        <f t="shared" ca="1" si="26"/>
        <v>-23.999999999999979</v>
      </c>
      <c r="S182" s="41">
        <f t="shared" ca="1" si="26"/>
        <v>-24.100000000000009</v>
      </c>
      <c r="T182" s="41">
        <f t="shared" ca="1" si="26"/>
        <v>-24.2</v>
      </c>
      <c r="U182" s="41">
        <f t="shared" ca="1" si="26"/>
        <v>-21.199999999999974</v>
      </c>
      <c r="V182" s="42">
        <f t="shared" ca="1" si="26"/>
        <v>-24.500000000000011</v>
      </c>
    </row>
    <row r="183" spans="1:22" x14ac:dyDescent="0.25">
      <c r="F183" s="90">
        <f t="shared" si="16"/>
        <v>51</v>
      </c>
      <c r="H183" s="7" t="str">
        <f t="shared" si="17"/>
        <v>과천도시공사</v>
      </c>
      <c r="I183" s="40">
        <f t="shared" ca="1" si="25"/>
        <v>-47.599999999999994</v>
      </c>
      <c r="J183" s="41">
        <f t="shared" ref="J183:V187" ca="1" si="27">IF( $F183=TRUE, INDEX($H$7:$V$64, MATCH($H183, $H$7:$H$64, 0), J$6), ( INDEX($H$7:$V$64, MATCH($H$181, $H$7:$H$64, 0), J$6)-INDEX($H$7:$V$64, MATCH($H183, $H$7:$H$64, 0), J$6) )*100 )</f>
        <v>-25.899999999999991</v>
      </c>
      <c r="K183" s="41">
        <f t="shared" ca="1" si="26"/>
        <v>-26.399999999999977</v>
      </c>
      <c r="L183" s="41">
        <f t="shared" ca="1" si="26"/>
        <v>-26.999999999999957</v>
      </c>
      <c r="M183" s="41">
        <f t="shared" ca="1" si="26"/>
        <v>-27.699999999999967</v>
      </c>
      <c r="N183" s="41">
        <f t="shared" ca="1" si="26"/>
        <v>-27.099999999999991</v>
      </c>
      <c r="O183" s="41">
        <f t="shared" ca="1" si="26"/>
        <v>-27.099999999999991</v>
      </c>
      <c r="P183" s="41">
        <f t="shared" ca="1" si="26"/>
        <v>-27.499999999999993</v>
      </c>
      <c r="Q183" s="41">
        <f t="shared" ca="1" si="26"/>
        <v>-27.499999999999993</v>
      </c>
      <c r="R183" s="41">
        <f t="shared" ca="1" si="26"/>
        <v>-27.600000000000023</v>
      </c>
      <c r="S183" s="41">
        <f t="shared" ca="1" si="26"/>
        <v>-27.600000000000023</v>
      </c>
      <c r="T183" s="41">
        <f t="shared" ca="1" si="26"/>
        <v>-27.500000000000036</v>
      </c>
      <c r="U183" s="41">
        <f t="shared" ca="1" si="26"/>
        <v>-26.199999999999957</v>
      </c>
      <c r="V183" s="42">
        <f t="shared" ca="1" si="26"/>
        <v>-27.500000000000036</v>
      </c>
    </row>
    <row r="184" spans="1:22" x14ac:dyDescent="0.25">
      <c r="F184" s="90">
        <f t="shared" si="16"/>
        <v>51</v>
      </c>
      <c r="H184" s="7" t="str">
        <f t="shared" si="17"/>
        <v>김해시도시개발공사</v>
      </c>
      <c r="I184" s="40">
        <f t="shared" ca="1" si="25"/>
        <v>-27.200000000000024</v>
      </c>
      <c r="J184" s="41">
        <f t="shared" ca="1" si="27"/>
        <v>-5.0999999999999712</v>
      </c>
      <c r="K184" s="41">
        <f t="shared" ca="1" si="26"/>
        <v>-5.400000000000027</v>
      </c>
      <c r="L184" s="41">
        <f t="shared" ca="1" si="26"/>
        <v>-6.2999999999999723</v>
      </c>
      <c r="M184" s="41">
        <f t="shared" ca="1" si="26"/>
        <v>-6.4999999999999947</v>
      </c>
      <c r="N184" s="41">
        <f t="shared" ca="1" si="26"/>
        <v>-6.4999999999999503</v>
      </c>
      <c r="O184" s="41">
        <f t="shared" ca="1" si="26"/>
        <v>-6.2999999999999723</v>
      </c>
      <c r="P184" s="41">
        <f t="shared" ca="1" si="26"/>
        <v>-6.8999999999999506</v>
      </c>
      <c r="Q184" s="41">
        <f t="shared" ca="1" si="26"/>
        <v>-9.2000000000000082</v>
      </c>
      <c r="R184" s="41">
        <f t="shared" ca="1" si="26"/>
        <v>-10.199999999999987</v>
      </c>
      <c r="S184" s="41">
        <f t="shared" ca="1" si="26"/>
        <v>-10.600000000000032</v>
      </c>
      <c r="T184" s="41">
        <f t="shared" ca="1" si="26"/>
        <v>-10.400000000000009</v>
      </c>
      <c r="U184" s="41">
        <f t="shared" ca="1" si="26"/>
        <v>-9.2999999999999972</v>
      </c>
      <c r="V184" s="42">
        <f t="shared" ca="1" si="26"/>
        <v>-11.400000000000077</v>
      </c>
    </row>
    <row r="185" spans="1:22" x14ac:dyDescent="0.25">
      <c r="F185" s="90">
        <f t="shared" si="16"/>
        <v>51</v>
      </c>
      <c r="H185" s="7" t="str">
        <f t="shared" si="17"/>
        <v>시흥도시공사</v>
      </c>
      <c r="I185" s="40">
        <f t="shared" ca="1" si="25"/>
        <v>-31.700000000000017</v>
      </c>
      <c r="J185" s="41">
        <f t="shared" ca="1" si="27"/>
        <v>-12.299999999999978</v>
      </c>
      <c r="K185" s="41">
        <f t="shared" ca="1" si="26"/>
        <v>-13.900000000000023</v>
      </c>
      <c r="L185" s="41">
        <f t="shared" ca="1" si="26"/>
        <v>-14.400000000000013</v>
      </c>
      <c r="M185" s="41">
        <f t="shared" ca="1" si="26"/>
        <v>-14.600000000000035</v>
      </c>
      <c r="N185" s="41">
        <f t="shared" ca="1" si="26"/>
        <v>-14.900000000000002</v>
      </c>
      <c r="O185" s="41">
        <f t="shared" ca="1" si="26"/>
        <v>-14.100000000000001</v>
      </c>
      <c r="P185" s="41">
        <f t="shared" ca="1" si="26"/>
        <v>-14.19999999999999</v>
      </c>
      <c r="Q185" s="41">
        <f t="shared" ca="1" si="26"/>
        <v>-15.400000000000036</v>
      </c>
      <c r="R185" s="41">
        <f t="shared" ca="1" si="26"/>
        <v>-15.200000000000058</v>
      </c>
      <c r="S185" s="41">
        <f t="shared" ca="1" si="26"/>
        <v>-17.000000000000036</v>
      </c>
      <c r="T185" s="41">
        <f t="shared" ca="1" si="26"/>
        <v>-14.900000000000002</v>
      </c>
      <c r="U185" s="41">
        <f t="shared" ca="1" si="26"/>
        <v>-16.799999999999926</v>
      </c>
      <c r="V185" s="42">
        <f t="shared" ca="1" si="26"/>
        <v>-16.900000000000048</v>
      </c>
    </row>
    <row r="186" spans="1:22" x14ac:dyDescent="0.25">
      <c r="F186" s="90">
        <f t="shared" si="16"/>
        <v>51</v>
      </c>
      <c r="H186" s="10" t="str">
        <f t="shared" si="17"/>
        <v>평택도시공사</v>
      </c>
      <c r="I186" s="40">
        <f t="shared" ca="1" si="25"/>
        <v>-27.700000000000014</v>
      </c>
      <c r="J186" s="41">
        <f t="shared" ca="1" si="27"/>
        <v>-5.4999999999999716</v>
      </c>
      <c r="K186" s="41">
        <f t="shared" ca="1" si="26"/>
        <v>-5.699999999999994</v>
      </c>
      <c r="L186" s="41">
        <f t="shared" ca="1" si="26"/>
        <v>-6.7999999999999616</v>
      </c>
      <c r="M186" s="41">
        <f t="shared" ca="1" si="26"/>
        <v>-6.999999999999984</v>
      </c>
      <c r="N186" s="41">
        <f t="shared" ca="1" si="26"/>
        <v>-7.3999999999999844</v>
      </c>
      <c r="O186" s="41">
        <f t="shared" ca="1" si="26"/>
        <v>-8.4999999999999964</v>
      </c>
      <c r="P186" s="41">
        <f t="shared" ca="1" si="26"/>
        <v>-9.5000000000000195</v>
      </c>
      <c r="Q186" s="41">
        <f t="shared" ca="1" si="26"/>
        <v>-9.8000000000000309</v>
      </c>
      <c r="R186" s="41">
        <f t="shared" ca="1" si="26"/>
        <v>-9.6000000000000529</v>
      </c>
      <c r="S186" s="41">
        <f t="shared" ca="1" si="26"/>
        <v>-9.8000000000000309</v>
      </c>
      <c r="T186" s="41">
        <f t="shared" ca="1" si="26"/>
        <v>-10.400000000000009</v>
      </c>
      <c r="U186" s="41">
        <f t="shared" ca="1" si="26"/>
        <v>-10.400000000000009</v>
      </c>
      <c r="V186" s="42">
        <f t="shared" ca="1" si="26"/>
        <v>-11.300000000000043</v>
      </c>
    </row>
    <row r="187" spans="1:22" x14ac:dyDescent="0.25">
      <c r="F187" s="90">
        <f t="shared" si="16"/>
        <v>51</v>
      </c>
      <c r="H187" s="8" t="str">
        <f t="shared" si="17"/>
        <v>하남도시공사</v>
      </c>
      <c r="I187" s="40">
        <f t="shared" ca="1" si="25"/>
        <v>-39.1</v>
      </c>
      <c r="J187" s="41">
        <f t="shared" ca="1" si="27"/>
        <v>-16.199999999999992</v>
      </c>
      <c r="K187" s="41">
        <f t="shared" ca="1" si="26"/>
        <v>-16.700000000000024</v>
      </c>
      <c r="L187" s="41">
        <f t="shared" ca="1" si="26"/>
        <v>-16.999999999999993</v>
      </c>
      <c r="M187" s="41">
        <f t="shared" ca="1" si="26"/>
        <v>-18.300000000000026</v>
      </c>
      <c r="N187" s="41">
        <f t="shared" ca="1" si="26"/>
        <v>-19.49999999999994</v>
      </c>
      <c r="O187" s="41">
        <f t="shared" ca="1" si="26"/>
        <v>-20.000000000000018</v>
      </c>
      <c r="P187" s="41">
        <f t="shared" ca="1" si="26"/>
        <v>-20.599999999999994</v>
      </c>
      <c r="Q187" s="41">
        <f t="shared" ca="1" si="26"/>
        <v>-20.40000000000002</v>
      </c>
      <c r="R187" s="41">
        <f t="shared" ca="1" si="26"/>
        <v>-20.599999999999994</v>
      </c>
      <c r="S187" s="41">
        <f t="shared" ca="1" si="26"/>
        <v>-20.499999999999964</v>
      </c>
      <c r="T187" s="41">
        <f t="shared" ca="1" si="26"/>
        <v>-20.399999999999974</v>
      </c>
      <c r="U187" s="41">
        <f t="shared" ca="1" si="26"/>
        <v>-18.399999999999928</v>
      </c>
      <c r="V187" s="42">
        <f t="shared" ca="1" si="26"/>
        <v>-20.300000000000029</v>
      </c>
    </row>
    <row r="188" spans="1:22" x14ac:dyDescent="0.25">
      <c r="F188" s="90" t="b">
        <f t="shared" si="16"/>
        <v>1</v>
      </c>
      <c r="H188" s="16" t="str">
        <f t="shared" si="17"/>
        <v>공사/공단채 AA-</v>
      </c>
      <c r="I188" s="104">
        <f t="shared" ca="1" si="25"/>
        <v>3.8610000000000002</v>
      </c>
      <c r="J188" s="105">
        <f t="shared" ca="1" si="25"/>
        <v>3.944</v>
      </c>
      <c r="K188" s="105">
        <f t="shared" ca="1" si="25"/>
        <v>3.9620000000000002</v>
      </c>
      <c r="L188" s="105">
        <f t="shared" ca="1" si="25"/>
        <v>3.97</v>
      </c>
      <c r="M188" s="105">
        <f t="shared" ca="1" si="25"/>
        <v>4.0730000000000004</v>
      </c>
      <c r="N188" s="105">
        <f t="shared" ca="1" si="25"/>
        <v>4.0599999999999996</v>
      </c>
      <c r="O188" s="105">
        <f t="shared" ca="1" si="25"/>
        <v>4.07</v>
      </c>
      <c r="P188" s="105">
        <f t="shared" ca="1" si="25"/>
        <v>4.0670000000000002</v>
      </c>
      <c r="Q188" s="105">
        <f t="shared" ca="1" si="25"/>
        <v>4.0750000000000002</v>
      </c>
      <c r="R188" s="105">
        <f t="shared" ca="1" si="25"/>
        <v>4.0540000000000003</v>
      </c>
      <c r="S188" s="105">
        <f t="shared" ca="1" si="25"/>
        <v>4.0810000000000004</v>
      </c>
      <c r="T188" s="105">
        <f t="shared" ca="1" si="25"/>
        <v>4.1070000000000002</v>
      </c>
      <c r="U188" s="105">
        <f t="shared" ca="1" si="25"/>
        <v>4.1280000000000001</v>
      </c>
      <c r="V188" s="106">
        <f t="shared" ca="1" si="25"/>
        <v>4.1159999999999997</v>
      </c>
    </row>
    <row r="191" spans="1:22" s="26" customFormat="1" ht="16.5" x14ac:dyDescent="0.25">
      <c r="A191" s="32"/>
      <c r="B191" s="97"/>
      <c r="C191" s="96"/>
      <c r="D191" s="92"/>
      <c r="E191" s="93"/>
      <c r="F191" s="93"/>
      <c r="G191" s="61"/>
      <c r="H191" s="28" t="s">
        <v>74</v>
      </c>
    </row>
    <row r="192" spans="1:22" ht="6" customHeight="1" x14ac:dyDescent="0.25">
      <c r="H192" s="21"/>
    </row>
    <row r="193" spans="1:22" x14ac:dyDescent="0.25">
      <c r="A193" s="1"/>
      <c r="B193" s="1"/>
      <c r="C193" s="1"/>
      <c r="D193" s="1"/>
      <c r="E193" s="1"/>
      <c r="F193" s="1"/>
      <c r="G193" s="1"/>
      <c r="H193" s="12" t="s">
        <v>108</v>
      </c>
      <c r="I193" s="22" t="str">
        <f>I4</f>
        <v>3M</v>
      </c>
      <c r="J193" s="22" t="str">
        <f t="shared" ref="J193:V193" si="28">J4</f>
        <v>6M</v>
      </c>
      <c r="K193" s="22" t="str">
        <f t="shared" si="28"/>
        <v>9M</v>
      </c>
      <c r="L193" s="22" t="str">
        <f t="shared" si="28"/>
        <v>1Y</v>
      </c>
      <c r="M193" s="22" t="str">
        <f t="shared" si="28"/>
        <v>1Y6M</v>
      </c>
      <c r="N193" s="22" t="str">
        <f t="shared" si="28"/>
        <v>2Y</v>
      </c>
      <c r="O193" s="22" t="str">
        <f t="shared" si="28"/>
        <v>2Y6M</v>
      </c>
      <c r="P193" s="22" t="str">
        <f t="shared" si="28"/>
        <v>3Y</v>
      </c>
      <c r="Q193" s="22" t="str">
        <f t="shared" si="28"/>
        <v>4Y</v>
      </c>
      <c r="R193" s="22" t="str">
        <f t="shared" si="28"/>
        <v>5Y</v>
      </c>
      <c r="S193" s="22" t="str">
        <f t="shared" si="28"/>
        <v>7Y</v>
      </c>
      <c r="T193" s="22" t="str">
        <f t="shared" si="28"/>
        <v>10Y</v>
      </c>
      <c r="U193" s="22" t="str">
        <f t="shared" si="28"/>
        <v>15Y</v>
      </c>
      <c r="V193" s="22" t="str">
        <f t="shared" si="28"/>
        <v>20Y</v>
      </c>
    </row>
    <row r="194" spans="1:22" x14ac:dyDescent="0.25">
      <c r="A194" s="1"/>
      <c r="B194" s="1"/>
      <c r="C194" s="1"/>
      <c r="D194" s="1"/>
      <c r="E194" s="1"/>
      <c r="F194" s="1">
        <v>1</v>
      </c>
      <c r="G194" s="1"/>
      <c r="H194" s="107" t="str">
        <f>INDEX($H$195:$H$246,$F$194)</f>
        <v>예금보험공사</v>
      </c>
      <c r="I194" s="23">
        <f ca="1">INDEX($H$7:$V$64, MATCH($H194, $H$7:$H$64, 0), I$6)</f>
        <v>3.5339999999999998</v>
      </c>
      <c r="J194" s="23">
        <f t="shared" ref="J194:V194" ca="1" si="29">INDEX($H$7:$V$64, MATCH($H194, $H$7:$H$64, 0), J$6)</f>
        <v>3.5459999999999998</v>
      </c>
      <c r="K194" s="23">
        <f t="shared" ca="1" si="29"/>
        <v>3.5489999999999999</v>
      </c>
      <c r="L194" s="23">
        <f t="shared" ca="1" si="29"/>
        <v>3.5139999999999998</v>
      </c>
      <c r="M194" s="23">
        <f t="shared" ca="1" si="29"/>
        <v>3.5550000000000002</v>
      </c>
      <c r="N194" s="23">
        <f t="shared" ca="1" si="29"/>
        <v>3.5259999999999998</v>
      </c>
      <c r="O194" s="23">
        <f t="shared" ca="1" si="29"/>
        <v>3.5219999999999998</v>
      </c>
      <c r="P194" s="23">
        <f t="shared" ca="1" si="29"/>
        <v>3.5230000000000001</v>
      </c>
      <c r="Q194" s="23">
        <f t="shared" ca="1" si="29"/>
        <v>3.5390000000000001</v>
      </c>
      <c r="R194" s="23">
        <f t="shared" ca="1" si="29"/>
        <v>3.6019999999999999</v>
      </c>
      <c r="S194" s="23">
        <f t="shared" ca="1" si="29"/>
        <v>3.5979999999999999</v>
      </c>
      <c r="T194" s="23">
        <f t="shared" ca="1" si="29"/>
        <v>3.601</v>
      </c>
      <c r="U194" s="23">
        <f t="shared" ca="1" si="29"/>
        <v>3.5779999999999998</v>
      </c>
      <c r="V194" s="23">
        <f t="shared" ca="1" si="29"/>
        <v>3.5179999999999998</v>
      </c>
    </row>
    <row r="195" spans="1:22" x14ac:dyDescent="0.25">
      <c r="A195" s="1"/>
      <c r="B195" s="1"/>
      <c r="C195" s="1"/>
      <c r="D195" s="1"/>
      <c r="E195" s="1"/>
      <c r="F195" s="1"/>
      <c r="G195" s="1"/>
      <c r="H195" s="24" t="s">
        <v>16</v>
      </c>
      <c r="I195" s="51">
        <f ca="1">(INDEX($H$7:$V$64, MATCH($H195, $H$7:$H$64, 0), I$6)-I$194)*100</f>
        <v>0</v>
      </c>
      <c r="J195" s="52">
        <f t="shared" ref="J195:V210" ca="1" si="30">(INDEX($H$7:$V$64, MATCH($H195, $H$7:$H$64, 0), J$6)-J$194)*100</f>
        <v>0</v>
      </c>
      <c r="K195" s="52">
        <f t="shared" ca="1" si="30"/>
        <v>0</v>
      </c>
      <c r="L195" s="52">
        <f t="shared" ca="1" si="30"/>
        <v>0</v>
      </c>
      <c r="M195" s="52">
        <f t="shared" ca="1" si="30"/>
        <v>0</v>
      </c>
      <c r="N195" s="52">
        <f t="shared" ca="1" si="30"/>
        <v>0</v>
      </c>
      <c r="O195" s="52">
        <f t="shared" ca="1" si="30"/>
        <v>0</v>
      </c>
      <c r="P195" s="52">
        <f t="shared" ca="1" si="30"/>
        <v>0</v>
      </c>
      <c r="Q195" s="52">
        <f t="shared" ca="1" si="30"/>
        <v>0</v>
      </c>
      <c r="R195" s="52">
        <f t="shared" ca="1" si="30"/>
        <v>0</v>
      </c>
      <c r="S195" s="52">
        <f t="shared" ca="1" si="30"/>
        <v>0</v>
      </c>
      <c r="T195" s="52">
        <f t="shared" ca="1" si="30"/>
        <v>0</v>
      </c>
      <c r="U195" s="52">
        <f t="shared" ca="1" si="30"/>
        <v>0</v>
      </c>
      <c r="V195" s="53">
        <f t="shared" ca="1" si="30"/>
        <v>0</v>
      </c>
    </row>
    <row r="196" spans="1:22" x14ac:dyDescent="0.25">
      <c r="A196" s="1"/>
      <c r="B196" s="1"/>
      <c r="C196" s="1"/>
      <c r="D196" s="1"/>
      <c r="E196" s="1"/>
      <c r="F196" s="1"/>
      <c r="G196" s="1"/>
      <c r="H196" s="24" t="s">
        <v>17</v>
      </c>
      <c r="I196" s="51">
        <f t="shared" ref="I196:V211" ca="1" si="31">(INDEX($H$7:$V$64, MATCH($H196, $H$7:$H$64, 0), I$6)-I$194)*100</f>
        <v>0</v>
      </c>
      <c r="J196" s="52">
        <f t="shared" ca="1" si="30"/>
        <v>0</v>
      </c>
      <c r="K196" s="52">
        <f t="shared" ca="1" si="30"/>
        <v>0</v>
      </c>
      <c r="L196" s="52">
        <f t="shared" ca="1" si="30"/>
        <v>0</v>
      </c>
      <c r="M196" s="52">
        <f t="shared" ca="1" si="30"/>
        <v>0</v>
      </c>
      <c r="N196" s="52">
        <f t="shared" ca="1" si="30"/>
        <v>0</v>
      </c>
      <c r="O196" s="52">
        <f t="shared" ca="1" si="30"/>
        <v>0</v>
      </c>
      <c r="P196" s="52">
        <f t="shared" ca="1" si="30"/>
        <v>0</v>
      </c>
      <c r="Q196" s="52">
        <f t="shared" ca="1" si="30"/>
        <v>0</v>
      </c>
      <c r="R196" s="52">
        <f t="shared" ca="1" si="30"/>
        <v>-0.29999999999996696</v>
      </c>
      <c r="S196" s="52">
        <f t="shared" ca="1" si="30"/>
        <v>0</v>
      </c>
      <c r="T196" s="52">
        <f t="shared" ca="1" si="30"/>
        <v>0</v>
      </c>
      <c r="U196" s="52">
        <f t="shared" ca="1" si="30"/>
        <v>-1.2000000000000011</v>
      </c>
      <c r="V196" s="53">
        <f t="shared" ca="1" si="30"/>
        <v>0</v>
      </c>
    </row>
    <row r="197" spans="1:22" x14ac:dyDescent="0.25">
      <c r="A197" s="1"/>
      <c r="B197" s="1"/>
      <c r="C197" s="1"/>
      <c r="D197" s="1"/>
      <c r="E197" s="1"/>
      <c r="F197" s="1"/>
      <c r="G197" s="1"/>
      <c r="H197" s="24" t="s">
        <v>75</v>
      </c>
      <c r="I197" s="49">
        <f t="shared" ca="1" si="31"/>
        <v>19.900000000000027</v>
      </c>
      <c r="J197" s="50">
        <f t="shared" ca="1" si="30"/>
        <v>22.300000000000033</v>
      </c>
      <c r="K197" s="50">
        <f t="shared" ca="1" si="30"/>
        <v>21.300000000000008</v>
      </c>
      <c r="L197" s="50">
        <f t="shared" ca="1" si="30"/>
        <v>23.000000000000043</v>
      </c>
      <c r="M197" s="50">
        <f t="shared" ca="1" si="30"/>
        <v>26.200000000000003</v>
      </c>
      <c r="N197" s="50">
        <f t="shared" ca="1" si="30"/>
        <v>29.400000000000006</v>
      </c>
      <c r="O197" s="50">
        <f t="shared" ca="1" si="30"/>
        <v>30.200000000000003</v>
      </c>
      <c r="P197" s="50">
        <f t="shared" ca="1" si="30"/>
        <v>29.59999999999998</v>
      </c>
      <c r="Q197" s="50">
        <f t="shared" ca="1" si="30"/>
        <v>29.000000000000004</v>
      </c>
      <c r="R197" s="50">
        <f t="shared" ca="1" si="30"/>
        <v>19.500000000000028</v>
      </c>
      <c r="S197" s="50">
        <f t="shared" ca="1" si="30"/>
        <v>21.500000000000028</v>
      </c>
      <c r="T197" s="50">
        <f t="shared" ca="1" si="30"/>
        <v>22.599999999999998</v>
      </c>
      <c r="U197" s="50">
        <f t="shared" ca="1" si="30"/>
        <v>22.199999999999996</v>
      </c>
      <c r="V197" s="54">
        <f t="shared" ca="1" si="30"/>
        <v>26.000000000000021</v>
      </c>
    </row>
    <row r="198" spans="1:22" x14ac:dyDescent="0.25">
      <c r="A198" s="1"/>
      <c r="B198" s="1"/>
      <c r="C198" s="1"/>
      <c r="D198" s="1"/>
      <c r="E198" s="1"/>
      <c r="F198" s="1"/>
      <c r="G198" s="1"/>
      <c r="H198" s="24" t="s">
        <v>76</v>
      </c>
      <c r="I198" s="49">
        <f t="shared" ca="1" si="31"/>
        <v>21.300000000000008</v>
      </c>
      <c r="J198" s="50">
        <f t="shared" ca="1" si="30"/>
        <v>24.000000000000021</v>
      </c>
      <c r="K198" s="50">
        <f t="shared" ca="1" si="30"/>
        <v>22.199999999999996</v>
      </c>
      <c r="L198" s="50">
        <f t="shared" ca="1" si="30"/>
        <v>23.500000000000032</v>
      </c>
      <c r="M198" s="50">
        <f t="shared" ca="1" si="30"/>
        <v>25.899999999999991</v>
      </c>
      <c r="N198" s="50">
        <f t="shared" ca="1" si="30"/>
        <v>26.800000000000026</v>
      </c>
      <c r="O198" s="50">
        <f t="shared" ca="1" si="30"/>
        <v>27</v>
      </c>
      <c r="P198" s="50">
        <f t="shared" ca="1" si="30"/>
        <v>25.8</v>
      </c>
      <c r="Q198" s="50">
        <f t="shared" ca="1" si="30"/>
        <v>24.799999999999976</v>
      </c>
      <c r="R198" s="50">
        <f t="shared" ca="1" si="30"/>
        <v>14.700000000000024</v>
      </c>
      <c r="S198" s="50">
        <f t="shared" ca="1" si="30"/>
        <v>16.599999999999994</v>
      </c>
      <c r="T198" s="50">
        <f t="shared" ca="1" si="30"/>
        <v>18.900000000000006</v>
      </c>
      <c r="U198" s="50">
        <f t="shared" ca="1" si="30"/>
        <v>18.599999999999994</v>
      </c>
      <c r="V198" s="54">
        <f t="shared" ca="1" si="30"/>
        <v>21.900000000000031</v>
      </c>
    </row>
    <row r="199" spans="1:22" x14ac:dyDescent="0.25">
      <c r="A199" s="1"/>
      <c r="B199" s="1"/>
      <c r="C199" s="1"/>
      <c r="D199" s="1"/>
      <c r="E199" s="1"/>
      <c r="F199" s="1"/>
      <c r="G199" s="1"/>
      <c r="H199" s="24" t="s">
        <v>77</v>
      </c>
      <c r="I199" s="49">
        <f t="shared" ca="1" si="31"/>
        <v>9.4000000000000306</v>
      </c>
      <c r="J199" s="50">
        <f t="shared" ca="1" si="30"/>
        <v>11.299999999999999</v>
      </c>
      <c r="K199" s="50">
        <f t="shared" ca="1" si="30"/>
        <v>9.5000000000000195</v>
      </c>
      <c r="L199" s="50">
        <f t="shared" ca="1" si="30"/>
        <v>10.700000000000021</v>
      </c>
      <c r="M199" s="50">
        <f t="shared" ca="1" si="30"/>
        <v>12.5</v>
      </c>
      <c r="N199" s="50">
        <f t="shared" ca="1" si="30"/>
        <v>14.000000000000012</v>
      </c>
      <c r="O199" s="50">
        <f t="shared" ca="1" si="30"/>
        <v>14.100000000000001</v>
      </c>
      <c r="P199" s="50">
        <f t="shared" ca="1" si="30"/>
        <v>13.099999999999978</v>
      </c>
      <c r="Q199" s="50">
        <f t="shared" ca="1" si="30"/>
        <v>12.299999999999978</v>
      </c>
      <c r="R199" s="50">
        <f t="shared" ca="1" si="30"/>
        <v>2.8999999999999915</v>
      </c>
      <c r="S199" s="50">
        <f t="shared" ca="1" si="30"/>
        <v>4.8000000000000043</v>
      </c>
      <c r="T199" s="50">
        <f t="shared" ca="1" si="30"/>
        <v>5.9000000000000163</v>
      </c>
      <c r="U199" s="50">
        <f t="shared" ca="1" si="30"/>
        <v>5.600000000000005</v>
      </c>
      <c r="V199" s="54">
        <f t="shared" ca="1" si="30"/>
        <v>7.2000000000000064</v>
      </c>
    </row>
    <row r="200" spans="1:22" x14ac:dyDescent="0.25">
      <c r="A200" s="1"/>
      <c r="B200" s="1"/>
      <c r="C200" s="1"/>
      <c r="D200" s="1"/>
      <c r="E200" s="1"/>
      <c r="F200" s="1"/>
      <c r="G200" s="1"/>
      <c r="H200" s="24" t="s">
        <v>70</v>
      </c>
      <c r="I200" s="49">
        <f t="shared" ca="1" si="31"/>
        <v>8.2000000000000295</v>
      </c>
      <c r="J200" s="50">
        <f t="shared" ca="1" si="30"/>
        <v>10.000000000000009</v>
      </c>
      <c r="K200" s="50">
        <f t="shared" ca="1" si="30"/>
        <v>8.0000000000000071</v>
      </c>
      <c r="L200" s="50">
        <f t="shared" ca="1" si="30"/>
        <v>9.2000000000000082</v>
      </c>
      <c r="M200" s="50">
        <f t="shared" ca="1" si="30"/>
        <v>10.899999999999999</v>
      </c>
      <c r="N200" s="50">
        <f t="shared" ca="1" si="30"/>
        <v>11.60000000000001</v>
      </c>
      <c r="O200" s="50">
        <f t="shared" ca="1" si="30"/>
        <v>12.1</v>
      </c>
      <c r="P200" s="50">
        <f t="shared" ca="1" si="30"/>
        <v>11.299999999999999</v>
      </c>
      <c r="Q200" s="50">
        <f t="shared" ca="1" si="30"/>
        <v>10.499999999999998</v>
      </c>
      <c r="R200" s="50">
        <f t="shared" ca="1" si="30"/>
        <v>1.2000000000000011</v>
      </c>
      <c r="S200" s="50">
        <f t="shared" ca="1" si="30"/>
        <v>3.1000000000000139</v>
      </c>
      <c r="T200" s="50">
        <f t="shared" ca="1" si="30"/>
        <v>4.0999999999999925</v>
      </c>
      <c r="U200" s="50">
        <f t="shared" ca="1" si="30"/>
        <v>2.6000000000000245</v>
      </c>
      <c r="V200" s="54">
        <f t="shared" ca="1" si="30"/>
        <v>5.2000000000000046</v>
      </c>
    </row>
    <row r="201" spans="1:22" x14ac:dyDescent="0.25">
      <c r="A201" s="1"/>
      <c r="B201" s="1"/>
      <c r="C201" s="1"/>
      <c r="D201" s="1"/>
      <c r="E201" s="1"/>
      <c r="F201" s="1"/>
      <c r="G201" s="1"/>
      <c r="H201" s="24" t="s">
        <v>19</v>
      </c>
      <c r="I201" s="49">
        <f t="shared" ca="1" si="31"/>
        <v>9.9000000000000199</v>
      </c>
      <c r="J201" s="50">
        <f t="shared" ca="1" si="30"/>
        <v>12.000000000000011</v>
      </c>
      <c r="K201" s="50">
        <f t="shared" ca="1" si="30"/>
        <v>10.000000000000009</v>
      </c>
      <c r="L201" s="50">
        <f t="shared" ca="1" si="30"/>
        <v>10.900000000000043</v>
      </c>
      <c r="M201" s="50">
        <f t="shared" ca="1" si="30"/>
        <v>12.699999999999978</v>
      </c>
      <c r="N201" s="50">
        <f t="shared" ca="1" si="30"/>
        <v>13.600000000000012</v>
      </c>
      <c r="O201" s="50">
        <f t="shared" ca="1" si="30"/>
        <v>14.300000000000024</v>
      </c>
      <c r="P201" s="50">
        <f t="shared" ca="1" si="30"/>
        <v>13.39999999999999</v>
      </c>
      <c r="Q201" s="50">
        <f t="shared" ca="1" si="30"/>
        <v>12.999999999999989</v>
      </c>
      <c r="R201" s="50">
        <f t="shared" ca="1" si="30"/>
        <v>3.6999999999999922</v>
      </c>
      <c r="S201" s="50">
        <f t="shared" ca="1" si="30"/>
        <v>5.2999999999999936</v>
      </c>
      <c r="T201" s="50">
        <f t="shared" ca="1" si="30"/>
        <v>6.0999999999999943</v>
      </c>
      <c r="U201" s="50">
        <f t="shared" ca="1" si="30"/>
        <v>5.600000000000005</v>
      </c>
      <c r="V201" s="54">
        <f t="shared" ca="1" si="30"/>
        <v>7.2000000000000064</v>
      </c>
    </row>
    <row r="202" spans="1:22" x14ac:dyDescent="0.25">
      <c r="A202" s="1"/>
      <c r="B202" s="1"/>
      <c r="C202" s="1"/>
      <c r="D202" s="1"/>
      <c r="E202" s="1"/>
      <c r="F202" s="1"/>
      <c r="G202" s="1"/>
      <c r="H202" s="24" t="s">
        <v>20</v>
      </c>
      <c r="I202" s="49">
        <f t="shared" ca="1" si="31"/>
        <v>17.900000000000027</v>
      </c>
      <c r="J202" s="50">
        <f t="shared" ca="1" si="30"/>
        <v>20.500000000000007</v>
      </c>
      <c r="K202" s="50">
        <f t="shared" ca="1" si="30"/>
        <v>18.999999999999993</v>
      </c>
      <c r="L202" s="50">
        <f t="shared" ca="1" si="30"/>
        <v>20.700000000000031</v>
      </c>
      <c r="M202" s="50">
        <f t="shared" ca="1" si="30"/>
        <v>23</v>
      </c>
      <c r="N202" s="50">
        <f t="shared" ca="1" si="30"/>
        <v>24.500000000000011</v>
      </c>
      <c r="O202" s="50">
        <f t="shared" ca="1" si="30"/>
        <v>24.800000000000022</v>
      </c>
      <c r="P202" s="50">
        <f t="shared" ca="1" si="30"/>
        <v>23.899999999999988</v>
      </c>
      <c r="Q202" s="50">
        <f t="shared" ca="1" si="30"/>
        <v>23.299999999999965</v>
      </c>
      <c r="R202" s="50">
        <f t="shared" ca="1" si="30"/>
        <v>13.500000000000023</v>
      </c>
      <c r="S202" s="50">
        <f t="shared" ca="1" si="30"/>
        <v>15.300000000000002</v>
      </c>
      <c r="T202" s="50">
        <f t="shared" ca="1" si="30"/>
        <v>15.399999999999991</v>
      </c>
      <c r="U202" s="50">
        <f t="shared" ca="1" si="30"/>
        <v>14.300000000000024</v>
      </c>
      <c r="V202" s="54">
        <f t="shared" ca="1" si="30"/>
        <v>16.400000000000013</v>
      </c>
    </row>
    <row r="203" spans="1:22" x14ac:dyDescent="0.25">
      <c r="A203" s="1"/>
      <c r="B203" s="1"/>
      <c r="C203" s="1"/>
      <c r="D203" s="1"/>
      <c r="E203" s="1"/>
      <c r="F203" s="1"/>
      <c r="G203" s="1"/>
      <c r="H203" s="24" t="s">
        <v>21</v>
      </c>
      <c r="I203" s="49">
        <f t="shared" ca="1" si="31"/>
        <v>11.900000000000022</v>
      </c>
      <c r="J203" s="50">
        <f t="shared" ca="1" si="30"/>
        <v>14.300000000000024</v>
      </c>
      <c r="K203" s="50">
        <f t="shared" ca="1" si="30"/>
        <v>12.5</v>
      </c>
      <c r="L203" s="50">
        <f t="shared" ca="1" si="30"/>
        <v>13.900000000000023</v>
      </c>
      <c r="M203" s="50">
        <f t="shared" ca="1" si="30"/>
        <v>15.899999999999981</v>
      </c>
      <c r="N203" s="50">
        <f t="shared" ca="1" si="30"/>
        <v>17.000000000000036</v>
      </c>
      <c r="O203" s="50">
        <f t="shared" ca="1" si="30"/>
        <v>17.100000000000026</v>
      </c>
      <c r="P203" s="50">
        <f t="shared" ca="1" si="30"/>
        <v>16.299999999999983</v>
      </c>
      <c r="Q203" s="50">
        <f t="shared" ca="1" si="30"/>
        <v>15.09999999999998</v>
      </c>
      <c r="R203" s="50">
        <f t="shared" ca="1" si="30"/>
        <v>5.699999999999994</v>
      </c>
      <c r="S203" s="50">
        <f t="shared" ca="1" si="30"/>
        <v>7.0000000000000284</v>
      </c>
      <c r="T203" s="50">
        <f t="shared" ca="1" si="30"/>
        <v>7.1000000000000174</v>
      </c>
      <c r="U203" s="50">
        <f t="shared" ca="1" si="30"/>
        <v>7.1000000000000174</v>
      </c>
      <c r="V203" s="54">
        <f t="shared" ca="1" si="30"/>
        <v>8.6000000000000298</v>
      </c>
    </row>
    <row r="204" spans="1:22" x14ac:dyDescent="0.25">
      <c r="A204" s="1"/>
      <c r="B204" s="1"/>
      <c r="C204" s="1"/>
      <c r="D204" s="1"/>
      <c r="E204" s="1"/>
      <c r="F204" s="1"/>
      <c r="G204" s="1"/>
      <c r="H204" s="24" t="s">
        <v>73</v>
      </c>
      <c r="I204" s="49">
        <f t="shared" ca="1" si="31"/>
        <v>18.300000000000026</v>
      </c>
      <c r="J204" s="50">
        <f t="shared" ca="1" si="30"/>
        <v>20.300000000000029</v>
      </c>
      <c r="K204" s="50">
        <f t="shared" ca="1" si="30"/>
        <v>18.300000000000026</v>
      </c>
      <c r="L204" s="50">
        <f t="shared" ca="1" si="30"/>
        <v>20.100000000000009</v>
      </c>
      <c r="M204" s="50">
        <f t="shared" ca="1" si="30"/>
        <v>22.499999999999964</v>
      </c>
      <c r="N204" s="50">
        <f t="shared" ca="1" si="30"/>
        <v>24.500000000000011</v>
      </c>
      <c r="O204" s="50">
        <f t="shared" ca="1" si="30"/>
        <v>25.500000000000036</v>
      </c>
      <c r="P204" s="50">
        <f t="shared" ca="1" si="30"/>
        <v>25.59999999999998</v>
      </c>
      <c r="Q204" s="50">
        <f t="shared" ca="1" si="30"/>
        <v>25.299999999999969</v>
      </c>
      <c r="R204" s="50">
        <f t="shared" ca="1" si="30"/>
        <v>16.000000000000014</v>
      </c>
      <c r="S204" s="50">
        <f t="shared" ca="1" si="30"/>
        <v>18.000000000000014</v>
      </c>
      <c r="T204" s="50">
        <f t="shared" ca="1" si="30"/>
        <v>16.699999999999982</v>
      </c>
      <c r="U204" s="50">
        <f t="shared" ca="1" si="30"/>
        <v>16.100000000000001</v>
      </c>
      <c r="V204" s="54">
        <f t="shared" ca="1" si="30"/>
        <v>17.100000000000026</v>
      </c>
    </row>
    <row r="205" spans="1:22" x14ac:dyDescent="0.25">
      <c r="A205" s="1"/>
      <c r="B205" s="1"/>
      <c r="C205" s="1"/>
      <c r="D205" s="1"/>
      <c r="E205" s="1"/>
      <c r="F205" s="1"/>
      <c r="G205" s="1"/>
      <c r="H205" s="24" t="s">
        <v>71</v>
      </c>
      <c r="I205" s="49">
        <f t="shared" ca="1" si="31"/>
        <v>12.600000000000033</v>
      </c>
      <c r="J205" s="50">
        <f t="shared" ca="1" si="30"/>
        <v>15.000000000000036</v>
      </c>
      <c r="K205" s="50">
        <f t="shared" ca="1" si="30"/>
        <v>13.500000000000023</v>
      </c>
      <c r="L205" s="50">
        <f t="shared" ca="1" si="30"/>
        <v>15.000000000000036</v>
      </c>
      <c r="M205" s="50">
        <f t="shared" ca="1" si="30"/>
        <v>16.999999999999993</v>
      </c>
      <c r="N205" s="50">
        <f t="shared" ca="1" si="30"/>
        <v>17.80000000000004</v>
      </c>
      <c r="O205" s="50">
        <f t="shared" ca="1" si="30"/>
        <v>18.000000000000014</v>
      </c>
      <c r="P205" s="50">
        <f t="shared" ca="1" si="30"/>
        <v>17.09999999999998</v>
      </c>
      <c r="Q205" s="50">
        <f t="shared" ca="1" si="30"/>
        <v>16.100000000000001</v>
      </c>
      <c r="R205" s="50">
        <f t="shared" ca="1" si="30"/>
        <v>6.899999999999995</v>
      </c>
      <c r="S205" s="50">
        <f t="shared" ca="1" si="30"/>
        <v>9.2999999999999972</v>
      </c>
      <c r="T205" s="50">
        <f t="shared" ca="1" si="30"/>
        <v>11.60000000000001</v>
      </c>
      <c r="U205" s="50">
        <f t="shared" ca="1" si="30"/>
        <v>9.0000000000000302</v>
      </c>
      <c r="V205" s="54">
        <f t="shared" ca="1" si="30"/>
        <v>15.300000000000002</v>
      </c>
    </row>
    <row r="206" spans="1:22" x14ac:dyDescent="0.25">
      <c r="A206" s="1"/>
      <c r="B206" s="1"/>
      <c r="C206" s="1"/>
      <c r="D206" s="1"/>
      <c r="E206" s="1"/>
      <c r="F206" s="1"/>
      <c r="G206" s="1"/>
      <c r="H206" s="24" t="s">
        <v>65</v>
      </c>
      <c r="I206" s="49">
        <f t="shared" ca="1" si="31"/>
        <v>12.1</v>
      </c>
      <c r="J206" s="50">
        <f t="shared" ca="1" si="30"/>
        <v>14.600000000000035</v>
      </c>
      <c r="K206" s="50">
        <f t="shared" ca="1" si="30"/>
        <v>13.3</v>
      </c>
      <c r="L206" s="50">
        <f t="shared" ca="1" si="30"/>
        <v>15.000000000000036</v>
      </c>
      <c r="M206" s="50">
        <f t="shared" ca="1" si="30"/>
        <v>15.99999999999997</v>
      </c>
      <c r="N206" s="50">
        <f t="shared" ca="1" si="30"/>
        <v>16.000000000000014</v>
      </c>
      <c r="O206" s="50">
        <f t="shared" ca="1" si="30"/>
        <v>16.100000000000001</v>
      </c>
      <c r="P206" s="50">
        <f t="shared" ca="1" si="30"/>
        <v>15.199999999999969</v>
      </c>
      <c r="Q206" s="50">
        <f t="shared" ca="1" si="30"/>
        <v>14.19999999999999</v>
      </c>
      <c r="R206" s="50">
        <f t="shared" ca="1" si="30"/>
        <v>4.8999999999999932</v>
      </c>
      <c r="S206" s="50">
        <f t="shared" ca="1" si="30"/>
        <v>6.800000000000006</v>
      </c>
      <c r="T206" s="50">
        <f t="shared" ca="1" si="30"/>
        <v>7.9000000000000181</v>
      </c>
      <c r="U206" s="50">
        <f t="shared" ca="1" si="30"/>
        <v>8.0999999999999961</v>
      </c>
      <c r="V206" s="54">
        <f t="shared" ca="1" si="30"/>
        <v>9.6000000000000085</v>
      </c>
    </row>
    <row r="207" spans="1:22" x14ac:dyDescent="0.25">
      <c r="A207" s="1"/>
      <c r="B207" s="1"/>
      <c r="C207" s="1"/>
      <c r="D207" s="1"/>
      <c r="E207" s="1"/>
      <c r="F207" s="1"/>
      <c r="G207" s="1"/>
      <c r="H207" s="24" t="s">
        <v>22</v>
      </c>
      <c r="I207" s="49">
        <f t="shared" ca="1" si="31"/>
        <v>12.000000000000011</v>
      </c>
      <c r="J207" s="50">
        <f t="shared" ca="1" si="30"/>
        <v>14.200000000000035</v>
      </c>
      <c r="K207" s="50">
        <f t="shared" ca="1" si="30"/>
        <v>12.199999999999989</v>
      </c>
      <c r="L207" s="50">
        <f t="shared" ca="1" si="30"/>
        <v>13.400000000000034</v>
      </c>
      <c r="M207" s="50">
        <f t="shared" ca="1" si="30"/>
        <v>15.399999999999991</v>
      </c>
      <c r="N207" s="50">
        <f t="shared" ca="1" si="30"/>
        <v>16.300000000000026</v>
      </c>
      <c r="O207" s="50">
        <f t="shared" ca="1" si="30"/>
        <v>17.200000000000017</v>
      </c>
      <c r="P207" s="50">
        <f t="shared" ca="1" si="30"/>
        <v>16.299999999999983</v>
      </c>
      <c r="Q207" s="50">
        <f t="shared" ca="1" si="30"/>
        <v>15.799999999999992</v>
      </c>
      <c r="R207" s="50">
        <f t="shared" ca="1" si="30"/>
        <v>7.2999999999999954</v>
      </c>
      <c r="S207" s="50">
        <f t="shared" ca="1" si="30"/>
        <v>10.200000000000031</v>
      </c>
      <c r="T207" s="50">
        <f t="shared" ca="1" si="30"/>
        <v>11.500000000000021</v>
      </c>
      <c r="U207" s="50">
        <f t="shared" ca="1" si="30"/>
        <v>11.299999999999999</v>
      </c>
      <c r="V207" s="54">
        <f t="shared" ca="1" si="30"/>
        <v>12.9</v>
      </c>
    </row>
    <row r="208" spans="1:22" x14ac:dyDescent="0.25">
      <c r="A208" s="1"/>
      <c r="B208" s="1"/>
      <c r="C208" s="1"/>
      <c r="D208" s="1"/>
      <c r="E208" s="1"/>
      <c r="F208" s="1"/>
      <c r="G208" s="1"/>
      <c r="H208" s="24" t="s">
        <v>23</v>
      </c>
      <c r="I208" s="49">
        <f t="shared" ca="1" si="31"/>
        <v>10.099999999999998</v>
      </c>
      <c r="J208" s="50">
        <f t="shared" ca="1" si="30"/>
        <v>11.7</v>
      </c>
      <c r="K208" s="50">
        <f t="shared" ca="1" si="30"/>
        <v>9.6999999999999975</v>
      </c>
      <c r="L208" s="50">
        <f t="shared" ca="1" si="30"/>
        <v>10.900000000000043</v>
      </c>
      <c r="M208" s="50">
        <f t="shared" ca="1" si="30"/>
        <v>12.599999999999989</v>
      </c>
      <c r="N208" s="50">
        <f t="shared" ca="1" si="30"/>
        <v>13.400000000000034</v>
      </c>
      <c r="O208" s="50">
        <f t="shared" ca="1" si="30"/>
        <v>13.600000000000012</v>
      </c>
      <c r="P208" s="50">
        <f t="shared" ca="1" si="30"/>
        <v>12.799999999999967</v>
      </c>
      <c r="Q208" s="50">
        <f t="shared" ca="1" si="30"/>
        <v>11.999999999999966</v>
      </c>
      <c r="R208" s="50">
        <f t="shared" ca="1" si="30"/>
        <v>2.8999999999999915</v>
      </c>
      <c r="S208" s="50">
        <f t="shared" ca="1" si="30"/>
        <v>5.1000000000000156</v>
      </c>
      <c r="T208" s="50">
        <f t="shared" ca="1" si="30"/>
        <v>6.0000000000000053</v>
      </c>
      <c r="U208" s="50">
        <f t="shared" ca="1" si="30"/>
        <v>5.600000000000005</v>
      </c>
      <c r="V208" s="54">
        <f t="shared" ca="1" si="30"/>
        <v>7.3000000000000398</v>
      </c>
    </row>
    <row r="209" spans="1:22" x14ac:dyDescent="0.25">
      <c r="A209" s="1"/>
      <c r="B209" s="1"/>
      <c r="C209" s="1"/>
      <c r="D209" s="1"/>
      <c r="E209" s="1"/>
      <c r="F209" s="1"/>
      <c r="G209" s="1"/>
      <c r="H209" s="24" t="s">
        <v>24</v>
      </c>
      <c r="I209" s="49">
        <f t="shared" ca="1" si="31"/>
        <v>14.100000000000001</v>
      </c>
      <c r="J209" s="50">
        <f t="shared" ca="1" si="30"/>
        <v>16.100000000000001</v>
      </c>
      <c r="K209" s="50">
        <f t="shared" ca="1" si="30"/>
        <v>14.300000000000024</v>
      </c>
      <c r="L209" s="50">
        <f t="shared" ca="1" si="30"/>
        <v>16.500000000000004</v>
      </c>
      <c r="M209" s="50">
        <f t="shared" ca="1" si="30"/>
        <v>19.199999999999974</v>
      </c>
      <c r="N209" s="50">
        <f t="shared" ca="1" si="30"/>
        <v>20.800000000000018</v>
      </c>
      <c r="O209" s="50">
        <f t="shared" ca="1" si="30"/>
        <v>21.10000000000003</v>
      </c>
      <c r="P209" s="50">
        <f t="shared" ca="1" si="30"/>
        <v>20.399999999999974</v>
      </c>
      <c r="Q209" s="50">
        <f t="shared" ca="1" si="30"/>
        <v>19.599999999999973</v>
      </c>
      <c r="R209" s="50">
        <f t="shared" ca="1" si="30"/>
        <v>10.400000000000009</v>
      </c>
      <c r="S209" s="50">
        <f t="shared" ca="1" si="30"/>
        <v>11.500000000000021</v>
      </c>
      <c r="T209" s="50">
        <f t="shared" ca="1" si="30"/>
        <v>12.1</v>
      </c>
      <c r="U209" s="50">
        <f t="shared" ca="1" si="30"/>
        <v>12.300000000000022</v>
      </c>
      <c r="V209" s="54">
        <f t="shared" ca="1" si="30"/>
        <v>13.900000000000023</v>
      </c>
    </row>
    <row r="210" spans="1:22" x14ac:dyDescent="0.25">
      <c r="A210" s="1"/>
      <c r="B210" s="1"/>
      <c r="C210" s="1"/>
      <c r="D210" s="1"/>
      <c r="E210" s="1"/>
      <c r="F210" s="1"/>
      <c r="G210" s="1"/>
      <c r="H210" s="24" t="s">
        <v>25</v>
      </c>
      <c r="I210" s="49">
        <f t="shared" ca="1" si="31"/>
        <v>11.400000000000032</v>
      </c>
      <c r="J210" s="50">
        <f t="shared" ca="1" si="30"/>
        <v>13.600000000000012</v>
      </c>
      <c r="K210" s="50">
        <f t="shared" ca="1" si="30"/>
        <v>12.1</v>
      </c>
      <c r="L210" s="50">
        <f t="shared" ca="1" si="30"/>
        <v>13.400000000000034</v>
      </c>
      <c r="M210" s="50">
        <f t="shared" ca="1" si="30"/>
        <v>15.899999999999981</v>
      </c>
      <c r="N210" s="50">
        <f t="shared" ca="1" si="30"/>
        <v>17.100000000000026</v>
      </c>
      <c r="O210" s="50">
        <f t="shared" ca="1" si="30"/>
        <v>17.600000000000016</v>
      </c>
      <c r="P210" s="50">
        <f t="shared" ca="1" si="30"/>
        <v>17.599999999999973</v>
      </c>
      <c r="Q210" s="50">
        <f t="shared" ca="1" si="30"/>
        <v>17.499999999999982</v>
      </c>
      <c r="R210" s="50">
        <f t="shared" ca="1" si="30"/>
        <v>8.7000000000000188</v>
      </c>
      <c r="S210" s="50">
        <f t="shared" ca="1" si="30"/>
        <v>10.099999999999998</v>
      </c>
      <c r="T210" s="50">
        <f t="shared" ca="1" si="30"/>
        <v>10.400000000000009</v>
      </c>
      <c r="U210" s="50">
        <f t="shared" ca="1" si="30"/>
        <v>10.099999999999998</v>
      </c>
      <c r="V210" s="54">
        <f t="shared" ca="1" si="30"/>
        <v>11.20000000000001</v>
      </c>
    </row>
    <row r="211" spans="1:22" x14ac:dyDescent="0.25">
      <c r="A211" s="1"/>
      <c r="B211" s="1"/>
      <c r="C211" s="1"/>
      <c r="D211" s="1"/>
      <c r="E211" s="1"/>
      <c r="F211" s="1"/>
      <c r="G211" s="1"/>
      <c r="H211" s="24" t="s">
        <v>78</v>
      </c>
      <c r="I211" s="49">
        <f t="shared" ca="1" si="31"/>
        <v>3.2000000000000028</v>
      </c>
      <c r="J211" s="50">
        <f t="shared" ca="1" si="31"/>
        <v>7.2000000000000064</v>
      </c>
      <c r="K211" s="50">
        <f t="shared" ca="1" si="31"/>
        <v>5.9000000000000163</v>
      </c>
      <c r="L211" s="50">
        <f t="shared" ca="1" si="31"/>
        <v>9.9000000000000199</v>
      </c>
      <c r="M211" s="50">
        <f t="shared" ca="1" si="31"/>
        <v>12.299999999999978</v>
      </c>
      <c r="N211" s="50">
        <f t="shared" ca="1" si="31"/>
        <v>12.700000000000022</v>
      </c>
      <c r="O211" s="50">
        <f t="shared" ca="1" si="31"/>
        <v>12.400000000000011</v>
      </c>
      <c r="P211" s="50">
        <f t="shared" ca="1" si="31"/>
        <v>11.299999999999999</v>
      </c>
      <c r="Q211" s="50">
        <f t="shared" ca="1" si="31"/>
        <v>11.7</v>
      </c>
      <c r="R211" s="50">
        <f t="shared" ca="1" si="31"/>
        <v>1.7000000000000348</v>
      </c>
      <c r="S211" s="50">
        <f t="shared" ca="1" si="31"/>
        <v>3.9000000000000146</v>
      </c>
      <c r="T211" s="50">
        <f t="shared" ca="1" si="31"/>
        <v>3.1000000000000139</v>
      </c>
      <c r="U211" s="50">
        <f t="shared" ca="1" si="31"/>
        <v>2.9000000000000359</v>
      </c>
      <c r="V211" s="54">
        <f t="shared" ca="1" si="31"/>
        <v>5.0000000000000266</v>
      </c>
    </row>
    <row r="212" spans="1:22" x14ac:dyDescent="0.25">
      <c r="A212" s="1"/>
      <c r="B212" s="1"/>
      <c r="C212" s="1"/>
      <c r="D212" s="1"/>
      <c r="E212" s="1"/>
      <c r="F212" s="1"/>
      <c r="G212" s="1"/>
      <c r="H212" s="24" t="s">
        <v>79</v>
      </c>
      <c r="I212" s="49">
        <f t="shared" ref="I212:V227" ca="1" si="32">(INDEX($H$7:$V$64, MATCH($H212, $H$7:$H$64, 0), I$6)-I$194)*100</f>
        <v>8.6000000000000298</v>
      </c>
      <c r="J212" s="50">
        <f t="shared" ca="1" si="32"/>
        <v>10.499999999999998</v>
      </c>
      <c r="K212" s="50">
        <f t="shared" ca="1" si="32"/>
        <v>8.4999999999999964</v>
      </c>
      <c r="L212" s="50">
        <f t="shared" ca="1" si="32"/>
        <v>9.7000000000000419</v>
      </c>
      <c r="M212" s="50">
        <f t="shared" ca="1" si="32"/>
        <v>10.999999999999988</v>
      </c>
      <c r="N212" s="50">
        <f t="shared" ca="1" si="32"/>
        <v>11.100000000000021</v>
      </c>
      <c r="O212" s="50">
        <f t="shared" ca="1" si="32"/>
        <v>11.500000000000021</v>
      </c>
      <c r="P212" s="50">
        <f t="shared" ca="1" si="32"/>
        <v>10.399999999999965</v>
      </c>
      <c r="Q212" s="50">
        <f t="shared" ca="1" si="32"/>
        <v>9.5999999999999641</v>
      </c>
      <c r="R212" s="50">
        <f t="shared" ca="1" si="32"/>
        <v>0.40000000000000036</v>
      </c>
      <c r="S212" s="50">
        <f t="shared" ca="1" si="32"/>
        <v>2.6000000000000245</v>
      </c>
      <c r="T212" s="50">
        <f t="shared" ca="1" si="32"/>
        <v>4.0999999999999925</v>
      </c>
      <c r="U212" s="50">
        <f t="shared" ca="1" si="32"/>
        <v>3.8000000000000256</v>
      </c>
      <c r="V212" s="54">
        <f t="shared" ca="1" si="32"/>
        <v>5.7000000000000384</v>
      </c>
    </row>
    <row r="213" spans="1:22" x14ac:dyDescent="0.25">
      <c r="A213" s="1"/>
      <c r="B213" s="1"/>
      <c r="C213" s="1"/>
      <c r="D213" s="1"/>
      <c r="E213" s="1"/>
      <c r="F213" s="1"/>
      <c r="G213" s="1"/>
      <c r="H213" s="24" t="s">
        <v>72</v>
      </c>
      <c r="I213" s="49">
        <f t="shared" ca="1" si="32"/>
        <v>8.8000000000000078</v>
      </c>
      <c r="J213" s="50">
        <f t="shared" ca="1" si="32"/>
        <v>10.80000000000001</v>
      </c>
      <c r="K213" s="50">
        <f t="shared" ca="1" si="32"/>
        <v>8.8000000000000078</v>
      </c>
      <c r="L213" s="50">
        <f t="shared" ca="1" si="32"/>
        <v>9.9000000000000199</v>
      </c>
      <c r="M213" s="50">
        <f t="shared" ca="1" si="32"/>
        <v>11.7</v>
      </c>
      <c r="N213" s="50">
        <f t="shared" ca="1" si="32"/>
        <v>12.600000000000033</v>
      </c>
      <c r="O213" s="50">
        <f t="shared" ca="1" si="32"/>
        <v>12.600000000000033</v>
      </c>
      <c r="P213" s="50">
        <f t="shared" ca="1" si="32"/>
        <v>11.599999999999966</v>
      </c>
      <c r="Q213" s="50">
        <f t="shared" ca="1" si="32"/>
        <v>11.599999999999966</v>
      </c>
      <c r="R213" s="50">
        <f t="shared" ca="1" si="32"/>
        <v>2.8999999999999915</v>
      </c>
      <c r="S213" s="50">
        <f t="shared" ca="1" si="32"/>
        <v>4.6000000000000263</v>
      </c>
      <c r="T213" s="50">
        <f t="shared" ca="1" si="32"/>
        <v>5.9000000000000163</v>
      </c>
      <c r="U213" s="50">
        <f t="shared" ca="1" si="32"/>
        <v>5.600000000000005</v>
      </c>
      <c r="V213" s="54">
        <f t="shared" ca="1" si="32"/>
        <v>7.2000000000000064</v>
      </c>
    </row>
    <row r="214" spans="1:22" x14ac:dyDescent="0.25">
      <c r="A214" s="1"/>
      <c r="B214" s="1"/>
      <c r="C214" s="1"/>
      <c r="D214" s="1"/>
      <c r="E214" s="1"/>
      <c r="F214" s="1"/>
      <c r="G214" s="1"/>
      <c r="H214" s="24" t="s">
        <v>26</v>
      </c>
      <c r="I214" s="49">
        <f t="shared" ca="1" si="32"/>
        <v>15.100000000000025</v>
      </c>
      <c r="J214" s="50">
        <f t="shared" ca="1" si="32"/>
        <v>17.300000000000004</v>
      </c>
      <c r="K214" s="50">
        <f t="shared" ca="1" si="32"/>
        <v>15.500000000000025</v>
      </c>
      <c r="L214" s="50">
        <f t="shared" ca="1" si="32"/>
        <v>17.000000000000036</v>
      </c>
      <c r="M214" s="50">
        <f t="shared" ca="1" si="32"/>
        <v>18.900000000000006</v>
      </c>
      <c r="N214" s="50">
        <f t="shared" ca="1" si="32"/>
        <v>20.300000000000029</v>
      </c>
      <c r="O214" s="50">
        <f t="shared" ca="1" si="32"/>
        <v>20.500000000000007</v>
      </c>
      <c r="P214" s="50">
        <f t="shared" ca="1" si="32"/>
        <v>19.599999999999973</v>
      </c>
      <c r="Q214" s="50">
        <f t="shared" ca="1" si="32"/>
        <v>18.999999999999993</v>
      </c>
      <c r="R214" s="50">
        <f t="shared" ca="1" si="32"/>
        <v>9.5000000000000195</v>
      </c>
      <c r="S214" s="50">
        <f t="shared" ca="1" si="32"/>
        <v>11.000000000000032</v>
      </c>
      <c r="T214" s="50">
        <f t="shared" ca="1" si="32"/>
        <v>11.100000000000021</v>
      </c>
      <c r="U214" s="50">
        <f t="shared" ca="1" si="32"/>
        <v>10.80000000000001</v>
      </c>
      <c r="V214" s="54">
        <f t="shared" ca="1" si="32"/>
        <v>11.900000000000022</v>
      </c>
    </row>
    <row r="215" spans="1:22" x14ac:dyDescent="0.25">
      <c r="A215" s="1"/>
      <c r="B215" s="1"/>
      <c r="C215" s="1"/>
      <c r="D215" s="1"/>
      <c r="E215" s="1"/>
      <c r="F215" s="1"/>
      <c r="G215" s="1"/>
      <c r="H215" s="24" t="s">
        <v>80</v>
      </c>
      <c r="I215" s="49">
        <f t="shared" ca="1" si="32"/>
        <v>12.800000000000011</v>
      </c>
      <c r="J215" s="50">
        <f t="shared" ca="1" si="32"/>
        <v>14.600000000000035</v>
      </c>
      <c r="K215" s="50">
        <f t="shared" ca="1" si="32"/>
        <v>12.800000000000011</v>
      </c>
      <c r="L215" s="50">
        <f t="shared" ca="1" si="32"/>
        <v>14.700000000000024</v>
      </c>
      <c r="M215" s="50">
        <f t="shared" ca="1" si="32"/>
        <v>17.399999999999991</v>
      </c>
      <c r="N215" s="50">
        <f t="shared" ca="1" si="32"/>
        <v>19.000000000000039</v>
      </c>
      <c r="O215" s="50">
        <f t="shared" ca="1" si="32"/>
        <v>19.10000000000003</v>
      </c>
      <c r="P215" s="50">
        <f t="shared" ca="1" si="32"/>
        <v>18.39999999999997</v>
      </c>
      <c r="Q215" s="50">
        <f t="shared" ca="1" si="32"/>
        <v>17.599999999999973</v>
      </c>
      <c r="R215" s="50">
        <f t="shared" ca="1" si="32"/>
        <v>8.4000000000000075</v>
      </c>
      <c r="S215" s="50">
        <f t="shared" ca="1" si="32"/>
        <v>10.30000000000002</v>
      </c>
      <c r="T215" s="50">
        <f t="shared" ca="1" si="32"/>
        <v>11.100000000000021</v>
      </c>
      <c r="U215" s="50">
        <f t="shared" ca="1" si="32"/>
        <v>11.100000000000021</v>
      </c>
      <c r="V215" s="54">
        <f t="shared" ca="1" si="32"/>
        <v>12.200000000000033</v>
      </c>
    </row>
    <row r="216" spans="1:22" x14ac:dyDescent="0.25">
      <c r="A216" s="1"/>
      <c r="B216" s="1"/>
      <c r="C216" s="1"/>
      <c r="D216" s="1"/>
      <c r="E216" s="1"/>
      <c r="F216" s="1"/>
      <c r="G216" s="1"/>
      <c r="H216" s="24" t="s">
        <v>27</v>
      </c>
      <c r="I216" s="49">
        <f t="shared" ca="1" si="32"/>
        <v>6.7000000000000171</v>
      </c>
      <c r="J216" s="50">
        <f t="shared" ca="1" si="32"/>
        <v>8.7000000000000188</v>
      </c>
      <c r="K216" s="50">
        <f t="shared" ca="1" si="32"/>
        <v>7.2000000000000064</v>
      </c>
      <c r="L216" s="50">
        <f t="shared" ca="1" si="32"/>
        <v>8.2000000000000295</v>
      </c>
      <c r="M216" s="50">
        <f t="shared" ca="1" si="32"/>
        <v>10.199999999999987</v>
      </c>
      <c r="N216" s="50">
        <f t="shared" ca="1" si="32"/>
        <v>10.899999999999999</v>
      </c>
      <c r="O216" s="50">
        <f t="shared" ca="1" si="32"/>
        <v>10.899999999999999</v>
      </c>
      <c r="P216" s="50">
        <f t="shared" ca="1" si="32"/>
        <v>10.000000000000009</v>
      </c>
      <c r="Q216" s="50">
        <f t="shared" ca="1" si="32"/>
        <v>8.7999999999999634</v>
      </c>
      <c r="R216" s="50">
        <f t="shared" ca="1" si="32"/>
        <v>-0.19999999999997797</v>
      </c>
      <c r="S216" s="50">
        <f t="shared" ca="1" si="32"/>
        <v>0.70000000000001172</v>
      </c>
      <c r="T216" s="50">
        <f t="shared" ca="1" si="32"/>
        <v>1.5000000000000124</v>
      </c>
      <c r="U216" s="50">
        <f t="shared" ca="1" si="32"/>
        <v>1.1000000000000121</v>
      </c>
      <c r="V216" s="54">
        <f t="shared" ca="1" si="32"/>
        <v>1.5000000000000124</v>
      </c>
    </row>
    <row r="217" spans="1:22" x14ac:dyDescent="0.25">
      <c r="A217" s="1"/>
      <c r="B217" s="1"/>
      <c r="C217" s="1"/>
      <c r="D217" s="1"/>
      <c r="E217" s="1"/>
      <c r="F217" s="1"/>
      <c r="G217" s="1"/>
      <c r="H217" s="24" t="s">
        <v>28</v>
      </c>
      <c r="I217" s="49">
        <f t="shared" ca="1" si="32"/>
        <v>8.6000000000000298</v>
      </c>
      <c r="J217" s="50">
        <f t="shared" ca="1" si="32"/>
        <v>10.600000000000032</v>
      </c>
      <c r="K217" s="50">
        <f t="shared" ca="1" si="32"/>
        <v>8.7000000000000188</v>
      </c>
      <c r="L217" s="50">
        <f t="shared" ca="1" si="32"/>
        <v>9.9000000000000199</v>
      </c>
      <c r="M217" s="50">
        <f t="shared" ca="1" si="32"/>
        <v>11.7</v>
      </c>
      <c r="N217" s="50">
        <f t="shared" ca="1" si="32"/>
        <v>12.600000000000033</v>
      </c>
      <c r="O217" s="50">
        <f t="shared" ca="1" si="32"/>
        <v>12.800000000000011</v>
      </c>
      <c r="P217" s="50">
        <f t="shared" ca="1" si="32"/>
        <v>11.899999999999977</v>
      </c>
      <c r="Q217" s="50">
        <f t="shared" ca="1" si="32"/>
        <v>11.099999999999977</v>
      </c>
      <c r="R217" s="50">
        <f t="shared" ca="1" si="32"/>
        <v>1.9000000000000128</v>
      </c>
      <c r="S217" s="50">
        <f t="shared" ca="1" si="32"/>
        <v>3.8000000000000256</v>
      </c>
      <c r="T217" s="50">
        <f t="shared" ca="1" si="32"/>
        <v>4.7000000000000153</v>
      </c>
      <c r="U217" s="50">
        <f t="shared" ca="1" si="32"/>
        <v>3.6000000000000032</v>
      </c>
      <c r="V217" s="54">
        <f t="shared" ca="1" si="32"/>
        <v>5.9000000000000163</v>
      </c>
    </row>
    <row r="218" spans="1:22" x14ac:dyDescent="0.25">
      <c r="A218" s="1"/>
      <c r="B218" s="1"/>
      <c r="C218" s="1"/>
      <c r="D218" s="1"/>
      <c r="E218" s="1"/>
      <c r="F218" s="1"/>
      <c r="G218" s="1"/>
      <c r="H218" s="24" t="s">
        <v>29</v>
      </c>
      <c r="I218" s="49">
        <f t="shared" ca="1" si="32"/>
        <v>8.5000000000000409</v>
      </c>
      <c r="J218" s="50">
        <f t="shared" ca="1" si="32"/>
        <v>10.200000000000031</v>
      </c>
      <c r="K218" s="50">
        <f t="shared" ca="1" si="32"/>
        <v>8.1999999999999851</v>
      </c>
      <c r="L218" s="50">
        <f t="shared" ca="1" si="32"/>
        <v>9.6000000000000085</v>
      </c>
      <c r="M218" s="50">
        <f t="shared" ca="1" si="32"/>
        <v>11.499999999999977</v>
      </c>
      <c r="N218" s="50">
        <f t="shared" ca="1" si="32"/>
        <v>12.5</v>
      </c>
      <c r="O218" s="50">
        <f t="shared" ca="1" si="32"/>
        <v>12.700000000000022</v>
      </c>
      <c r="P218" s="50">
        <f t="shared" ca="1" si="32"/>
        <v>11.799999999999988</v>
      </c>
      <c r="Q218" s="50">
        <f t="shared" ca="1" si="32"/>
        <v>10.999999999999988</v>
      </c>
      <c r="R218" s="50">
        <f t="shared" ca="1" si="32"/>
        <v>1.8000000000000238</v>
      </c>
      <c r="S218" s="50">
        <f t="shared" ca="1" si="32"/>
        <v>3.6999999999999922</v>
      </c>
      <c r="T218" s="50">
        <f t="shared" ca="1" si="32"/>
        <v>4.5999999999999819</v>
      </c>
      <c r="U218" s="50">
        <f t="shared" ca="1" si="32"/>
        <v>3.4000000000000252</v>
      </c>
      <c r="V218" s="54">
        <f t="shared" ca="1" si="32"/>
        <v>5.8000000000000274</v>
      </c>
    </row>
    <row r="219" spans="1:22" x14ac:dyDescent="0.25">
      <c r="A219" s="1"/>
      <c r="B219" s="1"/>
      <c r="C219" s="1"/>
      <c r="D219" s="1"/>
      <c r="E219" s="1"/>
      <c r="F219" s="1"/>
      <c r="G219" s="1"/>
      <c r="H219" s="24" t="s">
        <v>30</v>
      </c>
      <c r="I219" s="49">
        <f t="shared" ca="1" si="32"/>
        <v>7.1000000000000174</v>
      </c>
      <c r="J219" s="50">
        <f t="shared" ca="1" si="32"/>
        <v>9.0000000000000302</v>
      </c>
      <c r="K219" s="50">
        <f t="shared" ca="1" si="32"/>
        <v>7.6999999999999957</v>
      </c>
      <c r="L219" s="50">
        <f t="shared" ca="1" si="32"/>
        <v>8.9000000000000412</v>
      </c>
      <c r="M219" s="50">
        <f t="shared" ca="1" si="32"/>
        <v>10.899999999999999</v>
      </c>
      <c r="N219" s="50">
        <f t="shared" ca="1" si="32"/>
        <v>11.500000000000021</v>
      </c>
      <c r="O219" s="50">
        <f t="shared" ca="1" si="32"/>
        <v>11.60000000000001</v>
      </c>
      <c r="P219" s="50">
        <f t="shared" ca="1" si="32"/>
        <v>10.599999999999987</v>
      </c>
      <c r="Q219" s="50">
        <f t="shared" ca="1" si="32"/>
        <v>9.4999999999999751</v>
      </c>
      <c r="R219" s="50">
        <f t="shared" ca="1" si="32"/>
        <v>0.50000000000003375</v>
      </c>
      <c r="S219" s="50">
        <f t="shared" ca="1" si="32"/>
        <v>1.3000000000000345</v>
      </c>
      <c r="T219" s="50">
        <f t="shared" ca="1" si="32"/>
        <v>2.2000000000000242</v>
      </c>
      <c r="U219" s="50">
        <f t="shared" ca="1" si="32"/>
        <v>2.1000000000000352</v>
      </c>
      <c r="V219" s="54">
        <f t="shared" ca="1" si="32"/>
        <v>2.5000000000000355</v>
      </c>
    </row>
    <row r="220" spans="1:22" x14ac:dyDescent="0.25">
      <c r="A220" s="1"/>
      <c r="B220" s="1"/>
      <c r="C220" s="1"/>
      <c r="D220" s="1"/>
      <c r="E220" s="1"/>
      <c r="F220" s="1"/>
      <c r="G220" s="1"/>
      <c r="H220" s="24" t="s">
        <v>31</v>
      </c>
      <c r="I220" s="49">
        <f t="shared" ca="1" si="32"/>
        <v>8.6000000000000298</v>
      </c>
      <c r="J220" s="50">
        <f t="shared" ca="1" si="32"/>
        <v>10.499999999999998</v>
      </c>
      <c r="K220" s="50">
        <f t="shared" ca="1" si="32"/>
        <v>8.9999999999999858</v>
      </c>
      <c r="L220" s="50">
        <f t="shared" ca="1" si="32"/>
        <v>10.200000000000031</v>
      </c>
      <c r="M220" s="50">
        <f t="shared" ca="1" si="32"/>
        <v>11.499999999999977</v>
      </c>
      <c r="N220" s="50">
        <f t="shared" ca="1" si="32"/>
        <v>11.800000000000033</v>
      </c>
      <c r="O220" s="50">
        <f t="shared" ca="1" si="32"/>
        <v>12.200000000000033</v>
      </c>
      <c r="P220" s="50">
        <f t="shared" ca="1" si="32"/>
        <v>11.399999999999988</v>
      </c>
      <c r="Q220" s="50">
        <f t="shared" ca="1" si="32"/>
        <v>11.099999999999977</v>
      </c>
      <c r="R220" s="50">
        <f t="shared" ca="1" si="32"/>
        <v>1.9000000000000128</v>
      </c>
      <c r="S220" s="50">
        <f t="shared" ca="1" si="32"/>
        <v>4.4999999999999929</v>
      </c>
      <c r="T220" s="50">
        <f t="shared" ca="1" si="32"/>
        <v>5.699999999999994</v>
      </c>
      <c r="U220" s="50">
        <f t="shared" ca="1" si="32"/>
        <v>5.8000000000000274</v>
      </c>
      <c r="V220" s="54">
        <f t="shared" ca="1" si="32"/>
        <v>7.4000000000000288</v>
      </c>
    </row>
    <row r="221" spans="1:22" x14ac:dyDescent="0.25">
      <c r="A221" s="1"/>
      <c r="B221" s="1"/>
      <c r="C221" s="1"/>
      <c r="D221" s="1"/>
      <c r="E221" s="1"/>
      <c r="F221" s="1"/>
      <c r="G221" s="1"/>
      <c r="H221" s="24" t="s">
        <v>32</v>
      </c>
      <c r="I221" s="49">
        <f t="shared" ca="1" si="32"/>
        <v>14.700000000000024</v>
      </c>
      <c r="J221" s="50">
        <f t="shared" ca="1" si="32"/>
        <v>18.700000000000028</v>
      </c>
      <c r="K221" s="50">
        <f t="shared" ca="1" si="32"/>
        <v>17.700000000000003</v>
      </c>
      <c r="L221" s="50">
        <f t="shared" ca="1" si="32"/>
        <v>19.400000000000041</v>
      </c>
      <c r="M221" s="50">
        <f t="shared" ca="1" si="32"/>
        <v>22.599999999999998</v>
      </c>
      <c r="N221" s="50">
        <f t="shared" ca="1" si="32"/>
        <v>24.100000000000009</v>
      </c>
      <c r="O221" s="50">
        <f t="shared" ca="1" si="32"/>
        <v>25.900000000000034</v>
      </c>
      <c r="P221" s="50">
        <f t="shared" ca="1" si="32"/>
        <v>27</v>
      </c>
      <c r="Q221" s="50">
        <f t="shared" ca="1" si="32"/>
        <v>26.399999999999977</v>
      </c>
      <c r="R221" s="50">
        <f t="shared" ca="1" si="32"/>
        <v>17.500000000000028</v>
      </c>
      <c r="S221" s="50">
        <f t="shared" ca="1" si="32"/>
        <v>19.600000000000016</v>
      </c>
      <c r="T221" s="50">
        <f t="shared" ca="1" si="32"/>
        <v>20.699999999999985</v>
      </c>
      <c r="U221" s="50">
        <f t="shared" ca="1" si="32"/>
        <v>20.000000000000018</v>
      </c>
      <c r="V221" s="54">
        <f t="shared" ca="1" si="32"/>
        <v>21.80000000000004</v>
      </c>
    </row>
    <row r="222" spans="1:22" x14ac:dyDescent="0.25">
      <c r="A222" s="1"/>
      <c r="B222" s="1"/>
      <c r="C222" s="1"/>
      <c r="D222" s="1"/>
      <c r="E222" s="1"/>
      <c r="F222" s="1"/>
      <c r="G222" s="1"/>
      <c r="H222" s="24" t="s">
        <v>33</v>
      </c>
      <c r="I222" s="49">
        <f t="shared" ca="1" si="32"/>
        <v>9.1000000000000192</v>
      </c>
      <c r="J222" s="50">
        <f t="shared" ca="1" si="32"/>
        <v>11.60000000000001</v>
      </c>
      <c r="K222" s="50">
        <f t="shared" ca="1" si="32"/>
        <v>9.2000000000000082</v>
      </c>
      <c r="L222" s="50">
        <f t="shared" ca="1" si="32"/>
        <v>10.400000000000009</v>
      </c>
      <c r="M222" s="50">
        <f t="shared" ca="1" si="32"/>
        <v>11.7</v>
      </c>
      <c r="N222" s="50">
        <f t="shared" ca="1" si="32"/>
        <v>12.1</v>
      </c>
      <c r="O222" s="50">
        <f t="shared" ca="1" si="32"/>
        <v>12.800000000000011</v>
      </c>
      <c r="P222" s="50">
        <f t="shared" ca="1" si="32"/>
        <v>11.599999999999966</v>
      </c>
      <c r="Q222" s="50">
        <f t="shared" ca="1" si="32"/>
        <v>10.799999999999965</v>
      </c>
      <c r="R222" s="50">
        <f t="shared" ca="1" si="32"/>
        <v>1.7000000000000348</v>
      </c>
      <c r="S222" s="50">
        <f t="shared" ca="1" si="32"/>
        <v>4.3000000000000149</v>
      </c>
      <c r="T222" s="50">
        <f t="shared" ca="1" si="32"/>
        <v>5.600000000000005</v>
      </c>
      <c r="U222" s="50">
        <f t="shared" ca="1" si="32"/>
        <v>5.1000000000000156</v>
      </c>
      <c r="V222" s="54">
        <f t="shared" ca="1" si="32"/>
        <v>6.9000000000000394</v>
      </c>
    </row>
    <row r="223" spans="1:22" x14ac:dyDescent="0.25">
      <c r="A223" s="1"/>
      <c r="B223" s="1"/>
      <c r="C223" s="1"/>
      <c r="D223" s="1"/>
      <c r="E223" s="1"/>
      <c r="F223" s="1"/>
      <c r="G223" s="1"/>
      <c r="H223" s="24" t="s">
        <v>34</v>
      </c>
      <c r="I223" s="49">
        <f t="shared" ca="1" si="32"/>
        <v>10.30000000000002</v>
      </c>
      <c r="J223" s="49">
        <f t="shared" ca="1" si="32"/>
        <v>12.000000000000011</v>
      </c>
      <c r="K223" s="49">
        <f t="shared" ca="1" si="32"/>
        <v>10.499999999999998</v>
      </c>
      <c r="L223" s="49">
        <f t="shared" ca="1" si="32"/>
        <v>11.500000000000021</v>
      </c>
      <c r="M223" s="49">
        <f t="shared" ca="1" si="32"/>
        <v>13.39999999999999</v>
      </c>
      <c r="N223" s="49">
        <f t="shared" ca="1" si="32"/>
        <v>14.800000000000013</v>
      </c>
      <c r="O223" s="49">
        <f t="shared" ca="1" si="32"/>
        <v>14.800000000000013</v>
      </c>
      <c r="P223" s="49">
        <f t="shared" ca="1" si="32"/>
        <v>14.100000000000001</v>
      </c>
      <c r="Q223" s="50">
        <f t="shared" ca="1" si="32"/>
        <v>13.199999999999967</v>
      </c>
      <c r="R223" s="50">
        <f t="shared" ca="1" si="32"/>
        <v>3.6999999999999922</v>
      </c>
      <c r="S223" s="50">
        <f t="shared" ca="1" si="32"/>
        <v>5.500000000000016</v>
      </c>
      <c r="T223" s="50">
        <f t="shared" ca="1" si="32"/>
        <v>5.699999999999994</v>
      </c>
      <c r="U223" s="50">
        <f t="shared" ca="1" si="32"/>
        <v>4.3000000000000149</v>
      </c>
      <c r="V223" s="54">
        <f t="shared" ca="1" si="32"/>
        <v>6.2000000000000277</v>
      </c>
    </row>
    <row r="224" spans="1:22" x14ac:dyDescent="0.25">
      <c r="A224" s="1"/>
      <c r="B224" s="1"/>
      <c r="C224" s="1"/>
      <c r="D224" s="1"/>
      <c r="E224" s="1"/>
      <c r="F224" s="1"/>
      <c r="G224" s="1"/>
      <c r="H224" s="24" t="s">
        <v>35</v>
      </c>
      <c r="I224" s="49">
        <f t="shared" ca="1" si="32"/>
        <v>9.2999999999999972</v>
      </c>
      <c r="J224" s="49">
        <f t="shared" ca="1" si="32"/>
        <v>11.100000000000021</v>
      </c>
      <c r="K224" s="49">
        <f t="shared" ca="1" si="32"/>
        <v>9.2000000000000082</v>
      </c>
      <c r="L224" s="49">
        <f t="shared" ca="1" si="32"/>
        <v>10.400000000000009</v>
      </c>
      <c r="M224" s="49">
        <f t="shared" ca="1" si="32"/>
        <v>11.7</v>
      </c>
      <c r="N224" s="49">
        <f t="shared" ca="1" si="32"/>
        <v>12.5</v>
      </c>
      <c r="O224" s="49">
        <f t="shared" ca="1" si="32"/>
        <v>12.600000000000033</v>
      </c>
      <c r="P224" s="49">
        <f t="shared" ca="1" si="32"/>
        <v>12.1</v>
      </c>
      <c r="Q224" s="50">
        <f t="shared" ca="1" si="32"/>
        <v>11.099999999999977</v>
      </c>
      <c r="R224" s="50">
        <f t="shared" ca="1" si="32"/>
        <v>1.9000000000000128</v>
      </c>
      <c r="S224" s="50">
        <f t="shared" ca="1" si="32"/>
        <v>3.6000000000000032</v>
      </c>
      <c r="T224" s="50">
        <f t="shared" ca="1" si="32"/>
        <v>3.6999999999999922</v>
      </c>
      <c r="U224" s="50">
        <f t="shared" ca="1" si="32"/>
        <v>3.3000000000000362</v>
      </c>
      <c r="V224" s="54">
        <f t="shared" ca="1" si="32"/>
        <v>3.9000000000000146</v>
      </c>
    </row>
    <row r="225" spans="1:22" x14ac:dyDescent="0.25">
      <c r="A225" s="1"/>
      <c r="B225" s="1"/>
      <c r="C225" s="1"/>
      <c r="D225" s="1"/>
      <c r="E225" s="1"/>
      <c r="F225" s="1"/>
      <c r="G225" s="1"/>
      <c r="H225" s="24" t="s">
        <v>66</v>
      </c>
      <c r="I225" s="49">
        <f t="shared" ca="1" si="32"/>
        <v>8.6000000000000298</v>
      </c>
      <c r="J225" s="49">
        <f t="shared" ca="1" si="32"/>
        <v>10.600000000000032</v>
      </c>
      <c r="K225" s="49">
        <f t="shared" ca="1" si="32"/>
        <v>8.7000000000000188</v>
      </c>
      <c r="L225" s="49">
        <f t="shared" ca="1" si="32"/>
        <v>9.9000000000000199</v>
      </c>
      <c r="M225" s="49">
        <f t="shared" ca="1" si="32"/>
        <v>11.499999999999977</v>
      </c>
      <c r="N225" s="49">
        <f t="shared" ca="1" si="32"/>
        <v>12.600000000000033</v>
      </c>
      <c r="O225" s="49">
        <f t="shared" ca="1" si="32"/>
        <v>12.800000000000011</v>
      </c>
      <c r="P225" s="49">
        <f t="shared" ca="1" si="32"/>
        <v>12.1</v>
      </c>
      <c r="Q225" s="50">
        <f t="shared" ca="1" si="32"/>
        <v>11.299999999999999</v>
      </c>
      <c r="R225" s="50">
        <f t="shared" ca="1" si="32"/>
        <v>2.0000000000000018</v>
      </c>
      <c r="S225" s="50">
        <f t="shared" ca="1" si="32"/>
        <v>4.0000000000000036</v>
      </c>
      <c r="T225" s="50">
        <f t="shared" ca="1" si="32"/>
        <v>4.7000000000000153</v>
      </c>
      <c r="U225" s="50">
        <f t="shared" ca="1" si="32"/>
        <v>3.6000000000000032</v>
      </c>
      <c r="V225" s="54">
        <f t="shared" ca="1" si="32"/>
        <v>5.9000000000000163</v>
      </c>
    </row>
    <row r="226" spans="1:22" x14ac:dyDescent="0.25">
      <c r="A226" s="1"/>
      <c r="B226" s="1"/>
      <c r="C226" s="1"/>
      <c r="D226" s="1"/>
      <c r="E226" s="1"/>
      <c r="F226" s="1"/>
      <c r="G226" s="1"/>
      <c r="H226" s="24" t="s">
        <v>81</v>
      </c>
      <c r="I226" s="49">
        <f t="shared" ca="1" si="32"/>
        <v>13.400000000000034</v>
      </c>
      <c r="J226" s="49">
        <f t="shared" ca="1" si="32"/>
        <v>15.500000000000025</v>
      </c>
      <c r="K226" s="49">
        <f t="shared" ca="1" si="32"/>
        <v>13.79999999999999</v>
      </c>
      <c r="L226" s="49">
        <f t="shared" ca="1" si="32"/>
        <v>15.200000000000014</v>
      </c>
      <c r="M226" s="49">
        <f t="shared" ca="1" si="32"/>
        <v>16.999999999999993</v>
      </c>
      <c r="N226" s="49">
        <f t="shared" ca="1" si="32"/>
        <v>18.300000000000026</v>
      </c>
      <c r="O226" s="49">
        <f t="shared" ca="1" si="32"/>
        <v>18.300000000000026</v>
      </c>
      <c r="P226" s="49">
        <f t="shared" ca="1" si="32"/>
        <v>17.300000000000004</v>
      </c>
      <c r="Q226" s="50">
        <f t="shared" ca="1" si="32"/>
        <v>16.299999999999983</v>
      </c>
      <c r="R226" s="50">
        <f t="shared" ca="1" si="32"/>
        <v>6.899999999999995</v>
      </c>
      <c r="S226" s="50">
        <f t="shared" ca="1" si="32"/>
        <v>8.8000000000000078</v>
      </c>
      <c r="T226" s="50">
        <f t="shared" ca="1" si="32"/>
        <v>9.3999999999999861</v>
      </c>
      <c r="U226" s="50">
        <f t="shared" ca="1" si="32"/>
        <v>9.2999999999999972</v>
      </c>
      <c r="V226" s="54">
        <f t="shared" ca="1" si="32"/>
        <v>10.899999999999999</v>
      </c>
    </row>
    <row r="227" spans="1:22" x14ac:dyDescent="0.25">
      <c r="A227" s="1"/>
      <c r="B227" s="1"/>
      <c r="C227" s="1"/>
      <c r="D227" s="1"/>
      <c r="E227" s="1"/>
      <c r="F227" s="1"/>
      <c r="G227" s="1"/>
      <c r="H227" s="24" t="s">
        <v>37</v>
      </c>
      <c r="I227" s="49">
        <f t="shared" ca="1" si="32"/>
        <v>15.200000000000014</v>
      </c>
      <c r="J227" s="49">
        <f t="shared" ca="1" si="32"/>
        <v>23.70000000000001</v>
      </c>
      <c r="K227" s="49">
        <f t="shared" ca="1" si="32"/>
        <v>23.099999999999987</v>
      </c>
      <c r="L227" s="49">
        <f t="shared" ca="1" si="32"/>
        <v>27.100000000000037</v>
      </c>
      <c r="M227" s="49">
        <f t="shared" ca="1" si="32"/>
        <v>34.899999999999977</v>
      </c>
      <c r="N227" s="49">
        <f t="shared" ca="1" si="32"/>
        <v>36.90000000000002</v>
      </c>
      <c r="O227" s="49">
        <f t="shared" ca="1" si="32"/>
        <v>39.000000000000014</v>
      </c>
      <c r="P227" s="49">
        <f t="shared" ca="1" si="32"/>
        <v>37.9</v>
      </c>
      <c r="Q227" s="50">
        <f t="shared" ca="1" si="32"/>
        <v>39.39999999999997</v>
      </c>
      <c r="R227" s="50">
        <f t="shared" ca="1" si="32"/>
        <v>30.299999999999994</v>
      </c>
      <c r="S227" s="50">
        <f t="shared" ca="1" si="32"/>
        <v>35.400000000000006</v>
      </c>
      <c r="T227" s="50">
        <f t="shared" ca="1" si="32"/>
        <v>34.600000000000009</v>
      </c>
      <c r="U227" s="50">
        <f t="shared" ca="1" si="32"/>
        <v>39.1</v>
      </c>
      <c r="V227" s="54">
        <f t="shared" ca="1" si="32"/>
        <v>42.300000000000004</v>
      </c>
    </row>
    <row r="228" spans="1:22" x14ac:dyDescent="0.25">
      <c r="A228" s="1"/>
      <c r="B228" s="1"/>
      <c r="C228" s="1"/>
      <c r="D228" s="1"/>
      <c r="E228" s="1"/>
      <c r="F228" s="1"/>
      <c r="G228" s="1"/>
      <c r="H228" s="24" t="s">
        <v>68</v>
      </c>
      <c r="I228" s="49">
        <f t="shared" ref="I228:V243" ca="1" si="33">(INDEX($H$7:$V$64, MATCH($H228, $H$7:$H$64, 0), I$6)-I$194)*100</f>
        <v>15.400000000000036</v>
      </c>
      <c r="J228" s="49">
        <f t="shared" ca="1" si="33"/>
        <v>21.600000000000019</v>
      </c>
      <c r="K228" s="49">
        <f t="shared" ca="1" si="33"/>
        <v>20.999999999999996</v>
      </c>
      <c r="L228" s="49">
        <f t="shared" ca="1" si="33"/>
        <v>23.10000000000003</v>
      </c>
      <c r="M228" s="49">
        <f t="shared" ca="1" si="33"/>
        <v>28.499999999999972</v>
      </c>
      <c r="N228" s="49">
        <f t="shared" ca="1" si="33"/>
        <v>29.700000000000017</v>
      </c>
      <c r="O228" s="49">
        <f t="shared" ca="1" si="33"/>
        <v>30.600000000000005</v>
      </c>
      <c r="P228" s="49">
        <f t="shared" ca="1" si="33"/>
        <v>30.699999999999996</v>
      </c>
      <c r="Q228" s="50">
        <f t="shared" ca="1" si="33"/>
        <v>30.399999999999984</v>
      </c>
      <c r="R228" s="50">
        <f t="shared" ca="1" si="33"/>
        <v>21.4</v>
      </c>
      <c r="S228" s="50">
        <f t="shared" ca="1" si="33"/>
        <v>23.4</v>
      </c>
      <c r="T228" s="50">
        <f t="shared" ca="1" si="33"/>
        <v>25.8</v>
      </c>
      <c r="U228" s="50">
        <f t="shared" ca="1" si="33"/>
        <v>26.900000000000013</v>
      </c>
      <c r="V228" s="54">
        <f t="shared" ca="1" si="33"/>
        <v>33.200000000000031</v>
      </c>
    </row>
    <row r="229" spans="1:22" x14ac:dyDescent="0.25">
      <c r="A229" s="1"/>
      <c r="B229" s="1"/>
      <c r="C229" s="1"/>
      <c r="D229" s="1"/>
      <c r="E229" s="1"/>
      <c r="F229" s="1"/>
      <c r="G229" s="1"/>
      <c r="H229" s="24" t="s">
        <v>38</v>
      </c>
      <c r="I229" s="49">
        <f t="shared" ca="1" si="33"/>
        <v>12.9</v>
      </c>
      <c r="J229" s="49">
        <f t="shared" ca="1" si="33"/>
        <v>21.4</v>
      </c>
      <c r="K229" s="49">
        <f t="shared" ca="1" si="33"/>
        <v>20.800000000000018</v>
      </c>
      <c r="L229" s="49">
        <f t="shared" ca="1" si="33"/>
        <v>24.800000000000022</v>
      </c>
      <c r="M229" s="49">
        <f t="shared" ca="1" si="33"/>
        <v>30.600000000000005</v>
      </c>
      <c r="N229" s="49">
        <f t="shared" ca="1" si="33"/>
        <v>32.600000000000009</v>
      </c>
      <c r="O229" s="49">
        <f t="shared" ca="1" si="33"/>
        <v>32.700000000000038</v>
      </c>
      <c r="P229" s="49">
        <f t="shared" ca="1" si="33"/>
        <v>31.599999999999984</v>
      </c>
      <c r="Q229" s="50">
        <f t="shared" ca="1" si="33"/>
        <v>32.099999999999973</v>
      </c>
      <c r="R229" s="50">
        <f t="shared" ca="1" si="33"/>
        <v>23</v>
      </c>
      <c r="S229" s="50">
        <f t="shared" ca="1" si="33"/>
        <v>26.100000000000012</v>
      </c>
      <c r="T229" s="50">
        <f t="shared" ca="1" si="33"/>
        <v>25.300000000000011</v>
      </c>
      <c r="U229" s="50">
        <f t="shared" ca="1" si="33"/>
        <v>29.800000000000004</v>
      </c>
      <c r="V229" s="54">
        <f t="shared" ca="1" si="33"/>
        <v>33.000000000000007</v>
      </c>
    </row>
    <row r="230" spans="1:22" x14ac:dyDescent="0.25">
      <c r="A230" s="1"/>
      <c r="B230" s="1"/>
      <c r="C230" s="1"/>
      <c r="D230" s="1"/>
      <c r="E230" s="1"/>
      <c r="F230" s="1"/>
      <c r="G230" s="1"/>
      <c r="H230" s="24" t="s">
        <v>39</v>
      </c>
      <c r="I230" s="49">
        <f t="shared" ca="1" si="33"/>
        <v>16.500000000000004</v>
      </c>
      <c r="J230" s="49">
        <f t="shared" ca="1" si="33"/>
        <v>22.700000000000031</v>
      </c>
      <c r="K230" s="49">
        <f t="shared" ca="1" si="33"/>
        <v>22.299999999999986</v>
      </c>
      <c r="L230" s="49">
        <f t="shared" ca="1" si="33"/>
        <v>24.2</v>
      </c>
      <c r="M230" s="49">
        <f t="shared" ca="1" si="33"/>
        <v>29.899999999999991</v>
      </c>
      <c r="N230" s="49">
        <f t="shared" ca="1" si="33"/>
        <v>31.500000000000039</v>
      </c>
      <c r="O230" s="49">
        <f t="shared" ca="1" si="33"/>
        <v>32.100000000000016</v>
      </c>
      <c r="P230" s="49">
        <f t="shared" ca="1" si="33"/>
        <v>31.899999999999995</v>
      </c>
      <c r="Q230" s="50">
        <f t="shared" ca="1" si="33"/>
        <v>31.599999999999984</v>
      </c>
      <c r="R230" s="50">
        <f t="shared" ca="1" si="33"/>
        <v>23.900000000000034</v>
      </c>
      <c r="S230" s="50">
        <f t="shared" ca="1" si="33"/>
        <v>26.400000000000023</v>
      </c>
      <c r="T230" s="50">
        <f t="shared" ca="1" si="33"/>
        <v>28.900000000000013</v>
      </c>
      <c r="U230" s="50">
        <f t="shared" ca="1" si="33"/>
        <v>31.700000000000017</v>
      </c>
      <c r="V230" s="54">
        <f t="shared" ca="1" si="33"/>
        <v>36.90000000000002</v>
      </c>
    </row>
    <row r="231" spans="1:22" x14ac:dyDescent="0.25">
      <c r="A231" s="1"/>
      <c r="B231" s="1"/>
      <c r="C231" s="1"/>
      <c r="D231" s="1"/>
      <c r="E231" s="1"/>
      <c r="F231" s="1"/>
      <c r="G231" s="1"/>
      <c r="H231" s="24" t="s">
        <v>40</v>
      </c>
      <c r="I231" s="49">
        <f t="shared" ca="1" si="33"/>
        <v>17.500000000000028</v>
      </c>
      <c r="J231" s="49">
        <f t="shared" ca="1" si="33"/>
        <v>23.500000000000032</v>
      </c>
      <c r="K231" s="49">
        <f t="shared" ca="1" si="33"/>
        <v>23.300000000000011</v>
      </c>
      <c r="L231" s="49">
        <f t="shared" ca="1" si="33"/>
        <v>25.4</v>
      </c>
      <c r="M231" s="49">
        <f t="shared" ca="1" si="33"/>
        <v>30.799999999999983</v>
      </c>
      <c r="N231" s="49">
        <f t="shared" ca="1" si="33"/>
        <v>32.200000000000003</v>
      </c>
      <c r="O231" s="49">
        <f t="shared" ca="1" si="33"/>
        <v>33.100000000000037</v>
      </c>
      <c r="P231" s="49">
        <f t="shared" ca="1" si="33"/>
        <v>32.899999999999977</v>
      </c>
      <c r="Q231" s="50">
        <f t="shared" ca="1" si="33"/>
        <v>32.799999999999983</v>
      </c>
      <c r="R231" s="50">
        <f t="shared" ca="1" si="33"/>
        <v>23.900000000000034</v>
      </c>
      <c r="S231" s="50">
        <f t="shared" ca="1" si="33"/>
        <v>26.000000000000021</v>
      </c>
      <c r="T231" s="50">
        <f t="shared" ca="1" si="33"/>
        <v>28.29999999999999</v>
      </c>
      <c r="U231" s="50">
        <f t="shared" ca="1" si="33"/>
        <v>30.699999999999996</v>
      </c>
      <c r="V231" s="54">
        <f t="shared" ca="1" si="33"/>
        <v>35.700000000000017</v>
      </c>
    </row>
    <row r="232" spans="1:22" x14ac:dyDescent="0.25">
      <c r="A232" s="1"/>
      <c r="B232" s="1"/>
      <c r="C232" s="1"/>
      <c r="D232" s="1"/>
      <c r="E232" s="1"/>
      <c r="F232" s="1"/>
      <c r="G232" s="1"/>
      <c r="H232" s="24" t="s">
        <v>41</v>
      </c>
      <c r="I232" s="49">
        <f t="shared" ca="1" si="33"/>
        <v>22.000000000000021</v>
      </c>
      <c r="J232" s="49">
        <f t="shared" ca="1" si="33"/>
        <v>28.700000000000038</v>
      </c>
      <c r="K232" s="49">
        <f t="shared" ca="1" si="33"/>
        <v>29.600000000000026</v>
      </c>
      <c r="L232" s="49">
        <f t="shared" ca="1" si="33"/>
        <v>31.500000000000039</v>
      </c>
      <c r="M232" s="49">
        <f t="shared" ca="1" si="33"/>
        <v>36.899999999999977</v>
      </c>
      <c r="N232" s="49">
        <f t="shared" ca="1" si="33"/>
        <v>39.200000000000031</v>
      </c>
      <c r="O232" s="49">
        <f t="shared" ca="1" si="33"/>
        <v>39.600000000000037</v>
      </c>
      <c r="P232" s="49">
        <f t="shared" ca="1" si="33"/>
        <v>38.899999999999977</v>
      </c>
      <c r="Q232" s="50">
        <f t="shared" ca="1" si="33"/>
        <v>37.9</v>
      </c>
      <c r="R232" s="50">
        <f t="shared" ca="1" si="33"/>
        <v>28.800000000000026</v>
      </c>
      <c r="S232" s="50">
        <f t="shared" ca="1" si="33"/>
        <v>30.600000000000005</v>
      </c>
      <c r="T232" s="50">
        <f t="shared" ca="1" si="33"/>
        <v>31.800000000000004</v>
      </c>
      <c r="U232" s="50">
        <f t="shared" ca="1" si="33"/>
        <v>33.700000000000017</v>
      </c>
      <c r="V232" s="54">
        <f t="shared" ca="1" si="33"/>
        <v>39.200000000000031</v>
      </c>
    </row>
    <row r="233" spans="1:22" x14ac:dyDescent="0.25">
      <c r="A233" s="1"/>
      <c r="B233" s="1"/>
      <c r="C233" s="1"/>
      <c r="D233" s="1"/>
      <c r="E233" s="1"/>
      <c r="F233" s="1"/>
      <c r="G233" s="1"/>
      <c r="H233" s="24" t="s">
        <v>42</v>
      </c>
      <c r="I233" s="49">
        <f t="shared" ca="1" si="33"/>
        <v>14.500000000000002</v>
      </c>
      <c r="J233" s="49">
        <f t="shared" ca="1" si="33"/>
        <v>20.999999999999996</v>
      </c>
      <c r="K233" s="49">
        <f t="shared" ca="1" si="33"/>
        <v>20.599999999999994</v>
      </c>
      <c r="L233" s="49">
        <f t="shared" ca="1" si="33"/>
        <v>22.600000000000044</v>
      </c>
      <c r="M233" s="49">
        <f t="shared" ca="1" si="33"/>
        <v>27.800000000000004</v>
      </c>
      <c r="N233" s="49">
        <f t="shared" ca="1" si="33"/>
        <v>29.200000000000024</v>
      </c>
      <c r="O233" s="49">
        <f t="shared" ca="1" si="33"/>
        <v>29.900000000000038</v>
      </c>
      <c r="P233" s="49">
        <f t="shared" ca="1" si="33"/>
        <v>29.59999999999998</v>
      </c>
      <c r="Q233" s="50">
        <f t="shared" ca="1" si="33"/>
        <v>29.299999999999969</v>
      </c>
      <c r="R233" s="50">
        <f t="shared" ca="1" si="33"/>
        <v>20.100000000000009</v>
      </c>
      <c r="S233" s="50">
        <f t="shared" ca="1" si="33"/>
        <v>22.000000000000021</v>
      </c>
      <c r="T233" s="50">
        <f t="shared" ca="1" si="33"/>
        <v>24.100000000000009</v>
      </c>
      <c r="U233" s="50">
        <f t="shared" ca="1" si="33"/>
        <v>25.4</v>
      </c>
      <c r="V233" s="54">
        <f t="shared" ca="1" si="33"/>
        <v>31.300000000000018</v>
      </c>
    </row>
    <row r="234" spans="1:22" x14ac:dyDescent="0.25">
      <c r="A234" s="1"/>
      <c r="B234" s="1"/>
      <c r="C234" s="1"/>
      <c r="D234" s="1"/>
      <c r="E234" s="1"/>
      <c r="F234" s="1"/>
      <c r="G234" s="1"/>
      <c r="H234" s="24" t="s">
        <v>43</v>
      </c>
      <c r="I234" s="49">
        <f t="shared" ca="1" si="33"/>
        <v>13.100000000000023</v>
      </c>
      <c r="J234" s="49">
        <f t="shared" ca="1" si="33"/>
        <v>19.400000000000041</v>
      </c>
      <c r="K234" s="49">
        <f t="shared" ca="1" si="33"/>
        <v>18.800000000000018</v>
      </c>
      <c r="L234" s="49">
        <f t="shared" ca="1" si="33"/>
        <v>20.700000000000031</v>
      </c>
      <c r="M234" s="49">
        <f t="shared" ca="1" si="33"/>
        <v>26.099999999999966</v>
      </c>
      <c r="N234" s="49">
        <f t="shared" ca="1" si="33"/>
        <v>27.800000000000004</v>
      </c>
      <c r="O234" s="49">
        <f t="shared" ca="1" si="33"/>
        <v>28.400000000000027</v>
      </c>
      <c r="P234" s="49">
        <f t="shared" ca="1" si="33"/>
        <v>27.899999999999991</v>
      </c>
      <c r="Q234" s="50">
        <f t="shared" ca="1" si="33"/>
        <v>27</v>
      </c>
      <c r="R234" s="50">
        <f t="shared" ca="1" si="33"/>
        <v>17.900000000000027</v>
      </c>
      <c r="S234" s="50">
        <f t="shared" ca="1" si="33"/>
        <v>20.000000000000018</v>
      </c>
      <c r="T234" s="50">
        <f t="shared" ca="1" si="33"/>
        <v>21.899999999999984</v>
      </c>
      <c r="U234" s="50">
        <f t="shared" ca="1" si="33"/>
        <v>22.199999999999996</v>
      </c>
      <c r="V234" s="54">
        <f t="shared" ca="1" si="33"/>
        <v>29.200000000000024</v>
      </c>
    </row>
    <row r="235" spans="1:22" x14ac:dyDescent="0.25">
      <c r="A235" s="1"/>
      <c r="B235" s="1"/>
      <c r="C235" s="1"/>
      <c r="D235" s="1"/>
      <c r="E235" s="1"/>
      <c r="F235" s="1"/>
      <c r="G235" s="1"/>
      <c r="H235" s="24" t="s">
        <v>67</v>
      </c>
      <c r="I235" s="49">
        <f t="shared" ca="1" si="33"/>
        <v>15.300000000000002</v>
      </c>
      <c r="J235" s="49">
        <f t="shared" ca="1" si="33"/>
        <v>21.500000000000028</v>
      </c>
      <c r="K235" s="49">
        <f t="shared" ca="1" si="33"/>
        <v>20.900000000000006</v>
      </c>
      <c r="L235" s="49">
        <f t="shared" ca="1" si="33"/>
        <v>23.400000000000041</v>
      </c>
      <c r="M235" s="49">
        <f t="shared" ca="1" si="33"/>
        <v>28.799999999999983</v>
      </c>
      <c r="N235" s="49">
        <f t="shared" ca="1" si="33"/>
        <v>30.30000000000004</v>
      </c>
      <c r="O235" s="49">
        <f t="shared" ca="1" si="33"/>
        <v>31.900000000000041</v>
      </c>
      <c r="P235" s="49">
        <f t="shared" ca="1" si="33"/>
        <v>31.599999999999984</v>
      </c>
      <c r="Q235" s="50">
        <f t="shared" ca="1" si="33"/>
        <v>31.099999999999994</v>
      </c>
      <c r="R235" s="50">
        <f t="shared" ca="1" si="33"/>
        <v>22.100000000000009</v>
      </c>
      <c r="S235" s="50">
        <f t="shared" ca="1" si="33"/>
        <v>24.300000000000033</v>
      </c>
      <c r="T235" s="50">
        <f t="shared" ca="1" si="33"/>
        <v>26.800000000000026</v>
      </c>
      <c r="U235" s="50">
        <f t="shared" ca="1" si="33"/>
        <v>27.900000000000034</v>
      </c>
      <c r="V235" s="54">
        <f t="shared" ca="1" si="33"/>
        <v>34.20000000000001</v>
      </c>
    </row>
    <row r="236" spans="1:22" x14ac:dyDescent="0.25">
      <c r="A236" s="1"/>
      <c r="B236" s="1"/>
      <c r="C236" s="1"/>
      <c r="D236" s="1"/>
      <c r="E236" s="1"/>
      <c r="F236" s="1"/>
      <c r="G236" s="1"/>
      <c r="H236" s="24" t="s">
        <v>82</v>
      </c>
      <c r="I236" s="49">
        <f t="shared" ca="1" si="33"/>
        <v>18.000000000000014</v>
      </c>
      <c r="J236" s="49">
        <f t="shared" ca="1" si="33"/>
        <v>24.2</v>
      </c>
      <c r="K236" s="49">
        <f t="shared" ca="1" si="33"/>
        <v>23.600000000000023</v>
      </c>
      <c r="L236" s="49">
        <f t="shared" ca="1" si="33"/>
        <v>25.4</v>
      </c>
      <c r="M236" s="49">
        <f t="shared" ca="1" si="33"/>
        <v>30.799999999999983</v>
      </c>
      <c r="N236" s="49">
        <f t="shared" ca="1" si="33"/>
        <v>32.700000000000038</v>
      </c>
      <c r="O236" s="49">
        <f t="shared" ca="1" si="33"/>
        <v>33.60000000000003</v>
      </c>
      <c r="P236" s="49">
        <f t="shared" ca="1" si="33"/>
        <v>33.699999999999974</v>
      </c>
      <c r="Q236" s="50">
        <f t="shared" ca="1" si="33"/>
        <v>33.9</v>
      </c>
      <c r="R236" s="50">
        <f t="shared" ca="1" si="33"/>
        <v>25.300000000000011</v>
      </c>
      <c r="S236" s="50">
        <f t="shared" ca="1" si="33"/>
        <v>27.600000000000023</v>
      </c>
      <c r="T236" s="50">
        <f t="shared" ca="1" si="33"/>
        <v>29.899999999999991</v>
      </c>
      <c r="U236" s="50">
        <f t="shared" ca="1" si="33"/>
        <v>31.899999999999995</v>
      </c>
      <c r="V236" s="54">
        <f t="shared" ca="1" si="33"/>
        <v>37.600000000000037</v>
      </c>
    </row>
    <row r="237" spans="1:22" x14ac:dyDescent="0.25">
      <c r="A237" s="1"/>
      <c r="B237" s="1"/>
      <c r="C237" s="1"/>
      <c r="D237" s="1"/>
      <c r="E237" s="1"/>
      <c r="F237" s="1"/>
      <c r="G237" s="1"/>
      <c r="H237" s="18" t="s">
        <v>44</v>
      </c>
      <c r="I237" s="49">
        <f t="shared" ca="1" si="33"/>
        <v>22.500000000000007</v>
      </c>
      <c r="J237" s="49">
        <f t="shared" ca="1" si="33"/>
        <v>28.700000000000038</v>
      </c>
      <c r="K237" s="49">
        <f t="shared" ca="1" si="33"/>
        <v>28.29999999999999</v>
      </c>
      <c r="L237" s="49">
        <f t="shared" ca="1" si="33"/>
        <v>31.200000000000028</v>
      </c>
      <c r="M237" s="49">
        <f t="shared" ca="1" si="33"/>
        <v>38.299999999999997</v>
      </c>
      <c r="N237" s="49">
        <f t="shared" ca="1" si="33"/>
        <v>41.200000000000038</v>
      </c>
      <c r="O237" s="49">
        <f t="shared" ca="1" si="33"/>
        <v>42.200000000000017</v>
      </c>
      <c r="P237" s="49">
        <f t="shared" ca="1" si="33"/>
        <v>42.7</v>
      </c>
      <c r="Q237" s="50">
        <f t="shared" ca="1" si="33"/>
        <v>42.399999999999991</v>
      </c>
      <c r="R237" s="50">
        <f t="shared" ca="1" si="33"/>
        <v>33.400000000000006</v>
      </c>
      <c r="S237" s="50">
        <f t="shared" ca="1" si="33"/>
        <v>35.800000000000011</v>
      </c>
      <c r="T237" s="50">
        <f t="shared" ca="1" si="33"/>
        <v>37.800000000000011</v>
      </c>
      <c r="U237" s="50">
        <f t="shared" ca="1" si="33"/>
        <v>37.800000000000011</v>
      </c>
      <c r="V237" s="54">
        <f t="shared" ca="1" si="33"/>
        <v>44.500000000000028</v>
      </c>
    </row>
    <row r="238" spans="1:22" x14ac:dyDescent="0.25">
      <c r="A238" s="1"/>
      <c r="B238" s="1"/>
      <c r="C238" s="1"/>
      <c r="D238" s="1"/>
      <c r="E238" s="1"/>
      <c r="F238" s="1"/>
      <c r="G238" s="1"/>
      <c r="H238" s="19" t="s">
        <v>45</v>
      </c>
      <c r="I238" s="49">
        <f t="shared" ca="1" si="33"/>
        <v>14.000000000000012</v>
      </c>
      <c r="J238" s="49">
        <f t="shared" ca="1" si="33"/>
        <v>20.200000000000038</v>
      </c>
      <c r="K238" s="49">
        <f t="shared" ca="1" si="33"/>
        <v>19.700000000000006</v>
      </c>
      <c r="L238" s="49">
        <f t="shared" ca="1" si="33"/>
        <v>21.400000000000041</v>
      </c>
      <c r="M238" s="49">
        <f t="shared" ca="1" si="33"/>
        <v>26.799999999999979</v>
      </c>
      <c r="N238" s="49">
        <f t="shared" ca="1" si="33"/>
        <v>28.100000000000016</v>
      </c>
      <c r="O238" s="49">
        <f t="shared" ca="1" si="33"/>
        <v>29.200000000000024</v>
      </c>
      <c r="P238" s="49">
        <f t="shared" ca="1" si="33"/>
        <v>28.699999999999992</v>
      </c>
      <c r="Q238" s="50">
        <f t="shared" ca="1" si="33"/>
        <v>28.200000000000003</v>
      </c>
      <c r="R238" s="50">
        <f t="shared" ca="1" si="33"/>
        <v>19.600000000000016</v>
      </c>
      <c r="S238" s="50">
        <f t="shared" ca="1" si="33"/>
        <v>22.000000000000021</v>
      </c>
      <c r="T238" s="50">
        <f t="shared" ca="1" si="33"/>
        <v>24.500000000000011</v>
      </c>
      <c r="U238" s="50">
        <f t="shared" ca="1" si="33"/>
        <v>25.70000000000001</v>
      </c>
      <c r="V238" s="54">
        <f t="shared" ca="1" si="33"/>
        <v>32.100000000000016</v>
      </c>
    </row>
    <row r="239" spans="1:22" x14ac:dyDescent="0.25">
      <c r="A239" s="1"/>
      <c r="B239" s="1"/>
      <c r="C239" s="1"/>
      <c r="D239" s="1"/>
      <c r="E239" s="1"/>
      <c r="F239" s="1"/>
      <c r="G239" s="1"/>
      <c r="H239" s="24" t="s">
        <v>46</v>
      </c>
      <c r="I239" s="55">
        <f t="shared" ca="1" si="33"/>
        <v>15.300000000000002</v>
      </c>
      <c r="J239" s="56">
        <f t="shared" ca="1" si="33"/>
        <v>21.4</v>
      </c>
      <c r="K239" s="56">
        <f t="shared" ca="1" si="33"/>
        <v>20.900000000000006</v>
      </c>
      <c r="L239" s="56">
        <f t="shared" ca="1" si="33"/>
        <v>22.700000000000031</v>
      </c>
      <c r="M239" s="56">
        <f t="shared" ca="1" si="33"/>
        <v>28.29999999999999</v>
      </c>
      <c r="N239" s="56">
        <f t="shared" ca="1" si="33"/>
        <v>29.800000000000004</v>
      </c>
      <c r="O239" s="56">
        <f t="shared" ca="1" si="33"/>
        <v>30.600000000000005</v>
      </c>
      <c r="P239" s="56">
        <f t="shared" ca="1" si="33"/>
        <v>30.099999999999973</v>
      </c>
      <c r="Q239" s="57">
        <f t="shared" ca="1" si="33"/>
        <v>30.399999999999984</v>
      </c>
      <c r="R239" s="57">
        <f t="shared" ca="1" si="33"/>
        <v>21.799999999999997</v>
      </c>
      <c r="S239" s="57">
        <f t="shared" ca="1" si="33"/>
        <v>24.300000000000033</v>
      </c>
      <c r="T239" s="57">
        <f t="shared" ca="1" si="33"/>
        <v>26.800000000000026</v>
      </c>
      <c r="U239" s="57">
        <f t="shared" ca="1" si="33"/>
        <v>27.200000000000024</v>
      </c>
      <c r="V239" s="58">
        <f t="shared" ca="1" si="33"/>
        <v>34.20000000000001</v>
      </c>
    </row>
    <row r="240" spans="1:22" x14ac:dyDescent="0.25">
      <c r="H240" s="24" t="s">
        <v>69</v>
      </c>
      <c r="I240" s="55">
        <f t="shared" ca="1" si="33"/>
        <v>14.100000000000001</v>
      </c>
      <c r="J240" s="56">
        <f t="shared" ca="1" si="33"/>
        <v>20.40000000000002</v>
      </c>
      <c r="K240" s="56">
        <f t="shared" ca="1" si="33"/>
        <v>19.900000000000027</v>
      </c>
      <c r="L240" s="56">
        <f t="shared" ca="1" si="33"/>
        <v>21.70000000000001</v>
      </c>
      <c r="M240" s="56">
        <f t="shared" ca="1" si="33"/>
        <v>27.59999999999998</v>
      </c>
      <c r="N240" s="56">
        <f t="shared" ca="1" si="33"/>
        <v>29.000000000000004</v>
      </c>
      <c r="O240" s="56">
        <f t="shared" ca="1" si="33"/>
        <v>30.100000000000016</v>
      </c>
      <c r="P240" s="56">
        <f t="shared" ca="1" si="33"/>
        <v>29.59999999999998</v>
      </c>
      <c r="Q240" s="57">
        <f t="shared" ca="1" si="33"/>
        <v>29.499999999999993</v>
      </c>
      <c r="R240" s="57">
        <f t="shared" ca="1" si="33"/>
        <v>20.900000000000006</v>
      </c>
      <c r="S240" s="57">
        <f t="shared" ca="1" si="33"/>
        <v>23.300000000000011</v>
      </c>
      <c r="T240" s="57">
        <f t="shared" ca="1" si="33"/>
        <v>25.8</v>
      </c>
      <c r="U240" s="57">
        <f t="shared" ca="1" si="33"/>
        <v>26.400000000000023</v>
      </c>
      <c r="V240" s="58">
        <f t="shared" ca="1" si="33"/>
        <v>33.200000000000031</v>
      </c>
    </row>
    <row r="241" spans="8:22" x14ac:dyDescent="0.25">
      <c r="H241" s="24" t="s">
        <v>84</v>
      </c>
      <c r="I241" s="55">
        <f t="shared" ca="1" si="33"/>
        <v>40.100000000000023</v>
      </c>
      <c r="J241" s="56">
        <f t="shared" ca="1" si="33"/>
        <v>46.099999999999987</v>
      </c>
      <c r="K241" s="56">
        <f t="shared" ca="1" si="33"/>
        <v>46.599999999999973</v>
      </c>
      <c r="L241" s="56">
        <f t="shared" ca="1" si="33"/>
        <v>51.300000000000033</v>
      </c>
      <c r="M241" s="56">
        <f t="shared" ca="1" si="33"/>
        <v>58.199999999999939</v>
      </c>
      <c r="N241" s="56">
        <f t="shared" ca="1" si="33"/>
        <v>61.30000000000004</v>
      </c>
      <c r="O241" s="56">
        <f t="shared" ca="1" si="33"/>
        <v>64.800000000000011</v>
      </c>
      <c r="P241" s="56">
        <f t="shared" ca="1" si="33"/>
        <v>66.100000000000009</v>
      </c>
      <c r="Q241" s="57">
        <f t="shared" ca="1" si="33"/>
        <v>65.499999999999986</v>
      </c>
      <c r="R241" s="57">
        <f t="shared" ca="1" si="33"/>
        <v>56.699999999999974</v>
      </c>
      <c r="S241" s="57">
        <f t="shared" ca="1" si="33"/>
        <v>59.90000000000002</v>
      </c>
      <c r="T241" s="57">
        <f t="shared" ca="1" si="33"/>
        <v>63.3</v>
      </c>
      <c r="U241" s="57">
        <f t="shared" ca="1" si="33"/>
        <v>65.100000000000023</v>
      </c>
      <c r="V241" s="58">
        <f t="shared" ca="1" si="33"/>
        <v>73.099999999999994</v>
      </c>
    </row>
    <row r="242" spans="8:22" x14ac:dyDescent="0.25">
      <c r="H242" s="24" t="s">
        <v>85</v>
      </c>
      <c r="I242" s="55">
        <f t="shared" ca="1" si="33"/>
        <v>47.599999999999994</v>
      </c>
      <c r="J242" s="56">
        <f t="shared" ca="1" si="33"/>
        <v>55.000000000000028</v>
      </c>
      <c r="K242" s="56">
        <f t="shared" ca="1" si="33"/>
        <v>56.699999999999974</v>
      </c>
      <c r="L242" s="56">
        <f t="shared" ca="1" si="33"/>
        <v>61.3</v>
      </c>
      <c r="M242" s="56">
        <f t="shared" ca="1" si="33"/>
        <v>67.799999999999955</v>
      </c>
      <c r="N242" s="56">
        <f t="shared" ca="1" si="33"/>
        <v>68.700000000000031</v>
      </c>
      <c r="O242" s="56">
        <f t="shared" ca="1" si="33"/>
        <v>69.8</v>
      </c>
      <c r="P242" s="56">
        <f t="shared" ca="1" si="33"/>
        <v>69.499999999999986</v>
      </c>
      <c r="Q242" s="57">
        <f t="shared" ca="1" si="33"/>
        <v>68.899999999999963</v>
      </c>
      <c r="R242" s="57">
        <f t="shared" ca="1" si="33"/>
        <v>60.300000000000018</v>
      </c>
      <c r="S242" s="57">
        <f t="shared" ca="1" si="33"/>
        <v>63.400000000000034</v>
      </c>
      <c r="T242" s="57">
        <f t="shared" ca="1" si="33"/>
        <v>66.600000000000037</v>
      </c>
      <c r="U242" s="57">
        <f t="shared" ca="1" si="33"/>
        <v>70.100000000000009</v>
      </c>
      <c r="V242" s="58">
        <f t="shared" ca="1" si="33"/>
        <v>76.100000000000009</v>
      </c>
    </row>
    <row r="243" spans="8:22" x14ac:dyDescent="0.25">
      <c r="H243" s="24" t="s">
        <v>86</v>
      </c>
      <c r="I243" s="55">
        <f t="shared" ca="1" si="33"/>
        <v>27.200000000000024</v>
      </c>
      <c r="J243" s="56">
        <f t="shared" ca="1" si="33"/>
        <v>34.20000000000001</v>
      </c>
      <c r="K243" s="56">
        <f t="shared" ca="1" si="33"/>
        <v>35.700000000000017</v>
      </c>
      <c r="L243" s="56">
        <f t="shared" ca="1" si="33"/>
        <v>40.600000000000016</v>
      </c>
      <c r="M243" s="56">
        <f t="shared" ca="1" si="33"/>
        <v>46.599999999999973</v>
      </c>
      <c r="N243" s="56">
        <f t="shared" ca="1" si="33"/>
        <v>48.099999999999987</v>
      </c>
      <c r="O243" s="56">
        <f t="shared" ca="1" si="33"/>
        <v>48.999999999999979</v>
      </c>
      <c r="P243" s="56">
        <f t="shared" ca="1" si="33"/>
        <v>48.899999999999942</v>
      </c>
      <c r="Q243" s="57">
        <f t="shared" ca="1" si="33"/>
        <v>50.59999999999998</v>
      </c>
      <c r="R243" s="57">
        <f t="shared" ca="1" si="33"/>
        <v>42.899999999999984</v>
      </c>
      <c r="S243" s="57">
        <f t="shared" ca="1" si="33"/>
        <v>46.400000000000041</v>
      </c>
      <c r="T243" s="57">
        <f t="shared" ca="1" si="33"/>
        <v>49.500000000000014</v>
      </c>
      <c r="U243" s="57">
        <f t="shared" ca="1" si="33"/>
        <v>53.200000000000045</v>
      </c>
      <c r="V243" s="58">
        <f t="shared" ca="1" si="33"/>
        <v>60.000000000000057</v>
      </c>
    </row>
    <row r="244" spans="8:22" x14ac:dyDescent="0.25">
      <c r="H244" s="24" t="s">
        <v>87</v>
      </c>
      <c r="I244" s="55">
        <f t="shared" ref="I244:V246" ca="1" si="34">(INDEX($H$7:$V$64, MATCH($H244, $H$7:$H$64, 0), I$6)-I$194)*100</f>
        <v>31.700000000000017</v>
      </c>
      <c r="J244" s="56">
        <f t="shared" ca="1" si="34"/>
        <v>41.400000000000013</v>
      </c>
      <c r="K244" s="56">
        <f t="shared" ca="1" si="34"/>
        <v>44.200000000000017</v>
      </c>
      <c r="L244" s="56">
        <f t="shared" ca="1" si="34"/>
        <v>48.700000000000053</v>
      </c>
      <c r="M244" s="56">
        <f t="shared" ca="1" si="34"/>
        <v>54.700000000000017</v>
      </c>
      <c r="N244" s="56">
        <f t="shared" ca="1" si="34"/>
        <v>56.500000000000043</v>
      </c>
      <c r="O244" s="56">
        <f t="shared" ca="1" si="34"/>
        <v>56.800000000000004</v>
      </c>
      <c r="P244" s="56">
        <f t="shared" ca="1" si="34"/>
        <v>56.199999999999982</v>
      </c>
      <c r="Q244" s="57">
        <f t="shared" ca="1" si="34"/>
        <v>56.800000000000004</v>
      </c>
      <c r="R244" s="57">
        <f t="shared" ca="1" si="34"/>
        <v>47.900000000000055</v>
      </c>
      <c r="S244" s="57">
        <f t="shared" ca="1" si="34"/>
        <v>52.800000000000047</v>
      </c>
      <c r="T244" s="57">
        <f t="shared" ca="1" si="34"/>
        <v>54</v>
      </c>
      <c r="U244" s="57">
        <f t="shared" ca="1" si="34"/>
        <v>60.699999999999974</v>
      </c>
      <c r="V244" s="58">
        <f t="shared" ca="1" si="34"/>
        <v>65.500000000000028</v>
      </c>
    </row>
    <row r="245" spans="8:22" x14ac:dyDescent="0.25">
      <c r="H245" s="24" t="s">
        <v>47</v>
      </c>
      <c r="I245" s="55">
        <f t="shared" ca="1" si="34"/>
        <v>27.700000000000014</v>
      </c>
      <c r="J245" s="56">
        <f t="shared" ca="1" si="34"/>
        <v>34.600000000000009</v>
      </c>
      <c r="K245" s="56">
        <f t="shared" ca="1" si="34"/>
        <v>35.999999999999986</v>
      </c>
      <c r="L245" s="56">
        <f t="shared" ca="1" si="34"/>
        <v>41.1</v>
      </c>
      <c r="M245" s="56">
        <f t="shared" ca="1" si="34"/>
        <v>47.099999999999966</v>
      </c>
      <c r="N245" s="56">
        <f t="shared" ca="1" si="34"/>
        <v>49.000000000000021</v>
      </c>
      <c r="O245" s="56">
        <f t="shared" ca="1" si="34"/>
        <v>51.2</v>
      </c>
      <c r="P245" s="56">
        <f t="shared" ca="1" si="34"/>
        <v>51.500000000000014</v>
      </c>
      <c r="Q245" s="57">
        <f t="shared" ca="1" si="34"/>
        <v>51.2</v>
      </c>
      <c r="R245" s="57">
        <f t="shared" ca="1" si="34"/>
        <v>42.300000000000047</v>
      </c>
      <c r="S245" s="57">
        <f t="shared" ca="1" si="34"/>
        <v>45.600000000000037</v>
      </c>
      <c r="T245" s="57">
        <f t="shared" ca="1" si="34"/>
        <v>49.500000000000014</v>
      </c>
      <c r="U245" s="57">
        <f t="shared" ca="1" si="34"/>
        <v>54.300000000000061</v>
      </c>
      <c r="V245" s="58">
        <f t="shared" ca="1" si="34"/>
        <v>59.90000000000002</v>
      </c>
    </row>
    <row r="246" spans="8:22" x14ac:dyDescent="0.25">
      <c r="H246" s="24" t="s">
        <v>88</v>
      </c>
      <c r="I246" s="55">
        <f t="shared" ca="1" si="34"/>
        <v>39.1</v>
      </c>
      <c r="J246" s="56">
        <f t="shared" ca="1" si="34"/>
        <v>45.300000000000026</v>
      </c>
      <c r="K246" s="56">
        <f t="shared" ca="1" si="34"/>
        <v>47.000000000000021</v>
      </c>
      <c r="L246" s="56">
        <f t="shared" ca="1" si="34"/>
        <v>51.300000000000033</v>
      </c>
      <c r="M246" s="56">
        <f t="shared" ca="1" si="34"/>
        <v>58.400000000000006</v>
      </c>
      <c r="N246" s="56">
        <f t="shared" ca="1" si="34"/>
        <v>61.09999999999998</v>
      </c>
      <c r="O246" s="56">
        <f t="shared" ca="1" si="34"/>
        <v>62.700000000000024</v>
      </c>
      <c r="P246" s="56">
        <f t="shared" ca="1" si="34"/>
        <v>62.599999999999987</v>
      </c>
      <c r="Q246" s="57">
        <f t="shared" ca="1" si="34"/>
        <v>61.79999999999999</v>
      </c>
      <c r="R246" s="57">
        <f t="shared" ca="1" si="34"/>
        <v>53.29999999999999</v>
      </c>
      <c r="S246" s="57">
        <f t="shared" ca="1" si="34"/>
        <v>56.299999999999969</v>
      </c>
      <c r="T246" s="57">
        <f t="shared" ca="1" si="34"/>
        <v>59.499999999999972</v>
      </c>
      <c r="U246" s="57">
        <f t="shared" ca="1" si="34"/>
        <v>62.299999999999976</v>
      </c>
      <c r="V246" s="58">
        <f t="shared" ca="1" si="34"/>
        <v>68.900000000000006</v>
      </c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4" name="Drop Down 2">
              <controlPr defaultSize="0" autoLine="0" autoPict="0">
                <anchor moveWithCells="1">
                  <from>
                    <xdr:col>7</xdr:col>
                    <xdr:colOff>0</xdr:colOff>
                    <xdr:row>192</xdr:row>
                    <xdr:rowOff>152400</xdr:rowOff>
                  </from>
                  <to>
                    <xdr:col>8</xdr:col>
                    <xdr:colOff>9525</xdr:colOff>
                    <xdr:row>193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5" name="Drop Down 4">
              <controlPr defaultSize="0" autoLine="0" autoPict="0">
                <anchor moveWithCells="1">
                  <from>
                    <xdr:col>6</xdr:col>
                    <xdr:colOff>19050</xdr:colOff>
                    <xdr:row>1</xdr:row>
                    <xdr:rowOff>28575</xdr:rowOff>
                  </from>
                  <to>
                    <xdr:col>6</xdr:col>
                    <xdr:colOff>704850</xdr:colOff>
                    <xdr:row>1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금리 및 스프레드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2015-05-27T06:59:56Z</dcterms:created>
  <dcterms:modified xsi:type="dcterms:W3CDTF">2024-01-09T06:56:01Z</dcterms:modified>
</cp:coreProperties>
</file>