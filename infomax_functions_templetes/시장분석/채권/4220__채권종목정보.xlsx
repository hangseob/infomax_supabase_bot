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0" windowWidth="24000" windowHeight="11655" tabRatio="965"/>
  </bookViews>
  <sheets>
    <sheet name="개별종목정보" sheetId="1" r:id="rId1"/>
    <sheet name="도움말" sheetId="4" r:id="rId2"/>
  </sheets>
  <calcPr calcId="125725"/>
</workbook>
</file>

<file path=xl/calcChain.xml><?xml version="1.0" encoding="utf-8"?>
<calcChain xmlns="http://schemas.openxmlformats.org/spreadsheetml/2006/main">
  <c r="E48" i="1"/>
  <c r="E46"/>
  <c r="E45"/>
  <c r="EV11"/>
  <c r="EV12"/>
  <c r="EV13"/>
  <c r="EV14"/>
  <c r="EV15"/>
  <c r="EV16"/>
  <c r="EV17"/>
  <c r="EV18"/>
  <c r="EV19"/>
  <c r="EV20"/>
  <c r="EV21"/>
  <c r="EV22"/>
  <c r="EV23"/>
  <c r="EV24"/>
  <c r="EV25"/>
  <c r="EV26"/>
  <c r="EV27"/>
  <c r="EV28"/>
  <c r="EV29"/>
  <c r="EV30"/>
  <c r="EV31"/>
  <c r="EV32"/>
  <c r="EV33"/>
  <c r="EV34"/>
  <c r="EV35"/>
  <c r="EV36"/>
  <c r="EV37"/>
  <c r="EV38"/>
  <c r="EV39"/>
  <c r="EV40"/>
  <c r="EV41"/>
  <c r="EV42"/>
  <c r="EV43"/>
  <c r="EV44"/>
  <c r="EV45"/>
  <c r="EV46"/>
  <c r="EV47"/>
  <c r="EV48"/>
  <c r="EV49"/>
  <c r="EV50"/>
  <c r="EV51"/>
  <c r="EV52"/>
  <c r="EV53"/>
  <c r="EV54"/>
  <c r="EV55"/>
  <c r="EV56"/>
  <c r="EV57"/>
  <c r="EV58"/>
  <c r="EV59"/>
  <c r="EV60"/>
  <c r="EV61"/>
  <c r="EV62"/>
  <c r="EV63"/>
  <c r="EV64"/>
  <c r="EV65"/>
  <c r="EV66"/>
  <c r="EV67"/>
  <c r="EV68"/>
  <c r="EV69"/>
  <c r="EV70"/>
  <c r="EV71"/>
  <c r="EV72"/>
  <c r="EV73"/>
  <c r="EV74"/>
  <c r="EV75"/>
  <c r="EV76"/>
  <c r="EV77"/>
  <c r="EV78"/>
  <c r="EV79"/>
  <c r="EV80"/>
  <c r="EV81"/>
  <c r="EV82"/>
  <c r="EV83"/>
  <c r="EV84"/>
  <c r="EV85"/>
  <c r="EV86"/>
  <c r="EV87"/>
  <c r="EV88"/>
  <c r="EV89"/>
  <c r="EV90"/>
  <c r="EV91"/>
  <c r="EV92"/>
  <c r="EV93"/>
  <c r="EV94"/>
  <c r="EV95"/>
  <c r="EV96"/>
  <c r="EV97"/>
  <c r="EV98"/>
  <c r="EV99"/>
  <c r="EV100"/>
  <c r="EV101"/>
  <c r="EV102"/>
  <c r="EV103"/>
  <c r="EV104"/>
  <c r="EV105"/>
  <c r="EV106"/>
  <c r="EV107"/>
  <c r="EV108"/>
  <c r="EV109"/>
  <c r="EV110"/>
  <c r="EV111"/>
  <c r="EV112"/>
  <c r="EV113"/>
  <c r="EV114"/>
  <c r="EV115"/>
  <c r="EV116"/>
  <c r="EV117"/>
  <c r="EV118"/>
  <c r="EV119"/>
  <c r="EV120"/>
  <c r="EV121"/>
  <c r="EV122"/>
  <c r="EV123"/>
  <c r="EV124"/>
  <c r="EV125"/>
  <c r="EV126"/>
  <c r="EV127"/>
  <c r="EV128"/>
  <c r="EV129"/>
  <c r="EV130"/>
  <c r="EV131"/>
  <c r="EV132"/>
  <c r="EV133"/>
  <c r="EV134"/>
  <c r="EV135"/>
  <c r="EV136"/>
  <c r="EV137"/>
  <c r="EV138"/>
  <c r="EV139"/>
  <c r="EV140"/>
  <c r="EV141"/>
  <c r="EV142"/>
  <c r="EV143"/>
  <c r="EV144"/>
  <c r="EV145"/>
  <c r="EV146"/>
  <c r="EV147"/>
  <c r="EV148"/>
  <c r="EV149"/>
  <c r="EV150"/>
  <c r="EV151"/>
  <c r="EV152"/>
  <c r="EV153"/>
  <c r="EV154"/>
  <c r="EV155"/>
  <c r="EV156"/>
  <c r="EV157"/>
  <c r="EV158"/>
  <c r="EV159"/>
  <c r="EV160"/>
  <c r="EV161"/>
  <c r="EV162"/>
  <c r="EV163"/>
  <c r="EV164"/>
  <c r="EV165"/>
  <c r="EV166"/>
  <c r="EV167"/>
  <c r="EV168"/>
  <c r="EV169"/>
  <c r="EV170"/>
  <c r="EV171"/>
  <c r="EV172"/>
  <c r="EV173"/>
  <c r="EV174"/>
  <c r="EV175"/>
  <c r="EV176"/>
  <c r="EV177"/>
  <c r="EV178"/>
  <c r="EV179"/>
  <c r="EV180"/>
  <c r="EV181"/>
  <c r="EV182"/>
  <c r="EV183"/>
  <c r="EV184"/>
  <c r="EV185"/>
  <c r="EV186"/>
  <c r="EV187"/>
  <c r="EV188"/>
  <c r="EV189"/>
  <c r="EV190"/>
  <c r="EV191"/>
  <c r="EV192"/>
  <c r="EV193"/>
  <c r="EV194"/>
  <c r="EV195"/>
  <c r="EV196"/>
  <c r="EV197"/>
  <c r="EV198"/>
  <c r="EV199"/>
  <c r="EV200"/>
  <c r="EV201"/>
  <c r="EV202"/>
  <c r="EV203"/>
  <c r="EV204"/>
  <c r="EV205"/>
  <c r="EV206"/>
  <c r="EV207"/>
  <c r="EV208"/>
  <c r="EV209"/>
  <c r="EV210"/>
  <c r="EV211"/>
  <c r="EV212"/>
  <c r="EV213"/>
  <c r="EV214"/>
  <c r="EV215"/>
  <c r="EV216"/>
  <c r="EV217"/>
  <c r="EV218"/>
  <c r="EV219"/>
  <c r="EV220"/>
  <c r="EV221"/>
  <c r="EV222"/>
  <c r="EV223"/>
  <c r="EV224"/>
  <c r="EV225"/>
  <c r="EV226"/>
  <c r="EV227"/>
  <c r="EV228"/>
  <c r="EV229"/>
  <c r="EV230"/>
  <c r="EV231"/>
  <c r="EV232"/>
  <c r="EV233"/>
  <c r="EV234"/>
  <c r="EV235"/>
  <c r="EV236"/>
  <c r="EV237"/>
  <c r="EV238"/>
  <c r="EV239"/>
  <c r="EV240"/>
  <c r="EV241"/>
  <c r="EV242"/>
  <c r="EV243"/>
  <c r="EV244"/>
  <c r="EV245"/>
  <c r="EV246"/>
  <c r="EV247"/>
  <c r="EV248"/>
  <c r="EV249"/>
  <c r="EV250"/>
  <c r="EV251"/>
  <c r="EV252"/>
  <c r="EV253"/>
  <c r="EV254"/>
  <c r="EV255"/>
  <c r="EV256"/>
  <c r="EV257"/>
  <c r="EV258"/>
  <c r="EV259"/>
  <c r="EV260"/>
  <c r="EV261"/>
  <c r="EV262"/>
  <c r="EV263"/>
  <c r="EV264"/>
  <c r="EV265"/>
  <c r="EV266"/>
  <c r="EV267"/>
  <c r="EV268"/>
  <c r="EV269"/>
  <c r="EV270"/>
  <c r="EV271"/>
  <c r="EV272"/>
  <c r="EV273"/>
  <c r="EV274"/>
  <c r="EV275"/>
  <c r="EV276"/>
  <c r="EV277"/>
  <c r="EV278"/>
  <c r="EV279"/>
  <c r="EV280"/>
  <c r="EV281"/>
  <c r="EV282"/>
  <c r="EV283"/>
  <c r="EV284"/>
  <c r="EV285"/>
  <c r="EV286"/>
  <c r="EV287"/>
  <c r="EV288"/>
  <c r="EV289"/>
  <c r="EV290"/>
  <c r="EV291"/>
  <c r="EV292"/>
  <c r="EV293"/>
  <c r="EV294"/>
  <c r="EV295"/>
  <c r="EV296"/>
  <c r="EV297"/>
  <c r="EV298"/>
  <c r="EV299"/>
  <c r="EV300"/>
  <c r="EV301"/>
  <c r="EV302"/>
  <c r="EV303"/>
  <c r="EV304"/>
  <c r="EV305"/>
  <c r="EV306"/>
  <c r="EV307"/>
  <c r="EV308"/>
  <c r="EV309"/>
  <c r="EV310"/>
  <c r="EV311"/>
  <c r="EV312"/>
  <c r="EV313"/>
  <c r="EV314"/>
  <c r="EV315"/>
  <c r="EV316"/>
  <c r="EV317"/>
  <c r="EV318"/>
  <c r="EV319"/>
  <c r="EV320"/>
  <c r="EV321"/>
  <c r="EV322"/>
  <c r="EV323"/>
  <c r="EV324"/>
  <c r="EV325"/>
  <c r="EV326"/>
  <c r="EV327"/>
  <c r="EV328"/>
  <c r="EV329"/>
  <c r="EV330"/>
  <c r="EV331"/>
  <c r="EV332"/>
  <c r="EV333"/>
  <c r="EV334"/>
  <c r="EV335"/>
  <c r="EV336"/>
  <c r="EV337"/>
  <c r="EV338"/>
  <c r="EV339"/>
  <c r="EV340"/>
  <c r="EV341"/>
  <c r="EV342"/>
  <c r="EV343"/>
  <c r="EV344"/>
  <c r="EV345"/>
  <c r="EV346"/>
  <c r="EV347"/>
  <c r="EV348"/>
  <c r="EV349"/>
  <c r="EV350"/>
  <c r="EV351"/>
  <c r="EV352"/>
  <c r="EV353"/>
  <c r="EV354"/>
  <c r="EV355"/>
  <c r="EV356"/>
  <c r="EV357"/>
  <c r="EV358"/>
  <c r="EV359"/>
  <c r="EV360"/>
  <c r="EV361"/>
  <c r="EV362"/>
  <c r="EV363"/>
  <c r="EV364"/>
  <c r="EV365"/>
  <c r="EV366"/>
  <c r="EV367"/>
  <c r="EV368"/>
  <c r="EV369"/>
  <c r="EV370"/>
  <c r="EV371"/>
  <c r="EV372"/>
  <c r="EV373"/>
  <c r="EV374"/>
  <c r="EV375"/>
  <c r="EV376"/>
  <c r="EV377"/>
  <c r="EV378"/>
  <c r="EV379"/>
  <c r="EV380"/>
  <c r="EV381"/>
  <c r="EV382"/>
  <c r="EV383"/>
  <c r="EV384"/>
  <c r="EV385"/>
  <c r="EV386"/>
  <c r="EV387"/>
  <c r="EV388"/>
  <c r="EV389"/>
  <c r="EV390"/>
  <c r="EV391"/>
  <c r="EV392"/>
  <c r="EV393"/>
  <c r="EV394"/>
  <c r="EV395"/>
  <c r="EV396"/>
  <c r="EV397"/>
  <c r="EV398"/>
  <c r="EV399"/>
  <c r="EV400"/>
  <c r="EV401"/>
  <c r="EV402"/>
  <c r="EV403"/>
  <c r="EV404"/>
  <c r="EV405"/>
  <c r="EV406"/>
  <c r="EV407"/>
  <c r="EV408"/>
  <c r="EV409"/>
  <c r="EV410"/>
  <c r="EV411"/>
  <c r="EV412"/>
  <c r="EV413"/>
  <c r="EV414"/>
  <c r="EV415"/>
  <c r="EV416"/>
  <c r="EV417"/>
  <c r="EV418"/>
  <c r="EV419"/>
  <c r="EV420"/>
  <c r="EV421"/>
  <c r="EV422"/>
  <c r="EV423"/>
  <c r="EV424"/>
  <c r="EV425"/>
  <c r="EV426"/>
  <c r="EV427"/>
  <c r="EV428"/>
  <c r="EV429"/>
  <c r="EV430"/>
  <c r="EV431"/>
  <c r="EV432"/>
  <c r="EV433"/>
  <c r="EV434"/>
  <c r="EV435"/>
  <c r="EV436"/>
  <c r="EV437"/>
  <c r="EV438"/>
  <c r="EV439"/>
  <c r="EV440"/>
  <c r="EV441"/>
  <c r="EV442"/>
  <c r="EV443"/>
  <c r="EV444"/>
  <c r="EV445"/>
  <c r="EV446"/>
  <c r="EV447"/>
  <c r="EV448"/>
  <c r="EV449"/>
  <c r="EV450"/>
  <c r="EV451"/>
  <c r="EV452"/>
  <c r="EV453"/>
  <c r="EV454"/>
  <c r="EV455"/>
  <c r="EV456"/>
  <c r="EV457"/>
  <c r="EV458"/>
  <c r="EV459"/>
  <c r="EV460"/>
  <c r="EV461"/>
  <c r="EV462"/>
  <c r="EV463"/>
  <c r="EV464"/>
  <c r="EV465"/>
  <c r="EV466"/>
  <c r="EV467"/>
  <c r="EV468"/>
  <c r="EV469"/>
  <c r="EV470"/>
  <c r="EV471"/>
  <c r="EV472"/>
  <c r="EV473"/>
  <c r="EV474"/>
  <c r="EV475"/>
  <c r="EV476"/>
  <c r="EV477"/>
  <c r="EV478"/>
  <c r="EV479"/>
  <c r="EV480"/>
  <c r="EV481"/>
  <c r="EV482"/>
  <c r="EV483"/>
  <c r="EV484"/>
  <c r="EV485"/>
  <c r="EV486"/>
  <c r="EV487"/>
  <c r="EV488"/>
  <c r="EV489"/>
  <c r="EV490"/>
  <c r="EV491"/>
  <c r="EV492"/>
  <c r="EV493"/>
  <c r="EV494"/>
  <c r="EV495"/>
  <c r="EV496"/>
  <c r="EV497"/>
  <c r="EV498"/>
  <c r="EV499"/>
  <c r="EV500"/>
  <c r="EV501"/>
  <c r="EV502"/>
  <c r="EV503"/>
  <c r="EV504"/>
  <c r="EV505"/>
  <c r="EV506"/>
  <c r="EV507"/>
  <c r="EV508"/>
  <c r="EV509"/>
  <c r="EV510"/>
  <c r="EV511"/>
  <c r="EV512"/>
  <c r="EV513"/>
  <c r="EV514"/>
  <c r="EV515"/>
  <c r="EV516"/>
  <c r="EV517"/>
  <c r="EV518"/>
  <c r="EV519"/>
  <c r="EV520"/>
  <c r="EV521"/>
  <c r="EV522"/>
  <c r="EV523"/>
  <c r="EV524"/>
  <c r="EV525"/>
  <c r="EV526"/>
  <c r="EV527"/>
  <c r="EV528"/>
  <c r="EV529"/>
  <c r="EV530"/>
  <c r="EV531"/>
  <c r="EV532"/>
  <c r="EV533"/>
  <c r="EV534"/>
  <c r="EV535"/>
  <c r="EV536"/>
  <c r="EV537"/>
  <c r="EV538"/>
  <c r="EV539"/>
  <c r="EV540"/>
  <c r="EV541"/>
  <c r="EV542"/>
  <c r="EV543"/>
  <c r="EV544"/>
  <c r="EV545"/>
  <c r="EV546"/>
  <c r="EV547"/>
  <c r="EV548"/>
  <c r="EV549"/>
  <c r="EV550"/>
  <c r="EV551"/>
  <c r="EV552"/>
  <c r="EV553"/>
  <c r="EV554"/>
  <c r="EV555"/>
  <c r="EV556"/>
  <c r="EV557"/>
  <c r="EV558"/>
  <c r="EV559"/>
  <c r="EV560"/>
  <c r="EV561"/>
  <c r="EV562"/>
  <c r="EV563"/>
  <c r="EV564"/>
  <c r="EV565"/>
  <c r="EV566"/>
  <c r="EV567"/>
  <c r="EV568"/>
  <c r="EV569"/>
  <c r="EV570"/>
  <c r="EV571"/>
  <c r="EV572"/>
  <c r="EV573"/>
  <c r="EV574"/>
  <c r="EV575"/>
  <c r="EV576"/>
  <c r="EV577"/>
  <c r="EV578"/>
  <c r="EV579"/>
  <c r="EV580"/>
  <c r="EV581"/>
  <c r="EV582"/>
  <c r="EV583"/>
  <c r="EV584"/>
  <c r="EV585"/>
  <c r="EV586"/>
  <c r="EV587"/>
  <c r="EV588"/>
  <c r="EV589"/>
  <c r="EV590"/>
  <c r="EV591"/>
  <c r="EV592"/>
  <c r="EV593"/>
  <c r="EV594"/>
  <c r="EV595"/>
  <c r="EV596"/>
  <c r="EV597"/>
  <c r="EV598"/>
  <c r="EV599"/>
  <c r="EV600"/>
  <c r="EV601"/>
  <c r="EV602"/>
  <c r="EV603"/>
  <c r="EV604"/>
  <c r="EV605"/>
  <c r="EV606"/>
  <c r="EV607"/>
  <c r="EV608"/>
  <c r="EV609"/>
  <c r="EV610"/>
  <c r="EV611"/>
  <c r="EV612"/>
  <c r="EV613"/>
  <c r="EV614"/>
  <c r="EV615"/>
  <c r="EV616"/>
  <c r="EV617"/>
  <c r="EV618"/>
  <c r="EV619"/>
  <c r="EV620"/>
  <c r="EV621"/>
  <c r="EV622"/>
  <c r="EV623"/>
  <c r="EV624"/>
  <c r="EV625"/>
  <c r="EV626"/>
  <c r="EV627"/>
  <c r="EV628"/>
  <c r="EV629"/>
  <c r="EV630"/>
  <c r="EV631"/>
  <c r="EV632"/>
  <c r="EV633"/>
  <c r="EV634"/>
  <c r="EV635"/>
  <c r="EV636"/>
  <c r="EV637"/>
  <c r="EV638"/>
  <c r="EV639"/>
  <c r="EV640"/>
  <c r="EV641"/>
  <c r="EV642"/>
  <c r="EV643"/>
  <c r="EV644"/>
  <c r="EV645"/>
  <c r="EV646"/>
  <c r="EV647"/>
  <c r="EV648"/>
  <c r="EV649"/>
  <c r="EV650"/>
  <c r="EV651"/>
  <c r="EV652"/>
  <c r="EV653"/>
  <c r="EV654"/>
  <c r="EV655"/>
  <c r="EV656"/>
  <c r="EV657"/>
  <c r="EV658"/>
  <c r="EV659"/>
  <c r="EV660"/>
  <c r="EV661"/>
  <c r="EV662"/>
  <c r="EV663"/>
  <c r="EV664"/>
  <c r="EV665"/>
  <c r="EV666"/>
  <c r="EV667"/>
  <c r="EV668"/>
  <c r="EV669"/>
  <c r="EV670"/>
  <c r="EV671"/>
  <c r="EV672"/>
  <c r="EV673"/>
  <c r="EV674"/>
  <c r="EV675"/>
  <c r="EV676"/>
  <c r="EV677"/>
  <c r="EV678"/>
  <c r="EV679"/>
  <c r="EV680"/>
  <c r="EV681"/>
  <c r="EV682"/>
  <c r="EV683"/>
  <c r="EV684"/>
  <c r="EV685"/>
  <c r="EV686"/>
  <c r="EV687"/>
  <c r="EV688"/>
  <c r="EV689"/>
  <c r="EV690"/>
  <c r="EV691"/>
  <c r="EV692"/>
  <c r="EV693"/>
  <c r="EV694"/>
  <c r="EV695"/>
  <c r="EV696"/>
  <c r="EV697"/>
  <c r="EV698"/>
  <c r="EV699"/>
  <c r="EV700"/>
  <c r="EV701"/>
  <c r="EV702"/>
  <c r="EV703"/>
  <c r="EV704"/>
  <c r="EV705"/>
  <c r="EV706"/>
  <c r="EV707"/>
  <c r="EV708"/>
  <c r="EV709"/>
  <c r="EV710"/>
  <c r="EV711"/>
  <c r="EV712"/>
  <c r="EV713"/>
  <c r="EV714"/>
  <c r="EV715"/>
  <c r="EV716"/>
  <c r="EV717"/>
  <c r="EV718"/>
  <c r="EV719"/>
  <c r="EV720"/>
  <c r="EV721"/>
  <c r="EV722"/>
  <c r="EV723"/>
  <c r="EV724"/>
  <c r="EV725"/>
  <c r="EV726"/>
  <c r="EV727"/>
  <c r="EV728"/>
  <c r="EV729"/>
  <c r="EV730"/>
  <c r="EV731"/>
  <c r="EV732"/>
  <c r="EV733"/>
  <c r="EV734"/>
  <c r="EV735"/>
  <c r="EV736"/>
  <c r="EV737"/>
  <c r="EV738"/>
  <c r="EV739"/>
  <c r="EV740"/>
  <c r="EV741"/>
  <c r="EV742"/>
  <c r="EV743"/>
  <c r="EV744"/>
  <c r="EV745"/>
  <c r="EV746"/>
  <c r="EV747"/>
  <c r="EV748"/>
  <c r="EV749"/>
  <c r="EV750"/>
  <c r="EV751"/>
  <c r="EV752"/>
  <c r="EV753"/>
  <c r="EV754"/>
  <c r="EV755"/>
  <c r="EV756"/>
  <c r="EV757"/>
  <c r="EV758"/>
  <c r="EV759"/>
  <c r="EV760"/>
  <c r="EV761"/>
  <c r="EV762"/>
  <c r="EV763"/>
  <c r="EV764"/>
  <c r="EV765"/>
  <c r="EV766"/>
  <c r="EV767"/>
  <c r="EV768"/>
  <c r="EV769"/>
  <c r="EV770"/>
  <c r="EV771"/>
  <c r="EV772"/>
  <c r="EV773"/>
  <c r="EV774"/>
  <c r="EV775"/>
  <c r="EV776"/>
  <c r="EV777"/>
  <c r="EV778"/>
  <c r="EV779"/>
  <c r="EV780"/>
  <c r="EV781"/>
  <c r="EV782"/>
  <c r="EV783"/>
  <c r="EV784"/>
  <c r="EV785"/>
  <c r="EV786"/>
  <c r="EV787"/>
  <c r="EV788"/>
  <c r="EV789"/>
  <c r="EV790"/>
  <c r="EV791"/>
  <c r="EV792"/>
  <c r="EV793"/>
  <c r="EV794"/>
  <c r="EV795"/>
  <c r="EV796"/>
  <c r="EV797"/>
  <c r="EV798"/>
  <c r="EV799"/>
  <c r="EV800"/>
  <c r="EV801"/>
  <c r="EV802"/>
  <c r="EV803"/>
  <c r="EV804"/>
  <c r="EV805"/>
  <c r="EV806"/>
  <c r="EV807"/>
  <c r="EV808"/>
  <c r="EV809"/>
  <c r="EV810"/>
  <c r="EV811"/>
  <c r="EV812"/>
  <c r="EV813"/>
  <c r="EV814"/>
  <c r="EV815"/>
  <c r="EV816"/>
  <c r="EV817"/>
  <c r="EV818"/>
  <c r="EV819"/>
  <c r="EV820"/>
  <c r="EV821"/>
  <c r="EV822"/>
  <c r="EV823"/>
  <c r="EV824"/>
  <c r="EV825"/>
  <c r="EV826"/>
  <c r="EV827"/>
  <c r="EV828"/>
  <c r="EV829"/>
  <c r="EV830"/>
  <c r="EV831"/>
  <c r="EV832"/>
  <c r="EV833"/>
  <c r="EV834"/>
  <c r="EV835"/>
  <c r="EV836"/>
  <c r="EV837"/>
  <c r="EV838"/>
  <c r="EV839"/>
  <c r="EV840"/>
  <c r="EV841"/>
  <c r="EV842"/>
  <c r="EV843"/>
  <c r="EV844"/>
  <c r="EV845"/>
  <c r="EV846"/>
  <c r="EV847"/>
  <c r="EV848"/>
  <c r="EV849"/>
  <c r="EV850"/>
  <c r="EV851"/>
  <c r="EV852"/>
  <c r="EV853"/>
  <c r="EV854"/>
  <c r="EV855"/>
  <c r="EV856"/>
  <c r="EV857"/>
  <c r="EV858"/>
  <c r="EV859"/>
  <c r="EV860"/>
  <c r="EV861"/>
  <c r="EV862"/>
  <c r="EV863"/>
  <c r="EV864"/>
  <c r="EV865"/>
  <c r="EV866"/>
  <c r="EV867"/>
  <c r="EV868"/>
  <c r="EV869"/>
  <c r="EV870"/>
  <c r="EV871"/>
  <c r="EV872"/>
  <c r="EV873"/>
  <c r="EV874"/>
  <c r="EV875"/>
  <c r="EV876"/>
  <c r="EV877"/>
  <c r="EV878"/>
  <c r="EV879"/>
  <c r="EV880"/>
  <c r="EV881"/>
  <c r="EV882"/>
  <c r="EV883"/>
  <c r="EV884"/>
  <c r="EV885"/>
  <c r="EV886"/>
  <c r="EV887"/>
  <c r="EV888"/>
  <c r="EV889"/>
  <c r="EV890"/>
  <c r="EV891"/>
  <c r="EV892"/>
  <c r="EV893"/>
  <c r="EV894"/>
  <c r="EV895"/>
  <c r="EV896"/>
  <c r="EV897"/>
  <c r="EV898"/>
  <c r="EV899"/>
  <c r="EV900"/>
  <c r="EV901"/>
  <c r="EV902"/>
  <c r="EV903"/>
  <c r="EV904"/>
  <c r="EV905"/>
  <c r="EV906"/>
  <c r="EV907"/>
  <c r="EV908"/>
  <c r="EV909"/>
  <c r="EV910"/>
  <c r="EV911"/>
  <c r="EV912"/>
  <c r="EV913"/>
  <c r="EV914"/>
  <c r="EV915"/>
  <c r="EV916"/>
  <c r="EV917"/>
  <c r="EV918"/>
  <c r="EV919"/>
  <c r="EV920"/>
  <c r="EV921"/>
  <c r="EV922"/>
  <c r="EV923"/>
  <c r="EV924"/>
  <c r="EV925"/>
  <c r="EV926"/>
  <c r="EV927"/>
  <c r="EV928"/>
  <c r="EV929"/>
  <c r="EV930"/>
  <c r="EV931"/>
  <c r="EV932"/>
  <c r="EV933"/>
  <c r="EV934"/>
  <c r="EV935"/>
  <c r="EV936"/>
  <c r="EV937"/>
  <c r="EV938"/>
  <c r="EV939"/>
  <c r="EV940"/>
  <c r="EV941"/>
  <c r="EV942"/>
  <c r="EV943"/>
  <c r="EV944"/>
  <c r="EV945"/>
  <c r="EV946"/>
  <c r="EV947"/>
  <c r="EV948"/>
  <c r="EV949"/>
  <c r="EV950"/>
  <c r="EV951"/>
  <c r="EV952"/>
  <c r="EV953"/>
  <c r="EV954"/>
  <c r="EV955"/>
  <c r="EV956"/>
  <c r="EV957"/>
  <c r="EV958"/>
  <c r="EV959"/>
  <c r="EV960"/>
  <c r="EV961"/>
  <c r="EV962"/>
  <c r="EV963"/>
  <c r="EV964"/>
  <c r="EV965"/>
  <c r="EV966"/>
  <c r="EV967"/>
  <c r="EV968"/>
  <c r="EV969"/>
  <c r="EV970"/>
  <c r="EV971"/>
  <c r="EV972"/>
  <c r="EV973"/>
  <c r="EV974"/>
  <c r="EV975"/>
  <c r="EV976"/>
  <c r="EV977"/>
  <c r="EV978"/>
  <c r="EV979"/>
  <c r="EV980"/>
  <c r="EV981"/>
  <c r="EV982"/>
  <c r="EV983"/>
  <c r="EV984"/>
  <c r="EV985"/>
  <c r="EV986"/>
  <c r="EV987"/>
  <c r="EV988"/>
  <c r="EV989"/>
  <c r="EV990"/>
  <c r="EV991"/>
  <c r="EV992"/>
  <c r="EV993"/>
  <c r="EV994"/>
  <c r="EV995"/>
  <c r="EV996"/>
  <c r="EV997"/>
  <c r="EV998"/>
  <c r="EV999"/>
  <c r="EV1000"/>
  <c r="EV1001"/>
  <c r="EV1002"/>
  <c r="EV1003"/>
  <c r="EV1004"/>
  <c r="EV1005"/>
  <c r="EV1006"/>
  <c r="EV1007"/>
  <c r="EV1008"/>
  <c r="EV1009"/>
  <c r="EV1010"/>
  <c r="EV1011"/>
  <c r="EV1012"/>
  <c r="EV1013"/>
  <c r="EV1014"/>
  <c r="EV1015"/>
  <c r="EV1016"/>
  <c r="EV1017"/>
  <c r="EV1018"/>
  <c r="EV1019"/>
  <c r="EV1020"/>
  <c r="EV1021"/>
  <c r="EV1022"/>
  <c r="EV1023"/>
  <c r="EV1024"/>
  <c r="EV1025"/>
  <c r="EV1026"/>
  <c r="EV1027"/>
  <c r="EV1028"/>
  <c r="EV1029"/>
  <c r="EV1030"/>
  <c r="EV1031"/>
  <c r="EV1032"/>
  <c r="EV1033"/>
  <c r="EV1034"/>
  <c r="EV1035"/>
  <c r="EV1036"/>
  <c r="EV1037"/>
  <c r="EV1038"/>
  <c r="EV1039"/>
  <c r="EV1040"/>
  <c r="EV1041"/>
  <c r="EV1042"/>
  <c r="EV1043"/>
  <c r="EV1044"/>
  <c r="EV1045"/>
  <c r="EV1046"/>
  <c r="EV1047"/>
  <c r="EV1048"/>
  <c r="EV1049"/>
  <c r="EV1050"/>
  <c r="EV1051"/>
  <c r="EV1052"/>
  <c r="EV1053"/>
  <c r="EV1054"/>
  <c r="EV1055"/>
  <c r="EV1056"/>
  <c r="EV1057"/>
  <c r="EV1058"/>
  <c r="EV1059"/>
  <c r="EV1060"/>
  <c r="EV1061"/>
  <c r="EV1062"/>
  <c r="EV1063"/>
  <c r="EV1064"/>
  <c r="EV1065"/>
  <c r="EV1066"/>
  <c r="EV1067"/>
  <c r="EV1068"/>
  <c r="EV1069"/>
  <c r="EV1070"/>
  <c r="EV1071"/>
  <c r="EV1072"/>
  <c r="EV1073"/>
  <c r="EV1074"/>
  <c r="EV1075"/>
  <c r="EV1076"/>
  <c r="EV1077"/>
  <c r="EV1078"/>
  <c r="EV1079"/>
  <c r="EV1080"/>
  <c r="EV1081"/>
  <c r="EV1082"/>
  <c r="EV1083"/>
  <c r="EV1084"/>
  <c r="EV1085"/>
  <c r="EV1086"/>
  <c r="EV1087"/>
  <c r="EV1088"/>
  <c r="EV1089"/>
  <c r="EV1090"/>
  <c r="EV1091"/>
  <c r="EV1092"/>
  <c r="EV1093"/>
  <c r="EV1094"/>
  <c r="EV1095"/>
  <c r="EV1096"/>
  <c r="EV1097"/>
  <c r="EV1098"/>
  <c r="EV1099"/>
  <c r="EV1100"/>
  <c r="EV1101"/>
  <c r="EV1102"/>
  <c r="EV1103"/>
  <c r="EV1104"/>
  <c r="EV1105"/>
  <c r="EV1106"/>
  <c r="EV1107"/>
  <c r="EV1108"/>
  <c r="EV1109"/>
  <c r="EV1110"/>
  <c r="EV1111"/>
  <c r="EV1112"/>
  <c r="EV1113"/>
  <c r="EV1114"/>
  <c r="EV1115"/>
  <c r="EV1116"/>
  <c r="EV1117"/>
  <c r="EV1118"/>
  <c r="EV1119"/>
  <c r="EV1120"/>
  <c r="EV1121"/>
  <c r="EV1122"/>
  <c r="EV1123"/>
  <c r="EV1124"/>
  <c r="EV1125"/>
  <c r="EV1126"/>
  <c r="EV1127"/>
  <c r="EV1128"/>
  <c r="EV1129"/>
  <c r="EV1130"/>
  <c r="EV1131"/>
  <c r="EV1132"/>
  <c r="EV1133"/>
  <c r="EV1134"/>
  <c r="EV1135"/>
  <c r="EV1136"/>
  <c r="EV1137"/>
  <c r="EV1138"/>
  <c r="EV1139"/>
  <c r="EV1140"/>
  <c r="EV1141"/>
  <c r="EV1142"/>
  <c r="EV1143"/>
  <c r="EV1144"/>
  <c r="EV1145"/>
  <c r="EV1146"/>
  <c r="EV1147"/>
  <c r="EV1148"/>
  <c r="EV1149"/>
  <c r="EV1150"/>
  <c r="EV1151"/>
  <c r="EV1152"/>
  <c r="EV1153"/>
  <c r="EV1154"/>
  <c r="EV1155"/>
  <c r="EV1156"/>
  <c r="EV1157"/>
  <c r="EV1158"/>
  <c r="EV1159"/>
  <c r="EV1160"/>
  <c r="EV1161"/>
  <c r="EV1162"/>
  <c r="EV1163"/>
  <c r="EV1164"/>
  <c r="EV1165"/>
  <c r="EV1166"/>
  <c r="EV1167"/>
  <c r="EV1168"/>
  <c r="EV1169"/>
  <c r="EV1170"/>
  <c r="EV1171"/>
  <c r="EV1172"/>
  <c r="EV1173"/>
  <c r="EV1174"/>
  <c r="EV1175"/>
  <c r="EV1176"/>
  <c r="EV1177"/>
  <c r="EV1178"/>
  <c r="EV1179"/>
  <c r="EV1180"/>
  <c r="EV1181"/>
  <c r="EV1182"/>
  <c r="EV1183"/>
  <c r="EV1184"/>
  <c r="EV1185"/>
  <c r="EV1186"/>
  <c r="EV1187"/>
  <c r="EV1188"/>
  <c r="EV1189"/>
  <c r="EV1190"/>
  <c r="EV1191"/>
  <c r="EV1192"/>
  <c r="EV1193"/>
  <c r="EV1194"/>
  <c r="EV1195"/>
  <c r="EV1196"/>
  <c r="EV1197"/>
  <c r="EV1198"/>
  <c r="EV1199"/>
  <c r="EV1200"/>
  <c r="EV1201"/>
  <c r="EV1202"/>
  <c r="EV1203"/>
  <c r="EV1204"/>
  <c r="EV1205"/>
  <c r="EV1206"/>
  <c r="EV1207"/>
  <c r="EV1208"/>
  <c r="EV1209"/>
  <c r="EV1210"/>
  <c r="EV1211"/>
  <c r="EV1212"/>
  <c r="EV1213"/>
  <c r="EV1214"/>
  <c r="EV1215"/>
  <c r="EV1216"/>
  <c r="EV1217"/>
  <c r="EV1218"/>
  <c r="EV1219"/>
  <c r="EV1220"/>
  <c r="EV1221"/>
  <c r="EV1222"/>
  <c r="EV1223"/>
  <c r="EV1224"/>
  <c r="EV1225"/>
  <c r="EV1226"/>
  <c r="EV1227"/>
  <c r="EV1228"/>
  <c r="EV1229"/>
  <c r="EV1230"/>
  <c r="EV1231"/>
  <c r="EV1232"/>
  <c r="EV1233"/>
  <c r="EV1234"/>
  <c r="EV1235"/>
  <c r="EV1236"/>
  <c r="EV1237"/>
  <c r="EV1238"/>
  <c r="EV1239"/>
  <c r="EV1240"/>
  <c r="EV1241"/>
  <c r="EV1242"/>
  <c r="EV1243"/>
  <c r="EV1244"/>
  <c r="EV1245"/>
  <c r="EV1246"/>
  <c r="EV1247"/>
  <c r="EV1248"/>
  <c r="EV1249"/>
  <c r="EV1250"/>
  <c r="EV1251"/>
  <c r="EV1252"/>
  <c r="EV1253"/>
  <c r="EV1254"/>
  <c r="EV1255"/>
  <c r="EV1256"/>
  <c r="EV1257"/>
  <c r="EV1258"/>
  <c r="EV1259"/>
  <c r="EV1260"/>
  <c r="EV1261"/>
  <c r="EV1262"/>
  <c r="EV1263"/>
  <c r="EV1264"/>
  <c r="EV1265"/>
  <c r="EV1266"/>
  <c r="EV1267"/>
  <c r="EV1268"/>
  <c r="EV1269"/>
  <c r="EV1270"/>
  <c r="EV1271"/>
  <c r="EV1272"/>
  <c r="EV1273"/>
  <c r="EV1274"/>
  <c r="EV1275"/>
  <c r="EV1276"/>
  <c r="EV1277"/>
  <c r="EV1278"/>
  <c r="EV1279"/>
  <c r="EV1280"/>
  <c r="EV1281"/>
  <c r="EV1282"/>
  <c r="EV1283"/>
  <c r="EV1284"/>
  <c r="EV1285"/>
  <c r="EV1286"/>
  <c r="EV1287"/>
  <c r="EV1288"/>
  <c r="EV1289"/>
  <c r="EV1290"/>
  <c r="EV1291"/>
  <c r="EV1292"/>
  <c r="EV1293"/>
  <c r="EV1294"/>
  <c r="EV1295"/>
  <c r="EV1296"/>
  <c r="EV1297"/>
  <c r="EV1298"/>
  <c r="EV1299"/>
  <c r="EV1300"/>
  <c r="EV1301"/>
  <c r="EV1302"/>
  <c r="EV1303"/>
  <c r="EV1304"/>
  <c r="EV1305"/>
  <c r="EV1306"/>
  <c r="EV1307"/>
  <c r="EV1308"/>
  <c r="EV1309"/>
  <c r="EV1310"/>
  <c r="EV1311"/>
  <c r="EV1312"/>
  <c r="EV1313"/>
  <c r="EV1314"/>
  <c r="EV1315"/>
  <c r="EV1316"/>
  <c r="EV1317"/>
  <c r="EV1318"/>
  <c r="EV1319"/>
  <c r="EV1320"/>
  <c r="EV1321"/>
  <c r="EV1322"/>
  <c r="EV1323"/>
  <c r="EV1324"/>
  <c r="EV1325"/>
  <c r="EV1326"/>
  <c r="EV1327"/>
  <c r="EV1328"/>
  <c r="EV1329"/>
  <c r="EV1330"/>
  <c r="EV1331"/>
  <c r="EV1332"/>
  <c r="EV1333"/>
  <c r="EV1334"/>
  <c r="EV1335"/>
  <c r="EV1336"/>
  <c r="EV1337"/>
  <c r="EV1338"/>
  <c r="EV1339"/>
  <c r="EV1340"/>
  <c r="EV1341"/>
  <c r="EV1342"/>
  <c r="EV1343"/>
  <c r="EV1344"/>
  <c r="EV1345"/>
  <c r="EV1346"/>
  <c r="EV1347"/>
  <c r="EV1348"/>
  <c r="EV1349"/>
  <c r="EV1350"/>
  <c r="EV1351"/>
  <c r="EV1352"/>
  <c r="EV1353"/>
  <c r="EV1354"/>
  <c r="EV1355"/>
  <c r="EV1356"/>
  <c r="EV1357"/>
  <c r="EV1358"/>
  <c r="EV1359"/>
  <c r="EV1360"/>
  <c r="EV1361"/>
  <c r="EV1362"/>
  <c r="EV1363"/>
  <c r="EV1364"/>
  <c r="EV1365"/>
  <c r="EV1366"/>
  <c r="EV1367"/>
  <c r="EV1368"/>
  <c r="EV1369"/>
  <c r="EV1370"/>
  <c r="EV1371"/>
  <c r="EV1372"/>
  <c r="EV1373"/>
  <c r="EV1374"/>
  <c r="EV1375"/>
  <c r="EV1376"/>
  <c r="EV1377"/>
  <c r="EV1378"/>
  <c r="EV1379"/>
  <c r="EV1380"/>
  <c r="EV1381"/>
  <c r="EV1382"/>
  <c r="EV1383"/>
  <c r="EV1384"/>
  <c r="EV1385"/>
  <c r="EV1386"/>
  <c r="EV1387"/>
  <c r="EV1388"/>
  <c r="EV1389"/>
  <c r="EV1390"/>
  <c r="EV1391"/>
  <c r="EV1392"/>
  <c r="EV1393"/>
  <c r="EV1394"/>
  <c r="EV1395"/>
  <c r="EV1396"/>
  <c r="EV1397"/>
  <c r="EV1398"/>
  <c r="EV1399"/>
  <c r="EV1400"/>
  <c r="EV1401"/>
  <c r="EV1402"/>
  <c r="EV1403"/>
  <c r="EV1404"/>
  <c r="EV1405"/>
  <c r="EV1406"/>
  <c r="EV1407"/>
  <c r="EV1408"/>
  <c r="EV1409"/>
  <c r="EV1410"/>
  <c r="EV1411"/>
  <c r="EV1412"/>
  <c r="EV1413"/>
  <c r="EV1414"/>
  <c r="EV1415"/>
  <c r="EV1416"/>
  <c r="EV1417"/>
  <c r="EV1418"/>
  <c r="EV1419"/>
  <c r="EV1420"/>
  <c r="EV1421"/>
  <c r="EV1422"/>
  <c r="EV1423"/>
  <c r="EV1424"/>
  <c r="EV1425"/>
  <c r="EV1426"/>
  <c r="EV1427"/>
  <c r="EV1428"/>
  <c r="EV1429"/>
  <c r="EV1430"/>
  <c r="EV1431"/>
  <c r="EV1432"/>
  <c r="EV1433"/>
  <c r="EV1434"/>
  <c r="EV1435"/>
  <c r="EV1436"/>
  <c r="EV1437"/>
  <c r="EV1438"/>
  <c r="EV1439"/>
  <c r="EV1440"/>
  <c r="EV1441"/>
  <c r="EV1442"/>
  <c r="EV1443"/>
  <c r="EV1444"/>
  <c r="EV1445"/>
  <c r="EV1446"/>
  <c r="EV1447"/>
  <c r="EV1448"/>
  <c r="EV1449"/>
  <c r="EV1450"/>
  <c r="EV1451"/>
  <c r="EV1452"/>
  <c r="EV1453"/>
  <c r="EV1454"/>
  <c r="EV1455"/>
  <c r="EV1456"/>
  <c r="EV1457"/>
  <c r="EV1458"/>
  <c r="EV1459"/>
  <c r="EV1460"/>
  <c r="EV1461"/>
  <c r="EV1462"/>
  <c r="EV1463"/>
  <c r="EV1464"/>
  <c r="EV1465"/>
  <c r="EV1466"/>
  <c r="EV1467"/>
  <c r="EV1468"/>
  <c r="EV1469"/>
  <c r="EV1470"/>
  <c r="EV1471"/>
  <c r="EV1472"/>
  <c r="EV1473"/>
  <c r="EV1474"/>
  <c r="EV1475"/>
  <c r="EV1476"/>
  <c r="EV1477"/>
  <c r="EV1478"/>
  <c r="EV1479"/>
  <c r="EV1480"/>
  <c r="EV1481"/>
  <c r="EV1482"/>
  <c r="EV1483"/>
  <c r="EV1484"/>
  <c r="EV1485"/>
  <c r="EV1486"/>
  <c r="EV1487"/>
  <c r="EV1488"/>
  <c r="EV1489"/>
  <c r="EV1490"/>
  <c r="EV1491"/>
  <c r="EV1492"/>
  <c r="EV1493"/>
  <c r="EV1494"/>
  <c r="EV1495"/>
  <c r="EV1496"/>
  <c r="EV1497"/>
  <c r="EV1498"/>
  <c r="EV1499"/>
  <c r="EV1500"/>
  <c r="EV1501"/>
  <c r="EV1502"/>
  <c r="EV1503"/>
  <c r="EV1504"/>
  <c r="EV1505"/>
  <c r="EV1506"/>
  <c r="EV1507"/>
  <c r="EV1508"/>
  <c r="EV1509"/>
  <c r="EV1510"/>
  <c r="EV1511"/>
  <c r="EV1512"/>
  <c r="EV1513"/>
  <c r="EV1514"/>
  <c r="EV1515"/>
  <c r="EV1516"/>
  <c r="EV1517"/>
  <c r="EV1518"/>
  <c r="EV1519"/>
  <c r="EV1520"/>
  <c r="EV1521"/>
  <c r="EV1522"/>
  <c r="EV1523"/>
  <c r="EV1524"/>
  <c r="EV1525"/>
  <c r="EV1526"/>
  <c r="EV1527"/>
  <c r="EV1528"/>
  <c r="EV1529"/>
  <c r="EV1530"/>
  <c r="EV1531"/>
  <c r="EV1532"/>
  <c r="EV1533"/>
  <c r="EV1534"/>
  <c r="EV1535"/>
  <c r="EV1536"/>
  <c r="EV1537"/>
  <c r="EV1538"/>
  <c r="EV1539"/>
  <c r="EV1540"/>
  <c r="EV1541"/>
  <c r="EV1542"/>
  <c r="EV1543"/>
  <c r="EV1544"/>
  <c r="EV1545"/>
  <c r="EV1546"/>
  <c r="EV1547"/>
  <c r="EV1548"/>
  <c r="EV1549"/>
  <c r="EV1550"/>
  <c r="EV1551"/>
  <c r="EV1552"/>
  <c r="EV1553"/>
  <c r="EV1554"/>
  <c r="EV1555"/>
  <c r="EV1556"/>
  <c r="EV1557"/>
  <c r="EV1558"/>
  <c r="EV1559"/>
  <c r="EV1560"/>
  <c r="EV1561"/>
  <c r="EV1562"/>
  <c r="EV1563"/>
  <c r="EV1564"/>
  <c r="EV1565"/>
  <c r="EV1566"/>
  <c r="EV1567"/>
  <c r="EV1568"/>
  <c r="EV1569"/>
  <c r="EV1570"/>
  <c r="EV1571"/>
  <c r="EV1572"/>
  <c r="EV1573"/>
  <c r="EV1574"/>
  <c r="EV1575"/>
  <c r="EV1576"/>
  <c r="EV1577"/>
  <c r="EV1578"/>
  <c r="EV1579"/>
  <c r="EV1580"/>
  <c r="EV1581"/>
  <c r="EV1582"/>
  <c r="EV1583"/>
  <c r="EV1584"/>
  <c r="EV1585"/>
  <c r="EV1586"/>
  <c r="EV1587"/>
  <c r="EV1588"/>
  <c r="EV1589"/>
  <c r="EV1590"/>
  <c r="EV1591"/>
  <c r="EV1592"/>
  <c r="EV1593"/>
  <c r="EV1594"/>
  <c r="EV1595"/>
  <c r="EV1596"/>
  <c r="EV1597"/>
  <c r="EV1598"/>
  <c r="EV1599"/>
  <c r="EV1600"/>
  <c r="EV1601"/>
  <c r="EV1602"/>
  <c r="EV1603"/>
  <c r="EV1604"/>
  <c r="EV1605"/>
  <c r="EV1606"/>
  <c r="EV1607"/>
  <c r="EV1608"/>
  <c r="EV1609"/>
  <c r="EV1610"/>
  <c r="EV1611"/>
  <c r="EV1612"/>
  <c r="EV1613"/>
  <c r="EV1614"/>
  <c r="EV1615"/>
  <c r="EV1616"/>
  <c r="EV1617"/>
  <c r="EV1618"/>
  <c r="EV1619"/>
  <c r="EV1620"/>
  <c r="EV1621"/>
  <c r="EV1622"/>
  <c r="EV1623"/>
  <c r="EV1624"/>
  <c r="EV1625"/>
  <c r="EV1626"/>
  <c r="EV1627"/>
  <c r="EV1628"/>
  <c r="EV1629"/>
  <c r="EV1630"/>
  <c r="EV1631"/>
  <c r="EV1632"/>
  <c r="EV1633"/>
  <c r="EV1634"/>
  <c r="EV1635"/>
  <c r="EV1636"/>
  <c r="EV1637"/>
  <c r="EV1638"/>
  <c r="EV1639"/>
  <c r="EV1640"/>
  <c r="EV1641"/>
  <c r="EV1642"/>
  <c r="EV1643"/>
  <c r="EV1644"/>
  <c r="EV1645"/>
  <c r="EV1646"/>
  <c r="EV1647"/>
  <c r="EV1648"/>
  <c r="EV1649"/>
  <c r="EV1650"/>
  <c r="EV1651"/>
  <c r="EV1652"/>
  <c r="EV1653"/>
  <c r="EV1654"/>
  <c r="EV1655"/>
  <c r="EV1656"/>
  <c r="EV1657"/>
  <c r="EV1658"/>
  <c r="EV1659"/>
  <c r="EV1660"/>
  <c r="EV1661"/>
  <c r="EV1662"/>
  <c r="EV1663"/>
  <c r="EV1664"/>
  <c r="EV1665"/>
  <c r="EV1666"/>
  <c r="EV1667"/>
  <c r="EV1668"/>
  <c r="EV1669"/>
  <c r="EV1670"/>
  <c r="EV1671"/>
  <c r="EV1672"/>
  <c r="EV1673"/>
  <c r="EV1674"/>
  <c r="EV1675"/>
  <c r="EV1676"/>
  <c r="EV1677"/>
  <c r="EV1678"/>
  <c r="EV1679"/>
  <c r="EV1680"/>
  <c r="EV1681"/>
  <c r="EV1682"/>
  <c r="EV1683"/>
  <c r="EV1684"/>
  <c r="EV1685"/>
  <c r="EV1686"/>
  <c r="EV1687"/>
  <c r="EV1688"/>
  <c r="EV1689"/>
  <c r="EV1690"/>
  <c r="EV1691"/>
  <c r="EV1692"/>
  <c r="EV1693"/>
  <c r="EV1694"/>
  <c r="EV1695"/>
  <c r="EV1696"/>
  <c r="EV1697"/>
  <c r="EV1698"/>
  <c r="EV1699"/>
  <c r="EV1700"/>
  <c r="EV1701"/>
  <c r="EV1702"/>
  <c r="EV1703"/>
  <c r="EV1704"/>
  <c r="EV1705"/>
  <c r="EV1706"/>
  <c r="EV1707"/>
  <c r="EV1708"/>
  <c r="EV1709"/>
  <c r="EV1710"/>
  <c r="EV1711"/>
  <c r="EV1712"/>
  <c r="EV1713"/>
  <c r="EV1714"/>
  <c r="EV1715"/>
  <c r="EV1716"/>
  <c r="EV1717"/>
  <c r="EV1718"/>
  <c r="EV1719"/>
  <c r="EV1720"/>
  <c r="EV1721"/>
  <c r="EV1722"/>
  <c r="EV1723"/>
  <c r="EV1724"/>
  <c r="EV1725"/>
  <c r="EV1726"/>
  <c r="EV1727"/>
  <c r="EV1728"/>
  <c r="EV1729"/>
  <c r="EV1730"/>
  <c r="EV1731"/>
  <c r="EV1732"/>
  <c r="EV1733"/>
  <c r="EV1734"/>
  <c r="EV1735"/>
  <c r="EV1736"/>
  <c r="EV1737"/>
  <c r="EV1738"/>
  <c r="EV1739"/>
  <c r="EV1740"/>
  <c r="EV1741"/>
  <c r="EV1742"/>
  <c r="EV1743"/>
  <c r="EV1744"/>
  <c r="EV1745"/>
  <c r="EV1746"/>
  <c r="EV1747"/>
  <c r="EV1748"/>
  <c r="EV1749"/>
  <c r="EV1750"/>
  <c r="EV1751"/>
  <c r="EV1752"/>
  <c r="EV1753"/>
  <c r="EV1754"/>
  <c r="EV1755"/>
  <c r="EV1756"/>
  <c r="EV1757"/>
  <c r="EV1758"/>
  <c r="EV1759"/>
  <c r="EV1760"/>
  <c r="EV1761"/>
  <c r="EV1762"/>
  <c r="EV1763"/>
  <c r="EV1764"/>
  <c r="EV1765"/>
  <c r="EV1766"/>
  <c r="EV1767"/>
  <c r="EV1768"/>
  <c r="EV1769"/>
  <c r="EV1770"/>
  <c r="EV1771"/>
  <c r="EV1772"/>
  <c r="EV1773"/>
  <c r="EV1774"/>
  <c r="EV1775"/>
  <c r="EV1776"/>
  <c r="EV1777"/>
  <c r="EV1778"/>
  <c r="EV1779"/>
  <c r="EV1780"/>
  <c r="EV1781"/>
  <c r="EV1782"/>
  <c r="EV1783"/>
  <c r="EV1784"/>
  <c r="EV1785"/>
  <c r="EV1786"/>
  <c r="EV1787"/>
  <c r="EV1788"/>
  <c r="EV1789"/>
  <c r="EV1790"/>
  <c r="EV1791"/>
  <c r="EV1792"/>
  <c r="EV1793"/>
  <c r="EV1794"/>
  <c r="EV1795"/>
  <c r="EV1796"/>
  <c r="EV1797"/>
  <c r="EV1798"/>
  <c r="EV1799"/>
  <c r="EV1800"/>
  <c r="EV1801"/>
  <c r="EV1802"/>
  <c r="EV1803"/>
  <c r="EV1804"/>
  <c r="EV1805"/>
  <c r="EV1806"/>
  <c r="EV1807"/>
  <c r="EV1808"/>
  <c r="EV1809"/>
  <c r="EV1810"/>
  <c r="EV1811"/>
  <c r="EV1812"/>
  <c r="EV1813"/>
  <c r="EV1814"/>
  <c r="EV1815"/>
  <c r="EV1816"/>
  <c r="EV1817"/>
  <c r="EV1818"/>
  <c r="EV1819"/>
  <c r="EV1820"/>
  <c r="EV1821"/>
  <c r="EV1822"/>
  <c r="EV1823"/>
  <c r="EV1824"/>
  <c r="EV1825"/>
  <c r="EV1826"/>
  <c r="EV1827"/>
  <c r="EV1828"/>
  <c r="EV1829"/>
  <c r="EV1830"/>
  <c r="EV1831"/>
  <c r="EV1832"/>
  <c r="EV1833"/>
  <c r="EV1834"/>
  <c r="EV1835"/>
  <c r="EV1836"/>
  <c r="EV1837"/>
  <c r="EV1838"/>
  <c r="EV1839"/>
  <c r="EV1840"/>
  <c r="EV1841"/>
  <c r="EV1842"/>
  <c r="EV1843"/>
  <c r="EV1844"/>
  <c r="EV1845"/>
  <c r="EV1846"/>
  <c r="EV1847"/>
  <c r="EV1848"/>
  <c r="EV1849"/>
  <c r="EV1850"/>
  <c r="EV1851"/>
  <c r="EV1852"/>
  <c r="EV1853"/>
  <c r="EV1854"/>
  <c r="EV1855"/>
  <c r="EV1856"/>
  <c r="EV1857"/>
  <c r="EV1858"/>
  <c r="EV1859"/>
  <c r="EV1860"/>
  <c r="EV1861"/>
  <c r="EV1862"/>
  <c r="EV1863"/>
  <c r="EV1864"/>
  <c r="EV1865"/>
  <c r="EV1866"/>
  <c r="EV1867"/>
  <c r="EV1868"/>
  <c r="EV1869"/>
  <c r="EV1870"/>
  <c r="EV1871"/>
  <c r="EV1872"/>
  <c r="EV1873"/>
  <c r="EV1874"/>
  <c r="EV1875"/>
  <c r="EV1876"/>
  <c r="EV1877"/>
  <c r="EV1878"/>
  <c r="EV1879"/>
  <c r="EV1880"/>
  <c r="EV1881"/>
  <c r="EV1882"/>
  <c r="EV1883"/>
  <c r="EV1884"/>
  <c r="EV1885"/>
  <c r="EV1886"/>
  <c r="EV1887"/>
  <c r="EV1888"/>
  <c r="EV1889"/>
  <c r="EV1890"/>
  <c r="EV1891"/>
  <c r="EV1892"/>
  <c r="EV1893"/>
  <c r="EV1894"/>
  <c r="EV1895"/>
  <c r="EV1896"/>
  <c r="EV1897"/>
  <c r="EV1898"/>
  <c r="EV1899"/>
  <c r="EV1900"/>
  <c r="EV1901"/>
  <c r="EV1902"/>
  <c r="EV1903"/>
  <c r="EV1904"/>
  <c r="EV1905"/>
  <c r="EV1906"/>
  <c r="EV1907"/>
  <c r="EV1908"/>
  <c r="EV1909"/>
  <c r="EV1910"/>
  <c r="EV1911"/>
  <c r="EV1912"/>
  <c r="EV1913"/>
  <c r="EV1914"/>
  <c r="EV1915"/>
  <c r="EV1916"/>
  <c r="EV1917"/>
  <c r="EV1918"/>
  <c r="EV1919"/>
  <c r="EV1920"/>
  <c r="EV1921"/>
  <c r="EV1922"/>
  <c r="EV1923"/>
  <c r="EV1924"/>
  <c r="EV1925"/>
  <c r="EV1926"/>
  <c r="EV1927"/>
  <c r="EV1928"/>
  <c r="EV1929"/>
  <c r="EV1930"/>
  <c r="EV1931"/>
  <c r="EV1932"/>
  <c r="EV1933"/>
  <c r="EV1934"/>
  <c r="EV1935"/>
  <c r="EV1936"/>
  <c r="EV1937"/>
  <c r="EV1938"/>
  <c r="EV1939"/>
  <c r="EV1940"/>
  <c r="EV1941"/>
  <c r="EV1942"/>
  <c r="EV1943"/>
  <c r="EV1944"/>
  <c r="EV1945"/>
  <c r="EV1946"/>
  <c r="EV1947"/>
  <c r="EV1948"/>
  <c r="EV1949"/>
  <c r="EV1950"/>
  <c r="EV1951"/>
  <c r="EV1952"/>
  <c r="EV1953"/>
  <c r="EV1954"/>
  <c r="EV1955"/>
  <c r="EV1956"/>
  <c r="EV1957"/>
  <c r="EV1958"/>
  <c r="EV1959"/>
  <c r="EV1960"/>
  <c r="EV1961"/>
  <c r="EV1962"/>
  <c r="EV1963"/>
  <c r="EV1964"/>
  <c r="EV1965"/>
  <c r="EV1966"/>
  <c r="EV1967"/>
  <c r="EV1968"/>
  <c r="EV1969"/>
  <c r="EV1970"/>
  <c r="EV1971"/>
  <c r="EV1972"/>
  <c r="EV1973"/>
  <c r="EV1974"/>
  <c r="EV1975"/>
  <c r="EV1976"/>
  <c r="EV1977"/>
  <c r="EV1978"/>
  <c r="EV1979"/>
  <c r="EV1980"/>
  <c r="EV1981"/>
  <c r="EV1982"/>
  <c r="EV1983"/>
  <c r="EV1984"/>
  <c r="EV1985"/>
  <c r="EV1986"/>
  <c r="EV1987"/>
  <c r="EV1988"/>
  <c r="EV1989"/>
  <c r="EV1990"/>
  <c r="EV1991"/>
  <c r="EV1992"/>
  <c r="EV1993"/>
  <c r="EV1994"/>
  <c r="EV1995"/>
  <c r="EV1996"/>
  <c r="EV1997"/>
  <c r="EV1998"/>
  <c r="EV1999"/>
  <c r="EV2000"/>
  <c r="EV2001"/>
  <c r="EV2002"/>
  <c r="EV2003"/>
  <c r="EV2004"/>
  <c r="EV2005"/>
  <c r="EV2006"/>
  <c r="EV2007"/>
  <c r="EV2008"/>
  <c r="EV2009"/>
  <c r="EV2010"/>
  <c r="EV2011"/>
  <c r="EV2012"/>
  <c r="EV2013"/>
  <c r="EV2014"/>
  <c r="EV2015"/>
  <c r="EV2016"/>
  <c r="EV2017"/>
  <c r="EV2018"/>
  <c r="EV2019"/>
  <c r="EV2020"/>
  <c r="EV2021"/>
  <c r="EV2022"/>
  <c r="EV2023"/>
  <c r="EV2024"/>
  <c r="EV2025"/>
  <c r="EV2026"/>
  <c r="EV2027"/>
  <c r="EV2028"/>
  <c r="EV2029"/>
  <c r="EV2030"/>
  <c r="EV2031"/>
  <c r="EV2032"/>
  <c r="EV2033"/>
  <c r="EV2034"/>
  <c r="EV2035"/>
  <c r="EV2036"/>
  <c r="EV2037"/>
  <c r="EV2038"/>
  <c r="EV2039"/>
  <c r="EV2040"/>
  <c r="EV2041"/>
  <c r="EV2042"/>
  <c r="EV2043"/>
  <c r="EV2044"/>
  <c r="EV2045"/>
  <c r="EV2046"/>
  <c r="EV2047"/>
  <c r="EV2048"/>
  <c r="EV2049"/>
  <c r="EV2050"/>
  <c r="EV2051"/>
  <c r="EV2052"/>
  <c r="EV2053"/>
  <c r="EV2054"/>
  <c r="EV2055"/>
  <c r="EV2056"/>
  <c r="EV2057"/>
  <c r="EV2058"/>
  <c r="EV2059"/>
  <c r="EV2060"/>
  <c r="EV2061"/>
  <c r="EV2062"/>
  <c r="EV2063"/>
  <c r="EV2064"/>
  <c r="EV2065"/>
  <c r="EV2066"/>
  <c r="EV2067"/>
  <c r="EV2068"/>
  <c r="EV2069"/>
  <c r="EV2070"/>
  <c r="EV2071"/>
  <c r="EV2072"/>
  <c r="EV2073"/>
  <c r="EV2074"/>
  <c r="EV2075"/>
  <c r="EV2076"/>
  <c r="EV2077"/>
  <c r="EV2078"/>
  <c r="EV2079"/>
  <c r="EV2080"/>
  <c r="EV2081"/>
  <c r="EV2082"/>
  <c r="EV2083"/>
  <c r="EV2084"/>
  <c r="EV2085"/>
  <c r="EV2086"/>
  <c r="EV2087"/>
  <c r="EV2088"/>
  <c r="EV2089"/>
  <c r="EV2090"/>
  <c r="EV2091"/>
  <c r="EV2092"/>
  <c r="EV2093"/>
  <c r="EV2094"/>
  <c r="EV2095"/>
  <c r="EV2096"/>
  <c r="EV2097"/>
  <c r="EV2098"/>
  <c r="EV2099"/>
  <c r="EV2100"/>
  <c r="EV2101"/>
  <c r="EV2102"/>
  <c r="EV2103"/>
  <c r="EV2104"/>
  <c r="EV2105"/>
  <c r="EV2106"/>
  <c r="EV2107"/>
  <c r="EV2108"/>
  <c r="EV2109"/>
  <c r="EV2110"/>
  <c r="EV2111"/>
  <c r="EV2112"/>
  <c r="EV2113"/>
  <c r="EV2114"/>
  <c r="EV2115"/>
  <c r="EV2116"/>
  <c r="EV2117"/>
  <c r="EV2118"/>
  <c r="EV2119"/>
  <c r="EV2120"/>
  <c r="EV2121"/>
  <c r="EV2122"/>
  <c r="EV2123"/>
  <c r="EV2124"/>
  <c r="EV2125"/>
  <c r="EV2126"/>
  <c r="EV2127"/>
  <c r="EV2128"/>
  <c r="EV2129"/>
  <c r="EV2130"/>
  <c r="EV2131"/>
  <c r="EV2132"/>
  <c r="EV2133"/>
  <c r="EV2134"/>
  <c r="EV2135"/>
  <c r="EV2136"/>
  <c r="EV2137"/>
  <c r="EV2138"/>
  <c r="EV2139"/>
  <c r="EV2140"/>
  <c r="EV2141"/>
  <c r="EV2142"/>
  <c r="EV2143"/>
  <c r="EV2144"/>
  <c r="EV2145"/>
  <c r="EV2146"/>
  <c r="EV2147"/>
  <c r="EV2148"/>
  <c r="EV2149"/>
  <c r="EV2150"/>
  <c r="EV2151"/>
  <c r="EV2152"/>
  <c r="EV2153"/>
  <c r="EV2154"/>
  <c r="EV2155"/>
  <c r="EV2156"/>
  <c r="EV2157"/>
  <c r="EV2158"/>
  <c r="EV2159"/>
  <c r="EV2160"/>
  <c r="EV2161"/>
  <c r="EV2162"/>
  <c r="EV2163"/>
  <c r="EV2164"/>
  <c r="EV2165"/>
  <c r="EV2166"/>
  <c r="EV2167"/>
  <c r="EV2168"/>
  <c r="EV2169"/>
  <c r="EV2170"/>
  <c r="EV2171"/>
  <c r="EV2172"/>
  <c r="EV2173"/>
  <c r="EV2174"/>
  <c r="EV2175"/>
  <c r="EV2176"/>
  <c r="EV2177"/>
  <c r="EV2178"/>
  <c r="EV2179"/>
  <c r="EV2180"/>
  <c r="EV2181"/>
  <c r="EV2182"/>
  <c r="EV2183"/>
  <c r="EV2184"/>
  <c r="EV2185"/>
  <c r="EV2186"/>
  <c r="EV2187"/>
  <c r="EV2188"/>
  <c r="EV2189"/>
  <c r="EV2190"/>
  <c r="EV2191"/>
  <c r="EV2192"/>
  <c r="EV2193"/>
  <c r="EV2194"/>
  <c r="EV2195"/>
  <c r="EV2196"/>
  <c r="EV2197"/>
  <c r="EV2198"/>
  <c r="EV2199"/>
  <c r="EV2200"/>
  <c r="EV2201"/>
  <c r="EV2202"/>
  <c r="EV2203"/>
  <c r="EV2204"/>
  <c r="EV2205"/>
  <c r="EV2206"/>
  <c r="EV2207"/>
  <c r="EV2208"/>
  <c r="EV2209"/>
  <c r="EV2210"/>
  <c r="EV2211"/>
  <c r="EV2212"/>
  <c r="EV2213"/>
  <c r="EV2214"/>
  <c r="EV2215"/>
  <c r="EV2216"/>
  <c r="EV2217"/>
  <c r="EV2218"/>
  <c r="EV2219"/>
  <c r="EV2220"/>
  <c r="EV2221"/>
  <c r="EV2222"/>
  <c r="EV2223"/>
  <c r="EV2224"/>
  <c r="EV2225"/>
  <c r="EV2226"/>
  <c r="EV2227"/>
  <c r="EV2228"/>
  <c r="EV2229"/>
  <c r="EV2230"/>
  <c r="EV2231"/>
  <c r="EV2232"/>
  <c r="EV2233"/>
  <c r="EV2234"/>
  <c r="EV2235"/>
  <c r="EV2236"/>
  <c r="EV2237"/>
  <c r="EV2238"/>
  <c r="EV2239"/>
  <c r="EV2240"/>
  <c r="EV2241"/>
  <c r="EV2242"/>
  <c r="EV2243"/>
  <c r="EV2244"/>
  <c r="EV2245"/>
  <c r="EV2246"/>
  <c r="EV2247"/>
  <c r="EV2248"/>
  <c r="EV2249"/>
  <c r="EV2250"/>
  <c r="EV2251"/>
  <c r="EV2252"/>
  <c r="EV2253"/>
  <c r="EV2254"/>
  <c r="EV2255"/>
  <c r="EV2256"/>
  <c r="EV2257"/>
  <c r="EV2258"/>
  <c r="EV2259"/>
  <c r="EV2260"/>
  <c r="EV2261"/>
  <c r="EV2262"/>
  <c r="EV2263"/>
  <c r="EV2264"/>
  <c r="EV2265"/>
  <c r="EV2266"/>
  <c r="EV2267"/>
  <c r="EV2268"/>
  <c r="EV2269"/>
  <c r="EV2270"/>
  <c r="EV2271"/>
  <c r="EV2272"/>
  <c r="EV2273"/>
  <c r="EV2274"/>
  <c r="EV2275"/>
  <c r="EV2276"/>
  <c r="EV2277"/>
  <c r="EV2278"/>
  <c r="EV2279"/>
  <c r="EV2280"/>
  <c r="EV2281"/>
  <c r="EV2282"/>
  <c r="EV2283"/>
  <c r="EV2284"/>
  <c r="EV2285"/>
  <c r="EV2286"/>
  <c r="EV2287"/>
  <c r="EV2288"/>
  <c r="EV2289"/>
  <c r="EV2290"/>
  <c r="EV2291"/>
  <c r="EV2292"/>
  <c r="EV2293"/>
  <c r="EV2294"/>
  <c r="EV2295"/>
  <c r="EV2296"/>
  <c r="EV2297"/>
  <c r="EV2298"/>
  <c r="EV2299"/>
  <c r="EV2300"/>
  <c r="EV2301"/>
  <c r="EV2302"/>
  <c r="EV2303"/>
  <c r="EV2304"/>
  <c r="EV2305"/>
  <c r="EV2306"/>
  <c r="EV2307"/>
  <c r="EV2308"/>
  <c r="EV2309"/>
  <c r="EV2310"/>
  <c r="EV2311"/>
  <c r="EV2312"/>
  <c r="EV2313"/>
  <c r="EV2314"/>
  <c r="EV2315"/>
  <c r="EV2316"/>
  <c r="EV2317"/>
  <c r="EV2318"/>
  <c r="EV2319"/>
  <c r="EV2320"/>
  <c r="EV2321"/>
  <c r="EV2322"/>
  <c r="EV2323"/>
  <c r="EV2324"/>
  <c r="EV2325"/>
  <c r="EV2326"/>
  <c r="EV2327"/>
  <c r="EV2328"/>
  <c r="EV2329"/>
  <c r="EV2330"/>
  <c r="EV2331"/>
  <c r="EV2332"/>
  <c r="EV2333"/>
  <c r="EV2334"/>
  <c r="EV2335"/>
  <c r="EV2336"/>
  <c r="EV2337"/>
  <c r="EV2338"/>
  <c r="EV2339"/>
  <c r="EV2340"/>
  <c r="EV2341"/>
  <c r="EV2342"/>
  <c r="EV2343"/>
  <c r="EV2344"/>
  <c r="EV2345"/>
  <c r="EV2346"/>
  <c r="EV2347"/>
  <c r="EV2348"/>
  <c r="EV2349"/>
  <c r="EV2350"/>
  <c r="EV2351"/>
  <c r="EV2352"/>
  <c r="EV2353"/>
  <c r="EV2354"/>
  <c r="EV2355"/>
  <c r="EV2356"/>
  <c r="EV2357"/>
  <c r="EV2358"/>
  <c r="EV2359"/>
  <c r="EV2360"/>
  <c r="EV2361"/>
  <c r="EV2362"/>
  <c r="EV2363"/>
  <c r="EV2364"/>
  <c r="EV2365"/>
  <c r="EV2366"/>
  <c r="EV2367"/>
  <c r="EV2368"/>
  <c r="EV2369"/>
  <c r="EV2370"/>
  <c r="EV2371"/>
  <c r="EV2372"/>
  <c r="EV2373"/>
  <c r="EV2374"/>
  <c r="EV2375"/>
  <c r="EV2376"/>
  <c r="EV2377"/>
  <c r="EV2378"/>
  <c r="EV2379"/>
  <c r="EV2380"/>
  <c r="EV2381"/>
  <c r="EV2382"/>
  <c r="EV2383"/>
  <c r="EV2384"/>
  <c r="EV2385"/>
  <c r="EV2386"/>
  <c r="EV2387"/>
  <c r="EV2388"/>
  <c r="EV2389"/>
  <c r="EV2390"/>
  <c r="EV2391"/>
  <c r="EV2392"/>
  <c r="EV2393"/>
  <c r="EV2394"/>
  <c r="EV2395"/>
  <c r="EV2396"/>
  <c r="EV2397"/>
  <c r="EV2398"/>
  <c r="EV2399"/>
  <c r="EV2400"/>
  <c r="EV2401"/>
  <c r="EV2402"/>
  <c r="EV2403"/>
  <c r="EV2404"/>
  <c r="EV2405"/>
  <c r="EV2406"/>
  <c r="EV2407"/>
  <c r="EV2408"/>
  <c r="EV2409"/>
  <c r="EV2410"/>
  <c r="EV2411"/>
  <c r="EV2412"/>
  <c r="EV2413"/>
  <c r="EV2414"/>
  <c r="EV2415"/>
  <c r="EV2416"/>
  <c r="EV2417"/>
  <c r="EV2418"/>
  <c r="EV2419"/>
  <c r="EV2420"/>
  <c r="EV2421"/>
  <c r="EV2422"/>
  <c r="EV2423"/>
  <c r="EV2424"/>
  <c r="EV2425"/>
  <c r="EV2426"/>
  <c r="EV2427"/>
  <c r="EV2428"/>
  <c r="EV2429"/>
  <c r="EV2430"/>
  <c r="EV2431"/>
  <c r="EV2432"/>
  <c r="EV2433"/>
  <c r="EV2434"/>
  <c r="EV2435"/>
  <c r="EV2436"/>
  <c r="EV2437"/>
  <c r="EV2438"/>
  <c r="EV2439"/>
  <c r="EV2440"/>
  <c r="EV2441"/>
  <c r="EV2442"/>
  <c r="EV2443"/>
  <c r="EV2444"/>
  <c r="EV2445"/>
  <c r="EV2446"/>
  <c r="EV2447"/>
  <c r="EV2448"/>
  <c r="EV2449"/>
  <c r="EV2450"/>
  <c r="EV2451"/>
  <c r="EV2452"/>
  <c r="EV2453"/>
  <c r="EV2454"/>
  <c r="EV2455"/>
  <c r="EV2456"/>
  <c r="EV2457"/>
  <c r="EV2458"/>
  <c r="EV2459"/>
  <c r="EV2460"/>
  <c r="EV2461"/>
  <c r="EV2462"/>
  <c r="EV2463"/>
  <c r="EV2464"/>
  <c r="EV2465"/>
  <c r="EV2466"/>
  <c r="EV2467"/>
  <c r="EV2468"/>
  <c r="EV2469"/>
  <c r="EV2470"/>
  <c r="EV2471"/>
  <c r="EV2472"/>
  <c r="EV2473"/>
  <c r="EV2474"/>
  <c r="EV2475"/>
  <c r="EV2476"/>
  <c r="EV2477"/>
  <c r="EV2478"/>
  <c r="EV2479"/>
  <c r="EV2480"/>
  <c r="EV2481"/>
  <c r="EV2482"/>
  <c r="EV2483"/>
  <c r="EV2484"/>
  <c r="EV2485"/>
  <c r="EV2486"/>
  <c r="EV2487"/>
  <c r="EV2488"/>
  <c r="EV2489"/>
  <c r="EV2490"/>
  <c r="EV2491"/>
  <c r="EV2492"/>
  <c r="EV2493"/>
  <c r="EV2494"/>
  <c r="EV2495"/>
  <c r="EV2496"/>
  <c r="EV2497"/>
  <c r="EV2498"/>
  <c r="EV2499"/>
  <c r="EV2500"/>
  <c r="EV2501"/>
  <c r="EV2502"/>
  <c r="EV2503"/>
  <c r="EV2504"/>
  <c r="EV2505"/>
  <c r="EV2506"/>
  <c r="EV2507"/>
  <c r="EV2508"/>
  <c r="EV2509"/>
  <c r="EV2510"/>
  <c r="EV2511"/>
  <c r="EV2512"/>
  <c r="EV2513"/>
  <c r="EV2514"/>
  <c r="EV2515"/>
  <c r="EV2516"/>
  <c r="EV2517"/>
  <c r="EV2518"/>
  <c r="EV2519"/>
  <c r="EV2520"/>
  <c r="EV2521"/>
  <c r="EV2522"/>
  <c r="EV2523"/>
  <c r="EV2524"/>
  <c r="EV2525"/>
  <c r="EV2526"/>
  <c r="EV2527"/>
  <c r="EV2528"/>
  <c r="EV2529"/>
  <c r="EV2530"/>
  <c r="EV2531"/>
  <c r="EV2532"/>
  <c r="EV2533"/>
  <c r="EV2534"/>
  <c r="EV2535"/>
  <c r="EV2536"/>
  <c r="EV2537"/>
  <c r="EV2538"/>
  <c r="EV2539"/>
  <c r="EV2540"/>
  <c r="EV2541"/>
  <c r="EV2542"/>
  <c r="EV2543"/>
  <c r="EV2544"/>
  <c r="EV2545"/>
  <c r="EV2546"/>
  <c r="EV2547"/>
  <c r="EV2548"/>
  <c r="EV2549"/>
  <c r="EV2550"/>
  <c r="EV2551"/>
  <c r="EV2552"/>
  <c r="EV2553"/>
  <c r="EV2554"/>
  <c r="EV2555"/>
  <c r="EV2556"/>
  <c r="EV2557"/>
  <c r="EV2558"/>
  <c r="EV2559"/>
  <c r="EV2560"/>
  <c r="EV2561"/>
  <c r="EV2562"/>
  <c r="EV2563"/>
  <c r="EV2564"/>
  <c r="EV2565"/>
  <c r="EV2566"/>
  <c r="EV2567"/>
  <c r="EV2568"/>
  <c r="EV2569"/>
  <c r="EV2570"/>
  <c r="EV2571"/>
  <c r="EV2572"/>
  <c r="EV2573"/>
  <c r="EV2574"/>
  <c r="EV2575"/>
  <c r="EV2576"/>
  <c r="EV2577"/>
  <c r="EV2578"/>
  <c r="EV2579"/>
  <c r="EV2580"/>
  <c r="EV2581"/>
  <c r="EV2582"/>
  <c r="EV2583"/>
  <c r="EV2584"/>
  <c r="EV2585"/>
  <c r="EV2586"/>
  <c r="EV2587"/>
  <c r="EV2588"/>
  <c r="EV2589"/>
  <c r="EV2590"/>
  <c r="EV2591"/>
  <c r="EV2592"/>
  <c r="EV2593"/>
  <c r="EV2594"/>
  <c r="EV2595"/>
  <c r="EV2596"/>
  <c r="EV2597"/>
  <c r="EV2598"/>
  <c r="EV2599"/>
  <c r="EV2600"/>
  <c r="EV2601"/>
  <c r="EV2602"/>
  <c r="EV2603"/>
  <c r="EV2604"/>
  <c r="EV2605"/>
  <c r="EV2606"/>
  <c r="EV2607"/>
  <c r="EV2608"/>
  <c r="EV2609"/>
  <c r="EV2610"/>
  <c r="EV2611"/>
  <c r="EV2612"/>
  <c r="EV2613"/>
  <c r="EV2614"/>
  <c r="EV2615"/>
  <c r="EV2616"/>
  <c r="EV2617"/>
  <c r="EV2618"/>
  <c r="EV2619"/>
  <c r="EV2620"/>
  <c r="EV2621"/>
  <c r="EV2622"/>
  <c r="EV2623"/>
  <c r="EV2624"/>
  <c r="EV2625"/>
  <c r="EV2626"/>
  <c r="EV2627"/>
  <c r="EV2628"/>
  <c r="EV2629"/>
  <c r="EV2630"/>
  <c r="EV2631"/>
  <c r="EV2632"/>
  <c r="EV2633"/>
  <c r="EV2634"/>
  <c r="EV2635"/>
  <c r="EV2636"/>
  <c r="EV2637"/>
  <c r="EV2638"/>
  <c r="EV2639"/>
  <c r="EV2640"/>
  <c r="EV2641"/>
  <c r="EV2642"/>
  <c r="EV2643"/>
  <c r="EV2644"/>
  <c r="EV2645"/>
  <c r="EV2646"/>
  <c r="EV2647"/>
  <c r="EV2648"/>
  <c r="EV2649"/>
  <c r="EV2650"/>
  <c r="EV2651"/>
  <c r="EV2652"/>
  <c r="EV2653"/>
  <c r="EV2654"/>
  <c r="EV2655"/>
  <c r="EV2656"/>
  <c r="EV2657"/>
  <c r="EV2658"/>
  <c r="EV2659"/>
  <c r="EV2660"/>
  <c r="EV2661"/>
  <c r="EV2662"/>
  <c r="EV2663"/>
  <c r="EV2664"/>
  <c r="EV2665"/>
  <c r="EV2666"/>
  <c r="EV2667"/>
  <c r="EV2668"/>
  <c r="EV2669"/>
  <c r="EV2670"/>
  <c r="EV2671"/>
  <c r="EV2672"/>
  <c r="EV2673"/>
  <c r="EV2674"/>
  <c r="EV2675"/>
  <c r="EV2676"/>
  <c r="EV2677"/>
  <c r="EV2678"/>
  <c r="EV2679"/>
  <c r="EV2680"/>
  <c r="EV2681"/>
  <c r="EV2682"/>
  <c r="EV2683"/>
  <c r="EV2684"/>
  <c r="EV2685"/>
  <c r="EV2686"/>
  <c r="EV2687"/>
  <c r="EV2688"/>
  <c r="EV2689"/>
  <c r="EV2690"/>
  <c r="EV2691"/>
  <c r="EV2692"/>
  <c r="EV2693"/>
  <c r="EV2694"/>
  <c r="EV2695"/>
  <c r="EV2696"/>
  <c r="EV2697"/>
  <c r="EV2698"/>
  <c r="EV2699"/>
  <c r="EV2700"/>
  <c r="EV2701"/>
  <c r="EV2702"/>
  <c r="EV2703"/>
  <c r="EV2704"/>
  <c r="EV2705"/>
  <c r="EV2706"/>
  <c r="EV2707"/>
  <c r="EV2708"/>
  <c r="EV2709"/>
  <c r="EV2710"/>
  <c r="EV2711"/>
  <c r="EV2712"/>
  <c r="EV2713"/>
  <c r="EV2714"/>
  <c r="EV2715"/>
  <c r="EV2716"/>
  <c r="EV2717"/>
  <c r="EV2718"/>
  <c r="EV2719"/>
  <c r="EV2720"/>
  <c r="EV2721"/>
  <c r="EV2722"/>
  <c r="EV2723"/>
  <c r="EV2724"/>
  <c r="EV2725"/>
  <c r="EV2726"/>
  <c r="EV2727"/>
  <c r="EV2728"/>
  <c r="EV2729"/>
  <c r="EV2730"/>
  <c r="EV2731"/>
  <c r="EV2732"/>
  <c r="EV2733"/>
  <c r="EV2734"/>
  <c r="EV2735"/>
  <c r="EV2736"/>
  <c r="EV2737"/>
  <c r="EV2738"/>
  <c r="EV2739"/>
  <c r="EV2740"/>
  <c r="EV2741"/>
  <c r="EV2742"/>
  <c r="EV2743"/>
  <c r="EV2744"/>
  <c r="EV2745"/>
  <c r="EV2746"/>
  <c r="EV2747"/>
  <c r="EV2748"/>
  <c r="EV2749"/>
  <c r="EV2750"/>
  <c r="EV2751"/>
  <c r="EV2752"/>
  <c r="EV2753"/>
  <c r="EV2754"/>
  <c r="EV2755"/>
  <c r="EV2756"/>
  <c r="EV2757"/>
  <c r="EV2758"/>
  <c r="EV2759"/>
  <c r="EV2760"/>
  <c r="EV2761"/>
  <c r="EV2762"/>
  <c r="EV2763"/>
  <c r="EV2764"/>
  <c r="EV2765"/>
  <c r="EV2766"/>
  <c r="EV2767"/>
  <c r="EV2768"/>
  <c r="EV2769"/>
  <c r="EV2770"/>
  <c r="EV2771"/>
  <c r="EV2772"/>
  <c r="EV2773"/>
  <c r="EV2774"/>
  <c r="EV2775"/>
  <c r="EV2776"/>
  <c r="EV2777"/>
  <c r="EV2778"/>
  <c r="EV2779"/>
  <c r="EV2780"/>
  <c r="EV2781"/>
  <c r="EV2782"/>
  <c r="EV2783"/>
  <c r="EV2784"/>
  <c r="EV2785"/>
  <c r="EV2786"/>
  <c r="EV2787"/>
  <c r="EV2788"/>
  <c r="EV2789"/>
  <c r="EV2790"/>
  <c r="EV2791"/>
  <c r="EV2792"/>
  <c r="EV2793"/>
  <c r="EV2794"/>
  <c r="EV2795"/>
  <c r="EV2796"/>
  <c r="EV2797"/>
  <c r="EV2798"/>
  <c r="EV2799"/>
  <c r="EV2800"/>
  <c r="EV2801"/>
  <c r="EV2802"/>
  <c r="EV2803"/>
  <c r="EV2804"/>
  <c r="EV2805"/>
  <c r="EV2806"/>
  <c r="EV2807"/>
  <c r="EV2808"/>
  <c r="EV2809"/>
  <c r="EV2810"/>
  <c r="EV2811"/>
  <c r="EV2812"/>
  <c r="EV2813"/>
  <c r="EV2814"/>
  <c r="EV2815"/>
  <c r="EV2816"/>
  <c r="EV2817"/>
  <c r="EV2818"/>
  <c r="EV2819"/>
  <c r="EV2820"/>
  <c r="EV2821"/>
  <c r="EV2822"/>
  <c r="EV2823"/>
  <c r="EV2824"/>
  <c r="EV2825"/>
  <c r="EV2826"/>
  <c r="EV2827"/>
  <c r="EV2828"/>
  <c r="EV2829"/>
  <c r="EV2830"/>
  <c r="EV2831"/>
  <c r="EV2832"/>
  <c r="EV2833"/>
  <c r="EV2834"/>
  <c r="EV2835"/>
  <c r="EV2836"/>
  <c r="EV2837"/>
  <c r="EV2838"/>
  <c r="EV2839"/>
  <c r="EV2840"/>
  <c r="EV2841"/>
  <c r="EV2842"/>
  <c r="EV2843"/>
  <c r="EV2844"/>
  <c r="EV2845"/>
  <c r="EV2846"/>
  <c r="EV2847"/>
  <c r="EV2848"/>
  <c r="EV2849"/>
  <c r="EV2850"/>
  <c r="EV2851"/>
  <c r="EV2852"/>
  <c r="EV2853"/>
  <c r="EV2854"/>
  <c r="EV2855"/>
  <c r="EV2856"/>
  <c r="EV2857"/>
  <c r="EV2858"/>
  <c r="EV2859"/>
  <c r="EV2860"/>
  <c r="EV2861"/>
  <c r="EV2862"/>
  <c r="EV2863"/>
  <c r="EV2864"/>
  <c r="EV2865"/>
  <c r="EV2866"/>
  <c r="EV2867"/>
  <c r="EV2868"/>
  <c r="EV2869"/>
  <c r="EV2870"/>
  <c r="EV2871"/>
  <c r="EV2872"/>
  <c r="EV2873"/>
  <c r="EV2874"/>
  <c r="EV2875"/>
  <c r="EV2876"/>
  <c r="EV2877"/>
  <c r="EV2878"/>
  <c r="EV2879"/>
  <c r="EV2880"/>
  <c r="EV2881"/>
  <c r="EV2882"/>
  <c r="EV2883"/>
  <c r="EV2884"/>
  <c r="EV2885"/>
  <c r="EV2886"/>
  <c r="EV2887"/>
  <c r="EV2888"/>
  <c r="EV2889"/>
  <c r="EV2890"/>
  <c r="EV2891"/>
  <c r="EV2892"/>
  <c r="EV2893"/>
  <c r="EV2894"/>
  <c r="EV2895"/>
  <c r="EV2896"/>
  <c r="EV2897"/>
  <c r="EV2898"/>
  <c r="EV2899"/>
  <c r="EV2900"/>
  <c r="EV2901"/>
  <c r="EV2902"/>
  <c r="EV2903"/>
  <c r="EV2904"/>
  <c r="EV2905"/>
  <c r="EV2906"/>
  <c r="EV2907"/>
  <c r="EV2908"/>
  <c r="EV2909"/>
  <c r="EV2910"/>
  <c r="EV2911"/>
  <c r="EV2912"/>
  <c r="EV2913"/>
  <c r="EV2914"/>
  <c r="EV2915"/>
  <c r="EV2916"/>
  <c r="EV2917"/>
  <c r="EV2918"/>
  <c r="EV2919"/>
  <c r="EV2920"/>
  <c r="EV2921"/>
  <c r="EV2922"/>
  <c r="EV2923"/>
  <c r="EV2924"/>
  <c r="EV2925"/>
  <c r="EV2926"/>
  <c r="EV2927"/>
  <c r="EV2928"/>
  <c r="EV2929"/>
  <c r="EV2930"/>
  <c r="EV2931"/>
  <c r="EV2932"/>
  <c r="EV2933"/>
  <c r="EV2934"/>
  <c r="EV2935"/>
  <c r="EV2936"/>
  <c r="EV2937"/>
  <c r="EV2938"/>
  <c r="EV2939"/>
  <c r="EV2940"/>
  <c r="EV2941"/>
  <c r="EV2942"/>
  <c r="EV2943"/>
  <c r="EV2944"/>
  <c r="EV2945"/>
  <c r="EV2946"/>
  <c r="EV2947"/>
  <c r="EV2948"/>
  <c r="EV2949"/>
  <c r="EV2950"/>
  <c r="EV2951"/>
  <c r="EV2952"/>
  <c r="EV2953"/>
  <c r="EV2954"/>
  <c r="EV2955"/>
  <c r="EV2956"/>
  <c r="EV2957"/>
  <c r="EV2958"/>
  <c r="EV2959"/>
  <c r="EV2960"/>
  <c r="EV2961"/>
  <c r="EV2962"/>
  <c r="EV2963"/>
  <c r="EV2964"/>
  <c r="EV2965"/>
  <c r="EV2966"/>
  <c r="EV2967"/>
  <c r="EV2968"/>
  <c r="EV2969"/>
  <c r="EV2970"/>
  <c r="EV2971"/>
  <c r="EV2972"/>
  <c r="EV2973"/>
  <c r="EV2974"/>
  <c r="EV2975"/>
  <c r="EV2976"/>
  <c r="EV2977"/>
  <c r="EV2978"/>
  <c r="EV2979"/>
  <c r="EV2980"/>
  <c r="EV2981"/>
  <c r="EV2982"/>
  <c r="EV2983"/>
  <c r="EV2984"/>
  <c r="EV2985"/>
  <c r="EV2986"/>
  <c r="EV2987"/>
  <c r="EV2988"/>
  <c r="EV2989"/>
  <c r="EV2990"/>
  <c r="EV2991"/>
  <c r="EV2992"/>
  <c r="EV2993"/>
  <c r="EV2994"/>
  <c r="EV2995"/>
  <c r="EV2996"/>
  <c r="EV2997"/>
  <c r="EV2998"/>
  <c r="EV2999"/>
  <c r="EV3000"/>
  <c r="EV3001"/>
  <c r="EV3002"/>
  <c r="EV3003"/>
  <c r="EV3004"/>
  <c r="EV3005"/>
  <c r="EV3006"/>
  <c r="EV3007"/>
  <c r="EV3008"/>
  <c r="EV3009"/>
  <c r="EV3010"/>
  <c r="EV3011"/>
  <c r="EV3012"/>
  <c r="EV3013"/>
  <c r="EV3014"/>
  <c r="EV3015"/>
  <c r="EV3016"/>
  <c r="EV3017"/>
  <c r="EV3018"/>
  <c r="EV3019"/>
  <c r="EV3020"/>
  <c r="EV3021"/>
  <c r="EV3022"/>
  <c r="EV3023"/>
  <c r="EV3024"/>
  <c r="EV3025"/>
  <c r="EV3026"/>
  <c r="EV3027"/>
  <c r="EV3028"/>
  <c r="EV3029"/>
  <c r="EV3030"/>
  <c r="EV3031"/>
  <c r="EV3032"/>
  <c r="EV3033"/>
  <c r="EV3034"/>
  <c r="EV3035"/>
  <c r="EV3036"/>
  <c r="EV3037"/>
  <c r="EV3038"/>
  <c r="EV3039"/>
  <c r="EV3040"/>
  <c r="EV3041"/>
  <c r="EV3042"/>
  <c r="EV3043"/>
  <c r="EV3044"/>
  <c r="EV3045"/>
  <c r="EV3046"/>
  <c r="EV3047"/>
  <c r="EV3048"/>
  <c r="EV3049"/>
  <c r="EV3050"/>
  <c r="EV3051"/>
  <c r="EV3052"/>
  <c r="EV3053"/>
  <c r="EV3054"/>
  <c r="EV3055"/>
  <c r="EV3056"/>
  <c r="EV3057"/>
  <c r="EV3058"/>
  <c r="EV3059"/>
  <c r="EV3060"/>
  <c r="EV3061"/>
  <c r="EV3062"/>
  <c r="EV3063"/>
  <c r="EV3064"/>
  <c r="EV3065"/>
  <c r="EV3066"/>
  <c r="EV3067"/>
  <c r="EV3068"/>
  <c r="EV3069"/>
  <c r="EV3070"/>
  <c r="EV3071"/>
  <c r="EV3072"/>
  <c r="EV3073"/>
  <c r="EV3074"/>
  <c r="EV3075"/>
  <c r="EV3076"/>
  <c r="EV3077"/>
  <c r="EV3078"/>
  <c r="EV3079"/>
  <c r="EV3080"/>
  <c r="EV3081"/>
  <c r="EV3082"/>
  <c r="EV3083"/>
  <c r="EV3084"/>
  <c r="EV3085"/>
  <c r="EV3086"/>
  <c r="EV3087"/>
  <c r="EV3088"/>
  <c r="EV3089"/>
  <c r="EV3090"/>
  <c r="EV3091"/>
  <c r="EV3092"/>
  <c r="EV3093"/>
  <c r="EV3094"/>
  <c r="EV3095"/>
  <c r="EV3096"/>
  <c r="EV3097"/>
  <c r="EV3098"/>
  <c r="EV3099"/>
  <c r="EV3100"/>
  <c r="EV3101"/>
  <c r="EV3102"/>
  <c r="EV3103"/>
  <c r="EV3104"/>
  <c r="EV3105"/>
  <c r="EV3106"/>
  <c r="EV3107"/>
  <c r="EV3108"/>
  <c r="EV3109"/>
  <c r="EV3110"/>
  <c r="EV3111"/>
  <c r="EV3112"/>
  <c r="EV3113"/>
  <c r="EV3114"/>
  <c r="EV3115"/>
  <c r="EV3116"/>
  <c r="EV3117"/>
  <c r="EV3118"/>
  <c r="EV3119"/>
  <c r="EV3120"/>
  <c r="EV3121"/>
  <c r="EV3122"/>
  <c r="EV3123"/>
  <c r="EV3124"/>
  <c r="EV3125"/>
  <c r="EV3126"/>
  <c r="EV3127"/>
  <c r="EV3128"/>
  <c r="EV3129"/>
  <c r="EV3130"/>
  <c r="EV3131"/>
  <c r="EV3132"/>
  <c r="EV3133"/>
  <c r="EV3134"/>
  <c r="EV3135"/>
  <c r="EV3136"/>
  <c r="EV3137"/>
  <c r="EV3138"/>
  <c r="EV3139"/>
  <c r="EV3140"/>
  <c r="EV3141"/>
  <c r="EV3142"/>
  <c r="EV3143"/>
  <c r="EV3144"/>
  <c r="EV3145"/>
  <c r="EV3146"/>
  <c r="EV3147"/>
  <c r="EV3148"/>
  <c r="EV3149"/>
  <c r="EV3150"/>
  <c r="EV3151"/>
  <c r="EV3152"/>
  <c r="EV3153"/>
  <c r="EV3154"/>
  <c r="EV3155"/>
  <c r="EV3156"/>
  <c r="EV3157"/>
  <c r="EV3158"/>
  <c r="EV3159"/>
  <c r="EV3160"/>
  <c r="EV3161"/>
  <c r="EV3162"/>
  <c r="EV3163"/>
  <c r="EV3164"/>
  <c r="EV3165"/>
  <c r="EV3166"/>
  <c r="EV3167"/>
  <c r="EV3168"/>
  <c r="EV3169"/>
  <c r="EV3170"/>
  <c r="EV3171"/>
  <c r="EV3172"/>
  <c r="EV3173"/>
  <c r="EV3174"/>
  <c r="EV3175"/>
  <c r="EV3176"/>
  <c r="EV3177"/>
  <c r="EV3178"/>
  <c r="EV3179"/>
  <c r="EV3180"/>
  <c r="EV3181"/>
  <c r="EV3182"/>
  <c r="EV3183"/>
  <c r="EV3184"/>
  <c r="EV3185"/>
  <c r="EV3186"/>
  <c r="EV3187"/>
  <c r="EV3188"/>
  <c r="EV3189"/>
  <c r="EV3190"/>
  <c r="EV3191"/>
  <c r="EV3192"/>
  <c r="EV3193"/>
  <c r="EV3194"/>
  <c r="EV3195"/>
  <c r="EV3196"/>
  <c r="EV3197"/>
  <c r="EV3198"/>
  <c r="EV3199"/>
  <c r="EV3200"/>
  <c r="EV3201"/>
  <c r="EV3202"/>
  <c r="EV3203"/>
  <c r="EV3204"/>
  <c r="EV3205"/>
  <c r="EV3206"/>
  <c r="EV3207"/>
  <c r="EV3208"/>
  <c r="EV3209"/>
  <c r="EV3210"/>
  <c r="EV3211"/>
  <c r="EV3212"/>
  <c r="EV3213"/>
  <c r="EV3214"/>
  <c r="EV3215"/>
  <c r="EV3216"/>
  <c r="EV3217"/>
  <c r="EV3218"/>
  <c r="EV3219"/>
  <c r="EV3220"/>
  <c r="EV3221"/>
  <c r="EV3222"/>
  <c r="EV3223"/>
  <c r="EV3224"/>
  <c r="EV3225"/>
  <c r="EV3226"/>
  <c r="EV3227"/>
  <c r="EV3228"/>
  <c r="EV3229"/>
  <c r="EV3230"/>
  <c r="EV3231"/>
  <c r="EV3232"/>
  <c r="EV3233"/>
  <c r="EV3234"/>
  <c r="EV3235"/>
  <c r="EV3236"/>
  <c r="EV3237"/>
  <c r="EV3238"/>
  <c r="EV3239"/>
  <c r="EV3240"/>
  <c r="EV3241"/>
  <c r="EV3242"/>
  <c r="EV3243"/>
  <c r="EV3244"/>
  <c r="EV3245"/>
  <c r="EV3246"/>
  <c r="EV3247"/>
  <c r="EV3248"/>
  <c r="EV3249"/>
  <c r="EV3250"/>
  <c r="EV3251"/>
  <c r="EV3252"/>
  <c r="EV3253"/>
  <c r="EV3254"/>
  <c r="EV3255"/>
  <c r="EV3256"/>
  <c r="EV3257"/>
  <c r="EV3258"/>
  <c r="EV3259"/>
  <c r="EV3260"/>
  <c r="EV3261"/>
  <c r="EV3262"/>
  <c r="EV3263"/>
  <c r="EV3264"/>
  <c r="EV3265"/>
  <c r="EV3266"/>
  <c r="EV3267"/>
  <c r="EV3268"/>
  <c r="EV3269"/>
  <c r="EV3270"/>
  <c r="EV3271"/>
  <c r="EV3272"/>
  <c r="EV3273"/>
  <c r="EV3274"/>
  <c r="EV3275"/>
  <c r="EV3276"/>
  <c r="EV3277"/>
  <c r="EV3278"/>
  <c r="EV3279"/>
  <c r="EV3280"/>
  <c r="EV3281"/>
  <c r="EV3282"/>
  <c r="EV3283"/>
  <c r="EV3284"/>
  <c r="EV3285"/>
  <c r="EV3286"/>
  <c r="EV3287"/>
  <c r="EV3288"/>
  <c r="EV3289"/>
  <c r="EV3290"/>
  <c r="EV3291"/>
  <c r="EV3292"/>
  <c r="EV3293"/>
  <c r="EV3294"/>
  <c r="EV3295"/>
  <c r="EV3296"/>
  <c r="EV3297"/>
  <c r="EV3298"/>
  <c r="EV3299"/>
  <c r="EV3300"/>
  <c r="EV3301"/>
  <c r="EV3302"/>
  <c r="EV3303"/>
  <c r="EV3304"/>
  <c r="EV3305"/>
  <c r="EV3306"/>
  <c r="EV3307"/>
  <c r="EV3308"/>
  <c r="EV3309"/>
  <c r="EV3310"/>
  <c r="EV3311"/>
  <c r="EV3312"/>
  <c r="EV3313"/>
  <c r="EV3314"/>
  <c r="EV3315"/>
  <c r="EV3316"/>
  <c r="EV3317"/>
  <c r="EV3318"/>
  <c r="EV3319"/>
  <c r="EV3320"/>
  <c r="EV3321"/>
  <c r="EV3322"/>
  <c r="EV3323"/>
  <c r="EV3324"/>
  <c r="EV3325"/>
  <c r="EV3326"/>
  <c r="EV3327"/>
  <c r="EV3328"/>
  <c r="EV3329"/>
  <c r="EV3330"/>
  <c r="EV3331"/>
  <c r="EV3332"/>
  <c r="EV3333"/>
  <c r="EV3334"/>
  <c r="EV3335"/>
  <c r="EV3336"/>
  <c r="EV3337"/>
  <c r="EV3338"/>
  <c r="EV3339"/>
  <c r="EV3340"/>
  <c r="EV3341"/>
  <c r="EV3342"/>
  <c r="EV3343"/>
  <c r="EV3344"/>
  <c r="EV3345"/>
  <c r="EV3346"/>
  <c r="EV3347"/>
  <c r="EV3348"/>
  <c r="EV3349"/>
  <c r="EV3350"/>
  <c r="EV3351"/>
  <c r="EV3352"/>
  <c r="EV3353"/>
  <c r="EV3354"/>
  <c r="EV3355"/>
  <c r="EV3356"/>
  <c r="EV3357"/>
  <c r="EV3358"/>
  <c r="EV3359"/>
  <c r="EV3360"/>
  <c r="EV3361"/>
  <c r="EV3362"/>
  <c r="EV3363"/>
  <c r="EV3364"/>
  <c r="EV3365"/>
  <c r="EV3366"/>
  <c r="EV3367"/>
  <c r="EV3368"/>
  <c r="EV3369"/>
  <c r="EV3370"/>
  <c r="EV3371"/>
  <c r="EV3372"/>
  <c r="EV3373"/>
  <c r="EV3374"/>
  <c r="EV3375"/>
  <c r="EV3376"/>
  <c r="EV3377"/>
  <c r="EV3378"/>
  <c r="EV3379"/>
  <c r="EV3380"/>
  <c r="EV3381"/>
  <c r="EV3382"/>
  <c r="EV3383"/>
  <c r="EV3384"/>
  <c r="EV3385"/>
  <c r="EV3386"/>
  <c r="EV3387"/>
  <c r="EV3388"/>
  <c r="EV3389"/>
  <c r="EV3390"/>
  <c r="EV3391"/>
  <c r="EV3392"/>
  <c r="EV3393"/>
  <c r="EV3394"/>
  <c r="EV3395"/>
  <c r="EV3396"/>
  <c r="EV3397"/>
  <c r="EV3398"/>
  <c r="EV3399"/>
  <c r="EV3400"/>
  <c r="EV3401"/>
  <c r="EV3402"/>
  <c r="EV3403"/>
  <c r="EV3404"/>
  <c r="EV3405"/>
  <c r="EV3406"/>
  <c r="EV3407"/>
  <c r="EV3408"/>
  <c r="EV3409"/>
  <c r="EV3410"/>
  <c r="EV3411"/>
  <c r="EV3412"/>
  <c r="EV3413"/>
  <c r="EV3414"/>
  <c r="EV3415"/>
  <c r="EV3416"/>
  <c r="EV3417"/>
  <c r="EV3418"/>
  <c r="EV3419"/>
  <c r="EV3420"/>
  <c r="EV3421"/>
  <c r="EV3422"/>
  <c r="EV3423"/>
  <c r="EV3424"/>
  <c r="EV3425"/>
  <c r="EV3426"/>
  <c r="EV3427"/>
  <c r="EV3428"/>
  <c r="EV3429"/>
  <c r="EV3430"/>
  <c r="EV3431"/>
  <c r="EV3432"/>
  <c r="EV3433"/>
  <c r="EV3434"/>
  <c r="EV3435"/>
  <c r="EV3436"/>
  <c r="EV3437"/>
  <c r="EV3438"/>
  <c r="EV3439"/>
  <c r="EV3440"/>
  <c r="EV3441"/>
  <c r="EV3442"/>
  <c r="EV3443"/>
  <c r="EV3444"/>
  <c r="EV3445"/>
  <c r="EV3446"/>
  <c r="EV3447"/>
  <c r="EV3448"/>
  <c r="EV3449"/>
  <c r="EV3450"/>
  <c r="EV3451"/>
  <c r="EV3452"/>
  <c r="EV3453"/>
  <c r="EV3454"/>
  <c r="EV3455"/>
  <c r="EV10"/>
  <c r="AC46"/>
  <c r="AC45"/>
  <c r="Y46"/>
  <c r="Y48"/>
  <c r="Y45"/>
  <c r="E50" l="1"/>
  <c r="FK11"/>
  <c r="FK12"/>
  <c r="FK13"/>
  <c r="FK14"/>
  <c r="FK15"/>
  <c r="FK16"/>
  <c r="FK17"/>
  <c r="FK18"/>
  <c r="FK19"/>
  <c r="FK20"/>
  <c r="FK21"/>
  <c r="FK22"/>
  <c r="FK23"/>
  <c r="FK24"/>
  <c r="FK25"/>
  <c r="FK26"/>
  <c r="FK27"/>
  <c r="FK28"/>
  <c r="FK29"/>
  <c r="FK30"/>
  <c r="FK31"/>
  <c r="FK32"/>
  <c r="FK10"/>
  <c r="FJ11"/>
  <c r="FJ12"/>
  <c r="FJ13"/>
  <c r="FJ14"/>
  <c r="FJ15"/>
  <c r="FJ16"/>
  <c r="FJ17"/>
  <c r="FJ18"/>
  <c r="FJ19"/>
  <c r="FJ20"/>
  <c r="FJ21"/>
  <c r="FJ22"/>
  <c r="FJ23"/>
  <c r="FJ24"/>
  <c r="FJ25"/>
  <c r="FJ26"/>
  <c r="FJ27"/>
  <c r="FJ28"/>
  <c r="FJ29"/>
  <c r="FJ30"/>
  <c r="FJ31"/>
  <c r="FJ32"/>
  <c r="FJ10"/>
  <c r="FI11"/>
  <c r="FI12"/>
  <c r="FI13"/>
  <c r="FI14"/>
  <c r="FI15"/>
  <c r="FI16"/>
  <c r="FI17"/>
  <c r="FI18"/>
  <c r="FI19"/>
  <c r="FI20"/>
  <c r="FI21"/>
  <c r="FI22"/>
  <c r="FI23"/>
  <c r="FI24"/>
  <c r="FI25"/>
  <c r="FI26"/>
  <c r="FI27"/>
  <c r="FI28"/>
  <c r="FI29"/>
  <c r="FI30"/>
  <c r="FI31"/>
  <c r="FI32"/>
  <c r="FI10"/>
  <c r="FO6"/>
  <c r="FM6"/>
  <c r="AT6"/>
  <c r="ET6" s="1"/>
  <c r="FH31"/>
  <c r="FH32"/>
  <c r="FH11"/>
  <c r="FH12"/>
  <c r="FH13"/>
  <c r="FH14"/>
  <c r="FH15"/>
  <c r="FH16"/>
  <c r="FH17"/>
  <c r="FH18"/>
  <c r="FH19"/>
  <c r="FH20"/>
  <c r="FH21"/>
  <c r="FH22"/>
  <c r="FH23"/>
  <c r="FH24"/>
  <c r="FH25"/>
  <c r="FH26"/>
  <c r="FH27"/>
  <c r="FH28"/>
  <c r="FH29"/>
  <c r="FH30"/>
  <c r="FH10"/>
  <c r="FI9"/>
  <c r="FK9"/>
  <c r="FJ9"/>
  <c r="FH1009"/>
  <c r="FH1010"/>
  <c r="FH1011"/>
  <c r="FH1012"/>
  <c r="FH1013"/>
  <c r="FH1014"/>
  <c r="FH1015"/>
  <c r="FH1016"/>
  <c r="FH1017"/>
  <c r="FH1018"/>
  <c r="FH1019"/>
  <c r="FH1020"/>
  <c r="FH1021"/>
  <c r="FH1022"/>
  <c r="FH1023"/>
  <c r="FH1024"/>
  <c r="FH1025"/>
  <c r="FH1026"/>
  <c r="FH1027"/>
  <c r="FH1028"/>
  <c r="FH1029"/>
  <c r="FH1030"/>
  <c r="FH1031"/>
  <c r="FH1032"/>
  <c r="FH1033"/>
  <c r="FH1034"/>
  <c r="FH1035"/>
  <c r="FH1036"/>
  <c r="FH1037"/>
  <c r="FH1038"/>
  <c r="FH1039"/>
  <c r="FH1040"/>
  <c r="FH1041"/>
  <c r="FH1042"/>
  <c r="FH1043"/>
  <c r="FH1044"/>
  <c r="FH1045"/>
  <c r="FH1046"/>
  <c r="FH1047"/>
  <c r="FH1048"/>
  <c r="FH1049"/>
  <c r="FH1050"/>
  <c r="FH1051"/>
  <c r="FH1052"/>
  <c r="FH1053"/>
  <c r="FH1054"/>
  <c r="FH1055"/>
  <c r="FH1056"/>
  <c r="FH1057"/>
  <c r="FH1058"/>
  <c r="FH1059"/>
  <c r="FH1060"/>
  <c r="FH1061"/>
  <c r="FH1062"/>
  <c r="FH1063"/>
  <c r="FH1064"/>
  <c r="FH1065"/>
  <c r="FH1066"/>
  <c r="FH1067"/>
  <c r="FH1068"/>
  <c r="FH1069"/>
  <c r="FH1070"/>
  <c r="FH1071"/>
  <c r="FH1072"/>
  <c r="FH1073"/>
  <c r="FH1074"/>
  <c r="FH1075"/>
  <c r="FH1076"/>
  <c r="FH1077"/>
  <c r="FH1078"/>
  <c r="FH1079"/>
  <c r="FH1080"/>
  <c r="FH1081"/>
  <c r="FH1082"/>
  <c r="FH1083"/>
  <c r="FH1084"/>
  <c r="FH1085"/>
  <c r="FH1086"/>
  <c r="FH1087"/>
  <c r="FH1088"/>
  <c r="FH1089"/>
  <c r="FH1090"/>
  <c r="FH1091"/>
  <c r="FH1092"/>
  <c r="FH1093"/>
  <c r="FH1094"/>
  <c r="FH1095"/>
  <c r="FH1096"/>
  <c r="FH1097"/>
  <c r="FH1098"/>
  <c r="FH1099"/>
  <c r="FH1100"/>
  <c r="FH1101"/>
  <c r="FH1102"/>
  <c r="FH1103"/>
  <c r="FH1104"/>
  <c r="FH1105"/>
  <c r="FH1106"/>
  <c r="FH1107"/>
  <c r="FH1108"/>
  <c r="FH1109"/>
  <c r="FH1110"/>
  <c r="FH1111"/>
  <c r="FH1112"/>
  <c r="FH1113"/>
  <c r="FH1114"/>
  <c r="FH1115"/>
  <c r="FH1116"/>
  <c r="FH1117"/>
  <c r="FH1118"/>
  <c r="FH1119"/>
  <c r="FH1120"/>
  <c r="FH1121"/>
  <c r="FH1122"/>
  <c r="FH1123"/>
  <c r="FH1124"/>
  <c r="FH1125"/>
  <c r="FH1126"/>
  <c r="FH1127"/>
  <c r="FH1128"/>
  <c r="FH1129"/>
  <c r="FH1130"/>
  <c r="FH1131"/>
  <c r="FH1132"/>
  <c r="FH1133"/>
  <c r="FH1134"/>
  <c r="FH1135"/>
  <c r="FH1136"/>
  <c r="FH1137"/>
  <c r="FH1138"/>
  <c r="FH1139"/>
  <c r="FH1140"/>
  <c r="FH1141"/>
  <c r="FH1142"/>
  <c r="FH1143"/>
  <c r="FH1144"/>
  <c r="FH1145"/>
  <c r="FH1146"/>
  <c r="FH1147"/>
  <c r="FH1148"/>
  <c r="FH1149"/>
  <c r="FH1150"/>
  <c r="FH1151"/>
  <c r="FH1152"/>
  <c r="FH1153"/>
  <c r="FH1154"/>
  <c r="FH1155"/>
  <c r="FH1156"/>
  <c r="FH1157"/>
  <c r="FH1158"/>
  <c r="FH1159"/>
  <c r="FH1160"/>
  <c r="FH1161"/>
  <c r="FH1162"/>
  <c r="FH1163"/>
  <c r="FH1164"/>
  <c r="FH1165"/>
  <c r="FH1166"/>
  <c r="FH1167"/>
  <c r="FH1168"/>
  <c r="FH1169"/>
  <c r="FH1170"/>
  <c r="FH1171"/>
  <c r="FH1172"/>
  <c r="FH1173"/>
  <c r="FH1174"/>
  <c r="FH1175"/>
  <c r="FH1176"/>
  <c r="FH1177"/>
  <c r="FH1178"/>
  <c r="FH1179"/>
  <c r="FH1180"/>
  <c r="FH1181"/>
  <c r="FH1182"/>
  <c r="FH1183"/>
  <c r="FH1184"/>
  <c r="FH1185"/>
  <c r="FH1186"/>
  <c r="FH1187"/>
  <c r="FH1188"/>
  <c r="FH1189"/>
  <c r="FH1190"/>
  <c r="FH1191"/>
  <c r="FH1192"/>
  <c r="FH1193"/>
  <c r="FH1194"/>
  <c r="FH1195"/>
  <c r="FH1196"/>
  <c r="FH1197"/>
  <c r="FH1198"/>
  <c r="FH1199"/>
  <c r="FH1200"/>
  <c r="FH1201"/>
  <c r="FH1202"/>
  <c r="FH1203"/>
  <c r="FH1204"/>
  <c r="FH1205"/>
  <c r="FH1206"/>
  <c r="FH1207"/>
  <c r="FH1208"/>
  <c r="FH1209"/>
  <c r="FH1210"/>
  <c r="FH1211"/>
  <c r="FH1212"/>
  <c r="FH1213"/>
  <c r="FH1214"/>
  <c r="FH1215"/>
  <c r="FH1216"/>
  <c r="FH1217"/>
  <c r="FH1218"/>
  <c r="FH1219"/>
  <c r="FH1220"/>
  <c r="FH1221"/>
  <c r="FH1222"/>
  <c r="FH1223"/>
  <c r="FH1224"/>
  <c r="FH1225"/>
  <c r="FH1226"/>
  <c r="FH1227"/>
  <c r="FH1228"/>
  <c r="FH1229"/>
  <c r="FH1230"/>
  <c r="FH1231"/>
  <c r="FH1232"/>
  <c r="FH1233"/>
  <c r="FH1234"/>
  <c r="FH1235"/>
  <c r="FH1236"/>
  <c r="FH1237"/>
  <c r="FH1238"/>
  <c r="FH1239"/>
  <c r="FH1240"/>
  <c r="FH1241"/>
  <c r="FH1242"/>
  <c r="FH1243"/>
  <c r="FH1244"/>
  <c r="FH1245"/>
  <c r="FH1246"/>
  <c r="FH1247"/>
  <c r="FH1248"/>
  <c r="FH1249"/>
  <c r="FH1250"/>
  <c r="FH1251"/>
  <c r="FH1252"/>
  <c r="FH1253"/>
  <c r="FH1254"/>
  <c r="FH1255"/>
  <c r="FH1256"/>
  <c r="FH1257"/>
  <c r="FH1258"/>
  <c r="FH1259"/>
  <c r="FH1260"/>
  <c r="FH1261"/>
  <c r="FH1262"/>
  <c r="FH1263"/>
  <c r="FH1264"/>
  <c r="FH1265"/>
  <c r="FH1266"/>
  <c r="FH1267"/>
  <c r="FH1268"/>
  <c r="FH1269"/>
  <c r="FH1270"/>
  <c r="FH1271"/>
  <c r="FH1272"/>
  <c r="FH1273"/>
  <c r="FH1274"/>
  <c r="FH1275"/>
  <c r="FH1276"/>
  <c r="FH1277"/>
  <c r="FH1278"/>
  <c r="FH1279"/>
  <c r="FH1280"/>
  <c r="FH1281"/>
  <c r="FH1282"/>
  <c r="FH1283"/>
  <c r="FH1284"/>
  <c r="FH1285"/>
  <c r="FH1286"/>
  <c r="FH1287"/>
  <c r="FH1288"/>
  <c r="FH1289"/>
  <c r="FH1290"/>
  <c r="FH1291"/>
  <c r="FH1292"/>
  <c r="FH1293"/>
  <c r="FH1294"/>
  <c r="FH1295"/>
  <c r="FH1296"/>
  <c r="FH1297"/>
  <c r="FH1298"/>
  <c r="FH1299"/>
  <c r="FH1300"/>
  <c r="FH1301"/>
  <c r="FH1302"/>
  <c r="FH1303"/>
  <c r="FH1304"/>
  <c r="FH1305"/>
  <c r="FH1306"/>
  <c r="FH1307"/>
  <c r="FH1308"/>
  <c r="FH1309"/>
  <c r="FH1310"/>
  <c r="FH1311"/>
  <c r="FH1312"/>
  <c r="FH1313"/>
  <c r="FH1314"/>
  <c r="FH1315"/>
  <c r="FH1316"/>
  <c r="FH1317"/>
  <c r="FH1318"/>
  <c r="FH1319"/>
  <c r="FH1320"/>
  <c r="FH1321"/>
  <c r="FH1322"/>
  <c r="FH1323"/>
  <c r="FH1324"/>
  <c r="FH1325"/>
  <c r="FH1326"/>
  <c r="FH1327"/>
  <c r="FH1328"/>
  <c r="FH1329"/>
  <c r="FH1330"/>
  <c r="FH1331"/>
  <c r="FH1332"/>
  <c r="FH1333"/>
  <c r="FH1334"/>
  <c r="FH1335"/>
  <c r="FH1336"/>
  <c r="FH1337"/>
  <c r="FH1338"/>
  <c r="FH1339"/>
  <c r="FH1340"/>
  <c r="FH1341"/>
  <c r="FH1342"/>
  <c r="FH1343"/>
  <c r="FH1344"/>
  <c r="FH1345"/>
  <c r="FH1346"/>
  <c r="FH1347"/>
  <c r="FH1348"/>
  <c r="FH1349"/>
  <c r="FH1350"/>
  <c r="FH1351"/>
  <c r="FH1352"/>
  <c r="FH1353"/>
  <c r="FH1354"/>
  <c r="FH1355"/>
  <c r="FH1356"/>
  <c r="FH1357"/>
  <c r="FH1358"/>
  <c r="FH1359"/>
  <c r="FH1360"/>
  <c r="FH1361"/>
  <c r="FH1362"/>
  <c r="FH1363"/>
  <c r="FH1364"/>
  <c r="FH1365"/>
  <c r="FH1366"/>
  <c r="FH1367"/>
  <c r="FH1368"/>
  <c r="FH1369"/>
  <c r="FH1370"/>
  <c r="FH1371"/>
  <c r="FH1372"/>
  <c r="FH1373"/>
  <c r="FH1374"/>
  <c r="FH1375"/>
  <c r="FH1376"/>
  <c r="FH1377"/>
  <c r="FH1378"/>
  <c r="FH1379"/>
  <c r="FH1380"/>
  <c r="FH1381"/>
  <c r="FH1382"/>
  <c r="FH1383"/>
  <c r="FH1384"/>
  <c r="FH1385"/>
  <c r="FH1386"/>
  <c r="FH1387"/>
  <c r="FH1388"/>
  <c r="FH1389"/>
  <c r="FH1390"/>
  <c r="FH1391"/>
  <c r="FH1392"/>
  <c r="FH1393"/>
  <c r="FH1394"/>
  <c r="FH1395"/>
  <c r="FH1396"/>
  <c r="FH1397"/>
  <c r="FH1398"/>
  <c r="FH1399"/>
  <c r="FH1400"/>
  <c r="FH1401"/>
  <c r="FH1402"/>
  <c r="FH1403"/>
  <c r="FH1404"/>
  <c r="FH1405"/>
  <c r="FH1406"/>
  <c r="FH1407"/>
  <c r="FH1408"/>
  <c r="FH1409"/>
  <c r="FH1410"/>
  <c r="FH1411"/>
  <c r="FH1412"/>
  <c r="FH1413"/>
  <c r="FH1414"/>
  <c r="FH1415"/>
  <c r="FH1416"/>
  <c r="FH1417"/>
  <c r="FH1418"/>
  <c r="FH1419"/>
  <c r="FH1420"/>
  <c r="FH1421"/>
  <c r="FH1422"/>
  <c r="FH1423"/>
  <c r="FH1424"/>
  <c r="FH1425"/>
  <c r="FH1426"/>
  <c r="FH1427"/>
  <c r="FH1428"/>
  <c r="FH1429"/>
  <c r="FH1430"/>
  <c r="FH1431"/>
  <c r="FH1432"/>
  <c r="FH1433"/>
  <c r="FH1434"/>
  <c r="FH1435"/>
  <c r="FH1436"/>
  <c r="FH1437"/>
  <c r="FH1438"/>
  <c r="FH1439"/>
  <c r="FH1440"/>
  <c r="FH1441"/>
  <c r="FH1442"/>
  <c r="FH1443"/>
  <c r="FH1444"/>
  <c r="FH1445"/>
  <c r="FH1446"/>
  <c r="FH1447"/>
  <c r="FH1448"/>
  <c r="FH1449"/>
  <c r="FH1450"/>
  <c r="FH1451"/>
  <c r="FH1452"/>
  <c r="FH1453"/>
  <c r="FH1454"/>
  <c r="FH1455"/>
  <c r="FH1456"/>
  <c r="FH1457"/>
  <c r="FH1458"/>
  <c r="FH1459"/>
  <c r="FH1460"/>
  <c r="FH1461"/>
  <c r="FH1462"/>
  <c r="FH1463"/>
  <c r="FH1464"/>
  <c r="FH1465"/>
  <c r="FH1466"/>
  <c r="FH1467"/>
  <c r="FH1468"/>
  <c r="FH1469"/>
  <c r="FH1470"/>
  <c r="FH1471"/>
  <c r="FH1472"/>
  <c r="FH1473"/>
  <c r="FH1474"/>
  <c r="FH1475"/>
  <c r="FH1476"/>
  <c r="FH1477"/>
  <c r="FH1478"/>
  <c r="FH1479"/>
  <c r="FH1480"/>
  <c r="FH1481"/>
  <c r="FH1482"/>
  <c r="FH1483"/>
  <c r="FH1484"/>
  <c r="FH1485"/>
  <c r="FH1486"/>
  <c r="FH1487"/>
  <c r="FH1488"/>
  <c r="FH1489"/>
  <c r="FH1490"/>
  <c r="FH1491"/>
  <c r="FH1492"/>
  <c r="FH1493"/>
  <c r="FH1494"/>
  <c r="FH1495"/>
  <c r="FH1496"/>
  <c r="FH1497"/>
  <c r="FH1498"/>
  <c r="FH1499"/>
  <c r="FH1500"/>
  <c r="FH1501"/>
  <c r="FH1502"/>
  <c r="FH1503"/>
  <c r="FH1504"/>
  <c r="FH1505"/>
  <c r="FH1506"/>
  <c r="FH1507"/>
  <c r="FH1508"/>
  <c r="FH1509"/>
  <c r="FH1510"/>
  <c r="FH1511"/>
  <c r="FH1512"/>
  <c r="FH1513"/>
  <c r="FH1514"/>
  <c r="FH1515"/>
  <c r="FH1516"/>
  <c r="FH1517"/>
  <c r="FH1518"/>
  <c r="FH1519"/>
  <c r="FH1520"/>
  <c r="FH1521"/>
  <c r="FH1522"/>
  <c r="FH1523"/>
  <c r="FH1524"/>
  <c r="FH1525"/>
  <c r="FH1526"/>
  <c r="FH1527"/>
  <c r="FH1528"/>
  <c r="FH1529"/>
  <c r="FH1530"/>
  <c r="FH1531"/>
  <c r="FH1532"/>
  <c r="FH1533"/>
  <c r="FH1534"/>
  <c r="FH1535"/>
  <c r="FH1536"/>
  <c r="FH1537"/>
  <c r="FH1538"/>
  <c r="FH1539"/>
  <c r="FH1540"/>
  <c r="FH1541"/>
  <c r="FH1542"/>
  <c r="FH1543"/>
  <c r="FH1544"/>
  <c r="FH1545"/>
  <c r="FH1546"/>
  <c r="FH1547"/>
  <c r="FH1548"/>
  <c r="FH1549"/>
  <c r="FH1550"/>
  <c r="FH1551"/>
  <c r="FH1552"/>
  <c r="FH1553"/>
  <c r="FH1554"/>
  <c r="FH1555"/>
  <c r="FH1556"/>
  <c r="FH1557"/>
  <c r="FH1558"/>
  <c r="FH1559"/>
  <c r="FH1560"/>
  <c r="FH1561"/>
  <c r="FH1562"/>
  <c r="FH1563"/>
  <c r="FH1564"/>
  <c r="FH1565"/>
  <c r="FH1566"/>
  <c r="FH1567"/>
  <c r="FH1568"/>
  <c r="FH1569"/>
  <c r="FH1570"/>
  <c r="FH1571"/>
  <c r="FH1572"/>
  <c r="FH1573"/>
  <c r="FH1574"/>
  <c r="FH1575"/>
  <c r="FH1576"/>
  <c r="FH1577"/>
  <c r="FH1578"/>
  <c r="FH1579"/>
  <c r="FH1580"/>
  <c r="FH1581"/>
  <c r="FH1582"/>
  <c r="FH1583"/>
  <c r="FH1584"/>
  <c r="FH1585"/>
  <c r="FH1586"/>
  <c r="FH1587"/>
  <c r="FH1588"/>
  <c r="FH1589"/>
  <c r="FH1590"/>
  <c r="FH1591"/>
  <c r="FH1592"/>
  <c r="FH1593"/>
  <c r="FH1594"/>
  <c r="FH1595"/>
  <c r="FH1596"/>
  <c r="FH1597"/>
  <c r="FH1598"/>
  <c r="FH1599"/>
  <c r="FH1600"/>
  <c r="FH1601"/>
  <c r="FH1602"/>
  <c r="FH1603"/>
  <c r="FH1604"/>
  <c r="FH1605"/>
  <c r="FH1606"/>
  <c r="FH1607"/>
  <c r="FH1608"/>
  <c r="FH1609"/>
  <c r="FH1610"/>
  <c r="FH1611"/>
  <c r="FH1612"/>
  <c r="FH1613"/>
  <c r="FH1614"/>
  <c r="FH1615"/>
  <c r="FH1616"/>
  <c r="FH1617"/>
  <c r="FH1618"/>
  <c r="FH1619"/>
  <c r="FH1620"/>
  <c r="FH1621"/>
  <c r="FH1622"/>
  <c r="FH1623"/>
  <c r="FH1624"/>
  <c r="FH1625"/>
  <c r="FH1626"/>
  <c r="FH1627"/>
  <c r="FH1628"/>
  <c r="FH1629"/>
  <c r="FH1630"/>
  <c r="FH1631"/>
  <c r="FH1632"/>
  <c r="FH1633"/>
  <c r="FH1634"/>
  <c r="FH1635"/>
  <c r="FH1636"/>
  <c r="FH1637"/>
  <c r="FH1638"/>
  <c r="FH1639"/>
  <c r="FH1640"/>
  <c r="FH1641"/>
  <c r="FH1642"/>
  <c r="FH1643"/>
  <c r="FH1644"/>
  <c r="FH1645"/>
  <c r="FH1646"/>
  <c r="FH1647"/>
  <c r="FH1648"/>
  <c r="FH1649"/>
  <c r="FH1650"/>
  <c r="FH1651"/>
  <c r="FH1652"/>
  <c r="FH1653"/>
  <c r="FH1654"/>
  <c r="FH1655"/>
  <c r="FH1656"/>
  <c r="FH1657"/>
  <c r="FH1658"/>
  <c r="FH1659"/>
  <c r="FH1660"/>
  <c r="FH1661"/>
  <c r="FH1662"/>
  <c r="FH1663"/>
  <c r="FH1664"/>
  <c r="FH1665"/>
  <c r="FH1666"/>
  <c r="FH1667"/>
  <c r="FH1668"/>
  <c r="FH1669"/>
  <c r="FH1670"/>
  <c r="FH1671"/>
  <c r="FH1672"/>
  <c r="FH1673"/>
  <c r="FH1674"/>
  <c r="FH1675"/>
  <c r="FH1676"/>
  <c r="FH1677"/>
  <c r="FH1678"/>
  <c r="FH1679"/>
  <c r="FH1680"/>
  <c r="FH1681"/>
  <c r="FH1682"/>
  <c r="FH1683"/>
  <c r="FH1684"/>
  <c r="FH1685"/>
  <c r="FH1686"/>
  <c r="FH1687"/>
  <c r="FH1688"/>
  <c r="FH1689"/>
  <c r="FH1690"/>
  <c r="FH1691"/>
  <c r="FH1692"/>
  <c r="FH1693"/>
  <c r="FH1694"/>
  <c r="FH1695"/>
  <c r="FH1696"/>
  <c r="FH1697"/>
  <c r="FH1698"/>
  <c r="FH1699"/>
  <c r="FH1700"/>
  <c r="FH1701"/>
  <c r="FH1702"/>
  <c r="FH1703"/>
  <c r="FH1704"/>
  <c r="FH1705"/>
  <c r="FH1706"/>
  <c r="FH1707"/>
  <c r="FH1708"/>
  <c r="FH1709"/>
  <c r="FH1710"/>
  <c r="FH1711"/>
  <c r="FH1712"/>
  <c r="FH1713"/>
  <c r="FH1714"/>
  <c r="FH1715"/>
  <c r="FH1716"/>
  <c r="FH1717"/>
  <c r="FH1718"/>
  <c r="FH1719"/>
  <c r="FH1720"/>
  <c r="FH1721"/>
  <c r="FH1722"/>
  <c r="FH1723"/>
  <c r="FH1724"/>
  <c r="FH1725"/>
  <c r="FH1726"/>
  <c r="FH1727"/>
  <c r="FH1728"/>
  <c r="FH1729"/>
  <c r="FH1730"/>
  <c r="FH1731"/>
  <c r="FH1732"/>
  <c r="FH1733"/>
  <c r="FH1734"/>
  <c r="FH1735"/>
  <c r="FH1736"/>
  <c r="FH1737"/>
  <c r="FH1738"/>
  <c r="FH1739"/>
  <c r="FH1740"/>
  <c r="FH1741"/>
  <c r="FH1742"/>
  <c r="FH1743"/>
  <c r="FH1744"/>
  <c r="FH1745"/>
  <c r="FH1746"/>
  <c r="FH1747"/>
  <c r="FH1748"/>
  <c r="FH1749"/>
  <c r="FH1750"/>
  <c r="FH1751"/>
  <c r="FH1752"/>
  <c r="FH1753"/>
  <c r="FH1754"/>
  <c r="FH1755"/>
  <c r="FH1756"/>
  <c r="FH1757"/>
  <c r="FH1758"/>
  <c r="FH1759"/>
  <c r="FH1760"/>
  <c r="FH1761"/>
  <c r="FH1762"/>
  <c r="FH1763"/>
  <c r="FH1764"/>
  <c r="FH1765"/>
  <c r="FH1766"/>
  <c r="FH1767"/>
  <c r="FH1768"/>
  <c r="FH1769"/>
  <c r="FH1770"/>
  <c r="FH1771"/>
  <c r="FH1772"/>
  <c r="FH1773"/>
  <c r="FH1774"/>
  <c r="FH1775"/>
  <c r="FH1776"/>
  <c r="FH1777"/>
  <c r="FH1778"/>
  <c r="FH1779"/>
  <c r="FH1780"/>
  <c r="FH1781"/>
  <c r="FH1782"/>
  <c r="FH1783"/>
  <c r="FH1784"/>
  <c r="FH1785"/>
  <c r="FH1786"/>
  <c r="FH1787"/>
  <c r="FH1788"/>
  <c r="FH1789"/>
  <c r="FH1790"/>
  <c r="FH1791"/>
  <c r="FH1792"/>
  <c r="FH1793"/>
  <c r="FH1794"/>
  <c r="FH1795"/>
  <c r="FH1796"/>
  <c r="FH1797"/>
  <c r="FH1798"/>
  <c r="FH1799"/>
  <c r="FH1800"/>
  <c r="FH1801"/>
  <c r="FH1802"/>
  <c r="FH1803"/>
  <c r="FH1804"/>
  <c r="FH1805"/>
  <c r="FH1806"/>
  <c r="FH1807"/>
  <c r="FH1808"/>
  <c r="FH1809"/>
  <c r="FH1810"/>
  <c r="FH1811"/>
  <c r="FH1812"/>
  <c r="FH1813"/>
  <c r="FH1814"/>
  <c r="FH1815"/>
  <c r="FH1816"/>
  <c r="FH1817"/>
  <c r="FH1818"/>
  <c r="FH1819"/>
  <c r="FH1820"/>
  <c r="FH1821"/>
  <c r="FH1822"/>
  <c r="FH1823"/>
  <c r="FH1824"/>
  <c r="FH1825"/>
  <c r="FH1826"/>
  <c r="FH1827"/>
  <c r="FH1828"/>
  <c r="FH1829"/>
  <c r="FH1830"/>
  <c r="FH1831"/>
  <c r="FH1832"/>
  <c r="FH1833"/>
  <c r="FH1834"/>
  <c r="FH1835"/>
  <c r="FH1836"/>
  <c r="FH1837"/>
  <c r="FH1838"/>
  <c r="FH1839"/>
  <c r="FH1840"/>
  <c r="FH1841"/>
  <c r="FH1842"/>
  <c r="FH1843"/>
  <c r="FH1844"/>
  <c r="FH1845"/>
  <c r="FH1846"/>
  <c r="FH1847"/>
  <c r="FH1848"/>
  <c r="FH1849"/>
  <c r="FH1850"/>
  <c r="FH1851"/>
  <c r="FH1852"/>
  <c r="FH1853"/>
  <c r="FH1854"/>
  <c r="FH1855"/>
  <c r="FH1856"/>
  <c r="FH1857"/>
  <c r="FH1858"/>
  <c r="FH1859"/>
  <c r="FH1860"/>
  <c r="FH1861"/>
  <c r="FH1862"/>
  <c r="FH1863"/>
  <c r="FH1864"/>
  <c r="FH1865"/>
  <c r="FH1866"/>
  <c r="FH1867"/>
  <c r="FH1868"/>
  <c r="FH1869"/>
  <c r="FH1870"/>
  <c r="FH1871"/>
  <c r="FH1872"/>
  <c r="FH1873"/>
  <c r="FH1874"/>
  <c r="FH1875"/>
  <c r="FH1876"/>
  <c r="FH1877"/>
  <c r="FH1878"/>
  <c r="FH1879"/>
  <c r="FH1880"/>
  <c r="FH1881"/>
  <c r="FH1882"/>
  <c r="FH1883"/>
  <c r="FH1884"/>
  <c r="FH1885"/>
  <c r="FH1886"/>
  <c r="FH1887"/>
  <c r="FH1888"/>
  <c r="FH1889"/>
  <c r="FH1890"/>
  <c r="FH1891"/>
  <c r="FH1892"/>
  <c r="FH1893"/>
  <c r="FH1894"/>
  <c r="FH1895"/>
  <c r="FH1896"/>
  <c r="FH1897"/>
  <c r="FH1898"/>
  <c r="FH1899"/>
  <c r="FH1900"/>
  <c r="FH1901"/>
  <c r="FH1902"/>
  <c r="FH1903"/>
  <c r="FH1904"/>
  <c r="FH1905"/>
  <c r="FH1906"/>
  <c r="FH1907"/>
  <c r="FH1908"/>
  <c r="FH1909"/>
  <c r="FH1910"/>
  <c r="FH1911"/>
  <c r="FH1912"/>
  <c r="FH1913"/>
  <c r="FH1914"/>
  <c r="FH1915"/>
  <c r="FH1916"/>
  <c r="FH1917"/>
  <c r="FH1918"/>
  <c r="FH1919"/>
  <c r="FH1920"/>
  <c r="FH1921"/>
  <c r="FH1922"/>
  <c r="FH1923"/>
  <c r="FH1924"/>
  <c r="FH1925"/>
  <c r="FH1926"/>
  <c r="FH1927"/>
  <c r="FH1928"/>
  <c r="FH1929"/>
  <c r="FH1930"/>
  <c r="FH1931"/>
  <c r="FH1932"/>
  <c r="FH1933"/>
  <c r="FH1934"/>
  <c r="FH1935"/>
  <c r="FH1936"/>
  <c r="FH1937"/>
  <c r="FH1938"/>
  <c r="FH1939"/>
  <c r="FH1940"/>
  <c r="FH1941"/>
  <c r="FH1942"/>
  <c r="FH1943"/>
  <c r="FH1944"/>
  <c r="FH1945"/>
  <c r="FH1946"/>
  <c r="FH1947"/>
  <c r="FH1948"/>
  <c r="FH1949"/>
  <c r="FH1950"/>
  <c r="FH1951"/>
  <c r="FH1952"/>
  <c r="FH1953"/>
  <c r="FH1954"/>
  <c r="FH1955"/>
  <c r="FH1956"/>
  <c r="FH1957"/>
  <c r="FH1958"/>
  <c r="FH1959"/>
  <c r="FH1960"/>
  <c r="FH1961"/>
  <c r="FH1962"/>
  <c r="FH1963"/>
  <c r="FH1964"/>
  <c r="FH1965"/>
  <c r="FH1966"/>
  <c r="FH1967"/>
  <c r="FH1968"/>
  <c r="FH1969"/>
  <c r="FH1970"/>
  <c r="FH1971"/>
  <c r="FH1972"/>
  <c r="FH1973"/>
  <c r="FH1974"/>
  <c r="FH1975"/>
  <c r="FH1976"/>
  <c r="FH1977"/>
  <c r="FH1978"/>
  <c r="FH1979"/>
  <c r="FH1980"/>
  <c r="FH1981"/>
  <c r="FH1982"/>
  <c r="FH1983"/>
  <c r="FH1984"/>
  <c r="FH1985"/>
  <c r="FH1986"/>
  <c r="FH1987"/>
  <c r="FH1988"/>
  <c r="FH1989"/>
  <c r="FH1990"/>
  <c r="FH1991"/>
  <c r="FH1992"/>
  <c r="FH1993"/>
  <c r="FH1994"/>
  <c r="FH1995"/>
  <c r="FH1996"/>
  <c r="FH1997"/>
  <c r="FH1998"/>
  <c r="FH1999"/>
  <c r="FH2000"/>
  <c r="FH2001"/>
  <c r="FH2002"/>
  <c r="FH2003"/>
  <c r="FH2004"/>
  <c r="FH2005"/>
  <c r="FH2006"/>
  <c r="FH2007"/>
  <c r="FH2008"/>
  <c r="FH2009"/>
  <c r="FH2010"/>
  <c r="FH2011"/>
  <c r="FH2012"/>
  <c r="FH2013"/>
  <c r="FH2014"/>
  <c r="FH2015"/>
  <c r="FH2016"/>
  <c r="FH2017"/>
  <c r="FH2018"/>
  <c r="FH2019"/>
  <c r="FH2020"/>
  <c r="FH2021"/>
  <c r="FH2022"/>
  <c r="FH2023"/>
  <c r="FH2024"/>
  <c r="FH2025"/>
  <c r="FH2026"/>
  <c r="FH2027"/>
  <c r="FH2028"/>
  <c r="FH2029"/>
  <c r="FH2030"/>
  <c r="FH2031"/>
  <c r="FH2032"/>
  <c r="FH2033"/>
  <c r="FH2034"/>
  <c r="FH2035"/>
  <c r="FH2036"/>
  <c r="FH2037"/>
  <c r="FH2038"/>
  <c r="FH2039"/>
  <c r="FH2040"/>
  <c r="FH2041"/>
  <c r="FH2042"/>
  <c r="FH2043"/>
  <c r="FH2044"/>
  <c r="FH2045"/>
  <c r="FH2046"/>
  <c r="FH2047"/>
  <c r="FH2048"/>
  <c r="FH2049"/>
  <c r="FH2050"/>
  <c r="FH2051"/>
  <c r="FH2052"/>
  <c r="FH2053"/>
  <c r="FH2054"/>
  <c r="FH2055"/>
  <c r="FH2056"/>
  <c r="FH2057"/>
  <c r="FH2058"/>
  <c r="FH2059"/>
  <c r="FH2060"/>
  <c r="FH2061"/>
  <c r="FH2062"/>
  <c r="FH2063"/>
  <c r="FH2064"/>
  <c r="FH2065"/>
  <c r="FH2066"/>
  <c r="FH2067"/>
  <c r="FH2068"/>
  <c r="FH2069"/>
  <c r="FH2070"/>
  <c r="FH2071"/>
  <c r="FH2072"/>
  <c r="FH2073"/>
  <c r="FH2074"/>
  <c r="FH2075"/>
  <c r="FH2076"/>
  <c r="FH2077"/>
  <c r="FH2078"/>
  <c r="FH2079"/>
  <c r="FH2080"/>
  <c r="FH2081"/>
  <c r="FH2082"/>
  <c r="FH2083"/>
  <c r="FH2084"/>
  <c r="FH2085"/>
  <c r="FH2086"/>
  <c r="FH2087"/>
  <c r="FH2088"/>
  <c r="FH2089"/>
  <c r="FH2090"/>
  <c r="FH2091"/>
  <c r="FH2092"/>
  <c r="FH2093"/>
  <c r="FH2094"/>
  <c r="FH2095"/>
  <c r="FH2096"/>
  <c r="FH2097"/>
  <c r="FH2098"/>
  <c r="FH2099"/>
  <c r="FH2100"/>
  <c r="FH2101"/>
  <c r="FH2102"/>
  <c r="FH2103"/>
  <c r="FH2104"/>
  <c r="FH2105"/>
  <c r="FH2106"/>
  <c r="FH2107"/>
  <c r="FH2108"/>
  <c r="FH2109"/>
  <c r="FH2110"/>
  <c r="FH2111"/>
  <c r="FH2112"/>
  <c r="FH2113"/>
  <c r="FH2114"/>
  <c r="FH2115"/>
  <c r="FH2116"/>
  <c r="FH2117"/>
  <c r="FH2118"/>
  <c r="FH2119"/>
  <c r="FH2120"/>
  <c r="FH2121"/>
  <c r="FH2122"/>
  <c r="FH2123"/>
  <c r="FH2124"/>
  <c r="FH2125"/>
  <c r="FH2126"/>
  <c r="FH2127"/>
  <c r="FH2128"/>
  <c r="FH2129"/>
  <c r="FH2130"/>
  <c r="FH2131"/>
  <c r="FH2132"/>
  <c r="FH2133"/>
  <c r="FH2134"/>
  <c r="FH2135"/>
  <c r="FH2136"/>
  <c r="FH2137"/>
  <c r="FH2138"/>
  <c r="FH2139"/>
  <c r="FH2140"/>
  <c r="FH2141"/>
  <c r="FH2142"/>
  <c r="FH2143"/>
  <c r="FH2144"/>
  <c r="FH2145"/>
  <c r="FH2146"/>
  <c r="FH2147"/>
  <c r="FH2148"/>
  <c r="FH2149"/>
  <c r="FH2150"/>
  <c r="FH2151"/>
  <c r="FH2152"/>
  <c r="FH2153"/>
  <c r="FH2154"/>
  <c r="FH2155"/>
  <c r="FH2156"/>
  <c r="FH2157"/>
  <c r="FH2158"/>
  <c r="FH2159"/>
  <c r="FH2160"/>
  <c r="FH2161"/>
  <c r="FH2162"/>
  <c r="FH2163"/>
  <c r="FH2164"/>
  <c r="FH2165"/>
  <c r="FH2166"/>
  <c r="FH2167"/>
  <c r="FH2168"/>
  <c r="FH2169"/>
  <c r="FH2170"/>
  <c r="FH2171"/>
  <c r="FH2172"/>
  <c r="FH2173"/>
  <c r="FH2174"/>
  <c r="FH2175"/>
  <c r="FH2176"/>
  <c r="FH2177"/>
  <c r="FH2178"/>
  <c r="FH2179"/>
  <c r="FH2180"/>
  <c r="FH2181"/>
  <c r="FH2182"/>
  <c r="FH2183"/>
  <c r="FH2184"/>
  <c r="FH2185"/>
  <c r="FH2186"/>
  <c r="FH2187"/>
  <c r="FH2188"/>
  <c r="FH2189"/>
  <c r="FH2190"/>
  <c r="FH2191"/>
  <c r="FH2192"/>
  <c r="FH2193"/>
  <c r="FH2194"/>
  <c r="FH2195"/>
  <c r="FH2196"/>
  <c r="FH2197"/>
  <c r="FH2198"/>
  <c r="FH2199"/>
  <c r="FH2200"/>
  <c r="FH2201"/>
  <c r="FH2202"/>
  <c r="FH2203"/>
  <c r="FH2204"/>
  <c r="FH2205"/>
  <c r="FH2206"/>
  <c r="FH2207"/>
  <c r="FH2208"/>
  <c r="FH2209"/>
  <c r="FH2210"/>
  <c r="FH2211"/>
  <c r="FH2212"/>
  <c r="FH2213"/>
  <c r="FH2214"/>
  <c r="FH2215"/>
  <c r="FH2216"/>
  <c r="FH2217"/>
  <c r="FH2218"/>
  <c r="FH2219"/>
  <c r="FH2220"/>
  <c r="FH2221"/>
  <c r="FH2222"/>
  <c r="FH2223"/>
  <c r="FH2224"/>
  <c r="FH2225"/>
  <c r="FH2226"/>
  <c r="FH2227"/>
  <c r="FH2228"/>
  <c r="FH2229"/>
  <c r="FH2230"/>
  <c r="FH2231"/>
  <c r="FH2232"/>
  <c r="FH2233"/>
  <c r="FH2234"/>
  <c r="FH2235"/>
  <c r="FH2236"/>
  <c r="FH2237"/>
  <c r="FH2238"/>
  <c r="FH2239"/>
  <c r="FH2240"/>
  <c r="FH2241"/>
  <c r="FH2242"/>
  <c r="FH2243"/>
  <c r="FH2244"/>
  <c r="FH2245"/>
  <c r="FH2246"/>
  <c r="FH2247"/>
  <c r="FH2248"/>
  <c r="FH2249"/>
  <c r="FH2250"/>
  <c r="FH2251"/>
  <c r="FH2252"/>
  <c r="FH2253"/>
  <c r="FH2254"/>
  <c r="FH2255"/>
  <c r="FH2256"/>
  <c r="FH2257"/>
  <c r="FH2258"/>
  <c r="FH2259"/>
  <c r="FH2260"/>
  <c r="FH2261"/>
  <c r="FH2262"/>
  <c r="FH2263"/>
  <c r="FH2264"/>
  <c r="FH2265"/>
  <c r="FH2266"/>
  <c r="FH2267"/>
  <c r="FH2268"/>
  <c r="FH2269"/>
  <c r="FH2270"/>
  <c r="FH2271"/>
  <c r="FH2272"/>
  <c r="FH2273"/>
  <c r="FH2274"/>
  <c r="FH2275"/>
  <c r="FH2276"/>
  <c r="FH2277"/>
  <c r="FH2278"/>
  <c r="FH2279"/>
  <c r="FH2280"/>
  <c r="FH2281"/>
  <c r="FH2282"/>
  <c r="FH2283"/>
  <c r="FH2284"/>
  <c r="FH2285"/>
  <c r="FH2286"/>
  <c r="FH2287"/>
  <c r="FH2288"/>
  <c r="FH2289"/>
  <c r="FH2290"/>
  <c r="FH2291"/>
  <c r="FH2292"/>
  <c r="FH2293"/>
  <c r="FH2294"/>
  <c r="FH2295"/>
  <c r="FH2296"/>
  <c r="FH2297"/>
  <c r="FH2298"/>
  <c r="FH2299"/>
  <c r="FH2300"/>
  <c r="FH2301"/>
  <c r="FH2302"/>
  <c r="FH2303"/>
  <c r="FH2304"/>
  <c r="FH2305"/>
  <c r="FH2306"/>
  <c r="FH2307"/>
  <c r="FH2308"/>
  <c r="FH2309"/>
  <c r="FH2310"/>
  <c r="FH2311"/>
  <c r="FH2312"/>
  <c r="FH2313"/>
  <c r="FH2314"/>
  <c r="FH2315"/>
  <c r="FH2316"/>
  <c r="FH2317"/>
  <c r="FH2318"/>
  <c r="FH2319"/>
  <c r="FH2320"/>
  <c r="FH2321"/>
  <c r="FH2322"/>
  <c r="FH2323"/>
  <c r="FH2324"/>
  <c r="FH2325"/>
  <c r="FH2326"/>
  <c r="FH2327"/>
  <c r="FH2328"/>
  <c r="FH2329"/>
  <c r="FH2330"/>
  <c r="FH2331"/>
  <c r="FH2332"/>
  <c r="FH2333"/>
  <c r="FH2334"/>
  <c r="FH2335"/>
  <c r="FH2336"/>
  <c r="FH2337"/>
  <c r="FH2338"/>
  <c r="FH2339"/>
  <c r="FH2340"/>
  <c r="FH2341"/>
  <c r="FH2342"/>
  <c r="FH2343"/>
  <c r="FH2344"/>
  <c r="FH2345"/>
  <c r="FH2346"/>
  <c r="FH2347"/>
  <c r="FH2348"/>
  <c r="FH2349"/>
  <c r="FH2350"/>
  <c r="FH2351"/>
  <c r="FH2352"/>
  <c r="FH2353"/>
  <c r="FH2354"/>
  <c r="FH2355"/>
  <c r="FH2356"/>
  <c r="FH2357"/>
  <c r="FH2358"/>
  <c r="FH2359"/>
  <c r="FH2360"/>
  <c r="FH2361"/>
  <c r="FH2362"/>
  <c r="FH2363"/>
  <c r="FH2364"/>
  <c r="FH2365"/>
  <c r="FH2366"/>
  <c r="FH2367"/>
  <c r="FH2368"/>
  <c r="FH2369"/>
  <c r="FH2370"/>
  <c r="FH2371"/>
  <c r="FH2372"/>
  <c r="FH2373"/>
  <c r="FH2374"/>
  <c r="FH2375"/>
  <c r="FH2376"/>
  <c r="FH2377"/>
  <c r="FH2378"/>
  <c r="FH2379"/>
  <c r="FH2380"/>
  <c r="FH2381"/>
  <c r="FH2382"/>
  <c r="FH2383"/>
  <c r="FH2384"/>
  <c r="FH2385"/>
  <c r="FH2386"/>
  <c r="FH2387"/>
  <c r="FH2388"/>
  <c r="FH2389"/>
  <c r="FH2390"/>
  <c r="FH2391"/>
  <c r="FH2392"/>
  <c r="FH2393"/>
  <c r="FH2394"/>
  <c r="FH2395"/>
  <c r="FH2396"/>
  <c r="FH2397"/>
  <c r="FH2398"/>
  <c r="FH2399"/>
  <c r="FH2400"/>
  <c r="FH2401"/>
  <c r="FH2402"/>
  <c r="FH2403"/>
  <c r="FH2404"/>
  <c r="FH2405"/>
  <c r="FH2406"/>
  <c r="FH2407"/>
  <c r="FH2408"/>
  <c r="FH2409"/>
  <c r="FH2410"/>
  <c r="FH2411"/>
  <c r="FH2412"/>
  <c r="FH2413"/>
  <c r="FH2414"/>
  <c r="FH2415"/>
  <c r="FH2416"/>
  <c r="FH2417"/>
  <c r="FH2418"/>
  <c r="FH2419"/>
  <c r="FH2420"/>
  <c r="FH2421"/>
  <c r="FH2422"/>
  <c r="FH2423"/>
  <c r="FH2424"/>
  <c r="FH2425"/>
  <c r="FH2426"/>
  <c r="FH2427"/>
  <c r="FH2428"/>
  <c r="FH2429"/>
  <c r="FH2430"/>
  <c r="FH2431"/>
  <c r="FH2432"/>
  <c r="FH2433"/>
  <c r="FH2434"/>
  <c r="FH2435"/>
  <c r="FH2436"/>
  <c r="FH2437"/>
  <c r="FH2438"/>
  <c r="FH2439"/>
  <c r="FH2440"/>
  <c r="FH2441"/>
  <c r="FH2442"/>
  <c r="FH2443"/>
  <c r="FH2444"/>
  <c r="FH2445"/>
  <c r="FH2446"/>
  <c r="FH2447"/>
  <c r="FH2448"/>
  <c r="FH2449"/>
  <c r="FH2450"/>
  <c r="FH2451"/>
  <c r="FH2452"/>
  <c r="FH2453"/>
  <c r="FH2454"/>
  <c r="FH2455"/>
  <c r="FH2456"/>
  <c r="FH2457"/>
  <c r="FH2458"/>
  <c r="FH2459"/>
  <c r="FH2460"/>
  <c r="FH2461"/>
  <c r="FH2462"/>
  <c r="FH2463"/>
  <c r="FH2464"/>
  <c r="FH2465"/>
  <c r="FH2466"/>
  <c r="FH2467"/>
  <c r="FH2468"/>
  <c r="FH2469"/>
  <c r="FH2470"/>
  <c r="FH2471"/>
  <c r="FH2472"/>
  <c r="FH2473"/>
  <c r="FH2474"/>
  <c r="FH2475"/>
  <c r="FH2476"/>
  <c r="FH2477"/>
  <c r="FH2478"/>
  <c r="FH2479"/>
  <c r="FH2480"/>
  <c r="FH2481"/>
  <c r="FH2482"/>
  <c r="FH2483"/>
  <c r="FH2484"/>
  <c r="FH2485"/>
  <c r="FH2486"/>
  <c r="FH2487"/>
  <c r="FH2488"/>
  <c r="FH2489"/>
  <c r="FH2490"/>
  <c r="FH2491"/>
  <c r="FH2492"/>
  <c r="FH2493"/>
  <c r="FH2494"/>
  <c r="FH2495"/>
  <c r="FH2496"/>
  <c r="FH2497"/>
  <c r="FH2498"/>
  <c r="FH2499"/>
  <c r="FH2500"/>
  <c r="FH2501"/>
  <c r="FH2502"/>
  <c r="FH2503"/>
  <c r="FH2504"/>
  <c r="FH2505"/>
  <c r="FH2506"/>
  <c r="FH2507"/>
  <c r="FH2508"/>
  <c r="FH2509"/>
  <c r="FH2510"/>
  <c r="FH2511"/>
  <c r="FH2512"/>
  <c r="FH2513"/>
  <c r="FH2514"/>
  <c r="FH2515"/>
  <c r="FH2516"/>
  <c r="FH2517"/>
  <c r="FH2518"/>
  <c r="FH2519"/>
  <c r="FH2520"/>
  <c r="FH2521"/>
  <c r="FH2522"/>
  <c r="FH2523"/>
  <c r="FH2524"/>
  <c r="FH2525"/>
  <c r="FH2526"/>
  <c r="FH2527"/>
  <c r="FH2528"/>
  <c r="FH2529"/>
  <c r="FH2530"/>
  <c r="FH2531"/>
  <c r="FH2532"/>
  <c r="FH2533"/>
  <c r="FH2534"/>
  <c r="FH2535"/>
  <c r="FH2536"/>
  <c r="FH2537"/>
  <c r="FH2538"/>
  <c r="FH2539"/>
  <c r="FH2540"/>
  <c r="FH2541"/>
  <c r="FH2542"/>
  <c r="FH2543"/>
  <c r="FH2544"/>
  <c r="FH2545"/>
  <c r="FH2546"/>
  <c r="FH2547"/>
  <c r="FH2548"/>
  <c r="FH2549"/>
  <c r="FH2550"/>
  <c r="FH2551"/>
  <c r="FH2552"/>
  <c r="FH2553"/>
  <c r="FH2554"/>
  <c r="FH2555"/>
  <c r="FH2556"/>
  <c r="FH2557"/>
  <c r="FH2558"/>
  <c r="FH2559"/>
  <c r="FH2560"/>
  <c r="FH2561"/>
  <c r="FH2562"/>
  <c r="FH2563"/>
  <c r="FH2564"/>
  <c r="FH2565"/>
  <c r="FH2566"/>
  <c r="FH2567"/>
  <c r="FH2568"/>
  <c r="FH2569"/>
  <c r="FH2570"/>
  <c r="FH2571"/>
  <c r="FH2572"/>
  <c r="FH2573"/>
  <c r="FH2574"/>
  <c r="FH2575"/>
  <c r="FH2576"/>
  <c r="FH2577"/>
  <c r="FH2578"/>
  <c r="FH2579"/>
  <c r="FH2580"/>
  <c r="FH2581"/>
  <c r="FH2582"/>
  <c r="FH2583"/>
  <c r="FH2584"/>
  <c r="FH2585"/>
  <c r="FH2586"/>
  <c r="FH2587"/>
  <c r="FH2588"/>
  <c r="FH2589"/>
  <c r="FH2590"/>
  <c r="FH2591"/>
  <c r="FH2592"/>
  <c r="FH2593"/>
  <c r="FH2594"/>
  <c r="FH2595"/>
  <c r="FH2596"/>
  <c r="FH2597"/>
  <c r="FH2598"/>
  <c r="FH2599"/>
  <c r="FH2600"/>
  <c r="FH2601"/>
  <c r="FH2602"/>
  <c r="FH2603"/>
  <c r="FH2604"/>
  <c r="FH2605"/>
  <c r="FH2606"/>
  <c r="FH2607"/>
  <c r="FH2608"/>
  <c r="FH2609"/>
  <c r="FH2610"/>
  <c r="FH2611"/>
  <c r="FH2612"/>
  <c r="FH2613"/>
  <c r="FH2614"/>
  <c r="FH2615"/>
  <c r="FH2616"/>
  <c r="FH2617"/>
  <c r="FH2618"/>
  <c r="FH2619"/>
  <c r="FH2620"/>
  <c r="FH2621"/>
  <c r="FH2622"/>
  <c r="FH2623"/>
  <c r="FH2624"/>
  <c r="FH2625"/>
  <c r="FH2626"/>
  <c r="FH2627"/>
  <c r="FH2628"/>
  <c r="FH2629"/>
  <c r="FH2630"/>
  <c r="FH2631"/>
  <c r="FH2632"/>
  <c r="FH2633"/>
  <c r="FH2634"/>
  <c r="FH2635"/>
  <c r="FH2636"/>
  <c r="FH2637"/>
  <c r="FH2638"/>
  <c r="FH2639"/>
  <c r="FH2640"/>
  <c r="FH2641"/>
  <c r="FH2642"/>
  <c r="FH2643"/>
  <c r="FH2644"/>
  <c r="FH2645"/>
  <c r="FH2646"/>
  <c r="FH2647"/>
  <c r="FH2648"/>
  <c r="FH2649"/>
  <c r="FH2650"/>
  <c r="FH2651"/>
  <c r="FH2652"/>
  <c r="FH2653"/>
  <c r="FH2654"/>
  <c r="FH2655"/>
  <c r="FH2656"/>
  <c r="FH2657"/>
  <c r="FH2658"/>
  <c r="FH2659"/>
  <c r="FH2660"/>
  <c r="FH2661"/>
  <c r="FH2662"/>
  <c r="FH2663"/>
  <c r="FH2664"/>
  <c r="FH2665"/>
  <c r="FH2666"/>
  <c r="FH2667"/>
  <c r="FH2668"/>
  <c r="FH2669"/>
  <c r="FH2670"/>
  <c r="FH2671"/>
  <c r="FH2672"/>
  <c r="FH2673"/>
  <c r="FH2674"/>
  <c r="FH2675"/>
  <c r="FH2676"/>
  <c r="FH2677"/>
  <c r="FH2678"/>
  <c r="FH2679"/>
  <c r="FH2680"/>
  <c r="FH2681"/>
  <c r="FH2682"/>
  <c r="FH2683"/>
  <c r="FH2684"/>
  <c r="FH2685"/>
  <c r="FH2686"/>
  <c r="FH2687"/>
  <c r="FH2688"/>
  <c r="FH2689"/>
  <c r="FH2690"/>
  <c r="FH2691"/>
  <c r="FH2692"/>
  <c r="FH2693"/>
  <c r="FH2694"/>
  <c r="FH2695"/>
  <c r="FH2696"/>
  <c r="FH2697"/>
  <c r="FH2698"/>
  <c r="FH2699"/>
  <c r="FH2700"/>
  <c r="FH2701"/>
  <c r="FH2702"/>
  <c r="FH2703"/>
  <c r="FH2704"/>
  <c r="FH2705"/>
  <c r="FH2706"/>
  <c r="FH2707"/>
  <c r="FH2708"/>
  <c r="FH2709"/>
  <c r="FH2710"/>
  <c r="FH2711"/>
  <c r="FH2712"/>
  <c r="FH2713"/>
  <c r="FH2714"/>
  <c r="FH2715"/>
  <c r="FH2716"/>
  <c r="FH2717"/>
  <c r="FH2718"/>
  <c r="FH2719"/>
  <c r="FH2720"/>
  <c r="FH2721"/>
  <c r="FH2722"/>
  <c r="FH2723"/>
  <c r="FH2724"/>
  <c r="FH2725"/>
  <c r="FH2726"/>
  <c r="FH2727"/>
  <c r="FH2728"/>
  <c r="FH2729"/>
  <c r="FH2730"/>
  <c r="FH2731"/>
  <c r="FH2732"/>
  <c r="FH2733"/>
  <c r="FH2734"/>
  <c r="FH2735"/>
  <c r="FH2736"/>
  <c r="FH2737"/>
  <c r="FH2738"/>
  <c r="FH2739"/>
  <c r="FH2740"/>
  <c r="FH2741"/>
  <c r="FH2742"/>
  <c r="FH2743"/>
  <c r="FH2744"/>
  <c r="FH2745"/>
  <c r="FH2746"/>
  <c r="FH2747"/>
  <c r="FH2748"/>
  <c r="FH2749"/>
  <c r="FH2750"/>
  <c r="FH2751"/>
  <c r="FH2752"/>
  <c r="FH2753"/>
  <c r="FH2754"/>
  <c r="FH2755"/>
  <c r="FH2756"/>
  <c r="FH2757"/>
  <c r="FH2758"/>
  <c r="FH2759"/>
  <c r="FH2760"/>
  <c r="FH2761"/>
  <c r="FH2762"/>
  <c r="FH2763"/>
  <c r="FH2764"/>
  <c r="FH2765"/>
  <c r="FH2766"/>
  <c r="FH2767"/>
  <c r="FH2768"/>
  <c r="FH2769"/>
  <c r="FH2770"/>
  <c r="FH2771"/>
  <c r="FH2772"/>
  <c r="FH2773"/>
  <c r="FH2774"/>
  <c r="FH2775"/>
  <c r="FH2776"/>
  <c r="FH2777"/>
  <c r="FH2778"/>
  <c r="FH2779"/>
  <c r="FH2780"/>
  <c r="FH2781"/>
  <c r="FH2782"/>
  <c r="FH2783"/>
  <c r="FH2784"/>
  <c r="FH2785"/>
  <c r="FH2786"/>
  <c r="FH2787"/>
  <c r="FH2788"/>
  <c r="FH2789"/>
  <c r="FH2790"/>
  <c r="FH2791"/>
  <c r="FH2792"/>
  <c r="FH2793"/>
  <c r="FH2794"/>
  <c r="FH2795"/>
  <c r="FH2796"/>
  <c r="FH2797"/>
  <c r="FH2798"/>
  <c r="FH2799"/>
  <c r="FH2800"/>
  <c r="FH2801"/>
  <c r="FH2802"/>
  <c r="FH2803"/>
  <c r="FH2804"/>
  <c r="FH2805"/>
  <c r="FH2806"/>
  <c r="FH2807"/>
  <c r="FH2808"/>
  <c r="FH2809"/>
  <c r="FH2810"/>
  <c r="FH2811"/>
  <c r="FH2812"/>
  <c r="FH2813"/>
  <c r="FH2814"/>
  <c r="FH2815"/>
  <c r="FH2816"/>
  <c r="FH2817"/>
  <c r="FH2818"/>
  <c r="FH2819"/>
  <c r="FH2820"/>
  <c r="FH2821"/>
  <c r="FH2822"/>
  <c r="FH2823"/>
  <c r="FH2824"/>
  <c r="FH2825"/>
  <c r="FH2826"/>
  <c r="FH2827"/>
  <c r="FH2828"/>
  <c r="FH2829"/>
  <c r="FH2830"/>
  <c r="FH2831"/>
  <c r="FH2832"/>
  <c r="FH2833"/>
  <c r="FH2834"/>
  <c r="FH2835"/>
  <c r="FH2836"/>
  <c r="FH2837"/>
  <c r="FH2838"/>
  <c r="FH2839"/>
  <c r="FH2840"/>
  <c r="FH2841"/>
  <c r="FH2842"/>
  <c r="FH2843"/>
  <c r="FH2844"/>
  <c r="FH2845"/>
  <c r="FH2846"/>
  <c r="FH2847"/>
  <c r="FH2848"/>
  <c r="FH2849"/>
  <c r="FH2850"/>
  <c r="FH2851"/>
  <c r="FH2852"/>
  <c r="FH2853"/>
  <c r="FH2854"/>
  <c r="FH2855"/>
  <c r="FH2856"/>
  <c r="FH2857"/>
  <c r="FH2858"/>
  <c r="FH2859"/>
  <c r="FH2860"/>
  <c r="FH2861"/>
  <c r="FH2862"/>
  <c r="FH2863"/>
  <c r="FH2864"/>
  <c r="FH2865"/>
  <c r="FH2866"/>
  <c r="FH2867"/>
  <c r="FH2868"/>
  <c r="FH2869"/>
  <c r="FH2870"/>
  <c r="FH2871"/>
  <c r="FH2872"/>
  <c r="FH2873"/>
  <c r="FH2874"/>
  <c r="FH2875"/>
  <c r="FH2876"/>
  <c r="FH2877"/>
  <c r="FH2878"/>
  <c r="FH2879"/>
  <c r="FH2880"/>
  <c r="FH2881"/>
  <c r="FH2882"/>
  <c r="FH2883"/>
  <c r="FH2884"/>
  <c r="FH2885"/>
  <c r="FH2886"/>
  <c r="FH2887"/>
  <c r="FH2888"/>
  <c r="FH2889"/>
  <c r="FH2890"/>
  <c r="FH2891"/>
  <c r="FH2892"/>
  <c r="FH2893"/>
  <c r="FH2894"/>
  <c r="FH2895"/>
  <c r="FH2896"/>
  <c r="FH2897"/>
  <c r="FH2898"/>
  <c r="FH2899"/>
  <c r="FH2900"/>
  <c r="FH2901"/>
  <c r="FH2902"/>
  <c r="FH2903"/>
  <c r="FH2904"/>
  <c r="FH2905"/>
  <c r="FH2906"/>
  <c r="FH2907"/>
  <c r="FH2908"/>
  <c r="FH2909"/>
  <c r="FH2910"/>
  <c r="FH2911"/>
  <c r="FH2912"/>
  <c r="FH2913"/>
  <c r="FH2914"/>
  <c r="FH2915"/>
  <c r="FH2916"/>
  <c r="FH2917"/>
  <c r="FH2918"/>
  <c r="FH2919"/>
  <c r="FH2920"/>
  <c r="FH2921"/>
  <c r="FH2922"/>
  <c r="FH2923"/>
  <c r="FH2924"/>
  <c r="FH2925"/>
  <c r="FH2926"/>
  <c r="FH2927"/>
  <c r="FH2928"/>
  <c r="FH2929"/>
  <c r="FH2930"/>
  <c r="FH2931"/>
  <c r="FH2932"/>
  <c r="FH2933"/>
  <c r="FH2934"/>
  <c r="FH2935"/>
  <c r="FH2936"/>
  <c r="FH2937"/>
  <c r="FH2938"/>
  <c r="FH2939"/>
  <c r="FH2940"/>
  <c r="FH2941"/>
  <c r="FH2942"/>
  <c r="FH2943"/>
  <c r="FH2944"/>
  <c r="FH2945"/>
  <c r="FH2946"/>
  <c r="FH2947"/>
  <c r="FH2948"/>
  <c r="FH2949"/>
  <c r="FH2950"/>
  <c r="FH2951"/>
  <c r="FH2952"/>
  <c r="FH2953"/>
  <c r="FH2954"/>
  <c r="FH2955"/>
  <c r="FH2956"/>
  <c r="FH2957"/>
  <c r="FH2958"/>
  <c r="FH2959"/>
  <c r="FH2960"/>
  <c r="FH2961"/>
  <c r="FH2962"/>
  <c r="FH2963"/>
  <c r="FH2964"/>
  <c r="FH2965"/>
  <c r="FH2966"/>
  <c r="FH2967"/>
  <c r="FH2968"/>
  <c r="FH2969"/>
  <c r="FH2970"/>
  <c r="FH2971"/>
  <c r="FH2972"/>
  <c r="FH2973"/>
  <c r="FH2974"/>
  <c r="FH2975"/>
  <c r="FH2976"/>
  <c r="FH2977"/>
  <c r="FH2978"/>
  <c r="FH2979"/>
  <c r="FH2980"/>
  <c r="FH2981"/>
  <c r="FH2982"/>
  <c r="FH2983"/>
  <c r="FH2984"/>
  <c r="FH2985"/>
  <c r="FH2986"/>
  <c r="FH2987"/>
  <c r="FH2988"/>
  <c r="FH2989"/>
  <c r="FH2990"/>
  <c r="FH2991"/>
  <c r="FH2992"/>
  <c r="FH2993"/>
  <c r="FH2994"/>
  <c r="FH2995"/>
  <c r="FH2996"/>
  <c r="FH2997"/>
  <c r="FH2998"/>
  <c r="FH2999"/>
  <c r="FH3000"/>
  <c r="FH3001"/>
  <c r="FH3002"/>
  <c r="FH3003"/>
  <c r="FH3004"/>
  <c r="FH3005"/>
  <c r="FH3006"/>
  <c r="FH3007"/>
  <c r="FH3008"/>
  <c r="FH3009"/>
  <c r="FH3010"/>
  <c r="FH3011"/>
  <c r="FH3012"/>
  <c r="FH3013"/>
  <c r="FH3014"/>
  <c r="FH3015"/>
  <c r="FH3016"/>
  <c r="FH3017"/>
  <c r="FH3018"/>
  <c r="FH3019"/>
  <c r="FH3020"/>
  <c r="FH3021"/>
  <c r="FH3022"/>
  <c r="FH3023"/>
  <c r="FH3024"/>
  <c r="FH3025"/>
  <c r="FH3026"/>
  <c r="FH3027"/>
  <c r="FH3028"/>
  <c r="FH3029"/>
  <c r="FH3030"/>
  <c r="FH3031"/>
  <c r="FH3032"/>
  <c r="FH3033"/>
  <c r="FH3034"/>
  <c r="FH3035"/>
  <c r="FH3036"/>
  <c r="FH3037"/>
  <c r="FH3038"/>
  <c r="FH3039"/>
  <c r="FH3040"/>
  <c r="FH3041"/>
  <c r="FH3042"/>
  <c r="FH3043"/>
  <c r="FH3044"/>
  <c r="FH3045"/>
  <c r="FH3046"/>
  <c r="FH3047"/>
  <c r="FH3048"/>
  <c r="FH3049"/>
  <c r="FH3050"/>
  <c r="FH3051"/>
  <c r="FH3052"/>
  <c r="FH3053"/>
  <c r="FH3054"/>
  <c r="FH3055"/>
  <c r="FH3056"/>
  <c r="FH3057"/>
  <c r="FH3058"/>
  <c r="FH3059"/>
  <c r="FH3060"/>
  <c r="FH3061"/>
  <c r="FH3062"/>
  <c r="FH3063"/>
  <c r="FH3064"/>
  <c r="FH3065"/>
  <c r="FH3066"/>
  <c r="FH3067"/>
  <c r="FH3068"/>
  <c r="FH3069"/>
  <c r="FH3070"/>
  <c r="FH3071"/>
  <c r="FH3072"/>
  <c r="FH3073"/>
  <c r="FH3074"/>
  <c r="FH3075"/>
  <c r="FH3076"/>
  <c r="FH3077"/>
  <c r="FH3078"/>
  <c r="FH3079"/>
  <c r="FH3080"/>
  <c r="FH3081"/>
  <c r="FH3082"/>
  <c r="FH3083"/>
  <c r="FH3084"/>
  <c r="FH3085"/>
  <c r="FH3086"/>
  <c r="FH3087"/>
  <c r="FH3088"/>
  <c r="FH3089"/>
  <c r="FH3090"/>
  <c r="FH3091"/>
  <c r="FH3092"/>
  <c r="FH3093"/>
  <c r="FH3094"/>
  <c r="FH3095"/>
  <c r="FH3096"/>
  <c r="FH3097"/>
  <c r="FH3098"/>
  <c r="FH3099"/>
  <c r="FH3100"/>
  <c r="FH3101"/>
  <c r="FH3102"/>
  <c r="FH3103"/>
  <c r="FH3104"/>
  <c r="FH3105"/>
  <c r="FH3106"/>
  <c r="FH3107"/>
  <c r="FH3108"/>
  <c r="FH3109"/>
  <c r="FH3110"/>
  <c r="FH3111"/>
  <c r="FH3112"/>
  <c r="FH3113"/>
  <c r="FH3114"/>
  <c r="FH3115"/>
  <c r="FH3116"/>
  <c r="FH3117"/>
  <c r="FH3118"/>
  <c r="FH3119"/>
  <c r="FH3120"/>
  <c r="FH3121"/>
  <c r="FH3122"/>
  <c r="FH3123"/>
  <c r="FH3124"/>
  <c r="FH3125"/>
  <c r="FH3126"/>
  <c r="FH3127"/>
  <c r="FH3128"/>
  <c r="FH3129"/>
  <c r="FH3130"/>
  <c r="FH3131"/>
  <c r="FH3132"/>
  <c r="FH3133"/>
  <c r="FH3134"/>
  <c r="FH3135"/>
  <c r="FH3136"/>
  <c r="FH3137"/>
  <c r="FH3138"/>
  <c r="FH3139"/>
  <c r="FH3140"/>
  <c r="FH3141"/>
  <c r="FH3142"/>
  <c r="FH3143"/>
  <c r="FH3144"/>
  <c r="FH3145"/>
  <c r="FH3146"/>
  <c r="FH3147"/>
  <c r="FH3148"/>
  <c r="FH3149"/>
  <c r="FH3150"/>
  <c r="FH3151"/>
  <c r="FH3152"/>
  <c r="FH3153"/>
  <c r="FH3154"/>
  <c r="FH3155"/>
  <c r="FH3156"/>
  <c r="FH3157"/>
  <c r="FH3158"/>
  <c r="FH3159"/>
  <c r="FH3160"/>
  <c r="FH3161"/>
  <c r="FH3162"/>
  <c r="FH3163"/>
  <c r="FH3164"/>
  <c r="FH3165"/>
  <c r="FH3166"/>
  <c r="FH3167"/>
  <c r="FH3168"/>
  <c r="FH3169"/>
  <c r="FH3170"/>
  <c r="FH3171"/>
  <c r="FH3172"/>
  <c r="FH3173"/>
  <c r="FH3174"/>
  <c r="FH3175"/>
  <c r="FH3176"/>
  <c r="FH3177"/>
  <c r="FH3178"/>
  <c r="FH3179"/>
  <c r="FH3180"/>
  <c r="FH3181"/>
  <c r="FH3182"/>
  <c r="FH3183"/>
  <c r="FH3184"/>
  <c r="FH3185"/>
  <c r="FH3186"/>
  <c r="FH3187"/>
  <c r="FH3188"/>
  <c r="FH3189"/>
  <c r="FH3190"/>
  <c r="FH3191"/>
  <c r="FH3192"/>
  <c r="FH3193"/>
  <c r="FH3194"/>
  <c r="FH3195"/>
  <c r="FH3196"/>
  <c r="FH3197"/>
  <c r="FH3198"/>
  <c r="FH3199"/>
  <c r="FH3200"/>
  <c r="FH3201"/>
  <c r="FH3202"/>
  <c r="FH3203"/>
  <c r="FH3204"/>
  <c r="FH3205"/>
  <c r="FH3206"/>
  <c r="FH3207"/>
  <c r="FH3208"/>
  <c r="FH3209"/>
  <c r="FH3210"/>
  <c r="FH3211"/>
  <c r="FH3212"/>
  <c r="FH3213"/>
  <c r="FH3214"/>
  <c r="FH3215"/>
  <c r="FH3216"/>
  <c r="FH3217"/>
  <c r="FH3218"/>
  <c r="FH3219"/>
  <c r="FH3220"/>
  <c r="FH3221"/>
  <c r="FH3222"/>
  <c r="FH3223"/>
  <c r="FH3224"/>
  <c r="FH3225"/>
  <c r="FH3226"/>
  <c r="FH3227"/>
  <c r="FH3228"/>
  <c r="FH3229"/>
  <c r="FH3230"/>
  <c r="FH3231"/>
  <c r="FH3232"/>
  <c r="FH3233"/>
  <c r="FH3234"/>
  <c r="FH3235"/>
  <c r="FH3236"/>
  <c r="FH3237"/>
  <c r="FH3238"/>
  <c r="FH3239"/>
  <c r="FH3240"/>
  <c r="FH3241"/>
  <c r="FH3242"/>
  <c r="FH3243"/>
  <c r="FH3244"/>
  <c r="FH3245"/>
  <c r="FH3246"/>
  <c r="FH3247"/>
  <c r="FH3248"/>
  <c r="FH3249"/>
  <c r="FH3250"/>
  <c r="FH3251"/>
  <c r="FH3252"/>
  <c r="FH3253"/>
  <c r="FH3254"/>
  <c r="FH3255"/>
  <c r="FH3256"/>
  <c r="FH3257"/>
  <c r="FH3258"/>
  <c r="FH3259"/>
  <c r="FH3260"/>
  <c r="FH3261"/>
  <c r="FH3262"/>
  <c r="FH3263"/>
  <c r="FH3264"/>
  <c r="FH3265"/>
  <c r="FH3266"/>
  <c r="FH3267"/>
  <c r="FH3268"/>
  <c r="FH3269"/>
  <c r="FH3270"/>
  <c r="FH3271"/>
  <c r="FH3272"/>
  <c r="FH3273"/>
  <c r="FH3274"/>
  <c r="FH3275"/>
  <c r="FH3276"/>
  <c r="FH3277"/>
  <c r="FH3278"/>
  <c r="FH3279"/>
  <c r="FH3280"/>
  <c r="FH3281"/>
  <c r="FH3282"/>
  <c r="FH3283"/>
  <c r="FH3284"/>
  <c r="FH3285"/>
  <c r="FH3286"/>
  <c r="FH3287"/>
  <c r="FH3288"/>
  <c r="FH3289"/>
  <c r="FH3290"/>
  <c r="FH3291"/>
  <c r="FH3292"/>
  <c r="FH3293"/>
  <c r="FH3294"/>
  <c r="FH3295"/>
  <c r="FH3296"/>
  <c r="FH3297"/>
  <c r="FH3298"/>
  <c r="FH3299"/>
  <c r="FH3300"/>
  <c r="FH3301"/>
  <c r="FH3302"/>
  <c r="FH3303"/>
  <c r="FH3304"/>
  <c r="FH3305"/>
  <c r="FH3306"/>
  <c r="FH3307"/>
  <c r="FH3308"/>
  <c r="FH3309"/>
  <c r="FH3310"/>
  <c r="FH3311"/>
  <c r="FH3312"/>
  <c r="FH3313"/>
  <c r="FH3314"/>
  <c r="FH3315"/>
  <c r="FH3316"/>
  <c r="FH3317"/>
  <c r="FH3318"/>
  <c r="FH3319"/>
  <c r="FH3320"/>
  <c r="FH3321"/>
  <c r="FH3322"/>
  <c r="FH3323"/>
  <c r="FH3324"/>
  <c r="FH3325"/>
  <c r="FH3326"/>
  <c r="FH3327"/>
  <c r="FH3328"/>
  <c r="FH3329"/>
  <c r="FH3330"/>
  <c r="FH3331"/>
  <c r="FH3332"/>
  <c r="FH3333"/>
  <c r="FH3334"/>
  <c r="FH3335"/>
  <c r="FH3336"/>
  <c r="FH3337"/>
  <c r="FH3338"/>
  <c r="FH3339"/>
  <c r="FH3340"/>
  <c r="FH3341"/>
  <c r="FH3342"/>
  <c r="FH3343"/>
  <c r="FH3344"/>
  <c r="FH3345"/>
  <c r="FH3346"/>
  <c r="FH3347"/>
  <c r="FH3348"/>
  <c r="FH3349"/>
  <c r="FH3350"/>
  <c r="FH3351"/>
  <c r="FH3352"/>
  <c r="FH3353"/>
  <c r="FH3354"/>
  <c r="FH3355"/>
  <c r="FH3356"/>
  <c r="FH3357"/>
  <c r="FH3358"/>
  <c r="FH3359"/>
  <c r="FH3360"/>
  <c r="FH3361"/>
  <c r="FH3362"/>
  <c r="FH3363"/>
  <c r="FH3364"/>
  <c r="FH3365"/>
  <c r="FH3366"/>
  <c r="FH3367"/>
  <c r="FH3368"/>
  <c r="FH3369"/>
  <c r="FH3370"/>
  <c r="FH3371"/>
  <c r="FH3372"/>
  <c r="FH3373"/>
  <c r="FH3374"/>
  <c r="FH3375"/>
  <c r="FH3376"/>
  <c r="FH3377"/>
  <c r="FH3378"/>
  <c r="FH3379"/>
  <c r="FH3380"/>
  <c r="FH3381"/>
  <c r="FH3382"/>
  <c r="FH3383"/>
  <c r="FH3384"/>
  <c r="FH3385"/>
  <c r="FH3386"/>
  <c r="FH3387"/>
  <c r="FH3388"/>
  <c r="FH3389"/>
  <c r="FH3390"/>
  <c r="FH3391"/>
  <c r="FH3392"/>
  <c r="FH3393"/>
  <c r="FH3394"/>
  <c r="FH3395"/>
  <c r="FH3396"/>
  <c r="FH3397"/>
  <c r="FH3398"/>
  <c r="FH3399"/>
  <c r="FH3400"/>
  <c r="FH3401"/>
  <c r="FH3402"/>
  <c r="FH3403"/>
  <c r="FH3404"/>
  <c r="FH3405"/>
  <c r="FH3406"/>
  <c r="FH3407"/>
  <c r="FH3408"/>
  <c r="FH3409"/>
  <c r="FH3410"/>
  <c r="FH3411"/>
  <c r="FH3412"/>
  <c r="FH3413"/>
  <c r="FH3414"/>
  <c r="FH3415"/>
  <c r="FH3416"/>
  <c r="FH3417"/>
  <c r="FH3418"/>
  <c r="FH3419"/>
  <c r="FH3420"/>
  <c r="FH3421"/>
  <c r="FH3422"/>
  <c r="FH3423"/>
  <c r="FH3424"/>
  <c r="FH3425"/>
  <c r="FH3426"/>
  <c r="FH3427"/>
  <c r="FH3428"/>
  <c r="FH3429"/>
  <c r="FH3430"/>
  <c r="FH3431"/>
  <c r="FH3432"/>
  <c r="FH3433"/>
  <c r="FH3434"/>
  <c r="FH3435"/>
  <c r="FH3436"/>
  <c r="FH3437"/>
  <c r="FH3438"/>
  <c r="FH3439"/>
  <c r="FH3440"/>
  <c r="FH3441"/>
  <c r="FH3442"/>
  <c r="FH3443"/>
  <c r="FH3444"/>
  <c r="FH3445"/>
  <c r="FH3446"/>
  <c r="FH3447"/>
  <c r="FH3448"/>
  <c r="FH3449"/>
  <c r="FH3450"/>
  <c r="FH3451"/>
  <c r="FH3452"/>
  <c r="FH3453"/>
  <c r="FH3454"/>
  <c r="FH3455"/>
  <c r="FH3456"/>
  <c r="FH3457"/>
  <c r="FH3458"/>
  <c r="FH3459"/>
  <c r="FH3460"/>
  <c r="FH3461"/>
  <c r="FH3462"/>
  <c r="FH3463"/>
  <c r="FH3464"/>
  <c r="FH3465"/>
  <c r="FH3466"/>
  <c r="FH3467"/>
  <c r="FH3468"/>
  <c r="FH3469"/>
  <c r="FH3470"/>
  <c r="FH3471"/>
  <c r="FH3472"/>
  <c r="FH3473"/>
  <c r="FH3474"/>
  <c r="FH3475"/>
  <c r="FH3476"/>
  <c r="FH3477"/>
  <c r="FH3478"/>
  <c r="FH3479"/>
  <c r="FH3480"/>
  <c r="FH3481"/>
  <c r="FH3482"/>
  <c r="FH3483"/>
  <c r="FH3484"/>
  <c r="FH3485"/>
  <c r="FH3486"/>
  <c r="FH3487"/>
  <c r="FH3488"/>
  <c r="FH3489"/>
  <c r="FH3490"/>
  <c r="FH3491"/>
  <c r="FH3492"/>
  <c r="FH3493"/>
  <c r="FH3494"/>
  <c r="FH3495"/>
  <c r="FH3496"/>
  <c r="FH3497"/>
  <c r="FH3498"/>
  <c r="FH3499"/>
  <c r="FH3500"/>
  <c r="FH3501"/>
  <c r="FH3502"/>
  <c r="FH3503"/>
  <c r="FH3504"/>
  <c r="FH3505"/>
  <c r="FH3506"/>
  <c r="FH3507"/>
  <c r="FH3508"/>
  <c r="FH3509"/>
  <c r="FH3510"/>
  <c r="FH3511"/>
  <c r="FH3512"/>
  <c r="FH3513"/>
  <c r="FH3514"/>
  <c r="FH3515"/>
  <c r="FH3516"/>
  <c r="FH3517"/>
  <c r="FH3518"/>
  <c r="FH3519"/>
  <c r="FH3520"/>
  <c r="FH3521"/>
  <c r="FH3522"/>
  <c r="FH3523"/>
  <c r="FH3524"/>
  <c r="FH3525"/>
  <c r="FH3526"/>
  <c r="FH3527"/>
  <c r="FH3528"/>
  <c r="FH3529"/>
  <c r="FH3530"/>
  <c r="FH3531"/>
  <c r="FH3532"/>
  <c r="FH3533"/>
  <c r="FH3534"/>
  <c r="FH3535"/>
  <c r="FH3536"/>
  <c r="FH3537"/>
  <c r="FH3538"/>
  <c r="FH3539"/>
  <c r="FH3540"/>
  <c r="FH3541"/>
  <c r="FH3542"/>
  <c r="FH3543"/>
  <c r="FH3544"/>
  <c r="FH3545"/>
  <c r="FH3546"/>
  <c r="FH3547"/>
  <c r="FH3548"/>
  <c r="FH3549"/>
  <c r="FH3550"/>
  <c r="FH3551"/>
  <c r="FH3552"/>
  <c r="FH3553"/>
  <c r="FH3554"/>
  <c r="FH3555"/>
  <c r="FH3556"/>
  <c r="FH3557"/>
  <c r="FH3558"/>
  <c r="FH3559"/>
  <c r="FH3560"/>
  <c r="FH3561"/>
  <c r="FH3562"/>
  <c r="FH3563"/>
  <c r="FH3564"/>
  <c r="FH3565"/>
  <c r="FH3566"/>
  <c r="FH3567"/>
  <c r="FH3568"/>
  <c r="FH3569"/>
  <c r="FH3570"/>
  <c r="FH3571"/>
  <c r="FH3572"/>
  <c r="FH3573"/>
  <c r="FH3574"/>
  <c r="FH3575"/>
  <c r="FH3576"/>
  <c r="FH3577"/>
  <c r="FH3578"/>
  <c r="FH3579"/>
  <c r="FH3580"/>
  <c r="FH3581"/>
  <c r="FH3582"/>
  <c r="FH3583"/>
  <c r="FH3584"/>
  <c r="FH3585"/>
  <c r="FH3586"/>
  <c r="FH3587"/>
  <c r="FH3588"/>
  <c r="FH3589"/>
  <c r="FH3590"/>
  <c r="FH3591"/>
  <c r="FH3592"/>
  <c r="FH3593"/>
  <c r="FH3594"/>
  <c r="FH3595"/>
  <c r="FH3596"/>
  <c r="FH3597"/>
  <c r="FH3598"/>
  <c r="FH3599"/>
  <c r="FH3600"/>
  <c r="FH3601"/>
  <c r="FH3602"/>
  <c r="FH3603"/>
  <c r="FH3604"/>
  <c r="FH3605"/>
  <c r="FH3606"/>
  <c r="FH3607"/>
  <c r="FH3608"/>
  <c r="FH3609"/>
  <c r="FH3610"/>
  <c r="FH3611"/>
  <c r="FH3612"/>
  <c r="FH3613"/>
  <c r="FH3614"/>
  <c r="FH3615"/>
  <c r="FH3616"/>
  <c r="FH3617"/>
  <c r="FH3618"/>
  <c r="FH3619"/>
  <c r="FH3620"/>
  <c r="FH3621"/>
  <c r="FH3622"/>
  <c r="FH3623"/>
  <c r="FH3624"/>
  <c r="FH3625"/>
  <c r="FH3626"/>
  <c r="FH3627"/>
  <c r="FH3628"/>
  <c r="FH3629"/>
  <c r="FH3630"/>
  <c r="FH3631"/>
  <c r="FH3632"/>
  <c r="FH3633"/>
  <c r="FH3634"/>
  <c r="FH3635"/>
  <c r="FH3636"/>
  <c r="FH3637"/>
  <c r="FH3638"/>
  <c r="FH3639"/>
  <c r="FH3640"/>
  <c r="FH3641"/>
  <c r="FH3642"/>
  <c r="FH3643"/>
  <c r="FH3644"/>
  <c r="FH3645"/>
  <c r="FH3646"/>
  <c r="FH3647"/>
  <c r="FH3648"/>
  <c r="FH3649"/>
  <c r="FH3650"/>
  <c r="FH3651"/>
  <c r="FH3652"/>
  <c r="FH3653"/>
  <c r="FH3654"/>
  <c r="FH3655"/>
  <c r="FH3656"/>
  <c r="FH3657"/>
  <c r="FH3658"/>
  <c r="FH3659"/>
  <c r="FH3660"/>
  <c r="FH3661"/>
  <c r="FH3662"/>
  <c r="FH3663"/>
  <c r="FH3664"/>
  <c r="FH3665"/>
  <c r="FH3666"/>
  <c r="FH3667"/>
  <c r="FH3668"/>
  <c r="FH3669"/>
  <c r="FH3670"/>
  <c r="FH3671"/>
  <c r="FH3672"/>
  <c r="FH3673"/>
  <c r="FH3674"/>
  <c r="FH3675"/>
  <c r="FH3676"/>
  <c r="FH3677"/>
  <c r="FH3678"/>
  <c r="FH3679"/>
  <c r="FH3680"/>
  <c r="FH3681"/>
  <c r="FH3682"/>
  <c r="FH3683"/>
  <c r="FH3684"/>
  <c r="FH3685"/>
  <c r="FH3686"/>
  <c r="FH3687"/>
  <c r="FH3688"/>
  <c r="FH3689"/>
  <c r="FH3690"/>
  <c r="FH3691"/>
  <c r="FH3692"/>
  <c r="FH3693"/>
  <c r="FH3694"/>
  <c r="FH3695"/>
  <c r="FH3696"/>
  <c r="FH3697"/>
  <c r="FH3698"/>
  <c r="FH3699"/>
  <c r="FH3700"/>
  <c r="FH3701"/>
  <c r="FH3702"/>
  <c r="FH3703"/>
  <c r="FH3704"/>
  <c r="FH3705"/>
  <c r="FH3706"/>
  <c r="FH3707"/>
  <c r="FH3708"/>
  <c r="FH3709"/>
  <c r="FH3710"/>
  <c r="FH3711"/>
  <c r="FH3712"/>
  <c r="FH3713"/>
  <c r="FH3714"/>
  <c r="FH3715"/>
  <c r="FH3716"/>
  <c r="FH3717"/>
  <c r="FH3718"/>
  <c r="FH3719"/>
  <c r="FH3720"/>
  <c r="FH3721"/>
  <c r="FH3722"/>
  <c r="FH3723"/>
  <c r="FH3724"/>
  <c r="FH3725"/>
  <c r="FH3726"/>
  <c r="FH3727"/>
  <c r="FH3728"/>
  <c r="FH3729"/>
  <c r="FH3730"/>
  <c r="FH3731"/>
  <c r="FH3732"/>
  <c r="FH3733"/>
  <c r="FH3734"/>
  <c r="FH3735"/>
  <c r="FH3736"/>
  <c r="FH3737"/>
  <c r="FH3738"/>
  <c r="FH3739"/>
  <c r="FH3740"/>
  <c r="FH3741"/>
  <c r="FH3742"/>
  <c r="FH3743"/>
  <c r="FH3744"/>
  <c r="FH3745"/>
  <c r="FH3746"/>
  <c r="FH3747"/>
  <c r="FH3748"/>
  <c r="FH3749"/>
  <c r="FH3750"/>
  <c r="FH3751"/>
  <c r="FH3752"/>
  <c r="FH3753"/>
  <c r="FH3754"/>
  <c r="FH3755"/>
  <c r="FH3756"/>
  <c r="FH3757"/>
  <c r="FH3758"/>
  <c r="FH3759"/>
  <c r="FH3760"/>
  <c r="FH3761"/>
  <c r="FH3762"/>
  <c r="FH3763"/>
  <c r="FH3764"/>
  <c r="FH3765"/>
  <c r="FH3766"/>
  <c r="FH3767"/>
  <c r="FH3768"/>
  <c r="FH3769"/>
  <c r="FH3770"/>
  <c r="FH3771"/>
  <c r="FH3772"/>
  <c r="FH3773"/>
  <c r="FH3774"/>
  <c r="FH3775"/>
  <c r="FH3776"/>
  <c r="FH3777"/>
  <c r="FH3778"/>
  <c r="FH3779"/>
  <c r="FH3780"/>
  <c r="FH3781"/>
  <c r="FH3782"/>
  <c r="FH3783"/>
  <c r="FH3784"/>
  <c r="FH3785"/>
  <c r="FH3786"/>
  <c r="FH3787"/>
  <c r="FH3788"/>
  <c r="FH3789"/>
  <c r="FH3790"/>
  <c r="FH3791"/>
  <c r="FH3792"/>
  <c r="FH3793"/>
  <c r="FH3794"/>
  <c r="FH3795"/>
  <c r="FH3796"/>
  <c r="FH3797"/>
  <c r="FH3798"/>
  <c r="FH3799"/>
  <c r="FH3800"/>
  <c r="FH3801"/>
  <c r="FH3802"/>
  <c r="FH3803"/>
  <c r="FH3804"/>
  <c r="FH3805"/>
  <c r="FH3806"/>
  <c r="FH3807"/>
  <c r="FH3808"/>
  <c r="FH3809"/>
  <c r="FH3810"/>
  <c r="FH3811"/>
  <c r="FH3812"/>
  <c r="FH3813"/>
  <c r="FH3814"/>
  <c r="FH3815"/>
  <c r="FH3816"/>
  <c r="FH3817"/>
  <c r="FH3818"/>
  <c r="FH3819"/>
  <c r="FH3820"/>
  <c r="FH3821"/>
  <c r="FH3822"/>
  <c r="FH3823"/>
  <c r="FH3824"/>
  <c r="FH3825"/>
  <c r="FH3826"/>
  <c r="FH3827"/>
  <c r="FH3828"/>
  <c r="FH3829"/>
  <c r="FH3830"/>
  <c r="FH3831"/>
  <c r="FH3832"/>
  <c r="FH3833"/>
  <c r="FH3834"/>
  <c r="FH3835"/>
  <c r="FH3836"/>
  <c r="FH3837"/>
  <c r="FH3838"/>
  <c r="FH3839"/>
  <c r="FH3840"/>
  <c r="FH3841"/>
  <c r="FH3842"/>
  <c r="FH3843"/>
  <c r="FH3844"/>
  <c r="FH3845"/>
  <c r="FH3846"/>
  <c r="FH3847"/>
  <c r="FH3848"/>
  <c r="FH3849"/>
  <c r="FH3850"/>
  <c r="FH3851"/>
  <c r="FH3852"/>
  <c r="FH3853"/>
  <c r="FH3854"/>
  <c r="FH3855"/>
  <c r="FH3856"/>
  <c r="FH3857"/>
  <c r="FH3858"/>
  <c r="FH3859"/>
  <c r="FH3860"/>
  <c r="FH3861"/>
  <c r="FH3862"/>
  <c r="FH3863"/>
  <c r="FH3864"/>
  <c r="FH3865"/>
  <c r="FH3866"/>
  <c r="FH3867"/>
  <c r="FH3868"/>
  <c r="FH3869"/>
  <c r="FH3870"/>
  <c r="FH3871"/>
  <c r="FH3872"/>
  <c r="FH3873"/>
  <c r="FH3874"/>
  <c r="FH3875"/>
  <c r="FH3876"/>
  <c r="FH3877"/>
  <c r="FH3878"/>
  <c r="FH3879"/>
  <c r="FH3880"/>
  <c r="FH3881"/>
  <c r="FH3882"/>
  <c r="FH3883"/>
  <c r="FH3884"/>
  <c r="FH3885"/>
  <c r="FH3886"/>
  <c r="FH3887"/>
  <c r="FH3888"/>
  <c r="FH3889"/>
  <c r="FH3890"/>
  <c r="FH3891"/>
  <c r="FH3892"/>
  <c r="FH3893"/>
  <c r="FH3894"/>
  <c r="FH3895"/>
  <c r="FH3896"/>
  <c r="FH3897"/>
  <c r="FH3898"/>
  <c r="FH3899"/>
  <c r="FH3900"/>
  <c r="FH3901"/>
  <c r="FH3902"/>
  <c r="FH3903"/>
  <c r="FH3904"/>
  <c r="FH3905"/>
  <c r="FH3906"/>
  <c r="FH3907"/>
  <c r="FH3908"/>
  <c r="FH3909"/>
  <c r="FH3910"/>
  <c r="FH3911"/>
  <c r="FH3912"/>
  <c r="FH3913"/>
  <c r="FH3914"/>
  <c r="FH3915"/>
  <c r="FH3916"/>
  <c r="FH3917"/>
  <c r="FH3918"/>
  <c r="FH3919"/>
  <c r="FH3920"/>
  <c r="FH3921"/>
  <c r="FH3922"/>
  <c r="FH3923"/>
  <c r="FH3924"/>
  <c r="FH3925"/>
  <c r="FH3926"/>
  <c r="FH3927"/>
  <c r="FH3928"/>
  <c r="FH3929"/>
  <c r="FH3930"/>
  <c r="FH3931"/>
  <c r="FH3932"/>
  <c r="FH3933"/>
  <c r="FH3934"/>
  <c r="FH3935"/>
  <c r="FH3936"/>
  <c r="FH3937"/>
  <c r="FH3938"/>
  <c r="FH3939"/>
  <c r="FH3940"/>
  <c r="FH3941"/>
  <c r="FH3942"/>
  <c r="FH3943"/>
  <c r="FH3944"/>
  <c r="FH3945"/>
  <c r="FH3946"/>
  <c r="FH3947"/>
  <c r="FH3948"/>
  <c r="FH3949"/>
  <c r="FH3950"/>
  <c r="FH3951"/>
  <c r="FH3952"/>
  <c r="FH3953"/>
  <c r="FH3954"/>
  <c r="FH3955"/>
  <c r="FH3956"/>
  <c r="FH3957"/>
  <c r="FH3958"/>
  <c r="FH3959"/>
  <c r="FH3960"/>
  <c r="FH3961"/>
  <c r="FH3962"/>
  <c r="FH3963"/>
  <c r="FH3964"/>
  <c r="FH3965"/>
  <c r="FH3966"/>
  <c r="FH3967"/>
  <c r="FH3968"/>
  <c r="FH3969"/>
  <c r="FH3970"/>
  <c r="FH3971"/>
  <c r="FH3972"/>
  <c r="FH3973"/>
  <c r="FH3974"/>
  <c r="FH3975"/>
  <c r="FH3976"/>
  <c r="FH3977"/>
  <c r="FH3978"/>
  <c r="FH3979"/>
  <c r="FH3980"/>
  <c r="FH3981"/>
  <c r="FH3982"/>
  <c r="FH3983"/>
  <c r="FH3984"/>
  <c r="FH3985"/>
  <c r="FH3986"/>
  <c r="FH3987"/>
  <c r="FH3988"/>
  <c r="FH3989"/>
  <c r="FH3990"/>
  <c r="FH3991"/>
  <c r="FH3992"/>
  <c r="FH3993"/>
  <c r="FH3994"/>
  <c r="FH3995"/>
  <c r="FH3996"/>
  <c r="FH3997"/>
  <c r="FH3998"/>
  <c r="FH3999"/>
  <c r="FH4000"/>
  <c r="FH4001"/>
  <c r="FH4002"/>
  <c r="FH4003"/>
  <c r="FH4004"/>
  <c r="FH4005"/>
  <c r="FH4006"/>
  <c r="FH4007"/>
  <c r="FH4008"/>
  <c r="FH4009"/>
  <c r="FH4010"/>
  <c r="FH4011"/>
  <c r="FH4012"/>
  <c r="FH4013"/>
  <c r="FH4014"/>
  <c r="FH4015"/>
  <c r="FH4016"/>
  <c r="FH4017"/>
  <c r="FH4018"/>
  <c r="FH4019"/>
  <c r="FH4020"/>
  <c r="FH4021"/>
  <c r="FH4022"/>
  <c r="FH4023"/>
  <c r="FH4024"/>
  <c r="FH4025"/>
  <c r="FH4026"/>
  <c r="FH4027"/>
  <c r="FH4028"/>
  <c r="FH4029"/>
  <c r="FH4030"/>
  <c r="FH4031"/>
  <c r="FH4032"/>
  <c r="FH4033"/>
  <c r="FH4034"/>
  <c r="FH4035"/>
  <c r="FH4036"/>
  <c r="FH4037"/>
  <c r="FH4038"/>
  <c r="FH4039"/>
  <c r="FH4040"/>
  <c r="FH4041"/>
  <c r="FH4042"/>
  <c r="FH4043"/>
  <c r="FH4044"/>
  <c r="FH4045"/>
  <c r="FH4046"/>
  <c r="FH4047"/>
  <c r="FH4048"/>
  <c r="FH4049"/>
  <c r="FH4050"/>
  <c r="FH4051"/>
  <c r="FH4052"/>
  <c r="FH4053"/>
  <c r="FH4054"/>
  <c r="FH4055"/>
  <c r="FH4056"/>
  <c r="FH4057"/>
  <c r="FH4058"/>
  <c r="FH4059"/>
  <c r="FH4060"/>
  <c r="FH4061"/>
  <c r="FH4062"/>
  <c r="FH4063"/>
  <c r="FH4064"/>
  <c r="FH4065"/>
  <c r="FH4066"/>
  <c r="FH4067"/>
  <c r="FH4068"/>
  <c r="FH4069"/>
  <c r="FH4070"/>
  <c r="FH4071"/>
  <c r="FH4072"/>
  <c r="FH4073"/>
  <c r="FH4074"/>
  <c r="FH4075"/>
  <c r="FH4076"/>
  <c r="FH4077"/>
  <c r="FH4078"/>
  <c r="FH4079"/>
  <c r="FH4080"/>
  <c r="FH4081"/>
  <c r="FH4082"/>
  <c r="FH4083"/>
  <c r="FH4084"/>
  <c r="FH4085"/>
  <c r="FH4086"/>
  <c r="FH4087"/>
  <c r="FH4088"/>
  <c r="FH4089"/>
  <c r="FH4090"/>
  <c r="FH4091"/>
  <c r="FH4092"/>
  <c r="FH4093"/>
  <c r="FH4094"/>
  <c r="FH4095"/>
  <c r="FH4096"/>
  <c r="FH4097"/>
  <c r="FH4098"/>
  <c r="FH4099"/>
  <c r="FH4100"/>
  <c r="FH4101"/>
  <c r="FH4102"/>
  <c r="FH4103"/>
  <c r="FH4104"/>
  <c r="FH4105"/>
  <c r="FH4106"/>
  <c r="FH4107"/>
  <c r="FH4108"/>
  <c r="FH4109"/>
  <c r="FH4110"/>
  <c r="FH4111"/>
  <c r="FH4112"/>
  <c r="FH4113"/>
  <c r="FH4114"/>
  <c r="FH4115"/>
  <c r="FH4116"/>
  <c r="FH4117"/>
  <c r="FH4118"/>
  <c r="FH4119"/>
  <c r="FH4120"/>
  <c r="FH4121"/>
  <c r="FH4122"/>
  <c r="FH4123"/>
  <c r="FH4124"/>
  <c r="FH4125"/>
  <c r="FH4126"/>
  <c r="FH4127"/>
  <c r="FH4128"/>
  <c r="FH4129"/>
  <c r="FH4130"/>
  <c r="FH4131"/>
  <c r="FH4132"/>
  <c r="FH4133"/>
  <c r="FH4134"/>
  <c r="FH4135"/>
  <c r="FH4136"/>
  <c r="FH4137"/>
  <c r="FH4138"/>
  <c r="FH4139"/>
  <c r="FH4140"/>
  <c r="FH4141"/>
  <c r="FH4142"/>
  <c r="FH4143"/>
  <c r="FH4144"/>
  <c r="FH4145"/>
  <c r="FH4146"/>
  <c r="FH4147"/>
  <c r="FH4148"/>
  <c r="FH4149"/>
  <c r="FH4150"/>
  <c r="FH4151"/>
  <c r="FH4152"/>
  <c r="FH4153"/>
  <c r="FH4154"/>
  <c r="FH4155"/>
  <c r="FH4156"/>
  <c r="FH4157"/>
  <c r="FH4158"/>
  <c r="FH4159"/>
  <c r="FH4160"/>
  <c r="FH4161"/>
  <c r="FH4162"/>
  <c r="FH4163"/>
  <c r="FH4164"/>
  <c r="FH4165"/>
  <c r="FH4166"/>
  <c r="FH4167"/>
  <c r="FH4168"/>
  <c r="FH4169"/>
  <c r="FH4170"/>
  <c r="FH4171"/>
  <c r="FH4172"/>
  <c r="FH4173"/>
  <c r="FH4174"/>
  <c r="FH4175"/>
  <c r="FH4176"/>
  <c r="FH4177"/>
  <c r="FH4178"/>
  <c r="FH4179"/>
  <c r="FH4180"/>
  <c r="FH4181"/>
  <c r="FH4182"/>
  <c r="FH4183"/>
  <c r="FH4184"/>
  <c r="FH4185"/>
  <c r="FH4186"/>
  <c r="FH4187"/>
  <c r="FH4188"/>
  <c r="FH4189"/>
  <c r="FH4190"/>
  <c r="FH4191"/>
  <c r="FH4192"/>
  <c r="FH4193"/>
  <c r="FH4194"/>
  <c r="FH4195"/>
  <c r="FH4196"/>
  <c r="FH4197"/>
  <c r="FH4198"/>
  <c r="FH4199"/>
  <c r="FH4200"/>
  <c r="FH4201"/>
  <c r="FH4202"/>
  <c r="FH4203"/>
  <c r="FH4204"/>
  <c r="FH4205"/>
  <c r="FH4206"/>
  <c r="FH4207"/>
  <c r="FH4208"/>
  <c r="FH4209"/>
  <c r="FH4210"/>
  <c r="FH4211"/>
  <c r="FH4212"/>
  <c r="FH4213"/>
  <c r="FH4214"/>
  <c r="FH4215"/>
  <c r="FH4216"/>
  <c r="FH4217"/>
  <c r="FH4218"/>
  <c r="FH4219"/>
  <c r="FH4220"/>
  <c r="FH4221"/>
  <c r="FH4222"/>
  <c r="FH4223"/>
  <c r="FH4224"/>
  <c r="FH4225"/>
  <c r="FH4226"/>
  <c r="FH4227"/>
  <c r="FH4228"/>
  <c r="FH4229"/>
  <c r="FH4230"/>
  <c r="FH4231"/>
  <c r="FH4232"/>
  <c r="FH4233"/>
  <c r="FH4234"/>
  <c r="FH4235"/>
  <c r="FH4236"/>
  <c r="FH4237"/>
  <c r="FH4238"/>
  <c r="FH4239"/>
  <c r="FH4240"/>
  <c r="FH4241"/>
  <c r="FH4242"/>
  <c r="FH4243"/>
  <c r="FH4244"/>
  <c r="FH4245"/>
  <c r="FH4246"/>
  <c r="FH4247"/>
  <c r="FH4248"/>
  <c r="FH4249"/>
  <c r="FH4250"/>
  <c r="FH4251"/>
  <c r="FH4252"/>
  <c r="FH4253"/>
  <c r="FH4254"/>
  <c r="FH4255"/>
  <c r="FH4256"/>
  <c r="FH4257"/>
  <c r="FH4258"/>
  <c r="FH4259"/>
  <c r="FH4260"/>
  <c r="FH4261"/>
  <c r="FH4262"/>
  <c r="FH4263"/>
  <c r="FH4264"/>
  <c r="FH4265"/>
  <c r="FH4266"/>
  <c r="FH4267"/>
  <c r="FH4268"/>
  <c r="FH4269"/>
  <c r="FH4270"/>
  <c r="FH4271"/>
  <c r="FH4272"/>
  <c r="FH4273"/>
  <c r="FH4274"/>
  <c r="FH4275"/>
  <c r="FH4276"/>
  <c r="FH4277"/>
  <c r="FH4278"/>
  <c r="FH4279"/>
  <c r="FH4280"/>
  <c r="FH4281"/>
  <c r="FH4282"/>
  <c r="FH4283"/>
  <c r="FH4284"/>
  <c r="FH4285"/>
  <c r="FH4286"/>
  <c r="FH4287"/>
  <c r="FH4288"/>
  <c r="FH4289"/>
  <c r="FH4290"/>
  <c r="FH4291"/>
  <c r="FH4292"/>
  <c r="FH4293"/>
  <c r="FH4294"/>
  <c r="FH4295"/>
  <c r="FH4296"/>
  <c r="FH4297"/>
  <c r="FH4298"/>
  <c r="FH4299"/>
  <c r="FH4300"/>
  <c r="FH4301"/>
  <c r="FH4302"/>
  <c r="FH4303"/>
  <c r="FH4304"/>
  <c r="FH4305"/>
  <c r="FH4306"/>
  <c r="FH4307"/>
  <c r="FH4308"/>
  <c r="FH4309"/>
  <c r="FH4310"/>
  <c r="FH4311"/>
  <c r="FH4312"/>
  <c r="FH4313"/>
  <c r="FH4314"/>
  <c r="FH4315"/>
  <c r="FH4316"/>
  <c r="FH4317"/>
  <c r="FH4318"/>
  <c r="FH4319"/>
  <c r="FH4320"/>
  <c r="FH4321"/>
  <c r="FH4322"/>
  <c r="FH4323"/>
  <c r="FH4324"/>
  <c r="FH4325"/>
  <c r="FH4326"/>
  <c r="FH4327"/>
  <c r="FH4328"/>
  <c r="FH4329"/>
  <c r="FH4330"/>
  <c r="FH4331"/>
  <c r="FH4332"/>
  <c r="FH4333"/>
  <c r="FH4334"/>
  <c r="FH4335"/>
  <c r="FH4336"/>
  <c r="FH4337"/>
  <c r="FH4338"/>
  <c r="FH4339"/>
  <c r="FH4340"/>
  <c r="FH4341"/>
  <c r="FH4342"/>
  <c r="FH4343"/>
  <c r="FH4344"/>
  <c r="FH4345"/>
  <c r="FH4346"/>
  <c r="FH4347"/>
  <c r="FH4348"/>
  <c r="FH4349"/>
  <c r="FH4350"/>
  <c r="FH4351"/>
  <c r="FH4352"/>
  <c r="FH4353"/>
  <c r="FH4354"/>
  <c r="FH4355"/>
  <c r="FH4356"/>
  <c r="FH4357"/>
  <c r="FH4358"/>
  <c r="FH4359"/>
  <c r="FH4360"/>
  <c r="FH4361"/>
  <c r="FH4362"/>
  <c r="FH4363"/>
  <c r="FH4364"/>
  <c r="FH4365"/>
  <c r="FH4366"/>
  <c r="FH4367"/>
  <c r="FH4368"/>
  <c r="FH4369"/>
  <c r="FH4370"/>
  <c r="FH4371"/>
  <c r="FH4372"/>
  <c r="FH4373"/>
  <c r="FH4374"/>
  <c r="FH4375"/>
  <c r="FH4376"/>
  <c r="FH4377"/>
  <c r="FH4378"/>
  <c r="FH4379"/>
  <c r="FH4380"/>
  <c r="FH4381"/>
  <c r="FH4382"/>
  <c r="FH4383"/>
  <c r="FH4384"/>
  <c r="FH4385"/>
  <c r="FH4386"/>
  <c r="FH4387"/>
  <c r="FH4388"/>
  <c r="FH4389"/>
  <c r="FH4390"/>
  <c r="FH4391"/>
  <c r="FH4392"/>
  <c r="FH4393"/>
  <c r="FH4394"/>
  <c r="FH4395"/>
  <c r="FH4396"/>
  <c r="FH4397"/>
  <c r="FH4398"/>
  <c r="FH4399"/>
  <c r="FH4400"/>
  <c r="FH4401"/>
  <c r="FH4402"/>
  <c r="FH4403"/>
  <c r="FH4404"/>
  <c r="FH4405"/>
  <c r="FH4406"/>
  <c r="FH4407"/>
  <c r="FH4408"/>
  <c r="FH4409"/>
  <c r="FH4410"/>
  <c r="FH4411"/>
  <c r="FH4412"/>
  <c r="FH4413"/>
  <c r="FH4414"/>
  <c r="FH4415"/>
  <c r="FH4416"/>
  <c r="FH4417"/>
  <c r="FH4418"/>
  <c r="FH4419"/>
  <c r="FH4420"/>
  <c r="FH4421"/>
  <c r="FH4422"/>
  <c r="FH4423"/>
  <c r="FH4424"/>
  <c r="FH4425"/>
  <c r="FH4426"/>
  <c r="FH4427"/>
  <c r="FH4428"/>
  <c r="FH4429"/>
  <c r="FH4430"/>
  <c r="FH4431"/>
  <c r="FH4432"/>
  <c r="FH4433"/>
  <c r="FH4434"/>
  <c r="FH4435"/>
  <c r="FH4436"/>
  <c r="FH4437"/>
  <c r="FH4438"/>
  <c r="FH4439"/>
  <c r="FH4440"/>
  <c r="FH4441"/>
  <c r="FH4442"/>
  <c r="FH4443"/>
  <c r="FH4444"/>
  <c r="FH4445"/>
  <c r="FH4446"/>
  <c r="FH4447"/>
  <c r="FH4448"/>
  <c r="FH4449"/>
  <c r="FH4450"/>
  <c r="FH4451"/>
  <c r="FH4452"/>
  <c r="FH4453"/>
  <c r="FH4454"/>
  <c r="FH4455"/>
  <c r="FH4456"/>
  <c r="FH4457"/>
  <c r="FH4458"/>
  <c r="FH4459"/>
  <c r="FH4460"/>
  <c r="FH4461"/>
  <c r="FH4462"/>
  <c r="FH4463"/>
  <c r="FH4464"/>
  <c r="FH4465"/>
  <c r="FH4466"/>
  <c r="FH4467"/>
  <c r="FH4468"/>
  <c r="FH4469"/>
  <c r="FH4470"/>
  <c r="FH4471"/>
  <c r="FH4472"/>
  <c r="FH4473"/>
  <c r="FH4474"/>
  <c r="FH4475"/>
  <c r="FH4476"/>
  <c r="FH4477"/>
  <c r="FH4478"/>
  <c r="FH4479"/>
  <c r="FH4480"/>
  <c r="FH4481"/>
  <c r="FH4482"/>
  <c r="FH4483"/>
  <c r="FH4484"/>
  <c r="FH4485"/>
  <c r="FH4486"/>
  <c r="FH4487"/>
  <c r="FH4488"/>
  <c r="FH4489"/>
  <c r="FH4490"/>
  <c r="FH4491"/>
  <c r="FH4492"/>
  <c r="FH4493"/>
  <c r="FH4494"/>
  <c r="FH4495"/>
  <c r="FH4496"/>
  <c r="FH4497"/>
  <c r="FH4498"/>
  <c r="FH4499"/>
  <c r="FH4500"/>
  <c r="FH4501"/>
  <c r="FH4502"/>
  <c r="FH4503"/>
  <c r="FH4504"/>
  <c r="FH4505"/>
  <c r="FH4506"/>
  <c r="FH4507"/>
  <c r="FH4508"/>
  <c r="FH4509"/>
  <c r="FH4510"/>
  <c r="FH4511"/>
  <c r="FH4512"/>
  <c r="FH4513"/>
  <c r="FH4514"/>
  <c r="FH4515"/>
  <c r="FH4516"/>
  <c r="FH4517"/>
  <c r="FH4518"/>
  <c r="FH4519"/>
  <c r="FH4520"/>
  <c r="FH4521"/>
  <c r="FH4522"/>
  <c r="FH4523"/>
  <c r="FH4524"/>
  <c r="FH4525"/>
  <c r="FH4526"/>
  <c r="FH4527"/>
  <c r="FH4528"/>
  <c r="FH4529"/>
  <c r="FH4530"/>
  <c r="FH4531"/>
  <c r="FH4532"/>
  <c r="FH4533"/>
  <c r="FH4534"/>
  <c r="FH4535"/>
  <c r="FH4536"/>
  <c r="FH4537"/>
  <c r="FH4538"/>
  <c r="FH4539"/>
  <c r="FH4540"/>
  <c r="FH4541"/>
  <c r="FH4542"/>
  <c r="FH4543"/>
  <c r="FH4544"/>
  <c r="FH4545"/>
  <c r="FH4546"/>
  <c r="FH4547"/>
  <c r="FH4548"/>
  <c r="FH4549"/>
  <c r="FH4550"/>
  <c r="FH4551"/>
  <c r="FH4552"/>
  <c r="FH4553"/>
  <c r="FH4554"/>
  <c r="FH4555"/>
  <c r="FH4556"/>
  <c r="FH4557"/>
  <c r="FH4558"/>
  <c r="FH4559"/>
  <c r="FH4560"/>
  <c r="FH4561"/>
  <c r="FH4562"/>
  <c r="FH4563"/>
  <c r="FH4564"/>
  <c r="FH4565"/>
  <c r="FH4566"/>
  <c r="FH4567"/>
  <c r="FH4568"/>
  <c r="FH4569"/>
  <c r="FH4570"/>
  <c r="FH4571"/>
  <c r="FH4572"/>
  <c r="FH4573"/>
  <c r="FH4574"/>
  <c r="FH4575"/>
  <c r="FH4576"/>
  <c r="FH4577"/>
  <c r="FH4578"/>
  <c r="FH4579"/>
  <c r="FH4580"/>
  <c r="FH4581"/>
  <c r="FH4582"/>
  <c r="FH4583"/>
  <c r="FH4584"/>
  <c r="FH4585"/>
  <c r="FH4586"/>
  <c r="FH4587"/>
  <c r="FH4588"/>
  <c r="FH4589"/>
  <c r="FH4590"/>
  <c r="FH4591"/>
  <c r="FH4592"/>
  <c r="FH4593"/>
  <c r="FH4594"/>
  <c r="FH4595"/>
  <c r="FH4596"/>
  <c r="FH4597"/>
  <c r="FH4598"/>
  <c r="FH4599"/>
  <c r="FH4600"/>
  <c r="FH4601"/>
  <c r="FH4602"/>
  <c r="FH4603"/>
  <c r="FH4604"/>
  <c r="FH4605"/>
  <c r="FH4606"/>
  <c r="FH4607"/>
  <c r="FH4608"/>
  <c r="FH4609"/>
  <c r="FH4610"/>
  <c r="FH4611"/>
  <c r="FH4612"/>
  <c r="FH4613"/>
  <c r="FH4614"/>
  <c r="FH4615"/>
  <c r="FH4616"/>
  <c r="FH4617"/>
  <c r="FH4618"/>
  <c r="FH4619"/>
  <c r="FH4620"/>
  <c r="FH4621"/>
  <c r="FH4622"/>
  <c r="FH4623"/>
  <c r="FH4624"/>
  <c r="FH4625"/>
  <c r="FH4626"/>
  <c r="FH4627"/>
  <c r="FH4628"/>
  <c r="FH4629"/>
  <c r="FH4630"/>
  <c r="FH4631"/>
  <c r="FH4632"/>
  <c r="FH4633"/>
  <c r="FH4634"/>
  <c r="FH4635"/>
  <c r="FH4636"/>
  <c r="FH4637"/>
  <c r="FH4638"/>
  <c r="FH4639"/>
  <c r="FH4640"/>
  <c r="FH4641"/>
  <c r="FH4642"/>
  <c r="FH4643"/>
  <c r="FH4644"/>
  <c r="FH4645"/>
  <c r="FH4646"/>
  <c r="FH4647"/>
  <c r="FH4648"/>
  <c r="FH4649"/>
  <c r="FH4650"/>
  <c r="FH4651"/>
  <c r="FH4652"/>
  <c r="FH4653"/>
  <c r="FH4654"/>
  <c r="FH4655"/>
  <c r="FH4656"/>
  <c r="FH4657"/>
  <c r="FH4658"/>
  <c r="FH4659"/>
  <c r="FH4660"/>
  <c r="FH4661"/>
  <c r="FH4662"/>
  <c r="FH4663"/>
  <c r="FH4664"/>
  <c r="FH4665"/>
  <c r="FH4666"/>
  <c r="FH4667"/>
  <c r="FH4668"/>
  <c r="FH4669"/>
  <c r="FH4670"/>
  <c r="FH4671"/>
  <c r="FH4672"/>
  <c r="FH4673"/>
  <c r="FH4674"/>
  <c r="FH4675"/>
  <c r="FH4676"/>
  <c r="FH4677"/>
  <c r="FH4678"/>
  <c r="FH4679"/>
  <c r="FH4680"/>
  <c r="FH4681"/>
  <c r="FH4682"/>
  <c r="FH4683"/>
  <c r="FH4684"/>
  <c r="FH4685"/>
  <c r="FH4686"/>
  <c r="FH4687"/>
  <c r="FH4688"/>
  <c r="FH4689"/>
  <c r="FH4690"/>
  <c r="FH4691"/>
  <c r="FH4692"/>
  <c r="FH4693"/>
  <c r="FH4694"/>
  <c r="FH4695"/>
  <c r="FH4696"/>
  <c r="FH4697"/>
  <c r="FH4698"/>
  <c r="FH4699"/>
  <c r="FH4700"/>
  <c r="FH4701"/>
  <c r="FH4702"/>
  <c r="FH4703"/>
  <c r="FH4704"/>
  <c r="FH4705"/>
  <c r="FH4706"/>
  <c r="FH4707"/>
  <c r="FH4708"/>
  <c r="FH4709"/>
  <c r="FH4710"/>
  <c r="FH4711"/>
  <c r="FH4712"/>
  <c r="FH4713"/>
  <c r="FH4714"/>
  <c r="FH4715"/>
  <c r="FH4716"/>
  <c r="FH4717"/>
  <c r="FH4718"/>
  <c r="FH4719"/>
  <c r="FH4720"/>
  <c r="FH4721"/>
  <c r="FH4722"/>
  <c r="FH4723"/>
  <c r="FH4724"/>
  <c r="FH4725"/>
  <c r="FH4726"/>
  <c r="FH4727"/>
  <c r="FH4728"/>
  <c r="FH4729"/>
  <c r="FH4730"/>
  <c r="FH4731"/>
  <c r="FH4732"/>
  <c r="FH4733"/>
  <c r="FH4734"/>
  <c r="FH4735"/>
  <c r="FH4736"/>
  <c r="FH4737"/>
  <c r="FH4738"/>
  <c r="FH4739"/>
  <c r="FH4740"/>
  <c r="FH4741"/>
  <c r="FH4742"/>
  <c r="FH4743"/>
  <c r="FH4744"/>
  <c r="FH4745"/>
  <c r="FH4746"/>
  <c r="FH4747"/>
  <c r="FH4748"/>
  <c r="FH4749"/>
  <c r="FH4750"/>
  <c r="FH4751"/>
  <c r="FH4752"/>
  <c r="FH4753"/>
  <c r="FH4754"/>
  <c r="FH4755"/>
  <c r="FH4756"/>
  <c r="FH4757"/>
  <c r="FH4758"/>
  <c r="FH4759"/>
  <c r="FH4760"/>
  <c r="FH4761"/>
  <c r="FH4762"/>
  <c r="FH4763"/>
  <c r="FH4764"/>
  <c r="FH4765"/>
  <c r="FH4766"/>
  <c r="FH4767"/>
  <c r="FH4768"/>
  <c r="FH4769"/>
  <c r="FH4770"/>
  <c r="FH4771"/>
  <c r="FH4772"/>
  <c r="FH4773"/>
  <c r="FH4774"/>
  <c r="FH4775"/>
  <c r="FH4776"/>
  <c r="FH4777"/>
  <c r="FH4778"/>
  <c r="FH4779"/>
  <c r="FH4780"/>
  <c r="FH4781"/>
  <c r="FH4782"/>
  <c r="FH4783"/>
  <c r="FH4784"/>
  <c r="FH4785"/>
  <c r="FH4786"/>
  <c r="FH4787"/>
  <c r="FH4788"/>
  <c r="FH4789"/>
  <c r="FH4790"/>
  <c r="FH4791"/>
  <c r="FH4792"/>
  <c r="FH4793"/>
  <c r="FH4794"/>
  <c r="FH4795"/>
  <c r="FH4796"/>
  <c r="FH4797"/>
  <c r="FH4798"/>
  <c r="FH4799"/>
  <c r="FH4800"/>
  <c r="FH4801"/>
  <c r="FH4802"/>
  <c r="FH4803"/>
  <c r="FH4804"/>
  <c r="FH4805"/>
  <c r="FH4806"/>
  <c r="FH4807"/>
  <c r="FH4808"/>
  <c r="FH4809"/>
  <c r="FH4810"/>
  <c r="FH4811"/>
  <c r="FH4812"/>
  <c r="FH4813"/>
  <c r="FH4814"/>
  <c r="FH4815"/>
  <c r="FH4816"/>
  <c r="FH4817"/>
  <c r="FH4818"/>
  <c r="FH4819"/>
  <c r="FH4820"/>
  <c r="FH4821"/>
  <c r="FH4822"/>
  <c r="FH4823"/>
  <c r="FH4824"/>
  <c r="FH4825"/>
  <c r="FH4826"/>
  <c r="FH4827"/>
  <c r="FH4828"/>
  <c r="FH4829"/>
  <c r="FH4830"/>
  <c r="FH4831"/>
  <c r="FH4832"/>
  <c r="FH4833"/>
  <c r="FH4834"/>
  <c r="FH4835"/>
  <c r="FH4836"/>
  <c r="FH4837"/>
  <c r="FH4838"/>
  <c r="FH4839"/>
  <c r="FH4840"/>
  <c r="FH4841"/>
  <c r="FH4842"/>
  <c r="FH4843"/>
  <c r="FH4844"/>
  <c r="FH4845"/>
  <c r="FH4846"/>
  <c r="FH4847"/>
  <c r="FH4848"/>
  <c r="FH4849"/>
  <c r="FH4850"/>
  <c r="FH4851"/>
  <c r="FH4852"/>
  <c r="FH4853"/>
  <c r="FH4854"/>
  <c r="FH4855"/>
  <c r="FH4856"/>
  <c r="FH4857"/>
  <c r="FH4858"/>
  <c r="FH4859"/>
  <c r="FH4860"/>
  <c r="FH4861"/>
  <c r="FH4862"/>
  <c r="FH4863"/>
  <c r="FH4864"/>
  <c r="FH4865"/>
  <c r="FH4866"/>
  <c r="FH4867"/>
  <c r="FH4868"/>
  <c r="FH4869"/>
  <c r="FH4870"/>
  <c r="FH4871"/>
  <c r="FH4872"/>
  <c r="FH4873"/>
  <c r="FH4874"/>
  <c r="FH4875"/>
  <c r="FH4876"/>
  <c r="FH4877"/>
  <c r="FH4878"/>
  <c r="FH4879"/>
  <c r="FH4880"/>
  <c r="FH4881"/>
  <c r="FH4882"/>
  <c r="FH4883"/>
  <c r="FH4884"/>
  <c r="FH4885"/>
  <c r="FH4886"/>
  <c r="FH4887"/>
  <c r="FH4888"/>
  <c r="FH4889"/>
  <c r="FH4890"/>
  <c r="FH4891"/>
  <c r="FH4892"/>
  <c r="FH4893"/>
  <c r="FH4894"/>
  <c r="FH4895"/>
  <c r="FH4896"/>
  <c r="FH4897"/>
  <c r="FH4898"/>
  <c r="FH4899"/>
  <c r="FH4900"/>
  <c r="FH4901"/>
  <c r="FH4902"/>
  <c r="FH4903"/>
  <c r="FH4904"/>
  <c r="FH4905"/>
  <c r="FH4906"/>
  <c r="FH4907"/>
  <c r="FH4908"/>
  <c r="FH4909"/>
  <c r="FH4910"/>
  <c r="FH4911"/>
  <c r="FH4912"/>
  <c r="FH4913"/>
  <c r="FH4914"/>
  <c r="FH4915"/>
  <c r="FH4916"/>
  <c r="FH4917"/>
  <c r="FH4918"/>
  <c r="FH4919"/>
  <c r="FH4920"/>
  <c r="FH4921"/>
  <c r="FH4922"/>
  <c r="FH4923"/>
  <c r="FH4924"/>
  <c r="FH4925"/>
  <c r="FH4926"/>
  <c r="FH4927"/>
  <c r="FH4928"/>
  <c r="FH4929"/>
  <c r="FH4930"/>
  <c r="FH4931"/>
  <c r="FH4932"/>
  <c r="FH4933"/>
  <c r="FH4934"/>
  <c r="FH4935"/>
  <c r="FH4936"/>
  <c r="FH4937"/>
  <c r="FH4938"/>
  <c r="FH4939"/>
  <c r="FH4940"/>
  <c r="FH4941"/>
  <c r="FH4942"/>
  <c r="FH4943"/>
  <c r="FH4944"/>
  <c r="FH4945"/>
  <c r="FH4946"/>
  <c r="FH4947"/>
  <c r="FH4948"/>
  <c r="FH4949"/>
  <c r="FH4950"/>
  <c r="FH4951"/>
  <c r="FH4952"/>
  <c r="FH4953"/>
  <c r="FH4954"/>
  <c r="FH4955"/>
  <c r="FH4956"/>
  <c r="FH4957"/>
  <c r="FH4958"/>
  <c r="FH4959"/>
  <c r="FH4960"/>
  <c r="FH4961"/>
  <c r="FH4962"/>
  <c r="FH4963"/>
  <c r="FH4964"/>
  <c r="FH4965"/>
  <c r="FH4966"/>
  <c r="FH4967"/>
  <c r="FH4968"/>
  <c r="FH4969"/>
  <c r="FH4970"/>
  <c r="FH4971"/>
  <c r="FH4972"/>
  <c r="FH4973"/>
  <c r="FH4974"/>
  <c r="FH4975"/>
  <c r="FH4976"/>
  <c r="FH4977"/>
  <c r="FH4978"/>
  <c r="FH4979"/>
  <c r="FH4980"/>
  <c r="FH4981"/>
  <c r="FH4982"/>
  <c r="FH4983"/>
  <c r="FH4984"/>
  <c r="FH4985"/>
  <c r="FH4986"/>
  <c r="FH4987"/>
  <c r="FH4988"/>
  <c r="FH4989"/>
  <c r="FH4990"/>
  <c r="FH4991"/>
  <c r="FH4992"/>
  <c r="FH4993"/>
  <c r="FH4994"/>
  <c r="FH4995"/>
  <c r="FH4996"/>
  <c r="FH4997"/>
  <c r="FH4998"/>
  <c r="FH4999"/>
  <c r="FH5000"/>
  <c r="FH5001"/>
  <c r="FH5002"/>
  <c r="FH5003"/>
  <c r="FH5004"/>
  <c r="FH5005"/>
  <c r="FH5006"/>
  <c r="FH5007"/>
  <c r="FH5008"/>
  <c r="FH5009"/>
  <c r="FH5010"/>
  <c r="FH5011"/>
  <c r="FH5012"/>
  <c r="FH5013"/>
  <c r="FH5014"/>
  <c r="FH5015"/>
  <c r="FH5016"/>
  <c r="FH5017"/>
  <c r="FH5018"/>
  <c r="FH5019"/>
  <c r="FH5020"/>
  <c r="FH5021"/>
  <c r="FH5022"/>
  <c r="FH5023"/>
  <c r="FH5024"/>
  <c r="FH5025"/>
  <c r="FH5026"/>
  <c r="FH5027"/>
  <c r="FH5028"/>
  <c r="FH5029"/>
  <c r="FH5030"/>
  <c r="FH5031"/>
  <c r="FH5032"/>
  <c r="FH5033"/>
  <c r="FH5034"/>
  <c r="FH5035"/>
  <c r="FH5036"/>
  <c r="FH5037"/>
  <c r="FH5038"/>
  <c r="FH5039"/>
  <c r="FH5040"/>
  <c r="FH5041"/>
  <c r="FH5042"/>
  <c r="FH5043"/>
  <c r="FH5044"/>
  <c r="FH5045"/>
  <c r="FH5046"/>
  <c r="FH5047"/>
  <c r="FH5048"/>
  <c r="FH5049"/>
  <c r="FH5050"/>
  <c r="FH5051"/>
  <c r="FH5052"/>
  <c r="FH5053"/>
  <c r="FH5054"/>
  <c r="FH5055"/>
  <c r="FH5056"/>
  <c r="FH5057"/>
  <c r="FH5058"/>
  <c r="FH5059"/>
  <c r="FH5060"/>
  <c r="FH5061"/>
  <c r="FH5062"/>
  <c r="FH5063"/>
  <c r="FH5064"/>
  <c r="FH5065"/>
  <c r="FH5066"/>
  <c r="FH5067"/>
  <c r="FH5068"/>
  <c r="FH5069"/>
  <c r="FH5070"/>
  <c r="FH5071"/>
  <c r="FH5072"/>
  <c r="FH5073"/>
  <c r="FH5074"/>
  <c r="FH5075"/>
  <c r="FH5076"/>
  <c r="FH5077"/>
  <c r="FH5078"/>
  <c r="FH5079"/>
  <c r="FH5080"/>
  <c r="FH5081"/>
  <c r="FH5082"/>
  <c r="FH5083"/>
  <c r="FH5084"/>
  <c r="FH5085"/>
  <c r="FH5086"/>
  <c r="FH5087"/>
  <c r="FH5088"/>
  <c r="FH5089"/>
  <c r="FH5090"/>
  <c r="FH5091"/>
  <c r="FH5092"/>
  <c r="FH5093"/>
  <c r="FH5094"/>
  <c r="FH5095"/>
  <c r="FH5096"/>
  <c r="FH5097"/>
  <c r="FH5098"/>
  <c r="FH5099"/>
  <c r="FH5100"/>
  <c r="FH5101"/>
  <c r="FH5102"/>
  <c r="FH5103"/>
  <c r="FH5104"/>
  <c r="FH5105"/>
  <c r="FH5106"/>
  <c r="FH5107"/>
  <c r="FH5108"/>
  <c r="FH5109"/>
  <c r="FH5110"/>
  <c r="FH5111"/>
  <c r="FH5112"/>
  <c r="FH5113"/>
  <c r="FH5114"/>
  <c r="FH5115"/>
  <c r="FH5116"/>
  <c r="FH5117"/>
  <c r="FH5118"/>
  <c r="FH5119"/>
  <c r="FH5120"/>
  <c r="FH5121"/>
  <c r="FH5122"/>
  <c r="FH5123"/>
  <c r="FH5124"/>
  <c r="FH5125"/>
  <c r="FH5126"/>
  <c r="FH5127"/>
  <c r="FH5128"/>
  <c r="FH5129"/>
  <c r="FH5130"/>
  <c r="FH5131"/>
  <c r="FH5132"/>
  <c r="FH5133"/>
  <c r="FH5134"/>
  <c r="FH5135"/>
  <c r="FH5136"/>
  <c r="FH5137"/>
  <c r="FH5138"/>
  <c r="FH5139"/>
  <c r="FH5140"/>
  <c r="FH5141"/>
  <c r="FH5142"/>
  <c r="FH5143"/>
  <c r="FH5144"/>
  <c r="FH5145"/>
  <c r="FH5146"/>
  <c r="FH5147"/>
  <c r="FH5148"/>
  <c r="FH5149"/>
  <c r="FH5150"/>
  <c r="FH5151"/>
  <c r="FH5152"/>
  <c r="FH5153"/>
  <c r="FH5154"/>
  <c r="FH5155"/>
  <c r="FH5156"/>
  <c r="FH5157"/>
  <c r="FH5158"/>
  <c r="FH5159"/>
  <c r="FH5160"/>
  <c r="FH5161"/>
  <c r="FH5162"/>
  <c r="FH5163"/>
  <c r="FH5164"/>
  <c r="FH5165"/>
  <c r="FH5166"/>
  <c r="FH5167"/>
  <c r="FH5168"/>
  <c r="FH5169"/>
  <c r="FH5170"/>
  <c r="FH5171"/>
  <c r="FH5172"/>
  <c r="FH5173"/>
  <c r="FH5174"/>
  <c r="FH5175"/>
  <c r="FH5176"/>
  <c r="FH5177"/>
  <c r="FH5178"/>
  <c r="FH5179"/>
  <c r="FH5180"/>
  <c r="FH5181"/>
  <c r="FH5182"/>
  <c r="FH5183"/>
  <c r="FH5184"/>
  <c r="FH5185"/>
  <c r="FH5186"/>
  <c r="FH5187"/>
  <c r="FH5188"/>
  <c r="FH5189"/>
  <c r="FH5190"/>
  <c r="FH5191"/>
  <c r="FH5192"/>
  <c r="FH5193"/>
  <c r="FH5194"/>
  <c r="FH5195"/>
  <c r="FH5196"/>
  <c r="FH5197"/>
  <c r="FH5198"/>
  <c r="FH5199"/>
  <c r="FH5200"/>
  <c r="FH5201"/>
  <c r="FH5202"/>
  <c r="FH5203"/>
  <c r="FH5204"/>
  <c r="FH5205"/>
  <c r="FH5206"/>
  <c r="FH5207"/>
  <c r="FH5208"/>
  <c r="FH5209"/>
  <c r="FH5210"/>
  <c r="FH5211"/>
  <c r="FH5212"/>
  <c r="FH5213"/>
  <c r="FH5214"/>
  <c r="FH5215"/>
  <c r="FH5216"/>
  <c r="FH5217"/>
  <c r="FH5218"/>
  <c r="FH5219"/>
  <c r="FH5220"/>
  <c r="FH5221"/>
  <c r="FH5222"/>
  <c r="FH5223"/>
  <c r="FH5224"/>
  <c r="FH5225"/>
  <c r="FH5226"/>
  <c r="FH5227"/>
  <c r="FH5228"/>
  <c r="FH5229"/>
  <c r="FH5230"/>
  <c r="FH5231"/>
  <c r="FH5232"/>
  <c r="FH5233"/>
  <c r="FH5234"/>
  <c r="FH5235"/>
  <c r="FH5236"/>
  <c r="FH5237"/>
  <c r="FH5238"/>
  <c r="FH5239"/>
  <c r="FH5240"/>
  <c r="FH5241"/>
  <c r="FH5242"/>
  <c r="FH5243"/>
  <c r="FH5244"/>
  <c r="FH5245"/>
  <c r="FH5246"/>
  <c r="FH5247"/>
  <c r="FH5248"/>
  <c r="FH5249"/>
  <c r="FH5250"/>
  <c r="FH5251"/>
  <c r="FH5252"/>
  <c r="FH5253"/>
  <c r="FH5254"/>
  <c r="FH5255"/>
  <c r="FH5256"/>
  <c r="FH5257"/>
  <c r="FH5258"/>
  <c r="FH5259"/>
  <c r="FH5260"/>
  <c r="FH5261"/>
  <c r="FH5262"/>
  <c r="FH5263"/>
  <c r="FH5264"/>
  <c r="FH5265"/>
  <c r="FH5266"/>
  <c r="FH5267"/>
  <c r="FH5268"/>
  <c r="FH5269"/>
  <c r="FH5270"/>
  <c r="FH5271"/>
  <c r="FH5272"/>
  <c r="FH5273"/>
  <c r="FH5274"/>
  <c r="FH5275"/>
  <c r="FH5276"/>
  <c r="FH5277"/>
  <c r="FH5278"/>
  <c r="FH5279"/>
  <c r="FH5280"/>
  <c r="FH5281"/>
  <c r="FH5282"/>
  <c r="FH5283"/>
  <c r="FH5284"/>
  <c r="FH5285"/>
  <c r="FH5286"/>
  <c r="FH5287"/>
  <c r="FH5288"/>
  <c r="FH5289"/>
  <c r="FH5290"/>
  <c r="FH5291"/>
  <c r="FH5292"/>
  <c r="FH5293"/>
  <c r="FH5294"/>
  <c r="FH5295"/>
  <c r="FH5296"/>
  <c r="FH5297"/>
  <c r="FH5298"/>
  <c r="FH5299"/>
  <c r="FH5300"/>
  <c r="FH5301"/>
  <c r="FH5302"/>
  <c r="FH5303"/>
  <c r="FH5304"/>
  <c r="FH5305"/>
  <c r="FH5306"/>
  <c r="FH5307"/>
  <c r="FH5308"/>
  <c r="FH5309"/>
  <c r="FH5310"/>
  <c r="FH5311"/>
  <c r="FH5312"/>
  <c r="FH5313"/>
  <c r="FH5314"/>
  <c r="FH5315"/>
  <c r="FH5316"/>
  <c r="FH5317"/>
  <c r="FH5318"/>
  <c r="FH5319"/>
  <c r="FH5320"/>
  <c r="FH5321"/>
  <c r="FH5322"/>
  <c r="FH5323"/>
  <c r="FH5324"/>
  <c r="FH5325"/>
  <c r="FH5326"/>
  <c r="FH5327"/>
  <c r="FH5328"/>
  <c r="FH5329"/>
  <c r="FH5330"/>
  <c r="FH5331"/>
  <c r="FH5332"/>
  <c r="FH5333"/>
  <c r="FH5334"/>
  <c r="FH5335"/>
  <c r="FH5336"/>
  <c r="FH5337"/>
  <c r="FH5338"/>
  <c r="FH5339"/>
  <c r="FH5340"/>
  <c r="FH5341"/>
  <c r="FH5342"/>
  <c r="FH5343"/>
  <c r="FH5344"/>
  <c r="FH5345"/>
  <c r="FH5346"/>
  <c r="FH5347"/>
  <c r="FH5348"/>
  <c r="FH5349"/>
  <c r="FH5350"/>
  <c r="FH5351"/>
  <c r="FH5352"/>
  <c r="FH5353"/>
  <c r="FH5354"/>
  <c r="FH5355"/>
  <c r="FH5356"/>
  <c r="FH5357"/>
  <c r="FH5358"/>
  <c r="FH5359"/>
  <c r="FH5360"/>
  <c r="FH5361"/>
  <c r="FH5362"/>
  <c r="FH5363"/>
  <c r="FH5364"/>
  <c r="FH5365"/>
  <c r="FH5366"/>
  <c r="FH5367"/>
  <c r="FH5368"/>
  <c r="FH5369"/>
  <c r="FH5370"/>
  <c r="FH5371"/>
  <c r="FH5372"/>
  <c r="FH5373"/>
  <c r="FH5374"/>
  <c r="FH5375"/>
  <c r="FH5376"/>
  <c r="FH5377"/>
  <c r="FH5378"/>
  <c r="FH5379"/>
  <c r="FH5380"/>
  <c r="FH5381"/>
  <c r="FH5382"/>
  <c r="FH5383"/>
  <c r="FH5384"/>
  <c r="FH5385"/>
  <c r="FH5386"/>
  <c r="FH5387"/>
  <c r="FH5388"/>
  <c r="FH5389"/>
  <c r="FH5390"/>
  <c r="FH5391"/>
  <c r="FH5392"/>
  <c r="FH5393"/>
  <c r="FH5394"/>
  <c r="FH5395"/>
  <c r="FH5396"/>
  <c r="FH5397"/>
  <c r="FH5398"/>
  <c r="FH5399"/>
  <c r="FH5400"/>
  <c r="FH5401"/>
  <c r="FH5402"/>
  <c r="FH5403"/>
  <c r="FH5404"/>
  <c r="FH5405"/>
  <c r="FH5406"/>
  <c r="FH5407"/>
  <c r="FH5408"/>
  <c r="FH5409"/>
  <c r="FH5410"/>
  <c r="FH5411"/>
  <c r="FH5412"/>
  <c r="FH5413"/>
  <c r="FH5414"/>
  <c r="FH5415"/>
  <c r="FH5416"/>
  <c r="FH5417"/>
  <c r="FH5418"/>
  <c r="FH5419"/>
  <c r="FH5420"/>
  <c r="FH5421"/>
  <c r="FH5422"/>
  <c r="FH5423"/>
  <c r="FH5424"/>
  <c r="FH5425"/>
  <c r="FH5426"/>
  <c r="FH5427"/>
  <c r="FH5428"/>
  <c r="FH5429"/>
  <c r="FH5430"/>
  <c r="FH5431"/>
  <c r="FH5432"/>
  <c r="FH5433"/>
  <c r="FH5434"/>
  <c r="FH5435"/>
  <c r="FH5436"/>
  <c r="FH5437"/>
  <c r="FH5438"/>
  <c r="FH5439"/>
  <c r="FH5440"/>
  <c r="FH5441"/>
  <c r="FH5442"/>
  <c r="FH5443"/>
  <c r="FH5444"/>
  <c r="FH5445"/>
  <c r="FH5446"/>
  <c r="FH5447"/>
  <c r="FH5448"/>
  <c r="FH5449"/>
  <c r="FH5450"/>
  <c r="FH5451"/>
  <c r="FH5452"/>
  <c r="FH5453"/>
  <c r="FH5454"/>
  <c r="FH5455"/>
  <c r="FH5456"/>
  <c r="FH5457"/>
  <c r="FH5458"/>
  <c r="FH5459"/>
  <c r="FH5460"/>
  <c r="FH5461"/>
  <c r="FH5462"/>
  <c r="FH5463"/>
  <c r="FH5464"/>
  <c r="FH5465"/>
  <c r="FH5466"/>
  <c r="FH5467"/>
  <c r="FH5468"/>
  <c r="FH5469"/>
  <c r="FH5470"/>
  <c r="FH5471"/>
  <c r="FH5472"/>
  <c r="FH5473"/>
  <c r="FH5474"/>
  <c r="FH5475"/>
  <c r="FH5476"/>
  <c r="FH5477"/>
  <c r="FH5478"/>
  <c r="FH5479"/>
  <c r="FH5480"/>
  <c r="FH5481"/>
  <c r="FH5482"/>
  <c r="FH5483"/>
  <c r="FH5484"/>
  <c r="FH5485"/>
  <c r="FH5486"/>
  <c r="FH5487"/>
  <c r="FH5488"/>
  <c r="FH5489"/>
  <c r="FH5490"/>
  <c r="FH5491"/>
  <c r="FH5492"/>
  <c r="FH5493"/>
  <c r="FH5494"/>
  <c r="FH5495"/>
  <c r="FH5496"/>
  <c r="FH5497"/>
  <c r="FH5498"/>
  <c r="FH5499"/>
  <c r="FH5500"/>
  <c r="FH5501"/>
  <c r="FH5502"/>
  <c r="FH5503"/>
  <c r="FH5504"/>
  <c r="FH5505"/>
  <c r="FH5506"/>
  <c r="FH5507"/>
  <c r="FH5508"/>
  <c r="FH5509"/>
  <c r="FH5510"/>
  <c r="FH5511"/>
  <c r="FH5512"/>
  <c r="FH5513"/>
  <c r="FH5514"/>
  <c r="FH5515"/>
  <c r="FH5516"/>
  <c r="FH5517"/>
  <c r="FH5518"/>
  <c r="FH5519"/>
  <c r="FH5520"/>
  <c r="FH5521"/>
  <c r="FH5522"/>
  <c r="FH5523"/>
  <c r="FH5524"/>
  <c r="FH5525"/>
  <c r="FH5526"/>
  <c r="FH5527"/>
  <c r="FH5528"/>
  <c r="FH5529"/>
  <c r="FH5530"/>
  <c r="FH5531"/>
  <c r="FH5532"/>
  <c r="FH5533"/>
  <c r="FH5534"/>
  <c r="FH5535"/>
  <c r="FH5536"/>
  <c r="FH5537"/>
  <c r="FH5538"/>
  <c r="FH5539"/>
  <c r="FH5540"/>
  <c r="FH5541"/>
  <c r="FH5542"/>
  <c r="FH5543"/>
  <c r="FH5544"/>
  <c r="FH5545"/>
  <c r="FH5546"/>
  <c r="FH5547"/>
  <c r="FH5548"/>
  <c r="FH5549"/>
  <c r="FH5550"/>
  <c r="FH5551"/>
  <c r="FH5552"/>
  <c r="FH5553"/>
  <c r="FH5554"/>
  <c r="FH5555"/>
  <c r="FH5556"/>
  <c r="FH5557"/>
  <c r="FH5558"/>
  <c r="FH5559"/>
  <c r="FH5560"/>
  <c r="FH5561"/>
  <c r="FH5562"/>
  <c r="FH5563"/>
  <c r="FH5564"/>
  <c r="FH5565"/>
  <c r="FH5566"/>
  <c r="FH5567"/>
  <c r="FH5568"/>
  <c r="FH5569"/>
  <c r="FH5570"/>
  <c r="FH5571"/>
  <c r="FH5572"/>
  <c r="FH5573"/>
  <c r="FH5574"/>
  <c r="FH5575"/>
  <c r="FH5576"/>
  <c r="FH5577"/>
  <c r="FH5578"/>
  <c r="FH5579"/>
  <c r="FH5580"/>
  <c r="FH5581"/>
  <c r="FH5582"/>
  <c r="FH5583"/>
  <c r="FH5584"/>
  <c r="FH5585"/>
  <c r="FH5586"/>
  <c r="FH5587"/>
  <c r="FH5588"/>
  <c r="FH5589"/>
  <c r="FH5590"/>
  <c r="FH5591"/>
  <c r="FH5592"/>
  <c r="FH5593"/>
  <c r="FH5594"/>
  <c r="FH5595"/>
  <c r="FH5596"/>
  <c r="FH5597"/>
  <c r="FH5598"/>
  <c r="FH5599"/>
  <c r="FH5600"/>
  <c r="FH5601"/>
  <c r="FH5602"/>
  <c r="FH5603"/>
  <c r="FH5604"/>
  <c r="FH5605"/>
  <c r="FH5606"/>
  <c r="FH5607"/>
  <c r="FH5608"/>
  <c r="FH5609"/>
  <c r="FH5610"/>
  <c r="FH5611"/>
  <c r="FH5612"/>
  <c r="FH5613"/>
  <c r="FH5614"/>
  <c r="FH5615"/>
  <c r="FH5616"/>
  <c r="FH5617"/>
  <c r="FH5618"/>
  <c r="FH5619"/>
  <c r="FH5620"/>
  <c r="FH5621"/>
  <c r="FH5622"/>
  <c r="FH5623"/>
  <c r="FH5624"/>
  <c r="FH5625"/>
  <c r="FH5626"/>
  <c r="FH5627"/>
  <c r="FH5628"/>
  <c r="FH5629"/>
  <c r="FH5630"/>
  <c r="FH5631"/>
  <c r="FH5632"/>
  <c r="FH5633"/>
  <c r="FH5634"/>
  <c r="FH5635"/>
  <c r="FH5636"/>
  <c r="FH5637"/>
  <c r="FH5638"/>
  <c r="FH5639"/>
  <c r="FH5640"/>
  <c r="FH5641"/>
  <c r="FH5642"/>
  <c r="FH5643"/>
  <c r="FH5644"/>
  <c r="FH5645"/>
  <c r="FH5646"/>
  <c r="FH5647"/>
  <c r="FH5648"/>
  <c r="FH5649"/>
  <c r="FH5650"/>
  <c r="FH5651"/>
  <c r="FH5652"/>
  <c r="FH5653"/>
  <c r="FH5654"/>
  <c r="FH5655"/>
  <c r="FH5656"/>
  <c r="FH5657"/>
  <c r="FH5658"/>
  <c r="FH5659"/>
  <c r="FH5660"/>
  <c r="FH5661"/>
  <c r="FH5662"/>
  <c r="FH5663"/>
  <c r="FH5664"/>
  <c r="FH5665"/>
  <c r="FH5666"/>
  <c r="FH5667"/>
  <c r="FH5668"/>
  <c r="FH5669"/>
  <c r="FH5670"/>
  <c r="FH5671"/>
  <c r="FH5672"/>
  <c r="FH5673"/>
  <c r="FH5674"/>
  <c r="FH5675"/>
  <c r="FH5676"/>
  <c r="FH5677"/>
  <c r="FH5678"/>
  <c r="FH5679"/>
  <c r="FH5680"/>
  <c r="FH5681"/>
  <c r="FH5682"/>
  <c r="FH5683"/>
  <c r="FH5684"/>
  <c r="FH5685"/>
  <c r="FH5686"/>
  <c r="FH5687"/>
  <c r="FH5688"/>
  <c r="FH5689"/>
  <c r="FH5690"/>
  <c r="FH5691"/>
  <c r="FH5692"/>
  <c r="FH5693"/>
  <c r="FH5694"/>
  <c r="FH5695"/>
  <c r="FH5696"/>
  <c r="FH5697"/>
  <c r="FH5698"/>
  <c r="FH5699"/>
  <c r="FH5700"/>
  <c r="FH5701"/>
  <c r="FH5702"/>
  <c r="FH5703"/>
  <c r="FH5704"/>
  <c r="FH5705"/>
  <c r="FH5706"/>
  <c r="FH5707"/>
  <c r="FH5708"/>
  <c r="FH5709"/>
  <c r="FH5710"/>
  <c r="FH5711"/>
  <c r="FH5712"/>
  <c r="FH5713"/>
  <c r="FH5714"/>
  <c r="FH5715"/>
  <c r="FH5716"/>
  <c r="FH5717"/>
  <c r="FH5718"/>
  <c r="FH5719"/>
  <c r="FH5720"/>
  <c r="FH5721"/>
  <c r="FH5722"/>
  <c r="FH5723"/>
  <c r="FH5724"/>
  <c r="FH5725"/>
  <c r="FH5726"/>
  <c r="FH5727"/>
  <c r="FH5728"/>
  <c r="FH5729"/>
  <c r="FH5730"/>
  <c r="FH5731"/>
  <c r="FH5732"/>
  <c r="FH5733"/>
  <c r="FH5734"/>
  <c r="FH5735"/>
  <c r="FH5736"/>
  <c r="FH5737"/>
  <c r="FH5738"/>
  <c r="FH5739"/>
  <c r="FH5740"/>
  <c r="FH5741"/>
  <c r="FH5742"/>
  <c r="FH5743"/>
  <c r="FH5744"/>
  <c r="FH5745"/>
  <c r="FH5746"/>
  <c r="FH5747"/>
  <c r="FH5748"/>
  <c r="FH5749"/>
  <c r="FH5750"/>
  <c r="FH5751"/>
  <c r="FH5752"/>
  <c r="FH5753"/>
  <c r="FH5754"/>
  <c r="FH5755"/>
  <c r="FH5756"/>
  <c r="FH5757"/>
  <c r="FH5758"/>
  <c r="FH5759"/>
  <c r="FH5760"/>
  <c r="FH5761"/>
  <c r="FH5762"/>
  <c r="FH5763"/>
  <c r="FH5764"/>
  <c r="FH5765"/>
  <c r="FH5766"/>
  <c r="FH5767"/>
  <c r="FH5768"/>
  <c r="FH5769"/>
  <c r="FH5770"/>
  <c r="FH5771"/>
  <c r="FH5772"/>
  <c r="FH5773"/>
  <c r="FH5774"/>
  <c r="FH5775"/>
  <c r="FH5776"/>
  <c r="FH5777"/>
  <c r="FH5778"/>
  <c r="FH5779"/>
  <c r="FH5780"/>
  <c r="FH5781"/>
  <c r="FH5782"/>
  <c r="FH5783"/>
  <c r="FH5784"/>
  <c r="FH5785"/>
  <c r="FH5786"/>
  <c r="FH5787"/>
  <c r="FH5788"/>
  <c r="FH5789"/>
  <c r="FH5790"/>
  <c r="FH5791"/>
  <c r="FH5792"/>
  <c r="FH5793"/>
  <c r="FH5794"/>
  <c r="FH5795"/>
  <c r="FH5796"/>
  <c r="FH5797"/>
  <c r="FH5798"/>
  <c r="FH5799"/>
  <c r="FH5800"/>
  <c r="FH5801"/>
  <c r="FH5802"/>
  <c r="FH5803"/>
  <c r="FH5804"/>
  <c r="FH5805"/>
  <c r="FH5806"/>
  <c r="FH5807"/>
  <c r="FH5808"/>
  <c r="FH5809"/>
  <c r="FH5810"/>
  <c r="FH5811"/>
  <c r="FH5812"/>
  <c r="FH5813"/>
  <c r="FH5814"/>
  <c r="FH5815"/>
  <c r="FH5816"/>
  <c r="FH5817"/>
  <c r="FH5818"/>
  <c r="FH5819"/>
  <c r="FH5820"/>
  <c r="FH5821"/>
  <c r="FH5822"/>
  <c r="FH5823"/>
  <c r="FH5824"/>
  <c r="FH5825"/>
  <c r="FH5826"/>
  <c r="FH5827"/>
  <c r="FH5828"/>
  <c r="FH5829"/>
  <c r="FH5830"/>
  <c r="FH5831"/>
  <c r="FH5832"/>
  <c r="FH5833"/>
  <c r="FH5834"/>
  <c r="FH5835"/>
  <c r="FH5836"/>
  <c r="FH5837"/>
  <c r="FH5838"/>
  <c r="FH5839"/>
  <c r="FH5840"/>
  <c r="FH5841"/>
  <c r="FH5842"/>
  <c r="FH5843"/>
  <c r="FH5844"/>
  <c r="FH5845"/>
  <c r="FH5846"/>
  <c r="FH5847"/>
  <c r="FH5848"/>
  <c r="FH5849"/>
  <c r="FH5850"/>
  <c r="FH5851"/>
  <c r="FH5852"/>
  <c r="FH5853"/>
  <c r="FH5854"/>
  <c r="FH5855"/>
  <c r="FH5856"/>
  <c r="FH5857"/>
  <c r="FH5858"/>
  <c r="FH5859"/>
  <c r="FH5860"/>
  <c r="FH5861"/>
  <c r="FH5862"/>
  <c r="FH5863"/>
  <c r="FH5864"/>
  <c r="FH5865"/>
  <c r="FH5866"/>
  <c r="FH5867"/>
  <c r="FH5868"/>
  <c r="FH5869"/>
  <c r="FH5870"/>
  <c r="FH5871"/>
  <c r="FH5872"/>
  <c r="FH5873"/>
  <c r="FH5874"/>
  <c r="FH5875"/>
  <c r="FH5876"/>
  <c r="FH5877"/>
  <c r="FH5878"/>
  <c r="FH5879"/>
  <c r="FH5880"/>
  <c r="FH5881"/>
  <c r="FH5882"/>
  <c r="FH5883"/>
  <c r="FH5884"/>
  <c r="FH5885"/>
  <c r="FH5886"/>
  <c r="FH5887"/>
  <c r="FH5888"/>
  <c r="FH5889"/>
  <c r="FH5890"/>
  <c r="FH5891"/>
  <c r="FH5892"/>
  <c r="FH5893"/>
  <c r="FH5894"/>
  <c r="FH5895"/>
  <c r="FH5896"/>
  <c r="FH5897"/>
  <c r="FH5898"/>
  <c r="FH5899"/>
  <c r="FH5900"/>
  <c r="FH5901"/>
  <c r="FH5902"/>
  <c r="FH5903"/>
  <c r="FH5904"/>
  <c r="FH5905"/>
  <c r="FH5906"/>
  <c r="FH5907"/>
  <c r="FH5908"/>
  <c r="FH5909"/>
  <c r="FH5910"/>
  <c r="FH5911"/>
  <c r="FH5912"/>
  <c r="FH5913"/>
  <c r="FH5914"/>
  <c r="FH5915"/>
  <c r="FH5916"/>
  <c r="FH5917"/>
  <c r="FH5918"/>
  <c r="FH5919"/>
  <c r="FH5920"/>
  <c r="FH5921"/>
  <c r="FH5922"/>
  <c r="FH5923"/>
  <c r="FH5924"/>
  <c r="FH5925"/>
  <c r="FH5926"/>
  <c r="FH5927"/>
  <c r="FH5928"/>
  <c r="FH5929"/>
  <c r="FH5930"/>
  <c r="FH5931"/>
  <c r="FH5932"/>
  <c r="FH5933"/>
  <c r="FH5934"/>
  <c r="FH5935"/>
  <c r="FH5936"/>
  <c r="FH5937"/>
  <c r="FH5938"/>
  <c r="FH5939"/>
  <c r="FH5940"/>
  <c r="FH5941"/>
  <c r="FH5942"/>
  <c r="FH5943"/>
  <c r="FH5944"/>
  <c r="FH5945"/>
  <c r="FH5946"/>
  <c r="FH5947"/>
  <c r="FH5948"/>
  <c r="FH5949"/>
  <c r="FH5950"/>
  <c r="FH5951"/>
  <c r="FH5952"/>
  <c r="FH5953"/>
  <c r="FH5954"/>
  <c r="FH5955"/>
  <c r="FH5956"/>
  <c r="FH5957"/>
  <c r="FH5958"/>
  <c r="FH5959"/>
  <c r="FH5960"/>
  <c r="FH5961"/>
  <c r="FH5962"/>
  <c r="FH5963"/>
  <c r="FH5964"/>
  <c r="FH5965"/>
  <c r="FH5966"/>
  <c r="FH5967"/>
  <c r="FH5968"/>
  <c r="FH5969"/>
  <c r="FH5970"/>
  <c r="FH5971"/>
  <c r="FH5972"/>
  <c r="FH5973"/>
  <c r="FH5974"/>
  <c r="FH5975"/>
  <c r="FH5976"/>
  <c r="FH5977"/>
  <c r="FH5978"/>
  <c r="FH5979"/>
  <c r="FH5980"/>
  <c r="FH5981"/>
  <c r="FH5982"/>
  <c r="FH5983"/>
  <c r="FH5984"/>
  <c r="FH5985"/>
  <c r="FH5986"/>
  <c r="FH5987"/>
  <c r="FH5988"/>
  <c r="FH5989"/>
  <c r="FH5990"/>
  <c r="FH5991"/>
  <c r="FH5992"/>
  <c r="FH5993"/>
  <c r="FH5994"/>
  <c r="FH5995"/>
  <c r="FH5996"/>
  <c r="FH5997"/>
  <c r="FH5998"/>
  <c r="FH5999"/>
  <c r="FH6000"/>
  <c r="FH6001"/>
  <c r="FH6002"/>
  <c r="FH6003"/>
  <c r="FH6004"/>
  <c r="FH6005"/>
  <c r="FH6006"/>
  <c r="FH6007"/>
  <c r="FH6008"/>
  <c r="FH6009"/>
  <c r="FH6010"/>
  <c r="FH6011"/>
  <c r="FH6012"/>
  <c r="FH6013"/>
  <c r="FH6014"/>
  <c r="FH6015"/>
  <c r="FH6016"/>
  <c r="FH6017"/>
  <c r="FH6018"/>
  <c r="FH6019"/>
  <c r="FH6020"/>
  <c r="FH6021"/>
  <c r="FH6022"/>
  <c r="FH6023"/>
  <c r="FH6024"/>
  <c r="FH6025"/>
  <c r="FH6026"/>
  <c r="FH6027"/>
  <c r="FH6028"/>
  <c r="FH6029"/>
  <c r="FH6030"/>
  <c r="FH6031"/>
  <c r="FH6032"/>
  <c r="FH6033"/>
  <c r="FH6034"/>
  <c r="FH6035"/>
  <c r="FH6036"/>
  <c r="FH6037"/>
  <c r="FH6038"/>
  <c r="FH6039"/>
  <c r="FH6040"/>
  <c r="FH6041"/>
  <c r="FH6042"/>
  <c r="FH6043"/>
  <c r="FH6044"/>
  <c r="FH6045"/>
  <c r="FH6046"/>
  <c r="FH6047"/>
  <c r="FH6048"/>
  <c r="FH6049"/>
  <c r="FH6050"/>
  <c r="FH6051"/>
  <c r="FH6052"/>
  <c r="FH6053"/>
  <c r="FH6054"/>
  <c r="FH6055"/>
  <c r="FH6056"/>
  <c r="FH6057"/>
  <c r="FH6058"/>
  <c r="FH6059"/>
  <c r="FH6060"/>
  <c r="FH6061"/>
  <c r="FH6062"/>
  <c r="FH6063"/>
  <c r="FH6064"/>
  <c r="FH6065"/>
  <c r="FH6066"/>
  <c r="FH6067"/>
  <c r="FH6068"/>
  <c r="FH6069"/>
  <c r="FH6070"/>
  <c r="FH6071"/>
  <c r="FH6072"/>
  <c r="FH6073"/>
  <c r="FH6074"/>
  <c r="FH6075"/>
  <c r="FH6076"/>
  <c r="FH6077"/>
  <c r="FH6078"/>
  <c r="FH6079"/>
  <c r="FH6080"/>
  <c r="FH6081"/>
  <c r="FH6082"/>
  <c r="FH6083"/>
  <c r="FH6084"/>
  <c r="FH6085"/>
  <c r="FH6086"/>
  <c r="FH6087"/>
  <c r="FH6088"/>
  <c r="FH6089"/>
  <c r="FH6090"/>
  <c r="FH6091"/>
  <c r="FH6092"/>
  <c r="FH6093"/>
  <c r="FH6094"/>
  <c r="FH6095"/>
  <c r="FH6096"/>
  <c r="FH6097"/>
  <c r="FH6098"/>
  <c r="FH6099"/>
  <c r="FH6100"/>
  <c r="FH6101"/>
  <c r="FH6102"/>
  <c r="FH6103"/>
  <c r="FH6104"/>
  <c r="FH6105"/>
  <c r="FH6106"/>
  <c r="FH6107"/>
  <c r="FH6108"/>
  <c r="FH6109"/>
  <c r="FH6110"/>
  <c r="FH6111"/>
  <c r="FH6112"/>
  <c r="FH6113"/>
  <c r="FH6114"/>
  <c r="FH6115"/>
  <c r="FH6116"/>
  <c r="FH6117"/>
  <c r="FH6118"/>
  <c r="FH6119"/>
  <c r="FH6120"/>
  <c r="FH6121"/>
  <c r="FH6122"/>
  <c r="FH6123"/>
  <c r="FH6124"/>
  <c r="FH6125"/>
  <c r="FH6126"/>
  <c r="FH6127"/>
  <c r="FH6128"/>
  <c r="FH6129"/>
  <c r="FH6130"/>
  <c r="FH6131"/>
  <c r="FH6132"/>
  <c r="FH6133"/>
  <c r="FH6134"/>
  <c r="FH6135"/>
  <c r="FH6136"/>
  <c r="FH6137"/>
  <c r="FH6138"/>
  <c r="FH6139"/>
  <c r="FH6140"/>
  <c r="FH6141"/>
  <c r="FH6142"/>
  <c r="FH6143"/>
  <c r="FH6144"/>
  <c r="FH6145"/>
  <c r="FH6146"/>
  <c r="FH6147"/>
  <c r="FH6148"/>
  <c r="FH6149"/>
  <c r="FH6150"/>
  <c r="FH6151"/>
  <c r="FH6152"/>
  <c r="FH6153"/>
  <c r="FH6154"/>
  <c r="FH6155"/>
  <c r="FH6156"/>
  <c r="FH6157"/>
  <c r="FH6158"/>
  <c r="FH6159"/>
  <c r="FH6160"/>
  <c r="FH6161"/>
  <c r="FH6162"/>
  <c r="FH6163"/>
  <c r="FH6164"/>
  <c r="FH6165"/>
  <c r="FH6166"/>
  <c r="FH6167"/>
  <c r="FH6168"/>
  <c r="FH6169"/>
  <c r="FH6170"/>
  <c r="FH6171"/>
  <c r="FH6172"/>
  <c r="FH6173"/>
  <c r="FH6174"/>
  <c r="FH6175"/>
  <c r="FH6176"/>
  <c r="FH6177"/>
  <c r="FH6178"/>
  <c r="FH6179"/>
  <c r="FH6180"/>
  <c r="FH6181"/>
  <c r="FH6182"/>
  <c r="FH6183"/>
  <c r="FH6184"/>
  <c r="FH6185"/>
  <c r="FH6186"/>
  <c r="FH6187"/>
  <c r="FH6188"/>
  <c r="FH6189"/>
  <c r="FH6190"/>
  <c r="FH6191"/>
  <c r="FH6192"/>
  <c r="FH6193"/>
  <c r="FH6194"/>
  <c r="FH6195"/>
  <c r="FH6196"/>
  <c r="FH6197"/>
  <c r="FH6198"/>
  <c r="FH6199"/>
  <c r="FH6200"/>
  <c r="FH6201"/>
  <c r="FH6202"/>
  <c r="FH6203"/>
  <c r="FH6204"/>
  <c r="FH6205"/>
  <c r="FH6206"/>
  <c r="FH6207"/>
  <c r="FH6208"/>
  <c r="FH6209"/>
  <c r="FH6210"/>
  <c r="FH6211"/>
  <c r="FH6212"/>
  <c r="FH6213"/>
  <c r="FH6214"/>
  <c r="FH6215"/>
  <c r="FH6216"/>
  <c r="FH6217"/>
  <c r="FH6218"/>
  <c r="FH6219"/>
  <c r="FH6220"/>
  <c r="FH6221"/>
  <c r="FH6222"/>
  <c r="FH6223"/>
  <c r="FH6224"/>
  <c r="FH6225"/>
  <c r="FH6226"/>
  <c r="FH6227"/>
  <c r="FH6228"/>
  <c r="FH6229"/>
  <c r="FH6230"/>
  <c r="FH6231"/>
  <c r="FH6232"/>
  <c r="FH6233"/>
  <c r="FH6234"/>
  <c r="FH6235"/>
  <c r="FH6236"/>
  <c r="FH6237"/>
  <c r="FH6238"/>
  <c r="FH6239"/>
  <c r="FH6240"/>
  <c r="FH6241"/>
  <c r="FH6242"/>
  <c r="FH6243"/>
  <c r="FH6244"/>
  <c r="FH6245"/>
  <c r="FH6246"/>
  <c r="FH6247"/>
  <c r="FH6248"/>
  <c r="FH6249"/>
  <c r="FH6250"/>
  <c r="FH6251"/>
  <c r="FH6252"/>
  <c r="FH6253"/>
  <c r="FH6254"/>
  <c r="FH6255"/>
  <c r="FH6256"/>
  <c r="FH6257"/>
  <c r="FH6258"/>
  <c r="FH6259"/>
  <c r="FH6260"/>
  <c r="FH6261"/>
  <c r="FH6262"/>
  <c r="FH6263"/>
  <c r="FH6264"/>
  <c r="FH6265"/>
  <c r="FH6266"/>
  <c r="FH6267"/>
  <c r="FH6268"/>
  <c r="FH6269"/>
  <c r="FH6270"/>
  <c r="FH6271"/>
  <c r="FH6272"/>
  <c r="FH6273"/>
  <c r="FH6274"/>
  <c r="FH6275"/>
  <c r="FH6276"/>
  <c r="FH6277"/>
  <c r="FH6278"/>
  <c r="FH6279"/>
  <c r="FH6280"/>
  <c r="FH6281"/>
  <c r="FH6282"/>
  <c r="FH6283"/>
  <c r="FH6284"/>
  <c r="FH6285"/>
  <c r="FH6286"/>
  <c r="FH6287"/>
  <c r="FH6288"/>
  <c r="FH6289"/>
  <c r="FH6290"/>
  <c r="FH6291"/>
  <c r="FH6292"/>
  <c r="FH6293"/>
  <c r="FH6294"/>
  <c r="FH6295"/>
  <c r="FH6296"/>
  <c r="FH6297"/>
  <c r="FH6298"/>
  <c r="FH6299"/>
  <c r="FH6300"/>
  <c r="FH6301"/>
  <c r="FH6302"/>
  <c r="FH6303"/>
  <c r="FH6304"/>
  <c r="FH6305"/>
  <c r="FH6306"/>
  <c r="FH6307"/>
  <c r="FH6308"/>
  <c r="FH6309"/>
  <c r="FH6310"/>
  <c r="FH6311"/>
  <c r="FH6312"/>
  <c r="FH6313"/>
  <c r="FH6314"/>
  <c r="FH6315"/>
  <c r="FH6316"/>
  <c r="FH6317"/>
  <c r="FH6318"/>
  <c r="FH6319"/>
  <c r="FH6320"/>
  <c r="FH6321"/>
  <c r="FH6322"/>
  <c r="FH6323"/>
  <c r="FH6324"/>
  <c r="FH6325"/>
  <c r="FH6326"/>
  <c r="FH6327"/>
  <c r="FH6328"/>
  <c r="FH6329"/>
  <c r="FH6330"/>
  <c r="FH6331"/>
  <c r="FH6332"/>
  <c r="FH6333"/>
  <c r="FH6334"/>
  <c r="FH6335"/>
  <c r="FH6336"/>
  <c r="FH6337"/>
  <c r="FH6338"/>
  <c r="FH6339"/>
  <c r="FH6340"/>
  <c r="FH6341"/>
  <c r="FH6342"/>
  <c r="FH6343"/>
  <c r="FH6344"/>
  <c r="FH6345"/>
  <c r="FH6346"/>
  <c r="FH6347"/>
  <c r="FH6348"/>
  <c r="FH6349"/>
  <c r="FH6350"/>
  <c r="FH6351"/>
  <c r="FH6352"/>
  <c r="FH6353"/>
  <c r="FH6354"/>
  <c r="FH6355"/>
  <c r="FH6356"/>
  <c r="FH6357"/>
  <c r="FH6358"/>
  <c r="FH6359"/>
  <c r="FH6360"/>
  <c r="FH6361"/>
  <c r="FH6362"/>
  <c r="FH6363"/>
  <c r="FH6364"/>
  <c r="FH6365"/>
  <c r="FH6366"/>
  <c r="FH6367"/>
  <c r="FH6368"/>
  <c r="FH6369"/>
  <c r="FH6370"/>
  <c r="FH6371"/>
  <c r="FH6372"/>
  <c r="FH6373"/>
  <c r="FH6374"/>
  <c r="FH6375"/>
  <c r="FH6376"/>
  <c r="FH6377"/>
  <c r="FH6378"/>
  <c r="FH6379"/>
  <c r="FH6380"/>
  <c r="FH6381"/>
  <c r="FH6382"/>
  <c r="FH6383"/>
  <c r="FH6384"/>
  <c r="FH6385"/>
  <c r="FH6386"/>
  <c r="FH6387"/>
  <c r="FH6388"/>
  <c r="FH6389"/>
  <c r="FH6390"/>
  <c r="FH6391"/>
  <c r="FH6392"/>
  <c r="FH6393"/>
  <c r="FH6394"/>
  <c r="FH6395"/>
  <c r="FH6396"/>
  <c r="FH6397"/>
  <c r="FH6398"/>
  <c r="FH6399"/>
  <c r="FH6400"/>
  <c r="FH6401"/>
  <c r="FH6402"/>
  <c r="FH6403"/>
  <c r="FH6404"/>
  <c r="FH6405"/>
  <c r="FH6406"/>
  <c r="FH6407"/>
  <c r="FH6408"/>
  <c r="FH6409"/>
  <c r="FH6410"/>
  <c r="FH6411"/>
  <c r="FH6412"/>
  <c r="FH6413"/>
  <c r="FH6414"/>
  <c r="FH6415"/>
  <c r="FH6416"/>
  <c r="FH6417"/>
  <c r="FH6418"/>
  <c r="FH6419"/>
  <c r="FH6420"/>
  <c r="FH6421"/>
  <c r="FH6422"/>
  <c r="FH6423"/>
  <c r="FH6424"/>
  <c r="FH6425"/>
  <c r="FH6426"/>
  <c r="FH6427"/>
  <c r="FH6428"/>
  <c r="FH6429"/>
  <c r="FH6430"/>
  <c r="FH6431"/>
  <c r="FH6432"/>
  <c r="FH6433"/>
  <c r="FH6434"/>
  <c r="FH6435"/>
  <c r="FH6436"/>
  <c r="FH6437"/>
  <c r="FH6438"/>
  <c r="FH6439"/>
  <c r="FH6440"/>
  <c r="FH6441"/>
  <c r="FH6442"/>
  <c r="FH6443"/>
  <c r="FH6444"/>
  <c r="FH6445"/>
  <c r="FH6446"/>
  <c r="FH6447"/>
  <c r="FH6448"/>
  <c r="FH6449"/>
  <c r="FH6450"/>
  <c r="FH6451"/>
  <c r="FH6452"/>
  <c r="FH6453"/>
  <c r="FH6454"/>
  <c r="FH6455"/>
  <c r="FH6456"/>
  <c r="FH6457"/>
  <c r="FH6458"/>
  <c r="FH6459"/>
  <c r="FH6460"/>
  <c r="FH6461"/>
  <c r="FH6462"/>
  <c r="FH6463"/>
  <c r="FH6464"/>
  <c r="FH6465"/>
  <c r="FH6466"/>
  <c r="FH6467"/>
  <c r="FH6468"/>
  <c r="FH6469"/>
  <c r="FH6470"/>
  <c r="FH6471"/>
  <c r="FH6472"/>
  <c r="FH6473"/>
  <c r="FH6474"/>
  <c r="FH6475"/>
  <c r="FH6476"/>
  <c r="FH6477"/>
  <c r="FH6478"/>
  <c r="FH6479"/>
  <c r="FH6480"/>
  <c r="FH6481"/>
  <c r="FH6482"/>
  <c r="FH6483"/>
  <c r="FH6484"/>
  <c r="FH6485"/>
  <c r="FH6486"/>
  <c r="FH6487"/>
  <c r="FH6488"/>
  <c r="FH6489"/>
  <c r="FH6490"/>
  <c r="FH6491"/>
  <c r="FH6492"/>
  <c r="FH6493"/>
  <c r="FH6494"/>
  <c r="FH6495"/>
  <c r="FH6496"/>
  <c r="FH6497"/>
  <c r="FH6498"/>
  <c r="FH6499"/>
  <c r="FH6500"/>
  <c r="FH6501"/>
  <c r="FH6502"/>
  <c r="FH6503"/>
  <c r="FH6504"/>
  <c r="FH6505"/>
  <c r="FH6506"/>
  <c r="FH6507"/>
  <c r="FH6508"/>
  <c r="FH6509"/>
  <c r="FH6510"/>
  <c r="FH6511"/>
  <c r="FH6512"/>
  <c r="FH6513"/>
  <c r="FH6514"/>
  <c r="FH6515"/>
  <c r="FH6516"/>
  <c r="FH6517"/>
  <c r="FH6518"/>
  <c r="FH6519"/>
  <c r="FH6520"/>
  <c r="FH6521"/>
  <c r="FH6522"/>
  <c r="FH6523"/>
  <c r="FH6524"/>
  <c r="FH6525"/>
  <c r="FH6526"/>
  <c r="FH6527"/>
  <c r="FH6528"/>
  <c r="FH6529"/>
  <c r="FH6530"/>
  <c r="FH6531"/>
  <c r="FH6532"/>
  <c r="FH6533"/>
  <c r="FH6534"/>
  <c r="FH6535"/>
  <c r="FH6536"/>
  <c r="FH6537"/>
  <c r="FH6538"/>
  <c r="FH6539"/>
  <c r="FH6540"/>
  <c r="FH6541"/>
  <c r="FH6542"/>
  <c r="FH6543"/>
  <c r="FH6544"/>
  <c r="FH6545"/>
  <c r="FH6546"/>
  <c r="FH6547"/>
  <c r="FH6548"/>
  <c r="FH6549"/>
  <c r="FH6550"/>
  <c r="FH6551"/>
  <c r="FH6552"/>
  <c r="FH6553"/>
  <c r="FH6554"/>
  <c r="FH6555"/>
  <c r="FH6556"/>
  <c r="FH6557"/>
  <c r="FH6558"/>
  <c r="FH6559"/>
  <c r="FH6560"/>
  <c r="FH6561"/>
  <c r="FH6562"/>
  <c r="FH6563"/>
  <c r="FH6564"/>
  <c r="FH6565"/>
  <c r="FH6566"/>
  <c r="FH6567"/>
  <c r="FH6568"/>
  <c r="FH6569"/>
  <c r="FH6570"/>
  <c r="FH6571"/>
  <c r="FH6572"/>
  <c r="FH6573"/>
  <c r="FH6574"/>
  <c r="FH6575"/>
  <c r="FH6576"/>
  <c r="FH6577"/>
  <c r="FH6578"/>
  <c r="FH6579"/>
  <c r="FH6580"/>
  <c r="FH6581"/>
  <c r="FH6582"/>
  <c r="FH6583"/>
  <c r="FH6584"/>
  <c r="FH6585"/>
  <c r="FH6586"/>
  <c r="FH6587"/>
  <c r="FH6588"/>
  <c r="FH6589"/>
  <c r="FH6590"/>
  <c r="FH6591"/>
  <c r="FH6592"/>
  <c r="FH6593"/>
  <c r="FH6594"/>
  <c r="FH6595"/>
  <c r="FH6596"/>
  <c r="FH6597"/>
  <c r="FH6598"/>
  <c r="FH6599"/>
  <c r="FH6600"/>
  <c r="FH6601"/>
  <c r="FH6602"/>
  <c r="FH6603"/>
  <c r="FH6604"/>
  <c r="FH6605"/>
  <c r="FH6606"/>
  <c r="FH6607"/>
  <c r="FH6608"/>
  <c r="FH6609"/>
  <c r="FH6610"/>
  <c r="FH6611"/>
  <c r="FH6612"/>
  <c r="FH6613"/>
  <c r="FH6614"/>
  <c r="FH6615"/>
  <c r="FH6616"/>
  <c r="FH6617"/>
  <c r="FH6618"/>
  <c r="FH6619"/>
  <c r="FH6620"/>
  <c r="FH6621"/>
  <c r="FH6622"/>
  <c r="FH6623"/>
  <c r="FH6624"/>
  <c r="FH6625"/>
  <c r="FH6626"/>
  <c r="FH6627"/>
  <c r="FH6628"/>
  <c r="FH6629"/>
  <c r="FH6630"/>
  <c r="FH6631"/>
  <c r="FH6632"/>
  <c r="FH6633"/>
  <c r="FH6634"/>
  <c r="FH6635"/>
  <c r="FH6636"/>
  <c r="FH6637"/>
  <c r="FH6638"/>
  <c r="FH6639"/>
  <c r="FH6640"/>
  <c r="FH6641"/>
  <c r="FH6642"/>
  <c r="FH6643"/>
  <c r="FH6644"/>
  <c r="FH6645"/>
  <c r="FH6646"/>
  <c r="FH6647"/>
  <c r="FH6648"/>
  <c r="FH6649"/>
  <c r="FH6650"/>
  <c r="FH6651"/>
  <c r="FH6652"/>
  <c r="FH6653"/>
  <c r="FH6654"/>
  <c r="FH6655"/>
  <c r="FH6656"/>
  <c r="FH6657"/>
  <c r="FH6658"/>
  <c r="FH6659"/>
  <c r="FH6660"/>
  <c r="FH6661"/>
  <c r="FH6662"/>
  <c r="FH6663"/>
  <c r="FH6664"/>
  <c r="FH6665"/>
  <c r="FH6666"/>
  <c r="FH6667"/>
  <c r="FH6668"/>
  <c r="FH6669"/>
  <c r="FH6670"/>
  <c r="FH6671"/>
  <c r="FH6672"/>
  <c r="FH6673"/>
  <c r="FH6674"/>
  <c r="FH6675"/>
  <c r="FH6676"/>
  <c r="FH6677"/>
  <c r="FH6678"/>
  <c r="FH6679"/>
  <c r="FH6680"/>
  <c r="FH6681"/>
  <c r="FH6682"/>
  <c r="FH6683"/>
  <c r="FH6684"/>
  <c r="FH6685"/>
  <c r="FH6686"/>
  <c r="FH6687"/>
  <c r="FH6688"/>
  <c r="FH6689"/>
  <c r="FH6690"/>
  <c r="FH6691"/>
  <c r="FH6692"/>
  <c r="FH6693"/>
  <c r="FH6694"/>
  <c r="FH6695"/>
  <c r="FH6696"/>
  <c r="FH6697"/>
  <c r="FH6698"/>
  <c r="FH6699"/>
  <c r="FH6700"/>
  <c r="FH6701"/>
  <c r="FH6702"/>
  <c r="FH6703"/>
  <c r="FH6704"/>
  <c r="FH6705"/>
  <c r="FH6706"/>
  <c r="FH6707"/>
  <c r="FH6708"/>
  <c r="FH6709"/>
  <c r="FH6710"/>
  <c r="FH6711"/>
  <c r="FH6712"/>
  <c r="FH6713"/>
  <c r="FH6714"/>
  <c r="FH6715"/>
  <c r="FH6716"/>
  <c r="FH6717"/>
  <c r="FH6718"/>
  <c r="FH6719"/>
  <c r="FH6720"/>
  <c r="FH6721"/>
  <c r="FH6722"/>
  <c r="FH6723"/>
  <c r="FH6724"/>
  <c r="FH6725"/>
  <c r="FH6726"/>
  <c r="FH6727"/>
  <c r="FH6728"/>
  <c r="FH6729"/>
  <c r="FH6730"/>
  <c r="FH6731"/>
  <c r="FH6732"/>
  <c r="FH6733"/>
  <c r="FH6734"/>
  <c r="FH6735"/>
  <c r="FH6736"/>
  <c r="FH6737"/>
  <c r="FH6738"/>
  <c r="FH6739"/>
  <c r="FH6740"/>
  <c r="FH6741"/>
  <c r="FH6742"/>
  <c r="FH6743"/>
  <c r="FH6744"/>
  <c r="FH6745"/>
  <c r="FH6746"/>
  <c r="FH6747"/>
  <c r="FH6748"/>
  <c r="FH6749"/>
  <c r="FH6750"/>
  <c r="FH6751"/>
  <c r="FH6752"/>
  <c r="FH6753"/>
  <c r="FH6754"/>
  <c r="FH6755"/>
  <c r="FH6756"/>
  <c r="FH6757"/>
  <c r="FH6758"/>
  <c r="FH6759"/>
  <c r="FH6760"/>
  <c r="FH6761"/>
  <c r="FH6762"/>
  <c r="FH6763"/>
  <c r="FH6764"/>
  <c r="FH6765"/>
  <c r="FH6766"/>
  <c r="FH6767"/>
  <c r="FH6768"/>
  <c r="FH6769"/>
  <c r="FH6770"/>
  <c r="FH6771"/>
  <c r="FH6772"/>
  <c r="FH6773"/>
  <c r="FH6774"/>
  <c r="FH6775"/>
  <c r="FH6776"/>
  <c r="FH6777"/>
  <c r="FH6778"/>
  <c r="FH6779"/>
  <c r="FH6780"/>
  <c r="FH6781"/>
  <c r="FH6782"/>
  <c r="FH6783"/>
  <c r="FH6784"/>
  <c r="FH6785"/>
  <c r="FH6786"/>
  <c r="FH6787"/>
  <c r="FH6788"/>
  <c r="FH6789"/>
  <c r="FH6790"/>
  <c r="FH6791"/>
  <c r="FH6792"/>
  <c r="FH6793"/>
  <c r="FH6794"/>
  <c r="FH6795"/>
  <c r="FH6796"/>
  <c r="FH6797"/>
  <c r="FH6798"/>
  <c r="FH6799"/>
  <c r="FH6800"/>
  <c r="FH6801"/>
  <c r="FH6802"/>
  <c r="FH6803"/>
  <c r="FH6804"/>
  <c r="FH6805"/>
  <c r="FH6806"/>
  <c r="FH6807"/>
  <c r="FH6808"/>
  <c r="FH6809"/>
  <c r="FH6810"/>
  <c r="FH6811"/>
  <c r="FH6812"/>
  <c r="FH6813"/>
  <c r="FH6814"/>
  <c r="FH6815"/>
  <c r="FH6816"/>
  <c r="FH6817"/>
  <c r="FH6818"/>
  <c r="FH6819"/>
  <c r="FH6820"/>
  <c r="FH6821"/>
  <c r="FH6822"/>
  <c r="FH6823"/>
  <c r="FH6824"/>
  <c r="FH6825"/>
  <c r="FH6826"/>
  <c r="FH6827"/>
  <c r="FH6828"/>
  <c r="FH6829"/>
  <c r="FH6830"/>
  <c r="FH6831"/>
  <c r="FH6832"/>
  <c r="FH6833"/>
  <c r="FH6834"/>
  <c r="FH6835"/>
  <c r="FH6836"/>
  <c r="FH6837"/>
  <c r="FH6838"/>
  <c r="FH6839"/>
  <c r="FH6840"/>
  <c r="FH6841"/>
  <c r="FH6842"/>
  <c r="FH6843"/>
  <c r="FH6844"/>
  <c r="FH6845"/>
  <c r="FH6846"/>
  <c r="FH6847"/>
  <c r="FH6848"/>
  <c r="FH6849"/>
  <c r="FH6850"/>
  <c r="FH6851"/>
  <c r="FH6852"/>
  <c r="FH6853"/>
  <c r="FH6854"/>
  <c r="FH6855"/>
  <c r="FH6856"/>
  <c r="FH6857"/>
  <c r="FH6858"/>
  <c r="FH6859"/>
  <c r="FH6860"/>
  <c r="FH6861"/>
  <c r="FH6862"/>
  <c r="FH6863"/>
  <c r="FH6864"/>
  <c r="FH6865"/>
  <c r="FH6866"/>
  <c r="FH6867"/>
  <c r="FH6868"/>
  <c r="FH6869"/>
  <c r="FH6870"/>
  <c r="FH6871"/>
  <c r="FH6872"/>
  <c r="FH6873"/>
  <c r="FH6874"/>
  <c r="FH6875"/>
  <c r="FH6876"/>
  <c r="FH6877"/>
  <c r="FH6878"/>
  <c r="FH6879"/>
  <c r="FH6880"/>
  <c r="FH6881"/>
  <c r="FH6882"/>
  <c r="FH6883"/>
  <c r="FH6884"/>
  <c r="FH6885"/>
  <c r="FH6886"/>
  <c r="FH6887"/>
  <c r="FH6888"/>
  <c r="FH6889"/>
  <c r="FH6890"/>
  <c r="FH6891"/>
  <c r="FH6892"/>
  <c r="FH6893"/>
  <c r="FH6894"/>
  <c r="FH6895"/>
  <c r="FH6896"/>
  <c r="FH6897"/>
  <c r="FH6898"/>
  <c r="FH6899"/>
  <c r="FH6900"/>
  <c r="FH6901"/>
  <c r="FH6902"/>
  <c r="FH6903"/>
  <c r="FH6904"/>
  <c r="FH6905"/>
  <c r="FH6906"/>
  <c r="FH6907"/>
  <c r="FH6908"/>
  <c r="FH6909"/>
  <c r="FH6910"/>
  <c r="FH6911"/>
  <c r="FH6912"/>
  <c r="FH6913"/>
  <c r="FH6914"/>
  <c r="FH6915"/>
  <c r="FH6916"/>
  <c r="FH6917"/>
  <c r="FH6918"/>
  <c r="FH6919"/>
  <c r="FH6920"/>
  <c r="FH6921"/>
  <c r="FH6922"/>
  <c r="FH6923"/>
  <c r="FH6924"/>
  <c r="FH6925"/>
  <c r="FH6926"/>
  <c r="FH6927"/>
  <c r="FH6928"/>
  <c r="FH6929"/>
  <c r="FH6930"/>
  <c r="FH6931"/>
  <c r="FH6932"/>
  <c r="FH6933"/>
  <c r="FH6934"/>
  <c r="FH6935"/>
  <c r="FH6936"/>
  <c r="FH6937"/>
  <c r="FH6938"/>
  <c r="FH6939"/>
  <c r="FH6940"/>
  <c r="FH6941"/>
  <c r="FH6942"/>
  <c r="FH6943"/>
  <c r="FH6944"/>
  <c r="FH6945"/>
  <c r="FH6946"/>
  <c r="FH6947"/>
  <c r="FH6948"/>
  <c r="FH6949"/>
  <c r="FH6950"/>
  <c r="FH6951"/>
  <c r="FH6952"/>
  <c r="FH6953"/>
  <c r="FH6954"/>
  <c r="FH6955"/>
  <c r="FH6956"/>
  <c r="FH6957"/>
  <c r="FH6958"/>
  <c r="FH6959"/>
  <c r="FH6960"/>
  <c r="FH6961"/>
  <c r="FH6962"/>
  <c r="FH6963"/>
  <c r="FH6964"/>
  <c r="FH6965"/>
  <c r="FH6966"/>
  <c r="FH6967"/>
  <c r="FH6968"/>
  <c r="FH6969"/>
  <c r="FH6970"/>
  <c r="FH6971"/>
  <c r="FH6972"/>
  <c r="FH6973"/>
  <c r="FH6974"/>
  <c r="FH6975"/>
  <c r="FH6976"/>
  <c r="FH6977"/>
  <c r="FH6978"/>
  <c r="FH6979"/>
  <c r="FH6980"/>
  <c r="FH6981"/>
  <c r="FH6982"/>
  <c r="FH6983"/>
  <c r="FH6984"/>
  <c r="FH6985"/>
  <c r="FH6986"/>
  <c r="FH6987"/>
  <c r="FH6988"/>
  <c r="FH6989"/>
  <c r="FH6990"/>
  <c r="FH6991"/>
  <c r="FH6992"/>
  <c r="FH6993"/>
  <c r="FH6994"/>
  <c r="FH6995"/>
  <c r="FH6996"/>
  <c r="FH6997"/>
  <c r="FH6998"/>
  <c r="FH6999"/>
  <c r="FH7000"/>
  <c r="FH155"/>
  <c r="FH156"/>
  <c r="FH157"/>
  <c r="FH158"/>
  <c r="FH159"/>
  <c r="FH160"/>
  <c r="FH161"/>
  <c r="FH162"/>
  <c r="FH163"/>
  <c r="FH164"/>
  <c r="FH165"/>
  <c r="FH166"/>
  <c r="FH167"/>
  <c r="FH168"/>
  <c r="FH169"/>
  <c r="FH170"/>
  <c r="FH171"/>
  <c r="FH172"/>
  <c r="FH173"/>
  <c r="FH174"/>
  <c r="FH175"/>
  <c r="FH176"/>
  <c r="FH177"/>
  <c r="FH178"/>
  <c r="FH179"/>
  <c r="FH180"/>
  <c r="FH181"/>
  <c r="FH182"/>
  <c r="FH183"/>
  <c r="FH184"/>
  <c r="FH185"/>
  <c r="FH186"/>
  <c r="FH187"/>
  <c r="FH188"/>
  <c r="FH189"/>
  <c r="FH190"/>
  <c r="FH191"/>
  <c r="FH192"/>
  <c r="FH193"/>
  <c r="FH194"/>
  <c r="FH195"/>
  <c r="FH196"/>
  <c r="FH197"/>
  <c r="FH198"/>
  <c r="FH199"/>
  <c r="FH200"/>
  <c r="FH201"/>
  <c r="FH202"/>
  <c r="FH203"/>
  <c r="FH204"/>
  <c r="FH205"/>
  <c r="FH206"/>
  <c r="FH207"/>
  <c r="FH208"/>
  <c r="FH209"/>
  <c r="FH210"/>
  <c r="FH211"/>
  <c r="FH212"/>
  <c r="FH213"/>
  <c r="FH214"/>
  <c r="FH215"/>
  <c r="FH216"/>
  <c r="FH217"/>
  <c r="FH218"/>
  <c r="FH219"/>
  <c r="FH220"/>
  <c r="FH221"/>
  <c r="FH222"/>
  <c r="FH223"/>
  <c r="FH224"/>
  <c r="FH225"/>
  <c r="FH226"/>
  <c r="FH227"/>
  <c r="FH228"/>
  <c r="FH229"/>
  <c r="FH230"/>
  <c r="FH231"/>
  <c r="FH232"/>
  <c r="FH233"/>
  <c r="FH234"/>
  <c r="FH235"/>
  <c r="FH236"/>
  <c r="FH237"/>
  <c r="FH238"/>
  <c r="FH239"/>
  <c r="FH240"/>
  <c r="FH241"/>
  <c r="FH242"/>
  <c r="FH243"/>
  <c r="FH244"/>
  <c r="FH245"/>
  <c r="FH246"/>
  <c r="FH247"/>
  <c r="FH248"/>
  <c r="FH249"/>
  <c r="FH250"/>
  <c r="FH251"/>
  <c r="FH252"/>
  <c r="FH253"/>
  <c r="FH254"/>
  <c r="FH255"/>
  <c r="FH256"/>
  <c r="FH257"/>
  <c r="FH258"/>
  <c r="FH259"/>
  <c r="FH260"/>
  <c r="FH261"/>
  <c r="FH262"/>
  <c r="FH263"/>
  <c r="FH264"/>
  <c r="FH265"/>
  <c r="FH266"/>
  <c r="FH267"/>
  <c r="FH268"/>
  <c r="FH269"/>
  <c r="FH270"/>
  <c r="FH271"/>
  <c r="FH272"/>
  <c r="FH273"/>
  <c r="FH274"/>
  <c r="FH275"/>
  <c r="FH276"/>
  <c r="FH277"/>
  <c r="FH278"/>
  <c r="FH279"/>
  <c r="FH280"/>
  <c r="FH281"/>
  <c r="FH282"/>
  <c r="FH283"/>
  <c r="FH284"/>
  <c r="FH285"/>
  <c r="FH286"/>
  <c r="FH287"/>
  <c r="FH288"/>
  <c r="FH289"/>
  <c r="FH290"/>
  <c r="FH291"/>
  <c r="FH292"/>
  <c r="FH293"/>
  <c r="FH294"/>
  <c r="FH295"/>
  <c r="FH296"/>
  <c r="FH297"/>
  <c r="FH298"/>
  <c r="FH299"/>
  <c r="FH300"/>
  <c r="FH301"/>
  <c r="FH302"/>
  <c r="FH303"/>
  <c r="FH304"/>
  <c r="FH305"/>
  <c r="FH306"/>
  <c r="FH307"/>
  <c r="FH308"/>
  <c r="FH309"/>
  <c r="FH310"/>
  <c r="FH311"/>
  <c r="FH312"/>
  <c r="FH313"/>
  <c r="FH314"/>
  <c r="FH315"/>
  <c r="FH316"/>
  <c r="FH317"/>
  <c r="FH318"/>
  <c r="FH319"/>
  <c r="FH320"/>
  <c r="FH321"/>
  <c r="FH322"/>
  <c r="FH323"/>
  <c r="FH324"/>
  <c r="FH325"/>
  <c r="FH326"/>
  <c r="FH327"/>
  <c r="FH328"/>
  <c r="FH329"/>
  <c r="FH330"/>
  <c r="FH331"/>
  <c r="FH332"/>
  <c r="FH333"/>
  <c r="FH334"/>
  <c r="FH335"/>
  <c r="FH336"/>
  <c r="FH337"/>
  <c r="FH338"/>
  <c r="FH339"/>
  <c r="FH340"/>
  <c r="FH341"/>
  <c r="FH342"/>
  <c r="FH343"/>
  <c r="FH344"/>
  <c r="FH345"/>
  <c r="FH346"/>
  <c r="FH347"/>
  <c r="FH348"/>
  <c r="FH349"/>
  <c r="FH350"/>
  <c r="FH351"/>
  <c r="FH352"/>
  <c r="FH353"/>
  <c r="FH354"/>
  <c r="FH355"/>
  <c r="FH356"/>
  <c r="FH357"/>
  <c r="FH358"/>
  <c r="FH359"/>
  <c r="FH360"/>
  <c r="FH361"/>
  <c r="FH362"/>
  <c r="FH363"/>
  <c r="FH364"/>
  <c r="FH365"/>
  <c r="FH366"/>
  <c r="FH367"/>
  <c r="FH368"/>
  <c r="FH369"/>
  <c r="FH370"/>
  <c r="FH371"/>
  <c r="FH372"/>
  <c r="FH373"/>
  <c r="FH374"/>
  <c r="FH375"/>
  <c r="FH376"/>
  <c r="FH377"/>
  <c r="FH378"/>
  <c r="FH379"/>
  <c r="FH380"/>
  <c r="FH381"/>
  <c r="FH382"/>
  <c r="FH383"/>
  <c r="FH384"/>
  <c r="FH385"/>
  <c r="FH386"/>
  <c r="FH387"/>
  <c r="FH388"/>
  <c r="FH389"/>
  <c r="FH390"/>
  <c r="FH391"/>
  <c r="FH392"/>
  <c r="FH393"/>
  <c r="FH394"/>
  <c r="FH395"/>
  <c r="FH396"/>
  <c r="FH397"/>
  <c r="FH398"/>
  <c r="FH399"/>
  <c r="FH400"/>
  <c r="FH401"/>
  <c r="FH402"/>
  <c r="FH403"/>
  <c r="FH404"/>
  <c r="FH405"/>
  <c r="FH406"/>
  <c r="FH407"/>
  <c r="FH408"/>
  <c r="FH409"/>
  <c r="FH410"/>
  <c r="FH411"/>
  <c r="FH412"/>
  <c r="FH413"/>
  <c r="FH414"/>
  <c r="FH415"/>
  <c r="FH416"/>
  <c r="FH417"/>
  <c r="FH418"/>
  <c r="FH419"/>
  <c r="FH420"/>
  <c r="FH421"/>
  <c r="FH422"/>
  <c r="FH423"/>
  <c r="FH424"/>
  <c r="FH425"/>
  <c r="FH426"/>
  <c r="FH427"/>
  <c r="FH428"/>
  <c r="FH429"/>
  <c r="FH430"/>
  <c r="FH431"/>
  <c r="FH432"/>
  <c r="FH433"/>
  <c r="FH434"/>
  <c r="FH435"/>
  <c r="FH436"/>
  <c r="FH437"/>
  <c r="FH438"/>
  <c r="FH439"/>
  <c r="FH440"/>
  <c r="FH441"/>
  <c r="FH442"/>
  <c r="FH443"/>
  <c r="FH444"/>
  <c r="FH445"/>
  <c r="FH446"/>
  <c r="FH447"/>
  <c r="FH448"/>
  <c r="FH449"/>
  <c r="FH450"/>
  <c r="FH451"/>
  <c r="FH452"/>
  <c r="FH453"/>
  <c r="FH454"/>
  <c r="FH455"/>
  <c r="FH456"/>
  <c r="FH457"/>
  <c r="FH458"/>
  <c r="FH459"/>
  <c r="FH460"/>
  <c r="FH461"/>
  <c r="FH462"/>
  <c r="FH463"/>
  <c r="FH464"/>
  <c r="FH465"/>
  <c r="FH466"/>
  <c r="FH467"/>
  <c r="FH468"/>
  <c r="FH469"/>
  <c r="FH470"/>
  <c r="FH471"/>
  <c r="FH472"/>
  <c r="FH473"/>
  <c r="FH474"/>
  <c r="FH475"/>
  <c r="FH476"/>
  <c r="FH477"/>
  <c r="FH478"/>
  <c r="FH479"/>
  <c r="FH480"/>
  <c r="FH481"/>
  <c r="FH482"/>
  <c r="FH483"/>
  <c r="FH484"/>
  <c r="FH485"/>
  <c r="FH486"/>
  <c r="FH487"/>
  <c r="FH488"/>
  <c r="FH489"/>
  <c r="FH490"/>
  <c r="FH491"/>
  <c r="FH492"/>
  <c r="FH493"/>
  <c r="FH494"/>
  <c r="FH495"/>
  <c r="FH496"/>
  <c r="FH497"/>
  <c r="FH498"/>
  <c r="FH499"/>
  <c r="FH500"/>
  <c r="FH501"/>
  <c r="FH502"/>
  <c r="FH503"/>
  <c r="FH504"/>
  <c r="FH505"/>
  <c r="FH506"/>
  <c r="FH507"/>
  <c r="FH508"/>
  <c r="FH509"/>
  <c r="FH510"/>
  <c r="FH511"/>
  <c r="FH512"/>
  <c r="FH513"/>
  <c r="FH514"/>
  <c r="FH515"/>
  <c r="FH516"/>
  <c r="FH517"/>
  <c r="FH518"/>
  <c r="FH519"/>
  <c r="FH520"/>
  <c r="FH521"/>
  <c r="FH522"/>
  <c r="FH523"/>
  <c r="FH524"/>
  <c r="FH525"/>
  <c r="FH526"/>
  <c r="FH527"/>
  <c r="FH528"/>
  <c r="FH529"/>
  <c r="FH530"/>
  <c r="FH531"/>
  <c r="FH532"/>
  <c r="FH533"/>
  <c r="FH534"/>
  <c r="FH535"/>
  <c r="FH536"/>
  <c r="FH537"/>
  <c r="FH538"/>
  <c r="FH539"/>
  <c r="FH540"/>
  <c r="FH541"/>
  <c r="FH542"/>
  <c r="FH543"/>
  <c r="FH544"/>
  <c r="FH545"/>
  <c r="FH546"/>
  <c r="FH547"/>
  <c r="FH548"/>
  <c r="FH549"/>
  <c r="FH550"/>
  <c r="FH551"/>
  <c r="FH552"/>
  <c r="FH553"/>
  <c r="FH554"/>
  <c r="FH555"/>
  <c r="FH556"/>
  <c r="FH557"/>
  <c r="FH558"/>
  <c r="FH559"/>
  <c r="FH560"/>
  <c r="FH561"/>
  <c r="FH562"/>
  <c r="FH563"/>
  <c r="FH564"/>
  <c r="FH565"/>
  <c r="FH566"/>
  <c r="FH567"/>
  <c r="FH568"/>
  <c r="FH569"/>
  <c r="FH570"/>
  <c r="FH571"/>
  <c r="FH572"/>
  <c r="FH573"/>
  <c r="FH574"/>
  <c r="FH575"/>
  <c r="FH576"/>
  <c r="FH577"/>
  <c r="FH578"/>
  <c r="FH579"/>
  <c r="FH580"/>
  <c r="FH581"/>
  <c r="FH582"/>
  <c r="FH583"/>
  <c r="FH584"/>
  <c r="FH585"/>
  <c r="FH586"/>
  <c r="FH587"/>
  <c r="FH588"/>
  <c r="FH589"/>
  <c r="FH590"/>
  <c r="FH591"/>
  <c r="FH592"/>
  <c r="FH593"/>
  <c r="FH594"/>
  <c r="FH595"/>
  <c r="FH596"/>
  <c r="FH597"/>
  <c r="FH598"/>
  <c r="FH599"/>
  <c r="FH600"/>
  <c r="FH601"/>
  <c r="FH602"/>
  <c r="FH603"/>
  <c r="FH604"/>
  <c r="FH605"/>
  <c r="FH606"/>
  <c r="FH607"/>
  <c r="FH608"/>
  <c r="FH609"/>
  <c r="FH610"/>
  <c r="FH611"/>
  <c r="FH612"/>
  <c r="FH613"/>
  <c r="FH614"/>
  <c r="FH615"/>
  <c r="FH616"/>
  <c r="FH617"/>
  <c r="FH618"/>
  <c r="FH619"/>
  <c r="FH620"/>
  <c r="FH621"/>
  <c r="FH622"/>
  <c r="FH623"/>
  <c r="FH624"/>
  <c r="FH625"/>
  <c r="FH626"/>
  <c r="FH627"/>
  <c r="FH628"/>
  <c r="FH629"/>
  <c r="FH630"/>
  <c r="FH631"/>
  <c r="FH632"/>
  <c r="FH633"/>
  <c r="FH634"/>
  <c r="FH635"/>
  <c r="FH636"/>
  <c r="FH637"/>
  <c r="FH638"/>
  <c r="FH639"/>
  <c r="FH640"/>
  <c r="FH641"/>
  <c r="FH642"/>
  <c r="FH643"/>
  <c r="FH644"/>
  <c r="FH645"/>
  <c r="FH646"/>
  <c r="FH647"/>
  <c r="FH648"/>
  <c r="FH649"/>
  <c r="FH650"/>
  <c r="FH651"/>
  <c r="FH652"/>
  <c r="FH653"/>
  <c r="FH654"/>
  <c r="FH655"/>
  <c r="FH656"/>
  <c r="FH657"/>
  <c r="FH658"/>
  <c r="FH659"/>
  <c r="FH660"/>
  <c r="FH661"/>
  <c r="FH662"/>
  <c r="FH663"/>
  <c r="FH664"/>
  <c r="FH665"/>
  <c r="FH666"/>
  <c r="FH667"/>
  <c r="FH668"/>
  <c r="FH669"/>
  <c r="FH670"/>
  <c r="FH671"/>
  <c r="FH672"/>
  <c r="FH673"/>
  <c r="FH674"/>
  <c r="FH675"/>
  <c r="FH676"/>
  <c r="FH677"/>
  <c r="FH678"/>
  <c r="FH679"/>
  <c r="FH680"/>
  <c r="FH681"/>
  <c r="FH682"/>
  <c r="FH683"/>
  <c r="FH684"/>
  <c r="FH685"/>
  <c r="FH686"/>
  <c r="FH687"/>
  <c r="FH688"/>
  <c r="FH689"/>
  <c r="FH690"/>
  <c r="FH691"/>
  <c r="FH692"/>
  <c r="FH693"/>
  <c r="FH694"/>
  <c r="FH695"/>
  <c r="FH696"/>
  <c r="FH697"/>
  <c r="FH698"/>
  <c r="FH699"/>
  <c r="FH700"/>
  <c r="FH701"/>
  <c r="FH702"/>
  <c r="FH703"/>
  <c r="FH704"/>
  <c r="FH705"/>
  <c r="FH706"/>
  <c r="FH707"/>
  <c r="FH708"/>
  <c r="FH709"/>
  <c r="FH710"/>
  <c r="FH711"/>
  <c r="FH712"/>
  <c r="FH713"/>
  <c r="FH714"/>
  <c r="FH715"/>
  <c r="FH716"/>
  <c r="FH717"/>
  <c r="FH718"/>
  <c r="FH719"/>
  <c r="FH720"/>
  <c r="FH721"/>
  <c r="FH722"/>
  <c r="FH723"/>
  <c r="FH724"/>
  <c r="FH725"/>
  <c r="FH726"/>
  <c r="FH727"/>
  <c r="FH728"/>
  <c r="FH729"/>
  <c r="FH730"/>
  <c r="FH731"/>
  <c r="FH732"/>
  <c r="FH733"/>
  <c r="FH734"/>
  <c r="FH735"/>
  <c r="FH736"/>
  <c r="FH737"/>
  <c r="FH738"/>
  <c r="FH739"/>
  <c r="FH740"/>
  <c r="FH741"/>
  <c r="FH742"/>
  <c r="FH743"/>
  <c r="FH744"/>
  <c r="FH745"/>
  <c r="FH746"/>
  <c r="FH747"/>
  <c r="FH748"/>
  <c r="FH749"/>
  <c r="FH750"/>
  <c r="FH751"/>
  <c r="FH752"/>
  <c r="FH753"/>
  <c r="FH754"/>
  <c r="FH755"/>
  <c r="FH756"/>
  <c r="FH757"/>
  <c r="FH758"/>
  <c r="FH759"/>
  <c r="FH760"/>
  <c r="FH761"/>
  <c r="FH762"/>
  <c r="FH763"/>
  <c r="FH764"/>
  <c r="FH765"/>
  <c r="FH766"/>
  <c r="FH767"/>
  <c r="FH768"/>
  <c r="FH769"/>
  <c r="FH770"/>
  <c r="FH771"/>
  <c r="FH772"/>
  <c r="FH773"/>
  <c r="FH774"/>
  <c r="FH775"/>
  <c r="FH776"/>
  <c r="FH777"/>
  <c r="FH778"/>
  <c r="FH779"/>
  <c r="FH780"/>
  <c r="FH781"/>
  <c r="FH782"/>
  <c r="FH783"/>
  <c r="FH784"/>
  <c r="FH785"/>
  <c r="FH786"/>
  <c r="FH787"/>
  <c r="FH788"/>
  <c r="FH789"/>
  <c r="FH790"/>
  <c r="FH791"/>
  <c r="FH792"/>
  <c r="FH793"/>
  <c r="FH794"/>
  <c r="FH795"/>
  <c r="FH796"/>
  <c r="FH797"/>
  <c r="FH798"/>
  <c r="FH799"/>
  <c r="FH800"/>
  <c r="FH801"/>
  <c r="FH802"/>
  <c r="FH803"/>
  <c r="FH804"/>
  <c r="FH805"/>
  <c r="FH806"/>
  <c r="FH807"/>
  <c r="FH808"/>
  <c r="FH809"/>
  <c r="FH810"/>
  <c r="FH811"/>
  <c r="FH812"/>
  <c r="FH813"/>
  <c r="FH814"/>
  <c r="FH815"/>
  <c r="FH816"/>
  <c r="FH817"/>
  <c r="FH818"/>
  <c r="FH819"/>
  <c r="FH820"/>
  <c r="FH821"/>
  <c r="FH822"/>
  <c r="FH823"/>
  <c r="FH824"/>
  <c r="FH825"/>
  <c r="FH826"/>
  <c r="FH827"/>
  <c r="FH828"/>
  <c r="FH829"/>
  <c r="FH830"/>
  <c r="FH831"/>
  <c r="FH832"/>
  <c r="FH833"/>
  <c r="FH834"/>
  <c r="FH835"/>
  <c r="FH836"/>
  <c r="FH837"/>
  <c r="FH838"/>
  <c r="FH839"/>
  <c r="FH840"/>
  <c r="FH841"/>
  <c r="FH842"/>
  <c r="FH843"/>
  <c r="FH844"/>
  <c r="FH845"/>
  <c r="FH846"/>
  <c r="FH847"/>
  <c r="FH848"/>
  <c r="FH849"/>
  <c r="FH850"/>
  <c r="FH851"/>
  <c r="FH852"/>
  <c r="FH853"/>
  <c r="FH854"/>
  <c r="FH855"/>
  <c r="FH856"/>
  <c r="FH857"/>
  <c r="FH858"/>
  <c r="FH859"/>
  <c r="FH860"/>
  <c r="FH861"/>
  <c r="FH862"/>
  <c r="FH863"/>
  <c r="FH864"/>
  <c r="FH865"/>
  <c r="FH866"/>
  <c r="FH867"/>
  <c r="FH868"/>
  <c r="FH869"/>
  <c r="FH870"/>
  <c r="FH871"/>
  <c r="FH872"/>
  <c r="FH873"/>
  <c r="FH874"/>
  <c r="FH875"/>
  <c r="FH876"/>
  <c r="FH877"/>
  <c r="FH878"/>
  <c r="FH879"/>
  <c r="FH880"/>
  <c r="FH881"/>
  <c r="FH882"/>
  <c r="FH883"/>
  <c r="FH884"/>
  <c r="FH885"/>
  <c r="FH886"/>
  <c r="FH887"/>
  <c r="FH888"/>
  <c r="FH889"/>
  <c r="FH890"/>
  <c r="FH891"/>
  <c r="FH892"/>
  <c r="FH893"/>
  <c r="FH894"/>
  <c r="FH895"/>
  <c r="FH896"/>
  <c r="FH897"/>
  <c r="FH898"/>
  <c r="FH899"/>
  <c r="FH900"/>
  <c r="FH901"/>
  <c r="FH902"/>
  <c r="FH903"/>
  <c r="FH904"/>
  <c r="FH905"/>
  <c r="FH906"/>
  <c r="FH907"/>
  <c r="FH908"/>
  <c r="FH909"/>
  <c r="FH910"/>
  <c r="FH911"/>
  <c r="FH912"/>
  <c r="FH913"/>
  <c r="FH914"/>
  <c r="FH915"/>
  <c r="FH916"/>
  <c r="FH917"/>
  <c r="FH918"/>
  <c r="FH919"/>
  <c r="FH920"/>
  <c r="FH921"/>
  <c r="FH922"/>
  <c r="FH923"/>
  <c r="FH924"/>
  <c r="FH925"/>
  <c r="FH926"/>
  <c r="FH927"/>
  <c r="FH928"/>
  <c r="FH929"/>
  <c r="FH930"/>
  <c r="FH931"/>
  <c r="FH932"/>
  <c r="FH933"/>
  <c r="FH934"/>
  <c r="FH935"/>
  <c r="FH936"/>
  <c r="FH937"/>
  <c r="FH938"/>
  <c r="FH939"/>
  <c r="FH940"/>
  <c r="FH941"/>
  <c r="FH942"/>
  <c r="FH943"/>
  <c r="FH944"/>
  <c r="FH945"/>
  <c r="FH946"/>
  <c r="FH947"/>
  <c r="FH948"/>
  <c r="FH949"/>
  <c r="FH950"/>
  <c r="FH951"/>
  <c r="FH952"/>
  <c r="FH953"/>
  <c r="FH954"/>
  <c r="FH955"/>
  <c r="FH956"/>
  <c r="FH957"/>
  <c r="FH958"/>
  <c r="FH959"/>
  <c r="FH960"/>
  <c r="FH961"/>
  <c r="FH962"/>
  <c r="FH963"/>
  <c r="FH964"/>
  <c r="FH965"/>
  <c r="FH966"/>
  <c r="FH967"/>
  <c r="FH968"/>
  <c r="FH969"/>
  <c r="FH970"/>
  <c r="FH971"/>
  <c r="FH972"/>
  <c r="FH973"/>
  <c r="FH974"/>
  <c r="FH975"/>
  <c r="FH976"/>
  <c r="FH977"/>
  <c r="FH978"/>
  <c r="FH979"/>
  <c r="FH980"/>
  <c r="FH981"/>
  <c r="FH982"/>
  <c r="FH983"/>
  <c r="FH984"/>
  <c r="FH985"/>
  <c r="FH986"/>
  <c r="FH987"/>
  <c r="FH988"/>
  <c r="FH989"/>
  <c r="FH990"/>
  <c r="FH991"/>
  <c r="FH992"/>
  <c r="FH993"/>
  <c r="FH994"/>
  <c r="FH995"/>
  <c r="FH996"/>
  <c r="FH997"/>
  <c r="FH998"/>
  <c r="FH999"/>
  <c r="FH1000"/>
  <c r="FH1001"/>
  <c r="FH1002"/>
  <c r="FH1003"/>
  <c r="FH1004"/>
  <c r="FH1005"/>
  <c r="FH1006"/>
  <c r="FH1007"/>
  <c r="FH1008"/>
  <c r="FH50"/>
  <c r="FH51"/>
  <c r="FH52"/>
  <c r="FH53"/>
  <c r="FH54"/>
  <c r="FH55"/>
  <c r="FH56"/>
  <c r="FH57"/>
  <c r="FH58"/>
  <c r="FH59"/>
  <c r="FH60"/>
  <c r="FH61"/>
  <c r="FH62"/>
  <c r="FH63"/>
  <c r="FH64"/>
  <c r="FH65"/>
  <c r="FH66"/>
  <c r="FH67"/>
  <c r="FH68"/>
  <c r="FH69"/>
  <c r="FH70"/>
  <c r="FH71"/>
  <c r="FH72"/>
  <c r="FH73"/>
  <c r="FH74"/>
  <c r="FH75"/>
  <c r="FH76"/>
  <c r="FH77"/>
  <c r="FH78"/>
  <c r="FH79"/>
  <c r="FH80"/>
  <c r="FH81"/>
  <c r="FH82"/>
  <c r="FH83"/>
  <c r="FH84"/>
  <c r="FH85"/>
  <c r="FH86"/>
  <c r="FH87"/>
  <c r="FH88"/>
  <c r="FH89"/>
  <c r="FH90"/>
  <c r="FH91"/>
  <c r="FH92"/>
  <c r="FH93"/>
  <c r="FH94"/>
  <c r="FH95"/>
  <c r="FH96"/>
  <c r="FH97"/>
  <c r="FH98"/>
  <c r="FH99"/>
  <c r="FH100"/>
  <c r="FH101"/>
  <c r="FH102"/>
  <c r="FH103"/>
  <c r="FH104"/>
  <c r="FH105"/>
  <c r="FH106"/>
  <c r="FH107"/>
  <c r="FH108"/>
  <c r="FH109"/>
  <c r="FH110"/>
  <c r="FH111"/>
  <c r="FH112"/>
  <c r="FH113"/>
  <c r="FH114"/>
  <c r="FH115"/>
  <c r="FH116"/>
  <c r="FH117"/>
  <c r="FH118"/>
  <c r="FH119"/>
  <c r="FH120"/>
  <c r="FH121"/>
  <c r="FH122"/>
  <c r="FH123"/>
  <c r="FH124"/>
  <c r="FH125"/>
  <c r="FH126"/>
  <c r="FH127"/>
  <c r="FH128"/>
  <c r="FH129"/>
  <c r="FH130"/>
  <c r="FH131"/>
  <c r="FH132"/>
  <c r="FH133"/>
  <c r="FH134"/>
  <c r="FH135"/>
  <c r="FH136"/>
  <c r="FH137"/>
  <c r="FH138"/>
  <c r="FH139"/>
  <c r="FH140"/>
  <c r="FH141"/>
  <c r="FH142"/>
  <c r="FH143"/>
  <c r="FH144"/>
  <c r="FH145"/>
  <c r="FH146"/>
  <c r="FH147"/>
  <c r="FH148"/>
  <c r="FH149"/>
  <c r="FH150"/>
  <c r="FH151"/>
  <c r="FH152"/>
  <c r="FH153"/>
  <c r="FH154"/>
  <c r="FH33"/>
  <c r="FH34"/>
  <c r="FH35"/>
  <c r="FH36"/>
  <c r="FH37"/>
  <c r="FH38"/>
  <c r="FH39"/>
  <c r="FH40"/>
  <c r="FH41"/>
  <c r="FH42"/>
  <c r="FH43"/>
  <c r="FH44"/>
  <c r="FH45"/>
  <c r="FH46"/>
  <c r="FH47"/>
  <c r="FH48"/>
  <c r="FH49"/>
  <c r="FH9"/>
  <c r="EX6"/>
  <c r="ES7"/>
  <c r="FL7"/>
  <c r="BB6"/>
  <c r="EV6" s="1"/>
  <c r="E49"/>
  <c r="E47"/>
  <c r="Y47"/>
  <c r="Y49"/>
  <c r="K33"/>
  <c r="AL28"/>
  <c r="AI7"/>
  <c r="AL27"/>
  <c r="W14"/>
  <c r="W39"/>
  <c r="AL26"/>
  <c r="W11"/>
  <c r="AL25"/>
  <c r="K21"/>
  <c r="W38"/>
  <c r="AI41"/>
  <c r="AF28"/>
  <c r="AI17"/>
  <c r="W13"/>
  <c r="AI32"/>
  <c r="AF27"/>
  <c r="AI10"/>
  <c r="W8"/>
  <c r="W33"/>
  <c r="W41"/>
  <c r="K36"/>
  <c r="W27"/>
  <c r="AI13"/>
  <c r="AI6"/>
  <c r="K39"/>
  <c r="W28"/>
  <c r="AI8"/>
  <c r="K22"/>
  <c r="W36"/>
  <c r="K34"/>
  <c r="AI11"/>
  <c r="K37"/>
  <c r="AI15"/>
  <c r="W35"/>
  <c r="AL30"/>
  <c r="AI16"/>
  <c r="AL29"/>
  <c r="W12"/>
  <c r="AI35"/>
  <c r="K29"/>
  <c r="AI36"/>
  <c r="L30"/>
  <c r="W26"/>
  <c r="W32"/>
  <c r="AI9"/>
  <c r="K35"/>
  <c r="AI12"/>
  <c r="W34"/>
  <c r="W6"/>
  <c r="K38"/>
  <c r="W25"/>
  <c r="AK14"/>
  <c r="K6"/>
  <c r="K32"/>
  <c r="K26"/>
  <c r="W15"/>
  <c r="W18"/>
  <c r="W37"/>
  <c r="AI37"/>
  <c r="AF30"/>
  <c r="K25"/>
  <c r="W16"/>
  <c r="AI38"/>
  <c r="AF29"/>
  <c r="AI18"/>
  <c r="W7"/>
  <c r="Q30"/>
  <c r="W40"/>
  <c r="AF26"/>
  <c r="W9"/>
  <c r="AF25"/>
  <c r="K23"/>
  <c r="AI33"/>
  <c r="K27"/>
  <c r="AI34"/>
  <c r="K28"/>
  <c r="AI39"/>
  <c r="AI40"/>
  <c r="W17"/>
  <c r="AK53"/>
  <c r="AC52"/>
  <c r="Q53"/>
  <c r="I47"/>
  <c r="I49"/>
  <c r="M46"/>
  <c r="M45"/>
  <c r="U49"/>
  <c r="AG54"/>
  <c r="Y52"/>
  <c r="M53"/>
  <c r="AK47"/>
  <c r="I46"/>
  <c r="M49"/>
  <c r="AC53"/>
  <c r="U52"/>
  <c r="I53"/>
  <c r="AC47"/>
  <c r="Q46"/>
  <c r="AG48"/>
  <c r="Q47"/>
  <c r="AC49"/>
  <c r="AK54"/>
  <c r="Y54"/>
  <c r="Q52"/>
  <c r="FL8"/>
  <c r="AC48"/>
  <c r="Q45"/>
  <c r="U45"/>
  <c r="AG47"/>
  <c r="AG53"/>
  <c r="U54"/>
  <c r="M52"/>
  <c r="AG46"/>
  <c r="U48"/>
  <c r="AK45"/>
  <c r="U46"/>
  <c r="AK46"/>
  <c r="ES8"/>
  <c r="AC54"/>
  <c r="Q54"/>
  <c r="I52"/>
  <c r="AG45"/>
  <c r="M48"/>
  <c r="AK52"/>
  <c r="Y53"/>
  <c r="M54"/>
  <c r="AK48"/>
  <c r="I45"/>
  <c r="AK49"/>
  <c r="I48"/>
  <c r="M47"/>
  <c r="Q48"/>
  <c r="AG52"/>
  <c r="U53"/>
  <c r="I54"/>
  <c r="AG49"/>
  <c r="U47"/>
  <c r="Q49"/>
  <c r="FJ151" l="1"/>
  <c r="FK151"/>
  <c r="FJ147"/>
  <c r="FK147"/>
  <c r="FJ143"/>
  <c r="FK143"/>
  <c r="FJ139"/>
  <c r="FK139"/>
  <c r="FJ135"/>
  <c r="FK135"/>
  <c r="FJ129"/>
  <c r="FK129"/>
  <c r="FJ125"/>
  <c r="FK125"/>
  <c r="FJ154"/>
  <c r="FK154"/>
  <c r="FJ152"/>
  <c r="FK152"/>
  <c r="FJ150"/>
  <c r="FK150"/>
  <c r="FJ148"/>
  <c r="FK148"/>
  <c r="FJ146"/>
  <c r="FK146"/>
  <c r="FJ144"/>
  <c r="FK144"/>
  <c r="FJ142"/>
  <c r="FK142"/>
  <c r="FJ140"/>
  <c r="FK140"/>
  <c r="FJ138"/>
  <c r="FK138"/>
  <c r="FJ136"/>
  <c r="FK136"/>
  <c r="FJ134"/>
  <c r="FK134"/>
  <c r="FJ132"/>
  <c r="FK132"/>
  <c r="FJ130"/>
  <c r="FK130"/>
  <c r="FJ128"/>
  <c r="FK128"/>
  <c r="FJ126"/>
  <c r="FK126"/>
  <c r="FJ124"/>
  <c r="FK124"/>
  <c r="FJ122"/>
  <c r="FK122"/>
  <c r="FJ120"/>
  <c r="FK120"/>
  <c r="FJ118"/>
  <c r="FK118"/>
  <c r="FJ116"/>
  <c r="FK116"/>
  <c r="FJ114"/>
  <c r="FK114"/>
  <c r="FJ112"/>
  <c r="FK112"/>
  <c r="FJ110"/>
  <c r="FK110"/>
  <c r="FJ1007"/>
  <c r="FK1007"/>
  <c r="FJ1005"/>
  <c r="FK1005"/>
  <c r="FJ1003"/>
  <c r="FK1003"/>
  <c r="FJ1001"/>
  <c r="FK1001"/>
  <c r="FJ999"/>
  <c r="FK999"/>
  <c r="FJ997"/>
  <c r="FK997"/>
  <c r="FJ995"/>
  <c r="FK995"/>
  <c r="FJ993"/>
  <c r="FK993"/>
  <c r="FJ991"/>
  <c r="FK991"/>
  <c r="FJ989"/>
  <c r="FK989"/>
  <c r="FJ987"/>
  <c r="FK987"/>
  <c r="FJ985"/>
  <c r="FK985"/>
  <c r="FJ983"/>
  <c r="FK983"/>
  <c r="FJ981"/>
  <c r="FK981"/>
  <c r="FJ979"/>
  <c r="FK979"/>
  <c r="FJ977"/>
  <c r="FK977"/>
  <c r="FJ975"/>
  <c r="FK975"/>
  <c r="FJ973"/>
  <c r="FK973"/>
  <c r="FJ971"/>
  <c r="FK971"/>
  <c r="FJ969"/>
  <c r="FK969"/>
  <c r="FJ967"/>
  <c r="FK967"/>
  <c r="FJ965"/>
  <c r="FK965"/>
  <c r="FJ963"/>
  <c r="FK963"/>
  <c r="FJ961"/>
  <c r="FK961"/>
  <c r="FJ959"/>
  <c r="FK959"/>
  <c r="FJ957"/>
  <c r="FK957"/>
  <c r="FJ955"/>
  <c r="FK955"/>
  <c r="FJ953"/>
  <c r="FK953"/>
  <c r="FJ951"/>
  <c r="FK951"/>
  <c r="FJ949"/>
  <c r="FK949"/>
  <c r="FJ947"/>
  <c r="FK947"/>
  <c r="FJ945"/>
  <c r="FK945"/>
  <c r="FJ943"/>
  <c r="FK943"/>
  <c r="FJ941"/>
  <c r="FK941"/>
  <c r="FJ939"/>
  <c r="FK939"/>
  <c r="FJ937"/>
  <c r="FK937"/>
  <c r="FJ935"/>
  <c r="FK935"/>
  <c r="FJ933"/>
  <c r="FK933"/>
  <c r="FJ931"/>
  <c r="FK931"/>
  <c r="FJ929"/>
  <c r="FK929"/>
  <c r="FJ927"/>
  <c r="FK927"/>
  <c r="FJ925"/>
  <c r="FK925"/>
  <c r="FJ923"/>
  <c r="FK923"/>
  <c r="FJ921"/>
  <c r="FK921"/>
  <c r="FJ919"/>
  <c r="FK919"/>
  <c r="FJ917"/>
  <c r="FK917"/>
  <c r="FJ915"/>
  <c r="FK915"/>
  <c r="FJ913"/>
  <c r="FK913"/>
  <c r="FJ911"/>
  <c r="FK911"/>
  <c r="FJ909"/>
  <c r="FK909"/>
  <c r="FJ907"/>
  <c r="FK907"/>
  <c r="FJ905"/>
  <c r="FK905"/>
  <c r="FJ903"/>
  <c r="FK903"/>
  <c r="FJ901"/>
  <c r="FK901"/>
  <c r="FJ899"/>
  <c r="FK899"/>
  <c r="FJ897"/>
  <c r="FK897"/>
  <c r="FJ895"/>
  <c r="FK895"/>
  <c r="FJ893"/>
  <c r="FK893"/>
  <c r="FJ891"/>
  <c r="FK891"/>
  <c r="FJ889"/>
  <c r="FK889"/>
  <c r="FJ887"/>
  <c r="FK887"/>
  <c r="FJ885"/>
  <c r="FK885"/>
  <c r="FJ883"/>
  <c r="FK883"/>
  <c r="FJ881"/>
  <c r="FK881"/>
  <c r="FJ879"/>
  <c r="FK879"/>
  <c r="FJ877"/>
  <c r="FK877"/>
  <c r="FJ875"/>
  <c r="FK875"/>
  <c r="FJ873"/>
  <c r="FK873"/>
  <c r="FJ871"/>
  <c r="FK871"/>
  <c r="FJ869"/>
  <c r="FK869"/>
  <c r="FJ867"/>
  <c r="FK867"/>
  <c r="FJ865"/>
  <c r="FK865"/>
  <c r="FJ863"/>
  <c r="FK863"/>
  <c r="FJ861"/>
  <c r="FK861"/>
  <c r="FJ859"/>
  <c r="FK859"/>
  <c r="FJ857"/>
  <c r="FK857"/>
  <c r="FJ855"/>
  <c r="FK855"/>
  <c r="FJ853"/>
  <c r="FK853"/>
  <c r="FJ851"/>
  <c r="FK851"/>
  <c r="FJ849"/>
  <c r="FK849"/>
  <c r="FJ847"/>
  <c r="FK847"/>
  <c r="FJ845"/>
  <c r="FK845"/>
  <c r="FJ843"/>
  <c r="FK843"/>
  <c r="FJ841"/>
  <c r="FK841"/>
  <c r="FJ839"/>
  <c r="FK839"/>
  <c r="FJ837"/>
  <c r="FK837"/>
  <c r="FJ835"/>
  <c r="FK835"/>
  <c r="FJ833"/>
  <c r="FK833"/>
  <c r="FJ831"/>
  <c r="FK831"/>
  <c r="FJ829"/>
  <c r="FK829"/>
  <c r="FJ827"/>
  <c r="FK827"/>
  <c r="FJ825"/>
  <c r="FK825"/>
  <c r="FJ823"/>
  <c r="FK823"/>
  <c r="FJ821"/>
  <c r="FK821"/>
  <c r="FJ819"/>
  <c r="FK819"/>
  <c r="FJ817"/>
  <c r="FK817"/>
  <c r="FJ815"/>
  <c r="FK815"/>
  <c r="FJ813"/>
  <c r="FK813"/>
  <c r="FJ811"/>
  <c r="FK811"/>
  <c r="FJ809"/>
  <c r="FK809"/>
  <c r="FJ807"/>
  <c r="FK807"/>
  <c r="FJ805"/>
  <c r="FK805"/>
  <c r="FJ803"/>
  <c r="FK803"/>
  <c r="FJ801"/>
  <c r="FK801"/>
  <c r="FJ799"/>
  <c r="FK799"/>
  <c r="FJ797"/>
  <c r="FK797"/>
  <c r="FJ795"/>
  <c r="FK795"/>
  <c r="FJ793"/>
  <c r="FK793"/>
  <c r="FJ791"/>
  <c r="FK791"/>
  <c r="FJ789"/>
  <c r="FK789"/>
  <c r="FJ787"/>
  <c r="FK787"/>
  <c r="FJ785"/>
  <c r="FK785"/>
  <c r="FJ783"/>
  <c r="FK783"/>
  <c r="FJ781"/>
  <c r="FK781"/>
  <c r="FJ779"/>
  <c r="FK779"/>
  <c r="FJ777"/>
  <c r="FK777"/>
  <c r="FJ775"/>
  <c r="FK775"/>
  <c r="FJ773"/>
  <c r="FK773"/>
  <c r="FJ771"/>
  <c r="FK771"/>
  <c r="FJ769"/>
  <c r="FK769"/>
  <c r="FJ767"/>
  <c r="FK767"/>
  <c r="FJ765"/>
  <c r="FK765"/>
  <c r="FJ763"/>
  <c r="FK763"/>
  <c r="FJ761"/>
  <c r="FK761"/>
  <c r="FJ759"/>
  <c r="FK759"/>
  <c r="FJ757"/>
  <c r="FK757"/>
  <c r="FJ755"/>
  <c r="FK755"/>
  <c r="FJ753"/>
  <c r="FK753"/>
  <c r="FJ751"/>
  <c r="FK751"/>
  <c r="FJ749"/>
  <c r="FK749"/>
  <c r="FJ747"/>
  <c r="FK747"/>
  <c r="FJ745"/>
  <c r="FK745"/>
  <c r="FJ743"/>
  <c r="FK743"/>
  <c r="FJ741"/>
  <c r="FK741"/>
  <c r="FJ739"/>
  <c r="FK739"/>
  <c r="FJ737"/>
  <c r="FK737"/>
  <c r="FJ735"/>
  <c r="FK735"/>
  <c r="FJ733"/>
  <c r="FK733"/>
  <c r="FJ731"/>
  <c r="FK731"/>
  <c r="FJ729"/>
  <c r="FK729"/>
  <c r="FJ727"/>
  <c r="FK727"/>
  <c r="FJ725"/>
  <c r="FK725"/>
  <c r="FJ723"/>
  <c r="FK723"/>
  <c r="FJ721"/>
  <c r="FK721"/>
  <c r="FJ719"/>
  <c r="FK719"/>
  <c r="FJ717"/>
  <c r="FK717"/>
  <c r="FJ715"/>
  <c r="FK715"/>
  <c r="FJ713"/>
  <c r="FK713"/>
  <c r="FJ711"/>
  <c r="FK711"/>
  <c r="FJ709"/>
  <c r="FK709"/>
  <c r="FJ707"/>
  <c r="FK707"/>
  <c r="FJ705"/>
  <c r="FK705"/>
  <c r="FJ703"/>
  <c r="FK703"/>
  <c r="FJ701"/>
  <c r="FK701"/>
  <c r="FJ699"/>
  <c r="FK699"/>
  <c r="FJ697"/>
  <c r="FK697"/>
  <c r="FJ695"/>
  <c r="FK695"/>
  <c r="FJ693"/>
  <c r="FK693"/>
  <c r="FJ691"/>
  <c r="FK691"/>
  <c r="FJ689"/>
  <c r="FK689"/>
  <c r="FJ687"/>
  <c r="FK687"/>
  <c r="FJ685"/>
  <c r="FK685"/>
  <c r="FJ683"/>
  <c r="FK683"/>
  <c r="FJ681"/>
  <c r="FK681"/>
  <c r="FJ679"/>
  <c r="FK679"/>
  <c r="FJ677"/>
  <c r="FK677"/>
  <c r="FJ675"/>
  <c r="FK675"/>
  <c r="FJ673"/>
  <c r="FK673"/>
  <c r="FJ671"/>
  <c r="FK671"/>
  <c r="FJ669"/>
  <c r="FK669"/>
  <c r="FJ667"/>
  <c r="FK667"/>
  <c r="FJ665"/>
  <c r="FK665"/>
  <c r="FJ663"/>
  <c r="FK663"/>
  <c r="FJ661"/>
  <c r="FK661"/>
  <c r="FJ659"/>
  <c r="FK659"/>
  <c r="FJ657"/>
  <c r="FK657"/>
  <c r="FJ655"/>
  <c r="FK655"/>
  <c r="FJ653"/>
  <c r="FK653"/>
  <c r="FJ651"/>
  <c r="FK651"/>
  <c r="FJ649"/>
  <c r="FK649"/>
  <c r="FJ647"/>
  <c r="FK647"/>
  <c r="FJ645"/>
  <c r="FK645"/>
  <c r="FJ643"/>
  <c r="FK643"/>
  <c r="FJ641"/>
  <c r="FK641"/>
  <c r="FJ639"/>
  <c r="FK639"/>
  <c r="FJ637"/>
  <c r="FK637"/>
  <c r="FJ635"/>
  <c r="FK635"/>
  <c r="FJ633"/>
  <c r="FK633"/>
  <c r="FJ631"/>
  <c r="FK631"/>
  <c r="FJ629"/>
  <c r="FK629"/>
  <c r="FJ627"/>
  <c r="FK627"/>
  <c r="FJ625"/>
  <c r="FK625"/>
  <c r="FJ623"/>
  <c r="FK623"/>
  <c r="FJ621"/>
  <c r="FK621"/>
  <c r="FJ619"/>
  <c r="FK619"/>
  <c r="FJ617"/>
  <c r="FK617"/>
  <c r="FJ615"/>
  <c r="FK615"/>
  <c r="FJ613"/>
  <c r="FK613"/>
  <c r="FJ611"/>
  <c r="FK611"/>
  <c r="FJ609"/>
  <c r="FK609"/>
  <c r="FJ607"/>
  <c r="FK607"/>
  <c r="FJ605"/>
  <c r="FK605"/>
  <c r="FJ603"/>
  <c r="FK603"/>
  <c r="FJ601"/>
  <c r="FK601"/>
  <c r="FJ599"/>
  <c r="FK599"/>
  <c r="FJ597"/>
  <c r="FK597"/>
  <c r="FJ595"/>
  <c r="FK595"/>
  <c r="FJ593"/>
  <c r="FK593"/>
  <c r="FJ591"/>
  <c r="FK591"/>
  <c r="FJ589"/>
  <c r="FK589"/>
  <c r="FJ587"/>
  <c r="FK587"/>
  <c r="FJ585"/>
  <c r="FK585"/>
  <c r="FJ583"/>
  <c r="FK583"/>
  <c r="FJ581"/>
  <c r="FK581"/>
  <c r="FJ579"/>
  <c r="FK579"/>
  <c r="FJ577"/>
  <c r="FK577"/>
  <c r="FJ575"/>
  <c r="FK575"/>
  <c r="FJ573"/>
  <c r="FK573"/>
  <c r="FJ571"/>
  <c r="FK571"/>
  <c r="FJ569"/>
  <c r="FK569"/>
  <c r="FJ567"/>
  <c r="FK567"/>
  <c r="FJ565"/>
  <c r="FK565"/>
  <c r="FJ563"/>
  <c r="FK563"/>
  <c r="FJ561"/>
  <c r="FK561"/>
  <c r="FJ559"/>
  <c r="FK559"/>
  <c r="FJ557"/>
  <c r="FK557"/>
  <c r="FJ555"/>
  <c r="FK555"/>
  <c r="FJ553"/>
  <c r="FK553"/>
  <c r="FJ551"/>
  <c r="FK551"/>
  <c r="FJ549"/>
  <c r="FK549"/>
  <c r="FJ547"/>
  <c r="FK547"/>
  <c r="FJ545"/>
  <c r="FK545"/>
  <c r="FJ543"/>
  <c r="FK543"/>
  <c r="FJ541"/>
  <c r="FK541"/>
  <c r="FJ539"/>
  <c r="FK539"/>
  <c r="FJ537"/>
  <c r="FK537"/>
  <c r="FJ535"/>
  <c r="FK535"/>
  <c r="FJ533"/>
  <c r="FK533"/>
  <c r="FJ531"/>
  <c r="FK531"/>
  <c r="FJ529"/>
  <c r="FK529"/>
  <c r="FJ527"/>
  <c r="FK527"/>
  <c r="FJ525"/>
  <c r="FK525"/>
  <c r="FJ523"/>
  <c r="FK523"/>
  <c r="FJ521"/>
  <c r="FK521"/>
  <c r="FJ519"/>
  <c r="FK519"/>
  <c r="FJ517"/>
  <c r="FK517"/>
  <c r="FJ515"/>
  <c r="FK515"/>
  <c r="FJ513"/>
  <c r="FK513"/>
  <c r="FJ511"/>
  <c r="FK511"/>
  <c r="FJ509"/>
  <c r="FK509"/>
  <c r="FJ507"/>
  <c r="FK507"/>
  <c r="FJ505"/>
  <c r="FK505"/>
  <c r="FJ503"/>
  <c r="FK503"/>
  <c r="FJ501"/>
  <c r="FK501"/>
  <c r="FJ499"/>
  <c r="FK499"/>
  <c r="FJ497"/>
  <c r="FK497"/>
  <c r="FJ495"/>
  <c r="FK495"/>
  <c r="FJ493"/>
  <c r="FK493"/>
  <c r="FJ491"/>
  <c r="FK491"/>
  <c r="FJ489"/>
  <c r="FK489"/>
  <c r="FJ487"/>
  <c r="FK487"/>
  <c r="FJ485"/>
  <c r="FK485"/>
  <c r="FJ483"/>
  <c r="FK483"/>
  <c r="FJ481"/>
  <c r="FK481"/>
  <c r="FJ479"/>
  <c r="FK479"/>
  <c r="FJ477"/>
  <c r="FK477"/>
  <c r="FJ475"/>
  <c r="FK475"/>
  <c r="FJ473"/>
  <c r="FK473"/>
  <c r="FJ471"/>
  <c r="FK471"/>
  <c r="FJ469"/>
  <c r="FK469"/>
  <c r="FJ467"/>
  <c r="FK467"/>
  <c r="FJ465"/>
  <c r="FK465"/>
  <c r="FJ463"/>
  <c r="FK463"/>
  <c r="FJ461"/>
  <c r="FK461"/>
  <c r="FJ459"/>
  <c r="FK459"/>
  <c r="FJ457"/>
  <c r="FK457"/>
  <c r="FJ455"/>
  <c r="FK455"/>
  <c r="FJ453"/>
  <c r="FK453"/>
  <c r="FJ451"/>
  <c r="FK451"/>
  <c r="FJ449"/>
  <c r="FK449"/>
  <c r="FJ447"/>
  <c r="FK447"/>
  <c r="FJ445"/>
  <c r="FK445"/>
  <c r="FJ443"/>
  <c r="FK443"/>
  <c r="FJ441"/>
  <c r="FK441"/>
  <c r="FJ439"/>
  <c r="FK439"/>
  <c r="FJ437"/>
  <c r="FK437"/>
  <c r="FJ435"/>
  <c r="FK435"/>
  <c r="FJ433"/>
  <c r="FK433"/>
  <c r="FJ431"/>
  <c r="FK431"/>
  <c r="FJ429"/>
  <c r="FK429"/>
  <c r="FJ427"/>
  <c r="FK427"/>
  <c r="FJ425"/>
  <c r="FK425"/>
  <c r="FJ423"/>
  <c r="FK423"/>
  <c r="FJ421"/>
  <c r="FK421"/>
  <c r="FJ419"/>
  <c r="FK419"/>
  <c r="FJ153"/>
  <c r="FK153"/>
  <c r="FJ149"/>
  <c r="FK149"/>
  <c r="FJ145"/>
  <c r="FK145"/>
  <c r="FJ141"/>
  <c r="FK141"/>
  <c r="FJ137"/>
  <c r="FK137"/>
  <c r="FJ133"/>
  <c r="FK133"/>
  <c r="FJ131"/>
  <c r="FK131"/>
  <c r="FJ127"/>
  <c r="FK127"/>
  <c r="FJ123"/>
  <c r="FK123"/>
  <c r="FJ121"/>
  <c r="FK121"/>
  <c r="FJ119"/>
  <c r="FK119"/>
  <c r="FJ117"/>
  <c r="FK117"/>
  <c r="FJ115"/>
  <c r="FK115"/>
  <c r="FJ113"/>
  <c r="FK113"/>
  <c r="FJ111"/>
  <c r="FK111"/>
  <c r="FJ1008"/>
  <c r="FK1008"/>
  <c r="FJ1006"/>
  <c r="FK1006"/>
  <c r="FJ1004"/>
  <c r="FK1004"/>
  <c r="FJ1002"/>
  <c r="FK1002"/>
  <c r="FJ1000"/>
  <c r="FK1000"/>
  <c r="FJ998"/>
  <c r="FK998"/>
  <c r="FJ996"/>
  <c r="FK996"/>
  <c r="FJ994"/>
  <c r="FK994"/>
  <c r="FJ992"/>
  <c r="FK992"/>
  <c r="FJ990"/>
  <c r="FK990"/>
  <c r="FJ988"/>
  <c r="FK988"/>
  <c r="FJ986"/>
  <c r="FK986"/>
  <c r="FJ984"/>
  <c r="FK984"/>
  <c r="FJ982"/>
  <c r="FK982"/>
  <c r="FJ980"/>
  <c r="FK980"/>
  <c r="FJ978"/>
  <c r="FK978"/>
  <c r="FJ976"/>
  <c r="FK976"/>
  <c r="FJ974"/>
  <c r="FK974"/>
  <c r="FJ972"/>
  <c r="FK972"/>
  <c r="FJ970"/>
  <c r="FK970"/>
  <c r="FJ968"/>
  <c r="FK968"/>
  <c r="FJ966"/>
  <c r="FK966"/>
  <c r="FJ964"/>
  <c r="FK964"/>
  <c r="FJ962"/>
  <c r="FK962"/>
  <c r="FJ960"/>
  <c r="FK960"/>
  <c r="FJ958"/>
  <c r="FK958"/>
  <c r="FJ956"/>
  <c r="FK956"/>
  <c r="FJ954"/>
  <c r="FK954"/>
  <c r="FJ952"/>
  <c r="FK952"/>
  <c r="FJ950"/>
  <c r="FK950"/>
  <c r="FJ948"/>
  <c r="FK948"/>
  <c r="FJ946"/>
  <c r="FK946"/>
  <c r="FJ944"/>
  <c r="FK944"/>
  <c r="FJ942"/>
  <c r="FK942"/>
  <c r="FJ940"/>
  <c r="FK940"/>
  <c r="FJ938"/>
  <c r="FK938"/>
  <c r="FJ936"/>
  <c r="FK936"/>
  <c r="FJ934"/>
  <c r="FK934"/>
  <c r="FJ932"/>
  <c r="FK932"/>
  <c r="FJ930"/>
  <c r="FK930"/>
  <c r="FJ928"/>
  <c r="FK928"/>
  <c r="FJ926"/>
  <c r="FK926"/>
  <c r="FJ924"/>
  <c r="FK924"/>
  <c r="FJ922"/>
  <c r="FK922"/>
  <c r="FJ920"/>
  <c r="FK920"/>
  <c r="FJ918"/>
  <c r="FK918"/>
  <c r="FJ916"/>
  <c r="FK916"/>
  <c r="FJ914"/>
  <c r="FK914"/>
  <c r="FJ912"/>
  <c r="FK912"/>
  <c r="FJ910"/>
  <c r="FK910"/>
  <c r="FJ908"/>
  <c r="FK908"/>
  <c r="FJ906"/>
  <c r="FK906"/>
  <c r="FJ904"/>
  <c r="FK904"/>
  <c r="FJ902"/>
  <c r="FK902"/>
  <c r="FJ900"/>
  <c r="FK900"/>
  <c r="FJ898"/>
  <c r="FK898"/>
  <c r="FJ896"/>
  <c r="FK896"/>
  <c r="FJ894"/>
  <c r="FK894"/>
  <c r="FJ892"/>
  <c r="FK892"/>
  <c r="FJ890"/>
  <c r="FK890"/>
  <c r="FJ888"/>
  <c r="FK888"/>
  <c r="FJ886"/>
  <c r="FK886"/>
  <c r="FJ884"/>
  <c r="FK884"/>
  <c r="FJ882"/>
  <c r="FK882"/>
  <c r="FJ880"/>
  <c r="FK880"/>
  <c r="FJ878"/>
  <c r="FK878"/>
  <c r="FJ876"/>
  <c r="FK876"/>
  <c r="FJ874"/>
  <c r="FK874"/>
  <c r="FJ872"/>
  <c r="FK872"/>
  <c r="FJ870"/>
  <c r="FK870"/>
  <c r="FJ868"/>
  <c r="FK868"/>
  <c r="FJ866"/>
  <c r="FK866"/>
  <c r="FJ864"/>
  <c r="FK864"/>
  <c r="FJ862"/>
  <c r="FK862"/>
  <c r="FJ860"/>
  <c r="FK860"/>
  <c r="FJ858"/>
  <c r="FK858"/>
  <c r="FJ856"/>
  <c r="FK856"/>
  <c r="FJ854"/>
  <c r="FK854"/>
  <c r="FJ852"/>
  <c r="FK852"/>
  <c r="FJ850"/>
  <c r="FK850"/>
  <c r="FJ848"/>
  <c r="FK848"/>
  <c r="FJ846"/>
  <c r="FK846"/>
  <c r="FJ844"/>
  <c r="FK844"/>
  <c r="FJ842"/>
  <c r="FK842"/>
  <c r="FJ840"/>
  <c r="FK840"/>
  <c r="FJ838"/>
  <c r="FK838"/>
  <c r="FJ836"/>
  <c r="FK836"/>
  <c r="FJ834"/>
  <c r="FK834"/>
  <c r="FJ832"/>
  <c r="FK832"/>
  <c r="FJ830"/>
  <c r="FK830"/>
  <c r="FJ828"/>
  <c r="FK828"/>
  <c r="FJ826"/>
  <c r="FK826"/>
  <c r="FJ824"/>
  <c r="FK824"/>
  <c r="FJ822"/>
  <c r="FK822"/>
  <c r="FJ820"/>
  <c r="FK820"/>
  <c r="FJ818"/>
  <c r="FK818"/>
  <c r="FJ816"/>
  <c r="FK816"/>
  <c r="FJ814"/>
  <c r="FK814"/>
  <c r="FJ812"/>
  <c r="FK812"/>
  <c r="FJ810"/>
  <c r="FK810"/>
  <c r="FJ808"/>
  <c r="FK808"/>
  <c r="FJ806"/>
  <c r="FK806"/>
  <c r="FJ804"/>
  <c r="FK804"/>
  <c r="FJ802"/>
  <c r="FK802"/>
  <c r="FJ800"/>
  <c r="FK800"/>
  <c r="FJ798"/>
  <c r="FK798"/>
  <c r="FJ796"/>
  <c r="FK796"/>
  <c r="FJ794"/>
  <c r="FK794"/>
  <c r="FJ792"/>
  <c r="FK792"/>
  <c r="FJ790"/>
  <c r="FK790"/>
  <c r="FJ788"/>
  <c r="FK788"/>
  <c r="FJ786"/>
  <c r="FK786"/>
  <c r="FJ784"/>
  <c r="FK784"/>
  <c r="FJ782"/>
  <c r="FK782"/>
  <c r="FJ780"/>
  <c r="FK780"/>
  <c r="FJ778"/>
  <c r="FK778"/>
  <c r="FJ776"/>
  <c r="FK776"/>
  <c r="FJ774"/>
  <c r="FK774"/>
  <c r="FJ772"/>
  <c r="FK772"/>
  <c r="FJ770"/>
  <c r="FK770"/>
  <c r="FJ768"/>
  <c r="FK768"/>
  <c r="FJ766"/>
  <c r="FK766"/>
  <c r="FJ764"/>
  <c r="FK764"/>
  <c r="FJ762"/>
  <c r="FK762"/>
  <c r="FJ760"/>
  <c r="FK760"/>
  <c r="FJ758"/>
  <c r="FK758"/>
  <c r="FJ756"/>
  <c r="FK756"/>
  <c r="FJ754"/>
  <c r="FK754"/>
  <c r="FJ752"/>
  <c r="FK752"/>
  <c r="FJ750"/>
  <c r="FK750"/>
  <c r="FJ748"/>
  <c r="FK748"/>
  <c r="FJ746"/>
  <c r="FK746"/>
  <c r="FJ744"/>
  <c r="FK744"/>
  <c r="FJ742"/>
  <c r="FK742"/>
  <c r="FJ740"/>
  <c r="FK740"/>
  <c r="FJ738"/>
  <c r="FK738"/>
  <c r="FJ736"/>
  <c r="FK736"/>
  <c r="FJ734"/>
  <c r="FK734"/>
  <c r="FJ732"/>
  <c r="FK732"/>
  <c r="FJ730"/>
  <c r="FK730"/>
  <c r="FJ728"/>
  <c r="FK728"/>
  <c r="FJ726"/>
  <c r="FK726"/>
  <c r="FJ724"/>
  <c r="FK724"/>
  <c r="FJ722"/>
  <c r="FK722"/>
  <c r="FJ720"/>
  <c r="FK720"/>
  <c r="FJ718"/>
  <c r="FK718"/>
  <c r="FJ716"/>
  <c r="FK716"/>
  <c r="FJ714"/>
  <c r="FK714"/>
  <c r="FJ712"/>
  <c r="FK712"/>
  <c r="FJ710"/>
  <c r="FK710"/>
  <c r="FJ708"/>
  <c r="FK708"/>
  <c r="FJ706"/>
  <c r="FK706"/>
  <c r="FJ704"/>
  <c r="FK704"/>
  <c r="FJ702"/>
  <c r="FK702"/>
  <c r="FJ700"/>
  <c r="FK700"/>
  <c r="FJ698"/>
  <c r="FK698"/>
  <c r="FJ696"/>
  <c r="FK696"/>
  <c r="FJ694"/>
  <c r="FK694"/>
  <c r="FJ692"/>
  <c r="FK692"/>
  <c r="FJ690"/>
  <c r="FK690"/>
  <c r="FJ688"/>
  <c r="FK688"/>
  <c r="FJ686"/>
  <c r="FK686"/>
  <c r="FJ684"/>
  <c r="FK684"/>
  <c r="FJ682"/>
  <c r="FK682"/>
  <c r="FJ680"/>
  <c r="FK680"/>
  <c r="FJ678"/>
  <c r="FK678"/>
  <c r="FJ676"/>
  <c r="FK676"/>
  <c r="FJ674"/>
  <c r="FK674"/>
  <c r="FJ672"/>
  <c r="FK672"/>
  <c r="FJ670"/>
  <c r="FK670"/>
  <c r="FJ668"/>
  <c r="FK668"/>
  <c r="FJ666"/>
  <c r="FK666"/>
  <c r="FJ664"/>
  <c r="FK664"/>
  <c r="FJ662"/>
  <c r="FK662"/>
  <c r="FJ660"/>
  <c r="FK660"/>
  <c r="FJ658"/>
  <c r="FK658"/>
  <c r="FJ656"/>
  <c r="FK656"/>
  <c r="FJ654"/>
  <c r="FK654"/>
  <c r="FJ652"/>
  <c r="FK652"/>
  <c r="FJ650"/>
  <c r="FK650"/>
  <c r="FJ648"/>
  <c r="FK648"/>
  <c r="FJ646"/>
  <c r="FK646"/>
  <c r="FJ644"/>
  <c r="FK644"/>
  <c r="FJ642"/>
  <c r="FK642"/>
  <c r="FJ640"/>
  <c r="FK640"/>
  <c r="FJ638"/>
  <c r="FK638"/>
  <c r="FJ636"/>
  <c r="FK636"/>
  <c r="FJ634"/>
  <c r="FK634"/>
  <c r="FJ632"/>
  <c r="FK632"/>
  <c r="FJ630"/>
  <c r="FK630"/>
  <c r="FJ628"/>
  <c r="FK628"/>
  <c r="FJ626"/>
  <c r="FK626"/>
  <c r="FJ624"/>
  <c r="FK624"/>
  <c r="FJ622"/>
  <c r="FK622"/>
  <c r="FJ620"/>
  <c r="FK620"/>
  <c r="FJ618"/>
  <c r="FK618"/>
  <c r="FJ616"/>
  <c r="FK616"/>
  <c r="FJ614"/>
  <c r="FK614"/>
  <c r="FJ612"/>
  <c r="FK612"/>
  <c r="FJ610"/>
  <c r="FK610"/>
  <c r="FJ608"/>
  <c r="FK608"/>
  <c r="FJ606"/>
  <c r="FK606"/>
  <c r="FJ604"/>
  <c r="FK604"/>
  <c r="FJ602"/>
  <c r="FK602"/>
  <c r="FJ600"/>
  <c r="FK600"/>
  <c r="FJ598"/>
  <c r="FK598"/>
  <c r="FJ596"/>
  <c r="FK596"/>
  <c r="FJ594"/>
  <c r="FK594"/>
  <c r="FJ592"/>
  <c r="FK592"/>
  <c r="FJ590"/>
  <c r="FK590"/>
  <c r="FJ588"/>
  <c r="FK588"/>
  <c r="FJ586"/>
  <c r="FK586"/>
  <c r="FJ584"/>
  <c r="FK584"/>
  <c r="FJ582"/>
  <c r="FK582"/>
  <c r="FJ580"/>
  <c r="FK580"/>
  <c r="FJ578"/>
  <c r="FK578"/>
  <c r="FJ576"/>
  <c r="FK576"/>
  <c r="FJ574"/>
  <c r="FK574"/>
  <c r="FJ572"/>
  <c r="FK572"/>
  <c r="FJ570"/>
  <c r="FK570"/>
  <c r="FJ568"/>
  <c r="FK568"/>
  <c r="FJ566"/>
  <c r="FK566"/>
  <c r="FJ564"/>
  <c r="FK564"/>
  <c r="FJ562"/>
  <c r="FK562"/>
  <c r="FJ560"/>
  <c r="FK560"/>
  <c r="FJ558"/>
  <c r="FK558"/>
  <c r="FJ556"/>
  <c r="FK556"/>
  <c r="FJ554"/>
  <c r="FK554"/>
  <c r="FJ552"/>
  <c r="FK552"/>
  <c r="FJ550"/>
  <c r="FK550"/>
  <c r="FJ548"/>
  <c r="FK548"/>
  <c r="FJ546"/>
  <c r="FK546"/>
  <c r="FJ544"/>
  <c r="FK544"/>
  <c r="FJ542"/>
  <c r="FK542"/>
  <c r="FJ540"/>
  <c r="FK540"/>
  <c r="FJ538"/>
  <c r="FK538"/>
  <c r="FJ536"/>
  <c r="FK536"/>
  <c r="FJ534"/>
  <c r="FK534"/>
  <c r="FJ532"/>
  <c r="FK532"/>
  <c r="FJ530"/>
  <c r="FK530"/>
  <c r="FJ528"/>
  <c r="FK528"/>
  <c r="FJ526"/>
  <c r="FK526"/>
  <c r="FJ524"/>
  <c r="FK524"/>
  <c r="FJ522"/>
  <c r="FK522"/>
  <c r="FJ520"/>
  <c r="FK520"/>
  <c r="FJ518"/>
  <c r="FK518"/>
  <c r="FJ516"/>
  <c r="FK516"/>
  <c r="FJ514"/>
  <c r="FK514"/>
  <c r="FJ512"/>
  <c r="FK512"/>
  <c r="FJ510"/>
  <c r="FK510"/>
  <c r="FJ508"/>
  <c r="FK508"/>
  <c r="FJ506"/>
  <c r="FK506"/>
  <c r="FJ504"/>
  <c r="FK504"/>
  <c r="FJ502"/>
  <c r="FK502"/>
  <c r="FJ500"/>
  <c r="FK500"/>
  <c r="FJ498"/>
  <c r="FK498"/>
  <c r="FJ496"/>
  <c r="FK496"/>
  <c r="FJ494"/>
  <c r="FK494"/>
  <c r="FJ492"/>
  <c r="FK492"/>
  <c r="FJ490"/>
  <c r="FK490"/>
  <c r="FJ488"/>
  <c r="FK488"/>
  <c r="FJ486"/>
  <c r="FK486"/>
  <c r="FJ484"/>
  <c r="FK484"/>
  <c r="FJ482"/>
  <c r="FK482"/>
  <c r="FJ480"/>
  <c r="FK480"/>
  <c r="FJ478"/>
  <c r="FK478"/>
  <c r="FJ476"/>
  <c r="FK476"/>
  <c r="FJ474"/>
  <c r="FK474"/>
  <c r="FJ472"/>
  <c r="FK472"/>
  <c r="FJ470"/>
  <c r="FK470"/>
  <c r="FJ468"/>
  <c r="FK468"/>
  <c r="FJ466"/>
  <c r="FK466"/>
  <c r="FJ464"/>
  <c r="FK464"/>
  <c r="FJ462"/>
  <c r="FK462"/>
  <c r="FJ460"/>
  <c r="FK460"/>
  <c r="FJ458"/>
  <c r="FK458"/>
  <c r="FJ456"/>
  <c r="FK456"/>
  <c r="FJ454"/>
  <c r="FK454"/>
  <c r="FJ452"/>
  <c r="FK452"/>
  <c r="FJ450"/>
  <c r="FK450"/>
  <c r="FJ448"/>
  <c r="FK448"/>
  <c r="FJ446"/>
  <c r="FK446"/>
  <c r="FJ444"/>
  <c r="FK444"/>
  <c r="FJ442"/>
  <c r="FK442"/>
  <c r="FJ440"/>
  <c r="FK440"/>
  <c r="FJ438"/>
  <c r="FK438"/>
  <c r="FJ436"/>
  <c r="FK436"/>
  <c r="FJ434"/>
  <c r="FK434"/>
  <c r="FJ432"/>
  <c r="FK432"/>
  <c r="FJ430"/>
  <c r="FK430"/>
  <c r="FJ428"/>
  <c r="FK428"/>
  <c r="FJ426"/>
  <c r="FK426"/>
  <c r="FJ424"/>
  <c r="FK424"/>
  <c r="FJ422"/>
  <c r="FK422"/>
  <c r="FJ420"/>
  <c r="FK420"/>
  <c r="FJ418"/>
  <c r="FK418"/>
  <c r="FJ416"/>
  <c r="FK416"/>
  <c r="FJ414"/>
  <c r="FK414"/>
  <c r="FJ412"/>
  <c r="FK412"/>
  <c r="FJ410"/>
  <c r="FK410"/>
  <c r="FJ408"/>
  <c r="FK408"/>
  <c r="FJ406"/>
  <c r="FK406"/>
  <c r="FJ404"/>
  <c r="FK404"/>
  <c r="FJ402"/>
  <c r="FK402"/>
  <c r="FJ400"/>
  <c r="FK400"/>
  <c r="FJ398"/>
  <c r="FK398"/>
  <c r="FJ396"/>
  <c r="FK396"/>
  <c r="FJ394"/>
  <c r="FK394"/>
  <c r="FJ392"/>
  <c r="FK392"/>
  <c r="FJ390"/>
  <c r="FK390"/>
  <c r="FJ388"/>
  <c r="FK388"/>
  <c r="FJ386"/>
  <c r="FK386"/>
  <c r="FJ384"/>
  <c r="FK384"/>
  <c r="FJ382"/>
  <c r="FK382"/>
  <c r="FJ380"/>
  <c r="FK380"/>
  <c r="FJ378"/>
  <c r="FK378"/>
  <c r="FJ376"/>
  <c r="FK376"/>
  <c r="FJ374"/>
  <c r="FK374"/>
  <c r="FJ372"/>
  <c r="FK372"/>
  <c r="FJ370"/>
  <c r="FK370"/>
  <c r="FJ368"/>
  <c r="FK368"/>
  <c r="FJ366"/>
  <c r="FK366"/>
  <c r="FJ364"/>
  <c r="FK364"/>
  <c r="FJ362"/>
  <c r="FK362"/>
  <c r="FJ360"/>
  <c r="FK360"/>
  <c r="FJ358"/>
  <c r="FK358"/>
  <c r="FJ356"/>
  <c r="FK356"/>
  <c r="FJ354"/>
  <c r="FK354"/>
  <c r="FJ352"/>
  <c r="FK352"/>
  <c r="FJ350"/>
  <c r="FK350"/>
  <c r="FJ348"/>
  <c r="FK348"/>
  <c r="FJ346"/>
  <c r="FK346"/>
  <c r="FJ344"/>
  <c r="FK344"/>
  <c r="FJ342"/>
  <c r="FK342"/>
  <c r="FJ340"/>
  <c r="FK340"/>
  <c r="FJ338"/>
  <c r="FK338"/>
  <c r="FJ336"/>
  <c r="FK336"/>
  <c r="FJ334"/>
  <c r="FK334"/>
  <c r="FJ332"/>
  <c r="FK332"/>
  <c r="FJ330"/>
  <c r="FK330"/>
  <c r="FJ328"/>
  <c r="FK328"/>
  <c r="FJ326"/>
  <c r="FK326"/>
  <c r="FJ324"/>
  <c r="FK324"/>
  <c r="FJ322"/>
  <c r="FK322"/>
  <c r="FJ320"/>
  <c r="FK320"/>
  <c r="FJ318"/>
  <c r="FK318"/>
  <c r="FJ316"/>
  <c r="FK316"/>
  <c r="FJ417"/>
  <c r="FK417"/>
  <c r="FJ415"/>
  <c r="FK415"/>
  <c r="FJ413"/>
  <c r="FK413"/>
  <c r="FJ411"/>
  <c r="FK411"/>
  <c r="FJ409"/>
  <c r="FK409"/>
  <c r="FJ407"/>
  <c r="FK407"/>
  <c r="FJ405"/>
  <c r="FK405"/>
  <c r="FJ403"/>
  <c r="FK403"/>
  <c r="FJ401"/>
  <c r="FK401"/>
  <c r="FJ399"/>
  <c r="FK399"/>
  <c r="FJ397"/>
  <c r="FK397"/>
  <c r="FJ395"/>
  <c r="FK395"/>
  <c r="FJ393"/>
  <c r="FK393"/>
  <c r="FJ391"/>
  <c r="FK391"/>
  <c r="FJ389"/>
  <c r="FK389"/>
  <c r="FJ387"/>
  <c r="FK387"/>
  <c r="FJ385"/>
  <c r="FK385"/>
  <c r="FJ383"/>
  <c r="FK383"/>
  <c r="FJ381"/>
  <c r="FK381"/>
  <c r="FJ379"/>
  <c r="FK379"/>
  <c r="FJ377"/>
  <c r="FK377"/>
  <c r="FJ375"/>
  <c r="FK375"/>
  <c r="FJ373"/>
  <c r="FK373"/>
  <c r="FJ371"/>
  <c r="FK371"/>
  <c r="FJ369"/>
  <c r="FK369"/>
  <c r="FJ367"/>
  <c r="FK367"/>
  <c r="FJ365"/>
  <c r="FK365"/>
  <c r="FJ363"/>
  <c r="FK363"/>
  <c r="FJ361"/>
  <c r="FK361"/>
  <c r="FJ359"/>
  <c r="FK359"/>
  <c r="FJ357"/>
  <c r="FK357"/>
  <c r="FJ355"/>
  <c r="FK355"/>
  <c r="FJ353"/>
  <c r="FK353"/>
  <c r="FJ351"/>
  <c r="FK351"/>
  <c r="FJ349"/>
  <c r="FK349"/>
  <c r="FJ347"/>
  <c r="FK347"/>
  <c r="FJ345"/>
  <c r="FK345"/>
  <c r="FJ343"/>
  <c r="FK343"/>
  <c r="FJ341"/>
  <c r="FK341"/>
  <c r="FJ339"/>
  <c r="FK339"/>
  <c r="FJ337"/>
  <c r="FK337"/>
  <c r="FJ335"/>
  <c r="FK335"/>
  <c r="FJ333"/>
  <c r="FK333"/>
  <c r="FJ331"/>
  <c r="FK331"/>
  <c r="FJ329"/>
  <c r="FK329"/>
  <c r="FJ327"/>
  <c r="FK327"/>
  <c r="FJ325"/>
  <c r="FK325"/>
  <c r="FJ323"/>
  <c r="FK323"/>
  <c r="FJ321"/>
  <c r="FK321"/>
  <c r="FJ319"/>
  <c r="FK319"/>
  <c r="FJ317"/>
  <c r="FK317"/>
  <c r="FJ315"/>
  <c r="FK315"/>
  <c r="FJ313"/>
  <c r="FK313"/>
  <c r="FJ311"/>
  <c r="FK311"/>
  <c r="FJ309"/>
  <c r="FK309"/>
  <c r="FJ307"/>
  <c r="FK307"/>
  <c r="FJ305"/>
  <c r="FK305"/>
  <c r="FJ303"/>
  <c r="FK303"/>
  <c r="FJ301"/>
  <c r="FK301"/>
  <c r="FJ299"/>
  <c r="FK299"/>
  <c r="FJ297"/>
  <c r="FK297"/>
  <c r="FJ295"/>
  <c r="FK295"/>
  <c r="FJ293"/>
  <c r="FK293"/>
  <c r="FJ291"/>
  <c r="FK291"/>
  <c r="FJ289"/>
  <c r="FK289"/>
  <c r="FJ287"/>
  <c r="FK287"/>
  <c r="FJ285"/>
  <c r="FK285"/>
  <c r="FJ283"/>
  <c r="FK283"/>
  <c r="FJ281"/>
  <c r="FK281"/>
  <c r="FJ279"/>
  <c r="FK279"/>
  <c r="FJ277"/>
  <c r="FK277"/>
  <c r="FJ275"/>
  <c r="FK275"/>
  <c r="FJ273"/>
  <c r="FK273"/>
  <c r="FJ271"/>
  <c r="FK271"/>
  <c r="FJ269"/>
  <c r="FK269"/>
  <c r="FJ267"/>
  <c r="FK267"/>
  <c r="FJ265"/>
  <c r="FK265"/>
  <c r="FJ263"/>
  <c r="FK263"/>
  <c r="FJ261"/>
  <c r="FK261"/>
  <c r="FJ259"/>
  <c r="FK259"/>
  <c r="FJ257"/>
  <c r="FK257"/>
  <c r="FJ255"/>
  <c r="FK255"/>
  <c r="FJ253"/>
  <c r="FK253"/>
  <c r="FJ251"/>
  <c r="FK251"/>
  <c r="FJ249"/>
  <c r="FK249"/>
  <c r="FJ247"/>
  <c r="FK247"/>
  <c r="FJ245"/>
  <c r="FK245"/>
  <c r="FJ243"/>
  <c r="FK243"/>
  <c r="FJ241"/>
  <c r="FK241"/>
  <c r="FJ239"/>
  <c r="FK239"/>
  <c r="FJ237"/>
  <c r="FK237"/>
  <c r="FJ235"/>
  <c r="FK235"/>
  <c r="FJ233"/>
  <c r="FK233"/>
  <c r="FJ231"/>
  <c r="FK231"/>
  <c r="FJ229"/>
  <c r="FK229"/>
  <c r="FJ227"/>
  <c r="FK227"/>
  <c r="FJ225"/>
  <c r="FK225"/>
  <c r="FJ223"/>
  <c r="FK223"/>
  <c r="FJ221"/>
  <c r="FK221"/>
  <c r="FJ219"/>
  <c r="FK219"/>
  <c r="FJ217"/>
  <c r="FK217"/>
  <c r="FJ215"/>
  <c r="FK215"/>
  <c r="FJ213"/>
  <c r="FK213"/>
  <c r="FJ211"/>
  <c r="FK211"/>
  <c r="FJ209"/>
  <c r="FK209"/>
  <c r="FJ207"/>
  <c r="FK207"/>
  <c r="FJ205"/>
  <c r="FK205"/>
  <c r="FJ203"/>
  <c r="FK203"/>
  <c r="FJ201"/>
  <c r="FK201"/>
  <c r="FJ199"/>
  <c r="FK199"/>
  <c r="FJ197"/>
  <c r="FK197"/>
  <c r="FJ195"/>
  <c r="FK195"/>
  <c r="FJ193"/>
  <c r="FK193"/>
  <c r="FJ191"/>
  <c r="FK191"/>
  <c r="FJ189"/>
  <c r="FK189"/>
  <c r="FJ187"/>
  <c r="FK187"/>
  <c r="FJ185"/>
  <c r="FK185"/>
  <c r="FJ183"/>
  <c r="FK183"/>
  <c r="FJ181"/>
  <c r="FK181"/>
  <c r="FJ179"/>
  <c r="FK179"/>
  <c r="FJ177"/>
  <c r="FK177"/>
  <c r="FJ175"/>
  <c r="FK175"/>
  <c r="FJ173"/>
  <c r="FK173"/>
  <c r="FJ171"/>
  <c r="FK171"/>
  <c r="FJ169"/>
  <c r="FK169"/>
  <c r="FJ167"/>
  <c r="FK167"/>
  <c r="FJ165"/>
  <c r="FK165"/>
  <c r="FJ163"/>
  <c r="FK163"/>
  <c r="FJ161"/>
  <c r="FK161"/>
  <c r="FJ159"/>
  <c r="FK159"/>
  <c r="FJ157"/>
  <c r="FK157"/>
  <c r="FJ155"/>
  <c r="FK155"/>
  <c r="FJ6999"/>
  <c r="FK6999"/>
  <c r="FJ6997"/>
  <c r="FK6997"/>
  <c r="FJ6995"/>
  <c r="FK6995"/>
  <c r="FJ6993"/>
  <c r="FK6993"/>
  <c r="FJ6991"/>
  <c r="FK6991"/>
  <c r="FJ6989"/>
  <c r="FK6989"/>
  <c r="FJ6987"/>
  <c r="FK6987"/>
  <c r="FJ6985"/>
  <c r="FK6985"/>
  <c r="FJ6983"/>
  <c r="FK6983"/>
  <c r="FJ6981"/>
  <c r="FK6981"/>
  <c r="FJ6979"/>
  <c r="FK6979"/>
  <c r="FJ6977"/>
  <c r="FK6977"/>
  <c r="FJ6975"/>
  <c r="FK6975"/>
  <c r="FJ6973"/>
  <c r="FK6973"/>
  <c r="FJ6971"/>
  <c r="FK6971"/>
  <c r="FJ6969"/>
  <c r="FK6969"/>
  <c r="FJ6967"/>
  <c r="FK6967"/>
  <c r="FJ6965"/>
  <c r="FK6965"/>
  <c r="FJ6963"/>
  <c r="FK6963"/>
  <c r="FJ6961"/>
  <c r="FK6961"/>
  <c r="FJ6959"/>
  <c r="FK6959"/>
  <c r="FJ6957"/>
  <c r="FK6957"/>
  <c r="FJ6955"/>
  <c r="FK6955"/>
  <c r="FJ6953"/>
  <c r="FK6953"/>
  <c r="FJ6951"/>
  <c r="FK6951"/>
  <c r="FJ6949"/>
  <c r="FK6949"/>
  <c r="FJ6947"/>
  <c r="FK6947"/>
  <c r="FJ6945"/>
  <c r="FK6945"/>
  <c r="FJ6943"/>
  <c r="FK6943"/>
  <c r="FJ6941"/>
  <c r="FK6941"/>
  <c r="FJ6939"/>
  <c r="FK6939"/>
  <c r="FJ6937"/>
  <c r="FK6937"/>
  <c r="FJ6935"/>
  <c r="FK6935"/>
  <c r="FJ6933"/>
  <c r="FK6933"/>
  <c r="FJ6931"/>
  <c r="FK6931"/>
  <c r="FJ6929"/>
  <c r="FK6929"/>
  <c r="FJ6927"/>
  <c r="FK6927"/>
  <c r="FJ6925"/>
  <c r="FK6925"/>
  <c r="FJ6923"/>
  <c r="FK6923"/>
  <c r="FJ6921"/>
  <c r="FK6921"/>
  <c r="FJ6919"/>
  <c r="FK6919"/>
  <c r="FJ6917"/>
  <c r="FK6917"/>
  <c r="FJ6915"/>
  <c r="FK6915"/>
  <c r="FJ6913"/>
  <c r="FK6913"/>
  <c r="FJ6911"/>
  <c r="FK6911"/>
  <c r="FJ6909"/>
  <c r="FK6909"/>
  <c r="FJ6907"/>
  <c r="FK6907"/>
  <c r="FJ6905"/>
  <c r="FK6905"/>
  <c r="FJ6903"/>
  <c r="FK6903"/>
  <c r="FJ6901"/>
  <c r="FK6901"/>
  <c r="FJ6899"/>
  <c r="FK6899"/>
  <c r="FJ6897"/>
  <c r="FK6897"/>
  <c r="FJ6895"/>
  <c r="FK6895"/>
  <c r="FJ6893"/>
  <c r="FK6893"/>
  <c r="FJ6891"/>
  <c r="FK6891"/>
  <c r="FJ6889"/>
  <c r="FK6889"/>
  <c r="FJ6887"/>
  <c r="FK6887"/>
  <c r="FJ6885"/>
  <c r="FK6885"/>
  <c r="FJ6883"/>
  <c r="FK6883"/>
  <c r="FJ6881"/>
  <c r="FK6881"/>
  <c r="FJ6879"/>
  <c r="FK6879"/>
  <c r="FJ6877"/>
  <c r="FK6877"/>
  <c r="FJ6875"/>
  <c r="FK6875"/>
  <c r="FJ6873"/>
  <c r="FK6873"/>
  <c r="FJ6871"/>
  <c r="FK6871"/>
  <c r="FJ6869"/>
  <c r="FK6869"/>
  <c r="FJ6867"/>
  <c r="FK6867"/>
  <c r="FJ6865"/>
  <c r="FK6865"/>
  <c r="FJ6863"/>
  <c r="FK6863"/>
  <c r="FJ6861"/>
  <c r="FK6861"/>
  <c r="FJ6859"/>
  <c r="FK6859"/>
  <c r="FJ6857"/>
  <c r="FK6857"/>
  <c r="FJ6855"/>
  <c r="FK6855"/>
  <c r="FJ6853"/>
  <c r="FK6853"/>
  <c r="FJ6851"/>
  <c r="FK6851"/>
  <c r="FJ6849"/>
  <c r="FK6849"/>
  <c r="FJ6847"/>
  <c r="FK6847"/>
  <c r="FJ6845"/>
  <c r="FK6845"/>
  <c r="FJ6843"/>
  <c r="FK6843"/>
  <c r="FJ6841"/>
  <c r="FK6841"/>
  <c r="FJ6839"/>
  <c r="FK6839"/>
  <c r="FJ6837"/>
  <c r="FK6837"/>
  <c r="FJ6835"/>
  <c r="FK6835"/>
  <c r="FJ6833"/>
  <c r="FK6833"/>
  <c r="FJ6831"/>
  <c r="FK6831"/>
  <c r="FJ6829"/>
  <c r="FK6829"/>
  <c r="FJ6827"/>
  <c r="FK6827"/>
  <c r="FJ6825"/>
  <c r="FK6825"/>
  <c r="FJ6823"/>
  <c r="FK6823"/>
  <c r="FJ6821"/>
  <c r="FK6821"/>
  <c r="FJ6819"/>
  <c r="FK6819"/>
  <c r="FJ6817"/>
  <c r="FK6817"/>
  <c r="FJ6815"/>
  <c r="FK6815"/>
  <c r="FJ6813"/>
  <c r="FK6813"/>
  <c r="FJ6811"/>
  <c r="FK6811"/>
  <c r="FJ6809"/>
  <c r="FK6809"/>
  <c r="FJ6807"/>
  <c r="FK6807"/>
  <c r="FJ6805"/>
  <c r="FK6805"/>
  <c r="FJ6803"/>
  <c r="FK6803"/>
  <c r="FJ6801"/>
  <c r="FK6801"/>
  <c r="FJ6799"/>
  <c r="FK6799"/>
  <c r="FJ6797"/>
  <c r="FK6797"/>
  <c r="FJ6795"/>
  <c r="FK6795"/>
  <c r="FJ6793"/>
  <c r="FK6793"/>
  <c r="FJ6791"/>
  <c r="FK6791"/>
  <c r="FJ6789"/>
  <c r="FK6789"/>
  <c r="FJ6787"/>
  <c r="FK6787"/>
  <c r="FJ6785"/>
  <c r="FK6785"/>
  <c r="FJ6783"/>
  <c r="FK6783"/>
  <c r="FJ6781"/>
  <c r="FK6781"/>
  <c r="FJ6779"/>
  <c r="FK6779"/>
  <c r="FJ6777"/>
  <c r="FK6777"/>
  <c r="FJ6775"/>
  <c r="FK6775"/>
  <c r="FJ6773"/>
  <c r="FK6773"/>
  <c r="FJ6771"/>
  <c r="FK6771"/>
  <c r="FJ6769"/>
  <c r="FK6769"/>
  <c r="FJ6767"/>
  <c r="FK6767"/>
  <c r="FJ6765"/>
  <c r="FK6765"/>
  <c r="FJ6763"/>
  <c r="FK6763"/>
  <c r="FJ6761"/>
  <c r="FK6761"/>
  <c r="FJ6759"/>
  <c r="FK6759"/>
  <c r="FJ6757"/>
  <c r="FK6757"/>
  <c r="FJ6755"/>
  <c r="FK6755"/>
  <c r="FJ6753"/>
  <c r="FK6753"/>
  <c r="FJ6751"/>
  <c r="FK6751"/>
  <c r="FJ6749"/>
  <c r="FK6749"/>
  <c r="FJ6747"/>
  <c r="FK6747"/>
  <c r="FJ6745"/>
  <c r="FK6745"/>
  <c r="FJ6743"/>
  <c r="FK6743"/>
  <c r="FJ6741"/>
  <c r="FK6741"/>
  <c r="FJ6739"/>
  <c r="FK6739"/>
  <c r="FJ6737"/>
  <c r="FK6737"/>
  <c r="FJ6735"/>
  <c r="FK6735"/>
  <c r="FJ6733"/>
  <c r="FK6733"/>
  <c r="FJ6731"/>
  <c r="FK6731"/>
  <c r="FJ6729"/>
  <c r="FK6729"/>
  <c r="FJ6727"/>
  <c r="FK6727"/>
  <c r="FJ6725"/>
  <c r="FK6725"/>
  <c r="FJ6723"/>
  <c r="FK6723"/>
  <c r="FJ6721"/>
  <c r="FK6721"/>
  <c r="FJ6719"/>
  <c r="FK6719"/>
  <c r="FJ6717"/>
  <c r="FK6717"/>
  <c r="FJ6715"/>
  <c r="FK6715"/>
  <c r="FJ6713"/>
  <c r="FK6713"/>
  <c r="FJ6711"/>
  <c r="FK6711"/>
  <c r="FJ6709"/>
  <c r="FK6709"/>
  <c r="FJ6707"/>
  <c r="FK6707"/>
  <c r="FJ6705"/>
  <c r="FK6705"/>
  <c r="FJ6703"/>
  <c r="FK6703"/>
  <c r="FJ6701"/>
  <c r="FK6701"/>
  <c r="FJ6699"/>
  <c r="FK6699"/>
  <c r="FJ6697"/>
  <c r="FK6697"/>
  <c r="FJ6695"/>
  <c r="FK6695"/>
  <c r="FJ6693"/>
  <c r="FK6693"/>
  <c r="FJ6691"/>
  <c r="FK6691"/>
  <c r="FJ6689"/>
  <c r="FK6689"/>
  <c r="FJ6687"/>
  <c r="FK6687"/>
  <c r="FJ6685"/>
  <c r="FK6685"/>
  <c r="FJ6683"/>
  <c r="FK6683"/>
  <c r="FJ6681"/>
  <c r="FK6681"/>
  <c r="FJ6679"/>
  <c r="FK6679"/>
  <c r="FJ6677"/>
  <c r="FK6677"/>
  <c r="FJ6675"/>
  <c r="FK6675"/>
  <c r="FJ6673"/>
  <c r="FK6673"/>
  <c r="FJ6671"/>
  <c r="FK6671"/>
  <c r="FJ6669"/>
  <c r="FK6669"/>
  <c r="FJ6667"/>
  <c r="FK6667"/>
  <c r="FJ6665"/>
  <c r="FK6665"/>
  <c r="FJ6663"/>
  <c r="FK6663"/>
  <c r="FJ6661"/>
  <c r="FK6661"/>
  <c r="FJ6659"/>
  <c r="FK6659"/>
  <c r="FJ6657"/>
  <c r="FK6657"/>
  <c r="FJ6655"/>
  <c r="FK6655"/>
  <c r="FJ6653"/>
  <c r="FK6653"/>
  <c r="FJ6651"/>
  <c r="FK6651"/>
  <c r="FJ6649"/>
  <c r="FK6649"/>
  <c r="FJ6647"/>
  <c r="FK6647"/>
  <c r="FJ6645"/>
  <c r="FK6645"/>
  <c r="FJ6643"/>
  <c r="FK6643"/>
  <c r="FJ6641"/>
  <c r="FK6641"/>
  <c r="FJ6639"/>
  <c r="FK6639"/>
  <c r="FJ6637"/>
  <c r="FK6637"/>
  <c r="FJ6635"/>
  <c r="FK6635"/>
  <c r="FJ6633"/>
  <c r="FK6633"/>
  <c r="FJ6631"/>
  <c r="FK6631"/>
  <c r="FJ6629"/>
  <c r="FK6629"/>
  <c r="FJ6627"/>
  <c r="FK6627"/>
  <c r="FJ6625"/>
  <c r="FK6625"/>
  <c r="FJ6623"/>
  <c r="FK6623"/>
  <c r="FJ6621"/>
  <c r="FK6621"/>
  <c r="FJ6619"/>
  <c r="FK6619"/>
  <c r="FJ6617"/>
  <c r="FK6617"/>
  <c r="FJ6615"/>
  <c r="FK6615"/>
  <c r="FJ6613"/>
  <c r="FK6613"/>
  <c r="FJ6611"/>
  <c r="FK6611"/>
  <c r="FJ6609"/>
  <c r="FK6609"/>
  <c r="FJ6607"/>
  <c r="FK6607"/>
  <c r="FJ6605"/>
  <c r="FK6605"/>
  <c r="FJ6603"/>
  <c r="FK6603"/>
  <c r="FJ6601"/>
  <c r="FK6601"/>
  <c r="FJ6599"/>
  <c r="FK6599"/>
  <c r="FJ6597"/>
  <c r="FK6597"/>
  <c r="FJ6595"/>
  <c r="FK6595"/>
  <c r="FJ6593"/>
  <c r="FK6593"/>
  <c r="FJ6591"/>
  <c r="FK6591"/>
  <c r="FJ6589"/>
  <c r="FK6589"/>
  <c r="FJ6587"/>
  <c r="FK6587"/>
  <c r="FJ6585"/>
  <c r="FK6585"/>
  <c r="FJ6583"/>
  <c r="FK6583"/>
  <c r="FJ6581"/>
  <c r="FK6581"/>
  <c r="FJ6579"/>
  <c r="FK6579"/>
  <c r="FJ6577"/>
  <c r="FK6577"/>
  <c r="FJ6575"/>
  <c r="FK6575"/>
  <c r="FJ6573"/>
  <c r="FK6573"/>
  <c r="FJ6571"/>
  <c r="FK6571"/>
  <c r="FJ6569"/>
  <c r="FK6569"/>
  <c r="FJ6567"/>
  <c r="FK6567"/>
  <c r="FJ6565"/>
  <c r="FK6565"/>
  <c r="FJ6563"/>
  <c r="FK6563"/>
  <c r="FJ6561"/>
  <c r="FK6561"/>
  <c r="FJ6559"/>
  <c r="FK6559"/>
  <c r="FJ6557"/>
  <c r="FK6557"/>
  <c r="FJ6555"/>
  <c r="FK6555"/>
  <c r="FJ6553"/>
  <c r="FK6553"/>
  <c r="FJ6551"/>
  <c r="FK6551"/>
  <c r="FJ6549"/>
  <c r="FK6549"/>
  <c r="FJ6547"/>
  <c r="FK6547"/>
  <c r="FJ6545"/>
  <c r="FK6545"/>
  <c r="FJ6543"/>
  <c r="FK6543"/>
  <c r="FJ6541"/>
  <c r="FK6541"/>
  <c r="FJ6539"/>
  <c r="FK6539"/>
  <c r="FJ6537"/>
  <c r="FK6537"/>
  <c r="FJ6535"/>
  <c r="FK6535"/>
  <c r="FJ6533"/>
  <c r="FK6533"/>
  <c r="FJ6531"/>
  <c r="FK6531"/>
  <c r="FJ6529"/>
  <c r="FK6529"/>
  <c r="FJ6527"/>
  <c r="FK6527"/>
  <c r="FJ6525"/>
  <c r="FK6525"/>
  <c r="FJ6523"/>
  <c r="FK6523"/>
  <c r="FJ6521"/>
  <c r="FK6521"/>
  <c r="FJ6519"/>
  <c r="FK6519"/>
  <c r="FJ6517"/>
  <c r="FK6517"/>
  <c r="FJ6515"/>
  <c r="FK6515"/>
  <c r="FJ6513"/>
  <c r="FK6513"/>
  <c r="FJ6511"/>
  <c r="FK6511"/>
  <c r="FJ6509"/>
  <c r="FK6509"/>
  <c r="FJ6507"/>
  <c r="FK6507"/>
  <c r="FJ6505"/>
  <c r="FK6505"/>
  <c r="FJ6503"/>
  <c r="FK6503"/>
  <c r="FJ6501"/>
  <c r="FK6501"/>
  <c r="FJ6499"/>
  <c r="FK6499"/>
  <c r="FJ6497"/>
  <c r="FK6497"/>
  <c r="FJ6495"/>
  <c r="FK6495"/>
  <c r="FJ6493"/>
  <c r="FK6493"/>
  <c r="FJ6491"/>
  <c r="FK6491"/>
  <c r="FJ6489"/>
  <c r="FK6489"/>
  <c r="FJ6487"/>
  <c r="FK6487"/>
  <c r="FJ6485"/>
  <c r="FK6485"/>
  <c r="FJ6483"/>
  <c r="FK6483"/>
  <c r="FJ6481"/>
  <c r="FK6481"/>
  <c r="FJ6479"/>
  <c r="FK6479"/>
  <c r="FJ6477"/>
  <c r="FK6477"/>
  <c r="FJ6475"/>
  <c r="FK6475"/>
  <c r="FJ6473"/>
  <c r="FK6473"/>
  <c r="FJ6471"/>
  <c r="FK6471"/>
  <c r="FJ6469"/>
  <c r="FK6469"/>
  <c r="FJ6467"/>
  <c r="FK6467"/>
  <c r="FJ6465"/>
  <c r="FK6465"/>
  <c r="FJ6463"/>
  <c r="FK6463"/>
  <c r="FJ6461"/>
  <c r="FK6461"/>
  <c r="FJ6459"/>
  <c r="FK6459"/>
  <c r="FJ6457"/>
  <c r="FK6457"/>
  <c r="FJ6455"/>
  <c r="FK6455"/>
  <c r="FJ6453"/>
  <c r="FK6453"/>
  <c r="FJ6451"/>
  <c r="FK6451"/>
  <c r="FJ6449"/>
  <c r="FK6449"/>
  <c r="FJ6447"/>
  <c r="FK6447"/>
  <c r="FJ6445"/>
  <c r="FK6445"/>
  <c r="FJ6443"/>
  <c r="FK6443"/>
  <c r="FJ6441"/>
  <c r="FK6441"/>
  <c r="FJ6439"/>
  <c r="FK6439"/>
  <c r="FJ6437"/>
  <c r="FK6437"/>
  <c r="FJ6435"/>
  <c r="FK6435"/>
  <c r="FJ6433"/>
  <c r="FK6433"/>
  <c r="FJ6431"/>
  <c r="FK6431"/>
  <c r="FJ6429"/>
  <c r="FK6429"/>
  <c r="FJ6427"/>
  <c r="FK6427"/>
  <c r="FJ6425"/>
  <c r="FK6425"/>
  <c r="FJ6423"/>
  <c r="FK6423"/>
  <c r="FJ6421"/>
  <c r="FK6421"/>
  <c r="FJ6419"/>
  <c r="FK6419"/>
  <c r="FJ6417"/>
  <c r="FK6417"/>
  <c r="FJ6415"/>
  <c r="FK6415"/>
  <c r="FJ6413"/>
  <c r="FK6413"/>
  <c r="FJ6411"/>
  <c r="FK6411"/>
  <c r="FJ6409"/>
  <c r="FK6409"/>
  <c r="FJ6407"/>
  <c r="FK6407"/>
  <c r="FJ6405"/>
  <c r="FK6405"/>
  <c r="FJ6403"/>
  <c r="FK6403"/>
  <c r="FJ6401"/>
  <c r="FK6401"/>
  <c r="FJ6399"/>
  <c r="FK6399"/>
  <c r="FJ6397"/>
  <c r="FK6397"/>
  <c r="FJ6395"/>
  <c r="FK6395"/>
  <c r="FJ6393"/>
  <c r="FK6393"/>
  <c r="FJ6391"/>
  <c r="FK6391"/>
  <c r="FJ6389"/>
  <c r="FK6389"/>
  <c r="FJ6387"/>
  <c r="FK6387"/>
  <c r="FJ6385"/>
  <c r="FK6385"/>
  <c r="FJ6383"/>
  <c r="FK6383"/>
  <c r="FJ6381"/>
  <c r="FK6381"/>
  <c r="FJ6379"/>
  <c r="FK6379"/>
  <c r="FJ6377"/>
  <c r="FK6377"/>
  <c r="FJ6375"/>
  <c r="FK6375"/>
  <c r="FJ6373"/>
  <c r="FK6373"/>
  <c r="FJ6371"/>
  <c r="FK6371"/>
  <c r="FJ6369"/>
  <c r="FK6369"/>
  <c r="FJ6367"/>
  <c r="FK6367"/>
  <c r="FJ6365"/>
  <c r="FK6365"/>
  <c r="FJ6363"/>
  <c r="FK6363"/>
  <c r="FJ6361"/>
  <c r="FK6361"/>
  <c r="FJ6359"/>
  <c r="FK6359"/>
  <c r="FJ6357"/>
  <c r="FK6357"/>
  <c r="FJ6355"/>
  <c r="FK6355"/>
  <c r="FJ6353"/>
  <c r="FK6353"/>
  <c r="FJ6351"/>
  <c r="FK6351"/>
  <c r="FJ6349"/>
  <c r="FK6349"/>
  <c r="FJ6347"/>
  <c r="FK6347"/>
  <c r="FJ6345"/>
  <c r="FK6345"/>
  <c r="FJ6343"/>
  <c r="FK6343"/>
  <c r="FJ6341"/>
  <c r="FK6341"/>
  <c r="FJ6339"/>
  <c r="FK6339"/>
  <c r="FJ6337"/>
  <c r="FK6337"/>
  <c r="FJ6335"/>
  <c r="FK6335"/>
  <c r="FJ6333"/>
  <c r="FK6333"/>
  <c r="FJ6331"/>
  <c r="FK6331"/>
  <c r="FJ6329"/>
  <c r="FK6329"/>
  <c r="FJ6327"/>
  <c r="FK6327"/>
  <c r="FJ6325"/>
  <c r="FK6325"/>
  <c r="FJ6323"/>
  <c r="FK6323"/>
  <c r="FJ6321"/>
  <c r="FK6321"/>
  <c r="FJ6319"/>
  <c r="FK6319"/>
  <c r="FJ6317"/>
  <c r="FK6317"/>
  <c r="FJ6315"/>
  <c r="FK6315"/>
  <c r="FJ6313"/>
  <c r="FK6313"/>
  <c r="FJ6311"/>
  <c r="FK6311"/>
  <c r="FJ6309"/>
  <c r="FK6309"/>
  <c r="FJ6307"/>
  <c r="FK6307"/>
  <c r="FJ6305"/>
  <c r="FK6305"/>
  <c r="FJ6303"/>
  <c r="FK6303"/>
  <c r="FJ6301"/>
  <c r="FK6301"/>
  <c r="FJ6299"/>
  <c r="FK6299"/>
  <c r="FJ6297"/>
  <c r="FK6297"/>
  <c r="FJ6295"/>
  <c r="FK6295"/>
  <c r="FJ6293"/>
  <c r="FK6293"/>
  <c r="FJ6291"/>
  <c r="FK6291"/>
  <c r="FJ6289"/>
  <c r="FK6289"/>
  <c r="FJ6287"/>
  <c r="FK6287"/>
  <c r="FJ6285"/>
  <c r="FK6285"/>
  <c r="FJ6283"/>
  <c r="FK6283"/>
  <c r="FJ6281"/>
  <c r="FK6281"/>
  <c r="FJ6279"/>
  <c r="FK6279"/>
  <c r="FJ6277"/>
  <c r="FK6277"/>
  <c r="FJ6275"/>
  <c r="FK6275"/>
  <c r="FJ6273"/>
  <c r="FK6273"/>
  <c r="FJ6271"/>
  <c r="FK6271"/>
  <c r="FJ6269"/>
  <c r="FK6269"/>
  <c r="FJ6267"/>
  <c r="FK6267"/>
  <c r="FJ6265"/>
  <c r="FK6265"/>
  <c r="FJ6263"/>
  <c r="FK6263"/>
  <c r="FJ6261"/>
  <c r="FK6261"/>
  <c r="FJ6259"/>
  <c r="FK6259"/>
  <c r="FJ6257"/>
  <c r="FK6257"/>
  <c r="FJ6255"/>
  <c r="FK6255"/>
  <c r="FJ6253"/>
  <c r="FK6253"/>
  <c r="FJ6251"/>
  <c r="FK6251"/>
  <c r="FJ6249"/>
  <c r="FK6249"/>
  <c r="FJ6247"/>
  <c r="FK6247"/>
  <c r="FJ6245"/>
  <c r="FK6245"/>
  <c r="FJ6243"/>
  <c r="FK6243"/>
  <c r="FJ6241"/>
  <c r="FK6241"/>
  <c r="FJ6239"/>
  <c r="FK6239"/>
  <c r="FJ6237"/>
  <c r="FK6237"/>
  <c r="FJ6235"/>
  <c r="FK6235"/>
  <c r="FJ6233"/>
  <c r="FK6233"/>
  <c r="FJ6231"/>
  <c r="FK6231"/>
  <c r="FJ6229"/>
  <c r="FK6229"/>
  <c r="FJ6227"/>
  <c r="FK6227"/>
  <c r="FJ6225"/>
  <c r="FK6225"/>
  <c r="FJ6223"/>
  <c r="FK6223"/>
  <c r="FJ6221"/>
  <c r="FK6221"/>
  <c r="FJ6219"/>
  <c r="FK6219"/>
  <c r="FJ6217"/>
  <c r="FK6217"/>
  <c r="FJ6215"/>
  <c r="FK6215"/>
  <c r="FJ6213"/>
  <c r="FK6213"/>
  <c r="FJ6211"/>
  <c r="FK6211"/>
  <c r="FJ6209"/>
  <c r="FK6209"/>
  <c r="FJ6207"/>
  <c r="FK6207"/>
  <c r="FJ6205"/>
  <c r="FK6205"/>
  <c r="FJ6203"/>
  <c r="FK6203"/>
  <c r="FJ6201"/>
  <c r="FK6201"/>
  <c r="FJ6199"/>
  <c r="FK6199"/>
  <c r="FJ6197"/>
  <c r="FK6197"/>
  <c r="FJ6195"/>
  <c r="FK6195"/>
  <c r="FJ6193"/>
  <c r="FK6193"/>
  <c r="FJ6191"/>
  <c r="FK6191"/>
  <c r="FJ6189"/>
  <c r="FK6189"/>
  <c r="FJ6187"/>
  <c r="FK6187"/>
  <c r="FJ6185"/>
  <c r="FK6185"/>
  <c r="FJ6183"/>
  <c r="FK6183"/>
  <c r="FJ6181"/>
  <c r="FK6181"/>
  <c r="FJ6179"/>
  <c r="FK6179"/>
  <c r="FJ6177"/>
  <c r="FK6177"/>
  <c r="FJ6175"/>
  <c r="FK6175"/>
  <c r="FJ6173"/>
  <c r="FK6173"/>
  <c r="FJ6171"/>
  <c r="FK6171"/>
  <c r="FJ6169"/>
  <c r="FK6169"/>
  <c r="FJ6167"/>
  <c r="FK6167"/>
  <c r="FJ6165"/>
  <c r="FK6165"/>
  <c r="FJ6163"/>
  <c r="FK6163"/>
  <c r="FJ6161"/>
  <c r="FK6161"/>
  <c r="FJ6159"/>
  <c r="FK6159"/>
  <c r="FJ6157"/>
  <c r="FK6157"/>
  <c r="FJ6155"/>
  <c r="FK6155"/>
  <c r="FJ6153"/>
  <c r="FK6153"/>
  <c r="FJ6151"/>
  <c r="FK6151"/>
  <c r="FJ6149"/>
  <c r="FK6149"/>
  <c r="FJ6147"/>
  <c r="FK6147"/>
  <c r="FJ6145"/>
  <c r="FK6145"/>
  <c r="FJ6143"/>
  <c r="FK6143"/>
  <c r="FJ6141"/>
  <c r="FK6141"/>
  <c r="FJ6139"/>
  <c r="FK6139"/>
  <c r="FJ6137"/>
  <c r="FK6137"/>
  <c r="FJ6135"/>
  <c r="FK6135"/>
  <c r="FJ6133"/>
  <c r="FK6133"/>
  <c r="FJ6131"/>
  <c r="FK6131"/>
  <c r="FJ6129"/>
  <c r="FK6129"/>
  <c r="FJ6127"/>
  <c r="FK6127"/>
  <c r="FJ6125"/>
  <c r="FK6125"/>
  <c r="FJ6123"/>
  <c r="FK6123"/>
  <c r="FJ6121"/>
  <c r="FK6121"/>
  <c r="FJ6119"/>
  <c r="FK6119"/>
  <c r="FJ6117"/>
  <c r="FK6117"/>
  <c r="FJ6115"/>
  <c r="FK6115"/>
  <c r="FJ6113"/>
  <c r="FK6113"/>
  <c r="FJ6111"/>
  <c r="FK6111"/>
  <c r="FJ6109"/>
  <c r="FK6109"/>
  <c r="FJ6107"/>
  <c r="FK6107"/>
  <c r="FJ6105"/>
  <c r="FK6105"/>
  <c r="FJ6103"/>
  <c r="FK6103"/>
  <c r="FJ6101"/>
  <c r="FK6101"/>
  <c r="FJ6099"/>
  <c r="FK6099"/>
  <c r="FJ6097"/>
  <c r="FK6097"/>
  <c r="FJ6095"/>
  <c r="FK6095"/>
  <c r="FJ6093"/>
  <c r="FK6093"/>
  <c r="FJ6091"/>
  <c r="FK6091"/>
  <c r="FJ6089"/>
  <c r="FK6089"/>
  <c r="FJ6087"/>
  <c r="FK6087"/>
  <c r="FJ6085"/>
  <c r="FK6085"/>
  <c r="FJ6083"/>
  <c r="FK6083"/>
  <c r="FJ6081"/>
  <c r="FK6081"/>
  <c r="FJ6079"/>
  <c r="FK6079"/>
  <c r="FJ6077"/>
  <c r="FK6077"/>
  <c r="FJ6075"/>
  <c r="FK6075"/>
  <c r="FJ6073"/>
  <c r="FK6073"/>
  <c r="FJ6071"/>
  <c r="FK6071"/>
  <c r="FJ6069"/>
  <c r="FK6069"/>
  <c r="FJ6067"/>
  <c r="FK6067"/>
  <c r="FJ6065"/>
  <c r="FK6065"/>
  <c r="FJ6063"/>
  <c r="FK6063"/>
  <c r="FJ6061"/>
  <c r="FK6061"/>
  <c r="FJ6059"/>
  <c r="FK6059"/>
  <c r="FJ6057"/>
  <c r="FK6057"/>
  <c r="FJ6055"/>
  <c r="FK6055"/>
  <c r="FJ6053"/>
  <c r="FK6053"/>
  <c r="FJ6051"/>
  <c r="FK6051"/>
  <c r="FJ6049"/>
  <c r="FK6049"/>
  <c r="FJ6047"/>
  <c r="FK6047"/>
  <c r="FJ6045"/>
  <c r="FK6045"/>
  <c r="FJ6043"/>
  <c r="FK6043"/>
  <c r="FJ6041"/>
  <c r="FK6041"/>
  <c r="FJ6039"/>
  <c r="FK6039"/>
  <c r="FJ6037"/>
  <c r="FK6037"/>
  <c r="FJ6035"/>
  <c r="FK6035"/>
  <c r="FJ6033"/>
  <c r="FK6033"/>
  <c r="FJ6031"/>
  <c r="FK6031"/>
  <c r="FJ6029"/>
  <c r="FK6029"/>
  <c r="FJ6027"/>
  <c r="FK6027"/>
  <c r="FJ6025"/>
  <c r="FK6025"/>
  <c r="FJ6023"/>
  <c r="FK6023"/>
  <c r="FJ6021"/>
  <c r="FK6021"/>
  <c r="FJ6019"/>
  <c r="FK6019"/>
  <c r="FJ6017"/>
  <c r="FK6017"/>
  <c r="FJ6015"/>
  <c r="FK6015"/>
  <c r="FJ6013"/>
  <c r="FK6013"/>
  <c r="FJ6011"/>
  <c r="FK6011"/>
  <c r="FJ6009"/>
  <c r="FK6009"/>
  <c r="FJ6007"/>
  <c r="FK6007"/>
  <c r="FJ6005"/>
  <c r="FK6005"/>
  <c r="FJ6003"/>
  <c r="FK6003"/>
  <c r="FJ6001"/>
  <c r="FK6001"/>
  <c r="FJ5999"/>
  <c r="FK5999"/>
  <c r="FJ5997"/>
  <c r="FK5997"/>
  <c r="FJ5995"/>
  <c r="FK5995"/>
  <c r="FJ5993"/>
  <c r="FK5993"/>
  <c r="FJ5991"/>
  <c r="FK5991"/>
  <c r="FJ5989"/>
  <c r="FK5989"/>
  <c r="FJ5987"/>
  <c r="FK5987"/>
  <c r="FJ5985"/>
  <c r="FK5985"/>
  <c r="FJ5983"/>
  <c r="FK5983"/>
  <c r="FJ5981"/>
  <c r="FK5981"/>
  <c r="FJ5979"/>
  <c r="FK5979"/>
  <c r="FJ5977"/>
  <c r="FK5977"/>
  <c r="FJ5975"/>
  <c r="FK5975"/>
  <c r="FJ5973"/>
  <c r="FK5973"/>
  <c r="FJ5971"/>
  <c r="FK5971"/>
  <c r="FJ5969"/>
  <c r="FK5969"/>
  <c r="FJ5967"/>
  <c r="FK5967"/>
  <c r="FJ5965"/>
  <c r="FK5965"/>
  <c r="FJ5963"/>
  <c r="FK5963"/>
  <c r="FJ5961"/>
  <c r="FK5961"/>
  <c r="FJ5959"/>
  <c r="FK5959"/>
  <c r="FJ5957"/>
  <c r="FK5957"/>
  <c r="FJ5955"/>
  <c r="FK5955"/>
  <c r="FJ5953"/>
  <c r="FK5953"/>
  <c r="FJ5951"/>
  <c r="FK5951"/>
  <c r="FJ5949"/>
  <c r="FK5949"/>
  <c r="FJ5947"/>
  <c r="FK5947"/>
  <c r="FJ5945"/>
  <c r="FK5945"/>
  <c r="FJ5943"/>
  <c r="FK5943"/>
  <c r="FJ5941"/>
  <c r="FK5941"/>
  <c r="FJ5939"/>
  <c r="FK5939"/>
  <c r="FJ5937"/>
  <c r="FK5937"/>
  <c r="FJ5935"/>
  <c r="FK5935"/>
  <c r="FJ5933"/>
  <c r="FK5933"/>
  <c r="FJ5931"/>
  <c r="FK5931"/>
  <c r="FJ5929"/>
  <c r="FK5929"/>
  <c r="FJ5927"/>
  <c r="FK5927"/>
  <c r="FJ5925"/>
  <c r="FK5925"/>
  <c r="FJ5923"/>
  <c r="FK5923"/>
  <c r="FJ5921"/>
  <c r="FK5921"/>
  <c r="FJ5919"/>
  <c r="FK5919"/>
  <c r="FJ5917"/>
  <c r="FK5917"/>
  <c r="FJ5915"/>
  <c r="FK5915"/>
  <c r="FJ5913"/>
  <c r="FK5913"/>
  <c r="FJ5911"/>
  <c r="FK5911"/>
  <c r="FJ5909"/>
  <c r="FK5909"/>
  <c r="FJ5907"/>
  <c r="FK5907"/>
  <c r="FJ5905"/>
  <c r="FK5905"/>
  <c r="FJ5903"/>
  <c r="FK5903"/>
  <c r="FJ5901"/>
  <c r="FK5901"/>
  <c r="FJ5899"/>
  <c r="FK5899"/>
  <c r="FJ5897"/>
  <c r="FK5897"/>
  <c r="FJ5895"/>
  <c r="FK5895"/>
  <c r="FJ5893"/>
  <c r="FK5893"/>
  <c r="FJ5891"/>
  <c r="FK5891"/>
  <c r="FJ5889"/>
  <c r="FK5889"/>
  <c r="FJ5887"/>
  <c r="FK5887"/>
  <c r="FJ5885"/>
  <c r="FK5885"/>
  <c r="FJ5883"/>
  <c r="FK5883"/>
  <c r="FJ5881"/>
  <c r="FK5881"/>
  <c r="FJ5879"/>
  <c r="FK5879"/>
  <c r="FJ5877"/>
  <c r="FK5877"/>
  <c r="FJ5875"/>
  <c r="FK5875"/>
  <c r="FJ5873"/>
  <c r="FK5873"/>
  <c r="FJ5871"/>
  <c r="FK5871"/>
  <c r="FJ5869"/>
  <c r="FK5869"/>
  <c r="FJ5867"/>
  <c r="FK5867"/>
  <c r="FJ5865"/>
  <c r="FK5865"/>
  <c r="FJ5863"/>
  <c r="FK5863"/>
  <c r="FJ5861"/>
  <c r="FK5861"/>
  <c r="FJ5859"/>
  <c r="FK5859"/>
  <c r="FJ5857"/>
  <c r="FK5857"/>
  <c r="FJ5855"/>
  <c r="FK5855"/>
  <c r="FJ5853"/>
  <c r="FK5853"/>
  <c r="FJ5851"/>
  <c r="FK5851"/>
  <c r="FJ5849"/>
  <c r="FK5849"/>
  <c r="FJ5847"/>
  <c r="FK5847"/>
  <c r="FJ5845"/>
  <c r="FK5845"/>
  <c r="FJ5843"/>
  <c r="FK5843"/>
  <c r="FJ5841"/>
  <c r="FK5841"/>
  <c r="FJ5839"/>
  <c r="FK5839"/>
  <c r="FJ5837"/>
  <c r="FK5837"/>
  <c r="FJ5835"/>
  <c r="FK5835"/>
  <c r="FJ5833"/>
  <c r="FK5833"/>
  <c r="FJ5831"/>
  <c r="FK5831"/>
  <c r="FJ5829"/>
  <c r="FK5829"/>
  <c r="FJ5827"/>
  <c r="FK5827"/>
  <c r="FJ5825"/>
  <c r="FK5825"/>
  <c r="FJ5823"/>
  <c r="FK5823"/>
  <c r="FJ5821"/>
  <c r="FK5821"/>
  <c r="FJ5819"/>
  <c r="FK5819"/>
  <c r="FJ5817"/>
  <c r="FK5817"/>
  <c r="FJ5815"/>
  <c r="FK5815"/>
  <c r="FJ5813"/>
  <c r="FK5813"/>
  <c r="FJ5811"/>
  <c r="FK5811"/>
  <c r="FJ5809"/>
  <c r="FK5809"/>
  <c r="FJ5807"/>
  <c r="FK5807"/>
  <c r="FJ5805"/>
  <c r="FK5805"/>
  <c r="FJ5803"/>
  <c r="FK5803"/>
  <c r="FJ5801"/>
  <c r="FK5801"/>
  <c r="FJ5799"/>
  <c r="FK5799"/>
  <c r="FJ5797"/>
  <c r="FK5797"/>
  <c r="FJ5795"/>
  <c r="FK5795"/>
  <c r="FJ5793"/>
  <c r="FK5793"/>
  <c r="FJ5791"/>
  <c r="FK5791"/>
  <c r="FJ5789"/>
  <c r="FK5789"/>
  <c r="FJ5787"/>
  <c r="FK5787"/>
  <c r="FJ5785"/>
  <c r="FK5785"/>
  <c r="FJ5783"/>
  <c r="FK5783"/>
  <c r="FJ5781"/>
  <c r="FK5781"/>
  <c r="FJ5779"/>
  <c r="FK5779"/>
  <c r="FJ5777"/>
  <c r="FK5777"/>
  <c r="FJ5775"/>
  <c r="FK5775"/>
  <c r="FJ5773"/>
  <c r="FK5773"/>
  <c r="FJ5771"/>
  <c r="FK5771"/>
  <c r="FJ5769"/>
  <c r="FK5769"/>
  <c r="FJ5767"/>
  <c r="FK5767"/>
  <c r="FJ5765"/>
  <c r="FK5765"/>
  <c r="FJ5763"/>
  <c r="FK5763"/>
  <c r="FJ5761"/>
  <c r="FK5761"/>
  <c r="FJ5759"/>
  <c r="FK5759"/>
  <c r="FJ5757"/>
  <c r="FK5757"/>
  <c r="FJ5755"/>
  <c r="FK5755"/>
  <c r="FJ5753"/>
  <c r="FK5753"/>
  <c r="FJ5751"/>
  <c r="FK5751"/>
  <c r="FJ5749"/>
  <c r="FK5749"/>
  <c r="FJ5747"/>
  <c r="FK5747"/>
  <c r="FJ5745"/>
  <c r="FK5745"/>
  <c r="FJ5743"/>
  <c r="FK5743"/>
  <c r="FJ5741"/>
  <c r="FK5741"/>
  <c r="FJ5739"/>
  <c r="FK5739"/>
  <c r="FJ5737"/>
  <c r="FK5737"/>
  <c r="FJ5735"/>
  <c r="FK5735"/>
  <c r="FJ5733"/>
  <c r="FK5733"/>
  <c r="FJ5731"/>
  <c r="FK5731"/>
  <c r="FJ5729"/>
  <c r="FK5729"/>
  <c r="FJ5727"/>
  <c r="FK5727"/>
  <c r="FJ5725"/>
  <c r="FK5725"/>
  <c r="FJ5723"/>
  <c r="FK5723"/>
  <c r="FJ5721"/>
  <c r="FK5721"/>
  <c r="FJ5719"/>
  <c r="FK5719"/>
  <c r="FJ5717"/>
  <c r="FK5717"/>
  <c r="FJ5715"/>
  <c r="FK5715"/>
  <c r="FJ5713"/>
  <c r="FK5713"/>
  <c r="FJ5711"/>
  <c r="FK5711"/>
  <c r="FJ5709"/>
  <c r="FK5709"/>
  <c r="FJ5707"/>
  <c r="FK5707"/>
  <c r="FJ5705"/>
  <c r="FK5705"/>
  <c r="FJ5703"/>
  <c r="FK5703"/>
  <c r="FJ5701"/>
  <c r="FK5701"/>
  <c r="FJ5699"/>
  <c r="FK5699"/>
  <c r="FJ5697"/>
  <c r="FK5697"/>
  <c r="FJ5695"/>
  <c r="FK5695"/>
  <c r="FJ5693"/>
  <c r="FK5693"/>
  <c r="FJ5691"/>
  <c r="FK5691"/>
  <c r="FJ5689"/>
  <c r="FK5689"/>
  <c r="FJ5687"/>
  <c r="FK5687"/>
  <c r="FJ5685"/>
  <c r="FK5685"/>
  <c r="FJ5683"/>
  <c r="FK5683"/>
  <c r="FJ5681"/>
  <c r="FK5681"/>
  <c r="FJ5679"/>
  <c r="FK5679"/>
  <c r="FJ5677"/>
  <c r="FK5677"/>
  <c r="FJ5675"/>
  <c r="FK5675"/>
  <c r="FJ5673"/>
  <c r="FK5673"/>
  <c r="FJ5671"/>
  <c r="FK5671"/>
  <c r="FJ5669"/>
  <c r="FK5669"/>
  <c r="FJ5667"/>
  <c r="FK5667"/>
  <c r="FJ5665"/>
  <c r="FK5665"/>
  <c r="FJ5663"/>
  <c r="FK5663"/>
  <c r="FJ5661"/>
  <c r="FK5661"/>
  <c r="FJ5659"/>
  <c r="FK5659"/>
  <c r="FJ5657"/>
  <c r="FK5657"/>
  <c r="FJ5655"/>
  <c r="FK5655"/>
  <c r="FJ5653"/>
  <c r="FK5653"/>
  <c r="FJ5651"/>
  <c r="FK5651"/>
  <c r="FJ5649"/>
  <c r="FK5649"/>
  <c r="FJ5647"/>
  <c r="FK5647"/>
  <c r="FJ5645"/>
  <c r="FK5645"/>
  <c r="FJ5643"/>
  <c r="FK5643"/>
  <c r="FJ5641"/>
  <c r="FK5641"/>
  <c r="FJ5639"/>
  <c r="FK5639"/>
  <c r="FJ5637"/>
  <c r="FK5637"/>
  <c r="FJ5635"/>
  <c r="FK5635"/>
  <c r="FJ5633"/>
  <c r="FK5633"/>
  <c r="FJ5631"/>
  <c r="FK5631"/>
  <c r="FJ5629"/>
  <c r="FK5629"/>
  <c r="FJ5627"/>
  <c r="FK5627"/>
  <c r="FJ5625"/>
  <c r="FK5625"/>
  <c r="FJ5623"/>
  <c r="FK5623"/>
  <c r="FJ5621"/>
  <c r="FK5621"/>
  <c r="FJ5619"/>
  <c r="FK5619"/>
  <c r="FJ5617"/>
  <c r="FK5617"/>
  <c r="FJ5615"/>
  <c r="FK5615"/>
  <c r="FJ5613"/>
  <c r="FK5613"/>
  <c r="FJ5611"/>
  <c r="FK5611"/>
  <c r="FJ5609"/>
  <c r="FK5609"/>
  <c r="FJ5607"/>
  <c r="FK5607"/>
  <c r="FJ5605"/>
  <c r="FK5605"/>
  <c r="FJ5603"/>
  <c r="FK5603"/>
  <c r="FJ5601"/>
  <c r="FK5601"/>
  <c r="FJ5599"/>
  <c r="FK5599"/>
  <c r="FJ5597"/>
  <c r="FK5597"/>
  <c r="FJ5595"/>
  <c r="FK5595"/>
  <c r="FJ5593"/>
  <c r="FK5593"/>
  <c r="FJ5591"/>
  <c r="FK5591"/>
  <c r="FJ5589"/>
  <c r="FK5589"/>
  <c r="FJ5587"/>
  <c r="FK5587"/>
  <c r="FJ5585"/>
  <c r="FK5585"/>
  <c r="FJ5583"/>
  <c r="FK5583"/>
  <c r="FJ5581"/>
  <c r="FK5581"/>
  <c r="FJ5579"/>
  <c r="FK5579"/>
  <c r="FJ5577"/>
  <c r="FK5577"/>
  <c r="FJ5575"/>
  <c r="FK5575"/>
  <c r="FJ5573"/>
  <c r="FK5573"/>
  <c r="FJ5571"/>
  <c r="FK5571"/>
  <c r="FJ5569"/>
  <c r="FK5569"/>
  <c r="FJ5567"/>
  <c r="FK5567"/>
  <c r="FJ5565"/>
  <c r="FK5565"/>
  <c r="FJ5563"/>
  <c r="FK5563"/>
  <c r="FJ5561"/>
  <c r="FK5561"/>
  <c r="FJ5559"/>
  <c r="FK5559"/>
  <c r="FJ5557"/>
  <c r="FK5557"/>
  <c r="FJ5555"/>
  <c r="FK5555"/>
  <c r="FJ5553"/>
  <c r="FK5553"/>
  <c r="FJ5551"/>
  <c r="FK5551"/>
  <c r="FJ5549"/>
  <c r="FK5549"/>
  <c r="FJ5547"/>
  <c r="FK5547"/>
  <c r="FJ5545"/>
  <c r="FK5545"/>
  <c r="FJ5543"/>
  <c r="FK5543"/>
  <c r="FJ5541"/>
  <c r="FK5541"/>
  <c r="FJ5539"/>
  <c r="FK5539"/>
  <c r="FJ5537"/>
  <c r="FK5537"/>
  <c r="FJ5535"/>
  <c r="FK5535"/>
  <c r="FJ5533"/>
  <c r="FK5533"/>
  <c r="FJ5531"/>
  <c r="FK5531"/>
  <c r="FJ5529"/>
  <c r="FK5529"/>
  <c r="FJ5527"/>
  <c r="FK5527"/>
  <c r="FJ5525"/>
  <c r="FK5525"/>
  <c r="FJ5523"/>
  <c r="FK5523"/>
  <c r="FJ5521"/>
  <c r="FK5521"/>
  <c r="FJ5519"/>
  <c r="FK5519"/>
  <c r="FJ5517"/>
  <c r="FK5517"/>
  <c r="FJ5515"/>
  <c r="FK5515"/>
  <c r="FJ5513"/>
  <c r="FK5513"/>
  <c r="FJ5511"/>
  <c r="FK5511"/>
  <c r="FJ5509"/>
  <c r="FK5509"/>
  <c r="FJ5507"/>
  <c r="FK5507"/>
  <c r="FJ5505"/>
  <c r="FK5505"/>
  <c r="FJ5503"/>
  <c r="FK5503"/>
  <c r="FJ5501"/>
  <c r="FK5501"/>
  <c r="FJ5499"/>
  <c r="FK5499"/>
  <c r="FJ5497"/>
  <c r="FK5497"/>
  <c r="FJ5495"/>
  <c r="FK5495"/>
  <c r="FJ5493"/>
  <c r="FK5493"/>
  <c r="FJ5491"/>
  <c r="FK5491"/>
  <c r="FJ5489"/>
  <c r="FK5489"/>
  <c r="FJ5487"/>
  <c r="FK5487"/>
  <c r="FJ5485"/>
  <c r="FK5485"/>
  <c r="FJ5483"/>
  <c r="FK5483"/>
  <c r="FJ5481"/>
  <c r="FK5481"/>
  <c r="FJ5479"/>
  <c r="FK5479"/>
  <c r="FJ5477"/>
  <c r="FK5477"/>
  <c r="FJ5475"/>
  <c r="FK5475"/>
  <c r="FJ5473"/>
  <c r="FK5473"/>
  <c r="FJ5471"/>
  <c r="FK5471"/>
  <c r="FJ5469"/>
  <c r="FK5469"/>
  <c r="FJ5467"/>
  <c r="FK5467"/>
  <c r="FJ5465"/>
  <c r="FK5465"/>
  <c r="FJ5463"/>
  <c r="FK5463"/>
  <c r="FJ5461"/>
  <c r="FK5461"/>
  <c r="FJ5459"/>
  <c r="FK5459"/>
  <c r="FJ5457"/>
  <c r="FK5457"/>
  <c r="FJ5455"/>
  <c r="FK5455"/>
  <c r="FJ5453"/>
  <c r="FK5453"/>
  <c r="FJ5451"/>
  <c r="FK5451"/>
  <c r="FJ5449"/>
  <c r="FK5449"/>
  <c r="FJ5447"/>
  <c r="FK5447"/>
  <c r="FJ5445"/>
  <c r="FK5445"/>
  <c r="FJ5443"/>
  <c r="FK5443"/>
  <c r="FJ5441"/>
  <c r="FK5441"/>
  <c r="FJ5439"/>
  <c r="FK5439"/>
  <c r="FJ5437"/>
  <c r="FK5437"/>
  <c r="FJ5435"/>
  <c r="FK5435"/>
  <c r="FJ5433"/>
  <c r="FK5433"/>
  <c r="FJ5431"/>
  <c r="FK5431"/>
  <c r="FJ5429"/>
  <c r="FK5429"/>
  <c r="FJ5427"/>
  <c r="FK5427"/>
  <c r="FJ5425"/>
  <c r="FK5425"/>
  <c r="FJ5423"/>
  <c r="FK5423"/>
  <c r="FJ5421"/>
  <c r="FK5421"/>
  <c r="FJ5419"/>
  <c r="FK5419"/>
  <c r="FJ5417"/>
  <c r="FK5417"/>
  <c r="FJ5415"/>
  <c r="FK5415"/>
  <c r="FJ5413"/>
  <c r="FK5413"/>
  <c r="FJ5411"/>
  <c r="FK5411"/>
  <c r="FJ5409"/>
  <c r="FK5409"/>
  <c r="FJ5407"/>
  <c r="FK5407"/>
  <c r="FJ5405"/>
  <c r="FK5405"/>
  <c r="FJ5403"/>
  <c r="FK5403"/>
  <c r="FJ5401"/>
  <c r="FK5401"/>
  <c r="FJ5399"/>
  <c r="FK5399"/>
  <c r="FJ5397"/>
  <c r="FK5397"/>
  <c r="FJ5395"/>
  <c r="FK5395"/>
  <c r="FJ5393"/>
  <c r="FK5393"/>
  <c r="FJ5391"/>
  <c r="FK5391"/>
  <c r="FJ5389"/>
  <c r="FK5389"/>
  <c r="FJ5387"/>
  <c r="FK5387"/>
  <c r="FJ5385"/>
  <c r="FK5385"/>
  <c r="FJ5383"/>
  <c r="FK5383"/>
  <c r="FJ5381"/>
  <c r="FK5381"/>
  <c r="FJ5379"/>
  <c r="FK5379"/>
  <c r="FJ5377"/>
  <c r="FK5377"/>
  <c r="FJ5375"/>
  <c r="FK5375"/>
  <c r="FJ5373"/>
  <c r="FK5373"/>
  <c r="FJ5371"/>
  <c r="FK5371"/>
  <c r="FJ5369"/>
  <c r="FK5369"/>
  <c r="FJ5367"/>
  <c r="FK5367"/>
  <c r="FJ5365"/>
  <c r="FK5365"/>
  <c r="FJ5363"/>
  <c r="FK5363"/>
  <c r="FJ5361"/>
  <c r="FK5361"/>
  <c r="FJ5359"/>
  <c r="FK5359"/>
  <c r="FJ5357"/>
  <c r="FK5357"/>
  <c r="FJ5355"/>
  <c r="FK5355"/>
  <c r="FJ5353"/>
  <c r="FK5353"/>
  <c r="FJ5351"/>
  <c r="FK5351"/>
  <c r="FJ5349"/>
  <c r="FK5349"/>
  <c r="FJ5347"/>
  <c r="FK5347"/>
  <c r="FJ5345"/>
  <c r="FK5345"/>
  <c r="FJ5343"/>
  <c r="FK5343"/>
  <c r="FJ5341"/>
  <c r="FK5341"/>
  <c r="FJ5339"/>
  <c r="FK5339"/>
  <c r="FJ5337"/>
  <c r="FK5337"/>
  <c r="FJ5335"/>
  <c r="FK5335"/>
  <c r="FJ5333"/>
  <c r="FK5333"/>
  <c r="FJ5331"/>
  <c r="FK5331"/>
  <c r="FJ5329"/>
  <c r="FK5329"/>
  <c r="FJ5327"/>
  <c r="FK5327"/>
  <c r="FJ5325"/>
  <c r="FK5325"/>
  <c r="FJ5323"/>
  <c r="FK5323"/>
  <c r="FJ5321"/>
  <c r="FK5321"/>
  <c r="FJ5319"/>
  <c r="FK5319"/>
  <c r="FJ5317"/>
  <c r="FK5317"/>
  <c r="FJ5315"/>
  <c r="FK5315"/>
  <c r="FJ5313"/>
  <c r="FK5313"/>
  <c r="FJ5311"/>
  <c r="FK5311"/>
  <c r="FJ5309"/>
  <c r="FK5309"/>
  <c r="FJ5307"/>
  <c r="FK5307"/>
  <c r="FJ5305"/>
  <c r="FK5305"/>
  <c r="FJ5303"/>
  <c r="FK5303"/>
  <c r="FJ5301"/>
  <c r="FK5301"/>
  <c r="FJ5299"/>
  <c r="FK5299"/>
  <c r="FJ5297"/>
  <c r="FK5297"/>
  <c r="FJ5295"/>
  <c r="FK5295"/>
  <c r="FJ5293"/>
  <c r="FK5293"/>
  <c r="FJ5291"/>
  <c r="FK5291"/>
  <c r="FJ5289"/>
  <c r="FK5289"/>
  <c r="FJ5287"/>
  <c r="FK5287"/>
  <c r="FJ5285"/>
  <c r="FK5285"/>
  <c r="FJ5283"/>
  <c r="FK5283"/>
  <c r="FJ5281"/>
  <c r="FK5281"/>
  <c r="FJ5279"/>
  <c r="FK5279"/>
  <c r="FJ5277"/>
  <c r="FK5277"/>
  <c r="FJ5275"/>
  <c r="FK5275"/>
  <c r="FJ5273"/>
  <c r="FK5273"/>
  <c r="FJ5271"/>
  <c r="FK5271"/>
  <c r="FJ5269"/>
  <c r="FK5269"/>
  <c r="FJ5267"/>
  <c r="FK5267"/>
  <c r="FJ5265"/>
  <c r="FK5265"/>
  <c r="FJ5263"/>
  <c r="FK5263"/>
  <c r="FJ5261"/>
  <c r="FK5261"/>
  <c r="FJ5259"/>
  <c r="FK5259"/>
  <c r="FJ5257"/>
  <c r="FK5257"/>
  <c r="FJ5255"/>
  <c r="FK5255"/>
  <c r="FJ5253"/>
  <c r="FK5253"/>
  <c r="FJ5251"/>
  <c r="FK5251"/>
  <c r="FJ5249"/>
  <c r="FK5249"/>
  <c r="FJ5247"/>
  <c r="FK5247"/>
  <c r="FJ5245"/>
  <c r="FK5245"/>
  <c r="FJ5243"/>
  <c r="FK5243"/>
  <c r="FJ5241"/>
  <c r="FK5241"/>
  <c r="FJ5239"/>
  <c r="FK5239"/>
  <c r="FJ5237"/>
  <c r="FK5237"/>
  <c r="FJ5235"/>
  <c r="FK5235"/>
  <c r="FJ5233"/>
  <c r="FK5233"/>
  <c r="FJ5231"/>
  <c r="FK5231"/>
  <c r="FJ5229"/>
  <c r="FK5229"/>
  <c r="FJ5227"/>
  <c r="FK5227"/>
  <c r="FJ5225"/>
  <c r="FK5225"/>
  <c r="FJ5223"/>
  <c r="FK5223"/>
  <c r="FJ5221"/>
  <c r="FK5221"/>
  <c r="FJ5219"/>
  <c r="FK5219"/>
  <c r="FJ5217"/>
  <c r="FK5217"/>
  <c r="FJ314"/>
  <c r="FK314"/>
  <c r="FJ312"/>
  <c r="FK312"/>
  <c r="FJ310"/>
  <c r="FK310"/>
  <c r="FJ308"/>
  <c r="FK308"/>
  <c r="FJ306"/>
  <c r="FK306"/>
  <c r="FJ304"/>
  <c r="FK304"/>
  <c r="FJ302"/>
  <c r="FK302"/>
  <c r="FJ300"/>
  <c r="FK300"/>
  <c r="FJ298"/>
  <c r="FK298"/>
  <c r="FJ296"/>
  <c r="FK296"/>
  <c r="FJ294"/>
  <c r="FK294"/>
  <c r="FJ292"/>
  <c r="FK292"/>
  <c r="FJ290"/>
  <c r="FK290"/>
  <c r="FJ288"/>
  <c r="FK288"/>
  <c r="FJ286"/>
  <c r="FK286"/>
  <c r="FJ284"/>
  <c r="FK284"/>
  <c r="FJ282"/>
  <c r="FK282"/>
  <c r="FJ280"/>
  <c r="FK280"/>
  <c r="FJ278"/>
  <c r="FK278"/>
  <c r="FJ276"/>
  <c r="FK276"/>
  <c r="FJ274"/>
  <c r="FK274"/>
  <c r="FJ272"/>
  <c r="FK272"/>
  <c r="FJ270"/>
  <c r="FK270"/>
  <c r="FJ268"/>
  <c r="FK268"/>
  <c r="FJ266"/>
  <c r="FK266"/>
  <c r="FJ264"/>
  <c r="FK264"/>
  <c r="FJ262"/>
  <c r="FK262"/>
  <c r="FJ260"/>
  <c r="FK260"/>
  <c r="FJ258"/>
  <c r="FK258"/>
  <c r="FJ256"/>
  <c r="FK256"/>
  <c r="FJ254"/>
  <c r="FK254"/>
  <c r="FJ252"/>
  <c r="FK252"/>
  <c r="FJ250"/>
  <c r="FK250"/>
  <c r="FJ248"/>
  <c r="FK248"/>
  <c r="FJ246"/>
  <c r="FK246"/>
  <c r="FJ244"/>
  <c r="FK244"/>
  <c r="FJ242"/>
  <c r="FK242"/>
  <c r="FJ240"/>
  <c r="FK240"/>
  <c r="FJ238"/>
  <c r="FK238"/>
  <c r="FJ236"/>
  <c r="FK236"/>
  <c r="FJ234"/>
  <c r="FK234"/>
  <c r="FJ232"/>
  <c r="FK232"/>
  <c r="FJ230"/>
  <c r="FK230"/>
  <c r="FJ228"/>
  <c r="FK228"/>
  <c r="FJ226"/>
  <c r="FK226"/>
  <c r="FJ224"/>
  <c r="FK224"/>
  <c r="FJ222"/>
  <c r="FK222"/>
  <c r="FJ220"/>
  <c r="FK220"/>
  <c r="FJ218"/>
  <c r="FK218"/>
  <c r="FJ216"/>
  <c r="FK216"/>
  <c r="FJ214"/>
  <c r="FK214"/>
  <c r="FJ212"/>
  <c r="FK212"/>
  <c r="FJ210"/>
  <c r="FK210"/>
  <c r="FJ208"/>
  <c r="FK208"/>
  <c r="FJ206"/>
  <c r="FK206"/>
  <c r="FJ204"/>
  <c r="FK204"/>
  <c r="FJ202"/>
  <c r="FK202"/>
  <c r="FJ200"/>
  <c r="FK200"/>
  <c r="FJ198"/>
  <c r="FK198"/>
  <c r="FJ196"/>
  <c r="FK196"/>
  <c r="FJ194"/>
  <c r="FK194"/>
  <c r="FJ192"/>
  <c r="FK192"/>
  <c r="FJ190"/>
  <c r="FK190"/>
  <c r="FJ188"/>
  <c r="FK188"/>
  <c r="FJ186"/>
  <c r="FK186"/>
  <c r="FJ184"/>
  <c r="FK184"/>
  <c r="FJ182"/>
  <c r="FK182"/>
  <c r="FJ180"/>
  <c r="FK180"/>
  <c r="FJ178"/>
  <c r="FK178"/>
  <c r="FJ176"/>
  <c r="FK176"/>
  <c r="FJ174"/>
  <c r="FK174"/>
  <c r="FJ172"/>
  <c r="FK172"/>
  <c r="FJ170"/>
  <c r="FK170"/>
  <c r="FJ168"/>
  <c r="FK168"/>
  <c r="FJ166"/>
  <c r="FK166"/>
  <c r="FJ164"/>
  <c r="FK164"/>
  <c r="FJ162"/>
  <c r="FK162"/>
  <c r="FJ160"/>
  <c r="FK160"/>
  <c r="FJ158"/>
  <c r="FK158"/>
  <c r="FJ156"/>
  <c r="FK156"/>
  <c r="FJ7000"/>
  <c r="FK7000"/>
  <c r="FJ6998"/>
  <c r="FK6998"/>
  <c r="FJ6996"/>
  <c r="FK6996"/>
  <c r="FJ6994"/>
  <c r="FK6994"/>
  <c r="FJ6992"/>
  <c r="FK6992"/>
  <c r="FJ6990"/>
  <c r="FK6990"/>
  <c r="FJ6988"/>
  <c r="FK6988"/>
  <c r="FJ6986"/>
  <c r="FK6986"/>
  <c r="FJ6984"/>
  <c r="FK6984"/>
  <c r="FJ6982"/>
  <c r="FK6982"/>
  <c r="FJ6980"/>
  <c r="FK6980"/>
  <c r="FJ6978"/>
  <c r="FK6978"/>
  <c r="FJ6976"/>
  <c r="FK6976"/>
  <c r="FJ6974"/>
  <c r="FK6974"/>
  <c r="FJ6972"/>
  <c r="FK6972"/>
  <c r="FJ6970"/>
  <c r="FK6970"/>
  <c r="FJ6968"/>
  <c r="FK6968"/>
  <c r="FJ6966"/>
  <c r="FK6966"/>
  <c r="FJ6964"/>
  <c r="FK6964"/>
  <c r="FJ6962"/>
  <c r="FK6962"/>
  <c r="FJ6960"/>
  <c r="FK6960"/>
  <c r="FJ6958"/>
  <c r="FK6958"/>
  <c r="FJ6956"/>
  <c r="FK6956"/>
  <c r="FJ6954"/>
  <c r="FK6954"/>
  <c r="FJ6952"/>
  <c r="FK6952"/>
  <c r="FJ6950"/>
  <c r="FK6950"/>
  <c r="FJ6948"/>
  <c r="FK6948"/>
  <c r="FJ6946"/>
  <c r="FK6946"/>
  <c r="FJ6944"/>
  <c r="FK6944"/>
  <c r="FJ6942"/>
  <c r="FK6942"/>
  <c r="FJ6940"/>
  <c r="FK6940"/>
  <c r="FJ6938"/>
  <c r="FK6938"/>
  <c r="FJ6936"/>
  <c r="FK6936"/>
  <c r="FJ6934"/>
  <c r="FK6934"/>
  <c r="FJ6932"/>
  <c r="FK6932"/>
  <c r="FJ6930"/>
  <c r="FK6930"/>
  <c r="FJ6928"/>
  <c r="FK6928"/>
  <c r="FJ6926"/>
  <c r="FK6926"/>
  <c r="FJ6924"/>
  <c r="FK6924"/>
  <c r="FJ6922"/>
  <c r="FK6922"/>
  <c r="FJ6920"/>
  <c r="FK6920"/>
  <c r="FJ6918"/>
  <c r="FK6918"/>
  <c r="FJ6916"/>
  <c r="FK6916"/>
  <c r="FJ6914"/>
  <c r="FK6914"/>
  <c r="FJ6912"/>
  <c r="FK6912"/>
  <c r="FJ6910"/>
  <c r="FK6910"/>
  <c r="FJ6908"/>
  <c r="FK6908"/>
  <c r="FJ6906"/>
  <c r="FK6906"/>
  <c r="FJ6904"/>
  <c r="FK6904"/>
  <c r="FJ6902"/>
  <c r="FK6902"/>
  <c r="FJ6900"/>
  <c r="FK6900"/>
  <c r="FJ6898"/>
  <c r="FK6898"/>
  <c r="FJ6896"/>
  <c r="FK6896"/>
  <c r="FJ6894"/>
  <c r="FK6894"/>
  <c r="FJ6892"/>
  <c r="FK6892"/>
  <c r="FJ6890"/>
  <c r="FK6890"/>
  <c r="FJ6888"/>
  <c r="FK6888"/>
  <c r="FJ6886"/>
  <c r="FK6886"/>
  <c r="FJ6884"/>
  <c r="FK6884"/>
  <c r="FJ6882"/>
  <c r="FK6882"/>
  <c r="FJ6880"/>
  <c r="FK6880"/>
  <c r="FJ6878"/>
  <c r="FK6878"/>
  <c r="FJ6876"/>
  <c r="FK6876"/>
  <c r="FJ6874"/>
  <c r="FK6874"/>
  <c r="FJ6872"/>
  <c r="FK6872"/>
  <c r="FJ6870"/>
  <c r="FK6870"/>
  <c r="FJ6868"/>
  <c r="FK6868"/>
  <c r="FJ6866"/>
  <c r="FK6866"/>
  <c r="FJ6864"/>
  <c r="FK6864"/>
  <c r="FJ6862"/>
  <c r="FK6862"/>
  <c r="FJ6860"/>
  <c r="FK6860"/>
  <c r="FJ6858"/>
  <c r="FK6858"/>
  <c r="FJ6856"/>
  <c r="FK6856"/>
  <c r="FJ6854"/>
  <c r="FK6854"/>
  <c r="FJ6852"/>
  <c r="FK6852"/>
  <c r="FJ6850"/>
  <c r="FK6850"/>
  <c r="FJ6848"/>
  <c r="FK6848"/>
  <c r="FJ6846"/>
  <c r="FK6846"/>
  <c r="FJ6844"/>
  <c r="FK6844"/>
  <c r="FJ6842"/>
  <c r="FK6842"/>
  <c r="FJ6840"/>
  <c r="FK6840"/>
  <c r="FJ6838"/>
  <c r="FK6838"/>
  <c r="FJ6836"/>
  <c r="FK6836"/>
  <c r="FJ6834"/>
  <c r="FK6834"/>
  <c r="FJ6832"/>
  <c r="FK6832"/>
  <c r="FJ6830"/>
  <c r="FK6830"/>
  <c r="FJ6828"/>
  <c r="FK6828"/>
  <c r="FJ6826"/>
  <c r="FK6826"/>
  <c r="FJ6824"/>
  <c r="FK6824"/>
  <c r="FJ6822"/>
  <c r="FK6822"/>
  <c r="FJ6820"/>
  <c r="FK6820"/>
  <c r="FJ6818"/>
  <c r="FK6818"/>
  <c r="FJ6816"/>
  <c r="FK6816"/>
  <c r="FJ6814"/>
  <c r="FK6814"/>
  <c r="FJ6812"/>
  <c r="FK6812"/>
  <c r="FJ6810"/>
  <c r="FK6810"/>
  <c r="FJ6808"/>
  <c r="FK6808"/>
  <c r="FJ6806"/>
  <c r="FK6806"/>
  <c r="FJ6804"/>
  <c r="FK6804"/>
  <c r="FJ6802"/>
  <c r="FK6802"/>
  <c r="FJ6800"/>
  <c r="FK6800"/>
  <c r="FJ6798"/>
  <c r="FK6798"/>
  <c r="FJ6796"/>
  <c r="FK6796"/>
  <c r="FJ6794"/>
  <c r="FK6794"/>
  <c r="FJ6792"/>
  <c r="FK6792"/>
  <c r="FJ6790"/>
  <c r="FK6790"/>
  <c r="FJ6788"/>
  <c r="FK6788"/>
  <c r="FJ6786"/>
  <c r="FK6786"/>
  <c r="FJ6784"/>
  <c r="FK6784"/>
  <c r="FJ6782"/>
  <c r="FK6782"/>
  <c r="FJ6780"/>
  <c r="FK6780"/>
  <c r="FJ6778"/>
  <c r="FK6778"/>
  <c r="FJ6776"/>
  <c r="FK6776"/>
  <c r="FJ6774"/>
  <c r="FK6774"/>
  <c r="FJ6772"/>
  <c r="FK6772"/>
  <c r="FJ6770"/>
  <c r="FK6770"/>
  <c r="FJ6768"/>
  <c r="FK6768"/>
  <c r="FJ6766"/>
  <c r="FK6766"/>
  <c r="FJ6764"/>
  <c r="FK6764"/>
  <c r="FJ6762"/>
  <c r="FK6762"/>
  <c r="FJ6760"/>
  <c r="FK6760"/>
  <c r="FJ6758"/>
  <c r="FK6758"/>
  <c r="FJ6756"/>
  <c r="FK6756"/>
  <c r="FJ6754"/>
  <c r="FK6754"/>
  <c r="FJ6752"/>
  <c r="FK6752"/>
  <c r="FJ6750"/>
  <c r="FK6750"/>
  <c r="FJ6748"/>
  <c r="FK6748"/>
  <c r="FJ6746"/>
  <c r="FK6746"/>
  <c r="FJ6744"/>
  <c r="FK6744"/>
  <c r="FJ6742"/>
  <c r="FK6742"/>
  <c r="FJ6740"/>
  <c r="FK6740"/>
  <c r="FJ6738"/>
  <c r="FK6738"/>
  <c r="FJ6736"/>
  <c r="FK6736"/>
  <c r="FJ6734"/>
  <c r="FK6734"/>
  <c r="FJ6732"/>
  <c r="FK6732"/>
  <c r="FJ6730"/>
  <c r="FK6730"/>
  <c r="FJ6728"/>
  <c r="FK6728"/>
  <c r="FJ6726"/>
  <c r="FK6726"/>
  <c r="FJ6724"/>
  <c r="FK6724"/>
  <c r="FJ6722"/>
  <c r="FK6722"/>
  <c r="FJ6720"/>
  <c r="FK6720"/>
  <c r="FJ6718"/>
  <c r="FK6718"/>
  <c r="FJ6716"/>
  <c r="FK6716"/>
  <c r="FJ6714"/>
  <c r="FK6714"/>
  <c r="FJ6712"/>
  <c r="FK6712"/>
  <c r="FJ6710"/>
  <c r="FK6710"/>
  <c r="FJ6708"/>
  <c r="FK6708"/>
  <c r="FJ6706"/>
  <c r="FK6706"/>
  <c r="FJ6704"/>
  <c r="FK6704"/>
  <c r="FJ6702"/>
  <c r="FK6702"/>
  <c r="FJ6700"/>
  <c r="FK6700"/>
  <c r="FJ6698"/>
  <c r="FK6698"/>
  <c r="FJ6696"/>
  <c r="FK6696"/>
  <c r="FJ6694"/>
  <c r="FK6694"/>
  <c r="FJ6692"/>
  <c r="FK6692"/>
  <c r="FJ6690"/>
  <c r="FK6690"/>
  <c r="FJ6688"/>
  <c r="FK6688"/>
  <c r="FJ6686"/>
  <c r="FK6686"/>
  <c r="FJ6684"/>
  <c r="FK6684"/>
  <c r="FJ6682"/>
  <c r="FK6682"/>
  <c r="FJ6680"/>
  <c r="FK6680"/>
  <c r="FJ6678"/>
  <c r="FK6678"/>
  <c r="FJ6676"/>
  <c r="FK6676"/>
  <c r="FJ6674"/>
  <c r="FK6674"/>
  <c r="FJ6672"/>
  <c r="FK6672"/>
  <c r="FJ6670"/>
  <c r="FK6670"/>
  <c r="FJ6668"/>
  <c r="FK6668"/>
  <c r="FJ6666"/>
  <c r="FK6666"/>
  <c r="FJ6664"/>
  <c r="FK6664"/>
  <c r="FJ6662"/>
  <c r="FK6662"/>
  <c r="FJ6660"/>
  <c r="FK6660"/>
  <c r="FJ6658"/>
  <c r="FK6658"/>
  <c r="FJ6656"/>
  <c r="FK6656"/>
  <c r="FJ6654"/>
  <c r="FK6654"/>
  <c r="FJ6652"/>
  <c r="FK6652"/>
  <c r="FJ6650"/>
  <c r="FK6650"/>
  <c r="FJ6648"/>
  <c r="FK6648"/>
  <c r="FJ6646"/>
  <c r="FK6646"/>
  <c r="FJ6644"/>
  <c r="FK6644"/>
  <c r="FJ6642"/>
  <c r="FK6642"/>
  <c r="FJ6640"/>
  <c r="FK6640"/>
  <c r="FJ6638"/>
  <c r="FK6638"/>
  <c r="FJ6636"/>
  <c r="FK6636"/>
  <c r="FJ6634"/>
  <c r="FK6634"/>
  <c r="FJ6632"/>
  <c r="FK6632"/>
  <c r="FJ6630"/>
  <c r="FK6630"/>
  <c r="FJ6628"/>
  <c r="FK6628"/>
  <c r="FJ6626"/>
  <c r="FK6626"/>
  <c r="FJ6624"/>
  <c r="FK6624"/>
  <c r="FJ6622"/>
  <c r="FK6622"/>
  <c r="FJ6620"/>
  <c r="FK6620"/>
  <c r="FJ6618"/>
  <c r="FK6618"/>
  <c r="FJ6616"/>
  <c r="FK6616"/>
  <c r="FJ6614"/>
  <c r="FK6614"/>
  <c r="FJ6612"/>
  <c r="FK6612"/>
  <c r="FJ6610"/>
  <c r="FK6610"/>
  <c r="FJ6608"/>
  <c r="FK6608"/>
  <c r="FJ6606"/>
  <c r="FK6606"/>
  <c r="FJ6604"/>
  <c r="FK6604"/>
  <c r="FJ6602"/>
  <c r="FK6602"/>
  <c r="FJ6600"/>
  <c r="FK6600"/>
  <c r="FJ6598"/>
  <c r="FK6598"/>
  <c r="FJ6596"/>
  <c r="FK6596"/>
  <c r="FJ6594"/>
  <c r="FK6594"/>
  <c r="FJ6592"/>
  <c r="FK6592"/>
  <c r="FJ6590"/>
  <c r="FK6590"/>
  <c r="FJ6588"/>
  <c r="FK6588"/>
  <c r="FJ6586"/>
  <c r="FK6586"/>
  <c r="FJ6584"/>
  <c r="FK6584"/>
  <c r="FJ6582"/>
  <c r="FK6582"/>
  <c r="FJ6580"/>
  <c r="FK6580"/>
  <c r="FJ6578"/>
  <c r="FK6578"/>
  <c r="FJ6576"/>
  <c r="FK6576"/>
  <c r="FJ6574"/>
  <c r="FK6574"/>
  <c r="FJ6572"/>
  <c r="FK6572"/>
  <c r="FJ6570"/>
  <c r="FK6570"/>
  <c r="FJ6568"/>
  <c r="FK6568"/>
  <c r="FJ6566"/>
  <c r="FK6566"/>
  <c r="FJ6564"/>
  <c r="FK6564"/>
  <c r="FJ6562"/>
  <c r="FK6562"/>
  <c r="FJ6560"/>
  <c r="FK6560"/>
  <c r="FJ6558"/>
  <c r="FK6558"/>
  <c r="FJ6556"/>
  <c r="FK6556"/>
  <c r="FJ6554"/>
  <c r="FK6554"/>
  <c r="FJ6552"/>
  <c r="FK6552"/>
  <c r="FJ6550"/>
  <c r="FK6550"/>
  <c r="FJ6548"/>
  <c r="FK6548"/>
  <c r="FJ6546"/>
  <c r="FK6546"/>
  <c r="FJ6544"/>
  <c r="FK6544"/>
  <c r="FJ6542"/>
  <c r="FK6542"/>
  <c r="FJ6540"/>
  <c r="FK6540"/>
  <c r="FJ6538"/>
  <c r="FK6538"/>
  <c r="FJ6536"/>
  <c r="FK6536"/>
  <c r="FJ6534"/>
  <c r="FK6534"/>
  <c r="FJ6532"/>
  <c r="FK6532"/>
  <c r="FJ6530"/>
  <c r="FK6530"/>
  <c r="FJ6528"/>
  <c r="FK6528"/>
  <c r="FJ6526"/>
  <c r="FK6526"/>
  <c r="FJ6524"/>
  <c r="FK6524"/>
  <c r="FJ6522"/>
  <c r="FK6522"/>
  <c r="FJ6520"/>
  <c r="FK6520"/>
  <c r="FJ6518"/>
  <c r="FK6518"/>
  <c r="FJ6516"/>
  <c r="FK6516"/>
  <c r="FJ6514"/>
  <c r="FK6514"/>
  <c r="FJ6512"/>
  <c r="FK6512"/>
  <c r="FJ6510"/>
  <c r="FK6510"/>
  <c r="FJ6508"/>
  <c r="FK6508"/>
  <c r="FJ6506"/>
  <c r="FK6506"/>
  <c r="FJ6504"/>
  <c r="FK6504"/>
  <c r="FJ6502"/>
  <c r="FK6502"/>
  <c r="FJ6500"/>
  <c r="FK6500"/>
  <c r="FJ6498"/>
  <c r="FK6498"/>
  <c r="FJ6496"/>
  <c r="FK6496"/>
  <c r="FJ6494"/>
  <c r="FK6494"/>
  <c r="FJ6492"/>
  <c r="FK6492"/>
  <c r="FJ6490"/>
  <c r="FK6490"/>
  <c r="FJ6488"/>
  <c r="FK6488"/>
  <c r="FJ6486"/>
  <c r="FK6486"/>
  <c r="FJ6484"/>
  <c r="FK6484"/>
  <c r="FJ6482"/>
  <c r="FK6482"/>
  <c r="FJ6480"/>
  <c r="FK6480"/>
  <c r="FJ6478"/>
  <c r="FK6478"/>
  <c r="FJ6476"/>
  <c r="FK6476"/>
  <c r="FJ6474"/>
  <c r="FK6474"/>
  <c r="FJ6472"/>
  <c r="FK6472"/>
  <c r="FJ6470"/>
  <c r="FK6470"/>
  <c r="FJ6468"/>
  <c r="FK6468"/>
  <c r="FJ6466"/>
  <c r="FK6466"/>
  <c r="FJ6464"/>
  <c r="FK6464"/>
  <c r="FJ6462"/>
  <c r="FK6462"/>
  <c r="FJ6460"/>
  <c r="FK6460"/>
  <c r="FJ6458"/>
  <c r="FK6458"/>
  <c r="FJ6456"/>
  <c r="FK6456"/>
  <c r="FJ6454"/>
  <c r="FK6454"/>
  <c r="FJ6452"/>
  <c r="FK6452"/>
  <c r="FJ6450"/>
  <c r="FK6450"/>
  <c r="FJ6448"/>
  <c r="FK6448"/>
  <c r="FJ6446"/>
  <c r="FK6446"/>
  <c r="FJ6444"/>
  <c r="FK6444"/>
  <c r="FJ6442"/>
  <c r="FK6442"/>
  <c r="FJ6440"/>
  <c r="FK6440"/>
  <c r="FJ6438"/>
  <c r="FK6438"/>
  <c r="FJ6436"/>
  <c r="FK6436"/>
  <c r="FJ6434"/>
  <c r="FK6434"/>
  <c r="FJ6432"/>
  <c r="FK6432"/>
  <c r="FJ6430"/>
  <c r="FK6430"/>
  <c r="FJ6428"/>
  <c r="FK6428"/>
  <c r="FJ6426"/>
  <c r="FK6426"/>
  <c r="FJ6424"/>
  <c r="FK6424"/>
  <c r="FJ6422"/>
  <c r="FK6422"/>
  <c r="FJ6420"/>
  <c r="FK6420"/>
  <c r="FJ6418"/>
  <c r="FK6418"/>
  <c r="FJ6416"/>
  <c r="FK6416"/>
  <c r="FJ6414"/>
  <c r="FK6414"/>
  <c r="FJ6412"/>
  <c r="FK6412"/>
  <c r="FJ6410"/>
  <c r="FK6410"/>
  <c r="FJ6408"/>
  <c r="FK6408"/>
  <c r="FJ6406"/>
  <c r="FK6406"/>
  <c r="FJ6404"/>
  <c r="FK6404"/>
  <c r="FJ6402"/>
  <c r="FK6402"/>
  <c r="FJ6400"/>
  <c r="FK6400"/>
  <c r="FJ6398"/>
  <c r="FK6398"/>
  <c r="FJ6396"/>
  <c r="FK6396"/>
  <c r="FJ6394"/>
  <c r="FK6394"/>
  <c r="FJ6392"/>
  <c r="FK6392"/>
  <c r="FJ6390"/>
  <c r="FK6390"/>
  <c r="FJ6388"/>
  <c r="FK6388"/>
  <c r="FJ6386"/>
  <c r="FK6386"/>
  <c r="FJ6384"/>
  <c r="FK6384"/>
  <c r="FJ6382"/>
  <c r="FK6382"/>
  <c r="FJ6380"/>
  <c r="FK6380"/>
  <c r="FJ6378"/>
  <c r="FK6378"/>
  <c r="FJ6376"/>
  <c r="FK6376"/>
  <c r="FJ6374"/>
  <c r="FK6374"/>
  <c r="FJ6372"/>
  <c r="FK6372"/>
  <c r="FJ6370"/>
  <c r="FK6370"/>
  <c r="FJ6368"/>
  <c r="FK6368"/>
  <c r="FJ6366"/>
  <c r="FK6366"/>
  <c r="FJ6364"/>
  <c r="FK6364"/>
  <c r="FJ6362"/>
  <c r="FK6362"/>
  <c r="FJ6360"/>
  <c r="FK6360"/>
  <c r="FJ6358"/>
  <c r="FK6358"/>
  <c r="FJ6356"/>
  <c r="FK6356"/>
  <c r="FJ6354"/>
  <c r="FK6354"/>
  <c r="FJ6352"/>
  <c r="FK6352"/>
  <c r="FJ6350"/>
  <c r="FK6350"/>
  <c r="FJ6348"/>
  <c r="FK6348"/>
  <c r="FJ6346"/>
  <c r="FK6346"/>
  <c r="FJ6344"/>
  <c r="FK6344"/>
  <c r="FJ6342"/>
  <c r="FK6342"/>
  <c r="FJ6340"/>
  <c r="FK6340"/>
  <c r="FJ6338"/>
  <c r="FK6338"/>
  <c r="FJ6336"/>
  <c r="FK6336"/>
  <c r="FJ6334"/>
  <c r="FK6334"/>
  <c r="FJ6332"/>
  <c r="FK6332"/>
  <c r="FJ6330"/>
  <c r="FK6330"/>
  <c r="FJ6328"/>
  <c r="FK6328"/>
  <c r="FJ6326"/>
  <c r="FK6326"/>
  <c r="FJ6324"/>
  <c r="FK6324"/>
  <c r="FJ6322"/>
  <c r="FK6322"/>
  <c r="FJ6320"/>
  <c r="FK6320"/>
  <c r="FJ6318"/>
  <c r="FK6318"/>
  <c r="FJ6316"/>
  <c r="FK6316"/>
  <c r="FJ6314"/>
  <c r="FK6314"/>
  <c r="FJ6312"/>
  <c r="FK6312"/>
  <c r="FJ6310"/>
  <c r="FK6310"/>
  <c r="FJ6308"/>
  <c r="FK6308"/>
  <c r="FJ6306"/>
  <c r="FK6306"/>
  <c r="FJ6304"/>
  <c r="FK6304"/>
  <c r="FJ6302"/>
  <c r="FK6302"/>
  <c r="FJ6300"/>
  <c r="FK6300"/>
  <c r="FJ6298"/>
  <c r="FK6298"/>
  <c r="FJ6296"/>
  <c r="FK6296"/>
  <c r="FJ6294"/>
  <c r="FK6294"/>
  <c r="FJ6292"/>
  <c r="FK6292"/>
  <c r="FJ6290"/>
  <c r="FK6290"/>
  <c r="FJ6288"/>
  <c r="FK6288"/>
  <c r="FJ6286"/>
  <c r="FK6286"/>
  <c r="FJ6284"/>
  <c r="FK6284"/>
  <c r="FJ6282"/>
  <c r="FK6282"/>
  <c r="FJ6280"/>
  <c r="FK6280"/>
  <c r="FJ6278"/>
  <c r="FK6278"/>
  <c r="FJ6276"/>
  <c r="FK6276"/>
  <c r="FJ6274"/>
  <c r="FK6274"/>
  <c r="FJ6272"/>
  <c r="FK6272"/>
  <c r="FJ6270"/>
  <c r="FK6270"/>
  <c r="FJ6268"/>
  <c r="FK6268"/>
  <c r="FJ6266"/>
  <c r="FK6266"/>
  <c r="FJ6264"/>
  <c r="FK6264"/>
  <c r="FJ6262"/>
  <c r="FK6262"/>
  <c r="FJ6260"/>
  <c r="FK6260"/>
  <c r="FJ6258"/>
  <c r="FK6258"/>
  <c r="FJ6256"/>
  <c r="FK6256"/>
  <c r="FJ6254"/>
  <c r="FK6254"/>
  <c r="FJ6252"/>
  <c r="FK6252"/>
  <c r="FJ6250"/>
  <c r="FK6250"/>
  <c r="FJ6248"/>
  <c r="FK6248"/>
  <c r="FJ6246"/>
  <c r="FK6246"/>
  <c r="FJ6244"/>
  <c r="FK6244"/>
  <c r="FJ6242"/>
  <c r="FK6242"/>
  <c r="FJ6240"/>
  <c r="FK6240"/>
  <c r="FJ6238"/>
  <c r="FK6238"/>
  <c r="FJ6236"/>
  <c r="FK6236"/>
  <c r="FJ6234"/>
  <c r="FK6234"/>
  <c r="FJ6232"/>
  <c r="FK6232"/>
  <c r="FJ6230"/>
  <c r="FK6230"/>
  <c r="FJ6228"/>
  <c r="FK6228"/>
  <c r="FJ6226"/>
  <c r="FK6226"/>
  <c r="FJ6224"/>
  <c r="FK6224"/>
  <c r="FJ6222"/>
  <c r="FK6222"/>
  <c r="FJ6220"/>
  <c r="FK6220"/>
  <c r="FJ6218"/>
  <c r="FK6218"/>
  <c r="FJ6216"/>
  <c r="FK6216"/>
  <c r="FJ6214"/>
  <c r="FK6214"/>
  <c r="FJ6212"/>
  <c r="FK6212"/>
  <c r="FJ6210"/>
  <c r="FK6210"/>
  <c r="FJ6208"/>
  <c r="FK6208"/>
  <c r="FJ6206"/>
  <c r="FK6206"/>
  <c r="FJ6204"/>
  <c r="FK6204"/>
  <c r="FJ6202"/>
  <c r="FK6202"/>
  <c r="FJ6200"/>
  <c r="FK6200"/>
  <c r="FJ6198"/>
  <c r="FK6198"/>
  <c r="FJ6196"/>
  <c r="FK6196"/>
  <c r="FJ6194"/>
  <c r="FK6194"/>
  <c r="FJ6192"/>
  <c r="FK6192"/>
  <c r="FJ6190"/>
  <c r="FK6190"/>
  <c r="FJ6188"/>
  <c r="FK6188"/>
  <c r="FJ6186"/>
  <c r="FK6186"/>
  <c r="FJ6184"/>
  <c r="FK6184"/>
  <c r="FJ6182"/>
  <c r="FK6182"/>
  <c r="FJ6180"/>
  <c r="FK6180"/>
  <c r="FJ6178"/>
  <c r="FK6178"/>
  <c r="FJ6176"/>
  <c r="FK6176"/>
  <c r="FJ6174"/>
  <c r="FK6174"/>
  <c r="FJ6172"/>
  <c r="FK6172"/>
  <c r="FJ6170"/>
  <c r="FK6170"/>
  <c r="FJ6168"/>
  <c r="FK6168"/>
  <c r="FJ6166"/>
  <c r="FK6166"/>
  <c r="FJ6164"/>
  <c r="FK6164"/>
  <c r="FJ6162"/>
  <c r="FK6162"/>
  <c r="FJ6160"/>
  <c r="FK6160"/>
  <c r="FJ6158"/>
  <c r="FK6158"/>
  <c r="FJ6156"/>
  <c r="FK6156"/>
  <c r="FJ6154"/>
  <c r="FK6154"/>
  <c r="FJ6152"/>
  <c r="FK6152"/>
  <c r="FJ6150"/>
  <c r="FK6150"/>
  <c r="FJ6148"/>
  <c r="FK6148"/>
  <c r="FJ6146"/>
  <c r="FK6146"/>
  <c r="FJ6144"/>
  <c r="FK6144"/>
  <c r="FJ6142"/>
  <c r="FK6142"/>
  <c r="FJ6140"/>
  <c r="FK6140"/>
  <c r="FJ6138"/>
  <c r="FK6138"/>
  <c r="FJ6136"/>
  <c r="FK6136"/>
  <c r="FJ6134"/>
  <c r="FK6134"/>
  <c r="FJ6132"/>
  <c r="FK6132"/>
  <c r="FJ6130"/>
  <c r="FK6130"/>
  <c r="FJ6128"/>
  <c r="FK6128"/>
  <c r="FJ6126"/>
  <c r="FK6126"/>
  <c r="FJ6124"/>
  <c r="FK6124"/>
  <c r="FJ6122"/>
  <c r="FK6122"/>
  <c r="FJ6120"/>
  <c r="FK6120"/>
  <c r="FJ6118"/>
  <c r="FK6118"/>
  <c r="FJ6116"/>
  <c r="FK6116"/>
  <c r="FJ6114"/>
  <c r="FK6114"/>
  <c r="FJ6112"/>
  <c r="FK6112"/>
  <c r="FJ6110"/>
  <c r="FK6110"/>
  <c r="FJ6108"/>
  <c r="FK6108"/>
  <c r="FJ6106"/>
  <c r="FK6106"/>
  <c r="FJ6104"/>
  <c r="FK6104"/>
  <c r="FJ6102"/>
  <c r="FK6102"/>
  <c r="FJ6100"/>
  <c r="FK6100"/>
  <c r="FJ6098"/>
  <c r="FK6098"/>
  <c r="FJ6096"/>
  <c r="FK6096"/>
  <c r="FJ6094"/>
  <c r="FK6094"/>
  <c r="FJ6092"/>
  <c r="FK6092"/>
  <c r="FJ6090"/>
  <c r="FK6090"/>
  <c r="FJ6088"/>
  <c r="FK6088"/>
  <c r="FJ6086"/>
  <c r="FK6086"/>
  <c r="FJ6084"/>
  <c r="FK6084"/>
  <c r="FJ6082"/>
  <c r="FK6082"/>
  <c r="FJ6080"/>
  <c r="FK6080"/>
  <c r="FJ6078"/>
  <c r="FK6078"/>
  <c r="FJ6076"/>
  <c r="FK6076"/>
  <c r="FJ6074"/>
  <c r="FK6074"/>
  <c r="FJ6072"/>
  <c r="FK6072"/>
  <c r="FJ6070"/>
  <c r="FK6070"/>
  <c r="FJ6068"/>
  <c r="FK6068"/>
  <c r="FJ6066"/>
  <c r="FK6066"/>
  <c r="FJ6064"/>
  <c r="FK6064"/>
  <c r="FJ6062"/>
  <c r="FK6062"/>
  <c r="FJ6060"/>
  <c r="FK6060"/>
  <c r="FJ6058"/>
  <c r="FK6058"/>
  <c r="FJ6056"/>
  <c r="FK6056"/>
  <c r="FJ6054"/>
  <c r="FK6054"/>
  <c r="FJ6052"/>
  <c r="FK6052"/>
  <c r="FJ6050"/>
  <c r="FK6050"/>
  <c r="FJ6048"/>
  <c r="FK6048"/>
  <c r="FJ6046"/>
  <c r="FK6046"/>
  <c r="FJ6044"/>
  <c r="FK6044"/>
  <c r="FJ6042"/>
  <c r="FK6042"/>
  <c r="FJ6040"/>
  <c r="FK6040"/>
  <c r="FJ6038"/>
  <c r="FK6038"/>
  <c r="FJ6036"/>
  <c r="FK6036"/>
  <c r="FJ6034"/>
  <c r="FK6034"/>
  <c r="FJ6032"/>
  <c r="FK6032"/>
  <c r="FJ6030"/>
  <c r="FK6030"/>
  <c r="FJ6028"/>
  <c r="FK6028"/>
  <c r="FJ6026"/>
  <c r="FK6026"/>
  <c r="FJ6024"/>
  <c r="FK6024"/>
  <c r="FJ6022"/>
  <c r="FK6022"/>
  <c r="FJ6020"/>
  <c r="FK6020"/>
  <c r="FJ6018"/>
  <c r="FK6018"/>
  <c r="FJ6016"/>
  <c r="FK6016"/>
  <c r="FJ6014"/>
  <c r="FK6014"/>
  <c r="FJ6012"/>
  <c r="FK6012"/>
  <c r="FJ6010"/>
  <c r="FK6010"/>
  <c r="FJ6008"/>
  <c r="FK6008"/>
  <c r="FJ6006"/>
  <c r="FK6006"/>
  <c r="FJ6004"/>
  <c r="FK6004"/>
  <c r="FJ6002"/>
  <c r="FK6002"/>
  <c r="FJ6000"/>
  <c r="FK6000"/>
  <c r="FJ5998"/>
  <c r="FK5998"/>
  <c r="FJ5996"/>
  <c r="FK5996"/>
  <c r="FJ5994"/>
  <c r="FK5994"/>
  <c r="FJ5992"/>
  <c r="FK5992"/>
  <c r="FJ5990"/>
  <c r="FK5990"/>
  <c r="FJ5988"/>
  <c r="FK5988"/>
  <c r="FJ5986"/>
  <c r="FK5986"/>
  <c r="FJ5984"/>
  <c r="FK5984"/>
  <c r="FJ5982"/>
  <c r="FK5982"/>
  <c r="FJ5980"/>
  <c r="FK5980"/>
  <c r="FJ5978"/>
  <c r="FK5978"/>
  <c r="FJ5976"/>
  <c r="FK5976"/>
  <c r="FJ5974"/>
  <c r="FK5974"/>
  <c r="FJ5972"/>
  <c r="FK5972"/>
  <c r="FJ5970"/>
  <c r="FK5970"/>
  <c r="FJ5968"/>
  <c r="FK5968"/>
  <c r="FJ5966"/>
  <c r="FK5966"/>
  <c r="FJ5964"/>
  <c r="FK5964"/>
  <c r="FJ5962"/>
  <c r="FK5962"/>
  <c r="FJ5960"/>
  <c r="FK5960"/>
  <c r="FJ5958"/>
  <c r="FK5958"/>
  <c r="FJ5956"/>
  <c r="FK5956"/>
  <c r="FJ5954"/>
  <c r="FK5954"/>
  <c r="FJ5952"/>
  <c r="FK5952"/>
  <c r="FJ5950"/>
  <c r="FK5950"/>
  <c r="FJ5948"/>
  <c r="FK5948"/>
  <c r="FJ5946"/>
  <c r="FK5946"/>
  <c r="FJ5944"/>
  <c r="FK5944"/>
  <c r="FJ5942"/>
  <c r="FK5942"/>
  <c r="FJ5940"/>
  <c r="FK5940"/>
  <c r="FJ5938"/>
  <c r="FK5938"/>
  <c r="FJ5936"/>
  <c r="FK5936"/>
  <c r="FJ5934"/>
  <c r="FK5934"/>
  <c r="FJ5932"/>
  <c r="FK5932"/>
  <c r="FJ5930"/>
  <c r="FK5930"/>
  <c r="FJ5928"/>
  <c r="FK5928"/>
  <c r="FJ5926"/>
  <c r="FK5926"/>
  <c r="FJ5924"/>
  <c r="FK5924"/>
  <c r="FJ5922"/>
  <c r="FK5922"/>
  <c r="FJ5920"/>
  <c r="FK5920"/>
  <c r="FJ5918"/>
  <c r="FK5918"/>
  <c r="FJ5916"/>
  <c r="FK5916"/>
  <c r="FJ5914"/>
  <c r="FK5914"/>
  <c r="FJ5912"/>
  <c r="FK5912"/>
  <c r="FJ5910"/>
  <c r="FK5910"/>
  <c r="FJ5908"/>
  <c r="FK5908"/>
  <c r="FJ5906"/>
  <c r="FK5906"/>
  <c r="FJ5904"/>
  <c r="FK5904"/>
  <c r="FJ5902"/>
  <c r="FK5902"/>
  <c r="FJ5900"/>
  <c r="FK5900"/>
  <c r="FJ5898"/>
  <c r="FK5898"/>
  <c r="FJ5896"/>
  <c r="FK5896"/>
  <c r="FJ5894"/>
  <c r="FK5894"/>
  <c r="FJ5892"/>
  <c r="FK5892"/>
  <c r="FJ5890"/>
  <c r="FK5890"/>
  <c r="FJ5888"/>
  <c r="FK5888"/>
  <c r="FJ5886"/>
  <c r="FK5886"/>
  <c r="FJ5884"/>
  <c r="FK5884"/>
  <c r="FJ5882"/>
  <c r="FK5882"/>
  <c r="FJ5880"/>
  <c r="FK5880"/>
  <c r="FJ5878"/>
  <c r="FK5878"/>
  <c r="FJ5876"/>
  <c r="FK5876"/>
  <c r="FJ5874"/>
  <c r="FK5874"/>
  <c r="FJ5872"/>
  <c r="FK5872"/>
  <c r="FJ5870"/>
  <c r="FK5870"/>
  <c r="FJ5868"/>
  <c r="FK5868"/>
  <c r="FJ5866"/>
  <c r="FK5866"/>
  <c r="FJ5864"/>
  <c r="FK5864"/>
  <c r="FJ5862"/>
  <c r="FK5862"/>
  <c r="FJ5860"/>
  <c r="FK5860"/>
  <c r="FJ5858"/>
  <c r="FK5858"/>
  <c r="FJ5856"/>
  <c r="FK5856"/>
  <c r="FJ5854"/>
  <c r="FK5854"/>
  <c r="FJ5852"/>
  <c r="FK5852"/>
  <c r="FJ5850"/>
  <c r="FK5850"/>
  <c r="FJ5848"/>
  <c r="FK5848"/>
  <c r="FJ5846"/>
  <c r="FK5846"/>
  <c r="FJ5844"/>
  <c r="FK5844"/>
  <c r="FJ5842"/>
  <c r="FK5842"/>
  <c r="FJ5840"/>
  <c r="FK5840"/>
  <c r="FJ5838"/>
  <c r="FK5838"/>
  <c r="FJ5836"/>
  <c r="FK5836"/>
  <c r="FJ5834"/>
  <c r="FK5834"/>
  <c r="FJ5832"/>
  <c r="FK5832"/>
  <c r="FJ5830"/>
  <c r="FK5830"/>
  <c r="FJ5828"/>
  <c r="FK5828"/>
  <c r="FJ5826"/>
  <c r="FK5826"/>
  <c r="FJ5824"/>
  <c r="FK5824"/>
  <c r="FJ5822"/>
  <c r="FK5822"/>
  <c r="FJ5820"/>
  <c r="FK5820"/>
  <c r="FJ5818"/>
  <c r="FK5818"/>
  <c r="FJ5816"/>
  <c r="FK5816"/>
  <c r="FJ5814"/>
  <c r="FK5814"/>
  <c r="FJ5812"/>
  <c r="FK5812"/>
  <c r="FJ5810"/>
  <c r="FK5810"/>
  <c r="FJ5808"/>
  <c r="FK5808"/>
  <c r="FJ5806"/>
  <c r="FK5806"/>
  <c r="FJ5804"/>
  <c r="FK5804"/>
  <c r="FJ5802"/>
  <c r="FK5802"/>
  <c r="FJ5800"/>
  <c r="FK5800"/>
  <c r="FJ5798"/>
  <c r="FK5798"/>
  <c r="FJ5796"/>
  <c r="FK5796"/>
  <c r="FJ5794"/>
  <c r="FK5794"/>
  <c r="FJ5792"/>
  <c r="FK5792"/>
  <c r="FJ5790"/>
  <c r="FK5790"/>
  <c r="FJ5788"/>
  <c r="FK5788"/>
  <c r="FJ5786"/>
  <c r="FK5786"/>
  <c r="FJ5784"/>
  <c r="FK5784"/>
  <c r="FJ5782"/>
  <c r="FK5782"/>
  <c r="FJ5780"/>
  <c r="FK5780"/>
  <c r="FJ5778"/>
  <c r="FK5778"/>
  <c r="FJ5776"/>
  <c r="FK5776"/>
  <c r="FJ5774"/>
  <c r="FK5774"/>
  <c r="FJ5772"/>
  <c r="FK5772"/>
  <c r="FJ5770"/>
  <c r="FK5770"/>
  <c r="FJ5768"/>
  <c r="FK5768"/>
  <c r="FJ5766"/>
  <c r="FK5766"/>
  <c r="FJ5764"/>
  <c r="FK5764"/>
  <c r="FJ5762"/>
  <c r="FK5762"/>
  <c r="FJ5760"/>
  <c r="FK5760"/>
  <c r="FJ5758"/>
  <c r="FK5758"/>
  <c r="FJ5756"/>
  <c r="FK5756"/>
  <c r="FJ5754"/>
  <c r="FK5754"/>
  <c r="FJ5752"/>
  <c r="FK5752"/>
  <c r="FJ5750"/>
  <c r="FK5750"/>
  <c r="FJ5748"/>
  <c r="FK5748"/>
  <c r="FJ5746"/>
  <c r="FK5746"/>
  <c r="FJ5744"/>
  <c r="FK5744"/>
  <c r="FJ5742"/>
  <c r="FK5742"/>
  <c r="FJ5740"/>
  <c r="FK5740"/>
  <c r="FJ5738"/>
  <c r="FK5738"/>
  <c r="FJ5736"/>
  <c r="FK5736"/>
  <c r="FJ5734"/>
  <c r="FK5734"/>
  <c r="FJ5732"/>
  <c r="FK5732"/>
  <c r="FJ5730"/>
  <c r="FK5730"/>
  <c r="FJ5728"/>
  <c r="FK5728"/>
  <c r="FJ5726"/>
  <c r="FK5726"/>
  <c r="FJ5724"/>
  <c r="FK5724"/>
  <c r="FJ5722"/>
  <c r="FK5722"/>
  <c r="FJ5720"/>
  <c r="FK5720"/>
  <c r="FJ5718"/>
  <c r="FK5718"/>
  <c r="FJ5716"/>
  <c r="FK5716"/>
  <c r="FJ5714"/>
  <c r="FK5714"/>
  <c r="FJ5712"/>
  <c r="FK5712"/>
  <c r="FJ5710"/>
  <c r="FK5710"/>
  <c r="FJ5708"/>
  <c r="FK5708"/>
  <c r="FJ5706"/>
  <c r="FK5706"/>
  <c r="FJ5704"/>
  <c r="FK5704"/>
  <c r="FJ5702"/>
  <c r="FK5702"/>
  <c r="FJ5700"/>
  <c r="FK5700"/>
  <c r="FJ5698"/>
  <c r="FK5698"/>
  <c r="FJ5696"/>
  <c r="FK5696"/>
  <c r="FJ5694"/>
  <c r="FK5694"/>
  <c r="FJ5692"/>
  <c r="FK5692"/>
  <c r="FJ5690"/>
  <c r="FK5690"/>
  <c r="FJ5688"/>
  <c r="FK5688"/>
  <c r="FJ5686"/>
  <c r="FK5686"/>
  <c r="FJ5684"/>
  <c r="FK5684"/>
  <c r="FJ5682"/>
  <c r="FK5682"/>
  <c r="FJ5680"/>
  <c r="FK5680"/>
  <c r="FJ5678"/>
  <c r="FK5678"/>
  <c r="FJ5676"/>
  <c r="FK5676"/>
  <c r="FJ5674"/>
  <c r="FK5674"/>
  <c r="FJ5672"/>
  <c r="FK5672"/>
  <c r="FJ5670"/>
  <c r="FK5670"/>
  <c r="FJ5668"/>
  <c r="FK5668"/>
  <c r="FJ5666"/>
  <c r="FK5666"/>
  <c r="FJ5664"/>
  <c r="FK5664"/>
  <c r="FJ5662"/>
  <c r="FK5662"/>
  <c r="FJ5660"/>
  <c r="FK5660"/>
  <c r="FJ5658"/>
  <c r="FK5658"/>
  <c r="FJ5656"/>
  <c r="FK5656"/>
  <c r="FJ5654"/>
  <c r="FK5654"/>
  <c r="FJ5652"/>
  <c r="FK5652"/>
  <c r="FJ5650"/>
  <c r="FK5650"/>
  <c r="FJ5648"/>
  <c r="FK5648"/>
  <c r="FJ5646"/>
  <c r="FK5646"/>
  <c r="FJ5644"/>
  <c r="FK5644"/>
  <c r="FJ5642"/>
  <c r="FK5642"/>
  <c r="FJ5640"/>
  <c r="FK5640"/>
  <c r="FJ5638"/>
  <c r="FK5638"/>
  <c r="FJ5636"/>
  <c r="FK5636"/>
  <c r="FJ5634"/>
  <c r="FK5634"/>
  <c r="FJ5632"/>
  <c r="FK5632"/>
  <c r="FJ5630"/>
  <c r="FK5630"/>
  <c r="FJ5628"/>
  <c r="FK5628"/>
  <c r="FJ5626"/>
  <c r="FK5626"/>
  <c r="FJ5624"/>
  <c r="FK5624"/>
  <c r="FJ5622"/>
  <c r="FK5622"/>
  <c r="FJ5620"/>
  <c r="FK5620"/>
  <c r="FJ5618"/>
  <c r="FK5618"/>
  <c r="FJ5616"/>
  <c r="FK5616"/>
  <c r="FJ5614"/>
  <c r="FK5614"/>
  <c r="FJ5612"/>
  <c r="FK5612"/>
  <c r="FJ5610"/>
  <c r="FK5610"/>
  <c r="FJ5608"/>
  <c r="FK5608"/>
  <c r="FJ5606"/>
  <c r="FK5606"/>
  <c r="FJ5604"/>
  <c r="FK5604"/>
  <c r="FJ5602"/>
  <c r="FK5602"/>
  <c r="FJ5600"/>
  <c r="FK5600"/>
  <c r="FJ5598"/>
  <c r="FK5598"/>
  <c r="FJ5596"/>
  <c r="FK5596"/>
  <c r="FJ5594"/>
  <c r="FK5594"/>
  <c r="FJ5592"/>
  <c r="FK5592"/>
  <c r="FJ5590"/>
  <c r="FK5590"/>
  <c r="FJ5588"/>
  <c r="FK5588"/>
  <c r="FJ5586"/>
  <c r="FK5586"/>
  <c r="FJ5584"/>
  <c r="FK5584"/>
  <c r="FJ5582"/>
  <c r="FK5582"/>
  <c r="FJ5580"/>
  <c r="FK5580"/>
  <c r="FJ5578"/>
  <c r="FK5578"/>
  <c r="FJ5576"/>
  <c r="FK5576"/>
  <c r="FJ5574"/>
  <c r="FK5574"/>
  <c r="FJ5572"/>
  <c r="FK5572"/>
  <c r="FJ5570"/>
  <c r="FK5570"/>
  <c r="FJ5568"/>
  <c r="FK5568"/>
  <c r="FJ5566"/>
  <c r="FK5566"/>
  <c r="FJ5564"/>
  <c r="FK5564"/>
  <c r="FJ5562"/>
  <c r="FK5562"/>
  <c r="FJ5560"/>
  <c r="FK5560"/>
  <c r="FJ5558"/>
  <c r="FK5558"/>
  <c r="FJ5556"/>
  <c r="FK5556"/>
  <c r="FJ5554"/>
  <c r="FK5554"/>
  <c r="FJ5552"/>
  <c r="FK5552"/>
  <c r="FJ5550"/>
  <c r="FK5550"/>
  <c r="FJ5548"/>
  <c r="FK5548"/>
  <c r="FJ5546"/>
  <c r="FK5546"/>
  <c r="FJ5544"/>
  <c r="FK5544"/>
  <c r="FJ5542"/>
  <c r="FK5542"/>
  <c r="FJ5540"/>
  <c r="FK5540"/>
  <c r="FJ5538"/>
  <c r="FK5538"/>
  <c r="FJ5536"/>
  <c r="FK5536"/>
  <c r="FJ5534"/>
  <c r="FK5534"/>
  <c r="FJ5532"/>
  <c r="FK5532"/>
  <c r="FJ5530"/>
  <c r="FK5530"/>
  <c r="FJ5528"/>
  <c r="FK5528"/>
  <c r="FJ5526"/>
  <c r="FK5526"/>
  <c r="FJ5524"/>
  <c r="FK5524"/>
  <c r="FJ5522"/>
  <c r="FK5522"/>
  <c r="FJ5520"/>
  <c r="FK5520"/>
  <c r="FJ5518"/>
  <c r="FK5518"/>
  <c r="FJ5516"/>
  <c r="FK5516"/>
  <c r="FJ5514"/>
  <c r="FK5514"/>
  <c r="FJ5512"/>
  <c r="FK5512"/>
  <c r="FJ5510"/>
  <c r="FK5510"/>
  <c r="FJ5508"/>
  <c r="FK5508"/>
  <c r="FJ5506"/>
  <c r="FK5506"/>
  <c r="FJ5504"/>
  <c r="FK5504"/>
  <c r="FJ5502"/>
  <c r="FK5502"/>
  <c r="FJ5500"/>
  <c r="FK5500"/>
  <c r="FJ5498"/>
  <c r="FK5498"/>
  <c r="FJ5496"/>
  <c r="FK5496"/>
  <c r="FJ5494"/>
  <c r="FK5494"/>
  <c r="FJ5492"/>
  <c r="FK5492"/>
  <c r="FJ5490"/>
  <c r="FK5490"/>
  <c r="FJ5488"/>
  <c r="FK5488"/>
  <c r="FJ5486"/>
  <c r="FK5486"/>
  <c r="FJ5484"/>
  <c r="FK5484"/>
  <c r="FJ5482"/>
  <c r="FK5482"/>
  <c r="FJ5480"/>
  <c r="FK5480"/>
  <c r="FJ5478"/>
  <c r="FK5478"/>
  <c r="FJ5476"/>
  <c r="FK5476"/>
  <c r="FJ5474"/>
  <c r="FK5474"/>
  <c r="FJ5472"/>
  <c r="FK5472"/>
  <c r="FJ5470"/>
  <c r="FK5470"/>
  <c r="FJ5468"/>
  <c r="FK5468"/>
  <c r="FJ5466"/>
  <c r="FK5466"/>
  <c r="FJ5464"/>
  <c r="FK5464"/>
  <c r="FJ5462"/>
  <c r="FK5462"/>
  <c r="FJ5460"/>
  <c r="FK5460"/>
  <c r="FJ5458"/>
  <c r="FK5458"/>
  <c r="FJ5456"/>
  <c r="FK5456"/>
  <c r="FJ5454"/>
  <c r="FK5454"/>
  <c r="FJ5452"/>
  <c r="FK5452"/>
  <c r="FJ5450"/>
  <c r="FK5450"/>
  <c r="FJ5448"/>
  <c r="FK5448"/>
  <c r="FJ5446"/>
  <c r="FK5446"/>
  <c r="FJ5444"/>
  <c r="FK5444"/>
  <c r="FJ5442"/>
  <c r="FK5442"/>
  <c r="FJ5440"/>
  <c r="FK5440"/>
  <c r="FJ5438"/>
  <c r="FK5438"/>
  <c r="FJ5436"/>
  <c r="FK5436"/>
  <c r="FJ5434"/>
  <c r="FK5434"/>
  <c r="FJ5432"/>
  <c r="FK5432"/>
  <c r="FJ5430"/>
  <c r="FK5430"/>
  <c r="FJ5428"/>
  <c r="FK5428"/>
  <c r="FJ5426"/>
  <c r="FK5426"/>
  <c r="FJ5424"/>
  <c r="FK5424"/>
  <c r="FJ5422"/>
  <c r="FK5422"/>
  <c r="FJ5420"/>
  <c r="FK5420"/>
  <c r="FJ5418"/>
  <c r="FK5418"/>
  <c r="FJ5416"/>
  <c r="FK5416"/>
  <c r="FJ5414"/>
  <c r="FK5414"/>
  <c r="FJ5412"/>
  <c r="FK5412"/>
  <c r="FJ5410"/>
  <c r="FK5410"/>
  <c r="FJ5408"/>
  <c r="FK5408"/>
  <c r="FJ5406"/>
  <c r="FK5406"/>
  <c r="FJ5404"/>
  <c r="FK5404"/>
  <c r="FJ5402"/>
  <c r="FK5402"/>
  <c r="FJ5400"/>
  <c r="FK5400"/>
  <c r="FJ5398"/>
  <c r="FK5398"/>
  <c r="FJ5396"/>
  <c r="FK5396"/>
  <c r="FJ5394"/>
  <c r="FK5394"/>
  <c r="FJ5392"/>
  <c r="FK5392"/>
  <c r="FJ5390"/>
  <c r="FK5390"/>
  <c r="FJ5388"/>
  <c r="FK5388"/>
  <c r="FJ5386"/>
  <c r="FK5386"/>
  <c r="FJ5384"/>
  <c r="FK5384"/>
  <c r="FJ5382"/>
  <c r="FK5382"/>
  <c r="FJ5380"/>
  <c r="FK5380"/>
  <c r="FJ5378"/>
  <c r="FK5378"/>
  <c r="FJ5376"/>
  <c r="FK5376"/>
  <c r="FJ5374"/>
  <c r="FK5374"/>
  <c r="FJ5372"/>
  <c r="FK5372"/>
  <c r="FJ5370"/>
  <c r="FK5370"/>
  <c r="FJ5368"/>
  <c r="FK5368"/>
  <c r="FJ5366"/>
  <c r="FK5366"/>
  <c r="FJ5364"/>
  <c r="FK5364"/>
  <c r="FJ5362"/>
  <c r="FK5362"/>
  <c r="FJ5360"/>
  <c r="FK5360"/>
  <c r="FJ5358"/>
  <c r="FK5358"/>
  <c r="FJ5356"/>
  <c r="FK5356"/>
  <c r="FJ5354"/>
  <c r="FK5354"/>
  <c r="FJ5352"/>
  <c r="FK5352"/>
  <c r="FJ5350"/>
  <c r="FK5350"/>
  <c r="FJ5348"/>
  <c r="FK5348"/>
  <c r="FJ5346"/>
  <c r="FK5346"/>
  <c r="FJ5344"/>
  <c r="FK5344"/>
  <c r="FJ5342"/>
  <c r="FK5342"/>
  <c r="FJ5340"/>
  <c r="FK5340"/>
  <c r="FJ5338"/>
  <c r="FK5338"/>
  <c r="FJ5336"/>
  <c r="FK5336"/>
  <c r="FJ5334"/>
  <c r="FK5334"/>
  <c r="FJ5332"/>
  <c r="FK5332"/>
  <c r="FJ5330"/>
  <c r="FK5330"/>
  <c r="FJ5328"/>
  <c r="FK5328"/>
  <c r="FJ5326"/>
  <c r="FK5326"/>
  <c r="FJ5324"/>
  <c r="FK5324"/>
  <c r="FJ5322"/>
  <c r="FK5322"/>
  <c r="FJ5320"/>
  <c r="FK5320"/>
  <c r="FJ5318"/>
  <c r="FK5318"/>
  <c r="FJ5316"/>
  <c r="FK5316"/>
  <c r="FJ5314"/>
  <c r="FK5314"/>
  <c r="FJ5312"/>
  <c r="FK5312"/>
  <c r="FJ5310"/>
  <c r="FK5310"/>
  <c r="FJ5308"/>
  <c r="FK5308"/>
  <c r="FJ5306"/>
  <c r="FK5306"/>
  <c r="FJ5304"/>
  <c r="FK5304"/>
  <c r="FJ5302"/>
  <c r="FK5302"/>
  <c r="FJ5300"/>
  <c r="FK5300"/>
  <c r="FJ5298"/>
  <c r="FK5298"/>
  <c r="FJ5296"/>
  <c r="FK5296"/>
  <c r="FJ5294"/>
  <c r="FK5294"/>
  <c r="FJ5292"/>
  <c r="FK5292"/>
  <c r="FJ5290"/>
  <c r="FK5290"/>
  <c r="FJ5288"/>
  <c r="FK5288"/>
  <c r="FJ5286"/>
  <c r="FK5286"/>
  <c r="FJ5284"/>
  <c r="FK5284"/>
  <c r="FJ5282"/>
  <c r="FK5282"/>
  <c r="FJ5280"/>
  <c r="FK5280"/>
  <c r="FJ5278"/>
  <c r="FK5278"/>
  <c r="FJ5276"/>
  <c r="FK5276"/>
  <c r="FJ5274"/>
  <c r="FK5274"/>
  <c r="FJ5272"/>
  <c r="FK5272"/>
  <c r="FJ5270"/>
  <c r="FK5270"/>
  <c r="FJ5268"/>
  <c r="FK5268"/>
  <c r="FJ5266"/>
  <c r="FK5266"/>
  <c r="FJ5264"/>
  <c r="FK5264"/>
  <c r="FJ5262"/>
  <c r="FK5262"/>
  <c r="FJ5260"/>
  <c r="FK5260"/>
  <c r="FJ5258"/>
  <c r="FK5258"/>
  <c r="FJ5256"/>
  <c r="FK5256"/>
  <c r="FJ5254"/>
  <c r="FK5254"/>
  <c r="FJ5252"/>
  <c r="FK5252"/>
  <c r="FJ5250"/>
  <c r="FK5250"/>
  <c r="FJ5248"/>
  <c r="FK5248"/>
  <c r="FJ5246"/>
  <c r="FK5246"/>
  <c r="FJ5244"/>
  <c r="FK5244"/>
  <c r="FJ5242"/>
  <c r="FK5242"/>
  <c r="FJ5240"/>
  <c r="FK5240"/>
  <c r="FJ5238"/>
  <c r="FK5238"/>
  <c r="FJ5236"/>
  <c r="FK5236"/>
  <c r="FJ5234"/>
  <c r="FK5234"/>
  <c r="FJ5232"/>
  <c r="FK5232"/>
  <c r="FJ5230"/>
  <c r="FK5230"/>
  <c r="FJ5228"/>
  <c r="FK5228"/>
  <c r="FJ5226"/>
  <c r="FK5226"/>
  <c r="FJ5224"/>
  <c r="FK5224"/>
  <c r="FJ5222"/>
  <c r="FK5222"/>
  <c r="FJ5220"/>
  <c r="FK5220"/>
  <c r="FJ5218"/>
  <c r="FK5218"/>
  <c r="FJ5216"/>
  <c r="FK5216"/>
  <c r="FJ5214"/>
  <c r="FK5214"/>
  <c r="FJ5212"/>
  <c r="FK5212"/>
  <c r="FJ5210"/>
  <c r="FK5210"/>
  <c r="FJ5208"/>
  <c r="FK5208"/>
  <c r="FJ5206"/>
  <c r="FK5206"/>
  <c r="FJ5204"/>
  <c r="FK5204"/>
  <c r="FJ5202"/>
  <c r="FK5202"/>
  <c r="FJ5200"/>
  <c r="FK5200"/>
  <c r="FJ5198"/>
  <c r="FK5198"/>
  <c r="FJ5196"/>
  <c r="FK5196"/>
  <c r="FJ5194"/>
  <c r="FK5194"/>
  <c r="FJ5192"/>
  <c r="FK5192"/>
  <c r="FJ5190"/>
  <c r="FK5190"/>
  <c r="FJ5188"/>
  <c r="FK5188"/>
  <c r="FJ5186"/>
  <c r="FK5186"/>
  <c r="FJ5184"/>
  <c r="FK5184"/>
  <c r="FJ5182"/>
  <c r="FK5182"/>
  <c r="FJ5180"/>
  <c r="FK5180"/>
  <c r="FJ5178"/>
  <c r="FK5178"/>
  <c r="FJ5176"/>
  <c r="FK5176"/>
  <c r="FJ5174"/>
  <c r="FK5174"/>
  <c r="FJ5172"/>
  <c r="FK5172"/>
  <c r="FJ5170"/>
  <c r="FK5170"/>
  <c r="FJ5168"/>
  <c r="FK5168"/>
  <c r="FJ5166"/>
  <c r="FK5166"/>
  <c r="FJ5164"/>
  <c r="FK5164"/>
  <c r="FJ5162"/>
  <c r="FK5162"/>
  <c r="FJ5160"/>
  <c r="FK5160"/>
  <c r="FJ5158"/>
  <c r="FK5158"/>
  <c r="FJ5156"/>
  <c r="FK5156"/>
  <c r="FJ5154"/>
  <c r="FK5154"/>
  <c r="FJ5152"/>
  <c r="FK5152"/>
  <c r="FJ5150"/>
  <c r="FK5150"/>
  <c r="FJ5148"/>
  <c r="FK5148"/>
  <c r="FJ5146"/>
  <c r="FK5146"/>
  <c r="FJ5144"/>
  <c r="FK5144"/>
  <c r="FJ5142"/>
  <c r="FK5142"/>
  <c r="FJ5140"/>
  <c r="FK5140"/>
  <c r="FJ5138"/>
  <c r="FK5138"/>
  <c r="FJ5136"/>
  <c r="FK5136"/>
  <c r="FJ5134"/>
  <c r="FK5134"/>
  <c r="FJ5132"/>
  <c r="FK5132"/>
  <c r="FJ5130"/>
  <c r="FK5130"/>
  <c r="FJ5128"/>
  <c r="FK5128"/>
  <c r="FJ5126"/>
  <c r="FK5126"/>
  <c r="FJ5124"/>
  <c r="FK5124"/>
  <c r="FJ5122"/>
  <c r="FK5122"/>
  <c r="FJ5120"/>
  <c r="FK5120"/>
  <c r="FJ5118"/>
  <c r="FK5118"/>
  <c r="FJ5116"/>
  <c r="FK5116"/>
  <c r="FJ5114"/>
  <c r="FK5114"/>
  <c r="FJ5112"/>
  <c r="FK5112"/>
  <c r="FJ5110"/>
  <c r="FK5110"/>
  <c r="FJ5108"/>
  <c r="FK5108"/>
  <c r="FJ5106"/>
  <c r="FK5106"/>
  <c r="FJ5215"/>
  <c r="FK5215"/>
  <c r="FJ5213"/>
  <c r="FK5213"/>
  <c r="FJ5211"/>
  <c r="FK5211"/>
  <c r="FJ5209"/>
  <c r="FK5209"/>
  <c r="FJ5207"/>
  <c r="FK5207"/>
  <c r="FJ5205"/>
  <c r="FK5205"/>
  <c r="FJ5203"/>
  <c r="FK5203"/>
  <c r="FJ5201"/>
  <c r="FK5201"/>
  <c r="FJ5199"/>
  <c r="FK5199"/>
  <c r="FJ5197"/>
  <c r="FK5197"/>
  <c r="FJ5195"/>
  <c r="FK5195"/>
  <c r="FJ5193"/>
  <c r="FK5193"/>
  <c r="FJ5191"/>
  <c r="FK5191"/>
  <c r="FJ5189"/>
  <c r="FK5189"/>
  <c r="FJ5187"/>
  <c r="FK5187"/>
  <c r="FJ5185"/>
  <c r="FK5185"/>
  <c r="FJ5183"/>
  <c r="FK5183"/>
  <c r="FJ5181"/>
  <c r="FK5181"/>
  <c r="FJ5179"/>
  <c r="FK5179"/>
  <c r="FJ5177"/>
  <c r="FK5177"/>
  <c r="FJ5175"/>
  <c r="FK5175"/>
  <c r="FJ5173"/>
  <c r="FK5173"/>
  <c r="FJ5171"/>
  <c r="FK5171"/>
  <c r="FJ5169"/>
  <c r="FK5169"/>
  <c r="FJ5167"/>
  <c r="FK5167"/>
  <c r="FJ5165"/>
  <c r="FK5165"/>
  <c r="FJ5163"/>
  <c r="FK5163"/>
  <c r="FJ5161"/>
  <c r="FK5161"/>
  <c r="FJ5159"/>
  <c r="FK5159"/>
  <c r="FJ5157"/>
  <c r="FK5157"/>
  <c r="FJ5155"/>
  <c r="FK5155"/>
  <c r="FJ5153"/>
  <c r="FK5153"/>
  <c r="FJ5151"/>
  <c r="FK5151"/>
  <c r="FJ5149"/>
  <c r="FK5149"/>
  <c r="FJ5147"/>
  <c r="FK5147"/>
  <c r="FJ5145"/>
  <c r="FK5145"/>
  <c r="FJ5143"/>
  <c r="FK5143"/>
  <c r="FJ5141"/>
  <c r="FK5141"/>
  <c r="FJ5139"/>
  <c r="FK5139"/>
  <c r="FJ5137"/>
  <c r="FK5137"/>
  <c r="FJ5135"/>
  <c r="FK5135"/>
  <c r="FJ5133"/>
  <c r="FK5133"/>
  <c r="FJ5131"/>
  <c r="FK5131"/>
  <c r="FJ5129"/>
  <c r="FK5129"/>
  <c r="FJ5127"/>
  <c r="FK5127"/>
  <c r="FJ5125"/>
  <c r="FK5125"/>
  <c r="FJ5123"/>
  <c r="FK5123"/>
  <c r="FJ5121"/>
  <c r="FK5121"/>
  <c r="FJ5119"/>
  <c r="FK5119"/>
  <c r="FJ5117"/>
  <c r="FK5117"/>
  <c r="FJ5115"/>
  <c r="FK5115"/>
  <c r="FJ5113"/>
  <c r="FK5113"/>
  <c r="FJ5111"/>
  <c r="FK5111"/>
  <c r="FJ5109"/>
  <c r="FK5109"/>
  <c r="FJ5107"/>
  <c r="FK5107"/>
  <c r="FJ5105"/>
  <c r="FK5105"/>
  <c r="FJ5103"/>
  <c r="FK5103"/>
  <c r="FJ5101"/>
  <c r="FK5101"/>
  <c r="FJ5099"/>
  <c r="FK5099"/>
  <c r="FJ5097"/>
  <c r="FK5097"/>
  <c r="FJ5095"/>
  <c r="FK5095"/>
  <c r="FJ5093"/>
  <c r="FK5093"/>
  <c r="FJ5091"/>
  <c r="FK5091"/>
  <c r="FJ5089"/>
  <c r="FK5089"/>
  <c r="FJ5087"/>
  <c r="FK5087"/>
  <c r="FJ5085"/>
  <c r="FK5085"/>
  <c r="FJ5083"/>
  <c r="FK5083"/>
  <c r="FJ5081"/>
  <c r="FK5081"/>
  <c r="FJ5079"/>
  <c r="FK5079"/>
  <c r="FJ5077"/>
  <c r="FK5077"/>
  <c r="FJ5075"/>
  <c r="FK5075"/>
  <c r="FJ5073"/>
  <c r="FK5073"/>
  <c r="FJ5071"/>
  <c r="FK5071"/>
  <c r="FJ5069"/>
  <c r="FK5069"/>
  <c r="FJ5067"/>
  <c r="FK5067"/>
  <c r="FJ5065"/>
  <c r="FK5065"/>
  <c r="FJ5063"/>
  <c r="FK5063"/>
  <c r="FJ5061"/>
  <c r="FK5061"/>
  <c r="FJ5059"/>
  <c r="FK5059"/>
  <c r="FJ5057"/>
  <c r="FK5057"/>
  <c r="FJ5055"/>
  <c r="FK5055"/>
  <c r="FJ5053"/>
  <c r="FK5053"/>
  <c r="FJ5051"/>
  <c r="FK5051"/>
  <c r="FJ5049"/>
  <c r="FK5049"/>
  <c r="FJ5047"/>
  <c r="FK5047"/>
  <c r="FJ5045"/>
  <c r="FK5045"/>
  <c r="FJ5043"/>
  <c r="FK5043"/>
  <c r="FJ5041"/>
  <c r="FK5041"/>
  <c r="FJ5039"/>
  <c r="FK5039"/>
  <c r="FJ5037"/>
  <c r="FK5037"/>
  <c r="FJ5035"/>
  <c r="FK5035"/>
  <c r="FJ5033"/>
  <c r="FK5033"/>
  <c r="FJ5031"/>
  <c r="FK5031"/>
  <c r="FJ5029"/>
  <c r="FK5029"/>
  <c r="FJ5027"/>
  <c r="FK5027"/>
  <c r="FJ5025"/>
  <c r="FK5025"/>
  <c r="FJ5023"/>
  <c r="FK5023"/>
  <c r="FJ5021"/>
  <c r="FK5021"/>
  <c r="FJ5019"/>
  <c r="FK5019"/>
  <c r="FJ5017"/>
  <c r="FK5017"/>
  <c r="FJ5015"/>
  <c r="FK5015"/>
  <c r="FJ5013"/>
  <c r="FK5013"/>
  <c r="FJ5011"/>
  <c r="FK5011"/>
  <c r="FJ5009"/>
  <c r="FK5009"/>
  <c r="FJ5007"/>
  <c r="FK5007"/>
  <c r="FJ5005"/>
  <c r="FK5005"/>
  <c r="FJ5003"/>
  <c r="FK5003"/>
  <c r="FJ5001"/>
  <c r="FK5001"/>
  <c r="FJ4999"/>
  <c r="FK4999"/>
  <c r="FJ4997"/>
  <c r="FK4997"/>
  <c r="FJ4995"/>
  <c r="FK4995"/>
  <c r="FJ4993"/>
  <c r="FK4993"/>
  <c r="FJ4991"/>
  <c r="FK4991"/>
  <c r="FJ4989"/>
  <c r="FK4989"/>
  <c r="FJ4987"/>
  <c r="FK4987"/>
  <c r="FJ4985"/>
  <c r="FK4985"/>
  <c r="FJ4983"/>
  <c r="FK4983"/>
  <c r="FJ4981"/>
  <c r="FK4981"/>
  <c r="FJ4979"/>
  <c r="FK4979"/>
  <c r="FJ4977"/>
  <c r="FK4977"/>
  <c r="FJ4975"/>
  <c r="FK4975"/>
  <c r="FJ4973"/>
  <c r="FK4973"/>
  <c r="FJ4971"/>
  <c r="FK4971"/>
  <c r="FJ4969"/>
  <c r="FK4969"/>
  <c r="FJ4967"/>
  <c r="FK4967"/>
  <c r="FJ4965"/>
  <c r="FK4965"/>
  <c r="FJ4963"/>
  <c r="FK4963"/>
  <c r="FJ4961"/>
  <c r="FK4961"/>
  <c r="FJ4959"/>
  <c r="FK4959"/>
  <c r="FJ4957"/>
  <c r="FK4957"/>
  <c r="FJ4955"/>
  <c r="FK4955"/>
  <c r="FJ4953"/>
  <c r="FK4953"/>
  <c r="FJ4951"/>
  <c r="FK4951"/>
  <c r="FJ4949"/>
  <c r="FK4949"/>
  <c r="FJ4947"/>
  <c r="FK4947"/>
  <c r="FJ4945"/>
  <c r="FK4945"/>
  <c r="FJ4943"/>
  <c r="FK4943"/>
  <c r="FJ4941"/>
  <c r="FK4941"/>
  <c r="FJ4939"/>
  <c r="FK4939"/>
  <c r="FJ4937"/>
  <c r="FK4937"/>
  <c r="FJ4935"/>
  <c r="FK4935"/>
  <c r="FJ4933"/>
  <c r="FK4933"/>
  <c r="FJ4931"/>
  <c r="FK4931"/>
  <c r="FJ4929"/>
  <c r="FK4929"/>
  <c r="FJ4927"/>
  <c r="FK4927"/>
  <c r="FJ4925"/>
  <c r="FK4925"/>
  <c r="FJ4923"/>
  <c r="FK4923"/>
  <c r="FJ4921"/>
  <c r="FK4921"/>
  <c r="FJ4919"/>
  <c r="FK4919"/>
  <c r="FJ4917"/>
  <c r="FK4917"/>
  <c r="FJ4915"/>
  <c r="FK4915"/>
  <c r="FJ4913"/>
  <c r="FK4913"/>
  <c r="FJ4911"/>
  <c r="FK4911"/>
  <c r="FJ4909"/>
  <c r="FK4909"/>
  <c r="FJ4907"/>
  <c r="FK4907"/>
  <c r="FJ4905"/>
  <c r="FK4905"/>
  <c r="FJ4903"/>
  <c r="FK4903"/>
  <c r="FJ4901"/>
  <c r="FK4901"/>
  <c r="FJ4899"/>
  <c r="FK4899"/>
  <c r="FJ4897"/>
  <c r="FK4897"/>
  <c r="FJ4895"/>
  <c r="FK4895"/>
  <c r="FJ4893"/>
  <c r="FK4893"/>
  <c r="FJ4891"/>
  <c r="FK4891"/>
  <c r="FJ4889"/>
  <c r="FK4889"/>
  <c r="FJ4887"/>
  <c r="FK4887"/>
  <c r="FJ4885"/>
  <c r="FK4885"/>
  <c r="FJ4883"/>
  <c r="FK4883"/>
  <c r="FJ4881"/>
  <c r="FK4881"/>
  <c r="FJ4879"/>
  <c r="FK4879"/>
  <c r="FJ4877"/>
  <c r="FK4877"/>
  <c r="FJ4875"/>
  <c r="FK4875"/>
  <c r="FJ4873"/>
  <c r="FK4873"/>
  <c r="FJ4871"/>
  <c r="FK4871"/>
  <c r="FJ4869"/>
  <c r="FK4869"/>
  <c r="FJ4867"/>
  <c r="FK4867"/>
  <c r="FJ4865"/>
  <c r="FK4865"/>
  <c r="FJ4863"/>
  <c r="FK4863"/>
  <c r="FJ4861"/>
  <c r="FK4861"/>
  <c r="FJ4859"/>
  <c r="FK4859"/>
  <c r="FJ4857"/>
  <c r="FK4857"/>
  <c r="FJ4855"/>
  <c r="FK4855"/>
  <c r="FJ4853"/>
  <c r="FK4853"/>
  <c r="FJ4851"/>
  <c r="FK4851"/>
  <c r="FJ4849"/>
  <c r="FK4849"/>
  <c r="FJ4847"/>
  <c r="FK4847"/>
  <c r="FJ4845"/>
  <c r="FK4845"/>
  <c r="FJ4843"/>
  <c r="FK4843"/>
  <c r="FJ4841"/>
  <c r="FK4841"/>
  <c r="FJ4839"/>
  <c r="FK4839"/>
  <c r="FJ4837"/>
  <c r="FK4837"/>
  <c r="FJ4835"/>
  <c r="FK4835"/>
  <c r="FJ4833"/>
  <c r="FK4833"/>
  <c r="FJ4831"/>
  <c r="FK4831"/>
  <c r="FJ4829"/>
  <c r="FK4829"/>
  <c r="FJ4827"/>
  <c r="FK4827"/>
  <c r="FJ4825"/>
  <c r="FK4825"/>
  <c r="FJ4823"/>
  <c r="FK4823"/>
  <c r="FJ4821"/>
  <c r="FK4821"/>
  <c r="FJ4819"/>
  <c r="FK4819"/>
  <c r="FJ4817"/>
  <c r="FK4817"/>
  <c r="FJ4815"/>
  <c r="FK4815"/>
  <c r="FJ4813"/>
  <c r="FK4813"/>
  <c r="FJ4811"/>
  <c r="FK4811"/>
  <c r="FJ4809"/>
  <c r="FK4809"/>
  <c r="FJ4807"/>
  <c r="FK4807"/>
  <c r="FJ4805"/>
  <c r="FK4805"/>
  <c r="FJ4803"/>
  <c r="FK4803"/>
  <c r="FJ4801"/>
  <c r="FK4801"/>
  <c r="FJ4799"/>
  <c r="FK4799"/>
  <c r="FJ4797"/>
  <c r="FK4797"/>
  <c r="FJ4795"/>
  <c r="FK4795"/>
  <c r="FJ4793"/>
  <c r="FK4793"/>
  <c r="FJ4791"/>
  <c r="FK4791"/>
  <c r="FJ4789"/>
  <c r="FK4789"/>
  <c r="FJ4787"/>
  <c r="FK4787"/>
  <c r="FJ4785"/>
  <c r="FK4785"/>
  <c r="FJ4783"/>
  <c r="FK4783"/>
  <c r="FJ4781"/>
  <c r="FK4781"/>
  <c r="FJ4779"/>
  <c r="FK4779"/>
  <c r="FJ4777"/>
  <c r="FK4777"/>
  <c r="FJ4775"/>
  <c r="FK4775"/>
  <c r="FJ4773"/>
  <c r="FK4773"/>
  <c r="FJ4771"/>
  <c r="FK4771"/>
  <c r="FJ4769"/>
  <c r="FK4769"/>
  <c r="FJ4767"/>
  <c r="FK4767"/>
  <c r="FJ4765"/>
  <c r="FK4765"/>
  <c r="FJ4763"/>
  <c r="FK4763"/>
  <c r="FJ4761"/>
  <c r="FK4761"/>
  <c r="FJ4759"/>
  <c r="FK4759"/>
  <c r="FJ4757"/>
  <c r="FK4757"/>
  <c r="FJ4755"/>
  <c r="FK4755"/>
  <c r="FJ4753"/>
  <c r="FK4753"/>
  <c r="FJ4751"/>
  <c r="FK4751"/>
  <c r="FJ4749"/>
  <c r="FK4749"/>
  <c r="FJ4747"/>
  <c r="FK4747"/>
  <c r="FJ4745"/>
  <c r="FK4745"/>
  <c r="FJ4743"/>
  <c r="FK4743"/>
  <c r="FJ4741"/>
  <c r="FK4741"/>
  <c r="FJ4739"/>
  <c r="FK4739"/>
  <c r="FJ4737"/>
  <c r="FK4737"/>
  <c r="FJ4735"/>
  <c r="FK4735"/>
  <c r="FJ4733"/>
  <c r="FK4733"/>
  <c r="FJ4731"/>
  <c r="FK4731"/>
  <c r="FJ4729"/>
  <c r="FK4729"/>
  <c r="FJ4727"/>
  <c r="FK4727"/>
  <c r="FJ4725"/>
  <c r="FK4725"/>
  <c r="FJ4723"/>
  <c r="FK4723"/>
  <c r="FJ4721"/>
  <c r="FK4721"/>
  <c r="FJ4719"/>
  <c r="FK4719"/>
  <c r="FJ4717"/>
  <c r="FK4717"/>
  <c r="FJ4715"/>
  <c r="FK4715"/>
  <c r="FJ4713"/>
  <c r="FK4713"/>
  <c r="FJ4711"/>
  <c r="FK4711"/>
  <c r="FJ4709"/>
  <c r="FK4709"/>
  <c r="FJ4707"/>
  <c r="FK4707"/>
  <c r="FJ4705"/>
  <c r="FK4705"/>
  <c r="FJ4703"/>
  <c r="FK4703"/>
  <c r="FJ4701"/>
  <c r="FK4701"/>
  <c r="FJ4699"/>
  <c r="FK4699"/>
  <c r="FJ4697"/>
  <c r="FK4697"/>
  <c r="FJ4695"/>
  <c r="FK4695"/>
  <c r="FJ4693"/>
  <c r="FK4693"/>
  <c r="FJ4691"/>
  <c r="FK4691"/>
  <c r="FJ4689"/>
  <c r="FK4689"/>
  <c r="FJ4687"/>
  <c r="FK4687"/>
  <c r="FJ4685"/>
  <c r="FK4685"/>
  <c r="FJ4683"/>
  <c r="FK4683"/>
  <c r="FJ4681"/>
  <c r="FK4681"/>
  <c r="FJ4679"/>
  <c r="FK4679"/>
  <c r="FJ4677"/>
  <c r="FK4677"/>
  <c r="FJ4675"/>
  <c r="FK4675"/>
  <c r="FJ4673"/>
  <c r="FK4673"/>
  <c r="FJ4671"/>
  <c r="FK4671"/>
  <c r="FJ4669"/>
  <c r="FK4669"/>
  <c r="FJ4667"/>
  <c r="FK4667"/>
  <c r="FJ4665"/>
  <c r="FK4665"/>
  <c r="FJ4663"/>
  <c r="FK4663"/>
  <c r="FJ4661"/>
  <c r="FK4661"/>
  <c r="FJ4659"/>
  <c r="FK4659"/>
  <c r="FJ4657"/>
  <c r="FK4657"/>
  <c r="FJ4655"/>
  <c r="FK4655"/>
  <c r="FJ4653"/>
  <c r="FK4653"/>
  <c r="FJ4651"/>
  <c r="FK4651"/>
  <c r="FJ4649"/>
  <c r="FK4649"/>
  <c r="FJ4647"/>
  <c r="FK4647"/>
  <c r="FJ4645"/>
  <c r="FK4645"/>
  <c r="FJ4643"/>
  <c r="FK4643"/>
  <c r="FJ4641"/>
  <c r="FK4641"/>
  <c r="FJ4639"/>
  <c r="FK4639"/>
  <c r="FJ4637"/>
  <c r="FK4637"/>
  <c r="FJ4635"/>
  <c r="FK4635"/>
  <c r="FJ4633"/>
  <c r="FK4633"/>
  <c r="FJ4631"/>
  <c r="FK4631"/>
  <c r="FJ4629"/>
  <c r="FK4629"/>
  <c r="FJ4627"/>
  <c r="FK4627"/>
  <c r="FJ4625"/>
  <c r="FK4625"/>
  <c r="FJ4623"/>
  <c r="FK4623"/>
  <c r="FJ4621"/>
  <c r="FK4621"/>
  <c r="FJ4619"/>
  <c r="FK4619"/>
  <c r="FJ4617"/>
  <c r="FK4617"/>
  <c r="FJ4615"/>
  <c r="FK4615"/>
  <c r="FJ4613"/>
  <c r="FK4613"/>
  <c r="FJ4611"/>
  <c r="FK4611"/>
  <c r="FJ4609"/>
  <c r="FK4609"/>
  <c r="FJ4607"/>
  <c r="FK4607"/>
  <c r="FJ4605"/>
  <c r="FK4605"/>
  <c r="FJ4603"/>
  <c r="FK4603"/>
  <c r="FJ4601"/>
  <c r="FK4601"/>
  <c r="FJ4599"/>
  <c r="FK4599"/>
  <c r="FJ4597"/>
  <c r="FK4597"/>
  <c r="FJ4595"/>
  <c r="FK4595"/>
  <c r="FJ4593"/>
  <c r="FK4593"/>
  <c r="FJ4591"/>
  <c r="FK4591"/>
  <c r="FJ4589"/>
  <c r="FK4589"/>
  <c r="FJ4587"/>
  <c r="FK4587"/>
  <c r="FJ4585"/>
  <c r="FK4585"/>
  <c r="FJ4583"/>
  <c r="FK4583"/>
  <c r="FJ4581"/>
  <c r="FK4581"/>
  <c r="FJ4579"/>
  <c r="FK4579"/>
  <c r="FJ4577"/>
  <c r="FK4577"/>
  <c r="FJ4575"/>
  <c r="FK4575"/>
  <c r="FJ4573"/>
  <c r="FK4573"/>
  <c r="FJ4571"/>
  <c r="FK4571"/>
  <c r="FJ4569"/>
  <c r="FK4569"/>
  <c r="FJ4567"/>
  <c r="FK4567"/>
  <c r="FJ4565"/>
  <c r="FK4565"/>
  <c r="FJ4563"/>
  <c r="FK4563"/>
  <c r="FJ4561"/>
  <c r="FK4561"/>
  <c r="FJ4559"/>
  <c r="FK4559"/>
  <c r="FJ4557"/>
  <c r="FK4557"/>
  <c r="FJ4555"/>
  <c r="FK4555"/>
  <c r="FJ4553"/>
  <c r="FK4553"/>
  <c r="FJ4551"/>
  <c r="FK4551"/>
  <c r="FJ4549"/>
  <c r="FK4549"/>
  <c r="FJ4547"/>
  <c r="FK4547"/>
  <c r="FJ4545"/>
  <c r="FK4545"/>
  <c r="FJ4543"/>
  <c r="FK4543"/>
  <c r="FJ4541"/>
  <c r="FK4541"/>
  <c r="FJ4539"/>
  <c r="FK4539"/>
  <c r="FJ4537"/>
  <c r="FK4537"/>
  <c r="FJ4535"/>
  <c r="FK4535"/>
  <c r="FJ4533"/>
  <c r="FK4533"/>
  <c r="FJ4531"/>
  <c r="FK4531"/>
  <c r="FJ4529"/>
  <c r="FK4529"/>
  <c r="FJ4527"/>
  <c r="FK4527"/>
  <c r="FJ4525"/>
  <c r="FK4525"/>
  <c r="FJ4523"/>
  <c r="FK4523"/>
  <c r="FJ4521"/>
  <c r="FK4521"/>
  <c r="FJ4519"/>
  <c r="FK4519"/>
  <c r="FJ4517"/>
  <c r="FK4517"/>
  <c r="FJ4515"/>
  <c r="FK4515"/>
  <c r="FJ4513"/>
  <c r="FK4513"/>
  <c r="FJ4511"/>
  <c r="FK4511"/>
  <c r="FJ4509"/>
  <c r="FK4509"/>
  <c r="FJ4507"/>
  <c r="FK4507"/>
  <c r="FJ4505"/>
  <c r="FK4505"/>
  <c r="FJ4503"/>
  <c r="FK4503"/>
  <c r="FJ4501"/>
  <c r="FK4501"/>
  <c r="FJ4499"/>
  <c r="FK4499"/>
  <c r="FJ4497"/>
  <c r="FK4497"/>
  <c r="FJ4495"/>
  <c r="FK4495"/>
  <c r="FJ4493"/>
  <c r="FK4493"/>
  <c r="FJ4491"/>
  <c r="FK4491"/>
  <c r="FJ4489"/>
  <c r="FK4489"/>
  <c r="FJ4487"/>
  <c r="FK4487"/>
  <c r="FJ4485"/>
  <c r="FK4485"/>
  <c r="FJ4483"/>
  <c r="FK4483"/>
  <c r="FJ4481"/>
  <c r="FK4481"/>
  <c r="FJ4479"/>
  <c r="FK4479"/>
  <c r="FJ4477"/>
  <c r="FK4477"/>
  <c r="FJ4475"/>
  <c r="FK4475"/>
  <c r="FJ4473"/>
  <c r="FK4473"/>
  <c r="FJ4471"/>
  <c r="FK4471"/>
  <c r="FJ4469"/>
  <c r="FK4469"/>
  <c r="FJ4467"/>
  <c r="FK4467"/>
  <c r="FJ4465"/>
  <c r="FK4465"/>
  <c r="FJ4463"/>
  <c r="FK4463"/>
  <c r="FJ4461"/>
  <c r="FK4461"/>
  <c r="FJ4459"/>
  <c r="FK4459"/>
  <c r="FJ4457"/>
  <c r="FK4457"/>
  <c r="FJ4455"/>
  <c r="FK4455"/>
  <c r="FJ4453"/>
  <c r="FK4453"/>
  <c r="FJ4451"/>
  <c r="FK4451"/>
  <c r="FJ4449"/>
  <c r="FK4449"/>
  <c r="FJ4447"/>
  <c r="FK4447"/>
  <c r="FJ4445"/>
  <c r="FK4445"/>
  <c r="FJ4443"/>
  <c r="FK4443"/>
  <c r="FJ4441"/>
  <c r="FK4441"/>
  <c r="FJ4439"/>
  <c r="FK4439"/>
  <c r="FJ4437"/>
  <c r="FK4437"/>
  <c r="FJ4435"/>
  <c r="FK4435"/>
  <c r="FJ4433"/>
  <c r="FK4433"/>
  <c r="FJ4431"/>
  <c r="FK4431"/>
  <c r="FJ4429"/>
  <c r="FK4429"/>
  <c r="FJ4427"/>
  <c r="FK4427"/>
  <c r="FJ4425"/>
  <c r="FK4425"/>
  <c r="FJ4423"/>
  <c r="FK4423"/>
  <c r="FJ4421"/>
  <c r="FK4421"/>
  <c r="FJ4419"/>
  <c r="FK4419"/>
  <c r="FJ4417"/>
  <c r="FK4417"/>
  <c r="FJ4415"/>
  <c r="FK4415"/>
  <c r="FJ4413"/>
  <c r="FK4413"/>
  <c r="FJ4411"/>
  <c r="FK4411"/>
  <c r="FJ4409"/>
  <c r="FK4409"/>
  <c r="FJ4407"/>
  <c r="FK4407"/>
  <c r="FJ4405"/>
  <c r="FK4405"/>
  <c r="FJ4403"/>
  <c r="FK4403"/>
  <c r="FJ4401"/>
  <c r="FK4401"/>
  <c r="FJ4399"/>
  <c r="FK4399"/>
  <c r="FJ4397"/>
  <c r="FK4397"/>
  <c r="FJ4395"/>
  <c r="FK4395"/>
  <c r="FJ4393"/>
  <c r="FK4393"/>
  <c r="FJ4391"/>
  <c r="FK4391"/>
  <c r="FJ4389"/>
  <c r="FK4389"/>
  <c r="FJ4387"/>
  <c r="FK4387"/>
  <c r="FJ4385"/>
  <c r="FK4385"/>
  <c r="FJ4383"/>
  <c r="FK4383"/>
  <c r="FJ4381"/>
  <c r="FK4381"/>
  <c r="FJ4379"/>
  <c r="FK4379"/>
  <c r="FJ4377"/>
  <c r="FK4377"/>
  <c r="FJ4375"/>
  <c r="FK4375"/>
  <c r="FJ4373"/>
  <c r="FK4373"/>
  <c r="FJ4371"/>
  <c r="FK4371"/>
  <c r="FJ4369"/>
  <c r="FK4369"/>
  <c r="FJ4367"/>
  <c r="FK4367"/>
  <c r="FJ4365"/>
  <c r="FK4365"/>
  <c r="FJ4363"/>
  <c r="FK4363"/>
  <c r="FJ4361"/>
  <c r="FK4361"/>
  <c r="FJ4359"/>
  <c r="FK4359"/>
  <c r="FJ4357"/>
  <c r="FK4357"/>
  <c r="FJ4355"/>
  <c r="FK4355"/>
  <c r="FJ4353"/>
  <c r="FK4353"/>
  <c r="FJ4351"/>
  <c r="FK4351"/>
  <c r="FJ4349"/>
  <c r="FK4349"/>
  <c r="FJ4347"/>
  <c r="FK4347"/>
  <c r="FJ4345"/>
  <c r="FK4345"/>
  <c r="FJ4343"/>
  <c r="FK4343"/>
  <c r="FJ4341"/>
  <c r="FK4341"/>
  <c r="FJ4339"/>
  <c r="FK4339"/>
  <c r="FJ4337"/>
  <c r="FK4337"/>
  <c r="FJ4335"/>
  <c r="FK4335"/>
  <c r="FJ4333"/>
  <c r="FK4333"/>
  <c r="FJ4331"/>
  <c r="FK4331"/>
  <c r="FJ4329"/>
  <c r="FK4329"/>
  <c r="FJ4327"/>
  <c r="FK4327"/>
  <c r="FJ4325"/>
  <c r="FK4325"/>
  <c r="FJ4323"/>
  <c r="FK4323"/>
  <c r="FJ4321"/>
  <c r="FK4321"/>
  <c r="FJ4319"/>
  <c r="FK4319"/>
  <c r="FJ4317"/>
  <c r="FK4317"/>
  <c r="FJ4315"/>
  <c r="FK4315"/>
  <c r="FJ4313"/>
  <c r="FK4313"/>
  <c r="FJ4311"/>
  <c r="FK4311"/>
  <c r="FJ4309"/>
  <c r="FK4309"/>
  <c r="FJ4307"/>
  <c r="FK4307"/>
  <c r="FJ4305"/>
  <c r="FK4305"/>
  <c r="FJ4303"/>
  <c r="FK4303"/>
  <c r="FJ4301"/>
  <c r="FK4301"/>
  <c r="FJ4299"/>
  <c r="FK4299"/>
  <c r="FJ4297"/>
  <c r="FK4297"/>
  <c r="FJ4295"/>
  <c r="FK4295"/>
  <c r="FJ4293"/>
  <c r="FK4293"/>
  <c r="FJ4291"/>
  <c r="FK4291"/>
  <c r="FJ4289"/>
  <c r="FK4289"/>
  <c r="FJ4287"/>
  <c r="FK4287"/>
  <c r="FJ4285"/>
  <c r="FK4285"/>
  <c r="FJ4283"/>
  <c r="FK4283"/>
  <c r="FJ4281"/>
  <c r="FK4281"/>
  <c r="FJ4279"/>
  <c r="FK4279"/>
  <c r="FJ4277"/>
  <c r="FK4277"/>
  <c r="FJ4275"/>
  <c r="FK4275"/>
  <c r="FJ4273"/>
  <c r="FK4273"/>
  <c r="FJ4271"/>
  <c r="FK4271"/>
  <c r="FJ4269"/>
  <c r="FK4269"/>
  <c r="FJ4267"/>
  <c r="FK4267"/>
  <c r="FJ4265"/>
  <c r="FK4265"/>
  <c r="FJ4263"/>
  <c r="FK4263"/>
  <c r="FJ4261"/>
  <c r="FK4261"/>
  <c r="FJ4259"/>
  <c r="FK4259"/>
  <c r="FJ4257"/>
  <c r="FK4257"/>
  <c r="FJ4255"/>
  <c r="FK4255"/>
  <c r="FJ4253"/>
  <c r="FK4253"/>
  <c r="FJ4251"/>
  <c r="FK4251"/>
  <c r="FJ4249"/>
  <c r="FK4249"/>
  <c r="FJ4247"/>
  <c r="FK4247"/>
  <c r="FJ4245"/>
  <c r="FK4245"/>
  <c r="FJ4243"/>
  <c r="FK4243"/>
  <c r="FJ4241"/>
  <c r="FK4241"/>
  <c r="FJ4239"/>
  <c r="FK4239"/>
  <c r="FJ4237"/>
  <c r="FK4237"/>
  <c r="FJ4235"/>
  <c r="FK4235"/>
  <c r="FJ4233"/>
  <c r="FK4233"/>
  <c r="FJ4231"/>
  <c r="FK4231"/>
  <c r="FJ4229"/>
  <c r="FK4229"/>
  <c r="FJ4227"/>
  <c r="FK4227"/>
  <c r="FJ4225"/>
  <c r="FK4225"/>
  <c r="FJ4223"/>
  <c r="FK4223"/>
  <c r="FJ4221"/>
  <c r="FK4221"/>
  <c r="FJ4219"/>
  <c r="FK4219"/>
  <c r="FJ4217"/>
  <c r="FK4217"/>
  <c r="FJ4215"/>
  <c r="FK4215"/>
  <c r="FJ4213"/>
  <c r="FK4213"/>
  <c r="FJ4211"/>
  <c r="FK4211"/>
  <c r="FJ4209"/>
  <c r="FK4209"/>
  <c r="FJ4207"/>
  <c r="FK4207"/>
  <c r="FJ4205"/>
  <c r="FK4205"/>
  <c r="FJ4203"/>
  <c r="FK4203"/>
  <c r="FJ4201"/>
  <c r="FK4201"/>
  <c r="FJ4199"/>
  <c r="FK4199"/>
  <c r="FJ4197"/>
  <c r="FK4197"/>
  <c r="FJ4195"/>
  <c r="FK4195"/>
  <c r="FJ4193"/>
  <c r="FK4193"/>
  <c r="FJ4191"/>
  <c r="FK4191"/>
  <c r="FJ4189"/>
  <c r="FK4189"/>
  <c r="FJ4187"/>
  <c r="FK4187"/>
  <c r="FJ4185"/>
  <c r="FK4185"/>
  <c r="FJ4183"/>
  <c r="FK4183"/>
  <c r="FJ4181"/>
  <c r="FK4181"/>
  <c r="FJ4179"/>
  <c r="FK4179"/>
  <c r="FJ4177"/>
  <c r="FK4177"/>
  <c r="FJ4175"/>
  <c r="FK4175"/>
  <c r="FJ4173"/>
  <c r="FK4173"/>
  <c r="FJ4171"/>
  <c r="FK4171"/>
  <c r="FJ4169"/>
  <c r="FK4169"/>
  <c r="FJ4167"/>
  <c r="FK4167"/>
  <c r="FJ4165"/>
  <c r="FK4165"/>
  <c r="FJ4163"/>
  <c r="FK4163"/>
  <c r="FJ4161"/>
  <c r="FK4161"/>
  <c r="FJ4159"/>
  <c r="FK4159"/>
  <c r="FJ4157"/>
  <c r="FK4157"/>
  <c r="FJ4155"/>
  <c r="FK4155"/>
  <c r="FJ4153"/>
  <c r="FK4153"/>
  <c r="FJ4151"/>
  <c r="FK4151"/>
  <c r="FJ4149"/>
  <c r="FK4149"/>
  <c r="FJ4147"/>
  <c r="FK4147"/>
  <c r="FJ4145"/>
  <c r="FK4145"/>
  <c r="FJ4143"/>
  <c r="FK4143"/>
  <c r="FJ4141"/>
  <c r="FK4141"/>
  <c r="FJ4139"/>
  <c r="FK4139"/>
  <c r="FJ4137"/>
  <c r="FK4137"/>
  <c r="FJ4135"/>
  <c r="FK4135"/>
  <c r="FJ4133"/>
  <c r="FK4133"/>
  <c r="FJ4131"/>
  <c r="FK4131"/>
  <c r="FJ4129"/>
  <c r="FK4129"/>
  <c r="FJ4127"/>
  <c r="FK4127"/>
  <c r="FJ4125"/>
  <c r="FK4125"/>
  <c r="FJ4123"/>
  <c r="FK4123"/>
  <c r="FJ4121"/>
  <c r="FK4121"/>
  <c r="FJ4119"/>
  <c r="FK4119"/>
  <c r="FJ4117"/>
  <c r="FK4117"/>
  <c r="FJ4115"/>
  <c r="FK4115"/>
  <c r="FJ4113"/>
  <c r="FK4113"/>
  <c r="FJ4111"/>
  <c r="FK4111"/>
  <c r="FJ4109"/>
  <c r="FK4109"/>
  <c r="FJ4107"/>
  <c r="FK4107"/>
  <c r="FJ4105"/>
  <c r="FK4105"/>
  <c r="FJ4103"/>
  <c r="FK4103"/>
  <c r="FJ4101"/>
  <c r="FK4101"/>
  <c r="FJ4099"/>
  <c r="FK4099"/>
  <c r="FJ4097"/>
  <c r="FK4097"/>
  <c r="FJ4095"/>
  <c r="FK4095"/>
  <c r="FJ4093"/>
  <c r="FK4093"/>
  <c r="FJ4091"/>
  <c r="FK4091"/>
  <c r="FJ4089"/>
  <c r="FK4089"/>
  <c r="FJ4087"/>
  <c r="FK4087"/>
  <c r="FJ4085"/>
  <c r="FK4085"/>
  <c r="FJ4083"/>
  <c r="FK4083"/>
  <c r="FJ4081"/>
  <c r="FK4081"/>
  <c r="FJ4079"/>
  <c r="FK4079"/>
  <c r="FJ4077"/>
  <c r="FK4077"/>
  <c r="FJ4075"/>
  <c r="FK4075"/>
  <c r="FJ4073"/>
  <c r="FK4073"/>
  <c r="FJ4071"/>
  <c r="FK4071"/>
  <c r="FJ4069"/>
  <c r="FK4069"/>
  <c r="FJ4067"/>
  <c r="FK4067"/>
  <c r="FJ4065"/>
  <c r="FK4065"/>
  <c r="FJ4063"/>
  <c r="FK4063"/>
  <c r="FJ4061"/>
  <c r="FK4061"/>
  <c r="FJ4059"/>
  <c r="FK4059"/>
  <c r="FJ4057"/>
  <c r="FK4057"/>
  <c r="FJ4055"/>
  <c r="FK4055"/>
  <c r="FJ4053"/>
  <c r="FK4053"/>
  <c r="FJ4051"/>
  <c r="FK4051"/>
  <c r="FJ4049"/>
  <c r="FK4049"/>
  <c r="FJ4047"/>
  <c r="FK4047"/>
  <c r="FJ4045"/>
  <c r="FK4045"/>
  <c r="FJ4043"/>
  <c r="FK4043"/>
  <c r="FJ4041"/>
  <c r="FK4041"/>
  <c r="FJ4039"/>
  <c r="FK4039"/>
  <c r="FJ4037"/>
  <c r="FK4037"/>
  <c r="FJ4035"/>
  <c r="FK4035"/>
  <c r="FJ4033"/>
  <c r="FK4033"/>
  <c r="FJ4031"/>
  <c r="FK4031"/>
  <c r="FJ4029"/>
  <c r="FK4029"/>
  <c r="FJ4027"/>
  <c r="FK4027"/>
  <c r="FJ4025"/>
  <c r="FK4025"/>
  <c r="FJ4023"/>
  <c r="FK4023"/>
  <c r="FJ4021"/>
  <c r="FK4021"/>
  <c r="FJ4019"/>
  <c r="FK4019"/>
  <c r="FJ4017"/>
  <c r="FK4017"/>
  <c r="FJ4015"/>
  <c r="FK4015"/>
  <c r="FJ4013"/>
  <c r="FK4013"/>
  <c r="FJ4011"/>
  <c r="FK4011"/>
  <c r="FJ4009"/>
  <c r="FK4009"/>
  <c r="FJ4007"/>
  <c r="FK4007"/>
  <c r="FJ4005"/>
  <c r="FK4005"/>
  <c r="FJ4003"/>
  <c r="FK4003"/>
  <c r="FJ4001"/>
  <c r="FK4001"/>
  <c r="FJ3999"/>
  <c r="FK3999"/>
  <c r="FJ3997"/>
  <c r="FK3997"/>
  <c r="FJ3995"/>
  <c r="FK3995"/>
  <c r="FJ3993"/>
  <c r="FK3993"/>
  <c r="FJ3991"/>
  <c r="FK3991"/>
  <c r="FJ3989"/>
  <c r="FK3989"/>
  <c r="FJ3987"/>
  <c r="FK3987"/>
  <c r="FJ3985"/>
  <c r="FK3985"/>
  <c r="FJ3983"/>
  <c r="FK3983"/>
  <c r="FJ3981"/>
  <c r="FK3981"/>
  <c r="FJ3979"/>
  <c r="FK3979"/>
  <c r="FJ3977"/>
  <c r="FK3977"/>
  <c r="FJ3975"/>
  <c r="FK3975"/>
  <c r="FJ3973"/>
  <c r="FK3973"/>
  <c r="FJ3971"/>
  <c r="FK3971"/>
  <c r="FJ3969"/>
  <c r="FK3969"/>
  <c r="FJ3967"/>
  <c r="FK3967"/>
  <c r="FJ3965"/>
  <c r="FK3965"/>
  <c r="FJ3963"/>
  <c r="FK3963"/>
  <c r="FJ3961"/>
  <c r="FK3961"/>
  <c r="FJ3959"/>
  <c r="FK3959"/>
  <c r="FJ3957"/>
  <c r="FK3957"/>
  <c r="FJ3955"/>
  <c r="FK3955"/>
  <c r="FJ3953"/>
  <c r="FK3953"/>
  <c r="FJ3951"/>
  <c r="FK3951"/>
  <c r="FJ3949"/>
  <c r="FK3949"/>
  <c r="FJ3947"/>
  <c r="FK3947"/>
  <c r="FJ3945"/>
  <c r="FK3945"/>
  <c r="FJ3943"/>
  <c r="FK3943"/>
  <c r="FJ3941"/>
  <c r="FK3941"/>
  <c r="FJ3939"/>
  <c r="FK3939"/>
  <c r="FJ3937"/>
  <c r="FK3937"/>
  <c r="FJ3935"/>
  <c r="FK3935"/>
  <c r="FJ3933"/>
  <c r="FK3933"/>
  <c r="FJ3931"/>
  <c r="FK3931"/>
  <c r="FJ3929"/>
  <c r="FK3929"/>
  <c r="FJ3927"/>
  <c r="FK3927"/>
  <c r="FJ3925"/>
  <c r="FK3925"/>
  <c r="FJ3923"/>
  <c r="FK3923"/>
  <c r="FJ3921"/>
  <c r="FK3921"/>
  <c r="FJ3919"/>
  <c r="FK3919"/>
  <c r="FJ3917"/>
  <c r="FK3917"/>
  <c r="FJ3915"/>
  <c r="FK3915"/>
  <c r="FJ3913"/>
  <c r="FK3913"/>
  <c r="FJ3911"/>
  <c r="FK3911"/>
  <c r="FJ3909"/>
  <c r="FK3909"/>
  <c r="FJ3907"/>
  <c r="FK3907"/>
  <c r="FJ3905"/>
  <c r="FK3905"/>
  <c r="FJ3903"/>
  <c r="FK3903"/>
  <c r="FJ3901"/>
  <c r="FK3901"/>
  <c r="FJ3899"/>
  <c r="FK3899"/>
  <c r="FJ3897"/>
  <c r="FK3897"/>
  <c r="FJ3895"/>
  <c r="FK3895"/>
  <c r="FJ3893"/>
  <c r="FK3893"/>
  <c r="FJ3891"/>
  <c r="FK3891"/>
  <c r="FJ3889"/>
  <c r="FK3889"/>
  <c r="FJ3887"/>
  <c r="FK3887"/>
  <c r="FJ3885"/>
  <c r="FK3885"/>
  <c r="FJ3883"/>
  <c r="FK3883"/>
  <c r="FJ3881"/>
  <c r="FK3881"/>
  <c r="FJ3879"/>
  <c r="FK3879"/>
  <c r="FJ3877"/>
  <c r="FK3877"/>
  <c r="FJ3875"/>
  <c r="FK3875"/>
  <c r="FJ3873"/>
  <c r="FK3873"/>
  <c r="FJ3871"/>
  <c r="FK3871"/>
  <c r="FJ3869"/>
  <c r="FK3869"/>
  <c r="FJ3867"/>
  <c r="FK3867"/>
  <c r="FJ3865"/>
  <c r="FK3865"/>
  <c r="FJ3863"/>
  <c r="FK3863"/>
  <c r="FJ3861"/>
  <c r="FK3861"/>
  <c r="FJ3859"/>
  <c r="FK3859"/>
  <c r="FJ3857"/>
  <c r="FK3857"/>
  <c r="FJ3855"/>
  <c r="FK3855"/>
  <c r="FJ3853"/>
  <c r="FK3853"/>
  <c r="FJ3851"/>
  <c r="FK3851"/>
  <c r="FJ3849"/>
  <c r="FK3849"/>
  <c r="FJ3847"/>
  <c r="FK3847"/>
  <c r="FJ3845"/>
  <c r="FK3845"/>
  <c r="FJ3843"/>
  <c r="FK3843"/>
  <c r="FJ3841"/>
  <c r="FK3841"/>
  <c r="FJ3839"/>
  <c r="FK3839"/>
  <c r="FJ3837"/>
  <c r="FK3837"/>
  <c r="FJ3835"/>
  <c r="FK3835"/>
  <c r="FJ3833"/>
  <c r="FK3833"/>
  <c r="FJ3831"/>
  <c r="FK3831"/>
  <c r="FJ3829"/>
  <c r="FK3829"/>
  <c r="FJ3827"/>
  <c r="FK3827"/>
  <c r="FJ3825"/>
  <c r="FK3825"/>
  <c r="FJ3823"/>
  <c r="FK3823"/>
  <c r="FJ3821"/>
  <c r="FK3821"/>
  <c r="FJ3819"/>
  <c r="FK3819"/>
  <c r="FJ3817"/>
  <c r="FK3817"/>
  <c r="FJ3815"/>
  <c r="FK3815"/>
  <c r="FJ3813"/>
  <c r="FK3813"/>
  <c r="FJ3811"/>
  <c r="FK3811"/>
  <c r="FJ3809"/>
  <c r="FK3809"/>
  <c r="FJ3807"/>
  <c r="FK3807"/>
  <c r="FJ3805"/>
  <c r="FK3805"/>
  <c r="FJ3803"/>
  <c r="FK3803"/>
  <c r="FJ3801"/>
  <c r="FK3801"/>
  <c r="FJ3799"/>
  <c r="FK3799"/>
  <c r="FJ3797"/>
  <c r="FK3797"/>
  <c r="FJ3795"/>
  <c r="FK3795"/>
  <c r="FJ3793"/>
  <c r="FK3793"/>
  <c r="FJ3791"/>
  <c r="FK3791"/>
  <c r="FJ3789"/>
  <c r="FK3789"/>
  <c r="FJ3787"/>
  <c r="FK3787"/>
  <c r="FJ3785"/>
  <c r="FK3785"/>
  <c r="FJ3783"/>
  <c r="FK3783"/>
  <c r="FJ3781"/>
  <c r="FK3781"/>
  <c r="FJ3779"/>
  <c r="FK3779"/>
  <c r="FJ3777"/>
  <c r="FK3777"/>
  <c r="FJ3775"/>
  <c r="FK3775"/>
  <c r="FJ3773"/>
  <c r="FK3773"/>
  <c r="FJ3771"/>
  <c r="FK3771"/>
  <c r="FJ3769"/>
  <c r="FK3769"/>
  <c r="FJ3767"/>
  <c r="FK3767"/>
  <c r="FJ3765"/>
  <c r="FK3765"/>
  <c r="FJ3763"/>
  <c r="FK3763"/>
  <c r="FJ3761"/>
  <c r="FK3761"/>
  <c r="FJ3759"/>
  <c r="FK3759"/>
  <c r="FJ3757"/>
  <c r="FK3757"/>
  <c r="FJ3755"/>
  <c r="FK3755"/>
  <c r="FJ3753"/>
  <c r="FK3753"/>
  <c r="FJ3751"/>
  <c r="FK3751"/>
  <c r="FJ3749"/>
  <c r="FK3749"/>
  <c r="FJ3747"/>
  <c r="FK3747"/>
  <c r="FJ3745"/>
  <c r="FK3745"/>
  <c r="FJ3743"/>
  <c r="FK3743"/>
  <c r="FJ3741"/>
  <c r="FK3741"/>
  <c r="FJ3739"/>
  <c r="FK3739"/>
  <c r="FJ3737"/>
  <c r="FK3737"/>
  <c r="FJ3735"/>
  <c r="FK3735"/>
  <c r="FJ3733"/>
  <c r="FK3733"/>
  <c r="FJ3731"/>
  <c r="FK3731"/>
  <c r="FJ3729"/>
  <c r="FK3729"/>
  <c r="FJ3727"/>
  <c r="FK3727"/>
  <c r="FJ3725"/>
  <c r="FK3725"/>
  <c r="FJ3723"/>
  <c r="FK3723"/>
  <c r="FJ3721"/>
  <c r="FK3721"/>
  <c r="FJ3719"/>
  <c r="FK3719"/>
  <c r="FJ3717"/>
  <c r="FK3717"/>
  <c r="FJ3715"/>
  <c r="FK3715"/>
  <c r="FJ3713"/>
  <c r="FK3713"/>
  <c r="FJ3711"/>
  <c r="FK3711"/>
  <c r="FJ3709"/>
  <c r="FK3709"/>
  <c r="FJ3707"/>
  <c r="FK3707"/>
  <c r="FJ3705"/>
  <c r="FK3705"/>
  <c r="FJ3703"/>
  <c r="FK3703"/>
  <c r="FJ3701"/>
  <c r="FK3701"/>
  <c r="FJ3699"/>
  <c r="FK3699"/>
  <c r="FJ3697"/>
  <c r="FK3697"/>
  <c r="FJ3695"/>
  <c r="FK3695"/>
  <c r="FJ3693"/>
  <c r="FK3693"/>
  <c r="FJ3691"/>
  <c r="FK3691"/>
  <c r="FJ3689"/>
  <c r="FK3689"/>
  <c r="FJ3687"/>
  <c r="FK3687"/>
  <c r="FJ3685"/>
  <c r="FK3685"/>
  <c r="FJ3683"/>
  <c r="FK3683"/>
  <c r="FJ3681"/>
  <c r="FK3681"/>
  <c r="FJ3679"/>
  <c r="FK3679"/>
  <c r="FJ3677"/>
  <c r="FK3677"/>
  <c r="FJ3675"/>
  <c r="FK3675"/>
  <c r="FJ3673"/>
  <c r="FK3673"/>
  <c r="FJ3671"/>
  <c r="FK3671"/>
  <c r="FJ3669"/>
  <c r="FK3669"/>
  <c r="FJ3667"/>
  <c r="FK3667"/>
  <c r="FJ3665"/>
  <c r="FK3665"/>
  <c r="FJ3663"/>
  <c r="FK3663"/>
  <c r="FJ3661"/>
  <c r="FK3661"/>
  <c r="FJ3659"/>
  <c r="FK3659"/>
  <c r="FJ3657"/>
  <c r="FK3657"/>
  <c r="FJ3655"/>
  <c r="FK3655"/>
  <c r="FJ3653"/>
  <c r="FK3653"/>
  <c r="FJ3651"/>
  <c r="FK3651"/>
  <c r="FJ3649"/>
  <c r="FK3649"/>
  <c r="FJ3647"/>
  <c r="FK3647"/>
  <c r="FJ3645"/>
  <c r="FK3645"/>
  <c r="FJ3643"/>
  <c r="FK3643"/>
  <c r="FJ3641"/>
  <c r="FK3641"/>
  <c r="FJ3639"/>
  <c r="FK3639"/>
  <c r="FJ3637"/>
  <c r="FK3637"/>
  <c r="FJ3635"/>
  <c r="FK3635"/>
  <c r="FJ3633"/>
  <c r="FK3633"/>
  <c r="FJ3631"/>
  <c r="FK3631"/>
  <c r="FJ3629"/>
  <c r="FK3629"/>
  <c r="FJ3627"/>
  <c r="FK3627"/>
  <c r="FJ3625"/>
  <c r="FK3625"/>
  <c r="FJ3623"/>
  <c r="FK3623"/>
  <c r="FJ3621"/>
  <c r="FK3621"/>
  <c r="FJ3619"/>
  <c r="FK3619"/>
  <c r="FJ3617"/>
  <c r="FK3617"/>
  <c r="FJ3615"/>
  <c r="FK3615"/>
  <c r="FJ3613"/>
  <c r="FK3613"/>
  <c r="FJ3611"/>
  <c r="FK3611"/>
  <c r="FJ3609"/>
  <c r="FK3609"/>
  <c r="FJ3607"/>
  <c r="FK3607"/>
  <c r="FJ3605"/>
  <c r="FK3605"/>
  <c r="FJ3603"/>
  <c r="FK3603"/>
  <c r="FJ3601"/>
  <c r="FK3601"/>
  <c r="FJ3599"/>
  <c r="FK3599"/>
  <c r="FJ3597"/>
  <c r="FK3597"/>
  <c r="FJ3595"/>
  <c r="FK3595"/>
  <c r="FJ3593"/>
  <c r="FK3593"/>
  <c r="FJ3591"/>
  <c r="FK3591"/>
  <c r="FJ3589"/>
  <c r="FK3589"/>
  <c r="FJ3587"/>
  <c r="FK3587"/>
  <c r="FJ3585"/>
  <c r="FK3585"/>
  <c r="FJ3583"/>
  <c r="FK3583"/>
  <c r="FJ3581"/>
  <c r="FK3581"/>
  <c r="FJ3579"/>
  <c r="FK3579"/>
  <c r="FJ3577"/>
  <c r="FK3577"/>
  <c r="FJ3575"/>
  <c r="FK3575"/>
  <c r="FJ3573"/>
  <c r="FK3573"/>
  <c r="FJ3571"/>
  <c r="FK3571"/>
  <c r="FJ3569"/>
  <c r="FK3569"/>
  <c r="FJ3567"/>
  <c r="FK3567"/>
  <c r="FJ3565"/>
  <c r="FK3565"/>
  <c r="FJ3563"/>
  <c r="FK3563"/>
  <c r="FJ3561"/>
  <c r="FK3561"/>
  <c r="FJ3559"/>
  <c r="FK3559"/>
  <c r="FJ3557"/>
  <c r="FK3557"/>
  <c r="FJ3555"/>
  <c r="FK3555"/>
  <c r="FJ3553"/>
  <c r="FK3553"/>
  <c r="FJ3551"/>
  <c r="FK3551"/>
  <c r="FJ3549"/>
  <c r="FK3549"/>
  <c r="FJ3547"/>
  <c r="FK3547"/>
  <c r="FJ3545"/>
  <c r="FK3545"/>
  <c r="FJ3543"/>
  <c r="FK3543"/>
  <c r="FJ3541"/>
  <c r="FK3541"/>
  <c r="FJ3539"/>
  <c r="FK3539"/>
  <c r="FJ3537"/>
  <c r="FK3537"/>
  <c r="FJ3535"/>
  <c r="FK3535"/>
  <c r="FJ3533"/>
  <c r="FK3533"/>
  <c r="FJ3531"/>
  <c r="FK3531"/>
  <c r="FJ3529"/>
  <c r="FK3529"/>
  <c r="FJ3527"/>
  <c r="FK3527"/>
  <c r="FJ3525"/>
  <c r="FK3525"/>
  <c r="FJ3523"/>
  <c r="FK3523"/>
  <c r="FJ3521"/>
  <c r="FK3521"/>
  <c r="FJ3519"/>
  <c r="FK3519"/>
  <c r="FJ3517"/>
  <c r="FK3517"/>
  <c r="FJ3515"/>
  <c r="FK3515"/>
  <c r="FJ3513"/>
  <c r="FK3513"/>
  <c r="FJ3511"/>
  <c r="FK3511"/>
  <c r="FJ3509"/>
  <c r="FK3509"/>
  <c r="FJ3507"/>
  <c r="FK3507"/>
  <c r="FJ3505"/>
  <c r="FK3505"/>
  <c r="FJ3503"/>
  <c r="FK3503"/>
  <c r="FJ3501"/>
  <c r="FK3501"/>
  <c r="FJ3499"/>
  <c r="FK3499"/>
  <c r="FJ3497"/>
  <c r="FK3497"/>
  <c r="FJ3495"/>
  <c r="FK3495"/>
  <c r="FJ3493"/>
  <c r="FK3493"/>
  <c r="FJ3491"/>
  <c r="FK3491"/>
  <c r="FJ3489"/>
  <c r="FK3489"/>
  <c r="FJ3487"/>
  <c r="FK3487"/>
  <c r="FJ3485"/>
  <c r="FK3485"/>
  <c r="FJ3483"/>
  <c r="FK3483"/>
  <c r="FJ3481"/>
  <c r="FK3481"/>
  <c r="FJ3479"/>
  <c r="FK3479"/>
  <c r="FJ3477"/>
  <c r="FK3477"/>
  <c r="FJ3475"/>
  <c r="FK3475"/>
  <c r="FJ3473"/>
  <c r="FK3473"/>
  <c r="FJ3471"/>
  <c r="FK3471"/>
  <c r="FJ3469"/>
  <c r="FK3469"/>
  <c r="FJ3467"/>
  <c r="FK3467"/>
  <c r="FJ3465"/>
  <c r="FK3465"/>
  <c r="FJ3463"/>
  <c r="FK3463"/>
  <c r="FJ3461"/>
  <c r="FK3461"/>
  <c r="FJ3459"/>
  <c r="FK3459"/>
  <c r="FJ3457"/>
  <c r="FK3457"/>
  <c r="FJ3455"/>
  <c r="FK3455"/>
  <c r="FJ3453"/>
  <c r="FK3453"/>
  <c r="FJ3451"/>
  <c r="FK3451"/>
  <c r="FJ3449"/>
  <c r="FK3449"/>
  <c r="FJ3447"/>
  <c r="FK3447"/>
  <c r="FJ3445"/>
  <c r="FK3445"/>
  <c r="FJ3443"/>
  <c r="FK3443"/>
  <c r="FJ3441"/>
  <c r="FK3441"/>
  <c r="FJ3439"/>
  <c r="FK3439"/>
  <c r="FJ3437"/>
  <c r="FK3437"/>
  <c r="FJ3435"/>
  <c r="FK3435"/>
  <c r="FJ3433"/>
  <c r="FK3433"/>
  <c r="FJ3431"/>
  <c r="FK3431"/>
  <c r="FJ3429"/>
  <c r="FK3429"/>
  <c r="FJ3427"/>
  <c r="FK3427"/>
  <c r="FJ3425"/>
  <c r="FK3425"/>
  <c r="FJ3423"/>
  <c r="FK3423"/>
  <c r="FJ3421"/>
  <c r="FK3421"/>
  <c r="FJ3419"/>
  <c r="FK3419"/>
  <c r="FJ3417"/>
  <c r="FK3417"/>
  <c r="FJ3415"/>
  <c r="FK3415"/>
  <c r="FJ3413"/>
  <c r="FK3413"/>
  <c r="FJ3411"/>
  <c r="FK3411"/>
  <c r="FJ3409"/>
  <c r="FK3409"/>
  <c r="FJ3407"/>
  <c r="FK3407"/>
  <c r="FJ3405"/>
  <c r="FK3405"/>
  <c r="FJ3403"/>
  <c r="FK3403"/>
  <c r="FJ3401"/>
  <c r="FK3401"/>
  <c r="FJ3399"/>
  <c r="FK3399"/>
  <c r="FJ3397"/>
  <c r="FK3397"/>
  <c r="FJ3395"/>
  <c r="FK3395"/>
  <c r="FJ3393"/>
  <c r="FK3393"/>
  <c r="FJ3391"/>
  <c r="FK3391"/>
  <c r="FJ3389"/>
  <c r="FK3389"/>
  <c r="FJ3387"/>
  <c r="FK3387"/>
  <c r="FJ3385"/>
  <c r="FK3385"/>
  <c r="FJ3383"/>
  <c r="FK3383"/>
  <c r="FJ3381"/>
  <c r="FK3381"/>
  <c r="FJ3379"/>
  <c r="FK3379"/>
  <c r="FJ3377"/>
  <c r="FK3377"/>
  <c r="FJ3375"/>
  <c r="FK3375"/>
  <c r="FJ3373"/>
  <c r="FK3373"/>
  <c r="FJ3371"/>
  <c r="FK3371"/>
  <c r="FJ3369"/>
  <c r="FK3369"/>
  <c r="FJ3367"/>
  <c r="FK3367"/>
  <c r="FJ3365"/>
  <c r="FK3365"/>
  <c r="FJ3363"/>
  <c r="FK3363"/>
  <c r="FJ3361"/>
  <c r="FK3361"/>
  <c r="FJ3359"/>
  <c r="FK3359"/>
  <c r="FJ3357"/>
  <c r="FK3357"/>
  <c r="FJ3355"/>
  <c r="FK3355"/>
  <c r="FJ3353"/>
  <c r="FK3353"/>
  <c r="FJ3351"/>
  <c r="FK3351"/>
  <c r="FJ3349"/>
  <c r="FK3349"/>
  <c r="FJ3347"/>
  <c r="FK3347"/>
  <c r="FJ3345"/>
  <c r="FK3345"/>
  <c r="FJ3343"/>
  <c r="FK3343"/>
  <c r="FJ3341"/>
  <c r="FK3341"/>
  <c r="FJ3339"/>
  <c r="FK3339"/>
  <c r="FJ3337"/>
  <c r="FK3337"/>
  <c r="FJ3335"/>
  <c r="FK3335"/>
  <c r="FJ3333"/>
  <c r="FK3333"/>
  <c r="FJ3331"/>
  <c r="FK3331"/>
  <c r="FJ3329"/>
  <c r="FK3329"/>
  <c r="FJ3327"/>
  <c r="FK3327"/>
  <c r="FJ3325"/>
  <c r="FK3325"/>
  <c r="FJ3323"/>
  <c r="FK3323"/>
  <c r="FJ3321"/>
  <c r="FK3321"/>
  <c r="FJ3319"/>
  <c r="FK3319"/>
  <c r="FJ3317"/>
  <c r="FK3317"/>
  <c r="FJ3315"/>
  <c r="FK3315"/>
  <c r="FJ3313"/>
  <c r="FK3313"/>
  <c r="FJ3311"/>
  <c r="FK3311"/>
  <c r="FJ3309"/>
  <c r="FK3309"/>
  <c r="FJ3307"/>
  <c r="FK3307"/>
  <c r="FJ3305"/>
  <c r="FK3305"/>
  <c r="FJ3303"/>
  <c r="FK3303"/>
  <c r="FJ3301"/>
  <c r="FK3301"/>
  <c r="FJ3299"/>
  <c r="FK3299"/>
  <c r="FJ3297"/>
  <c r="FK3297"/>
  <c r="FJ3295"/>
  <c r="FK3295"/>
  <c r="FJ3293"/>
  <c r="FK3293"/>
  <c r="FJ3291"/>
  <c r="FK3291"/>
  <c r="FJ3289"/>
  <c r="FK3289"/>
  <c r="FJ3287"/>
  <c r="FK3287"/>
  <c r="FJ3285"/>
  <c r="FK3285"/>
  <c r="FJ3283"/>
  <c r="FK3283"/>
  <c r="FJ3281"/>
  <c r="FK3281"/>
  <c r="FJ3279"/>
  <c r="FK3279"/>
  <c r="FJ3277"/>
  <c r="FK3277"/>
  <c r="FJ3275"/>
  <c r="FK3275"/>
  <c r="FJ3273"/>
  <c r="FK3273"/>
  <c r="FJ3271"/>
  <c r="FK3271"/>
  <c r="FJ3269"/>
  <c r="FK3269"/>
  <c r="FJ3267"/>
  <c r="FK3267"/>
  <c r="FJ3265"/>
  <c r="FK3265"/>
  <c r="FJ3263"/>
  <c r="FK3263"/>
  <c r="FJ3261"/>
  <c r="FK3261"/>
  <c r="FJ3259"/>
  <c r="FK3259"/>
  <c r="FJ3257"/>
  <c r="FK3257"/>
  <c r="FJ3255"/>
  <c r="FK3255"/>
  <c r="FJ3253"/>
  <c r="FK3253"/>
  <c r="FJ3251"/>
  <c r="FK3251"/>
  <c r="FJ3249"/>
  <c r="FK3249"/>
  <c r="FJ3247"/>
  <c r="FK3247"/>
  <c r="FJ3245"/>
  <c r="FK3245"/>
  <c r="FJ3243"/>
  <c r="FK3243"/>
  <c r="FJ3241"/>
  <c r="FK3241"/>
  <c r="FJ3239"/>
  <c r="FK3239"/>
  <c r="FJ3237"/>
  <c r="FK3237"/>
  <c r="FJ3235"/>
  <c r="FK3235"/>
  <c r="FJ3233"/>
  <c r="FK3233"/>
  <c r="FJ3231"/>
  <c r="FK3231"/>
  <c r="FJ3229"/>
  <c r="FK3229"/>
  <c r="FJ3227"/>
  <c r="FK3227"/>
  <c r="FJ3225"/>
  <c r="FK3225"/>
  <c r="FJ3223"/>
  <c r="FK3223"/>
  <c r="FJ3221"/>
  <c r="FK3221"/>
  <c r="FJ3219"/>
  <c r="FK3219"/>
  <c r="FJ3217"/>
  <c r="FK3217"/>
  <c r="FJ3215"/>
  <c r="FK3215"/>
  <c r="FJ3213"/>
  <c r="FK3213"/>
  <c r="FJ3211"/>
  <c r="FK3211"/>
  <c r="FJ3209"/>
  <c r="FK3209"/>
  <c r="FJ3207"/>
  <c r="FK3207"/>
  <c r="FJ3205"/>
  <c r="FK3205"/>
  <c r="FJ3203"/>
  <c r="FK3203"/>
  <c r="FJ3201"/>
  <c r="FK3201"/>
  <c r="FJ3199"/>
  <c r="FK3199"/>
  <c r="FJ3197"/>
  <c r="FK3197"/>
  <c r="FJ3195"/>
  <c r="FK3195"/>
  <c r="FJ3193"/>
  <c r="FK3193"/>
  <c r="FJ3191"/>
  <c r="FK3191"/>
  <c r="FJ3189"/>
  <c r="FK3189"/>
  <c r="FJ3187"/>
  <c r="FK3187"/>
  <c r="FJ3185"/>
  <c r="FK3185"/>
  <c r="FJ3183"/>
  <c r="FK3183"/>
  <c r="FJ3181"/>
  <c r="FK3181"/>
  <c r="FJ3179"/>
  <c r="FK3179"/>
  <c r="FJ3177"/>
  <c r="FK3177"/>
  <c r="FJ3175"/>
  <c r="FK3175"/>
  <c r="FJ3173"/>
  <c r="FK3173"/>
  <c r="FJ3171"/>
  <c r="FK3171"/>
  <c r="FJ5104"/>
  <c r="FK5104"/>
  <c r="FJ5102"/>
  <c r="FK5102"/>
  <c r="FJ5100"/>
  <c r="FK5100"/>
  <c r="FJ5098"/>
  <c r="FK5098"/>
  <c r="FJ5096"/>
  <c r="FK5096"/>
  <c r="FJ5094"/>
  <c r="FK5094"/>
  <c r="FJ5092"/>
  <c r="FK5092"/>
  <c r="FJ5090"/>
  <c r="FK5090"/>
  <c r="FJ5088"/>
  <c r="FK5088"/>
  <c r="FJ5086"/>
  <c r="FK5086"/>
  <c r="FJ5084"/>
  <c r="FK5084"/>
  <c r="FJ5082"/>
  <c r="FK5082"/>
  <c r="FJ5080"/>
  <c r="FK5080"/>
  <c r="FJ5078"/>
  <c r="FK5078"/>
  <c r="FJ5076"/>
  <c r="FK5076"/>
  <c r="FJ5074"/>
  <c r="FK5074"/>
  <c r="FJ5072"/>
  <c r="FK5072"/>
  <c r="FJ5070"/>
  <c r="FK5070"/>
  <c r="FJ5068"/>
  <c r="FK5068"/>
  <c r="FJ5066"/>
  <c r="FK5066"/>
  <c r="FJ5064"/>
  <c r="FK5064"/>
  <c r="FJ5062"/>
  <c r="FK5062"/>
  <c r="FJ5060"/>
  <c r="FK5060"/>
  <c r="FJ5058"/>
  <c r="FK5058"/>
  <c r="FJ5056"/>
  <c r="FK5056"/>
  <c r="FJ5054"/>
  <c r="FK5054"/>
  <c r="FJ5052"/>
  <c r="FK5052"/>
  <c r="FJ5050"/>
  <c r="FK5050"/>
  <c r="FJ5048"/>
  <c r="FK5048"/>
  <c r="FJ5046"/>
  <c r="FK5046"/>
  <c r="FJ5044"/>
  <c r="FK5044"/>
  <c r="FJ5042"/>
  <c r="FK5042"/>
  <c r="FJ5040"/>
  <c r="FK5040"/>
  <c r="FJ5038"/>
  <c r="FK5038"/>
  <c r="FJ5036"/>
  <c r="FK5036"/>
  <c r="FJ5034"/>
  <c r="FK5034"/>
  <c r="FJ5032"/>
  <c r="FK5032"/>
  <c r="FJ5030"/>
  <c r="FK5030"/>
  <c r="FJ5028"/>
  <c r="FK5028"/>
  <c r="FJ5026"/>
  <c r="FK5026"/>
  <c r="FJ5024"/>
  <c r="FK5024"/>
  <c r="FJ5022"/>
  <c r="FK5022"/>
  <c r="FJ5020"/>
  <c r="FK5020"/>
  <c r="FJ5018"/>
  <c r="FK5018"/>
  <c r="FJ5016"/>
  <c r="FK5016"/>
  <c r="FJ5014"/>
  <c r="FK5014"/>
  <c r="FJ5012"/>
  <c r="FK5012"/>
  <c r="FJ5010"/>
  <c r="FK5010"/>
  <c r="FJ5008"/>
  <c r="FK5008"/>
  <c r="FJ5006"/>
  <c r="FK5006"/>
  <c r="FJ5004"/>
  <c r="FK5004"/>
  <c r="FJ5002"/>
  <c r="FK5002"/>
  <c r="FJ5000"/>
  <c r="FK5000"/>
  <c r="FJ4998"/>
  <c r="FK4998"/>
  <c r="FJ4996"/>
  <c r="FK4996"/>
  <c r="FJ4994"/>
  <c r="FK4994"/>
  <c r="FJ4992"/>
  <c r="FK4992"/>
  <c r="FJ4990"/>
  <c r="FK4990"/>
  <c r="FJ4988"/>
  <c r="FK4988"/>
  <c r="FJ4986"/>
  <c r="FK4986"/>
  <c r="FJ4984"/>
  <c r="FK4984"/>
  <c r="FJ4982"/>
  <c r="FK4982"/>
  <c r="FJ4980"/>
  <c r="FK4980"/>
  <c r="FJ4978"/>
  <c r="FK4978"/>
  <c r="FJ4976"/>
  <c r="FK4976"/>
  <c r="FJ4974"/>
  <c r="FK4974"/>
  <c r="FJ4972"/>
  <c r="FK4972"/>
  <c r="FJ4970"/>
  <c r="FK4970"/>
  <c r="FJ4968"/>
  <c r="FK4968"/>
  <c r="FJ4966"/>
  <c r="FK4966"/>
  <c r="FJ4964"/>
  <c r="FK4964"/>
  <c r="FJ4962"/>
  <c r="FK4962"/>
  <c r="FJ4960"/>
  <c r="FK4960"/>
  <c r="FJ4958"/>
  <c r="FK4958"/>
  <c r="FJ4956"/>
  <c r="FK4956"/>
  <c r="FJ4954"/>
  <c r="FK4954"/>
  <c r="FJ4952"/>
  <c r="FK4952"/>
  <c r="FJ4950"/>
  <c r="FK4950"/>
  <c r="FJ4948"/>
  <c r="FK4948"/>
  <c r="FJ4946"/>
  <c r="FK4946"/>
  <c r="FJ4944"/>
  <c r="FK4944"/>
  <c r="FJ4942"/>
  <c r="FK4942"/>
  <c r="FJ4940"/>
  <c r="FK4940"/>
  <c r="FJ4938"/>
  <c r="FK4938"/>
  <c r="FJ4936"/>
  <c r="FK4936"/>
  <c r="FJ4934"/>
  <c r="FK4934"/>
  <c r="FJ4932"/>
  <c r="FK4932"/>
  <c r="FJ4930"/>
  <c r="FK4930"/>
  <c r="FJ4928"/>
  <c r="FK4928"/>
  <c r="FJ4926"/>
  <c r="FK4926"/>
  <c r="FJ4924"/>
  <c r="FK4924"/>
  <c r="FJ4922"/>
  <c r="FK4922"/>
  <c r="FJ4920"/>
  <c r="FK4920"/>
  <c r="FJ4918"/>
  <c r="FK4918"/>
  <c r="FJ4916"/>
  <c r="FK4916"/>
  <c r="FJ4914"/>
  <c r="FK4914"/>
  <c r="FJ4912"/>
  <c r="FK4912"/>
  <c r="FJ4910"/>
  <c r="FK4910"/>
  <c r="FJ4908"/>
  <c r="FK4908"/>
  <c r="FJ4906"/>
  <c r="FK4906"/>
  <c r="FJ4904"/>
  <c r="FK4904"/>
  <c r="FJ4902"/>
  <c r="FK4902"/>
  <c r="FJ4900"/>
  <c r="FK4900"/>
  <c r="FJ4898"/>
  <c r="FK4898"/>
  <c r="FJ4896"/>
  <c r="FK4896"/>
  <c r="FJ4894"/>
  <c r="FK4894"/>
  <c r="FJ4892"/>
  <c r="FK4892"/>
  <c r="FJ4890"/>
  <c r="FK4890"/>
  <c r="FJ4888"/>
  <c r="FK4888"/>
  <c r="FJ4886"/>
  <c r="FK4886"/>
  <c r="FJ4884"/>
  <c r="FK4884"/>
  <c r="FJ4882"/>
  <c r="FK4882"/>
  <c r="FJ4880"/>
  <c r="FK4880"/>
  <c r="FJ4878"/>
  <c r="FK4878"/>
  <c r="FJ4876"/>
  <c r="FK4876"/>
  <c r="FJ4874"/>
  <c r="FK4874"/>
  <c r="FJ4872"/>
  <c r="FK4872"/>
  <c r="FJ4870"/>
  <c r="FK4870"/>
  <c r="FJ4868"/>
  <c r="FK4868"/>
  <c r="FJ4866"/>
  <c r="FK4866"/>
  <c r="FJ4864"/>
  <c r="FK4864"/>
  <c r="FJ4862"/>
  <c r="FK4862"/>
  <c r="FJ4860"/>
  <c r="FK4860"/>
  <c r="FJ4858"/>
  <c r="FK4858"/>
  <c r="FJ4856"/>
  <c r="FK4856"/>
  <c r="FJ4854"/>
  <c r="FK4854"/>
  <c r="FJ4852"/>
  <c r="FK4852"/>
  <c r="FJ4850"/>
  <c r="FK4850"/>
  <c r="FJ4848"/>
  <c r="FK4848"/>
  <c r="FJ4846"/>
  <c r="FK4846"/>
  <c r="FJ4844"/>
  <c r="FK4844"/>
  <c r="FJ4842"/>
  <c r="FK4842"/>
  <c r="FJ4840"/>
  <c r="FK4840"/>
  <c r="FJ4838"/>
  <c r="FK4838"/>
  <c r="FJ4836"/>
  <c r="FK4836"/>
  <c r="FJ4834"/>
  <c r="FK4834"/>
  <c r="FJ4832"/>
  <c r="FK4832"/>
  <c r="FJ4830"/>
  <c r="FK4830"/>
  <c r="FJ4828"/>
  <c r="FK4828"/>
  <c r="FJ4826"/>
  <c r="FK4826"/>
  <c r="FJ4824"/>
  <c r="FK4824"/>
  <c r="FJ4822"/>
  <c r="FK4822"/>
  <c r="FJ4820"/>
  <c r="FK4820"/>
  <c r="FJ4818"/>
  <c r="FK4818"/>
  <c r="FJ4816"/>
  <c r="FK4816"/>
  <c r="FJ4814"/>
  <c r="FK4814"/>
  <c r="FJ4812"/>
  <c r="FK4812"/>
  <c r="FJ4810"/>
  <c r="FK4810"/>
  <c r="FJ4808"/>
  <c r="FK4808"/>
  <c r="FJ4806"/>
  <c r="FK4806"/>
  <c r="FJ4804"/>
  <c r="FK4804"/>
  <c r="FJ4802"/>
  <c r="FK4802"/>
  <c r="FJ4800"/>
  <c r="FK4800"/>
  <c r="FJ4798"/>
  <c r="FK4798"/>
  <c r="FJ4796"/>
  <c r="FK4796"/>
  <c r="FJ4794"/>
  <c r="FK4794"/>
  <c r="FJ4792"/>
  <c r="FK4792"/>
  <c r="FJ4790"/>
  <c r="FK4790"/>
  <c r="FJ4788"/>
  <c r="FK4788"/>
  <c r="FJ4786"/>
  <c r="FK4786"/>
  <c r="FJ4784"/>
  <c r="FK4784"/>
  <c r="FJ4782"/>
  <c r="FK4782"/>
  <c r="FJ4780"/>
  <c r="FK4780"/>
  <c r="FJ4778"/>
  <c r="FK4778"/>
  <c r="FJ4776"/>
  <c r="FK4776"/>
  <c r="FJ4774"/>
  <c r="FK4774"/>
  <c r="FJ4772"/>
  <c r="FK4772"/>
  <c r="FJ4770"/>
  <c r="FK4770"/>
  <c r="FJ4768"/>
  <c r="FK4768"/>
  <c r="FJ4766"/>
  <c r="FK4766"/>
  <c r="FJ4764"/>
  <c r="FK4764"/>
  <c r="FJ4762"/>
  <c r="FK4762"/>
  <c r="FJ4760"/>
  <c r="FK4760"/>
  <c r="FJ4758"/>
  <c r="FK4758"/>
  <c r="FJ4756"/>
  <c r="FK4756"/>
  <c r="FJ4754"/>
  <c r="FK4754"/>
  <c r="FJ4752"/>
  <c r="FK4752"/>
  <c r="FJ4750"/>
  <c r="FK4750"/>
  <c r="FJ4748"/>
  <c r="FK4748"/>
  <c r="FJ4746"/>
  <c r="FK4746"/>
  <c r="FJ4744"/>
  <c r="FK4744"/>
  <c r="FJ4742"/>
  <c r="FK4742"/>
  <c r="FJ4740"/>
  <c r="FK4740"/>
  <c r="FJ4738"/>
  <c r="FK4738"/>
  <c r="FJ4736"/>
  <c r="FK4736"/>
  <c r="FJ4734"/>
  <c r="FK4734"/>
  <c r="FJ4732"/>
  <c r="FK4732"/>
  <c r="FJ4730"/>
  <c r="FK4730"/>
  <c r="FJ4728"/>
  <c r="FK4728"/>
  <c r="FJ4726"/>
  <c r="FK4726"/>
  <c r="FJ4724"/>
  <c r="FK4724"/>
  <c r="FJ4722"/>
  <c r="FK4722"/>
  <c r="FJ4720"/>
  <c r="FK4720"/>
  <c r="FJ4718"/>
  <c r="FK4718"/>
  <c r="FJ4716"/>
  <c r="FK4716"/>
  <c r="FJ4714"/>
  <c r="FK4714"/>
  <c r="FJ4712"/>
  <c r="FK4712"/>
  <c r="FJ4710"/>
  <c r="FK4710"/>
  <c r="FJ4708"/>
  <c r="FK4708"/>
  <c r="FJ4706"/>
  <c r="FK4706"/>
  <c r="FJ4704"/>
  <c r="FK4704"/>
  <c r="FJ4702"/>
  <c r="FK4702"/>
  <c r="FJ4700"/>
  <c r="FK4700"/>
  <c r="FJ4698"/>
  <c r="FK4698"/>
  <c r="FJ4696"/>
  <c r="FK4696"/>
  <c r="FJ4694"/>
  <c r="FK4694"/>
  <c r="FJ4692"/>
  <c r="FK4692"/>
  <c r="FJ4690"/>
  <c r="FK4690"/>
  <c r="FJ4688"/>
  <c r="FK4688"/>
  <c r="FJ4686"/>
  <c r="FK4686"/>
  <c r="FJ4684"/>
  <c r="FK4684"/>
  <c r="FJ4682"/>
  <c r="FK4682"/>
  <c r="FJ4680"/>
  <c r="FK4680"/>
  <c r="FJ4678"/>
  <c r="FK4678"/>
  <c r="FJ4676"/>
  <c r="FK4676"/>
  <c r="FJ4674"/>
  <c r="FK4674"/>
  <c r="FJ4672"/>
  <c r="FK4672"/>
  <c r="FJ4670"/>
  <c r="FK4670"/>
  <c r="FJ4668"/>
  <c r="FK4668"/>
  <c r="FJ4666"/>
  <c r="FK4666"/>
  <c r="FJ4664"/>
  <c r="FK4664"/>
  <c r="FJ4662"/>
  <c r="FK4662"/>
  <c r="FJ4660"/>
  <c r="FK4660"/>
  <c r="FJ4658"/>
  <c r="FK4658"/>
  <c r="FJ4656"/>
  <c r="FK4656"/>
  <c r="FJ4654"/>
  <c r="FK4654"/>
  <c r="FJ4652"/>
  <c r="FK4652"/>
  <c r="FJ4650"/>
  <c r="FK4650"/>
  <c r="FJ4648"/>
  <c r="FK4648"/>
  <c r="FJ4646"/>
  <c r="FK4646"/>
  <c r="FJ4644"/>
  <c r="FK4644"/>
  <c r="FJ4642"/>
  <c r="FK4642"/>
  <c r="FJ4640"/>
  <c r="FK4640"/>
  <c r="FJ4638"/>
  <c r="FK4638"/>
  <c r="FJ4636"/>
  <c r="FK4636"/>
  <c r="FJ4634"/>
  <c r="FK4634"/>
  <c r="FJ4632"/>
  <c r="FK4632"/>
  <c r="FJ4630"/>
  <c r="FK4630"/>
  <c r="FJ4628"/>
  <c r="FK4628"/>
  <c r="FJ4626"/>
  <c r="FK4626"/>
  <c r="FJ4624"/>
  <c r="FK4624"/>
  <c r="FJ4622"/>
  <c r="FK4622"/>
  <c r="FJ4620"/>
  <c r="FK4620"/>
  <c r="FJ4618"/>
  <c r="FK4618"/>
  <c r="FJ4616"/>
  <c r="FK4616"/>
  <c r="FJ4614"/>
  <c r="FK4614"/>
  <c r="FJ4612"/>
  <c r="FK4612"/>
  <c r="FJ4610"/>
  <c r="FK4610"/>
  <c r="FJ4608"/>
  <c r="FK4608"/>
  <c r="FJ4606"/>
  <c r="FK4606"/>
  <c r="FJ4604"/>
  <c r="FK4604"/>
  <c r="FJ4602"/>
  <c r="FK4602"/>
  <c r="FJ4600"/>
  <c r="FK4600"/>
  <c r="FJ4598"/>
  <c r="FK4598"/>
  <c r="FJ4596"/>
  <c r="FK4596"/>
  <c r="FJ4594"/>
  <c r="FK4594"/>
  <c r="FJ4592"/>
  <c r="FK4592"/>
  <c r="FJ4590"/>
  <c r="FK4590"/>
  <c r="FJ4588"/>
  <c r="FK4588"/>
  <c r="FJ4586"/>
  <c r="FK4586"/>
  <c r="FJ4584"/>
  <c r="FK4584"/>
  <c r="FJ4582"/>
  <c r="FK4582"/>
  <c r="FJ4580"/>
  <c r="FK4580"/>
  <c r="FJ4578"/>
  <c r="FK4578"/>
  <c r="FJ4576"/>
  <c r="FK4576"/>
  <c r="FJ4574"/>
  <c r="FK4574"/>
  <c r="FJ4572"/>
  <c r="FK4572"/>
  <c r="FJ4570"/>
  <c r="FK4570"/>
  <c r="FJ4568"/>
  <c r="FK4568"/>
  <c r="FJ4566"/>
  <c r="FK4566"/>
  <c r="FJ4564"/>
  <c r="FK4564"/>
  <c r="FJ4562"/>
  <c r="FK4562"/>
  <c r="FJ4560"/>
  <c r="FK4560"/>
  <c r="FJ4558"/>
  <c r="FK4558"/>
  <c r="FJ4556"/>
  <c r="FK4556"/>
  <c r="FJ4554"/>
  <c r="FK4554"/>
  <c r="FJ4552"/>
  <c r="FK4552"/>
  <c r="FJ4550"/>
  <c r="FK4550"/>
  <c r="FJ4548"/>
  <c r="FK4548"/>
  <c r="FJ4546"/>
  <c r="FK4546"/>
  <c r="FJ4544"/>
  <c r="FK4544"/>
  <c r="FJ4542"/>
  <c r="FK4542"/>
  <c r="FJ4540"/>
  <c r="FK4540"/>
  <c r="FJ4538"/>
  <c r="FK4538"/>
  <c r="FJ4536"/>
  <c r="FK4536"/>
  <c r="FJ4534"/>
  <c r="FK4534"/>
  <c r="FJ4532"/>
  <c r="FK4532"/>
  <c r="FJ4530"/>
  <c r="FK4530"/>
  <c r="FJ4528"/>
  <c r="FK4528"/>
  <c r="FJ4526"/>
  <c r="FK4526"/>
  <c r="FJ4524"/>
  <c r="FK4524"/>
  <c r="FJ4522"/>
  <c r="FK4522"/>
  <c r="FJ4520"/>
  <c r="FK4520"/>
  <c r="FJ4518"/>
  <c r="FK4518"/>
  <c r="FJ4516"/>
  <c r="FK4516"/>
  <c r="FJ4514"/>
  <c r="FK4514"/>
  <c r="FJ4512"/>
  <c r="FK4512"/>
  <c r="FJ4510"/>
  <c r="FK4510"/>
  <c r="FJ4508"/>
  <c r="FK4508"/>
  <c r="FJ4506"/>
  <c r="FK4506"/>
  <c r="FJ4504"/>
  <c r="FK4504"/>
  <c r="FJ4502"/>
  <c r="FK4502"/>
  <c r="FJ4500"/>
  <c r="FK4500"/>
  <c r="FJ4498"/>
  <c r="FK4498"/>
  <c r="FJ4496"/>
  <c r="FK4496"/>
  <c r="FJ4494"/>
  <c r="FK4494"/>
  <c r="FJ4492"/>
  <c r="FK4492"/>
  <c r="FJ4490"/>
  <c r="FK4490"/>
  <c r="FJ4488"/>
  <c r="FK4488"/>
  <c r="FJ4486"/>
  <c r="FK4486"/>
  <c r="FJ4484"/>
  <c r="FK4484"/>
  <c r="FJ4482"/>
  <c r="FK4482"/>
  <c r="FJ4480"/>
  <c r="FK4480"/>
  <c r="FJ4478"/>
  <c r="FK4478"/>
  <c r="FJ4476"/>
  <c r="FK4476"/>
  <c r="FJ4474"/>
  <c r="FK4474"/>
  <c r="FJ4472"/>
  <c r="FK4472"/>
  <c r="FJ4470"/>
  <c r="FK4470"/>
  <c r="FJ4468"/>
  <c r="FK4468"/>
  <c r="FJ4466"/>
  <c r="FK4466"/>
  <c r="FJ4464"/>
  <c r="FK4464"/>
  <c r="FJ4462"/>
  <c r="FK4462"/>
  <c r="FJ4460"/>
  <c r="FK4460"/>
  <c r="FJ4458"/>
  <c r="FK4458"/>
  <c r="FJ4456"/>
  <c r="FK4456"/>
  <c r="FJ4454"/>
  <c r="FK4454"/>
  <c r="FJ4452"/>
  <c r="FK4452"/>
  <c r="FJ4450"/>
  <c r="FK4450"/>
  <c r="FJ4448"/>
  <c r="FK4448"/>
  <c r="FJ4446"/>
  <c r="FK4446"/>
  <c r="FJ4444"/>
  <c r="FK4444"/>
  <c r="FJ4442"/>
  <c r="FK4442"/>
  <c r="FJ4440"/>
  <c r="FK4440"/>
  <c r="FJ4438"/>
  <c r="FK4438"/>
  <c r="FJ4436"/>
  <c r="FK4436"/>
  <c r="FJ4434"/>
  <c r="FK4434"/>
  <c r="FJ4432"/>
  <c r="FK4432"/>
  <c r="FJ4430"/>
  <c r="FK4430"/>
  <c r="FJ4428"/>
  <c r="FK4428"/>
  <c r="FJ4426"/>
  <c r="FK4426"/>
  <c r="FJ4424"/>
  <c r="FK4424"/>
  <c r="FJ4422"/>
  <c r="FK4422"/>
  <c r="FJ4420"/>
  <c r="FK4420"/>
  <c r="FJ4418"/>
  <c r="FK4418"/>
  <c r="FJ4416"/>
  <c r="FK4416"/>
  <c r="FJ4414"/>
  <c r="FK4414"/>
  <c r="FJ4412"/>
  <c r="FK4412"/>
  <c r="FJ4410"/>
  <c r="FK4410"/>
  <c r="FJ4408"/>
  <c r="FK4408"/>
  <c r="FJ4406"/>
  <c r="FK4406"/>
  <c r="FJ4404"/>
  <c r="FK4404"/>
  <c r="FJ4402"/>
  <c r="FK4402"/>
  <c r="FJ4400"/>
  <c r="FK4400"/>
  <c r="FJ4398"/>
  <c r="FK4398"/>
  <c r="FJ4396"/>
  <c r="FK4396"/>
  <c r="FJ4394"/>
  <c r="FK4394"/>
  <c r="FJ4392"/>
  <c r="FK4392"/>
  <c r="FJ4390"/>
  <c r="FK4390"/>
  <c r="FJ4388"/>
  <c r="FK4388"/>
  <c r="FJ4386"/>
  <c r="FK4386"/>
  <c r="FJ4384"/>
  <c r="FK4384"/>
  <c r="FJ4382"/>
  <c r="FK4382"/>
  <c r="FJ4380"/>
  <c r="FK4380"/>
  <c r="FJ4378"/>
  <c r="FK4378"/>
  <c r="FJ4376"/>
  <c r="FK4376"/>
  <c r="FJ4374"/>
  <c r="FK4374"/>
  <c r="FJ4372"/>
  <c r="FK4372"/>
  <c r="FJ4370"/>
  <c r="FK4370"/>
  <c r="FJ4368"/>
  <c r="FK4368"/>
  <c r="FJ4366"/>
  <c r="FK4366"/>
  <c r="FJ4364"/>
  <c r="FK4364"/>
  <c r="FJ4362"/>
  <c r="FK4362"/>
  <c r="FJ4360"/>
  <c r="FK4360"/>
  <c r="FJ4358"/>
  <c r="FK4358"/>
  <c r="FJ4356"/>
  <c r="FK4356"/>
  <c r="FJ4354"/>
  <c r="FK4354"/>
  <c r="FJ4352"/>
  <c r="FK4352"/>
  <c r="FJ4350"/>
  <c r="FK4350"/>
  <c r="FJ4348"/>
  <c r="FK4348"/>
  <c r="FJ4346"/>
  <c r="FK4346"/>
  <c r="FJ4344"/>
  <c r="FK4344"/>
  <c r="FJ4342"/>
  <c r="FK4342"/>
  <c r="FJ4340"/>
  <c r="FK4340"/>
  <c r="FJ4338"/>
  <c r="FK4338"/>
  <c r="FJ4336"/>
  <c r="FK4336"/>
  <c r="FJ4334"/>
  <c r="FK4334"/>
  <c r="FJ4332"/>
  <c r="FK4332"/>
  <c r="FJ4330"/>
  <c r="FK4330"/>
  <c r="FJ4328"/>
  <c r="FK4328"/>
  <c r="FJ4326"/>
  <c r="FK4326"/>
  <c r="FJ4324"/>
  <c r="FK4324"/>
  <c r="FJ4322"/>
  <c r="FK4322"/>
  <c r="FJ4320"/>
  <c r="FK4320"/>
  <c r="FJ4318"/>
  <c r="FK4318"/>
  <c r="FJ4316"/>
  <c r="FK4316"/>
  <c r="FJ4314"/>
  <c r="FK4314"/>
  <c r="FJ4312"/>
  <c r="FK4312"/>
  <c r="FJ4310"/>
  <c r="FK4310"/>
  <c r="FJ4308"/>
  <c r="FK4308"/>
  <c r="FJ4306"/>
  <c r="FK4306"/>
  <c r="FJ4304"/>
  <c r="FK4304"/>
  <c r="FJ4302"/>
  <c r="FK4302"/>
  <c r="FJ4300"/>
  <c r="FK4300"/>
  <c r="FJ4298"/>
  <c r="FK4298"/>
  <c r="FJ4296"/>
  <c r="FK4296"/>
  <c r="FJ4294"/>
  <c r="FK4294"/>
  <c r="FJ4292"/>
  <c r="FK4292"/>
  <c r="FJ4290"/>
  <c r="FK4290"/>
  <c r="FJ4288"/>
  <c r="FK4288"/>
  <c r="FJ4286"/>
  <c r="FK4286"/>
  <c r="FJ4284"/>
  <c r="FK4284"/>
  <c r="FJ4282"/>
  <c r="FK4282"/>
  <c r="FJ4280"/>
  <c r="FK4280"/>
  <c r="FJ4278"/>
  <c r="FK4278"/>
  <c r="FJ4276"/>
  <c r="FK4276"/>
  <c r="FJ4274"/>
  <c r="FK4274"/>
  <c r="FJ4272"/>
  <c r="FK4272"/>
  <c r="FJ4270"/>
  <c r="FK4270"/>
  <c r="FJ4268"/>
  <c r="FK4268"/>
  <c r="FJ4266"/>
  <c r="FK4266"/>
  <c r="FJ4264"/>
  <c r="FK4264"/>
  <c r="FJ4262"/>
  <c r="FK4262"/>
  <c r="FJ4260"/>
  <c r="FK4260"/>
  <c r="FJ4258"/>
  <c r="FK4258"/>
  <c r="FJ4256"/>
  <c r="FK4256"/>
  <c r="FJ4254"/>
  <c r="FK4254"/>
  <c r="FJ4252"/>
  <c r="FK4252"/>
  <c r="FJ4250"/>
  <c r="FK4250"/>
  <c r="FJ4248"/>
  <c r="FK4248"/>
  <c r="FJ4246"/>
  <c r="FK4246"/>
  <c r="FJ4244"/>
  <c r="FK4244"/>
  <c r="FJ4242"/>
  <c r="FK4242"/>
  <c r="FJ4240"/>
  <c r="FK4240"/>
  <c r="FJ4238"/>
  <c r="FK4238"/>
  <c r="FJ4236"/>
  <c r="FK4236"/>
  <c r="FJ4234"/>
  <c r="FK4234"/>
  <c r="FJ4232"/>
  <c r="FK4232"/>
  <c r="FJ4230"/>
  <c r="FK4230"/>
  <c r="FJ4228"/>
  <c r="FK4228"/>
  <c r="FJ4226"/>
  <c r="FK4226"/>
  <c r="FJ4224"/>
  <c r="FK4224"/>
  <c r="FJ4222"/>
  <c r="FK4222"/>
  <c r="FJ4220"/>
  <c r="FK4220"/>
  <c r="FJ4218"/>
  <c r="FK4218"/>
  <c r="FJ4216"/>
  <c r="FK4216"/>
  <c r="FJ4214"/>
  <c r="FK4214"/>
  <c r="FJ4212"/>
  <c r="FK4212"/>
  <c r="FJ4210"/>
  <c r="FK4210"/>
  <c r="FJ4208"/>
  <c r="FK4208"/>
  <c r="FJ4206"/>
  <c r="FK4206"/>
  <c r="FJ4204"/>
  <c r="FK4204"/>
  <c r="FJ4202"/>
  <c r="FK4202"/>
  <c r="FJ4200"/>
  <c r="FK4200"/>
  <c r="FJ4198"/>
  <c r="FK4198"/>
  <c r="FJ4196"/>
  <c r="FK4196"/>
  <c r="FJ4194"/>
  <c r="FK4194"/>
  <c r="FJ4192"/>
  <c r="FK4192"/>
  <c r="FJ4190"/>
  <c r="FK4190"/>
  <c r="FJ4188"/>
  <c r="FK4188"/>
  <c r="FJ4186"/>
  <c r="FK4186"/>
  <c r="FJ4184"/>
  <c r="FK4184"/>
  <c r="FJ4182"/>
  <c r="FK4182"/>
  <c r="FJ4180"/>
  <c r="FK4180"/>
  <c r="FJ4178"/>
  <c r="FK4178"/>
  <c r="FJ4176"/>
  <c r="FK4176"/>
  <c r="FJ4174"/>
  <c r="FK4174"/>
  <c r="FJ4172"/>
  <c r="FK4172"/>
  <c r="FJ4170"/>
  <c r="FK4170"/>
  <c r="FJ4168"/>
  <c r="FK4168"/>
  <c r="FJ4166"/>
  <c r="FK4166"/>
  <c r="FJ4164"/>
  <c r="FK4164"/>
  <c r="FJ4162"/>
  <c r="FK4162"/>
  <c r="FJ4160"/>
  <c r="FK4160"/>
  <c r="FJ4158"/>
  <c r="FK4158"/>
  <c r="FJ4156"/>
  <c r="FK4156"/>
  <c r="FJ4154"/>
  <c r="FK4154"/>
  <c r="FJ4152"/>
  <c r="FK4152"/>
  <c r="FJ4150"/>
  <c r="FK4150"/>
  <c r="FJ4148"/>
  <c r="FK4148"/>
  <c r="FJ4146"/>
  <c r="FK4146"/>
  <c r="FJ4144"/>
  <c r="FK4144"/>
  <c r="FJ4142"/>
  <c r="FK4142"/>
  <c r="FJ4140"/>
  <c r="FK4140"/>
  <c r="FJ4138"/>
  <c r="FK4138"/>
  <c r="FJ4136"/>
  <c r="FK4136"/>
  <c r="FJ4134"/>
  <c r="FK4134"/>
  <c r="FJ4132"/>
  <c r="FK4132"/>
  <c r="FJ4130"/>
  <c r="FK4130"/>
  <c r="FJ4128"/>
  <c r="FK4128"/>
  <c r="FJ4126"/>
  <c r="FK4126"/>
  <c r="FJ4124"/>
  <c r="FK4124"/>
  <c r="FJ4122"/>
  <c r="FK4122"/>
  <c r="FJ4120"/>
  <c r="FK4120"/>
  <c r="FJ4118"/>
  <c r="FK4118"/>
  <c r="FJ4116"/>
  <c r="FK4116"/>
  <c r="FJ4114"/>
  <c r="FK4114"/>
  <c r="FJ4112"/>
  <c r="FK4112"/>
  <c r="FJ4110"/>
  <c r="FK4110"/>
  <c r="FJ4108"/>
  <c r="FK4108"/>
  <c r="FJ4106"/>
  <c r="FK4106"/>
  <c r="FJ4104"/>
  <c r="FK4104"/>
  <c r="FJ4102"/>
  <c r="FK4102"/>
  <c r="FJ4100"/>
  <c r="FK4100"/>
  <c r="FJ4098"/>
  <c r="FK4098"/>
  <c r="FJ4096"/>
  <c r="FK4096"/>
  <c r="FJ4094"/>
  <c r="FK4094"/>
  <c r="FJ4092"/>
  <c r="FK4092"/>
  <c r="FJ4090"/>
  <c r="FK4090"/>
  <c r="FJ4088"/>
  <c r="FK4088"/>
  <c r="FJ4086"/>
  <c r="FK4086"/>
  <c r="FJ4084"/>
  <c r="FK4084"/>
  <c r="FJ4082"/>
  <c r="FK4082"/>
  <c r="FJ4080"/>
  <c r="FK4080"/>
  <c r="FJ4078"/>
  <c r="FK4078"/>
  <c r="FJ4076"/>
  <c r="FK4076"/>
  <c r="FJ4074"/>
  <c r="FK4074"/>
  <c r="FJ4072"/>
  <c r="FK4072"/>
  <c r="FJ4070"/>
  <c r="FK4070"/>
  <c r="FJ4068"/>
  <c r="FK4068"/>
  <c r="FJ4066"/>
  <c r="FK4066"/>
  <c r="FJ4064"/>
  <c r="FK4064"/>
  <c r="FJ4062"/>
  <c r="FK4062"/>
  <c r="FJ4060"/>
  <c r="FK4060"/>
  <c r="FJ4058"/>
  <c r="FK4058"/>
  <c r="FJ4056"/>
  <c r="FK4056"/>
  <c r="FJ4054"/>
  <c r="FK4054"/>
  <c r="FJ4052"/>
  <c r="FK4052"/>
  <c r="FJ4050"/>
  <c r="FK4050"/>
  <c r="FJ4048"/>
  <c r="FK4048"/>
  <c r="FJ4046"/>
  <c r="FK4046"/>
  <c r="FJ4044"/>
  <c r="FK4044"/>
  <c r="FJ4042"/>
  <c r="FK4042"/>
  <c r="FJ4040"/>
  <c r="FK4040"/>
  <c r="FJ4038"/>
  <c r="FK4038"/>
  <c r="FJ4036"/>
  <c r="FK4036"/>
  <c r="FJ4034"/>
  <c r="FK4034"/>
  <c r="FJ4032"/>
  <c r="FK4032"/>
  <c r="FJ4030"/>
  <c r="FK4030"/>
  <c r="FJ4028"/>
  <c r="FK4028"/>
  <c r="FJ4026"/>
  <c r="FK4026"/>
  <c r="FJ4024"/>
  <c r="FK4024"/>
  <c r="FJ4022"/>
  <c r="FK4022"/>
  <c r="FJ4020"/>
  <c r="FK4020"/>
  <c r="FJ4018"/>
  <c r="FK4018"/>
  <c r="FJ4016"/>
  <c r="FK4016"/>
  <c r="FJ4014"/>
  <c r="FK4014"/>
  <c r="FJ4012"/>
  <c r="FK4012"/>
  <c r="FJ4010"/>
  <c r="FK4010"/>
  <c r="FJ4008"/>
  <c r="FK4008"/>
  <c r="FJ4006"/>
  <c r="FK4006"/>
  <c r="FJ4004"/>
  <c r="FK4004"/>
  <c r="FJ4002"/>
  <c r="FK4002"/>
  <c r="FJ4000"/>
  <c r="FK4000"/>
  <c r="FJ3998"/>
  <c r="FK3998"/>
  <c r="FJ3996"/>
  <c r="FK3996"/>
  <c r="FJ3994"/>
  <c r="FK3994"/>
  <c r="FJ3992"/>
  <c r="FK3992"/>
  <c r="FJ3990"/>
  <c r="FK3990"/>
  <c r="FJ3988"/>
  <c r="FK3988"/>
  <c r="FJ3986"/>
  <c r="FK3986"/>
  <c r="FJ3984"/>
  <c r="FK3984"/>
  <c r="FJ3982"/>
  <c r="FK3982"/>
  <c r="FJ3980"/>
  <c r="FK3980"/>
  <c r="FJ3978"/>
  <c r="FK3978"/>
  <c r="FJ3976"/>
  <c r="FK3976"/>
  <c r="FJ3974"/>
  <c r="FK3974"/>
  <c r="FJ3972"/>
  <c r="FK3972"/>
  <c r="FJ3970"/>
  <c r="FK3970"/>
  <c r="FJ3968"/>
  <c r="FK3968"/>
  <c r="FJ3966"/>
  <c r="FK3966"/>
  <c r="FJ3964"/>
  <c r="FK3964"/>
  <c r="FJ3962"/>
  <c r="FK3962"/>
  <c r="FJ3960"/>
  <c r="FK3960"/>
  <c r="FJ3958"/>
  <c r="FK3958"/>
  <c r="FJ3956"/>
  <c r="FK3956"/>
  <c r="FJ3954"/>
  <c r="FK3954"/>
  <c r="FJ3952"/>
  <c r="FK3952"/>
  <c r="FJ3950"/>
  <c r="FK3950"/>
  <c r="FJ3948"/>
  <c r="FK3948"/>
  <c r="FJ3946"/>
  <c r="FK3946"/>
  <c r="FJ3944"/>
  <c r="FK3944"/>
  <c r="FJ3942"/>
  <c r="FK3942"/>
  <c r="FJ3940"/>
  <c r="FK3940"/>
  <c r="FJ3938"/>
  <c r="FK3938"/>
  <c r="FJ3936"/>
  <c r="FK3936"/>
  <c r="FJ3934"/>
  <c r="FK3934"/>
  <c r="FJ3932"/>
  <c r="FK3932"/>
  <c r="FJ3930"/>
  <c r="FK3930"/>
  <c r="FJ3928"/>
  <c r="FK3928"/>
  <c r="FJ3926"/>
  <c r="FK3926"/>
  <c r="FJ3924"/>
  <c r="FK3924"/>
  <c r="FJ3922"/>
  <c r="FK3922"/>
  <c r="FJ3920"/>
  <c r="FK3920"/>
  <c r="FJ3918"/>
  <c r="FK3918"/>
  <c r="FJ3916"/>
  <c r="FK3916"/>
  <c r="FJ3914"/>
  <c r="FK3914"/>
  <c r="FJ3912"/>
  <c r="FK3912"/>
  <c r="FJ3910"/>
  <c r="FK3910"/>
  <c r="FJ3908"/>
  <c r="FK3908"/>
  <c r="FJ3906"/>
  <c r="FK3906"/>
  <c r="FJ3904"/>
  <c r="FK3904"/>
  <c r="FJ3902"/>
  <c r="FK3902"/>
  <c r="FJ3900"/>
  <c r="FK3900"/>
  <c r="FJ3898"/>
  <c r="FK3898"/>
  <c r="FJ3896"/>
  <c r="FK3896"/>
  <c r="FJ3894"/>
  <c r="FK3894"/>
  <c r="FJ3892"/>
  <c r="FK3892"/>
  <c r="FJ3890"/>
  <c r="FK3890"/>
  <c r="FJ3888"/>
  <c r="FK3888"/>
  <c r="FJ3886"/>
  <c r="FK3886"/>
  <c r="FJ3884"/>
  <c r="FK3884"/>
  <c r="FJ3882"/>
  <c r="FK3882"/>
  <c r="FJ3880"/>
  <c r="FK3880"/>
  <c r="FJ3878"/>
  <c r="FK3878"/>
  <c r="FJ3876"/>
  <c r="FK3876"/>
  <c r="FJ3874"/>
  <c r="FK3874"/>
  <c r="FJ3872"/>
  <c r="FK3872"/>
  <c r="FJ3870"/>
  <c r="FK3870"/>
  <c r="FJ3868"/>
  <c r="FK3868"/>
  <c r="FJ3866"/>
  <c r="FK3866"/>
  <c r="FJ3864"/>
  <c r="FK3864"/>
  <c r="FJ3862"/>
  <c r="FK3862"/>
  <c r="FJ3860"/>
  <c r="FK3860"/>
  <c r="FJ3858"/>
  <c r="FK3858"/>
  <c r="FJ3856"/>
  <c r="FK3856"/>
  <c r="FJ3854"/>
  <c r="FK3854"/>
  <c r="FJ3852"/>
  <c r="FK3852"/>
  <c r="FJ3850"/>
  <c r="FK3850"/>
  <c r="FJ3848"/>
  <c r="FK3848"/>
  <c r="FJ3846"/>
  <c r="FK3846"/>
  <c r="FJ3844"/>
  <c r="FK3844"/>
  <c r="FJ3842"/>
  <c r="FK3842"/>
  <c r="FJ3840"/>
  <c r="FK3840"/>
  <c r="FJ3838"/>
  <c r="FK3838"/>
  <c r="FJ3836"/>
  <c r="FK3836"/>
  <c r="FJ3834"/>
  <c r="FK3834"/>
  <c r="FJ3832"/>
  <c r="FK3832"/>
  <c r="FJ3830"/>
  <c r="FK3830"/>
  <c r="FJ3828"/>
  <c r="FK3828"/>
  <c r="FJ3826"/>
  <c r="FK3826"/>
  <c r="FJ3824"/>
  <c r="FK3824"/>
  <c r="FJ3822"/>
  <c r="FK3822"/>
  <c r="FJ3820"/>
  <c r="FK3820"/>
  <c r="FJ3818"/>
  <c r="FK3818"/>
  <c r="FJ3816"/>
  <c r="FK3816"/>
  <c r="FJ3814"/>
  <c r="FK3814"/>
  <c r="FJ3812"/>
  <c r="FK3812"/>
  <c r="FJ3810"/>
  <c r="FK3810"/>
  <c r="FJ3808"/>
  <c r="FK3808"/>
  <c r="FJ3806"/>
  <c r="FK3806"/>
  <c r="FJ3804"/>
  <c r="FK3804"/>
  <c r="FJ3802"/>
  <c r="FK3802"/>
  <c r="FJ3800"/>
  <c r="FK3800"/>
  <c r="FJ3798"/>
  <c r="FK3798"/>
  <c r="FJ3796"/>
  <c r="FK3796"/>
  <c r="FJ3794"/>
  <c r="FK3794"/>
  <c r="FJ3792"/>
  <c r="FK3792"/>
  <c r="FJ3790"/>
  <c r="FK3790"/>
  <c r="FJ3788"/>
  <c r="FK3788"/>
  <c r="FJ3786"/>
  <c r="FK3786"/>
  <c r="FJ3784"/>
  <c r="FK3784"/>
  <c r="FJ3782"/>
  <c r="FK3782"/>
  <c r="FJ3780"/>
  <c r="FK3780"/>
  <c r="FJ3778"/>
  <c r="FK3778"/>
  <c r="FJ3776"/>
  <c r="FK3776"/>
  <c r="FJ3774"/>
  <c r="FK3774"/>
  <c r="FJ3772"/>
  <c r="FK3772"/>
  <c r="FJ3770"/>
  <c r="FK3770"/>
  <c r="FJ3768"/>
  <c r="FK3768"/>
  <c r="FJ3766"/>
  <c r="FK3766"/>
  <c r="FJ3764"/>
  <c r="FK3764"/>
  <c r="FJ3762"/>
  <c r="FK3762"/>
  <c r="FJ3760"/>
  <c r="FK3760"/>
  <c r="FJ3758"/>
  <c r="FK3758"/>
  <c r="FJ3756"/>
  <c r="FK3756"/>
  <c r="FJ3754"/>
  <c r="FK3754"/>
  <c r="FJ3752"/>
  <c r="FK3752"/>
  <c r="FJ3750"/>
  <c r="FK3750"/>
  <c r="FJ3748"/>
  <c r="FK3748"/>
  <c r="FJ3746"/>
  <c r="FK3746"/>
  <c r="FJ3744"/>
  <c r="FK3744"/>
  <c r="FJ3742"/>
  <c r="FK3742"/>
  <c r="FJ3740"/>
  <c r="FK3740"/>
  <c r="FJ3738"/>
  <c r="FK3738"/>
  <c r="FJ3736"/>
  <c r="FK3736"/>
  <c r="FJ3734"/>
  <c r="FK3734"/>
  <c r="FJ3732"/>
  <c r="FK3732"/>
  <c r="FJ3730"/>
  <c r="FK3730"/>
  <c r="FJ3728"/>
  <c r="FK3728"/>
  <c r="FJ3726"/>
  <c r="FK3726"/>
  <c r="FJ3724"/>
  <c r="FK3724"/>
  <c r="FJ3722"/>
  <c r="FK3722"/>
  <c r="FJ3720"/>
  <c r="FK3720"/>
  <c r="FJ3718"/>
  <c r="FK3718"/>
  <c r="FJ3716"/>
  <c r="FK3716"/>
  <c r="FJ3714"/>
  <c r="FK3714"/>
  <c r="FJ3712"/>
  <c r="FK3712"/>
  <c r="FJ3710"/>
  <c r="FK3710"/>
  <c r="FJ3708"/>
  <c r="FK3708"/>
  <c r="FJ3706"/>
  <c r="FK3706"/>
  <c r="FJ3704"/>
  <c r="FK3704"/>
  <c r="FJ3702"/>
  <c r="FK3702"/>
  <c r="FJ3700"/>
  <c r="FK3700"/>
  <c r="FJ3698"/>
  <c r="FK3698"/>
  <c r="FJ3696"/>
  <c r="FK3696"/>
  <c r="FJ3694"/>
  <c r="FK3694"/>
  <c r="FJ3692"/>
  <c r="FK3692"/>
  <c r="FJ3690"/>
  <c r="FK3690"/>
  <c r="FJ3688"/>
  <c r="FK3688"/>
  <c r="FJ3686"/>
  <c r="FK3686"/>
  <c r="FJ3684"/>
  <c r="FK3684"/>
  <c r="FJ3682"/>
  <c r="FK3682"/>
  <c r="FJ3680"/>
  <c r="FK3680"/>
  <c r="FJ3678"/>
  <c r="FK3678"/>
  <c r="FJ3676"/>
  <c r="FK3676"/>
  <c r="FJ3674"/>
  <c r="FK3674"/>
  <c r="FJ3672"/>
  <c r="FK3672"/>
  <c r="FJ3670"/>
  <c r="FK3670"/>
  <c r="FJ3668"/>
  <c r="FK3668"/>
  <c r="FJ3666"/>
  <c r="FK3666"/>
  <c r="FJ3664"/>
  <c r="FK3664"/>
  <c r="FJ3662"/>
  <c r="FK3662"/>
  <c r="FJ3660"/>
  <c r="FK3660"/>
  <c r="FJ3658"/>
  <c r="FK3658"/>
  <c r="FJ3656"/>
  <c r="FK3656"/>
  <c r="FJ3654"/>
  <c r="FK3654"/>
  <c r="FJ3652"/>
  <c r="FK3652"/>
  <c r="FJ3650"/>
  <c r="FK3650"/>
  <c r="FJ3648"/>
  <c r="FK3648"/>
  <c r="FJ3646"/>
  <c r="FK3646"/>
  <c r="FJ3644"/>
  <c r="FK3644"/>
  <c r="FJ3642"/>
  <c r="FK3642"/>
  <c r="FJ3640"/>
  <c r="FK3640"/>
  <c r="FJ3638"/>
  <c r="FK3638"/>
  <c r="FJ3636"/>
  <c r="FK3636"/>
  <c r="FJ3634"/>
  <c r="FK3634"/>
  <c r="FJ3632"/>
  <c r="FK3632"/>
  <c r="FJ3630"/>
  <c r="FK3630"/>
  <c r="FJ3628"/>
  <c r="FK3628"/>
  <c r="FJ3626"/>
  <c r="FK3626"/>
  <c r="FJ3624"/>
  <c r="FK3624"/>
  <c r="FJ3622"/>
  <c r="FK3622"/>
  <c r="FJ3620"/>
  <c r="FK3620"/>
  <c r="FJ3618"/>
  <c r="FK3618"/>
  <c r="FJ3616"/>
  <c r="FK3616"/>
  <c r="FJ3614"/>
  <c r="FK3614"/>
  <c r="FJ3612"/>
  <c r="FK3612"/>
  <c r="FJ3610"/>
  <c r="FK3610"/>
  <c r="FJ3608"/>
  <c r="FK3608"/>
  <c r="FJ3606"/>
  <c r="FK3606"/>
  <c r="FJ3604"/>
  <c r="FK3604"/>
  <c r="FJ3602"/>
  <c r="FK3602"/>
  <c r="FJ3600"/>
  <c r="FK3600"/>
  <c r="FJ3598"/>
  <c r="FK3598"/>
  <c r="FJ3596"/>
  <c r="FK3596"/>
  <c r="FJ3594"/>
  <c r="FK3594"/>
  <c r="FJ3592"/>
  <c r="FK3592"/>
  <c r="FJ3590"/>
  <c r="FK3590"/>
  <c r="FJ3588"/>
  <c r="FK3588"/>
  <c r="FJ3586"/>
  <c r="FK3586"/>
  <c r="FJ3584"/>
  <c r="FK3584"/>
  <c r="FJ3582"/>
  <c r="FK3582"/>
  <c r="FJ3580"/>
  <c r="FK3580"/>
  <c r="FJ3578"/>
  <c r="FK3578"/>
  <c r="FJ3576"/>
  <c r="FK3576"/>
  <c r="FJ3574"/>
  <c r="FK3574"/>
  <c r="FJ3572"/>
  <c r="FK3572"/>
  <c r="FJ3570"/>
  <c r="FK3570"/>
  <c r="FJ3568"/>
  <c r="FK3568"/>
  <c r="FJ3566"/>
  <c r="FK3566"/>
  <c r="FJ3564"/>
  <c r="FK3564"/>
  <c r="FJ3562"/>
  <c r="FK3562"/>
  <c r="FJ3560"/>
  <c r="FK3560"/>
  <c r="FJ3558"/>
  <c r="FK3558"/>
  <c r="FJ3556"/>
  <c r="FK3556"/>
  <c r="FJ3554"/>
  <c r="FK3554"/>
  <c r="FJ3552"/>
  <c r="FK3552"/>
  <c r="FJ3550"/>
  <c r="FK3550"/>
  <c r="FJ3548"/>
  <c r="FK3548"/>
  <c r="FJ3546"/>
  <c r="FK3546"/>
  <c r="FJ3544"/>
  <c r="FK3544"/>
  <c r="FJ3542"/>
  <c r="FK3542"/>
  <c r="FJ3540"/>
  <c r="FK3540"/>
  <c r="FJ3538"/>
  <c r="FK3538"/>
  <c r="FJ3536"/>
  <c r="FK3536"/>
  <c r="FJ3534"/>
  <c r="FK3534"/>
  <c r="FJ3532"/>
  <c r="FK3532"/>
  <c r="FJ3530"/>
  <c r="FK3530"/>
  <c r="FJ3528"/>
  <c r="FK3528"/>
  <c r="FJ3526"/>
  <c r="FK3526"/>
  <c r="FJ3524"/>
  <c r="FK3524"/>
  <c r="FJ3522"/>
  <c r="FK3522"/>
  <c r="FJ3520"/>
  <c r="FK3520"/>
  <c r="FJ3518"/>
  <c r="FK3518"/>
  <c r="FJ3516"/>
  <c r="FK3516"/>
  <c r="FJ3514"/>
  <c r="FK3514"/>
  <c r="FJ3512"/>
  <c r="FK3512"/>
  <c r="FJ3510"/>
  <c r="FK3510"/>
  <c r="FJ3508"/>
  <c r="FK3508"/>
  <c r="FJ3506"/>
  <c r="FK3506"/>
  <c r="FJ3504"/>
  <c r="FK3504"/>
  <c r="FJ3502"/>
  <c r="FK3502"/>
  <c r="FJ3500"/>
  <c r="FK3500"/>
  <c r="FJ3498"/>
  <c r="FK3498"/>
  <c r="FJ3496"/>
  <c r="FK3496"/>
  <c r="FJ3494"/>
  <c r="FK3494"/>
  <c r="FJ3492"/>
  <c r="FK3492"/>
  <c r="FJ3490"/>
  <c r="FK3490"/>
  <c r="FJ3488"/>
  <c r="FK3488"/>
  <c r="FJ3486"/>
  <c r="FK3486"/>
  <c r="FJ3484"/>
  <c r="FK3484"/>
  <c r="FJ3482"/>
  <c r="FK3482"/>
  <c r="FJ3480"/>
  <c r="FK3480"/>
  <c r="FJ3478"/>
  <c r="FK3478"/>
  <c r="FJ3476"/>
  <c r="FK3476"/>
  <c r="FJ3474"/>
  <c r="FK3474"/>
  <c r="FJ3472"/>
  <c r="FK3472"/>
  <c r="FJ3470"/>
  <c r="FK3470"/>
  <c r="FJ3468"/>
  <c r="FK3468"/>
  <c r="FJ3466"/>
  <c r="FK3466"/>
  <c r="FJ3464"/>
  <c r="FK3464"/>
  <c r="FJ3462"/>
  <c r="FK3462"/>
  <c r="FJ3460"/>
  <c r="FK3460"/>
  <c r="FJ3458"/>
  <c r="FK3458"/>
  <c r="FJ3456"/>
  <c r="FK3456"/>
  <c r="FJ3454"/>
  <c r="FK3454"/>
  <c r="FJ3452"/>
  <c r="FK3452"/>
  <c r="FJ3450"/>
  <c r="FK3450"/>
  <c r="FJ3448"/>
  <c r="FK3448"/>
  <c r="FJ3446"/>
  <c r="FK3446"/>
  <c r="FJ3444"/>
  <c r="FK3444"/>
  <c r="FJ3442"/>
  <c r="FK3442"/>
  <c r="FJ3440"/>
  <c r="FK3440"/>
  <c r="FJ3438"/>
  <c r="FK3438"/>
  <c r="FJ3436"/>
  <c r="FK3436"/>
  <c r="FJ3434"/>
  <c r="FK3434"/>
  <c r="FJ3432"/>
  <c r="FK3432"/>
  <c r="FJ3430"/>
  <c r="FK3430"/>
  <c r="FJ3428"/>
  <c r="FK3428"/>
  <c r="FJ3426"/>
  <c r="FK3426"/>
  <c r="FJ3424"/>
  <c r="FK3424"/>
  <c r="FJ3422"/>
  <c r="FK3422"/>
  <c r="FJ3420"/>
  <c r="FK3420"/>
  <c r="FJ3418"/>
  <c r="FK3418"/>
  <c r="FJ3416"/>
  <c r="FK3416"/>
  <c r="FJ3414"/>
  <c r="FK3414"/>
  <c r="FJ3412"/>
  <c r="FK3412"/>
  <c r="FJ3410"/>
  <c r="FK3410"/>
  <c r="FJ3408"/>
  <c r="FK3408"/>
  <c r="FJ3406"/>
  <c r="FK3406"/>
  <c r="FJ3404"/>
  <c r="FK3404"/>
  <c r="FJ3402"/>
  <c r="FK3402"/>
  <c r="FJ3400"/>
  <c r="FK3400"/>
  <c r="FJ3398"/>
  <c r="FK3398"/>
  <c r="FJ3396"/>
  <c r="FK3396"/>
  <c r="FJ3394"/>
  <c r="FK3394"/>
  <c r="FJ3392"/>
  <c r="FK3392"/>
  <c r="FJ3390"/>
  <c r="FK3390"/>
  <c r="FJ3388"/>
  <c r="FK3388"/>
  <c r="FJ3386"/>
  <c r="FK3386"/>
  <c r="FJ3384"/>
  <c r="FK3384"/>
  <c r="FJ3382"/>
  <c r="FK3382"/>
  <c r="FJ3380"/>
  <c r="FK3380"/>
  <c r="FJ3378"/>
  <c r="FK3378"/>
  <c r="FJ3376"/>
  <c r="FK3376"/>
  <c r="FJ3374"/>
  <c r="FK3374"/>
  <c r="FJ3372"/>
  <c r="FK3372"/>
  <c r="FJ3370"/>
  <c r="FK3370"/>
  <c r="FJ3368"/>
  <c r="FK3368"/>
  <c r="FJ3366"/>
  <c r="FK3366"/>
  <c r="FJ3364"/>
  <c r="FK3364"/>
  <c r="FJ3362"/>
  <c r="FK3362"/>
  <c r="FJ3360"/>
  <c r="FK3360"/>
  <c r="FJ3358"/>
  <c r="FK3358"/>
  <c r="FJ3356"/>
  <c r="FK3356"/>
  <c r="FJ3354"/>
  <c r="FK3354"/>
  <c r="FJ3352"/>
  <c r="FK3352"/>
  <c r="FJ3350"/>
  <c r="FK3350"/>
  <c r="FJ3348"/>
  <c r="FK3348"/>
  <c r="FJ3346"/>
  <c r="FK3346"/>
  <c r="FJ3344"/>
  <c r="FK3344"/>
  <c r="FJ3342"/>
  <c r="FK3342"/>
  <c r="FJ3340"/>
  <c r="FK3340"/>
  <c r="FJ3338"/>
  <c r="FK3338"/>
  <c r="FJ3336"/>
  <c r="FK3336"/>
  <c r="FJ3334"/>
  <c r="FK3334"/>
  <c r="FJ3332"/>
  <c r="FK3332"/>
  <c r="FJ3330"/>
  <c r="FK3330"/>
  <c r="FJ3328"/>
  <c r="FK3328"/>
  <c r="FJ3326"/>
  <c r="FK3326"/>
  <c r="FJ3324"/>
  <c r="FK3324"/>
  <c r="FJ3322"/>
  <c r="FK3322"/>
  <c r="FJ3320"/>
  <c r="FK3320"/>
  <c r="FJ3318"/>
  <c r="FK3318"/>
  <c r="FJ3316"/>
  <c r="FK3316"/>
  <c r="FJ3314"/>
  <c r="FK3314"/>
  <c r="FJ3312"/>
  <c r="FK3312"/>
  <c r="FJ3310"/>
  <c r="FK3310"/>
  <c r="FJ3308"/>
  <c r="FK3308"/>
  <c r="FJ3306"/>
  <c r="FK3306"/>
  <c r="FJ3304"/>
  <c r="FK3304"/>
  <c r="FJ3302"/>
  <c r="FK3302"/>
  <c r="FJ3300"/>
  <c r="FK3300"/>
  <c r="FJ3298"/>
  <c r="FK3298"/>
  <c r="FJ3296"/>
  <c r="FK3296"/>
  <c r="FJ3294"/>
  <c r="FK3294"/>
  <c r="FJ3292"/>
  <c r="FK3292"/>
  <c r="FJ3290"/>
  <c r="FK3290"/>
  <c r="FJ3288"/>
  <c r="FK3288"/>
  <c r="FJ3286"/>
  <c r="FK3286"/>
  <c r="FJ3284"/>
  <c r="FK3284"/>
  <c r="FJ3282"/>
  <c r="FK3282"/>
  <c r="FJ3280"/>
  <c r="FK3280"/>
  <c r="FJ3278"/>
  <c r="FK3278"/>
  <c r="FJ3276"/>
  <c r="FK3276"/>
  <c r="FJ3274"/>
  <c r="FK3274"/>
  <c r="FJ3272"/>
  <c r="FK3272"/>
  <c r="FJ3270"/>
  <c r="FK3270"/>
  <c r="FJ3268"/>
  <c r="FK3268"/>
  <c r="FJ3266"/>
  <c r="FK3266"/>
  <c r="FJ3264"/>
  <c r="FK3264"/>
  <c r="FJ3262"/>
  <c r="FK3262"/>
  <c r="FJ3260"/>
  <c r="FK3260"/>
  <c r="FJ3258"/>
  <c r="FK3258"/>
  <c r="FJ3256"/>
  <c r="FK3256"/>
  <c r="FJ3254"/>
  <c r="FK3254"/>
  <c r="FJ3252"/>
  <c r="FK3252"/>
  <c r="FJ3250"/>
  <c r="FK3250"/>
  <c r="FJ3248"/>
  <c r="FK3248"/>
  <c r="FJ3246"/>
  <c r="FK3246"/>
  <c r="FJ3244"/>
  <c r="FK3244"/>
  <c r="FJ3242"/>
  <c r="FK3242"/>
  <c r="FJ3240"/>
  <c r="FK3240"/>
  <c r="FJ3238"/>
  <c r="FK3238"/>
  <c r="FJ3236"/>
  <c r="FK3236"/>
  <c r="FJ3234"/>
  <c r="FK3234"/>
  <c r="FJ3232"/>
  <c r="FK3232"/>
  <c r="FJ3230"/>
  <c r="FK3230"/>
  <c r="FJ3228"/>
  <c r="FK3228"/>
  <c r="FJ3226"/>
  <c r="FK3226"/>
  <c r="FJ3224"/>
  <c r="FK3224"/>
  <c r="FJ3222"/>
  <c r="FK3222"/>
  <c r="FJ3220"/>
  <c r="FK3220"/>
  <c r="FJ3218"/>
  <c r="FK3218"/>
  <c r="FJ3216"/>
  <c r="FK3216"/>
  <c r="FJ3214"/>
  <c r="FK3214"/>
  <c r="FJ3212"/>
  <c r="FK3212"/>
  <c r="FJ3210"/>
  <c r="FK3210"/>
  <c r="FJ3208"/>
  <c r="FK3208"/>
  <c r="FJ3206"/>
  <c r="FK3206"/>
  <c r="FJ3204"/>
  <c r="FK3204"/>
  <c r="FJ3202"/>
  <c r="FK3202"/>
  <c r="FJ3200"/>
  <c r="FK3200"/>
  <c r="FJ3198"/>
  <c r="FK3198"/>
  <c r="FJ3196"/>
  <c r="FK3196"/>
  <c r="FJ3194"/>
  <c r="FK3194"/>
  <c r="FJ3192"/>
  <c r="FK3192"/>
  <c r="FJ3190"/>
  <c r="FK3190"/>
  <c r="FJ3188"/>
  <c r="FK3188"/>
  <c r="FJ3186"/>
  <c r="FK3186"/>
  <c r="FJ3184"/>
  <c r="FK3184"/>
  <c r="FJ3182"/>
  <c r="FK3182"/>
  <c r="FJ3180"/>
  <c r="FK3180"/>
  <c r="FJ3178"/>
  <c r="FK3178"/>
  <c r="FJ3176"/>
  <c r="FK3176"/>
  <c r="FJ3174"/>
  <c r="FK3174"/>
  <c r="FJ3172"/>
  <c r="FK3172"/>
  <c r="FJ3170"/>
  <c r="FK3170"/>
  <c r="FJ3168"/>
  <c r="FK3168"/>
  <c r="FJ3166"/>
  <c r="FK3166"/>
  <c r="FJ3164"/>
  <c r="FK3164"/>
  <c r="FJ3162"/>
  <c r="FK3162"/>
  <c r="FJ3160"/>
  <c r="FK3160"/>
  <c r="FJ3158"/>
  <c r="FK3158"/>
  <c r="FJ3156"/>
  <c r="FK3156"/>
  <c r="FJ3154"/>
  <c r="FK3154"/>
  <c r="FJ3152"/>
  <c r="FK3152"/>
  <c r="FJ3150"/>
  <c r="FK3150"/>
  <c r="FJ3148"/>
  <c r="FK3148"/>
  <c r="FJ3146"/>
  <c r="FK3146"/>
  <c r="FJ3144"/>
  <c r="FK3144"/>
  <c r="FJ3142"/>
  <c r="FK3142"/>
  <c r="FJ3140"/>
  <c r="FK3140"/>
  <c r="FJ3138"/>
  <c r="FK3138"/>
  <c r="FJ3136"/>
  <c r="FK3136"/>
  <c r="FJ3134"/>
  <c r="FK3134"/>
  <c r="FJ3132"/>
  <c r="FK3132"/>
  <c r="FJ3130"/>
  <c r="FK3130"/>
  <c r="FJ3128"/>
  <c r="FK3128"/>
  <c r="FJ3126"/>
  <c r="FK3126"/>
  <c r="FJ3124"/>
  <c r="FK3124"/>
  <c r="FJ3122"/>
  <c r="FK3122"/>
  <c r="FJ3120"/>
  <c r="FK3120"/>
  <c r="FJ3118"/>
  <c r="FK3118"/>
  <c r="FJ3116"/>
  <c r="FK3116"/>
  <c r="FJ3114"/>
  <c r="FK3114"/>
  <c r="FJ3112"/>
  <c r="FK3112"/>
  <c r="FJ3110"/>
  <c r="FK3110"/>
  <c r="FJ3108"/>
  <c r="FK3108"/>
  <c r="FJ3106"/>
  <c r="FK3106"/>
  <c r="FJ3104"/>
  <c r="FK3104"/>
  <c r="FJ3102"/>
  <c r="FK3102"/>
  <c r="FJ3100"/>
  <c r="FK3100"/>
  <c r="FJ3098"/>
  <c r="FK3098"/>
  <c r="FJ3096"/>
  <c r="FK3096"/>
  <c r="FJ3094"/>
  <c r="FK3094"/>
  <c r="FJ3092"/>
  <c r="FK3092"/>
  <c r="FJ3090"/>
  <c r="FK3090"/>
  <c r="FJ3088"/>
  <c r="FK3088"/>
  <c r="FJ3086"/>
  <c r="FK3086"/>
  <c r="FJ3084"/>
  <c r="FK3084"/>
  <c r="FJ3082"/>
  <c r="FK3082"/>
  <c r="FJ3080"/>
  <c r="FK3080"/>
  <c r="FJ3078"/>
  <c r="FK3078"/>
  <c r="FJ3076"/>
  <c r="FK3076"/>
  <c r="FJ3074"/>
  <c r="FK3074"/>
  <c r="FJ3072"/>
  <c r="FK3072"/>
  <c r="FJ3070"/>
  <c r="FK3070"/>
  <c r="FJ3068"/>
  <c r="FK3068"/>
  <c r="FJ3066"/>
  <c r="FK3066"/>
  <c r="FJ3064"/>
  <c r="FK3064"/>
  <c r="FJ3062"/>
  <c r="FK3062"/>
  <c r="FJ3060"/>
  <c r="FK3060"/>
  <c r="FJ3058"/>
  <c r="FK3058"/>
  <c r="FJ3169"/>
  <c r="FK3169"/>
  <c r="FJ3167"/>
  <c r="FK3167"/>
  <c r="FJ3165"/>
  <c r="FK3165"/>
  <c r="FJ3163"/>
  <c r="FK3163"/>
  <c r="FJ3161"/>
  <c r="FK3161"/>
  <c r="FJ3159"/>
  <c r="FK3159"/>
  <c r="FJ3157"/>
  <c r="FK3157"/>
  <c r="FJ3155"/>
  <c r="FK3155"/>
  <c r="FJ3153"/>
  <c r="FK3153"/>
  <c r="FJ3151"/>
  <c r="FK3151"/>
  <c r="FJ3149"/>
  <c r="FK3149"/>
  <c r="FJ3147"/>
  <c r="FK3147"/>
  <c r="FJ3145"/>
  <c r="FK3145"/>
  <c r="FJ3143"/>
  <c r="FK3143"/>
  <c r="FJ3141"/>
  <c r="FK3141"/>
  <c r="FJ3139"/>
  <c r="FK3139"/>
  <c r="FJ3137"/>
  <c r="FK3137"/>
  <c r="FJ3135"/>
  <c r="FK3135"/>
  <c r="FJ3133"/>
  <c r="FK3133"/>
  <c r="FJ3131"/>
  <c r="FK3131"/>
  <c r="FJ3129"/>
  <c r="FK3129"/>
  <c r="FJ3127"/>
  <c r="FK3127"/>
  <c r="FJ3125"/>
  <c r="FK3125"/>
  <c r="FJ3123"/>
  <c r="FK3123"/>
  <c r="FJ3121"/>
  <c r="FK3121"/>
  <c r="FJ3119"/>
  <c r="FK3119"/>
  <c r="FJ3117"/>
  <c r="FK3117"/>
  <c r="FJ3115"/>
  <c r="FK3115"/>
  <c r="FJ3113"/>
  <c r="FK3113"/>
  <c r="FJ3111"/>
  <c r="FK3111"/>
  <c r="FJ3109"/>
  <c r="FK3109"/>
  <c r="FJ3107"/>
  <c r="FK3107"/>
  <c r="FJ3105"/>
  <c r="FK3105"/>
  <c r="FJ3103"/>
  <c r="FK3103"/>
  <c r="FJ3101"/>
  <c r="FK3101"/>
  <c r="FJ3099"/>
  <c r="FK3099"/>
  <c r="FJ3097"/>
  <c r="FK3097"/>
  <c r="FJ3095"/>
  <c r="FK3095"/>
  <c r="FJ3093"/>
  <c r="FK3093"/>
  <c r="FJ3091"/>
  <c r="FK3091"/>
  <c r="FJ3089"/>
  <c r="FK3089"/>
  <c r="FJ3087"/>
  <c r="FK3087"/>
  <c r="FJ3085"/>
  <c r="FK3085"/>
  <c r="FJ3083"/>
  <c r="FK3083"/>
  <c r="FJ3081"/>
  <c r="FK3081"/>
  <c r="FJ3079"/>
  <c r="FK3079"/>
  <c r="FJ3077"/>
  <c r="FK3077"/>
  <c r="FJ3075"/>
  <c r="FK3075"/>
  <c r="FJ3073"/>
  <c r="FK3073"/>
  <c r="FJ3071"/>
  <c r="FK3071"/>
  <c r="FJ3069"/>
  <c r="FK3069"/>
  <c r="FJ3067"/>
  <c r="FK3067"/>
  <c r="FJ3065"/>
  <c r="FK3065"/>
  <c r="FJ3063"/>
  <c r="FK3063"/>
  <c r="FJ3061"/>
  <c r="FK3061"/>
  <c r="FJ3059"/>
  <c r="FK3059"/>
  <c r="FJ3057"/>
  <c r="FK3057"/>
  <c r="FJ3055"/>
  <c r="FK3055"/>
  <c r="FJ3053"/>
  <c r="FK3053"/>
  <c r="FJ3051"/>
  <c r="FK3051"/>
  <c r="FJ3049"/>
  <c r="FK3049"/>
  <c r="FJ3047"/>
  <c r="FK3047"/>
  <c r="FJ3045"/>
  <c r="FK3045"/>
  <c r="FJ3043"/>
  <c r="FK3043"/>
  <c r="FJ3041"/>
  <c r="FK3041"/>
  <c r="FJ3039"/>
  <c r="FK3039"/>
  <c r="FJ3037"/>
  <c r="FK3037"/>
  <c r="FJ3035"/>
  <c r="FK3035"/>
  <c r="FJ3033"/>
  <c r="FK3033"/>
  <c r="FJ3031"/>
  <c r="FK3031"/>
  <c r="FJ3029"/>
  <c r="FK3029"/>
  <c r="FJ3027"/>
  <c r="FK3027"/>
  <c r="FJ3025"/>
  <c r="FK3025"/>
  <c r="FJ3023"/>
  <c r="FK3023"/>
  <c r="FJ3021"/>
  <c r="FK3021"/>
  <c r="FJ3019"/>
  <c r="FK3019"/>
  <c r="FJ3017"/>
  <c r="FK3017"/>
  <c r="FJ3015"/>
  <c r="FK3015"/>
  <c r="FJ3013"/>
  <c r="FK3013"/>
  <c r="FJ3011"/>
  <c r="FK3011"/>
  <c r="FJ3009"/>
  <c r="FK3009"/>
  <c r="FJ3007"/>
  <c r="FK3007"/>
  <c r="FJ3005"/>
  <c r="FK3005"/>
  <c r="FJ3003"/>
  <c r="FK3003"/>
  <c r="FJ3001"/>
  <c r="FK3001"/>
  <c r="FJ2999"/>
  <c r="FK2999"/>
  <c r="FJ2997"/>
  <c r="FK2997"/>
  <c r="FJ2995"/>
  <c r="FK2995"/>
  <c r="FJ2993"/>
  <c r="FK2993"/>
  <c r="FJ2991"/>
  <c r="FK2991"/>
  <c r="FJ2989"/>
  <c r="FK2989"/>
  <c r="FJ2987"/>
  <c r="FK2987"/>
  <c r="FJ2985"/>
  <c r="FK2985"/>
  <c r="FJ2983"/>
  <c r="FK2983"/>
  <c r="FJ2981"/>
  <c r="FK2981"/>
  <c r="FJ2979"/>
  <c r="FK2979"/>
  <c r="FJ2977"/>
  <c r="FK2977"/>
  <c r="FJ2975"/>
  <c r="FK2975"/>
  <c r="FJ2973"/>
  <c r="FK2973"/>
  <c r="FJ2971"/>
  <c r="FK2971"/>
  <c r="FJ2969"/>
  <c r="FK2969"/>
  <c r="FJ2967"/>
  <c r="FK2967"/>
  <c r="FJ2965"/>
  <c r="FK2965"/>
  <c r="FJ2963"/>
  <c r="FK2963"/>
  <c r="FJ2961"/>
  <c r="FK2961"/>
  <c r="FJ2959"/>
  <c r="FK2959"/>
  <c r="FJ2957"/>
  <c r="FK2957"/>
  <c r="FJ2955"/>
  <c r="FK2955"/>
  <c r="FJ2953"/>
  <c r="FK2953"/>
  <c r="FJ2951"/>
  <c r="FK2951"/>
  <c r="FJ2949"/>
  <c r="FK2949"/>
  <c r="FJ2947"/>
  <c r="FK2947"/>
  <c r="FJ2945"/>
  <c r="FK2945"/>
  <c r="FJ2943"/>
  <c r="FK2943"/>
  <c r="FJ2941"/>
  <c r="FK2941"/>
  <c r="FJ2939"/>
  <c r="FK2939"/>
  <c r="FJ2937"/>
  <c r="FK2937"/>
  <c r="FJ2935"/>
  <c r="FK2935"/>
  <c r="FJ2933"/>
  <c r="FK2933"/>
  <c r="FJ2931"/>
  <c r="FK2931"/>
  <c r="FJ2929"/>
  <c r="FK2929"/>
  <c r="FJ2927"/>
  <c r="FK2927"/>
  <c r="FJ2925"/>
  <c r="FK2925"/>
  <c r="FJ2923"/>
  <c r="FK2923"/>
  <c r="FJ2921"/>
  <c r="FK2921"/>
  <c r="FJ2919"/>
  <c r="FK2919"/>
  <c r="FJ2917"/>
  <c r="FK2917"/>
  <c r="FJ2915"/>
  <c r="FK2915"/>
  <c r="FJ2913"/>
  <c r="FK2913"/>
  <c r="FJ2911"/>
  <c r="FK2911"/>
  <c r="FJ2909"/>
  <c r="FK2909"/>
  <c r="FJ2907"/>
  <c r="FK2907"/>
  <c r="FJ2905"/>
  <c r="FK2905"/>
  <c r="FJ2903"/>
  <c r="FK2903"/>
  <c r="FJ2901"/>
  <c r="FK2901"/>
  <c r="FJ2899"/>
  <c r="FK2899"/>
  <c r="FJ2897"/>
  <c r="FK2897"/>
  <c r="FJ2895"/>
  <c r="FK2895"/>
  <c r="FJ2893"/>
  <c r="FK2893"/>
  <c r="FJ2891"/>
  <c r="FK2891"/>
  <c r="FJ2889"/>
  <c r="FK2889"/>
  <c r="FJ2887"/>
  <c r="FK2887"/>
  <c r="FJ2885"/>
  <c r="FK2885"/>
  <c r="FJ2883"/>
  <c r="FK2883"/>
  <c r="FJ2881"/>
  <c r="FK2881"/>
  <c r="FJ2879"/>
  <c r="FK2879"/>
  <c r="FJ2877"/>
  <c r="FK2877"/>
  <c r="FJ2875"/>
  <c r="FK2875"/>
  <c r="FJ2873"/>
  <c r="FK2873"/>
  <c r="FJ2871"/>
  <c r="FK2871"/>
  <c r="FJ2869"/>
  <c r="FK2869"/>
  <c r="FJ2867"/>
  <c r="FK2867"/>
  <c r="FJ2865"/>
  <c r="FK2865"/>
  <c r="FJ2863"/>
  <c r="FK2863"/>
  <c r="FJ2861"/>
  <c r="FK2861"/>
  <c r="FJ2859"/>
  <c r="FK2859"/>
  <c r="FJ2857"/>
  <c r="FK2857"/>
  <c r="FJ2855"/>
  <c r="FK2855"/>
  <c r="FJ2853"/>
  <c r="FK2853"/>
  <c r="FJ2851"/>
  <c r="FK2851"/>
  <c r="FJ2849"/>
  <c r="FK2849"/>
  <c r="FJ2847"/>
  <c r="FK2847"/>
  <c r="FJ2845"/>
  <c r="FK2845"/>
  <c r="FJ2843"/>
  <c r="FK2843"/>
  <c r="FJ2841"/>
  <c r="FK2841"/>
  <c r="FJ2839"/>
  <c r="FK2839"/>
  <c r="FJ2837"/>
  <c r="FK2837"/>
  <c r="FJ2835"/>
  <c r="FK2835"/>
  <c r="FJ2833"/>
  <c r="FK2833"/>
  <c r="FJ2831"/>
  <c r="FK2831"/>
  <c r="FJ2829"/>
  <c r="FK2829"/>
  <c r="FJ2827"/>
  <c r="FK2827"/>
  <c r="FJ2825"/>
  <c r="FK2825"/>
  <c r="FJ2823"/>
  <c r="FK2823"/>
  <c r="FJ2821"/>
  <c r="FK2821"/>
  <c r="FJ2819"/>
  <c r="FK2819"/>
  <c r="FJ2817"/>
  <c r="FK2817"/>
  <c r="FJ2815"/>
  <c r="FK2815"/>
  <c r="FJ2813"/>
  <c r="FK2813"/>
  <c r="FJ2811"/>
  <c r="FK2811"/>
  <c r="FJ2809"/>
  <c r="FK2809"/>
  <c r="FJ2807"/>
  <c r="FK2807"/>
  <c r="FJ2805"/>
  <c r="FK2805"/>
  <c r="FJ2803"/>
  <c r="FK2803"/>
  <c r="FJ2801"/>
  <c r="FK2801"/>
  <c r="FJ2799"/>
  <c r="FK2799"/>
  <c r="FJ2797"/>
  <c r="FK2797"/>
  <c r="FJ2795"/>
  <c r="FK2795"/>
  <c r="FJ2793"/>
  <c r="FK2793"/>
  <c r="FJ2791"/>
  <c r="FK2791"/>
  <c r="FJ2789"/>
  <c r="FK2789"/>
  <c r="FJ2787"/>
  <c r="FK2787"/>
  <c r="FJ2785"/>
  <c r="FK2785"/>
  <c r="FJ2783"/>
  <c r="FK2783"/>
  <c r="FJ2781"/>
  <c r="FK2781"/>
  <c r="FJ2779"/>
  <c r="FK2779"/>
  <c r="FJ2777"/>
  <c r="FK2777"/>
  <c r="FJ2775"/>
  <c r="FK2775"/>
  <c r="FJ2773"/>
  <c r="FK2773"/>
  <c r="FJ2771"/>
  <c r="FK2771"/>
  <c r="FJ2769"/>
  <c r="FK2769"/>
  <c r="FJ2767"/>
  <c r="FK2767"/>
  <c r="FJ2765"/>
  <c r="FK2765"/>
  <c r="FJ2763"/>
  <c r="FK2763"/>
  <c r="FJ2761"/>
  <c r="FK2761"/>
  <c r="FJ2759"/>
  <c r="FK2759"/>
  <c r="FJ2757"/>
  <c r="FK2757"/>
  <c r="FJ2755"/>
  <c r="FK2755"/>
  <c r="FJ2753"/>
  <c r="FK2753"/>
  <c r="FJ2751"/>
  <c r="FK2751"/>
  <c r="FJ2749"/>
  <c r="FK2749"/>
  <c r="FJ2747"/>
  <c r="FK2747"/>
  <c r="FJ2745"/>
  <c r="FK2745"/>
  <c r="FJ2743"/>
  <c r="FK2743"/>
  <c r="FJ2741"/>
  <c r="FK2741"/>
  <c r="FJ2739"/>
  <c r="FK2739"/>
  <c r="FJ2737"/>
  <c r="FK2737"/>
  <c r="FJ2735"/>
  <c r="FK2735"/>
  <c r="FJ2733"/>
  <c r="FK2733"/>
  <c r="FJ2731"/>
  <c r="FK2731"/>
  <c r="FJ2729"/>
  <c r="FK2729"/>
  <c r="FJ2727"/>
  <c r="FK2727"/>
  <c r="FJ2725"/>
  <c r="FK2725"/>
  <c r="FJ2723"/>
  <c r="FK2723"/>
  <c r="FJ2721"/>
  <c r="FK2721"/>
  <c r="FJ2719"/>
  <c r="FK2719"/>
  <c r="FJ2717"/>
  <c r="FK2717"/>
  <c r="FJ2715"/>
  <c r="FK2715"/>
  <c r="FJ2713"/>
  <c r="FK2713"/>
  <c r="FJ2711"/>
  <c r="FK2711"/>
  <c r="FJ2709"/>
  <c r="FK2709"/>
  <c r="FJ2707"/>
  <c r="FK2707"/>
  <c r="FJ2705"/>
  <c r="FK2705"/>
  <c r="FJ2703"/>
  <c r="FK2703"/>
  <c r="FJ2701"/>
  <c r="FK2701"/>
  <c r="FJ2699"/>
  <c r="FK2699"/>
  <c r="FJ2697"/>
  <c r="FK2697"/>
  <c r="FJ2695"/>
  <c r="FK2695"/>
  <c r="FJ2693"/>
  <c r="FK2693"/>
  <c r="FJ2691"/>
  <c r="FK2691"/>
  <c r="FJ2689"/>
  <c r="FK2689"/>
  <c r="FJ2687"/>
  <c r="FK2687"/>
  <c r="FJ2685"/>
  <c r="FK2685"/>
  <c r="FJ2683"/>
  <c r="FK2683"/>
  <c r="FJ2681"/>
  <c r="FK2681"/>
  <c r="FJ2679"/>
  <c r="FK2679"/>
  <c r="FJ2677"/>
  <c r="FK2677"/>
  <c r="FJ2675"/>
  <c r="FK2675"/>
  <c r="FJ2673"/>
  <c r="FK2673"/>
  <c r="FJ2671"/>
  <c r="FK2671"/>
  <c r="FJ2669"/>
  <c r="FK2669"/>
  <c r="FJ2667"/>
  <c r="FK2667"/>
  <c r="FJ2665"/>
  <c r="FK2665"/>
  <c r="FJ2663"/>
  <c r="FK2663"/>
  <c r="FJ2661"/>
  <c r="FK2661"/>
  <c r="FJ2659"/>
  <c r="FK2659"/>
  <c r="FJ2657"/>
  <c r="FK2657"/>
  <c r="FJ2655"/>
  <c r="FK2655"/>
  <c r="FJ2653"/>
  <c r="FK2653"/>
  <c r="FJ2651"/>
  <c r="FK2651"/>
  <c r="FJ2649"/>
  <c r="FK2649"/>
  <c r="FJ2647"/>
  <c r="FK2647"/>
  <c r="FJ2645"/>
  <c r="FK2645"/>
  <c r="FJ2643"/>
  <c r="FK2643"/>
  <c r="FJ2641"/>
  <c r="FK2641"/>
  <c r="FJ2639"/>
  <c r="FK2639"/>
  <c r="FJ2637"/>
  <c r="FK2637"/>
  <c r="FJ2635"/>
  <c r="FK2635"/>
  <c r="FJ2633"/>
  <c r="FK2633"/>
  <c r="FJ2631"/>
  <c r="FK2631"/>
  <c r="FJ2629"/>
  <c r="FK2629"/>
  <c r="FJ2627"/>
  <c r="FK2627"/>
  <c r="FJ2625"/>
  <c r="FK2625"/>
  <c r="FJ2623"/>
  <c r="FK2623"/>
  <c r="FJ2621"/>
  <c r="FK2621"/>
  <c r="FJ2619"/>
  <c r="FK2619"/>
  <c r="FJ2617"/>
  <c r="FK2617"/>
  <c r="FJ2615"/>
  <c r="FK2615"/>
  <c r="FJ2613"/>
  <c r="FK2613"/>
  <c r="FJ2611"/>
  <c r="FK2611"/>
  <c r="FJ2609"/>
  <c r="FK2609"/>
  <c r="FJ2607"/>
  <c r="FK2607"/>
  <c r="FJ2605"/>
  <c r="FK2605"/>
  <c r="FJ2603"/>
  <c r="FK2603"/>
  <c r="FJ2601"/>
  <c r="FK2601"/>
  <c r="FJ2599"/>
  <c r="FK2599"/>
  <c r="FJ2597"/>
  <c r="FK2597"/>
  <c r="FJ2595"/>
  <c r="FK2595"/>
  <c r="FJ2593"/>
  <c r="FK2593"/>
  <c r="FJ2591"/>
  <c r="FK2591"/>
  <c r="FJ2589"/>
  <c r="FK2589"/>
  <c r="FJ2587"/>
  <c r="FK2587"/>
  <c r="FJ2585"/>
  <c r="FK2585"/>
  <c r="FJ2583"/>
  <c r="FK2583"/>
  <c r="FJ2581"/>
  <c r="FK2581"/>
  <c r="FJ2579"/>
  <c r="FK2579"/>
  <c r="FJ2577"/>
  <c r="FK2577"/>
  <c r="FJ2575"/>
  <c r="FK2575"/>
  <c r="FJ2573"/>
  <c r="FK2573"/>
  <c r="FJ2571"/>
  <c r="FK2571"/>
  <c r="FJ2569"/>
  <c r="FK2569"/>
  <c r="FJ2567"/>
  <c r="FK2567"/>
  <c r="FJ2565"/>
  <c r="FK2565"/>
  <c r="FJ2563"/>
  <c r="FK2563"/>
  <c r="FJ2561"/>
  <c r="FK2561"/>
  <c r="FJ2559"/>
  <c r="FK2559"/>
  <c r="FJ2557"/>
  <c r="FK2557"/>
  <c r="FJ2555"/>
  <c r="FK2555"/>
  <c r="FJ2553"/>
  <c r="FK2553"/>
  <c r="FJ2551"/>
  <c r="FK2551"/>
  <c r="FJ2549"/>
  <c r="FK2549"/>
  <c r="FJ2547"/>
  <c r="FK2547"/>
  <c r="FJ2545"/>
  <c r="FK2545"/>
  <c r="FJ2543"/>
  <c r="FK2543"/>
  <c r="FJ2541"/>
  <c r="FK2541"/>
  <c r="FJ2539"/>
  <c r="FK2539"/>
  <c r="FJ2537"/>
  <c r="FK2537"/>
  <c r="FJ2535"/>
  <c r="FK2535"/>
  <c r="FJ2533"/>
  <c r="FK2533"/>
  <c r="FJ2531"/>
  <c r="FK2531"/>
  <c r="FJ2529"/>
  <c r="FK2529"/>
  <c r="FJ2527"/>
  <c r="FK2527"/>
  <c r="FJ2525"/>
  <c r="FK2525"/>
  <c r="FJ2523"/>
  <c r="FK2523"/>
  <c r="FJ2521"/>
  <c r="FK2521"/>
  <c r="FJ2519"/>
  <c r="FK2519"/>
  <c r="FJ2517"/>
  <c r="FK2517"/>
  <c r="FJ2515"/>
  <c r="FK2515"/>
  <c r="FJ2513"/>
  <c r="FK2513"/>
  <c r="FJ2511"/>
  <c r="FK2511"/>
  <c r="FJ2509"/>
  <c r="FK2509"/>
  <c r="FJ2507"/>
  <c r="FK2507"/>
  <c r="FJ2505"/>
  <c r="FK2505"/>
  <c r="FJ2503"/>
  <c r="FK2503"/>
  <c r="FJ2501"/>
  <c r="FK2501"/>
  <c r="FJ2499"/>
  <c r="FK2499"/>
  <c r="FJ2497"/>
  <c r="FK2497"/>
  <c r="FJ2495"/>
  <c r="FK2495"/>
  <c r="FJ2493"/>
  <c r="FK2493"/>
  <c r="FJ2491"/>
  <c r="FK2491"/>
  <c r="FJ2489"/>
  <c r="FK2489"/>
  <c r="FJ2487"/>
  <c r="FK2487"/>
  <c r="FJ2485"/>
  <c r="FK2485"/>
  <c r="FJ2483"/>
  <c r="FK2483"/>
  <c r="FJ2481"/>
  <c r="FK2481"/>
  <c r="FJ2479"/>
  <c r="FK2479"/>
  <c r="FJ2477"/>
  <c r="FK2477"/>
  <c r="FJ2475"/>
  <c r="FK2475"/>
  <c r="FJ2473"/>
  <c r="FK2473"/>
  <c r="FJ2471"/>
  <c r="FK2471"/>
  <c r="FJ2469"/>
  <c r="FK2469"/>
  <c r="FJ2467"/>
  <c r="FK2467"/>
  <c r="FJ2465"/>
  <c r="FK2465"/>
  <c r="FJ2463"/>
  <c r="FK2463"/>
  <c r="FJ2461"/>
  <c r="FK2461"/>
  <c r="FJ2459"/>
  <c r="FK2459"/>
  <c r="FJ2457"/>
  <c r="FK2457"/>
  <c r="FJ2455"/>
  <c r="FK2455"/>
  <c r="FJ2453"/>
  <c r="FK2453"/>
  <c r="FJ2451"/>
  <c r="FK2451"/>
  <c r="FJ2449"/>
  <c r="FK2449"/>
  <c r="FJ2447"/>
  <c r="FK2447"/>
  <c r="FJ2445"/>
  <c r="FK2445"/>
  <c r="FJ2443"/>
  <c r="FK2443"/>
  <c r="FJ2441"/>
  <c r="FK2441"/>
  <c r="FJ2439"/>
  <c r="FK2439"/>
  <c r="FJ2437"/>
  <c r="FK2437"/>
  <c r="FJ2435"/>
  <c r="FK2435"/>
  <c r="FJ2433"/>
  <c r="FK2433"/>
  <c r="FJ2431"/>
  <c r="FK2431"/>
  <c r="FJ2429"/>
  <c r="FK2429"/>
  <c r="FJ2427"/>
  <c r="FK2427"/>
  <c r="FJ2425"/>
  <c r="FK2425"/>
  <c r="FJ2423"/>
  <c r="FK2423"/>
  <c r="FJ2421"/>
  <c r="FK2421"/>
  <c r="FJ2419"/>
  <c r="FK2419"/>
  <c r="FJ2417"/>
  <c r="FK2417"/>
  <c r="FJ2415"/>
  <c r="FK2415"/>
  <c r="FJ2413"/>
  <c r="FK2413"/>
  <c r="FJ2411"/>
  <c r="FK2411"/>
  <c r="FJ2409"/>
  <c r="FK2409"/>
  <c r="FJ2407"/>
  <c r="FK2407"/>
  <c r="FJ2405"/>
  <c r="FK2405"/>
  <c r="FJ2403"/>
  <c r="FK2403"/>
  <c r="FJ2401"/>
  <c r="FK2401"/>
  <c r="FJ2399"/>
  <c r="FK2399"/>
  <c r="FJ2397"/>
  <c r="FK2397"/>
  <c r="FJ2395"/>
  <c r="FK2395"/>
  <c r="FJ2393"/>
  <c r="FK2393"/>
  <c r="FJ2391"/>
  <c r="FK2391"/>
  <c r="FJ2389"/>
  <c r="FK2389"/>
  <c r="FJ2387"/>
  <c r="FK2387"/>
  <c r="FJ2385"/>
  <c r="FK2385"/>
  <c r="FJ2383"/>
  <c r="FK2383"/>
  <c r="FJ2381"/>
  <c r="FK2381"/>
  <c r="FJ2379"/>
  <c r="FK2379"/>
  <c r="FJ2377"/>
  <c r="FK2377"/>
  <c r="FJ2375"/>
  <c r="FK2375"/>
  <c r="FJ2373"/>
  <c r="FK2373"/>
  <c r="FJ2371"/>
  <c r="FK2371"/>
  <c r="FJ2369"/>
  <c r="FK2369"/>
  <c r="FJ2367"/>
  <c r="FK2367"/>
  <c r="FJ2365"/>
  <c r="FK2365"/>
  <c r="FJ2363"/>
  <c r="FK2363"/>
  <c r="FJ2361"/>
  <c r="FK2361"/>
  <c r="FJ2359"/>
  <c r="FK2359"/>
  <c r="FJ2357"/>
  <c r="FK2357"/>
  <c r="FJ2355"/>
  <c r="FK2355"/>
  <c r="FJ2353"/>
  <c r="FK2353"/>
  <c r="FJ2351"/>
  <c r="FK2351"/>
  <c r="FJ2349"/>
  <c r="FK2349"/>
  <c r="FJ2347"/>
  <c r="FK2347"/>
  <c r="FJ2345"/>
  <c r="FK2345"/>
  <c r="FJ2343"/>
  <c r="FK2343"/>
  <c r="FJ2341"/>
  <c r="FK2341"/>
  <c r="FJ2339"/>
  <c r="FK2339"/>
  <c r="FJ2337"/>
  <c r="FK2337"/>
  <c r="FJ2335"/>
  <c r="FK2335"/>
  <c r="FJ2333"/>
  <c r="FK2333"/>
  <c r="FJ2331"/>
  <c r="FK2331"/>
  <c r="FJ2329"/>
  <c r="FK2329"/>
  <c r="FJ2327"/>
  <c r="FK2327"/>
  <c r="FJ2325"/>
  <c r="FK2325"/>
  <c r="FJ2323"/>
  <c r="FK2323"/>
  <c r="FJ2321"/>
  <c r="FK2321"/>
  <c r="FJ2319"/>
  <c r="FK2319"/>
  <c r="FJ2317"/>
  <c r="FK2317"/>
  <c r="FJ2315"/>
  <c r="FK2315"/>
  <c r="FJ2313"/>
  <c r="FK2313"/>
  <c r="FJ2311"/>
  <c r="FK2311"/>
  <c r="FJ2309"/>
  <c r="FK2309"/>
  <c r="FJ2307"/>
  <c r="FK2307"/>
  <c r="FJ2305"/>
  <c r="FK2305"/>
  <c r="FJ2303"/>
  <c r="FK2303"/>
  <c r="FJ2301"/>
  <c r="FK2301"/>
  <c r="FJ2299"/>
  <c r="FK2299"/>
  <c r="FJ2297"/>
  <c r="FK2297"/>
  <c r="FJ2295"/>
  <c r="FK2295"/>
  <c r="FJ2293"/>
  <c r="FK2293"/>
  <c r="FJ2291"/>
  <c r="FK2291"/>
  <c r="FJ2289"/>
  <c r="FK2289"/>
  <c r="FJ2287"/>
  <c r="FK2287"/>
  <c r="FJ2285"/>
  <c r="FK2285"/>
  <c r="FJ2283"/>
  <c r="FK2283"/>
  <c r="FJ2281"/>
  <c r="FK2281"/>
  <c r="FJ2279"/>
  <c r="FK2279"/>
  <c r="FJ2277"/>
  <c r="FK2277"/>
  <c r="FJ2275"/>
  <c r="FK2275"/>
  <c r="FJ2273"/>
  <c r="FK2273"/>
  <c r="FJ2271"/>
  <c r="FK2271"/>
  <c r="FJ2269"/>
  <c r="FK2269"/>
  <c r="FJ2267"/>
  <c r="FK2267"/>
  <c r="FJ2265"/>
  <c r="FK2265"/>
  <c r="FJ2263"/>
  <c r="FK2263"/>
  <c r="FJ2261"/>
  <c r="FK2261"/>
  <c r="FJ2259"/>
  <c r="FK2259"/>
  <c r="FJ2257"/>
  <c r="FK2257"/>
  <c r="FJ2255"/>
  <c r="FK2255"/>
  <c r="FJ2253"/>
  <c r="FK2253"/>
  <c r="FJ2251"/>
  <c r="FK2251"/>
  <c r="FJ2249"/>
  <c r="FK2249"/>
  <c r="FJ2247"/>
  <c r="FK2247"/>
  <c r="FJ2245"/>
  <c r="FK2245"/>
  <c r="FJ2243"/>
  <c r="FK2243"/>
  <c r="FJ2241"/>
  <c r="FK2241"/>
  <c r="FJ2239"/>
  <c r="FK2239"/>
  <c r="FJ2237"/>
  <c r="FK2237"/>
  <c r="FJ2235"/>
  <c r="FK2235"/>
  <c r="FJ2233"/>
  <c r="FK2233"/>
  <c r="FJ2231"/>
  <c r="FK2231"/>
  <c r="FJ2229"/>
  <c r="FK2229"/>
  <c r="FJ2227"/>
  <c r="FK2227"/>
  <c r="FJ2225"/>
  <c r="FK2225"/>
  <c r="FJ2223"/>
  <c r="FK2223"/>
  <c r="FJ2221"/>
  <c r="FK2221"/>
  <c r="FJ2219"/>
  <c r="FK2219"/>
  <c r="FJ2217"/>
  <c r="FK2217"/>
  <c r="FJ2215"/>
  <c r="FK2215"/>
  <c r="FJ2213"/>
  <c r="FK2213"/>
  <c r="FJ2211"/>
  <c r="FK2211"/>
  <c r="FJ2209"/>
  <c r="FK2209"/>
  <c r="FJ2207"/>
  <c r="FK2207"/>
  <c r="FJ2205"/>
  <c r="FK2205"/>
  <c r="FJ2203"/>
  <c r="FK2203"/>
  <c r="FJ2201"/>
  <c r="FK2201"/>
  <c r="FJ2199"/>
  <c r="FK2199"/>
  <c r="FJ2197"/>
  <c r="FK2197"/>
  <c r="FJ2195"/>
  <c r="FK2195"/>
  <c r="FJ2193"/>
  <c r="FK2193"/>
  <c r="FJ2191"/>
  <c r="FK2191"/>
  <c r="FJ2189"/>
  <c r="FK2189"/>
  <c r="FJ2187"/>
  <c r="FK2187"/>
  <c r="FJ2185"/>
  <c r="FK2185"/>
  <c r="FJ2183"/>
  <c r="FK2183"/>
  <c r="FJ2181"/>
  <c r="FK2181"/>
  <c r="FJ2179"/>
  <c r="FK2179"/>
  <c r="FJ2177"/>
  <c r="FK2177"/>
  <c r="FJ2175"/>
  <c r="FK2175"/>
  <c r="FJ2173"/>
  <c r="FK2173"/>
  <c r="FJ2171"/>
  <c r="FK2171"/>
  <c r="FJ2169"/>
  <c r="FK2169"/>
  <c r="FJ2167"/>
  <c r="FK2167"/>
  <c r="FJ2165"/>
  <c r="FK2165"/>
  <c r="FJ2163"/>
  <c r="FK2163"/>
  <c r="FJ2161"/>
  <c r="FK2161"/>
  <c r="FJ2159"/>
  <c r="FK2159"/>
  <c r="FJ2157"/>
  <c r="FK2157"/>
  <c r="FJ2155"/>
  <c r="FK2155"/>
  <c r="FJ2153"/>
  <c r="FK2153"/>
  <c r="FJ2151"/>
  <c r="FK2151"/>
  <c r="FJ2149"/>
  <c r="FK2149"/>
  <c r="FJ2147"/>
  <c r="FK2147"/>
  <c r="FJ3056"/>
  <c r="FK3056"/>
  <c r="FJ3054"/>
  <c r="FK3054"/>
  <c r="FJ3052"/>
  <c r="FK3052"/>
  <c r="FJ3050"/>
  <c r="FK3050"/>
  <c r="FJ3048"/>
  <c r="FK3048"/>
  <c r="FJ3046"/>
  <c r="FK3046"/>
  <c r="FJ3044"/>
  <c r="FK3044"/>
  <c r="FJ3042"/>
  <c r="FK3042"/>
  <c r="FJ3040"/>
  <c r="FK3040"/>
  <c r="FJ3038"/>
  <c r="FK3038"/>
  <c r="FJ3036"/>
  <c r="FK3036"/>
  <c r="FJ3034"/>
  <c r="FK3034"/>
  <c r="FJ3032"/>
  <c r="FK3032"/>
  <c r="FJ3030"/>
  <c r="FK3030"/>
  <c r="FJ3028"/>
  <c r="FK3028"/>
  <c r="FJ3026"/>
  <c r="FK3026"/>
  <c r="FJ3024"/>
  <c r="FK3024"/>
  <c r="FJ3022"/>
  <c r="FK3022"/>
  <c r="FJ3020"/>
  <c r="FK3020"/>
  <c r="FJ3018"/>
  <c r="FK3018"/>
  <c r="FJ3016"/>
  <c r="FK3016"/>
  <c r="FJ3014"/>
  <c r="FK3014"/>
  <c r="FJ3012"/>
  <c r="FK3012"/>
  <c r="FJ3010"/>
  <c r="FK3010"/>
  <c r="FJ3008"/>
  <c r="FK3008"/>
  <c r="FJ3006"/>
  <c r="FK3006"/>
  <c r="FJ3004"/>
  <c r="FK3004"/>
  <c r="FJ3002"/>
  <c r="FK3002"/>
  <c r="FJ3000"/>
  <c r="FK3000"/>
  <c r="FJ2998"/>
  <c r="FK2998"/>
  <c r="FJ2996"/>
  <c r="FK2996"/>
  <c r="FJ2994"/>
  <c r="FK2994"/>
  <c r="FJ2992"/>
  <c r="FK2992"/>
  <c r="FJ2990"/>
  <c r="FK2990"/>
  <c r="FJ2988"/>
  <c r="FK2988"/>
  <c r="FJ2986"/>
  <c r="FK2986"/>
  <c r="FJ2984"/>
  <c r="FK2984"/>
  <c r="FJ2982"/>
  <c r="FK2982"/>
  <c r="FJ2980"/>
  <c r="FK2980"/>
  <c r="FJ2978"/>
  <c r="FK2978"/>
  <c r="FJ2976"/>
  <c r="FK2976"/>
  <c r="FJ2974"/>
  <c r="FK2974"/>
  <c r="FJ2972"/>
  <c r="FK2972"/>
  <c r="FJ2970"/>
  <c r="FK2970"/>
  <c r="FJ2968"/>
  <c r="FK2968"/>
  <c r="FJ2966"/>
  <c r="FK2966"/>
  <c r="FJ2964"/>
  <c r="FK2964"/>
  <c r="FJ2962"/>
  <c r="FK2962"/>
  <c r="FJ2960"/>
  <c r="FK2960"/>
  <c r="FJ2958"/>
  <c r="FK2958"/>
  <c r="FJ2956"/>
  <c r="FK2956"/>
  <c r="FJ2954"/>
  <c r="FK2954"/>
  <c r="FJ2952"/>
  <c r="FK2952"/>
  <c r="FJ2950"/>
  <c r="FK2950"/>
  <c r="FJ2948"/>
  <c r="FK2948"/>
  <c r="FJ2946"/>
  <c r="FK2946"/>
  <c r="FJ2944"/>
  <c r="FK2944"/>
  <c r="FJ2942"/>
  <c r="FK2942"/>
  <c r="FJ2940"/>
  <c r="FK2940"/>
  <c r="FJ2938"/>
  <c r="FK2938"/>
  <c r="FJ2936"/>
  <c r="FK2936"/>
  <c r="FJ2934"/>
  <c r="FK2934"/>
  <c r="FJ2932"/>
  <c r="FK2932"/>
  <c r="FJ2930"/>
  <c r="FK2930"/>
  <c r="FJ2928"/>
  <c r="FK2928"/>
  <c r="FJ2926"/>
  <c r="FK2926"/>
  <c r="FJ2924"/>
  <c r="FK2924"/>
  <c r="FJ2922"/>
  <c r="FK2922"/>
  <c r="FJ2920"/>
  <c r="FK2920"/>
  <c r="FJ2918"/>
  <c r="FK2918"/>
  <c r="FJ2916"/>
  <c r="FK2916"/>
  <c r="FJ2914"/>
  <c r="FK2914"/>
  <c r="FJ2912"/>
  <c r="FK2912"/>
  <c r="FJ2910"/>
  <c r="FK2910"/>
  <c r="FJ2908"/>
  <c r="FK2908"/>
  <c r="FJ2906"/>
  <c r="FK2906"/>
  <c r="FJ2904"/>
  <c r="FK2904"/>
  <c r="FJ2902"/>
  <c r="FK2902"/>
  <c r="FJ2900"/>
  <c r="FK2900"/>
  <c r="FJ2898"/>
  <c r="FK2898"/>
  <c r="FJ2896"/>
  <c r="FK2896"/>
  <c r="FJ2894"/>
  <c r="FK2894"/>
  <c r="FJ2892"/>
  <c r="FK2892"/>
  <c r="FJ2890"/>
  <c r="FK2890"/>
  <c r="FJ2888"/>
  <c r="FK2888"/>
  <c r="FJ2886"/>
  <c r="FK2886"/>
  <c r="FJ2884"/>
  <c r="FK2884"/>
  <c r="FJ2882"/>
  <c r="FK2882"/>
  <c r="FJ2880"/>
  <c r="FK2880"/>
  <c r="FJ2878"/>
  <c r="FK2878"/>
  <c r="FJ2876"/>
  <c r="FK2876"/>
  <c r="FJ2874"/>
  <c r="FK2874"/>
  <c r="FJ2872"/>
  <c r="FK2872"/>
  <c r="FJ2870"/>
  <c r="FK2870"/>
  <c r="FJ2868"/>
  <c r="FK2868"/>
  <c r="FJ2866"/>
  <c r="FK2866"/>
  <c r="FJ2864"/>
  <c r="FK2864"/>
  <c r="FJ2862"/>
  <c r="FK2862"/>
  <c r="FJ2860"/>
  <c r="FK2860"/>
  <c r="FJ2858"/>
  <c r="FK2858"/>
  <c r="FJ2856"/>
  <c r="FK2856"/>
  <c r="FJ2854"/>
  <c r="FK2854"/>
  <c r="FJ2852"/>
  <c r="FK2852"/>
  <c r="FJ2850"/>
  <c r="FK2850"/>
  <c r="FJ2848"/>
  <c r="FK2848"/>
  <c r="FJ2846"/>
  <c r="FK2846"/>
  <c r="FJ2844"/>
  <c r="FK2844"/>
  <c r="FJ2842"/>
  <c r="FK2842"/>
  <c r="FJ2840"/>
  <c r="FK2840"/>
  <c r="FJ2838"/>
  <c r="FK2838"/>
  <c r="FJ2836"/>
  <c r="FK2836"/>
  <c r="FJ2834"/>
  <c r="FK2834"/>
  <c r="FJ2832"/>
  <c r="FK2832"/>
  <c r="FJ2830"/>
  <c r="FK2830"/>
  <c r="FJ2828"/>
  <c r="FK2828"/>
  <c r="FJ2826"/>
  <c r="FK2826"/>
  <c r="FJ2824"/>
  <c r="FK2824"/>
  <c r="FJ2822"/>
  <c r="FK2822"/>
  <c r="FJ2820"/>
  <c r="FK2820"/>
  <c r="FJ2818"/>
  <c r="FK2818"/>
  <c r="FJ2816"/>
  <c r="FK2816"/>
  <c r="FJ2814"/>
  <c r="FK2814"/>
  <c r="FJ2812"/>
  <c r="FK2812"/>
  <c r="FJ2810"/>
  <c r="FK2810"/>
  <c r="FJ2808"/>
  <c r="FK2808"/>
  <c r="FJ2806"/>
  <c r="FK2806"/>
  <c r="FJ2804"/>
  <c r="FK2804"/>
  <c r="FJ2802"/>
  <c r="FK2802"/>
  <c r="FJ2800"/>
  <c r="FK2800"/>
  <c r="FJ2798"/>
  <c r="FK2798"/>
  <c r="FJ2796"/>
  <c r="FK2796"/>
  <c r="FJ2794"/>
  <c r="FK2794"/>
  <c r="FJ2792"/>
  <c r="FK2792"/>
  <c r="FJ2790"/>
  <c r="FK2790"/>
  <c r="FJ2788"/>
  <c r="FK2788"/>
  <c r="FJ2786"/>
  <c r="FK2786"/>
  <c r="FJ2784"/>
  <c r="FK2784"/>
  <c r="FJ2782"/>
  <c r="FK2782"/>
  <c r="FJ2780"/>
  <c r="FK2780"/>
  <c r="FJ2778"/>
  <c r="FK2778"/>
  <c r="FJ2776"/>
  <c r="FK2776"/>
  <c r="FJ2774"/>
  <c r="FK2774"/>
  <c r="FJ2772"/>
  <c r="FK2772"/>
  <c r="FJ2770"/>
  <c r="FK2770"/>
  <c r="FJ2768"/>
  <c r="FK2768"/>
  <c r="FJ2766"/>
  <c r="FK2766"/>
  <c r="FJ2764"/>
  <c r="FK2764"/>
  <c r="FJ2762"/>
  <c r="FK2762"/>
  <c r="FJ2760"/>
  <c r="FK2760"/>
  <c r="FJ2758"/>
  <c r="FK2758"/>
  <c r="FJ2756"/>
  <c r="FK2756"/>
  <c r="FJ2754"/>
  <c r="FK2754"/>
  <c r="FJ2752"/>
  <c r="FK2752"/>
  <c r="FJ2750"/>
  <c r="FK2750"/>
  <c r="FJ2748"/>
  <c r="FK2748"/>
  <c r="FJ2746"/>
  <c r="FK2746"/>
  <c r="FJ2744"/>
  <c r="FK2744"/>
  <c r="FJ2742"/>
  <c r="FK2742"/>
  <c r="FJ2740"/>
  <c r="FK2740"/>
  <c r="FJ2738"/>
  <c r="FK2738"/>
  <c r="FJ2736"/>
  <c r="FK2736"/>
  <c r="FJ2734"/>
  <c r="FK2734"/>
  <c r="FJ2732"/>
  <c r="FK2732"/>
  <c r="FJ2730"/>
  <c r="FK2730"/>
  <c r="FJ2728"/>
  <c r="FK2728"/>
  <c r="FJ2726"/>
  <c r="FK2726"/>
  <c r="FJ2724"/>
  <c r="FK2724"/>
  <c r="FJ2722"/>
  <c r="FK2722"/>
  <c r="FJ2720"/>
  <c r="FK2720"/>
  <c r="FJ2718"/>
  <c r="FK2718"/>
  <c r="FJ2716"/>
  <c r="FK2716"/>
  <c r="FJ2714"/>
  <c r="FK2714"/>
  <c r="FJ2712"/>
  <c r="FK2712"/>
  <c r="FJ2710"/>
  <c r="FK2710"/>
  <c r="FJ2708"/>
  <c r="FK2708"/>
  <c r="FJ2706"/>
  <c r="FK2706"/>
  <c r="FJ2704"/>
  <c r="FK2704"/>
  <c r="FJ2702"/>
  <c r="FK2702"/>
  <c r="FJ2700"/>
  <c r="FK2700"/>
  <c r="FJ2698"/>
  <c r="FK2698"/>
  <c r="FJ2696"/>
  <c r="FK2696"/>
  <c r="FJ2694"/>
  <c r="FK2694"/>
  <c r="FJ2692"/>
  <c r="FK2692"/>
  <c r="FJ2690"/>
  <c r="FK2690"/>
  <c r="FJ2688"/>
  <c r="FK2688"/>
  <c r="FJ2686"/>
  <c r="FK2686"/>
  <c r="FJ2684"/>
  <c r="FK2684"/>
  <c r="FJ2682"/>
  <c r="FK2682"/>
  <c r="FJ2680"/>
  <c r="FK2680"/>
  <c r="FJ2678"/>
  <c r="FK2678"/>
  <c r="FJ2676"/>
  <c r="FK2676"/>
  <c r="FJ2674"/>
  <c r="FK2674"/>
  <c r="FJ2672"/>
  <c r="FK2672"/>
  <c r="FJ2670"/>
  <c r="FK2670"/>
  <c r="FJ2668"/>
  <c r="FK2668"/>
  <c r="FJ2666"/>
  <c r="FK2666"/>
  <c r="FJ2664"/>
  <c r="FK2664"/>
  <c r="FJ2662"/>
  <c r="FK2662"/>
  <c r="FJ2660"/>
  <c r="FK2660"/>
  <c r="FJ2658"/>
  <c r="FK2658"/>
  <c r="FJ2656"/>
  <c r="FK2656"/>
  <c r="FJ2654"/>
  <c r="FK2654"/>
  <c r="FJ2652"/>
  <c r="FK2652"/>
  <c r="FJ2650"/>
  <c r="FK2650"/>
  <c r="FJ2648"/>
  <c r="FK2648"/>
  <c r="FJ2646"/>
  <c r="FK2646"/>
  <c r="FJ2644"/>
  <c r="FK2644"/>
  <c r="FJ2642"/>
  <c r="FK2642"/>
  <c r="FJ2640"/>
  <c r="FK2640"/>
  <c r="FJ2638"/>
  <c r="FK2638"/>
  <c r="FJ2636"/>
  <c r="FK2636"/>
  <c r="FJ2634"/>
  <c r="FK2634"/>
  <c r="FJ2632"/>
  <c r="FK2632"/>
  <c r="FJ2630"/>
  <c r="FK2630"/>
  <c r="FJ2628"/>
  <c r="FK2628"/>
  <c r="FJ2626"/>
  <c r="FK2626"/>
  <c r="FJ2624"/>
  <c r="FK2624"/>
  <c r="FJ2622"/>
  <c r="FK2622"/>
  <c r="FJ2620"/>
  <c r="FK2620"/>
  <c r="FJ2618"/>
  <c r="FK2618"/>
  <c r="FJ2616"/>
  <c r="FK2616"/>
  <c r="FJ2614"/>
  <c r="FK2614"/>
  <c r="FJ2612"/>
  <c r="FK2612"/>
  <c r="FJ2610"/>
  <c r="FK2610"/>
  <c r="FJ2608"/>
  <c r="FK2608"/>
  <c r="FJ2606"/>
  <c r="FK2606"/>
  <c r="FJ2604"/>
  <c r="FK2604"/>
  <c r="FJ2602"/>
  <c r="FK2602"/>
  <c r="FJ2600"/>
  <c r="FK2600"/>
  <c r="FJ2598"/>
  <c r="FK2598"/>
  <c r="FJ2596"/>
  <c r="FK2596"/>
  <c r="FJ2594"/>
  <c r="FK2594"/>
  <c r="FJ2592"/>
  <c r="FK2592"/>
  <c r="FJ2590"/>
  <c r="FK2590"/>
  <c r="FJ2588"/>
  <c r="FK2588"/>
  <c r="FJ2586"/>
  <c r="FK2586"/>
  <c r="FJ2584"/>
  <c r="FK2584"/>
  <c r="FJ2582"/>
  <c r="FK2582"/>
  <c r="FJ2580"/>
  <c r="FK2580"/>
  <c r="FJ2578"/>
  <c r="FK2578"/>
  <c r="FJ2576"/>
  <c r="FK2576"/>
  <c r="FJ2574"/>
  <c r="FK2574"/>
  <c r="FJ2572"/>
  <c r="FK2572"/>
  <c r="FJ2570"/>
  <c r="FK2570"/>
  <c r="FJ2568"/>
  <c r="FK2568"/>
  <c r="FJ2566"/>
  <c r="FK2566"/>
  <c r="FJ2564"/>
  <c r="FK2564"/>
  <c r="FJ2562"/>
  <c r="FK2562"/>
  <c r="FJ2560"/>
  <c r="FK2560"/>
  <c r="FJ2558"/>
  <c r="FK2558"/>
  <c r="FJ2556"/>
  <c r="FK2556"/>
  <c r="FJ2554"/>
  <c r="FK2554"/>
  <c r="FJ2552"/>
  <c r="FK2552"/>
  <c r="FJ2550"/>
  <c r="FK2550"/>
  <c r="FJ2548"/>
  <c r="FK2548"/>
  <c r="FJ2546"/>
  <c r="FK2546"/>
  <c r="FJ2544"/>
  <c r="FK2544"/>
  <c r="FJ2542"/>
  <c r="FK2542"/>
  <c r="FJ2540"/>
  <c r="FK2540"/>
  <c r="FJ2538"/>
  <c r="FK2538"/>
  <c r="FJ2536"/>
  <c r="FK2536"/>
  <c r="FJ2534"/>
  <c r="FK2534"/>
  <c r="FJ2532"/>
  <c r="FK2532"/>
  <c r="FJ2530"/>
  <c r="FK2530"/>
  <c r="FJ2528"/>
  <c r="FK2528"/>
  <c r="FJ2526"/>
  <c r="FK2526"/>
  <c r="FJ2524"/>
  <c r="FK2524"/>
  <c r="FJ2522"/>
  <c r="FK2522"/>
  <c r="FJ2520"/>
  <c r="FK2520"/>
  <c r="FJ2518"/>
  <c r="FK2518"/>
  <c r="FJ2516"/>
  <c r="FK2516"/>
  <c r="FJ2514"/>
  <c r="FK2514"/>
  <c r="FJ2512"/>
  <c r="FK2512"/>
  <c r="FJ2510"/>
  <c r="FK2510"/>
  <c r="FJ2508"/>
  <c r="FK2508"/>
  <c r="FJ2506"/>
  <c r="FK2506"/>
  <c r="FJ2504"/>
  <c r="FK2504"/>
  <c r="FJ2502"/>
  <c r="FK2502"/>
  <c r="FJ2500"/>
  <c r="FK2500"/>
  <c r="FJ2498"/>
  <c r="FK2498"/>
  <c r="FJ2496"/>
  <c r="FK2496"/>
  <c r="FJ2494"/>
  <c r="FK2494"/>
  <c r="FJ2492"/>
  <c r="FK2492"/>
  <c r="FJ2490"/>
  <c r="FK2490"/>
  <c r="FJ2488"/>
  <c r="FK2488"/>
  <c r="FJ2486"/>
  <c r="FK2486"/>
  <c r="FJ2484"/>
  <c r="FK2484"/>
  <c r="FJ2482"/>
  <c r="FK2482"/>
  <c r="FJ2480"/>
  <c r="FK2480"/>
  <c r="FJ2478"/>
  <c r="FK2478"/>
  <c r="FJ2476"/>
  <c r="FK2476"/>
  <c r="FJ2474"/>
  <c r="FK2474"/>
  <c r="FJ2472"/>
  <c r="FK2472"/>
  <c r="FJ2470"/>
  <c r="FK2470"/>
  <c r="FJ2468"/>
  <c r="FK2468"/>
  <c r="FJ2466"/>
  <c r="FK2466"/>
  <c r="FJ2464"/>
  <c r="FK2464"/>
  <c r="FJ2462"/>
  <c r="FK2462"/>
  <c r="FJ2460"/>
  <c r="FK2460"/>
  <c r="FJ2458"/>
  <c r="FK2458"/>
  <c r="FJ2456"/>
  <c r="FK2456"/>
  <c r="FJ2454"/>
  <c r="FK2454"/>
  <c r="FJ2452"/>
  <c r="FK2452"/>
  <c r="FJ2450"/>
  <c r="FK2450"/>
  <c r="FJ2448"/>
  <c r="FK2448"/>
  <c r="FJ2446"/>
  <c r="FK2446"/>
  <c r="FJ2444"/>
  <c r="FK2444"/>
  <c r="FJ2442"/>
  <c r="FK2442"/>
  <c r="FJ2440"/>
  <c r="FK2440"/>
  <c r="FJ2438"/>
  <c r="FK2438"/>
  <c r="FJ2436"/>
  <c r="FK2436"/>
  <c r="FJ2434"/>
  <c r="FK2434"/>
  <c r="FJ2432"/>
  <c r="FK2432"/>
  <c r="FJ2430"/>
  <c r="FK2430"/>
  <c r="FJ2428"/>
  <c r="FK2428"/>
  <c r="FJ2426"/>
  <c r="FK2426"/>
  <c r="FJ2424"/>
  <c r="FK2424"/>
  <c r="FJ2422"/>
  <c r="FK2422"/>
  <c r="FJ2420"/>
  <c r="FK2420"/>
  <c r="FJ2418"/>
  <c r="FK2418"/>
  <c r="FJ2416"/>
  <c r="FK2416"/>
  <c r="FJ2414"/>
  <c r="FK2414"/>
  <c r="FJ2412"/>
  <c r="FK2412"/>
  <c r="FJ2410"/>
  <c r="FK2410"/>
  <c r="FJ2408"/>
  <c r="FK2408"/>
  <c r="FJ2406"/>
  <c r="FK2406"/>
  <c r="FJ2404"/>
  <c r="FK2404"/>
  <c r="FJ2402"/>
  <c r="FK2402"/>
  <c r="FJ2400"/>
  <c r="FK2400"/>
  <c r="FJ2398"/>
  <c r="FK2398"/>
  <c r="FJ2396"/>
  <c r="FK2396"/>
  <c r="FJ2394"/>
  <c r="FK2394"/>
  <c r="FJ2392"/>
  <c r="FK2392"/>
  <c r="FJ2390"/>
  <c r="FK2390"/>
  <c r="FJ2388"/>
  <c r="FK2388"/>
  <c r="FJ2386"/>
  <c r="FK2386"/>
  <c r="FJ2384"/>
  <c r="FK2384"/>
  <c r="FJ2382"/>
  <c r="FK2382"/>
  <c r="FJ2380"/>
  <c r="FK2380"/>
  <c r="FJ2378"/>
  <c r="FK2378"/>
  <c r="FJ2376"/>
  <c r="FK2376"/>
  <c r="FJ2374"/>
  <c r="FK2374"/>
  <c r="FJ2372"/>
  <c r="FK2372"/>
  <c r="FJ2370"/>
  <c r="FK2370"/>
  <c r="FJ2368"/>
  <c r="FK2368"/>
  <c r="FJ2366"/>
  <c r="FK2366"/>
  <c r="FJ2364"/>
  <c r="FK2364"/>
  <c r="FJ2362"/>
  <c r="FK2362"/>
  <c r="FJ2360"/>
  <c r="FK2360"/>
  <c r="FJ2358"/>
  <c r="FK2358"/>
  <c r="FJ2356"/>
  <c r="FK2356"/>
  <c r="FJ2354"/>
  <c r="FK2354"/>
  <c r="FJ2352"/>
  <c r="FK2352"/>
  <c r="FJ2350"/>
  <c r="FK2350"/>
  <c r="FJ2348"/>
  <c r="FK2348"/>
  <c r="FJ2346"/>
  <c r="FK2346"/>
  <c r="FJ2344"/>
  <c r="FK2344"/>
  <c r="FJ2342"/>
  <c r="FK2342"/>
  <c r="FJ2340"/>
  <c r="FK2340"/>
  <c r="FJ2338"/>
  <c r="FK2338"/>
  <c r="FJ2336"/>
  <c r="FK2336"/>
  <c r="FJ2334"/>
  <c r="FK2334"/>
  <c r="FJ2332"/>
  <c r="FK2332"/>
  <c r="FJ2330"/>
  <c r="FK2330"/>
  <c r="FJ2328"/>
  <c r="FK2328"/>
  <c r="FJ2326"/>
  <c r="FK2326"/>
  <c r="FJ2324"/>
  <c r="FK2324"/>
  <c r="FJ2322"/>
  <c r="FK2322"/>
  <c r="FJ2320"/>
  <c r="FK2320"/>
  <c r="FJ2318"/>
  <c r="FK2318"/>
  <c r="FJ2316"/>
  <c r="FK2316"/>
  <c r="FJ2314"/>
  <c r="FK2314"/>
  <c r="FJ2312"/>
  <c r="FK2312"/>
  <c r="FJ2310"/>
  <c r="FK2310"/>
  <c r="FJ2308"/>
  <c r="FK2308"/>
  <c r="FJ2306"/>
  <c r="FK2306"/>
  <c r="FJ2304"/>
  <c r="FK2304"/>
  <c r="FJ2302"/>
  <c r="FK2302"/>
  <c r="FJ2300"/>
  <c r="FK2300"/>
  <c r="FJ2298"/>
  <c r="FK2298"/>
  <c r="FJ2296"/>
  <c r="FK2296"/>
  <c r="FJ2294"/>
  <c r="FK2294"/>
  <c r="FJ2292"/>
  <c r="FK2292"/>
  <c r="FJ2290"/>
  <c r="FK2290"/>
  <c r="FJ2288"/>
  <c r="FK2288"/>
  <c r="FJ2286"/>
  <c r="FK2286"/>
  <c r="FJ2284"/>
  <c r="FK2284"/>
  <c r="FJ2282"/>
  <c r="FK2282"/>
  <c r="FJ2280"/>
  <c r="FK2280"/>
  <c r="FJ2278"/>
  <c r="FK2278"/>
  <c r="FJ2276"/>
  <c r="FK2276"/>
  <c r="FJ2274"/>
  <c r="FK2274"/>
  <c r="FJ2272"/>
  <c r="FK2272"/>
  <c r="FJ2270"/>
  <c r="FK2270"/>
  <c r="FJ2268"/>
  <c r="FK2268"/>
  <c r="FJ2266"/>
  <c r="FK2266"/>
  <c r="FJ2264"/>
  <c r="FK2264"/>
  <c r="FJ2262"/>
  <c r="FK2262"/>
  <c r="FJ2260"/>
  <c r="FK2260"/>
  <c r="FJ2258"/>
  <c r="FK2258"/>
  <c r="FJ2256"/>
  <c r="FK2256"/>
  <c r="FJ2254"/>
  <c r="FK2254"/>
  <c r="FJ2252"/>
  <c r="FK2252"/>
  <c r="FJ2250"/>
  <c r="FK2250"/>
  <c r="FJ2248"/>
  <c r="FK2248"/>
  <c r="FJ2246"/>
  <c r="FK2246"/>
  <c r="FJ2244"/>
  <c r="FK2244"/>
  <c r="FJ2242"/>
  <c r="FK2242"/>
  <c r="FJ2240"/>
  <c r="FK2240"/>
  <c r="FJ2238"/>
  <c r="FK2238"/>
  <c r="FJ2236"/>
  <c r="FK2236"/>
  <c r="FJ2234"/>
  <c r="FK2234"/>
  <c r="FJ2232"/>
  <c r="FK2232"/>
  <c r="FJ2230"/>
  <c r="FK2230"/>
  <c r="FJ2228"/>
  <c r="FK2228"/>
  <c r="FJ2226"/>
  <c r="FK2226"/>
  <c r="FJ2224"/>
  <c r="FK2224"/>
  <c r="FJ2222"/>
  <c r="FK2222"/>
  <c r="FJ2220"/>
  <c r="FK2220"/>
  <c r="FJ2218"/>
  <c r="FK2218"/>
  <c r="FJ2216"/>
  <c r="FK2216"/>
  <c r="FJ2214"/>
  <c r="FK2214"/>
  <c r="FJ2212"/>
  <c r="FK2212"/>
  <c r="FJ2210"/>
  <c r="FK2210"/>
  <c r="FJ2208"/>
  <c r="FK2208"/>
  <c r="FJ2206"/>
  <c r="FK2206"/>
  <c r="FJ2204"/>
  <c r="FK2204"/>
  <c r="FJ2202"/>
  <c r="FK2202"/>
  <c r="FJ2200"/>
  <c r="FK2200"/>
  <c r="FJ2198"/>
  <c r="FK2198"/>
  <c r="FJ2196"/>
  <c r="FK2196"/>
  <c r="FJ2194"/>
  <c r="FK2194"/>
  <c r="FJ2192"/>
  <c r="FK2192"/>
  <c r="FJ2190"/>
  <c r="FK2190"/>
  <c r="FJ2188"/>
  <c r="FK2188"/>
  <c r="FJ2186"/>
  <c r="FK2186"/>
  <c r="FJ2184"/>
  <c r="FK2184"/>
  <c r="FJ2182"/>
  <c r="FK2182"/>
  <c r="FJ2180"/>
  <c r="FK2180"/>
  <c r="FJ2178"/>
  <c r="FK2178"/>
  <c r="FJ2176"/>
  <c r="FK2176"/>
  <c r="FJ2174"/>
  <c r="FK2174"/>
  <c r="FJ2172"/>
  <c r="FK2172"/>
  <c r="FJ2170"/>
  <c r="FK2170"/>
  <c r="FJ2168"/>
  <c r="FK2168"/>
  <c r="FJ2166"/>
  <c r="FK2166"/>
  <c r="FJ2164"/>
  <c r="FK2164"/>
  <c r="FJ2162"/>
  <c r="FK2162"/>
  <c r="FJ2160"/>
  <c r="FK2160"/>
  <c r="FJ2158"/>
  <c r="FK2158"/>
  <c r="FJ2156"/>
  <c r="FK2156"/>
  <c r="FJ2154"/>
  <c r="FK2154"/>
  <c r="FJ2152"/>
  <c r="FK2152"/>
  <c r="FJ2150"/>
  <c r="FK2150"/>
  <c r="FJ2148"/>
  <c r="FK2148"/>
  <c r="FJ2146"/>
  <c r="FK2146"/>
  <c r="FJ2144"/>
  <c r="FK2144"/>
  <c r="FJ2142"/>
  <c r="FK2142"/>
  <c r="FJ2140"/>
  <c r="FK2140"/>
  <c r="FJ2138"/>
  <c r="FK2138"/>
  <c r="FJ2136"/>
  <c r="FK2136"/>
  <c r="FJ2134"/>
  <c r="FK2134"/>
  <c r="FJ2132"/>
  <c r="FK2132"/>
  <c r="FJ2130"/>
  <c r="FK2130"/>
  <c r="FJ2128"/>
  <c r="FK2128"/>
  <c r="FJ2126"/>
  <c r="FK2126"/>
  <c r="FJ2124"/>
  <c r="FK2124"/>
  <c r="FJ2122"/>
  <c r="FK2122"/>
  <c r="FJ2120"/>
  <c r="FK2120"/>
  <c r="FJ2118"/>
  <c r="FK2118"/>
  <c r="FJ2116"/>
  <c r="FK2116"/>
  <c r="FJ2114"/>
  <c r="FK2114"/>
  <c r="FJ2112"/>
  <c r="FK2112"/>
  <c r="FJ2110"/>
  <c r="FK2110"/>
  <c r="FJ2108"/>
  <c r="FK2108"/>
  <c r="FJ2106"/>
  <c r="FK2106"/>
  <c r="FJ2104"/>
  <c r="FK2104"/>
  <c r="FJ2102"/>
  <c r="FK2102"/>
  <c r="FJ2100"/>
  <c r="FK2100"/>
  <c r="FJ2098"/>
  <c r="FK2098"/>
  <c r="FJ2096"/>
  <c r="FK2096"/>
  <c r="FJ2094"/>
  <c r="FK2094"/>
  <c r="FJ2092"/>
  <c r="FK2092"/>
  <c r="FJ2090"/>
  <c r="FK2090"/>
  <c r="FJ2088"/>
  <c r="FK2088"/>
  <c r="FJ2086"/>
  <c r="FK2086"/>
  <c r="FJ2084"/>
  <c r="FK2084"/>
  <c r="FJ2082"/>
  <c r="FK2082"/>
  <c r="FJ2080"/>
  <c r="FK2080"/>
  <c r="FJ2078"/>
  <c r="FK2078"/>
  <c r="FJ2076"/>
  <c r="FK2076"/>
  <c r="FJ2074"/>
  <c r="FK2074"/>
  <c r="FJ2072"/>
  <c r="FK2072"/>
  <c r="FJ2070"/>
  <c r="FK2070"/>
  <c r="FJ2068"/>
  <c r="FK2068"/>
  <c r="FJ2066"/>
  <c r="FK2066"/>
  <c r="FJ2064"/>
  <c r="FK2064"/>
  <c r="FJ2062"/>
  <c r="FK2062"/>
  <c r="FJ2060"/>
  <c r="FK2060"/>
  <c r="FJ2058"/>
  <c r="FK2058"/>
  <c r="FJ2056"/>
  <c r="FK2056"/>
  <c r="FJ2054"/>
  <c r="FK2054"/>
  <c r="FJ2052"/>
  <c r="FK2052"/>
  <c r="FJ2050"/>
  <c r="FK2050"/>
  <c r="FJ2048"/>
  <c r="FK2048"/>
  <c r="FJ2046"/>
  <c r="FK2046"/>
  <c r="FJ2044"/>
  <c r="FK2044"/>
  <c r="FJ2042"/>
  <c r="FK2042"/>
  <c r="FJ2040"/>
  <c r="FK2040"/>
  <c r="FJ2038"/>
  <c r="FK2038"/>
  <c r="FJ2036"/>
  <c r="FK2036"/>
  <c r="FJ2034"/>
  <c r="FK2034"/>
  <c r="FJ2145"/>
  <c r="FK2145"/>
  <c r="FJ2143"/>
  <c r="FK2143"/>
  <c r="FJ2141"/>
  <c r="FK2141"/>
  <c r="FJ2139"/>
  <c r="FK2139"/>
  <c r="FJ2137"/>
  <c r="FK2137"/>
  <c r="FJ2135"/>
  <c r="FK2135"/>
  <c r="FJ2133"/>
  <c r="FK2133"/>
  <c r="FJ2131"/>
  <c r="FK2131"/>
  <c r="FJ2129"/>
  <c r="FK2129"/>
  <c r="FJ2127"/>
  <c r="FK2127"/>
  <c r="FJ2125"/>
  <c r="FK2125"/>
  <c r="FJ2123"/>
  <c r="FK2123"/>
  <c r="FJ2121"/>
  <c r="FK2121"/>
  <c r="FJ2119"/>
  <c r="FK2119"/>
  <c r="FJ2117"/>
  <c r="FK2117"/>
  <c r="FJ2115"/>
  <c r="FK2115"/>
  <c r="FJ2113"/>
  <c r="FK2113"/>
  <c r="FJ2111"/>
  <c r="FK2111"/>
  <c r="FJ2109"/>
  <c r="FK2109"/>
  <c r="FJ2107"/>
  <c r="FK2107"/>
  <c r="FJ2105"/>
  <c r="FK2105"/>
  <c r="FJ2103"/>
  <c r="FK2103"/>
  <c r="FJ2101"/>
  <c r="FK2101"/>
  <c r="FJ2099"/>
  <c r="FK2099"/>
  <c r="FJ2097"/>
  <c r="FK2097"/>
  <c r="FJ2095"/>
  <c r="FK2095"/>
  <c r="FJ2093"/>
  <c r="FK2093"/>
  <c r="FJ2091"/>
  <c r="FK2091"/>
  <c r="FJ2089"/>
  <c r="FK2089"/>
  <c r="FJ2087"/>
  <c r="FK2087"/>
  <c r="FJ2085"/>
  <c r="FK2085"/>
  <c r="FJ2083"/>
  <c r="FK2083"/>
  <c r="FJ2081"/>
  <c r="FK2081"/>
  <c r="FJ2079"/>
  <c r="FK2079"/>
  <c r="FJ2077"/>
  <c r="FK2077"/>
  <c r="FJ2075"/>
  <c r="FK2075"/>
  <c r="FJ2073"/>
  <c r="FK2073"/>
  <c r="FJ2071"/>
  <c r="FK2071"/>
  <c r="FJ2069"/>
  <c r="FK2069"/>
  <c r="FJ2067"/>
  <c r="FK2067"/>
  <c r="FJ2065"/>
  <c r="FK2065"/>
  <c r="FJ2063"/>
  <c r="FK2063"/>
  <c r="FJ2061"/>
  <c r="FK2061"/>
  <c r="FJ2059"/>
  <c r="FK2059"/>
  <c r="FJ2057"/>
  <c r="FK2057"/>
  <c r="FJ2055"/>
  <c r="FK2055"/>
  <c r="FJ2053"/>
  <c r="FK2053"/>
  <c r="FJ2051"/>
  <c r="FK2051"/>
  <c r="FJ2049"/>
  <c r="FK2049"/>
  <c r="FJ2047"/>
  <c r="FK2047"/>
  <c r="FJ2045"/>
  <c r="FK2045"/>
  <c r="FJ2043"/>
  <c r="FK2043"/>
  <c r="FJ2041"/>
  <c r="FK2041"/>
  <c r="FJ2039"/>
  <c r="FK2039"/>
  <c r="FJ2037"/>
  <c r="FK2037"/>
  <c r="FJ2035"/>
  <c r="FK2035"/>
  <c r="FJ2033"/>
  <c r="FK2033"/>
  <c r="FJ2031"/>
  <c r="FK2031"/>
  <c r="FJ2029"/>
  <c r="FK2029"/>
  <c r="FJ2027"/>
  <c r="FK2027"/>
  <c r="FJ2025"/>
  <c r="FK2025"/>
  <c r="FJ2023"/>
  <c r="FK2023"/>
  <c r="FJ2021"/>
  <c r="FK2021"/>
  <c r="FJ2019"/>
  <c r="FK2019"/>
  <c r="FJ2017"/>
  <c r="FK2017"/>
  <c r="FJ2015"/>
  <c r="FK2015"/>
  <c r="FJ2013"/>
  <c r="FK2013"/>
  <c r="FJ2011"/>
  <c r="FK2011"/>
  <c r="FJ2009"/>
  <c r="FK2009"/>
  <c r="FJ2007"/>
  <c r="FK2007"/>
  <c r="FJ2005"/>
  <c r="FK2005"/>
  <c r="FJ2003"/>
  <c r="FK2003"/>
  <c r="FJ2001"/>
  <c r="FK2001"/>
  <c r="FJ1999"/>
  <c r="FK1999"/>
  <c r="FJ1997"/>
  <c r="FK1997"/>
  <c r="FJ1995"/>
  <c r="FK1995"/>
  <c r="FJ1993"/>
  <c r="FK1993"/>
  <c r="FJ1991"/>
  <c r="FK1991"/>
  <c r="FJ1989"/>
  <c r="FK1989"/>
  <c r="FJ1987"/>
  <c r="FK1987"/>
  <c r="FJ1985"/>
  <c r="FK1985"/>
  <c r="FJ1983"/>
  <c r="FK1983"/>
  <c r="FJ1981"/>
  <c r="FK1981"/>
  <c r="FJ1979"/>
  <c r="FK1979"/>
  <c r="FJ1977"/>
  <c r="FK1977"/>
  <c r="FJ1975"/>
  <c r="FK1975"/>
  <c r="FJ1973"/>
  <c r="FK1973"/>
  <c r="FJ1971"/>
  <c r="FK1971"/>
  <c r="FJ1969"/>
  <c r="FK1969"/>
  <c r="FJ1967"/>
  <c r="FK1967"/>
  <c r="FJ1965"/>
  <c r="FK1965"/>
  <c r="FJ1963"/>
  <c r="FK1963"/>
  <c r="FJ1961"/>
  <c r="FK1961"/>
  <c r="FJ1959"/>
  <c r="FK1959"/>
  <c r="FJ1957"/>
  <c r="FK1957"/>
  <c r="FJ1955"/>
  <c r="FK1955"/>
  <c r="FJ1953"/>
  <c r="FK1953"/>
  <c r="FJ1951"/>
  <c r="FK1951"/>
  <c r="FJ1949"/>
  <c r="FK1949"/>
  <c r="FJ1947"/>
  <c r="FK1947"/>
  <c r="FJ1945"/>
  <c r="FK1945"/>
  <c r="FJ1943"/>
  <c r="FK1943"/>
  <c r="FJ1941"/>
  <c r="FK1941"/>
  <c r="FJ1939"/>
  <c r="FK1939"/>
  <c r="FJ1937"/>
  <c r="FK1937"/>
  <c r="FJ1935"/>
  <c r="FK1935"/>
  <c r="FJ1933"/>
  <c r="FK1933"/>
  <c r="FJ1931"/>
  <c r="FK1931"/>
  <c r="FJ1929"/>
  <c r="FK1929"/>
  <c r="FJ1927"/>
  <c r="FK1927"/>
  <c r="FJ1925"/>
  <c r="FK1925"/>
  <c r="FJ1923"/>
  <c r="FK1923"/>
  <c r="FJ1921"/>
  <c r="FK1921"/>
  <c r="FJ1919"/>
  <c r="FK1919"/>
  <c r="FJ1917"/>
  <c r="FK1917"/>
  <c r="FJ1915"/>
  <c r="FK1915"/>
  <c r="FJ1913"/>
  <c r="FK1913"/>
  <c r="FJ1911"/>
  <c r="FK1911"/>
  <c r="FJ1909"/>
  <c r="FK1909"/>
  <c r="FJ1907"/>
  <c r="FK1907"/>
  <c r="FJ1905"/>
  <c r="FK1905"/>
  <c r="FJ1903"/>
  <c r="FK1903"/>
  <c r="FJ1901"/>
  <c r="FK1901"/>
  <c r="FJ1899"/>
  <c r="FK1899"/>
  <c r="FJ1897"/>
  <c r="FK1897"/>
  <c r="FJ1895"/>
  <c r="FK1895"/>
  <c r="FJ1893"/>
  <c r="FK1893"/>
  <c r="FJ1891"/>
  <c r="FK1891"/>
  <c r="FJ1889"/>
  <c r="FK1889"/>
  <c r="FJ1887"/>
  <c r="FK1887"/>
  <c r="FJ1885"/>
  <c r="FK1885"/>
  <c r="FJ1883"/>
  <c r="FK1883"/>
  <c r="FJ1881"/>
  <c r="FK1881"/>
  <c r="FJ1879"/>
  <c r="FK1879"/>
  <c r="FJ1877"/>
  <c r="FK1877"/>
  <c r="FJ1875"/>
  <c r="FK1875"/>
  <c r="FJ1873"/>
  <c r="FK1873"/>
  <c r="FJ1871"/>
  <c r="FK1871"/>
  <c r="FJ1869"/>
  <c r="FK1869"/>
  <c r="FJ1867"/>
  <c r="FK1867"/>
  <c r="FJ1865"/>
  <c r="FK1865"/>
  <c r="FJ1863"/>
  <c r="FK1863"/>
  <c r="FJ1861"/>
  <c r="FK1861"/>
  <c r="FJ1859"/>
  <c r="FK1859"/>
  <c r="FJ1857"/>
  <c r="FK1857"/>
  <c r="FJ1855"/>
  <c r="FK1855"/>
  <c r="FJ1853"/>
  <c r="FK1853"/>
  <c r="FJ1851"/>
  <c r="FK1851"/>
  <c r="FJ1849"/>
  <c r="FK1849"/>
  <c r="FJ1847"/>
  <c r="FK1847"/>
  <c r="FJ1845"/>
  <c r="FK1845"/>
  <c r="FJ1843"/>
  <c r="FK1843"/>
  <c r="FJ1841"/>
  <c r="FK1841"/>
  <c r="FJ1839"/>
  <c r="FK1839"/>
  <c r="FJ1837"/>
  <c r="FK1837"/>
  <c r="FJ1835"/>
  <c r="FK1835"/>
  <c r="FJ1833"/>
  <c r="FK1833"/>
  <c r="FJ1831"/>
  <c r="FK1831"/>
  <c r="FJ1829"/>
  <c r="FK1829"/>
  <c r="FJ1827"/>
  <c r="FK1827"/>
  <c r="FJ1825"/>
  <c r="FK1825"/>
  <c r="FJ1823"/>
  <c r="FK1823"/>
  <c r="FJ1821"/>
  <c r="FK1821"/>
  <c r="FJ1819"/>
  <c r="FK1819"/>
  <c r="FJ1817"/>
  <c r="FK1817"/>
  <c r="FJ1815"/>
  <c r="FK1815"/>
  <c r="FJ1813"/>
  <c r="FK1813"/>
  <c r="FJ1811"/>
  <c r="FK1811"/>
  <c r="FJ1809"/>
  <c r="FK1809"/>
  <c r="FJ1807"/>
  <c r="FK1807"/>
  <c r="FJ1805"/>
  <c r="FK1805"/>
  <c r="FJ1803"/>
  <c r="FK1803"/>
  <c r="FJ1801"/>
  <c r="FK1801"/>
  <c r="FJ1799"/>
  <c r="FK1799"/>
  <c r="FJ1797"/>
  <c r="FK1797"/>
  <c r="FJ1795"/>
  <c r="FK1795"/>
  <c r="FJ1793"/>
  <c r="FK1793"/>
  <c r="FJ1791"/>
  <c r="FK1791"/>
  <c r="FJ1789"/>
  <c r="FK1789"/>
  <c r="FJ1787"/>
  <c r="FK1787"/>
  <c r="FJ1785"/>
  <c r="FK1785"/>
  <c r="FJ1783"/>
  <c r="FK1783"/>
  <c r="FJ1781"/>
  <c r="FK1781"/>
  <c r="FJ1779"/>
  <c r="FK1779"/>
  <c r="FJ1777"/>
  <c r="FK1777"/>
  <c r="FJ1775"/>
  <c r="FK1775"/>
  <c r="FJ1773"/>
  <c r="FK1773"/>
  <c r="FJ1771"/>
  <c r="FK1771"/>
  <c r="FJ1769"/>
  <c r="FK1769"/>
  <c r="FJ1767"/>
  <c r="FK1767"/>
  <c r="FJ1765"/>
  <c r="FK1765"/>
  <c r="FJ1763"/>
  <c r="FK1763"/>
  <c r="FJ1761"/>
  <c r="FK1761"/>
  <c r="FJ1759"/>
  <c r="FK1759"/>
  <c r="FJ1757"/>
  <c r="FK1757"/>
  <c r="FJ1755"/>
  <c r="FK1755"/>
  <c r="FJ1753"/>
  <c r="FK1753"/>
  <c r="FJ1751"/>
  <c r="FK1751"/>
  <c r="FJ1749"/>
  <c r="FK1749"/>
  <c r="FJ1747"/>
  <c r="FK1747"/>
  <c r="FJ1745"/>
  <c r="FK1745"/>
  <c r="FJ1743"/>
  <c r="FK1743"/>
  <c r="FJ1741"/>
  <c r="FK1741"/>
  <c r="FJ1739"/>
  <c r="FK1739"/>
  <c r="FJ1737"/>
  <c r="FK1737"/>
  <c r="FJ1735"/>
  <c r="FK1735"/>
  <c r="FJ1733"/>
  <c r="FK1733"/>
  <c r="FJ1731"/>
  <c r="FK1731"/>
  <c r="FJ1729"/>
  <c r="FK1729"/>
  <c r="FJ1727"/>
  <c r="FK1727"/>
  <c r="FJ1725"/>
  <c r="FK1725"/>
  <c r="FJ1723"/>
  <c r="FK1723"/>
  <c r="FJ1721"/>
  <c r="FK1721"/>
  <c r="FJ1719"/>
  <c r="FK1719"/>
  <c r="FJ1717"/>
  <c r="FK1717"/>
  <c r="FJ1715"/>
  <c r="FK1715"/>
  <c r="FJ1713"/>
  <c r="FK1713"/>
  <c r="FJ1711"/>
  <c r="FK1711"/>
  <c r="FJ1709"/>
  <c r="FK1709"/>
  <c r="FJ1707"/>
  <c r="FK1707"/>
  <c r="FJ1705"/>
  <c r="FK1705"/>
  <c r="FJ1703"/>
  <c r="FK1703"/>
  <c r="FJ1701"/>
  <c r="FK1701"/>
  <c r="FJ1699"/>
  <c r="FK1699"/>
  <c r="FJ1697"/>
  <c r="FK1697"/>
  <c r="FJ1695"/>
  <c r="FK1695"/>
  <c r="FJ1693"/>
  <c r="FK1693"/>
  <c r="FJ1691"/>
  <c r="FK1691"/>
  <c r="FJ1689"/>
  <c r="FK1689"/>
  <c r="FJ1687"/>
  <c r="FK1687"/>
  <c r="FJ1685"/>
  <c r="FK1685"/>
  <c r="FJ1683"/>
  <c r="FK1683"/>
  <c r="FJ1681"/>
  <c r="FK1681"/>
  <c r="FJ1679"/>
  <c r="FK1679"/>
  <c r="FJ1677"/>
  <c r="FK1677"/>
  <c r="FJ1675"/>
  <c r="FK1675"/>
  <c r="FJ1673"/>
  <c r="FK1673"/>
  <c r="FJ1671"/>
  <c r="FK1671"/>
  <c r="FJ1669"/>
  <c r="FK1669"/>
  <c r="FJ1667"/>
  <c r="FK1667"/>
  <c r="FJ1665"/>
  <c r="FK1665"/>
  <c r="FJ1663"/>
  <c r="FK1663"/>
  <c r="FJ1661"/>
  <c r="FK1661"/>
  <c r="FJ1659"/>
  <c r="FK1659"/>
  <c r="FJ1657"/>
  <c r="FK1657"/>
  <c r="FJ1655"/>
  <c r="FK1655"/>
  <c r="FJ1653"/>
  <c r="FK1653"/>
  <c r="FJ1651"/>
  <c r="FK1651"/>
  <c r="FJ1649"/>
  <c r="FK1649"/>
  <c r="FJ1647"/>
  <c r="FK1647"/>
  <c r="FJ1645"/>
  <c r="FK1645"/>
  <c r="FJ1643"/>
  <c r="FK1643"/>
  <c r="FJ1641"/>
  <c r="FK1641"/>
  <c r="FJ1639"/>
  <c r="FK1639"/>
  <c r="FJ1637"/>
  <c r="FK1637"/>
  <c r="FJ1635"/>
  <c r="FK1635"/>
  <c r="FJ1633"/>
  <c r="FK1633"/>
  <c r="FJ1631"/>
  <c r="FK1631"/>
  <c r="FJ1629"/>
  <c r="FK1629"/>
  <c r="FJ1627"/>
  <c r="FK1627"/>
  <c r="FJ1625"/>
  <c r="FK1625"/>
  <c r="FJ1623"/>
  <c r="FK1623"/>
  <c r="FJ1621"/>
  <c r="FK1621"/>
  <c r="FJ1619"/>
  <c r="FK1619"/>
  <c r="FJ1617"/>
  <c r="FK1617"/>
  <c r="FJ1615"/>
  <c r="FK1615"/>
  <c r="FJ1613"/>
  <c r="FK1613"/>
  <c r="FJ1611"/>
  <c r="FK1611"/>
  <c r="FJ1609"/>
  <c r="FK1609"/>
  <c r="FJ1607"/>
  <c r="FK1607"/>
  <c r="FJ1605"/>
  <c r="FK1605"/>
  <c r="FJ1603"/>
  <c r="FK1603"/>
  <c r="FJ1601"/>
  <c r="FK1601"/>
  <c r="FJ1599"/>
  <c r="FK1599"/>
  <c r="FJ1597"/>
  <c r="FK1597"/>
  <c r="FJ1595"/>
  <c r="FK1595"/>
  <c r="FJ1593"/>
  <c r="FK1593"/>
  <c r="FJ1591"/>
  <c r="FK1591"/>
  <c r="FJ1589"/>
  <c r="FK1589"/>
  <c r="FJ1587"/>
  <c r="FK1587"/>
  <c r="FJ1585"/>
  <c r="FK1585"/>
  <c r="FJ1583"/>
  <c r="FK1583"/>
  <c r="FJ1581"/>
  <c r="FK1581"/>
  <c r="FJ1579"/>
  <c r="FK1579"/>
  <c r="FJ1577"/>
  <c r="FK1577"/>
  <c r="FJ1575"/>
  <c r="FK1575"/>
  <c r="FJ1573"/>
  <c r="FK1573"/>
  <c r="FJ1571"/>
  <c r="FK1571"/>
  <c r="FJ1569"/>
  <c r="FK1569"/>
  <c r="FJ1567"/>
  <c r="FK1567"/>
  <c r="FJ1565"/>
  <c r="FK1565"/>
  <c r="FJ1563"/>
  <c r="FK1563"/>
  <c r="FJ1561"/>
  <c r="FK1561"/>
  <c r="FJ1559"/>
  <c r="FK1559"/>
  <c r="FJ1557"/>
  <c r="FK1557"/>
  <c r="FJ1555"/>
  <c r="FK1555"/>
  <c r="FJ1553"/>
  <c r="FK1553"/>
  <c r="FJ1551"/>
  <c r="FK1551"/>
  <c r="FJ1549"/>
  <c r="FK1549"/>
  <c r="FJ1547"/>
  <c r="FK1547"/>
  <c r="FJ1545"/>
  <c r="FK1545"/>
  <c r="FJ1543"/>
  <c r="FK1543"/>
  <c r="FJ1541"/>
  <c r="FK1541"/>
  <c r="FJ1539"/>
  <c r="FK1539"/>
  <c r="FJ1537"/>
  <c r="FK1537"/>
  <c r="FJ1535"/>
  <c r="FK1535"/>
  <c r="FJ1533"/>
  <c r="FK1533"/>
  <c r="FJ1531"/>
  <c r="FK1531"/>
  <c r="FJ1529"/>
  <c r="FK1529"/>
  <c r="FJ1527"/>
  <c r="FK1527"/>
  <c r="FJ1525"/>
  <c r="FK1525"/>
  <c r="FJ1523"/>
  <c r="FK1523"/>
  <c r="FJ1521"/>
  <c r="FK1521"/>
  <c r="FJ1519"/>
  <c r="FK1519"/>
  <c r="FJ1517"/>
  <c r="FK1517"/>
  <c r="FJ1515"/>
  <c r="FK1515"/>
  <c r="FJ1513"/>
  <c r="FK1513"/>
  <c r="FJ1511"/>
  <c r="FK1511"/>
  <c r="FJ1509"/>
  <c r="FK1509"/>
  <c r="FJ1507"/>
  <c r="FK1507"/>
  <c r="FJ1505"/>
  <c r="FK1505"/>
  <c r="FJ1503"/>
  <c r="FK1503"/>
  <c r="FJ1501"/>
  <c r="FK1501"/>
  <c r="FJ1499"/>
  <c r="FK1499"/>
  <c r="FJ1497"/>
  <c r="FK1497"/>
  <c r="FJ1495"/>
  <c r="FK1495"/>
  <c r="FJ1493"/>
  <c r="FK1493"/>
  <c r="FJ1491"/>
  <c r="FK1491"/>
  <c r="FJ1489"/>
  <c r="FK1489"/>
  <c r="FJ1487"/>
  <c r="FK1487"/>
  <c r="FJ1485"/>
  <c r="FK1485"/>
  <c r="FJ1483"/>
  <c r="FK1483"/>
  <c r="FJ1481"/>
  <c r="FK1481"/>
  <c r="FJ1479"/>
  <c r="FK1479"/>
  <c r="FJ1477"/>
  <c r="FK1477"/>
  <c r="FJ1475"/>
  <c r="FK1475"/>
  <c r="FJ1473"/>
  <c r="FK1473"/>
  <c r="FJ1471"/>
  <c r="FK1471"/>
  <c r="FJ1469"/>
  <c r="FK1469"/>
  <c r="FJ1467"/>
  <c r="FK1467"/>
  <c r="FJ1465"/>
  <c r="FK1465"/>
  <c r="FJ1463"/>
  <c r="FK1463"/>
  <c r="FJ1461"/>
  <c r="FK1461"/>
  <c r="FJ1459"/>
  <c r="FK1459"/>
  <c r="FJ1457"/>
  <c r="FK1457"/>
  <c r="FJ1455"/>
  <c r="FK1455"/>
  <c r="FJ1453"/>
  <c r="FK1453"/>
  <c r="FJ2032"/>
  <c r="FK2032"/>
  <c r="FJ2030"/>
  <c r="FK2030"/>
  <c r="FJ2028"/>
  <c r="FK2028"/>
  <c r="FJ2026"/>
  <c r="FK2026"/>
  <c r="FJ2024"/>
  <c r="FK2024"/>
  <c r="FJ2022"/>
  <c r="FK2022"/>
  <c r="FJ2020"/>
  <c r="FK2020"/>
  <c r="FJ2018"/>
  <c r="FK2018"/>
  <c r="FJ2016"/>
  <c r="FK2016"/>
  <c r="FJ2014"/>
  <c r="FK2014"/>
  <c r="FJ2012"/>
  <c r="FK2012"/>
  <c r="FJ2010"/>
  <c r="FK2010"/>
  <c r="FJ2008"/>
  <c r="FK2008"/>
  <c r="FJ2006"/>
  <c r="FK2006"/>
  <c r="FJ2004"/>
  <c r="FK2004"/>
  <c r="FJ2002"/>
  <c r="FK2002"/>
  <c r="FJ2000"/>
  <c r="FK2000"/>
  <c r="FJ1998"/>
  <c r="FK1998"/>
  <c r="FJ1996"/>
  <c r="FK1996"/>
  <c r="FJ1994"/>
  <c r="FK1994"/>
  <c r="FJ1992"/>
  <c r="FK1992"/>
  <c r="FJ1990"/>
  <c r="FK1990"/>
  <c r="FJ1988"/>
  <c r="FK1988"/>
  <c r="FJ1986"/>
  <c r="FK1986"/>
  <c r="FJ1984"/>
  <c r="FK1984"/>
  <c r="FJ1982"/>
  <c r="FK1982"/>
  <c r="FJ1980"/>
  <c r="FK1980"/>
  <c r="FJ1978"/>
  <c r="FK1978"/>
  <c r="FJ1976"/>
  <c r="FK1976"/>
  <c r="FJ1974"/>
  <c r="FK1974"/>
  <c r="FJ1972"/>
  <c r="FK1972"/>
  <c r="FJ1970"/>
  <c r="FK1970"/>
  <c r="FJ1968"/>
  <c r="FK1968"/>
  <c r="FJ1966"/>
  <c r="FK1966"/>
  <c r="FJ1964"/>
  <c r="FK1964"/>
  <c r="FJ1962"/>
  <c r="FK1962"/>
  <c r="FJ1960"/>
  <c r="FK1960"/>
  <c r="FJ1958"/>
  <c r="FK1958"/>
  <c r="FJ1956"/>
  <c r="FK1956"/>
  <c r="FJ1954"/>
  <c r="FK1954"/>
  <c r="FJ1952"/>
  <c r="FK1952"/>
  <c r="FJ1950"/>
  <c r="FK1950"/>
  <c r="FJ1948"/>
  <c r="FK1948"/>
  <c r="FJ1946"/>
  <c r="FK1946"/>
  <c r="FJ1944"/>
  <c r="FK1944"/>
  <c r="FJ1942"/>
  <c r="FK1942"/>
  <c r="FJ1940"/>
  <c r="FK1940"/>
  <c r="FJ1938"/>
  <c r="FK1938"/>
  <c r="FJ1936"/>
  <c r="FK1936"/>
  <c r="FJ1934"/>
  <c r="FK1934"/>
  <c r="FJ1932"/>
  <c r="FK1932"/>
  <c r="FJ1930"/>
  <c r="FK1930"/>
  <c r="FJ1928"/>
  <c r="FK1928"/>
  <c r="FJ1926"/>
  <c r="FK1926"/>
  <c r="FJ1924"/>
  <c r="FK1924"/>
  <c r="FJ1922"/>
  <c r="FK1922"/>
  <c r="FJ1920"/>
  <c r="FK1920"/>
  <c r="FJ1918"/>
  <c r="FK1918"/>
  <c r="FJ1916"/>
  <c r="FK1916"/>
  <c r="FJ1914"/>
  <c r="FK1914"/>
  <c r="FJ1912"/>
  <c r="FK1912"/>
  <c r="FJ1910"/>
  <c r="FK1910"/>
  <c r="FJ1908"/>
  <c r="FK1908"/>
  <c r="FJ1906"/>
  <c r="FK1906"/>
  <c r="FJ1904"/>
  <c r="FK1904"/>
  <c r="FJ1902"/>
  <c r="FK1902"/>
  <c r="FJ1900"/>
  <c r="FK1900"/>
  <c r="FJ1898"/>
  <c r="FK1898"/>
  <c r="FJ1896"/>
  <c r="FK1896"/>
  <c r="FJ1894"/>
  <c r="FK1894"/>
  <c r="FJ1892"/>
  <c r="FK1892"/>
  <c r="FJ1890"/>
  <c r="FK1890"/>
  <c r="FJ1888"/>
  <c r="FK1888"/>
  <c r="FJ1886"/>
  <c r="FK1886"/>
  <c r="FJ1884"/>
  <c r="FK1884"/>
  <c r="FJ1882"/>
  <c r="FK1882"/>
  <c r="FJ1880"/>
  <c r="FK1880"/>
  <c r="FJ1878"/>
  <c r="FK1878"/>
  <c r="FJ1876"/>
  <c r="FK1876"/>
  <c r="FJ1874"/>
  <c r="FK1874"/>
  <c r="FJ1872"/>
  <c r="FK1872"/>
  <c r="FJ1870"/>
  <c r="FK1870"/>
  <c r="FJ1868"/>
  <c r="FK1868"/>
  <c r="FJ1866"/>
  <c r="FK1866"/>
  <c r="FJ1864"/>
  <c r="FK1864"/>
  <c r="FJ1862"/>
  <c r="FK1862"/>
  <c r="FJ1860"/>
  <c r="FK1860"/>
  <c r="FJ1858"/>
  <c r="FK1858"/>
  <c r="FJ1856"/>
  <c r="FK1856"/>
  <c r="FJ1854"/>
  <c r="FK1854"/>
  <c r="FJ1852"/>
  <c r="FK1852"/>
  <c r="FJ1850"/>
  <c r="FK1850"/>
  <c r="FJ1848"/>
  <c r="FK1848"/>
  <c r="FJ1846"/>
  <c r="FK1846"/>
  <c r="FJ1844"/>
  <c r="FK1844"/>
  <c r="FJ1842"/>
  <c r="FK1842"/>
  <c r="FJ1840"/>
  <c r="FK1840"/>
  <c r="FJ1838"/>
  <c r="FK1838"/>
  <c r="FJ1836"/>
  <c r="FK1836"/>
  <c r="FJ1834"/>
  <c r="FK1834"/>
  <c r="FJ1832"/>
  <c r="FK1832"/>
  <c r="FJ1830"/>
  <c r="FK1830"/>
  <c r="FJ1828"/>
  <c r="FK1828"/>
  <c r="FJ1826"/>
  <c r="FK1826"/>
  <c r="FJ1824"/>
  <c r="FK1824"/>
  <c r="FJ1822"/>
  <c r="FK1822"/>
  <c r="FJ1820"/>
  <c r="FK1820"/>
  <c r="FJ1818"/>
  <c r="FK1818"/>
  <c r="FJ1816"/>
  <c r="FK1816"/>
  <c r="FJ1814"/>
  <c r="FK1814"/>
  <c r="FJ1812"/>
  <c r="FK1812"/>
  <c r="FJ1810"/>
  <c r="FK1810"/>
  <c r="FJ1808"/>
  <c r="FK1808"/>
  <c r="FJ1806"/>
  <c r="FK1806"/>
  <c r="FJ1804"/>
  <c r="FK1804"/>
  <c r="FJ1802"/>
  <c r="FK1802"/>
  <c r="FJ1800"/>
  <c r="FK1800"/>
  <c r="FJ1798"/>
  <c r="FK1798"/>
  <c r="FJ1796"/>
  <c r="FK1796"/>
  <c r="FJ1794"/>
  <c r="FK1794"/>
  <c r="FJ1792"/>
  <c r="FK1792"/>
  <c r="FJ1790"/>
  <c r="FK1790"/>
  <c r="FJ1788"/>
  <c r="FK1788"/>
  <c r="FJ1786"/>
  <c r="FK1786"/>
  <c r="FJ1784"/>
  <c r="FK1784"/>
  <c r="FJ1782"/>
  <c r="FK1782"/>
  <c r="FJ1780"/>
  <c r="FK1780"/>
  <c r="FJ1778"/>
  <c r="FK1778"/>
  <c r="FJ1776"/>
  <c r="FK1776"/>
  <c r="FJ1774"/>
  <c r="FK1774"/>
  <c r="FJ1772"/>
  <c r="FK1772"/>
  <c r="FJ1770"/>
  <c r="FK1770"/>
  <c r="FJ1768"/>
  <c r="FK1768"/>
  <c r="FJ1766"/>
  <c r="FK1766"/>
  <c r="FJ1764"/>
  <c r="FK1764"/>
  <c r="FJ1762"/>
  <c r="FK1762"/>
  <c r="FJ1760"/>
  <c r="FK1760"/>
  <c r="FJ1758"/>
  <c r="FK1758"/>
  <c r="FJ1756"/>
  <c r="FK1756"/>
  <c r="FJ1754"/>
  <c r="FK1754"/>
  <c r="FJ1752"/>
  <c r="FK1752"/>
  <c r="FJ1750"/>
  <c r="FK1750"/>
  <c r="FJ1748"/>
  <c r="FK1748"/>
  <c r="FJ1746"/>
  <c r="FK1746"/>
  <c r="FJ1744"/>
  <c r="FK1744"/>
  <c r="FJ1742"/>
  <c r="FK1742"/>
  <c r="FJ1740"/>
  <c r="FK1740"/>
  <c r="FJ1738"/>
  <c r="FK1738"/>
  <c r="FJ1736"/>
  <c r="FK1736"/>
  <c r="FJ1734"/>
  <c r="FK1734"/>
  <c r="FJ1732"/>
  <c r="FK1732"/>
  <c r="FJ1730"/>
  <c r="FK1730"/>
  <c r="FJ1728"/>
  <c r="FK1728"/>
  <c r="FJ1726"/>
  <c r="FK1726"/>
  <c r="FJ1724"/>
  <c r="FK1724"/>
  <c r="FJ1722"/>
  <c r="FK1722"/>
  <c r="FJ1720"/>
  <c r="FK1720"/>
  <c r="FJ1718"/>
  <c r="FK1718"/>
  <c r="FJ1716"/>
  <c r="FK1716"/>
  <c r="FJ1714"/>
  <c r="FK1714"/>
  <c r="FJ1712"/>
  <c r="FK1712"/>
  <c r="FJ1710"/>
  <c r="FK1710"/>
  <c r="FJ1708"/>
  <c r="FK1708"/>
  <c r="FJ1706"/>
  <c r="FK1706"/>
  <c r="FJ1704"/>
  <c r="FK1704"/>
  <c r="FJ1702"/>
  <c r="FK1702"/>
  <c r="FJ1700"/>
  <c r="FK1700"/>
  <c r="FJ1698"/>
  <c r="FK1698"/>
  <c r="FJ1696"/>
  <c r="FK1696"/>
  <c r="FJ1694"/>
  <c r="FK1694"/>
  <c r="FJ1692"/>
  <c r="FK1692"/>
  <c r="FJ1690"/>
  <c r="FK1690"/>
  <c r="FJ1688"/>
  <c r="FK1688"/>
  <c r="FJ1686"/>
  <c r="FK1686"/>
  <c r="FJ1684"/>
  <c r="FK1684"/>
  <c r="FJ1682"/>
  <c r="FK1682"/>
  <c r="FJ1680"/>
  <c r="FK1680"/>
  <c r="FJ1678"/>
  <c r="FK1678"/>
  <c r="FJ1676"/>
  <c r="FK1676"/>
  <c r="FJ1674"/>
  <c r="FK1674"/>
  <c r="FJ1672"/>
  <c r="FK1672"/>
  <c r="FJ1670"/>
  <c r="FK1670"/>
  <c r="FJ1668"/>
  <c r="FK1668"/>
  <c r="FJ1666"/>
  <c r="FK1666"/>
  <c r="FJ1664"/>
  <c r="FK1664"/>
  <c r="FJ1662"/>
  <c r="FK1662"/>
  <c r="FJ1660"/>
  <c r="FK1660"/>
  <c r="FJ1658"/>
  <c r="FK1658"/>
  <c r="FJ1656"/>
  <c r="FK1656"/>
  <c r="FJ1654"/>
  <c r="FK1654"/>
  <c r="FJ1652"/>
  <c r="FK1652"/>
  <c r="FJ1650"/>
  <c r="FK1650"/>
  <c r="FJ1648"/>
  <c r="FK1648"/>
  <c r="FJ1646"/>
  <c r="FK1646"/>
  <c r="FJ1644"/>
  <c r="FK1644"/>
  <c r="FJ1642"/>
  <c r="FK1642"/>
  <c r="FJ1640"/>
  <c r="FK1640"/>
  <c r="FJ1638"/>
  <c r="FK1638"/>
  <c r="FJ1636"/>
  <c r="FK1636"/>
  <c r="FJ1634"/>
  <c r="FK1634"/>
  <c r="FJ1632"/>
  <c r="FK1632"/>
  <c r="FJ1630"/>
  <c r="FK1630"/>
  <c r="FJ1628"/>
  <c r="FK1628"/>
  <c r="FJ1626"/>
  <c r="FK1626"/>
  <c r="FJ1624"/>
  <c r="FK1624"/>
  <c r="FJ1622"/>
  <c r="FK1622"/>
  <c r="FJ1620"/>
  <c r="FK1620"/>
  <c r="FJ1618"/>
  <c r="FK1618"/>
  <c r="FJ1616"/>
  <c r="FK1616"/>
  <c r="FJ1614"/>
  <c r="FK1614"/>
  <c r="FJ1612"/>
  <c r="FK1612"/>
  <c r="FJ1610"/>
  <c r="FK1610"/>
  <c r="FJ1608"/>
  <c r="FK1608"/>
  <c r="FJ1606"/>
  <c r="FK1606"/>
  <c r="FJ1604"/>
  <c r="FK1604"/>
  <c r="FJ1602"/>
  <c r="FK1602"/>
  <c r="FJ1600"/>
  <c r="FK1600"/>
  <c r="FJ1598"/>
  <c r="FK1598"/>
  <c r="FJ1596"/>
  <c r="FK1596"/>
  <c r="FJ1594"/>
  <c r="FK1594"/>
  <c r="FJ1592"/>
  <c r="FK1592"/>
  <c r="FJ1590"/>
  <c r="FK1590"/>
  <c r="FJ1588"/>
  <c r="FK1588"/>
  <c r="FJ1586"/>
  <c r="FK1586"/>
  <c r="FJ1584"/>
  <c r="FK1584"/>
  <c r="FJ1582"/>
  <c r="FK1582"/>
  <c r="FJ1580"/>
  <c r="FK1580"/>
  <c r="FJ1578"/>
  <c r="FK1578"/>
  <c r="FJ1576"/>
  <c r="FK1576"/>
  <c r="FJ1574"/>
  <c r="FK1574"/>
  <c r="FJ1572"/>
  <c r="FK1572"/>
  <c r="FJ1570"/>
  <c r="FK1570"/>
  <c r="FJ1568"/>
  <c r="FK1568"/>
  <c r="FJ1566"/>
  <c r="FK1566"/>
  <c r="FJ1564"/>
  <c r="FK1564"/>
  <c r="FJ1562"/>
  <c r="FK1562"/>
  <c r="FJ1560"/>
  <c r="FK1560"/>
  <c r="FJ1558"/>
  <c r="FK1558"/>
  <c r="FJ1556"/>
  <c r="FK1556"/>
  <c r="FJ1554"/>
  <c r="FK1554"/>
  <c r="FJ1552"/>
  <c r="FK1552"/>
  <c r="FJ1550"/>
  <c r="FK1550"/>
  <c r="FJ1548"/>
  <c r="FK1548"/>
  <c r="FJ1546"/>
  <c r="FK1546"/>
  <c r="FJ1544"/>
  <c r="FK1544"/>
  <c r="FJ1542"/>
  <c r="FK1542"/>
  <c r="FJ1540"/>
  <c r="FK1540"/>
  <c r="FJ1538"/>
  <c r="FK1538"/>
  <c r="FJ1536"/>
  <c r="FK1536"/>
  <c r="FJ1534"/>
  <c r="FK1534"/>
  <c r="FJ1532"/>
  <c r="FK1532"/>
  <c r="FJ1530"/>
  <c r="FK1530"/>
  <c r="FJ1528"/>
  <c r="FK1528"/>
  <c r="FJ1526"/>
  <c r="FK1526"/>
  <c r="FJ1524"/>
  <c r="FK1524"/>
  <c r="FJ1522"/>
  <c r="FK1522"/>
  <c r="FJ1520"/>
  <c r="FK1520"/>
  <c r="FJ1518"/>
  <c r="FK1518"/>
  <c r="FJ1516"/>
  <c r="FK1516"/>
  <c r="FJ1514"/>
  <c r="FK1514"/>
  <c r="FJ1512"/>
  <c r="FK1512"/>
  <c r="FJ1510"/>
  <c r="FK1510"/>
  <c r="FJ1508"/>
  <c r="FK1508"/>
  <c r="FJ1506"/>
  <c r="FK1506"/>
  <c r="FJ1504"/>
  <c r="FK1504"/>
  <c r="FJ1502"/>
  <c r="FK1502"/>
  <c r="FJ1500"/>
  <c r="FK1500"/>
  <c r="FJ1498"/>
  <c r="FK1498"/>
  <c r="FJ1496"/>
  <c r="FK1496"/>
  <c r="FJ1494"/>
  <c r="FK1494"/>
  <c r="FJ1492"/>
  <c r="FK1492"/>
  <c r="FJ1490"/>
  <c r="FK1490"/>
  <c r="FJ1488"/>
  <c r="FK1488"/>
  <c r="FJ1486"/>
  <c r="FK1486"/>
  <c r="FJ1484"/>
  <c r="FK1484"/>
  <c r="FJ1482"/>
  <c r="FK1482"/>
  <c r="FJ1480"/>
  <c r="FK1480"/>
  <c r="FJ1478"/>
  <c r="FK1478"/>
  <c r="FJ1476"/>
  <c r="FK1476"/>
  <c r="FJ1474"/>
  <c r="FK1474"/>
  <c r="FJ1472"/>
  <c r="FK1472"/>
  <c r="FJ1470"/>
  <c r="FK1470"/>
  <c r="FJ1468"/>
  <c r="FK1468"/>
  <c r="FJ1466"/>
  <c r="FK1466"/>
  <c r="FJ1464"/>
  <c r="FK1464"/>
  <c r="FJ1462"/>
  <c r="FK1462"/>
  <c r="FJ1460"/>
  <c r="FK1460"/>
  <c r="FJ1458"/>
  <c r="FK1458"/>
  <c r="FJ1456"/>
  <c r="FK1456"/>
  <c r="FJ1454"/>
  <c r="FK1454"/>
  <c r="FJ1452"/>
  <c r="FK1452"/>
  <c r="FJ1450"/>
  <c r="FK1450"/>
  <c r="FJ1448"/>
  <c r="FK1448"/>
  <c r="FJ1446"/>
  <c r="FK1446"/>
  <c r="FJ1444"/>
  <c r="FK1444"/>
  <c r="FJ1442"/>
  <c r="FK1442"/>
  <c r="FJ1440"/>
  <c r="FK1440"/>
  <c r="FJ1438"/>
  <c r="FK1438"/>
  <c r="FJ1436"/>
  <c r="FK1436"/>
  <c r="FJ1434"/>
  <c r="FK1434"/>
  <c r="FJ1432"/>
  <c r="FK1432"/>
  <c r="FJ1430"/>
  <c r="FK1430"/>
  <c r="FJ1428"/>
  <c r="FK1428"/>
  <c r="FJ1426"/>
  <c r="FK1426"/>
  <c r="FJ1424"/>
  <c r="FK1424"/>
  <c r="FJ1422"/>
  <c r="FK1422"/>
  <c r="FJ1420"/>
  <c r="FK1420"/>
  <c r="FJ1418"/>
  <c r="FK1418"/>
  <c r="FJ1416"/>
  <c r="FK1416"/>
  <c r="FJ1414"/>
  <c r="FK1414"/>
  <c r="FJ1412"/>
  <c r="FK1412"/>
  <c r="FJ1410"/>
  <c r="FK1410"/>
  <c r="FJ1408"/>
  <c r="FK1408"/>
  <c r="FJ1406"/>
  <c r="FK1406"/>
  <c r="FJ1404"/>
  <c r="FK1404"/>
  <c r="FJ1402"/>
  <c r="FK1402"/>
  <c r="FJ1400"/>
  <c r="FK1400"/>
  <c r="FJ1398"/>
  <c r="FK1398"/>
  <c r="FJ1396"/>
  <c r="FK1396"/>
  <c r="FJ1394"/>
  <c r="FK1394"/>
  <c r="FJ1392"/>
  <c r="FK1392"/>
  <c r="FJ1390"/>
  <c r="FK1390"/>
  <c r="FJ1388"/>
  <c r="FK1388"/>
  <c r="FJ1386"/>
  <c r="FK1386"/>
  <c r="FJ1384"/>
  <c r="FK1384"/>
  <c r="FJ1382"/>
  <c r="FK1382"/>
  <c r="FJ1380"/>
  <c r="FK1380"/>
  <c r="FJ1378"/>
  <c r="FK1378"/>
  <c r="FJ1376"/>
  <c r="FK1376"/>
  <c r="FJ1374"/>
  <c r="FK1374"/>
  <c r="FJ1372"/>
  <c r="FK1372"/>
  <c r="FJ1370"/>
  <c r="FK1370"/>
  <c r="FJ1368"/>
  <c r="FK1368"/>
  <c r="FJ1366"/>
  <c r="FK1366"/>
  <c r="FJ1364"/>
  <c r="FK1364"/>
  <c r="FJ1362"/>
  <c r="FK1362"/>
  <c r="FJ1360"/>
  <c r="FK1360"/>
  <c r="FJ1358"/>
  <c r="FK1358"/>
  <c r="FJ1356"/>
  <c r="FK1356"/>
  <c r="FJ1354"/>
  <c r="FK1354"/>
  <c r="FJ1352"/>
  <c r="FK1352"/>
  <c r="FJ1350"/>
  <c r="FK1350"/>
  <c r="FJ1348"/>
  <c r="FK1348"/>
  <c r="FJ1346"/>
  <c r="FK1346"/>
  <c r="FJ1344"/>
  <c r="FK1344"/>
  <c r="FJ1342"/>
  <c r="FK1342"/>
  <c r="FJ1340"/>
  <c r="FK1340"/>
  <c r="FJ1338"/>
  <c r="FK1338"/>
  <c r="FJ1336"/>
  <c r="FK1336"/>
  <c r="FJ1334"/>
  <c r="FK1334"/>
  <c r="FJ1332"/>
  <c r="FK1332"/>
  <c r="FJ1330"/>
  <c r="FK1330"/>
  <c r="FJ1328"/>
  <c r="FK1328"/>
  <c r="FJ1326"/>
  <c r="FK1326"/>
  <c r="FJ1324"/>
  <c r="FK1324"/>
  <c r="FJ1322"/>
  <c r="FK1322"/>
  <c r="FJ1320"/>
  <c r="FK1320"/>
  <c r="FJ1318"/>
  <c r="FK1318"/>
  <c r="FJ1316"/>
  <c r="FK1316"/>
  <c r="FJ1314"/>
  <c r="FK1314"/>
  <c r="FJ1312"/>
  <c r="FK1312"/>
  <c r="FJ1310"/>
  <c r="FK1310"/>
  <c r="FJ1308"/>
  <c r="FK1308"/>
  <c r="FJ1306"/>
  <c r="FK1306"/>
  <c r="FJ1304"/>
  <c r="FK1304"/>
  <c r="FJ1302"/>
  <c r="FK1302"/>
  <c r="FJ1300"/>
  <c r="FK1300"/>
  <c r="FJ1298"/>
  <c r="FK1298"/>
  <c r="FJ1296"/>
  <c r="FK1296"/>
  <c r="FJ1294"/>
  <c r="FK1294"/>
  <c r="FJ1292"/>
  <c r="FK1292"/>
  <c r="FJ1290"/>
  <c r="FK1290"/>
  <c r="FJ1288"/>
  <c r="FK1288"/>
  <c r="FJ1286"/>
  <c r="FK1286"/>
  <c r="FJ1284"/>
  <c r="FK1284"/>
  <c r="FJ1282"/>
  <c r="FK1282"/>
  <c r="FJ1280"/>
  <c r="FK1280"/>
  <c r="FJ1278"/>
  <c r="FK1278"/>
  <c r="FJ1276"/>
  <c r="FK1276"/>
  <c r="FJ1274"/>
  <c r="FK1274"/>
  <c r="FJ1272"/>
  <c r="FK1272"/>
  <c r="FJ1270"/>
  <c r="FK1270"/>
  <c r="FJ1268"/>
  <c r="FK1268"/>
  <c r="FJ1266"/>
  <c r="FK1266"/>
  <c r="FJ1264"/>
  <c r="FK1264"/>
  <c r="FJ1262"/>
  <c r="FK1262"/>
  <c r="FJ1260"/>
  <c r="FK1260"/>
  <c r="FJ1258"/>
  <c r="FK1258"/>
  <c r="FJ1256"/>
  <c r="FK1256"/>
  <c r="FJ1254"/>
  <c r="FK1254"/>
  <c r="FJ1252"/>
  <c r="FK1252"/>
  <c r="FJ1250"/>
  <c r="FK1250"/>
  <c r="FJ1248"/>
  <c r="FK1248"/>
  <c r="FJ1246"/>
  <c r="FK1246"/>
  <c r="FJ1244"/>
  <c r="FK1244"/>
  <c r="FJ1242"/>
  <c r="FK1242"/>
  <c r="FJ1240"/>
  <c r="FK1240"/>
  <c r="FJ1238"/>
  <c r="FK1238"/>
  <c r="FJ1236"/>
  <c r="FK1236"/>
  <c r="FJ1234"/>
  <c r="FK1234"/>
  <c r="FJ1232"/>
  <c r="FK1232"/>
  <c r="FJ1230"/>
  <c r="FK1230"/>
  <c r="FJ1228"/>
  <c r="FK1228"/>
  <c r="FJ1226"/>
  <c r="FK1226"/>
  <c r="FJ1224"/>
  <c r="FK1224"/>
  <c r="FJ1222"/>
  <c r="FK1222"/>
  <c r="FJ1220"/>
  <c r="FK1220"/>
  <c r="FJ1218"/>
  <c r="FK1218"/>
  <c r="FJ1216"/>
  <c r="FK1216"/>
  <c r="FJ1214"/>
  <c r="FK1214"/>
  <c r="FJ1212"/>
  <c r="FK1212"/>
  <c r="FJ1210"/>
  <c r="FK1210"/>
  <c r="FJ1208"/>
  <c r="FK1208"/>
  <c r="FJ1206"/>
  <c r="FK1206"/>
  <c r="FJ1204"/>
  <c r="FK1204"/>
  <c r="FJ1202"/>
  <c r="FK1202"/>
  <c r="FJ1200"/>
  <c r="FK1200"/>
  <c r="FJ1198"/>
  <c r="FK1198"/>
  <c r="FJ1196"/>
  <c r="FK1196"/>
  <c r="FJ1194"/>
  <c r="FK1194"/>
  <c r="FJ1192"/>
  <c r="FK1192"/>
  <c r="FJ1190"/>
  <c r="FK1190"/>
  <c r="FJ1188"/>
  <c r="FK1188"/>
  <c r="FJ1186"/>
  <c r="FK1186"/>
  <c r="FJ1184"/>
  <c r="FK1184"/>
  <c r="FJ1182"/>
  <c r="FK1182"/>
  <c r="FJ1180"/>
  <c r="FK1180"/>
  <c r="FJ1178"/>
  <c r="FK1178"/>
  <c r="FJ1176"/>
  <c r="FK1176"/>
  <c r="FJ1174"/>
  <c r="FK1174"/>
  <c r="FJ1172"/>
  <c r="FK1172"/>
  <c r="FJ1170"/>
  <c r="FK1170"/>
  <c r="FJ1168"/>
  <c r="FK1168"/>
  <c r="FJ1166"/>
  <c r="FK1166"/>
  <c r="FJ1164"/>
  <c r="FK1164"/>
  <c r="FJ1162"/>
  <c r="FK1162"/>
  <c r="FJ1160"/>
  <c r="FK1160"/>
  <c r="FJ1158"/>
  <c r="FK1158"/>
  <c r="FJ1156"/>
  <c r="FK1156"/>
  <c r="FJ1154"/>
  <c r="FK1154"/>
  <c r="FJ1152"/>
  <c r="FK1152"/>
  <c r="FJ1150"/>
  <c r="FK1150"/>
  <c r="FJ1148"/>
  <c r="FK1148"/>
  <c r="FJ1146"/>
  <c r="FK1146"/>
  <c r="FJ1144"/>
  <c r="FK1144"/>
  <c r="FJ1142"/>
  <c r="FK1142"/>
  <c r="FJ1140"/>
  <c r="FK1140"/>
  <c r="FJ1138"/>
  <c r="FK1138"/>
  <c r="FJ1136"/>
  <c r="FK1136"/>
  <c r="FJ1134"/>
  <c r="FK1134"/>
  <c r="FJ1132"/>
  <c r="FK1132"/>
  <c r="FJ1130"/>
  <c r="FK1130"/>
  <c r="FJ1128"/>
  <c r="FK1128"/>
  <c r="FJ1126"/>
  <c r="FK1126"/>
  <c r="FJ1124"/>
  <c r="FK1124"/>
  <c r="FJ1122"/>
  <c r="FK1122"/>
  <c r="FJ1120"/>
  <c r="FK1120"/>
  <c r="FJ1118"/>
  <c r="FK1118"/>
  <c r="FJ1116"/>
  <c r="FK1116"/>
  <c r="FJ1114"/>
  <c r="FK1114"/>
  <c r="FJ1112"/>
  <c r="FK1112"/>
  <c r="FJ1110"/>
  <c r="FK1110"/>
  <c r="FJ1108"/>
  <c r="FK1108"/>
  <c r="FJ1106"/>
  <c r="FK1106"/>
  <c r="FJ1104"/>
  <c r="FK1104"/>
  <c r="FJ1102"/>
  <c r="FK1102"/>
  <c r="FJ1100"/>
  <c r="FK1100"/>
  <c r="FJ1098"/>
  <c r="FK1098"/>
  <c r="FJ1096"/>
  <c r="FK1096"/>
  <c r="FJ1094"/>
  <c r="FK1094"/>
  <c r="FJ1092"/>
  <c r="FK1092"/>
  <c r="FJ1090"/>
  <c r="FK1090"/>
  <c r="FJ1088"/>
  <c r="FK1088"/>
  <c r="FJ1086"/>
  <c r="FK1086"/>
  <c r="FJ1084"/>
  <c r="FK1084"/>
  <c r="FJ1082"/>
  <c r="FK1082"/>
  <c r="FJ1080"/>
  <c r="FK1080"/>
  <c r="FJ1078"/>
  <c r="FK1078"/>
  <c r="FJ1076"/>
  <c r="FK1076"/>
  <c r="FJ1074"/>
  <c r="FK1074"/>
  <c r="FJ1072"/>
  <c r="FK1072"/>
  <c r="FJ1070"/>
  <c r="FK1070"/>
  <c r="FJ1068"/>
  <c r="FK1068"/>
  <c r="FJ1066"/>
  <c r="FK1066"/>
  <c r="FJ1064"/>
  <c r="FK1064"/>
  <c r="FJ1062"/>
  <c r="FK1062"/>
  <c r="FJ1060"/>
  <c r="FK1060"/>
  <c r="FJ1058"/>
  <c r="FK1058"/>
  <c r="FJ1056"/>
  <c r="FK1056"/>
  <c r="FJ1054"/>
  <c r="FK1054"/>
  <c r="FJ1052"/>
  <c r="FK1052"/>
  <c r="FJ1050"/>
  <c r="FK1050"/>
  <c r="FJ1048"/>
  <c r="FK1048"/>
  <c r="FJ1046"/>
  <c r="FK1046"/>
  <c r="FJ1044"/>
  <c r="FK1044"/>
  <c r="FJ1042"/>
  <c r="FK1042"/>
  <c r="FJ1040"/>
  <c r="FK1040"/>
  <c r="FJ1038"/>
  <c r="FK1038"/>
  <c r="FJ1036"/>
  <c r="FK1036"/>
  <c r="FJ1034"/>
  <c r="FK1034"/>
  <c r="FJ1032"/>
  <c r="FK1032"/>
  <c r="FJ1030"/>
  <c r="FK1030"/>
  <c r="FJ1028"/>
  <c r="FK1028"/>
  <c r="FJ1026"/>
  <c r="FK1026"/>
  <c r="FJ1024"/>
  <c r="FK1024"/>
  <c r="FJ1022"/>
  <c r="FK1022"/>
  <c r="FJ1020"/>
  <c r="FK1020"/>
  <c r="FJ1018"/>
  <c r="FK1018"/>
  <c r="FJ1016"/>
  <c r="FK1016"/>
  <c r="FJ1014"/>
  <c r="FK1014"/>
  <c r="FJ1012"/>
  <c r="FK1012"/>
  <c r="FJ1010"/>
  <c r="FK1010"/>
  <c r="FJ1451"/>
  <c r="FK1451"/>
  <c r="FJ1449"/>
  <c r="FK1449"/>
  <c r="FJ1447"/>
  <c r="FK1447"/>
  <c r="FJ1445"/>
  <c r="FK1445"/>
  <c r="FJ1443"/>
  <c r="FK1443"/>
  <c r="FJ1441"/>
  <c r="FK1441"/>
  <c r="FJ1439"/>
  <c r="FK1439"/>
  <c r="FJ1437"/>
  <c r="FK1437"/>
  <c r="FJ1435"/>
  <c r="FK1435"/>
  <c r="FJ1433"/>
  <c r="FK1433"/>
  <c r="FJ1431"/>
  <c r="FK1431"/>
  <c r="FJ1429"/>
  <c r="FK1429"/>
  <c r="FJ1427"/>
  <c r="FK1427"/>
  <c r="FJ1425"/>
  <c r="FK1425"/>
  <c r="FJ1423"/>
  <c r="FK1423"/>
  <c r="FJ1421"/>
  <c r="FK1421"/>
  <c r="FJ1419"/>
  <c r="FK1419"/>
  <c r="FJ1417"/>
  <c r="FK1417"/>
  <c r="FJ1415"/>
  <c r="FK1415"/>
  <c r="FJ1413"/>
  <c r="FK1413"/>
  <c r="FJ1411"/>
  <c r="FK1411"/>
  <c r="FJ1409"/>
  <c r="FK1409"/>
  <c r="FJ1407"/>
  <c r="FK1407"/>
  <c r="FJ1405"/>
  <c r="FK1405"/>
  <c r="FJ1403"/>
  <c r="FK1403"/>
  <c r="FJ1401"/>
  <c r="FK1401"/>
  <c r="FJ1399"/>
  <c r="FK1399"/>
  <c r="FJ1397"/>
  <c r="FK1397"/>
  <c r="FJ1395"/>
  <c r="FK1395"/>
  <c r="FJ1393"/>
  <c r="FK1393"/>
  <c r="FJ1391"/>
  <c r="FK1391"/>
  <c r="FJ1389"/>
  <c r="FK1389"/>
  <c r="FJ1387"/>
  <c r="FK1387"/>
  <c r="FJ1385"/>
  <c r="FK1385"/>
  <c r="FJ1383"/>
  <c r="FK1383"/>
  <c r="FJ1381"/>
  <c r="FK1381"/>
  <c r="FJ1379"/>
  <c r="FK1379"/>
  <c r="FJ1377"/>
  <c r="FK1377"/>
  <c r="FJ1375"/>
  <c r="FK1375"/>
  <c r="FJ1373"/>
  <c r="FK1373"/>
  <c r="FJ1371"/>
  <c r="FK1371"/>
  <c r="FJ1369"/>
  <c r="FK1369"/>
  <c r="FJ1367"/>
  <c r="FK1367"/>
  <c r="FJ1365"/>
  <c r="FK1365"/>
  <c r="FJ1363"/>
  <c r="FK1363"/>
  <c r="FJ1361"/>
  <c r="FK1361"/>
  <c r="FJ1359"/>
  <c r="FK1359"/>
  <c r="FJ1357"/>
  <c r="FK1357"/>
  <c r="FJ1355"/>
  <c r="FK1355"/>
  <c r="FJ1353"/>
  <c r="FK1353"/>
  <c r="FJ1351"/>
  <c r="FK1351"/>
  <c r="FJ1349"/>
  <c r="FK1349"/>
  <c r="FJ1347"/>
  <c r="FK1347"/>
  <c r="FJ1345"/>
  <c r="FK1345"/>
  <c r="FJ1343"/>
  <c r="FK1343"/>
  <c r="FJ1341"/>
  <c r="FK1341"/>
  <c r="FJ1339"/>
  <c r="FK1339"/>
  <c r="FJ1337"/>
  <c r="FK1337"/>
  <c r="FJ1335"/>
  <c r="FK1335"/>
  <c r="FJ1333"/>
  <c r="FK1333"/>
  <c r="FJ1331"/>
  <c r="FK1331"/>
  <c r="FJ1329"/>
  <c r="FK1329"/>
  <c r="FJ1327"/>
  <c r="FK1327"/>
  <c r="FJ1325"/>
  <c r="FK1325"/>
  <c r="FJ1323"/>
  <c r="FK1323"/>
  <c r="FJ1321"/>
  <c r="FK1321"/>
  <c r="FJ1319"/>
  <c r="FK1319"/>
  <c r="FJ1317"/>
  <c r="FK1317"/>
  <c r="FJ1315"/>
  <c r="FK1315"/>
  <c r="FJ1313"/>
  <c r="FK1313"/>
  <c r="FJ1311"/>
  <c r="FK1311"/>
  <c r="FJ1309"/>
  <c r="FK1309"/>
  <c r="FJ1307"/>
  <c r="FK1307"/>
  <c r="FJ1305"/>
  <c r="FK1305"/>
  <c r="FJ1303"/>
  <c r="FK1303"/>
  <c r="FJ1301"/>
  <c r="FK1301"/>
  <c r="FJ1299"/>
  <c r="FK1299"/>
  <c r="FJ1297"/>
  <c r="FK1297"/>
  <c r="FJ1295"/>
  <c r="FK1295"/>
  <c r="FJ1293"/>
  <c r="FK1293"/>
  <c r="FJ1291"/>
  <c r="FK1291"/>
  <c r="FJ1289"/>
  <c r="FK1289"/>
  <c r="FJ1287"/>
  <c r="FK1287"/>
  <c r="FJ1285"/>
  <c r="FK1285"/>
  <c r="FJ1283"/>
  <c r="FK1283"/>
  <c r="FJ1281"/>
  <c r="FK1281"/>
  <c r="FJ1279"/>
  <c r="FK1279"/>
  <c r="FJ1277"/>
  <c r="FK1277"/>
  <c r="FJ1275"/>
  <c r="FK1275"/>
  <c r="FJ1273"/>
  <c r="FK1273"/>
  <c r="FJ1271"/>
  <c r="FK1271"/>
  <c r="FJ1269"/>
  <c r="FK1269"/>
  <c r="FJ1267"/>
  <c r="FK1267"/>
  <c r="FJ1265"/>
  <c r="FK1265"/>
  <c r="FJ1263"/>
  <c r="FK1263"/>
  <c r="FJ1261"/>
  <c r="FK1261"/>
  <c r="FJ1259"/>
  <c r="FK1259"/>
  <c r="FJ1257"/>
  <c r="FK1257"/>
  <c r="FJ1255"/>
  <c r="FK1255"/>
  <c r="FJ1253"/>
  <c r="FK1253"/>
  <c r="FJ1251"/>
  <c r="FK1251"/>
  <c r="FJ1249"/>
  <c r="FK1249"/>
  <c r="FJ1247"/>
  <c r="FK1247"/>
  <c r="FJ1245"/>
  <c r="FK1245"/>
  <c r="FJ1243"/>
  <c r="FK1243"/>
  <c r="FJ1241"/>
  <c r="FK1241"/>
  <c r="FJ1239"/>
  <c r="FK1239"/>
  <c r="FJ1237"/>
  <c r="FK1237"/>
  <c r="FJ1235"/>
  <c r="FK1235"/>
  <c r="FJ1233"/>
  <c r="FK1233"/>
  <c r="FJ1231"/>
  <c r="FK1231"/>
  <c r="FJ1229"/>
  <c r="FK1229"/>
  <c r="FJ1227"/>
  <c r="FK1227"/>
  <c r="FJ1225"/>
  <c r="FK1225"/>
  <c r="FJ1223"/>
  <c r="FK1223"/>
  <c r="FJ1221"/>
  <c r="FK1221"/>
  <c r="FJ1219"/>
  <c r="FK1219"/>
  <c r="FJ1217"/>
  <c r="FK1217"/>
  <c r="FJ1215"/>
  <c r="FK1215"/>
  <c r="FJ1213"/>
  <c r="FK1213"/>
  <c r="FJ1211"/>
  <c r="FK1211"/>
  <c r="FJ1209"/>
  <c r="FK1209"/>
  <c r="FJ1207"/>
  <c r="FK1207"/>
  <c r="FJ1205"/>
  <c r="FK1205"/>
  <c r="FJ1203"/>
  <c r="FK1203"/>
  <c r="FJ1201"/>
  <c r="FK1201"/>
  <c r="FJ1199"/>
  <c r="FK1199"/>
  <c r="FJ1197"/>
  <c r="FK1197"/>
  <c r="FJ1195"/>
  <c r="FK1195"/>
  <c r="FJ1193"/>
  <c r="FK1193"/>
  <c r="FJ1191"/>
  <c r="FK1191"/>
  <c r="FJ1189"/>
  <c r="FK1189"/>
  <c r="FJ1187"/>
  <c r="FK1187"/>
  <c r="FJ1185"/>
  <c r="FK1185"/>
  <c r="FJ1183"/>
  <c r="FK1183"/>
  <c r="FJ1181"/>
  <c r="FK1181"/>
  <c r="FJ1179"/>
  <c r="FK1179"/>
  <c r="FJ1177"/>
  <c r="FK1177"/>
  <c r="FJ1175"/>
  <c r="FK1175"/>
  <c r="FJ1173"/>
  <c r="FK1173"/>
  <c r="FJ1171"/>
  <c r="FK1171"/>
  <c r="FJ1169"/>
  <c r="FK1169"/>
  <c r="FJ1167"/>
  <c r="FK1167"/>
  <c r="FJ1165"/>
  <c r="FK1165"/>
  <c r="FJ1163"/>
  <c r="FK1163"/>
  <c r="FJ1161"/>
  <c r="FK1161"/>
  <c r="FJ1159"/>
  <c r="FK1159"/>
  <c r="FJ1157"/>
  <c r="FK1157"/>
  <c r="FJ1155"/>
  <c r="FK1155"/>
  <c r="FJ1153"/>
  <c r="FK1153"/>
  <c r="FJ1151"/>
  <c r="FK1151"/>
  <c r="FJ1149"/>
  <c r="FK1149"/>
  <c r="FJ1147"/>
  <c r="FK1147"/>
  <c r="FJ1145"/>
  <c r="FK1145"/>
  <c r="FJ1143"/>
  <c r="FK1143"/>
  <c r="FJ1141"/>
  <c r="FK1141"/>
  <c r="FJ1139"/>
  <c r="FK1139"/>
  <c r="FJ1137"/>
  <c r="FK1137"/>
  <c r="FJ1135"/>
  <c r="FK1135"/>
  <c r="FJ1133"/>
  <c r="FK1133"/>
  <c r="FJ1131"/>
  <c r="FK1131"/>
  <c r="FJ1129"/>
  <c r="FK1129"/>
  <c r="FJ1127"/>
  <c r="FK1127"/>
  <c r="FJ1125"/>
  <c r="FK1125"/>
  <c r="FJ1123"/>
  <c r="FK1123"/>
  <c r="FJ1121"/>
  <c r="FK1121"/>
  <c r="FJ1119"/>
  <c r="FK1119"/>
  <c r="FJ1117"/>
  <c r="FK1117"/>
  <c r="FJ1115"/>
  <c r="FK1115"/>
  <c r="FJ1113"/>
  <c r="FK1113"/>
  <c r="FJ1111"/>
  <c r="FK1111"/>
  <c r="FJ1109"/>
  <c r="FK1109"/>
  <c r="FJ1107"/>
  <c r="FK1107"/>
  <c r="FJ1105"/>
  <c r="FK1105"/>
  <c r="FJ1103"/>
  <c r="FK1103"/>
  <c r="FJ1101"/>
  <c r="FK1101"/>
  <c r="FJ1099"/>
  <c r="FK1099"/>
  <c r="FJ1097"/>
  <c r="FK1097"/>
  <c r="FJ1095"/>
  <c r="FK1095"/>
  <c r="FJ1093"/>
  <c r="FK1093"/>
  <c r="FJ1091"/>
  <c r="FK1091"/>
  <c r="FJ1089"/>
  <c r="FK1089"/>
  <c r="FJ1087"/>
  <c r="FK1087"/>
  <c r="FJ1085"/>
  <c r="FK1085"/>
  <c r="FJ1083"/>
  <c r="FK1083"/>
  <c r="FJ1081"/>
  <c r="FK1081"/>
  <c r="FJ1079"/>
  <c r="FK1079"/>
  <c r="FJ1077"/>
  <c r="FK1077"/>
  <c r="FJ1075"/>
  <c r="FK1075"/>
  <c r="FJ1073"/>
  <c r="FK1073"/>
  <c r="FJ1071"/>
  <c r="FK1071"/>
  <c r="FJ1069"/>
  <c r="FK1069"/>
  <c r="FJ1067"/>
  <c r="FK1067"/>
  <c r="FJ1065"/>
  <c r="FK1065"/>
  <c r="FJ1063"/>
  <c r="FK1063"/>
  <c r="FJ1061"/>
  <c r="FK1061"/>
  <c r="FJ1059"/>
  <c r="FK1059"/>
  <c r="FJ1057"/>
  <c r="FK1057"/>
  <c r="FJ1055"/>
  <c r="FK1055"/>
  <c r="FJ1053"/>
  <c r="FK1053"/>
  <c r="FJ1051"/>
  <c r="FK1051"/>
  <c r="FJ1049"/>
  <c r="FK1049"/>
  <c r="FJ1047"/>
  <c r="FK1047"/>
  <c r="FJ1045"/>
  <c r="FK1045"/>
  <c r="FJ1043"/>
  <c r="FK1043"/>
  <c r="FJ1041"/>
  <c r="FK1041"/>
  <c r="FJ1039"/>
  <c r="FK1039"/>
  <c r="FJ1037"/>
  <c r="FK1037"/>
  <c r="FJ1035"/>
  <c r="FK1035"/>
  <c r="FJ1033"/>
  <c r="FK1033"/>
  <c r="FJ1031"/>
  <c r="FK1031"/>
  <c r="FJ1029"/>
  <c r="FK1029"/>
  <c r="FJ1027"/>
  <c r="FK1027"/>
  <c r="FJ1025"/>
  <c r="FK1025"/>
  <c r="FJ1023"/>
  <c r="FK1023"/>
  <c r="FJ1021"/>
  <c r="FK1021"/>
  <c r="FJ1019"/>
  <c r="FK1019"/>
  <c r="FJ1017"/>
  <c r="FK1017"/>
  <c r="FJ1015"/>
  <c r="FK1015"/>
  <c r="FJ1013"/>
  <c r="FK1013"/>
  <c r="FJ1011"/>
  <c r="FK1011"/>
  <c r="FJ1009"/>
  <c r="FK1009"/>
  <c r="FK109"/>
  <c r="FK107"/>
  <c r="FK105"/>
  <c r="FK103"/>
  <c r="FK101"/>
  <c r="FK99"/>
  <c r="FK97"/>
  <c r="FK95"/>
  <c r="FK93"/>
  <c r="FK91"/>
  <c r="FK89"/>
  <c r="FK87"/>
  <c r="FK85"/>
  <c r="FK83"/>
  <c r="FK81"/>
  <c r="FK79"/>
  <c r="FK77"/>
  <c r="FK75"/>
  <c r="FK73"/>
  <c r="FK71"/>
  <c r="FK69"/>
  <c r="FK67"/>
  <c r="FK65"/>
  <c r="FK63"/>
  <c r="FK61"/>
  <c r="FK59"/>
  <c r="FK57"/>
  <c r="FK55"/>
  <c r="FK53"/>
  <c r="FK51"/>
  <c r="FK49"/>
  <c r="FK47"/>
  <c r="FK45"/>
  <c r="FK43"/>
  <c r="FK41"/>
  <c r="FK39"/>
  <c r="FK37"/>
  <c r="FK35"/>
  <c r="FK33"/>
  <c r="FJ109"/>
  <c r="FJ107"/>
  <c r="FJ105"/>
  <c r="FJ103"/>
  <c r="FJ101"/>
  <c r="FJ99"/>
  <c r="FJ97"/>
  <c r="FJ95"/>
  <c r="FJ93"/>
  <c r="FJ91"/>
  <c r="FJ89"/>
  <c r="FJ87"/>
  <c r="FJ85"/>
  <c r="FJ83"/>
  <c r="FJ81"/>
  <c r="FJ79"/>
  <c r="FJ77"/>
  <c r="FJ75"/>
  <c r="FJ73"/>
  <c r="FJ71"/>
  <c r="FJ69"/>
  <c r="FJ67"/>
  <c r="FJ65"/>
  <c r="FJ63"/>
  <c r="FJ61"/>
  <c r="FJ59"/>
  <c r="FJ57"/>
  <c r="FJ55"/>
  <c r="FJ53"/>
  <c r="FJ51"/>
  <c r="FJ49"/>
  <c r="FJ47"/>
  <c r="FJ45"/>
  <c r="FJ43"/>
  <c r="FJ41"/>
  <c r="FJ39"/>
  <c r="FJ37"/>
  <c r="FJ35"/>
  <c r="FJ33"/>
  <c r="FK108"/>
  <c r="FK106"/>
  <c r="FK104"/>
  <c r="FK102"/>
  <c r="FK100"/>
  <c r="FK98"/>
  <c r="FK96"/>
  <c r="FK94"/>
  <c r="FK92"/>
  <c r="FK90"/>
  <c r="FK88"/>
  <c r="FK86"/>
  <c r="FK84"/>
  <c r="FK82"/>
  <c r="FK80"/>
  <c r="FK78"/>
  <c r="FK76"/>
  <c r="FK74"/>
  <c r="FK72"/>
  <c r="FK70"/>
  <c r="FK68"/>
  <c r="FK66"/>
  <c r="FK64"/>
  <c r="FK62"/>
  <c r="FK60"/>
  <c r="FK58"/>
  <c r="FK56"/>
  <c r="FK54"/>
  <c r="FK52"/>
  <c r="FK50"/>
  <c r="FK48"/>
  <c r="FK46"/>
  <c r="FK44"/>
  <c r="FK42"/>
  <c r="FK40"/>
  <c r="FK38"/>
  <c r="FK36"/>
  <c r="FK34"/>
  <c r="FJ108"/>
  <c r="FJ106"/>
  <c r="FJ104"/>
  <c r="FJ102"/>
  <c r="FJ100"/>
  <c r="FJ98"/>
  <c r="FJ96"/>
  <c r="FJ94"/>
  <c r="FJ92"/>
  <c r="FJ90"/>
  <c r="FJ88"/>
  <c r="FJ86"/>
  <c r="FJ84"/>
  <c r="FJ82"/>
  <c r="FJ80"/>
  <c r="FJ78"/>
  <c r="FJ76"/>
  <c r="FJ74"/>
  <c r="FJ72"/>
  <c r="FJ70"/>
  <c r="FJ68"/>
  <c r="FJ66"/>
  <c r="FJ64"/>
  <c r="FJ62"/>
  <c r="FJ60"/>
  <c r="FJ58"/>
  <c r="FJ56"/>
  <c r="FJ54"/>
  <c r="FJ52"/>
  <c r="FJ50"/>
  <c r="FJ48"/>
  <c r="FJ46"/>
  <c r="FJ44"/>
  <c r="FJ42"/>
  <c r="FJ40"/>
  <c r="FJ38"/>
  <c r="FJ36"/>
  <c r="FJ34"/>
  <c r="K10"/>
  <c r="K8"/>
  <c r="K14"/>
  <c r="K12"/>
  <c r="K19"/>
  <c r="K7"/>
  <c r="K11"/>
  <c r="K9"/>
  <c r="K20"/>
  <c r="K15"/>
  <c r="K17"/>
  <c r="K16"/>
  <c r="K13"/>
  <c r="K18"/>
</calcChain>
</file>

<file path=xl/sharedStrings.xml><?xml version="1.0" encoding="utf-8"?>
<sst xmlns="http://schemas.openxmlformats.org/spreadsheetml/2006/main" count="342" uniqueCount="326">
  <si>
    <t>BND</t>
    <phoneticPr fontId="1" type="noConversion"/>
  </si>
  <si>
    <t>종목코드</t>
    <phoneticPr fontId="1" type="noConversion"/>
  </si>
  <si>
    <t>발행일</t>
  </si>
  <si>
    <t>만기일</t>
  </si>
  <si>
    <t>상장폐지사유</t>
    <phoneticPr fontId="1" type="noConversion"/>
  </si>
  <si>
    <t>인포맥스 대분류</t>
  </si>
  <si>
    <t>인포맥스 중분류</t>
  </si>
  <si>
    <t>인포맥스 소분류</t>
  </si>
  <si>
    <t>상환비율 (만기상환율)</t>
  </si>
  <si>
    <t>발행가산금리</t>
  </si>
  <si>
    <t>이자선후구분</t>
  </si>
  <si>
    <t>이자단위택일구분</t>
  </si>
  <si>
    <t>매출형태</t>
  </si>
  <si>
    <t>선매출일</t>
  </si>
  <si>
    <t>선매출일이자계산유형</t>
  </si>
  <si>
    <t>이자원미만처리구분</t>
  </si>
  <si>
    <t>보증형태</t>
  </si>
  <si>
    <t>공모사모구분</t>
  </si>
  <si>
    <t>후순위채구분</t>
  </si>
  <si>
    <t>ABS구분</t>
  </si>
  <si>
    <t>주식관련사채구분</t>
  </si>
  <si>
    <t>등록기관</t>
  </si>
  <si>
    <t>보증기관</t>
  </si>
  <si>
    <t>수탁기관</t>
  </si>
  <si>
    <t>원리금지급대행사</t>
  </si>
  <si>
    <t>영문종목명</t>
    <phoneticPr fontId="1" type="noConversion"/>
  </si>
  <si>
    <t>상장구분</t>
    <phoneticPr fontId="1" type="noConversion"/>
  </si>
  <si>
    <t>발행율</t>
    <phoneticPr fontId="1" type="noConversion"/>
  </si>
  <si>
    <t>기명여부</t>
    <phoneticPr fontId="1" type="noConversion"/>
  </si>
  <si>
    <t>3사평균</t>
    <phoneticPr fontId="1" type="noConversion"/>
  </si>
  <si>
    <t>발행기관</t>
    <phoneticPr fontId="1" type="noConversion"/>
  </si>
  <si>
    <t>회사코드</t>
    <phoneticPr fontId="1" type="noConversion"/>
  </si>
  <si>
    <t>발행액</t>
    <phoneticPr fontId="1" type="noConversion"/>
  </si>
  <si>
    <t>통화구분</t>
    <phoneticPr fontId="1" type="noConversion"/>
  </si>
  <si>
    <t>상장잔액</t>
    <phoneticPr fontId="1" type="noConversion"/>
  </si>
  <si>
    <t>상장일</t>
    <phoneticPr fontId="1" type="noConversion"/>
  </si>
  <si>
    <t>상장폐지일</t>
    <phoneticPr fontId="1" type="noConversion"/>
  </si>
  <si>
    <t>인수기관</t>
    <phoneticPr fontId="1" type="noConversion"/>
  </si>
  <si>
    <t>인수금액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</si>
  <si>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</si>
  <si>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</si>
  <si>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</si>
  <si>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기명구분</t>
    <phoneticPr fontId="1" type="noConversion"/>
  </si>
  <si>
    <t>순위구분</t>
    <phoneticPr fontId="1" type="noConversion"/>
  </si>
  <si>
    <t>공모/사모</t>
    <phoneticPr fontId="1" type="noConversion"/>
  </si>
  <si>
    <t>주간사</t>
    <phoneticPr fontId="1" type="noConversion"/>
  </si>
  <si>
    <t>보증기관</t>
    <phoneticPr fontId="1" type="noConversion"/>
  </si>
  <si>
    <t>수탁기관</t>
    <phoneticPr fontId="1" type="noConversion"/>
  </si>
  <si>
    <t>등록기관</t>
    <phoneticPr fontId="1" type="noConversion"/>
  </si>
  <si>
    <t>원금지급기관</t>
    <phoneticPr fontId="1" type="noConversion"/>
  </si>
  <si>
    <t>보증형태</t>
    <phoneticPr fontId="1" type="noConversion"/>
  </si>
  <si>
    <t>발행일</t>
    <phoneticPr fontId="1" type="noConversion"/>
  </si>
  <si>
    <t>만기일</t>
    <phoneticPr fontId="1" type="noConversion"/>
  </si>
  <si>
    <t>매출일</t>
    <phoneticPr fontId="1" type="noConversion"/>
  </si>
  <si>
    <t>세금유무</t>
    <phoneticPr fontId="1" type="noConversion"/>
  </si>
  <si>
    <t>이자지급방법</t>
    <phoneticPr fontId="1" type="noConversion"/>
  </si>
  <si>
    <t>표면금리</t>
    <phoneticPr fontId="1" type="noConversion"/>
  </si>
  <si>
    <t>이자계산주기</t>
    <phoneticPr fontId="1" type="noConversion"/>
  </si>
  <si>
    <t>선후급</t>
    <phoneticPr fontId="1" type="noConversion"/>
  </si>
  <si>
    <t>이자지급일 기준</t>
    <phoneticPr fontId="1" type="noConversion"/>
  </si>
  <si>
    <t>이자원미만처리</t>
    <phoneticPr fontId="1" type="noConversion"/>
  </si>
  <si>
    <t>매출형태</t>
    <phoneticPr fontId="1" type="noConversion"/>
  </si>
  <si>
    <t>선매출 이자지급 방법</t>
    <phoneticPr fontId="1" type="noConversion"/>
  </si>
  <si>
    <t>만기상환률</t>
    <phoneticPr fontId="1" type="noConversion"/>
  </si>
  <si>
    <t>ABS</t>
    <phoneticPr fontId="1" type="noConversion"/>
  </si>
  <si>
    <t>주식관련사채</t>
    <phoneticPr fontId="1" type="noConversion"/>
  </si>
  <si>
    <t>분할상환구분</t>
  </si>
  <si>
    <t>원금거치기간</t>
  </si>
  <si>
    <t>분할상환횟수</t>
  </si>
  <si>
    <t>분할상환단위기간개월수</t>
  </si>
  <si>
    <t>균등상환액</t>
  </si>
  <si>
    <t>분할상환중이자율</t>
  </si>
  <si>
    <t>상환방법</t>
    <phoneticPr fontId="1" type="noConversion"/>
  </si>
  <si>
    <t>신용평가기관1</t>
  </si>
  <si>
    <t>신용평가기관2</t>
  </si>
  <si>
    <t>신용평가기관3</t>
  </si>
  <si>
    <t>신용평가기관4</t>
  </si>
  <si>
    <t>신용평가등급1</t>
  </si>
  <si>
    <t>신용평가등급2</t>
  </si>
  <si>
    <t>신용평가등급3</t>
  </si>
  <si>
    <t>신용평가등급4</t>
  </si>
  <si>
    <t>신용등급</t>
    <phoneticPr fontId="1" type="noConversion"/>
  </si>
  <si>
    <t>4사평균</t>
    <phoneticPr fontId="1" type="noConversion"/>
  </si>
  <si>
    <t>시가평가</t>
    <phoneticPr fontId="1" type="noConversion"/>
  </si>
  <si>
    <t>대용가</t>
    <phoneticPr fontId="1" type="noConversion"/>
  </si>
  <si>
    <t>주식관련</t>
    <phoneticPr fontId="1" type="noConversion"/>
  </si>
  <si>
    <t>권리구분</t>
  </si>
  <si>
    <t>대상종목코드</t>
  </si>
  <si>
    <t>대상종목명</t>
  </si>
  <si>
    <t>행사가격</t>
  </si>
  <si>
    <t>행사비율</t>
  </si>
  <si>
    <t>행사개시일</t>
  </si>
  <si>
    <t>행사종료일</t>
  </si>
  <si>
    <t>만기보장수익률</t>
  </si>
  <si>
    <t>ELS</t>
    <phoneticPr fontId="1" type="noConversion"/>
  </si>
  <si>
    <t>FRN</t>
    <phoneticPr fontId="1" type="noConversion"/>
  </si>
  <si>
    <t>기초자산코드 1</t>
  </si>
  <si>
    <t>기초자산코드 2</t>
  </si>
  <si>
    <t>기초자산코드 3</t>
  </si>
  <si>
    <t>기초자산코드 4</t>
  </si>
  <si>
    <t>기초자산코드 5</t>
  </si>
  <si>
    <t>기초자산코드 6</t>
  </si>
  <si>
    <t>기초자산코드 7</t>
  </si>
  <si>
    <t>기초자산코드 8</t>
  </si>
  <si>
    <t>기초자산코드 9</t>
  </si>
  <si>
    <t>기초자산코드 10</t>
  </si>
  <si>
    <t>기초자산명 1</t>
  </si>
  <si>
    <t>기초자산명 2</t>
  </si>
  <si>
    <t>기초자산명 3</t>
  </si>
  <si>
    <t>기초자산명 4</t>
  </si>
  <si>
    <t>기초자산명 5</t>
  </si>
  <si>
    <t>기초자산명 6</t>
  </si>
  <si>
    <t>기초자산명 7</t>
  </si>
  <si>
    <t>기초자산명 8</t>
  </si>
  <si>
    <t>기초자산명 9</t>
  </si>
  <si>
    <t>기초자산명 10</t>
  </si>
  <si>
    <t>Fliper 여부</t>
  </si>
  <si>
    <t>기준금리 1</t>
  </si>
  <si>
    <t>기준금리 2</t>
  </si>
  <si>
    <t>기준금리 3</t>
  </si>
  <si>
    <t>기준금리 4</t>
  </si>
  <si>
    <t>기준금리 5</t>
  </si>
  <si>
    <t>상한금리</t>
  </si>
  <si>
    <t>하한금리</t>
  </si>
  <si>
    <t>FRN 타입</t>
  </si>
  <si>
    <t>종목명</t>
    <phoneticPr fontId="1" type="noConversion"/>
  </si>
  <si>
    <t>종목코드</t>
    <phoneticPr fontId="1" type="noConversion"/>
  </si>
  <si>
    <t>단축코드</t>
    <phoneticPr fontId="1" type="noConversion"/>
  </si>
  <si>
    <t>장외-시 수익률</t>
  </si>
  <si>
    <t>장외-고 수익률</t>
  </si>
  <si>
    <t>장외-저 수익률</t>
  </si>
  <si>
    <t>장외-현재수익률</t>
  </si>
  <si>
    <t>장외-평균 수익률</t>
  </si>
  <si>
    <t>장외-민평수익률대비</t>
  </si>
  <si>
    <t>장외-시 가격</t>
  </si>
  <si>
    <t>장외-고 가격</t>
  </si>
  <si>
    <t>장외-저 가격</t>
  </si>
  <si>
    <t>장외-현재가격</t>
  </si>
  <si>
    <t>장외-평균 가격</t>
  </si>
  <si>
    <t>장외-민평가격대비</t>
  </si>
  <si>
    <t>장외-누적거래량</t>
  </si>
  <si>
    <t>장외-누적거래대금</t>
  </si>
  <si>
    <t>장외거래내역</t>
    <phoneticPr fontId="1" type="noConversion"/>
  </si>
  <si>
    <t>외국인 순매수 거래량</t>
  </si>
  <si>
    <t>은행 순매수 거래량</t>
  </si>
  <si>
    <t>보험기금 순매수 거래량</t>
  </si>
  <si>
    <t>자산운용(공모) 순매수 거래량</t>
  </si>
  <si>
    <t>자산운용(사모) 순매수 거래량</t>
  </si>
  <si>
    <t>종금 순매수 거래량</t>
  </si>
  <si>
    <t>정부 순매수 거래량</t>
  </si>
  <si>
    <t>기타법인 순매수 거래량</t>
  </si>
  <si>
    <t>개인 순매수 거래량</t>
  </si>
  <si>
    <t>외국인 순매수 거래대금</t>
  </si>
  <si>
    <t>은행 순매수 거래대금</t>
  </si>
  <si>
    <t>보험기금 순매수 거래대금</t>
  </si>
  <si>
    <t>자산운용(공모) 순매수 거래대금</t>
  </si>
  <si>
    <t>자산운용(사모) 순매수 거래대금</t>
  </si>
  <si>
    <t>종금 순매수 거래대금</t>
  </si>
  <si>
    <t>정부 순매수 거래대금</t>
  </si>
  <si>
    <t>기타법인 순매수 거래대금</t>
  </si>
  <si>
    <t>개인 순매수 거래대금</t>
  </si>
  <si>
    <t>외국인 매수 거래량</t>
  </si>
  <si>
    <t>은행 매수 거래량</t>
  </si>
  <si>
    <t>보험기금 매수 거래량</t>
  </si>
  <si>
    <t>자산운용(공모) 매수 거래량</t>
  </si>
  <si>
    <t>자산운용(사모) 매수 거래량</t>
  </si>
  <si>
    <t>종금 매수 거래량</t>
  </si>
  <si>
    <t>정부 매수 거래량</t>
  </si>
  <si>
    <t>기타법인 매수 거래량</t>
  </si>
  <si>
    <t>개인 매수 거래량</t>
  </si>
  <si>
    <t>외국인 매수 거래대금</t>
  </si>
  <si>
    <t>은행 매수 거래대금</t>
  </si>
  <si>
    <t>보험기금 매수 거래대금</t>
  </si>
  <si>
    <t>자산운용(공모) 매수 거래대금</t>
  </si>
  <si>
    <t>자산운용(사모) 매수 거래대금</t>
  </si>
  <si>
    <t>종금 매수 거래대금</t>
  </si>
  <si>
    <t>정부 매수 거래대금</t>
  </si>
  <si>
    <t>기타법인 매수 거래대금</t>
  </si>
  <si>
    <t>개인 매수 거래대금</t>
  </si>
  <si>
    <t>외국인 매도 거래량</t>
  </si>
  <si>
    <t>은행 매도 거래량</t>
  </si>
  <si>
    <t>보험기금 매도 거래량</t>
  </si>
  <si>
    <t>자산운용(공모) 매도 거래량</t>
  </si>
  <si>
    <t>자산운용(사모) 매도 거래량</t>
  </si>
  <si>
    <t>종금 매도 거래량</t>
  </si>
  <si>
    <t>정부 매도 거래량</t>
  </si>
  <si>
    <t>기타법인 매도 거래량</t>
  </si>
  <si>
    <t>개인 매도 거래량</t>
  </si>
  <si>
    <t>외국인 매도 거래대금</t>
  </si>
  <si>
    <t>은행 매도 거래대금</t>
  </si>
  <si>
    <t>보험기금 매도 거래대금</t>
  </si>
  <si>
    <t>자산운용(공모) 매도 거래대금</t>
  </si>
  <si>
    <t>자산운용(사모) 매도 거래대금</t>
  </si>
  <si>
    <t>종금 매도 거래대금</t>
  </si>
  <si>
    <t>정부 매도 거래대금</t>
  </si>
  <si>
    <t>기타법인 매도 거래대금</t>
  </si>
  <si>
    <t>개인 매도 거래대금</t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</si>
  <si>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</si>
  <si>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</si>
  <si>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</si>
  <si>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</si>
  <si>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</si>
  <si>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</si>
  <si>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</si>
  <si>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</si>
  <si>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</si>
  <si>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</si>
  <si>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</si>
  <si>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시작일</t>
    <phoneticPr fontId="1" type="noConversion"/>
  </si>
  <si>
    <t>종료일</t>
    <phoneticPr fontId="1" type="noConversion"/>
  </si>
  <si>
    <t>DATA</t>
    <phoneticPr fontId="1" type="noConversion"/>
  </si>
  <si>
    <t>1M 누적순매수</t>
    <phoneticPr fontId="1" type="noConversion"/>
  </si>
  <si>
    <t>기초자산 4</t>
  </si>
  <si>
    <t>기초자산 5</t>
  </si>
  <si>
    <t>기초자산 6</t>
  </si>
  <si>
    <t>기초자산 7</t>
  </si>
  <si>
    <t>기초자산 8</t>
  </si>
  <si>
    <t>기초자산 9</t>
  </si>
  <si>
    <t>기초자산 10</t>
  </si>
  <si>
    <t>외국인</t>
    <phoneticPr fontId="1" type="noConversion"/>
  </si>
  <si>
    <t>은행</t>
    <phoneticPr fontId="1" type="noConversion"/>
  </si>
  <si>
    <t>보험기금</t>
    <phoneticPr fontId="1" type="noConversion"/>
  </si>
  <si>
    <t>자산운용</t>
    <phoneticPr fontId="1" type="noConversion"/>
  </si>
  <si>
    <t>종금</t>
    <phoneticPr fontId="1" type="noConversion"/>
  </si>
  <si>
    <t>정부</t>
    <phoneticPr fontId="1" type="noConversion"/>
  </si>
  <si>
    <t>기타법인</t>
    <phoneticPr fontId="1" type="noConversion"/>
  </si>
  <si>
    <t>개인</t>
    <phoneticPr fontId="1" type="noConversion"/>
  </si>
  <si>
    <t>만기보장수익률</t>
    <phoneticPr fontId="1" type="noConversion"/>
  </si>
  <si>
    <t>종목코드</t>
    <phoneticPr fontId="1" type="noConversion"/>
  </si>
  <si>
    <t>종목명</t>
    <phoneticPr fontId="1" type="noConversion"/>
  </si>
  <si>
    <t>권리구분</t>
    <phoneticPr fontId="1" type="noConversion"/>
  </si>
  <si>
    <t>행사가격</t>
    <phoneticPr fontId="1" type="noConversion"/>
  </si>
  <si>
    <t>행사비율</t>
    <phoneticPr fontId="1" type="noConversion"/>
  </si>
  <si>
    <t>행사개시일</t>
    <phoneticPr fontId="1" type="noConversion"/>
  </si>
  <si>
    <t>행사종료일</t>
    <phoneticPr fontId="1" type="noConversion"/>
  </si>
  <si>
    <t>분활상환구분</t>
    <phoneticPr fontId="1" type="noConversion"/>
  </si>
  <si>
    <t>한국신용평가</t>
    <phoneticPr fontId="1" type="noConversion"/>
  </si>
  <si>
    <t>3사평균</t>
    <phoneticPr fontId="1" type="noConversion"/>
  </si>
  <si>
    <t>4사평균</t>
    <phoneticPr fontId="1" type="noConversion"/>
  </si>
  <si>
    <t>원금거치기간</t>
    <phoneticPr fontId="1" type="noConversion"/>
  </si>
  <si>
    <t>나이스신용평가</t>
    <phoneticPr fontId="1" type="noConversion"/>
  </si>
  <si>
    <t>분할상환횟수</t>
    <phoneticPr fontId="1" type="noConversion"/>
  </si>
  <si>
    <t>한국기업평가</t>
    <phoneticPr fontId="1" type="noConversion"/>
  </si>
  <si>
    <t>KAP</t>
    <phoneticPr fontId="1" type="noConversion"/>
  </si>
  <si>
    <t>KIS</t>
    <phoneticPr fontId="1" type="noConversion"/>
  </si>
  <si>
    <t>분항상환단위개월수</t>
    <phoneticPr fontId="1" type="noConversion"/>
  </si>
  <si>
    <t>서울신용평가</t>
    <phoneticPr fontId="1" type="noConversion"/>
  </si>
  <si>
    <t>균등상환액</t>
    <phoneticPr fontId="1" type="noConversion"/>
  </si>
  <si>
    <t>NICE</t>
    <phoneticPr fontId="1" type="noConversion"/>
  </si>
  <si>
    <t>FN</t>
    <phoneticPr fontId="1" type="noConversion"/>
  </si>
  <si>
    <t>분할상환중이자율</t>
    <phoneticPr fontId="1" type="noConversion"/>
  </si>
  <si>
    <t>기초자산 1</t>
    <phoneticPr fontId="1" type="noConversion"/>
  </si>
  <si>
    <t>FRN 타입</t>
    <phoneticPr fontId="1" type="noConversion"/>
  </si>
  <si>
    <t>기초자산 2</t>
    <phoneticPr fontId="1" type="noConversion"/>
  </si>
  <si>
    <t>FLIPPER</t>
    <phoneticPr fontId="1" type="noConversion"/>
  </si>
  <si>
    <t>기초자산 3</t>
    <phoneticPr fontId="1" type="noConversion"/>
  </si>
  <si>
    <t>가산금리</t>
    <phoneticPr fontId="1" type="noConversion"/>
  </si>
  <si>
    <t>금리상한</t>
    <phoneticPr fontId="1" type="noConversion"/>
  </si>
  <si>
    <t>금리하한</t>
    <phoneticPr fontId="1" type="noConversion"/>
  </si>
  <si>
    <t>기준금리1</t>
    <phoneticPr fontId="1" type="noConversion"/>
  </si>
  <si>
    <t>기준금리2</t>
    <phoneticPr fontId="1" type="noConversion"/>
  </si>
  <si>
    <t>기준금리3</t>
    <phoneticPr fontId="1" type="noConversion"/>
  </si>
  <si>
    <t>기준금리4</t>
    <phoneticPr fontId="1" type="noConversion"/>
  </si>
  <si>
    <t>기준금리5</t>
    <phoneticPr fontId="1" type="noConversion"/>
  </si>
  <si>
    <t>종가</t>
    <phoneticPr fontId="1" type="noConversion"/>
  </si>
  <si>
    <t>시</t>
    <phoneticPr fontId="1" type="noConversion"/>
  </si>
  <si>
    <t>고</t>
    <phoneticPr fontId="1" type="noConversion"/>
  </si>
  <si>
    <t>저</t>
    <phoneticPr fontId="1" type="noConversion"/>
  </si>
  <si>
    <t>거래량</t>
    <phoneticPr fontId="1" type="noConversion"/>
  </si>
  <si>
    <t>거래대금</t>
    <phoneticPr fontId="1" type="noConversion"/>
  </si>
  <si>
    <t>일자</t>
    <phoneticPr fontId="1" type="noConversion"/>
  </si>
  <si>
    <t>순매수</t>
    <phoneticPr fontId="1" type="noConversion"/>
  </si>
  <si>
    <t>매수</t>
    <phoneticPr fontId="1" type="noConversion"/>
  </si>
  <si>
    <t>매도</t>
    <phoneticPr fontId="1" type="noConversion"/>
  </si>
  <si>
    <t>장외 투자자 거래(백만)</t>
    <phoneticPr fontId="1" type="noConversion"/>
  </si>
  <si>
    <t>외국인 순매수 거래량</t>
    <phoneticPr fontId="1" type="noConversion"/>
  </si>
  <si>
    <t>KR103502G560</t>
    <phoneticPr fontId="1" type="noConversion"/>
  </si>
  <si>
    <t>시가평가(3사)</t>
    <phoneticPr fontId="1" type="noConversion"/>
  </si>
  <si>
    <t>장외 체결 수익률</t>
    <phoneticPr fontId="1" type="noConversion"/>
  </si>
  <si>
    <t>외국인</t>
    <phoneticPr fontId="1" type="noConversion"/>
  </si>
  <si>
    <t>은행</t>
    <phoneticPr fontId="1" type="noConversion"/>
  </si>
  <si>
    <t>보험기금</t>
    <phoneticPr fontId="1" type="noConversion"/>
  </si>
  <si>
    <t>장외-현재수익률</t>
    <phoneticPr fontId="1" type="noConversion"/>
  </si>
  <si>
    <t>민평3사 수익률(산출일) 당일</t>
    <phoneticPr fontId="1" type="noConversion"/>
  </si>
  <si>
    <t>Spread</t>
    <phoneticPr fontId="1" type="noConversion"/>
  </si>
  <si>
    <t>장외거래 내역 : 수익률/가격 선택</t>
    <phoneticPr fontId="1" type="noConversion"/>
  </si>
  <si>
    <t>장외 투자자 거래 : 거래 일자 선택</t>
    <phoneticPr fontId="1" type="noConversion"/>
  </si>
  <si>
    <t xml:space="preserve">                         거래량/거래대금 선택</t>
    <phoneticPr fontId="1" type="noConversion"/>
  </si>
  <si>
    <t>민평대비</t>
    <phoneticPr fontId="1" type="noConversion"/>
  </si>
  <si>
    <t>과세여부</t>
    <phoneticPr fontId="1" type="noConversion"/>
  </si>
  <si>
    <t>영문종목명</t>
    <phoneticPr fontId="1" type="noConversion"/>
  </si>
  <si>
    <t>이자종류</t>
    <phoneticPr fontId="1" type="noConversion"/>
  </si>
  <si>
    <t>회사명</t>
    <phoneticPr fontId="1" type="noConversion"/>
  </si>
  <si>
    <t>표면이율</t>
    <phoneticPr fontId="1" type="noConversion"/>
  </si>
  <si>
    <t>증권전산회사코드</t>
    <phoneticPr fontId="1" type="noConversion"/>
  </si>
  <si>
    <t>이자지급기간</t>
    <phoneticPr fontId="1" type="noConversion"/>
  </si>
  <si>
    <t>발행액</t>
    <phoneticPr fontId="1" type="noConversion"/>
  </si>
  <si>
    <t>발행율</t>
    <phoneticPr fontId="1" type="noConversion"/>
  </si>
  <si>
    <t>상장일</t>
    <phoneticPr fontId="1" type="noConversion"/>
  </si>
  <si>
    <t>상장폐지일</t>
    <phoneticPr fontId="1" type="noConversion"/>
  </si>
  <si>
    <t>상장폐지사유</t>
    <phoneticPr fontId="1" type="noConversion"/>
  </si>
  <si>
    <t>인수기관1</t>
    <phoneticPr fontId="1" type="noConversion"/>
  </si>
  <si>
    <t>잔존일</t>
    <phoneticPr fontId="1" type="noConversion"/>
  </si>
  <si>
    <t>인수금액1</t>
    <phoneticPr fontId="1" type="noConversion"/>
  </si>
  <si>
    <t>민평3사 수익률(산출일)</t>
    <phoneticPr fontId="1" type="noConversion"/>
  </si>
  <si>
    <t>대용가</t>
    <phoneticPr fontId="1" type="noConversion"/>
  </si>
  <si>
    <t>민평3사 가격(산출일)</t>
    <phoneticPr fontId="1" type="noConversion"/>
  </si>
  <si>
    <t>민평4사 수익률(산출일)</t>
    <phoneticPr fontId="1" type="noConversion"/>
  </si>
  <si>
    <t>민평4사 가격(산출일)</t>
    <phoneticPr fontId="1" type="noConversion"/>
  </si>
  <si>
    <t>KBP 수익률(산출일)</t>
    <phoneticPr fontId="1" type="noConversion"/>
  </si>
  <si>
    <t>KBP 가격(산출일)</t>
    <phoneticPr fontId="1" type="noConversion"/>
  </si>
  <si>
    <t>KIS 수익률(산출일)</t>
    <phoneticPr fontId="1" type="noConversion"/>
  </si>
  <si>
    <t>KIS 가격(산출일)</t>
    <phoneticPr fontId="1" type="noConversion"/>
  </si>
  <si>
    <t>NIC 수익률(산출일)</t>
    <phoneticPr fontId="1" type="noConversion"/>
  </si>
  <si>
    <t>NIC 가격(산출일)</t>
    <phoneticPr fontId="1" type="noConversion"/>
  </si>
  <si>
    <t>FNP 수익률(산출일)</t>
    <phoneticPr fontId="1" type="noConversion"/>
  </si>
  <si>
    <t>FNP 가격(산출일)</t>
    <phoneticPr fontId="1" type="noConversion"/>
  </si>
  <si>
    <t>수익률</t>
    <phoneticPr fontId="1" type="noConversion"/>
  </si>
  <si>
    <t>가격</t>
    <phoneticPr fontId="1" type="noConversion"/>
  </si>
  <si>
    <t>거래량</t>
    <phoneticPr fontId="1" type="noConversion"/>
  </si>
  <si>
    <t>거래대금</t>
    <phoneticPr fontId="1" type="noConversion"/>
  </si>
  <si>
    <t>민평(3사)</t>
    <phoneticPr fontId="1" type="noConversion"/>
  </si>
  <si>
    <t>민평3사 수익률(산출일)</t>
    <phoneticPr fontId="1" type="noConversion"/>
  </si>
  <si>
    <t>민평3사 가격(산출일)</t>
    <phoneticPr fontId="1" type="noConversion"/>
  </si>
  <si>
    <t>채권 개별종목정보 도움말</t>
    <phoneticPr fontId="1" type="noConversion"/>
  </si>
  <si>
    <t>채권 개별종목정보</t>
    <phoneticPr fontId="1" type="noConversion"/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</si>
</sst>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0_ "/>
    <numFmt numFmtId="177" formatCode="0.000_ "/>
    <numFmt numFmtId="178" formatCode="0_ "/>
    <numFmt numFmtId="179" formatCode="####\-##\-##"/>
  </numFmts>
  <fonts count="22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 tint="0.249977111117893"/>
      <name val="맑은 고딕"/>
      <family val="2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10"/>
      <color theme="1" tint="0.1499984740745262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2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6"/>
      <color theme="0"/>
      <name val="맑은 고딕"/>
      <family val="3"/>
      <charset val="129"/>
      <scheme val="minor"/>
    </font>
    <font>
      <b/>
      <sz val="10"/>
      <color rgb="FF006CFF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sz val="9"/>
      <color theme="1" tint="4.9989318521683403E-2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/>
      <diagonal/>
    </border>
    <border>
      <left/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/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 tint="-0.24994659260841701"/>
      </top>
      <bottom/>
      <diagonal/>
    </border>
    <border>
      <left style="medium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/>
      <diagonal/>
    </border>
    <border>
      <left/>
      <right style="double">
        <color theme="0" tint="-0.24994659260841701"/>
      </right>
      <top style="thin">
        <color theme="0" tint="-0.24994659260841701"/>
      </top>
      <bottom/>
      <diagonal/>
    </border>
    <border>
      <left/>
      <right style="double">
        <color theme="0" tint="-0.24994659260841701"/>
      </right>
      <top/>
      <bottom style="thin">
        <color theme="0" tint="-0.24994659260841701"/>
      </bottom>
      <diagonal/>
    </border>
    <border>
      <left/>
      <right style="double">
        <color theme="0" tint="-0.24994659260841701"/>
      </right>
      <top/>
      <bottom/>
      <diagonal/>
    </border>
    <border>
      <left/>
      <right style="double">
        <color theme="0" tint="-0.24994659260841701"/>
      </right>
      <top/>
      <bottom style="medium">
        <color theme="0" tint="-0.2499465926084170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/>
      <diagonal/>
    </border>
    <border>
      <left style="double">
        <color theme="0" tint="-0.24994659260841701"/>
      </left>
      <right/>
      <top/>
      <bottom style="thin">
        <color theme="0" tint="-0.24994659260841701"/>
      </bottom>
      <diagonal/>
    </border>
    <border>
      <left style="double">
        <color theme="0" tint="-0.24994659260841701"/>
      </left>
      <right/>
      <top/>
      <bottom/>
      <diagonal/>
    </border>
    <border>
      <left style="double">
        <color theme="0" tint="-0.24994659260841701"/>
      </left>
      <right/>
      <top/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>
      <alignment vertical="center"/>
    </xf>
    <xf numFmtId="0" fontId="3" fillId="0" borderId="0" xfId="0" applyFont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14" fontId="11" fillId="6" borderId="9" xfId="0" applyNumberFormat="1" applyFont="1" applyFill="1" applyBorder="1" applyAlignment="1">
      <alignment vertical="center"/>
    </xf>
    <xf numFmtId="14" fontId="11" fillId="6" borderId="10" xfId="0" applyNumberFormat="1" applyFont="1" applyFill="1" applyBorder="1" applyAlignment="1">
      <alignment vertical="center"/>
    </xf>
    <xf numFmtId="14" fontId="11" fillId="6" borderId="21" xfId="0" applyNumberFormat="1" applyFont="1" applyFill="1" applyBorder="1" applyAlignment="1">
      <alignment vertical="center"/>
    </xf>
    <xf numFmtId="0" fontId="0" fillId="6" borderId="37" xfId="0" applyFill="1" applyBorder="1">
      <alignment vertical="center"/>
    </xf>
    <xf numFmtId="0" fontId="12" fillId="0" borderId="0" xfId="0" applyFont="1" applyBorder="1">
      <alignment vertical="center"/>
    </xf>
    <xf numFmtId="49" fontId="12" fillId="0" borderId="0" xfId="0" applyNumberFormat="1" applyFont="1" applyBorder="1">
      <alignment vertical="center"/>
    </xf>
    <xf numFmtId="0" fontId="12" fillId="0" borderId="0" xfId="0" applyFont="1" applyFill="1" applyBorder="1" applyAlignment="1">
      <alignment vertical="center"/>
    </xf>
    <xf numFmtId="0" fontId="7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Fill="1">
      <alignment vertical="center"/>
    </xf>
    <xf numFmtId="14" fontId="14" fillId="0" borderId="0" xfId="0" applyNumberFormat="1" applyFont="1" applyFill="1">
      <alignment vertical="center"/>
    </xf>
    <xf numFmtId="0" fontId="16" fillId="0" borderId="0" xfId="0" applyFont="1" applyFill="1" applyAlignment="1">
      <alignment horizontal="center" vertical="center"/>
    </xf>
    <xf numFmtId="49" fontId="16" fillId="0" borderId="0" xfId="0" applyNumberFormat="1" applyFont="1" applyFill="1">
      <alignment vertical="center"/>
    </xf>
    <xf numFmtId="14" fontId="16" fillId="0" borderId="0" xfId="0" applyNumberFormat="1" applyFont="1" applyFill="1" applyAlignment="1">
      <alignment horizontal="center" vertical="center"/>
    </xf>
    <xf numFmtId="0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49" fontId="16" fillId="0" borderId="0" xfId="0" applyNumberFormat="1" applyFont="1" applyFill="1" applyAlignment="1">
      <alignment horizontal="right" vertical="center"/>
    </xf>
    <xf numFmtId="178" fontId="16" fillId="0" borderId="0" xfId="0" applyNumberFormat="1" applyFont="1" applyFill="1">
      <alignment vertical="center"/>
    </xf>
    <xf numFmtId="0" fontId="16" fillId="0" borderId="0" xfId="0" applyFont="1" applyFill="1" applyBorder="1">
      <alignment vertical="center"/>
    </xf>
    <xf numFmtId="14" fontId="16" fillId="0" borderId="0" xfId="0" applyNumberFormat="1" applyFont="1" applyFill="1" applyBorder="1">
      <alignment vertical="center"/>
    </xf>
    <xf numFmtId="0" fontId="17" fillId="0" borderId="0" xfId="0" applyFont="1" applyFill="1" applyBorder="1" applyAlignment="1">
      <alignment vertical="center"/>
    </xf>
    <xf numFmtId="14" fontId="17" fillId="0" borderId="0" xfId="0" applyNumberFormat="1" applyFont="1" applyFill="1" applyBorder="1" applyAlignment="1">
      <alignment vertical="center"/>
    </xf>
    <xf numFmtId="177" fontId="16" fillId="0" borderId="0" xfId="0" applyNumberFormat="1" applyFont="1" applyFill="1" applyBorder="1" applyAlignment="1">
      <alignment vertical="center"/>
    </xf>
    <xf numFmtId="14" fontId="16" fillId="0" borderId="0" xfId="0" applyNumberFormat="1" applyFont="1" applyFill="1" applyBorder="1" applyAlignme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41" fontId="9" fillId="0" borderId="26" xfId="1" applyFont="1" applyBorder="1" applyAlignment="1">
      <alignment horizontal="center" vertical="center"/>
    </xf>
    <xf numFmtId="41" fontId="9" fillId="0" borderId="24" xfId="1" applyFont="1" applyBorder="1" applyAlignment="1">
      <alignment horizontal="center" vertical="center"/>
    </xf>
    <xf numFmtId="41" fontId="9" fillId="0" borderId="25" xfId="1" applyFont="1" applyBorder="1" applyAlignment="1">
      <alignment horizontal="center" vertical="center"/>
    </xf>
    <xf numFmtId="41" fontId="9" fillId="0" borderId="27" xfId="1" applyFont="1" applyBorder="1" applyAlignment="1">
      <alignment horizontal="center" vertical="center"/>
    </xf>
    <xf numFmtId="177" fontId="9" fillId="0" borderId="5" xfId="0" applyNumberFormat="1" applyFont="1" applyBorder="1" applyAlignment="1">
      <alignment horizontal="right" vertical="center"/>
    </xf>
    <xf numFmtId="177" fontId="9" fillId="0" borderId="0" xfId="0" applyNumberFormat="1" applyFont="1" applyBorder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177" fontId="9" fillId="0" borderId="41" xfId="0" applyNumberFormat="1" applyFont="1" applyBorder="1" applyAlignment="1">
      <alignment horizontal="right" vertical="center"/>
    </xf>
    <xf numFmtId="177" fontId="9" fillId="0" borderId="26" xfId="0" applyNumberFormat="1" applyFont="1" applyBorder="1" applyAlignment="1">
      <alignment horizontal="right" vertical="center"/>
    </xf>
    <xf numFmtId="177" fontId="9" fillId="0" borderId="24" xfId="0" applyNumberFormat="1" applyFont="1" applyBorder="1" applyAlignment="1">
      <alignment horizontal="right" vertical="center"/>
    </xf>
    <xf numFmtId="177" fontId="9" fillId="0" borderId="25" xfId="0" applyNumberFormat="1" applyFont="1" applyBorder="1" applyAlignment="1">
      <alignment horizontal="right" vertical="center"/>
    </xf>
    <xf numFmtId="41" fontId="9" fillId="0" borderId="8" xfId="1" applyFont="1" applyBorder="1" applyAlignment="1">
      <alignment horizontal="center" vertical="center"/>
    </xf>
    <xf numFmtId="41" fontId="9" fillId="0" borderId="9" xfId="1" applyFont="1" applyBorder="1" applyAlignment="1">
      <alignment horizontal="center" vertical="center"/>
    </xf>
    <xf numFmtId="41" fontId="9" fillId="0" borderId="10" xfId="1" applyFont="1" applyBorder="1" applyAlignment="1">
      <alignment horizontal="center" vertical="center"/>
    </xf>
    <xf numFmtId="41" fontId="9" fillId="0" borderId="14" xfId="1" applyFont="1" applyBorder="1" applyAlignment="1">
      <alignment horizontal="center" vertical="center"/>
    </xf>
    <xf numFmtId="41" fontId="9" fillId="0" borderId="5" xfId="1" applyFont="1" applyBorder="1" applyAlignment="1">
      <alignment horizontal="center" vertical="center"/>
    </xf>
    <xf numFmtId="41" fontId="9" fillId="0" borderId="0" xfId="1" applyFont="1" applyBorder="1" applyAlignment="1">
      <alignment horizontal="center" vertical="center"/>
    </xf>
    <xf numFmtId="41" fontId="9" fillId="0" borderId="4" xfId="1" applyFont="1" applyBorder="1" applyAlignment="1">
      <alignment horizontal="center" vertical="center"/>
    </xf>
    <xf numFmtId="41" fontId="9" fillId="0" borderId="16" xfId="1" applyFont="1" applyBorder="1" applyAlignment="1">
      <alignment horizontal="center" vertical="center"/>
    </xf>
    <xf numFmtId="177" fontId="9" fillId="0" borderId="42" xfId="0" applyNumberFormat="1" applyFont="1" applyBorder="1" applyAlignment="1">
      <alignment horizontal="right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11" fillId="6" borderId="40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14" fontId="9" fillId="4" borderId="23" xfId="0" applyNumberFormat="1" applyFont="1" applyFill="1" applyBorder="1" applyAlignment="1">
      <alignment horizontal="center" vertical="center"/>
    </xf>
    <xf numFmtId="14" fontId="9" fillId="4" borderId="24" xfId="0" applyNumberFormat="1" applyFont="1" applyFill="1" applyBorder="1" applyAlignment="1">
      <alignment horizontal="center" vertical="center"/>
    </xf>
    <xf numFmtId="14" fontId="9" fillId="4" borderId="25" xfId="0" applyNumberFormat="1" applyFont="1" applyFill="1" applyBorder="1" applyAlignment="1">
      <alignment horizontal="center" vertical="center"/>
    </xf>
    <xf numFmtId="14" fontId="10" fillId="2" borderId="34" xfId="0" applyNumberFormat="1" applyFont="1" applyFill="1" applyBorder="1" applyAlignment="1">
      <alignment horizontal="center" vertical="center"/>
    </xf>
    <xf numFmtId="14" fontId="10" fillId="2" borderId="35" xfId="0" applyNumberFormat="1" applyFont="1" applyFill="1" applyBorder="1" applyAlignment="1">
      <alignment horizontal="center" vertical="center"/>
    </xf>
    <xf numFmtId="14" fontId="10" fillId="2" borderId="38" xfId="0" applyNumberFormat="1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9" fillId="4" borderId="22" xfId="0" applyFont="1" applyFill="1" applyBorder="1" applyAlignment="1">
      <alignment horizontal="left" vertical="center"/>
    </xf>
    <xf numFmtId="0" fontId="9" fillId="4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left" vertical="center"/>
    </xf>
    <xf numFmtId="14" fontId="9" fillId="4" borderId="22" xfId="0" applyNumberFormat="1" applyFont="1" applyFill="1" applyBorder="1" applyAlignment="1">
      <alignment horizontal="center" vertical="center"/>
    </xf>
    <xf numFmtId="14" fontId="9" fillId="4" borderId="0" xfId="0" applyNumberFormat="1" applyFont="1" applyFill="1" applyBorder="1" applyAlignment="1">
      <alignment horizontal="center" vertical="center"/>
    </xf>
    <xf numFmtId="14" fontId="9" fillId="4" borderId="4" xfId="0" applyNumberFormat="1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6" fontId="9" fillId="0" borderId="26" xfId="0" applyNumberFormat="1" applyFont="1" applyBorder="1" applyAlignment="1">
      <alignment horizontal="right" vertical="center"/>
    </xf>
    <xf numFmtId="176" fontId="9" fillId="0" borderId="24" xfId="0" applyNumberFormat="1" applyFont="1" applyBorder="1" applyAlignment="1">
      <alignment horizontal="right" vertical="center"/>
    </xf>
    <xf numFmtId="176" fontId="9" fillId="0" borderId="25" xfId="0" applyNumberFormat="1" applyFont="1" applyBorder="1" applyAlignment="1">
      <alignment horizontal="right" vertical="center"/>
    </xf>
    <xf numFmtId="177" fontId="9" fillId="0" borderId="8" xfId="0" applyNumberFormat="1" applyFont="1" applyBorder="1" applyAlignment="1">
      <alignment horizontal="right" vertical="center"/>
    </xf>
    <xf numFmtId="177" fontId="9" fillId="0" borderId="9" xfId="0" applyNumberFormat="1" applyFont="1" applyBorder="1" applyAlignment="1">
      <alignment horizontal="right" vertical="center"/>
    </xf>
    <xf numFmtId="177" fontId="9" fillId="0" borderId="10" xfId="0" applyNumberFormat="1" applyFont="1" applyBorder="1" applyAlignment="1">
      <alignment horizontal="right" vertical="center"/>
    </xf>
    <xf numFmtId="176" fontId="9" fillId="0" borderId="5" xfId="0" applyNumberFormat="1" applyFont="1" applyBorder="1" applyAlignment="1">
      <alignment horizontal="right" vertical="center"/>
    </xf>
    <xf numFmtId="176" fontId="9" fillId="0" borderId="0" xfId="0" applyNumberFormat="1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177" fontId="9" fillId="0" borderId="16" xfId="0" applyNumberFormat="1" applyFont="1" applyBorder="1" applyAlignment="1">
      <alignment horizontal="right" vertical="center"/>
    </xf>
    <xf numFmtId="176" fontId="9" fillId="0" borderId="16" xfId="0" applyNumberFormat="1" applyFont="1" applyBorder="1" applyAlignment="1">
      <alignment horizontal="right" vertical="center"/>
    </xf>
    <xf numFmtId="176" fontId="9" fillId="0" borderId="27" xfId="0" applyNumberFormat="1" applyFont="1" applyBorder="1" applyAlignment="1">
      <alignment horizontal="right" vertical="center"/>
    </xf>
    <xf numFmtId="0" fontId="9" fillId="4" borderId="8" xfId="0" applyFont="1" applyFill="1" applyBorder="1" applyAlignment="1">
      <alignment horizontal="left" vertical="center"/>
    </xf>
    <xf numFmtId="0" fontId="9" fillId="4" borderId="9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26" xfId="0" applyFont="1" applyFill="1" applyBorder="1" applyAlignment="1">
      <alignment horizontal="left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25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4" borderId="8" xfId="0" applyNumberFormat="1" applyFont="1" applyFill="1" applyBorder="1" applyAlignment="1">
      <alignment horizontal="left" vertical="center"/>
    </xf>
    <xf numFmtId="177" fontId="9" fillId="4" borderId="9" xfId="0" applyNumberFormat="1" applyFont="1" applyFill="1" applyBorder="1" applyAlignment="1">
      <alignment horizontal="left" vertical="center"/>
    </xf>
    <xf numFmtId="177" fontId="9" fillId="4" borderId="10" xfId="0" applyNumberFormat="1" applyFont="1" applyFill="1" applyBorder="1" applyAlignment="1">
      <alignment horizontal="left" vertical="center"/>
    </xf>
    <xf numFmtId="177" fontId="9" fillId="4" borderId="5" xfId="0" applyNumberFormat="1" applyFont="1" applyFill="1" applyBorder="1" applyAlignment="1">
      <alignment horizontal="left" vertical="center"/>
    </xf>
    <xf numFmtId="177" fontId="9" fillId="4" borderId="0" xfId="0" applyNumberFormat="1" applyFont="1" applyFill="1" applyBorder="1" applyAlignment="1">
      <alignment horizontal="left" vertical="center"/>
    </xf>
    <xf numFmtId="177" fontId="9" fillId="4" borderId="4" xfId="0" applyNumberFormat="1" applyFont="1" applyFill="1" applyBorder="1" applyAlignment="1">
      <alignment horizontal="left" vertical="center"/>
    </xf>
    <xf numFmtId="177" fontId="9" fillId="4" borderId="26" xfId="0" applyNumberFormat="1" applyFont="1" applyFill="1" applyBorder="1" applyAlignment="1">
      <alignment horizontal="left" vertical="center"/>
    </xf>
    <xf numFmtId="177" fontId="9" fillId="4" borderId="24" xfId="0" applyNumberFormat="1" applyFont="1" applyFill="1" applyBorder="1" applyAlignment="1">
      <alignment horizontal="left" vertical="center"/>
    </xf>
    <xf numFmtId="177" fontId="9" fillId="4" borderId="25" xfId="0" applyNumberFormat="1" applyFont="1" applyFill="1" applyBorder="1" applyAlignment="1">
      <alignment horizontal="left" vertical="center"/>
    </xf>
    <xf numFmtId="177" fontId="9" fillId="0" borderId="10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26" xfId="0" applyNumberFormat="1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9" fillId="4" borderId="21" xfId="0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4" borderId="22" xfId="0" applyFont="1" applyFill="1" applyBorder="1" applyAlignment="1">
      <alignment vertical="center"/>
    </xf>
    <xf numFmtId="0" fontId="9" fillId="4" borderId="0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9" fillId="4" borderId="23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0" fontId="10" fillId="4" borderId="21" xfId="0" applyFont="1" applyFill="1" applyBorder="1" applyAlignment="1">
      <alignment horizontal="left" vertical="center"/>
    </xf>
    <xf numFmtId="0" fontId="9" fillId="0" borderId="8" xfId="0" applyNumberFormat="1" applyFont="1" applyBorder="1" applyAlignment="1">
      <alignment horizontal="right" vertical="center"/>
    </xf>
    <xf numFmtId="0" fontId="9" fillId="0" borderId="9" xfId="0" applyNumberFormat="1" applyFont="1" applyBorder="1" applyAlignment="1">
      <alignment horizontal="right" vertical="center"/>
    </xf>
    <xf numFmtId="0" fontId="9" fillId="0" borderId="10" xfId="0" applyNumberFormat="1" applyFont="1" applyBorder="1" applyAlignment="1">
      <alignment horizontal="right" vertical="center"/>
    </xf>
    <xf numFmtId="0" fontId="9" fillId="0" borderId="26" xfId="0" applyNumberFormat="1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8" xfId="0" applyNumberFormat="1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79" fontId="9" fillId="0" borderId="5" xfId="0" applyNumberFormat="1" applyFont="1" applyBorder="1" applyAlignment="1">
      <alignment horizontal="left" vertical="center"/>
    </xf>
    <xf numFmtId="179" fontId="9" fillId="0" borderId="0" xfId="0" applyNumberFormat="1" applyFont="1" applyBorder="1" applyAlignment="1">
      <alignment horizontal="left" vertical="center"/>
    </xf>
    <xf numFmtId="179" fontId="9" fillId="0" borderId="4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7" xfId="0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5" fillId="4" borderId="5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5" fillId="4" borderId="24" xfId="0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5" fillId="4" borderId="22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23" xfId="0" applyFont="1" applyFill="1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0" fontId="9" fillId="0" borderId="5" xfId="0" applyNumberFormat="1" applyFont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9" fillId="0" borderId="9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177" fontId="16" fillId="0" borderId="0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left" vertical="center"/>
    </xf>
    <xf numFmtId="0" fontId="0" fillId="0" borderId="26" xfId="0" applyNumberFormat="1" applyBorder="1" applyAlignment="1">
      <alignment horizontal="left" vertical="center"/>
    </xf>
    <xf numFmtId="0" fontId="11" fillId="6" borderId="46" xfId="0" applyFont="1" applyFill="1" applyBorder="1" applyAlignment="1">
      <alignment horizontal="center" vertical="center"/>
    </xf>
    <xf numFmtId="0" fontId="11" fillId="6" borderId="47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41" fontId="20" fillId="0" borderId="46" xfId="1" applyFont="1" applyBorder="1" applyAlignment="1">
      <alignment horizontal="center" vertical="center"/>
    </xf>
    <xf numFmtId="41" fontId="20" fillId="0" borderId="9" xfId="1" applyFont="1" applyBorder="1" applyAlignment="1">
      <alignment horizontal="center" vertical="center"/>
    </xf>
    <xf numFmtId="41" fontId="20" fillId="0" borderId="10" xfId="1" applyFont="1" applyBorder="1" applyAlignment="1">
      <alignment horizontal="center" vertical="center"/>
    </xf>
    <xf numFmtId="41" fontId="20" fillId="0" borderId="8" xfId="1" applyFont="1" applyBorder="1" applyAlignment="1">
      <alignment horizontal="center" vertical="center"/>
    </xf>
    <xf numFmtId="41" fontId="20" fillId="0" borderId="14" xfId="1" applyFont="1" applyBorder="1" applyAlignment="1">
      <alignment horizontal="center" vertical="center"/>
    </xf>
    <xf numFmtId="41" fontId="20" fillId="0" borderId="48" xfId="1" applyFont="1" applyBorder="1" applyAlignment="1">
      <alignment horizontal="center" vertical="center"/>
    </xf>
    <xf numFmtId="41" fontId="20" fillId="0" borderId="0" xfId="1" applyFont="1" applyBorder="1" applyAlignment="1">
      <alignment horizontal="center" vertical="center"/>
    </xf>
    <xf numFmtId="41" fontId="20" fillId="0" borderId="4" xfId="1" applyFont="1" applyBorder="1" applyAlignment="1">
      <alignment horizontal="center" vertical="center"/>
    </xf>
    <xf numFmtId="41" fontId="20" fillId="0" borderId="5" xfId="1" applyFont="1" applyBorder="1" applyAlignment="1">
      <alignment horizontal="center" vertical="center"/>
    </xf>
    <xf numFmtId="41" fontId="20" fillId="0" borderId="16" xfId="1" applyFont="1" applyBorder="1" applyAlignment="1">
      <alignment horizontal="center" vertical="center"/>
    </xf>
    <xf numFmtId="41" fontId="20" fillId="0" borderId="49" xfId="1" applyFont="1" applyBorder="1" applyAlignment="1">
      <alignment horizontal="center" vertical="center"/>
    </xf>
    <xf numFmtId="41" fontId="20" fillId="0" borderId="24" xfId="1" applyFont="1" applyBorder="1" applyAlignment="1">
      <alignment horizontal="center" vertical="center"/>
    </xf>
    <xf numFmtId="41" fontId="20" fillId="0" borderId="25" xfId="1" applyFont="1" applyBorder="1" applyAlignment="1">
      <alignment horizontal="center" vertical="center"/>
    </xf>
    <xf numFmtId="41" fontId="20" fillId="0" borderId="26" xfId="1" applyFont="1" applyBorder="1" applyAlignment="1">
      <alignment horizontal="center" vertical="center"/>
    </xf>
    <xf numFmtId="41" fontId="20" fillId="0" borderId="27" xfId="1" applyFont="1" applyBorder="1" applyAlignment="1">
      <alignment horizontal="center" vertical="center"/>
    </xf>
    <xf numFmtId="0" fontId="21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006CFF"/>
      <color rgb="FF7F7F7F"/>
      <color rgb="FFFF01A2"/>
      <color rgb="FFFF5C01"/>
      <color rgb="FF5FCB07"/>
      <color rgb="FFFF6699"/>
      <color rgb="FF3399FF"/>
      <color rgb="FFFF7C80"/>
      <color rgb="FFFFFF99"/>
      <color rgb="FFFFFFCC"/>
    </mruColors>
  </colors>
</styleSheet>
</file>

<file path=xl/volatileDependencies.xml><?xml version="1.0" encoding="utf-8"?>
<volTypes xmlns="http://schemas.openxmlformats.org/spreadsheetml/2006/main">
  <volType type="realTimeData">
    <main first="infomax.xlrtd">
      <tp t="s">
        <v/>
        <stp/>
        <stp>P</stp>
        <stp>0</stp>
        <stp>BND</stp>
        <stp>KR103502G560</stp>
        <stp>신용평가등급4</stp>
        <stp/>
        <stp/>
        <tr r="W28" s="1"/>
      </tp>
      <tp>
        <v>0</v>
        <stp/>
        <stp>P</stp>
        <stp>0</stp>
        <stp>BND</stp>
        <stp>KR103502G560</stp>
        <stp>만기보장수익률</stp>
        <stp/>
        <stp/>
        <tr r="K34" s="1"/>
      </tp>
      <tp t="s">
        <v>만기상환</v>
        <stp/>
        <stp>P</stp>
        <stp>0</stp>
        <stp>BND</stp>
        <stp>KR103502G560</stp>
        <stp>분할상환구분</stp>
        <stp/>
        <stp/>
        <tr r="K25" s="1"/>
      </tp>
      <tp t="s">
        <v/>
        <stp/>
        <stp>P</stp>
        <stp>0</stp>
        <stp>BND</stp>
        <stp>KR103502G560</stp>
        <stp>신용평가등급1</stp>
        <stp/>
        <stp/>
        <tr r="W25" s="1"/>
      </tp>
      <tp t="s">
        <v/>
        <stp/>
        <stp>P</stp>
        <stp>0</stp>
        <stp>BND</stp>
        <stp>KR103502G560</stp>
        <stp>신용평가등급3</stp>
        <stp/>
        <stp/>
        <tr r="W27" s="1"/>
      </tp>
      <tp t="s">
        <v/>
        <stp/>
        <stp>P</stp>
        <stp>0</stp>
        <stp>BND</stp>
        <stp>KR103502G560</stp>
        <stp>신용평가등급2</stp>
        <stp/>
        <stp/>
        <tr r="Q30" s="1"/>
        <tr r="W26" s="1"/>
      </tp>
      <tp>
        <v>1.63</v>
        <stp/>
        <stp>P</stp>
        <stp>0</stp>
        <stp>BND</stp>
        <stp>KR103502G560</stp>
        <stp>민평4사 수익률(산출일)</stp>
        <stp/>
        <stp/>
        <tr r="AL25" s="1"/>
      </tp>
      <tp>
        <v>1.63</v>
        <stp/>
        <stp>P</stp>
        <stp>0</stp>
        <stp>BND</stp>
        <stp>KR103502G560</stp>
        <stp>민평3사 수익률(산출일)</stp>
        <stp/>
        <stp/>
        <tr r="AF25" s="1"/>
      </tp>
      <tp t="s">
        <v/>
        <stp/>
        <stp>P</stp>
        <stp>0</stp>
        <stp>BND</stp>
        <stp>KR103502G560</stp>
        <stp>종금 순매수 거래량</stp>
        <stp>42304</stp>
        <stp/>
        <tr r="Y52" s="1"/>
      </tp>
      <tp t="s">
        <v/>
        <stp/>
        <stp>P</stp>
        <stp>0</stp>
        <stp>BND</stp>
        <stp>KR103502G560</stp>
        <stp>정부 순매수 거래량</stp>
        <stp>42304</stp>
        <stp/>
        <tr r="AC54" s="1"/>
        <tr r="AC52" s="1"/>
      </tp>
      <tp>
        <v>-20000000000</v>
        <stp/>
        <stp>P</stp>
        <stp>0</stp>
        <stp>BND</stp>
        <stp>KR103502G560</stp>
        <stp>은행 순매수 거래량</stp>
        <stp>42304</stp>
        <stp/>
        <tr r="M52" s="1"/>
        <tr r="M52" s="1"/>
      </tp>
      <tp>
        <v>339033000</v>
        <stp/>
        <stp>P</stp>
        <stp>0</stp>
        <stp>BND</stp>
        <stp>KR103502G560</stp>
        <stp>개인 순매수 거래량</stp>
        <stp>42304</stp>
        <stp/>
        <tr r="AK52" s="1"/>
        <tr r="AK52" s="1"/>
        <tr r="AK54" s="1"/>
        <tr r="AK54" s="1"/>
      </tp>
      <tp>
        <v>40000000000</v>
        <stp/>
        <stp>P</stp>
        <stp>0</stp>
        <stp>BND</stp>
        <stp>KR103502G560</stp>
        <stp>은행 매도 거래량</stp>
        <stp>42304</stp>
        <stp/>
        <tr r="M54" s="1"/>
        <tr r="M54" s="1"/>
      </tp>
      <tp>
        <v>20000000000</v>
        <stp/>
        <stp>P</stp>
        <stp>0</stp>
        <stp>BND</stp>
        <stp>KR103502G560</stp>
        <stp>은행 매수 거래량</stp>
        <stp>42304</stp>
        <stp/>
        <tr r="M53" s="1"/>
        <tr r="M53" s="1"/>
      </tp>
      <tp>
        <v>20000000000</v>
        <stp/>
        <stp>P</stp>
        <stp>0</stp>
        <stp>BND</stp>
        <stp>KR103502G560</stp>
        <stp>보험기금 매도 거래량</stp>
        <stp>42304</stp>
        <stp/>
        <tr r="Q54" s="1"/>
        <tr r="Q54" s="1"/>
      </tp>
      <tp>
        <v>22000000000</v>
        <stp/>
        <stp>P</stp>
        <stp>0</stp>
        <stp>BND</stp>
        <stp>KR103502G560</stp>
        <stp>보험기금 매수 거래량</stp>
        <stp>42304</stp>
        <stp/>
        <tr r="Q53" s="1"/>
        <tr r="Q53" s="1"/>
      </tp>
      <tp t="s">
        <v/>
        <stp/>
        <stp>P</stp>
        <stp>0</stp>
        <stp>BND</stp>
        <stp>KR103502G560</stp>
        <stp>정부 매수 거래량</stp>
        <stp>42304</stp>
        <stp/>
        <tr r="AC53" s="1"/>
      </tp>
      <tp t="s">
        <v/>
        <stp/>
        <stp>P</stp>
        <stp>0</stp>
        <stp>BND</stp>
        <stp>KR103502G560</stp>
        <stp>분할상환중이자율</stp>
        <stp/>
        <stp/>
        <tr r="L30" s="1"/>
      </tp>
      <tp t="s">
        <v>KR103502G560</v>
        <stp/>
        <stp>P</stp>
        <stp>0</stp>
        <stp>BND</stp>
        <stp>KR103502G560</stp>
        <stp>표준코드</stp>
        <stp/>
        <stp/>
        <tr r="W6" s="1"/>
      </tp>
      <tp t="s">
        <v>한국은행</v>
        <stp/>
        <stp>P</stp>
        <stp>0</stp>
        <stp>BND</stp>
        <stp>KR103502G560</stp>
        <stp>원리금지급대행사</stp>
        <stp/>
        <stp/>
        <tr r="W14" s="1"/>
      </tp>
      <tp t="s">
        <v/>
        <stp/>
        <stp>P</stp>
        <stp>0</stp>
        <stp>BND</stp>
        <stp>KR103502G560</stp>
        <stp>선매출일이자계산유형</stp>
        <stp/>
        <stp/>
        <tr r="AI15" s="1"/>
      </tp>
      <tp>
        <v>0</v>
        <stp/>
        <stp>H</stp>
        <stp>x2.iMXH2</stp>
        <stp>7</stp>
        <stp>921490</stp>
        <tr r="ES8" s="1"/>
      </tp>
      <tp>
        <v>0</v>
        <stp/>
        <stp>H</stp>
        <stp>x1.iMXH2</stp>
        <stp>6</stp>
        <stp>921490</stp>
        <tr r="FL8" s="1"/>
      </tp>
      <tp t="s">
        <v>국채</v>
        <stp/>
        <stp>P</stp>
        <stp>0</stp>
        <stp>BND</stp>
        <stp>KR103502G560</stp>
        <stp>인포맥스 대분류</stp>
        <stp/>
        <stp/>
        <tr r="K21" s="1"/>
      </tp>
      <tp t="s">
        <v>국고채권</v>
        <stp/>
        <stp>P</stp>
        <stp>0</stp>
        <stp>BND</stp>
        <stp>KR103502G560</stp>
        <stp>인포맥스 중분류</stp>
        <stp/>
        <stp/>
        <tr r="K22" s="1"/>
      </tp>
      <tp t="s">
        <v>3Y</v>
        <stp/>
        <stp>P</stp>
        <stp>0</stp>
        <stp>BND</stp>
        <stp>KR103502G560</stp>
        <stp>인포맥스 소분류</stp>
        <stp/>
        <stp/>
        <tr r="K23" s="1"/>
      </tp>
      <tp>
        <v>100</v>
        <stp/>
        <stp>P</stp>
        <stp>0</stp>
        <stp>BND</stp>
        <stp>KR103502G560</stp>
        <stp>상환비율 (만기상환율)</stp>
        <stp/>
        <stp/>
        <tr r="AI16" s="1"/>
      </tp>
      <tp>
        <v>20150610</v>
        <stp/>
        <stp>P</stp>
        <stp>0</stp>
        <stp>BND</stp>
        <stp>KR103502G560</stp>
        <stp>발행일</stp>
        <stp/>
        <stp/>
        <tr r="W16" s="1"/>
      </tp>
      <tp>
        <v>20180610</v>
        <stp/>
        <stp>P</stp>
        <stp>0</stp>
        <stp>BND</stp>
        <stp>KR103502G560</stp>
        <stp>만기일</stp>
        <stp/>
        <stp/>
        <tr r="W17" s="1"/>
      </tp>
      <tp>
        <v>20150602</v>
        <stp/>
        <stp>P</stp>
        <stp>0</stp>
        <stp>BND</stp>
        <stp>KR103502G560</stp>
        <stp>상장일</stp>
        <stp/>
        <stp/>
        <tr r="K15" s="1"/>
      </tp>
      <tp>
        <v>0</v>
        <stp/>
        <stp>P</stp>
        <stp>0</stp>
        <stp>BND</stp>
        <stp>KR103502G560</stp>
        <stp>균등상환액</stp>
        <stp/>
        <stp/>
        <tr r="K29" s="1"/>
      </tp>
      <tp t="s">
        <v>00000000</v>
        <stp/>
        <stp>P</stp>
        <stp>0</stp>
        <stp>BND</stp>
        <stp>KR103502G560</stp>
        <stp>행사개시일</stp>
        <stp/>
        <stp/>
        <tr r="K38" s="1"/>
      </tp>
      <tp t="s">
        <v>00000000</v>
        <stp/>
        <stp>P</stp>
        <stp>0</stp>
        <stp>BND</stp>
        <stp>KR103502G560</stp>
        <stp>행사종료일</stp>
        <stp/>
        <stp/>
        <tr r="K39" s="1"/>
      </tp>
      <tp>
        <v>1017700000</v>
        <stp/>
        <stp>P</stp>
        <stp>0</stp>
        <stp>BND</stp>
        <stp>KR103502G560</stp>
        <stp>발행액</stp>
        <stp/>
        <stp/>
        <tr r="K11" s="1"/>
      </tp>
      <tp t="s">
        <v/>
        <stp/>
        <stp>P</stp>
        <stp>0</stp>
        <stp>BND</stp>
        <stp>KR103502G560</stp>
        <stp>기초자산명 1</stp>
        <stp/>
        <stp/>
        <tr r="W32" s="1"/>
      </tp>
      <tp t="s">
        <v>절사</v>
        <stp/>
        <stp>P</stp>
        <stp>0</stp>
        <stp>BND</stp>
        <stp>KR103502G560</stp>
        <stp>이자원미만처리구분</stp>
        <stp/>
        <stp/>
        <tr r="AI13" s="1"/>
      </tp>
      <tp t="s">
        <v/>
        <stp/>
        <stp>P</stp>
        <stp>0</stp>
        <stp>BND</stp>
        <stp>KR103502G560</stp>
        <stp>기초자산명 2</stp>
        <stp/>
        <stp/>
        <tr r="W33" s="1"/>
      </tp>
      <tp t="s">
        <v/>
        <stp/>
        <stp>P</stp>
        <stp>0</stp>
        <stp>BND</stp>
        <stp>KR103502G560</stp>
        <stp>기초자산명 3</stp>
        <stp/>
        <stp/>
        <tr r="W34" s="1"/>
      </tp>
      <tp>
        <v>1.655</v>
        <stp/>
        <stp>P</stp>
        <stp>0</stp>
        <stp>BND</stp>
        <stp>KR103502G560</stp>
        <stp>장외-현재수익률</stp>
        <stp>42299</stp>
        <stp/>
        <tr r="I49" s="1"/>
      </tp>
      <tp t="s">
        <v/>
        <stp/>
        <stp>P</stp>
        <stp>0</stp>
        <stp>BND</stp>
        <stp>KR103502G560</stp>
        <stp>기초자산명 4</stp>
        <stp/>
        <stp/>
        <tr r="W35" s="1"/>
      </tp>
      <tp t="s">
        <v/>
        <stp/>
        <stp>P</stp>
        <stp>0</stp>
        <stp>BND</stp>
        <stp>KR103502G560</stp>
        <stp>기초자산명 5</stp>
        <stp/>
        <stp/>
        <tr r="W36" s="1"/>
      </tp>
      <tp>
        <v>8.0000000000000002E-3</v>
        <stp/>
        <stp>P</stp>
        <stp>0</stp>
        <stp>BND</stp>
        <stp>KR103502G560</stp>
        <stp>장외-민평수익률대비</stp>
        <stp>42299</stp>
        <stp/>
        <tr r="AC49" s="1"/>
      </tp>
      <tp t="s">
        <v/>
        <stp/>
        <stp>P</stp>
        <stp>0</stp>
        <stp>BND</stp>
        <stp>KR103502G560</stp>
        <stp>기초자산명 6</stp>
        <stp/>
        <stp/>
        <tr r="W37" s="1"/>
      </tp>
      <tp t="s">
        <v/>
        <stp/>
        <stp>P</stp>
        <stp>0</stp>
        <stp>BND</stp>
        <stp>KR103502G560</stp>
        <stp>기초자산명 7</stp>
        <stp/>
        <stp/>
        <tr r="W38" s="1"/>
      </tp>
      <tp t="s">
        <v/>
        <stp/>
        <stp>P</stp>
        <stp>0</stp>
        <stp>BND</stp>
        <stp>KR103502G560</stp>
        <stp>권리구분</stp>
        <stp/>
        <stp/>
        <tr r="K35" s="1"/>
      </tp>
      <tp t="s">
        <v/>
        <stp/>
        <stp>P</stp>
        <stp>0</stp>
        <stp>BND</stp>
        <stp>KR103502G560</stp>
        <stp>기초자산명 8</stp>
        <stp/>
        <stp/>
        <tr r="W39" s="1"/>
      </tp>
      <tp t="s">
        <v/>
        <stp/>
        <stp>P</stp>
        <stp>0</stp>
        <stp>BND</stp>
        <stp>KR103502G560</stp>
        <stp>기초자산명 9</stp>
        <stp/>
        <stp/>
        <tr r="W40" s="1"/>
      </tp>
      <tp t="s">
        <v>KTB01625-1806(15-3)</v>
        <stp/>
        <stp>P</stp>
        <stp>0</stp>
        <stp>BND</stp>
        <stp>KR103502G560</stp>
        <stp>영문종목명</stp>
        <stp/>
        <stp/>
        <tr r="K7" s="1"/>
      </tp>
      <tp>
        <v>1.63</v>
        <stp/>
        <stp>P</stp>
        <stp>0</stp>
        <stp>BND</stp>
        <stp>KR103502G560</stp>
        <stp>FNP 수익률(산출일)</stp>
        <stp/>
        <stp/>
        <tr r="AL29" s="1"/>
      </tp>
      <tp>
        <v>1.63</v>
        <stp/>
        <stp>P</stp>
        <stp>0</stp>
        <stp>BND</stp>
        <stp>KR103502G560</stp>
        <stp>NIC 수익률(산출일)</stp>
        <stp/>
        <stp/>
        <tr r="AF29" s="1"/>
      </tp>
      <tp>
        <v>1.63</v>
        <stp/>
        <stp>P</stp>
        <stp>0</stp>
        <stp>BND</stp>
        <stp>KR103502G560</stp>
        <stp>KBP 수익률(산출일)</stp>
        <stp/>
        <stp/>
        <tr r="AF27" s="1"/>
      </tp>
      <tp>
        <v>1.63</v>
        <stp/>
        <stp>P</stp>
        <stp>0</stp>
        <stp>BND</stp>
        <stp>KR103502G560</stp>
        <stp>KIS 수익률(산출일)</stp>
        <stp/>
        <stp/>
        <tr r="AL27" s="1"/>
      </tp>
      <tp t="s">
        <v>Y</v>
        <stp/>
        <stp>P</stp>
        <stp>0</stp>
        <stp>BND</stp>
        <stp>KR103502G560</stp>
        <stp>과세여부</stp>
        <stp/>
        <stp/>
        <tr r="AI7" s="1"/>
      </tp>
      <tp>
        <v>1.64</v>
        <stp/>
        <stp>P</stp>
        <stp>0</stp>
        <stp>BND</stp>
        <stp>KR103502G560</stp>
        <stp>장외-현재수익률</stp>
        <stp>42303</stp>
        <stp/>
        <tr r="I47" s="1"/>
      </tp>
      <tp>
        <v>1.645</v>
        <stp/>
        <stp>P</stp>
        <stp>0</stp>
        <stp>BND</stp>
        <stp>KR103502G560</stp>
        <stp>장외-현재수익률</stp>
        <stp>42300</stp>
        <stp/>
        <tr r="I48" s="1"/>
      </tp>
      <tp>
        <v>1.63</v>
        <stp/>
        <stp>P</stp>
        <stp>0</stp>
        <stp>BND</stp>
        <stp>KR103502G560</stp>
        <stp>장외-현재수익률</stp>
        <stp>42305</stp>
        <stp/>
        <tr r="I45" s="1"/>
      </tp>
      <tp>
        <v>1.64</v>
        <stp/>
        <stp>P</stp>
        <stp>0</stp>
        <stp>BND</stp>
        <stp>KR103502G560</stp>
        <stp>장외-현재수익률</stp>
        <stp>42304</stp>
        <stp/>
        <tr r="I46" s="1"/>
      </tp>
      <tp>
        <v>-0.01</v>
        <stp/>
        <stp>P</stp>
        <stp>0</stp>
        <stp>BND</stp>
        <stp>KR103502G560</stp>
        <stp>장외-민평수익률대비</stp>
        <stp>42300</stp>
        <stp/>
        <tr r="AC48" s="1"/>
      </tp>
      <tp>
        <v>-7.000000000000001E-3</v>
        <stp/>
        <stp>P</stp>
        <stp>0</stp>
        <stp>BND</stp>
        <stp>KR103502G560</stp>
        <stp>장외-민평수익률대비</stp>
        <stp>42303</stp>
        <stp/>
        <tr r="AC47" s="1"/>
      </tp>
      <tp>
        <v>0</v>
        <stp/>
        <stp>P</stp>
        <stp>0</stp>
        <stp>BND</stp>
        <stp>KR103502G560</stp>
        <stp>장외-민평수익률대비</stp>
        <stp>42304</stp>
        <stp/>
        <tr r="AC46" s="1"/>
      </tp>
      <tp t="s">
        <v xml:space="preserve">      </v>
        <stp/>
        <stp>P</stp>
        <stp>0</stp>
        <stp>BND</stp>
        <stp>KR103502G560</stp>
        <stp>장외-민평수익률대비</stp>
        <stp>42305</stp>
        <stp/>
        <tr r="AC45" s="1"/>
      </tp>
      <tp t="s">
        <v>N</v>
        <stp/>
        <stp>P</stp>
        <stp>0</stp>
        <stp>BND</stp>
        <stp>KR103502G560</stp>
        <stp>기명여부</stp>
        <stp/>
        <stp/>
        <tr r="W7" s="1"/>
      </tp>
      <tp t="s">
        <v/>
        <stp/>
        <stp>P</stp>
        <stp>0</stp>
        <stp>BND</stp>
        <stp>KR103502G560</stp>
        <stp>대상종목명</stp>
        <stp/>
        <stp/>
        <tr r="K33" s="1"/>
      </tp>
      <tp t="s">
        <v>원화</v>
        <stp/>
        <stp>P</stp>
        <stp>0</stp>
        <stp>BND</stp>
        <stp>KR103502G560</stp>
        <stp>통화구분</stp>
        <stp/>
        <stp/>
        <tr r="K12" s="1"/>
      </tp>
      <tp>
        <v>9550</v>
        <stp/>
        <stp>P</stp>
        <stp>0</stp>
        <stp>BND</stp>
        <stp>KR103502G560</stp>
        <stp>대용가</stp>
        <stp/>
        <stp/>
        <tr r="K20" s="1"/>
      </tp>
      <tp t="s">
        <v>상장</v>
        <stp/>
        <stp>P</stp>
        <stp>0</stp>
        <stp>BND</stp>
        <stp>KR103502G560</stp>
        <stp>상장구분</stp>
        <stp/>
        <stp/>
        <tr r="K10" s="1"/>
      </tp>
      <tp t="s">
        <v/>
        <stp/>
        <stp>P</stp>
        <stp>0</stp>
        <stp>BND</stp>
        <stp>KR103502G560</stp>
        <stp>하한금리</stp>
        <stp/>
        <stp/>
        <tr r="AI36" s="1"/>
      </tp>
      <tp>
        <v>0</v>
        <stp/>
        <stp>P</stp>
        <stp>0</stp>
        <stp>BND</stp>
        <stp>KR103502G560</stp>
        <stp>행사가격</stp>
        <stp/>
        <stp/>
        <tr r="K36" s="1"/>
      </tp>
      <tp>
        <v>20005</v>
        <stp/>
        <stp>P</stp>
        <stp>0</stp>
        <stp>BND</stp>
        <stp>KR103502G560</stp>
        <stp>증권전산회사코드</stp>
        <stp/>
        <stp/>
        <tr r="K9" s="1"/>
      </tp>
      <tp t="s">
        <v>무보증</v>
        <stp/>
        <stp>P</stp>
        <stp>0</stp>
        <stp>BND</stp>
        <stp>KR103502G560</stp>
        <stp>보증형태</stp>
        <stp/>
        <stp/>
        <tr r="W15" s="1"/>
      </tp>
      <tp>
        <v>2000000000</v>
        <stp/>
        <stp>P</stp>
        <stp>0</stp>
        <stp>BND</stp>
        <stp>KR103502G560</stp>
        <stp>기타법인 매도 거래량</stp>
        <stp>42304</stp>
        <stp/>
        <tr r="AG54" s="1"/>
        <tr r="AG54" s="1"/>
      </tp>
      <tp>
        <v>0</v>
        <stp/>
        <stp>P</stp>
        <stp>0</stp>
        <stp>BND</stp>
        <stp>KR103502G560</stp>
        <stp>기타법인 매수 거래량</stp>
        <stp>42304</stp>
        <stp/>
        <tr r="AG53" s="1"/>
        <tr r="AG53" s="1"/>
      </tp>
      <tp t="s">
        <v>국고01625-1806(15-3)</v>
        <stp/>
        <stp>P</stp>
        <stp>0</stp>
        <stp>BND</stp>
        <stp>KR103502G560</stp>
        <stp>한글종목명</stp>
        <stp/>
        <stp/>
        <tr r="K6" s="1"/>
      </tp>
      <tp t="s">
        <v>선매출</v>
        <stp/>
        <stp>P</stp>
        <stp>0</stp>
        <stp>BND</stp>
        <stp>KR103502G560</stp>
        <stp>매출형태</stp>
        <stp/>
        <stp/>
        <tr r="AK14" s="1"/>
      </tp>
      <tp t="s">
        <v/>
        <stp/>
        <stp>P</stp>
        <stp>0</stp>
        <stp>BND</stp>
        <stp>KR103502G560</stp>
        <stp>상장폐지사유</stp>
        <stp/>
        <stp/>
        <tr r="K17" s="1"/>
      </tp>
      <tp>
        <v>1.647</v>
        <stp/>
        <stp>P</stp>
        <stp>0</stp>
        <stp>BND</stp>
        <stp>KR103502G560</stp>
        <stp>민평3사 수익률(산출일)</stp>
        <stp>42299</stp>
        <stp/>
        <tr r="Y49" s="1"/>
      </tp>
      <tp>
        <v>100</v>
        <stp/>
        <stp>P</stp>
        <stp>0</stp>
        <stp>BND</stp>
        <stp>KR103502G560</stp>
        <stp>발행율</stp>
        <stp/>
        <stp/>
        <tr r="K13" s="1"/>
      </tp>
      <tp t="s">
        <v/>
        <stp/>
        <stp>P</stp>
        <stp>0</stp>
        <stp>BND</stp>
        <stp>KR103502G560</stp>
        <stp>상한금리</stp>
        <stp/>
        <stp/>
        <tr r="AI35" s="1"/>
      </tp>
      <tp t="s">
        <v>06M</v>
        <stp/>
        <stp>P</stp>
        <stp>0</stp>
        <stp>BND</stp>
        <stp>KR103502G560</stp>
        <stp>이자지급기간</stp>
        <stp/>
        <stp/>
        <tr r="AI10" s="1"/>
      </tp>
      <tp>
        <v>1.655</v>
        <stp/>
        <stp>P</stp>
        <stp>0</stp>
        <stp>BND</stp>
        <stp>KR103502G560</stp>
        <stp>민평3사 수익률(산출일)</stp>
        <stp>42300</stp>
        <stp/>
        <tr r="Y48" s="1"/>
      </tp>
      <tp>
        <v>1.647</v>
        <stp/>
        <stp>P</stp>
        <stp>0</stp>
        <stp>BND</stp>
        <stp>KR103502G560</stp>
        <stp>민평3사 수익률(산출일)</stp>
        <stp>42303</stp>
        <stp/>
        <tr r="Y47" s="1"/>
      </tp>
      <tp>
        <v>1.64</v>
        <stp/>
        <stp>P</stp>
        <stp>0</stp>
        <stp>BND</stp>
        <stp>KR103502G560</stp>
        <stp>민평3사 수익률(산출일)</stp>
        <stp>42304</stp>
        <stp/>
        <tr r="Y46" s="1"/>
      </tp>
      <tp>
        <v>1.63</v>
        <stp/>
        <stp>P</stp>
        <stp>0</stp>
        <stp>BND</stp>
        <stp>KR103502G560</stp>
        <stp>민평3사 수익률(산출일)</stp>
        <stp>42305</stp>
        <stp/>
        <tr r="Y45" s="1"/>
      </tp>
      <tp t="s">
        <v>C03502G56</v>
        <stp/>
        <stp>P</stp>
        <stp>0</stp>
        <stp>BND</stp>
        <stp>KR103502G560</stp>
        <stp>단축코드</stp>
        <stp/>
        <stp/>
        <tr r="AI6" s="1"/>
      </tp>
      <tp>
        <v>2000000000</v>
        <stp/>
        <stp>P</stp>
        <stp>0</stp>
        <stp>BND</stp>
        <stp>KR103502G560</stp>
        <stp>보험기금 순매수 거래량</stp>
        <stp>42304</stp>
        <stp/>
        <tr r="Q52" s="1"/>
        <tr r="Q52" s="1"/>
      </tp>
      <tp t="s">
        <v>00000000</v>
        <stp/>
        <stp>P</stp>
        <stp>0</stp>
        <stp>BND</stp>
        <stp>KR103502G560</stp>
        <stp>상장폐지일</stp>
        <stp/>
        <stp/>
        <tr r="K16" s="1"/>
      </tp>
      <tp t="s">
        <v>선순위</v>
        <stp/>
        <stp>P</stp>
        <stp>0</stp>
        <stp>BND</stp>
        <stp>KR103502G560</stp>
        <stp>후순위채구분</stp>
        <stp/>
        <stp/>
        <tr r="W8" s="1"/>
      </tp>
      <tp>
        <v>0</v>
        <stp/>
        <stp>P</stp>
        <stp>0</stp>
        <stp>BND</stp>
        <stp>KR103502G560</stp>
        <stp>원금거치기간</stp>
        <stp/>
        <stp/>
        <tr r="K26" s="1"/>
      </tp>
      <tp t="s">
        <v/>
        <stp/>
        <stp>P</stp>
        <stp>0</stp>
        <stp>BND</stp>
        <stp>KR103502G560</stp>
        <stp>외국인 순매수 거래량</stp>
        <stp>42304</stp>
        <stp/>
        <tr r="I52" s="1"/>
      </tp>
      <tp t="s">
        <v/>
        <stp/>
        <stp>P</stp>
        <stp>0</stp>
        <stp>BND</stp>
        <stp>KR103502G560</stp>
        <stp>기초자산명 10</stp>
        <stp/>
        <stp/>
        <tr r="W41" s="1"/>
      </tp>
      <tp>
        <v>-3000000000</v>
        <stp/>
        <stp>P</stp>
        <stp>0</stp>
        <stp>BND</stp>
        <stp>KR103502G560</stp>
        <stp>자산운용(공모) 순매수 거래량</stp>
        <stp>42304</stp>
        <stp/>
        <tr r="U52" s="1"/>
        <tr r="U52" s="1"/>
      </tp>
      <tp t="s">
        <v>만기일일자기준</v>
        <stp/>
        <stp>P</stp>
        <stp>0</stp>
        <stp>BND</stp>
        <stp>KR103502G560</stp>
        <stp>이자단위택일구분</stp>
        <stp/>
        <stp/>
        <tr r="AI12" s="1"/>
      </tp>
      <tp>
        <v>0</v>
        <stp/>
        <stp>P</stp>
        <stp>0</stp>
        <stp>BND</stp>
        <stp>KR103502G560</stp>
        <stp>인수금액1</stp>
        <stp/>
        <stp/>
        <tr r="K19" s="1"/>
      </tp>
      <tp t="s">
        <v/>
        <stp/>
        <stp>P</stp>
        <stp>0</stp>
        <stp>BND</stp>
        <stp>KR103502G560</stp>
        <stp>인수기관1</stp>
        <stp/>
        <stp/>
        <tr r="K18" s="1"/>
      </tp>
      <tp t="s">
        <v>이표채</v>
        <stp/>
        <stp>P</stp>
        <stp>0</stp>
        <stp>BND</stp>
        <stp>KR103502G560</stp>
        <stp>이자종류</stp>
        <stp/>
        <stp/>
        <tr r="AI8" s="1"/>
      </tp>
      <tp t="s">
        <v/>
        <stp/>
        <stp>P</stp>
        <stp>0</stp>
        <stp>BND</stp>
        <stp>KR103502G560</stp>
        <stp>종금 매도 거래량</stp>
        <stp>42304</stp>
        <stp/>
        <tr r="Y54" s="1"/>
      </tp>
      <tp t="s">
        <v/>
        <stp/>
        <stp>P</stp>
        <stp>0</stp>
        <stp>BND</stp>
        <stp>KR103502G560</stp>
        <stp>종금 매수 거래량</stp>
        <stp>42304</stp>
        <stp/>
        <tr r="Y53" s="1"/>
      </tp>
      <tp t="s">
        <v/>
        <stp/>
        <stp>P</stp>
        <stp>0</stp>
        <stp>BND</stp>
        <stp>KR103502G560</stp>
        <stp>외국인 매도 거래량</stp>
        <stp>42304</stp>
        <stp/>
        <tr r="I54" s="1"/>
      </tp>
      <tp t="s">
        <v/>
        <stp/>
        <stp>P</stp>
        <stp>0</stp>
        <stp>BND</stp>
        <stp>KR103502G560</stp>
        <stp>외국인 매수 거래량</stp>
        <stp>42304</stp>
        <stp/>
        <tr r="I53" s="1"/>
      </tp>
      <tp>
        <v>0</v>
        <stp/>
        <stp>P</stp>
        <stp>0</stp>
        <stp>BND</stp>
        <stp>KR103502G560</stp>
        <stp>분할상환횟수</stp>
        <stp/>
        <stp/>
        <tr r="K27" s="1"/>
      </tp>
      <tp>
        <v>781067580</v>
        <stp/>
        <stp>P</stp>
        <stp>0</stp>
        <stp>BND</stp>
        <stp>KR103502G560</stp>
        <stp>장외-누적거래대금</stp>
        <stp>42299</stp>
        <stp/>
        <tr r="AK49" s="1"/>
      </tp>
      <tp t="s">
        <v>한국은행</v>
        <stp/>
        <stp>P</stp>
        <stp>0</stp>
        <stp>BND</stp>
        <stp>KR103502G560</stp>
        <stp>등록기관</stp>
        <stp/>
        <stp/>
        <tr r="W13" s="1"/>
      </tp>
      <tp t="s">
        <v/>
        <stp/>
        <stp>P</stp>
        <stp>0</stp>
        <stp>BND</stp>
        <stp>KR103502G560</stp>
        <stp>Fliper 여부</stp>
        <stp/>
        <stp/>
        <tr r="AI33" s="1"/>
      </tp>
      <tp>
        <v>0</v>
        <stp/>
        <stp>P</stp>
        <stp>0</stp>
        <stp>BND</stp>
        <stp>KR103502G560</stp>
        <stp>발행가산금리</stp>
        <stp/>
        <stp/>
        <tr r="AI34" s="1"/>
      </tp>
      <tp>
        <v>562993140</v>
        <stp/>
        <stp>P</stp>
        <stp>0</stp>
        <stp>BND</stp>
        <stp>KR103502G560</stp>
        <stp>장외-누적거래대금</stp>
        <stp>42300</stp>
        <stp/>
        <tr r="AK48" s="1"/>
      </tp>
      <tp>
        <v>740092315</v>
        <stp/>
        <stp>P</stp>
        <stp>0</stp>
        <stp>BND</stp>
        <stp>KR103502G560</stp>
        <stp>장외-누적거래대금</stp>
        <stp>42303</stp>
        <stp/>
        <tr r="AK47" s="1"/>
      </tp>
      <tp>
        <v>697399499</v>
        <stp/>
        <stp>P</stp>
        <stp>0</stp>
        <stp>BND</stp>
        <stp>KR103502G560</stp>
        <stp>장외-누적거래대금</stp>
        <stp>42304</stp>
        <stp/>
        <tr r="AK46" s="1"/>
      </tp>
      <tp>
        <v>339041710</v>
        <stp/>
        <stp>P</stp>
        <stp>0</stp>
        <stp>BND</stp>
        <stp>KR103502G560</stp>
        <stp>장외-누적거래대금</stp>
        <stp>42305</stp>
        <stp/>
        <tr r="AK45" s="1"/>
      </tp>
      <tp>
        <v>20150602</v>
        <stp/>
        <stp>P</stp>
        <stp>0</stp>
        <stp>BND</stp>
        <stp>KR103502G560</stp>
        <stp>선매출일</stp>
        <stp/>
        <stp/>
        <tr r="W18" s="1"/>
      </tp>
      <tp t="s">
        <v/>
        <stp/>
        <stp>P</stp>
        <stp>0</stp>
        <stp>BND</stp>
        <stp>KR103502G560</stp>
        <stp>보증기관</stp>
        <stp/>
        <stp/>
        <tr r="W11" s="1"/>
      </tp>
      <tp>
        <v>1017700000</v>
        <stp/>
        <stp>P</stp>
        <stp>0</stp>
        <stp>BND</stp>
        <stp>KR103502G560</stp>
        <stp>상장잔액</stp>
        <stp/>
        <stp/>
        <tr r="K14" s="1"/>
      </tp>
      <tp>
        <v>1.66</v>
        <stp/>
        <stp>P</stp>
        <stp>0</stp>
        <stp>BND</stp>
        <stp>KR103502G560</stp>
        <stp>장외-고 수익률</stp>
        <stp>42303</stp>
        <stp/>
        <tr r="Q47" s="1"/>
      </tp>
      <tp>
        <v>1.64</v>
        <stp/>
        <stp>P</stp>
        <stp>0</stp>
        <stp>BND</stp>
        <stp>KR103502G560</stp>
        <stp>장외-시 수익률</stp>
        <stp>42303</stp>
        <stp/>
        <tr r="M47" s="1"/>
      </tp>
      <tp>
        <v>1.635</v>
        <stp/>
        <stp>P</stp>
        <stp>0</stp>
        <stp>BND</stp>
        <stp>KR103502G560</stp>
        <stp>장외-저 수익률</stp>
        <stp>42303</stp>
        <stp/>
        <tr r="U47" s="1"/>
      </tp>
      <tp>
        <v>1.6639999999999999</v>
        <stp/>
        <stp>P</stp>
        <stp>0</stp>
        <stp>BND</stp>
        <stp>KR103502G560</stp>
        <stp>장외-고 수익률</stp>
        <stp>42300</stp>
        <stp/>
        <tr r="Q48" s="1"/>
      </tp>
      <tp>
        <v>1.65</v>
        <stp/>
        <stp>P</stp>
        <stp>0</stp>
        <stp>BND</stp>
        <stp>KR103502G560</stp>
        <stp>장외-시 수익률</stp>
        <stp>42300</stp>
        <stp/>
        <tr r="M48" s="1"/>
      </tp>
      <tp>
        <v>1.64</v>
        <stp/>
        <stp>P</stp>
        <stp>0</stp>
        <stp>BND</stp>
        <stp>KR103502G560</stp>
        <stp>장외-저 수익률</stp>
        <stp>42300</stp>
        <stp/>
        <tr r="U48" s="1"/>
      </tp>
      <tp>
        <v>1.6339999999999999</v>
        <stp/>
        <stp>P</stp>
        <stp>0</stp>
        <stp>BND</stp>
        <stp>KR103502G560</stp>
        <stp>장외-고 수익률</stp>
        <stp>42305</stp>
        <stp/>
        <tr r="Q45" s="1"/>
      </tp>
      <tp t="s">
        <v xml:space="preserve">      </v>
        <stp/>
        <stp>P</stp>
        <stp>0</stp>
        <stp>BND</stp>
        <stp>KR103502G560</stp>
        <stp>장외-시 수익률</stp>
        <stp>42305</stp>
        <stp/>
        <tr r="M45" s="1"/>
      </tp>
      <tp>
        <v>1.63</v>
        <stp/>
        <stp>P</stp>
        <stp>0</stp>
        <stp>BND</stp>
        <stp>KR103502G560</stp>
        <stp>장외-저 수익률</stp>
        <stp>42305</stp>
        <stp/>
        <tr r="U45" s="1"/>
      </tp>
      <tp>
        <v>1.655</v>
        <stp/>
        <stp>P</stp>
        <stp>0</stp>
        <stp>BND</stp>
        <stp>KR103502G560</stp>
        <stp>장외-고 수익률</stp>
        <stp>42304</stp>
        <stp/>
        <tr r="Q46" s="1"/>
      </tp>
      <tp>
        <v>1.645</v>
        <stp/>
        <stp>P</stp>
        <stp>0</stp>
        <stp>BND</stp>
        <stp>KR103502G560</stp>
        <stp>장외-시 수익률</stp>
        <stp>42304</stp>
        <stp/>
        <tr r="M46" s="1"/>
      </tp>
      <tp>
        <v>1.5820000000000001</v>
        <stp/>
        <stp>P</stp>
        <stp>0</stp>
        <stp>BND</stp>
        <stp>KR103502G560</stp>
        <stp>장외-저 수익률</stp>
        <stp>42304</stp>
        <stp/>
        <tr r="U46" s="1"/>
      </tp>
      <tp>
        <v>1.66</v>
        <stp/>
        <stp>P</stp>
        <stp>0</stp>
        <stp>BND</stp>
        <stp>KR103502G560</stp>
        <stp>장외-고 수익률</stp>
        <stp>42299</stp>
        <stp/>
        <tr r="Q49" s="1"/>
      </tp>
      <tp>
        <v>1.65</v>
        <stp/>
        <stp>P</stp>
        <stp>0</stp>
        <stp>BND</stp>
        <stp>KR103502G560</stp>
        <stp>장외-시 수익률</stp>
        <stp>42299</stp>
        <stp/>
        <tr r="M49" s="1"/>
      </tp>
      <tp>
        <v>1.64</v>
        <stp/>
        <stp>P</stp>
        <stp>0</stp>
        <stp>BND</stp>
        <stp>KR103502G560</stp>
        <stp>장외-저 수익률</stp>
        <stp>42299</stp>
        <stp/>
        <tr r="U49" s="1"/>
      </tp>
      <tp t="s">
        <v>일반채권</v>
        <stp/>
        <stp>P</stp>
        <stp>0</stp>
        <stp>BND</stp>
        <stp>KR103502G560</stp>
        <stp>주식관련사채구분</stp>
        <stp/>
        <stp/>
        <tr r="AI18" s="1"/>
      </tp>
      <tp t="s">
        <v/>
        <stp/>
        <stp>P</stp>
        <stp>0</stp>
        <stp>BND</stp>
        <stp>KR103502G560</stp>
        <stp>기준금리 4</stp>
        <stp/>
        <stp/>
        <tr r="AI40" s="1"/>
      </tp>
      <tp t="s">
        <v/>
        <stp/>
        <stp>P</stp>
        <stp>0</stp>
        <stp>BND</stp>
        <stp>KR103502G560</stp>
        <stp>기준금리 5</stp>
        <stp/>
        <stp/>
        <tr r="AI41" s="1"/>
      </tp>
      <tp t="s">
        <v/>
        <stp/>
        <stp>P</stp>
        <stp>0</stp>
        <stp>BND</stp>
        <stp>KR103502G560</stp>
        <stp>기준금리 2</stp>
        <stp/>
        <stp/>
        <tr r="AI38" s="1"/>
      </tp>
      <tp t="s">
        <v/>
        <stp/>
        <stp>P</stp>
        <stp>0</stp>
        <stp>BND</stp>
        <stp>KR103502G560</stp>
        <stp>기준금리 3</stp>
        <stp/>
        <stp/>
        <tr r="AI39" s="1"/>
      </tp>
      <tp>
        <v>-2000000000</v>
        <stp/>
        <stp>P</stp>
        <stp>0</stp>
        <stp>BND</stp>
        <stp>KR103502G560</stp>
        <stp>기타법인 순매수 거래량</stp>
        <stp>42304</stp>
        <stp/>
        <tr r="AG52" s="1"/>
        <tr r="AG52" s="1"/>
      </tp>
      <tp t="s">
        <v/>
        <stp/>
        <stp>P</stp>
        <stp>0</stp>
        <stp>BND</stp>
        <stp>KR103502G560</stp>
        <stp>기준금리 1</stp>
        <stp/>
        <stp/>
        <tr r="AI37" s="1"/>
      </tp>
      <tp t="s">
        <v>해당없음</v>
        <stp/>
        <stp>P</stp>
        <stp>0</stp>
        <stp>BND</stp>
        <stp>KR103502G560</stp>
        <stp>ABS구분</stp>
        <stp/>
        <stp/>
        <tr r="AI17" s="1"/>
      </tp>
      <tp>
        <v>10060.76</v>
        <stp/>
        <stp>P</stp>
        <stp>0</stp>
        <stp>BND</stp>
        <stp>KR103502G560</stp>
        <stp>FNP 가격(산출일)</stp>
        <stp/>
        <stp/>
        <tr r="AL30" s="1"/>
      </tp>
      <tp>
        <v>10060.76</v>
        <stp/>
        <stp>P</stp>
        <stp>0</stp>
        <stp>BND</stp>
        <stp>KR103502G560</stp>
        <stp>KBP 가격(산출일)</stp>
        <stp/>
        <stp/>
        <tr r="AF28" s="1"/>
      </tp>
      <tp>
        <v>10060.76</v>
        <stp/>
        <stp>P</stp>
        <stp>0</stp>
        <stp>BND</stp>
        <stp>KR103502G560</stp>
        <stp>KIS 가격(산출일)</stp>
        <stp/>
        <stp/>
        <tr r="AL28" s="1"/>
      </tp>
      <tp>
        <v>0</v>
        <stp/>
        <stp>P</stp>
        <stp>0</stp>
        <stp>BND</stp>
        <stp>KR103502G560</stp>
        <stp>분할상환단위기간개월수</stp>
        <stp/>
        <stp/>
        <tr r="K28" s="1"/>
      </tp>
      <tp t="s">
        <v>공모</v>
        <stp/>
        <stp>P</stp>
        <stp>0</stp>
        <stp>BND</stp>
        <stp>KR103502G560</stp>
        <stp>공모사모구분</stp>
        <stp/>
        <stp/>
        <tr r="W9" s="1"/>
      </tp>
      <tp>
        <v>10060.76</v>
        <stp/>
        <stp>P</stp>
        <stp>0</stp>
        <stp>BND</stp>
        <stp>KR103502G560</stp>
        <stp>민평4사 가격(산출일)</stp>
        <stp/>
        <stp/>
        <tr r="AL26" s="1"/>
      </tp>
      <tp>
        <v>10060.76</v>
        <stp/>
        <stp>P</stp>
        <stp>0</stp>
        <stp>BND</stp>
        <stp>KR103502G560</stp>
        <stp>민평3사 가격(산출일)</stp>
        <stp/>
        <stp/>
        <tr r="AF26" s="1"/>
      </tp>
      <tp>
        <v>10060.76</v>
        <stp/>
        <stp>P</stp>
        <stp>0</stp>
        <stp>BND</stp>
        <stp>KR103502G560</stp>
        <stp>NIC 가격(산출일)</stp>
        <stp/>
        <stp/>
        <tr r="AF30" s="1"/>
      </tp>
      <tp t="s">
        <v/>
        <stp/>
        <stp>P</stp>
        <stp>0</stp>
        <stp>BND</stp>
        <stp>KR103502G560</stp>
        <stp>수탁기관</stp>
        <stp/>
        <stp/>
        <tr r="W12" s="1"/>
      </tp>
      <tp t="s">
        <v>국고채권</v>
        <stp/>
        <stp>P</stp>
        <stp>0</stp>
        <stp>BND</stp>
        <stp>KR103502G560</stp>
        <stp>회사명</stp>
        <stp/>
        <stp/>
        <tr r="K8" s="1"/>
      </tp>
      <tp>
        <v>339033000</v>
        <stp/>
        <stp>P</stp>
        <stp>0</stp>
        <stp>BND</stp>
        <stp>KR103502G560</stp>
        <stp>개인 매수 거래량</stp>
        <stp>42304</stp>
        <stp/>
        <tr r="AK53" s="1"/>
        <tr r="AK53" s="1"/>
      </tp>
      <tp>
        <v>34000000000</v>
        <stp/>
        <stp>P</stp>
        <stp>0</stp>
        <stp>BND</stp>
        <stp>KR103502G560</stp>
        <stp>자산운용(공모) 매수 거래량</stp>
        <stp>42304</stp>
        <stp/>
        <tr r="U53" s="1"/>
        <tr r="U53" s="1"/>
      </tp>
      <tp>
        <v>37000000000</v>
        <stp/>
        <stp>P</stp>
        <stp>0</stp>
        <stp>BND</stp>
        <stp>KR103502G560</stp>
        <stp>자산운용(공모) 매도 거래량</stp>
        <stp>42304</stp>
        <stp/>
        <tr r="U54" s="1"/>
        <tr r="U54" s="1"/>
      </tp>
      <tp>
        <v>0</v>
        <stp/>
        <stp>P</stp>
        <stp>0</stp>
        <stp>BND</stp>
        <stp>KR103502G560</stp>
        <stp>행사비율</stp>
        <stp/>
        <stp/>
        <tr r="K37" s="1"/>
      </tp>
      <tp>
        <v>1.625</v>
        <stp/>
        <stp>P</stp>
        <stp>0</stp>
        <stp>BND</stp>
        <stp>KR103502G560</stp>
        <stp>표면이율</stp>
        <stp/>
        <stp/>
        <tr r="AI9" s="1"/>
      </tp>
      <tp t="s">
        <v/>
        <stp/>
        <stp>P</stp>
        <stp>0</stp>
        <stp>BND</stp>
        <stp>KR103502G560</stp>
        <stp>대상종목코드</stp>
        <stp/>
        <stp/>
        <tr r="K32" s="1"/>
      </tp>
      <tp t="s">
        <v>후급</v>
        <stp/>
        <stp>P</stp>
        <stp>0</stp>
        <stp>BND</stp>
        <stp>KR103502G560</stp>
        <stp>이자선후구분</stp>
        <stp/>
        <stp/>
        <tr r="AI11" s="1"/>
      </tp>
      <tp t="s">
        <v/>
        <stp/>
        <stp>P</stp>
        <stp>0</stp>
        <stp>BND</stp>
        <stp>KR103502G560</stp>
        <stp>FRN 타입</stp>
        <stp/>
        <stp/>
        <tr r="AI32" s="1"/>
      </tp>
      <tp>
        <v>777000000</v>
        <stp/>
        <stp>P</stp>
        <stp>0</stp>
        <stp>BND</stp>
        <stp>KR103502G560</stp>
        <stp>장외-누적거래량</stp>
        <stp>42299</stp>
        <stp/>
        <tr r="AG49" s="1"/>
      </tp>
      <tp>
        <v>736000000</v>
        <stp/>
        <stp>P</stp>
        <stp>0</stp>
        <stp>BND</stp>
        <stp>KR103502G560</stp>
        <stp>장외-누적거래량</stp>
        <stp>42303</stp>
        <stp/>
        <tr r="AG47" s="1"/>
      </tp>
      <tp>
        <v>560000000</v>
        <stp/>
        <stp>P</stp>
        <stp>0</stp>
        <stp>BND</stp>
        <stp>KR103502G560</stp>
        <stp>장외-누적거래량</stp>
        <stp>42300</stp>
        <stp/>
        <tr r="AG48" s="1"/>
      </tp>
      <tp>
        <v>337000000</v>
        <stp/>
        <stp>P</stp>
        <stp>0</stp>
        <stp>BND</stp>
        <stp>KR103502G560</stp>
        <stp>장외-누적거래량</stp>
        <stp>42305</stp>
        <stp/>
        <tr r="AG45" s="1"/>
      </tp>
      <tp>
        <v>693339033</v>
        <stp/>
        <stp>P</stp>
        <stp>0</stp>
        <stp>BND</stp>
        <stp>KR103502G560</stp>
        <stp>장외-누적거래량</stp>
        <stp>42304</stp>
        <stp/>
        <tr r="AG4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개별종목정보!$ET$8</c:f>
              <c:strCache>
                <c:ptCount val="1"/>
                <c:pt idx="0">
                  <c:v>시가평가(3사)</c:v>
                </c:pt>
              </c:strCache>
            </c:strRef>
          </c:tx>
          <c:spPr>
            <a:ln w="25400">
              <a:solidFill>
                <a:srgbClr val="5FCB07"/>
              </a:solidFill>
            </a:ln>
          </c:spPr>
          <c:marker>
            <c:symbol val="none"/>
          </c:marker>
          <c:cat>
            <c:numRef>
              <c:f>개별종목정보!$ES$10:$ES$6949</c:f>
              <c:numCache>
                <c:formatCode>yyyy/mm/dd</c:formatCode>
                <c:ptCount val="6940"/>
                <c:pt idx="0">
                  <c:v>42304</c:v>
                </c:pt>
                <c:pt idx="1">
                  <c:v>42303</c:v>
                </c:pt>
                <c:pt idx="2">
                  <c:v>42302</c:v>
                </c:pt>
                <c:pt idx="3">
                  <c:v>42301</c:v>
                </c:pt>
                <c:pt idx="4">
                  <c:v>42300</c:v>
                </c:pt>
                <c:pt idx="5">
                  <c:v>42299</c:v>
                </c:pt>
                <c:pt idx="6">
                  <c:v>42298</c:v>
                </c:pt>
                <c:pt idx="7">
                  <c:v>42297</c:v>
                </c:pt>
                <c:pt idx="8">
                  <c:v>42296</c:v>
                </c:pt>
                <c:pt idx="9">
                  <c:v>42295</c:v>
                </c:pt>
                <c:pt idx="10">
                  <c:v>42294</c:v>
                </c:pt>
                <c:pt idx="11">
                  <c:v>42293</c:v>
                </c:pt>
                <c:pt idx="12">
                  <c:v>42292</c:v>
                </c:pt>
                <c:pt idx="13">
                  <c:v>42291</c:v>
                </c:pt>
                <c:pt idx="14">
                  <c:v>42290</c:v>
                </c:pt>
                <c:pt idx="15">
                  <c:v>42289</c:v>
                </c:pt>
                <c:pt idx="16">
                  <c:v>42288</c:v>
                </c:pt>
                <c:pt idx="17">
                  <c:v>42287</c:v>
                </c:pt>
                <c:pt idx="18">
                  <c:v>42286</c:v>
                </c:pt>
                <c:pt idx="19">
                  <c:v>42285</c:v>
                </c:pt>
                <c:pt idx="20">
                  <c:v>42284</c:v>
                </c:pt>
                <c:pt idx="21">
                  <c:v>42283</c:v>
                </c:pt>
                <c:pt idx="22">
                  <c:v>42282</c:v>
                </c:pt>
                <c:pt idx="23">
                  <c:v>42281</c:v>
                </c:pt>
                <c:pt idx="24">
                  <c:v>42280</c:v>
                </c:pt>
                <c:pt idx="25">
                  <c:v>42279</c:v>
                </c:pt>
                <c:pt idx="26">
                  <c:v>42278</c:v>
                </c:pt>
                <c:pt idx="27">
                  <c:v>42277</c:v>
                </c:pt>
                <c:pt idx="28">
                  <c:v>42276</c:v>
                </c:pt>
                <c:pt idx="29">
                  <c:v>42275</c:v>
                </c:pt>
              </c:numCache>
            </c:numRef>
          </c:cat>
          <c:val>
            <c:numRef>
              <c:f>개별종목정보!$ET$10:$ET$6949</c:f>
              <c:numCache>
                <c:formatCode>General</c:formatCode>
                <c:ptCount val="6940"/>
                <c:pt idx="0">
                  <c:v>1.63</c:v>
                </c:pt>
                <c:pt idx="1">
                  <c:v>1.64</c:v>
                </c:pt>
                <c:pt idx="2">
                  <c:v>1.647</c:v>
                </c:pt>
                <c:pt idx="3">
                  <c:v>1.647</c:v>
                </c:pt>
                <c:pt idx="4">
                  <c:v>1.647</c:v>
                </c:pt>
                <c:pt idx="5">
                  <c:v>1.655</c:v>
                </c:pt>
                <c:pt idx="6">
                  <c:v>1.647</c:v>
                </c:pt>
                <c:pt idx="7">
                  <c:v>1.64</c:v>
                </c:pt>
                <c:pt idx="8">
                  <c:v>1.6220000000000001</c:v>
                </c:pt>
                <c:pt idx="9">
                  <c:v>1.62</c:v>
                </c:pt>
                <c:pt idx="10">
                  <c:v>1.62</c:v>
                </c:pt>
                <c:pt idx="11">
                  <c:v>1.62</c:v>
                </c:pt>
                <c:pt idx="12">
                  <c:v>1.6220000000000001</c:v>
                </c:pt>
                <c:pt idx="13">
                  <c:v>1.655</c:v>
                </c:pt>
                <c:pt idx="14">
                  <c:v>1.637</c:v>
                </c:pt>
                <c:pt idx="15">
                  <c:v>1.645667</c:v>
                </c:pt>
                <c:pt idx="16">
                  <c:v>1.615</c:v>
                </c:pt>
                <c:pt idx="17">
                  <c:v>1.615</c:v>
                </c:pt>
                <c:pt idx="18">
                  <c:v>1.615</c:v>
                </c:pt>
                <c:pt idx="19">
                  <c:v>1.615</c:v>
                </c:pt>
                <c:pt idx="20">
                  <c:v>1.615</c:v>
                </c:pt>
                <c:pt idx="21">
                  <c:v>1.59</c:v>
                </c:pt>
                <c:pt idx="22">
                  <c:v>1.576333</c:v>
                </c:pt>
                <c:pt idx="23">
                  <c:v>1.5820000000000001</c:v>
                </c:pt>
                <c:pt idx="24">
                  <c:v>1.5820000000000001</c:v>
                </c:pt>
                <c:pt idx="25">
                  <c:v>1.5820000000000001</c:v>
                </c:pt>
                <c:pt idx="26">
                  <c:v>1.5920000000000001</c:v>
                </c:pt>
                <c:pt idx="27">
                  <c:v>1.5649999999999999</c:v>
                </c:pt>
                <c:pt idx="28">
                  <c:v>1.6140000000000001</c:v>
                </c:pt>
                <c:pt idx="29">
                  <c:v>1.6140000000000001</c:v>
                </c:pt>
              </c:numCache>
            </c:numRef>
          </c:val>
        </c:ser>
        <c:ser>
          <c:idx val="1"/>
          <c:order val="1"/>
          <c:tx>
            <c:strRef>
              <c:f>개별종목정보!$EU$8</c:f>
              <c:strCache>
                <c:ptCount val="1"/>
                <c:pt idx="0">
                  <c:v>장외 체결 수익률</c:v>
                </c:pt>
              </c:strCache>
            </c:strRef>
          </c:tx>
          <c:spPr>
            <a:ln w="25400">
              <a:solidFill>
                <a:srgbClr val="FF5C01"/>
              </a:solidFill>
            </a:ln>
          </c:spPr>
          <c:marker>
            <c:symbol val="none"/>
          </c:marker>
          <c:cat>
            <c:numRef>
              <c:f>개별종목정보!$ES$10:$ES$6949</c:f>
              <c:numCache>
                <c:formatCode>yyyy/mm/dd</c:formatCode>
                <c:ptCount val="6940"/>
                <c:pt idx="0">
                  <c:v>42304</c:v>
                </c:pt>
                <c:pt idx="1">
                  <c:v>42303</c:v>
                </c:pt>
                <c:pt idx="2">
                  <c:v>42302</c:v>
                </c:pt>
                <c:pt idx="3">
                  <c:v>42301</c:v>
                </c:pt>
                <c:pt idx="4">
                  <c:v>42300</c:v>
                </c:pt>
                <c:pt idx="5">
                  <c:v>42299</c:v>
                </c:pt>
                <c:pt idx="6">
                  <c:v>42298</c:v>
                </c:pt>
                <c:pt idx="7">
                  <c:v>42297</c:v>
                </c:pt>
                <c:pt idx="8">
                  <c:v>42296</c:v>
                </c:pt>
                <c:pt idx="9">
                  <c:v>42295</c:v>
                </c:pt>
                <c:pt idx="10">
                  <c:v>42294</c:v>
                </c:pt>
                <c:pt idx="11">
                  <c:v>42293</c:v>
                </c:pt>
                <c:pt idx="12">
                  <c:v>42292</c:v>
                </c:pt>
                <c:pt idx="13">
                  <c:v>42291</c:v>
                </c:pt>
                <c:pt idx="14">
                  <c:v>42290</c:v>
                </c:pt>
                <c:pt idx="15">
                  <c:v>42289</c:v>
                </c:pt>
                <c:pt idx="16">
                  <c:v>42288</c:v>
                </c:pt>
                <c:pt idx="17">
                  <c:v>42287</c:v>
                </c:pt>
                <c:pt idx="18">
                  <c:v>42286</c:v>
                </c:pt>
                <c:pt idx="19">
                  <c:v>42285</c:v>
                </c:pt>
                <c:pt idx="20">
                  <c:v>42284</c:v>
                </c:pt>
                <c:pt idx="21">
                  <c:v>42283</c:v>
                </c:pt>
                <c:pt idx="22">
                  <c:v>42282</c:v>
                </c:pt>
                <c:pt idx="23">
                  <c:v>42281</c:v>
                </c:pt>
                <c:pt idx="24">
                  <c:v>42280</c:v>
                </c:pt>
                <c:pt idx="25">
                  <c:v>42279</c:v>
                </c:pt>
                <c:pt idx="26">
                  <c:v>42278</c:v>
                </c:pt>
                <c:pt idx="27">
                  <c:v>42277</c:v>
                </c:pt>
                <c:pt idx="28">
                  <c:v>42276</c:v>
                </c:pt>
                <c:pt idx="29">
                  <c:v>42275</c:v>
                </c:pt>
              </c:numCache>
            </c:numRef>
          </c:cat>
          <c:val>
            <c:numRef>
              <c:f>개별종목정보!$EU$10:$EU$6949</c:f>
              <c:numCache>
                <c:formatCode>General</c:formatCode>
                <c:ptCount val="6940"/>
                <c:pt idx="0">
                  <c:v>1.64</c:v>
                </c:pt>
                <c:pt idx="1">
                  <c:v>1.64</c:v>
                </c:pt>
                <c:pt idx="2">
                  <c:v>1.645</c:v>
                </c:pt>
                <c:pt idx="3">
                  <c:v>1.645</c:v>
                </c:pt>
                <c:pt idx="4">
                  <c:v>1.645</c:v>
                </c:pt>
                <c:pt idx="5">
                  <c:v>1.655</c:v>
                </c:pt>
                <c:pt idx="6">
                  <c:v>1.647</c:v>
                </c:pt>
                <c:pt idx="7">
                  <c:v>1.64</c:v>
                </c:pt>
                <c:pt idx="8">
                  <c:v>1.625</c:v>
                </c:pt>
                <c:pt idx="9">
                  <c:v>1.625</c:v>
                </c:pt>
                <c:pt idx="10">
                  <c:v>1.625</c:v>
                </c:pt>
                <c:pt idx="11">
                  <c:v>1.625</c:v>
                </c:pt>
                <c:pt idx="12">
                  <c:v>1.62</c:v>
                </c:pt>
                <c:pt idx="13">
                  <c:v>1.655</c:v>
                </c:pt>
                <c:pt idx="14">
                  <c:v>1.643</c:v>
                </c:pt>
                <c:pt idx="15">
                  <c:v>1.635</c:v>
                </c:pt>
                <c:pt idx="16">
                  <c:v>1.605</c:v>
                </c:pt>
                <c:pt idx="17">
                  <c:v>1.605</c:v>
                </c:pt>
                <c:pt idx="18">
                  <c:v>1.605</c:v>
                </c:pt>
                <c:pt idx="19">
                  <c:v>1.605</c:v>
                </c:pt>
                <c:pt idx="20">
                  <c:v>1.605</c:v>
                </c:pt>
                <c:pt idx="21">
                  <c:v>1.59</c:v>
                </c:pt>
                <c:pt idx="22">
                  <c:v>1.58</c:v>
                </c:pt>
                <c:pt idx="23">
                  <c:v>1.59</c:v>
                </c:pt>
                <c:pt idx="24">
                  <c:v>1.59</c:v>
                </c:pt>
                <c:pt idx="25">
                  <c:v>1.59</c:v>
                </c:pt>
                <c:pt idx="26">
                  <c:v>1.58</c:v>
                </c:pt>
                <c:pt idx="27">
                  <c:v>1.5649999999999999</c:v>
                </c:pt>
                <c:pt idx="28">
                  <c:v>1.615</c:v>
                </c:pt>
                <c:pt idx="29">
                  <c:v>1.615</c:v>
                </c:pt>
              </c:numCache>
            </c:numRef>
          </c:val>
        </c:ser>
        <c:marker val="1"/>
        <c:axId val="74465280"/>
        <c:axId val="74466816"/>
      </c:lineChart>
      <c:dateAx>
        <c:axId val="74465280"/>
        <c:scaling>
          <c:orientation val="minMax"/>
        </c:scaling>
        <c:axPos val="b"/>
        <c:numFmt formatCode="yyyy/mm/dd" sourceLinked="1"/>
        <c:tickLblPos val="nextTo"/>
        <c:txPr>
          <a:bodyPr rot="-2700000"/>
          <a:lstStyle/>
          <a:p>
            <a:pPr>
              <a:defRPr sz="800"/>
            </a:pPr>
            <a:endParaRPr lang="ko-KR"/>
          </a:p>
        </c:txPr>
        <c:crossAx val="74466816"/>
        <c:crosses val="autoZero"/>
        <c:auto val="1"/>
        <c:lblOffset val="100"/>
      </c:dateAx>
      <c:valAx>
        <c:axId val="74466816"/>
        <c:scaling>
          <c:orientation val="minMax"/>
        </c:scaling>
        <c:axPos val="l"/>
        <c:numFmt formatCode="General" sourceLinked="1"/>
        <c:tickLblPos val="nextTo"/>
        <c:crossAx val="74465280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900">
              <a:solidFill>
                <a:schemeClr val="tx1">
                  <a:lumMod val="85000"/>
                  <a:lumOff val="15000"/>
                </a:schemeClr>
              </a:solidFill>
            </a:defRPr>
          </a:pPr>
          <a:endParaRPr lang="ko-KR"/>
        </a:p>
      </c:txPr>
    </c:legend>
    <c:plotVisOnly val="1"/>
    <c:dispBlanksAs val="gap"/>
  </c:chart>
  <c:spPr>
    <a:ln w="9525"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개별종목정보!$FI$9</c:f>
              <c:strCache>
                <c:ptCount val="1"/>
                <c:pt idx="0">
                  <c:v>외국인</c:v>
                </c:pt>
              </c:strCache>
            </c:strRef>
          </c:tx>
          <c:spPr>
            <a:ln w="25400">
              <a:solidFill>
                <a:srgbClr val="FF01A2"/>
              </a:solidFill>
            </a:ln>
          </c:spPr>
          <c:marker>
            <c:symbol val="none"/>
          </c:marker>
          <c:cat>
            <c:numRef>
              <c:f>개별종목정보!$FH$10:$FH$32</c:f>
              <c:numCache>
                <c:formatCode>yyyy/mm/dd</c:formatCode>
                <c:ptCount val="23"/>
                <c:pt idx="0">
                  <c:v>42304</c:v>
                </c:pt>
                <c:pt idx="1">
                  <c:v>42303</c:v>
                </c:pt>
                <c:pt idx="2">
                  <c:v>42300</c:v>
                </c:pt>
                <c:pt idx="3">
                  <c:v>42299</c:v>
                </c:pt>
                <c:pt idx="4">
                  <c:v>42298</c:v>
                </c:pt>
                <c:pt idx="5">
                  <c:v>42297</c:v>
                </c:pt>
                <c:pt idx="6">
                  <c:v>42296</c:v>
                </c:pt>
                <c:pt idx="7">
                  <c:v>42293</c:v>
                </c:pt>
                <c:pt idx="8">
                  <c:v>42292</c:v>
                </c:pt>
                <c:pt idx="9">
                  <c:v>42291</c:v>
                </c:pt>
                <c:pt idx="10">
                  <c:v>42290</c:v>
                </c:pt>
                <c:pt idx="11">
                  <c:v>42289</c:v>
                </c:pt>
                <c:pt idx="12">
                  <c:v>42286</c:v>
                </c:pt>
                <c:pt idx="13">
                  <c:v>42285</c:v>
                </c:pt>
                <c:pt idx="14">
                  <c:v>42284</c:v>
                </c:pt>
                <c:pt idx="15">
                  <c:v>42283</c:v>
                </c:pt>
                <c:pt idx="16">
                  <c:v>42282</c:v>
                </c:pt>
                <c:pt idx="17">
                  <c:v>42279</c:v>
                </c:pt>
                <c:pt idx="18">
                  <c:v>42278</c:v>
                </c:pt>
                <c:pt idx="19">
                  <c:v>42277</c:v>
                </c:pt>
                <c:pt idx="20">
                  <c:v>42276</c:v>
                </c:pt>
                <c:pt idx="21">
                  <c:v>42275</c:v>
                </c:pt>
                <c:pt idx="22">
                  <c:v>42272</c:v>
                </c:pt>
              </c:numCache>
            </c:numRef>
          </c:cat>
          <c:val>
            <c:numRef>
              <c:f>개별종목정보!$FI$10:$FI$32</c:f>
              <c:numCache>
                <c:formatCode>General</c:formatCode>
                <c:ptCount val="23"/>
                <c:pt idx="0">
                  <c:v>322150</c:v>
                </c:pt>
                <c:pt idx="1">
                  <c:v>322150</c:v>
                </c:pt>
                <c:pt idx="2">
                  <c:v>322150</c:v>
                </c:pt>
                <c:pt idx="3">
                  <c:v>322150</c:v>
                </c:pt>
                <c:pt idx="4">
                  <c:v>282150</c:v>
                </c:pt>
                <c:pt idx="5">
                  <c:v>232150</c:v>
                </c:pt>
                <c:pt idx="6">
                  <c:v>227150</c:v>
                </c:pt>
                <c:pt idx="7">
                  <c:v>227150</c:v>
                </c:pt>
                <c:pt idx="8">
                  <c:v>187150</c:v>
                </c:pt>
                <c:pt idx="9">
                  <c:v>77150</c:v>
                </c:pt>
                <c:pt idx="10">
                  <c:v>77150</c:v>
                </c:pt>
                <c:pt idx="11">
                  <c:v>77150</c:v>
                </c:pt>
                <c:pt idx="12">
                  <c:v>80150</c:v>
                </c:pt>
                <c:pt idx="13">
                  <c:v>79350</c:v>
                </c:pt>
                <c:pt idx="14">
                  <c:v>72300</c:v>
                </c:pt>
                <c:pt idx="15">
                  <c:v>71700</c:v>
                </c:pt>
                <c:pt idx="16">
                  <c:v>79500</c:v>
                </c:pt>
                <c:pt idx="17">
                  <c:v>79500</c:v>
                </c:pt>
                <c:pt idx="18">
                  <c:v>79500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1"/>
          <c:order val="1"/>
          <c:tx>
            <c:strRef>
              <c:f>개별종목정보!$FJ$9</c:f>
              <c:strCache>
                <c:ptCount val="1"/>
                <c:pt idx="0">
                  <c:v>은행</c:v>
                </c:pt>
              </c:strCache>
            </c:strRef>
          </c:tx>
          <c:spPr>
            <a:ln w="25400">
              <a:solidFill>
                <a:srgbClr val="006CFF"/>
              </a:solidFill>
            </a:ln>
          </c:spPr>
          <c:marker>
            <c:symbol val="none"/>
          </c:marker>
          <c:cat>
            <c:numRef>
              <c:f>개별종목정보!$FH$10:$FH$32</c:f>
              <c:numCache>
                <c:formatCode>yyyy/mm/dd</c:formatCode>
                <c:ptCount val="23"/>
                <c:pt idx="0">
                  <c:v>42304</c:v>
                </c:pt>
                <c:pt idx="1">
                  <c:v>42303</c:v>
                </c:pt>
                <c:pt idx="2">
                  <c:v>42300</c:v>
                </c:pt>
                <c:pt idx="3">
                  <c:v>42299</c:v>
                </c:pt>
                <c:pt idx="4">
                  <c:v>42298</c:v>
                </c:pt>
                <c:pt idx="5">
                  <c:v>42297</c:v>
                </c:pt>
                <c:pt idx="6">
                  <c:v>42296</c:v>
                </c:pt>
                <c:pt idx="7">
                  <c:v>42293</c:v>
                </c:pt>
                <c:pt idx="8">
                  <c:v>42292</c:v>
                </c:pt>
                <c:pt idx="9">
                  <c:v>42291</c:v>
                </c:pt>
                <c:pt idx="10">
                  <c:v>42290</c:v>
                </c:pt>
                <c:pt idx="11">
                  <c:v>42289</c:v>
                </c:pt>
                <c:pt idx="12">
                  <c:v>42286</c:v>
                </c:pt>
                <c:pt idx="13">
                  <c:v>42285</c:v>
                </c:pt>
                <c:pt idx="14">
                  <c:v>42284</c:v>
                </c:pt>
                <c:pt idx="15">
                  <c:v>42283</c:v>
                </c:pt>
                <c:pt idx="16">
                  <c:v>42282</c:v>
                </c:pt>
                <c:pt idx="17">
                  <c:v>42279</c:v>
                </c:pt>
                <c:pt idx="18">
                  <c:v>42278</c:v>
                </c:pt>
                <c:pt idx="19">
                  <c:v>42277</c:v>
                </c:pt>
                <c:pt idx="20">
                  <c:v>42276</c:v>
                </c:pt>
                <c:pt idx="21">
                  <c:v>42275</c:v>
                </c:pt>
                <c:pt idx="22">
                  <c:v>42272</c:v>
                </c:pt>
              </c:numCache>
            </c:numRef>
          </c:cat>
          <c:val>
            <c:numRef>
              <c:f>개별종목정보!$FJ$10:$FJ$32</c:f>
              <c:numCache>
                <c:formatCode>General</c:formatCode>
                <c:ptCount val="23"/>
                <c:pt idx="0">
                  <c:v>-103650</c:v>
                </c:pt>
                <c:pt idx="1">
                  <c:v>-83650</c:v>
                </c:pt>
                <c:pt idx="2">
                  <c:v>-92650</c:v>
                </c:pt>
                <c:pt idx="3">
                  <c:v>-112650</c:v>
                </c:pt>
                <c:pt idx="4">
                  <c:v>-89650</c:v>
                </c:pt>
                <c:pt idx="5">
                  <c:v>-159650</c:v>
                </c:pt>
                <c:pt idx="6">
                  <c:v>-169650</c:v>
                </c:pt>
                <c:pt idx="7">
                  <c:v>-129650</c:v>
                </c:pt>
                <c:pt idx="8">
                  <c:v>-102650</c:v>
                </c:pt>
                <c:pt idx="9">
                  <c:v>-82650</c:v>
                </c:pt>
                <c:pt idx="10">
                  <c:v>-152650</c:v>
                </c:pt>
                <c:pt idx="11">
                  <c:v>-162650</c:v>
                </c:pt>
                <c:pt idx="12">
                  <c:v>-42650</c:v>
                </c:pt>
                <c:pt idx="13">
                  <c:v>-52650</c:v>
                </c:pt>
                <c:pt idx="14">
                  <c:v>-70600</c:v>
                </c:pt>
                <c:pt idx="15">
                  <c:v>-110000</c:v>
                </c:pt>
                <c:pt idx="16">
                  <c:v>-193000</c:v>
                </c:pt>
                <c:pt idx="17">
                  <c:v>-202000</c:v>
                </c:pt>
                <c:pt idx="18">
                  <c:v>-89000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개별종목정보!$FK$9</c:f>
              <c:strCache>
                <c:ptCount val="1"/>
                <c:pt idx="0">
                  <c:v>보험기금</c:v>
                </c:pt>
              </c:strCache>
            </c:strRef>
          </c:tx>
          <c:spPr>
            <a:ln w="2540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개별종목정보!$FH$10:$FH$32</c:f>
              <c:numCache>
                <c:formatCode>yyyy/mm/dd</c:formatCode>
                <c:ptCount val="23"/>
                <c:pt idx="0">
                  <c:v>42304</c:v>
                </c:pt>
                <c:pt idx="1">
                  <c:v>42303</c:v>
                </c:pt>
                <c:pt idx="2">
                  <c:v>42300</c:v>
                </c:pt>
                <c:pt idx="3">
                  <c:v>42299</c:v>
                </c:pt>
                <c:pt idx="4">
                  <c:v>42298</c:v>
                </c:pt>
                <c:pt idx="5">
                  <c:v>42297</c:v>
                </c:pt>
                <c:pt idx="6">
                  <c:v>42296</c:v>
                </c:pt>
                <c:pt idx="7">
                  <c:v>42293</c:v>
                </c:pt>
                <c:pt idx="8">
                  <c:v>42292</c:v>
                </c:pt>
                <c:pt idx="9">
                  <c:v>42291</c:v>
                </c:pt>
                <c:pt idx="10">
                  <c:v>42290</c:v>
                </c:pt>
                <c:pt idx="11">
                  <c:v>42289</c:v>
                </c:pt>
                <c:pt idx="12">
                  <c:v>42286</c:v>
                </c:pt>
                <c:pt idx="13">
                  <c:v>42285</c:v>
                </c:pt>
                <c:pt idx="14">
                  <c:v>42284</c:v>
                </c:pt>
                <c:pt idx="15">
                  <c:v>42283</c:v>
                </c:pt>
                <c:pt idx="16">
                  <c:v>42282</c:v>
                </c:pt>
                <c:pt idx="17">
                  <c:v>42279</c:v>
                </c:pt>
                <c:pt idx="18">
                  <c:v>42278</c:v>
                </c:pt>
                <c:pt idx="19">
                  <c:v>42277</c:v>
                </c:pt>
                <c:pt idx="20">
                  <c:v>42276</c:v>
                </c:pt>
                <c:pt idx="21">
                  <c:v>42275</c:v>
                </c:pt>
                <c:pt idx="22">
                  <c:v>42272</c:v>
                </c:pt>
              </c:numCache>
            </c:numRef>
          </c:cat>
          <c:val>
            <c:numRef>
              <c:f>개별종목정보!$FK$10:$FK$32</c:f>
              <c:numCache>
                <c:formatCode>General</c:formatCode>
                <c:ptCount val="23"/>
                <c:pt idx="0">
                  <c:v>335430</c:v>
                </c:pt>
                <c:pt idx="1">
                  <c:v>333430</c:v>
                </c:pt>
                <c:pt idx="2">
                  <c:v>347230</c:v>
                </c:pt>
                <c:pt idx="3">
                  <c:v>379430</c:v>
                </c:pt>
                <c:pt idx="4">
                  <c:v>315430</c:v>
                </c:pt>
                <c:pt idx="5">
                  <c:v>282430</c:v>
                </c:pt>
                <c:pt idx="6">
                  <c:v>246430</c:v>
                </c:pt>
                <c:pt idx="7">
                  <c:v>245030</c:v>
                </c:pt>
                <c:pt idx="8">
                  <c:v>220030</c:v>
                </c:pt>
                <c:pt idx="9">
                  <c:v>230430</c:v>
                </c:pt>
                <c:pt idx="10">
                  <c:v>191930</c:v>
                </c:pt>
                <c:pt idx="11">
                  <c:v>142430</c:v>
                </c:pt>
                <c:pt idx="12">
                  <c:v>93430</c:v>
                </c:pt>
                <c:pt idx="13">
                  <c:v>140800</c:v>
                </c:pt>
                <c:pt idx="14">
                  <c:v>133400</c:v>
                </c:pt>
                <c:pt idx="15">
                  <c:v>153200</c:v>
                </c:pt>
                <c:pt idx="16">
                  <c:v>46300</c:v>
                </c:pt>
                <c:pt idx="17">
                  <c:v>12300</c:v>
                </c:pt>
                <c:pt idx="18">
                  <c:v>41400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</c:ser>
        <c:marker val="1"/>
        <c:axId val="97235712"/>
        <c:axId val="97237248"/>
      </c:lineChart>
      <c:dateAx>
        <c:axId val="97235712"/>
        <c:scaling>
          <c:orientation val="minMax"/>
        </c:scaling>
        <c:delete val="1"/>
        <c:axPos val="b"/>
        <c:numFmt formatCode="yyyy/mm/dd" sourceLinked="1"/>
        <c:tickLblPos val="none"/>
        <c:crossAx val="97237248"/>
        <c:crosses val="autoZero"/>
        <c:auto val="1"/>
        <c:lblOffset val="100"/>
      </c:dateAx>
      <c:valAx>
        <c:axId val="97237248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97235712"/>
        <c:crosses val="autoZero"/>
        <c:crossBetween val="between"/>
      </c:valAx>
    </c:plotArea>
    <c:legend>
      <c:legendPos val="t"/>
      <c:layout/>
      <c:txPr>
        <a:bodyPr/>
        <a:lstStyle/>
        <a:p>
          <a:pPr>
            <a:defRPr sz="900">
              <a:solidFill>
                <a:schemeClr val="tx1">
                  <a:lumMod val="85000"/>
                  <a:lumOff val="15000"/>
                </a:schemeClr>
              </a:solidFill>
            </a:defRPr>
          </a:pPr>
          <a:endParaRPr lang="ko-KR"/>
        </a:p>
      </c:txPr>
    </c:legend>
    <c:plotVisOnly val="1"/>
  </c:chart>
  <c:spPr>
    <a:ln>
      <a:solidFill>
        <a:schemeClr val="bg1">
          <a:lumMod val="75000"/>
        </a:schemeClr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57149</xdr:colOff>
      <xdr:row>6</xdr:row>
      <xdr:rowOff>28575</xdr:rowOff>
    </xdr:from>
    <xdr:to>
      <xdr:col>71</xdr:col>
      <xdr:colOff>190500</xdr:colOff>
      <xdr:row>29</xdr:row>
      <xdr:rowOff>142875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31</xdr:row>
      <xdr:rowOff>28575</xdr:rowOff>
    </xdr:from>
    <xdr:to>
      <xdr:col>72</xdr:col>
      <xdr:colOff>1</xdr:colOff>
      <xdr:row>53</xdr:row>
      <xdr:rowOff>171450</xdr:rowOff>
    </xdr:to>
    <xdr:graphicFrame macro="">
      <xdr:nvGraphicFramePr>
        <xdr:cNvPr id="23" name="차트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14</xdr:row>
      <xdr:rowOff>133350</xdr:rowOff>
    </xdr:from>
    <xdr:to>
      <xdr:col>19</xdr:col>
      <xdr:colOff>371475</xdr:colOff>
      <xdr:row>56</xdr:row>
      <xdr:rowOff>104775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2190750"/>
          <a:ext cx="11410950" cy="7172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95250</xdr:colOff>
      <xdr:row>46</xdr:row>
      <xdr:rowOff>161925</xdr:rowOff>
    </xdr:from>
    <xdr:to>
      <xdr:col>2</xdr:col>
      <xdr:colOff>323850</xdr:colOff>
      <xdr:row>55</xdr:row>
      <xdr:rowOff>19050</xdr:rowOff>
    </xdr:to>
    <xdr:grpSp>
      <xdr:nvGrpSpPr>
        <xdr:cNvPr id="6" name="그룹 5"/>
        <xdr:cNvGrpSpPr/>
      </xdr:nvGrpSpPr>
      <xdr:grpSpPr>
        <a:xfrm>
          <a:off x="95250" y="7962900"/>
          <a:ext cx="962025" cy="1400175"/>
          <a:chOff x="38100" y="5543550"/>
          <a:chExt cx="962025" cy="1400175"/>
        </a:xfrm>
      </xdr:grpSpPr>
      <xdr:pic>
        <xdr:nvPicPr>
          <xdr:cNvPr id="2051" name="Picture 3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47625" y="5543550"/>
            <a:ext cx="904875" cy="23812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pic>
        <xdr:nvPicPr>
          <xdr:cNvPr id="2052" name="Picture 4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38100" y="6696075"/>
            <a:ext cx="962025" cy="247650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</xdr:grpSp>
    <xdr:clientData/>
  </xdr:twoCellAnchor>
  <xdr:twoCellAnchor editAs="oneCell">
    <xdr:from>
      <xdr:col>1</xdr:col>
      <xdr:colOff>0</xdr:colOff>
      <xdr:row>2</xdr:row>
      <xdr:rowOff>85725</xdr:rowOff>
    </xdr:from>
    <xdr:to>
      <xdr:col>5</xdr:col>
      <xdr:colOff>381000</xdr:colOff>
      <xdr:row>6</xdr:row>
      <xdr:rowOff>17508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23825" y="85725"/>
          <a:ext cx="2819400" cy="6175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419100</xdr:colOff>
      <xdr:row>2</xdr:row>
      <xdr:rowOff>104774</xdr:rowOff>
    </xdr:from>
    <xdr:to>
      <xdr:col>2</xdr:col>
      <xdr:colOff>400050</xdr:colOff>
      <xdr:row>3</xdr:row>
      <xdr:rowOff>76200</xdr:rowOff>
    </xdr:to>
    <xdr:sp macro="" textlink="">
      <xdr:nvSpPr>
        <xdr:cNvPr id="12" name="설명선 1 11"/>
        <xdr:cNvSpPr/>
      </xdr:nvSpPr>
      <xdr:spPr>
        <a:xfrm rot="10800000">
          <a:off x="542925" y="104774"/>
          <a:ext cx="590550" cy="142876"/>
        </a:xfrm>
        <a:prstGeom prst="borderCallout1">
          <a:avLst>
            <a:gd name="adj1" fmla="val -21250"/>
            <a:gd name="adj2" fmla="val 51345"/>
            <a:gd name="adj3" fmla="val -1297931"/>
            <a:gd name="adj4" fmla="val -187034"/>
          </a:avLst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 editAs="oneCell">
    <xdr:from>
      <xdr:col>5</xdr:col>
      <xdr:colOff>485775</xdr:colOff>
      <xdr:row>2</xdr:row>
      <xdr:rowOff>85725</xdr:rowOff>
    </xdr:from>
    <xdr:to>
      <xdr:col>11</xdr:col>
      <xdr:colOff>279340</xdr:colOff>
      <xdr:row>14</xdr:row>
      <xdr:rowOff>28575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048000" y="85725"/>
          <a:ext cx="3451165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333373</xdr:colOff>
      <xdr:row>14</xdr:row>
      <xdr:rowOff>123825</xdr:rowOff>
    </xdr:from>
    <xdr:to>
      <xdr:col>11</xdr:col>
      <xdr:colOff>219075</xdr:colOff>
      <xdr:row>16</xdr:row>
      <xdr:rowOff>28575</xdr:rowOff>
    </xdr:to>
    <xdr:sp macro="" textlink="">
      <xdr:nvSpPr>
        <xdr:cNvPr id="10" name="직사각형 9"/>
        <xdr:cNvSpPr/>
      </xdr:nvSpPr>
      <xdr:spPr>
        <a:xfrm>
          <a:off x="2285998" y="2181225"/>
          <a:ext cx="4152902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altLang="ko-KR" sz="900" b="1">
              <a:solidFill>
                <a:srgbClr val="FF0000"/>
              </a:solidFill>
            </a:rPr>
            <a:t>-&gt; </a:t>
          </a:r>
          <a:r>
            <a:rPr lang="ko-KR" altLang="en-US" sz="900" b="1">
              <a:solidFill>
                <a:srgbClr val="FF0000"/>
              </a:solidFill>
            </a:rPr>
            <a:t>종목코드를  직접 입력하거나 종목검색기능을 이용하여 개별종목</a:t>
          </a:r>
          <a:r>
            <a:rPr lang="ko-KR" altLang="en-US" sz="900" b="1" baseline="0">
              <a:solidFill>
                <a:srgbClr val="FF0000"/>
              </a:solidFill>
            </a:rPr>
            <a:t> 코드 찾기</a:t>
          </a:r>
          <a:endParaRPr lang="en-US" altLang="ko-KR" sz="900" b="1" baseline="0">
            <a:solidFill>
              <a:srgbClr val="FF0000"/>
            </a:solidFill>
          </a:endParaRPr>
        </a:p>
        <a:p>
          <a:pPr algn="l"/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12</xdr:col>
      <xdr:colOff>485775</xdr:colOff>
      <xdr:row>14</xdr:row>
      <xdr:rowOff>95250</xdr:rowOff>
    </xdr:from>
    <xdr:to>
      <xdr:col>17</xdr:col>
      <xdr:colOff>276225</xdr:colOff>
      <xdr:row>16</xdr:row>
      <xdr:rowOff>0</xdr:rowOff>
    </xdr:to>
    <xdr:sp macro="" textlink="">
      <xdr:nvSpPr>
        <xdr:cNvPr id="13" name="직사각형 12"/>
        <xdr:cNvSpPr/>
      </xdr:nvSpPr>
      <xdr:spPr>
        <a:xfrm>
          <a:off x="7315200" y="2152650"/>
          <a:ext cx="283845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ko-KR" altLang="en-US" sz="900" b="1" baseline="0">
              <a:solidFill>
                <a:srgbClr val="FF0000"/>
              </a:solidFill>
            </a:rPr>
            <a:t>시작일</a:t>
          </a:r>
          <a:r>
            <a:rPr lang="en-US" altLang="ko-KR" sz="900" b="1" baseline="0">
              <a:solidFill>
                <a:srgbClr val="FF0000"/>
              </a:solidFill>
            </a:rPr>
            <a:t>/</a:t>
          </a:r>
          <a:r>
            <a:rPr lang="ko-KR" altLang="en-US" sz="900" b="1" baseline="0">
              <a:solidFill>
                <a:srgbClr val="FF0000"/>
              </a:solidFill>
            </a:rPr>
            <a:t>종료일</a:t>
          </a:r>
          <a:r>
            <a:rPr lang="en-US" altLang="ko-KR" sz="900" b="1" baseline="0">
              <a:solidFill>
                <a:srgbClr val="FF0000"/>
              </a:solidFill>
            </a:rPr>
            <a:t>/ </a:t>
          </a:r>
          <a:r>
            <a:rPr lang="ko-KR" altLang="en-US" sz="900" b="1" baseline="0">
              <a:solidFill>
                <a:srgbClr val="FF0000"/>
              </a:solidFill>
            </a:rPr>
            <a:t>데이터 갯수를 직접 </a:t>
          </a:r>
          <a:r>
            <a:rPr lang="en-US" altLang="ko-KR" sz="900" b="1" baseline="0">
              <a:solidFill>
                <a:srgbClr val="FF0000"/>
              </a:solidFill>
            </a:rPr>
            <a:t> </a:t>
          </a:r>
          <a:r>
            <a:rPr lang="ko-KR" altLang="en-US" sz="900" b="1" baseline="0">
              <a:solidFill>
                <a:srgbClr val="FF0000"/>
              </a:solidFill>
            </a:rPr>
            <a:t>지정하여 조회 </a:t>
          </a:r>
          <a:endParaRPr lang="en-US" altLang="ko-KR" sz="900" b="1" baseline="0">
            <a:solidFill>
              <a:srgbClr val="FF0000"/>
            </a:solidFill>
          </a:endParaRPr>
        </a:p>
        <a:p>
          <a:pPr algn="l"/>
          <a:endParaRPr lang="ko-KR" altLang="en-US" sz="900" b="1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11</xdr:col>
      <xdr:colOff>161924</xdr:colOff>
      <xdr:row>16</xdr:row>
      <xdr:rowOff>66675</xdr:rowOff>
    </xdr:from>
    <xdr:to>
      <xdr:col>17</xdr:col>
      <xdr:colOff>380999</xdr:colOff>
      <xdr:row>17</xdr:row>
      <xdr:rowOff>66675</xdr:rowOff>
    </xdr:to>
    <xdr:sp macro="" textlink="">
      <xdr:nvSpPr>
        <xdr:cNvPr id="14" name="직사각형 13"/>
        <xdr:cNvSpPr/>
      </xdr:nvSpPr>
      <xdr:spPr>
        <a:xfrm>
          <a:off x="6381749" y="2466975"/>
          <a:ext cx="3876675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2</xdr:col>
      <xdr:colOff>457201</xdr:colOff>
      <xdr:row>15</xdr:row>
      <xdr:rowOff>9525</xdr:rowOff>
    </xdr:from>
    <xdr:to>
      <xdr:col>4</xdr:col>
      <xdr:colOff>266700</xdr:colOff>
      <xdr:row>15</xdr:row>
      <xdr:rowOff>161925</xdr:rowOff>
    </xdr:to>
    <xdr:sp macro="" textlink="">
      <xdr:nvSpPr>
        <xdr:cNvPr id="15" name="직사각형 14"/>
        <xdr:cNvSpPr/>
      </xdr:nvSpPr>
      <xdr:spPr>
        <a:xfrm>
          <a:off x="1190626" y="2238375"/>
          <a:ext cx="1028699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0</xdr:col>
      <xdr:colOff>104776</xdr:colOff>
      <xdr:row>51</xdr:row>
      <xdr:rowOff>133350</xdr:rowOff>
    </xdr:from>
    <xdr:to>
      <xdr:col>2</xdr:col>
      <xdr:colOff>95251</xdr:colOff>
      <xdr:row>52</xdr:row>
      <xdr:rowOff>114300</xdr:rowOff>
    </xdr:to>
    <xdr:sp macro="" textlink="">
      <xdr:nvSpPr>
        <xdr:cNvPr id="16" name="직사각형 15"/>
        <xdr:cNvSpPr/>
      </xdr:nvSpPr>
      <xdr:spPr>
        <a:xfrm>
          <a:off x="104776" y="8534400"/>
          <a:ext cx="723900" cy="152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C7000"/>
  <sheetViews>
    <sheetView showGridLines="0" tabSelected="1" topLeftCell="D1" zoomScaleNormal="100" workbookViewId="0">
      <selection activeCell="D1" sqref="D1"/>
    </sheetView>
  </sheetViews>
  <sheetFormatPr defaultRowHeight="13.5"/>
  <cols>
    <col min="1" max="3" width="3" style="21" hidden="1" customWidth="1"/>
    <col min="4" max="4" width="2.140625" style="236" customWidth="1"/>
    <col min="5" max="5" width="4.140625" customWidth="1"/>
    <col min="6" max="40" width="3.28515625" customWidth="1"/>
    <col min="41" max="41" width="0.85546875" style="9" customWidth="1"/>
    <col min="42" max="73" width="3" customWidth="1"/>
    <col min="74" max="132" width="3" style="8" customWidth="1"/>
    <col min="133" max="146" width="3" customWidth="1"/>
    <col min="147" max="148" width="3" style="27" customWidth="1"/>
    <col min="149" max="149" width="15.28515625" style="28" customWidth="1"/>
    <col min="150" max="152" width="13.85546875" style="28" customWidth="1"/>
    <col min="153" max="163" width="2.42578125" style="28" customWidth="1"/>
    <col min="164" max="164" width="2.42578125" style="29" customWidth="1"/>
    <col min="165" max="181" width="2.42578125" style="28" customWidth="1"/>
    <col min="182" max="182" width="2.42578125" style="27" customWidth="1"/>
    <col min="183" max="187" width="3" customWidth="1"/>
  </cols>
  <sheetData>
    <row r="1" spans="1:182" s="8" customFormat="1" ht="6.75" customHeight="1">
      <c r="A1" s="21"/>
      <c r="B1" s="21"/>
      <c r="C1" s="21"/>
      <c r="D1" s="236"/>
      <c r="AO1" s="9"/>
      <c r="EQ1" s="27"/>
      <c r="ER1" s="27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9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7"/>
    </row>
    <row r="2" spans="1:182" s="8" customFormat="1">
      <c r="A2" s="21"/>
      <c r="B2" s="21"/>
      <c r="C2" s="21"/>
      <c r="D2" s="236"/>
      <c r="E2" s="252" t="s">
        <v>325</v>
      </c>
      <c r="AO2" s="9"/>
      <c r="EQ2" s="27"/>
      <c r="ER2" s="27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9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7"/>
    </row>
    <row r="3" spans="1:182" ht="6" customHeight="1">
      <c r="AQ3" s="3"/>
      <c r="AR3" s="3"/>
      <c r="BR3" s="3"/>
      <c r="BS3" s="3"/>
      <c r="BT3" s="3"/>
      <c r="BU3" s="3"/>
      <c r="EC3" s="3"/>
    </row>
    <row r="4" spans="1:182" ht="15" customHeight="1">
      <c r="A4" s="22" t="s">
        <v>29</v>
      </c>
      <c r="B4" s="22"/>
      <c r="C4" s="21" t="s">
        <v>0</v>
      </c>
      <c r="E4" s="223" t="s">
        <v>1</v>
      </c>
      <c r="F4" s="223"/>
      <c r="G4" s="223"/>
      <c r="H4" s="223"/>
      <c r="I4" s="223"/>
      <c r="J4" s="223"/>
      <c r="K4" s="224" t="s">
        <v>276</v>
      </c>
      <c r="L4" s="225"/>
      <c r="M4" s="225"/>
      <c r="N4" s="225"/>
      <c r="O4" s="225"/>
      <c r="P4" s="225"/>
      <c r="AQ4" s="3"/>
      <c r="AR4" s="3"/>
      <c r="AS4" s="3"/>
      <c r="AT4" s="3"/>
      <c r="AU4" s="3"/>
      <c r="AV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EC4" s="3"/>
    </row>
    <row r="5" spans="1:182" ht="7.5" customHeight="1" thickBot="1">
      <c r="A5" s="22" t="s">
        <v>82</v>
      </c>
      <c r="B5" s="22"/>
      <c r="T5" s="4"/>
      <c r="U5" s="4"/>
      <c r="V5" s="4"/>
      <c r="W5" s="4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EC5" s="3"/>
      <c r="ED5" s="3"/>
      <c r="EE5" s="3"/>
    </row>
    <row r="6" spans="1:182" ht="15" customHeight="1">
      <c r="E6" s="108" t="s">
        <v>125</v>
      </c>
      <c r="F6" s="109"/>
      <c r="G6" s="109"/>
      <c r="H6" s="109"/>
      <c r="I6" s="109"/>
      <c r="J6" s="109"/>
      <c r="K6" s="220" t="str">
        <f>_xll.IMDP($C$4,$K$4,"한글종목명")</f>
        <v>국고01625-1806(15-3)</v>
      </c>
      <c r="L6" s="220"/>
      <c r="M6" s="220"/>
      <c r="N6" s="220"/>
      <c r="O6" s="220"/>
      <c r="P6" s="220"/>
      <c r="Q6" s="109" t="s">
        <v>126</v>
      </c>
      <c r="R6" s="109"/>
      <c r="S6" s="109"/>
      <c r="T6" s="109"/>
      <c r="U6" s="109"/>
      <c r="V6" s="109"/>
      <c r="W6" s="218" t="str">
        <f>_xll.IMDP($C$4,$K$4,"표준코드")</f>
        <v>KR103502G560</v>
      </c>
      <c r="X6" s="218"/>
      <c r="Y6" s="218"/>
      <c r="Z6" s="218"/>
      <c r="AA6" s="218"/>
      <c r="AB6" s="218"/>
      <c r="AC6" s="217" t="s">
        <v>127</v>
      </c>
      <c r="AD6" s="217"/>
      <c r="AE6" s="217"/>
      <c r="AF6" s="217"/>
      <c r="AG6" s="217"/>
      <c r="AH6" s="217"/>
      <c r="AI6" s="218" t="str">
        <f>_xll.IMDP($C$4,$K$4,"단축코드")</f>
        <v>C03502G56</v>
      </c>
      <c r="AJ6" s="218"/>
      <c r="AK6" s="218"/>
      <c r="AL6" s="218"/>
      <c r="AM6" s="218"/>
      <c r="AN6" s="219"/>
      <c r="AO6" s="2"/>
      <c r="AP6" s="222" t="s">
        <v>208</v>
      </c>
      <c r="AQ6" s="222"/>
      <c r="AR6" s="222"/>
      <c r="AS6" s="222"/>
      <c r="AT6" s="221">
        <f ca="1">TODAY()-365</f>
        <v>41940</v>
      </c>
      <c r="AU6" s="221"/>
      <c r="AV6" s="221"/>
      <c r="AW6" s="221"/>
      <c r="AX6" s="214" t="s">
        <v>209</v>
      </c>
      <c r="AY6" s="215"/>
      <c r="AZ6" s="215"/>
      <c r="BA6" s="216"/>
      <c r="BB6" s="221">
        <f ca="1">TODAY()-1</f>
        <v>42304</v>
      </c>
      <c r="BC6" s="221"/>
      <c r="BD6" s="221"/>
      <c r="BE6" s="221"/>
      <c r="BF6" s="214" t="s">
        <v>210</v>
      </c>
      <c r="BG6" s="215"/>
      <c r="BH6" s="215"/>
      <c r="BI6" s="216"/>
      <c r="BJ6" s="213">
        <v>30</v>
      </c>
      <c r="BK6" s="213"/>
      <c r="BL6" s="213"/>
      <c r="BM6" s="213"/>
      <c r="BN6" s="13"/>
      <c r="BO6" s="13"/>
      <c r="BP6" s="13"/>
      <c r="BQ6" s="13"/>
      <c r="BR6" s="13"/>
      <c r="BS6" s="13"/>
      <c r="BT6" s="14"/>
      <c r="BU6" s="3"/>
      <c r="EC6" s="3"/>
      <c r="ED6" s="3"/>
      <c r="EE6" s="3"/>
      <c r="ES6" s="28" t="s">
        <v>197</v>
      </c>
      <c r="ET6" s="29">
        <f ca="1">$AT$6</f>
        <v>41940</v>
      </c>
      <c r="EU6" s="28" t="s">
        <v>198</v>
      </c>
      <c r="EV6" s="29">
        <f ca="1">$BB$6</f>
        <v>42304</v>
      </c>
      <c r="EW6" s="28" t="s">
        <v>199</v>
      </c>
      <c r="EX6" s="28">
        <f>$BJ$6</f>
        <v>30</v>
      </c>
      <c r="EY6" s="28" t="s">
        <v>200</v>
      </c>
      <c r="EZ6" s="28" t="s">
        <v>201</v>
      </c>
      <c r="FA6" s="28" t="s">
        <v>202</v>
      </c>
      <c r="FB6" s="28" t="s">
        <v>203</v>
      </c>
      <c r="FC6" s="28" t="s">
        <v>204</v>
      </c>
      <c r="FD6" s="28">
        <v>2</v>
      </c>
      <c r="FE6" s="28" t="s">
        <v>205</v>
      </c>
      <c r="FF6" s="28" t="s">
        <v>206</v>
      </c>
      <c r="FL6" s="28" t="s">
        <v>197</v>
      </c>
      <c r="FM6" s="29">
        <f ca="1">TODAY()-30</f>
        <v>42275</v>
      </c>
      <c r="FN6" s="28" t="s">
        <v>198</v>
      </c>
      <c r="FO6" s="29">
        <f ca="1">TODAY()-1</f>
        <v>42304</v>
      </c>
      <c r="FP6" s="28" t="s">
        <v>199</v>
      </c>
      <c r="FQ6" s="28">
        <v>30</v>
      </c>
      <c r="FR6" s="28" t="s">
        <v>200</v>
      </c>
      <c r="FS6" s="28" t="s">
        <v>201</v>
      </c>
      <c r="FT6" s="28" t="s">
        <v>202</v>
      </c>
      <c r="FU6" s="28" t="s">
        <v>203</v>
      </c>
      <c r="FV6" s="28" t="s">
        <v>204</v>
      </c>
      <c r="FW6" s="28">
        <v>0</v>
      </c>
      <c r="FX6" s="28" t="s">
        <v>205</v>
      </c>
      <c r="FY6" s="28" t="s">
        <v>206</v>
      </c>
    </row>
    <row r="7" spans="1:182">
      <c r="A7" s="21" t="s">
        <v>289</v>
      </c>
      <c r="B7" s="21" t="s">
        <v>28</v>
      </c>
      <c r="C7" s="23" t="s">
        <v>290</v>
      </c>
      <c r="E7" s="159" t="s">
        <v>25</v>
      </c>
      <c r="F7" s="160"/>
      <c r="G7" s="160"/>
      <c r="H7" s="160"/>
      <c r="I7" s="160"/>
      <c r="J7" s="161"/>
      <c r="K7" s="226" t="str">
        <f>_xll.IMDP($C$4,$K$4,$C7)</f>
        <v>KTB01625-1806(15-3)</v>
      </c>
      <c r="L7" s="227"/>
      <c r="M7" s="227"/>
      <c r="N7" s="227"/>
      <c r="O7" s="227"/>
      <c r="P7" s="228"/>
      <c r="Q7" s="128" t="s">
        <v>42</v>
      </c>
      <c r="R7" s="129"/>
      <c r="S7" s="129"/>
      <c r="T7" s="129"/>
      <c r="U7" s="129"/>
      <c r="V7" s="129"/>
      <c r="W7" s="205" t="str">
        <f>_xll.IMDP($C$4,$K$4,$B7)</f>
        <v>N</v>
      </c>
      <c r="X7" s="176"/>
      <c r="Y7" s="176"/>
      <c r="Z7" s="176"/>
      <c r="AA7" s="176"/>
      <c r="AB7" s="177"/>
      <c r="AC7" s="128" t="s">
        <v>54</v>
      </c>
      <c r="AD7" s="129"/>
      <c r="AE7" s="129"/>
      <c r="AF7" s="129"/>
      <c r="AG7" s="129"/>
      <c r="AH7" s="140"/>
      <c r="AI7" s="205" t="str">
        <f>_xll.IMDP($C$4,$K$4,$A7)</f>
        <v>Y</v>
      </c>
      <c r="AJ7" s="176"/>
      <c r="AK7" s="176"/>
      <c r="AL7" s="176"/>
      <c r="AM7" s="176"/>
      <c r="AN7" s="229"/>
      <c r="AO7" s="10"/>
      <c r="AP7" s="12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EC7" s="3"/>
      <c r="ED7" s="3"/>
      <c r="EE7" s="3"/>
      <c r="ES7" s="28" t="str">
        <f>$K$4</f>
        <v>KR103502G560</v>
      </c>
      <c r="FL7" s="28" t="str">
        <f>$K$4</f>
        <v>KR103502G560</v>
      </c>
    </row>
    <row r="8" spans="1:182">
      <c r="A8" s="21" t="s">
        <v>291</v>
      </c>
      <c r="B8" s="22" t="s">
        <v>18</v>
      </c>
      <c r="C8" s="23" t="s">
        <v>292</v>
      </c>
      <c r="E8" s="162" t="s">
        <v>30</v>
      </c>
      <c r="F8" s="163"/>
      <c r="G8" s="163"/>
      <c r="H8" s="163"/>
      <c r="I8" s="163"/>
      <c r="J8" s="164"/>
      <c r="K8" s="212" t="str">
        <f>_xll.IMDP($C$4,$K$4,$C8)</f>
        <v>국고채권</v>
      </c>
      <c r="L8" s="185"/>
      <c r="M8" s="185"/>
      <c r="N8" s="185"/>
      <c r="O8" s="185"/>
      <c r="P8" s="186"/>
      <c r="Q8" s="130" t="s">
        <v>43</v>
      </c>
      <c r="R8" s="98"/>
      <c r="S8" s="98"/>
      <c r="T8" s="98"/>
      <c r="U8" s="98"/>
      <c r="V8" s="98"/>
      <c r="W8" s="184" t="str">
        <f>_xll.IMDP($C$4,$K$4,$B8)</f>
        <v>선순위</v>
      </c>
      <c r="X8" s="185"/>
      <c r="Y8" s="185"/>
      <c r="Z8" s="185"/>
      <c r="AA8" s="185"/>
      <c r="AB8" s="186"/>
      <c r="AC8" s="130" t="s">
        <v>55</v>
      </c>
      <c r="AD8" s="98"/>
      <c r="AE8" s="98"/>
      <c r="AF8" s="98"/>
      <c r="AG8" s="98"/>
      <c r="AH8" s="138"/>
      <c r="AI8" s="184" t="str">
        <f>_xll.IMDP($C$4,$K$4,$A8)</f>
        <v>이표채</v>
      </c>
      <c r="AJ8" s="185"/>
      <c r="AK8" s="185"/>
      <c r="AL8" s="185"/>
      <c r="AM8" s="185"/>
      <c r="AN8" s="230"/>
      <c r="AO8" s="10"/>
      <c r="AP8" s="1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EC8" s="3"/>
      <c r="ED8" s="3"/>
      <c r="EE8" s="3"/>
      <c r="ES8" s="28" t="str">
        <f ca="1">_xll.IMDH("BND",$ES$7,ES9:EU9,$ET$6,$EV$6,$EX$6,"Per="&amp;$EZ$6&amp;",sort="&amp;$FB$6&amp;",real=true,Bizday="&amp;$FD$6&amp;",Quote="&amp;$FF$6&amp;",Pos=20,Orient=V,Title="&amp;$K$6&amp;",DtFmt=1,TmFmt=1,unit=true")</f>
        <v>국고01625-1806(15-3)</v>
      </c>
      <c r="ET8" s="28" t="s">
        <v>277</v>
      </c>
      <c r="EU8" s="28" t="s">
        <v>278</v>
      </c>
      <c r="EV8" s="28" t="s">
        <v>284</v>
      </c>
      <c r="FH8" s="28"/>
      <c r="FL8" s="28" t="str">
        <f ca="1">_xll.IMDH("BND",$FL$7,FL9:FO9,$FM$6,$FO$6,$FQ$6,"Per="&amp;$FS$6&amp;",sort="&amp;$FU$6&amp;",real=true,Bizday="&amp;$FW$6&amp;",Quote="&amp;$FY$6&amp;",Pos=20,Orient=V,Title="&amp;$K$6&amp;",DtFmt=1,TmFmt=1,unit=true")</f>
        <v>국고01625-1806(15-3)</v>
      </c>
      <c r="FM8" s="30" t="s">
        <v>279</v>
      </c>
      <c r="FN8" s="30" t="s">
        <v>280</v>
      </c>
      <c r="FO8" s="30" t="s">
        <v>281</v>
      </c>
    </row>
    <row r="9" spans="1:182">
      <c r="A9" s="21" t="s">
        <v>293</v>
      </c>
      <c r="B9" s="22" t="s">
        <v>17</v>
      </c>
      <c r="C9" s="23" t="s">
        <v>294</v>
      </c>
      <c r="E9" s="162" t="s">
        <v>31</v>
      </c>
      <c r="F9" s="163"/>
      <c r="G9" s="163"/>
      <c r="H9" s="163"/>
      <c r="I9" s="163"/>
      <c r="J9" s="164"/>
      <c r="K9" s="153">
        <f>_xll.IMDP($C$4,$K$4,$C9)</f>
        <v>20005</v>
      </c>
      <c r="L9" s="154"/>
      <c r="M9" s="154"/>
      <c r="N9" s="154"/>
      <c r="O9" s="154"/>
      <c r="P9" s="155"/>
      <c r="Q9" s="130" t="s">
        <v>44</v>
      </c>
      <c r="R9" s="98"/>
      <c r="S9" s="98"/>
      <c r="T9" s="98"/>
      <c r="U9" s="98"/>
      <c r="V9" s="98"/>
      <c r="W9" s="184" t="str">
        <f>_xll.IMDP($C$4,$K$4,$B9)</f>
        <v>공모</v>
      </c>
      <c r="X9" s="185"/>
      <c r="Y9" s="185"/>
      <c r="Z9" s="185"/>
      <c r="AA9" s="185"/>
      <c r="AB9" s="186"/>
      <c r="AC9" s="130" t="s">
        <v>56</v>
      </c>
      <c r="AD9" s="98"/>
      <c r="AE9" s="98"/>
      <c r="AF9" s="98"/>
      <c r="AG9" s="98"/>
      <c r="AH9" s="138"/>
      <c r="AI9" s="122">
        <f>_xll.IMDP($C$4,$K$4,$A9)</f>
        <v>1.625</v>
      </c>
      <c r="AJ9" s="123"/>
      <c r="AK9" s="123"/>
      <c r="AL9" s="123"/>
      <c r="AM9" s="123"/>
      <c r="AN9" s="126"/>
      <c r="AO9" s="2"/>
      <c r="AP9" s="1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EC9" s="3"/>
      <c r="ED9" s="3"/>
      <c r="EE9" s="3"/>
      <c r="ES9" s="28" t="s">
        <v>207</v>
      </c>
      <c r="ET9" s="31" t="s">
        <v>283</v>
      </c>
      <c r="EU9" s="31" t="s">
        <v>282</v>
      </c>
      <c r="FH9" s="32" t="str">
        <f>FL9</f>
        <v>일자</v>
      </c>
      <c r="FI9" s="33" t="str">
        <f>FM8</f>
        <v>외국인</v>
      </c>
      <c r="FJ9" s="30" t="str">
        <f>FN8</f>
        <v>은행</v>
      </c>
      <c r="FK9" s="30" t="str">
        <f>FO8</f>
        <v>보험기금</v>
      </c>
      <c r="FL9" s="30" t="s">
        <v>207</v>
      </c>
      <c r="FM9" s="31" t="s">
        <v>275</v>
      </c>
      <c r="FN9" s="31" t="s">
        <v>144</v>
      </c>
      <c r="FO9" s="31" t="s">
        <v>145</v>
      </c>
    </row>
    <row r="10" spans="1:182">
      <c r="A10" s="21" t="s">
        <v>295</v>
      </c>
      <c r="C10" s="23" t="s">
        <v>26</v>
      </c>
      <c r="E10" s="162" t="s">
        <v>26</v>
      </c>
      <c r="F10" s="163"/>
      <c r="G10" s="163"/>
      <c r="H10" s="163"/>
      <c r="I10" s="163"/>
      <c r="J10" s="164"/>
      <c r="K10" s="212" t="str">
        <f>_xll.IMDP($C$4,$K$4,$C10)</f>
        <v>상장</v>
      </c>
      <c r="L10" s="185"/>
      <c r="M10" s="185"/>
      <c r="N10" s="185"/>
      <c r="O10" s="185"/>
      <c r="P10" s="186"/>
      <c r="Q10" s="130" t="s">
        <v>45</v>
      </c>
      <c r="R10" s="98"/>
      <c r="S10" s="98"/>
      <c r="T10" s="98"/>
      <c r="U10" s="98"/>
      <c r="V10" s="98"/>
      <c r="W10" s="184"/>
      <c r="X10" s="185"/>
      <c r="Y10" s="185"/>
      <c r="Z10" s="185"/>
      <c r="AA10" s="185"/>
      <c r="AB10" s="186"/>
      <c r="AC10" s="130" t="s">
        <v>57</v>
      </c>
      <c r="AD10" s="98"/>
      <c r="AE10" s="98"/>
      <c r="AF10" s="98"/>
      <c r="AG10" s="98"/>
      <c r="AH10" s="138"/>
      <c r="AI10" s="196" t="str">
        <f>_xll.IMDP($C$4,$K$4,$A10)</f>
        <v>06M</v>
      </c>
      <c r="AJ10" s="197"/>
      <c r="AK10" s="197"/>
      <c r="AL10" s="197"/>
      <c r="AM10" s="197"/>
      <c r="AN10" s="198"/>
      <c r="AO10" s="2"/>
      <c r="AP10" s="1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EC10" s="3"/>
      <c r="ED10" s="3"/>
      <c r="EE10" s="3"/>
      <c r="ES10" s="29">
        <v>42304</v>
      </c>
      <c r="ET10" s="28">
        <v>1.63</v>
      </c>
      <c r="EU10" s="28">
        <v>1.64</v>
      </c>
      <c r="EV10" s="28">
        <f>EU10-ET10</f>
        <v>1.0000000000000009E-2</v>
      </c>
      <c r="FG10" s="28">
        <v>1</v>
      </c>
      <c r="FH10" s="29">
        <f ca="1">WORKDAY(TODAY(),-FG10)</f>
        <v>42304</v>
      </c>
      <c r="FI10" s="28">
        <f>SUM($FM10:$FM$33)/1000000</f>
        <v>322150</v>
      </c>
      <c r="FJ10" s="28">
        <f>SUM($FN10:$FN$33)/1000000</f>
        <v>-103650</v>
      </c>
      <c r="FK10" s="28">
        <f>SUM($FO10:$FO$33)/1000000</f>
        <v>335430</v>
      </c>
      <c r="FL10" s="29">
        <v>42304</v>
      </c>
      <c r="FN10" s="34">
        <v>-20000000000</v>
      </c>
      <c r="FO10" s="28">
        <v>2000000000</v>
      </c>
    </row>
    <row r="11" spans="1:182">
      <c r="A11" s="22" t="s">
        <v>10</v>
      </c>
      <c r="B11" s="22" t="s">
        <v>22</v>
      </c>
      <c r="C11" s="23" t="s">
        <v>296</v>
      </c>
      <c r="E11" s="162" t="s">
        <v>32</v>
      </c>
      <c r="F11" s="163"/>
      <c r="G11" s="163"/>
      <c r="H11" s="163"/>
      <c r="I11" s="163"/>
      <c r="J11" s="164"/>
      <c r="K11" s="153">
        <f>_xll.IMDP($C$4,$K$4,$C11)</f>
        <v>1017700000</v>
      </c>
      <c r="L11" s="154"/>
      <c r="M11" s="154"/>
      <c r="N11" s="154"/>
      <c r="O11" s="154"/>
      <c r="P11" s="155"/>
      <c r="Q11" s="130" t="s">
        <v>46</v>
      </c>
      <c r="R11" s="98"/>
      <c r="S11" s="98"/>
      <c r="T11" s="98"/>
      <c r="U11" s="98"/>
      <c r="V11" s="98"/>
      <c r="W11" s="184" t="str">
        <f>_xll.IMDP($C$4,$K$4,$B11)</f>
        <v/>
      </c>
      <c r="X11" s="185"/>
      <c r="Y11" s="185"/>
      <c r="Z11" s="185"/>
      <c r="AA11" s="185"/>
      <c r="AB11" s="186"/>
      <c r="AC11" s="130" t="s">
        <v>58</v>
      </c>
      <c r="AD11" s="98"/>
      <c r="AE11" s="98"/>
      <c r="AF11" s="98"/>
      <c r="AG11" s="98"/>
      <c r="AH11" s="138"/>
      <c r="AI11" s="196" t="str">
        <f>_xll.IMDP($C$4,$K$4,$A11)</f>
        <v>후급</v>
      </c>
      <c r="AJ11" s="197"/>
      <c r="AK11" s="197"/>
      <c r="AL11" s="197"/>
      <c r="AM11" s="197"/>
      <c r="AN11" s="198"/>
      <c r="AO11" s="2"/>
      <c r="AP11" s="1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EC11" s="3"/>
      <c r="ED11" s="3"/>
      <c r="EE11" s="3"/>
      <c r="ES11" s="29">
        <v>42303</v>
      </c>
      <c r="ET11" s="28">
        <v>1.64</v>
      </c>
      <c r="EU11" s="28">
        <v>1.64</v>
      </c>
      <c r="EV11" s="28">
        <f t="shared" ref="EV11:EV74" si="0">EU11-ET11</f>
        <v>0</v>
      </c>
      <c r="FG11" s="28">
        <v>2</v>
      </c>
      <c r="FH11" s="29">
        <f t="shared" ref="FH11:FH32" ca="1" si="1">WORKDAY(TODAY(),-FG11)</f>
        <v>42303</v>
      </c>
      <c r="FI11" s="28">
        <f>SUM($FM11:$FM$33)/1000000</f>
        <v>322150</v>
      </c>
      <c r="FJ11" s="28">
        <f>SUM($FN11:$FN$33)/1000000</f>
        <v>-83650</v>
      </c>
      <c r="FK11" s="28">
        <f>SUM($FO11:$FO$33)/1000000</f>
        <v>333430</v>
      </c>
      <c r="FL11" s="29">
        <v>42303</v>
      </c>
      <c r="FN11" s="34">
        <v>9000000000</v>
      </c>
      <c r="FO11" s="28">
        <v>-13800000000</v>
      </c>
    </row>
    <row r="12" spans="1:182">
      <c r="A12" s="22" t="s">
        <v>11</v>
      </c>
      <c r="B12" s="22" t="s">
        <v>23</v>
      </c>
      <c r="C12" s="23" t="s">
        <v>33</v>
      </c>
      <c r="E12" s="162" t="s">
        <v>33</v>
      </c>
      <c r="F12" s="163"/>
      <c r="G12" s="163"/>
      <c r="H12" s="163"/>
      <c r="I12" s="163"/>
      <c r="J12" s="164"/>
      <c r="K12" s="212" t="str">
        <f>_xll.IMDP($C$4,$K$4,$C12)</f>
        <v>원화</v>
      </c>
      <c r="L12" s="185"/>
      <c r="M12" s="185"/>
      <c r="N12" s="185"/>
      <c r="O12" s="185"/>
      <c r="P12" s="186"/>
      <c r="Q12" s="130" t="s">
        <v>47</v>
      </c>
      <c r="R12" s="98"/>
      <c r="S12" s="98"/>
      <c r="T12" s="98"/>
      <c r="U12" s="98"/>
      <c r="V12" s="98"/>
      <c r="W12" s="184" t="str">
        <f>_xll.IMDP($C$4,$K$4,$B12)</f>
        <v/>
      </c>
      <c r="X12" s="185"/>
      <c r="Y12" s="185"/>
      <c r="Z12" s="185"/>
      <c r="AA12" s="185"/>
      <c r="AB12" s="186"/>
      <c r="AC12" s="130" t="s">
        <v>59</v>
      </c>
      <c r="AD12" s="98"/>
      <c r="AE12" s="98"/>
      <c r="AF12" s="98"/>
      <c r="AG12" s="98"/>
      <c r="AH12" s="138"/>
      <c r="AI12" s="196" t="str">
        <f>_xll.IMDP($C$4,$K$4,$A12)</f>
        <v>만기일일자기준</v>
      </c>
      <c r="AJ12" s="197"/>
      <c r="AK12" s="197"/>
      <c r="AL12" s="197"/>
      <c r="AM12" s="197"/>
      <c r="AN12" s="198"/>
      <c r="AO12" s="2"/>
      <c r="AP12" s="1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EC12" s="3"/>
      <c r="ED12" s="3"/>
      <c r="EE12" s="3"/>
      <c r="ES12" s="29">
        <v>42302</v>
      </c>
      <c r="ET12" s="28">
        <v>1.647</v>
      </c>
      <c r="EU12" s="28">
        <v>1.645</v>
      </c>
      <c r="EV12" s="28">
        <f t="shared" si="0"/>
        <v>-2.0000000000000018E-3</v>
      </c>
      <c r="FG12" s="28">
        <v>3</v>
      </c>
      <c r="FH12" s="29">
        <f t="shared" ca="1" si="1"/>
        <v>42300</v>
      </c>
      <c r="FI12" s="28">
        <f>SUM($FM12:$FM$33)/1000000</f>
        <v>322150</v>
      </c>
      <c r="FJ12" s="28">
        <f>SUM($FN12:$FN$33)/1000000</f>
        <v>-92650</v>
      </c>
      <c r="FK12" s="28">
        <f>SUM($FO12:$FO$33)/1000000</f>
        <v>347230</v>
      </c>
      <c r="FL12" s="29">
        <v>42300</v>
      </c>
      <c r="FN12" s="34">
        <v>20000000000</v>
      </c>
      <c r="FO12" s="28">
        <v>-32200000000</v>
      </c>
    </row>
    <row r="13" spans="1:182">
      <c r="A13" s="22" t="s">
        <v>15</v>
      </c>
      <c r="B13" s="22" t="s">
        <v>21</v>
      </c>
      <c r="C13" s="23" t="s">
        <v>297</v>
      </c>
      <c r="E13" s="162" t="s">
        <v>27</v>
      </c>
      <c r="F13" s="163"/>
      <c r="G13" s="163"/>
      <c r="H13" s="163"/>
      <c r="I13" s="163"/>
      <c r="J13" s="164"/>
      <c r="K13" s="153">
        <f>_xll.IMDP($C$4,$K$4,$C13)</f>
        <v>100</v>
      </c>
      <c r="L13" s="154"/>
      <c r="M13" s="154"/>
      <c r="N13" s="154"/>
      <c r="O13" s="154"/>
      <c r="P13" s="155"/>
      <c r="Q13" s="130" t="s">
        <v>48</v>
      </c>
      <c r="R13" s="98"/>
      <c r="S13" s="98"/>
      <c r="T13" s="98"/>
      <c r="U13" s="98"/>
      <c r="V13" s="98"/>
      <c r="W13" s="184" t="str">
        <f>_xll.IMDP($C$4,$K$4,$B13)</f>
        <v>한국은행</v>
      </c>
      <c r="X13" s="185"/>
      <c r="Y13" s="185"/>
      <c r="Z13" s="185"/>
      <c r="AA13" s="185"/>
      <c r="AB13" s="186"/>
      <c r="AC13" s="130" t="s">
        <v>60</v>
      </c>
      <c r="AD13" s="98"/>
      <c r="AE13" s="98"/>
      <c r="AF13" s="98"/>
      <c r="AG13" s="98"/>
      <c r="AH13" s="138"/>
      <c r="AI13" s="196" t="str">
        <f>_xll.IMDP($C$4,$K$4,$A13)</f>
        <v>절사</v>
      </c>
      <c r="AJ13" s="197"/>
      <c r="AK13" s="197"/>
      <c r="AL13" s="197"/>
      <c r="AM13" s="197"/>
      <c r="AN13" s="198"/>
      <c r="AO13" s="2"/>
      <c r="AP13" s="1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EC13" s="3"/>
      <c r="ED13" s="3"/>
      <c r="EE13" s="3"/>
      <c r="ES13" s="29">
        <v>42301</v>
      </c>
      <c r="ET13" s="28">
        <v>1.647</v>
      </c>
      <c r="EU13" s="28">
        <v>1.645</v>
      </c>
      <c r="EV13" s="28">
        <f t="shared" si="0"/>
        <v>-2.0000000000000018E-3</v>
      </c>
      <c r="FD13" s="31"/>
      <c r="FG13" s="28">
        <v>4</v>
      </c>
      <c r="FH13" s="29">
        <f t="shared" ca="1" si="1"/>
        <v>42299</v>
      </c>
      <c r="FI13" s="28">
        <f>SUM($FM13:$FM$33)/1000000</f>
        <v>322150</v>
      </c>
      <c r="FJ13" s="28">
        <f>SUM($FN13:$FN$33)/1000000</f>
        <v>-112650</v>
      </c>
      <c r="FK13" s="28">
        <f>SUM($FO13:$FO$33)/1000000</f>
        <v>379430</v>
      </c>
      <c r="FL13" s="29">
        <v>42299</v>
      </c>
      <c r="FM13" s="28">
        <v>40000000000</v>
      </c>
      <c r="FN13" s="34">
        <v>-23000000000</v>
      </c>
      <c r="FO13" s="28">
        <v>64000000000</v>
      </c>
    </row>
    <row r="14" spans="1:182">
      <c r="B14" s="22" t="s">
        <v>24</v>
      </c>
      <c r="C14" s="23" t="s">
        <v>34</v>
      </c>
      <c r="E14" s="162" t="s">
        <v>34</v>
      </c>
      <c r="F14" s="163"/>
      <c r="G14" s="163"/>
      <c r="H14" s="163"/>
      <c r="I14" s="163"/>
      <c r="J14" s="164"/>
      <c r="K14" s="153">
        <f>_xll.IMDP($C$4,$K$4,$C14)</f>
        <v>1017700000</v>
      </c>
      <c r="L14" s="154"/>
      <c r="M14" s="154"/>
      <c r="N14" s="154"/>
      <c r="O14" s="154"/>
      <c r="P14" s="155"/>
      <c r="Q14" s="130" t="s">
        <v>49</v>
      </c>
      <c r="R14" s="98"/>
      <c r="S14" s="98"/>
      <c r="T14" s="98"/>
      <c r="U14" s="98"/>
      <c r="V14" s="98"/>
      <c r="W14" s="184" t="str">
        <f>_xll.IMDP($C$4,$K$4,$B14)</f>
        <v>한국은행</v>
      </c>
      <c r="X14" s="185"/>
      <c r="Y14" s="185"/>
      <c r="Z14" s="185"/>
      <c r="AA14" s="185"/>
      <c r="AB14" s="186"/>
      <c r="AC14" s="130" t="s">
        <v>61</v>
      </c>
      <c r="AD14" s="98"/>
      <c r="AE14" s="98"/>
      <c r="AF14" s="98"/>
      <c r="AG14" s="98"/>
      <c r="AH14" s="138"/>
      <c r="AI14" s="196"/>
      <c r="AJ14" s="197"/>
      <c r="AK14" s="197" t="str">
        <f>_xll.IMDP($C$4,$K$4,$A15)</f>
        <v>선매출</v>
      </c>
      <c r="AL14" s="197"/>
      <c r="AM14" s="197"/>
      <c r="AN14" s="198"/>
      <c r="AO14" s="2"/>
      <c r="AP14" s="1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EC14" s="3"/>
      <c r="ED14" s="3"/>
      <c r="EE14" s="3"/>
      <c r="ES14" s="29">
        <v>42300</v>
      </c>
      <c r="ET14" s="28">
        <v>1.647</v>
      </c>
      <c r="EU14" s="28">
        <v>1.645</v>
      </c>
      <c r="EV14" s="28">
        <f t="shared" si="0"/>
        <v>-2.0000000000000018E-3</v>
      </c>
      <c r="FD14" s="31"/>
      <c r="FG14" s="28">
        <v>5</v>
      </c>
      <c r="FH14" s="29">
        <f t="shared" ca="1" si="1"/>
        <v>42298</v>
      </c>
      <c r="FI14" s="28">
        <f>SUM($FM14:$FM$33)/1000000</f>
        <v>282150</v>
      </c>
      <c r="FJ14" s="28">
        <f>SUM($FN14:$FN$33)/1000000</f>
        <v>-89650</v>
      </c>
      <c r="FK14" s="28">
        <f>SUM($FO14:$FO$33)/1000000</f>
        <v>315430</v>
      </c>
      <c r="FL14" s="29">
        <v>42298</v>
      </c>
      <c r="FM14" s="28">
        <v>50000000000</v>
      </c>
      <c r="FN14" s="34">
        <v>70000000000</v>
      </c>
      <c r="FO14" s="28">
        <v>33000000000</v>
      </c>
    </row>
    <row r="15" spans="1:182">
      <c r="A15" s="22" t="s">
        <v>12</v>
      </c>
      <c r="B15" s="22" t="s">
        <v>16</v>
      </c>
      <c r="C15" s="23" t="s">
        <v>298</v>
      </c>
      <c r="E15" s="162" t="s">
        <v>35</v>
      </c>
      <c r="F15" s="163"/>
      <c r="G15" s="163"/>
      <c r="H15" s="163"/>
      <c r="I15" s="163"/>
      <c r="J15" s="164"/>
      <c r="K15" s="153">
        <f>_xll.IMDP($C$4,$K$4,$C15)</f>
        <v>20150602</v>
      </c>
      <c r="L15" s="154"/>
      <c r="M15" s="154"/>
      <c r="N15" s="154"/>
      <c r="O15" s="154"/>
      <c r="P15" s="155"/>
      <c r="Q15" s="130" t="s">
        <v>50</v>
      </c>
      <c r="R15" s="98"/>
      <c r="S15" s="98"/>
      <c r="T15" s="98"/>
      <c r="U15" s="98"/>
      <c r="V15" s="98"/>
      <c r="W15" s="184" t="str">
        <f>_xll.IMDP($C$4,$K$4,$B15)</f>
        <v>무보증</v>
      </c>
      <c r="X15" s="185"/>
      <c r="Y15" s="185"/>
      <c r="Z15" s="185"/>
      <c r="AA15" s="185"/>
      <c r="AB15" s="186"/>
      <c r="AC15" s="130" t="s">
        <v>62</v>
      </c>
      <c r="AD15" s="98"/>
      <c r="AE15" s="98"/>
      <c r="AF15" s="98"/>
      <c r="AG15" s="98"/>
      <c r="AH15" s="138"/>
      <c r="AI15" s="196" t="str">
        <f>_xll.IMDP($C$4,$K$4,$A16)</f>
        <v/>
      </c>
      <c r="AJ15" s="197"/>
      <c r="AK15" s="197"/>
      <c r="AL15" s="197"/>
      <c r="AM15" s="197"/>
      <c r="AN15" s="198"/>
      <c r="AO15" s="2"/>
      <c r="AP15" s="1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EC15" s="3"/>
      <c r="ED15" s="3"/>
      <c r="EE15" s="3"/>
      <c r="ES15" s="29">
        <v>42299</v>
      </c>
      <c r="ET15" s="28">
        <v>1.655</v>
      </c>
      <c r="EU15" s="28">
        <v>1.655</v>
      </c>
      <c r="EV15" s="28">
        <f t="shared" si="0"/>
        <v>0</v>
      </c>
      <c r="FG15" s="28">
        <v>6</v>
      </c>
      <c r="FH15" s="29">
        <f t="shared" ca="1" si="1"/>
        <v>42297</v>
      </c>
      <c r="FI15" s="28">
        <f>SUM($FM15:$FM$33)/1000000</f>
        <v>232150</v>
      </c>
      <c r="FJ15" s="28">
        <f>SUM($FN15:$FN$33)/1000000</f>
        <v>-159650</v>
      </c>
      <c r="FK15" s="28">
        <f>SUM($FO15:$FO$33)/1000000</f>
        <v>282430</v>
      </c>
      <c r="FL15" s="29">
        <v>42297</v>
      </c>
      <c r="FM15" s="28">
        <v>5000000000</v>
      </c>
      <c r="FN15" s="34">
        <v>10000000000</v>
      </c>
      <c r="FO15" s="28">
        <v>36000000000</v>
      </c>
    </row>
    <row r="16" spans="1:182">
      <c r="A16" s="22" t="s">
        <v>14</v>
      </c>
      <c r="B16" s="22" t="s">
        <v>2</v>
      </c>
      <c r="C16" s="23" t="s">
        <v>299</v>
      </c>
      <c r="E16" s="162" t="s">
        <v>36</v>
      </c>
      <c r="F16" s="163"/>
      <c r="G16" s="163"/>
      <c r="H16" s="163"/>
      <c r="I16" s="163"/>
      <c r="J16" s="164"/>
      <c r="K16" s="153" t="str">
        <f>_xll.IMDP($C$4,$K$4,$C16)</f>
        <v>00000000</v>
      </c>
      <c r="L16" s="154"/>
      <c r="M16" s="154"/>
      <c r="N16" s="154"/>
      <c r="O16" s="154"/>
      <c r="P16" s="155"/>
      <c r="Q16" s="130" t="s">
        <v>51</v>
      </c>
      <c r="R16" s="98"/>
      <c r="S16" s="98"/>
      <c r="T16" s="98"/>
      <c r="U16" s="98"/>
      <c r="V16" s="98"/>
      <c r="W16" s="181">
        <f>_xll.IMDP($C$4,$K$4,$B16)</f>
        <v>20150610</v>
      </c>
      <c r="X16" s="182"/>
      <c r="Y16" s="182"/>
      <c r="Z16" s="182"/>
      <c r="AA16" s="182"/>
      <c r="AB16" s="183"/>
      <c r="AC16" s="130" t="s">
        <v>63</v>
      </c>
      <c r="AD16" s="98"/>
      <c r="AE16" s="98"/>
      <c r="AF16" s="98"/>
      <c r="AG16" s="98"/>
      <c r="AH16" s="138"/>
      <c r="AI16" s="196">
        <f>_xll.IMDP($C$4,$K$4,$A17)</f>
        <v>100</v>
      </c>
      <c r="AJ16" s="197"/>
      <c r="AK16" s="197"/>
      <c r="AL16" s="197"/>
      <c r="AM16" s="197"/>
      <c r="AN16" s="198"/>
      <c r="AO16" s="2"/>
      <c r="AP16" s="1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EC16" s="3"/>
      <c r="ED16" s="3"/>
      <c r="EE16" s="3"/>
      <c r="ES16" s="29">
        <v>42298</v>
      </c>
      <c r="ET16" s="28">
        <v>1.647</v>
      </c>
      <c r="EU16" s="28">
        <v>1.647</v>
      </c>
      <c r="EV16" s="28">
        <f t="shared" si="0"/>
        <v>0</v>
      </c>
      <c r="FG16" s="28">
        <v>7</v>
      </c>
      <c r="FH16" s="29">
        <f t="shared" ca="1" si="1"/>
        <v>42296</v>
      </c>
      <c r="FI16" s="28">
        <f>SUM($FM16:$FM$33)/1000000</f>
        <v>227150</v>
      </c>
      <c r="FJ16" s="28">
        <f>SUM($FN16:$FN$33)/1000000</f>
        <v>-169650</v>
      </c>
      <c r="FK16" s="28">
        <f>SUM($FO16:$FO$33)/1000000</f>
        <v>246430</v>
      </c>
      <c r="FL16" s="29">
        <v>42296</v>
      </c>
      <c r="FN16" s="34">
        <v>-40000000000</v>
      </c>
      <c r="FO16" s="28">
        <v>1400000000</v>
      </c>
    </row>
    <row r="17" spans="1:171">
      <c r="A17" s="22" t="s">
        <v>8</v>
      </c>
      <c r="B17" s="22" t="s">
        <v>3</v>
      </c>
      <c r="C17" s="23" t="s">
        <v>300</v>
      </c>
      <c r="E17" s="162" t="s">
        <v>4</v>
      </c>
      <c r="F17" s="163"/>
      <c r="G17" s="163"/>
      <c r="H17" s="163"/>
      <c r="I17" s="163"/>
      <c r="J17" s="164"/>
      <c r="K17" s="153" t="str">
        <f>_xll.IMDP($C$4,$K$4,$C17)</f>
        <v/>
      </c>
      <c r="L17" s="154"/>
      <c r="M17" s="154"/>
      <c r="N17" s="154"/>
      <c r="O17" s="154"/>
      <c r="P17" s="155"/>
      <c r="Q17" s="130" t="s">
        <v>52</v>
      </c>
      <c r="R17" s="98"/>
      <c r="S17" s="98"/>
      <c r="T17" s="98"/>
      <c r="U17" s="98"/>
      <c r="V17" s="98"/>
      <c r="W17" s="181">
        <f>_xll.IMDP($C$4,$K$4,$B17)</f>
        <v>20180610</v>
      </c>
      <c r="X17" s="182"/>
      <c r="Y17" s="182"/>
      <c r="Z17" s="182"/>
      <c r="AA17" s="182"/>
      <c r="AB17" s="183"/>
      <c r="AC17" s="130" t="s">
        <v>64</v>
      </c>
      <c r="AD17" s="98"/>
      <c r="AE17" s="98"/>
      <c r="AF17" s="98"/>
      <c r="AG17" s="98"/>
      <c r="AH17" s="138"/>
      <c r="AI17" s="196" t="str">
        <f>_xll.IMDP($C$4,$K$4,$A18)</f>
        <v>해당없음</v>
      </c>
      <c r="AJ17" s="197"/>
      <c r="AK17" s="197"/>
      <c r="AL17" s="197"/>
      <c r="AM17" s="197"/>
      <c r="AN17" s="198"/>
      <c r="AO17" s="2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EC17" s="3"/>
      <c r="ED17" s="3"/>
      <c r="EE17" s="3"/>
      <c r="ES17" s="29">
        <v>42297</v>
      </c>
      <c r="ET17" s="28">
        <v>1.64</v>
      </c>
      <c r="EU17" s="28">
        <v>1.64</v>
      </c>
      <c r="EV17" s="28">
        <f t="shared" si="0"/>
        <v>0</v>
      </c>
      <c r="FG17" s="28">
        <v>8</v>
      </c>
      <c r="FH17" s="29">
        <f t="shared" ca="1" si="1"/>
        <v>42293</v>
      </c>
      <c r="FI17" s="28">
        <f>SUM($FM17:$FM$33)/1000000</f>
        <v>227150</v>
      </c>
      <c r="FJ17" s="28">
        <f>SUM($FN17:$FN$33)/1000000</f>
        <v>-129650</v>
      </c>
      <c r="FK17" s="28">
        <f>SUM($FO17:$FO$33)/1000000</f>
        <v>245030</v>
      </c>
      <c r="FL17" s="29">
        <v>42293</v>
      </c>
      <c r="FM17" s="28">
        <v>40000000000</v>
      </c>
      <c r="FN17" s="34">
        <v>-27000000000</v>
      </c>
      <c r="FO17" s="28">
        <v>25000000000</v>
      </c>
    </row>
    <row r="18" spans="1:171">
      <c r="A18" s="22" t="s">
        <v>19</v>
      </c>
      <c r="B18" s="22" t="s">
        <v>13</v>
      </c>
      <c r="C18" s="23" t="s">
        <v>301</v>
      </c>
      <c r="E18" s="162" t="s">
        <v>37</v>
      </c>
      <c r="F18" s="163"/>
      <c r="G18" s="163"/>
      <c r="H18" s="163"/>
      <c r="I18" s="163"/>
      <c r="J18" s="164"/>
      <c r="K18" s="153" t="str">
        <f>_xll.IMDP($C$4,$K$4,$C18)</f>
        <v/>
      </c>
      <c r="L18" s="154"/>
      <c r="M18" s="154"/>
      <c r="N18" s="154"/>
      <c r="O18" s="154"/>
      <c r="P18" s="155"/>
      <c r="Q18" s="130" t="s">
        <v>53</v>
      </c>
      <c r="R18" s="98"/>
      <c r="S18" s="98"/>
      <c r="T18" s="98"/>
      <c r="U18" s="98"/>
      <c r="V18" s="98"/>
      <c r="W18" s="181">
        <f>_xll.IMDP($C$4,$K$4,$B18)</f>
        <v>20150602</v>
      </c>
      <c r="X18" s="182"/>
      <c r="Y18" s="182"/>
      <c r="Z18" s="182"/>
      <c r="AA18" s="182"/>
      <c r="AB18" s="183"/>
      <c r="AC18" s="130" t="s">
        <v>65</v>
      </c>
      <c r="AD18" s="98"/>
      <c r="AE18" s="98"/>
      <c r="AF18" s="98"/>
      <c r="AG18" s="98"/>
      <c r="AH18" s="138"/>
      <c r="AI18" s="196" t="str">
        <f>_xll.IMDP($C$4,$K$4,$A19)</f>
        <v>일반채권</v>
      </c>
      <c r="AJ18" s="197"/>
      <c r="AK18" s="197"/>
      <c r="AL18" s="197"/>
      <c r="AM18" s="197"/>
      <c r="AN18" s="198"/>
      <c r="AO18" s="2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EC18" s="3"/>
      <c r="ED18" s="3"/>
      <c r="EE18" s="3"/>
      <c r="ES18" s="29">
        <v>42296</v>
      </c>
      <c r="ET18" s="28">
        <v>1.6220000000000001</v>
      </c>
      <c r="EU18" s="28">
        <v>1.625</v>
      </c>
      <c r="EV18" s="28">
        <f t="shared" si="0"/>
        <v>2.9999999999998916E-3</v>
      </c>
      <c r="FG18" s="28">
        <v>9</v>
      </c>
      <c r="FH18" s="29">
        <f t="shared" ca="1" si="1"/>
        <v>42292</v>
      </c>
      <c r="FI18" s="28">
        <f>SUM($FM18:$FM$33)/1000000</f>
        <v>187150</v>
      </c>
      <c r="FJ18" s="28">
        <f>SUM($FN18:$FN$33)/1000000</f>
        <v>-102650</v>
      </c>
      <c r="FK18" s="28">
        <f>SUM($FO18:$FO$33)/1000000</f>
        <v>220030</v>
      </c>
      <c r="FL18" s="29">
        <v>42292</v>
      </c>
      <c r="FM18" s="28">
        <v>110000000000</v>
      </c>
      <c r="FN18" s="34">
        <v>-20000000000</v>
      </c>
      <c r="FO18" s="28">
        <v>-10400000000</v>
      </c>
    </row>
    <row r="19" spans="1:171">
      <c r="A19" s="22" t="s">
        <v>20</v>
      </c>
      <c r="B19" s="22" t="s">
        <v>302</v>
      </c>
      <c r="C19" s="23" t="s">
        <v>303</v>
      </c>
      <c r="E19" s="162" t="s">
        <v>38</v>
      </c>
      <c r="F19" s="163"/>
      <c r="G19" s="163"/>
      <c r="H19" s="163"/>
      <c r="I19" s="163"/>
      <c r="J19" s="164"/>
      <c r="K19" s="153">
        <f>_xll.IMDP($C$4,$K$4,$C19)</f>
        <v>0</v>
      </c>
      <c r="L19" s="154"/>
      <c r="M19" s="154"/>
      <c r="N19" s="154"/>
      <c r="O19" s="154"/>
      <c r="P19" s="155"/>
      <c r="Q19" s="130"/>
      <c r="R19" s="98"/>
      <c r="S19" s="98"/>
      <c r="T19" s="98"/>
      <c r="U19" s="98"/>
      <c r="V19" s="98"/>
      <c r="W19" s="184"/>
      <c r="X19" s="185"/>
      <c r="Y19" s="185"/>
      <c r="Z19" s="185"/>
      <c r="AA19" s="185"/>
      <c r="AB19" s="186"/>
      <c r="AC19" s="130"/>
      <c r="AD19" s="98"/>
      <c r="AE19" s="98"/>
      <c r="AF19" s="98"/>
      <c r="AG19" s="98"/>
      <c r="AH19" s="138"/>
      <c r="AI19" s="196"/>
      <c r="AJ19" s="197"/>
      <c r="AK19" s="197"/>
      <c r="AL19" s="197"/>
      <c r="AM19" s="197"/>
      <c r="AN19" s="198"/>
      <c r="AO19" s="2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EC19" s="3"/>
      <c r="ED19" s="3"/>
      <c r="EE19" s="3"/>
      <c r="ES19" s="29">
        <v>42295</v>
      </c>
      <c r="ET19" s="28">
        <v>1.62</v>
      </c>
      <c r="EU19" s="28">
        <v>1.625</v>
      </c>
      <c r="EV19" s="28">
        <f t="shared" si="0"/>
        <v>4.9999999999998934E-3</v>
      </c>
      <c r="FG19" s="28">
        <v>10</v>
      </c>
      <c r="FH19" s="29">
        <f t="shared" ca="1" si="1"/>
        <v>42291</v>
      </c>
      <c r="FI19" s="28">
        <f>SUM($FM19:$FM$33)/1000000</f>
        <v>77150</v>
      </c>
      <c r="FJ19" s="28">
        <f>SUM($FN19:$FN$33)/1000000</f>
        <v>-82650</v>
      </c>
      <c r="FK19" s="28">
        <f>SUM($FO19:$FO$33)/1000000</f>
        <v>230430</v>
      </c>
      <c r="FL19" s="29">
        <v>42291</v>
      </c>
      <c r="FN19" s="34">
        <v>70000000000</v>
      </c>
      <c r="FO19" s="28">
        <v>38500000000</v>
      </c>
    </row>
    <row r="20" spans="1:171">
      <c r="A20" s="22" t="s">
        <v>304</v>
      </c>
      <c r="B20" s="22" t="s">
        <v>73</v>
      </c>
      <c r="C20" s="23" t="s">
        <v>305</v>
      </c>
      <c r="E20" s="162" t="s">
        <v>84</v>
      </c>
      <c r="F20" s="163"/>
      <c r="G20" s="163"/>
      <c r="H20" s="163"/>
      <c r="I20" s="163"/>
      <c r="J20" s="164"/>
      <c r="K20" s="153">
        <f>_xll.IMDP($C$4,$K$4,$C20)</f>
        <v>9550</v>
      </c>
      <c r="L20" s="154"/>
      <c r="M20" s="154"/>
      <c r="N20" s="154"/>
      <c r="O20" s="154"/>
      <c r="P20" s="155"/>
      <c r="Q20" s="130"/>
      <c r="R20" s="98"/>
      <c r="S20" s="98"/>
      <c r="T20" s="98"/>
      <c r="U20" s="98"/>
      <c r="V20" s="98"/>
      <c r="W20" s="184"/>
      <c r="X20" s="185"/>
      <c r="Y20" s="185"/>
      <c r="Z20" s="185"/>
      <c r="AA20" s="185"/>
      <c r="AB20" s="186"/>
      <c r="AC20" s="130"/>
      <c r="AD20" s="98"/>
      <c r="AE20" s="98"/>
      <c r="AF20" s="98"/>
      <c r="AG20" s="98"/>
      <c r="AH20" s="138"/>
      <c r="AI20" s="196"/>
      <c r="AJ20" s="197"/>
      <c r="AK20" s="197"/>
      <c r="AL20" s="197"/>
      <c r="AM20" s="197"/>
      <c r="AN20" s="198"/>
      <c r="AO20" s="2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EC20" s="3"/>
      <c r="ED20" s="3"/>
      <c r="EE20" s="3"/>
      <c r="ES20" s="29">
        <v>42294</v>
      </c>
      <c r="ET20" s="28">
        <v>1.62</v>
      </c>
      <c r="EU20" s="28">
        <v>1.625</v>
      </c>
      <c r="EV20" s="28">
        <f t="shared" si="0"/>
        <v>4.9999999999998934E-3</v>
      </c>
      <c r="FG20" s="28">
        <v>11</v>
      </c>
      <c r="FH20" s="29">
        <f t="shared" ca="1" si="1"/>
        <v>42290</v>
      </c>
      <c r="FI20" s="28">
        <f>SUM($FM20:$FM$33)/1000000</f>
        <v>77150</v>
      </c>
      <c r="FJ20" s="28">
        <f>SUM($FN20:$FN$33)/1000000</f>
        <v>-152650</v>
      </c>
      <c r="FK20" s="28">
        <f>SUM($FO20:$FO$33)/1000000</f>
        <v>191930</v>
      </c>
      <c r="FL20" s="29">
        <v>42290</v>
      </c>
      <c r="FN20" s="35">
        <v>10000000000</v>
      </c>
      <c r="FO20" s="28">
        <v>49500000000</v>
      </c>
    </row>
    <row r="21" spans="1:171">
      <c r="A21" s="22" t="s">
        <v>306</v>
      </c>
      <c r="B21" s="22" t="s">
        <v>74</v>
      </c>
      <c r="C21" s="22" t="s">
        <v>5</v>
      </c>
      <c r="E21" s="162" t="s">
        <v>39</v>
      </c>
      <c r="F21" s="163"/>
      <c r="G21" s="163"/>
      <c r="H21" s="163"/>
      <c r="I21" s="163"/>
      <c r="J21" s="164"/>
      <c r="K21" s="212" t="str">
        <f>_xll.IMDP($C$4,$K$4,$C21)</f>
        <v>국채</v>
      </c>
      <c r="L21" s="185"/>
      <c r="M21" s="185"/>
      <c r="N21" s="185"/>
      <c r="O21" s="185"/>
      <c r="P21" s="186"/>
      <c r="Q21" s="130"/>
      <c r="R21" s="98"/>
      <c r="S21" s="98"/>
      <c r="T21" s="98"/>
      <c r="U21" s="98"/>
      <c r="V21" s="98"/>
      <c r="W21" s="184"/>
      <c r="X21" s="185"/>
      <c r="Y21" s="185"/>
      <c r="Z21" s="185"/>
      <c r="AA21" s="185"/>
      <c r="AB21" s="186"/>
      <c r="AC21" s="130"/>
      <c r="AD21" s="98"/>
      <c r="AE21" s="98"/>
      <c r="AF21" s="98"/>
      <c r="AG21" s="98"/>
      <c r="AH21" s="138"/>
      <c r="AI21" s="196"/>
      <c r="AJ21" s="197"/>
      <c r="AK21" s="197"/>
      <c r="AL21" s="197"/>
      <c r="AM21" s="197"/>
      <c r="AN21" s="198"/>
      <c r="AO21" s="2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EC21" s="3"/>
      <c r="ED21" s="3"/>
      <c r="EE21" s="3"/>
      <c r="ES21" s="29">
        <v>42293</v>
      </c>
      <c r="ET21" s="28">
        <v>1.62</v>
      </c>
      <c r="EU21" s="28">
        <v>1.625</v>
      </c>
      <c r="EV21" s="28">
        <f t="shared" si="0"/>
        <v>4.9999999999998934E-3</v>
      </c>
      <c r="FG21" s="28">
        <v>12</v>
      </c>
      <c r="FH21" s="29">
        <f t="shared" ca="1" si="1"/>
        <v>42289</v>
      </c>
      <c r="FI21" s="28">
        <f>SUM($FM21:$FM$33)/1000000</f>
        <v>77150</v>
      </c>
      <c r="FJ21" s="28">
        <f>SUM($FN21:$FN$33)/1000000</f>
        <v>-162650</v>
      </c>
      <c r="FK21" s="28">
        <f>SUM($FO21:$FO$33)/1000000</f>
        <v>142430</v>
      </c>
      <c r="FL21" s="29">
        <v>42289</v>
      </c>
      <c r="FM21" s="28">
        <v>-3000000000</v>
      </c>
      <c r="FN21" s="35">
        <v>-120000000000</v>
      </c>
      <c r="FO21" s="28">
        <v>49000000000</v>
      </c>
    </row>
    <row r="22" spans="1:171">
      <c r="A22" s="22" t="s">
        <v>307</v>
      </c>
      <c r="B22" s="22" t="s">
        <v>75</v>
      </c>
      <c r="C22" s="22" t="s">
        <v>6</v>
      </c>
      <c r="E22" s="206" t="s">
        <v>40</v>
      </c>
      <c r="F22" s="207"/>
      <c r="G22" s="207"/>
      <c r="H22" s="207"/>
      <c r="I22" s="207"/>
      <c r="J22" s="208"/>
      <c r="K22" s="232" t="str">
        <f>_xll.IMDP($C$4,$K$4,$C22)</f>
        <v>국고채권</v>
      </c>
      <c r="L22" s="188"/>
      <c r="M22" s="188"/>
      <c r="N22" s="188"/>
      <c r="O22" s="188"/>
      <c r="P22" s="189"/>
      <c r="Q22" s="199"/>
      <c r="R22" s="200"/>
      <c r="S22" s="200"/>
      <c r="T22" s="200"/>
      <c r="U22" s="200"/>
      <c r="V22" s="200"/>
      <c r="W22" s="187"/>
      <c r="X22" s="188"/>
      <c r="Y22" s="188"/>
      <c r="Z22" s="188"/>
      <c r="AA22" s="188"/>
      <c r="AB22" s="189"/>
      <c r="AC22" s="199"/>
      <c r="AD22" s="200"/>
      <c r="AE22" s="200"/>
      <c r="AF22" s="200"/>
      <c r="AG22" s="200"/>
      <c r="AH22" s="201"/>
      <c r="AI22" s="190"/>
      <c r="AJ22" s="191"/>
      <c r="AK22" s="191"/>
      <c r="AL22" s="191"/>
      <c r="AM22" s="191"/>
      <c r="AN22" s="192"/>
      <c r="AO22" s="2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EC22" s="3"/>
      <c r="ED22" s="3"/>
      <c r="EE22" s="3"/>
      <c r="ES22" s="29">
        <v>42292</v>
      </c>
      <c r="ET22" s="28">
        <v>1.6220000000000001</v>
      </c>
      <c r="EU22" s="28">
        <v>1.62</v>
      </c>
      <c r="EV22" s="28">
        <f t="shared" si="0"/>
        <v>-2.0000000000000018E-3</v>
      </c>
      <c r="FG22" s="28">
        <v>13</v>
      </c>
      <c r="FH22" s="29">
        <f t="shared" ca="1" si="1"/>
        <v>42286</v>
      </c>
      <c r="FI22" s="28">
        <f>SUM($FM22:$FM$33)/1000000</f>
        <v>80150</v>
      </c>
      <c r="FJ22" s="28">
        <f>SUM($FN22:$FN$33)/1000000</f>
        <v>-42650</v>
      </c>
      <c r="FK22" s="28">
        <f>SUM($FO22:$FO$33)/1000000</f>
        <v>93430</v>
      </c>
      <c r="FL22" s="29">
        <v>42285</v>
      </c>
      <c r="FM22" s="28">
        <v>800000000</v>
      </c>
      <c r="FN22" s="35">
        <v>10000000000</v>
      </c>
      <c r="FO22" s="28">
        <v>-47370000000</v>
      </c>
    </row>
    <row r="23" spans="1:171" ht="14.25" thickBot="1">
      <c r="A23" s="22" t="s">
        <v>308</v>
      </c>
      <c r="B23" s="22" t="s">
        <v>76</v>
      </c>
      <c r="C23" s="22" t="s">
        <v>7</v>
      </c>
      <c r="E23" s="209" t="s">
        <v>41</v>
      </c>
      <c r="F23" s="210"/>
      <c r="G23" s="210"/>
      <c r="H23" s="210"/>
      <c r="I23" s="210"/>
      <c r="J23" s="211"/>
      <c r="K23" s="233" t="str">
        <f>_xll.IMDP($C$4,$K$4,$C23)</f>
        <v>3Y</v>
      </c>
      <c r="L23" s="179"/>
      <c r="M23" s="179"/>
      <c r="N23" s="179"/>
      <c r="O23" s="179"/>
      <c r="P23" s="180"/>
      <c r="Q23" s="202"/>
      <c r="R23" s="203"/>
      <c r="S23" s="203"/>
      <c r="T23" s="203"/>
      <c r="U23" s="203"/>
      <c r="V23" s="203"/>
      <c r="W23" s="178"/>
      <c r="X23" s="179"/>
      <c r="Y23" s="179"/>
      <c r="Z23" s="179"/>
      <c r="AA23" s="179"/>
      <c r="AB23" s="180"/>
      <c r="AC23" s="202"/>
      <c r="AD23" s="203"/>
      <c r="AE23" s="203"/>
      <c r="AF23" s="203"/>
      <c r="AG23" s="203"/>
      <c r="AH23" s="204"/>
      <c r="AI23" s="193"/>
      <c r="AJ23" s="194"/>
      <c r="AK23" s="194"/>
      <c r="AL23" s="194"/>
      <c r="AM23" s="194"/>
      <c r="AN23" s="195"/>
      <c r="AO23" s="2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EC23" s="3"/>
      <c r="ED23" s="3"/>
      <c r="EE23" s="3"/>
      <c r="ES23" s="29">
        <v>42291</v>
      </c>
      <c r="ET23" s="28">
        <v>1.655</v>
      </c>
      <c r="EU23" s="28">
        <v>1.655</v>
      </c>
      <c r="EV23" s="28">
        <f t="shared" si="0"/>
        <v>0</v>
      </c>
      <c r="FG23" s="28">
        <v>14</v>
      </c>
      <c r="FH23" s="29">
        <f t="shared" ca="1" si="1"/>
        <v>42285</v>
      </c>
      <c r="FI23" s="28">
        <f>SUM($FM23:$FM$33)/1000000</f>
        <v>79350</v>
      </c>
      <c r="FJ23" s="28">
        <f>SUM($FN23:$FN$33)/1000000</f>
        <v>-52650</v>
      </c>
      <c r="FK23" s="28">
        <f>SUM($FO23:$FO$33)/1000000</f>
        <v>140800</v>
      </c>
      <c r="FL23" s="29">
        <v>42284</v>
      </c>
      <c r="FM23" s="28">
        <v>7050000000</v>
      </c>
      <c r="FN23" s="35">
        <v>17950000000</v>
      </c>
      <c r="FO23" s="28">
        <v>7400000000</v>
      </c>
    </row>
    <row r="24" spans="1:171" ht="15" customHeight="1">
      <c r="A24" s="22" t="s">
        <v>309</v>
      </c>
      <c r="B24" s="22" t="s">
        <v>77</v>
      </c>
      <c r="E24" s="108" t="s">
        <v>72</v>
      </c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 t="s">
        <v>81</v>
      </c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 t="s">
        <v>83</v>
      </c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10"/>
      <c r="AO24" s="1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EC24" s="3"/>
      <c r="ED24" s="3"/>
      <c r="EE24" s="3"/>
      <c r="ES24" s="29">
        <v>42290</v>
      </c>
      <c r="ET24" s="28">
        <v>1.637</v>
      </c>
      <c r="EU24" s="28">
        <v>1.643</v>
      </c>
      <c r="EV24" s="28">
        <f t="shared" si="0"/>
        <v>6.0000000000000053E-3</v>
      </c>
      <c r="FG24" s="28">
        <v>15</v>
      </c>
      <c r="FH24" s="29">
        <f t="shared" ca="1" si="1"/>
        <v>42284</v>
      </c>
      <c r="FI24" s="28">
        <f>SUM($FM24:$FM$33)/1000000</f>
        <v>72300</v>
      </c>
      <c r="FJ24" s="28">
        <f>SUM($FN24:$FN$33)/1000000</f>
        <v>-70600</v>
      </c>
      <c r="FK24" s="28">
        <f>SUM($FO24:$FO$33)/1000000</f>
        <v>133400</v>
      </c>
      <c r="FL24" s="29">
        <v>42283</v>
      </c>
      <c r="FM24" s="28">
        <v>600000000</v>
      </c>
      <c r="FN24" s="35">
        <v>39400000000</v>
      </c>
      <c r="FO24" s="28">
        <v>-19800000000</v>
      </c>
    </row>
    <row r="25" spans="1:171" ht="16.5" customHeight="1">
      <c r="A25" s="22" t="s">
        <v>310</v>
      </c>
      <c r="B25" s="22" t="s">
        <v>78</v>
      </c>
      <c r="C25" s="22" t="s">
        <v>66</v>
      </c>
      <c r="E25" s="159" t="s">
        <v>235</v>
      </c>
      <c r="F25" s="160"/>
      <c r="G25" s="160"/>
      <c r="H25" s="160"/>
      <c r="I25" s="160"/>
      <c r="J25" s="161"/>
      <c r="K25" s="175" t="str">
        <f>_xll.IMDP($C$4,$K$4,$C25)</f>
        <v>만기상환</v>
      </c>
      <c r="L25" s="176"/>
      <c r="M25" s="176"/>
      <c r="N25" s="176"/>
      <c r="O25" s="176"/>
      <c r="P25" s="177"/>
      <c r="Q25" s="142" t="s">
        <v>236</v>
      </c>
      <c r="R25" s="143"/>
      <c r="S25" s="143"/>
      <c r="T25" s="143"/>
      <c r="U25" s="143"/>
      <c r="V25" s="144"/>
      <c r="W25" s="135" t="str">
        <f>_xll.IMDP($C$4,$K$4,$B24)</f>
        <v/>
      </c>
      <c r="X25" s="136"/>
      <c r="Y25" s="136"/>
      <c r="Z25" s="136"/>
      <c r="AA25" s="136"/>
      <c r="AB25" s="151"/>
      <c r="AC25" s="128" t="s">
        <v>237</v>
      </c>
      <c r="AD25" s="129"/>
      <c r="AE25" s="129"/>
      <c r="AF25" s="119">
        <f>_xll.IMDP($C$4,$K$4,$A20)</f>
        <v>1.63</v>
      </c>
      <c r="AG25" s="120"/>
      <c r="AH25" s="121"/>
      <c r="AI25" s="128" t="s">
        <v>238</v>
      </c>
      <c r="AJ25" s="129"/>
      <c r="AK25" s="129"/>
      <c r="AL25" s="119">
        <f>_xll.IMDP($C$4,$K$4,$A22)</f>
        <v>1.63</v>
      </c>
      <c r="AM25" s="120"/>
      <c r="AN25" s="121"/>
      <c r="AO25" s="2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EC25" s="3"/>
      <c r="ED25" s="3"/>
      <c r="EE25" s="3"/>
      <c r="ES25" s="29">
        <v>42289</v>
      </c>
      <c r="ET25" s="28">
        <v>1.645667</v>
      </c>
      <c r="EU25" s="28">
        <v>1.635</v>
      </c>
      <c r="EV25" s="28">
        <f t="shared" si="0"/>
        <v>-1.0666999999999982E-2</v>
      </c>
      <c r="FG25" s="28">
        <v>16</v>
      </c>
      <c r="FH25" s="29">
        <f t="shared" ca="1" si="1"/>
        <v>42283</v>
      </c>
      <c r="FI25" s="28">
        <f>SUM($FM25:$FM$33)/1000000</f>
        <v>71700</v>
      </c>
      <c r="FJ25" s="28">
        <f>SUM($FN25:$FN$33)/1000000</f>
        <v>-110000</v>
      </c>
      <c r="FK25" s="28">
        <f>SUM($FO25:$FO$33)/1000000</f>
        <v>153200</v>
      </c>
      <c r="FL25" s="29">
        <v>42282</v>
      </c>
      <c r="FM25" s="28">
        <v>-7800000000</v>
      </c>
      <c r="FN25" s="34">
        <v>83000000000</v>
      </c>
      <c r="FO25" s="28">
        <v>106900000000</v>
      </c>
    </row>
    <row r="26" spans="1:171">
      <c r="A26" s="22" t="s">
        <v>311</v>
      </c>
      <c r="B26" s="22" t="s">
        <v>79</v>
      </c>
      <c r="C26" s="22" t="s">
        <v>67</v>
      </c>
      <c r="E26" s="162" t="s">
        <v>239</v>
      </c>
      <c r="F26" s="163"/>
      <c r="G26" s="163"/>
      <c r="H26" s="163"/>
      <c r="I26" s="163"/>
      <c r="J26" s="164"/>
      <c r="K26" s="153">
        <f>_xll.IMDP($C$4,$K$4,$C26)</f>
        <v>0</v>
      </c>
      <c r="L26" s="154"/>
      <c r="M26" s="154"/>
      <c r="N26" s="154"/>
      <c r="O26" s="154"/>
      <c r="P26" s="155"/>
      <c r="Q26" s="145" t="s">
        <v>240</v>
      </c>
      <c r="R26" s="146"/>
      <c r="S26" s="146"/>
      <c r="T26" s="146"/>
      <c r="U26" s="146"/>
      <c r="V26" s="147"/>
      <c r="W26" s="113" t="str">
        <f>_xll.IMDP($C$4,$K$4,$B25)</f>
        <v/>
      </c>
      <c r="X26" s="114"/>
      <c r="Y26" s="114"/>
      <c r="Z26" s="114"/>
      <c r="AA26" s="114"/>
      <c r="AB26" s="152"/>
      <c r="AC26" s="130"/>
      <c r="AD26" s="98"/>
      <c r="AE26" s="98"/>
      <c r="AF26" s="122">
        <f>_xll.IMDP($C$4,$K$4,$A21)</f>
        <v>10060.76</v>
      </c>
      <c r="AG26" s="123"/>
      <c r="AH26" s="124"/>
      <c r="AI26" s="130"/>
      <c r="AJ26" s="98"/>
      <c r="AK26" s="98"/>
      <c r="AL26" s="122">
        <f>_xll.IMDP($C$4,$K$4,$A23)</f>
        <v>10060.76</v>
      </c>
      <c r="AM26" s="123"/>
      <c r="AN26" s="124"/>
      <c r="AO26" s="2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EC26" s="3"/>
      <c r="ED26" s="3"/>
      <c r="EE26" s="3"/>
      <c r="ES26" s="29">
        <v>42288</v>
      </c>
      <c r="ET26" s="28">
        <v>1.615</v>
      </c>
      <c r="EU26" s="28">
        <v>1.605</v>
      </c>
      <c r="EV26" s="28">
        <f t="shared" si="0"/>
        <v>-1.0000000000000009E-2</v>
      </c>
      <c r="FG26" s="28">
        <v>17</v>
      </c>
      <c r="FH26" s="29">
        <f t="shared" ca="1" si="1"/>
        <v>42282</v>
      </c>
      <c r="FI26" s="28">
        <f>SUM($FM26:$FM$33)/1000000</f>
        <v>79500</v>
      </c>
      <c r="FJ26" s="28">
        <f>SUM($FN26:$FN$33)/1000000</f>
        <v>-193000</v>
      </c>
      <c r="FK26" s="28">
        <f>SUM($FO26:$FO$33)/1000000</f>
        <v>46300</v>
      </c>
      <c r="FL26" s="29">
        <v>42279</v>
      </c>
      <c r="FN26" s="35">
        <v>9000000000</v>
      </c>
      <c r="FO26" s="28">
        <v>34000000000</v>
      </c>
    </row>
    <row r="27" spans="1:171">
      <c r="A27" s="22" t="s">
        <v>312</v>
      </c>
      <c r="B27" s="22" t="s">
        <v>80</v>
      </c>
      <c r="C27" s="22" t="s">
        <v>68</v>
      </c>
      <c r="E27" s="162" t="s">
        <v>241</v>
      </c>
      <c r="F27" s="163"/>
      <c r="G27" s="163"/>
      <c r="H27" s="163"/>
      <c r="I27" s="163"/>
      <c r="J27" s="164"/>
      <c r="K27" s="153">
        <f>_xll.IMDP($C$4,$K$4,$C27)</f>
        <v>0</v>
      </c>
      <c r="L27" s="154"/>
      <c r="M27" s="154"/>
      <c r="N27" s="154"/>
      <c r="O27" s="154"/>
      <c r="P27" s="155"/>
      <c r="Q27" s="145" t="s">
        <v>242</v>
      </c>
      <c r="R27" s="146"/>
      <c r="S27" s="146"/>
      <c r="T27" s="146"/>
      <c r="U27" s="146"/>
      <c r="V27" s="147"/>
      <c r="W27" s="113" t="str">
        <f>_xll.IMDP($C$4,$K$4,$B26)</f>
        <v/>
      </c>
      <c r="X27" s="114"/>
      <c r="Y27" s="114"/>
      <c r="Z27" s="114"/>
      <c r="AA27" s="114"/>
      <c r="AB27" s="152"/>
      <c r="AC27" s="130" t="s">
        <v>243</v>
      </c>
      <c r="AD27" s="98"/>
      <c r="AE27" s="98"/>
      <c r="AF27" s="52">
        <f>_xll.IMDP($C$4,$K$4,$A24)</f>
        <v>1.63</v>
      </c>
      <c r="AG27" s="53"/>
      <c r="AH27" s="54"/>
      <c r="AI27" s="130" t="s">
        <v>244</v>
      </c>
      <c r="AJ27" s="98"/>
      <c r="AK27" s="98"/>
      <c r="AL27" s="52">
        <f>_xll.IMDP($C$4,$K$4,$A26)</f>
        <v>1.63</v>
      </c>
      <c r="AM27" s="53"/>
      <c r="AN27" s="125"/>
      <c r="AO27" s="2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EC27" s="3"/>
      <c r="ED27" s="3"/>
      <c r="EE27" s="3"/>
      <c r="ES27" s="29">
        <v>42287</v>
      </c>
      <c r="ET27" s="28">
        <v>1.615</v>
      </c>
      <c r="EU27" s="28">
        <v>1.605</v>
      </c>
      <c r="EV27" s="28">
        <f t="shared" si="0"/>
        <v>-1.0000000000000009E-2</v>
      </c>
      <c r="FG27" s="28">
        <v>18</v>
      </c>
      <c r="FH27" s="29">
        <f t="shared" ca="1" si="1"/>
        <v>42279</v>
      </c>
      <c r="FI27" s="28">
        <f>SUM($FM27:$FM$33)/1000000</f>
        <v>79500</v>
      </c>
      <c r="FJ27" s="28">
        <f>SUM($FN27:$FN$33)/1000000</f>
        <v>-202000</v>
      </c>
      <c r="FK27" s="28">
        <f>SUM($FO27:$FO$33)/1000000</f>
        <v>12300</v>
      </c>
      <c r="FL27" s="29">
        <v>42278</v>
      </c>
      <c r="FN27" s="35">
        <v>-113000000000</v>
      </c>
      <c r="FO27" s="28">
        <v>-29100000000</v>
      </c>
    </row>
    <row r="28" spans="1:171">
      <c r="A28" s="22" t="s">
        <v>313</v>
      </c>
      <c r="B28" s="22" t="s">
        <v>96</v>
      </c>
      <c r="C28" s="22" t="s">
        <v>69</v>
      </c>
      <c r="E28" s="162" t="s">
        <v>245</v>
      </c>
      <c r="F28" s="163"/>
      <c r="G28" s="163"/>
      <c r="H28" s="163"/>
      <c r="I28" s="163"/>
      <c r="J28" s="164"/>
      <c r="K28" s="153">
        <f>_xll.IMDP($C$4,$K$4,$C28)</f>
        <v>0</v>
      </c>
      <c r="L28" s="154"/>
      <c r="M28" s="154"/>
      <c r="N28" s="154"/>
      <c r="O28" s="154"/>
      <c r="P28" s="155"/>
      <c r="Q28" s="145" t="s">
        <v>246</v>
      </c>
      <c r="R28" s="146"/>
      <c r="S28" s="146"/>
      <c r="T28" s="146"/>
      <c r="U28" s="146"/>
      <c r="V28" s="147"/>
      <c r="W28" s="113" t="str">
        <f>_xll.IMDP($C$4,$K$4,$B27)</f>
        <v/>
      </c>
      <c r="X28" s="114"/>
      <c r="Y28" s="114"/>
      <c r="Z28" s="114"/>
      <c r="AA28" s="114"/>
      <c r="AB28" s="152"/>
      <c r="AC28" s="130"/>
      <c r="AD28" s="98"/>
      <c r="AE28" s="98"/>
      <c r="AF28" s="122">
        <f>_xll.IMDP($C$4,$K$4,$A25)</f>
        <v>10060.76</v>
      </c>
      <c r="AG28" s="123"/>
      <c r="AH28" s="124"/>
      <c r="AI28" s="130"/>
      <c r="AJ28" s="98"/>
      <c r="AK28" s="98"/>
      <c r="AL28" s="122">
        <f>_xll.IMDP($C$4,$K$4,$A27)</f>
        <v>10060.76</v>
      </c>
      <c r="AM28" s="123"/>
      <c r="AN28" s="126"/>
      <c r="AO28" s="2"/>
      <c r="AP28" s="1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EC28" s="3"/>
      <c r="ED28" s="3"/>
      <c r="EE28" s="3"/>
      <c r="ES28" s="29">
        <v>42286</v>
      </c>
      <c r="ET28" s="28">
        <v>1.615</v>
      </c>
      <c r="EU28" s="28">
        <v>1.605</v>
      </c>
      <c r="EV28" s="28">
        <f t="shared" si="0"/>
        <v>-1.0000000000000009E-2</v>
      </c>
      <c r="FG28" s="28">
        <v>19</v>
      </c>
      <c r="FH28" s="29">
        <f t="shared" ca="1" si="1"/>
        <v>42278</v>
      </c>
      <c r="FI28" s="28">
        <f>SUM($FM28:$FM$33)/1000000</f>
        <v>79500</v>
      </c>
      <c r="FJ28" s="28">
        <f>SUM($FN28:$FN$33)/1000000</f>
        <v>-89000</v>
      </c>
      <c r="FK28" s="28">
        <f>SUM($FO28:$FO$33)/1000000</f>
        <v>41400</v>
      </c>
      <c r="FL28" s="29">
        <v>42277</v>
      </c>
      <c r="FM28" s="28">
        <v>79500000000</v>
      </c>
      <c r="FN28" s="35">
        <v>-89000000000</v>
      </c>
      <c r="FO28" s="28">
        <v>41400000000</v>
      </c>
    </row>
    <row r="29" spans="1:171">
      <c r="A29" s="22" t="s">
        <v>314</v>
      </c>
      <c r="B29" s="22" t="s">
        <v>97</v>
      </c>
      <c r="C29" s="22" t="s">
        <v>70</v>
      </c>
      <c r="E29" s="162" t="s">
        <v>247</v>
      </c>
      <c r="F29" s="163"/>
      <c r="G29" s="163"/>
      <c r="H29" s="163"/>
      <c r="I29" s="163"/>
      <c r="J29" s="164"/>
      <c r="K29" s="153">
        <f>_xll.IMDP($C$4,$K$4,$C29)</f>
        <v>0</v>
      </c>
      <c r="L29" s="154"/>
      <c r="M29" s="154"/>
      <c r="N29" s="154"/>
      <c r="O29" s="154"/>
      <c r="P29" s="155"/>
      <c r="Q29" s="145"/>
      <c r="R29" s="146"/>
      <c r="S29" s="146"/>
      <c r="T29" s="146"/>
      <c r="U29" s="146"/>
      <c r="V29" s="147"/>
      <c r="W29" s="113"/>
      <c r="X29" s="114"/>
      <c r="Y29" s="114"/>
      <c r="Z29" s="114"/>
      <c r="AA29" s="114"/>
      <c r="AB29" s="152"/>
      <c r="AC29" s="130" t="s">
        <v>248</v>
      </c>
      <c r="AD29" s="98"/>
      <c r="AE29" s="98"/>
      <c r="AF29" s="52">
        <f>_xll.IMDP($C$4,$K$4,$A28)</f>
        <v>1.63</v>
      </c>
      <c r="AG29" s="53"/>
      <c r="AH29" s="54"/>
      <c r="AI29" s="130" t="s">
        <v>249</v>
      </c>
      <c r="AJ29" s="98"/>
      <c r="AK29" s="98"/>
      <c r="AL29" s="52">
        <f>_xll.IMDP($C$4,$K$4,$A30)</f>
        <v>1.63</v>
      </c>
      <c r="AM29" s="53"/>
      <c r="AN29" s="125"/>
      <c r="AO29" s="2"/>
      <c r="AP29" s="1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EC29" s="3"/>
      <c r="ED29" s="3"/>
      <c r="EE29" s="3"/>
      <c r="ES29" s="29">
        <v>42285</v>
      </c>
      <c r="ET29" s="28">
        <v>1.615</v>
      </c>
      <c r="EU29" s="28">
        <v>1.605</v>
      </c>
      <c r="EV29" s="28">
        <f t="shared" si="0"/>
        <v>-1.0000000000000009E-2</v>
      </c>
      <c r="FG29" s="28">
        <v>20</v>
      </c>
      <c r="FH29" s="29">
        <f t="shared" ca="1" si="1"/>
        <v>42277</v>
      </c>
      <c r="FI29" s="28">
        <f>SUM($FM29:$FM$33)/1000000</f>
        <v>0</v>
      </c>
      <c r="FJ29" s="28">
        <f>SUM($FN29:$FN$33)/1000000</f>
        <v>0</v>
      </c>
      <c r="FK29" s="28">
        <f>SUM($FO29:$FO$33)/1000000</f>
        <v>0</v>
      </c>
      <c r="FL29" s="29"/>
      <c r="FN29" s="35"/>
    </row>
    <row r="30" spans="1:171" ht="14.25" thickBot="1">
      <c r="A30" s="22" t="s">
        <v>315</v>
      </c>
      <c r="B30" s="22" t="s">
        <v>98</v>
      </c>
      <c r="C30" s="22" t="s">
        <v>71</v>
      </c>
      <c r="E30" s="165" t="s">
        <v>250</v>
      </c>
      <c r="F30" s="166"/>
      <c r="G30" s="166"/>
      <c r="H30" s="166"/>
      <c r="I30" s="166"/>
      <c r="J30" s="167"/>
      <c r="K30" s="172"/>
      <c r="L30" s="173" t="str">
        <f>_xll.IMDP($C$4,$K$4,$C30)</f>
        <v/>
      </c>
      <c r="M30" s="173"/>
      <c r="N30" s="173"/>
      <c r="O30" s="173"/>
      <c r="P30" s="174"/>
      <c r="Q30" s="148" t="str">
        <f>_xll.IMDP($C$4,$K$4,$B25)</f>
        <v/>
      </c>
      <c r="R30" s="149"/>
      <c r="S30" s="149"/>
      <c r="T30" s="149"/>
      <c r="U30" s="149"/>
      <c r="V30" s="150"/>
      <c r="W30" s="132"/>
      <c r="X30" s="133"/>
      <c r="Y30" s="133"/>
      <c r="Z30" s="133"/>
      <c r="AA30" s="133"/>
      <c r="AB30" s="141"/>
      <c r="AC30" s="131"/>
      <c r="AD30" s="101"/>
      <c r="AE30" s="101"/>
      <c r="AF30" s="116">
        <f>_xll.IMDP($C$4,$K$4,$A29)</f>
        <v>10060.76</v>
      </c>
      <c r="AG30" s="117"/>
      <c r="AH30" s="118"/>
      <c r="AI30" s="131"/>
      <c r="AJ30" s="101"/>
      <c r="AK30" s="101"/>
      <c r="AL30" s="116">
        <f>_xll.IMDP($C$4,$K$4,$A31)</f>
        <v>10060.76</v>
      </c>
      <c r="AM30" s="117"/>
      <c r="AN30" s="127"/>
      <c r="AO30" s="2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EC30" s="3"/>
      <c r="ED30" s="3"/>
      <c r="EE30" s="3"/>
      <c r="ES30" s="29">
        <v>42284</v>
      </c>
      <c r="ET30" s="28">
        <v>1.615</v>
      </c>
      <c r="EU30" s="28">
        <v>1.605</v>
      </c>
      <c r="EV30" s="28">
        <f t="shared" si="0"/>
        <v>-1.0000000000000009E-2</v>
      </c>
      <c r="FG30" s="28">
        <v>21</v>
      </c>
      <c r="FH30" s="29">
        <f t="shared" ca="1" si="1"/>
        <v>42276</v>
      </c>
      <c r="FI30" s="28">
        <f>SUM($FM30:$FM$33)/1000000</f>
        <v>0</v>
      </c>
      <c r="FJ30" s="28">
        <f>SUM($FN30:$FN$33)/1000000</f>
        <v>0</v>
      </c>
      <c r="FK30" s="28">
        <f>SUM($FO30:$FO$33)/1000000</f>
        <v>0</v>
      </c>
      <c r="FL30" s="29"/>
      <c r="FN30" s="35"/>
    </row>
    <row r="31" spans="1:171" ht="15" customHeight="1">
      <c r="A31" s="22" t="s">
        <v>316</v>
      </c>
      <c r="B31" s="22" t="s">
        <v>99</v>
      </c>
      <c r="E31" s="111" t="s">
        <v>85</v>
      </c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112"/>
      <c r="Q31" s="68" t="s">
        <v>94</v>
      </c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112"/>
      <c r="AC31" s="68" t="s">
        <v>95</v>
      </c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70"/>
      <c r="AO31" s="11"/>
      <c r="AP31" s="45" t="s">
        <v>211</v>
      </c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  <c r="BR31" s="46"/>
      <c r="BS31" s="46"/>
      <c r="BT31" s="47"/>
      <c r="BU31" s="3"/>
      <c r="EC31" s="3"/>
      <c r="ED31" s="3"/>
      <c r="EE31" s="3"/>
      <c r="ES31" s="29">
        <v>42283</v>
      </c>
      <c r="ET31" s="28">
        <v>1.59</v>
      </c>
      <c r="EU31" s="28">
        <v>1.59</v>
      </c>
      <c r="EV31" s="28">
        <f t="shared" si="0"/>
        <v>0</v>
      </c>
      <c r="FG31" s="28">
        <v>22</v>
      </c>
      <c r="FH31" s="29">
        <f t="shared" ca="1" si="1"/>
        <v>42275</v>
      </c>
      <c r="FI31" s="28">
        <f>SUM($FM31:$FM$33)/1000000</f>
        <v>0</v>
      </c>
      <c r="FJ31" s="28">
        <f>SUM($FN31:$FN$33)/1000000</f>
        <v>0</v>
      </c>
      <c r="FK31" s="28">
        <f>SUM($FO31:$FO$33)/1000000</f>
        <v>0</v>
      </c>
      <c r="FL31" s="29"/>
      <c r="FN31" s="35"/>
    </row>
    <row r="32" spans="1:171">
      <c r="B32" s="22" t="s">
        <v>100</v>
      </c>
      <c r="C32" s="22" t="s">
        <v>87</v>
      </c>
      <c r="E32" s="168" t="s">
        <v>228</v>
      </c>
      <c r="F32" s="129"/>
      <c r="G32" s="129"/>
      <c r="H32" s="129"/>
      <c r="I32" s="129"/>
      <c r="J32" s="140"/>
      <c r="K32" s="169" t="str">
        <f>_xll.IMDP($C$4,$K$4,$C32)</f>
        <v/>
      </c>
      <c r="L32" s="170"/>
      <c r="M32" s="170"/>
      <c r="N32" s="170"/>
      <c r="O32" s="170"/>
      <c r="P32" s="171"/>
      <c r="Q32" s="128" t="s">
        <v>251</v>
      </c>
      <c r="R32" s="129"/>
      <c r="S32" s="129"/>
      <c r="T32" s="129"/>
      <c r="U32" s="129"/>
      <c r="V32" s="140"/>
      <c r="W32" s="135" t="str">
        <f>_xll.IMDP($C$4,$K$4,$B38)</f>
        <v/>
      </c>
      <c r="X32" s="136"/>
      <c r="Y32" s="136"/>
      <c r="Z32" s="136"/>
      <c r="AA32" s="136"/>
      <c r="AB32" s="151"/>
      <c r="AC32" s="128" t="s">
        <v>252</v>
      </c>
      <c r="AD32" s="129"/>
      <c r="AE32" s="129"/>
      <c r="AF32" s="129"/>
      <c r="AG32" s="129"/>
      <c r="AH32" s="140"/>
      <c r="AI32" s="135" t="str">
        <f>_xll.IMDP($C$4,$K$4,$A33)</f>
        <v/>
      </c>
      <c r="AJ32" s="136"/>
      <c r="AK32" s="136"/>
      <c r="AL32" s="136"/>
      <c r="AM32" s="136"/>
      <c r="AN32" s="137"/>
      <c r="AO32" s="2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EC32" s="3"/>
      <c r="ED32" s="3"/>
      <c r="EE32" s="3"/>
      <c r="ES32" s="29">
        <v>42282</v>
      </c>
      <c r="ET32" s="28">
        <v>1.576333</v>
      </c>
      <c r="EU32" s="28">
        <v>1.58</v>
      </c>
      <c r="EV32" s="28">
        <f t="shared" si="0"/>
        <v>3.6670000000000869E-3</v>
      </c>
      <c r="FG32" s="28">
        <v>23</v>
      </c>
      <c r="FH32" s="29">
        <f t="shared" ca="1" si="1"/>
        <v>42272</v>
      </c>
      <c r="FI32" s="28">
        <f>SUM($FM32:$FM$33)/1000000</f>
        <v>0</v>
      </c>
      <c r="FJ32" s="28">
        <f>SUM($FN32:$FN$33)/1000000</f>
        <v>0</v>
      </c>
      <c r="FK32" s="28">
        <f>SUM($FO32:$FO$33)/1000000</f>
        <v>0</v>
      </c>
      <c r="FL32" s="29"/>
      <c r="FN32" s="34"/>
    </row>
    <row r="33" spans="1:170">
      <c r="A33" s="22" t="s">
        <v>124</v>
      </c>
      <c r="B33" s="22" t="s">
        <v>101</v>
      </c>
      <c r="C33" s="22" t="s">
        <v>88</v>
      </c>
      <c r="E33" s="99" t="s">
        <v>229</v>
      </c>
      <c r="F33" s="98"/>
      <c r="G33" s="98"/>
      <c r="H33" s="98"/>
      <c r="I33" s="98"/>
      <c r="J33" s="138"/>
      <c r="K33" s="153" t="str">
        <f>_xll.IMDP($C$4,$K$4,$C33)</f>
        <v/>
      </c>
      <c r="L33" s="154"/>
      <c r="M33" s="154"/>
      <c r="N33" s="154"/>
      <c r="O33" s="154"/>
      <c r="P33" s="155"/>
      <c r="Q33" s="130" t="s">
        <v>253</v>
      </c>
      <c r="R33" s="98"/>
      <c r="S33" s="98"/>
      <c r="T33" s="98"/>
      <c r="U33" s="98"/>
      <c r="V33" s="138"/>
      <c r="W33" s="113" t="str">
        <f>_xll.IMDP($C$4,$K$4,$B39)</f>
        <v/>
      </c>
      <c r="X33" s="114"/>
      <c r="Y33" s="114"/>
      <c r="Z33" s="114"/>
      <c r="AA33" s="114"/>
      <c r="AB33" s="152"/>
      <c r="AC33" s="130" t="s">
        <v>254</v>
      </c>
      <c r="AD33" s="98"/>
      <c r="AE33" s="98"/>
      <c r="AF33" s="98"/>
      <c r="AG33" s="98"/>
      <c r="AH33" s="138"/>
      <c r="AI33" s="113" t="str">
        <f>_xll.IMDP($C$4,$K$4,$A34)</f>
        <v/>
      </c>
      <c r="AJ33" s="114"/>
      <c r="AK33" s="114"/>
      <c r="AL33" s="114"/>
      <c r="AM33" s="114"/>
      <c r="AN33" s="115"/>
      <c r="AO33" s="2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EC33" s="3"/>
      <c r="ED33" s="3"/>
      <c r="EE33" s="3"/>
      <c r="ES33" s="29">
        <v>42281</v>
      </c>
      <c r="ET33" s="28">
        <v>1.5820000000000001</v>
      </c>
      <c r="EU33" s="28">
        <v>1.59</v>
      </c>
      <c r="EV33" s="28">
        <f t="shared" si="0"/>
        <v>8.0000000000000071E-3</v>
      </c>
      <c r="FH33" s="29" t="str">
        <f t="shared" ref="FH33:FH74" si="2">IF(FL33="","",FL33)</f>
        <v/>
      </c>
      <c r="FJ33" s="36" t="str">
        <f>IF($FH33="","",SUM($FN33:$FN$7000))</f>
        <v/>
      </c>
      <c r="FK33" s="36" t="str">
        <f>IF($FH33="","",SUM($FN33:$FN$7000))</f>
        <v/>
      </c>
      <c r="FL33" s="29"/>
      <c r="FN33" s="34"/>
    </row>
    <row r="34" spans="1:170">
      <c r="A34" s="22" t="s">
        <v>116</v>
      </c>
      <c r="B34" s="22" t="s">
        <v>102</v>
      </c>
      <c r="C34" s="22" t="s">
        <v>93</v>
      </c>
      <c r="E34" s="99" t="s">
        <v>227</v>
      </c>
      <c r="F34" s="98"/>
      <c r="G34" s="98"/>
      <c r="H34" s="98"/>
      <c r="I34" s="98"/>
      <c r="J34" s="138"/>
      <c r="K34" s="153">
        <f>_xll.IMDP($C$4,$K$4,$C34)</f>
        <v>0</v>
      </c>
      <c r="L34" s="154"/>
      <c r="M34" s="154"/>
      <c r="N34" s="154"/>
      <c r="O34" s="154"/>
      <c r="P34" s="155"/>
      <c r="Q34" s="130" t="s">
        <v>255</v>
      </c>
      <c r="R34" s="98"/>
      <c r="S34" s="98"/>
      <c r="T34" s="98"/>
      <c r="U34" s="98"/>
      <c r="V34" s="138"/>
      <c r="W34" s="113" t="str">
        <f>_xll.IMDP($C$4,$K$4,$B40)</f>
        <v/>
      </c>
      <c r="X34" s="114"/>
      <c r="Y34" s="114"/>
      <c r="Z34" s="114"/>
      <c r="AA34" s="114"/>
      <c r="AB34" s="152"/>
      <c r="AC34" s="130" t="s">
        <v>256</v>
      </c>
      <c r="AD34" s="98"/>
      <c r="AE34" s="98"/>
      <c r="AF34" s="98"/>
      <c r="AG34" s="98"/>
      <c r="AH34" s="138"/>
      <c r="AI34" s="113">
        <f>_xll.IMDP($C$4,$K$4,$A35)</f>
        <v>0</v>
      </c>
      <c r="AJ34" s="114"/>
      <c r="AK34" s="114"/>
      <c r="AL34" s="114"/>
      <c r="AM34" s="114"/>
      <c r="AN34" s="115"/>
      <c r="AO34" s="2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ES34" s="29">
        <v>42280</v>
      </c>
      <c r="ET34" s="28">
        <v>1.5820000000000001</v>
      </c>
      <c r="EU34" s="28">
        <v>1.59</v>
      </c>
      <c r="EV34" s="28">
        <f t="shared" si="0"/>
        <v>8.0000000000000071E-3</v>
      </c>
      <c r="FH34" s="29" t="str">
        <f t="shared" si="2"/>
        <v/>
      </c>
      <c r="FJ34" s="36" t="str">
        <f>IF($FH34="","",SUM($FN34:$FN$7000))</f>
        <v/>
      </c>
      <c r="FK34" s="36" t="str">
        <f>IF($FH34="","",SUM($FN34:$FN$7000))</f>
        <v/>
      </c>
      <c r="FL34" s="29"/>
      <c r="FN34" s="34"/>
    </row>
    <row r="35" spans="1:170">
      <c r="A35" s="22" t="s">
        <v>9</v>
      </c>
      <c r="B35" s="22" t="s">
        <v>103</v>
      </c>
      <c r="C35" s="22" t="s">
        <v>86</v>
      </c>
      <c r="E35" s="99" t="s">
        <v>230</v>
      </c>
      <c r="F35" s="98"/>
      <c r="G35" s="98"/>
      <c r="H35" s="98"/>
      <c r="I35" s="98"/>
      <c r="J35" s="138"/>
      <c r="K35" s="153" t="str">
        <f>_xll.IMDP($C$4,$K$4,$C35)</f>
        <v/>
      </c>
      <c r="L35" s="154"/>
      <c r="M35" s="154"/>
      <c r="N35" s="154"/>
      <c r="O35" s="154"/>
      <c r="P35" s="155"/>
      <c r="Q35" s="130" t="s">
        <v>212</v>
      </c>
      <c r="R35" s="98"/>
      <c r="S35" s="98"/>
      <c r="T35" s="98"/>
      <c r="U35" s="98"/>
      <c r="V35" s="138"/>
      <c r="W35" s="113" t="str">
        <f>_xll.IMDP($C$4,$K$4,$B41)</f>
        <v/>
      </c>
      <c r="X35" s="114"/>
      <c r="Y35" s="114"/>
      <c r="Z35" s="114"/>
      <c r="AA35" s="114"/>
      <c r="AB35" s="152"/>
      <c r="AC35" s="130" t="s">
        <v>257</v>
      </c>
      <c r="AD35" s="98"/>
      <c r="AE35" s="98"/>
      <c r="AF35" s="98"/>
      <c r="AG35" s="98"/>
      <c r="AH35" s="138"/>
      <c r="AI35" s="113" t="str">
        <f>_xll.IMDP($C$4,$K$4,$A36)</f>
        <v/>
      </c>
      <c r="AJ35" s="114"/>
      <c r="AK35" s="114"/>
      <c r="AL35" s="114"/>
      <c r="AM35" s="114"/>
      <c r="AN35" s="115"/>
      <c r="AO35" s="2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ES35" s="29">
        <v>42279</v>
      </c>
      <c r="ET35" s="28">
        <v>1.5820000000000001</v>
      </c>
      <c r="EU35" s="28">
        <v>1.59</v>
      </c>
      <c r="EV35" s="28">
        <f t="shared" si="0"/>
        <v>8.0000000000000071E-3</v>
      </c>
      <c r="FH35" s="29" t="str">
        <f t="shared" si="2"/>
        <v/>
      </c>
      <c r="FJ35" s="36" t="str">
        <f>IF($FH35="","",SUM($FN35:$FN$7000))</f>
        <v/>
      </c>
      <c r="FK35" s="36" t="str">
        <f>IF($FH35="","",SUM($FN35:$FN$7000))</f>
        <v/>
      </c>
      <c r="FL35" s="29"/>
      <c r="FN35" s="34"/>
    </row>
    <row r="36" spans="1:170">
      <c r="A36" s="22" t="s">
        <v>122</v>
      </c>
      <c r="B36" s="22" t="s">
        <v>104</v>
      </c>
      <c r="C36" s="22" t="s">
        <v>89</v>
      </c>
      <c r="E36" s="99" t="s">
        <v>231</v>
      </c>
      <c r="F36" s="98"/>
      <c r="G36" s="98"/>
      <c r="H36" s="98"/>
      <c r="I36" s="98"/>
      <c r="J36" s="138"/>
      <c r="K36" s="153">
        <f>_xll.IMDP($C$4,$K$4,$C36)</f>
        <v>0</v>
      </c>
      <c r="L36" s="154"/>
      <c r="M36" s="154"/>
      <c r="N36" s="154"/>
      <c r="O36" s="154"/>
      <c r="P36" s="155"/>
      <c r="Q36" s="130" t="s">
        <v>213</v>
      </c>
      <c r="R36" s="98"/>
      <c r="S36" s="98"/>
      <c r="T36" s="98"/>
      <c r="U36" s="98"/>
      <c r="V36" s="138"/>
      <c r="W36" s="113" t="str">
        <f>_xll.IMDP($C$4,$K$4,$B42)</f>
        <v/>
      </c>
      <c r="X36" s="114"/>
      <c r="Y36" s="114"/>
      <c r="Z36" s="114"/>
      <c r="AA36" s="114"/>
      <c r="AB36" s="152"/>
      <c r="AC36" s="130" t="s">
        <v>258</v>
      </c>
      <c r="AD36" s="98"/>
      <c r="AE36" s="98"/>
      <c r="AF36" s="98"/>
      <c r="AG36" s="98"/>
      <c r="AH36" s="138"/>
      <c r="AI36" s="113" t="str">
        <f>_xll.IMDP($C$4,$K$4,$A37)</f>
        <v/>
      </c>
      <c r="AJ36" s="114"/>
      <c r="AK36" s="114"/>
      <c r="AL36" s="114"/>
      <c r="AM36" s="114"/>
      <c r="AN36" s="115"/>
      <c r="AO36" s="2"/>
      <c r="ES36" s="29">
        <v>42278</v>
      </c>
      <c r="ET36" s="28">
        <v>1.5920000000000001</v>
      </c>
      <c r="EU36" s="28">
        <v>1.58</v>
      </c>
      <c r="EV36" s="28">
        <f t="shared" si="0"/>
        <v>-1.2000000000000011E-2</v>
      </c>
      <c r="FH36" s="29" t="str">
        <f t="shared" si="2"/>
        <v/>
      </c>
      <c r="FJ36" s="36" t="str">
        <f>IF($FH36="","",SUM($FN36:$FN$7000))</f>
        <v/>
      </c>
      <c r="FK36" s="36" t="str">
        <f>IF($FH36="","",SUM($FN36:$FN$7000))</f>
        <v/>
      </c>
      <c r="FL36" s="29"/>
      <c r="FN36" s="34"/>
    </row>
    <row r="37" spans="1:170">
      <c r="A37" s="22" t="s">
        <v>123</v>
      </c>
      <c r="B37" s="22" t="s">
        <v>105</v>
      </c>
      <c r="C37" s="22" t="s">
        <v>90</v>
      </c>
      <c r="E37" s="99" t="s">
        <v>232</v>
      </c>
      <c r="F37" s="98"/>
      <c r="G37" s="98"/>
      <c r="H37" s="98"/>
      <c r="I37" s="98"/>
      <c r="J37" s="138"/>
      <c r="K37" s="153">
        <f>_xll.IMDP($C$4,$K$4,$C37)</f>
        <v>0</v>
      </c>
      <c r="L37" s="154"/>
      <c r="M37" s="154"/>
      <c r="N37" s="154"/>
      <c r="O37" s="154"/>
      <c r="P37" s="155"/>
      <c r="Q37" s="130" t="s">
        <v>214</v>
      </c>
      <c r="R37" s="98"/>
      <c r="S37" s="98"/>
      <c r="T37" s="98"/>
      <c r="U37" s="98"/>
      <c r="V37" s="138"/>
      <c r="W37" s="113" t="str">
        <f>_xll.IMDP($C$4,$K$4,$B43)</f>
        <v/>
      </c>
      <c r="X37" s="114"/>
      <c r="Y37" s="114"/>
      <c r="Z37" s="114"/>
      <c r="AA37" s="114"/>
      <c r="AB37" s="152"/>
      <c r="AC37" s="130" t="s">
        <v>259</v>
      </c>
      <c r="AD37" s="98"/>
      <c r="AE37" s="98"/>
      <c r="AF37" s="98"/>
      <c r="AG37" s="98"/>
      <c r="AH37" s="138"/>
      <c r="AI37" s="113" t="str">
        <f>_xll.IMDP($C$4,$K$4,$A38)</f>
        <v/>
      </c>
      <c r="AJ37" s="114"/>
      <c r="AK37" s="114"/>
      <c r="AL37" s="114"/>
      <c r="AM37" s="114"/>
      <c r="AN37" s="115"/>
      <c r="AO37" s="2"/>
      <c r="ES37" s="29">
        <v>42277</v>
      </c>
      <c r="ET37" s="28">
        <v>1.5649999999999999</v>
      </c>
      <c r="EU37" s="28">
        <v>1.5649999999999999</v>
      </c>
      <c r="EV37" s="28">
        <f t="shared" si="0"/>
        <v>0</v>
      </c>
      <c r="FH37" s="29" t="str">
        <f t="shared" si="2"/>
        <v/>
      </c>
      <c r="FJ37" s="36" t="str">
        <f>IF($FH37="","",SUM($FN37:$FN$7000))</f>
        <v/>
      </c>
      <c r="FK37" s="36" t="str">
        <f>IF($FH37="","",SUM($FN37:$FN$7000))</f>
        <v/>
      </c>
      <c r="FL37" s="29"/>
      <c r="FN37" s="34"/>
    </row>
    <row r="38" spans="1:170">
      <c r="A38" s="22" t="s">
        <v>117</v>
      </c>
      <c r="B38" s="22" t="s">
        <v>106</v>
      </c>
      <c r="C38" s="22" t="s">
        <v>91</v>
      </c>
      <c r="E38" s="99" t="s">
        <v>233</v>
      </c>
      <c r="F38" s="98"/>
      <c r="G38" s="98"/>
      <c r="H38" s="98"/>
      <c r="I38" s="98"/>
      <c r="J38" s="138"/>
      <c r="K38" s="153" t="str">
        <f>_xll.IMDP($C$4,$K$4,$C38)</f>
        <v>00000000</v>
      </c>
      <c r="L38" s="154"/>
      <c r="M38" s="154"/>
      <c r="N38" s="154"/>
      <c r="O38" s="154"/>
      <c r="P38" s="155"/>
      <c r="Q38" s="130" t="s">
        <v>215</v>
      </c>
      <c r="R38" s="98"/>
      <c r="S38" s="98"/>
      <c r="T38" s="98"/>
      <c r="U38" s="98"/>
      <c r="V38" s="138"/>
      <c r="W38" s="113" t="str">
        <f>_xll.IMDP($C$4,$K$4,$B44)</f>
        <v/>
      </c>
      <c r="X38" s="114"/>
      <c r="Y38" s="114"/>
      <c r="Z38" s="114"/>
      <c r="AA38" s="114"/>
      <c r="AB38" s="152"/>
      <c r="AC38" s="130" t="s">
        <v>260</v>
      </c>
      <c r="AD38" s="98"/>
      <c r="AE38" s="98"/>
      <c r="AF38" s="98"/>
      <c r="AG38" s="98"/>
      <c r="AH38" s="138"/>
      <c r="AI38" s="113" t="str">
        <f>_xll.IMDP($C$4,$K$4,$A39)</f>
        <v/>
      </c>
      <c r="AJ38" s="114"/>
      <c r="AK38" s="114"/>
      <c r="AL38" s="114"/>
      <c r="AM38" s="114"/>
      <c r="AN38" s="115"/>
      <c r="AO38" s="2"/>
      <c r="ES38" s="29">
        <v>42276</v>
      </c>
      <c r="ET38" s="28">
        <v>1.6140000000000001</v>
      </c>
      <c r="EU38" s="28">
        <v>1.615</v>
      </c>
      <c r="EV38" s="28">
        <f t="shared" si="0"/>
        <v>9.9999999999988987E-4</v>
      </c>
      <c r="FH38" s="29" t="str">
        <f t="shared" si="2"/>
        <v/>
      </c>
      <c r="FJ38" s="36" t="str">
        <f>IF($FH38="","",SUM($FN38:$FN$7000))</f>
        <v/>
      </c>
      <c r="FK38" s="36" t="str">
        <f>IF($FH38="","",SUM($FN38:$FN$7000))</f>
        <v/>
      </c>
      <c r="FL38" s="29"/>
      <c r="FN38" s="34"/>
    </row>
    <row r="39" spans="1:170">
      <c r="A39" s="22" t="s">
        <v>118</v>
      </c>
      <c r="B39" s="22" t="s">
        <v>107</v>
      </c>
      <c r="C39" s="22" t="s">
        <v>92</v>
      </c>
      <c r="E39" s="99" t="s">
        <v>234</v>
      </c>
      <c r="F39" s="98"/>
      <c r="G39" s="98"/>
      <c r="H39" s="98"/>
      <c r="I39" s="98"/>
      <c r="J39" s="138"/>
      <c r="K39" s="153" t="str">
        <f>_xll.IMDP($C$4,$K$4,$C39)</f>
        <v>00000000</v>
      </c>
      <c r="L39" s="154"/>
      <c r="M39" s="154"/>
      <c r="N39" s="154"/>
      <c r="O39" s="154"/>
      <c r="P39" s="155"/>
      <c r="Q39" s="130" t="s">
        <v>216</v>
      </c>
      <c r="R39" s="98"/>
      <c r="S39" s="98"/>
      <c r="T39" s="98"/>
      <c r="U39" s="98"/>
      <c r="V39" s="138"/>
      <c r="W39" s="113" t="str">
        <f>_xll.IMDP($C$4,$K$4,$B45)</f>
        <v/>
      </c>
      <c r="X39" s="114"/>
      <c r="Y39" s="114"/>
      <c r="Z39" s="114"/>
      <c r="AA39" s="114"/>
      <c r="AB39" s="152"/>
      <c r="AC39" s="130" t="s">
        <v>261</v>
      </c>
      <c r="AD39" s="98"/>
      <c r="AE39" s="98"/>
      <c r="AF39" s="98"/>
      <c r="AG39" s="98"/>
      <c r="AH39" s="138"/>
      <c r="AI39" s="113" t="str">
        <f>_xll.IMDP($C$4,$K$4,$A40)</f>
        <v/>
      </c>
      <c r="AJ39" s="114"/>
      <c r="AK39" s="114"/>
      <c r="AL39" s="114"/>
      <c r="AM39" s="114"/>
      <c r="AN39" s="115"/>
      <c r="AO39" s="2"/>
      <c r="ES39" s="29">
        <v>42275</v>
      </c>
      <c r="ET39" s="28">
        <v>1.6140000000000001</v>
      </c>
      <c r="EU39" s="28">
        <v>1.615</v>
      </c>
      <c r="EV39" s="28">
        <f t="shared" si="0"/>
        <v>9.9999999999988987E-4</v>
      </c>
      <c r="FH39" s="29" t="str">
        <f t="shared" si="2"/>
        <v/>
      </c>
      <c r="FJ39" s="36" t="str">
        <f>IF($FH39="","",SUM($FN39:$FN$7000))</f>
        <v/>
      </c>
      <c r="FK39" s="36" t="str">
        <f>IF($FH39="","",SUM($FN39:$FN$7000))</f>
        <v/>
      </c>
      <c r="FL39" s="29"/>
      <c r="FN39" s="34"/>
    </row>
    <row r="40" spans="1:170">
      <c r="A40" s="22" t="s">
        <v>119</v>
      </c>
      <c r="B40" s="22" t="s">
        <v>108</v>
      </c>
      <c r="E40" s="99"/>
      <c r="F40" s="98"/>
      <c r="G40" s="98"/>
      <c r="H40" s="98"/>
      <c r="I40" s="98"/>
      <c r="J40" s="138"/>
      <c r="K40" s="153"/>
      <c r="L40" s="154"/>
      <c r="M40" s="154"/>
      <c r="N40" s="154"/>
      <c r="O40" s="154"/>
      <c r="P40" s="155"/>
      <c r="Q40" s="130" t="s">
        <v>217</v>
      </c>
      <c r="R40" s="98"/>
      <c r="S40" s="98"/>
      <c r="T40" s="98"/>
      <c r="U40" s="98"/>
      <c r="V40" s="138"/>
      <c r="W40" s="113" t="str">
        <f>_xll.IMDP($C$4,$K$4,$B46)</f>
        <v/>
      </c>
      <c r="X40" s="114"/>
      <c r="Y40" s="114"/>
      <c r="Z40" s="114"/>
      <c r="AA40" s="114"/>
      <c r="AB40" s="152"/>
      <c r="AC40" s="130" t="s">
        <v>262</v>
      </c>
      <c r="AD40" s="98"/>
      <c r="AE40" s="98"/>
      <c r="AF40" s="98"/>
      <c r="AG40" s="98"/>
      <c r="AH40" s="138"/>
      <c r="AI40" s="113" t="str">
        <f>_xll.IMDP($C$4,$K$4,$A41)</f>
        <v/>
      </c>
      <c r="AJ40" s="114"/>
      <c r="AK40" s="114"/>
      <c r="AL40" s="114"/>
      <c r="AM40" s="114"/>
      <c r="AN40" s="115"/>
      <c r="AO40" s="2"/>
      <c r="ES40" s="29"/>
      <c r="EV40" s="28">
        <f t="shared" si="0"/>
        <v>0</v>
      </c>
      <c r="FH40" s="29" t="str">
        <f t="shared" si="2"/>
        <v/>
      </c>
      <c r="FJ40" s="36" t="str">
        <f>IF($FH40="","",SUM($FN40:$FN$7000))</f>
        <v/>
      </c>
      <c r="FK40" s="36" t="str">
        <f>IF($FH40="","",SUM($FN40:$FN$7000))</f>
        <v/>
      </c>
      <c r="FL40" s="29"/>
    </row>
    <row r="41" spans="1:170" ht="14.25" thickBot="1">
      <c r="A41" s="22" t="s">
        <v>120</v>
      </c>
      <c r="B41" s="22" t="s">
        <v>109</v>
      </c>
      <c r="C41" s="22" t="s">
        <v>128</v>
      </c>
      <c r="E41" s="100"/>
      <c r="F41" s="101"/>
      <c r="G41" s="101"/>
      <c r="H41" s="101"/>
      <c r="I41" s="101"/>
      <c r="J41" s="139"/>
      <c r="K41" s="156"/>
      <c r="L41" s="157"/>
      <c r="M41" s="157"/>
      <c r="N41" s="157"/>
      <c r="O41" s="157"/>
      <c r="P41" s="158"/>
      <c r="Q41" s="131" t="s">
        <v>218</v>
      </c>
      <c r="R41" s="101"/>
      <c r="S41" s="101"/>
      <c r="T41" s="101"/>
      <c r="U41" s="101"/>
      <c r="V41" s="139"/>
      <c r="W41" s="132" t="str">
        <f>_xll.IMDP($C$4,$K$4,$B47)</f>
        <v/>
      </c>
      <c r="X41" s="133"/>
      <c r="Y41" s="133"/>
      <c r="Z41" s="133"/>
      <c r="AA41" s="133"/>
      <c r="AB41" s="141"/>
      <c r="AC41" s="131" t="s">
        <v>263</v>
      </c>
      <c r="AD41" s="101"/>
      <c r="AE41" s="101"/>
      <c r="AF41" s="101"/>
      <c r="AG41" s="101"/>
      <c r="AH41" s="139"/>
      <c r="AI41" s="132" t="str">
        <f>_xll.IMDP($C$4,$K$4,$A42)</f>
        <v/>
      </c>
      <c r="AJ41" s="133"/>
      <c r="AK41" s="133"/>
      <c r="AL41" s="133"/>
      <c r="AM41" s="133"/>
      <c r="AN41" s="134"/>
      <c r="AO41" s="2"/>
      <c r="ES41" s="29"/>
      <c r="EV41" s="28">
        <f t="shared" si="0"/>
        <v>0</v>
      </c>
      <c r="FH41" s="29" t="str">
        <f t="shared" si="2"/>
        <v/>
      </c>
      <c r="FJ41" s="36" t="str">
        <f>IF($FH41="","",SUM($FN41:$FN$7000))</f>
        <v/>
      </c>
      <c r="FK41" s="36" t="str">
        <f>IF($FH41="","",SUM($FN41:$FN$7000))</f>
        <v/>
      </c>
      <c r="FL41" s="29"/>
    </row>
    <row r="42" spans="1:170" ht="15" customHeight="1">
      <c r="A42" s="22" t="s">
        <v>121</v>
      </c>
      <c r="B42" s="22" t="s">
        <v>110</v>
      </c>
      <c r="C42" s="22" t="s">
        <v>129</v>
      </c>
      <c r="E42" s="84" t="s">
        <v>142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6"/>
      <c r="AO42" s="6"/>
      <c r="ES42" s="29"/>
      <c r="EV42" s="28">
        <f t="shared" si="0"/>
        <v>0</v>
      </c>
      <c r="FH42" s="29" t="str">
        <f t="shared" si="2"/>
        <v/>
      </c>
      <c r="FJ42" s="36" t="str">
        <f>IF($FH42="","",SUM($FN42:$FN$7000))</f>
        <v/>
      </c>
      <c r="FK42" s="36" t="str">
        <f>IF($FH42="","",SUM($FN42:$FN$7000))</f>
        <v/>
      </c>
      <c r="FL42" s="29"/>
    </row>
    <row r="43" spans="1:170" ht="15.75" customHeight="1">
      <c r="B43" s="22" t="s">
        <v>111</v>
      </c>
      <c r="C43" s="22" t="s">
        <v>130</v>
      </c>
      <c r="E43" s="19"/>
      <c r="F43" s="17"/>
      <c r="G43" s="17"/>
      <c r="H43" s="18"/>
      <c r="I43" s="78" t="s">
        <v>264</v>
      </c>
      <c r="J43" s="79"/>
      <c r="K43" s="79"/>
      <c r="L43" s="80"/>
      <c r="M43" s="78" t="s">
        <v>265</v>
      </c>
      <c r="N43" s="79"/>
      <c r="O43" s="79"/>
      <c r="P43" s="80"/>
      <c r="Q43" s="78" t="s">
        <v>266</v>
      </c>
      <c r="R43" s="79"/>
      <c r="S43" s="79"/>
      <c r="T43" s="80"/>
      <c r="U43" s="78" t="s">
        <v>267</v>
      </c>
      <c r="V43" s="79"/>
      <c r="W43" s="79"/>
      <c r="X43" s="80"/>
      <c r="Y43" s="78" t="s">
        <v>321</v>
      </c>
      <c r="Z43" s="79"/>
      <c r="AA43" s="79"/>
      <c r="AB43" s="80"/>
      <c r="AC43" s="78" t="s">
        <v>288</v>
      </c>
      <c r="AD43" s="79"/>
      <c r="AE43" s="79"/>
      <c r="AF43" s="87"/>
      <c r="AG43" s="234" t="s">
        <v>268</v>
      </c>
      <c r="AH43" s="79"/>
      <c r="AI43" s="79"/>
      <c r="AJ43" s="80"/>
      <c r="AK43" s="78" t="s">
        <v>269</v>
      </c>
      <c r="AL43" s="79"/>
      <c r="AM43" s="79"/>
      <c r="AN43" s="89"/>
      <c r="AO43" s="2"/>
      <c r="ES43" s="29"/>
      <c r="EV43" s="28">
        <f t="shared" si="0"/>
        <v>0</v>
      </c>
      <c r="FH43" s="29" t="str">
        <f t="shared" si="2"/>
        <v/>
      </c>
      <c r="FJ43" s="36" t="str">
        <f>IF($FH43="","",SUM($FN43:$FN$7000))</f>
        <v/>
      </c>
      <c r="FK43" s="36" t="str">
        <f>IF($FH43="","",SUM($FN43:$FN$7000))</f>
        <v/>
      </c>
      <c r="FL43" s="29"/>
    </row>
    <row r="44" spans="1:170" ht="13.5" customHeight="1">
      <c r="A44" s="22" t="s">
        <v>317</v>
      </c>
      <c r="B44" s="22" t="s">
        <v>112</v>
      </c>
      <c r="C44" s="22" t="s">
        <v>131</v>
      </c>
      <c r="E44" s="105" t="s">
        <v>270</v>
      </c>
      <c r="F44" s="106"/>
      <c r="G44" s="106"/>
      <c r="H44" s="107"/>
      <c r="I44" s="81"/>
      <c r="J44" s="82"/>
      <c r="K44" s="82"/>
      <c r="L44" s="83"/>
      <c r="M44" s="81"/>
      <c r="N44" s="82"/>
      <c r="O44" s="82"/>
      <c r="P44" s="83"/>
      <c r="Q44" s="81"/>
      <c r="R44" s="82"/>
      <c r="S44" s="82"/>
      <c r="T44" s="83"/>
      <c r="U44" s="81"/>
      <c r="V44" s="82"/>
      <c r="W44" s="82"/>
      <c r="X44" s="83"/>
      <c r="Y44" s="81"/>
      <c r="Z44" s="82"/>
      <c r="AA44" s="82"/>
      <c r="AB44" s="83"/>
      <c r="AC44" s="81"/>
      <c r="AD44" s="82"/>
      <c r="AE44" s="82"/>
      <c r="AF44" s="88"/>
      <c r="AG44" s="235"/>
      <c r="AH44" s="82"/>
      <c r="AI44" s="82"/>
      <c r="AJ44" s="83"/>
      <c r="AK44" s="81"/>
      <c r="AL44" s="82"/>
      <c r="AM44" s="82"/>
      <c r="AN44" s="90"/>
      <c r="AO44" s="2"/>
      <c r="ES44" s="29"/>
      <c r="EV44" s="28">
        <f t="shared" si="0"/>
        <v>0</v>
      </c>
      <c r="FH44" s="29" t="str">
        <f t="shared" si="2"/>
        <v/>
      </c>
      <c r="FJ44" s="36" t="str">
        <f>IF($FH44="","",SUM($FN44:$FN$7000))</f>
        <v/>
      </c>
      <c r="FK44" s="36" t="str">
        <f>IF($FH44="","",SUM($FN44:$FN$7000))</f>
        <v/>
      </c>
      <c r="FL44" s="29"/>
    </row>
    <row r="45" spans="1:170">
      <c r="A45" s="22" t="s">
        <v>318</v>
      </c>
      <c r="B45" s="22" t="s">
        <v>113</v>
      </c>
      <c r="C45" s="22" t="s">
        <v>132</v>
      </c>
      <c r="E45" s="102">
        <f ca="1">TODAY()</f>
        <v>42305</v>
      </c>
      <c r="F45" s="103"/>
      <c r="G45" s="103"/>
      <c r="H45" s="104"/>
      <c r="I45" s="52">
        <f ca="1">IF($A$46=1,_xll.IMDP($C$4,$K$4,$C$44,$E45),_xll.IMDP($C$4,$K$4,$C$50,$E45))</f>
        <v>1.63</v>
      </c>
      <c r="J45" s="53"/>
      <c r="K45" s="53"/>
      <c r="L45" s="54"/>
      <c r="M45" s="52" t="str">
        <f ca="1">IF($A$46=1,_xll.IMDP($C$4,$K$4,$C$41,$E45),_xll.IMDP($C$4,$K$4,$C$47,$E45))</f>
        <v xml:space="preserve">      </v>
      </c>
      <c r="N45" s="53"/>
      <c r="O45" s="53"/>
      <c r="P45" s="54"/>
      <c r="Q45" s="52">
        <f ca="1">IF($A$46=1,_xll.IMDP($C$4,$K$4,$C$42,$E45),_xll.IMDP($C$4,$K$4,$C$48,$E45))</f>
        <v>1.6339999999999999</v>
      </c>
      <c r="R45" s="53"/>
      <c r="S45" s="53"/>
      <c r="T45" s="54"/>
      <c r="U45" s="52">
        <f ca="1">IF($A$46=1,_xll.IMDP($C$4,$K$4,$C$43,$E45),_xll.IMDP($C$4,$K$4,$C$49,$E45))</f>
        <v>1.63</v>
      </c>
      <c r="V45" s="53"/>
      <c r="W45" s="53"/>
      <c r="X45" s="54"/>
      <c r="Y45" s="52">
        <f ca="1">IF($A$46=1,_xll.IMDP($C$4,$K$4,$B$50,$E45),_xll.IMDP($C$4,$K$4,$B$51,$E45))</f>
        <v>1.63</v>
      </c>
      <c r="Z45" s="53"/>
      <c r="AA45" s="53"/>
      <c r="AB45" s="54"/>
      <c r="AC45" s="52" t="str">
        <f ca="1">IF($A$46=1,_xll.IMDP($C$4,$K$4,$C$46,$E45),_xll.IMDP($C$4,$K$4,$C$52,$E45))</f>
        <v xml:space="preserve">      </v>
      </c>
      <c r="AD45" s="53"/>
      <c r="AE45" s="53"/>
      <c r="AF45" s="55"/>
      <c r="AG45" s="237">
        <f ca="1">_xll.IMDP($C$4,$K$4,$C$53,$E45)</f>
        <v>337000000</v>
      </c>
      <c r="AH45" s="238"/>
      <c r="AI45" s="238"/>
      <c r="AJ45" s="239"/>
      <c r="AK45" s="240">
        <f ca="1">_xll.IMDP($C$4,$K$4,$C$54,$E45)</f>
        <v>339041710</v>
      </c>
      <c r="AL45" s="238"/>
      <c r="AM45" s="238"/>
      <c r="AN45" s="241"/>
      <c r="AO45" s="2"/>
      <c r="ES45" s="29"/>
      <c r="EV45" s="28">
        <f t="shared" si="0"/>
        <v>0</v>
      </c>
      <c r="FH45" s="29" t="str">
        <f t="shared" si="2"/>
        <v/>
      </c>
      <c r="FJ45" s="36" t="str">
        <f>IF($FH45="","",SUM($FN45:$FN$7000))</f>
        <v/>
      </c>
      <c r="FK45" s="36" t="str">
        <f>IF($FH45="","",SUM($FN45:$FN$7000))</f>
        <v/>
      </c>
      <c r="FL45" s="29"/>
    </row>
    <row r="46" spans="1:170">
      <c r="A46" s="21">
        <v>1</v>
      </c>
      <c r="B46" s="22" t="s">
        <v>114</v>
      </c>
      <c r="C46" s="22" t="s">
        <v>133</v>
      </c>
      <c r="E46" s="102">
        <f ca="1">WORKDAY(TODAY(),-1)</f>
        <v>42304</v>
      </c>
      <c r="F46" s="103"/>
      <c r="G46" s="103"/>
      <c r="H46" s="104"/>
      <c r="I46" s="52">
        <f ca="1">IF($A$46=1,_xll.IMDP($C$4,$K$4,$C$44,$E46),_xll.IMDP($C$4,$K$4,$C$50,$E46))</f>
        <v>1.64</v>
      </c>
      <c r="J46" s="53"/>
      <c r="K46" s="53"/>
      <c r="L46" s="54"/>
      <c r="M46" s="52">
        <f ca="1">IF($A$46=1,_xll.IMDP($C$4,$K$4,$C$41,$E46),_xll.IMDP($C$4,$K$4,$C$47,$E46))</f>
        <v>1.645</v>
      </c>
      <c r="N46" s="53"/>
      <c r="O46" s="53"/>
      <c r="P46" s="54"/>
      <c r="Q46" s="52">
        <f ca="1">IF($A$46=1,_xll.IMDP($C$4,$K$4,$C$42,$E46),_xll.IMDP($C$4,$K$4,$C$48,$E46))</f>
        <v>1.655</v>
      </c>
      <c r="R46" s="53"/>
      <c r="S46" s="53"/>
      <c r="T46" s="54"/>
      <c r="U46" s="52">
        <f ca="1">IF($A$46=1,_xll.IMDP($C$4,$K$4,$C$43,$E46),_xll.IMDP($C$4,$K$4,$C$49,$E46))</f>
        <v>1.5820000000000001</v>
      </c>
      <c r="V46" s="53"/>
      <c r="W46" s="53"/>
      <c r="X46" s="54"/>
      <c r="Y46" s="52">
        <f ca="1">IF($A$46=1,_xll.IMDP($C$4,$K$4,$B$50,$E46),_xll.IMDP($C$4,$K$4,$B$51,$E46))</f>
        <v>1.64</v>
      </c>
      <c r="Z46" s="53"/>
      <c r="AA46" s="53"/>
      <c r="AB46" s="54"/>
      <c r="AC46" s="52">
        <f ca="1">IF($A$46=1,_xll.IMDP($C$4,$K$4,$C$46,$E46),_xll.IMDP($C$4,$K$4,$C$52,$E46))</f>
        <v>0</v>
      </c>
      <c r="AD46" s="53"/>
      <c r="AE46" s="53"/>
      <c r="AF46" s="55"/>
      <c r="AG46" s="242">
        <f ca="1">_xll.IMDP($C$4,$K$4,$C$53,$E46)</f>
        <v>693339033</v>
      </c>
      <c r="AH46" s="243"/>
      <c r="AI46" s="243"/>
      <c r="AJ46" s="244"/>
      <c r="AK46" s="245">
        <f ca="1">_xll.IMDP($C$4,$K$4,$C$54,$E46)</f>
        <v>697399499</v>
      </c>
      <c r="AL46" s="243"/>
      <c r="AM46" s="243"/>
      <c r="AN46" s="246"/>
      <c r="AO46" s="2"/>
      <c r="ES46" s="29"/>
      <c r="EV46" s="28">
        <f t="shared" si="0"/>
        <v>0</v>
      </c>
      <c r="FH46" s="29" t="str">
        <f t="shared" si="2"/>
        <v/>
      </c>
      <c r="FJ46" s="36" t="str">
        <f>IF($FH46="","",SUM($FN46:$FN$7000))</f>
        <v/>
      </c>
      <c r="FK46" s="36" t="str">
        <f>IF($FH46="","",SUM($FN46:$FN$7000))</f>
        <v/>
      </c>
      <c r="FL46" s="29"/>
    </row>
    <row r="47" spans="1:170">
      <c r="A47" s="22" t="s">
        <v>319</v>
      </c>
      <c r="B47" s="22" t="s">
        <v>115</v>
      </c>
      <c r="C47" s="22" t="s">
        <v>134</v>
      </c>
      <c r="E47" s="102">
        <f ca="1">WORKDAY(TODAY(),-2)</f>
        <v>42303</v>
      </c>
      <c r="F47" s="103"/>
      <c r="G47" s="103"/>
      <c r="H47" s="104"/>
      <c r="I47" s="52">
        <f ca="1">IF($A$46=1,_xll.IMDP($C$4,$K$4,$C$44,$E47),_xll.IMDP($C$4,$K$4,$C$50,$E47))</f>
        <v>1.64</v>
      </c>
      <c r="J47" s="53"/>
      <c r="K47" s="53"/>
      <c r="L47" s="54"/>
      <c r="M47" s="52">
        <f ca="1">IF($A$46=1,_xll.IMDP($C$4,$K$4,$C$41,$E47),_xll.IMDP($C$4,$K$4,$C$47,$E47))</f>
        <v>1.64</v>
      </c>
      <c r="N47" s="53"/>
      <c r="O47" s="53"/>
      <c r="P47" s="54"/>
      <c r="Q47" s="52">
        <f ca="1">IF($A$46=1,_xll.IMDP($C$4,$K$4,$C$42,$E47),_xll.IMDP($C$4,$K$4,$C$48,$E47))</f>
        <v>1.66</v>
      </c>
      <c r="R47" s="53"/>
      <c r="S47" s="53"/>
      <c r="T47" s="54"/>
      <c r="U47" s="52">
        <f ca="1">IF($A$46=1,_xll.IMDP($C$4,$K$4,$C$43,$E47),_xll.IMDP($C$4,$K$4,$C$49,$E47))</f>
        <v>1.635</v>
      </c>
      <c r="V47" s="53"/>
      <c r="W47" s="53"/>
      <c r="X47" s="54"/>
      <c r="Y47" s="52">
        <f ca="1">IF($A$46=1,_xll.IMDP($C$4,$K$4,$B$50,$E47),_xll.IMDP($C$4,$K$4,$B$51,$E47))</f>
        <v>1.647</v>
      </c>
      <c r="Z47" s="53"/>
      <c r="AA47" s="53"/>
      <c r="AB47" s="54"/>
      <c r="AC47" s="52">
        <f ca="1">IF($A$46=1,_xll.IMDP($C$4,$K$4,$C$46,$E47),_xll.IMDP($C$4,$K$4,$C$52,$E47))</f>
        <v>-7.000000000000001E-3</v>
      </c>
      <c r="AD47" s="53"/>
      <c r="AE47" s="53"/>
      <c r="AF47" s="55"/>
      <c r="AG47" s="242">
        <f ca="1">_xll.IMDP($C$4,$K$4,$C$53,$E47)</f>
        <v>736000000</v>
      </c>
      <c r="AH47" s="243"/>
      <c r="AI47" s="243"/>
      <c r="AJ47" s="244"/>
      <c r="AK47" s="245">
        <f ca="1">_xll.IMDP($C$4,$K$4,$C$54,$E47)</f>
        <v>740092315</v>
      </c>
      <c r="AL47" s="243"/>
      <c r="AM47" s="243"/>
      <c r="AN47" s="246"/>
      <c r="AO47" s="2"/>
      <c r="ES47" s="29"/>
      <c r="EV47" s="28">
        <f t="shared" si="0"/>
        <v>0</v>
      </c>
      <c r="FH47" s="29" t="str">
        <f t="shared" si="2"/>
        <v/>
      </c>
      <c r="FJ47" s="36" t="str">
        <f>IF($FH47="","",SUM($FN47:$FN$7000))</f>
        <v/>
      </c>
      <c r="FK47" s="36" t="str">
        <f>IF($FH47="","",SUM($FN47:$FN$7000))</f>
        <v/>
      </c>
      <c r="FL47" s="29"/>
    </row>
    <row r="48" spans="1:170">
      <c r="A48" s="22" t="s">
        <v>320</v>
      </c>
      <c r="C48" s="22" t="s">
        <v>135</v>
      </c>
      <c r="E48" s="102">
        <f ca="1">WORKDAY(TODAY(),-3)</f>
        <v>42300</v>
      </c>
      <c r="F48" s="103"/>
      <c r="G48" s="103"/>
      <c r="H48" s="104"/>
      <c r="I48" s="52">
        <f ca="1">IF($A$46=1,_xll.IMDP($C$4,$K$4,$C$44,$E48),_xll.IMDP($C$4,$K$4,$C$50,$E48))</f>
        <v>1.645</v>
      </c>
      <c r="J48" s="53"/>
      <c r="K48" s="53"/>
      <c r="L48" s="54"/>
      <c r="M48" s="52">
        <f ca="1">IF($A$46=1,_xll.IMDP($C$4,$K$4,$C$41,$E48),_xll.IMDP($C$4,$K$4,$C$47,$E48))</f>
        <v>1.65</v>
      </c>
      <c r="N48" s="53"/>
      <c r="O48" s="53"/>
      <c r="P48" s="54"/>
      <c r="Q48" s="52">
        <f ca="1">IF($A$46=1,_xll.IMDP($C$4,$K$4,$C$42,$E48),_xll.IMDP($C$4,$K$4,$C$48,$E48))</f>
        <v>1.6639999999999999</v>
      </c>
      <c r="R48" s="53"/>
      <c r="S48" s="53"/>
      <c r="T48" s="54"/>
      <c r="U48" s="52">
        <f ca="1">IF($A$46=1,_xll.IMDP($C$4,$K$4,$C$43,$E48),_xll.IMDP($C$4,$K$4,$C$49,$E48))</f>
        <v>1.64</v>
      </c>
      <c r="V48" s="53"/>
      <c r="W48" s="53"/>
      <c r="X48" s="54"/>
      <c r="Y48" s="52">
        <f ca="1">IF($A$46=1,_xll.IMDP($C$4,$K$4,$B$50,$E48),_xll.IMDP($C$4,$K$4,$B$51,$E48))</f>
        <v>1.655</v>
      </c>
      <c r="Z48" s="53"/>
      <c r="AA48" s="53"/>
      <c r="AB48" s="54"/>
      <c r="AC48" s="52">
        <f ca="1">IF($A$46=1,_xll.IMDP($C$4,$K$4,$C$46,$E48),_xll.IMDP($C$4,$K$4,$C$52,$E48))</f>
        <v>-0.01</v>
      </c>
      <c r="AD48" s="53"/>
      <c r="AE48" s="53"/>
      <c r="AF48" s="55"/>
      <c r="AG48" s="242">
        <f ca="1">_xll.IMDP($C$4,$K$4,$C$53,$E48)</f>
        <v>560000000</v>
      </c>
      <c r="AH48" s="243"/>
      <c r="AI48" s="243"/>
      <c r="AJ48" s="244"/>
      <c r="AK48" s="245">
        <f ca="1">_xll.IMDP($C$4,$K$4,$C$54,$E48)</f>
        <v>562993140</v>
      </c>
      <c r="AL48" s="243"/>
      <c r="AM48" s="243"/>
      <c r="AN48" s="246"/>
      <c r="AO48" s="2"/>
      <c r="ES48" s="29"/>
      <c r="EV48" s="28">
        <f t="shared" si="0"/>
        <v>0</v>
      </c>
      <c r="FH48" s="29" t="str">
        <f t="shared" si="2"/>
        <v/>
      </c>
      <c r="FJ48" s="36" t="str">
        <f>IF($FH48="","",SUM($FN48:$FN$7000))</f>
        <v/>
      </c>
      <c r="FK48" s="36" t="str">
        <f>IF($FH48="","",SUM($FN48:$FN$7000))</f>
        <v/>
      </c>
      <c r="FL48" s="29"/>
    </row>
    <row r="49" spans="1:185" ht="14.25" thickBot="1">
      <c r="A49" s="21">
        <v>1</v>
      </c>
      <c r="C49" s="22" t="s">
        <v>136</v>
      </c>
      <c r="E49" s="91">
        <f ca="1">WORKDAY(TODAY(),-4)</f>
        <v>42299</v>
      </c>
      <c r="F49" s="92"/>
      <c r="G49" s="92"/>
      <c r="H49" s="93"/>
      <c r="I49" s="56">
        <f ca="1">IF($A$46=1,_xll.IMDP($C$4,$K$4,$C$44,$E49),_xll.IMDP($C$4,$K$4,$C$50,$E49))</f>
        <v>1.655</v>
      </c>
      <c r="J49" s="57"/>
      <c r="K49" s="57"/>
      <c r="L49" s="58"/>
      <c r="M49" s="56">
        <f ca="1">IF($A$46=1,_xll.IMDP($C$4,$K$4,$C$41,$E49),_xll.IMDP($C$4,$K$4,$C$47,$E49))</f>
        <v>1.65</v>
      </c>
      <c r="N49" s="57"/>
      <c r="O49" s="57"/>
      <c r="P49" s="58"/>
      <c r="Q49" s="56">
        <f ca="1">IF($A$46=1,_xll.IMDP($C$4,$K$4,$C$42,$E49),_xll.IMDP($C$4,$K$4,$C$48,$E49))</f>
        <v>1.66</v>
      </c>
      <c r="R49" s="57"/>
      <c r="S49" s="57"/>
      <c r="T49" s="58"/>
      <c r="U49" s="56">
        <f ca="1">IF($A$46=1,_xll.IMDP($C$4,$K$4,$C$43,$E49),_xll.IMDP($C$4,$K$4,$C$49,$E49))</f>
        <v>1.64</v>
      </c>
      <c r="V49" s="57"/>
      <c r="W49" s="57"/>
      <c r="X49" s="58"/>
      <c r="Y49" s="52">
        <f ca="1">IF($A$46=1,_xll.IMDP($C$4,$K$4,$B$50,$E49),_xll.IMDP($C$4,$K$4,$B$51,$E49))</f>
        <v>1.647</v>
      </c>
      <c r="Z49" s="53"/>
      <c r="AA49" s="53"/>
      <c r="AB49" s="54"/>
      <c r="AC49" s="56">
        <f ca="1">IF($A$46=1,_xll.IMDP($C$4,$K$4,$C$46,$E49),_xll.IMDP($C$4,$K$4,$C$52,$E49))</f>
        <v>8.0000000000000002E-3</v>
      </c>
      <c r="AD49" s="57"/>
      <c r="AE49" s="57"/>
      <c r="AF49" s="67"/>
      <c r="AG49" s="247">
        <f ca="1">_xll.IMDP($C$4,$K$4,$C$53,$E49)</f>
        <v>777000000</v>
      </c>
      <c r="AH49" s="248"/>
      <c r="AI49" s="248"/>
      <c r="AJ49" s="249"/>
      <c r="AK49" s="250">
        <f ca="1">_xll.IMDP($C$4,$K$4,$C$54,$E49)</f>
        <v>781067580</v>
      </c>
      <c r="AL49" s="248"/>
      <c r="AM49" s="248"/>
      <c r="AN49" s="251"/>
      <c r="AO49" s="2"/>
      <c r="ES49" s="29"/>
      <c r="EV49" s="28">
        <f t="shared" si="0"/>
        <v>0</v>
      </c>
      <c r="FH49" s="29" t="str">
        <f t="shared" si="2"/>
        <v/>
      </c>
      <c r="FJ49" s="36" t="str">
        <f>IF($FH49="","",SUM($FN49:$FN$7000))</f>
        <v/>
      </c>
      <c r="FK49" s="36" t="str">
        <f>IF($FH49="","",SUM($FN49:$FN$7000))</f>
        <v/>
      </c>
      <c r="FL49" s="29"/>
    </row>
    <row r="50" spans="1:185" ht="15" customHeight="1">
      <c r="B50" s="21" t="s">
        <v>322</v>
      </c>
      <c r="C50" s="22" t="s">
        <v>137</v>
      </c>
      <c r="E50" s="94">
        <f ca="1">WORKDAY(TODAY(),-1)</f>
        <v>42304</v>
      </c>
      <c r="F50" s="95"/>
      <c r="G50" s="95"/>
      <c r="H50" s="96"/>
      <c r="I50" s="68" t="s">
        <v>274</v>
      </c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70"/>
      <c r="AO50" s="11"/>
      <c r="ES50" s="29"/>
      <c r="EV50" s="28">
        <f t="shared" si="0"/>
        <v>0</v>
      </c>
      <c r="FH50" s="29" t="str">
        <f t="shared" si="2"/>
        <v/>
      </c>
      <c r="FJ50" s="36" t="str">
        <f>IF($FH50="","",SUM($FN50:$FN$7000))</f>
        <v/>
      </c>
      <c r="FK50" s="36" t="str">
        <f>IF($FH50="","",SUM($FN50:$FN$7000))</f>
        <v/>
      </c>
      <c r="FL50" s="29"/>
    </row>
    <row r="51" spans="1:185" ht="15.75" customHeight="1">
      <c r="B51" s="21" t="s">
        <v>323</v>
      </c>
      <c r="C51" s="22" t="s">
        <v>138</v>
      </c>
      <c r="E51" s="20"/>
      <c r="F51" s="15"/>
      <c r="G51" s="15"/>
      <c r="H51" s="16"/>
      <c r="I51" s="71" t="s">
        <v>219</v>
      </c>
      <c r="J51" s="72"/>
      <c r="K51" s="72"/>
      <c r="L51" s="73"/>
      <c r="M51" s="71" t="s">
        <v>220</v>
      </c>
      <c r="N51" s="72"/>
      <c r="O51" s="72"/>
      <c r="P51" s="73"/>
      <c r="Q51" s="74" t="s">
        <v>221</v>
      </c>
      <c r="R51" s="75"/>
      <c r="S51" s="75"/>
      <c r="T51" s="76"/>
      <c r="U51" s="74" t="s">
        <v>222</v>
      </c>
      <c r="V51" s="75"/>
      <c r="W51" s="75"/>
      <c r="X51" s="76"/>
      <c r="Y51" s="74" t="s">
        <v>223</v>
      </c>
      <c r="Z51" s="75"/>
      <c r="AA51" s="75"/>
      <c r="AB51" s="76"/>
      <c r="AC51" s="74" t="s">
        <v>224</v>
      </c>
      <c r="AD51" s="75"/>
      <c r="AE51" s="75"/>
      <c r="AF51" s="76"/>
      <c r="AG51" s="74" t="s">
        <v>225</v>
      </c>
      <c r="AH51" s="75"/>
      <c r="AI51" s="75"/>
      <c r="AJ51" s="76"/>
      <c r="AK51" s="74" t="s">
        <v>226</v>
      </c>
      <c r="AL51" s="75"/>
      <c r="AM51" s="75"/>
      <c r="AN51" s="77"/>
      <c r="AO51" s="2"/>
      <c r="ES51" s="29"/>
      <c r="EV51" s="28">
        <f t="shared" si="0"/>
        <v>0</v>
      </c>
      <c r="FH51" s="29" t="str">
        <f t="shared" si="2"/>
        <v/>
      </c>
      <c r="FJ51" s="36" t="str">
        <f>IF($FH51="","",SUM($FN51:$FN$7000))</f>
        <v/>
      </c>
      <c r="FK51" s="36" t="str">
        <f>IF($FH51="","",SUM($FN51:$FN$7000))</f>
        <v/>
      </c>
      <c r="FL51" s="29"/>
    </row>
    <row r="52" spans="1:185" ht="16.5" customHeight="1">
      <c r="C52" s="22" t="s">
        <v>139</v>
      </c>
      <c r="E52" s="97" t="s">
        <v>271</v>
      </c>
      <c r="F52" s="98"/>
      <c r="G52" s="98"/>
      <c r="H52" s="98"/>
      <c r="I52" s="59" t="str">
        <f ca="1">IF(ISERROR(IF($A$49=1,_xll.IMDP($C$4,$K$4,$A$56,$E$50),_xll.IMDP($C$4,$K$4,$A$65,$E$50))/1000000),"",IF($A$49=1,_xll.IMDP($C$4,$K$4,$A$56,$E$50),_xll.IMDP($C$4,$K$4,$A$65,$E$50))/1000000)</f>
        <v/>
      </c>
      <c r="J52" s="60"/>
      <c r="K52" s="60"/>
      <c r="L52" s="61"/>
      <c r="M52" s="59">
        <f ca="1">IF(ISERROR(IF($A$49=1,_xll.IMDP($C$4,$K$4,$A$57,$E$50),_xll.IMDP($C$4,$K$4,$A$66,$E$50))/1000000),"",IF($A$49=1,_xll.IMDP($C$4,$K$4,$A$57,$E$50),_xll.IMDP($C$4,$K$4,$A$66,$E$50))/1000000)</f>
        <v>-20000</v>
      </c>
      <c r="N52" s="60"/>
      <c r="O52" s="60"/>
      <c r="P52" s="60"/>
      <c r="Q52" s="59">
        <f ca="1">IF(ISERROR(IF($A$49=1,_xll.IMDP($C$4,$K$4,$A$58,$E$50),_xll.IMDP($C$4,$K$4,$A$67,$E$50))/1000000),"",IF($A$49=1,_xll.IMDP($C$4,$K$4,$A$58,$E$50),_xll.IMDP($C$4,$K$4,$A$67,$E$50))/1000000)</f>
        <v>2000</v>
      </c>
      <c r="R52" s="60"/>
      <c r="S52" s="60"/>
      <c r="T52" s="60"/>
      <c r="U52" s="59">
        <f ca="1">IF(ISERROR(IF($A$49=1,_xll.IMDP($C$4,$K$4,$A$59,$E$50),_xll.IMDP($C$4,$K$4,$A$68,$E$50))/1000000),"",IF($A$49=1,_xll.IMDP($C$4,$K$4,$A$59,$E$50),_xll.IMDP($C$4,$K$4,$A$68,$E$50))/1000000)</f>
        <v>-3000</v>
      </c>
      <c r="V52" s="60"/>
      <c r="W52" s="60"/>
      <c r="X52" s="61"/>
      <c r="Y52" s="60" t="str">
        <f ca="1">IF(ISERROR(IF($A$49=1,_xll.IMDP($C$4,$K$4,$A$61,$E$50),_xll.IMDP($C$4,$K$4,$A$70,$E$50))/1000000),"",IF($A$49=1,_xll.IMDP($C$4,$K$4,$A$61,$E$50),_xll.IMDP($C$4,$K$4,$A$70,$E$50))/1000000)</f>
        <v/>
      </c>
      <c r="Z52" s="60"/>
      <c r="AA52" s="60"/>
      <c r="AB52" s="60"/>
      <c r="AC52" s="59" t="str">
        <f ca="1">IF(ISERROR(IF($A$49=1,_xll.IMDP($C$4,$K$4,$A$62,$E$50),_xll.IMDP($C$4,$K$4,$A$71,$E$50))/1000000),"",IF($A$49=1,_xll.IMDP($C$4,$K$4,$A$62,$E$50),_xll.IMDP($C$4,$K$4,$A$71,$E$50))/1000000)</f>
        <v/>
      </c>
      <c r="AD52" s="60"/>
      <c r="AE52" s="60"/>
      <c r="AF52" s="61"/>
      <c r="AG52" s="59">
        <f ca="1">IF(ISERROR(IF($A$49=1,_xll.IMDP($C$4,$K$4,$A$63,$E$50),_xll.IMDP($C$4,$K$4,$A$72,$E$50))/1000000),"",IF($A$49=1,_xll.IMDP($C$4,$K$4,$A$63,$E$50),_xll.IMDP($C$4,$K$4,$A$72,$E$50))/1000000)</f>
        <v>-2000</v>
      </c>
      <c r="AH52" s="60"/>
      <c r="AI52" s="60"/>
      <c r="AJ52" s="61"/>
      <c r="AK52" s="60">
        <f ca="1">IF(ISERROR(IF($A$49=1,_xll.IMDP($C$4,$K$4,$A$64,$E$50),_xll.IMDP($C$4,$K$4,$A$73,$E$50))/1000000),"",IF($A$49=1,_xll.IMDP($C$4,$K$4,$A$64,$E$50),_xll.IMDP($C$4,$K$4,$A$73,$E$50))/1000000)</f>
        <v>339.03300000000002</v>
      </c>
      <c r="AL52" s="60"/>
      <c r="AM52" s="60"/>
      <c r="AN52" s="62"/>
      <c r="AO52" s="2"/>
      <c r="ES52" s="29"/>
      <c r="EV52" s="28">
        <f t="shared" si="0"/>
        <v>0</v>
      </c>
      <c r="FH52" s="29" t="str">
        <f t="shared" si="2"/>
        <v/>
      </c>
      <c r="FJ52" s="36" t="str">
        <f>IF($FH52="","",SUM($FN52:$FN$7000))</f>
        <v/>
      </c>
      <c r="FK52" s="36" t="str">
        <f>IF($FH52="","",SUM($FN52:$FN$7000))</f>
        <v/>
      </c>
      <c r="FL52" s="29"/>
    </row>
    <row r="53" spans="1:185">
      <c r="C53" s="22" t="s">
        <v>140</v>
      </c>
      <c r="E53" s="99" t="s">
        <v>272</v>
      </c>
      <c r="F53" s="98"/>
      <c r="G53" s="98"/>
      <c r="H53" s="98"/>
      <c r="I53" s="63" t="str">
        <f ca="1">IF(ISERROR(IF($A$49=1,_xll.IMDP($C$4,$K$4,$B$56,$E$50),_xll.IMDP($C$4,$K$4,$B$65,$E$50))/1000000),"",IF($A$49=1,_xll.IMDP($C$4,$K$4,$B$56,$E$50),_xll.IMDP($C$4,$K$4,$B$65,$E$50))/1000000)</f>
        <v/>
      </c>
      <c r="J53" s="64"/>
      <c r="K53" s="64"/>
      <c r="L53" s="65"/>
      <c r="M53" s="63">
        <f ca="1">IF(ISERROR(IF($A$49=1,_xll.IMDP($C$4,$K$4,$B$57,$E$50),_xll.IMDP($C$4,$K$4,$B$66,$E$50))/1000000),"",IF($A$49=1,_xll.IMDP($C$4,$K$4,$B$57,$E$50),_xll.IMDP($C$4,$K$4,$B$66,$E$50))/1000000)</f>
        <v>20000</v>
      </c>
      <c r="N53" s="64"/>
      <c r="O53" s="64"/>
      <c r="P53" s="64"/>
      <c r="Q53" s="63">
        <f ca="1">IF(ISERROR(IF($A$49=1,_xll.IMDP($C$4,$K$4,$B$58,$E$50),_xll.IMDP($C$4,$K$4,$B$67,$E$50))/1000000),"",IF($A$49=1,_xll.IMDP($C$4,$K$4,$B$58,$E$50),_xll.IMDP($C$4,$K$4,$B$67,$E$50))/1000000)</f>
        <v>22000</v>
      </c>
      <c r="R53" s="64"/>
      <c r="S53" s="64"/>
      <c r="T53" s="64"/>
      <c r="U53" s="63">
        <f ca="1">IF(ISERROR(IF($A$49=1,_xll.IMDP($C$4,$K$4,$B$59,$E$50),_xll.IMDP($C$4,$K$4,$B$68,$E$50))/1000000),"",IF($A$49=1,_xll.IMDP($C$4,$K$4,$B$59,$E$50),_xll.IMDP($C$4,$K$4,$B$68,$E$50))/1000000)</f>
        <v>34000</v>
      </c>
      <c r="V53" s="64"/>
      <c r="W53" s="64"/>
      <c r="X53" s="65"/>
      <c r="Y53" s="64" t="str">
        <f ca="1">IF(ISERROR(IF($A$49=1,_xll.IMDP($C$4,$K$4,$B$61,$E$50),_xll.IMDP($C$4,$K$4,$B$70,$E$50))/1000000),"",IF($A$49=1,_xll.IMDP($C$4,$K$4,$B$61,$E$50),_xll.IMDP($C$4,$K$4,$B$70,$E$50))/1000000)</f>
        <v/>
      </c>
      <c r="Z53" s="64"/>
      <c r="AA53" s="64"/>
      <c r="AB53" s="64"/>
      <c r="AC53" s="63" t="str">
        <f ca="1">IF(ISERROR(IF($A$49=1,_xll.IMDP($C$4,$K$4,$B$62,$E$50),_xll.IMDP($C$4,$K$4,$B$71,$E$50))/1000000),"",IF($A$49=1,_xll.IMDP($C$4,$K$4,$B$62,$E$50),_xll.IMDP($C$4,$K$4,$B$71,$E$50))/1000000)</f>
        <v/>
      </c>
      <c r="AD53" s="64"/>
      <c r="AE53" s="64"/>
      <c r="AF53" s="65"/>
      <c r="AG53" s="63">
        <f ca="1">IF(ISERROR(IF($A$49=1,_xll.IMDP($C$4,$K$4,$B$63,$E$50),_xll.IMDP($C$4,$K$4,$B$72,$E$50))/1000000),"",IF($A$49=1,_xll.IMDP($C$4,$K$4,$B$63,$E$50),_xll.IMDP($C$4,$K$4,$B$72,$E$50))/1000000)</f>
        <v>0</v>
      </c>
      <c r="AH53" s="64"/>
      <c r="AI53" s="64"/>
      <c r="AJ53" s="65"/>
      <c r="AK53" s="64">
        <f ca="1">IF(ISERROR(IF($A$49=1,_xll.IMDP($C$4,$K$4,$B$64,$E$50),_xll.IMDP($C$4,$K$4,$B$73,$E$50))/1000000),"",IF($A$49=1,_xll.IMDP($C$4,$K$4,$B$64,$E$50),_xll.IMDP($C$4,$K$4,$B$73,$E$50))/1000000)</f>
        <v>339.03300000000002</v>
      </c>
      <c r="AL53" s="64"/>
      <c r="AM53" s="64"/>
      <c r="AN53" s="66"/>
      <c r="AO53" s="2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EC53" s="8"/>
      <c r="ED53" s="8"/>
      <c r="EE53" s="8"/>
      <c r="EF53" s="8"/>
      <c r="EG53" s="8"/>
      <c r="ES53" s="29"/>
      <c r="EV53" s="28">
        <f t="shared" si="0"/>
        <v>0</v>
      </c>
      <c r="FH53" s="29" t="str">
        <f t="shared" si="2"/>
        <v/>
      </c>
      <c r="FJ53" s="36" t="str">
        <f>IF($FH53="","",SUM($FN53:$FN$7000))</f>
        <v/>
      </c>
      <c r="FK53" s="36" t="str">
        <f>IF($FH53="","",SUM($FN53:$FN$7000))</f>
        <v/>
      </c>
      <c r="FL53" s="29"/>
      <c r="FN53" s="31"/>
    </row>
    <row r="54" spans="1:185" ht="14.25" thickBot="1">
      <c r="C54" s="22" t="s">
        <v>141</v>
      </c>
      <c r="E54" s="100" t="s">
        <v>273</v>
      </c>
      <c r="F54" s="101"/>
      <c r="G54" s="101"/>
      <c r="H54" s="101"/>
      <c r="I54" s="48" t="str">
        <f ca="1">IF(ISERROR(IF($A$49=1,_xll.IMDP($C$4,$K$4,$C$56,$E$50),_xll.IMDP($C$4,$K$4,$C$65,$E$50))/1000000),"",IF($A$49=1,_xll.IMDP($C$4,$K$4,$C$56,$E$50),_xll.IMDP($C$4,$K$4,$C$65,$E$50))/1000000)</f>
        <v/>
      </c>
      <c r="J54" s="49"/>
      <c r="K54" s="49"/>
      <c r="L54" s="50"/>
      <c r="M54" s="48">
        <f ca="1">IF(ISERROR(IF($A$49=1,_xll.IMDP($C$4,$K$4,$C$57,$E$50),_xll.IMDP($C$4,$K$4,$C$66,$E$50))/1000000),"",IF($A$49=1,_xll.IMDP($C$4,$K$4,$C$57,$E$50),_xll.IMDP($C$4,$K$4,$C$66,$E$50))/1000000)</f>
        <v>40000</v>
      </c>
      <c r="N54" s="49"/>
      <c r="O54" s="49"/>
      <c r="P54" s="49"/>
      <c r="Q54" s="48">
        <f ca="1">IF(ISERROR(IF($A$49=1,_xll.IMDP($C$4,$K$4,$C$58,$E$50),_xll.IMDP($C$4,$K$4,$C$67,$E$50))/1000000),"",IF($A$49=1,_xll.IMDP($C$4,$K$4,$C$58,$E$50),_xll.IMDP($C$4,$K$4,$C$67,$E$50))/1000000)</f>
        <v>20000</v>
      </c>
      <c r="R54" s="49"/>
      <c r="S54" s="49"/>
      <c r="T54" s="49"/>
      <c r="U54" s="48">
        <f ca="1">IF(ISERROR(IF($A$49=1,_xll.IMDP($C$4,$K$4,$C$59,$E$50),_xll.IMDP($C$4,$K$4,$C$68,$E$50))/1000000),"",IF($A$49=1,_xll.IMDP($C$4,$K$4,$C$59,$E$50),_xll.IMDP($C$4,$K$4,$C$68,$E$50))/1000000)</f>
        <v>37000</v>
      </c>
      <c r="V54" s="49"/>
      <c r="W54" s="49"/>
      <c r="X54" s="50"/>
      <c r="Y54" s="49" t="str">
        <f ca="1">IF(ISERROR(IF($A$49=1,_xll.IMDP($C$4,$K$4,$C$61,$E$50),_xll.IMDP($C$4,$K$4,$C$70,$E$50))/1000000),"",IF($A$49=1,_xll.IMDP($C$4,$K$4,$C$61,$E$50),_xll.IMDP($C$4,$K$4,$C$70,$E$50))/1000000)</f>
        <v/>
      </c>
      <c r="Z54" s="49"/>
      <c r="AA54" s="49"/>
      <c r="AB54" s="49"/>
      <c r="AC54" s="48" t="str">
        <f ca="1">IF(ISERROR(IF($A$49=1,_xll.IMDP($C$4,$K$4,$A$62,$E$50),_xll.IMDP($C$4,$K$4,$A$71,$E$50))/1000000),"",IF($A$49=1,_xll.IMDP($C$4,$K$4,$A$62,$E$50),_xll.IMDP($C$4,$K$4,$A$71,$E$50))/1000000)</f>
        <v/>
      </c>
      <c r="AD54" s="49"/>
      <c r="AE54" s="49"/>
      <c r="AF54" s="50"/>
      <c r="AG54" s="48">
        <f ca="1">IF(ISERROR(IF($A$49=1,_xll.IMDP($C$4,$K$4,$C$63,$E$50),_xll.IMDP($C$4,$K$4,$C$72,$E$50))/1000000),"",IF($A$49=1,_xll.IMDP($C$4,$K$4,$C$63,$E$50),_xll.IMDP($C$4,$K$4,$C$72,$E$50))/1000000)</f>
        <v>2000</v>
      </c>
      <c r="AH54" s="49"/>
      <c r="AI54" s="49"/>
      <c r="AJ54" s="50"/>
      <c r="AK54" s="49">
        <f ca="1">IF(ISERROR(IF($A$49=1,_xll.IMDP($C$4,$K$4,$A$64,$E$50),_xll.IMDP($C$4,$K$4,$A$73,$E$50))/1000000),"",IF($A$49=1,_xll.IMDP($C$4,$K$4,$A$64,$E$50),_xll.IMDP($C$4,$K$4,$A$73,$E$50))/1000000)</f>
        <v>339.03300000000002</v>
      </c>
      <c r="AL54" s="49"/>
      <c r="AM54" s="49"/>
      <c r="AN54" s="51"/>
      <c r="AO54" s="2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EC54" s="8"/>
      <c r="ED54" s="8"/>
      <c r="EE54" s="8"/>
      <c r="EF54" s="8"/>
      <c r="EG54" s="8"/>
      <c r="ES54" s="29"/>
      <c r="EV54" s="28">
        <f t="shared" si="0"/>
        <v>0</v>
      </c>
      <c r="FH54" s="29" t="str">
        <f t="shared" si="2"/>
        <v/>
      </c>
      <c r="FJ54" s="36" t="str">
        <f>IF($FH54="","",SUM($FN54:$FN$7000))</f>
        <v/>
      </c>
      <c r="FK54" s="36" t="str">
        <f>IF($FH54="","",SUM($FN54:$FN$7000))</f>
        <v/>
      </c>
      <c r="FL54" s="29"/>
      <c r="FN54" s="31"/>
    </row>
    <row r="55" spans="1:185"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P55" s="3"/>
      <c r="ES55" s="29"/>
      <c r="EV55" s="28">
        <f t="shared" si="0"/>
        <v>0</v>
      </c>
      <c r="FH55" s="29" t="str">
        <f t="shared" si="2"/>
        <v/>
      </c>
      <c r="FJ55" s="36" t="str">
        <f>IF($FH55="","",SUM($FN55:$FN$7000))</f>
        <v/>
      </c>
      <c r="FK55" s="36" t="str">
        <f>IF($FH55="","",SUM($FN55:$FN$7000))</f>
        <v/>
      </c>
      <c r="FL55" s="29"/>
      <c r="FN55" s="31"/>
    </row>
    <row r="56" spans="1:185">
      <c r="A56" s="22" t="s">
        <v>143</v>
      </c>
      <c r="B56" s="22" t="s">
        <v>161</v>
      </c>
      <c r="C56" s="22" t="s">
        <v>179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P56" s="3"/>
      <c r="ES56" s="29"/>
      <c r="EV56" s="28">
        <f t="shared" si="0"/>
        <v>0</v>
      </c>
      <c r="FH56" s="29" t="str">
        <f t="shared" si="2"/>
        <v/>
      </c>
      <c r="FJ56" s="36" t="str">
        <f>IF($FH56="","",SUM($FN56:$FN$7000))</f>
        <v/>
      </c>
      <c r="FK56" s="36" t="str">
        <f>IF($FH56="","",SUM($FN56:$FN$7000))</f>
        <v/>
      </c>
      <c r="FL56" s="29"/>
      <c r="FN56" s="31"/>
    </row>
    <row r="57" spans="1:185">
      <c r="A57" s="22" t="s">
        <v>144</v>
      </c>
      <c r="B57" s="22" t="s">
        <v>162</v>
      </c>
      <c r="C57" s="22" t="s">
        <v>180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H57" s="3"/>
      <c r="AI57" s="3"/>
      <c r="AJ57" s="3"/>
      <c r="AK57" s="3"/>
      <c r="AL57" s="3"/>
      <c r="AM57" s="3"/>
      <c r="AN57" s="3"/>
      <c r="AP57" s="3"/>
      <c r="ES57" s="29"/>
      <c r="EV57" s="28">
        <f t="shared" si="0"/>
        <v>0</v>
      </c>
      <c r="FH57" s="29" t="str">
        <f t="shared" si="2"/>
        <v/>
      </c>
      <c r="FJ57" s="36" t="str">
        <f>IF($FH57="","",SUM($FN57:$FN$7000))</f>
        <v/>
      </c>
      <c r="FK57" s="36" t="str">
        <f>IF($FH57="","",SUM($FN57:$FN$7000))</f>
        <v/>
      </c>
      <c r="FL57" s="29"/>
      <c r="FN57" s="31"/>
    </row>
    <row r="58" spans="1:185">
      <c r="A58" s="22" t="s">
        <v>145</v>
      </c>
      <c r="B58" s="22" t="s">
        <v>163</v>
      </c>
      <c r="C58" s="22" t="s">
        <v>181</v>
      </c>
      <c r="ES58" s="29"/>
      <c r="EV58" s="28">
        <f t="shared" si="0"/>
        <v>0</v>
      </c>
      <c r="FH58" s="29" t="str">
        <f t="shared" si="2"/>
        <v/>
      </c>
      <c r="FJ58" s="36" t="str">
        <f>IF($FH58="","",SUM($FN58:$FN$7000))</f>
        <v/>
      </c>
      <c r="FK58" s="36" t="str">
        <f>IF($FH58="","",SUM($FN58:$FN$7000))</f>
        <v/>
      </c>
      <c r="FL58" s="29"/>
      <c r="FN58" s="31"/>
    </row>
    <row r="59" spans="1:185">
      <c r="A59" s="22" t="s">
        <v>146</v>
      </c>
      <c r="B59" s="22" t="s">
        <v>164</v>
      </c>
      <c r="C59" s="22" t="s">
        <v>182</v>
      </c>
      <c r="ES59" s="29"/>
      <c r="EV59" s="28">
        <f t="shared" si="0"/>
        <v>0</v>
      </c>
      <c r="FH59" s="29" t="str">
        <f t="shared" si="2"/>
        <v/>
      </c>
      <c r="FJ59" s="36" t="str">
        <f>IF($FH59="","",SUM($FN59:$FN$7000))</f>
        <v/>
      </c>
      <c r="FK59" s="36" t="str">
        <f>IF($FH59="","",SUM($FN59:$FN$7000))</f>
        <v/>
      </c>
      <c r="FL59" s="29"/>
      <c r="FN59" s="31"/>
    </row>
    <row r="60" spans="1:185">
      <c r="A60" s="22" t="s">
        <v>147</v>
      </c>
      <c r="B60" s="22" t="s">
        <v>165</v>
      </c>
      <c r="C60" s="22" t="s">
        <v>183</v>
      </c>
      <c r="ES60" s="29"/>
      <c r="EV60" s="28">
        <f t="shared" si="0"/>
        <v>0</v>
      </c>
      <c r="FH60" s="29" t="str">
        <f t="shared" si="2"/>
        <v/>
      </c>
      <c r="FJ60" s="36" t="str">
        <f>IF($FH60="","",SUM($FN60:$FN$7000))</f>
        <v/>
      </c>
      <c r="FK60" s="36" t="str">
        <f>IF($FH60="","",SUM($FN60:$FN$7000))</f>
        <v/>
      </c>
      <c r="FL60" s="29"/>
      <c r="FN60" s="31"/>
    </row>
    <row r="61" spans="1:185">
      <c r="A61" s="22" t="s">
        <v>148</v>
      </c>
      <c r="B61" s="22" t="s">
        <v>166</v>
      </c>
      <c r="C61" s="22" t="s">
        <v>184</v>
      </c>
      <c r="ES61" s="29"/>
      <c r="EV61" s="28">
        <f t="shared" si="0"/>
        <v>0</v>
      </c>
      <c r="FH61" s="29" t="str">
        <f t="shared" si="2"/>
        <v/>
      </c>
      <c r="FJ61" s="36" t="str">
        <f>IF($FH61="","",SUM($FN61:$FN$7000))</f>
        <v/>
      </c>
      <c r="FK61" s="36" t="str">
        <f>IF($FH61="","",SUM($FN61:$FN$7000))</f>
        <v/>
      </c>
      <c r="FL61" s="29"/>
      <c r="FN61" s="31"/>
    </row>
    <row r="62" spans="1:185">
      <c r="A62" s="22" t="s">
        <v>149</v>
      </c>
      <c r="B62" s="22" t="s">
        <v>167</v>
      </c>
      <c r="C62" s="22" t="s">
        <v>185</v>
      </c>
      <c r="ES62" s="29"/>
      <c r="EV62" s="28">
        <f t="shared" si="0"/>
        <v>0</v>
      </c>
      <c r="FH62" s="29" t="str">
        <f t="shared" si="2"/>
        <v/>
      </c>
      <c r="FJ62" s="36" t="str">
        <f>IF($FH62="","",SUM($FN62:$FN$7000))</f>
        <v/>
      </c>
      <c r="FK62" s="36" t="str">
        <f>IF($FH62="","",SUM($FN62:$FN$7000))</f>
        <v/>
      </c>
      <c r="FL62" s="29"/>
      <c r="FN62" s="31"/>
    </row>
    <row r="63" spans="1:185">
      <c r="A63" s="22" t="s">
        <v>150</v>
      </c>
      <c r="B63" s="22" t="s">
        <v>168</v>
      </c>
      <c r="C63" s="22" t="s">
        <v>186</v>
      </c>
      <c r="ES63" s="29"/>
      <c r="EV63" s="28">
        <f t="shared" si="0"/>
        <v>0</v>
      </c>
      <c r="FH63" s="29" t="str">
        <f t="shared" si="2"/>
        <v/>
      </c>
      <c r="FJ63" s="36" t="str">
        <f>IF($FH63="","",SUM($FN63:$FN$7000))</f>
        <v/>
      </c>
      <c r="FK63" s="36" t="str">
        <f>IF($FH63="","",SUM($FN63:$FN$7000))</f>
        <v/>
      </c>
      <c r="FL63" s="29"/>
      <c r="FN63" s="31"/>
    </row>
    <row r="64" spans="1:185">
      <c r="A64" s="22" t="s">
        <v>151</v>
      </c>
      <c r="B64" s="22" t="s">
        <v>169</v>
      </c>
      <c r="C64" s="22" t="s">
        <v>187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37"/>
      <c r="ER64" s="37"/>
      <c r="ES64" s="38"/>
      <c r="ET64" s="37"/>
      <c r="EU64" s="37"/>
      <c r="EV64" s="28">
        <f t="shared" si="0"/>
        <v>0</v>
      </c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29" t="str">
        <f t="shared" si="2"/>
        <v/>
      </c>
      <c r="FJ64" s="36" t="str">
        <f>IF($FH64="","",SUM($FN64:$FN$7000))</f>
        <v/>
      </c>
      <c r="FK64" s="36" t="str">
        <f>IF($FH64="","",SUM($FN64:$FN$7000))</f>
        <v/>
      </c>
      <c r="FL64" s="38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2"/>
      <c r="GB64" s="2"/>
      <c r="GC64" s="2"/>
    </row>
    <row r="65" spans="1:185">
      <c r="A65" s="22" t="s">
        <v>152</v>
      </c>
      <c r="B65" s="22" t="s">
        <v>170</v>
      </c>
      <c r="C65" s="22" t="s">
        <v>188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37"/>
      <c r="ER65" s="37"/>
      <c r="ES65" s="38"/>
      <c r="ET65" s="37"/>
      <c r="EU65" s="37"/>
      <c r="EV65" s="28">
        <f t="shared" si="0"/>
        <v>0</v>
      </c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29" t="str">
        <f t="shared" si="2"/>
        <v/>
      </c>
      <c r="FJ65" s="36" t="str">
        <f>IF($FH65="","",SUM($FN65:$FN$7000))</f>
        <v/>
      </c>
      <c r="FK65" s="36" t="str">
        <f>IF($FH65="","",SUM($FN65:$FN$7000))</f>
        <v/>
      </c>
      <c r="FL65" s="38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2"/>
      <c r="GB65" s="2"/>
      <c r="GC65" s="2"/>
    </row>
    <row r="66" spans="1:185">
      <c r="A66" s="22" t="s">
        <v>153</v>
      </c>
      <c r="B66" s="22" t="s">
        <v>171</v>
      </c>
      <c r="C66" s="22" t="s">
        <v>189</v>
      </c>
      <c r="AC66" s="2"/>
      <c r="AD66" s="2"/>
      <c r="AE66" s="2"/>
      <c r="AF66" s="2"/>
      <c r="AG66" s="2"/>
      <c r="AH66" s="2"/>
      <c r="AI66" s="2"/>
      <c r="AJ66" s="2"/>
      <c r="AK66" s="2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39"/>
      <c r="ER66" s="39"/>
      <c r="ES66" s="40"/>
      <c r="ET66" s="39"/>
      <c r="EU66" s="39"/>
      <c r="EV66" s="28">
        <f t="shared" si="0"/>
        <v>0</v>
      </c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29" t="str">
        <f t="shared" si="2"/>
        <v/>
      </c>
      <c r="FJ66" s="36" t="str">
        <f>IF($FH66="","",SUM($FN66:$FN$7000))</f>
        <v/>
      </c>
      <c r="FK66" s="36" t="str">
        <f>IF($FH66="","",SUM($FN66:$FN$7000))</f>
        <v/>
      </c>
      <c r="FL66" s="40"/>
      <c r="FM66" s="39"/>
      <c r="FN66" s="39"/>
      <c r="FO66" s="39"/>
      <c r="FP66" s="39"/>
      <c r="FQ66" s="39"/>
      <c r="FR66" s="39"/>
      <c r="FS66" s="39"/>
      <c r="FT66" s="39"/>
      <c r="FU66" s="39"/>
      <c r="FV66" s="39"/>
      <c r="FW66" s="39"/>
      <c r="FX66" s="39"/>
      <c r="FY66" s="39"/>
      <c r="FZ66" s="39"/>
      <c r="GA66" s="6"/>
      <c r="GB66" s="2"/>
      <c r="GC66" s="2"/>
    </row>
    <row r="67" spans="1:185">
      <c r="A67" s="22" t="s">
        <v>154</v>
      </c>
      <c r="B67" s="22" t="s">
        <v>172</v>
      </c>
      <c r="C67" s="22" t="s">
        <v>190</v>
      </c>
      <c r="AC67" s="2"/>
      <c r="AD67" s="2"/>
      <c r="AE67" s="2"/>
      <c r="AF67" s="2"/>
      <c r="AG67" s="2"/>
      <c r="AH67" s="2"/>
      <c r="AI67" s="2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41"/>
      <c r="ER67" s="41"/>
      <c r="ES67" s="42"/>
      <c r="ET67" s="41"/>
      <c r="EU67" s="41"/>
      <c r="EV67" s="28">
        <f t="shared" si="0"/>
        <v>0</v>
      </c>
      <c r="EW67" s="41"/>
      <c r="EX67" s="41"/>
      <c r="EY67" s="41"/>
      <c r="EZ67" s="41"/>
      <c r="FA67" s="37"/>
      <c r="FB67" s="41"/>
      <c r="FC67" s="41"/>
      <c r="FD67" s="37"/>
      <c r="FE67" s="37"/>
      <c r="FF67" s="37"/>
      <c r="FG67" s="37"/>
      <c r="FH67" s="29" t="str">
        <f t="shared" si="2"/>
        <v/>
      </c>
      <c r="FJ67" s="36" t="str">
        <f>IF($FH67="","",SUM($FN67:$FN$7000))</f>
        <v/>
      </c>
      <c r="FK67" s="36" t="str">
        <f>IF($FH67="","",SUM($FN67:$FN$7000))</f>
        <v/>
      </c>
      <c r="FL67" s="42"/>
      <c r="FM67" s="41"/>
      <c r="FN67" s="37"/>
      <c r="FO67" s="37"/>
      <c r="FP67" s="37"/>
      <c r="FQ67" s="37"/>
      <c r="FR67" s="231"/>
      <c r="FS67" s="231"/>
      <c r="FT67" s="231"/>
      <c r="FU67" s="37"/>
      <c r="FV67" s="37"/>
      <c r="FW67" s="37"/>
      <c r="FX67" s="37"/>
      <c r="FY67" s="37"/>
      <c r="FZ67" s="41"/>
      <c r="GA67" s="5"/>
      <c r="GB67" s="2"/>
      <c r="GC67" s="2"/>
    </row>
    <row r="68" spans="1:185">
      <c r="A68" s="22" t="s">
        <v>155</v>
      </c>
      <c r="B68" s="22" t="s">
        <v>173</v>
      </c>
      <c r="C68" s="22" t="s">
        <v>191</v>
      </c>
      <c r="AC68" s="2"/>
      <c r="AD68" s="2"/>
      <c r="AE68" s="2"/>
      <c r="AF68" s="2"/>
      <c r="AG68" s="2"/>
      <c r="AH68" s="2"/>
      <c r="AI68" s="2"/>
      <c r="AJ68" s="7"/>
      <c r="AK68" s="7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41"/>
      <c r="ER68" s="41"/>
      <c r="ES68" s="42"/>
      <c r="ET68" s="41"/>
      <c r="EU68" s="41"/>
      <c r="EV68" s="28">
        <f t="shared" si="0"/>
        <v>0</v>
      </c>
      <c r="EW68" s="41"/>
      <c r="EX68" s="41"/>
      <c r="EY68" s="41"/>
      <c r="EZ68" s="41"/>
      <c r="FA68" s="37"/>
      <c r="FB68" s="41"/>
      <c r="FC68" s="41"/>
      <c r="FD68" s="37"/>
      <c r="FE68" s="37"/>
      <c r="FF68" s="37"/>
      <c r="FG68" s="37"/>
      <c r="FH68" s="29" t="str">
        <f t="shared" si="2"/>
        <v/>
      </c>
      <c r="FJ68" s="36" t="str">
        <f>IF($FH68="","",SUM($FN68:$FN$7000))</f>
        <v/>
      </c>
      <c r="FK68" s="36" t="str">
        <f>IF($FH68="","",SUM($FN68:$FN$7000))</f>
        <v/>
      </c>
      <c r="FL68" s="42"/>
      <c r="FM68" s="41"/>
      <c r="FN68" s="37"/>
      <c r="FO68" s="37"/>
      <c r="FP68" s="37"/>
      <c r="FQ68" s="37"/>
      <c r="FR68" s="231"/>
      <c r="FS68" s="231"/>
      <c r="FT68" s="231"/>
      <c r="FU68" s="37"/>
      <c r="FV68" s="37"/>
      <c r="FW68" s="37"/>
      <c r="FX68" s="37"/>
      <c r="FY68" s="37"/>
      <c r="FZ68" s="41"/>
      <c r="GA68" s="5"/>
      <c r="GB68" s="2"/>
      <c r="GC68" s="2"/>
    </row>
    <row r="69" spans="1:185">
      <c r="A69" s="22" t="s">
        <v>156</v>
      </c>
      <c r="B69" s="22" t="s">
        <v>174</v>
      </c>
      <c r="C69" s="22" t="s">
        <v>192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37"/>
      <c r="ER69" s="37"/>
      <c r="ES69" s="38"/>
      <c r="ET69" s="37"/>
      <c r="EU69" s="37"/>
      <c r="EV69" s="28">
        <f t="shared" si="0"/>
        <v>0</v>
      </c>
      <c r="EW69" s="37"/>
      <c r="EX69" s="37"/>
      <c r="EY69" s="37"/>
      <c r="EZ69" s="37"/>
      <c r="FA69" s="37"/>
      <c r="FB69" s="37"/>
      <c r="FC69" s="37"/>
      <c r="FD69" s="37"/>
      <c r="FE69" s="37"/>
      <c r="FF69" s="37"/>
      <c r="FG69" s="37"/>
      <c r="FH69" s="29" t="str">
        <f t="shared" si="2"/>
        <v/>
      </c>
      <c r="FJ69" s="36" t="str">
        <f>IF($FH69="","",SUM($FN69:$FN$7000))</f>
        <v/>
      </c>
      <c r="FK69" s="36" t="str">
        <f>IF($FH69="","",SUM($FN69:$FN$7000))</f>
        <v/>
      </c>
      <c r="FL69" s="38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2"/>
      <c r="GB69" s="2"/>
      <c r="GC69" s="2"/>
    </row>
    <row r="70" spans="1:185">
      <c r="A70" s="22" t="s">
        <v>157</v>
      </c>
      <c r="B70" s="22" t="s">
        <v>175</v>
      </c>
      <c r="C70" s="22" t="s">
        <v>193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37"/>
      <c r="ER70" s="37"/>
      <c r="ES70" s="38"/>
      <c r="ET70" s="37"/>
      <c r="EU70" s="37"/>
      <c r="EV70" s="28">
        <f t="shared" si="0"/>
        <v>0</v>
      </c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29" t="str">
        <f t="shared" si="2"/>
        <v/>
      </c>
      <c r="FJ70" s="36" t="str">
        <f>IF($FH70="","",SUM($FN70:$FN$7000))</f>
        <v/>
      </c>
      <c r="FK70" s="36" t="str">
        <f>IF($FH70="","",SUM($FN70:$FN$7000))</f>
        <v/>
      </c>
      <c r="FL70" s="38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2"/>
      <c r="GB70" s="2"/>
      <c r="GC70" s="2"/>
    </row>
    <row r="71" spans="1:185">
      <c r="A71" s="22" t="s">
        <v>158</v>
      </c>
      <c r="B71" s="22" t="s">
        <v>176</v>
      </c>
      <c r="C71" s="22" t="s">
        <v>194</v>
      </c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37"/>
      <c r="ER71" s="37"/>
      <c r="ES71" s="38"/>
      <c r="ET71" s="37"/>
      <c r="EU71" s="37"/>
      <c r="EV71" s="28">
        <f t="shared" si="0"/>
        <v>0</v>
      </c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29" t="str">
        <f t="shared" si="2"/>
        <v/>
      </c>
      <c r="FJ71" s="36" t="str">
        <f>IF($FH71="","",SUM($FN71:$FN$7000))</f>
        <v/>
      </c>
      <c r="FK71" s="36" t="str">
        <f>IF($FH71="","",SUM($FN71:$FN$7000))</f>
        <v/>
      </c>
      <c r="FL71" s="38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2"/>
      <c r="GB71" s="2"/>
      <c r="GC71" s="2"/>
    </row>
    <row r="72" spans="1:185">
      <c r="A72" s="22" t="s">
        <v>159</v>
      </c>
      <c r="B72" s="22" t="s">
        <v>177</v>
      </c>
      <c r="C72" s="22" t="s">
        <v>195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37"/>
      <c r="ER72" s="37"/>
      <c r="ES72" s="38"/>
      <c r="ET72" s="37"/>
      <c r="EU72" s="37"/>
      <c r="EV72" s="28">
        <f t="shared" si="0"/>
        <v>0</v>
      </c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29" t="str">
        <f t="shared" si="2"/>
        <v/>
      </c>
      <c r="FJ72" s="36" t="str">
        <f>IF($FH72="","",SUM($FN72:$FN$7000))</f>
        <v/>
      </c>
      <c r="FK72" s="36" t="str">
        <f>IF($FH72="","",SUM($FN72:$FN$7000))</f>
        <v/>
      </c>
      <c r="FL72" s="38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2"/>
      <c r="GB72" s="2"/>
      <c r="GC72" s="2"/>
    </row>
    <row r="73" spans="1:185">
      <c r="A73" s="22" t="s">
        <v>160</v>
      </c>
      <c r="B73" s="22" t="s">
        <v>178</v>
      </c>
      <c r="C73" s="22" t="s">
        <v>196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37"/>
      <c r="ER73" s="37"/>
      <c r="ES73" s="38"/>
      <c r="ET73" s="37"/>
      <c r="EU73" s="37"/>
      <c r="EV73" s="28">
        <f t="shared" si="0"/>
        <v>0</v>
      </c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29" t="str">
        <f t="shared" si="2"/>
        <v/>
      </c>
      <c r="FJ73" s="36" t="str">
        <f>IF($FH73="","",SUM($FN73:$FN$7000))</f>
        <v/>
      </c>
      <c r="FK73" s="36" t="str">
        <f>IF($FH73="","",SUM($FN73:$FN$7000))</f>
        <v/>
      </c>
      <c r="FL73" s="38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2"/>
      <c r="GB73" s="2"/>
      <c r="GC73" s="2"/>
    </row>
    <row r="74" spans="1:185">
      <c r="ES74" s="29"/>
      <c r="EV74" s="28">
        <f t="shared" si="0"/>
        <v>0</v>
      </c>
      <c r="FH74" s="29" t="str">
        <f t="shared" si="2"/>
        <v/>
      </c>
      <c r="FJ74" s="36" t="str">
        <f>IF($FH74="","",SUM($FN74:$FN$7000))</f>
        <v/>
      </c>
      <c r="FK74" s="36" t="str">
        <f>IF($FH74="","",SUM($FN74:$FN$7000))</f>
        <v/>
      </c>
      <c r="FL74" s="29"/>
    </row>
    <row r="75" spans="1:185">
      <c r="ES75" s="29"/>
      <c r="EV75" s="28">
        <f t="shared" ref="EV75:EV138" si="3">EU75-ET75</f>
        <v>0</v>
      </c>
      <c r="FH75" s="29" t="str">
        <f t="shared" ref="FH75:FH138" si="4">IF(FL75="","",FL75)</f>
        <v/>
      </c>
      <c r="FJ75" s="36" t="str">
        <f>IF($FH75="","",SUM($FN75:$FN$7000))</f>
        <v/>
      </c>
      <c r="FK75" s="36" t="str">
        <f>IF($FH75="","",SUM($FN75:$FN$7000))</f>
        <v/>
      </c>
      <c r="FL75" s="29"/>
    </row>
    <row r="76" spans="1:185">
      <c r="ES76" s="29"/>
      <c r="EV76" s="28">
        <f t="shared" si="3"/>
        <v>0</v>
      </c>
      <c r="FH76" s="29" t="str">
        <f t="shared" si="4"/>
        <v/>
      </c>
      <c r="FJ76" s="36" t="str">
        <f>IF($FH76="","",SUM($FN76:$FN$7000))</f>
        <v/>
      </c>
      <c r="FK76" s="36" t="str">
        <f>IF($FH76="","",SUM($FN76:$FN$7000))</f>
        <v/>
      </c>
      <c r="FL76" s="29"/>
    </row>
    <row r="77" spans="1:185">
      <c r="ES77" s="29"/>
      <c r="EV77" s="28">
        <f t="shared" si="3"/>
        <v>0</v>
      </c>
      <c r="FH77" s="29" t="str">
        <f t="shared" si="4"/>
        <v/>
      </c>
      <c r="FJ77" s="36" t="str">
        <f>IF($FH77="","",SUM($FN77:$FN$7000))</f>
        <v/>
      </c>
      <c r="FK77" s="36" t="str">
        <f>IF($FH77="","",SUM($FN77:$FN$7000))</f>
        <v/>
      </c>
      <c r="FL77" s="29"/>
    </row>
    <row r="78" spans="1:185">
      <c r="ES78" s="29"/>
      <c r="EV78" s="28">
        <f t="shared" si="3"/>
        <v>0</v>
      </c>
      <c r="FH78" s="29" t="str">
        <f t="shared" si="4"/>
        <v/>
      </c>
      <c r="FJ78" s="36" t="str">
        <f>IF($FH78="","",SUM($FN78:$FN$7000))</f>
        <v/>
      </c>
      <c r="FK78" s="36" t="str">
        <f>IF($FH78="","",SUM($FN78:$FN$7000))</f>
        <v/>
      </c>
      <c r="FL78" s="29"/>
    </row>
    <row r="79" spans="1:185">
      <c r="ES79" s="29"/>
      <c r="EV79" s="28">
        <f t="shared" si="3"/>
        <v>0</v>
      </c>
      <c r="FH79" s="29" t="str">
        <f t="shared" si="4"/>
        <v/>
      </c>
      <c r="FJ79" s="36" t="str">
        <f>IF($FH79="","",SUM($FN79:$FN$7000))</f>
        <v/>
      </c>
      <c r="FK79" s="36" t="str">
        <f>IF($FH79="","",SUM($FN79:$FN$7000))</f>
        <v/>
      </c>
      <c r="FL79" s="29"/>
    </row>
    <row r="80" spans="1:185">
      <c r="ES80" s="29"/>
      <c r="EV80" s="28">
        <f t="shared" si="3"/>
        <v>0</v>
      </c>
      <c r="FH80" s="29" t="str">
        <f t="shared" si="4"/>
        <v/>
      </c>
      <c r="FJ80" s="36" t="str">
        <f>IF($FH80="","",SUM($FN80:$FN$7000))</f>
        <v/>
      </c>
      <c r="FK80" s="36" t="str">
        <f>IF($FH80="","",SUM($FN80:$FN$7000))</f>
        <v/>
      </c>
      <c r="FL80" s="29"/>
    </row>
    <row r="81" spans="149:168">
      <c r="ES81" s="29"/>
      <c r="EV81" s="28">
        <f t="shared" si="3"/>
        <v>0</v>
      </c>
      <c r="FH81" s="29" t="str">
        <f t="shared" si="4"/>
        <v/>
      </c>
      <c r="FJ81" s="36" t="str">
        <f>IF($FH81="","",SUM($FN81:$FN$7000))</f>
        <v/>
      </c>
      <c r="FK81" s="36" t="str">
        <f>IF($FH81="","",SUM($FN81:$FN$7000))</f>
        <v/>
      </c>
      <c r="FL81" s="29"/>
    </row>
    <row r="82" spans="149:168">
      <c r="ES82" s="29"/>
      <c r="EV82" s="28">
        <f t="shared" si="3"/>
        <v>0</v>
      </c>
      <c r="FH82" s="29" t="str">
        <f t="shared" si="4"/>
        <v/>
      </c>
      <c r="FJ82" s="36" t="str">
        <f>IF($FH82="","",SUM($FN82:$FN$7000))</f>
        <v/>
      </c>
      <c r="FK82" s="36" t="str">
        <f>IF($FH82="","",SUM($FN82:$FN$7000))</f>
        <v/>
      </c>
      <c r="FL82" s="29"/>
    </row>
    <row r="83" spans="149:168">
      <c r="ES83" s="29"/>
      <c r="EV83" s="28">
        <f t="shared" si="3"/>
        <v>0</v>
      </c>
      <c r="FH83" s="29" t="str">
        <f t="shared" si="4"/>
        <v/>
      </c>
      <c r="FJ83" s="36" t="str">
        <f>IF($FH83="","",SUM($FN83:$FN$7000))</f>
        <v/>
      </c>
      <c r="FK83" s="36" t="str">
        <f>IF($FH83="","",SUM($FN83:$FN$7000))</f>
        <v/>
      </c>
      <c r="FL83" s="29"/>
    </row>
    <row r="84" spans="149:168">
      <c r="ES84" s="29"/>
      <c r="EV84" s="28">
        <f t="shared" si="3"/>
        <v>0</v>
      </c>
      <c r="FH84" s="29" t="str">
        <f t="shared" si="4"/>
        <v/>
      </c>
      <c r="FJ84" s="36" t="str">
        <f>IF($FH84="","",SUM($FN84:$FN$7000))</f>
        <v/>
      </c>
      <c r="FK84" s="36" t="str">
        <f>IF($FH84="","",SUM($FN84:$FN$7000))</f>
        <v/>
      </c>
      <c r="FL84" s="29"/>
    </row>
    <row r="85" spans="149:168">
      <c r="ES85" s="29"/>
      <c r="EV85" s="28">
        <f t="shared" si="3"/>
        <v>0</v>
      </c>
      <c r="FH85" s="29" t="str">
        <f t="shared" si="4"/>
        <v/>
      </c>
      <c r="FJ85" s="36" t="str">
        <f>IF($FH85="","",SUM($FN85:$FN$7000))</f>
        <v/>
      </c>
      <c r="FK85" s="36" t="str">
        <f>IF($FH85="","",SUM($FN85:$FN$7000))</f>
        <v/>
      </c>
      <c r="FL85" s="29"/>
    </row>
    <row r="86" spans="149:168">
      <c r="ES86" s="29"/>
      <c r="EV86" s="28">
        <f t="shared" si="3"/>
        <v>0</v>
      </c>
      <c r="FH86" s="29" t="str">
        <f t="shared" si="4"/>
        <v/>
      </c>
      <c r="FJ86" s="36" t="str">
        <f>IF($FH86="","",SUM($FN86:$FN$7000))</f>
        <v/>
      </c>
      <c r="FK86" s="36" t="str">
        <f>IF($FH86="","",SUM($FN86:$FN$7000))</f>
        <v/>
      </c>
      <c r="FL86" s="29"/>
    </row>
    <row r="87" spans="149:168">
      <c r="ES87" s="29"/>
      <c r="EV87" s="28">
        <f t="shared" si="3"/>
        <v>0</v>
      </c>
      <c r="FH87" s="29" t="str">
        <f t="shared" si="4"/>
        <v/>
      </c>
      <c r="FJ87" s="36" t="str">
        <f>IF($FH87="","",SUM($FN87:$FN$7000))</f>
        <v/>
      </c>
      <c r="FK87" s="36" t="str">
        <f>IF($FH87="","",SUM($FN87:$FN$7000))</f>
        <v/>
      </c>
      <c r="FL87" s="29"/>
    </row>
    <row r="88" spans="149:168">
      <c r="ES88" s="29"/>
      <c r="EV88" s="28">
        <f t="shared" si="3"/>
        <v>0</v>
      </c>
      <c r="FH88" s="29" t="str">
        <f t="shared" si="4"/>
        <v/>
      </c>
      <c r="FJ88" s="36" t="str">
        <f>IF($FH88="","",SUM($FN88:$FN$7000))</f>
        <v/>
      </c>
      <c r="FK88" s="36" t="str">
        <f>IF($FH88="","",SUM($FN88:$FN$7000))</f>
        <v/>
      </c>
      <c r="FL88" s="29"/>
    </row>
    <row r="89" spans="149:168">
      <c r="ES89" s="29"/>
      <c r="EV89" s="28">
        <f t="shared" si="3"/>
        <v>0</v>
      </c>
      <c r="FH89" s="29" t="str">
        <f t="shared" si="4"/>
        <v/>
      </c>
      <c r="FJ89" s="36" t="str">
        <f>IF($FH89="","",SUM($FN89:$FN$7000))</f>
        <v/>
      </c>
      <c r="FK89" s="36" t="str">
        <f>IF($FH89="","",SUM($FN89:$FN$7000))</f>
        <v/>
      </c>
      <c r="FL89" s="29"/>
    </row>
    <row r="90" spans="149:168">
      <c r="ES90" s="29"/>
      <c r="EV90" s="28">
        <f t="shared" si="3"/>
        <v>0</v>
      </c>
      <c r="FH90" s="29" t="str">
        <f t="shared" si="4"/>
        <v/>
      </c>
      <c r="FJ90" s="36" t="str">
        <f>IF($FH90="","",SUM($FN90:$FN$7000))</f>
        <v/>
      </c>
      <c r="FK90" s="36" t="str">
        <f>IF($FH90="","",SUM($FN90:$FN$7000))</f>
        <v/>
      </c>
      <c r="FL90" s="29"/>
    </row>
    <row r="91" spans="149:168">
      <c r="ES91" s="29"/>
      <c r="EV91" s="28">
        <f t="shared" si="3"/>
        <v>0</v>
      </c>
      <c r="FH91" s="29" t="str">
        <f t="shared" si="4"/>
        <v/>
      </c>
      <c r="FJ91" s="36" t="str">
        <f>IF($FH91="","",SUM($FN91:$FN$7000))</f>
        <v/>
      </c>
      <c r="FK91" s="36" t="str">
        <f>IF($FH91="","",SUM($FN91:$FN$7000))</f>
        <v/>
      </c>
      <c r="FL91" s="29"/>
    </row>
    <row r="92" spans="149:168">
      <c r="ES92" s="29"/>
      <c r="EV92" s="28">
        <f t="shared" si="3"/>
        <v>0</v>
      </c>
      <c r="FH92" s="29" t="str">
        <f t="shared" si="4"/>
        <v/>
      </c>
      <c r="FJ92" s="36" t="str">
        <f>IF($FH92="","",SUM($FN92:$FN$7000))</f>
        <v/>
      </c>
      <c r="FK92" s="36" t="str">
        <f>IF($FH92="","",SUM($FN92:$FN$7000))</f>
        <v/>
      </c>
      <c r="FL92" s="29"/>
    </row>
    <row r="93" spans="149:168">
      <c r="ES93" s="29"/>
      <c r="EV93" s="28">
        <f t="shared" si="3"/>
        <v>0</v>
      </c>
      <c r="FH93" s="29" t="str">
        <f t="shared" si="4"/>
        <v/>
      </c>
      <c r="FJ93" s="36" t="str">
        <f>IF($FH93="","",SUM($FN93:$FN$7000))</f>
        <v/>
      </c>
      <c r="FK93" s="36" t="str">
        <f>IF($FH93="","",SUM($FN93:$FN$7000))</f>
        <v/>
      </c>
      <c r="FL93" s="29"/>
    </row>
    <row r="94" spans="149:168">
      <c r="ES94" s="29"/>
      <c r="EV94" s="28">
        <f t="shared" si="3"/>
        <v>0</v>
      </c>
      <c r="FH94" s="29" t="str">
        <f t="shared" si="4"/>
        <v/>
      </c>
      <c r="FJ94" s="36" t="str">
        <f>IF($FH94="","",SUM($FN94:$FN$7000))</f>
        <v/>
      </c>
      <c r="FK94" s="36" t="str">
        <f>IF($FH94="","",SUM($FN94:$FN$7000))</f>
        <v/>
      </c>
      <c r="FL94" s="29"/>
    </row>
    <row r="95" spans="149:168">
      <c r="ES95" s="29"/>
      <c r="EV95" s="28">
        <f t="shared" si="3"/>
        <v>0</v>
      </c>
      <c r="FH95" s="29" t="str">
        <f t="shared" si="4"/>
        <v/>
      </c>
      <c r="FJ95" s="36" t="str">
        <f>IF($FH95="","",SUM($FN95:$FN$7000))</f>
        <v/>
      </c>
      <c r="FK95" s="36" t="str">
        <f>IF($FH95="","",SUM($FN95:$FN$7000))</f>
        <v/>
      </c>
      <c r="FL95" s="29"/>
    </row>
    <row r="96" spans="149:168">
      <c r="ES96" s="29"/>
      <c r="EV96" s="28">
        <f t="shared" si="3"/>
        <v>0</v>
      </c>
      <c r="FH96" s="29" t="str">
        <f t="shared" si="4"/>
        <v/>
      </c>
      <c r="FJ96" s="36" t="str">
        <f>IF($FH96="","",SUM($FN96:$FN$7000))</f>
        <v/>
      </c>
      <c r="FK96" s="36" t="str">
        <f>IF($FH96="","",SUM($FN96:$FN$7000))</f>
        <v/>
      </c>
      <c r="FL96" s="29"/>
    </row>
    <row r="97" spans="149:168">
      <c r="ES97" s="29"/>
      <c r="EV97" s="28">
        <f t="shared" si="3"/>
        <v>0</v>
      </c>
      <c r="FH97" s="29" t="str">
        <f t="shared" si="4"/>
        <v/>
      </c>
      <c r="FJ97" s="36" t="str">
        <f>IF($FH97="","",SUM($FN97:$FN$7000))</f>
        <v/>
      </c>
      <c r="FK97" s="36" t="str">
        <f>IF($FH97="","",SUM($FN97:$FN$7000))</f>
        <v/>
      </c>
      <c r="FL97" s="29"/>
    </row>
    <row r="98" spans="149:168">
      <c r="ES98" s="29"/>
      <c r="EV98" s="28">
        <f t="shared" si="3"/>
        <v>0</v>
      </c>
      <c r="FH98" s="29" t="str">
        <f t="shared" si="4"/>
        <v/>
      </c>
      <c r="FJ98" s="36" t="str">
        <f>IF($FH98="","",SUM($FN98:$FN$7000))</f>
        <v/>
      </c>
      <c r="FK98" s="36" t="str">
        <f>IF($FH98="","",SUM($FN98:$FN$7000))</f>
        <v/>
      </c>
      <c r="FL98" s="29"/>
    </row>
    <row r="99" spans="149:168">
      <c r="ES99" s="29"/>
      <c r="EV99" s="28">
        <f t="shared" si="3"/>
        <v>0</v>
      </c>
      <c r="FH99" s="29" t="str">
        <f t="shared" si="4"/>
        <v/>
      </c>
      <c r="FJ99" s="36" t="str">
        <f>IF($FH99="","",SUM($FN99:$FN$7000))</f>
        <v/>
      </c>
      <c r="FK99" s="36" t="str">
        <f>IF($FH99="","",SUM($FN99:$FN$7000))</f>
        <v/>
      </c>
      <c r="FL99" s="29"/>
    </row>
    <row r="100" spans="149:168">
      <c r="ES100" s="29"/>
      <c r="EV100" s="28">
        <f t="shared" si="3"/>
        <v>0</v>
      </c>
      <c r="FH100" s="29" t="str">
        <f t="shared" si="4"/>
        <v/>
      </c>
      <c r="FJ100" s="36" t="str">
        <f>IF($FH100="","",SUM($FN100:$FN$7000))</f>
        <v/>
      </c>
      <c r="FK100" s="36" t="str">
        <f>IF($FH100="","",SUM($FN100:$FN$7000))</f>
        <v/>
      </c>
      <c r="FL100" s="29"/>
    </row>
    <row r="101" spans="149:168">
      <c r="ES101" s="29"/>
      <c r="EV101" s="28">
        <f t="shared" si="3"/>
        <v>0</v>
      </c>
      <c r="FH101" s="29" t="str">
        <f t="shared" si="4"/>
        <v/>
      </c>
      <c r="FJ101" s="36" t="str">
        <f>IF($FH101="","",SUM($FN101:$FN$7000))</f>
        <v/>
      </c>
      <c r="FK101" s="36" t="str">
        <f>IF($FH101="","",SUM($FN101:$FN$7000))</f>
        <v/>
      </c>
      <c r="FL101" s="29"/>
    </row>
    <row r="102" spans="149:168">
      <c r="ES102" s="29"/>
      <c r="EV102" s="28">
        <f t="shared" si="3"/>
        <v>0</v>
      </c>
      <c r="FH102" s="29" t="str">
        <f t="shared" si="4"/>
        <v/>
      </c>
      <c r="FJ102" s="36" t="str">
        <f>IF($FH102="","",SUM($FN102:$FN$7000))</f>
        <v/>
      </c>
      <c r="FK102" s="36" t="str">
        <f>IF($FH102="","",SUM($FN102:$FN$7000))</f>
        <v/>
      </c>
      <c r="FL102" s="29"/>
    </row>
    <row r="103" spans="149:168">
      <c r="ES103" s="29"/>
      <c r="EV103" s="28">
        <f t="shared" si="3"/>
        <v>0</v>
      </c>
      <c r="FH103" s="29" t="str">
        <f t="shared" si="4"/>
        <v/>
      </c>
      <c r="FJ103" s="36" t="str">
        <f>IF($FH103="","",SUM($FN103:$FN$7000))</f>
        <v/>
      </c>
      <c r="FK103" s="36" t="str">
        <f>IF($FH103="","",SUM($FN103:$FN$7000))</f>
        <v/>
      </c>
      <c r="FL103" s="29"/>
    </row>
    <row r="104" spans="149:168">
      <c r="ES104" s="29"/>
      <c r="EV104" s="28">
        <f t="shared" si="3"/>
        <v>0</v>
      </c>
      <c r="FH104" s="29" t="str">
        <f t="shared" si="4"/>
        <v/>
      </c>
      <c r="FJ104" s="36" t="str">
        <f>IF($FH104="","",SUM($FN104:$FN$7000))</f>
        <v/>
      </c>
      <c r="FK104" s="36" t="str">
        <f>IF($FH104="","",SUM($FN104:$FN$7000))</f>
        <v/>
      </c>
      <c r="FL104" s="29"/>
    </row>
    <row r="105" spans="149:168">
      <c r="ES105" s="29"/>
      <c r="EV105" s="28">
        <f t="shared" si="3"/>
        <v>0</v>
      </c>
      <c r="FH105" s="29" t="str">
        <f t="shared" si="4"/>
        <v/>
      </c>
      <c r="FJ105" s="36" t="str">
        <f>IF($FH105="","",SUM($FN105:$FN$7000))</f>
        <v/>
      </c>
      <c r="FK105" s="36" t="str">
        <f>IF($FH105="","",SUM($FN105:$FN$7000))</f>
        <v/>
      </c>
      <c r="FL105" s="29"/>
    </row>
    <row r="106" spans="149:168">
      <c r="ES106" s="29"/>
      <c r="EV106" s="28">
        <f t="shared" si="3"/>
        <v>0</v>
      </c>
      <c r="FH106" s="29" t="str">
        <f t="shared" si="4"/>
        <v/>
      </c>
      <c r="FJ106" s="36" t="str">
        <f>IF($FH106="","",SUM($FN106:$FN$7000))</f>
        <v/>
      </c>
      <c r="FK106" s="36" t="str">
        <f>IF($FH106="","",SUM($FN106:$FN$7000))</f>
        <v/>
      </c>
      <c r="FL106" s="29"/>
    </row>
    <row r="107" spans="149:168">
      <c r="ES107" s="29"/>
      <c r="EV107" s="28">
        <f t="shared" si="3"/>
        <v>0</v>
      </c>
      <c r="FH107" s="29" t="str">
        <f t="shared" si="4"/>
        <v/>
      </c>
      <c r="FJ107" s="36" t="str">
        <f>IF($FH107="","",SUM($FN107:$FN$7000))</f>
        <v/>
      </c>
      <c r="FK107" s="36" t="str">
        <f>IF($FH107="","",SUM($FN107:$FN$7000))</f>
        <v/>
      </c>
      <c r="FL107" s="29"/>
    </row>
    <row r="108" spans="149:168">
      <c r="ES108" s="29"/>
      <c r="EV108" s="28">
        <f t="shared" si="3"/>
        <v>0</v>
      </c>
      <c r="FH108" s="29" t="str">
        <f t="shared" si="4"/>
        <v/>
      </c>
      <c r="FJ108" s="36" t="str">
        <f>IF($FH108="","",SUM($FN108:$FN$7000))</f>
        <v/>
      </c>
      <c r="FK108" s="36" t="str">
        <f>IF($FH108="","",SUM($FN108:$FN$7000))</f>
        <v/>
      </c>
      <c r="FL108" s="29"/>
    </row>
    <row r="109" spans="149:168">
      <c r="ES109" s="29"/>
      <c r="EV109" s="28">
        <f t="shared" si="3"/>
        <v>0</v>
      </c>
      <c r="FH109" s="29" t="str">
        <f t="shared" si="4"/>
        <v/>
      </c>
      <c r="FJ109" s="36" t="str">
        <f>IF($FH109="","",SUM($FN109:$FN$7000))</f>
        <v/>
      </c>
      <c r="FK109" s="36" t="str">
        <f>IF($FH109="","",SUM($FN109:$FN$7000))</f>
        <v/>
      </c>
      <c r="FL109" s="29"/>
    </row>
    <row r="110" spans="149:168">
      <c r="ES110" s="29"/>
      <c r="EV110" s="28">
        <f t="shared" si="3"/>
        <v>0</v>
      </c>
      <c r="FH110" s="29" t="str">
        <f t="shared" si="4"/>
        <v/>
      </c>
      <c r="FJ110" s="36" t="str">
        <f>IF($FH110="","",SUM($FN110:$FN$7000))</f>
        <v/>
      </c>
      <c r="FK110" s="36" t="str">
        <f>IF($FH110="","",SUM($FN110:$FN$7000))</f>
        <v/>
      </c>
    </row>
    <row r="111" spans="149:168">
      <c r="ES111" s="29"/>
      <c r="EV111" s="28">
        <f t="shared" si="3"/>
        <v>0</v>
      </c>
      <c r="FH111" s="29" t="str">
        <f t="shared" si="4"/>
        <v/>
      </c>
      <c r="FJ111" s="36" t="str">
        <f>IF($FH111="","",SUM($FN111:$FN$7000))</f>
        <v/>
      </c>
      <c r="FK111" s="36" t="str">
        <f>IF($FH111="","",SUM($FN111:$FN$7000))</f>
        <v/>
      </c>
    </row>
    <row r="112" spans="149:168">
      <c r="ES112" s="29"/>
      <c r="EV112" s="28">
        <f t="shared" si="3"/>
        <v>0</v>
      </c>
      <c r="FH112" s="29" t="str">
        <f t="shared" si="4"/>
        <v/>
      </c>
      <c r="FJ112" s="36" t="str">
        <f>IF($FH112="","",SUM($FN112:$FN$7000))</f>
        <v/>
      </c>
      <c r="FK112" s="36" t="str">
        <f>IF($FH112="","",SUM($FN112:$FN$7000))</f>
        <v/>
      </c>
    </row>
    <row r="113" spans="149:167">
      <c r="ES113" s="29"/>
      <c r="EV113" s="28">
        <f t="shared" si="3"/>
        <v>0</v>
      </c>
      <c r="FH113" s="29" t="str">
        <f t="shared" si="4"/>
        <v/>
      </c>
      <c r="FJ113" s="36" t="str">
        <f>IF($FH113="","",SUM($FN113:$FN$7000))</f>
        <v/>
      </c>
      <c r="FK113" s="36" t="str">
        <f>IF($FH113="","",SUM($FN113:$FN$7000))</f>
        <v/>
      </c>
    </row>
    <row r="114" spans="149:167">
      <c r="ES114" s="29"/>
      <c r="EV114" s="28">
        <f t="shared" si="3"/>
        <v>0</v>
      </c>
      <c r="FH114" s="29" t="str">
        <f t="shared" si="4"/>
        <v/>
      </c>
      <c r="FJ114" s="36" t="str">
        <f>IF($FH114="","",SUM($FN114:$FN$7000))</f>
        <v/>
      </c>
      <c r="FK114" s="36" t="str">
        <f>IF($FH114="","",SUM($FN114:$FN$7000))</f>
        <v/>
      </c>
    </row>
    <row r="115" spans="149:167">
      <c r="ES115" s="29"/>
      <c r="EV115" s="28">
        <f t="shared" si="3"/>
        <v>0</v>
      </c>
      <c r="FH115" s="29" t="str">
        <f t="shared" si="4"/>
        <v/>
      </c>
      <c r="FJ115" s="36" t="str">
        <f>IF($FH115="","",SUM($FN115:$FN$7000))</f>
        <v/>
      </c>
      <c r="FK115" s="36" t="str">
        <f>IF($FH115="","",SUM($FN115:$FN$7000))</f>
        <v/>
      </c>
    </row>
    <row r="116" spans="149:167">
      <c r="ES116" s="29"/>
      <c r="EV116" s="28">
        <f t="shared" si="3"/>
        <v>0</v>
      </c>
      <c r="FH116" s="29" t="str">
        <f t="shared" si="4"/>
        <v/>
      </c>
      <c r="FJ116" s="36" t="str">
        <f>IF($FH116="","",SUM($FN116:$FN$7000))</f>
        <v/>
      </c>
      <c r="FK116" s="36" t="str">
        <f>IF($FH116="","",SUM($FN116:$FN$7000))</f>
        <v/>
      </c>
    </row>
    <row r="117" spans="149:167">
      <c r="ES117" s="29"/>
      <c r="EV117" s="28">
        <f t="shared" si="3"/>
        <v>0</v>
      </c>
      <c r="FH117" s="29" t="str">
        <f t="shared" si="4"/>
        <v/>
      </c>
      <c r="FJ117" s="36" t="str">
        <f>IF($FH117="","",SUM($FN117:$FN$7000))</f>
        <v/>
      </c>
      <c r="FK117" s="36" t="str">
        <f>IF($FH117="","",SUM($FN117:$FN$7000))</f>
        <v/>
      </c>
    </row>
    <row r="118" spans="149:167">
      <c r="ES118" s="29"/>
      <c r="EV118" s="28">
        <f t="shared" si="3"/>
        <v>0</v>
      </c>
      <c r="FH118" s="29" t="str">
        <f t="shared" si="4"/>
        <v/>
      </c>
      <c r="FJ118" s="36" t="str">
        <f>IF($FH118="","",SUM($FN118:$FN$7000))</f>
        <v/>
      </c>
      <c r="FK118" s="36" t="str">
        <f>IF($FH118="","",SUM($FN118:$FN$7000))</f>
        <v/>
      </c>
    </row>
    <row r="119" spans="149:167">
      <c r="ES119" s="29"/>
      <c r="EV119" s="28">
        <f t="shared" si="3"/>
        <v>0</v>
      </c>
      <c r="FH119" s="29" t="str">
        <f t="shared" si="4"/>
        <v/>
      </c>
      <c r="FJ119" s="36" t="str">
        <f>IF($FH119="","",SUM($FN119:$FN$7000))</f>
        <v/>
      </c>
      <c r="FK119" s="36" t="str">
        <f>IF($FH119="","",SUM($FN119:$FN$7000))</f>
        <v/>
      </c>
    </row>
    <row r="120" spans="149:167">
      <c r="ES120" s="29"/>
      <c r="EV120" s="28">
        <f t="shared" si="3"/>
        <v>0</v>
      </c>
      <c r="FH120" s="29" t="str">
        <f t="shared" si="4"/>
        <v/>
      </c>
      <c r="FJ120" s="36" t="str">
        <f>IF($FH120="","",SUM($FN120:$FN$7000))</f>
        <v/>
      </c>
      <c r="FK120" s="36" t="str">
        <f>IF($FH120="","",SUM($FN120:$FN$7000))</f>
        <v/>
      </c>
    </row>
    <row r="121" spans="149:167">
      <c r="ES121" s="29"/>
      <c r="EV121" s="28">
        <f t="shared" si="3"/>
        <v>0</v>
      </c>
      <c r="FH121" s="29" t="str">
        <f t="shared" si="4"/>
        <v/>
      </c>
      <c r="FJ121" s="36" t="str">
        <f>IF($FH121="","",SUM($FN121:$FN$7000))</f>
        <v/>
      </c>
      <c r="FK121" s="36" t="str">
        <f>IF($FH121="","",SUM($FN121:$FN$7000))</f>
        <v/>
      </c>
    </row>
    <row r="122" spans="149:167">
      <c r="ES122" s="29"/>
      <c r="EV122" s="28">
        <f t="shared" si="3"/>
        <v>0</v>
      </c>
      <c r="FH122" s="29" t="str">
        <f t="shared" si="4"/>
        <v/>
      </c>
      <c r="FJ122" s="36" t="str">
        <f>IF($FH122="","",SUM($FN122:$FN$7000))</f>
        <v/>
      </c>
      <c r="FK122" s="36" t="str">
        <f>IF($FH122="","",SUM($FN122:$FN$7000))</f>
        <v/>
      </c>
    </row>
    <row r="123" spans="149:167">
      <c r="ES123" s="29"/>
      <c r="EV123" s="28">
        <f t="shared" si="3"/>
        <v>0</v>
      </c>
      <c r="FH123" s="29" t="str">
        <f t="shared" si="4"/>
        <v/>
      </c>
      <c r="FJ123" s="36" t="str">
        <f>IF($FH123="","",SUM($FN123:$FN$7000))</f>
        <v/>
      </c>
      <c r="FK123" s="36" t="str">
        <f>IF($FH123="","",SUM($FN123:$FN$7000))</f>
        <v/>
      </c>
    </row>
    <row r="124" spans="149:167">
      <c r="ES124" s="29"/>
      <c r="EV124" s="28">
        <f t="shared" si="3"/>
        <v>0</v>
      </c>
      <c r="FH124" s="29" t="str">
        <f t="shared" si="4"/>
        <v/>
      </c>
      <c r="FJ124" s="36" t="str">
        <f>IF($FH124="","",SUM($FN124:$FN$7000))</f>
        <v/>
      </c>
      <c r="FK124" s="36" t="str">
        <f>IF($FH124="","",SUM($FN124:$FN$7000))</f>
        <v/>
      </c>
    </row>
    <row r="125" spans="149:167">
      <c r="ES125" s="29"/>
      <c r="EV125" s="28">
        <f t="shared" si="3"/>
        <v>0</v>
      </c>
      <c r="FH125" s="29" t="str">
        <f t="shared" si="4"/>
        <v/>
      </c>
      <c r="FJ125" s="36" t="str">
        <f>IF($FH125="","",SUM($FN125:$FN$7000))</f>
        <v/>
      </c>
      <c r="FK125" s="36" t="str">
        <f>IF($FH125="","",SUM($FN125:$FN$7000))</f>
        <v/>
      </c>
    </row>
    <row r="126" spans="149:167">
      <c r="ES126" s="29"/>
      <c r="EV126" s="28">
        <f t="shared" si="3"/>
        <v>0</v>
      </c>
      <c r="FH126" s="29" t="str">
        <f t="shared" si="4"/>
        <v/>
      </c>
      <c r="FJ126" s="36" t="str">
        <f>IF($FH126="","",SUM($FN126:$FN$7000))</f>
        <v/>
      </c>
      <c r="FK126" s="36" t="str">
        <f>IF($FH126="","",SUM($FN126:$FN$7000))</f>
        <v/>
      </c>
    </row>
    <row r="127" spans="149:167">
      <c r="ES127" s="29"/>
      <c r="EV127" s="28">
        <f t="shared" si="3"/>
        <v>0</v>
      </c>
      <c r="FH127" s="29" t="str">
        <f t="shared" si="4"/>
        <v/>
      </c>
      <c r="FJ127" s="36" t="str">
        <f>IF($FH127="","",SUM($FN127:$FN$7000))</f>
        <v/>
      </c>
      <c r="FK127" s="36" t="str">
        <f>IF($FH127="","",SUM($FN127:$FN$7000))</f>
        <v/>
      </c>
    </row>
    <row r="128" spans="149:167">
      <c r="ES128" s="29"/>
      <c r="EV128" s="28">
        <f t="shared" si="3"/>
        <v>0</v>
      </c>
      <c r="FH128" s="29" t="str">
        <f t="shared" si="4"/>
        <v/>
      </c>
      <c r="FJ128" s="36" t="str">
        <f>IF($FH128="","",SUM($FN128:$FN$7000))</f>
        <v/>
      </c>
      <c r="FK128" s="36" t="str">
        <f>IF($FH128="","",SUM($FN128:$FN$7000))</f>
        <v/>
      </c>
    </row>
    <row r="129" spans="149:167">
      <c r="ES129" s="29"/>
      <c r="EV129" s="28">
        <f t="shared" si="3"/>
        <v>0</v>
      </c>
      <c r="FH129" s="29" t="str">
        <f t="shared" si="4"/>
        <v/>
      </c>
      <c r="FJ129" s="36" t="str">
        <f>IF($FH129="","",SUM($FN129:$FN$7000))</f>
        <v/>
      </c>
      <c r="FK129" s="36" t="str">
        <f>IF($FH129="","",SUM($FN129:$FN$7000))</f>
        <v/>
      </c>
    </row>
    <row r="130" spans="149:167">
      <c r="ES130" s="29"/>
      <c r="EV130" s="28">
        <f t="shared" si="3"/>
        <v>0</v>
      </c>
      <c r="FH130" s="29" t="str">
        <f t="shared" si="4"/>
        <v/>
      </c>
      <c r="FJ130" s="36" t="str">
        <f>IF($FH130="","",SUM($FN130:$FN$7000))</f>
        <v/>
      </c>
      <c r="FK130" s="36" t="str">
        <f>IF($FH130="","",SUM($FN130:$FN$7000))</f>
        <v/>
      </c>
    </row>
    <row r="131" spans="149:167">
      <c r="ES131" s="29"/>
      <c r="EV131" s="28">
        <f t="shared" si="3"/>
        <v>0</v>
      </c>
      <c r="FH131" s="29" t="str">
        <f t="shared" si="4"/>
        <v/>
      </c>
      <c r="FJ131" s="36" t="str">
        <f>IF($FH131="","",SUM($FN131:$FN$7000))</f>
        <v/>
      </c>
      <c r="FK131" s="36" t="str">
        <f>IF($FH131="","",SUM($FN131:$FN$7000))</f>
        <v/>
      </c>
    </row>
    <row r="132" spans="149:167">
      <c r="ES132" s="29"/>
      <c r="EV132" s="28">
        <f t="shared" si="3"/>
        <v>0</v>
      </c>
      <c r="FH132" s="29" t="str">
        <f t="shared" si="4"/>
        <v/>
      </c>
      <c r="FJ132" s="36" t="str">
        <f>IF($FH132="","",SUM($FN132:$FN$7000))</f>
        <v/>
      </c>
      <c r="FK132" s="36" t="str">
        <f>IF($FH132="","",SUM($FN132:$FN$7000))</f>
        <v/>
      </c>
    </row>
    <row r="133" spans="149:167">
      <c r="ES133" s="29"/>
      <c r="EV133" s="28">
        <f t="shared" si="3"/>
        <v>0</v>
      </c>
      <c r="FH133" s="29" t="str">
        <f t="shared" si="4"/>
        <v/>
      </c>
      <c r="FJ133" s="36" t="str">
        <f>IF($FH133="","",SUM($FN133:$FN$7000))</f>
        <v/>
      </c>
      <c r="FK133" s="36" t="str">
        <f>IF($FH133="","",SUM($FN133:$FN$7000))</f>
        <v/>
      </c>
    </row>
    <row r="134" spans="149:167">
      <c r="ES134" s="29"/>
      <c r="EV134" s="28">
        <f t="shared" si="3"/>
        <v>0</v>
      </c>
      <c r="FH134" s="29" t="str">
        <f t="shared" si="4"/>
        <v/>
      </c>
      <c r="FJ134" s="36" t="str">
        <f>IF($FH134="","",SUM($FN134:$FN$7000))</f>
        <v/>
      </c>
      <c r="FK134" s="36" t="str">
        <f>IF($FH134="","",SUM($FN134:$FN$7000))</f>
        <v/>
      </c>
    </row>
    <row r="135" spans="149:167">
      <c r="ES135" s="29"/>
      <c r="EV135" s="28">
        <f t="shared" si="3"/>
        <v>0</v>
      </c>
      <c r="FH135" s="29" t="str">
        <f t="shared" si="4"/>
        <v/>
      </c>
      <c r="FJ135" s="36" t="str">
        <f>IF($FH135="","",SUM($FN135:$FN$7000))</f>
        <v/>
      </c>
      <c r="FK135" s="36" t="str">
        <f>IF($FH135="","",SUM($FN135:$FN$7000))</f>
        <v/>
      </c>
    </row>
    <row r="136" spans="149:167">
      <c r="ES136" s="29"/>
      <c r="EV136" s="28">
        <f t="shared" si="3"/>
        <v>0</v>
      </c>
      <c r="FH136" s="29" t="str">
        <f t="shared" si="4"/>
        <v/>
      </c>
      <c r="FJ136" s="36" t="str">
        <f>IF($FH136="","",SUM($FN136:$FN$7000))</f>
        <v/>
      </c>
      <c r="FK136" s="36" t="str">
        <f>IF($FH136="","",SUM($FN136:$FN$7000))</f>
        <v/>
      </c>
    </row>
    <row r="137" spans="149:167">
      <c r="ES137" s="29"/>
      <c r="EV137" s="28">
        <f t="shared" si="3"/>
        <v>0</v>
      </c>
      <c r="FH137" s="29" t="str">
        <f t="shared" si="4"/>
        <v/>
      </c>
      <c r="FJ137" s="36" t="str">
        <f>IF($FH137="","",SUM($FN137:$FN$7000))</f>
        <v/>
      </c>
      <c r="FK137" s="36" t="str">
        <f>IF($FH137="","",SUM($FN137:$FN$7000))</f>
        <v/>
      </c>
    </row>
    <row r="138" spans="149:167">
      <c r="ES138" s="29"/>
      <c r="EV138" s="28">
        <f t="shared" si="3"/>
        <v>0</v>
      </c>
      <c r="FH138" s="29" t="str">
        <f t="shared" si="4"/>
        <v/>
      </c>
      <c r="FJ138" s="36" t="str">
        <f>IF($FH138="","",SUM($FN138:$FN$7000))</f>
        <v/>
      </c>
      <c r="FK138" s="36" t="str">
        <f>IF($FH138="","",SUM($FN138:$FN$7000))</f>
        <v/>
      </c>
    </row>
    <row r="139" spans="149:167">
      <c r="ES139" s="29"/>
      <c r="EV139" s="28">
        <f t="shared" ref="EV139:EV202" si="5">EU139-ET139</f>
        <v>0</v>
      </c>
      <c r="FH139" s="29" t="str">
        <f t="shared" ref="FH139:FH202" si="6">IF(FL139="","",FL139)</f>
        <v/>
      </c>
      <c r="FJ139" s="36" t="str">
        <f>IF($FH139="","",SUM($FN139:$FN$7000))</f>
        <v/>
      </c>
      <c r="FK139" s="36" t="str">
        <f>IF($FH139="","",SUM($FN139:$FN$7000))</f>
        <v/>
      </c>
    </row>
    <row r="140" spans="149:167">
      <c r="ES140" s="29"/>
      <c r="EV140" s="28">
        <f t="shared" si="5"/>
        <v>0</v>
      </c>
      <c r="FH140" s="29" t="str">
        <f t="shared" si="6"/>
        <v/>
      </c>
      <c r="FJ140" s="36" t="str">
        <f>IF($FH140="","",SUM($FN140:$FN$7000))</f>
        <v/>
      </c>
      <c r="FK140" s="36" t="str">
        <f>IF($FH140="","",SUM($FN140:$FN$7000))</f>
        <v/>
      </c>
    </row>
    <row r="141" spans="149:167">
      <c r="ES141" s="29"/>
      <c r="EV141" s="28">
        <f t="shared" si="5"/>
        <v>0</v>
      </c>
      <c r="FH141" s="29" t="str">
        <f t="shared" si="6"/>
        <v/>
      </c>
      <c r="FJ141" s="36" t="str">
        <f>IF($FH141="","",SUM($FN141:$FN$7000))</f>
        <v/>
      </c>
      <c r="FK141" s="36" t="str">
        <f>IF($FH141="","",SUM($FN141:$FN$7000))</f>
        <v/>
      </c>
    </row>
    <row r="142" spans="149:167">
      <c r="ES142" s="29"/>
      <c r="EV142" s="28">
        <f t="shared" si="5"/>
        <v>0</v>
      </c>
      <c r="FH142" s="29" t="str">
        <f t="shared" si="6"/>
        <v/>
      </c>
      <c r="FJ142" s="36" t="str">
        <f>IF($FH142="","",SUM($FN142:$FN$7000))</f>
        <v/>
      </c>
      <c r="FK142" s="36" t="str">
        <f>IF($FH142="","",SUM($FN142:$FN$7000))</f>
        <v/>
      </c>
    </row>
    <row r="143" spans="149:167">
      <c r="ES143" s="29"/>
      <c r="EV143" s="28">
        <f t="shared" si="5"/>
        <v>0</v>
      </c>
      <c r="FH143" s="29" t="str">
        <f t="shared" si="6"/>
        <v/>
      </c>
      <c r="FJ143" s="36" t="str">
        <f>IF($FH143="","",SUM($FN143:$FN$7000))</f>
        <v/>
      </c>
      <c r="FK143" s="36" t="str">
        <f>IF($FH143="","",SUM($FN143:$FN$7000))</f>
        <v/>
      </c>
    </row>
    <row r="144" spans="149:167">
      <c r="ES144" s="29"/>
      <c r="EV144" s="28">
        <f t="shared" si="5"/>
        <v>0</v>
      </c>
      <c r="FH144" s="29" t="str">
        <f t="shared" si="6"/>
        <v/>
      </c>
      <c r="FJ144" s="36" t="str">
        <f>IF($FH144="","",SUM($FN144:$FN$7000))</f>
        <v/>
      </c>
      <c r="FK144" s="36" t="str">
        <f>IF($FH144="","",SUM($FN144:$FN$7000))</f>
        <v/>
      </c>
    </row>
    <row r="145" spans="149:167">
      <c r="ES145" s="29"/>
      <c r="EV145" s="28">
        <f t="shared" si="5"/>
        <v>0</v>
      </c>
      <c r="FH145" s="29" t="str">
        <f t="shared" si="6"/>
        <v/>
      </c>
      <c r="FJ145" s="36" t="str">
        <f>IF($FH145="","",SUM($FN145:$FN$7000))</f>
        <v/>
      </c>
      <c r="FK145" s="36" t="str">
        <f>IF($FH145="","",SUM($FN145:$FN$7000))</f>
        <v/>
      </c>
    </row>
    <row r="146" spans="149:167">
      <c r="ES146" s="29"/>
      <c r="EV146" s="28">
        <f t="shared" si="5"/>
        <v>0</v>
      </c>
      <c r="FH146" s="29" t="str">
        <f t="shared" si="6"/>
        <v/>
      </c>
      <c r="FJ146" s="36" t="str">
        <f>IF($FH146="","",SUM($FN146:$FN$7000))</f>
        <v/>
      </c>
      <c r="FK146" s="36" t="str">
        <f>IF($FH146="","",SUM($FN146:$FN$7000))</f>
        <v/>
      </c>
    </row>
    <row r="147" spans="149:167">
      <c r="ES147" s="29"/>
      <c r="EV147" s="28">
        <f t="shared" si="5"/>
        <v>0</v>
      </c>
      <c r="FH147" s="29" t="str">
        <f t="shared" si="6"/>
        <v/>
      </c>
      <c r="FJ147" s="36" t="str">
        <f>IF($FH147="","",SUM($FN147:$FN$7000))</f>
        <v/>
      </c>
      <c r="FK147" s="36" t="str">
        <f>IF($FH147="","",SUM($FN147:$FN$7000))</f>
        <v/>
      </c>
    </row>
    <row r="148" spans="149:167">
      <c r="ES148" s="29"/>
      <c r="EV148" s="28">
        <f t="shared" si="5"/>
        <v>0</v>
      </c>
      <c r="FH148" s="29" t="str">
        <f t="shared" si="6"/>
        <v/>
      </c>
      <c r="FJ148" s="36" t="str">
        <f>IF($FH148="","",SUM($FN148:$FN$7000))</f>
        <v/>
      </c>
      <c r="FK148" s="36" t="str">
        <f>IF($FH148="","",SUM($FN148:$FN$7000))</f>
        <v/>
      </c>
    </row>
    <row r="149" spans="149:167">
      <c r="ES149" s="29"/>
      <c r="EV149" s="28">
        <f t="shared" si="5"/>
        <v>0</v>
      </c>
      <c r="FH149" s="29" t="str">
        <f t="shared" si="6"/>
        <v/>
      </c>
      <c r="FJ149" s="36" t="str">
        <f>IF($FH149="","",SUM($FN149:$FN$7000))</f>
        <v/>
      </c>
      <c r="FK149" s="36" t="str">
        <f>IF($FH149="","",SUM($FN149:$FN$7000))</f>
        <v/>
      </c>
    </row>
    <row r="150" spans="149:167">
      <c r="ES150" s="29"/>
      <c r="EV150" s="28">
        <f t="shared" si="5"/>
        <v>0</v>
      </c>
      <c r="FH150" s="29" t="str">
        <f t="shared" si="6"/>
        <v/>
      </c>
      <c r="FJ150" s="36" t="str">
        <f>IF($FH150="","",SUM($FN150:$FN$7000))</f>
        <v/>
      </c>
      <c r="FK150" s="36" t="str">
        <f>IF($FH150="","",SUM($FN150:$FN$7000))</f>
        <v/>
      </c>
    </row>
    <row r="151" spans="149:167">
      <c r="ES151" s="29"/>
      <c r="EV151" s="28">
        <f t="shared" si="5"/>
        <v>0</v>
      </c>
      <c r="FH151" s="29" t="str">
        <f t="shared" si="6"/>
        <v/>
      </c>
      <c r="FJ151" s="36" t="str">
        <f>IF($FH151="","",SUM($FN151:$FN$7000))</f>
        <v/>
      </c>
      <c r="FK151" s="36" t="str">
        <f>IF($FH151="","",SUM($FN151:$FN$7000))</f>
        <v/>
      </c>
    </row>
    <row r="152" spans="149:167">
      <c r="ES152" s="29"/>
      <c r="EV152" s="28">
        <f t="shared" si="5"/>
        <v>0</v>
      </c>
      <c r="FH152" s="29" t="str">
        <f t="shared" si="6"/>
        <v/>
      </c>
      <c r="FJ152" s="36" t="str">
        <f>IF($FH152="","",SUM($FN152:$FN$7000))</f>
        <v/>
      </c>
      <c r="FK152" s="36" t="str">
        <f>IF($FH152="","",SUM($FN152:$FN$7000))</f>
        <v/>
      </c>
    </row>
    <row r="153" spans="149:167">
      <c r="ES153" s="29"/>
      <c r="EV153" s="28">
        <f t="shared" si="5"/>
        <v>0</v>
      </c>
      <c r="FH153" s="29" t="str">
        <f t="shared" si="6"/>
        <v/>
      </c>
      <c r="FJ153" s="36" t="str">
        <f>IF($FH153="","",SUM($FN153:$FN$7000))</f>
        <v/>
      </c>
      <c r="FK153" s="36" t="str">
        <f>IF($FH153="","",SUM($FN153:$FN$7000))</f>
        <v/>
      </c>
    </row>
    <row r="154" spans="149:167">
      <c r="ES154" s="29"/>
      <c r="EV154" s="28">
        <f t="shared" si="5"/>
        <v>0</v>
      </c>
      <c r="FH154" s="29" t="str">
        <f t="shared" si="6"/>
        <v/>
      </c>
      <c r="FJ154" s="36" t="str">
        <f>IF($FH154="","",SUM($FN154:$FN$7000))</f>
        <v/>
      </c>
      <c r="FK154" s="36" t="str">
        <f>IF($FH154="","",SUM($FN154:$FN$7000))</f>
        <v/>
      </c>
    </row>
    <row r="155" spans="149:167">
      <c r="ES155" s="29"/>
      <c r="EV155" s="28">
        <f t="shared" si="5"/>
        <v>0</v>
      </c>
      <c r="FH155" s="29" t="str">
        <f t="shared" si="6"/>
        <v/>
      </c>
      <c r="FJ155" s="36" t="str">
        <f>IF($FH155="","",SUM($FN155:$FN$7000))</f>
        <v/>
      </c>
      <c r="FK155" s="36" t="str">
        <f>IF($FH155="","",SUM($FN155:$FN$7000))</f>
        <v/>
      </c>
    </row>
    <row r="156" spans="149:167">
      <c r="ES156" s="29"/>
      <c r="EV156" s="28">
        <f t="shared" si="5"/>
        <v>0</v>
      </c>
      <c r="FH156" s="29" t="str">
        <f t="shared" si="6"/>
        <v/>
      </c>
      <c r="FJ156" s="36" t="str">
        <f>IF($FH156="","",SUM($FN156:$FN$7000))</f>
        <v/>
      </c>
      <c r="FK156" s="36" t="str">
        <f>IF($FH156="","",SUM($FN156:$FN$7000))</f>
        <v/>
      </c>
    </row>
    <row r="157" spans="149:167">
      <c r="ES157" s="29"/>
      <c r="EV157" s="28">
        <f t="shared" si="5"/>
        <v>0</v>
      </c>
      <c r="FH157" s="29" t="str">
        <f t="shared" si="6"/>
        <v/>
      </c>
      <c r="FJ157" s="36" t="str">
        <f>IF($FH157="","",SUM($FN157:$FN$7000))</f>
        <v/>
      </c>
      <c r="FK157" s="36" t="str">
        <f>IF($FH157="","",SUM($FN157:$FN$7000))</f>
        <v/>
      </c>
    </row>
    <row r="158" spans="149:167">
      <c r="ES158" s="29"/>
      <c r="EV158" s="28">
        <f t="shared" si="5"/>
        <v>0</v>
      </c>
      <c r="FH158" s="29" t="str">
        <f t="shared" si="6"/>
        <v/>
      </c>
      <c r="FJ158" s="36" t="str">
        <f>IF($FH158="","",SUM($FN158:$FN$7000))</f>
        <v/>
      </c>
      <c r="FK158" s="36" t="str">
        <f>IF($FH158="","",SUM($FN158:$FN$7000))</f>
        <v/>
      </c>
    </row>
    <row r="159" spans="149:167">
      <c r="ES159" s="29"/>
      <c r="EV159" s="28">
        <f t="shared" si="5"/>
        <v>0</v>
      </c>
      <c r="FH159" s="29" t="str">
        <f t="shared" si="6"/>
        <v/>
      </c>
      <c r="FJ159" s="36" t="str">
        <f>IF($FH159="","",SUM($FN159:$FN$7000))</f>
        <v/>
      </c>
      <c r="FK159" s="36" t="str">
        <f>IF($FH159="","",SUM($FN159:$FN$7000))</f>
        <v/>
      </c>
    </row>
    <row r="160" spans="149:167">
      <c r="ES160" s="29"/>
      <c r="EV160" s="28">
        <f t="shared" si="5"/>
        <v>0</v>
      </c>
      <c r="FH160" s="29" t="str">
        <f t="shared" si="6"/>
        <v/>
      </c>
      <c r="FJ160" s="36" t="str">
        <f>IF($FH160="","",SUM($FN160:$FN$7000))</f>
        <v/>
      </c>
      <c r="FK160" s="36" t="str">
        <f>IF($FH160="","",SUM($FN160:$FN$7000))</f>
        <v/>
      </c>
    </row>
    <row r="161" spans="149:167">
      <c r="ES161" s="29"/>
      <c r="EV161" s="28">
        <f t="shared" si="5"/>
        <v>0</v>
      </c>
      <c r="FH161" s="29" t="str">
        <f t="shared" si="6"/>
        <v/>
      </c>
      <c r="FJ161" s="36" t="str">
        <f>IF($FH161="","",SUM($FN161:$FN$7000))</f>
        <v/>
      </c>
      <c r="FK161" s="36" t="str">
        <f>IF($FH161="","",SUM($FN161:$FN$7000))</f>
        <v/>
      </c>
    </row>
    <row r="162" spans="149:167">
      <c r="ES162" s="29"/>
      <c r="EV162" s="28">
        <f t="shared" si="5"/>
        <v>0</v>
      </c>
      <c r="FH162" s="29" t="str">
        <f t="shared" si="6"/>
        <v/>
      </c>
      <c r="FJ162" s="36" t="str">
        <f>IF($FH162="","",SUM($FN162:$FN$7000))</f>
        <v/>
      </c>
      <c r="FK162" s="36" t="str">
        <f>IF($FH162="","",SUM($FN162:$FN$7000))</f>
        <v/>
      </c>
    </row>
    <row r="163" spans="149:167">
      <c r="ES163" s="29"/>
      <c r="EV163" s="28">
        <f t="shared" si="5"/>
        <v>0</v>
      </c>
      <c r="FH163" s="29" t="str">
        <f t="shared" si="6"/>
        <v/>
      </c>
      <c r="FJ163" s="36" t="str">
        <f>IF($FH163="","",SUM($FN163:$FN$7000))</f>
        <v/>
      </c>
      <c r="FK163" s="36" t="str">
        <f>IF($FH163="","",SUM($FN163:$FN$7000))</f>
        <v/>
      </c>
    </row>
    <row r="164" spans="149:167">
      <c r="ES164" s="29"/>
      <c r="EV164" s="28">
        <f t="shared" si="5"/>
        <v>0</v>
      </c>
      <c r="FH164" s="29" t="str">
        <f t="shared" si="6"/>
        <v/>
      </c>
      <c r="FJ164" s="36" t="str">
        <f>IF($FH164="","",SUM($FN164:$FN$7000))</f>
        <v/>
      </c>
      <c r="FK164" s="36" t="str">
        <f>IF($FH164="","",SUM($FN164:$FN$7000))</f>
        <v/>
      </c>
    </row>
    <row r="165" spans="149:167">
      <c r="ES165" s="29"/>
      <c r="EV165" s="28">
        <f t="shared" si="5"/>
        <v>0</v>
      </c>
      <c r="FH165" s="29" t="str">
        <f t="shared" si="6"/>
        <v/>
      </c>
      <c r="FJ165" s="36" t="str">
        <f>IF($FH165="","",SUM($FN165:$FN$7000))</f>
        <v/>
      </c>
      <c r="FK165" s="36" t="str">
        <f>IF($FH165="","",SUM($FN165:$FN$7000))</f>
        <v/>
      </c>
    </row>
    <row r="166" spans="149:167">
      <c r="ES166" s="29"/>
      <c r="EV166" s="28">
        <f t="shared" si="5"/>
        <v>0</v>
      </c>
      <c r="FH166" s="29" t="str">
        <f t="shared" si="6"/>
        <v/>
      </c>
      <c r="FJ166" s="36" t="str">
        <f>IF($FH166="","",SUM($FN166:$FN$7000))</f>
        <v/>
      </c>
      <c r="FK166" s="36" t="str">
        <f>IF($FH166="","",SUM($FN166:$FN$7000))</f>
        <v/>
      </c>
    </row>
    <row r="167" spans="149:167">
      <c r="ES167" s="29"/>
      <c r="EV167" s="28">
        <f t="shared" si="5"/>
        <v>0</v>
      </c>
      <c r="FH167" s="29" t="str">
        <f t="shared" si="6"/>
        <v/>
      </c>
      <c r="FJ167" s="36" t="str">
        <f>IF($FH167="","",SUM($FN167:$FN$7000))</f>
        <v/>
      </c>
      <c r="FK167" s="36" t="str">
        <f>IF($FH167="","",SUM($FN167:$FN$7000))</f>
        <v/>
      </c>
    </row>
    <row r="168" spans="149:167">
      <c r="ES168" s="29"/>
      <c r="EV168" s="28">
        <f t="shared" si="5"/>
        <v>0</v>
      </c>
      <c r="FH168" s="29" t="str">
        <f t="shared" si="6"/>
        <v/>
      </c>
      <c r="FJ168" s="36" t="str">
        <f>IF($FH168="","",SUM($FN168:$FN$7000))</f>
        <v/>
      </c>
      <c r="FK168" s="36" t="str">
        <f>IF($FH168="","",SUM($FN168:$FN$7000))</f>
        <v/>
      </c>
    </row>
    <row r="169" spans="149:167">
      <c r="ES169" s="29"/>
      <c r="EV169" s="28">
        <f t="shared" si="5"/>
        <v>0</v>
      </c>
      <c r="FH169" s="29" t="str">
        <f t="shared" si="6"/>
        <v/>
      </c>
      <c r="FJ169" s="36" t="str">
        <f>IF($FH169="","",SUM($FN169:$FN$7000))</f>
        <v/>
      </c>
      <c r="FK169" s="36" t="str">
        <f>IF($FH169="","",SUM($FN169:$FN$7000))</f>
        <v/>
      </c>
    </row>
    <row r="170" spans="149:167">
      <c r="ES170" s="29"/>
      <c r="EV170" s="28">
        <f t="shared" si="5"/>
        <v>0</v>
      </c>
      <c r="FH170" s="29" t="str">
        <f t="shared" si="6"/>
        <v/>
      </c>
      <c r="FJ170" s="36" t="str">
        <f>IF($FH170="","",SUM($FN170:$FN$7000))</f>
        <v/>
      </c>
      <c r="FK170" s="36" t="str">
        <f>IF($FH170="","",SUM($FN170:$FN$7000))</f>
        <v/>
      </c>
    </row>
    <row r="171" spans="149:167">
      <c r="ES171" s="29"/>
      <c r="EV171" s="28">
        <f t="shared" si="5"/>
        <v>0</v>
      </c>
      <c r="FH171" s="29" t="str">
        <f t="shared" si="6"/>
        <v/>
      </c>
      <c r="FJ171" s="36" t="str">
        <f>IF($FH171="","",SUM($FN171:$FN$7000))</f>
        <v/>
      </c>
      <c r="FK171" s="36" t="str">
        <f>IF($FH171="","",SUM($FN171:$FN$7000))</f>
        <v/>
      </c>
    </row>
    <row r="172" spans="149:167">
      <c r="ES172" s="29"/>
      <c r="EV172" s="28">
        <f t="shared" si="5"/>
        <v>0</v>
      </c>
      <c r="FH172" s="29" t="str">
        <f t="shared" si="6"/>
        <v/>
      </c>
      <c r="FJ172" s="36" t="str">
        <f>IF($FH172="","",SUM($FN172:$FN$7000))</f>
        <v/>
      </c>
      <c r="FK172" s="36" t="str">
        <f>IF($FH172="","",SUM($FN172:$FN$7000))</f>
        <v/>
      </c>
    </row>
    <row r="173" spans="149:167">
      <c r="ES173" s="29"/>
      <c r="EV173" s="28">
        <f t="shared" si="5"/>
        <v>0</v>
      </c>
      <c r="FH173" s="29" t="str">
        <f t="shared" si="6"/>
        <v/>
      </c>
      <c r="FJ173" s="36" t="str">
        <f>IF($FH173="","",SUM($FN173:$FN$7000))</f>
        <v/>
      </c>
      <c r="FK173" s="36" t="str">
        <f>IF($FH173="","",SUM($FN173:$FN$7000))</f>
        <v/>
      </c>
    </row>
    <row r="174" spans="149:167">
      <c r="ES174" s="29"/>
      <c r="EV174" s="28">
        <f t="shared" si="5"/>
        <v>0</v>
      </c>
      <c r="FH174" s="29" t="str">
        <f t="shared" si="6"/>
        <v/>
      </c>
      <c r="FJ174" s="36" t="str">
        <f>IF($FH174="","",SUM($FN174:$FN$7000))</f>
        <v/>
      </c>
      <c r="FK174" s="36" t="str">
        <f>IF($FH174="","",SUM($FN174:$FN$7000))</f>
        <v/>
      </c>
    </row>
    <row r="175" spans="149:167">
      <c r="ES175" s="29"/>
      <c r="EV175" s="28">
        <f t="shared" si="5"/>
        <v>0</v>
      </c>
      <c r="FH175" s="29" t="str">
        <f t="shared" si="6"/>
        <v/>
      </c>
      <c r="FJ175" s="36" t="str">
        <f>IF($FH175="","",SUM($FN175:$FN$7000))</f>
        <v/>
      </c>
      <c r="FK175" s="36" t="str">
        <f>IF($FH175="","",SUM($FN175:$FN$7000))</f>
        <v/>
      </c>
    </row>
    <row r="176" spans="149:167">
      <c r="ES176" s="29"/>
      <c r="EV176" s="28">
        <f t="shared" si="5"/>
        <v>0</v>
      </c>
      <c r="FH176" s="29" t="str">
        <f t="shared" si="6"/>
        <v/>
      </c>
      <c r="FJ176" s="36" t="str">
        <f>IF($FH176="","",SUM($FN176:$FN$7000))</f>
        <v/>
      </c>
      <c r="FK176" s="36" t="str">
        <f>IF($FH176="","",SUM($FN176:$FN$7000))</f>
        <v/>
      </c>
    </row>
    <row r="177" spans="149:167">
      <c r="ES177" s="29"/>
      <c r="EV177" s="28">
        <f t="shared" si="5"/>
        <v>0</v>
      </c>
      <c r="FH177" s="29" t="str">
        <f t="shared" si="6"/>
        <v/>
      </c>
      <c r="FJ177" s="36" t="str">
        <f>IF($FH177="","",SUM($FN177:$FN$7000))</f>
        <v/>
      </c>
      <c r="FK177" s="36" t="str">
        <f>IF($FH177="","",SUM($FN177:$FN$7000))</f>
        <v/>
      </c>
    </row>
    <row r="178" spans="149:167">
      <c r="ES178" s="29"/>
      <c r="EV178" s="28">
        <f t="shared" si="5"/>
        <v>0</v>
      </c>
      <c r="FH178" s="29" t="str">
        <f t="shared" si="6"/>
        <v/>
      </c>
      <c r="FJ178" s="36" t="str">
        <f>IF($FH178="","",SUM($FN178:$FN$7000))</f>
        <v/>
      </c>
      <c r="FK178" s="36" t="str">
        <f>IF($FH178="","",SUM($FN178:$FN$7000))</f>
        <v/>
      </c>
    </row>
    <row r="179" spans="149:167">
      <c r="ES179" s="29"/>
      <c r="EV179" s="28">
        <f t="shared" si="5"/>
        <v>0</v>
      </c>
      <c r="FH179" s="29" t="str">
        <f t="shared" si="6"/>
        <v/>
      </c>
      <c r="FJ179" s="36" t="str">
        <f>IF($FH179="","",SUM($FN179:$FN$7000))</f>
        <v/>
      </c>
      <c r="FK179" s="36" t="str">
        <f>IF($FH179="","",SUM($FN179:$FN$7000))</f>
        <v/>
      </c>
    </row>
    <row r="180" spans="149:167">
      <c r="ES180" s="29"/>
      <c r="EV180" s="28">
        <f t="shared" si="5"/>
        <v>0</v>
      </c>
      <c r="FH180" s="29" t="str">
        <f t="shared" si="6"/>
        <v/>
      </c>
      <c r="FJ180" s="36" t="str">
        <f>IF($FH180="","",SUM($FN180:$FN$7000))</f>
        <v/>
      </c>
      <c r="FK180" s="36" t="str">
        <f>IF($FH180="","",SUM($FN180:$FN$7000))</f>
        <v/>
      </c>
    </row>
    <row r="181" spans="149:167">
      <c r="ES181" s="29"/>
      <c r="EV181" s="28">
        <f t="shared" si="5"/>
        <v>0</v>
      </c>
      <c r="FH181" s="29" t="str">
        <f t="shared" si="6"/>
        <v/>
      </c>
      <c r="FJ181" s="36" t="str">
        <f>IF($FH181="","",SUM($FN181:$FN$7000))</f>
        <v/>
      </c>
      <c r="FK181" s="36" t="str">
        <f>IF($FH181="","",SUM($FN181:$FN$7000))</f>
        <v/>
      </c>
    </row>
    <row r="182" spans="149:167">
      <c r="ES182" s="29"/>
      <c r="EV182" s="28">
        <f t="shared" si="5"/>
        <v>0</v>
      </c>
      <c r="FH182" s="29" t="str">
        <f t="shared" si="6"/>
        <v/>
      </c>
      <c r="FJ182" s="36" t="str">
        <f>IF($FH182="","",SUM($FN182:$FN$7000))</f>
        <v/>
      </c>
      <c r="FK182" s="36" t="str">
        <f>IF($FH182="","",SUM($FN182:$FN$7000))</f>
        <v/>
      </c>
    </row>
    <row r="183" spans="149:167">
      <c r="ES183" s="29"/>
      <c r="EV183" s="28">
        <f t="shared" si="5"/>
        <v>0</v>
      </c>
      <c r="FH183" s="29" t="str">
        <f t="shared" si="6"/>
        <v/>
      </c>
      <c r="FJ183" s="36" t="str">
        <f>IF($FH183="","",SUM($FN183:$FN$7000))</f>
        <v/>
      </c>
      <c r="FK183" s="36" t="str">
        <f>IF($FH183="","",SUM($FN183:$FN$7000))</f>
        <v/>
      </c>
    </row>
    <row r="184" spans="149:167">
      <c r="ES184" s="29"/>
      <c r="EV184" s="28">
        <f t="shared" si="5"/>
        <v>0</v>
      </c>
      <c r="FH184" s="29" t="str">
        <f t="shared" si="6"/>
        <v/>
      </c>
      <c r="FJ184" s="36" t="str">
        <f>IF($FH184="","",SUM($FN184:$FN$7000))</f>
        <v/>
      </c>
      <c r="FK184" s="36" t="str">
        <f>IF($FH184="","",SUM($FN184:$FN$7000))</f>
        <v/>
      </c>
    </row>
    <row r="185" spans="149:167">
      <c r="ES185" s="29"/>
      <c r="EV185" s="28">
        <f t="shared" si="5"/>
        <v>0</v>
      </c>
      <c r="FH185" s="29" t="str">
        <f t="shared" si="6"/>
        <v/>
      </c>
      <c r="FJ185" s="36" t="str">
        <f>IF($FH185="","",SUM($FN185:$FN$7000))</f>
        <v/>
      </c>
      <c r="FK185" s="36" t="str">
        <f>IF($FH185="","",SUM($FN185:$FN$7000))</f>
        <v/>
      </c>
    </row>
    <row r="186" spans="149:167">
      <c r="ES186" s="29"/>
      <c r="EV186" s="28">
        <f t="shared" si="5"/>
        <v>0</v>
      </c>
      <c r="FH186" s="29" t="str">
        <f t="shared" si="6"/>
        <v/>
      </c>
      <c r="FJ186" s="36" t="str">
        <f>IF($FH186="","",SUM($FN186:$FN$7000))</f>
        <v/>
      </c>
      <c r="FK186" s="36" t="str">
        <f>IF($FH186="","",SUM($FN186:$FN$7000))</f>
        <v/>
      </c>
    </row>
    <row r="187" spans="149:167">
      <c r="ES187" s="29"/>
      <c r="EV187" s="28">
        <f t="shared" si="5"/>
        <v>0</v>
      </c>
      <c r="FH187" s="29" t="str">
        <f t="shared" si="6"/>
        <v/>
      </c>
      <c r="FJ187" s="36" t="str">
        <f>IF($FH187="","",SUM($FN187:$FN$7000))</f>
        <v/>
      </c>
      <c r="FK187" s="36" t="str">
        <f>IF($FH187="","",SUM($FN187:$FN$7000))</f>
        <v/>
      </c>
    </row>
    <row r="188" spans="149:167">
      <c r="ES188" s="29"/>
      <c r="EV188" s="28">
        <f t="shared" si="5"/>
        <v>0</v>
      </c>
      <c r="FH188" s="29" t="str">
        <f t="shared" si="6"/>
        <v/>
      </c>
      <c r="FJ188" s="36" t="str">
        <f>IF($FH188="","",SUM($FN188:$FN$7000))</f>
        <v/>
      </c>
      <c r="FK188" s="36" t="str">
        <f>IF($FH188="","",SUM($FN188:$FN$7000))</f>
        <v/>
      </c>
    </row>
    <row r="189" spans="149:167">
      <c r="ES189" s="29"/>
      <c r="EV189" s="28">
        <f t="shared" si="5"/>
        <v>0</v>
      </c>
      <c r="FH189" s="29" t="str">
        <f t="shared" si="6"/>
        <v/>
      </c>
      <c r="FJ189" s="36" t="str">
        <f>IF($FH189="","",SUM($FN189:$FN$7000))</f>
        <v/>
      </c>
      <c r="FK189" s="36" t="str">
        <f>IF($FH189="","",SUM($FN189:$FN$7000))</f>
        <v/>
      </c>
    </row>
    <row r="190" spans="149:167">
      <c r="ES190" s="29"/>
      <c r="EV190" s="28">
        <f t="shared" si="5"/>
        <v>0</v>
      </c>
      <c r="FH190" s="29" t="str">
        <f t="shared" si="6"/>
        <v/>
      </c>
      <c r="FJ190" s="36" t="str">
        <f>IF($FH190="","",SUM($FN190:$FN$7000))</f>
        <v/>
      </c>
      <c r="FK190" s="36" t="str">
        <f>IF($FH190="","",SUM($FN190:$FN$7000))</f>
        <v/>
      </c>
    </row>
    <row r="191" spans="149:167">
      <c r="ES191" s="29"/>
      <c r="EV191" s="28">
        <f t="shared" si="5"/>
        <v>0</v>
      </c>
      <c r="FH191" s="29" t="str">
        <f t="shared" si="6"/>
        <v/>
      </c>
      <c r="FJ191" s="36" t="str">
        <f>IF($FH191="","",SUM($FN191:$FN$7000))</f>
        <v/>
      </c>
      <c r="FK191" s="36" t="str">
        <f>IF($FH191="","",SUM($FN191:$FN$7000))</f>
        <v/>
      </c>
    </row>
    <row r="192" spans="149:167">
      <c r="ES192" s="29"/>
      <c r="EV192" s="28">
        <f t="shared" si="5"/>
        <v>0</v>
      </c>
      <c r="FH192" s="29" t="str">
        <f t="shared" si="6"/>
        <v/>
      </c>
      <c r="FJ192" s="36" t="str">
        <f>IF($FH192="","",SUM($FN192:$FN$7000))</f>
        <v/>
      </c>
      <c r="FK192" s="36" t="str">
        <f>IF($FH192="","",SUM($FN192:$FN$7000))</f>
        <v/>
      </c>
    </row>
    <row r="193" spans="149:167">
      <c r="ES193" s="29"/>
      <c r="EV193" s="28">
        <f t="shared" si="5"/>
        <v>0</v>
      </c>
      <c r="FH193" s="29" t="str">
        <f t="shared" si="6"/>
        <v/>
      </c>
      <c r="FJ193" s="36" t="str">
        <f>IF($FH193="","",SUM($FN193:$FN$7000))</f>
        <v/>
      </c>
      <c r="FK193" s="36" t="str">
        <f>IF($FH193="","",SUM($FN193:$FN$7000))</f>
        <v/>
      </c>
    </row>
    <row r="194" spans="149:167">
      <c r="ES194" s="29"/>
      <c r="EV194" s="28">
        <f t="shared" si="5"/>
        <v>0</v>
      </c>
      <c r="FH194" s="29" t="str">
        <f t="shared" si="6"/>
        <v/>
      </c>
      <c r="FJ194" s="36" t="str">
        <f>IF($FH194="","",SUM($FN194:$FN$7000))</f>
        <v/>
      </c>
      <c r="FK194" s="36" t="str">
        <f>IF($FH194="","",SUM($FN194:$FN$7000))</f>
        <v/>
      </c>
    </row>
    <row r="195" spans="149:167">
      <c r="ES195" s="29"/>
      <c r="EV195" s="28">
        <f t="shared" si="5"/>
        <v>0</v>
      </c>
      <c r="FH195" s="29" t="str">
        <f t="shared" si="6"/>
        <v/>
      </c>
      <c r="FJ195" s="36" t="str">
        <f>IF($FH195="","",SUM($FN195:$FN$7000))</f>
        <v/>
      </c>
      <c r="FK195" s="36" t="str">
        <f>IF($FH195="","",SUM($FN195:$FN$7000))</f>
        <v/>
      </c>
    </row>
    <row r="196" spans="149:167">
      <c r="ES196" s="29"/>
      <c r="EV196" s="28">
        <f t="shared" si="5"/>
        <v>0</v>
      </c>
      <c r="FH196" s="29" t="str">
        <f t="shared" si="6"/>
        <v/>
      </c>
      <c r="FJ196" s="36" t="str">
        <f>IF($FH196="","",SUM($FN196:$FN$7000))</f>
        <v/>
      </c>
      <c r="FK196" s="36" t="str">
        <f>IF($FH196="","",SUM($FN196:$FN$7000))</f>
        <v/>
      </c>
    </row>
    <row r="197" spans="149:167">
      <c r="ES197" s="29"/>
      <c r="EV197" s="28">
        <f t="shared" si="5"/>
        <v>0</v>
      </c>
      <c r="FH197" s="29" t="str">
        <f t="shared" si="6"/>
        <v/>
      </c>
      <c r="FJ197" s="36" t="str">
        <f>IF($FH197="","",SUM($FN197:$FN$7000))</f>
        <v/>
      </c>
      <c r="FK197" s="36" t="str">
        <f>IF($FH197="","",SUM($FN197:$FN$7000))</f>
        <v/>
      </c>
    </row>
    <row r="198" spans="149:167">
      <c r="ES198" s="29"/>
      <c r="EV198" s="28">
        <f t="shared" si="5"/>
        <v>0</v>
      </c>
      <c r="FH198" s="29" t="str">
        <f t="shared" si="6"/>
        <v/>
      </c>
      <c r="FJ198" s="36" t="str">
        <f>IF($FH198="","",SUM($FN198:$FN$7000))</f>
        <v/>
      </c>
      <c r="FK198" s="36" t="str">
        <f>IF($FH198="","",SUM($FN198:$FN$7000))</f>
        <v/>
      </c>
    </row>
    <row r="199" spans="149:167">
      <c r="ES199" s="29"/>
      <c r="EV199" s="28">
        <f t="shared" si="5"/>
        <v>0</v>
      </c>
      <c r="FH199" s="29" t="str">
        <f t="shared" si="6"/>
        <v/>
      </c>
      <c r="FJ199" s="36" t="str">
        <f>IF($FH199="","",SUM($FN199:$FN$7000))</f>
        <v/>
      </c>
      <c r="FK199" s="36" t="str">
        <f>IF($FH199="","",SUM($FN199:$FN$7000))</f>
        <v/>
      </c>
    </row>
    <row r="200" spans="149:167">
      <c r="ES200" s="29"/>
      <c r="EV200" s="28">
        <f t="shared" si="5"/>
        <v>0</v>
      </c>
      <c r="FH200" s="29" t="str">
        <f t="shared" si="6"/>
        <v/>
      </c>
      <c r="FJ200" s="36" t="str">
        <f>IF($FH200="","",SUM($FN200:$FN$7000))</f>
        <v/>
      </c>
      <c r="FK200" s="36" t="str">
        <f>IF($FH200="","",SUM($FN200:$FN$7000))</f>
        <v/>
      </c>
    </row>
    <row r="201" spans="149:167">
      <c r="ES201" s="29"/>
      <c r="EV201" s="28">
        <f t="shared" si="5"/>
        <v>0</v>
      </c>
      <c r="FH201" s="29" t="str">
        <f t="shared" si="6"/>
        <v/>
      </c>
      <c r="FJ201" s="36" t="str">
        <f>IF($FH201="","",SUM($FN201:$FN$7000))</f>
        <v/>
      </c>
      <c r="FK201" s="36" t="str">
        <f>IF($FH201="","",SUM($FN201:$FN$7000))</f>
        <v/>
      </c>
    </row>
    <row r="202" spans="149:167">
      <c r="ES202" s="29"/>
      <c r="EV202" s="28">
        <f t="shared" si="5"/>
        <v>0</v>
      </c>
      <c r="FH202" s="29" t="str">
        <f t="shared" si="6"/>
        <v/>
      </c>
      <c r="FJ202" s="36" t="str">
        <f>IF($FH202="","",SUM($FN202:$FN$7000))</f>
        <v/>
      </c>
      <c r="FK202" s="36" t="str">
        <f>IF($FH202="","",SUM($FN202:$FN$7000))</f>
        <v/>
      </c>
    </row>
    <row r="203" spans="149:167">
      <c r="ES203" s="29"/>
      <c r="EV203" s="28">
        <f t="shared" ref="EV203:EV266" si="7">EU203-ET203</f>
        <v>0</v>
      </c>
      <c r="FH203" s="29" t="str">
        <f t="shared" ref="FH203:FH266" si="8">IF(FL203="","",FL203)</f>
        <v/>
      </c>
      <c r="FJ203" s="36" t="str">
        <f>IF($FH203="","",SUM($FN203:$FN$7000))</f>
        <v/>
      </c>
      <c r="FK203" s="36" t="str">
        <f>IF($FH203="","",SUM($FN203:$FN$7000))</f>
        <v/>
      </c>
    </row>
    <row r="204" spans="149:167">
      <c r="ES204" s="29"/>
      <c r="EV204" s="28">
        <f t="shared" si="7"/>
        <v>0</v>
      </c>
      <c r="FH204" s="29" t="str">
        <f t="shared" si="8"/>
        <v/>
      </c>
      <c r="FJ204" s="36" t="str">
        <f>IF($FH204="","",SUM($FN204:$FN$7000))</f>
        <v/>
      </c>
      <c r="FK204" s="36" t="str">
        <f>IF($FH204="","",SUM($FN204:$FN$7000))</f>
        <v/>
      </c>
    </row>
    <row r="205" spans="149:167">
      <c r="ES205" s="29"/>
      <c r="EV205" s="28">
        <f t="shared" si="7"/>
        <v>0</v>
      </c>
      <c r="FH205" s="29" t="str">
        <f t="shared" si="8"/>
        <v/>
      </c>
      <c r="FJ205" s="36" t="str">
        <f>IF($FH205="","",SUM($FN205:$FN$7000))</f>
        <v/>
      </c>
      <c r="FK205" s="36" t="str">
        <f>IF($FH205="","",SUM($FN205:$FN$7000))</f>
        <v/>
      </c>
    </row>
    <row r="206" spans="149:167">
      <c r="ES206" s="29"/>
      <c r="EV206" s="28">
        <f t="shared" si="7"/>
        <v>0</v>
      </c>
      <c r="FH206" s="29" t="str">
        <f t="shared" si="8"/>
        <v/>
      </c>
      <c r="FJ206" s="36" t="str">
        <f>IF($FH206="","",SUM($FN206:$FN$7000))</f>
        <v/>
      </c>
      <c r="FK206" s="36" t="str">
        <f>IF($FH206="","",SUM($FN206:$FN$7000))</f>
        <v/>
      </c>
    </row>
    <row r="207" spans="149:167">
      <c r="ES207" s="29"/>
      <c r="EV207" s="28">
        <f t="shared" si="7"/>
        <v>0</v>
      </c>
      <c r="FH207" s="29" t="str">
        <f t="shared" si="8"/>
        <v/>
      </c>
      <c r="FJ207" s="36" t="str">
        <f>IF($FH207="","",SUM($FN207:$FN$7000))</f>
        <v/>
      </c>
      <c r="FK207" s="36" t="str">
        <f>IF($FH207="","",SUM($FN207:$FN$7000))</f>
        <v/>
      </c>
    </row>
    <row r="208" spans="149:167">
      <c r="ES208" s="29"/>
      <c r="EV208" s="28">
        <f t="shared" si="7"/>
        <v>0</v>
      </c>
      <c r="FH208" s="29" t="str">
        <f t="shared" si="8"/>
        <v/>
      </c>
      <c r="FJ208" s="36" t="str">
        <f>IF($FH208="","",SUM($FN208:$FN$7000))</f>
        <v/>
      </c>
      <c r="FK208" s="36" t="str">
        <f>IF($FH208="","",SUM($FN208:$FN$7000))</f>
        <v/>
      </c>
    </row>
    <row r="209" spans="149:167">
      <c r="ES209" s="29"/>
      <c r="EV209" s="28">
        <f t="shared" si="7"/>
        <v>0</v>
      </c>
      <c r="FH209" s="29" t="str">
        <f t="shared" si="8"/>
        <v/>
      </c>
      <c r="FJ209" s="36" t="str">
        <f>IF($FH209="","",SUM($FN209:$FN$7000))</f>
        <v/>
      </c>
      <c r="FK209" s="36" t="str">
        <f>IF($FH209="","",SUM($FN209:$FN$7000))</f>
        <v/>
      </c>
    </row>
    <row r="210" spans="149:167">
      <c r="ES210" s="29"/>
      <c r="EV210" s="28">
        <f t="shared" si="7"/>
        <v>0</v>
      </c>
      <c r="FH210" s="29" t="str">
        <f t="shared" si="8"/>
        <v/>
      </c>
      <c r="FJ210" s="36" t="str">
        <f>IF($FH210="","",SUM($FN210:$FN$7000))</f>
        <v/>
      </c>
      <c r="FK210" s="36" t="str">
        <f>IF($FH210="","",SUM($FN210:$FN$7000))</f>
        <v/>
      </c>
    </row>
    <row r="211" spans="149:167">
      <c r="ES211" s="29"/>
      <c r="EV211" s="28">
        <f t="shared" si="7"/>
        <v>0</v>
      </c>
      <c r="FH211" s="29" t="str">
        <f t="shared" si="8"/>
        <v/>
      </c>
      <c r="FJ211" s="36" t="str">
        <f>IF($FH211="","",SUM($FN211:$FN$7000))</f>
        <v/>
      </c>
      <c r="FK211" s="36" t="str">
        <f>IF($FH211="","",SUM($FN211:$FN$7000))</f>
        <v/>
      </c>
    </row>
    <row r="212" spans="149:167">
      <c r="ES212" s="29"/>
      <c r="EV212" s="28">
        <f t="shared" si="7"/>
        <v>0</v>
      </c>
      <c r="FH212" s="29" t="str">
        <f t="shared" si="8"/>
        <v/>
      </c>
      <c r="FJ212" s="36" t="str">
        <f>IF($FH212="","",SUM($FN212:$FN$7000))</f>
        <v/>
      </c>
      <c r="FK212" s="36" t="str">
        <f>IF($FH212="","",SUM($FN212:$FN$7000))</f>
        <v/>
      </c>
    </row>
    <row r="213" spans="149:167">
      <c r="ES213" s="29"/>
      <c r="EV213" s="28">
        <f t="shared" si="7"/>
        <v>0</v>
      </c>
      <c r="FH213" s="29" t="str">
        <f t="shared" si="8"/>
        <v/>
      </c>
      <c r="FJ213" s="36" t="str">
        <f>IF($FH213="","",SUM($FN213:$FN$7000))</f>
        <v/>
      </c>
      <c r="FK213" s="36" t="str">
        <f>IF($FH213="","",SUM($FN213:$FN$7000))</f>
        <v/>
      </c>
    </row>
    <row r="214" spans="149:167">
      <c r="ES214" s="29"/>
      <c r="EV214" s="28">
        <f t="shared" si="7"/>
        <v>0</v>
      </c>
      <c r="FH214" s="29" t="str">
        <f t="shared" si="8"/>
        <v/>
      </c>
      <c r="FJ214" s="36" t="str">
        <f>IF($FH214="","",SUM($FN214:$FN$7000))</f>
        <v/>
      </c>
      <c r="FK214" s="36" t="str">
        <f>IF($FH214="","",SUM($FN214:$FN$7000))</f>
        <v/>
      </c>
    </row>
    <row r="215" spans="149:167">
      <c r="ES215" s="29"/>
      <c r="EV215" s="28">
        <f t="shared" si="7"/>
        <v>0</v>
      </c>
      <c r="FH215" s="29" t="str">
        <f t="shared" si="8"/>
        <v/>
      </c>
      <c r="FJ215" s="36" t="str">
        <f>IF($FH215="","",SUM($FN215:$FN$7000))</f>
        <v/>
      </c>
      <c r="FK215" s="36" t="str">
        <f>IF($FH215="","",SUM($FN215:$FN$7000))</f>
        <v/>
      </c>
    </row>
    <row r="216" spans="149:167">
      <c r="ES216" s="29"/>
      <c r="EV216" s="28">
        <f t="shared" si="7"/>
        <v>0</v>
      </c>
      <c r="FH216" s="29" t="str">
        <f t="shared" si="8"/>
        <v/>
      </c>
      <c r="FJ216" s="36" t="str">
        <f>IF($FH216="","",SUM($FN216:$FN$7000))</f>
        <v/>
      </c>
      <c r="FK216" s="36" t="str">
        <f>IF($FH216="","",SUM($FN216:$FN$7000))</f>
        <v/>
      </c>
    </row>
    <row r="217" spans="149:167">
      <c r="ES217" s="29"/>
      <c r="EV217" s="28">
        <f t="shared" si="7"/>
        <v>0</v>
      </c>
      <c r="FH217" s="29" t="str">
        <f t="shared" si="8"/>
        <v/>
      </c>
      <c r="FJ217" s="36" t="str">
        <f>IF($FH217="","",SUM($FN217:$FN$7000))</f>
        <v/>
      </c>
      <c r="FK217" s="36" t="str">
        <f>IF($FH217="","",SUM($FN217:$FN$7000))</f>
        <v/>
      </c>
    </row>
    <row r="218" spans="149:167">
      <c r="ES218" s="29"/>
      <c r="EV218" s="28">
        <f t="shared" si="7"/>
        <v>0</v>
      </c>
      <c r="FH218" s="29" t="str">
        <f t="shared" si="8"/>
        <v/>
      </c>
      <c r="FJ218" s="36" t="str">
        <f>IF($FH218="","",SUM($FN218:$FN$7000))</f>
        <v/>
      </c>
      <c r="FK218" s="36" t="str">
        <f>IF($FH218="","",SUM($FN218:$FN$7000))</f>
        <v/>
      </c>
    </row>
    <row r="219" spans="149:167">
      <c r="ES219" s="29"/>
      <c r="EV219" s="28">
        <f t="shared" si="7"/>
        <v>0</v>
      </c>
      <c r="FH219" s="29" t="str">
        <f t="shared" si="8"/>
        <v/>
      </c>
      <c r="FJ219" s="36" t="str">
        <f>IF($FH219="","",SUM($FN219:$FN$7000))</f>
        <v/>
      </c>
      <c r="FK219" s="36" t="str">
        <f>IF($FH219="","",SUM($FN219:$FN$7000))</f>
        <v/>
      </c>
    </row>
    <row r="220" spans="149:167">
      <c r="ES220" s="29"/>
      <c r="EV220" s="28">
        <f t="shared" si="7"/>
        <v>0</v>
      </c>
      <c r="FH220" s="29" t="str">
        <f t="shared" si="8"/>
        <v/>
      </c>
      <c r="FJ220" s="36" t="str">
        <f>IF($FH220="","",SUM($FN220:$FN$7000))</f>
        <v/>
      </c>
      <c r="FK220" s="36" t="str">
        <f>IF($FH220="","",SUM($FN220:$FN$7000))</f>
        <v/>
      </c>
    </row>
    <row r="221" spans="149:167">
      <c r="ES221" s="29"/>
      <c r="EV221" s="28">
        <f t="shared" si="7"/>
        <v>0</v>
      </c>
      <c r="FH221" s="29" t="str">
        <f t="shared" si="8"/>
        <v/>
      </c>
      <c r="FJ221" s="36" t="str">
        <f>IF($FH221="","",SUM($FN221:$FN$7000))</f>
        <v/>
      </c>
      <c r="FK221" s="36" t="str">
        <f>IF($FH221="","",SUM($FN221:$FN$7000))</f>
        <v/>
      </c>
    </row>
    <row r="222" spans="149:167">
      <c r="ES222" s="29"/>
      <c r="EV222" s="28">
        <f t="shared" si="7"/>
        <v>0</v>
      </c>
      <c r="FH222" s="29" t="str">
        <f t="shared" si="8"/>
        <v/>
      </c>
      <c r="FJ222" s="36" t="str">
        <f>IF($FH222="","",SUM($FN222:$FN$7000))</f>
        <v/>
      </c>
      <c r="FK222" s="36" t="str">
        <f>IF($FH222="","",SUM($FN222:$FN$7000))</f>
        <v/>
      </c>
    </row>
    <row r="223" spans="149:167">
      <c r="ES223" s="29"/>
      <c r="EV223" s="28">
        <f t="shared" si="7"/>
        <v>0</v>
      </c>
      <c r="FH223" s="29" t="str">
        <f t="shared" si="8"/>
        <v/>
      </c>
      <c r="FJ223" s="36" t="str">
        <f>IF($FH223="","",SUM($FN223:$FN$7000))</f>
        <v/>
      </c>
      <c r="FK223" s="36" t="str">
        <f>IF($FH223="","",SUM($FN223:$FN$7000))</f>
        <v/>
      </c>
    </row>
    <row r="224" spans="149:167">
      <c r="ES224" s="29"/>
      <c r="EV224" s="28">
        <f t="shared" si="7"/>
        <v>0</v>
      </c>
      <c r="FH224" s="29" t="str">
        <f t="shared" si="8"/>
        <v/>
      </c>
      <c r="FJ224" s="36" t="str">
        <f>IF($FH224="","",SUM($FN224:$FN$7000))</f>
        <v/>
      </c>
      <c r="FK224" s="36" t="str">
        <f>IF($FH224="","",SUM($FN224:$FN$7000))</f>
        <v/>
      </c>
    </row>
    <row r="225" spans="149:167">
      <c r="ES225" s="29"/>
      <c r="EV225" s="28">
        <f t="shared" si="7"/>
        <v>0</v>
      </c>
      <c r="FH225" s="29" t="str">
        <f t="shared" si="8"/>
        <v/>
      </c>
      <c r="FJ225" s="36" t="str">
        <f>IF($FH225="","",SUM($FN225:$FN$7000))</f>
        <v/>
      </c>
      <c r="FK225" s="36" t="str">
        <f>IF($FH225="","",SUM($FN225:$FN$7000))</f>
        <v/>
      </c>
    </row>
    <row r="226" spans="149:167">
      <c r="ES226" s="29"/>
      <c r="EV226" s="28">
        <f t="shared" si="7"/>
        <v>0</v>
      </c>
      <c r="FH226" s="29" t="str">
        <f t="shared" si="8"/>
        <v/>
      </c>
      <c r="FJ226" s="36" t="str">
        <f>IF($FH226="","",SUM($FN226:$FN$7000))</f>
        <v/>
      </c>
      <c r="FK226" s="36" t="str">
        <f>IF($FH226="","",SUM($FN226:$FN$7000))</f>
        <v/>
      </c>
    </row>
    <row r="227" spans="149:167">
      <c r="ES227" s="29"/>
      <c r="EV227" s="28">
        <f t="shared" si="7"/>
        <v>0</v>
      </c>
      <c r="FH227" s="29" t="str">
        <f t="shared" si="8"/>
        <v/>
      </c>
      <c r="FJ227" s="36" t="str">
        <f>IF($FH227="","",SUM($FN227:$FN$7000))</f>
        <v/>
      </c>
      <c r="FK227" s="36" t="str">
        <f>IF($FH227="","",SUM($FN227:$FN$7000))</f>
        <v/>
      </c>
    </row>
    <row r="228" spans="149:167">
      <c r="ES228" s="29"/>
      <c r="EV228" s="28">
        <f t="shared" si="7"/>
        <v>0</v>
      </c>
      <c r="FH228" s="29" t="str">
        <f t="shared" si="8"/>
        <v/>
      </c>
      <c r="FJ228" s="36" t="str">
        <f>IF($FH228="","",SUM($FN228:$FN$7000))</f>
        <v/>
      </c>
      <c r="FK228" s="36" t="str">
        <f>IF($FH228="","",SUM($FN228:$FN$7000))</f>
        <v/>
      </c>
    </row>
    <row r="229" spans="149:167">
      <c r="ES229" s="29"/>
      <c r="EV229" s="28">
        <f t="shared" si="7"/>
        <v>0</v>
      </c>
      <c r="FH229" s="29" t="str">
        <f t="shared" si="8"/>
        <v/>
      </c>
      <c r="FJ229" s="36" t="str">
        <f>IF($FH229="","",SUM($FN229:$FN$7000))</f>
        <v/>
      </c>
      <c r="FK229" s="36" t="str">
        <f>IF($FH229="","",SUM($FN229:$FN$7000))</f>
        <v/>
      </c>
    </row>
    <row r="230" spans="149:167">
      <c r="ES230" s="29"/>
      <c r="EV230" s="28">
        <f t="shared" si="7"/>
        <v>0</v>
      </c>
      <c r="FH230" s="29" t="str">
        <f t="shared" si="8"/>
        <v/>
      </c>
      <c r="FJ230" s="36" t="str">
        <f>IF($FH230="","",SUM($FN230:$FN$7000))</f>
        <v/>
      </c>
      <c r="FK230" s="36" t="str">
        <f>IF($FH230="","",SUM($FN230:$FN$7000))</f>
        <v/>
      </c>
    </row>
    <row r="231" spans="149:167">
      <c r="ES231" s="29"/>
      <c r="EV231" s="28">
        <f t="shared" si="7"/>
        <v>0</v>
      </c>
      <c r="FH231" s="29" t="str">
        <f t="shared" si="8"/>
        <v/>
      </c>
      <c r="FJ231" s="36" t="str">
        <f>IF($FH231="","",SUM($FN231:$FN$7000))</f>
        <v/>
      </c>
      <c r="FK231" s="36" t="str">
        <f>IF($FH231="","",SUM($FN231:$FN$7000))</f>
        <v/>
      </c>
    </row>
    <row r="232" spans="149:167">
      <c r="ES232" s="29"/>
      <c r="EV232" s="28">
        <f t="shared" si="7"/>
        <v>0</v>
      </c>
      <c r="FH232" s="29" t="str">
        <f t="shared" si="8"/>
        <v/>
      </c>
      <c r="FJ232" s="36" t="str">
        <f>IF($FH232="","",SUM($FN232:$FN$7000))</f>
        <v/>
      </c>
      <c r="FK232" s="36" t="str">
        <f>IF($FH232="","",SUM($FN232:$FN$7000))</f>
        <v/>
      </c>
    </row>
    <row r="233" spans="149:167">
      <c r="ES233" s="29"/>
      <c r="EV233" s="28">
        <f t="shared" si="7"/>
        <v>0</v>
      </c>
      <c r="FH233" s="29" t="str">
        <f t="shared" si="8"/>
        <v/>
      </c>
      <c r="FJ233" s="36" t="str">
        <f>IF($FH233="","",SUM($FN233:$FN$7000))</f>
        <v/>
      </c>
      <c r="FK233" s="36" t="str">
        <f>IF($FH233="","",SUM($FN233:$FN$7000))</f>
        <v/>
      </c>
    </row>
    <row r="234" spans="149:167">
      <c r="ES234" s="29"/>
      <c r="EV234" s="28">
        <f t="shared" si="7"/>
        <v>0</v>
      </c>
      <c r="FH234" s="29" t="str">
        <f t="shared" si="8"/>
        <v/>
      </c>
      <c r="FJ234" s="36" t="str">
        <f>IF($FH234="","",SUM($FN234:$FN$7000))</f>
        <v/>
      </c>
      <c r="FK234" s="36" t="str">
        <f>IF($FH234="","",SUM($FN234:$FN$7000))</f>
        <v/>
      </c>
    </row>
    <row r="235" spans="149:167">
      <c r="ES235" s="29"/>
      <c r="EV235" s="28">
        <f t="shared" si="7"/>
        <v>0</v>
      </c>
      <c r="FH235" s="29" t="str">
        <f t="shared" si="8"/>
        <v/>
      </c>
      <c r="FJ235" s="36" t="str">
        <f>IF($FH235="","",SUM($FN235:$FN$7000))</f>
        <v/>
      </c>
      <c r="FK235" s="36" t="str">
        <f>IF($FH235="","",SUM($FN235:$FN$7000))</f>
        <v/>
      </c>
    </row>
    <row r="236" spans="149:167">
      <c r="ES236" s="29"/>
      <c r="EV236" s="28">
        <f t="shared" si="7"/>
        <v>0</v>
      </c>
      <c r="FH236" s="29" t="str">
        <f t="shared" si="8"/>
        <v/>
      </c>
      <c r="FJ236" s="36" t="str">
        <f>IF($FH236="","",SUM($FN236:$FN$7000))</f>
        <v/>
      </c>
      <c r="FK236" s="36" t="str">
        <f>IF($FH236="","",SUM($FN236:$FN$7000))</f>
        <v/>
      </c>
    </row>
    <row r="237" spans="149:167">
      <c r="ES237" s="29"/>
      <c r="EV237" s="28">
        <f t="shared" si="7"/>
        <v>0</v>
      </c>
      <c r="FH237" s="29" t="str">
        <f t="shared" si="8"/>
        <v/>
      </c>
      <c r="FJ237" s="36" t="str">
        <f>IF($FH237="","",SUM($FN237:$FN$7000))</f>
        <v/>
      </c>
      <c r="FK237" s="36" t="str">
        <f>IF($FH237="","",SUM($FN237:$FN$7000))</f>
        <v/>
      </c>
    </row>
    <row r="238" spans="149:167">
      <c r="ES238" s="29"/>
      <c r="EV238" s="28">
        <f t="shared" si="7"/>
        <v>0</v>
      </c>
      <c r="FH238" s="29" t="str">
        <f t="shared" si="8"/>
        <v/>
      </c>
      <c r="FJ238" s="36" t="str">
        <f>IF($FH238="","",SUM($FN238:$FN$7000))</f>
        <v/>
      </c>
      <c r="FK238" s="36" t="str">
        <f>IF($FH238="","",SUM($FN238:$FN$7000))</f>
        <v/>
      </c>
    </row>
    <row r="239" spans="149:167">
      <c r="ES239" s="29"/>
      <c r="EV239" s="28">
        <f t="shared" si="7"/>
        <v>0</v>
      </c>
      <c r="FH239" s="29" t="str">
        <f t="shared" si="8"/>
        <v/>
      </c>
      <c r="FJ239" s="36" t="str">
        <f>IF($FH239="","",SUM($FN239:$FN$7000))</f>
        <v/>
      </c>
      <c r="FK239" s="36" t="str">
        <f>IF($FH239="","",SUM($FN239:$FN$7000))</f>
        <v/>
      </c>
    </row>
    <row r="240" spans="149:167">
      <c r="ES240" s="29"/>
      <c r="EV240" s="28">
        <f t="shared" si="7"/>
        <v>0</v>
      </c>
      <c r="FH240" s="29" t="str">
        <f t="shared" si="8"/>
        <v/>
      </c>
      <c r="FJ240" s="36" t="str">
        <f>IF($FH240="","",SUM($FN240:$FN$7000))</f>
        <v/>
      </c>
      <c r="FK240" s="36" t="str">
        <f>IF($FH240="","",SUM($FN240:$FN$7000))</f>
        <v/>
      </c>
    </row>
    <row r="241" spans="149:167">
      <c r="ES241" s="29"/>
      <c r="EV241" s="28">
        <f t="shared" si="7"/>
        <v>0</v>
      </c>
      <c r="FH241" s="29" t="str">
        <f t="shared" si="8"/>
        <v/>
      </c>
      <c r="FJ241" s="36" t="str">
        <f>IF($FH241="","",SUM($FN241:$FN$7000))</f>
        <v/>
      </c>
      <c r="FK241" s="36" t="str">
        <f>IF($FH241="","",SUM($FN241:$FN$7000))</f>
        <v/>
      </c>
    </row>
    <row r="242" spans="149:167">
      <c r="ES242" s="29"/>
      <c r="EV242" s="28">
        <f t="shared" si="7"/>
        <v>0</v>
      </c>
      <c r="FH242" s="29" t="str">
        <f t="shared" si="8"/>
        <v/>
      </c>
      <c r="FJ242" s="36" t="str">
        <f>IF($FH242="","",SUM($FN242:$FN$7000))</f>
        <v/>
      </c>
      <c r="FK242" s="36" t="str">
        <f>IF($FH242="","",SUM($FN242:$FN$7000))</f>
        <v/>
      </c>
    </row>
    <row r="243" spans="149:167">
      <c r="ES243" s="29"/>
      <c r="EV243" s="28">
        <f t="shared" si="7"/>
        <v>0</v>
      </c>
      <c r="FH243" s="29" t="str">
        <f t="shared" si="8"/>
        <v/>
      </c>
      <c r="FJ243" s="36" t="str">
        <f>IF($FH243="","",SUM($FN243:$FN$7000))</f>
        <v/>
      </c>
      <c r="FK243" s="36" t="str">
        <f>IF($FH243="","",SUM($FN243:$FN$7000))</f>
        <v/>
      </c>
    </row>
    <row r="244" spans="149:167">
      <c r="ES244" s="29"/>
      <c r="EV244" s="28">
        <f t="shared" si="7"/>
        <v>0</v>
      </c>
      <c r="FH244" s="29" t="str">
        <f t="shared" si="8"/>
        <v/>
      </c>
      <c r="FJ244" s="36" t="str">
        <f>IF($FH244="","",SUM($FN244:$FN$7000))</f>
        <v/>
      </c>
      <c r="FK244" s="36" t="str">
        <f>IF($FH244="","",SUM($FN244:$FN$7000))</f>
        <v/>
      </c>
    </row>
    <row r="245" spans="149:167">
      <c r="ES245" s="29"/>
      <c r="EV245" s="28">
        <f t="shared" si="7"/>
        <v>0</v>
      </c>
      <c r="FH245" s="29" t="str">
        <f t="shared" si="8"/>
        <v/>
      </c>
      <c r="FJ245" s="36" t="str">
        <f>IF($FH245="","",SUM($FN245:$FN$7000))</f>
        <v/>
      </c>
      <c r="FK245" s="36" t="str">
        <f>IF($FH245="","",SUM($FN245:$FN$7000))</f>
        <v/>
      </c>
    </row>
    <row r="246" spans="149:167">
      <c r="ES246" s="29"/>
      <c r="EV246" s="28">
        <f t="shared" si="7"/>
        <v>0</v>
      </c>
      <c r="FH246" s="29" t="str">
        <f t="shared" si="8"/>
        <v/>
      </c>
      <c r="FJ246" s="36" t="str">
        <f>IF($FH246="","",SUM($FN246:$FN$7000))</f>
        <v/>
      </c>
      <c r="FK246" s="36" t="str">
        <f>IF($FH246="","",SUM($FN246:$FN$7000))</f>
        <v/>
      </c>
    </row>
    <row r="247" spans="149:167">
      <c r="ES247" s="29"/>
      <c r="EV247" s="28">
        <f t="shared" si="7"/>
        <v>0</v>
      </c>
      <c r="FH247" s="29" t="str">
        <f t="shared" si="8"/>
        <v/>
      </c>
      <c r="FJ247" s="36" t="str">
        <f>IF($FH247="","",SUM($FN247:$FN$7000))</f>
        <v/>
      </c>
      <c r="FK247" s="36" t="str">
        <f>IF($FH247="","",SUM($FN247:$FN$7000))</f>
        <v/>
      </c>
    </row>
    <row r="248" spans="149:167">
      <c r="ES248" s="29"/>
      <c r="EV248" s="28">
        <f t="shared" si="7"/>
        <v>0</v>
      </c>
      <c r="FH248" s="29" t="str">
        <f t="shared" si="8"/>
        <v/>
      </c>
      <c r="FJ248" s="36" t="str">
        <f>IF($FH248="","",SUM($FN248:$FN$7000))</f>
        <v/>
      </c>
      <c r="FK248" s="36" t="str">
        <f>IF($FH248="","",SUM($FN248:$FN$7000))</f>
        <v/>
      </c>
    </row>
    <row r="249" spans="149:167">
      <c r="ES249" s="29"/>
      <c r="EV249" s="28">
        <f t="shared" si="7"/>
        <v>0</v>
      </c>
      <c r="FH249" s="29" t="str">
        <f t="shared" si="8"/>
        <v/>
      </c>
      <c r="FJ249" s="36" t="str">
        <f>IF($FH249="","",SUM($FN249:$FN$7000))</f>
        <v/>
      </c>
      <c r="FK249" s="36" t="str">
        <f>IF($FH249="","",SUM($FN249:$FN$7000))</f>
        <v/>
      </c>
    </row>
    <row r="250" spans="149:167">
      <c r="ES250" s="29"/>
      <c r="EV250" s="28">
        <f t="shared" si="7"/>
        <v>0</v>
      </c>
      <c r="FH250" s="29" t="str">
        <f t="shared" si="8"/>
        <v/>
      </c>
      <c r="FJ250" s="36" t="str">
        <f>IF($FH250="","",SUM($FN250:$FN$7000))</f>
        <v/>
      </c>
      <c r="FK250" s="36" t="str">
        <f>IF($FH250="","",SUM($FN250:$FN$7000))</f>
        <v/>
      </c>
    </row>
    <row r="251" spans="149:167">
      <c r="ES251" s="29"/>
      <c r="EV251" s="28">
        <f t="shared" si="7"/>
        <v>0</v>
      </c>
      <c r="FH251" s="29" t="str">
        <f t="shared" si="8"/>
        <v/>
      </c>
      <c r="FJ251" s="36" t="str">
        <f>IF($FH251="","",SUM($FN251:$FN$7000))</f>
        <v/>
      </c>
      <c r="FK251" s="36" t="str">
        <f>IF($FH251="","",SUM($FN251:$FN$7000))</f>
        <v/>
      </c>
    </row>
    <row r="252" spans="149:167">
      <c r="ES252" s="29"/>
      <c r="EV252" s="28">
        <f t="shared" si="7"/>
        <v>0</v>
      </c>
      <c r="FH252" s="29" t="str">
        <f t="shared" si="8"/>
        <v/>
      </c>
      <c r="FJ252" s="36" t="str">
        <f>IF($FH252="","",SUM($FN252:$FN$7000))</f>
        <v/>
      </c>
      <c r="FK252" s="36" t="str">
        <f>IF($FH252="","",SUM($FN252:$FN$7000))</f>
        <v/>
      </c>
    </row>
    <row r="253" spans="149:167">
      <c r="ES253" s="29"/>
      <c r="EV253" s="28">
        <f t="shared" si="7"/>
        <v>0</v>
      </c>
      <c r="FH253" s="29" t="str">
        <f t="shared" si="8"/>
        <v/>
      </c>
      <c r="FJ253" s="36" t="str">
        <f>IF($FH253="","",SUM($FN253:$FN$7000))</f>
        <v/>
      </c>
      <c r="FK253" s="36" t="str">
        <f>IF($FH253="","",SUM($FN253:$FN$7000))</f>
        <v/>
      </c>
    </row>
    <row r="254" spans="149:167">
      <c r="ES254" s="29"/>
      <c r="EV254" s="28">
        <f t="shared" si="7"/>
        <v>0</v>
      </c>
      <c r="FH254" s="29" t="str">
        <f t="shared" si="8"/>
        <v/>
      </c>
      <c r="FJ254" s="36" t="str">
        <f>IF($FH254="","",SUM($FN254:$FN$7000))</f>
        <v/>
      </c>
      <c r="FK254" s="36" t="str">
        <f>IF($FH254="","",SUM($FN254:$FN$7000))</f>
        <v/>
      </c>
    </row>
    <row r="255" spans="149:167">
      <c r="ES255" s="29"/>
      <c r="EV255" s="28">
        <f t="shared" si="7"/>
        <v>0</v>
      </c>
      <c r="FH255" s="29" t="str">
        <f t="shared" si="8"/>
        <v/>
      </c>
      <c r="FJ255" s="36" t="str">
        <f>IF($FH255="","",SUM($FN255:$FN$7000))</f>
        <v/>
      </c>
      <c r="FK255" s="36" t="str">
        <f>IF($FH255="","",SUM($FN255:$FN$7000))</f>
        <v/>
      </c>
    </row>
    <row r="256" spans="149:167">
      <c r="ES256" s="29"/>
      <c r="EV256" s="28">
        <f t="shared" si="7"/>
        <v>0</v>
      </c>
      <c r="FH256" s="29" t="str">
        <f t="shared" si="8"/>
        <v/>
      </c>
      <c r="FJ256" s="36" t="str">
        <f>IF($FH256="","",SUM($FN256:$FN$7000))</f>
        <v/>
      </c>
      <c r="FK256" s="36" t="str">
        <f>IF($FH256="","",SUM($FN256:$FN$7000))</f>
        <v/>
      </c>
    </row>
    <row r="257" spans="149:167">
      <c r="ES257" s="29"/>
      <c r="EV257" s="28">
        <f t="shared" si="7"/>
        <v>0</v>
      </c>
      <c r="FH257" s="29" t="str">
        <f t="shared" si="8"/>
        <v/>
      </c>
      <c r="FJ257" s="36" t="str">
        <f>IF($FH257="","",SUM($FN257:$FN$7000))</f>
        <v/>
      </c>
      <c r="FK257" s="36" t="str">
        <f>IF($FH257="","",SUM($FN257:$FN$7000))</f>
        <v/>
      </c>
    </row>
    <row r="258" spans="149:167">
      <c r="ES258" s="29"/>
      <c r="EV258" s="28">
        <f t="shared" si="7"/>
        <v>0</v>
      </c>
      <c r="FH258" s="29" t="str">
        <f t="shared" si="8"/>
        <v/>
      </c>
      <c r="FJ258" s="36" t="str">
        <f>IF($FH258="","",SUM($FN258:$FN$7000))</f>
        <v/>
      </c>
      <c r="FK258" s="36" t="str">
        <f>IF($FH258="","",SUM($FN258:$FN$7000))</f>
        <v/>
      </c>
    </row>
    <row r="259" spans="149:167">
      <c r="ES259" s="29"/>
      <c r="EV259" s="28">
        <f t="shared" si="7"/>
        <v>0</v>
      </c>
      <c r="FH259" s="29" t="str">
        <f t="shared" si="8"/>
        <v/>
      </c>
      <c r="FJ259" s="36" t="str">
        <f>IF($FH259="","",SUM($FN259:$FN$7000))</f>
        <v/>
      </c>
      <c r="FK259" s="36" t="str">
        <f>IF($FH259="","",SUM($FN259:$FN$7000))</f>
        <v/>
      </c>
    </row>
    <row r="260" spans="149:167">
      <c r="ES260" s="29"/>
      <c r="EV260" s="28">
        <f t="shared" si="7"/>
        <v>0</v>
      </c>
      <c r="FH260" s="29" t="str">
        <f t="shared" si="8"/>
        <v/>
      </c>
      <c r="FJ260" s="36" t="str">
        <f>IF($FH260="","",SUM($FN260:$FN$7000))</f>
        <v/>
      </c>
      <c r="FK260" s="36" t="str">
        <f>IF($FH260="","",SUM($FN260:$FN$7000))</f>
        <v/>
      </c>
    </row>
    <row r="261" spans="149:167">
      <c r="ES261" s="29"/>
      <c r="EV261" s="28">
        <f t="shared" si="7"/>
        <v>0</v>
      </c>
      <c r="FH261" s="29" t="str">
        <f t="shared" si="8"/>
        <v/>
      </c>
      <c r="FJ261" s="36" t="str">
        <f>IF($FH261="","",SUM($FN261:$FN$7000))</f>
        <v/>
      </c>
      <c r="FK261" s="36" t="str">
        <f>IF($FH261="","",SUM($FN261:$FN$7000))</f>
        <v/>
      </c>
    </row>
    <row r="262" spans="149:167">
      <c r="ES262" s="29"/>
      <c r="EV262" s="28">
        <f t="shared" si="7"/>
        <v>0</v>
      </c>
      <c r="FH262" s="29" t="str">
        <f t="shared" si="8"/>
        <v/>
      </c>
      <c r="FJ262" s="36" t="str">
        <f>IF($FH262="","",SUM($FN262:$FN$7000))</f>
        <v/>
      </c>
      <c r="FK262" s="36" t="str">
        <f>IF($FH262="","",SUM($FN262:$FN$7000))</f>
        <v/>
      </c>
    </row>
    <row r="263" spans="149:167">
      <c r="ES263" s="29"/>
      <c r="EV263" s="28">
        <f t="shared" si="7"/>
        <v>0</v>
      </c>
      <c r="FH263" s="29" t="str">
        <f t="shared" si="8"/>
        <v/>
      </c>
      <c r="FJ263" s="36" t="str">
        <f>IF($FH263="","",SUM($FN263:$FN$7000))</f>
        <v/>
      </c>
      <c r="FK263" s="36" t="str">
        <f>IF($FH263="","",SUM($FN263:$FN$7000))</f>
        <v/>
      </c>
    </row>
    <row r="264" spans="149:167">
      <c r="ES264" s="29"/>
      <c r="EV264" s="28">
        <f t="shared" si="7"/>
        <v>0</v>
      </c>
      <c r="FH264" s="29" t="str">
        <f t="shared" si="8"/>
        <v/>
      </c>
      <c r="FJ264" s="36" t="str">
        <f>IF($FH264="","",SUM($FN264:$FN$7000))</f>
        <v/>
      </c>
      <c r="FK264" s="36" t="str">
        <f>IF($FH264="","",SUM($FN264:$FN$7000))</f>
        <v/>
      </c>
    </row>
    <row r="265" spans="149:167">
      <c r="ES265" s="29"/>
      <c r="EV265" s="28">
        <f t="shared" si="7"/>
        <v>0</v>
      </c>
      <c r="FH265" s="29" t="str">
        <f t="shared" si="8"/>
        <v/>
      </c>
      <c r="FJ265" s="36" t="str">
        <f>IF($FH265="","",SUM($FN265:$FN$7000))</f>
        <v/>
      </c>
      <c r="FK265" s="36" t="str">
        <f>IF($FH265="","",SUM($FN265:$FN$7000))</f>
        <v/>
      </c>
    </row>
    <row r="266" spans="149:167">
      <c r="ES266" s="29"/>
      <c r="EV266" s="28">
        <f t="shared" si="7"/>
        <v>0</v>
      </c>
      <c r="FH266" s="29" t="str">
        <f t="shared" si="8"/>
        <v/>
      </c>
      <c r="FJ266" s="36" t="str">
        <f>IF($FH266="","",SUM($FN266:$FN$7000))</f>
        <v/>
      </c>
      <c r="FK266" s="36" t="str">
        <f>IF($FH266="","",SUM($FN266:$FN$7000))</f>
        <v/>
      </c>
    </row>
    <row r="267" spans="149:167">
      <c r="ES267" s="29"/>
      <c r="EV267" s="28">
        <f t="shared" ref="EV267:EV330" si="9">EU267-ET267</f>
        <v>0</v>
      </c>
      <c r="FH267" s="29" t="str">
        <f t="shared" ref="FH267:FH330" si="10">IF(FL267="","",FL267)</f>
        <v/>
      </c>
      <c r="FJ267" s="36" t="str">
        <f>IF($FH267="","",SUM($FN267:$FN$7000))</f>
        <v/>
      </c>
      <c r="FK267" s="36" t="str">
        <f>IF($FH267="","",SUM($FN267:$FN$7000))</f>
        <v/>
      </c>
    </row>
    <row r="268" spans="149:167">
      <c r="ES268" s="29"/>
      <c r="EV268" s="28">
        <f t="shared" si="9"/>
        <v>0</v>
      </c>
      <c r="FH268" s="29" t="str">
        <f t="shared" si="10"/>
        <v/>
      </c>
      <c r="FJ268" s="36" t="str">
        <f>IF($FH268="","",SUM($FN268:$FN$7000))</f>
        <v/>
      </c>
      <c r="FK268" s="36" t="str">
        <f>IF($FH268="","",SUM($FN268:$FN$7000))</f>
        <v/>
      </c>
    </row>
    <row r="269" spans="149:167">
      <c r="ES269" s="29"/>
      <c r="EV269" s="28">
        <f t="shared" si="9"/>
        <v>0</v>
      </c>
      <c r="FH269" s="29" t="str">
        <f t="shared" si="10"/>
        <v/>
      </c>
      <c r="FJ269" s="36" t="str">
        <f>IF($FH269="","",SUM($FN269:$FN$7000))</f>
        <v/>
      </c>
      <c r="FK269" s="36" t="str">
        <f>IF($FH269="","",SUM($FN269:$FN$7000))</f>
        <v/>
      </c>
    </row>
    <row r="270" spans="149:167">
      <c r="ES270" s="29"/>
      <c r="EV270" s="28">
        <f t="shared" si="9"/>
        <v>0</v>
      </c>
      <c r="FH270" s="29" t="str">
        <f t="shared" si="10"/>
        <v/>
      </c>
      <c r="FJ270" s="36" t="str">
        <f>IF($FH270="","",SUM($FN270:$FN$7000))</f>
        <v/>
      </c>
      <c r="FK270" s="36" t="str">
        <f>IF($FH270="","",SUM($FN270:$FN$7000))</f>
        <v/>
      </c>
    </row>
    <row r="271" spans="149:167">
      <c r="ES271" s="29"/>
      <c r="EV271" s="28">
        <f t="shared" si="9"/>
        <v>0</v>
      </c>
      <c r="FH271" s="29" t="str">
        <f t="shared" si="10"/>
        <v/>
      </c>
      <c r="FJ271" s="36" t="str">
        <f>IF($FH271="","",SUM($FN271:$FN$7000))</f>
        <v/>
      </c>
      <c r="FK271" s="36" t="str">
        <f>IF($FH271="","",SUM($FN271:$FN$7000))</f>
        <v/>
      </c>
    </row>
    <row r="272" spans="149:167">
      <c r="ES272" s="29"/>
      <c r="EV272" s="28">
        <f t="shared" si="9"/>
        <v>0</v>
      </c>
      <c r="FH272" s="29" t="str">
        <f t="shared" si="10"/>
        <v/>
      </c>
      <c r="FJ272" s="36" t="str">
        <f>IF($FH272="","",SUM($FN272:$FN$7000))</f>
        <v/>
      </c>
      <c r="FK272" s="36" t="str">
        <f>IF($FH272="","",SUM($FN272:$FN$7000))</f>
        <v/>
      </c>
    </row>
    <row r="273" spans="149:167">
      <c r="ES273" s="29"/>
      <c r="EV273" s="28">
        <f t="shared" si="9"/>
        <v>0</v>
      </c>
      <c r="FH273" s="29" t="str">
        <f t="shared" si="10"/>
        <v/>
      </c>
      <c r="FJ273" s="36" t="str">
        <f>IF($FH273="","",SUM($FN273:$FN$7000))</f>
        <v/>
      </c>
      <c r="FK273" s="36" t="str">
        <f>IF($FH273="","",SUM($FN273:$FN$7000))</f>
        <v/>
      </c>
    </row>
    <row r="274" spans="149:167">
      <c r="ES274" s="29"/>
      <c r="EV274" s="28">
        <f t="shared" si="9"/>
        <v>0</v>
      </c>
      <c r="FH274" s="29" t="str">
        <f t="shared" si="10"/>
        <v/>
      </c>
      <c r="FJ274" s="36" t="str">
        <f>IF($FH274="","",SUM($FN274:$FN$7000))</f>
        <v/>
      </c>
      <c r="FK274" s="36" t="str">
        <f>IF($FH274="","",SUM($FN274:$FN$7000))</f>
        <v/>
      </c>
    </row>
    <row r="275" spans="149:167">
      <c r="ES275" s="29"/>
      <c r="EV275" s="28">
        <f t="shared" si="9"/>
        <v>0</v>
      </c>
      <c r="FH275" s="29" t="str">
        <f t="shared" si="10"/>
        <v/>
      </c>
      <c r="FJ275" s="36" t="str">
        <f>IF($FH275="","",SUM($FN275:$FN$7000))</f>
        <v/>
      </c>
      <c r="FK275" s="36" t="str">
        <f>IF($FH275="","",SUM($FN275:$FN$7000))</f>
        <v/>
      </c>
    </row>
    <row r="276" spans="149:167">
      <c r="ES276" s="29"/>
      <c r="EV276" s="28">
        <f t="shared" si="9"/>
        <v>0</v>
      </c>
      <c r="FH276" s="29" t="str">
        <f t="shared" si="10"/>
        <v/>
      </c>
      <c r="FJ276" s="36" t="str">
        <f>IF($FH276="","",SUM($FN276:$FN$7000))</f>
        <v/>
      </c>
      <c r="FK276" s="36" t="str">
        <f>IF($FH276="","",SUM($FN276:$FN$7000))</f>
        <v/>
      </c>
    </row>
    <row r="277" spans="149:167">
      <c r="ES277" s="29"/>
      <c r="EV277" s="28">
        <f t="shared" si="9"/>
        <v>0</v>
      </c>
      <c r="FH277" s="29" t="str">
        <f t="shared" si="10"/>
        <v/>
      </c>
      <c r="FJ277" s="36" t="str">
        <f>IF($FH277="","",SUM($FN277:$FN$7000))</f>
        <v/>
      </c>
      <c r="FK277" s="36" t="str">
        <f>IF($FH277="","",SUM($FN277:$FN$7000))</f>
        <v/>
      </c>
    </row>
    <row r="278" spans="149:167">
      <c r="ES278" s="29"/>
      <c r="EV278" s="28">
        <f t="shared" si="9"/>
        <v>0</v>
      </c>
      <c r="FH278" s="29" t="str">
        <f t="shared" si="10"/>
        <v/>
      </c>
      <c r="FJ278" s="36" t="str">
        <f>IF($FH278="","",SUM($FN278:$FN$7000))</f>
        <v/>
      </c>
      <c r="FK278" s="36" t="str">
        <f>IF($FH278="","",SUM($FN278:$FN$7000))</f>
        <v/>
      </c>
    </row>
    <row r="279" spans="149:167">
      <c r="ES279" s="29"/>
      <c r="EV279" s="28">
        <f t="shared" si="9"/>
        <v>0</v>
      </c>
      <c r="FH279" s="29" t="str">
        <f t="shared" si="10"/>
        <v/>
      </c>
      <c r="FJ279" s="36" t="str">
        <f>IF($FH279="","",SUM($FN279:$FN$7000))</f>
        <v/>
      </c>
      <c r="FK279" s="36" t="str">
        <f>IF($FH279="","",SUM($FN279:$FN$7000))</f>
        <v/>
      </c>
    </row>
    <row r="280" spans="149:167">
      <c r="ES280" s="29"/>
      <c r="EV280" s="28">
        <f t="shared" si="9"/>
        <v>0</v>
      </c>
      <c r="FH280" s="29" t="str">
        <f t="shared" si="10"/>
        <v/>
      </c>
      <c r="FJ280" s="36" t="str">
        <f>IF($FH280="","",SUM($FN280:$FN$7000))</f>
        <v/>
      </c>
      <c r="FK280" s="36" t="str">
        <f>IF($FH280="","",SUM($FN280:$FN$7000))</f>
        <v/>
      </c>
    </row>
    <row r="281" spans="149:167">
      <c r="ES281" s="29"/>
      <c r="EV281" s="28">
        <f t="shared" si="9"/>
        <v>0</v>
      </c>
      <c r="FH281" s="29" t="str">
        <f t="shared" si="10"/>
        <v/>
      </c>
      <c r="FJ281" s="36" t="str">
        <f>IF($FH281="","",SUM($FN281:$FN$7000))</f>
        <v/>
      </c>
      <c r="FK281" s="36" t="str">
        <f>IF($FH281="","",SUM($FN281:$FN$7000))</f>
        <v/>
      </c>
    </row>
    <row r="282" spans="149:167">
      <c r="ES282" s="29"/>
      <c r="EV282" s="28">
        <f t="shared" si="9"/>
        <v>0</v>
      </c>
      <c r="FH282" s="29" t="str">
        <f t="shared" si="10"/>
        <v/>
      </c>
      <c r="FJ282" s="36" t="str">
        <f>IF($FH282="","",SUM($FN282:$FN$7000))</f>
        <v/>
      </c>
      <c r="FK282" s="36" t="str">
        <f>IF($FH282="","",SUM($FN282:$FN$7000))</f>
        <v/>
      </c>
    </row>
    <row r="283" spans="149:167">
      <c r="ES283" s="29"/>
      <c r="EV283" s="28">
        <f t="shared" si="9"/>
        <v>0</v>
      </c>
      <c r="FH283" s="29" t="str">
        <f t="shared" si="10"/>
        <v/>
      </c>
      <c r="FJ283" s="36" t="str">
        <f>IF($FH283="","",SUM($FN283:$FN$7000))</f>
        <v/>
      </c>
      <c r="FK283" s="36" t="str">
        <f>IF($FH283="","",SUM($FN283:$FN$7000))</f>
        <v/>
      </c>
    </row>
    <row r="284" spans="149:167">
      <c r="ES284" s="29"/>
      <c r="EV284" s="28">
        <f t="shared" si="9"/>
        <v>0</v>
      </c>
      <c r="FH284" s="29" t="str">
        <f t="shared" si="10"/>
        <v/>
      </c>
      <c r="FJ284" s="36" t="str">
        <f>IF($FH284="","",SUM($FN284:$FN$7000))</f>
        <v/>
      </c>
      <c r="FK284" s="36" t="str">
        <f>IF($FH284="","",SUM($FN284:$FN$7000))</f>
        <v/>
      </c>
    </row>
    <row r="285" spans="149:167">
      <c r="ES285" s="29"/>
      <c r="EV285" s="28">
        <f t="shared" si="9"/>
        <v>0</v>
      </c>
      <c r="FH285" s="29" t="str">
        <f t="shared" si="10"/>
        <v/>
      </c>
      <c r="FJ285" s="36" t="str">
        <f>IF($FH285="","",SUM($FN285:$FN$7000))</f>
        <v/>
      </c>
      <c r="FK285" s="36" t="str">
        <f>IF($FH285="","",SUM($FN285:$FN$7000))</f>
        <v/>
      </c>
    </row>
    <row r="286" spans="149:167">
      <c r="ES286" s="29"/>
      <c r="EV286" s="28">
        <f t="shared" si="9"/>
        <v>0</v>
      </c>
      <c r="FH286" s="29" t="str">
        <f t="shared" si="10"/>
        <v/>
      </c>
      <c r="FJ286" s="36" t="str">
        <f>IF($FH286="","",SUM($FN286:$FN$7000))</f>
        <v/>
      </c>
      <c r="FK286" s="36" t="str">
        <f>IF($FH286="","",SUM($FN286:$FN$7000))</f>
        <v/>
      </c>
    </row>
    <row r="287" spans="149:167">
      <c r="ES287" s="29"/>
      <c r="EV287" s="28">
        <f t="shared" si="9"/>
        <v>0</v>
      </c>
      <c r="FH287" s="29" t="str">
        <f t="shared" si="10"/>
        <v/>
      </c>
      <c r="FJ287" s="36" t="str">
        <f>IF($FH287="","",SUM($FN287:$FN$7000))</f>
        <v/>
      </c>
      <c r="FK287" s="36" t="str">
        <f>IF($FH287="","",SUM($FN287:$FN$7000))</f>
        <v/>
      </c>
    </row>
    <row r="288" spans="149:167">
      <c r="ES288" s="29"/>
      <c r="EV288" s="28">
        <f t="shared" si="9"/>
        <v>0</v>
      </c>
      <c r="FH288" s="29" t="str">
        <f t="shared" si="10"/>
        <v/>
      </c>
      <c r="FJ288" s="36" t="str">
        <f>IF($FH288="","",SUM($FN288:$FN$7000))</f>
        <v/>
      </c>
      <c r="FK288" s="36" t="str">
        <f>IF($FH288="","",SUM($FN288:$FN$7000))</f>
        <v/>
      </c>
    </row>
    <row r="289" spans="149:167">
      <c r="ES289" s="29"/>
      <c r="EV289" s="28">
        <f t="shared" si="9"/>
        <v>0</v>
      </c>
      <c r="FH289" s="29" t="str">
        <f t="shared" si="10"/>
        <v/>
      </c>
      <c r="FJ289" s="36" t="str">
        <f>IF($FH289="","",SUM($FN289:$FN$7000))</f>
        <v/>
      </c>
      <c r="FK289" s="36" t="str">
        <f>IF($FH289="","",SUM($FN289:$FN$7000))</f>
        <v/>
      </c>
    </row>
    <row r="290" spans="149:167">
      <c r="ES290" s="29"/>
      <c r="EV290" s="28">
        <f t="shared" si="9"/>
        <v>0</v>
      </c>
      <c r="FH290" s="29" t="str">
        <f t="shared" si="10"/>
        <v/>
      </c>
      <c r="FJ290" s="36" t="str">
        <f>IF($FH290="","",SUM($FN290:$FN$7000))</f>
        <v/>
      </c>
      <c r="FK290" s="36" t="str">
        <f>IF($FH290="","",SUM($FN290:$FN$7000))</f>
        <v/>
      </c>
    </row>
    <row r="291" spans="149:167">
      <c r="ES291" s="29"/>
      <c r="EV291" s="28">
        <f t="shared" si="9"/>
        <v>0</v>
      </c>
      <c r="FH291" s="29" t="str">
        <f t="shared" si="10"/>
        <v/>
      </c>
      <c r="FJ291" s="36" t="str">
        <f>IF($FH291="","",SUM($FN291:$FN$7000))</f>
        <v/>
      </c>
      <c r="FK291" s="36" t="str">
        <f>IF($FH291="","",SUM($FN291:$FN$7000))</f>
        <v/>
      </c>
    </row>
    <row r="292" spans="149:167">
      <c r="ES292" s="29"/>
      <c r="EV292" s="28">
        <f t="shared" si="9"/>
        <v>0</v>
      </c>
      <c r="FH292" s="29" t="str">
        <f t="shared" si="10"/>
        <v/>
      </c>
      <c r="FJ292" s="36" t="str">
        <f>IF($FH292="","",SUM($FN292:$FN$7000))</f>
        <v/>
      </c>
      <c r="FK292" s="36" t="str">
        <f>IF($FH292="","",SUM($FN292:$FN$7000))</f>
        <v/>
      </c>
    </row>
    <row r="293" spans="149:167">
      <c r="ES293" s="29"/>
      <c r="EV293" s="28">
        <f t="shared" si="9"/>
        <v>0</v>
      </c>
      <c r="FH293" s="29" t="str">
        <f t="shared" si="10"/>
        <v/>
      </c>
      <c r="FJ293" s="36" t="str">
        <f>IF($FH293="","",SUM($FN293:$FN$7000))</f>
        <v/>
      </c>
      <c r="FK293" s="36" t="str">
        <f>IF($FH293="","",SUM($FN293:$FN$7000))</f>
        <v/>
      </c>
    </row>
    <row r="294" spans="149:167">
      <c r="ES294" s="29"/>
      <c r="EV294" s="28">
        <f t="shared" si="9"/>
        <v>0</v>
      </c>
      <c r="FH294" s="29" t="str">
        <f t="shared" si="10"/>
        <v/>
      </c>
      <c r="FJ294" s="36" t="str">
        <f>IF($FH294="","",SUM($FN294:$FN$7000))</f>
        <v/>
      </c>
      <c r="FK294" s="36" t="str">
        <f>IF($FH294="","",SUM($FN294:$FN$7000))</f>
        <v/>
      </c>
    </row>
    <row r="295" spans="149:167">
      <c r="ES295" s="29"/>
      <c r="EV295" s="28">
        <f t="shared" si="9"/>
        <v>0</v>
      </c>
      <c r="FH295" s="29" t="str">
        <f t="shared" si="10"/>
        <v/>
      </c>
      <c r="FJ295" s="36" t="str">
        <f>IF($FH295="","",SUM($FN295:$FN$7000))</f>
        <v/>
      </c>
      <c r="FK295" s="36" t="str">
        <f>IF($FH295="","",SUM($FN295:$FN$7000))</f>
        <v/>
      </c>
    </row>
    <row r="296" spans="149:167">
      <c r="ES296" s="29"/>
      <c r="EV296" s="28">
        <f t="shared" si="9"/>
        <v>0</v>
      </c>
      <c r="FH296" s="29" t="str">
        <f t="shared" si="10"/>
        <v/>
      </c>
      <c r="FJ296" s="36" t="str">
        <f>IF($FH296="","",SUM($FN296:$FN$7000))</f>
        <v/>
      </c>
      <c r="FK296" s="36" t="str">
        <f>IF($FH296="","",SUM($FN296:$FN$7000))</f>
        <v/>
      </c>
    </row>
    <row r="297" spans="149:167">
      <c r="ES297" s="29"/>
      <c r="EV297" s="28">
        <f t="shared" si="9"/>
        <v>0</v>
      </c>
      <c r="FH297" s="29" t="str">
        <f t="shared" si="10"/>
        <v/>
      </c>
      <c r="FJ297" s="36" t="str">
        <f>IF($FH297="","",SUM($FN297:$FN$7000))</f>
        <v/>
      </c>
      <c r="FK297" s="36" t="str">
        <f>IF($FH297="","",SUM($FN297:$FN$7000))</f>
        <v/>
      </c>
    </row>
    <row r="298" spans="149:167">
      <c r="ES298" s="29"/>
      <c r="EV298" s="28">
        <f t="shared" si="9"/>
        <v>0</v>
      </c>
      <c r="FH298" s="29" t="str">
        <f t="shared" si="10"/>
        <v/>
      </c>
      <c r="FJ298" s="36" t="str">
        <f>IF($FH298="","",SUM($FN298:$FN$7000))</f>
        <v/>
      </c>
      <c r="FK298" s="36" t="str">
        <f>IF($FH298="","",SUM($FN298:$FN$7000))</f>
        <v/>
      </c>
    </row>
    <row r="299" spans="149:167">
      <c r="ES299" s="29"/>
      <c r="EV299" s="28">
        <f t="shared" si="9"/>
        <v>0</v>
      </c>
      <c r="FH299" s="29" t="str">
        <f t="shared" si="10"/>
        <v/>
      </c>
      <c r="FJ299" s="36" t="str">
        <f>IF($FH299="","",SUM($FN299:$FN$7000))</f>
        <v/>
      </c>
      <c r="FK299" s="36" t="str">
        <f>IF($FH299="","",SUM($FN299:$FN$7000))</f>
        <v/>
      </c>
    </row>
    <row r="300" spans="149:167">
      <c r="ES300" s="29"/>
      <c r="EV300" s="28">
        <f t="shared" si="9"/>
        <v>0</v>
      </c>
      <c r="FH300" s="29" t="str">
        <f t="shared" si="10"/>
        <v/>
      </c>
      <c r="FJ300" s="36" t="str">
        <f>IF($FH300="","",SUM($FN300:$FN$7000))</f>
        <v/>
      </c>
      <c r="FK300" s="36" t="str">
        <f>IF($FH300="","",SUM($FN300:$FN$7000))</f>
        <v/>
      </c>
    </row>
    <row r="301" spans="149:167">
      <c r="ES301" s="29"/>
      <c r="EV301" s="28">
        <f t="shared" si="9"/>
        <v>0</v>
      </c>
      <c r="FH301" s="29" t="str">
        <f t="shared" si="10"/>
        <v/>
      </c>
      <c r="FJ301" s="36" t="str">
        <f>IF($FH301="","",SUM($FN301:$FN$7000))</f>
        <v/>
      </c>
      <c r="FK301" s="36" t="str">
        <f>IF($FH301="","",SUM($FN301:$FN$7000))</f>
        <v/>
      </c>
    </row>
    <row r="302" spans="149:167">
      <c r="ES302" s="29"/>
      <c r="EV302" s="28">
        <f t="shared" si="9"/>
        <v>0</v>
      </c>
      <c r="FH302" s="29" t="str">
        <f t="shared" si="10"/>
        <v/>
      </c>
      <c r="FJ302" s="36" t="str">
        <f>IF($FH302="","",SUM($FN302:$FN$7000))</f>
        <v/>
      </c>
      <c r="FK302" s="36" t="str">
        <f>IF($FH302="","",SUM($FN302:$FN$7000))</f>
        <v/>
      </c>
    </row>
    <row r="303" spans="149:167">
      <c r="ES303" s="29"/>
      <c r="EV303" s="28">
        <f t="shared" si="9"/>
        <v>0</v>
      </c>
      <c r="FH303" s="29" t="str">
        <f t="shared" si="10"/>
        <v/>
      </c>
      <c r="FJ303" s="36" t="str">
        <f>IF($FH303="","",SUM($FN303:$FN$7000))</f>
        <v/>
      </c>
      <c r="FK303" s="36" t="str">
        <f>IF($FH303="","",SUM($FN303:$FN$7000))</f>
        <v/>
      </c>
    </row>
    <row r="304" spans="149:167">
      <c r="ES304" s="29"/>
      <c r="EV304" s="28">
        <f t="shared" si="9"/>
        <v>0</v>
      </c>
      <c r="FH304" s="29" t="str">
        <f t="shared" si="10"/>
        <v/>
      </c>
      <c r="FJ304" s="36" t="str">
        <f>IF($FH304="","",SUM($FN304:$FN$7000))</f>
        <v/>
      </c>
      <c r="FK304" s="36" t="str">
        <f>IF($FH304="","",SUM($FN304:$FN$7000))</f>
        <v/>
      </c>
    </row>
    <row r="305" spans="149:167">
      <c r="ES305" s="29"/>
      <c r="EV305" s="28">
        <f t="shared" si="9"/>
        <v>0</v>
      </c>
      <c r="FH305" s="29" t="str">
        <f t="shared" si="10"/>
        <v/>
      </c>
      <c r="FJ305" s="36" t="str">
        <f>IF($FH305="","",SUM($FN305:$FN$7000))</f>
        <v/>
      </c>
      <c r="FK305" s="36" t="str">
        <f>IF($FH305="","",SUM($FN305:$FN$7000))</f>
        <v/>
      </c>
    </row>
    <row r="306" spans="149:167">
      <c r="ES306" s="29"/>
      <c r="EV306" s="28">
        <f t="shared" si="9"/>
        <v>0</v>
      </c>
      <c r="FH306" s="29" t="str">
        <f t="shared" si="10"/>
        <v/>
      </c>
      <c r="FJ306" s="36" t="str">
        <f>IF($FH306="","",SUM($FN306:$FN$7000))</f>
        <v/>
      </c>
      <c r="FK306" s="36" t="str">
        <f>IF($FH306="","",SUM($FN306:$FN$7000))</f>
        <v/>
      </c>
    </row>
    <row r="307" spans="149:167">
      <c r="ES307" s="29"/>
      <c r="EV307" s="28">
        <f t="shared" si="9"/>
        <v>0</v>
      </c>
      <c r="FH307" s="29" t="str">
        <f t="shared" si="10"/>
        <v/>
      </c>
      <c r="FJ307" s="36" t="str">
        <f>IF($FH307="","",SUM($FN307:$FN$7000))</f>
        <v/>
      </c>
      <c r="FK307" s="36" t="str">
        <f>IF($FH307="","",SUM($FN307:$FN$7000))</f>
        <v/>
      </c>
    </row>
    <row r="308" spans="149:167">
      <c r="ES308" s="29"/>
      <c r="EV308" s="28">
        <f t="shared" si="9"/>
        <v>0</v>
      </c>
      <c r="FH308" s="29" t="str">
        <f t="shared" si="10"/>
        <v/>
      </c>
      <c r="FJ308" s="36" t="str">
        <f>IF($FH308="","",SUM($FN308:$FN$7000))</f>
        <v/>
      </c>
      <c r="FK308" s="36" t="str">
        <f>IF($FH308="","",SUM($FN308:$FN$7000))</f>
        <v/>
      </c>
    </row>
    <row r="309" spans="149:167">
      <c r="ES309" s="29"/>
      <c r="EV309" s="28">
        <f t="shared" si="9"/>
        <v>0</v>
      </c>
      <c r="FH309" s="29" t="str">
        <f t="shared" si="10"/>
        <v/>
      </c>
      <c r="FJ309" s="36" t="str">
        <f>IF($FH309="","",SUM($FN309:$FN$7000))</f>
        <v/>
      </c>
      <c r="FK309" s="36" t="str">
        <f>IF($FH309="","",SUM($FN309:$FN$7000))</f>
        <v/>
      </c>
    </row>
    <row r="310" spans="149:167">
      <c r="ES310" s="29"/>
      <c r="EV310" s="28">
        <f t="shared" si="9"/>
        <v>0</v>
      </c>
      <c r="FH310" s="29" t="str">
        <f t="shared" si="10"/>
        <v/>
      </c>
      <c r="FJ310" s="36" t="str">
        <f>IF($FH310="","",SUM($FN310:$FN$7000))</f>
        <v/>
      </c>
      <c r="FK310" s="36" t="str">
        <f>IF($FH310="","",SUM($FN310:$FN$7000))</f>
        <v/>
      </c>
    </row>
    <row r="311" spans="149:167">
      <c r="ES311" s="29"/>
      <c r="EV311" s="28">
        <f t="shared" si="9"/>
        <v>0</v>
      </c>
      <c r="FH311" s="29" t="str">
        <f t="shared" si="10"/>
        <v/>
      </c>
      <c r="FJ311" s="36" t="str">
        <f>IF($FH311="","",SUM($FN311:$FN$7000))</f>
        <v/>
      </c>
      <c r="FK311" s="36" t="str">
        <f>IF($FH311="","",SUM($FN311:$FN$7000))</f>
        <v/>
      </c>
    </row>
    <row r="312" spans="149:167">
      <c r="ES312" s="29"/>
      <c r="EV312" s="28">
        <f t="shared" si="9"/>
        <v>0</v>
      </c>
      <c r="FH312" s="29" t="str">
        <f t="shared" si="10"/>
        <v/>
      </c>
      <c r="FJ312" s="36" t="str">
        <f>IF($FH312="","",SUM($FN312:$FN$7000))</f>
        <v/>
      </c>
      <c r="FK312" s="36" t="str">
        <f>IF($FH312="","",SUM($FN312:$FN$7000))</f>
        <v/>
      </c>
    </row>
    <row r="313" spans="149:167">
      <c r="ES313" s="29"/>
      <c r="EV313" s="28">
        <f t="shared" si="9"/>
        <v>0</v>
      </c>
      <c r="FH313" s="29" t="str">
        <f t="shared" si="10"/>
        <v/>
      </c>
      <c r="FJ313" s="36" t="str">
        <f>IF($FH313="","",SUM($FN313:$FN$7000))</f>
        <v/>
      </c>
      <c r="FK313" s="36" t="str">
        <f>IF($FH313="","",SUM($FN313:$FN$7000))</f>
        <v/>
      </c>
    </row>
    <row r="314" spans="149:167">
      <c r="ES314" s="29"/>
      <c r="EV314" s="28">
        <f t="shared" si="9"/>
        <v>0</v>
      </c>
      <c r="FH314" s="29" t="str">
        <f t="shared" si="10"/>
        <v/>
      </c>
      <c r="FJ314" s="36" t="str">
        <f>IF($FH314="","",SUM($FN314:$FN$7000))</f>
        <v/>
      </c>
      <c r="FK314" s="36" t="str">
        <f>IF($FH314="","",SUM($FN314:$FN$7000))</f>
        <v/>
      </c>
    </row>
    <row r="315" spans="149:167">
      <c r="ES315" s="29"/>
      <c r="EV315" s="28">
        <f t="shared" si="9"/>
        <v>0</v>
      </c>
      <c r="FH315" s="29" t="str">
        <f t="shared" si="10"/>
        <v/>
      </c>
      <c r="FJ315" s="36" t="str">
        <f>IF($FH315="","",SUM($FN315:$FN$7000))</f>
        <v/>
      </c>
      <c r="FK315" s="36" t="str">
        <f>IF($FH315="","",SUM($FN315:$FN$7000))</f>
        <v/>
      </c>
    </row>
    <row r="316" spans="149:167">
      <c r="ES316" s="29"/>
      <c r="EV316" s="28">
        <f t="shared" si="9"/>
        <v>0</v>
      </c>
      <c r="FH316" s="29" t="str">
        <f t="shared" si="10"/>
        <v/>
      </c>
      <c r="FJ316" s="36" t="str">
        <f>IF($FH316="","",SUM($FN316:$FN$7000))</f>
        <v/>
      </c>
      <c r="FK316" s="36" t="str">
        <f>IF($FH316="","",SUM($FN316:$FN$7000))</f>
        <v/>
      </c>
    </row>
    <row r="317" spans="149:167">
      <c r="ES317" s="29"/>
      <c r="EV317" s="28">
        <f t="shared" si="9"/>
        <v>0</v>
      </c>
      <c r="FH317" s="29" t="str">
        <f t="shared" si="10"/>
        <v/>
      </c>
      <c r="FJ317" s="36" t="str">
        <f>IF($FH317="","",SUM($FN317:$FN$7000))</f>
        <v/>
      </c>
      <c r="FK317" s="36" t="str">
        <f>IF($FH317="","",SUM($FN317:$FN$7000))</f>
        <v/>
      </c>
    </row>
    <row r="318" spans="149:167">
      <c r="ES318" s="29"/>
      <c r="EV318" s="28">
        <f t="shared" si="9"/>
        <v>0</v>
      </c>
      <c r="FH318" s="29" t="str">
        <f t="shared" si="10"/>
        <v/>
      </c>
      <c r="FJ318" s="36" t="str">
        <f>IF($FH318="","",SUM($FN318:$FN$7000))</f>
        <v/>
      </c>
      <c r="FK318" s="36" t="str">
        <f>IF($FH318="","",SUM($FN318:$FN$7000))</f>
        <v/>
      </c>
    </row>
    <row r="319" spans="149:167">
      <c r="ES319" s="29"/>
      <c r="EV319" s="28">
        <f t="shared" si="9"/>
        <v>0</v>
      </c>
      <c r="FH319" s="29" t="str">
        <f t="shared" si="10"/>
        <v/>
      </c>
      <c r="FJ319" s="36" t="str">
        <f>IF($FH319="","",SUM($FN319:$FN$7000))</f>
        <v/>
      </c>
      <c r="FK319" s="36" t="str">
        <f>IF($FH319="","",SUM($FN319:$FN$7000))</f>
        <v/>
      </c>
    </row>
    <row r="320" spans="149:167">
      <c r="ES320" s="29"/>
      <c r="EV320" s="28">
        <f t="shared" si="9"/>
        <v>0</v>
      </c>
      <c r="FH320" s="29" t="str">
        <f t="shared" si="10"/>
        <v/>
      </c>
      <c r="FJ320" s="36" t="str">
        <f>IF($FH320="","",SUM($FN320:$FN$7000))</f>
        <v/>
      </c>
      <c r="FK320" s="36" t="str">
        <f>IF($FH320="","",SUM($FN320:$FN$7000))</f>
        <v/>
      </c>
    </row>
    <row r="321" spans="149:167">
      <c r="ES321" s="29"/>
      <c r="EV321" s="28">
        <f t="shared" si="9"/>
        <v>0</v>
      </c>
      <c r="FH321" s="29" t="str">
        <f t="shared" si="10"/>
        <v/>
      </c>
      <c r="FJ321" s="36" t="str">
        <f>IF($FH321="","",SUM($FN321:$FN$7000))</f>
        <v/>
      </c>
      <c r="FK321" s="36" t="str">
        <f>IF($FH321="","",SUM($FN321:$FN$7000))</f>
        <v/>
      </c>
    </row>
    <row r="322" spans="149:167">
      <c r="ES322" s="29"/>
      <c r="EV322" s="28">
        <f t="shared" si="9"/>
        <v>0</v>
      </c>
      <c r="FH322" s="29" t="str">
        <f t="shared" si="10"/>
        <v/>
      </c>
      <c r="FJ322" s="36" t="str">
        <f>IF($FH322="","",SUM($FN322:$FN$7000))</f>
        <v/>
      </c>
      <c r="FK322" s="36" t="str">
        <f>IF($FH322="","",SUM($FN322:$FN$7000))</f>
        <v/>
      </c>
    </row>
    <row r="323" spans="149:167">
      <c r="ES323" s="29"/>
      <c r="EV323" s="28">
        <f t="shared" si="9"/>
        <v>0</v>
      </c>
      <c r="FH323" s="29" t="str">
        <f t="shared" si="10"/>
        <v/>
      </c>
      <c r="FJ323" s="36" t="str">
        <f>IF($FH323="","",SUM($FN323:$FN$7000))</f>
        <v/>
      </c>
      <c r="FK323" s="36" t="str">
        <f>IF($FH323="","",SUM($FN323:$FN$7000))</f>
        <v/>
      </c>
    </row>
    <row r="324" spans="149:167">
      <c r="ES324" s="29"/>
      <c r="EV324" s="28">
        <f t="shared" si="9"/>
        <v>0</v>
      </c>
      <c r="FH324" s="29" t="str">
        <f t="shared" si="10"/>
        <v/>
      </c>
      <c r="FJ324" s="36" t="str">
        <f>IF($FH324="","",SUM($FN324:$FN$7000))</f>
        <v/>
      </c>
      <c r="FK324" s="36" t="str">
        <f>IF($FH324="","",SUM($FN324:$FN$7000))</f>
        <v/>
      </c>
    </row>
    <row r="325" spans="149:167">
      <c r="ES325" s="29"/>
      <c r="EV325" s="28">
        <f t="shared" si="9"/>
        <v>0</v>
      </c>
      <c r="FH325" s="29" t="str">
        <f t="shared" si="10"/>
        <v/>
      </c>
      <c r="FJ325" s="36" t="str">
        <f>IF($FH325="","",SUM($FN325:$FN$7000))</f>
        <v/>
      </c>
      <c r="FK325" s="36" t="str">
        <f>IF($FH325="","",SUM($FN325:$FN$7000))</f>
        <v/>
      </c>
    </row>
    <row r="326" spans="149:167">
      <c r="ES326" s="29"/>
      <c r="EV326" s="28">
        <f t="shared" si="9"/>
        <v>0</v>
      </c>
      <c r="FH326" s="29" t="str">
        <f t="shared" si="10"/>
        <v/>
      </c>
      <c r="FJ326" s="36" t="str">
        <f>IF($FH326="","",SUM($FN326:$FN$7000))</f>
        <v/>
      </c>
      <c r="FK326" s="36" t="str">
        <f>IF($FH326="","",SUM($FN326:$FN$7000))</f>
        <v/>
      </c>
    </row>
    <row r="327" spans="149:167">
      <c r="ES327" s="29"/>
      <c r="EV327" s="28">
        <f t="shared" si="9"/>
        <v>0</v>
      </c>
      <c r="FH327" s="29" t="str">
        <f t="shared" si="10"/>
        <v/>
      </c>
      <c r="FJ327" s="36" t="str">
        <f>IF($FH327="","",SUM($FN327:$FN$7000))</f>
        <v/>
      </c>
      <c r="FK327" s="36" t="str">
        <f>IF($FH327="","",SUM($FN327:$FN$7000))</f>
        <v/>
      </c>
    </row>
    <row r="328" spans="149:167">
      <c r="ES328" s="29"/>
      <c r="EV328" s="28">
        <f t="shared" si="9"/>
        <v>0</v>
      </c>
      <c r="FH328" s="29" t="str">
        <f t="shared" si="10"/>
        <v/>
      </c>
      <c r="FJ328" s="36" t="str">
        <f>IF($FH328="","",SUM($FN328:$FN$7000))</f>
        <v/>
      </c>
      <c r="FK328" s="36" t="str">
        <f>IF($FH328="","",SUM($FN328:$FN$7000))</f>
        <v/>
      </c>
    </row>
    <row r="329" spans="149:167">
      <c r="ES329" s="29"/>
      <c r="EV329" s="28">
        <f t="shared" si="9"/>
        <v>0</v>
      </c>
      <c r="FH329" s="29" t="str">
        <f t="shared" si="10"/>
        <v/>
      </c>
      <c r="FJ329" s="36" t="str">
        <f>IF($FH329="","",SUM($FN329:$FN$7000))</f>
        <v/>
      </c>
      <c r="FK329" s="36" t="str">
        <f>IF($FH329="","",SUM($FN329:$FN$7000))</f>
        <v/>
      </c>
    </row>
    <row r="330" spans="149:167">
      <c r="ES330" s="29"/>
      <c r="EV330" s="28">
        <f t="shared" si="9"/>
        <v>0</v>
      </c>
      <c r="FH330" s="29" t="str">
        <f t="shared" si="10"/>
        <v/>
      </c>
      <c r="FJ330" s="36" t="str">
        <f>IF($FH330="","",SUM($FN330:$FN$7000))</f>
        <v/>
      </c>
      <c r="FK330" s="36" t="str">
        <f>IF($FH330="","",SUM($FN330:$FN$7000))</f>
        <v/>
      </c>
    </row>
    <row r="331" spans="149:167">
      <c r="ES331" s="29"/>
      <c r="EV331" s="28">
        <f t="shared" ref="EV331:EV394" si="11">EU331-ET331</f>
        <v>0</v>
      </c>
      <c r="FH331" s="29" t="str">
        <f t="shared" ref="FH331:FH394" si="12">IF(FL331="","",FL331)</f>
        <v/>
      </c>
      <c r="FJ331" s="36" t="str">
        <f>IF($FH331="","",SUM($FN331:$FN$7000))</f>
        <v/>
      </c>
      <c r="FK331" s="36" t="str">
        <f>IF($FH331="","",SUM($FN331:$FN$7000))</f>
        <v/>
      </c>
    </row>
    <row r="332" spans="149:167">
      <c r="ES332" s="29"/>
      <c r="EV332" s="28">
        <f t="shared" si="11"/>
        <v>0</v>
      </c>
      <c r="FH332" s="29" t="str">
        <f t="shared" si="12"/>
        <v/>
      </c>
      <c r="FJ332" s="36" t="str">
        <f>IF($FH332="","",SUM($FN332:$FN$7000))</f>
        <v/>
      </c>
      <c r="FK332" s="36" t="str">
        <f>IF($FH332="","",SUM($FN332:$FN$7000))</f>
        <v/>
      </c>
    </row>
    <row r="333" spans="149:167">
      <c r="ES333" s="29"/>
      <c r="EV333" s="28">
        <f t="shared" si="11"/>
        <v>0</v>
      </c>
      <c r="FH333" s="29" t="str">
        <f t="shared" si="12"/>
        <v/>
      </c>
      <c r="FJ333" s="36" t="str">
        <f>IF($FH333="","",SUM($FN333:$FN$7000))</f>
        <v/>
      </c>
      <c r="FK333" s="36" t="str">
        <f>IF($FH333="","",SUM($FN333:$FN$7000))</f>
        <v/>
      </c>
    </row>
    <row r="334" spans="149:167">
      <c r="ES334" s="29"/>
      <c r="EV334" s="28">
        <f t="shared" si="11"/>
        <v>0</v>
      </c>
      <c r="FH334" s="29" t="str">
        <f t="shared" si="12"/>
        <v/>
      </c>
      <c r="FJ334" s="36" t="str">
        <f>IF($FH334="","",SUM($FN334:$FN$7000))</f>
        <v/>
      </c>
      <c r="FK334" s="36" t="str">
        <f>IF($FH334="","",SUM($FN334:$FN$7000))</f>
        <v/>
      </c>
    </row>
    <row r="335" spans="149:167">
      <c r="ES335" s="29"/>
      <c r="EV335" s="28">
        <f t="shared" si="11"/>
        <v>0</v>
      </c>
      <c r="FH335" s="29" t="str">
        <f t="shared" si="12"/>
        <v/>
      </c>
      <c r="FJ335" s="36" t="str">
        <f>IF($FH335="","",SUM($FN335:$FN$7000))</f>
        <v/>
      </c>
      <c r="FK335" s="36" t="str">
        <f>IF($FH335="","",SUM($FN335:$FN$7000))</f>
        <v/>
      </c>
    </row>
    <row r="336" spans="149:167">
      <c r="ES336" s="29"/>
      <c r="EV336" s="28">
        <f t="shared" si="11"/>
        <v>0</v>
      </c>
      <c r="FH336" s="29" t="str">
        <f t="shared" si="12"/>
        <v/>
      </c>
      <c r="FJ336" s="36" t="str">
        <f>IF($FH336="","",SUM($FN336:$FN$7000))</f>
        <v/>
      </c>
      <c r="FK336" s="36" t="str">
        <f>IF($FH336="","",SUM($FN336:$FN$7000))</f>
        <v/>
      </c>
    </row>
    <row r="337" spans="149:167">
      <c r="ES337" s="29"/>
      <c r="EV337" s="28">
        <f t="shared" si="11"/>
        <v>0</v>
      </c>
      <c r="FH337" s="29" t="str">
        <f t="shared" si="12"/>
        <v/>
      </c>
      <c r="FJ337" s="36" t="str">
        <f>IF($FH337="","",SUM($FN337:$FN$7000))</f>
        <v/>
      </c>
      <c r="FK337" s="36" t="str">
        <f>IF($FH337="","",SUM($FN337:$FN$7000))</f>
        <v/>
      </c>
    </row>
    <row r="338" spans="149:167">
      <c r="ES338" s="29"/>
      <c r="EV338" s="28">
        <f t="shared" si="11"/>
        <v>0</v>
      </c>
      <c r="FH338" s="29" t="str">
        <f t="shared" si="12"/>
        <v/>
      </c>
      <c r="FJ338" s="36" t="str">
        <f>IF($FH338="","",SUM($FN338:$FN$7000))</f>
        <v/>
      </c>
      <c r="FK338" s="36" t="str">
        <f>IF($FH338="","",SUM($FN338:$FN$7000))</f>
        <v/>
      </c>
    </row>
    <row r="339" spans="149:167">
      <c r="ES339" s="29"/>
      <c r="EV339" s="28">
        <f t="shared" si="11"/>
        <v>0</v>
      </c>
      <c r="FH339" s="29" t="str">
        <f t="shared" si="12"/>
        <v/>
      </c>
      <c r="FJ339" s="36" t="str">
        <f>IF($FH339="","",SUM($FN339:$FN$7000))</f>
        <v/>
      </c>
      <c r="FK339" s="36" t="str">
        <f>IF($FH339="","",SUM($FN339:$FN$7000))</f>
        <v/>
      </c>
    </row>
    <row r="340" spans="149:167">
      <c r="ES340" s="29"/>
      <c r="EV340" s="28">
        <f t="shared" si="11"/>
        <v>0</v>
      </c>
      <c r="FH340" s="29" t="str">
        <f t="shared" si="12"/>
        <v/>
      </c>
      <c r="FJ340" s="36" t="str">
        <f>IF($FH340="","",SUM($FN340:$FN$7000))</f>
        <v/>
      </c>
      <c r="FK340" s="36" t="str">
        <f>IF($FH340="","",SUM($FN340:$FN$7000))</f>
        <v/>
      </c>
    </row>
    <row r="341" spans="149:167">
      <c r="ES341" s="29"/>
      <c r="EV341" s="28">
        <f t="shared" si="11"/>
        <v>0</v>
      </c>
      <c r="FH341" s="29" t="str">
        <f t="shared" si="12"/>
        <v/>
      </c>
      <c r="FJ341" s="36" t="str">
        <f>IF($FH341="","",SUM($FN341:$FN$7000))</f>
        <v/>
      </c>
      <c r="FK341" s="36" t="str">
        <f>IF($FH341="","",SUM($FN341:$FN$7000))</f>
        <v/>
      </c>
    </row>
    <row r="342" spans="149:167">
      <c r="ES342" s="29"/>
      <c r="EV342" s="28">
        <f t="shared" si="11"/>
        <v>0</v>
      </c>
      <c r="FH342" s="29" t="str">
        <f t="shared" si="12"/>
        <v/>
      </c>
      <c r="FJ342" s="36" t="str">
        <f>IF($FH342="","",SUM($FN342:$FN$7000))</f>
        <v/>
      </c>
      <c r="FK342" s="36" t="str">
        <f>IF($FH342="","",SUM($FN342:$FN$7000))</f>
        <v/>
      </c>
    </row>
    <row r="343" spans="149:167">
      <c r="ES343" s="29"/>
      <c r="EV343" s="28">
        <f t="shared" si="11"/>
        <v>0</v>
      </c>
      <c r="FH343" s="29" t="str">
        <f t="shared" si="12"/>
        <v/>
      </c>
      <c r="FJ343" s="36" t="str">
        <f>IF($FH343="","",SUM($FN343:$FN$7000))</f>
        <v/>
      </c>
      <c r="FK343" s="36" t="str">
        <f>IF($FH343="","",SUM($FN343:$FN$7000))</f>
        <v/>
      </c>
    </row>
    <row r="344" spans="149:167">
      <c r="ES344" s="29"/>
      <c r="EV344" s="28">
        <f t="shared" si="11"/>
        <v>0</v>
      </c>
      <c r="FH344" s="29" t="str">
        <f t="shared" si="12"/>
        <v/>
      </c>
      <c r="FJ344" s="36" t="str">
        <f>IF($FH344="","",SUM($FN344:$FN$7000))</f>
        <v/>
      </c>
      <c r="FK344" s="36" t="str">
        <f>IF($FH344="","",SUM($FN344:$FN$7000))</f>
        <v/>
      </c>
    </row>
    <row r="345" spans="149:167">
      <c r="ES345" s="29"/>
      <c r="EV345" s="28">
        <f t="shared" si="11"/>
        <v>0</v>
      </c>
      <c r="FH345" s="29" t="str">
        <f t="shared" si="12"/>
        <v/>
      </c>
      <c r="FJ345" s="36" t="str">
        <f>IF($FH345="","",SUM($FN345:$FN$7000))</f>
        <v/>
      </c>
      <c r="FK345" s="36" t="str">
        <f>IF($FH345="","",SUM($FN345:$FN$7000))</f>
        <v/>
      </c>
    </row>
    <row r="346" spans="149:167">
      <c r="ES346" s="29"/>
      <c r="EV346" s="28">
        <f t="shared" si="11"/>
        <v>0</v>
      </c>
      <c r="FH346" s="29" t="str">
        <f t="shared" si="12"/>
        <v/>
      </c>
      <c r="FJ346" s="36" t="str">
        <f>IF($FH346="","",SUM($FN346:$FN$7000))</f>
        <v/>
      </c>
      <c r="FK346" s="36" t="str">
        <f>IF($FH346="","",SUM($FN346:$FN$7000))</f>
        <v/>
      </c>
    </row>
    <row r="347" spans="149:167">
      <c r="ES347" s="29"/>
      <c r="EV347" s="28">
        <f t="shared" si="11"/>
        <v>0</v>
      </c>
      <c r="FH347" s="29" t="str">
        <f t="shared" si="12"/>
        <v/>
      </c>
      <c r="FJ347" s="36" t="str">
        <f>IF($FH347="","",SUM($FN347:$FN$7000))</f>
        <v/>
      </c>
      <c r="FK347" s="36" t="str">
        <f>IF($FH347="","",SUM($FN347:$FN$7000))</f>
        <v/>
      </c>
    </row>
    <row r="348" spans="149:167">
      <c r="ES348" s="29"/>
      <c r="EV348" s="28">
        <f t="shared" si="11"/>
        <v>0</v>
      </c>
      <c r="FH348" s="29" t="str">
        <f t="shared" si="12"/>
        <v/>
      </c>
      <c r="FJ348" s="36" t="str">
        <f>IF($FH348="","",SUM($FN348:$FN$7000))</f>
        <v/>
      </c>
      <c r="FK348" s="36" t="str">
        <f>IF($FH348="","",SUM($FN348:$FN$7000))</f>
        <v/>
      </c>
    </row>
    <row r="349" spans="149:167">
      <c r="ES349" s="29"/>
      <c r="EV349" s="28">
        <f t="shared" si="11"/>
        <v>0</v>
      </c>
      <c r="FH349" s="29" t="str">
        <f t="shared" si="12"/>
        <v/>
      </c>
      <c r="FJ349" s="36" t="str">
        <f>IF($FH349="","",SUM($FN349:$FN$7000))</f>
        <v/>
      </c>
      <c r="FK349" s="36" t="str">
        <f>IF($FH349="","",SUM($FN349:$FN$7000))</f>
        <v/>
      </c>
    </row>
    <row r="350" spans="149:167">
      <c r="ES350" s="29"/>
      <c r="EV350" s="28">
        <f t="shared" si="11"/>
        <v>0</v>
      </c>
      <c r="FH350" s="29" t="str">
        <f t="shared" si="12"/>
        <v/>
      </c>
      <c r="FJ350" s="36" t="str">
        <f>IF($FH350="","",SUM($FN350:$FN$7000))</f>
        <v/>
      </c>
      <c r="FK350" s="36" t="str">
        <f>IF($FH350="","",SUM($FN350:$FN$7000))</f>
        <v/>
      </c>
    </row>
    <row r="351" spans="149:167">
      <c r="ES351" s="29"/>
      <c r="EV351" s="28">
        <f t="shared" si="11"/>
        <v>0</v>
      </c>
      <c r="FH351" s="29" t="str">
        <f t="shared" si="12"/>
        <v/>
      </c>
      <c r="FJ351" s="36" t="str">
        <f>IF($FH351="","",SUM($FN351:$FN$7000))</f>
        <v/>
      </c>
      <c r="FK351" s="36" t="str">
        <f>IF($FH351="","",SUM($FN351:$FN$7000))</f>
        <v/>
      </c>
    </row>
    <row r="352" spans="149:167">
      <c r="ES352" s="29"/>
      <c r="EV352" s="28">
        <f t="shared" si="11"/>
        <v>0</v>
      </c>
      <c r="FH352" s="29" t="str">
        <f t="shared" si="12"/>
        <v/>
      </c>
      <c r="FJ352" s="36" t="str">
        <f>IF($FH352="","",SUM($FN352:$FN$7000))</f>
        <v/>
      </c>
      <c r="FK352" s="36" t="str">
        <f>IF($FH352="","",SUM($FN352:$FN$7000))</f>
        <v/>
      </c>
    </row>
    <row r="353" spans="149:167">
      <c r="ES353" s="29"/>
      <c r="EV353" s="28">
        <f t="shared" si="11"/>
        <v>0</v>
      </c>
      <c r="FH353" s="29" t="str">
        <f t="shared" si="12"/>
        <v/>
      </c>
      <c r="FJ353" s="36" t="str">
        <f>IF($FH353="","",SUM($FN353:$FN$7000))</f>
        <v/>
      </c>
      <c r="FK353" s="36" t="str">
        <f>IF($FH353="","",SUM($FN353:$FN$7000))</f>
        <v/>
      </c>
    </row>
    <row r="354" spans="149:167">
      <c r="ES354" s="29"/>
      <c r="EV354" s="28">
        <f t="shared" si="11"/>
        <v>0</v>
      </c>
      <c r="FH354" s="29" t="str">
        <f t="shared" si="12"/>
        <v/>
      </c>
      <c r="FJ354" s="36" t="str">
        <f>IF($FH354="","",SUM($FN354:$FN$7000))</f>
        <v/>
      </c>
      <c r="FK354" s="36" t="str">
        <f>IF($FH354="","",SUM($FN354:$FN$7000))</f>
        <v/>
      </c>
    </row>
    <row r="355" spans="149:167">
      <c r="ES355" s="29"/>
      <c r="EV355" s="28">
        <f t="shared" si="11"/>
        <v>0</v>
      </c>
      <c r="FH355" s="29" t="str">
        <f t="shared" si="12"/>
        <v/>
      </c>
      <c r="FJ355" s="36" t="str">
        <f>IF($FH355="","",SUM($FN355:$FN$7000))</f>
        <v/>
      </c>
      <c r="FK355" s="36" t="str">
        <f>IF($FH355="","",SUM($FN355:$FN$7000))</f>
        <v/>
      </c>
    </row>
    <row r="356" spans="149:167">
      <c r="ES356" s="29"/>
      <c r="EV356" s="28">
        <f t="shared" si="11"/>
        <v>0</v>
      </c>
      <c r="FH356" s="29" t="str">
        <f t="shared" si="12"/>
        <v/>
      </c>
      <c r="FJ356" s="36" t="str">
        <f>IF($FH356="","",SUM($FN356:$FN$7000))</f>
        <v/>
      </c>
      <c r="FK356" s="36" t="str">
        <f>IF($FH356="","",SUM($FN356:$FN$7000))</f>
        <v/>
      </c>
    </row>
    <row r="357" spans="149:167">
      <c r="ES357" s="29"/>
      <c r="EV357" s="28">
        <f t="shared" si="11"/>
        <v>0</v>
      </c>
      <c r="FH357" s="29" t="str">
        <f t="shared" si="12"/>
        <v/>
      </c>
      <c r="FJ357" s="36" t="str">
        <f>IF($FH357="","",SUM($FN357:$FN$7000))</f>
        <v/>
      </c>
      <c r="FK357" s="36" t="str">
        <f>IF($FH357="","",SUM($FN357:$FN$7000))</f>
        <v/>
      </c>
    </row>
    <row r="358" spans="149:167">
      <c r="ES358" s="29"/>
      <c r="EV358" s="28">
        <f t="shared" si="11"/>
        <v>0</v>
      </c>
      <c r="FH358" s="29" t="str">
        <f t="shared" si="12"/>
        <v/>
      </c>
      <c r="FJ358" s="36" t="str">
        <f>IF($FH358="","",SUM($FN358:$FN$7000))</f>
        <v/>
      </c>
      <c r="FK358" s="36" t="str">
        <f>IF($FH358="","",SUM($FN358:$FN$7000))</f>
        <v/>
      </c>
    </row>
    <row r="359" spans="149:167">
      <c r="ES359" s="29"/>
      <c r="EV359" s="28">
        <f t="shared" si="11"/>
        <v>0</v>
      </c>
      <c r="FH359" s="29" t="str">
        <f t="shared" si="12"/>
        <v/>
      </c>
      <c r="FJ359" s="36" t="str">
        <f>IF($FH359="","",SUM($FN359:$FN$7000))</f>
        <v/>
      </c>
      <c r="FK359" s="36" t="str">
        <f>IF($FH359="","",SUM($FN359:$FN$7000))</f>
        <v/>
      </c>
    </row>
    <row r="360" spans="149:167">
      <c r="ES360" s="29"/>
      <c r="EV360" s="28">
        <f t="shared" si="11"/>
        <v>0</v>
      </c>
      <c r="FH360" s="29" t="str">
        <f t="shared" si="12"/>
        <v/>
      </c>
      <c r="FJ360" s="36" t="str">
        <f>IF($FH360="","",SUM($FN360:$FN$7000))</f>
        <v/>
      </c>
      <c r="FK360" s="36" t="str">
        <f>IF($FH360="","",SUM($FN360:$FN$7000))</f>
        <v/>
      </c>
    </row>
    <row r="361" spans="149:167">
      <c r="ES361" s="29"/>
      <c r="EV361" s="28">
        <f t="shared" si="11"/>
        <v>0</v>
      </c>
      <c r="FH361" s="29" t="str">
        <f t="shared" si="12"/>
        <v/>
      </c>
      <c r="FJ361" s="36" t="str">
        <f>IF($FH361="","",SUM($FN361:$FN$7000))</f>
        <v/>
      </c>
      <c r="FK361" s="36" t="str">
        <f>IF($FH361="","",SUM($FN361:$FN$7000))</f>
        <v/>
      </c>
    </row>
    <row r="362" spans="149:167">
      <c r="ES362" s="29"/>
      <c r="EV362" s="28">
        <f t="shared" si="11"/>
        <v>0</v>
      </c>
      <c r="FH362" s="29" t="str">
        <f t="shared" si="12"/>
        <v/>
      </c>
      <c r="FJ362" s="36" t="str">
        <f>IF($FH362="","",SUM($FN362:$FN$7000))</f>
        <v/>
      </c>
      <c r="FK362" s="36" t="str">
        <f>IF($FH362="","",SUM($FN362:$FN$7000))</f>
        <v/>
      </c>
    </row>
    <row r="363" spans="149:167">
      <c r="ES363" s="29"/>
      <c r="EV363" s="28">
        <f t="shared" si="11"/>
        <v>0</v>
      </c>
      <c r="FH363" s="29" t="str">
        <f t="shared" si="12"/>
        <v/>
      </c>
      <c r="FJ363" s="36" t="str">
        <f>IF($FH363="","",SUM($FN363:$FN$7000))</f>
        <v/>
      </c>
      <c r="FK363" s="36" t="str">
        <f>IF($FH363="","",SUM($FN363:$FN$7000))</f>
        <v/>
      </c>
    </row>
    <row r="364" spans="149:167">
      <c r="ES364" s="29"/>
      <c r="EV364" s="28">
        <f t="shared" si="11"/>
        <v>0</v>
      </c>
      <c r="FH364" s="29" t="str">
        <f t="shared" si="12"/>
        <v/>
      </c>
      <c r="FJ364" s="36" t="str">
        <f>IF($FH364="","",SUM($FN364:$FN$7000))</f>
        <v/>
      </c>
      <c r="FK364" s="36" t="str">
        <f>IF($FH364="","",SUM($FN364:$FN$7000))</f>
        <v/>
      </c>
    </row>
    <row r="365" spans="149:167">
      <c r="ES365" s="29"/>
      <c r="EV365" s="28">
        <f t="shared" si="11"/>
        <v>0</v>
      </c>
      <c r="FH365" s="29" t="str">
        <f t="shared" si="12"/>
        <v/>
      </c>
      <c r="FJ365" s="36" t="str">
        <f>IF($FH365="","",SUM($FN365:$FN$7000))</f>
        <v/>
      </c>
      <c r="FK365" s="36" t="str">
        <f>IF($FH365="","",SUM($FN365:$FN$7000))</f>
        <v/>
      </c>
    </row>
    <row r="366" spans="149:167">
      <c r="ES366" s="29"/>
      <c r="EV366" s="28">
        <f t="shared" si="11"/>
        <v>0</v>
      </c>
      <c r="FH366" s="29" t="str">
        <f t="shared" si="12"/>
        <v/>
      </c>
      <c r="FJ366" s="36" t="str">
        <f>IF($FH366="","",SUM($FN366:$FN$7000))</f>
        <v/>
      </c>
      <c r="FK366" s="36" t="str">
        <f>IF($FH366="","",SUM($FN366:$FN$7000))</f>
        <v/>
      </c>
    </row>
    <row r="367" spans="149:167">
      <c r="ES367" s="29"/>
      <c r="EV367" s="28">
        <f t="shared" si="11"/>
        <v>0</v>
      </c>
      <c r="FH367" s="29" t="str">
        <f t="shared" si="12"/>
        <v/>
      </c>
      <c r="FJ367" s="36" t="str">
        <f>IF($FH367="","",SUM($FN367:$FN$7000))</f>
        <v/>
      </c>
      <c r="FK367" s="36" t="str">
        <f>IF($FH367="","",SUM($FN367:$FN$7000))</f>
        <v/>
      </c>
    </row>
    <row r="368" spans="149:167">
      <c r="ES368" s="29"/>
      <c r="EV368" s="28">
        <f t="shared" si="11"/>
        <v>0</v>
      </c>
      <c r="FH368" s="29" t="str">
        <f t="shared" si="12"/>
        <v/>
      </c>
      <c r="FJ368" s="36" t="str">
        <f>IF($FH368="","",SUM($FN368:$FN$7000))</f>
        <v/>
      </c>
      <c r="FK368" s="36" t="str">
        <f>IF($FH368="","",SUM($FN368:$FN$7000))</f>
        <v/>
      </c>
    </row>
    <row r="369" spans="149:167">
      <c r="ES369" s="29"/>
      <c r="EV369" s="28">
        <f t="shared" si="11"/>
        <v>0</v>
      </c>
      <c r="FH369" s="29" t="str">
        <f t="shared" si="12"/>
        <v/>
      </c>
      <c r="FJ369" s="36" t="str">
        <f>IF($FH369="","",SUM($FN369:$FN$7000))</f>
        <v/>
      </c>
      <c r="FK369" s="36" t="str">
        <f>IF($FH369="","",SUM($FN369:$FN$7000))</f>
        <v/>
      </c>
    </row>
    <row r="370" spans="149:167">
      <c r="ES370" s="29"/>
      <c r="EV370" s="28">
        <f t="shared" si="11"/>
        <v>0</v>
      </c>
      <c r="FH370" s="29" t="str">
        <f t="shared" si="12"/>
        <v/>
      </c>
      <c r="FJ370" s="36" t="str">
        <f>IF($FH370="","",SUM($FN370:$FN$7000))</f>
        <v/>
      </c>
      <c r="FK370" s="36" t="str">
        <f>IF($FH370="","",SUM($FN370:$FN$7000))</f>
        <v/>
      </c>
    </row>
    <row r="371" spans="149:167">
      <c r="ES371" s="29"/>
      <c r="EV371" s="28">
        <f t="shared" si="11"/>
        <v>0</v>
      </c>
      <c r="FH371" s="29" t="str">
        <f t="shared" si="12"/>
        <v/>
      </c>
      <c r="FJ371" s="36" t="str">
        <f>IF($FH371="","",SUM($FN371:$FN$7000))</f>
        <v/>
      </c>
      <c r="FK371" s="36" t="str">
        <f>IF($FH371="","",SUM($FN371:$FN$7000))</f>
        <v/>
      </c>
    </row>
    <row r="372" spans="149:167">
      <c r="ES372" s="29"/>
      <c r="EV372" s="28">
        <f t="shared" si="11"/>
        <v>0</v>
      </c>
      <c r="FH372" s="29" t="str">
        <f t="shared" si="12"/>
        <v/>
      </c>
      <c r="FJ372" s="36" t="str">
        <f>IF($FH372="","",SUM($FN372:$FN$7000))</f>
        <v/>
      </c>
      <c r="FK372" s="36" t="str">
        <f>IF($FH372="","",SUM($FN372:$FN$7000))</f>
        <v/>
      </c>
    </row>
    <row r="373" spans="149:167">
      <c r="ES373" s="29"/>
      <c r="EV373" s="28">
        <f t="shared" si="11"/>
        <v>0</v>
      </c>
      <c r="FH373" s="29" t="str">
        <f t="shared" si="12"/>
        <v/>
      </c>
      <c r="FJ373" s="36" t="str">
        <f>IF($FH373="","",SUM($FN373:$FN$7000))</f>
        <v/>
      </c>
      <c r="FK373" s="36" t="str">
        <f>IF($FH373="","",SUM($FN373:$FN$7000))</f>
        <v/>
      </c>
    </row>
    <row r="374" spans="149:167">
      <c r="ES374" s="29"/>
      <c r="EV374" s="28">
        <f t="shared" si="11"/>
        <v>0</v>
      </c>
      <c r="FH374" s="29" t="str">
        <f t="shared" si="12"/>
        <v/>
      </c>
      <c r="FJ374" s="36" t="str">
        <f>IF($FH374="","",SUM($FN374:$FN$7000))</f>
        <v/>
      </c>
      <c r="FK374" s="36" t="str">
        <f>IF($FH374="","",SUM($FN374:$FN$7000))</f>
        <v/>
      </c>
    </row>
    <row r="375" spans="149:167">
      <c r="ES375" s="29"/>
      <c r="EV375" s="28">
        <f t="shared" si="11"/>
        <v>0</v>
      </c>
      <c r="FH375" s="29" t="str">
        <f t="shared" si="12"/>
        <v/>
      </c>
      <c r="FJ375" s="36" t="str">
        <f>IF($FH375="","",SUM($FN375:$FN$7000))</f>
        <v/>
      </c>
      <c r="FK375" s="36" t="str">
        <f>IF($FH375="","",SUM($FN375:$FN$7000))</f>
        <v/>
      </c>
    </row>
    <row r="376" spans="149:167">
      <c r="ES376" s="29"/>
      <c r="EV376" s="28">
        <f t="shared" si="11"/>
        <v>0</v>
      </c>
      <c r="FH376" s="29" t="str">
        <f t="shared" si="12"/>
        <v/>
      </c>
      <c r="FJ376" s="36" t="str">
        <f>IF($FH376="","",SUM($FN376:$FN$7000))</f>
        <v/>
      </c>
      <c r="FK376" s="36" t="str">
        <f>IF($FH376="","",SUM($FN376:$FN$7000))</f>
        <v/>
      </c>
    </row>
    <row r="377" spans="149:167">
      <c r="ES377" s="29"/>
      <c r="EV377" s="28">
        <f t="shared" si="11"/>
        <v>0</v>
      </c>
      <c r="FH377" s="29" t="str">
        <f t="shared" si="12"/>
        <v/>
      </c>
      <c r="FJ377" s="36" t="str">
        <f>IF($FH377="","",SUM($FN377:$FN$7000))</f>
        <v/>
      </c>
      <c r="FK377" s="36" t="str">
        <f>IF($FH377="","",SUM($FN377:$FN$7000))</f>
        <v/>
      </c>
    </row>
    <row r="378" spans="149:167">
      <c r="ES378" s="29"/>
      <c r="EV378" s="28">
        <f t="shared" si="11"/>
        <v>0</v>
      </c>
      <c r="FH378" s="29" t="str">
        <f t="shared" si="12"/>
        <v/>
      </c>
      <c r="FJ378" s="36" t="str">
        <f>IF($FH378="","",SUM($FN378:$FN$7000))</f>
        <v/>
      </c>
      <c r="FK378" s="36" t="str">
        <f>IF($FH378="","",SUM($FN378:$FN$7000))</f>
        <v/>
      </c>
    </row>
    <row r="379" spans="149:167">
      <c r="ES379" s="29"/>
      <c r="EV379" s="28">
        <f t="shared" si="11"/>
        <v>0</v>
      </c>
      <c r="FH379" s="29" t="str">
        <f t="shared" si="12"/>
        <v/>
      </c>
      <c r="FJ379" s="36" t="str">
        <f>IF($FH379="","",SUM($FN379:$FN$7000))</f>
        <v/>
      </c>
      <c r="FK379" s="36" t="str">
        <f>IF($FH379="","",SUM($FN379:$FN$7000))</f>
        <v/>
      </c>
    </row>
    <row r="380" spans="149:167">
      <c r="ES380" s="29"/>
      <c r="EV380" s="28">
        <f t="shared" si="11"/>
        <v>0</v>
      </c>
      <c r="FH380" s="29" t="str">
        <f t="shared" si="12"/>
        <v/>
      </c>
      <c r="FJ380" s="36" t="str">
        <f>IF($FH380="","",SUM($FN380:$FN$7000))</f>
        <v/>
      </c>
      <c r="FK380" s="36" t="str">
        <f>IF($FH380="","",SUM($FN380:$FN$7000))</f>
        <v/>
      </c>
    </row>
    <row r="381" spans="149:167">
      <c r="ES381" s="29"/>
      <c r="EV381" s="28">
        <f t="shared" si="11"/>
        <v>0</v>
      </c>
      <c r="FH381" s="29" t="str">
        <f t="shared" si="12"/>
        <v/>
      </c>
      <c r="FJ381" s="36" t="str">
        <f>IF($FH381="","",SUM($FN381:$FN$7000))</f>
        <v/>
      </c>
      <c r="FK381" s="36" t="str">
        <f>IF($FH381="","",SUM($FN381:$FN$7000))</f>
        <v/>
      </c>
    </row>
    <row r="382" spans="149:167">
      <c r="ES382" s="29"/>
      <c r="EV382" s="28">
        <f t="shared" si="11"/>
        <v>0</v>
      </c>
      <c r="FH382" s="29" t="str">
        <f t="shared" si="12"/>
        <v/>
      </c>
      <c r="FJ382" s="36" t="str">
        <f>IF($FH382="","",SUM($FN382:$FN$7000))</f>
        <v/>
      </c>
      <c r="FK382" s="36" t="str">
        <f>IF($FH382="","",SUM($FN382:$FN$7000))</f>
        <v/>
      </c>
    </row>
    <row r="383" spans="149:167">
      <c r="ES383" s="29"/>
      <c r="EV383" s="28">
        <f t="shared" si="11"/>
        <v>0</v>
      </c>
      <c r="FH383" s="29" t="str">
        <f t="shared" si="12"/>
        <v/>
      </c>
      <c r="FJ383" s="36" t="str">
        <f>IF($FH383="","",SUM($FN383:$FN$7000))</f>
        <v/>
      </c>
      <c r="FK383" s="36" t="str">
        <f>IF($FH383="","",SUM($FN383:$FN$7000))</f>
        <v/>
      </c>
    </row>
    <row r="384" spans="149:167">
      <c r="ES384" s="29"/>
      <c r="EV384" s="28">
        <f t="shared" si="11"/>
        <v>0</v>
      </c>
      <c r="FH384" s="29" t="str">
        <f t="shared" si="12"/>
        <v/>
      </c>
      <c r="FJ384" s="36" t="str">
        <f>IF($FH384="","",SUM($FN384:$FN$7000))</f>
        <v/>
      </c>
      <c r="FK384" s="36" t="str">
        <f>IF($FH384="","",SUM($FN384:$FN$7000))</f>
        <v/>
      </c>
    </row>
    <row r="385" spans="149:167">
      <c r="ES385" s="29"/>
      <c r="EV385" s="28">
        <f t="shared" si="11"/>
        <v>0</v>
      </c>
      <c r="FH385" s="29" t="str">
        <f t="shared" si="12"/>
        <v/>
      </c>
      <c r="FJ385" s="36" t="str">
        <f>IF($FH385="","",SUM($FN385:$FN$7000))</f>
        <v/>
      </c>
      <c r="FK385" s="36" t="str">
        <f>IF($FH385="","",SUM($FN385:$FN$7000))</f>
        <v/>
      </c>
    </row>
    <row r="386" spans="149:167">
      <c r="ES386" s="29"/>
      <c r="EV386" s="28">
        <f t="shared" si="11"/>
        <v>0</v>
      </c>
      <c r="FH386" s="29" t="str">
        <f t="shared" si="12"/>
        <v/>
      </c>
      <c r="FJ386" s="36" t="str">
        <f>IF($FH386="","",SUM($FN386:$FN$7000))</f>
        <v/>
      </c>
      <c r="FK386" s="36" t="str">
        <f>IF($FH386="","",SUM($FN386:$FN$7000))</f>
        <v/>
      </c>
    </row>
    <row r="387" spans="149:167">
      <c r="ES387" s="29"/>
      <c r="EV387" s="28">
        <f t="shared" si="11"/>
        <v>0</v>
      </c>
      <c r="FH387" s="29" t="str">
        <f t="shared" si="12"/>
        <v/>
      </c>
      <c r="FJ387" s="36" t="str">
        <f>IF($FH387="","",SUM($FN387:$FN$7000))</f>
        <v/>
      </c>
      <c r="FK387" s="36" t="str">
        <f>IF($FH387="","",SUM($FN387:$FN$7000))</f>
        <v/>
      </c>
    </row>
    <row r="388" spans="149:167">
      <c r="ES388" s="29"/>
      <c r="EV388" s="28">
        <f t="shared" si="11"/>
        <v>0</v>
      </c>
      <c r="FH388" s="29" t="str">
        <f t="shared" si="12"/>
        <v/>
      </c>
      <c r="FJ388" s="36" t="str">
        <f>IF($FH388="","",SUM($FN388:$FN$7000))</f>
        <v/>
      </c>
      <c r="FK388" s="36" t="str">
        <f>IF($FH388="","",SUM($FN388:$FN$7000))</f>
        <v/>
      </c>
    </row>
    <row r="389" spans="149:167">
      <c r="ES389" s="29"/>
      <c r="EV389" s="28">
        <f t="shared" si="11"/>
        <v>0</v>
      </c>
      <c r="FH389" s="29" t="str">
        <f t="shared" si="12"/>
        <v/>
      </c>
      <c r="FJ389" s="36" t="str">
        <f>IF($FH389="","",SUM($FN389:$FN$7000))</f>
        <v/>
      </c>
      <c r="FK389" s="36" t="str">
        <f>IF($FH389="","",SUM($FN389:$FN$7000))</f>
        <v/>
      </c>
    </row>
    <row r="390" spans="149:167">
      <c r="ES390" s="29"/>
      <c r="EV390" s="28">
        <f t="shared" si="11"/>
        <v>0</v>
      </c>
      <c r="FH390" s="29" t="str">
        <f t="shared" si="12"/>
        <v/>
      </c>
      <c r="FJ390" s="36" t="str">
        <f>IF($FH390="","",SUM($FN390:$FN$7000))</f>
        <v/>
      </c>
      <c r="FK390" s="36" t="str">
        <f>IF($FH390="","",SUM($FN390:$FN$7000))</f>
        <v/>
      </c>
    </row>
    <row r="391" spans="149:167">
      <c r="ES391" s="29"/>
      <c r="EV391" s="28">
        <f t="shared" si="11"/>
        <v>0</v>
      </c>
      <c r="FH391" s="29" t="str">
        <f t="shared" si="12"/>
        <v/>
      </c>
      <c r="FJ391" s="36" t="str">
        <f>IF($FH391="","",SUM($FN391:$FN$7000))</f>
        <v/>
      </c>
      <c r="FK391" s="36" t="str">
        <f>IF($FH391="","",SUM($FN391:$FN$7000))</f>
        <v/>
      </c>
    </row>
    <row r="392" spans="149:167">
      <c r="ES392" s="29"/>
      <c r="EV392" s="28">
        <f t="shared" si="11"/>
        <v>0</v>
      </c>
      <c r="FH392" s="29" t="str">
        <f t="shared" si="12"/>
        <v/>
      </c>
      <c r="FJ392" s="36" t="str">
        <f>IF($FH392="","",SUM($FN392:$FN$7000))</f>
        <v/>
      </c>
      <c r="FK392" s="36" t="str">
        <f>IF($FH392="","",SUM($FN392:$FN$7000))</f>
        <v/>
      </c>
    </row>
    <row r="393" spans="149:167">
      <c r="ES393" s="29"/>
      <c r="EV393" s="28">
        <f t="shared" si="11"/>
        <v>0</v>
      </c>
      <c r="FH393" s="29" t="str">
        <f t="shared" si="12"/>
        <v/>
      </c>
      <c r="FJ393" s="36" t="str">
        <f>IF($FH393="","",SUM($FN393:$FN$7000))</f>
        <v/>
      </c>
      <c r="FK393" s="36" t="str">
        <f>IF($FH393="","",SUM($FN393:$FN$7000))</f>
        <v/>
      </c>
    </row>
    <row r="394" spans="149:167">
      <c r="ES394" s="29"/>
      <c r="EV394" s="28">
        <f t="shared" si="11"/>
        <v>0</v>
      </c>
      <c r="FH394" s="29" t="str">
        <f t="shared" si="12"/>
        <v/>
      </c>
      <c r="FJ394" s="36" t="str">
        <f>IF($FH394="","",SUM($FN394:$FN$7000))</f>
        <v/>
      </c>
      <c r="FK394" s="36" t="str">
        <f>IF($FH394="","",SUM($FN394:$FN$7000))</f>
        <v/>
      </c>
    </row>
    <row r="395" spans="149:167">
      <c r="ES395" s="29"/>
      <c r="EV395" s="28">
        <f t="shared" ref="EV395:EV458" si="13">EU395-ET395</f>
        <v>0</v>
      </c>
      <c r="FH395" s="29" t="str">
        <f t="shared" ref="FH395:FH458" si="14">IF(FL395="","",FL395)</f>
        <v/>
      </c>
      <c r="FJ395" s="36" t="str">
        <f>IF($FH395="","",SUM($FN395:$FN$7000))</f>
        <v/>
      </c>
      <c r="FK395" s="36" t="str">
        <f>IF($FH395="","",SUM($FN395:$FN$7000))</f>
        <v/>
      </c>
    </row>
    <row r="396" spans="149:167">
      <c r="ES396" s="29"/>
      <c r="EV396" s="28">
        <f t="shared" si="13"/>
        <v>0</v>
      </c>
      <c r="FH396" s="29" t="str">
        <f t="shared" si="14"/>
        <v/>
      </c>
      <c r="FJ396" s="36" t="str">
        <f>IF($FH396="","",SUM($FN396:$FN$7000))</f>
        <v/>
      </c>
      <c r="FK396" s="36" t="str">
        <f>IF($FH396="","",SUM($FN396:$FN$7000))</f>
        <v/>
      </c>
    </row>
    <row r="397" spans="149:167">
      <c r="ES397" s="29"/>
      <c r="EV397" s="28">
        <f t="shared" si="13"/>
        <v>0</v>
      </c>
      <c r="FH397" s="29" t="str">
        <f t="shared" si="14"/>
        <v/>
      </c>
      <c r="FJ397" s="36" t="str">
        <f>IF($FH397="","",SUM($FN397:$FN$7000))</f>
        <v/>
      </c>
      <c r="FK397" s="36" t="str">
        <f>IF($FH397="","",SUM($FN397:$FN$7000))</f>
        <v/>
      </c>
    </row>
    <row r="398" spans="149:167">
      <c r="ES398" s="29"/>
      <c r="EV398" s="28">
        <f t="shared" si="13"/>
        <v>0</v>
      </c>
      <c r="FH398" s="29" t="str">
        <f t="shared" si="14"/>
        <v/>
      </c>
      <c r="FJ398" s="36" t="str">
        <f>IF($FH398="","",SUM($FN398:$FN$7000))</f>
        <v/>
      </c>
      <c r="FK398" s="36" t="str">
        <f>IF($FH398="","",SUM($FN398:$FN$7000))</f>
        <v/>
      </c>
    </row>
    <row r="399" spans="149:167">
      <c r="ES399" s="29"/>
      <c r="EV399" s="28">
        <f t="shared" si="13"/>
        <v>0</v>
      </c>
      <c r="FH399" s="29" t="str">
        <f t="shared" si="14"/>
        <v/>
      </c>
      <c r="FJ399" s="36" t="str">
        <f>IF($FH399="","",SUM($FN399:$FN$7000))</f>
        <v/>
      </c>
      <c r="FK399" s="36" t="str">
        <f>IF($FH399="","",SUM($FN399:$FN$7000))</f>
        <v/>
      </c>
    </row>
    <row r="400" spans="149:167">
      <c r="ES400" s="29"/>
      <c r="EV400" s="28">
        <f t="shared" si="13"/>
        <v>0</v>
      </c>
      <c r="FH400" s="29" t="str">
        <f t="shared" si="14"/>
        <v/>
      </c>
      <c r="FJ400" s="36" t="str">
        <f>IF($FH400="","",SUM($FN400:$FN$7000))</f>
        <v/>
      </c>
      <c r="FK400" s="36" t="str">
        <f>IF($FH400="","",SUM($FN400:$FN$7000))</f>
        <v/>
      </c>
    </row>
    <row r="401" spans="149:167">
      <c r="ES401" s="29"/>
      <c r="EV401" s="28">
        <f t="shared" si="13"/>
        <v>0</v>
      </c>
      <c r="FH401" s="29" t="str">
        <f t="shared" si="14"/>
        <v/>
      </c>
      <c r="FJ401" s="36" t="str">
        <f>IF($FH401="","",SUM($FN401:$FN$7000))</f>
        <v/>
      </c>
      <c r="FK401" s="36" t="str">
        <f>IF($FH401="","",SUM($FN401:$FN$7000))</f>
        <v/>
      </c>
    </row>
    <row r="402" spans="149:167">
      <c r="ES402" s="29"/>
      <c r="EV402" s="28">
        <f t="shared" si="13"/>
        <v>0</v>
      </c>
      <c r="FH402" s="29" t="str">
        <f t="shared" si="14"/>
        <v/>
      </c>
      <c r="FJ402" s="36" t="str">
        <f>IF($FH402="","",SUM($FN402:$FN$7000))</f>
        <v/>
      </c>
      <c r="FK402" s="36" t="str">
        <f>IF($FH402="","",SUM($FN402:$FN$7000))</f>
        <v/>
      </c>
    </row>
    <row r="403" spans="149:167">
      <c r="ES403" s="29"/>
      <c r="EV403" s="28">
        <f t="shared" si="13"/>
        <v>0</v>
      </c>
      <c r="FH403" s="29" t="str">
        <f t="shared" si="14"/>
        <v/>
      </c>
      <c r="FJ403" s="36" t="str">
        <f>IF($FH403="","",SUM($FN403:$FN$7000))</f>
        <v/>
      </c>
      <c r="FK403" s="36" t="str">
        <f>IF($FH403="","",SUM($FN403:$FN$7000))</f>
        <v/>
      </c>
    </row>
    <row r="404" spans="149:167">
      <c r="ES404" s="29"/>
      <c r="EV404" s="28">
        <f t="shared" si="13"/>
        <v>0</v>
      </c>
      <c r="FH404" s="29" t="str">
        <f t="shared" si="14"/>
        <v/>
      </c>
      <c r="FJ404" s="36" t="str">
        <f>IF($FH404="","",SUM($FN404:$FN$7000))</f>
        <v/>
      </c>
      <c r="FK404" s="36" t="str">
        <f>IF($FH404="","",SUM($FN404:$FN$7000))</f>
        <v/>
      </c>
    </row>
    <row r="405" spans="149:167">
      <c r="ES405" s="29"/>
      <c r="EV405" s="28">
        <f t="shared" si="13"/>
        <v>0</v>
      </c>
      <c r="FH405" s="29" t="str">
        <f t="shared" si="14"/>
        <v/>
      </c>
      <c r="FJ405" s="36" t="str">
        <f>IF($FH405="","",SUM($FN405:$FN$7000))</f>
        <v/>
      </c>
      <c r="FK405" s="36" t="str">
        <f>IF($FH405="","",SUM($FN405:$FN$7000))</f>
        <v/>
      </c>
    </row>
    <row r="406" spans="149:167">
      <c r="ES406" s="29"/>
      <c r="EV406" s="28">
        <f t="shared" si="13"/>
        <v>0</v>
      </c>
      <c r="FH406" s="29" t="str">
        <f t="shared" si="14"/>
        <v/>
      </c>
      <c r="FJ406" s="36" t="str">
        <f>IF($FH406="","",SUM($FN406:$FN$7000))</f>
        <v/>
      </c>
      <c r="FK406" s="36" t="str">
        <f>IF($FH406="","",SUM($FN406:$FN$7000))</f>
        <v/>
      </c>
    </row>
    <row r="407" spans="149:167">
      <c r="ES407" s="29"/>
      <c r="EV407" s="28">
        <f t="shared" si="13"/>
        <v>0</v>
      </c>
      <c r="FH407" s="29" t="str">
        <f t="shared" si="14"/>
        <v/>
      </c>
      <c r="FJ407" s="36" t="str">
        <f>IF($FH407="","",SUM($FN407:$FN$7000))</f>
        <v/>
      </c>
      <c r="FK407" s="36" t="str">
        <f>IF($FH407="","",SUM($FN407:$FN$7000))</f>
        <v/>
      </c>
    </row>
    <row r="408" spans="149:167">
      <c r="ES408" s="29"/>
      <c r="EV408" s="28">
        <f t="shared" si="13"/>
        <v>0</v>
      </c>
      <c r="FH408" s="29" t="str">
        <f t="shared" si="14"/>
        <v/>
      </c>
      <c r="FJ408" s="36" t="str">
        <f>IF($FH408="","",SUM($FN408:$FN$7000))</f>
        <v/>
      </c>
      <c r="FK408" s="36" t="str">
        <f>IF($FH408="","",SUM($FN408:$FN$7000))</f>
        <v/>
      </c>
    </row>
    <row r="409" spans="149:167">
      <c r="ES409" s="29"/>
      <c r="EV409" s="28">
        <f t="shared" si="13"/>
        <v>0</v>
      </c>
      <c r="FH409" s="29" t="str">
        <f t="shared" si="14"/>
        <v/>
      </c>
      <c r="FJ409" s="36" t="str">
        <f>IF($FH409="","",SUM($FN409:$FN$7000))</f>
        <v/>
      </c>
      <c r="FK409" s="36" t="str">
        <f>IF($FH409="","",SUM($FN409:$FN$7000))</f>
        <v/>
      </c>
    </row>
    <row r="410" spans="149:167">
      <c r="ES410" s="29"/>
      <c r="EV410" s="28">
        <f t="shared" si="13"/>
        <v>0</v>
      </c>
      <c r="FH410" s="29" t="str">
        <f t="shared" si="14"/>
        <v/>
      </c>
      <c r="FJ410" s="36" t="str">
        <f>IF($FH410="","",SUM($FN410:$FN$7000))</f>
        <v/>
      </c>
      <c r="FK410" s="36" t="str">
        <f>IF($FH410="","",SUM($FN410:$FN$7000))</f>
        <v/>
      </c>
    </row>
    <row r="411" spans="149:167">
      <c r="ES411" s="29"/>
      <c r="EV411" s="28">
        <f t="shared" si="13"/>
        <v>0</v>
      </c>
      <c r="FH411" s="29" t="str">
        <f t="shared" si="14"/>
        <v/>
      </c>
      <c r="FJ411" s="36" t="str">
        <f>IF($FH411="","",SUM($FN411:$FN$7000))</f>
        <v/>
      </c>
      <c r="FK411" s="36" t="str">
        <f>IF($FH411="","",SUM($FN411:$FN$7000))</f>
        <v/>
      </c>
    </row>
    <row r="412" spans="149:167">
      <c r="ES412" s="29"/>
      <c r="EV412" s="28">
        <f t="shared" si="13"/>
        <v>0</v>
      </c>
      <c r="FH412" s="29" t="str">
        <f t="shared" si="14"/>
        <v/>
      </c>
      <c r="FJ412" s="36" t="str">
        <f>IF($FH412="","",SUM($FN412:$FN$7000))</f>
        <v/>
      </c>
      <c r="FK412" s="36" t="str">
        <f>IF($FH412="","",SUM($FN412:$FN$7000))</f>
        <v/>
      </c>
    </row>
    <row r="413" spans="149:167">
      <c r="ES413" s="29"/>
      <c r="EV413" s="28">
        <f t="shared" si="13"/>
        <v>0</v>
      </c>
      <c r="FH413" s="29" t="str">
        <f t="shared" si="14"/>
        <v/>
      </c>
      <c r="FJ413" s="36" t="str">
        <f>IF($FH413="","",SUM($FN413:$FN$7000))</f>
        <v/>
      </c>
      <c r="FK413" s="36" t="str">
        <f>IF($FH413="","",SUM($FN413:$FN$7000))</f>
        <v/>
      </c>
    </row>
    <row r="414" spans="149:167">
      <c r="ES414" s="29"/>
      <c r="EV414" s="28">
        <f t="shared" si="13"/>
        <v>0</v>
      </c>
      <c r="FH414" s="29" t="str">
        <f t="shared" si="14"/>
        <v/>
      </c>
      <c r="FJ414" s="36" t="str">
        <f>IF($FH414="","",SUM($FN414:$FN$7000))</f>
        <v/>
      </c>
      <c r="FK414" s="36" t="str">
        <f>IF($FH414="","",SUM($FN414:$FN$7000))</f>
        <v/>
      </c>
    </row>
    <row r="415" spans="149:167">
      <c r="ES415" s="29"/>
      <c r="EV415" s="28">
        <f t="shared" si="13"/>
        <v>0</v>
      </c>
      <c r="FH415" s="29" t="str">
        <f t="shared" si="14"/>
        <v/>
      </c>
      <c r="FJ415" s="36" t="str">
        <f>IF($FH415="","",SUM($FN415:$FN$7000))</f>
        <v/>
      </c>
      <c r="FK415" s="36" t="str">
        <f>IF($FH415="","",SUM($FN415:$FN$7000))</f>
        <v/>
      </c>
    </row>
    <row r="416" spans="149:167">
      <c r="ES416" s="29"/>
      <c r="EV416" s="28">
        <f t="shared" si="13"/>
        <v>0</v>
      </c>
      <c r="FH416" s="29" t="str">
        <f t="shared" si="14"/>
        <v/>
      </c>
      <c r="FJ416" s="36" t="str">
        <f>IF($FH416="","",SUM($FN416:$FN$7000))</f>
        <v/>
      </c>
      <c r="FK416" s="36" t="str">
        <f>IF($FH416="","",SUM($FN416:$FN$7000))</f>
        <v/>
      </c>
    </row>
    <row r="417" spans="149:167">
      <c r="ES417" s="29"/>
      <c r="EV417" s="28">
        <f t="shared" si="13"/>
        <v>0</v>
      </c>
      <c r="FH417" s="29" t="str">
        <f t="shared" si="14"/>
        <v/>
      </c>
      <c r="FJ417" s="36" t="str">
        <f>IF($FH417="","",SUM($FN417:$FN$7000))</f>
        <v/>
      </c>
      <c r="FK417" s="36" t="str">
        <f>IF($FH417="","",SUM($FN417:$FN$7000))</f>
        <v/>
      </c>
    </row>
    <row r="418" spans="149:167">
      <c r="ES418" s="29"/>
      <c r="EV418" s="28">
        <f t="shared" si="13"/>
        <v>0</v>
      </c>
      <c r="FH418" s="29" t="str">
        <f t="shared" si="14"/>
        <v/>
      </c>
      <c r="FJ418" s="36" t="str">
        <f>IF($FH418="","",SUM($FN418:$FN$7000))</f>
        <v/>
      </c>
      <c r="FK418" s="36" t="str">
        <f>IF($FH418="","",SUM($FN418:$FN$7000))</f>
        <v/>
      </c>
    </row>
    <row r="419" spans="149:167">
      <c r="ES419" s="29"/>
      <c r="EV419" s="28">
        <f t="shared" si="13"/>
        <v>0</v>
      </c>
      <c r="FH419" s="29" t="str">
        <f t="shared" si="14"/>
        <v/>
      </c>
      <c r="FJ419" s="36" t="str">
        <f>IF($FH419="","",SUM($FN419:$FN$7000))</f>
        <v/>
      </c>
      <c r="FK419" s="36" t="str">
        <f>IF($FH419="","",SUM($FN419:$FN$7000))</f>
        <v/>
      </c>
    </row>
    <row r="420" spans="149:167">
      <c r="ES420" s="29"/>
      <c r="EV420" s="28">
        <f t="shared" si="13"/>
        <v>0</v>
      </c>
      <c r="FH420" s="29" t="str">
        <f t="shared" si="14"/>
        <v/>
      </c>
      <c r="FJ420" s="36" t="str">
        <f>IF($FH420="","",SUM($FN420:$FN$7000))</f>
        <v/>
      </c>
      <c r="FK420" s="36" t="str">
        <f>IF($FH420="","",SUM($FN420:$FN$7000))</f>
        <v/>
      </c>
    </row>
    <row r="421" spans="149:167">
      <c r="ES421" s="29"/>
      <c r="EV421" s="28">
        <f t="shared" si="13"/>
        <v>0</v>
      </c>
      <c r="FH421" s="29" t="str">
        <f t="shared" si="14"/>
        <v/>
      </c>
      <c r="FJ421" s="36" t="str">
        <f>IF($FH421="","",SUM($FN421:$FN$7000))</f>
        <v/>
      </c>
      <c r="FK421" s="36" t="str">
        <f>IF($FH421="","",SUM($FN421:$FN$7000))</f>
        <v/>
      </c>
    </row>
    <row r="422" spans="149:167">
      <c r="ES422" s="29"/>
      <c r="EV422" s="28">
        <f t="shared" si="13"/>
        <v>0</v>
      </c>
      <c r="FH422" s="29" t="str">
        <f t="shared" si="14"/>
        <v/>
      </c>
      <c r="FJ422" s="36" t="str">
        <f>IF($FH422="","",SUM($FN422:$FN$7000))</f>
        <v/>
      </c>
      <c r="FK422" s="36" t="str">
        <f>IF($FH422="","",SUM($FN422:$FN$7000))</f>
        <v/>
      </c>
    </row>
    <row r="423" spans="149:167">
      <c r="ES423" s="29"/>
      <c r="EV423" s="28">
        <f t="shared" si="13"/>
        <v>0</v>
      </c>
      <c r="FH423" s="29" t="str">
        <f t="shared" si="14"/>
        <v/>
      </c>
      <c r="FJ423" s="36" t="str">
        <f>IF($FH423="","",SUM($FN423:$FN$7000))</f>
        <v/>
      </c>
      <c r="FK423" s="36" t="str">
        <f>IF($FH423="","",SUM($FN423:$FN$7000))</f>
        <v/>
      </c>
    </row>
    <row r="424" spans="149:167">
      <c r="ES424" s="29"/>
      <c r="EV424" s="28">
        <f t="shared" si="13"/>
        <v>0</v>
      </c>
      <c r="FH424" s="29" t="str">
        <f t="shared" si="14"/>
        <v/>
      </c>
      <c r="FJ424" s="36" t="str">
        <f>IF($FH424="","",SUM($FN424:$FN$7000))</f>
        <v/>
      </c>
      <c r="FK424" s="36" t="str">
        <f>IF($FH424="","",SUM($FN424:$FN$7000))</f>
        <v/>
      </c>
    </row>
    <row r="425" spans="149:167">
      <c r="ES425" s="29"/>
      <c r="EV425" s="28">
        <f t="shared" si="13"/>
        <v>0</v>
      </c>
      <c r="FH425" s="29" t="str">
        <f t="shared" si="14"/>
        <v/>
      </c>
      <c r="FJ425" s="36" t="str">
        <f>IF($FH425="","",SUM($FN425:$FN$7000))</f>
        <v/>
      </c>
      <c r="FK425" s="36" t="str">
        <f>IF($FH425="","",SUM($FN425:$FN$7000))</f>
        <v/>
      </c>
    </row>
    <row r="426" spans="149:167">
      <c r="ES426" s="29"/>
      <c r="EV426" s="28">
        <f t="shared" si="13"/>
        <v>0</v>
      </c>
      <c r="FH426" s="29" t="str">
        <f t="shared" si="14"/>
        <v/>
      </c>
      <c r="FJ426" s="36" t="str">
        <f>IF($FH426="","",SUM($FN426:$FN$7000))</f>
        <v/>
      </c>
      <c r="FK426" s="36" t="str">
        <f>IF($FH426="","",SUM($FN426:$FN$7000))</f>
        <v/>
      </c>
    </row>
    <row r="427" spans="149:167">
      <c r="ES427" s="29"/>
      <c r="EV427" s="28">
        <f t="shared" si="13"/>
        <v>0</v>
      </c>
      <c r="FH427" s="29" t="str">
        <f t="shared" si="14"/>
        <v/>
      </c>
      <c r="FJ427" s="36" t="str">
        <f>IF($FH427="","",SUM($FN427:$FN$7000))</f>
        <v/>
      </c>
      <c r="FK427" s="36" t="str">
        <f>IF($FH427="","",SUM($FN427:$FN$7000))</f>
        <v/>
      </c>
    </row>
    <row r="428" spans="149:167">
      <c r="ES428" s="29"/>
      <c r="EV428" s="28">
        <f t="shared" si="13"/>
        <v>0</v>
      </c>
      <c r="FH428" s="29" t="str">
        <f t="shared" si="14"/>
        <v/>
      </c>
      <c r="FJ428" s="36" t="str">
        <f>IF($FH428="","",SUM($FN428:$FN$7000))</f>
        <v/>
      </c>
      <c r="FK428" s="36" t="str">
        <f>IF($FH428="","",SUM($FN428:$FN$7000))</f>
        <v/>
      </c>
    </row>
    <row r="429" spans="149:167">
      <c r="ES429" s="29"/>
      <c r="EV429" s="28">
        <f t="shared" si="13"/>
        <v>0</v>
      </c>
      <c r="FH429" s="29" t="str">
        <f t="shared" si="14"/>
        <v/>
      </c>
      <c r="FJ429" s="36" t="str">
        <f>IF($FH429="","",SUM($FN429:$FN$7000))</f>
        <v/>
      </c>
      <c r="FK429" s="36" t="str">
        <f>IF($FH429="","",SUM($FN429:$FN$7000))</f>
        <v/>
      </c>
    </row>
    <row r="430" spans="149:167">
      <c r="ES430" s="29"/>
      <c r="EV430" s="28">
        <f t="shared" si="13"/>
        <v>0</v>
      </c>
      <c r="FH430" s="29" t="str">
        <f t="shared" si="14"/>
        <v/>
      </c>
      <c r="FJ430" s="36" t="str">
        <f>IF($FH430="","",SUM($FN430:$FN$7000))</f>
        <v/>
      </c>
      <c r="FK430" s="36" t="str">
        <f>IF($FH430="","",SUM($FN430:$FN$7000))</f>
        <v/>
      </c>
    </row>
    <row r="431" spans="149:167">
      <c r="ES431" s="29"/>
      <c r="EV431" s="28">
        <f t="shared" si="13"/>
        <v>0</v>
      </c>
      <c r="FH431" s="29" t="str">
        <f t="shared" si="14"/>
        <v/>
      </c>
      <c r="FJ431" s="36" t="str">
        <f>IF($FH431="","",SUM($FN431:$FN$7000))</f>
        <v/>
      </c>
      <c r="FK431" s="36" t="str">
        <f>IF($FH431="","",SUM($FN431:$FN$7000))</f>
        <v/>
      </c>
    </row>
    <row r="432" spans="149:167">
      <c r="ES432" s="29"/>
      <c r="EV432" s="28">
        <f t="shared" si="13"/>
        <v>0</v>
      </c>
      <c r="FH432" s="29" t="str">
        <f t="shared" si="14"/>
        <v/>
      </c>
      <c r="FJ432" s="36" t="str">
        <f>IF($FH432="","",SUM($FN432:$FN$7000))</f>
        <v/>
      </c>
      <c r="FK432" s="36" t="str">
        <f>IF($FH432="","",SUM($FN432:$FN$7000))</f>
        <v/>
      </c>
    </row>
    <row r="433" spans="149:167">
      <c r="ES433" s="29"/>
      <c r="EV433" s="28">
        <f t="shared" si="13"/>
        <v>0</v>
      </c>
      <c r="FH433" s="29" t="str">
        <f t="shared" si="14"/>
        <v/>
      </c>
      <c r="FJ433" s="36" t="str">
        <f>IF($FH433="","",SUM($FN433:$FN$7000))</f>
        <v/>
      </c>
      <c r="FK433" s="36" t="str">
        <f>IF($FH433="","",SUM($FN433:$FN$7000))</f>
        <v/>
      </c>
    </row>
    <row r="434" spans="149:167">
      <c r="ES434" s="29"/>
      <c r="EV434" s="28">
        <f t="shared" si="13"/>
        <v>0</v>
      </c>
      <c r="FH434" s="29" t="str">
        <f t="shared" si="14"/>
        <v/>
      </c>
      <c r="FJ434" s="36" t="str">
        <f>IF($FH434="","",SUM($FN434:$FN$7000))</f>
        <v/>
      </c>
      <c r="FK434" s="36" t="str">
        <f>IF($FH434="","",SUM($FN434:$FN$7000))</f>
        <v/>
      </c>
    </row>
    <row r="435" spans="149:167">
      <c r="ES435" s="29"/>
      <c r="EV435" s="28">
        <f t="shared" si="13"/>
        <v>0</v>
      </c>
      <c r="FH435" s="29" t="str">
        <f t="shared" si="14"/>
        <v/>
      </c>
      <c r="FJ435" s="36" t="str">
        <f>IF($FH435="","",SUM($FN435:$FN$7000))</f>
        <v/>
      </c>
      <c r="FK435" s="36" t="str">
        <f>IF($FH435="","",SUM($FN435:$FN$7000))</f>
        <v/>
      </c>
    </row>
    <row r="436" spans="149:167">
      <c r="ES436" s="29"/>
      <c r="EV436" s="28">
        <f t="shared" si="13"/>
        <v>0</v>
      </c>
      <c r="FH436" s="29" t="str">
        <f t="shared" si="14"/>
        <v/>
      </c>
      <c r="FJ436" s="36" t="str">
        <f>IF($FH436="","",SUM($FN436:$FN$7000))</f>
        <v/>
      </c>
      <c r="FK436" s="36" t="str">
        <f>IF($FH436="","",SUM($FN436:$FN$7000))</f>
        <v/>
      </c>
    </row>
    <row r="437" spans="149:167">
      <c r="ES437" s="29"/>
      <c r="EV437" s="28">
        <f t="shared" si="13"/>
        <v>0</v>
      </c>
      <c r="FH437" s="29" t="str">
        <f t="shared" si="14"/>
        <v/>
      </c>
      <c r="FJ437" s="36" t="str">
        <f>IF($FH437="","",SUM($FN437:$FN$7000))</f>
        <v/>
      </c>
      <c r="FK437" s="36" t="str">
        <f>IF($FH437="","",SUM($FN437:$FN$7000))</f>
        <v/>
      </c>
    </row>
    <row r="438" spans="149:167">
      <c r="ES438" s="29"/>
      <c r="EV438" s="28">
        <f t="shared" si="13"/>
        <v>0</v>
      </c>
      <c r="FH438" s="29" t="str">
        <f t="shared" si="14"/>
        <v/>
      </c>
      <c r="FJ438" s="36" t="str">
        <f>IF($FH438="","",SUM($FN438:$FN$7000))</f>
        <v/>
      </c>
      <c r="FK438" s="36" t="str">
        <f>IF($FH438="","",SUM($FN438:$FN$7000))</f>
        <v/>
      </c>
    </row>
    <row r="439" spans="149:167">
      <c r="ES439" s="29"/>
      <c r="EV439" s="28">
        <f t="shared" si="13"/>
        <v>0</v>
      </c>
      <c r="FH439" s="29" t="str">
        <f t="shared" si="14"/>
        <v/>
      </c>
      <c r="FJ439" s="36" t="str">
        <f>IF($FH439="","",SUM($FN439:$FN$7000))</f>
        <v/>
      </c>
      <c r="FK439" s="36" t="str">
        <f>IF($FH439="","",SUM($FN439:$FN$7000))</f>
        <v/>
      </c>
    </row>
    <row r="440" spans="149:167">
      <c r="ES440" s="29"/>
      <c r="EV440" s="28">
        <f t="shared" si="13"/>
        <v>0</v>
      </c>
      <c r="FH440" s="29" t="str">
        <f t="shared" si="14"/>
        <v/>
      </c>
      <c r="FJ440" s="36" t="str">
        <f>IF($FH440="","",SUM($FN440:$FN$7000))</f>
        <v/>
      </c>
      <c r="FK440" s="36" t="str">
        <f>IF($FH440="","",SUM($FN440:$FN$7000))</f>
        <v/>
      </c>
    </row>
    <row r="441" spans="149:167">
      <c r="ES441" s="29"/>
      <c r="EV441" s="28">
        <f t="shared" si="13"/>
        <v>0</v>
      </c>
      <c r="FH441" s="29" t="str">
        <f t="shared" si="14"/>
        <v/>
      </c>
      <c r="FJ441" s="36" t="str">
        <f>IF($FH441="","",SUM($FN441:$FN$7000))</f>
        <v/>
      </c>
      <c r="FK441" s="36" t="str">
        <f>IF($FH441="","",SUM($FN441:$FN$7000))</f>
        <v/>
      </c>
    </row>
    <row r="442" spans="149:167">
      <c r="ES442" s="29"/>
      <c r="EV442" s="28">
        <f t="shared" si="13"/>
        <v>0</v>
      </c>
      <c r="FH442" s="29" t="str">
        <f t="shared" si="14"/>
        <v/>
      </c>
      <c r="FJ442" s="36" t="str">
        <f>IF($FH442="","",SUM($FN442:$FN$7000))</f>
        <v/>
      </c>
      <c r="FK442" s="36" t="str">
        <f>IF($FH442="","",SUM($FN442:$FN$7000))</f>
        <v/>
      </c>
    </row>
    <row r="443" spans="149:167">
      <c r="ES443" s="29"/>
      <c r="EV443" s="28">
        <f t="shared" si="13"/>
        <v>0</v>
      </c>
      <c r="FH443" s="29" t="str">
        <f t="shared" si="14"/>
        <v/>
      </c>
      <c r="FJ443" s="36" t="str">
        <f>IF($FH443="","",SUM($FN443:$FN$7000))</f>
        <v/>
      </c>
      <c r="FK443" s="36" t="str">
        <f>IF($FH443="","",SUM($FN443:$FN$7000))</f>
        <v/>
      </c>
    </row>
    <row r="444" spans="149:167">
      <c r="ES444" s="29"/>
      <c r="EV444" s="28">
        <f t="shared" si="13"/>
        <v>0</v>
      </c>
      <c r="FH444" s="29" t="str">
        <f t="shared" si="14"/>
        <v/>
      </c>
      <c r="FJ444" s="36" t="str">
        <f>IF($FH444="","",SUM($FN444:$FN$7000))</f>
        <v/>
      </c>
      <c r="FK444" s="36" t="str">
        <f>IF($FH444="","",SUM($FN444:$FN$7000))</f>
        <v/>
      </c>
    </row>
    <row r="445" spans="149:167">
      <c r="ES445" s="29"/>
      <c r="EV445" s="28">
        <f t="shared" si="13"/>
        <v>0</v>
      </c>
      <c r="FH445" s="29" t="str">
        <f t="shared" si="14"/>
        <v/>
      </c>
      <c r="FJ445" s="36" t="str">
        <f>IF($FH445="","",SUM($FN445:$FN$7000))</f>
        <v/>
      </c>
      <c r="FK445" s="36" t="str">
        <f>IF($FH445="","",SUM($FN445:$FN$7000))</f>
        <v/>
      </c>
    </row>
    <row r="446" spans="149:167">
      <c r="ES446" s="29"/>
      <c r="EV446" s="28">
        <f t="shared" si="13"/>
        <v>0</v>
      </c>
      <c r="FH446" s="29" t="str">
        <f t="shared" si="14"/>
        <v/>
      </c>
      <c r="FJ446" s="36" t="str">
        <f>IF($FH446="","",SUM($FN446:$FN$7000))</f>
        <v/>
      </c>
      <c r="FK446" s="36" t="str">
        <f>IF($FH446="","",SUM($FN446:$FN$7000))</f>
        <v/>
      </c>
    </row>
    <row r="447" spans="149:167">
      <c r="ES447" s="29"/>
      <c r="EV447" s="28">
        <f t="shared" si="13"/>
        <v>0</v>
      </c>
      <c r="FH447" s="29" t="str">
        <f t="shared" si="14"/>
        <v/>
      </c>
      <c r="FJ447" s="36" t="str">
        <f>IF($FH447="","",SUM($FN447:$FN$7000))</f>
        <v/>
      </c>
      <c r="FK447" s="36" t="str">
        <f>IF($FH447="","",SUM($FN447:$FN$7000))</f>
        <v/>
      </c>
    </row>
    <row r="448" spans="149:167">
      <c r="ES448" s="29"/>
      <c r="EV448" s="28">
        <f t="shared" si="13"/>
        <v>0</v>
      </c>
      <c r="FH448" s="29" t="str">
        <f t="shared" si="14"/>
        <v/>
      </c>
      <c r="FJ448" s="36" t="str">
        <f>IF($FH448="","",SUM($FN448:$FN$7000))</f>
        <v/>
      </c>
      <c r="FK448" s="36" t="str">
        <f>IF($FH448="","",SUM($FN448:$FN$7000))</f>
        <v/>
      </c>
    </row>
    <row r="449" spans="149:167">
      <c r="ES449" s="29"/>
      <c r="EV449" s="28">
        <f t="shared" si="13"/>
        <v>0</v>
      </c>
      <c r="FH449" s="29" t="str">
        <f t="shared" si="14"/>
        <v/>
      </c>
      <c r="FJ449" s="36" t="str">
        <f>IF($FH449="","",SUM($FN449:$FN$7000))</f>
        <v/>
      </c>
      <c r="FK449" s="36" t="str">
        <f>IF($FH449="","",SUM($FN449:$FN$7000))</f>
        <v/>
      </c>
    </row>
    <row r="450" spans="149:167">
      <c r="ES450" s="29"/>
      <c r="EV450" s="28">
        <f t="shared" si="13"/>
        <v>0</v>
      </c>
      <c r="FH450" s="29" t="str">
        <f t="shared" si="14"/>
        <v/>
      </c>
      <c r="FJ450" s="36" t="str">
        <f>IF($FH450="","",SUM($FN450:$FN$7000))</f>
        <v/>
      </c>
      <c r="FK450" s="36" t="str">
        <f>IF($FH450="","",SUM($FN450:$FN$7000))</f>
        <v/>
      </c>
    </row>
    <row r="451" spans="149:167">
      <c r="ES451" s="29"/>
      <c r="EV451" s="28">
        <f t="shared" si="13"/>
        <v>0</v>
      </c>
      <c r="FH451" s="29" t="str">
        <f t="shared" si="14"/>
        <v/>
      </c>
      <c r="FJ451" s="36" t="str">
        <f>IF($FH451="","",SUM($FN451:$FN$7000))</f>
        <v/>
      </c>
      <c r="FK451" s="36" t="str">
        <f>IF($FH451="","",SUM($FN451:$FN$7000))</f>
        <v/>
      </c>
    </row>
    <row r="452" spans="149:167">
      <c r="ES452" s="29"/>
      <c r="EV452" s="28">
        <f t="shared" si="13"/>
        <v>0</v>
      </c>
      <c r="FH452" s="29" t="str">
        <f t="shared" si="14"/>
        <v/>
      </c>
      <c r="FJ452" s="36" t="str">
        <f>IF($FH452="","",SUM($FN452:$FN$7000))</f>
        <v/>
      </c>
      <c r="FK452" s="36" t="str">
        <f>IF($FH452="","",SUM($FN452:$FN$7000))</f>
        <v/>
      </c>
    </row>
    <row r="453" spans="149:167">
      <c r="ES453" s="29"/>
      <c r="EV453" s="28">
        <f t="shared" si="13"/>
        <v>0</v>
      </c>
      <c r="FH453" s="29" t="str">
        <f t="shared" si="14"/>
        <v/>
      </c>
      <c r="FJ453" s="36" t="str">
        <f>IF($FH453="","",SUM($FN453:$FN$7000))</f>
        <v/>
      </c>
      <c r="FK453" s="36" t="str">
        <f>IF($FH453="","",SUM($FN453:$FN$7000))</f>
        <v/>
      </c>
    </row>
    <row r="454" spans="149:167">
      <c r="ES454" s="29"/>
      <c r="EV454" s="28">
        <f t="shared" si="13"/>
        <v>0</v>
      </c>
      <c r="FH454" s="29" t="str">
        <f t="shared" si="14"/>
        <v/>
      </c>
      <c r="FJ454" s="36" t="str">
        <f>IF($FH454="","",SUM($FN454:$FN$7000))</f>
        <v/>
      </c>
      <c r="FK454" s="36" t="str">
        <f>IF($FH454="","",SUM($FN454:$FN$7000))</f>
        <v/>
      </c>
    </row>
    <row r="455" spans="149:167">
      <c r="ES455" s="29"/>
      <c r="EV455" s="28">
        <f t="shared" si="13"/>
        <v>0</v>
      </c>
      <c r="FH455" s="29" t="str">
        <f t="shared" si="14"/>
        <v/>
      </c>
      <c r="FJ455" s="36" t="str">
        <f>IF($FH455="","",SUM($FN455:$FN$7000))</f>
        <v/>
      </c>
      <c r="FK455" s="36" t="str">
        <f>IF($FH455="","",SUM($FN455:$FN$7000))</f>
        <v/>
      </c>
    </row>
    <row r="456" spans="149:167">
      <c r="ES456" s="29"/>
      <c r="EV456" s="28">
        <f t="shared" si="13"/>
        <v>0</v>
      </c>
      <c r="FH456" s="29" t="str">
        <f t="shared" si="14"/>
        <v/>
      </c>
      <c r="FJ456" s="36" t="str">
        <f>IF($FH456="","",SUM($FN456:$FN$7000))</f>
        <v/>
      </c>
      <c r="FK456" s="36" t="str">
        <f>IF($FH456="","",SUM($FN456:$FN$7000))</f>
        <v/>
      </c>
    </row>
    <row r="457" spans="149:167">
      <c r="ES457" s="29"/>
      <c r="EV457" s="28">
        <f t="shared" si="13"/>
        <v>0</v>
      </c>
      <c r="FH457" s="29" t="str">
        <f t="shared" si="14"/>
        <v/>
      </c>
      <c r="FJ457" s="36" t="str">
        <f>IF($FH457="","",SUM($FN457:$FN$7000))</f>
        <v/>
      </c>
      <c r="FK457" s="36" t="str">
        <f>IF($FH457="","",SUM($FN457:$FN$7000))</f>
        <v/>
      </c>
    </row>
    <row r="458" spans="149:167">
      <c r="ES458" s="29"/>
      <c r="EV458" s="28">
        <f t="shared" si="13"/>
        <v>0</v>
      </c>
      <c r="FH458" s="29" t="str">
        <f t="shared" si="14"/>
        <v/>
      </c>
      <c r="FJ458" s="36" t="str">
        <f>IF($FH458="","",SUM($FN458:$FN$7000))</f>
        <v/>
      </c>
      <c r="FK458" s="36" t="str">
        <f>IF($FH458="","",SUM($FN458:$FN$7000))</f>
        <v/>
      </c>
    </row>
    <row r="459" spans="149:167">
      <c r="ES459" s="29"/>
      <c r="EV459" s="28">
        <f t="shared" ref="EV459:EV522" si="15">EU459-ET459</f>
        <v>0</v>
      </c>
      <c r="FH459" s="29" t="str">
        <f t="shared" ref="FH459:FH522" si="16">IF(FL459="","",FL459)</f>
        <v/>
      </c>
      <c r="FJ459" s="36" t="str">
        <f>IF($FH459="","",SUM($FN459:$FN$7000))</f>
        <v/>
      </c>
      <c r="FK459" s="36" t="str">
        <f>IF($FH459="","",SUM($FN459:$FN$7000))</f>
        <v/>
      </c>
    </row>
    <row r="460" spans="149:167">
      <c r="ES460" s="29"/>
      <c r="EV460" s="28">
        <f t="shared" si="15"/>
        <v>0</v>
      </c>
      <c r="FH460" s="29" t="str">
        <f t="shared" si="16"/>
        <v/>
      </c>
      <c r="FJ460" s="36" t="str">
        <f>IF($FH460="","",SUM($FN460:$FN$7000))</f>
        <v/>
      </c>
      <c r="FK460" s="36" t="str">
        <f>IF($FH460="","",SUM($FN460:$FN$7000))</f>
        <v/>
      </c>
    </row>
    <row r="461" spans="149:167">
      <c r="ES461" s="29"/>
      <c r="EV461" s="28">
        <f t="shared" si="15"/>
        <v>0</v>
      </c>
      <c r="FH461" s="29" t="str">
        <f t="shared" si="16"/>
        <v/>
      </c>
      <c r="FJ461" s="36" t="str">
        <f>IF($FH461="","",SUM($FN461:$FN$7000))</f>
        <v/>
      </c>
      <c r="FK461" s="36" t="str">
        <f>IF($FH461="","",SUM($FN461:$FN$7000))</f>
        <v/>
      </c>
    </row>
    <row r="462" spans="149:167">
      <c r="ES462" s="29"/>
      <c r="EV462" s="28">
        <f t="shared" si="15"/>
        <v>0</v>
      </c>
      <c r="FH462" s="29" t="str">
        <f t="shared" si="16"/>
        <v/>
      </c>
      <c r="FJ462" s="36" t="str">
        <f>IF($FH462="","",SUM($FN462:$FN$7000))</f>
        <v/>
      </c>
      <c r="FK462" s="36" t="str">
        <f>IF($FH462="","",SUM($FN462:$FN$7000))</f>
        <v/>
      </c>
    </row>
    <row r="463" spans="149:167">
      <c r="ES463" s="29"/>
      <c r="EV463" s="28">
        <f t="shared" si="15"/>
        <v>0</v>
      </c>
      <c r="FH463" s="29" t="str">
        <f t="shared" si="16"/>
        <v/>
      </c>
      <c r="FJ463" s="36" t="str">
        <f>IF($FH463="","",SUM($FN463:$FN$7000))</f>
        <v/>
      </c>
      <c r="FK463" s="36" t="str">
        <f>IF($FH463="","",SUM($FN463:$FN$7000))</f>
        <v/>
      </c>
    </row>
    <row r="464" spans="149:167">
      <c r="ES464" s="29"/>
      <c r="EV464" s="28">
        <f t="shared" si="15"/>
        <v>0</v>
      </c>
      <c r="FH464" s="29" t="str">
        <f t="shared" si="16"/>
        <v/>
      </c>
      <c r="FJ464" s="36" t="str">
        <f>IF($FH464="","",SUM($FN464:$FN$7000))</f>
        <v/>
      </c>
      <c r="FK464" s="36" t="str">
        <f>IF($FH464="","",SUM($FN464:$FN$7000))</f>
        <v/>
      </c>
    </row>
    <row r="465" spans="149:167">
      <c r="ES465" s="29"/>
      <c r="EV465" s="28">
        <f t="shared" si="15"/>
        <v>0</v>
      </c>
      <c r="FH465" s="29" t="str">
        <f t="shared" si="16"/>
        <v/>
      </c>
      <c r="FJ465" s="36" t="str">
        <f>IF($FH465="","",SUM($FN465:$FN$7000))</f>
        <v/>
      </c>
      <c r="FK465" s="36" t="str">
        <f>IF($FH465="","",SUM($FN465:$FN$7000))</f>
        <v/>
      </c>
    </row>
    <row r="466" spans="149:167">
      <c r="ES466" s="29"/>
      <c r="EV466" s="28">
        <f t="shared" si="15"/>
        <v>0</v>
      </c>
      <c r="FH466" s="29" t="str">
        <f t="shared" si="16"/>
        <v/>
      </c>
      <c r="FJ466" s="36" t="str">
        <f>IF($FH466="","",SUM($FN466:$FN$7000))</f>
        <v/>
      </c>
      <c r="FK466" s="36" t="str">
        <f>IF($FH466="","",SUM($FN466:$FN$7000))</f>
        <v/>
      </c>
    </row>
    <row r="467" spans="149:167">
      <c r="ES467" s="29"/>
      <c r="EV467" s="28">
        <f t="shared" si="15"/>
        <v>0</v>
      </c>
      <c r="FH467" s="29" t="str">
        <f t="shared" si="16"/>
        <v/>
      </c>
      <c r="FJ467" s="36" t="str">
        <f>IF($FH467="","",SUM($FN467:$FN$7000))</f>
        <v/>
      </c>
      <c r="FK467" s="36" t="str">
        <f>IF($FH467="","",SUM($FN467:$FN$7000))</f>
        <v/>
      </c>
    </row>
    <row r="468" spans="149:167">
      <c r="ES468" s="29"/>
      <c r="EV468" s="28">
        <f t="shared" si="15"/>
        <v>0</v>
      </c>
      <c r="FH468" s="29" t="str">
        <f t="shared" si="16"/>
        <v/>
      </c>
      <c r="FJ468" s="36" t="str">
        <f>IF($FH468="","",SUM($FN468:$FN$7000))</f>
        <v/>
      </c>
      <c r="FK468" s="36" t="str">
        <f>IF($FH468="","",SUM($FN468:$FN$7000))</f>
        <v/>
      </c>
    </row>
    <row r="469" spans="149:167">
      <c r="ES469" s="29"/>
      <c r="EV469" s="28">
        <f t="shared" si="15"/>
        <v>0</v>
      </c>
      <c r="FH469" s="29" t="str">
        <f t="shared" si="16"/>
        <v/>
      </c>
      <c r="FJ469" s="36" t="str">
        <f>IF($FH469="","",SUM($FN469:$FN$7000))</f>
        <v/>
      </c>
      <c r="FK469" s="36" t="str">
        <f>IF($FH469="","",SUM($FN469:$FN$7000))</f>
        <v/>
      </c>
    </row>
    <row r="470" spans="149:167">
      <c r="ES470" s="29"/>
      <c r="EV470" s="28">
        <f t="shared" si="15"/>
        <v>0</v>
      </c>
      <c r="FH470" s="29" t="str">
        <f t="shared" si="16"/>
        <v/>
      </c>
      <c r="FJ470" s="36" t="str">
        <f>IF($FH470="","",SUM($FN470:$FN$7000))</f>
        <v/>
      </c>
      <c r="FK470" s="36" t="str">
        <f>IF($FH470="","",SUM($FN470:$FN$7000))</f>
        <v/>
      </c>
    </row>
    <row r="471" spans="149:167">
      <c r="ES471" s="29"/>
      <c r="EV471" s="28">
        <f t="shared" si="15"/>
        <v>0</v>
      </c>
      <c r="FH471" s="29" t="str">
        <f t="shared" si="16"/>
        <v/>
      </c>
      <c r="FJ471" s="36" t="str">
        <f>IF($FH471="","",SUM($FN471:$FN$7000))</f>
        <v/>
      </c>
      <c r="FK471" s="36" t="str">
        <f>IF($FH471="","",SUM($FN471:$FN$7000))</f>
        <v/>
      </c>
    </row>
    <row r="472" spans="149:167">
      <c r="ES472" s="29"/>
      <c r="EV472" s="28">
        <f t="shared" si="15"/>
        <v>0</v>
      </c>
      <c r="FH472" s="29" t="str">
        <f t="shared" si="16"/>
        <v/>
      </c>
      <c r="FJ472" s="36" t="str">
        <f>IF($FH472="","",SUM($FN472:$FN$7000))</f>
        <v/>
      </c>
      <c r="FK472" s="36" t="str">
        <f>IF($FH472="","",SUM($FN472:$FN$7000))</f>
        <v/>
      </c>
    </row>
    <row r="473" spans="149:167">
      <c r="ES473" s="29"/>
      <c r="EV473" s="28">
        <f t="shared" si="15"/>
        <v>0</v>
      </c>
      <c r="FH473" s="29" t="str">
        <f t="shared" si="16"/>
        <v/>
      </c>
      <c r="FJ473" s="36" t="str">
        <f>IF($FH473="","",SUM($FN473:$FN$7000))</f>
        <v/>
      </c>
      <c r="FK473" s="36" t="str">
        <f>IF($FH473="","",SUM($FN473:$FN$7000))</f>
        <v/>
      </c>
    </row>
    <row r="474" spans="149:167">
      <c r="ES474" s="29"/>
      <c r="EV474" s="28">
        <f t="shared" si="15"/>
        <v>0</v>
      </c>
      <c r="FH474" s="29" t="str">
        <f t="shared" si="16"/>
        <v/>
      </c>
      <c r="FJ474" s="36" t="str">
        <f>IF($FH474="","",SUM($FN474:$FN$7000))</f>
        <v/>
      </c>
      <c r="FK474" s="36" t="str">
        <f>IF($FH474="","",SUM($FN474:$FN$7000))</f>
        <v/>
      </c>
    </row>
    <row r="475" spans="149:167">
      <c r="ES475" s="29"/>
      <c r="EV475" s="28">
        <f t="shared" si="15"/>
        <v>0</v>
      </c>
      <c r="FH475" s="29" t="str">
        <f t="shared" si="16"/>
        <v/>
      </c>
      <c r="FJ475" s="36" t="str">
        <f>IF($FH475="","",SUM($FN475:$FN$7000))</f>
        <v/>
      </c>
      <c r="FK475" s="36" t="str">
        <f>IF($FH475="","",SUM($FN475:$FN$7000))</f>
        <v/>
      </c>
    </row>
    <row r="476" spans="149:167">
      <c r="ES476" s="29"/>
      <c r="EV476" s="28">
        <f t="shared" si="15"/>
        <v>0</v>
      </c>
      <c r="FH476" s="29" t="str">
        <f t="shared" si="16"/>
        <v/>
      </c>
      <c r="FJ476" s="36" t="str">
        <f>IF($FH476="","",SUM($FN476:$FN$7000))</f>
        <v/>
      </c>
      <c r="FK476" s="36" t="str">
        <f>IF($FH476="","",SUM($FN476:$FN$7000))</f>
        <v/>
      </c>
    </row>
    <row r="477" spans="149:167">
      <c r="ES477" s="29"/>
      <c r="EV477" s="28">
        <f t="shared" si="15"/>
        <v>0</v>
      </c>
      <c r="FH477" s="29" t="str">
        <f t="shared" si="16"/>
        <v/>
      </c>
      <c r="FJ477" s="36" t="str">
        <f>IF($FH477="","",SUM($FN477:$FN$7000))</f>
        <v/>
      </c>
      <c r="FK477" s="36" t="str">
        <f>IF($FH477="","",SUM($FN477:$FN$7000))</f>
        <v/>
      </c>
    </row>
    <row r="478" spans="149:167">
      <c r="ES478" s="29"/>
      <c r="EV478" s="28">
        <f t="shared" si="15"/>
        <v>0</v>
      </c>
      <c r="FH478" s="29" t="str">
        <f t="shared" si="16"/>
        <v/>
      </c>
      <c r="FJ478" s="36" t="str">
        <f>IF($FH478="","",SUM($FN478:$FN$7000))</f>
        <v/>
      </c>
      <c r="FK478" s="36" t="str">
        <f>IF($FH478="","",SUM($FN478:$FN$7000))</f>
        <v/>
      </c>
    </row>
    <row r="479" spans="149:167">
      <c r="ES479" s="29"/>
      <c r="EV479" s="28">
        <f t="shared" si="15"/>
        <v>0</v>
      </c>
      <c r="FH479" s="29" t="str">
        <f t="shared" si="16"/>
        <v/>
      </c>
      <c r="FJ479" s="36" t="str">
        <f>IF($FH479="","",SUM($FN479:$FN$7000))</f>
        <v/>
      </c>
      <c r="FK479" s="36" t="str">
        <f>IF($FH479="","",SUM($FN479:$FN$7000))</f>
        <v/>
      </c>
    </row>
    <row r="480" spans="149:167">
      <c r="ES480" s="29"/>
      <c r="EV480" s="28">
        <f t="shared" si="15"/>
        <v>0</v>
      </c>
      <c r="FH480" s="29" t="str">
        <f t="shared" si="16"/>
        <v/>
      </c>
      <c r="FJ480" s="36" t="str">
        <f>IF($FH480="","",SUM($FN480:$FN$7000))</f>
        <v/>
      </c>
      <c r="FK480" s="36" t="str">
        <f>IF($FH480="","",SUM($FN480:$FN$7000))</f>
        <v/>
      </c>
    </row>
    <row r="481" spans="149:167">
      <c r="ES481" s="29"/>
      <c r="EV481" s="28">
        <f t="shared" si="15"/>
        <v>0</v>
      </c>
      <c r="FH481" s="29" t="str">
        <f t="shared" si="16"/>
        <v/>
      </c>
      <c r="FJ481" s="36" t="str">
        <f>IF($FH481="","",SUM($FN481:$FN$7000))</f>
        <v/>
      </c>
      <c r="FK481" s="36" t="str">
        <f>IF($FH481="","",SUM($FN481:$FN$7000))</f>
        <v/>
      </c>
    </row>
    <row r="482" spans="149:167">
      <c r="ES482" s="29"/>
      <c r="EV482" s="28">
        <f t="shared" si="15"/>
        <v>0</v>
      </c>
      <c r="FH482" s="29" t="str">
        <f t="shared" si="16"/>
        <v/>
      </c>
      <c r="FJ482" s="36" t="str">
        <f>IF($FH482="","",SUM($FN482:$FN$7000))</f>
        <v/>
      </c>
      <c r="FK482" s="36" t="str">
        <f>IF($FH482="","",SUM($FN482:$FN$7000))</f>
        <v/>
      </c>
    </row>
    <row r="483" spans="149:167">
      <c r="ES483" s="29"/>
      <c r="EV483" s="28">
        <f t="shared" si="15"/>
        <v>0</v>
      </c>
      <c r="FH483" s="29" t="str">
        <f t="shared" si="16"/>
        <v/>
      </c>
      <c r="FJ483" s="36" t="str">
        <f>IF($FH483="","",SUM($FN483:$FN$7000))</f>
        <v/>
      </c>
      <c r="FK483" s="36" t="str">
        <f>IF($FH483="","",SUM($FN483:$FN$7000))</f>
        <v/>
      </c>
    </row>
    <row r="484" spans="149:167">
      <c r="ES484" s="29"/>
      <c r="EV484" s="28">
        <f t="shared" si="15"/>
        <v>0</v>
      </c>
      <c r="FH484" s="29" t="str">
        <f t="shared" si="16"/>
        <v/>
      </c>
      <c r="FJ484" s="36" t="str">
        <f>IF($FH484="","",SUM($FN484:$FN$7000))</f>
        <v/>
      </c>
      <c r="FK484" s="36" t="str">
        <f>IF($FH484="","",SUM($FN484:$FN$7000))</f>
        <v/>
      </c>
    </row>
    <row r="485" spans="149:167">
      <c r="ES485" s="29"/>
      <c r="EV485" s="28">
        <f t="shared" si="15"/>
        <v>0</v>
      </c>
      <c r="FH485" s="29" t="str">
        <f t="shared" si="16"/>
        <v/>
      </c>
      <c r="FJ485" s="36" t="str">
        <f>IF($FH485="","",SUM($FN485:$FN$7000))</f>
        <v/>
      </c>
      <c r="FK485" s="36" t="str">
        <f>IF($FH485="","",SUM($FN485:$FN$7000))</f>
        <v/>
      </c>
    </row>
    <row r="486" spans="149:167">
      <c r="ES486" s="29"/>
      <c r="EV486" s="28">
        <f t="shared" si="15"/>
        <v>0</v>
      </c>
      <c r="FH486" s="29" t="str">
        <f t="shared" si="16"/>
        <v/>
      </c>
      <c r="FJ486" s="36" t="str">
        <f>IF($FH486="","",SUM($FN486:$FN$7000))</f>
        <v/>
      </c>
      <c r="FK486" s="36" t="str">
        <f>IF($FH486="","",SUM($FN486:$FN$7000))</f>
        <v/>
      </c>
    </row>
    <row r="487" spans="149:167">
      <c r="ES487" s="29"/>
      <c r="EV487" s="28">
        <f t="shared" si="15"/>
        <v>0</v>
      </c>
      <c r="FH487" s="29" t="str">
        <f t="shared" si="16"/>
        <v/>
      </c>
      <c r="FJ487" s="36" t="str">
        <f>IF($FH487="","",SUM($FN487:$FN$7000))</f>
        <v/>
      </c>
      <c r="FK487" s="36" t="str">
        <f>IF($FH487="","",SUM($FN487:$FN$7000))</f>
        <v/>
      </c>
    </row>
    <row r="488" spans="149:167">
      <c r="ES488" s="29"/>
      <c r="EV488" s="28">
        <f t="shared" si="15"/>
        <v>0</v>
      </c>
      <c r="FH488" s="29" t="str">
        <f t="shared" si="16"/>
        <v/>
      </c>
      <c r="FJ488" s="36" t="str">
        <f>IF($FH488="","",SUM($FN488:$FN$7000))</f>
        <v/>
      </c>
      <c r="FK488" s="36" t="str">
        <f>IF($FH488="","",SUM($FN488:$FN$7000))</f>
        <v/>
      </c>
    </row>
    <row r="489" spans="149:167">
      <c r="ES489" s="29"/>
      <c r="EV489" s="28">
        <f t="shared" si="15"/>
        <v>0</v>
      </c>
      <c r="FH489" s="29" t="str">
        <f t="shared" si="16"/>
        <v/>
      </c>
      <c r="FJ489" s="36" t="str">
        <f>IF($FH489="","",SUM($FN489:$FN$7000))</f>
        <v/>
      </c>
      <c r="FK489" s="36" t="str">
        <f>IF($FH489="","",SUM($FN489:$FN$7000))</f>
        <v/>
      </c>
    </row>
    <row r="490" spans="149:167">
      <c r="ES490" s="29"/>
      <c r="EV490" s="28">
        <f t="shared" si="15"/>
        <v>0</v>
      </c>
      <c r="FH490" s="29" t="str">
        <f t="shared" si="16"/>
        <v/>
      </c>
      <c r="FJ490" s="36" t="str">
        <f>IF($FH490="","",SUM($FN490:$FN$7000))</f>
        <v/>
      </c>
      <c r="FK490" s="36" t="str">
        <f>IF($FH490="","",SUM($FN490:$FN$7000))</f>
        <v/>
      </c>
    </row>
    <row r="491" spans="149:167">
      <c r="ES491" s="29"/>
      <c r="EV491" s="28">
        <f t="shared" si="15"/>
        <v>0</v>
      </c>
      <c r="FH491" s="29" t="str">
        <f t="shared" si="16"/>
        <v/>
      </c>
      <c r="FJ491" s="36" t="str">
        <f>IF($FH491="","",SUM($FN491:$FN$7000))</f>
        <v/>
      </c>
      <c r="FK491" s="36" t="str">
        <f>IF($FH491="","",SUM($FN491:$FN$7000))</f>
        <v/>
      </c>
    </row>
    <row r="492" spans="149:167">
      <c r="ES492" s="29"/>
      <c r="EV492" s="28">
        <f t="shared" si="15"/>
        <v>0</v>
      </c>
      <c r="FH492" s="29" t="str">
        <f t="shared" si="16"/>
        <v/>
      </c>
      <c r="FJ492" s="36" t="str">
        <f>IF($FH492="","",SUM($FN492:$FN$7000))</f>
        <v/>
      </c>
      <c r="FK492" s="36" t="str">
        <f>IF($FH492="","",SUM($FN492:$FN$7000))</f>
        <v/>
      </c>
    </row>
    <row r="493" spans="149:167">
      <c r="ES493" s="29"/>
      <c r="EV493" s="28">
        <f t="shared" si="15"/>
        <v>0</v>
      </c>
      <c r="FH493" s="29" t="str">
        <f t="shared" si="16"/>
        <v/>
      </c>
      <c r="FJ493" s="36" t="str">
        <f>IF($FH493="","",SUM($FN493:$FN$7000))</f>
        <v/>
      </c>
      <c r="FK493" s="36" t="str">
        <f>IF($FH493="","",SUM($FN493:$FN$7000))</f>
        <v/>
      </c>
    </row>
    <row r="494" spans="149:167">
      <c r="ES494" s="29"/>
      <c r="EV494" s="28">
        <f t="shared" si="15"/>
        <v>0</v>
      </c>
      <c r="FH494" s="29" t="str">
        <f t="shared" si="16"/>
        <v/>
      </c>
      <c r="FJ494" s="36" t="str">
        <f>IF($FH494="","",SUM($FN494:$FN$7000))</f>
        <v/>
      </c>
      <c r="FK494" s="36" t="str">
        <f>IF($FH494="","",SUM($FN494:$FN$7000))</f>
        <v/>
      </c>
    </row>
    <row r="495" spans="149:167">
      <c r="ES495" s="29"/>
      <c r="EV495" s="28">
        <f t="shared" si="15"/>
        <v>0</v>
      </c>
      <c r="FH495" s="29" t="str">
        <f t="shared" si="16"/>
        <v/>
      </c>
      <c r="FJ495" s="36" t="str">
        <f>IF($FH495="","",SUM($FN495:$FN$7000))</f>
        <v/>
      </c>
      <c r="FK495" s="36" t="str">
        <f>IF($FH495="","",SUM($FN495:$FN$7000))</f>
        <v/>
      </c>
    </row>
    <row r="496" spans="149:167">
      <c r="ES496" s="29"/>
      <c r="EV496" s="28">
        <f t="shared" si="15"/>
        <v>0</v>
      </c>
      <c r="FH496" s="29" t="str">
        <f t="shared" si="16"/>
        <v/>
      </c>
      <c r="FJ496" s="36" t="str">
        <f>IF($FH496="","",SUM($FN496:$FN$7000))</f>
        <v/>
      </c>
      <c r="FK496" s="36" t="str">
        <f>IF($FH496="","",SUM($FN496:$FN$7000))</f>
        <v/>
      </c>
    </row>
    <row r="497" spans="149:167">
      <c r="ES497" s="29"/>
      <c r="EV497" s="28">
        <f t="shared" si="15"/>
        <v>0</v>
      </c>
      <c r="FH497" s="29" t="str">
        <f t="shared" si="16"/>
        <v/>
      </c>
      <c r="FJ497" s="36" t="str">
        <f>IF($FH497="","",SUM($FN497:$FN$7000))</f>
        <v/>
      </c>
      <c r="FK497" s="36" t="str">
        <f>IF($FH497="","",SUM($FN497:$FN$7000))</f>
        <v/>
      </c>
    </row>
    <row r="498" spans="149:167">
      <c r="ES498" s="29"/>
      <c r="EV498" s="28">
        <f t="shared" si="15"/>
        <v>0</v>
      </c>
      <c r="FH498" s="29" t="str">
        <f t="shared" si="16"/>
        <v/>
      </c>
      <c r="FJ498" s="36" t="str">
        <f>IF($FH498="","",SUM($FN498:$FN$7000))</f>
        <v/>
      </c>
      <c r="FK498" s="36" t="str">
        <f>IF($FH498="","",SUM($FN498:$FN$7000))</f>
        <v/>
      </c>
    </row>
    <row r="499" spans="149:167">
      <c r="ES499" s="29"/>
      <c r="EV499" s="28">
        <f t="shared" si="15"/>
        <v>0</v>
      </c>
      <c r="FH499" s="29" t="str">
        <f t="shared" si="16"/>
        <v/>
      </c>
      <c r="FJ499" s="36" t="str">
        <f>IF($FH499="","",SUM($FN499:$FN$7000))</f>
        <v/>
      </c>
      <c r="FK499" s="36" t="str">
        <f>IF($FH499="","",SUM($FN499:$FN$7000))</f>
        <v/>
      </c>
    </row>
    <row r="500" spans="149:167">
      <c r="ES500" s="29"/>
      <c r="EV500" s="28">
        <f t="shared" si="15"/>
        <v>0</v>
      </c>
      <c r="FH500" s="29" t="str">
        <f t="shared" si="16"/>
        <v/>
      </c>
      <c r="FJ500" s="36" t="str">
        <f>IF($FH500="","",SUM($FN500:$FN$7000))</f>
        <v/>
      </c>
      <c r="FK500" s="36" t="str">
        <f>IF($FH500="","",SUM($FN500:$FN$7000))</f>
        <v/>
      </c>
    </row>
    <row r="501" spans="149:167">
      <c r="ES501" s="29"/>
      <c r="EV501" s="28">
        <f t="shared" si="15"/>
        <v>0</v>
      </c>
      <c r="FH501" s="29" t="str">
        <f t="shared" si="16"/>
        <v/>
      </c>
      <c r="FJ501" s="36" t="str">
        <f>IF($FH501="","",SUM($FN501:$FN$7000))</f>
        <v/>
      </c>
      <c r="FK501" s="36" t="str">
        <f>IF($FH501="","",SUM($FN501:$FN$7000))</f>
        <v/>
      </c>
    </row>
    <row r="502" spans="149:167">
      <c r="ES502" s="29"/>
      <c r="EV502" s="28">
        <f t="shared" si="15"/>
        <v>0</v>
      </c>
      <c r="FH502" s="29" t="str">
        <f t="shared" si="16"/>
        <v/>
      </c>
      <c r="FJ502" s="36" t="str">
        <f>IF($FH502="","",SUM($FN502:$FN$7000))</f>
        <v/>
      </c>
      <c r="FK502" s="36" t="str">
        <f>IF($FH502="","",SUM($FN502:$FN$7000))</f>
        <v/>
      </c>
    </row>
    <row r="503" spans="149:167">
      <c r="ES503" s="29"/>
      <c r="EV503" s="28">
        <f t="shared" si="15"/>
        <v>0</v>
      </c>
      <c r="FH503" s="29" t="str">
        <f t="shared" si="16"/>
        <v/>
      </c>
      <c r="FJ503" s="36" t="str">
        <f>IF($FH503="","",SUM($FN503:$FN$7000))</f>
        <v/>
      </c>
      <c r="FK503" s="36" t="str">
        <f>IF($FH503="","",SUM($FN503:$FN$7000))</f>
        <v/>
      </c>
    </row>
    <row r="504" spans="149:167">
      <c r="ES504" s="29"/>
      <c r="EV504" s="28">
        <f t="shared" si="15"/>
        <v>0</v>
      </c>
      <c r="FH504" s="29" t="str">
        <f t="shared" si="16"/>
        <v/>
      </c>
      <c r="FJ504" s="36" t="str">
        <f>IF($FH504="","",SUM($FN504:$FN$7000))</f>
        <v/>
      </c>
      <c r="FK504" s="36" t="str">
        <f>IF($FH504="","",SUM($FN504:$FN$7000))</f>
        <v/>
      </c>
    </row>
    <row r="505" spans="149:167">
      <c r="ES505" s="29"/>
      <c r="EV505" s="28">
        <f t="shared" si="15"/>
        <v>0</v>
      </c>
      <c r="FH505" s="29" t="str">
        <f t="shared" si="16"/>
        <v/>
      </c>
      <c r="FJ505" s="36" t="str">
        <f>IF($FH505="","",SUM($FN505:$FN$7000))</f>
        <v/>
      </c>
      <c r="FK505" s="36" t="str">
        <f>IF($FH505="","",SUM($FN505:$FN$7000))</f>
        <v/>
      </c>
    </row>
    <row r="506" spans="149:167">
      <c r="ES506" s="29"/>
      <c r="EV506" s="28">
        <f t="shared" si="15"/>
        <v>0</v>
      </c>
      <c r="FH506" s="29" t="str">
        <f t="shared" si="16"/>
        <v/>
      </c>
      <c r="FJ506" s="36" t="str">
        <f>IF($FH506="","",SUM($FN506:$FN$7000))</f>
        <v/>
      </c>
      <c r="FK506" s="36" t="str">
        <f>IF($FH506="","",SUM($FN506:$FN$7000))</f>
        <v/>
      </c>
    </row>
    <row r="507" spans="149:167">
      <c r="ES507" s="29"/>
      <c r="EV507" s="28">
        <f t="shared" si="15"/>
        <v>0</v>
      </c>
      <c r="FH507" s="29" t="str">
        <f t="shared" si="16"/>
        <v/>
      </c>
      <c r="FJ507" s="36" t="str">
        <f>IF($FH507="","",SUM($FN507:$FN$7000))</f>
        <v/>
      </c>
      <c r="FK507" s="36" t="str">
        <f>IF($FH507="","",SUM($FN507:$FN$7000))</f>
        <v/>
      </c>
    </row>
    <row r="508" spans="149:167">
      <c r="ES508" s="29"/>
      <c r="EV508" s="28">
        <f t="shared" si="15"/>
        <v>0</v>
      </c>
      <c r="FH508" s="29" t="str">
        <f t="shared" si="16"/>
        <v/>
      </c>
      <c r="FJ508" s="36" t="str">
        <f>IF($FH508="","",SUM($FN508:$FN$7000))</f>
        <v/>
      </c>
      <c r="FK508" s="36" t="str">
        <f>IF($FH508="","",SUM($FN508:$FN$7000))</f>
        <v/>
      </c>
    </row>
    <row r="509" spans="149:167">
      <c r="ES509" s="29"/>
      <c r="EV509" s="28">
        <f t="shared" si="15"/>
        <v>0</v>
      </c>
      <c r="FH509" s="29" t="str">
        <f t="shared" si="16"/>
        <v/>
      </c>
      <c r="FJ509" s="36" t="str">
        <f>IF($FH509="","",SUM($FN509:$FN$7000))</f>
        <v/>
      </c>
      <c r="FK509" s="36" t="str">
        <f>IF($FH509="","",SUM($FN509:$FN$7000))</f>
        <v/>
      </c>
    </row>
    <row r="510" spans="149:167">
      <c r="ES510" s="29"/>
      <c r="EV510" s="28">
        <f t="shared" si="15"/>
        <v>0</v>
      </c>
      <c r="FH510" s="29" t="str">
        <f t="shared" si="16"/>
        <v/>
      </c>
      <c r="FJ510" s="36" t="str">
        <f>IF($FH510="","",SUM($FN510:$FN$7000))</f>
        <v/>
      </c>
      <c r="FK510" s="36" t="str">
        <f>IF($FH510="","",SUM($FN510:$FN$7000))</f>
        <v/>
      </c>
    </row>
    <row r="511" spans="149:167">
      <c r="ES511" s="29"/>
      <c r="EV511" s="28">
        <f t="shared" si="15"/>
        <v>0</v>
      </c>
      <c r="FH511" s="29" t="str">
        <f t="shared" si="16"/>
        <v/>
      </c>
      <c r="FJ511" s="36" t="str">
        <f>IF($FH511="","",SUM($FN511:$FN$7000))</f>
        <v/>
      </c>
      <c r="FK511" s="36" t="str">
        <f>IF($FH511="","",SUM($FN511:$FN$7000))</f>
        <v/>
      </c>
    </row>
    <row r="512" spans="149:167">
      <c r="ES512" s="29"/>
      <c r="EV512" s="28">
        <f t="shared" si="15"/>
        <v>0</v>
      </c>
      <c r="FH512" s="29" t="str">
        <f t="shared" si="16"/>
        <v/>
      </c>
      <c r="FJ512" s="36" t="str">
        <f>IF($FH512="","",SUM($FN512:$FN$7000))</f>
        <v/>
      </c>
      <c r="FK512" s="36" t="str">
        <f>IF($FH512="","",SUM($FN512:$FN$7000))</f>
        <v/>
      </c>
    </row>
    <row r="513" spans="149:167">
      <c r="ES513" s="29"/>
      <c r="EV513" s="28">
        <f t="shared" si="15"/>
        <v>0</v>
      </c>
      <c r="FH513" s="29" t="str">
        <f t="shared" si="16"/>
        <v/>
      </c>
      <c r="FJ513" s="36" t="str">
        <f>IF($FH513="","",SUM($FN513:$FN$7000))</f>
        <v/>
      </c>
      <c r="FK513" s="36" t="str">
        <f>IF($FH513="","",SUM($FN513:$FN$7000))</f>
        <v/>
      </c>
    </row>
    <row r="514" spans="149:167">
      <c r="ES514" s="29"/>
      <c r="EV514" s="28">
        <f t="shared" si="15"/>
        <v>0</v>
      </c>
      <c r="FH514" s="29" t="str">
        <f t="shared" si="16"/>
        <v/>
      </c>
      <c r="FJ514" s="36" t="str">
        <f>IF($FH514="","",SUM($FN514:$FN$7000))</f>
        <v/>
      </c>
      <c r="FK514" s="36" t="str">
        <f>IF($FH514="","",SUM($FN514:$FN$7000))</f>
        <v/>
      </c>
    </row>
    <row r="515" spans="149:167">
      <c r="ES515" s="29"/>
      <c r="EV515" s="28">
        <f t="shared" si="15"/>
        <v>0</v>
      </c>
      <c r="FH515" s="29" t="str">
        <f t="shared" si="16"/>
        <v/>
      </c>
      <c r="FJ515" s="36" t="str">
        <f>IF($FH515="","",SUM($FN515:$FN$7000))</f>
        <v/>
      </c>
      <c r="FK515" s="36" t="str">
        <f>IF($FH515="","",SUM($FN515:$FN$7000))</f>
        <v/>
      </c>
    </row>
    <row r="516" spans="149:167">
      <c r="ES516" s="29"/>
      <c r="EV516" s="28">
        <f t="shared" si="15"/>
        <v>0</v>
      </c>
      <c r="FH516" s="29" t="str">
        <f t="shared" si="16"/>
        <v/>
      </c>
      <c r="FJ516" s="36" t="str">
        <f>IF($FH516="","",SUM($FN516:$FN$7000))</f>
        <v/>
      </c>
      <c r="FK516" s="36" t="str">
        <f>IF($FH516="","",SUM($FN516:$FN$7000))</f>
        <v/>
      </c>
    </row>
    <row r="517" spans="149:167">
      <c r="ES517" s="29"/>
      <c r="EV517" s="28">
        <f t="shared" si="15"/>
        <v>0</v>
      </c>
      <c r="FH517" s="29" t="str">
        <f t="shared" si="16"/>
        <v/>
      </c>
      <c r="FJ517" s="36" t="str">
        <f>IF($FH517="","",SUM($FN517:$FN$7000))</f>
        <v/>
      </c>
      <c r="FK517" s="36" t="str">
        <f>IF($FH517="","",SUM($FN517:$FN$7000))</f>
        <v/>
      </c>
    </row>
    <row r="518" spans="149:167">
      <c r="ES518" s="29"/>
      <c r="EV518" s="28">
        <f t="shared" si="15"/>
        <v>0</v>
      </c>
      <c r="FH518" s="29" t="str">
        <f t="shared" si="16"/>
        <v/>
      </c>
      <c r="FJ518" s="36" t="str">
        <f>IF($FH518="","",SUM($FN518:$FN$7000))</f>
        <v/>
      </c>
      <c r="FK518" s="36" t="str">
        <f>IF($FH518="","",SUM($FN518:$FN$7000))</f>
        <v/>
      </c>
    </row>
    <row r="519" spans="149:167">
      <c r="ES519" s="29"/>
      <c r="EV519" s="28">
        <f t="shared" si="15"/>
        <v>0</v>
      </c>
      <c r="FH519" s="29" t="str">
        <f t="shared" si="16"/>
        <v/>
      </c>
      <c r="FJ519" s="36" t="str">
        <f>IF($FH519="","",SUM($FN519:$FN$7000))</f>
        <v/>
      </c>
      <c r="FK519" s="36" t="str">
        <f>IF($FH519="","",SUM($FN519:$FN$7000))</f>
        <v/>
      </c>
    </row>
    <row r="520" spans="149:167">
      <c r="ES520" s="29"/>
      <c r="EV520" s="28">
        <f t="shared" si="15"/>
        <v>0</v>
      </c>
      <c r="FH520" s="29" t="str">
        <f t="shared" si="16"/>
        <v/>
      </c>
      <c r="FJ520" s="36" t="str">
        <f>IF($FH520="","",SUM($FN520:$FN$7000))</f>
        <v/>
      </c>
      <c r="FK520" s="36" t="str">
        <f>IF($FH520="","",SUM($FN520:$FN$7000))</f>
        <v/>
      </c>
    </row>
    <row r="521" spans="149:167">
      <c r="ES521" s="29"/>
      <c r="EV521" s="28">
        <f t="shared" si="15"/>
        <v>0</v>
      </c>
      <c r="FH521" s="29" t="str">
        <f t="shared" si="16"/>
        <v/>
      </c>
      <c r="FJ521" s="36" t="str">
        <f>IF($FH521="","",SUM($FN521:$FN$7000))</f>
        <v/>
      </c>
      <c r="FK521" s="36" t="str">
        <f>IF($FH521="","",SUM($FN521:$FN$7000))</f>
        <v/>
      </c>
    </row>
    <row r="522" spans="149:167">
      <c r="ES522" s="29"/>
      <c r="EV522" s="28">
        <f t="shared" si="15"/>
        <v>0</v>
      </c>
      <c r="FH522" s="29" t="str">
        <f t="shared" si="16"/>
        <v/>
      </c>
      <c r="FJ522" s="36" t="str">
        <f>IF($FH522="","",SUM($FN522:$FN$7000))</f>
        <v/>
      </c>
      <c r="FK522" s="36" t="str">
        <f>IF($FH522="","",SUM($FN522:$FN$7000))</f>
        <v/>
      </c>
    </row>
    <row r="523" spans="149:167">
      <c r="ES523" s="29"/>
      <c r="EV523" s="28">
        <f t="shared" ref="EV523:EV586" si="17">EU523-ET523</f>
        <v>0</v>
      </c>
      <c r="FH523" s="29" t="str">
        <f t="shared" ref="FH523:FH586" si="18">IF(FL523="","",FL523)</f>
        <v/>
      </c>
      <c r="FJ523" s="36" t="str">
        <f>IF($FH523="","",SUM($FN523:$FN$7000))</f>
        <v/>
      </c>
      <c r="FK523" s="36" t="str">
        <f>IF($FH523="","",SUM($FN523:$FN$7000))</f>
        <v/>
      </c>
    </row>
    <row r="524" spans="149:167">
      <c r="ES524" s="29"/>
      <c r="EV524" s="28">
        <f t="shared" si="17"/>
        <v>0</v>
      </c>
      <c r="FH524" s="29" t="str">
        <f t="shared" si="18"/>
        <v/>
      </c>
      <c r="FJ524" s="36" t="str">
        <f>IF($FH524="","",SUM($FN524:$FN$7000))</f>
        <v/>
      </c>
      <c r="FK524" s="36" t="str">
        <f>IF($FH524="","",SUM($FN524:$FN$7000))</f>
        <v/>
      </c>
    </row>
    <row r="525" spans="149:167">
      <c r="ES525" s="29"/>
      <c r="EV525" s="28">
        <f t="shared" si="17"/>
        <v>0</v>
      </c>
      <c r="FH525" s="29" t="str">
        <f t="shared" si="18"/>
        <v/>
      </c>
      <c r="FJ525" s="36" t="str">
        <f>IF($FH525="","",SUM($FN525:$FN$7000))</f>
        <v/>
      </c>
      <c r="FK525" s="36" t="str">
        <f>IF($FH525="","",SUM($FN525:$FN$7000))</f>
        <v/>
      </c>
    </row>
    <row r="526" spans="149:167">
      <c r="ES526" s="29"/>
      <c r="EV526" s="28">
        <f t="shared" si="17"/>
        <v>0</v>
      </c>
      <c r="FH526" s="29" t="str">
        <f t="shared" si="18"/>
        <v/>
      </c>
      <c r="FJ526" s="36" t="str">
        <f>IF($FH526="","",SUM($FN526:$FN$7000))</f>
        <v/>
      </c>
      <c r="FK526" s="36" t="str">
        <f>IF($FH526="","",SUM($FN526:$FN$7000))</f>
        <v/>
      </c>
    </row>
    <row r="527" spans="149:167">
      <c r="ES527" s="29"/>
      <c r="EV527" s="28">
        <f t="shared" si="17"/>
        <v>0</v>
      </c>
      <c r="FH527" s="29" t="str">
        <f t="shared" si="18"/>
        <v/>
      </c>
      <c r="FJ527" s="36" t="str">
        <f>IF($FH527="","",SUM($FN527:$FN$7000))</f>
        <v/>
      </c>
      <c r="FK527" s="36" t="str">
        <f>IF($FH527="","",SUM($FN527:$FN$7000))</f>
        <v/>
      </c>
    </row>
    <row r="528" spans="149:167">
      <c r="ES528" s="29"/>
      <c r="EV528" s="28">
        <f t="shared" si="17"/>
        <v>0</v>
      </c>
      <c r="FH528" s="29" t="str">
        <f t="shared" si="18"/>
        <v/>
      </c>
      <c r="FJ528" s="36" t="str">
        <f>IF($FH528="","",SUM($FN528:$FN$7000))</f>
        <v/>
      </c>
      <c r="FK528" s="36" t="str">
        <f>IF($FH528="","",SUM($FN528:$FN$7000))</f>
        <v/>
      </c>
    </row>
    <row r="529" spans="149:167">
      <c r="ES529" s="29"/>
      <c r="EV529" s="28">
        <f t="shared" si="17"/>
        <v>0</v>
      </c>
      <c r="FH529" s="29" t="str">
        <f t="shared" si="18"/>
        <v/>
      </c>
      <c r="FJ529" s="36" t="str">
        <f>IF($FH529="","",SUM($FN529:$FN$7000))</f>
        <v/>
      </c>
      <c r="FK529" s="36" t="str">
        <f>IF($FH529="","",SUM($FN529:$FN$7000))</f>
        <v/>
      </c>
    </row>
    <row r="530" spans="149:167">
      <c r="ES530" s="29"/>
      <c r="EV530" s="28">
        <f t="shared" si="17"/>
        <v>0</v>
      </c>
      <c r="FH530" s="29" t="str">
        <f t="shared" si="18"/>
        <v/>
      </c>
      <c r="FJ530" s="36" t="str">
        <f>IF($FH530="","",SUM($FN530:$FN$7000))</f>
        <v/>
      </c>
      <c r="FK530" s="36" t="str">
        <f>IF($FH530="","",SUM($FN530:$FN$7000))</f>
        <v/>
      </c>
    </row>
    <row r="531" spans="149:167">
      <c r="ES531" s="29"/>
      <c r="EV531" s="28">
        <f t="shared" si="17"/>
        <v>0</v>
      </c>
      <c r="FH531" s="29" t="str">
        <f t="shared" si="18"/>
        <v/>
      </c>
      <c r="FJ531" s="36" t="str">
        <f>IF($FH531="","",SUM($FN531:$FN$7000))</f>
        <v/>
      </c>
      <c r="FK531" s="36" t="str">
        <f>IF($FH531="","",SUM($FN531:$FN$7000))</f>
        <v/>
      </c>
    </row>
    <row r="532" spans="149:167">
      <c r="ES532" s="29"/>
      <c r="EV532" s="28">
        <f t="shared" si="17"/>
        <v>0</v>
      </c>
      <c r="FH532" s="29" t="str">
        <f t="shared" si="18"/>
        <v/>
      </c>
      <c r="FJ532" s="36" t="str">
        <f>IF($FH532="","",SUM($FN532:$FN$7000))</f>
        <v/>
      </c>
      <c r="FK532" s="36" t="str">
        <f>IF($FH532="","",SUM($FN532:$FN$7000))</f>
        <v/>
      </c>
    </row>
    <row r="533" spans="149:167">
      <c r="ES533" s="29"/>
      <c r="EV533" s="28">
        <f t="shared" si="17"/>
        <v>0</v>
      </c>
      <c r="FH533" s="29" t="str">
        <f t="shared" si="18"/>
        <v/>
      </c>
      <c r="FJ533" s="36" t="str">
        <f>IF($FH533="","",SUM($FN533:$FN$7000))</f>
        <v/>
      </c>
      <c r="FK533" s="36" t="str">
        <f>IF($FH533="","",SUM($FN533:$FN$7000))</f>
        <v/>
      </c>
    </row>
    <row r="534" spans="149:167">
      <c r="ES534" s="29"/>
      <c r="EV534" s="28">
        <f t="shared" si="17"/>
        <v>0</v>
      </c>
      <c r="FH534" s="29" t="str">
        <f t="shared" si="18"/>
        <v/>
      </c>
      <c r="FJ534" s="36" t="str">
        <f>IF($FH534="","",SUM($FN534:$FN$7000))</f>
        <v/>
      </c>
      <c r="FK534" s="36" t="str">
        <f>IF($FH534="","",SUM($FN534:$FN$7000))</f>
        <v/>
      </c>
    </row>
    <row r="535" spans="149:167">
      <c r="ES535" s="29"/>
      <c r="EV535" s="28">
        <f t="shared" si="17"/>
        <v>0</v>
      </c>
      <c r="FH535" s="29" t="str">
        <f t="shared" si="18"/>
        <v/>
      </c>
      <c r="FJ535" s="36" t="str">
        <f>IF($FH535="","",SUM($FN535:$FN$7000))</f>
        <v/>
      </c>
      <c r="FK535" s="36" t="str">
        <f>IF($FH535="","",SUM($FN535:$FN$7000))</f>
        <v/>
      </c>
    </row>
    <row r="536" spans="149:167">
      <c r="ES536" s="29"/>
      <c r="EV536" s="28">
        <f t="shared" si="17"/>
        <v>0</v>
      </c>
      <c r="FH536" s="29" t="str">
        <f t="shared" si="18"/>
        <v/>
      </c>
      <c r="FJ536" s="36" t="str">
        <f>IF($FH536="","",SUM($FN536:$FN$7000))</f>
        <v/>
      </c>
      <c r="FK536" s="36" t="str">
        <f>IF($FH536="","",SUM($FN536:$FN$7000))</f>
        <v/>
      </c>
    </row>
    <row r="537" spans="149:167">
      <c r="ES537" s="29"/>
      <c r="EV537" s="28">
        <f t="shared" si="17"/>
        <v>0</v>
      </c>
      <c r="FH537" s="29" t="str">
        <f t="shared" si="18"/>
        <v/>
      </c>
      <c r="FJ537" s="36" t="str">
        <f>IF($FH537="","",SUM($FN537:$FN$7000))</f>
        <v/>
      </c>
      <c r="FK537" s="36" t="str">
        <f>IF($FH537="","",SUM($FN537:$FN$7000))</f>
        <v/>
      </c>
    </row>
    <row r="538" spans="149:167">
      <c r="ES538" s="29"/>
      <c r="EV538" s="28">
        <f t="shared" si="17"/>
        <v>0</v>
      </c>
      <c r="FH538" s="29" t="str">
        <f t="shared" si="18"/>
        <v/>
      </c>
      <c r="FJ538" s="36" t="str">
        <f>IF($FH538="","",SUM($FN538:$FN$7000))</f>
        <v/>
      </c>
      <c r="FK538" s="36" t="str">
        <f>IF($FH538="","",SUM($FN538:$FN$7000))</f>
        <v/>
      </c>
    </row>
    <row r="539" spans="149:167">
      <c r="ES539" s="29"/>
      <c r="EV539" s="28">
        <f t="shared" si="17"/>
        <v>0</v>
      </c>
      <c r="FH539" s="29" t="str">
        <f t="shared" si="18"/>
        <v/>
      </c>
      <c r="FJ539" s="36" t="str">
        <f>IF($FH539="","",SUM($FN539:$FN$7000))</f>
        <v/>
      </c>
      <c r="FK539" s="36" t="str">
        <f>IF($FH539="","",SUM($FN539:$FN$7000))</f>
        <v/>
      </c>
    </row>
    <row r="540" spans="149:167">
      <c r="ES540" s="29"/>
      <c r="EV540" s="28">
        <f t="shared" si="17"/>
        <v>0</v>
      </c>
      <c r="FH540" s="29" t="str">
        <f t="shared" si="18"/>
        <v/>
      </c>
      <c r="FJ540" s="36" t="str">
        <f>IF($FH540="","",SUM($FN540:$FN$7000))</f>
        <v/>
      </c>
      <c r="FK540" s="36" t="str">
        <f>IF($FH540="","",SUM($FN540:$FN$7000))</f>
        <v/>
      </c>
    </row>
    <row r="541" spans="149:167">
      <c r="ES541" s="29"/>
      <c r="EV541" s="28">
        <f t="shared" si="17"/>
        <v>0</v>
      </c>
      <c r="FH541" s="29" t="str">
        <f t="shared" si="18"/>
        <v/>
      </c>
      <c r="FJ541" s="36" t="str">
        <f>IF($FH541="","",SUM($FN541:$FN$7000))</f>
        <v/>
      </c>
      <c r="FK541" s="36" t="str">
        <f>IF($FH541="","",SUM($FN541:$FN$7000))</f>
        <v/>
      </c>
    </row>
    <row r="542" spans="149:167">
      <c r="ES542" s="29"/>
      <c r="EV542" s="28">
        <f t="shared" si="17"/>
        <v>0</v>
      </c>
      <c r="FH542" s="29" t="str">
        <f t="shared" si="18"/>
        <v/>
      </c>
      <c r="FJ542" s="36" t="str">
        <f>IF($FH542="","",SUM($FN542:$FN$7000))</f>
        <v/>
      </c>
      <c r="FK542" s="36" t="str">
        <f>IF($FH542="","",SUM($FN542:$FN$7000))</f>
        <v/>
      </c>
    </row>
    <row r="543" spans="149:167">
      <c r="ES543" s="29"/>
      <c r="EV543" s="28">
        <f t="shared" si="17"/>
        <v>0</v>
      </c>
      <c r="FH543" s="29" t="str">
        <f t="shared" si="18"/>
        <v/>
      </c>
      <c r="FJ543" s="36" t="str">
        <f>IF($FH543="","",SUM($FN543:$FN$7000))</f>
        <v/>
      </c>
      <c r="FK543" s="36" t="str">
        <f>IF($FH543="","",SUM($FN543:$FN$7000))</f>
        <v/>
      </c>
    </row>
    <row r="544" spans="149:167">
      <c r="ES544" s="29"/>
      <c r="EV544" s="28">
        <f t="shared" si="17"/>
        <v>0</v>
      </c>
      <c r="FH544" s="29" t="str">
        <f t="shared" si="18"/>
        <v/>
      </c>
      <c r="FJ544" s="36" t="str">
        <f>IF($FH544="","",SUM($FN544:$FN$7000))</f>
        <v/>
      </c>
      <c r="FK544" s="36" t="str">
        <f>IF($FH544="","",SUM($FN544:$FN$7000))</f>
        <v/>
      </c>
    </row>
    <row r="545" spans="149:167">
      <c r="ES545" s="29"/>
      <c r="EV545" s="28">
        <f t="shared" si="17"/>
        <v>0</v>
      </c>
      <c r="FH545" s="29" t="str">
        <f t="shared" si="18"/>
        <v/>
      </c>
      <c r="FJ545" s="36" t="str">
        <f>IF($FH545="","",SUM($FN545:$FN$7000))</f>
        <v/>
      </c>
      <c r="FK545" s="36" t="str">
        <f>IF($FH545="","",SUM($FN545:$FN$7000))</f>
        <v/>
      </c>
    </row>
    <row r="546" spans="149:167">
      <c r="ES546" s="29"/>
      <c r="EV546" s="28">
        <f t="shared" si="17"/>
        <v>0</v>
      </c>
      <c r="FH546" s="29" t="str">
        <f t="shared" si="18"/>
        <v/>
      </c>
      <c r="FJ546" s="36" t="str">
        <f>IF($FH546="","",SUM($FN546:$FN$7000))</f>
        <v/>
      </c>
      <c r="FK546" s="36" t="str">
        <f>IF($FH546="","",SUM($FN546:$FN$7000))</f>
        <v/>
      </c>
    </row>
    <row r="547" spans="149:167">
      <c r="ES547" s="29"/>
      <c r="EV547" s="28">
        <f t="shared" si="17"/>
        <v>0</v>
      </c>
      <c r="FH547" s="29" t="str">
        <f t="shared" si="18"/>
        <v/>
      </c>
      <c r="FJ547" s="36" t="str">
        <f>IF($FH547="","",SUM($FN547:$FN$7000))</f>
        <v/>
      </c>
      <c r="FK547" s="36" t="str">
        <f>IF($FH547="","",SUM($FN547:$FN$7000))</f>
        <v/>
      </c>
    </row>
    <row r="548" spans="149:167">
      <c r="ES548" s="29"/>
      <c r="EV548" s="28">
        <f t="shared" si="17"/>
        <v>0</v>
      </c>
      <c r="FH548" s="29" t="str">
        <f t="shared" si="18"/>
        <v/>
      </c>
      <c r="FJ548" s="36" t="str">
        <f>IF($FH548="","",SUM($FN548:$FN$7000))</f>
        <v/>
      </c>
      <c r="FK548" s="36" t="str">
        <f>IF($FH548="","",SUM($FN548:$FN$7000))</f>
        <v/>
      </c>
    </row>
    <row r="549" spans="149:167">
      <c r="ES549" s="29"/>
      <c r="EV549" s="28">
        <f t="shared" si="17"/>
        <v>0</v>
      </c>
      <c r="FH549" s="29" t="str">
        <f t="shared" si="18"/>
        <v/>
      </c>
      <c r="FJ549" s="36" t="str">
        <f>IF($FH549="","",SUM($FN549:$FN$7000))</f>
        <v/>
      </c>
      <c r="FK549" s="36" t="str">
        <f>IF($FH549="","",SUM($FN549:$FN$7000))</f>
        <v/>
      </c>
    </row>
    <row r="550" spans="149:167">
      <c r="ES550" s="29"/>
      <c r="EV550" s="28">
        <f t="shared" si="17"/>
        <v>0</v>
      </c>
      <c r="FH550" s="29" t="str">
        <f t="shared" si="18"/>
        <v/>
      </c>
      <c r="FJ550" s="36" t="str">
        <f>IF($FH550="","",SUM($FN550:$FN$7000))</f>
        <v/>
      </c>
      <c r="FK550" s="36" t="str">
        <f>IF($FH550="","",SUM($FN550:$FN$7000))</f>
        <v/>
      </c>
    </row>
    <row r="551" spans="149:167">
      <c r="ES551" s="29"/>
      <c r="EV551" s="28">
        <f t="shared" si="17"/>
        <v>0</v>
      </c>
      <c r="FH551" s="29" t="str">
        <f t="shared" si="18"/>
        <v/>
      </c>
      <c r="FJ551" s="36" t="str">
        <f>IF($FH551="","",SUM($FN551:$FN$7000))</f>
        <v/>
      </c>
      <c r="FK551" s="36" t="str">
        <f>IF($FH551="","",SUM($FN551:$FN$7000))</f>
        <v/>
      </c>
    </row>
    <row r="552" spans="149:167">
      <c r="ES552" s="29"/>
      <c r="EV552" s="28">
        <f t="shared" si="17"/>
        <v>0</v>
      </c>
      <c r="FH552" s="29" t="str">
        <f t="shared" si="18"/>
        <v/>
      </c>
      <c r="FJ552" s="36" t="str">
        <f>IF($FH552="","",SUM($FN552:$FN$7000))</f>
        <v/>
      </c>
      <c r="FK552" s="36" t="str">
        <f>IF($FH552="","",SUM($FN552:$FN$7000))</f>
        <v/>
      </c>
    </row>
    <row r="553" spans="149:167">
      <c r="ES553" s="29"/>
      <c r="EV553" s="28">
        <f t="shared" si="17"/>
        <v>0</v>
      </c>
      <c r="FH553" s="29" t="str">
        <f t="shared" si="18"/>
        <v/>
      </c>
      <c r="FJ553" s="36" t="str">
        <f>IF($FH553="","",SUM($FN553:$FN$7000))</f>
        <v/>
      </c>
      <c r="FK553" s="36" t="str">
        <f>IF($FH553="","",SUM($FN553:$FN$7000))</f>
        <v/>
      </c>
    </row>
    <row r="554" spans="149:167">
      <c r="ES554" s="29"/>
      <c r="EV554" s="28">
        <f t="shared" si="17"/>
        <v>0</v>
      </c>
      <c r="FH554" s="29" t="str">
        <f t="shared" si="18"/>
        <v/>
      </c>
      <c r="FJ554" s="36" t="str">
        <f>IF($FH554="","",SUM($FN554:$FN$7000))</f>
        <v/>
      </c>
      <c r="FK554" s="36" t="str">
        <f>IF($FH554="","",SUM($FN554:$FN$7000))</f>
        <v/>
      </c>
    </row>
    <row r="555" spans="149:167">
      <c r="ES555" s="29"/>
      <c r="EV555" s="28">
        <f t="shared" si="17"/>
        <v>0</v>
      </c>
      <c r="FH555" s="29" t="str">
        <f t="shared" si="18"/>
        <v/>
      </c>
      <c r="FJ555" s="36" t="str">
        <f>IF($FH555="","",SUM($FN555:$FN$7000))</f>
        <v/>
      </c>
      <c r="FK555" s="36" t="str">
        <f>IF($FH555="","",SUM($FN555:$FN$7000))</f>
        <v/>
      </c>
    </row>
    <row r="556" spans="149:167">
      <c r="ES556" s="29"/>
      <c r="EV556" s="28">
        <f t="shared" si="17"/>
        <v>0</v>
      </c>
      <c r="FH556" s="29" t="str">
        <f t="shared" si="18"/>
        <v/>
      </c>
      <c r="FJ556" s="36" t="str">
        <f>IF($FH556="","",SUM($FN556:$FN$7000))</f>
        <v/>
      </c>
      <c r="FK556" s="36" t="str">
        <f>IF($FH556="","",SUM($FN556:$FN$7000))</f>
        <v/>
      </c>
    </row>
    <row r="557" spans="149:167">
      <c r="ES557" s="29"/>
      <c r="EV557" s="28">
        <f t="shared" si="17"/>
        <v>0</v>
      </c>
      <c r="FH557" s="29" t="str">
        <f t="shared" si="18"/>
        <v/>
      </c>
      <c r="FJ557" s="36" t="str">
        <f>IF($FH557="","",SUM($FN557:$FN$7000))</f>
        <v/>
      </c>
      <c r="FK557" s="36" t="str">
        <f>IF($FH557="","",SUM($FN557:$FN$7000))</f>
        <v/>
      </c>
    </row>
    <row r="558" spans="149:167">
      <c r="ES558" s="29"/>
      <c r="EV558" s="28">
        <f t="shared" si="17"/>
        <v>0</v>
      </c>
      <c r="FH558" s="29" t="str">
        <f t="shared" si="18"/>
        <v/>
      </c>
      <c r="FJ558" s="36" t="str">
        <f>IF($FH558="","",SUM($FN558:$FN$7000))</f>
        <v/>
      </c>
      <c r="FK558" s="36" t="str">
        <f>IF($FH558="","",SUM($FN558:$FN$7000))</f>
        <v/>
      </c>
    </row>
    <row r="559" spans="149:167">
      <c r="ES559" s="29"/>
      <c r="EV559" s="28">
        <f t="shared" si="17"/>
        <v>0</v>
      </c>
      <c r="FH559" s="29" t="str">
        <f t="shared" si="18"/>
        <v/>
      </c>
      <c r="FJ559" s="36" t="str">
        <f>IF($FH559="","",SUM($FN559:$FN$7000))</f>
        <v/>
      </c>
      <c r="FK559" s="36" t="str">
        <f>IF($FH559="","",SUM($FN559:$FN$7000))</f>
        <v/>
      </c>
    </row>
    <row r="560" spans="149:167">
      <c r="ES560" s="29"/>
      <c r="EV560" s="28">
        <f t="shared" si="17"/>
        <v>0</v>
      </c>
      <c r="FH560" s="29" t="str">
        <f t="shared" si="18"/>
        <v/>
      </c>
      <c r="FJ560" s="36" t="str">
        <f>IF($FH560="","",SUM($FN560:$FN$7000))</f>
        <v/>
      </c>
      <c r="FK560" s="36" t="str">
        <f>IF($FH560="","",SUM($FN560:$FN$7000))</f>
        <v/>
      </c>
    </row>
    <row r="561" spans="149:167">
      <c r="ES561" s="29"/>
      <c r="EV561" s="28">
        <f t="shared" si="17"/>
        <v>0</v>
      </c>
      <c r="FH561" s="29" t="str">
        <f t="shared" si="18"/>
        <v/>
      </c>
      <c r="FJ561" s="36" t="str">
        <f>IF($FH561="","",SUM($FN561:$FN$7000))</f>
        <v/>
      </c>
      <c r="FK561" s="36" t="str">
        <f>IF($FH561="","",SUM($FN561:$FN$7000))</f>
        <v/>
      </c>
    </row>
    <row r="562" spans="149:167">
      <c r="ES562" s="29"/>
      <c r="EV562" s="28">
        <f t="shared" si="17"/>
        <v>0</v>
      </c>
      <c r="FH562" s="29" t="str">
        <f t="shared" si="18"/>
        <v/>
      </c>
      <c r="FJ562" s="36" t="str">
        <f>IF($FH562="","",SUM($FN562:$FN$7000))</f>
        <v/>
      </c>
      <c r="FK562" s="36" t="str">
        <f>IF($FH562="","",SUM($FN562:$FN$7000))</f>
        <v/>
      </c>
    </row>
    <row r="563" spans="149:167">
      <c r="ES563" s="29"/>
      <c r="EV563" s="28">
        <f t="shared" si="17"/>
        <v>0</v>
      </c>
      <c r="FH563" s="29" t="str">
        <f t="shared" si="18"/>
        <v/>
      </c>
      <c r="FJ563" s="36" t="str">
        <f>IF($FH563="","",SUM($FN563:$FN$7000))</f>
        <v/>
      </c>
      <c r="FK563" s="36" t="str">
        <f>IF($FH563="","",SUM($FN563:$FN$7000))</f>
        <v/>
      </c>
    </row>
    <row r="564" spans="149:167">
      <c r="ES564" s="29"/>
      <c r="EV564" s="28">
        <f t="shared" si="17"/>
        <v>0</v>
      </c>
      <c r="FH564" s="29" t="str">
        <f t="shared" si="18"/>
        <v/>
      </c>
      <c r="FJ564" s="36" t="str">
        <f>IF($FH564="","",SUM($FN564:$FN$7000))</f>
        <v/>
      </c>
      <c r="FK564" s="36" t="str">
        <f>IF($FH564="","",SUM($FN564:$FN$7000))</f>
        <v/>
      </c>
    </row>
    <row r="565" spans="149:167">
      <c r="ES565" s="29"/>
      <c r="EV565" s="28">
        <f t="shared" si="17"/>
        <v>0</v>
      </c>
      <c r="FH565" s="29" t="str">
        <f t="shared" si="18"/>
        <v/>
      </c>
      <c r="FJ565" s="36" t="str">
        <f>IF($FH565="","",SUM($FN565:$FN$7000))</f>
        <v/>
      </c>
      <c r="FK565" s="36" t="str">
        <f>IF($FH565="","",SUM($FN565:$FN$7000))</f>
        <v/>
      </c>
    </row>
    <row r="566" spans="149:167">
      <c r="ES566" s="29"/>
      <c r="EV566" s="28">
        <f t="shared" si="17"/>
        <v>0</v>
      </c>
      <c r="FH566" s="29" t="str">
        <f t="shared" si="18"/>
        <v/>
      </c>
      <c r="FJ566" s="36" t="str">
        <f>IF($FH566="","",SUM($FN566:$FN$7000))</f>
        <v/>
      </c>
      <c r="FK566" s="36" t="str">
        <f>IF($FH566="","",SUM($FN566:$FN$7000))</f>
        <v/>
      </c>
    </row>
    <row r="567" spans="149:167">
      <c r="ES567" s="29"/>
      <c r="EV567" s="28">
        <f t="shared" si="17"/>
        <v>0</v>
      </c>
      <c r="FH567" s="29" t="str">
        <f t="shared" si="18"/>
        <v/>
      </c>
      <c r="FJ567" s="36" t="str">
        <f>IF($FH567="","",SUM($FN567:$FN$7000))</f>
        <v/>
      </c>
      <c r="FK567" s="36" t="str">
        <f>IF($FH567="","",SUM($FN567:$FN$7000))</f>
        <v/>
      </c>
    </row>
    <row r="568" spans="149:167">
      <c r="ES568" s="29"/>
      <c r="EV568" s="28">
        <f t="shared" si="17"/>
        <v>0</v>
      </c>
      <c r="FH568" s="29" t="str">
        <f t="shared" si="18"/>
        <v/>
      </c>
      <c r="FJ568" s="36" t="str">
        <f>IF($FH568="","",SUM($FN568:$FN$7000))</f>
        <v/>
      </c>
      <c r="FK568" s="36" t="str">
        <f>IF($FH568="","",SUM($FN568:$FN$7000))</f>
        <v/>
      </c>
    </row>
    <row r="569" spans="149:167">
      <c r="ES569" s="29"/>
      <c r="EV569" s="28">
        <f t="shared" si="17"/>
        <v>0</v>
      </c>
      <c r="FH569" s="29" t="str">
        <f t="shared" si="18"/>
        <v/>
      </c>
      <c r="FJ569" s="36" t="str">
        <f>IF($FH569="","",SUM($FN569:$FN$7000))</f>
        <v/>
      </c>
      <c r="FK569" s="36" t="str">
        <f>IF($FH569="","",SUM($FN569:$FN$7000))</f>
        <v/>
      </c>
    </row>
    <row r="570" spans="149:167">
      <c r="ES570" s="29"/>
      <c r="EV570" s="28">
        <f t="shared" si="17"/>
        <v>0</v>
      </c>
      <c r="FH570" s="29" t="str">
        <f t="shared" si="18"/>
        <v/>
      </c>
      <c r="FJ570" s="36" t="str">
        <f>IF($FH570="","",SUM($FN570:$FN$7000))</f>
        <v/>
      </c>
      <c r="FK570" s="36" t="str">
        <f>IF($FH570="","",SUM($FN570:$FN$7000))</f>
        <v/>
      </c>
    </row>
    <row r="571" spans="149:167">
      <c r="ES571" s="29"/>
      <c r="EV571" s="28">
        <f t="shared" si="17"/>
        <v>0</v>
      </c>
      <c r="FH571" s="29" t="str">
        <f t="shared" si="18"/>
        <v/>
      </c>
      <c r="FJ571" s="36" t="str">
        <f>IF($FH571="","",SUM($FN571:$FN$7000))</f>
        <v/>
      </c>
      <c r="FK571" s="36" t="str">
        <f>IF($FH571="","",SUM($FN571:$FN$7000))</f>
        <v/>
      </c>
    </row>
    <row r="572" spans="149:167">
      <c r="ES572" s="29"/>
      <c r="EV572" s="28">
        <f t="shared" si="17"/>
        <v>0</v>
      </c>
      <c r="FH572" s="29" t="str">
        <f t="shared" si="18"/>
        <v/>
      </c>
      <c r="FJ572" s="36" t="str">
        <f>IF($FH572="","",SUM($FN572:$FN$7000))</f>
        <v/>
      </c>
      <c r="FK572" s="36" t="str">
        <f>IF($FH572="","",SUM($FN572:$FN$7000))</f>
        <v/>
      </c>
    </row>
    <row r="573" spans="149:167">
      <c r="ES573" s="29"/>
      <c r="EV573" s="28">
        <f t="shared" si="17"/>
        <v>0</v>
      </c>
      <c r="FH573" s="29" t="str">
        <f t="shared" si="18"/>
        <v/>
      </c>
      <c r="FJ573" s="36" t="str">
        <f>IF($FH573="","",SUM($FN573:$FN$7000))</f>
        <v/>
      </c>
      <c r="FK573" s="36" t="str">
        <f>IF($FH573="","",SUM($FN573:$FN$7000))</f>
        <v/>
      </c>
    </row>
    <row r="574" spans="149:167">
      <c r="ES574" s="29"/>
      <c r="EV574" s="28">
        <f t="shared" si="17"/>
        <v>0</v>
      </c>
      <c r="FH574" s="29" t="str">
        <f t="shared" si="18"/>
        <v/>
      </c>
      <c r="FJ574" s="36" t="str">
        <f>IF($FH574="","",SUM($FN574:$FN$7000))</f>
        <v/>
      </c>
      <c r="FK574" s="36" t="str">
        <f>IF($FH574="","",SUM($FN574:$FN$7000))</f>
        <v/>
      </c>
    </row>
    <row r="575" spans="149:167">
      <c r="ES575" s="29"/>
      <c r="EV575" s="28">
        <f t="shared" si="17"/>
        <v>0</v>
      </c>
      <c r="FH575" s="29" t="str">
        <f t="shared" si="18"/>
        <v/>
      </c>
      <c r="FJ575" s="36" t="str">
        <f>IF($FH575="","",SUM($FN575:$FN$7000))</f>
        <v/>
      </c>
      <c r="FK575" s="36" t="str">
        <f>IF($FH575="","",SUM($FN575:$FN$7000))</f>
        <v/>
      </c>
    </row>
    <row r="576" spans="149:167">
      <c r="ES576" s="29"/>
      <c r="EV576" s="28">
        <f t="shared" si="17"/>
        <v>0</v>
      </c>
      <c r="FH576" s="29" t="str">
        <f t="shared" si="18"/>
        <v/>
      </c>
      <c r="FJ576" s="36" t="str">
        <f>IF($FH576="","",SUM($FN576:$FN$7000))</f>
        <v/>
      </c>
      <c r="FK576" s="36" t="str">
        <f>IF($FH576="","",SUM($FN576:$FN$7000))</f>
        <v/>
      </c>
    </row>
    <row r="577" spans="149:167">
      <c r="ES577" s="29"/>
      <c r="EV577" s="28">
        <f t="shared" si="17"/>
        <v>0</v>
      </c>
      <c r="FH577" s="29" t="str">
        <f t="shared" si="18"/>
        <v/>
      </c>
      <c r="FJ577" s="36" t="str">
        <f>IF($FH577="","",SUM($FN577:$FN$7000))</f>
        <v/>
      </c>
      <c r="FK577" s="36" t="str">
        <f>IF($FH577="","",SUM($FN577:$FN$7000))</f>
        <v/>
      </c>
    </row>
    <row r="578" spans="149:167">
      <c r="ES578" s="29"/>
      <c r="EV578" s="28">
        <f t="shared" si="17"/>
        <v>0</v>
      </c>
      <c r="FH578" s="29" t="str">
        <f t="shared" si="18"/>
        <v/>
      </c>
      <c r="FJ578" s="36" t="str">
        <f>IF($FH578="","",SUM($FN578:$FN$7000))</f>
        <v/>
      </c>
      <c r="FK578" s="36" t="str">
        <f>IF($FH578="","",SUM($FN578:$FN$7000))</f>
        <v/>
      </c>
    </row>
    <row r="579" spans="149:167">
      <c r="ES579" s="29"/>
      <c r="EV579" s="28">
        <f t="shared" si="17"/>
        <v>0</v>
      </c>
      <c r="FH579" s="29" t="str">
        <f t="shared" si="18"/>
        <v/>
      </c>
      <c r="FJ579" s="36" t="str">
        <f>IF($FH579="","",SUM($FN579:$FN$7000))</f>
        <v/>
      </c>
      <c r="FK579" s="36" t="str">
        <f>IF($FH579="","",SUM($FN579:$FN$7000))</f>
        <v/>
      </c>
    </row>
    <row r="580" spans="149:167">
      <c r="ES580" s="29"/>
      <c r="EV580" s="28">
        <f t="shared" si="17"/>
        <v>0</v>
      </c>
      <c r="FH580" s="29" t="str">
        <f t="shared" si="18"/>
        <v/>
      </c>
      <c r="FJ580" s="36" t="str">
        <f>IF($FH580="","",SUM($FN580:$FN$7000))</f>
        <v/>
      </c>
      <c r="FK580" s="36" t="str">
        <f>IF($FH580="","",SUM($FN580:$FN$7000))</f>
        <v/>
      </c>
    </row>
    <row r="581" spans="149:167">
      <c r="ES581" s="29"/>
      <c r="EV581" s="28">
        <f t="shared" si="17"/>
        <v>0</v>
      </c>
      <c r="FH581" s="29" t="str">
        <f t="shared" si="18"/>
        <v/>
      </c>
      <c r="FJ581" s="36" t="str">
        <f>IF($FH581="","",SUM($FN581:$FN$7000))</f>
        <v/>
      </c>
      <c r="FK581" s="36" t="str">
        <f>IF($FH581="","",SUM($FN581:$FN$7000))</f>
        <v/>
      </c>
    </row>
    <row r="582" spans="149:167">
      <c r="ES582" s="29"/>
      <c r="EV582" s="28">
        <f t="shared" si="17"/>
        <v>0</v>
      </c>
      <c r="FH582" s="29" t="str">
        <f t="shared" si="18"/>
        <v/>
      </c>
      <c r="FJ582" s="36" t="str">
        <f>IF($FH582="","",SUM($FN582:$FN$7000))</f>
        <v/>
      </c>
      <c r="FK582" s="36" t="str">
        <f>IF($FH582="","",SUM($FN582:$FN$7000))</f>
        <v/>
      </c>
    </row>
    <row r="583" spans="149:167">
      <c r="ES583" s="29"/>
      <c r="EV583" s="28">
        <f t="shared" si="17"/>
        <v>0</v>
      </c>
      <c r="FH583" s="29" t="str">
        <f t="shared" si="18"/>
        <v/>
      </c>
      <c r="FJ583" s="36" t="str">
        <f>IF($FH583="","",SUM($FN583:$FN$7000))</f>
        <v/>
      </c>
      <c r="FK583" s="36" t="str">
        <f>IF($FH583="","",SUM($FN583:$FN$7000))</f>
        <v/>
      </c>
    </row>
    <row r="584" spans="149:167">
      <c r="ES584" s="29"/>
      <c r="EV584" s="28">
        <f t="shared" si="17"/>
        <v>0</v>
      </c>
      <c r="FH584" s="29" t="str">
        <f t="shared" si="18"/>
        <v/>
      </c>
      <c r="FJ584" s="36" t="str">
        <f>IF($FH584="","",SUM($FN584:$FN$7000))</f>
        <v/>
      </c>
      <c r="FK584" s="36" t="str">
        <f>IF($FH584="","",SUM($FN584:$FN$7000))</f>
        <v/>
      </c>
    </row>
    <row r="585" spans="149:167">
      <c r="ES585" s="29"/>
      <c r="EV585" s="28">
        <f t="shared" si="17"/>
        <v>0</v>
      </c>
      <c r="FH585" s="29" t="str">
        <f t="shared" si="18"/>
        <v/>
      </c>
      <c r="FJ585" s="36" t="str">
        <f>IF($FH585="","",SUM($FN585:$FN$7000))</f>
        <v/>
      </c>
      <c r="FK585" s="36" t="str">
        <f>IF($FH585="","",SUM($FN585:$FN$7000))</f>
        <v/>
      </c>
    </row>
    <row r="586" spans="149:167">
      <c r="ES586" s="29"/>
      <c r="EV586" s="28">
        <f t="shared" si="17"/>
        <v>0</v>
      </c>
      <c r="FH586" s="29" t="str">
        <f t="shared" si="18"/>
        <v/>
      </c>
      <c r="FJ586" s="36" t="str">
        <f>IF($FH586="","",SUM($FN586:$FN$7000))</f>
        <v/>
      </c>
      <c r="FK586" s="36" t="str">
        <f>IF($FH586="","",SUM($FN586:$FN$7000))</f>
        <v/>
      </c>
    </row>
    <row r="587" spans="149:167">
      <c r="ES587" s="29"/>
      <c r="EV587" s="28">
        <f t="shared" ref="EV587:EV650" si="19">EU587-ET587</f>
        <v>0</v>
      </c>
      <c r="FH587" s="29" t="str">
        <f t="shared" ref="FH587:FH650" si="20">IF(FL587="","",FL587)</f>
        <v/>
      </c>
      <c r="FJ587" s="36" t="str">
        <f>IF($FH587="","",SUM($FN587:$FN$7000))</f>
        <v/>
      </c>
      <c r="FK587" s="36" t="str">
        <f>IF($FH587="","",SUM($FN587:$FN$7000))</f>
        <v/>
      </c>
    </row>
    <row r="588" spans="149:167">
      <c r="ES588" s="29"/>
      <c r="EV588" s="28">
        <f t="shared" si="19"/>
        <v>0</v>
      </c>
      <c r="FH588" s="29" t="str">
        <f t="shared" si="20"/>
        <v/>
      </c>
      <c r="FJ588" s="36" t="str">
        <f>IF($FH588="","",SUM($FN588:$FN$7000))</f>
        <v/>
      </c>
      <c r="FK588" s="36" t="str">
        <f>IF($FH588="","",SUM($FN588:$FN$7000))</f>
        <v/>
      </c>
    </row>
    <row r="589" spans="149:167">
      <c r="ES589" s="29"/>
      <c r="EV589" s="28">
        <f t="shared" si="19"/>
        <v>0</v>
      </c>
      <c r="FH589" s="29" t="str">
        <f t="shared" si="20"/>
        <v/>
      </c>
      <c r="FJ589" s="36" t="str">
        <f>IF($FH589="","",SUM($FN589:$FN$7000))</f>
        <v/>
      </c>
      <c r="FK589" s="36" t="str">
        <f>IF($FH589="","",SUM($FN589:$FN$7000))</f>
        <v/>
      </c>
    </row>
    <row r="590" spans="149:167">
      <c r="ES590" s="29"/>
      <c r="EV590" s="28">
        <f t="shared" si="19"/>
        <v>0</v>
      </c>
      <c r="FH590" s="29" t="str">
        <f t="shared" si="20"/>
        <v/>
      </c>
      <c r="FJ590" s="36" t="str">
        <f>IF($FH590="","",SUM($FN590:$FN$7000))</f>
        <v/>
      </c>
      <c r="FK590" s="36" t="str">
        <f>IF($FH590="","",SUM($FN590:$FN$7000))</f>
        <v/>
      </c>
    </row>
    <row r="591" spans="149:167">
      <c r="ES591" s="29"/>
      <c r="EV591" s="28">
        <f t="shared" si="19"/>
        <v>0</v>
      </c>
      <c r="FH591" s="29" t="str">
        <f t="shared" si="20"/>
        <v/>
      </c>
      <c r="FJ591" s="36" t="str">
        <f>IF($FH591="","",SUM($FN591:$FN$7000))</f>
        <v/>
      </c>
      <c r="FK591" s="36" t="str">
        <f>IF($FH591="","",SUM($FN591:$FN$7000))</f>
        <v/>
      </c>
    </row>
    <row r="592" spans="149:167">
      <c r="ES592" s="29"/>
      <c r="EV592" s="28">
        <f t="shared" si="19"/>
        <v>0</v>
      </c>
      <c r="FH592" s="29" t="str">
        <f t="shared" si="20"/>
        <v/>
      </c>
      <c r="FJ592" s="36" t="str">
        <f>IF($FH592="","",SUM($FN592:$FN$7000))</f>
        <v/>
      </c>
      <c r="FK592" s="36" t="str">
        <f>IF($FH592="","",SUM($FN592:$FN$7000))</f>
        <v/>
      </c>
    </row>
    <row r="593" spans="149:167">
      <c r="ES593" s="29"/>
      <c r="EV593" s="28">
        <f t="shared" si="19"/>
        <v>0</v>
      </c>
      <c r="FH593" s="29" t="str">
        <f t="shared" si="20"/>
        <v/>
      </c>
      <c r="FJ593" s="36" t="str">
        <f>IF($FH593="","",SUM($FN593:$FN$7000))</f>
        <v/>
      </c>
      <c r="FK593" s="36" t="str">
        <f>IF($FH593="","",SUM($FN593:$FN$7000))</f>
        <v/>
      </c>
    </row>
    <row r="594" spans="149:167">
      <c r="ES594" s="29"/>
      <c r="EV594" s="28">
        <f t="shared" si="19"/>
        <v>0</v>
      </c>
      <c r="FH594" s="29" t="str">
        <f t="shared" si="20"/>
        <v/>
      </c>
      <c r="FJ594" s="36" t="str">
        <f>IF($FH594="","",SUM($FN594:$FN$7000))</f>
        <v/>
      </c>
      <c r="FK594" s="36" t="str">
        <f>IF($FH594="","",SUM($FN594:$FN$7000))</f>
        <v/>
      </c>
    </row>
    <row r="595" spans="149:167">
      <c r="ES595" s="29"/>
      <c r="EV595" s="28">
        <f t="shared" si="19"/>
        <v>0</v>
      </c>
      <c r="FH595" s="29" t="str">
        <f t="shared" si="20"/>
        <v/>
      </c>
      <c r="FJ595" s="36" t="str">
        <f>IF($FH595="","",SUM($FN595:$FN$7000))</f>
        <v/>
      </c>
      <c r="FK595" s="36" t="str">
        <f>IF($FH595="","",SUM($FN595:$FN$7000))</f>
        <v/>
      </c>
    </row>
    <row r="596" spans="149:167">
      <c r="ES596" s="29"/>
      <c r="EV596" s="28">
        <f t="shared" si="19"/>
        <v>0</v>
      </c>
      <c r="FH596" s="29" t="str">
        <f t="shared" si="20"/>
        <v/>
      </c>
      <c r="FJ596" s="36" t="str">
        <f>IF($FH596="","",SUM($FN596:$FN$7000))</f>
        <v/>
      </c>
      <c r="FK596" s="36" t="str">
        <f>IF($FH596="","",SUM($FN596:$FN$7000))</f>
        <v/>
      </c>
    </row>
    <row r="597" spans="149:167">
      <c r="ES597" s="29"/>
      <c r="EV597" s="28">
        <f t="shared" si="19"/>
        <v>0</v>
      </c>
      <c r="FH597" s="29" t="str">
        <f t="shared" si="20"/>
        <v/>
      </c>
      <c r="FJ597" s="36" t="str">
        <f>IF($FH597="","",SUM($FN597:$FN$7000))</f>
        <v/>
      </c>
      <c r="FK597" s="36" t="str">
        <f>IF($FH597="","",SUM($FN597:$FN$7000))</f>
        <v/>
      </c>
    </row>
    <row r="598" spans="149:167">
      <c r="ES598" s="29"/>
      <c r="EV598" s="28">
        <f t="shared" si="19"/>
        <v>0</v>
      </c>
      <c r="FH598" s="29" t="str">
        <f t="shared" si="20"/>
        <v/>
      </c>
      <c r="FJ598" s="36" t="str">
        <f>IF($FH598="","",SUM($FN598:$FN$7000))</f>
        <v/>
      </c>
      <c r="FK598" s="36" t="str">
        <f>IF($FH598="","",SUM($FN598:$FN$7000))</f>
        <v/>
      </c>
    </row>
    <row r="599" spans="149:167">
      <c r="ES599" s="29"/>
      <c r="EV599" s="28">
        <f t="shared" si="19"/>
        <v>0</v>
      </c>
      <c r="FH599" s="29" t="str">
        <f t="shared" si="20"/>
        <v/>
      </c>
      <c r="FJ599" s="36" t="str">
        <f>IF($FH599="","",SUM($FN599:$FN$7000))</f>
        <v/>
      </c>
      <c r="FK599" s="36" t="str">
        <f>IF($FH599="","",SUM($FN599:$FN$7000))</f>
        <v/>
      </c>
    </row>
    <row r="600" spans="149:167">
      <c r="ES600" s="29"/>
      <c r="EV600" s="28">
        <f t="shared" si="19"/>
        <v>0</v>
      </c>
      <c r="FH600" s="29" t="str">
        <f t="shared" si="20"/>
        <v/>
      </c>
      <c r="FJ600" s="36" t="str">
        <f>IF($FH600="","",SUM($FN600:$FN$7000))</f>
        <v/>
      </c>
      <c r="FK600" s="36" t="str">
        <f>IF($FH600="","",SUM($FN600:$FN$7000))</f>
        <v/>
      </c>
    </row>
    <row r="601" spans="149:167">
      <c r="ES601" s="29"/>
      <c r="EV601" s="28">
        <f t="shared" si="19"/>
        <v>0</v>
      </c>
      <c r="FH601" s="29" t="str">
        <f t="shared" si="20"/>
        <v/>
      </c>
      <c r="FJ601" s="36" t="str">
        <f>IF($FH601="","",SUM($FN601:$FN$7000))</f>
        <v/>
      </c>
      <c r="FK601" s="36" t="str">
        <f>IF($FH601="","",SUM($FN601:$FN$7000))</f>
        <v/>
      </c>
    </row>
    <row r="602" spans="149:167">
      <c r="ES602" s="29"/>
      <c r="EV602" s="28">
        <f t="shared" si="19"/>
        <v>0</v>
      </c>
      <c r="FH602" s="29" t="str">
        <f t="shared" si="20"/>
        <v/>
      </c>
      <c r="FJ602" s="36" t="str">
        <f>IF($FH602="","",SUM($FN602:$FN$7000))</f>
        <v/>
      </c>
      <c r="FK602" s="36" t="str">
        <f>IF($FH602="","",SUM($FN602:$FN$7000))</f>
        <v/>
      </c>
    </row>
    <row r="603" spans="149:167">
      <c r="ES603" s="29"/>
      <c r="EV603" s="28">
        <f t="shared" si="19"/>
        <v>0</v>
      </c>
      <c r="FH603" s="29" t="str">
        <f t="shared" si="20"/>
        <v/>
      </c>
      <c r="FJ603" s="36" t="str">
        <f>IF($FH603="","",SUM($FN603:$FN$7000))</f>
        <v/>
      </c>
      <c r="FK603" s="36" t="str">
        <f>IF($FH603="","",SUM($FN603:$FN$7000))</f>
        <v/>
      </c>
    </row>
    <row r="604" spans="149:167">
      <c r="ES604" s="29"/>
      <c r="EV604" s="28">
        <f t="shared" si="19"/>
        <v>0</v>
      </c>
      <c r="FH604" s="29" t="str">
        <f t="shared" si="20"/>
        <v/>
      </c>
      <c r="FJ604" s="36" t="str">
        <f>IF($FH604="","",SUM($FN604:$FN$7000))</f>
        <v/>
      </c>
      <c r="FK604" s="36" t="str">
        <f>IF($FH604="","",SUM($FN604:$FN$7000))</f>
        <v/>
      </c>
    </row>
    <row r="605" spans="149:167">
      <c r="ES605" s="29"/>
      <c r="EV605" s="28">
        <f t="shared" si="19"/>
        <v>0</v>
      </c>
      <c r="FH605" s="29" t="str">
        <f t="shared" si="20"/>
        <v/>
      </c>
      <c r="FJ605" s="36" t="str">
        <f>IF($FH605="","",SUM($FN605:$FN$7000))</f>
        <v/>
      </c>
      <c r="FK605" s="36" t="str">
        <f>IF($FH605="","",SUM($FN605:$FN$7000))</f>
        <v/>
      </c>
    </row>
    <row r="606" spans="149:167">
      <c r="ES606" s="29"/>
      <c r="EV606" s="28">
        <f t="shared" si="19"/>
        <v>0</v>
      </c>
      <c r="FH606" s="29" t="str">
        <f t="shared" si="20"/>
        <v/>
      </c>
      <c r="FJ606" s="36" t="str">
        <f>IF($FH606="","",SUM($FN606:$FN$7000))</f>
        <v/>
      </c>
      <c r="FK606" s="36" t="str">
        <f>IF($FH606="","",SUM($FN606:$FN$7000))</f>
        <v/>
      </c>
    </row>
    <row r="607" spans="149:167">
      <c r="ES607" s="29"/>
      <c r="EV607" s="28">
        <f t="shared" si="19"/>
        <v>0</v>
      </c>
      <c r="FH607" s="29" t="str">
        <f t="shared" si="20"/>
        <v/>
      </c>
      <c r="FJ607" s="36" t="str">
        <f>IF($FH607="","",SUM($FN607:$FN$7000))</f>
        <v/>
      </c>
      <c r="FK607" s="36" t="str">
        <f>IF($FH607="","",SUM($FN607:$FN$7000))</f>
        <v/>
      </c>
    </row>
    <row r="608" spans="149:167">
      <c r="ES608" s="29"/>
      <c r="EV608" s="28">
        <f t="shared" si="19"/>
        <v>0</v>
      </c>
      <c r="FH608" s="29" t="str">
        <f t="shared" si="20"/>
        <v/>
      </c>
      <c r="FJ608" s="36" t="str">
        <f>IF($FH608="","",SUM($FN608:$FN$7000))</f>
        <v/>
      </c>
      <c r="FK608" s="36" t="str">
        <f>IF($FH608="","",SUM($FN608:$FN$7000))</f>
        <v/>
      </c>
    </row>
    <row r="609" spans="149:167">
      <c r="ES609" s="29"/>
      <c r="EV609" s="28">
        <f t="shared" si="19"/>
        <v>0</v>
      </c>
      <c r="FH609" s="29" t="str">
        <f t="shared" si="20"/>
        <v/>
      </c>
      <c r="FJ609" s="36" t="str">
        <f>IF($FH609="","",SUM($FN609:$FN$7000))</f>
        <v/>
      </c>
      <c r="FK609" s="36" t="str">
        <f>IF($FH609="","",SUM($FN609:$FN$7000))</f>
        <v/>
      </c>
    </row>
    <row r="610" spans="149:167">
      <c r="ES610" s="29"/>
      <c r="EV610" s="28">
        <f t="shared" si="19"/>
        <v>0</v>
      </c>
      <c r="FH610" s="29" t="str">
        <f t="shared" si="20"/>
        <v/>
      </c>
      <c r="FJ610" s="36" t="str">
        <f>IF($FH610="","",SUM($FN610:$FN$7000))</f>
        <v/>
      </c>
      <c r="FK610" s="36" t="str">
        <f>IF($FH610="","",SUM($FN610:$FN$7000))</f>
        <v/>
      </c>
    </row>
    <row r="611" spans="149:167">
      <c r="ES611" s="29"/>
      <c r="EV611" s="28">
        <f t="shared" si="19"/>
        <v>0</v>
      </c>
      <c r="FH611" s="29" t="str">
        <f t="shared" si="20"/>
        <v/>
      </c>
      <c r="FJ611" s="36" t="str">
        <f>IF($FH611="","",SUM($FN611:$FN$7000))</f>
        <v/>
      </c>
      <c r="FK611" s="36" t="str">
        <f>IF($FH611="","",SUM($FN611:$FN$7000))</f>
        <v/>
      </c>
    </row>
    <row r="612" spans="149:167">
      <c r="ES612" s="29"/>
      <c r="EV612" s="28">
        <f t="shared" si="19"/>
        <v>0</v>
      </c>
      <c r="FH612" s="29" t="str">
        <f t="shared" si="20"/>
        <v/>
      </c>
      <c r="FJ612" s="36" t="str">
        <f>IF($FH612="","",SUM($FN612:$FN$7000))</f>
        <v/>
      </c>
      <c r="FK612" s="36" t="str">
        <f>IF($FH612="","",SUM($FN612:$FN$7000))</f>
        <v/>
      </c>
    </row>
    <row r="613" spans="149:167">
      <c r="ES613" s="29"/>
      <c r="EV613" s="28">
        <f t="shared" si="19"/>
        <v>0</v>
      </c>
      <c r="FH613" s="29" t="str">
        <f t="shared" si="20"/>
        <v/>
      </c>
      <c r="FJ613" s="36" t="str">
        <f>IF($FH613="","",SUM($FN613:$FN$7000))</f>
        <v/>
      </c>
      <c r="FK613" s="36" t="str">
        <f>IF($FH613="","",SUM($FN613:$FN$7000))</f>
        <v/>
      </c>
    </row>
    <row r="614" spans="149:167">
      <c r="ES614" s="29"/>
      <c r="EV614" s="28">
        <f t="shared" si="19"/>
        <v>0</v>
      </c>
      <c r="FH614" s="29" t="str">
        <f t="shared" si="20"/>
        <v/>
      </c>
      <c r="FJ614" s="36" t="str">
        <f>IF($FH614="","",SUM($FN614:$FN$7000))</f>
        <v/>
      </c>
      <c r="FK614" s="36" t="str">
        <f>IF($FH614="","",SUM($FN614:$FN$7000))</f>
        <v/>
      </c>
    </row>
    <row r="615" spans="149:167">
      <c r="ES615" s="29"/>
      <c r="EV615" s="28">
        <f t="shared" si="19"/>
        <v>0</v>
      </c>
      <c r="FH615" s="29" t="str">
        <f t="shared" si="20"/>
        <v/>
      </c>
      <c r="FJ615" s="36" t="str">
        <f>IF($FH615="","",SUM($FN615:$FN$7000))</f>
        <v/>
      </c>
      <c r="FK615" s="36" t="str">
        <f>IF($FH615="","",SUM($FN615:$FN$7000))</f>
        <v/>
      </c>
    </row>
    <row r="616" spans="149:167">
      <c r="ES616" s="29"/>
      <c r="EV616" s="28">
        <f t="shared" si="19"/>
        <v>0</v>
      </c>
      <c r="FH616" s="29" t="str">
        <f t="shared" si="20"/>
        <v/>
      </c>
      <c r="FJ616" s="36" t="str">
        <f>IF($FH616="","",SUM($FN616:$FN$7000))</f>
        <v/>
      </c>
      <c r="FK616" s="36" t="str">
        <f>IF($FH616="","",SUM($FN616:$FN$7000))</f>
        <v/>
      </c>
    </row>
    <row r="617" spans="149:167">
      <c r="ES617" s="29"/>
      <c r="EV617" s="28">
        <f t="shared" si="19"/>
        <v>0</v>
      </c>
      <c r="FH617" s="29" t="str">
        <f t="shared" si="20"/>
        <v/>
      </c>
      <c r="FJ617" s="36" t="str">
        <f>IF($FH617="","",SUM($FN617:$FN$7000))</f>
        <v/>
      </c>
      <c r="FK617" s="36" t="str">
        <f>IF($FH617="","",SUM($FN617:$FN$7000))</f>
        <v/>
      </c>
    </row>
    <row r="618" spans="149:167">
      <c r="ES618" s="29"/>
      <c r="EV618" s="28">
        <f t="shared" si="19"/>
        <v>0</v>
      </c>
      <c r="FH618" s="29" t="str">
        <f t="shared" si="20"/>
        <v/>
      </c>
      <c r="FJ618" s="36" t="str">
        <f>IF($FH618="","",SUM($FN618:$FN$7000))</f>
        <v/>
      </c>
      <c r="FK618" s="36" t="str">
        <f>IF($FH618="","",SUM($FN618:$FN$7000))</f>
        <v/>
      </c>
    </row>
    <row r="619" spans="149:167">
      <c r="ES619" s="29"/>
      <c r="EV619" s="28">
        <f t="shared" si="19"/>
        <v>0</v>
      </c>
      <c r="FH619" s="29" t="str">
        <f t="shared" si="20"/>
        <v/>
      </c>
      <c r="FJ619" s="36" t="str">
        <f>IF($FH619="","",SUM($FN619:$FN$7000))</f>
        <v/>
      </c>
      <c r="FK619" s="36" t="str">
        <f>IF($FH619="","",SUM($FN619:$FN$7000))</f>
        <v/>
      </c>
    </row>
    <row r="620" spans="149:167">
      <c r="ES620" s="29"/>
      <c r="EV620" s="28">
        <f t="shared" si="19"/>
        <v>0</v>
      </c>
      <c r="FH620" s="29" t="str">
        <f t="shared" si="20"/>
        <v/>
      </c>
      <c r="FJ620" s="36" t="str">
        <f>IF($FH620="","",SUM($FN620:$FN$7000))</f>
        <v/>
      </c>
      <c r="FK620" s="36" t="str">
        <f>IF($FH620="","",SUM($FN620:$FN$7000))</f>
        <v/>
      </c>
    </row>
    <row r="621" spans="149:167">
      <c r="ES621" s="29"/>
      <c r="EV621" s="28">
        <f t="shared" si="19"/>
        <v>0</v>
      </c>
      <c r="FH621" s="29" t="str">
        <f t="shared" si="20"/>
        <v/>
      </c>
      <c r="FJ621" s="36" t="str">
        <f>IF($FH621="","",SUM($FN621:$FN$7000))</f>
        <v/>
      </c>
      <c r="FK621" s="36" t="str">
        <f>IF($FH621="","",SUM($FN621:$FN$7000))</f>
        <v/>
      </c>
    </row>
    <row r="622" spans="149:167">
      <c r="ES622" s="29"/>
      <c r="EV622" s="28">
        <f t="shared" si="19"/>
        <v>0</v>
      </c>
      <c r="FH622" s="29" t="str">
        <f t="shared" si="20"/>
        <v/>
      </c>
      <c r="FJ622" s="36" t="str">
        <f>IF($FH622="","",SUM($FN622:$FN$7000))</f>
        <v/>
      </c>
      <c r="FK622" s="36" t="str">
        <f>IF($FH622="","",SUM($FN622:$FN$7000))</f>
        <v/>
      </c>
    </row>
    <row r="623" spans="149:167">
      <c r="ES623" s="29"/>
      <c r="EV623" s="28">
        <f t="shared" si="19"/>
        <v>0</v>
      </c>
      <c r="FH623" s="29" t="str">
        <f t="shared" si="20"/>
        <v/>
      </c>
      <c r="FJ623" s="36" t="str">
        <f>IF($FH623="","",SUM($FN623:$FN$7000))</f>
        <v/>
      </c>
      <c r="FK623" s="36" t="str">
        <f>IF($FH623="","",SUM($FN623:$FN$7000))</f>
        <v/>
      </c>
    </row>
    <row r="624" spans="149:167">
      <c r="ES624" s="29"/>
      <c r="EV624" s="28">
        <f t="shared" si="19"/>
        <v>0</v>
      </c>
      <c r="FH624" s="29" t="str">
        <f t="shared" si="20"/>
        <v/>
      </c>
      <c r="FJ624" s="36" t="str">
        <f>IF($FH624="","",SUM($FN624:$FN$7000))</f>
        <v/>
      </c>
      <c r="FK624" s="36" t="str">
        <f>IF($FH624="","",SUM($FN624:$FN$7000))</f>
        <v/>
      </c>
    </row>
    <row r="625" spans="149:167">
      <c r="ES625" s="29"/>
      <c r="EV625" s="28">
        <f t="shared" si="19"/>
        <v>0</v>
      </c>
      <c r="FH625" s="29" t="str">
        <f t="shared" si="20"/>
        <v/>
      </c>
      <c r="FJ625" s="36" t="str">
        <f>IF($FH625="","",SUM($FN625:$FN$7000))</f>
        <v/>
      </c>
      <c r="FK625" s="36" t="str">
        <f>IF($FH625="","",SUM($FN625:$FN$7000))</f>
        <v/>
      </c>
    </row>
    <row r="626" spans="149:167">
      <c r="ES626" s="29"/>
      <c r="EV626" s="28">
        <f t="shared" si="19"/>
        <v>0</v>
      </c>
      <c r="FH626" s="29" t="str">
        <f t="shared" si="20"/>
        <v/>
      </c>
      <c r="FJ626" s="36" t="str">
        <f>IF($FH626="","",SUM($FN626:$FN$7000))</f>
        <v/>
      </c>
      <c r="FK626" s="36" t="str">
        <f>IF($FH626="","",SUM($FN626:$FN$7000))</f>
        <v/>
      </c>
    </row>
    <row r="627" spans="149:167">
      <c r="ES627" s="29"/>
      <c r="EV627" s="28">
        <f t="shared" si="19"/>
        <v>0</v>
      </c>
      <c r="FH627" s="29" t="str">
        <f t="shared" si="20"/>
        <v/>
      </c>
      <c r="FJ627" s="36" t="str">
        <f>IF($FH627="","",SUM($FN627:$FN$7000))</f>
        <v/>
      </c>
      <c r="FK627" s="36" t="str">
        <f>IF($FH627="","",SUM($FN627:$FN$7000))</f>
        <v/>
      </c>
    </row>
    <row r="628" spans="149:167">
      <c r="ES628" s="29"/>
      <c r="EV628" s="28">
        <f t="shared" si="19"/>
        <v>0</v>
      </c>
      <c r="FH628" s="29" t="str">
        <f t="shared" si="20"/>
        <v/>
      </c>
      <c r="FJ628" s="36" t="str">
        <f>IF($FH628="","",SUM($FN628:$FN$7000))</f>
        <v/>
      </c>
      <c r="FK628" s="36" t="str">
        <f>IF($FH628="","",SUM($FN628:$FN$7000))</f>
        <v/>
      </c>
    </row>
    <row r="629" spans="149:167">
      <c r="ES629" s="29"/>
      <c r="EV629" s="28">
        <f t="shared" si="19"/>
        <v>0</v>
      </c>
      <c r="FH629" s="29" t="str">
        <f t="shared" si="20"/>
        <v/>
      </c>
      <c r="FJ629" s="36" t="str">
        <f>IF($FH629="","",SUM($FN629:$FN$7000))</f>
        <v/>
      </c>
      <c r="FK629" s="36" t="str">
        <f>IF($FH629="","",SUM($FN629:$FN$7000))</f>
        <v/>
      </c>
    </row>
    <row r="630" spans="149:167">
      <c r="ES630" s="29"/>
      <c r="EV630" s="28">
        <f t="shared" si="19"/>
        <v>0</v>
      </c>
      <c r="FH630" s="29" t="str">
        <f t="shared" si="20"/>
        <v/>
      </c>
      <c r="FJ630" s="36" t="str">
        <f>IF($FH630="","",SUM($FN630:$FN$7000))</f>
        <v/>
      </c>
      <c r="FK630" s="36" t="str">
        <f>IF($FH630="","",SUM($FN630:$FN$7000))</f>
        <v/>
      </c>
    </row>
    <row r="631" spans="149:167">
      <c r="ES631" s="29"/>
      <c r="EV631" s="28">
        <f t="shared" si="19"/>
        <v>0</v>
      </c>
      <c r="FH631" s="29" t="str">
        <f t="shared" si="20"/>
        <v/>
      </c>
      <c r="FJ631" s="36" t="str">
        <f>IF($FH631="","",SUM($FN631:$FN$7000))</f>
        <v/>
      </c>
      <c r="FK631" s="36" t="str">
        <f>IF($FH631="","",SUM($FN631:$FN$7000))</f>
        <v/>
      </c>
    </row>
    <row r="632" spans="149:167">
      <c r="ES632" s="29"/>
      <c r="EV632" s="28">
        <f t="shared" si="19"/>
        <v>0</v>
      </c>
      <c r="FH632" s="29" t="str">
        <f t="shared" si="20"/>
        <v/>
      </c>
      <c r="FJ632" s="36" t="str">
        <f>IF($FH632="","",SUM($FN632:$FN$7000))</f>
        <v/>
      </c>
      <c r="FK632" s="36" t="str">
        <f>IF($FH632="","",SUM($FN632:$FN$7000))</f>
        <v/>
      </c>
    </row>
    <row r="633" spans="149:167">
      <c r="ES633" s="29"/>
      <c r="EV633" s="28">
        <f t="shared" si="19"/>
        <v>0</v>
      </c>
      <c r="FH633" s="29" t="str">
        <f t="shared" si="20"/>
        <v/>
      </c>
      <c r="FJ633" s="36" t="str">
        <f>IF($FH633="","",SUM($FN633:$FN$7000))</f>
        <v/>
      </c>
      <c r="FK633" s="36" t="str">
        <f>IF($FH633="","",SUM($FN633:$FN$7000))</f>
        <v/>
      </c>
    </row>
    <row r="634" spans="149:167">
      <c r="ES634" s="29"/>
      <c r="EV634" s="28">
        <f t="shared" si="19"/>
        <v>0</v>
      </c>
      <c r="FH634" s="29" t="str">
        <f t="shared" si="20"/>
        <v/>
      </c>
      <c r="FJ634" s="36" t="str">
        <f>IF($FH634="","",SUM($FN634:$FN$7000))</f>
        <v/>
      </c>
      <c r="FK634" s="36" t="str">
        <f>IF($FH634="","",SUM($FN634:$FN$7000))</f>
        <v/>
      </c>
    </row>
    <row r="635" spans="149:167">
      <c r="ES635" s="29"/>
      <c r="EV635" s="28">
        <f t="shared" si="19"/>
        <v>0</v>
      </c>
      <c r="FH635" s="29" t="str">
        <f t="shared" si="20"/>
        <v/>
      </c>
      <c r="FJ635" s="36" t="str">
        <f>IF($FH635="","",SUM($FN635:$FN$7000))</f>
        <v/>
      </c>
      <c r="FK635" s="36" t="str">
        <f>IF($FH635="","",SUM($FN635:$FN$7000))</f>
        <v/>
      </c>
    </row>
    <row r="636" spans="149:167">
      <c r="ES636" s="29"/>
      <c r="EV636" s="28">
        <f t="shared" si="19"/>
        <v>0</v>
      </c>
      <c r="FH636" s="29" t="str">
        <f t="shared" si="20"/>
        <v/>
      </c>
      <c r="FJ636" s="36" t="str">
        <f>IF($FH636="","",SUM($FN636:$FN$7000))</f>
        <v/>
      </c>
      <c r="FK636" s="36" t="str">
        <f>IF($FH636="","",SUM($FN636:$FN$7000))</f>
        <v/>
      </c>
    </row>
    <row r="637" spans="149:167">
      <c r="ES637" s="29"/>
      <c r="EV637" s="28">
        <f t="shared" si="19"/>
        <v>0</v>
      </c>
      <c r="FH637" s="29" t="str">
        <f t="shared" si="20"/>
        <v/>
      </c>
      <c r="FJ637" s="36" t="str">
        <f>IF($FH637="","",SUM($FN637:$FN$7000))</f>
        <v/>
      </c>
      <c r="FK637" s="36" t="str">
        <f>IF($FH637="","",SUM($FN637:$FN$7000))</f>
        <v/>
      </c>
    </row>
    <row r="638" spans="149:167">
      <c r="ES638" s="29"/>
      <c r="EV638" s="28">
        <f t="shared" si="19"/>
        <v>0</v>
      </c>
      <c r="FH638" s="29" t="str">
        <f t="shared" si="20"/>
        <v/>
      </c>
      <c r="FJ638" s="36" t="str">
        <f>IF($FH638="","",SUM($FN638:$FN$7000))</f>
        <v/>
      </c>
      <c r="FK638" s="36" t="str">
        <f>IF($FH638="","",SUM($FN638:$FN$7000))</f>
        <v/>
      </c>
    </row>
    <row r="639" spans="149:167">
      <c r="ES639" s="29"/>
      <c r="EV639" s="28">
        <f t="shared" si="19"/>
        <v>0</v>
      </c>
      <c r="FH639" s="29" t="str">
        <f t="shared" si="20"/>
        <v/>
      </c>
      <c r="FJ639" s="36" t="str">
        <f>IF($FH639="","",SUM($FN639:$FN$7000))</f>
        <v/>
      </c>
      <c r="FK639" s="36" t="str">
        <f>IF($FH639="","",SUM($FN639:$FN$7000))</f>
        <v/>
      </c>
    </row>
    <row r="640" spans="149:167">
      <c r="ES640" s="29"/>
      <c r="EV640" s="28">
        <f t="shared" si="19"/>
        <v>0</v>
      </c>
      <c r="FH640" s="29" t="str">
        <f t="shared" si="20"/>
        <v/>
      </c>
      <c r="FJ640" s="36" t="str">
        <f>IF($FH640="","",SUM($FN640:$FN$7000))</f>
        <v/>
      </c>
      <c r="FK640" s="36" t="str">
        <f>IF($FH640="","",SUM($FN640:$FN$7000))</f>
        <v/>
      </c>
    </row>
    <row r="641" spans="149:167">
      <c r="ES641" s="29"/>
      <c r="EV641" s="28">
        <f t="shared" si="19"/>
        <v>0</v>
      </c>
      <c r="FH641" s="29" t="str">
        <f t="shared" si="20"/>
        <v/>
      </c>
      <c r="FJ641" s="36" t="str">
        <f>IF($FH641="","",SUM($FN641:$FN$7000))</f>
        <v/>
      </c>
      <c r="FK641" s="36" t="str">
        <f>IF($FH641="","",SUM($FN641:$FN$7000))</f>
        <v/>
      </c>
    </row>
    <row r="642" spans="149:167">
      <c r="ES642" s="29"/>
      <c r="EV642" s="28">
        <f t="shared" si="19"/>
        <v>0</v>
      </c>
      <c r="FH642" s="29" t="str">
        <f t="shared" si="20"/>
        <v/>
      </c>
      <c r="FJ642" s="36" t="str">
        <f>IF($FH642="","",SUM($FN642:$FN$7000))</f>
        <v/>
      </c>
      <c r="FK642" s="36" t="str">
        <f>IF($FH642="","",SUM($FN642:$FN$7000))</f>
        <v/>
      </c>
    </row>
    <row r="643" spans="149:167">
      <c r="ES643" s="29"/>
      <c r="EV643" s="28">
        <f t="shared" si="19"/>
        <v>0</v>
      </c>
      <c r="FH643" s="29" t="str">
        <f t="shared" si="20"/>
        <v/>
      </c>
      <c r="FJ643" s="36" t="str">
        <f>IF($FH643="","",SUM($FN643:$FN$7000))</f>
        <v/>
      </c>
      <c r="FK643" s="36" t="str">
        <f>IF($FH643="","",SUM($FN643:$FN$7000))</f>
        <v/>
      </c>
    </row>
    <row r="644" spans="149:167">
      <c r="ES644" s="29"/>
      <c r="EV644" s="28">
        <f t="shared" si="19"/>
        <v>0</v>
      </c>
      <c r="FH644" s="29" t="str">
        <f t="shared" si="20"/>
        <v/>
      </c>
      <c r="FJ644" s="36" t="str">
        <f>IF($FH644="","",SUM($FN644:$FN$7000))</f>
        <v/>
      </c>
      <c r="FK644" s="36" t="str">
        <f>IF($FH644="","",SUM($FN644:$FN$7000))</f>
        <v/>
      </c>
    </row>
    <row r="645" spans="149:167">
      <c r="ES645" s="29"/>
      <c r="EV645" s="28">
        <f t="shared" si="19"/>
        <v>0</v>
      </c>
      <c r="FH645" s="29" t="str">
        <f t="shared" si="20"/>
        <v/>
      </c>
      <c r="FJ645" s="36" t="str">
        <f>IF($FH645="","",SUM($FN645:$FN$7000))</f>
        <v/>
      </c>
      <c r="FK645" s="36" t="str">
        <f>IF($FH645="","",SUM($FN645:$FN$7000))</f>
        <v/>
      </c>
    </row>
    <row r="646" spans="149:167">
      <c r="ES646" s="29"/>
      <c r="EV646" s="28">
        <f t="shared" si="19"/>
        <v>0</v>
      </c>
      <c r="FH646" s="29" t="str">
        <f t="shared" si="20"/>
        <v/>
      </c>
      <c r="FJ646" s="36" t="str">
        <f>IF($FH646="","",SUM($FN646:$FN$7000))</f>
        <v/>
      </c>
      <c r="FK646" s="36" t="str">
        <f>IF($FH646="","",SUM($FN646:$FN$7000))</f>
        <v/>
      </c>
    </row>
    <row r="647" spans="149:167">
      <c r="ES647" s="29"/>
      <c r="EV647" s="28">
        <f t="shared" si="19"/>
        <v>0</v>
      </c>
      <c r="FH647" s="29" t="str">
        <f t="shared" si="20"/>
        <v/>
      </c>
      <c r="FJ647" s="36" t="str">
        <f>IF($FH647="","",SUM($FN647:$FN$7000))</f>
        <v/>
      </c>
      <c r="FK647" s="36" t="str">
        <f>IF($FH647="","",SUM($FN647:$FN$7000))</f>
        <v/>
      </c>
    </row>
    <row r="648" spans="149:167">
      <c r="ES648" s="29"/>
      <c r="EV648" s="28">
        <f t="shared" si="19"/>
        <v>0</v>
      </c>
      <c r="FH648" s="29" t="str">
        <f t="shared" si="20"/>
        <v/>
      </c>
      <c r="FJ648" s="36" t="str">
        <f>IF($FH648="","",SUM($FN648:$FN$7000))</f>
        <v/>
      </c>
      <c r="FK648" s="36" t="str">
        <f>IF($FH648="","",SUM($FN648:$FN$7000))</f>
        <v/>
      </c>
    </row>
    <row r="649" spans="149:167">
      <c r="ES649" s="29"/>
      <c r="EV649" s="28">
        <f t="shared" si="19"/>
        <v>0</v>
      </c>
      <c r="FH649" s="29" t="str">
        <f t="shared" si="20"/>
        <v/>
      </c>
      <c r="FJ649" s="36" t="str">
        <f>IF($FH649="","",SUM($FN649:$FN$7000))</f>
        <v/>
      </c>
      <c r="FK649" s="36" t="str">
        <f>IF($FH649="","",SUM($FN649:$FN$7000))</f>
        <v/>
      </c>
    </row>
    <row r="650" spans="149:167">
      <c r="ES650" s="29"/>
      <c r="EV650" s="28">
        <f t="shared" si="19"/>
        <v>0</v>
      </c>
      <c r="FH650" s="29" t="str">
        <f t="shared" si="20"/>
        <v/>
      </c>
      <c r="FJ650" s="36" t="str">
        <f>IF($FH650="","",SUM($FN650:$FN$7000))</f>
        <v/>
      </c>
      <c r="FK650" s="36" t="str">
        <f>IF($FH650="","",SUM($FN650:$FN$7000))</f>
        <v/>
      </c>
    </row>
    <row r="651" spans="149:167">
      <c r="ES651" s="29"/>
      <c r="EV651" s="28">
        <f t="shared" ref="EV651:EV714" si="21">EU651-ET651</f>
        <v>0</v>
      </c>
      <c r="FH651" s="29" t="str">
        <f t="shared" ref="FH651:FH714" si="22">IF(FL651="","",FL651)</f>
        <v/>
      </c>
      <c r="FJ651" s="36" t="str">
        <f>IF($FH651="","",SUM($FN651:$FN$7000))</f>
        <v/>
      </c>
      <c r="FK651" s="36" t="str">
        <f>IF($FH651="","",SUM($FN651:$FN$7000))</f>
        <v/>
      </c>
    </row>
    <row r="652" spans="149:167">
      <c r="ES652" s="29"/>
      <c r="EV652" s="28">
        <f t="shared" si="21"/>
        <v>0</v>
      </c>
      <c r="FH652" s="29" t="str">
        <f t="shared" si="22"/>
        <v/>
      </c>
      <c r="FJ652" s="36" t="str">
        <f>IF($FH652="","",SUM($FN652:$FN$7000))</f>
        <v/>
      </c>
      <c r="FK652" s="36" t="str">
        <f>IF($FH652="","",SUM($FN652:$FN$7000))</f>
        <v/>
      </c>
    </row>
    <row r="653" spans="149:167">
      <c r="ES653" s="29"/>
      <c r="EV653" s="28">
        <f t="shared" si="21"/>
        <v>0</v>
      </c>
      <c r="FH653" s="29" t="str">
        <f t="shared" si="22"/>
        <v/>
      </c>
      <c r="FJ653" s="36" t="str">
        <f>IF($FH653="","",SUM($FN653:$FN$7000))</f>
        <v/>
      </c>
      <c r="FK653" s="36" t="str">
        <f>IF($FH653="","",SUM($FN653:$FN$7000))</f>
        <v/>
      </c>
    </row>
    <row r="654" spans="149:167">
      <c r="ES654" s="29"/>
      <c r="EV654" s="28">
        <f t="shared" si="21"/>
        <v>0</v>
      </c>
      <c r="FH654" s="29" t="str">
        <f t="shared" si="22"/>
        <v/>
      </c>
      <c r="FJ654" s="36" t="str">
        <f>IF($FH654="","",SUM($FN654:$FN$7000))</f>
        <v/>
      </c>
      <c r="FK654" s="36" t="str">
        <f>IF($FH654="","",SUM($FN654:$FN$7000))</f>
        <v/>
      </c>
    </row>
    <row r="655" spans="149:167">
      <c r="ES655" s="29"/>
      <c r="EV655" s="28">
        <f t="shared" si="21"/>
        <v>0</v>
      </c>
      <c r="FH655" s="29" t="str">
        <f t="shared" si="22"/>
        <v/>
      </c>
      <c r="FJ655" s="36" t="str">
        <f>IF($FH655="","",SUM($FN655:$FN$7000))</f>
        <v/>
      </c>
      <c r="FK655" s="36" t="str">
        <f>IF($FH655="","",SUM($FN655:$FN$7000))</f>
        <v/>
      </c>
    </row>
    <row r="656" spans="149:167">
      <c r="ES656" s="29"/>
      <c r="EV656" s="28">
        <f t="shared" si="21"/>
        <v>0</v>
      </c>
      <c r="FH656" s="29" t="str">
        <f t="shared" si="22"/>
        <v/>
      </c>
      <c r="FJ656" s="36" t="str">
        <f>IF($FH656="","",SUM($FN656:$FN$7000))</f>
        <v/>
      </c>
      <c r="FK656" s="36" t="str">
        <f>IF($FH656="","",SUM($FN656:$FN$7000))</f>
        <v/>
      </c>
    </row>
    <row r="657" spans="149:167">
      <c r="ES657" s="29"/>
      <c r="EV657" s="28">
        <f t="shared" si="21"/>
        <v>0</v>
      </c>
      <c r="FH657" s="29" t="str">
        <f t="shared" si="22"/>
        <v/>
      </c>
      <c r="FJ657" s="36" t="str">
        <f>IF($FH657="","",SUM($FN657:$FN$7000))</f>
        <v/>
      </c>
      <c r="FK657" s="36" t="str">
        <f>IF($FH657="","",SUM($FN657:$FN$7000))</f>
        <v/>
      </c>
    </row>
    <row r="658" spans="149:167">
      <c r="ES658" s="29"/>
      <c r="EV658" s="28">
        <f t="shared" si="21"/>
        <v>0</v>
      </c>
      <c r="FH658" s="29" t="str">
        <f t="shared" si="22"/>
        <v/>
      </c>
      <c r="FJ658" s="36" t="str">
        <f>IF($FH658="","",SUM($FN658:$FN$7000))</f>
        <v/>
      </c>
      <c r="FK658" s="36" t="str">
        <f>IF($FH658="","",SUM($FN658:$FN$7000))</f>
        <v/>
      </c>
    </row>
    <row r="659" spans="149:167">
      <c r="ES659" s="29"/>
      <c r="EV659" s="28">
        <f t="shared" si="21"/>
        <v>0</v>
      </c>
      <c r="FH659" s="29" t="str">
        <f t="shared" si="22"/>
        <v/>
      </c>
      <c r="FJ659" s="36" t="str">
        <f>IF($FH659="","",SUM($FN659:$FN$7000))</f>
        <v/>
      </c>
      <c r="FK659" s="36" t="str">
        <f>IF($FH659="","",SUM($FN659:$FN$7000))</f>
        <v/>
      </c>
    </row>
    <row r="660" spans="149:167">
      <c r="ES660" s="29"/>
      <c r="EV660" s="28">
        <f t="shared" si="21"/>
        <v>0</v>
      </c>
      <c r="FH660" s="29" t="str">
        <f t="shared" si="22"/>
        <v/>
      </c>
      <c r="FJ660" s="36" t="str">
        <f>IF($FH660="","",SUM($FN660:$FN$7000))</f>
        <v/>
      </c>
      <c r="FK660" s="36" t="str">
        <f>IF($FH660="","",SUM($FN660:$FN$7000))</f>
        <v/>
      </c>
    </row>
    <row r="661" spans="149:167">
      <c r="ES661" s="29"/>
      <c r="EV661" s="28">
        <f t="shared" si="21"/>
        <v>0</v>
      </c>
      <c r="FH661" s="29" t="str">
        <f t="shared" si="22"/>
        <v/>
      </c>
      <c r="FJ661" s="36" t="str">
        <f>IF($FH661="","",SUM($FN661:$FN$7000))</f>
        <v/>
      </c>
      <c r="FK661" s="36" t="str">
        <f>IF($FH661="","",SUM($FN661:$FN$7000))</f>
        <v/>
      </c>
    </row>
    <row r="662" spans="149:167">
      <c r="ES662" s="29"/>
      <c r="EV662" s="28">
        <f t="shared" si="21"/>
        <v>0</v>
      </c>
      <c r="FH662" s="29" t="str">
        <f t="shared" si="22"/>
        <v/>
      </c>
      <c r="FJ662" s="36" t="str">
        <f>IF($FH662="","",SUM($FN662:$FN$7000))</f>
        <v/>
      </c>
      <c r="FK662" s="36" t="str">
        <f>IF($FH662="","",SUM($FN662:$FN$7000))</f>
        <v/>
      </c>
    </row>
    <row r="663" spans="149:167">
      <c r="ES663" s="29"/>
      <c r="EV663" s="28">
        <f t="shared" si="21"/>
        <v>0</v>
      </c>
      <c r="FH663" s="29" t="str">
        <f t="shared" si="22"/>
        <v/>
      </c>
      <c r="FJ663" s="36" t="str">
        <f>IF($FH663="","",SUM($FN663:$FN$7000))</f>
        <v/>
      </c>
      <c r="FK663" s="36" t="str">
        <f>IF($FH663="","",SUM($FN663:$FN$7000))</f>
        <v/>
      </c>
    </row>
    <row r="664" spans="149:167">
      <c r="ES664" s="29"/>
      <c r="EV664" s="28">
        <f t="shared" si="21"/>
        <v>0</v>
      </c>
      <c r="FH664" s="29" t="str">
        <f t="shared" si="22"/>
        <v/>
      </c>
      <c r="FJ664" s="36" t="str">
        <f>IF($FH664="","",SUM($FN664:$FN$7000))</f>
        <v/>
      </c>
      <c r="FK664" s="36" t="str">
        <f>IF($FH664="","",SUM($FN664:$FN$7000))</f>
        <v/>
      </c>
    </row>
    <row r="665" spans="149:167">
      <c r="ES665" s="29"/>
      <c r="EV665" s="28">
        <f t="shared" si="21"/>
        <v>0</v>
      </c>
      <c r="FH665" s="29" t="str">
        <f t="shared" si="22"/>
        <v/>
      </c>
      <c r="FJ665" s="36" t="str">
        <f>IF($FH665="","",SUM($FN665:$FN$7000))</f>
        <v/>
      </c>
      <c r="FK665" s="36" t="str">
        <f>IF($FH665="","",SUM($FN665:$FN$7000))</f>
        <v/>
      </c>
    </row>
    <row r="666" spans="149:167">
      <c r="ES666" s="29"/>
      <c r="EV666" s="28">
        <f t="shared" si="21"/>
        <v>0</v>
      </c>
      <c r="FH666" s="29" t="str">
        <f t="shared" si="22"/>
        <v/>
      </c>
      <c r="FJ666" s="36" t="str">
        <f>IF($FH666="","",SUM($FN666:$FN$7000))</f>
        <v/>
      </c>
      <c r="FK666" s="36" t="str">
        <f>IF($FH666="","",SUM($FN666:$FN$7000))</f>
        <v/>
      </c>
    </row>
    <row r="667" spans="149:167">
      <c r="ES667" s="29"/>
      <c r="EV667" s="28">
        <f t="shared" si="21"/>
        <v>0</v>
      </c>
      <c r="FH667" s="29" t="str">
        <f t="shared" si="22"/>
        <v/>
      </c>
      <c r="FJ667" s="36" t="str">
        <f>IF($FH667="","",SUM($FN667:$FN$7000))</f>
        <v/>
      </c>
      <c r="FK667" s="36" t="str">
        <f>IF($FH667="","",SUM($FN667:$FN$7000))</f>
        <v/>
      </c>
    </row>
    <row r="668" spans="149:167">
      <c r="ES668" s="29"/>
      <c r="EV668" s="28">
        <f t="shared" si="21"/>
        <v>0</v>
      </c>
      <c r="FH668" s="29" t="str">
        <f t="shared" si="22"/>
        <v/>
      </c>
      <c r="FJ668" s="36" t="str">
        <f>IF($FH668="","",SUM($FN668:$FN$7000))</f>
        <v/>
      </c>
      <c r="FK668" s="36" t="str">
        <f>IF($FH668="","",SUM($FN668:$FN$7000))</f>
        <v/>
      </c>
    </row>
    <row r="669" spans="149:167">
      <c r="ES669" s="29"/>
      <c r="EV669" s="28">
        <f t="shared" si="21"/>
        <v>0</v>
      </c>
      <c r="FH669" s="29" t="str">
        <f t="shared" si="22"/>
        <v/>
      </c>
      <c r="FJ669" s="36" t="str">
        <f>IF($FH669="","",SUM($FN669:$FN$7000))</f>
        <v/>
      </c>
      <c r="FK669" s="36" t="str">
        <f>IF($FH669="","",SUM($FN669:$FN$7000))</f>
        <v/>
      </c>
    </row>
    <row r="670" spans="149:167">
      <c r="ES670" s="29"/>
      <c r="EV670" s="28">
        <f t="shared" si="21"/>
        <v>0</v>
      </c>
      <c r="FH670" s="29" t="str">
        <f t="shared" si="22"/>
        <v/>
      </c>
      <c r="FJ670" s="36" t="str">
        <f>IF($FH670="","",SUM($FN670:$FN$7000))</f>
        <v/>
      </c>
      <c r="FK670" s="36" t="str">
        <f>IF($FH670="","",SUM($FN670:$FN$7000))</f>
        <v/>
      </c>
    </row>
    <row r="671" spans="149:167">
      <c r="ES671" s="29"/>
      <c r="EV671" s="28">
        <f t="shared" si="21"/>
        <v>0</v>
      </c>
      <c r="FH671" s="29" t="str">
        <f t="shared" si="22"/>
        <v/>
      </c>
      <c r="FJ671" s="36" t="str">
        <f>IF($FH671="","",SUM($FN671:$FN$7000))</f>
        <v/>
      </c>
      <c r="FK671" s="36" t="str">
        <f>IF($FH671="","",SUM($FN671:$FN$7000))</f>
        <v/>
      </c>
    </row>
    <row r="672" spans="149:167">
      <c r="ES672" s="29"/>
      <c r="EV672" s="28">
        <f t="shared" si="21"/>
        <v>0</v>
      </c>
      <c r="FH672" s="29" t="str">
        <f t="shared" si="22"/>
        <v/>
      </c>
      <c r="FJ672" s="36" t="str">
        <f>IF($FH672="","",SUM($FN672:$FN$7000))</f>
        <v/>
      </c>
      <c r="FK672" s="36" t="str">
        <f>IF($FH672="","",SUM($FN672:$FN$7000))</f>
        <v/>
      </c>
    </row>
    <row r="673" spans="149:167">
      <c r="ES673" s="29"/>
      <c r="EV673" s="28">
        <f t="shared" si="21"/>
        <v>0</v>
      </c>
      <c r="FH673" s="29" t="str">
        <f t="shared" si="22"/>
        <v/>
      </c>
      <c r="FJ673" s="36" t="str">
        <f>IF($FH673="","",SUM($FN673:$FN$7000))</f>
        <v/>
      </c>
      <c r="FK673" s="36" t="str">
        <f>IF($FH673="","",SUM($FN673:$FN$7000))</f>
        <v/>
      </c>
    </row>
    <row r="674" spans="149:167">
      <c r="ES674" s="29"/>
      <c r="EV674" s="28">
        <f t="shared" si="21"/>
        <v>0</v>
      </c>
      <c r="FH674" s="29" t="str">
        <f t="shared" si="22"/>
        <v/>
      </c>
      <c r="FJ674" s="36" t="str">
        <f>IF($FH674="","",SUM($FN674:$FN$7000))</f>
        <v/>
      </c>
      <c r="FK674" s="36" t="str">
        <f>IF($FH674="","",SUM($FN674:$FN$7000))</f>
        <v/>
      </c>
    </row>
    <row r="675" spans="149:167">
      <c r="ES675" s="29"/>
      <c r="EV675" s="28">
        <f t="shared" si="21"/>
        <v>0</v>
      </c>
      <c r="FH675" s="29" t="str">
        <f t="shared" si="22"/>
        <v/>
      </c>
      <c r="FJ675" s="36" t="str">
        <f>IF($FH675="","",SUM($FN675:$FN$7000))</f>
        <v/>
      </c>
      <c r="FK675" s="36" t="str">
        <f>IF($FH675="","",SUM($FN675:$FN$7000))</f>
        <v/>
      </c>
    </row>
    <row r="676" spans="149:167">
      <c r="ES676" s="29"/>
      <c r="EV676" s="28">
        <f t="shared" si="21"/>
        <v>0</v>
      </c>
      <c r="FH676" s="29" t="str">
        <f t="shared" si="22"/>
        <v/>
      </c>
      <c r="FJ676" s="36" t="str">
        <f>IF($FH676="","",SUM($FN676:$FN$7000))</f>
        <v/>
      </c>
      <c r="FK676" s="36" t="str">
        <f>IF($FH676="","",SUM($FN676:$FN$7000))</f>
        <v/>
      </c>
    </row>
    <row r="677" spans="149:167">
      <c r="ES677" s="29"/>
      <c r="EV677" s="28">
        <f t="shared" si="21"/>
        <v>0</v>
      </c>
      <c r="FH677" s="29" t="str">
        <f t="shared" si="22"/>
        <v/>
      </c>
      <c r="FJ677" s="36" t="str">
        <f>IF($FH677="","",SUM($FN677:$FN$7000))</f>
        <v/>
      </c>
      <c r="FK677" s="36" t="str">
        <f>IF($FH677="","",SUM($FN677:$FN$7000))</f>
        <v/>
      </c>
    </row>
    <row r="678" spans="149:167">
      <c r="ES678" s="29"/>
      <c r="EV678" s="28">
        <f t="shared" si="21"/>
        <v>0</v>
      </c>
      <c r="FH678" s="29" t="str">
        <f t="shared" si="22"/>
        <v/>
      </c>
      <c r="FJ678" s="36" t="str">
        <f>IF($FH678="","",SUM($FN678:$FN$7000))</f>
        <v/>
      </c>
      <c r="FK678" s="36" t="str">
        <f>IF($FH678="","",SUM($FN678:$FN$7000))</f>
        <v/>
      </c>
    </row>
    <row r="679" spans="149:167">
      <c r="ES679" s="29"/>
      <c r="EV679" s="28">
        <f t="shared" si="21"/>
        <v>0</v>
      </c>
      <c r="FH679" s="29" t="str">
        <f t="shared" si="22"/>
        <v/>
      </c>
      <c r="FJ679" s="36" t="str">
        <f>IF($FH679="","",SUM($FN679:$FN$7000))</f>
        <v/>
      </c>
      <c r="FK679" s="36" t="str">
        <f>IF($FH679="","",SUM($FN679:$FN$7000))</f>
        <v/>
      </c>
    </row>
    <row r="680" spans="149:167">
      <c r="ES680" s="29"/>
      <c r="EV680" s="28">
        <f t="shared" si="21"/>
        <v>0</v>
      </c>
      <c r="FH680" s="29" t="str">
        <f t="shared" si="22"/>
        <v/>
      </c>
      <c r="FJ680" s="36" t="str">
        <f>IF($FH680="","",SUM($FN680:$FN$7000))</f>
        <v/>
      </c>
      <c r="FK680" s="36" t="str">
        <f>IF($FH680="","",SUM($FN680:$FN$7000))</f>
        <v/>
      </c>
    </row>
    <row r="681" spans="149:167">
      <c r="ES681" s="29"/>
      <c r="EV681" s="28">
        <f t="shared" si="21"/>
        <v>0</v>
      </c>
      <c r="FH681" s="29" t="str">
        <f t="shared" si="22"/>
        <v/>
      </c>
      <c r="FJ681" s="36" t="str">
        <f>IF($FH681="","",SUM($FN681:$FN$7000))</f>
        <v/>
      </c>
      <c r="FK681" s="36" t="str">
        <f>IF($FH681="","",SUM($FN681:$FN$7000))</f>
        <v/>
      </c>
    </row>
    <row r="682" spans="149:167">
      <c r="ES682" s="29"/>
      <c r="EV682" s="28">
        <f t="shared" si="21"/>
        <v>0</v>
      </c>
      <c r="FH682" s="29" t="str">
        <f t="shared" si="22"/>
        <v/>
      </c>
      <c r="FJ682" s="36" t="str">
        <f>IF($FH682="","",SUM($FN682:$FN$7000))</f>
        <v/>
      </c>
      <c r="FK682" s="36" t="str">
        <f>IF($FH682="","",SUM($FN682:$FN$7000))</f>
        <v/>
      </c>
    </row>
    <row r="683" spans="149:167">
      <c r="ES683" s="29"/>
      <c r="EV683" s="28">
        <f t="shared" si="21"/>
        <v>0</v>
      </c>
      <c r="FH683" s="29" t="str">
        <f t="shared" si="22"/>
        <v/>
      </c>
      <c r="FJ683" s="36" t="str">
        <f>IF($FH683="","",SUM($FN683:$FN$7000))</f>
        <v/>
      </c>
      <c r="FK683" s="36" t="str">
        <f>IF($FH683="","",SUM($FN683:$FN$7000))</f>
        <v/>
      </c>
    </row>
    <row r="684" spans="149:167">
      <c r="ES684" s="29"/>
      <c r="EV684" s="28">
        <f t="shared" si="21"/>
        <v>0</v>
      </c>
      <c r="FH684" s="29" t="str">
        <f t="shared" si="22"/>
        <v/>
      </c>
      <c r="FJ684" s="36" t="str">
        <f>IF($FH684="","",SUM($FN684:$FN$7000))</f>
        <v/>
      </c>
      <c r="FK684" s="36" t="str">
        <f>IF($FH684="","",SUM($FN684:$FN$7000))</f>
        <v/>
      </c>
    </row>
    <row r="685" spans="149:167">
      <c r="ES685" s="29"/>
      <c r="EV685" s="28">
        <f t="shared" si="21"/>
        <v>0</v>
      </c>
      <c r="FH685" s="29" t="str">
        <f t="shared" si="22"/>
        <v/>
      </c>
      <c r="FJ685" s="36" t="str">
        <f>IF($FH685="","",SUM($FN685:$FN$7000))</f>
        <v/>
      </c>
      <c r="FK685" s="36" t="str">
        <f>IF($FH685="","",SUM($FN685:$FN$7000))</f>
        <v/>
      </c>
    </row>
    <row r="686" spans="149:167">
      <c r="ES686" s="29"/>
      <c r="EV686" s="28">
        <f t="shared" si="21"/>
        <v>0</v>
      </c>
      <c r="FH686" s="29" t="str">
        <f t="shared" si="22"/>
        <v/>
      </c>
      <c r="FJ686" s="36" t="str">
        <f>IF($FH686="","",SUM($FN686:$FN$7000))</f>
        <v/>
      </c>
      <c r="FK686" s="36" t="str">
        <f>IF($FH686="","",SUM($FN686:$FN$7000))</f>
        <v/>
      </c>
    </row>
    <row r="687" spans="149:167">
      <c r="ES687" s="29"/>
      <c r="EV687" s="28">
        <f t="shared" si="21"/>
        <v>0</v>
      </c>
      <c r="FH687" s="29" t="str">
        <f t="shared" si="22"/>
        <v/>
      </c>
      <c r="FJ687" s="36" t="str">
        <f>IF($FH687="","",SUM($FN687:$FN$7000))</f>
        <v/>
      </c>
      <c r="FK687" s="36" t="str">
        <f>IF($FH687="","",SUM($FN687:$FN$7000))</f>
        <v/>
      </c>
    </row>
    <row r="688" spans="149:167">
      <c r="ES688" s="29"/>
      <c r="EV688" s="28">
        <f t="shared" si="21"/>
        <v>0</v>
      </c>
      <c r="FH688" s="29" t="str">
        <f t="shared" si="22"/>
        <v/>
      </c>
      <c r="FJ688" s="36" t="str">
        <f>IF($FH688="","",SUM($FN688:$FN$7000))</f>
        <v/>
      </c>
      <c r="FK688" s="36" t="str">
        <f>IF($FH688="","",SUM($FN688:$FN$7000))</f>
        <v/>
      </c>
    </row>
    <row r="689" spans="149:167">
      <c r="ES689" s="29"/>
      <c r="EV689" s="28">
        <f t="shared" si="21"/>
        <v>0</v>
      </c>
      <c r="FH689" s="29" t="str">
        <f t="shared" si="22"/>
        <v/>
      </c>
      <c r="FJ689" s="36" t="str">
        <f>IF($FH689="","",SUM($FN689:$FN$7000))</f>
        <v/>
      </c>
      <c r="FK689" s="36" t="str">
        <f>IF($FH689="","",SUM($FN689:$FN$7000))</f>
        <v/>
      </c>
    </row>
    <row r="690" spans="149:167">
      <c r="ES690" s="29"/>
      <c r="EV690" s="28">
        <f t="shared" si="21"/>
        <v>0</v>
      </c>
      <c r="FH690" s="29" t="str">
        <f t="shared" si="22"/>
        <v/>
      </c>
      <c r="FJ690" s="36" t="str">
        <f>IF($FH690="","",SUM($FN690:$FN$7000))</f>
        <v/>
      </c>
      <c r="FK690" s="36" t="str">
        <f>IF($FH690="","",SUM($FN690:$FN$7000))</f>
        <v/>
      </c>
    </row>
    <row r="691" spans="149:167">
      <c r="ES691" s="29"/>
      <c r="EV691" s="28">
        <f t="shared" si="21"/>
        <v>0</v>
      </c>
      <c r="FH691" s="29" t="str">
        <f t="shared" si="22"/>
        <v/>
      </c>
      <c r="FJ691" s="36" t="str">
        <f>IF($FH691="","",SUM($FN691:$FN$7000))</f>
        <v/>
      </c>
      <c r="FK691" s="36" t="str">
        <f>IF($FH691="","",SUM($FN691:$FN$7000))</f>
        <v/>
      </c>
    </row>
    <row r="692" spans="149:167">
      <c r="ES692" s="29"/>
      <c r="EV692" s="28">
        <f t="shared" si="21"/>
        <v>0</v>
      </c>
      <c r="FH692" s="29" t="str">
        <f t="shared" si="22"/>
        <v/>
      </c>
      <c r="FJ692" s="36" t="str">
        <f>IF($FH692="","",SUM($FN692:$FN$7000))</f>
        <v/>
      </c>
      <c r="FK692" s="36" t="str">
        <f>IF($FH692="","",SUM($FN692:$FN$7000))</f>
        <v/>
      </c>
    </row>
    <row r="693" spans="149:167">
      <c r="ES693" s="29"/>
      <c r="EV693" s="28">
        <f t="shared" si="21"/>
        <v>0</v>
      </c>
      <c r="FH693" s="29" t="str">
        <f t="shared" si="22"/>
        <v/>
      </c>
      <c r="FJ693" s="36" t="str">
        <f>IF($FH693="","",SUM($FN693:$FN$7000))</f>
        <v/>
      </c>
      <c r="FK693" s="36" t="str">
        <f>IF($FH693="","",SUM($FN693:$FN$7000))</f>
        <v/>
      </c>
    </row>
    <row r="694" spans="149:167">
      <c r="ES694" s="29"/>
      <c r="EV694" s="28">
        <f t="shared" si="21"/>
        <v>0</v>
      </c>
      <c r="FH694" s="29" t="str">
        <f t="shared" si="22"/>
        <v/>
      </c>
      <c r="FJ694" s="36" t="str">
        <f>IF($FH694="","",SUM($FN694:$FN$7000))</f>
        <v/>
      </c>
      <c r="FK694" s="36" t="str">
        <f>IF($FH694="","",SUM($FN694:$FN$7000))</f>
        <v/>
      </c>
    </row>
    <row r="695" spans="149:167">
      <c r="ES695" s="29"/>
      <c r="EV695" s="28">
        <f t="shared" si="21"/>
        <v>0</v>
      </c>
      <c r="FH695" s="29" t="str">
        <f t="shared" si="22"/>
        <v/>
      </c>
      <c r="FJ695" s="36" t="str">
        <f>IF($FH695="","",SUM($FN695:$FN$7000))</f>
        <v/>
      </c>
      <c r="FK695" s="36" t="str">
        <f>IF($FH695="","",SUM($FN695:$FN$7000))</f>
        <v/>
      </c>
    </row>
    <row r="696" spans="149:167">
      <c r="ES696" s="29"/>
      <c r="EV696" s="28">
        <f t="shared" si="21"/>
        <v>0</v>
      </c>
      <c r="FH696" s="29" t="str">
        <f t="shared" si="22"/>
        <v/>
      </c>
      <c r="FJ696" s="36" t="str">
        <f>IF($FH696="","",SUM($FN696:$FN$7000))</f>
        <v/>
      </c>
      <c r="FK696" s="36" t="str">
        <f>IF($FH696="","",SUM($FN696:$FN$7000))</f>
        <v/>
      </c>
    </row>
    <row r="697" spans="149:167">
      <c r="ES697" s="29"/>
      <c r="EV697" s="28">
        <f t="shared" si="21"/>
        <v>0</v>
      </c>
      <c r="FH697" s="29" t="str">
        <f t="shared" si="22"/>
        <v/>
      </c>
      <c r="FJ697" s="36" t="str">
        <f>IF($FH697="","",SUM($FN697:$FN$7000))</f>
        <v/>
      </c>
      <c r="FK697" s="36" t="str">
        <f>IF($FH697="","",SUM($FN697:$FN$7000))</f>
        <v/>
      </c>
    </row>
    <row r="698" spans="149:167">
      <c r="ES698" s="29"/>
      <c r="EV698" s="28">
        <f t="shared" si="21"/>
        <v>0</v>
      </c>
      <c r="FH698" s="29" t="str">
        <f t="shared" si="22"/>
        <v/>
      </c>
      <c r="FJ698" s="36" t="str">
        <f>IF($FH698="","",SUM($FN698:$FN$7000))</f>
        <v/>
      </c>
      <c r="FK698" s="36" t="str">
        <f>IF($FH698="","",SUM($FN698:$FN$7000))</f>
        <v/>
      </c>
    </row>
    <row r="699" spans="149:167">
      <c r="ES699" s="29"/>
      <c r="EV699" s="28">
        <f t="shared" si="21"/>
        <v>0</v>
      </c>
      <c r="FH699" s="29" t="str">
        <f t="shared" si="22"/>
        <v/>
      </c>
      <c r="FJ699" s="36" t="str">
        <f>IF($FH699="","",SUM($FN699:$FN$7000))</f>
        <v/>
      </c>
      <c r="FK699" s="36" t="str">
        <f>IF($FH699="","",SUM($FN699:$FN$7000))</f>
        <v/>
      </c>
    </row>
    <row r="700" spans="149:167">
      <c r="ES700" s="29"/>
      <c r="EV700" s="28">
        <f t="shared" si="21"/>
        <v>0</v>
      </c>
      <c r="FH700" s="29" t="str">
        <f t="shared" si="22"/>
        <v/>
      </c>
      <c r="FJ700" s="36" t="str">
        <f>IF($FH700="","",SUM($FN700:$FN$7000))</f>
        <v/>
      </c>
      <c r="FK700" s="36" t="str">
        <f>IF($FH700="","",SUM($FN700:$FN$7000))</f>
        <v/>
      </c>
    </row>
    <row r="701" spans="149:167">
      <c r="ES701" s="29"/>
      <c r="EV701" s="28">
        <f t="shared" si="21"/>
        <v>0</v>
      </c>
      <c r="FH701" s="29" t="str">
        <f t="shared" si="22"/>
        <v/>
      </c>
      <c r="FJ701" s="36" t="str">
        <f>IF($FH701="","",SUM($FN701:$FN$7000))</f>
        <v/>
      </c>
      <c r="FK701" s="36" t="str">
        <f>IF($FH701="","",SUM($FN701:$FN$7000))</f>
        <v/>
      </c>
    </row>
    <row r="702" spans="149:167">
      <c r="ES702" s="29"/>
      <c r="EV702" s="28">
        <f t="shared" si="21"/>
        <v>0</v>
      </c>
      <c r="FH702" s="29" t="str">
        <f t="shared" si="22"/>
        <v/>
      </c>
      <c r="FJ702" s="36" t="str">
        <f>IF($FH702="","",SUM($FN702:$FN$7000))</f>
        <v/>
      </c>
      <c r="FK702" s="36" t="str">
        <f>IF($FH702="","",SUM($FN702:$FN$7000))</f>
        <v/>
      </c>
    </row>
    <row r="703" spans="149:167">
      <c r="ES703" s="29"/>
      <c r="EV703" s="28">
        <f t="shared" si="21"/>
        <v>0</v>
      </c>
      <c r="FH703" s="29" t="str">
        <f t="shared" si="22"/>
        <v/>
      </c>
      <c r="FJ703" s="36" t="str">
        <f>IF($FH703="","",SUM($FN703:$FN$7000))</f>
        <v/>
      </c>
      <c r="FK703" s="36" t="str">
        <f>IF($FH703="","",SUM($FN703:$FN$7000))</f>
        <v/>
      </c>
    </row>
    <row r="704" spans="149:167">
      <c r="ES704" s="29"/>
      <c r="EV704" s="28">
        <f t="shared" si="21"/>
        <v>0</v>
      </c>
      <c r="FH704" s="29" t="str">
        <f t="shared" si="22"/>
        <v/>
      </c>
      <c r="FJ704" s="36" t="str">
        <f>IF($FH704="","",SUM($FN704:$FN$7000))</f>
        <v/>
      </c>
      <c r="FK704" s="36" t="str">
        <f>IF($FH704="","",SUM($FN704:$FN$7000))</f>
        <v/>
      </c>
    </row>
    <row r="705" spans="149:167">
      <c r="ES705" s="29"/>
      <c r="EV705" s="28">
        <f t="shared" si="21"/>
        <v>0</v>
      </c>
      <c r="FH705" s="29" t="str">
        <f t="shared" si="22"/>
        <v/>
      </c>
      <c r="FJ705" s="36" t="str">
        <f>IF($FH705="","",SUM($FN705:$FN$7000))</f>
        <v/>
      </c>
      <c r="FK705" s="36" t="str">
        <f>IF($FH705="","",SUM($FN705:$FN$7000))</f>
        <v/>
      </c>
    </row>
    <row r="706" spans="149:167">
      <c r="ES706" s="29"/>
      <c r="EV706" s="28">
        <f t="shared" si="21"/>
        <v>0</v>
      </c>
      <c r="FH706" s="29" t="str">
        <f t="shared" si="22"/>
        <v/>
      </c>
      <c r="FJ706" s="36" t="str">
        <f>IF($FH706="","",SUM($FN706:$FN$7000))</f>
        <v/>
      </c>
      <c r="FK706" s="36" t="str">
        <f>IF($FH706="","",SUM($FN706:$FN$7000))</f>
        <v/>
      </c>
    </row>
    <row r="707" spans="149:167">
      <c r="ES707" s="29"/>
      <c r="EV707" s="28">
        <f t="shared" si="21"/>
        <v>0</v>
      </c>
      <c r="FH707" s="29" t="str">
        <f t="shared" si="22"/>
        <v/>
      </c>
      <c r="FJ707" s="36" t="str">
        <f>IF($FH707="","",SUM($FN707:$FN$7000))</f>
        <v/>
      </c>
      <c r="FK707" s="36" t="str">
        <f>IF($FH707="","",SUM($FN707:$FN$7000))</f>
        <v/>
      </c>
    </row>
    <row r="708" spans="149:167">
      <c r="ES708" s="29"/>
      <c r="EV708" s="28">
        <f t="shared" si="21"/>
        <v>0</v>
      </c>
      <c r="FH708" s="29" t="str">
        <f t="shared" si="22"/>
        <v/>
      </c>
      <c r="FJ708" s="36" t="str">
        <f>IF($FH708="","",SUM($FN708:$FN$7000))</f>
        <v/>
      </c>
      <c r="FK708" s="36" t="str">
        <f>IF($FH708="","",SUM($FN708:$FN$7000))</f>
        <v/>
      </c>
    </row>
    <row r="709" spans="149:167">
      <c r="ES709" s="29"/>
      <c r="EV709" s="28">
        <f t="shared" si="21"/>
        <v>0</v>
      </c>
      <c r="FH709" s="29" t="str">
        <f t="shared" si="22"/>
        <v/>
      </c>
      <c r="FJ709" s="36" t="str">
        <f>IF($FH709="","",SUM($FN709:$FN$7000))</f>
        <v/>
      </c>
      <c r="FK709" s="36" t="str">
        <f>IF($FH709="","",SUM($FN709:$FN$7000))</f>
        <v/>
      </c>
    </row>
    <row r="710" spans="149:167">
      <c r="ES710" s="29"/>
      <c r="EV710" s="28">
        <f t="shared" si="21"/>
        <v>0</v>
      </c>
      <c r="FH710" s="29" t="str">
        <f t="shared" si="22"/>
        <v/>
      </c>
      <c r="FJ710" s="36" t="str">
        <f>IF($FH710="","",SUM($FN710:$FN$7000))</f>
        <v/>
      </c>
      <c r="FK710" s="36" t="str">
        <f>IF($FH710="","",SUM($FN710:$FN$7000))</f>
        <v/>
      </c>
    </row>
    <row r="711" spans="149:167">
      <c r="ES711" s="29"/>
      <c r="EV711" s="28">
        <f t="shared" si="21"/>
        <v>0</v>
      </c>
      <c r="FH711" s="29" t="str">
        <f t="shared" si="22"/>
        <v/>
      </c>
      <c r="FJ711" s="36" t="str">
        <f>IF($FH711="","",SUM($FN711:$FN$7000))</f>
        <v/>
      </c>
      <c r="FK711" s="36" t="str">
        <f>IF($FH711="","",SUM($FN711:$FN$7000))</f>
        <v/>
      </c>
    </row>
    <row r="712" spans="149:167">
      <c r="ES712" s="29"/>
      <c r="EV712" s="28">
        <f t="shared" si="21"/>
        <v>0</v>
      </c>
      <c r="FH712" s="29" t="str">
        <f t="shared" si="22"/>
        <v/>
      </c>
      <c r="FJ712" s="36" t="str">
        <f>IF($FH712="","",SUM($FN712:$FN$7000))</f>
        <v/>
      </c>
      <c r="FK712" s="36" t="str">
        <f>IF($FH712="","",SUM($FN712:$FN$7000))</f>
        <v/>
      </c>
    </row>
    <row r="713" spans="149:167">
      <c r="ES713" s="29"/>
      <c r="EV713" s="28">
        <f t="shared" si="21"/>
        <v>0</v>
      </c>
      <c r="FH713" s="29" t="str">
        <f t="shared" si="22"/>
        <v/>
      </c>
      <c r="FJ713" s="36" t="str">
        <f>IF($FH713="","",SUM($FN713:$FN$7000))</f>
        <v/>
      </c>
      <c r="FK713" s="36" t="str">
        <f>IF($FH713="","",SUM($FN713:$FN$7000))</f>
        <v/>
      </c>
    </row>
    <row r="714" spans="149:167">
      <c r="ES714" s="29"/>
      <c r="EV714" s="28">
        <f t="shared" si="21"/>
        <v>0</v>
      </c>
      <c r="FH714" s="29" t="str">
        <f t="shared" si="22"/>
        <v/>
      </c>
      <c r="FJ714" s="36" t="str">
        <f>IF($FH714="","",SUM($FN714:$FN$7000))</f>
        <v/>
      </c>
      <c r="FK714" s="36" t="str">
        <f>IF($FH714="","",SUM($FN714:$FN$7000))</f>
        <v/>
      </c>
    </row>
    <row r="715" spans="149:167">
      <c r="ES715" s="29"/>
      <c r="EV715" s="28">
        <f t="shared" ref="EV715:EV778" si="23">EU715-ET715</f>
        <v>0</v>
      </c>
      <c r="FH715" s="29" t="str">
        <f t="shared" ref="FH715:FH778" si="24">IF(FL715="","",FL715)</f>
        <v/>
      </c>
      <c r="FJ715" s="36" t="str">
        <f>IF($FH715="","",SUM($FN715:$FN$7000))</f>
        <v/>
      </c>
      <c r="FK715" s="36" t="str">
        <f>IF($FH715="","",SUM($FN715:$FN$7000))</f>
        <v/>
      </c>
    </row>
    <row r="716" spans="149:167">
      <c r="ES716" s="29"/>
      <c r="EV716" s="28">
        <f t="shared" si="23"/>
        <v>0</v>
      </c>
      <c r="FH716" s="29" t="str">
        <f t="shared" si="24"/>
        <v/>
      </c>
      <c r="FJ716" s="36" t="str">
        <f>IF($FH716="","",SUM($FN716:$FN$7000))</f>
        <v/>
      </c>
      <c r="FK716" s="36" t="str">
        <f>IF($FH716="","",SUM($FN716:$FN$7000))</f>
        <v/>
      </c>
    </row>
    <row r="717" spans="149:167">
      <c r="ES717" s="29"/>
      <c r="EV717" s="28">
        <f t="shared" si="23"/>
        <v>0</v>
      </c>
      <c r="FH717" s="29" t="str">
        <f t="shared" si="24"/>
        <v/>
      </c>
      <c r="FJ717" s="36" t="str">
        <f>IF($FH717="","",SUM($FN717:$FN$7000))</f>
        <v/>
      </c>
      <c r="FK717" s="36" t="str">
        <f>IF($FH717="","",SUM($FN717:$FN$7000))</f>
        <v/>
      </c>
    </row>
    <row r="718" spans="149:167">
      <c r="ES718" s="29"/>
      <c r="EV718" s="28">
        <f t="shared" si="23"/>
        <v>0</v>
      </c>
      <c r="FH718" s="29" t="str">
        <f t="shared" si="24"/>
        <v/>
      </c>
      <c r="FJ718" s="36" t="str">
        <f>IF($FH718="","",SUM($FN718:$FN$7000))</f>
        <v/>
      </c>
      <c r="FK718" s="36" t="str">
        <f>IF($FH718="","",SUM($FN718:$FN$7000))</f>
        <v/>
      </c>
    </row>
    <row r="719" spans="149:167">
      <c r="ES719" s="29"/>
      <c r="EV719" s="28">
        <f t="shared" si="23"/>
        <v>0</v>
      </c>
      <c r="FH719" s="29" t="str">
        <f t="shared" si="24"/>
        <v/>
      </c>
      <c r="FJ719" s="36" t="str">
        <f>IF($FH719="","",SUM($FN719:$FN$7000))</f>
        <v/>
      </c>
      <c r="FK719" s="36" t="str">
        <f>IF($FH719="","",SUM($FN719:$FN$7000))</f>
        <v/>
      </c>
    </row>
    <row r="720" spans="149:167">
      <c r="ES720" s="29"/>
      <c r="EV720" s="28">
        <f t="shared" si="23"/>
        <v>0</v>
      </c>
      <c r="FH720" s="29" t="str">
        <f t="shared" si="24"/>
        <v/>
      </c>
      <c r="FJ720" s="36" t="str">
        <f>IF($FH720="","",SUM($FN720:$FN$7000))</f>
        <v/>
      </c>
      <c r="FK720" s="36" t="str">
        <f>IF($FH720="","",SUM($FN720:$FN$7000))</f>
        <v/>
      </c>
    </row>
    <row r="721" spans="149:167">
      <c r="ES721" s="29"/>
      <c r="EV721" s="28">
        <f t="shared" si="23"/>
        <v>0</v>
      </c>
      <c r="FH721" s="29" t="str">
        <f t="shared" si="24"/>
        <v/>
      </c>
      <c r="FJ721" s="36" t="str">
        <f>IF($FH721="","",SUM($FN721:$FN$7000))</f>
        <v/>
      </c>
      <c r="FK721" s="36" t="str">
        <f>IF($FH721="","",SUM($FN721:$FN$7000))</f>
        <v/>
      </c>
    </row>
    <row r="722" spans="149:167">
      <c r="ES722" s="29"/>
      <c r="EV722" s="28">
        <f t="shared" si="23"/>
        <v>0</v>
      </c>
      <c r="FH722" s="29" t="str">
        <f t="shared" si="24"/>
        <v/>
      </c>
      <c r="FJ722" s="36" t="str">
        <f>IF($FH722="","",SUM($FN722:$FN$7000))</f>
        <v/>
      </c>
      <c r="FK722" s="36" t="str">
        <f>IF($FH722="","",SUM($FN722:$FN$7000))</f>
        <v/>
      </c>
    </row>
    <row r="723" spans="149:167">
      <c r="ES723" s="29"/>
      <c r="EV723" s="28">
        <f t="shared" si="23"/>
        <v>0</v>
      </c>
      <c r="FH723" s="29" t="str">
        <f t="shared" si="24"/>
        <v/>
      </c>
      <c r="FJ723" s="36" t="str">
        <f>IF($FH723="","",SUM($FN723:$FN$7000))</f>
        <v/>
      </c>
      <c r="FK723" s="36" t="str">
        <f>IF($FH723="","",SUM($FN723:$FN$7000))</f>
        <v/>
      </c>
    </row>
    <row r="724" spans="149:167">
      <c r="ES724" s="29"/>
      <c r="EV724" s="28">
        <f t="shared" si="23"/>
        <v>0</v>
      </c>
      <c r="FH724" s="29" t="str">
        <f t="shared" si="24"/>
        <v/>
      </c>
      <c r="FJ724" s="36" t="str">
        <f>IF($FH724="","",SUM($FN724:$FN$7000))</f>
        <v/>
      </c>
      <c r="FK724" s="36" t="str">
        <f>IF($FH724="","",SUM($FN724:$FN$7000))</f>
        <v/>
      </c>
    </row>
    <row r="725" spans="149:167">
      <c r="ES725" s="29"/>
      <c r="EV725" s="28">
        <f t="shared" si="23"/>
        <v>0</v>
      </c>
      <c r="FH725" s="29" t="str">
        <f t="shared" si="24"/>
        <v/>
      </c>
      <c r="FJ725" s="36" t="str">
        <f>IF($FH725="","",SUM($FN725:$FN$7000))</f>
        <v/>
      </c>
      <c r="FK725" s="36" t="str">
        <f>IF($FH725="","",SUM($FN725:$FN$7000))</f>
        <v/>
      </c>
    </row>
    <row r="726" spans="149:167">
      <c r="ES726" s="29"/>
      <c r="EV726" s="28">
        <f t="shared" si="23"/>
        <v>0</v>
      </c>
      <c r="FH726" s="29" t="str">
        <f t="shared" si="24"/>
        <v/>
      </c>
      <c r="FJ726" s="36" t="str">
        <f>IF($FH726="","",SUM($FN726:$FN$7000))</f>
        <v/>
      </c>
      <c r="FK726" s="36" t="str">
        <f>IF($FH726="","",SUM($FN726:$FN$7000))</f>
        <v/>
      </c>
    </row>
    <row r="727" spans="149:167">
      <c r="ES727" s="29"/>
      <c r="EV727" s="28">
        <f t="shared" si="23"/>
        <v>0</v>
      </c>
      <c r="FH727" s="29" t="str">
        <f t="shared" si="24"/>
        <v/>
      </c>
      <c r="FJ727" s="36" t="str">
        <f>IF($FH727="","",SUM($FN727:$FN$7000))</f>
        <v/>
      </c>
      <c r="FK727" s="36" t="str">
        <f>IF($FH727="","",SUM($FN727:$FN$7000))</f>
        <v/>
      </c>
    </row>
    <row r="728" spans="149:167">
      <c r="ES728" s="29"/>
      <c r="EV728" s="28">
        <f t="shared" si="23"/>
        <v>0</v>
      </c>
      <c r="FH728" s="29" t="str">
        <f t="shared" si="24"/>
        <v/>
      </c>
      <c r="FJ728" s="36" t="str">
        <f>IF($FH728="","",SUM($FN728:$FN$7000))</f>
        <v/>
      </c>
      <c r="FK728" s="36" t="str">
        <f>IF($FH728="","",SUM($FN728:$FN$7000))</f>
        <v/>
      </c>
    </row>
    <row r="729" spans="149:167">
      <c r="ES729" s="29"/>
      <c r="EV729" s="28">
        <f t="shared" si="23"/>
        <v>0</v>
      </c>
      <c r="FH729" s="29" t="str">
        <f t="shared" si="24"/>
        <v/>
      </c>
      <c r="FJ729" s="36" t="str">
        <f>IF($FH729="","",SUM($FN729:$FN$7000))</f>
        <v/>
      </c>
      <c r="FK729" s="36" t="str">
        <f>IF($FH729="","",SUM($FN729:$FN$7000))</f>
        <v/>
      </c>
    </row>
    <row r="730" spans="149:167">
      <c r="ES730" s="29"/>
      <c r="EV730" s="28">
        <f t="shared" si="23"/>
        <v>0</v>
      </c>
      <c r="FH730" s="29" t="str">
        <f t="shared" si="24"/>
        <v/>
      </c>
      <c r="FJ730" s="36" t="str">
        <f>IF($FH730="","",SUM($FN730:$FN$7000))</f>
        <v/>
      </c>
      <c r="FK730" s="36" t="str">
        <f>IF($FH730="","",SUM($FN730:$FN$7000))</f>
        <v/>
      </c>
    </row>
    <row r="731" spans="149:167">
      <c r="ES731" s="29"/>
      <c r="EV731" s="28">
        <f t="shared" si="23"/>
        <v>0</v>
      </c>
      <c r="FH731" s="29" t="str">
        <f t="shared" si="24"/>
        <v/>
      </c>
      <c r="FJ731" s="36" t="str">
        <f>IF($FH731="","",SUM($FN731:$FN$7000))</f>
        <v/>
      </c>
      <c r="FK731" s="36" t="str">
        <f>IF($FH731="","",SUM($FN731:$FN$7000))</f>
        <v/>
      </c>
    </row>
    <row r="732" spans="149:167">
      <c r="ES732" s="29"/>
      <c r="EV732" s="28">
        <f t="shared" si="23"/>
        <v>0</v>
      </c>
      <c r="FH732" s="29" t="str">
        <f t="shared" si="24"/>
        <v/>
      </c>
      <c r="FJ732" s="36" t="str">
        <f>IF($FH732="","",SUM($FN732:$FN$7000))</f>
        <v/>
      </c>
      <c r="FK732" s="36" t="str">
        <f>IF($FH732="","",SUM($FN732:$FN$7000))</f>
        <v/>
      </c>
    </row>
    <row r="733" spans="149:167">
      <c r="ES733" s="29"/>
      <c r="EV733" s="28">
        <f t="shared" si="23"/>
        <v>0</v>
      </c>
      <c r="FH733" s="29" t="str">
        <f t="shared" si="24"/>
        <v/>
      </c>
      <c r="FJ733" s="36" t="str">
        <f>IF($FH733="","",SUM($FN733:$FN$7000))</f>
        <v/>
      </c>
      <c r="FK733" s="36" t="str">
        <f>IF($FH733="","",SUM($FN733:$FN$7000))</f>
        <v/>
      </c>
    </row>
    <row r="734" spans="149:167">
      <c r="ES734" s="29"/>
      <c r="EV734" s="28">
        <f t="shared" si="23"/>
        <v>0</v>
      </c>
      <c r="FH734" s="29" t="str">
        <f t="shared" si="24"/>
        <v/>
      </c>
      <c r="FJ734" s="36" t="str">
        <f>IF($FH734="","",SUM($FN734:$FN$7000))</f>
        <v/>
      </c>
      <c r="FK734" s="36" t="str">
        <f>IF($FH734="","",SUM($FN734:$FN$7000))</f>
        <v/>
      </c>
    </row>
    <row r="735" spans="149:167">
      <c r="ES735" s="29"/>
      <c r="EV735" s="28">
        <f t="shared" si="23"/>
        <v>0</v>
      </c>
      <c r="FH735" s="29" t="str">
        <f t="shared" si="24"/>
        <v/>
      </c>
      <c r="FJ735" s="36" t="str">
        <f>IF($FH735="","",SUM($FN735:$FN$7000))</f>
        <v/>
      </c>
      <c r="FK735" s="36" t="str">
        <f>IF($FH735="","",SUM($FN735:$FN$7000))</f>
        <v/>
      </c>
    </row>
    <row r="736" spans="149:167">
      <c r="ES736" s="29"/>
      <c r="EV736" s="28">
        <f t="shared" si="23"/>
        <v>0</v>
      </c>
      <c r="FH736" s="29" t="str">
        <f t="shared" si="24"/>
        <v/>
      </c>
      <c r="FJ736" s="36" t="str">
        <f>IF($FH736="","",SUM($FN736:$FN$7000))</f>
        <v/>
      </c>
      <c r="FK736" s="36" t="str">
        <f>IF($FH736="","",SUM($FN736:$FN$7000))</f>
        <v/>
      </c>
    </row>
    <row r="737" spans="149:167">
      <c r="ES737" s="29"/>
      <c r="EV737" s="28">
        <f t="shared" si="23"/>
        <v>0</v>
      </c>
      <c r="FH737" s="29" t="str">
        <f t="shared" si="24"/>
        <v/>
      </c>
      <c r="FJ737" s="36" t="str">
        <f>IF($FH737="","",SUM($FN737:$FN$7000))</f>
        <v/>
      </c>
      <c r="FK737" s="36" t="str">
        <f>IF($FH737="","",SUM($FN737:$FN$7000))</f>
        <v/>
      </c>
    </row>
    <row r="738" spans="149:167">
      <c r="ES738" s="29"/>
      <c r="EV738" s="28">
        <f t="shared" si="23"/>
        <v>0</v>
      </c>
      <c r="FH738" s="29" t="str">
        <f t="shared" si="24"/>
        <v/>
      </c>
      <c r="FJ738" s="36" t="str">
        <f>IF($FH738="","",SUM($FN738:$FN$7000))</f>
        <v/>
      </c>
      <c r="FK738" s="36" t="str">
        <f>IF($FH738="","",SUM($FN738:$FN$7000))</f>
        <v/>
      </c>
    </row>
    <row r="739" spans="149:167">
      <c r="ES739" s="29"/>
      <c r="EV739" s="28">
        <f t="shared" si="23"/>
        <v>0</v>
      </c>
      <c r="FH739" s="29" t="str">
        <f t="shared" si="24"/>
        <v/>
      </c>
      <c r="FJ739" s="36" t="str">
        <f>IF($FH739="","",SUM($FN739:$FN$7000))</f>
        <v/>
      </c>
      <c r="FK739" s="36" t="str">
        <f>IF($FH739="","",SUM($FN739:$FN$7000))</f>
        <v/>
      </c>
    </row>
    <row r="740" spans="149:167">
      <c r="ES740" s="29"/>
      <c r="EV740" s="28">
        <f t="shared" si="23"/>
        <v>0</v>
      </c>
      <c r="FH740" s="29" t="str">
        <f t="shared" si="24"/>
        <v/>
      </c>
      <c r="FJ740" s="36" t="str">
        <f>IF($FH740="","",SUM($FN740:$FN$7000))</f>
        <v/>
      </c>
      <c r="FK740" s="36" t="str">
        <f>IF($FH740="","",SUM($FN740:$FN$7000))</f>
        <v/>
      </c>
    </row>
    <row r="741" spans="149:167">
      <c r="ES741" s="29"/>
      <c r="EV741" s="28">
        <f t="shared" si="23"/>
        <v>0</v>
      </c>
      <c r="FH741" s="29" t="str">
        <f t="shared" si="24"/>
        <v/>
      </c>
      <c r="FJ741" s="36" t="str">
        <f>IF($FH741="","",SUM($FN741:$FN$7000))</f>
        <v/>
      </c>
      <c r="FK741" s="36" t="str">
        <f>IF($FH741="","",SUM($FN741:$FN$7000))</f>
        <v/>
      </c>
    </row>
    <row r="742" spans="149:167">
      <c r="ES742" s="29"/>
      <c r="EV742" s="28">
        <f t="shared" si="23"/>
        <v>0</v>
      </c>
      <c r="FH742" s="29" t="str">
        <f t="shared" si="24"/>
        <v/>
      </c>
      <c r="FJ742" s="36" t="str">
        <f>IF($FH742="","",SUM($FN742:$FN$7000))</f>
        <v/>
      </c>
      <c r="FK742" s="36" t="str">
        <f>IF($FH742="","",SUM($FN742:$FN$7000))</f>
        <v/>
      </c>
    </row>
    <row r="743" spans="149:167">
      <c r="ES743" s="29"/>
      <c r="EV743" s="28">
        <f t="shared" si="23"/>
        <v>0</v>
      </c>
      <c r="FH743" s="29" t="str">
        <f t="shared" si="24"/>
        <v/>
      </c>
      <c r="FJ743" s="36" t="str">
        <f>IF($FH743="","",SUM($FN743:$FN$7000))</f>
        <v/>
      </c>
      <c r="FK743" s="36" t="str">
        <f>IF($FH743="","",SUM($FN743:$FN$7000))</f>
        <v/>
      </c>
    </row>
    <row r="744" spans="149:167">
      <c r="ES744" s="29"/>
      <c r="EV744" s="28">
        <f t="shared" si="23"/>
        <v>0</v>
      </c>
      <c r="FH744" s="29" t="str">
        <f t="shared" si="24"/>
        <v/>
      </c>
      <c r="FJ744" s="36" t="str">
        <f>IF($FH744="","",SUM($FN744:$FN$7000))</f>
        <v/>
      </c>
      <c r="FK744" s="36" t="str">
        <f>IF($FH744="","",SUM($FN744:$FN$7000))</f>
        <v/>
      </c>
    </row>
    <row r="745" spans="149:167">
      <c r="ES745" s="29"/>
      <c r="EV745" s="28">
        <f t="shared" si="23"/>
        <v>0</v>
      </c>
      <c r="FH745" s="29" t="str">
        <f t="shared" si="24"/>
        <v/>
      </c>
      <c r="FJ745" s="36" t="str">
        <f>IF($FH745="","",SUM($FN745:$FN$7000))</f>
        <v/>
      </c>
      <c r="FK745" s="36" t="str">
        <f>IF($FH745="","",SUM($FN745:$FN$7000))</f>
        <v/>
      </c>
    </row>
    <row r="746" spans="149:167">
      <c r="ES746" s="29"/>
      <c r="EV746" s="28">
        <f t="shared" si="23"/>
        <v>0</v>
      </c>
      <c r="FH746" s="29" t="str">
        <f t="shared" si="24"/>
        <v/>
      </c>
      <c r="FJ746" s="36" t="str">
        <f>IF($FH746="","",SUM($FN746:$FN$7000))</f>
        <v/>
      </c>
      <c r="FK746" s="36" t="str">
        <f>IF($FH746="","",SUM($FN746:$FN$7000))</f>
        <v/>
      </c>
    </row>
    <row r="747" spans="149:167">
      <c r="ES747" s="29"/>
      <c r="EV747" s="28">
        <f t="shared" si="23"/>
        <v>0</v>
      </c>
      <c r="FH747" s="29" t="str">
        <f t="shared" si="24"/>
        <v/>
      </c>
      <c r="FJ747" s="36" t="str">
        <f>IF($FH747="","",SUM($FN747:$FN$7000))</f>
        <v/>
      </c>
      <c r="FK747" s="36" t="str">
        <f>IF($FH747="","",SUM($FN747:$FN$7000))</f>
        <v/>
      </c>
    </row>
    <row r="748" spans="149:167">
      <c r="ES748" s="29"/>
      <c r="EV748" s="28">
        <f t="shared" si="23"/>
        <v>0</v>
      </c>
      <c r="FH748" s="29" t="str">
        <f t="shared" si="24"/>
        <v/>
      </c>
      <c r="FJ748" s="36" t="str">
        <f>IF($FH748="","",SUM($FN748:$FN$7000))</f>
        <v/>
      </c>
      <c r="FK748" s="36" t="str">
        <f>IF($FH748="","",SUM($FN748:$FN$7000))</f>
        <v/>
      </c>
    </row>
    <row r="749" spans="149:167">
      <c r="ES749" s="29"/>
      <c r="EV749" s="28">
        <f t="shared" si="23"/>
        <v>0</v>
      </c>
      <c r="FH749" s="29" t="str">
        <f t="shared" si="24"/>
        <v/>
      </c>
      <c r="FJ749" s="36" t="str">
        <f>IF($FH749="","",SUM($FN749:$FN$7000))</f>
        <v/>
      </c>
      <c r="FK749" s="36" t="str">
        <f>IF($FH749="","",SUM($FN749:$FN$7000))</f>
        <v/>
      </c>
    </row>
    <row r="750" spans="149:167">
      <c r="ES750" s="29"/>
      <c r="EV750" s="28">
        <f t="shared" si="23"/>
        <v>0</v>
      </c>
      <c r="FH750" s="29" t="str">
        <f t="shared" si="24"/>
        <v/>
      </c>
      <c r="FJ750" s="36" t="str">
        <f>IF($FH750="","",SUM($FN750:$FN$7000))</f>
        <v/>
      </c>
      <c r="FK750" s="36" t="str">
        <f>IF($FH750="","",SUM($FN750:$FN$7000))</f>
        <v/>
      </c>
    </row>
    <row r="751" spans="149:167">
      <c r="ES751" s="29"/>
      <c r="EV751" s="28">
        <f t="shared" si="23"/>
        <v>0</v>
      </c>
      <c r="FH751" s="29" t="str">
        <f t="shared" si="24"/>
        <v/>
      </c>
      <c r="FJ751" s="36" t="str">
        <f>IF($FH751="","",SUM($FN751:$FN$7000))</f>
        <v/>
      </c>
      <c r="FK751" s="36" t="str">
        <f>IF($FH751="","",SUM($FN751:$FN$7000))</f>
        <v/>
      </c>
    </row>
    <row r="752" spans="149:167">
      <c r="ES752" s="29"/>
      <c r="EV752" s="28">
        <f t="shared" si="23"/>
        <v>0</v>
      </c>
      <c r="FH752" s="29" t="str">
        <f t="shared" si="24"/>
        <v/>
      </c>
      <c r="FJ752" s="36" t="str">
        <f>IF($FH752="","",SUM($FN752:$FN$7000))</f>
        <v/>
      </c>
      <c r="FK752" s="36" t="str">
        <f>IF($FH752="","",SUM($FN752:$FN$7000))</f>
        <v/>
      </c>
    </row>
    <row r="753" spans="149:167">
      <c r="ES753" s="29"/>
      <c r="EV753" s="28">
        <f t="shared" si="23"/>
        <v>0</v>
      </c>
      <c r="FH753" s="29" t="str">
        <f t="shared" si="24"/>
        <v/>
      </c>
      <c r="FJ753" s="36" t="str">
        <f>IF($FH753="","",SUM($FN753:$FN$7000))</f>
        <v/>
      </c>
      <c r="FK753" s="36" t="str">
        <f>IF($FH753="","",SUM($FN753:$FN$7000))</f>
        <v/>
      </c>
    </row>
    <row r="754" spans="149:167">
      <c r="ES754" s="29"/>
      <c r="EV754" s="28">
        <f t="shared" si="23"/>
        <v>0</v>
      </c>
      <c r="FH754" s="29" t="str">
        <f t="shared" si="24"/>
        <v/>
      </c>
      <c r="FJ754" s="36" t="str">
        <f>IF($FH754="","",SUM($FN754:$FN$7000))</f>
        <v/>
      </c>
      <c r="FK754" s="36" t="str">
        <f>IF($FH754="","",SUM($FN754:$FN$7000))</f>
        <v/>
      </c>
    </row>
    <row r="755" spans="149:167">
      <c r="ES755" s="29"/>
      <c r="EV755" s="28">
        <f t="shared" si="23"/>
        <v>0</v>
      </c>
      <c r="FH755" s="29" t="str">
        <f t="shared" si="24"/>
        <v/>
      </c>
      <c r="FJ755" s="36" t="str">
        <f>IF($FH755="","",SUM($FN755:$FN$7000))</f>
        <v/>
      </c>
      <c r="FK755" s="36" t="str">
        <f>IF($FH755="","",SUM($FN755:$FN$7000))</f>
        <v/>
      </c>
    </row>
    <row r="756" spans="149:167">
      <c r="ES756" s="29"/>
      <c r="EV756" s="28">
        <f t="shared" si="23"/>
        <v>0</v>
      </c>
      <c r="FH756" s="29" t="str">
        <f t="shared" si="24"/>
        <v/>
      </c>
      <c r="FJ756" s="36" t="str">
        <f>IF($FH756="","",SUM($FN756:$FN$7000))</f>
        <v/>
      </c>
      <c r="FK756" s="36" t="str">
        <f>IF($FH756="","",SUM($FN756:$FN$7000))</f>
        <v/>
      </c>
    </row>
    <row r="757" spans="149:167">
      <c r="ES757" s="29"/>
      <c r="EV757" s="28">
        <f t="shared" si="23"/>
        <v>0</v>
      </c>
      <c r="FH757" s="29" t="str">
        <f t="shared" si="24"/>
        <v/>
      </c>
      <c r="FJ757" s="36" t="str">
        <f>IF($FH757="","",SUM($FN757:$FN$7000))</f>
        <v/>
      </c>
      <c r="FK757" s="36" t="str">
        <f>IF($FH757="","",SUM($FN757:$FN$7000))</f>
        <v/>
      </c>
    </row>
    <row r="758" spans="149:167">
      <c r="ES758" s="29"/>
      <c r="EV758" s="28">
        <f t="shared" si="23"/>
        <v>0</v>
      </c>
      <c r="FH758" s="29" t="str">
        <f t="shared" si="24"/>
        <v/>
      </c>
      <c r="FJ758" s="36" t="str">
        <f>IF($FH758="","",SUM($FN758:$FN$7000))</f>
        <v/>
      </c>
      <c r="FK758" s="36" t="str">
        <f>IF($FH758="","",SUM($FN758:$FN$7000))</f>
        <v/>
      </c>
    </row>
    <row r="759" spans="149:167">
      <c r="ES759" s="29"/>
      <c r="EV759" s="28">
        <f t="shared" si="23"/>
        <v>0</v>
      </c>
      <c r="FH759" s="29" t="str">
        <f t="shared" si="24"/>
        <v/>
      </c>
      <c r="FJ759" s="36" t="str">
        <f>IF($FH759="","",SUM($FN759:$FN$7000))</f>
        <v/>
      </c>
      <c r="FK759" s="36" t="str">
        <f>IF($FH759="","",SUM($FN759:$FN$7000))</f>
        <v/>
      </c>
    </row>
    <row r="760" spans="149:167">
      <c r="ES760" s="29"/>
      <c r="EV760" s="28">
        <f t="shared" si="23"/>
        <v>0</v>
      </c>
      <c r="FH760" s="29" t="str">
        <f t="shared" si="24"/>
        <v/>
      </c>
      <c r="FJ760" s="36" t="str">
        <f>IF($FH760="","",SUM($FN760:$FN$7000))</f>
        <v/>
      </c>
      <c r="FK760" s="36" t="str">
        <f>IF($FH760="","",SUM($FN760:$FN$7000))</f>
        <v/>
      </c>
    </row>
    <row r="761" spans="149:167">
      <c r="ES761" s="29"/>
      <c r="EV761" s="28">
        <f t="shared" si="23"/>
        <v>0</v>
      </c>
      <c r="FH761" s="29" t="str">
        <f t="shared" si="24"/>
        <v/>
      </c>
      <c r="FJ761" s="36" t="str">
        <f>IF($FH761="","",SUM($FN761:$FN$7000))</f>
        <v/>
      </c>
      <c r="FK761" s="36" t="str">
        <f>IF($FH761="","",SUM($FN761:$FN$7000))</f>
        <v/>
      </c>
    </row>
    <row r="762" spans="149:167">
      <c r="ES762" s="29"/>
      <c r="EV762" s="28">
        <f t="shared" si="23"/>
        <v>0</v>
      </c>
      <c r="FH762" s="29" t="str">
        <f t="shared" si="24"/>
        <v/>
      </c>
      <c r="FJ762" s="36" t="str">
        <f>IF($FH762="","",SUM($FN762:$FN$7000))</f>
        <v/>
      </c>
      <c r="FK762" s="36" t="str">
        <f>IF($FH762="","",SUM($FN762:$FN$7000))</f>
        <v/>
      </c>
    </row>
    <row r="763" spans="149:167">
      <c r="ES763" s="29"/>
      <c r="EV763" s="28">
        <f t="shared" si="23"/>
        <v>0</v>
      </c>
      <c r="FH763" s="29" t="str">
        <f t="shared" si="24"/>
        <v/>
      </c>
      <c r="FJ763" s="36" t="str">
        <f>IF($FH763="","",SUM($FN763:$FN$7000))</f>
        <v/>
      </c>
      <c r="FK763" s="36" t="str">
        <f>IF($FH763="","",SUM($FN763:$FN$7000))</f>
        <v/>
      </c>
    </row>
    <row r="764" spans="149:167">
      <c r="ES764" s="29"/>
      <c r="EV764" s="28">
        <f t="shared" si="23"/>
        <v>0</v>
      </c>
      <c r="FH764" s="29" t="str">
        <f t="shared" si="24"/>
        <v/>
      </c>
      <c r="FJ764" s="36" t="str">
        <f>IF($FH764="","",SUM($FN764:$FN$7000))</f>
        <v/>
      </c>
      <c r="FK764" s="36" t="str">
        <f>IF($FH764="","",SUM($FN764:$FN$7000))</f>
        <v/>
      </c>
    </row>
    <row r="765" spans="149:167">
      <c r="ES765" s="29"/>
      <c r="EV765" s="28">
        <f t="shared" si="23"/>
        <v>0</v>
      </c>
      <c r="FH765" s="29" t="str">
        <f t="shared" si="24"/>
        <v/>
      </c>
      <c r="FJ765" s="36" t="str">
        <f>IF($FH765="","",SUM($FN765:$FN$7000))</f>
        <v/>
      </c>
      <c r="FK765" s="36" t="str">
        <f>IF($FH765="","",SUM($FN765:$FN$7000))</f>
        <v/>
      </c>
    </row>
    <row r="766" spans="149:167">
      <c r="ES766" s="29"/>
      <c r="EV766" s="28">
        <f t="shared" si="23"/>
        <v>0</v>
      </c>
      <c r="FH766" s="29" t="str">
        <f t="shared" si="24"/>
        <v/>
      </c>
      <c r="FJ766" s="36" t="str">
        <f>IF($FH766="","",SUM($FN766:$FN$7000))</f>
        <v/>
      </c>
      <c r="FK766" s="36" t="str">
        <f>IF($FH766="","",SUM($FN766:$FN$7000))</f>
        <v/>
      </c>
    </row>
    <row r="767" spans="149:167">
      <c r="ES767" s="29"/>
      <c r="EV767" s="28">
        <f t="shared" si="23"/>
        <v>0</v>
      </c>
      <c r="FH767" s="29" t="str">
        <f t="shared" si="24"/>
        <v/>
      </c>
      <c r="FJ767" s="36" t="str">
        <f>IF($FH767="","",SUM($FN767:$FN$7000))</f>
        <v/>
      </c>
      <c r="FK767" s="36" t="str">
        <f>IF($FH767="","",SUM($FN767:$FN$7000))</f>
        <v/>
      </c>
    </row>
    <row r="768" spans="149:167">
      <c r="ES768" s="29"/>
      <c r="EV768" s="28">
        <f t="shared" si="23"/>
        <v>0</v>
      </c>
      <c r="FH768" s="29" t="str">
        <f t="shared" si="24"/>
        <v/>
      </c>
      <c r="FJ768" s="36" t="str">
        <f>IF($FH768="","",SUM($FN768:$FN$7000))</f>
        <v/>
      </c>
      <c r="FK768" s="36" t="str">
        <f>IF($FH768="","",SUM($FN768:$FN$7000))</f>
        <v/>
      </c>
    </row>
    <row r="769" spans="149:167">
      <c r="ES769" s="29"/>
      <c r="EV769" s="28">
        <f t="shared" si="23"/>
        <v>0</v>
      </c>
      <c r="FH769" s="29" t="str">
        <f t="shared" si="24"/>
        <v/>
      </c>
      <c r="FJ769" s="36" t="str">
        <f>IF($FH769="","",SUM($FN769:$FN$7000))</f>
        <v/>
      </c>
      <c r="FK769" s="36" t="str">
        <f>IF($FH769="","",SUM($FN769:$FN$7000))</f>
        <v/>
      </c>
    </row>
    <row r="770" spans="149:167">
      <c r="ES770" s="29"/>
      <c r="EV770" s="28">
        <f t="shared" si="23"/>
        <v>0</v>
      </c>
      <c r="FH770" s="29" t="str">
        <f t="shared" si="24"/>
        <v/>
      </c>
      <c r="FJ770" s="36" t="str">
        <f>IF($FH770="","",SUM($FN770:$FN$7000))</f>
        <v/>
      </c>
      <c r="FK770" s="36" t="str">
        <f>IF($FH770="","",SUM($FN770:$FN$7000))</f>
        <v/>
      </c>
    </row>
    <row r="771" spans="149:167">
      <c r="ES771" s="29"/>
      <c r="EV771" s="28">
        <f t="shared" si="23"/>
        <v>0</v>
      </c>
      <c r="FH771" s="29" t="str">
        <f t="shared" si="24"/>
        <v/>
      </c>
      <c r="FJ771" s="36" t="str">
        <f>IF($FH771="","",SUM($FN771:$FN$7000))</f>
        <v/>
      </c>
      <c r="FK771" s="36" t="str">
        <f>IF($FH771="","",SUM($FN771:$FN$7000))</f>
        <v/>
      </c>
    </row>
    <row r="772" spans="149:167">
      <c r="ES772" s="29"/>
      <c r="EV772" s="28">
        <f t="shared" si="23"/>
        <v>0</v>
      </c>
      <c r="FH772" s="29" t="str">
        <f t="shared" si="24"/>
        <v/>
      </c>
      <c r="FJ772" s="36" t="str">
        <f>IF($FH772="","",SUM($FN772:$FN$7000))</f>
        <v/>
      </c>
      <c r="FK772" s="36" t="str">
        <f>IF($FH772="","",SUM($FN772:$FN$7000))</f>
        <v/>
      </c>
    </row>
    <row r="773" spans="149:167">
      <c r="ES773" s="29"/>
      <c r="EV773" s="28">
        <f t="shared" si="23"/>
        <v>0</v>
      </c>
      <c r="FH773" s="29" t="str">
        <f t="shared" si="24"/>
        <v/>
      </c>
      <c r="FJ773" s="36" t="str">
        <f>IF($FH773="","",SUM($FN773:$FN$7000))</f>
        <v/>
      </c>
      <c r="FK773" s="36" t="str">
        <f>IF($FH773="","",SUM($FN773:$FN$7000))</f>
        <v/>
      </c>
    </row>
    <row r="774" spans="149:167">
      <c r="ES774" s="29"/>
      <c r="EV774" s="28">
        <f t="shared" si="23"/>
        <v>0</v>
      </c>
      <c r="FH774" s="29" t="str">
        <f t="shared" si="24"/>
        <v/>
      </c>
      <c r="FJ774" s="36" t="str">
        <f>IF($FH774="","",SUM($FN774:$FN$7000))</f>
        <v/>
      </c>
      <c r="FK774" s="36" t="str">
        <f>IF($FH774="","",SUM($FN774:$FN$7000))</f>
        <v/>
      </c>
    </row>
    <row r="775" spans="149:167">
      <c r="ES775" s="29"/>
      <c r="EV775" s="28">
        <f t="shared" si="23"/>
        <v>0</v>
      </c>
      <c r="FH775" s="29" t="str">
        <f t="shared" si="24"/>
        <v/>
      </c>
      <c r="FJ775" s="36" t="str">
        <f>IF($FH775="","",SUM($FN775:$FN$7000))</f>
        <v/>
      </c>
      <c r="FK775" s="36" t="str">
        <f>IF($FH775="","",SUM($FN775:$FN$7000))</f>
        <v/>
      </c>
    </row>
    <row r="776" spans="149:167">
      <c r="ES776" s="29"/>
      <c r="EV776" s="28">
        <f t="shared" si="23"/>
        <v>0</v>
      </c>
      <c r="FH776" s="29" t="str">
        <f t="shared" si="24"/>
        <v/>
      </c>
      <c r="FJ776" s="36" t="str">
        <f>IF($FH776="","",SUM($FN776:$FN$7000))</f>
        <v/>
      </c>
      <c r="FK776" s="36" t="str">
        <f>IF($FH776="","",SUM($FN776:$FN$7000))</f>
        <v/>
      </c>
    </row>
    <row r="777" spans="149:167">
      <c r="ES777" s="29"/>
      <c r="EV777" s="28">
        <f t="shared" si="23"/>
        <v>0</v>
      </c>
      <c r="FH777" s="29" t="str">
        <f t="shared" si="24"/>
        <v/>
      </c>
      <c r="FJ777" s="36" t="str">
        <f>IF($FH777="","",SUM($FN777:$FN$7000))</f>
        <v/>
      </c>
      <c r="FK777" s="36" t="str">
        <f>IF($FH777="","",SUM($FN777:$FN$7000))</f>
        <v/>
      </c>
    </row>
    <row r="778" spans="149:167">
      <c r="ES778" s="29"/>
      <c r="EV778" s="28">
        <f t="shared" si="23"/>
        <v>0</v>
      </c>
      <c r="FH778" s="29" t="str">
        <f t="shared" si="24"/>
        <v/>
      </c>
      <c r="FJ778" s="36" t="str">
        <f>IF($FH778="","",SUM($FN778:$FN$7000))</f>
        <v/>
      </c>
      <c r="FK778" s="36" t="str">
        <f>IF($FH778="","",SUM($FN778:$FN$7000))</f>
        <v/>
      </c>
    </row>
    <row r="779" spans="149:167">
      <c r="ES779" s="29"/>
      <c r="EV779" s="28">
        <f t="shared" ref="EV779:EV842" si="25">EU779-ET779</f>
        <v>0</v>
      </c>
      <c r="FH779" s="29" t="str">
        <f t="shared" ref="FH779:FH842" si="26">IF(FL779="","",FL779)</f>
        <v/>
      </c>
      <c r="FJ779" s="36" t="str">
        <f>IF($FH779="","",SUM($FN779:$FN$7000))</f>
        <v/>
      </c>
      <c r="FK779" s="36" t="str">
        <f>IF($FH779="","",SUM($FN779:$FN$7000))</f>
        <v/>
      </c>
    </row>
    <row r="780" spans="149:167">
      <c r="ES780" s="29"/>
      <c r="EV780" s="28">
        <f t="shared" si="25"/>
        <v>0</v>
      </c>
      <c r="FH780" s="29" t="str">
        <f t="shared" si="26"/>
        <v/>
      </c>
      <c r="FJ780" s="36" t="str">
        <f>IF($FH780="","",SUM($FN780:$FN$7000))</f>
        <v/>
      </c>
      <c r="FK780" s="36" t="str">
        <f>IF($FH780="","",SUM($FN780:$FN$7000))</f>
        <v/>
      </c>
    </row>
    <row r="781" spans="149:167">
      <c r="ES781" s="29"/>
      <c r="EV781" s="28">
        <f t="shared" si="25"/>
        <v>0</v>
      </c>
      <c r="FH781" s="29" t="str">
        <f t="shared" si="26"/>
        <v/>
      </c>
      <c r="FJ781" s="36" t="str">
        <f>IF($FH781="","",SUM($FN781:$FN$7000))</f>
        <v/>
      </c>
      <c r="FK781" s="36" t="str">
        <f>IF($FH781="","",SUM($FN781:$FN$7000))</f>
        <v/>
      </c>
    </row>
    <row r="782" spans="149:167">
      <c r="ES782" s="29"/>
      <c r="EV782" s="28">
        <f t="shared" si="25"/>
        <v>0</v>
      </c>
      <c r="FH782" s="29" t="str">
        <f t="shared" si="26"/>
        <v/>
      </c>
      <c r="FJ782" s="36" t="str">
        <f>IF($FH782="","",SUM($FN782:$FN$7000))</f>
        <v/>
      </c>
      <c r="FK782" s="36" t="str">
        <f>IF($FH782="","",SUM($FN782:$FN$7000))</f>
        <v/>
      </c>
    </row>
    <row r="783" spans="149:167">
      <c r="ES783" s="29"/>
      <c r="EV783" s="28">
        <f t="shared" si="25"/>
        <v>0</v>
      </c>
      <c r="FH783" s="29" t="str">
        <f t="shared" si="26"/>
        <v/>
      </c>
      <c r="FJ783" s="36" t="str">
        <f>IF($FH783="","",SUM($FN783:$FN$7000))</f>
        <v/>
      </c>
      <c r="FK783" s="36" t="str">
        <f>IF($FH783="","",SUM($FN783:$FN$7000))</f>
        <v/>
      </c>
    </row>
    <row r="784" spans="149:167">
      <c r="ES784" s="29"/>
      <c r="EV784" s="28">
        <f t="shared" si="25"/>
        <v>0</v>
      </c>
      <c r="FH784" s="29" t="str">
        <f t="shared" si="26"/>
        <v/>
      </c>
      <c r="FJ784" s="36" t="str">
        <f>IF($FH784="","",SUM($FN784:$FN$7000))</f>
        <v/>
      </c>
      <c r="FK784" s="36" t="str">
        <f>IF($FH784="","",SUM($FN784:$FN$7000))</f>
        <v/>
      </c>
    </row>
    <row r="785" spans="149:167">
      <c r="ES785" s="29"/>
      <c r="EV785" s="28">
        <f t="shared" si="25"/>
        <v>0</v>
      </c>
      <c r="FH785" s="29" t="str">
        <f t="shared" si="26"/>
        <v/>
      </c>
      <c r="FJ785" s="36" t="str">
        <f>IF($FH785="","",SUM($FN785:$FN$7000))</f>
        <v/>
      </c>
      <c r="FK785" s="36" t="str">
        <f>IF($FH785="","",SUM($FN785:$FN$7000))</f>
        <v/>
      </c>
    </row>
    <row r="786" spans="149:167">
      <c r="ES786" s="29"/>
      <c r="EV786" s="28">
        <f t="shared" si="25"/>
        <v>0</v>
      </c>
      <c r="FH786" s="29" t="str">
        <f t="shared" si="26"/>
        <v/>
      </c>
      <c r="FJ786" s="36" t="str">
        <f>IF($FH786="","",SUM($FN786:$FN$7000))</f>
        <v/>
      </c>
      <c r="FK786" s="36" t="str">
        <f>IF($FH786="","",SUM($FN786:$FN$7000))</f>
        <v/>
      </c>
    </row>
    <row r="787" spans="149:167">
      <c r="ES787" s="29"/>
      <c r="EV787" s="28">
        <f t="shared" si="25"/>
        <v>0</v>
      </c>
      <c r="FH787" s="29" t="str">
        <f t="shared" si="26"/>
        <v/>
      </c>
      <c r="FJ787" s="36" t="str">
        <f>IF($FH787="","",SUM($FN787:$FN$7000))</f>
        <v/>
      </c>
      <c r="FK787" s="36" t="str">
        <f>IF($FH787="","",SUM($FN787:$FN$7000))</f>
        <v/>
      </c>
    </row>
    <row r="788" spans="149:167">
      <c r="ES788" s="29"/>
      <c r="EV788" s="28">
        <f t="shared" si="25"/>
        <v>0</v>
      </c>
      <c r="FH788" s="29" t="str">
        <f t="shared" si="26"/>
        <v/>
      </c>
      <c r="FJ788" s="36" t="str">
        <f>IF($FH788="","",SUM($FN788:$FN$7000))</f>
        <v/>
      </c>
      <c r="FK788" s="36" t="str">
        <f>IF($FH788="","",SUM($FN788:$FN$7000))</f>
        <v/>
      </c>
    </row>
    <row r="789" spans="149:167">
      <c r="ES789" s="29"/>
      <c r="EV789" s="28">
        <f t="shared" si="25"/>
        <v>0</v>
      </c>
      <c r="FH789" s="29" t="str">
        <f t="shared" si="26"/>
        <v/>
      </c>
      <c r="FJ789" s="36" t="str">
        <f>IF($FH789="","",SUM($FN789:$FN$7000))</f>
        <v/>
      </c>
      <c r="FK789" s="36" t="str">
        <f>IF($FH789="","",SUM($FN789:$FN$7000))</f>
        <v/>
      </c>
    </row>
    <row r="790" spans="149:167">
      <c r="ES790" s="29"/>
      <c r="EV790" s="28">
        <f t="shared" si="25"/>
        <v>0</v>
      </c>
      <c r="FH790" s="29" t="str">
        <f t="shared" si="26"/>
        <v/>
      </c>
      <c r="FJ790" s="36" t="str">
        <f>IF($FH790="","",SUM($FN790:$FN$7000))</f>
        <v/>
      </c>
      <c r="FK790" s="36" t="str">
        <f>IF($FH790="","",SUM($FN790:$FN$7000))</f>
        <v/>
      </c>
    </row>
    <row r="791" spans="149:167">
      <c r="ES791" s="29"/>
      <c r="EV791" s="28">
        <f t="shared" si="25"/>
        <v>0</v>
      </c>
      <c r="FH791" s="29" t="str">
        <f t="shared" si="26"/>
        <v/>
      </c>
      <c r="FJ791" s="36" t="str">
        <f>IF($FH791="","",SUM($FN791:$FN$7000))</f>
        <v/>
      </c>
      <c r="FK791" s="36" t="str">
        <f>IF($FH791="","",SUM($FN791:$FN$7000))</f>
        <v/>
      </c>
    </row>
    <row r="792" spans="149:167">
      <c r="ES792" s="29"/>
      <c r="EV792" s="28">
        <f t="shared" si="25"/>
        <v>0</v>
      </c>
      <c r="FH792" s="29" t="str">
        <f t="shared" si="26"/>
        <v/>
      </c>
      <c r="FJ792" s="36" t="str">
        <f>IF($FH792="","",SUM($FN792:$FN$7000))</f>
        <v/>
      </c>
      <c r="FK792" s="36" t="str">
        <f>IF($FH792="","",SUM($FN792:$FN$7000))</f>
        <v/>
      </c>
    </row>
    <row r="793" spans="149:167">
      <c r="ES793" s="29"/>
      <c r="EV793" s="28">
        <f t="shared" si="25"/>
        <v>0</v>
      </c>
      <c r="FH793" s="29" t="str">
        <f t="shared" si="26"/>
        <v/>
      </c>
      <c r="FJ793" s="36" t="str">
        <f>IF($FH793="","",SUM($FN793:$FN$7000))</f>
        <v/>
      </c>
      <c r="FK793" s="36" t="str">
        <f>IF($FH793="","",SUM($FN793:$FN$7000))</f>
        <v/>
      </c>
    </row>
    <row r="794" spans="149:167">
      <c r="ES794" s="29"/>
      <c r="EV794" s="28">
        <f t="shared" si="25"/>
        <v>0</v>
      </c>
      <c r="FH794" s="29" t="str">
        <f t="shared" si="26"/>
        <v/>
      </c>
      <c r="FJ794" s="36" t="str">
        <f>IF($FH794="","",SUM($FN794:$FN$7000))</f>
        <v/>
      </c>
      <c r="FK794" s="36" t="str">
        <f>IF($FH794="","",SUM($FN794:$FN$7000))</f>
        <v/>
      </c>
    </row>
    <row r="795" spans="149:167">
      <c r="ES795" s="29"/>
      <c r="EV795" s="28">
        <f t="shared" si="25"/>
        <v>0</v>
      </c>
      <c r="FH795" s="29" t="str">
        <f t="shared" si="26"/>
        <v/>
      </c>
      <c r="FJ795" s="36" t="str">
        <f>IF($FH795="","",SUM($FN795:$FN$7000))</f>
        <v/>
      </c>
      <c r="FK795" s="36" t="str">
        <f>IF($FH795="","",SUM($FN795:$FN$7000))</f>
        <v/>
      </c>
    </row>
    <row r="796" spans="149:167">
      <c r="ES796" s="29"/>
      <c r="EV796" s="28">
        <f t="shared" si="25"/>
        <v>0</v>
      </c>
      <c r="FH796" s="29" t="str">
        <f t="shared" si="26"/>
        <v/>
      </c>
      <c r="FJ796" s="36" t="str">
        <f>IF($FH796="","",SUM($FN796:$FN$7000))</f>
        <v/>
      </c>
      <c r="FK796" s="36" t="str">
        <f>IF($FH796="","",SUM($FN796:$FN$7000))</f>
        <v/>
      </c>
    </row>
    <row r="797" spans="149:167">
      <c r="ES797" s="29"/>
      <c r="EV797" s="28">
        <f t="shared" si="25"/>
        <v>0</v>
      </c>
      <c r="FH797" s="29" t="str">
        <f t="shared" si="26"/>
        <v/>
      </c>
      <c r="FJ797" s="36" t="str">
        <f>IF($FH797="","",SUM($FN797:$FN$7000))</f>
        <v/>
      </c>
      <c r="FK797" s="36" t="str">
        <f>IF($FH797="","",SUM($FN797:$FN$7000))</f>
        <v/>
      </c>
    </row>
    <row r="798" spans="149:167">
      <c r="ES798" s="29"/>
      <c r="EV798" s="28">
        <f t="shared" si="25"/>
        <v>0</v>
      </c>
      <c r="FH798" s="29" t="str">
        <f t="shared" si="26"/>
        <v/>
      </c>
      <c r="FJ798" s="36" t="str">
        <f>IF($FH798="","",SUM($FN798:$FN$7000))</f>
        <v/>
      </c>
      <c r="FK798" s="36" t="str">
        <f>IF($FH798="","",SUM($FN798:$FN$7000))</f>
        <v/>
      </c>
    </row>
    <row r="799" spans="149:167">
      <c r="ES799" s="29"/>
      <c r="EV799" s="28">
        <f t="shared" si="25"/>
        <v>0</v>
      </c>
      <c r="FH799" s="29" t="str">
        <f t="shared" si="26"/>
        <v/>
      </c>
      <c r="FJ799" s="36" t="str">
        <f>IF($FH799="","",SUM($FN799:$FN$7000))</f>
        <v/>
      </c>
      <c r="FK799" s="36" t="str">
        <f>IF($FH799="","",SUM($FN799:$FN$7000))</f>
        <v/>
      </c>
    </row>
    <row r="800" spans="149:167">
      <c r="ES800" s="29"/>
      <c r="EV800" s="28">
        <f t="shared" si="25"/>
        <v>0</v>
      </c>
      <c r="FH800" s="29" t="str">
        <f t="shared" si="26"/>
        <v/>
      </c>
      <c r="FJ800" s="36" t="str">
        <f>IF($FH800="","",SUM($FN800:$FN$7000))</f>
        <v/>
      </c>
      <c r="FK800" s="36" t="str">
        <f>IF($FH800="","",SUM($FN800:$FN$7000))</f>
        <v/>
      </c>
    </row>
    <row r="801" spans="149:167">
      <c r="ES801" s="29"/>
      <c r="EV801" s="28">
        <f t="shared" si="25"/>
        <v>0</v>
      </c>
      <c r="FH801" s="29" t="str">
        <f t="shared" si="26"/>
        <v/>
      </c>
      <c r="FJ801" s="36" t="str">
        <f>IF($FH801="","",SUM($FN801:$FN$7000))</f>
        <v/>
      </c>
      <c r="FK801" s="36" t="str">
        <f>IF($FH801="","",SUM($FN801:$FN$7000))</f>
        <v/>
      </c>
    </row>
    <row r="802" spans="149:167">
      <c r="ES802" s="29"/>
      <c r="EV802" s="28">
        <f t="shared" si="25"/>
        <v>0</v>
      </c>
      <c r="FH802" s="29" t="str">
        <f t="shared" si="26"/>
        <v/>
      </c>
      <c r="FJ802" s="36" t="str">
        <f>IF($FH802="","",SUM($FN802:$FN$7000))</f>
        <v/>
      </c>
      <c r="FK802" s="36" t="str">
        <f>IF($FH802="","",SUM($FN802:$FN$7000))</f>
        <v/>
      </c>
    </row>
    <row r="803" spans="149:167">
      <c r="ES803" s="29"/>
      <c r="EV803" s="28">
        <f t="shared" si="25"/>
        <v>0</v>
      </c>
      <c r="FH803" s="29" t="str">
        <f t="shared" si="26"/>
        <v/>
      </c>
      <c r="FJ803" s="36" t="str">
        <f>IF($FH803="","",SUM($FN803:$FN$7000))</f>
        <v/>
      </c>
      <c r="FK803" s="36" t="str">
        <f>IF($FH803="","",SUM($FN803:$FN$7000))</f>
        <v/>
      </c>
    </row>
    <row r="804" spans="149:167">
      <c r="ES804" s="29"/>
      <c r="EV804" s="28">
        <f t="shared" si="25"/>
        <v>0</v>
      </c>
      <c r="FH804" s="29" t="str">
        <f t="shared" si="26"/>
        <v/>
      </c>
      <c r="FJ804" s="36" t="str">
        <f>IF($FH804="","",SUM($FN804:$FN$7000))</f>
        <v/>
      </c>
      <c r="FK804" s="36" t="str">
        <f>IF($FH804="","",SUM($FN804:$FN$7000))</f>
        <v/>
      </c>
    </row>
    <row r="805" spans="149:167">
      <c r="ES805" s="29"/>
      <c r="EV805" s="28">
        <f t="shared" si="25"/>
        <v>0</v>
      </c>
      <c r="FH805" s="29" t="str">
        <f t="shared" si="26"/>
        <v/>
      </c>
      <c r="FJ805" s="36" t="str">
        <f>IF($FH805="","",SUM($FN805:$FN$7000))</f>
        <v/>
      </c>
      <c r="FK805" s="36" t="str">
        <f>IF($FH805="","",SUM($FN805:$FN$7000))</f>
        <v/>
      </c>
    </row>
    <row r="806" spans="149:167">
      <c r="ES806" s="29"/>
      <c r="EV806" s="28">
        <f t="shared" si="25"/>
        <v>0</v>
      </c>
      <c r="FH806" s="29" t="str">
        <f t="shared" si="26"/>
        <v/>
      </c>
      <c r="FJ806" s="36" t="str">
        <f>IF($FH806="","",SUM($FN806:$FN$7000))</f>
        <v/>
      </c>
      <c r="FK806" s="36" t="str">
        <f>IF($FH806="","",SUM($FN806:$FN$7000))</f>
        <v/>
      </c>
    </row>
    <row r="807" spans="149:167">
      <c r="ES807" s="29"/>
      <c r="EV807" s="28">
        <f t="shared" si="25"/>
        <v>0</v>
      </c>
      <c r="FH807" s="29" t="str">
        <f t="shared" si="26"/>
        <v/>
      </c>
      <c r="FJ807" s="36" t="str">
        <f>IF($FH807="","",SUM($FN807:$FN$7000))</f>
        <v/>
      </c>
      <c r="FK807" s="36" t="str">
        <f>IF($FH807="","",SUM($FN807:$FN$7000))</f>
        <v/>
      </c>
    </row>
    <row r="808" spans="149:167">
      <c r="ES808" s="29"/>
      <c r="EV808" s="28">
        <f t="shared" si="25"/>
        <v>0</v>
      </c>
      <c r="FH808" s="29" t="str">
        <f t="shared" si="26"/>
        <v/>
      </c>
      <c r="FJ808" s="36" t="str">
        <f>IF($FH808="","",SUM($FN808:$FN$7000))</f>
        <v/>
      </c>
      <c r="FK808" s="36" t="str">
        <f>IF($FH808="","",SUM($FN808:$FN$7000))</f>
        <v/>
      </c>
    </row>
    <row r="809" spans="149:167">
      <c r="ES809" s="29"/>
      <c r="EV809" s="28">
        <f t="shared" si="25"/>
        <v>0</v>
      </c>
      <c r="FH809" s="29" t="str">
        <f t="shared" si="26"/>
        <v/>
      </c>
      <c r="FJ809" s="36" t="str">
        <f>IF($FH809="","",SUM($FN809:$FN$7000))</f>
        <v/>
      </c>
      <c r="FK809" s="36" t="str">
        <f>IF($FH809="","",SUM($FN809:$FN$7000))</f>
        <v/>
      </c>
    </row>
    <row r="810" spans="149:167">
      <c r="ES810" s="29"/>
      <c r="EV810" s="28">
        <f t="shared" si="25"/>
        <v>0</v>
      </c>
      <c r="FH810" s="29" t="str">
        <f t="shared" si="26"/>
        <v/>
      </c>
      <c r="FJ810" s="36" t="str">
        <f>IF($FH810="","",SUM($FN810:$FN$7000))</f>
        <v/>
      </c>
      <c r="FK810" s="36" t="str">
        <f>IF($FH810="","",SUM($FN810:$FN$7000))</f>
        <v/>
      </c>
    </row>
    <row r="811" spans="149:167">
      <c r="ES811" s="29"/>
      <c r="EV811" s="28">
        <f t="shared" si="25"/>
        <v>0</v>
      </c>
      <c r="FH811" s="29" t="str">
        <f t="shared" si="26"/>
        <v/>
      </c>
      <c r="FJ811" s="36" t="str">
        <f>IF($FH811="","",SUM($FN811:$FN$7000))</f>
        <v/>
      </c>
      <c r="FK811" s="36" t="str">
        <f>IF($FH811="","",SUM($FN811:$FN$7000))</f>
        <v/>
      </c>
    </row>
    <row r="812" spans="149:167">
      <c r="ES812" s="29"/>
      <c r="EV812" s="28">
        <f t="shared" si="25"/>
        <v>0</v>
      </c>
      <c r="FH812" s="29" t="str">
        <f t="shared" si="26"/>
        <v/>
      </c>
      <c r="FJ812" s="36" t="str">
        <f>IF($FH812="","",SUM($FN812:$FN$7000))</f>
        <v/>
      </c>
      <c r="FK812" s="36" t="str">
        <f>IF($FH812="","",SUM($FN812:$FN$7000))</f>
        <v/>
      </c>
    </row>
    <row r="813" spans="149:167">
      <c r="ES813" s="29"/>
      <c r="EV813" s="28">
        <f t="shared" si="25"/>
        <v>0</v>
      </c>
      <c r="FH813" s="29" t="str">
        <f t="shared" si="26"/>
        <v/>
      </c>
      <c r="FJ813" s="36" t="str">
        <f>IF($FH813="","",SUM($FN813:$FN$7000))</f>
        <v/>
      </c>
      <c r="FK813" s="36" t="str">
        <f>IF($FH813="","",SUM($FN813:$FN$7000))</f>
        <v/>
      </c>
    </row>
    <row r="814" spans="149:167">
      <c r="ES814" s="29"/>
      <c r="EV814" s="28">
        <f t="shared" si="25"/>
        <v>0</v>
      </c>
      <c r="FH814" s="29" t="str">
        <f t="shared" si="26"/>
        <v/>
      </c>
      <c r="FJ814" s="36" t="str">
        <f>IF($FH814="","",SUM($FN814:$FN$7000))</f>
        <v/>
      </c>
      <c r="FK814" s="36" t="str">
        <f>IF($FH814="","",SUM($FN814:$FN$7000))</f>
        <v/>
      </c>
    </row>
    <row r="815" spans="149:167">
      <c r="ES815" s="29"/>
      <c r="EV815" s="28">
        <f t="shared" si="25"/>
        <v>0</v>
      </c>
      <c r="FH815" s="29" t="str">
        <f t="shared" si="26"/>
        <v/>
      </c>
      <c r="FJ815" s="36" t="str">
        <f>IF($FH815="","",SUM($FN815:$FN$7000))</f>
        <v/>
      </c>
      <c r="FK815" s="36" t="str">
        <f>IF($FH815="","",SUM($FN815:$FN$7000))</f>
        <v/>
      </c>
    </row>
    <row r="816" spans="149:167">
      <c r="ES816" s="29"/>
      <c r="EV816" s="28">
        <f t="shared" si="25"/>
        <v>0</v>
      </c>
      <c r="FH816" s="29" t="str">
        <f t="shared" si="26"/>
        <v/>
      </c>
      <c r="FJ816" s="36" t="str">
        <f>IF($FH816="","",SUM($FN816:$FN$7000))</f>
        <v/>
      </c>
      <c r="FK816" s="36" t="str">
        <f>IF($FH816="","",SUM($FN816:$FN$7000))</f>
        <v/>
      </c>
    </row>
    <row r="817" spans="149:167">
      <c r="ES817" s="29"/>
      <c r="EV817" s="28">
        <f t="shared" si="25"/>
        <v>0</v>
      </c>
      <c r="FH817" s="29" t="str">
        <f t="shared" si="26"/>
        <v/>
      </c>
      <c r="FJ817" s="36" t="str">
        <f>IF($FH817="","",SUM($FN817:$FN$7000))</f>
        <v/>
      </c>
      <c r="FK817" s="36" t="str">
        <f>IF($FH817="","",SUM($FN817:$FN$7000))</f>
        <v/>
      </c>
    </row>
    <row r="818" spans="149:167">
      <c r="ES818" s="29"/>
      <c r="EV818" s="28">
        <f t="shared" si="25"/>
        <v>0</v>
      </c>
      <c r="FH818" s="29" t="str">
        <f t="shared" si="26"/>
        <v/>
      </c>
      <c r="FJ818" s="36" t="str">
        <f>IF($FH818="","",SUM($FN818:$FN$7000))</f>
        <v/>
      </c>
      <c r="FK818" s="36" t="str">
        <f>IF($FH818="","",SUM($FN818:$FN$7000))</f>
        <v/>
      </c>
    </row>
    <row r="819" spans="149:167">
      <c r="ES819" s="29"/>
      <c r="EV819" s="28">
        <f t="shared" si="25"/>
        <v>0</v>
      </c>
      <c r="FH819" s="29" t="str">
        <f t="shared" si="26"/>
        <v/>
      </c>
      <c r="FJ819" s="36" t="str">
        <f>IF($FH819="","",SUM($FN819:$FN$7000))</f>
        <v/>
      </c>
      <c r="FK819" s="36" t="str">
        <f>IF($FH819="","",SUM($FN819:$FN$7000))</f>
        <v/>
      </c>
    </row>
    <row r="820" spans="149:167">
      <c r="ES820" s="29"/>
      <c r="EV820" s="28">
        <f t="shared" si="25"/>
        <v>0</v>
      </c>
      <c r="FH820" s="29" t="str">
        <f t="shared" si="26"/>
        <v/>
      </c>
      <c r="FJ820" s="36" t="str">
        <f>IF($FH820="","",SUM($FN820:$FN$7000))</f>
        <v/>
      </c>
      <c r="FK820" s="36" t="str">
        <f>IF($FH820="","",SUM($FN820:$FN$7000))</f>
        <v/>
      </c>
    </row>
    <row r="821" spans="149:167">
      <c r="ES821" s="29"/>
      <c r="EV821" s="28">
        <f t="shared" si="25"/>
        <v>0</v>
      </c>
      <c r="FH821" s="29" t="str">
        <f t="shared" si="26"/>
        <v/>
      </c>
      <c r="FJ821" s="36" t="str">
        <f>IF($FH821="","",SUM($FN821:$FN$7000))</f>
        <v/>
      </c>
      <c r="FK821" s="36" t="str">
        <f>IF($FH821="","",SUM($FN821:$FN$7000))</f>
        <v/>
      </c>
    </row>
    <row r="822" spans="149:167">
      <c r="ES822" s="29"/>
      <c r="EV822" s="28">
        <f t="shared" si="25"/>
        <v>0</v>
      </c>
      <c r="FH822" s="29" t="str">
        <f t="shared" si="26"/>
        <v/>
      </c>
      <c r="FJ822" s="36" t="str">
        <f>IF($FH822="","",SUM($FN822:$FN$7000))</f>
        <v/>
      </c>
      <c r="FK822" s="36" t="str">
        <f>IF($FH822="","",SUM($FN822:$FN$7000))</f>
        <v/>
      </c>
    </row>
    <row r="823" spans="149:167">
      <c r="ES823" s="29"/>
      <c r="EV823" s="28">
        <f t="shared" si="25"/>
        <v>0</v>
      </c>
      <c r="FH823" s="29" t="str">
        <f t="shared" si="26"/>
        <v/>
      </c>
      <c r="FJ823" s="36" t="str">
        <f>IF($FH823="","",SUM($FN823:$FN$7000))</f>
        <v/>
      </c>
      <c r="FK823" s="36" t="str">
        <f>IF($FH823="","",SUM($FN823:$FN$7000))</f>
        <v/>
      </c>
    </row>
    <row r="824" spans="149:167">
      <c r="ES824" s="29"/>
      <c r="EV824" s="28">
        <f t="shared" si="25"/>
        <v>0</v>
      </c>
      <c r="FH824" s="29" t="str">
        <f t="shared" si="26"/>
        <v/>
      </c>
      <c r="FJ824" s="36" t="str">
        <f>IF($FH824="","",SUM($FN824:$FN$7000))</f>
        <v/>
      </c>
      <c r="FK824" s="36" t="str">
        <f>IF($FH824="","",SUM($FN824:$FN$7000))</f>
        <v/>
      </c>
    </row>
    <row r="825" spans="149:167">
      <c r="ES825" s="29"/>
      <c r="EV825" s="28">
        <f t="shared" si="25"/>
        <v>0</v>
      </c>
      <c r="FH825" s="29" t="str">
        <f t="shared" si="26"/>
        <v/>
      </c>
      <c r="FJ825" s="36" t="str">
        <f>IF($FH825="","",SUM($FN825:$FN$7000))</f>
        <v/>
      </c>
      <c r="FK825" s="36" t="str">
        <f>IF($FH825="","",SUM($FN825:$FN$7000))</f>
        <v/>
      </c>
    </row>
    <row r="826" spans="149:167">
      <c r="ES826" s="29"/>
      <c r="EV826" s="28">
        <f t="shared" si="25"/>
        <v>0</v>
      </c>
      <c r="FH826" s="29" t="str">
        <f t="shared" si="26"/>
        <v/>
      </c>
      <c r="FJ826" s="36" t="str">
        <f>IF($FH826="","",SUM($FN826:$FN$7000))</f>
        <v/>
      </c>
      <c r="FK826" s="36" t="str">
        <f>IF($FH826="","",SUM($FN826:$FN$7000))</f>
        <v/>
      </c>
    </row>
    <row r="827" spans="149:167">
      <c r="ES827" s="29"/>
      <c r="EV827" s="28">
        <f t="shared" si="25"/>
        <v>0</v>
      </c>
      <c r="FH827" s="29" t="str">
        <f t="shared" si="26"/>
        <v/>
      </c>
      <c r="FJ827" s="36" t="str">
        <f>IF($FH827="","",SUM($FN827:$FN$7000))</f>
        <v/>
      </c>
      <c r="FK827" s="36" t="str">
        <f>IF($FH827="","",SUM($FN827:$FN$7000))</f>
        <v/>
      </c>
    </row>
    <row r="828" spans="149:167">
      <c r="ES828" s="29"/>
      <c r="EV828" s="28">
        <f t="shared" si="25"/>
        <v>0</v>
      </c>
      <c r="FH828" s="29" t="str">
        <f t="shared" si="26"/>
        <v/>
      </c>
      <c r="FJ828" s="36" t="str">
        <f>IF($FH828="","",SUM($FN828:$FN$7000))</f>
        <v/>
      </c>
      <c r="FK828" s="36" t="str">
        <f>IF($FH828="","",SUM($FN828:$FN$7000))</f>
        <v/>
      </c>
    </row>
    <row r="829" spans="149:167">
      <c r="ES829" s="29"/>
      <c r="EV829" s="28">
        <f t="shared" si="25"/>
        <v>0</v>
      </c>
      <c r="FH829" s="29" t="str">
        <f t="shared" si="26"/>
        <v/>
      </c>
      <c r="FJ829" s="36" t="str">
        <f>IF($FH829="","",SUM($FN829:$FN$7000))</f>
        <v/>
      </c>
      <c r="FK829" s="36" t="str">
        <f>IF($FH829="","",SUM($FN829:$FN$7000))</f>
        <v/>
      </c>
    </row>
    <row r="830" spans="149:167">
      <c r="ES830" s="29"/>
      <c r="EV830" s="28">
        <f t="shared" si="25"/>
        <v>0</v>
      </c>
      <c r="FH830" s="29" t="str">
        <f t="shared" si="26"/>
        <v/>
      </c>
      <c r="FJ830" s="36" t="str">
        <f>IF($FH830="","",SUM($FN830:$FN$7000))</f>
        <v/>
      </c>
      <c r="FK830" s="36" t="str">
        <f>IF($FH830="","",SUM($FN830:$FN$7000))</f>
        <v/>
      </c>
    </row>
    <row r="831" spans="149:167">
      <c r="ES831" s="29"/>
      <c r="EV831" s="28">
        <f t="shared" si="25"/>
        <v>0</v>
      </c>
      <c r="FH831" s="29" t="str">
        <f t="shared" si="26"/>
        <v/>
      </c>
      <c r="FJ831" s="36" t="str">
        <f>IF($FH831="","",SUM($FN831:$FN$7000))</f>
        <v/>
      </c>
      <c r="FK831" s="36" t="str">
        <f>IF($FH831="","",SUM($FN831:$FN$7000))</f>
        <v/>
      </c>
    </row>
    <row r="832" spans="149:167">
      <c r="ES832" s="29"/>
      <c r="EV832" s="28">
        <f t="shared" si="25"/>
        <v>0</v>
      </c>
      <c r="FH832" s="29" t="str">
        <f t="shared" si="26"/>
        <v/>
      </c>
      <c r="FJ832" s="36" t="str">
        <f>IF($FH832="","",SUM($FN832:$FN$7000))</f>
        <v/>
      </c>
      <c r="FK832" s="36" t="str">
        <f>IF($FH832="","",SUM($FN832:$FN$7000))</f>
        <v/>
      </c>
    </row>
    <row r="833" spans="149:167">
      <c r="ES833" s="29"/>
      <c r="EV833" s="28">
        <f t="shared" si="25"/>
        <v>0</v>
      </c>
      <c r="FH833" s="29" t="str">
        <f t="shared" si="26"/>
        <v/>
      </c>
      <c r="FJ833" s="36" t="str">
        <f>IF($FH833="","",SUM($FN833:$FN$7000))</f>
        <v/>
      </c>
      <c r="FK833" s="36" t="str">
        <f>IF($FH833="","",SUM($FN833:$FN$7000))</f>
        <v/>
      </c>
    </row>
    <row r="834" spans="149:167">
      <c r="ES834" s="29"/>
      <c r="EV834" s="28">
        <f t="shared" si="25"/>
        <v>0</v>
      </c>
      <c r="FH834" s="29" t="str">
        <f t="shared" si="26"/>
        <v/>
      </c>
      <c r="FJ834" s="36" t="str">
        <f>IF($FH834="","",SUM($FN834:$FN$7000))</f>
        <v/>
      </c>
      <c r="FK834" s="36" t="str">
        <f>IF($FH834="","",SUM($FN834:$FN$7000))</f>
        <v/>
      </c>
    </row>
    <row r="835" spans="149:167">
      <c r="ES835" s="29"/>
      <c r="EV835" s="28">
        <f t="shared" si="25"/>
        <v>0</v>
      </c>
      <c r="FH835" s="29" t="str">
        <f t="shared" si="26"/>
        <v/>
      </c>
      <c r="FJ835" s="36" t="str">
        <f>IF($FH835="","",SUM($FN835:$FN$7000))</f>
        <v/>
      </c>
      <c r="FK835" s="36" t="str">
        <f>IF($FH835="","",SUM($FN835:$FN$7000))</f>
        <v/>
      </c>
    </row>
    <row r="836" spans="149:167">
      <c r="ES836" s="29"/>
      <c r="EV836" s="28">
        <f t="shared" si="25"/>
        <v>0</v>
      </c>
      <c r="FH836" s="29" t="str">
        <f t="shared" si="26"/>
        <v/>
      </c>
      <c r="FJ836" s="36" t="str">
        <f>IF($FH836="","",SUM($FN836:$FN$7000))</f>
        <v/>
      </c>
      <c r="FK836" s="36" t="str">
        <f>IF($FH836="","",SUM($FN836:$FN$7000))</f>
        <v/>
      </c>
    </row>
    <row r="837" spans="149:167">
      <c r="ES837" s="29"/>
      <c r="EV837" s="28">
        <f t="shared" si="25"/>
        <v>0</v>
      </c>
      <c r="FH837" s="29" t="str">
        <f t="shared" si="26"/>
        <v/>
      </c>
      <c r="FJ837" s="36" t="str">
        <f>IF($FH837="","",SUM($FN837:$FN$7000))</f>
        <v/>
      </c>
      <c r="FK837" s="36" t="str">
        <f>IF($FH837="","",SUM($FN837:$FN$7000))</f>
        <v/>
      </c>
    </row>
    <row r="838" spans="149:167">
      <c r="ES838" s="29"/>
      <c r="EV838" s="28">
        <f t="shared" si="25"/>
        <v>0</v>
      </c>
      <c r="FH838" s="29" t="str">
        <f t="shared" si="26"/>
        <v/>
      </c>
      <c r="FJ838" s="36" t="str">
        <f>IF($FH838="","",SUM($FN838:$FN$7000))</f>
        <v/>
      </c>
      <c r="FK838" s="36" t="str">
        <f>IF($FH838="","",SUM($FN838:$FN$7000))</f>
        <v/>
      </c>
    </row>
    <row r="839" spans="149:167">
      <c r="ES839" s="29"/>
      <c r="EV839" s="28">
        <f t="shared" si="25"/>
        <v>0</v>
      </c>
      <c r="FH839" s="29" t="str">
        <f t="shared" si="26"/>
        <v/>
      </c>
      <c r="FJ839" s="36" t="str">
        <f>IF($FH839="","",SUM($FN839:$FN$7000))</f>
        <v/>
      </c>
      <c r="FK839" s="36" t="str">
        <f>IF($FH839="","",SUM($FN839:$FN$7000))</f>
        <v/>
      </c>
    </row>
    <row r="840" spans="149:167">
      <c r="ES840" s="29"/>
      <c r="EV840" s="28">
        <f t="shared" si="25"/>
        <v>0</v>
      </c>
      <c r="FH840" s="29" t="str">
        <f t="shared" si="26"/>
        <v/>
      </c>
      <c r="FJ840" s="36" t="str">
        <f>IF($FH840="","",SUM($FN840:$FN$7000))</f>
        <v/>
      </c>
      <c r="FK840" s="36" t="str">
        <f>IF($FH840="","",SUM($FN840:$FN$7000))</f>
        <v/>
      </c>
    </row>
    <row r="841" spans="149:167">
      <c r="ES841" s="29"/>
      <c r="EV841" s="28">
        <f t="shared" si="25"/>
        <v>0</v>
      </c>
      <c r="FH841" s="29" t="str">
        <f t="shared" si="26"/>
        <v/>
      </c>
      <c r="FJ841" s="36" t="str">
        <f>IF($FH841="","",SUM($FN841:$FN$7000))</f>
        <v/>
      </c>
      <c r="FK841" s="36" t="str">
        <f>IF($FH841="","",SUM($FN841:$FN$7000))</f>
        <v/>
      </c>
    </row>
    <row r="842" spans="149:167">
      <c r="ES842" s="29"/>
      <c r="EV842" s="28">
        <f t="shared" si="25"/>
        <v>0</v>
      </c>
      <c r="FH842" s="29" t="str">
        <f t="shared" si="26"/>
        <v/>
      </c>
      <c r="FJ842" s="36" t="str">
        <f>IF($FH842="","",SUM($FN842:$FN$7000))</f>
        <v/>
      </c>
      <c r="FK842" s="36" t="str">
        <f>IF($FH842="","",SUM($FN842:$FN$7000))</f>
        <v/>
      </c>
    </row>
    <row r="843" spans="149:167">
      <c r="ES843" s="29"/>
      <c r="EV843" s="28">
        <f t="shared" ref="EV843:EV906" si="27">EU843-ET843</f>
        <v>0</v>
      </c>
      <c r="FH843" s="29" t="str">
        <f t="shared" ref="FH843:FH906" si="28">IF(FL843="","",FL843)</f>
        <v/>
      </c>
      <c r="FJ843" s="36" t="str">
        <f>IF($FH843="","",SUM($FN843:$FN$7000))</f>
        <v/>
      </c>
      <c r="FK843" s="36" t="str">
        <f>IF($FH843="","",SUM($FN843:$FN$7000))</f>
        <v/>
      </c>
    </row>
    <row r="844" spans="149:167">
      <c r="ES844" s="29"/>
      <c r="EV844" s="28">
        <f t="shared" si="27"/>
        <v>0</v>
      </c>
      <c r="FH844" s="29" t="str">
        <f t="shared" si="28"/>
        <v/>
      </c>
      <c r="FJ844" s="36" t="str">
        <f>IF($FH844="","",SUM($FN844:$FN$7000))</f>
        <v/>
      </c>
      <c r="FK844" s="36" t="str">
        <f>IF($FH844="","",SUM($FN844:$FN$7000))</f>
        <v/>
      </c>
    </row>
    <row r="845" spans="149:167">
      <c r="ES845" s="29"/>
      <c r="EV845" s="28">
        <f t="shared" si="27"/>
        <v>0</v>
      </c>
      <c r="FH845" s="29" t="str">
        <f t="shared" si="28"/>
        <v/>
      </c>
      <c r="FJ845" s="36" t="str">
        <f>IF($FH845="","",SUM($FN845:$FN$7000))</f>
        <v/>
      </c>
      <c r="FK845" s="36" t="str">
        <f>IF($FH845="","",SUM($FN845:$FN$7000))</f>
        <v/>
      </c>
    </row>
    <row r="846" spans="149:167">
      <c r="ES846" s="29"/>
      <c r="EV846" s="28">
        <f t="shared" si="27"/>
        <v>0</v>
      </c>
      <c r="FH846" s="29" t="str">
        <f t="shared" si="28"/>
        <v/>
      </c>
      <c r="FJ846" s="36" t="str">
        <f>IF($FH846="","",SUM($FN846:$FN$7000))</f>
        <v/>
      </c>
      <c r="FK846" s="36" t="str">
        <f>IF($FH846="","",SUM($FN846:$FN$7000))</f>
        <v/>
      </c>
    </row>
    <row r="847" spans="149:167">
      <c r="ES847" s="29"/>
      <c r="EV847" s="28">
        <f t="shared" si="27"/>
        <v>0</v>
      </c>
      <c r="FH847" s="29" t="str">
        <f t="shared" si="28"/>
        <v/>
      </c>
      <c r="FJ847" s="36" t="str">
        <f>IF($FH847="","",SUM($FN847:$FN$7000))</f>
        <v/>
      </c>
      <c r="FK847" s="36" t="str">
        <f>IF($FH847="","",SUM($FN847:$FN$7000))</f>
        <v/>
      </c>
    </row>
    <row r="848" spans="149:167">
      <c r="ES848" s="29"/>
      <c r="EV848" s="28">
        <f t="shared" si="27"/>
        <v>0</v>
      </c>
      <c r="FH848" s="29" t="str">
        <f t="shared" si="28"/>
        <v/>
      </c>
      <c r="FJ848" s="36" t="str">
        <f>IF($FH848="","",SUM($FN848:$FN$7000))</f>
        <v/>
      </c>
      <c r="FK848" s="36" t="str">
        <f>IF($FH848="","",SUM($FN848:$FN$7000))</f>
        <v/>
      </c>
    </row>
    <row r="849" spans="149:167">
      <c r="ES849" s="29"/>
      <c r="EV849" s="28">
        <f t="shared" si="27"/>
        <v>0</v>
      </c>
      <c r="FH849" s="29" t="str">
        <f t="shared" si="28"/>
        <v/>
      </c>
      <c r="FJ849" s="36" t="str">
        <f>IF($FH849="","",SUM($FN849:$FN$7000))</f>
        <v/>
      </c>
      <c r="FK849" s="36" t="str">
        <f>IF($FH849="","",SUM($FN849:$FN$7000))</f>
        <v/>
      </c>
    </row>
    <row r="850" spans="149:167">
      <c r="ES850" s="29"/>
      <c r="EV850" s="28">
        <f t="shared" si="27"/>
        <v>0</v>
      </c>
      <c r="FH850" s="29" t="str">
        <f t="shared" si="28"/>
        <v/>
      </c>
      <c r="FJ850" s="36" t="str">
        <f>IF($FH850="","",SUM($FN850:$FN$7000))</f>
        <v/>
      </c>
      <c r="FK850" s="36" t="str">
        <f>IF($FH850="","",SUM($FN850:$FN$7000))</f>
        <v/>
      </c>
    </row>
    <row r="851" spans="149:167">
      <c r="ES851" s="29"/>
      <c r="EV851" s="28">
        <f t="shared" si="27"/>
        <v>0</v>
      </c>
      <c r="FH851" s="29" t="str">
        <f t="shared" si="28"/>
        <v/>
      </c>
      <c r="FJ851" s="36" t="str">
        <f>IF($FH851="","",SUM($FN851:$FN$7000))</f>
        <v/>
      </c>
      <c r="FK851" s="36" t="str">
        <f>IF($FH851="","",SUM($FN851:$FN$7000))</f>
        <v/>
      </c>
    </row>
    <row r="852" spans="149:167">
      <c r="ES852" s="29"/>
      <c r="EV852" s="28">
        <f t="shared" si="27"/>
        <v>0</v>
      </c>
      <c r="FH852" s="29" t="str">
        <f t="shared" si="28"/>
        <v/>
      </c>
      <c r="FJ852" s="36" t="str">
        <f>IF($FH852="","",SUM($FN852:$FN$7000))</f>
        <v/>
      </c>
      <c r="FK852" s="36" t="str">
        <f>IF($FH852="","",SUM($FN852:$FN$7000))</f>
        <v/>
      </c>
    </row>
    <row r="853" spans="149:167">
      <c r="ES853" s="29"/>
      <c r="EV853" s="28">
        <f t="shared" si="27"/>
        <v>0</v>
      </c>
      <c r="FH853" s="29" t="str">
        <f t="shared" si="28"/>
        <v/>
      </c>
      <c r="FJ853" s="36" t="str">
        <f>IF($FH853="","",SUM($FN853:$FN$7000))</f>
        <v/>
      </c>
      <c r="FK853" s="36" t="str">
        <f>IF($FH853="","",SUM($FN853:$FN$7000))</f>
        <v/>
      </c>
    </row>
    <row r="854" spans="149:167">
      <c r="ES854" s="29"/>
      <c r="EV854" s="28">
        <f t="shared" si="27"/>
        <v>0</v>
      </c>
      <c r="FH854" s="29" t="str">
        <f t="shared" si="28"/>
        <v/>
      </c>
      <c r="FJ854" s="36" t="str">
        <f>IF($FH854="","",SUM($FN854:$FN$7000))</f>
        <v/>
      </c>
      <c r="FK854" s="36" t="str">
        <f>IF($FH854="","",SUM($FN854:$FN$7000))</f>
        <v/>
      </c>
    </row>
    <row r="855" spans="149:167">
      <c r="ES855" s="29"/>
      <c r="EV855" s="28">
        <f t="shared" si="27"/>
        <v>0</v>
      </c>
      <c r="FH855" s="29" t="str">
        <f t="shared" si="28"/>
        <v/>
      </c>
      <c r="FJ855" s="36" t="str">
        <f>IF($FH855="","",SUM($FN855:$FN$7000))</f>
        <v/>
      </c>
      <c r="FK855" s="36" t="str">
        <f>IF($FH855="","",SUM($FN855:$FN$7000))</f>
        <v/>
      </c>
    </row>
    <row r="856" spans="149:167">
      <c r="ES856" s="29"/>
      <c r="EV856" s="28">
        <f t="shared" si="27"/>
        <v>0</v>
      </c>
      <c r="FH856" s="29" t="str">
        <f t="shared" si="28"/>
        <v/>
      </c>
      <c r="FJ856" s="36" t="str">
        <f>IF($FH856="","",SUM($FN856:$FN$7000))</f>
        <v/>
      </c>
      <c r="FK856" s="36" t="str">
        <f>IF($FH856="","",SUM($FN856:$FN$7000))</f>
        <v/>
      </c>
    </row>
    <row r="857" spans="149:167">
      <c r="ES857" s="29"/>
      <c r="EV857" s="28">
        <f t="shared" si="27"/>
        <v>0</v>
      </c>
      <c r="FH857" s="29" t="str">
        <f t="shared" si="28"/>
        <v/>
      </c>
      <c r="FJ857" s="36" t="str">
        <f>IF($FH857="","",SUM($FN857:$FN$7000))</f>
        <v/>
      </c>
      <c r="FK857" s="36" t="str">
        <f>IF($FH857="","",SUM($FN857:$FN$7000))</f>
        <v/>
      </c>
    </row>
    <row r="858" spans="149:167">
      <c r="ES858" s="29"/>
      <c r="EV858" s="28">
        <f t="shared" si="27"/>
        <v>0</v>
      </c>
      <c r="FH858" s="29" t="str">
        <f t="shared" si="28"/>
        <v/>
      </c>
      <c r="FJ858" s="36" t="str">
        <f>IF($FH858="","",SUM($FN858:$FN$7000))</f>
        <v/>
      </c>
      <c r="FK858" s="36" t="str">
        <f>IF($FH858="","",SUM($FN858:$FN$7000))</f>
        <v/>
      </c>
    </row>
    <row r="859" spans="149:167">
      <c r="ES859" s="29"/>
      <c r="EV859" s="28">
        <f t="shared" si="27"/>
        <v>0</v>
      </c>
      <c r="FH859" s="29" t="str">
        <f t="shared" si="28"/>
        <v/>
      </c>
      <c r="FJ859" s="36" t="str">
        <f>IF($FH859="","",SUM($FN859:$FN$7000))</f>
        <v/>
      </c>
      <c r="FK859" s="36" t="str">
        <f>IF($FH859="","",SUM($FN859:$FN$7000))</f>
        <v/>
      </c>
    </row>
    <row r="860" spans="149:167">
      <c r="ES860" s="29"/>
      <c r="EV860" s="28">
        <f t="shared" si="27"/>
        <v>0</v>
      </c>
      <c r="FH860" s="29" t="str">
        <f t="shared" si="28"/>
        <v/>
      </c>
      <c r="FJ860" s="36" t="str">
        <f>IF($FH860="","",SUM($FN860:$FN$7000))</f>
        <v/>
      </c>
      <c r="FK860" s="36" t="str">
        <f>IF($FH860="","",SUM($FN860:$FN$7000))</f>
        <v/>
      </c>
    </row>
    <row r="861" spans="149:167">
      <c r="ES861" s="29"/>
      <c r="EV861" s="28">
        <f t="shared" si="27"/>
        <v>0</v>
      </c>
      <c r="FH861" s="29" t="str">
        <f t="shared" si="28"/>
        <v/>
      </c>
      <c r="FJ861" s="36" t="str">
        <f>IF($FH861="","",SUM($FN861:$FN$7000))</f>
        <v/>
      </c>
      <c r="FK861" s="36" t="str">
        <f>IF($FH861="","",SUM($FN861:$FN$7000))</f>
        <v/>
      </c>
    </row>
    <row r="862" spans="149:167">
      <c r="ES862" s="29"/>
      <c r="EV862" s="28">
        <f t="shared" si="27"/>
        <v>0</v>
      </c>
      <c r="FH862" s="29" t="str">
        <f t="shared" si="28"/>
        <v/>
      </c>
      <c r="FJ862" s="36" t="str">
        <f>IF($FH862="","",SUM($FN862:$FN$7000))</f>
        <v/>
      </c>
      <c r="FK862" s="36" t="str">
        <f>IF($FH862="","",SUM($FN862:$FN$7000))</f>
        <v/>
      </c>
    </row>
    <row r="863" spans="149:167">
      <c r="ES863" s="29"/>
      <c r="EV863" s="28">
        <f t="shared" si="27"/>
        <v>0</v>
      </c>
      <c r="FH863" s="29" t="str">
        <f t="shared" si="28"/>
        <v/>
      </c>
      <c r="FJ863" s="36" t="str">
        <f>IF($FH863="","",SUM($FN863:$FN$7000))</f>
        <v/>
      </c>
      <c r="FK863" s="36" t="str">
        <f>IF($FH863="","",SUM($FN863:$FN$7000))</f>
        <v/>
      </c>
    </row>
    <row r="864" spans="149:167">
      <c r="ES864" s="29"/>
      <c r="EV864" s="28">
        <f t="shared" si="27"/>
        <v>0</v>
      </c>
      <c r="FH864" s="29" t="str">
        <f t="shared" si="28"/>
        <v/>
      </c>
      <c r="FJ864" s="36" t="str">
        <f>IF($FH864="","",SUM($FN864:$FN$7000))</f>
        <v/>
      </c>
      <c r="FK864" s="36" t="str">
        <f>IF($FH864="","",SUM($FN864:$FN$7000))</f>
        <v/>
      </c>
    </row>
    <row r="865" spans="149:167">
      <c r="ES865" s="29"/>
      <c r="EV865" s="28">
        <f t="shared" si="27"/>
        <v>0</v>
      </c>
      <c r="FH865" s="29" t="str">
        <f t="shared" si="28"/>
        <v/>
      </c>
      <c r="FJ865" s="36" t="str">
        <f>IF($FH865="","",SUM($FN865:$FN$7000))</f>
        <v/>
      </c>
      <c r="FK865" s="36" t="str">
        <f>IF($FH865="","",SUM($FN865:$FN$7000))</f>
        <v/>
      </c>
    </row>
    <row r="866" spans="149:167">
      <c r="ES866" s="29"/>
      <c r="EV866" s="28">
        <f t="shared" si="27"/>
        <v>0</v>
      </c>
      <c r="FH866" s="29" t="str">
        <f t="shared" si="28"/>
        <v/>
      </c>
      <c r="FJ866" s="36" t="str">
        <f>IF($FH866="","",SUM($FN866:$FN$7000))</f>
        <v/>
      </c>
      <c r="FK866" s="36" t="str">
        <f>IF($FH866="","",SUM($FN866:$FN$7000))</f>
        <v/>
      </c>
    </row>
    <row r="867" spans="149:167">
      <c r="ES867" s="29"/>
      <c r="EV867" s="28">
        <f t="shared" si="27"/>
        <v>0</v>
      </c>
      <c r="FH867" s="29" t="str">
        <f t="shared" si="28"/>
        <v/>
      </c>
      <c r="FJ867" s="36" t="str">
        <f>IF($FH867="","",SUM($FN867:$FN$7000))</f>
        <v/>
      </c>
      <c r="FK867" s="36" t="str">
        <f>IF($FH867="","",SUM($FN867:$FN$7000))</f>
        <v/>
      </c>
    </row>
    <row r="868" spans="149:167">
      <c r="ES868" s="29"/>
      <c r="EV868" s="28">
        <f t="shared" si="27"/>
        <v>0</v>
      </c>
      <c r="FH868" s="29" t="str">
        <f t="shared" si="28"/>
        <v/>
      </c>
      <c r="FJ868" s="36" t="str">
        <f>IF($FH868="","",SUM($FN868:$FN$7000))</f>
        <v/>
      </c>
      <c r="FK868" s="36" t="str">
        <f>IF($FH868="","",SUM($FN868:$FN$7000))</f>
        <v/>
      </c>
    </row>
    <row r="869" spans="149:167">
      <c r="ES869" s="29"/>
      <c r="EV869" s="28">
        <f t="shared" si="27"/>
        <v>0</v>
      </c>
      <c r="FH869" s="29" t="str">
        <f t="shared" si="28"/>
        <v/>
      </c>
      <c r="FJ869" s="36" t="str">
        <f>IF($FH869="","",SUM($FN869:$FN$7000))</f>
        <v/>
      </c>
      <c r="FK869" s="36" t="str">
        <f>IF($FH869="","",SUM($FN869:$FN$7000))</f>
        <v/>
      </c>
    </row>
    <row r="870" spans="149:167">
      <c r="ES870" s="29"/>
      <c r="EV870" s="28">
        <f t="shared" si="27"/>
        <v>0</v>
      </c>
      <c r="FH870" s="29" t="str">
        <f t="shared" si="28"/>
        <v/>
      </c>
      <c r="FJ870" s="36" t="str">
        <f>IF($FH870="","",SUM($FN870:$FN$7000))</f>
        <v/>
      </c>
      <c r="FK870" s="36" t="str">
        <f>IF($FH870="","",SUM($FN870:$FN$7000))</f>
        <v/>
      </c>
    </row>
    <row r="871" spans="149:167">
      <c r="ES871" s="29"/>
      <c r="EV871" s="28">
        <f t="shared" si="27"/>
        <v>0</v>
      </c>
      <c r="FH871" s="29" t="str">
        <f t="shared" si="28"/>
        <v/>
      </c>
      <c r="FJ871" s="36" t="str">
        <f>IF($FH871="","",SUM($FN871:$FN$7000))</f>
        <v/>
      </c>
      <c r="FK871" s="36" t="str">
        <f>IF($FH871="","",SUM($FN871:$FN$7000))</f>
        <v/>
      </c>
    </row>
    <row r="872" spans="149:167">
      <c r="ES872" s="29"/>
      <c r="EV872" s="28">
        <f t="shared" si="27"/>
        <v>0</v>
      </c>
      <c r="FH872" s="29" t="str">
        <f t="shared" si="28"/>
        <v/>
      </c>
      <c r="FJ872" s="36" t="str">
        <f>IF($FH872="","",SUM($FN872:$FN$7000))</f>
        <v/>
      </c>
      <c r="FK872" s="36" t="str">
        <f>IF($FH872="","",SUM($FN872:$FN$7000))</f>
        <v/>
      </c>
    </row>
    <row r="873" spans="149:167">
      <c r="ES873" s="29"/>
      <c r="EV873" s="28">
        <f t="shared" si="27"/>
        <v>0</v>
      </c>
      <c r="FH873" s="29" t="str">
        <f t="shared" si="28"/>
        <v/>
      </c>
      <c r="FJ873" s="36" t="str">
        <f>IF($FH873="","",SUM($FN873:$FN$7000))</f>
        <v/>
      </c>
      <c r="FK873" s="36" t="str">
        <f>IF($FH873="","",SUM($FN873:$FN$7000))</f>
        <v/>
      </c>
    </row>
    <row r="874" spans="149:167">
      <c r="ES874" s="29"/>
      <c r="EV874" s="28">
        <f t="shared" si="27"/>
        <v>0</v>
      </c>
      <c r="FH874" s="29" t="str">
        <f t="shared" si="28"/>
        <v/>
      </c>
      <c r="FJ874" s="36" t="str">
        <f>IF($FH874="","",SUM($FN874:$FN$7000))</f>
        <v/>
      </c>
      <c r="FK874" s="36" t="str">
        <f>IF($FH874="","",SUM($FN874:$FN$7000))</f>
        <v/>
      </c>
    </row>
    <row r="875" spans="149:167">
      <c r="ES875" s="29"/>
      <c r="EV875" s="28">
        <f t="shared" si="27"/>
        <v>0</v>
      </c>
      <c r="FH875" s="29" t="str">
        <f t="shared" si="28"/>
        <v/>
      </c>
      <c r="FJ875" s="36" t="str">
        <f>IF($FH875="","",SUM($FN875:$FN$7000))</f>
        <v/>
      </c>
      <c r="FK875" s="36" t="str">
        <f>IF($FH875="","",SUM($FN875:$FN$7000))</f>
        <v/>
      </c>
    </row>
    <row r="876" spans="149:167">
      <c r="ES876" s="29"/>
      <c r="EV876" s="28">
        <f t="shared" si="27"/>
        <v>0</v>
      </c>
      <c r="FH876" s="29" t="str">
        <f t="shared" si="28"/>
        <v/>
      </c>
      <c r="FJ876" s="36" t="str">
        <f>IF($FH876="","",SUM($FN876:$FN$7000))</f>
        <v/>
      </c>
      <c r="FK876" s="36" t="str">
        <f>IF($FH876="","",SUM($FN876:$FN$7000))</f>
        <v/>
      </c>
    </row>
    <row r="877" spans="149:167">
      <c r="ES877" s="29"/>
      <c r="EV877" s="28">
        <f t="shared" si="27"/>
        <v>0</v>
      </c>
      <c r="FH877" s="29" t="str">
        <f t="shared" si="28"/>
        <v/>
      </c>
      <c r="FJ877" s="36" t="str">
        <f>IF($FH877="","",SUM($FN877:$FN$7000))</f>
        <v/>
      </c>
      <c r="FK877" s="36" t="str">
        <f>IF($FH877="","",SUM($FN877:$FN$7000))</f>
        <v/>
      </c>
    </row>
    <row r="878" spans="149:167">
      <c r="ES878" s="29"/>
      <c r="EV878" s="28">
        <f t="shared" si="27"/>
        <v>0</v>
      </c>
      <c r="FH878" s="29" t="str">
        <f t="shared" si="28"/>
        <v/>
      </c>
      <c r="FJ878" s="36" t="str">
        <f>IF($FH878="","",SUM($FN878:$FN$7000))</f>
        <v/>
      </c>
      <c r="FK878" s="36" t="str">
        <f>IF($FH878="","",SUM($FN878:$FN$7000))</f>
        <v/>
      </c>
    </row>
    <row r="879" spans="149:167">
      <c r="ES879" s="29"/>
      <c r="EV879" s="28">
        <f t="shared" si="27"/>
        <v>0</v>
      </c>
      <c r="FH879" s="29" t="str">
        <f t="shared" si="28"/>
        <v/>
      </c>
      <c r="FJ879" s="36" t="str">
        <f>IF($FH879="","",SUM($FN879:$FN$7000))</f>
        <v/>
      </c>
      <c r="FK879" s="36" t="str">
        <f>IF($FH879="","",SUM($FN879:$FN$7000))</f>
        <v/>
      </c>
    </row>
    <row r="880" spans="149:167">
      <c r="ES880" s="29"/>
      <c r="EV880" s="28">
        <f t="shared" si="27"/>
        <v>0</v>
      </c>
      <c r="FH880" s="29" t="str">
        <f t="shared" si="28"/>
        <v/>
      </c>
      <c r="FJ880" s="36" t="str">
        <f>IF($FH880="","",SUM($FN880:$FN$7000))</f>
        <v/>
      </c>
      <c r="FK880" s="36" t="str">
        <f>IF($FH880="","",SUM($FN880:$FN$7000))</f>
        <v/>
      </c>
    </row>
    <row r="881" spans="149:167">
      <c r="ES881" s="29"/>
      <c r="EV881" s="28">
        <f t="shared" si="27"/>
        <v>0</v>
      </c>
      <c r="FH881" s="29" t="str">
        <f t="shared" si="28"/>
        <v/>
      </c>
      <c r="FJ881" s="36" t="str">
        <f>IF($FH881="","",SUM($FN881:$FN$7000))</f>
        <v/>
      </c>
      <c r="FK881" s="36" t="str">
        <f>IF($FH881="","",SUM($FN881:$FN$7000))</f>
        <v/>
      </c>
    </row>
    <row r="882" spans="149:167">
      <c r="ES882" s="29"/>
      <c r="EV882" s="28">
        <f t="shared" si="27"/>
        <v>0</v>
      </c>
      <c r="FH882" s="29" t="str">
        <f t="shared" si="28"/>
        <v/>
      </c>
      <c r="FJ882" s="36" t="str">
        <f>IF($FH882="","",SUM($FN882:$FN$7000))</f>
        <v/>
      </c>
      <c r="FK882" s="36" t="str">
        <f>IF($FH882="","",SUM($FN882:$FN$7000))</f>
        <v/>
      </c>
    </row>
    <row r="883" spans="149:167">
      <c r="ES883" s="29"/>
      <c r="EV883" s="28">
        <f t="shared" si="27"/>
        <v>0</v>
      </c>
      <c r="FH883" s="29" t="str">
        <f t="shared" si="28"/>
        <v/>
      </c>
      <c r="FJ883" s="36" t="str">
        <f>IF($FH883="","",SUM($FN883:$FN$7000))</f>
        <v/>
      </c>
      <c r="FK883" s="36" t="str">
        <f>IF($FH883="","",SUM($FN883:$FN$7000))</f>
        <v/>
      </c>
    </row>
    <row r="884" spans="149:167">
      <c r="ES884" s="29"/>
      <c r="EV884" s="28">
        <f t="shared" si="27"/>
        <v>0</v>
      </c>
      <c r="FH884" s="29" t="str">
        <f t="shared" si="28"/>
        <v/>
      </c>
      <c r="FJ884" s="36" t="str">
        <f>IF($FH884="","",SUM($FN884:$FN$7000))</f>
        <v/>
      </c>
      <c r="FK884" s="36" t="str">
        <f>IF($FH884="","",SUM($FN884:$FN$7000))</f>
        <v/>
      </c>
    </row>
    <row r="885" spans="149:167">
      <c r="ES885" s="29"/>
      <c r="EV885" s="28">
        <f t="shared" si="27"/>
        <v>0</v>
      </c>
      <c r="FH885" s="29" t="str">
        <f t="shared" si="28"/>
        <v/>
      </c>
      <c r="FJ885" s="36" t="str">
        <f>IF($FH885="","",SUM($FN885:$FN$7000))</f>
        <v/>
      </c>
      <c r="FK885" s="36" t="str">
        <f>IF($FH885="","",SUM($FN885:$FN$7000))</f>
        <v/>
      </c>
    </row>
    <row r="886" spans="149:167">
      <c r="ES886" s="29"/>
      <c r="EV886" s="28">
        <f t="shared" si="27"/>
        <v>0</v>
      </c>
      <c r="FH886" s="29" t="str">
        <f t="shared" si="28"/>
        <v/>
      </c>
      <c r="FJ886" s="36" t="str">
        <f>IF($FH886="","",SUM($FN886:$FN$7000))</f>
        <v/>
      </c>
      <c r="FK886" s="36" t="str">
        <f>IF($FH886="","",SUM($FN886:$FN$7000))</f>
        <v/>
      </c>
    </row>
    <row r="887" spans="149:167">
      <c r="ES887" s="29"/>
      <c r="EV887" s="28">
        <f t="shared" si="27"/>
        <v>0</v>
      </c>
      <c r="FH887" s="29" t="str">
        <f t="shared" si="28"/>
        <v/>
      </c>
      <c r="FJ887" s="36" t="str">
        <f>IF($FH887="","",SUM($FN887:$FN$7000))</f>
        <v/>
      </c>
      <c r="FK887" s="36" t="str">
        <f>IF($FH887="","",SUM($FN887:$FN$7000))</f>
        <v/>
      </c>
    </row>
    <row r="888" spans="149:167">
      <c r="ES888" s="29"/>
      <c r="EV888" s="28">
        <f t="shared" si="27"/>
        <v>0</v>
      </c>
      <c r="FH888" s="29" t="str">
        <f t="shared" si="28"/>
        <v/>
      </c>
      <c r="FJ888" s="36" t="str">
        <f>IF($FH888="","",SUM($FN888:$FN$7000))</f>
        <v/>
      </c>
      <c r="FK888" s="36" t="str">
        <f>IF($FH888="","",SUM($FN888:$FN$7000))</f>
        <v/>
      </c>
    </row>
    <row r="889" spans="149:167">
      <c r="ES889" s="29"/>
      <c r="EV889" s="28">
        <f t="shared" si="27"/>
        <v>0</v>
      </c>
      <c r="FH889" s="29" t="str">
        <f t="shared" si="28"/>
        <v/>
      </c>
      <c r="FJ889" s="36" t="str">
        <f>IF($FH889="","",SUM($FN889:$FN$7000))</f>
        <v/>
      </c>
      <c r="FK889" s="36" t="str">
        <f>IF($FH889="","",SUM($FN889:$FN$7000))</f>
        <v/>
      </c>
    </row>
    <row r="890" spans="149:167">
      <c r="ES890" s="29"/>
      <c r="EV890" s="28">
        <f t="shared" si="27"/>
        <v>0</v>
      </c>
      <c r="FH890" s="29" t="str">
        <f t="shared" si="28"/>
        <v/>
      </c>
      <c r="FJ890" s="36" t="str">
        <f>IF($FH890="","",SUM($FN890:$FN$7000))</f>
        <v/>
      </c>
      <c r="FK890" s="36" t="str">
        <f>IF($FH890="","",SUM($FN890:$FN$7000))</f>
        <v/>
      </c>
    </row>
    <row r="891" spans="149:167">
      <c r="ES891" s="29"/>
      <c r="EV891" s="28">
        <f t="shared" si="27"/>
        <v>0</v>
      </c>
      <c r="FH891" s="29" t="str">
        <f t="shared" si="28"/>
        <v/>
      </c>
      <c r="FJ891" s="36" t="str">
        <f>IF($FH891="","",SUM($FN891:$FN$7000))</f>
        <v/>
      </c>
      <c r="FK891" s="36" t="str">
        <f>IF($FH891="","",SUM($FN891:$FN$7000))</f>
        <v/>
      </c>
    </row>
    <row r="892" spans="149:167">
      <c r="ES892" s="29"/>
      <c r="EV892" s="28">
        <f t="shared" si="27"/>
        <v>0</v>
      </c>
      <c r="FH892" s="29" t="str">
        <f t="shared" si="28"/>
        <v/>
      </c>
      <c r="FJ892" s="36" t="str">
        <f>IF($FH892="","",SUM($FN892:$FN$7000))</f>
        <v/>
      </c>
      <c r="FK892" s="36" t="str">
        <f>IF($FH892="","",SUM($FN892:$FN$7000))</f>
        <v/>
      </c>
    </row>
    <row r="893" spans="149:167">
      <c r="ES893" s="29"/>
      <c r="EV893" s="28">
        <f t="shared" si="27"/>
        <v>0</v>
      </c>
      <c r="FH893" s="29" t="str">
        <f t="shared" si="28"/>
        <v/>
      </c>
      <c r="FJ893" s="36" t="str">
        <f>IF($FH893="","",SUM($FN893:$FN$7000))</f>
        <v/>
      </c>
      <c r="FK893" s="36" t="str">
        <f>IF($FH893="","",SUM($FN893:$FN$7000))</f>
        <v/>
      </c>
    </row>
    <row r="894" spans="149:167">
      <c r="ES894" s="29"/>
      <c r="EV894" s="28">
        <f t="shared" si="27"/>
        <v>0</v>
      </c>
      <c r="FH894" s="29" t="str">
        <f t="shared" si="28"/>
        <v/>
      </c>
      <c r="FJ894" s="36" t="str">
        <f>IF($FH894="","",SUM($FN894:$FN$7000))</f>
        <v/>
      </c>
      <c r="FK894" s="36" t="str">
        <f>IF($FH894="","",SUM($FN894:$FN$7000))</f>
        <v/>
      </c>
    </row>
    <row r="895" spans="149:167">
      <c r="ES895" s="29"/>
      <c r="EV895" s="28">
        <f t="shared" si="27"/>
        <v>0</v>
      </c>
      <c r="FH895" s="29" t="str">
        <f t="shared" si="28"/>
        <v/>
      </c>
      <c r="FJ895" s="36" t="str">
        <f>IF($FH895="","",SUM($FN895:$FN$7000))</f>
        <v/>
      </c>
      <c r="FK895" s="36" t="str">
        <f>IF($FH895="","",SUM($FN895:$FN$7000))</f>
        <v/>
      </c>
    </row>
    <row r="896" spans="149:167">
      <c r="ES896" s="29"/>
      <c r="EV896" s="28">
        <f t="shared" si="27"/>
        <v>0</v>
      </c>
      <c r="FH896" s="29" t="str">
        <f t="shared" si="28"/>
        <v/>
      </c>
      <c r="FJ896" s="36" t="str">
        <f>IF($FH896="","",SUM($FN896:$FN$7000))</f>
        <v/>
      </c>
      <c r="FK896" s="36" t="str">
        <f>IF($FH896="","",SUM($FN896:$FN$7000))</f>
        <v/>
      </c>
    </row>
    <row r="897" spans="149:167">
      <c r="ES897" s="29"/>
      <c r="EV897" s="28">
        <f t="shared" si="27"/>
        <v>0</v>
      </c>
      <c r="FH897" s="29" t="str">
        <f t="shared" si="28"/>
        <v/>
      </c>
      <c r="FJ897" s="36" t="str">
        <f>IF($FH897="","",SUM($FN897:$FN$7000))</f>
        <v/>
      </c>
      <c r="FK897" s="36" t="str">
        <f>IF($FH897="","",SUM($FN897:$FN$7000))</f>
        <v/>
      </c>
    </row>
    <row r="898" spans="149:167">
      <c r="ES898" s="29"/>
      <c r="EV898" s="28">
        <f t="shared" si="27"/>
        <v>0</v>
      </c>
      <c r="FH898" s="29" t="str">
        <f t="shared" si="28"/>
        <v/>
      </c>
      <c r="FJ898" s="36" t="str">
        <f>IF($FH898="","",SUM($FN898:$FN$7000))</f>
        <v/>
      </c>
      <c r="FK898" s="36" t="str">
        <f>IF($FH898="","",SUM($FN898:$FN$7000))</f>
        <v/>
      </c>
    </row>
    <row r="899" spans="149:167">
      <c r="ES899" s="29"/>
      <c r="EV899" s="28">
        <f t="shared" si="27"/>
        <v>0</v>
      </c>
      <c r="FH899" s="29" t="str">
        <f t="shared" si="28"/>
        <v/>
      </c>
      <c r="FJ899" s="36" t="str">
        <f>IF($FH899="","",SUM($FN899:$FN$7000))</f>
        <v/>
      </c>
      <c r="FK899" s="36" t="str">
        <f>IF($FH899="","",SUM($FN899:$FN$7000))</f>
        <v/>
      </c>
    </row>
    <row r="900" spans="149:167">
      <c r="ES900" s="29"/>
      <c r="EV900" s="28">
        <f t="shared" si="27"/>
        <v>0</v>
      </c>
      <c r="FH900" s="29" t="str">
        <f t="shared" si="28"/>
        <v/>
      </c>
      <c r="FJ900" s="36" t="str">
        <f>IF($FH900="","",SUM($FN900:$FN$7000))</f>
        <v/>
      </c>
      <c r="FK900" s="36" t="str">
        <f>IF($FH900="","",SUM($FN900:$FN$7000))</f>
        <v/>
      </c>
    </row>
    <row r="901" spans="149:167">
      <c r="ES901" s="29"/>
      <c r="EV901" s="28">
        <f t="shared" si="27"/>
        <v>0</v>
      </c>
      <c r="FH901" s="29" t="str">
        <f t="shared" si="28"/>
        <v/>
      </c>
      <c r="FJ901" s="36" t="str">
        <f>IF($FH901="","",SUM($FN901:$FN$7000))</f>
        <v/>
      </c>
      <c r="FK901" s="36" t="str">
        <f>IF($FH901="","",SUM($FN901:$FN$7000))</f>
        <v/>
      </c>
    </row>
    <row r="902" spans="149:167">
      <c r="ES902" s="29"/>
      <c r="EV902" s="28">
        <f t="shared" si="27"/>
        <v>0</v>
      </c>
      <c r="FH902" s="29" t="str">
        <f t="shared" si="28"/>
        <v/>
      </c>
      <c r="FJ902" s="36" t="str">
        <f>IF($FH902="","",SUM($FN902:$FN$7000))</f>
        <v/>
      </c>
      <c r="FK902" s="36" t="str">
        <f>IF($FH902="","",SUM($FN902:$FN$7000))</f>
        <v/>
      </c>
    </row>
    <row r="903" spans="149:167">
      <c r="ES903" s="29"/>
      <c r="EV903" s="28">
        <f t="shared" si="27"/>
        <v>0</v>
      </c>
      <c r="FH903" s="29" t="str">
        <f t="shared" si="28"/>
        <v/>
      </c>
      <c r="FJ903" s="36" t="str">
        <f>IF($FH903="","",SUM($FN903:$FN$7000))</f>
        <v/>
      </c>
      <c r="FK903" s="36" t="str">
        <f>IF($FH903="","",SUM($FN903:$FN$7000))</f>
        <v/>
      </c>
    </row>
    <row r="904" spans="149:167">
      <c r="ES904" s="29"/>
      <c r="EV904" s="28">
        <f t="shared" si="27"/>
        <v>0</v>
      </c>
      <c r="FH904" s="29" t="str">
        <f t="shared" si="28"/>
        <v/>
      </c>
      <c r="FJ904" s="36" t="str">
        <f>IF($FH904="","",SUM($FN904:$FN$7000))</f>
        <v/>
      </c>
      <c r="FK904" s="36" t="str">
        <f>IF($FH904="","",SUM($FN904:$FN$7000))</f>
        <v/>
      </c>
    </row>
    <row r="905" spans="149:167">
      <c r="ES905" s="29"/>
      <c r="EV905" s="28">
        <f t="shared" si="27"/>
        <v>0</v>
      </c>
      <c r="FH905" s="29" t="str">
        <f t="shared" si="28"/>
        <v/>
      </c>
      <c r="FJ905" s="36" t="str">
        <f>IF($FH905="","",SUM($FN905:$FN$7000))</f>
        <v/>
      </c>
      <c r="FK905" s="36" t="str">
        <f>IF($FH905="","",SUM($FN905:$FN$7000))</f>
        <v/>
      </c>
    </row>
    <row r="906" spans="149:167">
      <c r="ES906" s="29"/>
      <c r="EV906" s="28">
        <f t="shared" si="27"/>
        <v>0</v>
      </c>
      <c r="FH906" s="29" t="str">
        <f t="shared" si="28"/>
        <v/>
      </c>
      <c r="FJ906" s="36" t="str">
        <f>IF($FH906="","",SUM($FN906:$FN$7000))</f>
        <v/>
      </c>
      <c r="FK906" s="36" t="str">
        <f>IF($FH906="","",SUM($FN906:$FN$7000))</f>
        <v/>
      </c>
    </row>
    <row r="907" spans="149:167">
      <c r="ES907" s="29"/>
      <c r="EV907" s="28">
        <f t="shared" ref="EV907:EV970" si="29">EU907-ET907</f>
        <v>0</v>
      </c>
      <c r="FH907" s="29" t="str">
        <f t="shared" ref="FH907:FH970" si="30">IF(FL907="","",FL907)</f>
        <v/>
      </c>
      <c r="FJ907" s="36" t="str">
        <f>IF($FH907="","",SUM($FN907:$FN$7000))</f>
        <v/>
      </c>
      <c r="FK907" s="36" t="str">
        <f>IF($FH907="","",SUM($FN907:$FN$7000))</f>
        <v/>
      </c>
    </row>
    <row r="908" spans="149:167">
      <c r="ES908" s="29"/>
      <c r="EV908" s="28">
        <f t="shared" si="29"/>
        <v>0</v>
      </c>
      <c r="FH908" s="29" t="str">
        <f t="shared" si="30"/>
        <v/>
      </c>
      <c r="FJ908" s="36" t="str">
        <f>IF($FH908="","",SUM($FN908:$FN$7000))</f>
        <v/>
      </c>
      <c r="FK908" s="36" t="str">
        <f>IF($FH908="","",SUM($FN908:$FN$7000))</f>
        <v/>
      </c>
    </row>
    <row r="909" spans="149:167">
      <c r="ES909" s="29"/>
      <c r="EV909" s="28">
        <f t="shared" si="29"/>
        <v>0</v>
      </c>
      <c r="FH909" s="29" t="str">
        <f t="shared" si="30"/>
        <v/>
      </c>
      <c r="FJ909" s="36" t="str">
        <f>IF($FH909="","",SUM($FN909:$FN$7000))</f>
        <v/>
      </c>
      <c r="FK909" s="36" t="str">
        <f>IF($FH909="","",SUM($FN909:$FN$7000))</f>
        <v/>
      </c>
    </row>
    <row r="910" spans="149:167">
      <c r="ES910" s="29"/>
      <c r="EV910" s="28">
        <f t="shared" si="29"/>
        <v>0</v>
      </c>
      <c r="FH910" s="29" t="str">
        <f t="shared" si="30"/>
        <v/>
      </c>
      <c r="FJ910" s="36" t="str">
        <f>IF($FH910="","",SUM($FN910:$FN$7000))</f>
        <v/>
      </c>
      <c r="FK910" s="36" t="str">
        <f>IF($FH910="","",SUM($FN910:$FN$7000))</f>
        <v/>
      </c>
    </row>
    <row r="911" spans="149:167">
      <c r="ES911" s="29"/>
      <c r="EV911" s="28">
        <f t="shared" si="29"/>
        <v>0</v>
      </c>
      <c r="FH911" s="29" t="str">
        <f t="shared" si="30"/>
        <v/>
      </c>
      <c r="FJ911" s="36" t="str">
        <f>IF($FH911="","",SUM($FN911:$FN$7000))</f>
        <v/>
      </c>
      <c r="FK911" s="36" t="str">
        <f>IF($FH911="","",SUM($FN911:$FN$7000))</f>
        <v/>
      </c>
    </row>
    <row r="912" spans="149:167">
      <c r="ES912" s="29"/>
      <c r="EV912" s="28">
        <f t="shared" si="29"/>
        <v>0</v>
      </c>
      <c r="FH912" s="29" t="str">
        <f t="shared" si="30"/>
        <v/>
      </c>
      <c r="FJ912" s="36" t="str">
        <f>IF($FH912="","",SUM($FN912:$FN$7000))</f>
        <v/>
      </c>
      <c r="FK912" s="36" t="str">
        <f>IF($FH912="","",SUM($FN912:$FN$7000))</f>
        <v/>
      </c>
    </row>
    <row r="913" spans="149:167">
      <c r="ES913" s="29"/>
      <c r="EV913" s="28">
        <f t="shared" si="29"/>
        <v>0</v>
      </c>
      <c r="FH913" s="29" t="str">
        <f t="shared" si="30"/>
        <v/>
      </c>
      <c r="FJ913" s="36" t="str">
        <f>IF($FH913="","",SUM($FN913:$FN$7000))</f>
        <v/>
      </c>
      <c r="FK913" s="36" t="str">
        <f>IF($FH913="","",SUM($FN913:$FN$7000))</f>
        <v/>
      </c>
    </row>
    <row r="914" spans="149:167">
      <c r="ES914" s="29"/>
      <c r="EV914" s="28">
        <f t="shared" si="29"/>
        <v>0</v>
      </c>
      <c r="FH914" s="29" t="str">
        <f t="shared" si="30"/>
        <v/>
      </c>
      <c r="FJ914" s="36" t="str">
        <f>IF($FH914="","",SUM($FN914:$FN$7000))</f>
        <v/>
      </c>
      <c r="FK914" s="36" t="str">
        <f>IF($FH914="","",SUM($FN914:$FN$7000))</f>
        <v/>
      </c>
    </row>
    <row r="915" spans="149:167">
      <c r="ES915" s="29"/>
      <c r="EV915" s="28">
        <f t="shared" si="29"/>
        <v>0</v>
      </c>
      <c r="FH915" s="29" t="str">
        <f t="shared" si="30"/>
        <v/>
      </c>
      <c r="FJ915" s="36" t="str">
        <f>IF($FH915="","",SUM($FN915:$FN$7000))</f>
        <v/>
      </c>
      <c r="FK915" s="36" t="str">
        <f>IF($FH915="","",SUM($FN915:$FN$7000))</f>
        <v/>
      </c>
    </row>
    <row r="916" spans="149:167">
      <c r="ES916" s="29"/>
      <c r="EV916" s="28">
        <f t="shared" si="29"/>
        <v>0</v>
      </c>
      <c r="FH916" s="29" t="str">
        <f t="shared" si="30"/>
        <v/>
      </c>
      <c r="FJ916" s="36" t="str">
        <f>IF($FH916="","",SUM($FN916:$FN$7000))</f>
        <v/>
      </c>
      <c r="FK916" s="36" t="str">
        <f>IF($FH916="","",SUM($FN916:$FN$7000))</f>
        <v/>
      </c>
    </row>
    <row r="917" spans="149:167">
      <c r="ES917" s="29"/>
      <c r="EV917" s="28">
        <f t="shared" si="29"/>
        <v>0</v>
      </c>
      <c r="FH917" s="29" t="str">
        <f t="shared" si="30"/>
        <v/>
      </c>
      <c r="FJ917" s="36" t="str">
        <f>IF($FH917="","",SUM($FN917:$FN$7000))</f>
        <v/>
      </c>
      <c r="FK917" s="36" t="str">
        <f>IF($FH917="","",SUM($FN917:$FN$7000))</f>
        <v/>
      </c>
    </row>
    <row r="918" spans="149:167">
      <c r="ES918" s="29"/>
      <c r="EV918" s="28">
        <f t="shared" si="29"/>
        <v>0</v>
      </c>
      <c r="FH918" s="29" t="str">
        <f t="shared" si="30"/>
        <v/>
      </c>
      <c r="FJ918" s="36" t="str">
        <f>IF($FH918="","",SUM($FN918:$FN$7000))</f>
        <v/>
      </c>
      <c r="FK918" s="36" t="str">
        <f>IF($FH918="","",SUM($FN918:$FN$7000))</f>
        <v/>
      </c>
    </row>
    <row r="919" spans="149:167">
      <c r="ES919" s="29"/>
      <c r="EV919" s="28">
        <f t="shared" si="29"/>
        <v>0</v>
      </c>
      <c r="FH919" s="29" t="str">
        <f t="shared" si="30"/>
        <v/>
      </c>
      <c r="FJ919" s="36" t="str">
        <f>IF($FH919="","",SUM($FN919:$FN$7000))</f>
        <v/>
      </c>
      <c r="FK919" s="36" t="str">
        <f>IF($FH919="","",SUM($FN919:$FN$7000))</f>
        <v/>
      </c>
    </row>
    <row r="920" spans="149:167">
      <c r="ES920" s="29"/>
      <c r="EV920" s="28">
        <f t="shared" si="29"/>
        <v>0</v>
      </c>
      <c r="FH920" s="29" t="str">
        <f t="shared" si="30"/>
        <v/>
      </c>
      <c r="FJ920" s="36" t="str">
        <f>IF($FH920="","",SUM($FN920:$FN$7000))</f>
        <v/>
      </c>
      <c r="FK920" s="36" t="str">
        <f>IF($FH920="","",SUM($FN920:$FN$7000))</f>
        <v/>
      </c>
    </row>
    <row r="921" spans="149:167">
      <c r="ES921" s="29"/>
      <c r="EV921" s="28">
        <f t="shared" si="29"/>
        <v>0</v>
      </c>
      <c r="FH921" s="29" t="str">
        <f t="shared" si="30"/>
        <v/>
      </c>
      <c r="FJ921" s="36" t="str">
        <f>IF($FH921="","",SUM($FN921:$FN$7000))</f>
        <v/>
      </c>
      <c r="FK921" s="36" t="str">
        <f>IF($FH921="","",SUM($FN921:$FN$7000))</f>
        <v/>
      </c>
    </row>
    <row r="922" spans="149:167">
      <c r="ES922" s="29"/>
      <c r="EV922" s="28">
        <f t="shared" si="29"/>
        <v>0</v>
      </c>
      <c r="FH922" s="29" t="str">
        <f t="shared" si="30"/>
        <v/>
      </c>
      <c r="FJ922" s="36" t="str">
        <f>IF($FH922="","",SUM($FN922:$FN$7000))</f>
        <v/>
      </c>
      <c r="FK922" s="36" t="str">
        <f>IF($FH922="","",SUM($FN922:$FN$7000))</f>
        <v/>
      </c>
    </row>
    <row r="923" spans="149:167">
      <c r="ES923" s="29"/>
      <c r="EV923" s="28">
        <f t="shared" si="29"/>
        <v>0</v>
      </c>
      <c r="FH923" s="29" t="str">
        <f t="shared" si="30"/>
        <v/>
      </c>
      <c r="FJ923" s="36" t="str">
        <f>IF($FH923="","",SUM($FN923:$FN$7000))</f>
        <v/>
      </c>
      <c r="FK923" s="36" t="str">
        <f>IF($FH923="","",SUM($FN923:$FN$7000))</f>
        <v/>
      </c>
    </row>
    <row r="924" spans="149:167">
      <c r="ES924" s="29"/>
      <c r="EV924" s="28">
        <f t="shared" si="29"/>
        <v>0</v>
      </c>
      <c r="FH924" s="29" t="str">
        <f t="shared" si="30"/>
        <v/>
      </c>
      <c r="FJ924" s="36" t="str">
        <f>IF($FH924="","",SUM($FN924:$FN$7000))</f>
        <v/>
      </c>
      <c r="FK924" s="36" t="str">
        <f>IF($FH924="","",SUM($FN924:$FN$7000))</f>
        <v/>
      </c>
    </row>
    <row r="925" spans="149:167">
      <c r="ES925" s="29"/>
      <c r="EV925" s="28">
        <f t="shared" si="29"/>
        <v>0</v>
      </c>
      <c r="FH925" s="29" t="str">
        <f t="shared" si="30"/>
        <v/>
      </c>
      <c r="FJ925" s="36" t="str">
        <f>IF($FH925="","",SUM($FN925:$FN$7000))</f>
        <v/>
      </c>
      <c r="FK925" s="36" t="str">
        <f>IF($FH925="","",SUM($FN925:$FN$7000))</f>
        <v/>
      </c>
    </row>
    <row r="926" spans="149:167">
      <c r="ES926" s="29"/>
      <c r="EV926" s="28">
        <f t="shared" si="29"/>
        <v>0</v>
      </c>
      <c r="FH926" s="29" t="str">
        <f t="shared" si="30"/>
        <v/>
      </c>
      <c r="FJ926" s="36" t="str">
        <f>IF($FH926="","",SUM($FN926:$FN$7000))</f>
        <v/>
      </c>
      <c r="FK926" s="36" t="str">
        <f>IF($FH926="","",SUM($FN926:$FN$7000))</f>
        <v/>
      </c>
    </row>
    <row r="927" spans="149:167">
      <c r="ES927" s="29"/>
      <c r="EV927" s="28">
        <f t="shared" si="29"/>
        <v>0</v>
      </c>
      <c r="FH927" s="29" t="str">
        <f t="shared" si="30"/>
        <v/>
      </c>
      <c r="FJ927" s="36" t="str">
        <f>IF($FH927="","",SUM($FN927:$FN$7000))</f>
        <v/>
      </c>
      <c r="FK927" s="36" t="str">
        <f>IF($FH927="","",SUM($FN927:$FN$7000))</f>
        <v/>
      </c>
    </row>
    <row r="928" spans="149:167">
      <c r="ES928" s="29"/>
      <c r="EV928" s="28">
        <f t="shared" si="29"/>
        <v>0</v>
      </c>
      <c r="FH928" s="29" t="str">
        <f t="shared" si="30"/>
        <v/>
      </c>
      <c r="FJ928" s="36" t="str">
        <f>IF($FH928="","",SUM($FN928:$FN$7000))</f>
        <v/>
      </c>
      <c r="FK928" s="36" t="str">
        <f>IF($FH928="","",SUM($FN928:$FN$7000))</f>
        <v/>
      </c>
    </row>
    <row r="929" spans="149:167">
      <c r="ES929" s="29"/>
      <c r="EV929" s="28">
        <f t="shared" si="29"/>
        <v>0</v>
      </c>
      <c r="FH929" s="29" t="str">
        <f t="shared" si="30"/>
        <v/>
      </c>
      <c r="FJ929" s="36" t="str">
        <f>IF($FH929="","",SUM($FN929:$FN$7000))</f>
        <v/>
      </c>
      <c r="FK929" s="36" t="str">
        <f>IF($FH929="","",SUM($FN929:$FN$7000))</f>
        <v/>
      </c>
    </row>
    <row r="930" spans="149:167">
      <c r="ES930" s="29"/>
      <c r="EV930" s="28">
        <f t="shared" si="29"/>
        <v>0</v>
      </c>
      <c r="FH930" s="29" t="str">
        <f t="shared" si="30"/>
        <v/>
      </c>
      <c r="FJ930" s="36" t="str">
        <f>IF($FH930="","",SUM($FN930:$FN$7000))</f>
        <v/>
      </c>
      <c r="FK930" s="36" t="str">
        <f>IF($FH930="","",SUM($FN930:$FN$7000))</f>
        <v/>
      </c>
    </row>
    <row r="931" spans="149:167">
      <c r="ES931" s="29"/>
      <c r="EV931" s="28">
        <f t="shared" si="29"/>
        <v>0</v>
      </c>
      <c r="FH931" s="29" t="str">
        <f t="shared" si="30"/>
        <v/>
      </c>
      <c r="FJ931" s="36" t="str">
        <f>IF($FH931="","",SUM($FN931:$FN$7000))</f>
        <v/>
      </c>
      <c r="FK931" s="36" t="str">
        <f>IF($FH931="","",SUM($FN931:$FN$7000))</f>
        <v/>
      </c>
    </row>
    <row r="932" spans="149:167">
      <c r="ES932" s="29"/>
      <c r="EV932" s="28">
        <f t="shared" si="29"/>
        <v>0</v>
      </c>
      <c r="FH932" s="29" t="str">
        <f t="shared" si="30"/>
        <v/>
      </c>
      <c r="FJ932" s="36" t="str">
        <f>IF($FH932="","",SUM($FN932:$FN$7000))</f>
        <v/>
      </c>
      <c r="FK932" s="36" t="str">
        <f>IF($FH932="","",SUM($FN932:$FN$7000))</f>
        <v/>
      </c>
    </row>
    <row r="933" spans="149:167">
      <c r="ES933" s="29"/>
      <c r="EV933" s="28">
        <f t="shared" si="29"/>
        <v>0</v>
      </c>
      <c r="FH933" s="29" t="str">
        <f t="shared" si="30"/>
        <v/>
      </c>
      <c r="FJ933" s="36" t="str">
        <f>IF($FH933="","",SUM($FN933:$FN$7000))</f>
        <v/>
      </c>
      <c r="FK933" s="36" t="str">
        <f>IF($FH933="","",SUM($FN933:$FN$7000))</f>
        <v/>
      </c>
    </row>
    <row r="934" spans="149:167">
      <c r="ES934" s="29"/>
      <c r="EV934" s="28">
        <f t="shared" si="29"/>
        <v>0</v>
      </c>
      <c r="FH934" s="29" t="str">
        <f t="shared" si="30"/>
        <v/>
      </c>
      <c r="FJ934" s="36" t="str">
        <f>IF($FH934="","",SUM($FN934:$FN$7000))</f>
        <v/>
      </c>
      <c r="FK934" s="36" t="str">
        <f>IF($FH934="","",SUM($FN934:$FN$7000))</f>
        <v/>
      </c>
    </row>
    <row r="935" spans="149:167">
      <c r="ES935" s="29"/>
      <c r="EV935" s="28">
        <f t="shared" si="29"/>
        <v>0</v>
      </c>
      <c r="FH935" s="29" t="str">
        <f t="shared" si="30"/>
        <v/>
      </c>
      <c r="FJ935" s="36" t="str">
        <f>IF($FH935="","",SUM($FN935:$FN$7000))</f>
        <v/>
      </c>
      <c r="FK935" s="36" t="str">
        <f>IF($FH935="","",SUM($FN935:$FN$7000))</f>
        <v/>
      </c>
    </row>
    <row r="936" spans="149:167">
      <c r="ES936" s="29"/>
      <c r="EV936" s="28">
        <f t="shared" si="29"/>
        <v>0</v>
      </c>
      <c r="FH936" s="29" t="str">
        <f t="shared" si="30"/>
        <v/>
      </c>
      <c r="FJ936" s="36" t="str">
        <f>IF($FH936="","",SUM($FN936:$FN$7000))</f>
        <v/>
      </c>
      <c r="FK936" s="36" t="str">
        <f>IF($FH936="","",SUM($FN936:$FN$7000))</f>
        <v/>
      </c>
    </row>
    <row r="937" spans="149:167">
      <c r="ES937" s="29"/>
      <c r="EV937" s="28">
        <f t="shared" si="29"/>
        <v>0</v>
      </c>
      <c r="FH937" s="29" t="str">
        <f t="shared" si="30"/>
        <v/>
      </c>
      <c r="FJ937" s="36" t="str">
        <f>IF($FH937="","",SUM($FN937:$FN$7000))</f>
        <v/>
      </c>
      <c r="FK937" s="36" t="str">
        <f>IF($FH937="","",SUM($FN937:$FN$7000))</f>
        <v/>
      </c>
    </row>
    <row r="938" spans="149:167">
      <c r="ES938" s="29"/>
      <c r="EV938" s="28">
        <f t="shared" si="29"/>
        <v>0</v>
      </c>
      <c r="FH938" s="29" t="str">
        <f t="shared" si="30"/>
        <v/>
      </c>
      <c r="FJ938" s="36" t="str">
        <f>IF($FH938="","",SUM($FN938:$FN$7000))</f>
        <v/>
      </c>
      <c r="FK938" s="36" t="str">
        <f>IF($FH938="","",SUM($FN938:$FN$7000))</f>
        <v/>
      </c>
    </row>
    <row r="939" spans="149:167">
      <c r="ES939" s="29"/>
      <c r="EV939" s="28">
        <f t="shared" si="29"/>
        <v>0</v>
      </c>
      <c r="FH939" s="29" t="str">
        <f t="shared" si="30"/>
        <v/>
      </c>
      <c r="FJ939" s="36" t="str">
        <f>IF($FH939="","",SUM($FN939:$FN$7000))</f>
        <v/>
      </c>
      <c r="FK939" s="36" t="str">
        <f>IF($FH939="","",SUM($FN939:$FN$7000))</f>
        <v/>
      </c>
    </row>
    <row r="940" spans="149:167">
      <c r="ES940" s="29"/>
      <c r="EV940" s="28">
        <f t="shared" si="29"/>
        <v>0</v>
      </c>
      <c r="FH940" s="29" t="str">
        <f t="shared" si="30"/>
        <v/>
      </c>
      <c r="FJ940" s="36" t="str">
        <f>IF($FH940="","",SUM($FN940:$FN$7000))</f>
        <v/>
      </c>
      <c r="FK940" s="36" t="str">
        <f>IF($FH940="","",SUM($FN940:$FN$7000))</f>
        <v/>
      </c>
    </row>
    <row r="941" spans="149:167">
      <c r="ES941" s="29"/>
      <c r="EV941" s="28">
        <f t="shared" si="29"/>
        <v>0</v>
      </c>
      <c r="FH941" s="29" t="str">
        <f t="shared" si="30"/>
        <v/>
      </c>
      <c r="FJ941" s="36" t="str">
        <f>IF($FH941="","",SUM($FN941:$FN$7000))</f>
        <v/>
      </c>
      <c r="FK941" s="36" t="str">
        <f>IF($FH941="","",SUM($FN941:$FN$7000))</f>
        <v/>
      </c>
    </row>
    <row r="942" spans="149:167">
      <c r="ES942" s="29"/>
      <c r="EV942" s="28">
        <f t="shared" si="29"/>
        <v>0</v>
      </c>
      <c r="FH942" s="29" t="str">
        <f t="shared" si="30"/>
        <v/>
      </c>
      <c r="FJ942" s="36" t="str">
        <f>IF($FH942="","",SUM($FN942:$FN$7000))</f>
        <v/>
      </c>
      <c r="FK942" s="36" t="str">
        <f>IF($FH942="","",SUM($FN942:$FN$7000))</f>
        <v/>
      </c>
    </row>
    <row r="943" spans="149:167">
      <c r="ES943" s="29"/>
      <c r="EV943" s="28">
        <f t="shared" si="29"/>
        <v>0</v>
      </c>
      <c r="FH943" s="29" t="str">
        <f t="shared" si="30"/>
        <v/>
      </c>
      <c r="FJ943" s="36" t="str">
        <f>IF($FH943="","",SUM($FN943:$FN$7000))</f>
        <v/>
      </c>
      <c r="FK943" s="36" t="str">
        <f>IF($FH943="","",SUM($FN943:$FN$7000))</f>
        <v/>
      </c>
    </row>
    <row r="944" spans="149:167">
      <c r="ES944" s="29"/>
      <c r="EV944" s="28">
        <f t="shared" si="29"/>
        <v>0</v>
      </c>
      <c r="FH944" s="29" t="str">
        <f t="shared" si="30"/>
        <v/>
      </c>
      <c r="FJ944" s="36" t="str">
        <f>IF($FH944="","",SUM($FN944:$FN$7000))</f>
        <v/>
      </c>
      <c r="FK944" s="36" t="str">
        <f>IF($FH944="","",SUM($FN944:$FN$7000))</f>
        <v/>
      </c>
    </row>
    <row r="945" spans="149:167">
      <c r="ES945" s="29"/>
      <c r="EV945" s="28">
        <f t="shared" si="29"/>
        <v>0</v>
      </c>
      <c r="FH945" s="29" t="str">
        <f t="shared" si="30"/>
        <v/>
      </c>
      <c r="FJ945" s="36" t="str">
        <f>IF($FH945="","",SUM($FN945:$FN$7000))</f>
        <v/>
      </c>
      <c r="FK945" s="36" t="str">
        <f>IF($FH945="","",SUM($FN945:$FN$7000))</f>
        <v/>
      </c>
    </row>
    <row r="946" spans="149:167">
      <c r="ES946" s="29"/>
      <c r="EV946" s="28">
        <f t="shared" si="29"/>
        <v>0</v>
      </c>
      <c r="FH946" s="29" t="str">
        <f t="shared" si="30"/>
        <v/>
      </c>
      <c r="FJ946" s="36" t="str">
        <f>IF($FH946="","",SUM($FN946:$FN$7000))</f>
        <v/>
      </c>
      <c r="FK946" s="36" t="str">
        <f>IF($FH946="","",SUM($FN946:$FN$7000))</f>
        <v/>
      </c>
    </row>
    <row r="947" spans="149:167">
      <c r="ES947" s="29"/>
      <c r="EV947" s="28">
        <f t="shared" si="29"/>
        <v>0</v>
      </c>
      <c r="FH947" s="29" t="str">
        <f t="shared" si="30"/>
        <v/>
      </c>
      <c r="FJ947" s="36" t="str">
        <f>IF($FH947="","",SUM($FN947:$FN$7000))</f>
        <v/>
      </c>
      <c r="FK947" s="36" t="str">
        <f>IF($FH947="","",SUM($FN947:$FN$7000))</f>
        <v/>
      </c>
    </row>
    <row r="948" spans="149:167">
      <c r="ES948" s="29"/>
      <c r="EV948" s="28">
        <f t="shared" si="29"/>
        <v>0</v>
      </c>
      <c r="FH948" s="29" t="str">
        <f t="shared" si="30"/>
        <v/>
      </c>
      <c r="FJ948" s="36" t="str">
        <f>IF($FH948="","",SUM($FN948:$FN$7000))</f>
        <v/>
      </c>
      <c r="FK948" s="36" t="str">
        <f>IF($FH948="","",SUM($FN948:$FN$7000))</f>
        <v/>
      </c>
    </row>
    <row r="949" spans="149:167">
      <c r="ES949" s="29"/>
      <c r="EV949" s="28">
        <f t="shared" si="29"/>
        <v>0</v>
      </c>
      <c r="FH949" s="29" t="str">
        <f t="shared" si="30"/>
        <v/>
      </c>
      <c r="FJ949" s="36" t="str">
        <f>IF($FH949="","",SUM($FN949:$FN$7000))</f>
        <v/>
      </c>
      <c r="FK949" s="36" t="str">
        <f>IF($FH949="","",SUM($FN949:$FN$7000))</f>
        <v/>
      </c>
    </row>
    <row r="950" spans="149:167">
      <c r="ES950" s="29"/>
      <c r="EV950" s="28">
        <f t="shared" si="29"/>
        <v>0</v>
      </c>
      <c r="FH950" s="29" t="str">
        <f t="shared" si="30"/>
        <v/>
      </c>
      <c r="FJ950" s="36" t="str">
        <f>IF($FH950="","",SUM($FN950:$FN$7000))</f>
        <v/>
      </c>
      <c r="FK950" s="36" t="str">
        <f>IF($FH950="","",SUM($FN950:$FN$7000))</f>
        <v/>
      </c>
    </row>
    <row r="951" spans="149:167">
      <c r="ES951" s="29"/>
      <c r="EV951" s="28">
        <f t="shared" si="29"/>
        <v>0</v>
      </c>
      <c r="FH951" s="29" t="str">
        <f t="shared" si="30"/>
        <v/>
      </c>
      <c r="FJ951" s="36" t="str">
        <f>IF($FH951="","",SUM($FN951:$FN$7000))</f>
        <v/>
      </c>
      <c r="FK951" s="36" t="str">
        <f>IF($FH951="","",SUM($FN951:$FN$7000))</f>
        <v/>
      </c>
    </row>
    <row r="952" spans="149:167">
      <c r="ES952" s="29"/>
      <c r="EV952" s="28">
        <f t="shared" si="29"/>
        <v>0</v>
      </c>
      <c r="FH952" s="29" t="str">
        <f t="shared" si="30"/>
        <v/>
      </c>
      <c r="FJ952" s="36" t="str">
        <f>IF($FH952="","",SUM($FN952:$FN$7000))</f>
        <v/>
      </c>
      <c r="FK952" s="36" t="str">
        <f>IF($FH952="","",SUM($FN952:$FN$7000))</f>
        <v/>
      </c>
    </row>
    <row r="953" spans="149:167">
      <c r="ES953" s="29"/>
      <c r="EV953" s="28">
        <f t="shared" si="29"/>
        <v>0</v>
      </c>
      <c r="FH953" s="29" t="str">
        <f t="shared" si="30"/>
        <v/>
      </c>
      <c r="FJ953" s="36" t="str">
        <f>IF($FH953="","",SUM($FN953:$FN$7000))</f>
        <v/>
      </c>
      <c r="FK953" s="36" t="str">
        <f>IF($FH953="","",SUM($FN953:$FN$7000))</f>
        <v/>
      </c>
    </row>
    <row r="954" spans="149:167">
      <c r="ES954" s="29"/>
      <c r="EV954" s="28">
        <f t="shared" si="29"/>
        <v>0</v>
      </c>
      <c r="FH954" s="29" t="str">
        <f t="shared" si="30"/>
        <v/>
      </c>
      <c r="FJ954" s="36" t="str">
        <f>IF($FH954="","",SUM($FN954:$FN$7000))</f>
        <v/>
      </c>
      <c r="FK954" s="36" t="str">
        <f>IF($FH954="","",SUM($FN954:$FN$7000))</f>
        <v/>
      </c>
    </row>
    <row r="955" spans="149:167">
      <c r="ES955" s="29"/>
      <c r="EV955" s="28">
        <f t="shared" si="29"/>
        <v>0</v>
      </c>
      <c r="FH955" s="29" t="str">
        <f t="shared" si="30"/>
        <v/>
      </c>
      <c r="FJ955" s="36" t="str">
        <f>IF($FH955="","",SUM($FN955:$FN$7000))</f>
        <v/>
      </c>
      <c r="FK955" s="36" t="str">
        <f>IF($FH955="","",SUM($FN955:$FN$7000))</f>
        <v/>
      </c>
    </row>
    <row r="956" spans="149:167">
      <c r="ES956" s="29"/>
      <c r="EV956" s="28">
        <f t="shared" si="29"/>
        <v>0</v>
      </c>
      <c r="FH956" s="29" t="str">
        <f t="shared" si="30"/>
        <v/>
      </c>
      <c r="FJ956" s="36" t="str">
        <f>IF($FH956="","",SUM($FN956:$FN$7000))</f>
        <v/>
      </c>
      <c r="FK956" s="36" t="str">
        <f>IF($FH956="","",SUM($FN956:$FN$7000))</f>
        <v/>
      </c>
    </row>
    <row r="957" spans="149:167">
      <c r="ES957" s="29"/>
      <c r="EV957" s="28">
        <f t="shared" si="29"/>
        <v>0</v>
      </c>
      <c r="FH957" s="29" t="str">
        <f t="shared" si="30"/>
        <v/>
      </c>
      <c r="FJ957" s="36" t="str">
        <f>IF($FH957="","",SUM($FN957:$FN$7000))</f>
        <v/>
      </c>
      <c r="FK957" s="36" t="str">
        <f>IF($FH957="","",SUM($FN957:$FN$7000))</f>
        <v/>
      </c>
    </row>
    <row r="958" spans="149:167">
      <c r="ES958" s="29"/>
      <c r="EV958" s="28">
        <f t="shared" si="29"/>
        <v>0</v>
      </c>
      <c r="FH958" s="29" t="str">
        <f t="shared" si="30"/>
        <v/>
      </c>
      <c r="FJ958" s="36" t="str">
        <f>IF($FH958="","",SUM($FN958:$FN$7000))</f>
        <v/>
      </c>
      <c r="FK958" s="36" t="str">
        <f>IF($FH958="","",SUM($FN958:$FN$7000))</f>
        <v/>
      </c>
    </row>
    <row r="959" spans="149:167">
      <c r="ES959" s="29"/>
      <c r="EV959" s="28">
        <f t="shared" si="29"/>
        <v>0</v>
      </c>
      <c r="FH959" s="29" t="str">
        <f t="shared" si="30"/>
        <v/>
      </c>
      <c r="FJ959" s="36" t="str">
        <f>IF($FH959="","",SUM($FN959:$FN$7000))</f>
        <v/>
      </c>
      <c r="FK959" s="36" t="str">
        <f>IF($FH959="","",SUM($FN959:$FN$7000))</f>
        <v/>
      </c>
    </row>
    <row r="960" spans="149:167">
      <c r="ES960" s="29"/>
      <c r="EV960" s="28">
        <f t="shared" si="29"/>
        <v>0</v>
      </c>
      <c r="FH960" s="29" t="str">
        <f t="shared" si="30"/>
        <v/>
      </c>
      <c r="FJ960" s="36" t="str">
        <f>IF($FH960="","",SUM($FN960:$FN$7000))</f>
        <v/>
      </c>
      <c r="FK960" s="36" t="str">
        <f>IF($FH960="","",SUM($FN960:$FN$7000))</f>
        <v/>
      </c>
    </row>
    <row r="961" spans="149:167">
      <c r="ES961" s="29"/>
      <c r="EV961" s="28">
        <f t="shared" si="29"/>
        <v>0</v>
      </c>
      <c r="FH961" s="29" t="str">
        <f t="shared" si="30"/>
        <v/>
      </c>
      <c r="FJ961" s="36" t="str">
        <f>IF($FH961="","",SUM($FN961:$FN$7000))</f>
        <v/>
      </c>
      <c r="FK961" s="36" t="str">
        <f>IF($FH961="","",SUM($FN961:$FN$7000))</f>
        <v/>
      </c>
    </row>
    <row r="962" spans="149:167">
      <c r="ES962" s="29"/>
      <c r="EV962" s="28">
        <f t="shared" si="29"/>
        <v>0</v>
      </c>
      <c r="FH962" s="29" t="str">
        <f t="shared" si="30"/>
        <v/>
      </c>
      <c r="FJ962" s="36" t="str">
        <f>IF($FH962="","",SUM($FN962:$FN$7000))</f>
        <v/>
      </c>
      <c r="FK962" s="36" t="str">
        <f>IF($FH962="","",SUM($FN962:$FN$7000))</f>
        <v/>
      </c>
    </row>
    <row r="963" spans="149:167">
      <c r="ES963" s="29"/>
      <c r="EV963" s="28">
        <f t="shared" si="29"/>
        <v>0</v>
      </c>
      <c r="FH963" s="29" t="str">
        <f t="shared" si="30"/>
        <v/>
      </c>
      <c r="FJ963" s="36" t="str">
        <f>IF($FH963="","",SUM($FN963:$FN$7000))</f>
        <v/>
      </c>
      <c r="FK963" s="36" t="str">
        <f>IF($FH963="","",SUM($FN963:$FN$7000))</f>
        <v/>
      </c>
    </row>
    <row r="964" spans="149:167">
      <c r="ES964" s="29"/>
      <c r="EV964" s="28">
        <f t="shared" si="29"/>
        <v>0</v>
      </c>
      <c r="FH964" s="29" t="str">
        <f t="shared" si="30"/>
        <v/>
      </c>
      <c r="FJ964" s="36" t="str">
        <f>IF($FH964="","",SUM($FN964:$FN$7000))</f>
        <v/>
      </c>
      <c r="FK964" s="36" t="str">
        <f>IF($FH964="","",SUM($FN964:$FN$7000))</f>
        <v/>
      </c>
    </row>
    <row r="965" spans="149:167">
      <c r="ES965" s="29"/>
      <c r="EV965" s="28">
        <f t="shared" si="29"/>
        <v>0</v>
      </c>
      <c r="FH965" s="29" t="str">
        <f t="shared" si="30"/>
        <v/>
      </c>
      <c r="FJ965" s="36" t="str">
        <f>IF($FH965="","",SUM($FN965:$FN$7000))</f>
        <v/>
      </c>
      <c r="FK965" s="36" t="str">
        <f>IF($FH965="","",SUM($FN965:$FN$7000))</f>
        <v/>
      </c>
    </row>
    <row r="966" spans="149:167">
      <c r="ES966" s="29"/>
      <c r="EV966" s="28">
        <f t="shared" si="29"/>
        <v>0</v>
      </c>
      <c r="FH966" s="29" t="str">
        <f t="shared" si="30"/>
        <v/>
      </c>
      <c r="FJ966" s="36" t="str">
        <f>IF($FH966="","",SUM($FN966:$FN$7000))</f>
        <v/>
      </c>
      <c r="FK966" s="36" t="str">
        <f>IF($FH966="","",SUM($FN966:$FN$7000))</f>
        <v/>
      </c>
    </row>
    <row r="967" spans="149:167">
      <c r="ES967" s="29"/>
      <c r="EV967" s="28">
        <f t="shared" si="29"/>
        <v>0</v>
      </c>
      <c r="FH967" s="29" t="str">
        <f t="shared" si="30"/>
        <v/>
      </c>
      <c r="FJ967" s="36" t="str">
        <f>IF($FH967="","",SUM($FN967:$FN$7000))</f>
        <v/>
      </c>
      <c r="FK967" s="36" t="str">
        <f>IF($FH967="","",SUM($FN967:$FN$7000))</f>
        <v/>
      </c>
    </row>
    <row r="968" spans="149:167">
      <c r="ES968" s="29"/>
      <c r="EV968" s="28">
        <f t="shared" si="29"/>
        <v>0</v>
      </c>
      <c r="FH968" s="29" t="str">
        <f t="shared" si="30"/>
        <v/>
      </c>
      <c r="FJ968" s="36" t="str">
        <f>IF($FH968="","",SUM($FN968:$FN$7000))</f>
        <v/>
      </c>
      <c r="FK968" s="36" t="str">
        <f>IF($FH968="","",SUM($FN968:$FN$7000))</f>
        <v/>
      </c>
    </row>
    <row r="969" spans="149:167">
      <c r="ES969" s="29"/>
      <c r="EV969" s="28">
        <f t="shared" si="29"/>
        <v>0</v>
      </c>
      <c r="FH969" s="29" t="str">
        <f t="shared" si="30"/>
        <v/>
      </c>
      <c r="FJ969" s="36" t="str">
        <f>IF($FH969="","",SUM($FN969:$FN$7000))</f>
        <v/>
      </c>
      <c r="FK969" s="36" t="str">
        <f>IF($FH969="","",SUM($FN969:$FN$7000))</f>
        <v/>
      </c>
    </row>
    <row r="970" spans="149:167">
      <c r="ES970" s="29"/>
      <c r="EV970" s="28">
        <f t="shared" si="29"/>
        <v>0</v>
      </c>
      <c r="FH970" s="29" t="str">
        <f t="shared" si="30"/>
        <v/>
      </c>
      <c r="FJ970" s="36" t="str">
        <f>IF($FH970="","",SUM($FN970:$FN$7000))</f>
        <v/>
      </c>
      <c r="FK970" s="36" t="str">
        <f>IF($FH970="","",SUM($FN970:$FN$7000))</f>
        <v/>
      </c>
    </row>
    <row r="971" spans="149:167">
      <c r="ES971" s="29"/>
      <c r="EV971" s="28">
        <f t="shared" ref="EV971:EV1034" si="31">EU971-ET971</f>
        <v>0</v>
      </c>
      <c r="FH971" s="29" t="str">
        <f t="shared" ref="FH971:FH1034" si="32">IF(FL971="","",FL971)</f>
        <v/>
      </c>
      <c r="FJ971" s="36" t="str">
        <f>IF($FH971="","",SUM($FN971:$FN$7000))</f>
        <v/>
      </c>
      <c r="FK971" s="36" t="str">
        <f>IF($FH971="","",SUM($FN971:$FN$7000))</f>
        <v/>
      </c>
    </row>
    <row r="972" spans="149:167">
      <c r="ES972" s="29"/>
      <c r="EV972" s="28">
        <f t="shared" si="31"/>
        <v>0</v>
      </c>
      <c r="FH972" s="29" t="str">
        <f t="shared" si="32"/>
        <v/>
      </c>
      <c r="FJ972" s="36" t="str">
        <f>IF($FH972="","",SUM($FN972:$FN$7000))</f>
        <v/>
      </c>
      <c r="FK972" s="36" t="str">
        <f>IF($FH972="","",SUM($FN972:$FN$7000))</f>
        <v/>
      </c>
    </row>
    <row r="973" spans="149:167">
      <c r="ES973" s="29"/>
      <c r="EV973" s="28">
        <f t="shared" si="31"/>
        <v>0</v>
      </c>
      <c r="FH973" s="29" t="str">
        <f t="shared" si="32"/>
        <v/>
      </c>
      <c r="FJ973" s="36" t="str">
        <f>IF($FH973="","",SUM($FN973:$FN$7000))</f>
        <v/>
      </c>
      <c r="FK973" s="36" t="str">
        <f>IF($FH973="","",SUM($FN973:$FN$7000))</f>
        <v/>
      </c>
    </row>
    <row r="974" spans="149:167">
      <c r="ES974" s="29"/>
      <c r="EV974" s="28">
        <f t="shared" si="31"/>
        <v>0</v>
      </c>
      <c r="FH974" s="29" t="str">
        <f t="shared" si="32"/>
        <v/>
      </c>
      <c r="FJ974" s="36" t="str">
        <f>IF($FH974="","",SUM($FN974:$FN$7000))</f>
        <v/>
      </c>
      <c r="FK974" s="36" t="str">
        <f>IF($FH974="","",SUM($FN974:$FN$7000))</f>
        <v/>
      </c>
    </row>
    <row r="975" spans="149:167">
      <c r="ES975" s="29"/>
      <c r="EV975" s="28">
        <f t="shared" si="31"/>
        <v>0</v>
      </c>
      <c r="FH975" s="29" t="str">
        <f t="shared" si="32"/>
        <v/>
      </c>
      <c r="FJ975" s="36" t="str">
        <f>IF($FH975="","",SUM($FN975:$FN$7000))</f>
        <v/>
      </c>
      <c r="FK975" s="36" t="str">
        <f>IF($FH975="","",SUM($FN975:$FN$7000))</f>
        <v/>
      </c>
    </row>
    <row r="976" spans="149:167">
      <c r="ES976" s="29"/>
      <c r="EV976" s="28">
        <f t="shared" si="31"/>
        <v>0</v>
      </c>
      <c r="FH976" s="29" t="str">
        <f t="shared" si="32"/>
        <v/>
      </c>
      <c r="FJ976" s="36" t="str">
        <f>IF($FH976="","",SUM($FN976:$FN$7000))</f>
        <v/>
      </c>
      <c r="FK976" s="36" t="str">
        <f>IF($FH976="","",SUM($FN976:$FN$7000))</f>
        <v/>
      </c>
    </row>
    <row r="977" spans="149:167">
      <c r="ES977" s="29"/>
      <c r="EV977" s="28">
        <f t="shared" si="31"/>
        <v>0</v>
      </c>
      <c r="FH977" s="29" t="str">
        <f t="shared" si="32"/>
        <v/>
      </c>
      <c r="FJ977" s="36" t="str">
        <f>IF($FH977="","",SUM($FN977:$FN$7000))</f>
        <v/>
      </c>
      <c r="FK977" s="36" t="str">
        <f>IF($FH977="","",SUM($FN977:$FN$7000))</f>
        <v/>
      </c>
    </row>
    <row r="978" spans="149:167">
      <c r="ES978" s="29"/>
      <c r="EV978" s="28">
        <f t="shared" si="31"/>
        <v>0</v>
      </c>
      <c r="FH978" s="29" t="str">
        <f t="shared" si="32"/>
        <v/>
      </c>
      <c r="FJ978" s="36" t="str">
        <f>IF($FH978="","",SUM($FN978:$FN$7000))</f>
        <v/>
      </c>
      <c r="FK978" s="36" t="str">
        <f>IF($FH978="","",SUM($FN978:$FN$7000))</f>
        <v/>
      </c>
    </row>
    <row r="979" spans="149:167">
      <c r="ES979" s="29"/>
      <c r="EV979" s="28">
        <f t="shared" si="31"/>
        <v>0</v>
      </c>
      <c r="FH979" s="29" t="str">
        <f t="shared" si="32"/>
        <v/>
      </c>
      <c r="FJ979" s="36" t="str">
        <f>IF($FH979="","",SUM($FN979:$FN$7000))</f>
        <v/>
      </c>
      <c r="FK979" s="36" t="str">
        <f>IF($FH979="","",SUM($FN979:$FN$7000))</f>
        <v/>
      </c>
    </row>
    <row r="980" spans="149:167">
      <c r="ES980" s="29"/>
      <c r="EV980" s="28">
        <f t="shared" si="31"/>
        <v>0</v>
      </c>
      <c r="FH980" s="29" t="str">
        <f t="shared" si="32"/>
        <v/>
      </c>
      <c r="FJ980" s="36" t="str">
        <f>IF($FH980="","",SUM($FN980:$FN$7000))</f>
        <v/>
      </c>
      <c r="FK980" s="36" t="str">
        <f>IF($FH980="","",SUM($FN980:$FN$7000))</f>
        <v/>
      </c>
    </row>
    <row r="981" spans="149:167">
      <c r="ES981" s="29"/>
      <c r="EV981" s="28">
        <f t="shared" si="31"/>
        <v>0</v>
      </c>
      <c r="FH981" s="29" t="str">
        <f t="shared" si="32"/>
        <v/>
      </c>
      <c r="FJ981" s="36" t="str">
        <f>IF($FH981="","",SUM($FN981:$FN$7000))</f>
        <v/>
      </c>
      <c r="FK981" s="36" t="str">
        <f>IF($FH981="","",SUM($FN981:$FN$7000))</f>
        <v/>
      </c>
    </row>
    <row r="982" spans="149:167">
      <c r="ES982" s="29"/>
      <c r="EV982" s="28">
        <f t="shared" si="31"/>
        <v>0</v>
      </c>
      <c r="FH982" s="29" t="str">
        <f t="shared" si="32"/>
        <v/>
      </c>
      <c r="FJ982" s="36" t="str">
        <f>IF($FH982="","",SUM($FN982:$FN$7000))</f>
        <v/>
      </c>
      <c r="FK982" s="36" t="str">
        <f>IF($FH982="","",SUM($FN982:$FN$7000))</f>
        <v/>
      </c>
    </row>
    <row r="983" spans="149:167">
      <c r="ES983" s="29"/>
      <c r="EV983" s="28">
        <f t="shared" si="31"/>
        <v>0</v>
      </c>
      <c r="FH983" s="29" t="str">
        <f t="shared" si="32"/>
        <v/>
      </c>
      <c r="FJ983" s="36" t="str">
        <f>IF($FH983="","",SUM($FN983:$FN$7000))</f>
        <v/>
      </c>
      <c r="FK983" s="36" t="str">
        <f>IF($FH983="","",SUM($FN983:$FN$7000))</f>
        <v/>
      </c>
    </row>
    <row r="984" spans="149:167">
      <c r="ES984" s="29"/>
      <c r="EV984" s="28">
        <f t="shared" si="31"/>
        <v>0</v>
      </c>
      <c r="FH984" s="29" t="str">
        <f t="shared" si="32"/>
        <v/>
      </c>
      <c r="FJ984" s="36" t="str">
        <f>IF($FH984="","",SUM($FN984:$FN$7000))</f>
        <v/>
      </c>
      <c r="FK984" s="36" t="str">
        <f>IF($FH984="","",SUM($FN984:$FN$7000))</f>
        <v/>
      </c>
    </row>
    <row r="985" spans="149:167">
      <c r="ES985" s="29"/>
      <c r="EV985" s="28">
        <f t="shared" si="31"/>
        <v>0</v>
      </c>
      <c r="FH985" s="29" t="str">
        <f t="shared" si="32"/>
        <v/>
      </c>
      <c r="FJ985" s="36" t="str">
        <f>IF($FH985="","",SUM($FN985:$FN$7000))</f>
        <v/>
      </c>
      <c r="FK985" s="36" t="str">
        <f>IF($FH985="","",SUM($FN985:$FN$7000))</f>
        <v/>
      </c>
    </row>
    <row r="986" spans="149:167">
      <c r="ES986" s="29"/>
      <c r="EV986" s="28">
        <f t="shared" si="31"/>
        <v>0</v>
      </c>
      <c r="FH986" s="29" t="str">
        <f t="shared" si="32"/>
        <v/>
      </c>
      <c r="FJ986" s="36" t="str">
        <f>IF($FH986="","",SUM($FN986:$FN$7000))</f>
        <v/>
      </c>
      <c r="FK986" s="36" t="str">
        <f>IF($FH986="","",SUM($FN986:$FN$7000))</f>
        <v/>
      </c>
    </row>
    <row r="987" spans="149:167">
      <c r="ES987" s="29"/>
      <c r="EV987" s="28">
        <f t="shared" si="31"/>
        <v>0</v>
      </c>
      <c r="FH987" s="29" t="str">
        <f t="shared" si="32"/>
        <v/>
      </c>
      <c r="FJ987" s="36" t="str">
        <f>IF($FH987="","",SUM($FN987:$FN$7000))</f>
        <v/>
      </c>
      <c r="FK987" s="36" t="str">
        <f>IF($FH987="","",SUM($FN987:$FN$7000))</f>
        <v/>
      </c>
    </row>
    <row r="988" spans="149:167">
      <c r="ES988" s="29"/>
      <c r="EV988" s="28">
        <f t="shared" si="31"/>
        <v>0</v>
      </c>
      <c r="FH988" s="29" t="str">
        <f t="shared" si="32"/>
        <v/>
      </c>
      <c r="FJ988" s="36" t="str">
        <f>IF($FH988="","",SUM($FN988:$FN$7000))</f>
        <v/>
      </c>
      <c r="FK988" s="36" t="str">
        <f>IF($FH988="","",SUM($FN988:$FN$7000))</f>
        <v/>
      </c>
    </row>
    <row r="989" spans="149:167">
      <c r="ES989" s="29"/>
      <c r="EV989" s="28">
        <f t="shared" si="31"/>
        <v>0</v>
      </c>
      <c r="FH989" s="29" t="str">
        <f t="shared" si="32"/>
        <v/>
      </c>
      <c r="FJ989" s="36" t="str">
        <f>IF($FH989="","",SUM($FN989:$FN$7000))</f>
        <v/>
      </c>
      <c r="FK989" s="36" t="str">
        <f>IF($FH989="","",SUM($FN989:$FN$7000))</f>
        <v/>
      </c>
    </row>
    <row r="990" spans="149:167">
      <c r="ES990" s="29"/>
      <c r="EV990" s="28">
        <f t="shared" si="31"/>
        <v>0</v>
      </c>
      <c r="FH990" s="29" t="str">
        <f t="shared" si="32"/>
        <v/>
      </c>
      <c r="FJ990" s="36" t="str">
        <f>IF($FH990="","",SUM($FN990:$FN$7000))</f>
        <v/>
      </c>
      <c r="FK990" s="36" t="str">
        <f>IF($FH990="","",SUM($FN990:$FN$7000))</f>
        <v/>
      </c>
    </row>
    <row r="991" spans="149:167">
      <c r="ES991" s="29"/>
      <c r="EV991" s="28">
        <f t="shared" si="31"/>
        <v>0</v>
      </c>
      <c r="FH991" s="29" t="str">
        <f t="shared" si="32"/>
        <v/>
      </c>
      <c r="FJ991" s="36" t="str">
        <f>IF($FH991="","",SUM($FN991:$FN$7000))</f>
        <v/>
      </c>
      <c r="FK991" s="36" t="str">
        <f>IF($FH991="","",SUM($FN991:$FN$7000))</f>
        <v/>
      </c>
    </row>
    <row r="992" spans="149:167">
      <c r="ES992" s="29"/>
      <c r="EV992" s="28">
        <f t="shared" si="31"/>
        <v>0</v>
      </c>
      <c r="FH992" s="29" t="str">
        <f t="shared" si="32"/>
        <v/>
      </c>
      <c r="FJ992" s="36" t="str">
        <f>IF($FH992="","",SUM($FN992:$FN$7000))</f>
        <v/>
      </c>
      <c r="FK992" s="36" t="str">
        <f>IF($FH992="","",SUM($FN992:$FN$7000))</f>
        <v/>
      </c>
    </row>
    <row r="993" spans="149:167">
      <c r="ES993" s="29"/>
      <c r="EV993" s="28">
        <f t="shared" si="31"/>
        <v>0</v>
      </c>
      <c r="FH993" s="29" t="str">
        <f t="shared" si="32"/>
        <v/>
      </c>
      <c r="FJ993" s="36" t="str">
        <f>IF($FH993="","",SUM($FN993:$FN$7000))</f>
        <v/>
      </c>
      <c r="FK993" s="36" t="str">
        <f>IF($FH993="","",SUM($FN993:$FN$7000))</f>
        <v/>
      </c>
    </row>
    <row r="994" spans="149:167">
      <c r="ES994" s="29"/>
      <c r="EV994" s="28">
        <f t="shared" si="31"/>
        <v>0</v>
      </c>
      <c r="FH994" s="29" t="str">
        <f t="shared" si="32"/>
        <v/>
      </c>
      <c r="FJ994" s="36" t="str">
        <f>IF($FH994="","",SUM($FN994:$FN$7000))</f>
        <v/>
      </c>
      <c r="FK994" s="36" t="str">
        <f>IF($FH994="","",SUM($FN994:$FN$7000))</f>
        <v/>
      </c>
    </row>
    <row r="995" spans="149:167">
      <c r="ES995" s="29"/>
      <c r="EV995" s="28">
        <f t="shared" si="31"/>
        <v>0</v>
      </c>
      <c r="FH995" s="29" t="str">
        <f t="shared" si="32"/>
        <v/>
      </c>
      <c r="FJ995" s="36" t="str">
        <f>IF($FH995="","",SUM($FN995:$FN$7000))</f>
        <v/>
      </c>
      <c r="FK995" s="36" t="str">
        <f>IF($FH995="","",SUM($FN995:$FN$7000))</f>
        <v/>
      </c>
    </row>
    <row r="996" spans="149:167">
      <c r="ES996" s="29"/>
      <c r="EV996" s="28">
        <f t="shared" si="31"/>
        <v>0</v>
      </c>
      <c r="FH996" s="29" t="str">
        <f t="shared" si="32"/>
        <v/>
      </c>
      <c r="FJ996" s="36" t="str">
        <f>IF($FH996="","",SUM($FN996:$FN$7000))</f>
        <v/>
      </c>
      <c r="FK996" s="36" t="str">
        <f>IF($FH996="","",SUM($FN996:$FN$7000))</f>
        <v/>
      </c>
    </row>
    <row r="997" spans="149:167">
      <c r="ES997" s="29"/>
      <c r="EV997" s="28">
        <f t="shared" si="31"/>
        <v>0</v>
      </c>
      <c r="FH997" s="29" t="str">
        <f t="shared" si="32"/>
        <v/>
      </c>
      <c r="FJ997" s="36" t="str">
        <f>IF($FH997="","",SUM($FN997:$FN$7000))</f>
        <v/>
      </c>
      <c r="FK997" s="36" t="str">
        <f>IF($FH997="","",SUM($FN997:$FN$7000))</f>
        <v/>
      </c>
    </row>
    <row r="998" spans="149:167">
      <c r="ES998" s="29"/>
      <c r="EV998" s="28">
        <f t="shared" si="31"/>
        <v>0</v>
      </c>
      <c r="FH998" s="29" t="str">
        <f t="shared" si="32"/>
        <v/>
      </c>
      <c r="FJ998" s="36" t="str">
        <f>IF($FH998="","",SUM($FN998:$FN$7000))</f>
        <v/>
      </c>
      <c r="FK998" s="36" t="str">
        <f>IF($FH998="","",SUM($FN998:$FN$7000))</f>
        <v/>
      </c>
    </row>
    <row r="999" spans="149:167">
      <c r="ES999" s="29"/>
      <c r="EV999" s="28">
        <f t="shared" si="31"/>
        <v>0</v>
      </c>
      <c r="FH999" s="29" t="str">
        <f t="shared" si="32"/>
        <v/>
      </c>
      <c r="FJ999" s="36" t="str">
        <f>IF($FH999="","",SUM($FN999:$FN$7000))</f>
        <v/>
      </c>
      <c r="FK999" s="36" t="str">
        <f>IF($FH999="","",SUM($FN999:$FN$7000))</f>
        <v/>
      </c>
    </row>
    <row r="1000" spans="149:167">
      <c r="ES1000" s="29"/>
      <c r="EV1000" s="28">
        <f t="shared" si="31"/>
        <v>0</v>
      </c>
      <c r="FH1000" s="29" t="str">
        <f t="shared" si="32"/>
        <v/>
      </c>
      <c r="FJ1000" s="36" t="str">
        <f>IF($FH1000="","",SUM($FN1000:$FN$7000))</f>
        <v/>
      </c>
      <c r="FK1000" s="36" t="str">
        <f>IF($FH1000="","",SUM($FN1000:$FN$7000))</f>
        <v/>
      </c>
    </row>
    <row r="1001" spans="149:167">
      <c r="ES1001" s="29"/>
      <c r="EV1001" s="28">
        <f t="shared" si="31"/>
        <v>0</v>
      </c>
      <c r="FH1001" s="29" t="str">
        <f t="shared" si="32"/>
        <v/>
      </c>
      <c r="FJ1001" s="36" t="str">
        <f>IF($FH1001="","",SUM($FN1001:$FN$7000))</f>
        <v/>
      </c>
      <c r="FK1001" s="36" t="str">
        <f>IF($FH1001="","",SUM($FN1001:$FN$7000))</f>
        <v/>
      </c>
    </row>
    <row r="1002" spans="149:167">
      <c r="ES1002" s="29"/>
      <c r="EV1002" s="28">
        <f t="shared" si="31"/>
        <v>0</v>
      </c>
      <c r="FH1002" s="29" t="str">
        <f t="shared" si="32"/>
        <v/>
      </c>
      <c r="FJ1002" s="36" t="str">
        <f>IF($FH1002="","",SUM($FN1002:$FN$7000))</f>
        <v/>
      </c>
      <c r="FK1002" s="36" t="str">
        <f>IF($FH1002="","",SUM($FN1002:$FN$7000))</f>
        <v/>
      </c>
    </row>
    <row r="1003" spans="149:167">
      <c r="ES1003" s="29"/>
      <c r="EV1003" s="28">
        <f t="shared" si="31"/>
        <v>0</v>
      </c>
      <c r="FH1003" s="29" t="str">
        <f t="shared" si="32"/>
        <v/>
      </c>
      <c r="FJ1003" s="36" t="str">
        <f>IF($FH1003="","",SUM($FN1003:$FN$7000))</f>
        <v/>
      </c>
      <c r="FK1003" s="36" t="str">
        <f>IF($FH1003="","",SUM($FN1003:$FN$7000))</f>
        <v/>
      </c>
    </row>
    <row r="1004" spans="149:167">
      <c r="ES1004" s="29"/>
      <c r="EV1004" s="28">
        <f t="shared" si="31"/>
        <v>0</v>
      </c>
      <c r="FH1004" s="29" t="str">
        <f t="shared" si="32"/>
        <v/>
      </c>
      <c r="FJ1004" s="36" t="str">
        <f>IF($FH1004="","",SUM($FN1004:$FN$7000))</f>
        <v/>
      </c>
      <c r="FK1004" s="36" t="str">
        <f>IF($FH1004="","",SUM($FN1004:$FN$7000))</f>
        <v/>
      </c>
    </row>
    <row r="1005" spans="149:167">
      <c r="ES1005" s="29"/>
      <c r="EV1005" s="28">
        <f t="shared" si="31"/>
        <v>0</v>
      </c>
      <c r="FH1005" s="29" t="str">
        <f t="shared" si="32"/>
        <v/>
      </c>
      <c r="FJ1005" s="36" t="str">
        <f>IF($FH1005="","",SUM($FN1005:$FN$7000))</f>
        <v/>
      </c>
      <c r="FK1005" s="36" t="str">
        <f>IF($FH1005="","",SUM($FN1005:$FN$7000))</f>
        <v/>
      </c>
    </row>
    <row r="1006" spans="149:167">
      <c r="ES1006" s="29"/>
      <c r="EV1006" s="28">
        <f t="shared" si="31"/>
        <v>0</v>
      </c>
      <c r="FH1006" s="29" t="str">
        <f t="shared" si="32"/>
        <v/>
      </c>
      <c r="FJ1006" s="36" t="str">
        <f>IF($FH1006="","",SUM($FN1006:$FN$7000))</f>
        <v/>
      </c>
      <c r="FK1006" s="36" t="str">
        <f>IF($FH1006="","",SUM($FN1006:$FN$7000))</f>
        <v/>
      </c>
    </row>
    <row r="1007" spans="149:167">
      <c r="ES1007" s="29"/>
      <c r="EV1007" s="28">
        <f t="shared" si="31"/>
        <v>0</v>
      </c>
      <c r="FH1007" s="29" t="str">
        <f t="shared" si="32"/>
        <v/>
      </c>
      <c r="FJ1007" s="36" t="str">
        <f>IF($FH1007="","",SUM($FN1007:$FN$7000))</f>
        <v/>
      </c>
      <c r="FK1007" s="36" t="str">
        <f>IF($FH1007="","",SUM($FN1007:$FN$7000))</f>
        <v/>
      </c>
    </row>
    <row r="1008" spans="149:167">
      <c r="ES1008" s="29"/>
      <c r="EV1008" s="28">
        <f t="shared" si="31"/>
        <v>0</v>
      </c>
      <c r="FH1008" s="29" t="str">
        <f t="shared" si="32"/>
        <v/>
      </c>
      <c r="FJ1008" s="36" t="str">
        <f>IF($FH1008="","",SUM($FN1008:$FN$7000))</f>
        <v/>
      </c>
      <c r="FK1008" s="36" t="str">
        <f>IF($FH1008="","",SUM($FN1008:$FN$7000))</f>
        <v/>
      </c>
    </row>
    <row r="1009" spans="149:167">
      <c r="ES1009" s="29"/>
      <c r="EV1009" s="28">
        <f t="shared" si="31"/>
        <v>0</v>
      </c>
      <c r="FH1009" s="29" t="str">
        <f t="shared" si="32"/>
        <v/>
      </c>
      <c r="FJ1009" s="36" t="str">
        <f>IF($FH1009="","",SUM($FN1009:$FN$7000))</f>
        <v/>
      </c>
      <c r="FK1009" s="36" t="str">
        <f>IF($FH1009="","",SUM($FN1009:$FN$7000))</f>
        <v/>
      </c>
    </row>
    <row r="1010" spans="149:167">
      <c r="EV1010" s="28">
        <f t="shared" si="31"/>
        <v>0</v>
      </c>
      <c r="FH1010" s="29" t="str">
        <f t="shared" si="32"/>
        <v/>
      </c>
      <c r="FJ1010" s="36" t="str">
        <f>IF($FH1010="","",SUM($FN1010:$FN$7000))</f>
        <v/>
      </c>
      <c r="FK1010" s="36" t="str">
        <f>IF($FH1010="","",SUM($FN1010:$FN$7000))</f>
        <v/>
      </c>
    </row>
    <row r="1011" spans="149:167">
      <c r="EV1011" s="28">
        <f t="shared" si="31"/>
        <v>0</v>
      </c>
      <c r="FH1011" s="29" t="str">
        <f t="shared" si="32"/>
        <v/>
      </c>
      <c r="FJ1011" s="36" t="str">
        <f>IF($FH1011="","",SUM($FN1011:$FN$7000))</f>
        <v/>
      </c>
      <c r="FK1011" s="36" t="str">
        <f>IF($FH1011="","",SUM($FN1011:$FN$7000))</f>
        <v/>
      </c>
    </row>
    <row r="1012" spans="149:167">
      <c r="EV1012" s="28">
        <f t="shared" si="31"/>
        <v>0</v>
      </c>
      <c r="FH1012" s="29" t="str">
        <f t="shared" si="32"/>
        <v/>
      </c>
      <c r="FJ1012" s="36" t="str">
        <f>IF($FH1012="","",SUM($FN1012:$FN$7000))</f>
        <v/>
      </c>
      <c r="FK1012" s="36" t="str">
        <f>IF($FH1012="","",SUM($FN1012:$FN$7000))</f>
        <v/>
      </c>
    </row>
    <row r="1013" spans="149:167">
      <c r="EV1013" s="28">
        <f t="shared" si="31"/>
        <v>0</v>
      </c>
      <c r="FH1013" s="29" t="str">
        <f t="shared" si="32"/>
        <v/>
      </c>
      <c r="FJ1013" s="36" t="str">
        <f>IF($FH1013="","",SUM($FN1013:$FN$7000))</f>
        <v/>
      </c>
      <c r="FK1013" s="36" t="str">
        <f>IF($FH1013="","",SUM($FN1013:$FN$7000))</f>
        <v/>
      </c>
    </row>
    <row r="1014" spans="149:167">
      <c r="EV1014" s="28">
        <f t="shared" si="31"/>
        <v>0</v>
      </c>
      <c r="FH1014" s="29" t="str">
        <f t="shared" si="32"/>
        <v/>
      </c>
      <c r="FJ1014" s="36" t="str">
        <f>IF($FH1014="","",SUM($FN1014:$FN$7000))</f>
        <v/>
      </c>
      <c r="FK1014" s="36" t="str">
        <f>IF($FH1014="","",SUM($FN1014:$FN$7000))</f>
        <v/>
      </c>
    </row>
    <row r="1015" spans="149:167">
      <c r="EV1015" s="28">
        <f t="shared" si="31"/>
        <v>0</v>
      </c>
      <c r="FH1015" s="29" t="str">
        <f t="shared" si="32"/>
        <v/>
      </c>
      <c r="FJ1015" s="36" t="str">
        <f>IF($FH1015="","",SUM($FN1015:$FN$7000))</f>
        <v/>
      </c>
      <c r="FK1015" s="36" t="str">
        <f>IF($FH1015="","",SUM($FN1015:$FN$7000))</f>
        <v/>
      </c>
    </row>
    <row r="1016" spans="149:167">
      <c r="EV1016" s="28">
        <f t="shared" si="31"/>
        <v>0</v>
      </c>
      <c r="FH1016" s="29" t="str">
        <f t="shared" si="32"/>
        <v/>
      </c>
      <c r="FJ1016" s="36" t="str">
        <f>IF($FH1016="","",SUM($FN1016:$FN$7000))</f>
        <v/>
      </c>
      <c r="FK1016" s="36" t="str">
        <f>IF($FH1016="","",SUM($FN1016:$FN$7000))</f>
        <v/>
      </c>
    </row>
    <row r="1017" spans="149:167">
      <c r="EV1017" s="28">
        <f t="shared" si="31"/>
        <v>0</v>
      </c>
      <c r="FH1017" s="29" t="str">
        <f t="shared" si="32"/>
        <v/>
      </c>
      <c r="FJ1017" s="36" t="str">
        <f>IF($FH1017="","",SUM($FN1017:$FN$7000))</f>
        <v/>
      </c>
      <c r="FK1017" s="36" t="str">
        <f>IF($FH1017="","",SUM($FN1017:$FN$7000))</f>
        <v/>
      </c>
    </row>
    <row r="1018" spans="149:167">
      <c r="EV1018" s="28">
        <f t="shared" si="31"/>
        <v>0</v>
      </c>
      <c r="FH1018" s="29" t="str">
        <f t="shared" si="32"/>
        <v/>
      </c>
      <c r="FJ1018" s="36" t="str">
        <f>IF($FH1018="","",SUM($FN1018:$FN$7000))</f>
        <v/>
      </c>
      <c r="FK1018" s="36" t="str">
        <f>IF($FH1018="","",SUM($FN1018:$FN$7000))</f>
        <v/>
      </c>
    </row>
    <row r="1019" spans="149:167">
      <c r="EV1019" s="28">
        <f t="shared" si="31"/>
        <v>0</v>
      </c>
      <c r="FH1019" s="29" t="str">
        <f t="shared" si="32"/>
        <v/>
      </c>
      <c r="FJ1019" s="36" t="str">
        <f>IF($FH1019="","",SUM($FN1019:$FN$7000))</f>
        <v/>
      </c>
      <c r="FK1019" s="36" t="str">
        <f>IF($FH1019="","",SUM($FN1019:$FN$7000))</f>
        <v/>
      </c>
    </row>
    <row r="1020" spans="149:167">
      <c r="EV1020" s="28">
        <f t="shared" si="31"/>
        <v>0</v>
      </c>
      <c r="FH1020" s="29" t="str">
        <f t="shared" si="32"/>
        <v/>
      </c>
      <c r="FJ1020" s="36" t="str">
        <f>IF($FH1020="","",SUM($FN1020:$FN$7000))</f>
        <v/>
      </c>
      <c r="FK1020" s="36" t="str">
        <f>IF($FH1020="","",SUM($FN1020:$FN$7000))</f>
        <v/>
      </c>
    </row>
    <row r="1021" spans="149:167">
      <c r="EV1021" s="28">
        <f t="shared" si="31"/>
        <v>0</v>
      </c>
      <c r="FH1021" s="29" t="str">
        <f t="shared" si="32"/>
        <v/>
      </c>
      <c r="FJ1021" s="36" t="str">
        <f>IF($FH1021="","",SUM($FN1021:$FN$7000))</f>
        <v/>
      </c>
      <c r="FK1021" s="36" t="str">
        <f>IF($FH1021="","",SUM($FN1021:$FN$7000))</f>
        <v/>
      </c>
    </row>
    <row r="1022" spans="149:167">
      <c r="EV1022" s="28">
        <f t="shared" si="31"/>
        <v>0</v>
      </c>
      <c r="FH1022" s="29" t="str">
        <f t="shared" si="32"/>
        <v/>
      </c>
      <c r="FJ1022" s="36" t="str">
        <f>IF($FH1022="","",SUM($FN1022:$FN$7000))</f>
        <v/>
      </c>
      <c r="FK1022" s="36" t="str">
        <f>IF($FH1022="","",SUM($FN1022:$FN$7000))</f>
        <v/>
      </c>
    </row>
    <row r="1023" spans="149:167">
      <c r="EV1023" s="28">
        <f t="shared" si="31"/>
        <v>0</v>
      </c>
      <c r="FH1023" s="29" t="str">
        <f t="shared" si="32"/>
        <v/>
      </c>
      <c r="FJ1023" s="36" t="str">
        <f>IF($FH1023="","",SUM($FN1023:$FN$7000))</f>
        <v/>
      </c>
      <c r="FK1023" s="36" t="str">
        <f>IF($FH1023="","",SUM($FN1023:$FN$7000))</f>
        <v/>
      </c>
    </row>
    <row r="1024" spans="149:167">
      <c r="EV1024" s="28">
        <f t="shared" si="31"/>
        <v>0</v>
      </c>
      <c r="FH1024" s="29" t="str">
        <f t="shared" si="32"/>
        <v/>
      </c>
      <c r="FJ1024" s="36" t="str">
        <f>IF($FH1024="","",SUM($FN1024:$FN$7000))</f>
        <v/>
      </c>
      <c r="FK1024" s="36" t="str">
        <f>IF($FH1024="","",SUM($FN1024:$FN$7000))</f>
        <v/>
      </c>
    </row>
    <row r="1025" spans="152:167">
      <c r="EV1025" s="28">
        <f t="shared" si="31"/>
        <v>0</v>
      </c>
      <c r="FH1025" s="29" t="str">
        <f t="shared" si="32"/>
        <v/>
      </c>
      <c r="FJ1025" s="36" t="str">
        <f>IF($FH1025="","",SUM($FN1025:$FN$7000))</f>
        <v/>
      </c>
      <c r="FK1025" s="36" t="str">
        <f>IF($FH1025="","",SUM($FN1025:$FN$7000))</f>
        <v/>
      </c>
    </row>
    <row r="1026" spans="152:167">
      <c r="EV1026" s="28">
        <f t="shared" si="31"/>
        <v>0</v>
      </c>
      <c r="FH1026" s="29" t="str">
        <f t="shared" si="32"/>
        <v/>
      </c>
      <c r="FJ1026" s="36" t="str">
        <f>IF($FH1026="","",SUM($FN1026:$FN$7000))</f>
        <v/>
      </c>
      <c r="FK1026" s="36" t="str">
        <f>IF($FH1026="","",SUM($FN1026:$FN$7000))</f>
        <v/>
      </c>
    </row>
    <row r="1027" spans="152:167">
      <c r="EV1027" s="28">
        <f t="shared" si="31"/>
        <v>0</v>
      </c>
      <c r="FH1027" s="29" t="str">
        <f t="shared" si="32"/>
        <v/>
      </c>
      <c r="FJ1027" s="36" t="str">
        <f>IF($FH1027="","",SUM($FN1027:$FN$7000))</f>
        <v/>
      </c>
      <c r="FK1027" s="36" t="str">
        <f>IF($FH1027="","",SUM($FN1027:$FN$7000))</f>
        <v/>
      </c>
    </row>
    <row r="1028" spans="152:167">
      <c r="EV1028" s="28">
        <f t="shared" si="31"/>
        <v>0</v>
      </c>
      <c r="FH1028" s="29" t="str">
        <f t="shared" si="32"/>
        <v/>
      </c>
      <c r="FJ1028" s="36" t="str">
        <f>IF($FH1028="","",SUM($FN1028:$FN$7000))</f>
        <v/>
      </c>
      <c r="FK1028" s="36" t="str">
        <f>IF($FH1028="","",SUM($FN1028:$FN$7000))</f>
        <v/>
      </c>
    </row>
    <row r="1029" spans="152:167">
      <c r="EV1029" s="28">
        <f t="shared" si="31"/>
        <v>0</v>
      </c>
      <c r="FH1029" s="29" t="str">
        <f t="shared" si="32"/>
        <v/>
      </c>
      <c r="FJ1029" s="36" t="str">
        <f>IF($FH1029="","",SUM($FN1029:$FN$7000))</f>
        <v/>
      </c>
      <c r="FK1029" s="36" t="str">
        <f>IF($FH1029="","",SUM($FN1029:$FN$7000))</f>
        <v/>
      </c>
    </row>
    <row r="1030" spans="152:167">
      <c r="EV1030" s="28">
        <f t="shared" si="31"/>
        <v>0</v>
      </c>
      <c r="FH1030" s="29" t="str">
        <f t="shared" si="32"/>
        <v/>
      </c>
      <c r="FJ1030" s="36" t="str">
        <f>IF($FH1030="","",SUM($FN1030:$FN$7000))</f>
        <v/>
      </c>
      <c r="FK1030" s="36" t="str">
        <f>IF($FH1030="","",SUM($FN1030:$FN$7000))</f>
        <v/>
      </c>
    </row>
    <row r="1031" spans="152:167">
      <c r="EV1031" s="28">
        <f t="shared" si="31"/>
        <v>0</v>
      </c>
      <c r="FH1031" s="29" t="str">
        <f t="shared" si="32"/>
        <v/>
      </c>
      <c r="FJ1031" s="36" t="str">
        <f>IF($FH1031="","",SUM($FN1031:$FN$7000))</f>
        <v/>
      </c>
      <c r="FK1031" s="36" t="str">
        <f>IF($FH1031="","",SUM($FN1031:$FN$7000))</f>
        <v/>
      </c>
    </row>
    <row r="1032" spans="152:167">
      <c r="EV1032" s="28">
        <f t="shared" si="31"/>
        <v>0</v>
      </c>
      <c r="FH1032" s="29" t="str">
        <f t="shared" si="32"/>
        <v/>
      </c>
      <c r="FJ1032" s="36" t="str">
        <f>IF($FH1032="","",SUM($FN1032:$FN$7000))</f>
        <v/>
      </c>
      <c r="FK1032" s="36" t="str">
        <f>IF($FH1032="","",SUM($FN1032:$FN$7000))</f>
        <v/>
      </c>
    </row>
    <row r="1033" spans="152:167">
      <c r="EV1033" s="28">
        <f t="shared" si="31"/>
        <v>0</v>
      </c>
      <c r="FH1033" s="29" t="str">
        <f t="shared" si="32"/>
        <v/>
      </c>
      <c r="FJ1033" s="36" t="str">
        <f>IF($FH1033="","",SUM($FN1033:$FN$7000))</f>
        <v/>
      </c>
      <c r="FK1033" s="36" t="str">
        <f>IF($FH1033="","",SUM($FN1033:$FN$7000))</f>
        <v/>
      </c>
    </row>
    <row r="1034" spans="152:167">
      <c r="EV1034" s="28">
        <f t="shared" si="31"/>
        <v>0</v>
      </c>
      <c r="FH1034" s="29" t="str">
        <f t="shared" si="32"/>
        <v/>
      </c>
      <c r="FJ1034" s="36" t="str">
        <f>IF($FH1034="","",SUM($FN1034:$FN$7000))</f>
        <v/>
      </c>
      <c r="FK1034" s="36" t="str">
        <f>IF($FH1034="","",SUM($FN1034:$FN$7000))</f>
        <v/>
      </c>
    </row>
    <row r="1035" spans="152:167">
      <c r="EV1035" s="28">
        <f t="shared" ref="EV1035:EV1098" si="33">EU1035-ET1035</f>
        <v>0</v>
      </c>
      <c r="FH1035" s="29" t="str">
        <f t="shared" ref="FH1035:FH1098" si="34">IF(FL1035="","",FL1035)</f>
        <v/>
      </c>
      <c r="FJ1035" s="36" t="str">
        <f>IF($FH1035="","",SUM($FN1035:$FN$7000))</f>
        <v/>
      </c>
      <c r="FK1035" s="36" t="str">
        <f>IF($FH1035="","",SUM($FN1035:$FN$7000))</f>
        <v/>
      </c>
    </row>
    <row r="1036" spans="152:167">
      <c r="EV1036" s="28">
        <f t="shared" si="33"/>
        <v>0</v>
      </c>
      <c r="FH1036" s="29" t="str">
        <f t="shared" si="34"/>
        <v/>
      </c>
      <c r="FJ1036" s="36" t="str">
        <f>IF($FH1036="","",SUM($FN1036:$FN$7000))</f>
        <v/>
      </c>
      <c r="FK1036" s="36" t="str">
        <f>IF($FH1036="","",SUM($FN1036:$FN$7000))</f>
        <v/>
      </c>
    </row>
    <row r="1037" spans="152:167">
      <c r="EV1037" s="28">
        <f t="shared" si="33"/>
        <v>0</v>
      </c>
      <c r="FH1037" s="29" t="str">
        <f t="shared" si="34"/>
        <v/>
      </c>
      <c r="FJ1037" s="36" t="str">
        <f>IF($FH1037="","",SUM($FN1037:$FN$7000))</f>
        <v/>
      </c>
      <c r="FK1037" s="36" t="str">
        <f>IF($FH1037="","",SUM($FN1037:$FN$7000))</f>
        <v/>
      </c>
    </row>
    <row r="1038" spans="152:167">
      <c r="EV1038" s="28">
        <f t="shared" si="33"/>
        <v>0</v>
      </c>
      <c r="FH1038" s="29" t="str">
        <f t="shared" si="34"/>
        <v/>
      </c>
      <c r="FJ1038" s="36" t="str">
        <f>IF($FH1038="","",SUM($FN1038:$FN$7000))</f>
        <v/>
      </c>
      <c r="FK1038" s="36" t="str">
        <f>IF($FH1038="","",SUM($FN1038:$FN$7000))</f>
        <v/>
      </c>
    </row>
    <row r="1039" spans="152:167">
      <c r="EV1039" s="28">
        <f t="shared" si="33"/>
        <v>0</v>
      </c>
      <c r="FH1039" s="29" t="str">
        <f t="shared" si="34"/>
        <v/>
      </c>
      <c r="FJ1039" s="36" t="str">
        <f>IF($FH1039="","",SUM($FN1039:$FN$7000))</f>
        <v/>
      </c>
      <c r="FK1039" s="36" t="str">
        <f>IF($FH1039="","",SUM($FN1039:$FN$7000))</f>
        <v/>
      </c>
    </row>
    <row r="1040" spans="152:167">
      <c r="EV1040" s="28">
        <f t="shared" si="33"/>
        <v>0</v>
      </c>
      <c r="FH1040" s="29" t="str">
        <f t="shared" si="34"/>
        <v/>
      </c>
      <c r="FJ1040" s="36" t="str">
        <f>IF($FH1040="","",SUM($FN1040:$FN$7000))</f>
        <v/>
      </c>
      <c r="FK1040" s="36" t="str">
        <f>IF($FH1040="","",SUM($FN1040:$FN$7000))</f>
        <v/>
      </c>
    </row>
    <row r="1041" spans="152:167">
      <c r="EV1041" s="28">
        <f t="shared" si="33"/>
        <v>0</v>
      </c>
      <c r="FH1041" s="29" t="str">
        <f t="shared" si="34"/>
        <v/>
      </c>
      <c r="FJ1041" s="36" t="str">
        <f>IF($FH1041="","",SUM($FN1041:$FN$7000))</f>
        <v/>
      </c>
      <c r="FK1041" s="36" t="str">
        <f>IF($FH1041="","",SUM($FN1041:$FN$7000))</f>
        <v/>
      </c>
    </row>
    <row r="1042" spans="152:167">
      <c r="EV1042" s="28">
        <f t="shared" si="33"/>
        <v>0</v>
      </c>
      <c r="FH1042" s="29" t="str">
        <f t="shared" si="34"/>
        <v/>
      </c>
      <c r="FJ1042" s="36" t="str">
        <f>IF($FH1042="","",SUM($FN1042:$FN$7000))</f>
        <v/>
      </c>
      <c r="FK1042" s="36" t="str">
        <f>IF($FH1042="","",SUM($FN1042:$FN$7000))</f>
        <v/>
      </c>
    </row>
    <row r="1043" spans="152:167">
      <c r="EV1043" s="28">
        <f t="shared" si="33"/>
        <v>0</v>
      </c>
      <c r="FH1043" s="29" t="str">
        <f t="shared" si="34"/>
        <v/>
      </c>
      <c r="FJ1043" s="36" t="str">
        <f>IF($FH1043="","",SUM($FN1043:$FN$7000))</f>
        <v/>
      </c>
      <c r="FK1043" s="36" t="str">
        <f>IF($FH1043="","",SUM($FN1043:$FN$7000))</f>
        <v/>
      </c>
    </row>
    <row r="1044" spans="152:167">
      <c r="EV1044" s="28">
        <f t="shared" si="33"/>
        <v>0</v>
      </c>
      <c r="FH1044" s="29" t="str">
        <f t="shared" si="34"/>
        <v/>
      </c>
      <c r="FJ1044" s="36" t="str">
        <f>IF($FH1044="","",SUM($FN1044:$FN$7000))</f>
        <v/>
      </c>
      <c r="FK1044" s="36" t="str">
        <f>IF($FH1044="","",SUM($FN1044:$FN$7000))</f>
        <v/>
      </c>
    </row>
    <row r="1045" spans="152:167">
      <c r="EV1045" s="28">
        <f t="shared" si="33"/>
        <v>0</v>
      </c>
      <c r="FH1045" s="29" t="str">
        <f t="shared" si="34"/>
        <v/>
      </c>
      <c r="FJ1045" s="36" t="str">
        <f>IF($FH1045="","",SUM($FN1045:$FN$7000))</f>
        <v/>
      </c>
      <c r="FK1045" s="36" t="str">
        <f>IF($FH1045="","",SUM($FN1045:$FN$7000))</f>
        <v/>
      </c>
    </row>
    <row r="1046" spans="152:167">
      <c r="EV1046" s="28">
        <f t="shared" si="33"/>
        <v>0</v>
      </c>
      <c r="FH1046" s="29" t="str">
        <f t="shared" si="34"/>
        <v/>
      </c>
      <c r="FJ1046" s="36" t="str">
        <f>IF($FH1046="","",SUM($FN1046:$FN$7000))</f>
        <v/>
      </c>
      <c r="FK1046" s="36" t="str">
        <f>IF($FH1046="","",SUM($FN1046:$FN$7000))</f>
        <v/>
      </c>
    </row>
    <row r="1047" spans="152:167">
      <c r="EV1047" s="28">
        <f t="shared" si="33"/>
        <v>0</v>
      </c>
      <c r="FH1047" s="29" t="str">
        <f t="shared" si="34"/>
        <v/>
      </c>
      <c r="FJ1047" s="36" t="str">
        <f>IF($FH1047="","",SUM($FN1047:$FN$7000))</f>
        <v/>
      </c>
      <c r="FK1047" s="36" t="str">
        <f>IF($FH1047="","",SUM($FN1047:$FN$7000))</f>
        <v/>
      </c>
    </row>
    <row r="1048" spans="152:167">
      <c r="EV1048" s="28">
        <f t="shared" si="33"/>
        <v>0</v>
      </c>
      <c r="FH1048" s="29" t="str">
        <f t="shared" si="34"/>
        <v/>
      </c>
      <c r="FJ1048" s="36" t="str">
        <f>IF($FH1048="","",SUM($FN1048:$FN$7000))</f>
        <v/>
      </c>
      <c r="FK1048" s="36" t="str">
        <f>IF($FH1048="","",SUM($FN1048:$FN$7000))</f>
        <v/>
      </c>
    </row>
    <row r="1049" spans="152:167">
      <c r="EV1049" s="28">
        <f t="shared" si="33"/>
        <v>0</v>
      </c>
      <c r="FH1049" s="29" t="str">
        <f t="shared" si="34"/>
        <v/>
      </c>
      <c r="FJ1049" s="36" t="str">
        <f>IF($FH1049="","",SUM($FN1049:$FN$7000))</f>
        <v/>
      </c>
      <c r="FK1049" s="36" t="str">
        <f>IF($FH1049="","",SUM($FN1049:$FN$7000))</f>
        <v/>
      </c>
    </row>
    <row r="1050" spans="152:167">
      <c r="EV1050" s="28">
        <f t="shared" si="33"/>
        <v>0</v>
      </c>
      <c r="FH1050" s="29" t="str">
        <f t="shared" si="34"/>
        <v/>
      </c>
      <c r="FJ1050" s="36" t="str">
        <f>IF($FH1050="","",SUM($FN1050:$FN$7000))</f>
        <v/>
      </c>
      <c r="FK1050" s="36" t="str">
        <f>IF($FH1050="","",SUM($FN1050:$FN$7000))</f>
        <v/>
      </c>
    </row>
    <row r="1051" spans="152:167">
      <c r="EV1051" s="28">
        <f t="shared" si="33"/>
        <v>0</v>
      </c>
      <c r="FH1051" s="29" t="str">
        <f t="shared" si="34"/>
        <v/>
      </c>
      <c r="FJ1051" s="36" t="str">
        <f>IF($FH1051="","",SUM($FN1051:$FN$7000))</f>
        <v/>
      </c>
      <c r="FK1051" s="36" t="str">
        <f>IF($FH1051="","",SUM($FN1051:$FN$7000))</f>
        <v/>
      </c>
    </row>
    <row r="1052" spans="152:167">
      <c r="EV1052" s="28">
        <f t="shared" si="33"/>
        <v>0</v>
      </c>
      <c r="FH1052" s="29" t="str">
        <f t="shared" si="34"/>
        <v/>
      </c>
      <c r="FJ1052" s="36" t="str">
        <f>IF($FH1052="","",SUM($FN1052:$FN$7000))</f>
        <v/>
      </c>
      <c r="FK1052" s="36" t="str">
        <f>IF($FH1052="","",SUM($FN1052:$FN$7000))</f>
        <v/>
      </c>
    </row>
    <row r="1053" spans="152:167">
      <c r="EV1053" s="28">
        <f t="shared" si="33"/>
        <v>0</v>
      </c>
      <c r="FH1053" s="29" t="str">
        <f t="shared" si="34"/>
        <v/>
      </c>
      <c r="FJ1053" s="36" t="str">
        <f>IF($FH1053="","",SUM($FN1053:$FN$7000))</f>
        <v/>
      </c>
      <c r="FK1053" s="36" t="str">
        <f>IF($FH1053="","",SUM($FN1053:$FN$7000))</f>
        <v/>
      </c>
    </row>
    <row r="1054" spans="152:167">
      <c r="EV1054" s="28">
        <f t="shared" si="33"/>
        <v>0</v>
      </c>
      <c r="FH1054" s="29" t="str">
        <f t="shared" si="34"/>
        <v/>
      </c>
      <c r="FJ1054" s="36" t="str">
        <f>IF($FH1054="","",SUM($FN1054:$FN$7000))</f>
        <v/>
      </c>
      <c r="FK1054" s="36" t="str">
        <f>IF($FH1054="","",SUM($FN1054:$FN$7000))</f>
        <v/>
      </c>
    </row>
    <row r="1055" spans="152:167">
      <c r="EV1055" s="28">
        <f t="shared" si="33"/>
        <v>0</v>
      </c>
      <c r="FH1055" s="29" t="str">
        <f t="shared" si="34"/>
        <v/>
      </c>
      <c r="FJ1055" s="36" t="str">
        <f>IF($FH1055="","",SUM($FN1055:$FN$7000))</f>
        <v/>
      </c>
      <c r="FK1055" s="36" t="str">
        <f>IF($FH1055="","",SUM($FN1055:$FN$7000))</f>
        <v/>
      </c>
    </row>
    <row r="1056" spans="152:167">
      <c r="EV1056" s="28">
        <f t="shared" si="33"/>
        <v>0</v>
      </c>
      <c r="FH1056" s="29" t="str">
        <f t="shared" si="34"/>
        <v/>
      </c>
      <c r="FJ1056" s="36" t="str">
        <f>IF($FH1056="","",SUM($FN1056:$FN$7000))</f>
        <v/>
      </c>
      <c r="FK1056" s="36" t="str">
        <f>IF($FH1056="","",SUM($FN1056:$FN$7000))</f>
        <v/>
      </c>
    </row>
    <row r="1057" spans="152:167">
      <c r="EV1057" s="28">
        <f t="shared" si="33"/>
        <v>0</v>
      </c>
      <c r="FH1057" s="29" t="str">
        <f t="shared" si="34"/>
        <v/>
      </c>
      <c r="FJ1057" s="36" t="str">
        <f>IF($FH1057="","",SUM($FN1057:$FN$7000))</f>
        <v/>
      </c>
      <c r="FK1057" s="36" t="str">
        <f>IF($FH1057="","",SUM($FN1057:$FN$7000))</f>
        <v/>
      </c>
    </row>
    <row r="1058" spans="152:167">
      <c r="EV1058" s="28">
        <f t="shared" si="33"/>
        <v>0</v>
      </c>
      <c r="FH1058" s="29" t="str">
        <f t="shared" si="34"/>
        <v/>
      </c>
      <c r="FJ1058" s="36" t="str">
        <f>IF($FH1058="","",SUM($FN1058:$FN$7000))</f>
        <v/>
      </c>
      <c r="FK1058" s="36" t="str">
        <f>IF($FH1058="","",SUM($FN1058:$FN$7000))</f>
        <v/>
      </c>
    </row>
    <row r="1059" spans="152:167">
      <c r="EV1059" s="28">
        <f t="shared" si="33"/>
        <v>0</v>
      </c>
      <c r="FH1059" s="29" t="str">
        <f t="shared" si="34"/>
        <v/>
      </c>
      <c r="FJ1059" s="36" t="str">
        <f>IF($FH1059="","",SUM($FN1059:$FN$7000))</f>
        <v/>
      </c>
      <c r="FK1059" s="36" t="str">
        <f>IF($FH1059="","",SUM($FN1059:$FN$7000))</f>
        <v/>
      </c>
    </row>
    <row r="1060" spans="152:167">
      <c r="EV1060" s="28">
        <f t="shared" si="33"/>
        <v>0</v>
      </c>
      <c r="FH1060" s="29" t="str">
        <f t="shared" si="34"/>
        <v/>
      </c>
      <c r="FJ1060" s="36" t="str">
        <f>IF($FH1060="","",SUM($FN1060:$FN$7000))</f>
        <v/>
      </c>
      <c r="FK1060" s="36" t="str">
        <f>IF($FH1060="","",SUM($FN1060:$FN$7000))</f>
        <v/>
      </c>
    </row>
    <row r="1061" spans="152:167">
      <c r="EV1061" s="28">
        <f t="shared" si="33"/>
        <v>0</v>
      </c>
      <c r="FH1061" s="29" t="str">
        <f t="shared" si="34"/>
        <v/>
      </c>
      <c r="FJ1061" s="36" t="str">
        <f>IF($FH1061="","",SUM($FN1061:$FN$7000))</f>
        <v/>
      </c>
      <c r="FK1061" s="36" t="str">
        <f>IF($FH1061="","",SUM($FN1061:$FN$7000))</f>
        <v/>
      </c>
    </row>
    <row r="1062" spans="152:167">
      <c r="EV1062" s="28">
        <f t="shared" si="33"/>
        <v>0</v>
      </c>
      <c r="FH1062" s="29" t="str">
        <f t="shared" si="34"/>
        <v/>
      </c>
      <c r="FJ1062" s="36" t="str">
        <f>IF($FH1062="","",SUM($FN1062:$FN$7000))</f>
        <v/>
      </c>
      <c r="FK1062" s="36" t="str">
        <f>IF($FH1062="","",SUM($FN1062:$FN$7000))</f>
        <v/>
      </c>
    </row>
    <row r="1063" spans="152:167">
      <c r="EV1063" s="28">
        <f t="shared" si="33"/>
        <v>0</v>
      </c>
      <c r="FH1063" s="29" t="str">
        <f t="shared" si="34"/>
        <v/>
      </c>
      <c r="FJ1063" s="36" t="str">
        <f>IF($FH1063="","",SUM($FN1063:$FN$7000))</f>
        <v/>
      </c>
      <c r="FK1063" s="36" t="str">
        <f>IF($FH1063="","",SUM($FN1063:$FN$7000))</f>
        <v/>
      </c>
    </row>
    <row r="1064" spans="152:167">
      <c r="EV1064" s="28">
        <f t="shared" si="33"/>
        <v>0</v>
      </c>
      <c r="FH1064" s="29" t="str">
        <f t="shared" si="34"/>
        <v/>
      </c>
      <c r="FJ1064" s="36" t="str">
        <f>IF($FH1064="","",SUM($FN1064:$FN$7000))</f>
        <v/>
      </c>
      <c r="FK1064" s="36" t="str">
        <f>IF($FH1064="","",SUM($FN1064:$FN$7000))</f>
        <v/>
      </c>
    </row>
    <row r="1065" spans="152:167">
      <c r="EV1065" s="28">
        <f t="shared" si="33"/>
        <v>0</v>
      </c>
      <c r="FH1065" s="29" t="str">
        <f t="shared" si="34"/>
        <v/>
      </c>
      <c r="FJ1065" s="36" t="str">
        <f>IF($FH1065="","",SUM($FN1065:$FN$7000))</f>
        <v/>
      </c>
      <c r="FK1065" s="36" t="str">
        <f>IF($FH1065="","",SUM($FN1065:$FN$7000))</f>
        <v/>
      </c>
    </row>
    <row r="1066" spans="152:167">
      <c r="EV1066" s="28">
        <f t="shared" si="33"/>
        <v>0</v>
      </c>
      <c r="FH1066" s="29" t="str">
        <f t="shared" si="34"/>
        <v/>
      </c>
      <c r="FJ1066" s="36" t="str">
        <f>IF($FH1066="","",SUM($FN1066:$FN$7000))</f>
        <v/>
      </c>
      <c r="FK1066" s="36" t="str">
        <f>IF($FH1066="","",SUM($FN1066:$FN$7000))</f>
        <v/>
      </c>
    </row>
    <row r="1067" spans="152:167">
      <c r="EV1067" s="28">
        <f t="shared" si="33"/>
        <v>0</v>
      </c>
      <c r="FH1067" s="29" t="str">
        <f t="shared" si="34"/>
        <v/>
      </c>
      <c r="FJ1067" s="36" t="str">
        <f>IF($FH1067="","",SUM($FN1067:$FN$7000))</f>
        <v/>
      </c>
      <c r="FK1067" s="36" t="str">
        <f>IF($FH1067="","",SUM($FN1067:$FN$7000))</f>
        <v/>
      </c>
    </row>
    <row r="1068" spans="152:167">
      <c r="EV1068" s="28">
        <f t="shared" si="33"/>
        <v>0</v>
      </c>
      <c r="FH1068" s="29" t="str">
        <f t="shared" si="34"/>
        <v/>
      </c>
      <c r="FJ1068" s="36" t="str">
        <f>IF($FH1068="","",SUM($FN1068:$FN$7000))</f>
        <v/>
      </c>
      <c r="FK1068" s="36" t="str">
        <f>IF($FH1068="","",SUM($FN1068:$FN$7000))</f>
        <v/>
      </c>
    </row>
    <row r="1069" spans="152:167">
      <c r="EV1069" s="28">
        <f t="shared" si="33"/>
        <v>0</v>
      </c>
      <c r="FH1069" s="29" t="str">
        <f t="shared" si="34"/>
        <v/>
      </c>
      <c r="FJ1069" s="36" t="str">
        <f>IF($FH1069="","",SUM($FN1069:$FN$7000))</f>
        <v/>
      </c>
      <c r="FK1069" s="36" t="str">
        <f>IF($FH1069="","",SUM($FN1069:$FN$7000))</f>
        <v/>
      </c>
    </row>
    <row r="1070" spans="152:167">
      <c r="EV1070" s="28">
        <f t="shared" si="33"/>
        <v>0</v>
      </c>
      <c r="FH1070" s="29" t="str">
        <f t="shared" si="34"/>
        <v/>
      </c>
      <c r="FJ1070" s="36" t="str">
        <f>IF($FH1070="","",SUM($FN1070:$FN$7000))</f>
        <v/>
      </c>
      <c r="FK1070" s="36" t="str">
        <f>IF($FH1070="","",SUM($FN1070:$FN$7000))</f>
        <v/>
      </c>
    </row>
    <row r="1071" spans="152:167">
      <c r="EV1071" s="28">
        <f t="shared" si="33"/>
        <v>0</v>
      </c>
      <c r="FH1071" s="29" t="str">
        <f t="shared" si="34"/>
        <v/>
      </c>
      <c r="FJ1071" s="36" t="str">
        <f>IF($FH1071="","",SUM($FN1071:$FN$7000))</f>
        <v/>
      </c>
      <c r="FK1071" s="36" t="str">
        <f>IF($FH1071="","",SUM($FN1071:$FN$7000))</f>
        <v/>
      </c>
    </row>
    <row r="1072" spans="152:167">
      <c r="EV1072" s="28">
        <f t="shared" si="33"/>
        <v>0</v>
      </c>
      <c r="FH1072" s="29" t="str">
        <f t="shared" si="34"/>
        <v/>
      </c>
      <c r="FJ1072" s="36" t="str">
        <f>IF($FH1072="","",SUM($FN1072:$FN$7000))</f>
        <v/>
      </c>
      <c r="FK1072" s="36" t="str">
        <f>IF($FH1072="","",SUM($FN1072:$FN$7000))</f>
        <v/>
      </c>
    </row>
    <row r="1073" spans="152:167">
      <c r="EV1073" s="28">
        <f t="shared" si="33"/>
        <v>0</v>
      </c>
      <c r="FH1073" s="29" t="str">
        <f t="shared" si="34"/>
        <v/>
      </c>
      <c r="FJ1073" s="36" t="str">
        <f>IF($FH1073="","",SUM($FN1073:$FN$7000))</f>
        <v/>
      </c>
      <c r="FK1073" s="36" t="str">
        <f>IF($FH1073="","",SUM($FN1073:$FN$7000))</f>
        <v/>
      </c>
    </row>
    <row r="1074" spans="152:167">
      <c r="EV1074" s="28">
        <f t="shared" si="33"/>
        <v>0</v>
      </c>
      <c r="FH1074" s="29" t="str">
        <f t="shared" si="34"/>
        <v/>
      </c>
      <c r="FJ1074" s="36" t="str">
        <f>IF($FH1074="","",SUM($FN1074:$FN$7000))</f>
        <v/>
      </c>
      <c r="FK1074" s="36" t="str">
        <f>IF($FH1074="","",SUM($FN1074:$FN$7000))</f>
        <v/>
      </c>
    </row>
    <row r="1075" spans="152:167">
      <c r="EV1075" s="28">
        <f t="shared" si="33"/>
        <v>0</v>
      </c>
      <c r="FH1075" s="29" t="str">
        <f t="shared" si="34"/>
        <v/>
      </c>
      <c r="FJ1075" s="36" t="str">
        <f>IF($FH1075="","",SUM($FN1075:$FN$7000))</f>
        <v/>
      </c>
      <c r="FK1075" s="36" t="str">
        <f>IF($FH1075="","",SUM($FN1075:$FN$7000))</f>
        <v/>
      </c>
    </row>
    <row r="1076" spans="152:167">
      <c r="EV1076" s="28">
        <f t="shared" si="33"/>
        <v>0</v>
      </c>
      <c r="FH1076" s="29" t="str">
        <f t="shared" si="34"/>
        <v/>
      </c>
      <c r="FJ1076" s="36" t="str">
        <f>IF($FH1076="","",SUM($FN1076:$FN$7000))</f>
        <v/>
      </c>
      <c r="FK1076" s="36" t="str">
        <f>IF($FH1076="","",SUM($FN1076:$FN$7000))</f>
        <v/>
      </c>
    </row>
    <row r="1077" spans="152:167">
      <c r="EV1077" s="28">
        <f t="shared" si="33"/>
        <v>0</v>
      </c>
      <c r="FH1077" s="29" t="str">
        <f t="shared" si="34"/>
        <v/>
      </c>
      <c r="FJ1077" s="36" t="str">
        <f>IF($FH1077="","",SUM($FN1077:$FN$7000))</f>
        <v/>
      </c>
      <c r="FK1077" s="36" t="str">
        <f>IF($FH1077="","",SUM($FN1077:$FN$7000))</f>
        <v/>
      </c>
    </row>
    <row r="1078" spans="152:167">
      <c r="EV1078" s="28">
        <f t="shared" si="33"/>
        <v>0</v>
      </c>
      <c r="FH1078" s="29" t="str">
        <f t="shared" si="34"/>
        <v/>
      </c>
      <c r="FJ1078" s="36" t="str">
        <f>IF($FH1078="","",SUM($FN1078:$FN$7000))</f>
        <v/>
      </c>
      <c r="FK1078" s="36" t="str">
        <f>IF($FH1078="","",SUM($FN1078:$FN$7000))</f>
        <v/>
      </c>
    </row>
    <row r="1079" spans="152:167">
      <c r="EV1079" s="28">
        <f t="shared" si="33"/>
        <v>0</v>
      </c>
      <c r="FH1079" s="29" t="str">
        <f t="shared" si="34"/>
        <v/>
      </c>
      <c r="FJ1079" s="36" t="str">
        <f>IF($FH1079="","",SUM($FN1079:$FN$7000))</f>
        <v/>
      </c>
      <c r="FK1079" s="36" t="str">
        <f>IF($FH1079="","",SUM($FN1079:$FN$7000))</f>
        <v/>
      </c>
    </row>
    <row r="1080" spans="152:167">
      <c r="EV1080" s="28">
        <f t="shared" si="33"/>
        <v>0</v>
      </c>
      <c r="FH1080" s="29" t="str">
        <f t="shared" si="34"/>
        <v/>
      </c>
      <c r="FJ1080" s="36" t="str">
        <f>IF($FH1080="","",SUM($FN1080:$FN$7000))</f>
        <v/>
      </c>
      <c r="FK1080" s="36" t="str">
        <f>IF($FH1080="","",SUM($FN1080:$FN$7000))</f>
        <v/>
      </c>
    </row>
    <row r="1081" spans="152:167">
      <c r="EV1081" s="28">
        <f t="shared" si="33"/>
        <v>0</v>
      </c>
      <c r="FH1081" s="29" t="str">
        <f t="shared" si="34"/>
        <v/>
      </c>
      <c r="FJ1081" s="36" t="str">
        <f>IF($FH1081="","",SUM($FN1081:$FN$7000))</f>
        <v/>
      </c>
      <c r="FK1081" s="36" t="str">
        <f>IF($FH1081="","",SUM($FN1081:$FN$7000))</f>
        <v/>
      </c>
    </row>
    <row r="1082" spans="152:167">
      <c r="EV1082" s="28">
        <f t="shared" si="33"/>
        <v>0</v>
      </c>
      <c r="FH1082" s="29" t="str">
        <f t="shared" si="34"/>
        <v/>
      </c>
      <c r="FJ1082" s="36" t="str">
        <f>IF($FH1082="","",SUM($FN1082:$FN$7000))</f>
        <v/>
      </c>
      <c r="FK1082" s="36" t="str">
        <f>IF($FH1082="","",SUM($FN1082:$FN$7000))</f>
        <v/>
      </c>
    </row>
    <row r="1083" spans="152:167">
      <c r="EV1083" s="28">
        <f t="shared" si="33"/>
        <v>0</v>
      </c>
      <c r="FH1083" s="29" t="str">
        <f t="shared" si="34"/>
        <v/>
      </c>
      <c r="FJ1083" s="36" t="str">
        <f>IF($FH1083="","",SUM($FN1083:$FN$7000))</f>
        <v/>
      </c>
      <c r="FK1083" s="36" t="str">
        <f>IF($FH1083="","",SUM($FN1083:$FN$7000))</f>
        <v/>
      </c>
    </row>
    <row r="1084" spans="152:167">
      <c r="EV1084" s="28">
        <f t="shared" si="33"/>
        <v>0</v>
      </c>
      <c r="FH1084" s="29" t="str">
        <f t="shared" si="34"/>
        <v/>
      </c>
      <c r="FJ1084" s="36" t="str">
        <f>IF($FH1084="","",SUM($FN1084:$FN$7000))</f>
        <v/>
      </c>
      <c r="FK1084" s="36" t="str">
        <f>IF($FH1084="","",SUM($FN1084:$FN$7000))</f>
        <v/>
      </c>
    </row>
    <row r="1085" spans="152:167">
      <c r="EV1085" s="28">
        <f t="shared" si="33"/>
        <v>0</v>
      </c>
      <c r="FH1085" s="29" t="str">
        <f t="shared" si="34"/>
        <v/>
      </c>
      <c r="FJ1085" s="36" t="str">
        <f>IF($FH1085="","",SUM($FN1085:$FN$7000))</f>
        <v/>
      </c>
      <c r="FK1085" s="36" t="str">
        <f>IF($FH1085="","",SUM($FN1085:$FN$7000))</f>
        <v/>
      </c>
    </row>
    <row r="1086" spans="152:167">
      <c r="EV1086" s="28">
        <f t="shared" si="33"/>
        <v>0</v>
      </c>
      <c r="FH1086" s="29" t="str">
        <f t="shared" si="34"/>
        <v/>
      </c>
      <c r="FJ1086" s="36" t="str">
        <f>IF($FH1086="","",SUM($FN1086:$FN$7000))</f>
        <v/>
      </c>
      <c r="FK1086" s="36" t="str">
        <f>IF($FH1086="","",SUM($FN1086:$FN$7000))</f>
        <v/>
      </c>
    </row>
    <row r="1087" spans="152:167">
      <c r="EV1087" s="28">
        <f t="shared" si="33"/>
        <v>0</v>
      </c>
      <c r="FH1087" s="29" t="str">
        <f t="shared" si="34"/>
        <v/>
      </c>
      <c r="FJ1087" s="36" t="str">
        <f>IF($FH1087="","",SUM($FN1087:$FN$7000))</f>
        <v/>
      </c>
      <c r="FK1087" s="36" t="str">
        <f>IF($FH1087="","",SUM($FN1087:$FN$7000))</f>
        <v/>
      </c>
    </row>
    <row r="1088" spans="152:167">
      <c r="EV1088" s="28">
        <f t="shared" si="33"/>
        <v>0</v>
      </c>
      <c r="FH1088" s="29" t="str">
        <f t="shared" si="34"/>
        <v/>
      </c>
      <c r="FJ1088" s="36" t="str">
        <f>IF($FH1088="","",SUM($FN1088:$FN$7000))</f>
        <v/>
      </c>
      <c r="FK1088" s="36" t="str">
        <f>IF($FH1088="","",SUM($FN1088:$FN$7000))</f>
        <v/>
      </c>
    </row>
    <row r="1089" spans="152:167">
      <c r="EV1089" s="28">
        <f t="shared" si="33"/>
        <v>0</v>
      </c>
      <c r="FH1089" s="29" t="str">
        <f t="shared" si="34"/>
        <v/>
      </c>
      <c r="FJ1089" s="36" t="str">
        <f>IF($FH1089="","",SUM($FN1089:$FN$7000))</f>
        <v/>
      </c>
      <c r="FK1089" s="36" t="str">
        <f>IF($FH1089="","",SUM($FN1089:$FN$7000))</f>
        <v/>
      </c>
    </row>
    <row r="1090" spans="152:167">
      <c r="EV1090" s="28">
        <f t="shared" si="33"/>
        <v>0</v>
      </c>
      <c r="FH1090" s="29" t="str">
        <f t="shared" si="34"/>
        <v/>
      </c>
      <c r="FJ1090" s="36" t="str">
        <f>IF($FH1090="","",SUM($FN1090:$FN$7000))</f>
        <v/>
      </c>
      <c r="FK1090" s="36" t="str">
        <f>IF($FH1090="","",SUM($FN1090:$FN$7000))</f>
        <v/>
      </c>
    </row>
    <row r="1091" spans="152:167">
      <c r="EV1091" s="28">
        <f t="shared" si="33"/>
        <v>0</v>
      </c>
      <c r="FH1091" s="29" t="str">
        <f t="shared" si="34"/>
        <v/>
      </c>
      <c r="FJ1091" s="36" t="str">
        <f>IF($FH1091="","",SUM($FN1091:$FN$7000))</f>
        <v/>
      </c>
      <c r="FK1091" s="36" t="str">
        <f>IF($FH1091="","",SUM($FN1091:$FN$7000))</f>
        <v/>
      </c>
    </row>
    <row r="1092" spans="152:167">
      <c r="EV1092" s="28">
        <f t="shared" si="33"/>
        <v>0</v>
      </c>
      <c r="FH1092" s="29" t="str">
        <f t="shared" si="34"/>
        <v/>
      </c>
      <c r="FJ1092" s="36" t="str">
        <f>IF($FH1092="","",SUM($FN1092:$FN$7000))</f>
        <v/>
      </c>
      <c r="FK1092" s="36" t="str">
        <f>IF($FH1092="","",SUM($FN1092:$FN$7000))</f>
        <v/>
      </c>
    </row>
    <row r="1093" spans="152:167">
      <c r="EV1093" s="28">
        <f t="shared" si="33"/>
        <v>0</v>
      </c>
      <c r="FH1093" s="29" t="str">
        <f t="shared" si="34"/>
        <v/>
      </c>
      <c r="FJ1093" s="36" t="str">
        <f>IF($FH1093="","",SUM($FN1093:$FN$7000))</f>
        <v/>
      </c>
      <c r="FK1093" s="36" t="str">
        <f>IF($FH1093="","",SUM($FN1093:$FN$7000))</f>
        <v/>
      </c>
    </row>
    <row r="1094" spans="152:167">
      <c r="EV1094" s="28">
        <f t="shared" si="33"/>
        <v>0</v>
      </c>
      <c r="FH1094" s="29" t="str">
        <f t="shared" si="34"/>
        <v/>
      </c>
      <c r="FJ1094" s="36" t="str">
        <f>IF($FH1094="","",SUM($FN1094:$FN$7000))</f>
        <v/>
      </c>
      <c r="FK1094" s="36" t="str">
        <f>IF($FH1094="","",SUM($FN1094:$FN$7000))</f>
        <v/>
      </c>
    </row>
    <row r="1095" spans="152:167">
      <c r="EV1095" s="28">
        <f t="shared" si="33"/>
        <v>0</v>
      </c>
      <c r="FH1095" s="29" t="str">
        <f t="shared" si="34"/>
        <v/>
      </c>
      <c r="FJ1095" s="36" t="str">
        <f>IF($FH1095="","",SUM($FN1095:$FN$7000))</f>
        <v/>
      </c>
      <c r="FK1095" s="36" t="str">
        <f>IF($FH1095="","",SUM($FN1095:$FN$7000))</f>
        <v/>
      </c>
    </row>
    <row r="1096" spans="152:167">
      <c r="EV1096" s="28">
        <f t="shared" si="33"/>
        <v>0</v>
      </c>
      <c r="FH1096" s="29" t="str">
        <f t="shared" si="34"/>
        <v/>
      </c>
      <c r="FJ1096" s="36" t="str">
        <f>IF($FH1096="","",SUM($FN1096:$FN$7000))</f>
        <v/>
      </c>
      <c r="FK1096" s="36" t="str">
        <f>IF($FH1096="","",SUM($FN1096:$FN$7000))</f>
        <v/>
      </c>
    </row>
    <row r="1097" spans="152:167">
      <c r="EV1097" s="28">
        <f t="shared" si="33"/>
        <v>0</v>
      </c>
      <c r="FH1097" s="29" t="str">
        <f t="shared" si="34"/>
        <v/>
      </c>
      <c r="FJ1097" s="36" t="str">
        <f>IF($FH1097="","",SUM($FN1097:$FN$7000))</f>
        <v/>
      </c>
      <c r="FK1097" s="36" t="str">
        <f>IF($FH1097="","",SUM($FN1097:$FN$7000))</f>
        <v/>
      </c>
    </row>
    <row r="1098" spans="152:167">
      <c r="EV1098" s="28">
        <f t="shared" si="33"/>
        <v>0</v>
      </c>
      <c r="FH1098" s="29" t="str">
        <f t="shared" si="34"/>
        <v/>
      </c>
      <c r="FJ1098" s="36" t="str">
        <f>IF($FH1098="","",SUM($FN1098:$FN$7000))</f>
        <v/>
      </c>
      <c r="FK1098" s="36" t="str">
        <f>IF($FH1098="","",SUM($FN1098:$FN$7000))</f>
        <v/>
      </c>
    </row>
    <row r="1099" spans="152:167">
      <c r="EV1099" s="28">
        <f t="shared" ref="EV1099:EV1162" si="35">EU1099-ET1099</f>
        <v>0</v>
      </c>
      <c r="FH1099" s="29" t="str">
        <f t="shared" ref="FH1099:FH1162" si="36">IF(FL1099="","",FL1099)</f>
        <v/>
      </c>
      <c r="FJ1099" s="36" t="str">
        <f>IF($FH1099="","",SUM($FN1099:$FN$7000))</f>
        <v/>
      </c>
      <c r="FK1099" s="36" t="str">
        <f>IF($FH1099="","",SUM($FN1099:$FN$7000))</f>
        <v/>
      </c>
    </row>
    <row r="1100" spans="152:167">
      <c r="EV1100" s="28">
        <f t="shared" si="35"/>
        <v>0</v>
      </c>
      <c r="FH1100" s="29" t="str">
        <f t="shared" si="36"/>
        <v/>
      </c>
      <c r="FJ1100" s="36" t="str">
        <f>IF($FH1100="","",SUM($FN1100:$FN$7000))</f>
        <v/>
      </c>
      <c r="FK1100" s="36" t="str">
        <f>IF($FH1100="","",SUM($FN1100:$FN$7000))</f>
        <v/>
      </c>
    </row>
    <row r="1101" spans="152:167">
      <c r="EV1101" s="28">
        <f t="shared" si="35"/>
        <v>0</v>
      </c>
      <c r="FH1101" s="29" t="str">
        <f t="shared" si="36"/>
        <v/>
      </c>
      <c r="FJ1101" s="36" t="str">
        <f>IF($FH1101="","",SUM($FN1101:$FN$7000))</f>
        <v/>
      </c>
      <c r="FK1101" s="36" t="str">
        <f>IF($FH1101="","",SUM($FN1101:$FN$7000))</f>
        <v/>
      </c>
    </row>
    <row r="1102" spans="152:167">
      <c r="EV1102" s="28">
        <f t="shared" si="35"/>
        <v>0</v>
      </c>
      <c r="FH1102" s="29" t="str">
        <f t="shared" si="36"/>
        <v/>
      </c>
      <c r="FJ1102" s="36" t="str">
        <f>IF($FH1102="","",SUM($FN1102:$FN$7000))</f>
        <v/>
      </c>
      <c r="FK1102" s="36" t="str">
        <f>IF($FH1102="","",SUM($FN1102:$FN$7000))</f>
        <v/>
      </c>
    </row>
    <row r="1103" spans="152:167">
      <c r="EV1103" s="28">
        <f t="shared" si="35"/>
        <v>0</v>
      </c>
      <c r="FH1103" s="29" t="str">
        <f t="shared" si="36"/>
        <v/>
      </c>
      <c r="FJ1103" s="36" t="str">
        <f>IF($FH1103="","",SUM($FN1103:$FN$7000))</f>
        <v/>
      </c>
      <c r="FK1103" s="36" t="str">
        <f>IF($FH1103="","",SUM($FN1103:$FN$7000))</f>
        <v/>
      </c>
    </row>
    <row r="1104" spans="152:167">
      <c r="EV1104" s="28">
        <f t="shared" si="35"/>
        <v>0</v>
      </c>
      <c r="FH1104" s="29" t="str">
        <f t="shared" si="36"/>
        <v/>
      </c>
      <c r="FJ1104" s="36" t="str">
        <f>IF($FH1104="","",SUM($FN1104:$FN$7000))</f>
        <v/>
      </c>
      <c r="FK1104" s="36" t="str">
        <f>IF($FH1104="","",SUM($FN1104:$FN$7000))</f>
        <v/>
      </c>
    </row>
    <row r="1105" spans="152:167">
      <c r="EV1105" s="28">
        <f t="shared" si="35"/>
        <v>0</v>
      </c>
      <c r="FH1105" s="29" t="str">
        <f t="shared" si="36"/>
        <v/>
      </c>
      <c r="FJ1105" s="36" t="str">
        <f>IF($FH1105="","",SUM($FN1105:$FN$7000))</f>
        <v/>
      </c>
      <c r="FK1105" s="36" t="str">
        <f>IF($FH1105="","",SUM($FN1105:$FN$7000))</f>
        <v/>
      </c>
    </row>
    <row r="1106" spans="152:167">
      <c r="EV1106" s="28">
        <f t="shared" si="35"/>
        <v>0</v>
      </c>
      <c r="FH1106" s="29" t="str">
        <f t="shared" si="36"/>
        <v/>
      </c>
      <c r="FJ1106" s="36" t="str">
        <f>IF($FH1106="","",SUM($FN1106:$FN$7000))</f>
        <v/>
      </c>
      <c r="FK1106" s="36" t="str">
        <f>IF($FH1106="","",SUM($FN1106:$FN$7000))</f>
        <v/>
      </c>
    </row>
    <row r="1107" spans="152:167">
      <c r="EV1107" s="28">
        <f t="shared" si="35"/>
        <v>0</v>
      </c>
      <c r="FH1107" s="29" t="str">
        <f t="shared" si="36"/>
        <v/>
      </c>
      <c r="FJ1107" s="36" t="str">
        <f>IF($FH1107="","",SUM($FN1107:$FN$7000))</f>
        <v/>
      </c>
      <c r="FK1107" s="36" t="str">
        <f>IF($FH1107="","",SUM($FN1107:$FN$7000))</f>
        <v/>
      </c>
    </row>
    <row r="1108" spans="152:167">
      <c r="EV1108" s="28">
        <f t="shared" si="35"/>
        <v>0</v>
      </c>
      <c r="FH1108" s="29" t="str">
        <f t="shared" si="36"/>
        <v/>
      </c>
      <c r="FJ1108" s="36" t="str">
        <f>IF($FH1108="","",SUM($FN1108:$FN$7000))</f>
        <v/>
      </c>
      <c r="FK1108" s="36" t="str">
        <f>IF($FH1108="","",SUM($FN1108:$FN$7000))</f>
        <v/>
      </c>
    </row>
    <row r="1109" spans="152:167">
      <c r="EV1109" s="28">
        <f t="shared" si="35"/>
        <v>0</v>
      </c>
      <c r="FH1109" s="29" t="str">
        <f t="shared" si="36"/>
        <v/>
      </c>
      <c r="FJ1109" s="36" t="str">
        <f>IF($FH1109="","",SUM($FN1109:$FN$7000))</f>
        <v/>
      </c>
      <c r="FK1109" s="36" t="str">
        <f>IF($FH1109="","",SUM($FN1109:$FN$7000))</f>
        <v/>
      </c>
    </row>
    <row r="1110" spans="152:167">
      <c r="EV1110" s="28">
        <f t="shared" si="35"/>
        <v>0</v>
      </c>
      <c r="FH1110" s="29" t="str">
        <f t="shared" si="36"/>
        <v/>
      </c>
      <c r="FJ1110" s="36" t="str">
        <f>IF($FH1110="","",SUM($FN1110:$FN$7000))</f>
        <v/>
      </c>
      <c r="FK1110" s="36" t="str">
        <f>IF($FH1110="","",SUM($FN1110:$FN$7000))</f>
        <v/>
      </c>
    </row>
    <row r="1111" spans="152:167">
      <c r="EV1111" s="28">
        <f t="shared" si="35"/>
        <v>0</v>
      </c>
      <c r="FH1111" s="29" t="str">
        <f t="shared" si="36"/>
        <v/>
      </c>
      <c r="FJ1111" s="36" t="str">
        <f>IF($FH1111="","",SUM($FN1111:$FN$7000))</f>
        <v/>
      </c>
      <c r="FK1111" s="36" t="str">
        <f>IF($FH1111="","",SUM($FN1111:$FN$7000))</f>
        <v/>
      </c>
    </row>
    <row r="1112" spans="152:167">
      <c r="EV1112" s="28">
        <f t="shared" si="35"/>
        <v>0</v>
      </c>
      <c r="FH1112" s="29" t="str">
        <f t="shared" si="36"/>
        <v/>
      </c>
      <c r="FJ1112" s="36" t="str">
        <f>IF($FH1112="","",SUM($FN1112:$FN$7000))</f>
        <v/>
      </c>
      <c r="FK1112" s="36" t="str">
        <f>IF($FH1112="","",SUM($FN1112:$FN$7000))</f>
        <v/>
      </c>
    </row>
    <row r="1113" spans="152:167">
      <c r="EV1113" s="28">
        <f t="shared" si="35"/>
        <v>0</v>
      </c>
      <c r="FH1113" s="29" t="str">
        <f t="shared" si="36"/>
        <v/>
      </c>
      <c r="FJ1113" s="36" t="str">
        <f>IF($FH1113="","",SUM($FN1113:$FN$7000))</f>
        <v/>
      </c>
      <c r="FK1113" s="36" t="str">
        <f>IF($FH1113="","",SUM($FN1113:$FN$7000))</f>
        <v/>
      </c>
    </row>
    <row r="1114" spans="152:167">
      <c r="EV1114" s="28">
        <f t="shared" si="35"/>
        <v>0</v>
      </c>
      <c r="FH1114" s="29" t="str">
        <f t="shared" si="36"/>
        <v/>
      </c>
      <c r="FJ1114" s="36" t="str">
        <f>IF($FH1114="","",SUM($FN1114:$FN$7000))</f>
        <v/>
      </c>
      <c r="FK1114" s="36" t="str">
        <f>IF($FH1114="","",SUM($FN1114:$FN$7000))</f>
        <v/>
      </c>
    </row>
    <row r="1115" spans="152:167">
      <c r="EV1115" s="28">
        <f t="shared" si="35"/>
        <v>0</v>
      </c>
      <c r="FH1115" s="29" t="str">
        <f t="shared" si="36"/>
        <v/>
      </c>
      <c r="FJ1115" s="36" t="str">
        <f>IF($FH1115="","",SUM($FN1115:$FN$7000))</f>
        <v/>
      </c>
      <c r="FK1115" s="36" t="str">
        <f>IF($FH1115="","",SUM($FN1115:$FN$7000))</f>
        <v/>
      </c>
    </row>
    <row r="1116" spans="152:167">
      <c r="EV1116" s="28">
        <f t="shared" si="35"/>
        <v>0</v>
      </c>
      <c r="FH1116" s="29" t="str">
        <f t="shared" si="36"/>
        <v/>
      </c>
      <c r="FJ1116" s="36" t="str">
        <f>IF($FH1116="","",SUM($FN1116:$FN$7000))</f>
        <v/>
      </c>
      <c r="FK1116" s="36" t="str">
        <f>IF($FH1116="","",SUM($FN1116:$FN$7000))</f>
        <v/>
      </c>
    </row>
    <row r="1117" spans="152:167">
      <c r="EV1117" s="28">
        <f t="shared" si="35"/>
        <v>0</v>
      </c>
      <c r="FH1117" s="29" t="str">
        <f t="shared" si="36"/>
        <v/>
      </c>
      <c r="FJ1117" s="36" t="str">
        <f>IF($FH1117="","",SUM($FN1117:$FN$7000))</f>
        <v/>
      </c>
      <c r="FK1117" s="36" t="str">
        <f>IF($FH1117="","",SUM($FN1117:$FN$7000))</f>
        <v/>
      </c>
    </row>
    <row r="1118" spans="152:167">
      <c r="EV1118" s="28">
        <f t="shared" si="35"/>
        <v>0</v>
      </c>
      <c r="FH1118" s="29" t="str">
        <f t="shared" si="36"/>
        <v/>
      </c>
      <c r="FJ1118" s="36" t="str">
        <f>IF($FH1118="","",SUM($FN1118:$FN$7000))</f>
        <v/>
      </c>
      <c r="FK1118" s="36" t="str">
        <f>IF($FH1118="","",SUM($FN1118:$FN$7000))</f>
        <v/>
      </c>
    </row>
    <row r="1119" spans="152:167">
      <c r="EV1119" s="28">
        <f t="shared" si="35"/>
        <v>0</v>
      </c>
      <c r="FH1119" s="29" t="str">
        <f t="shared" si="36"/>
        <v/>
      </c>
      <c r="FJ1119" s="36" t="str">
        <f>IF($FH1119="","",SUM($FN1119:$FN$7000))</f>
        <v/>
      </c>
      <c r="FK1119" s="36" t="str">
        <f>IF($FH1119="","",SUM($FN1119:$FN$7000))</f>
        <v/>
      </c>
    </row>
    <row r="1120" spans="152:167">
      <c r="EV1120" s="28">
        <f t="shared" si="35"/>
        <v>0</v>
      </c>
      <c r="FH1120" s="29" t="str">
        <f t="shared" si="36"/>
        <v/>
      </c>
      <c r="FJ1120" s="36" t="str">
        <f>IF($FH1120="","",SUM($FN1120:$FN$7000))</f>
        <v/>
      </c>
      <c r="FK1120" s="36" t="str">
        <f>IF($FH1120="","",SUM($FN1120:$FN$7000))</f>
        <v/>
      </c>
    </row>
    <row r="1121" spans="152:167">
      <c r="EV1121" s="28">
        <f t="shared" si="35"/>
        <v>0</v>
      </c>
      <c r="FH1121" s="29" t="str">
        <f t="shared" si="36"/>
        <v/>
      </c>
      <c r="FJ1121" s="36" t="str">
        <f>IF($FH1121="","",SUM($FN1121:$FN$7000))</f>
        <v/>
      </c>
      <c r="FK1121" s="36" t="str">
        <f>IF($FH1121="","",SUM($FN1121:$FN$7000))</f>
        <v/>
      </c>
    </row>
    <row r="1122" spans="152:167">
      <c r="EV1122" s="28">
        <f t="shared" si="35"/>
        <v>0</v>
      </c>
      <c r="FH1122" s="29" t="str">
        <f t="shared" si="36"/>
        <v/>
      </c>
      <c r="FJ1122" s="36" t="str">
        <f>IF($FH1122="","",SUM($FN1122:$FN$7000))</f>
        <v/>
      </c>
      <c r="FK1122" s="36" t="str">
        <f>IF($FH1122="","",SUM($FN1122:$FN$7000))</f>
        <v/>
      </c>
    </row>
    <row r="1123" spans="152:167">
      <c r="EV1123" s="28">
        <f t="shared" si="35"/>
        <v>0</v>
      </c>
      <c r="FH1123" s="29" t="str">
        <f t="shared" si="36"/>
        <v/>
      </c>
      <c r="FJ1123" s="36" t="str">
        <f>IF($FH1123="","",SUM($FN1123:$FN$7000))</f>
        <v/>
      </c>
      <c r="FK1123" s="36" t="str">
        <f>IF($FH1123="","",SUM($FN1123:$FN$7000))</f>
        <v/>
      </c>
    </row>
    <row r="1124" spans="152:167">
      <c r="EV1124" s="28">
        <f t="shared" si="35"/>
        <v>0</v>
      </c>
      <c r="FH1124" s="29" t="str">
        <f t="shared" si="36"/>
        <v/>
      </c>
      <c r="FJ1124" s="36" t="str">
        <f>IF($FH1124="","",SUM($FN1124:$FN$7000))</f>
        <v/>
      </c>
      <c r="FK1124" s="36" t="str">
        <f>IF($FH1124="","",SUM($FN1124:$FN$7000))</f>
        <v/>
      </c>
    </row>
    <row r="1125" spans="152:167">
      <c r="EV1125" s="28">
        <f t="shared" si="35"/>
        <v>0</v>
      </c>
      <c r="FH1125" s="29" t="str">
        <f t="shared" si="36"/>
        <v/>
      </c>
      <c r="FJ1125" s="36" t="str">
        <f>IF($FH1125="","",SUM($FN1125:$FN$7000))</f>
        <v/>
      </c>
      <c r="FK1125" s="36" t="str">
        <f>IF($FH1125="","",SUM($FN1125:$FN$7000))</f>
        <v/>
      </c>
    </row>
    <row r="1126" spans="152:167">
      <c r="EV1126" s="28">
        <f t="shared" si="35"/>
        <v>0</v>
      </c>
      <c r="FH1126" s="29" t="str">
        <f t="shared" si="36"/>
        <v/>
      </c>
      <c r="FJ1126" s="36" t="str">
        <f>IF($FH1126="","",SUM($FN1126:$FN$7000))</f>
        <v/>
      </c>
      <c r="FK1126" s="36" t="str">
        <f>IF($FH1126="","",SUM($FN1126:$FN$7000))</f>
        <v/>
      </c>
    </row>
    <row r="1127" spans="152:167">
      <c r="EV1127" s="28">
        <f t="shared" si="35"/>
        <v>0</v>
      </c>
      <c r="FH1127" s="29" t="str">
        <f t="shared" si="36"/>
        <v/>
      </c>
      <c r="FJ1127" s="36" t="str">
        <f>IF($FH1127="","",SUM($FN1127:$FN$7000))</f>
        <v/>
      </c>
      <c r="FK1127" s="36" t="str">
        <f>IF($FH1127="","",SUM($FN1127:$FN$7000))</f>
        <v/>
      </c>
    </row>
    <row r="1128" spans="152:167">
      <c r="EV1128" s="28">
        <f t="shared" si="35"/>
        <v>0</v>
      </c>
      <c r="FH1128" s="29" t="str">
        <f t="shared" si="36"/>
        <v/>
      </c>
      <c r="FJ1128" s="36" t="str">
        <f>IF($FH1128="","",SUM($FN1128:$FN$7000))</f>
        <v/>
      </c>
      <c r="FK1128" s="36" t="str">
        <f>IF($FH1128="","",SUM($FN1128:$FN$7000))</f>
        <v/>
      </c>
    </row>
    <row r="1129" spans="152:167">
      <c r="EV1129" s="28">
        <f t="shared" si="35"/>
        <v>0</v>
      </c>
      <c r="FH1129" s="29" t="str">
        <f t="shared" si="36"/>
        <v/>
      </c>
      <c r="FJ1129" s="36" t="str">
        <f>IF($FH1129="","",SUM($FN1129:$FN$7000))</f>
        <v/>
      </c>
      <c r="FK1129" s="36" t="str">
        <f>IF($FH1129="","",SUM($FN1129:$FN$7000))</f>
        <v/>
      </c>
    </row>
    <row r="1130" spans="152:167">
      <c r="EV1130" s="28">
        <f t="shared" si="35"/>
        <v>0</v>
      </c>
      <c r="FH1130" s="29" t="str">
        <f t="shared" si="36"/>
        <v/>
      </c>
      <c r="FJ1130" s="36" t="str">
        <f>IF($FH1130="","",SUM($FN1130:$FN$7000))</f>
        <v/>
      </c>
      <c r="FK1130" s="36" t="str">
        <f>IF($FH1130="","",SUM($FN1130:$FN$7000))</f>
        <v/>
      </c>
    </row>
    <row r="1131" spans="152:167">
      <c r="EV1131" s="28">
        <f t="shared" si="35"/>
        <v>0</v>
      </c>
      <c r="FH1131" s="29" t="str">
        <f t="shared" si="36"/>
        <v/>
      </c>
      <c r="FJ1131" s="36" t="str">
        <f>IF($FH1131="","",SUM($FN1131:$FN$7000))</f>
        <v/>
      </c>
      <c r="FK1131" s="36" t="str">
        <f>IF($FH1131="","",SUM($FN1131:$FN$7000))</f>
        <v/>
      </c>
    </row>
    <row r="1132" spans="152:167">
      <c r="EV1132" s="28">
        <f t="shared" si="35"/>
        <v>0</v>
      </c>
      <c r="FH1132" s="29" t="str">
        <f t="shared" si="36"/>
        <v/>
      </c>
      <c r="FJ1132" s="36" t="str">
        <f>IF($FH1132="","",SUM($FN1132:$FN$7000))</f>
        <v/>
      </c>
      <c r="FK1132" s="36" t="str">
        <f>IF($FH1132="","",SUM($FN1132:$FN$7000))</f>
        <v/>
      </c>
    </row>
    <row r="1133" spans="152:167">
      <c r="EV1133" s="28">
        <f t="shared" si="35"/>
        <v>0</v>
      </c>
      <c r="FH1133" s="29" t="str">
        <f t="shared" si="36"/>
        <v/>
      </c>
      <c r="FJ1133" s="36" t="str">
        <f>IF($FH1133="","",SUM($FN1133:$FN$7000))</f>
        <v/>
      </c>
      <c r="FK1133" s="36" t="str">
        <f>IF($FH1133="","",SUM($FN1133:$FN$7000))</f>
        <v/>
      </c>
    </row>
    <row r="1134" spans="152:167">
      <c r="EV1134" s="28">
        <f t="shared" si="35"/>
        <v>0</v>
      </c>
      <c r="FH1134" s="29" t="str">
        <f t="shared" si="36"/>
        <v/>
      </c>
      <c r="FJ1134" s="36" t="str">
        <f>IF($FH1134="","",SUM($FN1134:$FN$7000))</f>
        <v/>
      </c>
      <c r="FK1134" s="36" t="str">
        <f>IF($FH1134="","",SUM($FN1134:$FN$7000))</f>
        <v/>
      </c>
    </row>
    <row r="1135" spans="152:167">
      <c r="EV1135" s="28">
        <f t="shared" si="35"/>
        <v>0</v>
      </c>
      <c r="FH1135" s="29" t="str">
        <f t="shared" si="36"/>
        <v/>
      </c>
      <c r="FJ1135" s="36" t="str">
        <f>IF($FH1135="","",SUM($FN1135:$FN$7000))</f>
        <v/>
      </c>
      <c r="FK1135" s="36" t="str">
        <f>IF($FH1135="","",SUM($FN1135:$FN$7000))</f>
        <v/>
      </c>
    </row>
    <row r="1136" spans="152:167">
      <c r="EV1136" s="28">
        <f t="shared" si="35"/>
        <v>0</v>
      </c>
      <c r="FH1136" s="29" t="str">
        <f t="shared" si="36"/>
        <v/>
      </c>
      <c r="FJ1136" s="36" t="str">
        <f>IF($FH1136="","",SUM($FN1136:$FN$7000))</f>
        <v/>
      </c>
      <c r="FK1136" s="36" t="str">
        <f>IF($FH1136="","",SUM($FN1136:$FN$7000))</f>
        <v/>
      </c>
    </row>
    <row r="1137" spans="152:167">
      <c r="EV1137" s="28">
        <f t="shared" si="35"/>
        <v>0</v>
      </c>
      <c r="FH1137" s="29" t="str">
        <f t="shared" si="36"/>
        <v/>
      </c>
      <c r="FJ1137" s="36" t="str">
        <f>IF($FH1137="","",SUM($FN1137:$FN$7000))</f>
        <v/>
      </c>
      <c r="FK1137" s="36" t="str">
        <f>IF($FH1137="","",SUM($FN1137:$FN$7000))</f>
        <v/>
      </c>
    </row>
    <row r="1138" spans="152:167">
      <c r="EV1138" s="28">
        <f t="shared" si="35"/>
        <v>0</v>
      </c>
      <c r="FH1138" s="29" t="str">
        <f t="shared" si="36"/>
        <v/>
      </c>
      <c r="FJ1138" s="36" t="str">
        <f>IF($FH1138="","",SUM($FN1138:$FN$7000))</f>
        <v/>
      </c>
      <c r="FK1138" s="36" t="str">
        <f>IF($FH1138="","",SUM($FN1138:$FN$7000))</f>
        <v/>
      </c>
    </row>
    <row r="1139" spans="152:167">
      <c r="EV1139" s="28">
        <f t="shared" si="35"/>
        <v>0</v>
      </c>
      <c r="FH1139" s="29" t="str">
        <f t="shared" si="36"/>
        <v/>
      </c>
      <c r="FJ1139" s="36" t="str">
        <f>IF($FH1139="","",SUM($FN1139:$FN$7000))</f>
        <v/>
      </c>
      <c r="FK1139" s="36" t="str">
        <f>IF($FH1139="","",SUM($FN1139:$FN$7000))</f>
        <v/>
      </c>
    </row>
    <row r="1140" spans="152:167">
      <c r="EV1140" s="28">
        <f t="shared" si="35"/>
        <v>0</v>
      </c>
      <c r="FH1140" s="29" t="str">
        <f t="shared" si="36"/>
        <v/>
      </c>
      <c r="FJ1140" s="36" t="str">
        <f>IF($FH1140="","",SUM($FN1140:$FN$7000))</f>
        <v/>
      </c>
      <c r="FK1140" s="36" t="str">
        <f>IF($FH1140="","",SUM($FN1140:$FN$7000))</f>
        <v/>
      </c>
    </row>
    <row r="1141" spans="152:167">
      <c r="EV1141" s="28">
        <f t="shared" si="35"/>
        <v>0</v>
      </c>
      <c r="FH1141" s="29" t="str">
        <f t="shared" si="36"/>
        <v/>
      </c>
      <c r="FJ1141" s="36" t="str">
        <f>IF($FH1141="","",SUM($FN1141:$FN$7000))</f>
        <v/>
      </c>
      <c r="FK1141" s="36" t="str">
        <f>IF($FH1141="","",SUM($FN1141:$FN$7000))</f>
        <v/>
      </c>
    </row>
    <row r="1142" spans="152:167">
      <c r="EV1142" s="28">
        <f t="shared" si="35"/>
        <v>0</v>
      </c>
      <c r="FH1142" s="29" t="str">
        <f t="shared" si="36"/>
        <v/>
      </c>
      <c r="FJ1142" s="36" t="str">
        <f>IF($FH1142="","",SUM($FN1142:$FN$7000))</f>
        <v/>
      </c>
      <c r="FK1142" s="36" t="str">
        <f>IF($FH1142="","",SUM($FN1142:$FN$7000))</f>
        <v/>
      </c>
    </row>
    <row r="1143" spans="152:167">
      <c r="EV1143" s="28">
        <f t="shared" si="35"/>
        <v>0</v>
      </c>
      <c r="FH1143" s="29" t="str">
        <f t="shared" si="36"/>
        <v/>
      </c>
      <c r="FJ1143" s="36" t="str">
        <f>IF($FH1143="","",SUM($FN1143:$FN$7000))</f>
        <v/>
      </c>
      <c r="FK1143" s="36" t="str">
        <f>IF($FH1143="","",SUM($FN1143:$FN$7000))</f>
        <v/>
      </c>
    </row>
    <row r="1144" spans="152:167">
      <c r="EV1144" s="28">
        <f t="shared" si="35"/>
        <v>0</v>
      </c>
      <c r="FH1144" s="29" t="str">
        <f t="shared" si="36"/>
        <v/>
      </c>
      <c r="FJ1144" s="36" t="str">
        <f>IF($FH1144="","",SUM($FN1144:$FN$7000))</f>
        <v/>
      </c>
      <c r="FK1144" s="36" t="str">
        <f>IF($FH1144="","",SUM($FN1144:$FN$7000))</f>
        <v/>
      </c>
    </row>
    <row r="1145" spans="152:167">
      <c r="EV1145" s="28">
        <f t="shared" si="35"/>
        <v>0</v>
      </c>
      <c r="FH1145" s="29" t="str">
        <f t="shared" si="36"/>
        <v/>
      </c>
      <c r="FJ1145" s="36" t="str">
        <f>IF($FH1145="","",SUM($FN1145:$FN$7000))</f>
        <v/>
      </c>
      <c r="FK1145" s="36" t="str">
        <f>IF($FH1145="","",SUM($FN1145:$FN$7000))</f>
        <v/>
      </c>
    </row>
    <row r="1146" spans="152:167">
      <c r="EV1146" s="28">
        <f t="shared" si="35"/>
        <v>0</v>
      </c>
      <c r="FH1146" s="29" t="str">
        <f t="shared" si="36"/>
        <v/>
      </c>
      <c r="FJ1146" s="36" t="str">
        <f>IF($FH1146="","",SUM($FN1146:$FN$7000))</f>
        <v/>
      </c>
      <c r="FK1146" s="36" t="str">
        <f>IF($FH1146="","",SUM($FN1146:$FN$7000))</f>
        <v/>
      </c>
    </row>
    <row r="1147" spans="152:167">
      <c r="EV1147" s="28">
        <f t="shared" si="35"/>
        <v>0</v>
      </c>
      <c r="FH1147" s="29" t="str">
        <f t="shared" si="36"/>
        <v/>
      </c>
      <c r="FJ1147" s="36" t="str">
        <f>IF($FH1147="","",SUM($FN1147:$FN$7000))</f>
        <v/>
      </c>
      <c r="FK1147" s="36" t="str">
        <f>IF($FH1147="","",SUM($FN1147:$FN$7000))</f>
        <v/>
      </c>
    </row>
    <row r="1148" spans="152:167">
      <c r="EV1148" s="28">
        <f t="shared" si="35"/>
        <v>0</v>
      </c>
      <c r="FH1148" s="29" t="str">
        <f t="shared" si="36"/>
        <v/>
      </c>
      <c r="FJ1148" s="36" t="str">
        <f>IF($FH1148="","",SUM($FN1148:$FN$7000))</f>
        <v/>
      </c>
      <c r="FK1148" s="36" t="str">
        <f>IF($FH1148="","",SUM($FN1148:$FN$7000))</f>
        <v/>
      </c>
    </row>
    <row r="1149" spans="152:167">
      <c r="EV1149" s="28">
        <f t="shared" si="35"/>
        <v>0</v>
      </c>
      <c r="FH1149" s="29" t="str">
        <f t="shared" si="36"/>
        <v/>
      </c>
      <c r="FJ1149" s="36" t="str">
        <f>IF($FH1149="","",SUM($FN1149:$FN$7000))</f>
        <v/>
      </c>
      <c r="FK1149" s="36" t="str">
        <f>IF($FH1149="","",SUM($FN1149:$FN$7000))</f>
        <v/>
      </c>
    </row>
    <row r="1150" spans="152:167">
      <c r="EV1150" s="28">
        <f t="shared" si="35"/>
        <v>0</v>
      </c>
      <c r="FH1150" s="29" t="str">
        <f t="shared" si="36"/>
        <v/>
      </c>
      <c r="FJ1150" s="36" t="str">
        <f>IF($FH1150="","",SUM($FN1150:$FN$7000))</f>
        <v/>
      </c>
      <c r="FK1150" s="36" t="str">
        <f>IF($FH1150="","",SUM($FN1150:$FN$7000))</f>
        <v/>
      </c>
    </row>
    <row r="1151" spans="152:167">
      <c r="EV1151" s="28">
        <f t="shared" si="35"/>
        <v>0</v>
      </c>
      <c r="FH1151" s="29" t="str">
        <f t="shared" si="36"/>
        <v/>
      </c>
      <c r="FJ1151" s="36" t="str">
        <f>IF($FH1151="","",SUM($FN1151:$FN$7000))</f>
        <v/>
      </c>
      <c r="FK1151" s="36" t="str">
        <f>IF($FH1151="","",SUM($FN1151:$FN$7000))</f>
        <v/>
      </c>
    </row>
    <row r="1152" spans="152:167">
      <c r="EV1152" s="28">
        <f t="shared" si="35"/>
        <v>0</v>
      </c>
      <c r="FH1152" s="29" t="str">
        <f t="shared" si="36"/>
        <v/>
      </c>
      <c r="FJ1152" s="36" t="str">
        <f>IF($FH1152="","",SUM($FN1152:$FN$7000))</f>
        <v/>
      </c>
      <c r="FK1152" s="36" t="str">
        <f>IF($FH1152="","",SUM($FN1152:$FN$7000))</f>
        <v/>
      </c>
    </row>
    <row r="1153" spans="152:167">
      <c r="EV1153" s="28">
        <f t="shared" si="35"/>
        <v>0</v>
      </c>
      <c r="FH1153" s="29" t="str">
        <f t="shared" si="36"/>
        <v/>
      </c>
      <c r="FJ1153" s="36" t="str">
        <f>IF($FH1153="","",SUM($FN1153:$FN$7000))</f>
        <v/>
      </c>
      <c r="FK1153" s="36" t="str">
        <f>IF($FH1153="","",SUM($FN1153:$FN$7000))</f>
        <v/>
      </c>
    </row>
    <row r="1154" spans="152:167">
      <c r="EV1154" s="28">
        <f t="shared" si="35"/>
        <v>0</v>
      </c>
      <c r="FH1154" s="29" t="str">
        <f t="shared" si="36"/>
        <v/>
      </c>
      <c r="FJ1154" s="36" t="str">
        <f>IF($FH1154="","",SUM($FN1154:$FN$7000))</f>
        <v/>
      </c>
      <c r="FK1154" s="36" t="str">
        <f>IF($FH1154="","",SUM($FN1154:$FN$7000))</f>
        <v/>
      </c>
    </row>
    <row r="1155" spans="152:167">
      <c r="EV1155" s="28">
        <f t="shared" si="35"/>
        <v>0</v>
      </c>
      <c r="FH1155" s="29" t="str">
        <f t="shared" si="36"/>
        <v/>
      </c>
      <c r="FJ1155" s="36" t="str">
        <f>IF($FH1155="","",SUM($FN1155:$FN$7000))</f>
        <v/>
      </c>
      <c r="FK1155" s="36" t="str">
        <f>IF($FH1155="","",SUM($FN1155:$FN$7000))</f>
        <v/>
      </c>
    </row>
    <row r="1156" spans="152:167">
      <c r="EV1156" s="28">
        <f t="shared" si="35"/>
        <v>0</v>
      </c>
      <c r="FH1156" s="29" t="str">
        <f t="shared" si="36"/>
        <v/>
      </c>
      <c r="FJ1156" s="36" t="str">
        <f>IF($FH1156="","",SUM($FN1156:$FN$7000))</f>
        <v/>
      </c>
      <c r="FK1156" s="36" t="str">
        <f>IF($FH1156="","",SUM($FN1156:$FN$7000))</f>
        <v/>
      </c>
    </row>
    <row r="1157" spans="152:167">
      <c r="EV1157" s="28">
        <f t="shared" si="35"/>
        <v>0</v>
      </c>
      <c r="FH1157" s="29" t="str">
        <f t="shared" si="36"/>
        <v/>
      </c>
      <c r="FJ1157" s="36" t="str">
        <f>IF($FH1157="","",SUM($FN1157:$FN$7000))</f>
        <v/>
      </c>
      <c r="FK1157" s="36" t="str">
        <f>IF($FH1157="","",SUM($FN1157:$FN$7000))</f>
        <v/>
      </c>
    </row>
    <row r="1158" spans="152:167">
      <c r="EV1158" s="28">
        <f t="shared" si="35"/>
        <v>0</v>
      </c>
      <c r="FH1158" s="29" t="str">
        <f t="shared" si="36"/>
        <v/>
      </c>
      <c r="FJ1158" s="36" t="str">
        <f>IF($FH1158="","",SUM($FN1158:$FN$7000))</f>
        <v/>
      </c>
      <c r="FK1158" s="36" t="str">
        <f>IF($FH1158="","",SUM($FN1158:$FN$7000))</f>
        <v/>
      </c>
    </row>
    <row r="1159" spans="152:167">
      <c r="EV1159" s="28">
        <f t="shared" si="35"/>
        <v>0</v>
      </c>
      <c r="FH1159" s="29" t="str">
        <f t="shared" si="36"/>
        <v/>
      </c>
      <c r="FJ1159" s="36" t="str">
        <f>IF($FH1159="","",SUM($FN1159:$FN$7000))</f>
        <v/>
      </c>
      <c r="FK1159" s="36" t="str">
        <f>IF($FH1159="","",SUM($FN1159:$FN$7000))</f>
        <v/>
      </c>
    </row>
    <row r="1160" spans="152:167">
      <c r="EV1160" s="28">
        <f t="shared" si="35"/>
        <v>0</v>
      </c>
      <c r="FH1160" s="29" t="str">
        <f t="shared" si="36"/>
        <v/>
      </c>
      <c r="FJ1160" s="36" t="str">
        <f>IF($FH1160="","",SUM($FN1160:$FN$7000))</f>
        <v/>
      </c>
      <c r="FK1160" s="36" t="str">
        <f>IF($FH1160="","",SUM($FN1160:$FN$7000))</f>
        <v/>
      </c>
    </row>
    <row r="1161" spans="152:167">
      <c r="EV1161" s="28">
        <f t="shared" si="35"/>
        <v>0</v>
      </c>
      <c r="FH1161" s="29" t="str">
        <f t="shared" si="36"/>
        <v/>
      </c>
      <c r="FJ1161" s="36" t="str">
        <f>IF($FH1161="","",SUM($FN1161:$FN$7000))</f>
        <v/>
      </c>
      <c r="FK1161" s="36" t="str">
        <f>IF($FH1161="","",SUM($FN1161:$FN$7000))</f>
        <v/>
      </c>
    </row>
    <row r="1162" spans="152:167">
      <c r="EV1162" s="28">
        <f t="shared" si="35"/>
        <v>0</v>
      </c>
      <c r="FH1162" s="29" t="str">
        <f t="shared" si="36"/>
        <v/>
      </c>
      <c r="FJ1162" s="36" t="str">
        <f>IF($FH1162="","",SUM($FN1162:$FN$7000))</f>
        <v/>
      </c>
      <c r="FK1162" s="36" t="str">
        <f>IF($FH1162="","",SUM($FN1162:$FN$7000))</f>
        <v/>
      </c>
    </row>
    <row r="1163" spans="152:167">
      <c r="EV1163" s="28">
        <f t="shared" ref="EV1163:EV1226" si="37">EU1163-ET1163</f>
        <v>0</v>
      </c>
      <c r="FH1163" s="29" t="str">
        <f t="shared" ref="FH1163:FH1226" si="38">IF(FL1163="","",FL1163)</f>
        <v/>
      </c>
      <c r="FJ1163" s="36" t="str">
        <f>IF($FH1163="","",SUM($FN1163:$FN$7000))</f>
        <v/>
      </c>
      <c r="FK1163" s="36" t="str">
        <f>IF($FH1163="","",SUM($FN1163:$FN$7000))</f>
        <v/>
      </c>
    </row>
    <row r="1164" spans="152:167">
      <c r="EV1164" s="28">
        <f t="shared" si="37"/>
        <v>0</v>
      </c>
      <c r="FH1164" s="29" t="str">
        <f t="shared" si="38"/>
        <v/>
      </c>
      <c r="FJ1164" s="36" t="str">
        <f>IF($FH1164="","",SUM($FN1164:$FN$7000))</f>
        <v/>
      </c>
      <c r="FK1164" s="36" t="str">
        <f>IF($FH1164="","",SUM($FN1164:$FN$7000))</f>
        <v/>
      </c>
    </row>
    <row r="1165" spans="152:167">
      <c r="EV1165" s="28">
        <f t="shared" si="37"/>
        <v>0</v>
      </c>
      <c r="FH1165" s="29" t="str">
        <f t="shared" si="38"/>
        <v/>
      </c>
      <c r="FJ1165" s="36" t="str">
        <f>IF($FH1165="","",SUM($FN1165:$FN$7000))</f>
        <v/>
      </c>
      <c r="FK1165" s="36" t="str">
        <f>IF($FH1165="","",SUM($FN1165:$FN$7000))</f>
        <v/>
      </c>
    </row>
    <row r="1166" spans="152:167">
      <c r="EV1166" s="28">
        <f t="shared" si="37"/>
        <v>0</v>
      </c>
      <c r="FH1166" s="29" t="str">
        <f t="shared" si="38"/>
        <v/>
      </c>
      <c r="FJ1166" s="36" t="str">
        <f>IF($FH1166="","",SUM($FN1166:$FN$7000))</f>
        <v/>
      </c>
      <c r="FK1166" s="36" t="str">
        <f>IF($FH1166="","",SUM($FN1166:$FN$7000))</f>
        <v/>
      </c>
    </row>
    <row r="1167" spans="152:167">
      <c r="EV1167" s="28">
        <f t="shared" si="37"/>
        <v>0</v>
      </c>
      <c r="FH1167" s="29" t="str">
        <f t="shared" si="38"/>
        <v/>
      </c>
      <c r="FJ1167" s="36" t="str">
        <f>IF($FH1167="","",SUM($FN1167:$FN$7000))</f>
        <v/>
      </c>
      <c r="FK1167" s="36" t="str">
        <f>IF($FH1167="","",SUM($FN1167:$FN$7000))</f>
        <v/>
      </c>
    </row>
    <row r="1168" spans="152:167">
      <c r="EV1168" s="28">
        <f t="shared" si="37"/>
        <v>0</v>
      </c>
      <c r="FH1168" s="29" t="str">
        <f t="shared" si="38"/>
        <v/>
      </c>
      <c r="FJ1168" s="36" t="str">
        <f>IF($FH1168="","",SUM($FN1168:$FN$7000))</f>
        <v/>
      </c>
      <c r="FK1168" s="36" t="str">
        <f>IF($FH1168="","",SUM($FN1168:$FN$7000))</f>
        <v/>
      </c>
    </row>
    <row r="1169" spans="152:167">
      <c r="EV1169" s="28">
        <f t="shared" si="37"/>
        <v>0</v>
      </c>
      <c r="FH1169" s="29" t="str">
        <f t="shared" si="38"/>
        <v/>
      </c>
      <c r="FJ1169" s="36" t="str">
        <f>IF($FH1169="","",SUM($FN1169:$FN$7000))</f>
        <v/>
      </c>
      <c r="FK1169" s="36" t="str">
        <f>IF($FH1169="","",SUM($FN1169:$FN$7000))</f>
        <v/>
      </c>
    </row>
    <row r="1170" spans="152:167">
      <c r="EV1170" s="28">
        <f t="shared" si="37"/>
        <v>0</v>
      </c>
      <c r="FH1170" s="29" t="str">
        <f t="shared" si="38"/>
        <v/>
      </c>
      <c r="FJ1170" s="36" t="str">
        <f>IF($FH1170="","",SUM($FN1170:$FN$7000))</f>
        <v/>
      </c>
      <c r="FK1170" s="36" t="str">
        <f>IF($FH1170="","",SUM($FN1170:$FN$7000))</f>
        <v/>
      </c>
    </row>
    <row r="1171" spans="152:167">
      <c r="EV1171" s="28">
        <f t="shared" si="37"/>
        <v>0</v>
      </c>
      <c r="FH1171" s="29" t="str">
        <f t="shared" si="38"/>
        <v/>
      </c>
      <c r="FJ1171" s="36" t="str">
        <f>IF($FH1171="","",SUM($FN1171:$FN$7000))</f>
        <v/>
      </c>
      <c r="FK1171" s="36" t="str">
        <f>IF($FH1171="","",SUM($FN1171:$FN$7000))</f>
        <v/>
      </c>
    </row>
    <row r="1172" spans="152:167">
      <c r="EV1172" s="28">
        <f t="shared" si="37"/>
        <v>0</v>
      </c>
      <c r="FH1172" s="29" t="str">
        <f t="shared" si="38"/>
        <v/>
      </c>
      <c r="FJ1172" s="36" t="str">
        <f>IF($FH1172="","",SUM($FN1172:$FN$7000))</f>
        <v/>
      </c>
      <c r="FK1172" s="36" t="str">
        <f>IF($FH1172="","",SUM($FN1172:$FN$7000))</f>
        <v/>
      </c>
    </row>
    <row r="1173" spans="152:167">
      <c r="EV1173" s="28">
        <f t="shared" si="37"/>
        <v>0</v>
      </c>
      <c r="FH1173" s="29" t="str">
        <f t="shared" si="38"/>
        <v/>
      </c>
      <c r="FJ1173" s="36" t="str">
        <f>IF($FH1173="","",SUM($FN1173:$FN$7000))</f>
        <v/>
      </c>
      <c r="FK1173" s="36" t="str">
        <f>IF($FH1173="","",SUM($FN1173:$FN$7000))</f>
        <v/>
      </c>
    </row>
    <row r="1174" spans="152:167">
      <c r="EV1174" s="28">
        <f t="shared" si="37"/>
        <v>0</v>
      </c>
      <c r="FH1174" s="29" t="str">
        <f t="shared" si="38"/>
        <v/>
      </c>
      <c r="FJ1174" s="36" t="str">
        <f>IF($FH1174="","",SUM($FN1174:$FN$7000))</f>
        <v/>
      </c>
      <c r="FK1174" s="36" t="str">
        <f>IF($FH1174="","",SUM($FN1174:$FN$7000))</f>
        <v/>
      </c>
    </row>
    <row r="1175" spans="152:167">
      <c r="EV1175" s="28">
        <f t="shared" si="37"/>
        <v>0</v>
      </c>
      <c r="FH1175" s="29" t="str">
        <f t="shared" si="38"/>
        <v/>
      </c>
      <c r="FJ1175" s="36" t="str">
        <f>IF($FH1175="","",SUM($FN1175:$FN$7000))</f>
        <v/>
      </c>
      <c r="FK1175" s="36" t="str">
        <f>IF($FH1175="","",SUM($FN1175:$FN$7000))</f>
        <v/>
      </c>
    </row>
    <row r="1176" spans="152:167">
      <c r="EV1176" s="28">
        <f t="shared" si="37"/>
        <v>0</v>
      </c>
      <c r="FH1176" s="29" t="str">
        <f t="shared" si="38"/>
        <v/>
      </c>
      <c r="FJ1176" s="36" t="str">
        <f>IF($FH1176="","",SUM($FN1176:$FN$7000))</f>
        <v/>
      </c>
      <c r="FK1176" s="36" t="str">
        <f>IF($FH1176="","",SUM($FN1176:$FN$7000))</f>
        <v/>
      </c>
    </row>
    <row r="1177" spans="152:167">
      <c r="EV1177" s="28">
        <f t="shared" si="37"/>
        <v>0</v>
      </c>
      <c r="FH1177" s="29" t="str">
        <f t="shared" si="38"/>
        <v/>
      </c>
      <c r="FJ1177" s="36" t="str">
        <f>IF($FH1177="","",SUM($FN1177:$FN$7000))</f>
        <v/>
      </c>
      <c r="FK1177" s="36" t="str">
        <f>IF($FH1177="","",SUM($FN1177:$FN$7000))</f>
        <v/>
      </c>
    </row>
    <row r="1178" spans="152:167">
      <c r="EV1178" s="28">
        <f t="shared" si="37"/>
        <v>0</v>
      </c>
      <c r="FH1178" s="29" t="str">
        <f t="shared" si="38"/>
        <v/>
      </c>
      <c r="FJ1178" s="36" t="str">
        <f>IF($FH1178="","",SUM($FN1178:$FN$7000))</f>
        <v/>
      </c>
      <c r="FK1178" s="36" t="str">
        <f>IF($FH1178="","",SUM($FN1178:$FN$7000))</f>
        <v/>
      </c>
    </row>
    <row r="1179" spans="152:167">
      <c r="EV1179" s="28">
        <f t="shared" si="37"/>
        <v>0</v>
      </c>
      <c r="FH1179" s="29" t="str">
        <f t="shared" si="38"/>
        <v/>
      </c>
      <c r="FJ1179" s="36" t="str">
        <f>IF($FH1179="","",SUM($FN1179:$FN$7000))</f>
        <v/>
      </c>
      <c r="FK1179" s="36" t="str">
        <f>IF($FH1179="","",SUM($FN1179:$FN$7000))</f>
        <v/>
      </c>
    </row>
    <row r="1180" spans="152:167">
      <c r="EV1180" s="28">
        <f t="shared" si="37"/>
        <v>0</v>
      </c>
      <c r="FH1180" s="29" t="str">
        <f t="shared" si="38"/>
        <v/>
      </c>
      <c r="FJ1180" s="36" t="str">
        <f>IF($FH1180="","",SUM($FN1180:$FN$7000))</f>
        <v/>
      </c>
      <c r="FK1180" s="36" t="str">
        <f>IF($FH1180="","",SUM($FN1180:$FN$7000))</f>
        <v/>
      </c>
    </row>
    <row r="1181" spans="152:167">
      <c r="EV1181" s="28">
        <f t="shared" si="37"/>
        <v>0</v>
      </c>
      <c r="FH1181" s="29" t="str">
        <f t="shared" si="38"/>
        <v/>
      </c>
      <c r="FJ1181" s="36" t="str">
        <f>IF($FH1181="","",SUM($FN1181:$FN$7000))</f>
        <v/>
      </c>
      <c r="FK1181" s="36" t="str">
        <f>IF($FH1181="","",SUM($FN1181:$FN$7000))</f>
        <v/>
      </c>
    </row>
    <row r="1182" spans="152:167">
      <c r="EV1182" s="28">
        <f t="shared" si="37"/>
        <v>0</v>
      </c>
      <c r="FH1182" s="29" t="str">
        <f t="shared" si="38"/>
        <v/>
      </c>
      <c r="FJ1182" s="36" t="str">
        <f>IF($FH1182="","",SUM($FN1182:$FN$7000))</f>
        <v/>
      </c>
      <c r="FK1182" s="36" t="str">
        <f>IF($FH1182="","",SUM($FN1182:$FN$7000))</f>
        <v/>
      </c>
    </row>
    <row r="1183" spans="152:167">
      <c r="EV1183" s="28">
        <f t="shared" si="37"/>
        <v>0</v>
      </c>
      <c r="FH1183" s="29" t="str">
        <f t="shared" si="38"/>
        <v/>
      </c>
      <c r="FJ1183" s="36" t="str">
        <f>IF($FH1183="","",SUM($FN1183:$FN$7000))</f>
        <v/>
      </c>
      <c r="FK1183" s="36" t="str">
        <f>IF($FH1183="","",SUM($FN1183:$FN$7000))</f>
        <v/>
      </c>
    </row>
    <row r="1184" spans="152:167">
      <c r="EV1184" s="28">
        <f t="shared" si="37"/>
        <v>0</v>
      </c>
      <c r="FH1184" s="29" t="str">
        <f t="shared" si="38"/>
        <v/>
      </c>
      <c r="FJ1184" s="36" t="str">
        <f>IF($FH1184="","",SUM($FN1184:$FN$7000))</f>
        <v/>
      </c>
      <c r="FK1184" s="36" t="str">
        <f>IF($FH1184="","",SUM($FN1184:$FN$7000))</f>
        <v/>
      </c>
    </row>
    <row r="1185" spans="152:167">
      <c r="EV1185" s="28">
        <f t="shared" si="37"/>
        <v>0</v>
      </c>
      <c r="FH1185" s="29" t="str">
        <f t="shared" si="38"/>
        <v/>
      </c>
      <c r="FJ1185" s="36" t="str">
        <f>IF($FH1185="","",SUM($FN1185:$FN$7000))</f>
        <v/>
      </c>
      <c r="FK1185" s="36" t="str">
        <f>IF($FH1185="","",SUM($FN1185:$FN$7000))</f>
        <v/>
      </c>
    </row>
    <row r="1186" spans="152:167">
      <c r="EV1186" s="28">
        <f t="shared" si="37"/>
        <v>0</v>
      </c>
      <c r="FH1186" s="29" t="str">
        <f t="shared" si="38"/>
        <v/>
      </c>
      <c r="FJ1186" s="36" t="str">
        <f>IF($FH1186="","",SUM($FN1186:$FN$7000))</f>
        <v/>
      </c>
      <c r="FK1186" s="36" t="str">
        <f>IF($FH1186="","",SUM($FN1186:$FN$7000))</f>
        <v/>
      </c>
    </row>
    <row r="1187" spans="152:167">
      <c r="EV1187" s="28">
        <f t="shared" si="37"/>
        <v>0</v>
      </c>
      <c r="FH1187" s="29" t="str">
        <f t="shared" si="38"/>
        <v/>
      </c>
      <c r="FJ1187" s="36" t="str">
        <f>IF($FH1187="","",SUM($FN1187:$FN$7000))</f>
        <v/>
      </c>
      <c r="FK1187" s="36" t="str">
        <f>IF($FH1187="","",SUM($FN1187:$FN$7000))</f>
        <v/>
      </c>
    </row>
    <row r="1188" spans="152:167">
      <c r="EV1188" s="28">
        <f t="shared" si="37"/>
        <v>0</v>
      </c>
      <c r="FH1188" s="29" t="str">
        <f t="shared" si="38"/>
        <v/>
      </c>
      <c r="FJ1188" s="36" t="str">
        <f>IF($FH1188="","",SUM($FN1188:$FN$7000))</f>
        <v/>
      </c>
      <c r="FK1188" s="36" t="str">
        <f>IF($FH1188="","",SUM($FN1188:$FN$7000))</f>
        <v/>
      </c>
    </row>
    <row r="1189" spans="152:167">
      <c r="EV1189" s="28">
        <f t="shared" si="37"/>
        <v>0</v>
      </c>
      <c r="FH1189" s="29" t="str">
        <f t="shared" si="38"/>
        <v/>
      </c>
      <c r="FJ1189" s="36" t="str">
        <f>IF($FH1189="","",SUM($FN1189:$FN$7000))</f>
        <v/>
      </c>
      <c r="FK1189" s="36" t="str">
        <f>IF($FH1189="","",SUM($FN1189:$FN$7000))</f>
        <v/>
      </c>
    </row>
    <row r="1190" spans="152:167">
      <c r="EV1190" s="28">
        <f t="shared" si="37"/>
        <v>0</v>
      </c>
      <c r="FH1190" s="29" t="str">
        <f t="shared" si="38"/>
        <v/>
      </c>
      <c r="FJ1190" s="36" t="str">
        <f>IF($FH1190="","",SUM($FN1190:$FN$7000))</f>
        <v/>
      </c>
      <c r="FK1190" s="36" t="str">
        <f>IF($FH1190="","",SUM($FN1190:$FN$7000))</f>
        <v/>
      </c>
    </row>
    <row r="1191" spans="152:167">
      <c r="EV1191" s="28">
        <f t="shared" si="37"/>
        <v>0</v>
      </c>
      <c r="FH1191" s="29" t="str">
        <f t="shared" si="38"/>
        <v/>
      </c>
      <c r="FJ1191" s="36" t="str">
        <f>IF($FH1191="","",SUM($FN1191:$FN$7000))</f>
        <v/>
      </c>
      <c r="FK1191" s="36" t="str">
        <f>IF($FH1191="","",SUM($FN1191:$FN$7000))</f>
        <v/>
      </c>
    </row>
    <row r="1192" spans="152:167">
      <c r="EV1192" s="28">
        <f t="shared" si="37"/>
        <v>0</v>
      </c>
      <c r="FH1192" s="29" t="str">
        <f t="shared" si="38"/>
        <v/>
      </c>
      <c r="FJ1192" s="36" t="str">
        <f>IF($FH1192="","",SUM($FN1192:$FN$7000))</f>
        <v/>
      </c>
      <c r="FK1192" s="36" t="str">
        <f>IF($FH1192="","",SUM($FN1192:$FN$7000))</f>
        <v/>
      </c>
    </row>
    <row r="1193" spans="152:167">
      <c r="EV1193" s="28">
        <f t="shared" si="37"/>
        <v>0</v>
      </c>
      <c r="FH1193" s="29" t="str">
        <f t="shared" si="38"/>
        <v/>
      </c>
      <c r="FJ1193" s="36" t="str">
        <f>IF($FH1193="","",SUM($FN1193:$FN$7000))</f>
        <v/>
      </c>
      <c r="FK1193" s="36" t="str">
        <f>IF($FH1193="","",SUM($FN1193:$FN$7000))</f>
        <v/>
      </c>
    </row>
    <row r="1194" spans="152:167">
      <c r="EV1194" s="28">
        <f t="shared" si="37"/>
        <v>0</v>
      </c>
      <c r="FH1194" s="29" t="str">
        <f t="shared" si="38"/>
        <v/>
      </c>
      <c r="FJ1194" s="36" t="str">
        <f>IF($FH1194="","",SUM($FN1194:$FN$7000))</f>
        <v/>
      </c>
      <c r="FK1194" s="36" t="str">
        <f>IF($FH1194="","",SUM($FN1194:$FN$7000))</f>
        <v/>
      </c>
    </row>
    <row r="1195" spans="152:167">
      <c r="EV1195" s="28">
        <f t="shared" si="37"/>
        <v>0</v>
      </c>
      <c r="FH1195" s="29" t="str">
        <f t="shared" si="38"/>
        <v/>
      </c>
      <c r="FJ1195" s="36" t="str">
        <f>IF($FH1195="","",SUM($FN1195:$FN$7000))</f>
        <v/>
      </c>
      <c r="FK1195" s="36" t="str">
        <f>IF($FH1195="","",SUM($FN1195:$FN$7000))</f>
        <v/>
      </c>
    </row>
    <row r="1196" spans="152:167">
      <c r="EV1196" s="28">
        <f t="shared" si="37"/>
        <v>0</v>
      </c>
      <c r="FH1196" s="29" t="str">
        <f t="shared" si="38"/>
        <v/>
      </c>
      <c r="FJ1196" s="36" t="str">
        <f>IF($FH1196="","",SUM($FN1196:$FN$7000))</f>
        <v/>
      </c>
      <c r="FK1196" s="36" t="str">
        <f>IF($FH1196="","",SUM($FN1196:$FN$7000))</f>
        <v/>
      </c>
    </row>
    <row r="1197" spans="152:167">
      <c r="EV1197" s="28">
        <f t="shared" si="37"/>
        <v>0</v>
      </c>
      <c r="FH1197" s="29" t="str">
        <f t="shared" si="38"/>
        <v/>
      </c>
      <c r="FJ1197" s="36" t="str">
        <f>IF($FH1197="","",SUM($FN1197:$FN$7000))</f>
        <v/>
      </c>
      <c r="FK1197" s="36" t="str">
        <f>IF($FH1197="","",SUM($FN1197:$FN$7000))</f>
        <v/>
      </c>
    </row>
    <row r="1198" spans="152:167">
      <c r="EV1198" s="28">
        <f t="shared" si="37"/>
        <v>0</v>
      </c>
      <c r="FH1198" s="29" t="str">
        <f t="shared" si="38"/>
        <v/>
      </c>
      <c r="FJ1198" s="36" t="str">
        <f>IF($FH1198="","",SUM($FN1198:$FN$7000))</f>
        <v/>
      </c>
      <c r="FK1198" s="36" t="str">
        <f>IF($FH1198="","",SUM($FN1198:$FN$7000))</f>
        <v/>
      </c>
    </row>
    <row r="1199" spans="152:167">
      <c r="EV1199" s="28">
        <f t="shared" si="37"/>
        <v>0</v>
      </c>
      <c r="FH1199" s="29" t="str">
        <f t="shared" si="38"/>
        <v/>
      </c>
      <c r="FJ1199" s="36" t="str">
        <f>IF($FH1199="","",SUM($FN1199:$FN$7000))</f>
        <v/>
      </c>
      <c r="FK1199" s="36" t="str">
        <f>IF($FH1199="","",SUM($FN1199:$FN$7000))</f>
        <v/>
      </c>
    </row>
    <row r="1200" spans="152:167">
      <c r="EV1200" s="28">
        <f t="shared" si="37"/>
        <v>0</v>
      </c>
      <c r="FH1200" s="29" t="str">
        <f t="shared" si="38"/>
        <v/>
      </c>
      <c r="FJ1200" s="36" t="str">
        <f>IF($FH1200="","",SUM($FN1200:$FN$7000))</f>
        <v/>
      </c>
      <c r="FK1200" s="36" t="str">
        <f>IF($FH1200="","",SUM($FN1200:$FN$7000))</f>
        <v/>
      </c>
    </row>
    <row r="1201" spans="152:167">
      <c r="EV1201" s="28">
        <f t="shared" si="37"/>
        <v>0</v>
      </c>
      <c r="FH1201" s="29" t="str">
        <f t="shared" si="38"/>
        <v/>
      </c>
      <c r="FJ1201" s="36" t="str">
        <f>IF($FH1201="","",SUM($FN1201:$FN$7000))</f>
        <v/>
      </c>
      <c r="FK1201" s="36" t="str">
        <f>IF($FH1201="","",SUM($FN1201:$FN$7000))</f>
        <v/>
      </c>
    </row>
    <row r="1202" spans="152:167">
      <c r="EV1202" s="28">
        <f t="shared" si="37"/>
        <v>0</v>
      </c>
      <c r="FH1202" s="29" t="str">
        <f t="shared" si="38"/>
        <v/>
      </c>
      <c r="FJ1202" s="36" t="str">
        <f>IF($FH1202="","",SUM($FN1202:$FN$7000))</f>
        <v/>
      </c>
      <c r="FK1202" s="36" t="str">
        <f>IF($FH1202="","",SUM($FN1202:$FN$7000))</f>
        <v/>
      </c>
    </row>
    <row r="1203" spans="152:167">
      <c r="EV1203" s="28">
        <f t="shared" si="37"/>
        <v>0</v>
      </c>
      <c r="FH1203" s="29" t="str">
        <f t="shared" si="38"/>
        <v/>
      </c>
      <c r="FJ1203" s="36" t="str">
        <f>IF($FH1203="","",SUM($FN1203:$FN$7000))</f>
        <v/>
      </c>
      <c r="FK1203" s="36" t="str">
        <f>IF($FH1203="","",SUM($FN1203:$FN$7000))</f>
        <v/>
      </c>
    </row>
    <row r="1204" spans="152:167">
      <c r="EV1204" s="28">
        <f t="shared" si="37"/>
        <v>0</v>
      </c>
      <c r="FH1204" s="29" t="str">
        <f t="shared" si="38"/>
        <v/>
      </c>
      <c r="FJ1204" s="36" t="str">
        <f>IF($FH1204="","",SUM($FN1204:$FN$7000))</f>
        <v/>
      </c>
      <c r="FK1204" s="36" t="str">
        <f>IF($FH1204="","",SUM($FN1204:$FN$7000))</f>
        <v/>
      </c>
    </row>
    <row r="1205" spans="152:167">
      <c r="EV1205" s="28">
        <f t="shared" si="37"/>
        <v>0</v>
      </c>
      <c r="FH1205" s="29" t="str">
        <f t="shared" si="38"/>
        <v/>
      </c>
      <c r="FJ1205" s="36" t="str">
        <f>IF($FH1205="","",SUM($FN1205:$FN$7000))</f>
        <v/>
      </c>
      <c r="FK1205" s="36" t="str">
        <f>IF($FH1205="","",SUM($FN1205:$FN$7000))</f>
        <v/>
      </c>
    </row>
    <row r="1206" spans="152:167">
      <c r="EV1206" s="28">
        <f t="shared" si="37"/>
        <v>0</v>
      </c>
      <c r="FH1206" s="29" t="str">
        <f t="shared" si="38"/>
        <v/>
      </c>
      <c r="FJ1206" s="36" t="str">
        <f>IF($FH1206="","",SUM($FN1206:$FN$7000))</f>
        <v/>
      </c>
      <c r="FK1206" s="36" t="str">
        <f>IF($FH1206="","",SUM($FN1206:$FN$7000))</f>
        <v/>
      </c>
    </row>
    <row r="1207" spans="152:167">
      <c r="EV1207" s="28">
        <f t="shared" si="37"/>
        <v>0</v>
      </c>
      <c r="FH1207" s="29" t="str">
        <f t="shared" si="38"/>
        <v/>
      </c>
      <c r="FJ1207" s="36" t="str">
        <f>IF($FH1207="","",SUM($FN1207:$FN$7000))</f>
        <v/>
      </c>
      <c r="FK1207" s="36" t="str">
        <f>IF($FH1207="","",SUM($FN1207:$FN$7000))</f>
        <v/>
      </c>
    </row>
    <row r="1208" spans="152:167">
      <c r="EV1208" s="28">
        <f t="shared" si="37"/>
        <v>0</v>
      </c>
      <c r="FH1208" s="29" t="str">
        <f t="shared" si="38"/>
        <v/>
      </c>
      <c r="FJ1208" s="36" t="str">
        <f>IF($FH1208="","",SUM($FN1208:$FN$7000))</f>
        <v/>
      </c>
      <c r="FK1208" s="36" t="str">
        <f>IF($FH1208="","",SUM($FN1208:$FN$7000))</f>
        <v/>
      </c>
    </row>
    <row r="1209" spans="152:167">
      <c r="EV1209" s="28">
        <f t="shared" si="37"/>
        <v>0</v>
      </c>
      <c r="FH1209" s="29" t="str">
        <f t="shared" si="38"/>
        <v/>
      </c>
      <c r="FJ1209" s="36" t="str">
        <f>IF($FH1209="","",SUM($FN1209:$FN$7000))</f>
        <v/>
      </c>
      <c r="FK1209" s="36" t="str">
        <f>IF($FH1209="","",SUM($FN1209:$FN$7000))</f>
        <v/>
      </c>
    </row>
    <row r="1210" spans="152:167">
      <c r="EV1210" s="28">
        <f t="shared" si="37"/>
        <v>0</v>
      </c>
      <c r="FH1210" s="29" t="str">
        <f t="shared" si="38"/>
        <v/>
      </c>
      <c r="FJ1210" s="36" t="str">
        <f>IF($FH1210="","",SUM($FN1210:$FN$7000))</f>
        <v/>
      </c>
      <c r="FK1210" s="36" t="str">
        <f>IF($FH1210="","",SUM($FN1210:$FN$7000))</f>
        <v/>
      </c>
    </row>
    <row r="1211" spans="152:167">
      <c r="EV1211" s="28">
        <f t="shared" si="37"/>
        <v>0</v>
      </c>
      <c r="FH1211" s="29" t="str">
        <f t="shared" si="38"/>
        <v/>
      </c>
      <c r="FJ1211" s="36" t="str">
        <f>IF($FH1211="","",SUM($FN1211:$FN$7000))</f>
        <v/>
      </c>
      <c r="FK1211" s="36" t="str">
        <f>IF($FH1211="","",SUM($FN1211:$FN$7000))</f>
        <v/>
      </c>
    </row>
    <row r="1212" spans="152:167">
      <c r="EV1212" s="28">
        <f t="shared" si="37"/>
        <v>0</v>
      </c>
      <c r="FH1212" s="29" t="str">
        <f t="shared" si="38"/>
        <v/>
      </c>
      <c r="FJ1212" s="36" t="str">
        <f>IF($FH1212="","",SUM($FN1212:$FN$7000))</f>
        <v/>
      </c>
      <c r="FK1212" s="36" t="str">
        <f>IF($FH1212="","",SUM($FN1212:$FN$7000))</f>
        <v/>
      </c>
    </row>
    <row r="1213" spans="152:167">
      <c r="EV1213" s="28">
        <f t="shared" si="37"/>
        <v>0</v>
      </c>
      <c r="FH1213" s="29" t="str">
        <f t="shared" si="38"/>
        <v/>
      </c>
      <c r="FJ1213" s="36" t="str">
        <f>IF($FH1213="","",SUM($FN1213:$FN$7000))</f>
        <v/>
      </c>
      <c r="FK1213" s="36" t="str">
        <f>IF($FH1213="","",SUM($FN1213:$FN$7000))</f>
        <v/>
      </c>
    </row>
    <row r="1214" spans="152:167">
      <c r="EV1214" s="28">
        <f t="shared" si="37"/>
        <v>0</v>
      </c>
      <c r="FH1214" s="29" t="str">
        <f t="shared" si="38"/>
        <v/>
      </c>
      <c r="FJ1214" s="36" t="str">
        <f>IF($FH1214="","",SUM($FN1214:$FN$7000))</f>
        <v/>
      </c>
      <c r="FK1214" s="36" t="str">
        <f>IF($FH1214="","",SUM($FN1214:$FN$7000))</f>
        <v/>
      </c>
    </row>
    <row r="1215" spans="152:167">
      <c r="EV1215" s="28">
        <f t="shared" si="37"/>
        <v>0</v>
      </c>
      <c r="FH1215" s="29" t="str">
        <f t="shared" si="38"/>
        <v/>
      </c>
      <c r="FJ1215" s="36" t="str">
        <f>IF($FH1215="","",SUM($FN1215:$FN$7000))</f>
        <v/>
      </c>
      <c r="FK1215" s="36" t="str">
        <f>IF($FH1215="","",SUM($FN1215:$FN$7000))</f>
        <v/>
      </c>
    </row>
    <row r="1216" spans="152:167">
      <c r="EV1216" s="28">
        <f t="shared" si="37"/>
        <v>0</v>
      </c>
      <c r="FH1216" s="29" t="str">
        <f t="shared" si="38"/>
        <v/>
      </c>
      <c r="FJ1216" s="36" t="str">
        <f>IF($FH1216="","",SUM($FN1216:$FN$7000))</f>
        <v/>
      </c>
      <c r="FK1216" s="36" t="str">
        <f>IF($FH1216="","",SUM($FN1216:$FN$7000))</f>
        <v/>
      </c>
    </row>
    <row r="1217" spans="152:167">
      <c r="EV1217" s="28">
        <f t="shared" si="37"/>
        <v>0</v>
      </c>
      <c r="FH1217" s="29" t="str">
        <f t="shared" si="38"/>
        <v/>
      </c>
      <c r="FJ1217" s="36" t="str">
        <f>IF($FH1217="","",SUM($FN1217:$FN$7000))</f>
        <v/>
      </c>
      <c r="FK1217" s="36" t="str">
        <f>IF($FH1217="","",SUM($FN1217:$FN$7000))</f>
        <v/>
      </c>
    </row>
    <row r="1218" spans="152:167">
      <c r="EV1218" s="28">
        <f t="shared" si="37"/>
        <v>0</v>
      </c>
      <c r="FH1218" s="29" t="str">
        <f t="shared" si="38"/>
        <v/>
      </c>
      <c r="FJ1218" s="36" t="str">
        <f>IF($FH1218="","",SUM($FN1218:$FN$7000))</f>
        <v/>
      </c>
      <c r="FK1218" s="36" t="str">
        <f>IF($FH1218="","",SUM($FN1218:$FN$7000))</f>
        <v/>
      </c>
    </row>
    <row r="1219" spans="152:167">
      <c r="EV1219" s="28">
        <f t="shared" si="37"/>
        <v>0</v>
      </c>
      <c r="FH1219" s="29" t="str">
        <f t="shared" si="38"/>
        <v/>
      </c>
      <c r="FJ1219" s="36" t="str">
        <f>IF($FH1219="","",SUM($FN1219:$FN$7000))</f>
        <v/>
      </c>
      <c r="FK1219" s="36" t="str">
        <f>IF($FH1219="","",SUM($FN1219:$FN$7000))</f>
        <v/>
      </c>
    </row>
    <row r="1220" spans="152:167">
      <c r="EV1220" s="28">
        <f t="shared" si="37"/>
        <v>0</v>
      </c>
      <c r="FH1220" s="29" t="str">
        <f t="shared" si="38"/>
        <v/>
      </c>
      <c r="FJ1220" s="36" t="str">
        <f>IF($FH1220="","",SUM($FN1220:$FN$7000))</f>
        <v/>
      </c>
      <c r="FK1220" s="36" t="str">
        <f>IF($FH1220="","",SUM($FN1220:$FN$7000))</f>
        <v/>
      </c>
    </row>
    <row r="1221" spans="152:167">
      <c r="EV1221" s="28">
        <f t="shared" si="37"/>
        <v>0</v>
      </c>
      <c r="FH1221" s="29" t="str">
        <f t="shared" si="38"/>
        <v/>
      </c>
      <c r="FJ1221" s="36" t="str">
        <f>IF($FH1221="","",SUM($FN1221:$FN$7000))</f>
        <v/>
      </c>
      <c r="FK1221" s="36" t="str">
        <f>IF($FH1221="","",SUM($FN1221:$FN$7000))</f>
        <v/>
      </c>
    </row>
    <row r="1222" spans="152:167">
      <c r="EV1222" s="28">
        <f t="shared" si="37"/>
        <v>0</v>
      </c>
      <c r="FH1222" s="29" t="str">
        <f t="shared" si="38"/>
        <v/>
      </c>
      <c r="FJ1222" s="36" t="str">
        <f>IF($FH1222="","",SUM($FN1222:$FN$7000))</f>
        <v/>
      </c>
      <c r="FK1222" s="36" t="str">
        <f>IF($FH1222="","",SUM($FN1222:$FN$7000))</f>
        <v/>
      </c>
    </row>
    <row r="1223" spans="152:167">
      <c r="EV1223" s="28">
        <f t="shared" si="37"/>
        <v>0</v>
      </c>
      <c r="FH1223" s="29" t="str">
        <f t="shared" si="38"/>
        <v/>
      </c>
      <c r="FJ1223" s="36" t="str">
        <f>IF($FH1223="","",SUM($FN1223:$FN$7000))</f>
        <v/>
      </c>
      <c r="FK1223" s="36" t="str">
        <f>IF($FH1223="","",SUM($FN1223:$FN$7000))</f>
        <v/>
      </c>
    </row>
    <row r="1224" spans="152:167">
      <c r="EV1224" s="28">
        <f t="shared" si="37"/>
        <v>0</v>
      </c>
      <c r="FH1224" s="29" t="str">
        <f t="shared" si="38"/>
        <v/>
      </c>
      <c r="FJ1224" s="36" t="str">
        <f>IF($FH1224="","",SUM($FN1224:$FN$7000))</f>
        <v/>
      </c>
      <c r="FK1224" s="36" t="str">
        <f>IF($FH1224="","",SUM($FN1224:$FN$7000))</f>
        <v/>
      </c>
    </row>
    <row r="1225" spans="152:167">
      <c r="EV1225" s="28">
        <f t="shared" si="37"/>
        <v>0</v>
      </c>
      <c r="FH1225" s="29" t="str">
        <f t="shared" si="38"/>
        <v/>
      </c>
      <c r="FJ1225" s="36" t="str">
        <f>IF($FH1225="","",SUM($FN1225:$FN$7000))</f>
        <v/>
      </c>
      <c r="FK1225" s="36" t="str">
        <f>IF($FH1225="","",SUM($FN1225:$FN$7000))</f>
        <v/>
      </c>
    </row>
    <row r="1226" spans="152:167">
      <c r="EV1226" s="28">
        <f t="shared" si="37"/>
        <v>0</v>
      </c>
      <c r="FH1226" s="29" t="str">
        <f t="shared" si="38"/>
        <v/>
      </c>
      <c r="FJ1226" s="36" t="str">
        <f>IF($FH1226="","",SUM($FN1226:$FN$7000))</f>
        <v/>
      </c>
      <c r="FK1226" s="36" t="str">
        <f>IF($FH1226="","",SUM($FN1226:$FN$7000))</f>
        <v/>
      </c>
    </row>
    <row r="1227" spans="152:167">
      <c r="EV1227" s="28">
        <f t="shared" ref="EV1227:EV1290" si="39">EU1227-ET1227</f>
        <v>0</v>
      </c>
      <c r="FH1227" s="29" t="str">
        <f t="shared" ref="FH1227:FH1290" si="40">IF(FL1227="","",FL1227)</f>
        <v/>
      </c>
      <c r="FJ1227" s="36" t="str">
        <f>IF($FH1227="","",SUM($FN1227:$FN$7000))</f>
        <v/>
      </c>
      <c r="FK1227" s="36" t="str">
        <f>IF($FH1227="","",SUM($FN1227:$FN$7000))</f>
        <v/>
      </c>
    </row>
    <row r="1228" spans="152:167">
      <c r="EV1228" s="28">
        <f t="shared" si="39"/>
        <v>0</v>
      </c>
      <c r="FH1228" s="29" t="str">
        <f t="shared" si="40"/>
        <v/>
      </c>
      <c r="FJ1228" s="36" t="str">
        <f>IF($FH1228="","",SUM($FN1228:$FN$7000))</f>
        <v/>
      </c>
      <c r="FK1228" s="36" t="str">
        <f>IF($FH1228="","",SUM($FN1228:$FN$7000))</f>
        <v/>
      </c>
    </row>
    <row r="1229" spans="152:167">
      <c r="EV1229" s="28">
        <f t="shared" si="39"/>
        <v>0</v>
      </c>
      <c r="FH1229" s="29" t="str">
        <f t="shared" si="40"/>
        <v/>
      </c>
      <c r="FJ1229" s="36" t="str">
        <f>IF($FH1229="","",SUM($FN1229:$FN$7000))</f>
        <v/>
      </c>
      <c r="FK1229" s="36" t="str">
        <f>IF($FH1229="","",SUM($FN1229:$FN$7000))</f>
        <v/>
      </c>
    </row>
    <row r="1230" spans="152:167">
      <c r="EV1230" s="28">
        <f t="shared" si="39"/>
        <v>0</v>
      </c>
      <c r="FH1230" s="29" t="str">
        <f t="shared" si="40"/>
        <v/>
      </c>
      <c r="FJ1230" s="36" t="str">
        <f>IF($FH1230="","",SUM($FN1230:$FN$7000))</f>
        <v/>
      </c>
      <c r="FK1230" s="36" t="str">
        <f>IF($FH1230="","",SUM($FN1230:$FN$7000))</f>
        <v/>
      </c>
    </row>
    <row r="1231" spans="152:167">
      <c r="EV1231" s="28">
        <f t="shared" si="39"/>
        <v>0</v>
      </c>
      <c r="FH1231" s="29" t="str">
        <f t="shared" si="40"/>
        <v/>
      </c>
      <c r="FJ1231" s="36" t="str">
        <f>IF($FH1231="","",SUM($FN1231:$FN$7000))</f>
        <v/>
      </c>
      <c r="FK1231" s="36" t="str">
        <f>IF($FH1231="","",SUM($FN1231:$FN$7000))</f>
        <v/>
      </c>
    </row>
    <row r="1232" spans="152:167">
      <c r="EV1232" s="28">
        <f t="shared" si="39"/>
        <v>0</v>
      </c>
      <c r="FH1232" s="29" t="str">
        <f t="shared" si="40"/>
        <v/>
      </c>
      <c r="FJ1232" s="36" t="str">
        <f>IF($FH1232="","",SUM($FN1232:$FN$7000))</f>
        <v/>
      </c>
      <c r="FK1232" s="36" t="str">
        <f>IF($FH1232="","",SUM($FN1232:$FN$7000))</f>
        <v/>
      </c>
    </row>
    <row r="1233" spans="152:167">
      <c r="EV1233" s="28">
        <f t="shared" si="39"/>
        <v>0</v>
      </c>
      <c r="FH1233" s="29" t="str">
        <f t="shared" si="40"/>
        <v/>
      </c>
      <c r="FJ1233" s="36" t="str">
        <f>IF($FH1233="","",SUM($FN1233:$FN$7000))</f>
        <v/>
      </c>
      <c r="FK1233" s="36" t="str">
        <f>IF($FH1233="","",SUM($FN1233:$FN$7000))</f>
        <v/>
      </c>
    </row>
    <row r="1234" spans="152:167">
      <c r="EV1234" s="28">
        <f t="shared" si="39"/>
        <v>0</v>
      </c>
      <c r="FH1234" s="29" t="str">
        <f t="shared" si="40"/>
        <v/>
      </c>
      <c r="FJ1234" s="36" t="str">
        <f>IF($FH1234="","",SUM($FN1234:$FN$7000))</f>
        <v/>
      </c>
      <c r="FK1234" s="36" t="str">
        <f>IF($FH1234="","",SUM($FN1234:$FN$7000))</f>
        <v/>
      </c>
    </row>
    <row r="1235" spans="152:167">
      <c r="EV1235" s="28">
        <f t="shared" si="39"/>
        <v>0</v>
      </c>
      <c r="FH1235" s="29" t="str">
        <f t="shared" si="40"/>
        <v/>
      </c>
      <c r="FJ1235" s="36" t="str">
        <f>IF($FH1235="","",SUM($FN1235:$FN$7000))</f>
        <v/>
      </c>
      <c r="FK1235" s="36" t="str">
        <f>IF($FH1235="","",SUM($FN1235:$FN$7000))</f>
        <v/>
      </c>
    </row>
    <row r="1236" spans="152:167">
      <c r="EV1236" s="28">
        <f t="shared" si="39"/>
        <v>0</v>
      </c>
      <c r="FH1236" s="29" t="str">
        <f t="shared" si="40"/>
        <v/>
      </c>
      <c r="FJ1236" s="36" t="str">
        <f>IF($FH1236="","",SUM($FN1236:$FN$7000))</f>
        <v/>
      </c>
      <c r="FK1236" s="36" t="str">
        <f>IF($FH1236="","",SUM($FN1236:$FN$7000))</f>
        <v/>
      </c>
    </row>
    <row r="1237" spans="152:167">
      <c r="EV1237" s="28">
        <f t="shared" si="39"/>
        <v>0</v>
      </c>
      <c r="FH1237" s="29" t="str">
        <f t="shared" si="40"/>
        <v/>
      </c>
      <c r="FJ1237" s="36" t="str">
        <f>IF($FH1237="","",SUM($FN1237:$FN$7000))</f>
        <v/>
      </c>
      <c r="FK1237" s="36" t="str">
        <f>IF($FH1237="","",SUM($FN1237:$FN$7000))</f>
        <v/>
      </c>
    </row>
    <row r="1238" spans="152:167">
      <c r="EV1238" s="28">
        <f t="shared" si="39"/>
        <v>0</v>
      </c>
      <c r="FH1238" s="29" t="str">
        <f t="shared" si="40"/>
        <v/>
      </c>
      <c r="FJ1238" s="36" t="str">
        <f>IF($FH1238="","",SUM($FN1238:$FN$7000))</f>
        <v/>
      </c>
      <c r="FK1238" s="36" t="str">
        <f>IF($FH1238="","",SUM($FN1238:$FN$7000))</f>
        <v/>
      </c>
    </row>
    <row r="1239" spans="152:167">
      <c r="EV1239" s="28">
        <f t="shared" si="39"/>
        <v>0</v>
      </c>
      <c r="FH1239" s="29" t="str">
        <f t="shared" si="40"/>
        <v/>
      </c>
      <c r="FJ1239" s="36" t="str">
        <f>IF($FH1239="","",SUM($FN1239:$FN$7000))</f>
        <v/>
      </c>
      <c r="FK1239" s="36" t="str">
        <f>IF($FH1239="","",SUM($FN1239:$FN$7000))</f>
        <v/>
      </c>
    </row>
    <row r="1240" spans="152:167">
      <c r="EV1240" s="28">
        <f t="shared" si="39"/>
        <v>0</v>
      </c>
      <c r="FH1240" s="29" t="str">
        <f t="shared" si="40"/>
        <v/>
      </c>
      <c r="FJ1240" s="36" t="str">
        <f>IF($FH1240="","",SUM($FN1240:$FN$7000))</f>
        <v/>
      </c>
      <c r="FK1240" s="36" t="str">
        <f>IF($FH1240="","",SUM($FN1240:$FN$7000))</f>
        <v/>
      </c>
    </row>
    <row r="1241" spans="152:167">
      <c r="EV1241" s="28">
        <f t="shared" si="39"/>
        <v>0</v>
      </c>
      <c r="FH1241" s="29" t="str">
        <f t="shared" si="40"/>
        <v/>
      </c>
      <c r="FJ1241" s="36" t="str">
        <f>IF($FH1241="","",SUM($FN1241:$FN$7000))</f>
        <v/>
      </c>
      <c r="FK1241" s="36" t="str">
        <f>IF($FH1241="","",SUM($FN1241:$FN$7000))</f>
        <v/>
      </c>
    </row>
    <row r="1242" spans="152:167">
      <c r="EV1242" s="28">
        <f t="shared" si="39"/>
        <v>0</v>
      </c>
      <c r="FH1242" s="29" t="str">
        <f t="shared" si="40"/>
        <v/>
      </c>
      <c r="FJ1242" s="36" t="str">
        <f>IF($FH1242="","",SUM($FN1242:$FN$7000))</f>
        <v/>
      </c>
      <c r="FK1242" s="36" t="str">
        <f>IF($FH1242="","",SUM($FN1242:$FN$7000))</f>
        <v/>
      </c>
    </row>
    <row r="1243" spans="152:167">
      <c r="EV1243" s="28">
        <f t="shared" si="39"/>
        <v>0</v>
      </c>
      <c r="FH1243" s="29" t="str">
        <f t="shared" si="40"/>
        <v/>
      </c>
      <c r="FJ1243" s="36" t="str">
        <f>IF($FH1243="","",SUM($FN1243:$FN$7000))</f>
        <v/>
      </c>
      <c r="FK1243" s="36" t="str">
        <f>IF($FH1243="","",SUM($FN1243:$FN$7000))</f>
        <v/>
      </c>
    </row>
    <row r="1244" spans="152:167">
      <c r="EV1244" s="28">
        <f t="shared" si="39"/>
        <v>0</v>
      </c>
      <c r="FH1244" s="29" t="str">
        <f t="shared" si="40"/>
        <v/>
      </c>
      <c r="FJ1244" s="36" t="str">
        <f>IF($FH1244="","",SUM($FN1244:$FN$7000))</f>
        <v/>
      </c>
      <c r="FK1244" s="36" t="str">
        <f>IF($FH1244="","",SUM($FN1244:$FN$7000))</f>
        <v/>
      </c>
    </row>
    <row r="1245" spans="152:167">
      <c r="EV1245" s="28">
        <f t="shared" si="39"/>
        <v>0</v>
      </c>
      <c r="FH1245" s="29" t="str">
        <f t="shared" si="40"/>
        <v/>
      </c>
      <c r="FJ1245" s="36" t="str">
        <f>IF($FH1245="","",SUM($FN1245:$FN$7000))</f>
        <v/>
      </c>
      <c r="FK1245" s="36" t="str">
        <f>IF($FH1245="","",SUM($FN1245:$FN$7000))</f>
        <v/>
      </c>
    </row>
    <row r="1246" spans="152:167">
      <c r="EV1246" s="28">
        <f t="shared" si="39"/>
        <v>0</v>
      </c>
      <c r="FH1246" s="29" t="str">
        <f t="shared" si="40"/>
        <v/>
      </c>
      <c r="FJ1246" s="36" t="str">
        <f>IF($FH1246="","",SUM($FN1246:$FN$7000))</f>
        <v/>
      </c>
      <c r="FK1246" s="36" t="str">
        <f>IF($FH1246="","",SUM($FN1246:$FN$7000))</f>
        <v/>
      </c>
    </row>
    <row r="1247" spans="152:167">
      <c r="EV1247" s="28">
        <f t="shared" si="39"/>
        <v>0</v>
      </c>
      <c r="FH1247" s="29" t="str">
        <f t="shared" si="40"/>
        <v/>
      </c>
      <c r="FJ1247" s="36" t="str">
        <f>IF($FH1247="","",SUM($FN1247:$FN$7000))</f>
        <v/>
      </c>
      <c r="FK1247" s="36" t="str">
        <f>IF($FH1247="","",SUM($FN1247:$FN$7000))</f>
        <v/>
      </c>
    </row>
    <row r="1248" spans="152:167">
      <c r="EV1248" s="28">
        <f t="shared" si="39"/>
        <v>0</v>
      </c>
      <c r="FH1248" s="29" t="str">
        <f t="shared" si="40"/>
        <v/>
      </c>
      <c r="FJ1248" s="36" t="str">
        <f>IF($FH1248="","",SUM($FN1248:$FN$7000))</f>
        <v/>
      </c>
      <c r="FK1248" s="36" t="str">
        <f>IF($FH1248="","",SUM($FN1248:$FN$7000))</f>
        <v/>
      </c>
    </row>
    <row r="1249" spans="152:167">
      <c r="EV1249" s="28">
        <f t="shared" si="39"/>
        <v>0</v>
      </c>
      <c r="FH1249" s="29" t="str">
        <f t="shared" si="40"/>
        <v/>
      </c>
      <c r="FJ1249" s="36" t="str">
        <f>IF($FH1249="","",SUM($FN1249:$FN$7000))</f>
        <v/>
      </c>
      <c r="FK1249" s="36" t="str">
        <f>IF($FH1249="","",SUM($FN1249:$FN$7000))</f>
        <v/>
      </c>
    </row>
    <row r="1250" spans="152:167">
      <c r="EV1250" s="28">
        <f t="shared" si="39"/>
        <v>0</v>
      </c>
      <c r="FH1250" s="29" t="str">
        <f t="shared" si="40"/>
        <v/>
      </c>
      <c r="FJ1250" s="36" t="str">
        <f>IF($FH1250="","",SUM($FN1250:$FN$7000))</f>
        <v/>
      </c>
      <c r="FK1250" s="36" t="str">
        <f>IF($FH1250="","",SUM($FN1250:$FN$7000))</f>
        <v/>
      </c>
    </row>
    <row r="1251" spans="152:167">
      <c r="EV1251" s="28">
        <f t="shared" si="39"/>
        <v>0</v>
      </c>
      <c r="FH1251" s="29" t="str">
        <f t="shared" si="40"/>
        <v/>
      </c>
      <c r="FJ1251" s="36" t="str">
        <f>IF($FH1251="","",SUM($FN1251:$FN$7000))</f>
        <v/>
      </c>
      <c r="FK1251" s="36" t="str">
        <f>IF($FH1251="","",SUM($FN1251:$FN$7000))</f>
        <v/>
      </c>
    </row>
    <row r="1252" spans="152:167">
      <c r="EV1252" s="28">
        <f t="shared" si="39"/>
        <v>0</v>
      </c>
      <c r="FH1252" s="29" t="str">
        <f t="shared" si="40"/>
        <v/>
      </c>
      <c r="FJ1252" s="36" t="str">
        <f>IF($FH1252="","",SUM($FN1252:$FN$7000))</f>
        <v/>
      </c>
      <c r="FK1252" s="36" t="str">
        <f>IF($FH1252="","",SUM($FN1252:$FN$7000))</f>
        <v/>
      </c>
    </row>
    <row r="1253" spans="152:167">
      <c r="EV1253" s="28">
        <f t="shared" si="39"/>
        <v>0</v>
      </c>
      <c r="FH1253" s="29" t="str">
        <f t="shared" si="40"/>
        <v/>
      </c>
      <c r="FJ1253" s="36" t="str">
        <f>IF($FH1253="","",SUM($FN1253:$FN$7000))</f>
        <v/>
      </c>
      <c r="FK1253" s="36" t="str">
        <f>IF($FH1253="","",SUM($FN1253:$FN$7000))</f>
        <v/>
      </c>
    </row>
    <row r="1254" spans="152:167">
      <c r="EV1254" s="28">
        <f t="shared" si="39"/>
        <v>0</v>
      </c>
      <c r="FH1254" s="29" t="str">
        <f t="shared" si="40"/>
        <v/>
      </c>
      <c r="FJ1254" s="36" t="str">
        <f>IF($FH1254="","",SUM($FN1254:$FN$7000))</f>
        <v/>
      </c>
      <c r="FK1254" s="36" t="str">
        <f>IF($FH1254="","",SUM($FN1254:$FN$7000))</f>
        <v/>
      </c>
    </row>
    <row r="1255" spans="152:167">
      <c r="EV1255" s="28">
        <f t="shared" si="39"/>
        <v>0</v>
      </c>
      <c r="FH1255" s="29" t="str">
        <f t="shared" si="40"/>
        <v/>
      </c>
      <c r="FJ1255" s="36" t="str">
        <f>IF($FH1255="","",SUM($FN1255:$FN$7000))</f>
        <v/>
      </c>
      <c r="FK1255" s="36" t="str">
        <f>IF($FH1255="","",SUM($FN1255:$FN$7000))</f>
        <v/>
      </c>
    </row>
    <row r="1256" spans="152:167">
      <c r="EV1256" s="28">
        <f t="shared" si="39"/>
        <v>0</v>
      </c>
      <c r="FH1256" s="29" t="str">
        <f t="shared" si="40"/>
        <v/>
      </c>
      <c r="FJ1256" s="36" t="str">
        <f>IF($FH1256="","",SUM($FN1256:$FN$7000))</f>
        <v/>
      </c>
      <c r="FK1256" s="36" t="str">
        <f>IF($FH1256="","",SUM($FN1256:$FN$7000))</f>
        <v/>
      </c>
    </row>
    <row r="1257" spans="152:167">
      <c r="EV1257" s="28">
        <f t="shared" si="39"/>
        <v>0</v>
      </c>
      <c r="FH1257" s="29" t="str">
        <f t="shared" si="40"/>
        <v/>
      </c>
      <c r="FJ1257" s="36" t="str">
        <f>IF($FH1257="","",SUM($FN1257:$FN$7000))</f>
        <v/>
      </c>
      <c r="FK1257" s="36" t="str">
        <f>IF($FH1257="","",SUM($FN1257:$FN$7000))</f>
        <v/>
      </c>
    </row>
    <row r="1258" spans="152:167">
      <c r="EV1258" s="28">
        <f t="shared" si="39"/>
        <v>0</v>
      </c>
      <c r="FH1258" s="29" t="str">
        <f t="shared" si="40"/>
        <v/>
      </c>
      <c r="FJ1258" s="36" t="str">
        <f>IF($FH1258="","",SUM($FN1258:$FN$7000))</f>
        <v/>
      </c>
      <c r="FK1258" s="36" t="str">
        <f>IF($FH1258="","",SUM($FN1258:$FN$7000))</f>
        <v/>
      </c>
    </row>
    <row r="1259" spans="152:167">
      <c r="EV1259" s="28">
        <f t="shared" si="39"/>
        <v>0</v>
      </c>
      <c r="FH1259" s="29" t="str">
        <f t="shared" si="40"/>
        <v/>
      </c>
      <c r="FJ1259" s="36" t="str">
        <f>IF($FH1259="","",SUM($FN1259:$FN$7000))</f>
        <v/>
      </c>
      <c r="FK1259" s="36" t="str">
        <f>IF($FH1259="","",SUM($FN1259:$FN$7000))</f>
        <v/>
      </c>
    </row>
    <row r="1260" spans="152:167">
      <c r="EV1260" s="28">
        <f t="shared" si="39"/>
        <v>0</v>
      </c>
      <c r="FH1260" s="29" t="str">
        <f t="shared" si="40"/>
        <v/>
      </c>
      <c r="FJ1260" s="36" t="str">
        <f>IF($FH1260="","",SUM($FN1260:$FN$7000))</f>
        <v/>
      </c>
      <c r="FK1260" s="36" t="str">
        <f>IF($FH1260="","",SUM($FN1260:$FN$7000))</f>
        <v/>
      </c>
    </row>
    <row r="1261" spans="152:167">
      <c r="EV1261" s="28">
        <f t="shared" si="39"/>
        <v>0</v>
      </c>
      <c r="FH1261" s="29" t="str">
        <f t="shared" si="40"/>
        <v/>
      </c>
      <c r="FJ1261" s="36" t="str">
        <f>IF($FH1261="","",SUM($FN1261:$FN$7000))</f>
        <v/>
      </c>
      <c r="FK1261" s="36" t="str">
        <f>IF($FH1261="","",SUM($FN1261:$FN$7000))</f>
        <v/>
      </c>
    </row>
    <row r="1262" spans="152:167">
      <c r="EV1262" s="28">
        <f t="shared" si="39"/>
        <v>0</v>
      </c>
      <c r="FH1262" s="29" t="str">
        <f t="shared" si="40"/>
        <v/>
      </c>
      <c r="FJ1262" s="36" t="str">
        <f>IF($FH1262="","",SUM($FN1262:$FN$7000))</f>
        <v/>
      </c>
      <c r="FK1262" s="36" t="str">
        <f>IF($FH1262="","",SUM($FN1262:$FN$7000))</f>
        <v/>
      </c>
    </row>
    <row r="1263" spans="152:167">
      <c r="EV1263" s="28">
        <f t="shared" si="39"/>
        <v>0</v>
      </c>
      <c r="FH1263" s="29" t="str">
        <f t="shared" si="40"/>
        <v/>
      </c>
      <c r="FJ1263" s="36" t="str">
        <f>IF($FH1263="","",SUM($FN1263:$FN$7000))</f>
        <v/>
      </c>
      <c r="FK1263" s="36" t="str">
        <f>IF($FH1263="","",SUM($FN1263:$FN$7000))</f>
        <v/>
      </c>
    </row>
    <row r="1264" spans="152:167">
      <c r="EV1264" s="28">
        <f t="shared" si="39"/>
        <v>0</v>
      </c>
      <c r="FH1264" s="29" t="str">
        <f t="shared" si="40"/>
        <v/>
      </c>
      <c r="FJ1264" s="36" t="str">
        <f>IF($FH1264="","",SUM($FN1264:$FN$7000))</f>
        <v/>
      </c>
      <c r="FK1264" s="36" t="str">
        <f>IF($FH1264="","",SUM($FN1264:$FN$7000))</f>
        <v/>
      </c>
    </row>
    <row r="1265" spans="152:167">
      <c r="EV1265" s="28">
        <f t="shared" si="39"/>
        <v>0</v>
      </c>
      <c r="FH1265" s="29" t="str">
        <f t="shared" si="40"/>
        <v/>
      </c>
      <c r="FJ1265" s="36" t="str">
        <f>IF($FH1265="","",SUM($FN1265:$FN$7000))</f>
        <v/>
      </c>
      <c r="FK1265" s="36" t="str">
        <f>IF($FH1265="","",SUM($FN1265:$FN$7000))</f>
        <v/>
      </c>
    </row>
    <row r="1266" spans="152:167">
      <c r="EV1266" s="28">
        <f t="shared" si="39"/>
        <v>0</v>
      </c>
      <c r="FH1266" s="29" t="str">
        <f t="shared" si="40"/>
        <v/>
      </c>
      <c r="FJ1266" s="36" t="str">
        <f>IF($FH1266="","",SUM($FN1266:$FN$7000))</f>
        <v/>
      </c>
      <c r="FK1266" s="36" t="str">
        <f>IF($FH1266="","",SUM($FN1266:$FN$7000))</f>
        <v/>
      </c>
    </row>
    <row r="1267" spans="152:167">
      <c r="EV1267" s="28">
        <f t="shared" si="39"/>
        <v>0</v>
      </c>
      <c r="FH1267" s="29" t="str">
        <f t="shared" si="40"/>
        <v/>
      </c>
      <c r="FJ1267" s="36" t="str">
        <f>IF($FH1267="","",SUM($FN1267:$FN$7000))</f>
        <v/>
      </c>
      <c r="FK1267" s="36" t="str">
        <f>IF($FH1267="","",SUM($FN1267:$FN$7000))</f>
        <v/>
      </c>
    </row>
    <row r="1268" spans="152:167">
      <c r="EV1268" s="28">
        <f t="shared" si="39"/>
        <v>0</v>
      </c>
      <c r="FH1268" s="29" t="str">
        <f t="shared" si="40"/>
        <v/>
      </c>
      <c r="FJ1268" s="36" t="str">
        <f>IF($FH1268="","",SUM($FN1268:$FN$7000))</f>
        <v/>
      </c>
      <c r="FK1268" s="36" t="str">
        <f>IF($FH1268="","",SUM($FN1268:$FN$7000))</f>
        <v/>
      </c>
    </row>
    <row r="1269" spans="152:167">
      <c r="EV1269" s="28">
        <f t="shared" si="39"/>
        <v>0</v>
      </c>
      <c r="FH1269" s="29" t="str">
        <f t="shared" si="40"/>
        <v/>
      </c>
      <c r="FJ1269" s="36" t="str">
        <f>IF($FH1269="","",SUM($FN1269:$FN$7000))</f>
        <v/>
      </c>
      <c r="FK1269" s="36" t="str">
        <f>IF($FH1269="","",SUM($FN1269:$FN$7000))</f>
        <v/>
      </c>
    </row>
    <row r="1270" spans="152:167">
      <c r="EV1270" s="28">
        <f t="shared" si="39"/>
        <v>0</v>
      </c>
      <c r="FH1270" s="29" t="str">
        <f t="shared" si="40"/>
        <v/>
      </c>
      <c r="FJ1270" s="36" t="str">
        <f>IF($FH1270="","",SUM($FN1270:$FN$7000))</f>
        <v/>
      </c>
      <c r="FK1270" s="36" t="str">
        <f>IF($FH1270="","",SUM($FN1270:$FN$7000))</f>
        <v/>
      </c>
    </row>
    <row r="1271" spans="152:167">
      <c r="EV1271" s="28">
        <f t="shared" si="39"/>
        <v>0</v>
      </c>
      <c r="FH1271" s="29" t="str">
        <f t="shared" si="40"/>
        <v/>
      </c>
      <c r="FJ1271" s="36" t="str">
        <f>IF($FH1271="","",SUM($FN1271:$FN$7000))</f>
        <v/>
      </c>
      <c r="FK1271" s="36" t="str">
        <f>IF($FH1271="","",SUM($FN1271:$FN$7000))</f>
        <v/>
      </c>
    </row>
    <row r="1272" spans="152:167">
      <c r="EV1272" s="28">
        <f t="shared" si="39"/>
        <v>0</v>
      </c>
      <c r="FH1272" s="29" t="str">
        <f t="shared" si="40"/>
        <v/>
      </c>
      <c r="FJ1272" s="36" t="str">
        <f>IF($FH1272="","",SUM($FN1272:$FN$7000))</f>
        <v/>
      </c>
      <c r="FK1272" s="36" t="str">
        <f>IF($FH1272="","",SUM($FN1272:$FN$7000))</f>
        <v/>
      </c>
    </row>
    <row r="1273" spans="152:167">
      <c r="EV1273" s="28">
        <f t="shared" si="39"/>
        <v>0</v>
      </c>
      <c r="FH1273" s="29" t="str">
        <f t="shared" si="40"/>
        <v/>
      </c>
      <c r="FJ1273" s="36" t="str">
        <f>IF($FH1273="","",SUM($FN1273:$FN$7000))</f>
        <v/>
      </c>
      <c r="FK1273" s="36" t="str">
        <f>IF($FH1273="","",SUM($FN1273:$FN$7000))</f>
        <v/>
      </c>
    </row>
    <row r="1274" spans="152:167">
      <c r="EV1274" s="28">
        <f t="shared" si="39"/>
        <v>0</v>
      </c>
      <c r="FH1274" s="29" t="str">
        <f t="shared" si="40"/>
        <v/>
      </c>
      <c r="FJ1274" s="36" t="str">
        <f>IF($FH1274="","",SUM($FN1274:$FN$7000))</f>
        <v/>
      </c>
      <c r="FK1274" s="36" t="str">
        <f>IF($FH1274="","",SUM($FN1274:$FN$7000))</f>
        <v/>
      </c>
    </row>
    <row r="1275" spans="152:167">
      <c r="EV1275" s="28">
        <f t="shared" si="39"/>
        <v>0</v>
      </c>
      <c r="FH1275" s="29" t="str">
        <f t="shared" si="40"/>
        <v/>
      </c>
      <c r="FJ1275" s="36" t="str">
        <f>IF($FH1275="","",SUM($FN1275:$FN$7000))</f>
        <v/>
      </c>
      <c r="FK1275" s="36" t="str">
        <f>IF($FH1275="","",SUM($FN1275:$FN$7000))</f>
        <v/>
      </c>
    </row>
    <row r="1276" spans="152:167">
      <c r="EV1276" s="28">
        <f t="shared" si="39"/>
        <v>0</v>
      </c>
      <c r="FH1276" s="29" t="str">
        <f t="shared" si="40"/>
        <v/>
      </c>
      <c r="FJ1276" s="36" t="str">
        <f>IF($FH1276="","",SUM($FN1276:$FN$7000))</f>
        <v/>
      </c>
      <c r="FK1276" s="36" t="str">
        <f>IF($FH1276="","",SUM($FN1276:$FN$7000))</f>
        <v/>
      </c>
    </row>
    <row r="1277" spans="152:167">
      <c r="EV1277" s="28">
        <f t="shared" si="39"/>
        <v>0</v>
      </c>
      <c r="FH1277" s="29" t="str">
        <f t="shared" si="40"/>
        <v/>
      </c>
      <c r="FJ1277" s="36" t="str">
        <f>IF($FH1277="","",SUM($FN1277:$FN$7000))</f>
        <v/>
      </c>
      <c r="FK1277" s="36" t="str">
        <f>IF($FH1277="","",SUM($FN1277:$FN$7000))</f>
        <v/>
      </c>
    </row>
    <row r="1278" spans="152:167">
      <c r="EV1278" s="28">
        <f t="shared" si="39"/>
        <v>0</v>
      </c>
      <c r="FH1278" s="29" t="str">
        <f t="shared" si="40"/>
        <v/>
      </c>
      <c r="FJ1278" s="36" t="str">
        <f>IF($FH1278="","",SUM($FN1278:$FN$7000))</f>
        <v/>
      </c>
      <c r="FK1278" s="36" t="str">
        <f>IF($FH1278="","",SUM($FN1278:$FN$7000))</f>
        <v/>
      </c>
    </row>
    <row r="1279" spans="152:167">
      <c r="EV1279" s="28">
        <f t="shared" si="39"/>
        <v>0</v>
      </c>
      <c r="FH1279" s="29" t="str">
        <f t="shared" si="40"/>
        <v/>
      </c>
      <c r="FJ1279" s="36" t="str">
        <f>IF($FH1279="","",SUM($FN1279:$FN$7000))</f>
        <v/>
      </c>
      <c r="FK1279" s="36" t="str">
        <f>IF($FH1279="","",SUM($FN1279:$FN$7000))</f>
        <v/>
      </c>
    </row>
    <row r="1280" spans="152:167">
      <c r="EV1280" s="28">
        <f t="shared" si="39"/>
        <v>0</v>
      </c>
      <c r="FH1280" s="29" t="str">
        <f t="shared" si="40"/>
        <v/>
      </c>
      <c r="FJ1280" s="36" t="str">
        <f>IF($FH1280="","",SUM($FN1280:$FN$7000))</f>
        <v/>
      </c>
      <c r="FK1280" s="36" t="str">
        <f>IF($FH1280="","",SUM($FN1280:$FN$7000))</f>
        <v/>
      </c>
    </row>
    <row r="1281" spans="152:167">
      <c r="EV1281" s="28">
        <f t="shared" si="39"/>
        <v>0</v>
      </c>
      <c r="FH1281" s="29" t="str">
        <f t="shared" si="40"/>
        <v/>
      </c>
      <c r="FJ1281" s="36" t="str">
        <f>IF($FH1281="","",SUM($FN1281:$FN$7000))</f>
        <v/>
      </c>
      <c r="FK1281" s="36" t="str">
        <f>IF($FH1281="","",SUM($FN1281:$FN$7000))</f>
        <v/>
      </c>
    </row>
    <row r="1282" spans="152:167">
      <c r="EV1282" s="28">
        <f t="shared" si="39"/>
        <v>0</v>
      </c>
      <c r="FH1282" s="29" t="str">
        <f t="shared" si="40"/>
        <v/>
      </c>
      <c r="FJ1282" s="36" t="str">
        <f>IF($FH1282="","",SUM($FN1282:$FN$7000))</f>
        <v/>
      </c>
      <c r="FK1282" s="36" t="str">
        <f>IF($FH1282="","",SUM($FN1282:$FN$7000))</f>
        <v/>
      </c>
    </row>
    <row r="1283" spans="152:167">
      <c r="EV1283" s="28">
        <f t="shared" si="39"/>
        <v>0</v>
      </c>
      <c r="FH1283" s="29" t="str">
        <f t="shared" si="40"/>
        <v/>
      </c>
      <c r="FJ1283" s="36" t="str">
        <f>IF($FH1283="","",SUM($FN1283:$FN$7000))</f>
        <v/>
      </c>
      <c r="FK1283" s="36" t="str">
        <f>IF($FH1283="","",SUM($FN1283:$FN$7000))</f>
        <v/>
      </c>
    </row>
    <row r="1284" spans="152:167">
      <c r="EV1284" s="28">
        <f t="shared" si="39"/>
        <v>0</v>
      </c>
      <c r="FH1284" s="29" t="str">
        <f t="shared" si="40"/>
        <v/>
      </c>
      <c r="FJ1284" s="36" t="str">
        <f>IF($FH1284="","",SUM($FN1284:$FN$7000))</f>
        <v/>
      </c>
      <c r="FK1284" s="36" t="str">
        <f>IF($FH1284="","",SUM($FN1284:$FN$7000))</f>
        <v/>
      </c>
    </row>
    <row r="1285" spans="152:167">
      <c r="EV1285" s="28">
        <f t="shared" si="39"/>
        <v>0</v>
      </c>
      <c r="FH1285" s="29" t="str">
        <f t="shared" si="40"/>
        <v/>
      </c>
      <c r="FJ1285" s="36" t="str">
        <f>IF($FH1285="","",SUM($FN1285:$FN$7000))</f>
        <v/>
      </c>
      <c r="FK1285" s="36" t="str">
        <f>IF($FH1285="","",SUM($FN1285:$FN$7000))</f>
        <v/>
      </c>
    </row>
    <row r="1286" spans="152:167">
      <c r="EV1286" s="28">
        <f t="shared" si="39"/>
        <v>0</v>
      </c>
      <c r="FH1286" s="29" t="str">
        <f t="shared" si="40"/>
        <v/>
      </c>
      <c r="FJ1286" s="36" t="str">
        <f>IF($FH1286="","",SUM($FN1286:$FN$7000))</f>
        <v/>
      </c>
      <c r="FK1286" s="36" t="str">
        <f>IF($FH1286="","",SUM($FN1286:$FN$7000))</f>
        <v/>
      </c>
    </row>
    <row r="1287" spans="152:167">
      <c r="EV1287" s="28">
        <f t="shared" si="39"/>
        <v>0</v>
      </c>
      <c r="FH1287" s="29" t="str">
        <f t="shared" si="40"/>
        <v/>
      </c>
      <c r="FJ1287" s="36" t="str">
        <f>IF($FH1287="","",SUM($FN1287:$FN$7000))</f>
        <v/>
      </c>
      <c r="FK1287" s="36" t="str">
        <f>IF($FH1287="","",SUM($FN1287:$FN$7000))</f>
        <v/>
      </c>
    </row>
    <row r="1288" spans="152:167">
      <c r="EV1288" s="28">
        <f t="shared" si="39"/>
        <v>0</v>
      </c>
      <c r="FH1288" s="29" t="str">
        <f t="shared" si="40"/>
        <v/>
      </c>
      <c r="FJ1288" s="36" t="str">
        <f>IF($FH1288="","",SUM($FN1288:$FN$7000))</f>
        <v/>
      </c>
      <c r="FK1288" s="36" t="str">
        <f>IF($FH1288="","",SUM($FN1288:$FN$7000))</f>
        <v/>
      </c>
    </row>
    <row r="1289" spans="152:167">
      <c r="EV1289" s="28">
        <f t="shared" si="39"/>
        <v>0</v>
      </c>
      <c r="FH1289" s="29" t="str">
        <f t="shared" si="40"/>
        <v/>
      </c>
      <c r="FJ1289" s="36" t="str">
        <f>IF($FH1289="","",SUM($FN1289:$FN$7000))</f>
        <v/>
      </c>
      <c r="FK1289" s="36" t="str">
        <f>IF($FH1289="","",SUM($FN1289:$FN$7000))</f>
        <v/>
      </c>
    </row>
    <row r="1290" spans="152:167">
      <c r="EV1290" s="28">
        <f t="shared" si="39"/>
        <v>0</v>
      </c>
      <c r="FH1290" s="29" t="str">
        <f t="shared" si="40"/>
        <v/>
      </c>
      <c r="FJ1290" s="36" t="str">
        <f>IF($FH1290="","",SUM($FN1290:$FN$7000))</f>
        <v/>
      </c>
      <c r="FK1290" s="36" t="str">
        <f>IF($FH1290="","",SUM($FN1290:$FN$7000))</f>
        <v/>
      </c>
    </row>
    <row r="1291" spans="152:167">
      <c r="EV1291" s="28">
        <f t="shared" ref="EV1291:EV1354" si="41">EU1291-ET1291</f>
        <v>0</v>
      </c>
      <c r="FH1291" s="29" t="str">
        <f t="shared" ref="FH1291:FH1354" si="42">IF(FL1291="","",FL1291)</f>
        <v/>
      </c>
      <c r="FJ1291" s="36" t="str">
        <f>IF($FH1291="","",SUM($FN1291:$FN$7000))</f>
        <v/>
      </c>
      <c r="FK1291" s="36" t="str">
        <f>IF($FH1291="","",SUM($FN1291:$FN$7000))</f>
        <v/>
      </c>
    </row>
    <row r="1292" spans="152:167">
      <c r="EV1292" s="28">
        <f t="shared" si="41"/>
        <v>0</v>
      </c>
      <c r="FH1292" s="29" t="str">
        <f t="shared" si="42"/>
        <v/>
      </c>
      <c r="FJ1292" s="36" t="str">
        <f>IF($FH1292="","",SUM($FN1292:$FN$7000))</f>
        <v/>
      </c>
      <c r="FK1292" s="36" t="str">
        <f>IF($FH1292="","",SUM($FN1292:$FN$7000))</f>
        <v/>
      </c>
    </row>
    <row r="1293" spans="152:167">
      <c r="EV1293" s="28">
        <f t="shared" si="41"/>
        <v>0</v>
      </c>
      <c r="FH1293" s="29" t="str">
        <f t="shared" si="42"/>
        <v/>
      </c>
      <c r="FJ1293" s="36" t="str">
        <f>IF($FH1293="","",SUM($FN1293:$FN$7000))</f>
        <v/>
      </c>
      <c r="FK1293" s="36" t="str">
        <f>IF($FH1293="","",SUM($FN1293:$FN$7000))</f>
        <v/>
      </c>
    </row>
    <row r="1294" spans="152:167">
      <c r="EV1294" s="28">
        <f t="shared" si="41"/>
        <v>0</v>
      </c>
      <c r="FH1294" s="29" t="str">
        <f t="shared" si="42"/>
        <v/>
      </c>
      <c r="FJ1294" s="36" t="str">
        <f>IF($FH1294="","",SUM($FN1294:$FN$7000))</f>
        <v/>
      </c>
      <c r="FK1294" s="36" t="str">
        <f>IF($FH1294="","",SUM($FN1294:$FN$7000))</f>
        <v/>
      </c>
    </row>
    <row r="1295" spans="152:167">
      <c r="EV1295" s="28">
        <f t="shared" si="41"/>
        <v>0</v>
      </c>
      <c r="FH1295" s="29" t="str">
        <f t="shared" si="42"/>
        <v/>
      </c>
      <c r="FJ1295" s="36" t="str">
        <f>IF($FH1295="","",SUM($FN1295:$FN$7000))</f>
        <v/>
      </c>
      <c r="FK1295" s="36" t="str">
        <f>IF($FH1295="","",SUM($FN1295:$FN$7000))</f>
        <v/>
      </c>
    </row>
    <row r="1296" spans="152:167">
      <c r="EV1296" s="28">
        <f t="shared" si="41"/>
        <v>0</v>
      </c>
      <c r="FH1296" s="29" t="str">
        <f t="shared" si="42"/>
        <v/>
      </c>
      <c r="FJ1296" s="36" t="str">
        <f>IF($FH1296="","",SUM($FN1296:$FN$7000))</f>
        <v/>
      </c>
      <c r="FK1296" s="36" t="str">
        <f>IF($FH1296="","",SUM($FN1296:$FN$7000))</f>
        <v/>
      </c>
    </row>
    <row r="1297" spans="152:167">
      <c r="EV1297" s="28">
        <f t="shared" si="41"/>
        <v>0</v>
      </c>
      <c r="FH1297" s="29" t="str">
        <f t="shared" si="42"/>
        <v/>
      </c>
      <c r="FJ1297" s="36" t="str">
        <f>IF($FH1297="","",SUM($FN1297:$FN$7000))</f>
        <v/>
      </c>
      <c r="FK1297" s="36" t="str">
        <f>IF($FH1297="","",SUM($FN1297:$FN$7000))</f>
        <v/>
      </c>
    </row>
    <row r="1298" spans="152:167">
      <c r="EV1298" s="28">
        <f t="shared" si="41"/>
        <v>0</v>
      </c>
      <c r="FH1298" s="29" t="str">
        <f t="shared" si="42"/>
        <v/>
      </c>
      <c r="FJ1298" s="36" t="str">
        <f>IF($FH1298="","",SUM($FN1298:$FN$7000))</f>
        <v/>
      </c>
      <c r="FK1298" s="36" t="str">
        <f>IF($FH1298="","",SUM($FN1298:$FN$7000))</f>
        <v/>
      </c>
    </row>
    <row r="1299" spans="152:167">
      <c r="EV1299" s="28">
        <f t="shared" si="41"/>
        <v>0</v>
      </c>
      <c r="FH1299" s="29" t="str">
        <f t="shared" si="42"/>
        <v/>
      </c>
      <c r="FJ1299" s="36" t="str">
        <f>IF($FH1299="","",SUM($FN1299:$FN$7000))</f>
        <v/>
      </c>
      <c r="FK1299" s="36" t="str">
        <f>IF($FH1299="","",SUM($FN1299:$FN$7000))</f>
        <v/>
      </c>
    </row>
    <row r="1300" spans="152:167">
      <c r="EV1300" s="28">
        <f t="shared" si="41"/>
        <v>0</v>
      </c>
      <c r="FH1300" s="29" t="str">
        <f t="shared" si="42"/>
        <v/>
      </c>
      <c r="FJ1300" s="36" t="str">
        <f>IF($FH1300="","",SUM($FN1300:$FN$7000))</f>
        <v/>
      </c>
      <c r="FK1300" s="36" t="str">
        <f>IF($FH1300="","",SUM($FN1300:$FN$7000))</f>
        <v/>
      </c>
    </row>
    <row r="1301" spans="152:167">
      <c r="EV1301" s="28">
        <f t="shared" si="41"/>
        <v>0</v>
      </c>
      <c r="FH1301" s="29" t="str">
        <f t="shared" si="42"/>
        <v/>
      </c>
      <c r="FJ1301" s="36" t="str">
        <f>IF($FH1301="","",SUM($FN1301:$FN$7000))</f>
        <v/>
      </c>
      <c r="FK1301" s="36" t="str">
        <f>IF($FH1301="","",SUM($FN1301:$FN$7000))</f>
        <v/>
      </c>
    </row>
    <row r="1302" spans="152:167">
      <c r="EV1302" s="28">
        <f t="shared" si="41"/>
        <v>0</v>
      </c>
      <c r="FH1302" s="29" t="str">
        <f t="shared" si="42"/>
        <v/>
      </c>
      <c r="FJ1302" s="36" t="str">
        <f>IF($FH1302="","",SUM($FN1302:$FN$7000))</f>
        <v/>
      </c>
      <c r="FK1302" s="36" t="str">
        <f>IF($FH1302="","",SUM($FN1302:$FN$7000))</f>
        <v/>
      </c>
    </row>
    <row r="1303" spans="152:167">
      <c r="EV1303" s="28">
        <f t="shared" si="41"/>
        <v>0</v>
      </c>
      <c r="FH1303" s="29" t="str">
        <f t="shared" si="42"/>
        <v/>
      </c>
      <c r="FJ1303" s="36" t="str">
        <f>IF($FH1303="","",SUM($FN1303:$FN$7000))</f>
        <v/>
      </c>
      <c r="FK1303" s="36" t="str">
        <f>IF($FH1303="","",SUM($FN1303:$FN$7000))</f>
        <v/>
      </c>
    </row>
    <row r="1304" spans="152:167">
      <c r="EV1304" s="28">
        <f t="shared" si="41"/>
        <v>0</v>
      </c>
      <c r="FH1304" s="29" t="str">
        <f t="shared" si="42"/>
        <v/>
      </c>
      <c r="FJ1304" s="36" t="str">
        <f>IF($FH1304="","",SUM($FN1304:$FN$7000))</f>
        <v/>
      </c>
      <c r="FK1304" s="36" t="str">
        <f>IF($FH1304="","",SUM($FN1304:$FN$7000))</f>
        <v/>
      </c>
    </row>
    <row r="1305" spans="152:167">
      <c r="EV1305" s="28">
        <f t="shared" si="41"/>
        <v>0</v>
      </c>
      <c r="FH1305" s="29" t="str">
        <f t="shared" si="42"/>
        <v/>
      </c>
      <c r="FJ1305" s="36" t="str">
        <f>IF($FH1305="","",SUM($FN1305:$FN$7000))</f>
        <v/>
      </c>
      <c r="FK1305" s="36" t="str">
        <f>IF($FH1305="","",SUM($FN1305:$FN$7000))</f>
        <v/>
      </c>
    </row>
    <row r="1306" spans="152:167">
      <c r="EV1306" s="28">
        <f t="shared" si="41"/>
        <v>0</v>
      </c>
      <c r="FH1306" s="29" t="str">
        <f t="shared" si="42"/>
        <v/>
      </c>
      <c r="FJ1306" s="36" t="str">
        <f>IF($FH1306="","",SUM($FN1306:$FN$7000))</f>
        <v/>
      </c>
      <c r="FK1306" s="36" t="str">
        <f>IF($FH1306="","",SUM($FN1306:$FN$7000))</f>
        <v/>
      </c>
    </row>
    <row r="1307" spans="152:167">
      <c r="EV1307" s="28">
        <f t="shared" si="41"/>
        <v>0</v>
      </c>
      <c r="FH1307" s="29" t="str">
        <f t="shared" si="42"/>
        <v/>
      </c>
      <c r="FJ1307" s="36" t="str">
        <f>IF($FH1307="","",SUM($FN1307:$FN$7000))</f>
        <v/>
      </c>
      <c r="FK1307" s="36" t="str">
        <f>IF($FH1307="","",SUM($FN1307:$FN$7000))</f>
        <v/>
      </c>
    </row>
    <row r="1308" spans="152:167">
      <c r="EV1308" s="28">
        <f t="shared" si="41"/>
        <v>0</v>
      </c>
      <c r="FH1308" s="29" t="str">
        <f t="shared" si="42"/>
        <v/>
      </c>
      <c r="FJ1308" s="36" t="str">
        <f>IF($FH1308="","",SUM($FN1308:$FN$7000))</f>
        <v/>
      </c>
      <c r="FK1308" s="36" t="str">
        <f>IF($FH1308="","",SUM($FN1308:$FN$7000))</f>
        <v/>
      </c>
    </row>
    <row r="1309" spans="152:167">
      <c r="EV1309" s="28">
        <f t="shared" si="41"/>
        <v>0</v>
      </c>
      <c r="FH1309" s="29" t="str">
        <f t="shared" si="42"/>
        <v/>
      </c>
      <c r="FJ1309" s="36" t="str">
        <f>IF($FH1309="","",SUM($FN1309:$FN$7000))</f>
        <v/>
      </c>
      <c r="FK1309" s="36" t="str">
        <f>IF($FH1309="","",SUM($FN1309:$FN$7000))</f>
        <v/>
      </c>
    </row>
    <row r="1310" spans="152:167">
      <c r="EV1310" s="28">
        <f t="shared" si="41"/>
        <v>0</v>
      </c>
      <c r="FH1310" s="29" t="str">
        <f t="shared" si="42"/>
        <v/>
      </c>
      <c r="FJ1310" s="36" t="str">
        <f>IF($FH1310="","",SUM($FN1310:$FN$7000))</f>
        <v/>
      </c>
      <c r="FK1310" s="36" t="str">
        <f>IF($FH1310="","",SUM($FN1310:$FN$7000))</f>
        <v/>
      </c>
    </row>
    <row r="1311" spans="152:167">
      <c r="EV1311" s="28">
        <f t="shared" si="41"/>
        <v>0</v>
      </c>
      <c r="FH1311" s="29" t="str">
        <f t="shared" si="42"/>
        <v/>
      </c>
      <c r="FJ1311" s="36" t="str">
        <f>IF($FH1311="","",SUM($FN1311:$FN$7000))</f>
        <v/>
      </c>
      <c r="FK1311" s="36" t="str">
        <f>IF($FH1311="","",SUM($FN1311:$FN$7000))</f>
        <v/>
      </c>
    </row>
    <row r="1312" spans="152:167">
      <c r="EV1312" s="28">
        <f t="shared" si="41"/>
        <v>0</v>
      </c>
      <c r="FH1312" s="29" t="str">
        <f t="shared" si="42"/>
        <v/>
      </c>
      <c r="FJ1312" s="36" t="str">
        <f>IF($FH1312="","",SUM($FN1312:$FN$7000))</f>
        <v/>
      </c>
      <c r="FK1312" s="36" t="str">
        <f>IF($FH1312="","",SUM($FN1312:$FN$7000))</f>
        <v/>
      </c>
    </row>
    <row r="1313" spans="152:167">
      <c r="EV1313" s="28">
        <f t="shared" si="41"/>
        <v>0</v>
      </c>
      <c r="FH1313" s="29" t="str">
        <f t="shared" si="42"/>
        <v/>
      </c>
      <c r="FJ1313" s="36" t="str">
        <f>IF($FH1313="","",SUM($FN1313:$FN$7000))</f>
        <v/>
      </c>
      <c r="FK1313" s="36" t="str">
        <f>IF($FH1313="","",SUM($FN1313:$FN$7000))</f>
        <v/>
      </c>
    </row>
    <row r="1314" spans="152:167">
      <c r="EV1314" s="28">
        <f t="shared" si="41"/>
        <v>0</v>
      </c>
      <c r="FH1314" s="29" t="str">
        <f t="shared" si="42"/>
        <v/>
      </c>
      <c r="FJ1314" s="36" t="str">
        <f>IF($FH1314="","",SUM($FN1314:$FN$7000))</f>
        <v/>
      </c>
      <c r="FK1314" s="36" t="str">
        <f>IF($FH1314="","",SUM($FN1314:$FN$7000))</f>
        <v/>
      </c>
    </row>
    <row r="1315" spans="152:167">
      <c r="EV1315" s="28">
        <f t="shared" si="41"/>
        <v>0</v>
      </c>
      <c r="FH1315" s="29" t="str">
        <f t="shared" si="42"/>
        <v/>
      </c>
      <c r="FJ1315" s="36" t="str">
        <f>IF($FH1315="","",SUM($FN1315:$FN$7000))</f>
        <v/>
      </c>
      <c r="FK1315" s="36" t="str">
        <f>IF($FH1315="","",SUM($FN1315:$FN$7000))</f>
        <v/>
      </c>
    </row>
    <row r="1316" spans="152:167">
      <c r="EV1316" s="28">
        <f t="shared" si="41"/>
        <v>0</v>
      </c>
      <c r="FH1316" s="29" t="str">
        <f t="shared" si="42"/>
        <v/>
      </c>
      <c r="FJ1316" s="36" t="str">
        <f>IF($FH1316="","",SUM($FN1316:$FN$7000))</f>
        <v/>
      </c>
      <c r="FK1316" s="36" t="str">
        <f>IF($FH1316="","",SUM($FN1316:$FN$7000))</f>
        <v/>
      </c>
    </row>
    <row r="1317" spans="152:167">
      <c r="EV1317" s="28">
        <f t="shared" si="41"/>
        <v>0</v>
      </c>
      <c r="FH1317" s="29" t="str">
        <f t="shared" si="42"/>
        <v/>
      </c>
      <c r="FJ1317" s="36" t="str">
        <f>IF($FH1317="","",SUM($FN1317:$FN$7000))</f>
        <v/>
      </c>
      <c r="FK1317" s="36" t="str">
        <f>IF($FH1317="","",SUM($FN1317:$FN$7000))</f>
        <v/>
      </c>
    </row>
    <row r="1318" spans="152:167">
      <c r="EV1318" s="28">
        <f t="shared" si="41"/>
        <v>0</v>
      </c>
      <c r="FH1318" s="29" t="str">
        <f t="shared" si="42"/>
        <v/>
      </c>
      <c r="FJ1318" s="36" t="str">
        <f>IF($FH1318="","",SUM($FN1318:$FN$7000))</f>
        <v/>
      </c>
      <c r="FK1318" s="36" t="str">
        <f>IF($FH1318="","",SUM($FN1318:$FN$7000))</f>
        <v/>
      </c>
    </row>
    <row r="1319" spans="152:167">
      <c r="EV1319" s="28">
        <f t="shared" si="41"/>
        <v>0</v>
      </c>
      <c r="FH1319" s="29" t="str">
        <f t="shared" si="42"/>
        <v/>
      </c>
      <c r="FJ1319" s="36" t="str">
        <f>IF($FH1319="","",SUM($FN1319:$FN$7000))</f>
        <v/>
      </c>
      <c r="FK1319" s="36" t="str">
        <f>IF($FH1319="","",SUM($FN1319:$FN$7000))</f>
        <v/>
      </c>
    </row>
    <row r="1320" spans="152:167">
      <c r="EV1320" s="28">
        <f t="shared" si="41"/>
        <v>0</v>
      </c>
      <c r="FH1320" s="29" t="str">
        <f t="shared" si="42"/>
        <v/>
      </c>
      <c r="FJ1320" s="36" t="str">
        <f>IF($FH1320="","",SUM($FN1320:$FN$7000))</f>
        <v/>
      </c>
      <c r="FK1320" s="36" t="str">
        <f>IF($FH1320="","",SUM($FN1320:$FN$7000))</f>
        <v/>
      </c>
    </row>
    <row r="1321" spans="152:167">
      <c r="EV1321" s="28">
        <f t="shared" si="41"/>
        <v>0</v>
      </c>
      <c r="FH1321" s="29" t="str">
        <f t="shared" si="42"/>
        <v/>
      </c>
      <c r="FJ1321" s="36" t="str">
        <f>IF($FH1321="","",SUM($FN1321:$FN$7000))</f>
        <v/>
      </c>
      <c r="FK1321" s="36" t="str">
        <f>IF($FH1321="","",SUM($FN1321:$FN$7000))</f>
        <v/>
      </c>
    </row>
    <row r="1322" spans="152:167">
      <c r="EV1322" s="28">
        <f t="shared" si="41"/>
        <v>0</v>
      </c>
      <c r="FH1322" s="29" t="str">
        <f t="shared" si="42"/>
        <v/>
      </c>
      <c r="FJ1322" s="36" t="str">
        <f>IF($FH1322="","",SUM($FN1322:$FN$7000))</f>
        <v/>
      </c>
      <c r="FK1322" s="36" t="str">
        <f>IF($FH1322="","",SUM($FN1322:$FN$7000))</f>
        <v/>
      </c>
    </row>
    <row r="1323" spans="152:167">
      <c r="EV1323" s="28">
        <f t="shared" si="41"/>
        <v>0</v>
      </c>
      <c r="FH1323" s="29" t="str">
        <f t="shared" si="42"/>
        <v/>
      </c>
      <c r="FJ1323" s="36" t="str">
        <f>IF($FH1323="","",SUM($FN1323:$FN$7000))</f>
        <v/>
      </c>
      <c r="FK1323" s="36" t="str">
        <f>IF($FH1323="","",SUM($FN1323:$FN$7000))</f>
        <v/>
      </c>
    </row>
    <row r="1324" spans="152:167">
      <c r="EV1324" s="28">
        <f t="shared" si="41"/>
        <v>0</v>
      </c>
      <c r="FH1324" s="29" t="str">
        <f t="shared" si="42"/>
        <v/>
      </c>
      <c r="FJ1324" s="36" t="str">
        <f>IF($FH1324="","",SUM($FN1324:$FN$7000))</f>
        <v/>
      </c>
      <c r="FK1324" s="36" t="str">
        <f>IF($FH1324="","",SUM($FN1324:$FN$7000))</f>
        <v/>
      </c>
    </row>
    <row r="1325" spans="152:167">
      <c r="EV1325" s="28">
        <f t="shared" si="41"/>
        <v>0</v>
      </c>
      <c r="FH1325" s="29" t="str">
        <f t="shared" si="42"/>
        <v/>
      </c>
      <c r="FJ1325" s="36" t="str">
        <f>IF($FH1325="","",SUM($FN1325:$FN$7000))</f>
        <v/>
      </c>
      <c r="FK1325" s="36" t="str">
        <f>IF($FH1325="","",SUM($FN1325:$FN$7000))</f>
        <v/>
      </c>
    </row>
    <row r="1326" spans="152:167">
      <c r="EV1326" s="28">
        <f t="shared" si="41"/>
        <v>0</v>
      </c>
      <c r="FH1326" s="29" t="str">
        <f t="shared" si="42"/>
        <v/>
      </c>
      <c r="FJ1326" s="36" t="str">
        <f>IF($FH1326="","",SUM($FN1326:$FN$7000))</f>
        <v/>
      </c>
      <c r="FK1326" s="36" t="str">
        <f>IF($FH1326="","",SUM($FN1326:$FN$7000))</f>
        <v/>
      </c>
    </row>
    <row r="1327" spans="152:167">
      <c r="EV1327" s="28">
        <f t="shared" si="41"/>
        <v>0</v>
      </c>
      <c r="FH1327" s="29" t="str">
        <f t="shared" si="42"/>
        <v/>
      </c>
      <c r="FJ1327" s="36" t="str">
        <f>IF($FH1327="","",SUM($FN1327:$FN$7000))</f>
        <v/>
      </c>
      <c r="FK1327" s="36" t="str">
        <f>IF($FH1327="","",SUM($FN1327:$FN$7000))</f>
        <v/>
      </c>
    </row>
    <row r="1328" spans="152:167">
      <c r="EV1328" s="28">
        <f t="shared" si="41"/>
        <v>0</v>
      </c>
      <c r="FH1328" s="29" t="str">
        <f t="shared" si="42"/>
        <v/>
      </c>
      <c r="FJ1328" s="36" t="str">
        <f>IF($FH1328="","",SUM($FN1328:$FN$7000))</f>
        <v/>
      </c>
      <c r="FK1328" s="36" t="str">
        <f>IF($FH1328="","",SUM($FN1328:$FN$7000))</f>
        <v/>
      </c>
    </row>
    <row r="1329" spans="152:167">
      <c r="EV1329" s="28">
        <f t="shared" si="41"/>
        <v>0</v>
      </c>
      <c r="FH1329" s="29" t="str">
        <f t="shared" si="42"/>
        <v/>
      </c>
      <c r="FJ1329" s="36" t="str">
        <f>IF($FH1329="","",SUM($FN1329:$FN$7000))</f>
        <v/>
      </c>
      <c r="FK1329" s="36" t="str">
        <f>IF($FH1329="","",SUM($FN1329:$FN$7000))</f>
        <v/>
      </c>
    </row>
    <row r="1330" spans="152:167">
      <c r="EV1330" s="28">
        <f t="shared" si="41"/>
        <v>0</v>
      </c>
      <c r="FH1330" s="29" t="str">
        <f t="shared" si="42"/>
        <v/>
      </c>
      <c r="FJ1330" s="36" t="str">
        <f>IF($FH1330="","",SUM($FN1330:$FN$7000))</f>
        <v/>
      </c>
      <c r="FK1330" s="36" t="str">
        <f>IF($FH1330="","",SUM($FN1330:$FN$7000))</f>
        <v/>
      </c>
    </row>
    <row r="1331" spans="152:167">
      <c r="EV1331" s="28">
        <f t="shared" si="41"/>
        <v>0</v>
      </c>
      <c r="FH1331" s="29" t="str">
        <f t="shared" si="42"/>
        <v/>
      </c>
      <c r="FJ1331" s="36" t="str">
        <f>IF($FH1331="","",SUM($FN1331:$FN$7000))</f>
        <v/>
      </c>
      <c r="FK1331" s="36" t="str">
        <f>IF($FH1331="","",SUM($FN1331:$FN$7000))</f>
        <v/>
      </c>
    </row>
    <row r="1332" spans="152:167">
      <c r="EV1332" s="28">
        <f t="shared" si="41"/>
        <v>0</v>
      </c>
      <c r="FH1332" s="29" t="str">
        <f t="shared" si="42"/>
        <v/>
      </c>
      <c r="FJ1332" s="36" t="str">
        <f>IF($FH1332="","",SUM($FN1332:$FN$7000))</f>
        <v/>
      </c>
      <c r="FK1332" s="36" t="str">
        <f>IF($FH1332="","",SUM($FN1332:$FN$7000))</f>
        <v/>
      </c>
    </row>
    <row r="1333" spans="152:167">
      <c r="EV1333" s="28">
        <f t="shared" si="41"/>
        <v>0</v>
      </c>
      <c r="FH1333" s="29" t="str">
        <f t="shared" si="42"/>
        <v/>
      </c>
      <c r="FJ1333" s="36" t="str">
        <f>IF($FH1333="","",SUM($FN1333:$FN$7000))</f>
        <v/>
      </c>
      <c r="FK1333" s="36" t="str">
        <f>IF($FH1333="","",SUM($FN1333:$FN$7000))</f>
        <v/>
      </c>
    </row>
    <row r="1334" spans="152:167">
      <c r="EV1334" s="28">
        <f t="shared" si="41"/>
        <v>0</v>
      </c>
      <c r="FH1334" s="29" t="str">
        <f t="shared" si="42"/>
        <v/>
      </c>
      <c r="FJ1334" s="36" t="str">
        <f>IF($FH1334="","",SUM($FN1334:$FN$7000))</f>
        <v/>
      </c>
      <c r="FK1334" s="36" t="str">
        <f>IF($FH1334="","",SUM($FN1334:$FN$7000))</f>
        <v/>
      </c>
    </row>
    <row r="1335" spans="152:167">
      <c r="EV1335" s="28">
        <f t="shared" si="41"/>
        <v>0</v>
      </c>
      <c r="FH1335" s="29" t="str">
        <f t="shared" si="42"/>
        <v/>
      </c>
      <c r="FJ1335" s="36" t="str">
        <f>IF($FH1335="","",SUM($FN1335:$FN$7000))</f>
        <v/>
      </c>
      <c r="FK1335" s="36" t="str">
        <f>IF($FH1335="","",SUM($FN1335:$FN$7000))</f>
        <v/>
      </c>
    </row>
    <row r="1336" spans="152:167">
      <c r="EV1336" s="28">
        <f t="shared" si="41"/>
        <v>0</v>
      </c>
      <c r="FH1336" s="29" t="str">
        <f t="shared" si="42"/>
        <v/>
      </c>
      <c r="FJ1336" s="36" t="str">
        <f>IF($FH1336="","",SUM($FN1336:$FN$7000))</f>
        <v/>
      </c>
      <c r="FK1336" s="36" t="str">
        <f>IF($FH1336="","",SUM($FN1336:$FN$7000))</f>
        <v/>
      </c>
    </row>
    <row r="1337" spans="152:167">
      <c r="EV1337" s="28">
        <f t="shared" si="41"/>
        <v>0</v>
      </c>
      <c r="FH1337" s="29" t="str">
        <f t="shared" si="42"/>
        <v/>
      </c>
      <c r="FJ1337" s="36" t="str">
        <f>IF($FH1337="","",SUM($FN1337:$FN$7000))</f>
        <v/>
      </c>
      <c r="FK1337" s="36" t="str">
        <f>IF($FH1337="","",SUM($FN1337:$FN$7000))</f>
        <v/>
      </c>
    </row>
    <row r="1338" spans="152:167">
      <c r="EV1338" s="28">
        <f t="shared" si="41"/>
        <v>0</v>
      </c>
      <c r="FH1338" s="29" t="str">
        <f t="shared" si="42"/>
        <v/>
      </c>
      <c r="FJ1338" s="36" t="str">
        <f>IF($FH1338="","",SUM($FN1338:$FN$7000))</f>
        <v/>
      </c>
      <c r="FK1338" s="36" t="str">
        <f>IF($FH1338="","",SUM($FN1338:$FN$7000))</f>
        <v/>
      </c>
    </row>
    <row r="1339" spans="152:167">
      <c r="EV1339" s="28">
        <f t="shared" si="41"/>
        <v>0</v>
      </c>
      <c r="FH1339" s="29" t="str">
        <f t="shared" si="42"/>
        <v/>
      </c>
      <c r="FJ1339" s="36" t="str">
        <f>IF($FH1339="","",SUM($FN1339:$FN$7000))</f>
        <v/>
      </c>
      <c r="FK1339" s="36" t="str">
        <f>IF($FH1339="","",SUM($FN1339:$FN$7000))</f>
        <v/>
      </c>
    </row>
    <row r="1340" spans="152:167">
      <c r="EV1340" s="28">
        <f t="shared" si="41"/>
        <v>0</v>
      </c>
      <c r="FH1340" s="29" t="str">
        <f t="shared" si="42"/>
        <v/>
      </c>
      <c r="FJ1340" s="36" t="str">
        <f>IF($FH1340="","",SUM($FN1340:$FN$7000))</f>
        <v/>
      </c>
      <c r="FK1340" s="36" t="str">
        <f>IF($FH1340="","",SUM($FN1340:$FN$7000))</f>
        <v/>
      </c>
    </row>
    <row r="1341" spans="152:167">
      <c r="EV1341" s="28">
        <f t="shared" si="41"/>
        <v>0</v>
      </c>
      <c r="FH1341" s="29" t="str">
        <f t="shared" si="42"/>
        <v/>
      </c>
      <c r="FJ1341" s="36" t="str">
        <f>IF($FH1341="","",SUM($FN1341:$FN$7000))</f>
        <v/>
      </c>
      <c r="FK1341" s="36" t="str">
        <f>IF($FH1341="","",SUM($FN1341:$FN$7000))</f>
        <v/>
      </c>
    </row>
    <row r="1342" spans="152:167">
      <c r="EV1342" s="28">
        <f t="shared" si="41"/>
        <v>0</v>
      </c>
      <c r="FH1342" s="29" t="str">
        <f t="shared" si="42"/>
        <v/>
      </c>
      <c r="FJ1342" s="36" t="str">
        <f>IF($FH1342="","",SUM($FN1342:$FN$7000))</f>
        <v/>
      </c>
      <c r="FK1342" s="36" t="str">
        <f>IF($FH1342="","",SUM($FN1342:$FN$7000))</f>
        <v/>
      </c>
    </row>
    <row r="1343" spans="152:167">
      <c r="EV1343" s="28">
        <f t="shared" si="41"/>
        <v>0</v>
      </c>
      <c r="FH1343" s="29" t="str">
        <f t="shared" si="42"/>
        <v/>
      </c>
      <c r="FJ1343" s="36" t="str">
        <f>IF($FH1343="","",SUM($FN1343:$FN$7000))</f>
        <v/>
      </c>
      <c r="FK1343" s="36" t="str">
        <f>IF($FH1343="","",SUM($FN1343:$FN$7000))</f>
        <v/>
      </c>
    </row>
    <row r="1344" spans="152:167">
      <c r="EV1344" s="28">
        <f t="shared" si="41"/>
        <v>0</v>
      </c>
      <c r="FH1344" s="29" t="str">
        <f t="shared" si="42"/>
        <v/>
      </c>
      <c r="FJ1344" s="36" t="str">
        <f>IF($FH1344="","",SUM($FN1344:$FN$7000))</f>
        <v/>
      </c>
      <c r="FK1344" s="36" t="str">
        <f>IF($FH1344="","",SUM($FN1344:$FN$7000))</f>
        <v/>
      </c>
    </row>
    <row r="1345" spans="152:167">
      <c r="EV1345" s="28">
        <f t="shared" si="41"/>
        <v>0</v>
      </c>
      <c r="FH1345" s="29" t="str">
        <f t="shared" si="42"/>
        <v/>
      </c>
      <c r="FJ1345" s="36" t="str">
        <f>IF($FH1345="","",SUM($FN1345:$FN$7000))</f>
        <v/>
      </c>
      <c r="FK1345" s="36" t="str">
        <f>IF($FH1345="","",SUM($FN1345:$FN$7000))</f>
        <v/>
      </c>
    </row>
    <row r="1346" spans="152:167">
      <c r="EV1346" s="28">
        <f t="shared" si="41"/>
        <v>0</v>
      </c>
      <c r="FH1346" s="29" t="str">
        <f t="shared" si="42"/>
        <v/>
      </c>
      <c r="FJ1346" s="36" t="str">
        <f>IF($FH1346="","",SUM($FN1346:$FN$7000))</f>
        <v/>
      </c>
      <c r="FK1346" s="36" t="str">
        <f>IF($FH1346="","",SUM($FN1346:$FN$7000))</f>
        <v/>
      </c>
    </row>
    <row r="1347" spans="152:167">
      <c r="EV1347" s="28">
        <f t="shared" si="41"/>
        <v>0</v>
      </c>
      <c r="FH1347" s="29" t="str">
        <f t="shared" si="42"/>
        <v/>
      </c>
      <c r="FJ1347" s="36" t="str">
        <f>IF($FH1347="","",SUM($FN1347:$FN$7000))</f>
        <v/>
      </c>
      <c r="FK1347" s="36" t="str">
        <f>IF($FH1347="","",SUM($FN1347:$FN$7000))</f>
        <v/>
      </c>
    </row>
    <row r="1348" spans="152:167">
      <c r="EV1348" s="28">
        <f t="shared" si="41"/>
        <v>0</v>
      </c>
      <c r="FH1348" s="29" t="str">
        <f t="shared" si="42"/>
        <v/>
      </c>
      <c r="FJ1348" s="36" t="str">
        <f>IF($FH1348="","",SUM($FN1348:$FN$7000))</f>
        <v/>
      </c>
      <c r="FK1348" s="36" t="str">
        <f>IF($FH1348="","",SUM($FN1348:$FN$7000))</f>
        <v/>
      </c>
    </row>
    <row r="1349" spans="152:167">
      <c r="EV1349" s="28">
        <f t="shared" si="41"/>
        <v>0</v>
      </c>
      <c r="FH1349" s="29" t="str">
        <f t="shared" si="42"/>
        <v/>
      </c>
      <c r="FJ1349" s="36" t="str">
        <f>IF($FH1349="","",SUM($FN1349:$FN$7000))</f>
        <v/>
      </c>
      <c r="FK1349" s="36" t="str">
        <f>IF($FH1349="","",SUM($FN1349:$FN$7000))</f>
        <v/>
      </c>
    </row>
    <row r="1350" spans="152:167">
      <c r="EV1350" s="28">
        <f t="shared" si="41"/>
        <v>0</v>
      </c>
      <c r="FH1350" s="29" t="str">
        <f t="shared" si="42"/>
        <v/>
      </c>
      <c r="FJ1350" s="36" t="str">
        <f>IF($FH1350="","",SUM($FN1350:$FN$7000))</f>
        <v/>
      </c>
      <c r="FK1350" s="36" t="str">
        <f>IF($FH1350="","",SUM($FN1350:$FN$7000))</f>
        <v/>
      </c>
    </row>
    <row r="1351" spans="152:167">
      <c r="EV1351" s="28">
        <f t="shared" si="41"/>
        <v>0</v>
      </c>
      <c r="FH1351" s="29" t="str">
        <f t="shared" si="42"/>
        <v/>
      </c>
      <c r="FJ1351" s="36" t="str">
        <f>IF($FH1351="","",SUM($FN1351:$FN$7000))</f>
        <v/>
      </c>
      <c r="FK1351" s="36" t="str">
        <f>IF($FH1351="","",SUM($FN1351:$FN$7000))</f>
        <v/>
      </c>
    </row>
    <row r="1352" spans="152:167">
      <c r="EV1352" s="28">
        <f t="shared" si="41"/>
        <v>0</v>
      </c>
      <c r="FH1352" s="29" t="str">
        <f t="shared" si="42"/>
        <v/>
      </c>
      <c r="FJ1352" s="36" t="str">
        <f>IF($FH1352="","",SUM($FN1352:$FN$7000))</f>
        <v/>
      </c>
      <c r="FK1352" s="36" t="str">
        <f>IF($FH1352="","",SUM($FN1352:$FN$7000))</f>
        <v/>
      </c>
    </row>
    <row r="1353" spans="152:167">
      <c r="EV1353" s="28">
        <f t="shared" si="41"/>
        <v>0</v>
      </c>
      <c r="FH1353" s="29" t="str">
        <f t="shared" si="42"/>
        <v/>
      </c>
      <c r="FJ1353" s="36" t="str">
        <f>IF($FH1353="","",SUM($FN1353:$FN$7000))</f>
        <v/>
      </c>
      <c r="FK1353" s="36" t="str">
        <f>IF($FH1353="","",SUM($FN1353:$FN$7000))</f>
        <v/>
      </c>
    </row>
    <row r="1354" spans="152:167">
      <c r="EV1354" s="28">
        <f t="shared" si="41"/>
        <v>0</v>
      </c>
      <c r="FH1354" s="29" t="str">
        <f t="shared" si="42"/>
        <v/>
      </c>
      <c r="FJ1354" s="36" t="str">
        <f>IF($FH1354="","",SUM($FN1354:$FN$7000))</f>
        <v/>
      </c>
      <c r="FK1354" s="36" t="str">
        <f>IF($FH1354="","",SUM($FN1354:$FN$7000))</f>
        <v/>
      </c>
    </row>
    <row r="1355" spans="152:167">
      <c r="EV1355" s="28">
        <f t="shared" ref="EV1355:EV1418" si="43">EU1355-ET1355</f>
        <v>0</v>
      </c>
      <c r="FH1355" s="29" t="str">
        <f t="shared" ref="FH1355:FH1418" si="44">IF(FL1355="","",FL1355)</f>
        <v/>
      </c>
      <c r="FJ1355" s="36" t="str">
        <f>IF($FH1355="","",SUM($FN1355:$FN$7000))</f>
        <v/>
      </c>
      <c r="FK1355" s="36" t="str">
        <f>IF($FH1355="","",SUM($FN1355:$FN$7000))</f>
        <v/>
      </c>
    </row>
    <row r="1356" spans="152:167">
      <c r="EV1356" s="28">
        <f t="shared" si="43"/>
        <v>0</v>
      </c>
      <c r="FH1356" s="29" t="str">
        <f t="shared" si="44"/>
        <v/>
      </c>
      <c r="FJ1356" s="36" t="str">
        <f>IF($FH1356="","",SUM($FN1356:$FN$7000))</f>
        <v/>
      </c>
      <c r="FK1356" s="36" t="str">
        <f>IF($FH1356="","",SUM($FN1356:$FN$7000))</f>
        <v/>
      </c>
    </row>
    <row r="1357" spans="152:167">
      <c r="EV1357" s="28">
        <f t="shared" si="43"/>
        <v>0</v>
      </c>
      <c r="FH1357" s="29" t="str">
        <f t="shared" si="44"/>
        <v/>
      </c>
      <c r="FJ1357" s="36" t="str">
        <f>IF($FH1357="","",SUM($FN1357:$FN$7000))</f>
        <v/>
      </c>
      <c r="FK1357" s="36" t="str">
        <f>IF($FH1357="","",SUM($FN1357:$FN$7000))</f>
        <v/>
      </c>
    </row>
    <row r="1358" spans="152:167">
      <c r="EV1358" s="28">
        <f t="shared" si="43"/>
        <v>0</v>
      </c>
      <c r="FH1358" s="29" t="str">
        <f t="shared" si="44"/>
        <v/>
      </c>
      <c r="FJ1358" s="36" t="str">
        <f>IF($FH1358="","",SUM($FN1358:$FN$7000))</f>
        <v/>
      </c>
      <c r="FK1358" s="36" t="str">
        <f>IF($FH1358="","",SUM($FN1358:$FN$7000))</f>
        <v/>
      </c>
    </row>
    <row r="1359" spans="152:167">
      <c r="EV1359" s="28">
        <f t="shared" si="43"/>
        <v>0</v>
      </c>
      <c r="FH1359" s="29" t="str">
        <f t="shared" si="44"/>
        <v/>
      </c>
      <c r="FJ1359" s="36" t="str">
        <f>IF($FH1359="","",SUM($FN1359:$FN$7000))</f>
        <v/>
      </c>
      <c r="FK1359" s="36" t="str">
        <f>IF($FH1359="","",SUM($FN1359:$FN$7000))</f>
        <v/>
      </c>
    </row>
    <row r="1360" spans="152:167">
      <c r="EV1360" s="28">
        <f t="shared" si="43"/>
        <v>0</v>
      </c>
      <c r="FH1360" s="29" t="str">
        <f t="shared" si="44"/>
        <v/>
      </c>
      <c r="FJ1360" s="36" t="str">
        <f>IF($FH1360="","",SUM($FN1360:$FN$7000))</f>
        <v/>
      </c>
      <c r="FK1360" s="36" t="str">
        <f>IF($FH1360="","",SUM($FN1360:$FN$7000))</f>
        <v/>
      </c>
    </row>
    <row r="1361" spans="152:167">
      <c r="EV1361" s="28">
        <f t="shared" si="43"/>
        <v>0</v>
      </c>
      <c r="FH1361" s="29" t="str">
        <f t="shared" si="44"/>
        <v/>
      </c>
      <c r="FJ1361" s="36" t="str">
        <f>IF($FH1361="","",SUM($FN1361:$FN$7000))</f>
        <v/>
      </c>
      <c r="FK1361" s="36" t="str">
        <f>IF($FH1361="","",SUM($FN1361:$FN$7000))</f>
        <v/>
      </c>
    </row>
    <row r="1362" spans="152:167">
      <c r="EV1362" s="28">
        <f t="shared" si="43"/>
        <v>0</v>
      </c>
      <c r="FH1362" s="29" t="str">
        <f t="shared" si="44"/>
        <v/>
      </c>
      <c r="FJ1362" s="36" t="str">
        <f>IF($FH1362="","",SUM($FN1362:$FN$7000))</f>
        <v/>
      </c>
      <c r="FK1362" s="36" t="str">
        <f>IF($FH1362="","",SUM($FN1362:$FN$7000))</f>
        <v/>
      </c>
    </row>
    <row r="1363" spans="152:167">
      <c r="EV1363" s="28">
        <f t="shared" si="43"/>
        <v>0</v>
      </c>
      <c r="FH1363" s="29" t="str">
        <f t="shared" si="44"/>
        <v/>
      </c>
      <c r="FJ1363" s="36" t="str">
        <f>IF($FH1363="","",SUM($FN1363:$FN$7000))</f>
        <v/>
      </c>
      <c r="FK1363" s="36" t="str">
        <f>IF($FH1363="","",SUM($FN1363:$FN$7000))</f>
        <v/>
      </c>
    </row>
    <row r="1364" spans="152:167">
      <c r="EV1364" s="28">
        <f t="shared" si="43"/>
        <v>0</v>
      </c>
      <c r="FH1364" s="29" t="str">
        <f t="shared" si="44"/>
        <v/>
      </c>
      <c r="FJ1364" s="36" t="str">
        <f>IF($FH1364="","",SUM($FN1364:$FN$7000))</f>
        <v/>
      </c>
      <c r="FK1364" s="36" t="str">
        <f>IF($FH1364="","",SUM($FN1364:$FN$7000))</f>
        <v/>
      </c>
    </row>
    <row r="1365" spans="152:167">
      <c r="EV1365" s="28">
        <f t="shared" si="43"/>
        <v>0</v>
      </c>
      <c r="FH1365" s="29" t="str">
        <f t="shared" si="44"/>
        <v/>
      </c>
      <c r="FJ1365" s="36" t="str">
        <f>IF($FH1365="","",SUM($FN1365:$FN$7000))</f>
        <v/>
      </c>
      <c r="FK1365" s="36" t="str">
        <f>IF($FH1365="","",SUM($FN1365:$FN$7000))</f>
        <v/>
      </c>
    </row>
    <row r="1366" spans="152:167">
      <c r="EV1366" s="28">
        <f t="shared" si="43"/>
        <v>0</v>
      </c>
      <c r="FH1366" s="29" t="str">
        <f t="shared" si="44"/>
        <v/>
      </c>
      <c r="FJ1366" s="36" t="str">
        <f>IF($FH1366="","",SUM($FN1366:$FN$7000))</f>
        <v/>
      </c>
      <c r="FK1366" s="36" t="str">
        <f>IF($FH1366="","",SUM($FN1366:$FN$7000))</f>
        <v/>
      </c>
    </row>
    <row r="1367" spans="152:167">
      <c r="EV1367" s="28">
        <f t="shared" si="43"/>
        <v>0</v>
      </c>
      <c r="FH1367" s="29" t="str">
        <f t="shared" si="44"/>
        <v/>
      </c>
      <c r="FJ1367" s="36" t="str">
        <f>IF($FH1367="","",SUM($FN1367:$FN$7000))</f>
        <v/>
      </c>
      <c r="FK1367" s="36" t="str">
        <f>IF($FH1367="","",SUM($FN1367:$FN$7000))</f>
        <v/>
      </c>
    </row>
    <row r="1368" spans="152:167">
      <c r="EV1368" s="28">
        <f t="shared" si="43"/>
        <v>0</v>
      </c>
      <c r="FH1368" s="29" t="str">
        <f t="shared" si="44"/>
        <v/>
      </c>
      <c r="FJ1368" s="36" t="str">
        <f>IF($FH1368="","",SUM($FN1368:$FN$7000))</f>
        <v/>
      </c>
      <c r="FK1368" s="36" t="str">
        <f>IF($FH1368="","",SUM($FN1368:$FN$7000))</f>
        <v/>
      </c>
    </row>
    <row r="1369" spans="152:167">
      <c r="EV1369" s="28">
        <f t="shared" si="43"/>
        <v>0</v>
      </c>
      <c r="FH1369" s="29" t="str">
        <f t="shared" si="44"/>
        <v/>
      </c>
      <c r="FJ1369" s="36" t="str">
        <f>IF($FH1369="","",SUM($FN1369:$FN$7000))</f>
        <v/>
      </c>
      <c r="FK1369" s="36" t="str">
        <f>IF($FH1369="","",SUM($FN1369:$FN$7000))</f>
        <v/>
      </c>
    </row>
    <row r="1370" spans="152:167">
      <c r="EV1370" s="28">
        <f t="shared" si="43"/>
        <v>0</v>
      </c>
      <c r="FH1370" s="29" t="str">
        <f t="shared" si="44"/>
        <v/>
      </c>
      <c r="FJ1370" s="36" t="str">
        <f>IF($FH1370="","",SUM($FN1370:$FN$7000))</f>
        <v/>
      </c>
      <c r="FK1370" s="36" t="str">
        <f>IF($FH1370="","",SUM($FN1370:$FN$7000))</f>
        <v/>
      </c>
    </row>
    <row r="1371" spans="152:167">
      <c r="EV1371" s="28">
        <f t="shared" si="43"/>
        <v>0</v>
      </c>
      <c r="FH1371" s="29" t="str">
        <f t="shared" si="44"/>
        <v/>
      </c>
      <c r="FJ1371" s="36" t="str">
        <f>IF($FH1371="","",SUM($FN1371:$FN$7000))</f>
        <v/>
      </c>
      <c r="FK1371" s="36" t="str">
        <f>IF($FH1371="","",SUM($FN1371:$FN$7000))</f>
        <v/>
      </c>
    </row>
    <row r="1372" spans="152:167">
      <c r="EV1372" s="28">
        <f t="shared" si="43"/>
        <v>0</v>
      </c>
      <c r="FH1372" s="29" t="str">
        <f t="shared" si="44"/>
        <v/>
      </c>
      <c r="FJ1372" s="36" t="str">
        <f>IF($FH1372="","",SUM($FN1372:$FN$7000))</f>
        <v/>
      </c>
      <c r="FK1372" s="36" t="str">
        <f>IF($FH1372="","",SUM($FN1372:$FN$7000))</f>
        <v/>
      </c>
    </row>
    <row r="1373" spans="152:167">
      <c r="EV1373" s="28">
        <f t="shared" si="43"/>
        <v>0</v>
      </c>
      <c r="FH1373" s="29" t="str">
        <f t="shared" si="44"/>
        <v/>
      </c>
      <c r="FJ1373" s="36" t="str">
        <f>IF($FH1373="","",SUM($FN1373:$FN$7000))</f>
        <v/>
      </c>
      <c r="FK1373" s="36" t="str">
        <f>IF($FH1373="","",SUM($FN1373:$FN$7000))</f>
        <v/>
      </c>
    </row>
    <row r="1374" spans="152:167">
      <c r="EV1374" s="28">
        <f t="shared" si="43"/>
        <v>0</v>
      </c>
      <c r="FH1374" s="29" t="str">
        <f t="shared" si="44"/>
        <v/>
      </c>
      <c r="FJ1374" s="36" t="str">
        <f>IF($FH1374="","",SUM($FN1374:$FN$7000))</f>
        <v/>
      </c>
      <c r="FK1374" s="36" t="str">
        <f>IF($FH1374="","",SUM($FN1374:$FN$7000))</f>
        <v/>
      </c>
    </row>
    <row r="1375" spans="152:167">
      <c r="EV1375" s="28">
        <f t="shared" si="43"/>
        <v>0</v>
      </c>
      <c r="FH1375" s="29" t="str">
        <f t="shared" si="44"/>
        <v/>
      </c>
      <c r="FJ1375" s="36" t="str">
        <f>IF($FH1375="","",SUM($FN1375:$FN$7000))</f>
        <v/>
      </c>
      <c r="FK1375" s="36" t="str">
        <f>IF($FH1375="","",SUM($FN1375:$FN$7000))</f>
        <v/>
      </c>
    </row>
    <row r="1376" spans="152:167">
      <c r="EV1376" s="28">
        <f t="shared" si="43"/>
        <v>0</v>
      </c>
      <c r="FH1376" s="29" t="str">
        <f t="shared" si="44"/>
        <v/>
      </c>
      <c r="FJ1376" s="36" t="str">
        <f>IF($FH1376="","",SUM($FN1376:$FN$7000))</f>
        <v/>
      </c>
      <c r="FK1376" s="36" t="str">
        <f>IF($FH1376="","",SUM($FN1376:$FN$7000))</f>
        <v/>
      </c>
    </row>
    <row r="1377" spans="152:167">
      <c r="EV1377" s="28">
        <f t="shared" si="43"/>
        <v>0</v>
      </c>
      <c r="FH1377" s="29" t="str">
        <f t="shared" si="44"/>
        <v/>
      </c>
      <c r="FJ1377" s="36" t="str">
        <f>IF($FH1377="","",SUM($FN1377:$FN$7000))</f>
        <v/>
      </c>
      <c r="FK1377" s="36" t="str">
        <f>IF($FH1377="","",SUM($FN1377:$FN$7000))</f>
        <v/>
      </c>
    </row>
    <row r="1378" spans="152:167">
      <c r="EV1378" s="28">
        <f t="shared" si="43"/>
        <v>0</v>
      </c>
      <c r="FH1378" s="29" t="str">
        <f t="shared" si="44"/>
        <v/>
      </c>
      <c r="FJ1378" s="36" t="str">
        <f>IF($FH1378="","",SUM($FN1378:$FN$7000))</f>
        <v/>
      </c>
      <c r="FK1378" s="36" t="str">
        <f>IF($FH1378="","",SUM($FN1378:$FN$7000))</f>
        <v/>
      </c>
    </row>
    <row r="1379" spans="152:167">
      <c r="EV1379" s="28">
        <f t="shared" si="43"/>
        <v>0</v>
      </c>
      <c r="FH1379" s="29" t="str">
        <f t="shared" si="44"/>
        <v/>
      </c>
      <c r="FJ1379" s="36" t="str">
        <f>IF($FH1379="","",SUM($FN1379:$FN$7000))</f>
        <v/>
      </c>
      <c r="FK1379" s="36" t="str">
        <f>IF($FH1379="","",SUM($FN1379:$FN$7000))</f>
        <v/>
      </c>
    </row>
    <row r="1380" spans="152:167">
      <c r="EV1380" s="28">
        <f t="shared" si="43"/>
        <v>0</v>
      </c>
      <c r="FH1380" s="29" t="str">
        <f t="shared" si="44"/>
        <v/>
      </c>
      <c r="FJ1380" s="36" t="str">
        <f>IF($FH1380="","",SUM($FN1380:$FN$7000))</f>
        <v/>
      </c>
      <c r="FK1380" s="36" t="str">
        <f>IF($FH1380="","",SUM($FN1380:$FN$7000))</f>
        <v/>
      </c>
    </row>
    <row r="1381" spans="152:167">
      <c r="EV1381" s="28">
        <f t="shared" si="43"/>
        <v>0</v>
      </c>
      <c r="FH1381" s="29" t="str">
        <f t="shared" si="44"/>
        <v/>
      </c>
      <c r="FJ1381" s="36" t="str">
        <f>IF($FH1381="","",SUM($FN1381:$FN$7000))</f>
        <v/>
      </c>
      <c r="FK1381" s="36" t="str">
        <f>IF($FH1381="","",SUM($FN1381:$FN$7000))</f>
        <v/>
      </c>
    </row>
    <row r="1382" spans="152:167">
      <c r="EV1382" s="28">
        <f t="shared" si="43"/>
        <v>0</v>
      </c>
      <c r="FH1382" s="29" t="str">
        <f t="shared" si="44"/>
        <v/>
      </c>
      <c r="FJ1382" s="36" t="str">
        <f>IF($FH1382="","",SUM($FN1382:$FN$7000))</f>
        <v/>
      </c>
      <c r="FK1382" s="36" t="str">
        <f>IF($FH1382="","",SUM($FN1382:$FN$7000))</f>
        <v/>
      </c>
    </row>
    <row r="1383" spans="152:167">
      <c r="EV1383" s="28">
        <f t="shared" si="43"/>
        <v>0</v>
      </c>
      <c r="FH1383" s="29" t="str">
        <f t="shared" si="44"/>
        <v/>
      </c>
      <c r="FJ1383" s="36" t="str">
        <f>IF($FH1383="","",SUM($FN1383:$FN$7000))</f>
        <v/>
      </c>
      <c r="FK1383" s="36" t="str">
        <f>IF($FH1383="","",SUM($FN1383:$FN$7000))</f>
        <v/>
      </c>
    </row>
    <row r="1384" spans="152:167">
      <c r="EV1384" s="28">
        <f t="shared" si="43"/>
        <v>0</v>
      </c>
      <c r="FH1384" s="29" t="str">
        <f t="shared" si="44"/>
        <v/>
      </c>
      <c r="FJ1384" s="36" t="str">
        <f>IF($FH1384="","",SUM($FN1384:$FN$7000))</f>
        <v/>
      </c>
      <c r="FK1384" s="36" t="str">
        <f>IF($FH1384="","",SUM($FN1384:$FN$7000))</f>
        <v/>
      </c>
    </row>
    <row r="1385" spans="152:167">
      <c r="EV1385" s="28">
        <f t="shared" si="43"/>
        <v>0</v>
      </c>
      <c r="FH1385" s="29" t="str">
        <f t="shared" si="44"/>
        <v/>
      </c>
      <c r="FJ1385" s="36" t="str">
        <f>IF($FH1385="","",SUM($FN1385:$FN$7000))</f>
        <v/>
      </c>
      <c r="FK1385" s="36" t="str">
        <f>IF($FH1385="","",SUM($FN1385:$FN$7000))</f>
        <v/>
      </c>
    </row>
    <row r="1386" spans="152:167">
      <c r="EV1386" s="28">
        <f t="shared" si="43"/>
        <v>0</v>
      </c>
      <c r="FH1386" s="29" t="str">
        <f t="shared" si="44"/>
        <v/>
      </c>
      <c r="FJ1386" s="36" t="str">
        <f>IF($FH1386="","",SUM($FN1386:$FN$7000))</f>
        <v/>
      </c>
      <c r="FK1386" s="36" t="str">
        <f>IF($FH1386="","",SUM($FN1386:$FN$7000))</f>
        <v/>
      </c>
    </row>
    <row r="1387" spans="152:167">
      <c r="EV1387" s="28">
        <f t="shared" si="43"/>
        <v>0</v>
      </c>
      <c r="FH1387" s="29" t="str">
        <f t="shared" si="44"/>
        <v/>
      </c>
      <c r="FJ1387" s="36" t="str">
        <f>IF($FH1387="","",SUM($FN1387:$FN$7000))</f>
        <v/>
      </c>
      <c r="FK1387" s="36" t="str">
        <f>IF($FH1387="","",SUM($FN1387:$FN$7000))</f>
        <v/>
      </c>
    </row>
    <row r="1388" spans="152:167">
      <c r="EV1388" s="28">
        <f t="shared" si="43"/>
        <v>0</v>
      </c>
      <c r="FH1388" s="29" t="str">
        <f t="shared" si="44"/>
        <v/>
      </c>
      <c r="FJ1388" s="36" t="str">
        <f>IF($FH1388="","",SUM($FN1388:$FN$7000))</f>
        <v/>
      </c>
      <c r="FK1388" s="36" t="str">
        <f>IF($FH1388="","",SUM($FN1388:$FN$7000))</f>
        <v/>
      </c>
    </row>
    <row r="1389" spans="152:167">
      <c r="EV1389" s="28">
        <f t="shared" si="43"/>
        <v>0</v>
      </c>
      <c r="FH1389" s="29" t="str">
        <f t="shared" si="44"/>
        <v/>
      </c>
      <c r="FJ1389" s="36" t="str">
        <f>IF($FH1389="","",SUM($FN1389:$FN$7000))</f>
        <v/>
      </c>
      <c r="FK1389" s="36" t="str">
        <f>IF($FH1389="","",SUM($FN1389:$FN$7000))</f>
        <v/>
      </c>
    </row>
    <row r="1390" spans="152:167">
      <c r="EV1390" s="28">
        <f t="shared" si="43"/>
        <v>0</v>
      </c>
      <c r="FH1390" s="29" t="str">
        <f t="shared" si="44"/>
        <v/>
      </c>
      <c r="FJ1390" s="36" t="str">
        <f>IF($FH1390="","",SUM($FN1390:$FN$7000))</f>
        <v/>
      </c>
      <c r="FK1390" s="36" t="str">
        <f>IF($FH1390="","",SUM($FN1390:$FN$7000))</f>
        <v/>
      </c>
    </row>
    <row r="1391" spans="152:167">
      <c r="EV1391" s="28">
        <f t="shared" si="43"/>
        <v>0</v>
      </c>
      <c r="FH1391" s="29" t="str">
        <f t="shared" si="44"/>
        <v/>
      </c>
      <c r="FJ1391" s="36" t="str">
        <f>IF($FH1391="","",SUM($FN1391:$FN$7000))</f>
        <v/>
      </c>
      <c r="FK1391" s="36" t="str">
        <f>IF($FH1391="","",SUM($FN1391:$FN$7000))</f>
        <v/>
      </c>
    </row>
    <row r="1392" spans="152:167">
      <c r="EV1392" s="28">
        <f t="shared" si="43"/>
        <v>0</v>
      </c>
      <c r="FH1392" s="29" t="str">
        <f t="shared" si="44"/>
        <v/>
      </c>
      <c r="FJ1392" s="36" t="str">
        <f>IF($FH1392="","",SUM($FN1392:$FN$7000))</f>
        <v/>
      </c>
      <c r="FK1392" s="36" t="str">
        <f>IF($FH1392="","",SUM($FN1392:$FN$7000))</f>
        <v/>
      </c>
    </row>
    <row r="1393" spans="152:167">
      <c r="EV1393" s="28">
        <f t="shared" si="43"/>
        <v>0</v>
      </c>
      <c r="FH1393" s="29" t="str">
        <f t="shared" si="44"/>
        <v/>
      </c>
      <c r="FJ1393" s="36" t="str">
        <f>IF($FH1393="","",SUM($FN1393:$FN$7000))</f>
        <v/>
      </c>
      <c r="FK1393" s="36" t="str">
        <f>IF($FH1393="","",SUM($FN1393:$FN$7000))</f>
        <v/>
      </c>
    </row>
    <row r="1394" spans="152:167">
      <c r="EV1394" s="28">
        <f t="shared" si="43"/>
        <v>0</v>
      </c>
      <c r="FH1394" s="29" t="str">
        <f t="shared" si="44"/>
        <v/>
      </c>
      <c r="FJ1394" s="36" t="str">
        <f>IF($FH1394="","",SUM($FN1394:$FN$7000))</f>
        <v/>
      </c>
      <c r="FK1394" s="36" t="str">
        <f>IF($FH1394="","",SUM($FN1394:$FN$7000))</f>
        <v/>
      </c>
    </row>
    <row r="1395" spans="152:167">
      <c r="EV1395" s="28">
        <f t="shared" si="43"/>
        <v>0</v>
      </c>
      <c r="FH1395" s="29" t="str">
        <f t="shared" si="44"/>
        <v/>
      </c>
      <c r="FJ1395" s="36" t="str">
        <f>IF($FH1395="","",SUM($FN1395:$FN$7000))</f>
        <v/>
      </c>
      <c r="FK1395" s="36" t="str">
        <f>IF($FH1395="","",SUM($FN1395:$FN$7000))</f>
        <v/>
      </c>
    </row>
    <row r="1396" spans="152:167">
      <c r="EV1396" s="28">
        <f t="shared" si="43"/>
        <v>0</v>
      </c>
      <c r="FH1396" s="29" t="str">
        <f t="shared" si="44"/>
        <v/>
      </c>
      <c r="FJ1396" s="36" t="str">
        <f>IF($FH1396="","",SUM($FN1396:$FN$7000))</f>
        <v/>
      </c>
      <c r="FK1396" s="36" t="str">
        <f>IF($FH1396="","",SUM($FN1396:$FN$7000))</f>
        <v/>
      </c>
    </row>
    <row r="1397" spans="152:167">
      <c r="EV1397" s="28">
        <f t="shared" si="43"/>
        <v>0</v>
      </c>
      <c r="FH1397" s="29" t="str">
        <f t="shared" si="44"/>
        <v/>
      </c>
      <c r="FJ1397" s="36" t="str">
        <f>IF($FH1397="","",SUM($FN1397:$FN$7000))</f>
        <v/>
      </c>
      <c r="FK1397" s="36" t="str">
        <f>IF($FH1397="","",SUM($FN1397:$FN$7000))</f>
        <v/>
      </c>
    </row>
    <row r="1398" spans="152:167">
      <c r="EV1398" s="28">
        <f t="shared" si="43"/>
        <v>0</v>
      </c>
      <c r="FH1398" s="29" t="str">
        <f t="shared" si="44"/>
        <v/>
      </c>
      <c r="FJ1398" s="36" t="str">
        <f>IF($FH1398="","",SUM($FN1398:$FN$7000))</f>
        <v/>
      </c>
      <c r="FK1398" s="36" t="str">
        <f>IF($FH1398="","",SUM($FN1398:$FN$7000))</f>
        <v/>
      </c>
    </row>
    <row r="1399" spans="152:167">
      <c r="EV1399" s="28">
        <f t="shared" si="43"/>
        <v>0</v>
      </c>
      <c r="FH1399" s="29" t="str">
        <f t="shared" si="44"/>
        <v/>
      </c>
      <c r="FJ1399" s="36" t="str">
        <f>IF($FH1399="","",SUM($FN1399:$FN$7000))</f>
        <v/>
      </c>
      <c r="FK1399" s="36" t="str">
        <f>IF($FH1399="","",SUM($FN1399:$FN$7000))</f>
        <v/>
      </c>
    </row>
    <row r="1400" spans="152:167">
      <c r="EV1400" s="28">
        <f t="shared" si="43"/>
        <v>0</v>
      </c>
      <c r="FH1400" s="29" t="str">
        <f t="shared" si="44"/>
        <v/>
      </c>
      <c r="FJ1400" s="36" t="str">
        <f>IF($FH1400="","",SUM($FN1400:$FN$7000))</f>
        <v/>
      </c>
      <c r="FK1400" s="36" t="str">
        <f>IF($FH1400="","",SUM($FN1400:$FN$7000))</f>
        <v/>
      </c>
    </row>
    <row r="1401" spans="152:167">
      <c r="EV1401" s="28">
        <f t="shared" si="43"/>
        <v>0</v>
      </c>
      <c r="FH1401" s="29" t="str">
        <f t="shared" si="44"/>
        <v/>
      </c>
      <c r="FJ1401" s="36" t="str">
        <f>IF($FH1401="","",SUM($FN1401:$FN$7000))</f>
        <v/>
      </c>
      <c r="FK1401" s="36" t="str">
        <f>IF($FH1401="","",SUM($FN1401:$FN$7000))</f>
        <v/>
      </c>
    </row>
    <row r="1402" spans="152:167">
      <c r="EV1402" s="28">
        <f t="shared" si="43"/>
        <v>0</v>
      </c>
      <c r="FH1402" s="29" t="str">
        <f t="shared" si="44"/>
        <v/>
      </c>
      <c r="FJ1402" s="36" t="str">
        <f>IF($FH1402="","",SUM($FN1402:$FN$7000))</f>
        <v/>
      </c>
      <c r="FK1402" s="36" t="str">
        <f>IF($FH1402="","",SUM($FN1402:$FN$7000))</f>
        <v/>
      </c>
    </row>
    <row r="1403" spans="152:167">
      <c r="EV1403" s="28">
        <f t="shared" si="43"/>
        <v>0</v>
      </c>
      <c r="FH1403" s="29" t="str">
        <f t="shared" si="44"/>
        <v/>
      </c>
      <c r="FJ1403" s="36" t="str">
        <f>IF($FH1403="","",SUM($FN1403:$FN$7000))</f>
        <v/>
      </c>
      <c r="FK1403" s="36" t="str">
        <f>IF($FH1403="","",SUM($FN1403:$FN$7000))</f>
        <v/>
      </c>
    </row>
    <row r="1404" spans="152:167">
      <c r="EV1404" s="28">
        <f t="shared" si="43"/>
        <v>0</v>
      </c>
      <c r="FH1404" s="29" t="str">
        <f t="shared" si="44"/>
        <v/>
      </c>
      <c r="FJ1404" s="36" t="str">
        <f>IF($FH1404="","",SUM($FN1404:$FN$7000))</f>
        <v/>
      </c>
      <c r="FK1404" s="36" t="str">
        <f>IF($FH1404="","",SUM($FN1404:$FN$7000))</f>
        <v/>
      </c>
    </row>
    <row r="1405" spans="152:167">
      <c r="EV1405" s="28">
        <f t="shared" si="43"/>
        <v>0</v>
      </c>
      <c r="FH1405" s="29" t="str">
        <f t="shared" si="44"/>
        <v/>
      </c>
      <c r="FJ1405" s="36" t="str">
        <f>IF($FH1405="","",SUM($FN1405:$FN$7000))</f>
        <v/>
      </c>
      <c r="FK1405" s="36" t="str">
        <f>IF($FH1405="","",SUM($FN1405:$FN$7000))</f>
        <v/>
      </c>
    </row>
    <row r="1406" spans="152:167">
      <c r="EV1406" s="28">
        <f t="shared" si="43"/>
        <v>0</v>
      </c>
      <c r="FH1406" s="29" t="str">
        <f t="shared" si="44"/>
        <v/>
      </c>
      <c r="FJ1406" s="36" t="str">
        <f>IF($FH1406="","",SUM($FN1406:$FN$7000))</f>
        <v/>
      </c>
      <c r="FK1406" s="36" t="str">
        <f>IF($FH1406="","",SUM($FN1406:$FN$7000))</f>
        <v/>
      </c>
    </row>
    <row r="1407" spans="152:167">
      <c r="EV1407" s="28">
        <f t="shared" si="43"/>
        <v>0</v>
      </c>
      <c r="FH1407" s="29" t="str">
        <f t="shared" si="44"/>
        <v/>
      </c>
      <c r="FJ1407" s="36" t="str">
        <f>IF($FH1407="","",SUM($FN1407:$FN$7000))</f>
        <v/>
      </c>
      <c r="FK1407" s="36" t="str">
        <f>IF($FH1407="","",SUM($FN1407:$FN$7000))</f>
        <v/>
      </c>
    </row>
    <row r="1408" spans="152:167">
      <c r="EV1408" s="28">
        <f t="shared" si="43"/>
        <v>0</v>
      </c>
      <c r="FH1408" s="29" t="str">
        <f t="shared" si="44"/>
        <v/>
      </c>
      <c r="FJ1408" s="36" t="str">
        <f>IF($FH1408="","",SUM($FN1408:$FN$7000))</f>
        <v/>
      </c>
      <c r="FK1408" s="36" t="str">
        <f>IF($FH1408="","",SUM($FN1408:$FN$7000))</f>
        <v/>
      </c>
    </row>
    <row r="1409" spans="152:167">
      <c r="EV1409" s="28">
        <f t="shared" si="43"/>
        <v>0</v>
      </c>
      <c r="FH1409" s="29" t="str">
        <f t="shared" si="44"/>
        <v/>
      </c>
      <c r="FJ1409" s="36" t="str">
        <f>IF($FH1409="","",SUM($FN1409:$FN$7000))</f>
        <v/>
      </c>
      <c r="FK1409" s="36" t="str">
        <f>IF($FH1409="","",SUM($FN1409:$FN$7000))</f>
        <v/>
      </c>
    </row>
    <row r="1410" spans="152:167">
      <c r="EV1410" s="28">
        <f t="shared" si="43"/>
        <v>0</v>
      </c>
      <c r="FH1410" s="29" t="str">
        <f t="shared" si="44"/>
        <v/>
      </c>
      <c r="FJ1410" s="36" t="str">
        <f>IF($FH1410="","",SUM($FN1410:$FN$7000))</f>
        <v/>
      </c>
      <c r="FK1410" s="36" t="str">
        <f>IF($FH1410="","",SUM($FN1410:$FN$7000))</f>
        <v/>
      </c>
    </row>
    <row r="1411" spans="152:167">
      <c r="EV1411" s="28">
        <f t="shared" si="43"/>
        <v>0</v>
      </c>
      <c r="FH1411" s="29" t="str">
        <f t="shared" si="44"/>
        <v/>
      </c>
      <c r="FJ1411" s="36" t="str">
        <f>IF($FH1411="","",SUM($FN1411:$FN$7000))</f>
        <v/>
      </c>
      <c r="FK1411" s="36" t="str">
        <f>IF($FH1411="","",SUM($FN1411:$FN$7000))</f>
        <v/>
      </c>
    </row>
    <row r="1412" spans="152:167">
      <c r="EV1412" s="28">
        <f t="shared" si="43"/>
        <v>0</v>
      </c>
      <c r="FH1412" s="29" t="str">
        <f t="shared" si="44"/>
        <v/>
      </c>
      <c r="FJ1412" s="36" t="str">
        <f>IF($FH1412="","",SUM($FN1412:$FN$7000))</f>
        <v/>
      </c>
      <c r="FK1412" s="36" t="str">
        <f>IF($FH1412="","",SUM($FN1412:$FN$7000))</f>
        <v/>
      </c>
    </row>
    <row r="1413" spans="152:167">
      <c r="EV1413" s="28">
        <f t="shared" si="43"/>
        <v>0</v>
      </c>
      <c r="FH1413" s="29" t="str">
        <f t="shared" si="44"/>
        <v/>
      </c>
      <c r="FJ1413" s="36" t="str">
        <f>IF($FH1413="","",SUM($FN1413:$FN$7000))</f>
        <v/>
      </c>
      <c r="FK1413" s="36" t="str">
        <f>IF($FH1413="","",SUM($FN1413:$FN$7000))</f>
        <v/>
      </c>
    </row>
    <row r="1414" spans="152:167">
      <c r="EV1414" s="28">
        <f t="shared" si="43"/>
        <v>0</v>
      </c>
      <c r="FH1414" s="29" t="str">
        <f t="shared" si="44"/>
        <v/>
      </c>
      <c r="FJ1414" s="36" t="str">
        <f>IF($FH1414="","",SUM($FN1414:$FN$7000))</f>
        <v/>
      </c>
      <c r="FK1414" s="36" t="str">
        <f>IF($FH1414="","",SUM($FN1414:$FN$7000))</f>
        <v/>
      </c>
    </row>
    <row r="1415" spans="152:167">
      <c r="EV1415" s="28">
        <f t="shared" si="43"/>
        <v>0</v>
      </c>
      <c r="FH1415" s="29" t="str">
        <f t="shared" si="44"/>
        <v/>
      </c>
      <c r="FJ1415" s="36" t="str">
        <f>IF($FH1415="","",SUM($FN1415:$FN$7000))</f>
        <v/>
      </c>
      <c r="FK1415" s="36" t="str">
        <f>IF($FH1415="","",SUM($FN1415:$FN$7000))</f>
        <v/>
      </c>
    </row>
    <row r="1416" spans="152:167">
      <c r="EV1416" s="28">
        <f t="shared" si="43"/>
        <v>0</v>
      </c>
      <c r="FH1416" s="29" t="str">
        <f t="shared" si="44"/>
        <v/>
      </c>
      <c r="FJ1416" s="36" t="str">
        <f>IF($FH1416="","",SUM($FN1416:$FN$7000))</f>
        <v/>
      </c>
      <c r="FK1416" s="36" t="str">
        <f>IF($FH1416="","",SUM($FN1416:$FN$7000))</f>
        <v/>
      </c>
    </row>
    <row r="1417" spans="152:167">
      <c r="EV1417" s="28">
        <f t="shared" si="43"/>
        <v>0</v>
      </c>
      <c r="FH1417" s="29" t="str">
        <f t="shared" si="44"/>
        <v/>
      </c>
      <c r="FJ1417" s="36" t="str">
        <f>IF($FH1417="","",SUM($FN1417:$FN$7000))</f>
        <v/>
      </c>
      <c r="FK1417" s="36" t="str">
        <f>IF($FH1417="","",SUM($FN1417:$FN$7000))</f>
        <v/>
      </c>
    </row>
    <row r="1418" spans="152:167">
      <c r="EV1418" s="28">
        <f t="shared" si="43"/>
        <v>0</v>
      </c>
      <c r="FH1418" s="29" t="str">
        <f t="shared" si="44"/>
        <v/>
      </c>
      <c r="FJ1418" s="36" t="str">
        <f>IF($FH1418="","",SUM($FN1418:$FN$7000))</f>
        <v/>
      </c>
      <c r="FK1418" s="36" t="str">
        <f>IF($FH1418="","",SUM($FN1418:$FN$7000))</f>
        <v/>
      </c>
    </row>
    <row r="1419" spans="152:167">
      <c r="EV1419" s="28">
        <f t="shared" ref="EV1419:EV1482" si="45">EU1419-ET1419</f>
        <v>0</v>
      </c>
      <c r="FH1419" s="29" t="str">
        <f t="shared" ref="FH1419:FH1482" si="46">IF(FL1419="","",FL1419)</f>
        <v/>
      </c>
      <c r="FJ1419" s="36" t="str">
        <f>IF($FH1419="","",SUM($FN1419:$FN$7000))</f>
        <v/>
      </c>
      <c r="FK1419" s="36" t="str">
        <f>IF($FH1419="","",SUM($FN1419:$FN$7000))</f>
        <v/>
      </c>
    </row>
    <row r="1420" spans="152:167">
      <c r="EV1420" s="28">
        <f t="shared" si="45"/>
        <v>0</v>
      </c>
      <c r="FH1420" s="29" t="str">
        <f t="shared" si="46"/>
        <v/>
      </c>
      <c r="FJ1420" s="36" t="str">
        <f>IF($FH1420="","",SUM($FN1420:$FN$7000))</f>
        <v/>
      </c>
      <c r="FK1420" s="36" t="str">
        <f>IF($FH1420="","",SUM($FN1420:$FN$7000))</f>
        <v/>
      </c>
    </row>
    <row r="1421" spans="152:167">
      <c r="EV1421" s="28">
        <f t="shared" si="45"/>
        <v>0</v>
      </c>
      <c r="FH1421" s="29" t="str">
        <f t="shared" si="46"/>
        <v/>
      </c>
      <c r="FJ1421" s="36" t="str">
        <f>IF($FH1421="","",SUM($FN1421:$FN$7000))</f>
        <v/>
      </c>
      <c r="FK1421" s="36" t="str">
        <f>IF($FH1421="","",SUM($FN1421:$FN$7000))</f>
        <v/>
      </c>
    </row>
    <row r="1422" spans="152:167">
      <c r="EV1422" s="28">
        <f t="shared" si="45"/>
        <v>0</v>
      </c>
      <c r="FH1422" s="29" t="str">
        <f t="shared" si="46"/>
        <v/>
      </c>
      <c r="FJ1422" s="36" t="str">
        <f>IF($FH1422="","",SUM($FN1422:$FN$7000))</f>
        <v/>
      </c>
      <c r="FK1422" s="36" t="str">
        <f>IF($FH1422="","",SUM($FN1422:$FN$7000))</f>
        <v/>
      </c>
    </row>
    <row r="1423" spans="152:167">
      <c r="EV1423" s="28">
        <f t="shared" si="45"/>
        <v>0</v>
      </c>
      <c r="FH1423" s="29" t="str">
        <f t="shared" si="46"/>
        <v/>
      </c>
      <c r="FJ1423" s="36" t="str">
        <f>IF($FH1423="","",SUM($FN1423:$FN$7000))</f>
        <v/>
      </c>
      <c r="FK1423" s="36" t="str">
        <f>IF($FH1423="","",SUM($FN1423:$FN$7000))</f>
        <v/>
      </c>
    </row>
    <row r="1424" spans="152:167">
      <c r="EV1424" s="28">
        <f t="shared" si="45"/>
        <v>0</v>
      </c>
      <c r="FH1424" s="29" t="str">
        <f t="shared" si="46"/>
        <v/>
      </c>
      <c r="FJ1424" s="36" t="str">
        <f>IF($FH1424="","",SUM($FN1424:$FN$7000))</f>
        <v/>
      </c>
      <c r="FK1424" s="36" t="str">
        <f>IF($FH1424="","",SUM($FN1424:$FN$7000))</f>
        <v/>
      </c>
    </row>
    <row r="1425" spans="152:167">
      <c r="EV1425" s="28">
        <f t="shared" si="45"/>
        <v>0</v>
      </c>
      <c r="FH1425" s="29" t="str">
        <f t="shared" si="46"/>
        <v/>
      </c>
      <c r="FJ1425" s="36" t="str">
        <f>IF($FH1425="","",SUM($FN1425:$FN$7000))</f>
        <v/>
      </c>
      <c r="FK1425" s="36" t="str">
        <f>IF($FH1425="","",SUM($FN1425:$FN$7000))</f>
        <v/>
      </c>
    </row>
    <row r="1426" spans="152:167">
      <c r="EV1426" s="28">
        <f t="shared" si="45"/>
        <v>0</v>
      </c>
      <c r="FH1426" s="29" t="str">
        <f t="shared" si="46"/>
        <v/>
      </c>
      <c r="FJ1426" s="36" t="str">
        <f>IF($FH1426="","",SUM($FN1426:$FN$7000))</f>
        <v/>
      </c>
      <c r="FK1426" s="36" t="str">
        <f>IF($FH1426="","",SUM($FN1426:$FN$7000))</f>
        <v/>
      </c>
    </row>
    <row r="1427" spans="152:167">
      <c r="EV1427" s="28">
        <f t="shared" si="45"/>
        <v>0</v>
      </c>
      <c r="FH1427" s="29" t="str">
        <f t="shared" si="46"/>
        <v/>
      </c>
      <c r="FJ1427" s="36" t="str">
        <f>IF($FH1427="","",SUM($FN1427:$FN$7000))</f>
        <v/>
      </c>
      <c r="FK1427" s="36" t="str">
        <f>IF($FH1427="","",SUM($FN1427:$FN$7000))</f>
        <v/>
      </c>
    </row>
    <row r="1428" spans="152:167">
      <c r="EV1428" s="28">
        <f t="shared" si="45"/>
        <v>0</v>
      </c>
      <c r="FH1428" s="29" t="str">
        <f t="shared" si="46"/>
        <v/>
      </c>
      <c r="FJ1428" s="36" t="str">
        <f>IF($FH1428="","",SUM($FN1428:$FN$7000))</f>
        <v/>
      </c>
      <c r="FK1428" s="36" t="str">
        <f>IF($FH1428="","",SUM($FN1428:$FN$7000))</f>
        <v/>
      </c>
    </row>
    <row r="1429" spans="152:167">
      <c r="EV1429" s="28">
        <f t="shared" si="45"/>
        <v>0</v>
      </c>
      <c r="FH1429" s="29" t="str">
        <f t="shared" si="46"/>
        <v/>
      </c>
      <c r="FJ1429" s="36" t="str">
        <f>IF($FH1429="","",SUM($FN1429:$FN$7000))</f>
        <v/>
      </c>
      <c r="FK1429" s="36" t="str">
        <f>IF($FH1429="","",SUM($FN1429:$FN$7000))</f>
        <v/>
      </c>
    </row>
    <row r="1430" spans="152:167">
      <c r="EV1430" s="28">
        <f t="shared" si="45"/>
        <v>0</v>
      </c>
      <c r="FH1430" s="29" t="str">
        <f t="shared" si="46"/>
        <v/>
      </c>
      <c r="FJ1430" s="36" t="str">
        <f>IF($FH1430="","",SUM($FN1430:$FN$7000))</f>
        <v/>
      </c>
      <c r="FK1430" s="36" t="str">
        <f>IF($FH1430="","",SUM($FN1430:$FN$7000))</f>
        <v/>
      </c>
    </row>
    <row r="1431" spans="152:167">
      <c r="EV1431" s="28">
        <f t="shared" si="45"/>
        <v>0</v>
      </c>
      <c r="FH1431" s="29" t="str">
        <f t="shared" si="46"/>
        <v/>
      </c>
      <c r="FJ1431" s="36" t="str">
        <f>IF($FH1431="","",SUM($FN1431:$FN$7000))</f>
        <v/>
      </c>
      <c r="FK1431" s="36" t="str">
        <f>IF($FH1431="","",SUM($FN1431:$FN$7000))</f>
        <v/>
      </c>
    </row>
    <row r="1432" spans="152:167">
      <c r="EV1432" s="28">
        <f t="shared" si="45"/>
        <v>0</v>
      </c>
      <c r="FH1432" s="29" t="str">
        <f t="shared" si="46"/>
        <v/>
      </c>
      <c r="FJ1432" s="36" t="str">
        <f>IF($FH1432="","",SUM($FN1432:$FN$7000))</f>
        <v/>
      </c>
      <c r="FK1432" s="36" t="str">
        <f>IF($FH1432="","",SUM($FN1432:$FN$7000))</f>
        <v/>
      </c>
    </row>
    <row r="1433" spans="152:167">
      <c r="EV1433" s="28">
        <f t="shared" si="45"/>
        <v>0</v>
      </c>
      <c r="FH1433" s="29" t="str">
        <f t="shared" si="46"/>
        <v/>
      </c>
      <c r="FJ1433" s="36" t="str">
        <f>IF($FH1433="","",SUM($FN1433:$FN$7000))</f>
        <v/>
      </c>
      <c r="FK1433" s="36" t="str">
        <f>IF($FH1433="","",SUM($FN1433:$FN$7000))</f>
        <v/>
      </c>
    </row>
    <row r="1434" spans="152:167">
      <c r="EV1434" s="28">
        <f t="shared" si="45"/>
        <v>0</v>
      </c>
      <c r="FH1434" s="29" t="str">
        <f t="shared" si="46"/>
        <v/>
      </c>
      <c r="FJ1434" s="36" t="str">
        <f>IF($FH1434="","",SUM($FN1434:$FN$7000))</f>
        <v/>
      </c>
      <c r="FK1434" s="36" t="str">
        <f>IF($FH1434="","",SUM($FN1434:$FN$7000))</f>
        <v/>
      </c>
    </row>
    <row r="1435" spans="152:167">
      <c r="EV1435" s="28">
        <f t="shared" si="45"/>
        <v>0</v>
      </c>
      <c r="FH1435" s="29" t="str">
        <f t="shared" si="46"/>
        <v/>
      </c>
      <c r="FJ1435" s="36" t="str">
        <f>IF($FH1435="","",SUM($FN1435:$FN$7000))</f>
        <v/>
      </c>
      <c r="FK1435" s="36" t="str">
        <f>IF($FH1435="","",SUM($FN1435:$FN$7000))</f>
        <v/>
      </c>
    </row>
    <row r="1436" spans="152:167">
      <c r="EV1436" s="28">
        <f t="shared" si="45"/>
        <v>0</v>
      </c>
      <c r="FH1436" s="29" t="str">
        <f t="shared" si="46"/>
        <v/>
      </c>
      <c r="FJ1436" s="36" t="str">
        <f>IF($FH1436="","",SUM($FN1436:$FN$7000))</f>
        <v/>
      </c>
      <c r="FK1436" s="36" t="str">
        <f>IF($FH1436="","",SUM($FN1436:$FN$7000))</f>
        <v/>
      </c>
    </row>
    <row r="1437" spans="152:167">
      <c r="EV1437" s="28">
        <f t="shared" si="45"/>
        <v>0</v>
      </c>
      <c r="FH1437" s="29" t="str">
        <f t="shared" si="46"/>
        <v/>
      </c>
      <c r="FJ1437" s="36" t="str">
        <f>IF($FH1437="","",SUM($FN1437:$FN$7000))</f>
        <v/>
      </c>
      <c r="FK1437" s="36" t="str">
        <f>IF($FH1437="","",SUM($FN1437:$FN$7000))</f>
        <v/>
      </c>
    </row>
    <row r="1438" spans="152:167">
      <c r="EV1438" s="28">
        <f t="shared" si="45"/>
        <v>0</v>
      </c>
      <c r="FH1438" s="29" t="str">
        <f t="shared" si="46"/>
        <v/>
      </c>
      <c r="FJ1438" s="36" t="str">
        <f>IF($FH1438="","",SUM($FN1438:$FN$7000))</f>
        <v/>
      </c>
      <c r="FK1438" s="36" t="str">
        <f>IF($FH1438="","",SUM($FN1438:$FN$7000))</f>
        <v/>
      </c>
    </row>
    <row r="1439" spans="152:167">
      <c r="EV1439" s="28">
        <f t="shared" si="45"/>
        <v>0</v>
      </c>
      <c r="FH1439" s="29" t="str">
        <f t="shared" si="46"/>
        <v/>
      </c>
      <c r="FJ1439" s="36" t="str">
        <f>IF($FH1439="","",SUM($FN1439:$FN$7000))</f>
        <v/>
      </c>
      <c r="FK1439" s="36" t="str">
        <f>IF($FH1439="","",SUM($FN1439:$FN$7000))</f>
        <v/>
      </c>
    </row>
    <row r="1440" spans="152:167">
      <c r="EV1440" s="28">
        <f t="shared" si="45"/>
        <v>0</v>
      </c>
      <c r="FH1440" s="29" t="str">
        <f t="shared" si="46"/>
        <v/>
      </c>
      <c r="FJ1440" s="36" t="str">
        <f>IF($FH1440="","",SUM($FN1440:$FN$7000))</f>
        <v/>
      </c>
      <c r="FK1440" s="36" t="str">
        <f>IF($FH1440="","",SUM($FN1440:$FN$7000))</f>
        <v/>
      </c>
    </row>
    <row r="1441" spans="152:167">
      <c r="EV1441" s="28">
        <f t="shared" si="45"/>
        <v>0</v>
      </c>
      <c r="FH1441" s="29" t="str">
        <f t="shared" si="46"/>
        <v/>
      </c>
      <c r="FJ1441" s="36" t="str">
        <f>IF($FH1441="","",SUM($FN1441:$FN$7000))</f>
        <v/>
      </c>
      <c r="FK1441" s="36" t="str">
        <f>IF($FH1441="","",SUM($FN1441:$FN$7000))</f>
        <v/>
      </c>
    </row>
    <row r="1442" spans="152:167">
      <c r="EV1442" s="28">
        <f t="shared" si="45"/>
        <v>0</v>
      </c>
      <c r="FH1442" s="29" t="str">
        <f t="shared" si="46"/>
        <v/>
      </c>
      <c r="FJ1442" s="36" t="str">
        <f>IF($FH1442="","",SUM($FN1442:$FN$7000))</f>
        <v/>
      </c>
      <c r="FK1442" s="36" t="str">
        <f>IF($FH1442="","",SUM($FN1442:$FN$7000))</f>
        <v/>
      </c>
    </row>
    <row r="1443" spans="152:167">
      <c r="EV1443" s="28">
        <f t="shared" si="45"/>
        <v>0</v>
      </c>
      <c r="FH1443" s="29" t="str">
        <f t="shared" si="46"/>
        <v/>
      </c>
      <c r="FJ1443" s="36" t="str">
        <f>IF($FH1443="","",SUM($FN1443:$FN$7000))</f>
        <v/>
      </c>
      <c r="FK1443" s="36" t="str">
        <f>IF($FH1443="","",SUM($FN1443:$FN$7000))</f>
        <v/>
      </c>
    </row>
    <row r="1444" spans="152:167">
      <c r="EV1444" s="28">
        <f t="shared" si="45"/>
        <v>0</v>
      </c>
      <c r="FH1444" s="29" t="str">
        <f t="shared" si="46"/>
        <v/>
      </c>
      <c r="FJ1444" s="36" t="str">
        <f>IF($FH1444="","",SUM($FN1444:$FN$7000))</f>
        <v/>
      </c>
      <c r="FK1444" s="36" t="str">
        <f>IF($FH1444="","",SUM($FN1444:$FN$7000))</f>
        <v/>
      </c>
    </row>
    <row r="1445" spans="152:167">
      <c r="EV1445" s="28">
        <f t="shared" si="45"/>
        <v>0</v>
      </c>
      <c r="FH1445" s="29" t="str">
        <f t="shared" si="46"/>
        <v/>
      </c>
      <c r="FJ1445" s="36" t="str">
        <f>IF($FH1445="","",SUM($FN1445:$FN$7000))</f>
        <v/>
      </c>
      <c r="FK1445" s="36" t="str">
        <f>IF($FH1445="","",SUM($FN1445:$FN$7000))</f>
        <v/>
      </c>
    </row>
    <row r="1446" spans="152:167">
      <c r="EV1446" s="28">
        <f t="shared" si="45"/>
        <v>0</v>
      </c>
      <c r="FH1446" s="29" t="str">
        <f t="shared" si="46"/>
        <v/>
      </c>
      <c r="FJ1446" s="36" t="str">
        <f>IF($FH1446="","",SUM($FN1446:$FN$7000))</f>
        <v/>
      </c>
      <c r="FK1446" s="36" t="str">
        <f>IF($FH1446="","",SUM($FN1446:$FN$7000))</f>
        <v/>
      </c>
    </row>
    <row r="1447" spans="152:167">
      <c r="EV1447" s="28">
        <f t="shared" si="45"/>
        <v>0</v>
      </c>
      <c r="FH1447" s="29" t="str">
        <f t="shared" si="46"/>
        <v/>
      </c>
      <c r="FJ1447" s="36" t="str">
        <f>IF($FH1447="","",SUM($FN1447:$FN$7000))</f>
        <v/>
      </c>
      <c r="FK1447" s="36" t="str">
        <f>IF($FH1447="","",SUM($FN1447:$FN$7000))</f>
        <v/>
      </c>
    </row>
    <row r="1448" spans="152:167">
      <c r="EV1448" s="28">
        <f t="shared" si="45"/>
        <v>0</v>
      </c>
      <c r="FH1448" s="29" t="str">
        <f t="shared" si="46"/>
        <v/>
      </c>
      <c r="FJ1448" s="36" t="str">
        <f>IF($FH1448="","",SUM($FN1448:$FN$7000))</f>
        <v/>
      </c>
      <c r="FK1448" s="36" t="str">
        <f>IF($FH1448="","",SUM($FN1448:$FN$7000))</f>
        <v/>
      </c>
    </row>
    <row r="1449" spans="152:167">
      <c r="EV1449" s="28">
        <f t="shared" si="45"/>
        <v>0</v>
      </c>
      <c r="FH1449" s="29" t="str">
        <f t="shared" si="46"/>
        <v/>
      </c>
      <c r="FJ1449" s="36" t="str">
        <f>IF($FH1449="","",SUM($FN1449:$FN$7000))</f>
        <v/>
      </c>
      <c r="FK1449" s="36" t="str">
        <f>IF($FH1449="","",SUM($FN1449:$FN$7000))</f>
        <v/>
      </c>
    </row>
    <row r="1450" spans="152:167">
      <c r="EV1450" s="28">
        <f t="shared" si="45"/>
        <v>0</v>
      </c>
      <c r="FH1450" s="29" t="str">
        <f t="shared" si="46"/>
        <v/>
      </c>
      <c r="FJ1450" s="36" t="str">
        <f>IF($FH1450="","",SUM($FN1450:$FN$7000))</f>
        <v/>
      </c>
      <c r="FK1450" s="36" t="str">
        <f>IF($FH1450="","",SUM($FN1450:$FN$7000))</f>
        <v/>
      </c>
    </row>
    <row r="1451" spans="152:167">
      <c r="EV1451" s="28">
        <f t="shared" si="45"/>
        <v>0</v>
      </c>
      <c r="FH1451" s="29" t="str">
        <f t="shared" si="46"/>
        <v/>
      </c>
      <c r="FJ1451" s="36" t="str">
        <f>IF($FH1451="","",SUM($FN1451:$FN$7000))</f>
        <v/>
      </c>
      <c r="FK1451" s="36" t="str">
        <f>IF($FH1451="","",SUM($FN1451:$FN$7000))</f>
        <v/>
      </c>
    </row>
    <row r="1452" spans="152:167">
      <c r="EV1452" s="28">
        <f t="shared" si="45"/>
        <v>0</v>
      </c>
      <c r="FH1452" s="29" t="str">
        <f t="shared" si="46"/>
        <v/>
      </c>
      <c r="FJ1452" s="36" t="str">
        <f>IF($FH1452="","",SUM($FN1452:$FN$7000))</f>
        <v/>
      </c>
      <c r="FK1452" s="36" t="str">
        <f>IF($FH1452="","",SUM($FN1452:$FN$7000))</f>
        <v/>
      </c>
    </row>
    <row r="1453" spans="152:167">
      <c r="EV1453" s="28">
        <f t="shared" si="45"/>
        <v>0</v>
      </c>
      <c r="FH1453" s="29" t="str">
        <f t="shared" si="46"/>
        <v/>
      </c>
      <c r="FJ1453" s="36" t="str">
        <f>IF($FH1453="","",SUM($FN1453:$FN$7000))</f>
        <v/>
      </c>
      <c r="FK1453" s="36" t="str">
        <f>IF($FH1453="","",SUM($FN1453:$FN$7000))</f>
        <v/>
      </c>
    </row>
    <row r="1454" spans="152:167">
      <c r="EV1454" s="28">
        <f t="shared" si="45"/>
        <v>0</v>
      </c>
      <c r="FH1454" s="29" t="str">
        <f t="shared" si="46"/>
        <v/>
      </c>
      <c r="FJ1454" s="36" t="str">
        <f>IF($FH1454="","",SUM($FN1454:$FN$7000))</f>
        <v/>
      </c>
      <c r="FK1454" s="36" t="str">
        <f>IF($FH1454="","",SUM($FN1454:$FN$7000))</f>
        <v/>
      </c>
    </row>
    <row r="1455" spans="152:167">
      <c r="EV1455" s="28">
        <f t="shared" si="45"/>
        <v>0</v>
      </c>
      <c r="FH1455" s="29" t="str">
        <f t="shared" si="46"/>
        <v/>
      </c>
      <c r="FJ1455" s="36" t="str">
        <f>IF($FH1455="","",SUM($FN1455:$FN$7000))</f>
        <v/>
      </c>
      <c r="FK1455" s="36" t="str">
        <f>IF($FH1455="","",SUM($FN1455:$FN$7000))</f>
        <v/>
      </c>
    </row>
    <row r="1456" spans="152:167">
      <c r="EV1456" s="28">
        <f t="shared" si="45"/>
        <v>0</v>
      </c>
      <c r="FH1456" s="29" t="str">
        <f t="shared" si="46"/>
        <v/>
      </c>
      <c r="FJ1456" s="36" t="str">
        <f>IF($FH1456="","",SUM($FN1456:$FN$7000))</f>
        <v/>
      </c>
      <c r="FK1456" s="36" t="str">
        <f>IF($FH1456="","",SUM($FN1456:$FN$7000))</f>
        <v/>
      </c>
    </row>
    <row r="1457" spans="152:167">
      <c r="EV1457" s="28">
        <f t="shared" si="45"/>
        <v>0</v>
      </c>
      <c r="FH1457" s="29" t="str">
        <f t="shared" si="46"/>
        <v/>
      </c>
      <c r="FJ1457" s="36" t="str">
        <f>IF($FH1457="","",SUM($FN1457:$FN$7000))</f>
        <v/>
      </c>
      <c r="FK1457" s="36" t="str">
        <f>IF($FH1457="","",SUM($FN1457:$FN$7000))</f>
        <v/>
      </c>
    </row>
    <row r="1458" spans="152:167">
      <c r="EV1458" s="28">
        <f t="shared" si="45"/>
        <v>0</v>
      </c>
      <c r="FH1458" s="29" t="str">
        <f t="shared" si="46"/>
        <v/>
      </c>
      <c r="FJ1458" s="36" t="str">
        <f>IF($FH1458="","",SUM($FN1458:$FN$7000))</f>
        <v/>
      </c>
      <c r="FK1458" s="36" t="str">
        <f>IF($FH1458="","",SUM($FN1458:$FN$7000))</f>
        <v/>
      </c>
    </row>
    <row r="1459" spans="152:167">
      <c r="EV1459" s="28">
        <f t="shared" si="45"/>
        <v>0</v>
      </c>
      <c r="FH1459" s="29" t="str">
        <f t="shared" si="46"/>
        <v/>
      </c>
      <c r="FJ1459" s="36" t="str">
        <f>IF($FH1459="","",SUM($FN1459:$FN$7000))</f>
        <v/>
      </c>
      <c r="FK1459" s="36" t="str">
        <f>IF($FH1459="","",SUM($FN1459:$FN$7000))</f>
        <v/>
      </c>
    </row>
    <row r="1460" spans="152:167">
      <c r="EV1460" s="28">
        <f t="shared" si="45"/>
        <v>0</v>
      </c>
      <c r="FH1460" s="29" t="str">
        <f t="shared" si="46"/>
        <v/>
      </c>
      <c r="FJ1460" s="36" t="str">
        <f>IF($FH1460="","",SUM($FN1460:$FN$7000))</f>
        <v/>
      </c>
      <c r="FK1460" s="36" t="str">
        <f>IF($FH1460="","",SUM($FN1460:$FN$7000))</f>
        <v/>
      </c>
    </row>
    <row r="1461" spans="152:167">
      <c r="EV1461" s="28">
        <f t="shared" si="45"/>
        <v>0</v>
      </c>
      <c r="FH1461" s="29" t="str">
        <f t="shared" si="46"/>
        <v/>
      </c>
      <c r="FJ1461" s="36" t="str">
        <f>IF($FH1461="","",SUM($FN1461:$FN$7000))</f>
        <v/>
      </c>
      <c r="FK1461" s="36" t="str">
        <f>IF($FH1461="","",SUM($FN1461:$FN$7000))</f>
        <v/>
      </c>
    </row>
    <row r="1462" spans="152:167">
      <c r="EV1462" s="28">
        <f t="shared" si="45"/>
        <v>0</v>
      </c>
      <c r="FH1462" s="29" t="str">
        <f t="shared" si="46"/>
        <v/>
      </c>
      <c r="FJ1462" s="36" t="str">
        <f>IF($FH1462="","",SUM($FN1462:$FN$7000))</f>
        <v/>
      </c>
      <c r="FK1462" s="36" t="str">
        <f>IF($FH1462="","",SUM($FN1462:$FN$7000))</f>
        <v/>
      </c>
    </row>
    <row r="1463" spans="152:167">
      <c r="EV1463" s="28">
        <f t="shared" si="45"/>
        <v>0</v>
      </c>
      <c r="FH1463" s="29" t="str">
        <f t="shared" si="46"/>
        <v/>
      </c>
      <c r="FJ1463" s="36" t="str">
        <f>IF($FH1463="","",SUM($FN1463:$FN$7000))</f>
        <v/>
      </c>
      <c r="FK1463" s="36" t="str">
        <f>IF($FH1463="","",SUM($FN1463:$FN$7000))</f>
        <v/>
      </c>
    </row>
    <row r="1464" spans="152:167">
      <c r="EV1464" s="28">
        <f t="shared" si="45"/>
        <v>0</v>
      </c>
      <c r="FH1464" s="29" t="str">
        <f t="shared" si="46"/>
        <v/>
      </c>
      <c r="FJ1464" s="36" t="str">
        <f>IF($FH1464="","",SUM($FN1464:$FN$7000))</f>
        <v/>
      </c>
      <c r="FK1464" s="36" t="str">
        <f>IF($FH1464="","",SUM($FN1464:$FN$7000))</f>
        <v/>
      </c>
    </row>
    <row r="1465" spans="152:167">
      <c r="EV1465" s="28">
        <f t="shared" si="45"/>
        <v>0</v>
      </c>
      <c r="FH1465" s="29" t="str">
        <f t="shared" si="46"/>
        <v/>
      </c>
      <c r="FJ1465" s="36" t="str">
        <f>IF($FH1465="","",SUM($FN1465:$FN$7000))</f>
        <v/>
      </c>
      <c r="FK1465" s="36" t="str">
        <f>IF($FH1465="","",SUM($FN1465:$FN$7000))</f>
        <v/>
      </c>
    </row>
    <row r="1466" spans="152:167">
      <c r="EV1466" s="28">
        <f t="shared" si="45"/>
        <v>0</v>
      </c>
      <c r="FH1466" s="29" t="str">
        <f t="shared" si="46"/>
        <v/>
      </c>
      <c r="FJ1466" s="36" t="str">
        <f>IF($FH1466="","",SUM($FN1466:$FN$7000))</f>
        <v/>
      </c>
      <c r="FK1466" s="36" t="str">
        <f>IF($FH1466="","",SUM($FN1466:$FN$7000))</f>
        <v/>
      </c>
    </row>
    <row r="1467" spans="152:167">
      <c r="EV1467" s="28">
        <f t="shared" si="45"/>
        <v>0</v>
      </c>
      <c r="FH1467" s="29" t="str">
        <f t="shared" si="46"/>
        <v/>
      </c>
      <c r="FJ1467" s="36" t="str">
        <f>IF($FH1467="","",SUM($FN1467:$FN$7000))</f>
        <v/>
      </c>
      <c r="FK1467" s="36" t="str">
        <f>IF($FH1467="","",SUM($FN1467:$FN$7000))</f>
        <v/>
      </c>
    </row>
    <row r="1468" spans="152:167">
      <c r="EV1468" s="28">
        <f t="shared" si="45"/>
        <v>0</v>
      </c>
      <c r="FH1468" s="29" t="str">
        <f t="shared" si="46"/>
        <v/>
      </c>
      <c r="FJ1468" s="36" t="str">
        <f>IF($FH1468="","",SUM($FN1468:$FN$7000))</f>
        <v/>
      </c>
      <c r="FK1468" s="36" t="str">
        <f>IF($FH1468="","",SUM($FN1468:$FN$7000))</f>
        <v/>
      </c>
    </row>
    <row r="1469" spans="152:167">
      <c r="EV1469" s="28">
        <f t="shared" si="45"/>
        <v>0</v>
      </c>
      <c r="FH1469" s="29" t="str">
        <f t="shared" si="46"/>
        <v/>
      </c>
      <c r="FJ1469" s="36" t="str">
        <f>IF($FH1469="","",SUM($FN1469:$FN$7000))</f>
        <v/>
      </c>
      <c r="FK1469" s="36" t="str">
        <f>IF($FH1469="","",SUM($FN1469:$FN$7000))</f>
        <v/>
      </c>
    </row>
    <row r="1470" spans="152:167">
      <c r="EV1470" s="28">
        <f t="shared" si="45"/>
        <v>0</v>
      </c>
      <c r="FH1470" s="29" t="str">
        <f t="shared" si="46"/>
        <v/>
      </c>
      <c r="FJ1470" s="36" t="str">
        <f>IF($FH1470="","",SUM($FN1470:$FN$7000))</f>
        <v/>
      </c>
      <c r="FK1470" s="36" t="str">
        <f>IF($FH1470="","",SUM($FN1470:$FN$7000))</f>
        <v/>
      </c>
    </row>
    <row r="1471" spans="152:167">
      <c r="EV1471" s="28">
        <f t="shared" si="45"/>
        <v>0</v>
      </c>
      <c r="FH1471" s="29" t="str">
        <f t="shared" si="46"/>
        <v/>
      </c>
      <c r="FJ1471" s="36" t="str">
        <f>IF($FH1471="","",SUM($FN1471:$FN$7000))</f>
        <v/>
      </c>
      <c r="FK1471" s="36" t="str">
        <f>IF($FH1471="","",SUM($FN1471:$FN$7000))</f>
        <v/>
      </c>
    </row>
    <row r="1472" spans="152:167">
      <c r="EV1472" s="28">
        <f t="shared" si="45"/>
        <v>0</v>
      </c>
      <c r="FH1472" s="29" t="str">
        <f t="shared" si="46"/>
        <v/>
      </c>
      <c r="FJ1472" s="36" t="str">
        <f>IF($FH1472="","",SUM($FN1472:$FN$7000))</f>
        <v/>
      </c>
      <c r="FK1472" s="36" t="str">
        <f>IF($FH1472="","",SUM($FN1472:$FN$7000))</f>
        <v/>
      </c>
    </row>
    <row r="1473" spans="152:167">
      <c r="EV1473" s="28">
        <f t="shared" si="45"/>
        <v>0</v>
      </c>
      <c r="FH1473" s="29" t="str">
        <f t="shared" si="46"/>
        <v/>
      </c>
      <c r="FJ1473" s="36" t="str">
        <f>IF($FH1473="","",SUM($FN1473:$FN$7000))</f>
        <v/>
      </c>
      <c r="FK1473" s="36" t="str">
        <f>IF($FH1473="","",SUM($FN1473:$FN$7000))</f>
        <v/>
      </c>
    </row>
    <row r="1474" spans="152:167">
      <c r="EV1474" s="28">
        <f t="shared" si="45"/>
        <v>0</v>
      </c>
      <c r="FH1474" s="29" t="str">
        <f t="shared" si="46"/>
        <v/>
      </c>
      <c r="FJ1474" s="36" t="str">
        <f>IF($FH1474="","",SUM($FN1474:$FN$7000))</f>
        <v/>
      </c>
      <c r="FK1474" s="36" t="str">
        <f>IF($FH1474="","",SUM($FN1474:$FN$7000))</f>
        <v/>
      </c>
    </row>
    <row r="1475" spans="152:167">
      <c r="EV1475" s="28">
        <f t="shared" si="45"/>
        <v>0</v>
      </c>
      <c r="FH1475" s="29" t="str">
        <f t="shared" si="46"/>
        <v/>
      </c>
      <c r="FJ1475" s="36" t="str">
        <f>IF($FH1475="","",SUM($FN1475:$FN$7000))</f>
        <v/>
      </c>
      <c r="FK1475" s="36" t="str">
        <f>IF($FH1475="","",SUM($FN1475:$FN$7000))</f>
        <v/>
      </c>
    </row>
    <row r="1476" spans="152:167">
      <c r="EV1476" s="28">
        <f t="shared" si="45"/>
        <v>0</v>
      </c>
      <c r="FH1476" s="29" t="str">
        <f t="shared" si="46"/>
        <v/>
      </c>
      <c r="FJ1476" s="36" t="str">
        <f>IF($FH1476="","",SUM($FN1476:$FN$7000))</f>
        <v/>
      </c>
      <c r="FK1476" s="36" t="str">
        <f>IF($FH1476="","",SUM($FN1476:$FN$7000))</f>
        <v/>
      </c>
    </row>
    <row r="1477" spans="152:167">
      <c r="EV1477" s="28">
        <f t="shared" si="45"/>
        <v>0</v>
      </c>
      <c r="FH1477" s="29" t="str">
        <f t="shared" si="46"/>
        <v/>
      </c>
      <c r="FJ1477" s="36" t="str">
        <f>IF($FH1477="","",SUM($FN1477:$FN$7000))</f>
        <v/>
      </c>
      <c r="FK1477" s="36" t="str">
        <f>IF($FH1477="","",SUM($FN1477:$FN$7000))</f>
        <v/>
      </c>
    </row>
    <row r="1478" spans="152:167">
      <c r="EV1478" s="28">
        <f t="shared" si="45"/>
        <v>0</v>
      </c>
      <c r="FH1478" s="29" t="str">
        <f t="shared" si="46"/>
        <v/>
      </c>
      <c r="FJ1478" s="36" t="str">
        <f>IF($FH1478="","",SUM($FN1478:$FN$7000))</f>
        <v/>
      </c>
      <c r="FK1478" s="36" t="str">
        <f>IF($FH1478="","",SUM($FN1478:$FN$7000))</f>
        <v/>
      </c>
    </row>
    <row r="1479" spans="152:167">
      <c r="EV1479" s="28">
        <f t="shared" si="45"/>
        <v>0</v>
      </c>
      <c r="FH1479" s="29" t="str">
        <f t="shared" si="46"/>
        <v/>
      </c>
      <c r="FJ1479" s="36" t="str">
        <f>IF($FH1479="","",SUM($FN1479:$FN$7000))</f>
        <v/>
      </c>
      <c r="FK1479" s="36" t="str">
        <f>IF($FH1479="","",SUM($FN1479:$FN$7000))</f>
        <v/>
      </c>
    </row>
    <row r="1480" spans="152:167">
      <c r="EV1480" s="28">
        <f t="shared" si="45"/>
        <v>0</v>
      </c>
      <c r="FH1480" s="29" t="str">
        <f t="shared" si="46"/>
        <v/>
      </c>
      <c r="FJ1480" s="36" t="str">
        <f>IF($FH1480="","",SUM($FN1480:$FN$7000))</f>
        <v/>
      </c>
      <c r="FK1480" s="36" t="str">
        <f>IF($FH1480="","",SUM($FN1480:$FN$7000))</f>
        <v/>
      </c>
    </row>
    <row r="1481" spans="152:167">
      <c r="EV1481" s="28">
        <f t="shared" si="45"/>
        <v>0</v>
      </c>
      <c r="FH1481" s="29" t="str">
        <f t="shared" si="46"/>
        <v/>
      </c>
      <c r="FJ1481" s="36" t="str">
        <f>IF($FH1481="","",SUM($FN1481:$FN$7000))</f>
        <v/>
      </c>
      <c r="FK1481" s="36" t="str">
        <f>IF($FH1481="","",SUM($FN1481:$FN$7000))</f>
        <v/>
      </c>
    </row>
    <row r="1482" spans="152:167">
      <c r="EV1482" s="28">
        <f t="shared" si="45"/>
        <v>0</v>
      </c>
      <c r="FH1482" s="29" t="str">
        <f t="shared" si="46"/>
        <v/>
      </c>
      <c r="FJ1482" s="36" t="str">
        <f>IF($FH1482="","",SUM($FN1482:$FN$7000))</f>
        <v/>
      </c>
      <c r="FK1482" s="36" t="str">
        <f>IF($FH1482="","",SUM($FN1482:$FN$7000))</f>
        <v/>
      </c>
    </row>
    <row r="1483" spans="152:167">
      <c r="EV1483" s="28">
        <f t="shared" ref="EV1483:EV1546" si="47">EU1483-ET1483</f>
        <v>0</v>
      </c>
      <c r="FH1483" s="29" t="str">
        <f t="shared" ref="FH1483:FH1546" si="48">IF(FL1483="","",FL1483)</f>
        <v/>
      </c>
      <c r="FJ1483" s="36" t="str">
        <f>IF($FH1483="","",SUM($FN1483:$FN$7000))</f>
        <v/>
      </c>
      <c r="FK1483" s="36" t="str">
        <f>IF($FH1483="","",SUM($FN1483:$FN$7000))</f>
        <v/>
      </c>
    </row>
    <row r="1484" spans="152:167">
      <c r="EV1484" s="28">
        <f t="shared" si="47"/>
        <v>0</v>
      </c>
      <c r="FH1484" s="29" t="str">
        <f t="shared" si="48"/>
        <v/>
      </c>
      <c r="FJ1484" s="36" t="str">
        <f>IF($FH1484="","",SUM($FN1484:$FN$7000))</f>
        <v/>
      </c>
      <c r="FK1484" s="36" t="str">
        <f>IF($FH1484="","",SUM($FN1484:$FN$7000))</f>
        <v/>
      </c>
    </row>
    <row r="1485" spans="152:167">
      <c r="EV1485" s="28">
        <f t="shared" si="47"/>
        <v>0</v>
      </c>
      <c r="FH1485" s="29" t="str">
        <f t="shared" si="48"/>
        <v/>
      </c>
      <c r="FJ1485" s="36" t="str">
        <f>IF($FH1485="","",SUM($FN1485:$FN$7000))</f>
        <v/>
      </c>
      <c r="FK1485" s="36" t="str">
        <f>IF($FH1485="","",SUM($FN1485:$FN$7000))</f>
        <v/>
      </c>
    </row>
    <row r="1486" spans="152:167">
      <c r="EV1486" s="28">
        <f t="shared" si="47"/>
        <v>0</v>
      </c>
      <c r="FH1486" s="29" t="str">
        <f t="shared" si="48"/>
        <v/>
      </c>
      <c r="FJ1486" s="36" t="str">
        <f>IF($FH1486="","",SUM($FN1486:$FN$7000))</f>
        <v/>
      </c>
      <c r="FK1486" s="36" t="str">
        <f>IF($FH1486="","",SUM($FN1486:$FN$7000))</f>
        <v/>
      </c>
    </row>
    <row r="1487" spans="152:167">
      <c r="EV1487" s="28">
        <f t="shared" si="47"/>
        <v>0</v>
      </c>
      <c r="FH1487" s="29" t="str">
        <f t="shared" si="48"/>
        <v/>
      </c>
      <c r="FJ1487" s="36" t="str">
        <f>IF($FH1487="","",SUM($FN1487:$FN$7000))</f>
        <v/>
      </c>
      <c r="FK1487" s="36" t="str">
        <f>IF($FH1487="","",SUM($FN1487:$FN$7000))</f>
        <v/>
      </c>
    </row>
    <row r="1488" spans="152:167">
      <c r="EV1488" s="28">
        <f t="shared" si="47"/>
        <v>0</v>
      </c>
      <c r="FH1488" s="29" t="str">
        <f t="shared" si="48"/>
        <v/>
      </c>
      <c r="FJ1488" s="36" t="str">
        <f>IF($FH1488="","",SUM($FN1488:$FN$7000))</f>
        <v/>
      </c>
      <c r="FK1488" s="36" t="str">
        <f>IF($FH1488="","",SUM($FN1488:$FN$7000))</f>
        <v/>
      </c>
    </row>
    <row r="1489" spans="152:167">
      <c r="EV1489" s="28">
        <f t="shared" si="47"/>
        <v>0</v>
      </c>
      <c r="FH1489" s="29" t="str">
        <f t="shared" si="48"/>
        <v/>
      </c>
      <c r="FJ1489" s="36" t="str">
        <f>IF($FH1489="","",SUM($FN1489:$FN$7000))</f>
        <v/>
      </c>
      <c r="FK1489" s="36" t="str">
        <f>IF($FH1489="","",SUM($FN1489:$FN$7000))</f>
        <v/>
      </c>
    </row>
    <row r="1490" spans="152:167">
      <c r="EV1490" s="28">
        <f t="shared" si="47"/>
        <v>0</v>
      </c>
      <c r="FH1490" s="29" t="str">
        <f t="shared" si="48"/>
        <v/>
      </c>
      <c r="FJ1490" s="36" t="str">
        <f>IF($FH1490="","",SUM($FN1490:$FN$7000))</f>
        <v/>
      </c>
      <c r="FK1490" s="36" t="str">
        <f>IF($FH1490="","",SUM($FN1490:$FN$7000))</f>
        <v/>
      </c>
    </row>
    <row r="1491" spans="152:167">
      <c r="EV1491" s="28">
        <f t="shared" si="47"/>
        <v>0</v>
      </c>
      <c r="FH1491" s="29" t="str">
        <f t="shared" si="48"/>
        <v/>
      </c>
      <c r="FJ1491" s="36" t="str">
        <f>IF($FH1491="","",SUM($FN1491:$FN$7000))</f>
        <v/>
      </c>
      <c r="FK1491" s="36" t="str">
        <f>IF($FH1491="","",SUM($FN1491:$FN$7000))</f>
        <v/>
      </c>
    </row>
    <row r="1492" spans="152:167">
      <c r="EV1492" s="28">
        <f t="shared" si="47"/>
        <v>0</v>
      </c>
      <c r="FH1492" s="29" t="str">
        <f t="shared" si="48"/>
        <v/>
      </c>
      <c r="FJ1492" s="36" t="str">
        <f>IF($FH1492="","",SUM($FN1492:$FN$7000))</f>
        <v/>
      </c>
      <c r="FK1492" s="36" t="str">
        <f>IF($FH1492="","",SUM($FN1492:$FN$7000))</f>
        <v/>
      </c>
    </row>
    <row r="1493" spans="152:167">
      <c r="EV1493" s="28">
        <f t="shared" si="47"/>
        <v>0</v>
      </c>
      <c r="FH1493" s="29" t="str">
        <f t="shared" si="48"/>
        <v/>
      </c>
      <c r="FJ1493" s="36" t="str">
        <f>IF($FH1493="","",SUM($FN1493:$FN$7000))</f>
        <v/>
      </c>
      <c r="FK1493" s="36" t="str">
        <f>IF($FH1493="","",SUM($FN1493:$FN$7000))</f>
        <v/>
      </c>
    </row>
    <row r="1494" spans="152:167">
      <c r="EV1494" s="28">
        <f t="shared" si="47"/>
        <v>0</v>
      </c>
      <c r="FH1494" s="29" t="str">
        <f t="shared" si="48"/>
        <v/>
      </c>
      <c r="FJ1494" s="36" t="str">
        <f>IF($FH1494="","",SUM($FN1494:$FN$7000))</f>
        <v/>
      </c>
      <c r="FK1494" s="36" t="str">
        <f>IF($FH1494="","",SUM($FN1494:$FN$7000))</f>
        <v/>
      </c>
    </row>
    <row r="1495" spans="152:167">
      <c r="EV1495" s="28">
        <f t="shared" si="47"/>
        <v>0</v>
      </c>
      <c r="FH1495" s="29" t="str">
        <f t="shared" si="48"/>
        <v/>
      </c>
      <c r="FJ1495" s="36" t="str">
        <f>IF($FH1495="","",SUM($FN1495:$FN$7000))</f>
        <v/>
      </c>
      <c r="FK1495" s="36" t="str">
        <f>IF($FH1495="","",SUM($FN1495:$FN$7000))</f>
        <v/>
      </c>
    </row>
    <row r="1496" spans="152:167">
      <c r="EV1496" s="28">
        <f t="shared" si="47"/>
        <v>0</v>
      </c>
      <c r="FH1496" s="29" t="str">
        <f t="shared" si="48"/>
        <v/>
      </c>
      <c r="FJ1496" s="36" t="str">
        <f>IF($FH1496="","",SUM($FN1496:$FN$7000))</f>
        <v/>
      </c>
      <c r="FK1496" s="36" t="str">
        <f>IF($FH1496="","",SUM($FN1496:$FN$7000))</f>
        <v/>
      </c>
    </row>
    <row r="1497" spans="152:167">
      <c r="EV1497" s="28">
        <f t="shared" si="47"/>
        <v>0</v>
      </c>
      <c r="FH1497" s="29" t="str">
        <f t="shared" si="48"/>
        <v/>
      </c>
      <c r="FJ1497" s="36" t="str">
        <f>IF($FH1497="","",SUM($FN1497:$FN$7000))</f>
        <v/>
      </c>
      <c r="FK1497" s="36" t="str">
        <f>IF($FH1497="","",SUM($FN1497:$FN$7000))</f>
        <v/>
      </c>
    </row>
    <row r="1498" spans="152:167">
      <c r="EV1498" s="28">
        <f t="shared" si="47"/>
        <v>0</v>
      </c>
      <c r="FH1498" s="29" t="str">
        <f t="shared" si="48"/>
        <v/>
      </c>
      <c r="FJ1498" s="36" t="str">
        <f>IF($FH1498="","",SUM($FN1498:$FN$7000))</f>
        <v/>
      </c>
      <c r="FK1498" s="36" t="str">
        <f>IF($FH1498="","",SUM($FN1498:$FN$7000))</f>
        <v/>
      </c>
    </row>
    <row r="1499" spans="152:167">
      <c r="EV1499" s="28">
        <f t="shared" si="47"/>
        <v>0</v>
      </c>
      <c r="FH1499" s="29" t="str">
        <f t="shared" si="48"/>
        <v/>
      </c>
      <c r="FJ1499" s="36" t="str">
        <f>IF($FH1499="","",SUM($FN1499:$FN$7000))</f>
        <v/>
      </c>
      <c r="FK1499" s="36" t="str">
        <f>IF($FH1499="","",SUM($FN1499:$FN$7000))</f>
        <v/>
      </c>
    </row>
    <row r="1500" spans="152:167">
      <c r="EV1500" s="28">
        <f t="shared" si="47"/>
        <v>0</v>
      </c>
      <c r="FH1500" s="29" t="str">
        <f t="shared" si="48"/>
        <v/>
      </c>
      <c r="FJ1500" s="36" t="str">
        <f>IF($FH1500="","",SUM($FN1500:$FN$7000))</f>
        <v/>
      </c>
      <c r="FK1500" s="36" t="str">
        <f>IF($FH1500="","",SUM($FN1500:$FN$7000))</f>
        <v/>
      </c>
    </row>
    <row r="1501" spans="152:167">
      <c r="EV1501" s="28">
        <f t="shared" si="47"/>
        <v>0</v>
      </c>
      <c r="FH1501" s="29" t="str">
        <f t="shared" si="48"/>
        <v/>
      </c>
      <c r="FJ1501" s="36" t="str">
        <f>IF($FH1501="","",SUM($FN1501:$FN$7000))</f>
        <v/>
      </c>
      <c r="FK1501" s="36" t="str">
        <f>IF($FH1501="","",SUM($FN1501:$FN$7000))</f>
        <v/>
      </c>
    </row>
    <row r="1502" spans="152:167">
      <c r="EV1502" s="28">
        <f t="shared" si="47"/>
        <v>0</v>
      </c>
      <c r="FH1502" s="29" t="str">
        <f t="shared" si="48"/>
        <v/>
      </c>
      <c r="FJ1502" s="36" t="str">
        <f>IF($FH1502="","",SUM($FN1502:$FN$7000))</f>
        <v/>
      </c>
      <c r="FK1502" s="36" t="str">
        <f>IF($FH1502="","",SUM($FN1502:$FN$7000))</f>
        <v/>
      </c>
    </row>
    <row r="1503" spans="152:167">
      <c r="EV1503" s="28">
        <f t="shared" si="47"/>
        <v>0</v>
      </c>
      <c r="FH1503" s="29" t="str">
        <f t="shared" si="48"/>
        <v/>
      </c>
      <c r="FJ1503" s="36" t="str">
        <f>IF($FH1503="","",SUM($FN1503:$FN$7000))</f>
        <v/>
      </c>
      <c r="FK1503" s="36" t="str">
        <f>IF($FH1503="","",SUM($FN1503:$FN$7000))</f>
        <v/>
      </c>
    </row>
    <row r="1504" spans="152:167">
      <c r="EV1504" s="28">
        <f t="shared" si="47"/>
        <v>0</v>
      </c>
      <c r="FH1504" s="29" t="str">
        <f t="shared" si="48"/>
        <v/>
      </c>
      <c r="FJ1504" s="36" t="str">
        <f>IF($FH1504="","",SUM($FN1504:$FN$7000))</f>
        <v/>
      </c>
      <c r="FK1504" s="36" t="str">
        <f>IF($FH1504="","",SUM($FN1504:$FN$7000))</f>
        <v/>
      </c>
    </row>
    <row r="1505" spans="152:167">
      <c r="EV1505" s="28">
        <f t="shared" si="47"/>
        <v>0</v>
      </c>
      <c r="FH1505" s="29" t="str">
        <f t="shared" si="48"/>
        <v/>
      </c>
      <c r="FJ1505" s="36" t="str">
        <f>IF($FH1505="","",SUM($FN1505:$FN$7000))</f>
        <v/>
      </c>
      <c r="FK1505" s="36" t="str">
        <f>IF($FH1505="","",SUM($FN1505:$FN$7000))</f>
        <v/>
      </c>
    </row>
    <row r="1506" spans="152:167">
      <c r="EV1506" s="28">
        <f t="shared" si="47"/>
        <v>0</v>
      </c>
      <c r="FH1506" s="29" t="str">
        <f t="shared" si="48"/>
        <v/>
      </c>
      <c r="FJ1506" s="36" t="str">
        <f>IF($FH1506="","",SUM($FN1506:$FN$7000))</f>
        <v/>
      </c>
      <c r="FK1506" s="36" t="str">
        <f>IF($FH1506="","",SUM($FN1506:$FN$7000))</f>
        <v/>
      </c>
    </row>
    <row r="1507" spans="152:167">
      <c r="EV1507" s="28">
        <f t="shared" si="47"/>
        <v>0</v>
      </c>
      <c r="FH1507" s="29" t="str">
        <f t="shared" si="48"/>
        <v/>
      </c>
      <c r="FJ1507" s="36" t="str">
        <f>IF($FH1507="","",SUM($FN1507:$FN$7000))</f>
        <v/>
      </c>
      <c r="FK1507" s="36" t="str">
        <f>IF($FH1507="","",SUM($FN1507:$FN$7000))</f>
        <v/>
      </c>
    </row>
    <row r="1508" spans="152:167">
      <c r="EV1508" s="28">
        <f t="shared" si="47"/>
        <v>0</v>
      </c>
      <c r="FH1508" s="29" t="str">
        <f t="shared" si="48"/>
        <v/>
      </c>
      <c r="FJ1508" s="36" t="str">
        <f>IF($FH1508="","",SUM($FN1508:$FN$7000))</f>
        <v/>
      </c>
      <c r="FK1508" s="36" t="str">
        <f>IF($FH1508="","",SUM($FN1508:$FN$7000))</f>
        <v/>
      </c>
    </row>
    <row r="1509" spans="152:167">
      <c r="EV1509" s="28">
        <f t="shared" si="47"/>
        <v>0</v>
      </c>
      <c r="FH1509" s="29" t="str">
        <f t="shared" si="48"/>
        <v/>
      </c>
      <c r="FJ1509" s="36" t="str">
        <f>IF($FH1509="","",SUM($FN1509:$FN$7000))</f>
        <v/>
      </c>
      <c r="FK1509" s="36" t="str">
        <f>IF($FH1509="","",SUM($FN1509:$FN$7000))</f>
        <v/>
      </c>
    </row>
    <row r="1510" spans="152:167">
      <c r="EV1510" s="28">
        <f t="shared" si="47"/>
        <v>0</v>
      </c>
      <c r="FH1510" s="29" t="str">
        <f t="shared" si="48"/>
        <v/>
      </c>
      <c r="FJ1510" s="36" t="str">
        <f>IF($FH1510="","",SUM($FN1510:$FN$7000))</f>
        <v/>
      </c>
      <c r="FK1510" s="36" t="str">
        <f>IF($FH1510="","",SUM($FN1510:$FN$7000))</f>
        <v/>
      </c>
    </row>
    <row r="1511" spans="152:167">
      <c r="EV1511" s="28">
        <f t="shared" si="47"/>
        <v>0</v>
      </c>
      <c r="FH1511" s="29" t="str">
        <f t="shared" si="48"/>
        <v/>
      </c>
      <c r="FJ1511" s="36" t="str">
        <f>IF($FH1511="","",SUM($FN1511:$FN$7000))</f>
        <v/>
      </c>
      <c r="FK1511" s="36" t="str">
        <f>IF($FH1511="","",SUM($FN1511:$FN$7000))</f>
        <v/>
      </c>
    </row>
    <row r="1512" spans="152:167">
      <c r="EV1512" s="28">
        <f t="shared" si="47"/>
        <v>0</v>
      </c>
      <c r="FH1512" s="29" t="str">
        <f t="shared" si="48"/>
        <v/>
      </c>
      <c r="FJ1512" s="36" t="str">
        <f>IF($FH1512="","",SUM($FN1512:$FN$7000))</f>
        <v/>
      </c>
      <c r="FK1512" s="36" t="str">
        <f>IF($FH1512="","",SUM($FN1512:$FN$7000))</f>
        <v/>
      </c>
    </row>
    <row r="1513" spans="152:167">
      <c r="EV1513" s="28">
        <f t="shared" si="47"/>
        <v>0</v>
      </c>
      <c r="FH1513" s="29" t="str">
        <f t="shared" si="48"/>
        <v/>
      </c>
      <c r="FJ1513" s="36" t="str">
        <f>IF($FH1513="","",SUM($FN1513:$FN$7000))</f>
        <v/>
      </c>
      <c r="FK1513" s="36" t="str">
        <f>IF($FH1513="","",SUM($FN1513:$FN$7000))</f>
        <v/>
      </c>
    </row>
    <row r="1514" spans="152:167">
      <c r="EV1514" s="28">
        <f t="shared" si="47"/>
        <v>0</v>
      </c>
      <c r="FH1514" s="29" t="str">
        <f t="shared" si="48"/>
        <v/>
      </c>
      <c r="FJ1514" s="36" t="str">
        <f>IF($FH1514="","",SUM($FN1514:$FN$7000))</f>
        <v/>
      </c>
      <c r="FK1514" s="36" t="str">
        <f>IF($FH1514="","",SUM($FN1514:$FN$7000))</f>
        <v/>
      </c>
    </row>
    <row r="1515" spans="152:167">
      <c r="EV1515" s="28">
        <f t="shared" si="47"/>
        <v>0</v>
      </c>
      <c r="FH1515" s="29" t="str">
        <f t="shared" si="48"/>
        <v/>
      </c>
      <c r="FJ1515" s="36" t="str">
        <f>IF($FH1515="","",SUM($FN1515:$FN$7000))</f>
        <v/>
      </c>
      <c r="FK1515" s="36" t="str">
        <f>IF($FH1515="","",SUM($FN1515:$FN$7000))</f>
        <v/>
      </c>
    </row>
    <row r="1516" spans="152:167">
      <c r="EV1516" s="28">
        <f t="shared" si="47"/>
        <v>0</v>
      </c>
      <c r="FH1516" s="29" t="str">
        <f t="shared" si="48"/>
        <v/>
      </c>
      <c r="FJ1516" s="36" t="str">
        <f>IF($FH1516="","",SUM($FN1516:$FN$7000))</f>
        <v/>
      </c>
      <c r="FK1516" s="36" t="str">
        <f>IF($FH1516="","",SUM($FN1516:$FN$7000))</f>
        <v/>
      </c>
    </row>
    <row r="1517" spans="152:167">
      <c r="EV1517" s="28">
        <f t="shared" si="47"/>
        <v>0</v>
      </c>
      <c r="FH1517" s="29" t="str">
        <f t="shared" si="48"/>
        <v/>
      </c>
      <c r="FJ1517" s="36" t="str">
        <f>IF($FH1517="","",SUM($FN1517:$FN$7000))</f>
        <v/>
      </c>
      <c r="FK1517" s="36" t="str">
        <f>IF($FH1517="","",SUM($FN1517:$FN$7000))</f>
        <v/>
      </c>
    </row>
    <row r="1518" spans="152:167">
      <c r="EV1518" s="28">
        <f t="shared" si="47"/>
        <v>0</v>
      </c>
      <c r="FH1518" s="29" t="str">
        <f t="shared" si="48"/>
        <v/>
      </c>
      <c r="FJ1518" s="36" t="str">
        <f>IF($FH1518="","",SUM($FN1518:$FN$7000))</f>
        <v/>
      </c>
      <c r="FK1518" s="36" t="str">
        <f>IF($FH1518="","",SUM($FN1518:$FN$7000))</f>
        <v/>
      </c>
    </row>
    <row r="1519" spans="152:167">
      <c r="EV1519" s="28">
        <f t="shared" si="47"/>
        <v>0</v>
      </c>
      <c r="FH1519" s="29" t="str">
        <f t="shared" si="48"/>
        <v/>
      </c>
      <c r="FJ1519" s="36" t="str">
        <f>IF($FH1519="","",SUM($FN1519:$FN$7000))</f>
        <v/>
      </c>
      <c r="FK1519" s="36" t="str">
        <f>IF($FH1519="","",SUM($FN1519:$FN$7000))</f>
        <v/>
      </c>
    </row>
    <row r="1520" spans="152:167">
      <c r="EV1520" s="28">
        <f t="shared" si="47"/>
        <v>0</v>
      </c>
      <c r="FH1520" s="29" t="str">
        <f t="shared" si="48"/>
        <v/>
      </c>
      <c r="FJ1520" s="36" t="str">
        <f>IF($FH1520="","",SUM($FN1520:$FN$7000))</f>
        <v/>
      </c>
      <c r="FK1520" s="36" t="str">
        <f>IF($FH1520="","",SUM($FN1520:$FN$7000))</f>
        <v/>
      </c>
    </row>
    <row r="1521" spans="152:167">
      <c r="EV1521" s="28">
        <f t="shared" si="47"/>
        <v>0</v>
      </c>
      <c r="FH1521" s="29" t="str">
        <f t="shared" si="48"/>
        <v/>
      </c>
      <c r="FJ1521" s="36" t="str">
        <f>IF($FH1521="","",SUM($FN1521:$FN$7000))</f>
        <v/>
      </c>
      <c r="FK1521" s="36" t="str">
        <f>IF($FH1521="","",SUM($FN1521:$FN$7000))</f>
        <v/>
      </c>
    </row>
    <row r="1522" spans="152:167">
      <c r="EV1522" s="28">
        <f t="shared" si="47"/>
        <v>0</v>
      </c>
      <c r="FH1522" s="29" t="str">
        <f t="shared" si="48"/>
        <v/>
      </c>
      <c r="FJ1522" s="36" t="str">
        <f>IF($FH1522="","",SUM($FN1522:$FN$7000))</f>
        <v/>
      </c>
      <c r="FK1522" s="36" t="str">
        <f>IF($FH1522="","",SUM($FN1522:$FN$7000))</f>
        <v/>
      </c>
    </row>
    <row r="1523" spans="152:167">
      <c r="EV1523" s="28">
        <f t="shared" si="47"/>
        <v>0</v>
      </c>
      <c r="FH1523" s="29" t="str">
        <f t="shared" si="48"/>
        <v/>
      </c>
      <c r="FJ1523" s="36" t="str">
        <f>IF($FH1523="","",SUM($FN1523:$FN$7000))</f>
        <v/>
      </c>
      <c r="FK1523" s="36" t="str">
        <f>IF($FH1523="","",SUM($FN1523:$FN$7000))</f>
        <v/>
      </c>
    </row>
    <row r="1524" spans="152:167">
      <c r="EV1524" s="28">
        <f t="shared" si="47"/>
        <v>0</v>
      </c>
      <c r="FH1524" s="29" t="str">
        <f t="shared" si="48"/>
        <v/>
      </c>
      <c r="FJ1524" s="36" t="str">
        <f>IF($FH1524="","",SUM($FN1524:$FN$7000))</f>
        <v/>
      </c>
      <c r="FK1524" s="36" t="str">
        <f>IF($FH1524="","",SUM($FN1524:$FN$7000))</f>
        <v/>
      </c>
    </row>
    <row r="1525" spans="152:167">
      <c r="EV1525" s="28">
        <f t="shared" si="47"/>
        <v>0</v>
      </c>
      <c r="FH1525" s="29" t="str">
        <f t="shared" si="48"/>
        <v/>
      </c>
      <c r="FJ1525" s="36" t="str">
        <f>IF($FH1525="","",SUM($FN1525:$FN$7000))</f>
        <v/>
      </c>
      <c r="FK1525" s="36" t="str">
        <f>IF($FH1525="","",SUM($FN1525:$FN$7000))</f>
        <v/>
      </c>
    </row>
    <row r="1526" spans="152:167">
      <c r="EV1526" s="28">
        <f t="shared" si="47"/>
        <v>0</v>
      </c>
      <c r="FH1526" s="29" t="str">
        <f t="shared" si="48"/>
        <v/>
      </c>
      <c r="FJ1526" s="36" t="str">
        <f>IF($FH1526="","",SUM($FN1526:$FN$7000))</f>
        <v/>
      </c>
      <c r="FK1526" s="36" t="str">
        <f>IF($FH1526="","",SUM($FN1526:$FN$7000))</f>
        <v/>
      </c>
    </row>
    <row r="1527" spans="152:167">
      <c r="EV1527" s="28">
        <f t="shared" si="47"/>
        <v>0</v>
      </c>
      <c r="FH1527" s="29" t="str">
        <f t="shared" si="48"/>
        <v/>
      </c>
      <c r="FJ1527" s="36" t="str">
        <f>IF($FH1527="","",SUM($FN1527:$FN$7000))</f>
        <v/>
      </c>
      <c r="FK1527" s="36" t="str">
        <f>IF($FH1527="","",SUM($FN1527:$FN$7000))</f>
        <v/>
      </c>
    </row>
    <row r="1528" spans="152:167">
      <c r="EV1528" s="28">
        <f t="shared" si="47"/>
        <v>0</v>
      </c>
      <c r="FH1528" s="29" t="str">
        <f t="shared" si="48"/>
        <v/>
      </c>
      <c r="FJ1528" s="36" t="str">
        <f>IF($FH1528="","",SUM($FN1528:$FN$7000))</f>
        <v/>
      </c>
      <c r="FK1528" s="36" t="str">
        <f>IF($FH1528="","",SUM($FN1528:$FN$7000))</f>
        <v/>
      </c>
    </row>
    <row r="1529" spans="152:167">
      <c r="EV1529" s="28">
        <f t="shared" si="47"/>
        <v>0</v>
      </c>
      <c r="FH1529" s="29" t="str">
        <f t="shared" si="48"/>
        <v/>
      </c>
      <c r="FJ1529" s="36" t="str">
        <f>IF($FH1529="","",SUM($FN1529:$FN$7000))</f>
        <v/>
      </c>
      <c r="FK1529" s="36" t="str">
        <f>IF($FH1529="","",SUM($FN1529:$FN$7000))</f>
        <v/>
      </c>
    </row>
    <row r="1530" spans="152:167">
      <c r="EV1530" s="28">
        <f t="shared" si="47"/>
        <v>0</v>
      </c>
      <c r="FH1530" s="29" t="str">
        <f t="shared" si="48"/>
        <v/>
      </c>
      <c r="FJ1530" s="36" t="str">
        <f>IF($FH1530="","",SUM($FN1530:$FN$7000))</f>
        <v/>
      </c>
      <c r="FK1530" s="36" t="str">
        <f>IF($FH1530="","",SUM($FN1530:$FN$7000))</f>
        <v/>
      </c>
    </row>
    <row r="1531" spans="152:167">
      <c r="EV1531" s="28">
        <f t="shared" si="47"/>
        <v>0</v>
      </c>
      <c r="FH1531" s="29" t="str">
        <f t="shared" si="48"/>
        <v/>
      </c>
      <c r="FJ1531" s="36" t="str">
        <f>IF($FH1531="","",SUM($FN1531:$FN$7000))</f>
        <v/>
      </c>
      <c r="FK1531" s="36" t="str">
        <f>IF($FH1531="","",SUM($FN1531:$FN$7000))</f>
        <v/>
      </c>
    </row>
    <row r="1532" spans="152:167">
      <c r="EV1532" s="28">
        <f t="shared" si="47"/>
        <v>0</v>
      </c>
      <c r="FH1532" s="29" t="str">
        <f t="shared" si="48"/>
        <v/>
      </c>
      <c r="FJ1532" s="36" t="str">
        <f>IF($FH1532="","",SUM($FN1532:$FN$7000))</f>
        <v/>
      </c>
      <c r="FK1532" s="36" t="str">
        <f>IF($FH1532="","",SUM($FN1532:$FN$7000))</f>
        <v/>
      </c>
    </row>
    <row r="1533" spans="152:167">
      <c r="EV1533" s="28">
        <f t="shared" si="47"/>
        <v>0</v>
      </c>
      <c r="FH1533" s="29" t="str">
        <f t="shared" si="48"/>
        <v/>
      </c>
      <c r="FJ1533" s="36" t="str">
        <f>IF($FH1533="","",SUM($FN1533:$FN$7000))</f>
        <v/>
      </c>
      <c r="FK1533" s="36" t="str">
        <f>IF($FH1533="","",SUM($FN1533:$FN$7000))</f>
        <v/>
      </c>
    </row>
    <row r="1534" spans="152:167">
      <c r="EV1534" s="28">
        <f t="shared" si="47"/>
        <v>0</v>
      </c>
      <c r="FH1534" s="29" t="str">
        <f t="shared" si="48"/>
        <v/>
      </c>
      <c r="FJ1534" s="36" t="str">
        <f>IF($FH1534="","",SUM($FN1534:$FN$7000))</f>
        <v/>
      </c>
      <c r="FK1534" s="36" t="str">
        <f>IF($FH1534="","",SUM($FN1534:$FN$7000))</f>
        <v/>
      </c>
    </row>
    <row r="1535" spans="152:167">
      <c r="EV1535" s="28">
        <f t="shared" si="47"/>
        <v>0</v>
      </c>
      <c r="FH1535" s="29" t="str">
        <f t="shared" si="48"/>
        <v/>
      </c>
      <c r="FJ1535" s="36" t="str">
        <f>IF($FH1535="","",SUM($FN1535:$FN$7000))</f>
        <v/>
      </c>
      <c r="FK1535" s="36" t="str">
        <f>IF($FH1535="","",SUM($FN1535:$FN$7000))</f>
        <v/>
      </c>
    </row>
    <row r="1536" spans="152:167">
      <c r="EV1536" s="28">
        <f t="shared" si="47"/>
        <v>0</v>
      </c>
      <c r="FH1536" s="29" t="str">
        <f t="shared" si="48"/>
        <v/>
      </c>
      <c r="FJ1536" s="36" t="str">
        <f>IF($FH1536="","",SUM($FN1536:$FN$7000))</f>
        <v/>
      </c>
      <c r="FK1536" s="36" t="str">
        <f>IF($FH1536="","",SUM($FN1536:$FN$7000))</f>
        <v/>
      </c>
    </row>
    <row r="1537" spans="152:167">
      <c r="EV1537" s="28">
        <f t="shared" si="47"/>
        <v>0</v>
      </c>
      <c r="FH1537" s="29" t="str">
        <f t="shared" si="48"/>
        <v/>
      </c>
      <c r="FJ1537" s="36" t="str">
        <f>IF($FH1537="","",SUM($FN1537:$FN$7000))</f>
        <v/>
      </c>
      <c r="FK1537" s="36" t="str">
        <f>IF($FH1537="","",SUM($FN1537:$FN$7000))</f>
        <v/>
      </c>
    </row>
    <row r="1538" spans="152:167">
      <c r="EV1538" s="28">
        <f t="shared" si="47"/>
        <v>0</v>
      </c>
      <c r="FH1538" s="29" t="str">
        <f t="shared" si="48"/>
        <v/>
      </c>
      <c r="FJ1538" s="36" t="str">
        <f>IF($FH1538="","",SUM($FN1538:$FN$7000))</f>
        <v/>
      </c>
      <c r="FK1538" s="36" t="str">
        <f>IF($FH1538="","",SUM($FN1538:$FN$7000))</f>
        <v/>
      </c>
    </row>
    <row r="1539" spans="152:167">
      <c r="EV1539" s="28">
        <f t="shared" si="47"/>
        <v>0</v>
      </c>
      <c r="FH1539" s="29" t="str">
        <f t="shared" si="48"/>
        <v/>
      </c>
      <c r="FJ1539" s="36" t="str">
        <f>IF($FH1539="","",SUM($FN1539:$FN$7000))</f>
        <v/>
      </c>
      <c r="FK1539" s="36" t="str">
        <f>IF($FH1539="","",SUM($FN1539:$FN$7000))</f>
        <v/>
      </c>
    </row>
    <row r="1540" spans="152:167">
      <c r="EV1540" s="28">
        <f t="shared" si="47"/>
        <v>0</v>
      </c>
      <c r="FH1540" s="29" t="str">
        <f t="shared" si="48"/>
        <v/>
      </c>
      <c r="FJ1540" s="36" t="str">
        <f>IF($FH1540="","",SUM($FN1540:$FN$7000))</f>
        <v/>
      </c>
      <c r="FK1540" s="36" t="str">
        <f>IF($FH1540="","",SUM($FN1540:$FN$7000))</f>
        <v/>
      </c>
    </row>
    <row r="1541" spans="152:167">
      <c r="EV1541" s="28">
        <f t="shared" si="47"/>
        <v>0</v>
      </c>
      <c r="FH1541" s="29" t="str">
        <f t="shared" si="48"/>
        <v/>
      </c>
      <c r="FJ1541" s="36" t="str">
        <f>IF($FH1541="","",SUM($FN1541:$FN$7000))</f>
        <v/>
      </c>
      <c r="FK1541" s="36" t="str">
        <f>IF($FH1541="","",SUM($FN1541:$FN$7000))</f>
        <v/>
      </c>
    </row>
    <row r="1542" spans="152:167">
      <c r="EV1542" s="28">
        <f t="shared" si="47"/>
        <v>0</v>
      </c>
      <c r="FH1542" s="29" t="str">
        <f t="shared" si="48"/>
        <v/>
      </c>
      <c r="FJ1542" s="36" t="str">
        <f>IF($FH1542="","",SUM($FN1542:$FN$7000))</f>
        <v/>
      </c>
      <c r="FK1542" s="36" t="str">
        <f>IF($FH1542="","",SUM($FN1542:$FN$7000))</f>
        <v/>
      </c>
    </row>
    <row r="1543" spans="152:167">
      <c r="EV1543" s="28">
        <f t="shared" si="47"/>
        <v>0</v>
      </c>
      <c r="FH1543" s="29" t="str">
        <f t="shared" si="48"/>
        <v/>
      </c>
      <c r="FJ1543" s="36" t="str">
        <f>IF($FH1543="","",SUM($FN1543:$FN$7000))</f>
        <v/>
      </c>
      <c r="FK1543" s="36" t="str">
        <f>IF($FH1543="","",SUM($FN1543:$FN$7000))</f>
        <v/>
      </c>
    </row>
    <row r="1544" spans="152:167">
      <c r="EV1544" s="28">
        <f t="shared" si="47"/>
        <v>0</v>
      </c>
      <c r="FH1544" s="29" t="str">
        <f t="shared" si="48"/>
        <v/>
      </c>
      <c r="FJ1544" s="36" t="str">
        <f>IF($FH1544="","",SUM($FN1544:$FN$7000))</f>
        <v/>
      </c>
      <c r="FK1544" s="36" t="str">
        <f>IF($FH1544="","",SUM($FN1544:$FN$7000))</f>
        <v/>
      </c>
    </row>
    <row r="1545" spans="152:167">
      <c r="EV1545" s="28">
        <f t="shared" si="47"/>
        <v>0</v>
      </c>
      <c r="FH1545" s="29" t="str">
        <f t="shared" si="48"/>
        <v/>
      </c>
      <c r="FJ1545" s="36" t="str">
        <f>IF($FH1545="","",SUM($FN1545:$FN$7000))</f>
        <v/>
      </c>
      <c r="FK1545" s="36" t="str">
        <f>IF($FH1545="","",SUM($FN1545:$FN$7000))</f>
        <v/>
      </c>
    </row>
    <row r="1546" spans="152:167">
      <c r="EV1546" s="28">
        <f t="shared" si="47"/>
        <v>0</v>
      </c>
      <c r="FH1546" s="29" t="str">
        <f t="shared" si="48"/>
        <v/>
      </c>
      <c r="FJ1546" s="36" t="str">
        <f>IF($FH1546="","",SUM($FN1546:$FN$7000))</f>
        <v/>
      </c>
      <c r="FK1546" s="36" t="str">
        <f>IF($FH1546="","",SUM($FN1546:$FN$7000))</f>
        <v/>
      </c>
    </row>
    <row r="1547" spans="152:167">
      <c r="EV1547" s="28">
        <f t="shared" ref="EV1547:EV1610" si="49">EU1547-ET1547</f>
        <v>0</v>
      </c>
      <c r="FH1547" s="29" t="str">
        <f t="shared" ref="FH1547:FH1610" si="50">IF(FL1547="","",FL1547)</f>
        <v/>
      </c>
      <c r="FJ1547" s="36" t="str">
        <f>IF($FH1547="","",SUM($FN1547:$FN$7000))</f>
        <v/>
      </c>
      <c r="FK1547" s="36" t="str">
        <f>IF($FH1547="","",SUM($FN1547:$FN$7000))</f>
        <v/>
      </c>
    </row>
    <row r="1548" spans="152:167">
      <c r="EV1548" s="28">
        <f t="shared" si="49"/>
        <v>0</v>
      </c>
      <c r="FH1548" s="29" t="str">
        <f t="shared" si="50"/>
        <v/>
      </c>
      <c r="FJ1548" s="36" t="str">
        <f>IF($FH1548="","",SUM($FN1548:$FN$7000))</f>
        <v/>
      </c>
      <c r="FK1548" s="36" t="str">
        <f>IF($FH1548="","",SUM($FN1548:$FN$7000))</f>
        <v/>
      </c>
    </row>
    <row r="1549" spans="152:167">
      <c r="EV1549" s="28">
        <f t="shared" si="49"/>
        <v>0</v>
      </c>
      <c r="FH1549" s="29" t="str">
        <f t="shared" si="50"/>
        <v/>
      </c>
      <c r="FJ1549" s="36" t="str">
        <f>IF($FH1549="","",SUM($FN1549:$FN$7000))</f>
        <v/>
      </c>
      <c r="FK1549" s="36" t="str">
        <f>IF($FH1549="","",SUM($FN1549:$FN$7000))</f>
        <v/>
      </c>
    </row>
    <row r="1550" spans="152:167">
      <c r="EV1550" s="28">
        <f t="shared" si="49"/>
        <v>0</v>
      </c>
      <c r="FH1550" s="29" t="str">
        <f t="shared" si="50"/>
        <v/>
      </c>
      <c r="FJ1550" s="36" t="str">
        <f>IF($FH1550="","",SUM($FN1550:$FN$7000))</f>
        <v/>
      </c>
      <c r="FK1550" s="36" t="str">
        <f>IF($FH1550="","",SUM($FN1550:$FN$7000))</f>
        <v/>
      </c>
    </row>
    <row r="1551" spans="152:167">
      <c r="EV1551" s="28">
        <f t="shared" si="49"/>
        <v>0</v>
      </c>
      <c r="FH1551" s="29" t="str">
        <f t="shared" si="50"/>
        <v/>
      </c>
      <c r="FJ1551" s="36" t="str">
        <f>IF($FH1551="","",SUM($FN1551:$FN$7000))</f>
        <v/>
      </c>
      <c r="FK1551" s="36" t="str">
        <f>IF($FH1551="","",SUM($FN1551:$FN$7000))</f>
        <v/>
      </c>
    </row>
    <row r="1552" spans="152:167">
      <c r="EV1552" s="28">
        <f t="shared" si="49"/>
        <v>0</v>
      </c>
      <c r="FH1552" s="29" t="str">
        <f t="shared" si="50"/>
        <v/>
      </c>
      <c r="FJ1552" s="36" t="str">
        <f>IF($FH1552="","",SUM($FN1552:$FN$7000))</f>
        <v/>
      </c>
      <c r="FK1552" s="36" t="str">
        <f>IF($FH1552="","",SUM($FN1552:$FN$7000))</f>
        <v/>
      </c>
    </row>
    <row r="1553" spans="152:167">
      <c r="EV1553" s="28">
        <f t="shared" si="49"/>
        <v>0</v>
      </c>
      <c r="FH1553" s="29" t="str">
        <f t="shared" si="50"/>
        <v/>
      </c>
      <c r="FJ1553" s="36" t="str">
        <f>IF($FH1553="","",SUM($FN1553:$FN$7000))</f>
        <v/>
      </c>
      <c r="FK1553" s="36" t="str">
        <f>IF($FH1553="","",SUM($FN1553:$FN$7000))</f>
        <v/>
      </c>
    </row>
    <row r="1554" spans="152:167">
      <c r="EV1554" s="28">
        <f t="shared" si="49"/>
        <v>0</v>
      </c>
      <c r="FH1554" s="29" t="str">
        <f t="shared" si="50"/>
        <v/>
      </c>
      <c r="FJ1554" s="36" t="str">
        <f>IF($FH1554="","",SUM($FN1554:$FN$7000))</f>
        <v/>
      </c>
      <c r="FK1554" s="36" t="str">
        <f>IF($FH1554="","",SUM($FN1554:$FN$7000))</f>
        <v/>
      </c>
    </row>
    <row r="1555" spans="152:167">
      <c r="EV1555" s="28">
        <f t="shared" si="49"/>
        <v>0</v>
      </c>
      <c r="FH1555" s="29" t="str">
        <f t="shared" si="50"/>
        <v/>
      </c>
      <c r="FJ1555" s="36" t="str">
        <f>IF($FH1555="","",SUM($FN1555:$FN$7000))</f>
        <v/>
      </c>
      <c r="FK1555" s="36" t="str">
        <f>IF($FH1555="","",SUM($FN1555:$FN$7000))</f>
        <v/>
      </c>
    </row>
    <row r="1556" spans="152:167">
      <c r="EV1556" s="28">
        <f t="shared" si="49"/>
        <v>0</v>
      </c>
      <c r="FH1556" s="29" t="str">
        <f t="shared" si="50"/>
        <v/>
      </c>
      <c r="FJ1556" s="36" t="str">
        <f>IF($FH1556="","",SUM($FN1556:$FN$7000))</f>
        <v/>
      </c>
      <c r="FK1556" s="36" t="str">
        <f>IF($FH1556="","",SUM($FN1556:$FN$7000))</f>
        <v/>
      </c>
    </row>
    <row r="1557" spans="152:167">
      <c r="EV1557" s="28">
        <f t="shared" si="49"/>
        <v>0</v>
      </c>
      <c r="FH1557" s="29" t="str">
        <f t="shared" si="50"/>
        <v/>
      </c>
      <c r="FJ1557" s="36" t="str">
        <f>IF($FH1557="","",SUM($FN1557:$FN$7000))</f>
        <v/>
      </c>
      <c r="FK1557" s="36" t="str">
        <f>IF($FH1557="","",SUM($FN1557:$FN$7000))</f>
        <v/>
      </c>
    </row>
    <row r="1558" spans="152:167">
      <c r="EV1558" s="28">
        <f t="shared" si="49"/>
        <v>0</v>
      </c>
      <c r="FH1558" s="29" t="str">
        <f t="shared" si="50"/>
        <v/>
      </c>
      <c r="FJ1558" s="36" t="str">
        <f>IF($FH1558="","",SUM($FN1558:$FN$7000))</f>
        <v/>
      </c>
      <c r="FK1558" s="36" t="str">
        <f>IF($FH1558="","",SUM($FN1558:$FN$7000))</f>
        <v/>
      </c>
    </row>
    <row r="1559" spans="152:167">
      <c r="EV1559" s="28">
        <f t="shared" si="49"/>
        <v>0</v>
      </c>
      <c r="FH1559" s="29" t="str">
        <f t="shared" si="50"/>
        <v/>
      </c>
      <c r="FJ1559" s="36" t="str">
        <f>IF($FH1559="","",SUM($FN1559:$FN$7000))</f>
        <v/>
      </c>
      <c r="FK1559" s="36" t="str">
        <f>IF($FH1559="","",SUM($FN1559:$FN$7000))</f>
        <v/>
      </c>
    </row>
    <row r="1560" spans="152:167">
      <c r="EV1560" s="28">
        <f t="shared" si="49"/>
        <v>0</v>
      </c>
      <c r="FH1560" s="29" t="str">
        <f t="shared" si="50"/>
        <v/>
      </c>
      <c r="FJ1560" s="36" t="str">
        <f>IF($FH1560="","",SUM($FN1560:$FN$7000))</f>
        <v/>
      </c>
      <c r="FK1560" s="36" t="str">
        <f>IF($FH1560="","",SUM($FN1560:$FN$7000))</f>
        <v/>
      </c>
    </row>
    <row r="1561" spans="152:167">
      <c r="EV1561" s="28">
        <f t="shared" si="49"/>
        <v>0</v>
      </c>
      <c r="FH1561" s="29" t="str">
        <f t="shared" si="50"/>
        <v/>
      </c>
      <c r="FJ1561" s="36" t="str">
        <f>IF($FH1561="","",SUM($FN1561:$FN$7000))</f>
        <v/>
      </c>
      <c r="FK1561" s="36" t="str">
        <f>IF($FH1561="","",SUM($FN1561:$FN$7000))</f>
        <v/>
      </c>
    </row>
    <row r="1562" spans="152:167">
      <c r="EV1562" s="28">
        <f t="shared" si="49"/>
        <v>0</v>
      </c>
      <c r="FH1562" s="29" t="str">
        <f t="shared" si="50"/>
        <v/>
      </c>
      <c r="FJ1562" s="36" t="str">
        <f>IF($FH1562="","",SUM($FN1562:$FN$7000))</f>
        <v/>
      </c>
      <c r="FK1562" s="36" t="str">
        <f>IF($FH1562="","",SUM($FN1562:$FN$7000))</f>
        <v/>
      </c>
    </row>
    <row r="1563" spans="152:167">
      <c r="EV1563" s="28">
        <f t="shared" si="49"/>
        <v>0</v>
      </c>
      <c r="FH1563" s="29" t="str">
        <f t="shared" si="50"/>
        <v/>
      </c>
      <c r="FJ1563" s="36" t="str">
        <f>IF($FH1563="","",SUM($FN1563:$FN$7000))</f>
        <v/>
      </c>
      <c r="FK1563" s="36" t="str">
        <f>IF($FH1563="","",SUM($FN1563:$FN$7000))</f>
        <v/>
      </c>
    </row>
    <row r="1564" spans="152:167">
      <c r="EV1564" s="28">
        <f t="shared" si="49"/>
        <v>0</v>
      </c>
      <c r="FH1564" s="29" t="str">
        <f t="shared" si="50"/>
        <v/>
      </c>
      <c r="FJ1564" s="36" t="str">
        <f>IF($FH1564="","",SUM($FN1564:$FN$7000))</f>
        <v/>
      </c>
      <c r="FK1564" s="36" t="str">
        <f>IF($FH1564="","",SUM($FN1564:$FN$7000))</f>
        <v/>
      </c>
    </row>
    <row r="1565" spans="152:167">
      <c r="EV1565" s="28">
        <f t="shared" si="49"/>
        <v>0</v>
      </c>
      <c r="FH1565" s="29" t="str">
        <f t="shared" si="50"/>
        <v/>
      </c>
      <c r="FJ1565" s="36" t="str">
        <f>IF($FH1565="","",SUM($FN1565:$FN$7000))</f>
        <v/>
      </c>
      <c r="FK1565" s="36" t="str">
        <f>IF($FH1565="","",SUM($FN1565:$FN$7000))</f>
        <v/>
      </c>
    </row>
    <row r="1566" spans="152:167">
      <c r="EV1566" s="28">
        <f t="shared" si="49"/>
        <v>0</v>
      </c>
      <c r="FH1566" s="29" t="str">
        <f t="shared" si="50"/>
        <v/>
      </c>
      <c r="FJ1566" s="36" t="str">
        <f>IF($FH1566="","",SUM($FN1566:$FN$7000))</f>
        <v/>
      </c>
      <c r="FK1566" s="36" t="str">
        <f>IF($FH1566="","",SUM($FN1566:$FN$7000))</f>
        <v/>
      </c>
    </row>
    <row r="1567" spans="152:167">
      <c r="EV1567" s="28">
        <f t="shared" si="49"/>
        <v>0</v>
      </c>
      <c r="FH1567" s="29" t="str">
        <f t="shared" si="50"/>
        <v/>
      </c>
      <c r="FJ1567" s="36" t="str">
        <f>IF($FH1567="","",SUM($FN1567:$FN$7000))</f>
        <v/>
      </c>
      <c r="FK1567" s="36" t="str">
        <f>IF($FH1567="","",SUM($FN1567:$FN$7000))</f>
        <v/>
      </c>
    </row>
    <row r="1568" spans="152:167">
      <c r="EV1568" s="28">
        <f t="shared" si="49"/>
        <v>0</v>
      </c>
      <c r="FH1568" s="29" t="str">
        <f t="shared" si="50"/>
        <v/>
      </c>
      <c r="FJ1568" s="36" t="str">
        <f>IF($FH1568="","",SUM($FN1568:$FN$7000))</f>
        <v/>
      </c>
      <c r="FK1568" s="36" t="str">
        <f>IF($FH1568="","",SUM($FN1568:$FN$7000))</f>
        <v/>
      </c>
    </row>
    <row r="1569" spans="152:167">
      <c r="EV1569" s="28">
        <f t="shared" si="49"/>
        <v>0</v>
      </c>
      <c r="FH1569" s="29" t="str">
        <f t="shared" si="50"/>
        <v/>
      </c>
      <c r="FJ1569" s="36" t="str">
        <f>IF($FH1569="","",SUM($FN1569:$FN$7000))</f>
        <v/>
      </c>
      <c r="FK1569" s="36" t="str">
        <f>IF($FH1569="","",SUM($FN1569:$FN$7000))</f>
        <v/>
      </c>
    </row>
    <row r="1570" spans="152:167">
      <c r="EV1570" s="28">
        <f t="shared" si="49"/>
        <v>0</v>
      </c>
      <c r="FH1570" s="29" t="str">
        <f t="shared" si="50"/>
        <v/>
      </c>
      <c r="FJ1570" s="36" t="str">
        <f>IF($FH1570="","",SUM($FN1570:$FN$7000))</f>
        <v/>
      </c>
      <c r="FK1570" s="36" t="str">
        <f>IF($FH1570="","",SUM($FN1570:$FN$7000))</f>
        <v/>
      </c>
    </row>
    <row r="1571" spans="152:167">
      <c r="EV1571" s="28">
        <f t="shared" si="49"/>
        <v>0</v>
      </c>
      <c r="FH1571" s="29" t="str">
        <f t="shared" si="50"/>
        <v/>
      </c>
      <c r="FJ1571" s="36" t="str">
        <f>IF($FH1571="","",SUM($FN1571:$FN$7000))</f>
        <v/>
      </c>
      <c r="FK1571" s="36" t="str">
        <f>IF($FH1571="","",SUM($FN1571:$FN$7000))</f>
        <v/>
      </c>
    </row>
    <row r="1572" spans="152:167">
      <c r="EV1572" s="28">
        <f t="shared" si="49"/>
        <v>0</v>
      </c>
      <c r="FH1572" s="29" t="str">
        <f t="shared" si="50"/>
        <v/>
      </c>
      <c r="FJ1572" s="36" t="str">
        <f>IF($FH1572="","",SUM($FN1572:$FN$7000))</f>
        <v/>
      </c>
      <c r="FK1572" s="36" t="str">
        <f>IF($FH1572="","",SUM($FN1572:$FN$7000))</f>
        <v/>
      </c>
    </row>
    <row r="1573" spans="152:167">
      <c r="EV1573" s="28">
        <f t="shared" si="49"/>
        <v>0</v>
      </c>
      <c r="FH1573" s="29" t="str">
        <f t="shared" si="50"/>
        <v/>
      </c>
      <c r="FJ1573" s="36" t="str">
        <f>IF($FH1573="","",SUM($FN1573:$FN$7000))</f>
        <v/>
      </c>
      <c r="FK1573" s="36" t="str">
        <f>IF($FH1573="","",SUM($FN1573:$FN$7000))</f>
        <v/>
      </c>
    </row>
    <row r="1574" spans="152:167">
      <c r="EV1574" s="28">
        <f t="shared" si="49"/>
        <v>0</v>
      </c>
      <c r="FH1574" s="29" t="str">
        <f t="shared" si="50"/>
        <v/>
      </c>
      <c r="FJ1574" s="36" t="str">
        <f>IF($FH1574="","",SUM($FN1574:$FN$7000))</f>
        <v/>
      </c>
      <c r="FK1574" s="36" t="str">
        <f>IF($FH1574="","",SUM($FN1574:$FN$7000))</f>
        <v/>
      </c>
    </row>
    <row r="1575" spans="152:167">
      <c r="EV1575" s="28">
        <f t="shared" si="49"/>
        <v>0</v>
      </c>
      <c r="FH1575" s="29" t="str">
        <f t="shared" si="50"/>
        <v/>
      </c>
      <c r="FJ1575" s="36" t="str">
        <f>IF($FH1575="","",SUM($FN1575:$FN$7000))</f>
        <v/>
      </c>
      <c r="FK1575" s="36" t="str">
        <f>IF($FH1575="","",SUM($FN1575:$FN$7000))</f>
        <v/>
      </c>
    </row>
    <row r="1576" spans="152:167">
      <c r="EV1576" s="28">
        <f t="shared" si="49"/>
        <v>0</v>
      </c>
      <c r="FH1576" s="29" t="str">
        <f t="shared" si="50"/>
        <v/>
      </c>
      <c r="FJ1576" s="36" t="str">
        <f>IF($FH1576="","",SUM($FN1576:$FN$7000))</f>
        <v/>
      </c>
      <c r="FK1576" s="36" t="str">
        <f>IF($FH1576="","",SUM($FN1576:$FN$7000))</f>
        <v/>
      </c>
    </row>
    <row r="1577" spans="152:167">
      <c r="EV1577" s="28">
        <f t="shared" si="49"/>
        <v>0</v>
      </c>
      <c r="FH1577" s="29" t="str">
        <f t="shared" si="50"/>
        <v/>
      </c>
      <c r="FJ1577" s="36" t="str">
        <f>IF($FH1577="","",SUM($FN1577:$FN$7000))</f>
        <v/>
      </c>
      <c r="FK1577" s="36" t="str">
        <f>IF($FH1577="","",SUM($FN1577:$FN$7000))</f>
        <v/>
      </c>
    </row>
    <row r="1578" spans="152:167">
      <c r="EV1578" s="28">
        <f t="shared" si="49"/>
        <v>0</v>
      </c>
      <c r="FH1578" s="29" t="str">
        <f t="shared" si="50"/>
        <v/>
      </c>
      <c r="FJ1578" s="36" t="str">
        <f>IF($FH1578="","",SUM($FN1578:$FN$7000))</f>
        <v/>
      </c>
      <c r="FK1578" s="36" t="str">
        <f>IF($FH1578="","",SUM($FN1578:$FN$7000))</f>
        <v/>
      </c>
    </row>
    <row r="1579" spans="152:167">
      <c r="EV1579" s="28">
        <f t="shared" si="49"/>
        <v>0</v>
      </c>
      <c r="FH1579" s="29" t="str">
        <f t="shared" si="50"/>
        <v/>
      </c>
      <c r="FJ1579" s="36" t="str">
        <f>IF($FH1579="","",SUM($FN1579:$FN$7000))</f>
        <v/>
      </c>
      <c r="FK1579" s="36" t="str">
        <f>IF($FH1579="","",SUM($FN1579:$FN$7000))</f>
        <v/>
      </c>
    </row>
    <row r="1580" spans="152:167">
      <c r="EV1580" s="28">
        <f t="shared" si="49"/>
        <v>0</v>
      </c>
      <c r="FH1580" s="29" t="str">
        <f t="shared" si="50"/>
        <v/>
      </c>
      <c r="FJ1580" s="36" t="str">
        <f>IF($FH1580="","",SUM($FN1580:$FN$7000))</f>
        <v/>
      </c>
      <c r="FK1580" s="36" t="str">
        <f>IF($FH1580="","",SUM($FN1580:$FN$7000))</f>
        <v/>
      </c>
    </row>
    <row r="1581" spans="152:167">
      <c r="EV1581" s="28">
        <f t="shared" si="49"/>
        <v>0</v>
      </c>
      <c r="FH1581" s="29" t="str">
        <f t="shared" si="50"/>
        <v/>
      </c>
      <c r="FJ1581" s="36" t="str">
        <f>IF($FH1581="","",SUM($FN1581:$FN$7000))</f>
        <v/>
      </c>
      <c r="FK1581" s="36" t="str">
        <f>IF($FH1581="","",SUM($FN1581:$FN$7000))</f>
        <v/>
      </c>
    </row>
    <row r="1582" spans="152:167">
      <c r="EV1582" s="28">
        <f t="shared" si="49"/>
        <v>0</v>
      </c>
      <c r="FH1582" s="29" t="str">
        <f t="shared" si="50"/>
        <v/>
      </c>
      <c r="FJ1582" s="36" t="str">
        <f>IF($FH1582="","",SUM($FN1582:$FN$7000))</f>
        <v/>
      </c>
      <c r="FK1582" s="36" t="str">
        <f>IF($FH1582="","",SUM($FN1582:$FN$7000))</f>
        <v/>
      </c>
    </row>
    <row r="1583" spans="152:167">
      <c r="EV1583" s="28">
        <f t="shared" si="49"/>
        <v>0</v>
      </c>
      <c r="FH1583" s="29" t="str">
        <f t="shared" si="50"/>
        <v/>
      </c>
      <c r="FJ1583" s="36" t="str">
        <f>IF($FH1583="","",SUM($FN1583:$FN$7000))</f>
        <v/>
      </c>
      <c r="FK1583" s="36" t="str">
        <f>IF($FH1583="","",SUM($FN1583:$FN$7000))</f>
        <v/>
      </c>
    </row>
    <row r="1584" spans="152:167">
      <c r="EV1584" s="28">
        <f t="shared" si="49"/>
        <v>0</v>
      </c>
      <c r="FH1584" s="29" t="str">
        <f t="shared" si="50"/>
        <v/>
      </c>
      <c r="FJ1584" s="36" t="str">
        <f>IF($FH1584="","",SUM($FN1584:$FN$7000))</f>
        <v/>
      </c>
      <c r="FK1584" s="36" t="str">
        <f>IF($FH1584="","",SUM($FN1584:$FN$7000))</f>
        <v/>
      </c>
    </row>
    <row r="1585" spans="152:167">
      <c r="EV1585" s="28">
        <f t="shared" si="49"/>
        <v>0</v>
      </c>
      <c r="FH1585" s="29" t="str">
        <f t="shared" si="50"/>
        <v/>
      </c>
      <c r="FJ1585" s="36" t="str">
        <f>IF($FH1585="","",SUM($FN1585:$FN$7000))</f>
        <v/>
      </c>
      <c r="FK1585" s="36" t="str">
        <f>IF($FH1585="","",SUM($FN1585:$FN$7000))</f>
        <v/>
      </c>
    </row>
    <row r="1586" spans="152:167">
      <c r="EV1586" s="28">
        <f t="shared" si="49"/>
        <v>0</v>
      </c>
      <c r="FH1586" s="29" t="str">
        <f t="shared" si="50"/>
        <v/>
      </c>
      <c r="FJ1586" s="36" t="str">
        <f>IF($FH1586="","",SUM($FN1586:$FN$7000))</f>
        <v/>
      </c>
      <c r="FK1586" s="36" t="str">
        <f>IF($FH1586="","",SUM($FN1586:$FN$7000))</f>
        <v/>
      </c>
    </row>
    <row r="1587" spans="152:167">
      <c r="EV1587" s="28">
        <f t="shared" si="49"/>
        <v>0</v>
      </c>
      <c r="FH1587" s="29" t="str">
        <f t="shared" si="50"/>
        <v/>
      </c>
      <c r="FJ1587" s="36" t="str">
        <f>IF($FH1587="","",SUM($FN1587:$FN$7000))</f>
        <v/>
      </c>
      <c r="FK1587" s="36" t="str">
        <f>IF($FH1587="","",SUM($FN1587:$FN$7000))</f>
        <v/>
      </c>
    </row>
    <row r="1588" spans="152:167">
      <c r="EV1588" s="28">
        <f t="shared" si="49"/>
        <v>0</v>
      </c>
      <c r="FH1588" s="29" t="str">
        <f t="shared" si="50"/>
        <v/>
      </c>
      <c r="FJ1588" s="36" t="str">
        <f>IF($FH1588="","",SUM($FN1588:$FN$7000))</f>
        <v/>
      </c>
      <c r="FK1588" s="36" t="str">
        <f>IF($FH1588="","",SUM($FN1588:$FN$7000))</f>
        <v/>
      </c>
    </row>
    <row r="1589" spans="152:167">
      <c r="EV1589" s="28">
        <f t="shared" si="49"/>
        <v>0</v>
      </c>
      <c r="FH1589" s="29" t="str">
        <f t="shared" si="50"/>
        <v/>
      </c>
      <c r="FJ1589" s="36" t="str">
        <f>IF($FH1589="","",SUM($FN1589:$FN$7000))</f>
        <v/>
      </c>
      <c r="FK1589" s="36" t="str">
        <f>IF($FH1589="","",SUM($FN1589:$FN$7000))</f>
        <v/>
      </c>
    </row>
    <row r="1590" spans="152:167">
      <c r="EV1590" s="28">
        <f t="shared" si="49"/>
        <v>0</v>
      </c>
      <c r="FH1590" s="29" t="str">
        <f t="shared" si="50"/>
        <v/>
      </c>
      <c r="FJ1590" s="36" t="str">
        <f>IF($FH1590="","",SUM($FN1590:$FN$7000))</f>
        <v/>
      </c>
      <c r="FK1590" s="36" t="str">
        <f>IF($FH1590="","",SUM($FN1590:$FN$7000))</f>
        <v/>
      </c>
    </row>
    <row r="1591" spans="152:167">
      <c r="EV1591" s="28">
        <f t="shared" si="49"/>
        <v>0</v>
      </c>
      <c r="FH1591" s="29" t="str">
        <f t="shared" si="50"/>
        <v/>
      </c>
      <c r="FJ1591" s="36" t="str">
        <f>IF($FH1591="","",SUM($FN1591:$FN$7000))</f>
        <v/>
      </c>
      <c r="FK1591" s="36" t="str">
        <f>IF($FH1591="","",SUM($FN1591:$FN$7000))</f>
        <v/>
      </c>
    </row>
    <row r="1592" spans="152:167">
      <c r="EV1592" s="28">
        <f t="shared" si="49"/>
        <v>0</v>
      </c>
      <c r="FH1592" s="29" t="str">
        <f t="shared" si="50"/>
        <v/>
      </c>
      <c r="FJ1592" s="36" t="str">
        <f>IF($FH1592="","",SUM($FN1592:$FN$7000))</f>
        <v/>
      </c>
      <c r="FK1592" s="36" t="str">
        <f>IF($FH1592="","",SUM($FN1592:$FN$7000))</f>
        <v/>
      </c>
    </row>
    <row r="1593" spans="152:167">
      <c r="EV1593" s="28">
        <f t="shared" si="49"/>
        <v>0</v>
      </c>
      <c r="FH1593" s="29" t="str">
        <f t="shared" si="50"/>
        <v/>
      </c>
      <c r="FJ1593" s="36" t="str">
        <f>IF($FH1593="","",SUM($FN1593:$FN$7000))</f>
        <v/>
      </c>
      <c r="FK1593" s="36" t="str">
        <f>IF($FH1593="","",SUM($FN1593:$FN$7000))</f>
        <v/>
      </c>
    </row>
    <row r="1594" spans="152:167">
      <c r="EV1594" s="28">
        <f t="shared" si="49"/>
        <v>0</v>
      </c>
      <c r="FH1594" s="29" t="str">
        <f t="shared" si="50"/>
        <v/>
      </c>
      <c r="FJ1594" s="36" t="str">
        <f>IF($FH1594="","",SUM($FN1594:$FN$7000))</f>
        <v/>
      </c>
      <c r="FK1594" s="36" t="str">
        <f>IF($FH1594="","",SUM($FN1594:$FN$7000))</f>
        <v/>
      </c>
    </row>
    <row r="1595" spans="152:167">
      <c r="EV1595" s="28">
        <f t="shared" si="49"/>
        <v>0</v>
      </c>
      <c r="FH1595" s="29" t="str">
        <f t="shared" si="50"/>
        <v/>
      </c>
      <c r="FJ1595" s="36" t="str">
        <f>IF($FH1595="","",SUM($FN1595:$FN$7000))</f>
        <v/>
      </c>
      <c r="FK1595" s="36" t="str">
        <f>IF($FH1595="","",SUM($FN1595:$FN$7000))</f>
        <v/>
      </c>
    </row>
    <row r="1596" spans="152:167">
      <c r="EV1596" s="28">
        <f t="shared" si="49"/>
        <v>0</v>
      </c>
      <c r="FH1596" s="29" t="str">
        <f t="shared" si="50"/>
        <v/>
      </c>
      <c r="FJ1596" s="36" t="str">
        <f>IF($FH1596="","",SUM($FN1596:$FN$7000))</f>
        <v/>
      </c>
      <c r="FK1596" s="36" t="str">
        <f>IF($FH1596="","",SUM($FN1596:$FN$7000))</f>
        <v/>
      </c>
    </row>
    <row r="1597" spans="152:167">
      <c r="EV1597" s="28">
        <f t="shared" si="49"/>
        <v>0</v>
      </c>
      <c r="FH1597" s="29" t="str">
        <f t="shared" si="50"/>
        <v/>
      </c>
      <c r="FJ1597" s="36" t="str">
        <f>IF($FH1597="","",SUM($FN1597:$FN$7000))</f>
        <v/>
      </c>
      <c r="FK1597" s="36" t="str">
        <f>IF($FH1597="","",SUM($FN1597:$FN$7000))</f>
        <v/>
      </c>
    </row>
    <row r="1598" spans="152:167">
      <c r="EV1598" s="28">
        <f t="shared" si="49"/>
        <v>0</v>
      </c>
      <c r="FH1598" s="29" t="str">
        <f t="shared" si="50"/>
        <v/>
      </c>
      <c r="FJ1598" s="36" t="str">
        <f>IF($FH1598="","",SUM($FN1598:$FN$7000))</f>
        <v/>
      </c>
      <c r="FK1598" s="36" t="str">
        <f>IF($FH1598="","",SUM($FN1598:$FN$7000))</f>
        <v/>
      </c>
    </row>
    <row r="1599" spans="152:167">
      <c r="EV1599" s="28">
        <f t="shared" si="49"/>
        <v>0</v>
      </c>
      <c r="FH1599" s="29" t="str">
        <f t="shared" si="50"/>
        <v/>
      </c>
      <c r="FJ1599" s="36" t="str">
        <f>IF($FH1599="","",SUM($FN1599:$FN$7000))</f>
        <v/>
      </c>
      <c r="FK1599" s="36" t="str">
        <f>IF($FH1599="","",SUM($FN1599:$FN$7000))</f>
        <v/>
      </c>
    </row>
    <row r="1600" spans="152:167">
      <c r="EV1600" s="28">
        <f t="shared" si="49"/>
        <v>0</v>
      </c>
      <c r="FH1600" s="29" t="str">
        <f t="shared" si="50"/>
        <v/>
      </c>
      <c r="FJ1600" s="36" t="str">
        <f>IF($FH1600="","",SUM($FN1600:$FN$7000))</f>
        <v/>
      </c>
      <c r="FK1600" s="36" t="str">
        <f>IF($FH1600="","",SUM($FN1600:$FN$7000))</f>
        <v/>
      </c>
    </row>
    <row r="1601" spans="152:167">
      <c r="EV1601" s="28">
        <f t="shared" si="49"/>
        <v>0</v>
      </c>
      <c r="FH1601" s="29" t="str">
        <f t="shared" si="50"/>
        <v/>
      </c>
      <c r="FJ1601" s="36" t="str">
        <f>IF($FH1601="","",SUM($FN1601:$FN$7000))</f>
        <v/>
      </c>
      <c r="FK1601" s="36" t="str">
        <f>IF($FH1601="","",SUM($FN1601:$FN$7000))</f>
        <v/>
      </c>
    </row>
    <row r="1602" spans="152:167">
      <c r="EV1602" s="28">
        <f t="shared" si="49"/>
        <v>0</v>
      </c>
      <c r="FH1602" s="29" t="str">
        <f t="shared" si="50"/>
        <v/>
      </c>
      <c r="FJ1602" s="36" t="str">
        <f>IF($FH1602="","",SUM($FN1602:$FN$7000))</f>
        <v/>
      </c>
      <c r="FK1602" s="36" t="str">
        <f>IF($FH1602="","",SUM($FN1602:$FN$7000))</f>
        <v/>
      </c>
    </row>
    <row r="1603" spans="152:167">
      <c r="EV1603" s="28">
        <f t="shared" si="49"/>
        <v>0</v>
      </c>
      <c r="FH1603" s="29" t="str">
        <f t="shared" si="50"/>
        <v/>
      </c>
      <c r="FJ1603" s="36" t="str">
        <f>IF($FH1603="","",SUM($FN1603:$FN$7000))</f>
        <v/>
      </c>
      <c r="FK1603" s="36" t="str">
        <f>IF($FH1603="","",SUM($FN1603:$FN$7000))</f>
        <v/>
      </c>
    </row>
    <row r="1604" spans="152:167">
      <c r="EV1604" s="28">
        <f t="shared" si="49"/>
        <v>0</v>
      </c>
      <c r="FH1604" s="29" t="str">
        <f t="shared" si="50"/>
        <v/>
      </c>
      <c r="FJ1604" s="36" t="str">
        <f>IF($FH1604="","",SUM($FN1604:$FN$7000))</f>
        <v/>
      </c>
      <c r="FK1604" s="36" t="str">
        <f>IF($FH1604="","",SUM($FN1604:$FN$7000))</f>
        <v/>
      </c>
    </row>
    <row r="1605" spans="152:167">
      <c r="EV1605" s="28">
        <f t="shared" si="49"/>
        <v>0</v>
      </c>
      <c r="FH1605" s="29" t="str">
        <f t="shared" si="50"/>
        <v/>
      </c>
      <c r="FJ1605" s="36" t="str">
        <f>IF($FH1605="","",SUM($FN1605:$FN$7000))</f>
        <v/>
      </c>
      <c r="FK1605" s="36" t="str">
        <f>IF($FH1605="","",SUM($FN1605:$FN$7000))</f>
        <v/>
      </c>
    </row>
    <row r="1606" spans="152:167">
      <c r="EV1606" s="28">
        <f t="shared" si="49"/>
        <v>0</v>
      </c>
      <c r="FH1606" s="29" t="str">
        <f t="shared" si="50"/>
        <v/>
      </c>
      <c r="FJ1606" s="36" t="str">
        <f>IF($FH1606="","",SUM($FN1606:$FN$7000))</f>
        <v/>
      </c>
      <c r="FK1606" s="36" t="str">
        <f>IF($FH1606="","",SUM($FN1606:$FN$7000))</f>
        <v/>
      </c>
    </row>
    <row r="1607" spans="152:167">
      <c r="EV1607" s="28">
        <f t="shared" si="49"/>
        <v>0</v>
      </c>
      <c r="FH1607" s="29" t="str">
        <f t="shared" si="50"/>
        <v/>
      </c>
      <c r="FJ1607" s="36" t="str">
        <f>IF($FH1607="","",SUM($FN1607:$FN$7000))</f>
        <v/>
      </c>
      <c r="FK1607" s="36" t="str">
        <f>IF($FH1607="","",SUM($FN1607:$FN$7000))</f>
        <v/>
      </c>
    </row>
    <row r="1608" spans="152:167">
      <c r="EV1608" s="28">
        <f t="shared" si="49"/>
        <v>0</v>
      </c>
      <c r="FH1608" s="29" t="str">
        <f t="shared" si="50"/>
        <v/>
      </c>
      <c r="FJ1608" s="36" t="str">
        <f>IF($FH1608="","",SUM($FN1608:$FN$7000))</f>
        <v/>
      </c>
      <c r="FK1608" s="36" t="str">
        <f>IF($FH1608="","",SUM($FN1608:$FN$7000))</f>
        <v/>
      </c>
    </row>
    <row r="1609" spans="152:167">
      <c r="EV1609" s="28">
        <f t="shared" si="49"/>
        <v>0</v>
      </c>
      <c r="FH1609" s="29" t="str">
        <f t="shared" si="50"/>
        <v/>
      </c>
      <c r="FJ1609" s="36" t="str">
        <f>IF($FH1609="","",SUM($FN1609:$FN$7000))</f>
        <v/>
      </c>
      <c r="FK1609" s="36" t="str">
        <f>IF($FH1609="","",SUM($FN1609:$FN$7000))</f>
        <v/>
      </c>
    </row>
    <row r="1610" spans="152:167">
      <c r="EV1610" s="28">
        <f t="shared" si="49"/>
        <v>0</v>
      </c>
      <c r="FH1610" s="29" t="str">
        <f t="shared" si="50"/>
        <v/>
      </c>
      <c r="FJ1610" s="36" t="str">
        <f>IF($FH1610="","",SUM($FN1610:$FN$7000))</f>
        <v/>
      </c>
      <c r="FK1610" s="36" t="str">
        <f>IF($FH1610="","",SUM($FN1610:$FN$7000))</f>
        <v/>
      </c>
    </row>
    <row r="1611" spans="152:167">
      <c r="EV1611" s="28">
        <f t="shared" ref="EV1611:EV1674" si="51">EU1611-ET1611</f>
        <v>0</v>
      </c>
      <c r="FH1611" s="29" t="str">
        <f t="shared" ref="FH1611:FH1674" si="52">IF(FL1611="","",FL1611)</f>
        <v/>
      </c>
      <c r="FJ1611" s="36" t="str">
        <f>IF($FH1611="","",SUM($FN1611:$FN$7000))</f>
        <v/>
      </c>
      <c r="FK1611" s="36" t="str">
        <f>IF($FH1611="","",SUM($FN1611:$FN$7000))</f>
        <v/>
      </c>
    </row>
    <row r="1612" spans="152:167">
      <c r="EV1612" s="28">
        <f t="shared" si="51"/>
        <v>0</v>
      </c>
      <c r="FH1612" s="29" t="str">
        <f t="shared" si="52"/>
        <v/>
      </c>
      <c r="FJ1612" s="36" t="str">
        <f>IF($FH1612="","",SUM($FN1612:$FN$7000))</f>
        <v/>
      </c>
      <c r="FK1612" s="36" t="str">
        <f>IF($FH1612="","",SUM($FN1612:$FN$7000))</f>
        <v/>
      </c>
    </row>
    <row r="1613" spans="152:167">
      <c r="EV1613" s="28">
        <f t="shared" si="51"/>
        <v>0</v>
      </c>
      <c r="FH1613" s="29" t="str">
        <f t="shared" si="52"/>
        <v/>
      </c>
      <c r="FJ1613" s="36" t="str">
        <f>IF($FH1613="","",SUM($FN1613:$FN$7000))</f>
        <v/>
      </c>
      <c r="FK1613" s="36" t="str">
        <f>IF($FH1613="","",SUM($FN1613:$FN$7000))</f>
        <v/>
      </c>
    </row>
    <row r="1614" spans="152:167">
      <c r="EV1614" s="28">
        <f t="shared" si="51"/>
        <v>0</v>
      </c>
      <c r="FH1614" s="29" t="str">
        <f t="shared" si="52"/>
        <v/>
      </c>
      <c r="FJ1614" s="36" t="str">
        <f>IF($FH1614="","",SUM($FN1614:$FN$7000))</f>
        <v/>
      </c>
      <c r="FK1614" s="36" t="str">
        <f>IF($FH1614="","",SUM($FN1614:$FN$7000))</f>
        <v/>
      </c>
    </row>
    <row r="1615" spans="152:167">
      <c r="EV1615" s="28">
        <f t="shared" si="51"/>
        <v>0</v>
      </c>
      <c r="FH1615" s="29" t="str">
        <f t="shared" si="52"/>
        <v/>
      </c>
      <c r="FJ1615" s="36" t="str">
        <f>IF($FH1615="","",SUM($FN1615:$FN$7000))</f>
        <v/>
      </c>
      <c r="FK1615" s="36" t="str">
        <f>IF($FH1615="","",SUM($FN1615:$FN$7000))</f>
        <v/>
      </c>
    </row>
    <row r="1616" spans="152:167">
      <c r="EV1616" s="28">
        <f t="shared" si="51"/>
        <v>0</v>
      </c>
      <c r="FH1616" s="29" t="str">
        <f t="shared" si="52"/>
        <v/>
      </c>
      <c r="FJ1616" s="36" t="str">
        <f>IF($FH1616="","",SUM($FN1616:$FN$7000))</f>
        <v/>
      </c>
      <c r="FK1616" s="36" t="str">
        <f>IF($FH1616="","",SUM($FN1616:$FN$7000))</f>
        <v/>
      </c>
    </row>
    <row r="1617" spans="152:167">
      <c r="EV1617" s="28">
        <f t="shared" si="51"/>
        <v>0</v>
      </c>
      <c r="FH1617" s="29" t="str">
        <f t="shared" si="52"/>
        <v/>
      </c>
      <c r="FJ1617" s="36" t="str">
        <f>IF($FH1617="","",SUM($FN1617:$FN$7000))</f>
        <v/>
      </c>
      <c r="FK1617" s="36" t="str">
        <f>IF($FH1617="","",SUM($FN1617:$FN$7000))</f>
        <v/>
      </c>
    </row>
    <row r="1618" spans="152:167">
      <c r="EV1618" s="28">
        <f t="shared" si="51"/>
        <v>0</v>
      </c>
      <c r="FH1618" s="29" t="str">
        <f t="shared" si="52"/>
        <v/>
      </c>
      <c r="FJ1618" s="36" t="str">
        <f>IF($FH1618="","",SUM($FN1618:$FN$7000))</f>
        <v/>
      </c>
      <c r="FK1618" s="36" t="str">
        <f>IF($FH1618="","",SUM($FN1618:$FN$7000))</f>
        <v/>
      </c>
    </row>
    <row r="1619" spans="152:167">
      <c r="EV1619" s="28">
        <f t="shared" si="51"/>
        <v>0</v>
      </c>
      <c r="FH1619" s="29" t="str">
        <f t="shared" si="52"/>
        <v/>
      </c>
      <c r="FJ1619" s="36" t="str">
        <f>IF($FH1619="","",SUM($FN1619:$FN$7000))</f>
        <v/>
      </c>
      <c r="FK1619" s="36" t="str">
        <f>IF($FH1619="","",SUM($FN1619:$FN$7000))</f>
        <v/>
      </c>
    </row>
    <row r="1620" spans="152:167">
      <c r="EV1620" s="28">
        <f t="shared" si="51"/>
        <v>0</v>
      </c>
      <c r="FH1620" s="29" t="str">
        <f t="shared" si="52"/>
        <v/>
      </c>
      <c r="FJ1620" s="36" t="str">
        <f>IF($FH1620="","",SUM($FN1620:$FN$7000))</f>
        <v/>
      </c>
      <c r="FK1620" s="36" t="str">
        <f>IF($FH1620="","",SUM($FN1620:$FN$7000))</f>
        <v/>
      </c>
    </row>
    <row r="1621" spans="152:167">
      <c r="EV1621" s="28">
        <f t="shared" si="51"/>
        <v>0</v>
      </c>
      <c r="FH1621" s="29" t="str">
        <f t="shared" si="52"/>
        <v/>
      </c>
      <c r="FJ1621" s="36" t="str">
        <f>IF($FH1621="","",SUM($FN1621:$FN$7000))</f>
        <v/>
      </c>
      <c r="FK1621" s="36" t="str">
        <f>IF($FH1621="","",SUM($FN1621:$FN$7000))</f>
        <v/>
      </c>
    </row>
    <row r="1622" spans="152:167">
      <c r="EV1622" s="28">
        <f t="shared" si="51"/>
        <v>0</v>
      </c>
      <c r="FH1622" s="29" t="str">
        <f t="shared" si="52"/>
        <v/>
      </c>
      <c r="FJ1622" s="36" t="str">
        <f>IF($FH1622="","",SUM($FN1622:$FN$7000))</f>
        <v/>
      </c>
      <c r="FK1622" s="36" t="str">
        <f>IF($FH1622="","",SUM($FN1622:$FN$7000))</f>
        <v/>
      </c>
    </row>
    <row r="1623" spans="152:167">
      <c r="EV1623" s="28">
        <f t="shared" si="51"/>
        <v>0</v>
      </c>
      <c r="FH1623" s="29" t="str">
        <f t="shared" si="52"/>
        <v/>
      </c>
      <c r="FJ1623" s="36" t="str">
        <f>IF($FH1623="","",SUM($FN1623:$FN$7000))</f>
        <v/>
      </c>
      <c r="FK1623" s="36" t="str">
        <f>IF($FH1623="","",SUM($FN1623:$FN$7000))</f>
        <v/>
      </c>
    </row>
    <row r="1624" spans="152:167">
      <c r="EV1624" s="28">
        <f t="shared" si="51"/>
        <v>0</v>
      </c>
      <c r="FH1624" s="29" t="str">
        <f t="shared" si="52"/>
        <v/>
      </c>
      <c r="FJ1624" s="36" t="str">
        <f>IF($FH1624="","",SUM($FN1624:$FN$7000))</f>
        <v/>
      </c>
      <c r="FK1624" s="36" t="str">
        <f>IF($FH1624="","",SUM($FN1624:$FN$7000))</f>
        <v/>
      </c>
    </row>
    <row r="1625" spans="152:167">
      <c r="EV1625" s="28">
        <f t="shared" si="51"/>
        <v>0</v>
      </c>
      <c r="FH1625" s="29" t="str">
        <f t="shared" si="52"/>
        <v/>
      </c>
      <c r="FJ1625" s="36" t="str">
        <f>IF($FH1625="","",SUM($FN1625:$FN$7000))</f>
        <v/>
      </c>
      <c r="FK1625" s="36" t="str">
        <f>IF($FH1625="","",SUM($FN1625:$FN$7000))</f>
        <v/>
      </c>
    </row>
    <row r="1626" spans="152:167">
      <c r="EV1626" s="28">
        <f t="shared" si="51"/>
        <v>0</v>
      </c>
      <c r="FH1626" s="29" t="str">
        <f t="shared" si="52"/>
        <v/>
      </c>
      <c r="FJ1626" s="36" t="str">
        <f>IF($FH1626="","",SUM($FN1626:$FN$7000))</f>
        <v/>
      </c>
      <c r="FK1626" s="36" t="str">
        <f>IF($FH1626="","",SUM($FN1626:$FN$7000))</f>
        <v/>
      </c>
    </row>
    <row r="1627" spans="152:167">
      <c r="EV1627" s="28">
        <f t="shared" si="51"/>
        <v>0</v>
      </c>
      <c r="FH1627" s="29" t="str">
        <f t="shared" si="52"/>
        <v/>
      </c>
      <c r="FJ1627" s="36" t="str">
        <f>IF($FH1627="","",SUM($FN1627:$FN$7000))</f>
        <v/>
      </c>
      <c r="FK1627" s="36" t="str">
        <f>IF($FH1627="","",SUM($FN1627:$FN$7000))</f>
        <v/>
      </c>
    </row>
    <row r="1628" spans="152:167">
      <c r="EV1628" s="28">
        <f t="shared" si="51"/>
        <v>0</v>
      </c>
      <c r="FH1628" s="29" t="str">
        <f t="shared" si="52"/>
        <v/>
      </c>
      <c r="FJ1628" s="36" t="str">
        <f>IF($FH1628="","",SUM($FN1628:$FN$7000))</f>
        <v/>
      </c>
      <c r="FK1628" s="36" t="str">
        <f>IF($FH1628="","",SUM($FN1628:$FN$7000))</f>
        <v/>
      </c>
    </row>
    <row r="1629" spans="152:167">
      <c r="EV1629" s="28">
        <f t="shared" si="51"/>
        <v>0</v>
      </c>
      <c r="FH1629" s="29" t="str">
        <f t="shared" si="52"/>
        <v/>
      </c>
      <c r="FJ1629" s="36" t="str">
        <f>IF($FH1629="","",SUM($FN1629:$FN$7000))</f>
        <v/>
      </c>
      <c r="FK1629" s="36" t="str">
        <f>IF($FH1629="","",SUM($FN1629:$FN$7000))</f>
        <v/>
      </c>
    </row>
    <row r="1630" spans="152:167">
      <c r="EV1630" s="28">
        <f t="shared" si="51"/>
        <v>0</v>
      </c>
      <c r="FH1630" s="29" t="str">
        <f t="shared" si="52"/>
        <v/>
      </c>
      <c r="FJ1630" s="36" t="str">
        <f>IF($FH1630="","",SUM($FN1630:$FN$7000))</f>
        <v/>
      </c>
      <c r="FK1630" s="36" t="str">
        <f>IF($FH1630="","",SUM($FN1630:$FN$7000))</f>
        <v/>
      </c>
    </row>
    <row r="1631" spans="152:167">
      <c r="EV1631" s="28">
        <f t="shared" si="51"/>
        <v>0</v>
      </c>
      <c r="FH1631" s="29" t="str">
        <f t="shared" si="52"/>
        <v/>
      </c>
      <c r="FJ1631" s="36" t="str">
        <f>IF($FH1631="","",SUM($FN1631:$FN$7000))</f>
        <v/>
      </c>
      <c r="FK1631" s="36" t="str">
        <f>IF($FH1631="","",SUM($FN1631:$FN$7000))</f>
        <v/>
      </c>
    </row>
    <row r="1632" spans="152:167">
      <c r="EV1632" s="28">
        <f t="shared" si="51"/>
        <v>0</v>
      </c>
      <c r="FH1632" s="29" t="str">
        <f t="shared" si="52"/>
        <v/>
      </c>
      <c r="FJ1632" s="36" t="str">
        <f>IF($FH1632="","",SUM($FN1632:$FN$7000))</f>
        <v/>
      </c>
      <c r="FK1632" s="36" t="str">
        <f>IF($FH1632="","",SUM($FN1632:$FN$7000))</f>
        <v/>
      </c>
    </row>
    <row r="1633" spans="152:167">
      <c r="EV1633" s="28">
        <f t="shared" si="51"/>
        <v>0</v>
      </c>
      <c r="FH1633" s="29" t="str">
        <f t="shared" si="52"/>
        <v/>
      </c>
      <c r="FJ1633" s="36" t="str">
        <f>IF($FH1633="","",SUM($FN1633:$FN$7000))</f>
        <v/>
      </c>
      <c r="FK1633" s="36" t="str">
        <f>IF($FH1633="","",SUM($FN1633:$FN$7000))</f>
        <v/>
      </c>
    </row>
    <row r="1634" spans="152:167">
      <c r="EV1634" s="28">
        <f t="shared" si="51"/>
        <v>0</v>
      </c>
      <c r="FH1634" s="29" t="str">
        <f t="shared" si="52"/>
        <v/>
      </c>
      <c r="FJ1634" s="36" t="str">
        <f>IF($FH1634="","",SUM($FN1634:$FN$7000))</f>
        <v/>
      </c>
      <c r="FK1634" s="36" t="str">
        <f>IF($FH1634="","",SUM($FN1634:$FN$7000))</f>
        <v/>
      </c>
    </row>
    <row r="1635" spans="152:167">
      <c r="EV1635" s="28">
        <f t="shared" si="51"/>
        <v>0</v>
      </c>
      <c r="FH1635" s="29" t="str">
        <f t="shared" si="52"/>
        <v/>
      </c>
      <c r="FJ1635" s="36" t="str">
        <f>IF($FH1635="","",SUM($FN1635:$FN$7000))</f>
        <v/>
      </c>
      <c r="FK1635" s="36" t="str">
        <f>IF($FH1635="","",SUM($FN1635:$FN$7000))</f>
        <v/>
      </c>
    </row>
    <row r="1636" spans="152:167">
      <c r="EV1636" s="28">
        <f t="shared" si="51"/>
        <v>0</v>
      </c>
      <c r="FH1636" s="29" t="str">
        <f t="shared" si="52"/>
        <v/>
      </c>
      <c r="FJ1636" s="36" t="str">
        <f>IF($FH1636="","",SUM($FN1636:$FN$7000))</f>
        <v/>
      </c>
      <c r="FK1636" s="36" t="str">
        <f>IF($FH1636="","",SUM($FN1636:$FN$7000))</f>
        <v/>
      </c>
    </row>
    <row r="1637" spans="152:167">
      <c r="EV1637" s="28">
        <f t="shared" si="51"/>
        <v>0</v>
      </c>
      <c r="FH1637" s="29" t="str">
        <f t="shared" si="52"/>
        <v/>
      </c>
      <c r="FJ1637" s="36" t="str">
        <f>IF($FH1637="","",SUM($FN1637:$FN$7000))</f>
        <v/>
      </c>
      <c r="FK1637" s="36" t="str">
        <f>IF($FH1637="","",SUM($FN1637:$FN$7000))</f>
        <v/>
      </c>
    </row>
    <row r="1638" spans="152:167">
      <c r="EV1638" s="28">
        <f t="shared" si="51"/>
        <v>0</v>
      </c>
      <c r="FH1638" s="29" t="str">
        <f t="shared" si="52"/>
        <v/>
      </c>
      <c r="FJ1638" s="36" t="str">
        <f>IF($FH1638="","",SUM($FN1638:$FN$7000))</f>
        <v/>
      </c>
      <c r="FK1638" s="36" t="str">
        <f>IF($FH1638="","",SUM($FN1638:$FN$7000))</f>
        <v/>
      </c>
    </row>
    <row r="1639" spans="152:167">
      <c r="EV1639" s="28">
        <f t="shared" si="51"/>
        <v>0</v>
      </c>
      <c r="FH1639" s="29" t="str">
        <f t="shared" si="52"/>
        <v/>
      </c>
      <c r="FJ1639" s="36" t="str">
        <f>IF($FH1639="","",SUM($FN1639:$FN$7000))</f>
        <v/>
      </c>
      <c r="FK1639" s="36" t="str">
        <f>IF($FH1639="","",SUM($FN1639:$FN$7000))</f>
        <v/>
      </c>
    </row>
    <row r="1640" spans="152:167">
      <c r="EV1640" s="28">
        <f t="shared" si="51"/>
        <v>0</v>
      </c>
      <c r="FH1640" s="29" t="str">
        <f t="shared" si="52"/>
        <v/>
      </c>
      <c r="FJ1640" s="36" t="str">
        <f>IF($FH1640="","",SUM($FN1640:$FN$7000))</f>
        <v/>
      </c>
      <c r="FK1640" s="36" t="str">
        <f>IF($FH1640="","",SUM($FN1640:$FN$7000))</f>
        <v/>
      </c>
    </row>
    <row r="1641" spans="152:167">
      <c r="EV1641" s="28">
        <f t="shared" si="51"/>
        <v>0</v>
      </c>
      <c r="FH1641" s="29" t="str">
        <f t="shared" si="52"/>
        <v/>
      </c>
      <c r="FJ1641" s="36" t="str">
        <f>IF($FH1641="","",SUM($FN1641:$FN$7000))</f>
        <v/>
      </c>
      <c r="FK1641" s="36" t="str">
        <f>IF($FH1641="","",SUM($FN1641:$FN$7000))</f>
        <v/>
      </c>
    </row>
    <row r="1642" spans="152:167">
      <c r="EV1642" s="28">
        <f t="shared" si="51"/>
        <v>0</v>
      </c>
      <c r="FH1642" s="29" t="str">
        <f t="shared" si="52"/>
        <v/>
      </c>
      <c r="FJ1642" s="36" t="str">
        <f>IF($FH1642="","",SUM($FN1642:$FN$7000))</f>
        <v/>
      </c>
      <c r="FK1642" s="36" t="str">
        <f>IF($FH1642="","",SUM($FN1642:$FN$7000))</f>
        <v/>
      </c>
    </row>
    <row r="1643" spans="152:167">
      <c r="EV1643" s="28">
        <f t="shared" si="51"/>
        <v>0</v>
      </c>
      <c r="FH1643" s="29" t="str">
        <f t="shared" si="52"/>
        <v/>
      </c>
      <c r="FJ1643" s="36" t="str">
        <f>IF($FH1643="","",SUM($FN1643:$FN$7000))</f>
        <v/>
      </c>
      <c r="FK1643" s="36" t="str">
        <f>IF($FH1643="","",SUM($FN1643:$FN$7000))</f>
        <v/>
      </c>
    </row>
    <row r="1644" spans="152:167">
      <c r="EV1644" s="28">
        <f t="shared" si="51"/>
        <v>0</v>
      </c>
      <c r="FH1644" s="29" t="str">
        <f t="shared" si="52"/>
        <v/>
      </c>
      <c r="FJ1644" s="36" t="str">
        <f>IF($FH1644="","",SUM($FN1644:$FN$7000))</f>
        <v/>
      </c>
      <c r="FK1644" s="36" t="str">
        <f>IF($FH1644="","",SUM($FN1644:$FN$7000))</f>
        <v/>
      </c>
    </row>
    <row r="1645" spans="152:167">
      <c r="EV1645" s="28">
        <f t="shared" si="51"/>
        <v>0</v>
      </c>
      <c r="FH1645" s="29" t="str">
        <f t="shared" si="52"/>
        <v/>
      </c>
      <c r="FJ1645" s="36" t="str">
        <f>IF($FH1645="","",SUM($FN1645:$FN$7000))</f>
        <v/>
      </c>
      <c r="FK1645" s="36" t="str">
        <f>IF($FH1645="","",SUM($FN1645:$FN$7000))</f>
        <v/>
      </c>
    </row>
    <row r="1646" spans="152:167">
      <c r="EV1646" s="28">
        <f t="shared" si="51"/>
        <v>0</v>
      </c>
      <c r="FH1646" s="29" t="str">
        <f t="shared" si="52"/>
        <v/>
      </c>
      <c r="FJ1646" s="36" t="str">
        <f>IF($FH1646="","",SUM($FN1646:$FN$7000))</f>
        <v/>
      </c>
      <c r="FK1646" s="36" t="str">
        <f>IF($FH1646="","",SUM($FN1646:$FN$7000))</f>
        <v/>
      </c>
    </row>
    <row r="1647" spans="152:167">
      <c r="EV1647" s="28">
        <f t="shared" si="51"/>
        <v>0</v>
      </c>
      <c r="FH1647" s="29" t="str">
        <f t="shared" si="52"/>
        <v/>
      </c>
      <c r="FJ1647" s="36" t="str">
        <f>IF($FH1647="","",SUM($FN1647:$FN$7000))</f>
        <v/>
      </c>
      <c r="FK1647" s="36" t="str">
        <f>IF($FH1647="","",SUM($FN1647:$FN$7000))</f>
        <v/>
      </c>
    </row>
    <row r="1648" spans="152:167">
      <c r="EV1648" s="28">
        <f t="shared" si="51"/>
        <v>0</v>
      </c>
      <c r="FH1648" s="29" t="str">
        <f t="shared" si="52"/>
        <v/>
      </c>
      <c r="FJ1648" s="36" t="str">
        <f>IF($FH1648="","",SUM($FN1648:$FN$7000))</f>
        <v/>
      </c>
      <c r="FK1648" s="36" t="str">
        <f>IF($FH1648="","",SUM($FN1648:$FN$7000))</f>
        <v/>
      </c>
    </row>
    <row r="1649" spans="152:167">
      <c r="EV1649" s="28">
        <f t="shared" si="51"/>
        <v>0</v>
      </c>
      <c r="FH1649" s="29" t="str">
        <f t="shared" si="52"/>
        <v/>
      </c>
      <c r="FJ1649" s="36" t="str">
        <f>IF($FH1649="","",SUM($FN1649:$FN$7000))</f>
        <v/>
      </c>
      <c r="FK1649" s="36" t="str">
        <f>IF($FH1649="","",SUM($FN1649:$FN$7000))</f>
        <v/>
      </c>
    </row>
    <row r="1650" spans="152:167">
      <c r="EV1650" s="28">
        <f t="shared" si="51"/>
        <v>0</v>
      </c>
      <c r="FH1650" s="29" t="str">
        <f t="shared" si="52"/>
        <v/>
      </c>
      <c r="FJ1650" s="36" t="str">
        <f>IF($FH1650="","",SUM($FN1650:$FN$7000))</f>
        <v/>
      </c>
      <c r="FK1650" s="36" t="str">
        <f>IF($FH1650="","",SUM($FN1650:$FN$7000))</f>
        <v/>
      </c>
    </row>
    <row r="1651" spans="152:167">
      <c r="EV1651" s="28">
        <f t="shared" si="51"/>
        <v>0</v>
      </c>
      <c r="FH1651" s="29" t="str">
        <f t="shared" si="52"/>
        <v/>
      </c>
      <c r="FJ1651" s="36" t="str">
        <f>IF($FH1651="","",SUM($FN1651:$FN$7000))</f>
        <v/>
      </c>
      <c r="FK1651" s="36" t="str">
        <f>IF($FH1651="","",SUM($FN1651:$FN$7000))</f>
        <v/>
      </c>
    </row>
    <row r="1652" spans="152:167">
      <c r="EV1652" s="28">
        <f t="shared" si="51"/>
        <v>0</v>
      </c>
      <c r="FH1652" s="29" t="str">
        <f t="shared" si="52"/>
        <v/>
      </c>
      <c r="FJ1652" s="36" t="str">
        <f>IF($FH1652="","",SUM($FN1652:$FN$7000))</f>
        <v/>
      </c>
      <c r="FK1652" s="36" t="str">
        <f>IF($FH1652="","",SUM($FN1652:$FN$7000))</f>
        <v/>
      </c>
    </row>
    <row r="1653" spans="152:167">
      <c r="EV1653" s="28">
        <f t="shared" si="51"/>
        <v>0</v>
      </c>
      <c r="FH1653" s="29" t="str">
        <f t="shared" si="52"/>
        <v/>
      </c>
      <c r="FJ1653" s="36" t="str">
        <f>IF($FH1653="","",SUM($FN1653:$FN$7000))</f>
        <v/>
      </c>
      <c r="FK1653" s="36" t="str">
        <f>IF($FH1653="","",SUM($FN1653:$FN$7000))</f>
        <v/>
      </c>
    </row>
    <row r="1654" spans="152:167">
      <c r="EV1654" s="28">
        <f t="shared" si="51"/>
        <v>0</v>
      </c>
      <c r="FH1654" s="29" t="str">
        <f t="shared" si="52"/>
        <v/>
      </c>
      <c r="FJ1654" s="36" t="str">
        <f>IF($FH1654="","",SUM($FN1654:$FN$7000))</f>
        <v/>
      </c>
      <c r="FK1654" s="36" t="str">
        <f>IF($FH1654="","",SUM($FN1654:$FN$7000))</f>
        <v/>
      </c>
    </row>
    <row r="1655" spans="152:167">
      <c r="EV1655" s="28">
        <f t="shared" si="51"/>
        <v>0</v>
      </c>
      <c r="FH1655" s="29" t="str">
        <f t="shared" si="52"/>
        <v/>
      </c>
      <c r="FJ1655" s="36" t="str">
        <f>IF($FH1655="","",SUM($FN1655:$FN$7000))</f>
        <v/>
      </c>
      <c r="FK1655" s="36" t="str">
        <f>IF($FH1655="","",SUM($FN1655:$FN$7000))</f>
        <v/>
      </c>
    </row>
    <row r="1656" spans="152:167">
      <c r="EV1656" s="28">
        <f t="shared" si="51"/>
        <v>0</v>
      </c>
      <c r="FH1656" s="29" t="str">
        <f t="shared" si="52"/>
        <v/>
      </c>
      <c r="FJ1656" s="36" t="str">
        <f>IF($FH1656="","",SUM($FN1656:$FN$7000))</f>
        <v/>
      </c>
      <c r="FK1656" s="36" t="str">
        <f>IF($FH1656="","",SUM($FN1656:$FN$7000))</f>
        <v/>
      </c>
    </row>
    <row r="1657" spans="152:167">
      <c r="EV1657" s="28">
        <f t="shared" si="51"/>
        <v>0</v>
      </c>
      <c r="FH1657" s="29" t="str">
        <f t="shared" si="52"/>
        <v/>
      </c>
      <c r="FJ1657" s="36" t="str">
        <f>IF($FH1657="","",SUM($FN1657:$FN$7000))</f>
        <v/>
      </c>
      <c r="FK1657" s="36" t="str">
        <f>IF($FH1657="","",SUM($FN1657:$FN$7000))</f>
        <v/>
      </c>
    </row>
    <row r="1658" spans="152:167">
      <c r="EV1658" s="28">
        <f t="shared" si="51"/>
        <v>0</v>
      </c>
      <c r="FH1658" s="29" t="str">
        <f t="shared" si="52"/>
        <v/>
      </c>
      <c r="FJ1658" s="36" t="str">
        <f>IF($FH1658="","",SUM($FN1658:$FN$7000))</f>
        <v/>
      </c>
      <c r="FK1658" s="36" t="str">
        <f>IF($FH1658="","",SUM($FN1658:$FN$7000))</f>
        <v/>
      </c>
    </row>
    <row r="1659" spans="152:167">
      <c r="EV1659" s="28">
        <f t="shared" si="51"/>
        <v>0</v>
      </c>
      <c r="FH1659" s="29" t="str">
        <f t="shared" si="52"/>
        <v/>
      </c>
      <c r="FJ1659" s="36" t="str">
        <f>IF($FH1659="","",SUM($FN1659:$FN$7000))</f>
        <v/>
      </c>
      <c r="FK1659" s="36" t="str">
        <f>IF($FH1659="","",SUM($FN1659:$FN$7000))</f>
        <v/>
      </c>
    </row>
    <row r="1660" spans="152:167">
      <c r="EV1660" s="28">
        <f t="shared" si="51"/>
        <v>0</v>
      </c>
      <c r="FH1660" s="29" t="str">
        <f t="shared" si="52"/>
        <v/>
      </c>
      <c r="FJ1660" s="36" t="str">
        <f>IF($FH1660="","",SUM($FN1660:$FN$7000))</f>
        <v/>
      </c>
      <c r="FK1660" s="36" t="str">
        <f>IF($FH1660="","",SUM($FN1660:$FN$7000))</f>
        <v/>
      </c>
    </row>
    <row r="1661" spans="152:167">
      <c r="EV1661" s="28">
        <f t="shared" si="51"/>
        <v>0</v>
      </c>
      <c r="FH1661" s="29" t="str">
        <f t="shared" si="52"/>
        <v/>
      </c>
      <c r="FJ1661" s="36" t="str">
        <f>IF($FH1661="","",SUM($FN1661:$FN$7000))</f>
        <v/>
      </c>
      <c r="FK1661" s="36" t="str">
        <f>IF($FH1661="","",SUM($FN1661:$FN$7000))</f>
        <v/>
      </c>
    </row>
    <row r="1662" spans="152:167">
      <c r="EV1662" s="28">
        <f t="shared" si="51"/>
        <v>0</v>
      </c>
      <c r="FH1662" s="29" t="str">
        <f t="shared" si="52"/>
        <v/>
      </c>
      <c r="FJ1662" s="36" t="str">
        <f>IF($FH1662="","",SUM($FN1662:$FN$7000))</f>
        <v/>
      </c>
      <c r="FK1662" s="36" t="str">
        <f>IF($FH1662="","",SUM($FN1662:$FN$7000))</f>
        <v/>
      </c>
    </row>
    <row r="1663" spans="152:167">
      <c r="EV1663" s="28">
        <f t="shared" si="51"/>
        <v>0</v>
      </c>
      <c r="FH1663" s="29" t="str">
        <f t="shared" si="52"/>
        <v/>
      </c>
      <c r="FJ1663" s="36" t="str">
        <f>IF($FH1663="","",SUM($FN1663:$FN$7000))</f>
        <v/>
      </c>
      <c r="FK1663" s="36" t="str">
        <f>IF($FH1663="","",SUM($FN1663:$FN$7000))</f>
        <v/>
      </c>
    </row>
    <row r="1664" spans="152:167">
      <c r="EV1664" s="28">
        <f t="shared" si="51"/>
        <v>0</v>
      </c>
      <c r="FH1664" s="29" t="str">
        <f t="shared" si="52"/>
        <v/>
      </c>
      <c r="FJ1664" s="36" t="str">
        <f>IF($FH1664="","",SUM($FN1664:$FN$7000))</f>
        <v/>
      </c>
      <c r="FK1664" s="36" t="str">
        <f>IF($FH1664="","",SUM($FN1664:$FN$7000))</f>
        <v/>
      </c>
    </row>
    <row r="1665" spans="152:167">
      <c r="EV1665" s="28">
        <f t="shared" si="51"/>
        <v>0</v>
      </c>
      <c r="FH1665" s="29" t="str">
        <f t="shared" si="52"/>
        <v/>
      </c>
      <c r="FJ1665" s="36" t="str">
        <f>IF($FH1665="","",SUM($FN1665:$FN$7000))</f>
        <v/>
      </c>
      <c r="FK1665" s="36" t="str">
        <f>IF($FH1665="","",SUM($FN1665:$FN$7000))</f>
        <v/>
      </c>
    </row>
    <row r="1666" spans="152:167">
      <c r="EV1666" s="28">
        <f t="shared" si="51"/>
        <v>0</v>
      </c>
      <c r="FH1666" s="29" t="str">
        <f t="shared" si="52"/>
        <v/>
      </c>
      <c r="FJ1666" s="36" t="str">
        <f>IF($FH1666="","",SUM($FN1666:$FN$7000))</f>
        <v/>
      </c>
      <c r="FK1666" s="36" t="str">
        <f>IF($FH1666="","",SUM($FN1666:$FN$7000))</f>
        <v/>
      </c>
    </row>
    <row r="1667" spans="152:167">
      <c r="EV1667" s="28">
        <f t="shared" si="51"/>
        <v>0</v>
      </c>
      <c r="FH1667" s="29" t="str">
        <f t="shared" si="52"/>
        <v/>
      </c>
      <c r="FJ1667" s="36" t="str">
        <f>IF($FH1667="","",SUM($FN1667:$FN$7000))</f>
        <v/>
      </c>
      <c r="FK1667" s="36" t="str">
        <f>IF($FH1667="","",SUM($FN1667:$FN$7000))</f>
        <v/>
      </c>
    </row>
    <row r="1668" spans="152:167">
      <c r="EV1668" s="28">
        <f t="shared" si="51"/>
        <v>0</v>
      </c>
      <c r="FH1668" s="29" t="str">
        <f t="shared" si="52"/>
        <v/>
      </c>
      <c r="FJ1668" s="36" t="str">
        <f>IF($FH1668="","",SUM($FN1668:$FN$7000))</f>
        <v/>
      </c>
      <c r="FK1668" s="36" t="str">
        <f>IF($FH1668="","",SUM($FN1668:$FN$7000))</f>
        <v/>
      </c>
    </row>
    <row r="1669" spans="152:167">
      <c r="EV1669" s="28">
        <f t="shared" si="51"/>
        <v>0</v>
      </c>
      <c r="FH1669" s="29" t="str">
        <f t="shared" si="52"/>
        <v/>
      </c>
      <c r="FJ1669" s="36" t="str">
        <f>IF($FH1669="","",SUM($FN1669:$FN$7000))</f>
        <v/>
      </c>
      <c r="FK1669" s="36" t="str">
        <f>IF($FH1669="","",SUM($FN1669:$FN$7000))</f>
        <v/>
      </c>
    </row>
    <row r="1670" spans="152:167">
      <c r="EV1670" s="28">
        <f t="shared" si="51"/>
        <v>0</v>
      </c>
      <c r="FH1670" s="29" t="str">
        <f t="shared" si="52"/>
        <v/>
      </c>
      <c r="FJ1670" s="36" t="str">
        <f>IF($FH1670="","",SUM($FN1670:$FN$7000))</f>
        <v/>
      </c>
      <c r="FK1670" s="36" t="str">
        <f>IF($FH1670="","",SUM($FN1670:$FN$7000))</f>
        <v/>
      </c>
    </row>
    <row r="1671" spans="152:167">
      <c r="EV1671" s="28">
        <f t="shared" si="51"/>
        <v>0</v>
      </c>
      <c r="FH1671" s="29" t="str">
        <f t="shared" si="52"/>
        <v/>
      </c>
      <c r="FJ1671" s="36" t="str">
        <f>IF($FH1671="","",SUM($FN1671:$FN$7000))</f>
        <v/>
      </c>
      <c r="FK1671" s="36" t="str">
        <f>IF($FH1671="","",SUM($FN1671:$FN$7000))</f>
        <v/>
      </c>
    </row>
    <row r="1672" spans="152:167">
      <c r="EV1672" s="28">
        <f t="shared" si="51"/>
        <v>0</v>
      </c>
      <c r="FH1672" s="29" t="str">
        <f t="shared" si="52"/>
        <v/>
      </c>
      <c r="FJ1672" s="36" t="str">
        <f>IF($FH1672="","",SUM($FN1672:$FN$7000))</f>
        <v/>
      </c>
      <c r="FK1672" s="36" t="str">
        <f>IF($FH1672="","",SUM($FN1672:$FN$7000))</f>
        <v/>
      </c>
    </row>
    <row r="1673" spans="152:167">
      <c r="EV1673" s="28">
        <f t="shared" si="51"/>
        <v>0</v>
      </c>
      <c r="FH1673" s="29" t="str">
        <f t="shared" si="52"/>
        <v/>
      </c>
      <c r="FJ1673" s="36" t="str">
        <f>IF($FH1673="","",SUM($FN1673:$FN$7000))</f>
        <v/>
      </c>
      <c r="FK1673" s="36" t="str">
        <f>IF($FH1673="","",SUM($FN1673:$FN$7000))</f>
        <v/>
      </c>
    </row>
    <row r="1674" spans="152:167">
      <c r="EV1674" s="28">
        <f t="shared" si="51"/>
        <v>0</v>
      </c>
      <c r="FH1674" s="29" t="str">
        <f t="shared" si="52"/>
        <v/>
      </c>
      <c r="FJ1674" s="36" t="str">
        <f>IF($FH1674="","",SUM($FN1674:$FN$7000))</f>
        <v/>
      </c>
      <c r="FK1674" s="36" t="str">
        <f>IF($FH1674="","",SUM($FN1674:$FN$7000))</f>
        <v/>
      </c>
    </row>
    <row r="1675" spans="152:167">
      <c r="EV1675" s="28">
        <f t="shared" ref="EV1675:EV1738" si="53">EU1675-ET1675</f>
        <v>0</v>
      </c>
      <c r="FH1675" s="29" t="str">
        <f t="shared" ref="FH1675:FH1738" si="54">IF(FL1675="","",FL1675)</f>
        <v/>
      </c>
      <c r="FJ1675" s="36" t="str">
        <f>IF($FH1675="","",SUM($FN1675:$FN$7000))</f>
        <v/>
      </c>
      <c r="FK1675" s="36" t="str">
        <f>IF($FH1675="","",SUM($FN1675:$FN$7000))</f>
        <v/>
      </c>
    </row>
    <row r="1676" spans="152:167">
      <c r="EV1676" s="28">
        <f t="shared" si="53"/>
        <v>0</v>
      </c>
      <c r="FH1676" s="29" t="str">
        <f t="shared" si="54"/>
        <v/>
      </c>
      <c r="FJ1676" s="36" t="str">
        <f>IF($FH1676="","",SUM($FN1676:$FN$7000))</f>
        <v/>
      </c>
      <c r="FK1676" s="36" t="str">
        <f>IF($FH1676="","",SUM($FN1676:$FN$7000))</f>
        <v/>
      </c>
    </row>
    <row r="1677" spans="152:167">
      <c r="EV1677" s="28">
        <f t="shared" si="53"/>
        <v>0</v>
      </c>
      <c r="FH1677" s="29" t="str">
        <f t="shared" si="54"/>
        <v/>
      </c>
      <c r="FJ1677" s="36" t="str">
        <f>IF($FH1677="","",SUM($FN1677:$FN$7000))</f>
        <v/>
      </c>
      <c r="FK1677" s="36" t="str">
        <f>IF($FH1677="","",SUM($FN1677:$FN$7000))</f>
        <v/>
      </c>
    </row>
    <row r="1678" spans="152:167">
      <c r="EV1678" s="28">
        <f t="shared" si="53"/>
        <v>0</v>
      </c>
      <c r="FH1678" s="29" t="str">
        <f t="shared" si="54"/>
        <v/>
      </c>
      <c r="FJ1678" s="36" t="str">
        <f>IF($FH1678="","",SUM($FN1678:$FN$7000))</f>
        <v/>
      </c>
      <c r="FK1678" s="36" t="str">
        <f>IF($FH1678="","",SUM($FN1678:$FN$7000))</f>
        <v/>
      </c>
    </row>
    <row r="1679" spans="152:167">
      <c r="EV1679" s="28">
        <f t="shared" si="53"/>
        <v>0</v>
      </c>
      <c r="FH1679" s="29" t="str">
        <f t="shared" si="54"/>
        <v/>
      </c>
      <c r="FJ1679" s="36" t="str">
        <f>IF($FH1679="","",SUM($FN1679:$FN$7000))</f>
        <v/>
      </c>
      <c r="FK1679" s="36" t="str">
        <f>IF($FH1679="","",SUM($FN1679:$FN$7000))</f>
        <v/>
      </c>
    </row>
    <row r="1680" spans="152:167">
      <c r="EV1680" s="28">
        <f t="shared" si="53"/>
        <v>0</v>
      </c>
      <c r="FH1680" s="29" t="str">
        <f t="shared" si="54"/>
        <v/>
      </c>
      <c r="FJ1680" s="36" t="str">
        <f>IF($FH1680="","",SUM($FN1680:$FN$7000))</f>
        <v/>
      </c>
      <c r="FK1680" s="36" t="str">
        <f>IF($FH1680="","",SUM($FN1680:$FN$7000))</f>
        <v/>
      </c>
    </row>
    <row r="1681" spans="152:167">
      <c r="EV1681" s="28">
        <f t="shared" si="53"/>
        <v>0</v>
      </c>
      <c r="FH1681" s="29" t="str">
        <f t="shared" si="54"/>
        <v/>
      </c>
      <c r="FJ1681" s="36" t="str">
        <f>IF($FH1681="","",SUM($FN1681:$FN$7000))</f>
        <v/>
      </c>
      <c r="FK1681" s="36" t="str">
        <f>IF($FH1681="","",SUM($FN1681:$FN$7000))</f>
        <v/>
      </c>
    </row>
    <row r="1682" spans="152:167">
      <c r="EV1682" s="28">
        <f t="shared" si="53"/>
        <v>0</v>
      </c>
      <c r="FH1682" s="29" t="str">
        <f t="shared" si="54"/>
        <v/>
      </c>
      <c r="FJ1682" s="36" t="str">
        <f>IF($FH1682="","",SUM($FN1682:$FN$7000))</f>
        <v/>
      </c>
      <c r="FK1682" s="36" t="str">
        <f>IF($FH1682="","",SUM($FN1682:$FN$7000))</f>
        <v/>
      </c>
    </row>
    <row r="1683" spans="152:167">
      <c r="EV1683" s="28">
        <f t="shared" si="53"/>
        <v>0</v>
      </c>
      <c r="FH1683" s="29" t="str">
        <f t="shared" si="54"/>
        <v/>
      </c>
      <c r="FJ1683" s="36" t="str">
        <f>IF($FH1683="","",SUM($FN1683:$FN$7000))</f>
        <v/>
      </c>
      <c r="FK1683" s="36" t="str">
        <f>IF($FH1683="","",SUM($FN1683:$FN$7000))</f>
        <v/>
      </c>
    </row>
    <row r="1684" spans="152:167">
      <c r="EV1684" s="28">
        <f t="shared" si="53"/>
        <v>0</v>
      </c>
      <c r="FH1684" s="29" t="str">
        <f t="shared" si="54"/>
        <v/>
      </c>
      <c r="FJ1684" s="36" t="str">
        <f>IF($FH1684="","",SUM($FN1684:$FN$7000))</f>
        <v/>
      </c>
      <c r="FK1684" s="36" t="str">
        <f>IF($FH1684="","",SUM($FN1684:$FN$7000))</f>
        <v/>
      </c>
    </row>
    <row r="1685" spans="152:167">
      <c r="EV1685" s="28">
        <f t="shared" si="53"/>
        <v>0</v>
      </c>
      <c r="FH1685" s="29" t="str">
        <f t="shared" si="54"/>
        <v/>
      </c>
      <c r="FJ1685" s="36" t="str">
        <f>IF($FH1685="","",SUM($FN1685:$FN$7000))</f>
        <v/>
      </c>
      <c r="FK1685" s="36" t="str">
        <f>IF($FH1685="","",SUM($FN1685:$FN$7000))</f>
        <v/>
      </c>
    </row>
    <row r="1686" spans="152:167">
      <c r="EV1686" s="28">
        <f t="shared" si="53"/>
        <v>0</v>
      </c>
      <c r="FH1686" s="29" t="str">
        <f t="shared" si="54"/>
        <v/>
      </c>
      <c r="FJ1686" s="36" t="str">
        <f>IF($FH1686="","",SUM($FN1686:$FN$7000))</f>
        <v/>
      </c>
      <c r="FK1686" s="36" t="str">
        <f>IF($FH1686="","",SUM($FN1686:$FN$7000))</f>
        <v/>
      </c>
    </row>
    <row r="1687" spans="152:167">
      <c r="EV1687" s="28">
        <f t="shared" si="53"/>
        <v>0</v>
      </c>
      <c r="FH1687" s="29" t="str">
        <f t="shared" si="54"/>
        <v/>
      </c>
      <c r="FJ1687" s="36" t="str">
        <f>IF($FH1687="","",SUM($FN1687:$FN$7000))</f>
        <v/>
      </c>
      <c r="FK1687" s="36" t="str">
        <f>IF($FH1687="","",SUM($FN1687:$FN$7000))</f>
        <v/>
      </c>
    </row>
    <row r="1688" spans="152:167">
      <c r="EV1688" s="28">
        <f t="shared" si="53"/>
        <v>0</v>
      </c>
      <c r="FH1688" s="29" t="str">
        <f t="shared" si="54"/>
        <v/>
      </c>
      <c r="FJ1688" s="36" t="str">
        <f>IF($FH1688="","",SUM($FN1688:$FN$7000))</f>
        <v/>
      </c>
      <c r="FK1688" s="36" t="str">
        <f>IF($FH1688="","",SUM($FN1688:$FN$7000))</f>
        <v/>
      </c>
    </row>
    <row r="1689" spans="152:167">
      <c r="EV1689" s="28">
        <f t="shared" si="53"/>
        <v>0</v>
      </c>
      <c r="FH1689" s="29" t="str">
        <f t="shared" si="54"/>
        <v/>
      </c>
      <c r="FJ1689" s="36" t="str">
        <f>IF($FH1689="","",SUM($FN1689:$FN$7000))</f>
        <v/>
      </c>
      <c r="FK1689" s="36" t="str">
        <f>IF($FH1689="","",SUM($FN1689:$FN$7000))</f>
        <v/>
      </c>
    </row>
    <row r="1690" spans="152:167">
      <c r="EV1690" s="28">
        <f t="shared" si="53"/>
        <v>0</v>
      </c>
      <c r="FH1690" s="29" t="str">
        <f t="shared" si="54"/>
        <v/>
      </c>
      <c r="FJ1690" s="36" t="str">
        <f>IF($FH1690="","",SUM($FN1690:$FN$7000))</f>
        <v/>
      </c>
      <c r="FK1690" s="36" t="str">
        <f>IF($FH1690="","",SUM($FN1690:$FN$7000))</f>
        <v/>
      </c>
    </row>
    <row r="1691" spans="152:167">
      <c r="EV1691" s="28">
        <f t="shared" si="53"/>
        <v>0</v>
      </c>
      <c r="FH1691" s="29" t="str">
        <f t="shared" si="54"/>
        <v/>
      </c>
      <c r="FJ1691" s="36" t="str">
        <f>IF($FH1691="","",SUM($FN1691:$FN$7000))</f>
        <v/>
      </c>
      <c r="FK1691" s="36" t="str">
        <f>IF($FH1691="","",SUM($FN1691:$FN$7000))</f>
        <v/>
      </c>
    </row>
    <row r="1692" spans="152:167">
      <c r="EV1692" s="28">
        <f t="shared" si="53"/>
        <v>0</v>
      </c>
      <c r="FH1692" s="29" t="str">
        <f t="shared" si="54"/>
        <v/>
      </c>
      <c r="FJ1692" s="36" t="str">
        <f>IF($FH1692="","",SUM($FN1692:$FN$7000))</f>
        <v/>
      </c>
      <c r="FK1692" s="36" t="str">
        <f>IF($FH1692="","",SUM($FN1692:$FN$7000))</f>
        <v/>
      </c>
    </row>
    <row r="1693" spans="152:167">
      <c r="EV1693" s="28">
        <f t="shared" si="53"/>
        <v>0</v>
      </c>
      <c r="FH1693" s="29" t="str">
        <f t="shared" si="54"/>
        <v/>
      </c>
      <c r="FJ1693" s="36" t="str">
        <f>IF($FH1693="","",SUM($FN1693:$FN$7000))</f>
        <v/>
      </c>
      <c r="FK1693" s="36" t="str">
        <f>IF($FH1693="","",SUM($FN1693:$FN$7000))</f>
        <v/>
      </c>
    </row>
    <row r="1694" spans="152:167">
      <c r="EV1694" s="28">
        <f t="shared" si="53"/>
        <v>0</v>
      </c>
      <c r="FH1694" s="29" t="str">
        <f t="shared" si="54"/>
        <v/>
      </c>
      <c r="FJ1694" s="36" t="str">
        <f>IF($FH1694="","",SUM($FN1694:$FN$7000))</f>
        <v/>
      </c>
      <c r="FK1694" s="36" t="str">
        <f>IF($FH1694="","",SUM($FN1694:$FN$7000))</f>
        <v/>
      </c>
    </row>
    <row r="1695" spans="152:167">
      <c r="EV1695" s="28">
        <f t="shared" si="53"/>
        <v>0</v>
      </c>
      <c r="FH1695" s="29" t="str">
        <f t="shared" si="54"/>
        <v/>
      </c>
      <c r="FJ1695" s="36" t="str">
        <f>IF($FH1695="","",SUM($FN1695:$FN$7000))</f>
        <v/>
      </c>
      <c r="FK1695" s="36" t="str">
        <f>IF($FH1695="","",SUM($FN1695:$FN$7000))</f>
        <v/>
      </c>
    </row>
    <row r="1696" spans="152:167">
      <c r="EV1696" s="28">
        <f t="shared" si="53"/>
        <v>0</v>
      </c>
      <c r="FH1696" s="29" t="str">
        <f t="shared" si="54"/>
        <v/>
      </c>
      <c r="FJ1696" s="36" t="str">
        <f>IF($FH1696="","",SUM($FN1696:$FN$7000))</f>
        <v/>
      </c>
      <c r="FK1696" s="36" t="str">
        <f>IF($FH1696="","",SUM($FN1696:$FN$7000))</f>
        <v/>
      </c>
    </row>
    <row r="1697" spans="152:167">
      <c r="EV1697" s="28">
        <f t="shared" si="53"/>
        <v>0</v>
      </c>
      <c r="FH1697" s="29" t="str">
        <f t="shared" si="54"/>
        <v/>
      </c>
      <c r="FJ1697" s="36" t="str">
        <f>IF($FH1697="","",SUM($FN1697:$FN$7000))</f>
        <v/>
      </c>
      <c r="FK1697" s="36" t="str">
        <f>IF($FH1697="","",SUM($FN1697:$FN$7000))</f>
        <v/>
      </c>
    </row>
    <row r="1698" spans="152:167">
      <c r="EV1698" s="28">
        <f t="shared" si="53"/>
        <v>0</v>
      </c>
      <c r="FH1698" s="29" t="str">
        <f t="shared" si="54"/>
        <v/>
      </c>
      <c r="FJ1698" s="36" t="str">
        <f>IF($FH1698="","",SUM($FN1698:$FN$7000))</f>
        <v/>
      </c>
      <c r="FK1698" s="36" t="str">
        <f>IF($FH1698="","",SUM($FN1698:$FN$7000))</f>
        <v/>
      </c>
    </row>
    <row r="1699" spans="152:167">
      <c r="EV1699" s="28">
        <f t="shared" si="53"/>
        <v>0</v>
      </c>
      <c r="FH1699" s="29" t="str">
        <f t="shared" si="54"/>
        <v/>
      </c>
      <c r="FJ1699" s="36" t="str">
        <f>IF($FH1699="","",SUM($FN1699:$FN$7000))</f>
        <v/>
      </c>
      <c r="FK1699" s="36" t="str">
        <f>IF($FH1699="","",SUM($FN1699:$FN$7000))</f>
        <v/>
      </c>
    </row>
    <row r="1700" spans="152:167">
      <c r="EV1700" s="28">
        <f t="shared" si="53"/>
        <v>0</v>
      </c>
      <c r="FH1700" s="29" t="str">
        <f t="shared" si="54"/>
        <v/>
      </c>
      <c r="FJ1700" s="36" t="str">
        <f>IF($FH1700="","",SUM($FN1700:$FN$7000))</f>
        <v/>
      </c>
      <c r="FK1700" s="36" t="str">
        <f>IF($FH1700="","",SUM($FN1700:$FN$7000))</f>
        <v/>
      </c>
    </row>
    <row r="1701" spans="152:167">
      <c r="EV1701" s="28">
        <f t="shared" si="53"/>
        <v>0</v>
      </c>
      <c r="FH1701" s="29" t="str">
        <f t="shared" si="54"/>
        <v/>
      </c>
      <c r="FJ1701" s="36" t="str">
        <f>IF($FH1701="","",SUM($FN1701:$FN$7000))</f>
        <v/>
      </c>
      <c r="FK1701" s="36" t="str">
        <f>IF($FH1701="","",SUM($FN1701:$FN$7000))</f>
        <v/>
      </c>
    </row>
    <row r="1702" spans="152:167">
      <c r="EV1702" s="28">
        <f t="shared" si="53"/>
        <v>0</v>
      </c>
      <c r="FH1702" s="29" t="str">
        <f t="shared" si="54"/>
        <v/>
      </c>
      <c r="FJ1702" s="36" t="str">
        <f>IF($FH1702="","",SUM($FN1702:$FN$7000))</f>
        <v/>
      </c>
      <c r="FK1702" s="36" t="str">
        <f>IF($FH1702="","",SUM($FN1702:$FN$7000))</f>
        <v/>
      </c>
    </row>
    <row r="1703" spans="152:167">
      <c r="EV1703" s="28">
        <f t="shared" si="53"/>
        <v>0</v>
      </c>
      <c r="FH1703" s="29" t="str">
        <f t="shared" si="54"/>
        <v/>
      </c>
      <c r="FJ1703" s="36" t="str">
        <f>IF($FH1703="","",SUM($FN1703:$FN$7000))</f>
        <v/>
      </c>
      <c r="FK1703" s="36" t="str">
        <f>IF($FH1703="","",SUM($FN1703:$FN$7000))</f>
        <v/>
      </c>
    </row>
    <row r="1704" spans="152:167">
      <c r="EV1704" s="28">
        <f t="shared" si="53"/>
        <v>0</v>
      </c>
      <c r="FH1704" s="29" t="str">
        <f t="shared" si="54"/>
        <v/>
      </c>
      <c r="FJ1704" s="36" t="str">
        <f>IF($FH1704="","",SUM($FN1704:$FN$7000))</f>
        <v/>
      </c>
      <c r="FK1704" s="36" t="str">
        <f>IF($FH1704="","",SUM($FN1704:$FN$7000))</f>
        <v/>
      </c>
    </row>
    <row r="1705" spans="152:167">
      <c r="EV1705" s="28">
        <f t="shared" si="53"/>
        <v>0</v>
      </c>
      <c r="FH1705" s="29" t="str">
        <f t="shared" si="54"/>
        <v/>
      </c>
      <c r="FJ1705" s="36" t="str">
        <f>IF($FH1705="","",SUM($FN1705:$FN$7000))</f>
        <v/>
      </c>
      <c r="FK1705" s="36" t="str">
        <f>IF($FH1705="","",SUM($FN1705:$FN$7000))</f>
        <v/>
      </c>
    </row>
    <row r="1706" spans="152:167">
      <c r="EV1706" s="28">
        <f t="shared" si="53"/>
        <v>0</v>
      </c>
      <c r="FH1706" s="29" t="str">
        <f t="shared" si="54"/>
        <v/>
      </c>
      <c r="FJ1706" s="36" t="str">
        <f>IF($FH1706="","",SUM($FN1706:$FN$7000))</f>
        <v/>
      </c>
      <c r="FK1706" s="36" t="str">
        <f>IF($FH1706="","",SUM($FN1706:$FN$7000))</f>
        <v/>
      </c>
    </row>
    <row r="1707" spans="152:167">
      <c r="EV1707" s="28">
        <f t="shared" si="53"/>
        <v>0</v>
      </c>
      <c r="FH1707" s="29" t="str">
        <f t="shared" si="54"/>
        <v/>
      </c>
      <c r="FJ1707" s="36" t="str">
        <f>IF($FH1707="","",SUM($FN1707:$FN$7000))</f>
        <v/>
      </c>
      <c r="FK1707" s="36" t="str">
        <f>IF($FH1707="","",SUM($FN1707:$FN$7000))</f>
        <v/>
      </c>
    </row>
    <row r="1708" spans="152:167">
      <c r="EV1708" s="28">
        <f t="shared" si="53"/>
        <v>0</v>
      </c>
      <c r="FH1708" s="29" t="str">
        <f t="shared" si="54"/>
        <v/>
      </c>
      <c r="FJ1708" s="36" t="str">
        <f>IF($FH1708="","",SUM($FN1708:$FN$7000))</f>
        <v/>
      </c>
      <c r="FK1708" s="36" t="str">
        <f>IF($FH1708="","",SUM($FN1708:$FN$7000))</f>
        <v/>
      </c>
    </row>
    <row r="1709" spans="152:167">
      <c r="EV1709" s="28">
        <f t="shared" si="53"/>
        <v>0</v>
      </c>
      <c r="FH1709" s="29" t="str">
        <f t="shared" si="54"/>
        <v/>
      </c>
      <c r="FJ1709" s="36" t="str">
        <f>IF($FH1709="","",SUM($FN1709:$FN$7000))</f>
        <v/>
      </c>
      <c r="FK1709" s="36" t="str">
        <f>IF($FH1709="","",SUM($FN1709:$FN$7000))</f>
        <v/>
      </c>
    </row>
    <row r="1710" spans="152:167">
      <c r="EV1710" s="28">
        <f t="shared" si="53"/>
        <v>0</v>
      </c>
      <c r="FH1710" s="29" t="str">
        <f t="shared" si="54"/>
        <v/>
      </c>
      <c r="FJ1710" s="36" t="str">
        <f>IF($FH1710="","",SUM($FN1710:$FN$7000))</f>
        <v/>
      </c>
      <c r="FK1710" s="36" t="str">
        <f>IF($FH1710="","",SUM($FN1710:$FN$7000))</f>
        <v/>
      </c>
    </row>
    <row r="1711" spans="152:167">
      <c r="EV1711" s="28">
        <f t="shared" si="53"/>
        <v>0</v>
      </c>
      <c r="FH1711" s="29" t="str">
        <f t="shared" si="54"/>
        <v/>
      </c>
      <c r="FJ1711" s="36" t="str">
        <f>IF($FH1711="","",SUM($FN1711:$FN$7000))</f>
        <v/>
      </c>
      <c r="FK1711" s="36" t="str">
        <f>IF($FH1711="","",SUM($FN1711:$FN$7000))</f>
        <v/>
      </c>
    </row>
    <row r="1712" spans="152:167">
      <c r="EV1712" s="28">
        <f t="shared" si="53"/>
        <v>0</v>
      </c>
      <c r="FH1712" s="29" t="str">
        <f t="shared" si="54"/>
        <v/>
      </c>
      <c r="FJ1712" s="36" t="str">
        <f>IF($FH1712="","",SUM($FN1712:$FN$7000))</f>
        <v/>
      </c>
      <c r="FK1712" s="36" t="str">
        <f>IF($FH1712="","",SUM($FN1712:$FN$7000))</f>
        <v/>
      </c>
    </row>
    <row r="1713" spans="152:167">
      <c r="EV1713" s="28">
        <f t="shared" si="53"/>
        <v>0</v>
      </c>
      <c r="FH1713" s="29" t="str">
        <f t="shared" si="54"/>
        <v/>
      </c>
      <c r="FJ1713" s="36" t="str">
        <f>IF($FH1713="","",SUM($FN1713:$FN$7000))</f>
        <v/>
      </c>
      <c r="FK1713" s="36" t="str">
        <f>IF($FH1713="","",SUM($FN1713:$FN$7000))</f>
        <v/>
      </c>
    </row>
    <row r="1714" spans="152:167">
      <c r="EV1714" s="28">
        <f t="shared" si="53"/>
        <v>0</v>
      </c>
      <c r="FH1714" s="29" t="str">
        <f t="shared" si="54"/>
        <v/>
      </c>
      <c r="FJ1714" s="36" t="str">
        <f>IF($FH1714="","",SUM($FN1714:$FN$7000))</f>
        <v/>
      </c>
      <c r="FK1714" s="36" t="str">
        <f>IF($FH1714="","",SUM($FN1714:$FN$7000))</f>
        <v/>
      </c>
    </row>
    <row r="1715" spans="152:167">
      <c r="EV1715" s="28">
        <f t="shared" si="53"/>
        <v>0</v>
      </c>
      <c r="FH1715" s="29" t="str">
        <f t="shared" si="54"/>
        <v/>
      </c>
      <c r="FJ1715" s="36" t="str">
        <f>IF($FH1715="","",SUM($FN1715:$FN$7000))</f>
        <v/>
      </c>
      <c r="FK1715" s="36" t="str">
        <f>IF($FH1715="","",SUM($FN1715:$FN$7000))</f>
        <v/>
      </c>
    </row>
    <row r="1716" spans="152:167">
      <c r="EV1716" s="28">
        <f t="shared" si="53"/>
        <v>0</v>
      </c>
      <c r="FH1716" s="29" t="str">
        <f t="shared" si="54"/>
        <v/>
      </c>
      <c r="FJ1716" s="36" t="str">
        <f>IF($FH1716="","",SUM($FN1716:$FN$7000))</f>
        <v/>
      </c>
      <c r="FK1716" s="36" t="str">
        <f>IF($FH1716="","",SUM($FN1716:$FN$7000))</f>
        <v/>
      </c>
    </row>
    <row r="1717" spans="152:167">
      <c r="EV1717" s="28">
        <f t="shared" si="53"/>
        <v>0</v>
      </c>
      <c r="FH1717" s="29" t="str">
        <f t="shared" si="54"/>
        <v/>
      </c>
      <c r="FJ1717" s="36" t="str">
        <f>IF($FH1717="","",SUM($FN1717:$FN$7000))</f>
        <v/>
      </c>
      <c r="FK1717" s="36" t="str">
        <f>IF($FH1717="","",SUM($FN1717:$FN$7000))</f>
        <v/>
      </c>
    </row>
    <row r="1718" spans="152:167">
      <c r="EV1718" s="28">
        <f t="shared" si="53"/>
        <v>0</v>
      </c>
      <c r="FH1718" s="29" t="str">
        <f t="shared" si="54"/>
        <v/>
      </c>
      <c r="FJ1718" s="36" t="str">
        <f>IF($FH1718="","",SUM($FN1718:$FN$7000))</f>
        <v/>
      </c>
      <c r="FK1718" s="36" t="str">
        <f>IF($FH1718="","",SUM($FN1718:$FN$7000))</f>
        <v/>
      </c>
    </row>
    <row r="1719" spans="152:167">
      <c r="EV1719" s="28">
        <f t="shared" si="53"/>
        <v>0</v>
      </c>
      <c r="FH1719" s="29" t="str">
        <f t="shared" si="54"/>
        <v/>
      </c>
      <c r="FJ1719" s="36" t="str">
        <f>IF($FH1719="","",SUM($FN1719:$FN$7000))</f>
        <v/>
      </c>
      <c r="FK1719" s="36" t="str">
        <f>IF($FH1719="","",SUM($FN1719:$FN$7000))</f>
        <v/>
      </c>
    </row>
    <row r="1720" spans="152:167">
      <c r="EV1720" s="28">
        <f t="shared" si="53"/>
        <v>0</v>
      </c>
      <c r="FH1720" s="29" t="str">
        <f t="shared" si="54"/>
        <v/>
      </c>
      <c r="FJ1720" s="36" t="str">
        <f>IF($FH1720="","",SUM($FN1720:$FN$7000))</f>
        <v/>
      </c>
      <c r="FK1720" s="36" t="str">
        <f>IF($FH1720="","",SUM($FN1720:$FN$7000))</f>
        <v/>
      </c>
    </row>
    <row r="1721" spans="152:167">
      <c r="EV1721" s="28">
        <f t="shared" si="53"/>
        <v>0</v>
      </c>
      <c r="FH1721" s="29" t="str">
        <f t="shared" si="54"/>
        <v/>
      </c>
      <c r="FJ1721" s="36" t="str">
        <f>IF($FH1721="","",SUM($FN1721:$FN$7000))</f>
        <v/>
      </c>
      <c r="FK1721" s="36" t="str">
        <f>IF($FH1721="","",SUM($FN1721:$FN$7000))</f>
        <v/>
      </c>
    </row>
    <row r="1722" spans="152:167">
      <c r="EV1722" s="28">
        <f t="shared" si="53"/>
        <v>0</v>
      </c>
      <c r="FH1722" s="29" t="str">
        <f t="shared" si="54"/>
        <v/>
      </c>
      <c r="FJ1722" s="36" t="str">
        <f>IF($FH1722="","",SUM($FN1722:$FN$7000))</f>
        <v/>
      </c>
      <c r="FK1722" s="36" t="str">
        <f>IF($FH1722="","",SUM($FN1722:$FN$7000))</f>
        <v/>
      </c>
    </row>
    <row r="1723" spans="152:167">
      <c r="EV1723" s="28">
        <f t="shared" si="53"/>
        <v>0</v>
      </c>
      <c r="FH1723" s="29" t="str">
        <f t="shared" si="54"/>
        <v/>
      </c>
      <c r="FJ1723" s="36" t="str">
        <f>IF($FH1723="","",SUM($FN1723:$FN$7000))</f>
        <v/>
      </c>
      <c r="FK1723" s="36" t="str">
        <f>IF($FH1723="","",SUM($FN1723:$FN$7000))</f>
        <v/>
      </c>
    </row>
    <row r="1724" spans="152:167">
      <c r="EV1724" s="28">
        <f t="shared" si="53"/>
        <v>0</v>
      </c>
      <c r="FH1724" s="29" t="str">
        <f t="shared" si="54"/>
        <v/>
      </c>
      <c r="FJ1724" s="36" t="str">
        <f>IF($FH1724="","",SUM($FN1724:$FN$7000))</f>
        <v/>
      </c>
      <c r="FK1724" s="36" t="str">
        <f>IF($FH1724="","",SUM($FN1724:$FN$7000))</f>
        <v/>
      </c>
    </row>
    <row r="1725" spans="152:167">
      <c r="EV1725" s="28">
        <f t="shared" si="53"/>
        <v>0</v>
      </c>
      <c r="FH1725" s="29" t="str">
        <f t="shared" si="54"/>
        <v/>
      </c>
      <c r="FJ1725" s="36" t="str">
        <f>IF($FH1725="","",SUM($FN1725:$FN$7000))</f>
        <v/>
      </c>
      <c r="FK1725" s="36" t="str">
        <f>IF($FH1725="","",SUM($FN1725:$FN$7000))</f>
        <v/>
      </c>
    </row>
    <row r="1726" spans="152:167">
      <c r="EV1726" s="28">
        <f t="shared" si="53"/>
        <v>0</v>
      </c>
      <c r="FH1726" s="29" t="str">
        <f t="shared" si="54"/>
        <v/>
      </c>
      <c r="FJ1726" s="36" t="str">
        <f>IF($FH1726="","",SUM($FN1726:$FN$7000))</f>
        <v/>
      </c>
      <c r="FK1726" s="36" t="str">
        <f>IF($FH1726="","",SUM($FN1726:$FN$7000))</f>
        <v/>
      </c>
    </row>
    <row r="1727" spans="152:167">
      <c r="EV1727" s="28">
        <f t="shared" si="53"/>
        <v>0</v>
      </c>
      <c r="FH1727" s="29" t="str">
        <f t="shared" si="54"/>
        <v/>
      </c>
      <c r="FJ1727" s="36" t="str">
        <f>IF($FH1727="","",SUM($FN1727:$FN$7000))</f>
        <v/>
      </c>
      <c r="FK1727" s="36" t="str">
        <f>IF($FH1727="","",SUM($FN1727:$FN$7000))</f>
        <v/>
      </c>
    </row>
    <row r="1728" spans="152:167">
      <c r="EV1728" s="28">
        <f t="shared" si="53"/>
        <v>0</v>
      </c>
      <c r="FH1728" s="29" t="str">
        <f t="shared" si="54"/>
        <v/>
      </c>
      <c r="FJ1728" s="36" t="str">
        <f>IF($FH1728="","",SUM($FN1728:$FN$7000))</f>
        <v/>
      </c>
      <c r="FK1728" s="36" t="str">
        <f>IF($FH1728="","",SUM($FN1728:$FN$7000))</f>
        <v/>
      </c>
    </row>
    <row r="1729" spans="152:167">
      <c r="EV1729" s="28">
        <f t="shared" si="53"/>
        <v>0</v>
      </c>
      <c r="FH1729" s="29" t="str">
        <f t="shared" si="54"/>
        <v/>
      </c>
      <c r="FJ1729" s="36" t="str">
        <f>IF($FH1729="","",SUM($FN1729:$FN$7000))</f>
        <v/>
      </c>
      <c r="FK1729" s="36" t="str">
        <f>IF($FH1729="","",SUM($FN1729:$FN$7000))</f>
        <v/>
      </c>
    </row>
    <row r="1730" spans="152:167">
      <c r="EV1730" s="28">
        <f t="shared" si="53"/>
        <v>0</v>
      </c>
      <c r="FH1730" s="29" t="str">
        <f t="shared" si="54"/>
        <v/>
      </c>
      <c r="FJ1730" s="36" t="str">
        <f>IF($FH1730="","",SUM($FN1730:$FN$7000))</f>
        <v/>
      </c>
      <c r="FK1730" s="36" t="str">
        <f>IF($FH1730="","",SUM($FN1730:$FN$7000))</f>
        <v/>
      </c>
    </row>
    <row r="1731" spans="152:167">
      <c r="EV1731" s="28">
        <f t="shared" si="53"/>
        <v>0</v>
      </c>
      <c r="FH1731" s="29" t="str">
        <f t="shared" si="54"/>
        <v/>
      </c>
      <c r="FJ1731" s="36" t="str">
        <f>IF($FH1731="","",SUM($FN1731:$FN$7000))</f>
        <v/>
      </c>
      <c r="FK1731" s="36" t="str">
        <f>IF($FH1731="","",SUM($FN1731:$FN$7000))</f>
        <v/>
      </c>
    </row>
    <row r="1732" spans="152:167">
      <c r="EV1732" s="28">
        <f t="shared" si="53"/>
        <v>0</v>
      </c>
      <c r="FH1732" s="29" t="str">
        <f t="shared" si="54"/>
        <v/>
      </c>
      <c r="FJ1732" s="36" t="str">
        <f>IF($FH1732="","",SUM($FN1732:$FN$7000))</f>
        <v/>
      </c>
      <c r="FK1732" s="36" t="str">
        <f>IF($FH1732="","",SUM($FN1732:$FN$7000))</f>
        <v/>
      </c>
    </row>
    <row r="1733" spans="152:167">
      <c r="EV1733" s="28">
        <f t="shared" si="53"/>
        <v>0</v>
      </c>
      <c r="FH1733" s="29" t="str">
        <f t="shared" si="54"/>
        <v/>
      </c>
      <c r="FJ1733" s="36" t="str">
        <f>IF($FH1733="","",SUM($FN1733:$FN$7000))</f>
        <v/>
      </c>
      <c r="FK1733" s="36" t="str">
        <f>IF($FH1733="","",SUM($FN1733:$FN$7000))</f>
        <v/>
      </c>
    </row>
    <row r="1734" spans="152:167">
      <c r="EV1734" s="28">
        <f t="shared" si="53"/>
        <v>0</v>
      </c>
      <c r="FH1734" s="29" t="str">
        <f t="shared" si="54"/>
        <v/>
      </c>
      <c r="FJ1734" s="36" t="str">
        <f>IF($FH1734="","",SUM($FN1734:$FN$7000))</f>
        <v/>
      </c>
      <c r="FK1734" s="36" t="str">
        <f>IF($FH1734="","",SUM($FN1734:$FN$7000))</f>
        <v/>
      </c>
    </row>
    <row r="1735" spans="152:167">
      <c r="EV1735" s="28">
        <f t="shared" si="53"/>
        <v>0</v>
      </c>
      <c r="FH1735" s="29" t="str">
        <f t="shared" si="54"/>
        <v/>
      </c>
      <c r="FJ1735" s="36" t="str">
        <f>IF($FH1735="","",SUM($FN1735:$FN$7000))</f>
        <v/>
      </c>
      <c r="FK1735" s="36" t="str">
        <f>IF($FH1735="","",SUM($FN1735:$FN$7000))</f>
        <v/>
      </c>
    </row>
    <row r="1736" spans="152:167">
      <c r="EV1736" s="28">
        <f t="shared" si="53"/>
        <v>0</v>
      </c>
      <c r="FH1736" s="29" t="str">
        <f t="shared" si="54"/>
        <v/>
      </c>
      <c r="FJ1736" s="36" t="str">
        <f>IF($FH1736="","",SUM($FN1736:$FN$7000))</f>
        <v/>
      </c>
      <c r="FK1736" s="36" t="str">
        <f>IF($FH1736="","",SUM($FN1736:$FN$7000))</f>
        <v/>
      </c>
    </row>
    <row r="1737" spans="152:167">
      <c r="EV1737" s="28">
        <f t="shared" si="53"/>
        <v>0</v>
      </c>
      <c r="FH1737" s="29" t="str">
        <f t="shared" si="54"/>
        <v/>
      </c>
      <c r="FJ1737" s="36" t="str">
        <f>IF($FH1737="","",SUM($FN1737:$FN$7000))</f>
        <v/>
      </c>
      <c r="FK1737" s="36" t="str">
        <f>IF($FH1737="","",SUM($FN1737:$FN$7000))</f>
        <v/>
      </c>
    </row>
    <row r="1738" spans="152:167">
      <c r="EV1738" s="28">
        <f t="shared" si="53"/>
        <v>0</v>
      </c>
      <c r="FH1738" s="29" t="str">
        <f t="shared" si="54"/>
        <v/>
      </c>
      <c r="FJ1738" s="36" t="str">
        <f>IF($FH1738="","",SUM($FN1738:$FN$7000))</f>
        <v/>
      </c>
      <c r="FK1738" s="36" t="str">
        <f>IF($FH1738="","",SUM($FN1738:$FN$7000))</f>
        <v/>
      </c>
    </row>
    <row r="1739" spans="152:167">
      <c r="EV1739" s="28">
        <f t="shared" ref="EV1739:EV1802" si="55">EU1739-ET1739</f>
        <v>0</v>
      </c>
      <c r="FH1739" s="29" t="str">
        <f t="shared" ref="FH1739:FH1802" si="56">IF(FL1739="","",FL1739)</f>
        <v/>
      </c>
      <c r="FJ1739" s="36" t="str">
        <f>IF($FH1739="","",SUM($FN1739:$FN$7000))</f>
        <v/>
      </c>
      <c r="FK1739" s="36" t="str">
        <f>IF($FH1739="","",SUM($FN1739:$FN$7000))</f>
        <v/>
      </c>
    </row>
    <row r="1740" spans="152:167">
      <c r="EV1740" s="28">
        <f t="shared" si="55"/>
        <v>0</v>
      </c>
      <c r="FH1740" s="29" t="str">
        <f t="shared" si="56"/>
        <v/>
      </c>
      <c r="FJ1740" s="36" t="str">
        <f>IF($FH1740="","",SUM($FN1740:$FN$7000))</f>
        <v/>
      </c>
      <c r="FK1740" s="36" t="str">
        <f>IF($FH1740="","",SUM($FN1740:$FN$7000))</f>
        <v/>
      </c>
    </row>
    <row r="1741" spans="152:167">
      <c r="EV1741" s="28">
        <f t="shared" si="55"/>
        <v>0</v>
      </c>
      <c r="FH1741" s="29" t="str">
        <f t="shared" si="56"/>
        <v/>
      </c>
      <c r="FJ1741" s="36" t="str">
        <f>IF($FH1741="","",SUM($FN1741:$FN$7000))</f>
        <v/>
      </c>
      <c r="FK1741" s="36" t="str">
        <f>IF($FH1741="","",SUM($FN1741:$FN$7000))</f>
        <v/>
      </c>
    </row>
    <row r="1742" spans="152:167">
      <c r="EV1742" s="28">
        <f t="shared" si="55"/>
        <v>0</v>
      </c>
      <c r="FH1742" s="29" t="str">
        <f t="shared" si="56"/>
        <v/>
      </c>
      <c r="FJ1742" s="36" t="str">
        <f>IF($FH1742="","",SUM($FN1742:$FN$7000))</f>
        <v/>
      </c>
      <c r="FK1742" s="36" t="str">
        <f>IF($FH1742="","",SUM($FN1742:$FN$7000))</f>
        <v/>
      </c>
    </row>
    <row r="1743" spans="152:167">
      <c r="EV1743" s="28">
        <f t="shared" si="55"/>
        <v>0</v>
      </c>
      <c r="FH1743" s="29" t="str">
        <f t="shared" si="56"/>
        <v/>
      </c>
      <c r="FJ1743" s="36" t="str">
        <f>IF($FH1743="","",SUM($FN1743:$FN$7000))</f>
        <v/>
      </c>
      <c r="FK1743" s="36" t="str">
        <f>IF($FH1743="","",SUM($FN1743:$FN$7000))</f>
        <v/>
      </c>
    </row>
    <row r="1744" spans="152:167">
      <c r="EV1744" s="28">
        <f t="shared" si="55"/>
        <v>0</v>
      </c>
      <c r="FH1744" s="29" t="str">
        <f t="shared" si="56"/>
        <v/>
      </c>
      <c r="FJ1744" s="36" t="str">
        <f>IF($FH1744="","",SUM($FN1744:$FN$7000))</f>
        <v/>
      </c>
      <c r="FK1744" s="36" t="str">
        <f>IF($FH1744="","",SUM($FN1744:$FN$7000))</f>
        <v/>
      </c>
    </row>
    <row r="1745" spans="152:167">
      <c r="EV1745" s="28">
        <f t="shared" si="55"/>
        <v>0</v>
      </c>
      <c r="FH1745" s="29" t="str">
        <f t="shared" si="56"/>
        <v/>
      </c>
      <c r="FJ1745" s="36" t="str">
        <f>IF($FH1745="","",SUM($FN1745:$FN$7000))</f>
        <v/>
      </c>
      <c r="FK1745" s="36" t="str">
        <f>IF($FH1745="","",SUM($FN1745:$FN$7000))</f>
        <v/>
      </c>
    </row>
    <row r="1746" spans="152:167">
      <c r="EV1746" s="28">
        <f t="shared" si="55"/>
        <v>0</v>
      </c>
      <c r="FH1746" s="29" t="str">
        <f t="shared" si="56"/>
        <v/>
      </c>
      <c r="FJ1746" s="36" t="str">
        <f>IF($FH1746="","",SUM($FN1746:$FN$7000))</f>
        <v/>
      </c>
      <c r="FK1746" s="36" t="str">
        <f>IF($FH1746="","",SUM($FN1746:$FN$7000))</f>
        <v/>
      </c>
    </row>
    <row r="1747" spans="152:167">
      <c r="EV1747" s="28">
        <f t="shared" si="55"/>
        <v>0</v>
      </c>
      <c r="FH1747" s="29" t="str">
        <f t="shared" si="56"/>
        <v/>
      </c>
      <c r="FJ1747" s="36" t="str">
        <f>IF($FH1747="","",SUM($FN1747:$FN$7000))</f>
        <v/>
      </c>
      <c r="FK1747" s="36" t="str">
        <f>IF($FH1747="","",SUM($FN1747:$FN$7000))</f>
        <v/>
      </c>
    </row>
    <row r="1748" spans="152:167">
      <c r="EV1748" s="28">
        <f t="shared" si="55"/>
        <v>0</v>
      </c>
      <c r="FH1748" s="29" t="str">
        <f t="shared" si="56"/>
        <v/>
      </c>
      <c r="FJ1748" s="36" t="str">
        <f>IF($FH1748="","",SUM($FN1748:$FN$7000))</f>
        <v/>
      </c>
      <c r="FK1748" s="36" t="str">
        <f>IF($FH1748="","",SUM($FN1748:$FN$7000))</f>
        <v/>
      </c>
    </row>
    <row r="1749" spans="152:167">
      <c r="EV1749" s="28">
        <f t="shared" si="55"/>
        <v>0</v>
      </c>
      <c r="FH1749" s="29" t="str">
        <f t="shared" si="56"/>
        <v/>
      </c>
      <c r="FJ1749" s="36" t="str">
        <f>IF($FH1749="","",SUM($FN1749:$FN$7000))</f>
        <v/>
      </c>
      <c r="FK1749" s="36" t="str">
        <f>IF($FH1749="","",SUM($FN1749:$FN$7000))</f>
        <v/>
      </c>
    </row>
    <row r="1750" spans="152:167">
      <c r="EV1750" s="28">
        <f t="shared" si="55"/>
        <v>0</v>
      </c>
      <c r="FH1750" s="29" t="str">
        <f t="shared" si="56"/>
        <v/>
      </c>
      <c r="FJ1750" s="36" t="str">
        <f>IF($FH1750="","",SUM($FN1750:$FN$7000))</f>
        <v/>
      </c>
      <c r="FK1750" s="36" t="str">
        <f>IF($FH1750="","",SUM($FN1750:$FN$7000))</f>
        <v/>
      </c>
    </row>
    <row r="1751" spans="152:167">
      <c r="EV1751" s="28">
        <f t="shared" si="55"/>
        <v>0</v>
      </c>
      <c r="FH1751" s="29" t="str">
        <f t="shared" si="56"/>
        <v/>
      </c>
      <c r="FJ1751" s="36" t="str">
        <f>IF($FH1751="","",SUM($FN1751:$FN$7000))</f>
        <v/>
      </c>
      <c r="FK1751" s="36" t="str">
        <f>IF($FH1751="","",SUM($FN1751:$FN$7000))</f>
        <v/>
      </c>
    </row>
    <row r="1752" spans="152:167">
      <c r="EV1752" s="28">
        <f t="shared" si="55"/>
        <v>0</v>
      </c>
      <c r="FH1752" s="29" t="str">
        <f t="shared" si="56"/>
        <v/>
      </c>
      <c r="FJ1752" s="36" t="str">
        <f>IF($FH1752="","",SUM($FN1752:$FN$7000))</f>
        <v/>
      </c>
      <c r="FK1752" s="36" t="str">
        <f>IF($FH1752="","",SUM($FN1752:$FN$7000))</f>
        <v/>
      </c>
    </row>
    <row r="1753" spans="152:167">
      <c r="EV1753" s="28">
        <f t="shared" si="55"/>
        <v>0</v>
      </c>
      <c r="FH1753" s="29" t="str">
        <f t="shared" si="56"/>
        <v/>
      </c>
      <c r="FJ1753" s="36" t="str">
        <f>IF($FH1753="","",SUM($FN1753:$FN$7000))</f>
        <v/>
      </c>
      <c r="FK1753" s="36" t="str">
        <f>IF($FH1753="","",SUM($FN1753:$FN$7000))</f>
        <v/>
      </c>
    </row>
    <row r="1754" spans="152:167">
      <c r="EV1754" s="28">
        <f t="shared" si="55"/>
        <v>0</v>
      </c>
      <c r="FH1754" s="29" t="str">
        <f t="shared" si="56"/>
        <v/>
      </c>
      <c r="FJ1754" s="36" t="str">
        <f>IF($FH1754="","",SUM($FN1754:$FN$7000))</f>
        <v/>
      </c>
      <c r="FK1754" s="36" t="str">
        <f>IF($FH1754="","",SUM($FN1754:$FN$7000))</f>
        <v/>
      </c>
    </row>
    <row r="1755" spans="152:167">
      <c r="EV1755" s="28">
        <f t="shared" si="55"/>
        <v>0</v>
      </c>
      <c r="FH1755" s="29" t="str">
        <f t="shared" si="56"/>
        <v/>
      </c>
      <c r="FJ1755" s="36" t="str">
        <f>IF($FH1755="","",SUM($FN1755:$FN$7000))</f>
        <v/>
      </c>
      <c r="FK1755" s="36" t="str">
        <f>IF($FH1755="","",SUM($FN1755:$FN$7000))</f>
        <v/>
      </c>
    </row>
    <row r="1756" spans="152:167">
      <c r="EV1756" s="28">
        <f t="shared" si="55"/>
        <v>0</v>
      </c>
      <c r="FH1756" s="29" t="str">
        <f t="shared" si="56"/>
        <v/>
      </c>
      <c r="FJ1756" s="36" t="str">
        <f>IF($FH1756="","",SUM($FN1756:$FN$7000))</f>
        <v/>
      </c>
      <c r="FK1756" s="36" t="str">
        <f>IF($FH1756="","",SUM($FN1756:$FN$7000))</f>
        <v/>
      </c>
    </row>
    <row r="1757" spans="152:167">
      <c r="EV1757" s="28">
        <f t="shared" si="55"/>
        <v>0</v>
      </c>
      <c r="FH1757" s="29" t="str">
        <f t="shared" si="56"/>
        <v/>
      </c>
      <c r="FJ1757" s="36" t="str">
        <f>IF($FH1757="","",SUM($FN1757:$FN$7000))</f>
        <v/>
      </c>
      <c r="FK1757" s="36" t="str">
        <f>IF($FH1757="","",SUM($FN1757:$FN$7000))</f>
        <v/>
      </c>
    </row>
    <row r="1758" spans="152:167">
      <c r="EV1758" s="28">
        <f t="shared" si="55"/>
        <v>0</v>
      </c>
      <c r="FH1758" s="29" t="str">
        <f t="shared" si="56"/>
        <v/>
      </c>
      <c r="FJ1758" s="36" t="str">
        <f>IF($FH1758="","",SUM($FN1758:$FN$7000))</f>
        <v/>
      </c>
      <c r="FK1758" s="36" t="str">
        <f>IF($FH1758="","",SUM($FN1758:$FN$7000))</f>
        <v/>
      </c>
    </row>
    <row r="1759" spans="152:167">
      <c r="EV1759" s="28">
        <f t="shared" si="55"/>
        <v>0</v>
      </c>
      <c r="FH1759" s="29" t="str">
        <f t="shared" si="56"/>
        <v/>
      </c>
      <c r="FJ1759" s="36" t="str">
        <f>IF($FH1759="","",SUM($FN1759:$FN$7000))</f>
        <v/>
      </c>
      <c r="FK1759" s="36" t="str">
        <f>IF($FH1759="","",SUM($FN1759:$FN$7000))</f>
        <v/>
      </c>
    </row>
    <row r="1760" spans="152:167">
      <c r="EV1760" s="28">
        <f t="shared" si="55"/>
        <v>0</v>
      </c>
      <c r="FH1760" s="29" t="str">
        <f t="shared" si="56"/>
        <v/>
      </c>
      <c r="FJ1760" s="36" t="str">
        <f>IF($FH1760="","",SUM($FN1760:$FN$7000))</f>
        <v/>
      </c>
      <c r="FK1760" s="36" t="str">
        <f>IF($FH1760="","",SUM($FN1760:$FN$7000))</f>
        <v/>
      </c>
    </row>
    <row r="1761" spans="152:167">
      <c r="EV1761" s="28">
        <f t="shared" si="55"/>
        <v>0</v>
      </c>
      <c r="FH1761" s="29" t="str">
        <f t="shared" si="56"/>
        <v/>
      </c>
      <c r="FJ1761" s="36" t="str">
        <f>IF($FH1761="","",SUM($FN1761:$FN$7000))</f>
        <v/>
      </c>
      <c r="FK1761" s="36" t="str">
        <f>IF($FH1761="","",SUM($FN1761:$FN$7000))</f>
        <v/>
      </c>
    </row>
    <row r="1762" spans="152:167">
      <c r="EV1762" s="28">
        <f t="shared" si="55"/>
        <v>0</v>
      </c>
      <c r="FH1762" s="29" t="str">
        <f t="shared" si="56"/>
        <v/>
      </c>
      <c r="FJ1762" s="36" t="str">
        <f>IF($FH1762="","",SUM($FN1762:$FN$7000))</f>
        <v/>
      </c>
      <c r="FK1762" s="36" t="str">
        <f>IF($FH1762="","",SUM($FN1762:$FN$7000))</f>
        <v/>
      </c>
    </row>
    <row r="1763" spans="152:167">
      <c r="EV1763" s="28">
        <f t="shared" si="55"/>
        <v>0</v>
      </c>
      <c r="FH1763" s="29" t="str">
        <f t="shared" si="56"/>
        <v/>
      </c>
      <c r="FJ1763" s="36" t="str">
        <f>IF($FH1763="","",SUM($FN1763:$FN$7000))</f>
        <v/>
      </c>
      <c r="FK1763" s="36" t="str">
        <f>IF($FH1763="","",SUM($FN1763:$FN$7000))</f>
        <v/>
      </c>
    </row>
    <row r="1764" spans="152:167">
      <c r="EV1764" s="28">
        <f t="shared" si="55"/>
        <v>0</v>
      </c>
      <c r="FH1764" s="29" t="str">
        <f t="shared" si="56"/>
        <v/>
      </c>
      <c r="FJ1764" s="36" t="str">
        <f>IF($FH1764="","",SUM($FN1764:$FN$7000))</f>
        <v/>
      </c>
      <c r="FK1764" s="36" t="str">
        <f>IF($FH1764="","",SUM($FN1764:$FN$7000))</f>
        <v/>
      </c>
    </row>
    <row r="1765" spans="152:167">
      <c r="EV1765" s="28">
        <f t="shared" si="55"/>
        <v>0</v>
      </c>
      <c r="FH1765" s="29" t="str">
        <f t="shared" si="56"/>
        <v/>
      </c>
      <c r="FJ1765" s="36" t="str">
        <f>IF($FH1765="","",SUM($FN1765:$FN$7000))</f>
        <v/>
      </c>
      <c r="FK1765" s="36" t="str">
        <f>IF($FH1765="","",SUM($FN1765:$FN$7000))</f>
        <v/>
      </c>
    </row>
    <row r="1766" spans="152:167">
      <c r="EV1766" s="28">
        <f t="shared" si="55"/>
        <v>0</v>
      </c>
      <c r="FH1766" s="29" t="str">
        <f t="shared" si="56"/>
        <v/>
      </c>
      <c r="FJ1766" s="36" t="str">
        <f>IF($FH1766="","",SUM($FN1766:$FN$7000))</f>
        <v/>
      </c>
      <c r="FK1766" s="36" t="str">
        <f>IF($FH1766="","",SUM($FN1766:$FN$7000))</f>
        <v/>
      </c>
    </row>
    <row r="1767" spans="152:167">
      <c r="EV1767" s="28">
        <f t="shared" si="55"/>
        <v>0</v>
      </c>
      <c r="FH1767" s="29" t="str">
        <f t="shared" si="56"/>
        <v/>
      </c>
      <c r="FJ1767" s="36" t="str">
        <f>IF($FH1767="","",SUM($FN1767:$FN$7000))</f>
        <v/>
      </c>
      <c r="FK1767" s="36" t="str">
        <f>IF($FH1767="","",SUM($FN1767:$FN$7000))</f>
        <v/>
      </c>
    </row>
    <row r="1768" spans="152:167">
      <c r="EV1768" s="28">
        <f t="shared" si="55"/>
        <v>0</v>
      </c>
      <c r="FH1768" s="29" t="str">
        <f t="shared" si="56"/>
        <v/>
      </c>
      <c r="FJ1768" s="36" t="str">
        <f>IF($FH1768="","",SUM($FN1768:$FN$7000))</f>
        <v/>
      </c>
      <c r="FK1768" s="36" t="str">
        <f>IF($FH1768="","",SUM($FN1768:$FN$7000))</f>
        <v/>
      </c>
    </row>
    <row r="1769" spans="152:167">
      <c r="EV1769" s="28">
        <f t="shared" si="55"/>
        <v>0</v>
      </c>
      <c r="FH1769" s="29" t="str">
        <f t="shared" si="56"/>
        <v/>
      </c>
      <c r="FJ1769" s="36" t="str">
        <f>IF($FH1769="","",SUM($FN1769:$FN$7000))</f>
        <v/>
      </c>
      <c r="FK1769" s="36" t="str">
        <f>IF($FH1769="","",SUM($FN1769:$FN$7000))</f>
        <v/>
      </c>
    </row>
    <row r="1770" spans="152:167">
      <c r="EV1770" s="28">
        <f t="shared" si="55"/>
        <v>0</v>
      </c>
      <c r="FH1770" s="29" t="str">
        <f t="shared" si="56"/>
        <v/>
      </c>
      <c r="FJ1770" s="36" t="str">
        <f>IF($FH1770="","",SUM($FN1770:$FN$7000))</f>
        <v/>
      </c>
      <c r="FK1770" s="36" t="str">
        <f>IF($FH1770="","",SUM($FN1770:$FN$7000))</f>
        <v/>
      </c>
    </row>
    <row r="1771" spans="152:167">
      <c r="EV1771" s="28">
        <f t="shared" si="55"/>
        <v>0</v>
      </c>
      <c r="FH1771" s="29" t="str">
        <f t="shared" si="56"/>
        <v/>
      </c>
      <c r="FJ1771" s="36" t="str">
        <f>IF($FH1771="","",SUM($FN1771:$FN$7000))</f>
        <v/>
      </c>
      <c r="FK1771" s="36" t="str">
        <f>IF($FH1771="","",SUM($FN1771:$FN$7000))</f>
        <v/>
      </c>
    </row>
    <row r="1772" spans="152:167">
      <c r="EV1772" s="28">
        <f t="shared" si="55"/>
        <v>0</v>
      </c>
      <c r="FH1772" s="29" t="str">
        <f t="shared" si="56"/>
        <v/>
      </c>
      <c r="FJ1772" s="36" t="str">
        <f>IF($FH1772="","",SUM($FN1772:$FN$7000))</f>
        <v/>
      </c>
      <c r="FK1772" s="36" t="str">
        <f>IF($FH1772="","",SUM($FN1772:$FN$7000))</f>
        <v/>
      </c>
    </row>
    <row r="1773" spans="152:167">
      <c r="EV1773" s="28">
        <f t="shared" si="55"/>
        <v>0</v>
      </c>
      <c r="FH1773" s="29" t="str">
        <f t="shared" si="56"/>
        <v/>
      </c>
      <c r="FJ1773" s="36" t="str">
        <f>IF($FH1773="","",SUM($FN1773:$FN$7000))</f>
        <v/>
      </c>
      <c r="FK1773" s="36" t="str">
        <f>IF($FH1773="","",SUM($FN1773:$FN$7000))</f>
        <v/>
      </c>
    </row>
    <row r="1774" spans="152:167">
      <c r="EV1774" s="28">
        <f t="shared" si="55"/>
        <v>0</v>
      </c>
      <c r="FH1774" s="29" t="str">
        <f t="shared" si="56"/>
        <v/>
      </c>
      <c r="FJ1774" s="36" t="str">
        <f>IF($FH1774="","",SUM($FN1774:$FN$7000))</f>
        <v/>
      </c>
      <c r="FK1774" s="36" t="str">
        <f>IF($FH1774="","",SUM($FN1774:$FN$7000))</f>
        <v/>
      </c>
    </row>
    <row r="1775" spans="152:167">
      <c r="EV1775" s="28">
        <f t="shared" si="55"/>
        <v>0</v>
      </c>
      <c r="FH1775" s="29" t="str">
        <f t="shared" si="56"/>
        <v/>
      </c>
      <c r="FJ1775" s="36" t="str">
        <f>IF($FH1775="","",SUM($FN1775:$FN$7000))</f>
        <v/>
      </c>
      <c r="FK1775" s="36" t="str">
        <f>IF($FH1775="","",SUM($FN1775:$FN$7000))</f>
        <v/>
      </c>
    </row>
    <row r="1776" spans="152:167">
      <c r="EV1776" s="28">
        <f t="shared" si="55"/>
        <v>0</v>
      </c>
      <c r="FH1776" s="29" t="str">
        <f t="shared" si="56"/>
        <v/>
      </c>
      <c r="FJ1776" s="36" t="str">
        <f>IF($FH1776="","",SUM($FN1776:$FN$7000))</f>
        <v/>
      </c>
      <c r="FK1776" s="36" t="str">
        <f>IF($FH1776="","",SUM($FN1776:$FN$7000))</f>
        <v/>
      </c>
    </row>
    <row r="1777" spans="152:167">
      <c r="EV1777" s="28">
        <f t="shared" si="55"/>
        <v>0</v>
      </c>
      <c r="FH1777" s="29" t="str">
        <f t="shared" si="56"/>
        <v/>
      </c>
      <c r="FJ1777" s="36" t="str">
        <f>IF($FH1777="","",SUM($FN1777:$FN$7000))</f>
        <v/>
      </c>
      <c r="FK1777" s="36" t="str">
        <f>IF($FH1777="","",SUM($FN1777:$FN$7000))</f>
        <v/>
      </c>
    </row>
    <row r="1778" spans="152:167">
      <c r="EV1778" s="28">
        <f t="shared" si="55"/>
        <v>0</v>
      </c>
      <c r="FH1778" s="29" t="str">
        <f t="shared" si="56"/>
        <v/>
      </c>
      <c r="FJ1778" s="36" t="str">
        <f>IF($FH1778="","",SUM($FN1778:$FN$7000))</f>
        <v/>
      </c>
      <c r="FK1778" s="36" t="str">
        <f>IF($FH1778="","",SUM($FN1778:$FN$7000))</f>
        <v/>
      </c>
    </row>
    <row r="1779" spans="152:167">
      <c r="EV1779" s="28">
        <f t="shared" si="55"/>
        <v>0</v>
      </c>
      <c r="FH1779" s="29" t="str">
        <f t="shared" si="56"/>
        <v/>
      </c>
      <c r="FJ1779" s="36" t="str">
        <f>IF($FH1779="","",SUM($FN1779:$FN$7000))</f>
        <v/>
      </c>
      <c r="FK1779" s="36" t="str">
        <f>IF($FH1779="","",SUM($FN1779:$FN$7000))</f>
        <v/>
      </c>
    </row>
    <row r="1780" spans="152:167">
      <c r="EV1780" s="28">
        <f t="shared" si="55"/>
        <v>0</v>
      </c>
      <c r="FH1780" s="29" t="str">
        <f t="shared" si="56"/>
        <v/>
      </c>
      <c r="FJ1780" s="36" t="str">
        <f>IF($FH1780="","",SUM($FN1780:$FN$7000))</f>
        <v/>
      </c>
      <c r="FK1780" s="36" t="str">
        <f>IF($FH1780="","",SUM($FN1780:$FN$7000))</f>
        <v/>
      </c>
    </row>
    <row r="1781" spans="152:167">
      <c r="EV1781" s="28">
        <f t="shared" si="55"/>
        <v>0</v>
      </c>
      <c r="FH1781" s="29" t="str">
        <f t="shared" si="56"/>
        <v/>
      </c>
      <c r="FJ1781" s="36" t="str">
        <f>IF($FH1781="","",SUM($FN1781:$FN$7000))</f>
        <v/>
      </c>
      <c r="FK1781" s="36" t="str">
        <f>IF($FH1781="","",SUM($FN1781:$FN$7000))</f>
        <v/>
      </c>
    </row>
    <row r="1782" spans="152:167">
      <c r="EV1782" s="28">
        <f t="shared" si="55"/>
        <v>0</v>
      </c>
      <c r="FH1782" s="29" t="str">
        <f t="shared" si="56"/>
        <v/>
      </c>
      <c r="FJ1782" s="36" t="str">
        <f>IF($FH1782="","",SUM($FN1782:$FN$7000))</f>
        <v/>
      </c>
      <c r="FK1782" s="36" t="str">
        <f>IF($FH1782="","",SUM($FN1782:$FN$7000))</f>
        <v/>
      </c>
    </row>
    <row r="1783" spans="152:167">
      <c r="EV1783" s="28">
        <f t="shared" si="55"/>
        <v>0</v>
      </c>
      <c r="FH1783" s="29" t="str">
        <f t="shared" si="56"/>
        <v/>
      </c>
      <c r="FJ1783" s="36" t="str">
        <f>IF($FH1783="","",SUM($FN1783:$FN$7000))</f>
        <v/>
      </c>
      <c r="FK1783" s="36" t="str">
        <f>IF($FH1783="","",SUM($FN1783:$FN$7000))</f>
        <v/>
      </c>
    </row>
    <row r="1784" spans="152:167">
      <c r="EV1784" s="28">
        <f t="shared" si="55"/>
        <v>0</v>
      </c>
      <c r="FH1784" s="29" t="str">
        <f t="shared" si="56"/>
        <v/>
      </c>
      <c r="FJ1784" s="36" t="str">
        <f>IF($FH1784="","",SUM($FN1784:$FN$7000))</f>
        <v/>
      </c>
      <c r="FK1784" s="36" t="str">
        <f>IF($FH1784="","",SUM($FN1784:$FN$7000))</f>
        <v/>
      </c>
    </row>
    <row r="1785" spans="152:167">
      <c r="EV1785" s="28">
        <f t="shared" si="55"/>
        <v>0</v>
      </c>
      <c r="FH1785" s="29" t="str">
        <f t="shared" si="56"/>
        <v/>
      </c>
      <c r="FJ1785" s="36" t="str">
        <f>IF($FH1785="","",SUM($FN1785:$FN$7000))</f>
        <v/>
      </c>
      <c r="FK1785" s="36" t="str">
        <f>IF($FH1785="","",SUM($FN1785:$FN$7000))</f>
        <v/>
      </c>
    </row>
    <row r="1786" spans="152:167">
      <c r="EV1786" s="28">
        <f t="shared" si="55"/>
        <v>0</v>
      </c>
      <c r="FH1786" s="29" t="str">
        <f t="shared" si="56"/>
        <v/>
      </c>
      <c r="FJ1786" s="36" t="str">
        <f>IF($FH1786="","",SUM($FN1786:$FN$7000))</f>
        <v/>
      </c>
      <c r="FK1786" s="36" t="str">
        <f>IF($FH1786="","",SUM($FN1786:$FN$7000))</f>
        <v/>
      </c>
    </row>
    <row r="1787" spans="152:167">
      <c r="EV1787" s="28">
        <f t="shared" si="55"/>
        <v>0</v>
      </c>
      <c r="FH1787" s="29" t="str">
        <f t="shared" si="56"/>
        <v/>
      </c>
      <c r="FJ1787" s="36" t="str">
        <f>IF($FH1787="","",SUM($FN1787:$FN$7000))</f>
        <v/>
      </c>
      <c r="FK1787" s="36" t="str">
        <f>IF($FH1787="","",SUM($FN1787:$FN$7000))</f>
        <v/>
      </c>
    </row>
    <row r="1788" spans="152:167">
      <c r="EV1788" s="28">
        <f t="shared" si="55"/>
        <v>0</v>
      </c>
      <c r="FH1788" s="29" t="str">
        <f t="shared" si="56"/>
        <v/>
      </c>
      <c r="FJ1788" s="36" t="str">
        <f>IF($FH1788="","",SUM($FN1788:$FN$7000))</f>
        <v/>
      </c>
      <c r="FK1788" s="36" t="str">
        <f>IF($FH1788="","",SUM($FN1788:$FN$7000))</f>
        <v/>
      </c>
    </row>
    <row r="1789" spans="152:167">
      <c r="EV1789" s="28">
        <f t="shared" si="55"/>
        <v>0</v>
      </c>
      <c r="FH1789" s="29" t="str">
        <f t="shared" si="56"/>
        <v/>
      </c>
      <c r="FJ1789" s="36" t="str">
        <f>IF($FH1789="","",SUM($FN1789:$FN$7000))</f>
        <v/>
      </c>
      <c r="FK1789" s="36" t="str">
        <f>IF($FH1789="","",SUM($FN1789:$FN$7000))</f>
        <v/>
      </c>
    </row>
    <row r="1790" spans="152:167">
      <c r="EV1790" s="28">
        <f t="shared" si="55"/>
        <v>0</v>
      </c>
      <c r="FH1790" s="29" t="str">
        <f t="shared" si="56"/>
        <v/>
      </c>
      <c r="FJ1790" s="36" t="str">
        <f>IF($FH1790="","",SUM($FN1790:$FN$7000))</f>
        <v/>
      </c>
      <c r="FK1790" s="36" t="str">
        <f>IF($FH1790="","",SUM($FN1790:$FN$7000))</f>
        <v/>
      </c>
    </row>
    <row r="1791" spans="152:167">
      <c r="EV1791" s="28">
        <f t="shared" si="55"/>
        <v>0</v>
      </c>
      <c r="FH1791" s="29" t="str">
        <f t="shared" si="56"/>
        <v/>
      </c>
      <c r="FJ1791" s="36" t="str">
        <f>IF($FH1791="","",SUM($FN1791:$FN$7000))</f>
        <v/>
      </c>
      <c r="FK1791" s="36" t="str">
        <f>IF($FH1791="","",SUM($FN1791:$FN$7000))</f>
        <v/>
      </c>
    </row>
    <row r="1792" spans="152:167">
      <c r="EV1792" s="28">
        <f t="shared" si="55"/>
        <v>0</v>
      </c>
      <c r="FH1792" s="29" t="str">
        <f t="shared" si="56"/>
        <v/>
      </c>
      <c r="FJ1792" s="36" t="str">
        <f>IF($FH1792="","",SUM($FN1792:$FN$7000))</f>
        <v/>
      </c>
      <c r="FK1792" s="36" t="str">
        <f>IF($FH1792="","",SUM($FN1792:$FN$7000))</f>
        <v/>
      </c>
    </row>
    <row r="1793" spans="152:167">
      <c r="EV1793" s="28">
        <f t="shared" si="55"/>
        <v>0</v>
      </c>
      <c r="FH1793" s="29" t="str">
        <f t="shared" si="56"/>
        <v/>
      </c>
      <c r="FJ1793" s="36" t="str">
        <f>IF($FH1793="","",SUM($FN1793:$FN$7000))</f>
        <v/>
      </c>
      <c r="FK1793" s="36" t="str">
        <f>IF($FH1793="","",SUM($FN1793:$FN$7000))</f>
        <v/>
      </c>
    </row>
    <row r="1794" spans="152:167">
      <c r="EV1794" s="28">
        <f t="shared" si="55"/>
        <v>0</v>
      </c>
      <c r="FH1794" s="29" t="str">
        <f t="shared" si="56"/>
        <v/>
      </c>
      <c r="FJ1794" s="36" t="str">
        <f>IF($FH1794="","",SUM($FN1794:$FN$7000))</f>
        <v/>
      </c>
      <c r="FK1794" s="36" t="str">
        <f>IF($FH1794="","",SUM($FN1794:$FN$7000))</f>
        <v/>
      </c>
    </row>
    <row r="1795" spans="152:167">
      <c r="EV1795" s="28">
        <f t="shared" si="55"/>
        <v>0</v>
      </c>
      <c r="FH1795" s="29" t="str">
        <f t="shared" si="56"/>
        <v/>
      </c>
      <c r="FJ1795" s="36" t="str">
        <f>IF($FH1795="","",SUM($FN1795:$FN$7000))</f>
        <v/>
      </c>
      <c r="FK1795" s="36" t="str">
        <f>IF($FH1795="","",SUM($FN1795:$FN$7000))</f>
        <v/>
      </c>
    </row>
    <row r="1796" spans="152:167">
      <c r="EV1796" s="28">
        <f t="shared" si="55"/>
        <v>0</v>
      </c>
      <c r="FH1796" s="29" t="str">
        <f t="shared" si="56"/>
        <v/>
      </c>
      <c r="FJ1796" s="36" t="str">
        <f>IF($FH1796="","",SUM($FN1796:$FN$7000))</f>
        <v/>
      </c>
      <c r="FK1796" s="36" t="str">
        <f>IF($FH1796="","",SUM($FN1796:$FN$7000))</f>
        <v/>
      </c>
    </row>
    <row r="1797" spans="152:167">
      <c r="EV1797" s="28">
        <f t="shared" si="55"/>
        <v>0</v>
      </c>
      <c r="FH1797" s="29" t="str">
        <f t="shared" si="56"/>
        <v/>
      </c>
      <c r="FJ1797" s="36" t="str">
        <f>IF($FH1797="","",SUM($FN1797:$FN$7000))</f>
        <v/>
      </c>
      <c r="FK1797" s="36" t="str">
        <f>IF($FH1797="","",SUM($FN1797:$FN$7000))</f>
        <v/>
      </c>
    </row>
    <row r="1798" spans="152:167">
      <c r="EV1798" s="28">
        <f t="shared" si="55"/>
        <v>0</v>
      </c>
      <c r="FH1798" s="29" t="str">
        <f t="shared" si="56"/>
        <v/>
      </c>
      <c r="FJ1798" s="36" t="str">
        <f>IF($FH1798="","",SUM($FN1798:$FN$7000))</f>
        <v/>
      </c>
      <c r="FK1798" s="36" t="str">
        <f>IF($FH1798="","",SUM($FN1798:$FN$7000))</f>
        <v/>
      </c>
    </row>
    <row r="1799" spans="152:167">
      <c r="EV1799" s="28">
        <f t="shared" si="55"/>
        <v>0</v>
      </c>
      <c r="FH1799" s="29" t="str">
        <f t="shared" si="56"/>
        <v/>
      </c>
      <c r="FJ1799" s="36" t="str">
        <f>IF($FH1799="","",SUM($FN1799:$FN$7000))</f>
        <v/>
      </c>
      <c r="FK1799" s="36" t="str">
        <f>IF($FH1799="","",SUM($FN1799:$FN$7000))</f>
        <v/>
      </c>
    </row>
    <row r="1800" spans="152:167">
      <c r="EV1800" s="28">
        <f t="shared" si="55"/>
        <v>0</v>
      </c>
      <c r="FH1800" s="29" t="str">
        <f t="shared" si="56"/>
        <v/>
      </c>
      <c r="FJ1800" s="36" t="str">
        <f>IF($FH1800="","",SUM($FN1800:$FN$7000))</f>
        <v/>
      </c>
      <c r="FK1800" s="36" t="str">
        <f>IF($FH1800="","",SUM($FN1800:$FN$7000))</f>
        <v/>
      </c>
    </row>
    <row r="1801" spans="152:167">
      <c r="EV1801" s="28">
        <f t="shared" si="55"/>
        <v>0</v>
      </c>
      <c r="FH1801" s="29" t="str">
        <f t="shared" si="56"/>
        <v/>
      </c>
      <c r="FJ1801" s="36" t="str">
        <f>IF($FH1801="","",SUM($FN1801:$FN$7000))</f>
        <v/>
      </c>
      <c r="FK1801" s="36" t="str">
        <f>IF($FH1801="","",SUM($FN1801:$FN$7000))</f>
        <v/>
      </c>
    </row>
    <row r="1802" spans="152:167">
      <c r="EV1802" s="28">
        <f t="shared" si="55"/>
        <v>0</v>
      </c>
      <c r="FH1802" s="29" t="str">
        <f t="shared" si="56"/>
        <v/>
      </c>
      <c r="FJ1802" s="36" t="str">
        <f>IF($FH1802="","",SUM($FN1802:$FN$7000))</f>
        <v/>
      </c>
      <c r="FK1802" s="36" t="str">
        <f>IF($FH1802="","",SUM($FN1802:$FN$7000))</f>
        <v/>
      </c>
    </row>
    <row r="1803" spans="152:167">
      <c r="EV1803" s="28">
        <f t="shared" ref="EV1803:EV1866" si="57">EU1803-ET1803</f>
        <v>0</v>
      </c>
      <c r="FH1803" s="29" t="str">
        <f t="shared" ref="FH1803:FH1866" si="58">IF(FL1803="","",FL1803)</f>
        <v/>
      </c>
      <c r="FJ1803" s="36" t="str">
        <f>IF($FH1803="","",SUM($FN1803:$FN$7000))</f>
        <v/>
      </c>
      <c r="FK1803" s="36" t="str">
        <f>IF($FH1803="","",SUM($FN1803:$FN$7000))</f>
        <v/>
      </c>
    </row>
    <row r="1804" spans="152:167">
      <c r="EV1804" s="28">
        <f t="shared" si="57"/>
        <v>0</v>
      </c>
      <c r="FH1804" s="29" t="str">
        <f t="shared" si="58"/>
        <v/>
      </c>
      <c r="FJ1804" s="36" t="str">
        <f>IF($FH1804="","",SUM($FN1804:$FN$7000))</f>
        <v/>
      </c>
      <c r="FK1804" s="36" t="str">
        <f>IF($FH1804="","",SUM($FN1804:$FN$7000))</f>
        <v/>
      </c>
    </row>
    <row r="1805" spans="152:167">
      <c r="EV1805" s="28">
        <f t="shared" si="57"/>
        <v>0</v>
      </c>
      <c r="FH1805" s="29" t="str">
        <f t="shared" si="58"/>
        <v/>
      </c>
      <c r="FJ1805" s="36" t="str">
        <f>IF($FH1805="","",SUM($FN1805:$FN$7000))</f>
        <v/>
      </c>
      <c r="FK1805" s="36" t="str">
        <f>IF($FH1805="","",SUM($FN1805:$FN$7000))</f>
        <v/>
      </c>
    </row>
    <row r="1806" spans="152:167">
      <c r="EV1806" s="28">
        <f t="shared" si="57"/>
        <v>0</v>
      </c>
      <c r="FH1806" s="29" t="str">
        <f t="shared" si="58"/>
        <v/>
      </c>
      <c r="FJ1806" s="36" t="str">
        <f>IF($FH1806="","",SUM($FN1806:$FN$7000))</f>
        <v/>
      </c>
      <c r="FK1806" s="36" t="str">
        <f>IF($FH1806="","",SUM($FN1806:$FN$7000))</f>
        <v/>
      </c>
    </row>
    <row r="1807" spans="152:167">
      <c r="EV1807" s="28">
        <f t="shared" si="57"/>
        <v>0</v>
      </c>
      <c r="FH1807" s="29" t="str">
        <f t="shared" si="58"/>
        <v/>
      </c>
      <c r="FJ1807" s="36" t="str">
        <f>IF($FH1807="","",SUM($FN1807:$FN$7000))</f>
        <v/>
      </c>
      <c r="FK1807" s="36" t="str">
        <f>IF($FH1807="","",SUM($FN1807:$FN$7000))</f>
        <v/>
      </c>
    </row>
    <row r="1808" spans="152:167">
      <c r="EV1808" s="28">
        <f t="shared" si="57"/>
        <v>0</v>
      </c>
      <c r="FH1808" s="29" t="str">
        <f t="shared" si="58"/>
        <v/>
      </c>
      <c r="FJ1808" s="36" t="str">
        <f>IF($FH1808="","",SUM($FN1808:$FN$7000))</f>
        <v/>
      </c>
      <c r="FK1808" s="36" t="str">
        <f>IF($FH1808="","",SUM($FN1808:$FN$7000))</f>
        <v/>
      </c>
    </row>
    <row r="1809" spans="152:167">
      <c r="EV1809" s="28">
        <f t="shared" si="57"/>
        <v>0</v>
      </c>
      <c r="FH1809" s="29" t="str">
        <f t="shared" si="58"/>
        <v/>
      </c>
      <c r="FJ1809" s="36" t="str">
        <f>IF($FH1809="","",SUM($FN1809:$FN$7000))</f>
        <v/>
      </c>
      <c r="FK1809" s="36" t="str">
        <f>IF($FH1809="","",SUM($FN1809:$FN$7000))</f>
        <v/>
      </c>
    </row>
    <row r="1810" spans="152:167">
      <c r="EV1810" s="28">
        <f t="shared" si="57"/>
        <v>0</v>
      </c>
      <c r="FH1810" s="29" t="str">
        <f t="shared" si="58"/>
        <v/>
      </c>
      <c r="FJ1810" s="36" t="str">
        <f>IF($FH1810="","",SUM($FN1810:$FN$7000))</f>
        <v/>
      </c>
      <c r="FK1810" s="36" t="str">
        <f>IF($FH1810="","",SUM($FN1810:$FN$7000))</f>
        <v/>
      </c>
    </row>
    <row r="1811" spans="152:167">
      <c r="EV1811" s="28">
        <f t="shared" si="57"/>
        <v>0</v>
      </c>
      <c r="FH1811" s="29" t="str">
        <f t="shared" si="58"/>
        <v/>
      </c>
      <c r="FJ1811" s="36" t="str">
        <f>IF($FH1811="","",SUM($FN1811:$FN$7000))</f>
        <v/>
      </c>
      <c r="FK1811" s="36" t="str">
        <f>IF($FH1811="","",SUM($FN1811:$FN$7000))</f>
        <v/>
      </c>
    </row>
    <row r="1812" spans="152:167">
      <c r="EV1812" s="28">
        <f t="shared" si="57"/>
        <v>0</v>
      </c>
      <c r="FH1812" s="29" t="str">
        <f t="shared" si="58"/>
        <v/>
      </c>
      <c r="FJ1812" s="36" t="str">
        <f>IF($FH1812="","",SUM($FN1812:$FN$7000))</f>
        <v/>
      </c>
      <c r="FK1812" s="36" t="str">
        <f>IF($FH1812="","",SUM($FN1812:$FN$7000))</f>
        <v/>
      </c>
    </row>
    <row r="1813" spans="152:167">
      <c r="EV1813" s="28">
        <f t="shared" si="57"/>
        <v>0</v>
      </c>
      <c r="FH1813" s="29" t="str">
        <f t="shared" si="58"/>
        <v/>
      </c>
      <c r="FJ1813" s="36" t="str">
        <f>IF($FH1813="","",SUM($FN1813:$FN$7000))</f>
        <v/>
      </c>
      <c r="FK1813" s="36" t="str">
        <f>IF($FH1813="","",SUM($FN1813:$FN$7000))</f>
        <v/>
      </c>
    </row>
    <row r="1814" spans="152:167">
      <c r="EV1814" s="28">
        <f t="shared" si="57"/>
        <v>0</v>
      </c>
      <c r="FH1814" s="29" t="str">
        <f t="shared" si="58"/>
        <v/>
      </c>
      <c r="FJ1814" s="36" t="str">
        <f>IF($FH1814="","",SUM($FN1814:$FN$7000))</f>
        <v/>
      </c>
      <c r="FK1814" s="36" t="str">
        <f>IF($FH1814="","",SUM($FN1814:$FN$7000))</f>
        <v/>
      </c>
    </row>
    <row r="1815" spans="152:167">
      <c r="EV1815" s="28">
        <f t="shared" si="57"/>
        <v>0</v>
      </c>
      <c r="FH1815" s="29" t="str">
        <f t="shared" si="58"/>
        <v/>
      </c>
      <c r="FJ1815" s="36" t="str">
        <f>IF($FH1815="","",SUM($FN1815:$FN$7000))</f>
        <v/>
      </c>
      <c r="FK1815" s="36" t="str">
        <f>IF($FH1815="","",SUM($FN1815:$FN$7000))</f>
        <v/>
      </c>
    </row>
    <row r="1816" spans="152:167">
      <c r="EV1816" s="28">
        <f t="shared" si="57"/>
        <v>0</v>
      </c>
      <c r="FH1816" s="29" t="str">
        <f t="shared" si="58"/>
        <v/>
      </c>
      <c r="FJ1816" s="36" t="str">
        <f>IF($FH1816="","",SUM($FN1816:$FN$7000))</f>
        <v/>
      </c>
      <c r="FK1816" s="36" t="str">
        <f>IF($FH1816="","",SUM($FN1816:$FN$7000))</f>
        <v/>
      </c>
    </row>
    <row r="1817" spans="152:167">
      <c r="EV1817" s="28">
        <f t="shared" si="57"/>
        <v>0</v>
      </c>
      <c r="FH1817" s="29" t="str">
        <f t="shared" si="58"/>
        <v/>
      </c>
      <c r="FJ1817" s="36" t="str">
        <f>IF($FH1817="","",SUM($FN1817:$FN$7000))</f>
        <v/>
      </c>
      <c r="FK1817" s="36" t="str">
        <f>IF($FH1817="","",SUM($FN1817:$FN$7000))</f>
        <v/>
      </c>
    </row>
    <row r="1818" spans="152:167">
      <c r="EV1818" s="28">
        <f t="shared" si="57"/>
        <v>0</v>
      </c>
      <c r="FH1818" s="29" t="str">
        <f t="shared" si="58"/>
        <v/>
      </c>
      <c r="FJ1818" s="36" t="str">
        <f>IF($FH1818="","",SUM($FN1818:$FN$7000))</f>
        <v/>
      </c>
      <c r="FK1818" s="36" t="str">
        <f>IF($FH1818="","",SUM($FN1818:$FN$7000))</f>
        <v/>
      </c>
    </row>
    <row r="1819" spans="152:167">
      <c r="EV1819" s="28">
        <f t="shared" si="57"/>
        <v>0</v>
      </c>
      <c r="FH1819" s="29" t="str">
        <f t="shared" si="58"/>
        <v/>
      </c>
      <c r="FJ1819" s="36" t="str">
        <f>IF($FH1819="","",SUM($FN1819:$FN$7000))</f>
        <v/>
      </c>
      <c r="FK1819" s="36" t="str">
        <f>IF($FH1819="","",SUM($FN1819:$FN$7000))</f>
        <v/>
      </c>
    </row>
    <row r="1820" spans="152:167">
      <c r="EV1820" s="28">
        <f t="shared" si="57"/>
        <v>0</v>
      </c>
      <c r="FH1820" s="29" t="str">
        <f t="shared" si="58"/>
        <v/>
      </c>
      <c r="FJ1820" s="36" t="str">
        <f>IF($FH1820="","",SUM($FN1820:$FN$7000))</f>
        <v/>
      </c>
      <c r="FK1820" s="36" t="str">
        <f>IF($FH1820="","",SUM($FN1820:$FN$7000))</f>
        <v/>
      </c>
    </row>
    <row r="1821" spans="152:167">
      <c r="EV1821" s="28">
        <f t="shared" si="57"/>
        <v>0</v>
      </c>
      <c r="FH1821" s="29" t="str">
        <f t="shared" si="58"/>
        <v/>
      </c>
      <c r="FJ1821" s="36" t="str">
        <f>IF($FH1821="","",SUM($FN1821:$FN$7000))</f>
        <v/>
      </c>
      <c r="FK1821" s="36" t="str">
        <f>IF($FH1821="","",SUM($FN1821:$FN$7000))</f>
        <v/>
      </c>
    </row>
    <row r="1822" spans="152:167">
      <c r="EV1822" s="28">
        <f t="shared" si="57"/>
        <v>0</v>
      </c>
      <c r="FH1822" s="29" t="str">
        <f t="shared" si="58"/>
        <v/>
      </c>
      <c r="FJ1822" s="36" t="str">
        <f>IF($FH1822="","",SUM($FN1822:$FN$7000))</f>
        <v/>
      </c>
      <c r="FK1822" s="36" t="str">
        <f>IF($FH1822="","",SUM($FN1822:$FN$7000))</f>
        <v/>
      </c>
    </row>
    <row r="1823" spans="152:167">
      <c r="EV1823" s="28">
        <f t="shared" si="57"/>
        <v>0</v>
      </c>
      <c r="FH1823" s="29" t="str">
        <f t="shared" si="58"/>
        <v/>
      </c>
      <c r="FJ1823" s="36" t="str">
        <f>IF($FH1823="","",SUM($FN1823:$FN$7000))</f>
        <v/>
      </c>
      <c r="FK1823" s="36" t="str">
        <f>IF($FH1823="","",SUM($FN1823:$FN$7000))</f>
        <v/>
      </c>
    </row>
    <row r="1824" spans="152:167">
      <c r="EV1824" s="28">
        <f t="shared" si="57"/>
        <v>0</v>
      </c>
      <c r="FH1824" s="29" t="str">
        <f t="shared" si="58"/>
        <v/>
      </c>
      <c r="FJ1824" s="36" t="str">
        <f>IF($FH1824="","",SUM($FN1824:$FN$7000))</f>
        <v/>
      </c>
      <c r="FK1824" s="36" t="str">
        <f>IF($FH1824="","",SUM($FN1824:$FN$7000))</f>
        <v/>
      </c>
    </row>
    <row r="1825" spans="152:167">
      <c r="EV1825" s="28">
        <f t="shared" si="57"/>
        <v>0</v>
      </c>
      <c r="FH1825" s="29" t="str">
        <f t="shared" si="58"/>
        <v/>
      </c>
      <c r="FJ1825" s="36" t="str">
        <f>IF($FH1825="","",SUM($FN1825:$FN$7000))</f>
        <v/>
      </c>
      <c r="FK1825" s="36" t="str">
        <f>IF($FH1825="","",SUM($FN1825:$FN$7000))</f>
        <v/>
      </c>
    </row>
    <row r="1826" spans="152:167">
      <c r="EV1826" s="28">
        <f t="shared" si="57"/>
        <v>0</v>
      </c>
      <c r="FH1826" s="29" t="str">
        <f t="shared" si="58"/>
        <v/>
      </c>
      <c r="FJ1826" s="36" t="str">
        <f>IF($FH1826="","",SUM($FN1826:$FN$7000))</f>
        <v/>
      </c>
      <c r="FK1826" s="36" t="str">
        <f>IF($FH1826="","",SUM($FN1826:$FN$7000))</f>
        <v/>
      </c>
    </row>
    <row r="1827" spans="152:167">
      <c r="EV1827" s="28">
        <f t="shared" si="57"/>
        <v>0</v>
      </c>
      <c r="FH1827" s="29" t="str">
        <f t="shared" si="58"/>
        <v/>
      </c>
      <c r="FJ1827" s="36" t="str">
        <f>IF($FH1827="","",SUM($FN1827:$FN$7000))</f>
        <v/>
      </c>
      <c r="FK1827" s="36" t="str">
        <f>IF($FH1827="","",SUM($FN1827:$FN$7000))</f>
        <v/>
      </c>
    </row>
    <row r="1828" spans="152:167">
      <c r="EV1828" s="28">
        <f t="shared" si="57"/>
        <v>0</v>
      </c>
      <c r="FH1828" s="29" t="str">
        <f t="shared" si="58"/>
        <v/>
      </c>
      <c r="FJ1828" s="36" t="str">
        <f>IF($FH1828="","",SUM($FN1828:$FN$7000))</f>
        <v/>
      </c>
      <c r="FK1828" s="36" t="str">
        <f>IF($FH1828="","",SUM($FN1828:$FN$7000))</f>
        <v/>
      </c>
    </row>
    <row r="1829" spans="152:167">
      <c r="EV1829" s="28">
        <f t="shared" si="57"/>
        <v>0</v>
      </c>
      <c r="FH1829" s="29" t="str">
        <f t="shared" si="58"/>
        <v/>
      </c>
      <c r="FJ1829" s="36" t="str">
        <f>IF($FH1829="","",SUM($FN1829:$FN$7000))</f>
        <v/>
      </c>
      <c r="FK1829" s="36" t="str">
        <f>IF($FH1829="","",SUM($FN1829:$FN$7000))</f>
        <v/>
      </c>
    </row>
    <row r="1830" spans="152:167">
      <c r="EV1830" s="28">
        <f t="shared" si="57"/>
        <v>0</v>
      </c>
      <c r="FH1830" s="29" t="str">
        <f t="shared" si="58"/>
        <v/>
      </c>
      <c r="FJ1830" s="36" t="str">
        <f>IF($FH1830="","",SUM($FN1830:$FN$7000))</f>
        <v/>
      </c>
      <c r="FK1830" s="36" t="str">
        <f>IF($FH1830="","",SUM($FN1830:$FN$7000))</f>
        <v/>
      </c>
    </row>
    <row r="1831" spans="152:167">
      <c r="EV1831" s="28">
        <f t="shared" si="57"/>
        <v>0</v>
      </c>
      <c r="FH1831" s="29" t="str">
        <f t="shared" si="58"/>
        <v/>
      </c>
      <c r="FJ1831" s="36" t="str">
        <f>IF($FH1831="","",SUM($FN1831:$FN$7000))</f>
        <v/>
      </c>
      <c r="FK1831" s="36" t="str">
        <f>IF($FH1831="","",SUM($FN1831:$FN$7000))</f>
        <v/>
      </c>
    </row>
    <row r="1832" spans="152:167">
      <c r="EV1832" s="28">
        <f t="shared" si="57"/>
        <v>0</v>
      </c>
      <c r="FH1832" s="29" t="str">
        <f t="shared" si="58"/>
        <v/>
      </c>
      <c r="FJ1832" s="36" t="str">
        <f>IF($FH1832="","",SUM($FN1832:$FN$7000))</f>
        <v/>
      </c>
      <c r="FK1832" s="36" t="str">
        <f>IF($FH1832="","",SUM($FN1832:$FN$7000))</f>
        <v/>
      </c>
    </row>
    <row r="1833" spans="152:167">
      <c r="EV1833" s="28">
        <f t="shared" si="57"/>
        <v>0</v>
      </c>
      <c r="FH1833" s="29" t="str">
        <f t="shared" si="58"/>
        <v/>
      </c>
      <c r="FJ1833" s="36" t="str">
        <f>IF($FH1833="","",SUM($FN1833:$FN$7000))</f>
        <v/>
      </c>
      <c r="FK1833" s="36" t="str">
        <f>IF($FH1833="","",SUM($FN1833:$FN$7000))</f>
        <v/>
      </c>
    </row>
    <row r="1834" spans="152:167">
      <c r="EV1834" s="28">
        <f t="shared" si="57"/>
        <v>0</v>
      </c>
      <c r="FH1834" s="29" t="str">
        <f t="shared" si="58"/>
        <v/>
      </c>
      <c r="FJ1834" s="36" t="str">
        <f>IF($FH1834="","",SUM($FN1834:$FN$7000))</f>
        <v/>
      </c>
      <c r="FK1834" s="36" t="str">
        <f>IF($FH1834="","",SUM($FN1834:$FN$7000))</f>
        <v/>
      </c>
    </row>
    <row r="1835" spans="152:167">
      <c r="EV1835" s="28">
        <f t="shared" si="57"/>
        <v>0</v>
      </c>
      <c r="FH1835" s="29" t="str">
        <f t="shared" si="58"/>
        <v/>
      </c>
      <c r="FJ1835" s="36" t="str">
        <f>IF($FH1835="","",SUM($FN1835:$FN$7000))</f>
        <v/>
      </c>
      <c r="FK1835" s="36" t="str">
        <f>IF($FH1835="","",SUM($FN1835:$FN$7000))</f>
        <v/>
      </c>
    </row>
    <row r="1836" spans="152:167">
      <c r="EV1836" s="28">
        <f t="shared" si="57"/>
        <v>0</v>
      </c>
      <c r="FH1836" s="29" t="str">
        <f t="shared" si="58"/>
        <v/>
      </c>
      <c r="FJ1836" s="36" t="str">
        <f>IF($FH1836="","",SUM($FN1836:$FN$7000))</f>
        <v/>
      </c>
      <c r="FK1836" s="36" t="str">
        <f>IF($FH1836="","",SUM($FN1836:$FN$7000))</f>
        <v/>
      </c>
    </row>
    <row r="1837" spans="152:167">
      <c r="EV1837" s="28">
        <f t="shared" si="57"/>
        <v>0</v>
      </c>
      <c r="FH1837" s="29" t="str">
        <f t="shared" si="58"/>
        <v/>
      </c>
      <c r="FJ1837" s="36" t="str">
        <f>IF($FH1837="","",SUM($FN1837:$FN$7000))</f>
        <v/>
      </c>
      <c r="FK1837" s="36" t="str">
        <f>IF($FH1837="","",SUM($FN1837:$FN$7000))</f>
        <v/>
      </c>
    </row>
    <row r="1838" spans="152:167">
      <c r="EV1838" s="28">
        <f t="shared" si="57"/>
        <v>0</v>
      </c>
      <c r="FH1838" s="29" t="str">
        <f t="shared" si="58"/>
        <v/>
      </c>
      <c r="FJ1838" s="36" t="str">
        <f>IF($FH1838="","",SUM($FN1838:$FN$7000))</f>
        <v/>
      </c>
      <c r="FK1838" s="36" t="str">
        <f>IF($FH1838="","",SUM($FN1838:$FN$7000))</f>
        <v/>
      </c>
    </row>
    <row r="1839" spans="152:167">
      <c r="EV1839" s="28">
        <f t="shared" si="57"/>
        <v>0</v>
      </c>
      <c r="FH1839" s="29" t="str">
        <f t="shared" si="58"/>
        <v/>
      </c>
      <c r="FJ1839" s="36" t="str">
        <f>IF($FH1839="","",SUM($FN1839:$FN$7000))</f>
        <v/>
      </c>
      <c r="FK1839" s="36" t="str">
        <f>IF($FH1839="","",SUM($FN1839:$FN$7000))</f>
        <v/>
      </c>
    </row>
    <row r="1840" spans="152:167">
      <c r="EV1840" s="28">
        <f t="shared" si="57"/>
        <v>0</v>
      </c>
      <c r="FH1840" s="29" t="str">
        <f t="shared" si="58"/>
        <v/>
      </c>
      <c r="FJ1840" s="36" t="str">
        <f>IF($FH1840="","",SUM($FN1840:$FN$7000))</f>
        <v/>
      </c>
      <c r="FK1840" s="36" t="str">
        <f>IF($FH1840="","",SUM($FN1840:$FN$7000))</f>
        <v/>
      </c>
    </row>
    <row r="1841" spans="152:167">
      <c r="EV1841" s="28">
        <f t="shared" si="57"/>
        <v>0</v>
      </c>
      <c r="FH1841" s="29" t="str">
        <f t="shared" si="58"/>
        <v/>
      </c>
      <c r="FJ1841" s="36" t="str">
        <f>IF($FH1841="","",SUM($FN1841:$FN$7000))</f>
        <v/>
      </c>
      <c r="FK1841" s="36" t="str">
        <f>IF($FH1841="","",SUM($FN1841:$FN$7000))</f>
        <v/>
      </c>
    </row>
    <row r="1842" spans="152:167">
      <c r="EV1842" s="28">
        <f t="shared" si="57"/>
        <v>0</v>
      </c>
      <c r="FH1842" s="29" t="str">
        <f t="shared" si="58"/>
        <v/>
      </c>
      <c r="FJ1842" s="36" t="str">
        <f>IF($FH1842="","",SUM($FN1842:$FN$7000))</f>
        <v/>
      </c>
      <c r="FK1842" s="36" t="str">
        <f>IF($FH1842="","",SUM($FN1842:$FN$7000))</f>
        <v/>
      </c>
    </row>
    <row r="1843" spans="152:167">
      <c r="EV1843" s="28">
        <f t="shared" si="57"/>
        <v>0</v>
      </c>
      <c r="FH1843" s="29" t="str">
        <f t="shared" si="58"/>
        <v/>
      </c>
      <c r="FJ1843" s="36" t="str">
        <f>IF($FH1843="","",SUM($FN1843:$FN$7000))</f>
        <v/>
      </c>
      <c r="FK1843" s="36" t="str">
        <f>IF($FH1843="","",SUM($FN1843:$FN$7000))</f>
        <v/>
      </c>
    </row>
    <row r="1844" spans="152:167">
      <c r="EV1844" s="28">
        <f t="shared" si="57"/>
        <v>0</v>
      </c>
      <c r="FH1844" s="29" t="str">
        <f t="shared" si="58"/>
        <v/>
      </c>
      <c r="FJ1844" s="36" t="str">
        <f>IF($FH1844="","",SUM($FN1844:$FN$7000))</f>
        <v/>
      </c>
      <c r="FK1844" s="36" t="str">
        <f>IF($FH1844="","",SUM($FN1844:$FN$7000))</f>
        <v/>
      </c>
    </row>
    <row r="1845" spans="152:167">
      <c r="EV1845" s="28">
        <f t="shared" si="57"/>
        <v>0</v>
      </c>
      <c r="FH1845" s="29" t="str">
        <f t="shared" si="58"/>
        <v/>
      </c>
      <c r="FJ1845" s="36" t="str">
        <f>IF($FH1845="","",SUM($FN1845:$FN$7000))</f>
        <v/>
      </c>
      <c r="FK1845" s="36" t="str">
        <f>IF($FH1845="","",SUM($FN1845:$FN$7000))</f>
        <v/>
      </c>
    </row>
    <row r="1846" spans="152:167">
      <c r="EV1846" s="28">
        <f t="shared" si="57"/>
        <v>0</v>
      </c>
      <c r="FH1846" s="29" t="str">
        <f t="shared" si="58"/>
        <v/>
      </c>
      <c r="FJ1846" s="36" t="str">
        <f>IF($FH1846="","",SUM($FN1846:$FN$7000))</f>
        <v/>
      </c>
      <c r="FK1846" s="36" t="str">
        <f>IF($FH1846="","",SUM($FN1846:$FN$7000))</f>
        <v/>
      </c>
    </row>
    <row r="1847" spans="152:167">
      <c r="EV1847" s="28">
        <f t="shared" si="57"/>
        <v>0</v>
      </c>
      <c r="FH1847" s="29" t="str">
        <f t="shared" si="58"/>
        <v/>
      </c>
      <c r="FJ1847" s="36" t="str">
        <f>IF($FH1847="","",SUM($FN1847:$FN$7000))</f>
        <v/>
      </c>
      <c r="FK1847" s="36" t="str">
        <f>IF($FH1847="","",SUM($FN1847:$FN$7000))</f>
        <v/>
      </c>
    </row>
    <row r="1848" spans="152:167">
      <c r="EV1848" s="28">
        <f t="shared" si="57"/>
        <v>0</v>
      </c>
      <c r="FH1848" s="29" t="str">
        <f t="shared" si="58"/>
        <v/>
      </c>
      <c r="FJ1848" s="36" t="str">
        <f>IF($FH1848="","",SUM($FN1848:$FN$7000))</f>
        <v/>
      </c>
      <c r="FK1848" s="36" t="str">
        <f>IF($FH1848="","",SUM($FN1848:$FN$7000))</f>
        <v/>
      </c>
    </row>
    <row r="1849" spans="152:167">
      <c r="EV1849" s="28">
        <f t="shared" si="57"/>
        <v>0</v>
      </c>
      <c r="FH1849" s="29" t="str">
        <f t="shared" si="58"/>
        <v/>
      </c>
      <c r="FJ1849" s="36" t="str">
        <f>IF($FH1849="","",SUM($FN1849:$FN$7000))</f>
        <v/>
      </c>
      <c r="FK1849" s="36" t="str">
        <f>IF($FH1849="","",SUM($FN1849:$FN$7000))</f>
        <v/>
      </c>
    </row>
    <row r="1850" spans="152:167">
      <c r="EV1850" s="28">
        <f t="shared" si="57"/>
        <v>0</v>
      </c>
      <c r="FH1850" s="29" t="str">
        <f t="shared" si="58"/>
        <v/>
      </c>
      <c r="FJ1850" s="36" t="str">
        <f>IF($FH1850="","",SUM($FN1850:$FN$7000))</f>
        <v/>
      </c>
      <c r="FK1850" s="36" t="str">
        <f>IF($FH1850="","",SUM($FN1850:$FN$7000))</f>
        <v/>
      </c>
    </row>
    <row r="1851" spans="152:167">
      <c r="EV1851" s="28">
        <f t="shared" si="57"/>
        <v>0</v>
      </c>
      <c r="FH1851" s="29" t="str">
        <f t="shared" si="58"/>
        <v/>
      </c>
      <c r="FJ1851" s="36" t="str">
        <f>IF($FH1851="","",SUM($FN1851:$FN$7000))</f>
        <v/>
      </c>
      <c r="FK1851" s="36" t="str">
        <f>IF($FH1851="","",SUM($FN1851:$FN$7000))</f>
        <v/>
      </c>
    </row>
    <row r="1852" spans="152:167">
      <c r="EV1852" s="28">
        <f t="shared" si="57"/>
        <v>0</v>
      </c>
      <c r="FH1852" s="29" t="str">
        <f t="shared" si="58"/>
        <v/>
      </c>
      <c r="FJ1852" s="36" t="str">
        <f>IF($FH1852="","",SUM($FN1852:$FN$7000))</f>
        <v/>
      </c>
      <c r="FK1852" s="36" t="str">
        <f>IF($FH1852="","",SUM($FN1852:$FN$7000))</f>
        <v/>
      </c>
    </row>
    <row r="1853" spans="152:167">
      <c r="EV1853" s="28">
        <f t="shared" si="57"/>
        <v>0</v>
      </c>
      <c r="FH1853" s="29" t="str">
        <f t="shared" si="58"/>
        <v/>
      </c>
      <c r="FJ1853" s="36" t="str">
        <f>IF($FH1853="","",SUM($FN1853:$FN$7000))</f>
        <v/>
      </c>
      <c r="FK1853" s="36" t="str">
        <f>IF($FH1853="","",SUM($FN1853:$FN$7000))</f>
        <v/>
      </c>
    </row>
    <row r="1854" spans="152:167">
      <c r="EV1854" s="28">
        <f t="shared" si="57"/>
        <v>0</v>
      </c>
      <c r="FH1854" s="29" t="str">
        <f t="shared" si="58"/>
        <v/>
      </c>
      <c r="FJ1854" s="36" t="str">
        <f>IF($FH1854="","",SUM($FN1854:$FN$7000))</f>
        <v/>
      </c>
      <c r="FK1854" s="36" t="str">
        <f>IF($FH1854="","",SUM($FN1854:$FN$7000))</f>
        <v/>
      </c>
    </row>
    <row r="1855" spans="152:167">
      <c r="EV1855" s="28">
        <f t="shared" si="57"/>
        <v>0</v>
      </c>
      <c r="FH1855" s="29" t="str">
        <f t="shared" si="58"/>
        <v/>
      </c>
      <c r="FJ1855" s="36" t="str">
        <f>IF($FH1855="","",SUM($FN1855:$FN$7000))</f>
        <v/>
      </c>
      <c r="FK1855" s="36" t="str">
        <f>IF($FH1855="","",SUM($FN1855:$FN$7000))</f>
        <v/>
      </c>
    </row>
    <row r="1856" spans="152:167">
      <c r="EV1856" s="28">
        <f t="shared" si="57"/>
        <v>0</v>
      </c>
      <c r="FH1856" s="29" t="str">
        <f t="shared" si="58"/>
        <v/>
      </c>
      <c r="FJ1856" s="36" t="str">
        <f>IF($FH1856="","",SUM($FN1856:$FN$7000))</f>
        <v/>
      </c>
      <c r="FK1856" s="36" t="str">
        <f>IF($FH1856="","",SUM($FN1856:$FN$7000))</f>
        <v/>
      </c>
    </row>
    <row r="1857" spans="152:167">
      <c r="EV1857" s="28">
        <f t="shared" si="57"/>
        <v>0</v>
      </c>
      <c r="FH1857" s="29" t="str">
        <f t="shared" si="58"/>
        <v/>
      </c>
      <c r="FJ1857" s="36" t="str">
        <f>IF($FH1857="","",SUM($FN1857:$FN$7000))</f>
        <v/>
      </c>
      <c r="FK1857" s="36" t="str">
        <f>IF($FH1857="","",SUM($FN1857:$FN$7000))</f>
        <v/>
      </c>
    </row>
    <row r="1858" spans="152:167">
      <c r="EV1858" s="28">
        <f t="shared" si="57"/>
        <v>0</v>
      </c>
      <c r="FH1858" s="29" t="str">
        <f t="shared" si="58"/>
        <v/>
      </c>
      <c r="FJ1858" s="36" t="str">
        <f>IF($FH1858="","",SUM($FN1858:$FN$7000))</f>
        <v/>
      </c>
      <c r="FK1858" s="36" t="str">
        <f>IF($FH1858="","",SUM($FN1858:$FN$7000))</f>
        <v/>
      </c>
    </row>
    <row r="1859" spans="152:167">
      <c r="EV1859" s="28">
        <f t="shared" si="57"/>
        <v>0</v>
      </c>
      <c r="FH1859" s="29" t="str">
        <f t="shared" si="58"/>
        <v/>
      </c>
      <c r="FJ1859" s="36" t="str">
        <f>IF($FH1859="","",SUM($FN1859:$FN$7000))</f>
        <v/>
      </c>
      <c r="FK1859" s="36" t="str">
        <f>IF($FH1859="","",SUM($FN1859:$FN$7000))</f>
        <v/>
      </c>
    </row>
    <row r="1860" spans="152:167">
      <c r="EV1860" s="28">
        <f t="shared" si="57"/>
        <v>0</v>
      </c>
      <c r="FH1860" s="29" t="str">
        <f t="shared" si="58"/>
        <v/>
      </c>
      <c r="FJ1860" s="36" t="str">
        <f>IF($FH1860="","",SUM($FN1860:$FN$7000))</f>
        <v/>
      </c>
      <c r="FK1860" s="36" t="str">
        <f>IF($FH1860="","",SUM($FN1860:$FN$7000))</f>
        <v/>
      </c>
    </row>
    <row r="1861" spans="152:167">
      <c r="EV1861" s="28">
        <f t="shared" si="57"/>
        <v>0</v>
      </c>
      <c r="FH1861" s="29" t="str">
        <f t="shared" si="58"/>
        <v/>
      </c>
      <c r="FJ1861" s="36" t="str">
        <f>IF($FH1861="","",SUM($FN1861:$FN$7000))</f>
        <v/>
      </c>
      <c r="FK1861" s="36" t="str">
        <f>IF($FH1861="","",SUM($FN1861:$FN$7000))</f>
        <v/>
      </c>
    </row>
    <row r="1862" spans="152:167">
      <c r="EV1862" s="28">
        <f t="shared" si="57"/>
        <v>0</v>
      </c>
      <c r="FH1862" s="29" t="str">
        <f t="shared" si="58"/>
        <v/>
      </c>
      <c r="FJ1862" s="36" t="str">
        <f>IF($FH1862="","",SUM($FN1862:$FN$7000))</f>
        <v/>
      </c>
      <c r="FK1862" s="36" t="str">
        <f>IF($FH1862="","",SUM($FN1862:$FN$7000))</f>
        <v/>
      </c>
    </row>
    <row r="1863" spans="152:167">
      <c r="EV1863" s="28">
        <f t="shared" si="57"/>
        <v>0</v>
      </c>
      <c r="FH1863" s="29" t="str">
        <f t="shared" si="58"/>
        <v/>
      </c>
      <c r="FJ1863" s="36" t="str">
        <f>IF($FH1863="","",SUM($FN1863:$FN$7000))</f>
        <v/>
      </c>
      <c r="FK1863" s="36" t="str">
        <f>IF($FH1863="","",SUM($FN1863:$FN$7000))</f>
        <v/>
      </c>
    </row>
    <row r="1864" spans="152:167">
      <c r="EV1864" s="28">
        <f t="shared" si="57"/>
        <v>0</v>
      </c>
      <c r="FH1864" s="29" t="str">
        <f t="shared" si="58"/>
        <v/>
      </c>
      <c r="FJ1864" s="36" t="str">
        <f>IF($FH1864="","",SUM($FN1864:$FN$7000))</f>
        <v/>
      </c>
      <c r="FK1864" s="36" t="str">
        <f>IF($FH1864="","",SUM($FN1864:$FN$7000))</f>
        <v/>
      </c>
    </row>
    <row r="1865" spans="152:167">
      <c r="EV1865" s="28">
        <f t="shared" si="57"/>
        <v>0</v>
      </c>
      <c r="FH1865" s="29" t="str">
        <f t="shared" si="58"/>
        <v/>
      </c>
      <c r="FJ1865" s="36" t="str">
        <f>IF($FH1865="","",SUM($FN1865:$FN$7000))</f>
        <v/>
      </c>
      <c r="FK1865" s="36" t="str">
        <f>IF($FH1865="","",SUM($FN1865:$FN$7000))</f>
        <v/>
      </c>
    </row>
    <row r="1866" spans="152:167">
      <c r="EV1866" s="28">
        <f t="shared" si="57"/>
        <v>0</v>
      </c>
      <c r="FH1866" s="29" t="str">
        <f t="shared" si="58"/>
        <v/>
      </c>
      <c r="FJ1866" s="36" t="str">
        <f>IF($FH1866="","",SUM($FN1866:$FN$7000))</f>
        <v/>
      </c>
      <c r="FK1866" s="36" t="str">
        <f>IF($FH1866="","",SUM($FN1866:$FN$7000))</f>
        <v/>
      </c>
    </row>
    <row r="1867" spans="152:167">
      <c r="EV1867" s="28">
        <f t="shared" ref="EV1867:EV1930" si="59">EU1867-ET1867</f>
        <v>0</v>
      </c>
      <c r="FH1867" s="29" t="str">
        <f t="shared" ref="FH1867:FH1930" si="60">IF(FL1867="","",FL1867)</f>
        <v/>
      </c>
      <c r="FJ1867" s="36" t="str">
        <f>IF($FH1867="","",SUM($FN1867:$FN$7000))</f>
        <v/>
      </c>
      <c r="FK1867" s="36" t="str">
        <f>IF($FH1867="","",SUM($FN1867:$FN$7000))</f>
        <v/>
      </c>
    </row>
    <row r="1868" spans="152:167">
      <c r="EV1868" s="28">
        <f t="shared" si="59"/>
        <v>0</v>
      </c>
      <c r="FH1868" s="29" t="str">
        <f t="shared" si="60"/>
        <v/>
      </c>
      <c r="FJ1868" s="36" t="str">
        <f>IF($FH1868="","",SUM($FN1868:$FN$7000))</f>
        <v/>
      </c>
      <c r="FK1868" s="36" t="str">
        <f>IF($FH1868="","",SUM($FN1868:$FN$7000))</f>
        <v/>
      </c>
    </row>
    <row r="1869" spans="152:167">
      <c r="EV1869" s="28">
        <f t="shared" si="59"/>
        <v>0</v>
      </c>
      <c r="FH1869" s="29" t="str">
        <f t="shared" si="60"/>
        <v/>
      </c>
      <c r="FJ1869" s="36" t="str">
        <f>IF($FH1869="","",SUM($FN1869:$FN$7000))</f>
        <v/>
      </c>
      <c r="FK1869" s="36" t="str">
        <f>IF($FH1869="","",SUM($FN1869:$FN$7000))</f>
        <v/>
      </c>
    </row>
    <row r="1870" spans="152:167">
      <c r="EV1870" s="28">
        <f t="shared" si="59"/>
        <v>0</v>
      </c>
      <c r="FH1870" s="29" t="str">
        <f t="shared" si="60"/>
        <v/>
      </c>
      <c r="FJ1870" s="36" t="str">
        <f>IF($FH1870="","",SUM($FN1870:$FN$7000))</f>
        <v/>
      </c>
      <c r="FK1870" s="36" t="str">
        <f>IF($FH1870="","",SUM($FN1870:$FN$7000))</f>
        <v/>
      </c>
    </row>
    <row r="1871" spans="152:167">
      <c r="EV1871" s="28">
        <f t="shared" si="59"/>
        <v>0</v>
      </c>
      <c r="FH1871" s="29" t="str">
        <f t="shared" si="60"/>
        <v/>
      </c>
      <c r="FJ1871" s="36" t="str">
        <f>IF($FH1871="","",SUM($FN1871:$FN$7000))</f>
        <v/>
      </c>
      <c r="FK1871" s="36" t="str">
        <f>IF($FH1871="","",SUM($FN1871:$FN$7000))</f>
        <v/>
      </c>
    </row>
    <row r="1872" spans="152:167">
      <c r="EV1872" s="28">
        <f t="shared" si="59"/>
        <v>0</v>
      </c>
      <c r="FH1872" s="29" t="str">
        <f t="shared" si="60"/>
        <v/>
      </c>
      <c r="FJ1872" s="36" t="str">
        <f>IF($FH1872="","",SUM($FN1872:$FN$7000))</f>
        <v/>
      </c>
      <c r="FK1872" s="36" t="str">
        <f>IF($FH1872="","",SUM($FN1872:$FN$7000))</f>
        <v/>
      </c>
    </row>
    <row r="1873" spans="152:167">
      <c r="EV1873" s="28">
        <f t="shared" si="59"/>
        <v>0</v>
      </c>
      <c r="FH1873" s="29" t="str">
        <f t="shared" si="60"/>
        <v/>
      </c>
      <c r="FJ1873" s="36" t="str">
        <f>IF($FH1873="","",SUM($FN1873:$FN$7000))</f>
        <v/>
      </c>
      <c r="FK1873" s="36" t="str">
        <f>IF($FH1873="","",SUM($FN1873:$FN$7000))</f>
        <v/>
      </c>
    </row>
    <row r="1874" spans="152:167">
      <c r="EV1874" s="28">
        <f t="shared" si="59"/>
        <v>0</v>
      </c>
      <c r="FH1874" s="29" t="str">
        <f t="shared" si="60"/>
        <v/>
      </c>
      <c r="FJ1874" s="36" t="str">
        <f>IF($FH1874="","",SUM($FN1874:$FN$7000))</f>
        <v/>
      </c>
      <c r="FK1874" s="36" t="str">
        <f>IF($FH1874="","",SUM($FN1874:$FN$7000))</f>
        <v/>
      </c>
    </row>
    <row r="1875" spans="152:167">
      <c r="EV1875" s="28">
        <f t="shared" si="59"/>
        <v>0</v>
      </c>
      <c r="FH1875" s="29" t="str">
        <f t="shared" si="60"/>
        <v/>
      </c>
      <c r="FJ1875" s="36" t="str">
        <f>IF($FH1875="","",SUM($FN1875:$FN$7000))</f>
        <v/>
      </c>
      <c r="FK1875" s="36" t="str">
        <f>IF($FH1875="","",SUM($FN1875:$FN$7000))</f>
        <v/>
      </c>
    </row>
    <row r="1876" spans="152:167">
      <c r="EV1876" s="28">
        <f t="shared" si="59"/>
        <v>0</v>
      </c>
      <c r="FH1876" s="29" t="str">
        <f t="shared" si="60"/>
        <v/>
      </c>
      <c r="FJ1876" s="36" t="str">
        <f>IF($FH1876="","",SUM($FN1876:$FN$7000))</f>
        <v/>
      </c>
      <c r="FK1876" s="36" t="str">
        <f>IF($FH1876="","",SUM($FN1876:$FN$7000))</f>
        <v/>
      </c>
    </row>
    <row r="1877" spans="152:167">
      <c r="EV1877" s="28">
        <f t="shared" si="59"/>
        <v>0</v>
      </c>
      <c r="FH1877" s="29" t="str">
        <f t="shared" si="60"/>
        <v/>
      </c>
      <c r="FJ1877" s="36" t="str">
        <f>IF($FH1877="","",SUM($FN1877:$FN$7000))</f>
        <v/>
      </c>
      <c r="FK1877" s="36" t="str">
        <f>IF($FH1877="","",SUM($FN1877:$FN$7000))</f>
        <v/>
      </c>
    </row>
    <row r="1878" spans="152:167">
      <c r="EV1878" s="28">
        <f t="shared" si="59"/>
        <v>0</v>
      </c>
      <c r="FH1878" s="29" t="str">
        <f t="shared" si="60"/>
        <v/>
      </c>
      <c r="FJ1878" s="36" t="str">
        <f>IF($FH1878="","",SUM($FN1878:$FN$7000))</f>
        <v/>
      </c>
      <c r="FK1878" s="36" t="str">
        <f>IF($FH1878="","",SUM($FN1878:$FN$7000))</f>
        <v/>
      </c>
    </row>
    <row r="1879" spans="152:167">
      <c r="EV1879" s="28">
        <f t="shared" si="59"/>
        <v>0</v>
      </c>
      <c r="FH1879" s="29" t="str">
        <f t="shared" si="60"/>
        <v/>
      </c>
      <c r="FJ1879" s="36" t="str">
        <f>IF($FH1879="","",SUM($FN1879:$FN$7000))</f>
        <v/>
      </c>
      <c r="FK1879" s="36" t="str">
        <f>IF($FH1879="","",SUM($FN1879:$FN$7000))</f>
        <v/>
      </c>
    </row>
    <row r="1880" spans="152:167">
      <c r="EV1880" s="28">
        <f t="shared" si="59"/>
        <v>0</v>
      </c>
      <c r="FH1880" s="29" t="str">
        <f t="shared" si="60"/>
        <v/>
      </c>
      <c r="FJ1880" s="36" t="str">
        <f>IF($FH1880="","",SUM($FN1880:$FN$7000))</f>
        <v/>
      </c>
      <c r="FK1880" s="36" t="str">
        <f>IF($FH1880="","",SUM($FN1880:$FN$7000))</f>
        <v/>
      </c>
    </row>
    <row r="1881" spans="152:167">
      <c r="EV1881" s="28">
        <f t="shared" si="59"/>
        <v>0</v>
      </c>
      <c r="FH1881" s="29" t="str">
        <f t="shared" si="60"/>
        <v/>
      </c>
      <c r="FJ1881" s="36" t="str">
        <f>IF($FH1881="","",SUM($FN1881:$FN$7000))</f>
        <v/>
      </c>
      <c r="FK1881" s="36" t="str">
        <f>IF($FH1881="","",SUM($FN1881:$FN$7000))</f>
        <v/>
      </c>
    </row>
    <row r="1882" spans="152:167">
      <c r="EV1882" s="28">
        <f t="shared" si="59"/>
        <v>0</v>
      </c>
      <c r="FH1882" s="29" t="str">
        <f t="shared" si="60"/>
        <v/>
      </c>
      <c r="FJ1882" s="36" t="str">
        <f>IF($FH1882="","",SUM($FN1882:$FN$7000))</f>
        <v/>
      </c>
      <c r="FK1882" s="36" t="str">
        <f>IF($FH1882="","",SUM($FN1882:$FN$7000))</f>
        <v/>
      </c>
    </row>
    <row r="1883" spans="152:167">
      <c r="EV1883" s="28">
        <f t="shared" si="59"/>
        <v>0</v>
      </c>
      <c r="FH1883" s="29" t="str">
        <f t="shared" si="60"/>
        <v/>
      </c>
      <c r="FJ1883" s="36" t="str">
        <f>IF($FH1883="","",SUM($FN1883:$FN$7000))</f>
        <v/>
      </c>
      <c r="FK1883" s="36" t="str">
        <f>IF($FH1883="","",SUM($FN1883:$FN$7000))</f>
        <v/>
      </c>
    </row>
    <row r="1884" spans="152:167">
      <c r="EV1884" s="28">
        <f t="shared" si="59"/>
        <v>0</v>
      </c>
      <c r="FH1884" s="29" t="str">
        <f t="shared" si="60"/>
        <v/>
      </c>
      <c r="FJ1884" s="36" t="str">
        <f>IF($FH1884="","",SUM($FN1884:$FN$7000))</f>
        <v/>
      </c>
      <c r="FK1884" s="36" t="str">
        <f>IF($FH1884="","",SUM($FN1884:$FN$7000))</f>
        <v/>
      </c>
    </row>
    <row r="1885" spans="152:167">
      <c r="EV1885" s="28">
        <f t="shared" si="59"/>
        <v>0</v>
      </c>
      <c r="FH1885" s="29" t="str">
        <f t="shared" si="60"/>
        <v/>
      </c>
      <c r="FJ1885" s="36" t="str">
        <f>IF($FH1885="","",SUM($FN1885:$FN$7000))</f>
        <v/>
      </c>
      <c r="FK1885" s="36" t="str">
        <f>IF($FH1885="","",SUM($FN1885:$FN$7000))</f>
        <v/>
      </c>
    </row>
    <row r="1886" spans="152:167">
      <c r="EV1886" s="28">
        <f t="shared" si="59"/>
        <v>0</v>
      </c>
      <c r="FH1886" s="29" t="str">
        <f t="shared" si="60"/>
        <v/>
      </c>
      <c r="FJ1886" s="36" t="str">
        <f>IF($FH1886="","",SUM($FN1886:$FN$7000))</f>
        <v/>
      </c>
      <c r="FK1886" s="36" t="str">
        <f>IF($FH1886="","",SUM($FN1886:$FN$7000))</f>
        <v/>
      </c>
    </row>
    <row r="1887" spans="152:167">
      <c r="EV1887" s="28">
        <f t="shared" si="59"/>
        <v>0</v>
      </c>
      <c r="FH1887" s="29" t="str">
        <f t="shared" si="60"/>
        <v/>
      </c>
      <c r="FJ1887" s="36" t="str">
        <f>IF($FH1887="","",SUM($FN1887:$FN$7000))</f>
        <v/>
      </c>
      <c r="FK1887" s="36" t="str">
        <f>IF($FH1887="","",SUM($FN1887:$FN$7000))</f>
        <v/>
      </c>
    </row>
    <row r="1888" spans="152:167">
      <c r="EV1888" s="28">
        <f t="shared" si="59"/>
        <v>0</v>
      </c>
      <c r="FH1888" s="29" t="str">
        <f t="shared" si="60"/>
        <v/>
      </c>
      <c r="FJ1888" s="36" t="str">
        <f>IF($FH1888="","",SUM($FN1888:$FN$7000))</f>
        <v/>
      </c>
      <c r="FK1888" s="36" t="str">
        <f>IF($FH1888="","",SUM($FN1888:$FN$7000))</f>
        <v/>
      </c>
    </row>
    <row r="1889" spans="152:167">
      <c r="EV1889" s="28">
        <f t="shared" si="59"/>
        <v>0</v>
      </c>
      <c r="FH1889" s="29" t="str">
        <f t="shared" si="60"/>
        <v/>
      </c>
      <c r="FJ1889" s="36" t="str">
        <f>IF($FH1889="","",SUM($FN1889:$FN$7000))</f>
        <v/>
      </c>
      <c r="FK1889" s="36" t="str">
        <f>IF($FH1889="","",SUM($FN1889:$FN$7000))</f>
        <v/>
      </c>
    </row>
    <row r="1890" spans="152:167">
      <c r="EV1890" s="28">
        <f t="shared" si="59"/>
        <v>0</v>
      </c>
      <c r="FH1890" s="29" t="str">
        <f t="shared" si="60"/>
        <v/>
      </c>
      <c r="FJ1890" s="36" t="str">
        <f>IF($FH1890="","",SUM($FN1890:$FN$7000))</f>
        <v/>
      </c>
      <c r="FK1890" s="36" t="str">
        <f>IF($FH1890="","",SUM($FN1890:$FN$7000))</f>
        <v/>
      </c>
    </row>
    <row r="1891" spans="152:167">
      <c r="EV1891" s="28">
        <f t="shared" si="59"/>
        <v>0</v>
      </c>
      <c r="FH1891" s="29" t="str">
        <f t="shared" si="60"/>
        <v/>
      </c>
      <c r="FJ1891" s="36" t="str">
        <f>IF($FH1891="","",SUM($FN1891:$FN$7000))</f>
        <v/>
      </c>
      <c r="FK1891" s="36" t="str">
        <f>IF($FH1891="","",SUM($FN1891:$FN$7000))</f>
        <v/>
      </c>
    </row>
    <row r="1892" spans="152:167">
      <c r="EV1892" s="28">
        <f t="shared" si="59"/>
        <v>0</v>
      </c>
      <c r="FH1892" s="29" t="str">
        <f t="shared" si="60"/>
        <v/>
      </c>
      <c r="FJ1892" s="36" t="str">
        <f>IF($FH1892="","",SUM($FN1892:$FN$7000))</f>
        <v/>
      </c>
      <c r="FK1892" s="36" t="str">
        <f>IF($FH1892="","",SUM($FN1892:$FN$7000))</f>
        <v/>
      </c>
    </row>
    <row r="1893" spans="152:167">
      <c r="EV1893" s="28">
        <f t="shared" si="59"/>
        <v>0</v>
      </c>
      <c r="FH1893" s="29" t="str">
        <f t="shared" si="60"/>
        <v/>
      </c>
      <c r="FJ1893" s="36" t="str">
        <f>IF($FH1893="","",SUM($FN1893:$FN$7000))</f>
        <v/>
      </c>
      <c r="FK1893" s="36" t="str">
        <f>IF($FH1893="","",SUM($FN1893:$FN$7000))</f>
        <v/>
      </c>
    </row>
    <row r="1894" spans="152:167">
      <c r="EV1894" s="28">
        <f t="shared" si="59"/>
        <v>0</v>
      </c>
      <c r="FH1894" s="29" t="str">
        <f t="shared" si="60"/>
        <v/>
      </c>
      <c r="FJ1894" s="36" t="str">
        <f>IF($FH1894="","",SUM($FN1894:$FN$7000))</f>
        <v/>
      </c>
      <c r="FK1894" s="36" t="str">
        <f>IF($FH1894="","",SUM($FN1894:$FN$7000))</f>
        <v/>
      </c>
    </row>
    <row r="1895" spans="152:167">
      <c r="EV1895" s="28">
        <f t="shared" si="59"/>
        <v>0</v>
      </c>
      <c r="FH1895" s="29" t="str">
        <f t="shared" si="60"/>
        <v/>
      </c>
      <c r="FJ1895" s="36" t="str">
        <f>IF($FH1895="","",SUM($FN1895:$FN$7000))</f>
        <v/>
      </c>
      <c r="FK1895" s="36" t="str">
        <f>IF($FH1895="","",SUM($FN1895:$FN$7000))</f>
        <v/>
      </c>
    </row>
    <row r="1896" spans="152:167">
      <c r="EV1896" s="28">
        <f t="shared" si="59"/>
        <v>0</v>
      </c>
      <c r="FH1896" s="29" t="str">
        <f t="shared" si="60"/>
        <v/>
      </c>
      <c r="FJ1896" s="36" t="str">
        <f>IF($FH1896="","",SUM($FN1896:$FN$7000))</f>
        <v/>
      </c>
      <c r="FK1896" s="36" t="str">
        <f>IF($FH1896="","",SUM($FN1896:$FN$7000))</f>
        <v/>
      </c>
    </row>
    <row r="1897" spans="152:167">
      <c r="EV1897" s="28">
        <f t="shared" si="59"/>
        <v>0</v>
      </c>
      <c r="FH1897" s="29" t="str">
        <f t="shared" si="60"/>
        <v/>
      </c>
      <c r="FJ1897" s="36" t="str">
        <f>IF($FH1897="","",SUM($FN1897:$FN$7000))</f>
        <v/>
      </c>
      <c r="FK1897" s="36" t="str">
        <f>IF($FH1897="","",SUM($FN1897:$FN$7000))</f>
        <v/>
      </c>
    </row>
    <row r="1898" spans="152:167">
      <c r="EV1898" s="28">
        <f t="shared" si="59"/>
        <v>0</v>
      </c>
      <c r="FH1898" s="29" t="str">
        <f t="shared" si="60"/>
        <v/>
      </c>
      <c r="FJ1898" s="36" t="str">
        <f>IF($FH1898="","",SUM($FN1898:$FN$7000))</f>
        <v/>
      </c>
      <c r="FK1898" s="36" t="str">
        <f>IF($FH1898="","",SUM($FN1898:$FN$7000))</f>
        <v/>
      </c>
    </row>
    <row r="1899" spans="152:167">
      <c r="EV1899" s="28">
        <f t="shared" si="59"/>
        <v>0</v>
      </c>
      <c r="FH1899" s="29" t="str">
        <f t="shared" si="60"/>
        <v/>
      </c>
      <c r="FJ1899" s="36" t="str">
        <f>IF($FH1899="","",SUM($FN1899:$FN$7000))</f>
        <v/>
      </c>
      <c r="FK1899" s="36" t="str">
        <f>IF($FH1899="","",SUM($FN1899:$FN$7000))</f>
        <v/>
      </c>
    </row>
    <row r="1900" spans="152:167">
      <c r="EV1900" s="28">
        <f t="shared" si="59"/>
        <v>0</v>
      </c>
      <c r="FH1900" s="29" t="str">
        <f t="shared" si="60"/>
        <v/>
      </c>
      <c r="FJ1900" s="36" t="str">
        <f>IF($FH1900="","",SUM($FN1900:$FN$7000))</f>
        <v/>
      </c>
      <c r="FK1900" s="36" t="str">
        <f>IF($FH1900="","",SUM($FN1900:$FN$7000))</f>
        <v/>
      </c>
    </row>
    <row r="1901" spans="152:167">
      <c r="EV1901" s="28">
        <f t="shared" si="59"/>
        <v>0</v>
      </c>
      <c r="FH1901" s="29" t="str">
        <f t="shared" si="60"/>
        <v/>
      </c>
      <c r="FJ1901" s="36" t="str">
        <f>IF($FH1901="","",SUM($FN1901:$FN$7000))</f>
        <v/>
      </c>
      <c r="FK1901" s="36" t="str">
        <f>IF($FH1901="","",SUM($FN1901:$FN$7000))</f>
        <v/>
      </c>
    </row>
    <row r="1902" spans="152:167">
      <c r="EV1902" s="28">
        <f t="shared" si="59"/>
        <v>0</v>
      </c>
      <c r="FH1902" s="29" t="str">
        <f t="shared" si="60"/>
        <v/>
      </c>
      <c r="FJ1902" s="36" t="str">
        <f>IF($FH1902="","",SUM($FN1902:$FN$7000))</f>
        <v/>
      </c>
      <c r="FK1902" s="36" t="str">
        <f>IF($FH1902="","",SUM($FN1902:$FN$7000))</f>
        <v/>
      </c>
    </row>
    <row r="1903" spans="152:167">
      <c r="EV1903" s="28">
        <f t="shared" si="59"/>
        <v>0</v>
      </c>
      <c r="FH1903" s="29" t="str">
        <f t="shared" si="60"/>
        <v/>
      </c>
      <c r="FJ1903" s="36" t="str">
        <f>IF($FH1903="","",SUM($FN1903:$FN$7000))</f>
        <v/>
      </c>
      <c r="FK1903" s="36" t="str">
        <f>IF($FH1903="","",SUM($FN1903:$FN$7000))</f>
        <v/>
      </c>
    </row>
    <row r="1904" spans="152:167">
      <c r="EV1904" s="28">
        <f t="shared" si="59"/>
        <v>0</v>
      </c>
      <c r="FH1904" s="29" t="str">
        <f t="shared" si="60"/>
        <v/>
      </c>
      <c r="FJ1904" s="36" t="str">
        <f>IF($FH1904="","",SUM($FN1904:$FN$7000))</f>
        <v/>
      </c>
      <c r="FK1904" s="36" t="str">
        <f>IF($FH1904="","",SUM($FN1904:$FN$7000))</f>
        <v/>
      </c>
    </row>
    <row r="1905" spans="152:167">
      <c r="EV1905" s="28">
        <f t="shared" si="59"/>
        <v>0</v>
      </c>
      <c r="FH1905" s="29" t="str">
        <f t="shared" si="60"/>
        <v/>
      </c>
      <c r="FJ1905" s="36" t="str">
        <f>IF($FH1905="","",SUM($FN1905:$FN$7000))</f>
        <v/>
      </c>
      <c r="FK1905" s="36" t="str">
        <f>IF($FH1905="","",SUM($FN1905:$FN$7000))</f>
        <v/>
      </c>
    </row>
    <row r="1906" spans="152:167">
      <c r="EV1906" s="28">
        <f t="shared" si="59"/>
        <v>0</v>
      </c>
      <c r="FH1906" s="29" t="str">
        <f t="shared" si="60"/>
        <v/>
      </c>
      <c r="FJ1906" s="36" t="str">
        <f>IF($FH1906="","",SUM($FN1906:$FN$7000))</f>
        <v/>
      </c>
      <c r="FK1906" s="36" t="str">
        <f>IF($FH1906="","",SUM($FN1906:$FN$7000))</f>
        <v/>
      </c>
    </row>
    <row r="1907" spans="152:167">
      <c r="EV1907" s="28">
        <f t="shared" si="59"/>
        <v>0</v>
      </c>
      <c r="FH1907" s="29" t="str">
        <f t="shared" si="60"/>
        <v/>
      </c>
      <c r="FJ1907" s="36" t="str">
        <f>IF($FH1907="","",SUM($FN1907:$FN$7000))</f>
        <v/>
      </c>
      <c r="FK1907" s="36" t="str">
        <f>IF($FH1907="","",SUM($FN1907:$FN$7000))</f>
        <v/>
      </c>
    </row>
    <row r="1908" spans="152:167">
      <c r="EV1908" s="28">
        <f t="shared" si="59"/>
        <v>0</v>
      </c>
      <c r="FH1908" s="29" t="str">
        <f t="shared" si="60"/>
        <v/>
      </c>
      <c r="FJ1908" s="36" t="str">
        <f>IF($FH1908="","",SUM($FN1908:$FN$7000))</f>
        <v/>
      </c>
      <c r="FK1908" s="36" t="str">
        <f>IF($FH1908="","",SUM($FN1908:$FN$7000))</f>
        <v/>
      </c>
    </row>
    <row r="1909" spans="152:167">
      <c r="EV1909" s="28">
        <f t="shared" si="59"/>
        <v>0</v>
      </c>
      <c r="FH1909" s="29" t="str">
        <f t="shared" si="60"/>
        <v/>
      </c>
      <c r="FJ1909" s="36" t="str">
        <f>IF($FH1909="","",SUM($FN1909:$FN$7000))</f>
        <v/>
      </c>
      <c r="FK1909" s="36" t="str">
        <f>IF($FH1909="","",SUM($FN1909:$FN$7000))</f>
        <v/>
      </c>
    </row>
    <row r="1910" spans="152:167">
      <c r="EV1910" s="28">
        <f t="shared" si="59"/>
        <v>0</v>
      </c>
      <c r="FH1910" s="29" t="str">
        <f t="shared" si="60"/>
        <v/>
      </c>
      <c r="FJ1910" s="36" t="str">
        <f>IF($FH1910="","",SUM($FN1910:$FN$7000))</f>
        <v/>
      </c>
      <c r="FK1910" s="36" t="str">
        <f>IF($FH1910="","",SUM($FN1910:$FN$7000))</f>
        <v/>
      </c>
    </row>
    <row r="1911" spans="152:167">
      <c r="EV1911" s="28">
        <f t="shared" si="59"/>
        <v>0</v>
      </c>
      <c r="FH1911" s="29" t="str">
        <f t="shared" si="60"/>
        <v/>
      </c>
      <c r="FJ1911" s="36" t="str">
        <f>IF($FH1911="","",SUM($FN1911:$FN$7000))</f>
        <v/>
      </c>
      <c r="FK1911" s="36" t="str">
        <f>IF($FH1911="","",SUM($FN1911:$FN$7000))</f>
        <v/>
      </c>
    </row>
    <row r="1912" spans="152:167">
      <c r="EV1912" s="28">
        <f t="shared" si="59"/>
        <v>0</v>
      </c>
      <c r="FH1912" s="29" t="str">
        <f t="shared" si="60"/>
        <v/>
      </c>
      <c r="FJ1912" s="36" t="str">
        <f>IF($FH1912="","",SUM($FN1912:$FN$7000))</f>
        <v/>
      </c>
      <c r="FK1912" s="36" t="str">
        <f>IF($FH1912="","",SUM($FN1912:$FN$7000))</f>
        <v/>
      </c>
    </row>
    <row r="1913" spans="152:167">
      <c r="EV1913" s="28">
        <f t="shared" si="59"/>
        <v>0</v>
      </c>
      <c r="FH1913" s="29" t="str">
        <f t="shared" si="60"/>
        <v/>
      </c>
      <c r="FJ1913" s="36" t="str">
        <f>IF($FH1913="","",SUM($FN1913:$FN$7000))</f>
        <v/>
      </c>
      <c r="FK1913" s="36" t="str">
        <f>IF($FH1913="","",SUM($FN1913:$FN$7000))</f>
        <v/>
      </c>
    </row>
    <row r="1914" spans="152:167">
      <c r="EV1914" s="28">
        <f t="shared" si="59"/>
        <v>0</v>
      </c>
      <c r="FH1914" s="29" t="str">
        <f t="shared" si="60"/>
        <v/>
      </c>
      <c r="FJ1914" s="36" t="str">
        <f>IF($FH1914="","",SUM($FN1914:$FN$7000))</f>
        <v/>
      </c>
      <c r="FK1914" s="36" t="str">
        <f>IF($FH1914="","",SUM($FN1914:$FN$7000))</f>
        <v/>
      </c>
    </row>
    <row r="1915" spans="152:167">
      <c r="EV1915" s="28">
        <f t="shared" si="59"/>
        <v>0</v>
      </c>
      <c r="FH1915" s="29" t="str">
        <f t="shared" si="60"/>
        <v/>
      </c>
      <c r="FJ1915" s="36" t="str">
        <f>IF($FH1915="","",SUM($FN1915:$FN$7000))</f>
        <v/>
      </c>
      <c r="FK1915" s="36" t="str">
        <f>IF($FH1915="","",SUM($FN1915:$FN$7000))</f>
        <v/>
      </c>
    </row>
    <row r="1916" spans="152:167">
      <c r="EV1916" s="28">
        <f t="shared" si="59"/>
        <v>0</v>
      </c>
      <c r="FH1916" s="29" t="str">
        <f t="shared" si="60"/>
        <v/>
      </c>
      <c r="FJ1916" s="36" t="str">
        <f>IF($FH1916="","",SUM($FN1916:$FN$7000))</f>
        <v/>
      </c>
      <c r="FK1916" s="36" t="str">
        <f>IF($FH1916="","",SUM($FN1916:$FN$7000))</f>
        <v/>
      </c>
    </row>
    <row r="1917" spans="152:167">
      <c r="EV1917" s="28">
        <f t="shared" si="59"/>
        <v>0</v>
      </c>
      <c r="FH1917" s="29" t="str">
        <f t="shared" si="60"/>
        <v/>
      </c>
      <c r="FJ1917" s="36" t="str">
        <f>IF($FH1917="","",SUM($FN1917:$FN$7000))</f>
        <v/>
      </c>
      <c r="FK1917" s="36" t="str">
        <f>IF($FH1917="","",SUM($FN1917:$FN$7000))</f>
        <v/>
      </c>
    </row>
    <row r="1918" spans="152:167">
      <c r="EV1918" s="28">
        <f t="shared" si="59"/>
        <v>0</v>
      </c>
      <c r="FH1918" s="29" t="str">
        <f t="shared" si="60"/>
        <v/>
      </c>
      <c r="FJ1918" s="36" t="str">
        <f>IF($FH1918="","",SUM($FN1918:$FN$7000))</f>
        <v/>
      </c>
      <c r="FK1918" s="36" t="str">
        <f>IF($FH1918="","",SUM($FN1918:$FN$7000))</f>
        <v/>
      </c>
    </row>
    <row r="1919" spans="152:167">
      <c r="EV1919" s="28">
        <f t="shared" si="59"/>
        <v>0</v>
      </c>
      <c r="FH1919" s="29" t="str">
        <f t="shared" si="60"/>
        <v/>
      </c>
      <c r="FJ1919" s="36" t="str">
        <f>IF($FH1919="","",SUM($FN1919:$FN$7000))</f>
        <v/>
      </c>
      <c r="FK1919" s="36" t="str">
        <f>IF($FH1919="","",SUM($FN1919:$FN$7000))</f>
        <v/>
      </c>
    </row>
    <row r="1920" spans="152:167">
      <c r="EV1920" s="28">
        <f t="shared" si="59"/>
        <v>0</v>
      </c>
      <c r="FH1920" s="29" t="str">
        <f t="shared" si="60"/>
        <v/>
      </c>
      <c r="FJ1920" s="36" t="str">
        <f>IF($FH1920="","",SUM($FN1920:$FN$7000))</f>
        <v/>
      </c>
      <c r="FK1920" s="36" t="str">
        <f>IF($FH1920="","",SUM($FN1920:$FN$7000))</f>
        <v/>
      </c>
    </row>
    <row r="1921" spans="152:167">
      <c r="EV1921" s="28">
        <f t="shared" si="59"/>
        <v>0</v>
      </c>
      <c r="FH1921" s="29" t="str">
        <f t="shared" si="60"/>
        <v/>
      </c>
      <c r="FJ1921" s="36" t="str">
        <f>IF($FH1921="","",SUM($FN1921:$FN$7000))</f>
        <v/>
      </c>
      <c r="FK1921" s="36" t="str">
        <f>IF($FH1921="","",SUM($FN1921:$FN$7000))</f>
        <v/>
      </c>
    </row>
    <row r="1922" spans="152:167">
      <c r="EV1922" s="28">
        <f t="shared" si="59"/>
        <v>0</v>
      </c>
      <c r="FH1922" s="29" t="str">
        <f t="shared" si="60"/>
        <v/>
      </c>
      <c r="FJ1922" s="36" t="str">
        <f>IF($FH1922="","",SUM($FN1922:$FN$7000))</f>
        <v/>
      </c>
      <c r="FK1922" s="36" t="str">
        <f>IF($FH1922="","",SUM($FN1922:$FN$7000))</f>
        <v/>
      </c>
    </row>
    <row r="1923" spans="152:167">
      <c r="EV1923" s="28">
        <f t="shared" si="59"/>
        <v>0</v>
      </c>
      <c r="FH1923" s="29" t="str">
        <f t="shared" si="60"/>
        <v/>
      </c>
      <c r="FJ1923" s="36" t="str">
        <f>IF($FH1923="","",SUM($FN1923:$FN$7000))</f>
        <v/>
      </c>
      <c r="FK1923" s="36" t="str">
        <f>IF($FH1923="","",SUM($FN1923:$FN$7000))</f>
        <v/>
      </c>
    </row>
    <row r="1924" spans="152:167">
      <c r="EV1924" s="28">
        <f t="shared" si="59"/>
        <v>0</v>
      </c>
      <c r="FH1924" s="29" t="str">
        <f t="shared" si="60"/>
        <v/>
      </c>
      <c r="FJ1924" s="36" t="str">
        <f>IF($FH1924="","",SUM($FN1924:$FN$7000))</f>
        <v/>
      </c>
      <c r="FK1924" s="36" t="str">
        <f>IF($FH1924="","",SUM($FN1924:$FN$7000))</f>
        <v/>
      </c>
    </row>
    <row r="1925" spans="152:167">
      <c r="EV1925" s="28">
        <f t="shared" si="59"/>
        <v>0</v>
      </c>
      <c r="FH1925" s="29" t="str">
        <f t="shared" si="60"/>
        <v/>
      </c>
      <c r="FJ1925" s="36" t="str">
        <f>IF($FH1925="","",SUM($FN1925:$FN$7000))</f>
        <v/>
      </c>
      <c r="FK1925" s="36" t="str">
        <f>IF($FH1925="","",SUM($FN1925:$FN$7000))</f>
        <v/>
      </c>
    </row>
    <row r="1926" spans="152:167">
      <c r="EV1926" s="28">
        <f t="shared" si="59"/>
        <v>0</v>
      </c>
      <c r="FH1926" s="29" t="str">
        <f t="shared" si="60"/>
        <v/>
      </c>
      <c r="FJ1926" s="36" t="str">
        <f>IF($FH1926="","",SUM($FN1926:$FN$7000))</f>
        <v/>
      </c>
      <c r="FK1926" s="36" t="str">
        <f>IF($FH1926="","",SUM($FN1926:$FN$7000))</f>
        <v/>
      </c>
    </row>
    <row r="1927" spans="152:167">
      <c r="EV1927" s="28">
        <f t="shared" si="59"/>
        <v>0</v>
      </c>
      <c r="FH1927" s="29" t="str">
        <f t="shared" si="60"/>
        <v/>
      </c>
      <c r="FJ1927" s="36" t="str">
        <f>IF($FH1927="","",SUM($FN1927:$FN$7000))</f>
        <v/>
      </c>
      <c r="FK1927" s="36" t="str">
        <f>IF($FH1927="","",SUM($FN1927:$FN$7000))</f>
        <v/>
      </c>
    </row>
    <row r="1928" spans="152:167">
      <c r="EV1928" s="28">
        <f t="shared" si="59"/>
        <v>0</v>
      </c>
      <c r="FH1928" s="29" t="str">
        <f t="shared" si="60"/>
        <v/>
      </c>
      <c r="FJ1928" s="36" t="str">
        <f>IF($FH1928="","",SUM($FN1928:$FN$7000))</f>
        <v/>
      </c>
      <c r="FK1928" s="36" t="str">
        <f>IF($FH1928="","",SUM($FN1928:$FN$7000))</f>
        <v/>
      </c>
    </row>
    <row r="1929" spans="152:167">
      <c r="EV1929" s="28">
        <f t="shared" si="59"/>
        <v>0</v>
      </c>
      <c r="FH1929" s="29" t="str">
        <f t="shared" si="60"/>
        <v/>
      </c>
      <c r="FJ1929" s="36" t="str">
        <f>IF($FH1929="","",SUM($FN1929:$FN$7000))</f>
        <v/>
      </c>
      <c r="FK1929" s="36" t="str">
        <f>IF($FH1929="","",SUM($FN1929:$FN$7000))</f>
        <v/>
      </c>
    </row>
    <row r="1930" spans="152:167">
      <c r="EV1930" s="28">
        <f t="shared" si="59"/>
        <v>0</v>
      </c>
      <c r="FH1930" s="29" t="str">
        <f t="shared" si="60"/>
        <v/>
      </c>
      <c r="FJ1930" s="36" t="str">
        <f>IF($FH1930="","",SUM($FN1930:$FN$7000))</f>
        <v/>
      </c>
      <c r="FK1930" s="36" t="str">
        <f>IF($FH1930="","",SUM($FN1930:$FN$7000))</f>
        <v/>
      </c>
    </row>
    <row r="1931" spans="152:167">
      <c r="EV1931" s="28">
        <f t="shared" ref="EV1931:EV1994" si="61">EU1931-ET1931</f>
        <v>0</v>
      </c>
      <c r="FH1931" s="29" t="str">
        <f t="shared" ref="FH1931:FH1994" si="62">IF(FL1931="","",FL1931)</f>
        <v/>
      </c>
      <c r="FJ1931" s="36" t="str">
        <f>IF($FH1931="","",SUM($FN1931:$FN$7000))</f>
        <v/>
      </c>
      <c r="FK1931" s="36" t="str">
        <f>IF($FH1931="","",SUM($FN1931:$FN$7000))</f>
        <v/>
      </c>
    </row>
    <row r="1932" spans="152:167">
      <c r="EV1932" s="28">
        <f t="shared" si="61"/>
        <v>0</v>
      </c>
      <c r="FH1932" s="29" t="str">
        <f t="shared" si="62"/>
        <v/>
      </c>
      <c r="FJ1932" s="36" t="str">
        <f>IF($FH1932="","",SUM($FN1932:$FN$7000))</f>
        <v/>
      </c>
      <c r="FK1932" s="36" t="str">
        <f>IF($FH1932="","",SUM($FN1932:$FN$7000))</f>
        <v/>
      </c>
    </row>
    <row r="1933" spans="152:167">
      <c r="EV1933" s="28">
        <f t="shared" si="61"/>
        <v>0</v>
      </c>
      <c r="FH1933" s="29" t="str">
        <f t="shared" si="62"/>
        <v/>
      </c>
      <c r="FJ1933" s="36" t="str">
        <f>IF($FH1933="","",SUM($FN1933:$FN$7000))</f>
        <v/>
      </c>
      <c r="FK1933" s="36" t="str">
        <f>IF($FH1933="","",SUM($FN1933:$FN$7000))</f>
        <v/>
      </c>
    </row>
    <row r="1934" spans="152:167">
      <c r="EV1934" s="28">
        <f t="shared" si="61"/>
        <v>0</v>
      </c>
      <c r="FH1934" s="29" t="str">
        <f t="shared" si="62"/>
        <v/>
      </c>
      <c r="FJ1934" s="36" t="str">
        <f>IF($FH1934="","",SUM($FN1934:$FN$7000))</f>
        <v/>
      </c>
      <c r="FK1934" s="36" t="str">
        <f>IF($FH1934="","",SUM($FN1934:$FN$7000))</f>
        <v/>
      </c>
    </row>
    <row r="1935" spans="152:167">
      <c r="EV1935" s="28">
        <f t="shared" si="61"/>
        <v>0</v>
      </c>
      <c r="FH1935" s="29" t="str">
        <f t="shared" si="62"/>
        <v/>
      </c>
      <c r="FJ1935" s="36" t="str">
        <f>IF($FH1935="","",SUM($FN1935:$FN$7000))</f>
        <v/>
      </c>
      <c r="FK1935" s="36" t="str">
        <f>IF($FH1935="","",SUM($FN1935:$FN$7000))</f>
        <v/>
      </c>
    </row>
    <row r="1936" spans="152:167">
      <c r="EV1936" s="28">
        <f t="shared" si="61"/>
        <v>0</v>
      </c>
      <c r="FH1936" s="29" t="str">
        <f t="shared" si="62"/>
        <v/>
      </c>
      <c r="FJ1936" s="36" t="str">
        <f>IF($FH1936="","",SUM($FN1936:$FN$7000))</f>
        <v/>
      </c>
      <c r="FK1936" s="36" t="str">
        <f>IF($FH1936="","",SUM($FN1936:$FN$7000))</f>
        <v/>
      </c>
    </row>
    <row r="1937" spans="152:167">
      <c r="EV1937" s="28">
        <f t="shared" si="61"/>
        <v>0</v>
      </c>
      <c r="FH1937" s="29" t="str">
        <f t="shared" si="62"/>
        <v/>
      </c>
      <c r="FJ1937" s="36" t="str">
        <f>IF($FH1937="","",SUM($FN1937:$FN$7000))</f>
        <v/>
      </c>
      <c r="FK1937" s="36" t="str">
        <f>IF($FH1937="","",SUM($FN1937:$FN$7000))</f>
        <v/>
      </c>
    </row>
    <row r="1938" spans="152:167">
      <c r="EV1938" s="28">
        <f t="shared" si="61"/>
        <v>0</v>
      </c>
      <c r="FH1938" s="29" t="str">
        <f t="shared" si="62"/>
        <v/>
      </c>
      <c r="FJ1938" s="36" t="str">
        <f>IF($FH1938="","",SUM($FN1938:$FN$7000))</f>
        <v/>
      </c>
      <c r="FK1938" s="36" t="str">
        <f>IF($FH1938="","",SUM($FN1938:$FN$7000))</f>
        <v/>
      </c>
    </row>
    <row r="1939" spans="152:167">
      <c r="EV1939" s="28">
        <f t="shared" si="61"/>
        <v>0</v>
      </c>
      <c r="FH1939" s="29" t="str">
        <f t="shared" si="62"/>
        <v/>
      </c>
      <c r="FJ1939" s="36" t="str">
        <f>IF($FH1939="","",SUM($FN1939:$FN$7000))</f>
        <v/>
      </c>
      <c r="FK1939" s="36" t="str">
        <f>IF($FH1939="","",SUM($FN1939:$FN$7000))</f>
        <v/>
      </c>
    </row>
    <row r="1940" spans="152:167">
      <c r="EV1940" s="28">
        <f t="shared" si="61"/>
        <v>0</v>
      </c>
      <c r="FH1940" s="29" t="str">
        <f t="shared" si="62"/>
        <v/>
      </c>
      <c r="FJ1940" s="36" t="str">
        <f>IF($FH1940="","",SUM($FN1940:$FN$7000))</f>
        <v/>
      </c>
      <c r="FK1940" s="36" t="str">
        <f>IF($FH1940="","",SUM($FN1940:$FN$7000))</f>
        <v/>
      </c>
    </row>
    <row r="1941" spans="152:167">
      <c r="EV1941" s="28">
        <f t="shared" si="61"/>
        <v>0</v>
      </c>
      <c r="FH1941" s="29" t="str">
        <f t="shared" si="62"/>
        <v/>
      </c>
      <c r="FJ1941" s="36" t="str">
        <f>IF($FH1941="","",SUM($FN1941:$FN$7000))</f>
        <v/>
      </c>
      <c r="FK1941" s="36" t="str">
        <f>IF($FH1941="","",SUM($FN1941:$FN$7000))</f>
        <v/>
      </c>
    </row>
    <row r="1942" spans="152:167">
      <c r="EV1942" s="28">
        <f t="shared" si="61"/>
        <v>0</v>
      </c>
      <c r="FH1942" s="29" t="str">
        <f t="shared" si="62"/>
        <v/>
      </c>
      <c r="FJ1942" s="36" t="str">
        <f>IF($FH1942="","",SUM($FN1942:$FN$7000))</f>
        <v/>
      </c>
      <c r="FK1942" s="36" t="str">
        <f>IF($FH1942="","",SUM($FN1942:$FN$7000))</f>
        <v/>
      </c>
    </row>
    <row r="1943" spans="152:167">
      <c r="EV1943" s="28">
        <f t="shared" si="61"/>
        <v>0</v>
      </c>
      <c r="FH1943" s="29" t="str">
        <f t="shared" si="62"/>
        <v/>
      </c>
      <c r="FJ1943" s="36" t="str">
        <f>IF($FH1943="","",SUM($FN1943:$FN$7000))</f>
        <v/>
      </c>
      <c r="FK1943" s="36" t="str">
        <f>IF($FH1943="","",SUM($FN1943:$FN$7000))</f>
        <v/>
      </c>
    </row>
    <row r="1944" spans="152:167">
      <c r="EV1944" s="28">
        <f t="shared" si="61"/>
        <v>0</v>
      </c>
      <c r="FH1944" s="29" t="str">
        <f t="shared" si="62"/>
        <v/>
      </c>
      <c r="FJ1944" s="36" t="str">
        <f>IF($FH1944="","",SUM($FN1944:$FN$7000))</f>
        <v/>
      </c>
      <c r="FK1944" s="36" t="str">
        <f>IF($FH1944="","",SUM($FN1944:$FN$7000))</f>
        <v/>
      </c>
    </row>
    <row r="1945" spans="152:167">
      <c r="EV1945" s="28">
        <f t="shared" si="61"/>
        <v>0</v>
      </c>
      <c r="FH1945" s="29" t="str">
        <f t="shared" si="62"/>
        <v/>
      </c>
      <c r="FJ1945" s="36" t="str">
        <f>IF($FH1945="","",SUM($FN1945:$FN$7000))</f>
        <v/>
      </c>
      <c r="FK1945" s="36" t="str">
        <f>IF($FH1945="","",SUM($FN1945:$FN$7000))</f>
        <v/>
      </c>
    </row>
    <row r="1946" spans="152:167">
      <c r="EV1946" s="28">
        <f t="shared" si="61"/>
        <v>0</v>
      </c>
      <c r="FH1946" s="29" t="str">
        <f t="shared" si="62"/>
        <v/>
      </c>
      <c r="FJ1946" s="36" t="str">
        <f>IF($FH1946="","",SUM($FN1946:$FN$7000))</f>
        <v/>
      </c>
      <c r="FK1946" s="36" t="str">
        <f>IF($FH1946="","",SUM($FN1946:$FN$7000))</f>
        <v/>
      </c>
    </row>
    <row r="1947" spans="152:167">
      <c r="EV1947" s="28">
        <f t="shared" si="61"/>
        <v>0</v>
      </c>
      <c r="FH1947" s="29" t="str">
        <f t="shared" si="62"/>
        <v/>
      </c>
      <c r="FJ1947" s="36" t="str">
        <f>IF($FH1947="","",SUM($FN1947:$FN$7000))</f>
        <v/>
      </c>
      <c r="FK1947" s="36" t="str">
        <f>IF($FH1947="","",SUM($FN1947:$FN$7000))</f>
        <v/>
      </c>
    </row>
    <row r="1948" spans="152:167">
      <c r="EV1948" s="28">
        <f t="shared" si="61"/>
        <v>0</v>
      </c>
      <c r="FH1948" s="29" t="str">
        <f t="shared" si="62"/>
        <v/>
      </c>
      <c r="FJ1948" s="36" t="str">
        <f>IF($FH1948="","",SUM($FN1948:$FN$7000))</f>
        <v/>
      </c>
      <c r="FK1948" s="36" t="str">
        <f>IF($FH1948="","",SUM($FN1948:$FN$7000))</f>
        <v/>
      </c>
    </row>
    <row r="1949" spans="152:167">
      <c r="EV1949" s="28">
        <f t="shared" si="61"/>
        <v>0</v>
      </c>
      <c r="FH1949" s="29" t="str">
        <f t="shared" si="62"/>
        <v/>
      </c>
      <c r="FJ1949" s="36" t="str">
        <f>IF($FH1949="","",SUM($FN1949:$FN$7000))</f>
        <v/>
      </c>
      <c r="FK1949" s="36" t="str">
        <f>IF($FH1949="","",SUM($FN1949:$FN$7000))</f>
        <v/>
      </c>
    </row>
    <row r="1950" spans="152:167">
      <c r="EV1950" s="28">
        <f t="shared" si="61"/>
        <v>0</v>
      </c>
      <c r="FH1950" s="29" t="str">
        <f t="shared" si="62"/>
        <v/>
      </c>
      <c r="FJ1950" s="36" t="str">
        <f>IF($FH1950="","",SUM($FN1950:$FN$7000))</f>
        <v/>
      </c>
      <c r="FK1950" s="36" t="str">
        <f>IF($FH1950="","",SUM($FN1950:$FN$7000))</f>
        <v/>
      </c>
    </row>
    <row r="1951" spans="152:167">
      <c r="EV1951" s="28">
        <f t="shared" si="61"/>
        <v>0</v>
      </c>
      <c r="FH1951" s="29" t="str">
        <f t="shared" si="62"/>
        <v/>
      </c>
      <c r="FJ1951" s="36" t="str">
        <f>IF($FH1951="","",SUM($FN1951:$FN$7000))</f>
        <v/>
      </c>
      <c r="FK1951" s="36" t="str">
        <f>IF($FH1951="","",SUM($FN1951:$FN$7000))</f>
        <v/>
      </c>
    </row>
    <row r="1952" spans="152:167">
      <c r="EV1952" s="28">
        <f t="shared" si="61"/>
        <v>0</v>
      </c>
      <c r="FH1952" s="29" t="str">
        <f t="shared" si="62"/>
        <v/>
      </c>
      <c r="FJ1952" s="36" t="str">
        <f>IF($FH1952="","",SUM($FN1952:$FN$7000))</f>
        <v/>
      </c>
      <c r="FK1952" s="36" t="str">
        <f>IF($FH1952="","",SUM($FN1952:$FN$7000))</f>
        <v/>
      </c>
    </row>
    <row r="1953" spans="152:167">
      <c r="EV1953" s="28">
        <f t="shared" si="61"/>
        <v>0</v>
      </c>
      <c r="FH1953" s="29" t="str">
        <f t="shared" si="62"/>
        <v/>
      </c>
      <c r="FJ1953" s="36" t="str">
        <f>IF($FH1953="","",SUM($FN1953:$FN$7000))</f>
        <v/>
      </c>
      <c r="FK1953" s="36" t="str">
        <f>IF($FH1953="","",SUM($FN1953:$FN$7000))</f>
        <v/>
      </c>
    </row>
    <row r="1954" spans="152:167">
      <c r="EV1954" s="28">
        <f t="shared" si="61"/>
        <v>0</v>
      </c>
      <c r="FH1954" s="29" t="str">
        <f t="shared" si="62"/>
        <v/>
      </c>
      <c r="FJ1954" s="36" t="str">
        <f>IF($FH1954="","",SUM($FN1954:$FN$7000))</f>
        <v/>
      </c>
      <c r="FK1954" s="36" t="str">
        <f>IF($FH1954="","",SUM($FN1954:$FN$7000))</f>
        <v/>
      </c>
    </row>
    <row r="1955" spans="152:167">
      <c r="EV1955" s="28">
        <f t="shared" si="61"/>
        <v>0</v>
      </c>
      <c r="FH1955" s="29" t="str">
        <f t="shared" si="62"/>
        <v/>
      </c>
      <c r="FJ1955" s="36" t="str">
        <f>IF($FH1955="","",SUM($FN1955:$FN$7000))</f>
        <v/>
      </c>
      <c r="FK1955" s="36" t="str">
        <f>IF($FH1955="","",SUM($FN1955:$FN$7000))</f>
        <v/>
      </c>
    </row>
    <row r="1956" spans="152:167">
      <c r="EV1956" s="28">
        <f t="shared" si="61"/>
        <v>0</v>
      </c>
      <c r="FH1956" s="29" t="str">
        <f t="shared" si="62"/>
        <v/>
      </c>
      <c r="FJ1956" s="36" t="str">
        <f>IF($FH1956="","",SUM($FN1956:$FN$7000))</f>
        <v/>
      </c>
      <c r="FK1956" s="36" t="str">
        <f>IF($FH1956="","",SUM($FN1956:$FN$7000))</f>
        <v/>
      </c>
    </row>
    <row r="1957" spans="152:167">
      <c r="EV1957" s="28">
        <f t="shared" si="61"/>
        <v>0</v>
      </c>
      <c r="FH1957" s="29" t="str">
        <f t="shared" si="62"/>
        <v/>
      </c>
      <c r="FJ1957" s="36" t="str">
        <f>IF($FH1957="","",SUM($FN1957:$FN$7000))</f>
        <v/>
      </c>
      <c r="FK1957" s="36" t="str">
        <f>IF($FH1957="","",SUM($FN1957:$FN$7000))</f>
        <v/>
      </c>
    </row>
    <row r="1958" spans="152:167">
      <c r="EV1958" s="28">
        <f t="shared" si="61"/>
        <v>0</v>
      </c>
      <c r="FH1958" s="29" t="str">
        <f t="shared" si="62"/>
        <v/>
      </c>
      <c r="FJ1958" s="36" t="str">
        <f>IF($FH1958="","",SUM($FN1958:$FN$7000))</f>
        <v/>
      </c>
      <c r="FK1958" s="36" t="str">
        <f>IF($FH1958="","",SUM($FN1958:$FN$7000))</f>
        <v/>
      </c>
    </row>
    <row r="1959" spans="152:167">
      <c r="EV1959" s="28">
        <f t="shared" si="61"/>
        <v>0</v>
      </c>
      <c r="FH1959" s="29" t="str">
        <f t="shared" si="62"/>
        <v/>
      </c>
      <c r="FJ1959" s="36" t="str">
        <f>IF($FH1959="","",SUM($FN1959:$FN$7000))</f>
        <v/>
      </c>
      <c r="FK1959" s="36" t="str">
        <f>IF($FH1959="","",SUM($FN1959:$FN$7000))</f>
        <v/>
      </c>
    </row>
    <row r="1960" spans="152:167">
      <c r="EV1960" s="28">
        <f t="shared" si="61"/>
        <v>0</v>
      </c>
      <c r="FH1960" s="29" t="str">
        <f t="shared" si="62"/>
        <v/>
      </c>
      <c r="FJ1960" s="36" t="str">
        <f>IF($FH1960="","",SUM($FN1960:$FN$7000))</f>
        <v/>
      </c>
      <c r="FK1960" s="36" t="str">
        <f>IF($FH1960="","",SUM($FN1960:$FN$7000))</f>
        <v/>
      </c>
    </row>
    <row r="1961" spans="152:167">
      <c r="EV1961" s="28">
        <f t="shared" si="61"/>
        <v>0</v>
      </c>
      <c r="FH1961" s="29" t="str">
        <f t="shared" si="62"/>
        <v/>
      </c>
      <c r="FJ1961" s="36" t="str">
        <f>IF($FH1961="","",SUM($FN1961:$FN$7000))</f>
        <v/>
      </c>
      <c r="FK1961" s="36" t="str">
        <f>IF($FH1961="","",SUM($FN1961:$FN$7000))</f>
        <v/>
      </c>
    </row>
    <row r="1962" spans="152:167">
      <c r="EV1962" s="28">
        <f t="shared" si="61"/>
        <v>0</v>
      </c>
      <c r="FH1962" s="29" t="str">
        <f t="shared" si="62"/>
        <v/>
      </c>
      <c r="FJ1962" s="36" t="str">
        <f>IF($FH1962="","",SUM($FN1962:$FN$7000))</f>
        <v/>
      </c>
      <c r="FK1962" s="36" t="str">
        <f>IF($FH1962="","",SUM($FN1962:$FN$7000))</f>
        <v/>
      </c>
    </row>
    <row r="1963" spans="152:167">
      <c r="EV1963" s="28">
        <f t="shared" si="61"/>
        <v>0</v>
      </c>
      <c r="FH1963" s="29" t="str">
        <f t="shared" si="62"/>
        <v/>
      </c>
      <c r="FJ1963" s="36" t="str">
        <f>IF($FH1963="","",SUM($FN1963:$FN$7000))</f>
        <v/>
      </c>
      <c r="FK1963" s="36" t="str">
        <f>IF($FH1963="","",SUM($FN1963:$FN$7000))</f>
        <v/>
      </c>
    </row>
    <row r="1964" spans="152:167">
      <c r="EV1964" s="28">
        <f t="shared" si="61"/>
        <v>0</v>
      </c>
      <c r="FH1964" s="29" t="str">
        <f t="shared" si="62"/>
        <v/>
      </c>
      <c r="FJ1964" s="36" t="str">
        <f>IF($FH1964="","",SUM($FN1964:$FN$7000))</f>
        <v/>
      </c>
      <c r="FK1964" s="36" t="str">
        <f>IF($FH1964="","",SUM($FN1964:$FN$7000))</f>
        <v/>
      </c>
    </row>
    <row r="1965" spans="152:167">
      <c r="EV1965" s="28">
        <f t="shared" si="61"/>
        <v>0</v>
      </c>
      <c r="FH1965" s="29" t="str">
        <f t="shared" si="62"/>
        <v/>
      </c>
      <c r="FJ1965" s="36" t="str">
        <f>IF($FH1965="","",SUM($FN1965:$FN$7000))</f>
        <v/>
      </c>
      <c r="FK1965" s="36" t="str">
        <f>IF($FH1965="","",SUM($FN1965:$FN$7000))</f>
        <v/>
      </c>
    </row>
    <row r="1966" spans="152:167">
      <c r="EV1966" s="28">
        <f t="shared" si="61"/>
        <v>0</v>
      </c>
      <c r="FH1966" s="29" t="str">
        <f t="shared" si="62"/>
        <v/>
      </c>
      <c r="FJ1966" s="36" t="str">
        <f>IF($FH1966="","",SUM($FN1966:$FN$7000))</f>
        <v/>
      </c>
      <c r="FK1966" s="36" t="str">
        <f>IF($FH1966="","",SUM($FN1966:$FN$7000))</f>
        <v/>
      </c>
    </row>
    <row r="1967" spans="152:167">
      <c r="EV1967" s="28">
        <f t="shared" si="61"/>
        <v>0</v>
      </c>
      <c r="FH1967" s="29" t="str">
        <f t="shared" si="62"/>
        <v/>
      </c>
      <c r="FJ1967" s="36" t="str">
        <f>IF($FH1967="","",SUM($FN1967:$FN$7000))</f>
        <v/>
      </c>
      <c r="FK1967" s="36" t="str">
        <f>IF($FH1967="","",SUM($FN1967:$FN$7000))</f>
        <v/>
      </c>
    </row>
    <row r="1968" spans="152:167">
      <c r="EV1968" s="28">
        <f t="shared" si="61"/>
        <v>0</v>
      </c>
      <c r="FH1968" s="29" t="str">
        <f t="shared" si="62"/>
        <v/>
      </c>
      <c r="FJ1968" s="36" t="str">
        <f>IF($FH1968="","",SUM($FN1968:$FN$7000))</f>
        <v/>
      </c>
      <c r="FK1968" s="36" t="str">
        <f>IF($FH1968="","",SUM($FN1968:$FN$7000))</f>
        <v/>
      </c>
    </row>
    <row r="1969" spans="152:167">
      <c r="EV1969" s="28">
        <f t="shared" si="61"/>
        <v>0</v>
      </c>
      <c r="FH1969" s="29" t="str">
        <f t="shared" si="62"/>
        <v/>
      </c>
      <c r="FJ1969" s="36" t="str">
        <f>IF($FH1969="","",SUM($FN1969:$FN$7000))</f>
        <v/>
      </c>
      <c r="FK1969" s="36" t="str">
        <f>IF($FH1969="","",SUM($FN1969:$FN$7000))</f>
        <v/>
      </c>
    </row>
    <row r="1970" spans="152:167">
      <c r="EV1970" s="28">
        <f t="shared" si="61"/>
        <v>0</v>
      </c>
      <c r="FH1970" s="29" t="str">
        <f t="shared" si="62"/>
        <v/>
      </c>
      <c r="FJ1970" s="36" t="str">
        <f>IF($FH1970="","",SUM($FN1970:$FN$7000))</f>
        <v/>
      </c>
      <c r="FK1970" s="36" t="str">
        <f>IF($FH1970="","",SUM($FN1970:$FN$7000))</f>
        <v/>
      </c>
    </row>
    <row r="1971" spans="152:167">
      <c r="EV1971" s="28">
        <f t="shared" si="61"/>
        <v>0</v>
      </c>
      <c r="FH1971" s="29" t="str">
        <f t="shared" si="62"/>
        <v/>
      </c>
      <c r="FJ1971" s="36" t="str">
        <f>IF($FH1971="","",SUM($FN1971:$FN$7000))</f>
        <v/>
      </c>
      <c r="FK1971" s="36" t="str">
        <f>IF($FH1971="","",SUM($FN1971:$FN$7000))</f>
        <v/>
      </c>
    </row>
    <row r="1972" spans="152:167">
      <c r="EV1972" s="28">
        <f t="shared" si="61"/>
        <v>0</v>
      </c>
      <c r="FH1972" s="29" t="str">
        <f t="shared" si="62"/>
        <v/>
      </c>
      <c r="FJ1972" s="36" t="str">
        <f>IF($FH1972="","",SUM($FN1972:$FN$7000))</f>
        <v/>
      </c>
      <c r="FK1972" s="36" t="str">
        <f>IF($FH1972="","",SUM($FN1972:$FN$7000))</f>
        <v/>
      </c>
    </row>
    <row r="1973" spans="152:167">
      <c r="EV1973" s="28">
        <f t="shared" si="61"/>
        <v>0</v>
      </c>
      <c r="FH1973" s="29" t="str">
        <f t="shared" si="62"/>
        <v/>
      </c>
      <c r="FJ1973" s="36" t="str">
        <f>IF($FH1973="","",SUM($FN1973:$FN$7000))</f>
        <v/>
      </c>
      <c r="FK1973" s="36" t="str">
        <f>IF($FH1973="","",SUM($FN1973:$FN$7000))</f>
        <v/>
      </c>
    </row>
    <row r="1974" spans="152:167">
      <c r="EV1974" s="28">
        <f t="shared" si="61"/>
        <v>0</v>
      </c>
      <c r="FH1974" s="29" t="str">
        <f t="shared" si="62"/>
        <v/>
      </c>
      <c r="FJ1974" s="36" t="str">
        <f>IF($FH1974="","",SUM($FN1974:$FN$7000))</f>
        <v/>
      </c>
      <c r="FK1974" s="36" t="str">
        <f>IF($FH1974="","",SUM($FN1974:$FN$7000))</f>
        <v/>
      </c>
    </row>
    <row r="1975" spans="152:167">
      <c r="EV1975" s="28">
        <f t="shared" si="61"/>
        <v>0</v>
      </c>
      <c r="FH1975" s="29" t="str">
        <f t="shared" si="62"/>
        <v/>
      </c>
      <c r="FJ1975" s="36" t="str">
        <f>IF($FH1975="","",SUM($FN1975:$FN$7000))</f>
        <v/>
      </c>
      <c r="FK1975" s="36" t="str">
        <f>IF($FH1975="","",SUM($FN1975:$FN$7000))</f>
        <v/>
      </c>
    </row>
    <row r="1976" spans="152:167">
      <c r="EV1976" s="28">
        <f t="shared" si="61"/>
        <v>0</v>
      </c>
      <c r="FH1976" s="29" t="str">
        <f t="shared" si="62"/>
        <v/>
      </c>
      <c r="FJ1976" s="36" t="str">
        <f>IF($FH1976="","",SUM($FN1976:$FN$7000))</f>
        <v/>
      </c>
      <c r="FK1976" s="36" t="str">
        <f>IF($FH1976="","",SUM($FN1976:$FN$7000))</f>
        <v/>
      </c>
    </row>
    <row r="1977" spans="152:167">
      <c r="EV1977" s="28">
        <f t="shared" si="61"/>
        <v>0</v>
      </c>
      <c r="FH1977" s="29" t="str">
        <f t="shared" si="62"/>
        <v/>
      </c>
      <c r="FJ1977" s="36" t="str">
        <f>IF($FH1977="","",SUM($FN1977:$FN$7000))</f>
        <v/>
      </c>
      <c r="FK1977" s="36" t="str">
        <f>IF($FH1977="","",SUM($FN1977:$FN$7000))</f>
        <v/>
      </c>
    </row>
    <row r="1978" spans="152:167">
      <c r="EV1978" s="28">
        <f t="shared" si="61"/>
        <v>0</v>
      </c>
      <c r="FH1978" s="29" t="str">
        <f t="shared" si="62"/>
        <v/>
      </c>
      <c r="FJ1978" s="36" t="str">
        <f>IF($FH1978="","",SUM($FN1978:$FN$7000))</f>
        <v/>
      </c>
      <c r="FK1978" s="36" t="str">
        <f>IF($FH1978="","",SUM($FN1978:$FN$7000))</f>
        <v/>
      </c>
    </row>
    <row r="1979" spans="152:167">
      <c r="EV1979" s="28">
        <f t="shared" si="61"/>
        <v>0</v>
      </c>
      <c r="FH1979" s="29" t="str">
        <f t="shared" si="62"/>
        <v/>
      </c>
      <c r="FJ1979" s="36" t="str">
        <f>IF($FH1979="","",SUM($FN1979:$FN$7000))</f>
        <v/>
      </c>
      <c r="FK1979" s="36" t="str">
        <f>IF($FH1979="","",SUM($FN1979:$FN$7000))</f>
        <v/>
      </c>
    </row>
    <row r="1980" spans="152:167">
      <c r="EV1980" s="28">
        <f t="shared" si="61"/>
        <v>0</v>
      </c>
      <c r="FH1980" s="29" t="str">
        <f t="shared" si="62"/>
        <v/>
      </c>
      <c r="FJ1980" s="36" t="str">
        <f>IF($FH1980="","",SUM($FN1980:$FN$7000))</f>
        <v/>
      </c>
      <c r="FK1980" s="36" t="str">
        <f>IF($FH1980="","",SUM($FN1980:$FN$7000))</f>
        <v/>
      </c>
    </row>
    <row r="1981" spans="152:167">
      <c r="EV1981" s="28">
        <f t="shared" si="61"/>
        <v>0</v>
      </c>
      <c r="FH1981" s="29" t="str">
        <f t="shared" si="62"/>
        <v/>
      </c>
      <c r="FJ1981" s="36" t="str">
        <f>IF($FH1981="","",SUM($FN1981:$FN$7000))</f>
        <v/>
      </c>
      <c r="FK1981" s="36" t="str">
        <f>IF($FH1981="","",SUM($FN1981:$FN$7000))</f>
        <v/>
      </c>
    </row>
    <row r="1982" spans="152:167">
      <c r="EV1982" s="28">
        <f t="shared" si="61"/>
        <v>0</v>
      </c>
      <c r="FH1982" s="29" t="str">
        <f t="shared" si="62"/>
        <v/>
      </c>
      <c r="FJ1982" s="36" t="str">
        <f>IF($FH1982="","",SUM($FN1982:$FN$7000))</f>
        <v/>
      </c>
      <c r="FK1982" s="36" t="str">
        <f>IF($FH1982="","",SUM($FN1982:$FN$7000))</f>
        <v/>
      </c>
    </row>
    <row r="1983" spans="152:167">
      <c r="EV1983" s="28">
        <f t="shared" si="61"/>
        <v>0</v>
      </c>
      <c r="FH1983" s="29" t="str">
        <f t="shared" si="62"/>
        <v/>
      </c>
      <c r="FJ1983" s="36" t="str">
        <f>IF($FH1983="","",SUM($FN1983:$FN$7000))</f>
        <v/>
      </c>
      <c r="FK1983" s="36" t="str">
        <f>IF($FH1983="","",SUM($FN1983:$FN$7000))</f>
        <v/>
      </c>
    </row>
    <row r="1984" spans="152:167">
      <c r="EV1984" s="28">
        <f t="shared" si="61"/>
        <v>0</v>
      </c>
      <c r="FH1984" s="29" t="str">
        <f t="shared" si="62"/>
        <v/>
      </c>
      <c r="FJ1984" s="36" t="str">
        <f>IF($FH1984="","",SUM($FN1984:$FN$7000))</f>
        <v/>
      </c>
      <c r="FK1984" s="36" t="str">
        <f>IF($FH1984="","",SUM($FN1984:$FN$7000))</f>
        <v/>
      </c>
    </row>
    <row r="1985" spans="152:167">
      <c r="EV1985" s="28">
        <f t="shared" si="61"/>
        <v>0</v>
      </c>
      <c r="FH1985" s="29" t="str">
        <f t="shared" si="62"/>
        <v/>
      </c>
      <c r="FJ1985" s="36" t="str">
        <f>IF($FH1985="","",SUM($FN1985:$FN$7000))</f>
        <v/>
      </c>
      <c r="FK1985" s="36" t="str">
        <f>IF($FH1985="","",SUM($FN1985:$FN$7000))</f>
        <v/>
      </c>
    </row>
    <row r="1986" spans="152:167">
      <c r="EV1986" s="28">
        <f t="shared" si="61"/>
        <v>0</v>
      </c>
      <c r="FH1986" s="29" t="str">
        <f t="shared" si="62"/>
        <v/>
      </c>
      <c r="FJ1986" s="36" t="str">
        <f>IF($FH1986="","",SUM($FN1986:$FN$7000))</f>
        <v/>
      </c>
      <c r="FK1986" s="36" t="str">
        <f>IF($FH1986="","",SUM($FN1986:$FN$7000))</f>
        <v/>
      </c>
    </row>
    <row r="1987" spans="152:167">
      <c r="EV1987" s="28">
        <f t="shared" si="61"/>
        <v>0</v>
      </c>
      <c r="FH1987" s="29" t="str">
        <f t="shared" si="62"/>
        <v/>
      </c>
      <c r="FJ1987" s="36" t="str">
        <f>IF($FH1987="","",SUM($FN1987:$FN$7000))</f>
        <v/>
      </c>
      <c r="FK1987" s="36" t="str">
        <f>IF($FH1987="","",SUM($FN1987:$FN$7000))</f>
        <v/>
      </c>
    </row>
    <row r="1988" spans="152:167">
      <c r="EV1988" s="28">
        <f t="shared" si="61"/>
        <v>0</v>
      </c>
      <c r="FH1988" s="29" t="str">
        <f t="shared" si="62"/>
        <v/>
      </c>
      <c r="FJ1988" s="36" t="str">
        <f>IF($FH1988="","",SUM($FN1988:$FN$7000))</f>
        <v/>
      </c>
      <c r="FK1988" s="36" t="str">
        <f>IF($FH1988="","",SUM($FN1988:$FN$7000))</f>
        <v/>
      </c>
    </row>
    <row r="1989" spans="152:167">
      <c r="EV1989" s="28">
        <f t="shared" si="61"/>
        <v>0</v>
      </c>
      <c r="FH1989" s="29" t="str">
        <f t="shared" si="62"/>
        <v/>
      </c>
      <c r="FJ1989" s="36" t="str">
        <f>IF($FH1989="","",SUM($FN1989:$FN$7000))</f>
        <v/>
      </c>
      <c r="FK1989" s="36" t="str">
        <f>IF($FH1989="","",SUM($FN1989:$FN$7000))</f>
        <v/>
      </c>
    </row>
    <row r="1990" spans="152:167">
      <c r="EV1990" s="28">
        <f t="shared" si="61"/>
        <v>0</v>
      </c>
      <c r="FH1990" s="29" t="str">
        <f t="shared" si="62"/>
        <v/>
      </c>
      <c r="FJ1990" s="36" t="str">
        <f>IF($FH1990="","",SUM($FN1990:$FN$7000))</f>
        <v/>
      </c>
      <c r="FK1990" s="36" t="str">
        <f>IF($FH1990="","",SUM($FN1990:$FN$7000))</f>
        <v/>
      </c>
    </row>
    <row r="1991" spans="152:167">
      <c r="EV1991" s="28">
        <f t="shared" si="61"/>
        <v>0</v>
      </c>
      <c r="FH1991" s="29" t="str">
        <f t="shared" si="62"/>
        <v/>
      </c>
      <c r="FJ1991" s="36" t="str">
        <f>IF($FH1991="","",SUM($FN1991:$FN$7000))</f>
        <v/>
      </c>
      <c r="FK1991" s="36" t="str">
        <f>IF($FH1991="","",SUM($FN1991:$FN$7000))</f>
        <v/>
      </c>
    </row>
    <row r="1992" spans="152:167">
      <c r="EV1992" s="28">
        <f t="shared" si="61"/>
        <v>0</v>
      </c>
      <c r="FH1992" s="29" t="str">
        <f t="shared" si="62"/>
        <v/>
      </c>
      <c r="FJ1992" s="36" t="str">
        <f>IF($FH1992="","",SUM($FN1992:$FN$7000))</f>
        <v/>
      </c>
      <c r="FK1992" s="36" t="str">
        <f>IF($FH1992="","",SUM($FN1992:$FN$7000))</f>
        <v/>
      </c>
    </row>
    <row r="1993" spans="152:167">
      <c r="EV1993" s="28">
        <f t="shared" si="61"/>
        <v>0</v>
      </c>
      <c r="FH1993" s="29" t="str">
        <f t="shared" si="62"/>
        <v/>
      </c>
      <c r="FJ1993" s="36" t="str">
        <f>IF($FH1993="","",SUM($FN1993:$FN$7000))</f>
        <v/>
      </c>
      <c r="FK1993" s="36" t="str">
        <f>IF($FH1993="","",SUM($FN1993:$FN$7000))</f>
        <v/>
      </c>
    </row>
    <row r="1994" spans="152:167">
      <c r="EV1994" s="28">
        <f t="shared" si="61"/>
        <v>0</v>
      </c>
      <c r="FH1994" s="29" t="str">
        <f t="shared" si="62"/>
        <v/>
      </c>
      <c r="FJ1994" s="36" t="str">
        <f>IF($FH1994="","",SUM($FN1994:$FN$7000))</f>
        <v/>
      </c>
      <c r="FK1994" s="36" t="str">
        <f>IF($FH1994="","",SUM($FN1994:$FN$7000))</f>
        <v/>
      </c>
    </row>
    <row r="1995" spans="152:167">
      <c r="EV1995" s="28">
        <f t="shared" ref="EV1995:EV2058" si="63">EU1995-ET1995</f>
        <v>0</v>
      </c>
      <c r="FH1995" s="29" t="str">
        <f t="shared" ref="FH1995:FH2058" si="64">IF(FL1995="","",FL1995)</f>
        <v/>
      </c>
      <c r="FJ1995" s="36" t="str">
        <f>IF($FH1995="","",SUM($FN1995:$FN$7000))</f>
        <v/>
      </c>
      <c r="FK1995" s="36" t="str">
        <f>IF($FH1995="","",SUM($FN1995:$FN$7000))</f>
        <v/>
      </c>
    </row>
    <row r="1996" spans="152:167">
      <c r="EV1996" s="28">
        <f t="shared" si="63"/>
        <v>0</v>
      </c>
      <c r="FH1996" s="29" t="str">
        <f t="shared" si="64"/>
        <v/>
      </c>
      <c r="FJ1996" s="36" t="str">
        <f>IF($FH1996="","",SUM($FN1996:$FN$7000))</f>
        <v/>
      </c>
      <c r="FK1996" s="36" t="str">
        <f>IF($FH1996="","",SUM($FN1996:$FN$7000))</f>
        <v/>
      </c>
    </row>
    <row r="1997" spans="152:167">
      <c r="EV1997" s="28">
        <f t="shared" si="63"/>
        <v>0</v>
      </c>
      <c r="FH1997" s="29" t="str">
        <f t="shared" si="64"/>
        <v/>
      </c>
      <c r="FJ1997" s="36" t="str">
        <f>IF($FH1997="","",SUM($FN1997:$FN$7000))</f>
        <v/>
      </c>
      <c r="FK1997" s="36" t="str">
        <f>IF($FH1997="","",SUM($FN1997:$FN$7000))</f>
        <v/>
      </c>
    </row>
    <row r="1998" spans="152:167">
      <c r="EV1998" s="28">
        <f t="shared" si="63"/>
        <v>0</v>
      </c>
      <c r="FH1998" s="29" t="str">
        <f t="shared" si="64"/>
        <v/>
      </c>
      <c r="FJ1998" s="36" t="str">
        <f>IF($FH1998="","",SUM($FN1998:$FN$7000))</f>
        <v/>
      </c>
      <c r="FK1998" s="36" t="str">
        <f>IF($FH1998="","",SUM($FN1998:$FN$7000))</f>
        <v/>
      </c>
    </row>
    <row r="1999" spans="152:167">
      <c r="EV1999" s="28">
        <f t="shared" si="63"/>
        <v>0</v>
      </c>
      <c r="FH1999" s="29" t="str">
        <f t="shared" si="64"/>
        <v/>
      </c>
      <c r="FJ1999" s="36" t="str">
        <f>IF($FH1999="","",SUM($FN1999:$FN$7000))</f>
        <v/>
      </c>
      <c r="FK1999" s="36" t="str">
        <f>IF($FH1999="","",SUM($FN1999:$FN$7000))</f>
        <v/>
      </c>
    </row>
    <row r="2000" spans="152:167">
      <c r="EV2000" s="28">
        <f t="shared" si="63"/>
        <v>0</v>
      </c>
      <c r="FH2000" s="29" t="str">
        <f t="shared" si="64"/>
        <v/>
      </c>
      <c r="FJ2000" s="36" t="str">
        <f>IF($FH2000="","",SUM($FN2000:$FN$7000))</f>
        <v/>
      </c>
      <c r="FK2000" s="36" t="str">
        <f>IF($FH2000="","",SUM($FN2000:$FN$7000))</f>
        <v/>
      </c>
    </row>
    <row r="2001" spans="152:167">
      <c r="EV2001" s="28">
        <f t="shared" si="63"/>
        <v>0</v>
      </c>
      <c r="FH2001" s="29" t="str">
        <f t="shared" si="64"/>
        <v/>
      </c>
      <c r="FJ2001" s="36" t="str">
        <f>IF($FH2001="","",SUM($FN2001:$FN$7000))</f>
        <v/>
      </c>
      <c r="FK2001" s="36" t="str">
        <f>IF($FH2001="","",SUM($FN2001:$FN$7000))</f>
        <v/>
      </c>
    </row>
    <row r="2002" spans="152:167">
      <c r="EV2002" s="28">
        <f t="shared" si="63"/>
        <v>0</v>
      </c>
      <c r="FH2002" s="29" t="str">
        <f t="shared" si="64"/>
        <v/>
      </c>
      <c r="FJ2002" s="36" t="str">
        <f>IF($FH2002="","",SUM($FN2002:$FN$7000))</f>
        <v/>
      </c>
      <c r="FK2002" s="36" t="str">
        <f>IF($FH2002="","",SUM($FN2002:$FN$7000))</f>
        <v/>
      </c>
    </row>
    <row r="2003" spans="152:167">
      <c r="EV2003" s="28">
        <f t="shared" si="63"/>
        <v>0</v>
      </c>
      <c r="FH2003" s="29" t="str">
        <f t="shared" si="64"/>
        <v/>
      </c>
      <c r="FJ2003" s="36" t="str">
        <f>IF($FH2003="","",SUM($FN2003:$FN$7000))</f>
        <v/>
      </c>
      <c r="FK2003" s="36" t="str">
        <f>IF($FH2003="","",SUM($FN2003:$FN$7000))</f>
        <v/>
      </c>
    </row>
    <row r="2004" spans="152:167">
      <c r="EV2004" s="28">
        <f t="shared" si="63"/>
        <v>0</v>
      </c>
      <c r="FH2004" s="29" t="str">
        <f t="shared" si="64"/>
        <v/>
      </c>
      <c r="FJ2004" s="36" t="str">
        <f>IF($FH2004="","",SUM($FN2004:$FN$7000))</f>
        <v/>
      </c>
      <c r="FK2004" s="36" t="str">
        <f>IF($FH2004="","",SUM($FN2004:$FN$7000))</f>
        <v/>
      </c>
    </row>
    <row r="2005" spans="152:167">
      <c r="EV2005" s="28">
        <f t="shared" si="63"/>
        <v>0</v>
      </c>
      <c r="FH2005" s="29" t="str">
        <f t="shared" si="64"/>
        <v/>
      </c>
      <c r="FJ2005" s="36" t="str">
        <f>IF($FH2005="","",SUM($FN2005:$FN$7000))</f>
        <v/>
      </c>
      <c r="FK2005" s="36" t="str">
        <f>IF($FH2005="","",SUM($FN2005:$FN$7000))</f>
        <v/>
      </c>
    </row>
    <row r="2006" spans="152:167">
      <c r="EV2006" s="28">
        <f t="shared" si="63"/>
        <v>0</v>
      </c>
      <c r="FH2006" s="29" t="str">
        <f t="shared" si="64"/>
        <v/>
      </c>
      <c r="FJ2006" s="36" t="str">
        <f>IF($FH2006="","",SUM($FN2006:$FN$7000))</f>
        <v/>
      </c>
      <c r="FK2006" s="36" t="str">
        <f>IF($FH2006="","",SUM($FN2006:$FN$7000))</f>
        <v/>
      </c>
    </row>
    <row r="2007" spans="152:167">
      <c r="EV2007" s="28">
        <f t="shared" si="63"/>
        <v>0</v>
      </c>
      <c r="FH2007" s="29" t="str">
        <f t="shared" si="64"/>
        <v/>
      </c>
      <c r="FJ2007" s="36" t="str">
        <f>IF($FH2007="","",SUM($FN2007:$FN$7000))</f>
        <v/>
      </c>
      <c r="FK2007" s="36" t="str">
        <f>IF($FH2007="","",SUM($FN2007:$FN$7000))</f>
        <v/>
      </c>
    </row>
    <row r="2008" spans="152:167">
      <c r="EV2008" s="28">
        <f t="shared" si="63"/>
        <v>0</v>
      </c>
      <c r="FH2008" s="29" t="str">
        <f t="shared" si="64"/>
        <v/>
      </c>
      <c r="FJ2008" s="36" t="str">
        <f>IF($FH2008="","",SUM($FN2008:$FN$7000))</f>
        <v/>
      </c>
      <c r="FK2008" s="36" t="str">
        <f>IF($FH2008="","",SUM($FN2008:$FN$7000))</f>
        <v/>
      </c>
    </row>
    <row r="2009" spans="152:167">
      <c r="EV2009" s="28">
        <f t="shared" si="63"/>
        <v>0</v>
      </c>
      <c r="FH2009" s="29" t="str">
        <f t="shared" si="64"/>
        <v/>
      </c>
      <c r="FJ2009" s="36" t="str">
        <f>IF($FH2009="","",SUM($FN2009:$FN$7000))</f>
        <v/>
      </c>
      <c r="FK2009" s="36" t="str">
        <f>IF($FH2009="","",SUM($FN2009:$FN$7000))</f>
        <v/>
      </c>
    </row>
    <row r="2010" spans="152:167">
      <c r="EV2010" s="28">
        <f t="shared" si="63"/>
        <v>0</v>
      </c>
      <c r="FH2010" s="29" t="str">
        <f t="shared" si="64"/>
        <v/>
      </c>
      <c r="FJ2010" s="36" t="str">
        <f>IF($FH2010="","",SUM($FN2010:$FN$7000))</f>
        <v/>
      </c>
      <c r="FK2010" s="36" t="str">
        <f>IF($FH2010="","",SUM($FN2010:$FN$7000))</f>
        <v/>
      </c>
    </row>
    <row r="2011" spans="152:167">
      <c r="EV2011" s="28">
        <f t="shared" si="63"/>
        <v>0</v>
      </c>
      <c r="FH2011" s="29" t="str">
        <f t="shared" si="64"/>
        <v/>
      </c>
      <c r="FJ2011" s="36" t="str">
        <f>IF($FH2011="","",SUM($FN2011:$FN$7000))</f>
        <v/>
      </c>
      <c r="FK2011" s="36" t="str">
        <f>IF($FH2011="","",SUM($FN2011:$FN$7000))</f>
        <v/>
      </c>
    </row>
    <row r="2012" spans="152:167">
      <c r="EV2012" s="28">
        <f t="shared" si="63"/>
        <v>0</v>
      </c>
      <c r="FH2012" s="29" t="str">
        <f t="shared" si="64"/>
        <v/>
      </c>
      <c r="FJ2012" s="36" t="str">
        <f>IF($FH2012="","",SUM($FN2012:$FN$7000))</f>
        <v/>
      </c>
      <c r="FK2012" s="36" t="str">
        <f>IF($FH2012="","",SUM($FN2012:$FN$7000))</f>
        <v/>
      </c>
    </row>
    <row r="2013" spans="152:167">
      <c r="EV2013" s="28">
        <f t="shared" si="63"/>
        <v>0</v>
      </c>
      <c r="FH2013" s="29" t="str">
        <f t="shared" si="64"/>
        <v/>
      </c>
      <c r="FJ2013" s="36" t="str">
        <f>IF($FH2013="","",SUM($FN2013:$FN$7000))</f>
        <v/>
      </c>
      <c r="FK2013" s="36" t="str">
        <f>IF($FH2013="","",SUM($FN2013:$FN$7000))</f>
        <v/>
      </c>
    </row>
    <row r="2014" spans="152:167">
      <c r="EV2014" s="28">
        <f t="shared" si="63"/>
        <v>0</v>
      </c>
      <c r="FH2014" s="29" t="str">
        <f t="shared" si="64"/>
        <v/>
      </c>
      <c r="FJ2014" s="36" t="str">
        <f>IF($FH2014="","",SUM($FN2014:$FN$7000))</f>
        <v/>
      </c>
      <c r="FK2014" s="36" t="str">
        <f>IF($FH2014="","",SUM($FN2014:$FN$7000))</f>
        <v/>
      </c>
    </row>
    <row r="2015" spans="152:167">
      <c r="EV2015" s="28">
        <f t="shared" si="63"/>
        <v>0</v>
      </c>
      <c r="FH2015" s="29" t="str">
        <f t="shared" si="64"/>
        <v/>
      </c>
      <c r="FJ2015" s="36" t="str">
        <f>IF($FH2015="","",SUM($FN2015:$FN$7000))</f>
        <v/>
      </c>
      <c r="FK2015" s="36" t="str">
        <f>IF($FH2015="","",SUM($FN2015:$FN$7000))</f>
        <v/>
      </c>
    </row>
    <row r="2016" spans="152:167">
      <c r="EV2016" s="28">
        <f t="shared" si="63"/>
        <v>0</v>
      </c>
      <c r="FH2016" s="29" t="str">
        <f t="shared" si="64"/>
        <v/>
      </c>
      <c r="FJ2016" s="36" t="str">
        <f>IF($FH2016="","",SUM($FN2016:$FN$7000))</f>
        <v/>
      </c>
      <c r="FK2016" s="36" t="str">
        <f>IF($FH2016="","",SUM($FN2016:$FN$7000))</f>
        <v/>
      </c>
    </row>
    <row r="2017" spans="152:167">
      <c r="EV2017" s="28">
        <f t="shared" si="63"/>
        <v>0</v>
      </c>
      <c r="FH2017" s="29" t="str">
        <f t="shared" si="64"/>
        <v/>
      </c>
      <c r="FJ2017" s="36" t="str">
        <f>IF($FH2017="","",SUM($FN2017:$FN$7000))</f>
        <v/>
      </c>
      <c r="FK2017" s="36" t="str">
        <f>IF($FH2017="","",SUM($FN2017:$FN$7000))</f>
        <v/>
      </c>
    </row>
    <row r="2018" spans="152:167">
      <c r="EV2018" s="28">
        <f t="shared" si="63"/>
        <v>0</v>
      </c>
      <c r="FH2018" s="29" t="str">
        <f t="shared" si="64"/>
        <v/>
      </c>
      <c r="FJ2018" s="36" t="str">
        <f>IF($FH2018="","",SUM($FN2018:$FN$7000))</f>
        <v/>
      </c>
      <c r="FK2018" s="36" t="str">
        <f>IF($FH2018="","",SUM($FN2018:$FN$7000))</f>
        <v/>
      </c>
    </row>
    <row r="2019" spans="152:167">
      <c r="EV2019" s="28">
        <f t="shared" si="63"/>
        <v>0</v>
      </c>
      <c r="FH2019" s="29" t="str">
        <f t="shared" si="64"/>
        <v/>
      </c>
      <c r="FJ2019" s="36" t="str">
        <f>IF($FH2019="","",SUM($FN2019:$FN$7000))</f>
        <v/>
      </c>
      <c r="FK2019" s="36" t="str">
        <f>IF($FH2019="","",SUM($FN2019:$FN$7000))</f>
        <v/>
      </c>
    </row>
    <row r="2020" spans="152:167">
      <c r="EV2020" s="28">
        <f t="shared" si="63"/>
        <v>0</v>
      </c>
      <c r="FH2020" s="29" t="str">
        <f t="shared" si="64"/>
        <v/>
      </c>
      <c r="FJ2020" s="36" t="str">
        <f>IF($FH2020="","",SUM($FN2020:$FN$7000))</f>
        <v/>
      </c>
      <c r="FK2020" s="36" t="str">
        <f>IF($FH2020="","",SUM($FN2020:$FN$7000))</f>
        <v/>
      </c>
    </row>
    <row r="2021" spans="152:167">
      <c r="EV2021" s="28">
        <f t="shared" si="63"/>
        <v>0</v>
      </c>
      <c r="FH2021" s="29" t="str">
        <f t="shared" si="64"/>
        <v/>
      </c>
      <c r="FJ2021" s="36" t="str">
        <f>IF($FH2021="","",SUM($FN2021:$FN$7000))</f>
        <v/>
      </c>
      <c r="FK2021" s="36" t="str">
        <f>IF($FH2021="","",SUM($FN2021:$FN$7000))</f>
        <v/>
      </c>
    </row>
    <row r="2022" spans="152:167">
      <c r="EV2022" s="28">
        <f t="shared" si="63"/>
        <v>0</v>
      </c>
      <c r="FH2022" s="29" t="str">
        <f t="shared" si="64"/>
        <v/>
      </c>
      <c r="FJ2022" s="36" t="str">
        <f>IF($FH2022="","",SUM($FN2022:$FN$7000))</f>
        <v/>
      </c>
      <c r="FK2022" s="36" t="str">
        <f>IF($FH2022="","",SUM($FN2022:$FN$7000))</f>
        <v/>
      </c>
    </row>
    <row r="2023" spans="152:167">
      <c r="EV2023" s="28">
        <f t="shared" si="63"/>
        <v>0</v>
      </c>
      <c r="FH2023" s="29" t="str">
        <f t="shared" si="64"/>
        <v/>
      </c>
      <c r="FJ2023" s="36" t="str">
        <f>IF($FH2023="","",SUM($FN2023:$FN$7000))</f>
        <v/>
      </c>
      <c r="FK2023" s="36" t="str">
        <f>IF($FH2023="","",SUM($FN2023:$FN$7000))</f>
        <v/>
      </c>
    </row>
    <row r="2024" spans="152:167">
      <c r="EV2024" s="28">
        <f t="shared" si="63"/>
        <v>0</v>
      </c>
      <c r="FH2024" s="29" t="str">
        <f t="shared" si="64"/>
        <v/>
      </c>
      <c r="FJ2024" s="36" t="str">
        <f>IF($FH2024="","",SUM($FN2024:$FN$7000))</f>
        <v/>
      </c>
      <c r="FK2024" s="36" t="str">
        <f>IF($FH2024="","",SUM($FN2024:$FN$7000))</f>
        <v/>
      </c>
    </row>
    <row r="2025" spans="152:167">
      <c r="EV2025" s="28">
        <f t="shared" si="63"/>
        <v>0</v>
      </c>
      <c r="FH2025" s="29" t="str">
        <f t="shared" si="64"/>
        <v/>
      </c>
      <c r="FJ2025" s="36" t="str">
        <f>IF($FH2025="","",SUM($FN2025:$FN$7000))</f>
        <v/>
      </c>
      <c r="FK2025" s="36" t="str">
        <f>IF($FH2025="","",SUM($FN2025:$FN$7000))</f>
        <v/>
      </c>
    </row>
    <row r="2026" spans="152:167">
      <c r="EV2026" s="28">
        <f t="shared" si="63"/>
        <v>0</v>
      </c>
      <c r="FH2026" s="29" t="str">
        <f t="shared" si="64"/>
        <v/>
      </c>
      <c r="FJ2026" s="36" t="str">
        <f>IF($FH2026="","",SUM($FN2026:$FN$7000))</f>
        <v/>
      </c>
      <c r="FK2026" s="36" t="str">
        <f>IF($FH2026="","",SUM($FN2026:$FN$7000))</f>
        <v/>
      </c>
    </row>
    <row r="2027" spans="152:167">
      <c r="EV2027" s="28">
        <f t="shared" si="63"/>
        <v>0</v>
      </c>
      <c r="FH2027" s="29" t="str">
        <f t="shared" si="64"/>
        <v/>
      </c>
      <c r="FJ2027" s="36" t="str">
        <f>IF($FH2027="","",SUM($FN2027:$FN$7000))</f>
        <v/>
      </c>
      <c r="FK2027" s="36" t="str">
        <f>IF($FH2027="","",SUM($FN2027:$FN$7000))</f>
        <v/>
      </c>
    </row>
    <row r="2028" spans="152:167">
      <c r="EV2028" s="28">
        <f t="shared" si="63"/>
        <v>0</v>
      </c>
      <c r="FH2028" s="29" t="str">
        <f t="shared" si="64"/>
        <v/>
      </c>
      <c r="FJ2028" s="36" t="str">
        <f>IF($FH2028="","",SUM($FN2028:$FN$7000))</f>
        <v/>
      </c>
      <c r="FK2028" s="36" t="str">
        <f>IF($FH2028="","",SUM($FN2028:$FN$7000))</f>
        <v/>
      </c>
    </row>
    <row r="2029" spans="152:167">
      <c r="EV2029" s="28">
        <f t="shared" si="63"/>
        <v>0</v>
      </c>
      <c r="FH2029" s="29" t="str">
        <f t="shared" si="64"/>
        <v/>
      </c>
      <c r="FJ2029" s="36" t="str">
        <f>IF($FH2029="","",SUM($FN2029:$FN$7000))</f>
        <v/>
      </c>
      <c r="FK2029" s="36" t="str">
        <f>IF($FH2029="","",SUM($FN2029:$FN$7000))</f>
        <v/>
      </c>
    </row>
    <row r="2030" spans="152:167">
      <c r="EV2030" s="28">
        <f t="shared" si="63"/>
        <v>0</v>
      </c>
      <c r="FH2030" s="29" t="str">
        <f t="shared" si="64"/>
        <v/>
      </c>
      <c r="FJ2030" s="36" t="str">
        <f>IF($FH2030="","",SUM($FN2030:$FN$7000))</f>
        <v/>
      </c>
      <c r="FK2030" s="36" t="str">
        <f>IF($FH2030="","",SUM($FN2030:$FN$7000))</f>
        <v/>
      </c>
    </row>
    <row r="2031" spans="152:167">
      <c r="EV2031" s="28">
        <f t="shared" si="63"/>
        <v>0</v>
      </c>
      <c r="FH2031" s="29" t="str">
        <f t="shared" si="64"/>
        <v/>
      </c>
      <c r="FJ2031" s="36" t="str">
        <f>IF($FH2031="","",SUM($FN2031:$FN$7000))</f>
        <v/>
      </c>
      <c r="FK2031" s="36" t="str">
        <f>IF($FH2031="","",SUM($FN2031:$FN$7000))</f>
        <v/>
      </c>
    </row>
    <row r="2032" spans="152:167">
      <c r="EV2032" s="28">
        <f t="shared" si="63"/>
        <v>0</v>
      </c>
      <c r="FH2032" s="29" t="str">
        <f t="shared" si="64"/>
        <v/>
      </c>
      <c r="FJ2032" s="36" t="str">
        <f>IF($FH2032="","",SUM($FN2032:$FN$7000))</f>
        <v/>
      </c>
      <c r="FK2032" s="36" t="str">
        <f>IF($FH2032="","",SUM($FN2032:$FN$7000))</f>
        <v/>
      </c>
    </row>
    <row r="2033" spans="152:167">
      <c r="EV2033" s="28">
        <f t="shared" si="63"/>
        <v>0</v>
      </c>
      <c r="FH2033" s="29" t="str">
        <f t="shared" si="64"/>
        <v/>
      </c>
      <c r="FJ2033" s="36" t="str">
        <f>IF($FH2033="","",SUM($FN2033:$FN$7000))</f>
        <v/>
      </c>
      <c r="FK2033" s="36" t="str">
        <f>IF($FH2033="","",SUM($FN2033:$FN$7000))</f>
        <v/>
      </c>
    </row>
    <row r="2034" spans="152:167">
      <c r="EV2034" s="28">
        <f t="shared" si="63"/>
        <v>0</v>
      </c>
      <c r="FH2034" s="29" t="str">
        <f t="shared" si="64"/>
        <v/>
      </c>
      <c r="FJ2034" s="36" t="str">
        <f>IF($FH2034="","",SUM($FN2034:$FN$7000))</f>
        <v/>
      </c>
      <c r="FK2034" s="36" t="str">
        <f>IF($FH2034="","",SUM($FN2034:$FN$7000))</f>
        <v/>
      </c>
    </row>
    <row r="2035" spans="152:167">
      <c r="EV2035" s="28">
        <f t="shared" si="63"/>
        <v>0</v>
      </c>
      <c r="FH2035" s="29" t="str">
        <f t="shared" si="64"/>
        <v/>
      </c>
      <c r="FJ2035" s="36" t="str">
        <f>IF($FH2035="","",SUM($FN2035:$FN$7000))</f>
        <v/>
      </c>
      <c r="FK2035" s="36" t="str">
        <f>IF($FH2035="","",SUM($FN2035:$FN$7000))</f>
        <v/>
      </c>
    </row>
    <row r="2036" spans="152:167">
      <c r="EV2036" s="28">
        <f t="shared" si="63"/>
        <v>0</v>
      </c>
      <c r="FH2036" s="29" t="str">
        <f t="shared" si="64"/>
        <v/>
      </c>
      <c r="FJ2036" s="36" t="str">
        <f>IF($FH2036="","",SUM($FN2036:$FN$7000))</f>
        <v/>
      </c>
      <c r="FK2036" s="36" t="str">
        <f>IF($FH2036="","",SUM($FN2036:$FN$7000))</f>
        <v/>
      </c>
    </row>
    <row r="2037" spans="152:167">
      <c r="EV2037" s="28">
        <f t="shared" si="63"/>
        <v>0</v>
      </c>
      <c r="FH2037" s="29" t="str">
        <f t="shared" si="64"/>
        <v/>
      </c>
      <c r="FJ2037" s="36" t="str">
        <f>IF($FH2037="","",SUM($FN2037:$FN$7000))</f>
        <v/>
      </c>
      <c r="FK2037" s="36" t="str">
        <f>IF($FH2037="","",SUM($FN2037:$FN$7000))</f>
        <v/>
      </c>
    </row>
    <row r="2038" spans="152:167">
      <c r="EV2038" s="28">
        <f t="shared" si="63"/>
        <v>0</v>
      </c>
      <c r="FH2038" s="29" t="str">
        <f t="shared" si="64"/>
        <v/>
      </c>
      <c r="FJ2038" s="36" t="str">
        <f>IF($FH2038="","",SUM($FN2038:$FN$7000))</f>
        <v/>
      </c>
      <c r="FK2038" s="36" t="str">
        <f>IF($FH2038="","",SUM($FN2038:$FN$7000))</f>
        <v/>
      </c>
    </row>
    <row r="2039" spans="152:167">
      <c r="EV2039" s="28">
        <f t="shared" si="63"/>
        <v>0</v>
      </c>
      <c r="FH2039" s="29" t="str">
        <f t="shared" si="64"/>
        <v/>
      </c>
      <c r="FJ2039" s="36" t="str">
        <f>IF($FH2039="","",SUM($FN2039:$FN$7000))</f>
        <v/>
      </c>
      <c r="FK2039" s="36" t="str">
        <f>IF($FH2039="","",SUM($FN2039:$FN$7000))</f>
        <v/>
      </c>
    </row>
    <row r="2040" spans="152:167">
      <c r="EV2040" s="28">
        <f t="shared" si="63"/>
        <v>0</v>
      </c>
      <c r="FH2040" s="29" t="str">
        <f t="shared" si="64"/>
        <v/>
      </c>
      <c r="FJ2040" s="36" t="str">
        <f>IF($FH2040="","",SUM($FN2040:$FN$7000))</f>
        <v/>
      </c>
      <c r="FK2040" s="36" t="str">
        <f>IF($FH2040="","",SUM($FN2040:$FN$7000))</f>
        <v/>
      </c>
    </row>
    <row r="2041" spans="152:167">
      <c r="EV2041" s="28">
        <f t="shared" si="63"/>
        <v>0</v>
      </c>
      <c r="FH2041" s="29" t="str">
        <f t="shared" si="64"/>
        <v/>
      </c>
      <c r="FJ2041" s="36" t="str">
        <f>IF($FH2041="","",SUM($FN2041:$FN$7000))</f>
        <v/>
      </c>
      <c r="FK2041" s="36" t="str">
        <f>IF($FH2041="","",SUM($FN2041:$FN$7000))</f>
        <v/>
      </c>
    </row>
    <row r="2042" spans="152:167">
      <c r="EV2042" s="28">
        <f t="shared" si="63"/>
        <v>0</v>
      </c>
      <c r="FH2042" s="29" t="str">
        <f t="shared" si="64"/>
        <v/>
      </c>
      <c r="FJ2042" s="36" t="str">
        <f>IF($FH2042="","",SUM($FN2042:$FN$7000))</f>
        <v/>
      </c>
      <c r="FK2042" s="36" t="str">
        <f>IF($FH2042="","",SUM($FN2042:$FN$7000))</f>
        <v/>
      </c>
    </row>
    <row r="2043" spans="152:167">
      <c r="EV2043" s="28">
        <f t="shared" si="63"/>
        <v>0</v>
      </c>
      <c r="FH2043" s="29" t="str">
        <f t="shared" si="64"/>
        <v/>
      </c>
      <c r="FJ2043" s="36" t="str">
        <f>IF($FH2043="","",SUM($FN2043:$FN$7000))</f>
        <v/>
      </c>
      <c r="FK2043" s="36" t="str">
        <f>IF($FH2043="","",SUM($FN2043:$FN$7000))</f>
        <v/>
      </c>
    </row>
    <row r="2044" spans="152:167">
      <c r="EV2044" s="28">
        <f t="shared" si="63"/>
        <v>0</v>
      </c>
      <c r="FH2044" s="29" t="str">
        <f t="shared" si="64"/>
        <v/>
      </c>
      <c r="FJ2044" s="36" t="str">
        <f>IF($FH2044="","",SUM($FN2044:$FN$7000))</f>
        <v/>
      </c>
      <c r="FK2044" s="36" t="str">
        <f>IF($FH2044="","",SUM($FN2044:$FN$7000))</f>
        <v/>
      </c>
    </row>
    <row r="2045" spans="152:167">
      <c r="EV2045" s="28">
        <f t="shared" si="63"/>
        <v>0</v>
      </c>
      <c r="FH2045" s="29" t="str">
        <f t="shared" si="64"/>
        <v/>
      </c>
      <c r="FJ2045" s="36" t="str">
        <f>IF($FH2045="","",SUM($FN2045:$FN$7000))</f>
        <v/>
      </c>
      <c r="FK2045" s="36" t="str">
        <f>IF($FH2045="","",SUM($FN2045:$FN$7000))</f>
        <v/>
      </c>
    </row>
    <row r="2046" spans="152:167">
      <c r="EV2046" s="28">
        <f t="shared" si="63"/>
        <v>0</v>
      </c>
      <c r="FH2046" s="29" t="str">
        <f t="shared" si="64"/>
        <v/>
      </c>
      <c r="FJ2046" s="36" t="str">
        <f>IF($FH2046="","",SUM($FN2046:$FN$7000))</f>
        <v/>
      </c>
      <c r="FK2046" s="36" t="str">
        <f>IF($FH2046="","",SUM($FN2046:$FN$7000))</f>
        <v/>
      </c>
    </row>
    <row r="2047" spans="152:167">
      <c r="EV2047" s="28">
        <f t="shared" si="63"/>
        <v>0</v>
      </c>
      <c r="FH2047" s="29" t="str">
        <f t="shared" si="64"/>
        <v/>
      </c>
      <c r="FJ2047" s="36" t="str">
        <f>IF($FH2047="","",SUM($FN2047:$FN$7000))</f>
        <v/>
      </c>
      <c r="FK2047" s="36" t="str">
        <f>IF($FH2047="","",SUM($FN2047:$FN$7000))</f>
        <v/>
      </c>
    </row>
    <row r="2048" spans="152:167">
      <c r="EV2048" s="28">
        <f t="shared" si="63"/>
        <v>0</v>
      </c>
      <c r="FH2048" s="29" t="str">
        <f t="shared" si="64"/>
        <v/>
      </c>
      <c r="FJ2048" s="36" t="str">
        <f>IF($FH2048="","",SUM($FN2048:$FN$7000))</f>
        <v/>
      </c>
      <c r="FK2048" s="36" t="str">
        <f>IF($FH2048="","",SUM($FN2048:$FN$7000))</f>
        <v/>
      </c>
    </row>
    <row r="2049" spans="152:167">
      <c r="EV2049" s="28">
        <f t="shared" si="63"/>
        <v>0</v>
      </c>
      <c r="FH2049" s="29" t="str">
        <f t="shared" si="64"/>
        <v/>
      </c>
      <c r="FJ2049" s="36" t="str">
        <f>IF($FH2049="","",SUM($FN2049:$FN$7000))</f>
        <v/>
      </c>
      <c r="FK2049" s="36" t="str">
        <f>IF($FH2049="","",SUM($FN2049:$FN$7000))</f>
        <v/>
      </c>
    </row>
    <row r="2050" spans="152:167">
      <c r="EV2050" s="28">
        <f t="shared" si="63"/>
        <v>0</v>
      </c>
      <c r="FH2050" s="29" t="str">
        <f t="shared" si="64"/>
        <v/>
      </c>
      <c r="FJ2050" s="36" t="str">
        <f>IF($FH2050="","",SUM($FN2050:$FN$7000))</f>
        <v/>
      </c>
      <c r="FK2050" s="36" t="str">
        <f>IF($FH2050="","",SUM($FN2050:$FN$7000))</f>
        <v/>
      </c>
    </row>
    <row r="2051" spans="152:167">
      <c r="EV2051" s="28">
        <f t="shared" si="63"/>
        <v>0</v>
      </c>
      <c r="FH2051" s="29" t="str">
        <f t="shared" si="64"/>
        <v/>
      </c>
      <c r="FJ2051" s="36" t="str">
        <f>IF($FH2051="","",SUM($FN2051:$FN$7000))</f>
        <v/>
      </c>
      <c r="FK2051" s="36" t="str">
        <f>IF($FH2051="","",SUM($FN2051:$FN$7000))</f>
        <v/>
      </c>
    </row>
    <row r="2052" spans="152:167">
      <c r="EV2052" s="28">
        <f t="shared" si="63"/>
        <v>0</v>
      </c>
      <c r="FH2052" s="29" t="str">
        <f t="shared" si="64"/>
        <v/>
      </c>
      <c r="FJ2052" s="36" t="str">
        <f>IF($FH2052="","",SUM($FN2052:$FN$7000))</f>
        <v/>
      </c>
      <c r="FK2052" s="36" t="str">
        <f>IF($FH2052="","",SUM($FN2052:$FN$7000))</f>
        <v/>
      </c>
    </row>
    <row r="2053" spans="152:167">
      <c r="EV2053" s="28">
        <f t="shared" si="63"/>
        <v>0</v>
      </c>
      <c r="FH2053" s="29" t="str">
        <f t="shared" si="64"/>
        <v/>
      </c>
      <c r="FJ2053" s="36" t="str">
        <f>IF($FH2053="","",SUM($FN2053:$FN$7000))</f>
        <v/>
      </c>
      <c r="FK2053" s="36" t="str">
        <f>IF($FH2053="","",SUM($FN2053:$FN$7000))</f>
        <v/>
      </c>
    </row>
    <row r="2054" spans="152:167">
      <c r="EV2054" s="28">
        <f t="shared" si="63"/>
        <v>0</v>
      </c>
      <c r="FH2054" s="29" t="str">
        <f t="shared" si="64"/>
        <v/>
      </c>
      <c r="FJ2054" s="36" t="str">
        <f>IF($FH2054="","",SUM($FN2054:$FN$7000))</f>
        <v/>
      </c>
      <c r="FK2054" s="36" t="str">
        <f>IF($FH2054="","",SUM($FN2054:$FN$7000))</f>
        <v/>
      </c>
    </row>
    <row r="2055" spans="152:167">
      <c r="EV2055" s="28">
        <f t="shared" si="63"/>
        <v>0</v>
      </c>
      <c r="FH2055" s="29" t="str">
        <f t="shared" si="64"/>
        <v/>
      </c>
      <c r="FJ2055" s="36" t="str">
        <f>IF($FH2055="","",SUM($FN2055:$FN$7000))</f>
        <v/>
      </c>
      <c r="FK2055" s="36" t="str">
        <f>IF($FH2055="","",SUM($FN2055:$FN$7000))</f>
        <v/>
      </c>
    </row>
    <row r="2056" spans="152:167">
      <c r="EV2056" s="28">
        <f t="shared" si="63"/>
        <v>0</v>
      </c>
      <c r="FH2056" s="29" t="str">
        <f t="shared" si="64"/>
        <v/>
      </c>
      <c r="FJ2056" s="36" t="str">
        <f>IF($FH2056="","",SUM($FN2056:$FN$7000))</f>
        <v/>
      </c>
      <c r="FK2056" s="36" t="str">
        <f>IF($FH2056="","",SUM($FN2056:$FN$7000))</f>
        <v/>
      </c>
    </row>
    <row r="2057" spans="152:167">
      <c r="EV2057" s="28">
        <f t="shared" si="63"/>
        <v>0</v>
      </c>
      <c r="FH2057" s="29" t="str">
        <f t="shared" si="64"/>
        <v/>
      </c>
      <c r="FJ2057" s="36" t="str">
        <f>IF($FH2057="","",SUM($FN2057:$FN$7000))</f>
        <v/>
      </c>
      <c r="FK2057" s="36" t="str">
        <f>IF($FH2057="","",SUM($FN2057:$FN$7000))</f>
        <v/>
      </c>
    </row>
    <row r="2058" spans="152:167">
      <c r="EV2058" s="28">
        <f t="shared" si="63"/>
        <v>0</v>
      </c>
      <c r="FH2058" s="29" t="str">
        <f t="shared" si="64"/>
        <v/>
      </c>
      <c r="FJ2058" s="36" t="str">
        <f>IF($FH2058="","",SUM($FN2058:$FN$7000))</f>
        <v/>
      </c>
      <c r="FK2058" s="36" t="str">
        <f>IF($FH2058="","",SUM($FN2058:$FN$7000))</f>
        <v/>
      </c>
    </row>
    <row r="2059" spans="152:167">
      <c r="EV2059" s="28">
        <f t="shared" ref="EV2059:EV2122" si="65">EU2059-ET2059</f>
        <v>0</v>
      </c>
      <c r="FH2059" s="29" t="str">
        <f t="shared" ref="FH2059:FH2122" si="66">IF(FL2059="","",FL2059)</f>
        <v/>
      </c>
      <c r="FJ2059" s="36" t="str">
        <f>IF($FH2059="","",SUM($FN2059:$FN$7000))</f>
        <v/>
      </c>
      <c r="FK2059" s="36" t="str">
        <f>IF($FH2059="","",SUM($FN2059:$FN$7000))</f>
        <v/>
      </c>
    </row>
    <row r="2060" spans="152:167">
      <c r="EV2060" s="28">
        <f t="shared" si="65"/>
        <v>0</v>
      </c>
      <c r="FH2060" s="29" t="str">
        <f t="shared" si="66"/>
        <v/>
      </c>
      <c r="FJ2060" s="36" t="str">
        <f>IF($FH2060="","",SUM($FN2060:$FN$7000))</f>
        <v/>
      </c>
      <c r="FK2060" s="36" t="str">
        <f>IF($FH2060="","",SUM($FN2060:$FN$7000))</f>
        <v/>
      </c>
    </row>
    <row r="2061" spans="152:167">
      <c r="EV2061" s="28">
        <f t="shared" si="65"/>
        <v>0</v>
      </c>
      <c r="FH2061" s="29" t="str">
        <f t="shared" si="66"/>
        <v/>
      </c>
      <c r="FJ2061" s="36" t="str">
        <f>IF($FH2061="","",SUM($FN2061:$FN$7000))</f>
        <v/>
      </c>
      <c r="FK2061" s="36" t="str">
        <f>IF($FH2061="","",SUM($FN2061:$FN$7000))</f>
        <v/>
      </c>
    </row>
    <row r="2062" spans="152:167">
      <c r="EV2062" s="28">
        <f t="shared" si="65"/>
        <v>0</v>
      </c>
      <c r="FH2062" s="29" t="str">
        <f t="shared" si="66"/>
        <v/>
      </c>
      <c r="FJ2062" s="36" t="str">
        <f>IF($FH2062="","",SUM($FN2062:$FN$7000))</f>
        <v/>
      </c>
      <c r="FK2062" s="36" t="str">
        <f>IF($FH2062="","",SUM($FN2062:$FN$7000))</f>
        <v/>
      </c>
    </row>
    <row r="2063" spans="152:167">
      <c r="EV2063" s="28">
        <f t="shared" si="65"/>
        <v>0</v>
      </c>
      <c r="FH2063" s="29" t="str">
        <f t="shared" si="66"/>
        <v/>
      </c>
      <c r="FJ2063" s="36" t="str">
        <f>IF($FH2063="","",SUM($FN2063:$FN$7000))</f>
        <v/>
      </c>
      <c r="FK2063" s="36" t="str">
        <f>IF($FH2063="","",SUM($FN2063:$FN$7000))</f>
        <v/>
      </c>
    </row>
    <row r="2064" spans="152:167">
      <c r="EV2064" s="28">
        <f t="shared" si="65"/>
        <v>0</v>
      </c>
      <c r="FH2064" s="29" t="str">
        <f t="shared" si="66"/>
        <v/>
      </c>
      <c r="FJ2064" s="36" t="str">
        <f>IF($FH2064="","",SUM($FN2064:$FN$7000))</f>
        <v/>
      </c>
      <c r="FK2064" s="36" t="str">
        <f>IF($FH2064="","",SUM($FN2064:$FN$7000))</f>
        <v/>
      </c>
    </row>
    <row r="2065" spans="152:167">
      <c r="EV2065" s="28">
        <f t="shared" si="65"/>
        <v>0</v>
      </c>
      <c r="FH2065" s="29" t="str">
        <f t="shared" si="66"/>
        <v/>
      </c>
      <c r="FJ2065" s="36" t="str">
        <f>IF($FH2065="","",SUM($FN2065:$FN$7000))</f>
        <v/>
      </c>
      <c r="FK2065" s="36" t="str">
        <f>IF($FH2065="","",SUM($FN2065:$FN$7000))</f>
        <v/>
      </c>
    </row>
    <row r="2066" spans="152:167">
      <c r="EV2066" s="28">
        <f t="shared" si="65"/>
        <v>0</v>
      </c>
      <c r="FH2066" s="29" t="str">
        <f t="shared" si="66"/>
        <v/>
      </c>
      <c r="FJ2066" s="36" t="str">
        <f>IF($FH2066="","",SUM($FN2066:$FN$7000))</f>
        <v/>
      </c>
      <c r="FK2066" s="36" t="str">
        <f>IF($FH2066="","",SUM($FN2066:$FN$7000))</f>
        <v/>
      </c>
    </row>
    <row r="2067" spans="152:167">
      <c r="EV2067" s="28">
        <f t="shared" si="65"/>
        <v>0</v>
      </c>
      <c r="FH2067" s="29" t="str">
        <f t="shared" si="66"/>
        <v/>
      </c>
      <c r="FJ2067" s="36" t="str">
        <f>IF($FH2067="","",SUM($FN2067:$FN$7000))</f>
        <v/>
      </c>
      <c r="FK2067" s="36" t="str">
        <f>IF($FH2067="","",SUM($FN2067:$FN$7000))</f>
        <v/>
      </c>
    </row>
    <row r="2068" spans="152:167">
      <c r="EV2068" s="28">
        <f t="shared" si="65"/>
        <v>0</v>
      </c>
      <c r="FH2068" s="29" t="str">
        <f t="shared" si="66"/>
        <v/>
      </c>
      <c r="FJ2068" s="36" t="str">
        <f>IF($FH2068="","",SUM($FN2068:$FN$7000))</f>
        <v/>
      </c>
      <c r="FK2068" s="36" t="str">
        <f>IF($FH2068="","",SUM($FN2068:$FN$7000))</f>
        <v/>
      </c>
    </row>
    <row r="2069" spans="152:167">
      <c r="EV2069" s="28">
        <f t="shared" si="65"/>
        <v>0</v>
      </c>
      <c r="FH2069" s="29" t="str">
        <f t="shared" si="66"/>
        <v/>
      </c>
      <c r="FJ2069" s="36" t="str">
        <f>IF($FH2069="","",SUM($FN2069:$FN$7000))</f>
        <v/>
      </c>
      <c r="FK2069" s="36" t="str">
        <f>IF($FH2069="","",SUM($FN2069:$FN$7000))</f>
        <v/>
      </c>
    </row>
    <row r="2070" spans="152:167">
      <c r="EV2070" s="28">
        <f t="shared" si="65"/>
        <v>0</v>
      </c>
      <c r="FH2070" s="29" t="str">
        <f t="shared" si="66"/>
        <v/>
      </c>
      <c r="FJ2070" s="36" t="str">
        <f>IF($FH2070="","",SUM($FN2070:$FN$7000))</f>
        <v/>
      </c>
      <c r="FK2070" s="36" t="str">
        <f>IF($FH2070="","",SUM($FN2070:$FN$7000))</f>
        <v/>
      </c>
    </row>
    <row r="2071" spans="152:167">
      <c r="EV2071" s="28">
        <f t="shared" si="65"/>
        <v>0</v>
      </c>
      <c r="FH2071" s="29" t="str">
        <f t="shared" si="66"/>
        <v/>
      </c>
      <c r="FJ2071" s="36" t="str">
        <f>IF($FH2071="","",SUM($FN2071:$FN$7000))</f>
        <v/>
      </c>
      <c r="FK2071" s="36" t="str">
        <f>IF($FH2071="","",SUM($FN2071:$FN$7000))</f>
        <v/>
      </c>
    </row>
    <row r="2072" spans="152:167">
      <c r="EV2072" s="28">
        <f t="shared" si="65"/>
        <v>0</v>
      </c>
      <c r="FH2072" s="29" t="str">
        <f t="shared" si="66"/>
        <v/>
      </c>
      <c r="FJ2072" s="36" t="str">
        <f>IF($FH2072="","",SUM($FN2072:$FN$7000))</f>
        <v/>
      </c>
      <c r="FK2072" s="36" t="str">
        <f>IF($FH2072="","",SUM($FN2072:$FN$7000))</f>
        <v/>
      </c>
    </row>
    <row r="2073" spans="152:167">
      <c r="EV2073" s="28">
        <f t="shared" si="65"/>
        <v>0</v>
      </c>
      <c r="FH2073" s="29" t="str">
        <f t="shared" si="66"/>
        <v/>
      </c>
      <c r="FJ2073" s="36" t="str">
        <f>IF($FH2073="","",SUM($FN2073:$FN$7000))</f>
        <v/>
      </c>
      <c r="FK2073" s="36" t="str">
        <f>IF($FH2073="","",SUM($FN2073:$FN$7000))</f>
        <v/>
      </c>
    </row>
    <row r="2074" spans="152:167">
      <c r="EV2074" s="28">
        <f t="shared" si="65"/>
        <v>0</v>
      </c>
      <c r="FH2074" s="29" t="str">
        <f t="shared" si="66"/>
        <v/>
      </c>
      <c r="FJ2074" s="36" t="str">
        <f>IF($FH2074="","",SUM($FN2074:$FN$7000))</f>
        <v/>
      </c>
      <c r="FK2074" s="36" t="str">
        <f>IF($FH2074="","",SUM($FN2074:$FN$7000))</f>
        <v/>
      </c>
    </row>
    <row r="2075" spans="152:167">
      <c r="EV2075" s="28">
        <f t="shared" si="65"/>
        <v>0</v>
      </c>
      <c r="FH2075" s="29" t="str">
        <f t="shared" si="66"/>
        <v/>
      </c>
      <c r="FJ2075" s="36" t="str">
        <f>IF($FH2075="","",SUM($FN2075:$FN$7000))</f>
        <v/>
      </c>
      <c r="FK2075" s="36" t="str">
        <f>IF($FH2075="","",SUM($FN2075:$FN$7000))</f>
        <v/>
      </c>
    </row>
    <row r="2076" spans="152:167">
      <c r="EV2076" s="28">
        <f t="shared" si="65"/>
        <v>0</v>
      </c>
      <c r="FH2076" s="29" t="str">
        <f t="shared" si="66"/>
        <v/>
      </c>
      <c r="FJ2076" s="36" t="str">
        <f>IF($FH2076="","",SUM($FN2076:$FN$7000))</f>
        <v/>
      </c>
      <c r="FK2076" s="36" t="str">
        <f>IF($FH2076="","",SUM($FN2076:$FN$7000))</f>
        <v/>
      </c>
    </row>
    <row r="2077" spans="152:167">
      <c r="EV2077" s="28">
        <f t="shared" si="65"/>
        <v>0</v>
      </c>
      <c r="FH2077" s="29" t="str">
        <f t="shared" si="66"/>
        <v/>
      </c>
      <c r="FJ2077" s="36" t="str">
        <f>IF($FH2077="","",SUM($FN2077:$FN$7000))</f>
        <v/>
      </c>
      <c r="FK2077" s="36" t="str">
        <f>IF($FH2077="","",SUM($FN2077:$FN$7000))</f>
        <v/>
      </c>
    </row>
    <row r="2078" spans="152:167">
      <c r="EV2078" s="28">
        <f t="shared" si="65"/>
        <v>0</v>
      </c>
      <c r="FH2078" s="29" t="str">
        <f t="shared" si="66"/>
        <v/>
      </c>
      <c r="FJ2078" s="36" t="str">
        <f>IF($FH2078="","",SUM($FN2078:$FN$7000))</f>
        <v/>
      </c>
      <c r="FK2078" s="36" t="str">
        <f>IF($FH2078="","",SUM($FN2078:$FN$7000))</f>
        <v/>
      </c>
    </row>
    <row r="2079" spans="152:167">
      <c r="EV2079" s="28">
        <f t="shared" si="65"/>
        <v>0</v>
      </c>
      <c r="FH2079" s="29" t="str">
        <f t="shared" si="66"/>
        <v/>
      </c>
      <c r="FJ2079" s="36" t="str">
        <f>IF($FH2079="","",SUM($FN2079:$FN$7000))</f>
        <v/>
      </c>
      <c r="FK2079" s="36" t="str">
        <f>IF($FH2079="","",SUM($FN2079:$FN$7000))</f>
        <v/>
      </c>
    </row>
    <row r="2080" spans="152:167">
      <c r="EV2080" s="28">
        <f t="shared" si="65"/>
        <v>0</v>
      </c>
      <c r="FH2080" s="29" t="str">
        <f t="shared" si="66"/>
        <v/>
      </c>
      <c r="FJ2080" s="36" t="str">
        <f>IF($FH2080="","",SUM($FN2080:$FN$7000))</f>
        <v/>
      </c>
      <c r="FK2080" s="36" t="str">
        <f>IF($FH2080="","",SUM($FN2080:$FN$7000))</f>
        <v/>
      </c>
    </row>
    <row r="2081" spans="152:167">
      <c r="EV2081" s="28">
        <f t="shared" si="65"/>
        <v>0</v>
      </c>
      <c r="FH2081" s="29" t="str">
        <f t="shared" si="66"/>
        <v/>
      </c>
      <c r="FJ2081" s="36" t="str">
        <f>IF($FH2081="","",SUM($FN2081:$FN$7000))</f>
        <v/>
      </c>
      <c r="FK2081" s="36" t="str">
        <f>IF($FH2081="","",SUM($FN2081:$FN$7000))</f>
        <v/>
      </c>
    </row>
    <row r="2082" spans="152:167">
      <c r="EV2082" s="28">
        <f t="shared" si="65"/>
        <v>0</v>
      </c>
      <c r="FH2082" s="29" t="str">
        <f t="shared" si="66"/>
        <v/>
      </c>
      <c r="FJ2082" s="36" t="str">
        <f>IF($FH2082="","",SUM($FN2082:$FN$7000))</f>
        <v/>
      </c>
      <c r="FK2082" s="36" t="str">
        <f>IF($FH2082="","",SUM($FN2082:$FN$7000))</f>
        <v/>
      </c>
    </row>
    <row r="2083" spans="152:167">
      <c r="EV2083" s="28">
        <f t="shared" si="65"/>
        <v>0</v>
      </c>
      <c r="FH2083" s="29" t="str">
        <f t="shared" si="66"/>
        <v/>
      </c>
      <c r="FJ2083" s="36" t="str">
        <f>IF($FH2083="","",SUM($FN2083:$FN$7000))</f>
        <v/>
      </c>
      <c r="FK2083" s="36" t="str">
        <f>IF($FH2083="","",SUM($FN2083:$FN$7000))</f>
        <v/>
      </c>
    </row>
    <row r="2084" spans="152:167">
      <c r="EV2084" s="28">
        <f t="shared" si="65"/>
        <v>0</v>
      </c>
      <c r="FH2084" s="29" t="str">
        <f t="shared" si="66"/>
        <v/>
      </c>
      <c r="FJ2084" s="36" t="str">
        <f>IF($FH2084="","",SUM($FN2084:$FN$7000))</f>
        <v/>
      </c>
      <c r="FK2084" s="36" t="str">
        <f>IF($FH2084="","",SUM($FN2084:$FN$7000))</f>
        <v/>
      </c>
    </row>
    <row r="2085" spans="152:167">
      <c r="EV2085" s="28">
        <f t="shared" si="65"/>
        <v>0</v>
      </c>
      <c r="FH2085" s="29" t="str">
        <f t="shared" si="66"/>
        <v/>
      </c>
      <c r="FJ2085" s="36" t="str">
        <f>IF($FH2085="","",SUM($FN2085:$FN$7000))</f>
        <v/>
      </c>
      <c r="FK2085" s="36" t="str">
        <f>IF($FH2085="","",SUM($FN2085:$FN$7000))</f>
        <v/>
      </c>
    </row>
    <row r="2086" spans="152:167">
      <c r="EV2086" s="28">
        <f t="shared" si="65"/>
        <v>0</v>
      </c>
      <c r="FH2086" s="29" t="str">
        <f t="shared" si="66"/>
        <v/>
      </c>
      <c r="FJ2086" s="36" t="str">
        <f>IF($FH2086="","",SUM($FN2086:$FN$7000))</f>
        <v/>
      </c>
      <c r="FK2086" s="36" t="str">
        <f>IF($FH2086="","",SUM($FN2086:$FN$7000))</f>
        <v/>
      </c>
    </row>
    <row r="2087" spans="152:167">
      <c r="EV2087" s="28">
        <f t="shared" si="65"/>
        <v>0</v>
      </c>
      <c r="FH2087" s="29" t="str">
        <f t="shared" si="66"/>
        <v/>
      </c>
      <c r="FJ2087" s="36" t="str">
        <f>IF($FH2087="","",SUM($FN2087:$FN$7000))</f>
        <v/>
      </c>
      <c r="FK2087" s="36" t="str">
        <f>IF($FH2087="","",SUM($FN2087:$FN$7000))</f>
        <v/>
      </c>
    </row>
    <row r="2088" spans="152:167">
      <c r="EV2088" s="28">
        <f t="shared" si="65"/>
        <v>0</v>
      </c>
      <c r="FH2088" s="29" t="str">
        <f t="shared" si="66"/>
        <v/>
      </c>
      <c r="FJ2088" s="36" t="str">
        <f>IF($FH2088="","",SUM($FN2088:$FN$7000))</f>
        <v/>
      </c>
      <c r="FK2088" s="36" t="str">
        <f>IF($FH2088="","",SUM($FN2088:$FN$7000))</f>
        <v/>
      </c>
    </row>
    <row r="2089" spans="152:167">
      <c r="EV2089" s="28">
        <f t="shared" si="65"/>
        <v>0</v>
      </c>
      <c r="FH2089" s="29" t="str">
        <f t="shared" si="66"/>
        <v/>
      </c>
      <c r="FJ2089" s="36" t="str">
        <f>IF($FH2089="","",SUM($FN2089:$FN$7000))</f>
        <v/>
      </c>
      <c r="FK2089" s="36" t="str">
        <f>IF($FH2089="","",SUM($FN2089:$FN$7000))</f>
        <v/>
      </c>
    </row>
    <row r="2090" spans="152:167">
      <c r="EV2090" s="28">
        <f t="shared" si="65"/>
        <v>0</v>
      </c>
      <c r="FH2090" s="29" t="str">
        <f t="shared" si="66"/>
        <v/>
      </c>
      <c r="FJ2090" s="36" t="str">
        <f>IF($FH2090="","",SUM($FN2090:$FN$7000))</f>
        <v/>
      </c>
      <c r="FK2090" s="36" t="str">
        <f>IF($FH2090="","",SUM($FN2090:$FN$7000))</f>
        <v/>
      </c>
    </row>
    <row r="2091" spans="152:167">
      <c r="EV2091" s="28">
        <f t="shared" si="65"/>
        <v>0</v>
      </c>
      <c r="FH2091" s="29" t="str">
        <f t="shared" si="66"/>
        <v/>
      </c>
      <c r="FJ2091" s="36" t="str">
        <f>IF($FH2091="","",SUM($FN2091:$FN$7000))</f>
        <v/>
      </c>
      <c r="FK2091" s="36" t="str">
        <f>IF($FH2091="","",SUM($FN2091:$FN$7000))</f>
        <v/>
      </c>
    </row>
    <row r="2092" spans="152:167">
      <c r="EV2092" s="28">
        <f t="shared" si="65"/>
        <v>0</v>
      </c>
      <c r="FH2092" s="29" t="str">
        <f t="shared" si="66"/>
        <v/>
      </c>
      <c r="FJ2092" s="36" t="str">
        <f>IF($FH2092="","",SUM($FN2092:$FN$7000))</f>
        <v/>
      </c>
      <c r="FK2092" s="36" t="str">
        <f>IF($FH2092="","",SUM($FN2092:$FN$7000))</f>
        <v/>
      </c>
    </row>
    <row r="2093" spans="152:167">
      <c r="EV2093" s="28">
        <f t="shared" si="65"/>
        <v>0</v>
      </c>
      <c r="FH2093" s="29" t="str">
        <f t="shared" si="66"/>
        <v/>
      </c>
      <c r="FJ2093" s="36" t="str">
        <f>IF($FH2093="","",SUM($FN2093:$FN$7000))</f>
        <v/>
      </c>
      <c r="FK2093" s="36" t="str">
        <f>IF($FH2093="","",SUM($FN2093:$FN$7000))</f>
        <v/>
      </c>
    </row>
    <row r="2094" spans="152:167">
      <c r="EV2094" s="28">
        <f t="shared" si="65"/>
        <v>0</v>
      </c>
      <c r="FH2094" s="29" t="str">
        <f t="shared" si="66"/>
        <v/>
      </c>
      <c r="FJ2094" s="36" t="str">
        <f>IF($FH2094="","",SUM($FN2094:$FN$7000))</f>
        <v/>
      </c>
      <c r="FK2094" s="36" t="str">
        <f>IF($FH2094="","",SUM($FN2094:$FN$7000))</f>
        <v/>
      </c>
    </row>
    <row r="2095" spans="152:167">
      <c r="EV2095" s="28">
        <f t="shared" si="65"/>
        <v>0</v>
      </c>
      <c r="FH2095" s="29" t="str">
        <f t="shared" si="66"/>
        <v/>
      </c>
      <c r="FJ2095" s="36" t="str">
        <f>IF($FH2095="","",SUM($FN2095:$FN$7000))</f>
        <v/>
      </c>
      <c r="FK2095" s="36" t="str">
        <f>IF($FH2095="","",SUM($FN2095:$FN$7000))</f>
        <v/>
      </c>
    </row>
    <row r="2096" spans="152:167">
      <c r="EV2096" s="28">
        <f t="shared" si="65"/>
        <v>0</v>
      </c>
      <c r="FH2096" s="29" t="str">
        <f t="shared" si="66"/>
        <v/>
      </c>
      <c r="FJ2096" s="36" t="str">
        <f>IF($FH2096="","",SUM($FN2096:$FN$7000))</f>
        <v/>
      </c>
      <c r="FK2096" s="36" t="str">
        <f>IF($FH2096="","",SUM($FN2096:$FN$7000))</f>
        <v/>
      </c>
    </row>
    <row r="2097" spans="152:167">
      <c r="EV2097" s="28">
        <f t="shared" si="65"/>
        <v>0</v>
      </c>
      <c r="FH2097" s="29" t="str">
        <f t="shared" si="66"/>
        <v/>
      </c>
      <c r="FJ2097" s="36" t="str">
        <f>IF($FH2097="","",SUM($FN2097:$FN$7000))</f>
        <v/>
      </c>
      <c r="FK2097" s="36" t="str">
        <f>IF($FH2097="","",SUM($FN2097:$FN$7000))</f>
        <v/>
      </c>
    </row>
    <row r="2098" spans="152:167">
      <c r="EV2098" s="28">
        <f t="shared" si="65"/>
        <v>0</v>
      </c>
      <c r="FH2098" s="29" t="str">
        <f t="shared" si="66"/>
        <v/>
      </c>
      <c r="FJ2098" s="36" t="str">
        <f>IF($FH2098="","",SUM($FN2098:$FN$7000))</f>
        <v/>
      </c>
      <c r="FK2098" s="36" t="str">
        <f>IF($FH2098="","",SUM($FN2098:$FN$7000))</f>
        <v/>
      </c>
    </row>
    <row r="2099" spans="152:167">
      <c r="EV2099" s="28">
        <f t="shared" si="65"/>
        <v>0</v>
      </c>
      <c r="FH2099" s="29" t="str">
        <f t="shared" si="66"/>
        <v/>
      </c>
      <c r="FJ2099" s="36" t="str">
        <f>IF($FH2099="","",SUM($FN2099:$FN$7000))</f>
        <v/>
      </c>
      <c r="FK2099" s="36" t="str">
        <f>IF($FH2099="","",SUM($FN2099:$FN$7000))</f>
        <v/>
      </c>
    </row>
    <row r="2100" spans="152:167">
      <c r="EV2100" s="28">
        <f t="shared" si="65"/>
        <v>0</v>
      </c>
      <c r="FH2100" s="29" t="str">
        <f t="shared" si="66"/>
        <v/>
      </c>
      <c r="FJ2100" s="36" t="str">
        <f>IF($FH2100="","",SUM($FN2100:$FN$7000))</f>
        <v/>
      </c>
      <c r="FK2100" s="36" t="str">
        <f>IF($FH2100="","",SUM($FN2100:$FN$7000))</f>
        <v/>
      </c>
    </row>
    <row r="2101" spans="152:167">
      <c r="EV2101" s="28">
        <f t="shared" si="65"/>
        <v>0</v>
      </c>
      <c r="FH2101" s="29" t="str">
        <f t="shared" si="66"/>
        <v/>
      </c>
      <c r="FJ2101" s="36" t="str">
        <f>IF($FH2101="","",SUM($FN2101:$FN$7000))</f>
        <v/>
      </c>
      <c r="FK2101" s="36" t="str">
        <f>IF($FH2101="","",SUM($FN2101:$FN$7000))</f>
        <v/>
      </c>
    </row>
    <row r="2102" spans="152:167">
      <c r="EV2102" s="28">
        <f t="shared" si="65"/>
        <v>0</v>
      </c>
      <c r="FH2102" s="29" t="str">
        <f t="shared" si="66"/>
        <v/>
      </c>
      <c r="FJ2102" s="36" t="str">
        <f>IF($FH2102="","",SUM($FN2102:$FN$7000))</f>
        <v/>
      </c>
      <c r="FK2102" s="36" t="str">
        <f>IF($FH2102="","",SUM($FN2102:$FN$7000))</f>
        <v/>
      </c>
    </row>
    <row r="2103" spans="152:167">
      <c r="EV2103" s="28">
        <f t="shared" si="65"/>
        <v>0</v>
      </c>
      <c r="FH2103" s="29" t="str">
        <f t="shared" si="66"/>
        <v/>
      </c>
      <c r="FJ2103" s="36" t="str">
        <f>IF($FH2103="","",SUM($FN2103:$FN$7000))</f>
        <v/>
      </c>
      <c r="FK2103" s="36" t="str">
        <f>IF($FH2103="","",SUM($FN2103:$FN$7000))</f>
        <v/>
      </c>
    </row>
    <row r="2104" spans="152:167">
      <c r="EV2104" s="28">
        <f t="shared" si="65"/>
        <v>0</v>
      </c>
      <c r="FH2104" s="29" t="str">
        <f t="shared" si="66"/>
        <v/>
      </c>
      <c r="FJ2104" s="36" t="str">
        <f>IF($FH2104="","",SUM($FN2104:$FN$7000))</f>
        <v/>
      </c>
      <c r="FK2104" s="36" t="str">
        <f>IF($FH2104="","",SUM($FN2104:$FN$7000))</f>
        <v/>
      </c>
    </row>
    <row r="2105" spans="152:167">
      <c r="EV2105" s="28">
        <f t="shared" si="65"/>
        <v>0</v>
      </c>
      <c r="FH2105" s="29" t="str">
        <f t="shared" si="66"/>
        <v/>
      </c>
      <c r="FJ2105" s="36" t="str">
        <f>IF($FH2105="","",SUM($FN2105:$FN$7000))</f>
        <v/>
      </c>
      <c r="FK2105" s="36" t="str">
        <f>IF($FH2105="","",SUM($FN2105:$FN$7000))</f>
        <v/>
      </c>
    </row>
    <row r="2106" spans="152:167">
      <c r="EV2106" s="28">
        <f t="shared" si="65"/>
        <v>0</v>
      </c>
      <c r="FH2106" s="29" t="str">
        <f t="shared" si="66"/>
        <v/>
      </c>
      <c r="FJ2106" s="36" t="str">
        <f>IF($FH2106="","",SUM($FN2106:$FN$7000))</f>
        <v/>
      </c>
      <c r="FK2106" s="36" t="str">
        <f>IF($FH2106="","",SUM($FN2106:$FN$7000))</f>
        <v/>
      </c>
    </row>
    <row r="2107" spans="152:167">
      <c r="EV2107" s="28">
        <f t="shared" si="65"/>
        <v>0</v>
      </c>
      <c r="FH2107" s="29" t="str">
        <f t="shared" si="66"/>
        <v/>
      </c>
      <c r="FJ2107" s="36" t="str">
        <f>IF($FH2107="","",SUM($FN2107:$FN$7000))</f>
        <v/>
      </c>
      <c r="FK2107" s="36" t="str">
        <f>IF($FH2107="","",SUM($FN2107:$FN$7000))</f>
        <v/>
      </c>
    </row>
    <row r="2108" spans="152:167">
      <c r="EV2108" s="28">
        <f t="shared" si="65"/>
        <v>0</v>
      </c>
      <c r="FH2108" s="29" t="str">
        <f t="shared" si="66"/>
        <v/>
      </c>
      <c r="FJ2108" s="36" t="str">
        <f>IF($FH2108="","",SUM($FN2108:$FN$7000))</f>
        <v/>
      </c>
      <c r="FK2108" s="36" t="str">
        <f>IF($FH2108="","",SUM($FN2108:$FN$7000))</f>
        <v/>
      </c>
    </row>
    <row r="2109" spans="152:167">
      <c r="EV2109" s="28">
        <f t="shared" si="65"/>
        <v>0</v>
      </c>
      <c r="FH2109" s="29" t="str">
        <f t="shared" si="66"/>
        <v/>
      </c>
      <c r="FJ2109" s="36" t="str">
        <f>IF($FH2109="","",SUM($FN2109:$FN$7000))</f>
        <v/>
      </c>
      <c r="FK2109" s="36" t="str">
        <f>IF($FH2109="","",SUM($FN2109:$FN$7000))</f>
        <v/>
      </c>
    </row>
    <row r="2110" spans="152:167">
      <c r="EV2110" s="28">
        <f t="shared" si="65"/>
        <v>0</v>
      </c>
      <c r="FH2110" s="29" t="str">
        <f t="shared" si="66"/>
        <v/>
      </c>
      <c r="FJ2110" s="36" t="str">
        <f>IF($FH2110="","",SUM($FN2110:$FN$7000))</f>
        <v/>
      </c>
      <c r="FK2110" s="36" t="str">
        <f>IF($FH2110="","",SUM($FN2110:$FN$7000))</f>
        <v/>
      </c>
    </row>
    <row r="2111" spans="152:167">
      <c r="EV2111" s="28">
        <f t="shared" si="65"/>
        <v>0</v>
      </c>
      <c r="FH2111" s="29" t="str">
        <f t="shared" si="66"/>
        <v/>
      </c>
      <c r="FJ2111" s="36" t="str">
        <f>IF($FH2111="","",SUM($FN2111:$FN$7000))</f>
        <v/>
      </c>
      <c r="FK2111" s="36" t="str">
        <f>IF($FH2111="","",SUM($FN2111:$FN$7000))</f>
        <v/>
      </c>
    </row>
    <row r="2112" spans="152:167">
      <c r="EV2112" s="28">
        <f t="shared" si="65"/>
        <v>0</v>
      </c>
      <c r="FH2112" s="29" t="str">
        <f t="shared" si="66"/>
        <v/>
      </c>
      <c r="FJ2112" s="36" t="str">
        <f>IF($FH2112="","",SUM($FN2112:$FN$7000))</f>
        <v/>
      </c>
      <c r="FK2112" s="36" t="str">
        <f>IF($FH2112="","",SUM($FN2112:$FN$7000))</f>
        <v/>
      </c>
    </row>
    <row r="2113" spans="152:167">
      <c r="EV2113" s="28">
        <f t="shared" si="65"/>
        <v>0</v>
      </c>
      <c r="FH2113" s="29" t="str">
        <f t="shared" si="66"/>
        <v/>
      </c>
      <c r="FJ2113" s="36" t="str">
        <f>IF($FH2113="","",SUM($FN2113:$FN$7000))</f>
        <v/>
      </c>
      <c r="FK2113" s="36" t="str">
        <f>IF($FH2113="","",SUM($FN2113:$FN$7000))</f>
        <v/>
      </c>
    </row>
    <row r="2114" spans="152:167">
      <c r="EV2114" s="28">
        <f t="shared" si="65"/>
        <v>0</v>
      </c>
      <c r="FH2114" s="29" t="str">
        <f t="shared" si="66"/>
        <v/>
      </c>
      <c r="FJ2114" s="36" t="str">
        <f>IF($FH2114="","",SUM($FN2114:$FN$7000))</f>
        <v/>
      </c>
      <c r="FK2114" s="36" t="str">
        <f>IF($FH2114="","",SUM($FN2114:$FN$7000))</f>
        <v/>
      </c>
    </row>
    <row r="2115" spans="152:167">
      <c r="EV2115" s="28">
        <f t="shared" si="65"/>
        <v>0</v>
      </c>
      <c r="FH2115" s="29" t="str">
        <f t="shared" si="66"/>
        <v/>
      </c>
      <c r="FJ2115" s="36" t="str">
        <f>IF($FH2115="","",SUM($FN2115:$FN$7000))</f>
        <v/>
      </c>
      <c r="FK2115" s="36" t="str">
        <f>IF($FH2115="","",SUM($FN2115:$FN$7000))</f>
        <v/>
      </c>
    </row>
    <row r="2116" spans="152:167">
      <c r="EV2116" s="28">
        <f t="shared" si="65"/>
        <v>0</v>
      </c>
      <c r="FH2116" s="29" t="str">
        <f t="shared" si="66"/>
        <v/>
      </c>
      <c r="FJ2116" s="36" t="str">
        <f>IF($FH2116="","",SUM($FN2116:$FN$7000))</f>
        <v/>
      </c>
      <c r="FK2116" s="36" t="str">
        <f>IF($FH2116="","",SUM($FN2116:$FN$7000))</f>
        <v/>
      </c>
    </row>
    <row r="2117" spans="152:167">
      <c r="EV2117" s="28">
        <f t="shared" si="65"/>
        <v>0</v>
      </c>
      <c r="FH2117" s="29" t="str">
        <f t="shared" si="66"/>
        <v/>
      </c>
      <c r="FJ2117" s="36" t="str">
        <f>IF($FH2117="","",SUM($FN2117:$FN$7000))</f>
        <v/>
      </c>
      <c r="FK2117" s="36" t="str">
        <f>IF($FH2117="","",SUM($FN2117:$FN$7000))</f>
        <v/>
      </c>
    </row>
    <row r="2118" spans="152:167">
      <c r="EV2118" s="28">
        <f t="shared" si="65"/>
        <v>0</v>
      </c>
      <c r="FH2118" s="29" t="str">
        <f t="shared" si="66"/>
        <v/>
      </c>
      <c r="FJ2118" s="36" t="str">
        <f>IF($FH2118="","",SUM($FN2118:$FN$7000))</f>
        <v/>
      </c>
      <c r="FK2118" s="36" t="str">
        <f>IF($FH2118="","",SUM($FN2118:$FN$7000))</f>
        <v/>
      </c>
    </row>
    <row r="2119" spans="152:167">
      <c r="EV2119" s="28">
        <f t="shared" si="65"/>
        <v>0</v>
      </c>
      <c r="FH2119" s="29" t="str">
        <f t="shared" si="66"/>
        <v/>
      </c>
      <c r="FJ2119" s="36" t="str">
        <f>IF($FH2119="","",SUM($FN2119:$FN$7000))</f>
        <v/>
      </c>
      <c r="FK2119" s="36" t="str">
        <f>IF($FH2119="","",SUM($FN2119:$FN$7000))</f>
        <v/>
      </c>
    </row>
    <row r="2120" spans="152:167">
      <c r="EV2120" s="28">
        <f t="shared" si="65"/>
        <v>0</v>
      </c>
      <c r="FH2120" s="29" t="str">
        <f t="shared" si="66"/>
        <v/>
      </c>
      <c r="FJ2120" s="36" t="str">
        <f>IF($FH2120="","",SUM($FN2120:$FN$7000))</f>
        <v/>
      </c>
      <c r="FK2120" s="36" t="str">
        <f>IF($FH2120="","",SUM($FN2120:$FN$7000))</f>
        <v/>
      </c>
    </row>
    <row r="2121" spans="152:167">
      <c r="EV2121" s="28">
        <f t="shared" si="65"/>
        <v>0</v>
      </c>
      <c r="FH2121" s="29" t="str">
        <f t="shared" si="66"/>
        <v/>
      </c>
      <c r="FJ2121" s="36" t="str">
        <f>IF($FH2121="","",SUM($FN2121:$FN$7000))</f>
        <v/>
      </c>
      <c r="FK2121" s="36" t="str">
        <f>IF($FH2121="","",SUM($FN2121:$FN$7000))</f>
        <v/>
      </c>
    </row>
    <row r="2122" spans="152:167">
      <c r="EV2122" s="28">
        <f t="shared" si="65"/>
        <v>0</v>
      </c>
      <c r="FH2122" s="29" t="str">
        <f t="shared" si="66"/>
        <v/>
      </c>
      <c r="FJ2122" s="36" t="str">
        <f>IF($FH2122="","",SUM($FN2122:$FN$7000))</f>
        <v/>
      </c>
      <c r="FK2122" s="36" t="str">
        <f>IF($FH2122="","",SUM($FN2122:$FN$7000))</f>
        <v/>
      </c>
    </row>
    <row r="2123" spans="152:167">
      <c r="EV2123" s="28">
        <f t="shared" ref="EV2123:EV2186" si="67">EU2123-ET2123</f>
        <v>0</v>
      </c>
      <c r="FH2123" s="29" t="str">
        <f t="shared" ref="FH2123:FH2186" si="68">IF(FL2123="","",FL2123)</f>
        <v/>
      </c>
      <c r="FJ2123" s="36" t="str">
        <f>IF($FH2123="","",SUM($FN2123:$FN$7000))</f>
        <v/>
      </c>
      <c r="FK2123" s="36" t="str">
        <f>IF($FH2123="","",SUM($FN2123:$FN$7000))</f>
        <v/>
      </c>
    </row>
    <row r="2124" spans="152:167">
      <c r="EV2124" s="28">
        <f t="shared" si="67"/>
        <v>0</v>
      </c>
      <c r="FH2124" s="29" t="str">
        <f t="shared" si="68"/>
        <v/>
      </c>
      <c r="FJ2124" s="36" t="str">
        <f>IF($FH2124="","",SUM($FN2124:$FN$7000))</f>
        <v/>
      </c>
      <c r="FK2124" s="36" t="str">
        <f>IF($FH2124="","",SUM($FN2124:$FN$7000))</f>
        <v/>
      </c>
    </row>
    <row r="2125" spans="152:167">
      <c r="EV2125" s="28">
        <f t="shared" si="67"/>
        <v>0</v>
      </c>
      <c r="FH2125" s="29" t="str">
        <f t="shared" si="68"/>
        <v/>
      </c>
      <c r="FJ2125" s="36" t="str">
        <f>IF($FH2125="","",SUM($FN2125:$FN$7000))</f>
        <v/>
      </c>
      <c r="FK2125" s="36" t="str">
        <f>IF($FH2125="","",SUM($FN2125:$FN$7000))</f>
        <v/>
      </c>
    </row>
    <row r="2126" spans="152:167">
      <c r="EV2126" s="28">
        <f t="shared" si="67"/>
        <v>0</v>
      </c>
      <c r="FH2126" s="29" t="str">
        <f t="shared" si="68"/>
        <v/>
      </c>
      <c r="FJ2126" s="36" t="str">
        <f>IF($FH2126="","",SUM($FN2126:$FN$7000))</f>
        <v/>
      </c>
      <c r="FK2126" s="36" t="str">
        <f>IF($FH2126="","",SUM($FN2126:$FN$7000))</f>
        <v/>
      </c>
    </row>
    <row r="2127" spans="152:167">
      <c r="EV2127" s="28">
        <f t="shared" si="67"/>
        <v>0</v>
      </c>
      <c r="FH2127" s="29" t="str">
        <f t="shared" si="68"/>
        <v/>
      </c>
      <c r="FJ2127" s="36" t="str">
        <f>IF($FH2127="","",SUM($FN2127:$FN$7000))</f>
        <v/>
      </c>
      <c r="FK2127" s="36" t="str">
        <f>IF($FH2127="","",SUM($FN2127:$FN$7000))</f>
        <v/>
      </c>
    </row>
    <row r="2128" spans="152:167">
      <c r="EV2128" s="28">
        <f t="shared" si="67"/>
        <v>0</v>
      </c>
      <c r="FH2128" s="29" t="str">
        <f t="shared" si="68"/>
        <v/>
      </c>
      <c r="FJ2128" s="36" t="str">
        <f>IF($FH2128="","",SUM($FN2128:$FN$7000))</f>
        <v/>
      </c>
      <c r="FK2128" s="36" t="str">
        <f>IF($FH2128="","",SUM($FN2128:$FN$7000))</f>
        <v/>
      </c>
    </row>
    <row r="2129" spans="152:167">
      <c r="EV2129" s="28">
        <f t="shared" si="67"/>
        <v>0</v>
      </c>
      <c r="FH2129" s="29" t="str">
        <f t="shared" si="68"/>
        <v/>
      </c>
      <c r="FJ2129" s="36" t="str">
        <f>IF($FH2129="","",SUM($FN2129:$FN$7000))</f>
        <v/>
      </c>
      <c r="FK2129" s="36" t="str">
        <f>IF($FH2129="","",SUM($FN2129:$FN$7000))</f>
        <v/>
      </c>
    </row>
    <row r="2130" spans="152:167">
      <c r="EV2130" s="28">
        <f t="shared" si="67"/>
        <v>0</v>
      </c>
      <c r="FH2130" s="29" t="str">
        <f t="shared" si="68"/>
        <v/>
      </c>
      <c r="FJ2130" s="36" t="str">
        <f>IF($FH2130="","",SUM($FN2130:$FN$7000))</f>
        <v/>
      </c>
      <c r="FK2130" s="36" t="str">
        <f>IF($FH2130="","",SUM($FN2130:$FN$7000))</f>
        <v/>
      </c>
    </row>
    <row r="2131" spans="152:167">
      <c r="EV2131" s="28">
        <f t="shared" si="67"/>
        <v>0</v>
      </c>
      <c r="FH2131" s="29" t="str">
        <f t="shared" si="68"/>
        <v/>
      </c>
      <c r="FJ2131" s="36" t="str">
        <f>IF($FH2131="","",SUM($FN2131:$FN$7000))</f>
        <v/>
      </c>
      <c r="FK2131" s="36" t="str">
        <f>IF($FH2131="","",SUM($FN2131:$FN$7000))</f>
        <v/>
      </c>
    </row>
    <row r="2132" spans="152:167">
      <c r="EV2132" s="28">
        <f t="shared" si="67"/>
        <v>0</v>
      </c>
      <c r="FH2132" s="29" t="str">
        <f t="shared" si="68"/>
        <v/>
      </c>
      <c r="FJ2132" s="36" t="str">
        <f>IF($FH2132="","",SUM($FN2132:$FN$7000))</f>
        <v/>
      </c>
      <c r="FK2132" s="36" t="str">
        <f>IF($FH2132="","",SUM($FN2132:$FN$7000))</f>
        <v/>
      </c>
    </row>
    <row r="2133" spans="152:167">
      <c r="EV2133" s="28">
        <f t="shared" si="67"/>
        <v>0</v>
      </c>
      <c r="FH2133" s="29" t="str">
        <f t="shared" si="68"/>
        <v/>
      </c>
      <c r="FJ2133" s="36" t="str">
        <f>IF($FH2133="","",SUM($FN2133:$FN$7000))</f>
        <v/>
      </c>
      <c r="FK2133" s="36" t="str">
        <f>IF($FH2133="","",SUM($FN2133:$FN$7000))</f>
        <v/>
      </c>
    </row>
    <row r="2134" spans="152:167">
      <c r="EV2134" s="28">
        <f t="shared" si="67"/>
        <v>0</v>
      </c>
      <c r="FH2134" s="29" t="str">
        <f t="shared" si="68"/>
        <v/>
      </c>
      <c r="FJ2134" s="36" t="str">
        <f>IF($FH2134="","",SUM($FN2134:$FN$7000))</f>
        <v/>
      </c>
      <c r="FK2134" s="36" t="str">
        <f>IF($FH2134="","",SUM($FN2134:$FN$7000))</f>
        <v/>
      </c>
    </row>
    <row r="2135" spans="152:167">
      <c r="EV2135" s="28">
        <f t="shared" si="67"/>
        <v>0</v>
      </c>
      <c r="FH2135" s="29" t="str">
        <f t="shared" si="68"/>
        <v/>
      </c>
      <c r="FJ2135" s="36" t="str">
        <f>IF($FH2135="","",SUM($FN2135:$FN$7000))</f>
        <v/>
      </c>
      <c r="FK2135" s="36" t="str">
        <f>IF($FH2135="","",SUM($FN2135:$FN$7000))</f>
        <v/>
      </c>
    </row>
    <row r="2136" spans="152:167">
      <c r="EV2136" s="28">
        <f t="shared" si="67"/>
        <v>0</v>
      </c>
      <c r="FH2136" s="29" t="str">
        <f t="shared" si="68"/>
        <v/>
      </c>
      <c r="FJ2136" s="36" t="str">
        <f>IF($FH2136="","",SUM($FN2136:$FN$7000))</f>
        <v/>
      </c>
      <c r="FK2136" s="36" t="str">
        <f>IF($FH2136="","",SUM($FN2136:$FN$7000))</f>
        <v/>
      </c>
    </row>
    <row r="2137" spans="152:167">
      <c r="EV2137" s="28">
        <f t="shared" si="67"/>
        <v>0</v>
      </c>
      <c r="FH2137" s="29" t="str">
        <f t="shared" si="68"/>
        <v/>
      </c>
      <c r="FJ2137" s="36" t="str">
        <f>IF($FH2137="","",SUM($FN2137:$FN$7000))</f>
        <v/>
      </c>
      <c r="FK2137" s="36" t="str">
        <f>IF($FH2137="","",SUM($FN2137:$FN$7000))</f>
        <v/>
      </c>
    </row>
    <row r="2138" spans="152:167">
      <c r="EV2138" s="28">
        <f t="shared" si="67"/>
        <v>0</v>
      </c>
      <c r="FH2138" s="29" t="str">
        <f t="shared" si="68"/>
        <v/>
      </c>
      <c r="FJ2138" s="36" t="str">
        <f>IF($FH2138="","",SUM($FN2138:$FN$7000))</f>
        <v/>
      </c>
      <c r="FK2138" s="36" t="str">
        <f>IF($FH2138="","",SUM($FN2138:$FN$7000))</f>
        <v/>
      </c>
    </row>
    <row r="2139" spans="152:167">
      <c r="EV2139" s="28">
        <f t="shared" si="67"/>
        <v>0</v>
      </c>
      <c r="FH2139" s="29" t="str">
        <f t="shared" si="68"/>
        <v/>
      </c>
      <c r="FJ2139" s="36" t="str">
        <f>IF($FH2139="","",SUM($FN2139:$FN$7000))</f>
        <v/>
      </c>
      <c r="FK2139" s="36" t="str">
        <f>IF($FH2139="","",SUM($FN2139:$FN$7000))</f>
        <v/>
      </c>
    </row>
    <row r="2140" spans="152:167">
      <c r="EV2140" s="28">
        <f t="shared" si="67"/>
        <v>0</v>
      </c>
      <c r="FH2140" s="29" t="str">
        <f t="shared" si="68"/>
        <v/>
      </c>
      <c r="FJ2140" s="36" t="str">
        <f>IF($FH2140="","",SUM($FN2140:$FN$7000))</f>
        <v/>
      </c>
      <c r="FK2140" s="36" t="str">
        <f>IF($FH2140="","",SUM($FN2140:$FN$7000))</f>
        <v/>
      </c>
    </row>
    <row r="2141" spans="152:167">
      <c r="EV2141" s="28">
        <f t="shared" si="67"/>
        <v>0</v>
      </c>
      <c r="FH2141" s="29" t="str">
        <f t="shared" si="68"/>
        <v/>
      </c>
      <c r="FJ2141" s="36" t="str">
        <f>IF($FH2141="","",SUM($FN2141:$FN$7000))</f>
        <v/>
      </c>
      <c r="FK2141" s="36" t="str">
        <f>IF($FH2141="","",SUM($FN2141:$FN$7000))</f>
        <v/>
      </c>
    </row>
    <row r="2142" spans="152:167">
      <c r="EV2142" s="28">
        <f t="shared" si="67"/>
        <v>0</v>
      </c>
      <c r="FH2142" s="29" t="str">
        <f t="shared" si="68"/>
        <v/>
      </c>
      <c r="FJ2142" s="36" t="str">
        <f>IF($FH2142="","",SUM($FN2142:$FN$7000))</f>
        <v/>
      </c>
      <c r="FK2142" s="36" t="str">
        <f>IF($FH2142="","",SUM($FN2142:$FN$7000))</f>
        <v/>
      </c>
    </row>
    <row r="2143" spans="152:167">
      <c r="EV2143" s="28">
        <f t="shared" si="67"/>
        <v>0</v>
      </c>
      <c r="FH2143" s="29" t="str">
        <f t="shared" si="68"/>
        <v/>
      </c>
      <c r="FJ2143" s="36" t="str">
        <f>IF($FH2143="","",SUM($FN2143:$FN$7000))</f>
        <v/>
      </c>
      <c r="FK2143" s="36" t="str">
        <f>IF($FH2143="","",SUM($FN2143:$FN$7000))</f>
        <v/>
      </c>
    </row>
    <row r="2144" spans="152:167">
      <c r="EV2144" s="28">
        <f t="shared" si="67"/>
        <v>0</v>
      </c>
      <c r="FH2144" s="29" t="str">
        <f t="shared" si="68"/>
        <v/>
      </c>
      <c r="FJ2144" s="36" t="str">
        <f>IF($FH2144="","",SUM($FN2144:$FN$7000))</f>
        <v/>
      </c>
      <c r="FK2144" s="36" t="str">
        <f>IF($FH2144="","",SUM($FN2144:$FN$7000))</f>
        <v/>
      </c>
    </row>
    <row r="2145" spans="152:167">
      <c r="EV2145" s="28">
        <f t="shared" si="67"/>
        <v>0</v>
      </c>
      <c r="FH2145" s="29" t="str">
        <f t="shared" si="68"/>
        <v/>
      </c>
      <c r="FJ2145" s="36" t="str">
        <f>IF($FH2145="","",SUM($FN2145:$FN$7000))</f>
        <v/>
      </c>
      <c r="FK2145" s="36" t="str">
        <f>IF($FH2145="","",SUM($FN2145:$FN$7000))</f>
        <v/>
      </c>
    </row>
    <row r="2146" spans="152:167">
      <c r="EV2146" s="28">
        <f t="shared" si="67"/>
        <v>0</v>
      </c>
      <c r="FH2146" s="29" t="str">
        <f t="shared" si="68"/>
        <v/>
      </c>
      <c r="FJ2146" s="36" t="str">
        <f>IF($FH2146="","",SUM($FN2146:$FN$7000))</f>
        <v/>
      </c>
      <c r="FK2146" s="36" t="str">
        <f>IF($FH2146="","",SUM($FN2146:$FN$7000))</f>
        <v/>
      </c>
    </row>
    <row r="2147" spans="152:167">
      <c r="EV2147" s="28">
        <f t="shared" si="67"/>
        <v>0</v>
      </c>
      <c r="FH2147" s="29" t="str">
        <f t="shared" si="68"/>
        <v/>
      </c>
      <c r="FJ2147" s="36" t="str">
        <f>IF($FH2147="","",SUM($FN2147:$FN$7000))</f>
        <v/>
      </c>
      <c r="FK2147" s="36" t="str">
        <f>IF($FH2147="","",SUM($FN2147:$FN$7000))</f>
        <v/>
      </c>
    </row>
    <row r="2148" spans="152:167">
      <c r="EV2148" s="28">
        <f t="shared" si="67"/>
        <v>0</v>
      </c>
      <c r="FH2148" s="29" t="str">
        <f t="shared" si="68"/>
        <v/>
      </c>
      <c r="FJ2148" s="36" t="str">
        <f>IF($FH2148="","",SUM($FN2148:$FN$7000))</f>
        <v/>
      </c>
      <c r="FK2148" s="36" t="str">
        <f>IF($FH2148="","",SUM($FN2148:$FN$7000))</f>
        <v/>
      </c>
    </row>
    <row r="2149" spans="152:167">
      <c r="EV2149" s="28">
        <f t="shared" si="67"/>
        <v>0</v>
      </c>
      <c r="FH2149" s="29" t="str">
        <f t="shared" si="68"/>
        <v/>
      </c>
      <c r="FJ2149" s="36" t="str">
        <f>IF($FH2149="","",SUM($FN2149:$FN$7000))</f>
        <v/>
      </c>
      <c r="FK2149" s="36" t="str">
        <f>IF($FH2149="","",SUM($FN2149:$FN$7000))</f>
        <v/>
      </c>
    </row>
    <row r="2150" spans="152:167">
      <c r="EV2150" s="28">
        <f t="shared" si="67"/>
        <v>0</v>
      </c>
      <c r="FH2150" s="29" t="str">
        <f t="shared" si="68"/>
        <v/>
      </c>
      <c r="FJ2150" s="36" t="str">
        <f>IF($FH2150="","",SUM($FN2150:$FN$7000))</f>
        <v/>
      </c>
      <c r="FK2150" s="36" t="str">
        <f>IF($FH2150="","",SUM($FN2150:$FN$7000))</f>
        <v/>
      </c>
    </row>
    <row r="2151" spans="152:167">
      <c r="EV2151" s="28">
        <f t="shared" si="67"/>
        <v>0</v>
      </c>
      <c r="FH2151" s="29" t="str">
        <f t="shared" si="68"/>
        <v/>
      </c>
      <c r="FJ2151" s="36" t="str">
        <f>IF($FH2151="","",SUM($FN2151:$FN$7000))</f>
        <v/>
      </c>
      <c r="FK2151" s="36" t="str">
        <f>IF($FH2151="","",SUM($FN2151:$FN$7000))</f>
        <v/>
      </c>
    </row>
    <row r="2152" spans="152:167">
      <c r="EV2152" s="28">
        <f t="shared" si="67"/>
        <v>0</v>
      </c>
      <c r="FH2152" s="29" t="str">
        <f t="shared" si="68"/>
        <v/>
      </c>
      <c r="FJ2152" s="36" t="str">
        <f>IF($FH2152="","",SUM($FN2152:$FN$7000))</f>
        <v/>
      </c>
      <c r="FK2152" s="36" t="str">
        <f>IF($FH2152="","",SUM($FN2152:$FN$7000))</f>
        <v/>
      </c>
    </row>
    <row r="2153" spans="152:167">
      <c r="EV2153" s="28">
        <f t="shared" si="67"/>
        <v>0</v>
      </c>
      <c r="FH2153" s="29" t="str">
        <f t="shared" si="68"/>
        <v/>
      </c>
      <c r="FJ2153" s="36" t="str">
        <f>IF($FH2153="","",SUM($FN2153:$FN$7000))</f>
        <v/>
      </c>
      <c r="FK2153" s="36" t="str">
        <f>IF($FH2153="","",SUM($FN2153:$FN$7000))</f>
        <v/>
      </c>
    </row>
    <row r="2154" spans="152:167">
      <c r="EV2154" s="28">
        <f t="shared" si="67"/>
        <v>0</v>
      </c>
      <c r="FH2154" s="29" t="str">
        <f t="shared" si="68"/>
        <v/>
      </c>
      <c r="FJ2154" s="36" t="str">
        <f>IF($FH2154="","",SUM($FN2154:$FN$7000))</f>
        <v/>
      </c>
      <c r="FK2154" s="36" t="str">
        <f>IF($FH2154="","",SUM($FN2154:$FN$7000))</f>
        <v/>
      </c>
    </row>
    <row r="2155" spans="152:167">
      <c r="EV2155" s="28">
        <f t="shared" si="67"/>
        <v>0</v>
      </c>
      <c r="FH2155" s="29" t="str">
        <f t="shared" si="68"/>
        <v/>
      </c>
      <c r="FJ2155" s="36" t="str">
        <f>IF($FH2155="","",SUM($FN2155:$FN$7000))</f>
        <v/>
      </c>
      <c r="FK2155" s="36" t="str">
        <f>IF($FH2155="","",SUM($FN2155:$FN$7000))</f>
        <v/>
      </c>
    </row>
    <row r="2156" spans="152:167">
      <c r="EV2156" s="28">
        <f t="shared" si="67"/>
        <v>0</v>
      </c>
      <c r="FH2156" s="29" t="str">
        <f t="shared" si="68"/>
        <v/>
      </c>
      <c r="FJ2156" s="36" t="str">
        <f>IF($FH2156="","",SUM($FN2156:$FN$7000))</f>
        <v/>
      </c>
      <c r="FK2156" s="36" t="str">
        <f>IF($FH2156="","",SUM($FN2156:$FN$7000))</f>
        <v/>
      </c>
    </row>
    <row r="2157" spans="152:167">
      <c r="EV2157" s="28">
        <f t="shared" si="67"/>
        <v>0</v>
      </c>
      <c r="FH2157" s="29" t="str">
        <f t="shared" si="68"/>
        <v/>
      </c>
      <c r="FJ2157" s="36" t="str">
        <f>IF($FH2157="","",SUM($FN2157:$FN$7000))</f>
        <v/>
      </c>
      <c r="FK2157" s="36" t="str">
        <f>IF($FH2157="","",SUM($FN2157:$FN$7000))</f>
        <v/>
      </c>
    </row>
    <row r="2158" spans="152:167">
      <c r="EV2158" s="28">
        <f t="shared" si="67"/>
        <v>0</v>
      </c>
      <c r="FH2158" s="29" t="str">
        <f t="shared" si="68"/>
        <v/>
      </c>
      <c r="FJ2158" s="36" t="str">
        <f>IF($FH2158="","",SUM($FN2158:$FN$7000))</f>
        <v/>
      </c>
      <c r="FK2158" s="36" t="str">
        <f>IF($FH2158="","",SUM($FN2158:$FN$7000))</f>
        <v/>
      </c>
    </row>
    <row r="2159" spans="152:167">
      <c r="EV2159" s="28">
        <f t="shared" si="67"/>
        <v>0</v>
      </c>
      <c r="FH2159" s="29" t="str">
        <f t="shared" si="68"/>
        <v/>
      </c>
      <c r="FJ2159" s="36" t="str">
        <f>IF($FH2159="","",SUM($FN2159:$FN$7000))</f>
        <v/>
      </c>
      <c r="FK2159" s="36" t="str">
        <f>IF($FH2159="","",SUM($FN2159:$FN$7000))</f>
        <v/>
      </c>
    </row>
    <row r="2160" spans="152:167">
      <c r="EV2160" s="28">
        <f t="shared" si="67"/>
        <v>0</v>
      </c>
      <c r="FH2160" s="29" t="str">
        <f t="shared" si="68"/>
        <v/>
      </c>
      <c r="FJ2160" s="36" t="str">
        <f>IF($FH2160="","",SUM($FN2160:$FN$7000))</f>
        <v/>
      </c>
      <c r="FK2160" s="36" t="str">
        <f>IF($FH2160="","",SUM($FN2160:$FN$7000))</f>
        <v/>
      </c>
    </row>
    <row r="2161" spans="152:167">
      <c r="EV2161" s="28">
        <f t="shared" si="67"/>
        <v>0</v>
      </c>
      <c r="FH2161" s="29" t="str">
        <f t="shared" si="68"/>
        <v/>
      </c>
      <c r="FJ2161" s="36" t="str">
        <f>IF($FH2161="","",SUM($FN2161:$FN$7000))</f>
        <v/>
      </c>
      <c r="FK2161" s="36" t="str">
        <f>IF($FH2161="","",SUM($FN2161:$FN$7000))</f>
        <v/>
      </c>
    </row>
    <row r="2162" spans="152:167">
      <c r="EV2162" s="28">
        <f t="shared" si="67"/>
        <v>0</v>
      </c>
      <c r="FH2162" s="29" t="str">
        <f t="shared" si="68"/>
        <v/>
      </c>
      <c r="FJ2162" s="36" t="str">
        <f>IF($FH2162="","",SUM($FN2162:$FN$7000))</f>
        <v/>
      </c>
      <c r="FK2162" s="36" t="str">
        <f>IF($FH2162="","",SUM($FN2162:$FN$7000))</f>
        <v/>
      </c>
    </row>
    <row r="2163" spans="152:167">
      <c r="EV2163" s="28">
        <f t="shared" si="67"/>
        <v>0</v>
      </c>
      <c r="FH2163" s="29" t="str">
        <f t="shared" si="68"/>
        <v/>
      </c>
      <c r="FJ2163" s="36" t="str">
        <f>IF($FH2163="","",SUM($FN2163:$FN$7000))</f>
        <v/>
      </c>
      <c r="FK2163" s="36" t="str">
        <f>IF($FH2163="","",SUM($FN2163:$FN$7000))</f>
        <v/>
      </c>
    </row>
    <row r="2164" spans="152:167">
      <c r="EV2164" s="28">
        <f t="shared" si="67"/>
        <v>0</v>
      </c>
      <c r="FH2164" s="29" t="str">
        <f t="shared" si="68"/>
        <v/>
      </c>
      <c r="FJ2164" s="36" t="str">
        <f>IF($FH2164="","",SUM($FN2164:$FN$7000))</f>
        <v/>
      </c>
      <c r="FK2164" s="36" t="str">
        <f>IF($FH2164="","",SUM($FN2164:$FN$7000))</f>
        <v/>
      </c>
    </row>
    <row r="2165" spans="152:167">
      <c r="EV2165" s="28">
        <f t="shared" si="67"/>
        <v>0</v>
      </c>
      <c r="FH2165" s="29" t="str">
        <f t="shared" si="68"/>
        <v/>
      </c>
      <c r="FJ2165" s="36" t="str">
        <f>IF($FH2165="","",SUM($FN2165:$FN$7000))</f>
        <v/>
      </c>
      <c r="FK2165" s="36" t="str">
        <f>IF($FH2165="","",SUM($FN2165:$FN$7000))</f>
        <v/>
      </c>
    </row>
    <row r="2166" spans="152:167">
      <c r="EV2166" s="28">
        <f t="shared" si="67"/>
        <v>0</v>
      </c>
      <c r="FH2166" s="29" t="str">
        <f t="shared" si="68"/>
        <v/>
      </c>
      <c r="FJ2166" s="36" t="str">
        <f>IF($FH2166="","",SUM($FN2166:$FN$7000))</f>
        <v/>
      </c>
      <c r="FK2166" s="36" t="str">
        <f>IF($FH2166="","",SUM($FN2166:$FN$7000))</f>
        <v/>
      </c>
    </row>
    <row r="2167" spans="152:167">
      <c r="EV2167" s="28">
        <f t="shared" si="67"/>
        <v>0</v>
      </c>
      <c r="FH2167" s="29" t="str">
        <f t="shared" si="68"/>
        <v/>
      </c>
      <c r="FJ2167" s="36" t="str">
        <f>IF($FH2167="","",SUM($FN2167:$FN$7000))</f>
        <v/>
      </c>
      <c r="FK2167" s="36" t="str">
        <f>IF($FH2167="","",SUM($FN2167:$FN$7000))</f>
        <v/>
      </c>
    </row>
    <row r="2168" spans="152:167">
      <c r="EV2168" s="28">
        <f t="shared" si="67"/>
        <v>0</v>
      </c>
      <c r="FH2168" s="29" t="str">
        <f t="shared" si="68"/>
        <v/>
      </c>
      <c r="FJ2168" s="36" t="str">
        <f>IF($FH2168="","",SUM($FN2168:$FN$7000))</f>
        <v/>
      </c>
      <c r="FK2168" s="36" t="str">
        <f>IF($FH2168="","",SUM($FN2168:$FN$7000))</f>
        <v/>
      </c>
    </row>
    <row r="2169" spans="152:167">
      <c r="EV2169" s="28">
        <f t="shared" si="67"/>
        <v>0</v>
      </c>
      <c r="FH2169" s="29" t="str">
        <f t="shared" si="68"/>
        <v/>
      </c>
      <c r="FJ2169" s="36" t="str">
        <f>IF($FH2169="","",SUM($FN2169:$FN$7000))</f>
        <v/>
      </c>
      <c r="FK2169" s="36" t="str">
        <f>IF($FH2169="","",SUM($FN2169:$FN$7000))</f>
        <v/>
      </c>
    </row>
    <row r="2170" spans="152:167">
      <c r="EV2170" s="28">
        <f t="shared" si="67"/>
        <v>0</v>
      </c>
      <c r="FH2170" s="29" t="str">
        <f t="shared" si="68"/>
        <v/>
      </c>
      <c r="FJ2170" s="36" t="str">
        <f>IF($FH2170="","",SUM($FN2170:$FN$7000))</f>
        <v/>
      </c>
      <c r="FK2170" s="36" t="str">
        <f>IF($FH2170="","",SUM($FN2170:$FN$7000))</f>
        <v/>
      </c>
    </row>
    <row r="2171" spans="152:167">
      <c r="EV2171" s="28">
        <f t="shared" si="67"/>
        <v>0</v>
      </c>
      <c r="FH2171" s="29" t="str">
        <f t="shared" si="68"/>
        <v/>
      </c>
      <c r="FJ2171" s="36" t="str">
        <f>IF($FH2171="","",SUM($FN2171:$FN$7000))</f>
        <v/>
      </c>
      <c r="FK2171" s="36" t="str">
        <f>IF($FH2171="","",SUM($FN2171:$FN$7000))</f>
        <v/>
      </c>
    </row>
    <row r="2172" spans="152:167">
      <c r="EV2172" s="28">
        <f t="shared" si="67"/>
        <v>0</v>
      </c>
      <c r="FH2172" s="29" t="str">
        <f t="shared" si="68"/>
        <v/>
      </c>
      <c r="FJ2172" s="36" t="str">
        <f>IF($FH2172="","",SUM($FN2172:$FN$7000))</f>
        <v/>
      </c>
      <c r="FK2172" s="36" t="str">
        <f>IF($FH2172="","",SUM($FN2172:$FN$7000))</f>
        <v/>
      </c>
    </row>
    <row r="2173" spans="152:167">
      <c r="EV2173" s="28">
        <f t="shared" si="67"/>
        <v>0</v>
      </c>
      <c r="FH2173" s="29" t="str">
        <f t="shared" si="68"/>
        <v/>
      </c>
      <c r="FJ2173" s="36" t="str">
        <f>IF($FH2173="","",SUM($FN2173:$FN$7000))</f>
        <v/>
      </c>
      <c r="FK2173" s="36" t="str">
        <f>IF($FH2173="","",SUM($FN2173:$FN$7000))</f>
        <v/>
      </c>
    </row>
    <row r="2174" spans="152:167">
      <c r="EV2174" s="28">
        <f t="shared" si="67"/>
        <v>0</v>
      </c>
      <c r="FH2174" s="29" t="str">
        <f t="shared" si="68"/>
        <v/>
      </c>
      <c r="FJ2174" s="36" t="str">
        <f>IF($FH2174="","",SUM($FN2174:$FN$7000))</f>
        <v/>
      </c>
      <c r="FK2174" s="36" t="str">
        <f>IF($FH2174="","",SUM($FN2174:$FN$7000))</f>
        <v/>
      </c>
    </row>
    <row r="2175" spans="152:167">
      <c r="EV2175" s="28">
        <f t="shared" si="67"/>
        <v>0</v>
      </c>
      <c r="FH2175" s="29" t="str">
        <f t="shared" si="68"/>
        <v/>
      </c>
      <c r="FJ2175" s="36" t="str">
        <f>IF($FH2175="","",SUM($FN2175:$FN$7000))</f>
        <v/>
      </c>
      <c r="FK2175" s="36" t="str">
        <f>IF($FH2175="","",SUM($FN2175:$FN$7000))</f>
        <v/>
      </c>
    </row>
    <row r="2176" spans="152:167">
      <c r="EV2176" s="28">
        <f t="shared" si="67"/>
        <v>0</v>
      </c>
      <c r="FH2176" s="29" t="str">
        <f t="shared" si="68"/>
        <v/>
      </c>
      <c r="FJ2176" s="36" t="str">
        <f>IF($FH2176="","",SUM($FN2176:$FN$7000))</f>
        <v/>
      </c>
      <c r="FK2176" s="36" t="str">
        <f>IF($FH2176="","",SUM($FN2176:$FN$7000))</f>
        <v/>
      </c>
    </row>
    <row r="2177" spans="152:167">
      <c r="EV2177" s="28">
        <f t="shared" si="67"/>
        <v>0</v>
      </c>
      <c r="FH2177" s="29" t="str">
        <f t="shared" si="68"/>
        <v/>
      </c>
      <c r="FJ2177" s="36" t="str">
        <f>IF($FH2177="","",SUM($FN2177:$FN$7000))</f>
        <v/>
      </c>
      <c r="FK2177" s="36" t="str">
        <f>IF($FH2177="","",SUM($FN2177:$FN$7000))</f>
        <v/>
      </c>
    </row>
    <row r="2178" spans="152:167">
      <c r="EV2178" s="28">
        <f t="shared" si="67"/>
        <v>0</v>
      </c>
      <c r="FH2178" s="29" t="str">
        <f t="shared" si="68"/>
        <v/>
      </c>
      <c r="FJ2178" s="36" t="str">
        <f>IF($FH2178="","",SUM($FN2178:$FN$7000))</f>
        <v/>
      </c>
      <c r="FK2178" s="36" t="str">
        <f>IF($FH2178="","",SUM($FN2178:$FN$7000))</f>
        <v/>
      </c>
    </row>
    <row r="2179" spans="152:167">
      <c r="EV2179" s="28">
        <f t="shared" si="67"/>
        <v>0</v>
      </c>
      <c r="FH2179" s="29" t="str">
        <f t="shared" si="68"/>
        <v/>
      </c>
      <c r="FJ2179" s="36" t="str">
        <f>IF($FH2179="","",SUM($FN2179:$FN$7000))</f>
        <v/>
      </c>
      <c r="FK2179" s="36" t="str">
        <f>IF($FH2179="","",SUM($FN2179:$FN$7000))</f>
        <v/>
      </c>
    </row>
    <row r="2180" spans="152:167">
      <c r="EV2180" s="28">
        <f t="shared" si="67"/>
        <v>0</v>
      </c>
      <c r="FH2180" s="29" t="str">
        <f t="shared" si="68"/>
        <v/>
      </c>
      <c r="FJ2180" s="36" t="str">
        <f>IF($FH2180="","",SUM($FN2180:$FN$7000))</f>
        <v/>
      </c>
      <c r="FK2180" s="36" t="str">
        <f>IF($FH2180="","",SUM($FN2180:$FN$7000))</f>
        <v/>
      </c>
    </row>
    <row r="2181" spans="152:167">
      <c r="EV2181" s="28">
        <f t="shared" si="67"/>
        <v>0</v>
      </c>
      <c r="FH2181" s="29" t="str">
        <f t="shared" si="68"/>
        <v/>
      </c>
      <c r="FJ2181" s="36" t="str">
        <f>IF($FH2181="","",SUM($FN2181:$FN$7000))</f>
        <v/>
      </c>
      <c r="FK2181" s="36" t="str">
        <f>IF($FH2181="","",SUM($FN2181:$FN$7000))</f>
        <v/>
      </c>
    </row>
    <row r="2182" spans="152:167">
      <c r="EV2182" s="28">
        <f t="shared" si="67"/>
        <v>0</v>
      </c>
      <c r="FH2182" s="29" t="str">
        <f t="shared" si="68"/>
        <v/>
      </c>
      <c r="FJ2182" s="36" t="str">
        <f>IF($FH2182="","",SUM($FN2182:$FN$7000))</f>
        <v/>
      </c>
      <c r="FK2182" s="36" t="str">
        <f>IF($FH2182="","",SUM($FN2182:$FN$7000))</f>
        <v/>
      </c>
    </row>
    <row r="2183" spans="152:167">
      <c r="EV2183" s="28">
        <f t="shared" si="67"/>
        <v>0</v>
      </c>
      <c r="FH2183" s="29" t="str">
        <f t="shared" si="68"/>
        <v/>
      </c>
      <c r="FJ2183" s="36" t="str">
        <f>IF($FH2183="","",SUM($FN2183:$FN$7000))</f>
        <v/>
      </c>
      <c r="FK2183" s="36" t="str">
        <f>IF($FH2183="","",SUM($FN2183:$FN$7000))</f>
        <v/>
      </c>
    </row>
    <row r="2184" spans="152:167">
      <c r="EV2184" s="28">
        <f t="shared" si="67"/>
        <v>0</v>
      </c>
      <c r="FH2184" s="29" t="str">
        <f t="shared" si="68"/>
        <v/>
      </c>
      <c r="FJ2184" s="36" t="str">
        <f>IF($FH2184="","",SUM($FN2184:$FN$7000))</f>
        <v/>
      </c>
      <c r="FK2184" s="36" t="str">
        <f>IF($FH2184="","",SUM($FN2184:$FN$7000))</f>
        <v/>
      </c>
    </row>
    <row r="2185" spans="152:167">
      <c r="EV2185" s="28">
        <f t="shared" si="67"/>
        <v>0</v>
      </c>
      <c r="FH2185" s="29" t="str">
        <f t="shared" si="68"/>
        <v/>
      </c>
      <c r="FJ2185" s="36" t="str">
        <f>IF($FH2185="","",SUM($FN2185:$FN$7000))</f>
        <v/>
      </c>
      <c r="FK2185" s="36" t="str">
        <f>IF($FH2185="","",SUM($FN2185:$FN$7000))</f>
        <v/>
      </c>
    </row>
    <row r="2186" spans="152:167">
      <c r="EV2186" s="28">
        <f t="shared" si="67"/>
        <v>0</v>
      </c>
      <c r="FH2186" s="29" t="str">
        <f t="shared" si="68"/>
        <v/>
      </c>
      <c r="FJ2186" s="36" t="str">
        <f>IF($FH2186="","",SUM($FN2186:$FN$7000))</f>
        <v/>
      </c>
      <c r="FK2186" s="36" t="str">
        <f>IF($FH2186="","",SUM($FN2186:$FN$7000))</f>
        <v/>
      </c>
    </row>
    <row r="2187" spans="152:167">
      <c r="EV2187" s="28">
        <f t="shared" ref="EV2187:EV2250" si="69">EU2187-ET2187</f>
        <v>0</v>
      </c>
      <c r="FH2187" s="29" t="str">
        <f t="shared" ref="FH2187:FH2250" si="70">IF(FL2187="","",FL2187)</f>
        <v/>
      </c>
      <c r="FJ2187" s="36" t="str">
        <f>IF($FH2187="","",SUM($FN2187:$FN$7000))</f>
        <v/>
      </c>
      <c r="FK2187" s="36" t="str">
        <f>IF($FH2187="","",SUM($FN2187:$FN$7000))</f>
        <v/>
      </c>
    </row>
    <row r="2188" spans="152:167">
      <c r="EV2188" s="28">
        <f t="shared" si="69"/>
        <v>0</v>
      </c>
      <c r="FH2188" s="29" t="str">
        <f t="shared" si="70"/>
        <v/>
      </c>
      <c r="FJ2188" s="36" t="str">
        <f>IF($FH2188="","",SUM($FN2188:$FN$7000))</f>
        <v/>
      </c>
      <c r="FK2188" s="36" t="str">
        <f>IF($FH2188="","",SUM($FN2188:$FN$7000))</f>
        <v/>
      </c>
    </row>
    <row r="2189" spans="152:167">
      <c r="EV2189" s="28">
        <f t="shared" si="69"/>
        <v>0</v>
      </c>
      <c r="FH2189" s="29" t="str">
        <f t="shared" si="70"/>
        <v/>
      </c>
      <c r="FJ2189" s="36" t="str">
        <f>IF($FH2189="","",SUM($FN2189:$FN$7000))</f>
        <v/>
      </c>
      <c r="FK2189" s="36" t="str">
        <f>IF($FH2189="","",SUM($FN2189:$FN$7000))</f>
        <v/>
      </c>
    </row>
    <row r="2190" spans="152:167">
      <c r="EV2190" s="28">
        <f t="shared" si="69"/>
        <v>0</v>
      </c>
      <c r="FH2190" s="29" t="str">
        <f t="shared" si="70"/>
        <v/>
      </c>
      <c r="FJ2190" s="36" t="str">
        <f>IF($FH2190="","",SUM($FN2190:$FN$7000))</f>
        <v/>
      </c>
      <c r="FK2190" s="36" t="str">
        <f>IF($FH2190="","",SUM($FN2190:$FN$7000))</f>
        <v/>
      </c>
    </row>
    <row r="2191" spans="152:167">
      <c r="EV2191" s="28">
        <f t="shared" si="69"/>
        <v>0</v>
      </c>
      <c r="FH2191" s="29" t="str">
        <f t="shared" si="70"/>
        <v/>
      </c>
      <c r="FJ2191" s="36" t="str">
        <f>IF($FH2191="","",SUM($FN2191:$FN$7000))</f>
        <v/>
      </c>
      <c r="FK2191" s="36" t="str">
        <f>IF($FH2191="","",SUM($FN2191:$FN$7000))</f>
        <v/>
      </c>
    </row>
    <row r="2192" spans="152:167">
      <c r="EV2192" s="28">
        <f t="shared" si="69"/>
        <v>0</v>
      </c>
      <c r="FH2192" s="29" t="str">
        <f t="shared" si="70"/>
        <v/>
      </c>
      <c r="FJ2192" s="36" t="str">
        <f>IF($FH2192="","",SUM($FN2192:$FN$7000))</f>
        <v/>
      </c>
      <c r="FK2192" s="36" t="str">
        <f>IF($FH2192="","",SUM($FN2192:$FN$7000))</f>
        <v/>
      </c>
    </row>
    <row r="2193" spans="152:167">
      <c r="EV2193" s="28">
        <f t="shared" si="69"/>
        <v>0</v>
      </c>
      <c r="FH2193" s="29" t="str">
        <f t="shared" si="70"/>
        <v/>
      </c>
      <c r="FJ2193" s="36" t="str">
        <f>IF($FH2193="","",SUM($FN2193:$FN$7000))</f>
        <v/>
      </c>
      <c r="FK2193" s="36" t="str">
        <f>IF($FH2193="","",SUM($FN2193:$FN$7000))</f>
        <v/>
      </c>
    </row>
    <row r="2194" spans="152:167">
      <c r="EV2194" s="28">
        <f t="shared" si="69"/>
        <v>0</v>
      </c>
      <c r="FH2194" s="29" t="str">
        <f t="shared" si="70"/>
        <v/>
      </c>
      <c r="FJ2194" s="36" t="str">
        <f>IF($FH2194="","",SUM($FN2194:$FN$7000))</f>
        <v/>
      </c>
      <c r="FK2194" s="36" t="str">
        <f>IF($FH2194="","",SUM($FN2194:$FN$7000))</f>
        <v/>
      </c>
    </row>
    <row r="2195" spans="152:167">
      <c r="EV2195" s="28">
        <f t="shared" si="69"/>
        <v>0</v>
      </c>
      <c r="FH2195" s="29" t="str">
        <f t="shared" si="70"/>
        <v/>
      </c>
      <c r="FJ2195" s="36" t="str">
        <f>IF($FH2195="","",SUM($FN2195:$FN$7000))</f>
        <v/>
      </c>
      <c r="FK2195" s="36" t="str">
        <f>IF($FH2195="","",SUM($FN2195:$FN$7000))</f>
        <v/>
      </c>
    </row>
    <row r="2196" spans="152:167">
      <c r="EV2196" s="28">
        <f t="shared" si="69"/>
        <v>0</v>
      </c>
      <c r="FH2196" s="29" t="str">
        <f t="shared" si="70"/>
        <v/>
      </c>
      <c r="FJ2196" s="36" t="str">
        <f>IF($FH2196="","",SUM($FN2196:$FN$7000))</f>
        <v/>
      </c>
      <c r="FK2196" s="36" t="str">
        <f>IF($FH2196="","",SUM($FN2196:$FN$7000))</f>
        <v/>
      </c>
    </row>
    <row r="2197" spans="152:167">
      <c r="EV2197" s="28">
        <f t="shared" si="69"/>
        <v>0</v>
      </c>
      <c r="FH2197" s="29" t="str">
        <f t="shared" si="70"/>
        <v/>
      </c>
      <c r="FJ2197" s="36" t="str">
        <f>IF($FH2197="","",SUM($FN2197:$FN$7000))</f>
        <v/>
      </c>
      <c r="FK2197" s="36" t="str">
        <f>IF($FH2197="","",SUM($FN2197:$FN$7000))</f>
        <v/>
      </c>
    </row>
    <row r="2198" spans="152:167">
      <c r="EV2198" s="28">
        <f t="shared" si="69"/>
        <v>0</v>
      </c>
      <c r="FH2198" s="29" t="str">
        <f t="shared" si="70"/>
        <v/>
      </c>
      <c r="FJ2198" s="36" t="str">
        <f>IF($FH2198="","",SUM($FN2198:$FN$7000))</f>
        <v/>
      </c>
      <c r="FK2198" s="36" t="str">
        <f>IF($FH2198="","",SUM($FN2198:$FN$7000))</f>
        <v/>
      </c>
    </row>
    <row r="2199" spans="152:167">
      <c r="EV2199" s="28">
        <f t="shared" si="69"/>
        <v>0</v>
      </c>
      <c r="FH2199" s="29" t="str">
        <f t="shared" si="70"/>
        <v/>
      </c>
      <c r="FJ2199" s="36" t="str">
        <f>IF($FH2199="","",SUM($FN2199:$FN$7000))</f>
        <v/>
      </c>
      <c r="FK2199" s="36" t="str">
        <f>IF($FH2199="","",SUM($FN2199:$FN$7000))</f>
        <v/>
      </c>
    </row>
    <row r="2200" spans="152:167">
      <c r="EV2200" s="28">
        <f t="shared" si="69"/>
        <v>0</v>
      </c>
      <c r="FH2200" s="29" t="str">
        <f t="shared" si="70"/>
        <v/>
      </c>
      <c r="FJ2200" s="36" t="str">
        <f>IF($FH2200="","",SUM($FN2200:$FN$7000))</f>
        <v/>
      </c>
      <c r="FK2200" s="36" t="str">
        <f>IF($FH2200="","",SUM($FN2200:$FN$7000))</f>
        <v/>
      </c>
    </row>
    <row r="2201" spans="152:167">
      <c r="EV2201" s="28">
        <f t="shared" si="69"/>
        <v>0</v>
      </c>
      <c r="FH2201" s="29" t="str">
        <f t="shared" si="70"/>
        <v/>
      </c>
      <c r="FJ2201" s="36" t="str">
        <f>IF($FH2201="","",SUM($FN2201:$FN$7000))</f>
        <v/>
      </c>
      <c r="FK2201" s="36" t="str">
        <f>IF($FH2201="","",SUM($FN2201:$FN$7000))</f>
        <v/>
      </c>
    </row>
    <row r="2202" spans="152:167">
      <c r="EV2202" s="28">
        <f t="shared" si="69"/>
        <v>0</v>
      </c>
      <c r="FH2202" s="29" t="str">
        <f t="shared" si="70"/>
        <v/>
      </c>
      <c r="FJ2202" s="36" t="str">
        <f>IF($FH2202="","",SUM($FN2202:$FN$7000))</f>
        <v/>
      </c>
      <c r="FK2202" s="36" t="str">
        <f>IF($FH2202="","",SUM($FN2202:$FN$7000))</f>
        <v/>
      </c>
    </row>
    <row r="2203" spans="152:167">
      <c r="EV2203" s="28">
        <f t="shared" si="69"/>
        <v>0</v>
      </c>
      <c r="FH2203" s="29" t="str">
        <f t="shared" si="70"/>
        <v/>
      </c>
      <c r="FJ2203" s="36" t="str">
        <f>IF($FH2203="","",SUM($FN2203:$FN$7000))</f>
        <v/>
      </c>
      <c r="FK2203" s="36" t="str">
        <f>IF($FH2203="","",SUM($FN2203:$FN$7000))</f>
        <v/>
      </c>
    </row>
    <row r="2204" spans="152:167">
      <c r="EV2204" s="28">
        <f t="shared" si="69"/>
        <v>0</v>
      </c>
      <c r="FH2204" s="29" t="str">
        <f t="shared" si="70"/>
        <v/>
      </c>
      <c r="FJ2204" s="36" t="str">
        <f>IF($FH2204="","",SUM($FN2204:$FN$7000))</f>
        <v/>
      </c>
      <c r="FK2204" s="36" t="str">
        <f>IF($FH2204="","",SUM($FN2204:$FN$7000))</f>
        <v/>
      </c>
    </row>
    <row r="2205" spans="152:167">
      <c r="EV2205" s="28">
        <f t="shared" si="69"/>
        <v>0</v>
      </c>
      <c r="FH2205" s="29" t="str">
        <f t="shared" si="70"/>
        <v/>
      </c>
      <c r="FJ2205" s="36" t="str">
        <f>IF($FH2205="","",SUM($FN2205:$FN$7000))</f>
        <v/>
      </c>
      <c r="FK2205" s="36" t="str">
        <f>IF($FH2205="","",SUM($FN2205:$FN$7000))</f>
        <v/>
      </c>
    </row>
    <row r="2206" spans="152:167">
      <c r="EV2206" s="28">
        <f t="shared" si="69"/>
        <v>0</v>
      </c>
      <c r="FH2206" s="29" t="str">
        <f t="shared" si="70"/>
        <v/>
      </c>
      <c r="FJ2206" s="36" t="str">
        <f>IF($FH2206="","",SUM($FN2206:$FN$7000))</f>
        <v/>
      </c>
      <c r="FK2206" s="36" t="str">
        <f>IF($FH2206="","",SUM($FN2206:$FN$7000))</f>
        <v/>
      </c>
    </row>
    <row r="2207" spans="152:167">
      <c r="EV2207" s="28">
        <f t="shared" si="69"/>
        <v>0</v>
      </c>
      <c r="FH2207" s="29" t="str">
        <f t="shared" si="70"/>
        <v/>
      </c>
      <c r="FJ2207" s="36" t="str">
        <f>IF($FH2207="","",SUM($FN2207:$FN$7000))</f>
        <v/>
      </c>
      <c r="FK2207" s="36" t="str">
        <f>IF($FH2207="","",SUM($FN2207:$FN$7000))</f>
        <v/>
      </c>
    </row>
    <row r="2208" spans="152:167">
      <c r="EV2208" s="28">
        <f t="shared" si="69"/>
        <v>0</v>
      </c>
      <c r="FH2208" s="29" t="str">
        <f t="shared" si="70"/>
        <v/>
      </c>
      <c r="FJ2208" s="36" t="str">
        <f>IF($FH2208="","",SUM($FN2208:$FN$7000))</f>
        <v/>
      </c>
      <c r="FK2208" s="36" t="str">
        <f>IF($FH2208="","",SUM($FN2208:$FN$7000))</f>
        <v/>
      </c>
    </row>
    <row r="2209" spans="152:167">
      <c r="EV2209" s="28">
        <f t="shared" si="69"/>
        <v>0</v>
      </c>
      <c r="FH2209" s="29" t="str">
        <f t="shared" si="70"/>
        <v/>
      </c>
      <c r="FJ2209" s="36" t="str">
        <f>IF($FH2209="","",SUM($FN2209:$FN$7000))</f>
        <v/>
      </c>
      <c r="FK2209" s="36" t="str">
        <f>IF($FH2209="","",SUM($FN2209:$FN$7000))</f>
        <v/>
      </c>
    </row>
    <row r="2210" spans="152:167">
      <c r="EV2210" s="28">
        <f t="shared" si="69"/>
        <v>0</v>
      </c>
      <c r="FH2210" s="29" t="str">
        <f t="shared" si="70"/>
        <v/>
      </c>
      <c r="FJ2210" s="36" t="str">
        <f>IF($FH2210="","",SUM($FN2210:$FN$7000))</f>
        <v/>
      </c>
      <c r="FK2210" s="36" t="str">
        <f>IF($FH2210="","",SUM($FN2210:$FN$7000))</f>
        <v/>
      </c>
    </row>
    <row r="2211" spans="152:167">
      <c r="EV2211" s="28">
        <f t="shared" si="69"/>
        <v>0</v>
      </c>
      <c r="FH2211" s="29" t="str">
        <f t="shared" si="70"/>
        <v/>
      </c>
      <c r="FJ2211" s="36" t="str">
        <f>IF($FH2211="","",SUM($FN2211:$FN$7000))</f>
        <v/>
      </c>
      <c r="FK2211" s="36" t="str">
        <f>IF($FH2211="","",SUM($FN2211:$FN$7000))</f>
        <v/>
      </c>
    </row>
    <row r="2212" spans="152:167">
      <c r="EV2212" s="28">
        <f t="shared" si="69"/>
        <v>0</v>
      </c>
      <c r="FH2212" s="29" t="str">
        <f t="shared" si="70"/>
        <v/>
      </c>
      <c r="FJ2212" s="36" t="str">
        <f>IF($FH2212="","",SUM($FN2212:$FN$7000))</f>
        <v/>
      </c>
      <c r="FK2212" s="36" t="str">
        <f>IF($FH2212="","",SUM($FN2212:$FN$7000))</f>
        <v/>
      </c>
    </row>
    <row r="2213" spans="152:167">
      <c r="EV2213" s="28">
        <f t="shared" si="69"/>
        <v>0</v>
      </c>
      <c r="FH2213" s="29" t="str">
        <f t="shared" si="70"/>
        <v/>
      </c>
      <c r="FJ2213" s="36" t="str">
        <f>IF($FH2213="","",SUM($FN2213:$FN$7000))</f>
        <v/>
      </c>
      <c r="FK2213" s="36" t="str">
        <f>IF($FH2213="","",SUM($FN2213:$FN$7000))</f>
        <v/>
      </c>
    </row>
    <row r="2214" spans="152:167">
      <c r="EV2214" s="28">
        <f t="shared" si="69"/>
        <v>0</v>
      </c>
      <c r="FH2214" s="29" t="str">
        <f t="shared" si="70"/>
        <v/>
      </c>
      <c r="FJ2214" s="36" t="str">
        <f>IF($FH2214="","",SUM($FN2214:$FN$7000))</f>
        <v/>
      </c>
      <c r="FK2214" s="36" t="str">
        <f>IF($FH2214="","",SUM($FN2214:$FN$7000))</f>
        <v/>
      </c>
    </row>
    <row r="2215" spans="152:167">
      <c r="EV2215" s="28">
        <f t="shared" si="69"/>
        <v>0</v>
      </c>
      <c r="FH2215" s="29" t="str">
        <f t="shared" si="70"/>
        <v/>
      </c>
      <c r="FJ2215" s="36" t="str">
        <f>IF($FH2215="","",SUM($FN2215:$FN$7000))</f>
        <v/>
      </c>
      <c r="FK2215" s="36" t="str">
        <f>IF($FH2215="","",SUM($FN2215:$FN$7000))</f>
        <v/>
      </c>
    </row>
    <row r="2216" spans="152:167">
      <c r="EV2216" s="28">
        <f t="shared" si="69"/>
        <v>0</v>
      </c>
      <c r="FH2216" s="29" t="str">
        <f t="shared" si="70"/>
        <v/>
      </c>
      <c r="FJ2216" s="36" t="str">
        <f>IF($FH2216="","",SUM($FN2216:$FN$7000))</f>
        <v/>
      </c>
      <c r="FK2216" s="36" t="str">
        <f>IF($FH2216="","",SUM($FN2216:$FN$7000))</f>
        <v/>
      </c>
    </row>
    <row r="2217" spans="152:167">
      <c r="EV2217" s="28">
        <f t="shared" si="69"/>
        <v>0</v>
      </c>
      <c r="FH2217" s="29" t="str">
        <f t="shared" si="70"/>
        <v/>
      </c>
      <c r="FJ2217" s="36" t="str">
        <f>IF($FH2217="","",SUM($FN2217:$FN$7000))</f>
        <v/>
      </c>
      <c r="FK2217" s="36" t="str">
        <f>IF($FH2217="","",SUM($FN2217:$FN$7000))</f>
        <v/>
      </c>
    </row>
    <row r="2218" spans="152:167">
      <c r="EV2218" s="28">
        <f t="shared" si="69"/>
        <v>0</v>
      </c>
      <c r="FH2218" s="29" t="str">
        <f t="shared" si="70"/>
        <v/>
      </c>
      <c r="FJ2218" s="36" t="str">
        <f>IF($FH2218="","",SUM($FN2218:$FN$7000))</f>
        <v/>
      </c>
      <c r="FK2218" s="36" t="str">
        <f>IF($FH2218="","",SUM($FN2218:$FN$7000))</f>
        <v/>
      </c>
    </row>
    <row r="2219" spans="152:167">
      <c r="EV2219" s="28">
        <f t="shared" si="69"/>
        <v>0</v>
      </c>
      <c r="FH2219" s="29" t="str">
        <f t="shared" si="70"/>
        <v/>
      </c>
      <c r="FJ2219" s="36" t="str">
        <f>IF($FH2219="","",SUM($FN2219:$FN$7000))</f>
        <v/>
      </c>
      <c r="FK2219" s="36" t="str">
        <f>IF($FH2219="","",SUM($FN2219:$FN$7000))</f>
        <v/>
      </c>
    </row>
    <row r="2220" spans="152:167">
      <c r="EV2220" s="28">
        <f t="shared" si="69"/>
        <v>0</v>
      </c>
      <c r="FH2220" s="29" t="str">
        <f t="shared" si="70"/>
        <v/>
      </c>
      <c r="FJ2220" s="36" t="str">
        <f>IF($FH2220="","",SUM($FN2220:$FN$7000))</f>
        <v/>
      </c>
      <c r="FK2220" s="36" t="str">
        <f>IF($FH2220="","",SUM($FN2220:$FN$7000))</f>
        <v/>
      </c>
    </row>
    <row r="2221" spans="152:167">
      <c r="EV2221" s="28">
        <f t="shared" si="69"/>
        <v>0</v>
      </c>
      <c r="FH2221" s="29" t="str">
        <f t="shared" si="70"/>
        <v/>
      </c>
      <c r="FJ2221" s="36" t="str">
        <f>IF($FH2221="","",SUM($FN2221:$FN$7000))</f>
        <v/>
      </c>
      <c r="FK2221" s="36" t="str">
        <f>IF($FH2221="","",SUM($FN2221:$FN$7000))</f>
        <v/>
      </c>
    </row>
    <row r="2222" spans="152:167">
      <c r="EV2222" s="28">
        <f t="shared" si="69"/>
        <v>0</v>
      </c>
      <c r="FH2222" s="29" t="str">
        <f t="shared" si="70"/>
        <v/>
      </c>
      <c r="FJ2222" s="36" t="str">
        <f>IF($FH2222="","",SUM($FN2222:$FN$7000))</f>
        <v/>
      </c>
      <c r="FK2222" s="36" t="str">
        <f>IF($FH2222="","",SUM($FN2222:$FN$7000))</f>
        <v/>
      </c>
    </row>
    <row r="2223" spans="152:167">
      <c r="EV2223" s="28">
        <f t="shared" si="69"/>
        <v>0</v>
      </c>
      <c r="FH2223" s="29" t="str">
        <f t="shared" si="70"/>
        <v/>
      </c>
      <c r="FJ2223" s="36" t="str">
        <f>IF($FH2223="","",SUM($FN2223:$FN$7000))</f>
        <v/>
      </c>
      <c r="FK2223" s="36" t="str">
        <f>IF($FH2223="","",SUM($FN2223:$FN$7000))</f>
        <v/>
      </c>
    </row>
    <row r="2224" spans="152:167">
      <c r="EV2224" s="28">
        <f t="shared" si="69"/>
        <v>0</v>
      </c>
      <c r="FH2224" s="29" t="str">
        <f t="shared" si="70"/>
        <v/>
      </c>
      <c r="FJ2224" s="36" t="str">
        <f>IF($FH2224="","",SUM($FN2224:$FN$7000))</f>
        <v/>
      </c>
      <c r="FK2224" s="36" t="str">
        <f>IF($FH2224="","",SUM($FN2224:$FN$7000))</f>
        <v/>
      </c>
    </row>
    <row r="2225" spans="152:167">
      <c r="EV2225" s="28">
        <f t="shared" si="69"/>
        <v>0</v>
      </c>
      <c r="FH2225" s="29" t="str">
        <f t="shared" si="70"/>
        <v/>
      </c>
      <c r="FJ2225" s="36" t="str">
        <f>IF($FH2225="","",SUM($FN2225:$FN$7000))</f>
        <v/>
      </c>
      <c r="FK2225" s="36" t="str">
        <f>IF($FH2225="","",SUM($FN2225:$FN$7000))</f>
        <v/>
      </c>
    </row>
    <row r="2226" spans="152:167">
      <c r="EV2226" s="28">
        <f t="shared" si="69"/>
        <v>0</v>
      </c>
      <c r="FH2226" s="29" t="str">
        <f t="shared" si="70"/>
        <v/>
      </c>
      <c r="FJ2226" s="36" t="str">
        <f>IF($FH2226="","",SUM($FN2226:$FN$7000))</f>
        <v/>
      </c>
      <c r="FK2226" s="36" t="str">
        <f>IF($FH2226="","",SUM($FN2226:$FN$7000))</f>
        <v/>
      </c>
    </row>
    <row r="2227" spans="152:167">
      <c r="EV2227" s="28">
        <f t="shared" si="69"/>
        <v>0</v>
      </c>
      <c r="FH2227" s="29" t="str">
        <f t="shared" si="70"/>
        <v/>
      </c>
      <c r="FJ2227" s="36" t="str">
        <f>IF($FH2227="","",SUM($FN2227:$FN$7000))</f>
        <v/>
      </c>
      <c r="FK2227" s="36" t="str">
        <f>IF($FH2227="","",SUM($FN2227:$FN$7000))</f>
        <v/>
      </c>
    </row>
    <row r="2228" spans="152:167">
      <c r="EV2228" s="28">
        <f t="shared" si="69"/>
        <v>0</v>
      </c>
      <c r="FH2228" s="29" t="str">
        <f t="shared" si="70"/>
        <v/>
      </c>
      <c r="FJ2228" s="36" t="str">
        <f>IF($FH2228="","",SUM($FN2228:$FN$7000))</f>
        <v/>
      </c>
      <c r="FK2228" s="36" t="str">
        <f>IF($FH2228="","",SUM($FN2228:$FN$7000))</f>
        <v/>
      </c>
    </row>
    <row r="2229" spans="152:167">
      <c r="EV2229" s="28">
        <f t="shared" si="69"/>
        <v>0</v>
      </c>
      <c r="FH2229" s="29" t="str">
        <f t="shared" si="70"/>
        <v/>
      </c>
      <c r="FJ2229" s="36" t="str">
        <f>IF($FH2229="","",SUM($FN2229:$FN$7000))</f>
        <v/>
      </c>
      <c r="FK2229" s="36" t="str">
        <f>IF($FH2229="","",SUM($FN2229:$FN$7000))</f>
        <v/>
      </c>
    </row>
    <row r="2230" spans="152:167">
      <c r="EV2230" s="28">
        <f t="shared" si="69"/>
        <v>0</v>
      </c>
      <c r="FH2230" s="29" t="str">
        <f t="shared" si="70"/>
        <v/>
      </c>
      <c r="FJ2230" s="36" t="str">
        <f>IF($FH2230="","",SUM($FN2230:$FN$7000))</f>
        <v/>
      </c>
      <c r="FK2230" s="36" t="str">
        <f>IF($FH2230="","",SUM($FN2230:$FN$7000))</f>
        <v/>
      </c>
    </row>
    <row r="2231" spans="152:167">
      <c r="EV2231" s="28">
        <f t="shared" si="69"/>
        <v>0</v>
      </c>
      <c r="FH2231" s="29" t="str">
        <f t="shared" si="70"/>
        <v/>
      </c>
      <c r="FJ2231" s="36" t="str">
        <f>IF($FH2231="","",SUM($FN2231:$FN$7000))</f>
        <v/>
      </c>
      <c r="FK2231" s="36" t="str">
        <f>IF($FH2231="","",SUM($FN2231:$FN$7000))</f>
        <v/>
      </c>
    </row>
    <row r="2232" spans="152:167">
      <c r="EV2232" s="28">
        <f t="shared" si="69"/>
        <v>0</v>
      </c>
      <c r="FH2232" s="29" t="str">
        <f t="shared" si="70"/>
        <v/>
      </c>
      <c r="FJ2232" s="36" t="str">
        <f>IF($FH2232="","",SUM($FN2232:$FN$7000))</f>
        <v/>
      </c>
      <c r="FK2232" s="36" t="str">
        <f>IF($FH2232="","",SUM($FN2232:$FN$7000))</f>
        <v/>
      </c>
    </row>
    <row r="2233" spans="152:167">
      <c r="EV2233" s="28">
        <f t="shared" si="69"/>
        <v>0</v>
      </c>
      <c r="FH2233" s="29" t="str">
        <f t="shared" si="70"/>
        <v/>
      </c>
      <c r="FJ2233" s="36" t="str">
        <f>IF($FH2233="","",SUM($FN2233:$FN$7000))</f>
        <v/>
      </c>
      <c r="FK2233" s="36" t="str">
        <f>IF($FH2233="","",SUM($FN2233:$FN$7000))</f>
        <v/>
      </c>
    </row>
    <row r="2234" spans="152:167">
      <c r="EV2234" s="28">
        <f t="shared" si="69"/>
        <v>0</v>
      </c>
      <c r="FH2234" s="29" t="str">
        <f t="shared" si="70"/>
        <v/>
      </c>
      <c r="FJ2234" s="36" t="str">
        <f>IF($FH2234="","",SUM($FN2234:$FN$7000))</f>
        <v/>
      </c>
      <c r="FK2234" s="36" t="str">
        <f>IF($FH2234="","",SUM($FN2234:$FN$7000))</f>
        <v/>
      </c>
    </row>
    <row r="2235" spans="152:167">
      <c r="EV2235" s="28">
        <f t="shared" si="69"/>
        <v>0</v>
      </c>
      <c r="FH2235" s="29" t="str">
        <f t="shared" si="70"/>
        <v/>
      </c>
      <c r="FJ2235" s="36" t="str">
        <f>IF($FH2235="","",SUM($FN2235:$FN$7000))</f>
        <v/>
      </c>
      <c r="FK2235" s="36" t="str">
        <f>IF($FH2235="","",SUM($FN2235:$FN$7000))</f>
        <v/>
      </c>
    </row>
    <row r="2236" spans="152:167">
      <c r="EV2236" s="28">
        <f t="shared" si="69"/>
        <v>0</v>
      </c>
      <c r="FH2236" s="29" t="str">
        <f t="shared" si="70"/>
        <v/>
      </c>
      <c r="FJ2236" s="36" t="str">
        <f>IF($FH2236="","",SUM($FN2236:$FN$7000))</f>
        <v/>
      </c>
      <c r="FK2236" s="36" t="str">
        <f>IF($FH2236="","",SUM($FN2236:$FN$7000))</f>
        <v/>
      </c>
    </row>
    <row r="2237" spans="152:167">
      <c r="EV2237" s="28">
        <f t="shared" si="69"/>
        <v>0</v>
      </c>
      <c r="FH2237" s="29" t="str">
        <f t="shared" si="70"/>
        <v/>
      </c>
      <c r="FJ2237" s="36" t="str">
        <f>IF($FH2237="","",SUM($FN2237:$FN$7000))</f>
        <v/>
      </c>
      <c r="FK2237" s="36" t="str">
        <f>IF($FH2237="","",SUM($FN2237:$FN$7000))</f>
        <v/>
      </c>
    </row>
    <row r="2238" spans="152:167">
      <c r="EV2238" s="28">
        <f t="shared" si="69"/>
        <v>0</v>
      </c>
      <c r="FH2238" s="29" t="str">
        <f t="shared" si="70"/>
        <v/>
      </c>
      <c r="FJ2238" s="36" t="str">
        <f>IF($FH2238="","",SUM($FN2238:$FN$7000))</f>
        <v/>
      </c>
      <c r="FK2238" s="36" t="str">
        <f>IF($FH2238="","",SUM($FN2238:$FN$7000))</f>
        <v/>
      </c>
    </row>
    <row r="2239" spans="152:167">
      <c r="EV2239" s="28">
        <f t="shared" si="69"/>
        <v>0</v>
      </c>
      <c r="FH2239" s="29" t="str">
        <f t="shared" si="70"/>
        <v/>
      </c>
      <c r="FJ2239" s="36" t="str">
        <f>IF($FH2239="","",SUM($FN2239:$FN$7000))</f>
        <v/>
      </c>
      <c r="FK2239" s="36" t="str">
        <f>IF($FH2239="","",SUM($FN2239:$FN$7000))</f>
        <v/>
      </c>
    </row>
    <row r="2240" spans="152:167">
      <c r="EV2240" s="28">
        <f t="shared" si="69"/>
        <v>0</v>
      </c>
      <c r="FH2240" s="29" t="str">
        <f t="shared" si="70"/>
        <v/>
      </c>
      <c r="FJ2240" s="36" t="str">
        <f>IF($FH2240="","",SUM($FN2240:$FN$7000))</f>
        <v/>
      </c>
      <c r="FK2240" s="36" t="str">
        <f>IF($FH2240="","",SUM($FN2240:$FN$7000))</f>
        <v/>
      </c>
    </row>
    <row r="2241" spans="152:167">
      <c r="EV2241" s="28">
        <f t="shared" si="69"/>
        <v>0</v>
      </c>
      <c r="FH2241" s="29" t="str">
        <f t="shared" si="70"/>
        <v/>
      </c>
      <c r="FJ2241" s="36" t="str">
        <f>IF($FH2241="","",SUM($FN2241:$FN$7000))</f>
        <v/>
      </c>
      <c r="FK2241" s="36" t="str">
        <f>IF($FH2241="","",SUM($FN2241:$FN$7000))</f>
        <v/>
      </c>
    </row>
    <row r="2242" spans="152:167">
      <c r="EV2242" s="28">
        <f t="shared" si="69"/>
        <v>0</v>
      </c>
      <c r="FH2242" s="29" t="str">
        <f t="shared" si="70"/>
        <v/>
      </c>
      <c r="FJ2242" s="36" t="str">
        <f>IF($FH2242="","",SUM($FN2242:$FN$7000))</f>
        <v/>
      </c>
      <c r="FK2242" s="36" t="str">
        <f>IF($FH2242="","",SUM($FN2242:$FN$7000))</f>
        <v/>
      </c>
    </row>
    <row r="2243" spans="152:167">
      <c r="EV2243" s="28">
        <f t="shared" si="69"/>
        <v>0</v>
      </c>
      <c r="FH2243" s="29" t="str">
        <f t="shared" si="70"/>
        <v/>
      </c>
      <c r="FJ2243" s="36" t="str">
        <f>IF($FH2243="","",SUM($FN2243:$FN$7000))</f>
        <v/>
      </c>
      <c r="FK2243" s="36" t="str">
        <f>IF($FH2243="","",SUM($FN2243:$FN$7000))</f>
        <v/>
      </c>
    </row>
    <row r="2244" spans="152:167">
      <c r="EV2244" s="28">
        <f t="shared" si="69"/>
        <v>0</v>
      </c>
      <c r="FH2244" s="29" t="str">
        <f t="shared" si="70"/>
        <v/>
      </c>
      <c r="FJ2244" s="36" t="str">
        <f>IF($FH2244="","",SUM($FN2244:$FN$7000))</f>
        <v/>
      </c>
      <c r="FK2244" s="36" t="str">
        <f>IF($FH2244="","",SUM($FN2244:$FN$7000))</f>
        <v/>
      </c>
    </row>
    <row r="2245" spans="152:167">
      <c r="EV2245" s="28">
        <f t="shared" si="69"/>
        <v>0</v>
      </c>
      <c r="FH2245" s="29" t="str">
        <f t="shared" si="70"/>
        <v/>
      </c>
      <c r="FJ2245" s="36" t="str">
        <f>IF($FH2245="","",SUM($FN2245:$FN$7000))</f>
        <v/>
      </c>
      <c r="FK2245" s="36" t="str">
        <f>IF($FH2245="","",SUM($FN2245:$FN$7000))</f>
        <v/>
      </c>
    </row>
    <row r="2246" spans="152:167">
      <c r="EV2246" s="28">
        <f t="shared" si="69"/>
        <v>0</v>
      </c>
      <c r="FH2246" s="29" t="str">
        <f t="shared" si="70"/>
        <v/>
      </c>
      <c r="FJ2246" s="36" t="str">
        <f>IF($FH2246="","",SUM($FN2246:$FN$7000))</f>
        <v/>
      </c>
      <c r="FK2246" s="36" t="str">
        <f>IF($FH2246="","",SUM($FN2246:$FN$7000))</f>
        <v/>
      </c>
    </row>
    <row r="2247" spans="152:167">
      <c r="EV2247" s="28">
        <f t="shared" si="69"/>
        <v>0</v>
      </c>
      <c r="FH2247" s="29" t="str">
        <f t="shared" si="70"/>
        <v/>
      </c>
      <c r="FJ2247" s="36" t="str">
        <f>IF($FH2247="","",SUM($FN2247:$FN$7000))</f>
        <v/>
      </c>
      <c r="FK2247" s="36" t="str">
        <f>IF($FH2247="","",SUM($FN2247:$FN$7000))</f>
        <v/>
      </c>
    </row>
    <row r="2248" spans="152:167">
      <c r="EV2248" s="28">
        <f t="shared" si="69"/>
        <v>0</v>
      </c>
      <c r="FH2248" s="29" t="str">
        <f t="shared" si="70"/>
        <v/>
      </c>
      <c r="FJ2248" s="36" t="str">
        <f>IF($FH2248="","",SUM($FN2248:$FN$7000))</f>
        <v/>
      </c>
      <c r="FK2248" s="36" t="str">
        <f>IF($FH2248="","",SUM($FN2248:$FN$7000))</f>
        <v/>
      </c>
    </row>
    <row r="2249" spans="152:167">
      <c r="EV2249" s="28">
        <f t="shared" si="69"/>
        <v>0</v>
      </c>
      <c r="FH2249" s="29" t="str">
        <f t="shared" si="70"/>
        <v/>
      </c>
      <c r="FJ2249" s="36" t="str">
        <f>IF($FH2249="","",SUM($FN2249:$FN$7000))</f>
        <v/>
      </c>
      <c r="FK2249" s="36" t="str">
        <f>IF($FH2249="","",SUM($FN2249:$FN$7000))</f>
        <v/>
      </c>
    </row>
    <row r="2250" spans="152:167">
      <c r="EV2250" s="28">
        <f t="shared" si="69"/>
        <v>0</v>
      </c>
      <c r="FH2250" s="29" t="str">
        <f t="shared" si="70"/>
        <v/>
      </c>
      <c r="FJ2250" s="36" t="str">
        <f>IF($FH2250="","",SUM($FN2250:$FN$7000))</f>
        <v/>
      </c>
      <c r="FK2250" s="36" t="str">
        <f>IF($FH2250="","",SUM($FN2250:$FN$7000))</f>
        <v/>
      </c>
    </row>
    <row r="2251" spans="152:167">
      <c r="EV2251" s="28">
        <f t="shared" ref="EV2251:EV2314" si="71">EU2251-ET2251</f>
        <v>0</v>
      </c>
      <c r="FH2251" s="29" t="str">
        <f t="shared" ref="FH2251:FH2314" si="72">IF(FL2251="","",FL2251)</f>
        <v/>
      </c>
      <c r="FJ2251" s="36" t="str">
        <f>IF($FH2251="","",SUM($FN2251:$FN$7000))</f>
        <v/>
      </c>
      <c r="FK2251" s="36" t="str">
        <f>IF($FH2251="","",SUM($FN2251:$FN$7000))</f>
        <v/>
      </c>
    </row>
    <row r="2252" spans="152:167">
      <c r="EV2252" s="28">
        <f t="shared" si="71"/>
        <v>0</v>
      </c>
      <c r="FH2252" s="29" t="str">
        <f t="shared" si="72"/>
        <v/>
      </c>
      <c r="FJ2252" s="36" t="str">
        <f>IF($FH2252="","",SUM($FN2252:$FN$7000))</f>
        <v/>
      </c>
      <c r="FK2252" s="36" t="str">
        <f>IF($FH2252="","",SUM($FN2252:$FN$7000))</f>
        <v/>
      </c>
    </row>
    <row r="2253" spans="152:167">
      <c r="EV2253" s="28">
        <f t="shared" si="71"/>
        <v>0</v>
      </c>
      <c r="FH2253" s="29" t="str">
        <f t="shared" si="72"/>
        <v/>
      </c>
      <c r="FJ2253" s="36" t="str">
        <f>IF($FH2253="","",SUM($FN2253:$FN$7000))</f>
        <v/>
      </c>
      <c r="FK2253" s="36" t="str">
        <f>IF($FH2253="","",SUM($FN2253:$FN$7000))</f>
        <v/>
      </c>
    </row>
    <row r="2254" spans="152:167">
      <c r="EV2254" s="28">
        <f t="shared" si="71"/>
        <v>0</v>
      </c>
      <c r="FH2254" s="29" t="str">
        <f t="shared" si="72"/>
        <v/>
      </c>
      <c r="FJ2254" s="36" t="str">
        <f>IF($FH2254="","",SUM($FN2254:$FN$7000))</f>
        <v/>
      </c>
      <c r="FK2254" s="36" t="str">
        <f>IF($FH2254="","",SUM($FN2254:$FN$7000))</f>
        <v/>
      </c>
    </row>
    <row r="2255" spans="152:167">
      <c r="EV2255" s="28">
        <f t="shared" si="71"/>
        <v>0</v>
      </c>
      <c r="FH2255" s="29" t="str">
        <f t="shared" si="72"/>
        <v/>
      </c>
      <c r="FJ2255" s="36" t="str">
        <f>IF($FH2255="","",SUM($FN2255:$FN$7000))</f>
        <v/>
      </c>
      <c r="FK2255" s="36" t="str">
        <f>IF($FH2255="","",SUM($FN2255:$FN$7000))</f>
        <v/>
      </c>
    </row>
    <row r="2256" spans="152:167">
      <c r="EV2256" s="28">
        <f t="shared" si="71"/>
        <v>0</v>
      </c>
      <c r="FH2256" s="29" t="str">
        <f t="shared" si="72"/>
        <v/>
      </c>
      <c r="FJ2256" s="36" t="str">
        <f>IF($FH2256="","",SUM($FN2256:$FN$7000))</f>
        <v/>
      </c>
      <c r="FK2256" s="36" t="str">
        <f>IF($FH2256="","",SUM($FN2256:$FN$7000))</f>
        <v/>
      </c>
    </row>
    <row r="2257" spans="152:167">
      <c r="EV2257" s="28">
        <f t="shared" si="71"/>
        <v>0</v>
      </c>
      <c r="FH2257" s="29" t="str">
        <f t="shared" si="72"/>
        <v/>
      </c>
      <c r="FJ2257" s="36" t="str">
        <f>IF($FH2257="","",SUM($FN2257:$FN$7000))</f>
        <v/>
      </c>
      <c r="FK2257" s="36" t="str">
        <f>IF($FH2257="","",SUM($FN2257:$FN$7000))</f>
        <v/>
      </c>
    </row>
    <row r="2258" spans="152:167">
      <c r="EV2258" s="28">
        <f t="shared" si="71"/>
        <v>0</v>
      </c>
      <c r="FH2258" s="29" t="str">
        <f t="shared" si="72"/>
        <v/>
      </c>
      <c r="FJ2258" s="36" t="str">
        <f>IF($FH2258="","",SUM($FN2258:$FN$7000))</f>
        <v/>
      </c>
      <c r="FK2258" s="36" t="str">
        <f>IF($FH2258="","",SUM($FN2258:$FN$7000))</f>
        <v/>
      </c>
    </row>
    <row r="2259" spans="152:167">
      <c r="EV2259" s="28">
        <f t="shared" si="71"/>
        <v>0</v>
      </c>
      <c r="FH2259" s="29" t="str">
        <f t="shared" si="72"/>
        <v/>
      </c>
      <c r="FJ2259" s="36" t="str">
        <f>IF($FH2259="","",SUM($FN2259:$FN$7000))</f>
        <v/>
      </c>
      <c r="FK2259" s="36" t="str">
        <f>IF($FH2259="","",SUM($FN2259:$FN$7000))</f>
        <v/>
      </c>
    </row>
    <row r="2260" spans="152:167">
      <c r="EV2260" s="28">
        <f t="shared" si="71"/>
        <v>0</v>
      </c>
      <c r="FH2260" s="29" t="str">
        <f t="shared" si="72"/>
        <v/>
      </c>
      <c r="FJ2260" s="36" t="str">
        <f>IF($FH2260="","",SUM($FN2260:$FN$7000))</f>
        <v/>
      </c>
      <c r="FK2260" s="36" t="str">
        <f>IF($FH2260="","",SUM($FN2260:$FN$7000))</f>
        <v/>
      </c>
    </row>
    <row r="2261" spans="152:167">
      <c r="EV2261" s="28">
        <f t="shared" si="71"/>
        <v>0</v>
      </c>
      <c r="FH2261" s="29" t="str">
        <f t="shared" si="72"/>
        <v/>
      </c>
      <c r="FJ2261" s="36" t="str">
        <f>IF($FH2261="","",SUM($FN2261:$FN$7000))</f>
        <v/>
      </c>
      <c r="FK2261" s="36" t="str">
        <f>IF($FH2261="","",SUM($FN2261:$FN$7000))</f>
        <v/>
      </c>
    </row>
    <row r="2262" spans="152:167">
      <c r="EV2262" s="28">
        <f t="shared" si="71"/>
        <v>0</v>
      </c>
      <c r="FH2262" s="29" t="str">
        <f t="shared" si="72"/>
        <v/>
      </c>
      <c r="FJ2262" s="36" t="str">
        <f>IF($FH2262="","",SUM($FN2262:$FN$7000))</f>
        <v/>
      </c>
      <c r="FK2262" s="36" t="str">
        <f>IF($FH2262="","",SUM($FN2262:$FN$7000))</f>
        <v/>
      </c>
    </row>
    <row r="2263" spans="152:167">
      <c r="EV2263" s="28">
        <f t="shared" si="71"/>
        <v>0</v>
      </c>
      <c r="FH2263" s="29" t="str">
        <f t="shared" si="72"/>
        <v/>
      </c>
      <c r="FJ2263" s="36" t="str">
        <f>IF($FH2263="","",SUM($FN2263:$FN$7000))</f>
        <v/>
      </c>
      <c r="FK2263" s="36" t="str">
        <f>IF($FH2263="","",SUM($FN2263:$FN$7000))</f>
        <v/>
      </c>
    </row>
    <row r="2264" spans="152:167">
      <c r="EV2264" s="28">
        <f t="shared" si="71"/>
        <v>0</v>
      </c>
      <c r="FH2264" s="29" t="str">
        <f t="shared" si="72"/>
        <v/>
      </c>
      <c r="FJ2264" s="36" t="str">
        <f>IF($FH2264="","",SUM($FN2264:$FN$7000))</f>
        <v/>
      </c>
      <c r="FK2264" s="36" t="str">
        <f>IF($FH2264="","",SUM($FN2264:$FN$7000))</f>
        <v/>
      </c>
    </row>
    <row r="2265" spans="152:167">
      <c r="EV2265" s="28">
        <f t="shared" si="71"/>
        <v>0</v>
      </c>
      <c r="FH2265" s="29" t="str">
        <f t="shared" si="72"/>
        <v/>
      </c>
      <c r="FJ2265" s="36" t="str">
        <f>IF($FH2265="","",SUM($FN2265:$FN$7000))</f>
        <v/>
      </c>
      <c r="FK2265" s="36" t="str">
        <f>IF($FH2265="","",SUM($FN2265:$FN$7000))</f>
        <v/>
      </c>
    </row>
    <row r="2266" spans="152:167">
      <c r="EV2266" s="28">
        <f t="shared" si="71"/>
        <v>0</v>
      </c>
      <c r="FH2266" s="29" t="str">
        <f t="shared" si="72"/>
        <v/>
      </c>
      <c r="FJ2266" s="36" t="str">
        <f>IF($FH2266="","",SUM($FN2266:$FN$7000))</f>
        <v/>
      </c>
      <c r="FK2266" s="36" t="str">
        <f>IF($FH2266="","",SUM($FN2266:$FN$7000))</f>
        <v/>
      </c>
    </row>
    <row r="2267" spans="152:167">
      <c r="EV2267" s="28">
        <f t="shared" si="71"/>
        <v>0</v>
      </c>
      <c r="FH2267" s="29" t="str">
        <f t="shared" si="72"/>
        <v/>
      </c>
      <c r="FJ2267" s="36" t="str">
        <f>IF($FH2267="","",SUM($FN2267:$FN$7000))</f>
        <v/>
      </c>
      <c r="FK2267" s="36" t="str">
        <f>IF($FH2267="","",SUM($FN2267:$FN$7000))</f>
        <v/>
      </c>
    </row>
    <row r="2268" spans="152:167">
      <c r="EV2268" s="28">
        <f t="shared" si="71"/>
        <v>0</v>
      </c>
      <c r="FH2268" s="29" t="str">
        <f t="shared" si="72"/>
        <v/>
      </c>
      <c r="FJ2268" s="36" t="str">
        <f>IF($FH2268="","",SUM($FN2268:$FN$7000))</f>
        <v/>
      </c>
      <c r="FK2268" s="36" t="str">
        <f>IF($FH2268="","",SUM($FN2268:$FN$7000))</f>
        <v/>
      </c>
    </row>
    <row r="2269" spans="152:167">
      <c r="EV2269" s="28">
        <f t="shared" si="71"/>
        <v>0</v>
      </c>
      <c r="FH2269" s="29" t="str">
        <f t="shared" si="72"/>
        <v/>
      </c>
      <c r="FJ2269" s="36" t="str">
        <f>IF($FH2269="","",SUM($FN2269:$FN$7000))</f>
        <v/>
      </c>
      <c r="FK2269" s="36" t="str">
        <f>IF($FH2269="","",SUM($FN2269:$FN$7000))</f>
        <v/>
      </c>
    </row>
    <row r="2270" spans="152:167">
      <c r="EV2270" s="28">
        <f t="shared" si="71"/>
        <v>0</v>
      </c>
      <c r="FH2270" s="29" t="str">
        <f t="shared" si="72"/>
        <v/>
      </c>
      <c r="FJ2270" s="36" t="str">
        <f>IF($FH2270="","",SUM($FN2270:$FN$7000))</f>
        <v/>
      </c>
      <c r="FK2270" s="36" t="str">
        <f>IF($FH2270="","",SUM($FN2270:$FN$7000))</f>
        <v/>
      </c>
    </row>
    <row r="2271" spans="152:167">
      <c r="EV2271" s="28">
        <f t="shared" si="71"/>
        <v>0</v>
      </c>
      <c r="FH2271" s="29" t="str">
        <f t="shared" si="72"/>
        <v/>
      </c>
      <c r="FJ2271" s="36" t="str">
        <f>IF($FH2271="","",SUM($FN2271:$FN$7000))</f>
        <v/>
      </c>
      <c r="FK2271" s="36" t="str">
        <f>IF($FH2271="","",SUM($FN2271:$FN$7000))</f>
        <v/>
      </c>
    </row>
    <row r="2272" spans="152:167">
      <c r="EV2272" s="28">
        <f t="shared" si="71"/>
        <v>0</v>
      </c>
      <c r="FH2272" s="29" t="str">
        <f t="shared" si="72"/>
        <v/>
      </c>
      <c r="FJ2272" s="36" t="str">
        <f>IF($FH2272="","",SUM($FN2272:$FN$7000))</f>
        <v/>
      </c>
      <c r="FK2272" s="36" t="str">
        <f>IF($FH2272="","",SUM($FN2272:$FN$7000))</f>
        <v/>
      </c>
    </row>
    <row r="2273" spans="152:167">
      <c r="EV2273" s="28">
        <f t="shared" si="71"/>
        <v>0</v>
      </c>
      <c r="FH2273" s="29" t="str">
        <f t="shared" si="72"/>
        <v/>
      </c>
      <c r="FJ2273" s="36" t="str">
        <f>IF($FH2273="","",SUM($FN2273:$FN$7000))</f>
        <v/>
      </c>
      <c r="FK2273" s="36" t="str">
        <f>IF($FH2273="","",SUM($FN2273:$FN$7000))</f>
        <v/>
      </c>
    </row>
    <row r="2274" spans="152:167">
      <c r="EV2274" s="28">
        <f t="shared" si="71"/>
        <v>0</v>
      </c>
      <c r="FH2274" s="29" t="str">
        <f t="shared" si="72"/>
        <v/>
      </c>
      <c r="FJ2274" s="36" t="str">
        <f>IF($FH2274="","",SUM($FN2274:$FN$7000))</f>
        <v/>
      </c>
      <c r="FK2274" s="36" t="str">
        <f>IF($FH2274="","",SUM($FN2274:$FN$7000))</f>
        <v/>
      </c>
    </row>
    <row r="2275" spans="152:167">
      <c r="EV2275" s="28">
        <f t="shared" si="71"/>
        <v>0</v>
      </c>
      <c r="FH2275" s="29" t="str">
        <f t="shared" si="72"/>
        <v/>
      </c>
      <c r="FJ2275" s="36" t="str">
        <f>IF($FH2275="","",SUM($FN2275:$FN$7000))</f>
        <v/>
      </c>
      <c r="FK2275" s="36" t="str">
        <f>IF($FH2275="","",SUM($FN2275:$FN$7000))</f>
        <v/>
      </c>
    </row>
    <row r="2276" spans="152:167">
      <c r="EV2276" s="28">
        <f t="shared" si="71"/>
        <v>0</v>
      </c>
      <c r="FH2276" s="29" t="str">
        <f t="shared" si="72"/>
        <v/>
      </c>
      <c r="FJ2276" s="36" t="str">
        <f>IF($FH2276="","",SUM($FN2276:$FN$7000))</f>
        <v/>
      </c>
      <c r="FK2276" s="36" t="str">
        <f>IF($FH2276="","",SUM($FN2276:$FN$7000))</f>
        <v/>
      </c>
    </row>
    <row r="2277" spans="152:167">
      <c r="EV2277" s="28">
        <f t="shared" si="71"/>
        <v>0</v>
      </c>
      <c r="FH2277" s="29" t="str">
        <f t="shared" si="72"/>
        <v/>
      </c>
      <c r="FJ2277" s="36" t="str">
        <f>IF($FH2277="","",SUM($FN2277:$FN$7000))</f>
        <v/>
      </c>
      <c r="FK2277" s="36" t="str">
        <f>IF($FH2277="","",SUM($FN2277:$FN$7000))</f>
        <v/>
      </c>
    </row>
    <row r="2278" spans="152:167">
      <c r="EV2278" s="28">
        <f t="shared" si="71"/>
        <v>0</v>
      </c>
      <c r="FH2278" s="29" t="str">
        <f t="shared" si="72"/>
        <v/>
      </c>
      <c r="FJ2278" s="36" t="str">
        <f>IF($FH2278="","",SUM($FN2278:$FN$7000))</f>
        <v/>
      </c>
      <c r="FK2278" s="36" t="str">
        <f>IF($FH2278="","",SUM($FN2278:$FN$7000))</f>
        <v/>
      </c>
    </row>
    <row r="2279" spans="152:167">
      <c r="EV2279" s="28">
        <f t="shared" si="71"/>
        <v>0</v>
      </c>
      <c r="FH2279" s="29" t="str">
        <f t="shared" si="72"/>
        <v/>
      </c>
      <c r="FJ2279" s="36" t="str">
        <f>IF($FH2279="","",SUM($FN2279:$FN$7000))</f>
        <v/>
      </c>
      <c r="FK2279" s="36" t="str">
        <f>IF($FH2279="","",SUM($FN2279:$FN$7000))</f>
        <v/>
      </c>
    </row>
    <row r="2280" spans="152:167">
      <c r="EV2280" s="28">
        <f t="shared" si="71"/>
        <v>0</v>
      </c>
      <c r="FH2280" s="29" t="str">
        <f t="shared" si="72"/>
        <v/>
      </c>
      <c r="FJ2280" s="36" t="str">
        <f>IF($FH2280="","",SUM($FN2280:$FN$7000))</f>
        <v/>
      </c>
      <c r="FK2280" s="36" t="str">
        <f>IF($FH2280="","",SUM($FN2280:$FN$7000))</f>
        <v/>
      </c>
    </row>
    <row r="2281" spans="152:167">
      <c r="EV2281" s="28">
        <f t="shared" si="71"/>
        <v>0</v>
      </c>
      <c r="FH2281" s="29" t="str">
        <f t="shared" si="72"/>
        <v/>
      </c>
      <c r="FJ2281" s="36" t="str">
        <f>IF($FH2281="","",SUM($FN2281:$FN$7000))</f>
        <v/>
      </c>
      <c r="FK2281" s="36" t="str">
        <f>IF($FH2281="","",SUM($FN2281:$FN$7000))</f>
        <v/>
      </c>
    </row>
    <row r="2282" spans="152:167">
      <c r="EV2282" s="28">
        <f t="shared" si="71"/>
        <v>0</v>
      </c>
      <c r="FH2282" s="29" t="str">
        <f t="shared" si="72"/>
        <v/>
      </c>
      <c r="FJ2282" s="36" t="str">
        <f>IF($FH2282="","",SUM($FN2282:$FN$7000))</f>
        <v/>
      </c>
      <c r="FK2282" s="36" t="str">
        <f>IF($FH2282="","",SUM($FN2282:$FN$7000))</f>
        <v/>
      </c>
    </row>
    <row r="2283" spans="152:167">
      <c r="EV2283" s="28">
        <f t="shared" si="71"/>
        <v>0</v>
      </c>
      <c r="FH2283" s="29" t="str">
        <f t="shared" si="72"/>
        <v/>
      </c>
      <c r="FJ2283" s="36" t="str">
        <f>IF($FH2283="","",SUM($FN2283:$FN$7000))</f>
        <v/>
      </c>
      <c r="FK2283" s="36" t="str">
        <f>IF($FH2283="","",SUM($FN2283:$FN$7000))</f>
        <v/>
      </c>
    </row>
    <row r="2284" spans="152:167">
      <c r="EV2284" s="28">
        <f t="shared" si="71"/>
        <v>0</v>
      </c>
      <c r="FH2284" s="29" t="str">
        <f t="shared" si="72"/>
        <v/>
      </c>
      <c r="FJ2284" s="36" t="str">
        <f>IF($FH2284="","",SUM($FN2284:$FN$7000))</f>
        <v/>
      </c>
      <c r="FK2284" s="36" t="str">
        <f>IF($FH2284="","",SUM($FN2284:$FN$7000))</f>
        <v/>
      </c>
    </row>
    <row r="2285" spans="152:167">
      <c r="EV2285" s="28">
        <f t="shared" si="71"/>
        <v>0</v>
      </c>
      <c r="FH2285" s="29" t="str">
        <f t="shared" si="72"/>
        <v/>
      </c>
      <c r="FJ2285" s="36" t="str">
        <f>IF($FH2285="","",SUM($FN2285:$FN$7000))</f>
        <v/>
      </c>
      <c r="FK2285" s="36" t="str">
        <f>IF($FH2285="","",SUM($FN2285:$FN$7000))</f>
        <v/>
      </c>
    </row>
    <row r="2286" spans="152:167">
      <c r="EV2286" s="28">
        <f t="shared" si="71"/>
        <v>0</v>
      </c>
      <c r="FH2286" s="29" t="str">
        <f t="shared" si="72"/>
        <v/>
      </c>
      <c r="FJ2286" s="36" t="str">
        <f>IF($FH2286="","",SUM($FN2286:$FN$7000))</f>
        <v/>
      </c>
      <c r="FK2286" s="36" t="str">
        <f>IF($FH2286="","",SUM($FN2286:$FN$7000))</f>
        <v/>
      </c>
    </row>
    <row r="2287" spans="152:167">
      <c r="EV2287" s="28">
        <f t="shared" si="71"/>
        <v>0</v>
      </c>
      <c r="FH2287" s="29" t="str">
        <f t="shared" si="72"/>
        <v/>
      </c>
      <c r="FJ2287" s="36" t="str">
        <f>IF($FH2287="","",SUM($FN2287:$FN$7000))</f>
        <v/>
      </c>
      <c r="FK2287" s="36" t="str">
        <f>IF($FH2287="","",SUM($FN2287:$FN$7000))</f>
        <v/>
      </c>
    </row>
    <row r="2288" spans="152:167">
      <c r="EV2288" s="28">
        <f t="shared" si="71"/>
        <v>0</v>
      </c>
      <c r="FH2288" s="29" t="str">
        <f t="shared" si="72"/>
        <v/>
      </c>
      <c r="FJ2288" s="36" t="str">
        <f>IF($FH2288="","",SUM($FN2288:$FN$7000))</f>
        <v/>
      </c>
      <c r="FK2288" s="36" t="str">
        <f>IF($FH2288="","",SUM($FN2288:$FN$7000))</f>
        <v/>
      </c>
    </row>
    <row r="2289" spans="152:167">
      <c r="EV2289" s="28">
        <f t="shared" si="71"/>
        <v>0</v>
      </c>
      <c r="FH2289" s="29" t="str">
        <f t="shared" si="72"/>
        <v/>
      </c>
      <c r="FJ2289" s="36" t="str">
        <f>IF($FH2289="","",SUM($FN2289:$FN$7000))</f>
        <v/>
      </c>
      <c r="FK2289" s="36" t="str">
        <f>IF($FH2289="","",SUM($FN2289:$FN$7000))</f>
        <v/>
      </c>
    </row>
    <row r="2290" spans="152:167">
      <c r="EV2290" s="28">
        <f t="shared" si="71"/>
        <v>0</v>
      </c>
      <c r="FH2290" s="29" t="str">
        <f t="shared" si="72"/>
        <v/>
      </c>
      <c r="FJ2290" s="36" t="str">
        <f>IF($FH2290="","",SUM($FN2290:$FN$7000))</f>
        <v/>
      </c>
      <c r="FK2290" s="36" t="str">
        <f>IF($FH2290="","",SUM($FN2290:$FN$7000))</f>
        <v/>
      </c>
    </row>
    <row r="2291" spans="152:167">
      <c r="EV2291" s="28">
        <f t="shared" si="71"/>
        <v>0</v>
      </c>
      <c r="FH2291" s="29" t="str">
        <f t="shared" si="72"/>
        <v/>
      </c>
      <c r="FJ2291" s="36" t="str">
        <f>IF($FH2291="","",SUM($FN2291:$FN$7000))</f>
        <v/>
      </c>
      <c r="FK2291" s="36" t="str">
        <f>IF($FH2291="","",SUM($FN2291:$FN$7000))</f>
        <v/>
      </c>
    </row>
    <row r="2292" spans="152:167">
      <c r="EV2292" s="28">
        <f t="shared" si="71"/>
        <v>0</v>
      </c>
      <c r="FH2292" s="29" t="str">
        <f t="shared" si="72"/>
        <v/>
      </c>
      <c r="FJ2292" s="36" t="str">
        <f>IF($FH2292="","",SUM($FN2292:$FN$7000))</f>
        <v/>
      </c>
      <c r="FK2292" s="36" t="str">
        <f>IF($FH2292="","",SUM($FN2292:$FN$7000))</f>
        <v/>
      </c>
    </row>
    <row r="2293" spans="152:167">
      <c r="EV2293" s="28">
        <f t="shared" si="71"/>
        <v>0</v>
      </c>
      <c r="FH2293" s="29" t="str">
        <f t="shared" si="72"/>
        <v/>
      </c>
      <c r="FJ2293" s="36" t="str">
        <f>IF($FH2293="","",SUM($FN2293:$FN$7000))</f>
        <v/>
      </c>
      <c r="FK2293" s="36" t="str">
        <f>IF($FH2293="","",SUM($FN2293:$FN$7000))</f>
        <v/>
      </c>
    </row>
    <row r="2294" spans="152:167">
      <c r="EV2294" s="28">
        <f t="shared" si="71"/>
        <v>0</v>
      </c>
      <c r="FH2294" s="29" t="str">
        <f t="shared" si="72"/>
        <v/>
      </c>
      <c r="FJ2294" s="36" t="str">
        <f>IF($FH2294="","",SUM($FN2294:$FN$7000))</f>
        <v/>
      </c>
      <c r="FK2294" s="36" t="str">
        <f>IF($FH2294="","",SUM($FN2294:$FN$7000))</f>
        <v/>
      </c>
    </row>
    <row r="2295" spans="152:167">
      <c r="EV2295" s="28">
        <f t="shared" si="71"/>
        <v>0</v>
      </c>
      <c r="FH2295" s="29" t="str">
        <f t="shared" si="72"/>
        <v/>
      </c>
      <c r="FJ2295" s="36" t="str">
        <f>IF($FH2295="","",SUM($FN2295:$FN$7000))</f>
        <v/>
      </c>
      <c r="FK2295" s="36" t="str">
        <f>IF($FH2295="","",SUM($FN2295:$FN$7000))</f>
        <v/>
      </c>
    </row>
    <row r="2296" spans="152:167">
      <c r="EV2296" s="28">
        <f t="shared" si="71"/>
        <v>0</v>
      </c>
      <c r="FH2296" s="29" t="str">
        <f t="shared" si="72"/>
        <v/>
      </c>
      <c r="FJ2296" s="36" t="str">
        <f>IF($FH2296="","",SUM($FN2296:$FN$7000))</f>
        <v/>
      </c>
      <c r="FK2296" s="36" t="str">
        <f>IF($FH2296="","",SUM($FN2296:$FN$7000))</f>
        <v/>
      </c>
    </row>
    <row r="2297" spans="152:167">
      <c r="EV2297" s="28">
        <f t="shared" si="71"/>
        <v>0</v>
      </c>
      <c r="FH2297" s="29" t="str">
        <f t="shared" si="72"/>
        <v/>
      </c>
      <c r="FJ2297" s="36" t="str">
        <f>IF($FH2297="","",SUM($FN2297:$FN$7000))</f>
        <v/>
      </c>
      <c r="FK2297" s="36" t="str">
        <f>IF($FH2297="","",SUM($FN2297:$FN$7000))</f>
        <v/>
      </c>
    </row>
    <row r="2298" spans="152:167">
      <c r="EV2298" s="28">
        <f t="shared" si="71"/>
        <v>0</v>
      </c>
      <c r="FH2298" s="29" t="str">
        <f t="shared" si="72"/>
        <v/>
      </c>
      <c r="FJ2298" s="36" t="str">
        <f>IF($FH2298="","",SUM($FN2298:$FN$7000))</f>
        <v/>
      </c>
      <c r="FK2298" s="36" t="str">
        <f>IF($FH2298="","",SUM($FN2298:$FN$7000))</f>
        <v/>
      </c>
    </row>
    <row r="2299" spans="152:167">
      <c r="EV2299" s="28">
        <f t="shared" si="71"/>
        <v>0</v>
      </c>
      <c r="FH2299" s="29" t="str">
        <f t="shared" si="72"/>
        <v/>
      </c>
      <c r="FJ2299" s="36" t="str">
        <f>IF($FH2299="","",SUM($FN2299:$FN$7000))</f>
        <v/>
      </c>
      <c r="FK2299" s="36" t="str">
        <f>IF($FH2299="","",SUM($FN2299:$FN$7000))</f>
        <v/>
      </c>
    </row>
    <row r="2300" spans="152:167">
      <c r="EV2300" s="28">
        <f t="shared" si="71"/>
        <v>0</v>
      </c>
      <c r="FH2300" s="29" t="str">
        <f t="shared" si="72"/>
        <v/>
      </c>
      <c r="FJ2300" s="36" t="str">
        <f>IF($FH2300="","",SUM($FN2300:$FN$7000))</f>
        <v/>
      </c>
      <c r="FK2300" s="36" t="str">
        <f>IF($FH2300="","",SUM($FN2300:$FN$7000))</f>
        <v/>
      </c>
    </row>
    <row r="2301" spans="152:167">
      <c r="EV2301" s="28">
        <f t="shared" si="71"/>
        <v>0</v>
      </c>
      <c r="FH2301" s="29" t="str">
        <f t="shared" si="72"/>
        <v/>
      </c>
      <c r="FJ2301" s="36" t="str">
        <f>IF($FH2301="","",SUM($FN2301:$FN$7000))</f>
        <v/>
      </c>
      <c r="FK2301" s="36" t="str">
        <f>IF($FH2301="","",SUM($FN2301:$FN$7000))</f>
        <v/>
      </c>
    </row>
    <row r="2302" spans="152:167">
      <c r="EV2302" s="28">
        <f t="shared" si="71"/>
        <v>0</v>
      </c>
      <c r="FH2302" s="29" t="str">
        <f t="shared" si="72"/>
        <v/>
      </c>
      <c r="FJ2302" s="36" t="str">
        <f>IF($FH2302="","",SUM($FN2302:$FN$7000))</f>
        <v/>
      </c>
      <c r="FK2302" s="36" t="str">
        <f>IF($FH2302="","",SUM($FN2302:$FN$7000))</f>
        <v/>
      </c>
    </row>
    <row r="2303" spans="152:167">
      <c r="EV2303" s="28">
        <f t="shared" si="71"/>
        <v>0</v>
      </c>
      <c r="FH2303" s="29" t="str">
        <f t="shared" si="72"/>
        <v/>
      </c>
      <c r="FJ2303" s="36" t="str">
        <f>IF($FH2303="","",SUM($FN2303:$FN$7000))</f>
        <v/>
      </c>
      <c r="FK2303" s="36" t="str">
        <f>IF($FH2303="","",SUM($FN2303:$FN$7000))</f>
        <v/>
      </c>
    </row>
    <row r="2304" spans="152:167">
      <c r="EV2304" s="28">
        <f t="shared" si="71"/>
        <v>0</v>
      </c>
      <c r="FH2304" s="29" t="str">
        <f t="shared" si="72"/>
        <v/>
      </c>
      <c r="FJ2304" s="36" t="str">
        <f>IF($FH2304="","",SUM($FN2304:$FN$7000))</f>
        <v/>
      </c>
      <c r="FK2304" s="36" t="str">
        <f>IF($FH2304="","",SUM($FN2304:$FN$7000))</f>
        <v/>
      </c>
    </row>
    <row r="2305" spans="152:167">
      <c r="EV2305" s="28">
        <f t="shared" si="71"/>
        <v>0</v>
      </c>
      <c r="FH2305" s="29" t="str">
        <f t="shared" si="72"/>
        <v/>
      </c>
      <c r="FJ2305" s="36" t="str">
        <f>IF($FH2305="","",SUM($FN2305:$FN$7000))</f>
        <v/>
      </c>
      <c r="FK2305" s="36" t="str">
        <f>IF($FH2305="","",SUM($FN2305:$FN$7000))</f>
        <v/>
      </c>
    </row>
    <row r="2306" spans="152:167">
      <c r="EV2306" s="28">
        <f t="shared" si="71"/>
        <v>0</v>
      </c>
      <c r="FH2306" s="29" t="str">
        <f t="shared" si="72"/>
        <v/>
      </c>
      <c r="FJ2306" s="36" t="str">
        <f>IF($FH2306="","",SUM($FN2306:$FN$7000))</f>
        <v/>
      </c>
      <c r="FK2306" s="36" t="str">
        <f>IF($FH2306="","",SUM($FN2306:$FN$7000))</f>
        <v/>
      </c>
    </row>
    <row r="2307" spans="152:167">
      <c r="EV2307" s="28">
        <f t="shared" si="71"/>
        <v>0</v>
      </c>
      <c r="FH2307" s="29" t="str">
        <f t="shared" si="72"/>
        <v/>
      </c>
      <c r="FJ2307" s="36" t="str">
        <f>IF($FH2307="","",SUM($FN2307:$FN$7000))</f>
        <v/>
      </c>
      <c r="FK2307" s="36" t="str">
        <f>IF($FH2307="","",SUM($FN2307:$FN$7000))</f>
        <v/>
      </c>
    </row>
    <row r="2308" spans="152:167">
      <c r="EV2308" s="28">
        <f t="shared" si="71"/>
        <v>0</v>
      </c>
      <c r="FH2308" s="29" t="str">
        <f t="shared" si="72"/>
        <v/>
      </c>
      <c r="FJ2308" s="36" t="str">
        <f>IF($FH2308="","",SUM($FN2308:$FN$7000))</f>
        <v/>
      </c>
      <c r="FK2308" s="36" t="str">
        <f>IF($FH2308="","",SUM($FN2308:$FN$7000))</f>
        <v/>
      </c>
    </row>
    <row r="2309" spans="152:167">
      <c r="EV2309" s="28">
        <f t="shared" si="71"/>
        <v>0</v>
      </c>
      <c r="FH2309" s="29" t="str">
        <f t="shared" si="72"/>
        <v/>
      </c>
      <c r="FJ2309" s="36" t="str">
        <f>IF($FH2309="","",SUM($FN2309:$FN$7000))</f>
        <v/>
      </c>
      <c r="FK2309" s="36" t="str">
        <f>IF($FH2309="","",SUM($FN2309:$FN$7000))</f>
        <v/>
      </c>
    </row>
    <row r="2310" spans="152:167">
      <c r="EV2310" s="28">
        <f t="shared" si="71"/>
        <v>0</v>
      </c>
      <c r="FH2310" s="29" t="str">
        <f t="shared" si="72"/>
        <v/>
      </c>
      <c r="FJ2310" s="36" t="str">
        <f>IF($FH2310="","",SUM($FN2310:$FN$7000))</f>
        <v/>
      </c>
      <c r="FK2310" s="36" t="str">
        <f>IF($FH2310="","",SUM($FN2310:$FN$7000))</f>
        <v/>
      </c>
    </row>
    <row r="2311" spans="152:167">
      <c r="EV2311" s="28">
        <f t="shared" si="71"/>
        <v>0</v>
      </c>
      <c r="FH2311" s="29" t="str">
        <f t="shared" si="72"/>
        <v/>
      </c>
      <c r="FJ2311" s="36" t="str">
        <f>IF($FH2311="","",SUM($FN2311:$FN$7000))</f>
        <v/>
      </c>
      <c r="FK2311" s="36" t="str">
        <f>IF($FH2311="","",SUM($FN2311:$FN$7000))</f>
        <v/>
      </c>
    </row>
    <row r="2312" spans="152:167">
      <c r="EV2312" s="28">
        <f t="shared" si="71"/>
        <v>0</v>
      </c>
      <c r="FH2312" s="29" t="str">
        <f t="shared" si="72"/>
        <v/>
      </c>
      <c r="FJ2312" s="36" t="str">
        <f>IF($FH2312="","",SUM($FN2312:$FN$7000))</f>
        <v/>
      </c>
      <c r="FK2312" s="36" t="str">
        <f>IF($FH2312="","",SUM($FN2312:$FN$7000))</f>
        <v/>
      </c>
    </row>
    <row r="2313" spans="152:167">
      <c r="EV2313" s="28">
        <f t="shared" si="71"/>
        <v>0</v>
      </c>
      <c r="FH2313" s="29" t="str">
        <f t="shared" si="72"/>
        <v/>
      </c>
      <c r="FJ2313" s="36" t="str">
        <f>IF($FH2313="","",SUM($FN2313:$FN$7000))</f>
        <v/>
      </c>
      <c r="FK2313" s="36" t="str">
        <f>IF($FH2313="","",SUM($FN2313:$FN$7000))</f>
        <v/>
      </c>
    </row>
    <row r="2314" spans="152:167">
      <c r="EV2314" s="28">
        <f t="shared" si="71"/>
        <v>0</v>
      </c>
      <c r="FH2314" s="29" t="str">
        <f t="shared" si="72"/>
        <v/>
      </c>
      <c r="FJ2314" s="36" t="str">
        <f>IF($FH2314="","",SUM($FN2314:$FN$7000))</f>
        <v/>
      </c>
      <c r="FK2314" s="36" t="str">
        <f>IF($FH2314="","",SUM($FN2314:$FN$7000))</f>
        <v/>
      </c>
    </row>
    <row r="2315" spans="152:167">
      <c r="EV2315" s="28">
        <f t="shared" ref="EV2315:EV2378" si="73">EU2315-ET2315</f>
        <v>0</v>
      </c>
      <c r="FH2315" s="29" t="str">
        <f t="shared" ref="FH2315:FH2378" si="74">IF(FL2315="","",FL2315)</f>
        <v/>
      </c>
      <c r="FJ2315" s="36" t="str">
        <f>IF($FH2315="","",SUM($FN2315:$FN$7000))</f>
        <v/>
      </c>
      <c r="FK2315" s="36" t="str">
        <f>IF($FH2315="","",SUM($FN2315:$FN$7000))</f>
        <v/>
      </c>
    </row>
    <row r="2316" spans="152:167">
      <c r="EV2316" s="28">
        <f t="shared" si="73"/>
        <v>0</v>
      </c>
      <c r="FH2316" s="29" t="str">
        <f t="shared" si="74"/>
        <v/>
      </c>
      <c r="FJ2316" s="36" t="str">
        <f>IF($FH2316="","",SUM($FN2316:$FN$7000))</f>
        <v/>
      </c>
      <c r="FK2316" s="36" t="str">
        <f>IF($FH2316="","",SUM($FN2316:$FN$7000))</f>
        <v/>
      </c>
    </row>
    <row r="2317" spans="152:167">
      <c r="EV2317" s="28">
        <f t="shared" si="73"/>
        <v>0</v>
      </c>
      <c r="FH2317" s="29" t="str">
        <f t="shared" si="74"/>
        <v/>
      </c>
      <c r="FJ2317" s="36" t="str">
        <f>IF($FH2317="","",SUM($FN2317:$FN$7000))</f>
        <v/>
      </c>
      <c r="FK2317" s="36" t="str">
        <f>IF($FH2317="","",SUM($FN2317:$FN$7000))</f>
        <v/>
      </c>
    </row>
    <row r="2318" spans="152:167">
      <c r="EV2318" s="28">
        <f t="shared" si="73"/>
        <v>0</v>
      </c>
      <c r="FH2318" s="29" t="str">
        <f t="shared" si="74"/>
        <v/>
      </c>
      <c r="FJ2318" s="36" t="str">
        <f>IF($FH2318="","",SUM($FN2318:$FN$7000))</f>
        <v/>
      </c>
      <c r="FK2318" s="36" t="str">
        <f>IF($FH2318="","",SUM($FN2318:$FN$7000))</f>
        <v/>
      </c>
    </row>
    <row r="2319" spans="152:167">
      <c r="EV2319" s="28">
        <f t="shared" si="73"/>
        <v>0</v>
      </c>
      <c r="FH2319" s="29" t="str">
        <f t="shared" si="74"/>
        <v/>
      </c>
      <c r="FJ2319" s="36" t="str">
        <f>IF($FH2319="","",SUM($FN2319:$FN$7000))</f>
        <v/>
      </c>
      <c r="FK2319" s="36" t="str">
        <f>IF($FH2319="","",SUM($FN2319:$FN$7000))</f>
        <v/>
      </c>
    </row>
    <row r="2320" spans="152:167">
      <c r="EV2320" s="28">
        <f t="shared" si="73"/>
        <v>0</v>
      </c>
      <c r="FH2320" s="29" t="str">
        <f t="shared" si="74"/>
        <v/>
      </c>
      <c r="FJ2320" s="36" t="str">
        <f>IF($FH2320="","",SUM($FN2320:$FN$7000))</f>
        <v/>
      </c>
      <c r="FK2320" s="36" t="str">
        <f>IF($FH2320="","",SUM($FN2320:$FN$7000))</f>
        <v/>
      </c>
    </row>
    <row r="2321" spans="152:167">
      <c r="EV2321" s="28">
        <f t="shared" si="73"/>
        <v>0</v>
      </c>
      <c r="FH2321" s="29" t="str">
        <f t="shared" si="74"/>
        <v/>
      </c>
      <c r="FJ2321" s="36" t="str">
        <f>IF($FH2321="","",SUM($FN2321:$FN$7000))</f>
        <v/>
      </c>
      <c r="FK2321" s="36" t="str">
        <f>IF($FH2321="","",SUM($FN2321:$FN$7000))</f>
        <v/>
      </c>
    </row>
    <row r="2322" spans="152:167">
      <c r="EV2322" s="28">
        <f t="shared" si="73"/>
        <v>0</v>
      </c>
      <c r="FH2322" s="29" t="str">
        <f t="shared" si="74"/>
        <v/>
      </c>
      <c r="FJ2322" s="36" t="str">
        <f>IF($FH2322="","",SUM($FN2322:$FN$7000))</f>
        <v/>
      </c>
      <c r="FK2322" s="36" t="str">
        <f>IF($FH2322="","",SUM($FN2322:$FN$7000))</f>
        <v/>
      </c>
    </row>
    <row r="2323" spans="152:167">
      <c r="EV2323" s="28">
        <f t="shared" si="73"/>
        <v>0</v>
      </c>
      <c r="FH2323" s="29" t="str">
        <f t="shared" si="74"/>
        <v/>
      </c>
      <c r="FJ2323" s="36" t="str">
        <f>IF($FH2323="","",SUM($FN2323:$FN$7000))</f>
        <v/>
      </c>
      <c r="FK2323" s="36" t="str">
        <f>IF($FH2323="","",SUM($FN2323:$FN$7000))</f>
        <v/>
      </c>
    </row>
    <row r="2324" spans="152:167">
      <c r="EV2324" s="28">
        <f t="shared" si="73"/>
        <v>0</v>
      </c>
      <c r="FH2324" s="29" t="str">
        <f t="shared" si="74"/>
        <v/>
      </c>
      <c r="FJ2324" s="36" t="str">
        <f>IF($FH2324="","",SUM($FN2324:$FN$7000))</f>
        <v/>
      </c>
      <c r="FK2324" s="36" t="str">
        <f>IF($FH2324="","",SUM($FN2324:$FN$7000))</f>
        <v/>
      </c>
    </row>
    <row r="2325" spans="152:167">
      <c r="EV2325" s="28">
        <f t="shared" si="73"/>
        <v>0</v>
      </c>
      <c r="FH2325" s="29" t="str">
        <f t="shared" si="74"/>
        <v/>
      </c>
      <c r="FJ2325" s="36" t="str">
        <f>IF($FH2325="","",SUM($FN2325:$FN$7000))</f>
        <v/>
      </c>
      <c r="FK2325" s="36" t="str">
        <f>IF($FH2325="","",SUM($FN2325:$FN$7000))</f>
        <v/>
      </c>
    </row>
    <row r="2326" spans="152:167">
      <c r="EV2326" s="28">
        <f t="shared" si="73"/>
        <v>0</v>
      </c>
      <c r="FH2326" s="29" t="str">
        <f t="shared" si="74"/>
        <v/>
      </c>
      <c r="FJ2326" s="36" t="str">
        <f>IF($FH2326="","",SUM($FN2326:$FN$7000))</f>
        <v/>
      </c>
      <c r="FK2326" s="36" t="str">
        <f>IF($FH2326="","",SUM($FN2326:$FN$7000))</f>
        <v/>
      </c>
    </row>
    <row r="2327" spans="152:167">
      <c r="EV2327" s="28">
        <f t="shared" si="73"/>
        <v>0</v>
      </c>
      <c r="FH2327" s="29" t="str">
        <f t="shared" si="74"/>
        <v/>
      </c>
      <c r="FJ2327" s="36" t="str">
        <f>IF($FH2327="","",SUM($FN2327:$FN$7000))</f>
        <v/>
      </c>
      <c r="FK2327" s="36" t="str">
        <f>IF($FH2327="","",SUM($FN2327:$FN$7000))</f>
        <v/>
      </c>
    </row>
    <row r="2328" spans="152:167">
      <c r="EV2328" s="28">
        <f t="shared" si="73"/>
        <v>0</v>
      </c>
      <c r="FH2328" s="29" t="str">
        <f t="shared" si="74"/>
        <v/>
      </c>
      <c r="FJ2328" s="36" t="str">
        <f>IF($FH2328="","",SUM($FN2328:$FN$7000))</f>
        <v/>
      </c>
      <c r="FK2328" s="36" t="str">
        <f>IF($FH2328="","",SUM($FN2328:$FN$7000))</f>
        <v/>
      </c>
    </row>
    <row r="2329" spans="152:167">
      <c r="EV2329" s="28">
        <f t="shared" si="73"/>
        <v>0</v>
      </c>
      <c r="FH2329" s="29" t="str">
        <f t="shared" si="74"/>
        <v/>
      </c>
      <c r="FJ2329" s="36" t="str">
        <f>IF($FH2329="","",SUM($FN2329:$FN$7000))</f>
        <v/>
      </c>
      <c r="FK2329" s="36" t="str">
        <f>IF($FH2329="","",SUM($FN2329:$FN$7000))</f>
        <v/>
      </c>
    </row>
    <row r="2330" spans="152:167">
      <c r="EV2330" s="28">
        <f t="shared" si="73"/>
        <v>0</v>
      </c>
      <c r="FH2330" s="29" t="str">
        <f t="shared" si="74"/>
        <v/>
      </c>
      <c r="FJ2330" s="36" t="str">
        <f>IF($FH2330="","",SUM($FN2330:$FN$7000))</f>
        <v/>
      </c>
      <c r="FK2330" s="36" t="str">
        <f>IF($FH2330="","",SUM($FN2330:$FN$7000))</f>
        <v/>
      </c>
    </row>
    <row r="2331" spans="152:167">
      <c r="EV2331" s="28">
        <f t="shared" si="73"/>
        <v>0</v>
      </c>
      <c r="FH2331" s="29" t="str">
        <f t="shared" si="74"/>
        <v/>
      </c>
      <c r="FJ2331" s="36" t="str">
        <f>IF($FH2331="","",SUM($FN2331:$FN$7000))</f>
        <v/>
      </c>
      <c r="FK2331" s="36" t="str">
        <f>IF($FH2331="","",SUM($FN2331:$FN$7000))</f>
        <v/>
      </c>
    </row>
    <row r="2332" spans="152:167">
      <c r="EV2332" s="28">
        <f t="shared" si="73"/>
        <v>0</v>
      </c>
      <c r="FH2332" s="29" t="str">
        <f t="shared" si="74"/>
        <v/>
      </c>
      <c r="FJ2332" s="36" t="str">
        <f>IF($FH2332="","",SUM($FN2332:$FN$7000))</f>
        <v/>
      </c>
      <c r="FK2332" s="36" t="str">
        <f>IF($FH2332="","",SUM($FN2332:$FN$7000))</f>
        <v/>
      </c>
    </row>
    <row r="2333" spans="152:167">
      <c r="EV2333" s="28">
        <f t="shared" si="73"/>
        <v>0</v>
      </c>
      <c r="FH2333" s="29" t="str">
        <f t="shared" si="74"/>
        <v/>
      </c>
      <c r="FJ2333" s="36" t="str">
        <f>IF($FH2333="","",SUM($FN2333:$FN$7000))</f>
        <v/>
      </c>
      <c r="FK2333" s="36" t="str">
        <f>IF($FH2333="","",SUM($FN2333:$FN$7000))</f>
        <v/>
      </c>
    </row>
    <row r="2334" spans="152:167">
      <c r="EV2334" s="28">
        <f t="shared" si="73"/>
        <v>0</v>
      </c>
      <c r="FH2334" s="29" t="str">
        <f t="shared" si="74"/>
        <v/>
      </c>
      <c r="FJ2334" s="36" t="str">
        <f>IF($FH2334="","",SUM($FN2334:$FN$7000))</f>
        <v/>
      </c>
      <c r="FK2334" s="36" t="str">
        <f>IF($FH2334="","",SUM($FN2334:$FN$7000))</f>
        <v/>
      </c>
    </row>
    <row r="2335" spans="152:167">
      <c r="EV2335" s="28">
        <f t="shared" si="73"/>
        <v>0</v>
      </c>
      <c r="FH2335" s="29" t="str">
        <f t="shared" si="74"/>
        <v/>
      </c>
      <c r="FJ2335" s="36" t="str">
        <f>IF($FH2335="","",SUM($FN2335:$FN$7000))</f>
        <v/>
      </c>
      <c r="FK2335" s="36" t="str">
        <f>IF($FH2335="","",SUM($FN2335:$FN$7000))</f>
        <v/>
      </c>
    </row>
    <row r="2336" spans="152:167">
      <c r="EV2336" s="28">
        <f t="shared" si="73"/>
        <v>0</v>
      </c>
      <c r="FH2336" s="29" t="str">
        <f t="shared" si="74"/>
        <v/>
      </c>
      <c r="FJ2336" s="36" t="str">
        <f>IF($FH2336="","",SUM($FN2336:$FN$7000))</f>
        <v/>
      </c>
      <c r="FK2336" s="36" t="str">
        <f>IF($FH2336="","",SUM($FN2336:$FN$7000))</f>
        <v/>
      </c>
    </row>
    <row r="2337" spans="152:167">
      <c r="EV2337" s="28">
        <f t="shared" si="73"/>
        <v>0</v>
      </c>
      <c r="FH2337" s="29" t="str">
        <f t="shared" si="74"/>
        <v/>
      </c>
      <c r="FJ2337" s="36" t="str">
        <f>IF($FH2337="","",SUM($FN2337:$FN$7000))</f>
        <v/>
      </c>
      <c r="FK2337" s="36" t="str">
        <f>IF($FH2337="","",SUM($FN2337:$FN$7000))</f>
        <v/>
      </c>
    </row>
    <row r="2338" spans="152:167">
      <c r="EV2338" s="28">
        <f t="shared" si="73"/>
        <v>0</v>
      </c>
      <c r="FH2338" s="29" t="str">
        <f t="shared" si="74"/>
        <v/>
      </c>
      <c r="FJ2338" s="36" t="str">
        <f>IF($FH2338="","",SUM($FN2338:$FN$7000))</f>
        <v/>
      </c>
      <c r="FK2338" s="36" t="str">
        <f>IF($FH2338="","",SUM($FN2338:$FN$7000))</f>
        <v/>
      </c>
    </row>
    <row r="2339" spans="152:167">
      <c r="EV2339" s="28">
        <f t="shared" si="73"/>
        <v>0</v>
      </c>
      <c r="FH2339" s="29" t="str">
        <f t="shared" si="74"/>
        <v/>
      </c>
      <c r="FJ2339" s="36" t="str">
        <f>IF($FH2339="","",SUM($FN2339:$FN$7000))</f>
        <v/>
      </c>
      <c r="FK2339" s="36" t="str">
        <f>IF($FH2339="","",SUM($FN2339:$FN$7000))</f>
        <v/>
      </c>
    </row>
    <row r="2340" spans="152:167">
      <c r="EV2340" s="28">
        <f t="shared" si="73"/>
        <v>0</v>
      </c>
      <c r="FH2340" s="29" t="str">
        <f t="shared" si="74"/>
        <v/>
      </c>
      <c r="FJ2340" s="36" t="str">
        <f>IF($FH2340="","",SUM($FN2340:$FN$7000))</f>
        <v/>
      </c>
      <c r="FK2340" s="36" t="str">
        <f>IF($FH2340="","",SUM($FN2340:$FN$7000))</f>
        <v/>
      </c>
    </row>
    <row r="2341" spans="152:167">
      <c r="EV2341" s="28">
        <f t="shared" si="73"/>
        <v>0</v>
      </c>
      <c r="FH2341" s="29" t="str">
        <f t="shared" si="74"/>
        <v/>
      </c>
      <c r="FJ2341" s="36" t="str">
        <f>IF($FH2341="","",SUM($FN2341:$FN$7000))</f>
        <v/>
      </c>
      <c r="FK2341" s="36" t="str">
        <f>IF($FH2341="","",SUM($FN2341:$FN$7000))</f>
        <v/>
      </c>
    </row>
    <row r="2342" spans="152:167">
      <c r="EV2342" s="28">
        <f t="shared" si="73"/>
        <v>0</v>
      </c>
      <c r="FH2342" s="29" t="str">
        <f t="shared" si="74"/>
        <v/>
      </c>
      <c r="FJ2342" s="36" t="str">
        <f>IF($FH2342="","",SUM($FN2342:$FN$7000))</f>
        <v/>
      </c>
      <c r="FK2342" s="36" t="str">
        <f>IF($FH2342="","",SUM($FN2342:$FN$7000))</f>
        <v/>
      </c>
    </row>
    <row r="2343" spans="152:167">
      <c r="EV2343" s="28">
        <f t="shared" si="73"/>
        <v>0</v>
      </c>
      <c r="FH2343" s="29" t="str">
        <f t="shared" si="74"/>
        <v/>
      </c>
      <c r="FJ2343" s="36" t="str">
        <f>IF($FH2343="","",SUM($FN2343:$FN$7000))</f>
        <v/>
      </c>
      <c r="FK2343" s="36" t="str">
        <f>IF($FH2343="","",SUM($FN2343:$FN$7000))</f>
        <v/>
      </c>
    </row>
    <row r="2344" spans="152:167">
      <c r="EV2344" s="28">
        <f t="shared" si="73"/>
        <v>0</v>
      </c>
      <c r="FH2344" s="29" t="str">
        <f t="shared" si="74"/>
        <v/>
      </c>
      <c r="FJ2344" s="36" t="str">
        <f>IF($FH2344="","",SUM($FN2344:$FN$7000))</f>
        <v/>
      </c>
      <c r="FK2344" s="36" t="str">
        <f>IF($FH2344="","",SUM($FN2344:$FN$7000))</f>
        <v/>
      </c>
    </row>
    <row r="2345" spans="152:167">
      <c r="EV2345" s="28">
        <f t="shared" si="73"/>
        <v>0</v>
      </c>
      <c r="FH2345" s="29" t="str">
        <f t="shared" si="74"/>
        <v/>
      </c>
      <c r="FJ2345" s="36" t="str">
        <f>IF($FH2345="","",SUM($FN2345:$FN$7000))</f>
        <v/>
      </c>
      <c r="FK2345" s="36" t="str">
        <f>IF($FH2345="","",SUM($FN2345:$FN$7000))</f>
        <v/>
      </c>
    </row>
    <row r="2346" spans="152:167">
      <c r="EV2346" s="28">
        <f t="shared" si="73"/>
        <v>0</v>
      </c>
      <c r="FH2346" s="29" t="str">
        <f t="shared" si="74"/>
        <v/>
      </c>
      <c r="FJ2346" s="36" t="str">
        <f>IF($FH2346="","",SUM($FN2346:$FN$7000))</f>
        <v/>
      </c>
      <c r="FK2346" s="36" t="str">
        <f>IF($FH2346="","",SUM($FN2346:$FN$7000))</f>
        <v/>
      </c>
    </row>
    <row r="2347" spans="152:167">
      <c r="EV2347" s="28">
        <f t="shared" si="73"/>
        <v>0</v>
      </c>
      <c r="FH2347" s="29" t="str">
        <f t="shared" si="74"/>
        <v/>
      </c>
      <c r="FJ2347" s="36" t="str">
        <f>IF($FH2347="","",SUM($FN2347:$FN$7000))</f>
        <v/>
      </c>
      <c r="FK2347" s="36" t="str">
        <f>IF($FH2347="","",SUM($FN2347:$FN$7000))</f>
        <v/>
      </c>
    </row>
    <row r="2348" spans="152:167">
      <c r="EV2348" s="28">
        <f t="shared" si="73"/>
        <v>0</v>
      </c>
      <c r="FH2348" s="29" t="str">
        <f t="shared" si="74"/>
        <v/>
      </c>
      <c r="FJ2348" s="36" t="str">
        <f>IF($FH2348="","",SUM($FN2348:$FN$7000))</f>
        <v/>
      </c>
      <c r="FK2348" s="36" t="str">
        <f>IF($FH2348="","",SUM($FN2348:$FN$7000))</f>
        <v/>
      </c>
    </row>
    <row r="2349" spans="152:167">
      <c r="EV2349" s="28">
        <f t="shared" si="73"/>
        <v>0</v>
      </c>
      <c r="FH2349" s="29" t="str">
        <f t="shared" si="74"/>
        <v/>
      </c>
      <c r="FJ2349" s="36" t="str">
        <f>IF($FH2349="","",SUM($FN2349:$FN$7000))</f>
        <v/>
      </c>
      <c r="FK2349" s="36" t="str">
        <f>IF($FH2349="","",SUM($FN2349:$FN$7000))</f>
        <v/>
      </c>
    </row>
    <row r="2350" spans="152:167">
      <c r="EV2350" s="28">
        <f t="shared" si="73"/>
        <v>0</v>
      </c>
      <c r="FH2350" s="29" t="str">
        <f t="shared" si="74"/>
        <v/>
      </c>
      <c r="FJ2350" s="36" t="str">
        <f>IF($FH2350="","",SUM($FN2350:$FN$7000))</f>
        <v/>
      </c>
      <c r="FK2350" s="36" t="str">
        <f>IF($FH2350="","",SUM($FN2350:$FN$7000))</f>
        <v/>
      </c>
    </row>
    <row r="2351" spans="152:167">
      <c r="EV2351" s="28">
        <f t="shared" si="73"/>
        <v>0</v>
      </c>
      <c r="FH2351" s="29" t="str">
        <f t="shared" si="74"/>
        <v/>
      </c>
      <c r="FJ2351" s="36" t="str">
        <f>IF($FH2351="","",SUM($FN2351:$FN$7000))</f>
        <v/>
      </c>
      <c r="FK2351" s="36" t="str">
        <f>IF($FH2351="","",SUM($FN2351:$FN$7000))</f>
        <v/>
      </c>
    </row>
    <row r="2352" spans="152:167">
      <c r="EV2352" s="28">
        <f t="shared" si="73"/>
        <v>0</v>
      </c>
      <c r="FH2352" s="29" t="str">
        <f t="shared" si="74"/>
        <v/>
      </c>
      <c r="FJ2352" s="36" t="str">
        <f>IF($FH2352="","",SUM($FN2352:$FN$7000))</f>
        <v/>
      </c>
      <c r="FK2352" s="36" t="str">
        <f>IF($FH2352="","",SUM($FN2352:$FN$7000))</f>
        <v/>
      </c>
    </row>
    <row r="2353" spans="152:167">
      <c r="EV2353" s="28">
        <f t="shared" si="73"/>
        <v>0</v>
      </c>
      <c r="FH2353" s="29" t="str">
        <f t="shared" si="74"/>
        <v/>
      </c>
      <c r="FJ2353" s="36" t="str">
        <f>IF($FH2353="","",SUM($FN2353:$FN$7000))</f>
        <v/>
      </c>
      <c r="FK2353" s="36" t="str">
        <f>IF($FH2353="","",SUM($FN2353:$FN$7000))</f>
        <v/>
      </c>
    </row>
    <row r="2354" spans="152:167">
      <c r="EV2354" s="28">
        <f t="shared" si="73"/>
        <v>0</v>
      </c>
      <c r="FH2354" s="29" t="str">
        <f t="shared" si="74"/>
        <v/>
      </c>
      <c r="FJ2354" s="36" t="str">
        <f>IF($FH2354="","",SUM($FN2354:$FN$7000))</f>
        <v/>
      </c>
      <c r="FK2354" s="36" t="str">
        <f>IF($FH2354="","",SUM($FN2354:$FN$7000))</f>
        <v/>
      </c>
    </row>
    <row r="2355" spans="152:167">
      <c r="EV2355" s="28">
        <f t="shared" si="73"/>
        <v>0</v>
      </c>
      <c r="FH2355" s="29" t="str">
        <f t="shared" si="74"/>
        <v/>
      </c>
      <c r="FJ2355" s="36" t="str">
        <f>IF($FH2355="","",SUM($FN2355:$FN$7000))</f>
        <v/>
      </c>
      <c r="FK2355" s="36" t="str">
        <f>IF($FH2355="","",SUM($FN2355:$FN$7000))</f>
        <v/>
      </c>
    </row>
    <row r="2356" spans="152:167">
      <c r="EV2356" s="28">
        <f t="shared" si="73"/>
        <v>0</v>
      </c>
      <c r="FH2356" s="29" t="str">
        <f t="shared" si="74"/>
        <v/>
      </c>
      <c r="FJ2356" s="36" t="str">
        <f>IF($FH2356="","",SUM($FN2356:$FN$7000))</f>
        <v/>
      </c>
      <c r="FK2356" s="36" t="str">
        <f>IF($FH2356="","",SUM($FN2356:$FN$7000))</f>
        <v/>
      </c>
    </row>
    <row r="2357" spans="152:167">
      <c r="EV2357" s="28">
        <f t="shared" si="73"/>
        <v>0</v>
      </c>
      <c r="FH2357" s="29" t="str">
        <f t="shared" si="74"/>
        <v/>
      </c>
      <c r="FJ2357" s="36" t="str">
        <f>IF($FH2357="","",SUM($FN2357:$FN$7000))</f>
        <v/>
      </c>
      <c r="FK2357" s="36" t="str">
        <f>IF($FH2357="","",SUM($FN2357:$FN$7000))</f>
        <v/>
      </c>
    </row>
    <row r="2358" spans="152:167">
      <c r="EV2358" s="28">
        <f t="shared" si="73"/>
        <v>0</v>
      </c>
      <c r="FH2358" s="29" t="str">
        <f t="shared" si="74"/>
        <v/>
      </c>
      <c r="FJ2358" s="36" t="str">
        <f>IF($FH2358="","",SUM($FN2358:$FN$7000))</f>
        <v/>
      </c>
      <c r="FK2358" s="36" t="str">
        <f>IF($FH2358="","",SUM($FN2358:$FN$7000))</f>
        <v/>
      </c>
    </row>
    <row r="2359" spans="152:167">
      <c r="EV2359" s="28">
        <f t="shared" si="73"/>
        <v>0</v>
      </c>
      <c r="FH2359" s="29" t="str">
        <f t="shared" si="74"/>
        <v/>
      </c>
      <c r="FJ2359" s="36" t="str">
        <f>IF($FH2359="","",SUM($FN2359:$FN$7000))</f>
        <v/>
      </c>
      <c r="FK2359" s="36" t="str">
        <f>IF($FH2359="","",SUM($FN2359:$FN$7000))</f>
        <v/>
      </c>
    </row>
    <row r="2360" spans="152:167">
      <c r="EV2360" s="28">
        <f t="shared" si="73"/>
        <v>0</v>
      </c>
      <c r="FH2360" s="29" t="str">
        <f t="shared" si="74"/>
        <v/>
      </c>
      <c r="FJ2360" s="36" t="str">
        <f>IF($FH2360="","",SUM($FN2360:$FN$7000))</f>
        <v/>
      </c>
      <c r="FK2360" s="36" t="str">
        <f>IF($FH2360="","",SUM($FN2360:$FN$7000))</f>
        <v/>
      </c>
    </row>
    <row r="2361" spans="152:167">
      <c r="EV2361" s="28">
        <f t="shared" si="73"/>
        <v>0</v>
      </c>
      <c r="FH2361" s="29" t="str">
        <f t="shared" si="74"/>
        <v/>
      </c>
      <c r="FJ2361" s="36" t="str">
        <f>IF($FH2361="","",SUM($FN2361:$FN$7000))</f>
        <v/>
      </c>
      <c r="FK2361" s="36" t="str">
        <f>IF($FH2361="","",SUM($FN2361:$FN$7000))</f>
        <v/>
      </c>
    </row>
    <row r="2362" spans="152:167">
      <c r="EV2362" s="28">
        <f t="shared" si="73"/>
        <v>0</v>
      </c>
      <c r="FH2362" s="29" t="str">
        <f t="shared" si="74"/>
        <v/>
      </c>
      <c r="FJ2362" s="36" t="str">
        <f>IF($FH2362="","",SUM($FN2362:$FN$7000))</f>
        <v/>
      </c>
      <c r="FK2362" s="36" t="str">
        <f>IF($FH2362="","",SUM($FN2362:$FN$7000))</f>
        <v/>
      </c>
    </row>
    <row r="2363" spans="152:167">
      <c r="EV2363" s="28">
        <f t="shared" si="73"/>
        <v>0</v>
      </c>
      <c r="FH2363" s="29" t="str">
        <f t="shared" si="74"/>
        <v/>
      </c>
      <c r="FJ2363" s="36" t="str">
        <f>IF($FH2363="","",SUM($FN2363:$FN$7000))</f>
        <v/>
      </c>
      <c r="FK2363" s="36" t="str">
        <f>IF($FH2363="","",SUM($FN2363:$FN$7000))</f>
        <v/>
      </c>
    </row>
    <row r="2364" spans="152:167">
      <c r="EV2364" s="28">
        <f t="shared" si="73"/>
        <v>0</v>
      </c>
      <c r="FH2364" s="29" t="str">
        <f t="shared" si="74"/>
        <v/>
      </c>
      <c r="FJ2364" s="36" t="str">
        <f>IF($FH2364="","",SUM($FN2364:$FN$7000))</f>
        <v/>
      </c>
      <c r="FK2364" s="36" t="str">
        <f>IF($FH2364="","",SUM($FN2364:$FN$7000))</f>
        <v/>
      </c>
    </row>
    <row r="2365" spans="152:167">
      <c r="EV2365" s="28">
        <f t="shared" si="73"/>
        <v>0</v>
      </c>
      <c r="FH2365" s="29" t="str">
        <f t="shared" si="74"/>
        <v/>
      </c>
      <c r="FJ2365" s="36" t="str">
        <f>IF($FH2365="","",SUM($FN2365:$FN$7000))</f>
        <v/>
      </c>
      <c r="FK2365" s="36" t="str">
        <f>IF($FH2365="","",SUM($FN2365:$FN$7000))</f>
        <v/>
      </c>
    </row>
    <row r="2366" spans="152:167">
      <c r="EV2366" s="28">
        <f t="shared" si="73"/>
        <v>0</v>
      </c>
      <c r="FH2366" s="29" t="str">
        <f t="shared" si="74"/>
        <v/>
      </c>
      <c r="FJ2366" s="36" t="str">
        <f>IF($FH2366="","",SUM($FN2366:$FN$7000))</f>
        <v/>
      </c>
      <c r="FK2366" s="36" t="str">
        <f>IF($FH2366="","",SUM($FN2366:$FN$7000))</f>
        <v/>
      </c>
    </row>
    <row r="2367" spans="152:167">
      <c r="EV2367" s="28">
        <f t="shared" si="73"/>
        <v>0</v>
      </c>
      <c r="FH2367" s="29" t="str">
        <f t="shared" si="74"/>
        <v/>
      </c>
      <c r="FJ2367" s="36" t="str">
        <f>IF($FH2367="","",SUM($FN2367:$FN$7000))</f>
        <v/>
      </c>
      <c r="FK2367" s="36" t="str">
        <f>IF($FH2367="","",SUM($FN2367:$FN$7000))</f>
        <v/>
      </c>
    </row>
    <row r="2368" spans="152:167">
      <c r="EV2368" s="28">
        <f t="shared" si="73"/>
        <v>0</v>
      </c>
      <c r="FH2368" s="29" t="str">
        <f t="shared" si="74"/>
        <v/>
      </c>
      <c r="FJ2368" s="36" t="str">
        <f>IF($FH2368="","",SUM($FN2368:$FN$7000))</f>
        <v/>
      </c>
      <c r="FK2368" s="36" t="str">
        <f>IF($FH2368="","",SUM($FN2368:$FN$7000))</f>
        <v/>
      </c>
    </row>
    <row r="2369" spans="152:167">
      <c r="EV2369" s="28">
        <f t="shared" si="73"/>
        <v>0</v>
      </c>
      <c r="FH2369" s="29" t="str">
        <f t="shared" si="74"/>
        <v/>
      </c>
      <c r="FJ2369" s="36" t="str">
        <f>IF($FH2369="","",SUM($FN2369:$FN$7000))</f>
        <v/>
      </c>
      <c r="FK2369" s="36" t="str">
        <f>IF($FH2369="","",SUM($FN2369:$FN$7000))</f>
        <v/>
      </c>
    </row>
    <row r="2370" spans="152:167">
      <c r="EV2370" s="28">
        <f t="shared" si="73"/>
        <v>0</v>
      </c>
      <c r="FH2370" s="29" t="str">
        <f t="shared" si="74"/>
        <v/>
      </c>
      <c r="FJ2370" s="36" t="str">
        <f>IF($FH2370="","",SUM($FN2370:$FN$7000))</f>
        <v/>
      </c>
      <c r="FK2370" s="36" t="str">
        <f>IF($FH2370="","",SUM($FN2370:$FN$7000))</f>
        <v/>
      </c>
    </row>
    <row r="2371" spans="152:167">
      <c r="EV2371" s="28">
        <f t="shared" si="73"/>
        <v>0</v>
      </c>
      <c r="FH2371" s="29" t="str">
        <f t="shared" si="74"/>
        <v/>
      </c>
      <c r="FJ2371" s="36" t="str">
        <f>IF($FH2371="","",SUM($FN2371:$FN$7000))</f>
        <v/>
      </c>
      <c r="FK2371" s="36" t="str">
        <f>IF($FH2371="","",SUM($FN2371:$FN$7000))</f>
        <v/>
      </c>
    </row>
    <row r="2372" spans="152:167">
      <c r="EV2372" s="28">
        <f t="shared" si="73"/>
        <v>0</v>
      </c>
      <c r="FH2372" s="29" t="str">
        <f t="shared" si="74"/>
        <v/>
      </c>
      <c r="FJ2372" s="36" t="str">
        <f>IF($FH2372="","",SUM($FN2372:$FN$7000))</f>
        <v/>
      </c>
      <c r="FK2372" s="36" t="str">
        <f>IF($FH2372="","",SUM($FN2372:$FN$7000))</f>
        <v/>
      </c>
    </row>
    <row r="2373" spans="152:167">
      <c r="EV2373" s="28">
        <f t="shared" si="73"/>
        <v>0</v>
      </c>
      <c r="FH2373" s="29" t="str">
        <f t="shared" si="74"/>
        <v/>
      </c>
      <c r="FJ2373" s="36" t="str">
        <f>IF($FH2373="","",SUM($FN2373:$FN$7000))</f>
        <v/>
      </c>
      <c r="FK2373" s="36" t="str">
        <f>IF($FH2373="","",SUM($FN2373:$FN$7000))</f>
        <v/>
      </c>
    </row>
    <row r="2374" spans="152:167">
      <c r="EV2374" s="28">
        <f t="shared" si="73"/>
        <v>0</v>
      </c>
      <c r="FH2374" s="29" t="str">
        <f t="shared" si="74"/>
        <v/>
      </c>
      <c r="FJ2374" s="36" t="str">
        <f>IF($FH2374="","",SUM($FN2374:$FN$7000))</f>
        <v/>
      </c>
      <c r="FK2374" s="36" t="str">
        <f>IF($FH2374="","",SUM($FN2374:$FN$7000))</f>
        <v/>
      </c>
    </row>
    <row r="2375" spans="152:167">
      <c r="EV2375" s="28">
        <f t="shared" si="73"/>
        <v>0</v>
      </c>
      <c r="FH2375" s="29" t="str">
        <f t="shared" si="74"/>
        <v/>
      </c>
      <c r="FJ2375" s="36" t="str">
        <f>IF($FH2375="","",SUM($FN2375:$FN$7000))</f>
        <v/>
      </c>
      <c r="FK2375" s="36" t="str">
        <f>IF($FH2375="","",SUM($FN2375:$FN$7000))</f>
        <v/>
      </c>
    </row>
    <row r="2376" spans="152:167">
      <c r="EV2376" s="28">
        <f t="shared" si="73"/>
        <v>0</v>
      </c>
      <c r="FH2376" s="29" t="str">
        <f t="shared" si="74"/>
        <v/>
      </c>
      <c r="FJ2376" s="36" t="str">
        <f>IF($FH2376="","",SUM($FN2376:$FN$7000))</f>
        <v/>
      </c>
      <c r="FK2376" s="36" t="str">
        <f>IF($FH2376="","",SUM($FN2376:$FN$7000))</f>
        <v/>
      </c>
    </row>
    <row r="2377" spans="152:167">
      <c r="EV2377" s="28">
        <f t="shared" si="73"/>
        <v>0</v>
      </c>
      <c r="FH2377" s="29" t="str">
        <f t="shared" si="74"/>
        <v/>
      </c>
      <c r="FJ2377" s="36" t="str">
        <f>IF($FH2377="","",SUM($FN2377:$FN$7000))</f>
        <v/>
      </c>
      <c r="FK2377" s="36" t="str">
        <f>IF($FH2377="","",SUM($FN2377:$FN$7000))</f>
        <v/>
      </c>
    </row>
    <row r="2378" spans="152:167">
      <c r="EV2378" s="28">
        <f t="shared" si="73"/>
        <v>0</v>
      </c>
      <c r="FH2378" s="29" t="str">
        <f t="shared" si="74"/>
        <v/>
      </c>
      <c r="FJ2378" s="36" t="str">
        <f>IF($FH2378="","",SUM($FN2378:$FN$7000))</f>
        <v/>
      </c>
      <c r="FK2378" s="36" t="str">
        <f>IF($FH2378="","",SUM($FN2378:$FN$7000))</f>
        <v/>
      </c>
    </row>
    <row r="2379" spans="152:167">
      <c r="EV2379" s="28">
        <f t="shared" ref="EV2379:EV2442" si="75">EU2379-ET2379</f>
        <v>0</v>
      </c>
      <c r="FH2379" s="29" t="str">
        <f t="shared" ref="FH2379:FH2442" si="76">IF(FL2379="","",FL2379)</f>
        <v/>
      </c>
      <c r="FJ2379" s="36" t="str">
        <f>IF($FH2379="","",SUM($FN2379:$FN$7000))</f>
        <v/>
      </c>
      <c r="FK2379" s="36" t="str">
        <f>IF($FH2379="","",SUM($FN2379:$FN$7000))</f>
        <v/>
      </c>
    </row>
    <row r="2380" spans="152:167">
      <c r="EV2380" s="28">
        <f t="shared" si="75"/>
        <v>0</v>
      </c>
      <c r="FH2380" s="29" t="str">
        <f t="shared" si="76"/>
        <v/>
      </c>
      <c r="FJ2380" s="36" t="str">
        <f>IF($FH2380="","",SUM($FN2380:$FN$7000))</f>
        <v/>
      </c>
      <c r="FK2380" s="36" t="str">
        <f>IF($FH2380="","",SUM($FN2380:$FN$7000))</f>
        <v/>
      </c>
    </row>
    <row r="2381" spans="152:167">
      <c r="EV2381" s="28">
        <f t="shared" si="75"/>
        <v>0</v>
      </c>
      <c r="FH2381" s="29" t="str">
        <f t="shared" si="76"/>
        <v/>
      </c>
      <c r="FJ2381" s="36" t="str">
        <f>IF($FH2381="","",SUM($FN2381:$FN$7000))</f>
        <v/>
      </c>
      <c r="FK2381" s="36" t="str">
        <f>IF($FH2381="","",SUM($FN2381:$FN$7000))</f>
        <v/>
      </c>
    </row>
    <row r="2382" spans="152:167">
      <c r="EV2382" s="28">
        <f t="shared" si="75"/>
        <v>0</v>
      </c>
      <c r="FH2382" s="29" t="str">
        <f t="shared" si="76"/>
        <v/>
      </c>
      <c r="FJ2382" s="36" t="str">
        <f>IF($FH2382="","",SUM($FN2382:$FN$7000))</f>
        <v/>
      </c>
      <c r="FK2382" s="36" t="str">
        <f>IF($FH2382="","",SUM($FN2382:$FN$7000))</f>
        <v/>
      </c>
    </row>
    <row r="2383" spans="152:167">
      <c r="EV2383" s="28">
        <f t="shared" si="75"/>
        <v>0</v>
      </c>
      <c r="FH2383" s="29" t="str">
        <f t="shared" si="76"/>
        <v/>
      </c>
      <c r="FJ2383" s="36" t="str">
        <f>IF($FH2383="","",SUM($FN2383:$FN$7000))</f>
        <v/>
      </c>
      <c r="FK2383" s="36" t="str">
        <f>IF($FH2383="","",SUM($FN2383:$FN$7000))</f>
        <v/>
      </c>
    </row>
    <row r="2384" spans="152:167">
      <c r="EV2384" s="28">
        <f t="shared" si="75"/>
        <v>0</v>
      </c>
      <c r="FH2384" s="29" t="str">
        <f t="shared" si="76"/>
        <v/>
      </c>
      <c r="FJ2384" s="36" t="str">
        <f>IF($FH2384="","",SUM($FN2384:$FN$7000))</f>
        <v/>
      </c>
      <c r="FK2384" s="36" t="str">
        <f>IF($FH2384="","",SUM($FN2384:$FN$7000))</f>
        <v/>
      </c>
    </row>
    <row r="2385" spans="152:167">
      <c r="EV2385" s="28">
        <f t="shared" si="75"/>
        <v>0</v>
      </c>
      <c r="FH2385" s="29" t="str">
        <f t="shared" si="76"/>
        <v/>
      </c>
      <c r="FJ2385" s="36" t="str">
        <f>IF($FH2385="","",SUM($FN2385:$FN$7000))</f>
        <v/>
      </c>
      <c r="FK2385" s="36" t="str">
        <f>IF($FH2385="","",SUM($FN2385:$FN$7000))</f>
        <v/>
      </c>
    </row>
    <row r="2386" spans="152:167">
      <c r="EV2386" s="28">
        <f t="shared" si="75"/>
        <v>0</v>
      </c>
      <c r="FH2386" s="29" t="str">
        <f t="shared" si="76"/>
        <v/>
      </c>
      <c r="FJ2386" s="36" t="str">
        <f>IF($FH2386="","",SUM($FN2386:$FN$7000))</f>
        <v/>
      </c>
      <c r="FK2386" s="36" t="str">
        <f>IF($FH2386="","",SUM($FN2386:$FN$7000))</f>
        <v/>
      </c>
    </row>
    <row r="2387" spans="152:167">
      <c r="EV2387" s="28">
        <f t="shared" si="75"/>
        <v>0</v>
      </c>
      <c r="FH2387" s="29" t="str">
        <f t="shared" si="76"/>
        <v/>
      </c>
      <c r="FJ2387" s="36" t="str">
        <f>IF($FH2387="","",SUM($FN2387:$FN$7000))</f>
        <v/>
      </c>
      <c r="FK2387" s="36" t="str">
        <f>IF($FH2387="","",SUM($FN2387:$FN$7000))</f>
        <v/>
      </c>
    </row>
    <row r="2388" spans="152:167">
      <c r="EV2388" s="28">
        <f t="shared" si="75"/>
        <v>0</v>
      </c>
      <c r="FH2388" s="29" t="str">
        <f t="shared" si="76"/>
        <v/>
      </c>
      <c r="FJ2388" s="36" t="str">
        <f>IF($FH2388="","",SUM($FN2388:$FN$7000))</f>
        <v/>
      </c>
      <c r="FK2388" s="36" t="str">
        <f>IF($FH2388="","",SUM($FN2388:$FN$7000))</f>
        <v/>
      </c>
    </row>
    <row r="2389" spans="152:167">
      <c r="EV2389" s="28">
        <f t="shared" si="75"/>
        <v>0</v>
      </c>
      <c r="FH2389" s="29" t="str">
        <f t="shared" si="76"/>
        <v/>
      </c>
      <c r="FJ2389" s="36" t="str">
        <f>IF($FH2389="","",SUM($FN2389:$FN$7000))</f>
        <v/>
      </c>
      <c r="FK2389" s="36" t="str">
        <f>IF($FH2389="","",SUM($FN2389:$FN$7000))</f>
        <v/>
      </c>
    </row>
    <row r="2390" spans="152:167">
      <c r="EV2390" s="28">
        <f t="shared" si="75"/>
        <v>0</v>
      </c>
      <c r="FH2390" s="29" t="str">
        <f t="shared" si="76"/>
        <v/>
      </c>
      <c r="FJ2390" s="36" t="str">
        <f>IF($FH2390="","",SUM($FN2390:$FN$7000))</f>
        <v/>
      </c>
      <c r="FK2390" s="36" t="str">
        <f>IF($FH2390="","",SUM($FN2390:$FN$7000))</f>
        <v/>
      </c>
    </row>
    <row r="2391" spans="152:167">
      <c r="EV2391" s="28">
        <f t="shared" si="75"/>
        <v>0</v>
      </c>
      <c r="FH2391" s="29" t="str">
        <f t="shared" si="76"/>
        <v/>
      </c>
      <c r="FJ2391" s="36" t="str">
        <f>IF($FH2391="","",SUM($FN2391:$FN$7000))</f>
        <v/>
      </c>
      <c r="FK2391" s="36" t="str">
        <f>IF($FH2391="","",SUM($FN2391:$FN$7000))</f>
        <v/>
      </c>
    </row>
    <row r="2392" spans="152:167">
      <c r="EV2392" s="28">
        <f t="shared" si="75"/>
        <v>0</v>
      </c>
      <c r="FH2392" s="29" t="str">
        <f t="shared" si="76"/>
        <v/>
      </c>
      <c r="FJ2392" s="36" t="str">
        <f>IF($FH2392="","",SUM($FN2392:$FN$7000))</f>
        <v/>
      </c>
      <c r="FK2392" s="36" t="str">
        <f>IF($FH2392="","",SUM($FN2392:$FN$7000))</f>
        <v/>
      </c>
    </row>
    <row r="2393" spans="152:167">
      <c r="EV2393" s="28">
        <f t="shared" si="75"/>
        <v>0</v>
      </c>
      <c r="FH2393" s="29" t="str">
        <f t="shared" si="76"/>
        <v/>
      </c>
      <c r="FJ2393" s="36" t="str">
        <f>IF($FH2393="","",SUM($FN2393:$FN$7000))</f>
        <v/>
      </c>
      <c r="FK2393" s="36" t="str">
        <f>IF($FH2393="","",SUM($FN2393:$FN$7000))</f>
        <v/>
      </c>
    </row>
    <row r="2394" spans="152:167">
      <c r="EV2394" s="28">
        <f t="shared" si="75"/>
        <v>0</v>
      </c>
      <c r="FH2394" s="29" t="str">
        <f t="shared" si="76"/>
        <v/>
      </c>
      <c r="FJ2394" s="36" t="str">
        <f>IF($FH2394="","",SUM($FN2394:$FN$7000))</f>
        <v/>
      </c>
      <c r="FK2394" s="36" t="str">
        <f>IF($FH2394="","",SUM($FN2394:$FN$7000))</f>
        <v/>
      </c>
    </row>
    <row r="2395" spans="152:167">
      <c r="EV2395" s="28">
        <f t="shared" si="75"/>
        <v>0</v>
      </c>
      <c r="FH2395" s="29" t="str">
        <f t="shared" si="76"/>
        <v/>
      </c>
      <c r="FJ2395" s="36" t="str">
        <f>IF($FH2395="","",SUM($FN2395:$FN$7000))</f>
        <v/>
      </c>
      <c r="FK2395" s="36" t="str">
        <f>IF($FH2395="","",SUM($FN2395:$FN$7000))</f>
        <v/>
      </c>
    </row>
    <row r="2396" spans="152:167">
      <c r="EV2396" s="28">
        <f t="shared" si="75"/>
        <v>0</v>
      </c>
      <c r="FH2396" s="29" t="str">
        <f t="shared" si="76"/>
        <v/>
      </c>
      <c r="FJ2396" s="36" t="str">
        <f>IF($FH2396="","",SUM($FN2396:$FN$7000))</f>
        <v/>
      </c>
      <c r="FK2396" s="36" t="str">
        <f>IF($FH2396="","",SUM($FN2396:$FN$7000))</f>
        <v/>
      </c>
    </row>
    <row r="2397" spans="152:167">
      <c r="EV2397" s="28">
        <f t="shared" si="75"/>
        <v>0</v>
      </c>
      <c r="FH2397" s="29" t="str">
        <f t="shared" si="76"/>
        <v/>
      </c>
      <c r="FJ2397" s="36" t="str">
        <f>IF($FH2397="","",SUM($FN2397:$FN$7000))</f>
        <v/>
      </c>
      <c r="FK2397" s="36" t="str">
        <f>IF($FH2397="","",SUM($FN2397:$FN$7000))</f>
        <v/>
      </c>
    </row>
    <row r="2398" spans="152:167">
      <c r="EV2398" s="28">
        <f t="shared" si="75"/>
        <v>0</v>
      </c>
      <c r="FH2398" s="29" t="str">
        <f t="shared" si="76"/>
        <v/>
      </c>
      <c r="FJ2398" s="36" t="str">
        <f>IF($FH2398="","",SUM($FN2398:$FN$7000))</f>
        <v/>
      </c>
      <c r="FK2398" s="36" t="str">
        <f>IF($FH2398="","",SUM($FN2398:$FN$7000))</f>
        <v/>
      </c>
    </row>
    <row r="2399" spans="152:167">
      <c r="EV2399" s="28">
        <f t="shared" si="75"/>
        <v>0</v>
      </c>
      <c r="FH2399" s="29" t="str">
        <f t="shared" si="76"/>
        <v/>
      </c>
      <c r="FJ2399" s="36" t="str">
        <f>IF($FH2399="","",SUM($FN2399:$FN$7000))</f>
        <v/>
      </c>
      <c r="FK2399" s="36" t="str">
        <f>IF($FH2399="","",SUM($FN2399:$FN$7000))</f>
        <v/>
      </c>
    </row>
    <row r="2400" spans="152:167">
      <c r="EV2400" s="28">
        <f t="shared" si="75"/>
        <v>0</v>
      </c>
      <c r="FH2400" s="29" t="str">
        <f t="shared" si="76"/>
        <v/>
      </c>
      <c r="FJ2400" s="36" t="str">
        <f>IF($FH2400="","",SUM($FN2400:$FN$7000))</f>
        <v/>
      </c>
      <c r="FK2400" s="36" t="str">
        <f>IF($FH2400="","",SUM($FN2400:$FN$7000))</f>
        <v/>
      </c>
    </row>
    <row r="2401" spans="152:167">
      <c r="EV2401" s="28">
        <f t="shared" si="75"/>
        <v>0</v>
      </c>
      <c r="FH2401" s="29" t="str">
        <f t="shared" si="76"/>
        <v/>
      </c>
      <c r="FJ2401" s="36" t="str">
        <f>IF($FH2401="","",SUM($FN2401:$FN$7000))</f>
        <v/>
      </c>
      <c r="FK2401" s="36" t="str">
        <f>IF($FH2401="","",SUM($FN2401:$FN$7000))</f>
        <v/>
      </c>
    </row>
    <row r="2402" spans="152:167">
      <c r="EV2402" s="28">
        <f t="shared" si="75"/>
        <v>0</v>
      </c>
      <c r="FH2402" s="29" t="str">
        <f t="shared" si="76"/>
        <v/>
      </c>
      <c r="FJ2402" s="36" t="str">
        <f>IF($FH2402="","",SUM($FN2402:$FN$7000))</f>
        <v/>
      </c>
      <c r="FK2402" s="36" t="str">
        <f>IF($FH2402="","",SUM($FN2402:$FN$7000))</f>
        <v/>
      </c>
    </row>
    <row r="2403" spans="152:167">
      <c r="EV2403" s="28">
        <f t="shared" si="75"/>
        <v>0</v>
      </c>
      <c r="FH2403" s="29" t="str">
        <f t="shared" si="76"/>
        <v/>
      </c>
      <c r="FJ2403" s="36" t="str">
        <f>IF($FH2403="","",SUM($FN2403:$FN$7000))</f>
        <v/>
      </c>
      <c r="FK2403" s="36" t="str">
        <f>IF($FH2403="","",SUM($FN2403:$FN$7000))</f>
        <v/>
      </c>
    </row>
    <row r="2404" spans="152:167">
      <c r="EV2404" s="28">
        <f t="shared" si="75"/>
        <v>0</v>
      </c>
      <c r="FH2404" s="29" t="str">
        <f t="shared" si="76"/>
        <v/>
      </c>
      <c r="FJ2404" s="36" t="str">
        <f>IF($FH2404="","",SUM($FN2404:$FN$7000))</f>
        <v/>
      </c>
      <c r="FK2404" s="36" t="str">
        <f>IF($FH2404="","",SUM($FN2404:$FN$7000))</f>
        <v/>
      </c>
    </row>
    <row r="2405" spans="152:167">
      <c r="EV2405" s="28">
        <f t="shared" si="75"/>
        <v>0</v>
      </c>
      <c r="FH2405" s="29" t="str">
        <f t="shared" si="76"/>
        <v/>
      </c>
      <c r="FJ2405" s="36" t="str">
        <f>IF($FH2405="","",SUM($FN2405:$FN$7000))</f>
        <v/>
      </c>
      <c r="FK2405" s="36" t="str">
        <f>IF($FH2405="","",SUM($FN2405:$FN$7000))</f>
        <v/>
      </c>
    </row>
    <row r="2406" spans="152:167">
      <c r="EV2406" s="28">
        <f t="shared" si="75"/>
        <v>0</v>
      </c>
      <c r="FH2406" s="29" t="str">
        <f t="shared" si="76"/>
        <v/>
      </c>
      <c r="FJ2406" s="36" t="str">
        <f>IF($FH2406="","",SUM($FN2406:$FN$7000))</f>
        <v/>
      </c>
      <c r="FK2406" s="36" t="str">
        <f>IF($FH2406="","",SUM($FN2406:$FN$7000))</f>
        <v/>
      </c>
    </row>
    <row r="2407" spans="152:167">
      <c r="EV2407" s="28">
        <f t="shared" si="75"/>
        <v>0</v>
      </c>
      <c r="FH2407" s="29" t="str">
        <f t="shared" si="76"/>
        <v/>
      </c>
      <c r="FJ2407" s="36" t="str">
        <f>IF($FH2407="","",SUM($FN2407:$FN$7000))</f>
        <v/>
      </c>
      <c r="FK2407" s="36" t="str">
        <f>IF($FH2407="","",SUM($FN2407:$FN$7000))</f>
        <v/>
      </c>
    </row>
    <row r="2408" spans="152:167">
      <c r="EV2408" s="28">
        <f t="shared" si="75"/>
        <v>0</v>
      </c>
      <c r="FH2408" s="29" t="str">
        <f t="shared" si="76"/>
        <v/>
      </c>
      <c r="FJ2408" s="36" t="str">
        <f>IF($FH2408="","",SUM($FN2408:$FN$7000))</f>
        <v/>
      </c>
      <c r="FK2408" s="36" t="str">
        <f>IF($FH2408="","",SUM($FN2408:$FN$7000))</f>
        <v/>
      </c>
    </row>
    <row r="2409" spans="152:167">
      <c r="EV2409" s="28">
        <f t="shared" si="75"/>
        <v>0</v>
      </c>
      <c r="FH2409" s="29" t="str">
        <f t="shared" si="76"/>
        <v/>
      </c>
      <c r="FJ2409" s="36" t="str">
        <f>IF($FH2409="","",SUM($FN2409:$FN$7000))</f>
        <v/>
      </c>
      <c r="FK2409" s="36" t="str">
        <f>IF($FH2409="","",SUM($FN2409:$FN$7000))</f>
        <v/>
      </c>
    </row>
    <row r="2410" spans="152:167">
      <c r="EV2410" s="28">
        <f t="shared" si="75"/>
        <v>0</v>
      </c>
      <c r="FH2410" s="29" t="str">
        <f t="shared" si="76"/>
        <v/>
      </c>
      <c r="FJ2410" s="36" t="str">
        <f>IF($FH2410="","",SUM($FN2410:$FN$7000))</f>
        <v/>
      </c>
      <c r="FK2410" s="36" t="str">
        <f>IF($FH2410="","",SUM($FN2410:$FN$7000))</f>
        <v/>
      </c>
    </row>
    <row r="2411" spans="152:167">
      <c r="EV2411" s="28">
        <f t="shared" si="75"/>
        <v>0</v>
      </c>
      <c r="FH2411" s="29" t="str">
        <f t="shared" si="76"/>
        <v/>
      </c>
      <c r="FJ2411" s="36" t="str">
        <f>IF($FH2411="","",SUM($FN2411:$FN$7000))</f>
        <v/>
      </c>
      <c r="FK2411" s="36" t="str">
        <f>IF($FH2411="","",SUM($FN2411:$FN$7000))</f>
        <v/>
      </c>
    </row>
    <row r="2412" spans="152:167">
      <c r="EV2412" s="28">
        <f t="shared" si="75"/>
        <v>0</v>
      </c>
      <c r="FH2412" s="29" t="str">
        <f t="shared" si="76"/>
        <v/>
      </c>
      <c r="FJ2412" s="36" t="str">
        <f>IF($FH2412="","",SUM($FN2412:$FN$7000))</f>
        <v/>
      </c>
      <c r="FK2412" s="36" t="str">
        <f>IF($FH2412="","",SUM($FN2412:$FN$7000))</f>
        <v/>
      </c>
    </row>
    <row r="2413" spans="152:167">
      <c r="EV2413" s="28">
        <f t="shared" si="75"/>
        <v>0</v>
      </c>
      <c r="FH2413" s="29" t="str">
        <f t="shared" si="76"/>
        <v/>
      </c>
      <c r="FJ2413" s="36" t="str">
        <f>IF($FH2413="","",SUM($FN2413:$FN$7000))</f>
        <v/>
      </c>
      <c r="FK2413" s="36" t="str">
        <f>IF($FH2413="","",SUM($FN2413:$FN$7000))</f>
        <v/>
      </c>
    </row>
    <row r="2414" spans="152:167">
      <c r="EV2414" s="28">
        <f t="shared" si="75"/>
        <v>0</v>
      </c>
      <c r="FH2414" s="29" t="str">
        <f t="shared" si="76"/>
        <v/>
      </c>
      <c r="FJ2414" s="36" t="str">
        <f>IF($FH2414="","",SUM($FN2414:$FN$7000))</f>
        <v/>
      </c>
      <c r="FK2414" s="36" t="str">
        <f>IF($FH2414="","",SUM($FN2414:$FN$7000))</f>
        <v/>
      </c>
    </row>
    <row r="2415" spans="152:167">
      <c r="EV2415" s="28">
        <f t="shared" si="75"/>
        <v>0</v>
      </c>
      <c r="FH2415" s="29" t="str">
        <f t="shared" si="76"/>
        <v/>
      </c>
      <c r="FJ2415" s="36" t="str">
        <f>IF($FH2415="","",SUM($FN2415:$FN$7000))</f>
        <v/>
      </c>
      <c r="FK2415" s="36" t="str">
        <f>IF($FH2415="","",SUM($FN2415:$FN$7000))</f>
        <v/>
      </c>
    </row>
    <row r="2416" spans="152:167">
      <c r="EV2416" s="28">
        <f t="shared" si="75"/>
        <v>0</v>
      </c>
      <c r="FH2416" s="29" t="str">
        <f t="shared" si="76"/>
        <v/>
      </c>
      <c r="FJ2416" s="36" t="str">
        <f>IF($FH2416="","",SUM($FN2416:$FN$7000))</f>
        <v/>
      </c>
      <c r="FK2416" s="36" t="str">
        <f>IF($FH2416="","",SUM($FN2416:$FN$7000))</f>
        <v/>
      </c>
    </row>
    <row r="2417" spans="152:167">
      <c r="EV2417" s="28">
        <f t="shared" si="75"/>
        <v>0</v>
      </c>
      <c r="FH2417" s="29" t="str">
        <f t="shared" si="76"/>
        <v/>
      </c>
      <c r="FJ2417" s="36" t="str">
        <f>IF($FH2417="","",SUM($FN2417:$FN$7000))</f>
        <v/>
      </c>
      <c r="FK2417" s="36" t="str">
        <f>IF($FH2417="","",SUM($FN2417:$FN$7000))</f>
        <v/>
      </c>
    </row>
    <row r="2418" spans="152:167">
      <c r="EV2418" s="28">
        <f t="shared" si="75"/>
        <v>0</v>
      </c>
      <c r="FH2418" s="29" t="str">
        <f t="shared" si="76"/>
        <v/>
      </c>
      <c r="FJ2418" s="36" t="str">
        <f>IF($FH2418="","",SUM($FN2418:$FN$7000))</f>
        <v/>
      </c>
      <c r="FK2418" s="36" t="str">
        <f>IF($FH2418="","",SUM($FN2418:$FN$7000))</f>
        <v/>
      </c>
    </row>
    <row r="2419" spans="152:167">
      <c r="EV2419" s="28">
        <f t="shared" si="75"/>
        <v>0</v>
      </c>
      <c r="FH2419" s="29" t="str">
        <f t="shared" si="76"/>
        <v/>
      </c>
      <c r="FJ2419" s="36" t="str">
        <f>IF($FH2419="","",SUM($FN2419:$FN$7000))</f>
        <v/>
      </c>
      <c r="FK2419" s="36" t="str">
        <f>IF($FH2419="","",SUM($FN2419:$FN$7000))</f>
        <v/>
      </c>
    </row>
    <row r="2420" spans="152:167">
      <c r="EV2420" s="28">
        <f t="shared" si="75"/>
        <v>0</v>
      </c>
      <c r="FH2420" s="29" t="str">
        <f t="shared" si="76"/>
        <v/>
      </c>
      <c r="FJ2420" s="36" t="str">
        <f>IF($FH2420="","",SUM($FN2420:$FN$7000))</f>
        <v/>
      </c>
      <c r="FK2420" s="36" t="str">
        <f>IF($FH2420="","",SUM($FN2420:$FN$7000))</f>
        <v/>
      </c>
    </row>
    <row r="2421" spans="152:167">
      <c r="EV2421" s="28">
        <f t="shared" si="75"/>
        <v>0</v>
      </c>
      <c r="FH2421" s="29" t="str">
        <f t="shared" si="76"/>
        <v/>
      </c>
      <c r="FJ2421" s="36" t="str">
        <f>IF($FH2421="","",SUM($FN2421:$FN$7000))</f>
        <v/>
      </c>
      <c r="FK2421" s="36" t="str">
        <f>IF($FH2421="","",SUM($FN2421:$FN$7000))</f>
        <v/>
      </c>
    </row>
    <row r="2422" spans="152:167">
      <c r="EV2422" s="28">
        <f t="shared" si="75"/>
        <v>0</v>
      </c>
      <c r="FH2422" s="29" t="str">
        <f t="shared" si="76"/>
        <v/>
      </c>
      <c r="FJ2422" s="36" t="str">
        <f>IF($FH2422="","",SUM($FN2422:$FN$7000))</f>
        <v/>
      </c>
      <c r="FK2422" s="36" t="str">
        <f>IF($FH2422="","",SUM($FN2422:$FN$7000))</f>
        <v/>
      </c>
    </row>
    <row r="2423" spans="152:167">
      <c r="EV2423" s="28">
        <f t="shared" si="75"/>
        <v>0</v>
      </c>
      <c r="FH2423" s="29" t="str">
        <f t="shared" si="76"/>
        <v/>
      </c>
      <c r="FJ2423" s="36" t="str">
        <f>IF($FH2423="","",SUM($FN2423:$FN$7000))</f>
        <v/>
      </c>
      <c r="FK2423" s="36" t="str">
        <f>IF($FH2423="","",SUM($FN2423:$FN$7000))</f>
        <v/>
      </c>
    </row>
    <row r="2424" spans="152:167">
      <c r="EV2424" s="28">
        <f t="shared" si="75"/>
        <v>0</v>
      </c>
      <c r="FH2424" s="29" t="str">
        <f t="shared" si="76"/>
        <v/>
      </c>
      <c r="FJ2424" s="36" t="str">
        <f>IF($FH2424="","",SUM($FN2424:$FN$7000))</f>
        <v/>
      </c>
      <c r="FK2424" s="36" t="str">
        <f>IF($FH2424="","",SUM($FN2424:$FN$7000))</f>
        <v/>
      </c>
    </row>
    <row r="2425" spans="152:167">
      <c r="EV2425" s="28">
        <f t="shared" si="75"/>
        <v>0</v>
      </c>
      <c r="FH2425" s="29" t="str">
        <f t="shared" si="76"/>
        <v/>
      </c>
      <c r="FJ2425" s="36" t="str">
        <f>IF($FH2425="","",SUM($FN2425:$FN$7000))</f>
        <v/>
      </c>
      <c r="FK2425" s="36" t="str">
        <f>IF($FH2425="","",SUM($FN2425:$FN$7000))</f>
        <v/>
      </c>
    </row>
    <row r="2426" spans="152:167">
      <c r="EV2426" s="28">
        <f t="shared" si="75"/>
        <v>0</v>
      </c>
      <c r="FH2426" s="29" t="str">
        <f t="shared" si="76"/>
        <v/>
      </c>
      <c r="FJ2426" s="36" t="str">
        <f>IF($FH2426="","",SUM($FN2426:$FN$7000))</f>
        <v/>
      </c>
      <c r="FK2426" s="36" t="str">
        <f>IF($FH2426="","",SUM($FN2426:$FN$7000))</f>
        <v/>
      </c>
    </row>
    <row r="2427" spans="152:167">
      <c r="EV2427" s="28">
        <f t="shared" si="75"/>
        <v>0</v>
      </c>
      <c r="FH2427" s="29" t="str">
        <f t="shared" si="76"/>
        <v/>
      </c>
      <c r="FJ2427" s="36" t="str">
        <f>IF($FH2427="","",SUM($FN2427:$FN$7000))</f>
        <v/>
      </c>
      <c r="FK2427" s="36" t="str">
        <f>IF($FH2427="","",SUM($FN2427:$FN$7000))</f>
        <v/>
      </c>
    </row>
    <row r="2428" spans="152:167">
      <c r="EV2428" s="28">
        <f t="shared" si="75"/>
        <v>0</v>
      </c>
      <c r="FH2428" s="29" t="str">
        <f t="shared" si="76"/>
        <v/>
      </c>
      <c r="FJ2428" s="36" t="str">
        <f>IF($FH2428="","",SUM($FN2428:$FN$7000))</f>
        <v/>
      </c>
      <c r="FK2428" s="36" t="str">
        <f>IF($FH2428="","",SUM($FN2428:$FN$7000))</f>
        <v/>
      </c>
    </row>
    <row r="2429" spans="152:167">
      <c r="EV2429" s="28">
        <f t="shared" si="75"/>
        <v>0</v>
      </c>
      <c r="FH2429" s="29" t="str">
        <f t="shared" si="76"/>
        <v/>
      </c>
      <c r="FJ2429" s="36" t="str">
        <f>IF($FH2429="","",SUM($FN2429:$FN$7000))</f>
        <v/>
      </c>
      <c r="FK2429" s="36" t="str">
        <f>IF($FH2429="","",SUM($FN2429:$FN$7000))</f>
        <v/>
      </c>
    </row>
    <row r="2430" spans="152:167">
      <c r="EV2430" s="28">
        <f t="shared" si="75"/>
        <v>0</v>
      </c>
      <c r="FH2430" s="29" t="str">
        <f t="shared" si="76"/>
        <v/>
      </c>
      <c r="FJ2430" s="36" t="str">
        <f>IF($FH2430="","",SUM($FN2430:$FN$7000))</f>
        <v/>
      </c>
      <c r="FK2430" s="36" t="str">
        <f>IF($FH2430="","",SUM($FN2430:$FN$7000))</f>
        <v/>
      </c>
    </row>
    <row r="2431" spans="152:167">
      <c r="EV2431" s="28">
        <f t="shared" si="75"/>
        <v>0</v>
      </c>
      <c r="FH2431" s="29" t="str">
        <f t="shared" si="76"/>
        <v/>
      </c>
      <c r="FJ2431" s="36" t="str">
        <f>IF($FH2431="","",SUM($FN2431:$FN$7000))</f>
        <v/>
      </c>
      <c r="FK2431" s="36" t="str">
        <f>IF($FH2431="","",SUM($FN2431:$FN$7000))</f>
        <v/>
      </c>
    </row>
    <row r="2432" spans="152:167">
      <c r="EV2432" s="28">
        <f t="shared" si="75"/>
        <v>0</v>
      </c>
      <c r="FH2432" s="29" t="str">
        <f t="shared" si="76"/>
        <v/>
      </c>
      <c r="FJ2432" s="36" t="str">
        <f>IF($FH2432="","",SUM($FN2432:$FN$7000))</f>
        <v/>
      </c>
      <c r="FK2432" s="36" t="str">
        <f>IF($FH2432="","",SUM($FN2432:$FN$7000))</f>
        <v/>
      </c>
    </row>
    <row r="2433" spans="152:167">
      <c r="EV2433" s="28">
        <f t="shared" si="75"/>
        <v>0</v>
      </c>
      <c r="FH2433" s="29" t="str">
        <f t="shared" si="76"/>
        <v/>
      </c>
      <c r="FJ2433" s="36" t="str">
        <f>IF($FH2433="","",SUM($FN2433:$FN$7000))</f>
        <v/>
      </c>
      <c r="FK2433" s="36" t="str">
        <f>IF($FH2433="","",SUM($FN2433:$FN$7000))</f>
        <v/>
      </c>
    </row>
    <row r="2434" spans="152:167">
      <c r="EV2434" s="28">
        <f t="shared" si="75"/>
        <v>0</v>
      </c>
      <c r="FH2434" s="29" t="str">
        <f t="shared" si="76"/>
        <v/>
      </c>
      <c r="FJ2434" s="36" t="str">
        <f>IF($FH2434="","",SUM($FN2434:$FN$7000))</f>
        <v/>
      </c>
      <c r="FK2434" s="36" t="str">
        <f>IF($FH2434="","",SUM($FN2434:$FN$7000))</f>
        <v/>
      </c>
    </row>
    <row r="2435" spans="152:167">
      <c r="EV2435" s="28">
        <f t="shared" si="75"/>
        <v>0</v>
      </c>
      <c r="FH2435" s="29" t="str">
        <f t="shared" si="76"/>
        <v/>
      </c>
      <c r="FJ2435" s="36" t="str">
        <f>IF($FH2435="","",SUM($FN2435:$FN$7000))</f>
        <v/>
      </c>
      <c r="FK2435" s="36" t="str">
        <f>IF($FH2435="","",SUM($FN2435:$FN$7000))</f>
        <v/>
      </c>
    </row>
    <row r="2436" spans="152:167">
      <c r="EV2436" s="28">
        <f t="shared" si="75"/>
        <v>0</v>
      </c>
      <c r="FH2436" s="29" t="str">
        <f t="shared" si="76"/>
        <v/>
      </c>
      <c r="FJ2436" s="36" t="str">
        <f>IF($FH2436="","",SUM($FN2436:$FN$7000))</f>
        <v/>
      </c>
      <c r="FK2436" s="36" t="str">
        <f>IF($FH2436="","",SUM($FN2436:$FN$7000))</f>
        <v/>
      </c>
    </row>
    <row r="2437" spans="152:167">
      <c r="EV2437" s="28">
        <f t="shared" si="75"/>
        <v>0</v>
      </c>
      <c r="FH2437" s="29" t="str">
        <f t="shared" si="76"/>
        <v/>
      </c>
      <c r="FJ2437" s="36" t="str">
        <f>IF($FH2437="","",SUM($FN2437:$FN$7000))</f>
        <v/>
      </c>
      <c r="FK2437" s="36" t="str">
        <f>IF($FH2437="","",SUM($FN2437:$FN$7000))</f>
        <v/>
      </c>
    </row>
    <row r="2438" spans="152:167">
      <c r="EV2438" s="28">
        <f t="shared" si="75"/>
        <v>0</v>
      </c>
      <c r="FH2438" s="29" t="str">
        <f t="shared" si="76"/>
        <v/>
      </c>
      <c r="FJ2438" s="36" t="str">
        <f>IF($FH2438="","",SUM($FN2438:$FN$7000))</f>
        <v/>
      </c>
      <c r="FK2438" s="36" t="str">
        <f>IF($FH2438="","",SUM($FN2438:$FN$7000))</f>
        <v/>
      </c>
    </row>
    <row r="2439" spans="152:167">
      <c r="EV2439" s="28">
        <f t="shared" si="75"/>
        <v>0</v>
      </c>
      <c r="FH2439" s="29" t="str">
        <f t="shared" si="76"/>
        <v/>
      </c>
      <c r="FJ2439" s="36" t="str">
        <f>IF($FH2439="","",SUM($FN2439:$FN$7000))</f>
        <v/>
      </c>
      <c r="FK2439" s="36" t="str">
        <f>IF($FH2439="","",SUM($FN2439:$FN$7000))</f>
        <v/>
      </c>
    </row>
    <row r="2440" spans="152:167">
      <c r="EV2440" s="28">
        <f t="shared" si="75"/>
        <v>0</v>
      </c>
      <c r="FH2440" s="29" t="str">
        <f t="shared" si="76"/>
        <v/>
      </c>
      <c r="FJ2440" s="36" t="str">
        <f>IF($FH2440="","",SUM($FN2440:$FN$7000))</f>
        <v/>
      </c>
      <c r="FK2440" s="36" t="str">
        <f>IF($FH2440="","",SUM($FN2440:$FN$7000))</f>
        <v/>
      </c>
    </row>
    <row r="2441" spans="152:167">
      <c r="EV2441" s="28">
        <f t="shared" si="75"/>
        <v>0</v>
      </c>
      <c r="FH2441" s="29" t="str">
        <f t="shared" si="76"/>
        <v/>
      </c>
      <c r="FJ2441" s="36" t="str">
        <f>IF($FH2441="","",SUM($FN2441:$FN$7000))</f>
        <v/>
      </c>
      <c r="FK2441" s="36" t="str">
        <f>IF($FH2441="","",SUM($FN2441:$FN$7000))</f>
        <v/>
      </c>
    </row>
    <row r="2442" spans="152:167">
      <c r="EV2442" s="28">
        <f t="shared" si="75"/>
        <v>0</v>
      </c>
      <c r="FH2442" s="29" t="str">
        <f t="shared" si="76"/>
        <v/>
      </c>
      <c r="FJ2442" s="36" t="str">
        <f>IF($FH2442="","",SUM($FN2442:$FN$7000))</f>
        <v/>
      </c>
      <c r="FK2442" s="36" t="str">
        <f>IF($FH2442="","",SUM($FN2442:$FN$7000))</f>
        <v/>
      </c>
    </row>
    <row r="2443" spans="152:167">
      <c r="EV2443" s="28">
        <f t="shared" ref="EV2443:EV2506" si="77">EU2443-ET2443</f>
        <v>0</v>
      </c>
      <c r="FH2443" s="29" t="str">
        <f t="shared" ref="FH2443:FH2506" si="78">IF(FL2443="","",FL2443)</f>
        <v/>
      </c>
      <c r="FJ2443" s="36" t="str">
        <f>IF($FH2443="","",SUM($FN2443:$FN$7000))</f>
        <v/>
      </c>
      <c r="FK2443" s="36" t="str">
        <f>IF($FH2443="","",SUM($FN2443:$FN$7000))</f>
        <v/>
      </c>
    </row>
    <row r="2444" spans="152:167">
      <c r="EV2444" s="28">
        <f t="shared" si="77"/>
        <v>0</v>
      </c>
      <c r="FH2444" s="29" t="str">
        <f t="shared" si="78"/>
        <v/>
      </c>
      <c r="FJ2444" s="36" t="str">
        <f>IF($FH2444="","",SUM($FN2444:$FN$7000))</f>
        <v/>
      </c>
      <c r="FK2444" s="36" t="str">
        <f>IF($FH2444="","",SUM($FN2444:$FN$7000))</f>
        <v/>
      </c>
    </row>
    <row r="2445" spans="152:167">
      <c r="EV2445" s="28">
        <f t="shared" si="77"/>
        <v>0</v>
      </c>
      <c r="FH2445" s="29" t="str">
        <f t="shared" si="78"/>
        <v/>
      </c>
      <c r="FJ2445" s="36" t="str">
        <f>IF($FH2445="","",SUM($FN2445:$FN$7000))</f>
        <v/>
      </c>
      <c r="FK2445" s="36" t="str">
        <f>IF($FH2445="","",SUM($FN2445:$FN$7000))</f>
        <v/>
      </c>
    </row>
    <row r="2446" spans="152:167">
      <c r="EV2446" s="28">
        <f t="shared" si="77"/>
        <v>0</v>
      </c>
      <c r="FH2446" s="29" t="str">
        <f t="shared" si="78"/>
        <v/>
      </c>
      <c r="FJ2446" s="36" t="str">
        <f>IF($FH2446="","",SUM($FN2446:$FN$7000))</f>
        <v/>
      </c>
      <c r="FK2446" s="36" t="str">
        <f>IF($FH2446="","",SUM($FN2446:$FN$7000))</f>
        <v/>
      </c>
    </row>
    <row r="2447" spans="152:167">
      <c r="EV2447" s="28">
        <f t="shared" si="77"/>
        <v>0</v>
      </c>
      <c r="FH2447" s="29" t="str">
        <f t="shared" si="78"/>
        <v/>
      </c>
      <c r="FJ2447" s="36" t="str">
        <f>IF($FH2447="","",SUM($FN2447:$FN$7000))</f>
        <v/>
      </c>
      <c r="FK2447" s="36" t="str">
        <f>IF($FH2447="","",SUM($FN2447:$FN$7000))</f>
        <v/>
      </c>
    </row>
    <row r="2448" spans="152:167">
      <c r="EV2448" s="28">
        <f t="shared" si="77"/>
        <v>0</v>
      </c>
      <c r="FH2448" s="29" t="str">
        <f t="shared" si="78"/>
        <v/>
      </c>
      <c r="FJ2448" s="36" t="str">
        <f>IF($FH2448="","",SUM($FN2448:$FN$7000))</f>
        <v/>
      </c>
      <c r="FK2448" s="36" t="str">
        <f>IF($FH2448="","",SUM($FN2448:$FN$7000))</f>
        <v/>
      </c>
    </row>
    <row r="2449" spans="152:167">
      <c r="EV2449" s="28">
        <f t="shared" si="77"/>
        <v>0</v>
      </c>
      <c r="FH2449" s="29" t="str">
        <f t="shared" si="78"/>
        <v/>
      </c>
      <c r="FJ2449" s="36" t="str">
        <f>IF($FH2449="","",SUM($FN2449:$FN$7000))</f>
        <v/>
      </c>
      <c r="FK2449" s="36" t="str">
        <f>IF($FH2449="","",SUM($FN2449:$FN$7000))</f>
        <v/>
      </c>
    </row>
    <row r="2450" spans="152:167">
      <c r="EV2450" s="28">
        <f t="shared" si="77"/>
        <v>0</v>
      </c>
      <c r="FH2450" s="29" t="str">
        <f t="shared" si="78"/>
        <v/>
      </c>
      <c r="FJ2450" s="36" t="str">
        <f>IF($FH2450="","",SUM($FN2450:$FN$7000))</f>
        <v/>
      </c>
      <c r="FK2450" s="36" t="str">
        <f>IF($FH2450="","",SUM($FN2450:$FN$7000))</f>
        <v/>
      </c>
    </row>
    <row r="2451" spans="152:167">
      <c r="EV2451" s="28">
        <f t="shared" si="77"/>
        <v>0</v>
      </c>
      <c r="FH2451" s="29" t="str">
        <f t="shared" si="78"/>
        <v/>
      </c>
      <c r="FJ2451" s="36" t="str">
        <f>IF($FH2451="","",SUM($FN2451:$FN$7000))</f>
        <v/>
      </c>
      <c r="FK2451" s="36" t="str">
        <f>IF($FH2451="","",SUM($FN2451:$FN$7000))</f>
        <v/>
      </c>
    </row>
    <row r="2452" spans="152:167">
      <c r="EV2452" s="28">
        <f t="shared" si="77"/>
        <v>0</v>
      </c>
      <c r="FH2452" s="29" t="str">
        <f t="shared" si="78"/>
        <v/>
      </c>
      <c r="FJ2452" s="36" t="str">
        <f>IF($FH2452="","",SUM($FN2452:$FN$7000))</f>
        <v/>
      </c>
      <c r="FK2452" s="36" t="str">
        <f>IF($FH2452="","",SUM($FN2452:$FN$7000))</f>
        <v/>
      </c>
    </row>
    <row r="2453" spans="152:167">
      <c r="EV2453" s="28">
        <f t="shared" si="77"/>
        <v>0</v>
      </c>
      <c r="FH2453" s="29" t="str">
        <f t="shared" si="78"/>
        <v/>
      </c>
      <c r="FJ2453" s="36" t="str">
        <f>IF($FH2453="","",SUM($FN2453:$FN$7000))</f>
        <v/>
      </c>
      <c r="FK2453" s="36" t="str">
        <f>IF($FH2453="","",SUM($FN2453:$FN$7000))</f>
        <v/>
      </c>
    </row>
    <row r="2454" spans="152:167">
      <c r="EV2454" s="28">
        <f t="shared" si="77"/>
        <v>0</v>
      </c>
      <c r="FH2454" s="29" t="str">
        <f t="shared" si="78"/>
        <v/>
      </c>
      <c r="FJ2454" s="36" t="str">
        <f>IF($FH2454="","",SUM($FN2454:$FN$7000))</f>
        <v/>
      </c>
      <c r="FK2454" s="36" t="str">
        <f>IF($FH2454="","",SUM($FN2454:$FN$7000))</f>
        <v/>
      </c>
    </row>
    <row r="2455" spans="152:167">
      <c r="EV2455" s="28">
        <f t="shared" si="77"/>
        <v>0</v>
      </c>
      <c r="FH2455" s="29" t="str">
        <f t="shared" si="78"/>
        <v/>
      </c>
      <c r="FJ2455" s="36" t="str">
        <f>IF($FH2455="","",SUM($FN2455:$FN$7000))</f>
        <v/>
      </c>
      <c r="FK2455" s="36" t="str">
        <f>IF($FH2455="","",SUM($FN2455:$FN$7000))</f>
        <v/>
      </c>
    </row>
    <row r="2456" spans="152:167">
      <c r="EV2456" s="28">
        <f t="shared" si="77"/>
        <v>0</v>
      </c>
      <c r="FH2456" s="29" t="str">
        <f t="shared" si="78"/>
        <v/>
      </c>
      <c r="FJ2456" s="36" t="str">
        <f>IF($FH2456="","",SUM($FN2456:$FN$7000))</f>
        <v/>
      </c>
      <c r="FK2456" s="36" t="str">
        <f>IF($FH2456="","",SUM($FN2456:$FN$7000))</f>
        <v/>
      </c>
    </row>
    <row r="2457" spans="152:167">
      <c r="EV2457" s="28">
        <f t="shared" si="77"/>
        <v>0</v>
      </c>
      <c r="FH2457" s="29" t="str">
        <f t="shared" si="78"/>
        <v/>
      </c>
      <c r="FJ2457" s="36" t="str">
        <f>IF($FH2457="","",SUM($FN2457:$FN$7000))</f>
        <v/>
      </c>
      <c r="FK2457" s="36" t="str">
        <f>IF($FH2457="","",SUM($FN2457:$FN$7000))</f>
        <v/>
      </c>
    </row>
    <row r="2458" spans="152:167">
      <c r="EV2458" s="28">
        <f t="shared" si="77"/>
        <v>0</v>
      </c>
      <c r="FH2458" s="29" t="str">
        <f t="shared" si="78"/>
        <v/>
      </c>
      <c r="FJ2458" s="36" t="str">
        <f>IF($FH2458="","",SUM($FN2458:$FN$7000))</f>
        <v/>
      </c>
      <c r="FK2458" s="36" t="str">
        <f>IF($FH2458="","",SUM($FN2458:$FN$7000))</f>
        <v/>
      </c>
    </row>
    <row r="2459" spans="152:167">
      <c r="EV2459" s="28">
        <f t="shared" si="77"/>
        <v>0</v>
      </c>
      <c r="FH2459" s="29" t="str">
        <f t="shared" si="78"/>
        <v/>
      </c>
      <c r="FJ2459" s="36" t="str">
        <f>IF($FH2459="","",SUM($FN2459:$FN$7000))</f>
        <v/>
      </c>
      <c r="FK2459" s="36" t="str">
        <f>IF($FH2459="","",SUM($FN2459:$FN$7000))</f>
        <v/>
      </c>
    </row>
    <row r="2460" spans="152:167">
      <c r="EV2460" s="28">
        <f t="shared" si="77"/>
        <v>0</v>
      </c>
      <c r="FH2460" s="29" t="str">
        <f t="shared" si="78"/>
        <v/>
      </c>
      <c r="FJ2460" s="36" t="str">
        <f>IF($FH2460="","",SUM($FN2460:$FN$7000))</f>
        <v/>
      </c>
      <c r="FK2460" s="36" t="str">
        <f>IF($FH2460="","",SUM($FN2460:$FN$7000))</f>
        <v/>
      </c>
    </row>
    <row r="2461" spans="152:167">
      <c r="EV2461" s="28">
        <f t="shared" si="77"/>
        <v>0</v>
      </c>
      <c r="FH2461" s="29" t="str">
        <f t="shared" si="78"/>
        <v/>
      </c>
      <c r="FJ2461" s="36" t="str">
        <f>IF($FH2461="","",SUM($FN2461:$FN$7000))</f>
        <v/>
      </c>
      <c r="FK2461" s="36" t="str">
        <f>IF($FH2461="","",SUM($FN2461:$FN$7000))</f>
        <v/>
      </c>
    </row>
    <row r="2462" spans="152:167">
      <c r="EV2462" s="28">
        <f t="shared" si="77"/>
        <v>0</v>
      </c>
      <c r="FH2462" s="29" t="str">
        <f t="shared" si="78"/>
        <v/>
      </c>
      <c r="FJ2462" s="36" t="str">
        <f>IF($FH2462="","",SUM($FN2462:$FN$7000))</f>
        <v/>
      </c>
      <c r="FK2462" s="36" t="str">
        <f>IF($FH2462="","",SUM($FN2462:$FN$7000))</f>
        <v/>
      </c>
    </row>
    <row r="2463" spans="152:167">
      <c r="EV2463" s="28">
        <f t="shared" si="77"/>
        <v>0</v>
      </c>
      <c r="FH2463" s="29" t="str">
        <f t="shared" si="78"/>
        <v/>
      </c>
      <c r="FJ2463" s="36" t="str">
        <f>IF($FH2463="","",SUM($FN2463:$FN$7000))</f>
        <v/>
      </c>
      <c r="FK2463" s="36" t="str">
        <f>IF($FH2463="","",SUM($FN2463:$FN$7000))</f>
        <v/>
      </c>
    </row>
    <row r="2464" spans="152:167">
      <c r="EV2464" s="28">
        <f t="shared" si="77"/>
        <v>0</v>
      </c>
      <c r="FH2464" s="29" t="str">
        <f t="shared" si="78"/>
        <v/>
      </c>
      <c r="FJ2464" s="36" t="str">
        <f>IF($FH2464="","",SUM($FN2464:$FN$7000))</f>
        <v/>
      </c>
      <c r="FK2464" s="36" t="str">
        <f>IF($FH2464="","",SUM($FN2464:$FN$7000))</f>
        <v/>
      </c>
    </row>
    <row r="2465" spans="152:167">
      <c r="EV2465" s="28">
        <f t="shared" si="77"/>
        <v>0</v>
      </c>
      <c r="FH2465" s="29" t="str">
        <f t="shared" si="78"/>
        <v/>
      </c>
      <c r="FJ2465" s="36" t="str">
        <f>IF($FH2465="","",SUM($FN2465:$FN$7000))</f>
        <v/>
      </c>
      <c r="FK2465" s="36" t="str">
        <f>IF($FH2465="","",SUM($FN2465:$FN$7000))</f>
        <v/>
      </c>
    </row>
    <row r="2466" spans="152:167">
      <c r="EV2466" s="28">
        <f t="shared" si="77"/>
        <v>0</v>
      </c>
      <c r="FH2466" s="29" t="str">
        <f t="shared" si="78"/>
        <v/>
      </c>
      <c r="FJ2466" s="36" t="str">
        <f>IF($FH2466="","",SUM($FN2466:$FN$7000))</f>
        <v/>
      </c>
      <c r="FK2466" s="36" t="str">
        <f>IF($FH2466="","",SUM($FN2466:$FN$7000))</f>
        <v/>
      </c>
    </row>
    <row r="2467" spans="152:167">
      <c r="EV2467" s="28">
        <f t="shared" si="77"/>
        <v>0</v>
      </c>
      <c r="FH2467" s="29" t="str">
        <f t="shared" si="78"/>
        <v/>
      </c>
      <c r="FJ2467" s="36" t="str">
        <f>IF($FH2467="","",SUM($FN2467:$FN$7000))</f>
        <v/>
      </c>
      <c r="FK2467" s="36" t="str">
        <f>IF($FH2467="","",SUM($FN2467:$FN$7000))</f>
        <v/>
      </c>
    </row>
    <row r="2468" spans="152:167">
      <c r="EV2468" s="28">
        <f t="shared" si="77"/>
        <v>0</v>
      </c>
      <c r="FH2468" s="29" t="str">
        <f t="shared" si="78"/>
        <v/>
      </c>
      <c r="FJ2468" s="36" t="str">
        <f>IF($FH2468="","",SUM($FN2468:$FN$7000))</f>
        <v/>
      </c>
      <c r="FK2468" s="36" t="str">
        <f>IF($FH2468="","",SUM($FN2468:$FN$7000))</f>
        <v/>
      </c>
    </row>
    <row r="2469" spans="152:167">
      <c r="EV2469" s="28">
        <f t="shared" si="77"/>
        <v>0</v>
      </c>
      <c r="FH2469" s="29" t="str">
        <f t="shared" si="78"/>
        <v/>
      </c>
      <c r="FJ2469" s="36" t="str">
        <f>IF($FH2469="","",SUM($FN2469:$FN$7000))</f>
        <v/>
      </c>
      <c r="FK2469" s="36" t="str">
        <f>IF($FH2469="","",SUM($FN2469:$FN$7000))</f>
        <v/>
      </c>
    </row>
    <row r="2470" spans="152:167">
      <c r="EV2470" s="28">
        <f t="shared" si="77"/>
        <v>0</v>
      </c>
      <c r="FH2470" s="29" t="str">
        <f t="shared" si="78"/>
        <v/>
      </c>
      <c r="FJ2470" s="36" t="str">
        <f>IF($FH2470="","",SUM($FN2470:$FN$7000))</f>
        <v/>
      </c>
      <c r="FK2470" s="36" t="str">
        <f>IF($FH2470="","",SUM($FN2470:$FN$7000))</f>
        <v/>
      </c>
    </row>
    <row r="2471" spans="152:167">
      <c r="EV2471" s="28">
        <f t="shared" si="77"/>
        <v>0</v>
      </c>
      <c r="FH2471" s="29" t="str">
        <f t="shared" si="78"/>
        <v/>
      </c>
      <c r="FJ2471" s="36" t="str">
        <f>IF($FH2471="","",SUM($FN2471:$FN$7000))</f>
        <v/>
      </c>
      <c r="FK2471" s="36" t="str">
        <f>IF($FH2471="","",SUM($FN2471:$FN$7000))</f>
        <v/>
      </c>
    </row>
    <row r="2472" spans="152:167">
      <c r="EV2472" s="28">
        <f t="shared" si="77"/>
        <v>0</v>
      </c>
      <c r="FH2472" s="29" t="str">
        <f t="shared" si="78"/>
        <v/>
      </c>
      <c r="FJ2472" s="36" t="str">
        <f>IF($FH2472="","",SUM($FN2472:$FN$7000))</f>
        <v/>
      </c>
      <c r="FK2472" s="36" t="str">
        <f>IF($FH2472="","",SUM($FN2472:$FN$7000))</f>
        <v/>
      </c>
    </row>
    <row r="2473" spans="152:167">
      <c r="EV2473" s="28">
        <f t="shared" si="77"/>
        <v>0</v>
      </c>
      <c r="FH2473" s="29" t="str">
        <f t="shared" si="78"/>
        <v/>
      </c>
      <c r="FJ2473" s="36" t="str">
        <f>IF($FH2473="","",SUM($FN2473:$FN$7000))</f>
        <v/>
      </c>
      <c r="FK2473" s="36" t="str">
        <f>IF($FH2473="","",SUM($FN2473:$FN$7000))</f>
        <v/>
      </c>
    </row>
    <row r="2474" spans="152:167">
      <c r="EV2474" s="28">
        <f t="shared" si="77"/>
        <v>0</v>
      </c>
      <c r="FH2474" s="29" t="str">
        <f t="shared" si="78"/>
        <v/>
      </c>
      <c r="FJ2474" s="36" t="str">
        <f>IF($FH2474="","",SUM($FN2474:$FN$7000))</f>
        <v/>
      </c>
      <c r="FK2474" s="36" t="str">
        <f>IF($FH2474="","",SUM($FN2474:$FN$7000))</f>
        <v/>
      </c>
    </row>
    <row r="2475" spans="152:167">
      <c r="EV2475" s="28">
        <f t="shared" si="77"/>
        <v>0</v>
      </c>
      <c r="FH2475" s="29" t="str">
        <f t="shared" si="78"/>
        <v/>
      </c>
      <c r="FJ2475" s="36" t="str">
        <f>IF($FH2475="","",SUM($FN2475:$FN$7000))</f>
        <v/>
      </c>
      <c r="FK2475" s="36" t="str">
        <f>IF($FH2475="","",SUM($FN2475:$FN$7000))</f>
        <v/>
      </c>
    </row>
    <row r="2476" spans="152:167">
      <c r="EV2476" s="28">
        <f t="shared" si="77"/>
        <v>0</v>
      </c>
      <c r="FH2476" s="29" t="str">
        <f t="shared" si="78"/>
        <v/>
      </c>
      <c r="FJ2476" s="36" t="str">
        <f>IF($FH2476="","",SUM($FN2476:$FN$7000))</f>
        <v/>
      </c>
      <c r="FK2476" s="36" t="str">
        <f>IF($FH2476="","",SUM($FN2476:$FN$7000))</f>
        <v/>
      </c>
    </row>
    <row r="2477" spans="152:167">
      <c r="EV2477" s="28">
        <f t="shared" si="77"/>
        <v>0</v>
      </c>
      <c r="FH2477" s="29" t="str">
        <f t="shared" si="78"/>
        <v/>
      </c>
      <c r="FJ2477" s="36" t="str">
        <f>IF($FH2477="","",SUM($FN2477:$FN$7000))</f>
        <v/>
      </c>
      <c r="FK2477" s="36" t="str">
        <f>IF($FH2477="","",SUM($FN2477:$FN$7000))</f>
        <v/>
      </c>
    </row>
    <row r="2478" spans="152:167">
      <c r="EV2478" s="28">
        <f t="shared" si="77"/>
        <v>0</v>
      </c>
      <c r="FH2478" s="29" t="str">
        <f t="shared" si="78"/>
        <v/>
      </c>
      <c r="FJ2478" s="36" t="str">
        <f>IF($FH2478="","",SUM($FN2478:$FN$7000))</f>
        <v/>
      </c>
      <c r="FK2478" s="36" t="str">
        <f>IF($FH2478="","",SUM($FN2478:$FN$7000))</f>
        <v/>
      </c>
    </row>
    <row r="2479" spans="152:167">
      <c r="EV2479" s="28">
        <f t="shared" si="77"/>
        <v>0</v>
      </c>
      <c r="FH2479" s="29" t="str">
        <f t="shared" si="78"/>
        <v/>
      </c>
      <c r="FJ2479" s="36" t="str">
        <f>IF($FH2479="","",SUM($FN2479:$FN$7000))</f>
        <v/>
      </c>
      <c r="FK2479" s="36" t="str">
        <f>IF($FH2479="","",SUM($FN2479:$FN$7000))</f>
        <v/>
      </c>
    </row>
    <row r="2480" spans="152:167">
      <c r="EV2480" s="28">
        <f t="shared" si="77"/>
        <v>0</v>
      </c>
      <c r="FH2480" s="29" t="str">
        <f t="shared" si="78"/>
        <v/>
      </c>
      <c r="FJ2480" s="36" t="str">
        <f>IF($FH2480="","",SUM($FN2480:$FN$7000))</f>
        <v/>
      </c>
      <c r="FK2480" s="36" t="str">
        <f>IF($FH2480="","",SUM($FN2480:$FN$7000))</f>
        <v/>
      </c>
    </row>
    <row r="2481" spans="152:167">
      <c r="EV2481" s="28">
        <f t="shared" si="77"/>
        <v>0</v>
      </c>
      <c r="FH2481" s="29" t="str">
        <f t="shared" si="78"/>
        <v/>
      </c>
      <c r="FJ2481" s="36" t="str">
        <f>IF($FH2481="","",SUM($FN2481:$FN$7000))</f>
        <v/>
      </c>
      <c r="FK2481" s="36" t="str">
        <f>IF($FH2481="","",SUM($FN2481:$FN$7000))</f>
        <v/>
      </c>
    </row>
    <row r="2482" spans="152:167">
      <c r="EV2482" s="28">
        <f t="shared" si="77"/>
        <v>0</v>
      </c>
      <c r="FH2482" s="29" t="str">
        <f t="shared" si="78"/>
        <v/>
      </c>
      <c r="FJ2482" s="36" t="str">
        <f>IF($FH2482="","",SUM($FN2482:$FN$7000))</f>
        <v/>
      </c>
      <c r="FK2482" s="36" t="str">
        <f>IF($FH2482="","",SUM($FN2482:$FN$7000))</f>
        <v/>
      </c>
    </row>
    <row r="2483" spans="152:167">
      <c r="EV2483" s="28">
        <f t="shared" si="77"/>
        <v>0</v>
      </c>
      <c r="FH2483" s="29" t="str">
        <f t="shared" si="78"/>
        <v/>
      </c>
      <c r="FJ2483" s="36" t="str">
        <f>IF($FH2483="","",SUM($FN2483:$FN$7000))</f>
        <v/>
      </c>
      <c r="FK2483" s="36" t="str">
        <f>IF($FH2483="","",SUM($FN2483:$FN$7000))</f>
        <v/>
      </c>
    </row>
    <row r="2484" spans="152:167">
      <c r="EV2484" s="28">
        <f t="shared" si="77"/>
        <v>0</v>
      </c>
      <c r="FH2484" s="29" t="str">
        <f t="shared" si="78"/>
        <v/>
      </c>
      <c r="FJ2484" s="36" t="str">
        <f>IF($FH2484="","",SUM($FN2484:$FN$7000))</f>
        <v/>
      </c>
      <c r="FK2484" s="36" t="str">
        <f>IF($FH2484="","",SUM($FN2484:$FN$7000))</f>
        <v/>
      </c>
    </row>
    <row r="2485" spans="152:167">
      <c r="EV2485" s="28">
        <f t="shared" si="77"/>
        <v>0</v>
      </c>
      <c r="FH2485" s="29" t="str">
        <f t="shared" si="78"/>
        <v/>
      </c>
      <c r="FJ2485" s="36" t="str">
        <f>IF($FH2485="","",SUM($FN2485:$FN$7000))</f>
        <v/>
      </c>
      <c r="FK2485" s="36" t="str">
        <f>IF($FH2485="","",SUM($FN2485:$FN$7000))</f>
        <v/>
      </c>
    </row>
    <row r="2486" spans="152:167">
      <c r="EV2486" s="28">
        <f t="shared" si="77"/>
        <v>0</v>
      </c>
      <c r="FH2486" s="29" t="str">
        <f t="shared" si="78"/>
        <v/>
      </c>
      <c r="FJ2486" s="36" t="str">
        <f>IF($FH2486="","",SUM($FN2486:$FN$7000))</f>
        <v/>
      </c>
      <c r="FK2486" s="36" t="str">
        <f>IF($FH2486="","",SUM($FN2486:$FN$7000))</f>
        <v/>
      </c>
    </row>
    <row r="2487" spans="152:167">
      <c r="EV2487" s="28">
        <f t="shared" si="77"/>
        <v>0</v>
      </c>
      <c r="FH2487" s="29" t="str">
        <f t="shared" si="78"/>
        <v/>
      </c>
      <c r="FJ2487" s="36" t="str">
        <f>IF($FH2487="","",SUM($FN2487:$FN$7000))</f>
        <v/>
      </c>
      <c r="FK2487" s="36" t="str">
        <f>IF($FH2487="","",SUM($FN2487:$FN$7000))</f>
        <v/>
      </c>
    </row>
    <row r="2488" spans="152:167">
      <c r="EV2488" s="28">
        <f t="shared" si="77"/>
        <v>0</v>
      </c>
      <c r="FH2488" s="29" t="str">
        <f t="shared" si="78"/>
        <v/>
      </c>
      <c r="FJ2488" s="36" t="str">
        <f>IF($FH2488="","",SUM($FN2488:$FN$7000))</f>
        <v/>
      </c>
      <c r="FK2488" s="36" t="str">
        <f>IF($FH2488="","",SUM($FN2488:$FN$7000))</f>
        <v/>
      </c>
    </row>
    <row r="2489" spans="152:167">
      <c r="EV2489" s="28">
        <f t="shared" si="77"/>
        <v>0</v>
      </c>
      <c r="FH2489" s="29" t="str">
        <f t="shared" si="78"/>
        <v/>
      </c>
      <c r="FJ2489" s="36" t="str">
        <f>IF($FH2489="","",SUM($FN2489:$FN$7000))</f>
        <v/>
      </c>
      <c r="FK2489" s="36" t="str">
        <f>IF($FH2489="","",SUM($FN2489:$FN$7000))</f>
        <v/>
      </c>
    </row>
    <row r="2490" spans="152:167">
      <c r="EV2490" s="28">
        <f t="shared" si="77"/>
        <v>0</v>
      </c>
      <c r="FH2490" s="29" t="str">
        <f t="shared" si="78"/>
        <v/>
      </c>
      <c r="FJ2490" s="36" t="str">
        <f>IF($FH2490="","",SUM($FN2490:$FN$7000))</f>
        <v/>
      </c>
      <c r="FK2490" s="36" t="str">
        <f>IF($FH2490="","",SUM($FN2490:$FN$7000))</f>
        <v/>
      </c>
    </row>
    <row r="2491" spans="152:167">
      <c r="EV2491" s="28">
        <f t="shared" si="77"/>
        <v>0</v>
      </c>
      <c r="FH2491" s="29" t="str">
        <f t="shared" si="78"/>
        <v/>
      </c>
      <c r="FJ2491" s="36" t="str">
        <f>IF($FH2491="","",SUM($FN2491:$FN$7000))</f>
        <v/>
      </c>
      <c r="FK2491" s="36" t="str">
        <f>IF($FH2491="","",SUM($FN2491:$FN$7000))</f>
        <v/>
      </c>
    </row>
    <row r="2492" spans="152:167">
      <c r="EV2492" s="28">
        <f t="shared" si="77"/>
        <v>0</v>
      </c>
      <c r="FH2492" s="29" t="str">
        <f t="shared" si="78"/>
        <v/>
      </c>
      <c r="FJ2492" s="36" t="str">
        <f>IF($FH2492="","",SUM($FN2492:$FN$7000))</f>
        <v/>
      </c>
      <c r="FK2492" s="36" t="str">
        <f>IF($FH2492="","",SUM($FN2492:$FN$7000))</f>
        <v/>
      </c>
    </row>
    <row r="2493" spans="152:167">
      <c r="EV2493" s="28">
        <f t="shared" si="77"/>
        <v>0</v>
      </c>
      <c r="FH2493" s="29" t="str">
        <f t="shared" si="78"/>
        <v/>
      </c>
      <c r="FJ2493" s="36" t="str">
        <f>IF($FH2493="","",SUM($FN2493:$FN$7000))</f>
        <v/>
      </c>
      <c r="FK2493" s="36" t="str">
        <f>IF($FH2493="","",SUM($FN2493:$FN$7000))</f>
        <v/>
      </c>
    </row>
    <row r="2494" spans="152:167">
      <c r="EV2494" s="28">
        <f t="shared" si="77"/>
        <v>0</v>
      </c>
      <c r="FH2494" s="29" t="str">
        <f t="shared" si="78"/>
        <v/>
      </c>
      <c r="FJ2494" s="36" t="str">
        <f>IF($FH2494="","",SUM($FN2494:$FN$7000))</f>
        <v/>
      </c>
      <c r="FK2494" s="36" t="str">
        <f>IF($FH2494="","",SUM($FN2494:$FN$7000))</f>
        <v/>
      </c>
    </row>
    <row r="2495" spans="152:167">
      <c r="EV2495" s="28">
        <f t="shared" si="77"/>
        <v>0</v>
      </c>
      <c r="FH2495" s="29" t="str">
        <f t="shared" si="78"/>
        <v/>
      </c>
      <c r="FJ2495" s="36" t="str">
        <f>IF($FH2495="","",SUM($FN2495:$FN$7000))</f>
        <v/>
      </c>
      <c r="FK2495" s="36" t="str">
        <f>IF($FH2495="","",SUM($FN2495:$FN$7000))</f>
        <v/>
      </c>
    </row>
    <row r="2496" spans="152:167">
      <c r="EV2496" s="28">
        <f t="shared" si="77"/>
        <v>0</v>
      </c>
      <c r="FH2496" s="29" t="str">
        <f t="shared" si="78"/>
        <v/>
      </c>
      <c r="FJ2496" s="36" t="str">
        <f>IF($FH2496="","",SUM($FN2496:$FN$7000))</f>
        <v/>
      </c>
      <c r="FK2496" s="36" t="str">
        <f>IF($FH2496="","",SUM($FN2496:$FN$7000))</f>
        <v/>
      </c>
    </row>
    <row r="2497" spans="152:167">
      <c r="EV2497" s="28">
        <f t="shared" si="77"/>
        <v>0</v>
      </c>
      <c r="FH2497" s="29" t="str">
        <f t="shared" si="78"/>
        <v/>
      </c>
      <c r="FJ2497" s="36" t="str">
        <f>IF($FH2497="","",SUM($FN2497:$FN$7000))</f>
        <v/>
      </c>
      <c r="FK2497" s="36" t="str">
        <f>IF($FH2497="","",SUM($FN2497:$FN$7000))</f>
        <v/>
      </c>
    </row>
    <row r="2498" spans="152:167">
      <c r="EV2498" s="28">
        <f t="shared" si="77"/>
        <v>0</v>
      </c>
      <c r="FH2498" s="29" t="str">
        <f t="shared" si="78"/>
        <v/>
      </c>
      <c r="FJ2498" s="36" t="str">
        <f>IF($FH2498="","",SUM($FN2498:$FN$7000))</f>
        <v/>
      </c>
      <c r="FK2498" s="36" t="str">
        <f>IF($FH2498="","",SUM($FN2498:$FN$7000))</f>
        <v/>
      </c>
    </row>
    <row r="2499" spans="152:167">
      <c r="EV2499" s="28">
        <f t="shared" si="77"/>
        <v>0</v>
      </c>
      <c r="FH2499" s="29" t="str">
        <f t="shared" si="78"/>
        <v/>
      </c>
      <c r="FJ2499" s="36" t="str">
        <f>IF($FH2499="","",SUM($FN2499:$FN$7000))</f>
        <v/>
      </c>
      <c r="FK2499" s="36" t="str">
        <f>IF($FH2499="","",SUM($FN2499:$FN$7000))</f>
        <v/>
      </c>
    </row>
    <row r="2500" spans="152:167">
      <c r="EV2500" s="28">
        <f t="shared" si="77"/>
        <v>0</v>
      </c>
      <c r="FH2500" s="29" t="str">
        <f t="shared" si="78"/>
        <v/>
      </c>
      <c r="FJ2500" s="36" t="str">
        <f>IF($FH2500="","",SUM($FN2500:$FN$7000))</f>
        <v/>
      </c>
      <c r="FK2500" s="36" t="str">
        <f>IF($FH2500="","",SUM($FN2500:$FN$7000))</f>
        <v/>
      </c>
    </row>
    <row r="2501" spans="152:167">
      <c r="EV2501" s="28">
        <f t="shared" si="77"/>
        <v>0</v>
      </c>
      <c r="FH2501" s="29" t="str">
        <f t="shared" si="78"/>
        <v/>
      </c>
      <c r="FJ2501" s="36" t="str">
        <f>IF($FH2501="","",SUM($FN2501:$FN$7000))</f>
        <v/>
      </c>
      <c r="FK2501" s="36" t="str">
        <f>IF($FH2501="","",SUM($FN2501:$FN$7000))</f>
        <v/>
      </c>
    </row>
    <row r="2502" spans="152:167">
      <c r="EV2502" s="28">
        <f t="shared" si="77"/>
        <v>0</v>
      </c>
      <c r="FH2502" s="29" t="str">
        <f t="shared" si="78"/>
        <v/>
      </c>
      <c r="FJ2502" s="36" t="str">
        <f>IF($FH2502="","",SUM($FN2502:$FN$7000))</f>
        <v/>
      </c>
      <c r="FK2502" s="36" t="str">
        <f>IF($FH2502="","",SUM($FN2502:$FN$7000))</f>
        <v/>
      </c>
    </row>
    <row r="2503" spans="152:167">
      <c r="EV2503" s="28">
        <f t="shared" si="77"/>
        <v>0</v>
      </c>
      <c r="FH2503" s="29" t="str">
        <f t="shared" si="78"/>
        <v/>
      </c>
      <c r="FJ2503" s="36" t="str">
        <f>IF($FH2503="","",SUM($FN2503:$FN$7000))</f>
        <v/>
      </c>
      <c r="FK2503" s="36" t="str">
        <f>IF($FH2503="","",SUM($FN2503:$FN$7000))</f>
        <v/>
      </c>
    </row>
    <row r="2504" spans="152:167">
      <c r="EV2504" s="28">
        <f t="shared" si="77"/>
        <v>0</v>
      </c>
      <c r="FH2504" s="29" t="str">
        <f t="shared" si="78"/>
        <v/>
      </c>
      <c r="FJ2504" s="36" t="str">
        <f>IF($FH2504="","",SUM($FN2504:$FN$7000))</f>
        <v/>
      </c>
      <c r="FK2504" s="36" t="str">
        <f>IF($FH2504="","",SUM($FN2504:$FN$7000))</f>
        <v/>
      </c>
    </row>
    <row r="2505" spans="152:167">
      <c r="EV2505" s="28">
        <f t="shared" si="77"/>
        <v>0</v>
      </c>
      <c r="FH2505" s="29" t="str">
        <f t="shared" si="78"/>
        <v/>
      </c>
      <c r="FJ2505" s="36" t="str">
        <f>IF($FH2505="","",SUM($FN2505:$FN$7000))</f>
        <v/>
      </c>
      <c r="FK2505" s="36" t="str">
        <f>IF($FH2505="","",SUM($FN2505:$FN$7000))</f>
        <v/>
      </c>
    </row>
    <row r="2506" spans="152:167">
      <c r="EV2506" s="28">
        <f t="shared" si="77"/>
        <v>0</v>
      </c>
      <c r="FH2506" s="29" t="str">
        <f t="shared" si="78"/>
        <v/>
      </c>
      <c r="FJ2506" s="36" t="str">
        <f>IF($FH2506="","",SUM($FN2506:$FN$7000))</f>
        <v/>
      </c>
      <c r="FK2506" s="36" t="str">
        <f>IF($FH2506="","",SUM($FN2506:$FN$7000))</f>
        <v/>
      </c>
    </row>
    <row r="2507" spans="152:167">
      <c r="EV2507" s="28">
        <f t="shared" ref="EV2507:EV2570" si="79">EU2507-ET2507</f>
        <v>0</v>
      </c>
      <c r="FH2507" s="29" t="str">
        <f t="shared" ref="FH2507:FH2570" si="80">IF(FL2507="","",FL2507)</f>
        <v/>
      </c>
      <c r="FJ2507" s="36" t="str">
        <f>IF($FH2507="","",SUM($FN2507:$FN$7000))</f>
        <v/>
      </c>
      <c r="FK2507" s="36" t="str">
        <f>IF($FH2507="","",SUM($FN2507:$FN$7000))</f>
        <v/>
      </c>
    </row>
    <row r="2508" spans="152:167">
      <c r="EV2508" s="28">
        <f t="shared" si="79"/>
        <v>0</v>
      </c>
      <c r="FH2508" s="29" t="str">
        <f t="shared" si="80"/>
        <v/>
      </c>
      <c r="FJ2508" s="36" t="str">
        <f>IF($FH2508="","",SUM($FN2508:$FN$7000))</f>
        <v/>
      </c>
      <c r="FK2508" s="36" t="str">
        <f>IF($FH2508="","",SUM($FN2508:$FN$7000))</f>
        <v/>
      </c>
    </row>
    <row r="2509" spans="152:167">
      <c r="EV2509" s="28">
        <f t="shared" si="79"/>
        <v>0</v>
      </c>
      <c r="FH2509" s="29" t="str">
        <f t="shared" si="80"/>
        <v/>
      </c>
      <c r="FJ2509" s="36" t="str">
        <f>IF($FH2509="","",SUM($FN2509:$FN$7000))</f>
        <v/>
      </c>
      <c r="FK2509" s="36" t="str">
        <f>IF($FH2509="","",SUM($FN2509:$FN$7000))</f>
        <v/>
      </c>
    </row>
    <row r="2510" spans="152:167">
      <c r="EV2510" s="28">
        <f t="shared" si="79"/>
        <v>0</v>
      </c>
      <c r="FH2510" s="29" t="str">
        <f t="shared" si="80"/>
        <v/>
      </c>
      <c r="FJ2510" s="36" t="str">
        <f>IF($FH2510="","",SUM($FN2510:$FN$7000))</f>
        <v/>
      </c>
      <c r="FK2510" s="36" t="str">
        <f>IF($FH2510="","",SUM($FN2510:$FN$7000))</f>
        <v/>
      </c>
    </row>
    <row r="2511" spans="152:167">
      <c r="EV2511" s="28">
        <f t="shared" si="79"/>
        <v>0</v>
      </c>
      <c r="FH2511" s="29" t="str">
        <f t="shared" si="80"/>
        <v/>
      </c>
      <c r="FJ2511" s="36" t="str">
        <f>IF($FH2511="","",SUM($FN2511:$FN$7000))</f>
        <v/>
      </c>
      <c r="FK2511" s="36" t="str">
        <f>IF($FH2511="","",SUM($FN2511:$FN$7000))</f>
        <v/>
      </c>
    </row>
    <row r="2512" spans="152:167">
      <c r="EV2512" s="28">
        <f t="shared" si="79"/>
        <v>0</v>
      </c>
      <c r="FH2512" s="29" t="str">
        <f t="shared" si="80"/>
        <v/>
      </c>
      <c r="FJ2512" s="36" t="str">
        <f>IF($FH2512="","",SUM($FN2512:$FN$7000))</f>
        <v/>
      </c>
      <c r="FK2512" s="36" t="str">
        <f>IF($FH2512="","",SUM($FN2512:$FN$7000))</f>
        <v/>
      </c>
    </row>
    <row r="2513" spans="152:167">
      <c r="EV2513" s="28">
        <f t="shared" si="79"/>
        <v>0</v>
      </c>
      <c r="FH2513" s="29" t="str">
        <f t="shared" si="80"/>
        <v/>
      </c>
      <c r="FJ2513" s="36" t="str">
        <f>IF($FH2513="","",SUM($FN2513:$FN$7000))</f>
        <v/>
      </c>
      <c r="FK2513" s="36" t="str">
        <f>IF($FH2513="","",SUM($FN2513:$FN$7000))</f>
        <v/>
      </c>
    </row>
    <row r="2514" spans="152:167">
      <c r="EV2514" s="28">
        <f t="shared" si="79"/>
        <v>0</v>
      </c>
      <c r="FH2514" s="29" t="str">
        <f t="shared" si="80"/>
        <v/>
      </c>
      <c r="FJ2514" s="36" t="str">
        <f>IF($FH2514="","",SUM($FN2514:$FN$7000))</f>
        <v/>
      </c>
      <c r="FK2514" s="36" t="str">
        <f>IF($FH2514="","",SUM($FN2514:$FN$7000))</f>
        <v/>
      </c>
    </row>
    <row r="2515" spans="152:167">
      <c r="EV2515" s="28">
        <f t="shared" si="79"/>
        <v>0</v>
      </c>
      <c r="FH2515" s="29" t="str">
        <f t="shared" si="80"/>
        <v/>
      </c>
      <c r="FJ2515" s="36" t="str">
        <f>IF($FH2515="","",SUM($FN2515:$FN$7000))</f>
        <v/>
      </c>
      <c r="FK2515" s="36" t="str">
        <f>IF($FH2515="","",SUM($FN2515:$FN$7000))</f>
        <v/>
      </c>
    </row>
    <row r="2516" spans="152:167">
      <c r="EV2516" s="28">
        <f t="shared" si="79"/>
        <v>0</v>
      </c>
      <c r="FH2516" s="29" t="str">
        <f t="shared" si="80"/>
        <v/>
      </c>
      <c r="FJ2516" s="36" t="str">
        <f>IF($FH2516="","",SUM($FN2516:$FN$7000))</f>
        <v/>
      </c>
      <c r="FK2516" s="36" t="str">
        <f>IF($FH2516="","",SUM($FN2516:$FN$7000))</f>
        <v/>
      </c>
    </row>
    <row r="2517" spans="152:167">
      <c r="EV2517" s="28">
        <f t="shared" si="79"/>
        <v>0</v>
      </c>
      <c r="FH2517" s="29" t="str">
        <f t="shared" si="80"/>
        <v/>
      </c>
      <c r="FJ2517" s="36" t="str">
        <f>IF($FH2517="","",SUM($FN2517:$FN$7000))</f>
        <v/>
      </c>
      <c r="FK2517" s="36" t="str">
        <f>IF($FH2517="","",SUM($FN2517:$FN$7000))</f>
        <v/>
      </c>
    </row>
    <row r="2518" spans="152:167">
      <c r="EV2518" s="28">
        <f t="shared" si="79"/>
        <v>0</v>
      </c>
      <c r="FH2518" s="29" t="str">
        <f t="shared" si="80"/>
        <v/>
      </c>
      <c r="FJ2518" s="36" t="str">
        <f>IF($FH2518="","",SUM($FN2518:$FN$7000))</f>
        <v/>
      </c>
      <c r="FK2518" s="36" t="str">
        <f>IF($FH2518="","",SUM($FN2518:$FN$7000))</f>
        <v/>
      </c>
    </row>
    <row r="2519" spans="152:167">
      <c r="EV2519" s="28">
        <f t="shared" si="79"/>
        <v>0</v>
      </c>
      <c r="FH2519" s="29" t="str">
        <f t="shared" si="80"/>
        <v/>
      </c>
      <c r="FJ2519" s="36" t="str">
        <f>IF($FH2519="","",SUM($FN2519:$FN$7000))</f>
        <v/>
      </c>
      <c r="FK2519" s="36" t="str">
        <f>IF($FH2519="","",SUM($FN2519:$FN$7000))</f>
        <v/>
      </c>
    </row>
    <row r="2520" spans="152:167">
      <c r="EV2520" s="28">
        <f t="shared" si="79"/>
        <v>0</v>
      </c>
      <c r="FH2520" s="29" t="str">
        <f t="shared" si="80"/>
        <v/>
      </c>
      <c r="FJ2520" s="36" t="str">
        <f>IF($FH2520="","",SUM($FN2520:$FN$7000))</f>
        <v/>
      </c>
      <c r="FK2520" s="36" t="str">
        <f>IF($FH2520="","",SUM($FN2520:$FN$7000))</f>
        <v/>
      </c>
    </row>
    <row r="2521" spans="152:167">
      <c r="EV2521" s="28">
        <f t="shared" si="79"/>
        <v>0</v>
      </c>
      <c r="FH2521" s="29" t="str">
        <f t="shared" si="80"/>
        <v/>
      </c>
      <c r="FJ2521" s="36" t="str">
        <f>IF($FH2521="","",SUM($FN2521:$FN$7000))</f>
        <v/>
      </c>
      <c r="FK2521" s="36" t="str">
        <f>IF($FH2521="","",SUM($FN2521:$FN$7000))</f>
        <v/>
      </c>
    </row>
    <row r="2522" spans="152:167">
      <c r="EV2522" s="28">
        <f t="shared" si="79"/>
        <v>0</v>
      </c>
      <c r="FH2522" s="29" t="str">
        <f t="shared" si="80"/>
        <v/>
      </c>
      <c r="FJ2522" s="36" t="str">
        <f>IF($FH2522="","",SUM($FN2522:$FN$7000))</f>
        <v/>
      </c>
      <c r="FK2522" s="36" t="str">
        <f>IF($FH2522="","",SUM($FN2522:$FN$7000))</f>
        <v/>
      </c>
    </row>
    <row r="2523" spans="152:167">
      <c r="EV2523" s="28">
        <f t="shared" si="79"/>
        <v>0</v>
      </c>
      <c r="FH2523" s="29" t="str">
        <f t="shared" si="80"/>
        <v/>
      </c>
      <c r="FJ2523" s="36" t="str">
        <f>IF($FH2523="","",SUM($FN2523:$FN$7000))</f>
        <v/>
      </c>
      <c r="FK2523" s="36" t="str">
        <f>IF($FH2523="","",SUM($FN2523:$FN$7000))</f>
        <v/>
      </c>
    </row>
    <row r="2524" spans="152:167">
      <c r="EV2524" s="28">
        <f t="shared" si="79"/>
        <v>0</v>
      </c>
      <c r="FH2524" s="29" t="str">
        <f t="shared" si="80"/>
        <v/>
      </c>
      <c r="FJ2524" s="36" t="str">
        <f>IF($FH2524="","",SUM($FN2524:$FN$7000))</f>
        <v/>
      </c>
      <c r="FK2524" s="36" t="str">
        <f>IF($FH2524="","",SUM($FN2524:$FN$7000))</f>
        <v/>
      </c>
    </row>
    <row r="2525" spans="152:167">
      <c r="EV2525" s="28">
        <f t="shared" si="79"/>
        <v>0</v>
      </c>
      <c r="FH2525" s="29" t="str">
        <f t="shared" si="80"/>
        <v/>
      </c>
      <c r="FJ2525" s="36" t="str">
        <f>IF($FH2525="","",SUM($FN2525:$FN$7000))</f>
        <v/>
      </c>
      <c r="FK2525" s="36" t="str">
        <f>IF($FH2525="","",SUM($FN2525:$FN$7000))</f>
        <v/>
      </c>
    </row>
    <row r="2526" spans="152:167">
      <c r="EV2526" s="28">
        <f t="shared" si="79"/>
        <v>0</v>
      </c>
      <c r="FH2526" s="29" t="str">
        <f t="shared" si="80"/>
        <v/>
      </c>
      <c r="FJ2526" s="36" t="str">
        <f>IF($FH2526="","",SUM($FN2526:$FN$7000))</f>
        <v/>
      </c>
      <c r="FK2526" s="36" t="str">
        <f>IF($FH2526="","",SUM($FN2526:$FN$7000))</f>
        <v/>
      </c>
    </row>
    <row r="2527" spans="152:167">
      <c r="EV2527" s="28">
        <f t="shared" si="79"/>
        <v>0</v>
      </c>
      <c r="FH2527" s="29" t="str">
        <f t="shared" si="80"/>
        <v/>
      </c>
      <c r="FJ2527" s="36" t="str">
        <f>IF($FH2527="","",SUM($FN2527:$FN$7000))</f>
        <v/>
      </c>
      <c r="FK2527" s="36" t="str">
        <f>IF($FH2527="","",SUM($FN2527:$FN$7000))</f>
        <v/>
      </c>
    </row>
    <row r="2528" spans="152:167">
      <c r="EV2528" s="28">
        <f t="shared" si="79"/>
        <v>0</v>
      </c>
      <c r="FH2528" s="29" t="str">
        <f t="shared" si="80"/>
        <v/>
      </c>
      <c r="FJ2528" s="36" t="str">
        <f>IF($FH2528="","",SUM($FN2528:$FN$7000))</f>
        <v/>
      </c>
      <c r="FK2528" s="36" t="str">
        <f>IF($FH2528="","",SUM($FN2528:$FN$7000))</f>
        <v/>
      </c>
    </row>
    <row r="2529" spans="152:167">
      <c r="EV2529" s="28">
        <f t="shared" si="79"/>
        <v>0</v>
      </c>
      <c r="FH2529" s="29" t="str">
        <f t="shared" si="80"/>
        <v/>
      </c>
      <c r="FJ2529" s="36" t="str">
        <f>IF($FH2529="","",SUM($FN2529:$FN$7000))</f>
        <v/>
      </c>
      <c r="FK2529" s="36" t="str">
        <f>IF($FH2529="","",SUM($FN2529:$FN$7000))</f>
        <v/>
      </c>
    </row>
    <row r="2530" spans="152:167">
      <c r="EV2530" s="28">
        <f t="shared" si="79"/>
        <v>0</v>
      </c>
      <c r="FH2530" s="29" t="str">
        <f t="shared" si="80"/>
        <v/>
      </c>
      <c r="FJ2530" s="36" t="str">
        <f>IF($FH2530="","",SUM($FN2530:$FN$7000))</f>
        <v/>
      </c>
      <c r="FK2530" s="36" t="str">
        <f>IF($FH2530="","",SUM($FN2530:$FN$7000))</f>
        <v/>
      </c>
    </row>
    <row r="2531" spans="152:167">
      <c r="EV2531" s="28">
        <f t="shared" si="79"/>
        <v>0</v>
      </c>
      <c r="FH2531" s="29" t="str">
        <f t="shared" si="80"/>
        <v/>
      </c>
      <c r="FJ2531" s="36" t="str">
        <f>IF($FH2531="","",SUM($FN2531:$FN$7000))</f>
        <v/>
      </c>
      <c r="FK2531" s="36" t="str">
        <f>IF($FH2531="","",SUM($FN2531:$FN$7000))</f>
        <v/>
      </c>
    </row>
    <row r="2532" spans="152:167">
      <c r="EV2532" s="28">
        <f t="shared" si="79"/>
        <v>0</v>
      </c>
      <c r="FH2532" s="29" t="str">
        <f t="shared" si="80"/>
        <v/>
      </c>
      <c r="FJ2532" s="36" t="str">
        <f>IF($FH2532="","",SUM($FN2532:$FN$7000))</f>
        <v/>
      </c>
      <c r="FK2532" s="36" t="str">
        <f>IF($FH2532="","",SUM($FN2532:$FN$7000))</f>
        <v/>
      </c>
    </row>
    <row r="2533" spans="152:167">
      <c r="EV2533" s="28">
        <f t="shared" si="79"/>
        <v>0</v>
      </c>
      <c r="FH2533" s="29" t="str">
        <f t="shared" si="80"/>
        <v/>
      </c>
      <c r="FJ2533" s="36" t="str">
        <f>IF($FH2533="","",SUM($FN2533:$FN$7000))</f>
        <v/>
      </c>
      <c r="FK2533" s="36" t="str">
        <f>IF($FH2533="","",SUM($FN2533:$FN$7000))</f>
        <v/>
      </c>
    </row>
    <row r="2534" spans="152:167">
      <c r="EV2534" s="28">
        <f t="shared" si="79"/>
        <v>0</v>
      </c>
      <c r="FH2534" s="29" t="str">
        <f t="shared" si="80"/>
        <v/>
      </c>
      <c r="FJ2534" s="36" t="str">
        <f>IF($FH2534="","",SUM($FN2534:$FN$7000))</f>
        <v/>
      </c>
      <c r="FK2534" s="36" t="str">
        <f>IF($FH2534="","",SUM($FN2534:$FN$7000))</f>
        <v/>
      </c>
    </row>
    <row r="2535" spans="152:167">
      <c r="EV2535" s="28">
        <f t="shared" si="79"/>
        <v>0</v>
      </c>
      <c r="FH2535" s="29" t="str">
        <f t="shared" si="80"/>
        <v/>
      </c>
      <c r="FJ2535" s="36" t="str">
        <f>IF($FH2535="","",SUM($FN2535:$FN$7000))</f>
        <v/>
      </c>
      <c r="FK2535" s="36" t="str">
        <f>IF($FH2535="","",SUM($FN2535:$FN$7000))</f>
        <v/>
      </c>
    </row>
    <row r="2536" spans="152:167">
      <c r="EV2536" s="28">
        <f t="shared" si="79"/>
        <v>0</v>
      </c>
      <c r="FH2536" s="29" t="str">
        <f t="shared" si="80"/>
        <v/>
      </c>
      <c r="FJ2536" s="36" t="str">
        <f>IF($FH2536="","",SUM($FN2536:$FN$7000))</f>
        <v/>
      </c>
      <c r="FK2536" s="36" t="str">
        <f>IF($FH2536="","",SUM($FN2536:$FN$7000))</f>
        <v/>
      </c>
    </row>
    <row r="2537" spans="152:167">
      <c r="EV2537" s="28">
        <f t="shared" si="79"/>
        <v>0</v>
      </c>
      <c r="FH2537" s="29" t="str">
        <f t="shared" si="80"/>
        <v/>
      </c>
      <c r="FJ2537" s="36" t="str">
        <f>IF($FH2537="","",SUM($FN2537:$FN$7000))</f>
        <v/>
      </c>
      <c r="FK2537" s="36" t="str">
        <f>IF($FH2537="","",SUM($FN2537:$FN$7000))</f>
        <v/>
      </c>
    </row>
    <row r="2538" spans="152:167">
      <c r="EV2538" s="28">
        <f t="shared" si="79"/>
        <v>0</v>
      </c>
      <c r="FH2538" s="29" t="str">
        <f t="shared" si="80"/>
        <v/>
      </c>
      <c r="FJ2538" s="36" t="str">
        <f>IF($FH2538="","",SUM($FN2538:$FN$7000))</f>
        <v/>
      </c>
      <c r="FK2538" s="36" t="str">
        <f>IF($FH2538="","",SUM($FN2538:$FN$7000))</f>
        <v/>
      </c>
    </row>
    <row r="2539" spans="152:167">
      <c r="EV2539" s="28">
        <f t="shared" si="79"/>
        <v>0</v>
      </c>
      <c r="FH2539" s="29" t="str">
        <f t="shared" si="80"/>
        <v/>
      </c>
      <c r="FJ2539" s="36" t="str">
        <f>IF($FH2539="","",SUM($FN2539:$FN$7000))</f>
        <v/>
      </c>
      <c r="FK2539" s="36" t="str">
        <f>IF($FH2539="","",SUM($FN2539:$FN$7000))</f>
        <v/>
      </c>
    </row>
    <row r="2540" spans="152:167">
      <c r="EV2540" s="28">
        <f t="shared" si="79"/>
        <v>0</v>
      </c>
      <c r="FH2540" s="29" t="str">
        <f t="shared" si="80"/>
        <v/>
      </c>
      <c r="FJ2540" s="36" t="str">
        <f>IF($FH2540="","",SUM($FN2540:$FN$7000))</f>
        <v/>
      </c>
      <c r="FK2540" s="36" t="str">
        <f>IF($FH2540="","",SUM($FN2540:$FN$7000))</f>
        <v/>
      </c>
    </row>
    <row r="2541" spans="152:167">
      <c r="EV2541" s="28">
        <f t="shared" si="79"/>
        <v>0</v>
      </c>
      <c r="FH2541" s="29" t="str">
        <f t="shared" si="80"/>
        <v/>
      </c>
      <c r="FJ2541" s="36" t="str">
        <f>IF($FH2541="","",SUM($FN2541:$FN$7000))</f>
        <v/>
      </c>
      <c r="FK2541" s="36" t="str">
        <f>IF($FH2541="","",SUM($FN2541:$FN$7000))</f>
        <v/>
      </c>
    </row>
    <row r="2542" spans="152:167">
      <c r="EV2542" s="28">
        <f t="shared" si="79"/>
        <v>0</v>
      </c>
      <c r="FH2542" s="29" t="str">
        <f t="shared" si="80"/>
        <v/>
      </c>
      <c r="FJ2542" s="36" t="str">
        <f>IF($FH2542="","",SUM($FN2542:$FN$7000))</f>
        <v/>
      </c>
      <c r="FK2542" s="36" t="str">
        <f>IF($FH2542="","",SUM($FN2542:$FN$7000))</f>
        <v/>
      </c>
    </row>
    <row r="2543" spans="152:167">
      <c r="EV2543" s="28">
        <f t="shared" si="79"/>
        <v>0</v>
      </c>
      <c r="FH2543" s="29" t="str">
        <f t="shared" si="80"/>
        <v/>
      </c>
      <c r="FJ2543" s="36" t="str">
        <f>IF($FH2543="","",SUM($FN2543:$FN$7000))</f>
        <v/>
      </c>
      <c r="FK2543" s="36" t="str">
        <f>IF($FH2543="","",SUM($FN2543:$FN$7000))</f>
        <v/>
      </c>
    </row>
    <row r="2544" spans="152:167">
      <c r="EV2544" s="28">
        <f t="shared" si="79"/>
        <v>0</v>
      </c>
      <c r="FH2544" s="29" t="str">
        <f t="shared" si="80"/>
        <v/>
      </c>
      <c r="FJ2544" s="36" t="str">
        <f>IF($FH2544="","",SUM($FN2544:$FN$7000))</f>
        <v/>
      </c>
      <c r="FK2544" s="36" t="str">
        <f>IF($FH2544="","",SUM($FN2544:$FN$7000))</f>
        <v/>
      </c>
    </row>
    <row r="2545" spans="152:167">
      <c r="EV2545" s="28">
        <f t="shared" si="79"/>
        <v>0</v>
      </c>
      <c r="FH2545" s="29" t="str">
        <f t="shared" si="80"/>
        <v/>
      </c>
      <c r="FJ2545" s="36" t="str">
        <f>IF($FH2545="","",SUM($FN2545:$FN$7000))</f>
        <v/>
      </c>
      <c r="FK2545" s="36" t="str">
        <f>IF($FH2545="","",SUM($FN2545:$FN$7000))</f>
        <v/>
      </c>
    </row>
    <row r="2546" spans="152:167">
      <c r="EV2546" s="28">
        <f t="shared" si="79"/>
        <v>0</v>
      </c>
      <c r="FH2546" s="29" t="str">
        <f t="shared" si="80"/>
        <v/>
      </c>
      <c r="FJ2546" s="36" t="str">
        <f>IF($FH2546="","",SUM($FN2546:$FN$7000))</f>
        <v/>
      </c>
      <c r="FK2546" s="36" t="str">
        <f>IF($FH2546="","",SUM($FN2546:$FN$7000))</f>
        <v/>
      </c>
    </row>
    <row r="2547" spans="152:167">
      <c r="EV2547" s="28">
        <f t="shared" si="79"/>
        <v>0</v>
      </c>
      <c r="FH2547" s="29" t="str">
        <f t="shared" si="80"/>
        <v/>
      </c>
      <c r="FJ2547" s="36" t="str">
        <f>IF($FH2547="","",SUM($FN2547:$FN$7000))</f>
        <v/>
      </c>
      <c r="FK2547" s="36" t="str">
        <f>IF($FH2547="","",SUM($FN2547:$FN$7000))</f>
        <v/>
      </c>
    </row>
    <row r="2548" spans="152:167">
      <c r="EV2548" s="28">
        <f t="shared" si="79"/>
        <v>0</v>
      </c>
      <c r="FH2548" s="29" t="str">
        <f t="shared" si="80"/>
        <v/>
      </c>
      <c r="FJ2548" s="36" t="str">
        <f>IF($FH2548="","",SUM($FN2548:$FN$7000))</f>
        <v/>
      </c>
      <c r="FK2548" s="36" t="str">
        <f>IF($FH2548="","",SUM($FN2548:$FN$7000))</f>
        <v/>
      </c>
    </row>
    <row r="2549" spans="152:167">
      <c r="EV2549" s="28">
        <f t="shared" si="79"/>
        <v>0</v>
      </c>
      <c r="FH2549" s="29" t="str">
        <f t="shared" si="80"/>
        <v/>
      </c>
      <c r="FJ2549" s="36" t="str">
        <f>IF($FH2549="","",SUM($FN2549:$FN$7000))</f>
        <v/>
      </c>
      <c r="FK2549" s="36" t="str">
        <f>IF($FH2549="","",SUM($FN2549:$FN$7000))</f>
        <v/>
      </c>
    </row>
    <row r="2550" spans="152:167">
      <c r="EV2550" s="28">
        <f t="shared" si="79"/>
        <v>0</v>
      </c>
      <c r="FH2550" s="29" t="str">
        <f t="shared" si="80"/>
        <v/>
      </c>
      <c r="FJ2550" s="36" t="str">
        <f>IF($FH2550="","",SUM($FN2550:$FN$7000))</f>
        <v/>
      </c>
      <c r="FK2550" s="36" t="str">
        <f>IF($FH2550="","",SUM($FN2550:$FN$7000))</f>
        <v/>
      </c>
    </row>
    <row r="2551" spans="152:167">
      <c r="EV2551" s="28">
        <f t="shared" si="79"/>
        <v>0</v>
      </c>
      <c r="FH2551" s="29" t="str">
        <f t="shared" si="80"/>
        <v/>
      </c>
      <c r="FJ2551" s="36" t="str">
        <f>IF($FH2551="","",SUM($FN2551:$FN$7000))</f>
        <v/>
      </c>
      <c r="FK2551" s="36" t="str">
        <f>IF($FH2551="","",SUM($FN2551:$FN$7000))</f>
        <v/>
      </c>
    </row>
    <row r="2552" spans="152:167">
      <c r="EV2552" s="28">
        <f t="shared" si="79"/>
        <v>0</v>
      </c>
      <c r="FH2552" s="29" t="str">
        <f t="shared" si="80"/>
        <v/>
      </c>
      <c r="FJ2552" s="36" t="str">
        <f>IF($FH2552="","",SUM($FN2552:$FN$7000))</f>
        <v/>
      </c>
      <c r="FK2552" s="36" t="str">
        <f>IF($FH2552="","",SUM($FN2552:$FN$7000))</f>
        <v/>
      </c>
    </row>
    <row r="2553" spans="152:167">
      <c r="EV2553" s="28">
        <f t="shared" si="79"/>
        <v>0</v>
      </c>
      <c r="FH2553" s="29" t="str">
        <f t="shared" si="80"/>
        <v/>
      </c>
      <c r="FJ2553" s="36" t="str">
        <f>IF($FH2553="","",SUM($FN2553:$FN$7000))</f>
        <v/>
      </c>
      <c r="FK2553" s="36" t="str">
        <f>IF($FH2553="","",SUM($FN2553:$FN$7000))</f>
        <v/>
      </c>
    </row>
    <row r="2554" spans="152:167">
      <c r="EV2554" s="28">
        <f t="shared" si="79"/>
        <v>0</v>
      </c>
      <c r="FH2554" s="29" t="str">
        <f t="shared" si="80"/>
        <v/>
      </c>
      <c r="FJ2554" s="36" t="str">
        <f>IF($FH2554="","",SUM($FN2554:$FN$7000))</f>
        <v/>
      </c>
      <c r="FK2554" s="36" t="str">
        <f>IF($FH2554="","",SUM($FN2554:$FN$7000))</f>
        <v/>
      </c>
    </row>
    <row r="2555" spans="152:167">
      <c r="EV2555" s="28">
        <f t="shared" si="79"/>
        <v>0</v>
      </c>
      <c r="FH2555" s="29" t="str">
        <f t="shared" si="80"/>
        <v/>
      </c>
      <c r="FJ2555" s="36" t="str">
        <f>IF($FH2555="","",SUM($FN2555:$FN$7000))</f>
        <v/>
      </c>
      <c r="FK2555" s="36" t="str">
        <f>IF($FH2555="","",SUM($FN2555:$FN$7000))</f>
        <v/>
      </c>
    </row>
    <row r="2556" spans="152:167">
      <c r="EV2556" s="28">
        <f t="shared" si="79"/>
        <v>0</v>
      </c>
      <c r="FH2556" s="29" t="str">
        <f t="shared" si="80"/>
        <v/>
      </c>
      <c r="FJ2556" s="36" t="str">
        <f>IF($FH2556="","",SUM($FN2556:$FN$7000))</f>
        <v/>
      </c>
      <c r="FK2556" s="36" t="str">
        <f>IF($FH2556="","",SUM($FN2556:$FN$7000))</f>
        <v/>
      </c>
    </row>
    <row r="2557" spans="152:167">
      <c r="EV2557" s="28">
        <f t="shared" si="79"/>
        <v>0</v>
      </c>
      <c r="FH2557" s="29" t="str">
        <f t="shared" si="80"/>
        <v/>
      </c>
      <c r="FJ2557" s="36" t="str">
        <f>IF($FH2557="","",SUM($FN2557:$FN$7000))</f>
        <v/>
      </c>
      <c r="FK2557" s="36" t="str">
        <f>IF($FH2557="","",SUM($FN2557:$FN$7000))</f>
        <v/>
      </c>
    </row>
    <row r="2558" spans="152:167">
      <c r="EV2558" s="28">
        <f t="shared" si="79"/>
        <v>0</v>
      </c>
      <c r="FH2558" s="29" t="str">
        <f t="shared" si="80"/>
        <v/>
      </c>
      <c r="FJ2558" s="36" t="str">
        <f>IF($FH2558="","",SUM($FN2558:$FN$7000))</f>
        <v/>
      </c>
      <c r="FK2558" s="36" t="str">
        <f>IF($FH2558="","",SUM($FN2558:$FN$7000))</f>
        <v/>
      </c>
    </row>
    <row r="2559" spans="152:167">
      <c r="EV2559" s="28">
        <f t="shared" si="79"/>
        <v>0</v>
      </c>
      <c r="FH2559" s="29" t="str">
        <f t="shared" si="80"/>
        <v/>
      </c>
      <c r="FJ2559" s="36" t="str">
        <f>IF($FH2559="","",SUM($FN2559:$FN$7000))</f>
        <v/>
      </c>
      <c r="FK2559" s="36" t="str">
        <f>IF($FH2559="","",SUM($FN2559:$FN$7000))</f>
        <v/>
      </c>
    </row>
    <row r="2560" spans="152:167">
      <c r="EV2560" s="28">
        <f t="shared" si="79"/>
        <v>0</v>
      </c>
      <c r="FH2560" s="29" t="str">
        <f t="shared" si="80"/>
        <v/>
      </c>
      <c r="FJ2560" s="36" t="str">
        <f>IF($FH2560="","",SUM($FN2560:$FN$7000))</f>
        <v/>
      </c>
      <c r="FK2560" s="36" t="str">
        <f>IF($FH2560="","",SUM($FN2560:$FN$7000))</f>
        <v/>
      </c>
    </row>
    <row r="2561" spans="152:167">
      <c r="EV2561" s="28">
        <f t="shared" si="79"/>
        <v>0</v>
      </c>
      <c r="FH2561" s="29" t="str">
        <f t="shared" si="80"/>
        <v/>
      </c>
      <c r="FJ2561" s="36" t="str">
        <f>IF($FH2561="","",SUM($FN2561:$FN$7000))</f>
        <v/>
      </c>
      <c r="FK2561" s="36" t="str">
        <f>IF($FH2561="","",SUM($FN2561:$FN$7000))</f>
        <v/>
      </c>
    </row>
    <row r="2562" spans="152:167">
      <c r="EV2562" s="28">
        <f t="shared" si="79"/>
        <v>0</v>
      </c>
      <c r="FH2562" s="29" t="str">
        <f t="shared" si="80"/>
        <v/>
      </c>
      <c r="FJ2562" s="36" t="str">
        <f>IF($FH2562="","",SUM($FN2562:$FN$7000))</f>
        <v/>
      </c>
      <c r="FK2562" s="36" t="str">
        <f>IF($FH2562="","",SUM($FN2562:$FN$7000))</f>
        <v/>
      </c>
    </row>
    <row r="2563" spans="152:167">
      <c r="EV2563" s="28">
        <f t="shared" si="79"/>
        <v>0</v>
      </c>
      <c r="FH2563" s="29" t="str">
        <f t="shared" si="80"/>
        <v/>
      </c>
      <c r="FJ2563" s="36" t="str">
        <f>IF($FH2563="","",SUM($FN2563:$FN$7000))</f>
        <v/>
      </c>
      <c r="FK2563" s="36" t="str">
        <f>IF($FH2563="","",SUM($FN2563:$FN$7000))</f>
        <v/>
      </c>
    </row>
    <row r="2564" spans="152:167">
      <c r="EV2564" s="28">
        <f t="shared" si="79"/>
        <v>0</v>
      </c>
      <c r="FH2564" s="29" t="str">
        <f t="shared" si="80"/>
        <v/>
      </c>
      <c r="FJ2564" s="36" t="str">
        <f>IF($FH2564="","",SUM($FN2564:$FN$7000))</f>
        <v/>
      </c>
      <c r="FK2564" s="36" t="str">
        <f>IF($FH2564="","",SUM($FN2564:$FN$7000))</f>
        <v/>
      </c>
    </row>
    <row r="2565" spans="152:167">
      <c r="EV2565" s="28">
        <f t="shared" si="79"/>
        <v>0</v>
      </c>
      <c r="FH2565" s="29" t="str">
        <f t="shared" si="80"/>
        <v/>
      </c>
      <c r="FJ2565" s="36" t="str">
        <f>IF($FH2565="","",SUM($FN2565:$FN$7000))</f>
        <v/>
      </c>
      <c r="FK2565" s="36" t="str">
        <f>IF($FH2565="","",SUM($FN2565:$FN$7000))</f>
        <v/>
      </c>
    </row>
    <row r="2566" spans="152:167">
      <c r="EV2566" s="28">
        <f t="shared" si="79"/>
        <v>0</v>
      </c>
      <c r="FH2566" s="29" t="str">
        <f t="shared" si="80"/>
        <v/>
      </c>
      <c r="FJ2566" s="36" t="str">
        <f>IF($FH2566="","",SUM($FN2566:$FN$7000))</f>
        <v/>
      </c>
      <c r="FK2566" s="36" t="str">
        <f>IF($FH2566="","",SUM($FN2566:$FN$7000))</f>
        <v/>
      </c>
    </row>
    <row r="2567" spans="152:167">
      <c r="EV2567" s="28">
        <f t="shared" si="79"/>
        <v>0</v>
      </c>
      <c r="FH2567" s="29" t="str">
        <f t="shared" si="80"/>
        <v/>
      </c>
      <c r="FJ2567" s="36" t="str">
        <f>IF($FH2567="","",SUM($FN2567:$FN$7000))</f>
        <v/>
      </c>
      <c r="FK2567" s="36" t="str">
        <f>IF($FH2567="","",SUM($FN2567:$FN$7000))</f>
        <v/>
      </c>
    </row>
    <row r="2568" spans="152:167">
      <c r="EV2568" s="28">
        <f t="shared" si="79"/>
        <v>0</v>
      </c>
      <c r="FH2568" s="29" t="str">
        <f t="shared" si="80"/>
        <v/>
      </c>
      <c r="FJ2568" s="36" t="str">
        <f>IF($FH2568="","",SUM($FN2568:$FN$7000))</f>
        <v/>
      </c>
      <c r="FK2568" s="36" t="str">
        <f>IF($FH2568="","",SUM($FN2568:$FN$7000))</f>
        <v/>
      </c>
    </row>
    <row r="2569" spans="152:167">
      <c r="EV2569" s="28">
        <f t="shared" si="79"/>
        <v>0</v>
      </c>
      <c r="FH2569" s="29" t="str">
        <f t="shared" si="80"/>
        <v/>
      </c>
      <c r="FJ2569" s="36" t="str">
        <f>IF($FH2569="","",SUM($FN2569:$FN$7000))</f>
        <v/>
      </c>
      <c r="FK2569" s="36" t="str">
        <f>IF($FH2569="","",SUM($FN2569:$FN$7000))</f>
        <v/>
      </c>
    </row>
    <row r="2570" spans="152:167">
      <c r="EV2570" s="28">
        <f t="shared" si="79"/>
        <v>0</v>
      </c>
      <c r="FH2570" s="29" t="str">
        <f t="shared" si="80"/>
        <v/>
      </c>
      <c r="FJ2570" s="36" t="str">
        <f>IF($FH2570="","",SUM($FN2570:$FN$7000))</f>
        <v/>
      </c>
      <c r="FK2570" s="36" t="str">
        <f>IF($FH2570="","",SUM($FN2570:$FN$7000))</f>
        <v/>
      </c>
    </row>
    <row r="2571" spans="152:167">
      <c r="EV2571" s="28">
        <f t="shared" ref="EV2571:EV2634" si="81">EU2571-ET2571</f>
        <v>0</v>
      </c>
      <c r="FH2571" s="29" t="str">
        <f t="shared" ref="FH2571:FH2634" si="82">IF(FL2571="","",FL2571)</f>
        <v/>
      </c>
      <c r="FJ2571" s="36" t="str">
        <f>IF($FH2571="","",SUM($FN2571:$FN$7000))</f>
        <v/>
      </c>
      <c r="FK2571" s="36" t="str">
        <f>IF($FH2571="","",SUM($FN2571:$FN$7000))</f>
        <v/>
      </c>
    </row>
    <row r="2572" spans="152:167">
      <c r="EV2572" s="28">
        <f t="shared" si="81"/>
        <v>0</v>
      </c>
      <c r="FH2572" s="29" t="str">
        <f t="shared" si="82"/>
        <v/>
      </c>
      <c r="FJ2572" s="36" t="str">
        <f>IF($FH2572="","",SUM($FN2572:$FN$7000))</f>
        <v/>
      </c>
      <c r="FK2572" s="36" t="str">
        <f>IF($FH2572="","",SUM($FN2572:$FN$7000))</f>
        <v/>
      </c>
    </row>
    <row r="2573" spans="152:167">
      <c r="EV2573" s="28">
        <f t="shared" si="81"/>
        <v>0</v>
      </c>
      <c r="FH2573" s="29" t="str">
        <f t="shared" si="82"/>
        <v/>
      </c>
      <c r="FJ2573" s="36" t="str">
        <f>IF($FH2573="","",SUM($FN2573:$FN$7000))</f>
        <v/>
      </c>
      <c r="FK2573" s="36" t="str">
        <f>IF($FH2573="","",SUM($FN2573:$FN$7000))</f>
        <v/>
      </c>
    </row>
    <row r="2574" spans="152:167">
      <c r="EV2574" s="28">
        <f t="shared" si="81"/>
        <v>0</v>
      </c>
      <c r="FH2574" s="29" t="str">
        <f t="shared" si="82"/>
        <v/>
      </c>
      <c r="FJ2574" s="36" t="str">
        <f>IF($FH2574="","",SUM($FN2574:$FN$7000))</f>
        <v/>
      </c>
      <c r="FK2574" s="36" t="str">
        <f>IF($FH2574="","",SUM($FN2574:$FN$7000))</f>
        <v/>
      </c>
    </row>
    <row r="2575" spans="152:167">
      <c r="EV2575" s="28">
        <f t="shared" si="81"/>
        <v>0</v>
      </c>
      <c r="FH2575" s="29" t="str">
        <f t="shared" si="82"/>
        <v/>
      </c>
      <c r="FJ2575" s="36" t="str">
        <f>IF($FH2575="","",SUM($FN2575:$FN$7000))</f>
        <v/>
      </c>
      <c r="FK2575" s="36" t="str">
        <f>IF($FH2575="","",SUM($FN2575:$FN$7000))</f>
        <v/>
      </c>
    </row>
    <row r="2576" spans="152:167">
      <c r="EV2576" s="28">
        <f t="shared" si="81"/>
        <v>0</v>
      </c>
      <c r="FH2576" s="29" t="str">
        <f t="shared" si="82"/>
        <v/>
      </c>
      <c r="FJ2576" s="36" t="str">
        <f>IF($FH2576="","",SUM($FN2576:$FN$7000))</f>
        <v/>
      </c>
      <c r="FK2576" s="36" t="str">
        <f>IF($FH2576="","",SUM($FN2576:$FN$7000))</f>
        <v/>
      </c>
    </row>
    <row r="2577" spans="152:167">
      <c r="EV2577" s="28">
        <f t="shared" si="81"/>
        <v>0</v>
      </c>
      <c r="FH2577" s="29" t="str">
        <f t="shared" si="82"/>
        <v/>
      </c>
      <c r="FJ2577" s="36" t="str">
        <f>IF($FH2577="","",SUM($FN2577:$FN$7000))</f>
        <v/>
      </c>
      <c r="FK2577" s="36" t="str">
        <f>IF($FH2577="","",SUM($FN2577:$FN$7000))</f>
        <v/>
      </c>
    </row>
    <row r="2578" spans="152:167">
      <c r="EV2578" s="28">
        <f t="shared" si="81"/>
        <v>0</v>
      </c>
      <c r="FH2578" s="29" t="str">
        <f t="shared" si="82"/>
        <v/>
      </c>
      <c r="FJ2578" s="36" t="str">
        <f>IF($FH2578="","",SUM($FN2578:$FN$7000))</f>
        <v/>
      </c>
      <c r="FK2578" s="36" t="str">
        <f>IF($FH2578="","",SUM($FN2578:$FN$7000))</f>
        <v/>
      </c>
    </row>
    <row r="2579" spans="152:167">
      <c r="EV2579" s="28">
        <f t="shared" si="81"/>
        <v>0</v>
      </c>
      <c r="FH2579" s="29" t="str">
        <f t="shared" si="82"/>
        <v/>
      </c>
      <c r="FJ2579" s="36" t="str">
        <f>IF($FH2579="","",SUM($FN2579:$FN$7000))</f>
        <v/>
      </c>
      <c r="FK2579" s="36" t="str">
        <f>IF($FH2579="","",SUM($FN2579:$FN$7000))</f>
        <v/>
      </c>
    </row>
    <row r="2580" spans="152:167">
      <c r="EV2580" s="28">
        <f t="shared" si="81"/>
        <v>0</v>
      </c>
      <c r="FH2580" s="29" t="str">
        <f t="shared" si="82"/>
        <v/>
      </c>
      <c r="FJ2580" s="36" t="str">
        <f>IF($FH2580="","",SUM($FN2580:$FN$7000))</f>
        <v/>
      </c>
      <c r="FK2580" s="36" t="str">
        <f>IF($FH2580="","",SUM($FN2580:$FN$7000))</f>
        <v/>
      </c>
    </row>
    <row r="2581" spans="152:167">
      <c r="EV2581" s="28">
        <f t="shared" si="81"/>
        <v>0</v>
      </c>
      <c r="FH2581" s="29" t="str">
        <f t="shared" si="82"/>
        <v/>
      </c>
      <c r="FJ2581" s="36" t="str">
        <f>IF($FH2581="","",SUM($FN2581:$FN$7000))</f>
        <v/>
      </c>
      <c r="FK2581" s="36" t="str">
        <f>IF($FH2581="","",SUM($FN2581:$FN$7000))</f>
        <v/>
      </c>
    </row>
    <row r="2582" spans="152:167">
      <c r="EV2582" s="28">
        <f t="shared" si="81"/>
        <v>0</v>
      </c>
      <c r="FH2582" s="29" t="str">
        <f t="shared" si="82"/>
        <v/>
      </c>
      <c r="FJ2582" s="36" t="str">
        <f>IF($FH2582="","",SUM($FN2582:$FN$7000))</f>
        <v/>
      </c>
      <c r="FK2582" s="36" t="str">
        <f>IF($FH2582="","",SUM($FN2582:$FN$7000))</f>
        <v/>
      </c>
    </row>
    <row r="2583" spans="152:167">
      <c r="EV2583" s="28">
        <f t="shared" si="81"/>
        <v>0</v>
      </c>
      <c r="FH2583" s="29" t="str">
        <f t="shared" si="82"/>
        <v/>
      </c>
      <c r="FJ2583" s="36" t="str">
        <f>IF($FH2583="","",SUM($FN2583:$FN$7000))</f>
        <v/>
      </c>
      <c r="FK2583" s="36" t="str">
        <f>IF($FH2583="","",SUM($FN2583:$FN$7000))</f>
        <v/>
      </c>
    </row>
    <row r="2584" spans="152:167">
      <c r="EV2584" s="28">
        <f t="shared" si="81"/>
        <v>0</v>
      </c>
      <c r="FH2584" s="29" t="str">
        <f t="shared" si="82"/>
        <v/>
      </c>
      <c r="FJ2584" s="36" t="str">
        <f>IF($FH2584="","",SUM($FN2584:$FN$7000))</f>
        <v/>
      </c>
      <c r="FK2584" s="36" t="str">
        <f>IF($FH2584="","",SUM($FN2584:$FN$7000))</f>
        <v/>
      </c>
    </row>
    <row r="2585" spans="152:167">
      <c r="EV2585" s="28">
        <f t="shared" si="81"/>
        <v>0</v>
      </c>
      <c r="FH2585" s="29" t="str">
        <f t="shared" si="82"/>
        <v/>
      </c>
      <c r="FJ2585" s="36" t="str">
        <f>IF($FH2585="","",SUM($FN2585:$FN$7000))</f>
        <v/>
      </c>
      <c r="FK2585" s="36" t="str">
        <f>IF($FH2585="","",SUM($FN2585:$FN$7000))</f>
        <v/>
      </c>
    </row>
    <row r="2586" spans="152:167">
      <c r="EV2586" s="28">
        <f t="shared" si="81"/>
        <v>0</v>
      </c>
      <c r="FH2586" s="29" t="str">
        <f t="shared" si="82"/>
        <v/>
      </c>
      <c r="FJ2586" s="36" t="str">
        <f>IF($FH2586="","",SUM($FN2586:$FN$7000))</f>
        <v/>
      </c>
      <c r="FK2586" s="36" t="str">
        <f>IF($FH2586="","",SUM($FN2586:$FN$7000))</f>
        <v/>
      </c>
    </row>
    <row r="2587" spans="152:167">
      <c r="EV2587" s="28">
        <f t="shared" si="81"/>
        <v>0</v>
      </c>
      <c r="FH2587" s="29" t="str">
        <f t="shared" si="82"/>
        <v/>
      </c>
      <c r="FJ2587" s="36" t="str">
        <f>IF($FH2587="","",SUM($FN2587:$FN$7000))</f>
        <v/>
      </c>
      <c r="FK2587" s="36" t="str">
        <f>IF($FH2587="","",SUM($FN2587:$FN$7000))</f>
        <v/>
      </c>
    </row>
    <row r="2588" spans="152:167">
      <c r="EV2588" s="28">
        <f t="shared" si="81"/>
        <v>0</v>
      </c>
      <c r="FH2588" s="29" t="str">
        <f t="shared" si="82"/>
        <v/>
      </c>
      <c r="FJ2588" s="36" t="str">
        <f>IF($FH2588="","",SUM($FN2588:$FN$7000))</f>
        <v/>
      </c>
      <c r="FK2588" s="36" t="str">
        <f>IF($FH2588="","",SUM($FN2588:$FN$7000))</f>
        <v/>
      </c>
    </row>
    <row r="2589" spans="152:167">
      <c r="EV2589" s="28">
        <f t="shared" si="81"/>
        <v>0</v>
      </c>
      <c r="FH2589" s="29" t="str">
        <f t="shared" si="82"/>
        <v/>
      </c>
      <c r="FJ2589" s="36" t="str">
        <f>IF($FH2589="","",SUM($FN2589:$FN$7000))</f>
        <v/>
      </c>
      <c r="FK2589" s="36" t="str">
        <f>IF($FH2589="","",SUM($FN2589:$FN$7000))</f>
        <v/>
      </c>
    </row>
    <row r="2590" spans="152:167">
      <c r="EV2590" s="28">
        <f t="shared" si="81"/>
        <v>0</v>
      </c>
      <c r="FH2590" s="29" t="str">
        <f t="shared" si="82"/>
        <v/>
      </c>
      <c r="FJ2590" s="36" t="str">
        <f>IF($FH2590="","",SUM($FN2590:$FN$7000))</f>
        <v/>
      </c>
      <c r="FK2590" s="36" t="str">
        <f>IF($FH2590="","",SUM($FN2590:$FN$7000))</f>
        <v/>
      </c>
    </row>
    <row r="2591" spans="152:167">
      <c r="EV2591" s="28">
        <f t="shared" si="81"/>
        <v>0</v>
      </c>
      <c r="FH2591" s="29" t="str">
        <f t="shared" si="82"/>
        <v/>
      </c>
      <c r="FJ2591" s="36" t="str">
        <f>IF($FH2591="","",SUM($FN2591:$FN$7000))</f>
        <v/>
      </c>
      <c r="FK2591" s="36" t="str">
        <f>IF($FH2591="","",SUM($FN2591:$FN$7000))</f>
        <v/>
      </c>
    </row>
    <row r="2592" spans="152:167">
      <c r="EV2592" s="28">
        <f t="shared" si="81"/>
        <v>0</v>
      </c>
      <c r="FH2592" s="29" t="str">
        <f t="shared" si="82"/>
        <v/>
      </c>
      <c r="FJ2592" s="36" t="str">
        <f>IF($FH2592="","",SUM($FN2592:$FN$7000))</f>
        <v/>
      </c>
      <c r="FK2592" s="36" t="str">
        <f>IF($FH2592="","",SUM($FN2592:$FN$7000))</f>
        <v/>
      </c>
    </row>
    <row r="2593" spans="152:167">
      <c r="EV2593" s="28">
        <f t="shared" si="81"/>
        <v>0</v>
      </c>
      <c r="FH2593" s="29" t="str">
        <f t="shared" si="82"/>
        <v/>
      </c>
      <c r="FJ2593" s="36" t="str">
        <f>IF($FH2593="","",SUM($FN2593:$FN$7000))</f>
        <v/>
      </c>
      <c r="FK2593" s="36" t="str">
        <f>IF($FH2593="","",SUM($FN2593:$FN$7000))</f>
        <v/>
      </c>
    </row>
    <row r="2594" spans="152:167">
      <c r="EV2594" s="28">
        <f t="shared" si="81"/>
        <v>0</v>
      </c>
      <c r="FH2594" s="29" t="str">
        <f t="shared" si="82"/>
        <v/>
      </c>
      <c r="FJ2594" s="36" t="str">
        <f>IF($FH2594="","",SUM($FN2594:$FN$7000))</f>
        <v/>
      </c>
      <c r="FK2594" s="36" t="str">
        <f>IF($FH2594="","",SUM($FN2594:$FN$7000))</f>
        <v/>
      </c>
    </row>
    <row r="2595" spans="152:167">
      <c r="EV2595" s="28">
        <f t="shared" si="81"/>
        <v>0</v>
      </c>
      <c r="FH2595" s="29" t="str">
        <f t="shared" si="82"/>
        <v/>
      </c>
      <c r="FJ2595" s="36" t="str">
        <f>IF($FH2595="","",SUM($FN2595:$FN$7000))</f>
        <v/>
      </c>
      <c r="FK2595" s="36" t="str">
        <f>IF($FH2595="","",SUM($FN2595:$FN$7000))</f>
        <v/>
      </c>
    </row>
    <row r="2596" spans="152:167">
      <c r="EV2596" s="28">
        <f t="shared" si="81"/>
        <v>0</v>
      </c>
      <c r="FH2596" s="29" t="str">
        <f t="shared" si="82"/>
        <v/>
      </c>
      <c r="FJ2596" s="36" t="str">
        <f>IF($FH2596="","",SUM($FN2596:$FN$7000))</f>
        <v/>
      </c>
      <c r="FK2596" s="36" t="str">
        <f>IF($FH2596="","",SUM($FN2596:$FN$7000))</f>
        <v/>
      </c>
    </row>
    <row r="2597" spans="152:167">
      <c r="EV2597" s="28">
        <f t="shared" si="81"/>
        <v>0</v>
      </c>
      <c r="FH2597" s="29" t="str">
        <f t="shared" si="82"/>
        <v/>
      </c>
      <c r="FJ2597" s="36" t="str">
        <f>IF($FH2597="","",SUM($FN2597:$FN$7000))</f>
        <v/>
      </c>
      <c r="FK2597" s="36" t="str">
        <f>IF($FH2597="","",SUM($FN2597:$FN$7000))</f>
        <v/>
      </c>
    </row>
    <row r="2598" spans="152:167">
      <c r="EV2598" s="28">
        <f t="shared" si="81"/>
        <v>0</v>
      </c>
      <c r="FH2598" s="29" t="str">
        <f t="shared" si="82"/>
        <v/>
      </c>
      <c r="FJ2598" s="36" t="str">
        <f>IF($FH2598="","",SUM($FN2598:$FN$7000))</f>
        <v/>
      </c>
      <c r="FK2598" s="36" t="str">
        <f>IF($FH2598="","",SUM($FN2598:$FN$7000))</f>
        <v/>
      </c>
    </row>
    <row r="2599" spans="152:167">
      <c r="EV2599" s="28">
        <f t="shared" si="81"/>
        <v>0</v>
      </c>
      <c r="FH2599" s="29" t="str">
        <f t="shared" si="82"/>
        <v/>
      </c>
      <c r="FJ2599" s="36" t="str">
        <f>IF($FH2599="","",SUM($FN2599:$FN$7000))</f>
        <v/>
      </c>
      <c r="FK2599" s="36" t="str">
        <f>IF($FH2599="","",SUM($FN2599:$FN$7000))</f>
        <v/>
      </c>
    </row>
    <row r="2600" spans="152:167">
      <c r="EV2600" s="28">
        <f t="shared" si="81"/>
        <v>0</v>
      </c>
      <c r="FH2600" s="29" t="str">
        <f t="shared" si="82"/>
        <v/>
      </c>
      <c r="FJ2600" s="36" t="str">
        <f>IF($FH2600="","",SUM($FN2600:$FN$7000))</f>
        <v/>
      </c>
      <c r="FK2600" s="36" t="str">
        <f>IF($FH2600="","",SUM($FN2600:$FN$7000))</f>
        <v/>
      </c>
    </row>
    <row r="2601" spans="152:167">
      <c r="EV2601" s="28">
        <f t="shared" si="81"/>
        <v>0</v>
      </c>
      <c r="FH2601" s="29" t="str">
        <f t="shared" si="82"/>
        <v/>
      </c>
      <c r="FJ2601" s="36" t="str">
        <f>IF($FH2601="","",SUM($FN2601:$FN$7000))</f>
        <v/>
      </c>
      <c r="FK2601" s="36" t="str">
        <f>IF($FH2601="","",SUM($FN2601:$FN$7000))</f>
        <v/>
      </c>
    </row>
    <row r="2602" spans="152:167">
      <c r="EV2602" s="28">
        <f t="shared" si="81"/>
        <v>0</v>
      </c>
      <c r="FH2602" s="29" t="str">
        <f t="shared" si="82"/>
        <v/>
      </c>
      <c r="FJ2602" s="36" t="str">
        <f>IF($FH2602="","",SUM($FN2602:$FN$7000))</f>
        <v/>
      </c>
      <c r="FK2602" s="36" t="str">
        <f>IF($FH2602="","",SUM($FN2602:$FN$7000))</f>
        <v/>
      </c>
    </row>
    <row r="2603" spans="152:167">
      <c r="EV2603" s="28">
        <f t="shared" si="81"/>
        <v>0</v>
      </c>
      <c r="FH2603" s="29" t="str">
        <f t="shared" si="82"/>
        <v/>
      </c>
      <c r="FJ2603" s="36" t="str">
        <f>IF($FH2603="","",SUM($FN2603:$FN$7000))</f>
        <v/>
      </c>
      <c r="FK2603" s="36" t="str">
        <f>IF($FH2603="","",SUM($FN2603:$FN$7000))</f>
        <v/>
      </c>
    </row>
    <row r="2604" spans="152:167">
      <c r="EV2604" s="28">
        <f t="shared" si="81"/>
        <v>0</v>
      </c>
      <c r="FH2604" s="29" t="str">
        <f t="shared" si="82"/>
        <v/>
      </c>
      <c r="FJ2604" s="36" t="str">
        <f>IF($FH2604="","",SUM($FN2604:$FN$7000))</f>
        <v/>
      </c>
      <c r="FK2604" s="36" t="str">
        <f>IF($FH2604="","",SUM($FN2604:$FN$7000))</f>
        <v/>
      </c>
    </row>
    <row r="2605" spans="152:167">
      <c r="EV2605" s="28">
        <f t="shared" si="81"/>
        <v>0</v>
      </c>
      <c r="FH2605" s="29" t="str">
        <f t="shared" si="82"/>
        <v/>
      </c>
      <c r="FJ2605" s="36" t="str">
        <f>IF($FH2605="","",SUM($FN2605:$FN$7000))</f>
        <v/>
      </c>
      <c r="FK2605" s="36" t="str">
        <f>IF($FH2605="","",SUM($FN2605:$FN$7000))</f>
        <v/>
      </c>
    </row>
    <row r="2606" spans="152:167">
      <c r="EV2606" s="28">
        <f t="shared" si="81"/>
        <v>0</v>
      </c>
      <c r="FH2606" s="29" t="str">
        <f t="shared" si="82"/>
        <v/>
      </c>
      <c r="FJ2606" s="36" t="str">
        <f>IF($FH2606="","",SUM($FN2606:$FN$7000))</f>
        <v/>
      </c>
      <c r="FK2606" s="36" t="str">
        <f>IF($FH2606="","",SUM($FN2606:$FN$7000))</f>
        <v/>
      </c>
    </row>
    <row r="2607" spans="152:167">
      <c r="EV2607" s="28">
        <f t="shared" si="81"/>
        <v>0</v>
      </c>
      <c r="FH2607" s="29" t="str">
        <f t="shared" si="82"/>
        <v/>
      </c>
      <c r="FJ2607" s="36" t="str">
        <f>IF($FH2607="","",SUM($FN2607:$FN$7000))</f>
        <v/>
      </c>
      <c r="FK2607" s="36" t="str">
        <f>IF($FH2607="","",SUM($FN2607:$FN$7000))</f>
        <v/>
      </c>
    </row>
    <row r="2608" spans="152:167">
      <c r="EV2608" s="28">
        <f t="shared" si="81"/>
        <v>0</v>
      </c>
      <c r="FH2608" s="29" t="str">
        <f t="shared" si="82"/>
        <v/>
      </c>
      <c r="FJ2608" s="36" t="str">
        <f>IF($FH2608="","",SUM($FN2608:$FN$7000))</f>
        <v/>
      </c>
      <c r="FK2608" s="36" t="str">
        <f>IF($FH2608="","",SUM($FN2608:$FN$7000))</f>
        <v/>
      </c>
    </row>
    <row r="2609" spans="152:167">
      <c r="EV2609" s="28">
        <f t="shared" si="81"/>
        <v>0</v>
      </c>
      <c r="FH2609" s="29" t="str">
        <f t="shared" si="82"/>
        <v/>
      </c>
      <c r="FJ2609" s="36" t="str">
        <f>IF($FH2609="","",SUM($FN2609:$FN$7000))</f>
        <v/>
      </c>
      <c r="FK2609" s="36" t="str">
        <f>IF($FH2609="","",SUM($FN2609:$FN$7000))</f>
        <v/>
      </c>
    </row>
    <row r="2610" spans="152:167">
      <c r="EV2610" s="28">
        <f t="shared" si="81"/>
        <v>0</v>
      </c>
      <c r="FH2610" s="29" t="str">
        <f t="shared" si="82"/>
        <v/>
      </c>
      <c r="FJ2610" s="36" t="str">
        <f>IF($FH2610="","",SUM($FN2610:$FN$7000))</f>
        <v/>
      </c>
      <c r="FK2610" s="36" t="str">
        <f>IF($FH2610="","",SUM($FN2610:$FN$7000))</f>
        <v/>
      </c>
    </row>
    <row r="2611" spans="152:167">
      <c r="EV2611" s="28">
        <f t="shared" si="81"/>
        <v>0</v>
      </c>
      <c r="FH2611" s="29" t="str">
        <f t="shared" si="82"/>
        <v/>
      </c>
      <c r="FJ2611" s="36" t="str">
        <f>IF($FH2611="","",SUM($FN2611:$FN$7000))</f>
        <v/>
      </c>
      <c r="FK2611" s="36" t="str">
        <f>IF($FH2611="","",SUM($FN2611:$FN$7000))</f>
        <v/>
      </c>
    </row>
    <row r="2612" spans="152:167">
      <c r="EV2612" s="28">
        <f t="shared" si="81"/>
        <v>0</v>
      </c>
      <c r="FH2612" s="29" t="str">
        <f t="shared" si="82"/>
        <v/>
      </c>
      <c r="FJ2612" s="36" t="str">
        <f>IF($FH2612="","",SUM($FN2612:$FN$7000))</f>
        <v/>
      </c>
      <c r="FK2612" s="36" t="str">
        <f>IF($FH2612="","",SUM($FN2612:$FN$7000))</f>
        <v/>
      </c>
    </row>
    <row r="2613" spans="152:167">
      <c r="EV2613" s="28">
        <f t="shared" si="81"/>
        <v>0</v>
      </c>
      <c r="FH2613" s="29" t="str">
        <f t="shared" si="82"/>
        <v/>
      </c>
      <c r="FJ2613" s="36" t="str">
        <f>IF($FH2613="","",SUM($FN2613:$FN$7000))</f>
        <v/>
      </c>
      <c r="FK2613" s="36" t="str">
        <f>IF($FH2613="","",SUM($FN2613:$FN$7000))</f>
        <v/>
      </c>
    </row>
    <row r="2614" spans="152:167">
      <c r="EV2614" s="28">
        <f t="shared" si="81"/>
        <v>0</v>
      </c>
      <c r="FH2614" s="29" t="str">
        <f t="shared" si="82"/>
        <v/>
      </c>
      <c r="FJ2614" s="36" t="str">
        <f>IF($FH2614="","",SUM($FN2614:$FN$7000))</f>
        <v/>
      </c>
      <c r="FK2614" s="36" t="str">
        <f>IF($FH2614="","",SUM($FN2614:$FN$7000))</f>
        <v/>
      </c>
    </row>
    <row r="2615" spans="152:167">
      <c r="EV2615" s="28">
        <f t="shared" si="81"/>
        <v>0</v>
      </c>
      <c r="FH2615" s="29" t="str">
        <f t="shared" si="82"/>
        <v/>
      </c>
      <c r="FJ2615" s="36" t="str">
        <f>IF($FH2615="","",SUM($FN2615:$FN$7000))</f>
        <v/>
      </c>
      <c r="FK2615" s="36" t="str">
        <f>IF($FH2615="","",SUM($FN2615:$FN$7000))</f>
        <v/>
      </c>
    </row>
    <row r="2616" spans="152:167">
      <c r="EV2616" s="28">
        <f t="shared" si="81"/>
        <v>0</v>
      </c>
      <c r="FH2616" s="29" t="str">
        <f t="shared" si="82"/>
        <v/>
      </c>
      <c r="FJ2616" s="36" t="str">
        <f>IF($FH2616="","",SUM($FN2616:$FN$7000))</f>
        <v/>
      </c>
      <c r="FK2616" s="36" t="str">
        <f>IF($FH2616="","",SUM($FN2616:$FN$7000))</f>
        <v/>
      </c>
    </row>
    <row r="2617" spans="152:167">
      <c r="EV2617" s="28">
        <f t="shared" si="81"/>
        <v>0</v>
      </c>
      <c r="FH2617" s="29" t="str">
        <f t="shared" si="82"/>
        <v/>
      </c>
      <c r="FJ2617" s="36" t="str">
        <f>IF($FH2617="","",SUM($FN2617:$FN$7000))</f>
        <v/>
      </c>
      <c r="FK2617" s="36" t="str">
        <f>IF($FH2617="","",SUM($FN2617:$FN$7000))</f>
        <v/>
      </c>
    </row>
    <row r="2618" spans="152:167">
      <c r="EV2618" s="28">
        <f t="shared" si="81"/>
        <v>0</v>
      </c>
      <c r="FH2618" s="29" t="str">
        <f t="shared" si="82"/>
        <v/>
      </c>
      <c r="FJ2618" s="36" t="str">
        <f>IF($FH2618="","",SUM($FN2618:$FN$7000))</f>
        <v/>
      </c>
      <c r="FK2618" s="36" t="str">
        <f>IF($FH2618="","",SUM($FN2618:$FN$7000))</f>
        <v/>
      </c>
    </row>
    <row r="2619" spans="152:167">
      <c r="EV2619" s="28">
        <f t="shared" si="81"/>
        <v>0</v>
      </c>
      <c r="FH2619" s="29" t="str">
        <f t="shared" si="82"/>
        <v/>
      </c>
      <c r="FJ2619" s="36" t="str">
        <f>IF($FH2619="","",SUM($FN2619:$FN$7000))</f>
        <v/>
      </c>
      <c r="FK2619" s="36" t="str">
        <f>IF($FH2619="","",SUM($FN2619:$FN$7000))</f>
        <v/>
      </c>
    </row>
    <row r="2620" spans="152:167">
      <c r="EV2620" s="28">
        <f t="shared" si="81"/>
        <v>0</v>
      </c>
      <c r="FH2620" s="29" t="str">
        <f t="shared" si="82"/>
        <v/>
      </c>
      <c r="FJ2620" s="36" t="str">
        <f>IF($FH2620="","",SUM($FN2620:$FN$7000))</f>
        <v/>
      </c>
      <c r="FK2620" s="36" t="str">
        <f>IF($FH2620="","",SUM($FN2620:$FN$7000))</f>
        <v/>
      </c>
    </row>
    <row r="2621" spans="152:167">
      <c r="EV2621" s="28">
        <f t="shared" si="81"/>
        <v>0</v>
      </c>
      <c r="FH2621" s="29" t="str">
        <f t="shared" si="82"/>
        <v/>
      </c>
      <c r="FJ2621" s="36" t="str">
        <f>IF($FH2621="","",SUM($FN2621:$FN$7000))</f>
        <v/>
      </c>
      <c r="FK2621" s="36" t="str">
        <f>IF($FH2621="","",SUM($FN2621:$FN$7000))</f>
        <v/>
      </c>
    </row>
    <row r="2622" spans="152:167">
      <c r="EV2622" s="28">
        <f t="shared" si="81"/>
        <v>0</v>
      </c>
      <c r="FH2622" s="29" t="str">
        <f t="shared" si="82"/>
        <v/>
      </c>
      <c r="FJ2622" s="36" t="str">
        <f>IF($FH2622="","",SUM($FN2622:$FN$7000))</f>
        <v/>
      </c>
      <c r="FK2622" s="36" t="str">
        <f>IF($FH2622="","",SUM($FN2622:$FN$7000))</f>
        <v/>
      </c>
    </row>
    <row r="2623" spans="152:167">
      <c r="EV2623" s="28">
        <f t="shared" si="81"/>
        <v>0</v>
      </c>
      <c r="FH2623" s="29" t="str">
        <f t="shared" si="82"/>
        <v/>
      </c>
      <c r="FJ2623" s="36" t="str">
        <f>IF($FH2623="","",SUM($FN2623:$FN$7000))</f>
        <v/>
      </c>
      <c r="FK2623" s="36" t="str">
        <f>IF($FH2623="","",SUM($FN2623:$FN$7000))</f>
        <v/>
      </c>
    </row>
    <row r="2624" spans="152:167">
      <c r="EV2624" s="28">
        <f t="shared" si="81"/>
        <v>0</v>
      </c>
      <c r="FH2624" s="29" t="str">
        <f t="shared" si="82"/>
        <v/>
      </c>
      <c r="FJ2624" s="36" t="str">
        <f>IF($FH2624="","",SUM($FN2624:$FN$7000))</f>
        <v/>
      </c>
      <c r="FK2624" s="36" t="str">
        <f>IF($FH2624="","",SUM($FN2624:$FN$7000))</f>
        <v/>
      </c>
    </row>
    <row r="2625" spans="152:167">
      <c r="EV2625" s="28">
        <f t="shared" si="81"/>
        <v>0</v>
      </c>
      <c r="FH2625" s="29" t="str">
        <f t="shared" si="82"/>
        <v/>
      </c>
      <c r="FJ2625" s="36" t="str">
        <f>IF($FH2625="","",SUM($FN2625:$FN$7000))</f>
        <v/>
      </c>
      <c r="FK2625" s="36" t="str">
        <f>IF($FH2625="","",SUM($FN2625:$FN$7000))</f>
        <v/>
      </c>
    </row>
    <row r="2626" spans="152:167">
      <c r="EV2626" s="28">
        <f t="shared" si="81"/>
        <v>0</v>
      </c>
      <c r="FH2626" s="29" t="str">
        <f t="shared" si="82"/>
        <v/>
      </c>
      <c r="FJ2626" s="36" t="str">
        <f>IF($FH2626="","",SUM($FN2626:$FN$7000))</f>
        <v/>
      </c>
      <c r="FK2626" s="36" t="str">
        <f>IF($FH2626="","",SUM($FN2626:$FN$7000))</f>
        <v/>
      </c>
    </row>
    <row r="2627" spans="152:167">
      <c r="EV2627" s="28">
        <f t="shared" si="81"/>
        <v>0</v>
      </c>
      <c r="FH2627" s="29" t="str">
        <f t="shared" si="82"/>
        <v/>
      </c>
      <c r="FJ2627" s="36" t="str">
        <f>IF($FH2627="","",SUM($FN2627:$FN$7000))</f>
        <v/>
      </c>
      <c r="FK2627" s="36" t="str">
        <f>IF($FH2627="","",SUM($FN2627:$FN$7000))</f>
        <v/>
      </c>
    </row>
    <row r="2628" spans="152:167">
      <c r="EV2628" s="28">
        <f t="shared" si="81"/>
        <v>0</v>
      </c>
      <c r="FH2628" s="29" t="str">
        <f t="shared" si="82"/>
        <v/>
      </c>
      <c r="FJ2628" s="36" t="str">
        <f>IF($FH2628="","",SUM($FN2628:$FN$7000))</f>
        <v/>
      </c>
      <c r="FK2628" s="36" t="str">
        <f>IF($FH2628="","",SUM($FN2628:$FN$7000))</f>
        <v/>
      </c>
    </row>
    <row r="2629" spans="152:167">
      <c r="EV2629" s="28">
        <f t="shared" si="81"/>
        <v>0</v>
      </c>
      <c r="FH2629" s="29" t="str">
        <f t="shared" si="82"/>
        <v/>
      </c>
      <c r="FJ2629" s="36" t="str">
        <f>IF($FH2629="","",SUM($FN2629:$FN$7000))</f>
        <v/>
      </c>
      <c r="FK2629" s="36" t="str">
        <f>IF($FH2629="","",SUM($FN2629:$FN$7000))</f>
        <v/>
      </c>
    </row>
    <row r="2630" spans="152:167">
      <c r="EV2630" s="28">
        <f t="shared" si="81"/>
        <v>0</v>
      </c>
      <c r="FH2630" s="29" t="str">
        <f t="shared" si="82"/>
        <v/>
      </c>
      <c r="FJ2630" s="36" t="str">
        <f>IF($FH2630="","",SUM($FN2630:$FN$7000))</f>
        <v/>
      </c>
      <c r="FK2630" s="36" t="str">
        <f>IF($FH2630="","",SUM($FN2630:$FN$7000))</f>
        <v/>
      </c>
    </row>
    <row r="2631" spans="152:167">
      <c r="EV2631" s="28">
        <f t="shared" si="81"/>
        <v>0</v>
      </c>
      <c r="FH2631" s="29" t="str">
        <f t="shared" si="82"/>
        <v/>
      </c>
      <c r="FJ2631" s="36" t="str">
        <f>IF($FH2631="","",SUM($FN2631:$FN$7000))</f>
        <v/>
      </c>
      <c r="FK2631" s="36" t="str">
        <f>IF($FH2631="","",SUM($FN2631:$FN$7000))</f>
        <v/>
      </c>
    </row>
    <row r="2632" spans="152:167">
      <c r="EV2632" s="28">
        <f t="shared" si="81"/>
        <v>0</v>
      </c>
      <c r="FH2632" s="29" t="str">
        <f t="shared" si="82"/>
        <v/>
      </c>
      <c r="FJ2632" s="36" t="str">
        <f>IF($FH2632="","",SUM($FN2632:$FN$7000))</f>
        <v/>
      </c>
      <c r="FK2632" s="36" t="str">
        <f>IF($FH2632="","",SUM($FN2632:$FN$7000))</f>
        <v/>
      </c>
    </row>
    <row r="2633" spans="152:167">
      <c r="EV2633" s="28">
        <f t="shared" si="81"/>
        <v>0</v>
      </c>
      <c r="FH2633" s="29" t="str">
        <f t="shared" si="82"/>
        <v/>
      </c>
      <c r="FJ2633" s="36" t="str">
        <f>IF($FH2633="","",SUM($FN2633:$FN$7000))</f>
        <v/>
      </c>
      <c r="FK2633" s="36" t="str">
        <f>IF($FH2633="","",SUM($FN2633:$FN$7000))</f>
        <v/>
      </c>
    </row>
    <row r="2634" spans="152:167">
      <c r="EV2634" s="28">
        <f t="shared" si="81"/>
        <v>0</v>
      </c>
      <c r="FH2634" s="29" t="str">
        <f t="shared" si="82"/>
        <v/>
      </c>
      <c r="FJ2634" s="36" t="str">
        <f>IF($FH2634="","",SUM($FN2634:$FN$7000))</f>
        <v/>
      </c>
      <c r="FK2634" s="36" t="str">
        <f>IF($FH2634="","",SUM($FN2634:$FN$7000))</f>
        <v/>
      </c>
    </row>
    <row r="2635" spans="152:167">
      <c r="EV2635" s="28">
        <f t="shared" ref="EV2635:EV2698" si="83">EU2635-ET2635</f>
        <v>0</v>
      </c>
      <c r="FH2635" s="29" t="str">
        <f t="shared" ref="FH2635:FH2698" si="84">IF(FL2635="","",FL2635)</f>
        <v/>
      </c>
      <c r="FJ2635" s="36" t="str">
        <f>IF($FH2635="","",SUM($FN2635:$FN$7000))</f>
        <v/>
      </c>
      <c r="FK2635" s="36" t="str">
        <f>IF($FH2635="","",SUM($FN2635:$FN$7000))</f>
        <v/>
      </c>
    </row>
    <row r="2636" spans="152:167">
      <c r="EV2636" s="28">
        <f t="shared" si="83"/>
        <v>0</v>
      </c>
      <c r="FH2636" s="29" t="str">
        <f t="shared" si="84"/>
        <v/>
      </c>
      <c r="FJ2636" s="36" t="str">
        <f>IF($FH2636="","",SUM($FN2636:$FN$7000))</f>
        <v/>
      </c>
      <c r="FK2636" s="36" t="str">
        <f>IF($FH2636="","",SUM($FN2636:$FN$7000))</f>
        <v/>
      </c>
    </row>
    <row r="2637" spans="152:167">
      <c r="EV2637" s="28">
        <f t="shared" si="83"/>
        <v>0</v>
      </c>
      <c r="FH2637" s="29" t="str">
        <f t="shared" si="84"/>
        <v/>
      </c>
      <c r="FJ2637" s="36" t="str">
        <f>IF($FH2637="","",SUM($FN2637:$FN$7000))</f>
        <v/>
      </c>
      <c r="FK2637" s="36" t="str">
        <f>IF($FH2637="","",SUM($FN2637:$FN$7000))</f>
        <v/>
      </c>
    </row>
    <row r="2638" spans="152:167">
      <c r="EV2638" s="28">
        <f t="shared" si="83"/>
        <v>0</v>
      </c>
      <c r="FH2638" s="29" t="str">
        <f t="shared" si="84"/>
        <v/>
      </c>
      <c r="FJ2638" s="36" t="str">
        <f>IF($FH2638="","",SUM($FN2638:$FN$7000))</f>
        <v/>
      </c>
      <c r="FK2638" s="36" t="str">
        <f>IF($FH2638="","",SUM($FN2638:$FN$7000))</f>
        <v/>
      </c>
    </row>
    <row r="2639" spans="152:167">
      <c r="EV2639" s="28">
        <f t="shared" si="83"/>
        <v>0</v>
      </c>
      <c r="FH2639" s="29" t="str">
        <f t="shared" si="84"/>
        <v/>
      </c>
      <c r="FJ2639" s="36" t="str">
        <f>IF($FH2639="","",SUM($FN2639:$FN$7000))</f>
        <v/>
      </c>
      <c r="FK2639" s="36" t="str">
        <f>IF($FH2639="","",SUM($FN2639:$FN$7000))</f>
        <v/>
      </c>
    </row>
    <row r="2640" spans="152:167">
      <c r="EV2640" s="28">
        <f t="shared" si="83"/>
        <v>0</v>
      </c>
      <c r="FH2640" s="29" t="str">
        <f t="shared" si="84"/>
        <v/>
      </c>
      <c r="FJ2640" s="36" t="str">
        <f>IF($FH2640="","",SUM($FN2640:$FN$7000))</f>
        <v/>
      </c>
      <c r="FK2640" s="36" t="str">
        <f>IF($FH2640="","",SUM($FN2640:$FN$7000))</f>
        <v/>
      </c>
    </row>
    <row r="2641" spans="152:167">
      <c r="EV2641" s="28">
        <f t="shared" si="83"/>
        <v>0</v>
      </c>
      <c r="FH2641" s="29" t="str">
        <f t="shared" si="84"/>
        <v/>
      </c>
      <c r="FJ2641" s="36" t="str">
        <f>IF($FH2641="","",SUM($FN2641:$FN$7000))</f>
        <v/>
      </c>
      <c r="FK2641" s="36" t="str">
        <f>IF($FH2641="","",SUM($FN2641:$FN$7000))</f>
        <v/>
      </c>
    </row>
    <row r="2642" spans="152:167">
      <c r="EV2642" s="28">
        <f t="shared" si="83"/>
        <v>0</v>
      </c>
      <c r="FH2642" s="29" t="str">
        <f t="shared" si="84"/>
        <v/>
      </c>
      <c r="FJ2642" s="36" t="str">
        <f>IF($FH2642="","",SUM($FN2642:$FN$7000))</f>
        <v/>
      </c>
      <c r="FK2642" s="36" t="str">
        <f>IF($FH2642="","",SUM($FN2642:$FN$7000))</f>
        <v/>
      </c>
    </row>
    <row r="2643" spans="152:167">
      <c r="EV2643" s="28">
        <f t="shared" si="83"/>
        <v>0</v>
      </c>
      <c r="FH2643" s="29" t="str">
        <f t="shared" si="84"/>
        <v/>
      </c>
      <c r="FJ2643" s="36" t="str">
        <f>IF($FH2643="","",SUM($FN2643:$FN$7000))</f>
        <v/>
      </c>
      <c r="FK2643" s="36" t="str">
        <f>IF($FH2643="","",SUM($FN2643:$FN$7000))</f>
        <v/>
      </c>
    </row>
    <row r="2644" spans="152:167">
      <c r="EV2644" s="28">
        <f t="shared" si="83"/>
        <v>0</v>
      </c>
      <c r="FH2644" s="29" t="str">
        <f t="shared" si="84"/>
        <v/>
      </c>
      <c r="FJ2644" s="36" t="str">
        <f>IF($FH2644="","",SUM($FN2644:$FN$7000))</f>
        <v/>
      </c>
      <c r="FK2644" s="36" t="str">
        <f>IF($FH2644="","",SUM($FN2644:$FN$7000))</f>
        <v/>
      </c>
    </row>
    <row r="2645" spans="152:167">
      <c r="EV2645" s="28">
        <f t="shared" si="83"/>
        <v>0</v>
      </c>
      <c r="FH2645" s="29" t="str">
        <f t="shared" si="84"/>
        <v/>
      </c>
      <c r="FJ2645" s="36" t="str">
        <f>IF($FH2645="","",SUM($FN2645:$FN$7000))</f>
        <v/>
      </c>
      <c r="FK2645" s="36" t="str">
        <f>IF($FH2645="","",SUM($FN2645:$FN$7000))</f>
        <v/>
      </c>
    </row>
    <row r="2646" spans="152:167">
      <c r="EV2646" s="28">
        <f t="shared" si="83"/>
        <v>0</v>
      </c>
      <c r="FH2646" s="29" t="str">
        <f t="shared" si="84"/>
        <v/>
      </c>
      <c r="FJ2646" s="36" t="str">
        <f>IF($FH2646="","",SUM($FN2646:$FN$7000))</f>
        <v/>
      </c>
      <c r="FK2646" s="36" t="str">
        <f>IF($FH2646="","",SUM($FN2646:$FN$7000))</f>
        <v/>
      </c>
    </row>
    <row r="2647" spans="152:167">
      <c r="EV2647" s="28">
        <f t="shared" si="83"/>
        <v>0</v>
      </c>
      <c r="FH2647" s="29" t="str">
        <f t="shared" si="84"/>
        <v/>
      </c>
      <c r="FJ2647" s="36" t="str">
        <f>IF($FH2647="","",SUM($FN2647:$FN$7000))</f>
        <v/>
      </c>
      <c r="FK2647" s="36" t="str">
        <f>IF($FH2647="","",SUM($FN2647:$FN$7000))</f>
        <v/>
      </c>
    </row>
    <row r="2648" spans="152:167">
      <c r="EV2648" s="28">
        <f t="shared" si="83"/>
        <v>0</v>
      </c>
      <c r="FH2648" s="29" t="str">
        <f t="shared" si="84"/>
        <v/>
      </c>
      <c r="FJ2648" s="36" t="str">
        <f>IF($FH2648="","",SUM($FN2648:$FN$7000))</f>
        <v/>
      </c>
      <c r="FK2648" s="36" t="str">
        <f>IF($FH2648="","",SUM($FN2648:$FN$7000))</f>
        <v/>
      </c>
    </row>
    <row r="2649" spans="152:167">
      <c r="EV2649" s="28">
        <f t="shared" si="83"/>
        <v>0</v>
      </c>
      <c r="FH2649" s="29" t="str">
        <f t="shared" si="84"/>
        <v/>
      </c>
      <c r="FJ2649" s="36" t="str">
        <f>IF($FH2649="","",SUM($FN2649:$FN$7000))</f>
        <v/>
      </c>
      <c r="FK2649" s="36" t="str">
        <f>IF($FH2649="","",SUM($FN2649:$FN$7000))</f>
        <v/>
      </c>
    </row>
    <row r="2650" spans="152:167">
      <c r="EV2650" s="28">
        <f t="shared" si="83"/>
        <v>0</v>
      </c>
      <c r="FH2650" s="29" t="str">
        <f t="shared" si="84"/>
        <v/>
      </c>
      <c r="FJ2650" s="36" t="str">
        <f>IF($FH2650="","",SUM($FN2650:$FN$7000))</f>
        <v/>
      </c>
      <c r="FK2650" s="36" t="str">
        <f>IF($FH2650="","",SUM($FN2650:$FN$7000))</f>
        <v/>
      </c>
    </row>
    <row r="2651" spans="152:167">
      <c r="EV2651" s="28">
        <f t="shared" si="83"/>
        <v>0</v>
      </c>
      <c r="FH2651" s="29" t="str">
        <f t="shared" si="84"/>
        <v/>
      </c>
      <c r="FJ2651" s="36" t="str">
        <f>IF($FH2651="","",SUM($FN2651:$FN$7000))</f>
        <v/>
      </c>
      <c r="FK2651" s="36" t="str">
        <f>IF($FH2651="","",SUM($FN2651:$FN$7000))</f>
        <v/>
      </c>
    </row>
    <row r="2652" spans="152:167">
      <c r="EV2652" s="28">
        <f t="shared" si="83"/>
        <v>0</v>
      </c>
      <c r="FH2652" s="29" t="str">
        <f t="shared" si="84"/>
        <v/>
      </c>
      <c r="FJ2652" s="36" t="str">
        <f>IF($FH2652="","",SUM($FN2652:$FN$7000))</f>
        <v/>
      </c>
      <c r="FK2652" s="36" t="str">
        <f>IF($FH2652="","",SUM($FN2652:$FN$7000))</f>
        <v/>
      </c>
    </row>
    <row r="2653" spans="152:167">
      <c r="EV2653" s="28">
        <f t="shared" si="83"/>
        <v>0</v>
      </c>
      <c r="FH2653" s="29" t="str">
        <f t="shared" si="84"/>
        <v/>
      </c>
      <c r="FJ2653" s="36" t="str">
        <f>IF($FH2653="","",SUM($FN2653:$FN$7000))</f>
        <v/>
      </c>
      <c r="FK2653" s="36" t="str">
        <f>IF($FH2653="","",SUM($FN2653:$FN$7000))</f>
        <v/>
      </c>
    </row>
    <row r="2654" spans="152:167">
      <c r="EV2654" s="28">
        <f t="shared" si="83"/>
        <v>0</v>
      </c>
      <c r="FH2654" s="29" t="str">
        <f t="shared" si="84"/>
        <v/>
      </c>
      <c r="FJ2654" s="36" t="str">
        <f>IF($FH2654="","",SUM($FN2654:$FN$7000))</f>
        <v/>
      </c>
      <c r="FK2654" s="36" t="str">
        <f>IF($FH2654="","",SUM($FN2654:$FN$7000))</f>
        <v/>
      </c>
    </row>
    <row r="2655" spans="152:167">
      <c r="EV2655" s="28">
        <f t="shared" si="83"/>
        <v>0</v>
      </c>
      <c r="FH2655" s="29" t="str">
        <f t="shared" si="84"/>
        <v/>
      </c>
      <c r="FJ2655" s="36" t="str">
        <f>IF($FH2655="","",SUM($FN2655:$FN$7000))</f>
        <v/>
      </c>
      <c r="FK2655" s="36" t="str">
        <f>IF($FH2655="","",SUM($FN2655:$FN$7000))</f>
        <v/>
      </c>
    </row>
    <row r="2656" spans="152:167">
      <c r="EV2656" s="28">
        <f t="shared" si="83"/>
        <v>0</v>
      </c>
      <c r="FH2656" s="29" t="str">
        <f t="shared" si="84"/>
        <v/>
      </c>
      <c r="FJ2656" s="36" t="str">
        <f>IF($FH2656="","",SUM($FN2656:$FN$7000))</f>
        <v/>
      </c>
      <c r="FK2656" s="36" t="str">
        <f>IF($FH2656="","",SUM($FN2656:$FN$7000))</f>
        <v/>
      </c>
    </row>
    <row r="2657" spans="152:167">
      <c r="EV2657" s="28">
        <f t="shared" si="83"/>
        <v>0</v>
      </c>
      <c r="FH2657" s="29" t="str">
        <f t="shared" si="84"/>
        <v/>
      </c>
      <c r="FJ2657" s="36" t="str">
        <f>IF($FH2657="","",SUM($FN2657:$FN$7000))</f>
        <v/>
      </c>
      <c r="FK2657" s="36" t="str">
        <f>IF($FH2657="","",SUM($FN2657:$FN$7000))</f>
        <v/>
      </c>
    </row>
    <row r="2658" spans="152:167">
      <c r="EV2658" s="28">
        <f t="shared" si="83"/>
        <v>0</v>
      </c>
      <c r="FH2658" s="29" t="str">
        <f t="shared" si="84"/>
        <v/>
      </c>
      <c r="FJ2658" s="36" t="str">
        <f>IF($FH2658="","",SUM($FN2658:$FN$7000))</f>
        <v/>
      </c>
      <c r="FK2658" s="36" t="str">
        <f>IF($FH2658="","",SUM($FN2658:$FN$7000))</f>
        <v/>
      </c>
    </row>
    <row r="2659" spans="152:167">
      <c r="EV2659" s="28">
        <f t="shared" si="83"/>
        <v>0</v>
      </c>
      <c r="FH2659" s="29" t="str">
        <f t="shared" si="84"/>
        <v/>
      </c>
      <c r="FJ2659" s="36" t="str">
        <f>IF($FH2659="","",SUM($FN2659:$FN$7000))</f>
        <v/>
      </c>
      <c r="FK2659" s="36" t="str">
        <f>IF($FH2659="","",SUM($FN2659:$FN$7000))</f>
        <v/>
      </c>
    </row>
    <row r="2660" spans="152:167">
      <c r="EV2660" s="28">
        <f t="shared" si="83"/>
        <v>0</v>
      </c>
      <c r="FH2660" s="29" t="str">
        <f t="shared" si="84"/>
        <v/>
      </c>
      <c r="FJ2660" s="36" t="str">
        <f>IF($FH2660="","",SUM($FN2660:$FN$7000))</f>
        <v/>
      </c>
      <c r="FK2660" s="36" t="str">
        <f>IF($FH2660="","",SUM($FN2660:$FN$7000))</f>
        <v/>
      </c>
    </row>
    <row r="2661" spans="152:167">
      <c r="EV2661" s="28">
        <f t="shared" si="83"/>
        <v>0</v>
      </c>
      <c r="FH2661" s="29" t="str">
        <f t="shared" si="84"/>
        <v/>
      </c>
      <c r="FJ2661" s="36" t="str">
        <f>IF($FH2661="","",SUM($FN2661:$FN$7000))</f>
        <v/>
      </c>
      <c r="FK2661" s="36" t="str">
        <f>IF($FH2661="","",SUM($FN2661:$FN$7000))</f>
        <v/>
      </c>
    </row>
    <row r="2662" spans="152:167">
      <c r="EV2662" s="28">
        <f t="shared" si="83"/>
        <v>0</v>
      </c>
      <c r="FH2662" s="29" t="str">
        <f t="shared" si="84"/>
        <v/>
      </c>
      <c r="FJ2662" s="36" t="str">
        <f>IF($FH2662="","",SUM($FN2662:$FN$7000))</f>
        <v/>
      </c>
      <c r="FK2662" s="36" t="str">
        <f>IF($FH2662="","",SUM($FN2662:$FN$7000))</f>
        <v/>
      </c>
    </row>
    <row r="2663" spans="152:167">
      <c r="EV2663" s="28">
        <f t="shared" si="83"/>
        <v>0</v>
      </c>
      <c r="FH2663" s="29" t="str">
        <f t="shared" si="84"/>
        <v/>
      </c>
      <c r="FJ2663" s="36" t="str">
        <f>IF($FH2663="","",SUM($FN2663:$FN$7000))</f>
        <v/>
      </c>
      <c r="FK2663" s="36" t="str">
        <f>IF($FH2663="","",SUM($FN2663:$FN$7000))</f>
        <v/>
      </c>
    </row>
    <row r="2664" spans="152:167">
      <c r="EV2664" s="28">
        <f t="shared" si="83"/>
        <v>0</v>
      </c>
      <c r="FH2664" s="29" t="str">
        <f t="shared" si="84"/>
        <v/>
      </c>
      <c r="FJ2664" s="36" t="str">
        <f>IF($FH2664="","",SUM($FN2664:$FN$7000))</f>
        <v/>
      </c>
      <c r="FK2664" s="36" t="str">
        <f>IF($FH2664="","",SUM($FN2664:$FN$7000))</f>
        <v/>
      </c>
    </row>
    <row r="2665" spans="152:167">
      <c r="EV2665" s="28">
        <f t="shared" si="83"/>
        <v>0</v>
      </c>
      <c r="FH2665" s="29" t="str">
        <f t="shared" si="84"/>
        <v/>
      </c>
      <c r="FJ2665" s="36" t="str">
        <f>IF($FH2665="","",SUM($FN2665:$FN$7000))</f>
        <v/>
      </c>
      <c r="FK2665" s="36" t="str">
        <f>IF($FH2665="","",SUM($FN2665:$FN$7000))</f>
        <v/>
      </c>
    </row>
    <row r="2666" spans="152:167">
      <c r="EV2666" s="28">
        <f t="shared" si="83"/>
        <v>0</v>
      </c>
      <c r="FH2666" s="29" t="str">
        <f t="shared" si="84"/>
        <v/>
      </c>
      <c r="FJ2666" s="36" t="str">
        <f>IF($FH2666="","",SUM($FN2666:$FN$7000))</f>
        <v/>
      </c>
      <c r="FK2666" s="36" t="str">
        <f>IF($FH2666="","",SUM($FN2666:$FN$7000))</f>
        <v/>
      </c>
    </row>
    <row r="2667" spans="152:167">
      <c r="EV2667" s="28">
        <f t="shared" si="83"/>
        <v>0</v>
      </c>
      <c r="FH2667" s="29" t="str">
        <f t="shared" si="84"/>
        <v/>
      </c>
      <c r="FJ2667" s="36" t="str">
        <f>IF($FH2667="","",SUM($FN2667:$FN$7000))</f>
        <v/>
      </c>
      <c r="FK2667" s="36" t="str">
        <f>IF($FH2667="","",SUM($FN2667:$FN$7000))</f>
        <v/>
      </c>
    </row>
    <row r="2668" spans="152:167">
      <c r="EV2668" s="28">
        <f t="shared" si="83"/>
        <v>0</v>
      </c>
      <c r="FH2668" s="29" t="str">
        <f t="shared" si="84"/>
        <v/>
      </c>
      <c r="FJ2668" s="36" t="str">
        <f>IF($FH2668="","",SUM($FN2668:$FN$7000))</f>
        <v/>
      </c>
      <c r="FK2668" s="36" t="str">
        <f>IF($FH2668="","",SUM($FN2668:$FN$7000))</f>
        <v/>
      </c>
    </row>
    <row r="2669" spans="152:167">
      <c r="EV2669" s="28">
        <f t="shared" si="83"/>
        <v>0</v>
      </c>
      <c r="FH2669" s="29" t="str">
        <f t="shared" si="84"/>
        <v/>
      </c>
      <c r="FJ2669" s="36" t="str">
        <f>IF($FH2669="","",SUM($FN2669:$FN$7000))</f>
        <v/>
      </c>
      <c r="FK2669" s="36" t="str">
        <f>IF($FH2669="","",SUM($FN2669:$FN$7000))</f>
        <v/>
      </c>
    </row>
    <row r="2670" spans="152:167">
      <c r="EV2670" s="28">
        <f t="shared" si="83"/>
        <v>0</v>
      </c>
      <c r="FH2670" s="29" t="str">
        <f t="shared" si="84"/>
        <v/>
      </c>
      <c r="FJ2670" s="36" t="str">
        <f>IF($FH2670="","",SUM($FN2670:$FN$7000))</f>
        <v/>
      </c>
      <c r="FK2670" s="36" t="str">
        <f>IF($FH2670="","",SUM($FN2670:$FN$7000))</f>
        <v/>
      </c>
    </row>
    <row r="2671" spans="152:167">
      <c r="EV2671" s="28">
        <f t="shared" si="83"/>
        <v>0</v>
      </c>
      <c r="FH2671" s="29" t="str">
        <f t="shared" si="84"/>
        <v/>
      </c>
      <c r="FJ2671" s="36" t="str">
        <f>IF($FH2671="","",SUM($FN2671:$FN$7000))</f>
        <v/>
      </c>
      <c r="FK2671" s="36" t="str">
        <f>IF($FH2671="","",SUM($FN2671:$FN$7000))</f>
        <v/>
      </c>
    </row>
    <row r="2672" spans="152:167">
      <c r="EV2672" s="28">
        <f t="shared" si="83"/>
        <v>0</v>
      </c>
      <c r="FH2672" s="29" t="str">
        <f t="shared" si="84"/>
        <v/>
      </c>
      <c r="FJ2672" s="36" t="str">
        <f>IF($FH2672="","",SUM($FN2672:$FN$7000))</f>
        <v/>
      </c>
      <c r="FK2672" s="36" t="str">
        <f>IF($FH2672="","",SUM($FN2672:$FN$7000))</f>
        <v/>
      </c>
    </row>
    <row r="2673" spans="152:167">
      <c r="EV2673" s="28">
        <f t="shared" si="83"/>
        <v>0</v>
      </c>
      <c r="FH2673" s="29" t="str">
        <f t="shared" si="84"/>
        <v/>
      </c>
      <c r="FJ2673" s="36" t="str">
        <f>IF($FH2673="","",SUM($FN2673:$FN$7000))</f>
        <v/>
      </c>
      <c r="FK2673" s="36" t="str">
        <f>IF($FH2673="","",SUM($FN2673:$FN$7000))</f>
        <v/>
      </c>
    </row>
    <row r="2674" spans="152:167">
      <c r="EV2674" s="28">
        <f t="shared" si="83"/>
        <v>0</v>
      </c>
      <c r="FH2674" s="29" t="str">
        <f t="shared" si="84"/>
        <v/>
      </c>
      <c r="FJ2674" s="36" t="str">
        <f>IF($FH2674="","",SUM($FN2674:$FN$7000))</f>
        <v/>
      </c>
      <c r="FK2674" s="36" t="str">
        <f>IF($FH2674="","",SUM($FN2674:$FN$7000))</f>
        <v/>
      </c>
    </row>
    <row r="2675" spans="152:167">
      <c r="EV2675" s="28">
        <f t="shared" si="83"/>
        <v>0</v>
      </c>
      <c r="FH2675" s="29" t="str">
        <f t="shared" si="84"/>
        <v/>
      </c>
      <c r="FJ2675" s="36" t="str">
        <f>IF($FH2675="","",SUM($FN2675:$FN$7000))</f>
        <v/>
      </c>
      <c r="FK2675" s="36" t="str">
        <f>IF($FH2675="","",SUM($FN2675:$FN$7000))</f>
        <v/>
      </c>
    </row>
    <row r="2676" spans="152:167">
      <c r="EV2676" s="28">
        <f t="shared" si="83"/>
        <v>0</v>
      </c>
      <c r="FH2676" s="29" t="str">
        <f t="shared" si="84"/>
        <v/>
      </c>
      <c r="FJ2676" s="36" t="str">
        <f>IF($FH2676="","",SUM($FN2676:$FN$7000))</f>
        <v/>
      </c>
      <c r="FK2676" s="36" t="str">
        <f>IF($FH2676="","",SUM($FN2676:$FN$7000))</f>
        <v/>
      </c>
    </row>
    <row r="2677" spans="152:167">
      <c r="EV2677" s="28">
        <f t="shared" si="83"/>
        <v>0</v>
      </c>
      <c r="FH2677" s="29" t="str">
        <f t="shared" si="84"/>
        <v/>
      </c>
      <c r="FJ2677" s="36" t="str">
        <f>IF($FH2677="","",SUM($FN2677:$FN$7000))</f>
        <v/>
      </c>
      <c r="FK2677" s="36" t="str">
        <f>IF($FH2677="","",SUM($FN2677:$FN$7000))</f>
        <v/>
      </c>
    </row>
    <row r="2678" spans="152:167">
      <c r="EV2678" s="28">
        <f t="shared" si="83"/>
        <v>0</v>
      </c>
      <c r="FH2678" s="29" t="str">
        <f t="shared" si="84"/>
        <v/>
      </c>
      <c r="FJ2678" s="36" t="str">
        <f>IF($FH2678="","",SUM($FN2678:$FN$7000))</f>
        <v/>
      </c>
      <c r="FK2678" s="36" t="str">
        <f>IF($FH2678="","",SUM($FN2678:$FN$7000))</f>
        <v/>
      </c>
    </row>
    <row r="2679" spans="152:167">
      <c r="EV2679" s="28">
        <f t="shared" si="83"/>
        <v>0</v>
      </c>
      <c r="FH2679" s="29" t="str">
        <f t="shared" si="84"/>
        <v/>
      </c>
      <c r="FJ2679" s="36" t="str">
        <f>IF($FH2679="","",SUM($FN2679:$FN$7000))</f>
        <v/>
      </c>
      <c r="FK2679" s="36" t="str">
        <f>IF($FH2679="","",SUM($FN2679:$FN$7000))</f>
        <v/>
      </c>
    </row>
    <row r="2680" spans="152:167">
      <c r="EV2680" s="28">
        <f t="shared" si="83"/>
        <v>0</v>
      </c>
      <c r="FH2680" s="29" t="str">
        <f t="shared" si="84"/>
        <v/>
      </c>
      <c r="FJ2680" s="36" t="str">
        <f>IF($FH2680="","",SUM($FN2680:$FN$7000))</f>
        <v/>
      </c>
      <c r="FK2680" s="36" t="str">
        <f>IF($FH2680="","",SUM($FN2680:$FN$7000))</f>
        <v/>
      </c>
    </row>
    <row r="2681" spans="152:167">
      <c r="EV2681" s="28">
        <f t="shared" si="83"/>
        <v>0</v>
      </c>
      <c r="FH2681" s="29" t="str">
        <f t="shared" si="84"/>
        <v/>
      </c>
      <c r="FJ2681" s="36" t="str">
        <f>IF($FH2681="","",SUM($FN2681:$FN$7000))</f>
        <v/>
      </c>
      <c r="FK2681" s="36" t="str">
        <f>IF($FH2681="","",SUM($FN2681:$FN$7000))</f>
        <v/>
      </c>
    </row>
    <row r="2682" spans="152:167">
      <c r="EV2682" s="28">
        <f t="shared" si="83"/>
        <v>0</v>
      </c>
      <c r="FH2682" s="29" t="str">
        <f t="shared" si="84"/>
        <v/>
      </c>
      <c r="FJ2682" s="36" t="str">
        <f>IF($FH2682="","",SUM($FN2682:$FN$7000))</f>
        <v/>
      </c>
      <c r="FK2682" s="36" t="str">
        <f>IF($FH2682="","",SUM($FN2682:$FN$7000))</f>
        <v/>
      </c>
    </row>
    <row r="2683" spans="152:167">
      <c r="EV2683" s="28">
        <f t="shared" si="83"/>
        <v>0</v>
      </c>
      <c r="FH2683" s="29" t="str">
        <f t="shared" si="84"/>
        <v/>
      </c>
      <c r="FJ2683" s="36" t="str">
        <f>IF($FH2683="","",SUM($FN2683:$FN$7000))</f>
        <v/>
      </c>
      <c r="FK2683" s="36" t="str">
        <f>IF($FH2683="","",SUM($FN2683:$FN$7000))</f>
        <v/>
      </c>
    </row>
    <row r="2684" spans="152:167">
      <c r="EV2684" s="28">
        <f t="shared" si="83"/>
        <v>0</v>
      </c>
      <c r="FH2684" s="29" t="str">
        <f t="shared" si="84"/>
        <v/>
      </c>
      <c r="FJ2684" s="36" t="str">
        <f>IF($FH2684="","",SUM($FN2684:$FN$7000))</f>
        <v/>
      </c>
      <c r="FK2684" s="36" t="str">
        <f>IF($FH2684="","",SUM($FN2684:$FN$7000))</f>
        <v/>
      </c>
    </row>
    <row r="2685" spans="152:167">
      <c r="EV2685" s="28">
        <f t="shared" si="83"/>
        <v>0</v>
      </c>
      <c r="FH2685" s="29" t="str">
        <f t="shared" si="84"/>
        <v/>
      </c>
      <c r="FJ2685" s="36" t="str">
        <f>IF($FH2685="","",SUM($FN2685:$FN$7000))</f>
        <v/>
      </c>
      <c r="FK2685" s="36" t="str">
        <f>IF($FH2685="","",SUM($FN2685:$FN$7000))</f>
        <v/>
      </c>
    </row>
    <row r="2686" spans="152:167">
      <c r="EV2686" s="28">
        <f t="shared" si="83"/>
        <v>0</v>
      </c>
      <c r="FH2686" s="29" t="str">
        <f t="shared" si="84"/>
        <v/>
      </c>
      <c r="FJ2686" s="36" t="str">
        <f>IF($FH2686="","",SUM($FN2686:$FN$7000))</f>
        <v/>
      </c>
      <c r="FK2686" s="36" t="str">
        <f>IF($FH2686="","",SUM($FN2686:$FN$7000))</f>
        <v/>
      </c>
    </row>
    <row r="2687" spans="152:167">
      <c r="EV2687" s="28">
        <f t="shared" si="83"/>
        <v>0</v>
      </c>
      <c r="FH2687" s="29" t="str">
        <f t="shared" si="84"/>
        <v/>
      </c>
      <c r="FJ2687" s="36" t="str">
        <f>IF($FH2687="","",SUM($FN2687:$FN$7000))</f>
        <v/>
      </c>
      <c r="FK2687" s="36" t="str">
        <f>IF($FH2687="","",SUM($FN2687:$FN$7000))</f>
        <v/>
      </c>
    </row>
    <row r="2688" spans="152:167">
      <c r="EV2688" s="28">
        <f t="shared" si="83"/>
        <v>0</v>
      </c>
      <c r="FH2688" s="29" t="str">
        <f t="shared" si="84"/>
        <v/>
      </c>
      <c r="FJ2688" s="36" t="str">
        <f>IF($FH2688="","",SUM($FN2688:$FN$7000))</f>
        <v/>
      </c>
      <c r="FK2688" s="36" t="str">
        <f>IF($FH2688="","",SUM($FN2688:$FN$7000))</f>
        <v/>
      </c>
    </row>
    <row r="2689" spans="152:167">
      <c r="EV2689" s="28">
        <f t="shared" si="83"/>
        <v>0</v>
      </c>
      <c r="FH2689" s="29" t="str">
        <f t="shared" si="84"/>
        <v/>
      </c>
      <c r="FJ2689" s="36" t="str">
        <f>IF($FH2689="","",SUM($FN2689:$FN$7000))</f>
        <v/>
      </c>
      <c r="FK2689" s="36" t="str">
        <f>IF($FH2689="","",SUM($FN2689:$FN$7000))</f>
        <v/>
      </c>
    </row>
    <row r="2690" spans="152:167">
      <c r="EV2690" s="28">
        <f t="shared" si="83"/>
        <v>0</v>
      </c>
      <c r="FH2690" s="29" t="str">
        <f t="shared" si="84"/>
        <v/>
      </c>
      <c r="FJ2690" s="36" t="str">
        <f>IF($FH2690="","",SUM($FN2690:$FN$7000))</f>
        <v/>
      </c>
      <c r="FK2690" s="36" t="str">
        <f>IF($FH2690="","",SUM($FN2690:$FN$7000))</f>
        <v/>
      </c>
    </row>
    <row r="2691" spans="152:167">
      <c r="EV2691" s="28">
        <f t="shared" si="83"/>
        <v>0</v>
      </c>
      <c r="FH2691" s="29" t="str">
        <f t="shared" si="84"/>
        <v/>
      </c>
      <c r="FJ2691" s="36" t="str">
        <f>IF($FH2691="","",SUM($FN2691:$FN$7000))</f>
        <v/>
      </c>
      <c r="FK2691" s="36" t="str">
        <f>IF($FH2691="","",SUM($FN2691:$FN$7000))</f>
        <v/>
      </c>
    </row>
    <row r="2692" spans="152:167">
      <c r="EV2692" s="28">
        <f t="shared" si="83"/>
        <v>0</v>
      </c>
      <c r="FH2692" s="29" t="str">
        <f t="shared" si="84"/>
        <v/>
      </c>
      <c r="FJ2692" s="36" t="str">
        <f>IF($FH2692="","",SUM($FN2692:$FN$7000))</f>
        <v/>
      </c>
      <c r="FK2692" s="36" t="str">
        <f>IF($FH2692="","",SUM($FN2692:$FN$7000))</f>
        <v/>
      </c>
    </row>
    <row r="2693" spans="152:167">
      <c r="EV2693" s="28">
        <f t="shared" si="83"/>
        <v>0</v>
      </c>
      <c r="FH2693" s="29" t="str">
        <f t="shared" si="84"/>
        <v/>
      </c>
      <c r="FJ2693" s="36" t="str">
        <f>IF($FH2693="","",SUM($FN2693:$FN$7000))</f>
        <v/>
      </c>
      <c r="FK2693" s="36" t="str">
        <f>IF($FH2693="","",SUM($FN2693:$FN$7000))</f>
        <v/>
      </c>
    </row>
    <row r="2694" spans="152:167">
      <c r="EV2694" s="28">
        <f t="shared" si="83"/>
        <v>0</v>
      </c>
      <c r="FH2694" s="29" t="str">
        <f t="shared" si="84"/>
        <v/>
      </c>
      <c r="FJ2694" s="36" t="str">
        <f>IF($FH2694="","",SUM($FN2694:$FN$7000))</f>
        <v/>
      </c>
      <c r="FK2694" s="36" t="str">
        <f>IF($FH2694="","",SUM($FN2694:$FN$7000))</f>
        <v/>
      </c>
    </row>
    <row r="2695" spans="152:167">
      <c r="EV2695" s="28">
        <f t="shared" si="83"/>
        <v>0</v>
      </c>
      <c r="FH2695" s="29" t="str">
        <f t="shared" si="84"/>
        <v/>
      </c>
      <c r="FJ2695" s="36" t="str">
        <f>IF($FH2695="","",SUM($FN2695:$FN$7000))</f>
        <v/>
      </c>
      <c r="FK2695" s="36" t="str">
        <f>IF($FH2695="","",SUM($FN2695:$FN$7000))</f>
        <v/>
      </c>
    </row>
    <row r="2696" spans="152:167">
      <c r="EV2696" s="28">
        <f t="shared" si="83"/>
        <v>0</v>
      </c>
      <c r="FH2696" s="29" t="str">
        <f t="shared" si="84"/>
        <v/>
      </c>
      <c r="FJ2696" s="36" t="str">
        <f>IF($FH2696="","",SUM($FN2696:$FN$7000))</f>
        <v/>
      </c>
      <c r="FK2696" s="36" t="str">
        <f>IF($FH2696="","",SUM($FN2696:$FN$7000))</f>
        <v/>
      </c>
    </row>
    <row r="2697" spans="152:167">
      <c r="EV2697" s="28">
        <f t="shared" si="83"/>
        <v>0</v>
      </c>
      <c r="FH2697" s="29" t="str">
        <f t="shared" si="84"/>
        <v/>
      </c>
      <c r="FJ2697" s="36" t="str">
        <f>IF($FH2697="","",SUM($FN2697:$FN$7000))</f>
        <v/>
      </c>
      <c r="FK2697" s="36" t="str">
        <f>IF($FH2697="","",SUM($FN2697:$FN$7000))</f>
        <v/>
      </c>
    </row>
    <row r="2698" spans="152:167">
      <c r="EV2698" s="28">
        <f t="shared" si="83"/>
        <v>0</v>
      </c>
      <c r="FH2698" s="29" t="str">
        <f t="shared" si="84"/>
        <v/>
      </c>
      <c r="FJ2698" s="36" t="str">
        <f>IF($FH2698="","",SUM($FN2698:$FN$7000))</f>
        <v/>
      </c>
      <c r="FK2698" s="36" t="str">
        <f>IF($FH2698="","",SUM($FN2698:$FN$7000))</f>
        <v/>
      </c>
    </row>
    <row r="2699" spans="152:167">
      <c r="EV2699" s="28">
        <f t="shared" ref="EV2699:EV2762" si="85">EU2699-ET2699</f>
        <v>0</v>
      </c>
      <c r="FH2699" s="29" t="str">
        <f t="shared" ref="FH2699:FH2762" si="86">IF(FL2699="","",FL2699)</f>
        <v/>
      </c>
      <c r="FJ2699" s="36" t="str">
        <f>IF($FH2699="","",SUM($FN2699:$FN$7000))</f>
        <v/>
      </c>
      <c r="FK2699" s="36" t="str">
        <f>IF($FH2699="","",SUM($FN2699:$FN$7000))</f>
        <v/>
      </c>
    </row>
    <row r="2700" spans="152:167">
      <c r="EV2700" s="28">
        <f t="shared" si="85"/>
        <v>0</v>
      </c>
      <c r="FH2700" s="29" t="str">
        <f t="shared" si="86"/>
        <v/>
      </c>
      <c r="FJ2700" s="36" t="str">
        <f>IF($FH2700="","",SUM($FN2700:$FN$7000))</f>
        <v/>
      </c>
      <c r="FK2700" s="36" t="str">
        <f>IF($FH2700="","",SUM($FN2700:$FN$7000))</f>
        <v/>
      </c>
    </row>
    <row r="2701" spans="152:167">
      <c r="EV2701" s="28">
        <f t="shared" si="85"/>
        <v>0</v>
      </c>
      <c r="FH2701" s="29" t="str">
        <f t="shared" si="86"/>
        <v/>
      </c>
      <c r="FJ2701" s="36" t="str">
        <f>IF($FH2701="","",SUM($FN2701:$FN$7000))</f>
        <v/>
      </c>
      <c r="FK2701" s="36" t="str">
        <f>IF($FH2701="","",SUM($FN2701:$FN$7000))</f>
        <v/>
      </c>
    </row>
    <row r="2702" spans="152:167">
      <c r="EV2702" s="28">
        <f t="shared" si="85"/>
        <v>0</v>
      </c>
      <c r="FH2702" s="29" t="str">
        <f t="shared" si="86"/>
        <v/>
      </c>
      <c r="FJ2702" s="36" t="str">
        <f>IF($FH2702="","",SUM($FN2702:$FN$7000))</f>
        <v/>
      </c>
      <c r="FK2702" s="36" t="str">
        <f>IF($FH2702="","",SUM($FN2702:$FN$7000))</f>
        <v/>
      </c>
    </row>
    <row r="2703" spans="152:167">
      <c r="EV2703" s="28">
        <f t="shared" si="85"/>
        <v>0</v>
      </c>
      <c r="FH2703" s="29" t="str">
        <f t="shared" si="86"/>
        <v/>
      </c>
      <c r="FJ2703" s="36" t="str">
        <f>IF($FH2703="","",SUM($FN2703:$FN$7000))</f>
        <v/>
      </c>
      <c r="FK2703" s="36" t="str">
        <f>IF($FH2703="","",SUM($FN2703:$FN$7000))</f>
        <v/>
      </c>
    </row>
    <row r="2704" spans="152:167">
      <c r="EV2704" s="28">
        <f t="shared" si="85"/>
        <v>0</v>
      </c>
      <c r="FH2704" s="29" t="str">
        <f t="shared" si="86"/>
        <v/>
      </c>
      <c r="FJ2704" s="36" t="str">
        <f>IF($FH2704="","",SUM($FN2704:$FN$7000))</f>
        <v/>
      </c>
      <c r="FK2704" s="36" t="str">
        <f>IF($FH2704="","",SUM($FN2704:$FN$7000))</f>
        <v/>
      </c>
    </row>
    <row r="2705" spans="152:167">
      <c r="EV2705" s="28">
        <f t="shared" si="85"/>
        <v>0</v>
      </c>
      <c r="FH2705" s="29" t="str">
        <f t="shared" si="86"/>
        <v/>
      </c>
      <c r="FJ2705" s="36" t="str">
        <f>IF($FH2705="","",SUM($FN2705:$FN$7000))</f>
        <v/>
      </c>
      <c r="FK2705" s="36" t="str">
        <f>IF($FH2705="","",SUM($FN2705:$FN$7000))</f>
        <v/>
      </c>
    </row>
    <row r="2706" spans="152:167">
      <c r="EV2706" s="28">
        <f t="shared" si="85"/>
        <v>0</v>
      </c>
      <c r="FH2706" s="29" t="str">
        <f t="shared" si="86"/>
        <v/>
      </c>
      <c r="FJ2706" s="36" t="str">
        <f>IF($FH2706="","",SUM($FN2706:$FN$7000))</f>
        <v/>
      </c>
      <c r="FK2706" s="36" t="str">
        <f>IF($FH2706="","",SUM($FN2706:$FN$7000))</f>
        <v/>
      </c>
    </row>
    <row r="2707" spans="152:167">
      <c r="EV2707" s="28">
        <f t="shared" si="85"/>
        <v>0</v>
      </c>
      <c r="FH2707" s="29" t="str">
        <f t="shared" si="86"/>
        <v/>
      </c>
      <c r="FJ2707" s="36" t="str">
        <f>IF($FH2707="","",SUM($FN2707:$FN$7000))</f>
        <v/>
      </c>
      <c r="FK2707" s="36" t="str">
        <f>IF($FH2707="","",SUM($FN2707:$FN$7000))</f>
        <v/>
      </c>
    </row>
    <row r="2708" spans="152:167">
      <c r="EV2708" s="28">
        <f t="shared" si="85"/>
        <v>0</v>
      </c>
      <c r="FH2708" s="29" t="str">
        <f t="shared" si="86"/>
        <v/>
      </c>
      <c r="FJ2708" s="36" t="str">
        <f>IF($FH2708="","",SUM($FN2708:$FN$7000))</f>
        <v/>
      </c>
      <c r="FK2708" s="36" t="str">
        <f>IF($FH2708="","",SUM($FN2708:$FN$7000))</f>
        <v/>
      </c>
    </row>
    <row r="2709" spans="152:167">
      <c r="EV2709" s="28">
        <f t="shared" si="85"/>
        <v>0</v>
      </c>
      <c r="FH2709" s="29" t="str">
        <f t="shared" si="86"/>
        <v/>
      </c>
      <c r="FJ2709" s="36" t="str">
        <f>IF($FH2709="","",SUM($FN2709:$FN$7000))</f>
        <v/>
      </c>
      <c r="FK2709" s="36" t="str">
        <f>IF($FH2709="","",SUM($FN2709:$FN$7000))</f>
        <v/>
      </c>
    </row>
    <row r="2710" spans="152:167">
      <c r="EV2710" s="28">
        <f t="shared" si="85"/>
        <v>0</v>
      </c>
      <c r="FH2710" s="29" t="str">
        <f t="shared" si="86"/>
        <v/>
      </c>
      <c r="FJ2710" s="36" t="str">
        <f>IF($FH2710="","",SUM($FN2710:$FN$7000))</f>
        <v/>
      </c>
      <c r="FK2710" s="36" t="str">
        <f>IF($FH2710="","",SUM($FN2710:$FN$7000))</f>
        <v/>
      </c>
    </row>
    <row r="2711" spans="152:167">
      <c r="EV2711" s="28">
        <f t="shared" si="85"/>
        <v>0</v>
      </c>
      <c r="FH2711" s="29" t="str">
        <f t="shared" si="86"/>
        <v/>
      </c>
      <c r="FJ2711" s="36" t="str">
        <f>IF($FH2711="","",SUM($FN2711:$FN$7000))</f>
        <v/>
      </c>
      <c r="FK2711" s="36" t="str">
        <f>IF($FH2711="","",SUM($FN2711:$FN$7000))</f>
        <v/>
      </c>
    </row>
    <row r="2712" spans="152:167">
      <c r="EV2712" s="28">
        <f t="shared" si="85"/>
        <v>0</v>
      </c>
      <c r="FH2712" s="29" t="str">
        <f t="shared" si="86"/>
        <v/>
      </c>
      <c r="FJ2712" s="36" t="str">
        <f>IF($FH2712="","",SUM($FN2712:$FN$7000))</f>
        <v/>
      </c>
      <c r="FK2712" s="36" t="str">
        <f>IF($FH2712="","",SUM($FN2712:$FN$7000))</f>
        <v/>
      </c>
    </row>
    <row r="2713" spans="152:167">
      <c r="EV2713" s="28">
        <f t="shared" si="85"/>
        <v>0</v>
      </c>
      <c r="FH2713" s="29" t="str">
        <f t="shared" si="86"/>
        <v/>
      </c>
      <c r="FJ2713" s="36" t="str">
        <f>IF($FH2713="","",SUM($FN2713:$FN$7000))</f>
        <v/>
      </c>
      <c r="FK2713" s="36" t="str">
        <f>IF($FH2713="","",SUM($FN2713:$FN$7000))</f>
        <v/>
      </c>
    </row>
    <row r="2714" spans="152:167">
      <c r="EV2714" s="28">
        <f t="shared" si="85"/>
        <v>0</v>
      </c>
      <c r="FH2714" s="29" t="str">
        <f t="shared" si="86"/>
        <v/>
      </c>
      <c r="FJ2714" s="36" t="str">
        <f>IF($FH2714="","",SUM($FN2714:$FN$7000))</f>
        <v/>
      </c>
      <c r="FK2714" s="36" t="str">
        <f>IF($FH2714="","",SUM($FN2714:$FN$7000))</f>
        <v/>
      </c>
    </row>
    <row r="2715" spans="152:167">
      <c r="EV2715" s="28">
        <f t="shared" si="85"/>
        <v>0</v>
      </c>
      <c r="FH2715" s="29" t="str">
        <f t="shared" si="86"/>
        <v/>
      </c>
      <c r="FJ2715" s="36" t="str">
        <f>IF($FH2715="","",SUM($FN2715:$FN$7000))</f>
        <v/>
      </c>
      <c r="FK2715" s="36" t="str">
        <f>IF($FH2715="","",SUM($FN2715:$FN$7000))</f>
        <v/>
      </c>
    </row>
    <row r="2716" spans="152:167">
      <c r="EV2716" s="28">
        <f t="shared" si="85"/>
        <v>0</v>
      </c>
      <c r="FH2716" s="29" t="str">
        <f t="shared" si="86"/>
        <v/>
      </c>
      <c r="FJ2716" s="36" t="str">
        <f>IF($FH2716="","",SUM($FN2716:$FN$7000))</f>
        <v/>
      </c>
      <c r="FK2716" s="36" t="str">
        <f>IF($FH2716="","",SUM($FN2716:$FN$7000))</f>
        <v/>
      </c>
    </row>
    <row r="2717" spans="152:167">
      <c r="EV2717" s="28">
        <f t="shared" si="85"/>
        <v>0</v>
      </c>
      <c r="FH2717" s="29" t="str">
        <f t="shared" si="86"/>
        <v/>
      </c>
      <c r="FJ2717" s="36" t="str">
        <f>IF($FH2717="","",SUM($FN2717:$FN$7000))</f>
        <v/>
      </c>
      <c r="FK2717" s="36" t="str">
        <f>IF($FH2717="","",SUM($FN2717:$FN$7000))</f>
        <v/>
      </c>
    </row>
    <row r="2718" spans="152:167">
      <c r="EV2718" s="28">
        <f t="shared" si="85"/>
        <v>0</v>
      </c>
      <c r="FH2718" s="29" t="str">
        <f t="shared" si="86"/>
        <v/>
      </c>
      <c r="FJ2718" s="36" t="str">
        <f>IF($FH2718="","",SUM($FN2718:$FN$7000))</f>
        <v/>
      </c>
      <c r="FK2718" s="36" t="str">
        <f>IF($FH2718="","",SUM($FN2718:$FN$7000))</f>
        <v/>
      </c>
    </row>
    <row r="2719" spans="152:167">
      <c r="EV2719" s="28">
        <f t="shared" si="85"/>
        <v>0</v>
      </c>
      <c r="FH2719" s="29" t="str">
        <f t="shared" si="86"/>
        <v/>
      </c>
      <c r="FJ2719" s="36" t="str">
        <f>IF($FH2719="","",SUM($FN2719:$FN$7000))</f>
        <v/>
      </c>
      <c r="FK2719" s="36" t="str">
        <f>IF($FH2719="","",SUM($FN2719:$FN$7000))</f>
        <v/>
      </c>
    </row>
    <row r="2720" spans="152:167">
      <c r="EV2720" s="28">
        <f t="shared" si="85"/>
        <v>0</v>
      </c>
      <c r="FH2720" s="29" t="str">
        <f t="shared" si="86"/>
        <v/>
      </c>
      <c r="FJ2720" s="36" t="str">
        <f>IF($FH2720="","",SUM($FN2720:$FN$7000))</f>
        <v/>
      </c>
      <c r="FK2720" s="36" t="str">
        <f>IF($FH2720="","",SUM($FN2720:$FN$7000))</f>
        <v/>
      </c>
    </row>
    <row r="2721" spans="152:167">
      <c r="EV2721" s="28">
        <f t="shared" si="85"/>
        <v>0</v>
      </c>
      <c r="FH2721" s="29" t="str">
        <f t="shared" si="86"/>
        <v/>
      </c>
      <c r="FJ2721" s="36" t="str">
        <f>IF($FH2721="","",SUM($FN2721:$FN$7000))</f>
        <v/>
      </c>
      <c r="FK2721" s="36" t="str">
        <f>IF($FH2721="","",SUM($FN2721:$FN$7000))</f>
        <v/>
      </c>
    </row>
    <row r="2722" spans="152:167">
      <c r="EV2722" s="28">
        <f t="shared" si="85"/>
        <v>0</v>
      </c>
      <c r="FH2722" s="29" t="str">
        <f t="shared" si="86"/>
        <v/>
      </c>
      <c r="FJ2722" s="36" t="str">
        <f>IF($FH2722="","",SUM($FN2722:$FN$7000))</f>
        <v/>
      </c>
      <c r="FK2722" s="36" t="str">
        <f>IF($FH2722="","",SUM($FN2722:$FN$7000))</f>
        <v/>
      </c>
    </row>
    <row r="2723" spans="152:167">
      <c r="EV2723" s="28">
        <f t="shared" si="85"/>
        <v>0</v>
      </c>
      <c r="FH2723" s="29" t="str">
        <f t="shared" si="86"/>
        <v/>
      </c>
      <c r="FJ2723" s="36" t="str">
        <f>IF($FH2723="","",SUM($FN2723:$FN$7000))</f>
        <v/>
      </c>
      <c r="FK2723" s="36" t="str">
        <f>IF($FH2723="","",SUM($FN2723:$FN$7000))</f>
        <v/>
      </c>
    </row>
    <row r="2724" spans="152:167">
      <c r="EV2724" s="28">
        <f t="shared" si="85"/>
        <v>0</v>
      </c>
      <c r="FH2724" s="29" t="str">
        <f t="shared" si="86"/>
        <v/>
      </c>
      <c r="FJ2724" s="36" t="str">
        <f>IF($FH2724="","",SUM($FN2724:$FN$7000))</f>
        <v/>
      </c>
      <c r="FK2724" s="36" t="str">
        <f>IF($FH2724="","",SUM($FN2724:$FN$7000))</f>
        <v/>
      </c>
    </row>
    <row r="2725" spans="152:167">
      <c r="EV2725" s="28">
        <f t="shared" si="85"/>
        <v>0</v>
      </c>
      <c r="FH2725" s="29" t="str">
        <f t="shared" si="86"/>
        <v/>
      </c>
      <c r="FJ2725" s="36" t="str">
        <f>IF($FH2725="","",SUM($FN2725:$FN$7000))</f>
        <v/>
      </c>
      <c r="FK2725" s="36" t="str">
        <f>IF($FH2725="","",SUM($FN2725:$FN$7000))</f>
        <v/>
      </c>
    </row>
    <row r="2726" spans="152:167">
      <c r="EV2726" s="28">
        <f t="shared" si="85"/>
        <v>0</v>
      </c>
      <c r="FH2726" s="29" t="str">
        <f t="shared" si="86"/>
        <v/>
      </c>
      <c r="FJ2726" s="36" t="str">
        <f>IF($FH2726="","",SUM($FN2726:$FN$7000))</f>
        <v/>
      </c>
      <c r="FK2726" s="36" t="str">
        <f>IF($FH2726="","",SUM($FN2726:$FN$7000))</f>
        <v/>
      </c>
    </row>
    <row r="2727" spans="152:167">
      <c r="EV2727" s="28">
        <f t="shared" si="85"/>
        <v>0</v>
      </c>
      <c r="FH2727" s="29" t="str">
        <f t="shared" si="86"/>
        <v/>
      </c>
      <c r="FJ2727" s="36" t="str">
        <f>IF($FH2727="","",SUM($FN2727:$FN$7000))</f>
        <v/>
      </c>
      <c r="FK2727" s="36" t="str">
        <f>IF($FH2727="","",SUM($FN2727:$FN$7000))</f>
        <v/>
      </c>
    </row>
    <row r="2728" spans="152:167">
      <c r="EV2728" s="28">
        <f t="shared" si="85"/>
        <v>0</v>
      </c>
      <c r="FH2728" s="29" t="str">
        <f t="shared" si="86"/>
        <v/>
      </c>
      <c r="FJ2728" s="36" t="str">
        <f>IF($FH2728="","",SUM($FN2728:$FN$7000))</f>
        <v/>
      </c>
      <c r="FK2728" s="36" t="str">
        <f>IF($FH2728="","",SUM($FN2728:$FN$7000))</f>
        <v/>
      </c>
    </row>
    <row r="2729" spans="152:167">
      <c r="EV2729" s="28">
        <f t="shared" si="85"/>
        <v>0</v>
      </c>
      <c r="FH2729" s="29" t="str">
        <f t="shared" si="86"/>
        <v/>
      </c>
      <c r="FJ2729" s="36" t="str">
        <f>IF($FH2729="","",SUM($FN2729:$FN$7000))</f>
        <v/>
      </c>
      <c r="FK2729" s="36" t="str">
        <f>IF($FH2729="","",SUM($FN2729:$FN$7000))</f>
        <v/>
      </c>
    </row>
    <row r="2730" spans="152:167">
      <c r="EV2730" s="28">
        <f t="shared" si="85"/>
        <v>0</v>
      </c>
      <c r="FH2730" s="29" t="str">
        <f t="shared" si="86"/>
        <v/>
      </c>
      <c r="FJ2730" s="36" t="str">
        <f>IF($FH2730="","",SUM($FN2730:$FN$7000))</f>
        <v/>
      </c>
      <c r="FK2730" s="36" t="str">
        <f>IF($FH2730="","",SUM($FN2730:$FN$7000))</f>
        <v/>
      </c>
    </row>
    <row r="2731" spans="152:167">
      <c r="EV2731" s="28">
        <f t="shared" si="85"/>
        <v>0</v>
      </c>
      <c r="FH2731" s="29" t="str">
        <f t="shared" si="86"/>
        <v/>
      </c>
      <c r="FJ2731" s="36" t="str">
        <f>IF($FH2731="","",SUM($FN2731:$FN$7000))</f>
        <v/>
      </c>
      <c r="FK2731" s="36" t="str">
        <f>IF($FH2731="","",SUM($FN2731:$FN$7000))</f>
        <v/>
      </c>
    </row>
    <row r="2732" spans="152:167">
      <c r="EV2732" s="28">
        <f t="shared" si="85"/>
        <v>0</v>
      </c>
      <c r="FH2732" s="29" t="str">
        <f t="shared" si="86"/>
        <v/>
      </c>
      <c r="FJ2732" s="36" t="str">
        <f>IF($FH2732="","",SUM($FN2732:$FN$7000))</f>
        <v/>
      </c>
      <c r="FK2732" s="36" t="str">
        <f>IF($FH2732="","",SUM($FN2732:$FN$7000))</f>
        <v/>
      </c>
    </row>
    <row r="2733" spans="152:167">
      <c r="EV2733" s="28">
        <f t="shared" si="85"/>
        <v>0</v>
      </c>
      <c r="FH2733" s="29" t="str">
        <f t="shared" si="86"/>
        <v/>
      </c>
      <c r="FJ2733" s="36" t="str">
        <f>IF($FH2733="","",SUM($FN2733:$FN$7000))</f>
        <v/>
      </c>
      <c r="FK2733" s="36" t="str">
        <f>IF($FH2733="","",SUM($FN2733:$FN$7000))</f>
        <v/>
      </c>
    </row>
    <row r="2734" spans="152:167">
      <c r="EV2734" s="28">
        <f t="shared" si="85"/>
        <v>0</v>
      </c>
      <c r="FH2734" s="29" t="str">
        <f t="shared" si="86"/>
        <v/>
      </c>
      <c r="FJ2734" s="36" t="str">
        <f>IF($FH2734="","",SUM($FN2734:$FN$7000))</f>
        <v/>
      </c>
      <c r="FK2734" s="36" t="str">
        <f>IF($FH2734="","",SUM($FN2734:$FN$7000))</f>
        <v/>
      </c>
    </row>
    <row r="2735" spans="152:167">
      <c r="EV2735" s="28">
        <f t="shared" si="85"/>
        <v>0</v>
      </c>
      <c r="FH2735" s="29" t="str">
        <f t="shared" si="86"/>
        <v/>
      </c>
      <c r="FJ2735" s="36" t="str">
        <f>IF($FH2735="","",SUM($FN2735:$FN$7000))</f>
        <v/>
      </c>
      <c r="FK2735" s="36" t="str">
        <f>IF($FH2735="","",SUM($FN2735:$FN$7000))</f>
        <v/>
      </c>
    </row>
    <row r="2736" spans="152:167">
      <c r="EV2736" s="28">
        <f t="shared" si="85"/>
        <v>0</v>
      </c>
      <c r="FH2736" s="29" t="str">
        <f t="shared" si="86"/>
        <v/>
      </c>
      <c r="FJ2736" s="36" t="str">
        <f>IF($FH2736="","",SUM($FN2736:$FN$7000))</f>
        <v/>
      </c>
      <c r="FK2736" s="36" t="str">
        <f>IF($FH2736="","",SUM($FN2736:$FN$7000))</f>
        <v/>
      </c>
    </row>
    <row r="2737" spans="152:167">
      <c r="EV2737" s="28">
        <f t="shared" si="85"/>
        <v>0</v>
      </c>
      <c r="FH2737" s="29" t="str">
        <f t="shared" si="86"/>
        <v/>
      </c>
      <c r="FJ2737" s="36" t="str">
        <f>IF($FH2737="","",SUM($FN2737:$FN$7000))</f>
        <v/>
      </c>
      <c r="FK2737" s="36" t="str">
        <f>IF($FH2737="","",SUM($FN2737:$FN$7000))</f>
        <v/>
      </c>
    </row>
    <row r="2738" spans="152:167">
      <c r="EV2738" s="28">
        <f t="shared" si="85"/>
        <v>0</v>
      </c>
      <c r="FH2738" s="29" t="str">
        <f t="shared" si="86"/>
        <v/>
      </c>
      <c r="FJ2738" s="36" t="str">
        <f>IF($FH2738="","",SUM($FN2738:$FN$7000))</f>
        <v/>
      </c>
      <c r="FK2738" s="36" t="str">
        <f>IF($FH2738="","",SUM($FN2738:$FN$7000))</f>
        <v/>
      </c>
    </row>
    <row r="2739" spans="152:167">
      <c r="EV2739" s="28">
        <f t="shared" si="85"/>
        <v>0</v>
      </c>
      <c r="FH2739" s="29" t="str">
        <f t="shared" si="86"/>
        <v/>
      </c>
      <c r="FJ2739" s="36" t="str">
        <f>IF($FH2739="","",SUM($FN2739:$FN$7000))</f>
        <v/>
      </c>
      <c r="FK2739" s="36" t="str">
        <f>IF($FH2739="","",SUM($FN2739:$FN$7000))</f>
        <v/>
      </c>
    </row>
    <row r="2740" spans="152:167">
      <c r="EV2740" s="28">
        <f t="shared" si="85"/>
        <v>0</v>
      </c>
      <c r="FH2740" s="29" t="str">
        <f t="shared" si="86"/>
        <v/>
      </c>
      <c r="FJ2740" s="36" t="str">
        <f>IF($FH2740="","",SUM($FN2740:$FN$7000))</f>
        <v/>
      </c>
      <c r="FK2740" s="36" t="str">
        <f>IF($FH2740="","",SUM($FN2740:$FN$7000))</f>
        <v/>
      </c>
    </row>
    <row r="2741" spans="152:167">
      <c r="EV2741" s="28">
        <f t="shared" si="85"/>
        <v>0</v>
      </c>
      <c r="FH2741" s="29" t="str">
        <f t="shared" si="86"/>
        <v/>
      </c>
      <c r="FJ2741" s="36" t="str">
        <f>IF($FH2741="","",SUM($FN2741:$FN$7000))</f>
        <v/>
      </c>
      <c r="FK2741" s="36" t="str">
        <f>IF($FH2741="","",SUM($FN2741:$FN$7000))</f>
        <v/>
      </c>
    </row>
    <row r="2742" spans="152:167">
      <c r="EV2742" s="28">
        <f t="shared" si="85"/>
        <v>0</v>
      </c>
      <c r="FH2742" s="29" t="str">
        <f t="shared" si="86"/>
        <v/>
      </c>
      <c r="FJ2742" s="36" t="str">
        <f>IF($FH2742="","",SUM($FN2742:$FN$7000))</f>
        <v/>
      </c>
      <c r="FK2742" s="36" t="str">
        <f>IF($FH2742="","",SUM($FN2742:$FN$7000))</f>
        <v/>
      </c>
    </row>
    <row r="2743" spans="152:167">
      <c r="EV2743" s="28">
        <f t="shared" si="85"/>
        <v>0</v>
      </c>
      <c r="FH2743" s="29" t="str">
        <f t="shared" si="86"/>
        <v/>
      </c>
      <c r="FJ2743" s="36" t="str">
        <f>IF($FH2743="","",SUM($FN2743:$FN$7000))</f>
        <v/>
      </c>
      <c r="FK2743" s="36" t="str">
        <f>IF($FH2743="","",SUM($FN2743:$FN$7000))</f>
        <v/>
      </c>
    </row>
    <row r="2744" spans="152:167">
      <c r="EV2744" s="28">
        <f t="shared" si="85"/>
        <v>0</v>
      </c>
      <c r="FH2744" s="29" t="str">
        <f t="shared" si="86"/>
        <v/>
      </c>
      <c r="FJ2744" s="36" t="str">
        <f>IF($FH2744="","",SUM($FN2744:$FN$7000))</f>
        <v/>
      </c>
      <c r="FK2744" s="36" t="str">
        <f>IF($FH2744="","",SUM($FN2744:$FN$7000))</f>
        <v/>
      </c>
    </row>
    <row r="2745" spans="152:167">
      <c r="EV2745" s="28">
        <f t="shared" si="85"/>
        <v>0</v>
      </c>
      <c r="FH2745" s="29" t="str">
        <f t="shared" si="86"/>
        <v/>
      </c>
      <c r="FJ2745" s="36" t="str">
        <f>IF($FH2745="","",SUM($FN2745:$FN$7000))</f>
        <v/>
      </c>
      <c r="FK2745" s="36" t="str">
        <f>IF($FH2745="","",SUM($FN2745:$FN$7000))</f>
        <v/>
      </c>
    </row>
    <row r="2746" spans="152:167">
      <c r="EV2746" s="28">
        <f t="shared" si="85"/>
        <v>0</v>
      </c>
      <c r="FH2746" s="29" t="str">
        <f t="shared" si="86"/>
        <v/>
      </c>
      <c r="FJ2746" s="36" t="str">
        <f>IF($FH2746="","",SUM($FN2746:$FN$7000))</f>
        <v/>
      </c>
      <c r="FK2746" s="36" t="str">
        <f>IF($FH2746="","",SUM($FN2746:$FN$7000))</f>
        <v/>
      </c>
    </row>
    <row r="2747" spans="152:167">
      <c r="EV2747" s="28">
        <f t="shared" si="85"/>
        <v>0</v>
      </c>
      <c r="FH2747" s="29" t="str">
        <f t="shared" si="86"/>
        <v/>
      </c>
      <c r="FJ2747" s="36" t="str">
        <f>IF($FH2747="","",SUM($FN2747:$FN$7000))</f>
        <v/>
      </c>
      <c r="FK2747" s="36" t="str">
        <f>IF($FH2747="","",SUM($FN2747:$FN$7000))</f>
        <v/>
      </c>
    </row>
    <row r="2748" spans="152:167">
      <c r="EV2748" s="28">
        <f t="shared" si="85"/>
        <v>0</v>
      </c>
      <c r="FH2748" s="29" t="str">
        <f t="shared" si="86"/>
        <v/>
      </c>
      <c r="FJ2748" s="36" t="str">
        <f>IF($FH2748="","",SUM($FN2748:$FN$7000))</f>
        <v/>
      </c>
      <c r="FK2748" s="36" t="str">
        <f>IF($FH2748="","",SUM($FN2748:$FN$7000))</f>
        <v/>
      </c>
    </row>
    <row r="2749" spans="152:167">
      <c r="EV2749" s="28">
        <f t="shared" si="85"/>
        <v>0</v>
      </c>
      <c r="FH2749" s="29" t="str">
        <f t="shared" si="86"/>
        <v/>
      </c>
      <c r="FJ2749" s="36" t="str">
        <f>IF($FH2749="","",SUM($FN2749:$FN$7000))</f>
        <v/>
      </c>
      <c r="FK2749" s="36" t="str">
        <f>IF($FH2749="","",SUM($FN2749:$FN$7000))</f>
        <v/>
      </c>
    </row>
    <row r="2750" spans="152:167">
      <c r="EV2750" s="28">
        <f t="shared" si="85"/>
        <v>0</v>
      </c>
      <c r="FH2750" s="29" t="str">
        <f t="shared" si="86"/>
        <v/>
      </c>
      <c r="FJ2750" s="36" t="str">
        <f>IF($FH2750="","",SUM($FN2750:$FN$7000))</f>
        <v/>
      </c>
      <c r="FK2750" s="36" t="str">
        <f>IF($FH2750="","",SUM($FN2750:$FN$7000))</f>
        <v/>
      </c>
    </row>
    <row r="2751" spans="152:167">
      <c r="EV2751" s="28">
        <f t="shared" si="85"/>
        <v>0</v>
      </c>
      <c r="FH2751" s="29" t="str">
        <f t="shared" si="86"/>
        <v/>
      </c>
      <c r="FJ2751" s="36" t="str">
        <f>IF($FH2751="","",SUM($FN2751:$FN$7000))</f>
        <v/>
      </c>
      <c r="FK2751" s="36" t="str">
        <f>IF($FH2751="","",SUM($FN2751:$FN$7000))</f>
        <v/>
      </c>
    </row>
    <row r="2752" spans="152:167">
      <c r="EV2752" s="28">
        <f t="shared" si="85"/>
        <v>0</v>
      </c>
      <c r="FH2752" s="29" t="str">
        <f t="shared" si="86"/>
        <v/>
      </c>
      <c r="FJ2752" s="36" t="str">
        <f>IF($FH2752="","",SUM($FN2752:$FN$7000))</f>
        <v/>
      </c>
      <c r="FK2752" s="36" t="str">
        <f>IF($FH2752="","",SUM($FN2752:$FN$7000))</f>
        <v/>
      </c>
    </row>
    <row r="2753" spans="152:167">
      <c r="EV2753" s="28">
        <f t="shared" si="85"/>
        <v>0</v>
      </c>
      <c r="FH2753" s="29" t="str">
        <f t="shared" si="86"/>
        <v/>
      </c>
      <c r="FJ2753" s="36" t="str">
        <f>IF($FH2753="","",SUM($FN2753:$FN$7000))</f>
        <v/>
      </c>
      <c r="FK2753" s="36" t="str">
        <f>IF($FH2753="","",SUM($FN2753:$FN$7000))</f>
        <v/>
      </c>
    </row>
    <row r="2754" spans="152:167">
      <c r="EV2754" s="28">
        <f t="shared" si="85"/>
        <v>0</v>
      </c>
      <c r="FH2754" s="29" t="str">
        <f t="shared" si="86"/>
        <v/>
      </c>
      <c r="FJ2754" s="36" t="str">
        <f>IF($FH2754="","",SUM($FN2754:$FN$7000))</f>
        <v/>
      </c>
      <c r="FK2754" s="36" t="str">
        <f>IF($FH2754="","",SUM($FN2754:$FN$7000))</f>
        <v/>
      </c>
    </row>
    <row r="2755" spans="152:167">
      <c r="EV2755" s="28">
        <f t="shared" si="85"/>
        <v>0</v>
      </c>
      <c r="FH2755" s="29" t="str">
        <f t="shared" si="86"/>
        <v/>
      </c>
      <c r="FJ2755" s="36" t="str">
        <f>IF($FH2755="","",SUM($FN2755:$FN$7000))</f>
        <v/>
      </c>
      <c r="FK2755" s="36" t="str">
        <f>IF($FH2755="","",SUM($FN2755:$FN$7000))</f>
        <v/>
      </c>
    </row>
    <row r="2756" spans="152:167">
      <c r="EV2756" s="28">
        <f t="shared" si="85"/>
        <v>0</v>
      </c>
      <c r="FH2756" s="29" t="str">
        <f t="shared" si="86"/>
        <v/>
      </c>
      <c r="FJ2756" s="36" t="str">
        <f>IF($FH2756="","",SUM($FN2756:$FN$7000))</f>
        <v/>
      </c>
      <c r="FK2756" s="36" t="str">
        <f>IF($FH2756="","",SUM($FN2756:$FN$7000))</f>
        <v/>
      </c>
    </row>
    <row r="2757" spans="152:167">
      <c r="EV2757" s="28">
        <f t="shared" si="85"/>
        <v>0</v>
      </c>
      <c r="FH2757" s="29" t="str">
        <f t="shared" si="86"/>
        <v/>
      </c>
      <c r="FJ2757" s="36" t="str">
        <f>IF($FH2757="","",SUM($FN2757:$FN$7000))</f>
        <v/>
      </c>
      <c r="FK2757" s="36" t="str">
        <f>IF($FH2757="","",SUM($FN2757:$FN$7000))</f>
        <v/>
      </c>
    </row>
    <row r="2758" spans="152:167">
      <c r="EV2758" s="28">
        <f t="shared" si="85"/>
        <v>0</v>
      </c>
      <c r="FH2758" s="29" t="str">
        <f t="shared" si="86"/>
        <v/>
      </c>
      <c r="FJ2758" s="36" t="str">
        <f>IF($FH2758="","",SUM($FN2758:$FN$7000))</f>
        <v/>
      </c>
      <c r="FK2758" s="36" t="str">
        <f>IF($FH2758="","",SUM($FN2758:$FN$7000))</f>
        <v/>
      </c>
    </row>
    <row r="2759" spans="152:167">
      <c r="EV2759" s="28">
        <f t="shared" si="85"/>
        <v>0</v>
      </c>
      <c r="FH2759" s="29" t="str">
        <f t="shared" si="86"/>
        <v/>
      </c>
      <c r="FJ2759" s="36" t="str">
        <f>IF($FH2759="","",SUM($FN2759:$FN$7000))</f>
        <v/>
      </c>
      <c r="FK2759" s="36" t="str">
        <f>IF($FH2759="","",SUM($FN2759:$FN$7000))</f>
        <v/>
      </c>
    </row>
    <row r="2760" spans="152:167">
      <c r="EV2760" s="28">
        <f t="shared" si="85"/>
        <v>0</v>
      </c>
      <c r="FH2760" s="29" t="str">
        <f t="shared" si="86"/>
        <v/>
      </c>
      <c r="FJ2760" s="36" t="str">
        <f>IF($FH2760="","",SUM($FN2760:$FN$7000))</f>
        <v/>
      </c>
      <c r="FK2760" s="36" t="str">
        <f>IF($FH2760="","",SUM($FN2760:$FN$7000))</f>
        <v/>
      </c>
    </row>
    <row r="2761" spans="152:167">
      <c r="EV2761" s="28">
        <f t="shared" si="85"/>
        <v>0</v>
      </c>
      <c r="FH2761" s="29" t="str">
        <f t="shared" si="86"/>
        <v/>
      </c>
      <c r="FJ2761" s="36" t="str">
        <f>IF($FH2761="","",SUM($FN2761:$FN$7000))</f>
        <v/>
      </c>
      <c r="FK2761" s="36" t="str">
        <f>IF($FH2761="","",SUM($FN2761:$FN$7000))</f>
        <v/>
      </c>
    </row>
    <row r="2762" spans="152:167">
      <c r="EV2762" s="28">
        <f t="shared" si="85"/>
        <v>0</v>
      </c>
      <c r="FH2762" s="29" t="str">
        <f t="shared" si="86"/>
        <v/>
      </c>
      <c r="FJ2762" s="36" t="str">
        <f>IF($FH2762="","",SUM($FN2762:$FN$7000))</f>
        <v/>
      </c>
      <c r="FK2762" s="36" t="str">
        <f>IF($FH2762="","",SUM($FN2762:$FN$7000))</f>
        <v/>
      </c>
    </row>
    <row r="2763" spans="152:167">
      <c r="EV2763" s="28">
        <f t="shared" ref="EV2763:EV2826" si="87">EU2763-ET2763</f>
        <v>0</v>
      </c>
      <c r="FH2763" s="29" t="str">
        <f t="shared" ref="FH2763:FH2826" si="88">IF(FL2763="","",FL2763)</f>
        <v/>
      </c>
      <c r="FJ2763" s="36" t="str">
        <f>IF($FH2763="","",SUM($FN2763:$FN$7000))</f>
        <v/>
      </c>
      <c r="FK2763" s="36" t="str">
        <f>IF($FH2763="","",SUM($FN2763:$FN$7000))</f>
        <v/>
      </c>
    </row>
    <row r="2764" spans="152:167">
      <c r="EV2764" s="28">
        <f t="shared" si="87"/>
        <v>0</v>
      </c>
      <c r="FH2764" s="29" t="str">
        <f t="shared" si="88"/>
        <v/>
      </c>
      <c r="FJ2764" s="36" t="str">
        <f>IF($FH2764="","",SUM($FN2764:$FN$7000))</f>
        <v/>
      </c>
      <c r="FK2764" s="36" t="str">
        <f>IF($FH2764="","",SUM($FN2764:$FN$7000))</f>
        <v/>
      </c>
    </row>
    <row r="2765" spans="152:167">
      <c r="EV2765" s="28">
        <f t="shared" si="87"/>
        <v>0</v>
      </c>
      <c r="FH2765" s="29" t="str">
        <f t="shared" si="88"/>
        <v/>
      </c>
      <c r="FJ2765" s="36" t="str">
        <f>IF($FH2765="","",SUM($FN2765:$FN$7000))</f>
        <v/>
      </c>
      <c r="FK2765" s="36" t="str">
        <f>IF($FH2765="","",SUM($FN2765:$FN$7000))</f>
        <v/>
      </c>
    </row>
    <row r="2766" spans="152:167">
      <c r="EV2766" s="28">
        <f t="shared" si="87"/>
        <v>0</v>
      </c>
      <c r="FH2766" s="29" t="str">
        <f t="shared" si="88"/>
        <v/>
      </c>
      <c r="FJ2766" s="36" t="str">
        <f>IF($FH2766="","",SUM($FN2766:$FN$7000))</f>
        <v/>
      </c>
      <c r="FK2766" s="36" t="str">
        <f>IF($FH2766="","",SUM($FN2766:$FN$7000))</f>
        <v/>
      </c>
    </row>
    <row r="2767" spans="152:167">
      <c r="EV2767" s="28">
        <f t="shared" si="87"/>
        <v>0</v>
      </c>
      <c r="FH2767" s="29" t="str">
        <f t="shared" si="88"/>
        <v/>
      </c>
      <c r="FJ2767" s="36" t="str">
        <f>IF($FH2767="","",SUM($FN2767:$FN$7000))</f>
        <v/>
      </c>
      <c r="FK2767" s="36" t="str">
        <f>IF($FH2767="","",SUM($FN2767:$FN$7000))</f>
        <v/>
      </c>
    </row>
    <row r="2768" spans="152:167">
      <c r="EV2768" s="28">
        <f t="shared" si="87"/>
        <v>0</v>
      </c>
      <c r="FH2768" s="29" t="str">
        <f t="shared" si="88"/>
        <v/>
      </c>
      <c r="FJ2768" s="36" t="str">
        <f>IF($FH2768="","",SUM($FN2768:$FN$7000))</f>
        <v/>
      </c>
      <c r="FK2768" s="36" t="str">
        <f>IF($FH2768="","",SUM($FN2768:$FN$7000))</f>
        <v/>
      </c>
    </row>
    <row r="2769" spans="152:167">
      <c r="EV2769" s="28">
        <f t="shared" si="87"/>
        <v>0</v>
      </c>
      <c r="FH2769" s="29" t="str">
        <f t="shared" si="88"/>
        <v/>
      </c>
      <c r="FJ2769" s="36" t="str">
        <f>IF($FH2769="","",SUM($FN2769:$FN$7000))</f>
        <v/>
      </c>
      <c r="FK2769" s="36" t="str">
        <f>IF($FH2769="","",SUM($FN2769:$FN$7000))</f>
        <v/>
      </c>
    </row>
    <row r="2770" spans="152:167">
      <c r="EV2770" s="28">
        <f t="shared" si="87"/>
        <v>0</v>
      </c>
      <c r="FH2770" s="29" t="str">
        <f t="shared" si="88"/>
        <v/>
      </c>
      <c r="FJ2770" s="36" t="str">
        <f>IF($FH2770="","",SUM($FN2770:$FN$7000))</f>
        <v/>
      </c>
      <c r="FK2770" s="36" t="str">
        <f>IF($FH2770="","",SUM($FN2770:$FN$7000))</f>
        <v/>
      </c>
    </row>
    <row r="2771" spans="152:167">
      <c r="EV2771" s="28">
        <f t="shared" si="87"/>
        <v>0</v>
      </c>
      <c r="FH2771" s="29" t="str">
        <f t="shared" si="88"/>
        <v/>
      </c>
      <c r="FJ2771" s="36" t="str">
        <f>IF($FH2771="","",SUM($FN2771:$FN$7000))</f>
        <v/>
      </c>
      <c r="FK2771" s="36" t="str">
        <f>IF($FH2771="","",SUM($FN2771:$FN$7000))</f>
        <v/>
      </c>
    </row>
    <row r="2772" spans="152:167">
      <c r="EV2772" s="28">
        <f t="shared" si="87"/>
        <v>0</v>
      </c>
      <c r="FH2772" s="29" t="str">
        <f t="shared" si="88"/>
        <v/>
      </c>
      <c r="FJ2772" s="36" t="str">
        <f>IF($FH2772="","",SUM($FN2772:$FN$7000))</f>
        <v/>
      </c>
      <c r="FK2772" s="36" t="str">
        <f>IF($FH2772="","",SUM($FN2772:$FN$7000))</f>
        <v/>
      </c>
    </row>
    <row r="2773" spans="152:167">
      <c r="EV2773" s="28">
        <f t="shared" si="87"/>
        <v>0</v>
      </c>
      <c r="FH2773" s="29" t="str">
        <f t="shared" si="88"/>
        <v/>
      </c>
      <c r="FJ2773" s="36" t="str">
        <f>IF($FH2773="","",SUM($FN2773:$FN$7000))</f>
        <v/>
      </c>
      <c r="FK2773" s="36" t="str">
        <f>IF($FH2773="","",SUM($FN2773:$FN$7000))</f>
        <v/>
      </c>
    </row>
    <row r="2774" spans="152:167">
      <c r="EV2774" s="28">
        <f t="shared" si="87"/>
        <v>0</v>
      </c>
      <c r="FH2774" s="29" t="str">
        <f t="shared" si="88"/>
        <v/>
      </c>
      <c r="FJ2774" s="36" t="str">
        <f>IF($FH2774="","",SUM($FN2774:$FN$7000))</f>
        <v/>
      </c>
      <c r="FK2774" s="36" t="str">
        <f>IF($FH2774="","",SUM($FN2774:$FN$7000))</f>
        <v/>
      </c>
    </row>
    <row r="2775" spans="152:167">
      <c r="EV2775" s="28">
        <f t="shared" si="87"/>
        <v>0</v>
      </c>
      <c r="FH2775" s="29" t="str">
        <f t="shared" si="88"/>
        <v/>
      </c>
      <c r="FJ2775" s="36" t="str">
        <f>IF($FH2775="","",SUM($FN2775:$FN$7000))</f>
        <v/>
      </c>
      <c r="FK2775" s="36" t="str">
        <f>IF($FH2775="","",SUM($FN2775:$FN$7000))</f>
        <v/>
      </c>
    </row>
    <row r="2776" spans="152:167">
      <c r="EV2776" s="28">
        <f t="shared" si="87"/>
        <v>0</v>
      </c>
      <c r="FH2776" s="29" t="str">
        <f t="shared" si="88"/>
        <v/>
      </c>
      <c r="FJ2776" s="36" t="str">
        <f>IF($FH2776="","",SUM($FN2776:$FN$7000))</f>
        <v/>
      </c>
      <c r="FK2776" s="36" t="str">
        <f>IF($FH2776="","",SUM($FN2776:$FN$7000))</f>
        <v/>
      </c>
    </row>
    <row r="2777" spans="152:167">
      <c r="EV2777" s="28">
        <f t="shared" si="87"/>
        <v>0</v>
      </c>
      <c r="FH2777" s="29" t="str">
        <f t="shared" si="88"/>
        <v/>
      </c>
      <c r="FJ2777" s="36" t="str">
        <f>IF($FH2777="","",SUM($FN2777:$FN$7000))</f>
        <v/>
      </c>
      <c r="FK2777" s="36" t="str">
        <f>IF($FH2777="","",SUM($FN2777:$FN$7000))</f>
        <v/>
      </c>
    </row>
    <row r="2778" spans="152:167">
      <c r="EV2778" s="28">
        <f t="shared" si="87"/>
        <v>0</v>
      </c>
      <c r="FH2778" s="29" t="str">
        <f t="shared" si="88"/>
        <v/>
      </c>
      <c r="FJ2778" s="36" t="str">
        <f>IF($FH2778="","",SUM($FN2778:$FN$7000))</f>
        <v/>
      </c>
      <c r="FK2778" s="36" t="str">
        <f>IF($FH2778="","",SUM($FN2778:$FN$7000))</f>
        <v/>
      </c>
    </row>
    <row r="2779" spans="152:167">
      <c r="EV2779" s="28">
        <f t="shared" si="87"/>
        <v>0</v>
      </c>
      <c r="FH2779" s="29" t="str">
        <f t="shared" si="88"/>
        <v/>
      </c>
      <c r="FJ2779" s="36" t="str">
        <f>IF($FH2779="","",SUM($FN2779:$FN$7000))</f>
        <v/>
      </c>
      <c r="FK2779" s="36" t="str">
        <f>IF($FH2779="","",SUM($FN2779:$FN$7000))</f>
        <v/>
      </c>
    </row>
    <row r="2780" spans="152:167">
      <c r="EV2780" s="28">
        <f t="shared" si="87"/>
        <v>0</v>
      </c>
      <c r="FH2780" s="29" t="str">
        <f t="shared" si="88"/>
        <v/>
      </c>
      <c r="FJ2780" s="36" t="str">
        <f>IF($FH2780="","",SUM($FN2780:$FN$7000))</f>
        <v/>
      </c>
      <c r="FK2780" s="36" t="str">
        <f>IF($FH2780="","",SUM($FN2780:$FN$7000))</f>
        <v/>
      </c>
    </row>
    <row r="2781" spans="152:167">
      <c r="EV2781" s="28">
        <f t="shared" si="87"/>
        <v>0</v>
      </c>
      <c r="FH2781" s="29" t="str">
        <f t="shared" si="88"/>
        <v/>
      </c>
      <c r="FJ2781" s="36" t="str">
        <f>IF($FH2781="","",SUM($FN2781:$FN$7000))</f>
        <v/>
      </c>
      <c r="FK2781" s="36" t="str">
        <f>IF($FH2781="","",SUM($FN2781:$FN$7000))</f>
        <v/>
      </c>
    </row>
    <row r="2782" spans="152:167">
      <c r="EV2782" s="28">
        <f t="shared" si="87"/>
        <v>0</v>
      </c>
      <c r="FH2782" s="29" t="str">
        <f t="shared" si="88"/>
        <v/>
      </c>
      <c r="FJ2782" s="36" t="str">
        <f>IF($FH2782="","",SUM($FN2782:$FN$7000))</f>
        <v/>
      </c>
      <c r="FK2782" s="36" t="str">
        <f>IF($FH2782="","",SUM($FN2782:$FN$7000))</f>
        <v/>
      </c>
    </row>
    <row r="2783" spans="152:167">
      <c r="EV2783" s="28">
        <f t="shared" si="87"/>
        <v>0</v>
      </c>
      <c r="FH2783" s="29" t="str">
        <f t="shared" si="88"/>
        <v/>
      </c>
      <c r="FJ2783" s="36" t="str">
        <f>IF($FH2783="","",SUM($FN2783:$FN$7000))</f>
        <v/>
      </c>
      <c r="FK2783" s="36" t="str">
        <f>IF($FH2783="","",SUM($FN2783:$FN$7000))</f>
        <v/>
      </c>
    </row>
    <row r="2784" spans="152:167">
      <c r="EV2784" s="28">
        <f t="shared" si="87"/>
        <v>0</v>
      </c>
      <c r="FH2784" s="29" t="str">
        <f t="shared" si="88"/>
        <v/>
      </c>
      <c r="FJ2784" s="36" t="str">
        <f>IF($FH2784="","",SUM($FN2784:$FN$7000))</f>
        <v/>
      </c>
      <c r="FK2784" s="36" t="str">
        <f>IF($FH2784="","",SUM($FN2784:$FN$7000))</f>
        <v/>
      </c>
    </row>
    <row r="2785" spans="152:167">
      <c r="EV2785" s="28">
        <f t="shared" si="87"/>
        <v>0</v>
      </c>
      <c r="FH2785" s="29" t="str">
        <f t="shared" si="88"/>
        <v/>
      </c>
      <c r="FJ2785" s="36" t="str">
        <f>IF($FH2785="","",SUM($FN2785:$FN$7000))</f>
        <v/>
      </c>
      <c r="FK2785" s="36" t="str">
        <f>IF($FH2785="","",SUM($FN2785:$FN$7000))</f>
        <v/>
      </c>
    </row>
    <row r="2786" spans="152:167">
      <c r="EV2786" s="28">
        <f t="shared" si="87"/>
        <v>0</v>
      </c>
      <c r="FH2786" s="29" t="str">
        <f t="shared" si="88"/>
        <v/>
      </c>
      <c r="FJ2786" s="36" t="str">
        <f>IF($FH2786="","",SUM($FN2786:$FN$7000))</f>
        <v/>
      </c>
      <c r="FK2786" s="36" t="str">
        <f>IF($FH2786="","",SUM($FN2786:$FN$7000))</f>
        <v/>
      </c>
    </row>
    <row r="2787" spans="152:167">
      <c r="EV2787" s="28">
        <f t="shared" si="87"/>
        <v>0</v>
      </c>
      <c r="FH2787" s="29" t="str">
        <f t="shared" si="88"/>
        <v/>
      </c>
      <c r="FJ2787" s="36" t="str">
        <f>IF($FH2787="","",SUM($FN2787:$FN$7000))</f>
        <v/>
      </c>
      <c r="FK2787" s="36" t="str">
        <f>IF($FH2787="","",SUM($FN2787:$FN$7000))</f>
        <v/>
      </c>
    </row>
    <row r="2788" spans="152:167">
      <c r="EV2788" s="28">
        <f t="shared" si="87"/>
        <v>0</v>
      </c>
      <c r="FH2788" s="29" t="str">
        <f t="shared" si="88"/>
        <v/>
      </c>
      <c r="FJ2788" s="36" t="str">
        <f>IF($FH2788="","",SUM($FN2788:$FN$7000))</f>
        <v/>
      </c>
      <c r="FK2788" s="36" t="str">
        <f>IF($FH2788="","",SUM($FN2788:$FN$7000))</f>
        <v/>
      </c>
    </row>
    <row r="2789" spans="152:167">
      <c r="EV2789" s="28">
        <f t="shared" si="87"/>
        <v>0</v>
      </c>
      <c r="FH2789" s="29" t="str">
        <f t="shared" si="88"/>
        <v/>
      </c>
      <c r="FJ2789" s="36" t="str">
        <f>IF($FH2789="","",SUM($FN2789:$FN$7000))</f>
        <v/>
      </c>
      <c r="FK2789" s="36" t="str">
        <f>IF($FH2789="","",SUM($FN2789:$FN$7000))</f>
        <v/>
      </c>
    </row>
    <row r="2790" spans="152:167">
      <c r="EV2790" s="28">
        <f t="shared" si="87"/>
        <v>0</v>
      </c>
      <c r="FH2790" s="29" t="str">
        <f t="shared" si="88"/>
        <v/>
      </c>
      <c r="FJ2790" s="36" t="str">
        <f>IF($FH2790="","",SUM($FN2790:$FN$7000))</f>
        <v/>
      </c>
      <c r="FK2790" s="36" t="str">
        <f>IF($FH2790="","",SUM($FN2790:$FN$7000))</f>
        <v/>
      </c>
    </row>
    <row r="2791" spans="152:167">
      <c r="EV2791" s="28">
        <f t="shared" si="87"/>
        <v>0</v>
      </c>
      <c r="FH2791" s="29" t="str">
        <f t="shared" si="88"/>
        <v/>
      </c>
      <c r="FJ2791" s="36" t="str">
        <f>IF($FH2791="","",SUM($FN2791:$FN$7000))</f>
        <v/>
      </c>
      <c r="FK2791" s="36" t="str">
        <f>IF($FH2791="","",SUM($FN2791:$FN$7000))</f>
        <v/>
      </c>
    </row>
    <row r="2792" spans="152:167">
      <c r="EV2792" s="28">
        <f t="shared" si="87"/>
        <v>0</v>
      </c>
      <c r="FH2792" s="29" t="str">
        <f t="shared" si="88"/>
        <v/>
      </c>
      <c r="FJ2792" s="36" t="str">
        <f>IF($FH2792="","",SUM($FN2792:$FN$7000))</f>
        <v/>
      </c>
      <c r="FK2792" s="36" t="str">
        <f>IF($FH2792="","",SUM($FN2792:$FN$7000))</f>
        <v/>
      </c>
    </row>
    <row r="2793" spans="152:167">
      <c r="EV2793" s="28">
        <f t="shared" si="87"/>
        <v>0</v>
      </c>
      <c r="FH2793" s="29" t="str">
        <f t="shared" si="88"/>
        <v/>
      </c>
      <c r="FJ2793" s="36" t="str">
        <f>IF($FH2793="","",SUM($FN2793:$FN$7000))</f>
        <v/>
      </c>
      <c r="FK2793" s="36" t="str">
        <f>IF($FH2793="","",SUM($FN2793:$FN$7000))</f>
        <v/>
      </c>
    </row>
    <row r="2794" spans="152:167">
      <c r="EV2794" s="28">
        <f t="shared" si="87"/>
        <v>0</v>
      </c>
      <c r="FH2794" s="29" t="str">
        <f t="shared" si="88"/>
        <v/>
      </c>
      <c r="FJ2794" s="36" t="str">
        <f>IF($FH2794="","",SUM($FN2794:$FN$7000))</f>
        <v/>
      </c>
      <c r="FK2794" s="36" t="str">
        <f>IF($FH2794="","",SUM($FN2794:$FN$7000))</f>
        <v/>
      </c>
    </row>
    <row r="2795" spans="152:167">
      <c r="EV2795" s="28">
        <f t="shared" si="87"/>
        <v>0</v>
      </c>
      <c r="FH2795" s="29" t="str">
        <f t="shared" si="88"/>
        <v/>
      </c>
      <c r="FJ2795" s="36" t="str">
        <f>IF($FH2795="","",SUM($FN2795:$FN$7000))</f>
        <v/>
      </c>
      <c r="FK2795" s="36" t="str">
        <f>IF($FH2795="","",SUM($FN2795:$FN$7000))</f>
        <v/>
      </c>
    </row>
    <row r="2796" spans="152:167">
      <c r="EV2796" s="28">
        <f t="shared" si="87"/>
        <v>0</v>
      </c>
      <c r="FH2796" s="29" t="str">
        <f t="shared" si="88"/>
        <v/>
      </c>
      <c r="FJ2796" s="36" t="str">
        <f>IF($FH2796="","",SUM($FN2796:$FN$7000))</f>
        <v/>
      </c>
      <c r="FK2796" s="36" t="str">
        <f>IF($FH2796="","",SUM($FN2796:$FN$7000))</f>
        <v/>
      </c>
    </row>
    <row r="2797" spans="152:167">
      <c r="EV2797" s="28">
        <f t="shared" si="87"/>
        <v>0</v>
      </c>
      <c r="FH2797" s="29" t="str">
        <f t="shared" si="88"/>
        <v/>
      </c>
      <c r="FJ2797" s="36" t="str">
        <f>IF($FH2797="","",SUM($FN2797:$FN$7000))</f>
        <v/>
      </c>
      <c r="FK2797" s="36" t="str">
        <f>IF($FH2797="","",SUM($FN2797:$FN$7000))</f>
        <v/>
      </c>
    </row>
    <row r="2798" spans="152:167">
      <c r="EV2798" s="28">
        <f t="shared" si="87"/>
        <v>0</v>
      </c>
      <c r="FH2798" s="29" t="str">
        <f t="shared" si="88"/>
        <v/>
      </c>
      <c r="FJ2798" s="36" t="str">
        <f>IF($FH2798="","",SUM($FN2798:$FN$7000))</f>
        <v/>
      </c>
      <c r="FK2798" s="36" t="str">
        <f>IF($FH2798="","",SUM($FN2798:$FN$7000))</f>
        <v/>
      </c>
    </row>
    <row r="2799" spans="152:167">
      <c r="EV2799" s="28">
        <f t="shared" si="87"/>
        <v>0</v>
      </c>
      <c r="FH2799" s="29" t="str">
        <f t="shared" si="88"/>
        <v/>
      </c>
      <c r="FJ2799" s="36" t="str">
        <f>IF($FH2799="","",SUM($FN2799:$FN$7000))</f>
        <v/>
      </c>
      <c r="FK2799" s="36" t="str">
        <f>IF($FH2799="","",SUM($FN2799:$FN$7000))</f>
        <v/>
      </c>
    </row>
    <row r="2800" spans="152:167">
      <c r="EV2800" s="28">
        <f t="shared" si="87"/>
        <v>0</v>
      </c>
      <c r="FH2800" s="29" t="str">
        <f t="shared" si="88"/>
        <v/>
      </c>
      <c r="FJ2800" s="36" t="str">
        <f>IF($FH2800="","",SUM($FN2800:$FN$7000))</f>
        <v/>
      </c>
      <c r="FK2800" s="36" t="str">
        <f>IF($FH2800="","",SUM($FN2800:$FN$7000))</f>
        <v/>
      </c>
    </row>
    <row r="2801" spans="152:167">
      <c r="EV2801" s="28">
        <f t="shared" si="87"/>
        <v>0</v>
      </c>
      <c r="FH2801" s="29" t="str">
        <f t="shared" si="88"/>
        <v/>
      </c>
      <c r="FJ2801" s="36" t="str">
        <f>IF($FH2801="","",SUM($FN2801:$FN$7000))</f>
        <v/>
      </c>
      <c r="FK2801" s="36" t="str">
        <f>IF($FH2801="","",SUM($FN2801:$FN$7000))</f>
        <v/>
      </c>
    </row>
    <row r="2802" spans="152:167">
      <c r="EV2802" s="28">
        <f t="shared" si="87"/>
        <v>0</v>
      </c>
      <c r="FH2802" s="29" t="str">
        <f t="shared" si="88"/>
        <v/>
      </c>
      <c r="FJ2802" s="36" t="str">
        <f>IF($FH2802="","",SUM($FN2802:$FN$7000))</f>
        <v/>
      </c>
      <c r="FK2802" s="36" t="str">
        <f>IF($FH2802="","",SUM($FN2802:$FN$7000))</f>
        <v/>
      </c>
    </row>
    <row r="2803" spans="152:167">
      <c r="EV2803" s="28">
        <f t="shared" si="87"/>
        <v>0</v>
      </c>
      <c r="FH2803" s="29" t="str">
        <f t="shared" si="88"/>
        <v/>
      </c>
      <c r="FJ2803" s="36" t="str">
        <f>IF($FH2803="","",SUM($FN2803:$FN$7000))</f>
        <v/>
      </c>
      <c r="FK2803" s="36" t="str">
        <f>IF($FH2803="","",SUM($FN2803:$FN$7000))</f>
        <v/>
      </c>
    </row>
    <row r="2804" spans="152:167">
      <c r="EV2804" s="28">
        <f t="shared" si="87"/>
        <v>0</v>
      </c>
      <c r="FH2804" s="29" t="str">
        <f t="shared" si="88"/>
        <v/>
      </c>
      <c r="FJ2804" s="36" t="str">
        <f>IF($FH2804="","",SUM($FN2804:$FN$7000))</f>
        <v/>
      </c>
      <c r="FK2804" s="36" t="str">
        <f>IF($FH2804="","",SUM($FN2804:$FN$7000))</f>
        <v/>
      </c>
    </row>
    <row r="2805" spans="152:167">
      <c r="EV2805" s="28">
        <f t="shared" si="87"/>
        <v>0</v>
      </c>
      <c r="FH2805" s="29" t="str">
        <f t="shared" si="88"/>
        <v/>
      </c>
      <c r="FJ2805" s="36" t="str">
        <f>IF($FH2805="","",SUM($FN2805:$FN$7000))</f>
        <v/>
      </c>
      <c r="FK2805" s="36" t="str">
        <f>IF($FH2805="","",SUM($FN2805:$FN$7000))</f>
        <v/>
      </c>
    </row>
    <row r="2806" spans="152:167">
      <c r="EV2806" s="28">
        <f t="shared" si="87"/>
        <v>0</v>
      </c>
      <c r="FH2806" s="29" t="str">
        <f t="shared" si="88"/>
        <v/>
      </c>
      <c r="FJ2806" s="36" t="str">
        <f>IF($FH2806="","",SUM($FN2806:$FN$7000))</f>
        <v/>
      </c>
      <c r="FK2806" s="36" t="str">
        <f>IF($FH2806="","",SUM($FN2806:$FN$7000))</f>
        <v/>
      </c>
    </row>
    <row r="2807" spans="152:167">
      <c r="EV2807" s="28">
        <f t="shared" si="87"/>
        <v>0</v>
      </c>
      <c r="FH2807" s="29" t="str">
        <f t="shared" si="88"/>
        <v/>
      </c>
      <c r="FJ2807" s="36" t="str">
        <f>IF($FH2807="","",SUM($FN2807:$FN$7000))</f>
        <v/>
      </c>
      <c r="FK2807" s="36" t="str">
        <f>IF($FH2807="","",SUM($FN2807:$FN$7000))</f>
        <v/>
      </c>
    </row>
    <row r="2808" spans="152:167">
      <c r="EV2808" s="28">
        <f t="shared" si="87"/>
        <v>0</v>
      </c>
      <c r="FH2808" s="29" t="str">
        <f t="shared" si="88"/>
        <v/>
      </c>
      <c r="FJ2808" s="36" t="str">
        <f>IF($FH2808="","",SUM($FN2808:$FN$7000))</f>
        <v/>
      </c>
      <c r="FK2808" s="36" t="str">
        <f>IF($FH2808="","",SUM($FN2808:$FN$7000))</f>
        <v/>
      </c>
    </row>
    <row r="2809" spans="152:167">
      <c r="EV2809" s="28">
        <f t="shared" si="87"/>
        <v>0</v>
      </c>
      <c r="FH2809" s="29" t="str">
        <f t="shared" si="88"/>
        <v/>
      </c>
      <c r="FJ2809" s="36" t="str">
        <f>IF($FH2809="","",SUM($FN2809:$FN$7000))</f>
        <v/>
      </c>
      <c r="FK2809" s="36" t="str">
        <f>IF($FH2809="","",SUM($FN2809:$FN$7000))</f>
        <v/>
      </c>
    </row>
    <row r="2810" spans="152:167">
      <c r="EV2810" s="28">
        <f t="shared" si="87"/>
        <v>0</v>
      </c>
      <c r="FH2810" s="29" t="str">
        <f t="shared" si="88"/>
        <v/>
      </c>
      <c r="FJ2810" s="36" t="str">
        <f>IF($FH2810="","",SUM($FN2810:$FN$7000))</f>
        <v/>
      </c>
      <c r="FK2810" s="36" t="str">
        <f>IF($FH2810="","",SUM($FN2810:$FN$7000))</f>
        <v/>
      </c>
    </row>
    <row r="2811" spans="152:167">
      <c r="EV2811" s="28">
        <f t="shared" si="87"/>
        <v>0</v>
      </c>
      <c r="FH2811" s="29" t="str">
        <f t="shared" si="88"/>
        <v/>
      </c>
      <c r="FJ2811" s="36" t="str">
        <f>IF($FH2811="","",SUM($FN2811:$FN$7000))</f>
        <v/>
      </c>
      <c r="FK2811" s="36" t="str">
        <f>IF($FH2811="","",SUM($FN2811:$FN$7000))</f>
        <v/>
      </c>
    </row>
    <row r="2812" spans="152:167">
      <c r="EV2812" s="28">
        <f t="shared" si="87"/>
        <v>0</v>
      </c>
      <c r="FH2812" s="29" t="str">
        <f t="shared" si="88"/>
        <v/>
      </c>
      <c r="FJ2812" s="36" t="str">
        <f>IF($FH2812="","",SUM($FN2812:$FN$7000))</f>
        <v/>
      </c>
      <c r="FK2812" s="36" t="str">
        <f>IF($FH2812="","",SUM($FN2812:$FN$7000))</f>
        <v/>
      </c>
    </row>
    <row r="2813" spans="152:167">
      <c r="EV2813" s="28">
        <f t="shared" si="87"/>
        <v>0</v>
      </c>
      <c r="FH2813" s="29" t="str">
        <f t="shared" si="88"/>
        <v/>
      </c>
      <c r="FJ2813" s="36" t="str">
        <f>IF($FH2813="","",SUM($FN2813:$FN$7000))</f>
        <v/>
      </c>
      <c r="FK2813" s="36" t="str">
        <f>IF($FH2813="","",SUM($FN2813:$FN$7000))</f>
        <v/>
      </c>
    </row>
    <row r="2814" spans="152:167">
      <c r="EV2814" s="28">
        <f t="shared" si="87"/>
        <v>0</v>
      </c>
      <c r="FH2814" s="29" t="str">
        <f t="shared" si="88"/>
        <v/>
      </c>
      <c r="FJ2814" s="36" t="str">
        <f>IF($FH2814="","",SUM($FN2814:$FN$7000))</f>
        <v/>
      </c>
      <c r="FK2814" s="36" t="str">
        <f>IF($FH2814="","",SUM($FN2814:$FN$7000))</f>
        <v/>
      </c>
    </row>
    <row r="2815" spans="152:167">
      <c r="EV2815" s="28">
        <f t="shared" si="87"/>
        <v>0</v>
      </c>
      <c r="FH2815" s="29" t="str">
        <f t="shared" si="88"/>
        <v/>
      </c>
      <c r="FJ2815" s="36" t="str">
        <f>IF($FH2815="","",SUM($FN2815:$FN$7000))</f>
        <v/>
      </c>
      <c r="FK2815" s="36" t="str">
        <f>IF($FH2815="","",SUM($FN2815:$FN$7000))</f>
        <v/>
      </c>
    </row>
    <row r="2816" spans="152:167">
      <c r="EV2816" s="28">
        <f t="shared" si="87"/>
        <v>0</v>
      </c>
      <c r="FH2816" s="29" t="str">
        <f t="shared" si="88"/>
        <v/>
      </c>
      <c r="FJ2816" s="36" t="str">
        <f>IF($FH2816="","",SUM($FN2816:$FN$7000))</f>
        <v/>
      </c>
      <c r="FK2816" s="36" t="str">
        <f>IF($FH2816="","",SUM($FN2816:$FN$7000))</f>
        <v/>
      </c>
    </row>
    <row r="2817" spans="152:167">
      <c r="EV2817" s="28">
        <f t="shared" si="87"/>
        <v>0</v>
      </c>
      <c r="FH2817" s="29" t="str">
        <f t="shared" si="88"/>
        <v/>
      </c>
      <c r="FJ2817" s="36" t="str">
        <f>IF($FH2817="","",SUM($FN2817:$FN$7000))</f>
        <v/>
      </c>
      <c r="FK2817" s="36" t="str">
        <f>IF($FH2817="","",SUM($FN2817:$FN$7000))</f>
        <v/>
      </c>
    </row>
    <row r="2818" spans="152:167">
      <c r="EV2818" s="28">
        <f t="shared" si="87"/>
        <v>0</v>
      </c>
      <c r="FH2818" s="29" t="str">
        <f t="shared" si="88"/>
        <v/>
      </c>
      <c r="FJ2818" s="36" t="str">
        <f>IF($FH2818="","",SUM($FN2818:$FN$7000))</f>
        <v/>
      </c>
      <c r="FK2818" s="36" t="str">
        <f>IF($FH2818="","",SUM($FN2818:$FN$7000))</f>
        <v/>
      </c>
    </row>
    <row r="2819" spans="152:167">
      <c r="EV2819" s="28">
        <f t="shared" si="87"/>
        <v>0</v>
      </c>
      <c r="FH2819" s="29" t="str">
        <f t="shared" si="88"/>
        <v/>
      </c>
      <c r="FJ2819" s="36" t="str">
        <f>IF($FH2819="","",SUM($FN2819:$FN$7000))</f>
        <v/>
      </c>
      <c r="FK2819" s="36" t="str">
        <f>IF($FH2819="","",SUM($FN2819:$FN$7000))</f>
        <v/>
      </c>
    </row>
    <row r="2820" spans="152:167">
      <c r="EV2820" s="28">
        <f t="shared" si="87"/>
        <v>0</v>
      </c>
      <c r="FH2820" s="29" t="str">
        <f t="shared" si="88"/>
        <v/>
      </c>
      <c r="FJ2820" s="36" t="str">
        <f>IF($FH2820="","",SUM($FN2820:$FN$7000))</f>
        <v/>
      </c>
      <c r="FK2820" s="36" t="str">
        <f>IF($FH2820="","",SUM($FN2820:$FN$7000))</f>
        <v/>
      </c>
    </row>
    <row r="2821" spans="152:167">
      <c r="EV2821" s="28">
        <f t="shared" si="87"/>
        <v>0</v>
      </c>
      <c r="FH2821" s="29" t="str">
        <f t="shared" si="88"/>
        <v/>
      </c>
      <c r="FJ2821" s="36" t="str">
        <f>IF($FH2821="","",SUM($FN2821:$FN$7000))</f>
        <v/>
      </c>
      <c r="FK2821" s="36" t="str">
        <f>IF($FH2821="","",SUM($FN2821:$FN$7000))</f>
        <v/>
      </c>
    </row>
    <row r="2822" spans="152:167">
      <c r="EV2822" s="28">
        <f t="shared" si="87"/>
        <v>0</v>
      </c>
      <c r="FH2822" s="29" t="str">
        <f t="shared" si="88"/>
        <v/>
      </c>
      <c r="FJ2822" s="36" t="str">
        <f>IF($FH2822="","",SUM($FN2822:$FN$7000))</f>
        <v/>
      </c>
      <c r="FK2822" s="36" t="str">
        <f>IF($FH2822="","",SUM($FN2822:$FN$7000))</f>
        <v/>
      </c>
    </row>
    <row r="2823" spans="152:167">
      <c r="EV2823" s="28">
        <f t="shared" si="87"/>
        <v>0</v>
      </c>
      <c r="FH2823" s="29" t="str">
        <f t="shared" si="88"/>
        <v/>
      </c>
      <c r="FJ2823" s="36" t="str">
        <f>IF($FH2823="","",SUM($FN2823:$FN$7000))</f>
        <v/>
      </c>
      <c r="FK2823" s="36" t="str">
        <f>IF($FH2823="","",SUM($FN2823:$FN$7000))</f>
        <v/>
      </c>
    </row>
    <row r="2824" spans="152:167">
      <c r="EV2824" s="28">
        <f t="shared" si="87"/>
        <v>0</v>
      </c>
      <c r="FH2824" s="29" t="str">
        <f t="shared" si="88"/>
        <v/>
      </c>
      <c r="FJ2824" s="36" t="str">
        <f>IF($FH2824="","",SUM($FN2824:$FN$7000))</f>
        <v/>
      </c>
      <c r="FK2824" s="36" t="str">
        <f>IF($FH2824="","",SUM($FN2824:$FN$7000))</f>
        <v/>
      </c>
    </row>
    <row r="2825" spans="152:167">
      <c r="EV2825" s="28">
        <f t="shared" si="87"/>
        <v>0</v>
      </c>
      <c r="FH2825" s="29" t="str">
        <f t="shared" si="88"/>
        <v/>
      </c>
      <c r="FJ2825" s="36" t="str">
        <f>IF($FH2825="","",SUM($FN2825:$FN$7000))</f>
        <v/>
      </c>
      <c r="FK2825" s="36" t="str">
        <f>IF($FH2825="","",SUM($FN2825:$FN$7000))</f>
        <v/>
      </c>
    </row>
    <row r="2826" spans="152:167">
      <c r="EV2826" s="28">
        <f t="shared" si="87"/>
        <v>0</v>
      </c>
      <c r="FH2826" s="29" t="str">
        <f t="shared" si="88"/>
        <v/>
      </c>
      <c r="FJ2826" s="36" t="str">
        <f>IF($FH2826="","",SUM($FN2826:$FN$7000))</f>
        <v/>
      </c>
      <c r="FK2826" s="36" t="str">
        <f>IF($FH2826="","",SUM($FN2826:$FN$7000))</f>
        <v/>
      </c>
    </row>
    <row r="2827" spans="152:167">
      <c r="EV2827" s="28">
        <f t="shared" ref="EV2827:EV2890" si="89">EU2827-ET2827</f>
        <v>0</v>
      </c>
      <c r="FH2827" s="29" t="str">
        <f t="shared" ref="FH2827:FH2890" si="90">IF(FL2827="","",FL2827)</f>
        <v/>
      </c>
      <c r="FJ2827" s="36" t="str">
        <f>IF($FH2827="","",SUM($FN2827:$FN$7000))</f>
        <v/>
      </c>
      <c r="FK2827" s="36" t="str">
        <f>IF($FH2827="","",SUM($FN2827:$FN$7000))</f>
        <v/>
      </c>
    </row>
    <row r="2828" spans="152:167">
      <c r="EV2828" s="28">
        <f t="shared" si="89"/>
        <v>0</v>
      </c>
      <c r="FH2828" s="29" t="str">
        <f t="shared" si="90"/>
        <v/>
      </c>
      <c r="FJ2828" s="36" t="str">
        <f>IF($FH2828="","",SUM($FN2828:$FN$7000))</f>
        <v/>
      </c>
      <c r="FK2828" s="36" t="str">
        <f>IF($FH2828="","",SUM($FN2828:$FN$7000))</f>
        <v/>
      </c>
    </row>
    <row r="2829" spans="152:167">
      <c r="EV2829" s="28">
        <f t="shared" si="89"/>
        <v>0</v>
      </c>
      <c r="FH2829" s="29" t="str">
        <f t="shared" si="90"/>
        <v/>
      </c>
      <c r="FJ2829" s="36" t="str">
        <f>IF($FH2829="","",SUM($FN2829:$FN$7000))</f>
        <v/>
      </c>
      <c r="FK2829" s="36" t="str">
        <f>IF($FH2829="","",SUM($FN2829:$FN$7000))</f>
        <v/>
      </c>
    </row>
    <row r="2830" spans="152:167">
      <c r="EV2830" s="28">
        <f t="shared" si="89"/>
        <v>0</v>
      </c>
      <c r="FH2830" s="29" t="str">
        <f t="shared" si="90"/>
        <v/>
      </c>
      <c r="FJ2830" s="36" t="str">
        <f>IF($FH2830="","",SUM($FN2830:$FN$7000))</f>
        <v/>
      </c>
      <c r="FK2830" s="36" t="str">
        <f>IF($FH2830="","",SUM($FN2830:$FN$7000))</f>
        <v/>
      </c>
    </row>
    <row r="2831" spans="152:167">
      <c r="EV2831" s="28">
        <f t="shared" si="89"/>
        <v>0</v>
      </c>
      <c r="FH2831" s="29" t="str">
        <f t="shared" si="90"/>
        <v/>
      </c>
      <c r="FJ2831" s="36" t="str">
        <f>IF($FH2831="","",SUM($FN2831:$FN$7000))</f>
        <v/>
      </c>
      <c r="FK2831" s="36" t="str">
        <f>IF($FH2831="","",SUM($FN2831:$FN$7000))</f>
        <v/>
      </c>
    </row>
    <row r="2832" spans="152:167">
      <c r="EV2832" s="28">
        <f t="shared" si="89"/>
        <v>0</v>
      </c>
      <c r="FH2832" s="29" t="str">
        <f t="shared" si="90"/>
        <v/>
      </c>
      <c r="FJ2832" s="36" t="str">
        <f>IF($FH2832="","",SUM($FN2832:$FN$7000))</f>
        <v/>
      </c>
      <c r="FK2832" s="36" t="str">
        <f>IF($FH2832="","",SUM($FN2832:$FN$7000))</f>
        <v/>
      </c>
    </row>
    <row r="2833" spans="152:167">
      <c r="EV2833" s="28">
        <f t="shared" si="89"/>
        <v>0</v>
      </c>
      <c r="FH2833" s="29" t="str">
        <f t="shared" si="90"/>
        <v/>
      </c>
      <c r="FJ2833" s="36" t="str">
        <f>IF($FH2833="","",SUM($FN2833:$FN$7000))</f>
        <v/>
      </c>
      <c r="FK2833" s="36" t="str">
        <f>IF($FH2833="","",SUM($FN2833:$FN$7000))</f>
        <v/>
      </c>
    </row>
    <row r="2834" spans="152:167">
      <c r="EV2834" s="28">
        <f t="shared" si="89"/>
        <v>0</v>
      </c>
      <c r="FH2834" s="29" t="str">
        <f t="shared" si="90"/>
        <v/>
      </c>
      <c r="FJ2834" s="36" t="str">
        <f>IF($FH2834="","",SUM($FN2834:$FN$7000))</f>
        <v/>
      </c>
      <c r="FK2834" s="36" t="str">
        <f>IF($FH2834="","",SUM($FN2834:$FN$7000))</f>
        <v/>
      </c>
    </row>
    <row r="2835" spans="152:167">
      <c r="EV2835" s="28">
        <f t="shared" si="89"/>
        <v>0</v>
      </c>
      <c r="FH2835" s="29" t="str">
        <f t="shared" si="90"/>
        <v/>
      </c>
      <c r="FJ2835" s="36" t="str">
        <f>IF($FH2835="","",SUM($FN2835:$FN$7000))</f>
        <v/>
      </c>
      <c r="FK2835" s="36" t="str">
        <f>IF($FH2835="","",SUM($FN2835:$FN$7000))</f>
        <v/>
      </c>
    </row>
    <row r="2836" spans="152:167">
      <c r="EV2836" s="28">
        <f t="shared" si="89"/>
        <v>0</v>
      </c>
      <c r="FH2836" s="29" t="str">
        <f t="shared" si="90"/>
        <v/>
      </c>
      <c r="FJ2836" s="36" t="str">
        <f>IF($FH2836="","",SUM($FN2836:$FN$7000))</f>
        <v/>
      </c>
      <c r="FK2836" s="36" t="str">
        <f>IF($FH2836="","",SUM($FN2836:$FN$7000))</f>
        <v/>
      </c>
    </row>
    <row r="2837" spans="152:167">
      <c r="EV2837" s="28">
        <f t="shared" si="89"/>
        <v>0</v>
      </c>
      <c r="FH2837" s="29" t="str">
        <f t="shared" si="90"/>
        <v/>
      </c>
      <c r="FJ2837" s="36" t="str">
        <f>IF($FH2837="","",SUM($FN2837:$FN$7000))</f>
        <v/>
      </c>
      <c r="FK2837" s="36" t="str">
        <f>IF($FH2837="","",SUM($FN2837:$FN$7000))</f>
        <v/>
      </c>
    </row>
    <row r="2838" spans="152:167">
      <c r="EV2838" s="28">
        <f t="shared" si="89"/>
        <v>0</v>
      </c>
      <c r="FH2838" s="29" t="str">
        <f t="shared" si="90"/>
        <v/>
      </c>
      <c r="FJ2838" s="36" t="str">
        <f>IF($FH2838="","",SUM($FN2838:$FN$7000))</f>
        <v/>
      </c>
      <c r="FK2838" s="36" t="str">
        <f>IF($FH2838="","",SUM($FN2838:$FN$7000))</f>
        <v/>
      </c>
    </row>
    <row r="2839" spans="152:167">
      <c r="EV2839" s="28">
        <f t="shared" si="89"/>
        <v>0</v>
      </c>
      <c r="FH2839" s="29" t="str">
        <f t="shared" si="90"/>
        <v/>
      </c>
      <c r="FJ2839" s="36" t="str">
        <f>IF($FH2839="","",SUM($FN2839:$FN$7000))</f>
        <v/>
      </c>
      <c r="FK2839" s="36" t="str">
        <f>IF($FH2839="","",SUM($FN2839:$FN$7000))</f>
        <v/>
      </c>
    </row>
    <row r="2840" spans="152:167">
      <c r="EV2840" s="28">
        <f t="shared" si="89"/>
        <v>0</v>
      </c>
      <c r="FH2840" s="29" t="str">
        <f t="shared" si="90"/>
        <v/>
      </c>
      <c r="FJ2840" s="36" t="str">
        <f>IF($FH2840="","",SUM($FN2840:$FN$7000))</f>
        <v/>
      </c>
      <c r="FK2840" s="36" t="str">
        <f>IF($FH2840="","",SUM($FN2840:$FN$7000))</f>
        <v/>
      </c>
    </row>
    <row r="2841" spans="152:167">
      <c r="EV2841" s="28">
        <f t="shared" si="89"/>
        <v>0</v>
      </c>
      <c r="FH2841" s="29" t="str">
        <f t="shared" si="90"/>
        <v/>
      </c>
      <c r="FJ2841" s="36" t="str">
        <f>IF($FH2841="","",SUM($FN2841:$FN$7000))</f>
        <v/>
      </c>
      <c r="FK2841" s="36" t="str">
        <f>IF($FH2841="","",SUM($FN2841:$FN$7000))</f>
        <v/>
      </c>
    </row>
    <row r="2842" spans="152:167">
      <c r="EV2842" s="28">
        <f t="shared" si="89"/>
        <v>0</v>
      </c>
      <c r="FH2842" s="29" t="str">
        <f t="shared" si="90"/>
        <v/>
      </c>
      <c r="FJ2842" s="36" t="str">
        <f>IF($FH2842="","",SUM($FN2842:$FN$7000))</f>
        <v/>
      </c>
      <c r="FK2842" s="36" t="str">
        <f>IF($FH2842="","",SUM($FN2842:$FN$7000))</f>
        <v/>
      </c>
    </row>
    <row r="2843" spans="152:167">
      <c r="EV2843" s="28">
        <f t="shared" si="89"/>
        <v>0</v>
      </c>
      <c r="FH2843" s="29" t="str">
        <f t="shared" si="90"/>
        <v/>
      </c>
      <c r="FJ2843" s="36" t="str">
        <f>IF($FH2843="","",SUM($FN2843:$FN$7000))</f>
        <v/>
      </c>
      <c r="FK2843" s="36" t="str">
        <f>IF($FH2843="","",SUM($FN2843:$FN$7000))</f>
        <v/>
      </c>
    </row>
    <row r="2844" spans="152:167">
      <c r="EV2844" s="28">
        <f t="shared" si="89"/>
        <v>0</v>
      </c>
      <c r="FH2844" s="29" t="str">
        <f t="shared" si="90"/>
        <v/>
      </c>
      <c r="FJ2844" s="36" t="str">
        <f>IF($FH2844="","",SUM($FN2844:$FN$7000))</f>
        <v/>
      </c>
      <c r="FK2844" s="36" t="str">
        <f>IF($FH2844="","",SUM($FN2844:$FN$7000))</f>
        <v/>
      </c>
    </row>
    <row r="2845" spans="152:167">
      <c r="EV2845" s="28">
        <f t="shared" si="89"/>
        <v>0</v>
      </c>
      <c r="FH2845" s="29" t="str">
        <f t="shared" si="90"/>
        <v/>
      </c>
      <c r="FJ2845" s="36" t="str">
        <f>IF($FH2845="","",SUM($FN2845:$FN$7000))</f>
        <v/>
      </c>
      <c r="FK2845" s="36" t="str">
        <f>IF($FH2845="","",SUM($FN2845:$FN$7000))</f>
        <v/>
      </c>
    </row>
    <row r="2846" spans="152:167">
      <c r="EV2846" s="28">
        <f t="shared" si="89"/>
        <v>0</v>
      </c>
      <c r="FH2846" s="29" t="str">
        <f t="shared" si="90"/>
        <v/>
      </c>
      <c r="FJ2846" s="36" t="str">
        <f>IF($FH2846="","",SUM($FN2846:$FN$7000))</f>
        <v/>
      </c>
      <c r="FK2846" s="36" t="str">
        <f>IF($FH2846="","",SUM($FN2846:$FN$7000))</f>
        <v/>
      </c>
    </row>
    <row r="2847" spans="152:167">
      <c r="EV2847" s="28">
        <f t="shared" si="89"/>
        <v>0</v>
      </c>
      <c r="FH2847" s="29" t="str">
        <f t="shared" si="90"/>
        <v/>
      </c>
      <c r="FJ2847" s="36" t="str">
        <f>IF($FH2847="","",SUM($FN2847:$FN$7000))</f>
        <v/>
      </c>
      <c r="FK2847" s="36" t="str">
        <f>IF($FH2847="","",SUM($FN2847:$FN$7000))</f>
        <v/>
      </c>
    </row>
    <row r="2848" spans="152:167">
      <c r="EV2848" s="28">
        <f t="shared" si="89"/>
        <v>0</v>
      </c>
      <c r="FH2848" s="29" t="str">
        <f t="shared" si="90"/>
        <v/>
      </c>
      <c r="FJ2848" s="36" t="str">
        <f>IF($FH2848="","",SUM($FN2848:$FN$7000))</f>
        <v/>
      </c>
      <c r="FK2848" s="36" t="str">
        <f>IF($FH2848="","",SUM($FN2848:$FN$7000))</f>
        <v/>
      </c>
    </row>
    <row r="2849" spans="152:167">
      <c r="EV2849" s="28">
        <f t="shared" si="89"/>
        <v>0</v>
      </c>
      <c r="FH2849" s="29" t="str">
        <f t="shared" si="90"/>
        <v/>
      </c>
      <c r="FJ2849" s="36" t="str">
        <f>IF($FH2849="","",SUM($FN2849:$FN$7000))</f>
        <v/>
      </c>
      <c r="FK2849" s="36" t="str">
        <f>IF($FH2849="","",SUM($FN2849:$FN$7000))</f>
        <v/>
      </c>
    </row>
    <row r="2850" spans="152:167">
      <c r="EV2850" s="28">
        <f t="shared" si="89"/>
        <v>0</v>
      </c>
      <c r="FH2850" s="29" t="str">
        <f t="shared" si="90"/>
        <v/>
      </c>
      <c r="FJ2850" s="36" t="str">
        <f>IF($FH2850="","",SUM($FN2850:$FN$7000))</f>
        <v/>
      </c>
      <c r="FK2850" s="36" t="str">
        <f>IF($FH2850="","",SUM($FN2850:$FN$7000))</f>
        <v/>
      </c>
    </row>
    <row r="2851" spans="152:167">
      <c r="EV2851" s="28">
        <f t="shared" si="89"/>
        <v>0</v>
      </c>
      <c r="FH2851" s="29" t="str">
        <f t="shared" si="90"/>
        <v/>
      </c>
      <c r="FJ2851" s="36" t="str">
        <f>IF($FH2851="","",SUM($FN2851:$FN$7000))</f>
        <v/>
      </c>
      <c r="FK2851" s="36" t="str">
        <f>IF($FH2851="","",SUM($FN2851:$FN$7000))</f>
        <v/>
      </c>
    </row>
    <row r="2852" spans="152:167">
      <c r="EV2852" s="28">
        <f t="shared" si="89"/>
        <v>0</v>
      </c>
      <c r="FH2852" s="29" t="str">
        <f t="shared" si="90"/>
        <v/>
      </c>
      <c r="FJ2852" s="36" t="str">
        <f>IF($FH2852="","",SUM($FN2852:$FN$7000))</f>
        <v/>
      </c>
      <c r="FK2852" s="36" t="str">
        <f>IF($FH2852="","",SUM($FN2852:$FN$7000))</f>
        <v/>
      </c>
    </row>
    <row r="2853" spans="152:167">
      <c r="EV2853" s="28">
        <f t="shared" si="89"/>
        <v>0</v>
      </c>
      <c r="FH2853" s="29" t="str">
        <f t="shared" si="90"/>
        <v/>
      </c>
      <c r="FJ2853" s="36" t="str">
        <f>IF($FH2853="","",SUM($FN2853:$FN$7000))</f>
        <v/>
      </c>
      <c r="FK2853" s="36" t="str">
        <f>IF($FH2853="","",SUM($FN2853:$FN$7000))</f>
        <v/>
      </c>
    </row>
    <row r="2854" spans="152:167">
      <c r="EV2854" s="28">
        <f t="shared" si="89"/>
        <v>0</v>
      </c>
      <c r="FH2854" s="29" t="str">
        <f t="shared" si="90"/>
        <v/>
      </c>
      <c r="FJ2854" s="36" t="str">
        <f>IF($FH2854="","",SUM($FN2854:$FN$7000))</f>
        <v/>
      </c>
      <c r="FK2854" s="36" t="str">
        <f>IF($FH2854="","",SUM($FN2854:$FN$7000))</f>
        <v/>
      </c>
    </row>
    <row r="2855" spans="152:167">
      <c r="EV2855" s="28">
        <f t="shared" si="89"/>
        <v>0</v>
      </c>
      <c r="FH2855" s="29" t="str">
        <f t="shared" si="90"/>
        <v/>
      </c>
      <c r="FJ2855" s="36" t="str">
        <f>IF($FH2855="","",SUM($FN2855:$FN$7000))</f>
        <v/>
      </c>
      <c r="FK2855" s="36" t="str">
        <f>IF($FH2855="","",SUM($FN2855:$FN$7000))</f>
        <v/>
      </c>
    </row>
    <row r="2856" spans="152:167">
      <c r="EV2856" s="28">
        <f t="shared" si="89"/>
        <v>0</v>
      </c>
      <c r="FH2856" s="29" t="str">
        <f t="shared" si="90"/>
        <v/>
      </c>
      <c r="FJ2856" s="36" t="str">
        <f>IF($FH2856="","",SUM($FN2856:$FN$7000))</f>
        <v/>
      </c>
      <c r="FK2856" s="36" t="str">
        <f>IF($FH2856="","",SUM($FN2856:$FN$7000))</f>
        <v/>
      </c>
    </row>
    <row r="2857" spans="152:167">
      <c r="EV2857" s="28">
        <f t="shared" si="89"/>
        <v>0</v>
      </c>
      <c r="FH2857" s="29" t="str">
        <f t="shared" si="90"/>
        <v/>
      </c>
      <c r="FJ2857" s="36" t="str">
        <f>IF($FH2857="","",SUM($FN2857:$FN$7000))</f>
        <v/>
      </c>
      <c r="FK2857" s="36" t="str">
        <f>IF($FH2857="","",SUM($FN2857:$FN$7000))</f>
        <v/>
      </c>
    </row>
    <row r="2858" spans="152:167">
      <c r="EV2858" s="28">
        <f t="shared" si="89"/>
        <v>0</v>
      </c>
      <c r="FH2858" s="29" t="str">
        <f t="shared" si="90"/>
        <v/>
      </c>
      <c r="FJ2858" s="36" t="str">
        <f>IF($FH2858="","",SUM($FN2858:$FN$7000))</f>
        <v/>
      </c>
      <c r="FK2858" s="36" t="str">
        <f>IF($FH2858="","",SUM($FN2858:$FN$7000))</f>
        <v/>
      </c>
    </row>
    <row r="2859" spans="152:167">
      <c r="EV2859" s="28">
        <f t="shared" si="89"/>
        <v>0</v>
      </c>
      <c r="FH2859" s="29" t="str">
        <f t="shared" si="90"/>
        <v/>
      </c>
      <c r="FJ2859" s="36" t="str">
        <f>IF($FH2859="","",SUM($FN2859:$FN$7000))</f>
        <v/>
      </c>
      <c r="FK2859" s="36" t="str">
        <f>IF($FH2859="","",SUM($FN2859:$FN$7000))</f>
        <v/>
      </c>
    </row>
    <row r="2860" spans="152:167">
      <c r="EV2860" s="28">
        <f t="shared" si="89"/>
        <v>0</v>
      </c>
      <c r="FH2860" s="29" t="str">
        <f t="shared" si="90"/>
        <v/>
      </c>
      <c r="FJ2860" s="36" t="str">
        <f>IF($FH2860="","",SUM($FN2860:$FN$7000))</f>
        <v/>
      </c>
      <c r="FK2860" s="36" t="str">
        <f>IF($FH2860="","",SUM($FN2860:$FN$7000))</f>
        <v/>
      </c>
    </row>
    <row r="2861" spans="152:167">
      <c r="EV2861" s="28">
        <f t="shared" si="89"/>
        <v>0</v>
      </c>
      <c r="FH2861" s="29" t="str">
        <f t="shared" si="90"/>
        <v/>
      </c>
      <c r="FJ2861" s="36" t="str">
        <f>IF($FH2861="","",SUM($FN2861:$FN$7000))</f>
        <v/>
      </c>
      <c r="FK2861" s="36" t="str">
        <f>IF($FH2861="","",SUM($FN2861:$FN$7000))</f>
        <v/>
      </c>
    </row>
    <row r="2862" spans="152:167">
      <c r="EV2862" s="28">
        <f t="shared" si="89"/>
        <v>0</v>
      </c>
      <c r="FH2862" s="29" t="str">
        <f t="shared" si="90"/>
        <v/>
      </c>
      <c r="FJ2862" s="36" t="str">
        <f>IF($FH2862="","",SUM($FN2862:$FN$7000))</f>
        <v/>
      </c>
      <c r="FK2862" s="36" t="str">
        <f>IF($FH2862="","",SUM($FN2862:$FN$7000))</f>
        <v/>
      </c>
    </row>
    <row r="2863" spans="152:167">
      <c r="EV2863" s="28">
        <f t="shared" si="89"/>
        <v>0</v>
      </c>
      <c r="FH2863" s="29" t="str">
        <f t="shared" si="90"/>
        <v/>
      </c>
      <c r="FJ2863" s="36" t="str">
        <f>IF($FH2863="","",SUM($FN2863:$FN$7000))</f>
        <v/>
      </c>
      <c r="FK2863" s="36" t="str">
        <f>IF($FH2863="","",SUM($FN2863:$FN$7000))</f>
        <v/>
      </c>
    </row>
    <row r="2864" spans="152:167">
      <c r="EV2864" s="28">
        <f t="shared" si="89"/>
        <v>0</v>
      </c>
      <c r="FH2864" s="29" t="str">
        <f t="shared" si="90"/>
        <v/>
      </c>
      <c r="FJ2864" s="36" t="str">
        <f>IF($FH2864="","",SUM($FN2864:$FN$7000))</f>
        <v/>
      </c>
      <c r="FK2864" s="36" t="str">
        <f>IF($FH2864="","",SUM($FN2864:$FN$7000))</f>
        <v/>
      </c>
    </row>
    <row r="2865" spans="152:167">
      <c r="EV2865" s="28">
        <f t="shared" si="89"/>
        <v>0</v>
      </c>
      <c r="FH2865" s="29" t="str">
        <f t="shared" si="90"/>
        <v/>
      </c>
      <c r="FJ2865" s="36" t="str">
        <f>IF($FH2865="","",SUM($FN2865:$FN$7000))</f>
        <v/>
      </c>
      <c r="FK2865" s="36" t="str">
        <f>IF($FH2865="","",SUM($FN2865:$FN$7000))</f>
        <v/>
      </c>
    </row>
    <row r="2866" spans="152:167">
      <c r="EV2866" s="28">
        <f t="shared" si="89"/>
        <v>0</v>
      </c>
      <c r="FH2866" s="29" t="str">
        <f t="shared" si="90"/>
        <v/>
      </c>
      <c r="FJ2866" s="36" t="str">
        <f>IF($FH2866="","",SUM($FN2866:$FN$7000))</f>
        <v/>
      </c>
      <c r="FK2866" s="36" t="str">
        <f>IF($FH2866="","",SUM($FN2866:$FN$7000))</f>
        <v/>
      </c>
    </row>
    <row r="2867" spans="152:167">
      <c r="EV2867" s="28">
        <f t="shared" si="89"/>
        <v>0</v>
      </c>
      <c r="FH2867" s="29" t="str">
        <f t="shared" si="90"/>
        <v/>
      </c>
      <c r="FJ2867" s="36" t="str">
        <f>IF($FH2867="","",SUM($FN2867:$FN$7000))</f>
        <v/>
      </c>
      <c r="FK2867" s="36" t="str">
        <f>IF($FH2867="","",SUM($FN2867:$FN$7000))</f>
        <v/>
      </c>
    </row>
    <row r="2868" spans="152:167">
      <c r="EV2868" s="28">
        <f t="shared" si="89"/>
        <v>0</v>
      </c>
      <c r="FH2868" s="29" t="str">
        <f t="shared" si="90"/>
        <v/>
      </c>
      <c r="FJ2868" s="36" t="str">
        <f>IF($FH2868="","",SUM($FN2868:$FN$7000))</f>
        <v/>
      </c>
      <c r="FK2868" s="36" t="str">
        <f>IF($FH2868="","",SUM($FN2868:$FN$7000))</f>
        <v/>
      </c>
    </row>
    <row r="2869" spans="152:167">
      <c r="EV2869" s="28">
        <f t="shared" si="89"/>
        <v>0</v>
      </c>
      <c r="FH2869" s="29" t="str">
        <f t="shared" si="90"/>
        <v/>
      </c>
      <c r="FJ2869" s="36" t="str">
        <f>IF($FH2869="","",SUM($FN2869:$FN$7000))</f>
        <v/>
      </c>
      <c r="FK2869" s="36" t="str">
        <f>IF($FH2869="","",SUM($FN2869:$FN$7000))</f>
        <v/>
      </c>
    </row>
    <row r="2870" spans="152:167">
      <c r="EV2870" s="28">
        <f t="shared" si="89"/>
        <v>0</v>
      </c>
      <c r="FH2870" s="29" t="str">
        <f t="shared" si="90"/>
        <v/>
      </c>
      <c r="FJ2870" s="36" t="str">
        <f>IF($FH2870="","",SUM($FN2870:$FN$7000))</f>
        <v/>
      </c>
      <c r="FK2870" s="36" t="str">
        <f>IF($FH2870="","",SUM($FN2870:$FN$7000))</f>
        <v/>
      </c>
    </row>
    <row r="2871" spans="152:167">
      <c r="EV2871" s="28">
        <f t="shared" si="89"/>
        <v>0</v>
      </c>
      <c r="FH2871" s="29" t="str">
        <f t="shared" si="90"/>
        <v/>
      </c>
      <c r="FJ2871" s="36" t="str">
        <f>IF($FH2871="","",SUM($FN2871:$FN$7000))</f>
        <v/>
      </c>
      <c r="FK2871" s="36" t="str">
        <f>IF($FH2871="","",SUM($FN2871:$FN$7000))</f>
        <v/>
      </c>
    </row>
    <row r="2872" spans="152:167">
      <c r="EV2872" s="28">
        <f t="shared" si="89"/>
        <v>0</v>
      </c>
      <c r="FH2872" s="29" t="str">
        <f t="shared" si="90"/>
        <v/>
      </c>
      <c r="FJ2872" s="36" t="str">
        <f>IF($FH2872="","",SUM($FN2872:$FN$7000))</f>
        <v/>
      </c>
      <c r="FK2872" s="36" t="str">
        <f>IF($FH2872="","",SUM($FN2872:$FN$7000))</f>
        <v/>
      </c>
    </row>
    <row r="2873" spans="152:167">
      <c r="EV2873" s="28">
        <f t="shared" si="89"/>
        <v>0</v>
      </c>
      <c r="FH2873" s="29" t="str">
        <f t="shared" si="90"/>
        <v/>
      </c>
      <c r="FJ2873" s="36" t="str">
        <f>IF($FH2873="","",SUM($FN2873:$FN$7000))</f>
        <v/>
      </c>
      <c r="FK2873" s="36" t="str">
        <f>IF($FH2873="","",SUM($FN2873:$FN$7000))</f>
        <v/>
      </c>
    </row>
    <row r="2874" spans="152:167">
      <c r="EV2874" s="28">
        <f t="shared" si="89"/>
        <v>0</v>
      </c>
      <c r="FH2874" s="29" t="str">
        <f t="shared" si="90"/>
        <v/>
      </c>
      <c r="FJ2874" s="36" t="str">
        <f>IF($FH2874="","",SUM($FN2874:$FN$7000))</f>
        <v/>
      </c>
      <c r="FK2874" s="36" t="str">
        <f>IF($FH2874="","",SUM($FN2874:$FN$7000))</f>
        <v/>
      </c>
    </row>
    <row r="2875" spans="152:167">
      <c r="EV2875" s="28">
        <f t="shared" si="89"/>
        <v>0</v>
      </c>
      <c r="FH2875" s="29" t="str">
        <f t="shared" si="90"/>
        <v/>
      </c>
      <c r="FJ2875" s="36" t="str">
        <f>IF($FH2875="","",SUM($FN2875:$FN$7000))</f>
        <v/>
      </c>
      <c r="FK2875" s="36" t="str">
        <f>IF($FH2875="","",SUM($FN2875:$FN$7000))</f>
        <v/>
      </c>
    </row>
    <row r="2876" spans="152:167">
      <c r="EV2876" s="28">
        <f t="shared" si="89"/>
        <v>0</v>
      </c>
      <c r="FH2876" s="29" t="str">
        <f t="shared" si="90"/>
        <v/>
      </c>
      <c r="FJ2876" s="36" t="str">
        <f>IF($FH2876="","",SUM($FN2876:$FN$7000))</f>
        <v/>
      </c>
      <c r="FK2876" s="36" t="str">
        <f>IF($FH2876="","",SUM($FN2876:$FN$7000))</f>
        <v/>
      </c>
    </row>
    <row r="2877" spans="152:167">
      <c r="EV2877" s="28">
        <f t="shared" si="89"/>
        <v>0</v>
      </c>
      <c r="FH2877" s="29" t="str">
        <f t="shared" si="90"/>
        <v/>
      </c>
      <c r="FJ2877" s="36" t="str">
        <f>IF($FH2877="","",SUM($FN2877:$FN$7000))</f>
        <v/>
      </c>
      <c r="FK2877" s="36" t="str">
        <f>IF($FH2877="","",SUM($FN2877:$FN$7000))</f>
        <v/>
      </c>
    </row>
    <row r="2878" spans="152:167">
      <c r="EV2878" s="28">
        <f t="shared" si="89"/>
        <v>0</v>
      </c>
      <c r="FH2878" s="29" t="str">
        <f t="shared" si="90"/>
        <v/>
      </c>
      <c r="FJ2878" s="36" t="str">
        <f>IF($FH2878="","",SUM($FN2878:$FN$7000))</f>
        <v/>
      </c>
      <c r="FK2878" s="36" t="str">
        <f>IF($FH2878="","",SUM($FN2878:$FN$7000))</f>
        <v/>
      </c>
    </row>
    <row r="2879" spans="152:167">
      <c r="EV2879" s="28">
        <f t="shared" si="89"/>
        <v>0</v>
      </c>
      <c r="FH2879" s="29" t="str">
        <f t="shared" si="90"/>
        <v/>
      </c>
      <c r="FJ2879" s="36" t="str">
        <f>IF($FH2879="","",SUM($FN2879:$FN$7000))</f>
        <v/>
      </c>
      <c r="FK2879" s="36" t="str">
        <f>IF($FH2879="","",SUM($FN2879:$FN$7000))</f>
        <v/>
      </c>
    </row>
    <row r="2880" spans="152:167">
      <c r="EV2880" s="28">
        <f t="shared" si="89"/>
        <v>0</v>
      </c>
      <c r="FH2880" s="29" t="str">
        <f t="shared" si="90"/>
        <v/>
      </c>
      <c r="FJ2880" s="36" t="str">
        <f>IF($FH2880="","",SUM($FN2880:$FN$7000))</f>
        <v/>
      </c>
      <c r="FK2880" s="36" t="str">
        <f>IF($FH2880="","",SUM($FN2880:$FN$7000))</f>
        <v/>
      </c>
    </row>
    <row r="2881" spans="152:167">
      <c r="EV2881" s="28">
        <f t="shared" si="89"/>
        <v>0</v>
      </c>
      <c r="FH2881" s="29" t="str">
        <f t="shared" si="90"/>
        <v/>
      </c>
      <c r="FJ2881" s="36" t="str">
        <f>IF($FH2881="","",SUM($FN2881:$FN$7000))</f>
        <v/>
      </c>
      <c r="FK2881" s="36" t="str">
        <f>IF($FH2881="","",SUM($FN2881:$FN$7000))</f>
        <v/>
      </c>
    </row>
    <row r="2882" spans="152:167">
      <c r="EV2882" s="28">
        <f t="shared" si="89"/>
        <v>0</v>
      </c>
      <c r="FH2882" s="29" t="str">
        <f t="shared" si="90"/>
        <v/>
      </c>
      <c r="FJ2882" s="36" t="str">
        <f>IF($FH2882="","",SUM($FN2882:$FN$7000))</f>
        <v/>
      </c>
      <c r="FK2882" s="36" t="str">
        <f>IF($FH2882="","",SUM($FN2882:$FN$7000))</f>
        <v/>
      </c>
    </row>
    <row r="2883" spans="152:167">
      <c r="EV2883" s="28">
        <f t="shared" si="89"/>
        <v>0</v>
      </c>
      <c r="FH2883" s="29" t="str">
        <f t="shared" si="90"/>
        <v/>
      </c>
      <c r="FJ2883" s="36" t="str">
        <f>IF($FH2883="","",SUM($FN2883:$FN$7000))</f>
        <v/>
      </c>
      <c r="FK2883" s="36" t="str">
        <f>IF($FH2883="","",SUM($FN2883:$FN$7000))</f>
        <v/>
      </c>
    </row>
    <row r="2884" spans="152:167">
      <c r="EV2884" s="28">
        <f t="shared" si="89"/>
        <v>0</v>
      </c>
      <c r="FH2884" s="29" t="str">
        <f t="shared" si="90"/>
        <v/>
      </c>
      <c r="FJ2884" s="36" t="str">
        <f>IF($FH2884="","",SUM($FN2884:$FN$7000))</f>
        <v/>
      </c>
      <c r="FK2884" s="36" t="str">
        <f>IF($FH2884="","",SUM($FN2884:$FN$7000))</f>
        <v/>
      </c>
    </row>
    <row r="2885" spans="152:167">
      <c r="EV2885" s="28">
        <f t="shared" si="89"/>
        <v>0</v>
      </c>
      <c r="FH2885" s="29" t="str">
        <f t="shared" si="90"/>
        <v/>
      </c>
      <c r="FJ2885" s="36" t="str">
        <f>IF($FH2885="","",SUM($FN2885:$FN$7000))</f>
        <v/>
      </c>
      <c r="FK2885" s="36" t="str">
        <f>IF($FH2885="","",SUM($FN2885:$FN$7000))</f>
        <v/>
      </c>
    </row>
    <row r="2886" spans="152:167">
      <c r="EV2886" s="28">
        <f t="shared" si="89"/>
        <v>0</v>
      </c>
      <c r="FH2886" s="29" t="str">
        <f t="shared" si="90"/>
        <v/>
      </c>
      <c r="FJ2886" s="36" t="str">
        <f>IF($FH2886="","",SUM($FN2886:$FN$7000))</f>
        <v/>
      </c>
      <c r="FK2886" s="36" t="str">
        <f>IF($FH2886="","",SUM($FN2886:$FN$7000))</f>
        <v/>
      </c>
    </row>
    <row r="2887" spans="152:167">
      <c r="EV2887" s="28">
        <f t="shared" si="89"/>
        <v>0</v>
      </c>
      <c r="FH2887" s="29" t="str">
        <f t="shared" si="90"/>
        <v/>
      </c>
      <c r="FJ2887" s="36" t="str">
        <f>IF($FH2887="","",SUM($FN2887:$FN$7000))</f>
        <v/>
      </c>
      <c r="FK2887" s="36" t="str">
        <f>IF($FH2887="","",SUM($FN2887:$FN$7000))</f>
        <v/>
      </c>
    </row>
    <row r="2888" spans="152:167">
      <c r="EV2888" s="28">
        <f t="shared" si="89"/>
        <v>0</v>
      </c>
      <c r="FH2888" s="29" t="str">
        <f t="shared" si="90"/>
        <v/>
      </c>
      <c r="FJ2888" s="36" t="str">
        <f>IF($FH2888="","",SUM($FN2888:$FN$7000))</f>
        <v/>
      </c>
      <c r="FK2888" s="36" t="str">
        <f>IF($FH2888="","",SUM($FN2888:$FN$7000))</f>
        <v/>
      </c>
    </row>
    <row r="2889" spans="152:167">
      <c r="EV2889" s="28">
        <f t="shared" si="89"/>
        <v>0</v>
      </c>
      <c r="FH2889" s="29" t="str">
        <f t="shared" si="90"/>
        <v/>
      </c>
      <c r="FJ2889" s="36" t="str">
        <f>IF($FH2889="","",SUM($FN2889:$FN$7000))</f>
        <v/>
      </c>
      <c r="FK2889" s="36" t="str">
        <f>IF($FH2889="","",SUM($FN2889:$FN$7000))</f>
        <v/>
      </c>
    </row>
    <row r="2890" spans="152:167">
      <c r="EV2890" s="28">
        <f t="shared" si="89"/>
        <v>0</v>
      </c>
      <c r="FH2890" s="29" t="str">
        <f t="shared" si="90"/>
        <v/>
      </c>
      <c r="FJ2890" s="36" t="str">
        <f>IF($FH2890="","",SUM($FN2890:$FN$7000))</f>
        <v/>
      </c>
      <c r="FK2890" s="36" t="str">
        <f>IF($FH2890="","",SUM($FN2890:$FN$7000))</f>
        <v/>
      </c>
    </row>
    <row r="2891" spans="152:167">
      <c r="EV2891" s="28">
        <f t="shared" ref="EV2891:EV2954" si="91">EU2891-ET2891</f>
        <v>0</v>
      </c>
      <c r="FH2891" s="29" t="str">
        <f t="shared" ref="FH2891:FH2954" si="92">IF(FL2891="","",FL2891)</f>
        <v/>
      </c>
      <c r="FJ2891" s="36" t="str">
        <f>IF($FH2891="","",SUM($FN2891:$FN$7000))</f>
        <v/>
      </c>
      <c r="FK2891" s="36" t="str">
        <f>IF($FH2891="","",SUM($FN2891:$FN$7000))</f>
        <v/>
      </c>
    </row>
    <row r="2892" spans="152:167">
      <c r="EV2892" s="28">
        <f t="shared" si="91"/>
        <v>0</v>
      </c>
      <c r="FH2892" s="29" t="str">
        <f t="shared" si="92"/>
        <v/>
      </c>
      <c r="FJ2892" s="36" t="str">
        <f>IF($FH2892="","",SUM($FN2892:$FN$7000))</f>
        <v/>
      </c>
      <c r="FK2892" s="36" t="str">
        <f>IF($FH2892="","",SUM($FN2892:$FN$7000))</f>
        <v/>
      </c>
    </row>
    <row r="2893" spans="152:167">
      <c r="EV2893" s="28">
        <f t="shared" si="91"/>
        <v>0</v>
      </c>
      <c r="FH2893" s="29" t="str">
        <f t="shared" si="92"/>
        <v/>
      </c>
      <c r="FJ2893" s="36" t="str">
        <f>IF($FH2893="","",SUM($FN2893:$FN$7000))</f>
        <v/>
      </c>
      <c r="FK2893" s="36" t="str">
        <f>IF($FH2893="","",SUM($FN2893:$FN$7000))</f>
        <v/>
      </c>
    </row>
    <row r="2894" spans="152:167">
      <c r="EV2894" s="28">
        <f t="shared" si="91"/>
        <v>0</v>
      </c>
      <c r="FH2894" s="29" t="str">
        <f t="shared" si="92"/>
        <v/>
      </c>
      <c r="FJ2894" s="36" t="str">
        <f>IF($FH2894="","",SUM($FN2894:$FN$7000))</f>
        <v/>
      </c>
      <c r="FK2894" s="36" t="str">
        <f>IF($FH2894="","",SUM($FN2894:$FN$7000))</f>
        <v/>
      </c>
    </row>
    <row r="2895" spans="152:167">
      <c r="EV2895" s="28">
        <f t="shared" si="91"/>
        <v>0</v>
      </c>
      <c r="FH2895" s="29" t="str">
        <f t="shared" si="92"/>
        <v/>
      </c>
      <c r="FJ2895" s="36" t="str">
        <f>IF($FH2895="","",SUM($FN2895:$FN$7000))</f>
        <v/>
      </c>
      <c r="FK2895" s="36" t="str">
        <f>IF($FH2895="","",SUM($FN2895:$FN$7000))</f>
        <v/>
      </c>
    </row>
    <row r="2896" spans="152:167">
      <c r="EV2896" s="28">
        <f t="shared" si="91"/>
        <v>0</v>
      </c>
      <c r="FH2896" s="29" t="str">
        <f t="shared" si="92"/>
        <v/>
      </c>
      <c r="FJ2896" s="36" t="str">
        <f>IF($FH2896="","",SUM($FN2896:$FN$7000))</f>
        <v/>
      </c>
      <c r="FK2896" s="36" t="str">
        <f>IF($FH2896="","",SUM($FN2896:$FN$7000))</f>
        <v/>
      </c>
    </row>
    <row r="2897" spans="152:167">
      <c r="EV2897" s="28">
        <f t="shared" si="91"/>
        <v>0</v>
      </c>
      <c r="FH2897" s="29" t="str">
        <f t="shared" si="92"/>
        <v/>
      </c>
      <c r="FJ2897" s="36" t="str">
        <f>IF($FH2897="","",SUM($FN2897:$FN$7000))</f>
        <v/>
      </c>
      <c r="FK2897" s="36" t="str">
        <f>IF($FH2897="","",SUM($FN2897:$FN$7000))</f>
        <v/>
      </c>
    </row>
    <row r="2898" spans="152:167">
      <c r="EV2898" s="28">
        <f t="shared" si="91"/>
        <v>0</v>
      </c>
      <c r="FH2898" s="29" t="str">
        <f t="shared" si="92"/>
        <v/>
      </c>
      <c r="FJ2898" s="36" t="str">
        <f>IF($FH2898="","",SUM($FN2898:$FN$7000))</f>
        <v/>
      </c>
      <c r="FK2898" s="36" t="str">
        <f>IF($FH2898="","",SUM($FN2898:$FN$7000))</f>
        <v/>
      </c>
    </row>
    <row r="2899" spans="152:167">
      <c r="EV2899" s="28">
        <f t="shared" si="91"/>
        <v>0</v>
      </c>
      <c r="FH2899" s="29" t="str">
        <f t="shared" si="92"/>
        <v/>
      </c>
      <c r="FJ2899" s="36" t="str">
        <f>IF($FH2899="","",SUM($FN2899:$FN$7000))</f>
        <v/>
      </c>
      <c r="FK2899" s="36" t="str">
        <f>IF($FH2899="","",SUM($FN2899:$FN$7000))</f>
        <v/>
      </c>
    </row>
    <row r="2900" spans="152:167">
      <c r="EV2900" s="28">
        <f t="shared" si="91"/>
        <v>0</v>
      </c>
      <c r="FH2900" s="29" t="str">
        <f t="shared" si="92"/>
        <v/>
      </c>
      <c r="FJ2900" s="36" t="str">
        <f>IF($FH2900="","",SUM($FN2900:$FN$7000))</f>
        <v/>
      </c>
      <c r="FK2900" s="36" t="str">
        <f>IF($FH2900="","",SUM($FN2900:$FN$7000))</f>
        <v/>
      </c>
    </row>
    <row r="2901" spans="152:167">
      <c r="EV2901" s="28">
        <f t="shared" si="91"/>
        <v>0</v>
      </c>
      <c r="FH2901" s="29" t="str">
        <f t="shared" si="92"/>
        <v/>
      </c>
      <c r="FJ2901" s="36" t="str">
        <f>IF($FH2901="","",SUM($FN2901:$FN$7000))</f>
        <v/>
      </c>
      <c r="FK2901" s="36" t="str">
        <f>IF($FH2901="","",SUM($FN2901:$FN$7000))</f>
        <v/>
      </c>
    </row>
    <row r="2902" spans="152:167">
      <c r="EV2902" s="28">
        <f t="shared" si="91"/>
        <v>0</v>
      </c>
      <c r="FH2902" s="29" t="str">
        <f t="shared" si="92"/>
        <v/>
      </c>
      <c r="FJ2902" s="36" t="str">
        <f>IF($FH2902="","",SUM($FN2902:$FN$7000))</f>
        <v/>
      </c>
      <c r="FK2902" s="36" t="str">
        <f>IF($FH2902="","",SUM($FN2902:$FN$7000))</f>
        <v/>
      </c>
    </row>
    <row r="2903" spans="152:167">
      <c r="EV2903" s="28">
        <f t="shared" si="91"/>
        <v>0</v>
      </c>
      <c r="FH2903" s="29" t="str">
        <f t="shared" si="92"/>
        <v/>
      </c>
      <c r="FJ2903" s="36" t="str">
        <f>IF($FH2903="","",SUM($FN2903:$FN$7000))</f>
        <v/>
      </c>
      <c r="FK2903" s="36" t="str">
        <f>IF($FH2903="","",SUM($FN2903:$FN$7000))</f>
        <v/>
      </c>
    </row>
    <row r="2904" spans="152:167">
      <c r="EV2904" s="28">
        <f t="shared" si="91"/>
        <v>0</v>
      </c>
      <c r="FH2904" s="29" t="str">
        <f t="shared" si="92"/>
        <v/>
      </c>
      <c r="FJ2904" s="36" t="str">
        <f>IF($FH2904="","",SUM($FN2904:$FN$7000))</f>
        <v/>
      </c>
      <c r="FK2904" s="36" t="str">
        <f>IF($FH2904="","",SUM($FN2904:$FN$7000))</f>
        <v/>
      </c>
    </row>
    <row r="2905" spans="152:167">
      <c r="EV2905" s="28">
        <f t="shared" si="91"/>
        <v>0</v>
      </c>
      <c r="FH2905" s="29" t="str">
        <f t="shared" si="92"/>
        <v/>
      </c>
      <c r="FJ2905" s="36" t="str">
        <f>IF($FH2905="","",SUM($FN2905:$FN$7000))</f>
        <v/>
      </c>
      <c r="FK2905" s="36" t="str">
        <f>IF($FH2905="","",SUM($FN2905:$FN$7000))</f>
        <v/>
      </c>
    </row>
    <row r="2906" spans="152:167">
      <c r="EV2906" s="28">
        <f t="shared" si="91"/>
        <v>0</v>
      </c>
      <c r="FH2906" s="29" t="str">
        <f t="shared" si="92"/>
        <v/>
      </c>
      <c r="FJ2906" s="36" t="str">
        <f>IF($FH2906="","",SUM($FN2906:$FN$7000))</f>
        <v/>
      </c>
      <c r="FK2906" s="36" t="str">
        <f>IF($FH2906="","",SUM($FN2906:$FN$7000))</f>
        <v/>
      </c>
    </row>
    <row r="2907" spans="152:167">
      <c r="EV2907" s="28">
        <f t="shared" si="91"/>
        <v>0</v>
      </c>
      <c r="FH2907" s="29" t="str">
        <f t="shared" si="92"/>
        <v/>
      </c>
      <c r="FJ2907" s="36" t="str">
        <f>IF($FH2907="","",SUM($FN2907:$FN$7000))</f>
        <v/>
      </c>
      <c r="FK2907" s="36" t="str">
        <f>IF($FH2907="","",SUM($FN2907:$FN$7000))</f>
        <v/>
      </c>
    </row>
    <row r="2908" spans="152:167">
      <c r="EV2908" s="28">
        <f t="shared" si="91"/>
        <v>0</v>
      </c>
      <c r="FH2908" s="29" t="str">
        <f t="shared" si="92"/>
        <v/>
      </c>
      <c r="FJ2908" s="36" t="str">
        <f>IF($FH2908="","",SUM($FN2908:$FN$7000))</f>
        <v/>
      </c>
      <c r="FK2908" s="36" t="str">
        <f>IF($FH2908="","",SUM($FN2908:$FN$7000))</f>
        <v/>
      </c>
    </row>
    <row r="2909" spans="152:167">
      <c r="EV2909" s="28">
        <f t="shared" si="91"/>
        <v>0</v>
      </c>
      <c r="FH2909" s="29" t="str">
        <f t="shared" si="92"/>
        <v/>
      </c>
      <c r="FJ2909" s="36" t="str">
        <f>IF($FH2909="","",SUM($FN2909:$FN$7000))</f>
        <v/>
      </c>
      <c r="FK2909" s="36" t="str">
        <f>IF($FH2909="","",SUM($FN2909:$FN$7000))</f>
        <v/>
      </c>
    </row>
    <row r="2910" spans="152:167">
      <c r="EV2910" s="28">
        <f t="shared" si="91"/>
        <v>0</v>
      </c>
      <c r="FH2910" s="29" t="str">
        <f t="shared" si="92"/>
        <v/>
      </c>
      <c r="FJ2910" s="36" t="str">
        <f>IF($FH2910="","",SUM($FN2910:$FN$7000))</f>
        <v/>
      </c>
      <c r="FK2910" s="36" t="str">
        <f>IF($FH2910="","",SUM($FN2910:$FN$7000))</f>
        <v/>
      </c>
    </row>
    <row r="2911" spans="152:167">
      <c r="EV2911" s="28">
        <f t="shared" si="91"/>
        <v>0</v>
      </c>
      <c r="FH2911" s="29" t="str">
        <f t="shared" si="92"/>
        <v/>
      </c>
      <c r="FJ2911" s="36" t="str">
        <f>IF($FH2911="","",SUM($FN2911:$FN$7000))</f>
        <v/>
      </c>
      <c r="FK2911" s="36" t="str">
        <f>IF($FH2911="","",SUM($FN2911:$FN$7000))</f>
        <v/>
      </c>
    </row>
    <row r="2912" spans="152:167">
      <c r="EV2912" s="28">
        <f t="shared" si="91"/>
        <v>0</v>
      </c>
      <c r="FH2912" s="29" t="str">
        <f t="shared" si="92"/>
        <v/>
      </c>
      <c r="FJ2912" s="36" t="str">
        <f>IF($FH2912="","",SUM($FN2912:$FN$7000))</f>
        <v/>
      </c>
      <c r="FK2912" s="36" t="str">
        <f>IF($FH2912="","",SUM($FN2912:$FN$7000))</f>
        <v/>
      </c>
    </row>
    <row r="2913" spans="152:167">
      <c r="EV2913" s="28">
        <f t="shared" si="91"/>
        <v>0</v>
      </c>
      <c r="FH2913" s="29" t="str">
        <f t="shared" si="92"/>
        <v/>
      </c>
      <c r="FJ2913" s="36" t="str">
        <f>IF($FH2913="","",SUM($FN2913:$FN$7000))</f>
        <v/>
      </c>
      <c r="FK2913" s="36" t="str">
        <f>IF($FH2913="","",SUM($FN2913:$FN$7000))</f>
        <v/>
      </c>
    </row>
    <row r="2914" spans="152:167">
      <c r="EV2914" s="28">
        <f t="shared" si="91"/>
        <v>0</v>
      </c>
      <c r="FH2914" s="29" t="str">
        <f t="shared" si="92"/>
        <v/>
      </c>
      <c r="FJ2914" s="36" t="str">
        <f>IF($FH2914="","",SUM($FN2914:$FN$7000))</f>
        <v/>
      </c>
      <c r="FK2914" s="36" t="str">
        <f>IF($FH2914="","",SUM($FN2914:$FN$7000))</f>
        <v/>
      </c>
    </row>
    <row r="2915" spans="152:167">
      <c r="EV2915" s="28">
        <f t="shared" si="91"/>
        <v>0</v>
      </c>
      <c r="FH2915" s="29" t="str">
        <f t="shared" si="92"/>
        <v/>
      </c>
      <c r="FJ2915" s="36" t="str">
        <f>IF($FH2915="","",SUM($FN2915:$FN$7000))</f>
        <v/>
      </c>
      <c r="FK2915" s="36" t="str">
        <f>IF($FH2915="","",SUM($FN2915:$FN$7000))</f>
        <v/>
      </c>
    </row>
    <row r="2916" spans="152:167">
      <c r="EV2916" s="28">
        <f t="shared" si="91"/>
        <v>0</v>
      </c>
      <c r="FH2916" s="29" t="str">
        <f t="shared" si="92"/>
        <v/>
      </c>
      <c r="FJ2916" s="36" t="str">
        <f>IF($FH2916="","",SUM($FN2916:$FN$7000))</f>
        <v/>
      </c>
      <c r="FK2916" s="36" t="str">
        <f>IF($FH2916="","",SUM($FN2916:$FN$7000))</f>
        <v/>
      </c>
    </row>
    <row r="2917" spans="152:167">
      <c r="EV2917" s="28">
        <f t="shared" si="91"/>
        <v>0</v>
      </c>
      <c r="FH2917" s="29" t="str">
        <f t="shared" si="92"/>
        <v/>
      </c>
      <c r="FJ2917" s="36" t="str">
        <f>IF($FH2917="","",SUM($FN2917:$FN$7000))</f>
        <v/>
      </c>
      <c r="FK2917" s="36" t="str">
        <f>IF($FH2917="","",SUM($FN2917:$FN$7000))</f>
        <v/>
      </c>
    </row>
    <row r="2918" spans="152:167">
      <c r="EV2918" s="28">
        <f t="shared" si="91"/>
        <v>0</v>
      </c>
      <c r="FH2918" s="29" t="str">
        <f t="shared" si="92"/>
        <v/>
      </c>
      <c r="FJ2918" s="36" t="str">
        <f>IF($FH2918="","",SUM($FN2918:$FN$7000))</f>
        <v/>
      </c>
      <c r="FK2918" s="36" t="str">
        <f>IF($FH2918="","",SUM($FN2918:$FN$7000))</f>
        <v/>
      </c>
    </row>
    <row r="2919" spans="152:167">
      <c r="EV2919" s="28">
        <f t="shared" si="91"/>
        <v>0</v>
      </c>
      <c r="FH2919" s="29" t="str">
        <f t="shared" si="92"/>
        <v/>
      </c>
      <c r="FJ2919" s="36" t="str">
        <f>IF($FH2919="","",SUM($FN2919:$FN$7000))</f>
        <v/>
      </c>
      <c r="FK2919" s="36" t="str">
        <f>IF($FH2919="","",SUM($FN2919:$FN$7000))</f>
        <v/>
      </c>
    </row>
    <row r="2920" spans="152:167">
      <c r="EV2920" s="28">
        <f t="shared" si="91"/>
        <v>0</v>
      </c>
      <c r="FH2920" s="29" t="str">
        <f t="shared" si="92"/>
        <v/>
      </c>
      <c r="FJ2920" s="36" t="str">
        <f>IF($FH2920="","",SUM($FN2920:$FN$7000))</f>
        <v/>
      </c>
      <c r="FK2920" s="36" t="str">
        <f>IF($FH2920="","",SUM($FN2920:$FN$7000))</f>
        <v/>
      </c>
    </row>
    <row r="2921" spans="152:167">
      <c r="EV2921" s="28">
        <f t="shared" si="91"/>
        <v>0</v>
      </c>
      <c r="FH2921" s="29" t="str">
        <f t="shared" si="92"/>
        <v/>
      </c>
      <c r="FJ2921" s="36" t="str">
        <f>IF($FH2921="","",SUM($FN2921:$FN$7000))</f>
        <v/>
      </c>
      <c r="FK2921" s="36" t="str">
        <f>IF($FH2921="","",SUM($FN2921:$FN$7000))</f>
        <v/>
      </c>
    </row>
    <row r="2922" spans="152:167">
      <c r="EV2922" s="28">
        <f t="shared" si="91"/>
        <v>0</v>
      </c>
      <c r="FH2922" s="29" t="str">
        <f t="shared" si="92"/>
        <v/>
      </c>
      <c r="FJ2922" s="36" t="str">
        <f>IF($FH2922="","",SUM($FN2922:$FN$7000))</f>
        <v/>
      </c>
      <c r="FK2922" s="36" t="str">
        <f>IF($FH2922="","",SUM($FN2922:$FN$7000))</f>
        <v/>
      </c>
    </row>
    <row r="2923" spans="152:167">
      <c r="EV2923" s="28">
        <f t="shared" si="91"/>
        <v>0</v>
      </c>
      <c r="FH2923" s="29" t="str">
        <f t="shared" si="92"/>
        <v/>
      </c>
      <c r="FJ2923" s="36" t="str">
        <f>IF($FH2923="","",SUM($FN2923:$FN$7000))</f>
        <v/>
      </c>
      <c r="FK2923" s="36" t="str">
        <f>IF($FH2923="","",SUM($FN2923:$FN$7000))</f>
        <v/>
      </c>
    </row>
    <row r="2924" spans="152:167">
      <c r="EV2924" s="28">
        <f t="shared" si="91"/>
        <v>0</v>
      </c>
      <c r="FH2924" s="29" t="str">
        <f t="shared" si="92"/>
        <v/>
      </c>
      <c r="FJ2924" s="36" t="str">
        <f>IF($FH2924="","",SUM($FN2924:$FN$7000))</f>
        <v/>
      </c>
      <c r="FK2924" s="36" t="str">
        <f>IF($FH2924="","",SUM($FN2924:$FN$7000))</f>
        <v/>
      </c>
    </row>
    <row r="2925" spans="152:167">
      <c r="EV2925" s="28">
        <f t="shared" si="91"/>
        <v>0</v>
      </c>
      <c r="FH2925" s="29" t="str">
        <f t="shared" si="92"/>
        <v/>
      </c>
      <c r="FJ2925" s="36" t="str">
        <f>IF($FH2925="","",SUM($FN2925:$FN$7000))</f>
        <v/>
      </c>
      <c r="FK2925" s="36" t="str">
        <f>IF($FH2925="","",SUM($FN2925:$FN$7000))</f>
        <v/>
      </c>
    </row>
    <row r="2926" spans="152:167">
      <c r="EV2926" s="28">
        <f t="shared" si="91"/>
        <v>0</v>
      </c>
      <c r="FH2926" s="29" t="str">
        <f t="shared" si="92"/>
        <v/>
      </c>
      <c r="FJ2926" s="36" t="str">
        <f>IF($FH2926="","",SUM($FN2926:$FN$7000))</f>
        <v/>
      </c>
      <c r="FK2926" s="36" t="str">
        <f>IF($FH2926="","",SUM($FN2926:$FN$7000))</f>
        <v/>
      </c>
    </row>
    <row r="2927" spans="152:167">
      <c r="EV2927" s="28">
        <f t="shared" si="91"/>
        <v>0</v>
      </c>
      <c r="FH2927" s="29" t="str">
        <f t="shared" si="92"/>
        <v/>
      </c>
      <c r="FJ2927" s="36" t="str">
        <f>IF($FH2927="","",SUM($FN2927:$FN$7000))</f>
        <v/>
      </c>
      <c r="FK2927" s="36" t="str">
        <f>IF($FH2927="","",SUM($FN2927:$FN$7000))</f>
        <v/>
      </c>
    </row>
    <row r="2928" spans="152:167">
      <c r="EV2928" s="28">
        <f t="shared" si="91"/>
        <v>0</v>
      </c>
      <c r="FH2928" s="29" t="str">
        <f t="shared" si="92"/>
        <v/>
      </c>
      <c r="FJ2928" s="36" t="str">
        <f>IF($FH2928="","",SUM($FN2928:$FN$7000))</f>
        <v/>
      </c>
      <c r="FK2928" s="36" t="str">
        <f>IF($FH2928="","",SUM($FN2928:$FN$7000))</f>
        <v/>
      </c>
    </row>
    <row r="2929" spans="152:167">
      <c r="EV2929" s="28">
        <f t="shared" si="91"/>
        <v>0</v>
      </c>
      <c r="FH2929" s="29" t="str">
        <f t="shared" si="92"/>
        <v/>
      </c>
      <c r="FJ2929" s="36" t="str">
        <f>IF($FH2929="","",SUM($FN2929:$FN$7000))</f>
        <v/>
      </c>
      <c r="FK2929" s="36" t="str">
        <f>IF($FH2929="","",SUM($FN2929:$FN$7000))</f>
        <v/>
      </c>
    </row>
    <row r="2930" spans="152:167">
      <c r="EV2930" s="28">
        <f t="shared" si="91"/>
        <v>0</v>
      </c>
      <c r="FH2930" s="29" t="str">
        <f t="shared" si="92"/>
        <v/>
      </c>
      <c r="FJ2930" s="36" t="str">
        <f>IF($FH2930="","",SUM($FN2930:$FN$7000))</f>
        <v/>
      </c>
      <c r="FK2930" s="36" t="str">
        <f>IF($FH2930="","",SUM($FN2930:$FN$7000))</f>
        <v/>
      </c>
    </row>
    <row r="2931" spans="152:167">
      <c r="EV2931" s="28">
        <f t="shared" si="91"/>
        <v>0</v>
      </c>
      <c r="FH2931" s="29" t="str">
        <f t="shared" si="92"/>
        <v/>
      </c>
      <c r="FJ2931" s="36" t="str">
        <f>IF($FH2931="","",SUM($FN2931:$FN$7000))</f>
        <v/>
      </c>
      <c r="FK2931" s="36" t="str">
        <f>IF($FH2931="","",SUM($FN2931:$FN$7000))</f>
        <v/>
      </c>
    </row>
    <row r="2932" spans="152:167">
      <c r="EV2932" s="28">
        <f t="shared" si="91"/>
        <v>0</v>
      </c>
      <c r="FH2932" s="29" t="str">
        <f t="shared" si="92"/>
        <v/>
      </c>
      <c r="FJ2932" s="36" t="str">
        <f>IF($FH2932="","",SUM($FN2932:$FN$7000))</f>
        <v/>
      </c>
      <c r="FK2932" s="36" t="str">
        <f>IF($FH2932="","",SUM($FN2932:$FN$7000))</f>
        <v/>
      </c>
    </row>
    <row r="2933" spans="152:167">
      <c r="EV2933" s="28">
        <f t="shared" si="91"/>
        <v>0</v>
      </c>
      <c r="FH2933" s="29" t="str">
        <f t="shared" si="92"/>
        <v/>
      </c>
      <c r="FJ2933" s="36" t="str">
        <f>IF($FH2933="","",SUM($FN2933:$FN$7000))</f>
        <v/>
      </c>
      <c r="FK2933" s="36" t="str">
        <f>IF($FH2933="","",SUM($FN2933:$FN$7000))</f>
        <v/>
      </c>
    </row>
    <row r="2934" spans="152:167">
      <c r="EV2934" s="28">
        <f t="shared" si="91"/>
        <v>0</v>
      </c>
      <c r="FH2934" s="29" t="str">
        <f t="shared" si="92"/>
        <v/>
      </c>
      <c r="FJ2934" s="36" t="str">
        <f>IF($FH2934="","",SUM($FN2934:$FN$7000))</f>
        <v/>
      </c>
      <c r="FK2934" s="36" t="str">
        <f>IF($FH2934="","",SUM($FN2934:$FN$7000))</f>
        <v/>
      </c>
    </row>
    <row r="2935" spans="152:167">
      <c r="EV2935" s="28">
        <f t="shared" si="91"/>
        <v>0</v>
      </c>
      <c r="FH2935" s="29" t="str">
        <f t="shared" si="92"/>
        <v/>
      </c>
      <c r="FJ2935" s="36" t="str">
        <f>IF($FH2935="","",SUM($FN2935:$FN$7000))</f>
        <v/>
      </c>
      <c r="FK2935" s="36" t="str">
        <f>IF($FH2935="","",SUM($FN2935:$FN$7000))</f>
        <v/>
      </c>
    </row>
    <row r="2936" spans="152:167">
      <c r="EV2936" s="28">
        <f t="shared" si="91"/>
        <v>0</v>
      </c>
      <c r="FH2936" s="29" t="str">
        <f t="shared" si="92"/>
        <v/>
      </c>
      <c r="FJ2936" s="36" t="str">
        <f>IF($FH2936="","",SUM($FN2936:$FN$7000))</f>
        <v/>
      </c>
      <c r="FK2936" s="36" t="str">
        <f>IF($FH2936="","",SUM($FN2936:$FN$7000))</f>
        <v/>
      </c>
    </row>
    <row r="2937" spans="152:167">
      <c r="EV2937" s="28">
        <f t="shared" si="91"/>
        <v>0</v>
      </c>
      <c r="FH2937" s="29" t="str">
        <f t="shared" si="92"/>
        <v/>
      </c>
      <c r="FJ2937" s="36" t="str">
        <f>IF($FH2937="","",SUM($FN2937:$FN$7000))</f>
        <v/>
      </c>
      <c r="FK2937" s="36" t="str">
        <f>IF($FH2937="","",SUM($FN2937:$FN$7000))</f>
        <v/>
      </c>
    </row>
    <row r="2938" spans="152:167">
      <c r="EV2938" s="28">
        <f t="shared" si="91"/>
        <v>0</v>
      </c>
      <c r="FH2938" s="29" t="str">
        <f t="shared" si="92"/>
        <v/>
      </c>
      <c r="FJ2938" s="36" t="str">
        <f>IF($FH2938="","",SUM($FN2938:$FN$7000))</f>
        <v/>
      </c>
      <c r="FK2938" s="36" t="str">
        <f>IF($FH2938="","",SUM($FN2938:$FN$7000))</f>
        <v/>
      </c>
    </row>
    <row r="2939" spans="152:167">
      <c r="EV2939" s="28">
        <f t="shared" si="91"/>
        <v>0</v>
      </c>
      <c r="FH2939" s="29" t="str">
        <f t="shared" si="92"/>
        <v/>
      </c>
      <c r="FJ2939" s="36" t="str">
        <f>IF($FH2939="","",SUM($FN2939:$FN$7000))</f>
        <v/>
      </c>
      <c r="FK2939" s="36" t="str">
        <f>IF($FH2939="","",SUM($FN2939:$FN$7000))</f>
        <v/>
      </c>
    </row>
    <row r="2940" spans="152:167">
      <c r="EV2940" s="28">
        <f t="shared" si="91"/>
        <v>0</v>
      </c>
      <c r="FH2940" s="29" t="str">
        <f t="shared" si="92"/>
        <v/>
      </c>
      <c r="FJ2940" s="36" t="str">
        <f>IF($FH2940="","",SUM($FN2940:$FN$7000))</f>
        <v/>
      </c>
      <c r="FK2940" s="36" t="str">
        <f>IF($FH2940="","",SUM($FN2940:$FN$7000))</f>
        <v/>
      </c>
    </row>
    <row r="2941" spans="152:167">
      <c r="EV2941" s="28">
        <f t="shared" si="91"/>
        <v>0</v>
      </c>
      <c r="FH2941" s="29" t="str">
        <f t="shared" si="92"/>
        <v/>
      </c>
      <c r="FJ2941" s="36" t="str">
        <f>IF($FH2941="","",SUM($FN2941:$FN$7000))</f>
        <v/>
      </c>
      <c r="FK2941" s="36" t="str">
        <f>IF($FH2941="","",SUM($FN2941:$FN$7000))</f>
        <v/>
      </c>
    </row>
    <row r="2942" spans="152:167">
      <c r="EV2942" s="28">
        <f t="shared" si="91"/>
        <v>0</v>
      </c>
      <c r="FH2942" s="29" t="str">
        <f t="shared" si="92"/>
        <v/>
      </c>
      <c r="FJ2942" s="36" t="str">
        <f>IF($FH2942="","",SUM($FN2942:$FN$7000))</f>
        <v/>
      </c>
      <c r="FK2942" s="36" t="str">
        <f>IF($FH2942="","",SUM($FN2942:$FN$7000))</f>
        <v/>
      </c>
    </row>
    <row r="2943" spans="152:167">
      <c r="EV2943" s="28">
        <f t="shared" si="91"/>
        <v>0</v>
      </c>
      <c r="FH2943" s="29" t="str">
        <f t="shared" si="92"/>
        <v/>
      </c>
      <c r="FJ2943" s="36" t="str">
        <f>IF($FH2943="","",SUM($FN2943:$FN$7000))</f>
        <v/>
      </c>
      <c r="FK2943" s="36" t="str">
        <f>IF($FH2943="","",SUM($FN2943:$FN$7000))</f>
        <v/>
      </c>
    </row>
    <row r="2944" spans="152:167">
      <c r="EV2944" s="28">
        <f t="shared" si="91"/>
        <v>0</v>
      </c>
      <c r="FH2944" s="29" t="str">
        <f t="shared" si="92"/>
        <v/>
      </c>
      <c r="FJ2944" s="36" t="str">
        <f>IF($FH2944="","",SUM($FN2944:$FN$7000))</f>
        <v/>
      </c>
      <c r="FK2944" s="36" t="str">
        <f>IF($FH2944="","",SUM($FN2944:$FN$7000))</f>
        <v/>
      </c>
    </row>
    <row r="2945" spans="152:167">
      <c r="EV2945" s="28">
        <f t="shared" si="91"/>
        <v>0</v>
      </c>
      <c r="FH2945" s="29" t="str">
        <f t="shared" si="92"/>
        <v/>
      </c>
      <c r="FJ2945" s="36" t="str">
        <f>IF($FH2945="","",SUM($FN2945:$FN$7000))</f>
        <v/>
      </c>
      <c r="FK2945" s="36" t="str">
        <f>IF($FH2945="","",SUM($FN2945:$FN$7000))</f>
        <v/>
      </c>
    </row>
    <row r="2946" spans="152:167">
      <c r="EV2946" s="28">
        <f t="shared" si="91"/>
        <v>0</v>
      </c>
      <c r="FH2946" s="29" t="str">
        <f t="shared" si="92"/>
        <v/>
      </c>
      <c r="FJ2946" s="36" t="str">
        <f>IF($FH2946="","",SUM($FN2946:$FN$7000))</f>
        <v/>
      </c>
      <c r="FK2946" s="36" t="str">
        <f>IF($FH2946="","",SUM($FN2946:$FN$7000))</f>
        <v/>
      </c>
    </row>
    <row r="2947" spans="152:167">
      <c r="EV2947" s="28">
        <f t="shared" si="91"/>
        <v>0</v>
      </c>
      <c r="FH2947" s="29" t="str">
        <f t="shared" si="92"/>
        <v/>
      </c>
      <c r="FJ2947" s="36" t="str">
        <f>IF($FH2947="","",SUM($FN2947:$FN$7000))</f>
        <v/>
      </c>
      <c r="FK2947" s="36" t="str">
        <f>IF($FH2947="","",SUM($FN2947:$FN$7000))</f>
        <v/>
      </c>
    </row>
    <row r="2948" spans="152:167">
      <c r="EV2948" s="28">
        <f t="shared" si="91"/>
        <v>0</v>
      </c>
      <c r="FH2948" s="29" t="str">
        <f t="shared" si="92"/>
        <v/>
      </c>
      <c r="FJ2948" s="36" t="str">
        <f>IF($FH2948="","",SUM($FN2948:$FN$7000))</f>
        <v/>
      </c>
      <c r="FK2948" s="36" t="str">
        <f>IF($FH2948="","",SUM($FN2948:$FN$7000))</f>
        <v/>
      </c>
    </row>
    <row r="2949" spans="152:167">
      <c r="EV2949" s="28">
        <f t="shared" si="91"/>
        <v>0</v>
      </c>
      <c r="FH2949" s="29" t="str">
        <f t="shared" si="92"/>
        <v/>
      </c>
      <c r="FJ2949" s="36" t="str">
        <f>IF($FH2949="","",SUM($FN2949:$FN$7000))</f>
        <v/>
      </c>
      <c r="FK2949" s="36" t="str">
        <f>IF($FH2949="","",SUM($FN2949:$FN$7000))</f>
        <v/>
      </c>
    </row>
    <row r="2950" spans="152:167">
      <c r="EV2950" s="28">
        <f t="shared" si="91"/>
        <v>0</v>
      </c>
      <c r="FH2950" s="29" t="str">
        <f t="shared" si="92"/>
        <v/>
      </c>
      <c r="FJ2950" s="36" t="str">
        <f>IF($FH2950="","",SUM($FN2950:$FN$7000))</f>
        <v/>
      </c>
      <c r="FK2950" s="36" t="str">
        <f>IF($FH2950="","",SUM($FN2950:$FN$7000))</f>
        <v/>
      </c>
    </row>
    <row r="2951" spans="152:167">
      <c r="EV2951" s="28">
        <f t="shared" si="91"/>
        <v>0</v>
      </c>
      <c r="FH2951" s="29" t="str">
        <f t="shared" si="92"/>
        <v/>
      </c>
      <c r="FJ2951" s="36" t="str">
        <f>IF($FH2951="","",SUM($FN2951:$FN$7000))</f>
        <v/>
      </c>
      <c r="FK2951" s="36" t="str">
        <f>IF($FH2951="","",SUM($FN2951:$FN$7000))</f>
        <v/>
      </c>
    </row>
    <row r="2952" spans="152:167">
      <c r="EV2952" s="28">
        <f t="shared" si="91"/>
        <v>0</v>
      </c>
      <c r="FH2952" s="29" t="str">
        <f t="shared" si="92"/>
        <v/>
      </c>
      <c r="FJ2952" s="36" t="str">
        <f>IF($FH2952="","",SUM($FN2952:$FN$7000))</f>
        <v/>
      </c>
      <c r="FK2952" s="36" t="str">
        <f>IF($FH2952="","",SUM($FN2952:$FN$7000))</f>
        <v/>
      </c>
    </row>
    <row r="2953" spans="152:167">
      <c r="EV2953" s="28">
        <f t="shared" si="91"/>
        <v>0</v>
      </c>
      <c r="FH2953" s="29" t="str">
        <f t="shared" si="92"/>
        <v/>
      </c>
      <c r="FJ2953" s="36" t="str">
        <f>IF($FH2953="","",SUM($FN2953:$FN$7000))</f>
        <v/>
      </c>
      <c r="FK2953" s="36" t="str">
        <f>IF($FH2953="","",SUM($FN2953:$FN$7000))</f>
        <v/>
      </c>
    </row>
    <row r="2954" spans="152:167">
      <c r="EV2954" s="28">
        <f t="shared" si="91"/>
        <v>0</v>
      </c>
      <c r="FH2954" s="29" t="str">
        <f t="shared" si="92"/>
        <v/>
      </c>
      <c r="FJ2954" s="36" t="str">
        <f>IF($FH2954="","",SUM($FN2954:$FN$7000))</f>
        <v/>
      </c>
      <c r="FK2954" s="36" t="str">
        <f>IF($FH2954="","",SUM($FN2954:$FN$7000))</f>
        <v/>
      </c>
    </row>
    <row r="2955" spans="152:167">
      <c r="EV2955" s="28">
        <f t="shared" ref="EV2955:EV3018" si="93">EU2955-ET2955</f>
        <v>0</v>
      </c>
      <c r="FH2955" s="29" t="str">
        <f t="shared" ref="FH2955:FH3018" si="94">IF(FL2955="","",FL2955)</f>
        <v/>
      </c>
      <c r="FJ2955" s="36" t="str">
        <f>IF($FH2955="","",SUM($FN2955:$FN$7000))</f>
        <v/>
      </c>
      <c r="FK2955" s="36" t="str">
        <f>IF($FH2955="","",SUM($FN2955:$FN$7000))</f>
        <v/>
      </c>
    </row>
    <row r="2956" spans="152:167">
      <c r="EV2956" s="28">
        <f t="shared" si="93"/>
        <v>0</v>
      </c>
      <c r="FH2956" s="29" t="str">
        <f t="shared" si="94"/>
        <v/>
      </c>
      <c r="FJ2956" s="36" t="str">
        <f>IF($FH2956="","",SUM($FN2956:$FN$7000))</f>
        <v/>
      </c>
      <c r="FK2956" s="36" t="str">
        <f>IF($FH2956="","",SUM($FN2956:$FN$7000))</f>
        <v/>
      </c>
    </row>
    <row r="2957" spans="152:167">
      <c r="EV2957" s="28">
        <f t="shared" si="93"/>
        <v>0</v>
      </c>
      <c r="FH2957" s="29" t="str">
        <f t="shared" si="94"/>
        <v/>
      </c>
      <c r="FJ2957" s="36" t="str">
        <f>IF($FH2957="","",SUM($FN2957:$FN$7000))</f>
        <v/>
      </c>
      <c r="FK2957" s="36" t="str">
        <f>IF($FH2957="","",SUM($FN2957:$FN$7000))</f>
        <v/>
      </c>
    </row>
    <row r="2958" spans="152:167">
      <c r="EV2958" s="28">
        <f t="shared" si="93"/>
        <v>0</v>
      </c>
      <c r="FH2958" s="29" t="str">
        <f t="shared" si="94"/>
        <v/>
      </c>
      <c r="FJ2958" s="36" t="str">
        <f>IF($FH2958="","",SUM($FN2958:$FN$7000))</f>
        <v/>
      </c>
      <c r="FK2958" s="36" t="str">
        <f>IF($FH2958="","",SUM($FN2958:$FN$7000))</f>
        <v/>
      </c>
    </row>
    <row r="2959" spans="152:167">
      <c r="EV2959" s="28">
        <f t="shared" si="93"/>
        <v>0</v>
      </c>
      <c r="FH2959" s="29" t="str">
        <f t="shared" si="94"/>
        <v/>
      </c>
      <c r="FJ2959" s="36" t="str">
        <f>IF($FH2959="","",SUM($FN2959:$FN$7000))</f>
        <v/>
      </c>
      <c r="FK2959" s="36" t="str">
        <f>IF($FH2959="","",SUM($FN2959:$FN$7000))</f>
        <v/>
      </c>
    </row>
    <row r="2960" spans="152:167">
      <c r="EV2960" s="28">
        <f t="shared" si="93"/>
        <v>0</v>
      </c>
      <c r="FH2960" s="29" t="str">
        <f t="shared" si="94"/>
        <v/>
      </c>
      <c r="FJ2960" s="36" t="str">
        <f>IF($FH2960="","",SUM($FN2960:$FN$7000))</f>
        <v/>
      </c>
      <c r="FK2960" s="36" t="str">
        <f>IF($FH2960="","",SUM($FN2960:$FN$7000))</f>
        <v/>
      </c>
    </row>
    <row r="2961" spans="152:167">
      <c r="EV2961" s="28">
        <f t="shared" si="93"/>
        <v>0</v>
      </c>
      <c r="FH2961" s="29" t="str">
        <f t="shared" si="94"/>
        <v/>
      </c>
      <c r="FJ2961" s="36" t="str">
        <f>IF($FH2961="","",SUM($FN2961:$FN$7000))</f>
        <v/>
      </c>
      <c r="FK2961" s="36" t="str">
        <f>IF($FH2961="","",SUM($FN2961:$FN$7000))</f>
        <v/>
      </c>
    </row>
    <row r="2962" spans="152:167">
      <c r="EV2962" s="28">
        <f t="shared" si="93"/>
        <v>0</v>
      </c>
      <c r="FH2962" s="29" t="str">
        <f t="shared" si="94"/>
        <v/>
      </c>
      <c r="FJ2962" s="36" t="str">
        <f>IF($FH2962="","",SUM($FN2962:$FN$7000))</f>
        <v/>
      </c>
      <c r="FK2962" s="36" t="str">
        <f>IF($FH2962="","",SUM($FN2962:$FN$7000))</f>
        <v/>
      </c>
    </row>
    <row r="2963" spans="152:167">
      <c r="EV2963" s="28">
        <f t="shared" si="93"/>
        <v>0</v>
      </c>
      <c r="FH2963" s="29" t="str">
        <f t="shared" si="94"/>
        <v/>
      </c>
      <c r="FJ2963" s="36" t="str">
        <f>IF($FH2963="","",SUM($FN2963:$FN$7000))</f>
        <v/>
      </c>
      <c r="FK2963" s="36" t="str">
        <f>IF($FH2963="","",SUM($FN2963:$FN$7000))</f>
        <v/>
      </c>
    </row>
    <row r="2964" spans="152:167">
      <c r="EV2964" s="28">
        <f t="shared" si="93"/>
        <v>0</v>
      </c>
      <c r="FH2964" s="29" t="str">
        <f t="shared" si="94"/>
        <v/>
      </c>
      <c r="FJ2964" s="36" t="str">
        <f>IF($FH2964="","",SUM($FN2964:$FN$7000))</f>
        <v/>
      </c>
      <c r="FK2964" s="36" t="str">
        <f>IF($FH2964="","",SUM($FN2964:$FN$7000))</f>
        <v/>
      </c>
    </row>
    <row r="2965" spans="152:167">
      <c r="EV2965" s="28">
        <f t="shared" si="93"/>
        <v>0</v>
      </c>
      <c r="FH2965" s="29" t="str">
        <f t="shared" si="94"/>
        <v/>
      </c>
      <c r="FJ2965" s="36" t="str">
        <f>IF($FH2965="","",SUM($FN2965:$FN$7000))</f>
        <v/>
      </c>
      <c r="FK2965" s="36" t="str">
        <f>IF($FH2965="","",SUM($FN2965:$FN$7000))</f>
        <v/>
      </c>
    </row>
    <row r="2966" spans="152:167">
      <c r="EV2966" s="28">
        <f t="shared" si="93"/>
        <v>0</v>
      </c>
      <c r="FH2966" s="29" t="str">
        <f t="shared" si="94"/>
        <v/>
      </c>
      <c r="FJ2966" s="36" t="str">
        <f>IF($FH2966="","",SUM($FN2966:$FN$7000))</f>
        <v/>
      </c>
      <c r="FK2966" s="36" t="str">
        <f>IF($FH2966="","",SUM($FN2966:$FN$7000))</f>
        <v/>
      </c>
    </row>
    <row r="2967" spans="152:167">
      <c r="EV2967" s="28">
        <f t="shared" si="93"/>
        <v>0</v>
      </c>
      <c r="FH2967" s="29" t="str">
        <f t="shared" si="94"/>
        <v/>
      </c>
      <c r="FJ2967" s="36" t="str">
        <f>IF($FH2967="","",SUM($FN2967:$FN$7000))</f>
        <v/>
      </c>
      <c r="FK2967" s="36" t="str">
        <f>IF($FH2967="","",SUM($FN2967:$FN$7000))</f>
        <v/>
      </c>
    </row>
    <row r="2968" spans="152:167">
      <c r="EV2968" s="28">
        <f t="shared" si="93"/>
        <v>0</v>
      </c>
      <c r="FH2968" s="29" t="str">
        <f t="shared" si="94"/>
        <v/>
      </c>
      <c r="FJ2968" s="36" t="str">
        <f>IF($FH2968="","",SUM($FN2968:$FN$7000))</f>
        <v/>
      </c>
      <c r="FK2968" s="36" t="str">
        <f>IF($FH2968="","",SUM($FN2968:$FN$7000))</f>
        <v/>
      </c>
    </row>
    <row r="2969" spans="152:167">
      <c r="EV2969" s="28">
        <f t="shared" si="93"/>
        <v>0</v>
      </c>
      <c r="FH2969" s="29" t="str">
        <f t="shared" si="94"/>
        <v/>
      </c>
      <c r="FJ2969" s="36" t="str">
        <f>IF($FH2969="","",SUM($FN2969:$FN$7000))</f>
        <v/>
      </c>
      <c r="FK2969" s="36" t="str">
        <f>IF($FH2969="","",SUM($FN2969:$FN$7000))</f>
        <v/>
      </c>
    </row>
    <row r="2970" spans="152:167">
      <c r="EV2970" s="28">
        <f t="shared" si="93"/>
        <v>0</v>
      </c>
      <c r="FH2970" s="29" t="str">
        <f t="shared" si="94"/>
        <v/>
      </c>
      <c r="FJ2970" s="36" t="str">
        <f>IF($FH2970="","",SUM($FN2970:$FN$7000))</f>
        <v/>
      </c>
      <c r="FK2970" s="36" t="str">
        <f>IF($FH2970="","",SUM($FN2970:$FN$7000))</f>
        <v/>
      </c>
    </row>
    <row r="2971" spans="152:167">
      <c r="EV2971" s="28">
        <f t="shared" si="93"/>
        <v>0</v>
      </c>
      <c r="FH2971" s="29" t="str">
        <f t="shared" si="94"/>
        <v/>
      </c>
      <c r="FJ2971" s="36" t="str">
        <f>IF($FH2971="","",SUM($FN2971:$FN$7000))</f>
        <v/>
      </c>
      <c r="FK2971" s="36" t="str">
        <f>IF($FH2971="","",SUM($FN2971:$FN$7000))</f>
        <v/>
      </c>
    </row>
    <row r="2972" spans="152:167">
      <c r="EV2972" s="28">
        <f t="shared" si="93"/>
        <v>0</v>
      </c>
      <c r="FH2972" s="29" t="str">
        <f t="shared" si="94"/>
        <v/>
      </c>
      <c r="FJ2972" s="36" t="str">
        <f>IF($FH2972="","",SUM($FN2972:$FN$7000))</f>
        <v/>
      </c>
      <c r="FK2972" s="36" t="str">
        <f>IF($FH2972="","",SUM($FN2972:$FN$7000))</f>
        <v/>
      </c>
    </row>
    <row r="2973" spans="152:167">
      <c r="EV2973" s="28">
        <f t="shared" si="93"/>
        <v>0</v>
      </c>
      <c r="FH2973" s="29" t="str">
        <f t="shared" si="94"/>
        <v/>
      </c>
      <c r="FJ2973" s="36" t="str">
        <f>IF($FH2973="","",SUM($FN2973:$FN$7000))</f>
        <v/>
      </c>
      <c r="FK2973" s="36" t="str">
        <f>IF($FH2973="","",SUM($FN2973:$FN$7000))</f>
        <v/>
      </c>
    </row>
    <row r="2974" spans="152:167">
      <c r="EV2974" s="28">
        <f t="shared" si="93"/>
        <v>0</v>
      </c>
      <c r="FH2974" s="29" t="str">
        <f t="shared" si="94"/>
        <v/>
      </c>
      <c r="FJ2974" s="36" t="str">
        <f>IF($FH2974="","",SUM($FN2974:$FN$7000))</f>
        <v/>
      </c>
      <c r="FK2974" s="36" t="str">
        <f>IF($FH2974="","",SUM($FN2974:$FN$7000))</f>
        <v/>
      </c>
    </row>
    <row r="2975" spans="152:167">
      <c r="EV2975" s="28">
        <f t="shared" si="93"/>
        <v>0</v>
      </c>
      <c r="FH2975" s="29" t="str">
        <f t="shared" si="94"/>
        <v/>
      </c>
      <c r="FJ2975" s="36" t="str">
        <f>IF($FH2975="","",SUM($FN2975:$FN$7000))</f>
        <v/>
      </c>
      <c r="FK2975" s="36" t="str">
        <f>IF($FH2975="","",SUM($FN2975:$FN$7000))</f>
        <v/>
      </c>
    </row>
    <row r="2976" spans="152:167">
      <c r="EV2976" s="28">
        <f t="shared" si="93"/>
        <v>0</v>
      </c>
      <c r="FH2976" s="29" t="str">
        <f t="shared" si="94"/>
        <v/>
      </c>
      <c r="FJ2976" s="36" t="str">
        <f>IF($FH2976="","",SUM($FN2976:$FN$7000))</f>
        <v/>
      </c>
      <c r="FK2976" s="36" t="str">
        <f>IF($FH2976="","",SUM($FN2976:$FN$7000))</f>
        <v/>
      </c>
    </row>
    <row r="2977" spans="152:167">
      <c r="EV2977" s="28">
        <f t="shared" si="93"/>
        <v>0</v>
      </c>
      <c r="FH2977" s="29" t="str">
        <f t="shared" si="94"/>
        <v/>
      </c>
      <c r="FJ2977" s="36" t="str">
        <f>IF($FH2977="","",SUM($FN2977:$FN$7000))</f>
        <v/>
      </c>
      <c r="FK2977" s="36" t="str">
        <f>IF($FH2977="","",SUM($FN2977:$FN$7000))</f>
        <v/>
      </c>
    </row>
    <row r="2978" spans="152:167">
      <c r="EV2978" s="28">
        <f t="shared" si="93"/>
        <v>0</v>
      </c>
      <c r="FH2978" s="29" t="str">
        <f t="shared" si="94"/>
        <v/>
      </c>
      <c r="FJ2978" s="36" t="str">
        <f>IF($FH2978="","",SUM($FN2978:$FN$7000))</f>
        <v/>
      </c>
      <c r="FK2978" s="36" t="str">
        <f>IF($FH2978="","",SUM($FN2978:$FN$7000))</f>
        <v/>
      </c>
    </row>
    <row r="2979" spans="152:167">
      <c r="EV2979" s="28">
        <f t="shared" si="93"/>
        <v>0</v>
      </c>
      <c r="FH2979" s="29" t="str">
        <f t="shared" si="94"/>
        <v/>
      </c>
      <c r="FJ2979" s="36" t="str">
        <f>IF($FH2979="","",SUM($FN2979:$FN$7000))</f>
        <v/>
      </c>
      <c r="FK2979" s="36" t="str">
        <f>IF($FH2979="","",SUM($FN2979:$FN$7000))</f>
        <v/>
      </c>
    </row>
    <row r="2980" spans="152:167">
      <c r="EV2980" s="28">
        <f t="shared" si="93"/>
        <v>0</v>
      </c>
      <c r="FH2980" s="29" t="str">
        <f t="shared" si="94"/>
        <v/>
      </c>
      <c r="FJ2980" s="36" t="str">
        <f>IF($FH2980="","",SUM($FN2980:$FN$7000))</f>
        <v/>
      </c>
      <c r="FK2980" s="36" t="str">
        <f>IF($FH2980="","",SUM($FN2980:$FN$7000))</f>
        <v/>
      </c>
    </row>
    <row r="2981" spans="152:167">
      <c r="EV2981" s="28">
        <f t="shared" si="93"/>
        <v>0</v>
      </c>
      <c r="FH2981" s="29" t="str">
        <f t="shared" si="94"/>
        <v/>
      </c>
      <c r="FJ2981" s="36" t="str">
        <f>IF($FH2981="","",SUM($FN2981:$FN$7000))</f>
        <v/>
      </c>
      <c r="FK2981" s="36" t="str">
        <f>IF($FH2981="","",SUM($FN2981:$FN$7000))</f>
        <v/>
      </c>
    </row>
    <row r="2982" spans="152:167">
      <c r="EV2982" s="28">
        <f t="shared" si="93"/>
        <v>0</v>
      </c>
      <c r="FH2982" s="29" t="str">
        <f t="shared" si="94"/>
        <v/>
      </c>
      <c r="FJ2982" s="36" t="str">
        <f>IF($FH2982="","",SUM($FN2982:$FN$7000))</f>
        <v/>
      </c>
      <c r="FK2982" s="36" t="str">
        <f>IF($FH2982="","",SUM($FN2982:$FN$7000))</f>
        <v/>
      </c>
    </row>
    <row r="2983" spans="152:167">
      <c r="EV2983" s="28">
        <f t="shared" si="93"/>
        <v>0</v>
      </c>
      <c r="FH2983" s="29" t="str">
        <f t="shared" si="94"/>
        <v/>
      </c>
      <c r="FJ2983" s="36" t="str">
        <f>IF($FH2983="","",SUM($FN2983:$FN$7000))</f>
        <v/>
      </c>
      <c r="FK2983" s="36" t="str">
        <f>IF($FH2983="","",SUM($FN2983:$FN$7000))</f>
        <v/>
      </c>
    </row>
    <row r="2984" spans="152:167">
      <c r="EV2984" s="28">
        <f t="shared" si="93"/>
        <v>0</v>
      </c>
      <c r="FH2984" s="29" t="str">
        <f t="shared" si="94"/>
        <v/>
      </c>
      <c r="FJ2984" s="36" t="str">
        <f>IF($FH2984="","",SUM($FN2984:$FN$7000))</f>
        <v/>
      </c>
      <c r="FK2984" s="36" t="str">
        <f>IF($FH2984="","",SUM($FN2984:$FN$7000))</f>
        <v/>
      </c>
    </row>
    <row r="2985" spans="152:167">
      <c r="EV2985" s="28">
        <f t="shared" si="93"/>
        <v>0</v>
      </c>
      <c r="FH2985" s="29" t="str">
        <f t="shared" si="94"/>
        <v/>
      </c>
      <c r="FJ2985" s="36" t="str">
        <f>IF($FH2985="","",SUM($FN2985:$FN$7000))</f>
        <v/>
      </c>
      <c r="FK2985" s="36" t="str">
        <f>IF($FH2985="","",SUM($FN2985:$FN$7000))</f>
        <v/>
      </c>
    </row>
    <row r="2986" spans="152:167">
      <c r="EV2986" s="28">
        <f t="shared" si="93"/>
        <v>0</v>
      </c>
      <c r="FH2986" s="29" t="str">
        <f t="shared" si="94"/>
        <v/>
      </c>
      <c r="FJ2986" s="36" t="str">
        <f>IF($FH2986="","",SUM($FN2986:$FN$7000))</f>
        <v/>
      </c>
      <c r="FK2986" s="36" t="str">
        <f>IF($FH2986="","",SUM($FN2986:$FN$7000))</f>
        <v/>
      </c>
    </row>
    <row r="2987" spans="152:167">
      <c r="EV2987" s="28">
        <f t="shared" si="93"/>
        <v>0</v>
      </c>
      <c r="FH2987" s="29" t="str">
        <f t="shared" si="94"/>
        <v/>
      </c>
      <c r="FJ2987" s="36" t="str">
        <f>IF($FH2987="","",SUM($FN2987:$FN$7000))</f>
        <v/>
      </c>
      <c r="FK2987" s="36" t="str">
        <f>IF($FH2987="","",SUM($FN2987:$FN$7000))</f>
        <v/>
      </c>
    </row>
    <row r="2988" spans="152:167">
      <c r="EV2988" s="28">
        <f t="shared" si="93"/>
        <v>0</v>
      </c>
      <c r="FH2988" s="29" t="str">
        <f t="shared" si="94"/>
        <v/>
      </c>
      <c r="FJ2988" s="36" t="str">
        <f>IF($FH2988="","",SUM($FN2988:$FN$7000))</f>
        <v/>
      </c>
      <c r="FK2988" s="36" t="str">
        <f>IF($FH2988="","",SUM($FN2988:$FN$7000))</f>
        <v/>
      </c>
    </row>
    <row r="2989" spans="152:167">
      <c r="EV2989" s="28">
        <f t="shared" si="93"/>
        <v>0</v>
      </c>
      <c r="FH2989" s="29" t="str">
        <f t="shared" si="94"/>
        <v/>
      </c>
      <c r="FJ2989" s="36" t="str">
        <f>IF($FH2989="","",SUM($FN2989:$FN$7000))</f>
        <v/>
      </c>
      <c r="FK2989" s="36" t="str">
        <f>IF($FH2989="","",SUM($FN2989:$FN$7000))</f>
        <v/>
      </c>
    </row>
    <row r="2990" spans="152:167">
      <c r="EV2990" s="28">
        <f t="shared" si="93"/>
        <v>0</v>
      </c>
      <c r="FH2990" s="29" t="str">
        <f t="shared" si="94"/>
        <v/>
      </c>
      <c r="FJ2990" s="36" t="str">
        <f>IF($FH2990="","",SUM($FN2990:$FN$7000))</f>
        <v/>
      </c>
      <c r="FK2990" s="36" t="str">
        <f>IF($FH2990="","",SUM($FN2990:$FN$7000))</f>
        <v/>
      </c>
    </row>
    <row r="2991" spans="152:167">
      <c r="EV2991" s="28">
        <f t="shared" si="93"/>
        <v>0</v>
      </c>
      <c r="FH2991" s="29" t="str">
        <f t="shared" si="94"/>
        <v/>
      </c>
      <c r="FJ2991" s="36" t="str">
        <f>IF($FH2991="","",SUM($FN2991:$FN$7000))</f>
        <v/>
      </c>
      <c r="FK2991" s="36" t="str">
        <f>IF($FH2991="","",SUM($FN2991:$FN$7000))</f>
        <v/>
      </c>
    </row>
    <row r="2992" spans="152:167">
      <c r="EV2992" s="28">
        <f t="shared" si="93"/>
        <v>0</v>
      </c>
      <c r="FH2992" s="29" t="str">
        <f t="shared" si="94"/>
        <v/>
      </c>
      <c r="FJ2992" s="36" t="str">
        <f>IF($FH2992="","",SUM($FN2992:$FN$7000))</f>
        <v/>
      </c>
      <c r="FK2992" s="36" t="str">
        <f>IF($FH2992="","",SUM($FN2992:$FN$7000))</f>
        <v/>
      </c>
    </row>
    <row r="2993" spans="152:167">
      <c r="EV2993" s="28">
        <f t="shared" si="93"/>
        <v>0</v>
      </c>
      <c r="FH2993" s="29" t="str">
        <f t="shared" si="94"/>
        <v/>
      </c>
      <c r="FJ2993" s="36" t="str">
        <f>IF($FH2993="","",SUM($FN2993:$FN$7000))</f>
        <v/>
      </c>
      <c r="FK2993" s="36" t="str">
        <f>IF($FH2993="","",SUM($FN2993:$FN$7000))</f>
        <v/>
      </c>
    </row>
    <row r="2994" spans="152:167">
      <c r="EV2994" s="28">
        <f t="shared" si="93"/>
        <v>0</v>
      </c>
      <c r="FH2994" s="29" t="str">
        <f t="shared" si="94"/>
        <v/>
      </c>
      <c r="FJ2994" s="36" t="str">
        <f>IF($FH2994="","",SUM($FN2994:$FN$7000))</f>
        <v/>
      </c>
      <c r="FK2994" s="36" t="str">
        <f>IF($FH2994="","",SUM($FN2994:$FN$7000))</f>
        <v/>
      </c>
    </row>
    <row r="2995" spans="152:167">
      <c r="EV2995" s="28">
        <f t="shared" si="93"/>
        <v>0</v>
      </c>
      <c r="FH2995" s="29" t="str">
        <f t="shared" si="94"/>
        <v/>
      </c>
      <c r="FJ2995" s="36" t="str">
        <f>IF($FH2995="","",SUM($FN2995:$FN$7000))</f>
        <v/>
      </c>
      <c r="FK2995" s="36" t="str">
        <f>IF($FH2995="","",SUM($FN2995:$FN$7000))</f>
        <v/>
      </c>
    </row>
    <row r="2996" spans="152:167">
      <c r="EV2996" s="28">
        <f t="shared" si="93"/>
        <v>0</v>
      </c>
      <c r="FH2996" s="29" t="str">
        <f t="shared" si="94"/>
        <v/>
      </c>
      <c r="FJ2996" s="36" t="str">
        <f>IF($FH2996="","",SUM($FN2996:$FN$7000))</f>
        <v/>
      </c>
      <c r="FK2996" s="36" t="str">
        <f>IF($FH2996="","",SUM($FN2996:$FN$7000))</f>
        <v/>
      </c>
    </row>
    <row r="2997" spans="152:167">
      <c r="EV2997" s="28">
        <f t="shared" si="93"/>
        <v>0</v>
      </c>
      <c r="FH2997" s="29" t="str">
        <f t="shared" si="94"/>
        <v/>
      </c>
      <c r="FJ2997" s="36" t="str">
        <f>IF($FH2997="","",SUM($FN2997:$FN$7000))</f>
        <v/>
      </c>
      <c r="FK2997" s="36" t="str">
        <f>IF($FH2997="","",SUM($FN2997:$FN$7000))</f>
        <v/>
      </c>
    </row>
    <row r="2998" spans="152:167">
      <c r="EV2998" s="28">
        <f t="shared" si="93"/>
        <v>0</v>
      </c>
      <c r="FH2998" s="29" t="str">
        <f t="shared" si="94"/>
        <v/>
      </c>
      <c r="FJ2998" s="36" t="str">
        <f>IF($FH2998="","",SUM($FN2998:$FN$7000))</f>
        <v/>
      </c>
      <c r="FK2998" s="36" t="str">
        <f>IF($FH2998="","",SUM($FN2998:$FN$7000))</f>
        <v/>
      </c>
    </row>
    <row r="2999" spans="152:167">
      <c r="EV2999" s="28">
        <f t="shared" si="93"/>
        <v>0</v>
      </c>
      <c r="FH2999" s="29" t="str">
        <f t="shared" si="94"/>
        <v/>
      </c>
      <c r="FJ2999" s="36" t="str">
        <f>IF($FH2999="","",SUM($FN2999:$FN$7000))</f>
        <v/>
      </c>
      <c r="FK2999" s="36" t="str">
        <f>IF($FH2999="","",SUM($FN2999:$FN$7000))</f>
        <v/>
      </c>
    </row>
    <row r="3000" spans="152:167">
      <c r="EV3000" s="28">
        <f t="shared" si="93"/>
        <v>0</v>
      </c>
      <c r="FH3000" s="29" t="str">
        <f t="shared" si="94"/>
        <v/>
      </c>
      <c r="FJ3000" s="36" t="str">
        <f>IF($FH3000="","",SUM($FN3000:$FN$7000))</f>
        <v/>
      </c>
      <c r="FK3000" s="36" t="str">
        <f>IF($FH3000="","",SUM($FN3000:$FN$7000))</f>
        <v/>
      </c>
    </row>
    <row r="3001" spans="152:167">
      <c r="EV3001" s="28">
        <f t="shared" si="93"/>
        <v>0</v>
      </c>
      <c r="FH3001" s="29" t="str">
        <f t="shared" si="94"/>
        <v/>
      </c>
      <c r="FJ3001" s="36" t="str">
        <f>IF($FH3001="","",SUM($FN3001:$FN$7000))</f>
        <v/>
      </c>
      <c r="FK3001" s="36" t="str">
        <f>IF($FH3001="","",SUM($FN3001:$FN$7000))</f>
        <v/>
      </c>
    </row>
    <row r="3002" spans="152:167">
      <c r="EV3002" s="28">
        <f t="shared" si="93"/>
        <v>0</v>
      </c>
      <c r="FH3002" s="29" t="str">
        <f t="shared" si="94"/>
        <v/>
      </c>
      <c r="FJ3002" s="36" t="str">
        <f>IF($FH3002="","",SUM($FN3002:$FN$7000))</f>
        <v/>
      </c>
      <c r="FK3002" s="36" t="str">
        <f>IF($FH3002="","",SUM($FN3002:$FN$7000))</f>
        <v/>
      </c>
    </row>
    <row r="3003" spans="152:167">
      <c r="EV3003" s="28">
        <f t="shared" si="93"/>
        <v>0</v>
      </c>
      <c r="FH3003" s="29" t="str">
        <f t="shared" si="94"/>
        <v/>
      </c>
      <c r="FJ3003" s="36" t="str">
        <f>IF($FH3003="","",SUM($FN3003:$FN$7000))</f>
        <v/>
      </c>
      <c r="FK3003" s="36" t="str">
        <f>IF($FH3003="","",SUM($FN3003:$FN$7000))</f>
        <v/>
      </c>
    </row>
    <row r="3004" spans="152:167">
      <c r="EV3004" s="28">
        <f t="shared" si="93"/>
        <v>0</v>
      </c>
      <c r="FH3004" s="29" t="str">
        <f t="shared" si="94"/>
        <v/>
      </c>
      <c r="FJ3004" s="36" t="str">
        <f>IF($FH3004="","",SUM($FN3004:$FN$7000))</f>
        <v/>
      </c>
      <c r="FK3004" s="36" t="str">
        <f>IF($FH3004="","",SUM($FN3004:$FN$7000))</f>
        <v/>
      </c>
    </row>
    <row r="3005" spans="152:167">
      <c r="EV3005" s="28">
        <f t="shared" si="93"/>
        <v>0</v>
      </c>
      <c r="FH3005" s="29" t="str">
        <f t="shared" si="94"/>
        <v/>
      </c>
      <c r="FJ3005" s="36" t="str">
        <f>IF($FH3005="","",SUM($FN3005:$FN$7000))</f>
        <v/>
      </c>
      <c r="FK3005" s="36" t="str">
        <f>IF($FH3005="","",SUM($FN3005:$FN$7000))</f>
        <v/>
      </c>
    </row>
    <row r="3006" spans="152:167">
      <c r="EV3006" s="28">
        <f t="shared" si="93"/>
        <v>0</v>
      </c>
      <c r="FH3006" s="29" t="str">
        <f t="shared" si="94"/>
        <v/>
      </c>
      <c r="FJ3006" s="36" t="str">
        <f>IF($FH3006="","",SUM($FN3006:$FN$7000))</f>
        <v/>
      </c>
      <c r="FK3006" s="36" t="str">
        <f>IF($FH3006="","",SUM($FN3006:$FN$7000))</f>
        <v/>
      </c>
    </row>
    <row r="3007" spans="152:167">
      <c r="EV3007" s="28">
        <f t="shared" si="93"/>
        <v>0</v>
      </c>
      <c r="FH3007" s="29" t="str">
        <f t="shared" si="94"/>
        <v/>
      </c>
      <c r="FJ3007" s="36" t="str">
        <f>IF($FH3007="","",SUM($FN3007:$FN$7000))</f>
        <v/>
      </c>
      <c r="FK3007" s="36" t="str">
        <f>IF($FH3007="","",SUM($FN3007:$FN$7000))</f>
        <v/>
      </c>
    </row>
    <row r="3008" spans="152:167">
      <c r="EV3008" s="28">
        <f t="shared" si="93"/>
        <v>0</v>
      </c>
      <c r="FH3008" s="29" t="str">
        <f t="shared" si="94"/>
        <v/>
      </c>
      <c r="FJ3008" s="36" t="str">
        <f>IF($FH3008="","",SUM($FN3008:$FN$7000))</f>
        <v/>
      </c>
      <c r="FK3008" s="36" t="str">
        <f>IF($FH3008="","",SUM($FN3008:$FN$7000))</f>
        <v/>
      </c>
    </row>
    <row r="3009" spans="152:167">
      <c r="EV3009" s="28">
        <f t="shared" si="93"/>
        <v>0</v>
      </c>
      <c r="FH3009" s="29" t="str">
        <f t="shared" si="94"/>
        <v/>
      </c>
      <c r="FJ3009" s="36" t="str">
        <f>IF($FH3009="","",SUM($FN3009:$FN$7000))</f>
        <v/>
      </c>
      <c r="FK3009" s="36" t="str">
        <f>IF($FH3009="","",SUM($FN3009:$FN$7000))</f>
        <v/>
      </c>
    </row>
    <row r="3010" spans="152:167">
      <c r="EV3010" s="28">
        <f t="shared" si="93"/>
        <v>0</v>
      </c>
      <c r="FH3010" s="29" t="str">
        <f t="shared" si="94"/>
        <v/>
      </c>
      <c r="FJ3010" s="36" t="str">
        <f>IF($FH3010="","",SUM($FN3010:$FN$7000))</f>
        <v/>
      </c>
      <c r="FK3010" s="36" t="str">
        <f>IF($FH3010="","",SUM($FN3010:$FN$7000))</f>
        <v/>
      </c>
    </row>
    <row r="3011" spans="152:167">
      <c r="EV3011" s="28">
        <f t="shared" si="93"/>
        <v>0</v>
      </c>
      <c r="FH3011" s="29" t="str">
        <f t="shared" si="94"/>
        <v/>
      </c>
      <c r="FJ3011" s="36" t="str">
        <f>IF($FH3011="","",SUM($FN3011:$FN$7000))</f>
        <v/>
      </c>
      <c r="FK3011" s="36" t="str">
        <f>IF($FH3011="","",SUM($FN3011:$FN$7000))</f>
        <v/>
      </c>
    </row>
    <row r="3012" spans="152:167">
      <c r="EV3012" s="28">
        <f t="shared" si="93"/>
        <v>0</v>
      </c>
      <c r="FH3012" s="29" t="str">
        <f t="shared" si="94"/>
        <v/>
      </c>
      <c r="FJ3012" s="36" t="str">
        <f>IF($FH3012="","",SUM($FN3012:$FN$7000))</f>
        <v/>
      </c>
      <c r="FK3012" s="36" t="str">
        <f>IF($FH3012="","",SUM($FN3012:$FN$7000))</f>
        <v/>
      </c>
    </row>
    <row r="3013" spans="152:167">
      <c r="EV3013" s="28">
        <f t="shared" si="93"/>
        <v>0</v>
      </c>
      <c r="FH3013" s="29" t="str">
        <f t="shared" si="94"/>
        <v/>
      </c>
      <c r="FJ3013" s="36" t="str">
        <f>IF($FH3013="","",SUM($FN3013:$FN$7000))</f>
        <v/>
      </c>
      <c r="FK3013" s="36" t="str">
        <f>IF($FH3013="","",SUM($FN3013:$FN$7000))</f>
        <v/>
      </c>
    </row>
    <row r="3014" spans="152:167">
      <c r="EV3014" s="28">
        <f t="shared" si="93"/>
        <v>0</v>
      </c>
      <c r="FH3014" s="29" t="str">
        <f t="shared" si="94"/>
        <v/>
      </c>
      <c r="FJ3014" s="36" t="str">
        <f>IF($FH3014="","",SUM($FN3014:$FN$7000))</f>
        <v/>
      </c>
      <c r="FK3014" s="36" t="str">
        <f>IF($FH3014="","",SUM($FN3014:$FN$7000))</f>
        <v/>
      </c>
    </row>
    <row r="3015" spans="152:167">
      <c r="EV3015" s="28">
        <f t="shared" si="93"/>
        <v>0</v>
      </c>
      <c r="FH3015" s="29" t="str">
        <f t="shared" si="94"/>
        <v/>
      </c>
      <c r="FJ3015" s="36" t="str">
        <f>IF($FH3015="","",SUM($FN3015:$FN$7000))</f>
        <v/>
      </c>
      <c r="FK3015" s="36" t="str">
        <f>IF($FH3015="","",SUM($FN3015:$FN$7000))</f>
        <v/>
      </c>
    </row>
    <row r="3016" spans="152:167">
      <c r="EV3016" s="28">
        <f t="shared" si="93"/>
        <v>0</v>
      </c>
      <c r="FH3016" s="29" t="str">
        <f t="shared" si="94"/>
        <v/>
      </c>
      <c r="FJ3016" s="36" t="str">
        <f>IF($FH3016="","",SUM($FN3016:$FN$7000))</f>
        <v/>
      </c>
      <c r="FK3016" s="36" t="str">
        <f>IF($FH3016="","",SUM($FN3016:$FN$7000))</f>
        <v/>
      </c>
    </row>
    <row r="3017" spans="152:167">
      <c r="EV3017" s="28">
        <f t="shared" si="93"/>
        <v>0</v>
      </c>
      <c r="FH3017" s="29" t="str">
        <f t="shared" si="94"/>
        <v/>
      </c>
      <c r="FJ3017" s="36" t="str">
        <f>IF($FH3017="","",SUM($FN3017:$FN$7000))</f>
        <v/>
      </c>
      <c r="FK3017" s="36" t="str">
        <f>IF($FH3017="","",SUM($FN3017:$FN$7000))</f>
        <v/>
      </c>
    </row>
    <row r="3018" spans="152:167">
      <c r="EV3018" s="28">
        <f t="shared" si="93"/>
        <v>0</v>
      </c>
      <c r="FH3018" s="29" t="str">
        <f t="shared" si="94"/>
        <v/>
      </c>
      <c r="FJ3018" s="36" t="str">
        <f>IF($FH3018="","",SUM($FN3018:$FN$7000))</f>
        <v/>
      </c>
      <c r="FK3018" s="36" t="str">
        <f>IF($FH3018="","",SUM($FN3018:$FN$7000))</f>
        <v/>
      </c>
    </row>
    <row r="3019" spans="152:167">
      <c r="EV3019" s="28">
        <f t="shared" ref="EV3019:EV3082" si="95">EU3019-ET3019</f>
        <v>0</v>
      </c>
      <c r="FH3019" s="29" t="str">
        <f t="shared" ref="FH3019:FH3082" si="96">IF(FL3019="","",FL3019)</f>
        <v/>
      </c>
      <c r="FJ3019" s="36" t="str">
        <f>IF($FH3019="","",SUM($FN3019:$FN$7000))</f>
        <v/>
      </c>
      <c r="FK3019" s="36" t="str">
        <f>IF($FH3019="","",SUM($FN3019:$FN$7000))</f>
        <v/>
      </c>
    </row>
    <row r="3020" spans="152:167">
      <c r="EV3020" s="28">
        <f t="shared" si="95"/>
        <v>0</v>
      </c>
      <c r="FH3020" s="29" t="str">
        <f t="shared" si="96"/>
        <v/>
      </c>
      <c r="FJ3020" s="36" t="str">
        <f>IF($FH3020="","",SUM($FN3020:$FN$7000))</f>
        <v/>
      </c>
      <c r="FK3020" s="36" t="str">
        <f>IF($FH3020="","",SUM($FN3020:$FN$7000))</f>
        <v/>
      </c>
    </row>
    <row r="3021" spans="152:167">
      <c r="EV3021" s="28">
        <f t="shared" si="95"/>
        <v>0</v>
      </c>
      <c r="FH3021" s="29" t="str">
        <f t="shared" si="96"/>
        <v/>
      </c>
      <c r="FJ3021" s="36" t="str">
        <f>IF($FH3021="","",SUM($FN3021:$FN$7000))</f>
        <v/>
      </c>
      <c r="FK3021" s="36" t="str">
        <f>IF($FH3021="","",SUM($FN3021:$FN$7000))</f>
        <v/>
      </c>
    </row>
    <row r="3022" spans="152:167">
      <c r="EV3022" s="28">
        <f t="shared" si="95"/>
        <v>0</v>
      </c>
      <c r="FH3022" s="29" t="str">
        <f t="shared" si="96"/>
        <v/>
      </c>
      <c r="FJ3022" s="36" t="str">
        <f>IF($FH3022="","",SUM($FN3022:$FN$7000))</f>
        <v/>
      </c>
      <c r="FK3022" s="36" t="str">
        <f>IF($FH3022="","",SUM($FN3022:$FN$7000))</f>
        <v/>
      </c>
    </row>
    <row r="3023" spans="152:167">
      <c r="EV3023" s="28">
        <f t="shared" si="95"/>
        <v>0</v>
      </c>
      <c r="FH3023" s="29" t="str">
        <f t="shared" si="96"/>
        <v/>
      </c>
      <c r="FJ3023" s="36" t="str">
        <f>IF($FH3023="","",SUM($FN3023:$FN$7000))</f>
        <v/>
      </c>
      <c r="FK3023" s="36" t="str">
        <f>IF($FH3023="","",SUM($FN3023:$FN$7000))</f>
        <v/>
      </c>
    </row>
    <row r="3024" spans="152:167">
      <c r="EV3024" s="28">
        <f t="shared" si="95"/>
        <v>0</v>
      </c>
      <c r="FH3024" s="29" t="str">
        <f t="shared" si="96"/>
        <v/>
      </c>
      <c r="FJ3024" s="36" t="str">
        <f>IF($FH3024="","",SUM($FN3024:$FN$7000))</f>
        <v/>
      </c>
      <c r="FK3024" s="36" t="str">
        <f>IF($FH3024="","",SUM($FN3024:$FN$7000))</f>
        <v/>
      </c>
    </row>
    <row r="3025" spans="152:167">
      <c r="EV3025" s="28">
        <f t="shared" si="95"/>
        <v>0</v>
      </c>
      <c r="FH3025" s="29" t="str">
        <f t="shared" si="96"/>
        <v/>
      </c>
      <c r="FJ3025" s="36" t="str">
        <f>IF($FH3025="","",SUM($FN3025:$FN$7000))</f>
        <v/>
      </c>
      <c r="FK3025" s="36" t="str">
        <f>IF($FH3025="","",SUM($FN3025:$FN$7000))</f>
        <v/>
      </c>
    </row>
    <row r="3026" spans="152:167">
      <c r="EV3026" s="28">
        <f t="shared" si="95"/>
        <v>0</v>
      </c>
      <c r="FH3026" s="29" t="str">
        <f t="shared" si="96"/>
        <v/>
      </c>
      <c r="FJ3026" s="36" t="str">
        <f>IF($FH3026="","",SUM($FN3026:$FN$7000))</f>
        <v/>
      </c>
      <c r="FK3026" s="36" t="str">
        <f>IF($FH3026="","",SUM($FN3026:$FN$7000))</f>
        <v/>
      </c>
    </row>
    <row r="3027" spans="152:167">
      <c r="EV3027" s="28">
        <f t="shared" si="95"/>
        <v>0</v>
      </c>
      <c r="FH3027" s="29" t="str">
        <f t="shared" si="96"/>
        <v/>
      </c>
      <c r="FJ3027" s="36" t="str">
        <f>IF($FH3027="","",SUM($FN3027:$FN$7000))</f>
        <v/>
      </c>
      <c r="FK3027" s="36" t="str">
        <f>IF($FH3027="","",SUM($FN3027:$FN$7000))</f>
        <v/>
      </c>
    </row>
    <row r="3028" spans="152:167">
      <c r="EV3028" s="28">
        <f t="shared" si="95"/>
        <v>0</v>
      </c>
      <c r="FH3028" s="29" t="str">
        <f t="shared" si="96"/>
        <v/>
      </c>
      <c r="FJ3028" s="36" t="str">
        <f>IF($FH3028="","",SUM($FN3028:$FN$7000))</f>
        <v/>
      </c>
      <c r="FK3028" s="36" t="str">
        <f>IF($FH3028="","",SUM($FN3028:$FN$7000))</f>
        <v/>
      </c>
    </row>
    <row r="3029" spans="152:167">
      <c r="EV3029" s="28">
        <f t="shared" si="95"/>
        <v>0</v>
      </c>
      <c r="FH3029" s="29" t="str">
        <f t="shared" si="96"/>
        <v/>
      </c>
      <c r="FJ3029" s="36" t="str">
        <f>IF($FH3029="","",SUM($FN3029:$FN$7000))</f>
        <v/>
      </c>
      <c r="FK3029" s="36" t="str">
        <f>IF($FH3029="","",SUM($FN3029:$FN$7000))</f>
        <v/>
      </c>
    </row>
    <row r="3030" spans="152:167">
      <c r="EV3030" s="28">
        <f t="shared" si="95"/>
        <v>0</v>
      </c>
      <c r="FH3030" s="29" t="str">
        <f t="shared" si="96"/>
        <v/>
      </c>
      <c r="FJ3030" s="36" t="str">
        <f>IF($FH3030="","",SUM($FN3030:$FN$7000))</f>
        <v/>
      </c>
      <c r="FK3030" s="36" t="str">
        <f>IF($FH3030="","",SUM($FN3030:$FN$7000))</f>
        <v/>
      </c>
    </row>
    <row r="3031" spans="152:167">
      <c r="EV3031" s="28">
        <f t="shared" si="95"/>
        <v>0</v>
      </c>
      <c r="FH3031" s="29" t="str">
        <f t="shared" si="96"/>
        <v/>
      </c>
      <c r="FJ3031" s="36" t="str">
        <f>IF($FH3031="","",SUM($FN3031:$FN$7000))</f>
        <v/>
      </c>
      <c r="FK3031" s="36" t="str">
        <f>IF($FH3031="","",SUM($FN3031:$FN$7000))</f>
        <v/>
      </c>
    </row>
    <row r="3032" spans="152:167">
      <c r="EV3032" s="28">
        <f t="shared" si="95"/>
        <v>0</v>
      </c>
      <c r="FH3032" s="29" t="str">
        <f t="shared" si="96"/>
        <v/>
      </c>
      <c r="FJ3032" s="36" t="str">
        <f>IF($FH3032="","",SUM($FN3032:$FN$7000))</f>
        <v/>
      </c>
      <c r="FK3032" s="36" t="str">
        <f>IF($FH3032="","",SUM($FN3032:$FN$7000))</f>
        <v/>
      </c>
    </row>
    <row r="3033" spans="152:167">
      <c r="EV3033" s="28">
        <f t="shared" si="95"/>
        <v>0</v>
      </c>
      <c r="FH3033" s="29" t="str">
        <f t="shared" si="96"/>
        <v/>
      </c>
      <c r="FJ3033" s="36" t="str">
        <f>IF($FH3033="","",SUM($FN3033:$FN$7000))</f>
        <v/>
      </c>
      <c r="FK3033" s="36" t="str">
        <f>IF($FH3033="","",SUM($FN3033:$FN$7000))</f>
        <v/>
      </c>
    </row>
    <row r="3034" spans="152:167">
      <c r="EV3034" s="28">
        <f t="shared" si="95"/>
        <v>0</v>
      </c>
      <c r="FH3034" s="29" t="str">
        <f t="shared" si="96"/>
        <v/>
      </c>
      <c r="FJ3034" s="36" t="str">
        <f>IF($FH3034="","",SUM($FN3034:$FN$7000))</f>
        <v/>
      </c>
      <c r="FK3034" s="36" t="str">
        <f>IF($FH3034="","",SUM($FN3034:$FN$7000))</f>
        <v/>
      </c>
    </row>
    <row r="3035" spans="152:167">
      <c r="EV3035" s="28">
        <f t="shared" si="95"/>
        <v>0</v>
      </c>
      <c r="FH3035" s="29" t="str">
        <f t="shared" si="96"/>
        <v/>
      </c>
      <c r="FJ3035" s="36" t="str">
        <f>IF($FH3035="","",SUM($FN3035:$FN$7000))</f>
        <v/>
      </c>
      <c r="FK3035" s="36" t="str">
        <f>IF($FH3035="","",SUM($FN3035:$FN$7000))</f>
        <v/>
      </c>
    </row>
    <row r="3036" spans="152:167">
      <c r="EV3036" s="28">
        <f t="shared" si="95"/>
        <v>0</v>
      </c>
      <c r="FH3036" s="29" t="str">
        <f t="shared" si="96"/>
        <v/>
      </c>
      <c r="FJ3036" s="36" t="str">
        <f>IF($FH3036="","",SUM($FN3036:$FN$7000))</f>
        <v/>
      </c>
      <c r="FK3036" s="36" t="str">
        <f>IF($FH3036="","",SUM($FN3036:$FN$7000))</f>
        <v/>
      </c>
    </row>
    <row r="3037" spans="152:167">
      <c r="EV3037" s="28">
        <f t="shared" si="95"/>
        <v>0</v>
      </c>
      <c r="FH3037" s="29" t="str">
        <f t="shared" si="96"/>
        <v/>
      </c>
      <c r="FJ3037" s="36" t="str">
        <f>IF($FH3037="","",SUM($FN3037:$FN$7000))</f>
        <v/>
      </c>
      <c r="FK3037" s="36" t="str">
        <f>IF($FH3037="","",SUM($FN3037:$FN$7000))</f>
        <v/>
      </c>
    </row>
    <row r="3038" spans="152:167">
      <c r="EV3038" s="28">
        <f t="shared" si="95"/>
        <v>0</v>
      </c>
      <c r="FH3038" s="29" t="str">
        <f t="shared" si="96"/>
        <v/>
      </c>
      <c r="FJ3038" s="36" t="str">
        <f>IF($FH3038="","",SUM($FN3038:$FN$7000))</f>
        <v/>
      </c>
      <c r="FK3038" s="36" t="str">
        <f>IF($FH3038="","",SUM($FN3038:$FN$7000))</f>
        <v/>
      </c>
    </row>
    <row r="3039" spans="152:167">
      <c r="EV3039" s="28">
        <f t="shared" si="95"/>
        <v>0</v>
      </c>
      <c r="FH3039" s="29" t="str">
        <f t="shared" si="96"/>
        <v/>
      </c>
      <c r="FJ3039" s="36" t="str">
        <f>IF($FH3039="","",SUM($FN3039:$FN$7000))</f>
        <v/>
      </c>
      <c r="FK3039" s="36" t="str">
        <f>IF($FH3039="","",SUM($FN3039:$FN$7000))</f>
        <v/>
      </c>
    </row>
    <row r="3040" spans="152:167">
      <c r="EV3040" s="28">
        <f t="shared" si="95"/>
        <v>0</v>
      </c>
      <c r="FH3040" s="29" t="str">
        <f t="shared" si="96"/>
        <v/>
      </c>
      <c r="FJ3040" s="36" t="str">
        <f>IF($FH3040="","",SUM($FN3040:$FN$7000))</f>
        <v/>
      </c>
      <c r="FK3040" s="36" t="str">
        <f>IF($FH3040="","",SUM($FN3040:$FN$7000))</f>
        <v/>
      </c>
    </row>
    <row r="3041" spans="152:167">
      <c r="EV3041" s="28">
        <f t="shared" si="95"/>
        <v>0</v>
      </c>
      <c r="FH3041" s="29" t="str">
        <f t="shared" si="96"/>
        <v/>
      </c>
      <c r="FJ3041" s="36" t="str">
        <f>IF($FH3041="","",SUM($FN3041:$FN$7000))</f>
        <v/>
      </c>
      <c r="FK3041" s="36" t="str">
        <f>IF($FH3041="","",SUM($FN3041:$FN$7000))</f>
        <v/>
      </c>
    </row>
    <row r="3042" spans="152:167">
      <c r="EV3042" s="28">
        <f t="shared" si="95"/>
        <v>0</v>
      </c>
      <c r="FH3042" s="29" t="str">
        <f t="shared" si="96"/>
        <v/>
      </c>
      <c r="FJ3042" s="36" t="str">
        <f>IF($FH3042="","",SUM($FN3042:$FN$7000))</f>
        <v/>
      </c>
      <c r="FK3042" s="36" t="str">
        <f>IF($FH3042="","",SUM($FN3042:$FN$7000))</f>
        <v/>
      </c>
    </row>
    <row r="3043" spans="152:167">
      <c r="EV3043" s="28">
        <f t="shared" si="95"/>
        <v>0</v>
      </c>
      <c r="FH3043" s="29" t="str">
        <f t="shared" si="96"/>
        <v/>
      </c>
      <c r="FJ3043" s="36" t="str">
        <f>IF($FH3043="","",SUM($FN3043:$FN$7000))</f>
        <v/>
      </c>
      <c r="FK3043" s="36" t="str">
        <f>IF($FH3043="","",SUM($FN3043:$FN$7000))</f>
        <v/>
      </c>
    </row>
    <row r="3044" spans="152:167">
      <c r="EV3044" s="28">
        <f t="shared" si="95"/>
        <v>0</v>
      </c>
      <c r="FH3044" s="29" t="str">
        <f t="shared" si="96"/>
        <v/>
      </c>
      <c r="FJ3044" s="36" t="str">
        <f>IF($FH3044="","",SUM($FN3044:$FN$7000))</f>
        <v/>
      </c>
      <c r="FK3044" s="36" t="str">
        <f>IF($FH3044="","",SUM($FN3044:$FN$7000))</f>
        <v/>
      </c>
    </row>
    <row r="3045" spans="152:167">
      <c r="EV3045" s="28">
        <f t="shared" si="95"/>
        <v>0</v>
      </c>
      <c r="FH3045" s="29" t="str">
        <f t="shared" si="96"/>
        <v/>
      </c>
      <c r="FJ3045" s="36" t="str">
        <f>IF($FH3045="","",SUM($FN3045:$FN$7000))</f>
        <v/>
      </c>
      <c r="FK3045" s="36" t="str">
        <f>IF($FH3045="","",SUM($FN3045:$FN$7000))</f>
        <v/>
      </c>
    </row>
    <row r="3046" spans="152:167">
      <c r="EV3046" s="28">
        <f t="shared" si="95"/>
        <v>0</v>
      </c>
      <c r="FH3046" s="29" t="str">
        <f t="shared" si="96"/>
        <v/>
      </c>
      <c r="FJ3046" s="36" t="str">
        <f>IF($FH3046="","",SUM($FN3046:$FN$7000))</f>
        <v/>
      </c>
      <c r="FK3046" s="36" t="str">
        <f>IF($FH3046="","",SUM($FN3046:$FN$7000))</f>
        <v/>
      </c>
    </row>
    <row r="3047" spans="152:167">
      <c r="EV3047" s="28">
        <f t="shared" si="95"/>
        <v>0</v>
      </c>
      <c r="FH3047" s="29" t="str">
        <f t="shared" si="96"/>
        <v/>
      </c>
      <c r="FJ3047" s="36" t="str">
        <f>IF($FH3047="","",SUM($FN3047:$FN$7000))</f>
        <v/>
      </c>
      <c r="FK3047" s="36" t="str">
        <f>IF($FH3047="","",SUM($FN3047:$FN$7000))</f>
        <v/>
      </c>
    </row>
    <row r="3048" spans="152:167">
      <c r="EV3048" s="28">
        <f t="shared" si="95"/>
        <v>0</v>
      </c>
      <c r="FH3048" s="29" t="str">
        <f t="shared" si="96"/>
        <v/>
      </c>
      <c r="FJ3048" s="36" t="str">
        <f>IF($FH3048="","",SUM($FN3048:$FN$7000))</f>
        <v/>
      </c>
      <c r="FK3048" s="36" t="str">
        <f>IF($FH3048="","",SUM($FN3048:$FN$7000))</f>
        <v/>
      </c>
    </row>
    <row r="3049" spans="152:167">
      <c r="EV3049" s="28">
        <f t="shared" si="95"/>
        <v>0</v>
      </c>
      <c r="FH3049" s="29" t="str">
        <f t="shared" si="96"/>
        <v/>
      </c>
      <c r="FJ3049" s="36" t="str">
        <f>IF($FH3049="","",SUM($FN3049:$FN$7000))</f>
        <v/>
      </c>
      <c r="FK3049" s="36" t="str">
        <f>IF($FH3049="","",SUM($FN3049:$FN$7000))</f>
        <v/>
      </c>
    </row>
    <row r="3050" spans="152:167">
      <c r="EV3050" s="28">
        <f t="shared" si="95"/>
        <v>0</v>
      </c>
      <c r="FH3050" s="29" t="str">
        <f t="shared" si="96"/>
        <v/>
      </c>
      <c r="FJ3050" s="36" t="str">
        <f>IF($FH3050="","",SUM($FN3050:$FN$7000))</f>
        <v/>
      </c>
      <c r="FK3050" s="36" t="str">
        <f>IF($FH3050="","",SUM($FN3050:$FN$7000))</f>
        <v/>
      </c>
    </row>
    <row r="3051" spans="152:167">
      <c r="EV3051" s="28">
        <f t="shared" si="95"/>
        <v>0</v>
      </c>
      <c r="FH3051" s="29" t="str">
        <f t="shared" si="96"/>
        <v/>
      </c>
      <c r="FJ3051" s="36" t="str">
        <f>IF($FH3051="","",SUM($FN3051:$FN$7000))</f>
        <v/>
      </c>
      <c r="FK3051" s="36" t="str">
        <f>IF($FH3051="","",SUM($FN3051:$FN$7000))</f>
        <v/>
      </c>
    </row>
    <row r="3052" spans="152:167">
      <c r="EV3052" s="28">
        <f t="shared" si="95"/>
        <v>0</v>
      </c>
      <c r="FH3052" s="29" t="str">
        <f t="shared" si="96"/>
        <v/>
      </c>
      <c r="FJ3052" s="36" t="str">
        <f>IF($FH3052="","",SUM($FN3052:$FN$7000))</f>
        <v/>
      </c>
      <c r="FK3052" s="36" t="str">
        <f>IF($FH3052="","",SUM($FN3052:$FN$7000))</f>
        <v/>
      </c>
    </row>
    <row r="3053" spans="152:167">
      <c r="EV3053" s="28">
        <f t="shared" si="95"/>
        <v>0</v>
      </c>
      <c r="FH3053" s="29" t="str">
        <f t="shared" si="96"/>
        <v/>
      </c>
      <c r="FJ3053" s="36" t="str">
        <f>IF($FH3053="","",SUM($FN3053:$FN$7000))</f>
        <v/>
      </c>
      <c r="FK3053" s="36" t="str">
        <f>IF($FH3053="","",SUM($FN3053:$FN$7000))</f>
        <v/>
      </c>
    </row>
    <row r="3054" spans="152:167">
      <c r="EV3054" s="28">
        <f t="shared" si="95"/>
        <v>0</v>
      </c>
      <c r="FH3054" s="29" t="str">
        <f t="shared" si="96"/>
        <v/>
      </c>
      <c r="FJ3054" s="36" t="str">
        <f>IF($FH3054="","",SUM($FN3054:$FN$7000))</f>
        <v/>
      </c>
      <c r="FK3054" s="36" t="str">
        <f>IF($FH3054="","",SUM($FN3054:$FN$7000))</f>
        <v/>
      </c>
    </row>
    <row r="3055" spans="152:167">
      <c r="EV3055" s="28">
        <f t="shared" si="95"/>
        <v>0</v>
      </c>
      <c r="FH3055" s="29" t="str">
        <f t="shared" si="96"/>
        <v/>
      </c>
      <c r="FJ3055" s="36" t="str">
        <f>IF($FH3055="","",SUM($FN3055:$FN$7000))</f>
        <v/>
      </c>
      <c r="FK3055" s="36" t="str">
        <f>IF($FH3055="","",SUM($FN3055:$FN$7000))</f>
        <v/>
      </c>
    </row>
    <row r="3056" spans="152:167">
      <c r="EV3056" s="28">
        <f t="shared" si="95"/>
        <v>0</v>
      </c>
      <c r="FH3056" s="29" t="str">
        <f t="shared" si="96"/>
        <v/>
      </c>
      <c r="FJ3056" s="36" t="str">
        <f>IF($FH3056="","",SUM($FN3056:$FN$7000))</f>
        <v/>
      </c>
      <c r="FK3056" s="36" t="str">
        <f>IF($FH3056="","",SUM($FN3056:$FN$7000))</f>
        <v/>
      </c>
    </row>
    <row r="3057" spans="152:167">
      <c r="EV3057" s="28">
        <f t="shared" si="95"/>
        <v>0</v>
      </c>
      <c r="FH3057" s="29" t="str">
        <f t="shared" si="96"/>
        <v/>
      </c>
      <c r="FJ3057" s="36" t="str">
        <f>IF($FH3057="","",SUM($FN3057:$FN$7000))</f>
        <v/>
      </c>
      <c r="FK3057" s="36" t="str">
        <f>IF($FH3057="","",SUM($FN3057:$FN$7000))</f>
        <v/>
      </c>
    </row>
    <row r="3058" spans="152:167">
      <c r="EV3058" s="28">
        <f t="shared" si="95"/>
        <v>0</v>
      </c>
      <c r="FH3058" s="29" t="str">
        <f t="shared" si="96"/>
        <v/>
      </c>
      <c r="FJ3058" s="36" t="str">
        <f>IF($FH3058="","",SUM($FN3058:$FN$7000))</f>
        <v/>
      </c>
      <c r="FK3058" s="36" t="str">
        <f>IF($FH3058="","",SUM($FN3058:$FN$7000))</f>
        <v/>
      </c>
    </row>
    <row r="3059" spans="152:167">
      <c r="EV3059" s="28">
        <f t="shared" si="95"/>
        <v>0</v>
      </c>
      <c r="FH3059" s="29" t="str">
        <f t="shared" si="96"/>
        <v/>
      </c>
      <c r="FJ3059" s="36" t="str">
        <f>IF($FH3059="","",SUM($FN3059:$FN$7000))</f>
        <v/>
      </c>
      <c r="FK3059" s="36" t="str">
        <f>IF($FH3059="","",SUM($FN3059:$FN$7000))</f>
        <v/>
      </c>
    </row>
    <row r="3060" spans="152:167">
      <c r="EV3060" s="28">
        <f t="shared" si="95"/>
        <v>0</v>
      </c>
      <c r="FH3060" s="29" t="str">
        <f t="shared" si="96"/>
        <v/>
      </c>
      <c r="FJ3060" s="36" t="str">
        <f>IF($FH3060="","",SUM($FN3060:$FN$7000))</f>
        <v/>
      </c>
      <c r="FK3060" s="36" t="str">
        <f>IF($FH3060="","",SUM($FN3060:$FN$7000))</f>
        <v/>
      </c>
    </row>
    <row r="3061" spans="152:167">
      <c r="EV3061" s="28">
        <f t="shared" si="95"/>
        <v>0</v>
      </c>
      <c r="FH3061" s="29" t="str">
        <f t="shared" si="96"/>
        <v/>
      </c>
      <c r="FJ3061" s="36" t="str">
        <f>IF($FH3061="","",SUM($FN3061:$FN$7000))</f>
        <v/>
      </c>
      <c r="FK3061" s="36" t="str">
        <f>IF($FH3061="","",SUM($FN3061:$FN$7000))</f>
        <v/>
      </c>
    </row>
    <row r="3062" spans="152:167">
      <c r="EV3062" s="28">
        <f t="shared" si="95"/>
        <v>0</v>
      </c>
      <c r="FH3062" s="29" t="str">
        <f t="shared" si="96"/>
        <v/>
      </c>
      <c r="FJ3062" s="36" t="str">
        <f>IF($FH3062="","",SUM($FN3062:$FN$7000))</f>
        <v/>
      </c>
      <c r="FK3062" s="36" t="str">
        <f>IF($FH3062="","",SUM($FN3062:$FN$7000))</f>
        <v/>
      </c>
    </row>
    <row r="3063" spans="152:167">
      <c r="EV3063" s="28">
        <f t="shared" si="95"/>
        <v>0</v>
      </c>
      <c r="FH3063" s="29" t="str">
        <f t="shared" si="96"/>
        <v/>
      </c>
      <c r="FJ3063" s="36" t="str">
        <f>IF($FH3063="","",SUM($FN3063:$FN$7000))</f>
        <v/>
      </c>
      <c r="FK3063" s="36" t="str">
        <f>IF($FH3063="","",SUM($FN3063:$FN$7000))</f>
        <v/>
      </c>
    </row>
    <row r="3064" spans="152:167">
      <c r="EV3064" s="28">
        <f t="shared" si="95"/>
        <v>0</v>
      </c>
      <c r="FH3064" s="29" t="str">
        <f t="shared" si="96"/>
        <v/>
      </c>
      <c r="FJ3064" s="36" t="str">
        <f>IF($FH3064="","",SUM($FN3064:$FN$7000))</f>
        <v/>
      </c>
      <c r="FK3064" s="36" t="str">
        <f>IF($FH3064="","",SUM($FN3064:$FN$7000))</f>
        <v/>
      </c>
    </row>
    <row r="3065" spans="152:167">
      <c r="EV3065" s="28">
        <f t="shared" si="95"/>
        <v>0</v>
      </c>
      <c r="FH3065" s="29" t="str">
        <f t="shared" si="96"/>
        <v/>
      </c>
      <c r="FJ3065" s="36" t="str">
        <f>IF($FH3065="","",SUM($FN3065:$FN$7000))</f>
        <v/>
      </c>
      <c r="FK3065" s="36" t="str">
        <f>IF($FH3065="","",SUM($FN3065:$FN$7000))</f>
        <v/>
      </c>
    </row>
    <row r="3066" spans="152:167">
      <c r="EV3066" s="28">
        <f t="shared" si="95"/>
        <v>0</v>
      </c>
      <c r="FH3066" s="29" t="str">
        <f t="shared" si="96"/>
        <v/>
      </c>
      <c r="FJ3066" s="36" t="str">
        <f>IF($FH3066="","",SUM($FN3066:$FN$7000))</f>
        <v/>
      </c>
      <c r="FK3066" s="36" t="str">
        <f>IF($FH3066="","",SUM($FN3066:$FN$7000))</f>
        <v/>
      </c>
    </row>
    <row r="3067" spans="152:167">
      <c r="EV3067" s="28">
        <f t="shared" si="95"/>
        <v>0</v>
      </c>
      <c r="FH3067" s="29" t="str">
        <f t="shared" si="96"/>
        <v/>
      </c>
      <c r="FJ3067" s="36" t="str">
        <f>IF($FH3067="","",SUM($FN3067:$FN$7000))</f>
        <v/>
      </c>
      <c r="FK3067" s="36" t="str">
        <f>IF($FH3067="","",SUM($FN3067:$FN$7000))</f>
        <v/>
      </c>
    </row>
    <row r="3068" spans="152:167">
      <c r="EV3068" s="28">
        <f t="shared" si="95"/>
        <v>0</v>
      </c>
      <c r="FH3068" s="29" t="str">
        <f t="shared" si="96"/>
        <v/>
      </c>
      <c r="FJ3068" s="36" t="str">
        <f>IF($FH3068="","",SUM($FN3068:$FN$7000))</f>
        <v/>
      </c>
      <c r="FK3068" s="36" t="str">
        <f>IF($FH3068="","",SUM($FN3068:$FN$7000))</f>
        <v/>
      </c>
    </row>
    <row r="3069" spans="152:167">
      <c r="EV3069" s="28">
        <f t="shared" si="95"/>
        <v>0</v>
      </c>
      <c r="FH3069" s="29" t="str">
        <f t="shared" si="96"/>
        <v/>
      </c>
      <c r="FJ3069" s="36" t="str">
        <f>IF($FH3069="","",SUM($FN3069:$FN$7000))</f>
        <v/>
      </c>
      <c r="FK3069" s="36" t="str">
        <f>IF($FH3069="","",SUM($FN3069:$FN$7000))</f>
        <v/>
      </c>
    </row>
    <row r="3070" spans="152:167">
      <c r="EV3070" s="28">
        <f t="shared" si="95"/>
        <v>0</v>
      </c>
      <c r="FH3070" s="29" t="str">
        <f t="shared" si="96"/>
        <v/>
      </c>
      <c r="FJ3070" s="36" t="str">
        <f>IF($FH3070="","",SUM($FN3070:$FN$7000))</f>
        <v/>
      </c>
      <c r="FK3070" s="36" t="str">
        <f>IF($FH3070="","",SUM($FN3070:$FN$7000))</f>
        <v/>
      </c>
    </row>
    <row r="3071" spans="152:167">
      <c r="EV3071" s="28">
        <f t="shared" si="95"/>
        <v>0</v>
      </c>
      <c r="FH3071" s="29" t="str">
        <f t="shared" si="96"/>
        <v/>
      </c>
      <c r="FJ3071" s="36" t="str">
        <f>IF($FH3071="","",SUM($FN3071:$FN$7000))</f>
        <v/>
      </c>
      <c r="FK3071" s="36" t="str">
        <f>IF($FH3071="","",SUM($FN3071:$FN$7000))</f>
        <v/>
      </c>
    </row>
    <row r="3072" spans="152:167">
      <c r="EV3072" s="28">
        <f t="shared" si="95"/>
        <v>0</v>
      </c>
      <c r="FH3072" s="29" t="str">
        <f t="shared" si="96"/>
        <v/>
      </c>
      <c r="FJ3072" s="36" t="str">
        <f>IF($FH3072="","",SUM($FN3072:$FN$7000))</f>
        <v/>
      </c>
      <c r="FK3072" s="36" t="str">
        <f>IF($FH3072="","",SUM($FN3072:$FN$7000))</f>
        <v/>
      </c>
    </row>
    <row r="3073" spans="152:167">
      <c r="EV3073" s="28">
        <f t="shared" si="95"/>
        <v>0</v>
      </c>
      <c r="FH3073" s="29" t="str">
        <f t="shared" si="96"/>
        <v/>
      </c>
      <c r="FJ3073" s="36" t="str">
        <f>IF($FH3073="","",SUM($FN3073:$FN$7000))</f>
        <v/>
      </c>
      <c r="FK3073" s="36" t="str">
        <f>IF($FH3073="","",SUM($FN3073:$FN$7000))</f>
        <v/>
      </c>
    </row>
    <row r="3074" spans="152:167">
      <c r="EV3074" s="28">
        <f t="shared" si="95"/>
        <v>0</v>
      </c>
      <c r="FH3074" s="29" t="str">
        <f t="shared" si="96"/>
        <v/>
      </c>
      <c r="FJ3074" s="36" t="str">
        <f>IF($FH3074="","",SUM($FN3074:$FN$7000))</f>
        <v/>
      </c>
      <c r="FK3074" s="36" t="str">
        <f>IF($FH3074="","",SUM($FN3074:$FN$7000))</f>
        <v/>
      </c>
    </row>
    <row r="3075" spans="152:167">
      <c r="EV3075" s="28">
        <f t="shared" si="95"/>
        <v>0</v>
      </c>
      <c r="FH3075" s="29" t="str">
        <f t="shared" si="96"/>
        <v/>
      </c>
      <c r="FJ3075" s="36" t="str">
        <f>IF($FH3075="","",SUM($FN3075:$FN$7000))</f>
        <v/>
      </c>
      <c r="FK3075" s="36" t="str">
        <f>IF($FH3075="","",SUM($FN3075:$FN$7000))</f>
        <v/>
      </c>
    </row>
    <row r="3076" spans="152:167">
      <c r="EV3076" s="28">
        <f t="shared" si="95"/>
        <v>0</v>
      </c>
      <c r="FH3076" s="29" t="str">
        <f t="shared" si="96"/>
        <v/>
      </c>
      <c r="FJ3076" s="36" t="str">
        <f>IF($FH3076="","",SUM($FN3076:$FN$7000))</f>
        <v/>
      </c>
      <c r="FK3076" s="36" t="str">
        <f>IF($FH3076="","",SUM($FN3076:$FN$7000))</f>
        <v/>
      </c>
    </row>
    <row r="3077" spans="152:167">
      <c r="EV3077" s="28">
        <f t="shared" si="95"/>
        <v>0</v>
      </c>
      <c r="FH3077" s="29" t="str">
        <f t="shared" si="96"/>
        <v/>
      </c>
      <c r="FJ3077" s="36" t="str">
        <f>IF($FH3077="","",SUM($FN3077:$FN$7000))</f>
        <v/>
      </c>
      <c r="FK3077" s="36" t="str">
        <f>IF($FH3077="","",SUM($FN3077:$FN$7000))</f>
        <v/>
      </c>
    </row>
    <row r="3078" spans="152:167">
      <c r="EV3078" s="28">
        <f t="shared" si="95"/>
        <v>0</v>
      </c>
      <c r="FH3078" s="29" t="str">
        <f t="shared" si="96"/>
        <v/>
      </c>
      <c r="FJ3078" s="36" t="str">
        <f>IF($FH3078="","",SUM($FN3078:$FN$7000))</f>
        <v/>
      </c>
      <c r="FK3078" s="36" t="str">
        <f>IF($FH3078="","",SUM($FN3078:$FN$7000))</f>
        <v/>
      </c>
    </row>
    <row r="3079" spans="152:167">
      <c r="EV3079" s="28">
        <f t="shared" si="95"/>
        <v>0</v>
      </c>
      <c r="FH3079" s="29" t="str">
        <f t="shared" si="96"/>
        <v/>
      </c>
      <c r="FJ3079" s="36" t="str">
        <f>IF($FH3079="","",SUM($FN3079:$FN$7000))</f>
        <v/>
      </c>
      <c r="FK3079" s="36" t="str">
        <f>IF($FH3079="","",SUM($FN3079:$FN$7000))</f>
        <v/>
      </c>
    </row>
    <row r="3080" spans="152:167">
      <c r="EV3080" s="28">
        <f t="shared" si="95"/>
        <v>0</v>
      </c>
      <c r="FH3080" s="29" t="str">
        <f t="shared" si="96"/>
        <v/>
      </c>
      <c r="FJ3080" s="36" t="str">
        <f>IF($FH3080="","",SUM($FN3080:$FN$7000))</f>
        <v/>
      </c>
      <c r="FK3080" s="36" t="str">
        <f>IF($FH3080="","",SUM($FN3080:$FN$7000))</f>
        <v/>
      </c>
    </row>
    <row r="3081" spans="152:167">
      <c r="EV3081" s="28">
        <f t="shared" si="95"/>
        <v>0</v>
      </c>
      <c r="FH3081" s="29" t="str">
        <f t="shared" si="96"/>
        <v/>
      </c>
      <c r="FJ3081" s="36" t="str">
        <f>IF($FH3081="","",SUM($FN3081:$FN$7000))</f>
        <v/>
      </c>
      <c r="FK3081" s="36" t="str">
        <f>IF($FH3081="","",SUM($FN3081:$FN$7000))</f>
        <v/>
      </c>
    </row>
    <row r="3082" spans="152:167">
      <c r="EV3082" s="28">
        <f t="shared" si="95"/>
        <v>0</v>
      </c>
      <c r="FH3082" s="29" t="str">
        <f t="shared" si="96"/>
        <v/>
      </c>
      <c r="FJ3082" s="36" t="str">
        <f>IF($FH3082="","",SUM($FN3082:$FN$7000))</f>
        <v/>
      </c>
      <c r="FK3082" s="36" t="str">
        <f>IF($FH3082="","",SUM($FN3082:$FN$7000))</f>
        <v/>
      </c>
    </row>
    <row r="3083" spans="152:167">
      <c r="EV3083" s="28">
        <f t="shared" ref="EV3083:EV3146" si="97">EU3083-ET3083</f>
        <v>0</v>
      </c>
      <c r="FH3083" s="29" t="str">
        <f t="shared" ref="FH3083:FH3146" si="98">IF(FL3083="","",FL3083)</f>
        <v/>
      </c>
      <c r="FJ3083" s="36" t="str">
        <f>IF($FH3083="","",SUM($FN3083:$FN$7000))</f>
        <v/>
      </c>
      <c r="FK3083" s="36" t="str">
        <f>IF($FH3083="","",SUM($FN3083:$FN$7000))</f>
        <v/>
      </c>
    </row>
    <row r="3084" spans="152:167">
      <c r="EV3084" s="28">
        <f t="shared" si="97"/>
        <v>0</v>
      </c>
      <c r="FH3084" s="29" t="str">
        <f t="shared" si="98"/>
        <v/>
      </c>
      <c r="FJ3084" s="36" t="str">
        <f>IF($FH3084="","",SUM($FN3084:$FN$7000))</f>
        <v/>
      </c>
      <c r="FK3084" s="36" t="str">
        <f>IF($FH3084="","",SUM($FN3084:$FN$7000))</f>
        <v/>
      </c>
    </row>
    <row r="3085" spans="152:167">
      <c r="EV3085" s="28">
        <f t="shared" si="97"/>
        <v>0</v>
      </c>
      <c r="FH3085" s="29" t="str">
        <f t="shared" si="98"/>
        <v/>
      </c>
      <c r="FJ3085" s="36" t="str">
        <f>IF($FH3085="","",SUM($FN3085:$FN$7000))</f>
        <v/>
      </c>
      <c r="FK3085" s="36" t="str">
        <f>IF($FH3085="","",SUM($FN3085:$FN$7000))</f>
        <v/>
      </c>
    </row>
    <row r="3086" spans="152:167">
      <c r="EV3086" s="28">
        <f t="shared" si="97"/>
        <v>0</v>
      </c>
      <c r="FH3086" s="29" t="str">
        <f t="shared" si="98"/>
        <v/>
      </c>
      <c r="FJ3086" s="36" t="str">
        <f>IF($FH3086="","",SUM($FN3086:$FN$7000))</f>
        <v/>
      </c>
      <c r="FK3086" s="36" t="str">
        <f>IF($FH3086="","",SUM($FN3086:$FN$7000))</f>
        <v/>
      </c>
    </row>
    <row r="3087" spans="152:167">
      <c r="EV3087" s="28">
        <f t="shared" si="97"/>
        <v>0</v>
      </c>
      <c r="FH3087" s="29" t="str">
        <f t="shared" si="98"/>
        <v/>
      </c>
      <c r="FJ3087" s="36" t="str">
        <f>IF($FH3087="","",SUM($FN3087:$FN$7000))</f>
        <v/>
      </c>
      <c r="FK3087" s="36" t="str">
        <f>IF($FH3087="","",SUM($FN3087:$FN$7000))</f>
        <v/>
      </c>
    </row>
    <row r="3088" spans="152:167">
      <c r="EV3088" s="28">
        <f t="shared" si="97"/>
        <v>0</v>
      </c>
      <c r="FH3088" s="29" t="str">
        <f t="shared" si="98"/>
        <v/>
      </c>
      <c r="FJ3088" s="36" t="str">
        <f>IF($FH3088="","",SUM($FN3088:$FN$7000))</f>
        <v/>
      </c>
      <c r="FK3088" s="36" t="str">
        <f>IF($FH3088="","",SUM($FN3088:$FN$7000))</f>
        <v/>
      </c>
    </row>
    <row r="3089" spans="152:167">
      <c r="EV3089" s="28">
        <f t="shared" si="97"/>
        <v>0</v>
      </c>
      <c r="FH3089" s="29" t="str">
        <f t="shared" si="98"/>
        <v/>
      </c>
      <c r="FJ3089" s="36" t="str">
        <f>IF($FH3089="","",SUM($FN3089:$FN$7000))</f>
        <v/>
      </c>
      <c r="FK3089" s="36" t="str">
        <f>IF($FH3089="","",SUM($FN3089:$FN$7000))</f>
        <v/>
      </c>
    </row>
    <row r="3090" spans="152:167">
      <c r="EV3090" s="28">
        <f t="shared" si="97"/>
        <v>0</v>
      </c>
      <c r="FH3090" s="29" t="str">
        <f t="shared" si="98"/>
        <v/>
      </c>
      <c r="FJ3090" s="36" t="str">
        <f>IF($FH3090="","",SUM($FN3090:$FN$7000))</f>
        <v/>
      </c>
      <c r="FK3090" s="36" t="str">
        <f>IF($FH3090="","",SUM($FN3090:$FN$7000))</f>
        <v/>
      </c>
    </row>
    <row r="3091" spans="152:167">
      <c r="EV3091" s="28">
        <f t="shared" si="97"/>
        <v>0</v>
      </c>
      <c r="FH3091" s="29" t="str">
        <f t="shared" si="98"/>
        <v/>
      </c>
      <c r="FJ3091" s="36" t="str">
        <f>IF($FH3091="","",SUM($FN3091:$FN$7000))</f>
        <v/>
      </c>
      <c r="FK3091" s="36" t="str">
        <f>IF($FH3091="","",SUM($FN3091:$FN$7000))</f>
        <v/>
      </c>
    </row>
    <row r="3092" spans="152:167">
      <c r="EV3092" s="28">
        <f t="shared" si="97"/>
        <v>0</v>
      </c>
      <c r="FH3092" s="29" t="str">
        <f t="shared" si="98"/>
        <v/>
      </c>
      <c r="FJ3092" s="36" t="str">
        <f>IF($FH3092="","",SUM($FN3092:$FN$7000))</f>
        <v/>
      </c>
      <c r="FK3092" s="36" t="str">
        <f>IF($FH3092="","",SUM($FN3092:$FN$7000))</f>
        <v/>
      </c>
    </row>
    <row r="3093" spans="152:167">
      <c r="EV3093" s="28">
        <f t="shared" si="97"/>
        <v>0</v>
      </c>
      <c r="FH3093" s="29" t="str">
        <f t="shared" si="98"/>
        <v/>
      </c>
      <c r="FJ3093" s="36" t="str">
        <f>IF($FH3093="","",SUM($FN3093:$FN$7000))</f>
        <v/>
      </c>
      <c r="FK3093" s="36" t="str">
        <f>IF($FH3093="","",SUM($FN3093:$FN$7000))</f>
        <v/>
      </c>
    </row>
    <row r="3094" spans="152:167">
      <c r="EV3094" s="28">
        <f t="shared" si="97"/>
        <v>0</v>
      </c>
      <c r="FH3094" s="29" t="str">
        <f t="shared" si="98"/>
        <v/>
      </c>
      <c r="FJ3094" s="36" t="str">
        <f>IF($FH3094="","",SUM($FN3094:$FN$7000))</f>
        <v/>
      </c>
      <c r="FK3094" s="36" t="str">
        <f>IF($FH3094="","",SUM($FN3094:$FN$7000))</f>
        <v/>
      </c>
    </row>
    <row r="3095" spans="152:167">
      <c r="EV3095" s="28">
        <f t="shared" si="97"/>
        <v>0</v>
      </c>
      <c r="FH3095" s="29" t="str">
        <f t="shared" si="98"/>
        <v/>
      </c>
      <c r="FJ3095" s="36" t="str">
        <f>IF($FH3095="","",SUM($FN3095:$FN$7000))</f>
        <v/>
      </c>
      <c r="FK3095" s="36" t="str">
        <f>IF($FH3095="","",SUM($FN3095:$FN$7000))</f>
        <v/>
      </c>
    </row>
    <row r="3096" spans="152:167">
      <c r="EV3096" s="28">
        <f t="shared" si="97"/>
        <v>0</v>
      </c>
      <c r="FH3096" s="29" t="str">
        <f t="shared" si="98"/>
        <v/>
      </c>
      <c r="FJ3096" s="36" t="str">
        <f>IF($FH3096="","",SUM($FN3096:$FN$7000))</f>
        <v/>
      </c>
      <c r="FK3096" s="36" t="str">
        <f>IF($FH3096="","",SUM($FN3096:$FN$7000))</f>
        <v/>
      </c>
    </row>
    <row r="3097" spans="152:167">
      <c r="EV3097" s="28">
        <f t="shared" si="97"/>
        <v>0</v>
      </c>
      <c r="FH3097" s="29" t="str">
        <f t="shared" si="98"/>
        <v/>
      </c>
      <c r="FJ3097" s="36" t="str">
        <f>IF($FH3097="","",SUM($FN3097:$FN$7000))</f>
        <v/>
      </c>
      <c r="FK3097" s="36" t="str">
        <f>IF($FH3097="","",SUM($FN3097:$FN$7000))</f>
        <v/>
      </c>
    </row>
    <row r="3098" spans="152:167">
      <c r="EV3098" s="28">
        <f t="shared" si="97"/>
        <v>0</v>
      </c>
      <c r="FH3098" s="29" t="str">
        <f t="shared" si="98"/>
        <v/>
      </c>
      <c r="FJ3098" s="36" t="str">
        <f>IF($FH3098="","",SUM($FN3098:$FN$7000))</f>
        <v/>
      </c>
      <c r="FK3098" s="36" t="str">
        <f>IF($FH3098="","",SUM($FN3098:$FN$7000))</f>
        <v/>
      </c>
    </row>
    <row r="3099" spans="152:167">
      <c r="EV3099" s="28">
        <f t="shared" si="97"/>
        <v>0</v>
      </c>
      <c r="FH3099" s="29" t="str">
        <f t="shared" si="98"/>
        <v/>
      </c>
      <c r="FJ3099" s="36" t="str">
        <f>IF($FH3099="","",SUM($FN3099:$FN$7000))</f>
        <v/>
      </c>
      <c r="FK3099" s="36" t="str">
        <f>IF($FH3099="","",SUM($FN3099:$FN$7000))</f>
        <v/>
      </c>
    </row>
    <row r="3100" spans="152:167">
      <c r="EV3100" s="28">
        <f t="shared" si="97"/>
        <v>0</v>
      </c>
      <c r="FH3100" s="29" t="str">
        <f t="shared" si="98"/>
        <v/>
      </c>
      <c r="FJ3100" s="36" t="str">
        <f>IF($FH3100="","",SUM($FN3100:$FN$7000))</f>
        <v/>
      </c>
      <c r="FK3100" s="36" t="str">
        <f>IF($FH3100="","",SUM($FN3100:$FN$7000))</f>
        <v/>
      </c>
    </row>
    <row r="3101" spans="152:167">
      <c r="EV3101" s="28">
        <f t="shared" si="97"/>
        <v>0</v>
      </c>
      <c r="FH3101" s="29" t="str">
        <f t="shared" si="98"/>
        <v/>
      </c>
      <c r="FJ3101" s="36" t="str">
        <f>IF($FH3101="","",SUM($FN3101:$FN$7000))</f>
        <v/>
      </c>
      <c r="FK3101" s="36" t="str">
        <f>IF($FH3101="","",SUM($FN3101:$FN$7000))</f>
        <v/>
      </c>
    </row>
    <row r="3102" spans="152:167">
      <c r="EV3102" s="28">
        <f t="shared" si="97"/>
        <v>0</v>
      </c>
      <c r="FH3102" s="29" t="str">
        <f t="shared" si="98"/>
        <v/>
      </c>
      <c r="FJ3102" s="36" t="str">
        <f>IF($FH3102="","",SUM($FN3102:$FN$7000))</f>
        <v/>
      </c>
      <c r="FK3102" s="36" t="str">
        <f>IF($FH3102="","",SUM($FN3102:$FN$7000))</f>
        <v/>
      </c>
    </row>
    <row r="3103" spans="152:167">
      <c r="EV3103" s="28">
        <f t="shared" si="97"/>
        <v>0</v>
      </c>
      <c r="FH3103" s="29" t="str">
        <f t="shared" si="98"/>
        <v/>
      </c>
      <c r="FJ3103" s="36" t="str">
        <f>IF($FH3103="","",SUM($FN3103:$FN$7000))</f>
        <v/>
      </c>
      <c r="FK3103" s="36" t="str">
        <f>IF($FH3103="","",SUM($FN3103:$FN$7000))</f>
        <v/>
      </c>
    </row>
    <row r="3104" spans="152:167">
      <c r="EV3104" s="28">
        <f t="shared" si="97"/>
        <v>0</v>
      </c>
      <c r="FH3104" s="29" t="str">
        <f t="shared" si="98"/>
        <v/>
      </c>
      <c r="FJ3104" s="36" t="str">
        <f>IF($FH3104="","",SUM($FN3104:$FN$7000))</f>
        <v/>
      </c>
      <c r="FK3104" s="36" t="str">
        <f>IF($FH3104="","",SUM($FN3104:$FN$7000))</f>
        <v/>
      </c>
    </row>
    <row r="3105" spans="152:167">
      <c r="EV3105" s="28">
        <f t="shared" si="97"/>
        <v>0</v>
      </c>
      <c r="FH3105" s="29" t="str">
        <f t="shared" si="98"/>
        <v/>
      </c>
      <c r="FJ3105" s="36" t="str">
        <f>IF($FH3105="","",SUM($FN3105:$FN$7000))</f>
        <v/>
      </c>
      <c r="FK3105" s="36" t="str">
        <f>IF($FH3105="","",SUM($FN3105:$FN$7000))</f>
        <v/>
      </c>
    </row>
    <row r="3106" spans="152:167">
      <c r="EV3106" s="28">
        <f t="shared" si="97"/>
        <v>0</v>
      </c>
      <c r="FH3106" s="29" t="str">
        <f t="shared" si="98"/>
        <v/>
      </c>
      <c r="FJ3106" s="36" t="str">
        <f>IF($FH3106="","",SUM($FN3106:$FN$7000))</f>
        <v/>
      </c>
      <c r="FK3106" s="36" t="str">
        <f>IF($FH3106="","",SUM($FN3106:$FN$7000))</f>
        <v/>
      </c>
    </row>
    <row r="3107" spans="152:167">
      <c r="EV3107" s="28">
        <f t="shared" si="97"/>
        <v>0</v>
      </c>
      <c r="FH3107" s="29" t="str">
        <f t="shared" si="98"/>
        <v/>
      </c>
      <c r="FJ3107" s="36" t="str">
        <f>IF($FH3107="","",SUM($FN3107:$FN$7000))</f>
        <v/>
      </c>
      <c r="FK3107" s="36" t="str">
        <f>IF($FH3107="","",SUM($FN3107:$FN$7000))</f>
        <v/>
      </c>
    </row>
    <row r="3108" spans="152:167">
      <c r="EV3108" s="28">
        <f t="shared" si="97"/>
        <v>0</v>
      </c>
      <c r="FH3108" s="29" t="str">
        <f t="shared" si="98"/>
        <v/>
      </c>
      <c r="FJ3108" s="36" t="str">
        <f>IF($FH3108="","",SUM($FN3108:$FN$7000))</f>
        <v/>
      </c>
      <c r="FK3108" s="36" t="str">
        <f>IF($FH3108="","",SUM($FN3108:$FN$7000))</f>
        <v/>
      </c>
    </row>
    <row r="3109" spans="152:167">
      <c r="EV3109" s="28">
        <f t="shared" si="97"/>
        <v>0</v>
      </c>
      <c r="FH3109" s="29" t="str">
        <f t="shared" si="98"/>
        <v/>
      </c>
      <c r="FJ3109" s="36" t="str">
        <f>IF($FH3109="","",SUM($FN3109:$FN$7000))</f>
        <v/>
      </c>
      <c r="FK3109" s="36" t="str">
        <f>IF($FH3109="","",SUM($FN3109:$FN$7000))</f>
        <v/>
      </c>
    </row>
    <row r="3110" spans="152:167">
      <c r="EV3110" s="28">
        <f t="shared" si="97"/>
        <v>0</v>
      </c>
      <c r="FH3110" s="29" t="str">
        <f t="shared" si="98"/>
        <v/>
      </c>
      <c r="FJ3110" s="36" t="str">
        <f>IF($FH3110="","",SUM($FN3110:$FN$7000))</f>
        <v/>
      </c>
      <c r="FK3110" s="36" t="str">
        <f>IF($FH3110="","",SUM($FN3110:$FN$7000))</f>
        <v/>
      </c>
    </row>
    <row r="3111" spans="152:167">
      <c r="EV3111" s="28">
        <f t="shared" si="97"/>
        <v>0</v>
      </c>
      <c r="FH3111" s="29" t="str">
        <f t="shared" si="98"/>
        <v/>
      </c>
      <c r="FJ3111" s="36" t="str">
        <f>IF($FH3111="","",SUM($FN3111:$FN$7000))</f>
        <v/>
      </c>
      <c r="FK3111" s="36" t="str">
        <f>IF($FH3111="","",SUM($FN3111:$FN$7000))</f>
        <v/>
      </c>
    </row>
    <row r="3112" spans="152:167">
      <c r="EV3112" s="28">
        <f t="shared" si="97"/>
        <v>0</v>
      </c>
      <c r="FH3112" s="29" t="str">
        <f t="shared" si="98"/>
        <v/>
      </c>
      <c r="FJ3112" s="36" t="str">
        <f>IF($FH3112="","",SUM($FN3112:$FN$7000))</f>
        <v/>
      </c>
      <c r="FK3112" s="36" t="str">
        <f>IF($FH3112="","",SUM($FN3112:$FN$7000))</f>
        <v/>
      </c>
    </row>
    <row r="3113" spans="152:167">
      <c r="EV3113" s="28">
        <f t="shared" si="97"/>
        <v>0</v>
      </c>
      <c r="FH3113" s="29" t="str">
        <f t="shared" si="98"/>
        <v/>
      </c>
      <c r="FJ3113" s="36" t="str">
        <f>IF($FH3113="","",SUM($FN3113:$FN$7000))</f>
        <v/>
      </c>
      <c r="FK3113" s="36" t="str">
        <f>IF($FH3113="","",SUM($FN3113:$FN$7000))</f>
        <v/>
      </c>
    </row>
    <row r="3114" spans="152:167">
      <c r="EV3114" s="28">
        <f t="shared" si="97"/>
        <v>0</v>
      </c>
      <c r="FH3114" s="29" t="str">
        <f t="shared" si="98"/>
        <v/>
      </c>
      <c r="FJ3114" s="36" t="str">
        <f>IF($FH3114="","",SUM($FN3114:$FN$7000))</f>
        <v/>
      </c>
      <c r="FK3114" s="36" t="str">
        <f>IF($FH3114="","",SUM($FN3114:$FN$7000))</f>
        <v/>
      </c>
    </row>
    <row r="3115" spans="152:167">
      <c r="EV3115" s="28">
        <f t="shared" si="97"/>
        <v>0</v>
      </c>
      <c r="FH3115" s="29" t="str">
        <f t="shared" si="98"/>
        <v/>
      </c>
      <c r="FJ3115" s="36" t="str">
        <f>IF($FH3115="","",SUM($FN3115:$FN$7000))</f>
        <v/>
      </c>
      <c r="FK3115" s="36" t="str">
        <f>IF($FH3115="","",SUM($FN3115:$FN$7000))</f>
        <v/>
      </c>
    </row>
    <row r="3116" spans="152:167">
      <c r="EV3116" s="28">
        <f t="shared" si="97"/>
        <v>0</v>
      </c>
      <c r="FH3116" s="29" t="str">
        <f t="shared" si="98"/>
        <v/>
      </c>
      <c r="FJ3116" s="36" t="str">
        <f>IF($FH3116="","",SUM($FN3116:$FN$7000))</f>
        <v/>
      </c>
      <c r="FK3116" s="36" t="str">
        <f>IF($FH3116="","",SUM($FN3116:$FN$7000))</f>
        <v/>
      </c>
    </row>
    <row r="3117" spans="152:167">
      <c r="EV3117" s="28">
        <f t="shared" si="97"/>
        <v>0</v>
      </c>
      <c r="FH3117" s="29" t="str">
        <f t="shared" si="98"/>
        <v/>
      </c>
      <c r="FJ3117" s="36" t="str">
        <f>IF($FH3117="","",SUM($FN3117:$FN$7000))</f>
        <v/>
      </c>
      <c r="FK3117" s="36" t="str">
        <f>IF($FH3117="","",SUM($FN3117:$FN$7000))</f>
        <v/>
      </c>
    </row>
    <row r="3118" spans="152:167">
      <c r="EV3118" s="28">
        <f t="shared" si="97"/>
        <v>0</v>
      </c>
      <c r="FH3118" s="29" t="str">
        <f t="shared" si="98"/>
        <v/>
      </c>
      <c r="FJ3118" s="36" t="str">
        <f>IF($FH3118="","",SUM($FN3118:$FN$7000))</f>
        <v/>
      </c>
      <c r="FK3118" s="36" t="str">
        <f>IF($FH3118="","",SUM($FN3118:$FN$7000))</f>
        <v/>
      </c>
    </row>
    <row r="3119" spans="152:167">
      <c r="EV3119" s="28">
        <f t="shared" si="97"/>
        <v>0</v>
      </c>
      <c r="FH3119" s="29" t="str">
        <f t="shared" si="98"/>
        <v/>
      </c>
      <c r="FJ3119" s="36" t="str">
        <f>IF($FH3119="","",SUM($FN3119:$FN$7000))</f>
        <v/>
      </c>
      <c r="FK3119" s="36" t="str">
        <f>IF($FH3119="","",SUM($FN3119:$FN$7000))</f>
        <v/>
      </c>
    </row>
    <row r="3120" spans="152:167">
      <c r="EV3120" s="28">
        <f t="shared" si="97"/>
        <v>0</v>
      </c>
      <c r="FH3120" s="29" t="str">
        <f t="shared" si="98"/>
        <v/>
      </c>
      <c r="FJ3120" s="36" t="str">
        <f>IF($FH3120="","",SUM($FN3120:$FN$7000))</f>
        <v/>
      </c>
      <c r="FK3120" s="36" t="str">
        <f>IF($FH3120="","",SUM($FN3120:$FN$7000))</f>
        <v/>
      </c>
    </row>
    <row r="3121" spans="152:167">
      <c r="EV3121" s="28">
        <f t="shared" si="97"/>
        <v>0</v>
      </c>
      <c r="FH3121" s="29" t="str">
        <f t="shared" si="98"/>
        <v/>
      </c>
      <c r="FJ3121" s="36" t="str">
        <f>IF($FH3121="","",SUM($FN3121:$FN$7000))</f>
        <v/>
      </c>
      <c r="FK3121" s="36" t="str">
        <f>IF($FH3121="","",SUM($FN3121:$FN$7000))</f>
        <v/>
      </c>
    </row>
    <row r="3122" spans="152:167">
      <c r="EV3122" s="28">
        <f t="shared" si="97"/>
        <v>0</v>
      </c>
      <c r="FH3122" s="29" t="str">
        <f t="shared" si="98"/>
        <v/>
      </c>
      <c r="FJ3122" s="36" t="str">
        <f>IF($FH3122="","",SUM($FN3122:$FN$7000))</f>
        <v/>
      </c>
      <c r="FK3122" s="36" t="str">
        <f>IF($FH3122="","",SUM($FN3122:$FN$7000))</f>
        <v/>
      </c>
    </row>
    <row r="3123" spans="152:167">
      <c r="EV3123" s="28">
        <f t="shared" si="97"/>
        <v>0</v>
      </c>
      <c r="FH3123" s="29" t="str">
        <f t="shared" si="98"/>
        <v/>
      </c>
      <c r="FJ3123" s="36" t="str">
        <f>IF($FH3123="","",SUM($FN3123:$FN$7000))</f>
        <v/>
      </c>
      <c r="FK3123" s="36" t="str">
        <f>IF($FH3123="","",SUM($FN3123:$FN$7000))</f>
        <v/>
      </c>
    </row>
    <row r="3124" spans="152:167">
      <c r="EV3124" s="28">
        <f t="shared" si="97"/>
        <v>0</v>
      </c>
      <c r="FH3124" s="29" t="str">
        <f t="shared" si="98"/>
        <v/>
      </c>
      <c r="FJ3124" s="36" t="str">
        <f>IF($FH3124="","",SUM($FN3124:$FN$7000))</f>
        <v/>
      </c>
      <c r="FK3124" s="36" t="str">
        <f>IF($FH3124="","",SUM($FN3124:$FN$7000))</f>
        <v/>
      </c>
    </row>
    <row r="3125" spans="152:167">
      <c r="EV3125" s="28">
        <f t="shared" si="97"/>
        <v>0</v>
      </c>
      <c r="FH3125" s="29" t="str">
        <f t="shared" si="98"/>
        <v/>
      </c>
      <c r="FJ3125" s="36" t="str">
        <f>IF($FH3125="","",SUM($FN3125:$FN$7000))</f>
        <v/>
      </c>
      <c r="FK3125" s="36" t="str">
        <f>IF($FH3125="","",SUM($FN3125:$FN$7000))</f>
        <v/>
      </c>
    </row>
    <row r="3126" spans="152:167">
      <c r="EV3126" s="28">
        <f t="shared" si="97"/>
        <v>0</v>
      </c>
      <c r="FH3126" s="29" t="str">
        <f t="shared" si="98"/>
        <v/>
      </c>
      <c r="FJ3126" s="36" t="str">
        <f>IF($FH3126="","",SUM($FN3126:$FN$7000))</f>
        <v/>
      </c>
      <c r="FK3126" s="36" t="str">
        <f>IF($FH3126="","",SUM($FN3126:$FN$7000))</f>
        <v/>
      </c>
    </row>
    <row r="3127" spans="152:167">
      <c r="EV3127" s="28">
        <f t="shared" si="97"/>
        <v>0</v>
      </c>
      <c r="FH3127" s="29" t="str">
        <f t="shared" si="98"/>
        <v/>
      </c>
      <c r="FJ3127" s="36" t="str">
        <f>IF($FH3127="","",SUM($FN3127:$FN$7000))</f>
        <v/>
      </c>
      <c r="FK3127" s="36" t="str">
        <f>IF($FH3127="","",SUM($FN3127:$FN$7000))</f>
        <v/>
      </c>
    </row>
    <row r="3128" spans="152:167">
      <c r="EV3128" s="28">
        <f t="shared" si="97"/>
        <v>0</v>
      </c>
      <c r="FH3128" s="29" t="str">
        <f t="shared" si="98"/>
        <v/>
      </c>
      <c r="FJ3128" s="36" t="str">
        <f>IF($FH3128="","",SUM($FN3128:$FN$7000))</f>
        <v/>
      </c>
      <c r="FK3128" s="36" t="str">
        <f>IF($FH3128="","",SUM($FN3128:$FN$7000))</f>
        <v/>
      </c>
    </row>
    <row r="3129" spans="152:167">
      <c r="EV3129" s="28">
        <f t="shared" si="97"/>
        <v>0</v>
      </c>
      <c r="FH3129" s="29" t="str">
        <f t="shared" si="98"/>
        <v/>
      </c>
      <c r="FJ3129" s="36" t="str">
        <f>IF($FH3129="","",SUM($FN3129:$FN$7000))</f>
        <v/>
      </c>
      <c r="FK3129" s="36" t="str">
        <f>IF($FH3129="","",SUM($FN3129:$FN$7000))</f>
        <v/>
      </c>
    </row>
    <row r="3130" spans="152:167">
      <c r="EV3130" s="28">
        <f t="shared" si="97"/>
        <v>0</v>
      </c>
      <c r="FH3130" s="29" t="str">
        <f t="shared" si="98"/>
        <v/>
      </c>
      <c r="FJ3130" s="36" t="str">
        <f>IF($FH3130="","",SUM($FN3130:$FN$7000))</f>
        <v/>
      </c>
      <c r="FK3130" s="36" t="str">
        <f>IF($FH3130="","",SUM($FN3130:$FN$7000))</f>
        <v/>
      </c>
    </row>
    <row r="3131" spans="152:167">
      <c r="EV3131" s="28">
        <f t="shared" si="97"/>
        <v>0</v>
      </c>
      <c r="FH3131" s="29" t="str">
        <f t="shared" si="98"/>
        <v/>
      </c>
      <c r="FJ3131" s="36" t="str">
        <f>IF($FH3131="","",SUM($FN3131:$FN$7000))</f>
        <v/>
      </c>
      <c r="FK3131" s="36" t="str">
        <f>IF($FH3131="","",SUM($FN3131:$FN$7000))</f>
        <v/>
      </c>
    </row>
    <row r="3132" spans="152:167">
      <c r="EV3132" s="28">
        <f t="shared" si="97"/>
        <v>0</v>
      </c>
      <c r="FH3132" s="29" t="str">
        <f t="shared" si="98"/>
        <v/>
      </c>
      <c r="FJ3132" s="36" t="str">
        <f>IF($FH3132="","",SUM($FN3132:$FN$7000))</f>
        <v/>
      </c>
      <c r="FK3132" s="36" t="str">
        <f>IF($FH3132="","",SUM($FN3132:$FN$7000))</f>
        <v/>
      </c>
    </row>
    <row r="3133" spans="152:167">
      <c r="EV3133" s="28">
        <f t="shared" si="97"/>
        <v>0</v>
      </c>
      <c r="FH3133" s="29" t="str">
        <f t="shared" si="98"/>
        <v/>
      </c>
      <c r="FJ3133" s="36" t="str">
        <f>IF($FH3133="","",SUM($FN3133:$FN$7000))</f>
        <v/>
      </c>
      <c r="FK3133" s="36" t="str">
        <f>IF($FH3133="","",SUM($FN3133:$FN$7000))</f>
        <v/>
      </c>
    </row>
    <row r="3134" spans="152:167">
      <c r="EV3134" s="28">
        <f t="shared" si="97"/>
        <v>0</v>
      </c>
      <c r="FH3134" s="29" t="str">
        <f t="shared" si="98"/>
        <v/>
      </c>
      <c r="FJ3134" s="36" t="str">
        <f>IF($FH3134="","",SUM($FN3134:$FN$7000))</f>
        <v/>
      </c>
      <c r="FK3134" s="36" t="str">
        <f>IF($FH3134="","",SUM($FN3134:$FN$7000))</f>
        <v/>
      </c>
    </row>
    <row r="3135" spans="152:167">
      <c r="EV3135" s="28">
        <f t="shared" si="97"/>
        <v>0</v>
      </c>
      <c r="FH3135" s="29" t="str">
        <f t="shared" si="98"/>
        <v/>
      </c>
      <c r="FJ3135" s="36" t="str">
        <f>IF($FH3135="","",SUM($FN3135:$FN$7000))</f>
        <v/>
      </c>
      <c r="FK3135" s="36" t="str">
        <f>IF($FH3135="","",SUM($FN3135:$FN$7000))</f>
        <v/>
      </c>
    </row>
    <row r="3136" spans="152:167">
      <c r="EV3136" s="28">
        <f t="shared" si="97"/>
        <v>0</v>
      </c>
      <c r="FH3136" s="29" t="str">
        <f t="shared" si="98"/>
        <v/>
      </c>
      <c r="FJ3136" s="36" t="str">
        <f>IF($FH3136="","",SUM($FN3136:$FN$7000))</f>
        <v/>
      </c>
      <c r="FK3136" s="36" t="str">
        <f>IF($FH3136="","",SUM($FN3136:$FN$7000))</f>
        <v/>
      </c>
    </row>
    <row r="3137" spans="152:167">
      <c r="EV3137" s="28">
        <f t="shared" si="97"/>
        <v>0</v>
      </c>
      <c r="FH3137" s="29" t="str">
        <f t="shared" si="98"/>
        <v/>
      </c>
      <c r="FJ3137" s="36" t="str">
        <f>IF($FH3137="","",SUM($FN3137:$FN$7000))</f>
        <v/>
      </c>
      <c r="FK3137" s="36" t="str">
        <f>IF($FH3137="","",SUM($FN3137:$FN$7000))</f>
        <v/>
      </c>
    </row>
    <row r="3138" spans="152:167">
      <c r="EV3138" s="28">
        <f t="shared" si="97"/>
        <v>0</v>
      </c>
      <c r="FH3138" s="29" t="str">
        <f t="shared" si="98"/>
        <v/>
      </c>
      <c r="FJ3138" s="36" t="str">
        <f>IF($FH3138="","",SUM($FN3138:$FN$7000))</f>
        <v/>
      </c>
      <c r="FK3138" s="36" t="str">
        <f>IF($FH3138="","",SUM($FN3138:$FN$7000))</f>
        <v/>
      </c>
    </row>
    <row r="3139" spans="152:167">
      <c r="EV3139" s="28">
        <f t="shared" si="97"/>
        <v>0</v>
      </c>
      <c r="FH3139" s="29" t="str">
        <f t="shared" si="98"/>
        <v/>
      </c>
      <c r="FJ3139" s="36" t="str">
        <f>IF($FH3139="","",SUM($FN3139:$FN$7000))</f>
        <v/>
      </c>
      <c r="FK3139" s="36" t="str">
        <f>IF($FH3139="","",SUM($FN3139:$FN$7000))</f>
        <v/>
      </c>
    </row>
    <row r="3140" spans="152:167">
      <c r="EV3140" s="28">
        <f t="shared" si="97"/>
        <v>0</v>
      </c>
      <c r="FH3140" s="29" t="str">
        <f t="shared" si="98"/>
        <v/>
      </c>
      <c r="FJ3140" s="36" t="str">
        <f>IF($FH3140="","",SUM($FN3140:$FN$7000))</f>
        <v/>
      </c>
      <c r="FK3140" s="36" t="str">
        <f>IF($FH3140="","",SUM($FN3140:$FN$7000))</f>
        <v/>
      </c>
    </row>
    <row r="3141" spans="152:167">
      <c r="EV3141" s="28">
        <f t="shared" si="97"/>
        <v>0</v>
      </c>
      <c r="FH3141" s="29" t="str">
        <f t="shared" si="98"/>
        <v/>
      </c>
      <c r="FJ3141" s="36" t="str">
        <f>IF($FH3141="","",SUM($FN3141:$FN$7000))</f>
        <v/>
      </c>
      <c r="FK3141" s="36" t="str">
        <f>IF($FH3141="","",SUM($FN3141:$FN$7000))</f>
        <v/>
      </c>
    </row>
    <row r="3142" spans="152:167">
      <c r="EV3142" s="28">
        <f t="shared" si="97"/>
        <v>0</v>
      </c>
      <c r="FH3142" s="29" t="str">
        <f t="shared" si="98"/>
        <v/>
      </c>
      <c r="FJ3142" s="36" t="str">
        <f>IF($FH3142="","",SUM($FN3142:$FN$7000))</f>
        <v/>
      </c>
      <c r="FK3142" s="36" t="str">
        <f>IF($FH3142="","",SUM($FN3142:$FN$7000))</f>
        <v/>
      </c>
    </row>
    <row r="3143" spans="152:167">
      <c r="EV3143" s="28">
        <f t="shared" si="97"/>
        <v>0</v>
      </c>
      <c r="FH3143" s="29" t="str">
        <f t="shared" si="98"/>
        <v/>
      </c>
      <c r="FJ3143" s="36" t="str">
        <f>IF($FH3143="","",SUM($FN3143:$FN$7000))</f>
        <v/>
      </c>
      <c r="FK3143" s="36" t="str">
        <f>IF($FH3143="","",SUM($FN3143:$FN$7000))</f>
        <v/>
      </c>
    </row>
    <row r="3144" spans="152:167">
      <c r="EV3144" s="28">
        <f t="shared" si="97"/>
        <v>0</v>
      </c>
      <c r="FH3144" s="29" t="str">
        <f t="shared" si="98"/>
        <v/>
      </c>
      <c r="FJ3144" s="36" t="str">
        <f>IF($FH3144="","",SUM($FN3144:$FN$7000))</f>
        <v/>
      </c>
      <c r="FK3144" s="36" t="str">
        <f>IF($FH3144="","",SUM($FN3144:$FN$7000))</f>
        <v/>
      </c>
    </row>
    <row r="3145" spans="152:167">
      <c r="EV3145" s="28">
        <f t="shared" si="97"/>
        <v>0</v>
      </c>
      <c r="FH3145" s="29" t="str">
        <f t="shared" si="98"/>
        <v/>
      </c>
      <c r="FJ3145" s="36" t="str">
        <f>IF($FH3145="","",SUM($FN3145:$FN$7000))</f>
        <v/>
      </c>
      <c r="FK3145" s="36" t="str">
        <f>IF($FH3145="","",SUM($FN3145:$FN$7000))</f>
        <v/>
      </c>
    </row>
    <row r="3146" spans="152:167">
      <c r="EV3146" s="28">
        <f t="shared" si="97"/>
        <v>0</v>
      </c>
      <c r="FH3146" s="29" t="str">
        <f t="shared" si="98"/>
        <v/>
      </c>
      <c r="FJ3146" s="36" t="str">
        <f>IF($FH3146="","",SUM($FN3146:$FN$7000))</f>
        <v/>
      </c>
      <c r="FK3146" s="36" t="str">
        <f>IF($FH3146="","",SUM($FN3146:$FN$7000))</f>
        <v/>
      </c>
    </row>
    <row r="3147" spans="152:167">
      <c r="EV3147" s="28">
        <f t="shared" ref="EV3147:EV3210" si="99">EU3147-ET3147</f>
        <v>0</v>
      </c>
      <c r="FH3147" s="29" t="str">
        <f t="shared" ref="FH3147:FH3210" si="100">IF(FL3147="","",FL3147)</f>
        <v/>
      </c>
      <c r="FJ3147" s="36" t="str">
        <f>IF($FH3147="","",SUM($FN3147:$FN$7000))</f>
        <v/>
      </c>
      <c r="FK3147" s="36" t="str">
        <f>IF($FH3147="","",SUM($FN3147:$FN$7000))</f>
        <v/>
      </c>
    </row>
    <row r="3148" spans="152:167">
      <c r="EV3148" s="28">
        <f t="shared" si="99"/>
        <v>0</v>
      </c>
      <c r="FH3148" s="29" t="str">
        <f t="shared" si="100"/>
        <v/>
      </c>
      <c r="FJ3148" s="36" t="str">
        <f>IF($FH3148="","",SUM($FN3148:$FN$7000))</f>
        <v/>
      </c>
      <c r="FK3148" s="36" t="str">
        <f>IF($FH3148="","",SUM($FN3148:$FN$7000))</f>
        <v/>
      </c>
    </row>
    <row r="3149" spans="152:167">
      <c r="EV3149" s="28">
        <f t="shared" si="99"/>
        <v>0</v>
      </c>
      <c r="FH3149" s="29" t="str">
        <f t="shared" si="100"/>
        <v/>
      </c>
      <c r="FJ3149" s="36" t="str">
        <f>IF($FH3149="","",SUM($FN3149:$FN$7000))</f>
        <v/>
      </c>
      <c r="FK3149" s="36" t="str">
        <f>IF($FH3149="","",SUM($FN3149:$FN$7000))</f>
        <v/>
      </c>
    </row>
    <row r="3150" spans="152:167">
      <c r="EV3150" s="28">
        <f t="shared" si="99"/>
        <v>0</v>
      </c>
      <c r="FH3150" s="29" t="str">
        <f t="shared" si="100"/>
        <v/>
      </c>
      <c r="FJ3150" s="36" t="str">
        <f>IF($FH3150="","",SUM($FN3150:$FN$7000))</f>
        <v/>
      </c>
      <c r="FK3150" s="36" t="str">
        <f>IF($FH3150="","",SUM($FN3150:$FN$7000))</f>
        <v/>
      </c>
    </row>
    <row r="3151" spans="152:167">
      <c r="EV3151" s="28">
        <f t="shared" si="99"/>
        <v>0</v>
      </c>
      <c r="FH3151" s="29" t="str">
        <f t="shared" si="100"/>
        <v/>
      </c>
      <c r="FJ3151" s="36" t="str">
        <f>IF($FH3151="","",SUM($FN3151:$FN$7000))</f>
        <v/>
      </c>
      <c r="FK3151" s="36" t="str">
        <f>IF($FH3151="","",SUM($FN3151:$FN$7000))</f>
        <v/>
      </c>
    </row>
    <row r="3152" spans="152:167">
      <c r="EV3152" s="28">
        <f t="shared" si="99"/>
        <v>0</v>
      </c>
      <c r="FH3152" s="29" t="str">
        <f t="shared" si="100"/>
        <v/>
      </c>
      <c r="FJ3152" s="36" t="str">
        <f>IF($FH3152="","",SUM($FN3152:$FN$7000))</f>
        <v/>
      </c>
      <c r="FK3152" s="36" t="str">
        <f>IF($FH3152="","",SUM($FN3152:$FN$7000))</f>
        <v/>
      </c>
    </row>
    <row r="3153" spans="152:167">
      <c r="EV3153" s="28">
        <f t="shared" si="99"/>
        <v>0</v>
      </c>
      <c r="FH3153" s="29" t="str">
        <f t="shared" si="100"/>
        <v/>
      </c>
      <c r="FJ3153" s="36" t="str">
        <f>IF($FH3153="","",SUM($FN3153:$FN$7000))</f>
        <v/>
      </c>
      <c r="FK3153" s="36" t="str">
        <f>IF($FH3153="","",SUM($FN3153:$FN$7000))</f>
        <v/>
      </c>
    </row>
    <row r="3154" spans="152:167">
      <c r="EV3154" s="28">
        <f t="shared" si="99"/>
        <v>0</v>
      </c>
      <c r="FH3154" s="29" t="str">
        <f t="shared" si="100"/>
        <v/>
      </c>
      <c r="FJ3154" s="36" t="str">
        <f>IF($FH3154="","",SUM($FN3154:$FN$7000))</f>
        <v/>
      </c>
      <c r="FK3154" s="36" t="str">
        <f>IF($FH3154="","",SUM($FN3154:$FN$7000))</f>
        <v/>
      </c>
    </row>
    <row r="3155" spans="152:167">
      <c r="EV3155" s="28">
        <f t="shared" si="99"/>
        <v>0</v>
      </c>
      <c r="FH3155" s="29" t="str">
        <f t="shared" si="100"/>
        <v/>
      </c>
      <c r="FJ3155" s="36" t="str">
        <f>IF($FH3155="","",SUM($FN3155:$FN$7000))</f>
        <v/>
      </c>
      <c r="FK3155" s="36" t="str">
        <f>IF($FH3155="","",SUM($FN3155:$FN$7000))</f>
        <v/>
      </c>
    </row>
    <row r="3156" spans="152:167">
      <c r="EV3156" s="28">
        <f t="shared" si="99"/>
        <v>0</v>
      </c>
      <c r="FH3156" s="29" t="str">
        <f t="shared" si="100"/>
        <v/>
      </c>
      <c r="FJ3156" s="36" t="str">
        <f>IF($FH3156="","",SUM($FN3156:$FN$7000))</f>
        <v/>
      </c>
      <c r="FK3156" s="36" t="str">
        <f>IF($FH3156="","",SUM($FN3156:$FN$7000))</f>
        <v/>
      </c>
    </row>
    <row r="3157" spans="152:167">
      <c r="EV3157" s="28">
        <f t="shared" si="99"/>
        <v>0</v>
      </c>
      <c r="FH3157" s="29" t="str">
        <f t="shared" si="100"/>
        <v/>
      </c>
      <c r="FJ3157" s="36" t="str">
        <f>IF($FH3157="","",SUM($FN3157:$FN$7000))</f>
        <v/>
      </c>
      <c r="FK3157" s="36" t="str">
        <f>IF($FH3157="","",SUM($FN3157:$FN$7000))</f>
        <v/>
      </c>
    </row>
    <row r="3158" spans="152:167">
      <c r="EV3158" s="28">
        <f t="shared" si="99"/>
        <v>0</v>
      </c>
      <c r="FH3158" s="29" t="str">
        <f t="shared" si="100"/>
        <v/>
      </c>
      <c r="FJ3158" s="36" t="str">
        <f>IF($FH3158="","",SUM($FN3158:$FN$7000))</f>
        <v/>
      </c>
      <c r="FK3158" s="36" t="str">
        <f>IF($FH3158="","",SUM($FN3158:$FN$7000))</f>
        <v/>
      </c>
    </row>
    <row r="3159" spans="152:167">
      <c r="EV3159" s="28">
        <f t="shared" si="99"/>
        <v>0</v>
      </c>
      <c r="FH3159" s="29" t="str">
        <f t="shared" si="100"/>
        <v/>
      </c>
      <c r="FJ3159" s="36" t="str">
        <f>IF($FH3159="","",SUM($FN3159:$FN$7000))</f>
        <v/>
      </c>
      <c r="FK3159" s="36" t="str">
        <f>IF($FH3159="","",SUM($FN3159:$FN$7000))</f>
        <v/>
      </c>
    </row>
    <row r="3160" spans="152:167">
      <c r="EV3160" s="28">
        <f t="shared" si="99"/>
        <v>0</v>
      </c>
      <c r="FH3160" s="29" t="str">
        <f t="shared" si="100"/>
        <v/>
      </c>
      <c r="FJ3160" s="36" t="str">
        <f>IF($FH3160="","",SUM($FN3160:$FN$7000))</f>
        <v/>
      </c>
      <c r="FK3160" s="36" t="str">
        <f>IF($FH3160="","",SUM($FN3160:$FN$7000))</f>
        <v/>
      </c>
    </row>
    <row r="3161" spans="152:167">
      <c r="EV3161" s="28">
        <f t="shared" si="99"/>
        <v>0</v>
      </c>
      <c r="FH3161" s="29" t="str">
        <f t="shared" si="100"/>
        <v/>
      </c>
      <c r="FJ3161" s="36" t="str">
        <f>IF($FH3161="","",SUM($FN3161:$FN$7000))</f>
        <v/>
      </c>
      <c r="FK3161" s="36" t="str">
        <f>IF($FH3161="","",SUM($FN3161:$FN$7000))</f>
        <v/>
      </c>
    </row>
    <row r="3162" spans="152:167">
      <c r="EV3162" s="28">
        <f t="shared" si="99"/>
        <v>0</v>
      </c>
      <c r="FH3162" s="29" t="str">
        <f t="shared" si="100"/>
        <v/>
      </c>
      <c r="FJ3162" s="36" t="str">
        <f>IF($FH3162="","",SUM($FN3162:$FN$7000))</f>
        <v/>
      </c>
      <c r="FK3162" s="36" t="str">
        <f>IF($FH3162="","",SUM($FN3162:$FN$7000))</f>
        <v/>
      </c>
    </row>
    <row r="3163" spans="152:167">
      <c r="EV3163" s="28">
        <f t="shared" si="99"/>
        <v>0</v>
      </c>
      <c r="FH3163" s="29" t="str">
        <f t="shared" si="100"/>
        <v/>
      </c>
      <c r="FJ3163" s="36" t="str">
        <f>IF($FH3163="","",SUM($FN3163:$FN$7000))</f>
        <v/>
      </c>
      <c r="FK3163" s="36" t="str">
        <f>IF($FH3163="","",SUM($FN3163:$FN$7000))</f>
        <v/>
      </c>
    </row>
    <row r="3164" spans="152:167">
      <c r="EV3164" s="28">
        <f t="shared" si="99"/>
        <v>0</v>
      </c>
      <c r="FH3164" s="29" t="str">
        <f t="shared" si="100"/>
        <v/>
      </c>
      <c r="FJ3164" s="36" t="str">
        <f>IF($FH3164="","",SUM($FN3164:$FN$7000))</f>
        <v/>
      </c>
      <c r="FK3164" s="36" t="str">
        <f>IF($FH3164="","",SUM($FN3164:$FN$7000))</f>
        <v/>
      </c>
    </row>
    <row r="3165" spans="152:167">
      <c r="EV3165" s="28">
        <f t="shared" si="99"/>
        <v>0</v>
      </c>
      <c r="FH3165" s="29" t="str">
        <f t="shared" si="100"/>
        <v/>
      </c>
      <c r="FJ3165" s="36" t="str">
        <f>IF($FH3165="","",SUM($FN3165:$FN$7000))</f>
        <v/>
      </c>
      <c r="FK3165" s="36" t="str">
        <f>IF($FH3165="","",SUM($FN3165:$FN$7000))</f>
        <v/>
      </c>
    </row>
    <row r="3166" spans="152:167">
      <c r="EV3166" s="28">
        <f t="shared" si="99"/>
        <v>0</v>
      </c>
      <c r="FH3166" s="29" t="str">
        <f t="shared" si="100"/>
        <v/>
      </c>
      <c r="FJ3166" s="36" t="str">
        <f>IF($FH3166="","",SUM($FN3166:$FN$7000))</f>
        <v/>
      </c>
      <c r="FK3166" s="36" t="str">
        <f>IF($FH3166="","",SUM($FN3166:$FN$7000))</f>
        <v/>
      </c>
    </row>
    <row r="3167" spans="152:167">
      <c r="EV3167" s="28">
        <f t="shared" si="99"/>
        <v>0</v>
      </c>
      <c r="FH3167" s="29" t="str">
        <f t="shared" si="100"/>
        <v/>
      </c>
      <c r="FJ3167" s="36" t="str">
        <f>IF($FH3167="","",SUM($FN3167:$FN$7000))</f>
        <v/>
      </c>
      <c r="FK3167" s="36" t="str">
        <f>IF($FH3167="","",SUM($FN3167:$FN$7000))</f>
        <v/>
      </c>
    </row>
    <row r="3168" spans="152:167">
      <c r="EV3168" s="28">
        <f t="shared" si="99"/>
        <v>0</v>
      </c>
      <c r="FH3168" s="29" t="str">
        <f t="shared" si="100"/>
        <v/>
      </c>
      <c r="FJ3168" s="36" t="str">
        <f>IF($FH3168="","",SUM($FN3168:$FN$7000))</f>
        <v/>
      </c>
      <c r="FK3168" s="36" t="str">
        <f>IF($FH3168="","",SUM($FN3168:$FN$7000))</f>
        <v/>
      </c>
    </row>
    <row r="3169" spans="152:167">
      <c r="EV3169" s="28">
        <f t="shared" si="99"/>
        <v>0</v>
      </c>
      <c r="FH3169" s="29" t="str">
        <f t="shared" si="100"/>
        <v/>
      </c>
      <c r="FJ3169" s="36" t="str">
        <f>IF($FH3169="","",SUM($FN3169:$FN$7000))</f>
        <v/>
      </c>
      <c r="FK3169" s="36" t="str">
        <f>IF($FH3169="","",SUM($FN3169:$FN$7000))</f>
        <v/>
      </c>
    </row>
    <row r="3170" spans="152:167">
      <c r="EV3170" s="28">
        <f t="shared" si="99"/>
        <v>0</v>
      </c>
      <c r="FH3170" s="29" t="str">
        <f t="shared" si="100"/>
        <v/>
      </c>
      <c r="FJ3170" s="36" t="str">
        <f>IF($FH3170="","",SUM($FN3170:$FN$7000))</f>
        <v/>
      </c>
      <c r="FK3170" s="36" t="str">
        <f>IF($FH3170="","",SUM($FN3170:$FN$7000))</f>
        <v/>
      </c>
    </row>
    <row r="3171" spans="152:167">
      <c r="EV3171" s="28">
        <f t="shared" si="99"/>
        <v>0</v>
      </c>
      <c r="FH3171" s="29" t="str">
        <f t="shared" si="100"/>
        <v/>
      </c>
      <c r="FJ3171" s="36" t="str">
        <f>IF($FH3171="","",SUM($FN3171:$FN$7000))</f>
        <v/>
      </c>
      <c r="FK3171" s="36" t="str">
        <f>IF($FH3171="","",SUM($FN3171:$FN$7000))</f>
        <v/>
      </c>
    </row>
    <row r="3172" spans="152:167">
      <c r="EV3172" s="28">
        <f t="shared" si="99"/>
        <v>0</v>
      </c>
      <c r="FH3172" s="29" t="str">
        <f t="shared" si="100"/>
        <v/>
      </c>
      <c r="FJ3172" s="36" t="str">
        <f>IF($FH3172="","",SUM($FN3172:$FN$7000))</f>
        <v/>
      </c>
      <c r="FK3172" s="36" t="str">
        <f>IF($FH3172="","",SUM($FN3172:$FN$7000))</f>
        <v/>
      </c>
    </row>
    <row r="3173" spans="152:167">
      <c r="EV3173" s="28">
        <f t="shared" si="99"/>
        <v>0</v>
      </c>
      <c r="FH3173" s="29" t="str">
        <f t="shared" si="100"/>
        <v/>
      </c>
      <c r="FJ3173" s="36" t="str">
        <f>IF($FH3173="","",SUM($FN3173:$FN$7000))</f>
        <v/>
      </c>
      <c r="FK3173" s="36" t="str">
        <f>IF($FH3173="","",SUM($FN3173:$FN$7000))</f>
        <v/>
      </c>
    </row>
    <row r="3174" spans="152:167">
      <c r="EV3174" s="28">
        <f t="shared" si="99"/>
        <v>0</v>
      </c>
      <c r="FH3174" s="29" t="str">
        <f t="shared" si="100"/>
        <v/>
      </c>
      <c r="FJ3174" s="36" t="str">
        <f>IF($FH3174="","",SUM($FN3174:$FN$7000))</f>
        <v/>
      </c>
      <c r="FK3174" s="36" t="str">
        <f>IF($FH3174="","",SUM($FN3174:$FN$7000))</f>
        <v/>
      </c>
    </row>
    <row r="3175" spans="152:167">
      <c r="EV3175" s="28">
        <f t="shared" si="99"/>
        <v>0</v>
      </c>
      <c r="FH3175" s="29" t="str">
        <f t="shared" si="100"/>
        <v/>
      </c>
      <c r="FJ3175" s="36" t="str">
        <f>IF($FH3175="","",SUM($FN3175:$FN$7000))</f>
        <v/>
      </c>
      <c r="FK3175" s="36" t="str">
        <f>IF($FH3175="","",SUM($FN3175:$FN$7000))</f>
        <v/>
      </c>
    </row>
    <row r="3176" spans="152:167">
      <c r="EV3176" s="28">
        <f t="shared" si="99"/>
        <v>0</v>
      </c>
      <c r="FH3176" s="29" t="str">
        <f t="shared" si="100"/>
        <v/>
      </c>
      <c r="FJ3176" s="36" t="str">
        <f>IF($FH3176="","",SUM($FN3176:$FN$7000))</f>
        <v/>
      </c>
      <c r="FK3176" s="36" t="str">
        <f>IF($FH3176="","",SUM($FN3176:$FN$7000))</f>
        <v/>
      </c>
    </row>
    <row r="3177" spans="152:167">
      <c r="EV3177" s="28">
        <f t="shared" si="99"/>
        <v>0</v>
      </c>
      <c r="FH3177" s="29" t="str">
        <f t="shared" si="100"/>
        <v/>
      </c>
      <c r="FJ3177" s="36" t="str">
        <f>IF($FH3177="","",SUM($FN3177:$FN$7000))</f>
        <v/>
      </c>
      <c r="FK3177" s="36" t="str">
        <f>IF($FH3177="","",SUM($FN3177:$FN$7000))</f>
        <v/>
      </c>
    </row>
    <row r="3178" spans="152:167">
      <c r="EV3178" s="28">
        <f t="shared" si="99"/>
        <v>0</v>
      </c>
      <c r="FH3178" s="29" t="str">
        <f t="shared" si="100"/>
        <v/>
      </c>
      <c r="FJ3178" s="36" t="str">
        <f>IF($FH3178="","",SUM($FN3178:$FN$7000))</f>
        <v/>
      </c>
      <c r="FK3178" s="36" t="str">
        <f>IF($FH3178="","",SUM($FN3178:$FN$7000))</f>
        <v/>
      </c>
    </row>
    <row r="3179" spans="152:167">
      <c r="EV3179" s="28">
        <f t="shared" si="99"/>
        <v>0</v>
      </c>
      <c r="FH3179" s="29" t="str">
        <f t="shared" si="100"/>
        <v/>
      </c>
      <c r="FJ3179" s="36" t="str">
        <f>IF($FH3179="","",SUM($FN3179:$FN$7000))</f>
        <v/>
      </c>
      <c r="FK3179" s="36" t="str">
        <f>IF($FH3179="","",SUM($FN3179:$FN$7000))</f>
        <v/>
      </c>
    </row>
    <row r="3180" spans="152:167">
      <c r="EV3180" s="28">
        <f t="shared" si="99"/>
        <v>0</v>
      </c>
      <c r="FH3180" s="29" t="str">
        <f t="shared" si="100"/>
        <v/>
      </c>
      <c r="FJ3180" s="36" t="str">
        <f>IF($FH3180="","",SUM($FN3180:$FN$7000))</f>
        <v/>
      </c>
      <c r="FK3180" s="36" t="str">
        <f>IF($FH3180="","",SUM($FN3180:$FN$7000))</f>
        <v/>
      </c>
    </row>
    <row r="3181" spans="152:167">
      <c r="EV3181" s="28">
        <f t="shared" si="99"/>
        <v>0</v>
      </c>
      <c r="FH3181" s="29" t="str">
        <f t="shared" si="100"/>
        <v/>
      </c>
      <c r="FJ3181" s="36" t="str">
        <f>IF($FH3181="","",SUM($FN3181:$FN$7000))</f>
        <v/>
      </c>
      <c r="FK3181" s="36" t="str">
        <f>IF($FH3181="","",SUM($FN3181:$FN$7000))</f>
        <v/>
      </c>
    </row>
    <row r="3182" spans="152:167">
      <c r="EV3182" s="28">
        <f t="shared" si="99"/>
        <v>0</v>
      </c>
      <c r="FH3182" s="29" t="str">
        <f t="shared" si="100"/>
        <v/>
      </c>
      <c r="FJ3182" s="36" t="str">
        <f>IF($FH3182="","",SUM($FN3182:$FN$7000))</f>
        <v/>
      </c>
      <c r="FK3182" s="36" t="str">
        <f>IF($FH3182="","",SUM($FN3182:$FN$7000))</f>
        <v/>
      </c>
    </row>
    <row r="3183" spans="152:167">
      <c r="EV3183" s="28">
        <f t="shared" si="99"/>
        <v>0</v>
      </c>
      <c r="FH3183" s="29" t="str">
        <f t="shared" si="100"/>
        <v/>
      </c>
      <c r="FJ3183" s="36" t="str">
        <f>IF($FH3183="","",SUM($FN3183:$FN$7000))</f>
        <v/>
      </c>
      <c r="FK3183" s="36" t="str">
        <f>IF($FH3183="","",SUM($FN3183:$FN$7000))</f>
        <v/>
      </c>
    </row>
    <row r="3184" spans="152:167">
      <c r="EV3184" s="28">
        <f t="shared" si="99"/>
        <v>0</v>
      </c>
      <c r="FH3184" s="29" t="str">
        <f t="shared" si="100"/>
        <v/>
      </c>
      <c r="FJ3184" s="36" t="str">
        <f>IF($FH3184="","",SUM($FN3184:$FN$7000))</f>
        <v/>
      </c>
      <c r="FK3184" s="36" t="str">
        <f>IF($FH3184="","",SUM($FN3184:$FN$7000))</f>
        <v/>
      </c>
    </row>
    <row r="3185" spans="152:167">
      <c r="EV3185" s="28">
        <f t="shared" si="99"/>
        <v>0</v>
      </c>
      <c r="FH3185" s="29" t="str">
        <f t="shared" si="100"/>
        <v/>
      </c>
      <c r="FJ3185" s="36" t="str">
        <f>IF($FH3185="","",SUM($FN3185:$FN$7000))</f>
        <v/>
      </c>
      <c r="FK3185" s="36" t="str">
        <f>IF($FH3185="","",SUM($FN3185:$FN$7000))</f>
        <v/>
      </c>
    </row>
    <row r="3186" spans="152:167">
      <c r="EV3186" s="28">
        <f t="shared" si="99"/>
        <v>0</v>
      </c>
      <c r="FH3186" s="29" t="str">
        <f t="shared" si="100"/>
        <v/>
      </c>
      <c r="FJ3186" s="36" t="str">
        <f>IF($FH3186="","",SUM($FN3186:$FN$7000))</f>
        <v/>
      </c>
      <c r="FK3186" s="36" t="str">
        <f>IF($FH3186="","",SUM($FN3186:$FN$7000))</f>
        <v/>
      </c>
    </row>
    <row r="3187" spans="152:167">
      <c r="EV3187" s="28">
        <f t="shared" si="99"/>
        <v>0</v>
      </c>
      <c r="FH3187" s="29" t="str">
        <f t="shared" si="100"/>
        <v/>
      </c>
      <c r="FJ3187" s="36" t="str">
        <f>IF($FH3187="","",SUM($FN3187:$FN$7000))</f>
        <v/>
      </c>
      <c r="FK3187" s="36" t="str">
        <f>IF($FH3187="","",SUM($FN3187:$FN$7000))</f>
        <v/>
      </c>
    </row>
    <row r="3188" spans="152:167">
      <c r="EV3188" s="28">
        <f t="shared" si="99"/>
        <v>0</v>
      </c>
      <c r="FH3188" s="29" t="str">
        <f t="shared" si="100"/>
        <v/>
      </c>
      <c r="FJ3188" s="36" t="str">
        <f>IF($FH3188="","",SUM($FN3188:$FN$7000))</f>
        <v/>
      </c>
      <c r="FK3188" s="36" t="str">
        <f>IF($FH3188="","",SUM($FN3188:$FN$7000))</f>
        <v/>
      </c>
    </row>
    <row r="3189" spans="152:167">
      <c r="EV3189" s="28">
        <f t="shared" si="99"/>
        <v>0</v>
      </c>
      <c r="FH3189" s="29" t="str">
        <f t="shared" si="100"/>
        <v/>
      </c>
      <c r="FJ3189" s="36" t="str">
        <f>IF($FH3189="","",SUM($FN3189:$FN$7000))</f>
        <v/>
      </c>
      <c r="FK3189" s="36" t="str">
        <f>IF($FH3189="","",SUM($FN3189:$FN$7000))</f>
        <v/>
      </c>
    </row>
    <row r="3190" spans="152:167">
      <c r="EV3190" s="28">
        <f t="shared" si="99"/>
        <v>0</v>
      </c>
      <c r="FH3190" s="29" t="str">
        <f t="shared" si="100"/>
        <v/>
      </c>
      <c r="FJ3190" s="36" t="str">
        <f>IF($FH3190="","",SUM($FN3190:$FN$7000))</f>
        <v/>
      </c>
      <c r="FK3190" s="36" t="str">
        <f>IF($FH3190="","",SUM($FN3190:$FN$7000))</f>
        <v/>
      </c>
    </row>
    <row r="3191" spans="152:167">
      <c r="EV3191" s="28">
        <f t="shared" si="99"/>
        <v>0</v>
      </c>
      <c r="FH3191" s="29" t="str">
        <f t="shared" si="100"/>
        <v/>
      </c>
      <c r="FJ3191" s="36" t="str">
        <f>IF($FH3191="","",SUM($FN3191:$FN$7000))</f>
        <v/>
      </c>
      <c r="FK3191" s="36" t="str">
        <f>IF($FH3191="","",SUM($FN3191:$FN$7000))</f>
        <v/>
      </c>
    </row>
    <row r="3192" spans="152:167">
      <c r="EV3192" s="28">
        <f t="shared" si="99"/>
        <v>0</v>
      </c>
      <c r="FH3192" s="29" t="str">
        <f t="shared" si="100"/>
        <v/>
      </c>
      <c r="FJ3192" s="36" t="str">
        <f>IF($FH3192="","",SUM($FN3192:$FN$7000))</f>
        <v/>
      </c>
      <c r="FK3192" s="36" t="str">
        <f>IF($FH3192="","",SUM($FN3192:$FN$7000))</f>
        <v/>
      </c>
    </row>
    <row r="3193" spans="152:167">
      <c r="EV3193" s="28">
        <f t="shared" si="99"/>
        <v>0</v>
      </c>
      <c r="FH3193" s="29" t="str">
        <f t="shared" si="100"/>
        <v/>
      </c>
      <c r="FJ3193" s="36" t="str">
        <f>IF($FH3193="","",SUM($FN3193:$FN$7000))</f>
        <v/>
      </c>
      <c r="FK3193" s="36" t="str">
        <f>IF($FH3193="","",SUM($FN3193:$FN$7000))</f>
        <v/>
      </c>
    </row>
    <row r="3194" spans="152:167">
      <c r="EV3194" s="28">
        <f t="shared" si="99"/>
        <v>0</v>
      </c>
      <c r="FH3194" s="29" t="str">
        <f t="shared" si="100"/>
        <v/>
      </c>
      <c r="FJ3194" s="36" t="str">
        <f>IF($FH3194="","",SUM($FN3194:$FN$7000))</f>
        <v/>
      </c>
      <c r="FK3194" s="36" t="str">
        <f>IF($FH3194="","",SUM($FN3194:$FN$7000))</f>
        <v/>
      </c>
    </row>
    <row r="3195" spans="152:167">
      <c r="EV3195" s="28">
        <f t="shared" si="99"/>
        <v>0</v>
      </c>
      <c r="FH3195" s="29" t="str">
        <f t="shared" si="100"/>
        <v/>
      </c>
      <c r="FJ3195" s="36" t="str">
        <f>IF($FH3195="","",SUM($FN3195:$FN$7000))</f>
        <v/>
      </c>
      <c r="FK3195" s="36" t="str">
        <f>IF($FH3195="","",SUM($FN3195:$FN$7000))</f>
        <v/>
      </c>
    </row>
    <row r="3196" spans="152:167">
      <c r="EV3196" s="28">
        <f t="shared" si="99"/>
        <v>0</v>
      </c>
      <c r="FH3196" s="29" t="str">
        <f t="shared" si="100"/>
        <v/>
      </c>
      <c r="FJ3196" s="36" t="str">
        <f>IF($FH3196="","",SUM($FN3196:$FN$7000))</f>
        <v/>
      </c>
      <c r="FK3196" s="36" t="str">
        <f>IF($FH3196="","",SUM($FN3196:$FN$7000))</f>
        <v/>
      </c>
    </row>
    <row r="3197" spans="152:167">
      <c r="EV3197" s="28">
        <f t="shared" si="99"/>
        <v>0</v>
      </c>
      <c r="FH3197" s="29" t="str">
        <f t="shared" si="100"/>
        <v/>
      </c>
      <c r="FJ3197" s="36" t="str">
        <f>IF($FH3197="","",SUM($FN3197:$FN$7000))</f>
        <v/>
      </c>
      <c r="FK3197" s="36" t="str">
        <f>IF($FH3197="","",SUM($FN3197:$FN$7000))</f>
        <v/>
      </c>
    </row>
    <row r="3198" spans="152:167">
      <c r="EV3198" s="28">
        <f t="shared" si="99"/>
        <v>0</v>
      </c>
      <c r="FH3198" s="29" t="str">
        <f t="shared" si="100"/>
        <v/>
      </c>
      <c r="FJ3198" s="36" t="str">
        <f>IF($FH3198="","",SUM($FN3198:$FN$7000))</f>
        <v/>
      </c>
      <c r="FK3198" s="36" t="str">
        <f>IF($FH3198="","",SUM($FN3198:$FN$7000))</f>
        <v/>
      </c>
    </row>
    <row r="3199" spans="152:167">
      <c r="EV3199" s="28">
        <f t="shared" si="99"/>
        <v>0</v>
      </c>
      <c r="FH3199" s="29" t="str">
        <f t="shared" si="100"/>
        <v/>
      </c>
      <c r="FJ3199" s="36" t="str">
        <f>IF($FH3199="","",SUM($FN3199:$FN$7000))</f>
        <v/>
      </c>
      <c r="FK3199" s="36" t="str">
        <f>IF($FH3199="","",SUM($FN3199:$FN$7000))</f>
        <v/>
      </c>
    </row>
    <row r="3200" spans="152:167">
      <c r="EV3200" s="28">
        <f t="shared" si="99"/>
        <v>0</v>
      </c>
      <c r="FH3200" s="29" t="str">
        <f t="shared" si="100"/>
        <v/>
      </c>
      <c r="FJ3200" s="36" t="str">
        <f>IF($FH3200="","",SUM($FN3200:$FN$7000))</f>
        <v/>
      </c>
      <c r="FK3200" s="36" t="str">
        <f>IF($FH3200="","",SUM($FN3200:$FN$7000))</f>
        <v/>
      </c>
    </row>
    <row r="3201" spans="152:167">
      <c r="EV3201" s="28">
        <f t="shared" si="99"/>
        <v>0</v>
      </c>
      <c r="FH3201" s="29" t="str">
        <f t="shared" si="100"/>
        <v/>
      </c>
      <c r="FJ3201" s="36" t="str">
        <f>IF($FH3201="","",SUM($FN3201:$FN$7000))</f>
        <v/>
      </c>
      <c r="FK3201" s="36" t="str">
        <f>IF($FH3201="","",SUM($FN3201:$FN$7000))</f>
        <v/>
      </c>
    </row>
    <row r="3202" spans="152:167">
      <c r="EV3202" s="28">
        <f t="shared" si="99"/>
        <v>0</v>
      </c>
      <c r="FH3202" s="29" t="str">
        <f t="shared" si="100"/>
        <v/>
      </c>
      <c r="FJ3202" s="36" t="str">
        <f>IF($FH3202="","",SUM($FN3202:$FN$7000))</f>
        <v/>
      </c>
      <c r="FK3202" s="36" t="str">
        <f>IF($FH3202="","",SUM($FN3202:$FN$7000))</f>
        <v/>
      </c>
    </row>
    <row r="3203" spans="152:167">
      <c r="EV3203" s="28">
        <f t="shared" si="99"/>
        <v>0</v>
      </c>
      <c r="FH3203" s="29" t="str">
        <f t="shared" si="100"/>
        <v/>
      </c>
      <c r="FJ3203" s="36" t="str">
        <f>IF($FH3203="","",SUM($FN3203:$FN$7000))</f>
        <v/>
      </c>
      <c r="FK3203" s="36" t="str">
        <f>IF($FH3203="","",SUM($FN3203:$FN$7000))</f>
        <v/>
      </c>
    </row>
    <row r="3204" spans="152:167">
      <c r="EV3204" s="28">
        <f t="shared" si="99"/>
        <v>0</v>
      </c>
      <c r="FH3204" s="29" t="str">
        <f t="shared" si="100"/>
        <v/>
      </c>
      <c r="FJ3204" s="36" t="str">
        <f>IF($FH3204="","",SUM($FN3204:$FN$7000))</f>
        <v/>
      </c>
      <c r="FK3204" s="36" t="str">
        <f>IF($FH3204="","",SUM($FN3204:$FN$7000))</f>
        <v/>
      </c>
    </row>
    <row r="3205" spans="152:167">
      <c r="EV3205" s="28">
        <f t="shared" si="99"/>
        <v>0</v>
      </c>
      <c r="FH3205" s="29" t="str">
        <f t="shared" si="100"/>
        <v/>
      </c>
      <c r="FJ3205" s="36" t="str">
        <f>IF($FH3205="","",SUM($FN3205:$FN$7000))</f>
        <v/>
      </c>
      <c r="FK3205" s="36" t="str">
        <f>IF($FH3205="","",SUM($FN3205:$FN$7000))</f>
        <v/>
      </c>
    </row>
    <row r="3206" spans="152:167">
      <c r="EV3206" s="28">
        <f t="shared" si="99"/>
        <v>0</v>
      </c>
      <c r="FH3206" s="29" t="str">
        <f t="shared" si="100"/>
        <v/>
      </c>
      <c r="FJ3206" s="36" t="str">
        <f>IF($FH3206="","",SUM($FN3206:$FN$7000))</f>
        <v/>
      </c>
      <c r="FK3206" s="36" t="str">
        <f>IF($FH3206="","",SUM($FN3206:$FN$7000))</f>
        <v/>
      </c>
    </row>
    <row r="3207" spans="152:167">
      <c r="EV3207" s="28">
        <f t="shared" si="99"/>
        <v>0</v>
      </c>
      <c r="FH3207" s="29" t="str">
        <f t="shared" si="100"/>
        <v/>
      </c>
      <c r="FJ3207" s="36" t="str">
        <f>IF($FH3207="","",SUM($FN3207:$FN$7000))</f>
        <v/>
      </c>
      <c r="FK3207" s="36" t="str">
        <f>IF($FH3207="","",SUM($FN3207:$FN$7000))</f>
        <v/>
      </c>
    </row>
    <row r="3208" spans="152:167">
      <c r="EV3208" s="28">
        <f t="shared" si="99"/>
        <v>0</v>
      </c>
      <c r="FH3208" s="29" t="str">
        <f t="shared" si="100"/>
        <v/>
      </c>
      <c r="FJ3208" s="36" t="str">
        <f>IF($FH3208="","",SUM($FN3208:$FN$7000))</f>
        <v/>
      </c>
      <c r="FK3208" s="36" t="str">
        <f>IF($FH3208="","",SUM($FN3208:$FN$7000))</f>
        <v/>
      </c>
    </row>
    <row r="3209" spans="152:167">
      <c r="EV3209" s="28">
        <f t="shared" si="99"/>
        <v>0</v>
      </c>
      <c r="FH3209" s="29" t="str">
        <f t="shared" si="100"/>
        <v/>
      </c>
      <c r="FJ3209" s="36" t="str">
        <f>IF($FH3209="","",SUM($FN3209:$FN$7000))</f>
        <v/>
      </c>
      <c r="FK3209" s="36" t="str">
        <f>IF($FH3209="","",SUM($FN3209:$FN$7000))</f>
        <v/>
      </c>
    </row>
    <row r="3210" spans="152:167">
      <c r="EV3210" s="28">
        <f t="shared" si="99"/>
        <v>0</v>
      </c>
      <c r="FH3210" s="29" t="str">
        <f t="shared" si="100"/>
        <v/>
      </c>
      <c r="FJ3210" s="36" t="str">
        <f>IF($FH3210="","",SUM($FN3210:$FN$7000))</f>
        <v/>
      </c>
      <c r="FK3210" s="36" t="str">
        <f>IF($FH3210="","",SUM($FN3210:$FN$7000))</f>
        <v/>
      </c>
    </row>
    <row r="3211" spans="152:167">
      <c r="EV3211" s="28">
        <f t="shared" ref="EV3211:EV3274" si="101">EU3211-ET3211</f>
        <v>0</v>
      </c>
      <c r="FH3211" s="29" t="str">
        <f t="shared" ref="FH3211:FH3274" si="102">IF(FL3211="","",FL3211)</f>
        <v/>
      </c>
      <c r="FJ3211" s="36" t="str">
        <f>IF($FH3211="","",SUM($FN3211:$FN$7000))</f>
        <v/>
      </c>
      <c r="FK3211" s="36" t="str">
        <f>IF($FH3211="","",SUM($FN3211:$FN$7000))</f>
        <v/>
      </c>
    </row>
    <row r="3212" spans="152:167">
      <c r="EV3212" s="28">
        <f t="shared" si="101"/>
        <v>0</v>
      </c>
      <c r="FH3212" s="29" t="str">
        <f t="shared" si="102"/>
        <v/>
      </c>
      <c r="FJ3212" s="36" t="str">
        <f>IF($FH3212="","",SUM($FN3212:$FN$7000))</f>
        <v/>
      </c>
      <c r="FK3212" s="36" t="str">
        <f>IF($FH3212="","",SUM($FN3212:$FN$7000))</f>
        <v/>
      </c>
    </row>
    <row r="3213" spans="152:167">
      <c r="EV3213" s="28">
        <f t="shared" si="101"/>
        <v>0</v>
      </c>
      <c r="FH3213" s="29" t="str">
        <f t="shared" si="102"/>
        <v/>
      </c>
      <c r="FJ3213" s="36" t="str">
        <f>IF($FH3213="","",SUM($FN3213:$FN$7000))</f>
        <v/>
      </c>
      <c r="FK3213" s="36" t="str">
        <f>IF($FH3213="","",SUM($FN3213:$FN$7000))</f>
        <v/>
      </c>
    </row>
    <row r="3214" spans="152:167">
      <c r="EV3214" s="28">
        <f t="shared" si="101"/>
        <v>0</v>
      </c>
      <c r="FH3214" s="29" t="str">
        <f t="shared" si="102"/>
        <v/>
      </c>
      <c r="FJ3214" s="36" t="str">
        <f>IF($FH3214="","",SUM($FN3214:$FN$7000))</f>
        <v/>
      </c>
      <c r="FK3214" s="36" t="str">
        <f>IF($FH3214="","",SUM($FN3214:$FN$7000))</f>
        <v/>
      </c>
    </row>
    <row r="3215" spans="152:167">
      <c r="EV3215" s="28">
        <f t="shared" si="101"/>
        <v>0</v>
      </c>
      <c r="FH3215" s="29" t="str">
        <f t="shared" si="102"/>
        <v/>
      </c>
      <c r="FJ3215" s="36" t="str">
        <f>IF($FH3215="","",SUM($FN3215:$FN$7000))</f>
        <v/>
      </c>
      <c r="FK3215" s="36" t="str">
        <f>IF($FH3215="","",SUM($FN3215:$FN$7000))</f>
        <v/>
      </c>
    </row>
    <row r="3216" spans="152:167">
      <c r="EV3216" s="28">
        <f t="shared" si="101"/>
        <v>0</v>
      </c>
      <c r="FH3216" s="29" t="str">
        <f t="shared" si="102"/>
        <v/>
      </c>
      <c r="FJ3216" s="36" t="str">
        <f>IF($FH3216="","",SUM($FN3216:$FN$7000))</f>
        <v/>
      </c>
      <c r="FK3216" s="36" t="str">
        <f>IF($FH3216="","",SUM($FN3216:$FN$7000))</f>
        <v/>
      </c>
    </row>
    <row r="3217" spans="152:167">
      <c r="EV3217" s="28">
        <f t="shared" si="101"/>
        <v>0</v>
      </c>
      <c r="FH3217" s="29" t="str">
        <f t="shared" si="102"/>
        <v/>
      </c>
      <c r="FJ3217" s="36" t="str">
        <f>IF($FH3217="","",SUM($FN3217:$FN$7000))</f>
        <v/>
      </c>
      <c r="FK3217" s="36" t="str">
        <f>IF($FH3217="","",SUM($FN3217:$FN$7000))</f>
        <v/>
      </c>
    </row>
    <row r="3218" spans="152:167">
      <c r="EV3218" s="28">
        <f t="shared" si="101"/>
        <v>0</v>
      </c>
      <c r="FH3218" s="29" t="str">
        <f t="shared" si="102"/>
        <v/>
      </c>
      <c r="FJ3218" s="36" t="str">
        <f>IF($FH3218="","",SUM($FN3218:$FN$7000))</f>
        <v/>
      </c>
      <c r="FK3218" s="36" t="str">
        <f>IF($FH3218="","",SUM($FN3218:$FN$7000))</f>
        <v/>
      </c>
    </row>
    <row r="3219" spans="152:167">
      <c r="EV3219" s="28">
        <f t="shared" si="101"/>
        <v>0</v>
      </c>
      <c r="FH3219" s="29" t="str">
        <f t="shared" si="102"/>
        <v/>
      </c>
      <c r="FJ3219" s="36" t="str">
        <f>IF($FH3219="","",SUM($FN3219:$FN$7000))</f>
        <v/>
      </c>
      <c r="FK3219" s="36" t="str">
        <f>IF($FH3219="","",SUM($FN3219:$FN$7000))</f>
        <v/>
      </c>
    </row>
    <row r="3220" spans="152:167">
      <c r="EV3220" s="28">
        <f t="shared" si="101"/>
        <v>0</v>
      </c>
      <c r="FH3220" s="29" t="str">
        <f t="shared" si="102"/>
        <v/>
      </c>
      <c r="FJ3220" s="36" t="str">
        <f>IF($FH3220="","",SUM($FN3220:$FN$7000))</f>
        <v/>
      </c>
      <c r="FK3220" s="36" t="str">
        <f>IF($FH3220="","",SUM($FN3220:$FN$7000))</f>
        <v/>
      </c>
    </row>
    <row r="3221" spans="152:167">
      <c r="EV3221" s="28">
        <f t="shared" si="101"/>
        <v>0</v>
      </c>
      <c r="FH3221" s="29" t="str">
        <f t="shared" si="102"/>
        <v/>
      </c>
      <c r="FJ3221" s="36" t="str">
        <f>IF($FH3221="","",SUM($FN3221:$FN$7000))</f>
        <v/>
      </c>
      <c r="FK3221" s="36" t="str">
        <f>IF($FH3221="","",SUM($FN3221:$FN$7000))</f>
        <v/>
      </c>
    </row>
    <row r="3222" spans="152:167">
      <c r="EV3222" s="28">
        <f t="shared" si="101"/>
        <v>0</v>
      </c>
      <c r="FH3222" s="29" t="str">
        <f t="shared" si="102"/>
        <v/>
      </c>
      <c r="FJ3222" s="36" t="str">
        <f>IF($FH3222="","",SUM($FN3222:$FN$7000))</f>
        <v/>
      </c>
      <c r="FK3222" s="36" t="str">
        <f>IF($FH3222="","",SUM($FN3222:$FN$7000))</f>
        <v/>
      </c>
    </row>
    <row r="3223" spans="152:167">
      <c r="EV3223" s="28">
        <f t="shared" si="101"/>
        <v>0</v>
      </c>
      <c r="FH3223" s="29" t="str">
        <f t="shared" si="102"/>
        <v/>
      </c>
      <c r="FJ3223" s="36" t="str">
        <f>IF($FH3223="","",SUM($FN3223:$FN$7000))</f>
        <v/>
      </c>
      <c r="FK3223" s="36" t="str">
        <f>IF($FH3223="","",SUM($FN3223:$FN$7000))</f>
        <v/>
      </c>
    </row>
    <row r="3224" spans="152:167">
      <c r="EV3224" s="28">
        <f t="shared" si="101"/>
        <v>0</v>
      </c>
      <c r="FH3224" s="29" t="str">
        <f t="shared" si="102"/>
        <v/>
      </c>
      <c r="FJ3224" s="36" t="str">
        <f>IF($FH3224="","",SUM($FN3224:$FN$7000))</f>
        <v/>
      </c>
      <c r="FK3224" s="36" t="str">
        <f>IF($FH3224="","",SUM($FN3224:$FN$7000))</f>
        <v/>
      </c>
    </row>
    <row r="3225" spans="152:167">
      <c r="EV3225" s="28">
        <f t="shared" si="101"/>
        <v>0</v>
      </c>
      <c r="FH3225" s="29" t="str">
        <f t="shared" si="102"/>
        <v/>
      </c>
      <c r="FJ3225" s="36" t="str">
        <f>IF($FH3225="","",SUM($FN3225:$FN$7000))</f>
        <v/>
      </c>
      <c r="FK3225" s="36" t="str">
        <f>IF($FH3225="","",SUM($FN3225:$FN$7000))</f>
        <v/>
      </c>
    </row>
    <row r="3226" spans="152:167">
      <c r="EV3226" s="28">
        <f t="shared" si="101"/>
        <v>0</v>
      </c>
      <c r="FH3226" s="29" t="str">
        <f t="shared" si="102"/>
        <v/>
      </c>
      <c r="FJ3226" s="36" t="str">
        <f>IF($FH3226="","",SUM($FN3226:$FN$7000))</f>
        <v/>
      </c>
      <c r="FK3226" s="36" t="str">
        <f>IF($FH3226="","",SUM($FN3226:$FN$7000))</f>
        <v/>
      </c>
    </row>
    <row r="3227" spans="152:167">
      <c r="EV3227" s="28">
        <f t="shared" si="101"/>
        <v>0</v>
      </c>
      <c r="FH3227" s="29" t="str">
        <f t="shared" si="102"/>
        <v/>
      </c>
      <c r="FJ3227" s="36" t="str">
        <f>IF($FH3227="","",SUM($FN3227:$FN$7000))</f>
        <v/>
      </c>
      <c r="FK3227" s="36" t="str">
        <f>IF($FH3227="","",SUM($FN3227:$FN$7000))</f>
        <v/>
      </c>
    </row>
    <row r="3228" spans="152:167">
      <c r="EV3228" s="28">
        <f t="shared" si="101"/>
        <v>0</v>
      </c>
      <c r="FH3228" s="29" t="str">
        <f t="shared" si="102"/>
        <v/>
      </c>
      <c r="FJ3228" s="36" t="str">
        <f>IF($FH3228="","",SUM($FN3228:$FN$7000))</f>
        <v/>
      </c>
      <c r="FK3228" s="36" t="str">
        <f>IF($FH3228="","",SUM($FN3228:$FN$7000))</f>
        <v/>
      </c>
    </row>
    <row r="3229" spans="152:167">
      <c r="EV3229" s="28">
        <f t="shared" si="101"/>
        <v>0</v>
      </c>
      <c r="FH3229" s="29" t="str">
        <f t="shared" si="102"/>
        <v/>
      </c>
      <c r="FJ3229" s="36" t="str">
        <f>IF($FH3229="","",SUM($FN3229:$FN$7000))</f>
        <v/>
      </c>
      <c r="FK3229" s="36" t="str">
        <f>IF($FH3229="","",SUM($FN3229:$FN$7000))</f>
        <v/>
      </c>
    </row>
    <row r="3230" spans="152:167">
      <c r="EV3230" s="28">
        <f t="shared" si="101"/>
        <v>0</v>
      </c>
      <c r="FH3230" s="29" t="str">
        <f t="shared" si="102"/>
        <v/>
      </c>
      <c r="FJ3230" s="36" t="str">
        <f>IF($FH3230="","",SUM($FN3230:$FN$7000))</f>
        <v/>
      </c>
      <c r="FK3230" s="36" t="str">
        <f>IF($FH3230="","",SUM($FN3230:$FN$7000))</f>
        <v/>
      </c>
    </row>
    <row r="3231" spans="152:167">
      <c r="EV3231" s="28">
        <f t="shared" si="101"/>
        <v>0</v>
      </c>
      <c r="FH3231" s="29" t="str">
        <f t="shared" si="102"/>
        <v/>
      </c>
      <c r="FJ3231" s="36" t="str">
        <f>IF($FH3231="","",SUM($FN3231:$FN$7000))</f>
        <v/>
      </c>
      <c r="FK3231" s="36" t="str">
        <f>IF($FH3231="","",SUM($FN3231:$FN$7000))</f>
        <v/>
      </c>
    </row>
    <row r="3232" spans="152:167">
      <c r="EV3232" s="28">
        <f t="shared" si="101"/>
        <v>0</v>
      </c>
      <c r="FH3232" s="29" t="str">
        <f t="shared" si="102"/>
        <v/>
      </c>
      <c r="FJ3232" s="36" t="str">
        <f>IF($FH3232="","",SUM($FN3232:$FN$7000))</f>
        <v/>
      </c>
      <c r="FK3232" s="36" t="str">
        <f>IF($FH3232="","",SUM($FN3232:$FN$7000))</f>
        <v/>
      </c>
    </row>
    <row r="3233" spans="152:167">
      <c r="EV3233" s="28">
        <f t="shared" si="101"/>
        <v>0</v>
      </c>
      <c r="FH3233" s="29" t="str">
        <f t="shared" si="102"/>
        <v/>
      </c>
      <c r="FJ3233" s="36" t="str">
        <f>IF($FH3233="","",SUM($FN3233:$FN$7000))</f>
        <v/>
      </c>
      <c r="FK3233" s="36" t="str">
        <f>IF($FH3233="","",SUM($FN3233:$FN$7000))</f>
        <v/>
      </c>
    </row>
    <row r="3234" spans="152:167">
      <c r="EV3234" s="28">
        <f t="shared" si="101"/>
        <v>0</v>
      </c>
      <c r="FH3234" s="29" t="str">
        <f t="shared" si="102"/>
        <v/>
      </c>
      <c r="FJ3234" s="36" t="str">
        <f>IF($FH3234="","",SUM($FN3234:$FN$7000))</f>
        <v/>
      </c>
      <c r="FK3234" s="36" t="str">
        <f>IF($FH3234="","",SUM($FN3234:$FN$7000))</f>
        <v/>
      </c>
    </row>
    <row r="3235" spans="152:167">
      <c r="EV3235" s="28">
        <f t="shared" si="101"/>
        <v>0</v>
      </c>
      <c r="FH3235" s="29" t="str">
        <f t="shared" si="102"/>
        <v/>
      </c>
      <c r="FJ3235" s="36" t="str">
        <f>IF($FH3235="","",SUM($FN3235:$FN$7000))</f>
        <v/>
      </c>
      <c r="FK3235" s="36" t="str">
        <f>IF($FH3235="","",SUM($FN3235:$FN$7000))</f>
        <v/>
      </c>
    </row>
    <row r="3236" spans="152:167">
      <c r="EV3236" s="28">
        <f t="shared" si="101"/>
        <v>0</v>
      </c>
      <c r="FH3236" s="29" t="str">
        <f t="shared" si="102"/>
        <v/>
      </c>
      <c r="FJ3236" s="36" t="str">
        <f>IF($FH3236="","",SUM($FN3236:$FN$7000))</f>
        <v/>
      </c>
      <c r="FK3236" s="36" t="str">
        <f>IF($FH3236="","",SUM($FN3236:$FN$7000))</f>
        <v/>
      </c>
    </row>
    <row r="3237" spans="152:167">
      <c r="EV3237" s="28">
        <f t="shared" si="101"/>
        <v>0</v>
      </c>
      <c r="FH3237" s="29" t="str">
        <f t="shared" si="102"/>
        <v/>
      </c>
      <c r="FJ3237" s="36" t="str">
        <f>IF($FH3237="","",SUM($FN3237:$FN$7000))</f>
        <v/>
      </c>
      <c r="FK3237" s="36" t="str">
        <f>IF($FH3237="","",SUM($FN3237:$FN$7000))</f>
        <v/>
      </c>
    </row>
    <row r="3238" spans="152:167">
      <c r="EV3238" s="28">
        <f t="shared" si="101"/>
        <v>0</v>
      </c>
      <c r="FH3238" s="29" t="str">
        <f t="shared" si="102"/>
        <v/>
      </c>
      <c r="FJ3238" s="36" t="str">
        <f>IF($FH3238="","",SUM($FN3238:$FN$7000))</f>
        <v/>
      </c>
      <c r="FK3238" s="36" t="str">
        <f>IF($FH3238="","",SUM($FN3238:$FN$7000))</f>
        <v/>
      </c>
    </row>
    <row r="3239" spans="152:167">
      <c r="EV3239" s="28">
        <f t="shared" si="101"/>
        <v>0</v>
      </c>
      <c r="FH3239" s="29" t="str">
        <f t="shared" si="102"/>
        <v/>
      </c>
      <c r="FJ3239" s="36" t="str">
        <f>IF($FH3239="","",SUM($FN3239:$FN$7000))</f>
        <v/>
      </c>
      <c r="FK3239" s="36" t="str">
        <f>IF($FH3239="","",SUM($FN3239:$FN$7000))</f>
        <v/>
      </c>
    </row>
    <row r="3240" spans="152:167">
      <c r="EV3240" s="28">
        <f t="shared" si="101"/>
        <v>0</v>
      </c>
      <c r="FH3240" s="29" t="str">
        <f t="shared" si="102"/>
        <v/>
      </c>
      <c r="FJ3240" s="36" t="str">
        <f>IF($FH3240="","",SUM($FN3240:$FN$7000))</f>
        <v/>
      </c>
      <c r="FK3240" s="36" t="str">
        <f>IF($FH3240="","",SUM($FN3240:$FN$7000))</f>
        <v/>
      </c>
    </row>
    <row r="3241" spans="152:167">
      <c r="EV3241" s="28">
        <f t="shared" si="101"/>
        <v>0</v>
      </c>
      <c r="FH3241" s="29" t="str">
        <f t="shared" si="102"/>
        <v/>
      </c>
      <c r="FJ3241" s="36" t="str">
        <f>IF($FH3241="","",SUM($FN3241:$FN$7000))</f>
        <v/>
      </c>
      <c r="FK3241" s="36" t="str">
        <f>IF($FH3241="","",SUM($FN3241:$FN$7000))</f>
        <v/>
      </c>
    </row>
    <row r="3242" spans="152:167">
      <c r="EV3242" s="28">
        <f t="shared" si="101"/>
        <v>0</v>
      </c>
      <c r="FH3242" s="29" t="str">
        <f t="shared" si="102"/>
        <v/>
      </c>
      <c r="FJ3242" s="36" t="str">
        <f>IF($FH3242="","",SUM($FN3242:$FN$7000))</f>
        <v/>
      </c>
      <c r="FK3242" s="36" t="str">
        <f>IF($FH3242="","",SUM($FN3242:$FN$7000))</f>
        <v/>
      </c>
    </row>
    <row r="3243" spans="152:167">
      <c r="EV3243" s="28">
        <f t="shared" si="101"/>
        <v>0</v>
      </c>
      <c r="FH3243" s="29" t="str">
        <f t="shared" si="102"/>
        <v/>
      </c>
      <c r="FJ3243" s="36" t="str">
        <f>IF($FH3243="","",SUM($FN3243:$FN$7000))</f>
        <v/>
      </c>
      <c r="FK3243" s="36" t="str">
        <f>IF($FH3243="","",SUM($FN3243:$FN$7000))</f>
        <v/>
      </c>
    </row>
    <row r="3244" spans="152:167">
      <c r="EV3244" s="28">
        <f t="shared" si="101"/>
        <v>0</v>
      </c>
      <c r="FH3244" s="29" t="str">
        <f t="shared" si="102"/>
        <v/>
      </c>
      <c r="FJ3244" s="36" t="str">
        <f>IF($FH3244="","",SUM($FN3244:$FN$7000))</f>
        <v/>
      </c>
      <c r="FK3244" s="36" t="str">
        <f>IF($FH3244="","",SUM($FN3244:$FN$7000))</f>
        <v/>
      </c>
    </row>
    <row r="3245" spans="152:167">
      <c r="EV3245" s="28">
        <f t="shared" si="101"/>
        <v>0</v>
      </c>
      <c r="FH3245" s="29" t="str">
        <f t="shared" si="102"/>
        <v/>
      </c>
      <c r="FJ3245" s="36" t="str">
        <f>IF($FH3245="","",SUM($FN3245:$FN$7000))</f>
        <v/>
      </c>
      <c r="FK3245" s="36" t="str">
        <f>IF($FH3245="","",SUM($FN3245:$FN$7000))</f>
        <v/>
      </c>
    </row>
    <row r="3246" spans="152:167">
      <c r="EV3246" s="28">
        <f t="shared" si="101"/>
        <v>0</v>
      </c>
      <c r="FH3246" s="29" t="str">
        <f t="shared" si="102"/>
        <v/>
      </c>
      <c r="FJ3246" s="36" t="str">
        <f>IF($FH3246="","",SUM($FN3246:$FN$7000))</f>
        <v/>
      </c>
      <c r="FK3246" s="36" t="str">
        <f>IF($FH3246="","",SUM($FN3246:$FN$7000))</f>
        <v/>
      </c>
    </row>
    <row r="3247" spans="152:167">
      <c r="EV3247" s="28">
        <f t="shared" si="101"/>
        <v>0</v>
      </c>
      <c r="FH3247" s="29" t="str">
        <f t="shared" si="102"/>
        <v/>
      </c>
      <c r="FJ3247" s="36" t="str">
        <f>IF($FH3247="","",SUM($FN3247:$FN$7000))</f>
        <v/>
      </c>
      <c r="FK3247" s="36" t="str">
        <f>IF($FH3247="","",SUM($FN3247:$FN$7000))</f>
        <v/>
      </c>
    </row>
    <row r="3248" spans="152:167">
      <c r="EV3248" s="28">
        <f t="shared" si="101"/>
        <v>0</v>
      </c>
      <c r="FH3248" s="29" t="str">
        <f t="shared" si="102"/>
        <v/>
      </c>
      <c r="FJ3248" s="36" t="str">
        <f>IF($FH3248="","",SUM($FN3248:$FN$7000))</f>
        <v/>
      </c>
      <c r="FK3248" s="36" t="str">
        <f>IF($FH3248="","",SUM($FN3248:$FN$7000))</f>
        <v/>
      </c>
    </row>
    <row r="3249" spans="152:167">
      <c r="EV3249" s="28">
        <f t="shared" si="101"/>
        <v>0</v>
      </c>
      <c r="FH3249" s="29" t="str">
        <f t="shared" si="102"/>
        <v/>
      </c>
      <c r="FJ3249" s="36" t="str">
        <f>IF($FH3249="","",SUM($FN3249:$FN$7000))</f>
        <v/>
      </c>
      <c r="FK3249" s="36" t="str">
        <f>IF($FH3249="","",SUM($FN3249:$FN$7000))</f>
        <v/>
      </c>
    </row>
    <row r="3250" spans="152:167">
      <c r="EV3250" s="28">
        <f t="shared" si="101"/>
        <v>0</v>
      </c>
      <c r="FH3250" s="29" t="str">
        <f t="shared" si="102"/>
        <v/>
      </c>
      <c r="FJ3250" s="36" t="str">
        <f>IF($FH3250="","",SUM($FN3250:$FN$7000))</f>
        <v/>
      </c>
      <c r="FK3250" s="36" t="str">
        <f>IF($FH3250="","",SUM($FN3250:$FN$7000))</f>
        <v/>
      </c>
    </row>
    <row r="3251" spans="152:167">
      <c r="EV3251" s="28">
        <f t="shared" si="101"/>
        <v>0</v>
      </c>
      <c r="FH3251" s="29" t="str">
        <f t="shared" si="102"/>
        <v/>
      </c>
      <c r="FJ3251" s="36" t="str">
        <f>IF($FH3251="","",SUM($FN3251:$FN$7000))</f>
        <v/>
      </c>
      <c r="FK3251" s="36" t="str">
        <f>IF($FH3251="","",SUM($FN3251:$FN$7000))</f>
        <v/>
      </c>
    </row>
    <row r="3252" spans="152:167">
      <c r="EV3252" s="28">
        <f t="shared" si="101"/>
        <v>0</v>
      </c>
      <c r="FH3252" s="29" t="str">
        <f t="shared" si="102"/>
        <v/>
      </c>
      <c r="FJ3252" s="36" t="str">
        <f>IF($FH3252="","",SUM($FN3252:$FN$7000))</f>
        <v/>
      </c>
      <c r="FK3252" s="36" t="str">
        <f>IF($FH3252="","",SUM($FN3252:$FN$7000))</f>
        <v/>
      </c>
    </row>
    <row r="3253" spans="152:167">
      <c r="EV3253" s="28">
        <f t="shared" si="101"/>
        <v>0</v>
      </c>
      <c r="FH3253" s="29" t="str">
        <f t="shared" si="102"/>
        <v/>
      </c>
      <c r="FJ3253" s="36" t="str">
        <f>IF($FH3253="","",SUM($FN3253:$FN$7000))</f>
        <v/>
      </c>
      <c r="FK3253" s="36" t="str">
        <f>IF($FH3253="","",SUM($FN3253:$FN$7000))</f>
        <v/>
      </c>
    </row>
    <row r="3254" spans="152:167">
      <c r="EV3254" s="28">
        <f t="shared" si="101"/>
        <v>0</v>
      </c>
      <c r="FH3254" s="29" t="str">
        <f t="shared" si="102"/>
        <v/>
      </c>
      <c r="FJ3254" s="36" t="str">
        <f>IF($FH3254="","",SUM($FN3254:$FN$7000))</f>
        <v/>
      </c>
      <c r="FK3254" s="36" t="str">
        <f>IF($FH3254="","",SUM($FN3254:$FN$7000))</f>
        <v/>
      </c>
    </row>
    <row r="3255" spans="152:167">
      <c r="EV3255" s="28">
        <f t="shared" si="101"/>
        <v>0</v>
      </c>
      <c r="FH3255" s="29" t="str">
        <f t="shared" si="102"/>
        <v/>
      </c>
      <c r="FJ3255" s="36" t="str">
        <f>IF($FH3255="","",SUM($FN3255:$FN$7000))</f>
        <v/>
      </c>
      <c r="FK3255" s="36" t="str">
        <f>IF($FH3255="","",SUM($FN3255:$FN$7000))</f>
        <v/>
      </c>
    </row>
    <row r="3256" spans="152:167">
      <c r="EV3256" s="28">
        <f t="shared" si="101"/>
        <v>0</v>
      </c>
      <c r="FH3256" s="29" t="str">
        <f t="shared" si="102"/>
        <v/>
      </c>
      <c r="FJ3256" s="36" t="str">
        <f>IF($FH3256="","",SUM($FN3256:$FN$7000))</f>
        <v/>
      </c>
      <c r="FK3256" s="36" t="str">
        <f>IF($FH3256="","",SUM($FN3256:$FN$7000))</f>
        <v/>
      </c>
    </row>
    <row r="3257" spans="152:167">
      <c r="EV3257" s="28">
        <f t="shared" si="101"/>
        <v>0</v>
      </c>
      <c r="FH3257" s="29" t="str">
        <f t="shared" si="102"/>
        <v/>
      </c>
      <c r="FJ3257" s="36" t="str">
        <f>IF($FH3257="","",SUM($FN3257:$FN$7000))</f>
        <v/>
      </c>
      <c r="FK3257" s="36" t="str">
        <f>IF($FH3257="","",SUM($FN3257:$FN$7000))</f>
        <v/>
      </c>
    </row>
    <row r="3258" spans="152:167">
      <c r="EV3258" s="28">
        <f t="shared" si="101"/>
        <v>0</v>
      </c>
      <c r="FH3258" s="29" t="str">
        <f t="shared" si="102"/>
        <v/>
      </c>
      <c r="FJ3258" s="36" t="str">
        <f>IF($FH3258="","",SUM($FN3258:$FN$7000))</f>
        <v/>
      </c>
      <c r="FK3258" s="36" t="str">
        <f>IF($FH3258="","",SUM($FN3258:$FN$7000))</f>
        <v/>
      </c>
    </row>
    <row r="3259" spans="152:167">
      <c r="EV3259" s="28">
        <f t="shared" si="101"/>
        <v>0</v>
      </c>
      <c r="FH3259" s="29" t="str">
        <f t="shared" si="102"/>
        <v/>
      </c>
      <c r="FJ3259" s="36" t="str">
        <f>IF($FH3259="","",SUM($FN3259:$FN$7000))</f>
        <v/>
      </c>
      <c r="FK3259" s="36" t="str">
        <f>IF($FH3259="","",SUM($FN3259:$FN$7000))</f>
        <v/>
      </c>
    </row>
    <row r="3260" spans="152:167">
      <c r="EV3260" s="28">
        <f t="shared" si="101"/>
        <v>0</v>
      </c>
      <c r="FH3260" s="29" t="str">
        <f t="shared" si="102"/>
        <v/>
      </c>
      <c r="FJ3260" s="36" t="str">
        <f>IF($FH3260="","",SUM($FN3260:$FN$7000))</f>
        <v/>
      </c>
      <c r="FK3260" s="36" t="str">
        <f>IF($FH3260="","",SUM($FN3260:$FN$7000))</f>
        <v/>
      </c>
    </row>
    <row r="3261" spans="152:167">
      <c r="EV3261" s="28">
        <f t="shared" si="101"/>
        <v>0</v>
      </c>
      <c r="FH3261" s="29" t="str">
        <f t="shared" si="102"/>
        <v/>
      </c>
      <c r="FJ3261" s="36" t="str">
        <f>IF($FH3261="","",SUM($FN3261:$FN$7000))</f>
        <v/>
      </c>
      <c r="FK3261" s="36" t="str">
        <f>IF($FH3261="","",SUM($FN3261:$FN$7000))</f>
        <v/>
      </c>
    </row>
    <row r="3262" spans="152:167">
      <c r="EV3262" s="28">
        <f t="shared" si="101"/>
        <v>0</v>
      </c>
      <c r="FH3262" s="29" t="str">
        <f t="shared" si="102"/>
        <v/>
      </c>
      <c r="FJ3262" s="36" t="str">
        <f>IF($FH3262="","",SUM($FN3262:$FN$7000))</f>
        <v/>
      </c>
      <c r="FK3262" s="36" t="str">
        <f>IF($FH3262="","",SUM($FN3262:$FN$7000))</f>
        <v/>
      </c>
    </row>
    <row r="3263" spans="152:167">
      <c r="EV3263" s="28">
        <f t="shared" si="101"/>
        <v>0</v>
      </c>
      <c r="FH3263" s="29" t="str">
        <f t="shared" si="102"/>
        <v/>
      </c>
      <c r="FJ3263" s="36" t="str">
        <f>IF($FH3263="","",SUM($FN3263:$FN$7000))</f>
        <v/>
      </c>
      <c r="FK3263" s="36" t="str">
        <f>IF($FH3263="","",SUM($FN3263:$FN$7000))</f>
        <v/>
      </c>
    </row>
    <row r="3264" spans="152:167">
      <c r="EV3264" s="28">
        <f t="shared" si="101"/>
        <v>0</v>
      </c>
      <c r="FH3264" s="29" t="str">
        <f t="shared" si="102"/>
        <v/>
      </c>
      <c r="FJ3264" s="36" t="str">
        <f>IF($FH3264="","",SUM($FN3264:$FN$7000))</f>
        <v/>
      </c>
      <c r="FK3264" s="36" t="str">
        <f>IF($FH3264="","",SUM($FN3264:$FN$7000))</f>
        <v/>
      </c>
    </row>
    <row r="3265" spans="152:167">
      <c r="EV3265" s="28">
        <f t="shared" si="101"/>
        <v>0</v>
      </c>
      <c r="FH3265" s="29" t="str">
        <f t="shared" si="102"/>
        <v/>
      </c>
      <c r="FJ3265" s="36" t="str">
        <f>IF($FH3265="","",SUM($FN3265:$FN$7000))</f>
        <v/>
      </c>
      <c r="FK3265" s="36" t="str">
        <f>IF($FH3265="","",SUM($FN3265:$FN$7000))</f>
        <v/>
      </c>
    </row>
    <row r="3266" spans="152:167">
      <c r="EV3266" s="28">
        <f t="shared" si="101"/>
        <v>0</v>
      </c>
      <c r="FH3266" s="29" t="str">
        <f t="shared" si="102"/>
        <v/>
      </c>
      <c r="FJ3266" s="36" t="str">
        <f>IF($FH3266="","",SUM($FN3266:$FN$7000))</f>
        <v/>
      </c>
      <c r="FK3266" s="36" t="str">
        <f>IF($FH3266="","",SUM($FN3266:$FN$7000))</f>
        <v/>
      </c>
    </row>
    <row r="3267" spans="152:167">
      <c r="EV3267" s="28">
        <f t="shared" si="101"/>
        <v>0</v>
      </c>
      <c r="FH3267" s="29" t="str">
        <f t="shared" si="102"/>
        <v/>
      </c>
      <c r="FJ3267" s="36" t="str">
        <f>IF($FH3267="","",SUM($FN3267:$FN$7000))</f>
        <v/>
      </c>
      <c r="FK3267" s="36" t="str">
        <f>IF($FH3267="","",SUM($FN3267:$FN$7000))</f>
        <v/>
      </c>
    </row>
    <row r="3268" spans="152:167">
      <c r="EV3268" s="28">
        <f t="shared" si="101"/>
        <v>0</v>
      </c>
      <c r="FH3268" s="29" t="str">
        <f t="shared" si="102"/>
        <v/>
      </c>
      <c r="FJ3268" s="36" t="str">
        <f>IF($FH3268="","",SUM($FN3268:$FN$7000))</f>
        <v/>
      </c>
      <c r="FK3268" s="36" t="str">
        <f>IF($FH3268="","",SUM($FN3268:$FN$7000))</f>
        <v/>
      </c>
    </row>
    <row r="3269" spans="152:167">
      <c r="EV3269" s="28">
        <f t="shared" si="101"/>
        <v>0</v>
      </c>
      <c r="FH3269" s="29" t="str">
        <f t="shared" si="102"/>
        <v/>
      </c>
      <c r="FJ3269" s="36" t="str">
        <f>IF($FH3269="","",SUM($FN3269:$FN$7000))</f>
        <v/>
      </c>
      <c r="FK3269" s="36" t="str">
        <f>IF($FH3269="","",SUM($FN3269:$FN$7000))</f>
        <v/>
      </c>
    </row>
    <row r="3270" spans="152:167">
      <c r="EV3270" s="28">
        <f t="shared" si="101"/>
        <v>0</v>
      </c>
      <c r="FH3270" s="29" t="str">
        <f t="shared" si="102"/>
        <v/>
      </c>
      <c r="FJ3270" s="36" t="str">
        <f>IF($FH3270="","",SUM($FN3270:$FN$7000))</f>
        <v/>
      </c>
      <c r="FK3270" s="36" t="str">
        <f>IF($FH3270="","",SUM($FN3270:$FN$7000))</f>
        <v/>
      </c>
    </row>
    <row r="3271" spans="152:167">
      <c r="EV3271" s="28">
        <f t="shared" si="101"/>
        <v>0</v>
      </c>
      <c r="FH3271" s="29" t="str">
        <f t="shared" si="102"/>
        <v/>
      </c>
      <c r="FJ3271" s="36" t="str">
        <f>IF($FH3271="","",SUM($FN3271:$FN$7000))</f>
        <v/>
      </c>
      <c r="FK3271" s="36" t="str">
        <f>IF($FH3271="","",SUM($FN3271:$FN$7000))</f>
        <v/>
      </c>
    </row>
    <row r="3272" spans="152:167">
      <c r="EV3272" s="28">
        <f t="shared" si="101"/>
        <v>0</v>
      </c>
      <c r="FH3272" s="29" t="str">
        <f t="shared" si="102"/>
        <v/>
      </c>
      <c r="FJ3272" s="36" t="str">
        <f>IF($FH3272="","",SUM($FN3272:$FN$7000))</f>
        <v/>
      </c>
      <c r="FK3272" s="36" t="str">
        <f>IF($FH3272="","",SUM($FN3272:$FN$7000))</f>
        <v/>
      </c>
    </row>
    <row r="3273" spans="152:167">
      <c r="EV3273" s="28">
        <f t="shared" si="101"/>
        <v>0</v>
      </c>
      <c r="FH3273" s="29" t="str">
        <f t="shared" si="102"/>
        <v/>
      </c>
      <c r="FJ3273" s="36" t="str">
        <f>IF($FH3273="","",SUM($FN3273:$FN$7000))</f>
        <v/>
      </c>
      <c r="FK3273" s="36" t="str">
        <f>IF($FH3273="","",SUM($FN3273:$FN$7000))</f>
        <v/>
      </c>
    </row>
    <row r="3274" spans="152:167">
      <c r="EV3274" s="28">
        <f t="shared" si="101"/>
        <v>0</v>
      </c>
      <c r="FH3274" s="29" t="str">
        <f t="shared" si="102"/>
        <v/>
      </c>
      <c r="FJ3274" s="36" t="str">
        <f>IF($FH3274="","",SUM($FN3274:$FN$7000))</f>
        <v/>
      </c>
      <c r="FK3274" s="36" t="str">
        <f>IF($FH3274="","",SUM($FN3274:$FN$7000))</f>
        <v/>
      </c>
    </row>
    <row r="3275" spans="152:167">
      <c r="EV3275" s="28">
        <f t="shared" ref="EV3275:EV3338" si="103">EU3275-ET3275</f>
        <v>0</v>
      </c>
      <c r="FH3275" s="29" t="str">
        <f t="shared" ref="FH3275:FH3338" si="104">IF(FL3275="","",FL3275)</f>
        <v/>
      </c>
      <c r="FJ3275" s="36" t="str">
        <f>IF($FH3275="","",SUM($FN3275:$FN$7000))</f>
        <v/>
      </c>
      <c r="FK3275" s="36" t="str">
        <f>IF($FH3275="","",SUM($FN3275:$FN$7000))</f>
        <v/>
      </c>
    </row>
    <row r="3276" spans="152:167">
      <c r="EV3276" s="28">
        <f t="shared" si="103"/>
        <v>0</v>
      </c>
      <c r="FH3276" s="29" t="str">
        <f t="shared" si="104"/>
        <v/>
      </c>
      <c r="FJ3276" s="36" t="str">
        <f>IF($FH3276="","",SUM($FN3276:$FN$7000))</f>
        <v/>
      </c>
      <c r="FK3276" s="36" t="str">
        <f>IF($FH3276="","",SUM($FN3276:$FN$7000))</f>
        <v/>
      </c>
    </row>
    <row r="3277" spans="152:167">
      <c r="EV3277" s="28">
        <f t="shared" si="103"/>
        <v>0</v>
      </c>
      <c r="FH3277" s="29" t="str">
        <f t="shared" si="104"/>
        <v/>
      </c>
      <c r="FJ3277" s="36" t="str">
        <f>IF($FH3277="","",SUM($FN3277:$FN$7000))</f>
        <v/>
      </c>
      <c r="FK3277" s="36" t="str">
        <f>IF($FH3277="","",SUM($FN3277:$FN$7000))</f>
        <v/>
      </c>
    </row>
    <row r="3278" spans="152:167">
      <c r="EV3278" s="28">
        <f t="shared" si="103"/>
        <v>0</v>
      </c>
      <c r="FH3278" s="29" t="str">
        <f t="shared" si="104"/>
        <v/>
      </c>
      <c r="FJ3278" s="36" t="str">
        <f>IF($FH3278="","",SUM($FN3278:$FN$7000))</f>
        <v/>
      </c>
      <c r="FK3278" s="36" t="str">
        <f>IF($FH3278="","",SUM($FN3278:$FN$7000))</f>
        <v/>
      </c>
    </row>
    <row r="3279" spans="152:167">
      <c r="EV3279" s="28">
        <f t="shared" si="103"/>
        <v>0</v>
      </c>
      <c r="FH3279" s="29" t="str">
        <f t="shared" si="104"/>
        <v/>
      </c>
      <c r="FJ3279" s="36" t="str">
        <f>IF($FH3279="","",SUM($FN3279:$FN$7000))</f>
        <v/>
      </c>
      <c r="FK3279" s="36" t="str">
        <f>IF($FH3279="","",SUM($FN3279:$FN$7000))</f>
        <v/>
      </c>
    </row>
    <row r="3280" spans="152:167">
      <c r="EV3280" s="28">
        <f t="shared" si="103"/>
        <v>0</v>
      </c>
      <c r="FH3280" s="29" t="str">
        <f t="shared" si="104"/>
        <v/>
      </c>
      <c r="FJ3280" s="36" t="str">
        <f>IF($FH3280="","",SUM($FN3280:$FN$7000))</f>
        <v/>
      </c>
      <c r="FK3280" s="36" t="str">
        <f>IF($FH3280="","",SUM($FN3280:$FN$7000))</f>
        <v/>
      </c>
    </row>
    <row r="3281" spans="152:167">
      <c r="EV3281" s="28">
        <f t="shared" si="103"/>
        <v>0</v>
      </c>
      <c r="FH3281" s="29" t="str">
        <f t="shared" si="104"/>
        <v/>
      </c>
      <c r="FJ3281" s="36" t="str">
        <f>IF($FH3281="","",SUM($FN3281:$FN$7000))</f>
        <v/>
      </c>
      <c r="FK3281" s="36" t="str">
        <f>IF($FH3281="","",SUM($FN3281:$FN$7000))</f>
        <v/>
      </c>
    </row>
    <row r="3282" spans="152:167">
      <c r="EV3282" s="28">
        <f t="shared" si="103"/>
        <v>0</v>
      </c>
      <c r="FH3282" s="29" t="str">
        <f t="shared" si="104"/>
        <v/>
      </c>
      <c r="FJ3282" s="36" t="str">
        <f>IF($FH3282="","",SUM($FN3282:$FN$7000))</f>
        <v/>
      </c>
      <c r="FK3282" s="36" t="str">
        <f>IF($FH3282="","",SUM($FN3282:$FN$7000))</f>
        <v/>
      </c>
    </row>
    <row r="3283" spans="152:167">
      <c r="EV3283" s="28">
        <f t="shared" si="103"/>
        <v>0</v>
      </c>
      <c r="FH3283" s="29" t="str">
        <f t="shared" si="104"/>
        <v/>
      </c>
      <c r="FJ3283" s="36" t="str">
        <f>IF($FH3283="","",SUM($FN3283:$FN$7000))</f>
        <v/>
      </c>
      <c r="FK3283" s="36" t="str">
        <f>IF($FH3283="","",SUM($FN3283:$FN$7000))</f>
        <v/>
      </c>
    </row>
    <row r="3284" spans="152:167">
      <c r="EV3284" s="28">
        <f t="shared" si="103"/>
        <v>0</v>
      </c>
      <c r="FH3284" s="29" t="str">
        <f t="shared" si="104"/>
        <v/>
      </c>
      <c r="FJ3284" s="36" t="str">
        <f>IF($FH3284="","",SUM($FN3284:$FN$7000))</f>
        <v/>
      </c>
      <c r="FK3284" s="36" t="str">
        <f>IF($FH3284="","",SUM($FN3284:$FN$7000))</f>
        <v/>
      </c>
    </row>
    <row r="3285" spans="152:167">
      <c r="EV3285" s="28">
        <f t="shared" si="103"/>
        <v>0</v>
      </c>
      <c r="FH3285" s="29" t="str">
        <f t="shared" si="104"/>
        <v/>
      </c>
      <c r="FJ3285" s="36" t="str">
        <f>IF($FH3285="","",SUM($FN3285:$FN$7000))</f>
        <v/>
      </c>
      <c r="FK3285" s="36" t="str">
        <f>IF($FH3285="","",SUM($FN3285:$FN$7000))</f>
        <v/>
      </c>
    </row>
    <row r="3286" spans="152:167">
      <c r="EV3286" s="28">
        <f t="shared" si="103"/>
        <v>0</v>
      </c>
      <c r="FH3286" s="29" t="str">
        <f t="shared" si="104"/>
        <v/>
      </c>
      <c r="FJ3286" s="36" t="str">
        <f>IF($FH3286="","",SUM($FN3286:$FN$7000))</f>
        <v/>
      </c>
      <c r="FK3286" s="36" t="str">
        <f>IF($FH3286="","",SUM($FN3286:$FN$7000))</f>
        <v/>
      </c>
    </row>
    <row r="3287" spans="152:167">
      <c r="EV3287" s="28">
        <f t="shared" si="103"/>
        <v>0</v>
      </c>
      <c r="FH3287" s="29" t="str">
        <f t="shared" si="104"/>
        <v/>
      </c>
      <c r="FJ3287" s="36" t="str">
        <f>IF($FH3287="","",SUM($FN3287:$FN$7000))</f>
        <v/>
      </c>
      <c r="FK3287" s="36" t="str">
        <f>IF($FH3287="","",SUM($FN3287:$FN$7000))</f>
        <v/>
      </c>
    </row>
    <row r="3288" spans="152:167">
      <c r="EV3288" s="28">
        <f t="shared" si="103"/>
        <v>0</v>
      </c>
      <c r="FH3288" s="29" t="str">
        <f t="shared" si="104"/>
        <v/>
      </c>
      <c r="FJ3288" s="36" t="str">
        <f>IF($FH3288="","",SUM($FN3288:$FN$7000))</f>
        <v/>
      </c>
      <c r="FK3288" s="36" t="str">
        <f>IF($FH3288="","",SUM($FN3288:$FN$7000))</f>
        <v/>
      </c>
    </row>
    <row r="3289" spans="152:167">
      <c r="EV3289" s="28">
        <f t="shared" si="103"/>
        <v>0</v>
      </c>
      <c r="FH3289" s="29" t="str">
        <f t="shared" si="104"/>
        <v/>
      </c>
      <c r="FJ3289" s="36" t="str">
        <f>IF($FH3289="","",SUM($FN3289:$FN$7000))</f>
        <v/>
      </c>
      <c r="FK3289" s="36" t="str">
        <f>IF($FH3289="","",SUM($FN3289:$FN$7000))</f>
        <v/>
      </c>
    </row>
    <row r="3290" spans="152:167">
      <c r="EV3290" s="28">
        <f t="shared" si="103"/>
        <v>0</v>
      </c>
      <c r="FH3290" s="29" t="str">
        <f t="shared" si="104"/>
        <v/>
      </c>
      <c r="FJ3290" s="36" t="str">
        <f>IF($FH3290="","",SUM($FN3290:$FN$7000))</f>
        <v/>
      </c>
      <c r="FK3290" s="36" t="str">
        <f>IF($FH3290="","",SUM($FN3290:$FN$7000))</f>
        <v/>
      </c>
    </row>
    <row r="3291" spans="152:167">
      <c r="EV3291" s="28">
        <f t="shared" si="103"/>
        <v>0</v>
      </c>
      <c r="FH3291" s="29" t="str">
        <f t="shared" si="104"/>
        <v/>
      </c>
      <c r="FJ3291" s="36" t="str">
        <f>IF($FH3291="","",SUM($FN3291:$FN$7000))</f>
        <v/>
      </c>
      <c r="FK3291" s="36" t="str">
        <f>IF($FH3291="","",SUM($FN3291:$FN$7000))</f>
        <v/>
      </c>
    </row>
    <row r="3292" spans="152:167">
      <c r="EV3292" s="28">
        <f t="shared" si="103"/>
        <v>0</v>
      </c>
      <c r="FH3292" s="29" t="str">
        <f t="shared" si="104"/>
        <v/>
      </c>
      <c r="FJ3292" s="36" t="str">
        <f>IF($FH3292="","",SUM($FN3292:$FN$7000))</f>
        <v/>
      </c>
      <c r="FK3292" s="36" t="str">
        <f>IF($FH3292="","",SUM($FN3292:$FN$7000))</f>
        <v/>
      </c>
    </row>
    <row r="3293" spans="152:167">
      <c r="EV3293" s="28">
        <f t="shared" si="103"/>
        <v>0</v>
      </c>
      <c r="FH3293" s="29" t="str">
        <f t="shared" si="104"/>
        <v/>
      </c>
      <c r="FJ3293" s="36" t="str">
        <f>IF($FH3293="","",SUM($FN3293:$FN$7000))</f>
        <v/>
      </c>
      <c r="FK3293" s="36" t="str">
        <f>IF($FH3293="","",SUM($FN3293:$FN$7000))</f>
        <v/>
      </c>
    </row>
    <row r="3294" spans="152:167">
      <c r="EV3294" s="28">
        <f t="shared" si="103"/>
        <v>0</v>
      </c>
      <c r="FH3294" s="29" t="str">
        <f t="shared" si="104"/>
        <v/>
      </c>
      <c r="FJ3294" s="36" t="str">
        <f>IF($FH3294="","",SUM($FN3294:$FN$7000))</f>
        <v/>
      </c>
      <c r="FK3294" s="36" t="str">
        <f>IF($FH3294="","",SUM($FN3294:$FN$7000))</f>
        <v/>
      </c>
    </row>
    <row r="3295" spans="152:167">
      <c r="EV3295" s="28">
        <f t="shared" si="103"/>
        <v>0</v>
      </c>
      <c r="FH3295" s="29" t="str">
        <f t="shared" si="104"/>
        <v/>
      </c>
      <c r="FJ3295" s="36" t="str">
        <f>IF($FH3295="","",SUM($FN3295:$FN$7000))</f>
        <v/>
      </c>
      <c r="FK3295" s="36" t="str">
        <f>IF($FH3295="","",SUM($FN3295:$FN$7000))</f>
        <v/>
      </c>
    </row>
    <row r="3296" spans="152:167">
      <c r="EV3296" s="28">
        <f t="shared" si="103"/>
        <v>0</v>
      </c>
      <c r="FH3296" s="29" t="str">
        <f t="shared" si="104"/>
        <v/>
      </c>
      <c r="FJ3296" s="36" t="str">
        <f>IF($FH3296="","",SUM($FN3296:$FN$7000))</f>
        <v/>
      </c>
      <c r="FK3296" s="36" t="str">
        <f>IF($FH3296="","",SUM($FN3296:$FN$7000))</f>
        <v/>
      </c>
    </row>
    <row r="3297" spans="152:167">
      <c r="EV3297" s="28">
        <f t="shared" si="103"/>
        <v>0</v>
      </c>
      <c r="FH3297" s="29" t="str">
        <f t="shared" si="104"/>
        <v/>
      </c>
      <c r="FJ3297" s="36" t="str">
        <f>IF($FH3297="","",SUM($FN3297:$FN$7000))</f>
        <v/>
      </c>
      <c r="FK3297" s="36" t="str">
        <f>IF($FH3297="","",SUM($FN3297:$FN$7000))</f>
        <v/>
      </c>
    </row>
    <row r="3298" spans="152:167">
      <c r="EV3298" s="28">
        <f t="shared" si="103"/>
        <v>0</v>
      </c>
      <c r="FH3298" s="29" t="str">
        <f t="shared" si="104"/>
        <v/>
      </c>
      <c r="FJ3298" s="36" t="str">
        <f>IF($FH3298="","",SUM($FN3298:$FN$7000))</f>
        <v/>
      </c>
      <c r="FK3298" s="36" t="str">
        <f>IF($FH3298="","",SUM($FN3298:$FN$7000))</f>
        <v/>
      </c>
    </row>
    <row r="3299" spans="152:167">
      <c r="EV3299" s="28">
        <f t="shared" si="103"/>
        <v>0</v>
      </c>
      <c r="FH3299" s="29" t="str">
        <f t="shared" si="104"/>
        <v/>
      </c>
      <c r="FJ3299" s="36" t="str">
        <f>IF($FH3299="","",SUM($FN3299:$FN$7000))</f>
        <v/>
      </c>
      <c r="FK3299" s="36" t="str">
        <f>IF($FH3299="","",SUM($FN3299:$FN$7000))</f>
        <v/>
      </c>
    </row>
    <row r="3300" spans="152:167">
      <c r="EV3300" s="28">
        <f t="shared" si="103"/>
        <v>0</v>
      </c>
      <c r="FH3300" s="29" t="str">
        <f t="shared" si="104"/>
        <v/>
      </c>
      <c r="FJ3300" s="36" t="str">
        <f>IF($FH3300="","",SUM($FN3300:$FN$7000))</f>
        <v/>
      </c>
      <c r="FK3300" s="36" t="str">
        <f>IF($FH3300="","",SUM($FN3300:$FN$7000))</f>
        <v/>
      </c>
    </row>
    <row r="3301" spans="152:167">
      <c r="EV3301" s="28">
        <f t="shared" si="103"/>
        <v>0</v>
      </c>
      <c r="FH3301" s="29" t="str">
        <f t="shared" si="104"/>
        <v/>
      </c>
      <c r="FJ3301" s="36" t="str">
        <f>IF($FH3301="","",SUM($FN3301:$FN$7000))</f>
        <v/>
      </c>
      <c r="FK3301" s="36" t="str">
        <f>IF($FH3301="","",SUM($FN3301:$FN$7000))</f>
        <v/>
      </c>
    </row>
    <row r="3302" spans="152:167">
      <c r="EV3302" s="28">
        <f t="shared" si="103"/>
        <v>0</v>
      </c>
      <c r="FH3302" s="29" t="str">
        <f t="shared" si="104"/>
        <v/>
      </c>
      <c r="FJ3302" s="36" t="str">
        <f>IF($FH3302="","",SUM($FN3302:$FN$7000))</f>
        <v/>
      </c>
      <c r="FK3302" s="36" t="str">
        <f>IF($FH3302="","",SUM($FN3302:$FN$7000))</f>
        <v/>
      </c>
    </row>
    <row r="3303" spans="152:167">
      <c r="EV3303" s="28">
        <f t="shared" si="103"/>
        <v>0</v>
      </c>
      <c r="FH3303" s="29" t="str">
        <f t="shared" si="104"/>
        <v/>
      </c>
      <c r="FJ3303" s="36" t="str">
        <f>IF($FH3303="","",SUM($FN3303:$FN$7000))</f>
        <v/>
      </c>
      <c r="FK3303" s="36" t="str">
        <f>IF($FH3303="","",SUM($FN3303:$FN$7000))</f>
        <v/>
      </c>
    </row>
    <row r="3304" spans="152:167">
      <c r="EV3304" s="28">
        <f t="shared" si="103"/>
        <v>0</v>
      </c>
      <c r="FH3304" s="29" t="str">
        <f t="shared" si="104"/>
        <v/>
      </c>
      <c r="FJ3304" s="36" t="str">
        <f>IF($FH3304="","",SUM($FN3304:$FN$7000))</f>
        <v/>
      </c>
      <c r="FK3304" s="36" t="str">
        <f>IF($FH3304="","",SUM($FN3304:$FN$7000))</f>
        <v/>
      </c>
    </row>
    <row r="3305" spans="152:167">
      <c r="EV3305" s="28">
        <f t="shared" si="103"/>
        <v>0</v>
      </c>
      <c r="FH3305" s="29" t="str">
        <f t="shared" si="104"/>
        <v/>
      </c>
      <c r="FJ3305" s="36" t="str">
        <f>IF($FH3305="","",SUM($FN3305:$FN$7000))</f>
        <v/>
      </c>
      <c r="FK3305" s="36" t="str">
        <f>IF($FH3305="","",SUM($FN3305:$FN$7000))</f>
        <v/>
      </c>
    </row>
    <row r="3306" spans="152:167">
      <c r="EV3306" s="28">
        <f t="shared" si="103"/>
        <v>0</v>
      </c>
      <c r="FH3306" s="29" t="str">
        <f t="shared" si="104"/>
        <v/>
      </c>
      <c r="FJ3306" s="36" t="str">
        <f>IF($FH3306="","",SUM($FN3306:$FN$7000))</f>
        <v/>
      </c>
      <c r="FK3306" s="36" t="str">
        <f>IF($FH3306="","",SUM($FN3306:$FN$7000))</f>
        <v/>
      </c>
    </row>
    <row r="3307" spans="152:167">
      <c r="EV3307" s="28">
        <f t="shared" si="103"/>
        <v>0</v>
      </c>
      <c r="FH3307" s="29" t="str">
        <f t="shared" si="104"/>
        <v/>
      </c>
      <c r="FJ3307" s="36" t="str">
        <f>IF($FH3307="","",SUM($FN3307:$FN$7000))</f>
        <v/>
      </c>
      <c r="FK3307" s="36" t="str">
        <f>IF($FH3307="","",SUM($FN3307:$FN$7000))</f>
        <v/>
      </c>
    </row>
    <row r="3308" spans="152:167">
      <c r="EV3308" s="28">
        <f t="shared" si="103"/>
        <v>0</v>
      </c>
      <c r="FH3308" s="29" t="str">
        <f t="shared" si="104"/>
        <v/>
      </c>
      <c r="FJ3308" s="36" t="str">
        <f>IF($FH3308="","",SUM($FN3308:$FN$7000))</f>
        <v/>
      </c>
      <c r="FK3308" s="36" t="str">
        <f>IF($FH3308="","",SUM($FN3308:$FN$7000))</f>
        <v/>
      </c>
    </row>
    <row r="3309" spans="152:167">
      <c r="EV3309" s="28">
        <f t="shared" si="103"/>
        <v>0</v>
      </c>
      <c r="FH3309" s="29" t="str">
        <f t="shared" si="104"/>
        <v/>
      </c>
      <c r="FJ3309" s="36" t="str">
        <f>IF($FH3309="","",SUM($FN3309:$FN$7000))</f>
        <v/>
      </c>
      <c r="FK3309" s="36" t="str">
        <f>IF($FH3309="","",SUM($FN3309:$FN$7000))</f>
        <v/>
      </c>
    </row>
    <row r="3310" spans="152:167">
      <c r="EV3310" s="28">
        <f t="shared" si="103"/>
        <v>0</v>
      </c>
      <c r="FH3310" s="29" t="str">
        <f t="shared" si="104"/>
        <v/>
      </c>
      <c r="FJ3310" s="36" t="str">
        <f>IF($FH3310="","",SUM($FN3310:$FN$7000))</f>
        <v/>
      </c>
      <c r="FK3310" s="36" t="str">
        <f>IF($FH3310="","",SUM($FN3310:$FN$7000))</f>
        <v/>
      </c>
    </row>
    <row r="3311" spans="152:167">
      <c r="EV3311" s="28">
        <f t="shared" si="103"/>
        <v>0</v>
      </c>
      <c r="FH3311" s="29" t="str">
        <f t="shared" si="104"/>
        <v/>
      </c>
      <c r="FJ3311" s="36" t="str">
        <f>IF($FH3311="","",SUM($FN3311:$FN$7000))</f>
        <v/>
      </c>
      <c r="FK3311" s="36" t="str">
        <f>IF($FH3311="","",SUM($FN3311:$FN$7000))</f>
        <v/>
      </c>
    </row>
    <row r="3312" spans="152:167">
      <c r="EV3312" s="28">
        <f t="shared" si="103"/>
        <v>0</v>
      </c>
      <c r="FH3312" s="29" t="str">
        <f t="shared" si="104"/>
        <v/>
      </c>
      <c r="FJ3312" s="36" t="str">
        <f>IF($FH3312="","",SUM($FN3312:$FN$7000))</f>
        <v/>
      </c>
      <c r="FK3312" s="36" t="str">
        <f>IF($FH3312="","",SUM($FN3312:$FN$7000))</f>
        <v/>
      </c>
    </row>
    <row r="3313" spans="152:167">
      <c r="EV3313" s="28">
        <f t="shared" si="103"/>
        <v>0</v>
      </c>
      <c r="FH3313" s="29" t="str">
        <f t="shared" si="104"/>
        <v/>
      </c>
      <c r="FJ3313" s="36" t="str">
        <f>IF($FH3313="","",SUM($FN3313:$FN$7000))</f>
        <v/>
      </c>
      <c r="FK3313" s="36" t="str">
        <f>IF($FH3313="","",SUM($FN3313:$FN$7000))</f>
        <v/>
      </c>
    </row>
    <row r="3314" spans="152:167">
      <c r="EV3314" s="28">
        <f t="shared" si="103"/>
        <v>0</v>
      </c>
      <c r="FH3314" s="29" t="str">
        <f t="shared" si="104"/>
        <v/>
      </c>
      <c r="FJ3314" s="36" t="str">
        <f>IF($FH3314="","",SUM($FN3314:$FN$7000))</f>
        <v/>
      </c>
      <c r="FK3314" s="36" t="str">
        <f>IF($FH3314="","",SUM($FN3314:$FN$7000))</f>
        <v/>
      </c>
    </row>
    <row r="3315" spans="152:167">
      <c r="EV3315" s="28">
        <f t="shared" si="103"/>
        <v>0</v>
      </c>
      <c r="FH3315" s="29" t="str">
        <f t="shared" si="104"/>
        <v/>
      </c>
      <c r="FJ3315" s="36" t="str">
        <f>IF($FH3315="","",SUM($FN3315:$FN$7000))</f>
        <v/>
      </c>
      <c r="FK3315" s="36" t="str">
        <f>IF($FH3315="","",SUM($FN3315:$FN$7000))</f>
        <v/>
      </c>
    </row>
    <row r="3316" spans="152:167">
      <c r="EV3316" s="28">
        <f t="shared" si="103"/>
        <v>0</v>
      </c>
      <c r="FH3316" s="29" t="str">
        <f t="shared" si="104"/>
        <v/>
      </c>
      <c r="FJ3316" s="36" t="str">
        <f>IF($FH3316="","",SUM($FN3316:$FN$7000))</f>
        <v/>
      </c>
      <c r="FK3316" s="36" t="str">
        <f>IF($FH3316="","",SUM($FN3316:$FN$7000))</f>
        <v/>
      </c>
    </row>
    <row r="3317" spans="152:167">
      <c r="EV3317" s="28">
        <f t="shared" si="103"/>
        <v>0</v>
      </c>
      <c r="FH3317" s="29" t="str">
        <f t="shared" si="104"/>
        <v/>
      </c>
      <c r="FJ3317" s="36" t="str">
        <f>IF($FH3317="","",SUM($FN3317:$FN$7000))</f>
        <v/>
      </c>
      <c r="FK3317" s="36" t="str">
        <f>IF($FH3317="","",SUM($FN3317:$FN$7000))</f>
        <v/>
      </c>
    </row>
    <row r="3318" spans="152:167">
      <c r="EV3318" s="28">
        <f t="shared" si="103"/>
        <v>0</v>
      </c>
      <c r="FH3318" s="29" t="str">
        <f t="shared" si="104"/>
        <v/>
      </c>
      <c r="FJ3318" s="36" t="str">
        <f>IF($FH3318="","",SUM($FN3318:$FN$7000))</f>
        <v/>
      </c>
      <c r="FK3318" s="36" t="str">
        <f>IF($FH3318="","",SUM($FN3318:$FN$7000))</f>
        <v/>
      </c>
    </row>
    <row r="3319" spans="152:167">
      <c r="EV3319" s="28">
        <f t="shared" si="103"/>
        <v>0</v>
      </c>
      <c r="FH3319" s="29" t="str">
        <f t="shared" si="104"/>
        <v/>
      </c>
      <c r="FJ3319" s="36" t="str">
        <f>IF($FH3319="","",SUM($FN3319:$FN$7000))</f>
        <v/>
      </c>
      <c r="FK3319" s="36" t="str">
        <f>IF($FH3319="","",SUM($FN3319:$FN$7000))</f>
        <v/>
      </c>
    </row>
    <row r="3320" spans="152:167">
      <c r="EV3320" s="28">
        <f t="shared" si="103"/>
        <v>0</v>
      </c>
      <c r="FH3320" s="29" t="str">
        <f t="shared" si="104"/>
        <v/>
      </c>
      <c r="FJ3320" s="36" t="str">
        <f>IF($FH3320="","",SUM($FN3320:$FN$7000))</f>
        <v/>
      </c>
      <c r="FK3320" s="36" t="str">
        <f>IF($FH3320="","",SUM($FN3320:$FN$7000))</f>
        <v/>
      </c>
    </row>
    <row r="3321" spans="152:167">
      <c r="EV3321" s="28">
        <f t="shared" si="103"/>
        <v>0</v>
      </c>
      <c r="FH3321" s="29" t="str">
        <f t="shared" si="104"/>
        <v/>
      </c>
      <c r="FJ3321" s="36" t="str">
        <f>IF($FH3321="","",SUM($FN3321:$FN$7000))</f>
        <v/>
      </c>
      <c r="FK3321" s="36" t="str">
        <f>IF($FH3321="","",SUM($FN3321:$FN$7000))</f>
        <v/>
      </c>
    </row>
    <row r="3322" spans="152:167">
      <c r="EV3322" s="28">
        <f t="shared" si="103"/>
        <v>0</v>
      </c>
      <c r="FH3322" s="29" t="str">
        <f t="shared" si="104"/>
        <v/>
      </c>
      <c r="FJ3322" s="36" t="str">
        <f>IF($FH3322="","",SUM($FN3322:$FN$7000))</f>
        <v/>
      </c>
      <c r="FK3322" s="36" t="str">
        <f>IF($FH3322="","",SUM($FN3322:$FN$7000))</f>
        <v/>
      </c>
    </row>
    <row r="3323" spans="152:167">
      <c r="EV3323" s="28">
        <f t="shared" si="103"/>
        <v>0</v>
      </c>
      <c r="FH3323" s="29" t="str">
        <f t="shared" si="104"/>
        <v/>
      </c>
      <c r="FJ3323" s="36" t="str">
        <f>IF($FH3323="","",SUM($FN3323:$FN$7000))</f>
        <v/>
      </c>
      <c r="FK3323" s="36" t="str">
        <f>IF($FH3323="","",SUM($FN3323:$FN$7000))</f>
        <v/>
      </c>
    </row>
    <row r="3324" spans="152:167">
      <c r="EV3324" s="28">
        <f t="shared" si="103"/>
        <v>0</v>
      </c>
      <c r="FH3324" s="29" t="str">
        <f t="shared" si="104"/>
        <v/>
      </c>
      <c r="FJ3324" s="36" t="str">
        <f>IF($FH3324="","",SUM($FN3324:$FN$7000))</f>
        <v/>
      </c>
      <c r="FK3324" s="36" t="str">
        <f>IF($FH3324="","",SUM($FN3324:$FN$7000))</f>
        <v/>
      </c>
    </row>
    <row r="3325" spans="152:167">
      <c r="EV3325" s="28">
        <f t="shared" si="103"/>
        <v>0</v>
      </c>
      <c r="FH3325" s="29" t="str">
        <f t="shared" si="104"/>
        <v/>
      </c>
      <c r="FJ3325" s="36" t="str">
        <f>IF($FH3325="","",SUM($FN3325:$FN$7000))</f>
        <v/>
      </c>
      <c r="FK3325" s="36" t="str">
        <f>IF($FH3325="","",SUM($FN3325:$FN$7000))</f>
        <v/>
      </c>
    </row>
    <row r="3326" spans="152:167">
      <c r="EV3326" s="28">
        <f t="shared" si="103"/>
        <v>0</v>
      </c>
      <c r="FH3326" s="29" t="str">
        <f t="shared" si="104"/>
        <v/>
      </c>
      <c r="FJ3326" s="36" t="str">
        <f>IF($FH3326="","",SUM($FN3326:$FN$7000))</f>
        <v/>
      </c>
      <c r="FK3326" s="36" t="str">
        <f>IF($FH3326="","",SUM($FN3326:$FN$7000))</f>
        <v/>
      </c>
    </row>
    <row r="3327" spans="152:167">
      <c r="EV3327" s="28">
        <f t="shared" si="103"/>
        <v>0</v>
      </c>
      <c r="FH3327" s="29" t="str">
        <f t="shared" si="104"/>
        <v/>
      </c>
      <c r="FJ3327" s="36" t="str">
        <f>IF($FH3327="","",SUM($FN3327:$FN$7000))</f>
        <v/>
      </c>
      <c r="FK3327" s="36" t="str">
        <f>IF($FH3327="","",SUM($FN3327:$FN$7000))</f>
        <v/>
      </c>
    </row>
    <row r="3328" spans="152:167">
      <c r="EV3328" s="28">
        <f t="shared" si="103"/>
        <v>0</v>
      </c>
      <c r="FH3328" s="29" t="str">
        <f t="shared" si="104"/>
        <v/>
      </c>
      <c r="FJ3328" s="36" t="str">
        <f>IF($FH3328="","",SUM($FN3328:$FN$7000))</f>
        <v/>
      </c>
      <c r="FK3328" s="36" t="str">
        <f>IF($FH3328="","",SUM($FN3328:$FN$7000))</f>
        <v/>
      </c>
    </row>
    <row r="3329" spans="152:167">
      <c r="EV3329" s="28">
        <f t="shared" si="103"/>
        <v>0</v>
      </c>
      <c r="FH3329" s="29" t="str">
        <f t="shared" si="104"/>
        <v/>
      </c>
      <c r="FJ3329" s="36" t="str">
        <f>IF($FH3329="","",SUM($FN3329:$FN$7000))</f>
        <v/>
      </c>
      <c r="FK3329" s="36" t="str">
        <f>IF($FH3329="","",SUM($FN3329:$FN$7000))</f>
        <v/>
      </c>
    </row>
    <row r="3330" spans="152:167">
      <c r="EV3330" s="28">
        <f t="shared" si="103"/>
        <v>0</v>
      </c>
      <c r="FH3330" s="29" t="str">
        <f t="shared" si="104"/>
        <v/>
      </c>
      <c r="FJ3330" s="36" t="str">
        <f>IF($FH3330="","",SUM($FN3330:$FN$7000))</f>
        <v/>
      </c>
      <c r="FK3330" s="36" t="str">
        <f>IF($FH3330="","",SUM($FN3330:$FN$7000))</f>
        <v/>
      </c>
    </row>
    <row r="3331" spans="152:167">
      <c r="EV3331" s="28">
        <f t="shared" si="103"/>
        <v>0</v>
      </c>
      <c r="FH3331" s="29" t="str">
        <f t="shared" si="104"/>
        <v/>
      </c>
      <c r="FJ3331" s="36" t="str">
        <f>IF($FH3331="","",SUM($FN3331:$FN$7000))</f>
        <v/>
      </c>
      <c r="FK3331" s="36" t="str">
        <f>IF($FH3331="","",SUM($FN3331:$FN$7000))</f>
        <v/>
      </c>
    </row>
    <row r="3332" spans="152:167">
      <c r="EV3332" s="28">
        <f t="shared" si="103"/>
        <v>0</v>
      </c>
      <c r="FH3332" s="29" t="str">
        <f t="shared" si="104"/>
        <v/>
      </c>
      <c r="FJ3332" s="36" t="str">
        <f>IF($FH3332="","",SUM($FN3332:$FN$7000))</f>
        <v/>
      </c>
      <c r="FK3332" s="36" t="str">
        <f>IF($FH3332="","",SUM($FN3332:$FN$7000))</f>
        <v/>
      </c>
    </row>
    <row r="3333" spans="152:167">
      <c r="EV3333" s="28">
        <f t="shared" si="103"/>
        <v>0</v>
      </c>
      <c r="FH3333" s="29" t="str">
        <f t="shared" si="104"/>
        <v/>
      </c>
      <c r="FJ3333" s="36" t="str">
        <f>IF($FH3333="","",SUM($FN3333:$FN$7000))</f>
        <v/>
      </c>
      <c r="FK3333" s="36" t="str">
        <f>IF($FH3333="","",SUM($FN3333:$FN$7000))</f>
        <v/>
      </c>
    </row>
    <row r="3334" spans="152:167">
      <c r="EV3334" s="28">
        <f t="shared" si="103"/>
        <v>0</v>
      </c>
      <c r="FH3334" s="29" t="str">
        <f t="shared" si="104"/>
        <v/>
      </c>
      <c r="FJ3334" s="36" t="str">
        <f>IF($FH3334="","",SUM($FN3334:$FN$7000))</f>
        <v/>
      </c>
      <c r="FK3334" s="36" t="str">
        <f>IF($FH3334="","",SUM($FN3334:$FN$7000))</f>
        <v/>
      </c>
    </row>
    <row r="3335" spans="152:167">
      <c r="EV3335" s="28">
        <f t="shared" si="103"/>
        <v>0</v>
      </c>
      <c r="FH3335" s="29" t="str">
        <f t="shared" si="104"/>
        <v/>
      </c>
      <c r="FJ3335" s="36" t="str">
        <f>IF($FH3335="","",SUM($FN3335:$FN$7000))</f>
        <v/>
      </c>
      <c r="FK3335" s="36" t="str">
        <f>IF($FH3335="","",SUM($FN3335:$FN$7000))</f>
        <v/>
      </c>
    </row>
    <row r="3336" spans="152:167">
      <c r="EV3336" s="28">
        <f t="shared" si="103"/>
        <v>0</v>
      </c>
      <c r="FH3336" s="29" t="str">
        <f t="shared" si="104"/>
        <v/>
      </c>
      <c r="FJ3336" s="36" t="str">
        <f>IF($FH3336="","",SUM($FN3336:$FN$7000))</f>
        <v/>
      </c>
      <c r="FK3336" s="36" t="str">
        <f>IF($FH3336="","",SUM($FN3336:$FN$7000))</f>
        <v/>
      </c>
    </row>
    <row r="3337" spans="152:167">
      <c r="EV3337" s="28">
        <f t="shared" si="103"/>
        <v>0</v>
      </c>
      <c r="FH3337" s="29" t="str">
        <f t="shared" si="104"/>
        <v/>
      </c>
      <c r="FJ3337" s="36" t="str">
        <f>IF($FH3337="","",SUM($FN3337:$FN$7000))</f>
        <v/>
      </c>
      <c r="FK3337" s="36" t="str">
        <f>IF($FH3337="","",SUM($FN3337:$FN$7000))</f>
        <v/>
      </c>
    </row>
    <row r="3338" spans="152:167">
      <c r="EV3338" s="28">
        <f t="shared" si="103"/>
        <v>0</v>
      </c>
      <c r="FH3338" s="29" t="str">
        <f t="shared" si="104"/>
        <v/>
      </c>
      <c r="FJ3338" s="36" t="str">
        <f>IF($FH3338="","",SUM($FN3338:$FN$7000))</f>
        <v/>
      </c>
      <c r="FK3338" s="36" t="str">
        <f>IF($FH3338="","",SUM($FN3338:$FN$7000))</f>
        <v/>
      </c>
    </row>
    <row r="3339" spans="152:167">
      <c r="EV3339" s="28">
        <f t="shared" ref="EV3339:EV3402" si="105">EU3339-ET3339</f>
        <v>0</v>
      </c>
      <c r="FH3339" s="29" t="str">
        <f t="shared" ref="FH3339:FH3402" si="106">IF(FL3339="","",FL3339)</f>
        <v/>
      </c>
      <c r="FJ3339" s="36" t="str">
        <f>IF($FH3339="","",SUM($FN3339:$FN$7000))</f>
        <v/>
      </c>
      <c r="FK3339" s="36" t="str">
        <f>IF($FH3339="","",SUM($FN3339:$FN$7000))</f>
        <v/>
      </c>
    </row>
    <row r="3340" spans="152:167">
      <c r="EV3340" s="28">
        <f t="shared" si="105"/>
        <v>0</v>
      </c>
      <c r="FH3340" s="29" t="str">
        <f t="shared" si="106"/>
        <v/>
      </c>
      <c r="FJ3340" s="36" t="str">
        <f>IF($FH3340="","",SUM($FN3340:$FN$7000))</f>
        <v/>
      </c>
      <c r="FK3340" s="36" t="str">
        <f>IF($FH3340="","",SUM($FN3340:$FN$7000))</f>
        <v/>
      </c>
    </row>
    <row r="3341" spans="152:167">
      <c r="EV3341" s="28">
        <f t="shared" si="105"/>
        <v>0</v>
      </c>
      <c r="FH3341" s="29" t="str">
        <f t="shared" si="106"/>
        <v/>
      </c>
      <c r="FJ3341" s="36" t="str">
        <f>IF($FH3341="","",SUM($FN3341:$FN$7000))</f>
        <v/>
      </c>
      <c r="FK3341" s="36" t="str">
        <f>IF($FH3341="","",SUM($FN3341:$FN$7000))</f>
        <v/>
      </c>
    </row>
    <row r="3342" spans="152:167">
      <c r="EV3342" s="28">
        <f t="shared" si="105"/>
        <v>0</v>
      </c>
      <c r="FH3342" s="29" t="str">
        <f t="shared" si="106"/>
        <v/>
      </c>
      <c r="FJ3342" s="36" t="str">
        <f>IF($FH3342="","",SUM($FN3342:$FN$7000))</f>
        <v/>
      </c>
      <c r="FK3342" s="36" t="str">
        <f>IF($FH3342="","",SUM($FN3342:$FN$7000))</f>
        <v/>
      </c>
    </row>
    <row r="3343" spans="152:167">
      <c r="EV3343" s="28">
        <f t="shared" si="105"/>
        <v>0</v>
      </c>
      <c r="FH3343" s="29" t="str">
        <f t="shared" si="106"/>
        <v/>
      </c>
      <c r="FJ3343" s="36" t="str">
        <f>IF($FH3343="","",SUM($FN3343:$FN$7000))</f>
        <v/>
      </c>
      <c r="FK3343" s="36" t="str">
        <f>IF($FH3343="","",SUM($FN3343:$FN$7000))</f>
        <v/>
      </c>
    </row>
    <row r="3344" spans="152:167">
      <c r="EV3344" s="28">
        <f t="shared" si="105"/>
        <v>0</v>
      </c>
      <c r="FH3344" s="29" t="str">
        <f t="shared" si="106"/>
        <v/>
      </c>
      <c r="FJ3344" s="36" t="str">
        <f>IF($FH3344="","",SUM($FN3344:$FN$7000))</f>
        <v/>
      </c>
      <c r="FK3344" s="36" t="str">
        <f>IF($FH3344="","",SUM($FN3344:$FN$7000))</f>
        <v/>
      </c>
    </row>
    <row r="3345" spans="152:167">
      <c r="EV3345" s="28">
        <f t="shared" si="105"/>
        <v>0</v>
      </c>
      <c r="FH3345" s="29" t="str">
        <f t="shared" si="106"/>
        <v/>
      </c>
      <c r="FJ3345" s="36" t="str">
        <f>IF($FH3345="","",SUM($FN3345:$FN$7000))</f>
        <v/>
      </c>
      <c r="FK3345" s="36" t="str">
        <f>IF($FH3345="","",SUM($FN3345:$FN$7000))</f>
        <v/>
      </c>
    </row>
    <row r="3346" spans="152:167">
      <c r="EV3346" s="28">
        <f t="shared" si="105"/>
        <v>0</v>
      </c>
      <c r="FH3346" s="29" t="str">
        <f t="shared" si="106"/>
        <v/>
      </c>
      <c r="FJ3346" s="36" t="str">
        <f>IF($FH3346="","",SUM($FN3346:$FN$7000))</f>
        <v/>
      </c>
      <c r="FK3346" s="36" t="str">
        <f>IF($FH3346="","",SUM($FN3346:$FN$7000))</f>
        <v/>
      </c>
    </row>
    <row r="3347" spans="152:167">
      <c r="EV3347" s="28">
        <f t="shared" si="105"/>
        <v>0</v>
      </c>
      <c r="FH3347" s="29" t="str">
        <f t="shared" si="106"/>
        <v/>
      </c>
      <c r="FJ3347" s="36" t="str">
        <f>IF($FH3347="","",SUM($FN3347:$FN$7000))</f>
        <v/>
      </c>
      <c r="FK3347" s="36" t="str">
        <f>IF($FH3347="","",SUM($FN3347:$FN$7000))</f>
        <v/>
      </c>
    </row>
    <row r="3348" spans="152:167">
      <c r="EV3348" s="28">
        <f t="shared" si="105"/>
        <v>0</v>
      </c>
      <c r="FH3348" s="29" t="str">
        <f t="shared" si="106"/>
        <v/>
      </c>
      <c r="FJ3348" s="36" t="str">
        <f>IF($FH3348="","",SUM($FN3348:$FN$7000))</f>
        <v/>
      </c>
      <c r="FK3348" s="36" t="str">
        <f>IF($FH3348="","",SUM($FN3348:$FN$7000))</f>
        <v/>
      </c>
    </row>
    <row r="3349" spans="152:167">
      <c r="EV3349" s="28">
        <f t="shared" si="105"/>
        <v>0</v>
      </c>
      <c r="FH3349" s="29" t="str">
        <f t="shared" si="106"/>
        <v/>
      </c>
      <c r="FJ3349" s="36" t="str">
        <f>IF($FH3349="","",SUM($FN3349:$FN$7000))</f>
        <v/>
      </c>
      <c r="FK3349" s="36" t="str">
        <f>IF($FH3349="","",SUM($FN3349:$FN$7000))</f>
        <v/>
      </c>
    </row>
    <row r="3350" spans="152:167">
      <c r="EV3350" s="28">
        <f t="shared" si="105"/>
        <v>0</v>
      </c>
      <c r="FH3350" s="29" t="str">
        <f t="shared" si="106"/>
        <v/>
      </c>
      <c r="FJ3350" s="36" t="str">
        <f>IF($FH3350="","",SUM($FN3350:$FN$7000))</f>
        <v/>
      </c>
      <c r="FK3350" s="36" t="str">
        <f>IF($FH3350="","",SUM($FN3350:$FN$7000))</f>
        <v/>
      </c>
    </row>
    <row r="3351" spans="152:167">
      <c r="EV3351" s="28">
        <f t="shared" si="105"/>
        <v>0</v>
      </c>
      <c r="FH3351" s="29" t="str">
        <f t="shared" si="106"/>
        <v/>
      </c>
      <c r="FJ3351" s="36" t="str">
        <f>IF($FH3351="","",SUM($FN3351:$FN$7000))</f>
        <v/>
      </c>
      <c r="FK3351" s="36" t="str">
        <f>IF($FH3351="","",SUM($FN3351:$FN$7000))</f>
        <v/>
      </c>
    </row>
    <row r="3352" spans="152:167">
      <c r="EV3352" s="28">
        <f t="shared" si="105"/>
        <v>0</v>
      </c>
      <c r="FH3352" s="29" t="str">
        <f t="shared" si="106"/>
        <v/>
      </c>
      <c r="FJ3352" s="36" t="str">
        <f>IF($FH3352="","",SUM($FN3352:$FN$7000))</f>
        <v/>
      </c>
      <c r="FK3352" s="36" t="str">
        <f>IF($FH3352="","",SUM($FN3352:$FN$7000))</f>
        <v/>
      </c>
    </row>
    <row r="3353" spans="152:167">
      <c r="EV3353" s="28">
        <f t="shared" si="105"/>
        <v>0</v>
      </c>
      <c r="FH3353" s="29" t="str">
        <f t="shared" si="106"/>
        <v/>
      </c>
      <c r="FJ3353" s="36" t="str">
        <f>IF($FH3353="","",SUM($FN3353:$FN$7000))</f>
        <v/>
      </c>
      <c r="FK3353" s="36" t="str">
        <f>IF($FH3353="","",SUM($FN3353:$FN$7000))</f>
        <v/>
      </c>
    </row>
    <row r="3354" spans="152:167">
      <c r="EV3354" s="28">
        <f t="shared" si="105"/>
        <v>0</v>
      </c>
      <c r="FH3354" s="29" t="str">
        <f t="shared" si="106"/>
        <v/>
      </c>
      <c r="FJ3354" s="36" t="str">
        <f>IF($FH3354="","",SUM($FN3354:$FN$7000))</f>
        <v/>
      </c>
      <c r="FK3354" s="36" t="str">
        <f>IF($FH3354="","",SUM($FN3354:$FN$7000))</f>
        <v/>
      </c>
    </row>
    <row r="3355" spans="152:167">
      <c r="EV3355" s="28">
        <f t="shared" si="105"/>
        <v>0</v>
      </c>
      <c r="FH3355" s="29" t="str">
        <f t="shared" si="106"/>
        <v/>
      </c>
      <c r="FJ3355" s="36" t="str">
        <f>IF($FH3355="","",SUM($FN3355:$FN$7000))</f>
        <v/>
      </c>
      <c r="FK3355" s="36" t="str">
        <f>IF($FH3355="","",SUM($FN3355:$FN$7000))</f>
        <v/>
      </c>
    </row>
    <row r="3356" spans="152:167">
      <c r="EV3356" s="28">
        <f t="shared" si="105"/>
        <v>0</v>
      </c>
      <c r="FH3356" s="29" t="str">
        <f t="shared" si="106"/>
        <v/>
      </c>
      <c r="FJ3356" s="36" t="str">
        <f>IF($FH3356="","",SUM($FN3356:$FN$7000))</f>
        <v/>
      </c>
      <c r="FK3356" s="36" t="str">
        <f>IF($FH3356="","",SUM($FN3356:$FN$7000))</f>
        <v/>
      </c>
    </row>
    <row r="3357" spans="152:167">
      <c r="EV3357" s="28">
        <f t="shared" si="105"/>
        <v>0</v>
      </c>
      <c r="FH3357" s="29" t="str">
        <f t="shared" si="106"/>
        <v/>
      </c>
      <c r="FJ3357" s="36" t="str">
        <f>IF($FH3357="","",SUM($FN3357:$FN$7000))</f>
        <v/>
      </c>
      <c r="FK3357" s="36" t="str">
        <f>IF($FH3357="","",SUM($FN3357:$FN$7000))</f>
        <v/>
      </c>
    </row>
    <row r="3358" spans="152:167">
      <c r="EV3358" s="28">
        <f t="shared" si="105"/>
        <v>0</v>
      </c>
      <c r="FH3358" s="29" t="str">
        <f t="shared" si="106"/>
        <v/>
      </c>
      <c r="FJ3358" s="36" t="str">
        <f>IF($FH3358="","",SUM($FN3358:$FN$7000))</f>
        <v/>
      </c>
      <c r="FK3358" s="36" t="str">
        <f>IF($FH3358="","",SUM($FN3358:$FN$7000))</f>
        <v/>
      </c>
    </row>
    <row r="3359" spans="152:167">
      <c r="EV3359" s="28">
        <f t="shared" si="105"/>
        <v>0</v>
      </c>
      <c r="FH3359" s="29" t="str">
        <f t="shared" si="106"/>
        <v/>
      </c>
      <c r="FJ3359" s="36" t="str">
        <f>IF($FH3359="","",SUM($FN3359:$FN$7000))</f>
        <v/>
      </c>
      <c r="FK3359" s="36" t="str">
        <f>IF($FH3359="","",SUM($FN3359:$FN$7000))</f>
        <v/>
      </c>
    </row>
    <row r="3360" spans="152:167">
      <c r="EV3360" s="28">
        <f t="shared" si="105"/>
        <v>0</v>
      </c>
      <c r="FH3360" s="29" t="str">
        <f t="shared" si="106"/>
        <v/>
      </c>
      <c r="FJ3360" s="36" t="str">
        <f>IF($FH3360="","",SUM($FN3360:$FN$7000))</f>
        <v/>
      </c>
      <c r="FK3360" s="36" t="str">
        <f>IF($FH3360="","",SUM($FN3360:$FN$7000))</f>
        <v/>
      </c>
    </row>
    <row r="3361" spans="152:167">
      <c r="EV3361" s="28">
        <f t="shared" si="105"/>
        <v>0</v>
      </c>
      <c r="FH3361" s="29" t="str">
        <f t="shared" si="106"/>
        <v/>
      </c>
      <c r="FJ3361" s="36" t="str">
        <f>IF($FH3361="","",SUM($FN3361:$FN$7000))</f>
        <v/>
      </c>
      <c r="FK3361" s="36" t="str">
        <f>IF($FH3361="","",SUM($FN3361:$FN$7000))</f>
        <v/>
      </c>
    </row>
    <row r="3362" spans="152:167">
      <c r="EV3362" s="28">
        <f t="shared" si="105"/>
        <v>0</v>
      </c>
      <c r="FH3362" s="29" t="str">
        <f t="shared" si="106"/>
        <v/>
      </c>
      <c r="FJ3362" s="36" t="str">
        <f>IF($FH3362="","",SUM($FN3362:$FN$7000))</f>
        <v/>
      </c>
      <c r="FK3362" s="36" t="str">
        <f>IF($FH3362="","",SUM($FN3362:$FN$7000))</f>
        <v/>
      </c>
    </row>
    <row r="3363" spans="152:167">
      <c r="EV3363" s="28">
        <f t="shared" si="105"/>
        <v>0</v>
      </c>
      <c r="FH3363" s="29" t="str">
        <f t="shared" si="106"/>
        <v/>
      </c>
      <c r="FJ3363" s="36" t="str">
        <f>IF($FH3363="","",SUM($FN3363:$FN$7000))</f>
        <v/>
      </c>
      <c r="FK3363" s="36" t="str">
        <f>IF($FH3363="","",SUM($FN3363:$FN$7000))</f>
        <v/>
      </c>
    </row>
    <row r="3364" spans="152:167">
      <c r="EV3364" s="28">
        <f t="shared" si="105"/>
        <v>0</v>
      </c>
      <c r="FH3364" s="29" t="str">
        <f t="shared" si="106"/>
        <v/>
      </c>
      <c r="FJ3364" s="36" t="str">
        <f>IF($FH3364="","",SUM($FN3364:$FN$7000))</f>
        <v/>
      </c>
      <c r="FK3364" s="36" t="str">
        <f>IF($FH3364="","",SUM($FN3364:$FN$7000))</f>
        <v/>
      </c>
    </row>
    <row r="3365" spans="152:167">
      <c r="EV3365" s="28">
        <f t="shared" si="105"/>
        <v>0</v>
      </c>
      <c r="FH3365" s="29" t="str">
        <f t="shared" si="106"/>
        <v/>
      </c>
      <c r="FJ3365" s="36" t="str">
        <f>IF($FH3365="","",SUM($FN3365:$FN$7000))</f>
        <v/>
      </c>
      <c r="FK3365" s="36" t="str">
        <f>IF($FH3365="","",SUM($FN3365:$FN$7000))</f>
        <v/>
      </c>
    </row>
    <row r="3366" spans="152:167">
      <c r="EV3366" s="28">
        <f t="shared" si="105"/>
        <v>0</v>
      </c>
      <c r="FH3366" s="29" t="str">
        <f t="shared" si="106"/>
        <v/>
      </c>
      <c r="FJ3366" s="36" t="str">
        <f>IF($FH3366="","",SUM($FN3366:$FN$7000))</f>
        <v/>
      </c>
      <c r="FK3366" s="36" t="str">
        <f>IF($FH3366="","",SUM($FN3366:$FN$7000))</f>
        <v/>
      </c>
    </row>
    <row r="3367" spans="152:167">
      <c r="EV3367" s="28">
        <f t="shared" si="105"/>
        <v>0</v>
      </c>
      <c r="FH3367" s="29" t="str">
        <f t="shared" si="106"/>
        <v/>
      </c>
      <c r="FJ3367" s="36" t="str">
        <f>IF($FH3367="","",SUM($FN3367:$FN$7000))</f>
        <v/>
      </c>
      <c r="FK3367" s="36" t="str">
        <f>IF($FH3367="","",SUM($FN3367:$FN$7000))</f>
        <v/>
      </c>
    </row>
    <row r="3368" spans="152:167">
      <c r="EV3368" s="28">
        <f t="shared" si="105"/>
        <v>0</v>
      </c>
      <c r="FH3368" s="29" t="str">
        <f t="shared" si="106"/>
        <v/>
      </c>
      <c r="FJ3368" s="36" t="str">
        <f>IF($FH3368="","",SUM($FN3368:$FN$7000))</f>
        <v/>
      </c>
      <c r="FK3368" s="36" t="str">
        <f>IF($FH3368="","",SUM($FN3368:$FN$7000))</f>
        <v/>
      </c>
    </row>
    <row r="3369" spans="152:167">
      <c r="EV3369" s="28">
        <f t="shared" si="105"/>
        <v>0</v>
      </c>
      <c r="FH3369" s="29" t="str">
        <f t="shared" si="106"/>
        <v/>
      </c>
      <c r="FJ3369" s="36" t="str">
        <f>IF($FH3369="","",SUM($FN3369:$FN$7000))</f>
        <v/>
      </c>
      <c r="FK3369" s="36" t="str">
        <f>IF($FH3369="","",SUM($FN3369:$FN$7000))</f>
        <v/>
      </c>
    </row>
    <row r="3370" spans="152:167">
      <c r="EV3370" s="28">
        <f t="shared" si="105"/>
        <v>0</v>
      </c>
      <c r="FH3370" s="29" t="str">
        <f t="shared" si="106"/>
        <v/>
      </c>
      <c r="FJ3370" s="36" t="str">
        <f>IF($FH3370="","",SUM($FN3370:$FN$7000))</f>
        <v/>
      </c>
      <c r="FK3370" s="36" t="str">
        <f>IF($FH3370="","",SUM($FN3370:$FN$7000))</f>
        <v/>
      </c>
    </row>
    <row r="3371" spans="152:167">
      <c r="EV3371" s="28">
        <f t="shared" si="105"/>
        <v>0</v>
      </c>
      <c r="FH3371" s="29" t="str">
        <f t="shared" si="106"/>
        <v/>
      </c>
      <c r="FJ3371" s="36" t="str">
        <f>IF($FH3371="","",SUM($FN3371:$FN$7000))</f>
        <v/>
      </c>
      <c r="FK3371" s="36" t="str">
        <f>IF($FH3371="","",SUM($FN3371:$FN$7000))</f>
        <v/>
      </c>
    </row>
    <row r="3372" spans="152:167">
      <c r="EV3372" s="28">
        <f t="shared" si="105"/>
        <v>0</v>
      </c>
      <c r="FH3372" s="29" t="str">
        <f t="shared" si="106"/>
        <v/>
      </c>
      <c r="FJ3372" s="36" t="str">
        <f>IF($FH3372="","",SUM($FN3372:$FN$7000))</f>
        <v/>
      </c>
      <c r="FK3372" s="36" t="str">
        <f>IF($FH3372="","",SUM($FN3372:$FN$7000))</f>
        <v/>
      </c>
    </row>
    <row r="3373" spans="152:167">
      <c r="EV3373" s="28">
        <f t="shared" si="105"/>
        <v>0</v>
      </c>
      <c r="FH3373" s="29" t="str">
        <f t="shared" si="106"/>
        <v/>
      </c>
      <c r="FJ3373" s="36" t="str">
        <f>IF($FH3373="","",SUM($FN3373:$FN$7000))</f>
        <v/>
      </c>
      <c r="FK3373" s="36" t="str">
        <f>IF($FH3373="","",SUM($FN3373:$FN$7000))</f>
        <v/>
      </c>
    </row>
    <row r="3374" spans="152:167">
      <c r="EV3374" s="28">
        <f t="shared" si="105"/>
        <v>0</v>
      </c>
      <c r="FH3374" s="29" t="str">
        <f t="shared" si="106"/>
        <v/>
      </c>
      <c r="FJ3374" s="36" t="str">
        <f>IF($FH3374="","",SUM($FN3374:$FN$7000))</f>
        <v/>
      </c>
      <c r="FK3374" s="36" t="str">
        <f>IF($FH3374="","",SUM($FN3374:$FN$7000))</f>
        <v/>
      </c>
    </row>
    <row r="3375" spans="152:167">
      <c r="EV3375" s="28">
        <f t="shared" si="105"/>
        <v>0</v>
      </c>
      <c r="FH3375" s="29" t="str">
        <f t="shared" si="106"/>
        <v/>
      </c>
      <c r="FJ3375" s="36" t="str">
        <f>IF($FH3375="","",SUM($FN3375:$FN$7000))</f>
        <v/>
      </c>
      <c r="FK3375" s="36" t="str">
        <f>IF($FH3375="","",SUM($FN3375:$FN$7000))</f>
        <v/>
      </c>
    </row>
    <row r="3376" spans="152:167">
      <c r="EV3376" s="28">
        <f t="shared" si="105"/>
        <v>0</v>
      </c>
      <c r="FH3376" s="29" t="str">
        <f t="shared" si="106"/>
        <v/>
      </c>
      <c r="FJ3376" s="36" t="str">
        <f>IF($FH3376="","",SUM($FN3376:$FN$7000))</f>
        <v/>
      </c>
      <c r="FK3376" s="36" t="str">
        <f>IF($FH3376="","",SUM($FN3376:$FN$7000))</f>
        <v/>
      </c>
    </row>
    <row r="3377" spans="152:167">
      <c r="EV3377" s="28">
        <f t="shared" si="105"/>
        <v>0</v>
      </c>
      <c r="FH3377" s="29" t="str">
        <f t="shared" si="106"/>
        <v/>
      </c>
      <c r="FJ3377" s="36" t="str">
        <f>IF($FH3377="","",SUM($FN3377:$FN$7000))</f>
        <v/>
      </c>
      <c r="FK3377" s="36" t="str">
        <f>IF($FH3377="","",SUM($FN3377:$FN$7000))</f>
        <v/>
      </c>
    </row>
    <row r="3378" spans="152:167">
      <c r="EV3378" s="28">
        <f t="shared" si="105"/>
        <v>0</v>
      </c>
      <c r="FH3378" s="29" t="str">
        <f t="shared" si="106"/>
        <v/>
      </c>
      <c r="FJ3378" s="36" t="str">
        <f>IF($FH3378="","",SUM($FN3378:$FN$7000))</f>
        <v/>
      </c>
      <c r="FK3378" s="36" t="str">
        <f>IF($FH3378="","",SUM($FN3378:$FN$7000))</f>
        <v/>
      </c>
    </row>
    <row r="3379" spans="152:167">
      <c r="EV3379" s="28">
        <f t="shared" si="105"/>
        <v>0</v>
      </c>
      <c r="FH3379" s="29" t="str">
        <f t="shared" si="106"/>
        <v/>
      </c>
      <c r="FJ3379" s="36" t="str">
        <f>IF($FH3379="","",SUM($FN3379:$FN$7000))</f>
        <v/>
      </c>
      <c r="FK3379" s="36" t="str">
        <f>IF($FH3379="","",SUM($FN3379:$FN$7000))</f>
        <v/>
      </c>
    </row>
    <row r="3380" spans="152:167">
      <c r="EV3380" s="28">
        <f t="shared" si="105"/>
        <v>0</v>
      </c>
      <c r="FH3380" s="29" t="str">
        <f t="shared" si="106"/>
        <v/>
      </c>
      <c r="FJ3380" s="36" t="str">
        <f>IF($FH3380="","",SUM($FN3380:$FN$7000))</f>
        <v/>
      </c>
      <c r="FK3380" s="36" t="str">
        <f>IF($FH3380="","",SUM($FN3380:$FN$7000))</f>
        <v/>
      </c>
    </row>
    <row r="3381" spans="152:167">
      <c r="EV3381" s="28">
        <f t="shared" si="105"/>
        <v>0</v>
      </c>
      <c r="FH3381" s="29" t="str">
        <f t="shared" si="106"/>
        <v/>
      </c>
      <c r="FJ3381" s="36" t="str">
        <f>IF($FH3381="","",SUM($FN3381:$FN$7000))</f>
        <v/>
      </c>
      <c r="FK3381" s="36" t="str">
        <f>IF($FH3381="","",SUM($FN3381:$FN$7000))</f>
        <v/>
      </c>
    </row>
    <row r="3382" spans="152:167">
      <c r="EV3382" s="28">
        <f t="shared" si="105"/>
        <v>0</v>
      </c>
      <c r="FH3382" s="29" t="str">
        <f t="shared" si="106"/>
        <v/>
      </c>
      <c r="FJ3382" s="36" t="str">
        <f>IF($FH3382="","",SUM($FN3382:$FN$7000))</f>
        <v/>
      </c>
      <c r="FK3382" s="36" t="str">
        <f>IF($FH3382="","",SUM($FN3382:$FN$7000))</f>
        <v/>
      </c>
    </row>
    <row r="3383" spans="152:167">
      <c r="EV3383" s="28">
        <f t="shared" si="105"/>
        <v>0</v>
      </c>
      <c r="FH3383" s="29" t="str">
        <f t="shared" si="106"/>
        <v/>
      </c>
      <c r="FJ3383" s="36" t="str">
        <f>IF($FH3383="","",SUM($FN3383:$FN$7000))</f>
        <v/>
      </c>
      <c r="FK3383" s="36" t="str">
        <f>IF($FH3383="","",SUM($FN3383:$FN$7000))</f>
        <v/>
      </c>
    </row>
    <row r="3384" spans="152:167">
      <c r="EV3384" s="28">
        <f t="shared" si="105"/>
        <v>0</v>
      </c>
      <c r="FH3384" s="29" t="str">
        <f t="shared" si="106"/>
        <v/>
      </c>
      <c r="FJ3384" s="36" t="str">
        <f>IF($FH3384="","",SUM($FN3384:$FN$7000))</f>
        <v/>
      </c>
      <c r="FK3384" s="36" t="str">
        <f>IF($FH3384="","",SUM($FN3384:$FN$7000))</f>
        <v/>
      </c>
    </row>
    <row r="3385" spans="152:167">
      <c r="EV3385" s="28">
        <f t="shared" si="105"/>
        <v>0</v>
      </c>
      <c r="FH3385" s="29" t="str">
        <f t="shared" si="106"/>
        <v/>
      </c>
      <c r="FJ3385" s="36" t="str">
        <f>IF($FH3385="","",SUM($FN3385:$FN$7000))</f>
        <v/>
      </c>
      <c r="FK3385" s="36" t="str">
        <f>IF($FH3385="","",SUM($FN3385:$FN$7000))</f>
        <v/>
      </c>
    </row>
    <row r="3386" spans="152:167">
      <c r="EV3386" s="28">
        <f t="shared" si="105"/>
        <v>0</v>
      </c>
      <c r="FH3386" s="29" t="str">
        <f t="shared" si="106"/>
        <v/>
      </c>
      <c r="FJ3386" s="36" t="str">
        <f>IF($FH3386="","",SUM($FN3386:$FN$7000))</f>
        <v/>
      </c>
      <c r="FK3386" s="36" t="str">
        <f>IF($FH3386="","",SUM($FN3386:$FN$7000))</f>
        <v/>
      </c>
    </row>
    <row r="3387" spans="152:167">
      <c r="EV3387" s="28">
        <f t="shared" si="105"/>
        <v>0</v>
      </c>
      <c r="FH3387" s="29" t="str">
        <f t="shared" si="106"/>
        <v/>
      </c>
      <c r="FJ3387" s="36" t="str">
        <f>IF($FH3387="","",SUM($FN3387:$FN$7000))</f>
        <v/>
      </c>
      <c r="FK3387" s="36" t="str">
        <f>IF($FH3387="","",SUM($FN3387:$FN$7000))</f>
        <v/>
      </c>
    </row>
    <row r="3388" spans="152:167">
      <c r="EV3388" s="28">
        <f t="shared" si="105"/>
        <v>0</v>
      </c>
      <c r="FH3388" s="29" t="str">
        <f t="shared" si="106"/>
        <v/>
      </c>
      <c r="FJ3388" s="36" t="str">
        <f>IF($FH3388="","",SUM($FN3388:$FN$7000))</f>
        <v/>
      </c>
      <c r="FK3388" s="36" t="str">
        <f>IF($FH3388="","",SUM($FN3388:$FN$7000))</f>
        <v/>
      </c>
    </row>
    <row r="3389" spans="152:167">
      <c r="EV3389" s="28">
        <f t="shared" si="105"/>
        <v>0</v>
      </c>
      <c r="FH3389" s="29" t="str">
        <f t="shared" si="106"/>
        <v/>
      </c>
      <c r="FJ3389" s="36" t="str">
        <f>IF($FH3389="","",SUM($FN3389:$FN$7000))</f>
        <v/>
      </c>
      <c r="FK3389" s="36" t="str">
        <f>IF($FH3389="","",SUM($FN3389:$FN$7000))</f>
        <v/>
      </c>
    </row>
    <row r="3390" spans="152:167">
      <c r="EV3390" s="28">
        <f t="shared" si="105"/>
        <v>0</v>
      </c>
      <c r="FH3390" s="29" t="str">
        <f t="shared" si="106"/>
        <v/>
      </c>
      <c r="FJ3390" s="36" t="str">
        <f>IF($FH3390="","",SUM($FN3390:$FN$7000))</f>
        <v/>
      </c>
      <c r="FK3390" s="36" t="str">
        <f>IF($FH3390="","",SUM($FN3390:$FN$7000))</f>
        <v/>
      </c>
    </row>
    <row r="3391" spans="152:167">
      <c r="EV3391" s="28">
        <f t="shared" si="105"/>
        <v>0</v>
      </c>
      <c r="FH3391" s="29" t="str">
        <f t="shared" si="106"/>
        <v/>
      </c>
      <c r="FJ3391" s="36" t="str">
        <f>IF($FH3391="","",SUM($FN3391:$FN$7000))</f>
        <v/>
      </c>
      <c r="FK3391" s="36" t="str">
        <f>IF($FH3391="","",SUM($FN3391:$FN$7000))</f>
        <v/>
      </c>
    </row>
    <row r="3392" spans="152:167">
      <c r="EV3392" s="28">
        <f t="shared" si="105"/>
        <v>0</v>
      </c>
      <c r="FH3392" s="29" t="str">
        <f t="shared" si="106"/>
        <v/>
      </c>
      <c r="FJ3392" s="36" t="str">
        <f>IF($FH3392="","",SUM($FN3392:$FN$7000))</f>
        <v/>
      </c>
      <c r="FK3392" s="36" t="str">
        <f>IF($FH3392="","",SUM($FN3392:$FN$7000))</f>
        <v/>
      </c>
    </row>
    <row r="3393" spans="152:167">
      <c r="EV3393" s="28">
        <f t="shared" si="105"/>
        <v>0</v>
      </c>
      <c r="FH3393" s="29" t="str">
        <f t="shared" si="106"/>
        <v/>
      </c>
      <c r="FJ3393" s="36" t="str">
        <f>IF($FH3393="","",SUM($FN3393:$FN$7000))</f>
        <v/>
      </c>
      <c r="FK3393" s="36" t="str">
        <f>IF($FH3393="","",SUM($FN3393:$FN$7000))</f>
        <v/>
      </c>
    </row>
    <row r="3394" spans="152:167">
      <c r="EV3394" s="28">
        <f t="shared" si="105"/>
        <v>0</v>
      </c>
      <c r="FH3394" s="29" t="str">
        <f t="shared" si="106"/>
        <v/>
      </c>
      <c r="FJ3394" s="36" t="str">
        <f>IF($FH3394="","",SUM($FN3394:$FN$7000))</f>
        <v/>
      </c>
      <c r="FK3394" s="36" t="str">
        <f>IF($FH3394="","",SUM($FN3394:$FN$7000))</f>
        <v/>
      </c>
    </row>
    <row r="3395" spans="152:167">
      <c r="EV3395" s="28">
        <f t="shared" si="105"/>
        <v>0</v>
      </c>
      <c r="FH3395" s="29" t="str">
        <f t="shared" si="106"/>
        <v/>
      </c>
      <c r="FJ3395" s="36" t="str">
        <f>IF($FH3395="","",SUM($FN3395:$FN$7000))</f>
        <v/>
      </c>
      <c r="FK3395" s="36" t="str">
        <f>IF($FH3395="","",SUM($FN3395:$FN$7000))</f>
        <v/>
      </c>
    </row>
    <row r="3396" spans="152:167">
      <c r="EV3396" s="28">
        <f t="shared" si="105"/>
        <v>0</v>
      </c>
      <c r="FH3396" s="29" t="str">
        <f t="shared" si="106"/>
        <v/>
      </c>
      <c r="FJ3396" s="36" t="str">
        <f>IF($FH3396="","",SUM($FN3396:$FN$7000))</f>
        <v/>
      </c>
      <c r="FK3396" s="36" t="str">
        <f>IF($FH3396="","",SUM($FN3396:$FN$7000))</f>
        <v/>
      </c>
    </row>
    <row r="3397" spans="152:167">
      <c r="EV3397" s="28">
        <f t="shared" si="105"/>
        <v>0</v>
      </c>
      <c r="FH3397" s="29" t="str">
        <f t="shared" si="106"/>
        <v/>
      </c>
      <c r="FJ3397" s="36" t="str">
        <f>IF($FH3397="","",SUM($FN3397:$FN$7000))</f>
        <v/>
      </c>
      <c r="FK3397" s="36" t="str">
        <f>IF($FH3397="","",SUM($FN3397:$FN$7000))</f>
        <v/>
      </c>
    </row>
    <row r="3398" spans="152:167">
      <c r="EV3398" s="28">
        <f t="shared" si="105"/>
        <v>0</v>
      </c>
      <c r="FH3398" s="29" t="str">
        <f t="shared" si="106"/>
        <v/>
      </c>
      <c r="FJ3398" s="36" t="str">
        <f>IF($FH3398="","",SUM($FN3398:$FN$7000))</f>
        <v/>
      </c>
      <c r="FK3398" s="36" t="str">
        <f>IF($FH3398="","",SUM($FN3398:$FN$7000))</f>
        <v/>
      </c>
    </row>
    <row r="3399" spans="152:167">
      <c r="EV3399" s="28">
        <f t="shared" si="105"/>
        <v>0</v>
      </c>
      <c r="FH3399" s="29" t="str">
        <f t="shared" si="106"/>
        <v/>
      </c>
      <c r="FJ3399" s="36" t="str">
        <f>IF($FH3399="","",SUM($FN3399:$FN$7000))</f>
        <v/>
      </c>
      <c r="FK3399" s="36" t="str">
        <f>IF($FH3399="","",SUM($FN3399:$FN$7000))</f>
        <v/>
      </c>
    </row>
    <row r="3400" spans="152:167">
      <c r="EV3400" s="28">
        <f t="shared" si="105"/>
        <v>0</v>
      </c>
      <c r="FH3400" s="29" t="str">
        <f t="shared" si="106"/>
        <v/>
      </c>
      <c r="FJ3400" s="36" t="str">
        <f>IF($FH3400="","",SUM($FN3400:$FN$7000))</f>
        <v/>
      </c>
      <c r="FK3400" s="36" t="str">
        <f>IF($FH3400="","",SUM($FN3400:$FN$7000))</f>
        <v/>
      </c>
    </row>
    <row r="3401" spans="152:167">
      <c r="EV3401" s="28">
        <f t="shared" si="105"/>
        <v>0</v>
      </c>
      <c r="FH3401" s="29" t="str">
        <f t="shared" si="106"/>
        <v/>
      </c>
      <c r="FJ3401" s="36" t="str">
        <f>IF($FH3401="","",SUM($FN3401:$FN$7000))</f>
        <v/>
      </c>
      <c r="FK3401" s="36" t="str">
        <f>IF($FH3401="","",SUM($FN3401:$FN$7000))</f>
        <v/>
      </c>
    </row>
    <row r="3402" spans="152:167">
      <c r="EV3402" s="28">
        <f t="shared" si="105"/>
        <v>0</v>
      </c>
      <c r="FH3402" s="29" t="str">
        <f t="shared" si="106"/>
        <v/>
      </c>
      <c r="FJ3402" s="36" t="str">
        <f>IF($FH3402="","",SUM($FN3402:$FN$7000))</f>
        <v/>
      </c>
      <c r="FK3402" s="36" t="str">
        <f>IF($FH3402="","",SUM($FN3402:$FN$7000))</f>
        <v/>
      </c>
    </row>
    <row r="3403" spans="152:167">
      <c r="EV3403" s="28">
        <f t="shared" ref="EV3403:EV3455" si="107">EU3403-ET3403</f>
        <v>0</v>
      </c>
      <c r="FH3403" s="29" t="str">
        <f t="shared" ref="FH3403:FH3466" si="108">IF(FL3403="","",FL3403)</f>
        <v/>
      </c>
      <c r="FJ3403" s="36" t="str">
        <f>IF($FH3403="","",SUM($FN3403:$FN$7000))</f>
        <v/>
      </c>
      <c r="FK3403" s="36" t="str">
        <f>IF($FH3403="","",SUM($FN3403:$FN$7000))</f>
        <v/>
      </c>
    </row>
    <row r="3404" spans="152:167">
      <c r="EV3404" s="28">
        <f t="shared" si="107"/>
        <v>0</v>
      </c>
      <c r="FH3404" s="29" t="str">
        <f t="shared" si="108"/>
        <v/>
      </c>
      <c r="FJ3404" s="36" t="str">
        <f>IF($FH3404="","",SUM($FN3404:$FN$7000))</f>
        <v/>
      </c>
      <c r="FK3404" s="36" t="str">
        <f>IF($FH3404="","",SUM($FN3404:$FN$7000))</f>
        <v/>
      </c>
    </row>
    <row r="3405" spans="152:167">
      <c r="EV3405" s="28">
        <f t="shared" si="107"/>
        <v>0</v>
      </c>
      <c r="FH3405" s="29" t="str">
        <f t="shared" si="108"/>
        <v/>
      </c>
      <c r="FJ3405" s="36" t="str">
        <f>IF($FH3405="","",SUM($FN3405:$FN$7000))</f>
        <v/>
      </c>
      <c r="FK3405" s="36" t="str">
        <f>IF($FH3405="","",SUM($FN3405:$FN$7000))</f>
        <v/>
      </c>
    </row>
    <row r="3406" spans="152:167">
      <c r="EV3406" s="28">
        <f t="shared" si="107"/>
        <v>0</v>
      </c>
      <c r="FH3406" s="29" t="str">
        <f t="shared" si="108"/>
        <v/>
      </c>
      <c r="FJ3406" s="36" t="str">
        <f>IF($FH3406="","",SUM($FN3406:$FN$7000))</f>
        <v/>
      </c>
      <c r="FK3406" s="36" t="str">
        <f>IF($FH3406="","",SUM($FN3406:$FN$7000))</f>
        <v/>
      </c>
    </row>
    <row r="3407" spans="152:167">
      <c r="EV3407" s="28">
        <f t="shared" si="107"/>
        <v>0</v>
      </c>
      <c r="FH3407" s="29" t="str">
        <f t="shared" si="108"/>
        <v/>
      </c>
      <c r="FJ3407" s="36" t="str">
        <f>IF($FH3407="","",SUM($FN3407:$FN$7000))</f>
        <v/>
      </c>
      <c r="FK3407" s="36" t="str">
        <f>IF($FH3407="","",SUM($FN3407:$FN$7000))</f>
        <v/>
      </c>
    </row>
    <row r="3408" spans="152:167">
      <c r="EV3408" s="28">
        <f t="shared" si="107"/>
        <v>0</v>
      </c>
      <c r="FH3408" s="29" t="str">
        <f t="shared" si="108"/>
        <v/>
      </c>
      <c r="FJ3408" s="36" t="str">
        <f>IF($FH3408="","",SUM($FN3408:$FN$7000))</f>
        <v/>
      </c>
      <c r="FK3408" s="36" t="str">
        <f>IF($FH3408="","",SUM($FN3408:$FN$7000))</f>
        <v/>
      </c>
    </row>
    <row r="3409" spans="152:167">
      <c r="EV3409" s="28">
        <f t="shared" si="107"/>
        <v>0</v>
      </c>
      <c r="FH3409" s="29" t="str">
        <f t="shared" si="108"/>
        <v/>
      </c>
      <c r="FJ3409" s="36" t="str">
        <f>IF($FH3409="","",SUM($FN3409:$FN$7000))</f>
        <v/>
      </c>
      <c r="FK3409" s="36" t="str">
        <f>IF($FH3409="","",SUM($FN3409:$FN$7000))</f>
        <v/>
      </c>
    </row>
    <row r="3410" spans="152:167">
      <c r="EV3410" s="28">
        <f t="shared" si="107"/>
        <v>0</v>
      </c>
      <c r="FH3410" s="29" t="str">
        <f t="shared" si="108"/>
        <v/>
      </c>
      <c r="FJ3410" s="36" t="str">
        <f>IF($FH3410="","",SUM($FN3410:$FN$7000))</f>
        <v/>
      </c>
      <c r="FK3410" s="36" t="str">
        <f>IF($FH3410="","",SUM($FN3410:$FN$7000))</f>
        <v/>
      </c>
    </row>
    <row r="3411" spans="152:167">
      <c r="EV3411" s="28">
        <f t="shared" si="107"/>
        <v>0</v>
      </c>
      <c r="FH3411" s="29" t="str">
        <f t="shared" si="108"/>
        <v/>
      </c>
      <c r="FJ3411" s="36" t="str">
        <f>IF($FH3411="","",SUM($FN3411:$FN$7000))</f>
        <v/>
      </c>
      <c r="FK3411" s="36" t="str">
        <f>IF($FH3411="","",SUM($FN3411:$FN$7000))</f>
        <v/>
      </c>
    </row>
    <row r="3412" spans="152:167">
      <c r="EV3412" s="28">
        <f t="shared" si="107"/>
        <v>0</v>
      </c>
      <c r="FH3412" s="29" t="str">
        <f t="shared" si="108"/>
        <v/>
      </c>
      <c r="FJ3412" s="36" t="str">
        <f>IF($FH3412="","",SUM($FN3412:$FN$7000))</f>
        <v/>
      </c>
      <c r="FK3412" s="36" t="str">
        <f>IF($FH3412="","",SUM($FN3412:$FN$7000))</f>
        <v/>
      </c>
    </row>
    <row r="3413" spans="152:167">
      <c r="EV3413" s="28">
        <f t="shared" si="107"/>
        <v>0</v>
      </c>
      <c r="FH3413" s="29" t="str">
        <f t="shared" si="108"/>
        <v/>
      </c>
      <c r="FJ3413" s="36" t="str">
        <f>IF($FH3413="","",SUM($FN3413:$FN$7000))</f>
        <v/>
      </c>
      <c r="FK3413" s="36" t="str">
        <f>IF($FH3413="","",SUM($FN3413:$FN$7000))</f>
        <v/>
      </c>
    </row>
    <row r="3414" spans="152:167">
      <c r="EV3414" s="28">
        <f t="shared" si="107"/>
        <v>0</v>
      </c>
      <c r="FH3414" s="29" t="str">
        <f t="shared" si="108"/>
        <v/>
      </c>
      <c r="FJ3414" s="36" t="str">
        <f>IF($FH3414="","",SUM($FN3414:$FN$7000))</f>
        <v/>
      </c>
      <c r="FK3414" s="36" t="str">
        <f>IF($FH3414="","",SUM($FN3414:$FN$7000))</f>
        <v/>
      </c>
    </row>
    <row r="3415" spans="152:167">
      <c r="EV3415" s="28">
        <f t="shared" si="107"/>
        <v>0</v>
      </c>
      <c r="FH3415" s="29" t="str">
        <f t="shared" si="108"/>
        <v/>
      </c>
      <c r="FJ3415" s="36" t="str">
        <f>IF($FH3415="","",SUM($FN3415:$FN$7000))</f>
        <v/>
      </c>
      <c r="FK3415" s="36" t="str">
        <f>IF($FH3415="","",SUM($FN3415:$FN$7000))</f>
        <v/>
      </c>
    </row>
    <row r="3416" spans="152:167">
      <c r="EV3416" s="28">
        <f t="shared" si="107"/>
        <v>0</v>
      </c>
      <c r="FH3416" s="29" t="str">
        <f t="shared" si="108"/>
        <v/>
      </c>
      <c r="FJ3416" s="36" t="str">
        <f>IF($FH3416="","",SUM($FN3416:$FN$7000))</f>
        <v/>
      </c>
      <c r="FK3416" s="36" t="str">
        <f>IF($FH3416="","",SUM($FN3416:$FN$7000))</f>
        <v/>
      </c>
    </row>
    <row r="3417" spans="152:167">
      <c r="EV3417" s="28">
        <f t="shared" si="107"/>
        <v>0</v>
      </c>
      <c r="FH3417" s="29" t="str">
        <f t="shared" si="108"/>
        <v/>
      </c>
      <c r="FJ3417" s="36" t="str">
        <f>IF($FH3417="","",SUM($FN3417:$FN$7000))</f>
        <v/>
      </c>
      <c r="FK3417" s="36" t="str">
        <f>IF($FH3417="","",SUM($FN3417:$FN$7000))</f>
        <v/>
      </c>
    </row>
    <row r="3418" spans="152:167">
      <c r="EV3418" s="28">
        <f t="shared" si="107"/>
        <v>0</v>
      </c>
      <c r="FH3418" s="29" t="str">
        <f t="shared" si="108"/>
        <v/>
      </c>
      <c r="FJ3418" s="36" t="str">
        <f>IF($FH3418="","",SUM($FN3418:$FN$7000))</f>
        <v/>
      </c>
      <c r="FK3418" s="36" t="str">
        <f>IF($FH3418="","",SUM($FN3418:$FN$7000))</f>
        <v/>
      </c>
    </row>
    <row r="3419" spans="152:167">
      <c r="EV3419" s="28">
        <f t="shared" si="107"/>
        <v>0</v>
      </c>
      <c r="FH3419" s="29" t="str">
        <f t="shared" si="108"/>
        <v/>
      </c>
      <c r="FJ3419" s="36" t="str">
        <f>IF($FH3419="","",SUM($FN3419:$FN$7000))</f>
        <v/>
      </c>
      <c r="FK3419" s="36" t="str">
        <f>IF($FH3419="","",SUM($FN3419:$FN$7000))</f>
        <v/>
      </c>
    </row>
    <row r="3420" spans="152:167">
      <c r="EV3420" s="28">
        <f t="shared" si="107"/>
        <v>0</v>
      </c>
      <c r="FH3420" s="29" t="str">
        <f t="shared" si="108"/>
        <v/>
      </c>
      <c r="FJ3420" s="36" t="str">
        <f>IF($FH3420="","",SUM($FN3420:$FN$7000))</f>
        <v/>
      </c>
      <c r="FK3420" s="36" t="str">
        <f>IF($FH3420="","",SUM($FN3420:$FN$7000))</f>
        <v/>
      </c>
    </row>
    <row r="3421" spans="152:167">
      <c r="EV3421" s="28">
        <f t="shared" si="107"/>
        <v>0</v>
      </c>
      <c r="FH3421" s="29" t="str">
        <f t="shared" si="108"/>
        <v/>
      </c>
      <c r="FJ3421" s="36" t="str">
        <f>IF($FH3421="","",SUM($FN3421:$FN$7000))</f>
        <v/>
      </c>
      <c r="FK3421" s="36" t="str">
        <f>IF($FH3421="","",SUM($FN3421:$FN$7000))</f>
        <v/>
      </c>
    </row>
    <row r="3422" spans="152:167">
      <c r="EV3422" s="28">
        <f t="shared" si="107"/>
        <v>0</v>
      </c>
      <c r="FH3422" s="29" t="str">
        <f t="shared" si="108"/>
        <v/>
      </c>
      <c r="FJ3422" s="36" t="str">
        <f>IF($FH3422="","",SUM($FN3422:$FN$7000))</f>
        <v/>
      </c>
      <c r="FK3422" s="36" t="str">
        <f>IF($FH3422="","",SUM($FN3422:$FN$7000))</f>
        <v/>
      </c>
    </row>
    <row r="3423" spans="152:167">
      <c r="EV3423" s="28">
        <f t="shared" si="107"/>
        <v>0</v>
      </c>
      <c r="FH3423" s="29" t="str">
        <f t="shared" si="108"/>
        <v/>
      </c>
      <c r="FJ3423" s="36" t="str">
        <f>IF($FH3423="","",SUM($FN3423:$FN$7000))</f>
        <v/>
      </c>
      <c r="FK3423" s="36" t="str">
        <f>IF($FH3423="","",SUM($FN3423:$FN$7000))</f>
        <v/>
      </c>
    </row>
    <row r="3424" spans="152:167">
      <c r="EV3424" s="28">
        <f t="shared" si="107"/>
        <v>0</v>
      </c>
      <c r="FH3424" s="29" t="str">
        <f t="shared" si="108"/>
        <v/>
      </c>
      <c r="FJ3424" s="36" t="str">
        <f>IF($FH3424="","",SUM($FN3424:$FN$7000))</f>
        <v/>
      </c>
      <c r="FK3424" s="36" t="str">
        <f>IF($FH3424="","",SUM($FN3424:$FN$7000))</f>
        <v/>
      </c>
    </row>
    <row r="3425" spans="152:167">
      <c r="EV3425" s="28">
        <f t="shared" si="107"/>
        <v>0</v>
      </c>
      <c r="FH3425" s="29" t="str">
        <f t="shared" si="108"/>
        <v/>
      </c>
      <c r="FJ3425" s="36" t="str">
        <f>IF($FH3425="","",SUM($FN3425:$FN$7000))</f>
        <v/>
      </c>
      <c r="FK3425" s="36" t="str">
        <f>IF($FH3425="","",SUM($FN3425:$FN$7000))</f>
        <v/>
      </c>
    </row>
    <row r="3426" spans="152:167">
      <c r="EV3426" s="28">
        <f t="shared" si="107"/>
        <v>0</v>
      </c>
      <c r="FH3426" s="29" t="str">
        <f t="shared" si="108"/>
        <v/>
      </c>
      <c r="FJ3426" s="36" t="str">
        <f>IF($FH3426="","",SUM($FN3426:$FN$7000))</f>
        <v/>
      </c>
      <c r="FK3426" s="36" t="str">
        <f>IF($FH3426="","",SUM($FN3426:$FN$7000))</f>
        <v/>
      </c>
    </row>
    <row r="3427" spans="152:167">
      <c r="EV3427" s="28">
        <f t="shared" si="107"/>
        <v>0</v>
      </c>
      <c r="FH3427" s="29" t="str">
        <f t="shared" si="108"/>
        <v/>
      </c>
      <c r="FJ3427" s="36" t="str">
        <f>IF($FH3427="","",SUM($FN3427:$FN$7000))</f>
        <v/>
      </c>
      <c r="FK3427" s="36" t="str">
        <f>IF($FH3427="","",SUM($FN3427:$FN$7000))</f>
        <v/>
      </c>
    </row>
    <row r="3428" spans="152:167">
      <c r="EV3428" s="28">
        <f t="shared" si="107"/>
        <v>0</v>
      </c>
      <c r="FH3428" s="29" t="str">
        <f t="shared" si="108"/>
        <v/>
      </c>
      <c r="FJ3428" s="36" t="str">
        <f>IF($FH3428="","",SUM($FN3428:$FN$7000))</f>
        <v/>
      </c>
      <c r="FK3428" s="36" t="str">
        <f>IF($FH3428="","",SUM($FN3428:$FN$7000))</f>
        <v/>
      </c>
    </row>
    <row r="3429" spans="152:167">
      <c r="EV3429" s="28">
        <f t="shared" si="107"/>
        <v>0</v>
      </c>
      <c r="FH3429" s="29" t="str">
        <f t="shared" si="108"/>
        <v/>
      </c>
      <c r="FJ3429" s="36" t="str">
        <f>IF($FH3429="","",SUM($FN3429:$FN$7000))</f>
        <v/>
      </c>
      <c r="FK3429" s="36" t="str">
        <f>IF($FH3429="","",SUM($FN3429:$FN$7000))</f>
        <v/>
      </c>
    </row>
    <row r="3430" spans="152:167">
      <c r="EV3430" s="28">
        <f t="shared" si="107"/>
        <v>0</v>
      </c>
      <c r="FH3430" s="29" t="str">
        <f t="shared" si="108"/>
        <v/>
      </c>
      <c r="FJ3430" s="36" t="str">
        <f>IF($FH3430="","",SUM($FN3430:$FN$7000))</f>
        <v/>
      </c>
      <c r="FK3430" s="36" t="str">
        <f>IF($FH3430="","",SUM($FN3430:$FN$7000))</f>
        <v/>
      </c>
    </row>
    <row r="3431" spans="152:167">
      <c r="EV3431" s="28">
        <f t="shared" si="107"/>
        <v>0</v>
      </c>
      <c r="FH3431" s="29" t="str">
        <f t="shared" si="108"/>
        <v/>
      </c>
      <c r="FJ3431" s="36" t="str">
        <f>IF($FH3431="","",SUM($FN3431:$FN$7000))</f>
        <v/>
      </c>
      <c r="FK3431" s="36" t="str">
        <f>IF($FH3431="","",SUM($FN3431:$FN$7000))</f>
        <v/>
      </c>
    </row>
    <row r="3432" spans="152:167">
      <c r="EV3432" s="28">
        <f t="shared" si="107"/>
        <v>0</v>
      </c>
      <c r="FH3432" s="29" t="str">
        <f t="shared" si="108"/>
        <v/>
      </c>
      <c r="FJ3432" s="36" t="str">
        <f>IF($FH3432="","",SUM($FN3432:$FN$7000))</f>
        <v/>
      </c>
      <c r="FK3432" s="36" t="str">
        <f>IF($FH3432="","",SUM($FN3432:$FN$7000))</f>
        <v/>
      </c>
    </row>
    <row r="3433" spans="152:167">
      <c r="EV3433" s="28">
        <f t="shared" si="107"/>
        <v>0</v>
      </c>
      <c r="FH3433" s="29" t="str">
        <f t="shared" si="108"/>
        <v/>
      </c>
      <c r="FJ3433" s="36" t="str">
        <f>IF($FH3433="","",SUM($FN3433:$FN$7000))</f>
        <v/>
      </c>
      <c r="FK3433" s="36" t="str">
        <f>IF($FH3433="","",SUM($FN3433:$FN$7000))</f>
        <v/>
      </c>
    </row>
    <row r="3434" spans="152:167">
      <c r="EV3434" s="28">
        <f t="shared" si="107"/>
        <v>0</v>
      </c>
      <c r="FH3434" s="29" t="str">
        <f t="shared" si="108"/>
        <v/>
      </c>
      <c r="FJ3434" s="36" t="str">
        <f>IF($FH3434="","",SUM($FN3434:$FN$7000))</f>
        <v/>
      </c>
      <c r="FK3434" s="36" t="str">
        <f>IF($FH3434="","",SUM($FN3434:$FN$7000))</f>
        <v/>
      </c>
    </row>
    <row r="3435" spans="152:167">
      <c r="EV3435" s="28">
        <f t="shared" si="107"/>
        <v>0</v>
      </c>
      <c r="FH3435" s="29" t="str">
        <f t="shared" si="108"/>
        <v/>
      </c>
      <c r="FJ3435" s="36" t="str">
        <f>IF($FH3435="","",SUM($FN3435:$FN$7000))</f>
        <v/>
      </c>
      <c r="FK3435" s="36" t="str">
        <f>IF($FH3435="","",SUM($FN3435:$FN$7000))</f>
        <v/>
      </c>
    </row>
    <row r="3436" spans="152:167">
      <c r="EV3436" s="28">
        <f t="shared" si="107"/>
        <v>0</v>
      </c>
      <c r="FH3436" s="29" t="str">
        <f t="shared" si="108"/>
        <v/>
      </c>
      <c r="FJ3436" s="36" t="str">
        <f>IF($FH3436="","",SUM($FN3436:$FN$7000))</f>
        <v/>
      </c>
      <c r="FK3436" s="36" t="str">
        <f>IF($FH3436="","",SUM($FN3436:$FN$7000))</f>
        <v/>
      </c>
    </row>
    <row r="3437" spans="152:167">
      <c r="EV3437" s="28">
        <f t="shared" si="107"/>
        <v>0</v>
      </c>
      <c r="FH3437" s="29" t="str">
        <f t="shared" si="108"/>
        <v/>
      </c>
      <c r="FJ3437" s="36" t="str">
        <f>IF($FH3437="","",SUM($FN3437:$FN$7000))</f>
        <v/>
      </c>
      <c r="FK3437" s="36" t="str">
        <f>IF($FH3437="","",SUM($FN3437:$FN$7000))</f>
        <v/>
      </c>
    </row>
    <row r="3438" spans="152:167">
      <c r="EV3438" s="28">
        <f t="shared" si="107"/>
        <v>0</v>
      </c>
      <c r="FH3438" s="29" t="str">
        <f t="shared" si="108"/>
        <v/>
      </c>
      <c r="FJ3438" s="36" t="str">
        <f>IF($FH3438="","",SUM($FN3438:$FN$7000))</f>
        <v/>
      </c>
      <c r="FK3438" s="36" t="str">
        <f>IF($FH3438="","",SUM($FN3438:$FN$7000))</f>
        <v/>
      </c>
    </row>
    <row r="3439" spans="152:167">
      <c r="EV3439" s="28">
        <f t="shared" si="107"/>
        <v>0</v>
      </c>
      <c r="FH3439" s="29" t="str">
        <f t="shared" si="108"/>
        <v/>
      </c>
      <c r="FJ3439" s="36" t="str">
        <f>IF($FH3439="","",SUM($FN3439:$FN$7000))</f>
        <v/>
      </c>
      <c r="FK3439" s="36" t="str">
        <f>IF($FH3439="","",SUM($FN3439:$FN$7000))</f>
        <v/>
      </c>
    </row>
    <row r="3440" spans="152:167">
      <c r="EV3440" s="28">
        <f t="shared" si="107"/>
        <v>0</v>
      </c>
      <c r="FH3440" s="29" t="str">
        <f t="shared" si="108"/>
        <v/>
      </c>
      <c r="FJ3440" s="36" t="str">
        <f>IF($FH3440="","",SUM($FN3440:$FN$7000))</f>
        <v/>
      </c>
      <c r="FK3440" s="36" t="str">
        <f>IF($FH3440="","",SUM($FN3440:$FN$7000))</f>
        <v/>
      </c>
    </row>
    <row r="3441" spans="152:167">
      <c r="EV3441" s="28">
        <f t="shared" si="107"/>
        <v>0</v>
      </c>
      <c r="FH3441" s="29" t="str">
        <f t="shared" si="108"/>
        <v/>
      </c>
      <c r="FJ3441" s="36" t="str">
        <f>IF($FH3441="","",SUM($FN3441:$FN$7000))</f>
        <v/>
      </c>
      <c r="FK3441" s="36" t="str">
        <f>IF($FH3441="","",SUM($FN3441:$FN$7000))</f>
        <v/>
      </c>
    </row>
    <row r="3442" spans="152:167">
      <c r="EV3442" s="28">
        <f t="shared" si="107"/>
        <v>0</v>
      </c>
      <c r="FH3442" s="29" t="str">
        <f t="shared" si="108"/>
        <v/>
      </c>
      <c r="FJ3442" s="36" t="str">
        <f>IF($FH3442="","",SUM($FN3442:$FN$7000))</f>
        <v/>
      </c>
      <c r="FK3442" s="36" t="str">
        <f>IF($FH3442="","",SUM($FN3442:$FN$7000))</f>
        <v/>
      </c>
    </row>
    <row r="3443" spans="152:167">
      <c r="EV3443" s="28">
        <f t="shared" si="107"/>
        <v>0</v>
      </c>
      <c r="FH3443" s="29" t="str">
        <f t="shared" si="108"/>
        <v/>
      </c>
      <c r="FJ3443" s="36" t="str">
        <f>IF($FH3443="","",SUM($FN3443:$FN$7000))</f>
        <v/>
      </c>
      <c r="FK3443" s="36" t="str">
        <f>IF($FH3443="","",SUM($FN3443:$FN$7000))</f>
        <v/>
      </c>
    </row>
    <row r="3444" spans="152:167">
      <c r="EV3444" s="28">
        <f t="shared" si="107"/>
        <v>0</v>
      </c>
      <c r="FH3444" s="29" t="str">
        <f t="shared" si="108"/>
        <v/>
      </c>
      <c r="FJ3444" s="36" t="str">
        <f>IF($FH3444="","",SUM($FN3444:$FN$7000))</f>
        <v/>
      </c>
      <c r="FK3444" s="36" t="str">
        <f>IF($FH3444="","",SUM($FN3444:$FN$7000))</f>
        <v/>
      </c>
    </row>
    <row r="3445" spans="152:167">
      <c r="EV3445" s="28">
        <f t="shared" si="107"/>
        <v>0</v>
      </c>
      <c r="FH3445" s="29" t="str">
        <f t="shared" si="108"/>
        <v/>
      </c>
      <c r="FJ3445" s="36" t="str">
        <f>IF($FH3445="","",SUM($FN3445:$FN$7000))</f>
        <v/>
      </c>
      <c r="FK3445" s="36" t="str">
        <f>IF($FH3445="","",SUM($FN3445:$FN$7000))</f>
        <v/>
      </c>
    </row>
    <row r="3446" spans="152:167">
      <c r="EV3446" s="28">
        <f t="shared" si="107"/>
        <v>0</v>
      </c>
      <c r="FH3446" s="29" t="str">
        <f t="shared" si="108"/>
        <v/>
      </c>
      <c r="FJ3446" s="36" t="str">
        <f>IF($FH3446="","",SUM($FN3446:$FN$7000))</f>
        <v/>
      </c>
      <c r="FK3446" s="36" t="str">
        <f>IF($FH3446="","",SUM($FN3446:$FN$7000))</f>
        <v/>
      </c>
    </row>
    <row r="3447" spans="152:167">
      <c r="EV3447" s="28">
        <f t="shared" si="107"/>
        <v>0</v>
      </c>
      <c r="FH3447" s="29" t="str">
        <f t="shared" si="108"/>
        <v/>
      </c>
      <c r="FJ3447" s="36" t="str">
        <f>IF($FH3447="","",SUM($FN3447:$FN$7000))</f>
        <v/>
      </c>
      <c r="FK3447" s="36" t="str">
        <f>IF($FH3447="","",SUM($FN3447:$FN$7000))</f>
        <v/>
      </c>
    </row>
    <row r="3448" spans="152:167">
      <c r="EV3448" s="28">
        <f t="shared" si="107"/>
        <v>0</v>
      </c>
      <c r="FH3448" s="29" t="str">
        <f t="shared" si="108"/>
        <v/>
      </c>
      <c r="FJ3448" s="36" t="str">
        <f>IF($FH3448="","",SUM($FN3448:$FN$7000))</f>
        <v/>
      </c>
      <c r="FK3448" s="36" t="str">
        <f>IF($FH3448="","",SUM($FN3448:$FN$7000))</f>
        <v/>
      </c>
    </row>
    <row r="3449" spans="152:167">
      <c r="EV3449" s="28">
        <f t="shared" si="107"/>
        <v>0</v>
      </c>
      <c r="FH3449" s="29" t="str">
        <f t="shared" si="108"/>
        <v/>
      </c>
      <c r="FJ3449" s="36" t="str">
        <f>IF($FH3449="","",SUM($FN3449:$FN$7000))</f>
        <v/>
      </c>
      <c r="FK3449" s="36" t="str">
        <f>IF($FH3449="","",SUM($FN3449:$FN$7000))</f>
        <v/>
      </c>
    </row>
    <row r="3450" spans="152:167">
      <c r="EV3450" s="28">
        <f t="shared" si="107"/>
        <v>0</v>
      </c>
      <c r="FH3450" s="29" t="str">
        <f t="shared" si="108"/>
        <v/>
      </c>
      <c r="FJ3450" s="36" t="str">
        <f>IF($FH3450="","",SUM($FN3450:$FN$7000))</f>
        <v/>
      </c>
      <c r="FK3450" s="36" t="str">
        <f>IF($FH3450="","",SUM($FN3450:$FN$7000))</f>
        <v/>
      </c>
    </row>
    <row r="3451" spans="152:167">
      <c r="EV3451" s="28">
        <f t="shared" si="107"/>
        <v>0</v>
      </c>
      <c r="FH3451" s="29" t="str">
        <f t="shared" si="108"/>
        <v/>
      </c>
      <c r="FJ3451" s="36" t="str">
        <f>IF($FH3451="","",SUM($FN3451:$FN$7000))</f>
        <v/>
      </c>
      <c r="FK3451" s="36" t="str">
        <f>IF($FH3451="","",SUM($FN3451:$FN$7000))</f>
        <v/>
      </c>
    </row>
    <row r="3452" spans="152:167">
      <c r="EV3452" s="28">
        <f t="shared" si="107"/>
        <v>0</v>
      </c>
      <c r="FH3452" s="29" t="str">
        <f t="shared" si="108"/>
        <v/>
      </c>
      <c r="FJ3452" s="36" t="str">
        <f>IF($FH3452="","",SUM($FN3452:$FN$7000))</f>
        <v/>
      </c>
      <c r="FK3452" s="36" t="str">
        <f>IF($FH3452="","",SUM($FN3452:$FN$7000))</f>
        <v/>
      </c>
    </row>
    <row r="3453" spans="152:167">
      <c r="EV3453" s="28">
        <f t="shared" si="107"/>
        <v>0</v>
      </c>
      <c r="FH3453" s="29" t="str">
        <f t="shared" si="108"/>
        <v/>
      </c>
      <c r="FJ3453" s="36" t="str">
        <f>IF($FH3453="","",SUM($FN3453:$FN$7000))</f>
        <v/>
      </c>
      <c r="FK3453" s="36" t="str">
        <f>IF($FH3453="","",SUM($FN3453:$FN$7000))</f>
        <v/>
      </c>
    </row>
    <row r="3454" spans="152:167">
      <c r="EV3454" s="28">
        <f t="shared" si="107"/>
        <v>0</v>
      </c>
      <c r="FH3454" s="29" t="str">
        <f t="shared" si="108"/>
        <v/>
      </c>
      <c r="FJ3454" s="36" t="str">
        <f>IF($FH3454="","",SUM($FN3454:$FN$7000))</f>
        <v/>
      </c>
      <c r="FK3454" s="36" t="str">
        <f>IF($FH3454="","",SUM($FN3454:$FN$7000))</f>
        <v/>
      </c>
    </row>
    <row r="3455" spans="152:167">
      <c r="EV3455" s="28">
        <f t="shared" si="107"/>
        <v>0</v>
      </c>
      <c r="FH3455" s="29" t="str">
        <f t="shared" si="108"/>
        <v/>
      </c>
      <c r="FJ3455" s="36" t="str">
        <f>IF($FH3455="","",SUM($FN3455:$FN$7000))</f>
        <v/>
      </c>
      <c r="FK3455" s="36" t="str">
        <f>IF($FH3455="","",SUM($FN3455:$FN$7000))</f>
        <v/>
      </c>
    </row>
    <row r="3456" spans="152:167">
      <c r="FH3456" s="29" t="str">
        <f t="shared" si="108"/>
        <v/>
      </c>
      <c r="FJ3456" s="36" t="str">
        <f>IF($FH3456="","",SUM($FN3456:$FN$7000))</f>
        <v/>
      </c>
      <c r="FK3456" s="36" t="str">
        <f>IF($FH3456="","",SUM($FN3456:$FN$7000))</f>
        <v/>
      </c>
    </row>
    <row r="3457" spans="164:167">
      <c r="FH3457" s="29" t="str">
        <f t="shared" si="108"/>
        <v/>
      </c>
      <c r="FJ3457" s="36" t="str">
        <f>IF($FH3457="","",SUM($FN3457:$FN$7000))</f>
        <v/>
      </c>
      <c r="FK3457" s="36" t="str">
        <f>IF($FH3457="","",SUM($FN3457:$FN$7000))</f>
        <v/>
      </c>
    </row>
    <row r="3458" spans="164:167">
      <c r="FH3458" s="29" t="str">
        <f t="shared" si="108"/>
        <v/>
      </c>
      <c r="FJ3458" s="36" t="str">
        <f>IF($FH3458="","",SUM($FN3458:$FN$7000))</f>
        <v/>
      </c>
      <c r="FK3458" s="36" t="str">
        <f>IF($FH3458="","",SUM($FN3458:$FN$7000))</f>
        <v/>
      </c>
    </row>
    <row r="3459" spans="164:167">
      <c r="FH3459" s="29" t="str">
        <f t="shared" si="108"/>
        <v/>
      </c>
      <c r="FJ3459" s="36" t="str">
        <f>IF($FH3459="","",SUM($FN3459:$FN$7000))</f>
        <v/>
      </c>
      <c r="FK3459" s="36" t="str">
        <f>IF($FH3459="","",SUM($FN3459:$FN$7000))</f>
        <v/>
      </c>
    </row>
    <row r="3460" spans="164:167">
      <c r="FH3460" s="29" t="str">
        <f t="shared" si="108"/>
        <v/>
      </c>
      <c r="FJ3460" s="36" t="str">
        <f>IF($FH3460="","",SUM($FN3460:$FN$7000))</f>
        <v/>
      </c>
      <c r="FK3460" s="36" t="str">
        <f>IF($FH3460="","",SUM($FN3460:$FN$7000))</f>
        <v/>
      </c>
    </row>
    <row r="3461" spans="164:167">
      <c r="FH3461" s="29" t="str">
        <f t="shared" si="108"/>
        <v/>
      </c>
      <c r="FJ3461" s="36" t="str">
        <f>IF($FH3461="","",SUM($FN3461:$FN$7000))</f>
        <v/>
      </c>
      <c r="FK3461" s="36" t="str">
        <f>IF($FH3461="","",SUM($FN3461:$FN$7000))</f>
        <v/>
      </c>
    </row>
    <row r="3462" spans="164:167">
      <c r="FH3462" s="29" t="str">
        <f t="shared" si="108"/>
        <v/>
      </c>
      <c r="FJ3462" s="36" t="str">
        <f>IF($FH3462="","",SUM($FN3462:$FN$7000))</f>
        <v/>
      </c>
      <c r="FK3462" s="36" t="str">
        <f>IF($FH3462="","",SUM($FN3462:$FN$7000))</f>
        <v/>
      </c>
    </row>
    <row r="3463" spans="164:167">
      <c r="FH3463" s="29" t="str">
        <f t="shared" si="108"/>
        <v/>
      </c>
      <c r="FJ3463" s="36" t="str">
        <f>IF($FH3463="","",SUM($FN3463:$FN$7000))</f>
        <v/>
      </c>
      <c r="FK3463" s="36" t="str">
        <f>IF($FH3463="","",SUM($FN3463:$FN$7000))</f>
        <v/>
      </c>
    </row>
    <row r="3464" spans="164:167">
      <c r="FH3464" s="29" t="str">
        <f t="shared" si="108"/>
        <v/>
      </c>
      <c r="FJ3464" s="36" t="str">
        <f>IF($FH3464="","",SUM($FN3464:$FN$7000))</f>
        <v/>
      </c>
      <c r="FK3464" s="36" t="str">
        <f>IF($FH3464="","",SUM($FN3464:$FN$7000))</f>
        <v/>
      </c>
    </row>
    <row r="3465" spans="164:167">
      <c r="FH3465" s="29" t="str">
        <f t="shared" si="108"/>
        <v/>
      </c>
      <c r="FJ3465" s="36" t="str">
        <f>IF($FH3465="","",SUM($FN3465:$FN$7000))</f>
        <v/>
      </c>
      <c r="FK3465" s="36" t="str">
        <f>IF($FH3465="","",SUM($FN3465:$FN$7000))</f>
        <v/>
      </c>
    </row>
    <row r="3466" spans="164:167">
      <c r="FH3466" s="29" t="str">
        <f t="shared" si="108"/>
        <v/>
      </c>
      <c r="FJ3466" s="36" t="str">
        <f>IF($FH3466="","",SUM($FN3466:$FN$7000))</f>
        <v/>
      </c>
      <c r="FK3466" s="36" t="str">
        <f>IF($FH3466="","",SUM($FN3466:$FN$7000))</f>
        <v/>
      </c>
    </row>
    <row r="3467" spans="164:167">
      <c r="FH3467" s="29" t="str">
        <f t="shared" ref="FH3467:FH3530" si="109">IF(FL3467="","",FL3467)</f>
        <v/>
      </c>
      <c r="FJ3467" s="36" t="str">
        <f>IF($FH3467="","",SUM($FN3467:$FN$7000))</f>
        <v/>
      </c>
      <c r="FK3467" s="36" t="str">
        <f>IF($FH3467="","",SUM($FN3467:$FN$7000))</f>
        <v/>
      </c>
    </row>
    <row r="3468" spans="164:167">
      <c r="FH3468" s="29" t="str">
        <f t="shared" si="109"/>
        <v/>
      </c>
      <c r="FJ3468" s="36" t="str">
        <f>IF($FH3468="","",SUM($FN3468:$FN$7000))</f>
        <v/>
      </c>
      <c r="FK3468" s="36" t="str">
        <f>IF($FH3468="","",SUM($FN3468:$FN$7000))</f>
        <v/>
      </c>
    </row>
    <row r="3469" spans="164:167">
      <c r="FH3469" s="29" t="str">
        <f t="shared" si="109"/>
        <v/>
      </c>
      <c r="FJ3469" s="36" t="str">
        <f>IF($FH3469="","",SUM($FN3469:$FN$7000))</f>
        <v/>
      </c>
      <c r="FK3469" s="36" t="str">
        <f>IF($FH3469="","",SUM($FN3469:$FN$7000))</f>
        <v/>
      </c>
    </row>
    <row r="3470" spans="164:167">
      <c r="FH3470" s="29" t="str">
        <f t="shared" si="109"/>
        <v/>
      </c>
      <c r="FJ3470" s="36" t="str">
        <f>IF($FH3470="","",SUM($FN3470:$FN$7000))</f>
        <v/>
      </c>
      <c r="FK3470" s="36" t="str">
        <f>IF($FH3470="","",SUM($FN3470:$FN$7000))</f>
        <v/>
      </c>
    </row>
    <row r="3471" spans="164:167">
      <c r="FH3471" s="29" t="str">
        <f t="shared" si="109"/>
        <v/>
      </c>
      <c r="FJ3471" s="36" t="str">
        <f>IF($FH3471="","",SUM($FN3471:$FN$7000))</f>
        <v/>
      </c>
      <c r="FK3471" s="36" t="str">
        <f>IF($FH3471="","",SUM($FN3471:$FN$7000))</f>
        <v/>
      </c>
    </row>
    <row r="3472" spans="164:167">
      <c r="FH3472" s="29" t="str">
        <f t="shared" si="109"/>
        <v/>
      </c>
      <c r="FJ3472" s="36" t="str">
        <f>IF($FH3472="","",SUM($FN3472:$FN$7000))</f>
        <v/>
      </c>
      <c r="FK3472" s="36" t="str">
        <f>IF($FH3472="","",SUM($FN3472:$FN$7000))</f>
        <v/>
      </c>
    </row>
    <row r="3473" spans="164:167">
      <c r="FH3473" s="29" t="str">
        <f t="shared" si="109"/>
        <v/>
      </c>
      <c r="FJ3473" s="36" t="str">
        <f>IF($FH3473="","",SUM($FN3473:$FN$7000))</f>
        <v/>
      </c>
      <c r="FK3473" s="36" t="str">
        <f>IF($FH3473="","",SUM($FN3473:$FN$7000))</f>
        <v/>
      </c>
    </row>
    <row r="3474" spans="164:167">
      <c r="FH3474" s="29" t="str">
        <f t="shared" si="109"/>
        <v/>
      </c>
      <c r="FJ3474" s="36" t="str">
        <f>IF($FH3474="","",SUM($FN3474:$FN$7000))</f>
        <v/>
      </c>
      <c r="FK3474" s="36" t="str">
        <f>IF($FH3474="","",SUM($FN3474:$FN$7000))</f>
        <v/>
      </c>
    </row>
    <row r="3475" spans="164:167">
      <c r="FH3475" s="29" t="str">
        <f t="shared" si="109"/>
        <v/>
      </c>
      <c r="FJ3475" s="36" t="str">
        <f>IF($FH3475="","",SUM($FN3475:$FN$7000))</f>
        <v/>
      </c>
      <c r="FK3475" s="36" t="str">
        <f>IF($FH3475="","",SUM($FN3475:$FN$7000))</f>
        <v/>
      </c>
    </row>
    <row r="3476" spans="164:167">
      <c r="FH3476" s="29" t="str">
        <f t="shared" si="109"/>
        <v/>
      </c>
      <c r="FJ3476" s="36" t="str">
        <f>IF($FH3476="","",SUM($FN3476:$FN$7000))</f>
        <v/>
      </c>
      <c r="FK3476" s="36" t="str">
        <f>IF($FH3476="","",SUM($FN3476:$FN$7000))</f>
        <v/>
      </c>
    </row>
    <row r="3477" spans="164:167">
      <c r="FH3477" s="29" t="str">
        <f t="shared" si="109"/>
        <v/>
      </c>
      <c r="FJ3477" s="36" t="str">
        <f>IF($FH3477="","",SUM($FN3477:$FN$7000))</f>
        <v/>
      </c>
      <c r="FK3477" s="36" t="str">
        <f>IF($FH3477="","",SUM($FN3477:$FN$7000))</f>
        <v/>
      </c>
    </row>
    <row r="3478" spans="164:167">
      <c r="FH3478" s="29" t="str">
        <f t="shared" si="109"/>
        <v/>
      </c>
      <c r="FJ3478" s="36" t="str">
        <f>IF($FH3478="","",SUM($FN3478:$FN$7000))</f>
        <v/>
      </c>
      <c r="FK3478" s="36" t="str">
        <f>IF($FH3478="","",SUM($FN3478:$FN$7000))</f>
        <v/>
      </c>
    </row>
    <row r="3479" spans="164:167">
      <c r="FH3479" s="29" t="str">
        <f t="shared" si="109"/>
        <v/>
      </c>
      <c r="FJ3479" s="36" t="str">
        <f>IF($FH3479="","",SUM($FN3479:$FN$7000))</f>
        <v/>
      </c>
      <c r="FK3479" s="36" t="str">
        <f>IF($FH3479="","",SUM($FN3479:$FN$7000))</f>
        <v/>
      </c>
    </row>
    <row r="3480" spans="164:167">
      <c r="FH3480" s="29" t="str">
        <f t="shared" si="109"/>
        <v/>
      </c>
      <c r="FJ3480" s="36" t="str">
        <f>IF($FH3480="","",SUM($FN3480:$FN$7000))</f>
        <v/>
      </c>
      <c r="FK3480" s="36" t="str">
        <f>IF($FH3480="","",SUM($FN3480:$FN$7000))</f>
        <v/>
      </c>
    </row>
    <row r="3481" spans="164:167">
      <c r="FH3481" s="29" t="str">
        <f t="shared" si="109"/>
        <v/>
      </c>
      <c r="FJ3481" s="36" t="str">
        <f>IF($FH3481="","",SUM($FN3481:$FN$7000))</f>
        <v/>
      </c>
      <c r="FK3481" s="36" t="str">
        <f>IF($FH3481="","",SUM($FN3481:$FN$7000))</f>
        <v/>
      </c>
    </row>
    <row r="3482" spans="164:167">
      <c r="FH3482" s="29" t="str">
        <f t="shared" si="109"/>
        <v/>
      </c>
      <c r="FJ3482" s="36" t="str">
        <f>IF($FH3482="","",SUM($FN3482:$FN$7000))</f>
        <v/>
      </c>
      <c r="FK3482" s="36" t="str">
        <f>IF($FH3482="","",SUM($FN3482:$FN$7000))</f>
        <v/>
      </c>
    </row>
    <row r="3483" spans="164:167">
      <c r="FH3483" s="29" t="str">
        <f t="shared" si="109"/>
        <v/>
      </c>
      <c r="FJ3483" s="36" t="str">
        <f>IF($FH3483="","",SUM($FN3483:$FN$7000))</f>
        <v/>
      </c>
      <c r="FK3483" s="36" t="str">
        <f>IF($FH3483="","",SUM($FN3483:$FN$7000))</f>
        <v/>
      </c>
    </row>
    <row r="3484" spans="164:167">
      <c r="FH3484" s="29" t="str">
        <f t="shared" si="109"/>
        <v/>
      </c>
      <c r="FJ3484" s="36" t="str">
        <f>IF($FH3484="","",SUM($FN3484:$FN$7000))</f>
        <v/>
      </c>
      <c r="FK3484" s="36" t="str">
        <f>IF($FH3484="","",SUM($FN3484:$FN$7000))</f>
        <v/>
      </c>
    </row>
    <row r="3485" spans="164:167">
      <c r="FH3485" s="29" t="str">
        <f t="shared" si="109"/>
        <v/>
      </c>
      <c r="FJ3485" s="36" t="str">
        <f>IF($FH3485="","",SUM($FN3485:$FN$7000))</f>
        <v/>
      </c>
      <c r="FK3485" s="36" t="str">
        <f>IF($FH3485="","",SUM($FN3485:$FN$7000))</f>
        <v/>
      </c>
    </row>
    <row r="3486" spans="164:167">
      <c r="FH3486" s="29" t="str">
        <f t="shared" si="109"/>
        <v/>
      </c>
      <c r="FJ3486" s="36" t="str">
        <f>IF($FH3486="","",SUM($FN3486:$FN$7000))</f>
        <v/>
      </c>
      <c r="FK3486" s="36" t="str">
        <f>IF($FH3486="","",SUM($FN3486:$FN$7000))</f>
        <v/>
      </c>
    </row>
    <row r="3487" spans="164:167">
      <c r="FH3487" s="29" t="str">
        <f t="shared" si="109"/>
        <v/>
      </c>
      <c r="FJ3487" s="36" t="str">
        <f>IF($FH3487="","",SUM($FN3487:$FN$7000))</f>
        <v/>
      </c>
      <c r="FK3487" s="36" t="str">
        <f>IF($FH3487="","",SUM($FN3487:$FN$7000))</f>
        <v/>
      </c>
    </row>
    <row r="3488" spans="164:167">
      <c r="FH3488" s="29" t="str">
        <f t="shared" si="109"/>
        <v/>
      </c>
      <c r="FJ3488" s="36" t="str">
        <f>IF($FH3488="","",SUM($FN3488:$FN$7000))</f>
        <v/>
      </c>
      <c r="FK3488" s="36" t="str">
        <f>IF($FH3488="","",SUM($FN3488:$FN$7000))</f>
        <v/>
      </c>
    </row>
    <row r="3489" spans="164:167">
      <c r="FH3489" s="29" t="str">
        <f t="shared" si="109"/>
        <v/>
      </c>
      <c r="FJ3489" s="36" t="str">
        <f>IF($FH3489="","",SUM($FN3489:$FN$7000))</f>
        <v/>
      </c>
      <c r="FK3489" s="36" t="str">
        <f>IF($FH3489="","",SUM($FN3489:$FN$7000))</f>
        <v/>
      </c>
    </row>
    <row r="3490" spans="164:167">
      <c r="FH3490" s="29" t="str">
        <f t="shared" si="109"/>
        <v/>
      </c>
      <c r="FJ3490" s="36" t="str">
        <f>IF($FH3490="","",SUM($FN3490:$FN$7000))</f>
        <v/>
      </c>
      <c r="FK3490" s="36" t="str">
        <f>IF($FH3490="","",SUM($FN3490:$FN$7000))</f>
        <v/>
      </c>
    </row>
    <row r="3491" spans="164:167">
      <c r="FH3491" s="29" t="str">
        <f t="shared" si="109"/>
        <v/>
      </c>
      <c r="FJ3491" s="36" t="str">
        <f>IF($FH3491="","",SUM($FN3491:$FN$7000))</f>
        <v/>
      </c>
      <c r="FK3491" s="36" t="str">
        <f>IF($FH3491="","",SUM($FN3491:$FN$7000))</f>
        <v/>
      </c>
    </row>
    <row r="3492" spans="164:167">
      <c r="FH3492" s="29" t="str">
        <f t="shared" si="109"/>
        <v/>
      </c>
      <c r="FJ3492" s="36" t="str">
        <f>IF($FH3492="","",SUM($FN3492:$FN$7000))</f>
        <v/>
      </c>
      <c r="FK3492" s="36" t="str">
        <f>IF($FH3492="","",SUM($FN3492:$FN$7000))</f>
        <v/>
      </c>
    </row>
    <row r="3493" spans="164:167">
      <c r="FH3493" s="29" t="str">
        <f t="shared" si="109"/>
        <v/>
      </c>
      <c r="FJ3493" s="36" t="str">
        <f>IF($FH3493="","",SUM($FN3493:$FN$7000))</f>
        <v/>
      </c>
      <c r="FK3493" s="36" t="str">
        <f>IF($FH3493="","",SUM($FN3493:$FN$7000))</f>
        <v/>
      </c>
    </row>
    <row r="3494" spans="164:167">
      <c r="FH3494" s="29" t="str">
        <f t="shared" si="109"/>
        <v/>
      </c>
      <c r="FJ3494" s="36" t="str">
        <f>IF($FH3494="","",SUM($FN3494:$FN$7000))</f>
        <v/>
      </c>
      <c r="FK3494" s="36" t="str">
        <f>IF($FH3494="","",SUM($FN3494:$FN$7000))</f>
        <v/>
      </c>
    </row>
    <row r="3495" spans="164:167">
      <c r="FH3495" s="29" t="str">
        <f t="shared" si="109"/>
        <v/>
      </c>
      <c r="FJ3495" s="36" t="str">
        <f>IF($FH3495="","",SUM($FN3495:$FN$7000))</f>
        <v/>
      </c>
      <c r="FK3495" s="36" t="str">
        <f>IF($FH3495="","",SUM($FN3495:$FN$7000))</f>
        <v/>
      </c>
    </row>
    <row r="3496" spans="164:167">
      <c r="FH3496" s="29" t="str">
        <f t="shared" si="109"/>
        <v/>
      </c>
      <c r="FJ3496" s="36" t="str">
        <f>IF($FH3496="","",SUM($FN3496:$FN$7000))</f>
        <v/>
      </c>
      <c r="FK3496" s="36" t="str">
        <f>IF($FH3496="","",SUM($FN3496:$FN$7000))</f>
        <v/>
      </c>
    </row>
    <row r="3497" spans="164:167">
      <c r="FH3497" s="29" t="str">
        <f t="shared" si="109"/>
        <v/>
      </c>
      <c r="FJ3497" s="36" t="str">
        <f>IF($FH3497="","",SUM($FN3497:$FN$7000))</f>
        <v/>
      </c>
      <c r="FK3497" s="36" t="str">
        <f>IF($FH3497="","",SUM($FN3497:$FN$7000))</f>
        <v/>
      </c>
    </row>
    <row r="3498" spans="164:167">
      <c r="FH3498" s="29" t="str">
        <f t="shared" si="109"/>
        <v/>
      </c>
      <c r="FJ3498" s="36" t="str">
        <f>IF($FH3498="","",SUM($FN3498:$FN$7000))</f>
        <v/>
      </c>
      <c r="FK3498" s="36" t="str">
        <f>IF($FH3498="","",SUM($FN3498:$FN$7000))</f>
        <v/>
      </c>
    </row>
    <row r="3499" spans="164:167">
      <c r="FH3499" s="29" t="str">
        <f t="shared" si="109"/>
        <v/>
      </c>
      <c r="FJ3499" s="36" t="str">
        <f>IF($FH3499="","",SUM($FN3499:$FN$7000))</f>
        <v/>
      </c>
      <c r="FK3499" s="36" t="str">
        <f>IF($FH3499="","",SUM($FN3499:$FN$7000))</f>
        <v/>
      </c>
    </row>
    <row r="3500" spans="164:167">
      <c r="FH3500" s="29" t="str">
        <f t="shared" si="109"/>
        <v/>
      </c>
      <c r="FJ3500" s="36" t="str">
        <f>IF($FH3500="","",SUM($FN3500:$FN$7000))</f>
        <v/>
      </c>
      <c r="FK3500" s="36" t="str">
        <f>IF($FH3500="","",SUM($FN3500:$FN$7000))</f>
        <v/>
      </c>
    </row>
    <row r="3501" spans="164:167">
      <c r="FH3501" s="29" t="str">
        <f t="shared" si="109"/>
        <v/>
      </c>
      <c r="FJ3501" s="36" t="str">
        <f>IF($FH3501="","",SUM($FN3501:$FN$7000))</f>
        <v/>
      </c>
      <c r="FK3501" s="36" t="str">
        <f>IF($FH3501="","",SUM($FN3501:$FN$7000))</f>
        <v/>
      </c>
    </row>
    <row r="3502" spans="164:167">
      <c r="FH3502" s="29" t="str">
        <f t="shared" si="109"/>
        <v/>
      </c>
      <c r="FJ3502" s="36" t="str">
        <f>IF($FH3502="","",SUM($FN3502:$FN$7000))</f>
        <v/>
      </c>
      <c r="FK3502" s="36" t="str">
        <f>IF($FH3502="","",SUM($FN3502:$FN$7000))</f>
        <v/>
      </c>
    </row>
    <row r="3503" spans="164:167">
      <c r="FH3503" s="29" t="str">
        <f t="shared" si="109"/>
        <v/>
      </c>
      <c r="FJ3503" s="36" t="str">
        <f>IF($FH3503="","",SUM($FN3503:$FN$7000))</f>
        <v/>
      </c>
      <c r="FK3503" s="36" t="str">
        <f>IF($FH3503="","",SUM($FN3503:$FN$7000))</f>
        <v/>
      </c>
    </row>
    <row r="3504" spans="164:167">
      <c r="FH3504" s="29" t="str">
        <f t="shared" si="109"/>
        <v/>
      </c>
      <c r="FJ3504" s="36" t="str">
        <f>IF($FH3504="","",SUM($FN3504:$FN$7000))</f>
        <v/>
      </c>
      <c r="FK3504" s="36" t="str">
        <f>IF($FH3504="","",SUM($FN3504:$FN$7000))</f>
        <v/>
      </c>
    </row>
    <row r="3505" spans="164:167">
      <c r="FH3505" s="29" t="str">
        <f t="shared" si="109"/>
        <v/>
      </c>
      <c r="FJ3505" s="36" t="str">
        <f>IF($FH3505="","",SUM($FN3505:$FN$7000))</f>
        <v/>
      </c>
      <c r="FK3505" s="36" t="str">
        <f>IF($FH3505="","",SUM($FN3505:$FN$7000))</f>
        <v/>
      </c>
    </row>
    <row r="3506" spans="164:167">
      <c r="FH3506" s="29" t="str">
        <f t="shared" si="109"/>
        <v/>
      </c>
      <c r="FJ3506" s="36" t="str">
        <f>IF($FH3506="","",SUM($FN3506:$FN$7000))</f>
        <v/>
      </c>
      <c r="FK3506" s="36" t="str">
        <f>IF($FH3506="","",SUM($FN3506:$FN$7000))</f>
        <v/>
      </c>
    </row>
    <row r="3507" spans="164:167">
      <c r="FH3507" s="29" t="str">
        <f t="shared" si="109"/>
        <v/>
      </c>
      <c r="FJ3507" s="36" t="str">
        <f>IF($FH3507="","",SUM($FN3507:$FN$7000))</f>
        <v/>
      </c>
      <c r="FK3507" s="36" t="str">
        <f>IF($FH3507="","",SUM($FN3507:$FN$7000))</f>
        <v/>
      </c>
    </row>
    <row r="3508" spans="164:167">
      <c r="FH3508" s="29" t="str">
        <f t="shared" si="109"/>
        <v/>
      </c>
      <c r="FJ3508" s="36" t="str">
        <f>IF($FH3508="","",SUM($FN3508:$FN$7000))</f>
        <v/>
      </c>
      <c r="FK3508" s="36" t="str">
        <f>IF($FH3508="","",SUM($FN3508:$FN$7000))</f>
        <v/>
      </c>
    </row>
    <row r="3509" spans="164:167">
      <c r="FH3509" s="29" t="str">
        <f t="shared" si="109"/>
        <v/>
      </c>
      <c r="FJ3509" s="36" t="str">
        <f>IF($FH3509="","",SUM($FN3509:$FN$7000))</f>
        <v/>
      </c>
      <c r="FK3509" s="36" t="str">
        <f>IF($FH3509="","",SUM($FN3509:$FN$7000))</f>
        <v/>
      </c>
    </row>
    <row r="3510" spans="164:167">
      <c r="FH3510" s="29" t="str">
        <f t="shared" si="109"/>
        <v/>
      </c>
      <c r="FJ3510" s="36" t="str">
        <f>IF($FH3510="","",SUM($FN3510:$FN$7000))</f>
        <v/>
      </c>
      <c r="FK3510" s="36" t="str">
        <f>IF($FH3510="","",SUM($FN3510:$FN$7000))</f>
        <v/>
      </c>
    </row>
    <row r="3511" spans="164:167">
      <c r="FH3511" s="29" t="str">
        <f t="shared" si="109"/>
        <v/>
      </c>
      <c r="FJ3511" s="36" t="str">
        <f>IF($FH3511="","",SUM($FN3511:$FN$7000))</f>
        <v/>
      </c>
      <c r="FK3511" s="36" t="str">
        <f>IF($FH3511="","",SUM($FN3511:$FN$7000))</f>
        <v/>
      </c>
    </row>
    <row r="3512" spans="164:167">
      <c r="FH3512" s="29" t="str">
        <f t="shared" si="109"/>
        <v/>
      </c>
      <c r="FJ3512" s="36" t="str">
        <f>IF($FH3512="","",SUM($FN3512:$FN$7000))</f>
        <v/>
      </c>
      <c r="FK3512" s="36" t="str">
        <f>IF($FH3512="","",SUM($FN3512:$FN$7000))</f>
        <v/>
      </c>
    </row>
    <row r="3513" spans="164:167">
      <c r="FH3513" s="29" t="str">
        <f t="shared" si="109"/>
        <v/>
      </c>
      <c r="FJ3513" s="36" t="str">
        <f>IF($FH3513="","",SUM($FN3513:$FN$7000))</f>
        <v/>
      </c>
      <c r="FK3513" s="36" t="str">
        <f>IF($FH3513="","",SUM($FN3513:$FN$7000))</f>
        <v/>
      </c>
    </row>
    <row r="3514" spans="164:167">
      <c r="FH3514" s="29" t="str">
        <f t="shared" si="109"/>
        <v/>
      </c>
      <c r="FJ3514" s="36" t="str">
        <f>IF($FH3514="","",SUM($FN3514:$FN$7000))</f>
        <v/>
      </c>
      <c r="FK3514" s="36" t="str">
        <f>IF($FH3514="","",SUM($FN3514:$FN$7000))</f>
        <v/>
      </c>
    </row>
    <row r="3515" spans="164:167">
      <c r="FH3515" s="29" t="str">
        <f t="shared" si="109"/>
        <v/>
      </c>
      <c r="FJ3515" s="36" t="str">
        <f>IF($FH3515="","",SUM($FN3515:$FN$7000))</f>
        <v/>
      </c>
      <c r="FK3515" s="36" t="str">
        <f>IF($FH3515="","",SUM($FN3515:$FN$7000))</f>
        <v/>
      </c>
    </row>
    <row r="3516" spans="164:167">
      <c r="FH3516" s="29" t="str">
        <f t="shared" si="109"/>
        <v/>
      </c>
      <c r="FJ3516" s="36" t="str">
        <f>IF($FH3516="","",SUM($FN3516:$FN$7000))</f>
        <v/>
      </c>
      <c r="FK3516" s="36" t="str">
        <f>IF($FH3516="","",SUM($FN3516:$FN$7000))</f>
        <v/>
      </c>
    </row>
    <row r="3517" spans="164:167">
      <c r="FH3517" s="29" t="str">
        <f t="shared" si="109"/>
        <v/>
      </c>
      <c r="FJ3517" s="36" t="str">
        <f>IF($FH3517="","",SUM($FN3517:$FN$7000))</f>
        <v/>
      </c>
      <c r="FK3517" s="36" t="str">
        <f>IF($FH3517="","",SUM($FN3517:$FN$7000))</f>
        <v/>
      </c>
    </row>
    <row r="3518" spans="164:167">
      <c r="FH3518" s="29" t="str">
        <f t="shared" si="109"/>
        <v/>
      </c>
      <c r="FJ3518" s="36" t="str">
        <f>IF($FH3518="","",SUM($FN3518:$FN$7000))</f>
        <v/>
      </c>
      <c r="FK3518" s="36" t="str">
        <f>IF($FH3518="","",SUM($FN3518:$FN$7000))</f>
        <v/>
      </c>
    </row>
    <row r="3519" spans="164:167">
      <c r="FH3519" s="29" t="str">
        <f t="shared" si="109"/>
        <v/>
      </c>
      <c r="FJ3519" s="36" t="str">
        <f>IF($FH3519="","",SUM($FN3519:$FN$7000))</f>
        <v/>
      </c>
      <c r="FK3519" s="36" t="str">
        <f>IF($FH3519="","",SUM($FN3519:$FN$7000))</f>
        <v/>
      </c>
    </row>
    <row r="3520" spans="164:167">
      <c r="FH3520" s="29" t="str">
        <f t="shared" si="109"/>
        <v/>
      </c>
      <c r="FJ3520" s="36" t="str">
        <f>IF($FH3520="","",SUM($FN3520:$FN$7000))</f>
        <v/>
      </c>
      <c r="FK3520" s="36" t="str">
        <f>IF($FH3520="","",SUM($FN3520:$FN$7000))</f>
        <v/>
      </c>
    </row>
    <row r="3521" spans="164:167">
      <c r="FH3521" s="29" t="str">
        <f t="shared" si="109"/>
        <v/>
      </c>
      <c r="FJ3521" s="36" t="str">
        <f>IF($FH3521="","",SUM($FN3521:$FN$7000))</f>
        <v/>
      </c>
      <c r="FK3521" s="36" t="str">
        <f>IF($FH3521="","",SUM($FN3521:$FN$7000))</f>
        <v/>
      </c>
    </row>
    <row r="3522" spans="164:167">
      <c r="FH3522" s="29" t="str">
        <f t="shared" si="109"/>
        <v/>
      </c>
      <c r="FJ3522" s="36" t="str">
        <f>IF($FH3522="","",SUM($FN3522:$FN$7000))</f>
        <v/>
      </c>
      <c r="FK3522" s="36" t="str">
        <f>IF($FH3522="","",SUM($FN3522:$FN$7000))</f>
        <v/>
      </c>
    </row>
    <row r="3523" spans="164:167">
      <c r="FH3523" s="29" t="str">
        <f t="shared" si="109"/>
        <v/>
      </c>
      <c r="FJ3523" s="36" t="str">
        <f>IF($FH3523="","",SUM($FN3523:$FN$7000))</f>
        <v/>
      </c>
      <c r="FK3523" s="36" t="str">
        <f>IF($FH3523="","",SUM($FN3523:$FN$7000))</f>
        <v/>
      </c>
    </row>
    <row r="3524" spans="164:167">
      <c r="FH3524" s="29" t="str">
        <f t="shared" si="109"/>
        <v/>
      </c>
      <c r="FJ3524" s="36" t="str">
        <f>IF($FH3524="","",SUM($FN3524:$FN$7000))</f>
        <v/>
      </c>
      <c r="FK3524" s="36" t="str">
        <f>IF($FH3524="","",SUM($FN3524:$FN$7000))</f>
        <v/>
      </c>
    </row>
    <row r="3525" spans="164:167">
      <c r="FH3525" s="29" t="str">
        <f t="shared" si="109"/>
        <v/>
      </c>
      <c r="FJ3525" s="36" t="str">
        <f>IF($FH3525="","",SUM($FN3525:$FN$7000))</f>
        <v/>
      </c>
      <c r="FK3525" s="36" t="str">
        <f>IF($FH3525="","",SUM($FN3525:$FN$7000))</f>
        <v/>
      </c>
    </row>
    <row r="3526" spans="164:167">
      <c r="FH3526" s="29" t="str">
        <f t="shared" si="109"/>
        <v/>
      </c>
      <c r="FJ3526" s="36" t="str">
        <f>IF($FH3526="","",SUM($FN3526:$FN$7000))</f>
        <v/>
      </c>
      <c r="FK3526" s="36" t="str">
        <f>IF($FH3526="","",SUM($FN3526:$FN$7000))</f>
        <v/>
      </c>
    </row>
    <row r="3527" spans="164:167">
      <c r="FH3527" s="29" t="str">
        <f t="shared" si="109"/>
        <v/>
      </c>
      <c r="FJ3527" s="36" t="str">
        <f>IF($FH3527="","",SUM($FN3527:$FN$7000))</f>
        <v/>
      </c>
      <c r="FK3527" s="36" t="str">
        <f>IF($FH3527="","",SUM($FN3527:$FN$7000))</f>
        <v/>
      </c>
    </row>
    <row r="3528" spans="164:167">
      <c r="FH3528" s="29" t="str">
        <f t="shared" si="109"/>
        <v/>
      </c>
      <c r="FJ3528" s="36" t="str">
        <f>IF($FH3528="","",SUM($FN3528:$FN$7000))</f>
        <v/>
      </c>
      <c r="FK3528" s="36" t="str">
        <f>IF($FH3528="","",SUM($FN3528:$FN$7000))</f>
        <v/>
      </c>
    </row>
    <row r="3529" spans="164:167">
      <c r="FH3529" s="29" t="str">
        <f t="shared" si="109"/>
        <v/>
      </c>
      <c r="FJ3529" s="36" t="str">
        <f>IF($FH3529="","",SUM($FN3529:$FN$7000))</f>
        <v/>
      </c>
      <c r="FK3529" s="36" t="str">
        <f>IF($FH3529="","",SUM($FN3529:$FN$7000))</f>
        <v/>
      </c>
    </row>
    <row r="3530" spans="164:167">
      <c r="FH3530" s="29" t="str">
        <f t="shared" si="109"/>
        <v/>
      </c>
      <c r="FJ3530" s="36" t="str">
        <f>IF($FH3530="","",SUM($FN3530:$FN$7000))</f>
        <v/>
      </c>
      <c r="FK3530" s="36" t="str">
        <f>IF($FH3530="","",SUM($FN3530:$FN$7000))</f>
        <v/>
      </c>
    </row>
    <row r="3531" spans="164:167">
      <c r="FH3531" s="29" t="str">
        <f t="shared" ref="FH3531:FH3594" si="110">IF(FL3531="","",FL3531)</f>
        <v/>
      </c>
      <c r="FJ3531" s="36" t="str">
        <f>IF($FH3531="","",SUM($FN3531:$FN$7000))</f>
        <v/>
      </c>
      <c r="FK3531" s="36" t="str">
        <f>IF($FH3531="","",SUM($FN3531:$FN$7000))</f>
        <v/>
      </c>
    </row>
    <row r="3532" spans="164:167">
      <c r="FH3532" s="29" t="str">
        <f t="shared" si="110"/>
        <v/>
      </c>
      <c r="FJ3532" s="36" t="str">
        <f>IF($FH3532="","",SUM($FN3532:$FN$7000))</f>
        <v/>
      </c>
      <c r="FK3532" s="36" t="str">
        <f>IF($FH3532="","",SUM($FN3532:$FN$7000))</f>
        <v/>
      </c>
    </row>
    <row r="3533" spans="164:167">
      <c r="FH3533" s="29" t="str">
        <f t="shared" si="110"/>
        <v/>
      </c>
      <c r="FJ3533" s="36" t="str">
        <f>IF($FH3533="","",SUM($FN3533:$FN$7000))</f>
        <v/>
      </c>
      <c r="FK3533" s="36" t="str">
        <f>IF($FH3533="","",SUM($FN3533:$FN$7000))</f>
        <v/>
      </c>
    </row>
    <row r="3534" spans="164:167">
      <c r="FH3534" s="29" t="str">
        <f t="shared" si="110"/>
        <v/>
      </c>
      <c r="FJ3534" s="36" t="str">
        <f>IF($FH3534="","",SUM($FN3534:$FN$7000))</f>
        <v/>
      </c>
      <c r="FK3534" s="36" t="str">
        <f>IF($FH3534="","",SUM($FN3534:$FN$7000))</f>
        <v/>
      </c>
    </row>
    <row r="3535" spans="164:167">
      <c r="FH3535" s="29" t="str">
        <f t="shared" si="110"/>
        <v/>
      </c>
      <c r="FJ3535" s="36" t="str">
        <f>IF($FH3535="","",SUM($FN3535:$FN$7000))</f>
        <v/>
      </c>
      <c r="FK3535" s="36" t="str">
        <f>IF($FH3535="","",SUM($FN3535:$FN$7000))</f>
        <v/>
      </c>
    </row>
    <row r="3536" spans="164:167">
      <c r="FH3536" s="29" t="str">
        <f t="shared" si="110"/>
        <v/>
      </c>
      <c r="FJ3536" s="36" t="str">
        <f>IF($FH3536="","",SUM($FN3536:$FN$7000))</f>
        <v/>
      </c>
      <c r="FK3536" s="36" t="str">
        <f>IF($FH3536="","",SUM($FN3536:$FN$7000))</f>
        <v/>
      </c>
    </row>
    <row r="3537" spans="164:167">
      <c r="FH3537" s="29" t="str">
        <f t="shared" si="110"/>
        <v/>
      </c>
      <c r="FJ3537" s="36" t="str">
        <f>IF($FH3537="","",SUM($FN3537:$FN$7000))</f>
        <v/>
      </c>
      <c r="FK3537" s="36" t="str">
        <f>IF($FH3537="","",SUM($FN3537:$FN$7000))</f>
        <v/>
      </c>
    </row>
    <row r="3538" spans="164:167">
      <c r="FH3538" s="29" t="str">
        <f t="shared" si="110"/>
        <v/>
      </c>
      <c r="FJ3538" s="36" t="str">
        <f>IF($FH3538="","",SUM($FN3538:$FN$7000))</f>
        <v/>
      </c>
      <c r="FK3538" s="36" t="str">
        <f>IF($FH3538="","",SUM($FN3538:$FN$7000))</f>
        <v/>
      </c>
    </row>
    <row r="3539" spans="164:167">
      <c r="FH3539" s="29" t="str">
        <f t="shared" si="110"/>
        <v/>
      </c>
      <c r="FJ3539" s="36" t="str">
        <f>IF($FH3539="","",SUM($FN3539:$FN$7000))</f>
        <v/>
      </c>
      <c r="FK3539" s="36" t="str">
        <f>IF($FH3539="","",SUM($FN3539:$FN$7000))</f>
        <v/>
      </c>
    </row>
    <row r="3540" spans="164:167">
      <c r="FH3540" s="29" t="str">
        <f t="shared" si="110"/>
        <v/>
      </c>
      <c r="FJ3540" s="36" t="str">
        <f>IF($FH3540="","",SUM($FN3540:$FN$7000))</f>
        <v/>
      </c>
      <c r="FK3540" s="36" t="str">
        <f>IF($FH3540="","",SUM($FN3540:$FN$7000))</f>
        <v/>
      </c>
    </row>
    <row r="3541" spans="164:167">
      <c r="FH3541" s="29" t="str">
        <f t="shared" si="110"/>
        <v/>
      </c>
      <c r="FJ3541" s="36" t="str">
        <f>IF($FH3541="","",SUM($FN3541:$FN$7000))</f>
        <v/>
      </c>
      <c r="FK3541" s="36" t="str">
        <f>IF($FH3541="","",SUM($FN3541:$FN$7000))</f>
        <v/>
      </c>
    </row>
    <row r="3542" spans="164:167">
      <c r="FH3542" s="29" t="str">
        <f t="shared" si="110"/>
        <v/>
      </c>
      <c r="FJ3542" s="36" t="str">
        <f>IF($FH3542="","",SUM($FN3542:$FN$7000))</f>
        <v/>
      </c>
      <c r="FK3542" s="36" t="str">
        <f>IF($FH3542="","",SUM($FN3542:$FN$7000))</f>
        <v/>
      </c>
    </row>
    <row r="3543" spans="164:167">
      <c r="FH3543" s="29" t="str">
        <f t="shared" si="110"/>
        <v/>
      </c>
      <c r="FJ3543" s="36" t="str">
        <f>IF($FH3543="","",SUM($FN3543:$FN$7000))</f>
        <v/>
      </c>
      <c r="FK3543" s="36" t="str">
        <f>IF($FH3543="","",SUM($FN3543:$FN$7000))</f>
        <v/>
      </c>
    </row>
    <row r="3544" spans="164:167">
      <c r="FH3544" s="29" t="str">
        <f t="shared" si="110"/>
        <v/>
      </c>
      <c r="FJ3544" s="36" t="str">
        <f>IF($FH3544="","",SUM($FN3544:$FN$7000))</f>
        <v/>
      </c>
      <c r="FK3544" s="36" t="str">
        <f>IF($FH3544="","",SUM($FN3544:$FN$7000))</f>
        <v/>
      </c>
    </row>
    <row r="3545" spans="164:167">
      <c r="FH3545" s="29" t="str">
        <f t="shared" si="110"/>
        <v/>
      </c>
      <c r="FJ3545" s="36" t="str">
        <f>IF($FH3545="","",SUM($FN3545:$FN$7000))</f>
        <v/>
      </c>
      <c r="FK3545" s="36" t="str">
        <f>IF($FH3545="","",SUM($FN3545:$FN$7000))</f>
        <v/>
      </c>
    </row>
    <row r="3546" spans="164:167">
      <c r="FH3546" s="29" t="str">
        <f t="shared" si="110"/>
        <v/>
      </c>
      <c r="FJ3546" s="36" t="str">
        <f>IF($FH3546="","",SUM($FN3546:$FN$7000))</f>
        <v/>
      </c>
      <c r="FK3546" s="36" t="str">
        <f>IF($FH3546="","",SUM($FN3546:$FN$7000))</f>
        <v/>
      </c>
    </row>
    <row r="3547" spans="164:167">
      <c r="FH3547" s="29" t="str">
        <f t="shared" si="110"/>
        <v/>
      </c>
      <c r="FJ3547" s="36" t="str">
        <f>IF($FH3547="","",SUM($FN3547:$FN$7000))</f>
        <v/>
      </c>
      <c r="FK3547" s="36" t="str">
        <f>IF($FH3547="","",SUM($FN3547:$FN$7000))</f>
        <v/>
      </c>
    </row>
    <row r="3548" spans="164:167">
      <c r="FH3548" s="29" t="str">
        <f t="shared" si="110"/>
        <v/>
      </c>
      <c r="FJ3548" s="36" t="str">
        <f>IF($FH3548="","",SUM($FN3548:$FN$7000))</f>
        <v/>
      </c>
      <c r="FK3548" s="36" t="str">
        <f>IF($FH3548="","",SUM($FN3548:$FN$7000))</f>
        <v/>
      </c>
    </row>
    <row r="3549" spans="164:167">
      <c r="FH3549" s="29" t="str">
        <f t="shared" si="110"/>
        <v/>
      </c>
      <c r="FJ3549" s="36" t="str">
        <f>IF($FH3549="","",SUM($FN3549:$FN$7000))</f>
        <v/>
      </c>
      <c r="FK3549" s="36" t="str">
        <f>IF($FH3549="","",SUM($FN3549:$FN$7000))</f>
        <v/>
      </c>
    </row>
    <row r="3550" spans="164:167">
      <c r="FH3550" s="29" t="str">
        <f t="shared" si="110"/>
        <v/>
      </c>
      <c r="FJ3550" s="36" t="str">
        <f>IF($FH3550="","",SUM($FN3550:$FN$7000))</f>
        <v/>
      </c>
      <c r="FK3550" s="36" t="str">
        <f>IF($FH3550="","",SUM($FN3550:$FN$7000))</f>
        <v/>
      </c>
    </row>
    <row r="3551" spans="164:167">
      <c r="FH3551" s="29" t="str">
        <f t="shared" si="110"/>
        <v/>
      </c>
      <c r="FJ3551" s="36" t="str">
        <f>IF($FH3551="","",SUM($FN3551:$FN$7000))</f>
        <v/>
      </c>
      <c r="FK3551" s="36" t="str">
        <f>IF($FH3551="","",SUM($FN3551:$FN$7000))</f>
        <v/>
      </c>
    </row>
    <row r="3552" spans="164:167">
      <c r="FH3552" s="29" t="str">
        <f t="shared" si="110"/>
        <v/>
      </c>
      <c r="FJ3552" s="36" t="str">
        <f>IF($FH3552="","",SUM($FN3552:$FN$7000))</f>
        <v/>
      </c>
      <c r="FK3552" s="36" t="str">
        <f>IF($FH3552="","",SUM($FN3552:$FN$7000))</f>
        <v/>
      </c>
    </row>
    <row r="3553" spans="164:167">
      <c r="FH3553" s="29" t="str">
        <f t="shared" si="110"/>
        <v/>
      </c>
      <c r="FJ3553" s="36" t="str">
        <f>IF($FH3553="","",SUM($FN3553:$FN$7000))</f>
        <v/>
      </c>
      <c r="FK3553" s="36" t="str">
        <f>IF($FH3553="","",SUM($FN3553:$FN$7000))</f>
        <v/>
      </c>
    </row>
    <row r="3554" spans="164:167">
      <c r="FH3554" s="29" t="str">
        <f t="shared" si="110"/>
        <v/>
      </c>
      <c r="FJ3554" s="36" t="str">
        <f>IF($FH3554="","",SUM($FN3554:$FN$7000))</f>
        <v/>
      </c>
      <c r="FK3554" s="36" t="str">
        <f>IF($FH3554="","",SUM($FN3554:$FN$7000))</f>
        <v/>
      </c>
    </row>
    <row r="3555" spans="164:167">
      <c r="FH3555" s="29" t="str">
        <f t="shared" si="110"/>
        <v/>
      </c>
      <c r="FJ3555" s="36" t="str">
        <f>IF($FH3555="","",SUM($FN3555:$FN$7000))</f>
        <v/>
      </c>
      <c r="FK3555" s="36" t="str">
        <f>IF($FH3555="","",SUM($FN3555:$FN$7000))</f>
        <v/>
      </c>
    </row>
    <row r="3556" spans="164:167">
      <c r="FH3556" s="29" t="str">
        <f t="shared" si="110"/>
        <v/>
      </c>
      <c r="FJ3556" s="36" t="str">
        <f>IF($FH3556="","",SUM($FN3556:$FN$7000))</f>
        <v/>
      </c>
      <c r="FK3556" s="36" t="str">
        <f>IF($FH3556="","",SUM($FN3556:$FN$7000))</f>
        <v/>
      </c>
    </row>
    <row r="3557" spans="164:167">
      <c r="FH3557" s="29" t="str">
        <f t="shared" si="110"/>
        <v/>
      </c>
      <c r="FJ3557" s="36" t="str">
        <f>IF($FH3557="","",SUM($FN3557:$FN$7000))</f>
        <v/>
      </c>
      <c r="FK3557" s="36" t="str">
        <f>IF($FH3557="","",SUM($FN3557:$FN$7000))</f>
        <v/>
      </c>
    </row>
    <row r="3558" spans="164:167">
      <c r="FH3558" s="29" t="str">
        <f t="shared" si="110"/>
        <v/>
      </c>
      <c r="FJ3558" s="36" t="str">
        <f>IF($FH3558="","",SUM($FN3558:$FN$7000))</f>
        <v/>
      </c>
      <c r="FK3558" s="36" t="str">
        <f>IF($FH3558="","",SUM($FN3558:$FN$7000))</f>
        <v/>
      </c>
    </row>
    <row r="3559" spans="164:167">
      <c r="FH3559" s="29" t="str">
        <f t="shared" si="110"/>
        <v/>
      </c>
      <c r="FJ3559" s="36" t="str">
        <f>IF($FH3559="","",SUM($FN3559:$FN$7000))</f>
        <v/>
      </c>
      <c r="FK3559" s="36" t="str">
        <f>IF($FH3559="","",SUM($FN3559:$FN$7000))</f>
        <v/>
      </c>
    </row>
    <row r="3560" spans="164:167">
      <c r="FH3560" s="29" t="str">
        <f t="shared" si="110"/>
        <v/>
      </c>
      <c r="FJ3560" s="36" t="str">
        <f>IF($FH3560="","",SUM($FN3560:$FN$7000))</f>
        <v/>
      </c>
      <c r="FK3560" s="36" t="str">
        <f>IF($FH3560="","",SUM($FN3560:$FN$7000))</f>
        <v/>
      </c>
    </row>
    <row r="3561" spans="164:167">
      <c r="FH3561" s="29" t="str">
        <f t="shared" si="110"/>
        <v/>
      </c>
      <c r="FJ3561" s="36" t="str">
        <f>IF($FH3561="","",SUM($FN3561:$FN$7000))</f>
        <v/>
      </c>
      <c r="FK3561" s="36" t="str">
        <f>IF($FH3561="","",SUM($FN3561:$FN$7000))</f>
        <v/>
      </c>
    </row>
    <row r="3562" spans="164:167">
      <c r="FH3562" s="29" t="str">
        <f t="shared" si="110"/>
        <v/>
      </c>
      <c r="FJ3562" s="36" t="str">
        <f>IF($FH3562="","",SUM($FN3562:$FN$7000))</f>
        <v/>
      </c>
      <c r="FK3562" s="36" t="str">
        <f>IF($FH3562="","",SUM($FN3562:$FN$7000))</f>
        <v/>
      </c>
    </row>
    <row r="3563" spans="164:167">
      <c r="FH3563" s="29" t="str">
        <f t="shared" si="110"/>
        <v/>
      </c>
      <c r="FJ3563" s="36" t="str">
        <f>IF($FH3563="","",SUM($FN3563:$FN$7000))</f>
        <v/>
      </c>
      <c r="FK3563" s="36" t="str">
        <f>IF($FH3563="","",SUM($FN3563:$FN$7000))</f>
        <v/>
      </c>
    </row>
    <row r="3564" spans="164:167">
      <c r="FH3564" s="29" t="str">
        <f t="shared" si="110"/>
        <v/>
      </c>
      <c r="FJ3564" s="36" t="str">
        <f>IF($FH3564="","",SUM($FN3564:$FN$7000))</f>
        <v/>
      </c>
      <c r="FK3564" s="36" t="str">
        <f>IF($FH3564="","",SUM($FN3564:$FN$7000))</f>
        <v/>
      </c>
    </row>
    <row r="3565" spans="164:167">
      <c r="FH3565" s="29" t="str">
        <f t="shared" si="110"/>
        <v/>
      </c>
      <c r="FJ3565" s="36" t="str">
        <f>IF($FH3565="","",SUM($FN3565:$FN$7000))</f>
        <v/>
      </c>
      <c r="FK3565" s="36" t="str">
        <f>IF($FH3565="","",SUM($FN3565:$FN$7000))</f>
        <v/>
      </c>
    </row>
    <row r="3566" spans="164:167">
      <c r="FH3566" s="29" t="str">
        <f t="shared" si="110"/>
        <v/>
      </c>
      <c r="FJ3566" s="36" t="str">
        <f>IF($FH3566="","",SUM($FN3566:$FN$7000))</f>
        <v/>
      </c>
      <c r="FK3566" s="36" t="str">
        <f>IF($FH3566="","",SUM($FN3566:$FN$7000))</f>
        <v/>
      </c>
    </row>
    <row r="3567" spans="164:167">
      <c r="FH3567" s="29" t="str">
        <f t="shared" si="110"/>
        <v/>
      </c>
      <c r="FJ3567" s="36" t="str">
        <f>IF($FH3567="","",SUM($FN3567:$FN$7000))</f>
        <v/>
      </c>
      <c r="FK3567" s="36" t="str">
        <f>IF($FH3567="","",SUM($FN3567:$FN$7000))</f>
        <v/>
      </c>
    </row>
    <row r="3568" spans="164:167">
      <c r="FH3568" s="29" t="str">
        <f t="shared" si="110"/>
        <v/>
      </c>
      <c r="FJ3568" s="36" t="str">
        <f>IF($FH3568="","",SUM($FN3568:$FN$7000))</f>
        <v/>
      </c>
      <c r="FK3568" s="36" t="str">
        <f>IF($FH3568="","",SUM($FN3568:$FN$7000))</f>
        <v/>
      </c>
    </row>
    <row r="3569" spans="164:167">
      <c r="FH3569" s="29" t="str">
        <f t="shared" si="110"/>
        <v/>
      </c>
      <c r="FJ3569" s="36" t="str">
        <f>IF($FH3569="","",SUM($FN3569:$FN$7000))</f>
        <v/>
      </c>
      <c r="FK3569" s="36" t="str">
        <f>IF($FH3569="","",SUM($FN3569:$FN$7000))</f>
        <v/>
      </c>
    </row>
    <row r="3570" spans="164:167">
      <c r="FH3570" s="29" t="str">
        <f t="shared" si="110"/>
        <v/>
      </c>
      <c r="FJ3570" s="36" t="str">
        <f>IF($FH3570="","",SUM($FN3570:$FN$7000))</f>
        <v/>
      </c>
      <c r="FK3570" s="36" t="str">
        <f>IF($FH3570="","",SUM($FN3570:$FN$7000))</f>
        <v/>
      </c>
    </row>
    <row r="3571" spans="164:167">
      <c r="FH3571" s="29" t="str">
        <f t="shared" si="110"/>
        <v/>
      </c>
      <c r="FJ3571" s="36" t="str">
        <f>IF($FH3571="","",SUM($FN3571:$FN$7000))</f>
        <v/>
      </c>
      <c r="FK3571" s="36" t="str">
        <f>IF($FH3571="","",SUM($FN3571:$FN$7000))</f>
        <v/>
      </c>
    </row>
    <row r="3572" spans="164:167">
      <c r="FH3572" s="29" t="str">
        <f t="shared" si="110"/>
        <v/>
      </c>
      <c r="FJ3572" s="36" t="str">
        <f>IF($FH3572="","",SUM($FN3572:$FN$7000))</f>
        <v/>
      </c>
      <c r="FK3572" s="36" t="str">
        <f>IF($FH3572="","",SUM($FN3572:$FN$7000))</f>
        <v/>
      </c>
    </row>
    <row r="3573" spans="164:167">
      <c r="FH3573" s="29" t="str">
        <f t="shared" si="110"/>
        <v/>
      </c>
      <c r="FJ3573" s="36" t="str">
        <f>IF($FH3573="","",SUM($FN3573:$FN$7000))</f>
        <v/>
      </c>
      <c r="FK3573" s="36" t="str">
        <f>IF($FH3573="","",SUM($FN3573:$FN$7000))</f>
        <v/>
      </c>
    </row>
    <row r="3574" spans="164:167">
      <c r="FH3574" s="29" t="str">
        <f t="shared" si="110"/>
        <v/>
      </c>
      <c r="FJ3574" s="36" t="str">
        <f>IF($FH3574="","",SUM($FN3574:$FN$7000))</f>
        <v/>
      </c>
      <c r="FK3574" s="36" t="str">
        <f>IF($FH3574="","",SUM($FN3574:$FN$7000))</f>
        <v/>
      </c>
    </row>
    <row r="3575" spans="164:167">
      <c r="FH3575" s="29" t="str">
        <f t="shared" si="110"/>
        <v/>
      </c>
      <c r="FJ3575" s="36" t="str">
        <f>IF($FH3575="","",SUM($FN3575:$FN$7000))</f>
        <v/>
      </c>
      <c r="FK3575" s="36" t="str">
        <f>IF($FH3575="","",SUM($FN3575:$FN$7000))</f>
        <v/>
      </c>
    </row>
    <row r="3576" spans="164:167">
      <c r="FH3576" s="29" t="str">
        <f t="shared" si="110"/>
        <v/>
      </c>
      <c r="FJ3576" s="36" t="str">
        <f>IF($FH3576="","",SUM($FN3576:$FN$7000))</f>
        <v/>
      </c>
      <c r="FK3576" s="36" t="str">
        <f>IF($FH3576="","",SUM($FN3576:$FN$7000))</f>
        <v/>
      </c>
    </row>
    <row r="3577" spans="164:167">
      <c r="FH3577" s="29" t="str">
        <f t="shared" si="110"/>
        <v/>
      </c>
      <c r="FJ3577" s="36" t="str">
        <f>IF($FH3577="","",SUM($FN3577:$FN$7000))</f>
        <v/>
      </c>
      <c r="FK3577" s="36" t="str">
        <f>IF($FH3577="","",SUM($FN3577:$FN$7000))</f>
        <v/>
      </c>
    </row>
    <row r="3578" spans="164:167">
      <c r="FH3578" s="29" t="str">
        <f t="shared" si="110"/>
        <v/>
      </c>
      <c r="FJ3578" s="36" t="str">
        <f>IF($FH3578="","",SUM($FN3578:$FN$7000))</f>
        <v/>
      </c>
      <c r="FK3578" s="36" t="str">
        <f>IF($FH3578="","",SUM($FN3578:$FN$7000))</f>
        <v/>
      </c>
    </row>
    <row r="3579" spans="164:167">
      <c r="FH3579" s="29" t="str">
        <f t="shared" si="110"/>
        <v/>
      </c>
      <c r="FJ3579" s="36" t="str">
        <f>IF($FH3579="","",SUM($FN3579:$FN$7000))</f>
        <v/>
      </c>
      <c r="FK3579" s="36" t="str">
        <f>IF($FH3579="","",SUM($FN3579:$FN$7000))</f>
        <v/>
      </c>
    </row>
    <row r="3580" spans="164:167">
      <c r="FH3580" s="29" t="str">
        <f t="shared" si="110"/>
        <v/>
      </c>
      <c r="FJ3580" s="36" t="str">
        <f>IF($FH3580="","",SUM($FN3580:$FN$7000))</f>
        <v/>
      </c>
      <c r="FK3580" s="36" t="str">
        <f>IF($FH3580="","",SUM($FN3580:$FN$7000))</f>
        <v/>
      </c>
    </row>
    <row r="3581" spans="164:167">
      <c r="FH3581" s="29" t="str">
        <f t="shared" si="110"/>
        <v/>
      </c>
      <c r="FJ3581" s="36" t="str">
        <f>IF($FH3581="","",SUM($FN3581:$FN$7000))</f>
        <v/>
      </c>
      <c r="FK3581" s="36" t="str">
        <f>IF($FH3581="","",SUM($FN3581:$FN$7000))</f>
        <v/>
      </c>
    </row>
    <row r="3582" spans="164:167">
      <c r="FH3582" s="29" t="str">
        <f t="shared" si="110"/>
        <v/>
      </c>
      <c r="FJ3582" s="36" t="str">
        <f>IF($FH3582="","",SUM($FN3582:$FN$7000))</f>
        <v/>
      </c>
      <c r="FK3582" s="36" t="str">
        <f>IF($FH3582="","",SUM($FN3582:$FN$7000))</f>
        <v/>
      </c>
    </row>
    <row r="3583" spans="164:167">
      <c r="FH3583" s="29" t="str">
        <f t="shared" si="110"/>
        <v/>
      </c>
      <c r="FJ3583" s="36" t="str">
        <f>IF($FH3583="","",SUM($FN3583:$FN$7000))</f>
        <v/>
      </c>
      <c r="FK3583" s="36" t="str">
        <f>IF($FH3583="","",SUM($FN3583:$FN$7000))</f>
        <v/>
      </c>
    </row>
    <row r="3584" spans="164:167">
      <c r="FH3584" s="29" t="str">
        <f t="shared" si="110"/>
        <v/>
      </c>
      <c r="FJ3584" s="36" t="str">
        <f>IF($FH3584="","",SUM($FN3584:$FN$7000))</f>
        <v/>
      </c>
      <c r="FK3584" s="36" t="str">
        <f>IF($FH3584="","",SUM($FN3584:$FN$7000))</f>
        <v/>
      </c>
    </row>
    <row r="3585" spans="164:167">
      <c r="FH3585" s="29" t="str">
        <f t="shared" si="110"/>
        <v/>
      </c>
      <c r="FJ3585" s="36" t="str">
        <f>IF($FH3585="","",SUM($FN3585:$FN$7000))</f>
        <v/>
      </c>
      <c r="FK3585" s="36" t="str">
        <f>IF($FH3585="","",SUM($FN3585:$FN$7000))</f>
        <v/>
      </c>
    </row>
    <row r="3586" spans="164:167">
      <c r="FH3586" s="29" t="str">
        <f t="shared" si="110"/>
        <v/>
      </c>
      <c r="FJ3586" s="36" t="str">
        <f>IF($FH3586="","",SUM($FN3586:$FN$7000))</f>
        <v/>
      </c>
      <c r="FK3586" s="36" t="str">
        <f>IF($FH3586="","",SUM($FN3586:$FN$7000))</f>
        <v/>
      </c>
    </row>
    <row r="3587" spans="164:167">
      <c r="FH3587" s="29" t="str">
        <f t="shared" si="110"/>
        <v/>
      </c>
      <c r="FJ3587" s="36" t="str">
        <f>IF($FH3587="","",SUM($FN3587:$FN$7000))</f>
        <v/>
      </c>
      <c r="FK3587" s="36" t="str">
        <f>IF($FH3587="","",SUM($FN3587:$FN$7000))</f>
        <v/>
      </c>
    </row>
    <row r="3588" spans="164:167">
      <c r="FH3588" s="29" t="str">
        <f t="shared" si="110"/>
        <v/>
      </c>
      <c r="FJ3588" s="36" t="str">
        <f>IF($FH3588="","",SUM($FN3588:$FN$7000))</f>
        <v/>
      </c>
      <c r="FK3588" s="36" t="str">
        <f>IF($FH3588="","",SUM($FN3588:$FN$7000))</f>
        <v/>
      </c>
    </row>
    <row r="3589" spans="164:167">
      <c r="FH3589" s="29" t="str">
        <f t="shared" si="110"/>
        <v/>
      </c>
      <c r="FJ3589" s="36" t="str">
        <f>IF($FH3589="","",SUM($FN3589:$FN$7000))</f>
        <v/>
      </c>
      <c r="FK3589" s="36" t="str">
        <f>IF($FH3589="","",SUM($FN3589:$FN$7000))</f>
        <v/>
      </c>
    </row>
    <row r="3590" spans="164:167">
      <c r="FH3590" s="29" t="str">
        <f t="shared" si="110"/>
        <v/>
      </c>
      <c r="FJ3590" s="36" t="str">
        <f>IF($FH3590="","",SUM($FN3590:$FN$7000))</f>
        <v/>
      </c>
      <c r="FK3590" s="36" t="str">
        <f>IF($FH3590="","",SUM($FN3590:$FN$7000))</f>
        <v/>
      </c>
    </row>
    <row r="3591" spans="164:167">
      <c r="FH3591" s="29" t="str">
        <f t="shared" si="110"/>
        <v/>
      </c>
      <c r="FJ3591" s="36" t="str">
        <f>IF($FH3591="","",SUM($FN3591:$FN$7000))</f>
        <v/>
      </c>
      <c r="FK3591" s="36" t="str">
        <f>IF($FH3591="","",SUM($FN3591:$FN$7000))</f>
        <v/>
      </c>
    </row>
    <row r="3592" spans="164:167">
      <c r="FH3592" s="29" t="str">
        <f t="shared" si="110"/>
        <v/>
      </c>
      <c r="FJ3592" s="36" t="str">
        <f>IF($FH3592="","",SUM($FN3592:$FN$7000))</f>
        <v/>
      </c>
      <c r="FK3592" s="36" t="str">
        <f>IF($FH3592="","",SUM($FN3592:$FN$7000))</f>
        <v/>
      </c>
    </row>
    <row r="3593" spans="164:167">
      <c r="FH3593" s="29" t="str">
        <f t="shared" si="110"/>
        <v/>
      </c>
      <c r="FJ3593" s="36" t="str">
        <f>IF($FH3593="","",SUM($FN3593:$FN$7000))</f>
        <v/>
      </c>
      <c r="FK3593" s="36" t="str">
        <f>IF($FH3593="","",SUM($FN3593:$FN$7000))</f>
        <v/>
      </c>
    </row>
    <row r="3594" spans="164:167">
      <c r="FH3594" s="29" t="str">
        <f t="shared" si="110"/>
        <v/>
      </c>
      <c r="FJ3594" s="36" t="str">
        <f>IF($FH3594="","",SUM($FN3594:$FN$7000))</f>
        <v/>
      </c>
      <c r="FK3594" s="36" t="str">
        <f>IF($FH3594="","",SUM($FN3594:$FN$7000))</f>
        <v/>
      </c>
    </row>
    <row r="3595" spans="164:167">
      <c r="FH3595" s="29" t="str">
        <f t="shared" ref="FH3595:FH3658" si="111">IF(FL3595="","",FL3595)</f>
        <v/>
      </c>
      <c r="FJ3595" s="36" t="str">
        <f>IF($FH3595="","",SUM($FN3595:$FN$7000))</f>
        <v/>
      </c>
      <c r="FK3595" s="36" t="str">
        <f>IF($FH3595="","",SUM($FN3595:$FN$7000))</f>
        <v/>
      </c>
    </row>
    <row r="3596" spans="164:167">
      <c r="FH3596" s="29" t="str">
        <f t="shared" si="111"/>
        <v/>
      </c>
      <c r="FJ3596" s="36" t="str">
        <f>IF($FH3596="","",SUM($FN3596:$FN$7000))</f>
        <v/>
      </c>
      <c r="FK3596" s="36" t="str">
        <f>IF($FH3596="","",SUM($FN3596:$FN$7000))</f>
        <v/>
      </c>
    </row>
    <row r="3597" spans="164:167">
      <c r="FH3597" s="29" t="str">
        <f t="shared" si="111"/>
        <v/>
      </c>
      <c r="FJ3597" s="36" t="str">
        <f>IF($FH3597="","",SUM($FN3597:$FN$7000))</f>
        <v/>
      </c>
      <c r="FK3597" s="36" t="str">
        <f>IF($FH3597="","",SUM($FN3597:$FN$7000))</f>
        <v/>
      </c>
    </row>
    <row r="3598" spans="164:167">
      <c r="FH3598" s="29" t="str">
        <f t="shared" si="111"/>
        <v/>
      </c>
      <c r="FJ3598" s="36" t="str">
        <f>IF($FH3598="","",SUM($FN3598:$FN$7000))</f>
        <v/>
      </c>
      <c r="FK3598" s="36" t="str">
        <f>IF($FH3598="","",SUM($FN3598:$FN$7000))</f>
        <v/>
      </c>
    </row>
    <row r="3599" spans="164:167">
      <c r="FH3599" s="29" t="str">
        <f t="shared" si="111"/>
        <v/>
      </c>
      <c r="FJ3599" s="36" t="str">
        <f>IF($FH3599="","",SUM($FN3599:$FN$7000))</f>
        <v/>
      </c>
      <c r="FK3599" s="36" t="str">
        <f>IF($FH3599="","",SUM($FN3599:$FN$7000))</f>
        <v/>
      </c>
    </row>
    <row r="3600" spans="164:167">
      <c r="FH3600" s="29" t="str">
        <f t="shared" si="111"/>
        <v/>
      </c>
      <c r="FJ3600" s="36" t="str">
        <f>IF($FH3600="","",SUM($FN3600:$FN$7000))</f>
        <v/>
      </c>
      <c r="FK3600" s="36" t="str">
        <f>IF($FH3600="","",SUM($FN3600:$FN$7000))</f>
        <v/>
      </c>
    </row>
    <row r="3601" spans="164:167">
      <c r="FH3601" s="29" t="str">
        <f t="shared" si="111"/>
        <v/>
      </c>
      <c r="FJ3601" s="36" t="str">
        <f>IF($FH3601="","",SUM($FN3601:$FN$7000))</f>
        <v/>
      </c>
      <c r="FK3601" s="36" t="str">
        <f>IF($FH3601="","",SUM($FN3601:$FN$7000))</f>
        <v/>
      </c>
    </row>
    <row r="3602" spans="164:167">
      <c r="FH3602" s="29" t="str">
        <f t="shared" si="111"/>
        <v/>
      </c>
      <c r="FJ3602" s="36" t="str">
        <f>IF($FH3602="","",SUM($FN3602:$FN$7000))</f>
        <v/>
      </c>
      <c r="FK3602" s="36" t="str">
        <f>IF($FH3602="","",SUM($FN3602:$FN$7000))</f>
        <v/>
      </c>
    </row>
    <row r="3603" spans="164:167">
      <c r="FH3603" s="29" t="str">
        <f t="shared" si="111"/>
        <v/>
      </c>
      <c r="FJ3603" s="36" t="str">
        <f>IF($FH3603="","",SUM($FN3603:$FN$7000))</f>
        <v/>
      </c>
      <c r="FK3603" s="36" t="str">
        <f>IF($FH3603="","",SUM($FN3603:$FN$7000))</f>
        <v/>
      </c>
    </row>
    <row r="3604" spans="164:167">
      <c r="FH3604" s="29" t="str">
        <f t="shared" si="111"/>
        <v/>
      </c>
      <c r="FJ3604" s="36" t="str">
        <f>IF($FH3604="","",SUM($FN3604:$FN$7000))</f>
        <v/>
      </c>
      <c r="FK3604" s="36" t="str">
        <f>IF($FH3604="","",SUM($FN3604:$FN$7000))</f>
        <v/>
      </c>
    </row>
    <row r="3605" spans="164:167">
      <c r="FH3605" s="29" t="str">
        <f t="shared" si="111"/>
        <v/>
      </c>
      <c r="FJ3605" s="36" t="str">
        <f>IF($FH3605="","",SUM($FN3605:$FN$7000))</f>
        <v/>
      </c>
      <c r="FK3605" s="36" t="str">
        <f>IF($FH3605="","",SUM($FN3605:$FN$7000))</f>
        <v/>
      </c>
    </row>
    <row r="3606" spans="164:167">
      <c r="FH3606" s="29" t="str">
        <f t="shared" si="111"/>
        <v/>
      </c>
      <c r="FJ3606" s="36" t="str">
        <f>IF($FH3606="","",SUM($FN3606:$FN$7000))</f>
        <v/>
      </c>
      <c r="FK3606" s="36" t="str">
        <f>IF($FH3606="","",SUM($FN3606:$FN$7000))</f>
        <v/>
      </c>
    </row>
    <row r="3607" spans="164:167">
      <c r="FH3607" s="29" t="str">
        <f t="shared" si="111"/>
        <v/>
      </c>
      <c r="FJ3607" s="36" t="str">
        <f>IF($FH3607="","",SUM($FN3607:$FN$7000))</f>
        <v/>
      </c>
      <c r="FK3607" s="36" t="str">
        <f>IF($FH3607="","",SUM($FN3607:$FN$7000))</f>
        <v/>
      </c>
    </row>
    <row r="3608" spans="164:167">
      <c r="FH3608" s="29" t="str">
        <f t="shared" si="111"/>
        <v/>
      </c>
      <c r="FJ3608" s="36" t="str">
        <f>IF($FH3608="","",SUM($FN3608:$FN$7000))</f>
        <v/>
      </c>
      <c r="FK3608" s="36" t="str">
        <f>IF($FH3608="","",SUM($FN3608:$FN$7000))</f>
        <v/>
      </c>
    </row>
    <row r="3609" spans="164:167">
      <c r="FH3609" s="29" t="str">
        <f t="shared" si="111"/>
        <v/>
      </c>
      <c r="FJ3609" s="36" t="str">
        <f>IF($FH3609="","",SUM($FN3609:$FN$7000))</f>
        <v/>
      </c>
      <c r="FK3609" s="36" t="str">
        <f>IF($FH3609="","",SUM($FN3609:$FN$7000))</f>
        <v/>
      </c>
    </row>
    <row r="3610" spans="164:167">
      <c r="FH3610" s="29" t="str">
        <f t="shared" si="111"/>
        <v/>
      </c>
      <c r="FJ3610" s="36" t="str">
        <f>IF($FH3610="","",SUM($FN3610:$FN$7000))</f>
        <v/>
      </c>
      <c r="FK3610" s="36" t="str">
        <f>IF($FH3610="","",SUM($FN3610:$FN$7000))</f>
        <v/>
      </c>
    </row>
    <row r="3611" spans="164:167">
      <c r="FH3611" s="29" t="str">
        <f t="shared" si="111"/>
        <v/>
      </c>
      <c r="FJ3611" s="36" t="str">
        <f>IF($FH3611="","",SUM($FN3611:$FN$7000))</f>
        <v/>
      </c>
      <c r="FK3611" s="36" t="str">
        <f>IF($FH3611="","",SUM($FN3611:$FN$7000))</f>
        <v/>
      </c>
    </row>
    <row r="3612" spans="164:167">
      <c r="FH3612" s="29" t="str">
        <f t="shared" si="111"/>
        <v/>
      </c>
      <c r="FJ3612" s="36" t="str">
        <f>IF($FH3612="","",SUM($FN3612:$FN$7000))</f>
        <v/>
      </c>
      <c r="FK3612" s="36" t="str">
        <f>IF($FH3612="","",SUM($FN3612:$FN$7000))</f>
        <v/>
      </c>
    </row>
    <row r="3613" spans="164:167">
      <c r="FH3613" s="29" t="str">
        <f t="shared" si="111"/>
        <v/>
      </c>
      <c r="FJ3613" s="36" t="str">
        <f>IF($FH3613="","",SUM($FN3613:$FN$7000))</f>
        <v/>
      </c>
      <c r="FK3613" s="36" t="str">
        <f>IF($FH3613="","",SUM($FN3613:$FN$7000))</f>
        <v/>
      </c>
    </row>
    <row r="3614" spans="164:167">
      <c r="FH3614" s="29" t="str">
        <f t="shared" si="111"/>
        <v/>
      </c>
      <c r="FJ3614" s="36" t="str">
        <f>IF($FH3614="","",SUM($FN3614:$FN$7000))</f>
        <v/>
      </c>
      <c r="FK3614" s="36" t="str">
        <f>IF($FH3614="","",SUM($FN3614:$FN$7000))</f>
        <v/>
      </c>
    </row>
    <row r="3615" spans="164:167">
      <c r="FH3615" s="29" t="str">
        <f t="shared" si="111"/>
        <v/>
      </c>
      <c r="FJ3615" s="36" t="str">
        <f>IF($FH3615="","",SUM($FN3615:$FN$7000))</f>
        <v/>
      </c>
      <c r="FK3615" s="36" t="str">
        <f>IF($FH3615="","",SUM($FN3615:$FN$7000))</f>
        <v/>
      </c>
    </row>
    <row r="3616" spans="164:167">
      <c r="FH3616" s="29" t="str">
        <f t="shared" si="111"/>
        <v/>
      </c>
      <c r="FJ3616" s="36" t="str">
        <f>IF($FH3616="","",SUM($FN3616:$FN$7000))</f>
        <v/>
      </c>
      <c r="FK3616" s="36" t="str">
        <f>IF($FH3616="","",SUM($FN3616:$FN$7000))</f>
        <v/>
      </c>
    </row>
    <row r="3617" spans="164:167">
      <c r="FH3617" s="29" t="str">
        <f t="shared" si="111"/>
        <v/>
      </c>
      <c r="FJ3617" s="36" t="str">
        <f>IF($FH3617="","",SUM($FN3617:$FN$7000))</f>
        <v/>
      </c>
      <c r="FK3617" s="36" t="str">
        <f>IF($FH3617="","",SUM($FN3617:$FN$7000))</f>
        <v/>
      </c>
    </row>
    <row r="3618" spans="164:167">
      <c r="FH3618" s="29" t="str">
        <f t="shared" si="111"/>
        <v/>
      </c>
      <c r="FJ3618" s="36" t="str">
        <f>IF($FH3618="","",SUM($FN3618:$FN$7000))</f>
        <v/>
      </c>
      <c r="FK3618" s="36" t="str">
        <f>IF($FH3618="","",SUM($FN3618:$FN$7000))</f>
        <v/>
      </c>
    </row>
    <row r="3619" spans="164:167">
      <c r="FH3619" s="29" t="str">
        <f t="shared" si="111"/>
        <v/>
      </c>
      <c r="FJ3619" s="36" t="str">
        <f>IF($FH3619="","",SUM($FN3619:$FN$7000))</f>
        <v/>
      </c>
      <c r="FK3619" s="36" t="str">
        <f>IF($FH3619="","",SUM($FN3619:$FN$7000))</f>
        <v/>
      </c>
    </row>
    <row r="3620" spans="164:167">
      <c r="FH3620" s="29" t="str">
        <f t="shared" si="111"/>
        <v/>
      </c>
      <c r="FJ3620" s="36" t="str">
        <f>IF($FH3620="","",SUM($FN3620:$FN$7000))</f>
        <v/>
      </c>
      <c r="FK3620" s="36" t="str">
        <f>IF($FH3620="","",SUM($FN3620:$FN$7000))</f>
        <v/>
      </c>
    </row>
    <row r="3621" spans="164:167">
      <c r="FH3621" s="29" t="str">
        <f t="shared" si="111"/>
        <v/>
      </c>
      <c r="FJ3621" s="36" t="str">
        <f>IF($FH3621="","",SUM($FN3621:$FN$7000))</f>
        <v/>
      </c>
      <c r="FK3621" s="36" t="str">
        <f>IF($FH3621="","",SUM($FN3621:$FN$7000))</f>
        <v/>
      </c>
    </row>
    <row r="3622" spans="164:167">
      <c r="FH3622" s="29" t="str">
        <f t="shared" si="111"/>
        <v/>
      </c>
      <c r="FJ3622" s="36" t="str">
        <f>IF($FH3622="","",SUM($FN3622:$FN$7000))</f>
        <v/>
      </c>
      <c r="FK3622" s="36" t="str">
        <f>IF($FH3622="","",SUM($FN3622:$FN$7000))</f>
        <v/>
      </c>
    </row>
    <row r="3623" spans="164:167">
      <c r="FH3623" s="29" t="str">
        <f t="shared" si="111"/>
        <v/>
      </c>
      <c r="FJ3623" s="36" t="str">
        <f>IF($FH3623="","",SUM($FN3623:$FN$7000))</f>
        <v/>
      </c>
      <c r="FK3623" s="36" t="str">
        <f>IF($FH3623="","",SUM($FN3623:$FN$7000))</f>
        <v/>
      </c>
    </row>
    <row r="3624" spans="164:167">
      <c r="FH3624" s="29" t="str">
        <f t="shared" si="111"/>
        <v/>
      </c>
      <c r="FJ3624" s="36" t="str">
        <f>IF($FH3624="","",SUM($FN3624:$FN$7000))</f>
        <v/>
      </c>
      <c r="FK3624" s="36" t="str">
        <f>IF($FH3624="","",SUM($FN3624:$FN$7000))</f>
        <v/>
      </c>
    </row>
    <row r="3625" spans="164:167">
      <c r="FH3625" s="29" t="str">
        <f t="shared" si="111"/>
        <v/>
      </c>
      <c r="FJ3625" s="36" t="str">
        <f>IF($FH3625="","",SUM($FN3625:$FN$7000))</f>
        <v/>
      </c>
      <c r="FK3625" s="36" t="str">
        <f>IF($FH3625="","",SUM($FN3625:$FN$7000))</f>
        <v/>
      </c>
    </row>
    <row r="3626" spans="164:167">
      <c r="FH3626" s="29" t="str">
        <f t="shared" si="111"/>
        <v/>
      </c>
      <c r="FJ3626" s="36" t="str">
        <f>IF($FH3626="","",SUM($FN3626:$FN$7000))</f>
        <v/>
      </c>
      <c r="FK3626" s="36" t="str">
        <f>IF($FH3626="","",SUM($FN3626:$FN$7000))</f>
        <v/>
      </c>
    </row>
    <row r="3627" spans="164:167">
      <c r="FH3627" s="29" t="str">
        <f t="shared" si="111"/>
        <v/>
      </c>
      <c r="FJ3627" s="36" t="str">
        <f>IF($FH3627="","",SUM($FN3627:$FN$7000))</f>
        <v/>
      </c>
      <c r="FK3627" s="36" t="str">
        <f>IF($FH3627="","",SUM($FN3627:$FN$7000))</f>
        <v/>
      </c>
    </row>
    <row r="3628" spans="164:167">
      <c r="FH3628" s="29" t="str">
        <f t="shared" si="111"/>
        <v/>
      </c>
      <c r="FJ3628" s="36" t="str">
        <f>IF($FH3628="","",SUM($FN3628:$FN$7000))</f>
        <v/>
      </c>
      <c r="FK3628" s="36" t="str">
        <f>IF($FH3628="","",SUM($FN3628:$FN$7000))</f>
        <v/>
      </c>
    </row>
    <row r="3629" spans="164:167">
      <c r="FH3629" s="29" t="str">
        <f t="shared" si="111"/>
        <v/>
      </c>
      <c r="FJ3629" s="36" t="str">
        <f>IF($FH3629="","",SUM($FN3629:$FN$7000))</f>
        <v/>
      </c>
      <c r="FK3629" s="36" t="str">
        <f>IF($FH3629="","",SUM($FN3629:$FN$7000))</f>
        <v/>
      </c>
    </row>
    <row r="3630" spans="164:167">
      <c r="FH3630" s="29" t="str">
        <f t="shared" si="111"/>
        <v/>
      </c>
      <c r="FJ3630" s="36" t="str">
        <f>IF($FH3630="","",SUM($FN3630:$FN$7000))</f>
        <v/>
      </c>
      <c r="FK3630" s="36" t="str">
        <f>IF($FH3630="","",SUM($FN3630:$FN$7000))</f>
        <v/>
      </c>
    </row>
    <row r="3631" spans="164:167">
      <c r="FH3631" s="29" t="str">
        <f t="shared" si="111"/>
        <v/>
      </c>
      <c r="FJ3631" s="36" t="str">
        <f>IF($FH3631="","",SUM($FN3631:$FN$7000))</f>
        <v/>
      </c>
      <c r="FK3631" s="36" t="str">
        <f>IF($FH3631="","",SUM($FN3631:$FN$7000))</f>
        <v/>
      </c>
    </row>
    <row r="3632" spans="164:167">
      <c r="FH3632" s="29" t="str">
        <f t="shared" si="111"/>
        <v/>
      </c>
      <c r="FJ3632" s="36" t="str">
        <f>IF($FH3632="","",SUM($FN3632:$FN$7000))</f>
        <v/>
      </c>
      <c r="FK3632" s="36" t="str">
        <f>IF($FH3632="","",SUM($FN3632:$FN$7000))</f>
        <v/>
      </c>
    </row>
    <row r="3633" spans="164:167">
      <c r="FH3633" s="29" t="str">
        <f t="shared" si="111"/>
        <v/>
      </c>
      <c r="FJ3633" s="36" t="str">
        <f>IF($FH3633="","",SUM($FN3633:$FN$7000))</f>
        <v/>
      </c>
      <c r="FK3633" s="36" t="str">
        <f>IF($FH3633="","",SUM($FN3633:$FN$7000))</f>
        <v/>
      </c>
    </row>
    <row r="3634" spans="164:167">
      <c r="FH3634" s="29" t="str">
        <f t="shared" si="111"/>
        <v/>
      </c>
      <c r="FJ3634" s="36" t="str">
        <f>IF($FH3634="","",SUM($FN3634:$FN$7000))</f>
        <v/>
      </c>
      <c r="FK3634" s="36" t="str">
        <f>IF($FH3634="","",SUM($FN3634:$FN$7000))</f>
        <v/>
      </c>
    </row>
    <row r="3635" spans="164:167">
      <c r="FH3635" s="29" t="str">
        <f t="shared" si="111"/>
        <v/>
      </c>
      <c r="FJ3635" s="36" t="str">
        <f>IF($FH3635="","",SUM($FN3635:$FN$7000))</f>
        <v/>
      </c>
      <c r="FK3635" s="36" t="str">
        <f>IF($FH3635="","",SUM($FN3635:$FN$7000))</f>
        <v/>
      </c>
    </row>
    <row r="3636" spans="164:167">
      <c r="FH3636" s="29" t="str">
        <f t="shared" si="111"/>
        <v/>
      </c>
      <c r="FJ3636" s="36" t="str">
        <f>IF($FH3636="","",SUM($FN3636:$FN$7000))</f>
        <v/>
      </c>
      <c r="FK3636" s="36" t="str">
        <f>IF($FH3636="","",SUM($FN3636:$FN$7000))</f>
        <v/>
      </c>
    </row>
    <row r="3637" spans="164:167">
      <c r="FH3637" s="29" t="str">
        <f t="shared" si="111"/>
        <v/>
      </c>
      <c r="FJ3637" s="36" t="str">
        <f>IF($FH3637="","",SUM($FN3637:$FN$7000))</f>
        <v/>
      </c>
      <c r="FK3637" s="36" t="str">
        <f>IF($FH3637="","",SUM($FN3637:$FN$7000))</f>
        <v/>
      </c>
    </row>
    <row r="3638" spans="164:167">
      <c r="FH3638" s="29" t="str">
        <f t="shared" si="111"/>
        <v/>
      </c>
      <c r="FJ3638" s="36" t="str">
        <f>IF($FH3638="","",SUM($FN3638:$FN$7000))</f>
        <v/>
      </c>
      <c r="FK3638" s="36" t="str">
        <f>IF($FH3638="","",SUM($FN3638:$FN$7000))</f>
        <v/>
      </c>
    </row>
    <row r="3639" spans="164:167">
      <c r="FH3639" s="29" t="str">
        <f t="shared" si="111"/>
        <v/>
      </c>
      <c r="FJ3639" s="36" t="str">
        <f>IF($FH3639="","",SUM($FN3639:$FN$7000))</f>
        <v/>
      </c>
      <c r="FK3639" s="36" t="str">
        <f>IF($FH3639="","",SUM($FN3639:$FN$7000))</f>
        <v/>
      </c>
    </row>
    <row r="3640" spans="164:167">
      <c r="FH3640" s="29" t="str">
        <f t="shared" si="111"/>
        <v/>
      </c>
      <c r="FJ3640" s="36" t="str">
        <f>IF($FH3640="","",SUM($FN3640:$FN$7000))</f>
        <v/>
      </c>
      <c r="FK3640" s="36" t="str">
        <f>IF($FH3640="","",SUM($FN3640:$FN$7000))</f>
        <v/>
      </c>
    </row>
    <row r="3641" spans="164:167">
      <c r="FH3641" s="29" t="str">
        <f t="shared" si="111"/>
        <v/>
      </c>
      <c r="FJ3641" s="36" t="str">
        <f>IF($FH3641="","",SUM($FN3641:$FN$7000))</f>
        <v/>
      </c>
      <c r="FK3641" s="36" t="str">
        <f>IF($FH3641="","",SUM($FN3641:$FN$7000))</f>
        <v/>
      </c>
    </row>
    <row r="3642" spans="164:167">
      <c r="FH3642" s="29" t="str">
        <f t="shared" si="111"/>
        <v/>
      </c>
      <c r="FJ3642" s="36" t="str">
        <f>IF($FH3642="","",SUM($FN3642:$FN$7000))</f>
        <v/>
      </c>
      <c r="FK3642" s="36" t="str">
        <f>IF($FH3642="","",SUM($FN3642:$FN$7000))</f>
        <v/>
      </c>
    </row>
    <row r="3643" spans="164:167">
      <c r="FH3643" s="29" t="str">
        <f t="shared" si="111"/>
        <v/>
      </c>
      <c r="FJ3643" s="36" t="str">
        <f>IF($FH3643="","",SUM($FN3643:$FN$7000))</f>
        <v/>
      </c>
      <c r="FK3643" s="36" t="str">
        <f>IF($FH3643="","",SUM($FN3643:$FN$7000))</f>
        <v/>
      </c>
    </row>
    <row r="3644" spans="164:167">
      <c r="FH3644" s="29" t="str">
        <f t="shared" si="111"/>
        <v/>
      </c>
      <c r="FJ3644" s="36" t="str">
        <f>IF($FH3644="","",SUM($FN3644:$FN$7000))</f>
        <v/>
      </c>
      <c r="FK3644" s="36" t="str">
        <f>IF($FH3644="","",SUM($FN3644:$FN$7000))</f>
        <v/>
      </c>
    </row>
    <row r="3645" spans="164:167">
      <c r="FH3645" s="29" t="str">
        <f t="shared" si="111"/>
        <v/>
      </c>
      <c r="FJ3645" s="36" t="str">
        <f>IF($FH3645="","",SUM($FN3645:$FN$7000))</f>
        <v/>
      </c>
      <c r="FK3645" s="36" t="str">
        <f>IF($FH3645="","",SUM($FN3645:$FN$7000))</f>
        <v/>
      </c>
    </row>
    <row r="3646" spans="164:167">
      <c r="FH3646" s="29" t="str">
        <f t="shared" si="111"/>
        <v/>
      </c>
      <c r="FJ3646" s="36" t="str">
        <f>IF($FH3646="","",SUM($FN3646:$FN$7000))</f>
        <v/>
      </c>
      <c r="FK3646" s="36" t="str">
        <f>IF($FH3646="","",SUM($FN3646:$FN$7000))</f>
        <v/>
      </c>
    </row>
    <row r="3647" spans="164:167">
      <c r="FH3647" s="29" t="str">
        <f t="shared" si="111"/>
        <v/>
      </c>
      <c r="FJ3647" s="36" t="str">
        <f>IF($FH3647="","",SUM($FN3647:$FN$7000))</f>
        <v/>
      </c>
      <c r="FK3647" s="36" t="str">
        <f>IF($FH3647="","",SUM($FN3647:$FN$7000))</f>
        <v/>
      </c>
    </row>
    <row r="3648" spans="164:167">
      <c r="FH3648" s="29" t="str">
        <f t="shared" si="111"/>
        <v/>
      </c>
      <c r="FJ3648" s="36" t="str">
        <f>IF($FH3648="","",SUM($FN3648:$FN$7000))</f>
        <v/>
      </c>
      <c r="FK3648" s="36" t="str">
        <f>IF($FH3648="","",SUM($FN3648:$FN$7000))</f>
        <v/>
      </c>
    </row>
    <row r="3649" spans="164:167">
      <c r="FH3649" s="29" t="str">
        <f t="shared" si="111"/>
        <v/>
      </c>
      <c r="FJ3649" s="36" t="str">
        <f>IF($FH3649="","",SUM($FN3649:$FN$7000))</f>
        <v/>
      </c>
      <c r="FK3649" s="36" t="str">
        <f>IF($FH3649="","",SUM($FN3649:$FN$7000))</f>
        <v/>
      </c>
    </row>
    <row r="3650" spans="164:167">
      <c r="FH3650" s="29" t="str">
        <f t="shared" si="111"/>
        <v/>
      </c>
      <c r="FJ3650" s="36" t="str">
        <f>IF($FH3650="","",SUM($FN3650:$FN$7000))</f>
        <v/>
      </c>
      <c r="FK3650" s="36" t="str">
        <f>IF($FH3650="","",SUM($FN3650:$FN$7000))</f>
        <v/>
      </c>
    </row>
    <row r="3651" spans="164:167">
      <c r="FH3651" s="29" t="str">
        <f t="shared" si="111"/>
        <v/>
      </c>
      <c r="FJ3651" s="36" t="str">
        <f>IF($FH3651="","",SUM($FN3651:$FN$7000))</f>
        <v/>
      </c>
      <c r="FK3651" s="36" t="str">
        <f>IF($FH3651="","",SUM($FN3651:$FN$7000))</f>
        <v/>
      </c>
    </row>
    <row r="3652" spans="164:167">
      <c r="FH3652" s="29" t="str">
        <f t="shared" si="111"/>
        <v/>
      </c>
      <c r="FJ3652" s="36" t="str">
        <f>IF($FH3652="","",SUM($FN3652:$FN$7000))</f>
        <v/>
      </c>
      <c r="FK3652" s="36" t="str">
        <f>IF($FH3652="","",SUM($FN3652:$FN$7000))</f>
        <v/>
      </c>
    </row>
    <row r="3653" spans="164:167">
      <c r="FH3653" s="29" t="str">
        <f t="shared" si="111"/>
        <v/>
      </c>
      <c r="FJ3653" s="36" t="str">
        <f>IF($FH3653="","",SUM($FN3653:$FN$7000))</f>
        <v/>
      </c>
      <c r="FK3653" s="36" t="str">
        <f>IF($FH3653="","",SUM($FN3653:$FN$7000))</f>
        <v/>
      </c>
    </row>
    <row r="3654" spans="164:167">
      <c r="FH3654" s="29" t="str">
        <f t="shared" si="111"/>
        <v/>
      </c>
      <c r="FJ3654" s="36" t="str">
        <f>IF($FH3654="","",SUM($FN3654:$FN$7000))</f>
        <v/>
      </c>
      <c r="FK3654" s="36" t="str">
        <f>IF($FH3654="","",SUM($FN3654:$FN$7000))</f>
        <v/>
      </c>
    </row>
    <row r="3655" spans="164:167">
      <c r="FH3655" s="29" t="str">
        <f t="shared" si="111"/>
        <v/>
      </c>
      <c r="FJ3655" s="36" t="str">
        <f>IF($FH3655="","",SUM($FN3655:$FN$7000))</f>
        <v/>
      </c>
      <c r="FK3655" s="36" t="str">
        <f>IF($FH3655="","",SUM($FN3655:$FN$7000))</f>
        <v/>
      </c>
    </row>
    <row r="3656" spans="164:167">
      <c r="FH3656" s="29" t="str">
        <f t="shared" si="111"/>
        <v/>
      </c>
      <c r="FJ3656" s="36" t="str">
        <f>IF($FH3656="","",SUM($FN3656:$FN$7000))</f>
        <v/>
      </c>
      <c r="FK3656" s="36" t="str">
        <f>IF($FH3656="","",SUM($FN3656:$FN$7000))</f>
        <v/>
      </c>
    </row>
    <row r="3657" spans="164:167">
      <c r="FH3657" s="29" t="str">
        <f t="shared" si="111"/>
        <v/>
      </c>
      <c r="FJ3657" s="36" t="str">
        <f>IF($FH3657="","",SUM($FN3657:$FN$7000))</f>
        <v/>
      </c>
      <c r="FK3657" s="36" t="str">
        <f>IF($FH3657="","",SUM($FN3657:$FN$7000))</f>
        <v/>
      </c>
    </row>
    <row r="3658" spans="164:167">
      <c r="FH3658" s="29" t="str">
        <f t="shared" si="111"/>
        <v/>
      </c>
      <c r="FJ3658" s="36" t="str">
        <f>IF($FH3658="","",SUM($FN3658:$FN$7000))</f>
        <v/>
      </c>
      <c r="FK3658" s="36" t="str">
        <f>IF($FH3658="","",SUM($FN3658:$FN$7000))</f>
        <v/>
      </c>
    </row>
    <row r="3659" spans="164:167">
      <c r="FH3659" s="29" t="str">
        <f t="shared" ref="FH3659:FH3722" si="112">IF(FL3659="","",FL3659)</f>
        <v/>
      </c>
      <c r="FJ3659" s="36" t="str">
        <f>IF($FH3659="","",SUM($FN3659:$FN$7000))</f>
        <v/>
      </c>
      <c r="FK3659" s="36" t="str">
        <f>IF($FH3659="","",SUM($FN3659:$FN$7000))</f>
        <v/>
      </c>
    </row>
    <row r="3660" spans="164:167">
      <c r="FH3660" s="29" t="str">
        <f t="shared" si="112"/>
        <v/>
      </c>
      <c r="FJ3660" s="36" t="str">
        <f>IF($FH3660="","",SUM($FN3660:$FN$7000))</f>
        <v/>
      </c>
      <c r="FK3660" s="36" t="str">
        <f>IF($FH3660="","",SUM($FN3660:$FN$7000))</f>
        <v/>
      </c>
    </row>
    <row r="3661" spans="164:167">
      <c r="FH3661" s="29" t="str">
        <f t="shared" si="112"/>
        <v/>
      </c>
      <c r="FJ3661" s="36" t="str">
        <f>IF($FH3661="","",SUM($FN3661:$FN$7000))</f>
        <v/>
      </c>
      <c r="FK3661" s="36" t="str">
        <f>IF($FH3661="","",SUM($FN3661:$FN$7000))</f>
        <v/>
      </c>
    </row>
    <row r="3662" spans="164:167">
      <c r="FH3662" s="29" t="str">
        <f t="shared" si="112"/>
        <v/>
      </c>
      <c r="FJ3662" s="36" t="str">
        <f>IF($FH3662="","",SUM($FN3662:$FN$7000))</f>
        <v/>
      </c>
      <c r="FK3662" s="36" t="str">
        <f>IF($FH3662="","",SUM($FN3662:$FN$7000))</f>
        <v/>
      </c>
    </row>
    <row r="3663" spans="164:167">
      <c r="FH3663" s="29" t="str">
        <f t="shared" si="112"/>
        <v/>
      </c>
      <c r="FJ3663" s="36" t="str">
        <f>IF($FH3663="","",SUM($FN3663:$FN$7000))</f>
        <v/>
      </c>
      <c r="FK3663" s="36" t="str">
        <f>IF($FH3663="","",SUM($FN3663:$FN$7000))</f>
        <v/>
      </c>
    </row>
    <row r="3664" spans="164:167">
      <c r="FH3664" s="29" t="str">
        <f t="shared" si="112"/>
        <v/>
      </c>
      <c r="FJ3664" s="36" t="str">
        <f>IF($FH3664="","",SUM($FN3664:$FN$7000))</f>
        <v/>
      </c>
      <c r="FK3664" s="36" t="str">
        <f>IF($FH3664="","",SUM($FN3664:$FN$7000))</f>
        <v/>
      </c>
    </row>
    <row r="3665" spans="164:167">
      <c r="FH3665" s="29" t="str">
        <f t="shared" si="112"/>
        <v/>
      </c>
      <c r="FJ3665" s="36" t="str">
        <f>IF($FH3665="","",SUM($FN3665:$FN$7000))</f>
        <v/>
      </c>
      <c r="FK3665" s="36" t="str">
        <f>IF($FH3665="","",SUM($FN3665:$FN$7000))</f>
        <v/>
      </c>
    </row>
    <row r="3666" spans="164:167">
      <c r="FH3666" s="29" t="str">
        <f t="shared" si="112"/>
        <v/>
      </c>
      <c r="FJ3666" s="36" t="str">
        <f>IF($FH3666="","",SUM($FN3666:$FN$7000))</f>
        <v/>
      </c>
      <c r="FK3666" s="36" t="str">
        <f>IF($FH3666="","",SUM($FN3666:$FN$7000))</f>
        <v/>
      </c>
    </row>
    <row r="3667" spans="164:167">
      <c r="FH3667" s="29" t="str">
        <f t="shared" si="112"/>
        <v/>
      </c>
      <c r="FJ3667" s="36" t="str">
        <f>IF($FH3667="","",SUM($FN3667:$FN$7000))</f>
        <v/>
      </c>
      <c r="FK3667" s="36" t="str">
        <f>IF($FH3667="","",SUM($FN3667:$FN$7000))</f>
        <v/>
      </c>
    </row>
    <row r="3668" spans="164:167">
      <c r="FH3668" s="29" t="str">
        <f t="shared" si="112"/>
        <v/>
      </c>
      <c r="FJ3668" s="36" t="str">
        <f>IF($FH3668="","",SUM($FN3668:$FN$7000))</f>
        <v/>
      </c>
      <c r="FK3668" s="36" t="str">
        <f>IF($FH3668="","",SUM($FN3668:$FN$7000))</f>
        <v/>
      </c>
    </row>
    <row r="3669" spans="164:167">
      <c r="FH3669" s="29" t="str">
        <f t="shared" si="112"/>
        <v/>
      </c>
      <c r="FJ3669" s="36" t="str">
        <f>IF($FH3669="","",SUM($FN3669:$FN$7000))</f>
        <v/>
      </c>
      <c r="FK3669" s="36" t="str">
        <f>IF($FH3669="","",SUM($FN3669:$FN$7000))</f>
        <v/>
      </c>
    </row>
    <row r="3670" spans="164:167">
      <c r="FH3670" s="29" t="str">
        <f t="shared" si="112"/>
        <v/>
      </c>
      <c r="FJ3670" s="36" t="str">
        <f>IF($FH3670="","",SUM($FN3670:$FN$7000))</f>
        <v/>
      </c>
      <c r="FK3670" s="36" t="str">
        <f>IF($FH3670="","",SUM($FN3670:$FN$7000))</f>
        <v/>
      </c>
    </row>
    <row r="3671" spans="164:167">
      <c r="FH3671" s="29" t="str">
        <f t="shared" si="112"/>
        <v/>
      </c>
      <c r="FJ3671" s="36" t="str">
        <f>IF($FH3671="","",SUM($FN3671:$FN$7000))</f>
        <v/>
      </c>
      <c r="FK3671" s="36" t="str">
        <f>IF($FH3671="","",SUM($FN3671:$FN$7000))</f>
        <v/>
      </c>
    </row>
    <row r="3672" spans="164:167">
      <c r="FH3672" s="29" t="str">
        <f t="shared" si="112"/>
        <v/>
      </c>
      <c r="FJ3672" s="36" t="str">
        <f>IF($FH3672="","",SUM($FN3672:$FN$7000))</f>
        <v/>
      </c>
      <c r="FK3672" s="36" t="str">
        <f>IF($FH3672="","",SUM($FN3672:$FN$7000))</f>
        <v/>
      </c>
    </row>
    <row r="3673" spans="164:167">
      <c r="FH3673" s="29" t="str">
        <f t="shared" si="112"/>
        <v/>
      </c>
      <c r="FJ3673" s="36" t="str">
        <f>IF($FH3673="","",SUM($FN3673:$FN$7000))</f>
        <v/>
      </c>
      <c r="FK3673" s="36" t="str">
        <f>IF($FH3673="","",SUM($FN3673:$FN$7000))</f>
        <v/>
      </c>
    </row>
    <row r="3674" spans="164:167">
      <c r="FH3674" s="29" t="str">
        <f t="shared" si="112"/>
        <v/>
      </c>
      <c r="FJ3674" s="36" t="str">
        <f>IF($FH3674="","",SUM($FN3674:$FN$7000))</f>
        <v/>
      </c>
      <c r="FK3674" s="36" t="str">
        <f>IF($FH3674="","",SUM($FN3674:$FN$7000))</f>
        <v/>
      </c>
    </row>
    <row r="3675" spans="164:167">
      <c r="FH3675" s="29" t="str">
        <f t="shared" si="112"/>
        <v/>
      </c>
      <c r="FJ3675" s="36" t="str">
        <f>IF($FH3675="","",SUM($FN3675:$FN$7000))</f>
        <v/>
      </c>
      <c r="FK3675" s="36" t="str">
        <f>IF($FH3675="","",SUM($FN3675:$FN$7000))</f>
        <v/>
      </c>
    </row>
    <row r="3676" spans="164:167">
      <c r="FH3676" s="29" t="str">
        <f t="shared" si="112"/>
        <v/>
      </c>
      <c r="FJ3676" s="36" t="str">
        <f>IF($FH3676="","",SUM($FN3676:$FN$7000))</f>
        <v/>
      </c>
      <c r="FK3676" s="36" t="str">
        <f>IF($FH3676="","",SUM($FN3676:$FN$7000))</f>
        <v/>
      </c>
    </row>
    <row r="3677" spans="164:167">
      <c r="FH3677" s="29" t="str">
        <f t="shared" si="112"/>
        <v/>
      </c>
      <c r="FJ3677" s="36" t="str">
        <f>IF($FH3677="","",SUM($FN3677:$FN$7000))</f>
        <v/>
      </c>
      <c r="FK3677" s="36" t="str">
        <f>IF($FH3677="","",SUM($FN3677:$FN$7000))</f>
        <v/>
      </c>
    </row>
    <row r="3678" spans="164:167">
      <c r="FH3678" s="29" t="str">
        <f t="shared" si="112"/>
        <v/>
      </c>
      <c r="FJ3678" s="36" t="str">
        <f>IF($FH3678="","",SUM($FN3678:$FN$7000))</f>
        <v/>
      </c>
      <c r="FK3678" s="36" t="str">
        <f>IF($FH3678="","",SUM($FN3678:$FN$7000))</f>
        <v/>
      </c>
    </row>
    <row r="3679" spans="164:167">
      <c r="FH3679" s="29" t="str">
        <f t="shared" si="112"/>
        <v/>
      </c>
      <c r="FJ3679" s="36" t="str">
        <f>IF($FH3679="","",SUM($FN3679:$FN$7000))</f>
        <v/>
      </c>
      <c r="FK3679" s="36" t="str">
        <f>IF($FH3679="","",SUM($FN3679:$FN$7000))</f>
        <v/>
      </c>
    </row>
    <row r="3680" spans="164:167">
      <c r="FH3680" s="29" t="str">
        <f t="shared" si="112"/>
        <v/>
      </c>
      <c r="FJ3680" s="36" t="str">
        <f>IF($FH3680="","",SUM($FN3680:$FN$7000))</f>
        <v/>
      </c>
      <c r="FK3680" s="36" t="str">
        <f>IF($FH3680="","",SUM($FN3680:$FN$7000))</f>
        <v/>
      </c>
    </row>
    <row r="3681" spans="164:167">
      <c r="FH3681" s="29" t="str">
        <f t="shared" si="112"/>
        <v/>
      </c>
      <c r="FJ3681" s="36" t="str">
        <f>IF($FH3681="","",SUM($FN3681:$FN$7000))</f>
        <v/>
      </c>
      <c r="FK3681" s="36" t="str">
        <f>IF($FH3681="","",SUM($FN3681:$FN$7000))</f>
        <v/>
      </c>
    </row>
    <row r="3682" spans="164:167">
      <c r="FH3682" s="29" t="str">
        <f t="shared" si="112"/>
        <v/>
      </c>
      <c r="FJ3682" s="36" t="str">
        <f>IF($FH3682="","",SUM($FN3682:$FN$7000))</f>
        <v/>
      </c>
      <c r="FK3682" s="36" t="str">
        <f>IF($FH3682="","",SUM($FN3682:$FN$7000))</f>
        <v/>
      </c>
    </row>
    <row r="3683" spans="164:167">
      <c r="FH3683" s="29" t="str">
        <f t="shared" si="112"/>
        <v/>
      </c>
      <c r="FJ3683" s="36" t="str">
        <f>IF($FH3683="","",SUM($FN3683:$FN$7000))</f>
        <v/>
      </c>
      <c r="FK3683" s="36" t="str">
        <f>IF($FH3683="","",SUM($FN3683:$FN$7000))</f>
        <v/>
      </c>
    </row>
    <row r="3684" spans="164:167">
      <c r="FH3684" s="29" t="str">
        <f t="shared" si="112"/>
        <v/>
      </c>
      <c r="FJ3684" s="36" t="str">
        <f>IF($FH3684="","",SUM($FN3684:$FN$7000))</f>
        <v/>
      </c>
      <c r="FK3684" s="36" t="str">
        <f>IF($FH3684="","",SUM($FN3684:$FN$7000))</f>
        <v/>
      </c>
    </row>
    <row r="3685" spans="164:167">
      <c r="FH3685" s="29" t="str">
        <f t="shared" si="112"/>
        <v/>
      </c>
      <c r="FJ3685" s="36" t="str">
        <f>IF($FH3685="","",SUM($FN3685:$FN$7000))</f>
        <v/>
      </c>
      <c r="FK3685" s="36" t="str">
        <f>IF($FH3685="","",SUM($FN3685:$FN$7000))</f>
        <v/>
      </c>
    </row>
    <row r="3686" spans="164:167">
      <c r="FH3686" s="29" t="str">
        <f t="shared" si="112"/>
        <v/>
      </c>
      <c r="FJ3686" s="36" t="str">
        <f>IF($FH3686="","",SUM($FN3686:$FN$7000))</f>
        <v/>
      </c>
      <c r="FK3686" s="36" t="str">
        <f>IF($FH3686="","",SUM($FN3686:$FN$7000))</f>
        <v/>
      </c>
    </row>
    <row r="3687" spans="164:167">
      <c r="FH3687" s="29" t="str">
        <f t="shared" si="112"/>
        <v/>
      </c>
      <c r="FJ3687" s="36" t="str">
        <f>IF($FH3687="","",SUM($FN3687:$FN$7000))</f>
        <v/>
      </c>
      <c r="FK3687" s="36" t="str">
        <f>IF($FH3687="","",SUM($FN3687:$FN$7000))</f>
        <v/>
      </c>
    </row>
    <row r="3688" spans="164:167">
      <c r="FH3688" s="29" t="str">
        <f t="shared" si="112"/>
        <v/>
      </c>
      <c r="FJ3688" s="36" t="str">
        <f>IF($FH3688="","",SUM($FN3688:$FN$7000))</f>
        <v/>
      </c>
      <c r="FK3688" s="36" t="str">
        <f>IF($FH3688="","",SUM($FN3688:$FN$7000))</f>
        <v/>
      </c>
    </row>
    <row r="3689" spans="164:167">
      <c r="FH3689" s="29" t="str">
        <f t="shared" si="112"/>
        <v/>
      </c>
      <c r="FJ3689" s="36" t="str">
        <f>IF($FH3689="","",SUM($FN3689:$FN$7000))</f>
        <v/>
      </c>
      <c r="FK3689" s="36" t="str">
        <f>IF($FH3689="","",SUM($FN3689:$FN$7000))</f>
        <v/>
      </c>
    </row>
    <row r="3690" spans="164:167">
      <c r="FH3690" s="29" t="str">
        <f t="shared" si="112"/>
        <v/>
      </c>
      <c r="FJ3690" s="36" t="str">
        <f>IF($FH3690="","",SUM($FN3690:$FN$7000))</f>
        <v/>
      </c>
      <c r="FK3690" s="36" t="str">
        <f>IF($FH3690="","",SUM($FN3690:$FN$7000))</f>
        <v/>
      </c>
    </row>
    <row r="3691" spans="164:167">
      <c r="FH3691" s="29" t="str">
        <f t="shared" si="112"/>
        <v/>
      </c>
      <c r="FJ3691" s="36" t="str">
        <f>IF($FH3691="","",SUM($FN3691:$FN$7000))</f>
        <v/>
      </c>
      <c r="FK3691" s="36" t="str">
        <f>IF($FH3691="","",SUM($FN3691:$FN$7000))</f>
        <v/>
      </c>
    </row>
    <row r="3692" spans="164:167">
      <c r="FH3692" s="29" t="str">
        <f t="shared" si="112"/>
        <v/>
      </c>
      <c r="FJ3692" s="36" t="str">
        <f>IF($FH3692="","",SUM($FN3692:$FN$7000))</f>
        <v/>
      </c>
      <c r="FK3692" s="36" t="str">
        <f>IF($FH3692="","",SUM($FN3692:$FN$7000))</f>
        <v/>
      </c>
    </row>
    <row r="3693" spans="164:167">
      <c r="FH3693" s="29" t="str">
        <f t="shared" si="112"/>
        <v/>
      </c>
      <c r="FJ3693" s="36" t="str">
        <f>IF($FH3693="","",SUM($FN3693:$FN$7000))</f>
        <v/>
      </c>
      <c r="FK3693" s="36" t="str">
        <f>IF($FH3693="","",SUM($FN3693:$FN$7000))</f>
        <v/>
      </c>
    </row>
    <row r="3694" spans="164:167">
      <c r="FH3694" s="29" t="str">
        <f t="shared" si="112"/>
        <v/>
      </c>
      <c r="FJ3694" s="36" t="str">
        <f>IF($FH3694="","",SUM($FN3694:$FN$7000))</f>
        <v/>
      </c>
      <c r="FK3694" s="36" t="str">
        <f>IF($FH3694="","",SUM($FN3694:$FN$7000))</f>
        <v/>
      </c>
    </row>
    <row r="3695" spans="164:167">
      <c r="FH3695" s="29" t="str">
        <f t="shared" si="112"/>
        <v/>
      </c>
      <c r="FJ3695" s="36" t="str">
        <f>IF($FH3695="","",SUM($FN3695:$FN$7000))</f>
        <v/>
      </c>
      <c r="FK3695" s="36" t="str">
        <f>IF($FH3695="","",SUM($FN3695:$FN$7000))</f>
        <v/>
      </c>
    </row>
    <row r="3696" spans="164:167">
      <c r="FH3696" s="29" t="str">
        <f t="shared" si="112"/>
        <v/>
      </c>
      <c r="FJ3696" s="36" t="str">
        <f>IF($FH3696="","",SUM($FN3696:$FN$7000))</f>
        <v/>
      </c>
      <c r="FK3696" s="36" t="str">
        <f>IF($FH3696="","",SUM($FN3696:$FN$7000))</f>
        <v/>
      </c>
    </row>
    <row r="3697" spans="164:167">
      <c r="FH3697" s="29" t="str">
        <f t="shared" si="112"/>
        <v/>
      </c>
      <c r="FJ3697" s="36" t="str">
        <f>IF($FH3697="","",SUM($FN3697:$FN$7000))</f>
        <v/>
      </c>
      <c r="FK3697" s="36" t="str">
        <f>IF($FH3697="","",SUM($FN3697:$FN$7000))</f>
        <v/>
      </c>
    </row>
    <row r="3698" spans="164:167">
      <c r="FH3698" s="29" t="str">
        <f t="shared" si="112"/>
        <v/>
      </c>
      <c r="FJ3698" s="36" t="str">
        <f>IF($FH3698="","",SUM($FN3698:$FN$7000))</f>
        <v/>
      </c>
      <c r="FK3698" s="36" t="str">
        <f>IF($FH3698="","",SUM($FN3698:$FN$7000))</f>
        <v/>
      </c>
    </row>
    <row r="3699" spans="164:167">
      <c r="FH3699" s="29" t="str">
        <f t="shared" si="112"/>
        <v/>
      </c>
      <c r="FJ3699" s="36" t="str">
        <f>IF($FH3699="","",SUM($FN3699:$FN$7000))</f>
        <v/>
      </c>
      <c r="FK3699" s="36" t="str">
        <f>IF($FH3699="","",SUM($FN3699:$FN$7000))</f>
        <v/>
      </c>
    </row>
    <row r="3700" spans="164:167">
      <c r="FH3700" s="29" t="str">
        <f t="shared" si="112"/>
        <v/>
      </c>
      <c r="FJ3700" s="36" t="str">
        <f>IF($FH3700="","",SUM($FN3700:$FN$7000))</f>
        <v/>
      </c>
      <c r="FK3700" s="36" t="str">
        <f>IF($FH3700="","",SUM($FN3700:$FN$7000))</f>
        <v/>
      </c>
    </row>
    <row r="3701" spans="164:167">
      <c r="FH3701" s="29" t="str">
        <f t="shared" si="112"/>
        <v/>
      </c>
      <c r="FJ3701" s="36" t="str">
        <f>IF($FH3701="","",SUM($FN3701:$FN$7000))</f>
        <v/>
      </c>
      <c r="FK3701" s="36" t="str">
        <f>IF($FH3701="","",SUM($FN3701:$FN$7000))</f>
        <v/>
      </c>
    </row>
    <row r="3702" spans="164:167">
      <c r="FH3702" s="29" t="str">
        <f t="shared" si="112"/>
        <v/>
      </c>
      <c r="FJ3702" s="36" t="str">
        <f>IF($FH3702="","",SUM($FN3702:$FN$7000))</f>
        <v/>
      </c>
      <c r="FK3702" s="36" t="str">
        <f>IF($FH3702="","",SUM($FN3702:$FN$7000))</f>
        <v/>
      </c>
    </row>
    <row r="3703" spans="164:167">
      <c r="FH3703" s="29" t="str">
        <f t="shared" si="112"/>
        <v/>
      </c>
      <c r="FJ3703" s="36" t="str">
        <f>IF($FH3703="","",SUM($FN3703:$FN$7000))</f>
        <v/>
      </c>
      <c r="FK3703" s="36" t="str">
        <f>IF($FH3703="","",SUM($FN3703:$FN$7000))</f>
        <v/>
      </c>
    </row>
    <row r="3704" spans="164:167">
      <c r="FH3704" s="29" t="str">
        <f t="shared" si="112"/>
        <v/>
      </c>
      <c r="FJ3704" s="36" t="str">
        <f>IF($FH3704="","",SUM($FN3704:$FN$7000))</f>
        <v/>
      </c>
      <c r="FK3704" s="36" t="str">
        <f>IF($FH3704="","",SUM($FN3704:$FN$7000))</f>
        <v/>
      </c>
    </row>
    <row r="3705" spans="164:167">
      <c r="FH3705" s="29" t="str">
        <f t="shared" si="112"/>
        <v/>
      </c>
      <c r="FJ3705" s="36" t="str">
        <f>IF($FH3705="","",SUM($FN3705:$FN$7000))</f>
        <v/>
      </c>
      <c r="FK3705" s="36" t="str">
        <f>IF($FH3705="","",SUM($FN3705:$FN$7000))</f>
        <v/>
      </c>
    </row>
    <row r="3706" spans="164:167">
      <c r="FH3706" s="29" t="str">
        <f t="shared" si="112"/>
        <v/>
      </c>
      <c r="FJ3706" s="36" t="str">
        <f>IF($FH3706="","",SUM($FN3706:$FN$7000))</f>
        <v/>
      </c>
      <c r="FK3706" s="36" t="str">
        <f>IF($FH3706="","",SUM($FN3706:$FN$7000))</f>
        <v/>
      </c>
    </row>
    <row r="3707" spans="164:167">
      <c r="FH3707" s="29" t="str">
        <f t="shared" si="112"/>
        <v/>
      </c>
      <c r="FJ3707" s="36" t="str">
        <f>IF($FH3707="","",SUM($FN3707:$FN$7000))</f>
        <v/>
      </c>
      <c r="FK3707" s="36" t="str">
        <f>IF($FH3707="","",SUM($FN3707:$FN$7000))</f>
        <v/>
      </c>
    </row>
    <row r="3708" spans="164:167">
      <c r="FH3708" s="29" t="str">
        <f t="shared" si="112"/>
        <v/>
      </c>
      <c r="FJ3708" s="36" t="str">
        <f>IF($FH3708="","",SUM($FN3708:$FN$7000))</f>
        <v/>
      </c>
      <c r="FK3708" s="36" t="str">
        <f>IF($FH3708="","",SUM($FN3708:$FN$7000))</f>
        <v/>
      </c>
    </row>
    <row r="3709" spans="164:167">
      <c r="FH3709" s="29" t="str">
        <f t="shared" si="112"/>
        <v/>
      </c>
      <c r="FJ3709" s="36" t="str">
        <f>IF($FH3709="","",SUM($FN3709:$FN$7000))</f>
        <v/>
      </c>
      <c r="FK3709" s="36" t="str">
        <f>IF($FH3709="","",SUM($FN3709:$FN$7000))</f>
        <v/>
      </c>
    </row>
    <row r="3710" spans="164:167">
      <c r="FH3710" s="29" t="str">
        <f t="shared" si="112"/>
        <v/>
      </c>
      <c r="FJ3710" s="36" t="str">
        <f>IF($FH3710="","",SUM($FN3710:$FN$7000))</f>
        <v/>
      </c>
      <c r="FK3710" s="36" t="str">
        <f>IF($FH3710="","",SUM($FN3710:$FN$7000))</f>
        <v/>
      </c>
    </row>
    <row r="3711" spans="164:167">
      <c r="FH3711" s="29" t="str">
        <f t="shared" si="112"/>
        <v/>
      </c>
      <c r="FJ3711" s="36" t="str">
        <f>IF($FH3711="","",SUM($FN3711:$FN$7000))</f>
        <v/>
      </c>
      <c r="FK3711" s="36" t="str">
        <f>IF($FH3711="","",SUM($FN3711:$FN$7000))</f>
        <v/>
      </c>
    </row>
    <row r="3712" spans="164:167">
      <c r="FH3712" s="29" t="str">
        <f t="shared" si="112"/>
        <v/>
      </c>
      <c r="FJ3712" s="36" t="str">
        <f>IF($FH3712="","",SUM($FN3712:$FN$7000))</f>
        <v/>
      </c>
      <c r="FK3712" s="36" t="str">
        <f>IF($FH3712="","",SUM($FN3712:$FN$7000))</f>
        <v/>
      </c>
    </row>
    <row r="3713" spans="164:167">
      <c r="FH3713" s="29" t="str">
        <f t="shared" si="112"/>
        <v/>
      </c>
      <c r="FJ3713" s="36" t="str">
        <f>IF($FH3713="","",SUM($FN3713:$FN$7000))</f>
        <v/>
      </c>
      <c r="FK3713" s="36" t="str">
        <f>IF($FH3713="","",SUM($FN3713:$FN$7000))</f>
        <v/>
      </c>
    </row>
    <row r="3714" spans="164:167">
      <c r="FH3714" s="29" t="str">
        <f t="shared" si="112"/>
        <v/>
      </c>
      <c r="FJ3714" s="36" t="str">
        <f>IF($FH3714="","",SUM($FN3714:$FN$7000))</f>
        <v/>
      </c>
      <c r="FK3714" s="36" t="str">
        <f>IF($FH3714="","",SUM($FN3714:$FN$7000))</f>
        <v/>
      </c>
    </row>
    <row r="3715" spans="164:167">
      <c r="FH3715" s="29" t="str">
        <f t="shared" si="112"/>
        <v/>
      </c>
      <c r="FJ3715" s="36" t="str">
        <f>IF($FH3715="","",SUM($FN3715:$FN$7000))</f>
        <v/>
      </c>
      <c r="FK3715" s="36" t="str">
        <f>IF($FH3715="","",SUM($FN3715:$FN$7000))</f>
        <v/>
      </c>
    </row>
    <row r="3716" spans="164:167">
      <c r="FH3716" s="29" t="str">
        <f t="shared" si="112"/>
        <v/>
      </c>
      <c r="FJ3716" s="36" t="str">
        <f>IF($FH3716="","",SUM($FN3716:$FN$7000))</f>
        <v/>
      </c>
      <c r="FK3716" s="36" t="str">
        <f>IF($FH3716="","",SUM($FN3716:$FN$7000))</f>
        <v/>
      </c>
    </row>
    <row r="3717" spans="164:167">
      <c r="FH3717" s="29" t="str">
        <f t="shared" si="112"/>
        <v/>
      </c>
      <c r="FJ3717" s="36" t="str">
        <f>IF($FH3717="","",SUM($FN3717:$FN$7000))</f>
        <v/>
      </c>
      <c r="FK3717" s="36" t="str">
        <f>IF($FH3717="","",SUM($FN3717:$FN$7000))</f>
        <v/>
      </c>
    </row>
    <row r="3718" spans="164:167">
      <c r="FH3718" s="29" t="str">
        <f t="shared" si="112"/>
        <v/>
      </c>
      <c r="FJ3718" s="36" t="str">
        <f>IF($FH3718="","",SUM($FN3718:$FN$7000))</f>
        <v/>
      </c>
      <c r="FK3718" s="36" t="str">
        <f>IF($FH3718="","",SUM($FN3718:$FN$7000))</f>
        <v/>
      </c>
    </row>
    <row r="3719" spans="164:167">
      <c r="FH3719" s="29" t="str">
        <f t="shared" si="112"/>
        <v/>
      </c>
      <c r="FJ3719" s="36" t="str">
        <f>IF($FH3719="","",SUM($FN3719:$FN$7000))</f>
        <v/>
      </c>
      <c r="FK3719" s="36" t="str">
        <f>IF($FH3719="","",SUM($FN3719:$FN$7000))</f>
        <v/>
      </c>
    </row>
    <row r="3720" spans="164:167">
      <c r="FH3720" s="29" t="str">
        <f t="shared" si="112"/>
        <v/>
      </c>
      <c r="FJ3720" s="36" t="str">
        <f>IF($FH3720="","",SUM($FN3720:$FN$7000))</f>
        <v/>
      </c>
      <c r="FK3720" s="36" t="str">
        <f>IF($FH3720="","",SUM($FN3720:$FN$7000))</f>
        <v/>
      </c>
    </row>
    <row r="3721" spans="164:167">
      <c r="FH3721" s="29" t="str">
        <f t="shared" si="112"/>
        <v/>
      </c>
      <c r="FJ3721" s="36" t="str">
        <f>IF($FH3721="","",SUM($FN3721:$FN$7000))</f>
        <v/>
      </c>
      <c r="FK3721" s="36" t="str">
        <f>IF($FH3721="","",SUM($FN3721:$FN$7000))</f>
        <v/>
      </c>
    </row>
    <row r="3722" spans="164:167">
      <c r="FH3722" s="29" t="str">
        <f t="shared" si="112"/>
        <v/>
      </c>
      <c r="FJ3722" s="36" t="str">
        <f>IF($FH3722="","",SUM($FN3722:$FN$7000))</f>
        <v/>
      </c>
      <c r="FK3722" s="36" t="str">
        <f>IF($FH3722="","",SUM($FN3722:$FN$7000))</f>
        <v/>
      </c>
    </row>
    <row r="3723" spans="164:167">
      <c r="FH3723" s="29" t="str">
        <f t="shared" ref="FH3723:FH3786" si="113">IF(FL3723="","",FL3723)</f>
        <v/>
      </c>
      <c r="FJ3723" s="36" t="str">
        <f>IF($FH3723="","",SUM($FN3723:$FN$7000))</f>
        <v/>
      </c>
      <c r="FK3723" s="36" t="str">
        <f>IF($FH3723="","",SUM($FN3723:$FN$7000))</f>
        <v/>
      </c>
    </row>
    <row r="3724" spans="164:167">
      <c r="FH3724" s="29" t="str">
        <f t="shared" si="113"/>
        <v/>
      </c>
      <c r="FJ3724" s="36" t="str">
        <f>IF($FH3724="","",SUM($FN3724:$FN$7000))</f>
        <v/>
      </c>
      <c r="FK3724" s="36" t="str">
        <f>IF($FH3724="","",SUM($FN3724:$FN$7000))</f>
        <v/>
      </c>
    </row>
    <row r="3725" spans="164:167">
      <c r="FH3725" s="29" t="str">
        <f t="shared" si="113"/>
        <v/>
      </c>
      <c r="FJ3725" s="36" t="str">
        <f>IF($FH3725="","",SUM($FN3725:$FN$7000))</f>
        <v/>
      </c>
      <c r="FK3725" s="36" t="str">
        <f>IF($FH3725="","",SUM($FN3725:$FN$7000))</f>
        <v/>
      </c>
    </row>
    <row r="3726" spans="164:167">
      <c r="FH3726" s="29" t="str">
        <f t="shared" si="113"/>
        <v/>
      </c>
      <c r="FJ3726" s="36" t="str">
        <f>IF($FH3726="","",SUM($FN3726:$FN$7000))</f>
        <v/>
      </c>
      <c r="FK3726" s="36" t="str">
        <f>IF($FH3726="","",SUM($FN3726:$FN$7000))</f>
        <v/>
      </c>
    </row>
    <row r="3727" spans="164:167">
      <c r="FH3727" s="29" t="str">
        <f t="shared" si="113"/>
        <v/>
      </c>
      <c r="FJ3727" s="36" t="str">
        <f>IF($FH3727="","",SUM($FN3727:$FN$7000))</f>
        <v/>
      </c>
      <c r="FK3727" s="36" t="str">
        <f>IF($FH3727="","",SUM($FN3727:$FN$7000))</f>
        <v/>
      </c>
    </row>
    <row r="3728" spans="164:167">
      <c r="FH3728" s="29" t="str">
        <f t="shared" si="113"/>
        <v/>
      </c>
      <c r="FJ3728" s="36" t="str">
        <f>IF($FH3728="","",SUM($FN3728:$FN$7000))</f>
        <v/>
      </c>
      <c r="FK3728" s="36" t="str">
        <f>IF($FH3728="","",SUM($FN3728:$FN$7000))</f>
        <v/>
      </c>
    </row>
    <row r="3729" spans="164:167">
      <c r="FH3729" s="29" t="str">
        <f t="shared" si="113"/>
        <v/>
      </c>
      <c r="FJ3729" s="36" t="str">
        <f>IF($FH3729="","",SUM($FN3729:$FN$7000))</f>
        <v/>
      </c>
      <c r="FK3729" s="36" t="str">
        <f>IF($FH3729="","",SUM($FN3729:$FN$7000))</f>
        <v/>
      </c>
    </row>
    <row r="3730" spans="164:167">
      <c r="FH3730" s="29" t="str">
        <f t="shared" si="113"/>
        <v/>
      </c>
      <c r="FJ3730" s="36" t="str">
        <f>IF($FH3730="","",SUM($FN3730:$FN$7000))</f>
        <v/>
      </c>
      <c r="FK3730" s="36" t="str">
        <f>IF($FH3730="","",SUM($FN3730:$FN$7000))</f>
        <v/>
      </c>
    </row>
    <row r="3731" spans="164:167">
      <c r="FH3731" s="29" t="str">
        <f t="shared" si="113"/>
        <v/>
      </c>
      <c r="FJ3731" s="36" t="str">
        <f>IF($FH3731="","",SUM($FN3731:$FN$7000))</f>
        <v/>
      </c>
      <c r="FK3731" s="36" t="str">
        <f>IF($FH3731="","",SUM($FN3731:$FN$7000))</f>
        <v/>
      </c>
    </row>
    <row r="3732" spans="164:167">
      <c r="FH3732" s="29" t="str">
        <f t="shared" si="113"/>
        <v/>
      </c>
      <c r="FJ3732" s="36" t="str">
        <f>IF($FH3732="","",SUM($FN3732:$FN$7000))</f>
        <v/>
      </c>
      <c r="FK3732" s="36" t="str">
        <f>IF($FH3732="","",SUM($FN3732:$FN$7000))</f>
        <v/>
      </c>
    </row>
    <row r="3733" spans="164:167">
      <c r="FH3733" s="29" t="str">
        <f t="shared" si="113"/>
        <v/>
      </c>
      <c r="FJ3733" s="36" t="str">
        <f>IF($FH3733="","",SUM($FN3733:$FN$7000))</f>
        <v/>
      </c>
      <c r="FK3733" s="36" t="str">
        <f>IF($FH3733="","",SUM($FN3733:$FN$7000))</f>
        <v/>
      </c>
    </row>
    <row r="3734" spans="164:167">
      <c r="FH3734" s="29" t="str">
        <f t="shared" si="113"/>
        <v/>
      </c>
      <c r="FJ3734" s="36" t="str">
        <f>IF($FH3734="","",SUM($FN3734:$FN$7000))</f>
        <v/>
      </c>
      <c r="FK3734" s="36" t="str">
        <f>IF($FH3734="","",SUM($FN3734:$FN$7000))</f>
        <v/>
      </c>
    </row>
    <row r="3735" spans="164:167">
      <c r="FH3735" s="29" t="str">
        <f t="shared" si="113"/>
        <v/>
      </c>
      <c r="FJ3735" s="36" t="str">
        <f>IF($FH3735="","",SUM($FN3735:$FN$7000))</f>
        <v/>
      </c>
      <c r="FK3735" s="36" t="str">
        <f>IF($FH3735="","",SUM($FN3735:$FN$7000))</f>
        <v/>
      </c>
    </row>
    <row r="3736" spans="164:167">
      <c r="FH3736" s="29" t="str">
        <f t="shared" si="113"/>
        <v/>
      </c>
      <c r="FJ3736" s="36" t="str">
        <f>IF($FH3736="","",SUM($FN3736:$FN$7000))</f>
        <v/>
      </c>
      <c r="FK3736" s="36" t="str">
        <f>IF($FH3736="","",SUM($FN3736:$FN$7000))</f>
        <v/>
      </c>
    </row>
    <row r="3737" spans="164:167">
      <c r="FH3737" s="29" t="str">
        <f t="shared" si="113"/>
        <v/>
      </c>
      <c r="FJ3737" s="36" t="str">
        <f>IF($FH3737="","",SUM($FN3737:$FN$7000))</f>
        <v/>
      </c>
      <c r="FK3737" s="36" t="str">
        <f>IF($FH3737="","",SUM($FN3737:$FN$7000))</f>
        <v/>
      </c>
    </row>
    <row r="3738" spans="164:167">
      <c r="FH3738" s="29" t="str">
        <f t="shared" si="113"/>
        <v/>
      </c>
      <c r="FJ3738" s="36" t="str">
        <f>IF($FH3738="","",SUM($FN3738:$FN$7000))</f>
        <v/>
      </c>
      <c r="FK3738" s="36" t="str">
        <f>IF($FH3738="","",SUM($FN3738:$FN$7000))</f>
        <v/>
      </c>
    </row>
    <row r="3739" spans="164:167">
      <c r="FH3739" s="29" t="str">
        <f t="shared" si="113"/>
        <v/>
      </c>
      <c r="FJ3739" s="36" t="str">
        <f>IF($FH3739="","",SUM($FN3739:$FN$7000))</f>
        <v/>
      </c>
      <c r="FK3739" s="36" t="str">
        <f>IF($FH3739="","",SUM($FN3739:$FN$7000))</f>
        <v/>
      </c>
    </row>
    <row r="3740" spans="164:167">
      <c r="FH3740" s="29" t="str">
        <f t="shared" si="113"/>
        <v/>
      </c>
      <c r="FJ3740" s="36" t="str">
        <f>IF($FH3740="","",SUM($FN3740:$FN$7000))</f>
        <v/>
      </c>
      <c r="FK3740" s="36" t="str">
        <f>IF($FH3740="","",SUM($FN3740:$FN$7000))</f>
        <v/>
      </c>
    </row>
    <row r="3741" spans="164:167">
      <c r="FH3741" s="29" t="str">
        <f t="shared" si="113"/>
        <v/>
      </c>
      <c r="FJ3741" s="36" t="str">
        <f>IF($FH3741="","",SUM($FN3741:$FN$7000))</f>
        <v/>
      </c>
      <c r="FK3741" s="36" t="str">
        <f>IF($FH3741="","",SUM($FN3741:$FN$7000))</f>
        <v/>
      </c>
    </row>
    <row r="3742" spans="164:167">
      <c r="FH3742" s="29" t="str">
        <f t="shared" si="113"/>
        <v/>
      </c>
      <c r="FJ3742" s="36" t="str">
        <f>IF($FH3742="","",SUM($FN3742:$FN$7000))</f>
        <v/>
      </c>
      <c r="FK3742" s="36" t="str">
        <f>IF($FH3742="","",SUM($FN3742:$FN$7000))</f>
        <v/>
      </c>
    </row>
    <row r="3743" spans="164:167">
      <c r="FH3743" s="29" t="str">
        <f t="shared" si="113"/>
        <v/>
      </c>
      <c r="FJ3743" s="36" t="str">
        <f>IF($FH3743="","",SUM($FN3743:$FN$7000))</f>
        <v/>
      </c>
      <c r="FK3743" s="36" t="str">
        <f>IF($FH3743="","",SUM($FN3743:$FN$7000))</f>
        <v/>
      </c>
    </row>
    <row r="3744" spans="164:167">
      <c r="FH3744" s="29" t="str">
        <f t="shared" si="113"/>
        <v/>
      </c>
      <c r="FJ3744" s="36" t="str">
        <f>IF($FH3744="","",SUM($FN3744:$FN$7000))</f>
        <v/>
      </c>
      <c r="FK3744" s="36" t="str">
        <f>IF($FH3744="","",SUM($FN3744:$FN$7000))</f>
        <v/>
      </c>
    </row>
    <row r="3745" spans="164:167">
      <c r="FH3745" s="29" t="str">
        <f t="shared" si="113"/>
        <v/>
      </c>
      <c r="FJ3745" s="36" t="str">
        <f>IF($FH3745="","",SUM($FN3745:$FN$7000))</f>
        <v/>
      </c>
      <c r="FK3745" s="36" t="str">
        <f>IF($FH3745="","",SUM($FN3745:$FN$7000))</f>
        <v/>
      </c>
    </row>
    <row r="3746" spans="164:167">
      <c r="FH3746" s="29" t="str">
        <f t="shared" si="113"/>
        <v/>
      </c>
      <c r="FJ3746" s="36" t="str">
        <f>IF($FH3746="","",SUM($FN3746:$FN$7000))</f>
        <v/>
      </c>
      <c r="FK3746" s="36" t="str">
        <f>IF($FH3746="","",SUM($FN3746:$FN$7000))</f>
        <v/>
      </c>
    </row>
    <row r="3747" spans="164:167">
      <c r="FH3747" s="29" t="str">
        <f t="shared" si="113"/>
        <v/>
      </c>
      <c r="FJ3747" s="36" t="str">
        <f>IF($FH3747="","",SUM($FN3747:$FN$7000))</f>
        <v/>
      </c>
      <c r="FK3747" s="36" t="str">
        <f>IF($FH3747="","",SUM($FN3747:$FN$7000))</f>
        <v/>
      </c>
    </row>
    <row r="3748" spans="164:167">
      <c r="FH3748" s="29" t="str">
        <f t="shared" si="113"/>
        <v/>
      </c>
      <c r="FJ3748" s="36" t="str">
        <f>IF($FH3748="","",SUM($FN3748:$FN$7000))</f>
        <v/>
      </c>
      <c r="FK3748" s="36" t="str">
        <f>IF($FH3748="","",SUM($FN3748:$FN$7000))</f>
        <v/>
      </c>
    </row>
    <row r="3749" spans="164:167">
      <c r="FH3749" s="29" t="str">
        <f t="shared" si="113"/>
        <v/>
      </c>
      <c r="FJ3749" s="36" t="str">
        <f>IF($FH3749="","",SUM($FN3749:$FN$7000))</f>
        <v/>
      </c>
      <c r="FK3749" s="36" t="str">
        <f>IF($FH3749="","",SUM($FN3749:$FN$7000))</f>
        <v/>
      </c>
    </row>
    <row r="3750" spans="164:167">
      <c r="FH3750" s="29" t="str">
        <f t="shared" si="113"/>
        <v/>
      </c>
      <c r="FJ3750" s="36" t="str">
        <f>IF($FH3750="","",SUM($FN3750:$FN$7000))</f>
        <v/>
      </c>
      <c r="FK3750" s="36" t="str">
        <f>IF($FH3750="","",SUM($FN3750:$FN$7000))</f>
        <v/>
      </c>
    </row>
    <row r="3751" spans="164:167">
      <c r="FH3751" s="29" t="str">
        <f t="shared" si="113"/>
        <v/>
      </c>
      <c r="FJ3751" s="36" t="str">
        <f>IF($FH3751="","",SUM($FN3751:$FN$7000))</f>
        <v/>
      </c>
      <c r="FK3751" s="36" t="str">
        <f>IF($FH3751="","",SUM($FN3751:$FN$7000))</f>
        <v/>
      </c>
    </row>
    <row r="3752" spans="164:167">
      <c r="FH3752" s="29" t="str">
        <f t="shared" si="113"/>
        <v/>
      </c>
      <c r="FJ3752" s="36" t="str">
        <f>IF($FH3752="","",SUM($FN3752:$FN$7000))</f>
        <v/>
      </c>
      <c r="FK3752" s="36" t="str">
        <f>IF($FH3752="","",SUM($FN3752:$FN$7000))</f>
        <v/>
      </c>
    </row>
    <row r="3753" spans="164:167">
      <c r="FH3753" s="29" t="str">
        <f t="shared" si="113"/>
        <v/>
      </c>
      <c r="FJ3753" s="36" t="str">
        <f>IF($FH3753="","",SUM($FN3753:$FN$7000))</f>
        <v/>
      </c>
      <c r="FK3753" s="36" t="str">
        <f>IF($FH3753="","",SUM($FN3753:$FN$7000))</f>
        <v/>
      </c>
    </row>
    <row r="3754" spans="164:167">
      <c r="FH3754" s="29" t="str">
        <f t="shared" si="113"/>
        <v/>
      </c>
      <c r="FJ3754" s="36" t="str">
        <f>IF($FH3754="","",SUM($FN3754:$FN$7000))</f>
        <v/>
      </c>
      <c r="FK3754" s="36" t="str">
        <f>IF($FH3754="","",SUM($FN3754:$FN$7000))</f>
        <v/>
      </c>
    </row>
    <row r="3755" spans="164:167">
      <c r="FH3755" s="29" t="str">
        <f t="shared" si="113"/>
        <v/>
      </c>
      <c r="FJ3755" s="36" t="str">
        <f>IF($FH3755="","",SUM($FN3755:$FN$7000))</f>
        <v/>
      </c>
      <c r="FK3755" s="36" t="str">
        <f>IF($FH3755="","",SUM($FN3755:$FN$7000))</f>
        <v/>
      </c>
    </row>
    <row r="3756" spans="164:167">
      <c r="FH3756" s="29" t="str">
        <f t="shared" si="113"/>
        <v/>
      </c>
      <c r="FJ3756" s="36" t="str">
        <f>IF($FH3756="","",SUM($FN3756:$FN$7000))</f>
        <v/>
      </c>
      <c r="FK3756" s="36" t="str">
        <f>IF($FH3756="","",SUM($FN3756:$FN$7000))</f>
        <v/>
      </c>
    </row>
    <row r="3757" spans="164:167">
      <c r="FH3757" s="29" t="str">
        <f t="shared" si="113"/>
        <v/>
      </c>
      <c r="FJ3757" s="36" t="str">
        <f>IF($FH3757="","",SUM($FN3757:$FN$7000))</f>
        <v/>
      </c>
      <c r="FK3757" s="36" t="str">
        <f>IF($FH3757="","",SUM($FN3757:$FN$7000))</f>
        <v/>
      </c>
    </row>
    <row r="3758" spans="164:167">
      <c r="FH3758" s="29" t="str">
        <f t="shared" si="113"/>
        <v/>
      </c>
      <c r="FJ3758" s="36" t="str">
        <f>IF($FH3758="","",SUM($FN3758:$FN$7000))</f>
        <v/>
      </c>
      <c r="FK3758" s="36" t="str">
        <f>IF($FH3758="","",SUM($FN3758:$FN$7000))</f>
        <v/>
      </c>
    </row>
    <row r="3759" spans="164:167">
      <c r="FH3759" s="29" t="str">
        <f t="shared" si="113"/>
        <v/>
      </c>
      <c r="FJ3759" s="36" t="str">
        <f>IF($FH3759="","",SUM($FN3759:$FN$7000))</f>
        <v/>
      </c>
      <c r="FK3759" s="36" t="str">
        <f>IF($FH3759="","",SUM($FN3759:$FN$7000))</f>
        <v/>
      </c>
    </row>
    <row r="3760" spans="164:167">
      <c r="FH3760" s="29" t="str">
        <f t="shared" si="113"/>
        <v/>
      </c>
      <c r="FJ3760" s="36" t="str">
        <f>IF($FH3760="","",SUM($FN3760:$FN$7000))</f>
        <v/>
      </c>
      <c r="FK3760" s="36" t="str">
        <f>IF($FH3760="","",SUM($FN3760:$FN$7000))</f>
        <v/>
      </c>
    </row>
    <row r="3761" spans="164:167">
      <c r="FH3761" s="29" t="str">
        <f t="shared" si="113"/>
        <v/>
      </c>
      <c r="FJ3761" s="36" t="str">
        <f>IF($FH3761="","",SUM($FN3761:$FN$7000))</f>
        <v/>
      </c>
      <c r="FK3761" s="36" t="str">
        <f>IF($FH3761="","",SUM($FN3761:$FN$7000))</f>
        <v/>
      </c>
    </row>
    <row r="3762" spans="164:167">
      <c r="FH3762" s="29" t="str">
        <f t="shared" si="113"/>
        <v/>
      </c>
      <c r="FJ3762" s="36" t="str">
        <f>IF($FH3762="","",SUM($FN3762:$FN$7000))</f>
        <v/>
      </c>
      <c r="FK3762" s="36" t="str">
        <f>IF($FH3762="","",SUM($FN3762:$FN$7000))</f>
        <v/>
      </c>
    </row>
    <row r="3763" spans="164:167">
      <c r="FH3763" s="29" t="str">
        <f t="shared" si="113"/>
        <v/>
      </c>
      <c r="FJ3763" s="36" t="str">
        <f>IF($FH3763="","",SUM($FN3763:$FN$7000))</f>
        <v/>
      </c>
      <c r="FK3763" s="36" t="str">
        <f>IF($FH3763="","",SUM($FN3763:$FN$7000))</f>
        <v/>
      </c>
    </row>
    <row r="3764" spans="164:167">
      <c r="FH3764" s="29" t="str">
        <f t="shared" si="113"/>
        <v/>
      </c>
      <c r="FJ3764" s="36" t="str">
        <f>IF($FH3764="","",SUM($FN3764:$FN$7000))</f>
        <v/>
      </c>
      <c r="FK3764" s="36" t="str">
        <f>IF($FH3764="","",SUM($FN3764:$FN$7000))</f>
        <v/>
      </c>
    </row>
    <row r="3765" spans="164:167">
      <c r="FH3765" s="29" t="str">
        <f t="shared" si="113"/>
        <v/>
      </c>
      <c r="FJ3765" s="36" t="str">
        <f>IF($FH3765="","",SUM($FN3765:$FN$7000))</f>
        <v/>
      </c>
      <c r="FK3765" s="36" t="str">
        <f>IF($FH3765="","",SUM($FN3765:$FN$7000))</f>
        <v/>
      </c>
    </row>
    <row r="3766" spans="164:167">
      <c r="FH3766" s="29" t="str">
        <f t="shared" si="113"/>
        <v/>
      </c>
      <c r="FJ3766" s="36" t="str">
        <f>IF($FH3766="","",SUM($FN3766:$FN$7000))</f>
        <v/>
      </c>
      <c r="FK3766" s="36" t="str">
        <f>IF($FH3766="","",SUM($FN3766:$FN$7000))</f>
        <v/>
      </c>
    </row>
    <row r="3767" spans="164:167">
      <c r="FH3767" s="29" t="str">
        <f t="shared" si="113"/>
        <v/>
      </c>
      <c r="FJ3767" s="36" t="str">
        <f>IF($FH3767="","",SUM($FN3767:$FN$7000))</f>
        <v/>
      </c>
      <c r="FK3767" s="36" t="str">
        <f>IF($FH3767="","",SUM($FN3767:$FN$7000))</f>
        <v/>
      </c>
    </row>
    <row r="3768" spans="164:167">
      <c r="FH3768" s="29" t="str">
        <f t="shared" si="113"/>
        <v/>
      </c>
      <c r="FJ3768" s="36" t="str">
        <f>IF($FH3768="","",SUM($FN3768:$FN$7000))</f>
        <v/>
      </c>
      <c r="FK3768" s="36" t="str">
        <f>IF($FH3768="","",SUM($FN3768:$FN$7000))</f>
        <v/>
      </c>
    </row>
    <row r="3769" spans="164:167">
      <c r="FH3769" s="29" t="str">
        <f t="shared" si="113"/>
        <v/>
      </c>
      <c r="FJ3769" s="36" t="str">
        <f>IF($FH3769="","",SUM($FN3769:$FN$7000))</f>
        <v/>
      </c>
      <c r="FK3769" s="36" t="str">
        <f>IF($FH3769="","",SUM($FN3769:$FN$7000))</f>
        <v/>
      </c>
    </row>
    <row r="3770" spans="164:167">
      <c r="FH3770" s="29" t="str">
        <f t="shared" si="113"/>
        <v/>
      </c>
      <c r="FJ3770" s="36" t="str">
        <f>IF($FH3770="","",SUM($FN3770:$FN$7000))</f>
        <v/>
      </c>
      <c r="FK3770" s="36" t="str">
        <f>IF($FH3770="","",SUM($FN3770:$FN$7000))</f>
        <v/>
      </c>
    </row>
    <row r="3771" spans="164:167">
      <c r="FH3771" s="29" t="str">
        <f t="shared" si="113"/>
        <v/>
      </c>
      <c r="FJ3771" s="36" t="str">
        <f>IF($FH3771="","",SUM($FN3771:$FN$7000))</f>
        <v/>
      </c>
      <c r="FK3771" s="36" t="str">
        <f>IF($FH3771="","",SUM($FN3771:$FN$7000))</f>
        <v/>
      </c>
    </row>
    <row r="3772" spans="164:167">
      <c r="FH3772" s="29" t="str">
        <f t="shared" si="113"/>
        <v/>
      </c>
      <c r="FJ3772" s="36" t="str">
        <f>IF($FH3772="","",SUM($FN3772:$FN$7000))</f>
        <v/>
      </c>
      <c r="FK3772" s="36" t="str">
        <f>IF($FH3772="","",SUM($FN3772:$FN$7000))</f>
        <v/>
      </c>
    </row>
    <row r="3773" spans="164:167">
      <c r="FH3773" s="29" t="str">
        <f t="shared" si="113"/>
        <v/>
      </c>
      <c r="FJ3773" s="36" t="str">
        <f>IF($FH3773="","",SUM($FN3773:$FN$7000))</f>
        <v/>
      </c>
      <c r="FK3773" s="36" t="str">
        <f>IF($FH3773="","",SUM($FN3773:$FN$7000))</f>
        <v/>
      </c>
    </row>
    <row r="3774" spans="164:167">
      <c r="FH3774" s="29" t="str">
        <f t="shared" si="113"/>
        <v/>
      </c>
      <c r="FJ3774" s="36" t="str">
        <f>IF($FH3774="","",SUM($FN3774:$FN$7000))</f>
        <v/>
      </c>
      <c r="FK3774" s="36" t="str">
        <f>IF($FH3774="","",SUM($FN3774:$FN$7000))</f>
        <v/>
      </c>
    </row>
    <row r="3775" spans="164:167">
      <c r="FH3775" s="29" t="str">
        <f t="shared" si="113"/>
        <v/>
      </c>
      <c r="FJ3775" s="36" t="str">
        <f>IF($FH3775="","",SUM($FN3775:$FN$7000))</f>
        <v/>
      </c>
      <c r="FK3775" s="36" t="str">
        <f>IF($FH3775="","",SUM($FN3775:$FN$7000))</f>
        <v/>
      </c>
    </row>
    <row r="3776" spans="164:167">
      <c r="FH3776" s="29" t="str">
        <f t="shared" si="113"/>
        <v/>
      </c>
      <c r="FJ3776" s="36" t="str">
        <f>IF($FH3776="","",SUM($FN3776:$FN$7000))</f>
        <v/>
      </c>
      <c r="FK3776" s="36" t="str">
        <f>IF($FH3776="","",SUM($FN3776:$FN$7000))</f>
        <v/>
      </c>
    </row>
    <row r="3777" spans="164:167">
      <c r="FH3777" s="29" t="str">
        <f t="shared" si="113"/>
        <v/>
      </c>
      <c r="FJ3777" s="36" t="str">
        <f>IF($FH3777="","",SUM($FN3777:$FN$7000))</f>
        <v/>
      </c>
      <c r="FK3777" s="36" t="str">
        <f>IF($FH3777="","",SUM($FN3777:$FN$7000))</f>
        <v/>
      </c>
    </row>
    <row r="3778" spans="164:167">
      <c r="FH3778" s="29" t="str">
        <f t="shared" si="113"/>
        <v/>
      </c>
      <c r="FJ3778" s="36" t="str">
        <f>IF($FH3778="","",SUM($FN3778:$FN$7000))</f>
        <v/>
      </c>
      <c r="FK3778" s="36" t="str">
        <f>IF($FH3778="","",SUM($FN3778:$FN$7000))</f>
        <v/>
      </c>
    </row>
    <row r="3779" spans="164:167">
      <c r="FH3779" s="29" t="str">
        <f t="shared" si="113"/>
        <v/>
      </c>
      <c r="FJ3779" s="36" t="str">
        <f>IF($FH3779="","",SUM($FN3779:$FN$7000))</f>
        <v/>
      </c>
      <c r="FK3779" s="36" t="str">
        <f>IF($FH3779="","",SUM($FN3779:$FN$7000))</f>
        <v/>
      </c>
    </row>
    <row r="3780" spans="164:167">
      <c r="FH3780" s="29" t="str">
        <f t="shared" si="113"/>
        <v/>
      </c>
      <c r="FJ3780" s="36" t="str">
        <f>IF($FH3780="","",SUM($FN3780:$FN$7000))</f>
        <v/>
      </c>
      <c r="FK3780" s="36" t="str">
        <f>IF($FH3780="","",SUM($FN3780:$FN$7000))</f>
        <v/>
      </c>
    </row>
    <row r="3781" spans="164:167">
      <c r="FH3781" s="29" t="str">
        <f t="shared" si="113"/>
        <v/>
      </c>
      <c r="FJ3781" s="36" t="str">
        <f>IF($FH3781="","",SUM($FN3781:$FN$7000))</f>
        <v/>
      </c>
      <c r="FK3781" s="36" t="str">
        <f>IF($FH3781="","",SUM($FN3781:$FN$7000))</f>
        <v/>
      </c>
    </row>
    <row r="3782" spans="164:167">
      <c r="FH3782" s="29" t="str">
        <f t="shared" si="113"/>
        <v/>
      </c>
      <c r="FJ3782" s="36" t="str">
        <f>IF($FH3782="","",SUM($FN3782:$FN$7000))</f>
        <v/>
      </c>
      <c r="FK3782" s="36" t="str">
        <f>IF($FH3782="","",SUM($FN3782:$FN$7000))</f>
        <v/>
      </c>
    </row>
    <row r="3783" spans="164:167">
      <c r="FH3783" s="29" t="str">
        <f t="shared" si="113"/>
        <v/>
      </c>
      <c r="FJ3783" s="36" t="str">
        <f>IF($FH3783="","",SUM($FN3783:$FN$7000))</f>
        <v/>
      </c>
      <c r="FK3783" s="36" t="str">
        <f>IF($FH3783="","",SUM($FN3783:$FN$7000))</f>
        <v/>
      </c>
    </row>
    <row r="3784" spans="164:167">
      <c r="FH3784" s="29" t="str">
        <f t="shared" si="113"/>
        <v/>
      </c>
      <c r="FJ3784" s="36" t="str">
        <f>IF($FH3784="","",SUM($FN3784:$FN$7000))</f>
        <v/>
      </c>
      <c r="FK3784" s="36" t="str">
        <f>IF($FH3784="","",SUM($FN3784:$FN$7000))</f>
        <v/>
      </c>
    </row>
    <row r="3785" spans="164:167">
      <c r="FH3785" s="29" t="str">
        <f t="shared" si="113"/>
        <v/>
      </c>
      <c r="FJ3785" s="36" t="str">
        <f>IF($FH3785="","",SUM($FN3785:$FN$7000))</f>
        <v/>
      </c>
      <c r="FK3785" s="36" t="str">
        <f>IF($FH3785="","",SUM($FN3785:$FN$7000))</f>
        <v/>
      </c>
    </row>
    <row r="3786" spans="164:167">
      <c r="FH3786" s="29" t="str">
        <f t="shared" si="113"/>
        <v/>
      </c>
      <c r="FJ3786" s="36" t="str">
        <f>IF($FH3786="","",SUM($FN3786:$FN$7000))</f>
        <v/>
      </c>
      <c r="FK3786" s="36" t="str">
        <f>IF($FH3786="","",SUM($FN3786:$FN$7000))</f>
        <v/>
      </c>
    </row>
    <row r="3787" spans="164:167">
      <c r="FH3787" s="29" t="str">
        <f t="shared" ref="FH3787:FH3850" si="114">IF(FL3787="","",FL3787)</f>
        <v/>
      </c>
      <c r="FJ3787" s="36" t="str">
        <f>IF($FH3787="","",SUM($FN3787:$FN$7000))</f>
        <v/>
      </c>
      <c r="FK3787" s="36" t="str">
        <f>IF($FH3787="","",SUM($FN3787:$FN$7000))</f>
        <v/>
      </c>
    </row>
    <row r="3788" spans="164:167">
      <c r="FH3788" s="29" t="str">
        <f t="shared" si="114"/>
        <v/>
      </c>
      <c r="FJ3788" s="36" t="str">
        <f>IF($FH3788="","",SUM($FN3788:$FN$7000))</f>
        <v/>
      </c>
      <c r="FK3788" s="36" t="str">
        <f>IF($FH3788="","",SUM($FN3788:$FN$7000))</f>
        <v/>
      </c>
    </row>
    <row r="3789" spans="164:167">
      <c r="FH3789" s="29" t="str">
        <f t="shared" si="114"/>
        <v/>
      </c>
      <c r="FJ3789" s="36" t="str">
        <f>IF($FH3789="","",SUM($FN3789:$FN$7000))</f>
        <v/>
      </c>
      <c r="FK3789" s="36" t="str">
        <f>IF($FH3789="","",SUM($FN3789:$FN$7000))</f>
        <v/>
      </c>
    </row>
    <row r="3790" spans="164:167">
      <c r="FH3790" s="29" t="str">
        <f t="shared" si="114"/>
        <v/>
      </c>
      <c r="FJ3790" s="36" t="str">
        <f>IF($FH3790="","",SUM($FN3790:$FN$7000))</f>
        <v/>
      </c>
      <c r="FK3790" s="36" t="str">
        <f>IF($FH3790="","",SUM($FN3790:$FN$7000))</f>
        <v/>
      </c>
    </row>
    <row r="3791" spans="164:167">
      <c r="FH3791" s="29" t="str">
        <f t="shared" si="114"/>
        <v/>
      </c>
      <c r="FJ3791" s="36" t="str">
        <f>IF($FH3791="","",SUM($FN3791:$FN$7000))</f>
        <v/>
      </c>
      <c r="FK3791" s="36" t="str">
        <f>IF($FH3791="","",SUM($FN3791:$FN$7000))</f>
        <v/>
      </c>
    </row>
    <row r="3792" spans="164:167">
      <c r="FH3792" s="29" t="str">
        <f t="shared" si="114"/>
        <v/>
      </c>
      <c r="FJ3792" s="36" t="str">
        <f>IF($FH3792="","",SUM($FN3792:$FN$7000))</f>
        <v/>
      </c>
      <c r="FK3792" s="36" t="str">
        <f>IF($FH3792="","",SUM($FN3792:$FN$7000))</f>
        <v/>
      </c>
    </row>
    <row r="3793" spans="164:167">
      <c r="FH3793" s="29" t="str">
        <f t="shared" si="114"/>
        <v/>
      </c>
      <c r="FJ3793" s="36" t="str">
        <f>IF($FH3793="","",SUM($FN3793:$FN$7000))</f>
        <v/>
      </c>
      <c r="FK3793" s="36" t="str">
        <f>IF($FH3793="","",SUM($FN3793:$FN$7000))</f>
        <v/>
      </c>
    </row>
    <row r="3794" spans="164:167">
      <c r="FH3794" s="29" t="str">
        <f t="shared" si="114"/>
        <v/>
      </c>
      <c r="FJ3794" s="36" t="str">
        <f>IF($FH3794="","",SUM($FN3794:$FN$7000))</f>
        <v/>
      </c>
      <c r="FK3794" s="36" t="str">
        <f>IF($FH3794="","",SUM($FN3794:$FN$7000))</f>
        <v/>
      </c>
    </row>
    <row r="3795" spans="164:167">
      <c r="FH3795" s="29" t="str">
        <f t="shared" si="114"/>
        <v/>
      </c>
      <c r="FJ3795" s="36" t="str">
        <f>IF($FH3795="","",SUM($FN3795:$FN$7000))</f>
        <v/>
      </c>
      <c r="FK3795" s="36" t="str">
        <f>IF($FH3795="","",SUM($FN3795:$FN$7000))</f>
        <v/>
      </c>
    </row>
    <row r="3796" spans="164:167">
      <c r="FH3796" s="29" t="str">
        <f t="shared" si="114"/>
        <v/>
      </c>
      <c r="FJ3796" s="36" t="str">
        <f>IF($FH3796="","",SUM($FN3796:$FN$7000))</f>
        <v/>
      </c>
      <c r="FK3796" s="36" t="str">
        <f>IF($FH3796="","",SUM($FN3796:$FN$7000))</f>
        <v/>
      </c>
    </row>
    <row r="3797" spans="164:167">
      <c r="FH3797" s="29" t="str">
        <f t="shared" si="114"/>
        <v/>
      </c>
      <c r="FJ3797" s="36" t="str">
        <f>IF($FH3797="","",SUM($FN3797:$FN$7000))</f>
        <v/>
      </c>
      <c r="FK3797" s="36" t="str">
        <f>IF($FH3797="","",SUM($FN3797:$FN$7000))</f>
        <v/>
      </c>
    </row>
    <row r="3798" spans="164:167">
      <c r="FH3798" s="29" t="str">
        <f t="shared" si="114"/>
        <v/>
      </c>
      <c r="FJ3798" s="36" t="str">
        <f>IF($FH3798="","",SUM($FN3798:$FN$7000))</f>
        <v/>
      </c>
      <c r="FK3798" s="36" t="str">
        <f>IF($FH3798="","",SUM($FN3798:$FN$7000))</f>
        <v/>
      </c>
    </row>
    <row r="3799" spans="164:167">
      <c r="FH3799" s="29" t="str">
        <f t="shared" si="114"/>
        <v/>
      </c>
      <c r="FJ3799" s="36" t="str">
        <f>IF($FH3799="","",SUM($FN3799:$FN$7000))</f>
        <v/>
      </c>
      <c r="FK3799" s="36" t="str">
        <f>IF($FH3799="","",SUM($FN3799:$FN$7000))</f>
        <v/>
      </c>
    </row>
    <row r="3800" spans="164:167">
      <c r="FH3800" s="29" t="str">
        <f t="shared" si="114"/>
        <v/>
      </c>
      <c r="FJ3800" s="36" t="str">
        <f>IF($FH3800="","",SUM($FN3800:$FN$7000))</f>
        <v/>
      </c>
      <c r="FK3800" s="36" t="str">
        <f>IF($FH3800="","",SUM($FN3800:$FN$7000))</f>
        <v/>
      </c>
    </row>
    <row r="3801" spans="164:167">
      <c r="FH3801" s="29" t="str">
        <f t="shared" si="114"/>
        <v/>
      </c>
      <c r="FJ3801" s="36" t="str">
        <f>IF($FH3801="","",SUM($FN3801:$FN$7000))</f>
        <v/>
      </c>
      <c r="FK3801" s="36" t="str">
        <f>IF($FH3801="","",SUM($FN3801:$FN$7000))</f>
        <v/>
      </c>
    </row>
    <row r="3802" spans="164:167">
      <c r="FH3802" s="29" t="str">
        <f t="shared" si="114"/>
        <v/>
      </c>
      <c r="FJ3802" s="36" t="str">
        <f>IF($FH3802="","",SUM($FN3802:$FN$7000))</f>
        <v/>
      </c>
      <c r="FK3802" s="36" t="str">
        <f>IF($FH3802="","",SUM($FN3802:$FN$7000))</f>
        <v/>
      </c>
    </row>
    <row r="3803" spans="164:167">
      <c r="FH3803" s="29" t="str">
        <f t="shared" si="114"/>
        <v/>
      </c>
      <c r="FJ3803" s="36" t="str">
        <f>IF($FH3803="","",SUM($FN3803:$FN$7000))</f>
        <v/>
      </c>
      <c r="FK3803" s="36" t="str">
        <f>IF($FH3803="","",SUM($FN3803:$FN$7000))</f>
        <v/>
      </c>
    </row>
    <row r="3804" spans="164:167">
      <c r="FH3804" s="29" t="str">
        <f t="shared" si="114"/>
        <v/>
      </c>
      <c r="FJ3804" s="36" t="str">
        <f>IF($FH3804="","",SUM($FN3804:$FN$7000))</f>
        <v/>
      </c>
      <c r="FK3804" s="36" t="str">
        <f>IF($FH3804="","",SUM($FN3804:$FN$7000))</f>
        <v/>
      </c>
    </row>
    <row r="3805" spans="164:167">
      <c r="FH3805" s="29" t="str">
        <f t="shared" si="114"/>
        <v/>
      </c>
      <c r="FJ3805" s="36" t="str">
        <f>IF($FH3805="","",SUM($FN3805:$FN$7000))</f>
        <v/>
      </c>
      <c r="FK3805" s="36" t="str">
        <f>IF($FH3805="","",SUM($FN3805:$FN$7000))</f>
        <v/>
      </c>
    </row>
    <row r="3806" spans="164:167">
      <c r="FH3806" s="29" t="str">
        <f t="shared" si="114"/>
        <v/>
      </c>
      <c r="FJ3806" s="36" t="str">
        <f>IF($FH3806="","",SUM($FN3806:$FN$7000))</f>
        <v/>
      </c>
      <c r="FK3806" s="36" t="str">
        <f>IF($FH3806="","",SUM($FN3806:$FN$7000))</f>
        <v/>
      </c>
    </row>
    <row r="3807" spans="164:167">
      <c r="FH3807" s="29" t="str">
        <f t="shared" si="114"/>
        <v/>
      </c>
      <c r="FJ3807" s="36" t="str">
        <f>IF($FH3807="","",SUM($FN3807:$FN$7000))</f>
        <v/>
      </c>
      <c r="FK3807" s="36" t="str">
        <f>IF($FH3807="","",SUM($FN3807:$FN$7000))</f>
        <v/>
      </c>
    </row>
    <row r="3808" spans="164:167">
      <c r="FH3808" s="29" t="str">
        <f t="shared" si="114"/>
        <v/>
      </c>
      <c r="FJ3808" s="36" t="str">
        <f>IF($FH3808="","",SUM($FN3808:$FN$7000))</f>
        <v/>
      </c>
      <c r="FK3808" s="36" t="str">
        <f>IF($FH3808="","",SUM($FN3808:$FN$7000))</f>
        <v/>
      </c>
    </row>
    <row r="3809" spans="164:167">
      <c r="FH3809" s="29" t="str">
        <f t="shared" si="114"/>
        <v/>
      </c>
      <c r="FJ3809" s="36" t="str">
        <f>IF($FH3809="","",SUM($FN3809:$FN$7000))</f>
        <v/>
      </c>
      <c r="FK3809" s="36" t="str">
        <f>IF($FH3809="","",SUM($FN3809:$FN$7000))</f>
        <v/>
      </c>
    </row>
    <row r="3810" spans="164:167">
      <c r="FH3810" s="29" t="str">
        <f t="shared" si="114"/>
        <v/>
      </c>
      <c r="FJ3810" s="36" t="str">
        <f>IF($FH3810="","",SUM($FN3810:$FN$7000))</f>
        <v/>
      </c>
      <c r="FK3810" s="36" t="str">
        <f>IF($FH3810="","",SUM($FN3810:$FN$7000))</f>
        <v/>
      </c>
    </row>
    <row r="3811" spans="164:167">
      <c r="FH3811" s="29" t="str">
        <f t="shared" si="114"/>
        <v/>
      </c>
      <c r="FJ3811" s="36" t="str">
        <f>IF($FH3811="","",SUM($FN3811:$FN$7000))</f>
        <v/>
      </c>
      <c r="FK3811" s="36" t="str">
        <f>IF($FH3811="","",SUM($FN3811:$FN$7000))</f>
        <v/>
      </c>
    </row>
    <row r="3812" spans="164:167">
      <c r="FH3812" s="29" t="str">
        <f t="shared" si="114"/>
        <v/>
      </c>
      <c r="FJ3812" s="36" t="str">
        <f>IF($FH3812="","",SUM($FN3812:$FN$7000))</f>
        <v/>
      </c>
      <c r="FK3812" s="36" t="str">
        <f>IF($FH3812="","",SUM($FN3812:$FN$7000))</f>
        <v/>
      </c>
    </row>
    <row r="3813" spans="164:167">
      <c r="FH3813" s="29" t="str">
        <f t="shared" si="114"/>
        <v/>
      </c>
      <c r="FJ3813" s="36" t="str">
        <f>IF($FH3813="","",SUM($FN3813:$FN$7000))</f>
        <v/>
      </c>
      <c r="FK3813" s="36" t="str">
        <f>IF($FH3813="","",SUM($FN3813:$FN$7000))</f>
        <v/>
      </c>
    </row>
    <row r="3814" spans="164:167">
      <c r="FH3814" s="29" t="str">
        <f t="shared" si="114"/>
        <v/>
      </c>
      <c r="FJ3814" s="36" t="str">
        <f>IF($FH3814="","",SUM($FN3814:$FN$7000))</f>
        <v/>
      </c>
      <c r="FK3814" s="36" t="str">
        <f>IF($FH3814="","",SUM($FN3814:$FN$7000))</f>
        <v/>
      </c>
    </row>
    <row r="3815" spans="164:167">
      <c r="FH3815" s="29" t="str">
        <f t="shared" si="114"/>
        <v/>
      </c>
      <c r="FJ3815" s="36" t="str">
        <f>IF($FH3815="","",SUM($FN3815:$FN$7000))</f>
        <v/>
      </c>
      <c r="FK3815" s="36" t="str">
        <f>IF($FH3815="","",SUM($FN3815:$FN$7000))</f>
        <v/>
      </c>
    </row>
    <row r="3816" spans="164:167">
      <c r="FH3816" s="29" t="str">
        <f t="shared" si="114"/>
        <v/>
      </c>
      <c r="FJ3816" s="36" t="str">
        <f>IF($FH3816="","",SUM($FN3816:$FN$7000))</f>
        <v/>
      </c>
      <c r="FK3816" s="36" t="str">
        <f>IF($FH3816="","",SUM($FN3816:$FN$7000))</f>
        <v/>
      </c>
    </row>
    <row r="3817" spans="164:167">
      <c r="FH3817" s="29" t="str">
        <f t="shared" si="114"/>
        <v/>
      </c>
      <c r="FJ3817" s="36" t="str">
        <f>IF($FH3817="","",SUM($FN3817:$FN$7000))</f>
        <v/>
      </c>
      <c r="FK3817" s="36" t="str">
        <f>IF($FH3817="","",SUM($FN3817:$FN$7000))</f>
        <v/>
      </c>
    </row>
    <row r="3818" spans="164:167">
      <c r="FH3818" s="29" t="str">
        <f t="shared" si="114"/>
        <v/>
      </c>
      <c r="FJ3818" s="36" t="str">
        <f>IF($FH3818="","",SUM($FN3818:$FN$7000))</f>
        <v/>
      </c>
      <c r="FK3818" s="36" t="str">
        <f>IF($FH3818="","",SUM($FN3818:$FN$7000))</f>
        <v/>
      </c>
    </row>
    <row r="3819" spans="164:167">
      <c r="FH3819" s="29" t="str">
        <f t="shared" si="114"/>
        <v/>
      </c>
      <c r="FJ3819" s="36" t="str">
        <f>IF($FH3819="","",SUM($FN3819:$FN$7000))</f>
        <v/>
      </c>
      <c r="FK3819" s="36" t="str">
        <f>IF($FH3819="","",SUM($FN3819:$FN$7000))</f>
        <v/>
      </c>
    </row>
    <row r="3820" spans="164:167">
      <c r="FH3820" s="29" t="str">
        <f t="shared" si="114"/>
        <v/>
      </c>
      <c r="FJ3820" s="36" t="str">
        <f>IF($FH3820="","",SUM($FN3820:$FN$7000))</f>
        <v/>
      </c>
      <c r="FK3820" s="36" t="str">
        <f>IF($FH3820="","",SUM($FN3820:$FN$7000))</f>
        <v/>
      </c>
    </row>
    <row r="3821" spans="164:167">
      <c r="FH3821" s="29" t="str">
        <f t="shared" si="114"/>
        <v/>
      </c>
      <c r="FJ3821" s="36" t="str">
        <f>IF($FH3821="","",SUM($FN3821:$FN$7000))</f>
        <v/>
      </c>
      <c r="FK3821" s="36" t="str">
        <f>IF($FH3821="","",SUM($FN3821:$FN$7000))</f>
        <v/>
      </c>
    </row>
    <row r="3822" spans="164:167">
      <c r="FH3822" s="29" t="str">
        <f t="shared" si="114"/>
        <v/>
      </c>
      <c r="FJ3822" s="36" t="str">
        <f>IF($FH3822="","",SUM($FN3822:$FN$7000))</f>
        <v/>
      </c>
      <c r="FK3822" s="36" t="str">
        <f>IF($FH3822="","",SUM($FN3822:$FN$7000))</f>
        <v/>
      </c>
    </row>
    <row r="3823" spans="164:167">
      <c r="FH3823" s="29" t="str">
        <f t="shared" si="114"/>
        <v/>
      </c>
      <c r="FJ3823" s="36" t="str">
        <f>IF($FH3823="","",SUM($FN3823:$FN$7000))</f>
        <v/>
      </c>
      <c r="FK3823" s="36" t="str">
        <f>IF($FH3823="","",SUM($FN3823:$FN$7000))</f>
        <v/>
      </c>
    </row>
    <row r="3824" spans="164:167">
      <c r="FH3824" s="29" t="str">
        <f t="shared" si="114"/>
        <v/>
      </c>
      <c r="FJ3824" s="36" t="str">
        <f>IF($FH3824="","",SUM($FN3824:$FN$7000))</f>
        <v/>
      </c>
      <c r="FK3824" s="36" t="str">
        <f>IF($FH3824="","",SUM($FN3824:$FN$7000))</f>
        <v/>
      </c>
    </row>
    <row r="3825" spans="164:167">
      <c r="FH3825" s="29" t="str">
        <f t="shared" si="114"/>
        <v/>
      </c>
      <c r="FJ3825" s="36" t="str">
        <f>IF($FH3825="","",SUM($FN3825:$FN$7000))</f>
        <v/>
      </c>
      <c r="FK3825" s="36" t="str">
        <f>IF($FH3825="","",SUM($FN3825:$FN$7000))</f>
        <v/>
      </c>
    </row>
    <row r="3826" spans="164:167">
      <c r="FH3826" s="29" t="str">
        <f t="shared" si="114"/>
        <v/>
      </c>
      <c r="FJ3826" s="36" t="str">
        <f>IF($FH3826="","",SUM($FN3826:$FN$7000))</f>
        <v/>
      </c>
      <c r="FK3826" s="36" t="str">
        <f>IF($FH3826="","",SUM($FN3826:$FN$7000))</f>
        <v/>
      </c>
    </row>
    <row r="3827" spans="164:167">
      <c r="FH3827" s="29" t="str">
        <f t="shared" si="114"/>
        <v/>
      </c>
      <c r="FJ3827" s="36" t="str">
        <f>IF($FH3827="","",SUM($FN3827:$FN$7000))</f>
        <v/>
      </c>
      <c r="FK3827" s="36" t="str">
        <f>IF($FH3827="","",SUM($FN3827:$FN$7000))</f>
        <v/>
      </c>
    </row>
    <row r="3828" spans="164:167">
      <c r="FH3828" s="29" t="str">
        <f t="shared" si="114"/>
        <v/>
      </c>
      <c r="FJ3828" s="36" t="str">
        <f>IF($FH3828="","",SUM($FN3828:$FN$7000))</f>
        <v/>
      </c>
      <c r="FK3828" s="36" t="str">
        <f>IF($FH3828="","",SUM($FN3828:$FN$7000))</f>
        <v/>
      </c>
    </row>
    <row r="3829" spans="164:167">
      <c r="FH3829" s="29" t="str">
        <f t="shared" si="114"/>
        <v/>
      </c>
      <c r="FJ3829" s="36" t="str">
        <f>IF($FH3829="","",SUM($FN3829:$FN$7000))</f>
        <v/>
      </c>
      <c r="FK3829" s="36" t="str">
        <f>IF($FH3829="","",SUM($FN3829:$FN$7000))</f>
        <v/>
      </c>
    </row>
    <row r="3830" spans="164:167">
      <c r="FH3830" s="29" t="str">
        <f t="shared" si="114"/>
        <v/>
      </c>
      <c r="FJ3830" s="36" t="str">
        <f>IF($FH3830="","",SUM($FN3830:$FN$7000))</f>
        <v/>
      </c>
      <c r="FK3830" s="36" t="str">
        <f>IF($FH3830="","",SUM($FN3830:$FN$7000))</f>
        <v/>
      </c>
    </row>
    <row r="3831" spans="164:167">
      <c r="FH3831" s="29" t="str">
        <f t="shared" si="114"/>
        <v/>
      </c>
      <c r="FJ3831" s="36" t="str">
        <f>IF($FH3831="","",SUM($FN3831:$FN$7000))</f>
        <v/>
      </c>
      <c r="FK3831" s="36" t="str">
        <f>IF($FH3831="","",SUM($FN3831:$FN$7000))</f>
        <v/>
      </c>
    </row>
    <row r="3832" spans="164:167">
      <c r="FH3832" s="29" t="str">
        <f t="shared" si="114"/>
        <v/>
      </c>
      <c r="FJ3832" s="36" t="str">
        <f>IF($FH3832="","",SUM($FN3832:$FN$7000))</f>
        <v/>
      </c>
      <c r="FK3832" s="36" t="str">
        <f>IF($FH3832="","",SUM($FN3832:$FN$7000))</f>
        <v/>
      </c>
    </row>
    <row r="3833" spans="164:167">
      <c r="FH3833" s="29" t="str">
        <f t="shared" si="114"/>
        <v/>
      </c>
      <c r="FJ3833" s="36" t="str">
        <f>IF($FH3833="","",SUM($FN3833:$FN$7000))</f>
        <v/>
      </c>
      <c r="FK3833" s="36" t="str">
        <f>IF($FH3833="","",SUM($FN3833:$FN$7000))</f>
        <v/>
      </c>
    </row>
    <row r="3834" spans="164:167">
      <c r="FH3834" s="29" t="str">
        <f t="shared" si="114"/>
        <v/>
      </c>
      <c r="FJ3834" s="36" t="str">
        <f>IF($FH3834="","",SUM($FN3834:$FN$7000))</f>
        <v/>
      </c>
      <c r="FK3834" s="36" t="str">
        <f>IF($FH3834="","",SUM($FN3834:$FN$7000))</f>
        <v/>
      </c>
    </row>
    <row r="3835" spans="164:167">
      <c r="FH3835" s="29" t="str">
        <f t="shared" si="114"/>
        <v/>
      </c>
      <c r="FJ3835" s="36" t="str">
        <f>IF($FH3835="","",SUM($FN3835:$FN$7000))</f>
        <v/>
      </c>
      <c r="FK3835" s="36" t="str">
        <f>IF($FH3835="","",SUM($FN3835:$FN$7000))</f>
        <v/>
      </c>
    </row>
    <row r="3836" spans="164:167">
      <c r="FH3836" s="29" t="str">
        <f t="shared" si="114"/>
        <v/>
      </c>
      <c r="FJ3836" s="36" t="str">
        <f>IF($FH3836="","",SUM($FN3836:$FN$7000))</f>
        <v/>
      </c>
      <c r="FK3836" s="36" t="str">
        <f>IF($FH3836="","",SUM($FN3836:$FN$7000))</f>
        <v/>
      </c>
    </row>
    <row r="3837" spans="164:167">
      <c r="FH3837" s="29" t="str">
        <f t="shared" si="114"/>
        <v/>
      </c>
      <c r="FJ3837" s="36" t="str">
        <f>IF($FH3837="","",SUM($FN3837:$FN$7000))</f>
        <v/>
      </c>
      <c r="FK3837" s="36" t="str">
        <f>IF($FH3837="","",SUM($FN3837:$FN$7000))</f>
        <v/>
      </c>
    </row>
    <row r="3838" spans="164:167">
      <c r="FH3838" s="29" t="str">
        <f t="shared" si="114"/>
        <v/>
      </c>
      <c r="FJ3838" s="36" t="str">
        <f>IF($FH3838="","",SUM($FN3838:$FN$7000))</f>
        <v/>
      </c>
      <c r="FK3838" s="36" t="str">
        <f>IF($FH3838="","",SUM($FN3838:$FN$7000))</f>
        <v/>
      </c>
    </row>
    <row r="3839" spans="164:167">
      <c r="FH3839" s="29" t="str">
        <f t="shared" si="114"/>
        <v/>
      </c>
      <c r="FJ3839" s="36" t="str">
        <f>IF($FH3839="","",SUM($FN3839:$FN$7000))</f>
        <v/>
      </c>
      <c r="FK3839" s="36" t="str">
        <f>IF($FH3839="","",SUM($FN3839:$FN$7000))</f>
        <v/>
      </c>
    </row>
    <row r="3840" spans="164:167">
      <c r="FH3840" s="29" t="str">
        <f t="shared" si="114"/>
        <v/>
      </c>
      <c r="FJ3840" s="36" t="str">
        <f>IF($FH3840="","",SUM($FN3840:$FN$7000))</f>
        <v/>
      </c>
      <c r="FK3840" s="36" t="str">
        <f>IF($FH3840="","",SUM($FN3840:$FN$7000))</f>
        <v/>
      </c>
    </row>
    <row r="3841" spans="164:167">
      <c r="FH3841" s="29" t="str">
        <f t="shared" si="114"/>
        <v/>
      </c>
      <c r="FJ3841" s="36" t="str">
        <f>IF($FH3841="","",SUM($FN3841:$FN$7000))</f>
        <v/>
      </c>
      <c r="FK3841" s="36" t="str">
        <f>IF($FH3841="","",SUM($FN3841:$FN$7000))</f>
        <v/>
      </c>
    </row>
    <row r="3842" spans="164:167">
      <c r="FH3842" s="29" t="str">
        <f t="shared" si="114"/>
        <v/>
      </c>
      <c r="FJ3842" s="36" t="str">
        <f>IF($FH3842="","",SUM($FN3842:$FN$7000))</f>
        <v/>
      </c>
      <c r="FK3842" s="36" t="str">
        <f>IF($FH3842="","",SUM($FN3842:$FN$7000))</f>
        <v/>
      </c>
    </row>
    <row r="3843" spans="164:167">
      <c r="FH3843" s="29" t="str">
        <f t="shared" si="114"/>
        <v/>
      </c>
      <c r="FJ3843" s="36" t="str">
        <f>IF($FH3843="","",SUM($FN3843:$FN$7000))</f>
        <v/>
      </c>
      <c r="FK3843" s="36" t="str">
        <f>IF($FH3843="","",SUM($FN3843:$FN$7000))</f>
        <v/>
      </c>
    </row>
    <row r="3844" spans="164:167">
      <c r="FH3844" s="29" t="str">
        <f t="shared" si="114"/>
        <v/>
      </c>
      <c r="FJ3844" s="36" t="str">
        <f>IF($FH3844="","",SUM($FN3844:$FN$7000))</f>
        <v/>
      </c>
      <c r="FK3844" s="36" t="str">
        <f>IF($FH3844="","",SUM($FN3844:$FN$7000))</f>
        <v/>
      </c>
    </row>
    <row r="3845" spans="164:167">
      <c r="FH3845" s="29" t="str">
        <f t="shared" si="114"/>
        <v/>
      </c>
      <c r="FJ3845" s="36" t="str">
        <f>IF($FH3845="","",SUM($FN3845:$FN$7000))</f>
        <v/>
      </c>
      <c r="FK3845" s="36" t="str">
        <f>IF($FH3845="","",SUM($FN3845:$FN$7000))</f>
        <v/>
      </c>
    </row>
    <row r="3846" spans="164:167">
      <c r="FH3846" s="29" t="str">
        <f t="shared" si="114"/>
        <v/>
      </c>
      <c r="FJ3846" s="36" t="str">
        <f>IF($FH3846="","",SUM($FN3846:$FN$7000))</f>
        <v/>
      </c>
      <c r="FK3846" s="36" t="str">
        <f>IF($FH3846="","",SUM($FN3846:$FN$7000))</f>
        <v/>
      </c>
    </row>
    <row r="3847" spans="164:167">
      <c r="FH3847" s="29" t="str">
        <f t="shared" si="114"/>
        <v/>
      </c>
      <c r="FJ3847" s="36" t="str">
        <f>IF($FH3847="","",SUM($FN3847:$FN$7000))</f>
        <v/>
      </c>
      <c r="FK3847" s="36" t="str">
        <f>IF($FH3847="","",SUM($FN3847:$FN$7000))</f>
        <v/>
      </c>
    </row>
    <row r="3848" spans="164:167">
      <c r="FH3848" s="29" t="str">
        <f t="shared" si="114"/>
        <v/>
      </c>
      <c r="FJ3848" s="36" t="str">
        <f>IF($FH3848="","",SUM($FN3848:$FN$7000))</f>
        <v/>
      </c>
      <c r="FK3848" s="36" t="str">
        <f>IF($FH3848="","",SUM($FN3848:$FN$7000))</f>
        <v/>
      </c>
    </row>
    <row r="3849" spans="164:167">
      <c r="FH3849" s="29" t="str">
        <f t="shared" si="114"/>
        <v/>
      </c>
      <c r="FJ3849" s="36" t="str">
        <f>IF($FH3849="","",SUM($FN3849:$FN$7000))</f>
        <v/>
      </c>
      <c r="FK3849" s="36" t="str">
        <f>IF($FH3849="","",SUM($FN3849:$FN$7000))</f>
        <v/>
      </c>
    </row>
    <row r="3850" spans="164:167">
      <c r="FH3850" s="29" t="str">
        <f t="shared" si="114"/>
        <v/>
      </c>
      <c r="FJ3850" s="36" t="str">
        <f>IF($FH3850="","",SUM($FN3850:$FN$7000))</f>
        <v/>
      </c>
      <c r="FK3850" s="36" t="str">
        <f>IF($FH3850="","",SUM($FN3850:$FN$7000))</f>
        <v/>
      </c>
    </row>
    <row r="3851" spans="164:167">
      <c r="FH3851" s="29" t="str">
        <f t="shared" ref="FH3851:FH3914" si="115">IF(FL3851="","",FL3851)</f>
        <v/>
      </c>
      <c r="FJ3851" s="36" t="str">
        <f>IF($FH3851="","",SUM($FN3851:$FN$7000))</f>
        <v/>
      </c>
      <c r="FK3851" s="36" t="str">
        <f>IF($FH3851="","",SUM($FN3851:$FN$7000))</f>
        <v/>
      </c>
    </row>
    <row r="3852" spans="164:167">
      <c r="FH3852" s="29" t="str">
        <f t="shared" si="115"/>
        <v/>
      </c>
      <c r="FJ3852" s="36" t="str">
        <f>IF($FH3852="","",SUM($FN3852:$FN$7000))</f>
        <v/>
      </c>
      <c r="FK3852" s="36" t="str">
        <f>IF($FH3852="","",SUM($FN3852:$FN$7000))</f>
        <v/>
      </c>
    </row>
    <row r="3853" spans="164:167">
      <c r="FH3853" s="29" t="str">
        <f t="shared" si="115"/>
        <v/>
      </c>
      <c r="FJ3853" s="36" t="str">
        <f>IF($FH3853="","",SUM($FN3853:$FN$7000))</f>
        <v/>
      </c>
      <c r="FK3853" s="36" t="str">
        <f>IF($FH3853="","",SUM($FN3853:$FN$7000))</f>
        <v/>
      </c>
    </row>
    <row r="3854" spans="164:167">
      <c r="FH3854" s="29" t="str">
        <f t="shared" si="115"/>
        <v/>
      </c>
      <c r="FJ3854" s="36" t="str">
        <f>IF($FH3854="","",SUM($FN3854:$FN$7000))</f>
        <v/>
      </c>
      <c r="FK3854" s="36" t="str">
        <f>IF($FH3854="","",SUM($FN3854:$FN$7000))</f>
        <v/>
      </c>
    </row>
    <row r="3855" spans="164:167">
      <c r="FH3855" s="29" t="str">
        <f t="shared" si="115"/>
        <v/>
      </c>
      <c r="FJ3855" s="36" t="str">
        <f>IF($FH3855="","",SUM($FN3855:$FN$7000))</f>
        <v/>
      </c>
      <c r="FK3855" s="36" t="str">
        <f>IF($FH3855="","",SUM($FN3855:$FN$7000))</f>
        <v/>
      </c>
    </row>
    <row r="3856" spans="164:167">
      <c r="FH3856" s="29" t="str">
        <f t="shared" si="115"/>
        <v/>
      </c>
      <c r="FJ3856" s="36" t="str">
        <f>IF($FH3856="","",SUM($FN3856:$FN$7000))</f>
        <v/>
      </c>
      <c r="FK3856" s="36" t="str">
        <f>IF($FH3856="","",SUM($FN3856:$FN$7000))</f>
        <v/>
      </c>
    </row>
    <row r="3857" spans="164:167">
      <c r="FH3857" s="29" t="str">
        <f t="shared" si="115"/>
        <v/>
      </c>
      <c r="FJ3857" s="36" t="str">
        <f>IF($FH3857="","",SUM($FN3857:$FN$7000))</f>
        <v/>
      </c>
      <c r="FK3857" s="36" t="str">
        <f>IF($FH3857="","",SUM($FN3857:$FN$7000))</f>
        <v/>
      </c>
    </row>
    <row r="3858" spans="164:167">
      <c r="FH3858" s="29" t="str">
        <f t="shared" si="115"/>
        <v/>
      </c>
      <c r="FJ3858" s="36" t="str">
        <f>IF($FH3858="","",SUM($FN3858:$FN$7000))</f>
        <v/>
      </c>
      <c r="FK3858" s="36" t="str">
        <f>IF($FH3858="","",SUM($FN3858:$FN$7000))</f>
        <v/>
      </c>
    </row>
    <row r="3859" spans="164:167">
      <c r="FH3859" s="29" t="str">
        <f t="shared" si="115"/>
        <v/>
      </c>
      <c r="FJ3859" s="36" t="str">
        <f>IF($FH3859="","",SUM($FN3859:$FN$7000))</f>
        <v/>
      </c>
      <c r="FK3859" s="36" t="str">
        <f>IF($FH3859="","",SUM($FN3859:$FN$7000))</f>
        <v/>
      </c>
    </row>
    <row r="3860" spans="164:167">
      <c r="FH3860" s="29" t="str">
        <f t="shared" si="115"/>
        <v/>
      </c>
      <c r="FJ3860" s="36" t="str">
        <f>IF($FH3860="","",SUM($FN3860:$FN$7000))</f>
        <v/>
      </c>
      <c r="FK3860" s="36" t="str">
        <f>IF($FH3860="","",SUM($FN3860:$FN$7000))</f>
        <v/>
      </c>
    </row>
    <row r="3861" spans="164:167">
      <c r="FH3861" s="29" t="str">
        <f t="shared" si="115"/>
        <v/>
      </c>
      <c r="FJ3861" s="36" t="str">
        <f>IF($FH3861="","",SUM($FN3861:$FN$7000))</f>
        <v/>
      </c>
      <c r="FK3861" s="36" t="str">
        <f>IF($FH3861="","",SUM($FN3861:$FN$7000))</f>
        <v/>
      </c>
    </row>
    <row r="3862" spans="164:167">
      <c r="FH3862" s="29" t="str">
        <f t="shared" si="115"/>
        <v/>
      </c>
      <c r="FJ3862" s="36" t="str">
        <f>IF($FH3862="","",SUM($FN3862:$FN$7000))</f>
        <v/>
      </c>
      <c r="FK3862" s="36" t="str">
        <f>IF($FH3862="","",SUM($FN3862:$FN$7000))</f>
        <v/>
      </c>
    </row>
    <row r="3863" spans="164:167">
      <c r="FH3863" s="29" t="str">
        <f t="shared" si="115"/>
        <v/>
      </c>
      <c r="FJ3863" s="36" t="str">
        <f>IF($FH3863="","",SUM($FN3863:$FN$7000))</f>
        <v/>
      </c>
      <c r="FK3863" s="36" t="str">
        <f>IF($FH3863="","",SUM($FN3863:$FN$7000))</f>
        <v/>
      </c>
    </row>
    <row r="3864" spans="164:167">
      <c r="FH3864" s="29" t="str">
        <f t="shared" si="115"/>
        <v/>
      </c>
      <c r="FJ3864" s="36" t="str">
        <f>IF($FH3864="","",SUM($FN3864:$FN$7000))</f>
        <v/>
      </c>
      <c r="FK3864" s="36" t="str">
        <f>IF($FH3864="","",SUM($FN3864:$FN$7000))</f>
        <v/>
      </c>
    </row>
    <row r="3865" spans="164:167">
      <c r="FH3865" s="29" t="str">
        <f t="shared" si="115"/>
        <v/>
      </c>
      <c r="FJ3865" s="36" t="str">
        <f>IF($FH3865="","",SUM($FN3865:$FN$7000))</f>
        <v/>
      </c>
      <c r="FK3865" s="36" t="str">
        <f>IF($FH3865="","",SUM($FN3865:$FN$7000))</f>
        <v/>
      </c>
    </row>
    <row r="3866" spans="164:167">
      <c r="FH3866" s="29" t="str">
        <f t="shared" si="115"/>
        <v/>
      </c>
      <c r="FJ3866" s="36" t="str">
        <f>IF($FH3866="","",SUM($FN3866:$FN$7000))</f>
        <v/>
      </c>
      <c r="FK3866" s="36" t="str">
        <f>IF($FH3866="","",SUM($FN3866:$FN$7000))</f>
        <v/>
      </c>
    </row>
    <row r="3867" spans="164:167">
      <c r="FH3867" s="29" t="str">
        <f t="shared" si="115"/>
        <v/>
      </c>
      <c r="FJ3867" s="36" t="str">
        <f>IF($FH3867="","",SUM($FN3867:$FN$7000))</f>
        <v/>
      </c>
      <c r="FK3867" s="36" t="str">
        <f>IF($FH3867="","",SUM($FN3867:$FN$7000))</f>
        <v/>
      </c>
    </row>
    <row r="3868" spans="164:167">
      <c r="FH3868" s="29" t="str">
        <f t="shared" si="115"/>
        <v/>
      </c>
      <c r="FJ3868" s="36" t="str">
        <f>IF($FH3868="","",SUM($FN3868:$FN$7000))</f>
        <v/>
      </c>
      <c r="FK3868" s="36" t="str">
        <f>IF($FH3868="","",SUM($FN3868:$FN$7000))</f>
        <v/>
      </c>
    </row>
    <row r="3869" spans="164:167">
      <c r="FH3869" s="29" t="str">
        <f t="shared" si="115"/>
        <v/>
      </c>
      <c r="FJ3869" s="36" t="str">
        <f>IF($FH3869="","",SUM($FN3869:$FN$7000))</f>
        <v/>
      </c>
      <c r="FK3869" s="36" t="str">
        <f>IF($FH3869="","",SUM($FN3869:$FN$7000))</f>
        <v/>
      </c>
    </row>
    <row r="3870" spans="164:167">
      <c r="FH3870" s="29" t="str">
        <f t="shared" si="115"/>
        <v/>
      </c>
      <c r="FJ3870" s="36" t="str">
        <f>IF($FH3870="","",SUM($FN3870:$FN$7000))</f>
        <v/>
      </c>
      <c r="FK3870" s="36" t="str">
        <f>IF($FH3870="","",SUM($FN3870:$FN$7000))</f>
        <v/>
      </c>
    </row>
    <row r="3871" spans="164:167">
      <c r="FH3871" s="29" t="str">
        <f t="shared" si="115"/>
        <v/>
      </c>
      <c r="FJ3871" s="36" t="str">
        <f>IF($FH3871="","",SUM($FN3871:$FN$7000))</f>
        <v/>
      </c>
      <c r="FK3871" s="36" t="str">
        <f>IF($FH3871="","",SUM($FN3871:$FN$7000))</f>
        <v/>
      </c>
    </row>
    <row r="3872" spans="164:167">
      <c r="FH3872" s="29" t="str">
        <f t="shared" si="115"/>
        <v/>
      </c>
      <c r="FJ3872" s="36" t="str">
        <f>IF($FH3872="","",SUM($FN3872:$FN$7000))</f>
        <v/>
      </c>
      <c r="FK3872" s="36" t="str">
        <f>IF($FH3872="","",SUM($FN3872:$FN$7000))</f>
        <v/>
      </c>
    </row>
    <row r="3873" spans="164:167">
      <c r="FH3873" s="29" t="str">
        <f t="shared" si="115"/>
        <v/>
      </c>
      <c r="FJ3873" s="36" t="str">
        <f>IF($FH3873="","",SUM($FN3873:$FN$7000))</f>
        <v/>
      </c>
      <c r="FK3873" s="36" t="str">
        <f>IF($FH3873="","",SUM($FN3873:$FN$7000))</f>
        <v/>
      </c>
    </row>
    <row r="3874" spans="164:167">
      <c r="FH3874" s="29" t="str">
        <f t="shared" si="115"/>
        <v/>
      </c>
      <c r="FJ3874" s="36" t="str">
        <f>IF($FH3874="","",SUM($FN3874:$FN$7000))</f>
        <v/>
      </c>
      <c r="FK3874" s="36" t="str">
        <f>IF($FH3874="","",SUM($FN3874:$FN$7000))</f>
        <v/>
      </c>
    </row>
    <row r="3875" spans="164:167">
      <c r="FH3875" s="29" t="str">
        <f t="shared" si="115"/>
        <v/>
      </c>
      <c r="FJ3875" s="36" t="str">
        <f>IF($FH3875="","",SUM($FN3875:$FN$7000))</f>
        <v/>
      </c>
      <c r="FK3875" s="36" t="str">
        <f>IF($FH3875="","",SUM($FN3875:$FN$7000))</f>
        <v/>
      </c>
    </row>
    <row r="3876" spans="164:167">
      <c r="FH3876" s="29" t="str">
        <f t="shared" si="115"/>
        <v/>
      </c>
      <c r="FJ3876" s="36" t="str">
        <f>IF($FH3876="","",SUM($FN3876:$FN$7000))</f>
        <v/>
      </c>
      <c r="FK3876" s="36" t="str">
        <f>IF($FH3876="","",SUM($FN3876:$FN$7000))</f>
        <v/>
      </c>
    </row>
    <row r="3877" spans="164:167">
      <c r="FH3877" s="29" t="str">
        <f t="shared" si="115"/>
        <v/>
      </c>
      <c r="FJ3877" s="36" t="str">
        <f>IF($FH3877="","",SUM($FN3877:$FN$7000))</f>
        <v/>
      </c>
      <c r="FK3877" s="36" t="str">
        <f>IF($FH3877="","",SUM($FN3877:$FN$7000))</f>
        <v/>
      </c>
    </row>
    <row r="3878" spans="164:167">
      <c r="FH3878" s="29" t="str">
        <f t="shared" si="115"/>
        <v/>
      </c>
      <c r="FJ3878" s="36" t="str">
        <f>IF($FH3878="","",SUM($FN3878:$FN$7000))</f>
        <v/>
      </c>
      <c r="FK3878" s="36" t="str">
        <f>IF($FH3878="","",SUM($FN3878:$FN$7000))</f>
        <v/>
      </c>
    </row>
    <row r="3879" spans="164:167">
      <c r="FH3879" s="29" t="str">
        <f t="shared" si="115"/>
        <v/>
      </c>
      <c r="FJ3879" s="36" t="str">
        <f>IF($FH3879="","",SUM($FN3879:$FN$7000))</f>
        <v/>
      </c>
      <c r="FK3879" s="36" t="str">
        <f>IF($FH3879="","",SUM($FN3879:$FN$7000))</f>
        <v/>
      </c>
    </row>
    <row r="3880" spans="164:167">
      <c r="FH3880" s="29" t="str">
        <f t="shared" si="115"/>
        <v/>
      </c>
      <c r="FJ3880" s="36" t="str">
        <f>IF($FH3880="","",SUM($FN3880:$FN$7000))</f>
        <v/>
      </c>
      <c r="FK3880" s="36" t="str">
        <f>IF($FH3880="","",SUM($FN3880:$FN$7000))</f>
        <v/>
      </c>
    </row>
    <row r="3881" spans="164:167">
      <c r="FH3881" s="29" t="str">
        <f t="shared" si="115"/>
        <v/>
      </c>
      <c r="FJ3881" s="36" t="str">
        <f>IF($FH3881="","",SUM($FN3881:$FN$7000))</f>
        <v/>
      </c>
      <c r="FK3881" s="36" t="str">
        <f>IF($FH3881="","",SUM($FN3881:$FN$7000))</f>
        <v/>
      </c>
    </row>
    <row r="3882" spans="164:167">
      <c r="FH3882" s="29" t="str">
        <f t="shared" si="115"/>
        <v/>
      </c>
      <c r="FJ3882" s="36" t="str">
        <f>IF($FH3882="","",SUM($FN3882:$FN$7000))</f>
        <v/>
      </c>
      <c r="FK3882" s="36" t="str">
        <f>IF($FH3882="","",SUM($FN3882:$FN$7000))</f>
        <v/>
      </c>
    </row>
    <row r="3883" spans="164:167">
      <c r="FH3883" s="29" t="str">
        <f t="shared" si="115"/>
        <v/>
      </c>
      <c r="FJ3883" s="36" t="str">
        <f>IF($FH3883="","",SUM($FN3883:$FN$7000))</f>
        <v/>
      </c>
      <c r="FK3883" s="36" t="str">
        <f>IF($FH3883="","",SUM($FN3883:$FN$7000))</f>
        <v/>
      </c>
    </row>
    <row r="3884" spans="164:167">
      <c r="FH3884" s="29" t="str">
        <f t="shared" si="115"/>
        <v/>
      </c>
      <c r="FJ3884" s="36" t="str">
        <f>IF($FH3884="","",SUM($FN3884:$FN$7000))</f>
        <v/>
      </c>
      <c r="FK3884" s="36" t="str">
        <f>IF($FH3884="","",SUM($FN3884:$FN$7000))</f>
        <v/>
      </c>
    </row>
    <row r="3885" spans="164:167">
      <c r="FH3885" s="29" t="str">
        <f t="shared" si="115"/>
        <v/>
      </c>
      <c r="FJ3885" s="36" t="str">
        <f>IF($FH3885="","",SUM($FN3885:$FN$7000))</f>
        <v/>
      </c>
      <c r="FK3885" s="36" t="str">
        <f>IF($FH3885="","",SUM($FN3885:$FN$7000))</f>
        <v/>
      </c>
    </row>
    <row r="3886" spans="164:167">
      <c r="FH3886" s="29" t="str">
        <f t="shared" si="115"/>
        <v/>
      </c>
      <c r="FJ3886" s="36" t="str">
        <f>IF($FH3886="","",SUM($FN3886:$FN$7000))</f>
        <v/>
      </c>
      <c r="FK3886" s="36" t="str">
        <f>IF($FH3886="","",SUM($FN3886:$FN$7000))</f>
        <v/>
      </c>
    </row>
    <row r="3887" spans="164:167">
      <c r="FH3887" s="29" t="str">
        <f t="shared" si="115"/>
        <v/>
      </c>
      <c r="FJ3887" s="36" t="str">
        <f>IF($FH3887="","",SUM($FN3887:$FN$7000))</f>
        <v/>
      </c>
      <c r="FK3887" s="36" t="str">
        <f>IF($FH3887="","",SUM($FN3887:$FN$7000))</f>
        <v/>
      </c>
    </row>
    <row r="3888" spans="164:167">
      <c r="FH3888" s="29" t="str">
        <f t="shared" si="115"/>
        <v/>
      </c>
      <c r="FJ3888" s="36" t="str">
        <f>IF($FH3888="","",SUM($FN3888:$FN$7000))</f>
        <v/>
      </c>
      <c r="FK3888" s="36" t="str">
        <f>IF($FH3888="","",SUM($FN3888:$FN$7000))</f>
        <v/>
      </c>
    </row>
    <row r="3889" spans="164:167">
      <c r="FH3889" s="29" t="str">
        <f t="shared" si="115"/>
        <v/>
      </c>
      <c r="FJ3889" s="36" t="str">
        <f>IF($FH3889="","",SUM($FN3889:$FN$7000))</f>
        <v/>
      </c>
      <c r="FK3889" s="36" t="str">
        <f>IF($FH3889="","",SUM($FN3889:$FN$7000))</f>
        <v/>
      </c>
    </row>
    <row r="3890" spans="164:167">
      <c r="FH3890" s="29" t="str">
        <f t="shared" si="115"/>
        <v/>
      </c>
      <c r="FJ3890" s="36" t="str">
        <f>IF($FH3890="","",SUM($FN3890:$FN$7000))</f>
        <v/>
      </c>
      <c r="FK3890" s="36" t="str">
        <f>IF($FH3890="","",SUM($FN3890:$FN$7000))</f>
        <v/>
      </c>
    </row>
    <row r="3891" spans="164:167">
      <c r="FH3891" s="29" t="str">
        <f t="shared" si="115"/>
        <v/>
      </c>
      <c r="FJ3891" s="36" t="str">
        <f>IF($FH3891="","",SUM($FN3891:$FN$7000))</f>
        <v/>
      </c>
      <c r="FK3891" s="36" t="str">
        <f>IF($FH3891="","",SUM($FN3891:$FN$7000))</f>
        <v/>
      </c>
    </row>
    <row r="3892" spans="164:167">
      <c r="FH3892" s="29" t="str">
        <f t="shared" si="115"/>
        <v/>
      </c>
      <c r="FJ3892" s="36" t="str">
        <f>IF($FH3892="","",SUM($FN3892:$FN$7000))</f>
        <v/>
      </c>
      <c r="FK3892" s="36" t="str">
        <f>IF($FH3892="","",SUM($FN3892:$FN$7000))</f>
        <v/>
      </c>
    </row>
    <row r="3893" spans="164:167">
      <c r="FH3893" s="29" t="str">
        <f t="shared" si="115"/>
        <v/>
      </c>
      <c r="FJ3893" s="36" t="str">
        <f>IF($FH3893="","",SUM($FN3893:$FN$7000))</f>
        <v/>
      </c>
      <c r="FK3893" s="36" t="str">
        <f>IF($FH3893="","",SUM($FN3893:$FN$7000))</f>
        <v/>
      </c>
    </row>
    <row r="3894" spans="164:167">
      <c r="FH3894" s="29" t="str">
        <f t="shared" si="115"/>
        <v/>
      </c>
      <c r="FJ3894" s="36" t="str">
        <f>IF($FH3894="","",SUM($FN3894:$FN$7000))</f>
        <v/>
      </c>
      <c r="FK3894" s="36" t="str">
        <f>IF($FH3894="","",SUM($FN3894:$FN$7000))</f>
        <v/>
      </c>
    </row>
    <row r="3895" spans="164:167">
      <c r="FH3895" s="29" t="str">
        <f t="shared" si="115"/>
        <v/>
      </c>
      <c r="FJ3895" s="36" t="str">
        <f>IF($FH3895="","",SUM($FN3895:$FN$7000))</f>
        <v/>
      </c>
      <c r="FK3895" s="36" t="str">
        <f>IF($FH3895="","",SUM($FN3895:$FN$7000))</f>
        <v/>
      </c>
    </row>
    <row r="3896" spans="164:167">
      <c r="FH3896" s="29" t="str">
        <f t="shared" si="115"/>
        <v/>
      </c>
      <c r="FJ3896" s="36" t="str">
        <f>IF($FH3896="","",SUM($FN3896:$FN$7000))</f>
        <v/>
      </c>
      <c r="FK3896" s="36" t="str">
        <f>IF($FH3896="","",SUM($FN3896:$FN$7000))</f>
        <v/>
      </c>
    </row>
    <row r="3897" spans="164:167">
      <c r="FH3897" s="29" t="str">
        <f t="shared" si="115"/>
        <v/>
      </c>
      <c r="FJ3897" s="36" t="str">
        <f>IF($FH3897="","",SUM($FN3897:$FN$7000))</f>
        <v/>
      </c>
      <c r="FK3897" s="36" t="str">
        <f>IF($FH3897="","",SUM($FN3897:$FN$7000))</f>
        <v/>
      </c>
    </row>
    <row r="3898" spans="164:167">
      <c r="FH3898" s="29" t="str">
        <f t="shared" si="115"/>
        <v/>
      </c>
      <c r="FJ3898" s="36" t="str">
        <f>IF($FH3898="","",SUM($FN3898:$FN$7000))</f>
        <v/>
      </c>
      <c r="FK3898" s="36" t="str">
        <f>IF($FH3898="","",SUM($FN3898:$FN$7000))</f>
        <v/>
      </c>
    </row>
    <row r="3899" spans="164:167">
      <c r="FH3899" s="29" t="str">
        <f t="shared" si="115"/>
        <v/>
      </c>
      <c r="FJ3899" s="36" t="str">
        <f>IF($FH3899="","",SUM($FN3899:$FN$7000))</f>
        <v/>
      </c>
      <c r="FK3899" s="36" t="str">
        <f>IF($FH3899="","",SUM($FN3899:$FN$7000))</f>
        <v/>
      </c>
    </row>
    <row r="3900" spans="164:167">
      <c r="FH3900" s="29" t="str">
        <f t="shared" si="115"/>
        <v/>
      </c>
      <c r="FJ3900" s="36" t="str">
        <f>IF($FH3900="","",SUM($FN3900:$FN$7000))</f>
        <v/>
      </c>
      <c r="FK3900" s="36" t="str">
        <f>IF($FH3900="","",SUM($FN3900:$FN$7000))</f>
        <v/>
      </c>
    </row>
    <row r="3901" spans="164:167">
      <c r="FH3901" s="29" t="str">
        <f t="shared" si="115"/>
        <v/>
      </c>
      <c r="FJ3901" s="36" t="str">
        <f>IF($FH3901="","",SUM($FN3901:$FN$7000))</f>
        <v/>
      </c>
      <c r="FK3901" s="36" t="str">
        <f>IF($FH3901="","",SUM($FN3901:$FN$7000))</f>
        <v/>
      </c>
    </row>
    <row r="3902" spans="164:167">
      <c r="FH3902" s="29" t="str">
        <f t="shared" si="115"/>
        <v/>
      </c>
      <c r="FJ3902" s="36" t="str">
        <f>IF($FH3902="","",SUM($FN3902:$FN$7000))</f>
        <v/>
      </c>
      <c r="FK3902" s="36" t="str">
        <f>IF($FH3902="","",SUM($FN3902:$FN$7000))</f>
        <v/>
      </c>
    </row>
    <row r="3903" spans="164:167">
      <c r="FH3903" s="29" t="str">
        <f t="shared" si="115"/>
        <v/>
      </c>
      <c r="FJ3903" s="36" t="str">
        <f>IF($FH3903="","",SUM($FN3903:$FN$7000))</f>
        <v/>
      </c>
      <c r="FK3903" s="36" t="str">
        <f>IF($FH3903="","",SUM($FN3903:$FN$7000))</f>
        <v/>
      </c>
    </row>
    <row r="3904" spans="164:167">
      <c r="FH3904" s="29" t="str">
        <f t="shared" si="115"/>
        <v/>
      </c>
      <c r="FJ3904" s="36" t="str">
        <f>IF($FH3904="","",SUM($FN3904:$FN$7000))</f>
        <v/>
      </c>
      <c r="FK3904" s="36" t="str">
        <f>IF($FH3904="","",SUM($FN3904:$FN$7000))</f>
        <v/>
      </c>
    </row>
    <row r="3905" spans="164:167">
      <c r="FH3905" s="29" t="str">
        <f t="shared" si="115"/>
        <v/>
      </c>
      <c r="FJ3905" s="36" t="str">
        <f>IF($FH3905="","",SUM($FN3905:$FN$7000))</f>
        <v/>
      </c>
      <c r="FK3905" s="36" t="str">
        <f>IF($FH3905="","",SUM($FN3905:$FN$7000))</f>
        <v/>
      </c>
    </row>
    <row r="3906" spans="164:167">
      <c r="FH3906" s="29" t="str">
        <f t="shared" si="115"/>
        <v/>
      </c>
      <c r="FJ3906" s="36" t="str">
        <f>IF($FH3906="","",SUM($FN3906:$FN$7000))</f>
        <v/>
      </c>
      <c r="FK3906" s="36" t="str">
        <f>IF($FH3906="","",SUM($FN3906:$FN$7000))</f>
        <v/>
      </c>
    </row>
    <row r="3907" spans="164:167">
      <c r="FH3907" s="29" t="str">
        <f t="shared" si="115"/>
        <v/>
      </c>
      <c r="FJ3907" s="36" t="str">
        <f>IF($FH3907="","",SUM($FN3907:$FN$7000))</f>
        <v/>
      </c>
      <c r="FK3907" s="36" t="str">
        <f>IF($FH3907="","",SUM($FN3907:$FN$7000))</f>
        <v/>
      </c>
    </row>
    <row r="3908" spans="164:167">
      <c r="FH3908" s="29" t="str">
        <f t="shared" si="115"/>
        <v/>
      </c>
      <c r="FJ3908" s="36" t="str">
        <f>IF($FH3908="","",SUM($FN3908:$FN$7000))</f>
        <v/>
      </c>
      <c r="FK3908" s="36" t="str">
        <f>IF($FH3908="","",SUM($FN3908:$FN$7000))</f>
        <v/>
      </c>
    </row>
    <row r="3909" spans="164:167">
      <c r="FH3909" s="29" t="str">
        <f t="shared" si="115"/>
        <v/>
      </c>
      <c r="FJ3909" s="36" t="str">
        <f>IF($FH3909="","",SUM($FN3909:$FN$7000))</f>
        <v/>
      </c>
      <c r="FK3909" s="36" t="str">
        <f>IF($FH3909="","",SUM($FN3909:$FN$7000))</f>
        <v/>
      </c>
    </row>
    <row r="3910" spans="164:167">
      <c r="FH3910" s="29" t="str">
        <f t="shared" si="115"/>
        <v/>
      </c>
      <c r="FJ3910" s="36" t="str">
        <f>IF($FH3910="","",SUM($FN3910:$FN$7000))</f>
        <v/>
      </c>
      <c r="FK3910" s="36" t="str">
        <f>IF($FH3910="","",SUM($FN3910:$FN$7000))</f>
        <v/>
      </c>
    </row>
    <row r="3911" spans="164:167">
      <c r="FH3911" s="29" t="str">
        <f t="shared" si="115"/>
        <v/>
      </c>
      <c r="FJ3911" s="36" t="str">
        <f>IF($FH3911="","",SUM($FN3911:$FN$7000))</f>
        <v/>
      </c>
      <c r="FK3911" s="36" t="str">
        <f>IF($FH3911="","",SUM($FN3911:$FN$7000))</f>
        <v/>
      </c>
    </row>
    <row r="3912" spans="164:167">
      <c r="FH3912" s="29" t="str">
        <f t="shared" si="115"/>
        <v/>
      </c>
      <c r="FJ3912" s="36" t="str">
        <f>IF($FH3912="","",SUM($FN3912:$FN$7000))</f>
        <v/>
      </c>
      <c r="FK3912" s="36" t="str">
        <f>IF($FH3912="","",SUM($FN3912:$FN$7000))</f>
        <v/>
      </c>
    </row>
    <row r="3913" spans="164:167">
      <c r="FH3913" s="29" t="str">
        <f t="shared" si="115"/>
        <v/>
      </c>
      <c r="FJ3913" s="36" t="str">
        <f>IF($FH3913="","",SUM($FN3913:$FN$7000))</f>
        <v/>
      </c>
      <c r="FK3913" s="36" t="str">
        <f>IF($FH3913="","",SUM($FN3913:$FN$7000))</f>
        <v/>
      </c>
    </row>
    <row r="3914" spans="164:167">
      <c r="FH3914" s="29" t="str">
        <f t="shared" si="115"/>
        <v/>
      </c>
      <c r="FJ3914" s="36" t="str">
        <f>IF($FH3914="","",SUM($FN3914:$FN$7000))</f>
        <v/>
      </c>
      <c r="FK3914" s="36" t="str">
        <f>IF($FH3914="","",SUM($FN3914:$FN$7000))</f>
        <v/>
      </c>
    </row>
    <row r="3915" spans="164:167">
      <c r="FH3915" s="29" t="str">
        <f t="shared" ref="FH3915:FH3978" si="116">IF(FL3915="","",FL3915)</f>
        <v/>
      </c>
      <c r="FJ3915" s="36" t="str">
        <f>IF($FH3915="","",SUM($FN3915:$FN$7000))</f>
        <v/>
      </c>
      <c r="FK3915" s="36" t="str">
        <f>IF($FH3915="","",SUM($FN3915:$FN$7000))</f>
        <v/>
      </c>
    </row>
    <row r="3916" spans="164:167">
      <c r="FH3916" s="29" t="str">
        <f t="shared" si="116"/>
        <v/>
      </c>
      <c r="FJ3916" s="36" t="str">
        <f>IF($FH3916="","",SUM($FN3916:$FN$7000))</f>
        <v/>
      </c>
      <c r="FK3916" s="36" t="str">
        <f>IF($FH3916="","",SUM($FN3916:$FN$7000))</f>
        <v/>
      </c>
    </row>
    <row r="3917" spans="164:167">
      <c r="FH3917" s="29" t="str">
        <f t="shared" si="116"/>
        <v/>
      </c>
      <c r="FJ3917" s="36" t="str">
        <f>IF($FH3917="","",SUM($FN3917:$FN$7000))</f>
        <v/>
      </c>
      <c r="FK3917" s="36" t="str">
        <f>IF($FH3917="","",SUM($FN3917:$FN$7000))</f>
        <v/>
      </c>
    </row>
    <row r="3918" spans="164:167">
      <c r="FH3918" s="29" t="str">
        <f t="shared" si="116"/>
        <v/>
      </c>
      <c r="FJ3918" s="36" t="str">
        <f>IF($FH3918="","",SUM($FN3918:$FN$7000))</f>
        <v/>
      </c>
      <c r="FK3918" s="36" t="str">
        <f>IF($FH3918="","",SUM($FN3918:$FN$7000))</f>
        <v/>
      </c>
    </row>
    <row r="3919" spans="164:167">
      <c r="FH3919" s="29" t="str">
        <f t="shared" si="116"/>
        <v/>
      </c>
      <c r="FJ3919" s="36" t="str">
        <f>IF($FH3919="","",SUM($FN3919:$FN$7000))</f>
        <v/>
      </c>
      <c r="FK3919" s="36" t="str">
        <f>IF($FH3919="","",SUM($FN3919:$FN$7000))</f>
        <v/>
      </c>
    </row>
    <row r="3920" spans="164:167">
      <c r="FH3920" s="29" t="str">
        <f t="shared" si="116"/>
        <v/>
      </c>
      <c r="FJ3920" s="36" t="str">
        <f>IF($FH3920="","",SUM($FN3920:$FN$7000))</f>
        <v/>
      </c>
      <c r="FK3920" s="36" t="str">
        <f>IF($FH3920="","",SUM($FN3920:$FN$7000))</f>
        <v/>
      </c>
    </row>
    <row r="3921" spans="164:167">
      <c r="FH3921" s="29" t="str">
        <f t="shared" si="116"/>
        <v/>
      </c>
      <c r="FJ3921" s="36" t="str">
        <f>IF($FH3921="","",SUM($FN3921:$FN$7000))</f>
        <v/>
      </c>
      <c r="FK3921" s="36" t="str">
        <f>IF($FH3921="","",SUM($FN3921:$FN$7000))</f>
        <v/>
      </c>
    </row>
    <row r="3922" spans="164:167">
      <c r="FH3922" s="29" t="str">
        <f t="shared" si="116"/>
        <v/>
      </c>
      <c r="FJ3922" s="36" t="str">
        <f>IF($FH3922="","",SUM($FN3922:$FN$7000))</f>
        <v/>
      </c>
      <c r="FK3922" s="36" t="str">
        <f>IF($FH3922="","",SUM($FN3922:$FN$7000))</f>
        <v/>
      </c>
    </row>
    <row r="3923" spans="164:167">
      <c r="FH3923" s="29" t="str">
        <f t="shared" si="116"/>
        <v/>
      </c>
      <c r="FJ3923" s="36" t="str">
        <f>IF($FH3923="","",SUM($FN3923:$FN$7000))</f>
        <v/>
      </c>
      <c r="FK3923" s="36" t="str">
        <f>IF($FH3923="","",SUM($FN3923:$FN$7000))</f>
        <v/>
      </c>
    </row>
    <row r="3924" spans="164:167">
      <c r="FH3924" s="29" t="str">
        <f t="shared" si="116"/>
        <v/>
      </c>
      <c r="FJ3924" s="36" t="str">
        <f>IF($FH3924="","",SUM($FN3924:$FN$7000))</f>
        <v/>
      </c>
      <c r="FK3924" s="36" t="str">
        <f>IF($FH3924="","",SUM($FN3924:$FN$7000))</f>
        <v/>
      </c>
    </row>
    <row r="3925" spans="164:167">
      <c r="FH3925" s="29" t="str">
        <f t="shared" si="116"/>
        <v/>
      </c>
      <c r="FJ3925" s="36" t="str">
        <f>IF($FH3925="","",SUM($FN3925:$FN$7000))</f>
        <v/>
      </c>
      <c r="FK3925" s="36" t="str">
        <f>IF($FH3925="","",SUM($FN3925:$FN$7000))</f>
        <v/>
      </c>
    </row>
    <row r="3926" spans="164:167">
      <c r="FH3926" s="29" t="str">
        <f t="shared" si="116"/>
        <v/>
      </c>
      <c r="FJ3926" s="36" t="str">
        <f>IF($FH3926="","",SUM($FN3926:$FN$7000))</f>
        <v/>
      </c>
      <c r="FK3926" s="36" t="str">
        <f>IF($FH3926="","",SUM($FN3926:$FN$7000))</f>
        <v/>
      </c>
    </row>
    <row r="3927" spans="164:167">
      <c r="FH3927" s="29" t="str">
        <f t="shared" si="116"/>
        <v/>
      </c>
      <c r="FJ3927" s="36" t="str">
        <f>IF($FH3927="","",SUM($FN3927:$FN$7000))</f>
        <v/>
      </c>
      <c r="FK3927" s="36" t="str">
        <f>IF($FH3927="","",SUM($FN3927:$FN$7000))</f>
        <v/>
      </c>
    </row>
    <row r="3928" spans="164:167">
      <c r="FH3928" s="29" t="str">
        <f t="shared" si="116"/>
        <v/>
      </c>
      <c r="FJ3928" s="36" t="str">
        <f>IF($FH3928="","",SUM($FN3928:$FN$7000))</f>
        <v/>
      </c>
      <c r="FK3928" s="36" t="str">
        <f>IF($FH3928="","",SUM($FN3928:$FN$7000))</f>
        <v/>
      </c>
    </row>
    <row r="3929" spans="164:167">
      <c r="FH3929" s="29" t="str">
        <f t="shared" si="116"/>
        <v/>
      </c>
      <c r="FJ3929" s="36" t="str">
        <f>IF($FH3929="","",SUM($FN3929:$FN$7000))</f>
        <v/>
      </c>
      <c r="FK3929" s="36" t="str">
        <f>IF($FH3929="","",SUM($FN3929:$FN$7000))</f>
        <v/>
      </c>
    </row>
    <row r="3930" spans="164:167">
      <c r="FH3930" s="29" t="str">
        <f t="shared" si="116"/>
        <v/>
      </c>
      <c r="FJ3930" s="36" t="str">
        <f>IF($FH3930="","",SUM($FN3930:$FN$7000))</f>
        <v/>
      </c>
      <c r="FK3930" s="36" t="str">
        <f>IF($FH3930="","",SUM($FN3930:$FN$7000))</f>
        <v/>
      </c>
    </row>
    <row r="3931" spans="164:167">
      <c r="FH3931" s="29" t="str">
        <f t="shared" si="116"/>
        <v/>
      </c>
      <c r="FJ3931" s="36" t="str">
        <f>IF($FH3931="","",SUM($FN3931:$FN$7000))</f>
        <v/>
      </c>
      <c r="FK3931" s="36" t="str">
        <f>IF($FH3931="","",SUM($FN3931:$FN$7000))</f>
        <v/>
      </c>
    </row>
    <row r="3932" spans="164:167">
      <c r="FH3932" s="29" t="str">
        <f t="shared" si="116"/>
        <v/>
      </c>
      <c r="FJ3932" s="36" t="str">
        <f>IF($FH3932="","",SUM($FN3932:$FN$7000))</f>
        <v/>
      </c>
      <c r="FK3932" s="36" t="str">
        <f>IF($FH3932="","",SUM($FN3932:$FN$7000))</f>
        <v/>
      </c>
    </row>
    <row r="3933" spans="164:167">
      <c r="FH3933" s="29" t="str">
        <f t="shared" si="116"/>
        <v/>
      </c>
      <c r="FJ3933" s="36" t="str">
        <f>IF($FH3933="","",SUM($FN3933:$FN$7000))</f>
        <v/>
      </c>
      <c r="FK3933" s="36" t="str">
        <f>IF($FH3933="","",SUM($FN3933:$FN$7000))</f>
        <v/>
      </c>
    </row>
    <row r="3934" spans="164:167">
      <c r="FH3934" s="29" t="str">
        <f t="shared" si="116"/>
        <v/>
      </c>
      <c r="FJ3934" s="36" t="str">
        <f>IF($FH3934="","",SUM($FN3934:$FN$7000))</f>
        <v/>
      </c>
      <c r="FK3934" s="36" t="str">
        <f>IF($FH3934="","",SUM($FN3934:$FN$7000))</f>
        <v/>
      </c>
    </row>
    <row r="3935" spans="164:167">
      <c r="FH3935" s="29" t="str">
        <f t="shared" si="116"/>
        <v/>
      </c>
      <c r="FJ3935" s="36" t="str">
        <f>IF($FH3935="","",SUM($FN3935:$FN$7000))</f>
        <v/>
      </c>
      <c r="FK3935" s="36" t="str">
        <f>IF($FH3935="","",SUM($FN3935:$FN$7000))</f>
        <v/>
      </c>
    </row>
    <row r="3936" spans="164:167">
      <c r="FH3936" s="29" t="str">
        <f t="shared" si="116"/>
        <v/>
      </c>
      <c r="FJ3936" s="36" t="str">
        <f>IF($FH3936="","",SUM($FN3936:$FN$7000))</f>
        <v/>
      </c>
      <c r="FK3936" s="36" t="str">
        <f>IF($FH3936="","",SUM($FN3936:$FN$7000))</f>
        <v/>
      </c>
    </row>
    <row r="3937" spans="164:167">
      <c r="FH3937" s="29" t="str">
        <f t="shared" si="116"/>
        <v/>
      </c>
      <c r="FJ3937" s="36" t="str">
        <f>IF($FH3937="","",SUM($FN3937:$FN$7000))</f>
        <v/>
      </c>
      <c r="FK3937" s="36" t="str">
        <f>IF($FH3937="","",SUM($FN3937:$FN$7000))</f>
        <v/>
      </c>
    </row>
    <row r="3938" spans="164:167">
      <c r="FH3938" s="29" t="str">
        <f t="shared" si="116"/>
        <v/>
      </c>
      <c r="FJ3938" s="36" t="str">
        <f>IF($FH3938="","",SUM($FN3938:$FN$7000))</f>
        <v/>
      </c>
      <c r="FK3938" s="36" t="str">
        <f>IF($FH3938="","",SUM($FN3938:$FN$7000))</f>
        <v/>
      </c>
    </row>
    <row r="3939" spans="164:167">
      <c r="FH3939" s="29" t="str">
        <f t="shared" si="116"/>
        <v/>
      </c>
      <c r="FJ3939" s="36" t="str">
        <f>IF($FH3939="","",SUM($FN3939:$FN$7000))</f>
        <v/>
      </c>
      <c r="FK3939" s="36" t="str">
        <f>IF($FH3939="","",SUM($FN3939:$FN$7000))</f>
        <v/>
      </c>
    </row>
    <row r="3940" spans="164:167">
      <c r="FH3940" s="29" t="str">
        <f t="shared" si="116"/>
        <v/>
      </c>
      <c r="FJ3940" s="36" t="str">
        <f>IF($FH3940="","",SUM($FN3940:$FN$7000))</f>
        <v/>
      </c>
      <c r="FK3940" s="36" t="str">
        <f>IF($FH3940="","",SUM($FN3940:$FN$7000))</f>
        <v/>
      </c>
    </row>
    <row r="3941" spans="164:167">
      <c r="FH3941" s="29" t="str">
        <f t="shared" si="116"/>
        <v/>
      </c>
      <c r="FJ3941" s="36" t="str">
        <f>IF($FH3941="","",SUM($FN3941:$FN$7000))</f>
        <v/>
      </c>
      <c r="FK3941" s="36" t="str">
        <f>IF($FH3941="","",SUM($FN3941:$FN$7000))</f>
        <v/>
      </c>
    </row>
    <row r="3942" spans="164:167">
      <c r="FH3942" s="29" t="str">
        <f t="shared" si="116"/>
        <v/>
      </c>
      <c r="FJ3942" s="36" t="str">
        <f>IF($FH3942="","",SUM($FN3942:$FN$7000))</f>
        <v/>
      </c>
      <c r="FK3942" s="36" t="str">
        <f>IF($FH3942="","",SUM($FN3942:$FN$7000))</f>
        <v/>
      </c>
    </row>
    <row r="3943" spans="164:167">
      <c r="FH3943" s="29" t="str">
        <f t="shared" si="116"/>
        <v/>
      </c>
      <c r="FJ3943" s="36" t="str">
        <f>IF($FH3943="","",SUM($FN3943:$FN$7000))</f>
        <v/>
      </c>
      <c r="FK3943" s="36" t="str">
        <f>IF($FH3943="","",SUM($FN3943:$FN$7000))</f>
        <v/>
      </c>
    </row>
    <row r="3944" spans="164:167">
      <c r="FH3944" s="29" t="str">
        <f t="shared" si="116"/>
        <v/>
      </c>
      <c r="FJ3944" s="36" t="str">
        <f>IF($FH3944="","",SUM($FN3944:$FN$7000))</f>
        <v/>
      </c>
      <c r="FK3944" s="36" t="str">
        <f>IF($FH3944="","",SUM($FN3944:$FN$7000))</f>
        <v/>
      </c>
    </row>
    <row r="3945" spans="164:167">
      <c r="FH3945" s="29" t="str">
        <f t="shared" si="116"/>
        <v/>
      </c>
      <c r="FJ3945" s="36" t="str">
        <f>IF($FH3945="","",SUM($FN3945:$FN$7000))</f>
        <v/>
      </c>
      <c r="FK3945" s="36" t="str">
        <f>IF($FH3945="","",SUM($FN3945:$FN$7000))</f>
        <v/>
      </c>
    </row>
    <row r="3946" spans="164:167">
      <c r="FH3946" s="29" t="str">
        <f t="shared" si="116"/>
        <v/>
      </c>
      <c r="FJ3946" s="36" t="str">
        <f>IF($FH3946="","",SUM($FN3946:$FN$7000))</f>
        <v/>
      </c>
      <c r="FK3946" s="36" t="str">
        <f>IF($FH3946="","",SUM($FN3946:$FN$7000))</f>
        <v/>
      </c>
    </row>
    <row r="3947" spans="164:167">
      <c r="FH3947" s="29" t="str">
        <f t="shared" si="116"/>
        <v/>
      </c>
      <c r="FJ3947" s="36" t="str">
        <f>IF($FH3947="","",SUM($FN3947:$FN$7000))</f>
        <v/>
      </c>
      <c r="FK3947" s="36" t="str">
        <f>IF($FH3947="","",SUM($FN3947:$FN$7000))</f>
        <v/>
      </c>
    </row>
    <row r="3948" spans="164:167">
      <c r="FH3948" s="29" t="str">
        <f t="shared" si="116"/>
        <v/>
      </c>
      <c r="FJ3948" s="36" t="str">
        <f>IF($FH3948="","",SUM($FN3948:$FN$7000))</f>
        <v/>
      </c>
      <c r="FK3948" s="36" t="str">
        <f>IF($FH3948="","",SUM($FN3948:$FN$7000))</f>
        <v/>
      </c>
    </row>
    <row r="3949" spans="164:167">
      <c r="FH3949" s="29" t="str">
        <f t="shared" si="116"/>
        <v/>
      </c>
      <c r="FJ3949" s="36" t="str">
        <f>IF($FH3949="","",SUM($FN3949:$FN$7000))</f>
        <v/>
      </c>
      <c r="FK3949" s="36" t="str">
        <f>IF($FH3949="","",SUM($FN3949:$FN$7000))</f>
        <v/>
      </c>
    </row>
    <row r="3950" spans="164:167">
      <c r="FH3950" s="29" t="str">
        <f t="shared" si="116"/>
        <v/>
      </c>
      <c r="FJ3950" s="36" t="str">
        <f>IF($FH3950="","",SUM($FN3950:$FN$7000))</f>
        <v/>
      </c>
      <c r="FK3950" s="36" t="str">
        <f>IF($FH3950="","",SUM($FN3950:$FN$7000))</f>
        <v/>
      </c>
    </row>
    <row r="3951" spans="164:167">
      <c r="FH3951" s="29" t="str">
        <f t="shared" si="116"/>
        <v/>
      </c>
      <c r="FJ3951" s="36" t="str">
        <f>IF($FH3951="","",SUM($FN3951:$FN$7000))</f>
        <v/>
      </c>
      <c r="FK3951" s="36" t="str">
        <f>IF($FH3951="","",SUM($FN3951:$FN$7000))</f>
        <v/>
      </c>
    </row>
    <row r="3952" spans="164:167">
      <c r="FH3952" s="29" t="str">
        <f t="shared" si="116"/>
        <v/>
      </c>
      <c r="FJ3952" s="36" t="str">
        <f>IF($FH3952="","",SUM($FN3952:$FN$7000))</f>
        <v/>
      </c>
      <c r="FK3952" s="36" t="str">
        <f>IF($FH3952="","",SUM($FN3952:$FN$7000))</f>
        <v/>
      </c>
    </row>
    <row r="3953" spans="164:167">
      <c r="FH3953" s="29" t="str">
        <f t="shared" si="116"/>
        <v/>
      </c>
      <c r="FJ3953" s="36" t="str">
        <f>IF($FH3953="","",SUM($FN3953:$FN$7000))</f>
        <v/>
      </c>
      <c r="FK3953" s="36" t="str">
        <f>IF($FH3953="","",SUM($FN3953:$FN$7000))</f>
        <v/>
      </c>
    </row>
    <row r="3954" spans="164:167">
      <c r="FH3954" s="29" t="str">
        <f t="shared" si="116"/>
        <v/>
      </c>
      <c r="FJ3954" s="36" t="str">
        <f>IF($FH3954="","",SUM($FN3954:$FN$7000))</f>
        <v/>
      </c>
      <c r="FK3954" s="36" t="str">
        <f>IF($FH3954="","",SUM($FN3954:$FN$7000))</f>
        <v/>
      </c>
    </row>
    <row r="3955" spans="164:167">
      <c r="FH3955" s="29" t="str">
        <f t="shared" si="116"/>
        <v/>
      </c>
      <c r="FJ3955" s="36" t="str">
        <f>IF($FH3955="","",SUM($FN3955:$FN$7000))</f>
        <v/>
      </c>
      <c r="FK3955" s="36" t="str">
        <f>IF($FH3955="","",SUM($FN3955:$FN$7000))</f>
        <v/>
      </c>
    </row>
    <row r="3956" spans="164:167">
      <c r="FH3956" s="29" t="str">
        <f t="shared" si="116"/>
        <v/>
      </c>
      <c r="FJ3956" s="36" t="str">
        <f>IF($FH3956="","",SUM($FN3956:$FN$7000))</f>
        <v/>
      </c>
      <c r="FK3956" s="36" t="str">
        <f>IF($FH3956="","",SUM($FN3956:$FN$7000))</f>
        <v/>
      </c>
    </row>
    <row r="3957" spans="164:167">
      <c r="FH3957" s="29" t="str">
        <f t="shared" si="116"/>
        <v/>
      </c>
      <c r="FJ3957" s="36" t="str">
        <f>IF($FH3957="","",SUM($FN3957:$FN$7000))</f>
        <v/>
      </c>
      <c r="FK3957" s="36" t="str">
        <f>IF($FH3957="","",SUM($FN3957:$FN$7000))</f>
        <v/>
      </c>
    </row>
    <row r="3958" spans="164:167">
      <c r="FH3958" s="29" t="str">
        <f t="shared" si="116"/>
        <v/>
      </c>
      <c r="FJ3958" s="36" t="str">
        <f>IF($FH3958="","",SUM($FN3958:$FN$7000))</f>
        <v/>
      </c>
      <c r="FK3958" s="36" t="str">
        <f>IF($FH3958="","",SUM($FN3958:$FN$7000))</f>
        <v/>
      </c>
    </row>
    <row r="3959" spans="164:167">
      <c r="FH3959" s="29" t="str">
        <f t="shared" si="116"/>
        <v/>
      </c>
      <c r="FJ3959" s="36" t="str">
        <f>IF($FH3959="","",SUM($FN3959:$FN$7000))</f>
        <v/>
      </c>
      <c r="FK3959" s="36" t="str">
        <f>IF($FH3959="","",SUM($FN3959:$FN$7000))</f>
        <v/>
      </c>
    </row>
    <row r="3960" spans="164:167">
      <c r="FH3960" s="29" t="str">
        <f t="shared" si="116"/>
        <v/>
      </c>
      <c r="FJ3960" s="36" t="str">
        <f>IF($FH3960="","",SUM($FN3960:$FN$7000))</f>
        <v/>
      </c>
      <c r="FK3960" s="36" t="str">
        <f>IF($FH3960="","",SUM($FN3960:$FN$7000))</f>
        <v/>
      </c>
    </row>
    <row r="3961" spans="164:167">
      <c r="FH3961" s="29" t="str">
        <f t="shared" si="116"/>
        <v/>
      </c>
      <c r="FJ3961" s="36" t="str">
        <f>IF($FH3961="","",SUM($FN3961:$FN$7000))</f>
        <v/>
      </c>
      <c r="FK3961" s="36" t="str">
        <f>IF($FH3961="","",SUM($FN3961:$FN$7000))</f>
        <v/>
      </c>
    </row>
    <row r="3962" spans="164:167">
      <c r="FH3962" s="29" t="str">
        <f t="shared" si="116"/>
        <v/>
      </c>
      <c r="FJ3962" s="36" t="str">
        <f>IF($FH3962="","",SUM($FN3962:$FN$7000))</f>
        <v/>
      </c>
      <c r="FK3962" s="36" t="str">
        <f>IF($FH3962="","",SUM($FN3962:$FN$7000))</f>
        <v/>
      </c>
    </row>
    <row r="3963" spans="164:167">
      <c r="FH3963" s="29" t="str">
        <f t="shared" si="116"/>
        <v/>
      </c>
      <c r="FJ3963" s="36" t="str">
        <f>IF($FH3963="","",SUM($FN3963:$FN$7000))</f>
        <v/>
      </c>
      <c r="FK3963" s="36" t="str">
        <f>IF($FH3963="","",SUM($FN3963:$FN$7000))</f>
        <v/>
      </c>
    </row>
    <row r="3964" spans="164:167">
      <c r="FH3964" s="29" t="str">
        <f t="shared" si="116"/>
        <v/>
      </c>
      <c r="FJ3964" s="36" t="str">
        <f>IF($FH3964="","",SUM($FN3964:$FN$7000))</f>
        <v/>
      </c>
      <c r="FK3964" s="36" t="str">
        <f>IF($FH3964="","",SUM($FN3964:$FN$7000))</f>
        <v/>
      </c>
    </row>
    <row r="3965" spans="164:167">
      <c r="FH3965" s="29" t="str">
        <f t="shared" si="116"/>
        <v/>
      </c>
      <c r="FJ3965" s="36" t="str">
        <f>IF($FH3965="","",SUM($FN3965:$FN$7000))</f>
        <v/>
      </c>
      <c r="FK3965" s="36" t="str">
        <f>IF($FH3965="","",SUM($FN3965:$FN$7000))</f>
        <v/>
      </c>
    </row>
    <row r="3966" spans="164:167">
      <c r="FH3966" s="29" t="str">
        <f t="shared" si="116"/>
        <v/>
      </c>
      <c r="FJ3966" s="36" t="str">
        <f>IF($FH3966="","",SUM($FN3966:$FN$7000))</f>
        <v/>
      </c>
      <c r="FK3966" s="36" t="str">
        <f>IF($FH3966="","",SUM($FN3966:$FN$7000))</f>
        <v/>
      </c>
    </row>
    <row r="3967" spans="164:167">
      <c r="FH3967" s="29" t="str">
        <f t="shared" si="116"/>
        <v/>
      </c>
      <c r="FJ3967" s="36" t="str">
        <f>IF($FH3967="","",SUM($FN3967:$FN$7000))</f>
        <v/>
      </c>
      <c r="FK3967" s="36" t="str">
        <f>IF($FH3967="","",SUM($FN3967:$FN$7000))</f>
        <v/>
      </c>
    </row>
    <row r="3968" spans="164:167">
      <c r="FH3968" s="29" t="str">
        <f t="shared" si="116"/>
        <v/>
      </c>
      <c r="FJ3968" s="36" t="str">
        <f>IF($FH3968="","",SUM($FN3968:$FN$7000))</f>
        <v/>
      </c>
      <c r="FK3968" s="36" t="str">
        <f>IF($FH3968="","",SUM($FN3968:$FN$7000))</f>
        <v/>
      </c>
    </row>
    <row r="3969" spans="164:167">
      <c r="FH3969" s="29" t="str">
        <f t="shared" si="116"/>
        <v/>
      </c>
      <c r="FJ3969" s="36" t="str">
        <f>IF($FH3969="","",SUM($FN3969:$FN$7000))</f>
        <v/>
      </c>
      <c r="FK3969" s="36" t="str">
        <f>IF($FH3969="","",SUM($FN3969:$FN$7000))</f>
        <v/>
      </c>
    </row>
    <row r="3970" spans="164:167">
      <c r="FH3970" s="29" t="str">
        <f t="shared" si="116"/>
        <v/>
      </c>
      <c r="FJ3970" s="36" t="str">
        <f>IF($FH3970="","",SUM($FN3970:$FN$7000))</f>
        <v/>
      </c>
      <c r="FK3970" s="36" t="str">
        <f>IF($FH3970="","",SUM($FN3970:$FN$7000))</f>
        <v/>
      </c>
    </row>
    <row r="3971" spans="164:167">
      <c r="FH3971" s="29" t="str">
        <f t="shared" si="116"/>
        <v/>
      </c>
      <c r="FJ3971" s="36" t="str">
        <f>IF($FH3971="","",SUM($FN3971:$FN$7000))</f>
        <v/>
      </c>
      <c r="FK3971" s="36" t="str">
        <f>IF($FH3971="","",SUM($FN3971:$FN$7000))</f>
        <v/>
      </c>
    </row>
    <row r="3972" spans="164:167">
      <c r="FH3972" s="29" t="str">
        <f t="shared" si="116"/>
        <v/>
      </c>
      <c r="FJ3972" s="36" t="str">
        <f>IF($FH3972="","",SUM($FN3972:$FN$7000))</f>
        <v/>
      </c>
      <c r="FK3972" s="36" t="str">
        <f>IF($FH3972="","",SUM($FN3972:$FN$7000))</f>
        <v/>
      </c>
    </row>
    <row r="3973" spans="164:167">
      <c r="FH3973" s="29" t="str">
        <f t="shared" si="116"/>
        <v/>
      </c>
      <c r="FJ3973" s="36" t="str">
        <f>IF($FH3973="","",SUM($FN3973:$FN$7000))</f>
        <v/>
      </c>
      <c r="FK3973" s="36" t="str">
        <f>IF($FH3973="","",SUM($FN3973:$FN$7000))</f>
        <v/>
      </c>
    </row>
    <row r="3974" spans="164:167">
      <c r="FH3974" s="29" t="str">
        <f t="shared" si="116"/>
        <v/>
      </c>
      <c r="FJ3974" s="36" t="str">
        <f>IF($FH3974="","",SUM($FN3974:$FN$7000))</f>
        <v/>
      </c>
      <c r="FK3974" s="36" t="str">
        <f>IF($FH3974="","",SUM($FN3974:$FN$7000))</f>
        <v/>
      </c>
    </row>
    <row r="3975" spans="164:167">
      <c r="FH3975" s="29" t="str">
        <f t="shared" si="116"/>
        <v/>
      </c>
      <c r="FJ3975" s="36" t="str">
        <f>IF($FH3975="","",SUM($FN3975:$FN$7000))</f>
        <v/>
      </c>
      <c r="FK3975" s="36" t="str">
        <f>IF($FH3975="","",SUM($FN3975:$FN$7000))</f>
        <v/>
      </c>
    </row>
    <row r="3976" spans="164:167">
      <c r="FH3976" s="29" t="str">
        <f t="shared" si="116"/>
        <v/>
      </c>
      <c r="FJ3976" s="36" t="str">
        <f>IF($FH3976="","",SUM($FN3976:$FN$7000))</f>
        <v/>
      </c>
      <c r="FK3976" s="36" t="str">
        <f>IF($FH3976="","",SUM($FN3976:$FN$7000))</f>
        <v/>
      </c>
    </row>
    <row r="3977" spans="164:167">
      <c r="FH3977" s="29" t="str">
        <f t="shared" si="116"/>
        <v/>
      </c>
      <c r="FJ3977" s="36" t="str">
        <f>IF($FH3977="","",SUM($FN3977:$FN$7000))</f>
        <v/>
      </c>
      <c r="FK3977" s="36" t="str">
        <f>IF($FH3977="","",SUM($FN3977:$FN$7000))</f>
        <v/>
      </c>
    </row>
    <row r="3978" spans="164:167">
      <c r="FH3978" s="29" t="str">
        <f t="shared" si="116"/>
        <v/>
      </c>
      <c r="FJ3978" s="36" t="str">
        <f>IF($FH3978="","",SUM($FN3978:$FN$7000))</f>
        <v/>
      </c>
      <c r="FK3978" s="36" t="str">
        <f>IF($FH3978="","",SUM($FN3978:$FN$7000))</f>
        <v/>
      </c>
    </row>
    <row r="3979" spans="164:167">
      <c r="FH3979" s="29" t="str">
        <f t="shared" ref="FH3979:FH4042" si="117">IF(FL3979="","",FL3979)</f>
        <v/>
      </c>
      <c r="FJ3979" s="36" t="str">
        <f>IF($FH3979="","",SUM($FN3979:$FN$7000))</f>
        <v/>
      </c>
      <c r="FK3979" s="36" t="str">
        <f>IF($FH3979="","",SUM($FN3979:$FN$7000))</f>
        <v/>
      </c>
    </row>
    <row r="3980" spans="164:167">
      <c r="FH3980" s="29" t="str">
        <f t="shared" si="117"/>
        <v/>
      </c>
      <c r="FJ3980" s="36" t="str">
        <f>IF($FH3980="","",SUM($FN3980:$FN$7000))</f>
        <v/>
      </c>
      <c r="FK3980" s="36" t="str">
        <f>IF($FH3980="","",SUM($FN3980:$FN$7000))</f>
        <v/>
      </c>
    </row>
    <row r="3981" spans="164:167">
      <c r="FH3981" s="29" t="str">
        <f t="shared" si="117"/>
        <v/>
      </c>
      <c r="FJ3981" s="36" t="str">
        <f>IF($FH3981="","",SUM($FN3981:$FN$7000))</f>
        <v/>
      </c>
      <c r="FK3981" s="36" t="str">
        <f>IF($FH3981="","",SUM($FN3981:$FN$7000))</f>
        <v/>
      </c>
    </row>
    <row r="3982" spans="164:167">
      <c r="FH3982" s="29" t="str">
        <f t="shared" si="117"/>
        <v/>
      </c>
      <c r="FJ3982" s="36" t="str">
        <f>IF($FH3982="","",SUM($FN3982:$FN$7000))</f>
        <v/>
      </c>
      <c r="FK3982" s="36" t="str">
        <f>IF($FH3982="","",SUM($FN3982:$FN$7000))</f>
        <v/>
      </c>
    </row>
    <row r="3983" spans="164:167">
      <c r="FH3983" s="29" t="str">
        <f t="shared" si="117"/>
        <v/>
      </c>
      <c r="FJ3983" s="36" t="str">
        <f>IF($FH3983="","",SUM($FN3983:$FN$7000))</f>
        <v/>
      </c>
      <c r="FK3983" s="36" t="str">
        <f>IF($FH3983="","",SUM($FN3983:$FN$7000))</f>
        <v/>
      </c>
    </row>
    <row r="3984" spans="164:167">
      <c r="FH3984" s="29" t="str">
        <f t="shared" si="117"/>
        <v/>
      </c>
      <c r="FJ3984" s="36" t="str">
        <f>IF($FH3984="","",SUM($FN3984:$FN$7000))</f>
        <v/>
      </c>
      <c r="FK3984" s="36" t="str">
        <f>IF($FH3984="","",SUM($FN3984:$FN$7000))</f>
        <v/>
      </c>
    </row>
    <row r="3985" spans="164:167">
      <c r="FH3985" s="29" t="str">
        <f t="shared" si="117"/>
        <v/>
      </c>
      <c r="FJ3985" s="36" t="str">
        <f>IF($FH3985="","",SUM($FN3985:$FN$7000))</f>
        <v/>
      </c>
      <c r="FK3985" s="36" t="str">
        <f>IF($FH3985="","",SUM($FN3985:$FN$7000))</f>
        <v/>
      </c>
    </row>
    <row r="3986" spans="164:167">
      <c r="FH3986" s="29" t="str">
        <f t="shared" si="117"/>
        <v/>
      </c>
      <c r="FJ3986" s="36" t="str">
        <f>IF($FH3986="","",SUM($FN3986:$FN$7000))</f>
        <v/>
      </c>
      <c r="FK3986" s="36" t="str">
        <f>IF($FH3986="","",SUM($FN3986:$FN$7000))</f>
        <v/>
      </c>
    </row>
    <row r="3987" spans="164:167">
      <c r="FH3987" s="29" t="str">
        <f t="shared" si="117"/>
        <v/>
      </c>
      <c r="FJ3987" s="36" t="str">
        <f>IF($FH3987="","",SUM($FN3987:$FN$7000))</f>
        <v/>
      </c>
      <c r="FK3987" s="36" t="str">
        <f>IF($FH3987="","",SUM($FN3987:$FN$7000))</f>
        <v/>
      </c>
    </row>
    <row r="3988" spans="164:167">
      <c r="FH3988" s="29" t="str">
        <f t="shared" si="117"/>
        <v/>
      </c>
      <c r="FJ3988" s="36" t="str">
        <f>IF($FH3988="","",SUM($FN3988:$FN$7000))</f>
        <v/>
      </c>
      <c r="FK3988" s="36" t="str">
        <f>IF($FH3988="","",SUM($FN3988:$FN$7000))</f>
        <v/>
      </c>
    </row>
    <row r="3989" spans="164:167">
      <c r="FH3989" s="29" t="str">
        <f t="shared" si="117"/>
        <v/>
      </c>
      <c r="FJ3989" s="36" t="str">
        <f>IF($FH3989="","",SUM($FN3989:$FN$7000))</f>
        <v/>
      </c>
      <c r="FK3989" s="36" t="str">
        <f>IF($FH3989="","",SUM($FN3989:$FN$7000))</f>
        <v/>
      </c>
    </row>
    <row r="3990" spans="164:167">
      <c r="FH3990" s="29" t="str">
        <f t="shared" si="117"/>
        <v/>
      </c>
      <c r="FJ3990" s="36" t="str">
        <f>IF($FH3990="","",SUM($FN3990:$FN$7000))</f>
        <v/>
      </c>
      <c r="FK3990" s="36" t="str">
        <f>IF($FH3990="","",SUM($FN3990:$FN$7000))</f>
        <v/>
      </c>
    </row>
    <row r="3991" spans="164:167">
      <c r="FH3991" s="29" t="str">
        <f t="shared" si="117"/>
        <v/>
      </c>
      <c r="FJ3991" s="36" t="str">
        <f>IF($FH3991="","",SUM($FN3991:$FN$7000))</f>
        <v/>
      </c>
      <c r="FK3991" s="36" t="str">
        <f>IF($FH3991="","",SUM($FN3991:$FN$7000))</f>
        <v/>
      </c>
    </row>
    <row r="3992" spans="164:167">
      <c r="FH3992" s="29" t="str">
        <f t="shared" si="117"/>
        <v/>
      </c>
      <c r="FJ3992" s="36" t="str">
        <f>IF($FH3992="","",SUM($FN3992:$FN$7000))</f>
        <v/>
      </c>
      <c r="FK3992" s="36" t="str">
        <f>IF($FH3992="","",SUM($FN3992:$FN$7000))</f>
        <v/>
      </c>
    </row>
    <row r="3993" spans="164:167">
      <c r="FH3993" s="29" t="str">
        <f t="shared" si="117"/>
        <v/>
      </c>
      <c r="FJ3993" s="36" t="str">
        <f>IF($FH3993="","",SUM($FN3993:$FN$7000))</f>
        <v/>
      </c>
      <c r="FK3993" s="36" t="str">
        <f>IF($FH3993="","",SUM($FN3993:$FN$7000))</f>
        <v/>
      </c>
    </row>
    <row r="3994" spans="164:167">
      <c r="FH3994" s="29" t="str">
        <f t="shared" si="117"/>
        <v/>
      </c>
      <c r="FJ3994" s="36" t="str">
        <f>IF($FH3994="","",SUM($FN3994:$FN$7000))</f>
        <v/>
      </c>
      <c r="FK3994" s="36" t="str">
        <f>IF($FH3994="","",SUM($FN3994:$FN$7000))</f>
        <v/>
      </c>
    </row>
    <row r="3995" spans="164:167">
      <c r="FH3995" s="29" t="str">
        <f t="shared" si="117"/>
        <v/>
      </c>
      <c r="FJ3995" s="36" t="str">
        <f>IF($FH3995="","",SUM($FN3995:$FN$7000))</f>
        <v/>
      </c>
      <c r="FK3995" s="36" t="str">
        <f>IF($FH3995="","",SUM($FN3995:$FN$7000))</f>
        <v/>
      </c>
    </row>
    <row r="3996" spans="164:167">
      <c r="FH3996" s="29" t="str">
        <f t="shared" si="117"/>
        <v/>
      </c>
      <c r="FJ3996" s="36" t="str">
        <f>IF($FH3996="","",SUM($FN3996:$FN$7000))</f>
        <v/>
      </c>
      <c r="FK3996" s="36" t="str">
        <f>IF($FH3996="","",SUM($FN3996:$FN$7000))</f>
        <v/>
      </c>
    </row>
    <row r="3997" spans="164:167">
      <c r="FH3997" s="29" t="str">
        <f t="shared" si="117"/>
        <v/>
      </c>
      <c r="FJ3997" s="36" t="str">
        <f>IF($FH3997="","",SUM($FN3997:$FN$7000))</f>
        <v/>
      </c>
      <c r="FK3997" s="36" t="str">
        <f>IF($FH3997="","",SUM($FN3997:$FN$7000))</f>
        <v/>
      </c>
    </row>
    <row r="3998" spans="164:167">
      <c r="FH3998" s="29" t="str">
        <f t="shared" si="117"/>
        <v/>
      </c>
      <c r="FJ3998" s="36" t="str">
        <f>IF($FH3998="","",SUM($FN3998:$FN$7000))</f>
        <v/>
      </c>
      <c r="FK3998" s="36" t="str">
        <f>IF($FH3998="","",SUM($FN3998:$FN$7000))</f>
        <v/>
      </c>
    </row>
    <row r="3999" spans="164:167">
      <c r="FH3999" s="29" t="str">
        <f t="shared" si="117"/>
        <v/>
      </c>
      <c r="FJ3999" s="36" t="str">
        <f>IF($FH3999="","",SUM($FN3999:$FN$7000))</f>
        <v/>
      </c>
      <c r="FK3999" s="36" t="str">
        <f>IF($FH3999="","",SUM($FN3999:$FN$7000))</f>
        <v/>
      </c>
    </row>
    <row r="4000" spans="164:167">
      <c r="FH4000" s="29" t="str">
        <f t="shared" si="117"/>
        <v/>
      </c>
      <c r="FJ4000" s="36" t="str">
        <f>IF($FH4000="","",SUM($FN4000:$FN$7000))</f>
        <v/>
      </c>
      <c r="FK4000" s="36" t="str">
        <f>IF($FH4000="","",SUM($FN4000:$FN$7000))</f>
        <v/>
      </c>
    </row>
    <row r="4001" spans="164:167">
      <c r="FH4001" s="29" t="str">
        <f t="shared" si="117"/>
        <v/>
      </c>
      <c r="FJ4001" s="36" t="str">
        <f>IF($FH4001="","",SUM($FN4001:$FN$7000))</f>
        <v/>
      </c>
      <c r="FK4001" s="36" t="str">
        <f>IF($FH4001="","",SUM($FN4001:$FN$7000))</f>
        <v/>
      </c>
    </row>
    <row r="4002" spans="164:167">
      <c r="FH4002" s="29" t="str">
        <f t="shared" si="117"/>
        <v/>
      </c>
      <c r="FJ4002" s="36" t="str">
        <f>IF($FH4002="","",SUM($FN4002:$FN$7000))</f>
        <v/>
      </c>
      <c r="FK4002" s="36" t="str">
        <f>IF($FH4002="","",SUM($FN4002:$FN$7000))</f>
        <v/>
      </c>
    </row>
    <row r="4003" spans="164:167">
      <c r="FH4003" s="29" t="str">
        <f t="shared" si="117"/>
        <v/>
      </c>
      <c r="FJ4003" s="36" t="str">
        <f>IF($FH4003="","",SUM($FN4003:$FN$7000))</f>
        <v/>
      </c>
      <c r="FK4003" s="36" t="str">
        <f>IF($FH4003="","",SUM($FN4003:$FN$7000))</f>
        <v/>
      </c>
    </row>
    <row r="4004" spans="164:167">
      <c r="FH4004" s="29" t="str">
        <f t="shared" si="117"/>
        <v/>
      </c>
      <c r="FJ4004" s="36" t="str">
        <f>IF($FH4004="","",SUM($FN4004:$FN$7000))</f>
        <v/>
      </c>
      <c r="FK4004" s="36" t="str">
        <f>IF($FH4004="","",SUM($FN4004:$FN$7000))</f>
        <v/>
      </c>
    </row>
    <row r="4005" spans="164:167">
      <c r="FH4005" s="29" t="str">
        <f t="shared" si="117"/>
        <v/>
      </c>
      <c r="FJ4005" s="36" t="str">
        <f>IF($FH4005="","",SUM($FN4005:$FN$7000))</f>
        <v/>
      </c>
      <c r="FK4005" s="36" t="str">
        <f>IF($FH4005="","",SUM($FN4005:$FN$7000))</f>
        <v/>
      </c>
    </row>
    <row r="4006" spans="164:167">
      <c r="FH4006" s="29" t="str">
        <f t="shared" si="117"/>
        <v/>
      </c>
      <c r="FJ4006" s="36" t="str">
        <f>IF($FH4006="","",SUM($FN4006:$FN$7000))</f>
        <v/>
      </c>
      <c r="FK4006" s="36" t="str">
        <f>IF($FH4006="","",SUM($FN4006:$FN$7000))</f>
        <v/>
      </c>
    </row>
    <row r="4007" spans="164:167">
      <c r="FH4007" s="29" t="str">
        <f t="shared" si="117"/>
        <v/>
      </c>
      <c r="FJ4007" s="36" t="str">
        <f>IF($FH4007="","",SUM($FN4007:$FN$7000))</f>
        <v/>
      </c>
      <c r="FK4007" s="36" t="str">
        <f>IF($FH4007="","",SUM($FN4007:$FN$7000))</f>
        <v/>
      </c>
    </row>
    <row r="4008" spans="164:167">
      <c r="FH4008" s="29" t="str">
        <f t="shared" si="117"/>
        <v/>
      </c>
      <c r="FJ4008" s="36" t="str">
        <f>IF($FH4008="","",SUM($FN4008:$FN$7000))</f>
        <v/>
      </c>
      <c r="FK4008" s="36" t="str">
        <f>IF($FH4008="","",SUM($FN4008:$FN$7000))</f>
        <v/>
      </c>
    </row>
    <row r="4009" spans="164:167">
      <c r="FH4009" s="29" t="str">
        <f t="shared" si="117"/>
        <v/>
      </c>
      <c r="FJ4009" s="36" t="str">
        <f>IF($FH4009="","",SUM($FN4009:$FN$7000))</f>
        <v/>
      </c>
      <c r="FK4009" s="36" t="str">
        <f>IF($FH4009="","",SUM($FN4009:$FN$7000))</f>
        <v/>
      </c>
    </row>
    <row r="4010" spans="164:167">
      <c r="FH4010" s="29" t="str">
        <f t="shared" si="117"/>
        <v/>
      </c>
      <c r="FJ4010" s="36" t="str">
        <f>IF($FH4010="","",SUM($FN4010:$FN$7000))</f>
        <v/>
      </c>
      <c r="FK4010" s="36" t="str">
        <f>IF($FH4010="","",SUM($FN4010:$FN$7000))</f>
        <v/>
      </c>
    </row>
    <row r="4011" spans="164:167">
      <c r="FH4011" s="29" t="str">
        <f t="shared" si="117"/>
        <v/>
      </c>
      <c r="FJ4011" s="36" t="str">
        <f>IF($FH4011="","",SUM($FN4011:$FN$7000))</f>
        <v/>
      </c>
      <c r="FK4011" s="36" t="str">
        <f>IF($FH4011="","",SUM($FN4011:$FN$7000))</f>
        <v/>
      </c>
    </row>
    <row r="4012" spans="164:167">
      <c r="FH4012" s="29" t="str">
        <f t="shared" si="117"/>
        <v/>
      </c>
      <c r="FJ4012" s="36" t="str">
        <f>IF($FH4012="","",SUM($FN4012:$FN$7000))</f>
        <v/>
      </c>
      <c r="FK4012" s="36" t="str">
        <f>IF($FH4012="","",SUM($FN4012:$FN$7000))</f>
        <v/>
      </c>
    </row>
    <row r="4013" spans="164:167">
      <c r="FH4013" s="29" t="str">
        <f t="shared" si="117"/>
        <v/>
      </c>
      <c r="FJ4013" s="36" t="str">
        <f>IF($FH4013="","",SUM($FN4013:$FN$7000))</f>
        <v/>
      </c>
      <c r="FK4013" s="36" t="str">
        <f>IF($FH4013="","",SUM($FN4013:$FN$7000))</f>
        <v/>
      </c>
    </row>
    <row r="4014" spans="164:167">
      <c r="FH4014" s="29" t="str">
        <f t="shared" si="117"/>
        <v/>
      </c>
      <c r="FJ4014" s="36" t="str">
        <f>IF($FH4014="","",SUM($FN4014:$FN$7000))</f>
        <v/>
      </c>
      <c r="FK4014" s="36" t="str">
        <f>IF($FH4014="","",SUM($FN4014:$FN$7000))</f>
        <v/>
      </c>
    </row>
    <row r="4015" spans="164:167">
      <c r="FH4015" s="29" t="str">
        <f t="shared" si="117"/>
        <v/>
      </c>
      <c r="FJ4015" s="36" t="str">
        <f>IF($FH4015="","",SUM($FN4015:$FN$7000))</f>
        <v/>
      </c>
      <c r="FK4015" s="36" t="str">
        <f>IF($FH4015="","",SUM($FN4015:$FN$7000))</f>
        <v/>
      </c>
    </row>
    <row r="4016" spans="164:167">
      <c r="FH4016" s="29" t="str">
        <f t="shared" si="117"/>
        <v/>
      </c>
      <c r="FJ4016" s="36" t="str">
        <f>IF($FH4016="","",SUM($FN4016:$FN$7000))</f>
        <v/>
      </c>
      <c r="FK4016" s="36" t="str">
        <f>IF($FH4016="","",SUM($FN4016:$FN$7000))</f>
        <v/>
      </c>
    </row>
    <row r="4017" spans="164:167">
      <c r="FH4017" s="29" t="str">
        <f t="shared" si="117"/>
        <v/>
      </c>
      <c r="FJ4017" s="36" t="str">
        <f>IF($FH4017="","",SUM($FN4017:$FN$7000))</f>
        <v/>
      </c>
      <c r="FK4017" s="36" t="str">
        <f>IF($FH4017="","",SUM($FN4017:$FN$7000))</f>
        <v/>
      </c>
    </row>
    <row r="4018" spans="164:167">
      <c r="FH4018" s="29" t="str">
        <f t="shared" si="117"/>
        <v/>
      </c>
      <c r="FJ4018" s="36" t="str">
        <f>IF($FH4018="","",SUM($FN4018:$FN$7000))</f>
        <v/>
      </c>
      <c r="FK4018" s="36" t="str">
        <f>IF($FH4018="","",SUM($FN4018:$FN$7000))</f>
        <v/>
      </c>
    </row>
    <row r="4019" spans="164:167">
      <c r="FH4019" s="29" t="str">
        <f t="shared" si="117"/>
        <v/>
      </c>
      <c r="FJ4019" s="36" t="str">
        <f>IF($FH4019="","",SUM($FN4019:$FN$7000))</f>
        <v/>
      </c>
      <c r="FK4019" s="36" t="str">
        <f>IF($FH4019="","",SUM($FN4019:$FN$7000))</f>
        <v/>
      </c>
    </row>
    <row r="4020" spans="164:167">
      <c r="FH4020" s="29" t="str">
        <f t="shared" si="117"/>
        <v/>
      </c>
      <c r="FJ4020" s="36" t="str">
        <f>IF($FH4020="","",SUM($FN4020:$FN$7000))</f>
        <v/>
      </c>
      <c r="FK4020" s="36" t="str">
        <f>IF($FH4020="","",SUM($FN4020:$FN$7000))</f>
        <v/>
      </c>
    </row>
    <row r="4021" spans="164:167">
      <c r="FH4021" s="29" t="str">
        <f t="shared" si="117"/>
        <v/>
      </c>
      <c r="FJ4021" s="36" t="str">
        <f>IF($FH4021="","",SUM($FN4021:$FN$7000))</f>
        <v/>
      </c>
      <c r="FK4021" s="36" t="str">
        <f>IF($FH4021="","",SUM($FN4021:$FN$7000))</f>
        <v/>
      </c>
    </row>
    <row r="4022" spans="164:167">
      <c r="FH4022" s="29" t="str">
        <f t="shared" si="117"/>
        <v/>
      </c>
      <c r="FJ4022" s="36" t="str">
        <f>IF($FH4022="","",SUM($FN4022:$FN$7000))</f>
        <v/>
      </c>
      <c r="FK4022" s="36" t="str">
        <f>IF($FH4022="","",SUM($FN4022:$FN$7000))</f>
        <v/>
      </c>
    </row>
    <row r="4023" spans="164:167">
      <c r="FH4023" s="29" t="str">
        <f t="shared" si="117"/>
        <v/>
      </c>
      <c r="FJ4023" s="36" t="str">
        <f>IF($FH4023="","",SUM($FN4023:$FN$7000))</f>
        <v/>
      </c>
      <c r="FK4023" s="36" t="str">
        <f>IF($FH4023="","",SUM($FN4023:$FN$7000))</f>
        <v/>
      </c>
    </row>
    <row r="4024" spans="164:167">
      <c r="FH4024" s="29" t="str">
        <f t="shared" si="117"/>
        <v/>
      </c>
      <c r="FJ4024" s="36" t="str">
        <f>IF($FH4024="","",SUM($FN4024:$FN$7000))</f>
        <v/>
      </c>
      <c r="FK4024" s="36" t="str">
        <f>IF($FH4024="","",SUM($FN4024:$FN$7000))</f>
        <v/>
      </c>
    </row>
    <row r="4025" spans="164:167">
      <c r="FH4025" s="29" t="str">
        <f t="shared" si="117"/>
        <v/>
      </c>
      <c r="FJ4025" s="36" t="str">
        <f>IF($FH4025="","",SUM($FN4025:$FN$7000))</f>
        <v/>
      </c>
      <c r="FK4025" s="36" t="str">
        <f>IF($FH4025="","",SUM($FN4025:$FN$7000))</f>
        <v/>
      </c>
    </row>
    <row r="4026" spans="164:167">
      <c r="FH4026" s="29" t="str">
        <f t="shared" si="117"/>
        <v/>
      </c>
      <c r="FJ4026" s="36" t="str">
        <f>IF($FH4026="","",SUM($FN4026:$FN$7000))</f>
        <v/>
      </c>
      <c r="FK4026" s="36" t="str">
        <f>IF($FH4026="","",SUM($FN4026:$FN$7000))</f>
        <v/>
      </c>
    </row>
    <row r="4027" spans="164:167">
      <c r="FH4027" s="29" t="str">
        <f t="shared" si="117"/>
        <v/>
      </c>
      <c r="FJ4027" s="36" t="str">
        <f>IF($FH4027="","",SUM($FN4027:$FN$7000))</f>
        <v/>
      </c>
      <c r="FK4027" s="36" t="str">
        <f>IF($FH4027="","",SUM($FN4027:$FN$7000))</f>
        <v/>
      </c>
    </row>
    <row r="4028" spans="164:167">
      <c r="FH4028" s="29" t="str">
        <f t="shared" si="117"/>
        <v/>
      </c>
      <c r="FJ4028" s="36" t="str">
        <f>IF($FH4028="","",SUM($FN4028:$FN$7000))</f>
        <v/>
      </c>
      <c r="FK4028" s="36" t="str">
        <f>IF($FH4028="","",SUM($FN4028:$FN$7000))</f>
        <v/>
      </c>
    </row>
    <row r="4029" spans="164:167">
      <c r="FH4029" s="29" t="str">
        <f t="shared" si="117"/>
        <v/>
      </c>
      <c r="FJ4029" s="36" t="str">
        <f>IF($FH4029="","",SUM($FN4029:$FN$7000))</f>
        <v/>
      </c>
      <c r="FK4029" s="36" t="str">
        <f>IF($FH4029="","",SUM($FN4029:$FN$7000))</f>
        <v/>
      </c>
    </row>
    <row r="4030" spans="164:167">
      <c r="FH4030" s="29" t="str">
        <f t="shared" si="117"/>
        <v/>
      </c>
      <c r="FJ4030" s="36" t="str">
        <f>IF($FH4030="","",SUM($FN4030:$FN$7000))</f>
        <v/>
      </c>
      <c r="FK4030" s="36" t="str">
        <f>IF($FH4030="","",SUM($FN4030:$FN$7000))</f>
        <v/>
      </c>
    </row>
    <row r="4031" spans="164:167">
      <c r="FH4031" s="29" t="str">
        <f t="shared" si="117"/>
        <v/>
      </c>
      <c r="FJ4031" s="36" t="str">
        <f>IF($FH4031="","",SUM($FN4031:$FN$7000))</f>
        <v/>
      </c>
      <c r="FK4031" s="36" t="str">
        <f>IF($FH4031="","",SUM($FN4031:$FN$7000))</f>
        <v/>
      </c>
    </row>
    <row r="4032" spans="164:167">
      <c r="FH4032" s="29" t="str">
        <f t="shared" si="117"/>
        <v/>
      </c>
      <c r="FJ4032" s="36" t="str">
        <f>IF($FH4032="","",SUM($FN4032:$FN$7000))</f>
        <v/>
      </c>
      <c r="FK4032" s="36" t="str">
        <f>IF($FH4032="","",SUM($FN4032:$FN$7000))</f>
        <v/>
      </c>
    </row>
    <row r="4033" spans="164:167">
      <c r="FH4033" s="29" t="str">
        <f t="shared" si="117"/>
        <v/>
      </c>
      <c r="FJ4033" s="36" t="str">
        <f>IF($FH4033="","",SUM($FN4033:$FN$7000))</f>
        <v/>
      </c>
      <c r="FK4033" s="36" t="str">
        <f>IF($FH4033="","",SUM($FN4033:$FN$7000))</f>
        <v/>
      </c>
    </row>
    <row r="4034" spans="164:167">
      <c r="FH4034" s="29" t="str">
        <f t="shared" si="117"/>
        <v/>
      </c>
      <c r="FJ4034" s="36" t="str">
        <f>IF($FH4034="","",SUM($FN4034:$FN$7000))</f>
        <v/>
      </c>
      <c r="FK4034" s="36" t="str">
        <f>IF($FH4034="","",SUM($FN4034:$FN$7000))</f>
        <v/>
      </c>
    </row>
    <row r="4035" spans="164:167">
      <c r="FH4035" s="29" t="str">
        <f t="shared" si="117"/>
        <v/>
      </c>
      <c r="FJ4035" s="36" t="str">
        <f>IF($FH4035="","",SUM($FN4035:$FN$7000))</f>
        <v/>
      </c>
      <c r="FK4035" s="36" t="str">
        <f>IF($FH4035="","",SUM($FN4035:$FN$7000))</f>
        <v/>
      </c>
    </row>
    <row r="4036" spans="164:167">
      <c r="FH4036" s="29" t="str">
        <f t="shared" si="117"/>
        <v/>
      </c>
      <c r="FJ4036" s="36" t="str">
        <f>IF($FH4036="","",SUM($FN4036:$FN$7000))</f>
        <v/>
      </c>
      <c r="FK4036" s="36" t="str">
        <f>IF($FH4036="","",SUM($FN4036:$FN$7000))</f>
        <v/>
      </c>
    </row>
    <row r="4037" spans="164:167">
      <c r="FH4037" s="29" t="str">
        <f t="shared" si="117"/>
        <v/>
      </c>
      <c r="FJ4037" s="36" t="str">
        <f>IF($FH4037="","",SUM($FN4037:$FN$7000))</f>
        <v/>
      </c>
      <c r="FK4037" s="36" t="str">
        <f>IF($FH4037="","",SUM($FN4037:$FN$7000))</f>
        <v/>
      </c>
    </row>
    <row r="4038" spans="164:167">
      <c r="FH4038" s="29" t="str">
        <f t="shared" si="117"/>
        <v/>
      </c>
      <c r="FJ4038" s="36" t="str">
        <f>IF($FH4038="","",SUM($FN4038:$FN$7000))</f>
        <v/>
      </c>
      <c r="FK4038" s="36" t="str">
        <f>IF($FH4038="","",SUM($FN4038:$FN$7000))</f>
        <v/>
      </c>
    </row>
    <row r="4039" spans="164:167">
      <c r="FH4039" s="29" t="str">
        <f t="shared" si="117"/>
        <v/>
      </c>
      <c r="FJ4039" s="36" t="str">
        <f>IF($FH4039="","",SUM($FN4039:$FN$7000))</f>
        <v/>
      </c>
      <c r="FK4039" s="36" t="str">
        <f>IF($FH4039="","",SUM($FN4039:$FN$7000))</f>
        <v/>
      </c>
    </row>
    <row r="4040" spans="164:167">
      <c r="FH4040" s="29" t="str">
        <f t="shared" si="117"/>
        <v/>
      </c>
      <c r="FJ4040" s="36" t="str">
        <f>IF($FH4040="","",SUM($FN4040:$FN$7000))</f>
        <v/>
      </c>
      <c r="FK4040" s="36" t="str">
        <f>IF($FH4040="","",SUM($FN4040:$FN$7000))</f>
        <v/>
      </c>
    </row>
    <row r="4041" spans="164:167">
      <c r="FH4041" s="29" t="str">
        <f t="shared" si="117"/>
        <v/>
      </c>
      <c r="FJ4041" s="36" t="str">
        <f>IF($FH4041="","",SUM($FN4041:$FN$7000))</f>
        <v/>
      </c>
      <c r="FK4041" s="36" t="str">
        <f>IF($FH4041="","",SUM($FN4041:$FN$7000))</f>
        <v/>
      </c>
    </row>
    <row r="4042" spans="164:167">
      <c r="FH4042" s="29" t="str">
        <f t="shared" si="117"/>
        <v/>
      </c>
      <c r="FJ4042" s="36" t="str">
        <f>IF($FH4042="","",SUM($FN4042:$FN$7000))</f>
        <v/>
      </c>
      <c r="FK4042" s="36" t="str">
        <f>IF($FH4042="","",SUM($FN4042:$FN$7000))</f>
        <v/>
      </c>
    </row>
    <row r="4043" spans="164:167">
      <c r="FH4043" s="29" t="str">
        <f t="shared" ref="FH4043:FH4106" si="118">IF(FL4043="","",FL4043)</f>
        <v/>
      </c>
      <c r="FJ4043" s="36" t="str">
        <f>IF($FH4043="","",SUM($FN4043:$FN$7000))</f>
        <v/>
      </c>
      <c r="FK4043" s="36" t="str">
        <f>IF($FH4043="","",SUM($FN4043:$FN$7000))</f>
        <v/>
      </c>
    </row>
    <row r="4044" spans="164:167">
      <c r="FH4044" s="29" t="str">
        <f t="shared" si="118"/>
        <v/>
      </c>
      <c r="FJ4044" s="36" t="str">
        <f>IF($FH4044="","",SUM($FN4044:$FN$7000))</f>
        <v/>
      </c>
      <c r="FK4044" s="36" t="str">
        <f>IF($FH4044="","",SUM($FN4044:$FN$7000))</f>
        <v/>
      </c>
    </row>
    <row r="4045" spans="164:167">
      <c r="FH4045" s="29" t="str">
        <f t="shared" si="118"/>
        <v/>
      </c>
      <c r="FJ4045" s="36" t="str">
        <f>IF($FH4045="","",SUM($FN4045:$FN$7000))</f>
        <v/>
      </c>
      <c r="FK4045" s="36" t="str">
        <f>IF($FH4045="","",SUM($FN4045:$FN$7000))</f>
        <v/>
      </c>
    </row>
    <row r="4046" spans="164:167">
      <c r="FH4046" s="29" t="str">
        <f t="shared" si="118"/>
        <v/>
      </c>
      <c r="FJ4046" s="36" t="str">
        <f>IF($FH4046="","",SUM($FN4046:$FN$7000))</f>
        <v/>
      </c>
      <c r="FK4046" s="36" t="str">
        <f>IF($FH4046="","",SUM($FN4046:$FN$7000))</f>
        <v/>
      </c>
    </row>
    <row r="4047" spans="164:167">
      <c r="FH4047" s="29" t="str">
        <f t="shared" si="118"/>
        <v/>
      </c>
      <c r="FJ4047" s="36" t="str">
        <f>IF($FH4047="","",SUM($FN4047:$FN$7000))</f>
        <v/>
      </c>
      <c r="FK4047" s="36" t="str">
        <f>IF($FH4047="","",SUM($FN4047:$FN$7000))</f>
        <v/>
      </c>
    </row>
    <row r="4048" spans="164:167">
      <c r="FH4048" s="29" t="str">
        <f t="shared" si="118"/>
        <v/>
      </c>
      <c r="FJ4048" s="36" t="str">
        <f>IF($FH4048="","",SUM($FN4048:$FN$7000))</f>
        <v/>
      </c>
      <c r="FK4048" s="36" t="str">
        <f>IF($FH4048="","",SUM($FN4048:$FN$7000))</f>
        <v/>
      </c>
    </row>
    <row r="4049" spans="164:167">
      <c r="FH4049" s="29" t="str">
        <f t="shared" si="118"/>
        <v/>
      </c>
      <c r="FJ4049" s="36" t="str">
        <f>IF($FH4049="","",SUM($FN4049:$FN$7000))</f>
        <v/>
      </c>
      <c r="FK4049" s="36" t="str">
        <f>IF($FH4049="","",SUM($FN4049:$FN$7000))</f>
        <v/>
      </c>
    </row>
    <row r="4050" spans="164:167">
      <c r="FH4050" s="29" t="str">
        <f t="shared" si="118"/>
        <v/>
      </c>
      <c r="FJ4050" s="36" t="str">
        <f>IF($FH4050="","",SUM($FN4050:$FN$7000))</f>
        <v/>
      </c>
      <c r="FK4050" s="36" t="str">
        <f>IF($FH4050="","",SUM($FN4050:$FN$7000))</f>
        <v/>
      </c>
    </row>
    <row r="4051" spans="164:167">
      <c r="FH4051" s="29" t="str">
        <f t="shared" si="118"/>
        <v/>
      </c>
      <c r="FJ4051" s="36" t="str">
        <f>IF($FH4051="","",SUM($FN4051:$FN$7000))</f>
        <v/>
      </c>
      <c r="FK4051" s="36" t="str">
        <f>IF($FH4051="","",SUM($FN4051:$FN$7000))</f>
        <v/>
      </c>
    </row>
    <row r="4052" spans="164:167">
      <c r="FH4052" s="29" t="str">
        <f t="shared" si="118"/>
        <v/>
      </c>
      <c r="FJ4052" s="36" t="str">
        <f>IF($FH4052="","",SUM($FN4052:$FN$7000))</f>
        <v/>
      </c>
      <c r="FK4052" s="36" t="str">
        <f>IF($FH4052="","",SUM($FN4052:$FN$7000))</f>
        <v/>
      </c>
    </row>
    <row r="4053" spans="164:167">
      <c r="FH4053" s="29" t="str">
        <f t="shared" si="118"/>
        <v/>
      </c>
      <c r="FJ4053" s="36" t="str">
        <f>IF($FH4053="","",SUM($FN4053:$FN$7000))</f>
        <v/>
      </c>
      <c r="FK4053" s="36" t="str">
        <f>IF($FH4053="","",SUM($FN4053:$FN$7000))</f>
        <v/>
      </c>
    </row>
    <row r="4054" spans="164:167">
      <c r="FH4054" s="29" t="str">
        <f t="shared" si="118"/>
        <v/>
      </c>
      <c r="FJ4054" s="36" t="str">
        <f>IF($FH4054="","",SUM($FN4054:$FN$7000))</f>
        <v/>
      </c>
      <c r="FK4054" s="36" t="str">
        <f>IF($FH4054="","",SUM($FN4054:$FN$7000))</f>
        <v/>
      </c>
    </row>
    <row r="4055" spans="164:167">
      <c r="FH4055" s="29" t="str">
        <f t="shared" si="118"/>
        <v/>
      </c>
      <c r="FJ4055" s="36" t="str">
        <f>IF($FH4055="","",SUM($FN4055:$FN$7000))</f>
        <v/>
      </c>
      <c r="FK4055" s="36" t="str">
        <f>IF($FH4055="","",SUM($FN4055:$FN$7000))</f>
        <v/>
      </c>
    </row>
    <row r="4056" spans="164:167">
      <c r="FH4056" s="29" t="str">
        <f t="shared" si="118"/>
        <v/>
      </c>
      <c r="FJ4056" s="36" t="str">
        <f>IF($FH4056="","",SUM($FN4056:$FN$7000))</f>
        <v/>
      </c>
      <c r="FK4056" s="36" t="str">
        <f>IF($FH4056="","",SUM($FN4056:$FN$7000))</f>
        <v/>
      </c>
    </row>
    <row r="4057" spans="164:167">
      <c r="FH4057" s="29" t="str">
        <f t="shared" si="118"/>
        <v/>
      </c>
      <c r="FJ4057" s="36" t="str">
        <f>IF($FH4057="","",SUM($FN4057:$FN$7000))</f>
        <v/>
      </c>
      <c r="FK4057" s="36" t="str">
        <f>IF($FH4057="","",SUM($FN4057:$FN$7000))</f>
        <v/>
      </c>
    </row>
    <row r="4058" spans="164:167">
      <c r="FH4058" s="29" t="str">
        <f t="shared" si="118"/>
        <v/>
      </c>
      <c r="FJ4058" s="36" t="str">
        <f>IF($FH4058="","",SUM($FN4058:$FN$7000))</f>
        <v/>
      </c>
      <c r="FK4058" s="36" t="str">
        <f>IF($FH4058="","",SUM($FN4058:$FN$7000))</f>
        <v/>
      </c>
    </row>
    <row r="4059" spans="164:167">
      <c r="FH4059" s="29" t="str">
        <f t="shared" si="118"/>
        <v/>
      </c>
      <c r="FJ4059" s="36" t="str">
        <f>IF($FH4059="","",SUM($FN4059:$FN$7000))</f>
        <v/>
      </c>
      <c r="FK4059" s="36" t="str">
        <f>IF($FH4059="","",SUM($FN4059:$FN$7000))</f>
        <v/>
      </c>
    </row>
    <row r="4060" spans="164:167">
      <c r="FH4060" s="29" t="str">
        <f t="shared" si="118"/>
        <v/>
      </c>
      <c r="FJ4060" s="36" t="str">
        <f>IF($FH4060="","",SUM($FN4060:$FN$7000))</f>
        <v/>
      </c>
      <c r="FK4060" s="36" t="str">
        <f>IF($FH4060="","",SUM($FN4060:$FN$7000))</f>
        <v/>
      </c>
    </row>
    <row r="4061" spans="164:167">
      <c r="FH4061" s="29" t="str">
        <f t="shared" si="118"/>
        <v/>
      </c>
      <c r="FJ4061" s="36" t="str">
        <f>IF($FH4061="","",SUM($FN4061:$FN$7000))</f>
        <v/>
      </c>
      <c r="FK4061" s="36" t="str">
        <f>IF($FH4061="","",SUM($FN4061:$FN$7000))</f>
        <v/>
      </c>
    </row>
    <row r="4062" spans="164:167">
      <c r="FH4062" s="29" t="str">
        <f t="shared" si="118"/>
        <v/>
      </c>
      <c r="FJ4062" s="36" t="str">
        <f>IF($FH4062="","",SUM($FN4062:$FN$7000))</f>
        <v/>
      </c>
      <c r="FK4062" s="36" t="str">
        <f>IF($FH4062="","",SUM($FN4062:$FN$7000))</f>
        <v/>
      </c>
    </row>
    <row r="4063" spans="164:167">
      <c r="FH4063" s="29" t="str">
        <f t="shared" si="118"/>
        <v/>
      </c>
      <c r="FJ4063" s="36" t="str">
        <f>IF($FH4063="","",SUM($FN4063:$FN$7000))</f>
        <v/>
      </c>
      <c r="FK4063" s="36" t="str">
        <f>IF($FH4063="","",SUM($FN4063:$FN$7000))</f>
        <v/>
      </c>
    </row>
    <row r="4064" spans="164:167">
      <c r="FH4064" s="29" t="str">
        <f t="shared" si="118"/>
        <v/>
      </c>
      <c r="FJ4064" s="36" t="str">
        <f>IF($FH4064="","",SUM($FN4064:$FN$7000))</f>
        <v/>
      </c>
      <c r="FK4064" s="36" t="str">
        <f>IF($FH4064="","",SUM($FN4064:$FN$7000))</f>
        <v/>
      </c>
    </row>
    <row r="4065" spans="164:167">
      <c r="FH4065" s="29" t="str">
        <f t="shared" si="118"/>
        <v/>
      </c>
      <c r="FJ4065" s="36" t="str">
        <f>IF($FH4065="","",SUM($FN4065:$FN$7000))</f>
        <v/>
      </c>
      <c r="FK4065" s="36" t="str">
        <f>IF($FH4065="","",SUM($FN4065:$FN$7000))</f>
        <v/>
      </c>
    </row>
    <row r="4066" spans="164:167">
      <c r="FH4066" s="29" t="str">
        <f t="shared" si="118"/>
        <v/>
      </c>
      <c r="FJ4066" s="36" t="str">
        <f>IF($FH4066="","",SUM($FN4066:$FN$7000))</f>
        <v/>
      </c>
      <c r="FK4066" s="36" t="str">
        <f>IF($FH4066="","",SUM($FN4066:$FN$7000))</f>
        <v/>
      </c>
    </row>
    <row r="4067" spans="164:167">
      <c r="FH4067" s="29" t="str">
        <f t="shared" si="118"/>
        <v/>
      </c>
      <c r="FJ4067" s="36" t="str">
        <f>IF($FH4067="","",SUM($FN4067:$FN$7000))</f>
        <v/>
      </c>
      <c r="FK4067" s="36" t="str">
        <f>IF($FH4067="","",SUM($FN4067:$FN$7000))</f>
        <v/>
      </c>
    </row>
    <row r="4068" spans="164:167">
      <c r="FH4068" s="29" t="str">
        <f t="shared" si="118"/>
        <v/>
      </c>
      <c r="FJ4068" s="36" t="str">
        <f>IF($FH4068="","",SUM($FN4068:$FN$7000))</f>
        <v/>
      </c>
      <c r="FK4068" s="36" t="str">
        <f>IF($FH4068="","",SUM($FN4068:$FN$7000))</f>
        <v/>
      </c>
    </row>
    <row r="4069" spans="164:167">
      <c r="FH4069" s="29" t="str">
        <f t="shared" si="118"/>
        <v/>
      </c>
      <c r="FJ4069" s="36" t="str">
        <f>IF($FH4069="","",SUM($FN4069:$FN$7000))</f>
        <v/>
      </c>
      <c r="FK4069" s="36" t="str">
        <f>IF($FH4069="","",SUM($FN4069:$FN$7000))</f>
        <v/>
      </c>
    </row>
    <row r="4070" spans="164:167">
      <c r="FH4070" s="29" t="str">
        <f t="shared" si="118"/>
        <v/>
      </c>
      <c r="FJ4070" s="36" t="str">
        <f>IF($FH4070="","",SUM($FN4070:$FN$7000))</f>
        <v/>
      </c>
      <c r="FK4070" s="36" t="str">
        <f>IF($FH4070="","",SUM($FN4070:$FN$7000))</f>
        <v/>
      </c>
    </row>
    <row r="4071" spans="164:167">
      <c r="FH4071" s="29" t="str">
        <f t="shared" si="118"/>
        <v/>
      </c>
      <c r="FJ4071" s="36" t="str">
        <f>IF($FH4071="","",SUM($FN4071:$FN$7000))</f>
        <v/>
      </c>
      <c r="FK4071" s="36" t="str">
        <f>IF($FH4071="","",SUM($FN4071:$FN$7000))</f>
        <v/>
      </c>
    </row>
    <row r="4072" spans="164:167">
      <c r="FH4072" s="29" t="str">
        <f t="shared" si="118"/>
        <v/>
      </c>
      <c r="FJ4072" s="36" t="str">
        <f>IF($FH4072="","",SUM($FN4072:$FN$7000))</f>
        <v/>
      </c>
      <c r="FK4072" s="36" t="str">
        <f>IF($FH4072="","",SUM($FN4072:$FN$7000))</f>
        <v/>
      </c>
    </row>
    <row r="4073" spans="164:167">
      <c r="FH4073" s="29" t="str">
        <f t="shared" si="118"/>
        <v/>
      </c>
      <c r="FJ4073" s="36" t="str">
        <f>IF($FH4073="","",SUM($FN4073:$FN$7000))</f>
        <v/>
      </c>
      <c r="FK4073" s="36" t="str">
        <f>IF($FH4073="","",SUM($FN4073:$FN$7000))</f>
        <v/>
      </c>
    </row>
    <row r="4074" spans="164:167">
      <c r="FH4074" s="29" t="str">
        <f t="shared" si="118"/>
        <v/>
      </c>
      <c r="FJ4074" s="36" t="str">
        <f>IF($FH4074="","",SUM($FN4074:$FN$7000))</f>
        <v/>
      </c>
      <c r="FK4074" s="36" t="str">
        <f>IF($FH4074="","",SUM($FN4074:$FN$7000))</f>
        <v/>
      </c>
    </row>
    <row r="4075" spans="164:167">
      <c r="FH4075" s="29" t="str">
        <f t="shared" si="118"/>
        <v/>
      </c>
      <c r="FJ4075" s="36" t="str">
        <f>IF($FH4075="","",SUM($FN4075:$FN$7000))</f>
        <v/>
      </c>
      <c r="FK4075" s="36" t="str">
        <f>IF($FH4075="","",SUM($FN4075:$FN$7000))</f>
        <v/>
      </c>
    </row>
    <row r="4076" spans="164:167">
      <c r="FH4076" s="29" t="str">
        <f t="shared" si="118"/>
        <v/>
      </c>
      <c r="FJ4076" s="36" t="str">
        <f>IF($FH4076="","",SUM($FN4076:$FN$7000))</f>
        <v/>
      </c>
      <c r="FK4076" s="36" t="str">
        <f>IF($FH4076="","",SUM($FN4076:$FN$7000))</f>
        <v/>
      </c>
    </row>
    <row r="4077" spans="164:167">
      <c r="FH4077" s="29" t="str">
        <f t="shared" si="118"/>
        <v/>
      </c>
      <c r="FJ4077" s="36" t="str">
        <f>IF($FH4077="","",SUM($FN4077:$FN$7000))</f>
        <v/>
      </c>
      <c r="FK4077" s="36" t="str">
        <f>IF($FH4077="","",SUM($FN4077:$FN$7000))</f>
        <v/>
      </c>
    </row>
    <row r="4078" spans="164:167">
      <c r="FH4078" s="29" t="str">
        <f t="shared" si="118"/>
        <v/>
      </c>
      <c r="FJ4078" s="36" t="str">
        <f>IF($FH4078="","",SUM($FN4078:$FN$7000))</f>
        <v/>
      </c>
      <c r="FK4078" s="36" t="str">
        <f>IF($FH4078="","",SUM($FN4078:$FN$7000))</f>
        <v/>
      </c>
    </row>
    <row r="4079" spans="164:167">
      <c r="FH4079" s="29" t="str">
        <f t="shared" si="118"/>
        <v/>
      </c>
      <c r="FJ4079" s="36" t="str">
        <f>IF($FH4079="","",SUM($FN4079:$FN$7000))</f>
        <v/>
      </c>
      <c r="FK4079" s="36" t="str">
        <f>IF($FH4079="","",SUM($FN4079:$FN$7000))</f>
        <v/>
      </c>
    </row>
    <row r="4080" spans="164:167">
      <c r="FH4080" s="29" t="str">
        <f t="shared" si="118"/>
        <v/>
      </c>
      <c r="FJ4080" s="36" t="str">
        <f>IF($FH4080="","",SUM($FN4080:$FN$7000))</f>
        <v/>
      </c>
      <c r="FK4080" s="36" t="str">
        <f>IF($FH4080="","",SUM($FN4080:$FN$7000))</f>
        <v/>
      </c>
    </row>
    <row r="4081" spans="164:167">
      <c r="FH4081" s="29" t="str">
        <f t="shared" si="118"/>
        <v/>
      </c>
      <c r="FJ4081" s="36" t="str">
        <f>IF($FH4081="","",SUM($FN4081:$FN$7000))</f>
        <v/>
      </c>
      <c r="FK4081" s="36" t="str">
        <f>IF($FH4081="","",SUM($FN4081:$FN$7000))</f>
        <v/>
      </c>
    </row>
    <row r="4082" spans="164:167">
      <c r="FH4082" s="29" t="str">
        <f t="shared" si="118"/>
        <v/>
      </c>
      <c r="FJ4082" s="36" t="str">
        <f>IF($FH4082="","",SUM($FN4082:$FN$7000))</f>
        <v/>
      </c>
      <c r="FK4082" s="36" t="str">
        <f>IF($FH4082="","",SUM($FN4082:$FN$7000))</f>
        <v/>
      </c>
    </row>
    <row r="4083" spans="164:167">
      <c r="FH4083" s="29" t="str">
        <f t="shared" si="118"/>
        <v/>
      </c>
      <c r="FJ4083" s="36" t="str">
        <f>IF($FH4083="","",SUM($FN4083:$FN$7000))</f>
        <v/>
      </c>
      <c r="FK4083" s="36" t="str">
        <f>IF($FH4083="","",SUM($FN4083:$FN$7000))</f>
        <v/>
      </c>
    </row>
    <row r="4084" spans="164:167">
      <c r="FH4084" s="29" t="str">
        <f t="shared" si="118"/>
        <v/>
      </c>
      <c r="FJ4084" s="36" t="str">
        <f>IF($FH4084="","",SUM($FN4084:$FN$7000))</f>
        <v/>
      </c>
      <c r="FK4084" s="36" t="str">
        <f>IF($FH4084="","",SUM($FN4084:$FN$7000))</f>
        <v/>
      </c>
    </row>
    <row r="4085" spans="164:167">
      <c r="FH4085" s="29" t="str">
        <f t="shared" si="118"/>
        <v/>
      </c>
      <c r="FJ4085" s="36" t="str">
        <f>IF($FH4085="","",SUM($FN4085:$FN$7000))</f>
        <v/>
      </c>
      <c r="FK4085" s="36" t="str">
        <f>IF($FH4085="","",SUM($FN4085:$FN$7000))</f>
        <v/>
      </c>
    </row>
    <row r="4086" spans="164:167">
      <c r="FH4086" s="29" t="str">
        <f t="shared" si="118"/>
        <v/>
      </c>
      <c r="FJ4086" s="36" t="str">
        <f>IF($FH4086="","",SUM($FN4086:$FN$7000))</f>
        <v/>
      </c>
      <c r="FK4086" s="36" t="str">
        <f>IF($FH4086="","",SUM($FN4086:$FN$7000))</f>
        <v/>
      </c>
    </row>
    <row r="4087" spans="164:167">
      <c r="FH4087" s="29" t="str">
        <f t="shared" si="118"/>
        <v/>
      </c>
      <c r="FJ4087" s="36" t="str">
        <f>IF($FH4087="","",SUM($FN4087:$FN$7000))</f>
        <v/>
      </c>
      <c r="FK4087" s="36" t="str">
        <f>IF($FH4087="","",SUM($FN4087:$FN$7000))</f>
        <v/>
      </c>
    </row>
    <row r="4088" spans="164:167">
      <c r="FH4088" s="29" t="str">
        <f t="shared" si="118"/>
        <v/>
      </c>
      <c r="FJ4088" s="36" t="str">
        <f>IF($FH4088="","",SUM($FN4088:$FN$7000))</f>
        <v/>
      </c>
      <c r="FK4088" s="36" t="str">
        <f>IF($FH4088="","",SUM($FN4088:$FN$7000))</f>
        <v/>
      </c>
    </row>
    <row r="4089" spans="164:167">
      <c r="FH4089" s="29" t="str">
        <f t="shared" si="118"/>
        <v/>
      </c>
      <c r="FJ4089" s="36" t="str">
        <f>IF($FH4089="","",SUM($FN4089:$FN$7000))</f>
        <v/>
      </c>
      <c r="FK4089" s="36" t="str">
        <f>IF($FH4089="","",SUM($FN4089:$FN$7000))</f>
        <v/>
      </c>
    </row>
    <row r="4090" spans="164:167">
      <c r="FH4090" s="29" t="str">
        <f t="shared" si="118"/>
        <v/>
      </c>
      <c r="FJ4090" s="36" t="str">
        <f>IF($FH4090="","",SUM($FN4090:$FN$7000))</f>
        <v/>
      </c>
      <c r="FK4090" s="36" t="str">
        <f>IF($FH4090="","",SUM($FN4090:$FN$7000))</f>
        <v/>
      </c>
    </row>
    <row r="4091" spans="164:167">
      <c r="FH4091" s="29" t="str">
        <f t="shared" si="118"/>
        <v/>
      </c>
      <c r="FJ4091" s="36" t="str">
        <f>IF($FH4091="","",SUM($FN4091:$FN$7000))</f>
        <v/>
      </c>
      <c r="FK4091" s="36" t="str">
        <f>IF($FH4091="","",SUM($FN4091:$FN$7000))</f>
        <v/>
      </c>
    </row>
    <row r="4092" spans="164:167">
      <c r="FH4092" s="29" t="str">
        <f t="shared" si="118"/>
        <v/>
      </c>
      <c r="FJ4092" s="36" t="str">
        <f>IF($FH4092="","",SUM($FN4092:$FN$7000))</f>
        <v/>
      </c>
      <c r="FK4092" s="36" t="str">
        <f>IF($FH4092="","",SUM($FN4092:$FN$7000))</f>
        <v/>
      </c>
    </row>
    <row r="4093" spans="164:167">
      <c r="FH4093" s="29" t="str">
        <f t="shared" si="118"/>
        <v/>
      </c>
      <c r="FJ4093" s="36" t="str">
        <f>IF($FH4093="","",SUM($FN4093:$FN$7000))</f>
        <v/>
      </c>
      <c r="FK4093" s="36" t="str">
        <f>IF($FH4093="","",SUM($FN4093:$FN$7000))</f>
        <v/>
      </c>
    </row>
    <row r="4094" spans="164:167">
      <c r="FH4094" s="29" t="str">
        <f t="shared" si="118"/>
        <v/>
      </c>
      <c r="FJ4094" s="36" t="str">
        <f>IF($FH4094="","",SUM($FN4094:$FN$7000))</f>
        <v/>
      </c>
      <c r="FK4094" s="36" t="str">
        <f>IF($FH4094="","",SUM($FN4094:$FN$7000))</f>
        <v/>
      </c>
    </row>
    <row r="4095" spans="164:167">
      <c r="FH4095" s="29" t="str">
        <f t="shared" si="118"/>
        <v/>
      </c>
      <c r="FJ4095" s="36" t="str">
        <f>IF($FH4095="","",SUM($FN4095:$FN$7000))</f>
        <v/>
      </c>
      <c r="FK4095" s="36" t="str">
        <f>IF($FH4095="","",SUM($FN4095:$FN$7000))</f>
        <v/>
      </c>
    </row>
    <row r="4096" spans="164:167">
      <c r="FH4096" s="29" t="str">
        <f t="shared" si="118"/>
        <v/>
      </c>
      <c r="FJ4096" s="36" t="str">
        <f>IF($FH4096="","",SUM($FN4096:$FN$7000))</f>
        <v/>
      </c>
      <c r="FK4096" s="36" t="str">
        <f>IF($FH4096="","",SUM($FN4096:$FN$7000))</f>
        <v/>
      </c>
    </row>
    <row r="4097" spans="164:167">
      <c r="FH4097" s="29" t="str">
        <f t="shared" si="118"/>
        <v/>
      </c>
      <c r="FJ4097" s="36" t="str">
        <f>IF($FH4097="","",SUM($FN4097:$FN$7000))</f>
        <v/>
      </c>
      <c r="FK4097" s="36" t="str">
        <f>IF($FH4097="","",SUM($FN4097:$FN$7000))</f>
        <v/>
      </c>
    </row>
    <row r="4098" spans="164:167">
      <c r="FH4098" s="29" t="str">
        <f t="shared" si="118"/>
        <v/>
      </c>
      <c r="FJ4098" s="36" t="str">
        <f>IF($FH4098="","",SUM($FN4098:$FN$7000))</f>
        <v/>
      </c>
      <c r="FK4098" s="36" t="str">
        <f>IF($FH4098="","",SUM($FN4098:$FN$7000))</f>
        <v/>
      </c>
    </row>
    <row r="4099" spans="164:167">
      <c r="FH4099" s="29" t="str">
        <f t="shared" si="118"/>
        <v/>
      </c>
      <c r="FJ4099" s="36" t="str">
        <f>IF($FH4099="","",SUM($FN4099:$FN$7000))</f>
        <v/>
      </c>
      <c r="FK4099" s="36" t="str">
        <f>IF($FH4099="","",SUM($FN4099:$FN$7000))</f>
        <v/>
      </c>
    </row>
    <row r="4100" spans="164:167">
      <c r="FH4100" s="29" t="str">
        <f t="shared" si="118"/>
        <v/>
      </c>
      <c r="FJ4100" s="36" t="str">
        <f>IF($FH4100="","",SUM($FN4100:$FN$7000))</f>
        <v/>
      </c>
      <c r="FK4100" s="36" t="str">
        <f>IF($FH4100="","",SUM($FN4100:$FN$7000))</f>
        <v/>
      </c>
    </row>
    <row r="4101" spans="164:167">
      <c r="FH4101" s="29" t="str">
        <f t="shared" si="118"/>
        <v/>
      </c>
      <c r="FJ4101" s="36" t="str">
        <f>IF($FH4101="","",SUM($FN4101:$FN$7000))</f>
        <v/>
      </c>
      <c r="FK4101" s="36" t="str">
        <f>IF($FH4101="","",SUM($FN4101:$FN$7000))</f>
        <v/>
      </c>
    </row>
    <row r="4102" spans="164:167">
      <c r="FH4102" s="29" t="str">
        <f t="shared" si="118"/>
        <v/>
      </c>
      <c r="FJ4102" s="36" t="str">
        <f>IF($FH4102="","",SUM($FN4102:$FN$7000))</f>
        <v/>
      </c>
      <c r="FK4102" s="36" t="str">
        <f>IF($FH4102="","",SUM($FN4102:$FN$7000))</f>
        <v/>
      </c>
    </row>
    <row r="4103" spans="164:167">
      <c r="FH4103" s="29" t="str">
        <f t="shared" si="118"/>
        <v/>
      </c>
      <c r="FJ4103" s="36" t="str">
        <f>IF($FH4103="","",SUM($FN4103:$FN$7000))</f>
        <v/>
      </c>
      <c r="FK4103" s="36" t="str">
        <f>IF($FH4103="","",SUM($FN4103:$FN$7000))</f>
        <v/>
      </c>
    </row>
    <row r="4104" spans="164:167">
      <c r="FH4104" s="29" t="str">
        <f t="shared" si="118"/>
        <v/>
      </c>
      <c r="FJ4104" s="36" t="str">
        <f>IF($FH4104="","",SUM($FN4104:$FN$7000))</f>
        <v/>
      </c>
      <c r="FK4104" s="36" t="str">
        <f>IF($FH4104="","",SUM($FN4104:$FN$7000))</f>
        <v/>
      </c>
    </row>
    <row r="4105" spans="164:167">
      <c r="FH4105" s="29" t="str">
        <f t="shared" si="118"/>
        <v/>
      </c>
      <c r="FJ4105" s="36" t="str">
        <f>IF($FH4105="","",SUM($FN4105:$FN$7000))</f>
        <v/>
      </c>
      <c r="FK4105" s="36" t="str">
        <f>IF($FH4105="","",SUM($FN4105:$FN$7000))</f>
        <v/>
      </c>
    </row>
    <row r="4106" spans="164:167">
      <c r="FH4106" s="29" t="str">
        <f t="shared" si="118"/>
        <v/>
      </c>
      <c r="FJ4106" s="36" t="str">
        <f>IF($FH4106="","",SUM($FN4106:$FN$7000))</f>
        <v/>
      </c>
      <c r="FK4106" s="36" t="str">
        <f>IF($FH4106="","",SUM($FN4106:$FN$7000))</f>
        <v/>
      </c>
    </row>
    <row r="4107" spans="164:167">
      <c r="FH4107" s="29" t="str">
        <f t="shared" ref="FH4107:FH4170" si="119">IF(FL4107="","",FL4107)</f>
        <v/>
      </c>
      <c r="FJ4107" s="36" t="str">
        <f>IF($FH4107="","",SUM($FN4107:$FN$7000))</f>
        <v/>
      </c>
      <c r="FK4107" s="36" t="str">
        <f>IF($FH4107="","",SUM($FN4107:$FN$7000))</f>
        <v/>
      </c>
    </row>
    <row r="4108" spans="164:167">
      <c r="FH4108" s="29" t="str">
        <f t="shared" si="119"/>
        <v/>
      </c>
      <c r="FJ4108" s="36" t="str">
        <f>IF($FH4108="","",SUM($FN4108:$FN$7000))</f>
        <v/>
      </c>
      <c r="FK4108" s="36" t="str">
        <f>IF($FH4108="","",SUM($FN4108:$FN$7000))</f>
        <v/>
      </c>
    </row>
    <row r="4109" spans="164:167">
      <c r="FH4109" s="29" t="str">
        <f t="shared" si="119"/>
        <v/>
      </c>
      <c r="FJ4109" s="36" t="str">
        <f>IF($FH4109="","",SUM($FN4109:$FN$7000))</f>
        <v/>
      </c>
      <c r="FK4109" s="36" t="str">
        <f>IF($FH4109="","",SUM($FN4109:$FN$7000))</f>
        <v/>
      </c>
    </row>
    <row r="4110" spans="164:167">
      <c r="FH4110" s="29" t="str">
        <f t="shared" si="119"/>
        <v/>
      </c>
      <c r="FJ4110" s="36" t="str">
        <f>IF($FH4110="","",SUM($FN4110:$FN$7000))</f>
        <v/>
      </c>
      <c r="FK4110" s="36" t="str">
        <f>IF($FH4110="","",SUM($FN4110:$FN$7000))</f>
        <v/>
      </c>
    </row>
    <row r="4111" spans="164:167">
      <c r="FH4111" s="29" t="str">
        <f t="shared" si="119"/>
        <v/>
      </c>
      <c r="FJ4111" s="36" t="str">
        <f>IF($FH4111="","",SUM($FN4111:$FN$7000))</f>
        <v/>
      </c>
      <c r="FK4111" s="36" t="str">
        <f>IF($FH4111="","",SUM($FN4111:$FN$7000))</f>
        <v/>
      </c>
    </row>
    <row r="4112" spans="164:167">
      <c r="FH4112" s="29" t="str">
        <f t="shared" si="119"/>
        <v/>
      </c>
      <c r="FJ4112" s="36" t="str">
        <f>IF($FH4112="","",SUM($FN4112:$FN$7000))</f>
        <v/>
      </c>
      <c r="FK4112" s="36" t="str">
        <f>IF($FH4112="","",SUM($FN4112:$FN$7000))</f>
        <v/>
      </c>
    </row>
    <row r="4113" spans="164:167">
      <c r="FH4113" s="29" t="str">
        <f t="shared" si="119"/>
        <v/>
      </c>
      <c r="FJ4113" s="36" t="str">
        <f>IF($FH4113="","",SUM($FN4113:$FN$7000))</f>
        <v/>
      </c>
      <c r="FK4113" s="36" t="str">
        <f>IF($FH4113="","",SUM($FN4113:$FN$7000))</f>
        <v/>
      </c>
    </row>
    <row r="4114" spans="164:167">
      <c r="FH4114" s="29" t="str">
        <f t="shared" si="119"/>
        <v/>
      </c>
      <c r="FJ4114" s="36" t="str">
        <f>IF($FH4114="","",SUM($FN4114:$FN$7000))</f>
        <v/>
      </c>
      <c r="FK4114" s="36" t="str">
        <f>IF($FH4114="","",SUM($FN4114:$FN$7000))</f>
        <v/>
      </c>
    </row>
    <row r="4115" spans="164:167">
      <c r="FH4115" s="29" t="str">
        <f t="shared" si="119"/>
        <v/>
      </c>
      <c r="FJ4115" s="36" t="str">
        <f>IF($FH4115="","",SUM($FN4115:$FN$7000))</f>
        <v/>
      </c>
      <c r="FK4115" s="36" t="str">
        <f>IF($FH4115="","",SUM($FN4115:$FN$7000))</f>
        <v/>
      </c>
    </row>
    <row r="4116" spans="164:167">
      <c r="FH4116" s="29" t="str">
        <f t="shared" si="119"/>
        <v/>
      </c>
      <c r="FJ4116" s="36" t="str">
        <f>IF($FH4116="","",SUM($FN4116:$FN$7000))</f>
        <v/>
      </c>
      <c r="FK4116" s="36" t="str">
        <f>IF($FH4116="","",SUM($FN4116:$FN$7000))</f>
        <v/>
      </c>
    </row>
    <row r="4117" spans="164:167">
      <c r="FH4117" s="29" t="str">
        <f t="shared" si="119"/>
        <v/>
      </c>
      <c r="FJ4117" s="36" t="str">
        <f>IF($FH4117="","",SUM($FN4117:$FN$7000))</f>
        <v/>
      </c>
      <c r="FK4117" s="36" t="str">
        <f>IF($FH4117="","",SUM($FN4117:$FN$7000))</f>
        <v/>
      </c>
    </row>
    <row r="4118" spans="164:167">
      <c r="FH4118" s="29" t="str">
        <f t="shared" si="119"/>
        <v/>
      </c>
      <c r="FJ4118" s="36" t="str">
        <f>IF($FH4118="","",SUM($FN4118:$FN$7000))</f>
        <v/>
      </c>
      <c r="FK4118" s="36" t="str">
        <f>IF($FH4118="","",SUM($FN4118:$FN$7000))</f>
        <v/>
      </c>
    </row>
    <row r="4119" spans="164:167">
      <c r="FH4119" s="29" t="str">
        <f t="shared" si="119"/>
        <v/>
      </c>
      <c r="FJ4119" s="36" t="str">
        <f>IF($FH4119="","",SUM($FN4119:$FN$7000))</f>
        <v/>
      </c>
      <c r="FK4119" s="36" t="str">
        <f>IF($FH4119="","",SUM($FN4119:$FN$7000))</f>
        <v/>
      </c>
    </row>
    <row r="4120" spans="164:167">
      <c r="FH4120" s="29" t="str">
        <f t="shared" si="119"/>
        <v/>
      </c>
      <c r="FJ4120" s="36" t="str">
        <f>IF($FH4120="","",SUM($FN4120:$FN$7000))</f>
        <v/>
      </c>
      <c r="FK4120" s="36" t="str">
        <f>IF($FH4120="","",SUM($FN4120:$FN$7000))</f>
        <v/>
      </c>
    </row>
    <row r="4121" spans="164:167">
      <c r="FH4121" s="29" t="str">
        <f t="shared" si="119"/>
        <v/>
      </c>
      <c r="FJ4121" s="36" t="str">
        <f>IF($FH4121="","",SUM($FN4121:$FN$7000))</f>
        <v/>
      </c>
      <c r="FK4121" s="36" t="str">
        <f>IF($FH4121="","",SUM($FN4121:$FN$7000))</f>
        <v/>
      </c>
    </row>
    <row r="4122" spans="164:167">
      <c r="FH4122" s="29" t="str">
        <f t="shared" si="119"/>
        <v/>
      </c>
      <c r="FJ4122" s="36" t="str">
        <f>IF($FH4122="","",SUM($FN4122:$FN$7000))</f>
        <v/>
      </c>
      <c r="FK4122" s="36" t="str">
        <f>IF($FH4122="","",SUM($FN4122:$FN$7000))</f>
        <v/>
      </c>
    </row>
    <row r="4123" spans="164:167">
      <c r="FH4123" s="29" t="str">
        <f t="shared" si="119"/>
        <v/>
      </c>
      <c r="FJ4123" s="36" t="str">
        <f>IF($FH4123="","",SUM($FN4123:$FN$7000))</f>
        <v/>
      </c>
      <c r="FK4123" s="36" t="str">
        <f>IF($FH4123="","",SUM($FN4123:$FN$7000))</f>
        <v/>
      </c>
    </row>
    <row r="4124" spans="164:167">
      <c r="FH4124" s="29" t="str">
        <f t="shared" si="119"/>
        <v/>
      </c>
      <c r="FJ4124" s="36" t="str">
        <f>IF($FH4124="","",SUM($FN4124:$FN$7000))</f>
        <v/>
      </c>
      <c r="FK4124" s="36" t="str">
        <f>IF($FH4124="","",SUM($FN4124:$FN$7000))</f>
        <v/>
      </c>
    </row>
    <row r="4125" spans="164:167">
      <c r="FH4125" s="29" t="str">
        <f t="shared" si="119"/>
        <v/>
      </c>
      <c r="FJ4125" s="36" t="str">
        <f>IF($FH4125="","",SUM($FN4125:$FN$7000))</f>
        <v/>
      </c>
      <c r="FK4125" s="36" t="str">
        <f>IF($FH4125="","",SUM($FN4125:$FN$7000))</f>
        <v/>
      </c>
    </row>
    <row r="4126" spans="164:167">
      <c r="FH4126" s="29" t="str">
        <f t="shared" si="119"/>
        <v/>
      </c>
      <c r="FJ4126" s="36" t="str">
        <f>IF($FH4126="","",SUM($FN4126:$FN$7000))</f>
        <v/>
      </c>
      <c r="FK4126" s="36" t="str">
        <f>IF($FH4126="","",SUM($FN4126:$FN$7000))</f>
        <v/>
      </c>
    </row>
    <row r="4127" spans="164:167">
      <c r="FH4127" s="29" t="str">
        <f t="shared" si="119"/>
        <v/>
      </c>
      <c r="FJ4127" s="36" t="str">
        <f>IF($FH4127="","",SUM($FN4127:$FN$7000))</f>
        <v/>
      </c>
      <c r="FK4127" s="36" t="str">
        <f>IF($FH4127="","",SUM($FN4127:$FN$7000))</f>
        <v/>
      </c>
    </row>
    <row r="4128" spans="164:167">
      <c r="FH4128" s="29" t="str">
        <f t="shared" si="119"/>
        <v/>
      </c>
      <c r="FJ4128" s="36" t="str">
        <f>IF($FH4128="","",SUM($FN4128:$FN$7000))</f>
        <v/>
      </c>
      <c r="FK4128" s="36" t="str">
        <f>IF($FH4128="","",SUM($FN4128:$FN$7000))</f>
        <v/>
      </c>
    </row>
    <row r="4129" spans="164:167">
      <c r="FH4129" s="29" t="str">
        <f t="shared" si="119"/>
        <v/>
      </c>
      <c r="FJ4129" s="36" t="str">
        <f>IF($FH4129="","",SUM($FN4129:$FN$7000))</f>
        <v/>
      </c>
      <c r="FK4129" s="36" t="str">
        <f>IF($FH4129="","",SUM($FN4129:$FN$7000))</f>
        <v/>
      </c>
    </row>
    <row r="4130" spans="164:167">
      <c r="FH4130" s="29" t="str">
        <f t="shared" si="119"/>
        <v/>
      </c>
      <c r="FJ4130" s="36" t="str">
        <f>IF($FH4130="","",SUM($FN4130:$FN$7000))</f>
        <v/>
      </c>
      <c r="FK4130" s="36" t="str">
        <f>IF($FH4130="","",SUM($FN4130:$FN$7000))</f>
        <v/>
      </c>
    </row>
    <row r="4131" spans="164:167">
      <c r="FH4131" s="29" t="str">
        <f t="shared" si="119"/>
        <v/>
      </c>
      <c r="FJ4131" s="36" t="str">
        <f>IF($FH4131="","",SUM($FN4131:$FN$7000))</f>
        <v/>
      </c>
      <c r="FK4131" s="36" t="str">
        <f>IF($FH4131="","",SUM($FN4131:$FN$7000))</f>
        <v/>
      </c>
    </row>
    <row r="4132" spans="164:167">
      <c r="FH4132" s="29" t="str">
        <f t="shared" si="119"/>
        <v/>
      </c>
      <c r="FJ4132" s="36" t="str">
        <f>IF($FH4132="","",SUM($FN4132:$FN$7000))</f>
        <v/>
      </c>
      <c r="FK4132" s="36" t="str">
        <f>IF($FH4132="","",SUM($FN4132:$FN$7000))</f>
        <v/>
      </c>
    </row>
    <row r="4133" spans="164:167">
      <c r="FH4133" s="29" t="str">
        <f t="shared" si="119"/>
        <v/>
      </c>
      <c r="FJ4133" s="36" t="str">
        <f>IF($FH4133="","",SUM($FN4133:$FN$7000))</f>
        <v/>
      </c>
      <c r="FK4133" s="36" t="str">
        <f>IF($FH4133="","",SUM($FN4133:$FN$7000))</f>
        <v/>
      </c>
    </row>
    <row r="4134" spans="164:167">
      <c r="FH4134" s="29" t="str">
        <f t="shared" si="119"/>
        <v/>
      </c>
      <c r="FJ4134" s="36" t="str">
        <f>IF($FH4134="","",SUM($FN4134:$FN$7000))</f>
        <v/>
      </c>
      <c r="FK4134" s="36" t="str">
        <f>IF($FH4134="","",SUM($FN4134:$FN$7000))</f>
        <v/>
      </c>
    </row>
    <row r="4135" spans="164:167">
      <c r="FH4135" s="29" t="str">
        <f t="shared" si="119"/>
        <v/>
      </c>
      <c r="FJ4135" s="36" t="str">
        <f>IF($FH4135="","",SUM($FN4135:$FN$7000))</f>
        <v/>
      </c>
      <c r="FK4135" s="36" t="str">
        <f>IF($FH4135="","",SUM($FN4135:$FN$7000))</f>
        <v/>
      </c>
    </row>
    <row r="4136" spans="164:167">
      <c r="FH4136" s="29" t="str">
        <f t="shared" si="119"/>
        <v/>
      </c>
      <c r="FJ4136" s="36" t="str">
        <f>IF($FH4136="","",SUM($FN4136:$FN$7000))</f>
        <v/>
      </c>
      <c r="FK4136" s="36" t="str">
        <f>IF($FH4136="","",SUM($FN4136:$FN$7000))</f>
        <v/>
      </c>
    </row>
    <row r="4137" spans="164:167">
      <c r="FH4137" s="29" t="str">
        <f t="shared" si="119"/>
        <v/>
      </c>
      <c r="FJ4137" s="36" t="str">
        <f>IF($FH4137="","",SUM($FN4137:$FN$7000))</f>
        <v/>
      </c>
      <c r="FK4137" s="36" t="str">
        <f>IF($FH4137="","",SUM($FN4137:$FN$7000))</f>
        <v/>
      </c>
    </row>
    <row r="4138" spans="164:167">
      <c r="FH4138" s="29" t="str">
        <f t="shared" si="119"/>
        <v/>
      </c>
      <c r="FJ4138" s="36" t="str">
        <f>IF($FH4138="","",SUM($FN4138:$FN$7000))</f>
        <v/>
      </c>
      <c r="FK4138" s="36" t="str">
        <f>IF($FH4138="","",SUM($FN4138:$FN$7000))</f>
        <v/>
      </c>
    </row>
    <row r="4139" spans="164:167">
      <c r="FH4139" s="29" t="str">
        <f t="shared" si="119"/>
        <v/>
      </c>
      <c r="FJ4139" s="36" t="str">
        <f>IF($FH4139="","",SUM($FN4139:$FN$7000))</f>
        <v/>
      </c>
      <c r="FK4139" s="36" t="str">
        <f>IF($FH4139="","",SUM($FN4139:$FN$7000))</f>
        <v/>
      </c>
    </row>
    <row r="4140" spans="164:167">
      <c r="FH4140" s="29" t="str">
        <f t="shared" si="119"/>
        <v/>
      </c>
      <c r="FJ4140" s="36" t="str">
        <f>IF($FH4140="","",SUM($FN4140:$FN$7000))</f>
        <v/>
      </c>
      <c r="FK4140" s="36" t="str">
        <f>IF($FH4140="","",SUM($FN4140:$FN$7000))</f>
        <v/>
      </c>
    </row>
    <row r="4141" spans="164:167">
      <c r="FH4141" s="29" t="str">
        <f t="shared" si="119"/>
        <v/>
      </c>
      <c r="FJ4141" s="36" t="str">
        <f>IF($FH4141="","",SUM($FN4141:$FN$7000))</f>
        <v/>
      </c>
      <c r="FK4141" s="36" t="str">
        <f>IF($FH4141="","",SUM($FN4141:$FN$7000))</f>
        <v/>
      </c>
    </row>
    <row r="4142" spans="164:167">
      <c r="FH4142" s="29" t="str">
        <f t="shared" si="119"/>
        <v/>
      </c>
      <c r="FJ4142" s="36" t="str">
        <f>IF($FH4142="","",SUM($FN4142:$FN$7000))</f>
        <v/>
      </c>
      <c r="FK4142" s="36" t="str">
        <f>IF($FH4142="","",SUM($FN4142:$FN$7000))</f>
        <v/>
      </c>
    </row>
    <row r="4143" spans="164:167">
      <c r="FH4143" s="29" t="str">
        <f t="shared" si="119"/>
        <v/>
      </c>
      <c r="FJ4143" s="36" t="str">
        <f>IF($FH4143="","",SUM($FN4143:$FN$7000))</f>
        <v/>
      </c>
      <c r="FK4143" s="36" t="str">
        <f>IF($FH4143="","",SUM($FN4143:$FN$7000))</f>
        <v/>
      </c>
    </row>
    <row r="4144" spans="164:167">
      <c r="FH4144" s="29" t="str">
        <f t="shared" si="119"/>
        <v/>
      </c>
      <c r="FJ4144" s="36" t="str">
        <f>IF($FH4144="","",SUM($FN4144:$FN$7000))</f>
        <v/>
      </c>
      <c r="FK4144" s="36" t="str">
        <f>IF($FH4144="","",SUM($FN4144:$FN$7000))</f>
        <v/>
      </c>
    </row>
    <row r="4145" spans="164:167">
      <c r="FH4145" s="29" t="str">
        <f t="shared" si="119"/>
        <v/>
      </c>
      <c r="FJ4145" s="36" t="str">
        <f>IF($FH4145="","",SUM($FN4145:$FN$7000))</f>
        <v/>
      </c>
      <c r="FK4145" s="36" t="str">
        <f>IF($FH4145="","",SUM($FN4145:$FN$7000))</f>
        <v/>
      </c>
    </row>
    <row r="4146" spans="164:167">
      <c r="FH4146" s="29" t="str">
        <f t="shared" si="119"/>
        <v/>
      </c>
      <c r="FJ4146" s="36" t="str">
        <f>IF($FH4146="","",SUM($FN4146:$FN$7000))</f>
        <v/>
      </c>
      <c r="FK4146" s="36" t="str">
        <f>IF($FH4146="","",SUM($FN4146:$FN$7000))</f>
        <v/>
      </c>
    </row>
    <row r="4147" spans="164:167">
      <c r="FH4147" s="29" t="str">
        <f t="shared" si="119"/>
        <v/>
      </c>
      <c r="FJ4147" s="36" t="str">
        <f>IF($FH4147="","",SUM($FN4147:$FN$7000))</f>
        <v/>
      </c>
      <c r="FK4147" s="36" t="str">
        <f>IF($FH4147="","",SUM($FN4147:$FN$7000))</f>
        <v/>
      </c>
    </row>
    <row r="4148" spans="164:167">
      <c r="FH4148" s="29" t="str">
        <f t="shared" si="119"/>
        <v/>
      </c>
      <c r="FJ4148" s="36" t="str">
        <f>IF($FH4148="","",SUM($FN4148:$FN$7000))</f>
        <v/>
      </c>
      <c r="FK4148" s="36" t="str">
        <f>IF($FH4148="","",SUM($FN4148:$FN$7000))</f>
        <v/>
      </c>
    </row>
    <row r="4149" spans="164:167">
      <c r="FH4149" s="29" t="str">
        <f t="shared" si="119"/>
        <v/>
      </c>
      <c r="FJ4149" s="36" t="str">
        <f>IF($FH4149="","",SUM($FN4149:$FN$7000))</f>
        <v/>
      </c>
      <c r="FK4149" s="36" t="str">
        <f>IF($FH4149="","",SUM($FN4149:$FN$7000))</f>
        <v/>
      </c>
    </row>
    <row r="4150" spans="164:167">
      <c r="FH4150" s="29" t="str">
        <f t="shared" si="119"/>
        <v/>
      </c>
      <c r="FJ4150" s="36" t="str">
        <f>IF($FH4150="","",SUM($FN4150:$FN$7000))</f>
        <v/>
      </c>
      <c r="FK4150" s="36" t="str">
        <f>IF($FH4150="","",SUM($FN4150:$FN$7000))</f>
        <v/>
      </c>
    </row>
    <row r="4151" spans="164:167">
      <c r="FH4151" s="29" t="str">
        <f t="shared" si="119"/>
        <v/>
      </c>
      <c r="FJ4151" s="36" t="str">
        <f>IF($FH4151="","",SUM($FN4151:$FN$7000))</f>
        <v/>
      </c>
      <c r="FK4151" s="36" t="str">
        <f>IF($FH4151="","",SUM($FN4151:$FN$7000))</f>
        <v/>
      </c>
    </row>
    <row r="4152" spans="164:167">
      <c r="FH4152" s="29" t="str">
        <f t="shared" si="119"/>
        <v/>
      </c>
      <c r="FJ4152" s="36" t="str">
        <f>IF($FH4152="","",SUM($FN4152:$FN$7000))</f>
        <v/>
      </c>
      <c r="FK4152" s="36" t="str">
        <f>IF($FH4152="","",SUM($FN4152:$FN$7000))</f>
        <v/>
      </c>
    </row>
    <row r="4153" spans="164:167">
      <c r="FH4153" s="29" t="str">
        <f t="shared" si="119"/>
        <v/>
      </c>
      <c r="FJ4153" s="36" t="str">
        <f>IF($FH4153="","",SUM($FN4153:$FN$7000))</f>
        <v/>
      </c>
      <c r="FK4153" s="36" t="str">
        <f>IF($FH4153="","",SUM($FN4153:$FN$7000))</f>
        <v/>
      </c>
    </row>
    <row r="4154" spans="164:167">
      <c r="FH4154" s="29" t="str">
        <f t="shared" si="119"/>
        <v/>
      </c>
      <c r="FJ4154" s="36" t="str">
        <f>IF($FH4154="","",SUM($FN4154:$FN$7000))</f>
        <v/>
      </c>
      <c r="FK4154" s="36" t="str">
        <f>IF($FH4154="","",SUM($FN4154:$FN$7000))</f>
        <v/>
      </c>
    </row>
    <row r="4155" spans="164:167">
      <c r="FH4155" s="29" t="str">
        <f t="shared" si="119"/>
        <v/>
      </c>
      <c r="FJ4155" s="36" t="str">
        <f>IF($FH4155="","",SUM($FN4155:$FN$7000))</f>
        <v/>
      </c>
      <c r="FK4155" s="36" t="str">
        <f>IF($FH4155="","",SUM($FN4155:$FN$7000))</f>
        <v/>
      </c>
    </row>
    <row r="4156" spans="164:167">
      <c r="FH4156" s="29" t="str">
        <f t="shared" si="119"/>
        <v/>
      </c>
      <c r="FJ4156" s="36" t="str">
        <f>IF($FH4156="","",SUM($FN4156:$FN$7000))</f>
        <v/>
      </c>
      <c r="FK4156" s="36" t="str">
        <f>IF($FH4156="","",SUM($FN4156:$FN$7000))</f>
        <v/>
      </c>
    </row>
    <row r="4157" spans="164:167">
      <c r="FH4157" s="29" t="str">
        <f t="shared" si="119"/>
        <v/>
      </c>
      <c r="FJ4157" s="36" t="str">
        <f>IF($FH4157="","",SUM($FN4157:$FN$7000))</f>
        <v/>
      </c>
      <c r="FK4157" s="36" t="str">
        <f>IF($FH4157="","",SUM($FN4157:$FN$7000))</f>
        <v/>
      </c>
    </row>
    <row r="4158" spans="164:167">
      <c r="FH4158" s="29" t="str">
        <f t="shared" si="119"/>
        <v/>
      </c>
      <c r="FJ4158" s="36" t="str">
        <f>IF($FH4158="","",SUM($FN4158:$FN$7000))</f>
        <v/>
      </c>
      <c r="FK4158" s="36" t="str">
        <f>IF($FH4158="","",SUM($FN4158:$FN$7000))</f>
        <v/>
      </c>
    </row>
    <row r="4159" spans="164:167">
      <c r="FH4159" s="29" t="str">
        <f t="shared" si="119"/>
        <v/>
      </c>
      <c r="FJ4159" s="36" t="str">
        <f>IF($FH4159="","",SUM($FN4159:$FN$7000))</f>
        <v/>
      </c>
      <c r="FK4159" s="36" t="str">
        <f>IF($FH4159="","",SUM($FN4159:$FN$7000))</f>
        <v/>
      </c>
    </row>
    <row r="4160" spans="164:167">
      <c r="FH4160" s="29" t="str">
        <f t="shared" si="119"/>
        <v/>
      </c>
      <c r="FJ4160" s="36" t="str">
        <f>IF($FH4160="","",SUM($FN4160:$FN$7000))</f>
        <v/>
      </c>
      <c r="FK4160" s="36" t="str">
        <f>IF($FH4160="","",SUM($FN4160:$FN$7000))</f>
        <v/>
      </c>
    </row>
    <row r="4161" spans="164:167">
      <c r="FH4161" s="29" t="str">
        <f t="shared" si="119"/>
        <v/>
      </c>
      <c r="FJ4161" s="36" t="str">
        <f>IF($FH4161="","",SUM($FN4161:$FN$7000))</f>
        <v/>
      </c>
      <c r="FK4161" s="36" t="str">
        <f>IF($FH4161="","",SUM($FN4161:$FN$7000))</f>
        <v/>
      </c>
    </row>
    <row r="4162" spans="164:167">
      <c r="FH4162" s="29" t="str">
        <f t="shared" si="119"/>
        <v/>
      </c>
      <c r="FJ4162" s="36" t="str">
        <f>IF($FH4162="","",SUM($FN4162:$FN$7000))</f>
        <v/>
      </c>
      <c r="FK4162" s="36" t="str">
        <f>IF($FH4162="","",SUM($FN4162:$FN$7000))</f>
        <v/>
      </c>
    </row>
    <row r="4163" spans="164:167">
      <c r="FH4163" s="29" t="str">
        <f t="shared" si="119"/>
        <v/>
      </c>
      <c r="FJ4163" s="36" t="str">
        <f>IF($FH4163="","",SUM($FN4163:$FN$7000))</f>
        <v/>
      </c>
      <c r="FK4163" s="36" t="str">
        <f>IF($FH4163="","",SUM($FN4163:$FN$7000))</f>
        <v/>
      </c>
    </row>
    <row r="4164" spans="164:167">
      <c r="FH4164" s="29" t="str">
        <f t="shared" si="119"/>
        <v/>
      </c>
      <c r="FJ4164" s="36" t="str">
        <f>IF($FH4164="","",SUM($FN4164:$FN$7000))</f>
        <v/>
      </c>
      <c r="FK4164" s="36" t="str">
        <f>IF($FH4164="","",SUM($FN4164:$FN$7000))</f>
        <v/>
      </c>
    </row>
    <row r="4165" spans="164:167">
      <c r="FH4165" s="29" t="str">
        <f t="shared" si="119"/>
        <v/>
      </c>
      <c r="FJ4165" s="36" t="str">
        <f>IF($FH4165="","",SUM($FN4165:$FN$7000))</f>
        <v/>
      </c>
      <c r="FK4165" s="36" t="str">
        <f>IF($FH4165="","",SUM($FN4165:$FN$7000))</f>
        <v/>
      </c>
    </row>
    <row r="4166" spans="164:167">
      <c r="FH4166" s="29" t="str">
        <f t="shared" si="119"/>
        <v/>
      </c>
      <c r="FJ4166" s="36" t="str">
        <f>IF($FH4166="","",SUM($FN4166:$FN$7000))</f>
        <v/>
      </c>
      <c r="FK4166" s="36" t="str">
        <f>IF($FH4166="","",SUM($FN4166:$FN$7000))</f>
        <v/>
      </c>
    </row>
    <row r="4167" spans="164:167">
      <c r="FH4167" s="29" t="str">
        <f t="shared" si="119"/>
        <v/>
      </c>
      <c r="FJ4167" s="36" t="str">
        <f>IF($FH4167="","",SUM($FN4167:$FN$7000))</f>
        <v/>
      </c>
      <c r="FK4167" s="36" t="str">
        <f>IF($FH4167="","",SUM($FN4167:$FN$7000))</f>
        <v/>
      </c>
    </row>
    <row r="4168" spans="164:167">
      <c r="FH4168" s="29" t="str">
        <f t="shared" si="119"/>
        <v/>
      </c>
      <c r="FJ4168" s="36" t="str">
        <f>IF($FH4168="","",SUM($FN4168:$FN$7000))</f>
        <v/>
      </c>
      <c r="FK4168" s="36" t="str">
        <f>IF($FH4168="","",SUM($FN4168:$FN$7000))</f>
        <v/>
      </c>
    </row>
    <row r="4169" spans="164:167">
      <c r="FH4169" s="29" t="str">
        <f t="shared" si="119"/>
        <v/>
      </c>
      <c r="FJ4169" s="36" t="str">
        <f>IF($FH4169="","",SUM($FN4169:$FN$7000))</f>
        <v/>
      </c>
      <c r="FK4169" s="36" t="str">
        <f>IF($FH4169="","",SUM($FN4169:$FN$7000))</f>
        <v/>
      </c>
    </row>
    <row r="4170" spans="164:167">
      <c r="FH4170" s="29" t="str">
        <f t="shared" si="119"/>
        <v/>
      </c>
      <c r="FJ4170" s="36" t="str">
        <f>IF($FH4170="","",SUM($FN4170:$FN$7000))</f>
        <v/>
      </c>
      <c r="FK4170" s="36" t="str">
        <f>IF($FH4170="","",SUM($FN4170:$FN$7000))</f>
        <v/>
      </c>
    </row>
    <row r="4171" spans="164:167">
      <c r="FH4171" s="29" t="str">
        <f t="shared" ref="FH4171:FH4234" si="120">IF(FL4171="","",FL4171)</f>
        <v/>
      </c>
      <c r="FJ4171" s="36" t="str">
        <f>IF($FH4171="","",SUM($FN4171:$FN$7000))</f>
        <v/>
      </c>
      <c r="FK4171" s="36" t="str">
        <f>IF($FH4171="","",SUM($FN4171:$FN$7000))</f>
        <v/>
      </c>
    </row>
    <row r="4172" spans="164:167">
      <c r="FH4172" s="29" t="str">
        <f t="shared" si="120"/>
        <v/>
      </c>
      <c r="FJ4172" s="36" t="str">
        <f>IF($FH4172="","",SUM($FN4172:$FN$7000))</f>
        <v/>
      </c>
      <c r="FK4172" s="36" t="str">
        <f>IF($FH4172="","",SUM($FN4172:$FN$7000))</f>
        <v/>
      </c>
    </row>
    <row r="4173" spans="164:167">
      <c r="FH4173" s="29" t="str">
        <f t="shared" si="120"/>
        <v/>
      </c>
      <c r="FJ4173" s="36" t="str">
        <f>IF($FH4173="","",SUM($FN4173:$FN$7000))</f>
        <v/>
      </c>
      <c r="FK4173" s="36" t="str">
        <f>IF($FH4173="","",SUM($FN4173:$FN$7000))</f>
        <v/>
      </c>
    </row>
    <row r="4174" spans="164:167">
      <c r="FH4174" s="29" t="str">
        <f t="shared" si="120"/>
        <v/>
      </c>
      <c r="FJ4174" s="36" t="str">
        <f>IF($FH4174="","",SUM($FN4174:$FN$7000))</f>
        <v/>
      </c>
      <c r="FK4174" s="36" t="str">
        <f>IF($FH4174="","",SUM($FN4174:$FN$7000))</f>
        <v/>
      </c>
    </row>
    <row r="4175" spans="164:167">
      <c r="FH4175" s="29" t="str">
        <f t="shared" si="120"/>
        <v/>
      </c>
      <c r="FJ4175" s="36" t="str">
        <f>IF($FH4175="","",SUM($FN4175:$FN$7000))</f>
        <v/>
      </c>
      <c r="FK4175" s="36" t="str">
        <f>IF($FH4175="","",SUM($FN4175:$FN$7000))</f>
        <v/>
      </c>
    </row>
    <row r="4176" spans="164:167">
      <c r="FH4176" s="29" t="str">
        <f t="shared" si="120"/>
        <v/>
      </c>
      <c r="FJ4176" s="36" t="str">
        <f>IF($FH4176="","",SUM($FN4176:$FN$7000))</f>
        <v/>
      </c>
      <c r="FK4176" s="36" t="str">
        <f>IF($FH4176="","",SUM($FN4176:$FN$7000))</f>
        <v/>
      </c>
    </row>
    <row r="4177" spans="164:167">
      <c r="FH4177" s="29" t="str">
        <f t="shared" si="120"/>
        <v/>
      </c>
      <c r="FJ4177" s="36" t="str">
        <f>IF($FH4177="","",SUM($FN4177:$FN$7000))</f>
        <v/>
      </c>
      <c r="FK4177" s="36" t="str">
        <f>IF($FH4177="","",SUM($FN4177:$FN$7000))</f>
        <v/>
      </c>
    </row>
    <row r="4178" spans="164:167">
      <c r="FH4178" s="29" t="str">
        <f t="shared" si="120"/>
        <v/>
      </c>
      <c r="FJ4178" s="36" t="str">
        <f>IF($FH4178="","",SUM($FN4178:$FN$7000))</f>
        <v/>
      </c>
      <c r="FK4178" s="36" t="str">
        <f>IF($FH4178="","",SUM($FN4178:$FN$7000))</f>
        <v/>
      </c>
    </row>
    <row r="4179" spans="164:167">
      <c r="FH4179" s="29" t="str">
        <f t="shared" si="120"/>
        <v/>
      </c>
      <c r="FJ4179" s="36" t="str">
        <f>IF($FH4179="","",SUM($FN4179:$FN$7000))</f>
        <v/>
      </c>
      <c r="FK4179" s="36" t="str">
        <f>IF($FH4179="","",SUM($FN4179:$FN$7000))</f>
        <v/>
      </c>
    </row>
    <row r="4180" spans="164:167">
      <c r="FH4180" s="29" t="str">
        <f t="shared" si="120"/>
        <v/>
      </c>
      <c r="FJ4180" s="36" t="str">
        <f>IF($FH4180="","",SUM($FN4180:$FN$7000))</f>
        <v/>
      </c>
      <c r="FK4180" s="36" t="str">
        <f>IF($FH4180="","",SUM($FN4180:$FN$7000))</f>
        <v/>
      </c>
    </row>
    <row r="4181" spans="164:167">
      <c r="FH4181" s="29" t="str">
        <f t="shared" si="120"/>
        <v/>
      </c>
      <c r="FJ4181" s="36" t="str">
        <f>IF($FH4181="","",SUM($FN4181:$FN$7000))</f>
        <v/>
      </c>
      <c r="FK4181" s="36" t="str">
        <f>IF($FH4181="","",SUM($FN4181:$FN$7000))</f>
        <v/>
      </c>
    </row>
    <row r="4182" spans="164:167">
      <c r="FH4182" s="29" t="str">
        <f t="shared" si="120"/>
        <v/>
      </c>
      <c r="FJ4182" s="36" t="str">
        <f>IF($FH4182="","",SUM($FN4182:$FN$7000))</f>
        <v/>
      </c>
      <c r="FK4182" s="36" t="str">
        <f>IF($FH4182="","",SUM($FN4182:$FN$7000))</f>
        <v/>
      </c>
    </row>
    <row r="4183" spans="164:167">
      <c r="FH4183" s="29" t="str">
        <f t="shared" si="120"/>
        <v/>
      </c>
      <c r="FJ4183" s="36" t="str">
        <f>IF($FH4183="","",SUM($FN4183:$FN$7000))</f>
        <v/>
      </c>
      <c r="FK4183" s="36" t="str">
        <f>IF($FH4183="","",SUM($FN4183:$FN$7000))</f>
        <v/>
      </c>
    </row>
    <row r="4184" spans="164:167">
      <c r="FH4184" s="29" t="str">
        <f t="shared" si="120"/>
        <v/>
      </c>
      <c r="FJ4184" s="36" t="str">
        <f>IF($FH4184="","",SUM($FN4184:$FN$7000))</f>
        <v/>
      </c>
      <c r="FK4184" s="36" t="str">
        <f>IF($FH4184="","",SUM($FN4184:$FN$7000))</f>
        <v/>
      </c>
    </row>
    <row r="4185" spans="164:167">
      <c r="FH4185" s="29" t="str">
        <f t="shared" si="120"/>
        <v/>
      </c>
      <c r="FJ4185" s="36" t="str">
        <f>IF($FH4185="","",SUM($FN4185:$FN$7000))</f>
        <v/>
      </c>
      <c r="FK4185" s="36" t="str">
        <f>IF($FH4185="","",SUM($FN4185:$FN$7000))</f>
        <v/>
      </c>
    </row>
    <row r="4186" spans="164:167">
      <c r="FH4186" s="29" t="str">
        <f t="shared" si="120"/>
        <v/>
      </c>
      <c r="FJ4186" s="36" t="str">
        <f>IF($FH4186="","",SUM($FN4186:$FN$7000))</f>
        <v/>
      </c>
      <c r="FK4186" s="36" t="str">
        <f>IF($FH4186="","",SUM($FN4186:$FN$7000))</f>
        <v/>
      </c>
    </row>
    <row r="4187" spans="164:167">
      <c r="FH4187" s="29" t="str">
        <f t="shared" si="120"/>
        <v/>
      </c>
      <c r="FJ4187" s="36" t="str">
        <f>IF($FH4187="","",SUM($FN4187:$FN$7000))</f>
        <v/>
      </c>
      <c r="FK4187" s="36" t="str">
        <f>IF($FH4187="","",SUM($FN4187:$FN$7000))</f>
        <v/>
      </c>
    </row>
    <row r="4188" spans="164:167">
      <c r="FH4188" s="29" t="str">
        <f t="shared" si="120"/>
        <v/>
      </c>
      <c r="FJ4188" s="36" t="str">
        <f>IF($FH4188="","",SUM($FN4188:$FN$7000))</f>
        <v/>
      </c>
      <c r="FK4188" s="36" t="str">
        <f>IF($FH4188="","",SUM($FN4188:$FN$7000))</f>
        <v/>
      </c>
    </row>
    <row r="4189" spans="164:167">
      <c r="FH4189" s="29" t="str">
        <f t="shared" si="120"/>
        <v/>
      </c>
      <c r="FJ4189" s="36" t="str">
        <f>IF($FH4189="","",SUM($FN4189:$FN$7000))</f>
        <v/>
      </c>
      <c r="FK4189" s="36" t="str">
        <f>IF($FH4189="","",SUM($FN4189:$FN$7000))</f>
        <v/>
      </c>
    </row>
    <row r="4190" spans="164:167">
      <c r="FH4190" s="29" t="str">
        <f t="shared" si="120"/>
        <v/>
      </c>
      <c r="FJ4190" s="36" t="str">
        <f>IF($FH4190="","",SUM($FN4190:$FN$7000))</f>
        <v/>
      </c>
      <c r="FK4190" s="36" t="str">
        <f>IF($FH4190="","",SUM($FN4190:$FN$7000))</f>
        <v/>
      </c>
    </row>
    <row r="4191" spans="164:167">
      <c r="FH4191" s="29" t="str">
        <f t="shared" si="120"/>
        <v/>
      </c>
      <c r="FJ4191" s="36" t="str">
        <f>IF($FH4191="","",SUM($FN4191:$FN$7000))</f>
        <v/>
      </c>
      <c r="FK4191" s="36" t="str">
        <f>IF($FH4191="","",SUM($FN4191:$FN$7000))</f>
        <v/>
      </c>
    </row>
    <row r="4192" spans="164:167">
      <c r="FH4192" s="29" t="str">
        <f t="shared" si="120"/>
        <v/>
      </c>
      <c r="FJ4192" s="36" t="str">
        <f>IF($FH4192="","",SUM($FN4192:$FN$7000))</f>
        <v/>
      </c>
      <c r="FK4192" s="36" t="str">
        <f>IF($FH4192="","",SUM($FN4192:$FN$7000))</f>
        <v/>
      </c>
    </row>
    <row r="4193" spans="164:167">
      <c r="FH4193" s="29" t="str">
        <f t="shared" si="120"/>
        <v/>
      </c>
      <c r="FJ4193" s="36" t="str">
        <f>IF($FH4193="","",SUM($FN4193:$FN$7000))</f>
        <v/>
      </c>
      <c r="FK4193" s="36" t="str">
        <f>IF($FH4193="","",SUM($FN4193:$FN$7000))</f>
        <v/>
      </c>
    </row>
    <row r="4194" spans="164:167">
      <c r="FH4194" s="29" t="str">
        <f t="shared" si="120"/>
        <v/>
      </c>
      <c r="FJ4194" s="36" t="str">
        <f>IF($FH4194="","",SUM($FN4194:$FN$7000))</f>
        <v/>
      </c>
      <c r="FK4194" s="36" t="str">
        <f>IF($FH4194="","",SUM($FN4194:$FN$7000))</f>
        <v/>
      </c>
    </row>
    <row r="4195" spans="164:167">
      <c r="FH4195" s="29" t="str">
        <f t="shared" si="120"/>
        <v/>
      </c>
      <c r="FJ4195" s="36" t="str">
        <f>IF($FH4195="","",SUM($FN4195:$FN$7000))</f>
        <v/>
      </c>
      <c r="FK4195" s="36" t="str">
        <f>IF($FH4195="","",SUM($FN4195:$FN$7000))</f>
        <v/>
      </c>
    </row>
    <row r="4196" spans="164:167">
      <c r="FH4196" s="29" t="str">
        <f t="shared" si="120"/>
        <v/>
      </c>
      <c r="FJ4196" s="36" t="str">
        <f>IF($FH4196="","",SUM($FN4196:$FN$7000))</f>
        <v/>
      </c>
      <c r="FK4196" s="36" t="str">
        <f>IF($FH4196="","",SUM($FN4196:$FN$7000))</f>
        <v/>
      </c>
    </row>
    <row r="4197" spans="164:167">
      <c r="FH4197" s="29" t="str">
        <f t="shared" si="120"/>
        <v/>
      </c>
      <c r="FJ4197" s="36" t="str">
        <f>IF($FH4197="","",SUM($FN4197:$FN$7000))</f>
        <v/>
      </c>
      <c r="FK4197" s="36" t="str">
        <f>IF($FH4197="","",SUM($FN4197:$FN$7000))</f>
        <v/>
      </c>
    </row>
    <row r="4198" spans="164:167">
      <c r="FH4198" s="29" t="str">
        <f t="shared" si="120"/>
        <v/>
      </c>
      <c r="FJ4198" s="36" t="str">
        <f>IF($FH4198="","",SUM($FN4198:$FN$7000))</f>
        <v/>
      </c>
      <c r="FK4198" s="36" t="str">
        <f>IF($FH4198="","",SUM($FN4198:$FN$7000))</f>
        <v/>
      </c>
    </row>
    <row r="4199" spans="164:167">
      <c r="FH4199" s="29" t="str">
        <f t="shared" si="120"/>
        <v/>
      </c>
      <c r="FJ4199" s="36" t="str">
        <f>IF($FH4199="","",SUM($FN4199:$FN$7000))</f>
        <v/>
      </c>
      <c r="FK4199" s="36" t="str">
        <f>IF($FH4199="","",SUM($FN4199:$FN$7000))</f>
        <v/>
      </c>
    </row>
    <row r="4200" spans="164:167">
      <c r="FH4200" s="29" t="str">
        <f t="shared" si="120"/>
        <v/>
      </c>
      <c r="FJ4200" s="36" t="str">
        <f>IF($FH4200="","",SUM($FN4200:$FN$7000))</f>
        <v/>
      </c>
      <c r="FK4200" s="36" t="str">
        <f>IF($FH4200="","",SUM($FN4200:$FN$7000))</f>
        <v/>
      </c>
    </row>
    <row r="4201" spans="164:167">
      <c r="FH4201" s="29" t="str">
        <f t="shared" si="120"/>
        <v/>
      </c>
      <c r="FJ4201" s="36" t="str">
        <f>IF($FH4201="","",SUM($FN4201:$FN$7000))</f>
        <v/>
      </c>
      <c r="FK4201" s="36" t="str">
        <f>IF($FH4201="","",SUM($FN4201:$FN$7000))</f>
        <v/>
      </c>
    </row>
    <row r="4202" spans="164:167">
      <c r="FH4202" s="29" t="str">
        <f t="shared" si="120"/>
        <v/>
      </c>
      <c r="FJ4202" s="36" t="str">
        <f>IF($FH4202="","",SUM($FN4202:$FN$7000))</f>
        <v/>
      </c>
      <c r="FK4202" s="36" t="str">
        <f>IF($FH4202="","",SUM($FN4202:$FN$7000))</f>
        <v/>
      </c>
    </row>
    <row r="4203" spans="164:167">
      <c r="FH4203" s="29" t="str">
        <f t="shared" si="120"/>
        <v/>
      </c>
      <c r="FJ4203" s="36" t="str">
        <f>IF($FH4203="","",SUM($FN4203:$FN$7000))</f>
        <v/>
      </c>
      <c r="FK4203" s="36" t="str">
        <f>IF($FH4203="","",SUM($FN4203:$FN$7000))</f>
        <v/>
      </c>
    </row>
    <row r="4204" spans="164:167">
      <c r="FH4204" s="29" t="str">
        <f t="shared" si="120"/>
        <v/>
      </c>
      <c r="FJ4204" s="36" t="str">
        <f>IF($FH4204="","",SUM($FN4204:$FN$7000))</f>
        <v/>
      </c>
      <c r="FK4204" s="36" t="str">
        <f>IF($FH4204="","",SUM($FN4204:$FN$7000))</f>
        <v/>
      </c>
    </row>
    <row r="4205" spans="164:167">
      <c r="FH4205" s="29" t="str">
        <f t="shared" si="120"/>
        <v/>
      </c>
      <c r="FJ4205" s="36" t="str">
        <f>IF($FH4205="","",SUM($FN4205:$FN$7000))</f>
        <v/>
      </c>
      <c r="FK4205" s="36" t="str">
        <f>IF($FH4205="","",SUM($FN4205:$FN$7000))</f>
        <v/>
      </c>
    </row>
    <row r="4206" spans="164:167">
      <c r="FH4206" s="29" t="str">
        <f t="shared" si="120"/>
        <v/>
      </c>
      <c r="FJ4206" s="36" t="str">
        <f>IF($FH4206="","",SUM($FN4206:$FN$7000))</f>
        <v/>
      </c>
      <c r="FK4206" s="36" t="str">
        <f>IF($FH4206="","",SUM($FN4206:$FN$7000))</f>
        <v/>
      </c>
    </row>
    <row r="4207" spans="164:167">
      <c r="FH4207" s="29" t="str">
        <f t="shared" si="120"/>
        <v/>
      </c>
      <c r="FJ4207" s="36" t="str">
        <f>IF($FH4207="","",SUM($FN4207:$FN$7000))</f>
        <v/>
      </c>
      <c r="FK4207" s="36" t="str">
        <f>IF($FH4207="","",SUM($FN4207:$FN$7000))</f>
        <v/>
      </c>
    </row>
    <row r="4208" spans="164:167">
      <c r="FH4208" s="29" t="str">
        <f t="shared" si="120"/>
        <v/>
      </c>
      <c r="FJ4208" s="36" t="str">
        <f>IF($FH4208="","",SUM($FN4208:$FN$7000))</f>
        <v/>
      </c>
      <c r="FK4208" s="36" t="str">
        <f>IF($FH4208="","",SUM($FN4208:$FN$7000))</f>
        <v/>
      </c>
    </row>
    <row r="4209" spans="164:167">
      <c r="FH4209" s="29" t="str">
        <f t="shared" si="120"/>
        <v/>
      </c>
      <c r="FJ4209" s="36" t="str">
        <f>IF($FH4209="","",SUM($FN4209:$FN$7000))</f>
        <v/>
      </c>
      <c r="FK4209" s="36" t="str">
        <f>IF($FH4209="","",SUM($FN4209:$FN$7000))</f>
        <v/>
      </c>
    </row>
    <row r="4210" spans="164:167">
      <c r="FH4210" s="29" t="str">
        <f t="shared" si="120"/>
        <v/>
      </c>
      <c r="FJ4210" s="36" t="str">
        <f>IF($FH4210="","",SUM($FN4210:$FN$7000))</f>
        <v/>
      </c>
      <c r="FK4210" s="36" t="str">
        <f>IF($FH4210="","",SUM($FN4210:$FN$7000))</f>
        <v/>
      </c>
    </row>
    <row r="4211" spans="164:167">
      <c r="FH4211" s="29" t="str">
        <f t="shared" si="120"/>
        <v/>
      </c>
      <c r="FJ4211" s="36" t="str">
        <f>IF($FH4211="","",SUM($FN4211:$FN$7000))</f>
        <v/>
      </c>
      <c r="FK4211" s="36" t="str">
        <f>IF($FH4211="","",SUM($FN4211:$FN$7000))</f>
        <v/>
      </c>
    </row>
    <row r="4212" spans="164:167">
      <c r="FH4212" s="29" t="str">
        <f t="shared" si="120"/>
        <v/>
      </c>
      <c r="FJ4212" s="36" t="str">
        <f>IF($FH4212="","",SUM($FN4212:$FN$7000))</f>
        <v/>
      </c>
      <c r="FK4212" s="36" t="str">
        <f>IF($FH4212="","",SUM($FN4212:$FN$7000))</f>
        <v/>
      </c>
    </row>
    <row r="4213" spans="164:167">
      <c r="FH4213" s="29" t="str">
        <f t="shared" si="120"/>
        <v/>
      </c>
      <c r="FJ4213" s="36" t="str">
        <f>IF($FH4213="","",SUM($FN4213:$FN$7000))</f>
        <v/>
      </c>
      <c r="FK4213" s="36" t="str">
        <f>IF($FH4213="","",SUM($FN4213:$FN$7000))</f>
        <v/>
      </c>
    </row>
    <row r="4214" spans="164:167">
      <c r="FH4214" s="29" t="str">
        <f t="shared" si="120"/>
        <v/>
      </c>
      <c r="FJ4214" s="36" t="str">
        <f>IF($FH4214="","",SUM($FN4214:$FN$7000))</f>
        <v/>
      </c>
      <c r="FK4214" s="36" t="str">
        <f>IF($FH4214="","",SUM($FN4214:$FN$7000))</f>
        <v/>
      </c>
    </row>
    <row r="4215" spans="164:167">
      <c r="FH4215" s="29" t="str">
        <f t="shared" si="120"/>
        <v/>
      </c>
      <c r="FJ4215" s="36" t="str">
        <f>IF($FH4215="","",SUM($FN4215:$FN$7000))</f>
        <v/>
      </c>
      <c r="FK4215" s="36" t="str">
        <f>IF($FH4215="","",SUM($FN4215:$FN$7000))</f>
        <v/>
      </c>
    </row>
    <row r="4216" spans="164:167">
      <c r="FH4216" s="29" t="str">
        <f t="shared" si="120"/>
        <v/>
      </c>
      <c r="FJ4216" s="36" t="str">
        <f>IF($FH4216="","",SUM($FN4216:$FN$7000))</f>
        <v/>
      </c>
      <c r="FK4216" s="36" t="str">
        <f>IF($FH4216="","",SUM($FN4216:$FN$7000))</f>
        <v/>
      </c>
    </row>
    <row r="4217" spans="164:167">
      <c r="FH4217" s="29" t="str">
        <f t="shared" si="120"/>
        <v/>
      </c>
      <c r="FJ4217" s="36" t="str">
        <f>IF($FH4217="","",SUM($FN4217:$FN$7000))</f>
        <v/>
      </c>
      <c r="FK4217" s="36" t="str">
        <f>IF($FH4217="","",SUM($FN4217:$FN$7000))</f>
        <v/>
      </c>
    </row>
    <row r="4218" spans="164:167">
      <c r="FH4218" s="29" t="str">
        <f t="shared" si="120"/>
        <v/>
      </c>
      <c r="FJ4218" s="36" t="str">
        <f>IF($FH4218="","",SUM($FN4218:$FN$7000))</f>
        <v/>
      </c>
      <c r="FK4218" s="36" t="str">
        <f>IF($FH4218="","",SUM($FN4218:$FN$7000))</f>
        <v/>
      </c>
    </row>
    <row r="4219" spans="164:167">
      <c r="FH4219" s="29" t="str">
        <f t="shared" si="120"/>
        <v/>
      </c>
      <c r="FJ4219" s="36" t="str">
        <f>IF($FH4219="","",SUM($FN4219:$FN$7000))</f>
        <v/>
      </c>
      <c r="FK4219" s="36" t="str">
        <f>IF($FH4219="","",SUM($FN4219:$FN$7000))</f>
        <v/>
      </c>
    </row>
    <row r="4220" spans="164:167">
      <c r="FH4220" s="29" t="str">
        <f t="shared" si="120"/>
        <v/>
      </c>
      <c r="FJ4220" s="36" t="str">
        <f>IF($FH4220="","",SUM($FN4220:$FN$7000))</f>
        <v/>
      </c>
      <c r="FK4220" s="36" t="str">
        <f>IF($FH4220="","",SUM($FN4220:$FN$7000))</f>
        <v/>
      </c>
    </row>
    <row r="4221" spans="164:167">
      <c r="FH4221" s="29" t="str">
        <f t="shared" si="120"/>
        <v/>
      </c>
      <c r="FJ4221" s="36" t="str">
        <f>IF($FH4221="","",SUM($FN4221:$FN$7000))</f>
        <v/>
      </c>
      <c r="FK4221" s="36" t="str">
        <f>IF($FH4221="","",SUM($FN4221:$FN$7000))</f>
        <v/>
      </c>
    </row>
    <row r="4222" spans="164:167">
      <c r="FH4222" s="29" t="str">
        <f t="shared" si="120"/>
        <v/>
      </c>
      <c r="FJ4222" s="36" t="str">
        <f>IF($FH4222="","",SUM($FN4222:$FN$7000))</f>
        <v/>
      </c>
      <c r="FK4222" s="36" t="str">
        <f>IF($FH4222="","",SUM($FN4222:$FN$7000))</f>
        <v/>
      </c>
    </row>
    <row r="4223" spans="164:167">
      <c r="FH4223" s="29" t="str">
        <f t="shared" si="120"/>
        <v/>
      </c>
      <c r="FJ4223" s="36" t="str">
        <f>IF($FH4223="","",SUM($FN4223:$FN$7000))</f>
        <v/>
      </c>
      <c r="FK4223" s="36" t="str">
        <f>IF($FH4223="","",SUM($FN4223:$FN$7000))</f>
        <v/>
      </c>
    </row>
    <row r="4224" spans="164:167">
      <c r="FH4224" s="29" t="str">
        <f t="shared" si="120"/>
        <v/>
      </c>
      <c r="FJ4224" s="36" t="str">
        <f>IF($FH4224="","",SUM($FN4224:$FN$7000))</f>
        <v/>
      </c>
      <c r="FK4224" s="36" t="str">
        <f>IF($FH4224="","",SUM($FN4224:$FN$7000))</f>
        <v/>
      </c>
    </row>
    <row r="4225" spans="164:167">
      <c r="FH4225" s="29" t="str">
        <f t="shared" si="120"/>
        <v/>
      </c>
      <c r="FJ4225" s="36" t="str">
        <f>IF($FH4225="","",SUM($FN4225:$FN$7000))</f>
        <v/>
      </c>
      <c r="FK4225" s="36" t="str">
        <f>IF($FH4225="","",SUM($FN4225:$FN$7000))</f>
        <v/>
      </c>
    </row>
    <row r="4226" spans="164:167">
      <c r="FH4226" s="29" t="str">
        <f t="shared" si="120"/>
        <v/>
      </c>
      <c r="FJ4226" s="36" t="str">
        <f>IF($FH4226="","",SUM($FN4226:$FN$7000))</f>
        <v/>
      </c>
      <c r="FK4226" s="36" t="str">
        <f>IF($FH4226="","",SUM($FN4226:$FN$7000))</f>
        <v/>
      </c>
    </row>
    <row r="4227" spans="164:167">
      <c r="FH4227" s="29" t="str">
        <f t="shared" si="120"/>
        <v/>
      </c>
      <c r="FJ4227" s="36" t="str">
        <f>IF($FH4227="","",SUM($FN4227:$FN$7000))</f>
        <v/>
      </c>
      <c r="FK4227" s="36" t="str">
        <f>IF($FH4227="","",SUM($FN4227:$FN$7000))</f>
        <v/>
      </c>
    </row>
    <row r="4228" spans="164:167">
      <c r="FH4228" s="29" t="str">
        <f t="shared" si="120"/>
        <v/>
      </c>
      <c r="FJ4228" s="36" t="str">
        <f>IF($FH4228="","",SUM($FN4228:$FN$7000))</f>
        <v/>
      </c>
      <c r="FK4228" s="36" t="str">
        <f>IF($FH4228="","",SUM($FN4228:$FN$7000))</f>
        <v/>
      </c>
    </row>
    <row r="4229" spans="164:167">
      <c r="FH4229" s="29" t="str">
        <f t="shared" si="120"/>
        <v/>
      </c>
      <c r="FJ4229" s="36" t="str">
        <f>IF($FH4229="","",SUM($FN4229:$FN$7000))</f>
        <v/>
      </c>
      <c r="FK4229" s="36" t="str">
        <f>IF($FH4229="","",SUM($FN4229:$FN$7000))</f>
        <v/>
      </c>
    </row>
    <row r="4230" spans="164:167">
      <c r="FH4230" s="29" t="str">
        <f t="shared" si="120"/>
        <v/>
      </c>
      <c r="FJ4230" s="36" t="str">
        <f>IF($FH4230="","",SUM($FN4230:$FN$7000))</f>
        <v/>
      </c>
      <c r="FK4230" s="36" t="str">
        <f>IF($FH4230="","",SUM($FN4230:$FN$7000))</f>
        <v/>
      </c>
    </row>
    <row r="4231" spans="164:167">
      <c r="FH4231" s="29" t="str">
        <f t="shared" si="120"/>
        <v/>
      </c>
      <c r="FJ4231" s="36" t="str">
        <f>IF($FH4231="","",SUM($FN4231:$FN$7000))</f>
        <v/>
      </c>
      <c r="FK4231" s="36" t="str">
        <f>IF($FH4231="","",SUM($FN4231:$FN$7000))</f>
        <v/>
      </c>
    </row>
    <row r="4232" spans="164:167">
      <c r="FH4232" s="29" t="str">
        <f t="shared" si="120"/>
        <v/>
      </c>
      <c r="FJ4232" s="36" t="str">
        <f>IF($FH4232="","",SUM($FN4232:$FN$7000))</f>
        <v/>
      </c>
      <c r="FK4232" s="36" t="str">
        <f>IF($FH4232="","",SUM($FN4232:$FN$7000))</f>
        <v/>
      </c>
    </row>
    <row r="4233" spans="164:167">
      <c r="FH4233" s="29" t="str">
        <f t="shared" si="120"/>
        <v/>
      </c>
      <c r="FJ4233" s="36" t="str">
        <f>IF($FH4233="","",SUM($FN4233:$FN$7000))</f>
        <v/>
      </c>
      <c r="FK4233" s="36" t="str">
        <f>IF($FH4233="","",SUM($FN4233:$FN$7000))</f>
        <v/>
      </c>
    </row>
    <row r="4234" spans="164:167">
      <c r="FH4234" s="29" t="str">
        <f t="shared" si="120"/>
        <v/>
      </c>
      <c r="FJ4234" s="36" t="str">
        <f>IF($FH4234="","",SUM($FN4234:$FN$7000))</f>
        <v/>
      </c>
      <c r="FK4234" s="36" t="str">
        <f>IF($FH4234="","",SUM($FN4234:$FN$7000))</f>
        <v/>
      </c>
    </row>
    <row r="4235" spans="164:167">
      <c r="FH4235" s="29" t="str">
        <f t="shared" ref="FH4235:FH4298" si="121">IF(FL4235="","",FL4235)</f>
        <v/>
      </c>
      <c r="FJ4235" s="36" t="str">
        <f>IF($FH4235="","",SUM($FN4235:$FN$7000))</f>
        <v/>
      </c>
      <c r="FK4235" s="36" t="str">
        <f>IF($FH4235="","",SUM($FN4235:$FN$7000))</f>
        <v/>
      </c>
    </row>
    <row r="4236" spans="164:167">
      <c r="FH4236" s="29" t="str">
        <f t="shared" si="121"/>
        <v/>
      </c>
      <c r="FJ4236" s="36" t="str">
        <f>IF($FH4236="","",SUM($FN4236:$FN$7000))</f>
        <v/>
      </c>
      <c r="FK4236" s="36" t="str">
        <f>IF($FH4236="","",SUM($FN4236:$FN$7000))</f>
        <v/>
      </c>
    </row>
    <row r="4237" spans="164:167">
      <c r="FH4237" s="29" t="str">
        <f t="shared" si="121"/>
        <v/>
      </c>
      <c r="FJ4237" s="36" t="str">
        <f>IF($FH4237="","",SUM($FN4237:$FN$7000))</f>
        <v/>
      </c>
      <c r="FK4237" s="36" t="str">
        <f>IF($FH4237="","",SUM($FN4237:$FN$7000))</f>
        <v/>
      </c>
    </row>
    <row r="4238" spans="164:167">
      <c r="FH4238" s="29" t="str">
        <f t="shared" si="121"/>
        <v/>
      </c>
      <c r="FJ4238" s="36" t="str">
        <f>IF($FH4238="","",SUM($FN4238:$FN$7000))</f>
        <v/>
      </c>
      <c r="FK4238" s="36" t="str">
        <f>IF($FH4238="","",SUM($FN4238:$FN$7000))</f>
        <v/>
      </c>
    </row>
    <row r="4239" spans="164:167">
      <c r="FH4239" s="29" t="str">
        <f t="shared" si="121"/>
        <v/>
      </c>
      <c r="FJ4239" s="36" t="str">
        <f>IF($FH4239="","",SUM($FN4239:$FN$7000))</f>
        <v/>
      </c>
      <c r="FK4239" s="36" t="str">
        <f>IF($FH4239="","",SUM($FN4239:$FN$7000))</f>
        <v/>
      </c>
    </row>
    <row r="4240" spans="164:167">
      <c r="FH4240" s="29" t="str">
        <f t="shared" si="121"/>
        <v/>
      </c>
      <c r="FJ4240" s="36" t="str">
        <f>IF($FH4240="","",SUM($FN4240:$FN$7000))</f>
        <v/>
      </c>
      <c r="FK4240" s="36" t="str">
        <f>IF($FH4240="","",SUM($FN4240:$FN$7000))</f>
        <v/>
      </c>
    </row>
    <row r="4241" spans="164:167">
      <c r="FH4241" s="29" t="str">
        <f t="shared" si="121"/>
        <v/>
      </c>
      <c r="FJ4241" s="36" t="str">
        <f>IF($FH4241="","",SUM($FN4241:$FN$7000))</f>
        <v/>
      </c>
      <c r="FK4241" s="36" t="str">
        <f>IF($FH4241="","",SUM($FN4241:$FN$7000))</f>
        <v/>
      </c>
    </row>
    <row r="4242" spans="164:167">
      <c r="FH4242" s="29" t="str">
        <f t="shared" si="121"/>
        <v/>
      </c>
      <c r="FJ4242" s="36" t="str">
        <f>IF($FH4242="","",SUM($FN4242:$FN$7000))</f>
        <v/>
      </c>
      <c r="FK4242" s="36" t="str">
        <f>IF($FH4242="","",SUM($FN4242:$FN$7000))</f>
        <v/>
      </c>
    </row>
    <row r="4243" spans="164:167">
      <c r="FH4243" s="29" t="str">
        <f t="shared" si="121"/>
        <v/>
      </c>
      <c r="FJ4243" s="36" t="str">
        <f>IF($FH4243="","",SUM($FN4243:$FN$7000))</f>
        <v/>
      </c>
      <c r="FK4243" s="36" t="str">
        <f>IF($FH4243="","",SUM($FN4243:$FN$7000))</f>
        <v/>
      </c>
    </row>
    <row r="4244" spans="164:167">
      <c r="FH4244" s="29" t="str">
        <f t="shared" si="121"/>
        <v/>
      </c>
      <c r="FJ4244" s="36" t="str">
        <f>IF($FH4244="","",SUM($FN4244:$FN$7000))</f>
        <v/>
      </c>
      <c r="FK4244" s="36" t="str">
        <f>IF($FH4244="","",SUM($FN4244:$FN$7000))</f>
        <v/>
      </c>
    </row>
    <row r="4245" spans="164:167">
      <c r="FH4245" s="29" t="str">
        <f t="shared" si="121"/>
        <v/>
      </c>
      <c r="FJ4245" s="36" t="str">
        <f>IF($FH4245="","",SUM($FN4245:$FN$7000))</f>
        <v/>
      </c>
      <c r="FK4245" s="36" t="str">
        <f>IF($FH4245="","",SUM($FN4245:$FN$7000))</f>
        <v/>
      </c>
    </row>
    <row r="4246" spans="164:167">
      <c r="FH4246" s="29" t="str">
        <f t="shared" si="121"/>
        <v/>
      </c>
      <c r="FJ4246" s="36" t="str">
        <f>IF($FH4246="","",SUM($FN4246:$FN$7000))</f>
        <v/>
      </c>
      <c r="FK4246" s="36" t="str">
        <f>IF($FH4246="","",SUM($FN4246:$FN$7000))</f>
        <v/>
      </c>
    </row>
    <row r="4247" spans="164:167">
      <c r="FH4247" s="29" t="str">
        <f t="shared" si="121"/>
        <v/>
      </c>
      <c r="FJ4247" s="36" t="str">
        <f>IF($FH4247="","",SUM($FN4247:$FN$7000))</f>
        <v/>
      </c>
      <c r="FK4247" s="36" t="str">
        <f>IF($FH4247="","",SUM($FN4247:$FN$7000))</f>
        <v/>
      </c>
    </row>
    <row r="4248" spans="164:167">
      <c r="FH4248" s="29" t="str">
        <f t="shared" si="121"/>
        <v/>
      </c>
      <c r="FJ4248" s="36" t="str">
        <f>IF($FH4248="","",SUM($FN4248:$FN$7000))</f>
        <v/>
      </c>
      <c r="FK4248" s="36" t="str">
        <f>IF($FH4248="","",SUM($FN4248:$FN$7000))</f>
        <v/>
      </c>
    </row>
    <row r="4249" spans="164:167">
      <c r="FH4249" s="29" t="str">
        <f t="shared" si="121"/>
        <v/>
      </c>
      <c r="FJ4249" s="36" t="str">
        <f>IF($FH4249="","",SUM($FN4249:$FN$7000))</f>
        <v/>
      </c>
      <c r="FK4249" s="36" t="str">
        <f>IF($FH4249="","",SUM($FN4249:$FN$7000))</f>
        <v/>
      </c>
    </row>
    <row r="4250" spans="164:167">
      <c r="FH4250" s="29" t="str">
        <f t="shared" si="121"/>
        <v/>
      </c>
      <c r="FJ4250" s="36" t="str">
        <f>IF($FH4250="","",SUM($FN4250:$FN$7000))</f>
        <v/>
      </c>
      <c r="FK4250" s="36" t="str">
        <f>IF($FH4250="","",SUM($FN4250:$FN$7000))</f>
        <v/>
      </c>
    </row>
    <row r="4251" spans="164:167">
      <c r="FH4251" s="29" t="str">
        <f t="shared" si="121"/>
        <v/>
      </c>
      <c r="FJ4251" s="36" t="str">
        <f>IF($FH4251="","",SUM($FN4251:$FN$7000))</f>
        <v/>
      </c>
      <c r="FK4251" s="36" t="str">
        <f>IF($FH4251="","",SUM($FN4251:$FN$7000))</f>
        <v/>
      </c>
    </row>
    <row r="4252" spans="164:167">
      <c r="FH4252" s="29" t="str">
        <f t="shared" si="121"/>
        <v/>
      </c>
      <c r="FJ4252" s="36" t="str">
        <f>IF($FH4252="","",SUM($FN4252:$FN$7000))</f>
        <v/>
      </c>
      <c r="FK4252" s="36" t="str">
        <f>IF($FH4252="","",SUM($FN4252:$FN$7000))</f>
        <v/>
      </c>
    </row>
    <row r="4253" spans="164:167">
      <c r="FH4253" s="29" t="str">
        <f t="shared" si="121"/>
        <v/>
      </c>
      <c r="FJ4253" s="36" t="str">
        <f>IF($FH4253="","",SUM($FN4253:$FN$7000))</f>
        <v/>
      </c>
      <c r="FK4253" s="36" t="str">
        <f>IF($FH4253="","",SUM($FN4253:$FN$7000))</f>
        <v/>
      </c>
    </row>
    <row r="4254" spans="164:167">
      <c r="FH4254" s="29" t="str">
        <f t="shared" si="121"/>
        <v/>
      </c>
      <c r="FJ4254" s="36" t="str">
        <f>IF($FH4254="","",SUM($FN4254:$FN$7000))</f>
        <v/>
      </c>
      <c r="FK4254" s="36" t="str">
        <f>IF($FH4254="","",SUM($FN4254:$FN$7000))</f>
        <v/>
      </c>
    </row>
    <row r="4255" spans="164:167">
      <c r="FH4255" s="29" t="str">
        <f t="shared" si="121"/>
        <v/>
      </c>
      <c r="FJ4255" s="36" t="str">
        <f>IF($FH4255="","",SUM($FN4255:$FN$7000))</f>
        <v/>
      </c>
      <c r="FK4255" s="36" t="str">
        <f>IF($FH4255="","",SUM($FN4255:$FN$7000))</f>
        <v/>
      </c>
    </row>
    <row r="4256" spans="164:167">
      <c r="FH4256" s="29" t="str">
        <f t="shared" si="121"/>
        <v/>
      </c>
      <c r="FJ4256" s="36" t="str">
        <f>IF($FH4256="","",SUM($FN4256:$FN$7000))</f>
        <v/>
      </c>
      <c r="FK4256" s="36" t="str">
        <f>IF($FH4256="","",SUM($FN4256:$FN$7000))</f>
        <v/>
      </c>
    </row>
    <row r="4257" spans="164:167">
      <c r="FH4257" s="29" t="str">
        <f t="shared" si="121"/>
        <v/>
      </c>
      <c r="FJ4257" s="36" t="str">
        <f>IF($FH4257="","",SUM($FN4257:$FN$7000))</f>
        <v/>
      </c>
      <c r="FK4257" s="36" t="str">
        <f>IF($FH4257="","",SUM($FN4257:$FN$7000))</f>
        <v/>
      </c>
    </row>
    <row r="4258" spans="164:167">
      <c r="FH4258" s="29" t="str">
        <f t="shared" si="121"/>
        <v/>
      </c>
      <c r="FJ4258" s="36" t="str">
        <f>IF($FH4258="","",SUM($FN4258:$FN$7000))</f>
        <v/>
      </c>
      <c r="FK4258" s="36" t="str">
        <f>IF($FH4258="","",SUM($FN4258:$FN$7000))</f>
        <v/>
      </c>
    </row>
    <row r="4259" spans="164:167">
      <c r="FH4259" s="29" t="str">
        <f t="shared" si="121"/>
        <v/>
      </c>
      <c r="FJ4259" s="36" t="str">
        <f>IF($FH4259="","",SUM($FN4259:$FN$7000))</f>
        <v/>
      </c>
      <c r="FK4259" s="36" t="str">
        <f>IF($FH4259="","",SUM($FN4259:$FN$7000))</f>
        <v/>
      </c>
    </row>
    <row r="4260" spans="164:167">
      <c r="FH4260" s="29" t="str">
        <f t="shared" si="121"/>
        <v/>
      </c>
      <c r="FJ4260" s="36" t="str">
        <f>IF($FH4260="","",SUM($FN4260:$FN$7000))</f>
        <v/>
      </c>
      <c r="FK4260" s="36" t="str">
        <f>IF($FH4260="","",SUM($FN4260:$FN$7000))</f>
        <v/>
      </c>
    </row>
    <row r="4261" spans="164:167">
      <c r="FH4261" s="29" t="str">
        <f t="shared" si="121"/>
        <v/>
      </c>
      <c r="FJ4261" s="36" t="str">
        <f>IF($FH4261="","",SUM($FN4261:$FN$7000))</f>
        <v/>
      </c>
      <c r="FK4261" s="36" t="str">
        <f>IF($FH4261="","",SUM($FN4261:$FN$7000))</f>
        <v/>
      </c>
    </row>
    <row r="4262" spans="164:167">
      <c r="FH4262" s="29" t="str">
        <f t="shared" si="121"/>
        <v/>
      </c>
      <c r="FJ4262" s="36" t="str">
        <f>IF($FH4262="","",SUM($FN4262:$FN$7000))</f>
        <v/>
      </c>
      <c r="FK4262" s="36" t="str">
        <f>IF($FH4262="","",SUM($FN4262:$FN$7000))</f>
        <v/>
      </c>
    </row>
    <row r="4263" spans="164:167">
      <c r="FH4263" s="29" t="str">
        <f t="shared" si="121"/>
        <v/>
      </c>
      <c r="FJ4263" s="36" t="str">
        <f>IF($FH4263="","",SUM($FN4263:$FN$7000))</f>
        <v/>
      </c>
      <c r="FK4263" s="36" t="str">
        <f>IF($FH4263="","",SUM($FN4263:$FN$7000))</f>
        <v/>
      </c>
    </row>
    <row r="4264" spans="164:167">
      <c r="FH4264" s="29" t="str">
        <f t="shared" si="121"/>
        <v/>
      </c>
      <c r="FJ4264" s="36" t="str">
        <f>IF($FH4264="","",SUM($FN4264:$FN$7000))</f>
        <v/>
      </c>
      <c r="FK4264" s="36" t="str">
        <f>IF($FH4264="","",SUM($FN4264:$FN$7000))</f>
        <v/>
      </c>
    </row>
    <row r="4265" spans="164:167">
      <c r="FH4265" s="29" t="str">
        <f t="shared" si="121"/>
        <v/>
      </c>
      <c r="FJ4265" s="36" t="str">
        <f>IF($FH4265="","",SUM($FN4265:$FN$7000))</f>
        <v/>
      </c>
      <c r="FK4265" s="36" t="str">
        <f>IF($FH4265="","",SUM($FN4265:$FN$7000))</f>
        <v/>
      </c>
    </row>
    <row r="4266" spans="164:167">
      <c r="FH4266" s="29" t="str">
        <f t="shared" si="121"/>
        <v/>
      </c>
      <c r="FJ4266" s="36" t="str">
        <f>IF($FH4266="","",SUM($FN4266:$FN$7000))</f>
        <v/>
      </c>
      <c r="FK4266" s="36" t="str">
        <f>IF($FH4266="","",SUM($FN4266:$FN$7000))</f>
        <v/>
      </c>
    </row>
    <row r="4267" spans="164:167">
      <c r="FH4267" s="29" t="str">
        <f t="shared" si="121"/>
        <v/>
      </c>
      <c r="FJ4267" s="36" t="str">
        <f>IF($FH4267="","",SUM($FN4267:$FN$7000))</f>
        <v/>
      </c>
      <c r="FK4267" s="36" t="str">
        <f>IF($FH4267="","",SUM($FN4267:$FN$7000))</f>
        <v/>
      </c>
    </row>
    <row r="4268" spans="164:167">
      <c r="FH4268" s="29" t="str">
        <f t="shared" si="121"/>
        <v/>
      </c>
      <c r="FJ4268" s="36" t="str">
        <f>IF($FH4268="","",SUM($FN4268:$FN$7000))</f>
        <v/>
      </c>
      <c r="FK4268" s="36" t="str">
        <f>IF($FH4268="","",SUM($FN4268:$FN$7000))</f>
        <v/>
      </c>
    </row>
    <row r="4269" spans="164:167">
      <c r="FH4269" s="29" t="str">
        <f t="shared" si="121"/>
        <v/>
      </c>
      <c r="FJ4269" s="36" t="str">
        <f>IF($FH4269="","",SUM($FN4269:$FN$7000))</f>
        <v/>
      </c>
      <c r="FK4269" s="36" t="str">
        <f>IF($FH4269="","",SUM($FN4269:$FN$7000))</f>
        <v/>
      </c>
    </row>
    <row r="4270" spans="164:167">
      <c r="FH4270" s="29" t="str">
        <f t="shared" si="121"/>
        <v/>
      </c>
      <c r="FJ4270" s="36" t="str">
        <f>IF($FH4270="","",SUM($FN4270:$FN$7000))</f>
        <v/>
      </c>
      <c r="FK4270" s="36" t="str">
        <f>IF($FH4270="","",SUM($FN4270:$FN$7000))</f>
        <v/>
      </c>
    </row>
    <row r="4271" spans="164:167">
      <c r="FH4271" s="29" t="str">
        <f t="shared" si="121"/>
        <v/>
      </c>
      <c r="FJ4271" s="36" t="str">
        <f>IF($FH4271="","",SUM($FN4271:$FN$7000))</f>
        <v/>
      </c>
      <c r="FK4271" s="36" t="str">
        <f>IF($FH4271="","",SUM($FN4271:$FN$7000))</f>
        <v/>
      </c>
    </row>
    <row r="4272" spans="164:167">
      <c r="FH4272" s="29" t="str">
        <f t="shared" si="121"/>
        <v/>
      </c>
      <c r="FJ4272" s="36" t="str">
        <f>IF($FH4272="","",SUM($FN4272:$FN$7000))</f>
        <v/>
      </c>
      <c r="FK4272" s="36" t="str">
        <f>IF($FH4272="","",SUM($FN4272:$FN$7000))</f>
        <v/>
      </c>
    </row>
    <row r="4273" spans="164:167">
      <c r="FH4273" s="29" t="str">
        <f t="shared" si="121"/>
        <v/>
      </c>
      <c r="FJ4273" s="36" t="str">
        <f>IF($FH4273="","",SUM($FN4273:$FN$7000))</f>
        <v/>
      </c>
      <c r="FK4273" s="36" t="str">
        <f>IF($FH4273="","",SUM($FN4273:$FN$7000))</f>
        <v/>
      </c>
    </row>
    <row r="4274" spans="164:167">
      <c r="FH4274" s="29" t="str">
        <f t="shared" si="121"/>
        <v/>
      </c>
      <c r="FJ4274" s="36" t="str">
        <f>IF($FH4274="","",SUM($FN4274:$FN$7000))</f>
        <v/>
      </c>
      <c r="FK4274" s="36" t="str">
        <f>IF($FH4274="","",SUM($FN4274:$FN$7000))</f>
        <v/>
      </c>
    </row>
    <row r="4275" spans="164:167">
      <c r="FH4275" s="29" t="str">
        <f t="shared" si="121"/>
        <v/>
      </c>
      <c r="FJ4275" s="36" t="str">
        <f>IF($FH4275="","",SUM($FN4275:$FN$7000))</f>
        <v/>
      </c>
      <c r="FK4275" s="36" t="str">
        <f>IF($FH4275="","",SUM($FN4275:$FN$7000))</f>
        <v/>
      </c>
    </row>
    <row r="4276" spans="164:167">
      <c r="FH4276" s="29" t="str">
        <f t="shared" si="121"/>
        <v/>
      </c>
      <c r="FJ4276" s="36" t="str">
        <f>IF($FH4276="","",SUM($FN4276:$FN$7000))</f>
        <v/>
      </c>
      <c r="FK4276" s="36" t="str">
        <f>IF($FH4276="","",SUM($FN4276:$FN$7000))</f>
        <v/>
      </c>
    </row>
    <row r="4277" spans="164:167">
      <c r="FH4277" s="29" t="str">
        <f t="shared" si="121"/>
        <v/>
      </c>
      <c r="FJ4277" s="36" t="str">
        <f>IF($FH4277="","",SUM($FN4277:$FN$7000))</f>
        <v/>
      </c>
      <c r="FK4277" s="36" t="str">
        <f>IF($FH4277="","",SUM($FN4277:$FN$7000))</f>
        <v/>
      </c>
    </row>
    <row r="4278" spans="164:167">
      <c r="FH4278" s="29" t="str">
        <f t="shared" si="121"/>
        <v/>
      </c>
      <c r="FJ4278" s="36" t="str">
        <f>IF($FH4278="","",SUM($FN4278:$FN$7000))</f>
        <v/>
      </c>
      <c r="FK4278" s="36" t="str">
        <f>IF($FH4278="","",SUM($FN4278:$FN$7000))</f>
        <v/>
      </c>
    </row>
    <row r="4279" spans="164:167">
      <c r="FH4279" s="29" t="str">
        <f t="shared" si="121"/>
        <v/>
      </c>
      <c r="FJ4279" s="36" t="str">
        <f>IF($FH4279="","",SUM($FN4279:$FN$7000))</f>
        <v/>
      </c>
      <c r="FK4279" s="36" t="str">
        <f>IF($FH4279="","",SUM($FN4279:$FN$7000))</f>
        <v/>
      </c>
    </row>
    <row r="4280" spans="164:167">
      <c r="FH4280" s="29" t="str">
        <f t="shared" si="121"/>
        <v/>
      </c>
      <c r="FJ4280" s="36" t="str">
        <f>IF($FH4280="","",SUM($FN4280:$FN$7000))</f>
        <v/>
      </c>
      <c r="FK4280" s="36" t="str">
        <f>IF($FH4280="","",SUM($FN4280:$FN$7000))</f>
        <v/>
      </c>
    </row>
    <row r="4281" spans="164:167">
      <c r="FH4281" s="29" t="str">
        <f t="shared" si="121"/>
        <v/>
      </c>
      <c r="FJ4281" s="36" t="str">
        <f>IF($FH4281="","",SUM($FN4281:$FN$7000))</f>
        <v/>
      </c>
      <c r="FK4281" s="36" t="str">
        <f>IF($FH4281="","",SUM($FN4281:$FN$7000))</f>
        <v/>
      </c>
    </row>
    <row r="4282" spans="164:167">
      <c r="FH4282" s="29" t="str">
        <f t="shared" si="121"/>
        <v/>
      </c>
      <c r="FJ4282" s="36" t="str">
        <f>IF($FH4282="","",SUM($FN4282:$FN$7000))</f>
        <v/>
      </c>
      <c r="FK4282" s="36" t="str">
        <f>IF($FH4282="","",SUM($FN4282:$FN$7000))</f>
        <v/>
      </c>
    </row>
    <row r="4283" spans="164:167">
      <c r="FH4283" s="29" t="str">
        <f t="shared" si="121"/>
        <v/>
      </c>
      <c r="FJ4283" s="36" t="str">
        <f>IF($FH4283="","",SUM($FN4283:$FN$7000))</f>
        <v/>
      </c>
      <c r="FK4283" s="36" t="str">
        <f>IF($FH4283="","",SUM($FN4283:$FN$7000))</f>
        <v/>
      </c>
    </row>
    <row r="4284" spans="164:167">
      <c r="FH4284" s="29" t="str">
        <f t="shared" si="121"/>
        <v/>
      </c>
      <c r="FJ4284" s="36" t="str">
        <f>IF($FH4284="","",SUM($FN4284:$FN$7000))</f>
        <v/>
      </c>
      <c r="FK4284" s="36" t="str">
        <f>IF($FH4284="","",SUM($FN4284:$FN$7000))</f>
        <v/>
      </c>
    </row>
    <row r="4285" spans="164:167">
      <c r="FH4285" s="29" t="str">
        <f t="shared" si="121"/>
        <v/>
      </c>
      <c r="FJ4285" s="36" t="str">
        <f>IF($FH4285="","",SUM($FN4285:$FN$7000))</f>
        <v/>
      </c>
      <c r="FK4285" s="36" t="str">
        <f>IF($FH4285="","",SUM($FN4285:$FN$7000))</f>
        <v/>
      </c>
    </row>
    <row r="4286" spans="164:167">
      <c r="FH4286" s="29" t="str">
        <f t="shared" si="121"/>
        <v/>
      </c>
      <c r="FJ4286" s="36" t="str">
        <f>IF($FH4286="","",SUM($FN4286:$FN$7000))</f>
        <v/>
      </c>
      <c r="FK4286" s="36" t="str">
        <f>IF($FH4286="","",SUM($FN4286:$FN$7000))</f>
        <v/>
      </c>
    </row>
    <row r="4287" spans="164:167">
      <c r="FH4287" s="29" t="str">
        <f t="shared" si="121"/>
        <v/>
      </c>
      <c r="FJ4287" s="36" t="str">
        <f>IF($FH4287="","",SUM($FN4287:$FN$7000))</f>
        <v/>
      </c>
      <c r="FK4287" s="36" t="str">
        <f>IF($FH4287="","",SUM($FN4287:$FN$7000))</f>
        <v/>
      </c>
    </row>
    <row r="4288" spans="164:167">
      <c r="FH4288" s="29" t="str">
        <f t="shared" si="121"/>
        <v/>
      </c>
      <c r="FJ4288" s="36" t="str">
        <f>IF($FH4288="","",SUM($FN4288:$FN$7000))</f>
        <v/>
      </c>
      <c r="FK4288" s="36" t="str">
        <f>IF($FH4288="","",SUM($FN4288:$FN$7000))</f>
        <v/>
      </c>
    </row>
    <row r="4289" spans="164:167">
      <c r="FH4289" s="29" t="str">
        <f t="shared" si="121"/>
        <v/>
      </c>
      <c r="FJ4289" s="36" t="str">
        <f>IF($FH4289="","",SUM($FN4289:$FN$7000))</f>
        <v/>
      </c>
      <c r="FK4289" s="36" t="str">
        <f>IF($FH4289="","",SUM($FN4289:$FN$7000))</f>
        <v/>
      </c>
    </row>
    <row r="4290" spans="164:167">
      <c r="FH4290" s="29" t="str">
        <f t="shared" si="121"/>
        <v/>
      </c>
      <c r="FJ4290" s="36" t="str">
        <f>IF($FH4290="","",SUM($FN4290:$FN$7000))</f>
        <v/>
      </c>
      <c r="FK4290" s="36" t="str">
        <f>IF($FH4290="","",SUM($FN4290:$FN$7000))</f>
        <v/>
      </c>
    </row>
    <row r="4291" spans="164:167">
      <c r="FH4291" s="29" t="str">
        <f t="shared" si="121"/>
        <v/>
      </c>
      <c r="FJ4291" s="36" t="str">
        <f>IF($FH4291="","",SUM($FN4291:$FN$7000))</f>
        <v/>
      </c>
      <c r="FK4291" s="36" t="str">
        <f>IF($FH4291="","",SUM($FN4291:$FN$7000))</f>
        <v/>
      </c>
    </row>
    <row r="4292" spans="164:167">
      <c r="FH4292" s="29" t="str">
        <f t="shared" si="121"/>
        <v/>
      </c>
      <c r="FJ4292" s="36" t="str">
        <f>IF($FH4292="","",SUM($FN4292:$FN$7000))</f>
        <v/>
      </c>
      <c r="FK4292" s="36" t="str">
        <f>IF($FH4292="","",SUM($FN4292:$FN$7000))</f>
        <v/>
      </c>
    </row>
    <row r="4293" spans="164:167">
      <c r="FH4293" s="29" t="str">
        <f t="shared" si="121"/>
        <v/>
      </c>
      <c r="FJ4293" s="36" t="str">
        <f>IF($FH4293="","",SUM($FN4293:$FN$7000))</f>
        <v/>
      </c>
      <c r="FK4293" s="36" t="str">
        <f>IF($FH4293="","",SUM($FN4293:$FN$7000))</f>
        <v/>
      </c>
    </row>
    <row r="4294" spans="164:167">
      <c r="FH4294" s="29" t="str">
        <f t="shared" si="121"/>
        <v/>
      </c>
      <c r="FJ4294" s="36" t="str">
        <f>IF($FH4294="","",SUM($FN4294:$FN$7000))</f>
        <v/>
      </c>
      <c r="FK4294" s="36" t="str">
        <f>IF($FH4294="","",SUM($FN4294:$FN$7000))</f>
        <v/>
      </c>
    </row>
    <row r="4295" spans="164:167">
      <c r="FH4295" s="29" t="str">
        <f t="shared" si="121"/>
        <v/>
      </c>
      <c r="FJ4295" s="36" t="str">
        <f>IF($FH4295="","",SUM($FN4295:$FN$7000))</f>
        <v/>
      </c>
      <c r="FK4295" s="36" t="str">
        <f>IF($FH4295="","",SUM($FN4295:$FN$7000))</f>
        <v/>
      </c>
    </row>
    <row r="4296" spans="164:167">
      <c r="FH4296" s="29" t="str">
        <f t="shared" si="121"/>
        <v/>
      </c>
      <c r="FJ4296" s="36" t="str">
        <f>IF($FH4296="","",SUM($FN4296:$FN$7000))</f>
        <v/>
      </c>
      <c r="FK4296" s="36" t="str">
        <f>IF($FH4296="","",SUM($FN4296:$FN$7000))</f>
        <v/>
      </c>
    </row>
    <row r="4297" spans="164:167">
      <c r="FH4297" s="29" t="str">
        <f t="shared" si="121"/>
        <v/>
      </c>
      <c r="FJ4297" s="36" t="str">
        <f>IF($FH4297="","",SUM($FN4297:$FN$7000))</f>
        <v/>
      </c>
      <c r="FK4297" s="36" t="str">
        <f>IF($FH4297="","",SUM($FN4297:$FN$7000))</f>
        <v/>
      </c>
    </row>
    <row r="4298" spans="164:167">
      <c r="FH4298" s="29" t="str">
        <f t="shared" si="121"/>
        <v/>
      </c>
      <c r="FJ4298" s="36" t="str">
        <f>IF($FH4298="","",SUM($FN4298:$FN$7000))</f>
        <v/>
      </c>
      <c r="FK4298" s="36" t="str">
        <f>IF($FH4298="","",SUM($FN4298:$FN$7000))</f>
        <v/>
      </c>
    </row>
    <row r="4299" spans="164:167">
      <c r="FH4299" s="29" t="str">
        <f t="shared" ref="FH4299:FH4362" si="122">IF(FL4299="","",FL4299)</f>
        <v/>
      </c>
      <c r="FJ4299" s="36" t="str">
        <f>IF($FH4299="","",SUM($FN4299:$FN$7000))</f>
        <v/>
      </c>
      <c r="FK4299" s="36" t="str">
        <f>IF($FH4299="","",SUM($FN4299:$FN$7000))</f>
        <v/>
      </c>
    </row>
    <row r="4300" spans="164:167">
      <c r="FH4300" s="29" t="str">
        <f t="shared" si="122"/>
        <v/>
      </c>
      <c r="FJ4300" s="36" t="str">
        <f>IF($FH4300="","",SUM($FN4300:$FN$7000))</f>
        <v/>
      </c>
      <c r="FK4300" s="36" t="str">
        <f>IF($FH4300="","",SUM($FN4300:$FN$7000))</f>
        <v/>
      </c>
    </row>
    <row r="4301" spans="164:167">
      <c r="FH4301" s="29" t="str">
        <f t="shared" si="122"/>
        <v/>
      </c>
      <c r="FJ4301" s="36" t="str">
        <f>IF($FH4301="","",SUM($FN4301:$FN$7000))</f>
        <v/>
      </c>
      <c r="FK4301" s="36" t="str">
        <f>IF($FH4301="","",SUM($FN4301:$FN$7000))</f>
        <v/>
      </c>
    </row>
    <row r="4302" spans="164:167">
      <c r="FH4302" s="29" t="str">
        <f t="shared" si="122"/>
        <v/>
      </c>
      <c r="FJ4302" s="36" t="str">
        <f>IF($FH4302="","",SUM($FN4302:$FN$7000))</f>
        <v/>
      </c>
      <c r="FK4302" s="36" t="str">
        <f>IF($FH4302="","",SUM($FN4302:$FN$7000))</f>
        <v/>
      </c>
    </row>
    <row r="4303" spans="164:167">
      <c r="FH4303" s="29" t="str">
        <f t="shared" si="122"/>
        <v/>
      </c>
      <c r="FJ4303" s="36" t="str">
        <f>IF($FH4303="","",SUM($FN4303:$FN$7000))</f>
        <v/>
      </c>
      <c r="FK4303" s="36" t="str">
        <f>IF($FH4303="","",SUM($FN4303:$FN$7000))</f>
        <v/>
      </c>
    </row>
    <row r="4304" spans="164:167">
      <c r="FH4304" s="29" t="str">
        <f t="shared" si="122"/>
        <v/>
      </c>
      <c r="FJ4304" s="36" t="str">
        <f>IF($FH4304="","",SUM($FN4304:$FN$7000))</f>
        <v/>
      </c>
      <c r="FK4304" s="36" t="str">
        <f>IF($FH4304="","",SUM($FN4304:$FN$7000))</f>
        <v/>
      </c>
    </row>
    <row r="4305" spans="164:167">
      <c r="FH4305" s="29" t="str">
        <f t="shared" si="122"/>
        <v/>
      </c>
      <c r="FJ4305" s="36" t="str">
        <f>IF($FH4305="","",SUM($FN4305:$FN$7000))</f>
        <v/>
      </c>
      <c r="FK4305" s="36" t="str">
        <f>IF($FH4305="","",SUM($FN4305:$FN$7000))</f>
        <v/>
      </c>
    </row>
    <row r="4306" spans="164:167">
      <c r="FH4306" s="29" t="str">
        <f t="shared" si="122"/>
        <v/>
      </c>
      <c r="FJ4306" s="36" t="str">
        <f>IF($FH4306="","",SUM($FN4306:$FN$7000))</f>
        <v/>
      </c>
      <c r="FK4306" s="36" t="str">
        <f>IF($FH4306="","",SUM($FN4306:$FN$7000))</f>
        <v/>
      </c>
    </row>
    <row r="4307" spans="164:167">
      <c r="FH4307" s="29" t="str">
        <f t="shared" si="122"/>
        <v/>
      </c>
      <c r="FJ4307" s="36" t="str">
        <f>IF($FH4307="","",SUM($FN4307:$FN$7000))</f>
        <v/>
      </c>
      <c r="FK4307" s="36" t="str">
        <f>IF($FH4307="","",SUM($FN4307:$FN$7000))</f>
        <v/>
      </c>
    </row>
    <row r="4308" spans="164:167">
      <c r="FH4308" s="29" t="str">
        <f t="shared" si="122"/>
        <v/>
      </c>
      <c r="FJ4308" s="36" t="str">
        <f>IF($FH4308="","",SUM($FN4308:$FN$7000))</f>
        <v/>
      </c>
      <c r="FK4308" s="36" t="str">
        <f>IF($FH4308="","",SUM($FN4308:$FN$7000))</f>
        <v/>
      </c>
    </row>
    <row r="4309" spans="164:167">
      <c r="FH4309" s="29" t="str">
        <f t="shared" si="122"/>
        <v/>
      </c>
      <c r="FJ4309" s="36" t="str">
        <f>IF($FH4309="","",SUM($FN4309:$FN$7000))</f>
        <v/>
      </c>
      <c r="FK4309" s="36" t="str">
        <f>IF($FH4309="","",SUM($FN4309:$FN$7000))</f>
        <v/>
      </c>
    </row>
    <row r="4310" spans="164:167">
      <c r="FH4310" s="29" t="str">
        <f t="shared" si="122"/>
        <v/>
      </c>
      <c r="FJ4310" s="36" t="str">
        <f>IF($FH4310="","",SUM($FN4310:$FN$7000))</f>
        <v/>
      </c>
      <c r="FK4310" s="36" t="str">
        <f>IF($FH4310="","",SUM($FN4310:$FN$7000))</f>
        <v/>
      </c>
    </row>
    <row r="4311" spans="164:167">
      <c r="FH4311" s="29" t="str">
        <f t="shared" si="122"/>
        <v/>
      </c>
      <c r="FJ4311" s="36" t="str">
        <f>IF($FH4311="","",SUM($FN4311:$FN$7000))</f>
        <v/>
      </c>
      <c r="FK4311" s="36" t="str">
        <f>IF($FH4311="","",SUM($FN4311:$FN$7000))</f>
        <v/>
      </c>
    </row>
    <row r="4312" spans="164:167">
      <c r="FH4312" s="29" t="str">
        <f t="shared" si="122"/>
        <v/>
      </c>
      <c r="FJ4312" s="36" t="str">
        <f>IF($FH4312="","",SUM($FN4312:$FN$7000))</f>
        <v/>
      </c>
      <c r="FK4312" s="36" t="str">
        <f>IF($FH4312="","",SUM($FN4312:$FN$7000))</f>
        <v/>
      </c>
    </row>
    <row r="4313" spans="164:167">
      <c r="FH4313" s="29" t="str">
        <f t="shared" si="122"/>
        <v/>
      </c>
      <c r="FJ4313" s="36" t="str">
        <f>IF($FH4313="","",SUM($FN4313:$FN$7000))</f>
        <v/>
      </c>
      <c r="FK4313" s="36" t="str">
        <f>IF($FH4313="","",SUM($FN4313:$FN$7000))</f>
        <v/>
      </c>
    </row>
    <row r="4314" spans="164:167">
      <c r="FH4314" s="29" t="str">
        <f t="shared" si="122"/>
        <v/>
      </c>
      <c r="FJ4314" s="36" t="str">
        <f>IF($FH4314="","",SUM($FN4314:$FN$7000))</f>
        <v/>
      </c>
      <c r="FK4314" s="36" t="str">
        <f>IF($FH4314="","",SUM($FN4314:$FN$7000))</f>
        <v/>
      </c>
    </row>
    <row r="4315" spans="164:167">
      <c r="FH4315" s="29" t="str">
        <f t="shared" si="122"/>
        <v/>
      </c>
      <c r="FJ4315" s="36" t="str">
        <f>IF($FH4315="","",SUM($FN4315:$FN$7000))</f>
        <v/>
      </c>
      <c r="FK4315" s="36" t="str">
        <f>IF($FH4315="","",SUM($FN4315:$FN$7000))</f>
        <v/>
      </c>
    </row>
    <row r="4316" spans="164:167">
      <c r="FH4316" s="29" t="str">
        <f t="shared" si="122"/>
        <v/>
      </c>
      <c r="FJ4316" s="36" t="str">
        <f>IF($FH4316="","",SUM($FN4316:$FN$7000))</f>
        <v/>
      </c>
      <c r="FK4316" s="36" t="str">
        <f>IF($FH4316="","",SUM($FN4316:$FN$7000))</f>
        <v/>
      </c>
    </row>
    <row r="4317" spans="164:167">
      <c r="FH4317" s="29" t="str">
        <f t="shared" si="122"/>
        <v/>
      </c>
      <c r="FJ4317" s="36" t="str">
        <f>IF($FH4317="","",SUM($FN4317:$FN$7000))</f>
        <v/>
      </c>
      <c r="FK4317" s="36" t="str">
        <f>IF($FH4317="","",SUM($FN4317:$FN$7000))</f>
        <v/>
      </c>
    </row>
    <row r="4318" spans="164:167">
      <c r="FH4318" s="29" t="str">
        <f t="shared" si="122"/>
        <v/>
      </c>
      <c r="FJ4318" s="36" t="str">
        <f>IF($FH4318="","",SUM($FN4318:$FN$7000))</f>
        <v/>
      </c>
      <c r="FK4318" s="36" t="str">
        <f>IF($FH4318="","",SUM($FN4318:$FN$7000))</f>
        <v/>
      </c>
    </row>
    <row r="4319" spans="164:167">
      <c r="FH4319" s="29" t="str">
        <f t="shared" si="122"/>
        <v/>
      </c>
      <c r="FJ4319" s="36" t="str">
        <f>IF($FH4319="","",SUM($FN4319:$FN$7000))</f>
        <v/>
      </c>
      <c r="FK4319" s="36" t="str">
        <f>IF($FH4319="","",SUM($FN4319:$FN$7000))</f>
        <v/>
      </c>
    </row>
    <row r="4320" spans="164:167">
      <c r="FH4320" s="29" t="str">
        <f t="shared" si="122"/>
        <v/>
      </c>
      <c r="FJ4320" s="36" t="str">
        <f>IF($FH4320="","",SUM($FN4320:$FN$7000))</f>
        <v/>
      </c>
      <c r="FK4320" s="36" t="str">
        <f>IF($FH4320="","",SUM($FN4320:$FN$7000))</f>
        <v/>
      </c>
    </row>
    <row r="4321" spans="164:167">
      <c r="FH4321" s="29" t="str">
        <f t="shared" si="122"/>
        <v/>
      </c>
      <c r="FJ4321" s="36" t="str">
        <f>IF($FH4321="","",SUM($FN4321:$FN$7000))</f>
        <v/>
      </c>
      <c r="FK4321" s="36" t="str">
        <f>IF($FH4321="","",SUM($FN4321:$FN$7000))</f>
        <v/>
      </c>
    </row>
    <row r="4322" spans="164:167">
      <c r="FH4322" s="29" t="str">
        <f t="shared" si="122"/>
        <v/>
      </c>
      <c r="FJ4322" s="36" t="str">
        <f>IF($FH4322="","",SUM($FN4322:$FN$7000))</f>
        <v/>
      </c>
      <c r="FK4322" s="36" t="str">
        <f>IF($FH4322="","",SUM($FN4322:$FN$7000))</f>
        <v/>
      </c>
    </row>
    <row r="4323" spans="164:167">
      <c r="FH4323" s="29" t="str">
        <f t="shared" si="122"/>
        <v/>
      </c>
      <c r="FJ4323" s="36" t="str">
        <f>IF($FH4323="","",SUM($FN4323:$FN$7000))</f>
        <v/>
      </c>
      <c r="FK4323" s="36" t="str">
        <f>IF($FH4323="","",SUM($FN4323:$FN$7000))</f>
        <v/>
      </c>
    </row>
    <row r="4324" spans="164:167">
      <c r="FH4324" s="29" t="str">
        <f t="shared" si="122"/>
        <v/>
      </c>
      <c r="FJ4324" s="36" t="str">
        <f>IF($FH4324="","",SUM($FN4324:$FN$7000))</f>
        <v/>
      </c>
      <c r="FK4324" s="36" t="str">
        <f>IF($FH4324="","",SUM($FN4324:$FN$7000))</f>
        <v/>
      </c>
    </row>
    <row r="4325" spans="164:167">
      <c r="FH4325" s="29" t="str">
        <f t="shared" si="122"/>
        <v/>
      </c>
      <c r="FJ4325" s="36" t="str">
        <f>IF($FH4325="","",SUM($FN4325:$FN$7000))</f>
        <v/>
      </c>
      <c r="FK4325" s="36" t="str">
        <f>IF($FH4325="","",SUM($FN4325:$FN$7000))</f>
        <v/>
      </c>
    </row>
    <row r="4326" spans="164:167">
      <c r="FH4326" s="29" t="str">
        <f t="shared" si="122"/>
        <v/>
      </c>
      <c r="FJ4326" s="36" t="str">
        <f>IF($FH4326="","",SUM($FN4326:$FN$7000))</f>
        <v/>
      </c>
      <c r="FK4326" s="36" t="str">
        <f>IF($FH4326="","",SUM($FN4326:$FN$7000))</f>
        <v/>
      </c>
    </row>
    <row r="4327" spans="164:167">
      <c r="FH4327" s="29" t="str">
        <f t="shared" si="122"/>
        <v/>
      </c>
      <c r="FJ4327" s="36" t="str">
        <f>IF($FH4327="","",SUM($FN4327:$FN$7000))</f>
        <v/>
      </c>
      <c r="FK4327" s="36" t="str">
        <f>IF($FH4327="","",SUM($FN4327:$FN$7000))</f>
        <v/>
      </c>
    </row>
    <row r="4328" spans="164:167">
      <c r="FH4328" s="29" t="str">
        <f t="shared" si="122"/>
        <v/>
      </c>
      <c r="FJ4328" s="36" t="str">
        <f>IF($FH4328="","",SUM($FN4328:$FN$7000))</f>
        <v/>
      </c>
      <c r="FK4328" s="36" t="str">
        <f>IF($FH4328="","",SUM($FN4328:$FN$7000))</f>
        <v/>
      </c>
    </row>
    <row r="4329" spans="164:167">
      <c r="FH4329" s="29" t="str">
        <f t="shared" si="122"/>
        <v/>
      </c>
      <c r="FJ4329" s="36" t="str">
        <f>IF($FH4329="","",SUM($FN4329:$FN$7000))</f>
        <v/>
      </c>
      <c r="FK4329" s="36" t="str">
        <f>IF($FH4329="","",SUM($FN4329:$FN$7000))</f>
        <v/>
      </c>
    </row>
    <row r="4330" spans="164:167">
      <c r="FH4330" s="29" t="str">
        <f t="shared" si="122"/>
        <v/>
      </c>
      <c r="FJ4330" s="36" t="str">
        <f>IF($FH4330="","",SUM($FN4330:$FN$7000))</f>
        <v/>
      </c>
      <c r="FK4330" s="36" t="str">
        <f>IF($FH4330="","",SUM($FN4330:$FN$7000))</f>
        <v/>
      </c>
    </row>
    <row r="4331" spans="164:167">
      <c r="FH4331" s="29" t="str">
        <f t="shared" si="122"/>
        <v/>
      </c>
      <c r="FJ4331" s="36" t="str">
        <f>IF($FH4331="","",SUM($FN4331:$FN$7000))</f>
        <v/>
      </c>
      <c r="FK4331" s="36" t="str">
        <f>IF($FH4331="","",SUM($FN4331:$FN$7000))</f>
        <v/>
      </c>
    </row>
    <row r="4332" spans="164:167">
      <c r="FH4332" s="29" t="str">
        <f t="shared" si="122"/>
        <v/>
      </c>
      <c r="FJ4332" s="36" t="str">
        <f>IF($FH4332="","",SUM($FN4332:$FN$7000))</f>
        <v/>
      </c>
      <c r="FK4332" s="36" t="str">
        <f>IF($FH4332="","",SUM($FN4332:$FN$7000))</f>
        <v/>
      </c>
    </row>
    <row r="4333" spans="164:167">
      <c r="FH4333" s="29" t="str">
        <f t="shared" si="122"/>
        <v/>
      </c>
      <c r="FJ4333" s="36" t="str">
        <f>IF($FH4333="","",SUM($FN4333:$FN$7000))</f>
        <v/>
      </c>
      <c r="FK4333" s="36" t="str">
        <f>IF($FH4333="","",SUM($FN4333:$FN$7000))</f>
        <v/>
      </c>
    </row>
    <row r="4334" spans="164:167">
      <c r="FH4334" s="29" t="str">
        <f t="shared" si="122"/>
        <v/>
      </c>
      <c r="FJ4334" s="36" t="str">
        <f>IF($FH4334="","",SUM($FN4334:$FN$7000))</f>
        <v/>
      </c>
      <c r="FK4334" s="36" t="str">
        <f>IF($FH4334="","",SUM($FN4334:$FN$7000))</f>
        <v/>
      </c>
    </row>
    <row r="4335" spans="164:167">
      <c r="FH4335" s="29" t="str">
        <f t="shared" si="122"/>
        <v/>
      </c>
      <c r="FJ4335" s="36" t="str">
        <f>IF($FH4335="","",SUM($FN4335:$FN$7000))</f>
        <v/>
      </c>
      <c r="FK4335" s="36" t="str">
        <f>IF($FH4335="","",SUM($FN4335:$FN$7000))</f>
        <v/>
      </c>
    </row>
    <row r="4336" spans="164:167">
      <c r="FH4336" s="29" t="str">
        <f t="shared" si="122"/>
        <v/>
      </c>
      <c r="FJ4336" s="36" t="str">
        <f>IF($FH4336="","",SUM($FN4336:$FN$7000))</f>
        <v/>
      </c>
      <c r="FK4336" s="36" t="str">
        <f>IF($FH4336="","",SUM($FN4336:$FN$7000))</f>
        <v/>
      </c>
    </row>
    <row r="4337" spans="164:167">
      <c r="FH4337" s="29" t="str">
        <f t="shared" si="122"/>
        <v/>
      </c>
      <c r="FJ4337" s="36" t="str">
        <f>IF($FH4337="","",SUM($FN4337:$FN$7000))</f>
        <v/>
      </c>
      <c r="FK4337" s="36" t="str">
        <f>IF($FH4337="","",SUM($FN4337:$FN$7000))</f>
        <v/>
      </c>
    </row>
    <row r="4338" spans="164:167">
      <c r="FH4338" s="29" t="str">
        <f t="shared" si="122"/>
        <v/>
      </c>
      <c r="FJ4338" s="36" t="str">
        <f>IF($FH4338="","",SUM($FN4338:$FN$7000))</f>
        <v/>
      </c>
      <c r="FK4338" s="36" t="str">
        <f>IF($FH4338="","",SUM($FN4338:$FN$7000))</f>
        <v/>
      </c>
    </row>
    <row r="4339" spans="164:167">
      <c r="FH4339" s="29" t="str">
        <f t="shared" si="122"/>
        <v/>
      </c>
      <c r="FJ4339" s="36" t="str">
        <f>IF($FH4339="","",SUM($FN4339:$FN$7000))</f>
        <v/>
      </c>
      <c r="FK4339" s="36" t="str">
        <f>IF($FH4339="","",SUM($FN4339:$FN$7000))</f>
        <v/>
      </c>
    </row>
    <row r="4340" spans="164:167">
      <c r="FH4340" s="29" t="str">
        <f t="shared" si="122"/>
        <v/>
      </c>
      <c r="FJ4340" s="36" t="str">
        <f>IF($FH4340="","",SUM($FN4340:$FN$7000))</f>
        <v/>
      </c>
      <c r="FK4340" s="36" t="str">
        <f>IF($FH4340="","",SUM($FN4340:$FN$7000))</f>
        <v/>
      </c>
    </row>
    <row r="4341" spans="164:167">
      <c r="FH4341" s="29" t="str">
        <f t="shared" si="122"/>
        <v/>
      </c>
      <c r="FJ4341" s="36" t="str">
        <f>IF($FH4341="","",SUM($FN4341:$FN$7000))</f>
        <v/>
      </c>
      <c r="FK4341" s="36" t="str">
        <f>IF($FH4341="","",SUM($FN4341:$FN$7000))</f>
        <v/>
      </c>
    </row>
    <row r="4342" spans="164:167">
      <c r="FH4342" s="29" t="str">
        <f t="shared" si="122"/>
        <v/>
      </c>
      <c r="FJ4342" s="36" t="str">
        <f>IF($FH4342="","",SUM($FN4342:$FN$7000))</f>
        <v/>
      </c>
      <c r="FK4342" s="36" t="str">
        <f>IF($FH4342="","",SUM($FN4342:$FN$7000))</f>
        <v/>
      </c>
    </row>
    <row r="4343" spans="164:167">
      <c r="FH4343" s="29" t="str">
        <f t="shared" si="122"/>
        <v/>
      </c>
      <c r="FJ4343" s="36" t="str">
        <f>IF($FH4343="","",SUM($FN4343:$FN$7000))</f>
        <v/>
      </c>
      <c r="FK4343" s="36" t="str">
        <f>IF($FH4343="","",SUM($FN4343:$FN$7000))</f>
        <v/>
      </c>
    </row>
    <row r="4344" spans="164:167">
      <c r="FH4344" s="29" t="str">
        <f t="shared" si="122"/>
        <v/>
      </c>
      <c r="FJ4344" s="36" t="str">
        <f>IF($FH4344="","",SUM($FN4344:$FN$7000))</f>
        <v/>
      </c>
      <c r="FK4344" s="36" t="str">
        <f>IF($FH4344="","",SUM($FN4344:$FN$7000))</f>
        <v/>
      </c>
    </row>
    <row r="4345" spans="164:167">
      <c r="FH4345" s="29" t="str">
        <f t="shared" si="122"/>
        <v/>
      </c>
      <c r="FJ4345" s="36" t="str">
        <f>IF($FH4345="","",SUM($FN4345:$FN$7000))</f>
        <v/>
      </c>
      <c r="FK4345" s="36" t="str">
        <f>IF($FH4345="","",SUM($FN4345:$FN$7000))</f>
        <v/>
      </c>
    </row>
    <row r="4346" spans="164:167">
      <c r="FH4346" s="29" t="str">
        <f t="shared" si="122"/>
        <v/>
      </c>
      <c r="FJ4346" s="36" t="str">
        <f>IF($FH4346="","",SUM($FN4346:$FN$7000))</f>
        <v/>
      </c>
      <c r="FK4346" s="36" t="str">
        <f>IF($FH4346="","",SUM($FN4346:$FN$7000))</f>
        <v/>
      </c>
    </row>
    <row r="4347" spans="164:167">
      <c r="FH4347" s="29" t="str">
        <f t="shared" si="122"/>
        <v/>
      </c>
      <c r="FJ4347" s="36" t="str">
        <f>IF($FH4347="","",SUM($FN4347:$FN$7000))</f>
        <v/>
      </c>
      <c r="FK4347" s="36" t="str">
        <f>IF($FH4347="","",SUM($FN4347:$FN$7000))</f>
        <v/>
      </c>
    </row>
    <row r="4348" spans="164:167">
      <c r="FH4348" s="29" t="str">
        <f t="shared" si="122"/>
        <v/>
      </c>
      <c r="FJ4348" s="36" t="str">
        <f>IF($FH4348="","",SUM($FN4348:$FN$7000))</f>
        <v/>
      </c>
      <c r="FK4348" s="36" t="str">
        <f>IF($FH4348="","",SUM($FN4348:$FN$7000))</f>
        <v/>
      </c>
    </row>
    <row r="4349" spans="164:167">
      <c r="FH4349" s="29" t="str">
        <f t="shared" si="122"/>
        <v/>
      </c>
      <c r="FJ4349" s="36" t="str">
        <f>IF($FH4349="","",SUM($FN4349:$FN$7000))</f>
        <v/>
      </c>
      <c r="FK4349" s="36" t="str">
        <f>IF($FH4349="","",SUM($FN4349:$FN$7000))</f>
        <v/>
      </c>
    </row>
    <row r="4350" spans="164:167">
      <c r="FH4350" s="29" t="str">
        <f t="shared" si="122"/>
        <v/>
      </c>
      <c r="FJ4350" s="36" t="str">
        <f>IF($FH4350="","",SUM($FN4350:$FN$7000))</f>
        <v/>
      </c>
      <c r="FK4350" s="36" t="str">
        <f>IF($FH4350="","",SUM($FN4350:$FN$7000))</f>
        <v/>
      </c>
    </row>
    <row r="4351" spans="164:167">
      <c r="FH4351" s="29" t="str">
        <f t="shared" si="122"/>
        <v/>
      </c>
      <c r="FJ4351" s="36" t="str">
        <f>IF($FH4351="","",SUM($FN4351:$FN$7000))</f>
        <v/>
      </c>
      <c r="FK4351" s="36" t="str">
        <f>IF($FH4351="","",SUM($FN4351:$FN$7000))</f>
        <v/>
      </c>
    </row>
    <row r="4352" spans="164:167">
      <c r="FH4352" s="29" t="str">
        <f t="shared" si="122"/>
        <v/>
      </c>
      <c r="FJ4352" s="36" t="str">
        <f>IF($FH4352="","",SUM($FN4352:$FN$7000))</f>
        <v/>
      </c>
      <c r="FK4352" s="36" t="str">
        <f>IF($FH4352="","",SUM($FN4352:$FN$7000))</f>
        <v/>
      </c>
    </row>
    <row r="4353" spans="164:167">
      <c r="FH4353" s="29" t="str">
        <f t="shared" si="122"/>
        <v/>
      </c>
      <c r="FJ4353" s="36" t="str">
        <f>IF($FH4353="","",SUM($FN4353:$FN$7000))</f>
        <v/>
      </c>
      <c r="FK4353" s="36" t="str">
        <f>IF($FH4353="","",SUM($FN4353:$FN$7000))</f>
        <v/>
      </c>
    </row>
    <row r="4354" spans="164:167">
      <c r="FH4354" s="29" t="str">
        <f t="shared" si="122"/>
        <v/>
      </c>
      <c r="FJ4354" s="36" t="str">
        <f>IF($FH4354="","",SUM($FN4354:$FN$7000))</f>
        <v/>
      </c>
      <c r="FK4354" s="36" t="str">
        <f>IF($FH4354="","",SUM($FN4354:$FN$7000))</f>
        <v/>
      </c>
    </row>
    <row r="4355" spans="164:167">
      <c r="FH4355" s="29" t="str">
        <f t="shared" si="122"/>
        <v/>
      </c>
      <c r="FJ4355" s="36" t="str">
        <f>IF($FH4355="","",SUM($FN4355:$FN$7000))</f>
        <v/>
      </c>
      <c r="FK4355" s="36" t="str">
        <f>IF($FH4355="","",SUM($FN4355:$FN$7000))</f>
        <v/>
      </c>
    </row>
    <row r="4356" spans="164:167">
      <c r="FH4356" s="29" t="str">
        <f t="shared" si="122"/>
        <v/>
      </c>
      <c r="FJ4356" s="36" t="str">
        <f>IF($FH4356="","",SUM($FN4356:$FN$7000))</f>
        <v/>
      </c>
      <c r="FK4356" s="36" t="str">
        <f>IF($FH4356="","",SUM($FN4356:$FN$7000))</f>
        <v/>
      </c>
    </row>
    <row r="4357" spans="164:167">
      <c r="FH4357" s="29" t="str">
        <f t="shared" si="122"/>
        <v/>
      </c>
      <c r="FJ4357" s="36" t="str">
        <f>IF($FH4357="","",SUM($FN4357:$FN$7000))</f>
        <v/>
      </c>
      <c r="FK4357" s="36" t="str">
        <f>IF($FH4357="","",SUM($FN4357:$FN$7000))</f>
        <v/>
      </c>
    </row>
    <row r="4358" spans="164:167">
      <c r="FH4358" s="29" t="str">
        <f t="shared" si="122"/>
        <v/>
      </c>
      <c r="FJ4358" s="36" t="str">
        <f>IF($FH4358="","",SUM($FN4358:$FN$7000))</f>
        <v/>
      </c>
      <c r="FK4358" s="36" t="str">
        <f>IF($FH4358="","",SUM($FN4358:$FN$7000))</f>
        <v/>
      </c>
    </row>
    <row r="4359" spans="164:167">
      <c r="FH4359" s="29" t="str">
        <f t="shared" si="122"/>
        <v/>
      </c>
      <c r="FJ4359" s="36" t="str">
        <f>IF($FH4359="","",SUM($FN4359:$FN$7000))</f>
        <v/>
      </c>
      <c r="FK4359" s="36" t="str">
        <f>IF($FH4359="","",SUM($FN4359:$FN$7000))</f>
        <v/>
      </c>
    </row>
    <row r="4360" spans="164:167">
      <c r="FH4360" s="29" t="str">
        <f t="shared" si="122"/>
        <v/>
      </c>
      <c r="FJ4360" s="36" t="str">
        <f>IF($FH4360="","",SUM($FN4360:$FN$7000))</f>
        <v/>
      </c>
      <c r="FK4360" s="36" t="str">
        <f>IF($FH4360="","",SUM($FN4360:$FN$7000))</f>
        <v/>
      </c>
    </row>
    <row r="4361" spans="164:167">
      <c r="FH4361" s="29" t="str">
        <f t="shared" si="122"/>
        <v/>
      </c>
      <c r="FJ4361" s="36" t="str">
        <f>IF($FH4361="","",SUM($FN4361:$FN$7000))</f>
        <v/>
      </c>
      <c r="FK4361" s="36" t="str">
        <f>IF($FH4361="","",SUM($FN4361:$FN$7000))</f>
        <v/>
      </c>
    </row>
    <row r="4362" spans="164:167">
      <c r="FH4362" s="29" t="str">
        <f t="shared" si="122"/>
        <v/>
      </c>
      <c r="FJ4362" s="36" t="str">
        <f>IF($FH4362="","",SUM($FN4362:$FN$7000))</f>
        <v/>
      </c>
      <c r="FK4362" s="36" t="str">
        <f>IF($FH4362="","",SUM($FN4362:$FN$7000))</f>
        <v/>
      </c>
    </row>
    <row r="4363" spans="164:167">
      <c r="FH4363" s="29" t="str">
        <f t="shared" ref="FH4363:FH4426" si="123">IF(FL4363="","",FL4363)</f>
        <v/>
      </c>
      <c r="FJ4363" s="36" t="str">
        <f>IF($FH4363="","",SUM($FN4363:$FN$7000))</f>
        <v/>
      </c>
      <c r="FK4363" s="36" t="str">
        <f>IF($FH4363="","",SUM($FN4363:$FN$7000))</f>
        <v/>
      </c>
    </row>
    <row r="4364" spans="164:167">
      <c r="FH4364" s="29" t="str">
        <f t="shared" si="123"/>
        <v/>
      </c>
      <c r="FJ4364" s="36" t="str">
        <f>IF($FH4364="","",SUM($FN4364:$FN$7000))</f>
        <v/>
      </c>
      <c r="FK4364" s="36" t="str">
        <f>IF($FH4364="","",SUM($FN4364:$FN$7000))</f>
        <v/>
      </c>
    </row>
    <row r="4365" spans="164:167">
      <c r="FH4365" s="29" t="str">
        <f t="shared" si="123"/>
        <v/>
      </c>
      <c r="FJ4365" s="36" t="str">
        <f>IF($FH4365="","",SUM($FN4365:$FN$7000))</f>
        <v/>
      </c>
      <c r="FK4365" s="36" t="str">
        <f>IF($FH4365="","",SUM($FN4365:$FN$7000))</f>
        <v/>
      </c>
    </row>
    <row r="4366" spans="164:167">
      <c r="FH4366" s="29" t="str">
        <f t="shared" si="123"/>
        <v/>
      </c>
      <c r="FJ4366" s="36" t="str">
        <f>IF($FH4366="","",SUM($FN4366:$FN$7000))</f>
        <v/>
      </c>
      <c r="FK4366" s="36" t="str">
        <f>IF($FH4366="","",SUM($FN4366:$FN$7000))</f>
        <v/>
      </c>
    </row>
    <row r="4367" spans="164:167">
      <c r="FH4367" s="29" t="str">
        <f t="shared" si="123"/>
        <v/>
      </c>
      <c r="FJ4367" s="36" t="str">
        <f>IF($FH4367="","",SUM($FN4367:$FN$7000))</f>
        <v/>
      </c>
      <c r="FK4367" s="36" t="str">
        <f>IF($FH4367="","",SUM($FN4367:$FN$7000))</f>
        <v/>
      </c>
    </row>
    <row r="4368" spans="164:167">
      <c r="FH4368" s="29" t="str">
        <f t="shared" si="123"/>
        <v/>
      </c>
      <c r="FJ4368" s="36" t="str">
        <f>IF($FH4368="","",SUM($FN4368:$FN$7000))</f>
        <v/>
      </c>
      <c r="FK4368" s="36" t="str">
        <f>IF($FH4368="","",SUM($FN4368:$FN$7000))</f>
        <v/>
      </c>
    </row>
    <row r="4369" spans="164:167">
      <c r="FH4369" s="29" t="str">
        <f t="shared" si="123"/>
        <v/>
      </c>
      <c r="FJ4369" s="36" t="str">
        <f>IF($FH4369="","",SUM($FN4369:$FN$7000))</f>
        <v/>
      </c>
      <c r="FK4369" s="36" t="str">
        <f>IF($FH4369="","",SUM($FN4369:$FN$7000))</f>
        <v/>
      </c>
    </row>
    <row r="4370" spans="164:167">
      <c r="FH4370" s="29" t="str">
        <f t="shared" si="123"/>
        <v/>
      </c>
      <c r="FJ4370" s="36" t="str">
        <f>IF($FH4370="","",SUM($FN4370:$FN$7000))</f>
        <v/>
      </c>
      <c r="FK4370" s="36" t="str">
        <f>IF($FH4370="","",SUM($FN4370:$FN$7000))</f>
        <v/>
      </c>
    </row>
    <row r="4371" spans="164:167">
      <c r="FH4371" s="29" t="str">
        <f t="shared" si="123"/>
        <v/>
      </c>
      <c r="FJ4371" s="36" t="str">
        <f>IF($FH4371="","",SUM($FN4371:$FN$7000))</f>
        <v/>
      </c>
      <c r="FK4371" s="36" t="str">
        <f>IF($FH4371="","",SUM($FN4371:$FN$7000))</f>
        <v/>
      </c>
    </row>
    <row r="4372" spans="164:167">
      <c r="FH4372" s="29" t="str">
        <f t="shared" si="123"/>
        <v/>
      </c>
      <c r="FJ4372" s="36" t="str">
        <f>IF($FH4372="","",SUM($FN4372:$FN$7000))</f>
        <v/>
      </c>
      <c r="FK4372" s="36" t="str">
        <f>IF($FH4372="","",SUM($FN4372:$FN$7000))</f>
        <v/>
      </c>
    </row>
    <row r="4373" spans="164:167">
      <c r="FH4373" s="29" t="str">
        <f t="shared" si="123"/>
        <v/>
      </c>
      <c r="FJ4373" s="36" t="str">
        <f>IF($FH4373="","",SUM($FN4373:$FN$7000))</f>
        <v/>
      </c>
      <c r="FK4373" s="36" t="str">
        <f>IF($FH4373="","",SUM($FN4373:$FN$7000))</f>
        <v/>
      </c>
    </row>
    <row r="4374" spans="164:167">
      <c r="FH4374" s="29" t="str">
        <f t="shared" si="123"/>
        <v/>
      </c>
      <c r="FJ4374" s="36" t="str">
        <f>IF($FH4374="","",SUM($FN4374:$FN$7000))</f>
        <v/>
      </c>
      <c r="FK4374" s="36" t="str">
        <f>IF($FH4374="","",SUM($FN4374:$FN$7000))</f>
        <v/>
      </c>
    </row>
    <row r="4375" spans="164:167">
      <c r="FH4375" s="29" t="str">
        <f t="shared" si="123"/>
        <v/>
      </c>
      <c r="FJ4375" s="36" t="str">
        <f>IF($FH4375="","",SUM($FN4375:$FN$7000))</f>
        <v/>
      </c>
      <c r="FK4375" s="36" t="str">
        <f>IF($FH4375="","",SUM($FN4375:$FN$7000))</f>
        <v/>
      </c>
    </row>
    <row r="4376" spans="164:167">
      <c r="FH4376" s="29" t="str">
        <f t="shared" si="123"/>
        <v/>
      </c>
      <c r="FJ4376" s="36" t="str">
        <f>IF($FH4376="","",SUM($FN4376:$FN$7000))</f>
        <v/>
      </c>
      <c r="FK4376" s="36" t="str">
        <f>IF($FH4376="","",SUM($FN4376:$FN$7000))</f>
        <v/>
      </c>
    </row>
    <row r="4377" spans="164:167">
      <c r="FH4377" s="29" t="str">
        <f t="shared" si="123"/>
        <v/>
      </c>
      <c r="FJ4377" s="36" t="str">
        <f>IF($FH4377="","",SUM($FN4377:$FN$7000))</f>
        <v/>
      </c>
      <c r="FK4377" s="36" t="str">
        <f>IF($FH4377="","",SUM($FN4377:$FN$7000))</f>
        <v/>
      </c>
    </row>
    <row r="4378" spans="164:167">
      <c r="FH4378" s="29" t="str">
        <f t="shared" si="123"/>
        <v/>
      </c>
      <c r="FJ4378" s="36" t="str">
        <f>IF($FH4378="","",SUM($FN4378:$FN$7000))</f>
        <v/>
      </c>
      <c r="FK4378" s="36" t="str">
        <f>IF($FH4378="","",SUM($FN4378:$FN$7000))</f>
        <v/>
      </c>
    </row>
    <row r="4379" spans="164:167">
      <c r="FH4379" s="29" t="str">
        <f t="shared" si="123"/>
        <v/>
      </c>
      <c r="FJ4379" s="36" t="str">
        <f>IF($FH4379="","",SUM($FN4379:$FN$7000))</f>
        <v/>
      </c>
      <c r="FK4379" s="36" t="str">
        <f>IF($FH4379="","",SUM($FN4379:$FN$7000))</f>
        <v/>
      </c>
    </row>
    <row r="4380" spans="164:167">
      <c r="FH4380" s="29" t="str">
        <f t="shared" si="123"/>
        <v/>
      </c>
      <c r="FJ4380" s="36" t="str">
        <f>IF($FH4380="","",SUM($FN4380:$FN$7000))</f>
        <v/>
      </c>
      <c r="FK4380" s="36" t="str">
        <f>IF($FH4380="","",SUM($FN4380:$FN$7000))</f>
        <v/>
      </c>
    </row>
    <row r="4381" spans="164:167">
      <c r="FH4381" s="29" t="str">
        <f t="shared" si="123"/>
        <v/>
      </c>
      <c r="FJ4381" s="36" t="str">
        <f>IF($FH4381="","",SUM($FN4381:$FN$7000))</f>
        <v/>
      </c>
      <c r="FK4381" s="36" t="str">
        <f>IF($FH4381="","",SUM($FN4381:$FN$7000))</f>
        <v/>
      </c>
    </row>
    <row r="4382" spans="164:167">
      <c r="FH4382" s="29" t="str">
        <f t="shared" si="123"/>
        <v/>
      </c>
      <c r="FJ4382" s="36" t="str">
        <f>IF($FH4382="","",SUM($FN4382:$FN$7000))</f>
        <v/>
      </c>
      <c r="FK4382" s="36" t="str">
        <f>IF($FH4382="","",SUM($FN4382:$FN$7000))</f>
        <v/>
      </c>
    </row>
    <row r="4383" spans="164:167">
      <c r="FH4383" s="29" t="str">
        <f t="shared" si="123"/>
        <v/>
      </c>
      <c r="FJ4383" s="36" t="str">
        <f>IF($FH4383="","",SUM($FN4383:$FN$7000))</f>
        <v/>
      </c>
      <c r="FK4383" s="36" t="str">
        <f>IF($FH4383="","",SUM($FN4383:$FN$7000))</f>
        <v/>
      </c>
    </row>
    <row r="4384" spans="164:167">
      <c r="FH4384" s="29" t="str">
        <f t="shared" si="123"/>
        <v/>
      </c>
      <c r="FJ4384" s="36" t="str">
        <f>IF($FH4384="","",SUM($FN4384:$FN$7000))</f>
        <v/>
      </c>
      <c r="FK4384" s="36" t="str">
        <f>IF($FH4384="","",SUM($FN4384:$FN$7000))</f>
        <v/>
      </c>
    </row>
    <row r="4385" spans="164:167">
      <c r="FH4385" s="29" t="str">
        <f t="shared" si="123"/>
        <v/>
      </c>
      <c r="FJ4385" s="36" t="str">
        <f>IF($FH4385="","",SUM($FN4385:$FN$7000))</f>
        <v/>
      </c>
      <c r="FK4385" s="36" t="str">
        <f>IF($FH4385="","",SUM($FN4385:$FN$7000))</f>
        <v/>
      </c>
    </row>
    <row r="4386" spans="164:167">
      <c r="FH4386" s="29" t="str">
        <f t="shared" si="123"/>
        <v/>
      </c>
      <c r="FJ4386" s="36" t="str">
        <f>IF($FH4386="","",SUM($FN4386:$FN$7000))</f>
        <v/>
      </c>
      <c r="FK4386" s="36" t="str">
        <f>IF($FH4386="","",SUM($FN4386:$FN$7000))</f>
        <v/>
      </c>
    </row>
    <row r="4387" spans="164:167">
      <c r="FH4387" s="29" t="str">
        <f t="shared" si="123"/>
        <v/>
      </c>
      <c r="FJ4387" s="36" t="str">
        <f>IF($FH4387="","",SUM($FN4387:$FN$7000))</f>
        <v/>
      </c>
      <c r="FK4387" s="36" t="str">
        <f>IF($FH4387="","",SUM($FN4387:$FN$7000))</f>
        <v/>
      </c>
    </row>
    <row r="4388" spans="164:167">
      <c r="FH4388" s="29" t="str">
        <f t="shared" si="123"/>
        <v/>
      </c>
      <c r="FJ4388" s="36" t="str">
        <f>IF($FH4388="","",SUM($FN4388:$FN$7000))</f>
        <v/>
      </c>
      <c r="FK4388" s="36" t="str">
        <f>IF($FH4388="","",SUM($FN4388:$FN$7000))</f>
        <v/>
      </c>
    </row>
    <row r="4389" spans="164:167">
      <c r="FH4389" s="29" t="str">
        <f t="shared" si="123"/>
        <v/>
      </c>
      <c r="FJ4389" s="36" t="str">
        <f>IF($FH4389="","",SUM($FN4389:$FN$7000))</f>
        <v/>
      </c>
      <c r="FK4389" s="36" t="str">
        <f>IF($FH4389="","",SUM($FN4389:$FN$7000))</f>
        <v/>
      </c>
    </row>
    <row r="4390" spans="164:167">
      <c r="FH4390" s="29" t="str">
        <f t="shared" si="123"/>
        <v/>
      </c>
      <c r="FJ4390" s="36" t="str">
        <f>IF($FH4390="","",SUM($FN4390:$FN$7000))</f>
        <v/>
      </c>
      <c r="FK4390" s="36" t="str">
        <f>IF($FH4390="","",SUM($FN4390:$FN$7000))</f>
        <v/>
      </c>
    </row>
    <row r="4391" spans="164:167">
      <c r="FH4391" s="29" t="str">
        <f t="shared" si="123"/>
        <v/>
      </c>
      <c r="FJ4391" s="36" t="str">
        <f>IF($FH4391="","",SUM($FN4391:$FN$7000))</f>
        <v/>
      </c>
      <c r="FK4391" s="36" t="str">
        <f>IF($FH4391="","",SUM($FN4391:$FN$7000))</f>
        <v/>
      </c>
    </row>
    <row r="4392" spans="164:167">
      <c r="FH4392" s="29" t="str">
        <f t="shared" si="123"/>
        <v/>
      </c>
      <c r="FJ4392" s="36" t="str">
        <f>IF($FH4392="","",SUM($FN4392:$FN$7000))</f>
        <v/>
      </c>
      <c r="FK4392" s="36" t="str">
        <f>IF($FH4392="","",SUM($FN4392:$FN$7000))</f>
        <v/>
      </c>
    </row>
    <row r="4393" spans="164:167">
      <c r="FH4393" s="29" t="str">
        <f t="shared" si="123"/>
        <v/>
      </c>
      <c r="FJ4393" s="36" t="str">
        <f>IF($FH4393="","",SUM($FN4393:$FN$7000))</f>
        <v/>
      </c>
      <c r="FK4393" s="36" t="str">
        <f>IF($FH4393="","",SUM($FN4393:$FN$7000))</f>
        <v/>
      </c>
    </row>
    <row r="4394" spans="164:167">
      <c r="FH4394" s="29" t="str">
        <f t="shared" si="123"/>
        <v/>
      </c>
      <c r="FJ4394" s="36" t="str">
        <f>IF($FH4394="","",SUM($FN4394:$FN$7000))</f>
        <v/>
      </c>
      <c r="FK4394" s="36" t="str">
        <f>IF($FH4394="","",SUM($FN4394:$FN$7000))</f>
        <v/>
      </c>
    </row>
    <row r="4395" spans="164:167">
      <c r="FH4395" s="29" t="str">
        <f t="shared" si="123"/>
        <v/>
      </c>
      <c r="FJ4395" s="36" t="str">
        <f>IF($FH4395="","",SUM($FN4395:$FN$7000))</f>
        <v/>
      </c>
      <c r="FK4395" s="36" t="str">
        <f>IF($FH4395="","",SUM($FN4395:$FN$7000))</f>
        <v/>
      </c>
    </row>
    <row r="4396" spans="164:167">
      <c r="FH4396" s="29" t="str">
        <f t="shared" si="123"/>
        <v/>
      </c>
      <c r="FJ4396" s="36" t="str">
        <f>IF($FH4396="","",SUM($FN4396:$FN$7000))</f>
        <v/>
      </c>
      <c r="FK4396" s="36" t="str">
        <f>IF($FH4396="","",SUM($FN4396:$FN$7000))</f>
        <v/>
      </c>
    </row>
    <row r="4397" spans="164:167">
      <c r="FH4397" s="29" t="str">
        <f t="shared" si="123"/>
        <v/>
      </c>
      <c r="FJ4397" s="36" t="str">
        <f>IF($FH4397="","",SUM($FN4397:$FN$7000))</f>
        <v/>
      </c>
      <c r="FK4397" s="36" t="str">
        <f>IF($FH4397="","",SUM($FN4397:$FN$7000))</f>
        <v/>
      </c>
    </row>
    <row r="4398" spans="164:167">
      <c r="FH4398" s="29" t="str">
        <f t="shared" si="123"/>
        <v/>
      </c>
      <c r="FJ4398" s="36" t="str">
        <f>IF($FH4398="","",SUM($FN4398:$FN$7000))</f>
        <v/>
      </c>
      <c r="FK4398" s="36" t="str">
        <f>IF($FH4398="","",SUM($FN4398:$FN$7000))</f>
        <v/>
      </c>
    </row>
    <row r="4399" spans="164:167">
      <c r="FH4399" s="29" t="str">
        <f t="shared" si="123"/>
        <v/>
      </c>
      <c r="FJ4399" s="36" t="str">
        <f>IF($FH4399="","",SUM($FN4399:$FN$7000))</f>
        <v/>
      </c>
      <c r="FK4399" s="36" t="str">
        <f>IF($FH4399="","",SUM($FN4399:$FN$7000))</f>
        <v/>
      </c>
    </row>
    <row r="4400" spans="164:167">
      <c r="FH4400" s="29" t="str">
        <f t="shared" si="123"/>
        <v/>
      </c>
      <c r="FJ4400" s="36" t="str">
        <f>IF($FH4400="","",SUM($FN4400:$FN$7000))</f>
        <v/>
      </c>
      <c r="FK4400" s="36" t="str">
        <f>IF($FH4400="","",SUM($FN4400:$FN$7000))</f>
        <v/>
      </c>
    </row>
    <row r="4401" spans="164:167">
      <c r="FH4401" s="29" t="str">
        <f t="shared" si="123"/>
        <v/>
      </c>
      <c r="FJ4401" s="36" t="str">
        <f>IF($FH4401="","",SUM($FN4401:$FN$7000))</f>
        <v/>
      </c>
      <c r="FK4401" s="36" t="str">
        <f>IF($FH4401="","",SUM($FN4401:$FN$7000))</f>
        <v/>
      </c>
    </row>
    <row r="4402" spans="164:167">
      <c r="FH4402" s="29" t="str">
        <f t="shared" si="123"/>
        <v/>
      </c>
      <c r="FJ4402" s="36" t="str">
        <f>IF($FH4402="","",SUM($FN4402:$FN$7000))</f>
        <v/>
      </c>
      <c r="FK4402" s="36" t="str">
        <f>IF($FH4402="","",SUM($FN4402:$FN$7000))</f>
        <v/>
      </c>
    </row>
    <row r="4403" spans="164:167">
      <c r="FH4403" s="29" t="str">
        <f t="shared" si="123"/>
        <v/>
      </c>
      <c r="FJ4403" s="36" t="str">
        <f>IF($FH4403="","",SUM($FN4403:$FN$7000))</f>
        <v/>
      </c>
      <c r="FK4403" s="36" t="str">
        <f>IF($FH4403="","",SUM($FN4403:$FN$7000))</f>
        <v/>
      </c>
    </row>
    <row r="4404" spans="164:167">
      <c r="FH4404" s="29" t="str">
        <f t="shared" si="123"/>
        <v/>
      </c>
      <c r="FJ4404" s="36" t="str">
        <f>IF($FH4404="","",SUM($FN4404:$FN$7000))</f>
        <v/>
      </c>
      <c r="FK4404" s="36" t="str">
        <f>IF($FH4404="","",SUM($FN4404:$FN$7000))</f>
        <v/>
      </c>
    </row>
    <row r="4405" spans="164:167">
      <c r="FH4405" s="29" t="str">
        <f t="shared" si="123"/>
        <v/>
      </c>
      <c r="FJ4405" s="36" t="str">
        <f>IF($FH4405="","",SUM($FN4405:$FN$7000))</f>
        <v/>
      </c>
      <c r="FK4405" s="36" t="str">
        <f>IF($FH4405="","",SUM($FN4405:$FN$7000))</f>
        <v/>
      </c>
    </row>
    <row r="4406" spans="164:167">
      <c r="FH4406" s="29" t="str">
        <f t="shared" si="123"/>
        <v/>
      </c>
      <c r="FJ4406" s="36" t="str">
        <f>IF($FH4406="","",SUM($FN4406:$FN$7000))</f>
        <v/>
      </c>
      <c r="FK4406" s="36" t="str">
        <f>IF($FH4406="","",SUM($FN4406:$FN$7000))</f>
        <v/>
      </c>
    </row>
    <row r="4407" spans="164:167">
      <c r="FH4407" s="29" t="str">
        <f t="shared" si="123"/>
        <v/>
      </c>
      <c r="FJ4407" s="36" t="str">
        <f>IF($FH4407="","",SUM($FN4407:$FN$7000))</f>
        <v/>
      </c>
      <c r="FK4407" s="36" t="str">
        <f>IF($FH4407="","",SUM($FN4407:$FN$7000))</f>
        <v/>
      </c>
    </row>
    <row r="4408" spans="164:167">
      <c r="FH4408" s="29" t="str">
        <f t="shared" si="123"/>
        <v/>
      </c>
      <c r="FJ4408" s="36" t="str">
        <f>IF($FH4408="","",SUM($FN4408:$FN$7000))</f>
        <v/>
      </c>
      <c r="FK4408" s="36" t="str">
        <f>IF($FH4408="","",SUM($FN4408:$FN$7000))</f>
        <v/>
      </c>
    </row>
    <row r="4409" spans="164:167">
      <c r="FH4409" s="29" t="str">
        <f t="shared" si="123"/>
        <v/>
      </c>
      <c r="FJ4409" s="36" t="str">
        <f>IF($FH4409="","",SUM($FN4409:$FN$7000))</f>
        <v/>
      </c>
      <c r="FK4409" s="36" t="str">
        <f>IF($FH4409="","",SUM($FN4409:$FN$7000))</f>
        <v/>
      </c>
    </row>
    <row r="4410" spans="164:167">
      <c r="FH4410" s="29" t="str">
        <f t="shared" si="123"/>
        <v/>
      </c>
      <c r="FJ4410" s="36" t="str">
        <f>IF($FH4410="","",SUM($FN4410:$FN$7000))</f>
        <v/>
      </c>
      <c r="FK4410" s="36" t="str">
        <f>IF($FH4410="","",SUM($FN4410:$FN$7000))</f>
        <v/>
      </c>
    </row>
    <row r="4411" spans="164:167">
      <c r="FH4411" s="29" t="str">
        <f t="shared" si="123"/>
        <v/>
      </c>
      <c r="FJ4411" s="36" t="str">
        <f>IF($FH4411="","",SUM($FN4411:$FN$7000))</f>
        <v/>
      </c>
      <c r="FK4411" s="36" t="str">
        <f>IF($FH4411="","",SUM($FN4411:$FN$7000))</f>
        <v/>
      </c>
    </row>
    <row r="4412" spans="164:167">
      <c r="FH4412" s="29" t="str">
        <f t="shared" si="123"/>
        <v/>
      </c>
      <c r="FJ4412" s="36" t="str">
        <f>IF($FH4412="","",SUM($FN4412:$FN$7000))</f>
        <v/>
      </c>
      <c r="FK4412" s="36" t="str">
        <f>IF($FH4412="","",SUM($FN4412:$FN$7000))</f>
        <v/>
      </c>
    </row>
    <row r="4413" spans="164:167">
      <c r="FH4413" s="29" t="str">
        <f t="shared" si="123"/>
        <v/>
      </c>
      <c r="FJ4413" s="36" t="str">
        <f>IF($FH4413="","",SUM($FN4413:$FN$7000))</f>
        <v/>
      </c>
      <c r="FK4413" s="36" t="str">
        <f>IF($FH4413="","",SUM($FN4413:$FN$7000))</f>
        <v/>
      </c>
    </row>
    <row r="4414" spans="164:167">
      <c r="FH4414" s="29" t="str">
        <f t="shared" si="123"/>
        <v/>
      </c>
      <c r="FJ4414" s="36" t="str">
        <f>IF($FH4414="","",SUM($FN4414:$FN$7000))</f>
        <v/>
      </c>
      <c r="FK4414" s="36" t="str">
        <f>IF($FH4414="","",SUM($FN4414:$FN$7000))</f>
        <v/>
      </c>
    </row>
    <row r="4415" spans="164:167">
      <c r="FH4415" s="29" t="str">
        <f t="shared" si="123"/>
        <v/>
      </c>
      <c r="FJ4415" s="36" t="str">
        <f>IF($FH4415="","",SUM($FN4415:$FN$7000))</f>
        <v/>
      </c>
      <c r="FK4415" s="36" t="str">
        <f>IF($FH4415="","",SUM($FN4415:$FN$7000))</f>
        <v/>
      </c>
    </row>
    <row r="4416" spans="164:167">
      <c r="FH4416" s="29" t="str">
        <f t="shared" si="123"/>
        <v/>
      </c>
      <c r="FJ4416" s="36" t="str">
        <f>IF($FH4416="","",SUM($FN4416:$FN$7000))</f>
        <v/>
      </c>
      <c r="FK4416" s="36" t="str">
        <f>IF($FH4416="","",SUM($FN4416:$FN$7000))</f>
        <v/>
      </c>
    </row>
    <row r="4417" spans="164:167">
      <c r="FH4417" s="29" t="str">
        <f t="shared" si="123"/>
        <v/>
      </c>
      <c r="FJ4417" s="36" t="str">
        <f>IF($FH4417="","",SUM($FN4417:$FN$7000))</f>
        <v/>
      </c>
      <c r="FK4417" s="36" t="str">
        <f>IF($FH4417="","",SUM($FN4417:$FN$7000))</f>
        <v/>
      </c>
    </row>
    <row r="4418" spans="164:167">
      <c r="FH4418" s="29" t="str">
        <f t="shared" si="123"/>
        <v/>
      </c>
      <c r="FJ4418" s="36" t="str">
        <f>IF($FH4418="","",SUM($FN4418:$FN$7000))</f>
        <v/>
      </c>
      <c r="FK4418" s="36" t="str">
        <f>IF($FH4418="","",SUM($FN4418:$FN$7000))</f>
        <v/>
      </c>
    </row>
    <row r="4419" spans="164:167">
      <c r="FH4419" s="29" t="str">
        <f t="shared" si="123"/>
        <v/>
      </c>
      <c r="FJ4419" s="36" t="str">
        <f>IF($FH4419="","",SUM($FN4419:$FN$7000))</f>
        <v/>
      </c>
      <c r="FK4419" s="36" t="str">
        <f>IF($FH4419="","",SUM($FN4419:$FN$7000))</f>
        <v/>
      </c>
    </row>
    <row r="4420" spans="164:167">
      <c r="FH4420" s="29" t="str">
        <f t="shared" si="123"/>
        <v/>
      </c>
      <c r="FJ4420" s="36" t="str">
        <f>IF($FH4420="","",SUM($FN4420:$FN$7000))</f>
        <v/>
      </c>
      <c r="FK4420" s="36" t="str">
        <f>IF($FH4420="","",SUM($FN4420:$FN$7000))</f>
        <v/>
      </c>
    </row>
    <row r="4421" spans="164:167">
      <c r="FH4421" s="29" t="str">
        <f t="shared" si="123"/>
        <v/>
      </c>
      <c r="FJ4421" s="36" t="str">
        <f>IF($FH4421="","",SUM($FN4421:$FN$7000))</f>
        <v/>
      </c>
      <c r="FK4421" s="36" t="str">
        <f>IF($FH4421="","",SUM($FN4421:$FN$7000))</f>
        <v/>
      </c>
    </row>
    <row r="4422" spans="164:167">
      <c r="FH4422" s="29" t="str">
        <f t="shared" si="123"/>
        <v/>
      </c>
      <c r="FJ4422" s="36" t="str">
        <f>IF($FH4422="","",SUM($FN4422:$FN$7000))</f>
        <v/>
      </c>
      <c r="FK4422" s="36" t="str">
        <f>IF($FH4422="","",SUM($FN4422:$FN$7000))</f>
        <v/>
      </c>
    </row>
    <row r="4423" spans="164:167">
      <c r="FH4423" s="29" t="str">
        <f t="shared" si="123"/>
        <v/>
      </c>
      <c r="FJ4423" s="36" t="str">
        <f>IF($FH4423="","",SUM($FN4423:$FN$7000))</f>
        <v/>
      </c>
      <c r="FK4423" s="36" t="str">
        <f>IF($FH4423="","",SUM($FN4423:$FN$7000))</f>
        <v/>
      </c>
    </row>
    <row r="4424" spans="164:167">
      <c r="FH4424" s="29" t="str">
        <f t="shared" si="123"/>
        <v/>
      </c>
      <c r="FJ4424" s="36" t="str">
        <f>IF($FH4424="","",SUM($FN4424:$FN$7000))</f>
        <v/>
      </c>
      <c r="FK4424" s="36" t="str">
        <f>IF($FH4424="","",SUM($FN4424:$FN$7000))</f>
        <v/>
      </c>
    </row>
    <row r="4425" spans="164:167">
      <c r="FH4425" s="29" t="str">
        <f t="shared" si="123"/>
        <v/>
      </c>
      <c r="FJ4425" s="36" t="str">
        <f>IF($FH4425="","",SUM($FN4425:$FN$7000))</f>
        <v/>
      </c>
      <c r="FK4425" s="36" t="str">
        <f>IF($FH4425="","",SUM($FN4425:$FN$7000))</f>
        <v/>
      </c>
    </row>
    <row r="4426" spans="164:167">
      <c r="FH4426" s="29" t="str">
        <f t="shared" si="123"/>
        <v/>
      </c>
      <c r="FJ4426" s="36" t="str">
        <f>IF($FH4426="","",SUM($FN4426:$FN$7000))</f>
        <v/>
      </c>
      <c r="FK4426" s="36" t="str">
        <f>IF($FH4426="","",SUM($FN4426:$FN$7000))</f>
        <v/>
      </c>
    </row>
    <row r="4427" spans="164:167">
      <c r="FH4427" s="29" t="str">
        <f t="shared" ref="FH4427:FH4490" si="124">IF(FL4427="","",FL4427)</f>
        <v/>
      </c>
      <c r="FJ4427" s="36" t="str">
        <f>IF($FH4427="","",SUM($FN4427:$FN$7000))</f>
        <v/>
      </c>
      <c r="FK4427" s="36" t="str">
        <f>IF($FH4427="","",SUM($FN4427:$FN$7000))</f>
        <v/>
      </c>
    </row>
    <row r="4428" spans="164:167">
      <c r="FH4428" s="29" t="str">
        <f t="shared" si="124"/>
        <v/>
      </c>
      <c r="FJ4428" s="36" t="str">
        <f>IF($FH4428="","",SUM($FN4428:$FN$7000))</f>
        <v/>
      </c>
      <c r="FK4428" s="36" t="str">
        <f>IF($FH4428="","",SUM($FN4428:$FN$7000))</f>
        <v/>
      </c>
    </row>
    <row r="4429" spans="164:167">
      <c r="FH4429" s="29" t="str">
        <f t="shared" si="124"/>
        <v/>
      </c>
      <c r="FJ4429" s="36" t="str">
        <f>IF($FH4429="","",SUM($FN4429:$FN$7000))</f>
        <v/>
      </c>
      <c r="FK4429" s="36" t="str">
        <f>IF($FH4429="","",SUM($FN4429:$FN$7000))</f>
        <v/>
      </c>
    </row>
    <row r="4430" spans="164:167">
      <c r="FH4430" s="29" t="str">
        <f t="shared" si="124"/>
        <v/>
      </c>
      <c r="FJ4430" s="36" t="str">
        <f>IF($FH4430="","",SUM($FN4430:$FN$7000))</f>
        <v/>
      </c>
      <c r="FK4430" s="36" t="str">
        <f>IF($FH4430="","",SUM($FN4430:$FN$7000))</f>
        <v/>
      </c>
    </row>
    <row r="4431" spans="164:167">
      <c r="FH4431" s="29" t="str">
        <f t="shared" si="124"/>
        <v/>
      </c>
      <c r="FJ4431" s="36" t="str">
        <f>IF($FH4431="","",SUM($FN4431:$FN$7000))</f>
        <v/>
      </c>
      <c r="FK4431" s="36" t="str">
        <f>IF($FH4431="","",SUM($FN4431:$FN$7000))</f>
        <v/>
      </c>
    </row>
    <row r="4432" spans="164:167">
      <c r="FH4432" s="29" t="str">
        <f t="shared" si="124"/>
        <v/>
      </c>
      <c r="FJ4432" s="36" t="str">
        <f>IF($FH4432="","",SUM($FN4432:$FN$7000))</f>
        <v/>
      </c>
      <c r="FK4432" s="36" t="str">
        <f>IF($FH4432="","",SUM($FN4432:$FN$7000))</f>
        <v/>
      </c>
    </row>
    <row r="4433" spans="164:167">
      <c r="FH4433" s="29" t="str">
        <f t="shared" si="124"/>
        <v/>
      </c>
      <c r="FJ4433" s="36" t="str">
        <f>IF($FH4433="","",SUM($FN4433:$FN$7000))</f>
        <v/>
      </c>
      <c r="FK4433" s="36" t="str">
        <f>IF($FH4433="","",SUM($FN4433:$FN$7000))</f>
        <v/>
      </c>
    </row>
    <row r="4434" spans="164:167">
      <c r="FH4434" s="29" t="str">
        <f t="shared" si="124"/>
        <v/>
      </c>
      <c r="FJ4434" s="36" t="str">
        <f>IF($FH4434="","",SUM($FN4434:$FN$7000))</f>
        <v/>
      </c>
      <c r="FK4434" s="36" t="str">
        <f>IF($FH4434="","",SUM($FN4434:$FN$7000))</f>
        <v/>
      </c>
    </row>
    <row r="4435" spans="164:167">
      <c r="FH4435" s="29" t="str">
        <f t="shared" si="124"/>
        <v/>
      </c>
      <c r="FJ4435" s="36" t="str">
        <f>IF($FH4435="","",SUM($FN4435:$FN$7000))</f>
        <v/>
      </c>
      <c r="FK4435" s="36" t="str">
        <f>IF($FH4435="","",SUM($FN4435:$FN$7000))</f>
        <v/>
      </c>
    </row>
    <row r="4436" spans="164:167">
      <c r="FH4436" s="29" t="str">
        <f t="shared" si="124"/>
        <v/>
      </c>
      <c r="FJ4436" s="36" t="str">
        <f>IF($FH4436="","",SUM($FN4436:$FN$7000))</f>
        <v/>
      </c>
      <c r="FK4436" s="36" t="str">
        <f>IF($FH4436="","",SUM($FN4436:$FN$7000))</f>
        <v/>
      </c>
    </row>
    <row r="4437" spans="164:167">
      <c r="FH4437" s="29" t="str">
        <f t="shared" si="124"/>
        <v/>
      </c>
      <c r="FJ4437" s="36" t="str">
        <f>IF($FH4437="","",SUM($FN4437:$FN$7000))</f>
        <v/>
      </c>
      <c r="FK4437" s="36" t="str">
        <f>IF($FH4437="","",SUM($FN4437:$FN$7000))</f>
        <v/>
      </c>
    </row>
    <row r="4438" spans="164:167">
      <c r="FH4438" s="29" t="str">
        <f t="shared" si="124"/>
        <v/>
      </c>
      <c r="FJ4438" s="36" t="str">
        <f>IF($FH4438="","",SUM($FN4438:$FN$7000))</f>
        <v/>
      </c>
      <c r="FK4438" s="36" t="str">
        <f>IF($FH4438="","",SUM($FN4438:$FN$7000))</f>
        <v/>
      </c>
    </row>
    <row r="4439" spans="164:167">
      <c r="FH4439" s="29" t="str">
        <f t="shared" si="124"/>
        <v/>
      </c>
      <c r="FJ4439" s="36" t="str">
        <f>IF($FH4439="","",SUM($FN4439:$FN$7000))</f>
        <v/>
      </c>
      <c r="FK4439" s="36" t="str">
        <f>IF($FH4439="","",SUM($FN4439:$FN$7000))</f>
        <v/>
      </c>
    </row>
    <row r="4440" spans="164:167">
      <c r="FH4440" s="29" t="str">
        <f t="shared" si="124"/>
        <v/>
      </c>
      <c r="FJ4440" s="36" t="str">
        <f>IF($FH4440="","",SUM($FN4440:$FN$7000))</f>
        <v/>
      </c>
      <c r="FK4440" s="36" t="str">
        <f>IF($FH4440="","",SUM($FN4440:$FN$7000))</f>
        <v/>
      </c>
    </row>
    <row r="4441" spans="164:167">
      <c r="FH4441" s="29" t="str">
        <f t="shared" si="124"/>
        <v/>
      </c>
      <c r="FJ4441" s="36" t="str">
        <f>IF($FH4441="","",SUM($FN4441:$FN$7000))</f>
        <v/>
      </c>
      <c r="FK4441" s="36" t="str">
        <f>IF($FH4441="","",SUM($FN4441:$FN$7000))</f>
        <v/>
      </c>
    </row>
    <row r="4442" spans="164:167">
      <c r="FH4442" s="29" t="str">
        <f t="shared" si="124"/>
        <v/>
      </c>
      <c r="FJ4442" s="36" t="str">
        <f>IF($FH4442="","",SUM($FN4442:$FN$7000))</f>
        <v/>
      </c>
      <c r="FK4442" s="36" t="str">
        <f>IF($FH4442="","",SUM($FN4442:$FN$7000))</f>
        <v/>
      </c>
    </row>
    <row r="4443" spans="164:167">
      <c r="FH4443" s="29" t="str">
        <f t="shared" si="124"/>
        <v/>
      </c>
      <c r="FJ4443" s="36" t="str">
        <f>IF($FH4443="","",SUM($FN4443:$FN$7000))</f>
        <v/>
      </c>
      <c r="FK4443" s="36" t="str">
        <f>IF($FH4443="","",SUM($FN4443:$FN$7000))</f>
        <v/>
      </c>
    </row>
    <row r="4444" spans="164:167">
      <c r="FH4444" s="29" t="str">
        <f t="shared" si="124"/>
        <v/>
      </c>
      <c r="FJ4444" s="36" t="str">
        <f>IF($FH4444="","",SUM($FN4444:$FN$7000))</f>
        <v/>
      </c>
      <c r="FK4444" s="36" t="str">
        <f>IF($FH4444="","",SUM($FN4444:$FN$7000))</f>
        <v/>
      </c>
    </row>
    <row r="4445" spans="164:167">
      <c r="FH4445" s="29" t="str">
        <f t="shared" si="124"/>
        <v/>
      </c>
      <c r="FJ4445" s="36" t="str">
        <f>IF($FH4445="","",SUM($FN4445:$FN$7000))</f>
        <v/>
      </c>
      <c r="FK4445" s="36" t="str">
        <f>IF($FH4445="","",SUM($FN4445:$FN$7000))</f>
        <v/>
      </c>
    </row>
    <row r="4446" spans="164:167">
      <c r="FH4446" s="29" t="str">
        <f t="shared" si="124"/>
        <v/>
      </c>
      <c r="FJ4446" s="36" t="str">
        <f>IF($FH4446="","",SUM($FN4446:$FN$7000))</f>
        <v/>
      </c>
      <c r="FK4446" s="36" t="str">
        <f>IF($FH4446="","",SUM($FN4446:$FN$7000))</f>
        <v/>
      </c>
    </row>
    <row r="4447" spans="164:167">
      <c r="FH4447" s="29" t="str">
        <f t="shared" si="124"/>
        <v/>
      </c>
      <c r="FJ4447" s="36" t="str">
        <f>IF($FH4447="","",SUM($FN4447:$FN$7000))</f>
        <v/>
      </c>
      <c r="FK4447" s="36" t="str">
        <f>IF($FH4447="","",SUM($FN4447:$FN$7000))</f>
        <v/>
      </c>
    </row>
    <row r="4448" spans="164:167">
      <c r="FH4448" s="29" t="str">
        <f t="shared" si="124"/>
        <v/>
      </c>
      <c r="FJ4448" s="36" t="str">
        <f>IF($FH4448="","",SUM($FN4448:$FN$7000))</f>
        <v/>
      </c>
      <c r="FK4448" s="36" t="str">
        <f>IF($FH4448="","",SUM($FN4448:$FN$7000))</f>
        <v/>
      </c>
    </row>
    <row r="4449" spans="164:167">
      <c r="FH4449" s="29" t="str">
        <f t="shared" si="124"/>
        <v/>
      </c>
      <c r="FJ4449" s="36" t="str">
        <f>IF($FH4449="","",SUM($FN4449:$FN$7000))</f>
        <v/>
      </c>
      <c r="FK4449" s="36" t="str">
        <f>IF($FH4449="","",SUM($FN4449:$FN$7000))</f>
        <v/>
      </c>
    </row>
    <row r="4450" spans="164:167">
      <c r="FH4450" s="29" t="str">
        <f t="shared" si="124"/>
        <v/>
      </c>
      <c r="FJ4450" s="36" t="str">
        <f>IF($FH4450="","",SUM($FN4450:$FN$7000))</f>
        <v/>
      </c>
      <c r="FK4450" s="36" t="str">
        <f>IF($FH4450="","",SUM($FN4450:$FN$7000))</f>
        <v/>
      </c>
    </row>
    <row r="4451" spans="164:167">
      <c r="FH4451" s="29" t="str">
        <f t="shared" si="124"/>
        <v/>
      </c>
      <c r="FJ4451" s="36" t="str">
        <f>IF($FH4451="","",SUM($FN4451:$FN$7000))</f>
        <v/>
      </c>
      <c r="FK4451" s="36" t="str">
        <f>IF($FH4451="","",SUM($FN4451:$FN$7000))</f>
        <v/>
      </c>
    </row>
    <row r="4452" spans="164:167">
      <c r="FH4452" s="29" t="str">
        <f t="shared" si="124"/>
        <v/>
      </c>
      <c r="FJ4452" s="36" t="str">
        <f>IF($FH4452="","",SUM($FN4452:$FN$7000))</f>
        <v/>
      </c>
      <c r="FK4452" s="36" t="str">
        <f>IF($FH4452="","",SUM($FN4452:$FN$7000))</f>
        <v/>
      </c>
    </row>
    <row r="4453" spans="164:167">
      <c r="FH4453" s="29" t="str">
        <f t="shared" si="124"/>
        <v/>
      </c>
      <c r="FJ4453" s="36" t="str">
        <f>IF($FH4453="","",SUM($FN4453:$FN$7000))</f>
        <v/>
      </c>
      <c r="FK4453" s="36" t="str">
        <f>IF($FH4453="","",SUM($FN4453:$FN$7000))</f>
        <v/>
      </c>
    </row>
    <row r="4454" spans="164:167">
      <c r="FH4454" s="29" t="str">
        <f t="shared" si="124"/>
        <v/>
      </c>
      <c r="FJ4454" s="36" t="str">
        <f>IF($FH4454="","",SUM($FN4454:$FN$7000))</f>
        <v/>
      </c>
      <c r="FK4454" s="36" t="str">
        <f>IF($FH4454="","",SUM($FN4454:$FN$7000))</f>
        <v/>
      </c>
    </row>
    <row r="4455" spans="164:167">
      <c r="FH4455" s="29" t="str">
        <f t="shared" si="124"/>
        <v/>
      </c>
      <c r="FJ4455" s="36" t="str">
        <f>IF($FH4455="","",SUM($FN4455:$FN$7000))</f>
        <v/>
      </c>
      <c r="FK4455" s="36" t="str">
        <f>IF($FH4455="","",SUM($FN4455:$FN$7000))</f>
        <v/>
      </c>
    </row>
    <row r="4456" spans="164:167">
      <c r="FH4456" s="29" t="str">
        <f t="shared" si="124"/>
        <v/>
      </c>
      <c r="FJ4456" s="36" t="str">
        <f>IF($FH4456="","",SUM($FN4456:$FN$7000))</f>
        <v/>
      </c>
      <c r="FK4456" s="36" t="str">
        <f>IF($FH4456="","",SUM($FN4456:$FN$7000))</f>
        <v/>
      </c>
    </row>
    <row r="4457" spans="164:167">
      <c r="FH4457" s="29" t="str">
        <f t="shared" si="124"/>
        <v/>
      </c>
      <c r="FJ4457" s="36" t="str">
        <f>IF($FH4457="","",SUM($FN4457:$FN$7000))</f>
        <v/>
      </c>
      <c r="FK4457" s="36" t="str">
        <f>IF($FH4457="","",SUM($FN4457:$FN$7000))</f>
        <v/>
      </c>
    </row>
    <row r="4458" spans="164:167">
      <c r="FH4458" s="29" t="str">
        <f t="shared" si="124"/>
        <v/>
      </c>
      <c r="FJ4458" s="36" t="str">
        <f>IF($FH4458="","",SUM($FN4458:$FN$7000))</f>
        <v/>
      </c>
      <c r="FK4458" s="36" t="str">
        <f>IF($FH4458="","",SUM($FN4458:$FN$7000))</f>
        <v/>
      </c>
    </row>
    <row r="4459" spans="164:167">
      <c r="FH4459" s="29" t="str">
        <f t="shared" si="124"/>
        <v/>
      </c>
      <c r="FJ4459" s="36" t="str">
        <f>IF($FH4459="","",SUM($FN4459:$FN$7000))</f>
        <v/>
      </c>
      <c r="FK4459" s="36" t="str">
        <f>IF($FH4459="","",SUM($FN4459:$FN$7000))</f>
        <v/>
      </c>
    </row>
    <row r="4460" spans="164:167">
      <c r="FH4460" s="29" t="str">
        <f t="shared" si="124"/>
        <v/>
      </c>
      <c r="FJ4460" s="36" t="str">
        <f>IF($FH4460="","",SUM($FN4460:$FN$7000))</f>
        <v/>
      </c>
      <c r="FK4460" s="36" t="str">
        <f>IF($FH4460="","",SUM($FN4460:$FN$7000))</f>
        <v/>
      </c>
    </row>
    <row r="4461" spans="164:167">
      <c r="FH4461" s="29" t="str">
        <f t="shared" si="124"/>
        <v/>
      </c>
      <c r="FJ4461" s="36" t="str">
        <f>IF($FH4461="","",SUM($FN4461:$FN$7000))</f>
        <v/>
      </c>
      <c r="FK4461" s="36" t="str">
        <f>IF($FH4461="","",SUM($FN4461:$FN$7000))</f>
        <v/>
      </c>
    </row>
    <row r="4462" spans="164:167">
      <c r="FH4462" s="29" t="str">
        <f t="shared" si="124"/>
        <v/>
      </c>
      <c r="FJ4462" s="36" t="str">
        <f>IF($FH4462="","",SUM($FN4462:$FN$7000))</f>
        <v/>
      </c>
      <c r="FK4462" s="36" t="str">
        <f>IF($FH4462="","",SUM($FN4462:$FN$7000))</f>
        <v/>
      </c>
    </row>
    <row r="4463" spans="164:167">
      <c r="FH4463" s="29" t="str">
        <f t="shared" si="124"/>
        <v/>
      </c>
      <c r="FJ4463" s="36" t="str">
        <f>IF($FH4463="","",SUM($FN4463:$FN$7000))</f>
        <v/>
      </c>
      <c r="FK4463" s="36" t="str">
        <f>IF($FH4463="","",SUM($FN4463:$FN$7000))</f>
        <v/>
      </c>
    </row>
    <row r="4464" spans="164:167">
      <c r="FH4464" s="29" t="str">
        <f t="shared" si="124"/>
        <v/>
      </c>
      <c r="FJ4464" s="36" t="str">
        <f>IF($FH4464="","",SUM($FN4464:$FN$7000))</f>
        <v/>
      </c>
      <c r="FK4464" s="36" t="str">
        <f>IF($FH4464="","",SUM($FN4464:$FN$7000))</f>
        <v/>
      </c>
    </row>
    <row r="4465" spans="164:167">
      <c r="FH4465" s="29" t="str">
        <f t="shared" si="124"/>
        <v/>
      </c>
      <c r="FJ4465" s="36" t="str">
        <f>IF($FH4465="","",SUM($FN4465:$FN$7000))</f>
        <v/>
      </c>
      <c r="FK4465" s="36" t="str">
        <f>IF($FH4465="","",SUM($FN4465:$FN$7000))</f>
        <v/>
      </c>
    </row>
    <row r="4466" spans="164:167">
      <c r="FH4466" s="29" t="str">
        <f t="shared" si="124"/>
        <v/>
      </c>
      <c r="FJ4466" s="36" t="str">
        <f>IF($FH4466="","",SUM($FN4466:$FN$7000))</f>
        <v/>
      </c>
      <c r="FK4466" s="36" t="str">
        <f>IF($FH4466="","",SUM($FN4466:$FN$7000))</f>
        <v/>
      </c>
    </row>
    <row r="4467" spans="164:167">
      <c r="FH4467" s="29" t="str">
        <f t="shared" si="124"/>
        <v/>
      </c>
      <c r="FJ4467" s="36" t="str">
        <f>IF($FH4467="","",SUM($FN4467:$FN$7000))</f>
        <v/>
      </c>
      <c r="FK4467" s="36" t="str">
        <f>IF($FH4467="","",SUM($FN4467:$FN$7000))</f>
        <v/>
      </c>
    </row>
    <row r="4468" spans="164:167">
      <c r="FH4468" s="29" t="str">
        <f t="shared" si="124"/>
        <v/>
      </c>
      <c r="FJ4468" s="36" t="str">
        <f>IF($FH4468="","",SUM($FN4468:$FN$7000))</f>
        <v/>
      </c>
      <c r="FK4468" s="36" t="str">
        <f>IF($FH4468="","",SUM($FN4468:$FN$7000))</f>
        <v/>
      </c>
    </row>
    <row r="4469" spans="164:167">
      <c r="FH4469" s="29" t="str">
        <f t="shared" si="124"/>
        <v/>
      </c>
      <c r="FJ4469" s="36" t="str">
        <f>IF($FH4469="","",SUM($FN4469:$FN$7000))</f>
        <v/>
      </c>
      <c r="FK4469" s="36" t="str">
        <f>IF($FH4469="","",SUM($FN4469:$FN$7000))</f>
        <v/>
      </c>
    </row>
    <row r="4470" spans="164:167">
      <c r="FH4470" s="29" t="str">
        <f t="shared" si="124"/>
        <v/>
      </c>
      <c r="FJ4470" s="36" t="str">
        <f>IF($FH4470="","",SUM($FN4470:$FN$7000))</f>
        <v/>
      </c>
      <c r="FK4470" s="36" t="str">
        <f>IF($FH4470="","",SUM($FN4470:$FN$7000))</f>
        <v/>
      </c>
    </row>
    <row r="4471" spans="164:167">
      <c r="FH4471" s="29" t="str">
        <f t="shared" si="124"/>
        <v/>
      </c>
      <c r="FJ4471" s="36" t="str">
        <f>IF($FH4471="","",SUM($FN4471:$FN$7000))</f>
        <v/>
      </c>
      <c r="FK4471" s="36" t="str">
        <f>IF($FH4471="","",SUM($FN4471:$FN$7000))</f>
        <v/>
      </c>
    </row>
    <row r="4472" spans="164:167">
      <c r="FH4472" s="29" t="str">
        <f t="shared" si="124"/>
        <v/>
      </c>
      <c r="FJ4472" s="36" t="str">
        <f>IF($FH4472="","",SUM($FN4472:$FN$7000))</f>
        <v/>
      </c>
      <c r="FK4472" s="36" t="str">
        <f>IF($FH4472="","",SUM($FN4472:$FN$7000))</f>
        <v/>
      </c>
    </row>
    <row r="4473" spans="164:167">
      <c r="FH4473" s="29" t="str">
        <f t="shared" si="124"/>
        <v/>
      </c>
      <c r="FJ4473" s="36" t="str">
        <f>IF($FH4473="","",SUM($FN4473:$FN$7000))</f>
        <v/>
      </c>
      <c r="FK4473" s="36" t="str">
        <f>IF($FH4473="","",SUM($FN4473:$FN$7000))</f>
        <v/>
      </c>
    </row>
    <row r="4474" spans="164:167">
      <c r="FH4474" s="29" t="str">
        <f t="shared" si="124"/>
        <v/>
      </c>
      <c r="FJ4474" s="36" t="str">
        <f>IF($FH4474="","",SUM($FN4474:$FN$7000))</f>
        <v/>
      </c>
      <c r="FK4474" s="36" t="str">
        <f>IF($FH4474="","",SUM($FN4474:$FN$7000))</f>
        <v/>
      </c>
    </row>
    <row r="4475" spans="164:167">
      <c r="FH4475" s="29" t="str">
        <f t="shared" si="124"/>
        <v/>
      </c>
      <c r="FJ4475" s="36" t="str">
        <f>IF($FH4475="","",SUM($FN4475:$FN$7000))</f>
        <v/>
      </c>
      <c r="FK4475" s="36" t="str">
        <f>IF($FH4475="","",SUM($FN4475:$FN$7000))</f>
        <v/>
      </c>
    </row>
    <row r="4476" spans="164:167">
      <c r="FH4476" s="29" t="str">
        <f t="shared" si="124"/>
        <v/>
      </c>
      <c r="FJ4476" s="36" t="str">
        <f>IF($FH4476="","",SUM($FN4476:$FN$7000))</f>
        <v/>
      </c>
      <c r="FK4476" s="36" t="str">
        <f>IF($FH4476="","",SUM($FN4476:$FN$7000))</f>
        <v/>
      </c>
    </row>
    <row r="4477" spans="164:167">
      <c r="FH4477" s="29" t="str">
        <f t="shared" si="124"/>
        <v/>
      </c>
      <c r="FJ4477" s="36" t="str">
        <f>IF($FH4477="","",SUM($FN4477:$FN$7000))</f>
        <v/>
      </c>
      <c r="FK4477" s="36" t="str">
        <f>IF($FH4477="","",SUM($FN4477:$FN$7000))</f>
        <v/>
      </c>
    </row>
    <row r="4478" spans="164:167">
      <c r="FH4478" s="29" t="str">
        <f t="shared" si="124"/>
        <v/>
      </c>
      <c r="FJ4478" s="36" t="str">
        <f>IF($FH4478="","",SUM($FN4478:$FN$7000))</f>
        <v/>
      </c>
      <c r="FK4478" s="36" t="str">
        <f>IF($FH4478="","",SUM($FN4478:$FN$7000))</f>
        <v/>
      </c>
    </row>
    <row r="4479" spans="164:167">
      <c r="FH4479" s="29" t="str">
        <f t="shared" si="124"/>
        <v/>
      </c>
      <c r="FJ4479" s="36" t="str">
        <f>IF($FH4479="","",SUM($FN4479:$FN$7000))</f>
        <v/>
      </c>
      <c r="FK4479" s="36" t="str">
        <f>IF($FH4479="","",SUM($FN4479:$FN$7000))</f>
        <v/>
      </c>
    </row>
    <row r="4480" spans="164:167">
      <c r="FH4480" s="29" t="str">
        <f t="shared" si="124"/>
        <v/>
      </c>
      <c r="FJ4480" s="36" t="str">
        <f>IF($FH4480="","",SUM($FN4480:$FN$7000))</f>
        <v/>
      </c>
      <c r="FK4480" s="36" t="str">
        <f>IF($FH4480="","",SUM($FN4480:$FN$7000))</f>
        <v/>
      </c>
    </row>
    <row r="4481" spans="164:167">
      <c r="FH4481" s="29" t="str">
        <f t="shared" si="124"/>
        <v/>
      </c>
      <c r="FJ4481" s="36" t="str">
        <f>IF($FH4481="","",SUM($FN4481:$FN$7000))</f>
        <v/>
      </c>
      <c r="FK4481" s="36" t="str">
        <f>IF($FH4481="","",SUM($FN4481:$FN$7000))</f>
        <v/>
      </c>
    </row>
    <row r="4482" spans="164:167">
      <c r="FH4482" s="29" t="str">
        <f t="shared" si="124"/>
        <v/>
      </c>
      <c r="FJ4482" s="36" t="str">
        <f>IF($FH4482="","",SUM($FN4482:$FN$7000))</f>
        <v/>
      </c>
      <c r="FK4482" s="36" t="str">
        <f>IF($FH4482="","",SUM($FN4482:$FN$7000))</f>
        <v/>
      </c>
    </row>
    <row r="4483" spans="164:167">
      <c r="FH4483" s="29" t="str">
        <f t="shared" si="124"/>
        <v/>
      </c>
      <c r="FJ4483" s="36" t="str">
        <f>IF($FH4483="","",SUM($FN4483:$FN$7000))</f>
        <v/>
      </c>
      <c r="FK4483" s="36" t="str">
        <f>IF($FH4483="","",SUM($FN4483:$FN$7000))</f>
        <v/>
      </c>
    </row>
    <row r="4484" spans="164:167">
      <c r="FH4484" s="29" t="str">
        <f t="shared" si="124"/>
        <v/>
      </c>
      <c r="FJ4484" s="36" t="str">
        <f>IF($FH4484="","",SUM($FN4484:$FN$7000))</f>
        <v/>
      </c>
      <c r="FK4484" s="36" t="str">
        <f>IF($FH4484="","",SUM($FN4484:$FN$7000))</f>
        <v/>
      </c>
    </row>
    <row r="4485" spans="164:167">
      <c r="FH4485" s="29" t="str">
        <f t="shared" si="124"/>
        <v/>
      </c>
      <c r="FJ4485" s="36" t="str">
        <f>IF($FH4485="","",SUM($FN4485:$FN$7000))</f>
        <v/>
      </c>
      <c r="FK4485" s="36" t="str">
        <f>IF($FH4485="","",SUM($FN4485:$FN$7000))</f>
        <v/>
      </c>
    </row>
    <row r="4486" spans="164:167">
      <c r="FH4486" s="29" t="str">
        <f t="shared" si="124"/>
        <v/>
      </c>
      <c r="FJ4486" s="36" t="str">
        <f>IF($FH4486="","",SUM($FN4486:$FN$7000))</f>
        <v/>
      </c>
      <c r="FK4486" s="36" t="str">
        <f>IF($FH4486="","",SUM($FN4486:$FN$7000))</f>
        <v/>
      </c>
    </row>
    <row r="4487" spans="164:167">
      <c r="FH4487" s="29" t="str">
        <f t="shared" si="124"/>
        <v/>
      </c>
      <c r="FJ4487" s="36" t="str">
        <f>IF($FH4487="","",SUM($FN4487:$FN$7000))</f>
        <v/>
      </c>
      <c r="FK4487" s="36" t="str">
        <f>IF($FH4487="","",SUM($FN4487:$FN$7000))</f>
        <v/>
      </c>
    </row>
    <row r="4488" spans="164:167">
      <c r="FH4488" s="29" t="str">
        <f t="shared" si="124"/>
        <v/>
      </c>
      <c r="FJ4488" s="36" t="str">
        <f>IF($FH4488="","",SUM($FN4488:$FN$7000))</f>
        <v/>
      </c>
      <c r="FK4488" s="36" t="str">
        <f>IF($FH4488="","",SUM($FN4488:$FN$7000))</f>
        <v/>
      </c>
    </row>
    <row r="4489" spans="164:167">
      <c r="FH4489" s="29" t="str">
        <f t="shared" si="124"/>
        <v/>
      </c>
      <c r="FJ4489" s="36" t="str">
        <f>IF($FH4489="","",SUM($FN4489:$FN$7000))</f>
        <v/>
      </c>
      <c r="FK4489" s="36" t="str">
        <f>IF($FH4489="","",SUM($FN4489:$FN$7000))</f>
        <v/>
      </c>
    </row>
    <row r="4490" spans="164:167">
      <c r="FH4490" s="29" t="str">
        <f t="shared" si="124"/>
        <v/>
      </c>
      <c r="FJ4490" s="36" t="str">
        <f>IF($FH4490="","",SUM($FN4490:$FN$7000))</f>
        <v/>
      </c>
      <c r="FK4490" s="36" t="str">
        <f>IF($FH4490="","",SUM($FN4490:$FN$7000))</f>
        <v/>
      </c>
    </row>
    <row r="4491" spans="164:167">
      <c r="FH4491" s="29" t="str">
        <f t="shared" ref="FH4491:FH4554" si="125">IF(FL4491="","",FL4491)</f>
        <v/>
      </c>
      <c r="FJ4491" s="36" t="str">
        <f>IF($FH4491="","",SUM($FN4491:$FN$7000))</f>
        <v/>
      </c>
      <c r="FK4491" s="36" t="str">
        <f>IF($FH4491="","",SUM($FN4491:$FN$7000))</f>
        <v/>
      </c>
    </row>
    <row r="4492" spans="164:167">
      <c r="FH4492" s="29" t="str">
        <f t="shared" si="125"/>
        <v/>
      </c>
      <c r="FJ4492" s="36" t="str">
        <f>IF($FH4492="","",SUM($FN4492:$FN$7000))</f>
        <v/>
      </c>
      <c r="FK4492" s="36" t="str">
        <f>IF($FH4492="","",SUM($FN4492:$FN$7000))</f>
        <v/>
      </c>
    </row>
    <row r="4493" spans="164:167">
      <c r="FH4493" s="29" t="str">
        <f t="shared" si="125"/>
        <v/>
      </c>
      <c r="FJ4493" s="36" t="str">
        <f>IF($FH4493="","",SUM($FN4493:$FN$7000))</f>
        <v/>
      </c>
      <c r="FK4493" s="36" t="str">
        <f>IF($FH4493="","",SUM($FN4493:$FN$7000))</f>
        <v/>
      </c>
    </row>
    <row r="4494" spans="164:167">
      <c r="FH4494" s="29" t="str">
        <f t="shared" si="125"/>
        <v/>
      </c>
      <c r="FJ4494" s="36" t="str">
        <f>IF($FH4494="","",SUM($FN4494:$FN$7000))</f>
        <v/>
      </c>
      <c r="FK4494" s="36" t="str">
        <f>IF($FH4494="","",SUM($FN4494:$FN$7000))</f>
        <v/>
      </c>
    </row>
    <row r="4495" spans="164:167">
      <c r="FH4495" s="29" t="str">
        <f t="shared" si="125"/>
        <v/>
      </c>
      <c r="FJ4495" s="36" t="str">
        <f>IF($FH4495="","",SUM($FN4495:$FN$7000))</f>
        <v/>
      </c>
      <c r="FK4495" s="36" t="str">
        <f>IF($FH4495="","",SUM($FN4495:$FN$7000))</f>
        <v/>
      </c>
    </row>
    <row r="4496" spans="164:167">
      <c r="FH4496" s="29" t="str">
        <f t="shared" si="125"/>
        <v/>
      </c>
      <c r="FJ4496" s="36" t="str">
        <f>IF($FH4496="","",SUM($FN4496:$FN$7000))</f>
        <v/>
      </c>
      <c r="FK4496" s="36" t="str">
        <f>IF($FH4496="","",SUM($FN4496:$FN$7000))</f>
        <v/>
      </c>
    </row>
    <row r="4497" spans="164:167">
      <c r="FH4497" s="29" t="str">
        <f t="shared" si="125"/>
        <v/>
      </c>
      <c r="FJ4497" s="36" t="str">
        <f>IF($FH4497="","",SUM($FN4497:$FN$7000))</f>
        <v/>
      </c>
      <c r="FK4497" s="36" t="str">
        <f>IF($FH4497="","",SUM($FN4497:$FN$7000))</f>
        <v/>
      </c>
    </row>
    <row r="4498" spans="164:167">
      <c r="FH4498" s="29" t="str">
        <f t="shared" si="125"/>
        <v/>
      </c>
      <c r="FJ4498" s="36" t="str">
        <f>IF($FH4498="","",SUM($FN4498:$FN$7000))</f>
        <v/>
      </c>
      <c r="FK4498" s="36" t="str">
        <f>IF($FH4498="","",SUM($FN4498:$FN$7000))</f>
        <v/>
      </c>
    </row>
    <row r="4499" spans="164:167">
      <c r="FH4499" s="29" t="str">
        <f t="shared" si="125"/>
        <v/>
      </c>
      <c r="FJ4499" s="36" t="str">
        <f>IF($FH4499="","",SUM($FN4499:$FN$7000))</f>
        <v/>
      </c>
      <c r="FK4499" s="36" t="str">
        <f>IF($FH4499="","",SUM($FN4499:$FN$7000))</f>
        <v/>
      </c>
    </row>
    <row r="4500" spans="164:167">
      <c r="FH4500" s="29" t="str">
        <f t="shared" si="125"/>
        <v/>
      </c>
      <c r="FJ4500" s="36" t="str">
        <f>IF($FH4500="","",SUM($FN4500:$FN$7000))</f>
        <v/>
      </c>
      <c r="FK4500" s="36" t="str">
        <f>IF($FH4500="","",SUM($FN4500:$FN$7000))</f>
        <v/>
      </c>
    </row>
    <row r="4501" spans="164:167">
      <c r="FH4501" s="29" t="str">
        <f t="shared" si="125"/>
        <v/>
      </c>
      <c r="FJ4501" s="36" t="str">
        <f>IF($FH4501="","",SUM($FN4501:$FN$7000))</f>
        <v/>
      </c>
      <c r="FK4501" s="36" t="str">
        <f>IF($FH4501="","",SUM($FN4501:$FN$7000))</f>
        <v/>
      </c>
    </row>
    <row r="4502" spans="164:167">
      <c r="FH4502" s="29" t="str">
        <f t="shared" si="125"/>
        <v/>
      </c>
      <c r="FJ4502" s="36" t="str">
        <f>IF($FH4502="","",SUM($FN4502:$FN$7000))</f>
        <v/>
      </c>
      <c r="FK4502" s="36" t="str">
        <f>IF($FH4502="","",SUM($FN4502:$FN$7000))</f>
        <v/>
      </c>
    </row>
    <row r="4503" spans="164:167">
      <c r="FH4503" s="29" t="str">
        <f t="shared" si="125"/>
        <v/>
      </c>
      <c r="FJ4503" s="36" t="str">
        <f>IF($FH4503="","",SUM($FN4503:$FN$7000))</f>
        <v/>
      </c>
      <c r="FK4503" s="36" t="str">
        <f>IF($FH4503="","",SUM($FN4503:$FN$7000))</f>
        <v/>
      </c>
    </row>
    <row r="4504" spans="164:167">
      <c r="FH4504" s="29" t="str">
        <f t="shared" si="125"/>
        <v/>
      </c>
      <c r="FJ4504" s="36" t="str">
        <f>IF($FH4504="","",SUM($FN4504:$FN$7000))</f>
        <v/>
      </c>
      <c r="FK4504" s="36" t="str">
        <f>IF($FH4504="","",SUM($FN4504:$FN$7000))</f>
        <v/>
      </c>
    </row>
    <row r="4505" spans="164:167">
      <c r="FH4505" s="29" t="str">
        <f t="shared" si="125"/>
        <v/>
      </c>
      <c r="FJ4505" s="36" t="str">
        <f>IF($FH4505="","",SUM($FN4505:$FN$7000))</f>
        <v/>
      </c>
      <c r="FK4505" s="36" t="str">
        <f>IF($FH4505="","",SUM($FN4505:$FN$7000))</f>
        <v/>
      </c>
    </row>
    <row r="4506" spans="164:167">
      <c r="FH4506" s="29" t="str">
        <f t="shared" si="125"/>
        <v/>
      </c>
      <c r="FJ4506" s="36" t="str">
        <f>IF($FH4506="","",SUM($FN4506:$FN$7000))</f>
        <v/>
      </c>
      <c r="FK4506" s="36" t="str">
        <f>IF($FH4506="","",SUM($FN4506:$FN$7000))</f>
        <v/>
      </c>
    </row>
    <row r="4507" spans="164:167">
      <c r="FH4507" s="29" t="str">
        <f t="shared" si="125"/>
        <v/>
      </c>
      <c r="FJ4507" s="36" t="str">
        <f>IF($FH4507="","",SUM($FN4507:$FN$7000))</f>
        <v/>
      </c>
      <c r="FK4507" s="36" t="str">
        <f>IF($FH4507="","",SUM($FN4507:$FN$7000))</f>
        <v/>
      </c>
    </row>
    <row r="4508" spans="164:167">
      <c r="FH4508" s="29" t="str">
        <f t="shared" si="125"/>
        <v/>
      </c>
      <c r="FJ4508" s="36" t="str">
        <f>IF($FH4508="","",SUM($FN4508:$FN$7000))</f>
        <v/>
      </c>
      <c r="FK4508" s="36" t="str">
        <f>IF($FH4508="","",SUM($FN4508:$FN$7000))</f>
        <v/>
      </c>
    </row>
    <row r="4509" spans="164:167">
      <c r="FH4509" s="29" t="str">
        <f t="shared" si="125"/>
        <v/>
      </c>
      <c r="FJ4509" s="36" t="str">
        <f>IF($FH4509="","",SUM($FN4509:$FN$7000))</f>
        <v/>
      </c>
      <c r="FK4509" s="36" t="str">
        <f>IF($FH4509="","",SUM($FN4509:$FN$7000))</f>
        <v/>
      </c>
    </row>
    <row r="4510" spans="164:167">
      <c r="FH4510" s="29" t="str">
        <f t="shared" si="125"/>
        <v/>
      </c>
      <c r="FJ4510" s="36" t="str">
        <f>IF($FH4510="","",SUM($FN4510:$FN$7000))</f>
        <v/>
      </c>
      <c r="FK4510" s="36" t="str">
        <f>IF($FH4510="","",SUM($FN4510:$FN$7000))</f>
        <v/>
      </c>
    </row>
    <row r="4511" spans="164:167">
      <c r="FH4511" s="29" t="str">
        <f t="shared" si="125"/>
        <v/>
      </c>
      <c r="FJ4511" s="36" t="str">
        <f>IF($FH4511="","",SUM($FN4511:$FN$7000))</f>
        <v/>
      </c>
      <c r="FK4511" s="36" t="str">
        <f>IF($FH4511="","",SUM($FN4511:$FN$7000))</f>
        <v/>
      </c>
    </row>
    <row r="4512" spans="164:167">
      <c r="FH4512" s="29" t="str">
        <f t="shared" si="125"/>
        <v/>
      </c>
      <c r="FJ4512" s="36" t="str">
        <f>IF($FH4512="","",SUM($FN4512:$FN$7000))</f>
        <v/>
      </c>
      <c r="FK4512" s="36" t="str">
        <f>IF($FH4512="","",SUM($FN4512:$FN$7000))</f>
        <v/>
      </c>
    </row>
    <row r="4513" spans="164:167">
      <c r="FH4513" s="29" t="str">
        <f t="shared" si="125"/>
        <v/>
      </c>
      <c r="FJ4513" s="36" t="str">
        <f>IF($FH4513="","",SUM($FN4513:$FN$7000))</f>
        <v/>
      </c>
      <c r="FK4513" s="36" t="str">
        <f>IF($FH4513="","",SUM($FN4513:$FN$7000))</f>
        <v/>
      </c>
    </row>
    <row r="4514" spans="164:167">
      <c r="FH4514" s="29" t="str">
        <f t="shared" si="125"/>
        <v/>
      </c>
      <c r="FJ4514" s="36" t="str">
        <f>IF($FH4514="","",SUM($FN4514:$FN$7000))</f>
        <v/>
      </c>
      <c r="FK4514" s="36" t="str">
        <f>IF($FH4514="","",SUM($FN4514:$FN$7000))</f>
        <v/>
      </c>
    </row>
    <row r="4515" spans="164:167">
      <c r="FH4515" s="29" t="str">
        <f t="shared" si="125"/>
        <v/>
      </c>
      <c r="FJ4515" s="36" t="str">
        <f>IF($FH4515="","",SUM($FN4515:$FN$7000))</f>
        <v/>
      </c>
      <c r="FK4515" s="36" t="str">
        <f>IF($FH4515="","",SUM($FN4515:$FN$7000))</f>
        <v/>
      </c>
    </row>
    <row r="4516" spans="164:167">
      <c r="FH4516" s="29" t="str">
        <f t="shared" si="125"/>
        <v/>
      </c>
      <c r="FJ4516" s="36" t="str">
        <f>IF($FH4516="","",SUM($FN4516:$FN$7000))</f>
        <v/>
      </c>
      <c r="FK4516" s="36" t="str">
        <f>IF($FH4516="","",SUM($FN4516:$FN$7000))</f>
        <v/>
      </c>
    </row>
    <row r="4517" spans="164:167">
      <c r="FH4517" s="29" t="str">
        <f t="shared" si="125"/>
        <v/>
      </c>
      <c r="FJ4517" s="36" t="str">
        <f>IF($FH4517="","",SUM($FN4517:$FN$7000))</f>
        <v/>
      </c>
      <c r="FK4517" s="36" t="str">
        <f>IF($FH4517="","",SUM($FN4517:$FN$7000))</f>
        <v/>
      </c>
    </row>
    <row r="4518" spans="164:167">
      <c r="FH4518" s="29" t="str">
        <f t="shared" si="125"/>
        <v/>
      </c>
      <c r="FJ4518" s="36" t="str">
        <f>IF($FH4518="","",SUM($FN4518:$FN$7000))</f>
        <v/>
      </c>
      <c r="FK4518" s="36" t="str">
        <f>IF($FH4518="","",SUM($FN4518:$FN$7000))</f>
        <v/>
      </c>
    </row>
    <row r="4519" spans="164:167">
      <c r="FH4519" s="29" t="str">
        <f t="shared" si="125"/>
        <v/>
      </c>
      <c r="FJ4519" s="36" t="str">
        <f>IF($FH4519="","",SUM($FN4519:$FN$7000))</f>
        <v/>
      </c>
      <c r="FK4519" s="36" t="str">
        <f>IF($FH4519="","",SUM($FN4519:$FN$7000))</f>
        <v/>
      </c>
    </row>
    <row r="4520" spans="164:167">
      <c r="FH4520" s="29" t="str">
        <f t="shared" si="125"/>
        <v/>
      </c>
      <c r="FJ4520" s="36" t="str">
        <f>IF($FH4520="","",SUM($FN4520:$FN$7000))</f>
        <v/>
      </c>
      <c r="FK4520" s="36" t="str">
        <f>IF($FH4520="","",SUM($FN4520:$FN$7000))</f>
        <v/>
      </c>
    </row>
    <row r="4521" spans="164:167">
      <c r="FH4521" s="29" t="str">
        <f t="shared" si="125"/>
        <v/>
      </c>
      <c r="FJ4521" s="36" t="str">
        <f>IF($FH4521="","",SUM($FN4521:$FN$7000))</f>
        <v/>
      </c>
      <c r="FK4521" s="36" t="str">
        <f>IF($FH4521="","",SUM($FN4521:$FN$7000))</f>
        <v/>
      </c>
    </row>
    <row r="4522" spans="164:167">
      <c r="FH4522" s="29" t="str">
        <f t="shared" si="125"/>
        <v/>
      </c>
      <c r="FJ4522" s="36" t="str">
        <f>IF($FH4522="","",SUM($FN4522:$FN$7000))</f>
        <v/>
      </c>
      <c r="FK4522" s="36" t="str">
        <f>IF($FH4522="","",SUM($FN4522:$FN$7000))</f>
        <v/>
      </c>
    </row>
    <row r="4523" spans="164:167">
      <c r="FH4523" s="29" t="str">
        <f t="shared" si="125"/>
        <v/>
      </c>
      <c r="FJ4523" s="36" t="str">
        <f>IF($FH4523="","",SUM($FN4523:$FN$7000))</f>
        <v/>
      </c>
      <c r="FK4523" s="36" t="str">
        <f>IF($FH4523="","",SUM($FN4523:$FN$7000))</f>
        <v/>
      </c>
    </row>
    <row r="4524" spans="164:167">
      <c r="FH4524" s="29" t="str">
        <f t="shared" si="125"/>
        <v/>
      </c>
      <c r="FJ4524" s="36" t="str">
        <f>IF($FH4524="","",SUM($FN4524:$FN$7000))</f>
        <v/>
      </c>
      <c r="FK4524" s="36" t="str">
        <f>IF($FH4524="","",SUM($FN4524:$FN$7000))</f>
        <v/>
      </c>
    </row>
    <row r="4525" spans="164:167">
      <c r="FH4525" s="29" t="str">
        <f t="shared" si="125"/>
        <v/>
      </c>
      <c r="FJ4525" s="36" t="str">
        <f>IF($FH4525="","",SUM($FN4525:$FN$7000))</f>
        <v/>
      </c>
      <c r="FK4525" s="36" t="str">
        <f>IF($FH4525="","",SUM($FN4525:$FN$7000))</f>
        <v/>
      </c>
    </row>
    <row r="4526" spans="164:167">
      <c r="FH4526" s="29" t="str">
        <f t="shared" si="125"/>
        <v/>
      </c>
      <c r="FJ4526" s="36" t="str">
        <f>IF($FH4526="","",SUM($FN4526:$FN$7000))</f>
        <v/>
      </c>
      <c r="FK4526" s="36" t="str">
        <f>IF($FH4526="","",SUM($FN4526:$FN$7000))</f>
        <v/>
      </c>
    </row>
    <row r="4527" spans="164:167">
      <c r="FH4527" s="29" t="str">
        <f t="shared" si="125"/>
        <v/>
      </c>
      <c r="FJ4527" s="36" t="str">
        <f>IF($FH4527="","",SUM($FN4527:$FN$7000))</f>
        <v/>
      </c>
      <c r="FK4527" s="36" t="str">
        <f>IF($FH4527="","",SUM($FN4527:$FN$7000))</f>
        <v/>
      </c>
    </row>
    <row r="4528" spans="164:167">
      <c r="FH4528" s="29" t="str">
        <f t="shared" si="125"/>
        <v/>
      </c>
      <c r="FJ4528" s="36" t="str">
        <f>IF($FH4528="","",SUM($FN4528:$FN$7000))</f>
        <v/>
      </c>
      <c r="FK4528" s="36" t="str">
        <f>IF($FH4528="","",SUM($FN4528:$FN$7000))</f>
        <v/>
      </c>
    </row>
    <row r="4529" spans="164:167">
      <c r="FH4529" s="29" t="str">
        <f t="shared" si="125"/>
        <v/>
      </c>
      <c r="FJ4529" s="36" t="str">
        <f>IF($FH4529="","",SUM($FN4529:$FN$7000))</f>
        <v/>
      </c>
      <c r="FK4529" s="36" t="str">
        <f>IF($FH4529="","",SUM($FN4529:$FN$7000))</f>
        <v/>
      </c>
    </row>
    <row r="4530" spans="164:167">
      <c r="FH4530" s="29" t="str">
        <f t="shared" si="125"/>
        <v/>
      </c>
      <c r="FJ4530" s="36" t="str">
        <f>IF($FH4530="","",SUM($FN4530:$FN$7000))</f>
        <v/>
      </c>
      <c r="FK4530" s="36" t="str">
        <f>IF($FH4530="","",SUM($FN4530:$FN$7000))</f>
        <v/>
      </c>
    </row>
    <row r="4531" spans="164:167">
      <c r="FH4531" s="29" t="str">
        <f t="shared" si="125"/>
        <v/>
      </c>
      <c r="FJ4531" s="36" t="str">
        <f>IF($FH4531="","",SUM($FN4531:$FN$7000))</f>
        <v/>
      </c>
      <c r="FK4531" s="36" t="str">
        <f>IF($FH4531="","",SUM($FN4531:$FN$7000))</f>
        <v/>
      </c>
    </row>
    <row r="4532" spans="164:167">
      <c r="FH4532" s="29" t="str">
        <f t="shared" si="125"/>
        <v/>
      </c>
      <c r="FJ4532" s="36" t="str">
        <f>IF($FH4532="","",SUM($FN4532:$FN$7000))</f>
        <v/>
      </c>
      <c r="FK4532" s="36" t="str">
        <f>IF($FH4532="","",SUM($FN4532:$FN$7000))</f>
        <v/>
      </c>
    </row>
    <row r="4533" spans="164:167">
      <c r="FH4533" s="29" t="str">
        <f t="shared" si="125"/>
        <v/>
      </c>
      <c r="FJ4533" s="36" t="str">
        <f>IF($FH4533="","",SUM($FN4533:$FN$7000))</f>
        <v/>
      </c>
      <c r="FK4533" s="36" t="str">
        <f>IF($FH4533="","",SUM($FN4533:$FN$7000))</f>
        <v/>
      </c>
    </row>
    <row r="4534" spans="164:167">
      <c r="FH4534" s="29" t="str">
        <f t="shared" si="125"/>
        <v/>
      </c>
      <c r="FJ4534" s="36" t="str">
        <f>IF($FH4534="","",SUM($FN4534:$FN$7000))</f>
        <v/>
      </c>
      <c r="FK4534" s="36" t="str">
        <f>IF($FH4534="","",SUM($FN4534:$FN$7000))</f>
        <v/>
      </c>
    </row>
    <row r="4535" spans="164:167">
      <c r="FH4535" s="29" t="str">
        <f t="shared" si="125"/>
        <v/>
      </c>
      <c r="FJ4535" s="36" t="str">
        <f>IF($FH4535="","",SUM($FN4535:$FN$7000))</f>
        <v/>
      </c>
      <c r="FK4535" s="36" t="str">
        <f>IF($FH4535="","",SUM($FN4535:$FN$7000))</f>
        <v/>
      </c>
    </row>
    <row r="4536" spans="164:167">
      <c r="FH4536" s="29" t="str">
        <f t="shared" si="125"/>
        <v/>
      </c>
      <c r="FJ4536" s="36" t="str">
        <f>IF($FH4536="","",SUM($FN4536:$FN$7000))</f>
        <v/>
      </c>
      <c r="FK4536" s="36" t="str">
        <f>IF($FH4536="","",SUM($FN4536:$FN$7000))</f>
        <v/>
      </c>
    </row>
    <row r="4537" spans="164:167">
      <c r="FH4537" s="29" t="str">
        <f t="shared" si="125"/>
        <v/>
      </c>
      <c r="FJ4537" s="36" t="str">
        <f>IF($FH4537="","",SUM($FN4537:$FN$7000))</f>
        <v/>
      </c>
      <c r="FK4537" s="36" t="str">
        <f>IF($FH4537="","",SUM($FN4537:$FN$7000))</f>
        <v/>
      </c>
    </row>
    <row r="4538" spans="164:167">
      <c r="FH4538" s="29" t="str">
        <f t="shared" si="125"/>
        <v/>
      </c>
      <c r="FJ4538" s="36" t="str">
        <f>IF($FH4538="","",SUM($FN4538:$FN$7000))</f>
        <v/>
      </c>
      <c r="FK4538" s="36" t="str">
        <f>IF($FH4538="","",SUM($FN4538:$FN$7000))</f>
        <v/>
      </c>
    </row>
    <row r="4539" spans="164:167">
      <c r="FH4539" s="29" t="str">
        <f t="shared" si="125"/>
        <v/>
      </c>
      <c r="FJ4539" s="36" t="str">
        <f>IF($FH4539="","",SUM($FN4539:$FN$7000))</f>
        <v/>
      </c>
      <c r="FK4539" s="36" t="str">
        <f>IF($FH4539="","",SUM($FN4539:$FN$7000))</f>
        <v/>
      </c>
    </row>
    <row r="4540" spans="164:167">
      <c r="FH4540" s="29" t="str">
        <f t="shared" si="125"/>
        <v/>
      </c>
      <c r="FJ4540" s="36" t="str">
        <f>IF($FH4540="","",SUM($FN4540:$FN$7000))</f>
        <v/>
      </c>
      <c r="FK4540" s="36" t="str">
        <f>IF($FH4540="","",SUM($FN4540:$FN$7000))</f>
        <v/>
      </c>
    </row>
    <row r="4541" spans="164:167">
      <c r="FH4541" s="29" t="str">
        <f t="shared" si="125"/>
        <v/>
      </c>
      <c r="FJ4541" s="36" t="str">
        <f>IF($FH4541="","",SUM($FN4541:$FN$7000))</f>
        <v/>
      </c>
      <c r="FK4541" s="36" t="str">
        <f>IF($FH4541="","",SUM($FN4541:$FN$7000))</f>
        <v/>
      </c>
    </row>
    <row r="4542" spans="164:167">
      <c r="FH4542" s="29" t="str">
        <f t="shared" si="125"/>
        <v/>
      </c>
      <c r="FJ4542" s="36" t="str">
        <f>IF($FH4542="","",SUM($FN4542:$FN$7000))</f>
        <v/>
      </c>
      <c r="FK4542" s="36" t="str">
        <f>IF($FH4542="","",SUM($FN4542:$FN$7000))</f>
        <v/>
      </c>
    </row>
    <row r="4543" spans="164:167">
      <c r="FH4543" s="29" t="str">
        <f t="shared" si="125"/>
        <v/>
      </c>
      <c r="FJ4543" s="36" t="str">
        <f>IF($FH4543="","",SUM($FN4543:$FN$7000))</f>
        <v/>
      </c>
      <c r="FK4543" s="36" t="str">
        <f>IF($FH4543="","",SUM($FN4543:$FN$7000))</f>
        <v/>
      </c>
    </row>
    <row r="4544" spans="164:167">
      <c r="FH4544" s="29" t="str">
        <f t="shared" si="125"/>
        <v/>
      </c>
      <c r="FJ4544" s="36" t="str">
        <f>IF($FH4544="","",SUM($FN4544:$FN$7000))</f>
        <v/>
      </c>
      <c r="FK4544" s="36" t="str">
        <f>IF($FH4544="","",SUM($FN4544:$FN$7000))</f>
        <v/>
      </c>
    </row>
    <row r="4545" spans="164:167">
      <c r="FH4545" s="29" t="str">
        <f t="shared" si="125"/>
        <v/>
      </c>
      <c r="FJ4545" s="36" t="str">
        <f>IF($FH4545="","",SUM($FN4545:$FN$7000))</f>
        <v/>
      </c>
      <c r="FK4545" s="36" t="str">
        <f>IF($FH4545="","",SUM($FN4545:$FN$7000))</f>
        <v/>
      </c>
    </row>
    <row r="4546" spans="164:167">
      <c r="FH4546" s="29" t="str">
        <f t="shared" si="125"/>
        <v/>
      </c>
      <c r="FJ4546" s="36" t="str">
        <f>IF($FH4546="","",SUM($FN4546:$FN$7000))</f>
        <v/>
      </c>
      <c r="FK4546" s="36" t="str">
        <f>IF($FH4546="","",SUM($FN4546:$FN$7000))</f>
        <v/>
      </c>
    </row>
    <row r="4547" spans="164:167">
      <c r="FH4547" s="29" t="str">
        <f t="shared" si="125"/>
        <v/>
      </c>
      <c r="FJ4547" s="36" t="str">
        <f>IF($FH4547="","",SUM($FN4547:$FN$7000))</f>
        <v/>
      </c>
      <c r="FK4547" s="36" t="str">
        <f>IF($FH4547="","",SUM($FN4547:$FN$7000))</f>
        <v/>
      </c>
    </row>
    <row r="4548" spans="164:167">
      <c r="FH4548" s="29" t="str">
        <f t="shared" si="125"/>
        <v/>
      </c>
      <c r="FJ4548" s="36" t="str">
        <f>IF($FH4548="","",SUM($FN4548:$FN$7000))</f>
        <v/>
      </c>
      <c r="FK4548" s="36" t="str">
        <f>IF($FH4548="","",SUM($FN4548:$FN$7000))</f>
        <v/>
      </c>
    </row>
    <row r="4549" spans="164:167">
      <c r="FH4549" s="29" t="str">
        <f t="shared" si="125"/>
        <v/>
      </c>
      <c r="FJ4549" s="36" t="str">
        <f>IF($FH4549="","",SUM($FN4549:$FN$7000))</f>
        <v/>
      </c>
      <c r="FK4549" s="36" t="str">
        <f>IF($FH4549="","",SUM($FN4549:$FN$7000))</f>
        <v/>
      </c>
    </row>
    <row r="4550" spans="164:167">
      <c r="FH4550" s="29" t="str">
        <f t="shared" si="125"/>
        <v/>
      </c>
      <c r="FJ4550" s="36" t="str">
        <f>IF($FH4550="","",SUM($FN4550:$FN$7000))</f>
        <v/>
      </c>
      <c r="FK4550" s="36" t="str">
        <f>IF($FH4550="","",SUM($FN4550:$FN$7000))</f>
        <v/>
      </c>
    </row>
    <row r="4551" spans="164:167">
      <c r="FH4551" s="29" t="str">
        <f t="shared" si="125"/>
        <v/>
      </c>
      <c r="FJ4551" s="36" t="str">
        <f>IF($FH4551="","",SUM($FN4551:$FN$7000))</f>
        <v/>
      </c>
      <c r="FK4551" s="36" t="str">
        <f>IF($FH4551="","",SUM($FN4551:$FN$7000))</f>
        <v/>
      </c>
    </row>
    <row r="4552" spans="164:167">
      <c r="FH4552" s="29" t="str">
        <f t="shared" si="125"/>
        <v/>
      </c>
      <c r="FJ4552" s="36" t="str">
        <f>IF($FH4552="","",SUM($FN4552:$FN$7000))</f>
        <v/>
      </c>
      <c r="FK4552" s="36" t="str">
        <f>IF($FH4552="","",SUM($FN4552:$FN$7000))</f>
        <v/>
      </c>
    </row>
    <row r="4553" spans="164:167">
      <c r="FH4553" s="29" t="str">
        <f t="shared" si="125"/>
        <v/>
      </c>
      <c r="FJ4553" s="36" t="str">
        <f>IF($FH4553="","",SUM($FN4553:$FN$7000))</f>
        <v/>
      </c>
      <c r="FK4553" s="36" t="str">
        <f>IF($FH4553="","",SUM($FN4553:$FN$7000))</f>
        <v/>
      </c>
    </row>
    <row r="4554" spans="164:167">
      <c r="FH4554" s="29" t="str">
        <f t="shared" si="125"/>
        <v/>
      </c>
      <c r="FJ4554" s="36" t="str">
        <f>IF($FH4554="","",SUM($FN4554:$FN$7000))</f>
        <v/>
      </c>
      <c r="FK4554" s="36" t="str">
        <f>IF($FH4554="","",SUM($FN4554:$FN$7000))</f>
        <v/>
      </c>
    </row>
    <row r="4555" spans="164:167">
      <c r="FH4555" s="29" t="str">
        <f t="shared" ref="FH4555:FH4618" si="126">IF(FL4555="","",FL4555)</f>
        <v/>
      </c>
      <c r="FJ4555" s="36" t="str">
        <f>IF($FH4555="","",SUM($FN4555:$FN$7000))</f>
        <v/>
      </c>
      <c r="FK4555" s="36" t="str">
        <f>IF($FH4555="","",SUM($FN4555:$FN$7000))</f>
        <v/>
      </c>
    </row>
    <row r="4556" spans="164:167">
      <c r="FH4556" s="29" t="str">
        <f t="shared" si="126"/>
        <v/>
      </c>
      <c r="FJ4556" s="36" t="str">
        <f>IF($FH4556="","",SUM($FN4556:$FN$7000))</f>
        <v/>
      </c>
      <c r="FK4556" s="36" t="str">
        <f>IF($FH4556="","",SUM($FN4556:$FN$7000))</f>
        <v/>
      </c>
    </row>
    <row r="4557" spans="164:167">
      <c r="FH4557" s="29" t="str">
        <f t="shared" si="126"/>
        <v/>
      </c>
      <c r="FJ4557" s="36" t="str">
        <f>IF($FH4557="","",SUM($FN4557:$FN$7000))</f>
        <v/>
      </c>
      <c r="FK4557" s="36" t="str">
        <f>IF($FH4557="","",SUM($FN4557:$FN$7000))</f>
        <v/>
      </c>
    </row>
    <row r="4558" spans="164:167">
      <c r="FH4558" s="29" t="str">
        <f t="shared" si="126"/>
        <v/>
      </c>
      <c r="FJ4558" s="36" t="str">
        <f>IF($FH4558="","",SUM($FN4558:$FN$7000))</f>
        <v/>
      </c>
      <c r="FK4558" s="36" t="str">
        <f>IF($FH4558="","",SUM($FN4558:$FN$7000))</f>
        <v/>
      </c>
    </row>
    <row r="4559" spans="164:167">
      <c r="FH4559" s="29" t="str">
        <f t="shared" si="126"/>
        <v/>
      </c>
      <c r="FJ4559" s="36" t="str">
        <f>IF($FH4559="","",SUM($FN4559:$FN$7000))</f>
        <v/>
      </c>
      <c r="FK4559" s="36" t="str">
        <f>IF($FH4559="","",SUM($FN4559:$FN$7000))</f>
        <v/>
      </c>
    </row>
    <row r="4560" spans="164:167">
      <c r="FH4560" s="29" t="str">
        <f t="shared" si="126"/>
        <v/>
      </c>
      <c r="FJ4560" s="36" t="str">
        <f>IF($FH4560="","",SUM($FN4560:$FN$7000))</f>
        <v/>
      </c>
      <c r="FK4560" s="36" t="str">
        <f>IF($FH4560="","",SUM($FN4560:$FN$7000))</f>
        <v/>
      </c>
    </row>
    <row r="4561" spans="164:167">
      <c r="FH4561" s="29" t="str">
        <f t="shared" si="126"/>
        <v/>
      </c>
      <c r="FJ4561" s="36" t="str">
        <f>IF($FH4561="","",SUM($FN4561:$FN$7000))</f>
        <v/>
      </c>
      <c r="FK4561" s="36" t="str">
        <f>IF($FH4561="","",SUM($FN4561:$FN$7000))</f>
        <v/>
      </c>
    </row>
    <row r="4562" spans="164:167">
      <c r="FH4562" s="29" t="str">
        <f t="shared" si="126"/>
        <v/>
      </c>
      <c r="FJ4562" s="36" t="str">
        <f>IF($FH4562="","",SUM($FN4562:$FN$7000))</f>
        <v/>
      </c>
      <c r="FK4562" s="36" t="str">
        <f>IF($FH4562="","",SUM($FN4562:$FN$7000))</f>
        <v/>
      </c>
    </row>
    <row r="4563" spans="164:167">
      <c r="FH4563" s="29" t="str">
        <f t="shared" si="126"/>
        <v/>
      </c>
      <c r="FJ4563" s="36" t="str">
        <f>IF($FH4563="","",SUM($FN4563:$FN$7000))</f>
        <v/>
      </c>
      <c r="FK4563" s="36" t="str">
        <f>IF($FH4563="","",SUM($FN4563:$FN$7000))</f>
        <v/>
      </c>
    </row>
    <row r="4564" spans="164:167">
      <c r="FH4564" s="29" t="str">
        <f t="shared" si="126"/>
        <v/>
      </c>
      <c r="FJ4564" s="36" t="str">
        <f>IF($FH4564="","",SUM($FN4564:$FN$7000))</f>
        <v/>
      </c>
      <c r="FK4564" s="36" t="str">
        <f>IF($FH4564="","",SUM($FN4564:$FN$7000))</f>
        <v/>
      </c>
    </row>
    <row r="4565" spans="164:167">
      <c r="FH4565" s="29" t="str">
        <f t="shared" si="126"/>
        <v/>
      </c>
      <c r="FJ4565" s="36" t="str">
        <f>IF($FH4565="","",SUM($FN4565:$FN$7000))</f>
        <v/>
      </c>
      <c r="FK4565" s="36" t="str">
        <f>IF($FH4565="","",SUM($FN4565:$FN$7000))</f>
        <v/>
      </c>
    </row>
    <row r="4566" spans="164:167">
      <c r="FH4566" s="29" t="str">
        <f t="shared" si="126"/>
        <v/>
      </c>
      <c r="FJ4566" s="36" t="str">
        <f>IF($FH4566="","",SUM($FN4566:$FN$7000))</f>
        <v/>
      </c>
      <c r="FK4566" s="36" t="str">
        <f>IF($FH4566="","",SUM($FN4566:$FN$7000))</f>
        <v/>
      </c>
    </row>
    <row r="4567" spans="164:167">
      <c r="FH4567" s="29" t="str">
        <f t="shared" si="126"/>
        <v/>
      </c>
      <c r="FJ4567" s="36" t="str">
        <f>IF($FH4567="","",SUM($FN4567:$FN$7000))</f>
        <v/>
      </c>
      <c r="FK4567" s="36" t="str">
        <f>IF($FH4567="","",SUM($FN4567:$FN$7000))</f>
        <v/>
      </c>
    </row>
    <row r="4568" spans="164:167">
      <c r="FH4568" s="29" t="str">
        <f t="shared" si="126"/>
        <v/>
      </c>
      <c r="FJ4568" s="36" t="str">
        <f>IF($FH4568="","",SUM($FN4568:$FN$7000))</f>
        <v/>
      </c>
      <c r="FK4568" s="36" t="str">
        <f>IF($FH4568="","",SUM($FN4568:$FN$7000))</f>
        <v/>
      </c>
    </row>
    <row r="4569" spans="164:167">
      <c r="FH4569" s="29" t="str">
        <f t="shared" si="126"/>
        <v/>
      </c>
      <c r="FJ4569" s="36" t="str">
        <f>IF($FH4569="","",SUM($FN4569:$FN$7000))</f>
        <v/>
      </c>
      <c r="FK4569" s="36" t="str">
        <f>IF($FH4569="","",SUM($FN4569:$FN$7000))</f>
        <v/>
      </c>
    </row>
    <row r="4570" spans="164:167">
      <c r="FH4570" s="29" t="str">
        <f t="shared" si="126"/>
        <v/>
      </c>
      <c r="FJ4570" s="36" t="str">
        <f>IF($FH4570="","",SUM($FN4570:$FN$7000))</f>
        <v/>
      </c>
      <c r="FK4570" s="36" t="str">
        <f>IF($FH4570="","",SUM($FN4570:$FN$7000))</f>
        <v/>
      </c>
    </row>
    <row r="4571" spans="164:167">
      <c r="FH4571" s="29" t="str">
        <f t="shared" si="126"/>
        <v/>
      </c>
      <c r="FJ4571" s="36" t="str">
        <f>IF($FH4571="","",SUM($FN4571:$FN$7000))</f>
        <v/>
      </c>
      <c r="FK4571" s="36" t="str">
        <f>IF($FH4571="","",SUM($FN4571:$FN$7000))</f>
        <v/>
      </c>
    </row>
    <row r="4572" spans="164:167">
      <c r="FH4572" s="29" t="str">
        <f t="shared" si="126"/>
        <v/>
      </c>
      <c r="FJ4572" s="36" t="str">
        <f>IF($FH4572="","",SUM($FN4572:$FN$7000))</f>
        <v/>
      </c>
      <c r="FK4572" s="36" t="str">
        <f>IF($FH4572="","",SUM($FN4572:$FN$7000))</f>
        <v/>
      </c>
    </row>
    <row r="4573" spans="164:167">
      <c r="FH4573" s="29" t="str">
        <f t="shared" si="126"/>
        <v/>
      </c>
      <c r="FJ4573" s="36" t="str">
        <f>IF($FH4573="","",SUM($FN4573:$FN$7000))</f>
        <v/>
      </c>
      <c r="FK4573" s="36" t="str">
        <f>IF($FH4573="","",SUM($FN4573:$FN$7000))</f>
        <v/>
      </c>
    </row>
    <row r="4574" spans="164:167">
      <c r="FH4574" s="29" t="str">
        <f t="shared" si="126"/>
        <v/>
      </c>
      <c r="FJ4574" s="36" t="str">
        <f>IF($FH4574="","",SUM($FN4574:$FN$7000))</f>
        <v/>
      </c>
      <c r="FK4574" s="36" t="str">
        <f>IF($FH4574="","",SUM($FN4574:$FN$7000))</f>
        <v/>
      </c>
    </row>
    <row r="4575" spans="164:167">
      <c r="FH4575" s="29" t="str">
        <f t="shared" si="126"/>
        <v/>
      </c>
      <c r="FJ4575" s="36" t="str">
        <f>IF($FH4575="","",SUM($FN4575:$FN$7000))</f>
        <v/>
      </c>
      <c r="FK4575" s="36" t="str">
        <f>IF($FH4575="","",SUM($FN4575:$FN$7000))</f>
        <v/>
      </c>
    </row>
    <row r="4576" spans="164:167">
      <c r="FH4576" s="29" t="str">
        <f t="shared" si="126"/>
        <v/>
      </c>
      <c r="FJ4576" s="36" t="str">
        <f>IF($FH4576="","",SUM($FN4576:$FN$7000))</f>
        <v/>
      </c>
      <c r="FK4576" s="36" t="str">
        <f>IF($FH4576="","",SUM($FN4576:$FN$7000))</f>
        <v/>
      </c>
    </row>
    <row r="4577" spans="164:167">
      <c r="FH4577" s="29" t="str">
        <f t="shared" si="126"/>
        <v/>
      </c>
      <c r="FJ4577" s="36" t="str">
        <f>IF($FH4577="","",SUM($FN4577:$FN$7000))</f>
        <v/>
      </c>
      <c r="FK4577" s="36" t="str">
        <f>IF($FH4577="","",SUM($FN4577:$FN$7000))</f>
        <v/>
      </c>
    </row>
    <row r="4578" spans="164:167">
      <c r="FH4578" s="29" t="str">
        <f t="shared" si="126"/>
        <v/>
      </c>
      <c r="FJ4578" s="36" t="str">
        <f>IF($FH4578="","",SUM($FN4578:$FN$7000))</f>
        <v/>
      </c>
      <c r="FK4578" s="36" t="str">
        <f>IF($FH4578="","",SUM($FN4578:$FN$7000))</f>
        <v/>
      </c>
    </row>
    <row r="4579" spans="164:167">
      <c r="FH4579" s="29" t="str">
        <f t="shared" si="126"/>
        <v/>
      </c>
      <c r="FJ4579" s="36" t="str">
        <f>IF($FH4579="","",SUM($FN4579:$FN$7000))</f>
        <v/>
      </c>
      <c r="FK4579" s="36" t="str">
        <f>IF($FH4579="","",SUM($FN4579:$FN$7000))</f>
        <v/>
      </c>
    </row>
    <row r="4580" spans="164:167">
      <c r="FH4580" s="29" t="str">
        <f t="shared" si="126"/>
        <v/>
      </c>
      <c r="FJ4580" s="36" t="str">
        <f>IF($FH4580="","",SUM($FN4580:$FN$7000))</f>
        <v/>
      </c>
      <c r="FK4580" s="36" t="str">
        <f>IF($FH4580="","",SUM($FN4580:$FN$7000))</f>
        <v/>
      </c>
    </row>
    <row r="4581" spans="164:167">
      <c r="FH4581" s="29" t="str">
        <f t="shared" si="126"/>
        <v/>
      </c>
      <c r="FJ4581" s="36" t="str">
        <f>IF($FH4581="","",SUM($FN4581:$FN$7000))</f>
        <v/>
      </c>
      <c r="FK4581" s="36" t="str">
        <f>IF($FH4581="","",SUM($FN4581:$FN$7000))</f>
        <v/>
      </c>
    </row>
    <row r="4582" spans="164:167">
      <c r="FH4582" s="29" t="str">
        <f t="shared" si="126"/>
        <v/>
      </c>
      <c r="FJ4582" s="36" t="str">
        <f>IF($FH4582="","",SUM($FN4582:$FN$7000))</f>
        <v/>
      </c>
      <c r="FK4582" s="36" t="str">
        <f>IF($FH4582="","",SUM($FN4582:$FN$7000))</f>
        <v/>
      </c>
    </row>
    <row r="4583" spans="164:167">
      <c r="FH4583" s="29" t="str">
        <f t="shared" si="126"/>
        <v/>
      </c>
      <c r="FJ4583" s="36" t="str">
        <f>IF($FH4583="","",SUM($FN4583:$FN$7000))</f>
        <v/>
      </c>
      <c r="FK4583" s="36" t="str">
        <f>IF($FH4583="","",SUM($FN4583:$FN$7000))</f>
        <v/>
      </c>
    </row>
    <row r="4584" spans="164:167">
      <c r="FH4584" s="29" t="str">
        <f t="shared" si="126"/>
        <v/>
      </c>
      <c r="FJ4584" s="36" t="str">
        <f>IF($FH4584="","",SUM($FN4584:$FN$7000))</f>
        <v/>
      </c>
      <c r="FK4584" s="36" t="str">
        <f>IF($FH4584="","",SUM($FN4584:$FN$7000))</f>
        <v/>
      </c>
    </row>
    <row r="4585" spans="164:167">
      <c r="FH4585" s="29" t="str">
        <f t="shared" si="126"/>
        <v/>
      </c>
      <c r="FJ4585" s="36" t="str">
        <f>IF($FH4585="","",SUM($FN4585:$FN$7000))</f>
        <v/>
      </c>
      <c r="FK4585" s="36" t="str">
        <f>IF($FH4585="","",SUM($FN4585:$FN$7000))</f>
        <v/>
      </c>
    </row>
    <row r="4586" spans="164:167">
      <c r="FH4586" s="29" t="str">
        <f t="shared" si="126"/>
        <v/>
      </c>
      <c r="FJ4586" s="36" t="str">
        <f>IF($FH4586="","",SUM($FN4586:$FN$7000))</f>
        <v/>
      </c>
      <c r="FK4586" s="36" t="str">
        <f>IF($FH4586="","",SUM($FN4586:$FN$7000))</f>
        <v/>
      </c>
    </row>
    <row r="4587" spans="164:167">
      <c r="FH4587" s="29" t="str">
        <f t="shared" si="126"/>
        <v/>
      </c>
      <c r="FJ4587" s="36" t="str">
        <f>IF($FH4587="","",SUM($FN4587:$FN$7000))</f>
        <v/>
      </c>
      <c r="FK4587" s="36" t="str">
        <f>IF($FH4587="","",SUM($FN4587:$FN$7000))</f>
        <v/>
      </c>
    </row>
    <row r="4588" spans="164:167">
      <c r="FH4588" s="29" t="str">
        <f t="shared" si="126"/>
        <v/>
      </c>
      <c r="FJ4588" s="36" t="str">
        <f>IF($FH4588="","",SUM($FN4588:$FN$7000))</f>
        <v/>
      </c>
      <c r="FK4588" s="36" t="str">
        <f>IF($FH4588="","",SUM($FN4588:$FN$7000))</f>
        <v/>
      </c>
    </row>
    <row r="4589" spans="164:167">
      <c r="FH4589" s="29" t="str">
        <f t="shared" si="126"/>
        <v/>
      </c>
      <c r="FJ4589" s="36" t="str">
        <f>IF($FH4589="","",SUM($FN4589:$FN$7000))</f>
        <v/>
      </c>
      <c r="FK4589" s="36" t="str">
        <f>IF($FH4589="","",SUM($FN4589:$FN$7000))</f>
        <v/>
      </c>
    </row>
    <row r="4590" spans="164:167">
      <c r="FH4590" s="29" t="str">
        <f t="shared" si="126"/>
        <v/>
      </c>
      <c r="FJ4590" s="36" t="str">
        <f>IF($FH4590="","",SUM($FN4590:$FN$7000))</f>
        <v/>
      </c>
      <c r="FK4590" s="36" t="str">
        <f>IF($FH4590="","",SUM($FN4590:$FN$7000))</f>
        <v/>
      </c>
    </row>
    <row r="4591" spans="164:167">
      <c r="FH4591" s="29" t="str">
        <f t="shared" si="126"/>
        <v/>
      </c>
      <c r="FJ4591" s="36" t="str">
        <f>IF($FH4591="","",SUM($FN4591:$FN$7000))</f>
        <v/>
      </c>
      <c r="FK4591" s="36" t="str">
        <f>IF($FH4591="","",SUM($FN4591:$FN$7000))</f>
        <v/>
      </c>
    </row>
    <row r="4592" spans="164:167">
      <c r="FH4592" s="29" t="str">
        <f t="shared" si="126"/>
        <v/>
      </c>
      <c r="FJ4592" s="36" t="str">
        <f>IF($FH4592="","",SUM($FN4592:$FN$7000))</f>
        <v/>
      </c>
      <c r="FK4592" s="36" t="str">
        <f>IF($FH4592="","",SUM($FN4592:$FN$7000))</f>
        <v/>
      </c>
    </row>
    <row r="4593" spans="164:167">
      <c r="FH4593" s="29" t="str">
        <f t="shared" si="126"/>
        <v/>
      </c>
      <c r="FJ4593" s="36" t="str">
        <f>IF($FH4593="","",SUM($FN4593:$FN$7000))</f>
        <v/>
      </c>
      <c r="FK4593" s="36" t="str">
        <f>IF($FH4593="","",SUM($FN4593:$FN$7000))</f>
        <v/>
      </c>
    </row>
    <row r="4594" spans="164:167">
      <c r="FH4594" s="29" t="str">
        <f t="shared" si="126"/>
        <v/>
      </c>
      <c r="FJ4594" s="36" t="str">
        <f>IF($FH4594="","",SUM($FN4594:$FN$7000))</f>
        <v/>
      </c>
      <c r="FK4594" s="36" t="str">
        <f>IF($FH4594="","",SUM($FN4594:$FN$7000))</f>
        <v/>
      </c>
    </row>
    <row r="4595" spans="164:167">
      <c r="FH4595" s="29" t="str">
        <f t="shared" si="126"/>
        <v/>
      </c>
      <c r="FJ4595" s="36" t="str">
        <f>IF($FH4595="","",SUM($FN4595:$FN$7000))</f>
        <v/>
      </c>
      <c r="FK4595" s="36" t="str">
        <f>IF($FH4595="","",SUM($FN4595:$FN$7000))</f>
        <v/>
      </c>
    </row>
    <row r="4596" spans="164:167">
      <c r="FH4596" s="29" t="str">
        <f t="shared" si="126"/>
        <v/>
      </c>
      <c r="FJ4596" s="36" t="str">
        <f>IF($FH4596="","",SUM($FN4596:$FN$7000))</f>
        <v/>
      </c>
      <c r="FK4596" s="36" t="str">
        <f>IF($FH4596="","",SUM($FN4596:$FN$7000))</f>
        <v/>
      </c>
    </row>
    <row r="4597" spans="164:167">
      <c r="FH4597" s="29" t="str">
        <f t="shared" si="126"/>
        <v/>
      </c>
      <c r="FJ4597" s="36" t="str">
        <f>IF($FH4597="","",SUM($FN4597:$FN$7000))</f>
        <v/>
      </c>
      <c r="FK4597" s="36" t="str">
        <f>IF($FH4597="","",SUM($FN4597:$FN$7000))</f>
        <v/>
      </c>
    </row>
    <row r="4598" spans="164:167">
      <c r="FH4598" s="29" t="str">
        <f t="shared" si="126"/>
        <v/>
      </c>
      <c r="FJ4598" s="36" t="str">
        <f>IF($FH4598="","",SUM($FN4598:$FN$7000))</f>
        <v/>
      </c>
      <c r="FK4598" s="36" t="str">
        <f>IF($FH4598="","",SUM($FN4598:$FN$7000))</f>
        <v/>
      </c>
    </row>
    <row r="4599" spans="164:167">
      <c r="FH4599" s="29" t="str">
        <f t="shared" si="126"/>
        <v/>
      </c>
      <c r="FJ4599" s="36" t="str">
        <f>IF($FH4599="","",SUM($FN4599:$FN$7000))</f>
        <v/>
      </c>
      <c r="FK4599" s="36" t="str">
        <f>IF($FH4599="","",SUM($FN4599:$FN$7000))</f>
        <v/>
      </c>
    </row>
    <row r="4600" spans="164:167">
      <c r="FH4600" s="29" t="str">
        <f t="shared" si="126"/>
        <v/>
      </c>
      <c r="FJ4600" s="36" t="str">
        <f>IF($FH4600="","",SUM($FN4600:$FN$7000))</f>
        <v/>
      </c>
      <c r="FK4600" s="36" t="str">
        <f>IF($FH4600="","",SUM($FN4600:$FN$7000))</f>
        <v/>
      </c>
    </row>
    <row r="4601" spans="164:167">
      <c r="FH4601" s="29" t="str">
        <f t="shared" si="126"/>
        <v/>
      </c>
      <c r="FJ4601" s="36" t="str">
        <f>IF($FH4601="","",SUM($FN4601:$FN$7000))</f>
        <v/>
      </c>
      <c r="FK4601" s="36" t="str">
        <f>IF($FH4601="","",SUM($FN4601:$FN$7000))</f>
        <v/>
      </c>
    </row>
    <row r="4602" spans="164:167">
      <c r="FH4602" s="29" t="str">
        <f t="shared" si="126"/>
        <v/>
      </c>
      <c r="FJ4602" s="36" t="str">
        <f>IF($FH4602="","",SUM($FN4602:$FN$7000))</f>
        <v/>
      </c>
      <c r="FK4602" s="36" t="str">
        <f>IF($FH4602="","",SUM($FN4602:$FN$7000))</f>
        <v/>
      </c>
    </row>
    <row r="4603" spans="164:167">
      <c r="FH4603" s="29" t="str">
        <f t="shared" si="126"/>
        <v/>
      </c>
      <c r="FJ4603" s="36" t="str">
        <f>IF($FH4603="","",SUM($FN4603:$FN$7000))</f>
        <v/>
      </c>
      <c r="FK4603" s="36" t="str">
        <f>IF($FH4603="","",SUM($FN4603:$FN$7000))</f>
        <v/>
      </c>
    </row>
    <row r="4604" spans="164:167">
      <c r="FH4604" s="29" t="str">
        <f t="shared" si="126"/>
        <v/>
      </c>
      <c r="FJ4604" s="36" t="str">
        <f>IF($FH4604="","",SUM($FN4604:$FN$7000))</f>
        <v/>
      </c>
      <c r="FK4604" s="36" t="str">
        <f>IF($FH4604="","",SUM($FN4604:$FN$7000))</f>
        <v/>
      </c>
    </row>
    <row r="4605" spans="164:167">
      <c r="FH4605" s="29" t="str">
        <f t="shared" si="126"/>
        <v/>
      </c>
      <c r="FJ4605" s="36" t="str">
        <f>IF($FH4605="","",SUM($FN4605:$FN$7000))</f>
        <v/>
      </c>
      <c r="FK4605" s="36" t="str">
        <f>IF($FH4605="","",SUM($FN4605:$FN$7000))</f>
        <v/>
      </c>
    </row>
    <row r="4606" spans="164:167">
      <c r="FH4606" s="29" t="str">
        <f t="shared" si="126"/>
        <v/>
      </c>
      <c r="FJ4606" s="36" t="str">
        <f>IF($FH4606="","",SUM($FN4606:$FN$7000))</f>
        <v/>
      </c>
      <c r="FK4606" s="36" t="str">
        <f>IF($FH4606="","",SUM($FN4606:$FN$7000))</f>
        <v/>
      </c>
    </row>
    <row r="4607" spans="164:167">
      <c r="FH4607" s="29" t="str">
        <f t="shared" si="126"/>
        <v/>
      </c>
      <c r="FJ4607" s="36" t="str">
        <f>IF($FH4607="","",SUM($FN4607:$FN$7000))</f>
        <v/>
      </c>
      <c r="FK4607" s="36" t="str">
        <f>IF($FH4607="","",SUM($FN4607:$FN$7000))</f>
        <v/>
      </c>
    </row>
    <row r="4608" spans="164:167">
      <c r="FH4608" s="29" t="str">
        <f t="shared" si="126"/>
        <v/>
      </c>
      <c r="FJ4608" s="36" t="str">
        <f>IF($FH4608="","",SUM($FN4608:$FN$7000))</f>
        <v/>
      </c>
      <c r="FK4608" s="36" t="str">
        <f>IF($FH4608="","",SUM($FN4608:$FN$7000))</f>
        <v/>
      </c>
    </row>
    <row r="4609" spans="164:167">
      <c r="FH4609" s="29" t="str">
        <f t="shared" si="126"/>
        <v/>
      </c>
      <c r="FJ4609" s="36" t="str">
        <f>IF($FH4609="","",SUM($FN4609:$FN$7000))</f>
        <v/>
      </c>
      <c r="FK4609" s="36" t="str">
        <f>IF($FH4609="","",SUM($FN4609:$FN$7000))</f>
        <v/>
      </c>
    </row>
    <row r="4610" spans="164:167">
      <c r="FH4610" s="29" t="str">
        <f t="shared" si="126"/>
        <v/>
      </c>
      <c r="FJ4610" s="36" t="str">
        <f>IF($FH4610="","",SUM($FN4610:$FN$7000))</f>
        <v/>
      </c>
      <c r="FK4610" s="36" t="str">
        <f>IF($FH4610="","",SUM($FN4610:$FN$7000))</f>
        <v/>
      </c>
    </row>
    <row r="4611" spans="164:167">
      <c r="FH4611" s="29" t="str">
        <f t="shared" si="126"/>
        <v/>
      </c>
      <c r="FJ4611" s="36" t="str">
        <f>IF($FH4611="","",SUM($FN4611:$FN$7000))</f>
        <v/>
      </c>
      <c r="FK4611" s="36" t="str">
        <f>IF($FH4611="","",SUM($FN4611:$FN$7000))</f>
        <v/>
      </c>
    </row>
    <row r="4612" spans="164:167">
      <c r="FH4612" s="29" t="str">
        <f t="shared" si="126"/>
        <v/>
      </c>
      <c r="FJ4612" s="36" t="str">
        <f>IF($FH4612="","",SUM($FN4612:$FN$7000))</f>
        <v/>
      </c>
      <c r="FK4612" s="36" t="str">
        <f>IF($FH4612="","",SUM($FN4612:$FN$7000))</f>
        <v/>
      </c>
    </row>
    <row r="4613" spans="164:167">
      <c r="FH4613" s="29" t="str">
        <f t="shared" si="126"/>
        <v/>
      </c>
      <c r="FJ4613" s="36" t="str">
        <f>IF($FH4613="","",SUM($FN4613:$FN$7000))</f>
        <v/>
      </c>
      <c r="FK4613" s="36" t="str">
        <f>IF($FH4613="","",SUM($FN4613:$FN$7000))</f>
        <v/>
      </c>
    </row>
    <row r="4614" spans="164:167">
      <c r="FH4614" s="29" t="str">
        <f t="shared" si="126"/>
        <v/>
      </c>
      <c r="FJ4614" s="36" t="str">
        <f>IF($FH4614="","",SUM($FN4614:$FN$7000))</f>
        <v/>
      </c>
      <c r="FK4614" s="36" t="str">
        <f>IF($FH4614="","",SUM($FN4614:$FN$7000))</f>
        <v/>
      </c>
    </row>
    <row r="4615" spans="164:167">
      <c r="FH4615" s="29" t="str">
        <f t="shared" si="126"/>
        <v/>
      </c>
      <c r="FJ4615" s="36" t="str">
        <f>IF($FH4615="","",SUM($FN4615:$FN$7000))</f>
        <v/>
      </c>
      <c r="FK4615" s="36" t="str">
        <f>IF($FH4615="","",SUM($FN4615:$FN$7000))</f>
        <v/>
      </c>
    </row>
    <row r="4616" spans="164:167">
      <c r="FH4616" s="29" t="str">
        <f t="shared" si="126"/>
        <v/>
      </c>
      <c r="FJ4616" s="36" t="str">
        <f>IF($FH4616="","",SUM($FN4616:$FN$7000))</f>
        <v/>
      </c>
      <c r="FK4616" s="36" t="str">
        <f>IF($FH4616="","",SUM($FN4616:$FN$7000))</f>
        <v/>
      </c>
    </row>
    <row r="4617" spans="164:167">
      <c r="FH4617" s="29" t="str">
        <f t="shared" si="126"/>
        <v/>
      </c>
      <c r="FJ4617" s="36" t="str">
        <f>IF($FH4617="","",SUM($FN4617:$FN$7000))</f>
        <v/>
      </c>
      <c r="FK4617" s="36" t="str">
        <f>IF($FH4617="","",SUM($FN4617:$FN$7000))</f>
        <v/>
      </c>
    </row>
    <row r="4618" spans="164:167">
      <c r="FH4618" s="29" t="str">
        <f t="shared" si="126"/>
        <v/>
      </c>
      <c r="FJ4618" s="36" t="str">
        <f>IF($FH4618="","",SUM($FN4618:$FN$7000))</f>
        <v/>
      </c>
      <c r="FK4618" s="36" t="str">
        <f>IF($FH4618="","",SUM($FN4618:$FN$7000))</f>
        <v/>
      </c>
    </row>
    <row r="4619" spans="164:167">
      <c r="FH4619" s="29" t="str">
        <f t="shared" ref="FH4619:FH4682" si="127">IF(FL4619="","",FL4619)</f>
        <v/>
      </c>
      <c r="FJ4619" s="36" t="str">
        <f>IF($FH4619="","",SUM($FN4619:$FN$7000))</f>
        <v/>
      </c>
      <c r="FK4619" s="36" t="str">
        <f>IF($FH4619="","",SUM($FN4619:$FN$7000))</f>
        <v/>
      </c>
    </row>
    <row r="4620" spans="164:167">
      <c r="FH4620" s="29" t="str">
        <f t="shared" si="127"/>
        <v/>
      </c>
      <c r="FJ4620" s="36" t="str">
        <f>IF($FH4620="","",SUM($FN4620:$FN$7000))</f>
        <v/>
      </c>
      <c r="FK4620" s="36" t="str">
        <f>IF($FH4620="","",SUM($FN4620:$FN$7000))</f>
        <v/>
      </c>
    </row>
    <row r="4621" spans="164:167">
      <c r="FH4621" s="29" t="str">
        <f t="shared" si="127"/>
        <v/>
      </c>
      <c r="FJ4621" s="36" t="str">
        <f>IF($FH4621="","",SUM($FN4621:$FN$7000))</f>
        <v/>
      </c>
      <c r="FK4621" s="36" t="str">
        <f>IF($FH4621="","",SUM($FN4621:$FN$7000))</f>
        <v/>
      </c>
    </row>
    <row r="4622" spans="164:167">
      <c r="FH4622" s="29" t="str">
        <f t="shared" si="127"/>
        <v/>
      </c>
      <c r="FJ4622" s="36" t="str">
        <f>IF($FH4622="","",SUM($FN4622:$FN$7000))</f>
        <v/>
      </c>
      <c r="FK4622" s="36" t="str">
        <f>IF($FH4622="","",SUM($FN4622:$FN$7000))</f>
        <v/>
      </c>
    </row>
    <row r="4623" spans="164:167">
      <c r="FH4623" s="29" t="str">
        <f t="shared" si="127"/>
        <v/>
      </c>
      <c r="FJ4623" s="36" t="str">
        <f>IF($FH4623="","",SUM($FN4623:$FN$7000))</f>
        <v/>
      </c>
      <c r="FK4623" s="36" t="str">
        <f>IF($FH4623="","",SUM($FN4623:$FN$7000))</f>
        <v/>
      </c>
    </row>
    <row r="4624" spans="164:167">
      <c r="FH4624" s="29" t="str">
        <f t="shared" si="127"/>
        <v/>
      </c>
      <c r="FJ4624" s="36" t="str">
        <f>IF($FH4624="","",SUM($FN4624:$FN$7000))</f>
        <v/>
      </c>
      <c r="FK4624" s="36" t="str">
        <f>IF($FH4624="","",SUM($FN4624:$FN$7000))</f>
        <v/>
      </c>
    </row>
    <row r="4625" spans="164:167">
      <c r="FH4625" s="29" t="str">
        <f t="shared" si="127"/>
        <v/>
      </c>
      <c r="FJ4625" s="36" t="str">
        <f>IF($FH4625="","",SUM($FN4625:$FN$7000))</f>
        <v/>
      </c>
      <c r="FK4625" s="36" t="str">
        <f>IF($FH4625="","",SUM($FN4625:$FN$7000))</f>
        <v/>
      </c>
    </row>
    <row r="4626" spans="164:167">
      <c r="FH4626" s="29" t="str">
        <f t="shared" si="127"/>
        <v/>
      </c>
      <c r="FJ4626" s="36" t="str">
        <f>IF($FH4626="","",SUM($FN4626:$FN$7000))</f>
        <v/>
      </c>
      <c r="FK4626" s="36" t="str">
        <f>IF($FH4626="","",SUM($FN4626:$FN$7000))</f>
        <v/>
      </c>
    </row>
    <row r="4627" spans="164:167">
      <c r="FH4627" s="29" t="str">
        <f t="shared" si="127"/>
        <v/>
      </c>
      <c r="FJ4627" s="36" t="str">
        <f>IF($FH4627="","",SUM($FN4627:$FN$7000))</f>
        <v/>
      </c>
      <c r="FK4627" s="36" t="str">
        <f>IF($FH4627="","",SUM($FN4627:$FN$7000))</f>
        <v/>
      </c>
    </row>
    <row r="4628" spans="164:167">
      <c r="FH4628" s="29" t="str">
        <f t="shared" si="127"/>
        <v/>
      </c>
      <c r="FJ4628" s="36" t="str">
        <f>IF($FH4628="","",SUM($FN4628:$FN$7000))</f>
        <v/>
      </c>
      <c r="FK4628" s="36" t="str">
        <f>IF($FH4628="","",SUM($FN4628:$FN$7000))</f>
        <v/>
      </c>
    </row>
    <row r="4629" spans="164:167">
      <c r="FH4629" s="29" t="str">
        <f t="shared" si="127"/>
        <v/>
      </c>
      <c r="FJ4629" s="36" t="str">
        <f>IF($FH4629="","",SUM($FN4629:$FN$7000))</f>
        <v/>
      </c>
      <c r="FK4629" s="36" t="str">
        <f>IF($FH4629="","",SUM($FN4629:$FN$7000))</f>
        <v/>
      </c>
    </row>
    <row r="4630" spans="164:167">
      <c r="FH4630" s="29" t="str">
        <f t="shared" si="127"/>
        <v/>
      </c>
      <c r="FJ4630" s="36" t="str">
        <f>IF($FH4630="","",SUM($FN4630:$FN$7000))</f>
        <v/>
      </c>
      <c r="FK4630" s="36" t="str">
        <f>IF($FH4630="","",SUM($FN4630:$FN$7000))</f>
        <v/>
      </c>
    </row>
    <row r="4631" spans="164:167">
      <c r="FH4631" s="29" t="str">
        <f t="shared" si="127"/>
        <v/>
      </c>
      <c r="FJ4631" s="36" t="str">
        <f>IF($FH4631="","",SUM($FN4631:$FN$7000))</f>
        <v/>
      </c>
      <c r="FK4631" s="36" t="str">
        <f>IF($FH4631="","",SUM($FN4631:$FN$7000))</f>
        <v/>
      </c>
    </row>
    <row r="4632" spans="164:167">
      <c r="FH4632" s="29" t="str">
        <f t="shared" si="127"/>
        <v/>
      </c>
      <c r="FJ4632" s="36" t="str">
        <f>IF($FH4632="","",SUM($FN4632:$FN$7000))</f>
        <v/>
      </c>
      <c r="FK4632" s="36" t="str">
        <f>IF($FH4632="","",SUM($FN4632:$FN$7000))</f>
        <v/>
      </c>
    </row>
    <row r="4633" spans="164:167">
      <c r="FH4633" s="29" t="str">
        <f t="shared" si="127"/>
        <v/>
      </c>
      <c r="FJ4633" s="36" t="str">
        <f>IF($FH4633="","",SUM($FN4633:$FN$7000))</f>
        <v/>
      </c>
      <c r="FK4633" s="36" t="str">
        <f>IF($FH4633="","",SUM($FN4633:$FN$7000))</f>
        <v/>
      </c>
    </row>
    <row r="4634" spans="164:167">
      <c r="FH4634" s="29" t="str">
        <f t="shared" si="127"/>
        <v/>
      </c>
      <c r="FJ4634" s="36" t="str">
        <f>IF($FH4634="","",SUM($FN4634:$FN$7000))</f>
        <v/>
      </c>
      <c r="FK4634" s="36" t="str">
        <f>IF($FH4634="","",SUM($FN4634:$FN$7000))</f>
        <v/>
      </c>
    </row>
    <row r="4635" spans="164:167">
      <c r="FH4635" s="29" t="str">
        <f t="shared" si="127"/>
        <v/>
      </c>
      <c r="FJ4635" s="36" t="str">
        <f>IF($FH4635="","",SUM($FN4635:$FN$7000))</f>
        <v/>
      </c>
      <c r="FK4635" s="36" t="str">
        <f>IF($FH4635="","",SUM($FN4635:$FN$7000))</f>
        <v/>
      </c>
    </row>
    <row r="4636" spans="164:167">
      <c r="FH4636" s="29" t="str">
        <f t="shared" si="127"/>
        <v/>
      </c>
      <c r="FJ4636" s="36" t="str">
        <f>IF($FH4636="","",SUM($FN4636:$FN$7000))</f>
        <v/>
      </c>
      <c r="FK4636" s="36" t="str">
        <f>IF($FH4636="","",SUM($FN4636:$FN$7000))</f>
        <v/>
      </c>
    </row>
    <row r="4637" spans="164:167">
      <c r="FH4637" s="29" t="str">
        <f t="shared" si="127"/>
        <v/>
      </c>
      <c r="FJ4637" s="36" t="str">
        <f>IF($FH4637="","",SUM($FN4637:$FN$7000))</f>
        <v/>
      </c>
      <c r="FK4637" s="36" t="str">
        <f>IF($FH4637="","",SUM($FN4637:$FN$7000))</f>
        <v/>
      </c>
    </row>
    <row r="4638" spans="164:167">
      <c r="FH4638" s="29" t="str">
        <f t="shared" si="127"/>
        <v/>
      </c>
      <c r="FJ4638" s="36" t="str">
        <f>IF($FH4638="","",SUM($FN4638:$FN$7000))</f>
        <v/>
      </c>
      <c r="FK4638" s="36" t="str">
        <f>IF($FH4638="","",SUM($FN4638:$FN$7000))</f>
        <v/>
      </c>
    </row>
    <row r="4639" spans="164:167">
      <c r="FH4639" s="29" t="str">
        <f t="shared" si="127"/>
        <v/>
      </c>
      <c r="FJ4639" s="36" t="str">
        <f>IF($FH4639="","",SUM($FN4639:$FN$7000))</f>
        <v/>
      </c>
      <c r="FK4639" s="36" t="str">
        <f>IF($FH4639="","",SUM($FN4639:$FN$7000))</f>
        <v/>
      </c>
    </row>
    <row r="4640" spans="164:167">
      <c r="FH4640" s="29" t="str">
        <f t="shared" si="127"/>
        <v/>
      </c>
      <c r="FJ4640" s="36" t="str">
        <f>IF($FH4640="","",SUM($FN4640:$FN$7000))</f>
        <v/>
      </c>
      <c r="FK4640" s="36" t="str">
        <f>IF($FH4640="","",SUM($FN4640:$FN$7000))</f>
        <v/>
      </c>
    </row>
    <row r="4641" spans="164:167">
      <c r="FH4641" s="29" t="str">
        <f t="shared" si="127"/>
        <v/>
      </c>
      <c r="FJ4641" s="36" t="str">
        <f>IF($FH4641="","",SUM($FN4641:$FN$7000))</f>
        <v/>
      </c>
      <c r="FK4641" s="36" t="str">
        <f>IF($FH4641="","",SUM($FN4641:$FN$7000))</f>
        <v/>
      </c>
    </row>
    <row r="4642" spans="164:167">
      <c r="FH4642" s="29" t="str">
        <f t="shared" si="127"/>
        <v/>
      </c>
      <c r="FJ4642" s="36" t="str">
        <f>IF($FH4642="","",SUM($FN4642:$FN$7000))</f>
        <v/>
      </c>
      <c r="FK4642" s="36" t="str">
        <f>IF($FH4642="","",SUM($FN4642:$FN$7000))</f>
        <v/>
      </c>
    </row>
    <row r="4643" spans="164:167">
      <c r="FH4643" s="29" t="str">
        <f t="shared" si="127"/>
        <v/>
      </c>
      <c r="FJ4643" s="36" t="str">
        <f>IF($FH4643="","",SUM($FN4643:$FN$7000))</f>
        <v/>
      </c>
      <c r="FK4643" s="36" t="str">
        <f>IF($FH4643="","",SUM($FN4643:$FN$7000))</f>
        <v/>
      </c>
    </row>
    <row r="4644" spans="164:167">
      <c r="FH4644" s="29" t="str">
        <f t="shared" si="127"/>
        <v/>
      </c>
      <c r="FJ4644" s="36" t="str">
        <f>IF($FH4644="","",SUM($FN4644:$FN$7000))</f>
        <v/>
      </c>
      <c r="FK4644" s="36" t="str">
        <f>IF($FH4644="","",SUM($FN4644:$FN$7000))</f>
        <v/>
      </c>
    </row>
    <row r="4645" spans="164:167">
      <c r="FH4645" s="29" t="str">
        <f t="shared" si="127"/>
        <v/>
      </c>
      <c r="FJ4645" s="36" t="str">
        <f>IF($FH4645="","",SUM($FN4645:$FN$7000))</f>
        <v/>
      </c>
      <c r="FK4645" s="36" t="str">
        <f>IF($FH4645="","",SUM($FN4645:$FN$7000))</f>
        <v/>
      </c>
    </row>
    <row r="4646" spans="164:167">
      <c r="FH4646" s="29" t="str">
        <f t="shared" si="127"/>
        <v/>
      </c>
      <c r="FJ4646" s="36" t="str">
        <f>IF($FH4646="","",SUM($FN4646:$FN$7000))</f>
        <v/>
      </c>
      <c r="FK4646" s="36" t="str">
        <f>IF($FH4646="","",SUM($FN4646:$FN$7000))</f>
        <v/>
      </c>
    </row>
    <row r="4647" spans="164:167">
      <c r="FH4647" s="29" t="str">
        <f t="shared" si="127"/>
        <v/>
      </c>
      <c r="FJ4647" s="36" t="str">
        <f>IF($FH4647="","",SUM($FN4647:$FN$7000))</f>
        <v/>
      </c>
      <c r="FK4647" s="36" t="str">
        <f>IF($FH4647="","",SUM($FN4647:$FN$7000))</f>
        <v/>
      </c>
    </row>
    <row r="4648" spans="164:167">
      <c r="FH4648" s="29" t="str">
        <f t="shared" si="127"/>
        <v/>
      </c>
      <c r="FJ4648" s="36" t="str">
        <f>IF($FH4648="","",SUM($FN4648:$FN$7000))</f>
        <v/>
      </c>
      <c r="FK4648" s="36" t="str">
        <f>IF($FH4648="","",SUM($FN4648:$FN$7000))</f>
        <v/>
      </c>
    </row>
    <row r="4649" spans="164:167">
      <c r="FH4649" s="29" t="str">
        <f t="shared" si="127"/>
        <v/>
      </c>
      <c r="FJ4649" s="36" t="str">
        <f>IF($FH4649="","",SUM($FN4649:$FN$7000))</f>
        <v/>
      </c>
      <c r="FK4649" s="36" t="str">
        <f>IF($FH4649="","",SUM($FN4649:$FN$7000))</f>
        <v/>
      </c>
    </row>
    <row r="4650" spans="164:167">
      <c r="FH4650" s="29" t="str">
        <f t="shared" si="127"/>
        <v/>
      </c>
      <c r="FJ4650" s="36" t="str">
        <f>IF($FH4650="","",SUM($FN4650:$FN$7000))</f>
        <v/>
      </c>
      <c r="FK4650" s="36" t="str">
        <f>IF($FH4650="","",SUM($FN4650:$FN$7000))</f>
        <v/>
      </c>
    </row>
    <row r="4651" spans="164:167">
      <c r="FH4651" s="29" t="str">
        <f t="shared" si="127"/>
        <v/>
      </c>
      <c r="FJ4651" s="36" t="str">
        <f>IF($FH4651="","",SUM($FN4651:$FN$7000))</f>
        <v/>
      </c>
      <c r="FK4651" s="36" t="str">
        <f>IF($FH4651="","",SUM($FN4651:$FN$7000))</f>
        <v/>
      </c>
    </row>
    <row r="4652" spans="164:167">
      <c r="FH4652" s="29" t="str">
        <f t="shared" si="127"/>
        <v/>
      </c>
      <c r="FJ4652" s="36" t="str">
        <f>IF($FH4652="","",SUM($FN4652:$FN$7000))</f>
        <v/>
      </c>
      <c r="FK4652" s="36" t="str">
        <f>IF($FH4652="","",SUM($FN4652:$FN$7000))</f>
        <v/>
      </c>
    </row>
    <row r="4653" spans="164:167">
      <c r="FH4653" s="29" t="str">
        <f t="shared" si="127"/>
        <v/>
      </c>
      <c r="FJ4653" s="36" t="str">
        <f>IF($FH4653="","",SUM($FN4653:$FN$7000))</f>
        <v/>
      </c>
      <c r="FK4653" s="36" t="str">
        <f>IF($FH4653="","",SUM($FN4653:$FN$7000))</f>
        <v/>
      </c>
    </row>
    <row r="4654" spans="164:167">
      <c r="FH4654" s="29" t="str">
        <f t="shared" si="127"/>
        <v/>
      </c>
      <c r="FJ4654" s="36" t="str">
        <f>IF($FH4654="","",SUM($FN4654:$FN$7000))</f>
        <v/>
      </c>
      <c r="FK4654" s="36" t="str">
        <f>IF($FH4654="","",SUM($FN4654:$FN$7000))</f>
        <v/>
      </c>
    </row>
    <row r="4655" spans="164:167">
      <c r="FH4655" s="29" t="str">
        <f t="shared" si="127"/>
        <v/>
      </c>
      <c r="FJ4655" s="36" t="str">
        <f>IF($FH4655="","",SUM($FN4655:$FN$7000))</f>
        <v/>
      </c>
      <c r="FK4655" s="36" t="str">
        <f>IF($FH4655="","",SUM($FN4655:$FN$7000))</f>
        <v/>
      </c>
    </row>
    <row r="4656" spans="164:167">
      <c r="FH4656" s="29" t="str">
        <f t="shared" si="127"/>
        <v/>
      </c>
      <c r="FJ4656" s="36" t="str">
        <f>IF($FH4656="","",SUM($FN4656:$FN$7000))</f>
        <v/>
      </c>
      <c r="FK4656" s="36" t="str">
        <f>IF($FH4656="","",SUM($FN4656:$FN$7000))</f>
        <v/>
      </c>
    </row>
    <row r="4657" spans="164:167">
      <c r="FH4657" s="29" t="str">
        <f t="shared" si="127"/>
        <v/>
      </c>
      <c r="FJ4657" s="36" t="str">
        <f>IF($FH4657="","",SUM($FN4657:$FN$7000))</f>
        <v/>
      </c>
      <c r="FK4657" s="36" t="str">
        <f>IF($FH4657="","",SUM($FN4657:$FN$7000))</f>
        <v/>
      </c>
    </row>
    <row r="4658" spans="164:167">
      <c r="FH4658" s="29" t="str">
        <f t="shared" si="127"/>
        <v/>
      </c>
      <c r="FJ4658" s="36" t="str">
        <f>IF($FH4658="","",SUM($FN4658:$FN$7000))</f>
        <v/>
      </c>
      <c r="FK4658" s="36" t="str">
        <f>IF($FH4658="","",SUM($FN4658:$FN$7000))</f>
        <v/>
      </c>
    </row>
    <row r="4659" spans="164:167">
      <c r="FH4659" s="29" t="str">
        <f t="shared" si="127"/>
        <v/>
      </c>
      <c r="FJ4659" s="36" t="str">
        <f>IF($FH4659="","",SUM($FN4659:$FN$7000))</f>
        <v/>
      </c>
      <c r="FK4659" s="36" t="str">
        <f>IF($FH4659="","",SUM($FN4659:$FN$7000))</f>
        <v/>
      </c>
    </row>
    <row r="4660" spans="164:167">
      <c r="FH4660" s="29" t="str">
        <f t="shared" si="127"/>
        <v/>
      </c>
      <c r="FJ4660" s="36" t="str">
        <f>IF($FH4660="","",SUM($FN4660:$FN$7000))</f>
        <v/>
      </c>
      <c r="FK4660" s="36" t="str">
        <f>IF($FH4660="","",SUM($FN4660:$FN$7000))</f>
        <v/>
      </c>
    </row>
    <row r="4661" spans="164:167">
      <c r="FH4661" s="29" t="str">
        <f t="shared" si="127"/>
        <v/>
      </c>
      <c r="FJ4661" s="36" t="str">
        <f>IF($FH4661="","",SUM($FN4661:$FN$7000))</f>
        <v/>
      </c>
      <c r="FK4661" s="36" t="str">
        <f>IF($FH4661="","",SUM($FN4661:$FN$7000))</f>
        <v/>
      </c>
    </row>
    <row r="4662" spans="164:167">
      <c r="FH4662" s="29" t="str">
        <f t="shared" si="127"/>
        <v/>
      </c>
      <c r="FJ4662" s="36" t="str">
        <f>IF($FH4662="","",SUM($FN4662:$FN$7000))</f>
        <v/>
      </c>
      <c r="FK4662" s="36" t="str">
        <f>IF($FH4662="","",SUM($FN4662:$FN$7000))</f>
        <v/>
      </c>
    </row>
    <row r="4663" spans="164:167">
      <c r="FH4663" s="29" t="str">
        <f t="shared" si="127"/>
        <v/>
      </c>
      <c r="FJ4663" s="36" t="str">
        <f>IF($FH4663="","",SUM($FN4663:$FN$7000))</f>
        <v/>
      </c>
      <c r="FK4663" s="36" t="str">
        <f>IF($FH4663="","",SUM($FN4663:$FN$7000))</f>
        <v/>
      </c>
    </row>
    <row r="4664" spans="164:167">
      <c r="FH4664" s="29" t="str">
        <f t="shared" si="127"/>
        <v/>
      </c>
      <c r="FJ4664" s="36" t="str">
        <f>IF($FH4664="","",SUM($FN4664:$FN$7000))</f>
        <v/>
      </c>
      <c r="FK4664" s="36" t="str">
        <f>IF($FH4664="","",SUM($FN4664:$FN$7000))</f>
        <v/>
      </c>
    </row>
    <row r="4665" spans="164:167">
      <c r="FH4665" s="29" t="str">
        <f t="shared" si="127"/>
        <v/>
      </c>
      <c r="FJ4665" s="36" t="str">
        <f>IF($FH4665="","",SUM($FN4665:$FN$7000))</f>
        <v/>
      </c>
      <c r="FK4665" s="36" t="str">
        <f>IF($FH4665="","",SUM($FN4665:$FN$7000))</f>
        <v/>
      </c>
    </row>
    <row r="4666" spans="164:167">
      <c r="FH4666" s="29" t="str">
        <f t="shared" si="127"/>
        <v/>
      </c>
      <c r="FJ4666" s="36" t="str">
        <f>IF($FH4666="","",SUM($FN4666:$FN$7000))</f>
        <v/>
      </c>
      <c r="FK4666" s="36" t="str">
        <f>IF($FH4666="","",SUM($FN4666:$FN$7000))</f>
        <v/>
      </c>
    </row>
    <row r="4667" spans="164:167">
      <c r="FH4667" s="29" t="str">
        <f t="shared" si="127"/>
        <v/>
      </c>
      <c r="FJ4667" s="36" t="str">
        <f>IF($FH4667="","",SUM($FN4667:$FN$7000))</f>
        <v/>
      </c>
      <c r="FK4667" s="36" t="str">
        <f>IF($FH4667="","",SUM($FN4667:$FN$7000))</f>
        <v/>
      </c>
    </row>
    <row r="4668" spans="164:167">
      <c r="FH4668" s="29" t="str">
        <f t="shared" si="127"/>
        <v/>
      </c>
      <c r="FJ4668" s="36" t="str">
        <f>IF($FH4668="","",SUM($FN4668:$FN$7000))</f>
        <v/>
      </c>
      <c r="FK4668" s="36" t="str">
        <f>IF($FH4668="","",SUM($FN4668:$FN$7000))</f>
        <v/>
      </c>
    </row>
    <row r="4669" spans="164:167">
      <c r="FH4669" s="29" t="str">
        <f t="shared" si="127"/>
        <v/>
      </c>
      <c r="FJ4669" s="36" t="str">
        <f>IF($FH4669="","",SUM($FN4669:$FN$7000))</f>
        <v/>
      </c>
      <c r="FK4669" s="36" t="str">
        <f>IF($FH4669="","",SUM($FN4669:$FN$7000))</f>
        <v/>
      </c>
    </row>
    <row r="4670" spans="164:167">
      <c r="FH4670" s="29" t="str">
        <f t="shared" si="127"/>
        <v/>
      </c>
      <c r="FJ4670" s="36" t="str">
        <f>IF($FH4670="","",SUM($FN4670:$FN$7000))</f>
        <v/>
      </c>
      <c r="FK4670" s="36" t="str">
        <f>IF($FH4670="","",SUM($FN4670:$FN$7000))</f>
        <v/>
      </c>
    </row>
    <row r="4671" spans="164:167">
      <c r="FH4671" s="29" t="str">
        <f t="shared" si="127"/>
        <v/>
      </c>
      <c r="FJ4671" s="36" t="str">
        <f>IF($FH4671="","",SUM($FN4671:$FN$7000))</f>
        <v/>
      </c>
      <c r="FK4671" s="36" t="str">
        <f>IF($FH4671="","",SUM($FN4671:$FN$7000))</f>
        <v/>
      </c>
    </row>
    <row r="4672" spans="164:167">
      <c r="FH4672" s="29" t="str">
        <f t="shared" si="127"/>
        <v/>
      </c>
      <c r="FJ4672" s="36" t="str">
        <f>IF($FH4672="","",SUM($FN4672:$FN$7000))</f>
        <v/>
      </c>
      <c r="FK4672" s="36" t="str">
        <f>IF($FH4672="","",SUM($FN4672:$FN$7000))</f>
        <v/>
      </c>
    </row>
    <row r="4673" spans="164:167">
      <c r="FH4673" s="29" t="str">
        <f t="shared" si="127"/>
        <v/>
      </c>
      <c r="FJ4673" s="36" t="str">
        <f>IF($FH4673="","",SUM($FN4673:$FN$7000))</f>
        <v/>
      </c>
      <c r="FK4673" s="36" t="str">
        <f>IF($FH4673="","",SUM($FN4673:$FN$7000))</f>
        <v/>
      </c>
    </row>
    <row r="4674" spans="164:167">
      <c r="FH4674" s="29" t="str">
        <f t="shared" si="127"/>
        <v/>
      </c>
      <c r="FJ4674" s="36" t="str">
        <f>IF($FH4674="","",SUM($FN4674:$FN$7000))</f>
        <v/>
      </c>
      <c r="FK4674" s="36" t="str">
        <f>IF($FH4674="","",SUM($FN4674:$FN$7000))</f>
        <v/>
      </c>
    </row>
    <row r="4675" spans="164:167">
      <c r="FH4675" s="29" t="str">
        <f t="shared" si="127"/>
        <v/>
      </c>
      <c r="FJ4675" s="36" t="str">
        <f>IF($FH4675="","",SUM($FN4675:$FN$7000))</f>
        <v/>
      </c>
      <c r="FK4675" s="36" t="str">
        <f>IF($FH4675="","",SUM($FN4675:$FN$7000))</f>
        <v/>
      </c>
    </row>
    <row r="4676" spans="164:167">
      <c r="FH4676" s="29" t="str">
        <f t="shared" si="127"/>
        <v/>
      </c>
      <c r="FJ4676" s="36" t="str">
        <f>IF($FH4676="","",SUM($FN4676:$FN$7000))</f>
        <v/>
      </c>
      <c r="FK4676" s="36" t="str">
        <f>IF($FH4676="","",SUM($FN4676:$FN$7000))</f>
        <v/>
      </c>
    </row>
    <row r="4677" spans="164:167">
      <c r="FH4677" s="29" t="str">
        <f t="shared" si="127"/>
        <v/>
      </c>
      <c r="FJ4677" s="36" t="str">
        <f>IF($FH4677="","",SUM($FN4677:$FN$7000))</f>
        <v/>
      </c>
      <c r="FK4677" s="36" t="str">
        <f>IF($FH4677="","",SUM($FN4677:$FN$7000))</f>
        <v/>
      </c>
    </row>
    <row r="4678" spans="164:167">
      <c r="FH4678" s="29" t="str">
        <f t="shared" si="127"/>
        <v/>
      </c>
      <c r="FJ4678" s="36" t="str">
        <f>IF($FH4678="","",SUM($FN4678:$FN$7000))</f>
        <v/>
      </c>
      <c r="FK4678" s="36" t="str">
        <f>IF($FH4678="","",SUM($FN4678:$FN$7000))</f>
        <v/>
      </c>
    </row>
    <row r="4679" spans="164:167">
      <c r="FH4679" s="29" t="str">
        <f t="shared" si="127"/>
        <v/>
      </c>
      <c r="FJ4679" s="36" t="str">
        <f>IF($FH4679="","",SUM($FN4679:$FN$7000))</f>
        <v/>
      </c>
      <c r="FK4679" s="36" t="str">
        <f>IF($FH4679="","",SUM($FN4679:$FN$7000))</f>
        <v/>
      </c>
    </row>
    <row r="4680" spans="164:167">
      <c r="FH4680" s="29" t="str">
        <f t="shared" si="127"/>
        <v/>
      </c>
      <c r="FJ4680" s="36" t="str">
        <f>IF($FH4680="","",SUM($FN4680:$FN$7000))</f>
        <v/>
      </c>
      <c r="FK4680" s="36" t="str">
        <f>IF($FH4680="","",SUM($FN4680:$FN$7000))</f>
        <v/>
      </c>
    </row>
    <row r="4681" spans="164:167">
      <c r="FH4681" s="29" t="str">
        <f t="shared" si="127"/>
        <v/>
      </c>
      <c r="FJ4681" s="36" t="str">
        <f>IF($FH4681="","",SUM($FN4681:$FN$7000))</f>
        <v/>
      </c>
      <c r="FK4681" s="36" t="str">
        <f>IF($FH4681="","",SUM($FN4681:$FN$7000))</f>
        <v/>
      </c>
    </row>
    <row r="4682" spans="164:167">
      <c r="FH4682" s="29" t="str">
        <f t="shared" si="127"/>
        <v/>
      </c>
      <c r="FJ4682" s="36" t="str">
        <f>IF($FH4682="","",SUM($FN4682:$FN$7000))</f>
        <v/>
      </c>
      <c r="FK4682" s="36" t="str">
        <f>IF($FH4682="","",SUM($FN4682:$FN$7000))</f>
        <v/>
      </c>
    </row>
    <row r="4683" spans="164:167">
      <c r="FH4683" s="29" t="str">
        <f t="shared" ref="FH4683:FH4746" si="128">IF(FL4683="","",FL4683)</f>
        <v/>
      </c>
      <c r="FJ4683" s="36" t="str">
        <f>IF($FH4683="","",SUM($FN4683:$FN$7000))</f>
        <v/>
      </c>
      <c r="FK4683" s="36" t="str">
        <f>IF($FH4683="","",SUM($FN4683:$FN$7000))</f>
        <v/>
      </c>
    </row>
    <row r="4684" spans="164:167">
      <c r="FH4684" s="29" t="str">
        <f t="shared" si="128"/>
        <v/>
      </c>
      <c r="FJ4684" s="36" t="str">
        <f>IF($FH4684="","",SUM($FN4684:$FN$7000))</f>
        <v/>
      </c>
      <c r="FK4684" s="36" t="str">
        <f>IF($FH4684="","",SUM($FN4684:$FN$7000))</f>
        <v/>
      </c>
    </row>
    <row r="4685" spans="164:167">
      <c r="FH4685" s="29" t="str">
        <f t="shared" si="128"/>
        <v/>
      </c>
      <c r="FJ4685" s="36" t="str">
        <f>IF($FH4685="","",SUM($FN4685:$FN$7000))</f>
        <v/>
      </c>
      <c r="FK4685" s="36" t="str">
        <f>IF($FH4685="","",SUM($FN4685:$FN$7000))</f>
        <v/>
      </c>
    </row>
    <row r="4686" spans="164:167">
      <c r="FH4686" s="29" t="str">
        <f t="shared" si="128"/>
        <v/>
      </c>
      <c r="FJ4686" s="36" t="str">
        <f>IF($FH4686="","",SUM($FN4686:$FN$7000))</f>
        <v/>
      </c>
      <c r="FK4686" s="36" t="str">
        <f>IF($FH4686="","",SUM($FN4686:$FN$7000))</f>
        <v/>
      </c>
    </row>
    <row r="4687" spans="164:167">
      <c r="FH4687" s="29" t="str">
        <f t="shared" si="128"/>
        <v/>
      </c>
      <c r="FJ4687" s="36" t="str">
        <f>IF($FH4687="","",SUM($FN4687:$FN$7000))</f>
        <v/>
      </c>
      <c r="FK4687" s="36" t="str">
        <f>IF($FH4687="","",SUM($FN4687:$FN$7000))</f>
        <v/>
      </c>
    </row>
    <row r="4688" spans="164:167">
      <c r="FH4688" s="29" t="str">
        <f t="shared" si="128"/>
        <v/>
      </c>
      <c r="FJ4688" s="36" t="str">
        <f>IF($FH4688="","",SUM($FN4688:$FN$7000))</f>
        <v/>
      </c>
      <c r="FK4688" s="36" t="str">
        <f>IF($FH4688="","",SUM($FN4688:$FN$7000))</f>
        <v/>
      </c>
    </row>
    <row r="4689" spans="164:167">
      <c r="FH4689" s="29" t="str">
        <f t="shared" si="128"/>
        <v/>
      </c>
      <c r="FJ4689" s="36" t="str">
        <f>IF($FH4689="","",SUM($FN4689:$FN$7000))</f>
        <v/>
      </c>
      <c r="FK4689" s="36" t="str">
        <f>IF($FH4689="","",SUM($FN4689:$FN$7000))</f>
        <v/>
      </c>
    </row>
    <row r="4690" spans="164:167">
      <c r="FH4690" s="29" t="str">
        <f t="shared" si="128"/>
        <v/>
      </c>
      <c r="FJ4690" s="36" t="str">
        <f>IF($FH4690="","",SUM($FN4690:$FN$7000))</f>
        <v/>
      </c>
      <c r="FK4690" s="36" t="str">
        <f>IF($FH4690="","",SUM($FN4690:$FN$7000))</f>
        <v/>
      </c>
    </row>
    <row r="4691" spans="164:167">
      <c r="FH4691" s="29" t="str">
        <f t="shared" si="128"/>
        <v/>
      </c>
      <c r="FJ4691" s="36" t="str">
        <f>IF($FH4691="","",SUM($FN4691:$FN$7000))</f>
        <v/>
      </c>
      <c r="FK4691" s="36" t="str">
        <f>IF($FH4691="","",SUM($FN4691:$FN$7000))</f>
        <v/>
      </c>
    </row>
    <row r="4692" spans="164:167">
      <c r="FH4692" s="29" t="str">
        <f t="shared" si="128"/>
        <v/>
      </c>
      <c r="FJ4692" s="36" t="str">
        <f>IF($FH4692="","",SUM($FN4692:$FN$7000))</f>
        <v/>
      </c>
      <c r="FK4692" s="36" t="str">
        <f>IF($FH4692="","",SUM($FN4692:$FN$7000))</f>
        <v/>
      </c>
    </row>
    <row r="4693" spans="164:167">
      <c r="FH4693" s="29" t="str">
        <f t="shared" si="128"/>
        <v/>
      </c>
      <c r="FJ4693" s="36" t="str">
        <f>IF($FH4693="","",SUM($FN4693:$FN$7000))</f>
        <v/>
      </c>
      <c r="FK4693" s="36" t="str">
        <f>IF($FH4693="","",SUM($FN4693:$FN$7000))</f>
        <v/>
      </c>
    </row>
    <row r="4694" spans="164:167">
      <c r="FH4694" s="29" t="str">
        <f t="shared" si="128"/>
        <v/>
      </c>
      <c r="FJ4694" s="36" t="str">
        <f>IF($FH4694="","",SUM($FN4694:$FN$7000))</f>
        <v/>
      </c>
      <c r="FK4694" s="36" t="str">
        <f>IF($FH4694="","",SUM($FN4694:$FN$7000))</f>
        <v/>
      </c>
    </row>
    <row r="4695" spans="164:167">
      <c r="FH4695" s="29" t="str">
        <f t="shared" si="128"/>
        <v/>
      </c>
      <c r="FJ4695" s="36" t="str">
        <f>IF($FH4695="","",SUM($FN4695:$FN$7000))</f>
        <v/>
      </c>
      <c r="FK4695" s="36" t="str">
        <f>IF($FH4695="","",SUM($FN4695:$FN$7000))</f>
        <v/>
      </c>
    </row>
    <row r="4696" spans="164:167">
      <c r="FH4696" s="29" t="str">
        <f t="shared" si="128"/>
        <v/>
      </c>
      <c r="FJ4696" s="36" t="str">
        <f>IF($FH4696="","",SUM($FN4696:$FN$7000))</f>
        <v/>
      </c>
      <c r="FK4696" s="36" t="str">
        <f>IF($FH4696="","",SUM($FN4696:$FN$7000))</f>
        <v/>
      </c>
    </row>
    <row r="4697" spans="164:167">
      <c r="FH4697" s="29" t="str">
        <f t="shared" si="128"/>
        <v/>
      </c>
      <c r="FJ4697" s="36" t="str">
        <f>IF($FH4697="","",SUM($FN4697:$FN$7000))</f>
        <v/>
      </c>
      <c r="FK4697" s="36" t="str">
        <f>IF($FH4697="","",SUM($FN4697:$FN$7000))</f>
        <v/>
      </c>
    </row>
    <row r="4698" spans="164:167">
      <c r="FH4698" s="29" t="str">
        <f t="shared" si="128"/>
        <v/>
      </c>
      <c r="FJ4698" s="36" t="str">
        <f>IF($FH4698="","",SUM($FN4698:$FN$7000))</f>
        <v/>
      </c>
      <c r="FK4698" s="36" t="str">
        <f>IF($FH4698="","",SUM($FN4698:$FN$7000))</f>
        <v/>
      </c>
    </row>
    <row r="4699" spans="164:167">
      <c r="FH4699" s="29" t="str">
        <f t="shared" si="128"/>
        <v/>
      </c>
      <c r="FJ4699" s="36" t="str">
        <f>IF($FH4699="","",SUM($FN4699:$FN$7000))</f>
        <v/>
      </c>
      <c r="FK4699" s="36" t="str">
        <f>IF($FH4699="","",SUM($FN4699:$FN$7000))</f>
        <v/>
      </c>
    </row>
    <row r="4700" spans="164:167">
      <c r="FH4700" s="29" t="str">
        <f t="shared" si="128"/>
        <v/>
      </c>
      <c r="FJ4700" s="36" t="str">
        <f>IF($FH4700="","",SUM($FN4700:$FN$7000))</f>
        <v/>
      </c>
      <c r="FK4700" s="36" t="str">
        <f>IF($FH4700="","",SUM($FN4700:$FN$7000))</f>
        <v/>
      </c>
    </row>
    <row r="4701" spans="164:167">
      <c r="FH4701" s="29" t="str">
        <f t="shared" si="128"/>
        <v/>
      </c>
      <c r="FJ4701" s="36" t="str">
        <f>IF($FH4701="","",SUM($FN4701:$FN$7000))</f>
        <v/>
      </c>
      <c r="FK4701" s="36" t="str">
        <f>IF($FH4701="","",SUM($FN4701:$FN$7000))</f>
        <v/>
      </c>
    </row>
    <row r="4702" spans="164:167">
      <c r="FH4702" s="29" t="str">
        <f t="shared" si="128"/>
        <v/>
      </c>
      <c r="FJ4702" s="36" t="str">
        <f>IF($FH4702="","",SUM($FN4702:$FN$7000))</f>
        <v/>
      </c>
      <c r="FK4702" s="36" t="str">
        <f>IF($FH4702="","",SUM($FN4702:$FN$7000))</f>
        <v/>
      </c>
    </row>
    <row r="4703" spans="164:167">
      <c r="FH4703" s="29" t="str">
        <f t="shared" si="128"/>
        <v/>
      </c>
      <c r="FJ4703" s="36" t="str">
        <f>IF($FH4703="","",SUM($FN4703:$FN$7000))</f>
        <v/>
      </c>
      <c r="FK4703" s="36" t="str">
        <f>IF($FH4703="","",SUM($FN4703:$FN$7000))</f>
        <v/>
      </c>
    </row>
    <row r="4704" spans="164:167">
      <c r="FH4704" s="29" t="str">
        <f t="shared" si="128"/>
        <v/>
      </c>
      <c r="FJ4704" s="36" t="str">
        <f>IF($FH4704="","",SUM($FN4704:$FN$7000))</f>
        <v/>
      </c>
      <c r="FK4704" s="36" t="str">
        <f>IF($FH4704="","",SUM($FN4704:$FN$7000))</f>
        <v/>
      </c>
    </row>
    <row r="4705" spans="164:167">
      <c r="FH4705" s="29" t="str">
        <f t="shared" si="128"/>
        <v/>
      </c>
      <c r="FJ4705" s="36" t="str">
        <f>IF($FH4705="","",SUM($FN4705:$FN$7000))</f>
        <v/>
      </c>
      <c r="FK4705" s="36" t="str">
        <f>IF($FH4705="","",SUM($FN4705:$FN$7000))</f>
        <v/>
      </c>
    </row>
    <row r="4706" spans="164:167">
      <c r="FH4706" s="29" t="str">
        <f t="shared" si="128"/>
        <v/>
      </c>
      <c r="FJ4706" s="36" t="str">
        <f>IF($FH4706="","",SUM($FN4706:$FN$7000))</f>
        <v/>
      </c>
      <c r="FK4706" s="36" t="str">
        <f>IF($FH4706="","",SUM($FN4706:$FN$7000))</f>
        <v/>
      </c>
    </row>
    <row r="4707" spans="164:167">
      <c r="FH4707" s="29" t="str">
        <f t="shared" si="128"/>
        <v/>
      </c>
      <c r="FJ4707" s="36" t="str">
        <f>IF($FH4707="","",SUM($FN4707:$FN$7000))</f>
        <v/>
      </c>
      <c r="FK4707" s="36" t="str">
        <f>IF($FH4707="","",SUM($FN4707:$FN$7000))</f>
        <v/>
      </c>
    </row>
    <row r="4708" spans="164:167">
      <c r="FH4708" s="29" t="str">
        <f t="shared" si="128"/>
        <v/>
      </c>
      <c r="FJ4708" s="36" t="str">
        <f>IF($FH4708="","",SUM($FN4708:$FN$7000))</f>
        <v/>
      </c>
      <c r="FK4708" s="36" t="str">
        <f>IF($FH4708="","",SUM($FN4708:$FN$7000))</f>
        <v/>
      </c>
    </row>
    <row r="4709" spans="164:167">
      <c r="FH4709" s="29" t="str">
        <f t="shared" si="128"/>
        <v/>
      </c>
      <c r="FJ4709" s="36" t="str">
        <f>IF($FH4709="","",SUM($FN4709:$FN$7000))</f>
        <v/>
      </c>
      <c r="FK4709" s="36" t="str">
        <f>IF($FH4709="","",SUM($FN4709:$FN$7000))</f>
        <v/>
      </c>
    </row>
    <row r="4710" spans="164:167">
      <c r="FH4710" s="29" t="str">
        <f t="shared" si="128"/>
        <v/>
      </c>
      <c r="FJ4710" s="36" t="str">
        <f>IF($FH4710="","",SUM($FN4710:$FN$7000))</f>
        <v/>
      </c>
      <c r="FK4710" s="36" t="str">
        <f>IF($FH4710="","",SUM($FN4710:$FN$7000))</f>
        <v/>
      </c>
    </row>
    <row r="4711" spans="164:167">
      <c r="FH4711" s="29" t="str">
        <f t="shared" si="128"/>
        <v/>
      </c>
      <c r="FJ4711" s="36" t="str">
        <f>IF($FH4711="","",SUM($FN4711:$FN$7000))</f>
        <v/>
      </c>
      <c r="FK4711" s="36" t="str">
        <f>IF($FH4711="","",SUM($FN4711:$FN$7000))</f>
        <v/>
      </c>
    </row>
    <row r="4712" spans="164:167">
      <c r="FH4712" s="29" t="str">
        <f t="shared" si="128"/>
        <v/>
      </c>
      <c r="FJ4712" s="36" t="str">
        <f>IF($FH4712="","",SUM($FN4712:$FN$7000))</f>
        <v/>
      </c>
      <c r="FK4712" s="36" t="str">
        <f>IF($FH4712="","",SUM($FN4712:$FN$7000))</f>
        <v/>
      </c>
    </row>
    <row r="4713" spans="164:167">
      <c r="FH4713" s="29" t="str">
        <f t="shared" si="128"/>
        <v/>
      </c>
      <c r="FJ4713" s="36" t="str">
        <f>IF($FH4713="","",SUM($FN4713:$FN$7000))</f>
        <v/>
      </c>
      <c r="FK4713" s="36" t="str">
        <f>IF($FH4713="","",SUM($FN4713:$FN$7000))</f>
        <v/>
      </c>
    </row>
    <row r="4714" spans="164:167">
      <c r="FH4714" s="29" t="str">
        <f t="shared" si="128"/>
        <v/>
      </c>
      <c r="FJ4714" s="36" t="str">
        <f>IF($FH4714="","",SUM($FN4714:$FN$7000))</f>
        <v/>
      </c>
      <c r="FK4714" s="36" t="str">
        <f>IF($FH4714="","",SUM($FN4714:$FN$7000))</f>
        <v/>
      </c>
    </row>
    <row r="4715" spans="164:167">
      <c r="FH4715" s="29" t="str">
        <f t="shared" si="128"/>
        <v/>
      </c>
      <c r="FJ4715" s="36" t="str">
        <f>IF($FH4715="","",SUM($FN4715:$FN$7000))</f>
        <v/>
      </c>
      <c r="FK4715" s="36" t="str">
        <f>IF($FH4715="","",SUM($FN4715:$FN$7000))</f>
        <v/>
      </c>
    </row>
    <row r="4716" spans="164:167">
      <c r="FH4716" s="29" t="str">
        <f t="shared" si="128"/>
        <v/>
      </c>
      <c r="FJ4716" s="36" t="str">
        <f>IF($FH4716="","",SUM($FN4716:$FN$7000))</f>
        <v/>
      </c>
      <c r="FK4716" s="36" t="str">
        <f>IF($FH4716="","",SUM($FN4716:$FN$7000))</f>
        <v/>
      </c>
    </row>
    <row r="4717" spans="164:167">
      <c r="FH4717" s="29" t="str">
        <f t="shared" si="128"/>
        <v/>
      </c>
      <c r="FJ4717" s="36" t="str">
        <f>IF($FH4717="","",SUM($FN4717:$FN$7000))</f>
        <v/>
      </c>
      <c r="FK4717" s="36" t="str">
        <f>IF($FH4717="","",SUM($FN4717:$FN$7000))</f>
        <v/>
      </c>
    </row>
    <row r="4718" spans="164:167">
      <c r="FH4718" s="29" t="str">
        <f t="shared" si="128"/>
        <v/>
      </c>
      <c r="FJ4718" s="36" t="str">
        <f>IF($FH4718="","",SUM($FN4718:$FN$7000))</f>
        <v/>
      </c>
      <c r="FK4718" s="36" t="str">
        <f>IF($FH4718="","",SUM($FN4718:$FN$7000))</f>
        <v/>
      </c>
    </row>
    <row r="4719" spans="164:167">
      <c r="FH4719" s="29" t="str">
        <f t="shared" si="128"/>
        <v/>
      </c>
      <c r="FJ4719" s="36" t="str">
        <f>IF($FH4719="","",SUM($FN4719:$FN$7000))</f>
        <v/>
      </c>
      <c r="FK4719" s="36" t="str">
        <f>IF($FH4719="","",SUM($FN4719:$FN$7000))</f>
        <v/>
      </c>
    </row>
    <row r="4720" spans="164:167">
      <c r="FH4720" s="29" t="str">
        <f t="shared" si="128"/>
        <v/>
      </c>
      <c r="FJ4720" s="36" t="str">
        <f>IF($FH4720="","",SUM($FN4720:$FN$7000))</f>
        <v/>
      </c>
      <c r="FK4720" s="36" t="str">
        <f>IF($FH4720="","",SUM($FN4720:$FN$7000))</f>
        <v/>
      </c>
    </row>
    <row r="4721" spans="164:167">
      <c r="FH4721" s="29" t="str">
        <f t="shared" si="128"/>
        <v/>
      </c>
      <c r="FJ4721" s="36" t="str">
        <f>IF($FH4721="","",SUM($FN4721:$FN$7000))</f>
        <v/>
      </c>
      <c r="FK4721" s="36" t="str">
        <f>IF($FH4721="","",SUM($FN4721:$FN$7000))</f>
        <v/>
      </c>
    </row>
    <row r="4722" spans="164:167">
      <c r="FH4722" s="29" t="str">
        <f t="shared" si="128"/>
        <v/>
      </c>
      <c r="FJ4722" s="36" t="str">
        <f>IF($FH4722="","",SUM($FN4722:$FN$7000))</f>
        <v/>
      </c>
      <c r="FK4722" s="36" t="str">
        <f>IF($FH4722="","",SUM($FN4722:$FN$7000))</f>
        <v/>
      </c>
    </row>
    <row r="4723" spans="164:167">
      <c r="FH4723" s="29" t="str">
        <f t="shared" si="128"/>
        <v/>
      </c>
      <c r="FJ4723" s="36" t="str">
        <f>IF($FH4723="","",SUM($FN4723:$FN$7000))</f>
        <v/>
      </c>
      <c r="FK4723" s="36" t="str">
        <f>IF($FH4723="","",SUM($FN4723:$FN$7000))</f>
        <v/>
      </c>
    </row>
    <row r="4724" spans="164:167">
      <c r="FH4724" s="29" t="str">
        <f t="shared" si="128"/>
        <v/>
      </c>
      <c r="FJ4724" s="36" t="str">
        <f>IF($FH4724="","",SUM($FN4724:$FN$7000))</f>
        <v/>
      </c>
      <c r="FK4724" s="36" t="str">
        <f>IF($FH4724="","",SUM($FN4724:$FN$7000))</f>
        <v/>
      </c>
    </row>
    <row r="4725" spans="164:167">
      <c r="FH4725" s="29" t="str">
        <f t="shared" si="128"/>
        <v/>
      </c>
      <c r="FJ4725" s="36" t="str">
        <f>IF($FH4725="","",SUM($FN4725:$FN$7000))</f>
        <v/>
      </c>
      <c r="FK4725" s="36" t="str">
        <f>IF($FH4725="","",SUM($FN4725:$FN$7000))</f>
        <v/>
      </c>
    </row>
    <row r="4726" spans="164:167">
      <c r="FH4726" s="29" t="str">
        <f t="shared" si="128"/>
        <v/>
      </c>
      <c r="FJ4726" s="36" t="str">
        <f>IF($FH4726="","",SUM($FN4726:$FN$7000))</f>
        <v/>
      </c>
      <c r="FK4726" s="36" t="str">
        <f>IF($FH4726="","",SUM($FN4726:$FN$7000))</f>
        <v/>
      </c>
    </row>
    <row r="4727" spans="164:167">
      <c r="FH4727" s="29" t="str">
        <f t="shared" si="128"/>
        <v/>
      </c>
      <c r="FJ4727" s="36" t="str">
        <f>IF($FH4727="","",SUM($FN4727:$FN$7000))</f>
        <v/>
      </c>
      <c r="FK4727" s="36" t="str">
        <f>IF($FH4727="","",SUM($FN4727:$FN$7000))</f>
        <v/>
      </c>
    </row>
    <row r="4728" spans="164:167">
      <c r="FH4728" s="29" t="str">
        <f t="shared" si="128"/>
        <v/>
      </c>
      <c r="FJ4728" s="36" t="str">
        <f>IF($FH4728="","",SUM($FN4728:$FN$7000))</f>
        <v/>
      </c>
      <c r="FK4728" s="36" t="str">
        <f>IF($FH4728="","",SUM($FN4728:$FN$7000))</f>
        <v/>
      </c>
    </row>
    <row r="4729" spans="164:167">
      <c r="FH4729" s="29" t="str">
        <f t="shared" si="128"/>
        <v/>
      </c>
      <c r="FJ4729" s="36" t="str">
        <f>IF($FH4729="","",SUM($FN4729:$FN$7000))</f>
        <v/>
      </c>
      <c r="FK4729" s="36" t="str">
        <f>IF($FH4729="","",SUM($FN4729:$FN$7000))</f>
        <v/>
      </c>
    </row>
    <row r="4730" spans="164:167">
      <c r="FH4730" s="29" t="str">
        <f t="shared" si="128"/>
        <v/>
      </c>
      <c r="FJ4730" s="36" t="str">
        <f>IF($FH4730="","",SUM($FN4730:$FN$7000))</f>
        <v/>
      </c>
      <c r="FK4730" s="36" t="str">
        <f>IF($FH4730="","",SUM($FN4730:$FN$7000))</f>
        <v/>
      </c>
    </row>
    <row r="4731" spans="164:167">
      <c r="FH4731" s="29" t="str">
        <f t="shared" si="128"/>
        <v/>
      </c>
      <c r="FJ4731" s="36" t="str">
        <f>IF($FH4731="","",SUM($FN4731:$FN$7000))</f>
        <v/>
      </c>
      <c r="FK4731" s="36" t="str">
        <f>IF($FH4731="","",SUM($FN4731:$FN$7000))</f>
        <v/>
      </c>
    </row>
    <row r="4732" spans="164:167">
      <c r="FH4732" s="29" t="str">
        <f t="shared" si="128"/>
        <v/>
      </c>
      <c r="FJ4732" s="36" t="str">
        <f>IF($FH4732="","",SUM($FN4732:$FN$7000))</f>
        <v/>
      </c>
      <c r="FK4732" s="36" t="str">
        <f>IF($FH4732="","",SUM($FN4732:$FN$7000))</f>
        <v/>
      </c>
    </row>
    <row r="4733" spans="164:167">
      <c r="FH4733" s="29" t="str">
        <f t="shared" si="128"/>
        <v/>
      </c>
      <c r="FJ4733" s="36" t="str">
        <f>IF($FH4733="","",SUM($FN4733:$FN$7000))</f>
        <v/>
      </c>
      <c r="FK4733" s="36" t="str">
        <f>IF($FH4733="","",SUM($FN4733:$FN$7000))</f>
        <v/>
      </c>
    </row>
    <row r="4734" spans="164:167">
      <c r="FH4734" s="29" t="str">
        <f t="shared" si="128"/>
        <v/>
      </c>
      <c r="FJ4734" s="36" t="str">
        <f>IF($FH4734="","",SUM($FN4734:$FN$7000))</f>
        <v/>
      </c>
      <c r="FK4734" s="36" t="str">
        <f>IF($FH4734="","",SUM($FN4734:$FN$7000))</f>
        <v/>
      </c>
    </row>
    <row r="4735" spans="164:167">
      <c r="FH4735" s="29" t="str">
        <f t="shared" si="128"/>
        <v/>
      </c>
      <c r="FJ4735" s="36" t="str">
        <f>IF($FH4735="","",SUM($FN4735:$FN$7000))</f>
        <v/>
      </c>
      <c r="FK4735" s="36" t="str">
        <f>IF($FH4735="","",SUM($FN4735:$FN$7000))</f>
        <v/>
      </c>
    </row>
    <row r="4736" spans="164:167">
      <c r="FH4736" s="29" t="str">
        <f t="shared" si="128"/>
        <v/>
      </c>
      <c r="FJ4736" s="36" t="str">
        <f>IF($FH4736="","",SUM($FN4736:$FN$7000))</f>
        <v/>
      </c>
      <c r="FK4736" s="36" t="str">
        <f>IF($FH4736="","",SUM($FN4736:$FN$7000))</f>
        <v/>
      </c>
    </row>
    <row r="4737" spans="164:167">
      <c r="FH4737" s="29" t="str">
        <f t="shared" si="128"/>
        <v/>
      </c>
      <c r="FJ4737" s="36" t="str">
        <f>IF($FH4737="","",SUM($FN4737:$FN$7000))</f>
        <v/>
      </c>
      <c r="FK4737" s="36" t="str">
        <f>IF($FH4737="","",SUM($FN4737:$FN$7000))</f>
        <v/>
      </c>
    </row>
    <row r="4738" spans="164:167">
      <c r="FH4738" s="29" t="str">
        <f t="shared" si="128"/>
        <v/>
      </c>
      <c r="FJ4738" s="36" t="str">
        <f>IF($FH4738="","",SUM($FN4738:$FN$7000))</f>
        <v/>
      </c>
      <c r="FK4738" s="36" t="str">
        <f>IF($FH4738="","",SUM($FN4738:$FN$7000))</f>
        <v/>
      </c>
    </row>
    <row r="4739" spans="164:167">
      <c r="FH4739" s="29" t="str">
        <f t="shared" si="128"/>
        <v/>
      </c>
      <c r="FJ4739" s="36" t="str">
        <f>IF($FH4739="","",SUM($FN4739:$FN$7000))</f>
        <v/>
      </c>
      <c r="FK4739" s="36" t="str">
        <f>IF($FH4739="","",SUM($FN4739:$FN$7000))</f>
        <v/>
      </c>
    </row>
    <row r="4740" spans="164:167">
      <c r="FH4740" s="29" t="str">
        <f t="shared" si="128"/>
        <v/>
      </c>
      <c r="FJ4740" s="36" t="str">
        <f>IF($FH4740="","",SUM($FN4740:$FN$7000))</f>
        <v/>
      </c>
      <c r="FK4740" s="36" t="str">
        <f>IF($FH4740="","",SUM($FN4740:$FN$7000))</f>
        <v/>
      </c>
    </row>
    <row r="4741" spans="164:167">
      <c r="FH4741" s="29" t="str">
        <f t="shared" si="128"/>
        <v/>
      </c>
      <c r="FJ4741" s="36" t="str">
        <f>IF($FH4741="","",SUM($FN4741:$FN$7000))</f>
        <v/>
      </c>
      <c r="FK4741" s="36" t="str">
        <f>IF($FH4741="","",SUM($FN4741:$FN$7000))</f>
        <v/>
      </c>
    </row>
    <row r="4742" spans="164:167">
      <c r="FH4742" s="29" t="str">
        <f t="shared" si="128"/>
        <v/>
      </c>
      <c r="FJ4742" s="36" t="str">
        <f>IF($FH4742="","",SUM($FN4742:$FN$7000))</f>
        <v/>
      </c>
      <c r="FK4742" s="36" t="str">
        <f>IF($FH4742="","",SUM($FN4742:$FN$7000))</f>
        <v/>
      </c>
    </row>
    <row r="4743" spans="164:167">
      <c r="FH4743" s="29" t="str">
        <f t="shared" si="128"/>
        <v/>
      </c>
      <c r="FJ4743" s="36" t="str">
        <f>IF($FH4743="","",SUM($FN4743:$FN$7000))</f>
        <v/>
      </c>
      <c r="FK4743" s="36" t="str">
        <f>IF($FH4743="","",SUM($FN4743:$FN$7000))</f>
        <v/>
      </c>
    </row>
    <row r="4744" spans="164:167">
      <c r="FH4744" s="29" t="str">
        <f t="shared" si="128"/>
        <v/>
      </c>
      <c r="FJ4744" s="36" t="str">
        <f>IF($FH4744="","",SUM($FN4744:$FN$7000))</f>
        <v/>
      </c>
      <c r="FK4744" s="36" t="str">
        <f>IF($FH4744="","",SUM($FN4744:$FN$7000))</f>
        <v/>
      </c>
    </row>
    <row r="4745" spans="164:167">
      <c r="FH4745" s="29" t="str">
        <f t="shared" si="128"/>
        <v/>
      </c>
      <c r="FJ4745" s="36" t="str">
        <f>IF($FH4745="","",SUM($FN4745:$FN$7000))</f>
        <v/>
      </c>
      <c r="FK4745" s="36" t="str">
        <f>IF($FH4745="","",SUM($FN4745:$FN$7000))</f>
        <v/>
      </c>
    </row>
    <row r="4746" spans="164:167">
      <c r="FH4746" s="29" t="str">
        <f t="shared" si="128"/>
        <v/>
      </c>
      <c r="FJ4746" s="36" t="str">
        <f>IF($FH4746="","",SUM($FN4746:$FN$7000))</f>
        <v/>
      </c>
      <c r="FK4746" s="36" t="str">
        <f>IF($FH4746="","",SUM($FN4746:$FN$7000))</f>
        <v/>
      </c>
    </row>
    <row r="4747" spans="164:167">
      <c r="FH4747" s="29" t="str">
        <f t="shared" ref="FH4747:FH4810" si="129">IF(FL4747="","",FL4747)</f>
        <v/>
      </c>
      <c r="FJ4747" s="36" t="str">
        <f>IF($FH4747="","",SUM($FN4747:$FN$7000))</f>
        <v/>
      </c>
      <c r="FK4747" s="36" t="str">
        <f>IF($FH4747="","",SUM($FN4747:$FN$7000))</f>
        <v/>
      </c>
    </row>
    <row r="4748" spans="164:167">
      <c r="FH4748" s="29" t="str">
        <f t="shared" si="129"/>
        <v/>
      </c>
      <c r="FJ4748" s="36" t="str">
        <f>IF($FH4748="","",SUM($FN4748:$FN$7000))</f>
        <v/>
      </c>
      <c r="FK4748" s="36" t="str">
        <f>IF($FH4748="","",SUM($FN4748:$FN$7000))</f>
        <v/>
      </c>
    </row>
    <row r="4749" spans="164:167">
      <c r="FH4749" s="29" t="str">
        <f t="shared" si="129"/>
        <v/>
      </c>
      <c r="FJ4749" s="36" t="str">
        <f>IF($FH4749="","",SUM($FN4749:$FN$7000))</f>
        <v/>
      </c>
      <c r="FK4749" s="36" t="str">
        <f>IF($FH4749="","",SUM($FN4749:$FN$7000))</f>
        <v/>
      </c>
    </row>
    <row r="4750" spans="164:167">
      <c r="FH4750" s="29" t="str">
        <f t="shared" si="129"/>
        <v/>
      </c>
      <c r="FJ4750" s="36" t="str">
        <f>IF($FH4750="","",SUM($FN4750:$FN$7000))</f>
        <v/>
      </c>
      <c r="FK4750" s="36" t="str">
        <f>IF($FH4750="","",SUM($FN4750:$FN$7000))</f>
        <v/>
      </c>
    </row>
    <row r="4751" spans="164:167">
      <c r="FH4751" s="29" t="str">
        <f t="shared" si="129"/>
        <v/>
      </c>
      <c r="FJ4751" s="36" t="str">
        <f>IF($FH4751="","",SUM($FN4751:$FN$7000))</f>
        <v/>
      </c>
      <c r="FK4751" s="36" t="str">
        <f>IF($FH4751="","",SUM($FN4751:$FN$7000))</f>
        <v/>
      </c>
    </row>
    <row r="4752" spans="164:167">
      <c r="FH4752" s="29" t="str">
        <f t="shared" si="129"/>
        <v/>
      </c>
      <c r="FJ4752" s="36" t="str">
        <f>IF($FH4752="","",SUM($FN4752:$FN$7000))</f>
        <v/>
      </c>
      <c r="FK4752" s="36" t="str">
        <f>IF($FH4752="","",SUM($FN4752:$FN$7000))</f>
        <v/>
      </c>
    </row>
    <row r="4753" spans="164:167">
      <c r="FH4753" s="29" t="str">
        <f t="shared" si="129"/>
        <v/>
      </c>
      <c r="FJ4753" s="36" t="str">
        <f>IF($FH4753="","",SUM($FN4753:$FN$7000))</f>
        <v/>
      </c>
      <c r="FK4753" s="36" t="str">
        <f>IF($FH4753="","",SUM($FN4753:$FN$7000))</f>
        <v/>
      </c>
    </row>
    <row r="4754" spans="164:167">
      <c r="FH4754" s="29" t="str">
        <f t="shared" si="129"/>
        <v/>
      </c>
      <c r="FJ4754" s="36" t="str">
        <f>IF($FH4754="","",SUM($FN4754:$FN$7000))</f>
        <v/>
      </c>
      <c r="FK4754" s="36" t="str">
        <f>IF($FH4754="","",SUM($FN4754:$FN$7000))</f>
        <v/>
      </c>
    </row>
    <row r="4755" spans="164:167">
      <c r="FH4755" s="29" t="str">
        <f t="shared" si="129"/>
        <v/>
      </c>
      <c r="FJ4755" s="36" t="str">
        <f>IF($FH4755="","",SUM($FN4755:$FN$7000))</f>
        <v/>
      </c>
      <c r="FK4755" s="36" t="str">
        <f>IF($FH4755="","",SUM($FN4755:$FN$7000))</f>
        <v/>
      </c>
    </row>
    <row r="4756" spans="164:167">
      <c r="FH4756" s="29" t="str">
        <f t="shared" si="129"/>
        <v/>
      </c>
      <c r="FJ4756" s="36" t="str">
        <f>IF($FH4756="","",SUM($FN4756:$FN$7000))</f>
        <v/>
      </c>
      <c r="FK4756" s="36" t="str">
        <f>IF($FH4756="","",SUM($FN4756:$FN$7000))</f>
        <v/>
      </c>
    </row>
    <row r="4757" spans="164:167">
      <c r="FH4757" s="29" t="str">
        <f t="shared" si="129"/>
        <v/>
      </c>
      <c r="FJ4757" s="36" t="str">
        <f>IF($FH4757="","",SUM($FN4757:$FN$7000))</f>
        <v/>
      </c>
      <c r="FK4757" s="36" t="str">
        <f>IF($FH4757="","",SUM($FN4757:$FN$7000))</f>
        <v/>
      </c>
    </row>
    <row r="4758" spans="164:167">
      <c r="FH4758" s="29" t="str">
        <f t="shared" si="129"/>
        <v/>
      </c>
      <c r="FJ4758" s="36" t="str">
        <f>IF($FH4758="","",SUM($FN4758:$FN$7000))</f>
        <v/>
      </c>
      <c r="FK4758" s="36" t="str">
        <f>IF($FH4758="","",SUM($FN4758:$FN$7000))</f>
        <v/>
      </c>
    </row>
    <row r="4759" spans="164:167">
      <c r="FH4759" s="29" t="str">
        <f t="shared" si="129"/>
        <v/>
      </c>
      <c r="FJ4759" s="36" t="str">
        <f>IF($FH4759="","",SUM($FN4759:$FN$7000))</f>
        <v/>
      </c>
      <c r="FK4759" s="36" t="str">
        <f>IF($FH4759="","",SUM($FN4759:$FN$7000))</f>
        <v/>
      </c>
    </row>
    <row r="4760" spans="164:167">
      <c r="FH4760" s="29" t="str">
        <f t="shared" si="129"/>
        <v/>
      </c>
      <c r="FJ4760" s="36" t="str">
        <f>IF($FH4760="","",SUM($FN4760:$FN$7000))</f>
        <v/>
      </c>
      <c r="FK4760" s="36" t="str">
        <f>IF($FH4760="","",SUM($FN4760:$FN$7000))</f>
        <v/>
      </c>
    </row>
    <row r="4761" spans="164:167">
      <c r="FH4761" s="29" t="str">
        <f t="shared" si="129"/>
        <v/>
      </c>
      <c r="FJ4761" s="36" t="str">
        <f>IF($FH4761="","",SUM($FN4761:$FN$7000))</f>
        <v/>
      </c>
      <c r="FK4761" s="36" t="str">
        <f>IF($FH4761="","",SUM($FN4761:$FN$7000))</f>
        <v/>
      </c>
    </row>
    <row r="4762" spans="164:167">
      <c r="FH4762" s="29" t="str">
        <f t="shared" si="129"/>
        <v/>
      </c>
      <c r="FJ4762" s="36" t="str">
        <f>IF($FH4762="","",SUM($FN4762:$FN$7000))</f>
        <v/>
      </c>
      <c r="FK4762" s="36" t="str">
        <f>IF($FH4762="","",SUM($FN4762:$FN$7000))</f>
        <v/>
      </c>
    </row>
    <row r="4763" spans="164:167">
      <c r="FH4763" s="29" t="str">
        <f t="shared" si="129"/>
        <v/>
      </c>
      <c r="FJ4763" s="36" t="str">
        <f>IF($FH4763="","",SUM($FN4763:$FN$7000))</f>
        <v/>
      </c>
      <c r="FK4763" s="36" t="str">
        <f>IF($FH4763="","",SUM($FN4763:$FN$7000))</f>
        <v/>
      </c>
    </row>
    <row r="4764" spans="164:167">
      <c r="FH4764" s="29" t="str">
        <f t="shared" si="129"/>
        <v/>
      </c>
      <c r="FJ4764" s="36" t="str">
        <f>IF($FH4764="","",SUM($FN4764:$FN$7000))</f>
        <v/>
      </c>
      <c r="FK4764" s="36" t="str">
        <f>IF($FH4764="","",SUM($FN4764:$FN$7000))</f>
        <v/>
      </c>
    </row>
    <row r="4765" spans="164:167">
      <c r="FH4765" s="29" t="str">
        <f t="shared" si="129"/>
        <v/>
      </c>
      <c r="FJ4765" s="36" t="str">
        <f>IF($FH4765="","",SUM($FN4765:$FN$7000))</f>
        <v/>
      </c>
      <c r="FK4765" s="36" t="str">
        <f>IF($FH4765="","",SUM($FN4765:$FN$7000))</f>
        <v/>
      </c>
    </row>
    <row r="4766" spans="164:167">
      <c r="FH4766" s="29" t="str">
        <f t="shared" si="129"/>
        <v/>
      </c>
      <c r="FJ4766" s="36" t="str">
        <f>IF($FH4766="","",SUM($FN4766:$FN$7000))</f>
        <v/>
      </c>
      <c r="FK4766" s="36" t="str">
        <f>IF($FH4766="","",SUM($FN4766:$FN$7000))</f>
        <v/>
      </c>
    </row>
    <row r="4767" spans="164:167">
      <c r="FH4767" s="29" t="str">
        <f t="shared" si="129"/>
        <v/>
      </c>
      <c r="FJ4767" s="36" t="str">
        <f>IF($FH4767="","",SUM($FN4767:$FN$7000))</f>
        <v/>
      </c>
      <c r="FK4767" s="36" t="str">
        <f>IF($FH4767="","",SUM($FN4767:$FN$7000))</f>
        <v/>
      </c>
    </row>
    <row r="4768" spans="164:167">
      <c r="FH4768" s="29" t="str">
        <f t="shared" si="129"/>
        <v/>
      </c>
      <c r="FJ4768" s="36" t="str">
        <f>IF($FH4768="","",SUM($FN4768:$FN$7000))</f>
        <v/>
      </c>
      <c r="FK4768" s="36" t="str">
        <f>IF($FH4768="","",SUM($FN4768:$FN$7000))</f>
        <v/>
      </c>
    </row>
    <row r="4769" spans="164:167">
      <c r="FH4769" s="29" t="str">
        <f t="shared" si="129"/>
        <v/>
      </c>
      <c r="FJ4769" s="36" t="str">
        <f>IF($FH4769="","",SUM($FN4769:$FN$7000))</f>
        <v/>
      </c>
      <c r="FK4769" s="36" t="str">
        <f>IF($FH4769="","",SUM($FN4769:$FN$7000))</f>
        <v/>
      </c>
    </row>
    <row r="4770" spans="164:167">
      <c r="FH4770" s="29" t="str">
        <f t="shared" si="129"/>
        <v/>
      </c>
      <c r="FJ4770" s="36" t="str">
        <f>IF($FH4770="","",SUM($FN4770:$FN$7000))</f>
        <v/>
      </c>
      <c r="FK4770" s="36" t="str">
        <f>IF($FH4770="","",SUM($FN4770:$FN$7000))</f>
        <v/>
      </c>
    </row>
    <row r="4771" spans="164:167">
      <c r="FH4771" s="29" t="str">
        <f t="shared" si="129"/>
        <v/>
      </c>
      <c r="FJ4771" s="36" t="str">
        <f>IF($FH4771="","",SUM($FN4771:$FN$7000))</f>
        <v/>
      </c>
      <c r="FK4771" s="36" t="str">
        <f>IF($FH4771="","",SUM($FN4771:$FN$7000))</f>
        <v/>
      </c>
    </row>
    <row r="4772" spans="164:167">
      <c r="FH4772" s="29" t="str">
        <f t="shared" si="129"/>
        <v/>
      </c>
      <c r="FJ4772" s="36" t="str">
        <f>IF($FH4772="","",SUM($FN4772:$FN$7000))</f>
        <v/>
      </c>
      <c r="FK4772" s="36" t="str">
        <f>IF($FH4772="","",SUM($FN4772:$FN$7000))</f>
        <v/>
      </c>
    </row>
    <row r="4773" spans="164:167">
      <c r="FH4773" s="29" t="str">
        <f t="shared" si="129"/>
        <v/>
      </c>
      <c r="FJ4773" s="36" t="str">
        <f>IF($FH4773="","",SUM($FN4773:$FN$7000))</f>
        <v/>
      </c>
      <c r="FK4773" s="36" t="str">
        <f>IF($FH4773="","",SUM($FN4773:$FN$7000))</f>
        <v/>
      </c>
    </row>
    <row r="4774" spans="164:167">
      <c r="FH4774" s="29" t="str">
        <f t="shared" si="129"/>
        <v/>
      </c>
      <c r="FJ4774" s="36" t="str">
        <f>IF($FH4774="","",SUM($FN4774:$FN$7000))</f>
        <v/>
      </c>
      <c r="FK4774" s="36" t="str">
        <f>IF($FH4774="","",SUM($FN4774:$FN$7000))</f>
        <v/>
      </c>
    </row>
    <row r="4775" spans="164:167">
      <c r="FH4775" s="29" t="str">
        <f t="shared" si="129"/>
        <v/>
      </c>
      <c r="FJ4775" s="36" t="str">
        <f>IF($FH4775="","",SUM($FN4775:$FN$7000))</f>
        <v/>
      </c>
      <c r="FK4775" s="36" t="str">
        <f>IF($FH4775="","",SUM($FN4775:$FN$7000))</f>
        <v/>
      </c>
    </row>
    <row r="4776" spans="164:167">
      <c r="FH4776" s="29" t="str">
        <f t="shared" si="129"/>
        <v/>
      </c>
      <c r="FJ4776" s="36" t="str">
        <f>IF($FH4776="","",SUM($FN4776:$FN$7000))</f>
        <v/>
      </c>
      <c r="FK4776" s="36" t="str">
        <f>IF($FH4776="","",SUM($FN4776:$FN$7000))</f>
        <v/>
      </c>
    </row>
    <row r="4777" spans="164:167">
      <c r="FH4777" s="29" t="str">
        <f t="shared" si="129"/>
        <v/>
      </c>
      <c r="FJ4777" s="36" t="str">
        <f>IF($FH4777="","",SUM($FN4777:$FN$7000))</f>
        <v/>
      </c>
      <c r="FK4777" s="36" t="str">
        <f>IF($FH4777="","",SUM($FN4777:$FN$7000))</f>
        <v/>
      </c>
    </row>
    <row r="4778" spans="164:167">
      <c r="FH4778" s="29" t="str">
        <f t="shared" si="129"/>
        <v/>
      </c>
      <c r="FJ4778" s="36" t="str">
        <f>IF($FH4778="","",SUM($FN4778:$FN$7000))</f>
        <v/>
      </c>
      <c r="FK4778" s="36" t="str">
        <f>IF($FH4778="","",SUM($FN4778:$FN$7000))</f>
        <v/>
      </c>
    </row>
    <row r="4779" spans="164:167">
      <c r="FH4779" s="29" t="str">
        <f t="shared" si="129"/>
        <v/>
      </c>
      <c r="FJ4779" s="36" t="str">
        <f>IF($FH4779="","",SUM($FN4779:$FN$7000))</f>
        <v/>
      </c>
      <c r="FK4779" s="36" t="str">
        <f>IF($FH4779="","",SUM($FN4779:$FN$7000))</f>
        <v/>
      </c>
    </row>
    <row r="4780" spans="164:167">
      <c r="FH4780" s="29" t="str">
        <f t="shared" si="129"/>
        <v/>
      </c>
      <c r="FJ4780" s="36" t="str">
        <f>IF($FH4780="","",SUM($FN4780:$FN$7000))</f>
        <v/>
      </c>
      <c r="FK4780" s="36" t="str">
        <f>IF($FH4780="","",SUM($FN4780:$FN$7000))</f>
        <v/>
      </c>
    </row>
    <row r="4781" spans="164:167">
      <c r="FH4781" s="29" t="str">
        <f t="shared" si="129"/>
        <v/>
      </c>
      <c r="FJ4781" s="36" t="str">
        <f>IF($FH4781="","",SUM($FN4781:$FN$7000))</f>
        <v/>
      </c>
      <c r="FK4781" s="36" t="str">
        <f>IF($FH4781="","",SUM($FN4781:$FN$7000))</f>
        <v/>
      </c>
    </row>
    <row r="4782" spans="164:167">
      <c r="FH4782" s="29" t="str">
        <f t="shared" si="129"/>
        <v/>
      </c>
      <c r="FJ4782" s="36" t="str">
        <f>IF($FH4782="","",SUM($FN4782:$FN$7000))</f>
        <v/>
      </c>
      <c r="FK4782" s="36" t="str">
        <f>IF($FH4782="","",SUM($FN4782:$FN$7000))</f>
        <v/>
      </c>
    </row>
    <row r="4783" spans="164:167">
      <c r="FH4783" s="29" t="str">
        <f t="shared" si="129"/>
        <v/>
      </c>
      <c r="FJ4783" s="36" t="str">
        <f>IF($FH4783="","",SUM($FN4783:$FN$7000))</f>
        <v/>
      </c>
      <c r="FK4783" s="36" t="str">
        <f>IF($FH4783="","",SUM($FN4783:$FN$7000))</f>
        <v/>
      </c>
    </row>
    <row r="4784" spans="164:167">
      <c r="FH4784" s="29" t="str">
        <f t="shared" si="129"/>
        <v/>
      </c>
      <c r="FJ4784" s="36" t="str">
        <f>IF($FH4784="","",SUM($FN4784:$FN$7000))</f>
        <v/>
      </c>
      <c r="FK4784" s="36" t="str">
        <f>IF($FH4784="","",SUM($FN4784:$FN$7000))</f>
        <v/>
      </c>
    </row>
    <row r="4785" spans="164:167">
      <c r="FH4785" s="29" t="str">
        <f t="shared" si="129"/>
        <v/>
      </c>
      <c r="FJ4785" s="36" t="str">
        <f>IF($FH4785="","",SUM($FN4785:$FN$7000))</f>
        <v/>
      </c>
      <c r="FK4785" s="36" t="str">
        <f>IF($FH4785="","",SUM($FN4785:$FN$7000))</f>
        <v/>
      </c>
    </row>
    <row r="4786" spans="164:167">
      <c r="FH4786" s="29" t="str">
        <f t="shared" si="129"/>
        <v/>
      </c>
      <c r="FJ4786" s="36" t="str">
        <f>IF($FH4786="","",SUM($FN4786:$FN$7000))</f>
        <v/>
      </c>
      <c r="FK4786" s="36" t="str">
        <f>IF($FH4786="","",SUM($FN4786:$FN$7000))</f>
        <v/>
      </c>
    </row>
    <row r="4787" spans="164:167">
      <c r="FH4787" s="29" t="str">
        <f t="shared" si="129"/>
        <v/>
      </c>
      <c r="FJ4787" s="36" t="str">
        <f>IF($FH4787="","",SUM($FN4787:$FN$7000))</f>
        <v/>
      </c>
      <c r="FK4787" s="36" t="str">
        <f>IF($FH4787="","",SUM($FN4787:$FN$7000))</f>
        <v/>
      </c>
    </row>
    <row r="4788" spans="164:167">
      <c r="FH4788" s="29" t="str">
        <f t="shared" si="129"/>
        <v/>
      </c>
      <c r="FJ4788" s="36" t="str">
        <f>IF($FH4788="","",SUM($FN4788:$FN$7000))</f>
        <v/>
      </c>
      <c r="FK4788" s="36" t="str">
        <f>IF($FH4788="","",SUM($FN4788:$FN$7000))</f>
        <v/>
      </c>
    </row>
    <row r="4789" spans="164:167">
      <c r="FH4789" s="29" t="str">
        <f t="shared" si="129"/>
        <v/>
      </c>
      <c r="FJ4789" s="36" t="str">
        <f>IF($FH4789="","",SUM($FN4789:$FN$7000))</f>
        <v/>
      </c>
      <c r="FK4789" s="36" t="str">
        <f>IF($FH4789="","",SUM($FN4789:$FN$7000))</f>
        <v/>
      </c>
    </row>
    <row r="4790" spans="164:167">
      <c r="FH4790" s="29" t="str">
        <f t="shared" si="129"/>
        <v/>
      </c>
      <c r="FJ4790" s="36" t="str">
        <f>IF($FH4790="","",SUM($FN4790:$FN$7000))</f>
        <v/>
      </c>
      <c r="FK4790" s="36" t="str">
        <f>IF($FH4790="","",SUM($FN4790:$FN$7000))</f>
        <v/>
      </c>
    </row>
    <row r="4791" spans="164:167">
      <c r="FH4791" s="29" t="str">
        <f t="shared" si="129"/>
        <v/>
      </c>
      <c r="FJ4791" s="36" t="str">
        <f>IF($FH4791="","",SUM($FN4791:$FN$7000))</f>
        <v/>
      </c>
      <c r="FK4791" s="36" t="str">
        <f>IF($FH4791="","",SUM($FN4791:$FN$7000))</f>
        <v/>
      </c>
    </row>
    <row r="4792" spans="164:167">
      <c r="FH4792" s="29" t="str">
        <f t="shared" si="129"/>
        <v/>
      </c>
      <c r="FJ4792" s="36" t="str">
        <f>IF($FH4792="","",SUM($FN4792:$FN$7000))</f>
        <v/>
      </c>
      <c r="FK4792" s="36" t="str">
        <f>IF($FH4792="","",SUM($FN4792:$FN$7000))</f>
        <v/>
      </c>
    </row>
    <row r="4793" spans="164:167">
      <c r="FH4793" s="29" t="str">
        <f t="shared" si="129"/>
        <v/>
      </c>
      <c r="FJ4793" s="36" t="str">
        <f>IF($FH4793="","",SUM($FN4793:$FN$7000))</f>
        <v/>
      </c>
      <c r="FK4793" s="36" t="str">
        <f>IF($FH4793="","",SUM($FN4793:$FN$7000))</f>
        <v/>
      </c>
    </row>
    <row r="4794" spans="164:167">
      <c r="FH4794" s="29" t="str">
        <f t="shared" si="129"/>
        <v/>
      </c>
      <c r="FJ4794" s="36" t="str">
        <f>IF($FH4794="","",SUM($FN4794:$FN$7000))</f>
        <v/>
      </c>
      <c r="FK4794" s="36" t="str">
        <f>IF($FH4794="","",SUM($FN4794:$FN$7000))</f>
        <v/>
      </c>
    </row>
    <row r="4795" spans="164:167">
      <c r="FH4795" s="29" t="str">
        <f t="shared" si="129"/>
        <v/>
      </c>
      <c r="FJ4795" s="36" t="str">
        <f>IF($FH4795="","",SUM($FN4795:$FN$7000))</f>
        <v/>
      </c>
      <c r="FK4795" s="36" t="str">
        <f>IF($FH4795="","",SUM($FN4795:$FN$7000))</f>
        <v/>
      </c>
    </row>
    <row r="4796" spans="164:167">
      <c r="FH4796" s="29" t="str">
        <f t="shared" si="129"/>
        <v/>
      </c>
      <c r="FJ4796" s="36" t="str">
        <f>IF($FH4796="","",SUM($FN4796:$FN$7000))</f>
        <v/>
      </c>
      <c r="FK4796" s="36" t="str">
        <f>IF($FH4796="","",SUM($FN4796:$FN$7000))</f>
        <v/>
      </c>
    </row>
    <row r="4797" spans="164:167">
      <c r="FH4797" s="29" t="str">
        <f t="shared" si="129"/>
        <v/>
      </c>
      <c r="FJ4797" s="36" t="str">
        <f>IF($FH4797="","",SUM($FN4797:$FN$7000))</f>
        <v/>
      </c>
      <c r="FK4797" s="36" t="str">
        <f>IF($FH4797="","",SUM($FN4797:$FN$7000))</f>
        <v/>
      </c>
    </row>
    <row r="4798" spans="164:167">
      <c r="FH4798" s="29" t="str">
        <f t="shared" si="129"/>
        <v/>
      </c>
      <c r="FJ4798" s="36" t="str">
        <f>IF($FH4798="","",SUM($FN4798:$FN$7000))</f>
        <v/>
      </c>
      <c r="FK4798" s="36" t="str">
        <f>IF($FH4798="","",SUM($FN4798:$FN$7000))</f>
        <v/>
      </c>
    </row>
    <row r="4799" spans="164:167">
      <c r="FH4799" s="29" t="str">
        <f t="shared" si="129"/>
        <v/>
      </c>
      <c r="FJ4799" s="36" t="str">
        <f>IF($FH4799="","",SUM($FN4799:$FN$7000))</f>
        <v/>
      </c>
      <c r="FK4799" s="36" t="str">
        <f>IF($FH4799="","",SUM($FN4799:$FN$7000))</f>
        <v/>
      </c>
    </row>
    <row r="4800" spans="164:167">
      <c r="FH4800" s="29" t="str">
        <f t="shared" si="129"/>
        <v/>
      </c>
      <c r="FJ4800" s="36" t="str">
        <f>IF($FH4800="","",SUM($FN4800:$FN$7000))</f>
        <v/>
      </c>
      <c r="FK4800" s="36" t="str">
        <f>IF($FH4800="","",SUM($FN4800:$FN$7000))</f>
        <v/>
      </c>
    </row>
    <row r="4801" spans="164:167">
      <c r="FH4801" s="29" t="str">
        <f t="shared" si="129"/>
        <v/>
      </c>
      <c r="FJ4801" s="36" t="str">
        <f>IF($FH4801="","",SUM($FN4801:$FN$7000))</f>
        <v/>
      </c>
      <c r="FK4801" s="36" t="str">
        <f>IF($FH4801="","",SUM($FN4801:$FN$7000))</f>
        <v/>
      </c>
    </row>
    <row r="4802" spans="164:167">
      <c r="FH4802" s="29" t="str">
        <f t="shared" si="129"/>
        <v/>
      </c>
      <c r="FJ4802" s="36" t="str">
        <f>IF($FH4802="","",SUM($FN4802:$FN$7000))</f>
        <v/>
      </c>
      <c r="FK4802" s="36" t="str">
        <f>IF($FH4802="","",SUM($FN4802:$FN$7000))</f>
        <v/>
      </c>
    </row>
    <row r="4803" spans="164:167">
      <c r="FH4803" s="29" t="str">
        <f t="shared" si="129"/>
        <v/>
      </c>
      <c r="FJ4803" s="36" t="str">
        <f>IF($FH4803="","",SUM($FN4803:$FN$7000))</f>
        <v/>
      </c>
      <c r="FK4803" s="36" t="str">
        <f>IF($FH4803="","",SUM($FN4803:$FN$7000))</f>
        <v/>
      </c>
    </row>
    <row r="4804" spans="164:167">
      <c r="FH4804" s="29" t="str">
        <f t="shared" si="129"/>
        <v/>
      </c>
      <c r="FJ4804" s="36" t="str">
        <f>IF($FH4804="","",SUM($FN4804:$FN$7000))</f>
        <v/>
      </c>
      <c r="FK4804" s="36" t="str">
        <f>IF($FH4804="","",SUM($FN4804:$FN$7000))</f>
        <v/>
      </c>
    </row>
    <row r="4805" spans="164:167">
      <c r="FH4805" s="29" t="str">
        <f t="shared" si="129"/>
        <v/>
      </c>
      <c r="FJ4805" s="36" t="str">
        <f>IF($FH4805="","",SUM($FN4805:$FN$7000))</f>
        <v/>
      </c>
      <c r="FK4805" s="36" t="str">
        <f>IF($FH4805="","",SUM($FN4805:$FN$7000))</f>
        <v/>
      </c>
    </row>
    <row r="4806" spans="164:167">
      <c r="FH4806" s="29" t="str">
        <f t="shared" si="129"/>
        <v/>
      </c>
      <c r="FJ4806" s="36" t="str">
        <f>IF($FH4806="","",SUM($FN4806:$FN$7000))</f>
        <v/>
      </c>
      <c r="FK4806" s="36" t="str">
        <f>IF($FH4806="","",SUM($FN4806:$FN$7000))</f>
        <v/>
      </c>
    </row>
    <row r="4807" spans="164:167">
      <c r="FH4807" s="29" t="str">
        <f t="shared" si="129"/>
        <v/>
      </c>
      <c r="FJ4807" s="36" t="str">
        <f>IF($FH4807="","",SUM($FN4807:$FN$7000))</f>
        <v/>
      </c>
      <c r="FK4807" s="36" t="str">
        <f>IF($FH4807="","",SUM($FN4807:$FN$7000))</f>
        <v/>
      </c>
    </row>
    <row r="4808" spans="164:167">
      <c r="FH4808" s="29" t="str">
        <f t="shared" si="129"/>
        <v/>
      </c>
      <c r="FJ4808" s="36" t="str">
        <f>IF($FH4808="","",SUM($FN4808:$FN$7000))</f>
        <v/>
      </c>
      <c r="FK4808" s="36" t="str">
        <f>IF($FH4808="","",SUM($FN4808:$FN$7000))</f>
        <v/>
      </c>
    </row>
    <row r="4809" spans="164:167">
      <c r="FH4809" s="29" t="str">
        <f t="shared" si="129"/>
        <v/>
      </c>
      <c r="FJ4809" s="36" t="str">
        <f>IF($FH4809="","",SUM($FN4809:$FN$7000))</f>
        <v/>
      </c>
      <c r="FK4809" s="36" t="str">
        <f>IF($FH4809="","",SUM($FN4809:$FN$7000))</f>
        <v/>
      </c>
    </row>
    <row r="4810" spans="164:167">
      <c r="FH4810" s="29" t="str">
        <f t="shared" si="129"/>
        <v/>
      </c>
      <c r="FJ4810" s="36" t="str">
        <f>IF($FH4810="","",SUM($FN4810:$FN$7000))</f>
        <v/>
      </c>
      <c r="FK4810" s="36" t="str">
        <f>IF($FH4810="","",SUM($FN4810:$FN$7000))</f>
        <v/>
      </c>
    </row>
    <row r="4811" spans="164:167">
      <c r="FH4811" s="29" t="str">
        <f t="shared" ref="FH4811:FH4874" si="130">IF(FL4811="","",FL4811)</f>
        <v/>
      </c>
      <c r="FJ4811" s="36" t="str">
        <f>IF($FH4811="","",SUM($FN4811:$FN$7000))</f>
        <v/>
      </c>
      <c r="FK4811" s="36" t="str">
        <f>IF($FH4811="","",SUM($FN4811:$FN$7000))</f>
        <v/>
      </c>
    </row>
    <row r="4812" spans="164:167">
      <c r="FH4812" s="29" t="str">
        <f t="shared" si="130"/>
        <v/>
      </c>
      <c r="FJ4812" s="36" t="str">
        <f>IF($FH4812="","",SUM($FN4812:$FN$7000))</f>
        <v/>
      </c>
      <c r="FK4812" s="36" t="str">
        <f>IF($FH4812="","",SUM($FN4812:$FN$7000))</f>
        <v/>
      </c>
    </row>
    <row r="4813" spans="164:167">
      <c r="FH4813" s="29" t="str">
        <f t="shared" si="130"/>
        <v/>
      </c>
      <c r="FJ4813" s="36" t="str">
        <f>IF($FH4813="","",SUM($FN4813:$FN$7000))</f>
        <v/>
      </c>
      <c r="FK4813" s="36" t="str">
        <f>IF($FH4813="","",SUM($FN4813:$FN$7000))</f>
        <v/>
      </c>
    </row>
    <row r="4814" spans="164:167">
      <c r="FH4814" s="29" t="str">
        <f t="shared" si="130"/>
        <v/>
      </c>
      <c r="FJ4814" s="36" t="str">
        <f>IF($FH4814="","",SUM($FN4814:$FN$7000))</f>
        <v/>
      </c>
      <c r="FK4814" s="36" t="str">
        <f>IF($FH4814="","",SUM($FN4814:$FN$7000))</f>
        <v/>
      </c>
    </row>
    <row r="4815" spans="164:167">
      <c r="FH4815" s="29" t="str">
        <f t="shared" si="130"/>
        <v/>
      </c>
      <c r="FJ4815" s="36" t="str">
        <f>IF($FH4815="","",SUM($FN4815:$FN$7000))</f>
        <v/>
      </c>
      <c r="FK4815" s="36" t="str">
        <f>IF($FH4815="","",SUM($FN4815:$FN$7000))</f>
        <v/>
      </c>
    </row>
    <row r="4816" spans="164:167">
      <c r="FH4816" s="29" t="str">
        <f t="shared" si="130"/>
        <v/>
      </c>
      <c r="FJ4816" s="36" t="str">
        <f>IF($FH4816="","",SUM($FN4816:$FN$7000))</f>
        <v/>
      </c>
      <c r="FK4816" s="36" t="str">
        <f>IF($FH4816="","",SUM($FN4816:$FN$7000))</f>
        <v/>
      </c>
    </row>
    <row r="4817" spans="164:167">
      <c r="FH4817" s="29" t="str">
        <f t="shared" si="130"/>
        <v/>
      </c>
      <c r="FJ4817" s="36" t="str">
        <f>IF($FH4817="","",SUM($FN4817:$FN$7000))</f>
        <v/>
      </c>
      <c r="FK4817" s="36" t="str">
        <f>IF($FH4817="","",SUM($FN4817:$FN$7000))</f>
        <v/>
      </c>
    </row>
    <row r="4818" spans="164:167">
      <c r="FH4818" s="29" t="str">
        <f t="shared" si="130"/>
        <v/>
      </c>
      <c r="FJ4818" s="36" t="str">
        <f>IF($FH4818="","",SUM($FN4818:$FN$7000))</f>
        <v/>
      </c>
      <c r="FK4818" s="36" t="str">
        <f>IF($FH4818="","",SUM($FN4818:$FN$7000))</f>
        <v/>
      </c>
    </row>
    <row r="4819" spans="164:167">
      <c r="FH4819" s="29" t="str">
        <f t="shared" si="130"/>
        <v/>
      </c>
      <c r="FJ4819" s="36" t="str">
        <f>IF($FH4819="","",SUM($FN4819:$FN$7000))</f>
        <v/>
      </c>
      <c r="FK4819" s="36" t="str">
        <f>IF($FH4819="","",SUM($FN4819:$FN$7000))</f>
        <v/>
      </c>
    </row>
    <row r="4820" spans="164:167">
      <c r="FH4820" s="29" t="str">
        <f t="shared" si="130"/>
        <v/>
      </c>
      <c r="FJ4820" s="36" t="str">
        <f>IF($FH4820="","",SUM($FN4820:$FN$7000))</f>
        <v/>
      </c>
      <c r="FK4820" s="36" t="str">
        <f>IF($FH4820="","",SUM($FN4820:$FN$7000))</f>
        <v/>
      </c>
    </row>
    <row r="4821" spans="164:167">
      <c r="FH4821" s="29" t="str">
        <f t="shared" si="130"/>
        <v/>
      </c>
      <c r="FJ4821" s="36" t="str">
        <f>IF($FH4821="","",SUM($FN4821:$FN$7000))</f>
        <v/>
      </c>
      <c r="FK4821" s="36" t="str">
        <f>IF($FH4821="","",SUM($FN4821:$FN$7000))</f>
        <v/>
      </c>
    </row>
    <row r="4822" spans="164:167">
      <c r="FH4822" s="29" t="str">
        <f t="shared" si="130"/>
        <v/>
      </c>
      <c r="FJ4822" s="36" t="str">
        <f>IF($FH4822="","",SUM($FN4822:$FN$7000))</f>
        <v/>
      </c>
      <c r="FK4822" s="36" t="str">
        <f>IF($FH4822="","",SUM($FN4822:$FN$7000))</f>
        <v/>
      </c>
    </row>
    <row r="4823" spans="164:167">
      <c r="FH4823" s="29" t="str">
        <f t="shared" si="130"/>
        <v/>
      </c>
      <c r="FJ4823" s="36" t="str">
        <f>IF($FH4823="","",SUM($FN4823:$FN$7000))</f>
        <v/>
      </c>
      <c r="FK4823" s="36" t="str">
        <f>IF($FH4823="","",SUM($FN4823:$FN$7000))</f>
        <v/>
      </c>
    </row>
    <row r="4824" spans="164:167">
      <c r="FH4824" s="29" t="str">
        <f t="shared" si="130"/>
        <v/>
      </c>
      <c r="FJ4824" s="36" t="str">
        <f>IF($FH4824="","",SUM($FN4824:$FN$7000))</f>
        <v/>
      </c>
      <c r="FK4824" s="36" t="str">
        <f>IF($FH4824="","",SUM($FN4824:$FN$7000))</f>
        <v/>
      </c>
    </row>
    <row r="4825" spans="164:167">
      <c r="FH4825" s="29" t="str">
        <f t="shared" si="130"/>
        <v/>
      </c>
      <c r="FJ4825" s="36" t="str">
        <f>IF($FH4825="","",SUM($FN4825:$FN$7000))</f>
        <v/>
      </c>
      <c r="FK4825" s="36" t="str">
        <f>IF($FH4825="","",SUM($FN4825:$FN$7000))</f>
        <v/>
      </c>
    </row>
    <row r="4826" spans="164:167">
      <c r="FH4826" s="29" t="str">
        <f t="shared" si="130"/>
        <v/>
      </c>
      <c r="FJ4826" s="36" t="str">
        <f>IF($FH4826="","",SUM($FN4826:$FN$7000))</f>
        <v/>
      </c>
      <c r="FK4826" s="36" t="str">
        <f>IF($FH4826="","",SUM($FN4826:$FN$7000))</f>
        <v/>
      </c>
    </row>
    <row r="4827" spans="164:167">
      <c r="FH4827" s="29" t="str">
        <f t="shared" si="130"/>
        <v/>
      </c>
      <c r="FJ4827" s="36" t="str">
        <f>IF($FH4827="","",SUM($FN4827:$FN$7000))</f>
        <v/>
      </c>
      <c r="FK4827" s="36" t="str">
        <f>IF($FH4827="","",SUM($FN4827:$FN$7000))</f>
        <v/>
      </c>
    </row>
    <row r="4828" spans="164:167">
      <c r="FH4828" s="29" t="str">
        <f t="shared" si="130"/>
        <v/>
      </c>
      <c r="FJ4828" s="36" t="str">
        <f>IF($FH4828="","",SUM($FN4828:$FN$7000))</f>
        <v/>
      </c>
      <c r="FK4828" s="36" t="str">
        <f>IF($FH4828="","",SUM($FN4828:$FN$7000))</f>
        <v/>
      </c>
    </row>
    <row r="4829" spans="164:167">
      <c r="FH4829" s="29" t="str">
        <f t="shared" si="130"/>
        <v/>
      </c>
      <c r="FJ4829" s="36" t="str">
        <f>IF($FH4829="","",SUM($FN4829:$FN$7000))</f>
        <v/>
      </c>
      <c r="FK4829" s="36" t="str">
        <f>IF($FH4829="","",SUM($FN4829:$FN$7000))</f>
        <v/>
      </c>
    </row>
    <row r="4830" spans="164:167">
      <c r="FH4830" s="29" t="str">
        <f t="shared" si="130"/>
        <v/>
      </c>
      <c r="FJ4830" s="36" t="str">
        <f>IF($FH4830="","",SUM($FN4830:$FN$7000))</f>
        <v/>
      </c>
      <c r="FK4830" s="36" t="str">
        <f>IF($FH4830="","",SUM($FN4830:$FN$7000))</f>
        <v/>
      </c>
    </row>
    <row r="4831" spans="164:167">
      <c r="FH4831" s="29" t="str">
        <f t="shared" si="130"/>
        <v/>
      </c>
      <c r="FJ4831" s="36" t="str">
        <f>IF($FH4831="","",SUM($FN4831:$FN$7000))</f>
        <v/>
      </c>
      <c r="FK4831" s="36" t="str">
        <f>IF($FH4831="","",SUM($FN4831:$FN$7000))</f>
        <v/>
      </c>
    </row>
    <row r="4832" spans="164:167">
      <c r="FH4832" s="29" t="str">
        <f t="shared" si="130"/>
        <v/>
      </c>
      <c r="FJ4832" s="36" t="str">
        <f>IF($FH4832="","",SUM($FN4832:$FN$7000))</f>
        <v/>
      </c>
      <c r="FK4832" s="36" t="str">
        <f>IF($FH4832="","",SUM($FN4832:$FN$7000))</f>
        <v/>
      </c>
    </row>
    <row r="4833" spans="164:167">
      <c r="FH4833" s="29" t="str">
        <f t="shared" si="130"/>
        <v/>
      </c>
      <c r="FJ4833" s="36" t="str">
        <f>IF($FH4833="","",SUM($FN4833:$FN$7000))</f>
        <v/>
      </c>
      <c r="FK4833" s="36" t="str">
        <f>IF($FH4833="","",SUM($FN4833:$FN$7000))</f>
        <v/>
      </c>
    </row>
    <row r="4834" spans="164:167">
      <c r="FH4834" s="29" t="str">
        <f t="shared" si="130"/>
        <v/>
      </c>
      <c r="FJ4834" s="36" t="str">
        <f>IF($FH4834="","",SUM($FN4834:$FN$7000))</f>
        <v/>
      </c>
      <c r="FK4834" s="36" t="str">
        <f>IF($FH4834="","",SUM($FN4834:$FN$7000))</f>
        <v/>
      </c>
    </row>
    <row r="4835" spans="164:167">
      <c r="FH4835" s="29" t="str">
        <f t="shared" si="130"/>
        <v/>
      </c>
      <c r="FJ4835" s="36" t="str">
        <f>IF($FH4835="","",SUM($FN4835:$FN$7000))</f>
        <v/>
      </c>
      <c r="FK4835" s="36" t="str">
        <f>IF($FH4835="","",SUM($FN4835:$FN$7000))</f>
        <v/>
      </c>
    </row>
    <row r="4836" spans="164:167">
      <c r="FH4836" s="29" t="str">
        <f t="shared" si="130"/>
        <v/>
      </c>
      <c r="FJ4836" s="36" t="str">
        <f>IF($FH4836="","",SUM($FN4836:$FN$7000))</f>
        <v/>
      </c>
      <c r="FK4836" s="36" t="str">
        <f>IF($FH4836="","",SUM($FN4836:$FN$7000))</f>
        <v/>
      </c>
    </row>
    <row r="4837" spans="164:167">
      <c r="FH4837" s="29" t="str">
        <f t="shared" si="130"/>
        <v/>
      </c>
      <c r="FJ4837" s="36" t="str">
        <f>IF($FH4837="","",SUM($FN4837:$FN$7000))</f>
        <v/>
      </c>
      <c r="FK4837" s="36" t="str">
        <f>IF($FH4837="","",SUM($FN4837:$FN$7000))</f>
        <v/>
      </c>
    </row>
    <row r="4838" spans="164:167">
      <c r="FH4838" s="29" t="str">
        <f t="shared" si="130"/>
        <v/>
      </c>
      <c r="FJ4838" s="36" t="str">
        <f>IF($FH4838="","",SUM($FN4838:$FN$7000))</f>
        <v/>
      </c>
      <c r="FK4838" s="36" t="str">
        <f>IF($FH4838="","",SUM($FN4838:$FN$7000))</f>
        <v/>
      </c>
    </row>
    <row r="4839" spans="164:167">
      <c r="FH4839" s="29" t="str">
        <f t="shared" si="130"/>
        <v/>
      </c>
      <c r="FJ4839" s="36" t="str">
        <f>IF($FH4839="","",SUM($FN4839:$FN$7000))</f>
        <v/>
      </c>
      <c r="FK4839" s="36" t="str">
        <f>IF($FH4839="","",SUM($FN4839:$FN$7000))</f>
        <v/>
      </c>
    </row>
    <row r="4840" spans="164:167">
      <c r="FH4840" s="29" t="str">
        <f t="shared" si="130"/>
        <v/>
      </c>
      <c r="FJ4840" s="36" t="str">
        <f>IF($FH4840="","",SUM($FN4840:$FN$7000))</f>
        <v/>
      </c>
      <c r="FK4840" s="36" t="str">
        <f>IF($FH4840="","",SUM($FN4840:$FN$7000))</f>
        <v/>
      </c>
    </row>
    <row r="4841" spans="164:167">
      <c r="FH4841" s="29" t="str">
        <f t="shared" si="130"/>
        <v/>
      </c>
      <c r="FJ4841" s="36" t="str">
        <f>IF($FH4841="","",SUM($FN4841:$FN$7000))</f>
        <v/>
      </c>
      <c r="FK4841" s="36" t="str">
        <f>IF($FH4841="","",SUM($FN4841:$FN$7000))</f>
        <v/>
      </c>
    </row>
    <row r="4842" spans="164:167">
      <c r="FH4842" s="29" t="str">
        <f t="shared" si="130"/>
        <v/>
      </c>
      <c r="FJ4842" s="36" t="str">
        <f>IF($FH4842="","",SUM($FN4842:$FN$7000))</f>
        <v/>
      </c>
      <c r="FK4842" s="36" t="str">
        <f>IF($FH4842="","",SUM($FN4842:$FN$7000))</f>
        <v/>
      </c>
    </row>
    <row r="4843" spans="164:167">
      <c r="FH4843" s="29" t="str">
        <f t="shared" si="130"/>
        <v/>
      </c>
      <c r="FJ4843" s="36" t="str">
        <f>IF($FH4843="","",SUM($FN4843:$FN$7000))</f>
        <v/>
      </c>
      <c r="FK4843" s="36" t="str">
        <f>IF($FH4843="","",SUM($FN4843:$FN$7000))</f>
        <v/>
      </c>
    </row>
    <row r="4844" spans="164:167">
      <c r="FH4844" s="29" t="str">
        <f t="shared" si="130"/>
        <v/>
      </c>
      <c r="FJ4844" s="36" t="str">
        <f>IF($FH4844="","",SUM($FN4844:$FN$7000))</f>
        <v/>
      </c>
      <c r="FK4844" s="36" t="str">
        <f>IF($FH4844="","",SUM($FN4844:$FN$7000))</f>
        <v/>
      </c>
    </row>
    <row r="4845" spans="164:167">
      <c r="FH4845" s="29" t="str">
        <f t="shared" si="130"/>
        <v/>
      </c>
      <c r="FJ4845" s="36" t="str">
        <f>IF($FH4845="","",SUM($FN4845:$FN$7000))</f>
        <v/>
      </c>
      <c r="FK4845" s="36" t="str">
        <f>IF($FH4845="","",SUM($FN4845:$FN$7000))</f>
        <v/>
      </c>
    </row>
    <row r="4846" spans="164:167">
      <c r="FH4846" s="29" t="str">
        <f t="shared" si="130"/>
        <v/>
      </c>
      <c r="FJ4846" s="36" t="str">
        <f>IF($FH4846="","",SUM($FN4846:$FN$7000))</f>
        <v/>
      </c>
      <c r="FK4846" s="36" t="str">
        <f>IF($FH4846="","",SUM($FN4846:$FN$7000))</f>
        <v/>
      </c>
    </row>
    <row r="4847" spans="164:167">
      <c r="FH4847" s="29" t="str">
        <f t="shared" si="130"/>
        <v/>
      </c>
      <c r="FJ4847" s="36" t="str">
        <f>IF($FH4847="","",SUM($FN4847:$FN$7000))</f>
        <v/>
      </c>
      <c r="FK4847" s="36" t="str">
        <f>IF($FH4847="","",SUM($FN4847:$FN$7000))</f>
        <v/>
      </c>
    </row>
    <row r="4848" spans="164:167">
      <c r="FH4848" s="29" t="str">
        <f t="shared" si="130"/>
        <v/>
      </c>
      <c r="FJ4848" s="36" t="str">
        <f>IF($FH4848="","",SUM($FN4848:$FN$7000))</f>
        <v/>
      </c>
      <c r="FK4848" s="36" t="str">
        <f>IF($FH4848="","",SUM($FN4848:$FN$7000))</f>
        <v/>
      </c>
    </row>
    <row r="4849" spans="164:167">
      <c r="FH4849" s="29" t="str">
        <f t="shared" si="130"/>
        <v/>
      </c>
      <c r="FJ4849" s="36" t="str">
        <f>IF($FH4849="","",SUM($FN4849:$FN$7000))</f>
        <v/>
      </c>
      <c r="FK4849" s="36" t="str">
        <f>IF($FH4849="","",SUM($FN4849:$FN$7000))</f>
        <v/>
      </c>
    </row>
    <row r="4850" spans="164:167">
      <c r="FH4850" s="29" t="str">
        <f t="shared" si="130"/>
        <v/>
      </c>
      <c r="FJ4850" s="36" t="str">
        <f>IF($FH4850="","",SUM($FN4850:$FN$7000))</f>
        <v/>
      </c>
      <c r="FK4850" s="36" t="str">
        <f>IF($FH4850="","",SUM($FN4850:$FN$7000))</f>
        <v/>
      </c>
    </row>
    <row r="4851" spans="164:167">
      <c r="FH4851" s="29" t="str">
        <f t="shared" si="130"/>
        <v/>
      </c>
      <c r="FJ4851" s="36" t="str">
        <f>IF($FH4851="","",SUM($FN4851:$FN$7000))</f>
        <v/>
      </c>
      <c r="FK4851" s="36" t="str">
        <f>IF($FH4851="","",SUM($FN4851:$FN$7000))</f>
        <v/>
      </c>
    </row>
    <row r="4852" spans="164:167">
      <c r="FH4852" s="29" t="str">
        <f t="shared" si="130"/>
        <v/>
      </c>
      <c r="FJ4852" s="36" t="str">
        <f>IF($FH4852="","",SUM($FN4852:$FN$7000))</f>
        <v/>
      </c>
      <c r="FK4852" s="36" t="str">
        <f>IF($FH4852="","",SUM($FN4852:$FN$7000))</f>
        <v/>
      </c>
    </row>
    <row r="4853" spans="164:167">
      <c r="FH4853" s="29" t="str">
        <f t="shared" si="130"/>
        <v/>
      </c>
      <c r="FJ4853" s="36" t="str">
        <f>IF($FH4853="","",SUM($FN4853:$FN$7000))</f>
        <v/>
      </c>
      <c r="FK4853" s="36" t="str">
        <f>IF($FH4853="","",SUM($FN4853:$FN$7000))</f>
        <v/>
      </c>
    </row>
    <row r="4854" spans="164:167">
      <c r="FH4854" s="29" t="str">
        <f t="shared" si="130"/>
        <v/>
      </c>
      <c r="FJ4854" s="36" t="str">
        <f>IF($FH4854="","",SUM($FN4854:$FN$7000))</f>
        <v/>
      </c>
      <c r="FK4854" s="36" t="str">
        <f>IF($FH4854="","",SUM($FN4854:$FN$7000))</f>
        <v/>
      </c>
    </row>
    <row r="4855" spans="164:167">
      <c r="FH4855" s="29" t="str">
        <f t="shared" si="130"/>
        <v/>
      </c>
      <c r="FJ4855" s="36" t="str">
        <f>IF($FH4855="","",SUM($FN4855:$FN$7000))</f>
        <v/>
      </c>
      <c r="FK4855" s="36" t="str">
        <f>IF($FH4855="","",SUM($FN4855:$FN$7000))</f>
        <v/>
      </c>
    </row>
    <row r="4856" spans="164:167">
      <c r="FH4856" s="29" t="str">
        <f t="shared" si="130"/>
        <v/>
      </c>
      <c r="FJ4856" s="36" t="str">
        <f>IF($FH4856="","",SUM($FN4856:$FN$7000))</f>
        <v/>
      </c>
      <c r="FK4856" s="36" t="str">
        <f>IF($FH4856="","",SUM($FN4856:$FN$7000))</f>
        <v/>
      </c>
    </row>
    <row r="4857" spans="164:167">
      <c r="FH4857" s="29" t="str">
        <f t="shared" si="130"/>
        <v/>
      </c>
      <c r="FJ4857" s="36" t="str">
        <f>IF($FH4857="","",SUM($FN4857:$FN$7000))</f>
        <v/>
      </c>
      <c r="FK4857" s="36" t="str">
        <f>IF($FH4857="","",SUM($FN4857:$FN$7000))</f>
        <v/>
      </c>
    </row>
    <row r="4858" spans="164:167">
      <c r="FH4858" s="29" t="str">
        <f t="shared" si="130"/>
        <v/>
      </c>
      <c r="FJ4858" s="36" t="str">
        <f>IF($FH4858="","",SUM($FN4858:$FN$7000))</f>
        <v/>
      </c>
      <c r="FK4858" s="36" t="str">
        <f>IF($FH4858="","",SUM($FN4858:$FN$7000))</f>
        <v/>
      </c>
    </row>
    <row r="4859" spans="164:167">
      <c r="FH4859" s="29" t="str">
        <f t="shared" si="130"/>
        <v/>
      </c>
      <c r="FJ4859" s="36" t="str">
        <f>IF($FH4859="","",SUM($FN4859:$FN$7000))</f>
        <v/>
      </c>
      <c r="FK4859" s="36" t="str">
        <f>IF($FH4859="","",SUM($FN4859:$FN$7000))</f>
        <v/>
      </c>
    </row>
    <row r="4860" spans="164:167">
      <c r="FH4860" s="29" t="str">
        <f t="shared" si="130"/>
        <v/>
      </c>
      <c r="FJ4860" s="36" t="str">
        <f>IF($FH4860="","",SUM($FN4860:$FN$7000))</f>
        <v/>
      </c>
      <c r="FK4860" s="36" t="str">
        <f>IF($FH4860="","",SUM($FN4860:$FN$7000))</f>
        <v/>
      </c>
    </row>
    <row r="4861" spans="164:167">
      <c r="FH4861" s="29" t="str">
        <f t="shared" si="130"/>
        <v/>
      </c>
      <c r="FJ4861" s="36" t="str">
        <f>IF($FH4861="","",SUM($FN4861:$FN$7000))</f>
        <v/>
      </c>
      <c r="FK4861" s="36" t="str">
        <f>IF($FH4861="","",SUM($FN4861:$FN$7000))</f>
        <v/>
      </c>
    </row>
    <row r="4862" spans="164:167">
      <c r="FH4862" s="29" t="str">
        <f t="shared" si="130"/>
        <v/>
      </c>
      <c r="FJ4862" s="36" t="str">
        <f>IF($FH4862="","",SUM($FN4862:$FN$7000))</f>
        <v/>
      </c>
      <c r="FK4862" s="36" t="str">
        <f>IF($FH4862="","",SUM($FN4862:$FN$7000))</f>
        <v/>
      </c>
    </row>
    <row r="4863" spans="164:167">
      <c r="FH4863" s="29" t="str">
        <f t="shared" si="130"/>
        <v/>
      </c>
      <c r="FJ4863" s="36" t="str">
        <f>IF($FH4863="","",SUM($FN4863:$FN$7000))</f>
        <v/>
      </c>
      <c r="FK4863" s="36" t="str">
        <f>IF($FH4863="","",SUM($FN4863:$FN$7000))</f>
        <v/>
      </c>
    </row>
    <row r="4864" spans="164:167">
      <c r="FH4864" s="29" t="str">
        <f t="shared" si="130"/>
        <v/>
      </c>
      <c r="FJ4864" s="36" t="str">
        <f>IF($FH4864="","",SUM($FN4864:$FN$7000))</f>
        <v/>
      </c>
      <c r="FK4864" s="36" t="str">
        <f>IF($FH4864="","",SUM($FN4864:$FN$7000))</f>
        <v/>
      </c>
    </row>
    <row r="4865" spans="164:167">
      <c r="FH4865" s="29" t="str">
        <f t="shared" si="130"/>
        <v/>
      </c>
      <c r="FJ4865" s="36" t="str">
        <f>IF($FH4865="","",SUM($FN4865:$FN$7000))</f>
        <v/>
      </c>
      <c r="FK4865" s="36" t="str">
        <f>IF($FH4865="","",SUM($FN4865:$FN$7000))</f>
        <v/>
      </c>
    </row>
    <row r="4866" spans="164:167">
      <c r="FH4866" s="29" t="str">
        <f t="shared" si="130"/>
        <v/>
      </c>
      <c r="FJ4866" s="36" t="str">
        <f>IF($FH4866="","",SUM($FN4866:$FN$7000))</f>
        <v/>
      </c>
      <c r="FK4866" s="36" t="str">
        <f>IF($FH4866="","",SUM($FN4866:$FN$7000))</f>
        <v/>
      </c>
    </row>
    <row r="4867" spans="164:167">
      <c r="FH4867" s="29" t="str">
        <f t="shared" si="130"/>
        <v/>
      </c>
      <c r="FJ4867" s="36" t="str">
        <f>IF($FH4867="","",SUM($FN4867:$FN$7000))</f>
        <v/>
      </c>
      <c r="FK4867" s="36" t="str">
        <f>IF($FH4867="","",SUM($FN4867:$FN$7000))</f>
        <v/>
      </c>
    </row>
    <row r="4868" spans="164:167">
      <c r="FH4868" s="29" t="str">
        <f t="shared" si="130"/>
        <v/>
      </c>
      <c r="FJ4868" s="36" t="str">
        <f>IF($FH4868="","",SUM($FN4868:$FN$7000))</f>
        <v/>
      </c>
      <c r="FK4868" s="36" t="str">
        <f>IF($FH4868="","",SUM($FN4868:$FN$7000))</f>
        <v/>
      </c>
    </row>
    <row r="4869" spans="164:167">
      <c r="FH4869" s="29" t="str">
        <f t="shared" si="130"/>
        <v/>
      </c>
      <c r="FJ4869" s="36" t="str">
        <f>IF($FH4869="","",SUM($FN4869:$FN$7000))</f>
        <v/>
      </c>
      <c r="FK4869" s="36" t="str">
        <f>IF($FH4869="","",SUM($FN4869:$FN$7000))</f>
        <v/>
      </c>
    </row>
    <row r="4870" spans="164:167">
      <c r="FH4870" s="29" t="str">
        <f t="shared" si="130"/>
        <v/>
      </c>
      <c r="FJ4870" s="36" t="str">
        <f>IF($FH4870="","",SUM($FN4870:$FN$7000))</f>
        <v/>
      </c>
      <c r="FK4870" s="36" t="str">
        <f>IF($FH4870="","",SUM($FN4870:$FN$7000))</f>
        <v/>
      </c>
    </row>
    <row r="4871" spans="164:167">
      <c r="FH4871" s="29" t="str">
        <f t="shared" si="130"/>
        <v/>
      </c>
      <c r="FJ4871" s="36" t="str">
        <f>IF($FH4871="","",SUM($FN4871:$FN$7000))</f>
        <v/>
      </c>
      <c r="FK4871" s="36" t="str">
        <f>IF($FH4871="","",SUM($FN4871:$FN$7000))</f>
        <v/>
      </c>
    </row>
    <row r="4872" spans="164:167">
      <c r="FH4872" s="29" t="str">
        <f t="shared" si="130"/>
        <v/>
      </c>
      <c r="FJ4872" s="36" t="str">
        <f>IF($FH4872="","",SUM($FN4872:$FN$7000))</f>
        <v/>
      </c>
      <c r="FK4872" s="36" t="str">
        <f>IF($FH4872="","",SUM($FN4872:$FN$7000))</f>
        <v/>
      </c>
    </row>
    <row r="4873" spans="164:167">
      <c r="FH4873" s="29" t="str">
        <f t="shared" si="130"/>
        <v/>
      </c>
      <c r="FJ4873" s="36" t="str">
        <f>IF($FH4873="","",SUM($FN4873:$FN$7000))</f>
        <v/>
      </c>
      <c r="FK4873" s="36" t="str">
        <f>IF($FH4873="","",SUM($FN4873:$FN$7000))</f>
        <v/>
      </c>
    </row>
    <row r="4874" spans="164:167">
      <c r="FH4874" s="29" t="str">
        <f t="shared" si="130"/>
        <v/>
      </c>
      <c r="FJ4874" s="36" t="str">
        <f>IF($FH4874="","",SUM($FN4874:$FN$7000))</f>
        <v/>
      </c>
      <c r="FK4874" s="36" t="str">
        <f>IF($FH4874="","",SUM($FN4874:$FN$7000))</f>
        <v/>
      </c>
    </row>
    <row r="4875" spans="164:167">
      <c r="FH4875" s="29" t="str">
        <f t="shared" ref="FH4875:FH4938" si="131">IF(FL4875="","",FL4875)</f>
        <v/>
      </c>
      <c r="FJ4875" s="36" t="str">
        <f>IF($FH4875="","",SUM($FN4875:$FN$7000))</f>
        <v/>
      </c>
      <c r="FK4875" s="36" t="str">
        <f>IF($FH4875="","",SUM($FN4875:$FN$7000))</f>
        <v/>
      </c>
    </row>
    <row r="4876" spans="164:167">
      <c r="FH4876" s="29" t="str">
        <f t="shared" si="131"/>
        <v/>
      </c>
      <c r="FJ4876" s="36" t="str">
        <f>IF($FH4876="","",SUM($FN4876:$FN$7000))</f>
        <v/>
      </c>
      <c r="FK4876" s="36" t="str">
        <f>IF($FH4876="","",SUM($FN4876:$FN$7000))</f>
        <v/>
      </c>
    </row>
    <row r="4877" spans="164:167">
      <c r="FH4877" s="29" t="str">
        <f t="shared" si="131"/>
        <v/>
      </c>
      <c r="FJ4877" s="36" t="str">
        <f>IF($FH4877="","",SUM($FN4877:$FN$7000))</f>
        <v/>
      </c>
      <c r="FK4877" s="36" t="str">
        <f>IF($FH4877="","",SUM($FN4877:$FN$7000))</f>
        <v/>
      </c>
    </row>
    <row r="4878" spans="164:167">
      <c r="FH4878" s="29" t="str">
        <f t="shared" si="131"/>
        <v/>
      </c>
      <c r="FJ4878" s="36" t="str">
        <f>IF($FH4878="","",SUM($FN4878:$FN$7000))</f>
        <v/>
      </c>
      <c r="FK4878" s="36" t="str">
        <f>IF($FH4878="","",SUM($FN4878:$FN$7000))</f>
        <v/>
      </c>
    </row>
    <row r="4879" spans="164:167">
      <c r="FH4879" s="29" t="str">
        <f t="shared" si="131"/>
        <v/>
      </c>
      <c r="FJ4879" s="36" t="str">
        <f>IF($FH4879="","",SUM($FN4879:$FN$7000))</f>
        <v/>
      </c>
      <c r="FK4879" s="36" t="str">
        <f>IF($FH4879="","",SUM($FN4879:$FN$7000))</f>
        <v/>
      </c>
    </row>
    <row r="4880" spans="164:167">
      <c r="FH4880" s="29" t="str">
        <f t="shared" si="131"/>
        <v/>
      </c>
      <c r="FJ4880" s="36" t="str">
        <f>IF($FH4880="","",SUM($FN4880:$FN$7000))</f>
        <v/>
      </c>
      <c r="FK4880" s="36" t="str">
        <f>IF($FH4880="","",SUM($FN4880:$FN$7000))</f>
        <v/>
      </c>
    </row>
    <row r="4881" spans="164:167">
      <c r="FH4881" s="29" t="str">
        <f t="shared" si="131"/>
        <v/>
      </c>
      <c r="FJ4881" s="36" t="str">
        <f>IF($FH4881="","",SUM($FN4881:$FN$7000))</f>
        <v/>
      </c>
      <c r="FK4881" s="36" t="str">
        <f>IF($FH4881="","",SUM($FN4881:$FN$7000))</f>
        <v/>
      </c>
    </row>
    <row r="4882" spans="164:167">
      <c r="FH4882" s="29" t="str">
        <f t="shared" si="131"/>
        <v/>
      </c>
      <c r="FJ4882" s="36" t="str">
        <f>IF($FH4882="","",SUM($FN4882:$FN$7000))</f>
        <v/>
      </c>
      <c r="FK4882" s="36" t="str">
        <f>IF($FH4882="","",SUM($FN4882:$FN$7000))</f>
        <v/>
      </c>
    </row>
    <row r="4883" spans="164:167">
      <c r="FH4883" s="29" t="str">
        <f t="shared" si="131"/>
        <v/>
      </c>
      <c r="FJ4883" s="36" t="str">
        <f>IF($FH4883="","",SUM($FN4883:$FN$7000))</f>
        <v/>
      </c>
      <c r="FK4883" s="36" t="str">
        <f>IF($FH4883="","",SUM($FN4883:$FN$7000))</f>
        <v/>
      </c>
    </row>
    <row r="4884" spans="164:167">
      <c r="FH4884" s="29" t="str">
        <f t="shared" si="131"/>
        <v/>
      </c>
      <c r="FJ4884" s="36" t="str">
        <f>IF($FH4884="","",SUM($FN4884:$FN$7000))</f>
        <v/>
      </c>
      <c r="FK4884" s="36" t="str">
        <f>IF($FH4884="","",SUM($FN4884:$FN$7000))</f>
        <v/>
      </c>
    </row>
    <row r="4885" spans="164:167">
      <c r="FH4885" s="29" t="str">
        <f t="shared" si="131"/>
        <v/>
      </c>
      <c r="FJ4885" s="36" t="str">
        <f>IF($FH4885="","",SUM($FN4885:$FN$7000))</f>
        <v/>
      </c>
      <c r="FK4885" s="36" t="str">
        <f>IF($FH4885="","",SUM($FN4885:$FN$7000))</f>
        <v/>
      </c>
    </row>
    <row r="4886" spans="164:167">
      <c r="FH4886" s="29" t="str">
        <f t="shared" si="131"/>
        <v/>
      </c>
      <c r="FJ4886" s="36" t="str">
        <f>IF($FH4886="","",SUM($FN4886:$FN$7000))</f>
        <v/>
      </c>
      <c r="FK4886" s="36" t="str">
        <f>IF($FH4886="","",SUM($FN4886:$FN$7000))</f>
        <v/>
      </c>
    </row>
    <row r="4887" spans="164:167">
      <c r="FH4887" s="29" t="str">
        <f t="shared" si="131"/>
        <v/>
      </c>
      <c r="FJ4887" s="36" t="str">
        <f>IF($FH4887="","",SUM($FN4887:$FN$7000))</f>
        <v/>
      </c>
      <c r="FK4887" s="36" t="str">
        <f>IF($FH4887="","",SUM($FN4887:$FN$7000))</f>
        <v/>
      </c>
    </row>
    <row r="4888" spans="164:167">
      <c r="FH4888" s="29" t="str">
        <f t="shared" si="131"/>
        <v/>
      </c>
      <c r="FJ4888" s="36" t="str">
        <f>IF($FH4888="","",SUM($FN4888:$FN$7000))</f>
        <v/>
      </c>
      <c r="FK4888" s="36" t="str">
        <f>IF($FH4888="","",SUM($FN4888:$FN$7000))</f>
        <v/>
      </c>
    </row>
    <row r="4889" spans="164:167">
      <c r="FH4889" s="29" t="str">
        <f t="shared" si="131"/>
        <v/>
      </c>
      <c r="FJ4889" s="36" t="str">
        <f>IF($FH4889="","",SUM($FN4889:$FN$7000))</f>
        <v/>
      </c>
      <c r="FK4889" s="36" t="str">
        <f>IF($FH4889="","",SUM($FN4889:$FN$7000))</f>
        <v/>
      </c>
    </row>
    <row r="4890" spans="164:167">
      <c r="FH4890" s="29" t="str">
        <f t="shared" si="131"/>
        <v/>
      </c>
      <c r="FJ4890" s="36" t="str">
        <f>IF($FH4890="","",SUM($FN4890:$FN$7000))</f>
        <v/>
      </c>
      <c r="FK4890" s="36" t="str">
        <f>IF($FH4890="","",SUM($FN4890:$FN$7000))</f>
        <v/>
      </c>
    </row>
    <row r="4891" spans="164:167">
      <c r="FH4891" s="29" t="str">
        <f t="shared" si="131"/>
        <v/>
      </c>
      <c r="FJ4891" s="36" t="str">
        <f>IF($FH4891="","",SUM($FN4891:$FN$7000))</f>
        <v/>
      </c>
      <c r="FK4891" s="36" t="str">
        <f>IF($FH4891="","",SUM($FN4891:$FN$7000))</f>
        <v/>
      </c>
    </row>
    <row r="4892" spans="164:167">
      <c r="FH4892" s="29" t="str">
        <f t="shared" si="131"/>
        <v/>
      </c>
      <c r="FJ4892" s="36" t="str">
        <f>IF($FH4892="","",SUM($FN4892:$FN$7000))</f>
        <v/>
      </c>
      <c r="FK4892" s="36" t="str">
        <f>IF($FH4892="","",SUM($FN4892:$FN$7000))</f>
        <v/>
      </c>
    </row>
    <row r="4893" spans="164:167">
      <c r="FH4893" s="29" t="str">
        <f t="shared" si="131"/>
        <v/>
      </c>
      <c r="FJ4893" s="36" t="str">
        <f>IF($FH4893="","",SUM($FN4893:$FN$7000))</f>
        <v/>
      </c>
      <c r="FK4893" s="36" t="str">
        <f>IF($FH4893="","",SUM($FN4893:$FN$7000))</f>
        <v/>
      </c>
    </row>
    <row r="4894" spans="164:167">
      <c r="FH4894" s="29" t="str">
        <f t="shared" si="131"/>
        <v/>
      </c>
      <c r="FJ4894" s="36" t="str">
        <f>IF($FH4894="","",SUM($FN4894:$FN$7000))</f>
        <v/>
      </c>
      <c r="FK4894" s="36" t="str">
        <f>IF($FH4894="","",SUM($FN4894:$FN$7000))</f>
        <v/>
      </c>
    </row>
    <row r="4895" spans="164:167">
      <c r="FH4895" s="29" t="str">
        <f t="shared" si="131"/>
        <v/>
      </c>
      <c r="FJ4895" s="36" t="str">
        <f>IF($FH4895="","",SUM($FN4895:$FN$7000))</f>
        <v/>
      </c>
      <c r="FK4895" s="36" t="str">
        <f>IF($FH4895="","",SUM($FN4895:$FN$7000))</f>
        <v/>
      </c>
    </row>
    <row r="4896" spans="164:167">
      <c r="FH4896" s="29" t="str">
        <f t="shared" si="131"/>
        <v/>
      </c>
      <c r="FJ4896" s="36" t="str">
        <f>IF($FH4896="","",SUM($FN4896:$FN$7000))</f>
        <v/>
      </c>
      <c r="FK4896" s="36" t="str">
        <f>IF($FH4896="","",SUM($FN4896:$FN$7000))</f>
        <v/>
      </c>
    </row>
    <row r="4897" spans="164:167">
      <c r="FH4897" s="29" t="str">
        <f t="shared" si="131"/>
        <v/>
      </c>
      <c r="FJ4897" s="36" t="str">
        <f>IF($FH4897="","",SUM($FN4897:$FN$7000))</f>
        <v/>
      </c>
      <c r="FK4897" s="36" t="str">
        <f>IF($FH4897="","",SUM($FN4897:$FN$7000))</f>
        <v/>
      </c>
    </row>
    <row r="4898" spans="164:167">
      <c r="FH4898" s="29" t="str">
        <f t="shared" si="131"/>
        <v/>
      </c>
      <c r="FJ4898" s="36" t="str">
        <f>IF($FH4898="","",SUM($FN4898:$FN$7000))</f>
        <v/>
      </c>
      <c r="FK4898" s="36" t="str">
        <f>IF($FH4898="","",SUM($FN4898:$FN$7000))</f>
        <v/>
      </c>
    </row>
    <row r="4899" spans="164:167">
      <c r="FH4899" s="29" t="str">
        <f t="shared" si="131"/>
        <v/>
      </c>
      <c r="FJ4899" s="36" t="str">
        <f>IF($FH4899="","",SUM($FN4899:$FN$7000))</f>
        <v/>
      </c>
      <c r="FK4899" s="36" t="str">
        <f>IF($FH4899="","",SUM($FN4899:$FN$7000))</f>
        <v/>
      </c>
    </row>
    <row r="4900" spans="164:167">
      <c r="FH4900" s="29" t="str">
        <f t="shared" si="131"/>
        <v/>
      </c>
      <c r="FJ4900" s="36" t="str">
        <f>IF($FH4900="","",SUM($FN4900:$FN$7000))</f>
        <v/>
      </c>
      <c r="FK4900" s="36" t="str">
        <f>IF($FH4900="","",SUM($FN4900:$FN$7000))</f>
        <v/>
      </c>
    </row>
    <row r="4901" spans="164:167">
      <c r="FH4901" s="29" t="str">
        <f t="shared" si="131"/>
        <v/>
      </c>
      <c r="FJ4901" s="36" t="str">
        <f>IF($FH4901="","",SUM($FN4901:$FN$7000))</f>
        <v/>
      </c>
      <c r="FK4901" s="36" t="str">
        <f>IF($FH4901="","",SUM($FN4901:$FN$7000))</f>
        <v/>
      </c>
    </row>
    <row r="4902" spans="164:167">
      <c r="FH4902" s="29" t="str">
        <f t="shared" si="131"/>
        <v/>
      </c>
      <c r="FJ4902" s="36" t="str">
        <f>IF($FH4902="","",SUM($FN4902:$FN$7000))</f>
        <v/>
      </c>
      <c r="FK4902" s="36" t="str">
        <f>IF($FH4902="","",SUM($FN4902:$FN$7000))</f>
        <v/>
      </c>
    </row>
    <row r="4903" spans="164:167">
      <c r="FH4903" s="29" t="str">
        <f t="shared" si="131"/>
        <v/>
      </c>
      <c r="FJ4903" s="36" t="str">
        <f>IF($FH4903="","",SUM($FN4903:$FN$7000))</f>
        <v/>
      </c>
      <c r="FK4903" s="36" t="str">
        <f>IF($FH4903="","",SUM($FN4903:$FN$7000))</f>
        <v/>
      </c>
    </row>
    <row r="4904" spans="164:167">
      <c r="FH4904" s="29" t="str">
        <f t="shared" si="131"/>
        <v/>
      </c>
      <c r="FJ4904" s="36" t="str">
        <f>IF($FH4904="","",SUM($FN4904:$FN$7000))</f>
        <v/>
      </c>
      <c r="FK4904" s="36" t="str">
        <f>IF($FH4904="","",SUM($FN4904:$FN$7000))</f>
        <v/>
      </c>
    </row>
    <row r="4905" spans="164:167">
      <c r="FH4905" s="29" t="str">
        <f t="shared" si="131"/>
        <v/>
      </c>
      <c r="FJ4905" s="36" t="str">
        <f>IF($FH4905="","",SUM($FN4905:$FN$7000))</f>
        <v/>
      </c>
      <c r="FK4905" s="36" t="str">
        <f>IF($FH4905="","",SUM($FN4905:$FN$7000))</f>
        <v/>
      </c>
    </row>
    <row r="4906" spans="164:167">
      <c r="FH4906" s="29" t="str">
        <f t="shared" si="131"/>
        <v/>
      </c>
      <c r="FJ4906" s="36" t="str">
        <f>IF($FH4906="","",SUM($FN4906:$FN$7000))</f>
        <v/>
      </c>
      <c r="FK4906" s="36" t="str">
        <f>IF($FH4906="","",SUM($FN4906:$FN$7000))</f>
        <v/>
      </c>
    </row>
    <row r="4907" spans="164:167">
      <c r="FH4907" s="29" t="str">
        <f t="shared" si="131"/>
        <v/>
      </c>
      <c r="FJ4907" s="36" t="str">
        <f>IF($FH4907="","",SUM($FN4907:$FN$7000))</f>
        <v/>
      </c>
      <c r="FK4907" s="36" t="str">
        <f>IF($FH4907="","",SUM($FN4907:$FN$7000))</f>
        <v/>
      </c>
    </row>
    <row r="4908" spans="164:167">
      <c r="FH4908" s="29" t="str">
        <f t="shared" si="131"/>
        <v/>
      </c>
      <c r="FJ4908" s="36" t="str">
        <f>IF($FH4908="","",SUM($FN4908:$FN$7000))</f>
        <v/>
      </c>
      <c r="FK4908" s="36" t="str">
        <f>IF($FH4908="","",SUM($FN4908:$FN$7000))</f>
        <v/>
      </c>
    </row>
    <row r="4909" spans="164:167">
      <c r="FH4909" s="29" t="str">
        <f t="shared" si="131"/>
        <v/>
      </c>
      <c r="FJ4909" s="36" t="str">
        <f>IF($FH4909="","",SUM($FN4909:$FN$7000))</f>
        <v/>
      </c>
      <c r="FK4909" s="36" t="str">
        <f>IF($FH4909="","",SUM($FN4909:$FN$7000))</f>
        <v/>
      </c>
    </row>
    <row r="4910" spans="164:167">
      <c r="FH4910" s="29" t="str">
        <f t="shared" si="131"/>
        <v/>
      </c>
      <c r="FJ4910" s="36" t="str">
        <f>IF($FH4910="","",SUM($FN4910:$FN$7000))</f>
        <v/>
      </c>
      <c r="FK4910" s="36" t="str">
        <f>IF($FH4910="","",SUM($FN4910:$FN$7000))</f>
        <v/>
      </c>
    </row>
    <row r="4911" spans="164:167">
      <c r="FH4911" s="29" t="str">
        <f t="shared" si="131"/>
        <v/>
      </c>
      <c r="FJ4911" s="36" t="str">
        <f>IF($FH4911="","",SUM($FN4911:$FN$7000))</f>
        <v/>
      </c>
      <c r="FK4911" s="36" t="str">
        <f>IF($FH4911="","",SUM($FN4911:$FN$7000))</f>
        <v/>
      </c>
    </row>
    <row r="4912" spans="164:167">
      <c r="FH4912" s="29" t="str">
        <f t="shared" si="131"/>
        <v/>
      </c>
      <c r="FJ4912" s="36" t="str">
        <f>IF($FH4912="","",SUM($FN4912:$FN$7000))</f>
        <v/>
      </c>
      <c r="FK4912" s="36" t="str">
        <f>IF($FH4912="","",SUM($FN4912:$FN$7000))</f>
        <v/>
      </c>
    </row>
    <row r="4913" spans="164:167">
      <c r="FH4913" s="29" t="str">
        <f t="shared" si="131"/>
        <v/>
      </c>
      <c r="FJ4913" s="36" t="str">
        <f>IF($FH4913="","",SUM($FN4913:$FN$7000))</f>
        <v/>
      </c>
      <c r="FK4913" s="36" t="str">
        <f>IF($FH4913="","",SUM($FN4913:$FN$7000))</f>
        <v/>
      </c>
    </row>
    <row r="4914" spans="164:167">
      <c r="FH4914" s="29" t="str">
        <f t="shared" si="131"/>
        <v/>
      </c>
      <c r="FJ4914" s="36" t="str">
        <f>IF($FH4914="","",SUM($FN4914:$FN$7000))</f>
        <v/>
      </c>
      <c r="FK4914" s="36" t="str">
        <f>IF($FH4914="","",SUM($FN4914:$FN$7000))</f>
        <v/>
      </c>
    </row>
    <row r="4915" spans="164:167">
      <c r="FH4915" s="29" t="str">
        <f t="shared" si="131"/>
        <v/>
      </c>
      <c r="FJ4915" s="36" t="str">
        <f>IF($FH4915="","",SUM($FN4915:$FN$7000))</f>
        <v/>
      </c>
      <c r="FK4915" s="36" t="str">
        <f>IF($FH4915="","",SUM($FN4915:$FN$7000))</f>
        <v/>
      </c>
    </row>
    <row r="4916" spans="164:167">
      <c r="FH4916" s="29" t="str">
        <f t="shared" si="131"/>
        <v/>
      </c>
      <c r="FJ4916" s="36" t="str">
        <f>IF($FH4916="","",SUM($FN4916:$FN$7000))</f>
        <v/>
      </c>
      <c r="FK4916" s="36" t="str">
        <f>IF($FH4916="","",SUM($FN4916:$FN$7000))</f>
        <v/>
      </c>
    </row>
    <row r="4917" spans="164:167">
      <c r="FH4917" s="29" t="str">
        <f t="shared" si="131"/>
        <v/>
      </c>
      <c r="FJ4917" s="36" t="str">
        <f>IF($FH4917="","",SUM($FN4917:$FN$7000))</f>
        <v/>
      </c>
      <c r="FK4917" s="36" t="str">
        <f>IF($FH4917="","",SUM($FN4917:$FN$7000))</f>
        <v/>
      </c>
    </row>
    <row r="4918" spans="164:167">
      <c r="FH4918" s="29" t="str">
        <f t="shared" si="131"/>
        <v/>
      </c>
      <c r="FJ4918" s="36" t="str">
        <f>IF($FH4918="","",SUM($FN4918:$FN$7000))</f>
        <v/>
      </c>
      <c r="FK4918" s="36" t="str">
        <f>IF($FH4918="","",SUM($FN4918:$FN$7000))</f>
        <v/>
      </c>
    </row>
    <row r="4919" spans="164:167">
      <c r="FH4919" s="29" t="str">
        <f t="shared" si="131"/>
        <v/>
      </c>
      <c r="FJ4919" s="36" t="str">
        <f>IF($FH4919="","",SUM($FN4919:$FN$7000))</f>
        <v/>
      </c>
      <c r="FK4919" s="36" t="str">
        <f>IF($FH4919="","",SUM($FN4919:$FN$7000))</f>
        <v/>
      </c>
    </row>
    <row r="4920" spans="164:167">
      <c r="FH4920" s="29" t="str">
        <f t="shared" si="131"/>
        <v/>
      </c>
      <c r="FJ4920" s="36" t="str">
        <f>IF($FH4920="","",SUM($FN4920:$FN$7000))</f>
        <v/>
      </c>
      <c r="FK4920" s="36" t="str">
        <f>IF($FH4920="","",SUM($FN4920:$FN$7000))</f>
        <v/>
      </c>
    </row>
    <row r="4921" spans="164:167">
      <c r="FH4921" s="29" t="str">
        <f t="shared" si="131"/>
        <v/>
      </c>
      <c r="FJ4921" s="36" t="str">
        <f>IF($FH4921="","",SUM($FN4921:$FN$7000))</f>
        <v/>
      </c>
      <c r="FK4921" s="36" t="str">
        <f>IF($FH4921="","",SUM($FN4921:$FN$7000))</f>
        <v/>
      </c>
    </row>
    <row r="4922" spans="164:167">
      <c r="FH4922" s="29" t="str">
        <f t="shared" si="131"/>
        <v/>
      </c>
      <c r="FJ4922" s="36" t="str">
        <f>IF($FH4922="","",SUM($FN4922:$FN$7000))</f>
        <v/>
      </c>
      <c r="FK4922" s="36" t="str">
        <f>IF($FH4922="","",SUM($FN4922:$FN$7000))</f>
        <v/>
      </c>
    </row>
    <row r="4923" spans="164:167">
      <c r="FH4923" s="29" t="str">
        <f t="shared" si="131"/>
        <v/>
      </c>
      <c r="FJ4923" s="36" t="str">
        <f>IF($FH4923="","",SUM($FN4923:$FN$7000))</f>
        <v/>
      </c>
      <c r="FK4923" s="36" t="str">
        <f>IF($FH4923="","",SUM($FN4923:$FN$7000))</f>
        <v/>
      </c>
    </row>
    <row r="4924" spans="164:167">
      <c r="FH4924" s="29" t="str">
        <f t="shared" si="131"/>
        <v/>
      </c>
      <c r="FJ4924" s="36" t="str">
        <f>IF($FH4924="","",SUM($FN4924:$FN$7000))</f>
        <v/>
      </c>
      <c r="FK4924" s="36" t="str">
        <f>IF($FH4924="","",SUM($FN4924:$FN$7000))</f>
        <v/>
      </c>
    </row>
    <row r="4925" spans="164:167">
      <c r="FH4925" s="29" t="str">
        <f t="shared" si="131"/>
        <v/>
      </c>
      <c r="FJ4925" s="36" t="str">
        <f>IF($FH4925="","",SUM($FN4925:$FN$7000))</f>
        <v/>
      </c>
      <c r="FK4925" s="36" t="str">
        <f>IF($FH4925="","",SUM($FN4925:$FN$7000))</f>
        <v/>
      </c>
    </row>
    <row r="4926" spans="164:167">
      <c r="FH4926" s="29" t="str">
        <f t="shared" si="131"/>
        <v/>
      </c>
      <c r="FJ4926" s="36" t="str">
        <f>IF($FH4926="","",SUM($FN4926:$FN$7000))</f>
        <v/>
      </c>
      <c r="FK4926" s="36" t="str">
        <f>IF($FH4926="","",SUM($FN4926:$FN$7000))</f>
        <v/>
      </c>
    </row>
    <row r="4927" spans="164:167">
      <c r="FH4927" s="29" t="str">
        <f t="shared" si="131"/>
        <v/>
      </c>
      <c r="FJ4927" s="36" t="str">
        <f>IF($FH4927="","",SUM($FN4927:$FN$7000))</f>
        <v/>
      </c>
      <c r="FK4927" s="36" t="str">
        <f>IF($FH4927="","",SUM($FN4927:$FN$7000))</f>
        <v/>
      </c>
    </row>
    <row r="4928" spans="164:167">
      <c r="FH4928" s="29" t="str">
        <f t="shared" si="131"/>
        <v/>
      </c>
      <c r="FJ4928" s="36" t="str">
        <f>IF($FH4928="","",SUM($FN4928:$FN$7000))</f>
        <v/>
      </c>
      <c r="FK4928" s="36" t="str">
        <f>IF($FH4928="","",SUM($FN4928:$FN$7000))</f>
        <v/>
      </c>
    </row>
    <row r="4929" spans="164:167">
      <c r="FH4929" s="29" t="str">
        <f t="shared" si="131"/>
        <v/>
      </c>
      <c r="FJ4929" s="36" t="str">
        <f>IF($FH4929="","",SUM($FN4929:$FN$7000))</f>
        <v/>
      </c>
      <c r="FK4929" s="36" t="str">
        <f>IF($FH4929="","",SUM($FN4929:$FN$7000))</f>
        <v/>
      </c>
    </row>
    <row r="4930" spans="164:167">
      <c r="FH4930" s="29" t="str">
        <f t="shared" si="131"/>
        <v/>
      </c>
      <c r="FJ4930" s="36" t="str">
        <f>IF($FH4930="","",SUM($FN4930:$FN$7000))</f>
        <v/>
      </c>
      <c r="FK4930" s="36" t="str">
        <f>IF($FH4930="","",SUM($FN4930:$FN$7000))</f>
        <v/>
      </c>
    </row>
    <row r="4931" spans="164:167">
      <c r="FH4931" s="29" t="str">
        <f t="shared" si="131"/>
        <v/>
      </c>
      <c r="FJ4931" s="36" t="str">
        <f>IF($FH4931="","",SUM($FN4931:$FN$7000))</f>
        <v/>
      </c>
      <c r="FK4931" s="36" t="str">
        <f>IF($FH4931="","",SUM($FN4931:$FN$7000))</f>
        <v/>
      </c>
    </row>
    <row r="4932" spans="164:167">
      <c r="FH4932" s="29" t="str">
        <f t="shared" si="131"/>
        <v/>
      </c>
      <c r="FJ4932" s="36" t="str">
        <f>IF($FH4932="","",SUM($FN4932:$FN$7000))</f>
        <v/>
      </c>
      <c r="FK4932" s="36" t="str">
        <f>IF($FH4932="","",SUM($FN4932:$FN$7000))</f>
        <v/>
      </c>
    </row>
    <row r="4933" spans="164:167">
      <c r="FH4933" s="29" t="str">
        <f t="shared" si="131"/>
        <v/>
      </c>
      <c r="FJ4933" s="36" t="str">
        <f>IF($FH4933="","",SUM($FN4933:$FN$7000))</f>
        <v/>
      </c>
      <c r="FK4933" s="36" t="str">
        <f>IF($FH4933="","",SUM($FN4933:$FN$7000))</f>
        <v/>
      </c>
    </row>
    <row r="4934" spans="164:167">
      <c r="FH4934" s="29" t="str">
        <f t="shared" si="131"/>
        <v/>
      </c>
      <c r="FJ4934" s="36" t="str">
        <f>IF($FH4934="","",SUM($FN4934:$FN$7000))</f>
        <v/>
      </c>
      <c r="FK4934" s="36" t="str">
        <f>IF($FH4934="","",SUM($FN4934:$FN$7000))</f>
        <v/>
      </c>
    </row>
    <row r="4935" spans="164:167">
      <c r="FH4935" s="29" t="str">
        <f t="shared" si="131"/>
        <v/>
      </c>
      <c r="FJ4935" s="36" t="str">
        <f>IF($FH4935="","",SUM($FN4935:$FN$7000))</f>
        <v/>
      </c>
      <c r="FK4935" s="36" t="str">
        <f>IF($FH4935="","",SUM($FN4935:$FN$7000))</f>
        <v/>
      </c>
    </row>
    <row r="4936" spans="164:167">
      <c r="FH4936" s="29" t="str">
        <f t="shared" si="131"/>
        <v/>
      </c>
      <c r="FJ4936" s="36" t="str">
        <f>IF($FH4936="","",SUM($FN4936:$FN$7000))</f>
        <v/>
      </c>
      <c r="FK4936" s="36" t="str">
        <f>IF($FH4936="","",SUM($FN4936:$FN$7000))</f>
        <v/>
      </c>
    </row>
    <row r="4937" spans="164:167">
      <c r="FH4937" s="29" t="str">
        <f t="shared" si="131"/>
        <v/>
      </c>
      <c r="FJ4937" s="36" t="str">
        <f>IF($FH4937="","",SUM($FN4937:$FN$7000))</f>
        <v/>
      </c>
      <c r="FK4937" s="36" t="str">
        <f>IF($FH4937="","",SUM($FN4937:$FN$7000))</f>
        <v/>
      </c>
    </row>
    <row r="4938" spans="164:167">
      <c r="FH4938" s="29" t="str">
        <f t="shared" si="131"/>
        <v/>
      </c>
      <c r="FJ4938" s="36" t="str">
        <f>IF($FH4938="","",SUM($FN4938:$FN$7000))</f>
        <v/>
      </c>
      <c r="FK4938" s="36" t="str">
        <f>IF($FH4938="","",SUM($FN4938:$FN$7000))</f>
        <v/>
      </c>
    </row>
    <row r="4939" spans="164:167">
      <c r="FH4939" s="29" t="str">
        <f t="shared" ref="FH4939:FH5002" si="132">IF(FL4939="","",FL4939)</f>
        <v/>
      </c>
      <c r="FJ4939" s="36" t="str">
        <f>IF($FH4939="","",SUM($FN4939:$FN$7000))</f>
        <v/>
      </c>
      <c r="FK4939" s="36" t="str">
        <f>IF($FH4939="","",SUM($FN4939:$FN$7000))</f>
        <v/>
      </c>
    </row>
    <row r="4940" spans="164:167">
      <c r="FH4940" s="29" t="str">
        <f t="shared" si="132"/>
        <v/>
      </c>
      <c r="FJ4940" s="36" t="str">
        <f>IF($FH4940="","",SUM($FN4940:$FN$7000))</f>
        <v/>
      </c>
      <c r="FK4940" s="36" t="str">
        <f>IF($FH4940="","",SUM($FN4940:$FN$7000))</f>
        <v/>
      </c>
    </row>
    <row r="4941" spans="164:167">
      <c r="FH4941" s="29" t="str">
        <f t="shared" si="132"/>
        <v/>
      </c>
      <c r="FJ4941" s="36" t="str">
        <f>IF($FH4941="","",SUM($FN4941:$FN$7000))</f>
        <v/>
      </c>
      <c r="FK4941" s="36" t="str">
        <f>IF($FH4941="","",SUM($FN4941:$FN$7000))</f>
        <v/>
      </c>
    </row>
    <row r="4942" spans="164:167">
      <c r="FH4942" s="29" t="str">
        <f t="shared" si="132"/>
        <v/>
      </c>
      <c r="FJ4942" s="36" t="str">
        <f>IF($FH4942="","",SUM($FN4942:$FN$7000))</f>
        <v/>
      </c>
      <c r="FK4942" s="36" t="str">
        <f>IF($FH4942="","",SUM($FN4942:$FN$7000))</f>
        <v/>
      </c>
    </row>
    <row r="4943" spans="164:167">
      <c r="FH4943" s="29" t="str">
        <f t="shared" si="132"/>
        <v/>
      </c>
      <c r="FJ4943" s="36" t="str">
        <f>IF($FH4943="","",SUM($FN4943:$FN$7000))</f>
        <v/>
      </c>
      <c r="FK4943" s="36" t="str">
        <f>IF($FH4943="","",SUM($FN4943:$FN$7000))</f>
        <v/>
      </c>
    </row>
    <row r="4944" spans="164:167">
      <c r="FH4944" s="29" t="str">
        <f t="shared" si="132"/>
        <v/>
      </c>
      <c r="FJ4944" s="36" t="str">
        <f>IF($FH4944="","",SUM($FN4944:$FN$7000))</f>
        <v/>
      </c>
      <c r="FK4944" s="36" t="str">
        <f>IF($FH4944="","",SUM($FN4944:$FN$7000))</f>
        <v/>
      </c>
    </row>
    <row r="4945" spans="164:167">
      <c r="FH4945" s="29" t="str">
        <f t="shared" si="132"/>
        <v/>
      </c>
      <c r="FJ4945" s="36" t="str">
        <f>IF($FH4945="","",SUM($FN4945:$FN$7000))</f>
        <v/>
      </c>
      <c r="FK4945" s="36" t="str">
        <f>IF($FH4945="","",SUM($FN4945:$FN$7000))</f>
        <v/>
      </c>
    </row>
    <row r="4946" spans="164:167">
      <c r="FH4946" s="29" t="str">
        <f t="shared" si="132"/>
        <v/>
      </c>
      <c r="FJ4946" s="36" t="str">
        <f>IF($FH4946="","",SUM($FN4946:$FN$7000))</f>
        <v/>
      </c>
      <c r="FK4946" s="36" t="str">
        <f>IF($FH4946="","",SUM($FN4946:$FN$7000))</f>
        <v/>
      </c>
    </row>
    <row r="4947" spans="164:167">
      <c r="FH4947" s="29" t="str">
        <f t="shared" si="132"/>
        <v/>
      </c>
      <c r="FJ4947" s="36" t="str">
        <f>IF($FH4947="","",SUM($FN4947:$FN$7000))</f>
        <v/>
      </c>
      <c r="FK4947" s="36" t="str">
        <f>IF($FH4947="","",SUM($FN4947:$FN$7000))</f>
        <v/>
      </c>
    </row>
    <row r="4948" spans="164:167">
      <c r="FH4948" s="29" t="str">
        <f t="shared" si="132"/>
        <v/>
      </c>
      <c r="FJ4948" s="36" t="str">
        <f>IF($FH4948="","",SUM($FN4948:$FN$7000))</f>
        <v/>
      </c>
      <c r="FK4948" s="36" t="str">
        <f>IF($FH4948="","",SUM($FN4948:$FN$7000))</f>
        <v/>
      </c>
    </row>
    <row r="4949" spans="164:167">
      <c r="FH4949" s="29" t="str">
        <f t="shared" si="132"/>
        <v/>
      </c>
      <c r="FJ4949" s="36" t="str">
        <f>IF($FH4949="","",SUM($FN4949:$FN$7000))</f>
        <v/>
      </c>
      <c r="FK4949" s="36" t="str">
        <f>IF($FH4949="","",SUM($FN4949:$FN$7000))</f>
        <v/>
      </c>
    </row>
    <row r="4950" spans="164:167">
      <c r="FH4950" s="29" t="str">
        <f t="shared" si="132"/>
        <v/>
      </c>
      <c r="FJ4950" s="36" t="str">
        <f>IF($FH4950="","",SUM($FN4950:$FN$7000))</f>
        <v/>
      </c>
      <c r="FK4950" s="36" t="str">
        <f>IF($FH4950="","",SUM($FN4950:$FN$7000))</f>
        <v/>
      </c>
    </row>
    <row r="4951" spans="164:167">
      <c r="FH4951" s="29" t="str">
        <f t="shared" si="132"/>
        <v/>
      </c>
      <c r="FJ4951" s="36" t="str">
        <f>IF($FH4951="","",SUM($FN4951:$FN$7000))</f>
        <v/>
      </c>
      <c r="FK4951" s="36" t="str">
        <f>IF($FH4951="","",SUM($FN4951:$FN$7000))</f>
        <v/>
      </c>
    </row>
    <row r="4952" spans="164:167">
      <c r="FH4952" s="29" t="str">
        <f t="shared" si="132"/>
        <v/>
      </c>
      <c r="FJ4952" s="36" t="str">
        <f>IF($FH4952="","",SUM($FN4952:$FN$7000))</f>
        <v/>
      </c>
      <c r="FK4952" s="36" t="str">
        <f>IF($FH4952="","",SUM($FN4952:$FN$7000))</f>
        <v/>
      </c>
    </row>
    <row r="4953" spans="164:167">
      <c r="FH4953" s="29" t="str">
        <f t="shared" si="132"/>
        <v/>
      </c>
      <c r="FJ4953" s="36" t="str">
        <f>IF($FH4953="","",SUM($FN4953:$FN$7000))</f>
        <v/>
      </c>
      <c r="FK4953" s="36" t="str">
        <f>IF($FH4953="","",SUM($FN4953:$FN$7000))</f>
        <v/>
      </c>
    </row>
    <row r="4954" spans="164:167">
      <c r="FH4954" s="29" t="str">
        <f t="shared" si="132"/>
        <v/>
      </c>
      <c r="FJ4954" s="36" t="str">
        <f>IF($FH4954="","",SUM($FN4954:$FN$7000))</f>
        <v/>
      </c>
      <c r="FK4954" s="36" t="str">
        <f>IF($FH4954="","",SUM($FN4954:$FN$7000))</f>
        <v/>
      </c>
    </row>
    <row r="4955" spans="164:167">
      <c r="FH4955" s="29" t="str">
        <f t="shared" si="132"/>
        <v/>
      </c>
      <c r="FJ4955" s="36" t="str">
        <f>IF($FH4955="","",SUM($FN4955:$FN$7000))</f>
        <v/>
      </c>
      <c r="FK4955" s="36" t="str">
        <f>IF($FH4955="","",SUM($FN4955:$FN$7000))</f>
        <v/>
      </c>
    </row>
    <row r="4956" spans="164:167">
      <c r="FH4956" s="29" t="str">
        <f t="shared" si="132"/>
        <v/>
      </c>
      <c r="FJ4956" s="36" t="str">
        <f>IF($FH4956="","",SUM($FN4956:$FN$7000))</f>
        <v/>
      </c>
      <c r="FK4956" s="36" t="str">
        <f>IF($FH4956="","",SUM($FN4956:$FN$7000))</f>
        <v/>
      </c>
    </row>
    <row r="4957" spans="164:167">
      <c r="FH4957" s="29" t="str">
        <f t="shared" si="132"/>
        <v/>
      </c>
      <c r="FJ4957" s="36" t="str">
        <f>IF($FH4957="","",SUM($FN4957:$FN$7000))</f>
        <v/>
      </c>
      <c r="FK4957" s="36" t="str">
        <f>IF($FH4957="","",SUM($FN4957:$FN$7000))</f>
        <v/>
      </c>
    </row>
    <row r="4958" spans="164:167">
      <c r="FH4958" s="29" t="str">
        <f t="shared" si="132"/>
        <v/>
      </c>
      <c r="FJ4958" s="36" t="str">
        <f>IF($FH4958="","",SUM($FN4958:$FN$7000))</f>
        <v/>
      </c>
      <c r="FK4958" s="36" t="str">
        <f>IF($FH4958="","",SUM($FN4958:$FN$7000))</f>
        <v/>
      </c>
    </row>
    <row r="4959" spans="164:167">
      <c r="FH4959" s="29" t="str">
        <f t="shared" si="132"/>
        <v/>
      </c>
      <c r="FJ4959" s="36" t="str">
        <f>IF($FH4959="","",SUM($FN4959:$FN$7000))</f>
        <v/>
      </c>
      <c r="FK4959" s="36" t="str">
        <f>IF($FH4959="","",SUM($FN4959:$FN$7000))</f>
        <v/>
      </c>
    </row>
    <row r="4960" spans="164:167">
      <c r="FH4960" s="29" t="str">
        <f t="shared" si="132"/>
        <v/>
      </c>
      <c r="FJ4960" s="36" t="str">
        <f>IF($FH4960="","",SUM($FN4960:$FN$7000))</f>
        <v/>
      </c>
      <c r="FK4960" s="36" t="str">
        <f>IF($FH4960="","",SUM($FN4960:$FN$7000))</f>
        <v/>
      </c>
    </row>
    <row r="4961" spans="164:167">
      <c r="FH4961" s="29" t="str">
        <f t="shared" si="132"/>
        <v/>
      </c>
      <c r="FJ4961" s="36" t="str">
        <f>IF($FH4961="","",SUM($FN4961:$FN$7000))</f>
        <v/>
      </c>
      <c r="FK4961" s="36" t="str">
        <f>IF($FH4961="","",SUM($FN4961:$FN$7000))</f>
        <v/>
      </c>
    </row>
    <row r="4962" spans="164:167">
      <c r="FH4962" s="29" t="str">
        <f t="shared" si="132"/>
        <v/>
      </c>
      <c r="FJ4962" s="36" t="str">
        <f>IF($FH4962="","",SUM($FN4962:$FN$7000))</f>
        <v/>
      </c>
      <c r="FK4962" s="36" t="str">
        <f>IF($FH4962="","",SUM($FN4962:$FN$7000))</f>
        <v/>
      </c>
    </row>
    <row r="4963" spans="164:167">
      <c r="FH4963" s="29" t="str">
        <f t="shared" si="132"/>
        <v/>
      </c>
      <c r="FJ4963" s="36" t="str">
        <f>IF($FH4963="","",SUM($FN4963:$FN$7000))</f>
        <v/>
      </c>
      <c r="FK4963" s="36" t="str">
        <f>IF($FH4963="","",SUM($FN4963:$FN$7000))</f>
        <v/>
      </c>
    </row>
    <row r="4964" spans="164:167">
      <c r="FH4964" s="29" t="str">
        <f t="shared" si="132"/>
        <v/>
      </c>
      <c r="FJ4964" s="36" t="str">
        <f>IF($FH4964="","",SUM($FN4964:$FN$7000))</f>
        <v/>
      </c>
      <c r="FK4964" s="36" t="str">
        <f>IF($FH4964="","",SUM($FN4964:$FN$7000))</f>
        <v/>
      </c>
    </row>
    <row r="4965" spans="164:167">
      <c r="FH4965" s="29" t="str">
        <f t="shared" si="132"/>
        <v/>
      </c>
      <c r="FJ4965" s="36" t="str">
        <f>IF($FH4965="","",SUM($FN4965:$FN$7000))</f>
        <v/>
      </c>
      <c r="FK4965" s="36" t="str">
        <f>IF($FH4965="","",SUM($FN4965:$FN$7000))</f>
        <v/>
      </c>
    </row>
    <row r="4966" spans="164:167">
      <c r="FH4966" s="29" t="str">
        <f t="shared" si="132"/>
        <v/>
      </c>
      <c r="FJ4966" s="36" t="str">
        <f>IF($FH4966="","",SUM($FN4966:$FN$7000))</f>
        <v/>
      </c>
      <c r="FK4966" s="36" t="str">
        <f>IF($FH4966="","",SUM($FN4966:$FN$7000))</f>
        <v/>
      </c>
    </row>
    <row r="4967" spans="164:167">
      <c r="FH4967" s="29" t="str">
        <f t="shared" si="132"/>
        <v/>
      </c>
      <c r="FJ4967" s="36" t="str">
        <f>IF($FH4967="","",SUM($FN4967:$FN$7000))</f>
        <v/>
      </c>
      <c r="FK4967" s="36" t="str">
        <f>IF($FH4967="","",SUM($FN4967:$FN$7000))</f>
        <v/>
      </c>
    </row>
    <row r="4968" spans="164:167">
      <c r="FH4968" s="29" t="str">
        <f t="shared" si="132"/>
        <v/>
      </c>
      <c r="FJ4968" s="36" t="str">
        <f>IF($FH4968="","",SUM($FN4968:$FN$7000))</f>
        <v/>
      </c>
      <c r="FK4968" s="36" t="str">
        <f>IF($FH4968="","",SUM($FN4968:$FN$7000))</f>
        <v/>
      </c>
    </row>
    <row r="4969" spans="164:167">
      <c r="FH4969" s="29" t="str">
        <f t="shared" si="132"/>
        <v/>
      </c>
      <c r="FJ4969" s="36" t="str">
        <f>IF($FH4969="","",SUM($FN4969:$FN$7000))</f>
        <v/>
      </c>
      <c r="FK4969" s="36" t="str">
        <f>IF($FH4969="","",SUM($FN4969:$FN$7000))</f>
        <v/>
      </c>
    </row>
    <row r="4970" spans="164:167">
      <c r="FH4970" s="29" t="str">
        <f t="shared" si="132"/>
        <v/>
      </c>
      <c r="FJ4970" s="36" t="str">
        <f>IF($FH4970="","",SUM($FN4970:$FN$7000))</f>
        <v/>
      </c>
      <c r="FK4970" s="36" t="str">
        <f>IF($FH4970="","",SUM($FN4970:$FN$7000))</f>
        <v/>
      </c>
    </row>
    <row r="4971" spans="164:167">
      <c r="FH4971" s="29" t="str">
        <f t="shared" si="132"/>
        <v/>
      </c>
      <c r="FJ4971" s="36" t="str">
        <f>IF($FH4971="","",SUM($FN4971:$FN$7000))</f>
        <v/>
      </c>
      <c r="FK4971" s="36" t="str">
        <f>IF($FH4971="","",SUM($FN4971:$FN$7000))</f>
        <v/>
      </c>
    </row>
    <row r="4972" spans="164:167">
      <c r="FH4972" s="29" t="str">
        <f t="shared" si="132"/>
        <v/>
      </c>
      <c r="FJ4972" s="36" t="str">
        <f>IF($FH4972="","",SUM($FN4972:$FN$7000))</f>
        <v/>
      </c>
      <c r="FK4972" s="36" t="str">
        <f>IF($FH4972="","",SUM($FN4972:$FN$7000))</f>
        <v/>
      </c>
    </row>
    <row r="4973" spans="164:167">
      <c r="FH4973" s="29" t="str">
        <f t="shared" si="132"/>
        <v/>
      </c>
      <c r="FJ4973" s="36" t="str">
        <f>IF($FH4973="","",SUM($FN4973:$FN$7000))</f>
        <v/>
      </c>
      <c r="FK4973" s="36" t="str">
        <f>IF($FH4973="","",SUM($FN4973:$FN$7000))</f>
        <v/>
      </c>
    </row>
    <row r="4974" spans="164:167">
      <c r="FH4974" s="29" t="str">
        <f t="shared" si="132"/>
        <v/>
      </c>
      <c r="FJ4974" s="36" t="str">
        <f>IF($FH4974="","",SUM($FN4974:$FN$7000))</f>
        <v/>
      </c>
      <c r="FK4974" s="36" t="str">
        <f>IF($FH4974="","",SUM($FN4974:$FN$7000))</f>
        <v/>
      </c>
    </row>
    <row r="4975" spans="164:167">
      <c r="FH4975" s="29" t="str">
        <f t="shared" si="132"/>
        <v/>
      </c>
      <c r="FJ4975" s="36" t="str">
        <f>IF($FH4975="","",SUM($FN4975:$FN$7000))</f>
        <v/>
      </c>
      <c r="FK4975" s="36" t="str">
        <f>IF($FH4975="","",SUM($FN4975:$FN$7000))</f>
        <v/>
      </c>
    </row>
    <row r="4976" spans="164:167">
      <c r="FH4976" s="29" t="str">
        <f t="shared" si="132"/>
        <v/>
      </c>
      <c r="FJ4976" s="36" t="str">
        <f>IF($FH4976="","",SUM($FN4976:$FN$7000))</f>
        <v/>
      </c>
      <c r="FK4976" s="36" t="str">
        <f>IF($FH4976="","",SUM($FN4976:$FN$7000))</f>
        <v/>
      </c>
    </row>
    <row r="4977" spans="164:167">
      <c r="FH4977" s="29" t="str">
        <f t="shared" si="132"/>
        <v/>
      </c>
      <c r="FJ4977" s="36" t="str">
        <f>IF($FH4977="","",SUM($FN4977:$FN$7000))</f>
        <v/>
      </c>
      <c r="FK4977" s="36" t="str">
        <f>IF($FH4977="","",SUM($FN4977:$FN$7000))</f>
        <v/>
      </c>
    </row>
    <row r="4978" spans="164:167">
      <c r="FH4978" s="29" t="str">
        <f t="shared" si="132"/>
        <v/>
      </c>
      <c r="FJ4978" s="36" t="str">
        <f>IF($FH4978="","",SUM($FN4978:$FN$7000))</f>
        <v/>
      </c>
      <c r="FK4978" s="36" t="str">
        <f>IF($FH4978="","",SUM($FN4978:$FN$7000))</f>
        <v/>
      </c>
    </row>
    <row r="4979" spans="164:167">
      <c r="FH4979" s="29" t="str">
        <f t="shared" si="132"/>
        <v/>
      </c>
      <c r="FJ4979" s="36" t="str">
        <f>IF($FH4979="","",SUM($FN4979:$FN$7000))</f>
        <v/>
      </c>
      <c r="FK4979" s="36" t="str">
        <f>IF($FH4979="","",SUM($FN4979:$FN$7000))</f>
        <v/>
      </c>
    </row>
    <row r="4980" spans="164:167">
      <c r="FH4980" s="29" t="str">
        <f t="shared" si="132"/>
        <v/>
      </c>
      <c r="FJ4980" s="36" t="str">
        <f>IF($FH4980="","",SUM($FN4980:$FN$7000))</f>
        <v/>
      </c>
      <c r="FK4980" s="36" t="str">
        <f>IF($FH4980="","",SUM($FN4980:$FN$7000))</f>
        <v/>
      </c>
    </row>
    <row r="4981" spans="164:167">
      <c r="FH4981" s="29" t="str">
        <f t="shared" si="132"/>
        <v/>
      </c>
      <c r="FJ4981" s="36" t="str">
        <f>IF($FH4981="","",SUM($FN4981:$FN$7000))</f>
        <v/>
      </c>
      <c r="FK4981" s="36" t="str">
        <f>IF($FH4981="","",SUM($FN4981:$FN$7000))</f>
        <v/>
      </c>
    </row>
    <row r="4982" spans="164:167">
      <c r="FH4982" s="29" t="str">
        <f t="shared" si="132"/>
        <v/>
      </c>
      <c r="FJ4982" s="36" t="str">
        <f>IF($FH4982="","",SUM($FN4982:$FN$7000))</f>
        <v/>
      </c>
      <c r="FK4982" s="36" t="str">
        <f>IF($FH4982="","",SUM($FN4982:$FN$7000))</f>
        <v/>
      </c>
    </row>
    <row r="4983" spans="164:167">
      <c r="FH4983" s="29" t="str">
        <f t="shared" si="132"/>
        <v/>
      </c>
      <c r="FJ4983" s="36" t="str">
        <f>IF($FH4983="","",SUM($FN4983:$FN$7000))</f>
        <v/>
      </c>
      <c r="FK4983" s="36" t="str">
        <f>IF($FH4983="","",SUM($FN4983:$FN$7000))</f>
        <v/>
      </c>
    </row>
    <row r="4984" spans="164:167">
      <c r="FH4984" s="29" t="str">
        <f t="shared" si="132"/>
        <v/>
      </c>
      <c r="FJ4984" s="36" t="str">
        <f>IF($FH4984="","",SUM($FN4984:$FN$7000))</f>
        <v/>
      </c>
      <c r="FK4984" s="36" t="str">
        <f>IF($FH4984="","",SUM($FN4984:$FN$7000))</f>
        <v/>
      </c>
    </row>
    <row r="4985" spans="164:167">
      <c r="FH4985" s="29" t="str">
        <f t="shared" si="132"/>
        <v/>
      </c>
      <c r="FJ4985" s="36" t="str">
        <f>IF($FH4985="","",SUM($FN4985:$FN$7000))</f>
        <v/>
      </c>
      <c r="FK4985" s="36" t="str">
        <f>IF($FH4985="","",SUM($FN4985:$FN$7000))</f>
        <v/>
      </c>
    </row>
    <row r="4986" spans="164:167">
      <c r="FH4986" s="29" t="str">
        <f t="shared" si="132"/>
        <v/>
      </c>
      <c r="FJ4986" s="36" t="str">
        <f>IF($FH4986="","",SUM($FN4986:$FN$7000))</f>
        <v/>
      </c>
      <c r="FK4986" s="36" t="str">
        <f>IF($FH4986="","",SUM($FN4986:$FN$7000))</f>
        <v/>
      </c>
    </row>
    <row r="4987" spans="164:167">
      <c r="FH4987" s="29" t="str">
        <f t="shared" si="132"/>
        <v/>
      </c>
      <c r="FJ4987" s="36" t="str">
        <f>IF($FH4987="","",SUM($FN4987:$FN$7000))</f>
        <v/>
      </c>
      <c r="FK4987" s="36" t="str">
        <f>IF($FH4987="","",SUM($FN4987:$FN$7000))</f>
        <v/>
      </c>
    </row>
    <row r="4988" spans="164:167">
      <c r="FH4988" s="29" t="str">
        <f t="shared" si="132"/>
        <v/>
      </c>
      <c r="FJ4988" s="36" t="str">
        <f>IF($FH4988="","",SUM($FN4988:$FN$7000))</f>
        <v/>
      </c>
      <c r="FK4988" s="36" t="str">
        <f>IF($FH4988="","",SUM($FN4988:$FN$7000))</f>
        <v/>
      </c>
    </row>
    <row r="4989" spans="164:167">
      <c r="FH4989" s="29" t="str">
        <f t="shared" si="132"/>
        <v/>
      </c>
      <c r="FJ4989" s="36" t="str">
        <f>IF($FH4989="","",SUM($FN4989:$FN$7000))</f>
        <v/>
      </c>
      <c r="FK4989" s="36" t="str">
        <f>IF($FH4989="","",SUM($FN4989:$FN$7000))</f>
        <v/>
      </c>
    </row>
    <row r="4990" spans="164:167">
      <c r="FH4990" s="29" t="str">
        <f t="shared" si="132"/>
        <v/>
      </c>
      <c r="FJ4990" s="36" t="str">
        <f>IF($FH4990="","",SUM($FN4990:$FN$7000))</f>
        <v/>
      </c>
      <c r="FK4990" s="36" t="str">
        <f>IF($FH4990="","",SUM($FN4990:$FN$7000))</f>
        <v/>
      </c>
    </row>
    <row r="4991" spans="164:167">
      <c r="FH4991" s="29" t="str">
        <f t="shared" si="132"/>
        <v/>
      </c>
      <c r="FJ4991" s="36" t="str">
        <f>IF($FH4991="","",SUM($FN4991:$FN$7000))</f>
        <v/>
      </c>
      <c r="FK4991" s="36" t="str">
        <f>IF($FH4991="","",SUM($FN4991:$FN$7000))</f>
        <v/>
      </c>
    </row>
    <row r="4992" spans="164:167">
      <c r="FH4992" s="29" t="str">
        <f t="shared" si="132"/>
        <v/>
      </c>
      <c r="FJ4992" s="36" t="str">
        <f>IF($FH4992="","",SUM($FN4992:$FN$7000))</f>
        <v/>
      </c>
      <c r="FK4992" s="36" t="str">
        <f>IF($FH4992="","",SUM($FN4992:$FN$7000))</f>
        <v/>
      </c>
    </row>
    <row r="4993" spans="164:167">
      <c r="FH4993" s="29" t="str">
        <f t="shared" si="132"/>
        <v/>
      </c>
      <c r="FJ4993" s="36" t="str">
        <f>IF($FH4993="","",SUM($FN4993:$FN$7000))</f>
        <v/>
      </c>
      <c r="FK4993" s="36" t="str">
        <f>IF($FH4993="","",SUM($FN4993:$FN$7000))</f>
        <v/>
      </c>
    </row>
    <row r="4994" spans="164:167">
      <c r="FH4994" s="29" t="str">
        <f t="shared" si="132"/>
        <v/>
      </c>
      <c r="FJ4994" s="36" t="str">
        <f>IF($FH4994="","",SUM($FN4994:$FN$7000))</f>
        <v/>
      </c>
      <c r="FK4994" s="36" t="str">
        <f>IF($FH4994="","",SUM($FN4994:$FN$7000))</f>
        <v/>
      </c>
    </row>
    <row r="4995" spans="164:167">
      <c r="FH4995" s="29" t="str">
        <f t="shared" si="132"/>
        <v/>
      </c>
      <c r="FJ4995" s="36" t="str">
        <f>IF($FH4995="","",SUM($FN4995:$FN$7000))</f>
        <v/>
      </c>
      <c r="FK4995" s="36" t="str">
        <f>IF($FH4995="","",SUM($FN4995:$FN$7000))</f>
        <v/>
      </c>
    </row>
    <row r="4996" spans="164:167">
      <c r="FH4996" s="29" t="str">
        <f t="shared" si="132"/>
        <v/>
      </c>
      <c r="FJ4996" s="36" t="str">
        <f>IF($FH4996="","",SUM($FN4996:$FN$7000))</f>
        <v/>
      </c>
      <c r="FK4996" s="36" t="str">
        <f>IF($FH4996="","",SUM($FN4996:$FN$7000))</f>
        <v/>
      </c>
    </row>
    <row r="4997" spans="164:167">
      <c r="FH4997" s="29" t="str">
        <f t="shared" si="132"/>
        <v/>
      </c>
      <c r="FJ4997" s="36" t="str">
        <f>IF($FH4997="","",SUM($FN4997:$FN$7000))</f>
        <v/>
      </c>
      <c r="FK4997" s="36" t="str">
        <f>IF($FH4997="","",SUM($FN4997:$FN$7000))</f>
        <v/>
      </c>
    </row>
    <row r="4998" spans="164:167">
      <c r="FH4998" s="29" t="str">
        <f t="shared" si="132"/>
        <v/>
      </c>
      <c r="FJ4998" s="36" t="str">
        <f>IF($FH4998="","",SUM($FN4998:$FN$7000))</f>
        <v/>
      </c>
      <c r="FK4998" s="36" t="str">
        <f>IF($FH4998="","",SUM($FN4998:$FN$7000))</f>
        <v/>
      </c>
    </row>
    <row r="4999" spans="164:167">
      <c r="FH4999" s="29" t="str">
        <f t="shared" si="132"/>
        <v/>
      </c>
      <c r="FJ4999" s="36" t="str">
        <f>IF($FH4999="","",SUM($FN4999:$FN$7000))</f>
        <v/>
      </c>
      <c r="FK4999" s="36" t="str">
        <f>IF($FH4999="","",SUM($FN4999:$FN$7000))</f>
        <v/>
      </c>
    </row>
    <row r="5000" spans="164:167">
      <c r="FH5000" s="29" t="str">
        <f t="shared" si="132"/>
        <v/>
      </c>
      <c r="FJ5000" s="36" t="str">
        <f>IF($FH5000="","",SUM($FN5000:$FN$7000))</f>
        <v/>
      </c>
      <c r="FK5000" s="36" t="str">
        <f>IF($FH5000="","",SUM($FN5000:$FN$7000))</f>
        <v/>
      </c>
    </row>
    <row r="5001" spans="164:167">
      <c r="FH5001" s="29" t="str">
        <f t="shared" si="132"/>
        <v/>
      </c>
      <c r="FJ5001" s="36" t="str">
        <f>IF($FH5001="","",SUM($FN5001:$FN$7000))</f>
        <v/>
      </c>
      <c r="FK5001" s="36" t="str">
        <f>IF($FH5001="","",SUM($FN5001:$FN$7000))</f>
        <v/>
      </c>
    </row>
    <row r="5002" spans="164:167">
      <c r="FH5002" s="29" t="str">
        <f t="shared" si="132"/>
        <v/>
      </c>
      <c r="FJ5002" s="36" t="str">
        <f>IF($FH5002="","",SUM($FN5002:$FN$7000))</f>
        <v/>
      </c>
      <c r="FK5002" s="36" t="str">
        <f>IF($FH5002="","",SUM($FN5002:$FN$7000))</f>
        <v/>
      </c>
    </row>
    <row r="5003" spans="164:167">
      <c r="FH5003" s="29" t="str">
        <f t="shared" ref="FH5003:FH5066" si="133">IF(FL5003="","",FL5003)</f>
        <v/>
      </c>
      <c r="FJ5003" s="36" t="str">
        <f>IF($FH5003="","",SUM($FN5003:$FN$7000))</f>
        <v/>
      </c>
      <c r="FK5003" s="36" t="str">
        <f>IF($FH5003="","",SUM($FN5003:$FN$7000))</f>
        <v/>
      </c>
    </row>
    <row r="5004" spans="164:167">
      <c r="FH5004" s="29" t="str">
        <f t="shared" si="133"/>
        <v/>
      </c>
      <c r="FJ5004" s="36" t="str">
        <f>IF($FH5004="","",SUM($FN5004:$FN$7000))</f>
        <v/>
      </c>
      <c r="FK5004" s="36" t="str">
        <f>IF($FH5004="","",SUM($FN5004:$FN$7000))</f>
        <v/>
      </c>
    </row>
    <row r="5005" spans="164:167">
      <c r="FH5005" s="29" t="str">
        <f t="shared" si="133"/>
        <v/>
      </c>
      <c r="FJ5005" s="36" t="str">
        <f>IF($FH5005="","",SUM($FN5005:$FN$7000))</f>
        <v/>
      </c>
      <c r="FK5005" s="36" t="str">
        <f>IF($FH5005="","",SUM($FN5005:$FN$7000))</f>
        <v/>
      </c>
    </row>
    <row r="5006" spans="164:167">
      <c r="FH5006" s="29" t="str">
        <f t="shared" si="133"/>
        <v/>
      </c>
      <c r="FJ5006" s="36" t="str">
        <f>IF($FH5006="","",SUM($FN5006:$FN$7000))</f>
        <v/>
      </c>
      <c r="FK5006" s="36" t="str">
        <f>IF($FH5006="","",SUM($FN5006:$FN$7000))</f>
        <v/>
      </c>
    </row>
    <row r="5007" spans="164:167">
      <c r="FH5007" s="29" t="str">
        <f t="shared" si="133"/>
        <v/>
      </c>
      <c r="FJ5007" s="36" t="str">
        <f>IF($FH5007="","",SUM($FN5007:$FN$7000))</f>
        <v/>
      </c>
      <c r="FK5007" s="36" t="str">
        <f>IF($FH5007="","",SUM($FN5007:$FN$7000))</f>
        <v/>
      </c>
    </row>
    <row r="5008" spans="164:167">
      <c r="FH5008" s="29" t="str">
        <f t="shared" si="133"/>
        <v/>
      </c>
      <c r="FJ5008" s="36" t="str">
        <f>IF($FH5008="","",SUM($FN5008:$FN$7000))</f>
        <v/>
      </c>
      <c r="FK5008" s="36" t="str">
        <f>IF($FH5008="","",SUM($FN5008:$FN$7000))</f>
        <v/>
      </c>
    </row>
    <row r="5009" spans="164:167">
      <c r="FH5009" s="29" t="str">
        <f t="shared" si="133"/>
        <v/>
      </c>
      <c r="FJ5009" s="36" t="str">
        <f>IF($FH5009="","",SUM($FN5009:$FN$7000))</f>
        <v/>
      </c>
      <c r="FK5009" s="36" t="str">
        <f>IF($FH5009="","",SUM($FN5009:$FN$7000))</f>
        <v/>
      </c>
    </row>
    <row r="5010" spans="164:167">
      <c r="FH5010" s="29" t="str">
        <f t="shared" si="133"/>
        <v/>
      </c>
      <c r="FJ5010" s="36" t="str">
        <f>IF($FH5010="","",SUM($FN5010:$FN$7000))</f>
        <v/>
      </c>
      <c r="FK5010" s="36" t="str">
        <f>IF($FH5010="","",SUM($FN5010:$FN$7000))</f>
        <v/>
      </c>
    </row>
    <row r="5011" spans="164:167">
      <c r="FH5011" s="29" t="str">
        <f t="shared" si="133"/>
        <v/>
      </c>
      <c r="FJ5011" s="36" t="str">
        <f>IF($FH5011="","",SUM($FN5011:$FN$7000))</f>
        <v/>
      </c>
      <c r="FK5011" s="36" t="str">
        <f>IF($FH5011="","",SUM($FN5011:$FN$7000))</f>
        <v/>
      </c>
    </row>
    <row r="5012" spans="164:167">
      <c r="FH5012" s="29" t="str">
        <f t="shared" si="133"/>
        <v/>
      </c>
      <c r="FJ5012" s="36" t="str">
        <f>IF($FH5012="","",SUM($FN5012:$FN$7000))</f>
        <v/>
      </c>
      <c r="FK5012" s="36" t="str">
        <f>IF($FH5012="","",SUM($FN5012:$FN$7000))</f>
        <v/>
      </c>
    </row>
    <row r="5013" spans="164:167">
      <c r="FH5013" s="29" t="str">
        <f t="shared" si="133"/>
        <v/>
      </c>
      <c r="FJ5013" s="36" t="str">
        <f>IF($FH5013="","",SUM($FN5013:$FN$7000))</f>
        <v/>
      </c>
      <c r="FK5013" s="36" t="str">
        <f>IF($FH5013="","",SUM($FN5013:$FN$7000))</f>
        <v/>
      </c>
    </row>
    <row r="5014" spans="164:167">
      <c r="FH5014" s="29" t="str">
        <f t="shared" si="133"/>
        <v/>
      </c>
      <c r="FJ5014" s="36" t="str">
        <f>IF($FH5014="","",SUM($FN5014:$FN$7000))</f>
        <v/>
      </c>
      <c r="FK5014" s="36" t="str">
        <f>IF($FH5014="","",SUM($FN5014:$FN$7000))</f>
        <v/>
      </c>
    </row>
    <row r="5015" spans="164:167">
      <c r="FH5015" s="29" t="str">
        <f t="shared" si="133"/>
        <v/>
      </c>
      <c r="FJ5015" s="36" t="str">
        <f>IF($FH5015="","",SUM($FN5015:$FN$7000))</f>
        <v/>
      </c>
      <c r="FK5015" s="36" t="str">
        <f>IF($FH5015="","",SUM($FN5015:$FN$7000))</f>
        <v/>
      </c>
    </row>
    <row r="5016" spans="164:167">
      <c r="FH5016" s="29" t="str">
        <f t="shared" si="133"/>
        <v/>
      </c>
      <c r="FJ5016" s="36" t="str">
        <f>IF($FH5016="","",SUM($FN5016:$FN$7000))</f>
        <v/>
      </c>
      <c r="FK5016" s="36" t="str">
        <f>IF($FH5016="","",SUM($FN5016:$FN$7000))</f>
        <v/>
      </c>
    </row>
    <row r="5017" spans="164:167">
      <c r="FH5017" s="29" t="str">
        <f t="shared" si="133"/>
        <v/>
      </c>
      <c r="FJ5017" s="36" t="str">
        <f>IF($FH5017="","",SUM($FN5017:$FN$7000))</f>
        <v/>
      </c>
      <c r="FK5017" s="36" t="str">
        <f>IF($FH5017="","",SUM($FN5017:$FN$7000))</f>
        <v/>
      </c>
    </row>
    <row r="5018" spans="164:167">
      <c r="FH5018" s="29" t="str">
        <f t="shared" si="133"/>
        <v/>
      </c>
      <c r="FJ5018" s="36" t="str">
        <f>IF($FH5018="","",SUM($FN5018:$FN$7000))</f>
        <v/>
      </c>
      <c r="FK5018" s="36" t="str">
        <f>IF($FH5018="","",SUM($FN5018:$FN$7000))</f>
        <v/>
      </c>
    </row>
    <row r="5019" spans="164:167">
      <c r="FH5019" s="29" t="str">
        <f t="shared" si="133"/>
        <v/>
      </c>
      <c r="FJ5019" s="36" t="str">
        <f>IF($FH5019="","",SUM($FN5019:$FN$7000))</f>
        <v/>
      </c>
      <c r="FK5019" s="36" t="str">
        <f>IF($FH5019="","",SUM($FN5019:$FN$7000))</f>
        <v/>
      </c>
    </row>
    <row r="5020" spans="164:167">
      <c r="FH5020" s="29" t="str">
        <f t="shared" si="133"/>
        <v/>
      </c>
      <c r="FJ5020" s="36" t="str">
        <f>IF($FH5020="","",SUM($FN5020:$FN$7000))</f>
        <v/>
      </c>
      <c r="FK5020" s="36" t="str">
        <f>IF($FH5020="","",SUM($FN5020:$FN$7000))</f>
        <v/>
      </c>
    </row>
    <row r="5021" spans="164:167">
      <c r="FH5021" s="29" t="str">
        <f t="shared" si="133"/>
        <v/>
      </c>
      <c r="FJ5021" s="36" t="str">
        <f>IF($FH5021="","",SUM($FN5021:$FN$7000))</f>
        <v/>
      </c>
      <c r="FK5021" s="36" t="str">
        <f>IF($FH5021="","",SUM($FN5021:$FN$7000))</f>
        <v/>
      </c>
    </row>
    <row r="5022" spans="164:167">
      <c r="FH5022" s="29" t="str">
        <f t="shared" si="133"/>
        <v/>
      </c>
      <c r="FJ5022" s="36" t="str">
        <f>IF($FH5022="","",SUM($FN5022:$FN$7000))</f>
        <v/>
      </c>
      <c r="FK5022" s="36" t="str">
        <f>IF($FH5022="","",SUM($FN5022:$FN$7000))</f>
        <v/>
      </c>
    </row>
    <row r="5023" spans="164:167">
      <c r="FH5023" s="29" t="str">
        <f t="shared" si="133"/>
        <v/>
      </c>
      <c r="FJ5023" s="36" t="str">
        <f>IF($FH5023="","",SUM($FN5023:$FN$7000))</f>
        <v/>
      </c>
      <c r="FK5023" s="36" t="str">
        <f>IF($FH5023="","",SUM($FN5023:$FN$7000))</f>
        <v/>
      </c>
    </row>
    <row r="5024" spans="164:167">
      <c r="FH5024" s="29" t="str">
        <f t="shared" si="133"/>
        <v/>
      </c>
      <c r="FJ5024" s="36" t="str">
        <f>IF($FH5024="","",SUM($FN5024:$FN$7000))</f>
        <v/>
      </c>
      <c r="FK5024" s="36" t="str">
        <f>IF($FH5024="","",SUM($FN5024:$FN$7000))</f>
        <v/>
      </c>
    </row>
    <row r="5025" spans="164:167">
      <c r="FH5025" s="29" t="str">
        <f t="shared" si="133"/>
        <v/>
      </c>
      <c r="FJ5025" s="36" t="str">
        <f>IF($FH5025="","",SUM($FN5025:$FN$7000))</f>
        <v/>
      </c>
      <c r="FK5025" s="36" t="str">
        <f>IF($FH5025="","",SUM($FN5025:$FN$7000))</f>
        <v/>
      </c>
    </row>
    <row r="5026" spans="164:167">
      <c r="FH5026" s="29" t="str">
        <f t="shared" si="133"/>
        <v/>
      </c>
      <c r="FJ5026" s="36" t="str">
        <f>IF($FH5026="","",SUM($FN5026:$FN$7000))</f>
        <v/>
      </c>
      <c r="FK5026" s="36" t="str">
        <f>IF($FH5026="","",SUM($FN5026:$FN$7000))</f>
        <v/>
      </c>
    </row>
    <row r="5027" spans="164:167">
      <c r="FH5027" s="29" t="str">
        <f t="shared" si="133"/>
        <v/>
      </c>
      <c r="FJ5027" s="36" t="str">
        <f>IF($FH5027="","",SUM($FN5027:$FN$7000))</f>
        <v/>
      </c>
      <c r="FK5027" s="36" t="str">
        <f>IF($FH5027="","",SUM($FN5027:$FN$7000))</f>
        <v/>
      </c>
    </row>
    <row r="5028" spans="164:167">
      <c r="FH5028" s="29" t="str">
        <f t="shared" si="133"/>
        <v/>
      </c>
      <c r="FJ5028" s="36" t="str">
        <f>IF($FH5028="","",SUM($FN5028:$FN$7000))</f>
        <v/>
      </c>
      <c r="FK5028" s="36" t="str">
        <f>IF($FH5028="","",SUM($FN5028:$FN$7000))</f>
        <v/>
      </c>
    </row>
    <row r="5029" spans="164:167">
      <c r="FH5029" s="29" t="str">
        <f t="shared" si="133"/>
        <v/>
      </c>
      <c r="FJ5029" s="36" t="str">
        <f>IF($FH5029="","",SUM($FN5029:$FN$7000))</f>
        <v/>
      </c>
      <c r="FK5029" s="36" t="str">
        <f>IF($FH5029="","",SUM($FN5029:$FN$7000))</f>
        <v/>
      </c>
    </row>
    <row r="5030" spans="164:167">
      <c r="FH5030" s="29" t="str">
        <f t="shared" si="133"/>
        <v/>
      </c>
      <c r="FJ5030" s="36" t="str">
        <f>IF($FH5030="","",SUM($FN5030:$FN$7000))</f>
        <v/>
      </c>
      <c r="FK5030" s="36" t="str">
        <f>IF($FH5030="","",SUM($FN5030:$FN$7000))</f>
        <v/>
      </c>
    </row>
    <row r="5031" spans="164:167">
      <c r="FH5031" s="29" t="str">
        <f t="shared" si="133"/>
        <v/>
      </c>
      <c r="FJ5031" s="36" t="str">
        <f>IF($FH5031="","",SUM($FN5031:$FN$7000))</f>
        <v/>
      </c>
      <c r="FK5031" s="36" t="str">
        <f>IF($FH5031="","",SUM($FN5031:$FN$7000))</f>
        <v/>
      </c>
    </row>
    <row r="5032" spans="164:167">
      <c r="FH5032" s="29" t="str">
        <f t="shared" si="133"/>
        <v/>
      </c>
      <c r="FJ5032" s="36" t="str">
        <f>IF($FH5032="","",SUM($FN5032:$FN$7000))</f>
        <v/>
      </c>
      <c r="FK5032" s="36" t="str">
        <f>IF($FH5032="","",SUM($FN5032:$FN$7000))</f>
        <v/>
      </c>
    </row>
    <row r="5033" spans="164:167">
      <c r="FH5033" s="29" t="str">
        <f t="shared" si="133"/>
        <v/>
      </c>
      <c r="FJ5033" s="36" t="str">
        <f>IF($FH5033="","",SUM($FN5033:$FN$7000))</f>
        <v/>
      </c>
      <c r="FK5033" s="36" t="str">
        <f>IF($FH5033="","",SUM($FN5033:$FN$7000))</f>
        <v/>
      </c>
    </row>
    <row r="5034" spans="164:167">
      <c r="FH5034" s="29" t="str">
        <f t="shared" si="133"/>
        <v/>
      </c>
      <c r="FJ5034" s="36" t="str">
        <f>IF($FH5034="","",SUM($FN5034:$FN$7000))</f>
        <v/>
      </c>
      <c r="FK5034" s="36" t="str">
        <f>IF($FH5034="","",SUM($FN5034:$FN$7000))</f>
        <v/>
      </c>
    </row>
    <row r="5035" spans="164:167">
      <c r="FH5035" s="29" t="str">
        <f t="shared" si="133"/>
        <v/>
      </c>
      <c r="FJ5035" s="36" t="str">
        <f>IF($FH5035="","",SUM($FN5035:$FN$7000))</f>
        <v/>
      </c>
      <c r="FK5035" s="36" t="str">
        <f>IF($FH5035="","",SUM($FN5035:$FN$7000))</f>
        <v/>
      </c>
    </row>
    <row r="5036" spans="164:167">
      <c r="FH5036" s="29" t="str">
        <f t="shared" si="133"/>
        <v/>
      </c>
      <c r="FJ5036" s="36" t="str">
        <f>IF($FH5036="","",SUM($FN5036:$FN$7000))</f>
        <v/>
      </c>
      <c r="FK5036" s="36" t="str">
        <f>IF($FH5036="","",SUM($FN5036:$FN$7000))</f>
        <v/>
      </c>
    </row>
    <row r="5037" spans="164:167">
      <c r="FH5037" s="29" t="str">
        <f t="shared" si="133"/>
        <v/>
      </c>
      <c r="FJ5037" s="36" t="str">
        <f>IF($FH5037="","",SUM($FN5037:$FN$7000))</f>
        <v/>
      </c>
      <c r="FK5037" s="36" t="str">
        <f>IF($FH5037="","",SUM($FN5037:$FN$7000))</f>
        <v/>
      </c>
    </row>
    <row r="5038" spans="164:167">
      <c r="FH5038" s="29" t="str">
        <f t="shared" si="133"/>
        <v/>
      </c>
      <c r="FJ5038" s="36" t="str">
        <f>IF($FH5038="","",SUM($FN5038:$FN$7000))</f>
        <v/>
      </c>
      <c r="FK5038" s="36" t="str">
        <f>IF($FH5038="","",SUM($FN5038:$FN$7000))</f>
        <v/>
      </c>
    </row>
    <row r="5039" spans="164:167">
      <c r="FH5039" s="29" t="str">
        <f t="shared" si="133"/>
        <v/>
      </c>
      <c r="FJ5039" s="36" t="str">
        <f>IF($FH5039="","",SUM($FN5039:$FN$7000))</f>
        <v/>
      </c>
      <c r="FK5039" s="36" t="str">
        <f>IF($FH5039="","",SUM($FN5039:$FN$7000))</f>
        <v/>
      </c>
    </row>
    <row r="5040" spans="164:167">
      <c r="FH5040" s="29" t="str">
        <f t="shared" si="133"/>
        <v/>
      </c>
      <c r="FJ5040" s="36" t="str">
        <f>IF($FH5040="","",SUM($FN5040:$FN$7000))</f>
        <v/>
      </c>
      <c r="FK5040" s="36" t="str">
        <f>IF($FH5040="","",SUM($FN5040:$FN$7000))</f>
        <v/>
      </c>
    </row>
    <row r="5041" spans="164:167">
      <c r="FH5041" s="29" t="str">
        <f t="shared" si="133"/>
        <v/>
      </c>
      <c r="FJ5041" s="36" t="str">
        <f>IF($FH5041="","",SUM($FN5041:$FN$7000))</f>
        <v/>
      </c>
      <c r="FK5041" s="36" t="str">
        <f>IF($FH5041="","",SUM($FN5041:$FN$7000))</f>
        <v/>
      </c>
    </row>
    <row r="5042" spans="164:167">
      <c r="FH5042" s="29" t="str">
        <f t="shared" si="133"/>
        <v/>
      </c>
      <c r="FJ5042" s="36" t="str">
        <f>IF($FH5042="","",SUM($FN5042:$FN$7000))</f>
        <v/>
      </c>
      <c r="FK5042" s="36" t="str">
        <f>IF($FH5042="","",SUM($FN5042:$FN$7000))</f>
        <v/>
      </c>
    </row>
    <row r="5043" spans="164:167">
      <c r="FH5043" s="29" t="str">
        <f t="shared" si="133"/>
        <v/>
      </c>
      <c r="FJ5043" s="36" t="str">
        <f>IF($FH5043="","",SUM($FN5043:$FN$7000))</f>
        <v/>
      </c>
      <c r="FK5043" s="36" t="str">
        <f>IF($FH5043="","",SUM($FN5043:$FN$7000))</f>
        <v/>
      </c>
    </row>
    <row r="5044" spans="164:167">
      <c r="FH5044" s="29" t="str">
        <f t="shared" si="133"/>
        <v/>
      </c>
      <c r="FJ5044" s="36" t="str">
        <f>IF($FH5044="","",SUM($FN5044:$FN$7000))</f>
        <v/>
      </c>
      <c r="FK5044" s="36" t="str">
        <f>IF($FH5044="","",SUM($FN5044:$FN$7000))</f>
        <v/>
      </c>
    </row>
    <row r="5045" spans="164:167">
      <c r="FH5045" s="29" t="str">
        <f t="shared" si="133"/>
        <v/>
      </c>
      <c r="FJ5045" s="36" t="str">
        <f>IF($FH5045="","",SUM($FN5045:$FN$7000))</f>
        <v/>
      </c>
      <c r="FK5045" s="36" t="str">
        <f>IF($FH5045="","",SUM($FN5045:$FN$7000))</f>
        <v/>
      </c>
    </row>
    <row r="5046" spans="164:167">
      <c r="FH5046" s="29" t="str">
        <f t="shared" si="133"/>
        <v/>
      </c>
      <c r="FJ5046" s="36" t="str">
        <f>IF($FH5046="","",SUM($FN5046:$FN$7000))</f>
        <v/>
      </c>
      <c r="FK5046" s="36" t="str">
        <f>IF($FH5046="","",SUM($FN5046:$FN$7000))</f>
        <v/>
      </c>
    </row>
    <row r="5047" spans="164:167">
      <c r="FH5047" s="29" t="str">
        <f t="shared" si="133"/>
        <v/>
      </c>
      <c r="FJ5047" s="36" t="str">
        <f>IF($FH5047="","",SUM($FN5047:$FN$7000))</f>
        <v/>
      </c>
      <c r="FK5047" s="36" t="str">
        <f>IF($FH5047="","",SUM($FN5047:$FN$7000))</f>
        <v/>
      </c>
    </row>
    <row r="5048" spans="164:167">
      <c r="FH5048" s="29" t="str">
        <f t="shared" si="133"/>
        <v/>
      </c>
      <c r="FJ5048" s="36" t="str">
        <f>IF($FH5048="","",SUM($FN5048:$FN$7000))</f>
        <v/>
      </c>
      <c r="FK5048" s="36" t="str">
        <f>IF($FH5048="","",SUM($FN5048:$FN$7000))</f>
        <v/>
      </c>
    </row>
    <row r="5049" spans="164:167">
      <c r="FH5049" s="29" t="str">
        <f t="shared" si="133"/>
        <v/>
      </c>
      <c r="FJ5049" s="36" t="str">
        <f>IF($FH5049="","",SUM($FN5049:$FN$7000))</f>
        <v/>
      </c>
      <c r="FK5049" s="36" t="str">
        <f>IF($FH5049="","",SUM($FN5049:$FN$7000))</f>
        <v/>
      </c>
    </row>
    <row r="5050" spans="164:167">
      <c r="FH5050" s="29" t="str">
        <f t="shared" si="133"/>
        <v/>
      </c>
      <c r="FJ5050" s="36" t="str">
        <f>IF($FH5050="","",SUM($FN5050:$FN$7000))</f>
        <v/>
      </c>
      <c r="FK5050" s="36" t="str">
        <f>IF($FH5050="","",SUM($FN5050:$FN$7000))</f>
        <v/>
      </c>
    </row>
    <row r="5051" spans="164:167">
      <c r="FH5051" s="29" t="str">
        <f t="shared" si="133"/>
        <v/>
      </c>
      <c r="FJ5051" s="36" t="str">
        <f>IF($FH5051="","",SUM($FN5051:$FN$7000))</f>
        <v/>
      </c>
      <c r="FK5051" s="36" t="str">
        <f>IF($FH5051="","",SUM($FN5051:$FN$7000))</f>
        <v/>
      </c>
    </row>
    <row r="5052" spans="164:167">
      <c r="FH5052" s="29" t="str">
        <f t="shared" si="133"/>
        <v/>
      </c>
      <c r="FJ5052" s="36" t="str">
        <f>IF($FH5052="","",SUM($FN5052:$FN$7000))</f>
        <v/>
      </c>
      <c r="FK5052" s="36" t="str">
        <f>IF($FH5052="","",SUM($FN5052:$FN$7000))</f>
        <v/>
      </c>
    </row>
    <row r="5053" spans="164:167">
      <c r="FH5053" s="29" t="str">
        <f t="shared" si="133"/>
        <v/>
      </c>
      <c r="FJ5053" s="36" t="str">
        <f>IF($FH5053="","",SUM($FN5053:$FN$7000))</f>
        <v/>
      </c>
      <c r="FK5053" s="36" t="str">
        <f>IF($FH5053="","",SUM($FN5053:$FN$7000))</f>
        <v/>
      </c>
    </row>
    <row r="5054" spans="164:167">
      <c r="FH5054" s="29" t="str">
        <f t="shared" si="133"/>
        <v/>
      </c>
      <c r="FJ5054" s="36" t="str">
        <f>IF($FH5054="","",SUM($FN5054:$FN$7000))</f>
        <v/>
      </c>
      <c r="FK5054" s="36" t="str">
        <f>IF($FH5054="","",SUM($FN5054:$FN$7000))</f>
        <v/>
      </c>
    </row>
    <row r="5055" spans="164:167">
      <c r="FH5055" s="29" t="str">
        <f t="shared" si="133"/>
        <v/>
      </c>
      <c r="FJ5055" s="36" t="str">
        <f>IF($FH5055="","",SUM($FN5055:$FN$7000))</f>
        <v/>
      </c>
      <c r="FK5055" s="36" t="str">
        <f>IF($FH5055="","",SUM($FN5055:$FN$7000))</f>
        <v/>
      </c>
    </row>
    <row r="5056" spans="164:167">
      <c r="FH5056" s="29" t="str">
        <f t="shared" si="133"/>
        <v/>
      </c>
      <c r="FJ5056" s="36" t="str">
        <f>IF($FH5056="","",SUM($FN5056:$FN$7000))</f>
        <v/>
      </c>
      <c r="FK5056" s="36" t="str">
        <f>IF($FH5056="","",SUM($FN5056:$FN$7000))</f>
        <v/>
      </c>
    </row>
    <row r="5057" spans="164:167">
      <c r="FH5057" s="29" t="str">
        <f t="shared" si="133"/>
        <v/>
      </c>
      <c r="FJ5057" s="36" t="str">
        <f>IF($FH5057="","",SUM($FN5057:$FN$7000))</f>
        <v/>
      </c>
      <c r="FK5057" s="36" t="str">
        <f>IF($FH5057="","",SUM($FN5057:$FN$7000))</f>
        <v/>
      </c>
    </row>
    <row r="5058" spans="164:167">
      <c r="FH5058" s="29" t="str">
        <f t="shared" si="133"/>
        <v/>
      </c>
      <c r="FJ5058" s="36" t="str">
        <f>IF($FH5058="","",SUM($FN5058:$FN$7000))</f>
        <v/>
      </c>
      <c r="FK5058" s="36" t="str">
        <f>IF($FH5058="","",SUM($FN5058:$FN$7000))</f>
        <v/>
      </c>
    </row>
    <row r="5059" spans="164:167">
      <c r="FH5059" s="29" t="str">
        <f t="shared" si="133"/>
        <v/>
      </c>
      <c r="FJ5059" s="36" t="str">
        <f>IF($FH5059="","",SUM($FN5059:$FN$7000))</f>
        <v/>
      </c>
      <c r="FK5059" s="36" t="str">
        <f>IF($FH5059="","",SUM($FN5059:$FN$7000))</f>
        <v/>
      </c>
    </row>
    <row r="5060" spans="164:167">
      <c r="FH5060" s="29" t="str">
        <f t="shared" si="133"/>
        <v/>
      </c>
      <c r="FJ5060" s="36" t="str">
        <f>IF($FH5060="","",SUM($FN5060:$FN$7000))</f>
        <v/>
      </c>
      <c r="FK5060" s="36" t="str">
        <f>IF($FH5060="","",SUM($FN5060:$FN$7000))</f>
        <v/>
      </c>
    </row>
    <row r="5061" spans="164:167">
      <c r="FH5061" s="29" t="str">
        <f t="shared" si="133"/>
        <v/>
      </c>
      <c r="FJ5061" s="36" t="str">
        <f>IF($FH5061="","",SUM($FN5061:$FN$7000))</f>
        <v/>
      </c>
      <c r="FK5061" s="36" t="str">
        <f>IF($FH5061="","",SUM($FN5061:$FN$7000))</f>
        <v/>
      </c>
    </row>
    <row r="5062" spans="164:167">
      <c r="FH5062" s="29" t="str">
        <f t="shared" si="133"/>
        <v/>
      </c>
      <c r="FJ5062" s="36" t="str">
        <f>IF($FH5062="","",SUM($FN5062:$FN$7000))</f>
        <v/>
      </c>
      <c r="FK5062" s="36" t="str">
        <f>IF($FH5062="","",SUM($FN5062:$FN$7000))</f>
        <v/>
      </c>
    </row>
    <row r="5063" spans="164:167">
      <c r="FH5063" s="29" t="str">
        <f t="shared" si="133"/>
        <v/>
      </c>
      <c r="FJ5063" s="36" t="str">
        <f>IF($FH5063="","",SUM($FN5063:$FN$7000))</f>
        <v/>
      </c>
      <c r="FK5063" s="36" t="str">
        <f>IF($FH5063="","",SUM($FN5063:$FN$7000))</f>
        <v/>
      </c>
    </row>
    <row r="5064" spans="164:167">
      <c r="FH5064" s="29" t="str">
        <f t="shared" si="133"/>
        <v/>
      </c>
      <c r="FJ5064" s="36" t="str">
        <f>IF($FH5064="","",SUM($FN5064:$FN$7000))</f>
        <v/>
      </c>
      <c r="FK5064" s="36" t="str">
        <f>IF($FH5064="","",SUM($FN5064:$FN$7000))</f>
        <v/>
      </c>
    </row>
    <row r="5065" spans="164:167">
      <c r="FH5065" s="29" t="str">
        <f t="shared" si="133"/>
        <v/>
      </c>
      <c r="FJ5065" s="36" t="str">
        <f>IF($FH5065="","",SUM($FN5065:$FN$7000))</f>
        <v/>
      </c>
      <c r="FK5065" s="36" t="str">
        <f>IF($FH5065="","",SUM($FN5065:$FN$7000))</f>
        <v/>
      </c>
    </row>
    <row r="5066" spans="164:167">
      <c r="FH5066" s="29" t="str">
        <f t="shared" si="133"/>
        <v/>
      </c>
      <c r="FJ5066" s="36" t="str">
        <f>IF($FH5066="","",SUM($FN5066:$FN$7000))</f>
        <v/>
      </c>
      <c r="FK5066" s="36" t="str">
        <f>IF($FH5066="","",SUM($FN5066:$FN$7000))</f>
        <v/>
      </c>
    </row>
    <row r="5067" spans="164:167">
      <c r="FH5067" s="29" t="str">
        <f t="shared" ref="FH5067:FH5130" si="134">IF(FL5067="","",FL5067)</f>
        <v/>
      </c>
      <c r="FJ5067" s="36" t="str">
        <f>IF($FH5067="","",SUM($FN5067:$FN$7000))</f>
        <v/>
      </c>
      <c r="FK5067" s="36" t="str">
        <f>IF($FH5067="","",SUM($FN5067:$FN$7000))</f>
        <v/>
      </c>
    </row>
    <row r="5068" spans="164:167">
      <c r="FH5068" s="29" t="str">
        <f t="shared" si="134"/>
        <v/>
      </c>
      <c r="FJ5068" s="36" t="str">
        <f>IF($FH5068="","",SUM($FN5068:$FN$7000))</f>
        <v/>
      </c>
      <c r="FK5068" s="36" t="str">
        <f>IF($FH5068="","",SUM($FN5068:$FN$7000))</f>
        <v/>
      </c>
    </row>
    <row r="5069" spans="164:167">
      <c r="FH5069" s="29" t="str">
        <f t="shared" si="134"/>
        <v/>
      </c>
      <c r="FJ5069" s="36" t="str">
        <f>IF($FH5069="","",SUM($FN5069:$FN$7000))</f>
        <v/>
      </c>
      <c r="FK5069" s="36" t="str">
        <f>IF($FH5069="","",SUM($FN5069:$FN$7000))</f>
        <v/>
      </c>
    </row>
    <row r="5070" spans="164:167">
      <c r="FH5070" s="29" t="str">
        <f t="shared" si="134"/>
        <v/>
      </c>
      <c r="FJ5070" s="36" t="str">
        <f>IF($FH5070="","",SUM($FN5070:$FN$7000))</f>
        <v/>
      </c>
      <c r="FK5070" s="36" t="str">
        <f>IF($FH5070="","",SUM($FN5070:$FN$7000))</f>
        <v/>
      </c>
    </row>
    <row r="5071" spans="164:167">
      <c r="FH5071" s="29" t="str">
        <f t="shared" si="134"/>
        <v/>
      </c>
      <c r="FJ5071" s="36" t="str">
        <f>IF($FH5071="","",SUM($FN5071:$FN$7000))</f>
        <v/>
      </c>
      <c r="FK5071" s="36" t="str">
        <f>IF($FH5071="","",SUM($FN5071:$FN$7000))</f>
        <v/>
      </c>
    </row>
    <row r="5072" spans="164:167">
      <c r="FH5072" s="29" t="str">
        <f t="shared" si="134"/>
        <v/>
      </c>
      <c r="FJ5072" s="36" t="str">
        <f>IF($FH5072="","",SUM($FN5072:$FN$7000))</f>
        <v/>
      </c>
      <c r="FK5072" s="36" t="str">
        <f>IF($FH5072="","",SUM($FN5072:$FN$7000))</f>
        <v/>
      </c>
    </row>
    <row r="5073" spans="164:167">
      <c r="FH5073" s="29" t="str">
        <f t="shared" si="134"/>
        <v/>
      </c>
      <c r="FJ5073" s="36" t="str">
        <f>IF($FH5073="","",SUM($FN5073:$FN$7000))</f>
        <v/>
      </c>
      <c r="FK5073" s="36" t="str">
        <f>IF($FH5073="","",SUM($FN5073:$FN$7000))</f>
        <v/>
      </c>
    </row>
    <row r="5074" spans="164:167">
      <c r="FH5074" s="29" t="str">
        <f t="shared" si="134"/>
        <v/>
      </c>
      <c r="FJ5074" s="36" t="str">
        <f>IF($FH5074="","",SUM($FN5074:$FN$7000))</f>
        <v/>
      </c>
      <c r="FK5074" s="36" t="str">
        <f>IF($FH5074="","",SUM($FN5074:$FN$7000))</f>
        <v/>
      </c>
    </row>
    <row r="5075" spans="164:167">
      <c r="FH5075" s="29" t="str">
        <f t="shared" si="134"/>
        <v/>
      </c>
      <c r="FJ5075" s="36" t="str">
        <f>IF($FH5075="","",SUM($FN5075:$FN$7000))</f>
        <v/>
      </c>
      <c r="FK5075" s="36" t="str">
        <f>IF($FH5075="","",SUM($FN5075:$FN$7000))</f>
        <v/>
      </c>
    </row>
    <row r="5076" spans="164:167">
      <c r="FH5076" s="29" t="str">
        <f t="shared" si="134"/>
        <v/>
      </c>
      <c r="FJ5076" s="36" t="str">
        <f>IF($FH5076="","",SUM($FN5076:$FN$7000))</f>
        <v/>
      </c>
      <c r="FK5076" s="36" t="str">
        <f>IF($FH5076="","",SUM($FN5076:$FN$7000))</f>
        <v/>
      </c>
    </row>
    <row r="5077" spans="164:167">
      <c r="FH5077" s="29" t="str">
        <f t="shared" si="134"/>
        <v/>
      </c>
      <c r="FJ5077" s="36" t="str">
        <f>IF($FH5077="","",SUM($FN5077:$FN$7000))</f>
        <v/>
      </c>
      <c r="FK5077" s="36" t="str">
        <f>IF($FH5077="","",SUM($FN5077:$FN$7000))</f>
        <v/>
      </c>
    </row>
    <row r="5078" spans="164:167">
      <c r="FH5078" s="29" t="str">
        <f t="shared" si="134"/>
        <v/>
      </c>
      <c r="FJ5078" s="36" t="str">
        <f>IF($FH5078="","",SUM($FN5078:$FN$7000))</f>
        <v/>
      </c>
      <c r="FK5078" s="36" t="str">
        <f>IF($FH5078="","",SUM($FN5078:$FN$7000))</f>
        <v/>
      </c>
    </row>
    <row r="5079" spans="164:167">
      <c r="FH5079" s="29" t="str">
        <f t="shared" si="134"/>
        <v/>
      </c>
      <c r="FJ5079" s="36" t="str">
        <f>IF($FH5079="","",SUM($FN5079:$FN$7000))</f>
        <v/>
      </c>
      <c r="FK5079" s="36" t="str">
        <f>IF($FH5079="","",SUM($FN5079:$FN$7000))</f>
        <v/>
      </c>
    </row>
    <row r="5080" spans="164:167">
      <c r="FH5080" s="29" t="str">
        <f t="shared" si="134"/>
        <v/>
      </c>
      <c r="FJ5080" s="36" t="str">
        <f>IF($FH5080="","",SUM($FN5080:$FN$7000))</f>
        <v/>
      </c>
      <c r="FK5080" s="36" t="str">
        <f>IF($FH5080="","",SUM($FN5080:$FN$7000))</f>
        <v/>
      </c>
    </row>
    <row r="5081" spans="164:167">
      <c r="FH5081" s="29" t="str">
        <f t="shared" si="134"/>
        <v/>
      </c>
      <c r="FJ5081" s="36" t="str">
        <f>IF($FH5081="","",SUM($FN5081:$FN$7000))</f>
        <v/>
      </c>
      <c r="FK5081" s="36" t="str">
        <f>IF($FH5081="","",SUM($FN5081:$FN$7000))</f>
        <v/>
      </c>
    </row>
    <row r="5082" spans="164:167">
      <c r="FH5082" s="29" t="str">
        <f t="shared" si="134"/>
        <v/>
      </c>
      <c r="FJ5082" s="36" t="str">
        <f>IF($FH5082="","",SUM($FN5082:$FN$7000))</f>
        <v/>
      </c>
      <c r="FK5082" s="36" t="str">
        <f>IF($FH5082="","",SUM($FN5082:$FN$7000))</f>
        <v/>
      </c>
    </row>
    <row r="5083" spans="164:167">
      <c r="FH5083" s="29" t="str">
        <f t="shared" si="134"/>
        <v/>
      </c>
      <c r="FJ5083" s="36" t="str">
        <f>IF($FH5083="","",SUM($FN5083:$FN$7000))</f>
        <v/>
      </c>
      <c r="FK5083" s="36" t="str">
        <f>IF($FH5083="","",SUM($FN5083:$FN$7000))</f>
        <v/>
      </c>
    </row>
    <row r="5084" spans="164:167">
      <c r="FH5084" s="29" t="str">
        <f t="shared" si="134"/>
        <v/>
      </c>
      <c r="FJ5084" s="36" t="str">
        <f>IF($FH5084="","",SUM($FN5084:$FN$7000))</f>
        <v/>
      </c>
      <c r="FK5084" s="36" t="str">
        <f>IF($FH5084="","",SUM($FN5084:$FN$7000))</f>
        <v/>
      </c>
    </row>
    <row r="5085" spans="164:167">
      <c r="FH5085" s="29" t="str">
        <f t="shared" si="134"/>
        <v/>
      </c>
      <c r="FJ5085" s="36" t="str">
        <f>IF($FH5085="","",SUM($FN5085:$FN$7000))</f>
        <v/>
      </c>
      <c r="FK5085" s="36" t="str">
        <f>IF($FH5085="","",SUM($FN5085:$FN$7000))</f>
        <v/>
      </c>
    </row>
    <row r="5086" spans="164:167">
      <c r="FH5086" s="29" t="str">
        <f t="shared" si="134"/>
        <v/>
      </c>
      <c r="FJ5086" s="36" t="str">
        <f>IF($FH5086="","",SUM($FN5086:$FN$7000))</f>
        <v/>
      </c>
      <c r="FK5086" s="36" t="str">
        <f>IF($FH5086="","",SUM($FN5086:$FN$7000))</f>
        <v/>
      </c>
    </row>
    <row r="5087" spans="164:167">
      <c r="FH5087" s="29" t="str">
        <f t="shared" si="134"/>
        <v/>
      </c>
      <c r="FJ5087" s="36" t="str">
        <f>IF($FH5087="","",SUM($FN5087:$FN$7000))</f>
        <v/>
      </c>
      <c r="FK5087" s="36" t="str">
        <f>IF($FH5087="","",SUM($FN5087:$FN$7000))</f>
        <v/>
      </c>
    </row>
    <row r="5088" spans="164:167">
      <c r="FH5088" s="29" t="str">
        <f t="shared" si="134"/>
        <v/>
      </c>
      <c r="FJ5088" s="36" t="str">
        <f>IF($FH5088="","",SUM($FN5088:$FN$7000))</f>
        <v/>
      </c>
      <c r="FK5088" s="36" t="str">
        <f>IF($FH5088="","",SUM($FN5088:$FN$7000))</f>
        <v/>
      </c>
    </row>
    <row r="5089" spans="164:167">
      <c r="FH5089" s="29" t="str">
        <f t="shared" si="134"/>
        <v/>
      </c>
      <c r="FJ5089" s="36" t="str">
        <f>IF($FH5089="","",SUM($FN5089:$FN$7000))</f>
        <v/>
      </c>
      <c r="FK5089" s="36" t="str">
        <f>IF($FH5089="","",SUM($FN5089:$FN$7000))</f>
        <v/>
      </c>
    </row>
    <row r="5090" spans="164:167">
      <c r="FH5090" s="29" t="str">
        <f t="shared" si="134"/>
        <v/>
      </c>
      <c r="FJ5090" s="36" t="str">
        <f>IF($FH5090="","",SUM($FN5090:$FN$7000))</f>
        <v/>
      </c>
      <c r="FK5090" s="36" t="str">
        <f>IF($FH5090="","",SUM($FN5090:$FN$7000))</f>
        <v/>
      </c>
    </row>
    <row r="5091" spans="164:167">
      <c r="FH5091" s="29" t="str">
        <f t="shared" si="134"/>
        <v/>
      </c>
      <c r="FJ5091" s="36" t="str">
        <f>IF($FH5091="","",SUM($FN5091:$FN$7000))</f>
        <v/>
      </c>
      <c r="FK5091" s="36" t="str">
        <f>IF($FH5091="","",SUM($FN5091:$FN$7000))</f>
        <v/>
      </c>
    </row>
    <row r="5092" spans="164:167">
      <c r="FH5092" s="29" t="str">
        <f t="shared" si="134"/>
        <v/>
      </c>
      <c r="FJ5092" s="36" t="str">
        <f>IF($FH5092="","",SUM($FN5092:$FN$7000))</f>
        <v/>
      </c>
      <c r="FK5092" s="36" t="str">
        <f>IF($FH5092="","",SUM($FN5092:$FN$7000))</f>
        <v/>
      </c>
    </row>
    <row r="5093" spans="164:167">
      <c r="FH5093" s="29" t="str">
        <f t="shared" si="134"/>
        <v/>
      </c>
      <c r="FJ5093" s="36" t="str">
        <f>IF($FH5093="","",SUM($FN5093:$FN$7000))</f>
        <v/>
      </c>
      <c r="FK5093" s="36" t="str">
        <f>IF($FH5093="","",SUM($FN5093:$FN$7000))</f>
        <v/>
      </c>
    </row>
    <row r="5094" spans="164:167">
      <c r="FH5094" s="29" t="str">
        <f t="shared" si="134"/>
        <v/>
      </c>
      <c r="FJ5094" s="36" t="str">
        <f>IF($FH5094="","",SUM($FN5094:$FN$7000))</f>
        <v/>
      </c>
      <c r="FK5094" s="36" t="str">
        <f>IF($FH5094="","",SUM($FN5094:$FN$7000))</f>
        <v/>
      </c>
    </row>
    <row r="5095" spans="164:167">
      <c r="FH5095" s="29" t="str">
        <f t="shared" si="134"/>
        <v/>
      </c>
      <c r="FJ5095" s="36" t="str">
        <f>IF($FH5095="","",SUM($FN5095:$FN$7000))</f>
        <v/>
      </c>
      <c r="FK5095" s="36" t="str">
        <f>IF($FH5095="","",SUM($FN5095:$FN$7000))</f>
        <v/>
      </c>
    </row>
    <row r="5096" spans="164:167">
      <c r="FH5096" s="29" t="str">
        <f t="shared" si="134"/>
        <v/>
      </c>
      <c r="FJ5096" s="36" t="str">
        <f>IF($FH5096="","",SUM($FN5096:$FN$7000))</f>
        <v/>
      </c>
      <c r="FK5096" s="36" t="str">
        <f>IF($FH5096="","",SUM($FN5096:$FN$7000))</f>
        <v/>
      </c>
    </row>
    <row r="5097" spans="164:167">
      <c r="FH5097" s="29" t="str">
        <f t="shared" si="134"/>
        <v/>
      </c>
      <c r="FJ5097" s="36" t="str">
        <f>IF($FH5097="","",SUM($FN5097:$FN$7000))</f>
        <v/>
      </c>
      <c r="FK5097" s="36" t="str">
        <f>IF($FH5097="","",SUM($FN5097:$FN$7000))</f>
        <v/>
      </c>
    </row>
    <row r="5098" spans="164:167">
      <c r="FH5098" s="29" t="str">
        <f t="shared" si="134"/>
        <v/>
      </c>
      <c r="FJ5098" s="36" t="str">
        <f>IF($FH5098="","",SUM($FN5098:$FN$7000))</f>
        <v/>
      </c>
      <c r="FK5098" s="36" t="str">
        <f>IF($FH5098="","",SUM($FN5098:$FN$7000))</f>
        <v/>
      </c>
    </row>
    <row r="5099" spans="164:167">
      <c r="FH5099" s="29" t="str">
        <f t="shared" si="134"/>
        <v/>
      </c>
      <c r="FJ5099" s="36" t="str">
        <f>IF($FH5099="","",SUM($FN5099:$FN$7000))</f>
        <v/>
      </c>
      <c r="FK5099" s="36" t="str">
        <f>IF($FH5099="","",SUM($FN5099:$FN$7000))</f>
        <v/>
      </c>
    </row>
    <row r="5100" spans="164:167">
      <c r="FH5100" s="29" t="str">
        <f t="shared" si="134"/>
        <v/>
      </c>
      <c r="FJ5100" s="36" t="str">
        <f>IF($FH5100="","",SUM($FN5100:$FN$7000))</f>
        <v/>
      </c>
      <c r="FK5100" s="36" t="str">
        <f>IF($FH5100="","",SUM($FN5100:$FN$7000))</f>
        <v/>
      </c>
    </row>
    <row r="5101" spans="164:167">
      <c r="FH5101" s="29" t="str">
        <f t="shared" si="134"/>
        <v/>
      </c>
      <c r="FJ5101" s="36" t="str">
        <f>IF($FH5101="","",SUM($FN5101:$FN$7000))</f>
        <v/>
      </c>
      <c r="FK5101" s="36" t="str">
        <f>IF($FH5101="","",SUM($FN5101:$FN$7000))</f>
        <v/>
      </c>
    </row>
    <row r="5102" spans="164:167">
      <c r="FH5102" s="29" t="str">
        <f t="shared" si="134"/>
        <v/>
      </c>
      <c r="FJ5102" s="36" t="str">
        <f>IF($FH5102="","",SUM($FN5102:$FN$7000))</f>
        <v/>
      </c>
      <c r="FK5102" s="36" t="str">
        <f>IF($FH5102="","",SUM($FN5102:$FN$7000))</f>
        <v/>
      </c>
    </row>
    <row r="5103" spans="164:167">
      <c r="FH5103" s="29" t="str">
        <f t="shared" si="134"/>
        <v/>
      </c>
      <c r="FJ5103" s="36" t="str">
        <f>IF($FH5103="","",SUM($FN5103:$FN$7000))</f>
        <v/>
      </c>
      <c r="FK5103" s="36" t="str">
        <f>IF($FH5103="","",SUM($FN5103:$FN$7000))</f>
        <v/>
      </c>
    </row>
    <row r="5104" spans="164:167">
      <c r="FH5104" s="29" t="str">
        <f t="shared" si="134"/>
        <v/>
      </c>
      <c r="FJ5104" s="36" t="str">
        <f>IF($FH5104="","",SUM($FN5104:$FN$7000))</f>
        <v/>
      </c>
      <c r="FK5104" s="36" t="str">
        <f>IF($FH5104="","",SUM($FN5104:$FN$7000))</f>
        <v/>
      </c>
    </row>
    <row r="5105" spans="164:167">
      <c r="FH5105" s="29" t="str">
        <f t="shared" si="134"/>
        <v/>
      </c>
      <c r="FJ5105" s="36" t="str">
        <f>IF($FH5105="","",SUM($FN5105:$FN$7000))</f>
        <v/>
      </c>
      <c r="FK5105" s="36" t="str">
        <f>IF($FH5105="","",SUM($FN5105:$FN$7000))</f>
        <v/>
      </c>
    </row>
    <row r="5106" spans="164:167">
      <c r="FH5106" s="29" t="str">
        <f t="shared" si="134"/>
        <v/>
      </c>
      <c r="FJ5106" s="36" t="str">
        <f>IF($FH5106="","",SUM($FN5106:$FN$7000))</f>
        <v/>
      </c>
      <c r="FK5106" s="36" t="str">
        <f>IF($FH5106="","",SUM($FN5106:$FN$7000))</f>
        <v/>
      </c>
    </row>
    <row r="5107" spans="164:167">
      <c r="FH5107" s="29" t="str">
        <f t="shared" si="134"/>
        <v/>
      </c>
      <c r="FJ5107" s="36" t="str">
        <f>IF($FH5107="","",SUM($FN5107:$FN$7000))</f>
        <v/>
      </c>
      <c r="FK5107" s="36" t="str">
        <f>IF($FH5107="","",SUM($FN5107:$FN$7000))</f>
        <v/>
      </c>
    </row>
    <row r="5108" spans="164:167">
      <c r="FH5108" s="29" t="str">
        <f t="shared" si="134"/>
        <v/>
      </c>
      <c r="FJ5108" s="36" t="str">
        <f>IF($FH5108="","",SUM($FN5108:$FN$7000))</f>
        <v/>
      </c>
      <c r="FK5108" s="36" t="str">
        <f>IF($FH5108="","",SUM($FN5108:$FN$7000))</f>
        <v/>
      </c>
    </row>
    <row r="5109" spans="164:167">
      <c r="FH5109" s="29" t="str">
        <f t="shared" si="134"/>
        <v/>
      </c>
      <c r="FJ5109" s="36" t="str">
        <f>IF($FH5109="","",SUM($FN5109:$FN$7000))</f>
        <v/>
      </c>
      <c r="FK5109" s="36" t="str">
        <f>IF($FH5109="","",SUM($FN5109:$FN$7000))</f>
        <v/>
      </c>
    </row>
    <row r="5110" spans="164:167">
      <c r="FH5110" s="29" t="str">
        <f t="shared" si="134"/>
        <v/>
      </c>
      <c r="FJ5110" s="36" t="str">
        <f>IF($FH5110="","",SUM($FN5110:$FN$7000))</f>
        <v/>
      </c>
      <c r="FK5110" s="36" t="str">
        <f>IF($FH5110="","",SUM($FN5110:$FN$7000))</f>
        <v/>
      </c>
    </row>
    <row r="5111" spans="164:167">
      <c r="FH5111" s="29" t="str">
        <f t="shared" si="134"/>
        <v/>
      </c>
      <c r="FJ5111" s="36" t="str">
        <f>IF($FH5111="","",SUM($FN5111:$FN$7000))</f>
        <v/>
      </c>
      <c r="FK5111" s="36" t="str">
        <f>IF($FH5111="","",SUM($FN5111:$FN$7000))</f>
        <v/>
      </c>
    </row>
    <row r="5112" spans="164:167">
      <c r="FH5112" s="29" t="str">
        <f t="shared" si="134"/>
        <v/>
      </c>
      <c r="FJ5112" s="36" t="str">
        <f>IF($FH5112="","",SUM($FN5112:$FN$7000))</f>
        <v/>
      </c>
      <c r="FK5112" s="36" t="str">
        <f>IF($FH5112="","",SUM($FN5112:$FN$7000))</f>
        <v/>
      </c>
    </row>
    <row r="5113" spans="164:167">
      <c r="FH5113" s="29" t="str">
        <f t="shared" si="134"/>
        <v/>
      </c>
      <c r="FJ5113" s="36" t="str">
        <f>IF($FH5113="","",SUM($FN5113:$FN$7000))</f>
        <v/>
      </c>
      <c r="FK5113" s="36" t="str">
        <f>IF($FH5113="","",SUM($FN5113:$FN$7000))</f>
        <v/>
      </c>
    </row>
    <row r="5114" spans="164:167">
      <c r="FH5114" s="29" t="str">
        <f t="shared" si="134"/>
        <v/>
      </c>
      <c r="FJ5114" s="36" t="str">
        <f>IF($FH5114="","",SUM($FN5114:$FN$7000))</f>
        <v/>
      </c>
      <c r="FK5114" s="36" t="str">
        <f>IF($FH5114="","",SUM($FN5114:$FN$7000))</f>
        <v/>
      </c>
    </row>
    <row r="5115" spans="164:167">
      <c r="FH5115" s="29" t="str">
        <f t="shared" si="134"/>
        <v/>
      </c>
      <c r="FJ5115" s="36" t="str">
        <f>IF($FH5115="","",SUM($FN5115:$FN$7000))</f>
        <v/>
      </c>
      <c r="FK5115" s="36" t="str">
        <f>IF($FH5115="","",SUM($FN5115:$FN$7000))</f>
        <v/>
      </c>
    </row>
    <row r="5116" spans="164:167">
      <c r="FH5116" s="29" t="str">
        <f t="shared" si="134"/>
        <v/>
      </c>
      <c r="FJ5116" s="36" t="str">
        <f>IF($FH5116="","",SUM($FN5116:$FN$7000))</f>
        <v/>
      </c>
      <c r="FK5116" s="36" t="str">
        <f>IF($FH5116="","",SUM($FN5116:$FN$7000))</f>
        <v/>
      </c>
    </row>
    <row r="5117" spans="164:167">
      <c r="FH5117" s="29" t="str">
        <f t="shared" si="134"/>
        <v/>
      </c>
      <c r="FJ5117" s="36" t="str">
        <f>IF($FH5117="","",SUM($FN5117:$FN$7000))</f>
        <v/>
      </c>
      <c r="FK5117" s="36" t="str">
        <f>IF($FH5117="","",SUM($FN5117:$FN$7000))</f>
        <v/>
      </c>
    </row>
    <row r="5118" spans="164:167">
      <c r="FH5118" s="29" t="str">
        <f t="shared" si="134"/>
        <v/>
      </c>
      <c r="FJ5118" s="36" t="str">
        <f>IF($FH5118="","",SUM($FN5118:$FN$7000))</f>
        <v/>
      </c>
      <c r="FK5118" s="36" t="str">
        <f>IF($FH5118="","",SUM($FN5118:$FN$7000))</f>
        <v/>
      </c>
    </row>
    <row r="5119" spans="164:167">
      <c r="FH5119" s="29" t="str">
        <f t="shared" si="134"/>
        <v/>
      </c>
      <c r="FJ5119" s="36" t="str">
        <f>IF($FH5119="","",SUM($FN5119:$FN$7000))</f>
        <v/>
      </c>
      <c r="FK5119" s="36" t="str">
        <f>IF($FH5119="","",SUM($FN5119:$FN$7000))</f>
        <v/>
      </c>
    </row>
    <row r="5120" spans="164:167">
      <c r="FH5120" s="29" t="str">
        <f t="shared" si="134"/>
        <v/>
      </c>
      <c r="FJ5120" s="36" t="str">
        <f>IF($FH5120="","",SUM($FN5120:$FN$7000))</f>
        <v/>
      </c>
      <c r="FK5120" s="36" t="str">
        <f>IF($FH5120="","",SUM($FN5120:$FN$7000))</f>
        <v/>
      </c>
    </row>
    <row r="5121" spans="164:167">
      <c r="FH5121" s="29" t="str">
        <f t="shared" si="134"/>
        <v/>
      </c>
      <c r="FJ5121" s="36" t="str">
        <f>IF($FH5121="","",SUM($FN5121:$FN$7000))</f>
        <v/>
      </c>
      <c r="FK5121" s="36" t="str">
        <f>IF($FH5121="","",SUM($FN5121:$FN$7000))</f>
        <v/>
      </c>
    </row>
    <row r="5122" spans="164:167">
      <c r="FH5122" s="29" t="str">
        <f t="shared" si="134"/>
        <v/>
      </c>
      <c r="FJ5122" s="36" t="str">
        <f>IF($FH5122="","",SUM($FN5122:$FN$7000))</f>
        <v/>
      </c>
      <c r="FK5122" s="36" t="str">
        <f>IF($FH5122="","",SUM($FN5122:$FN$7000))</f>
        <v/>
      </c>
    </row>
    <row r="5123" spans="164:167">
      <c r="FH5123" s="29" t="str">
        <f t="shared" si="134"/>
        <v/>
      </c>
      <c r="FJ5123" s="36" t="str">
        <f>IF($FH5123="","",SUM($FN5123:$FN$7000))</f>
        <v/>
      </c>
      <c r="FK5123" s="36" t="str">
        <f>IF($FH5123="","",SUM($FN5123:$FN$7000))</f>
        <v/>
      </c>
    </row>
    <row r="5124" spans="164:167">
      <c r="FH5124" s="29" t="str">
        <f t="shared" si="134"/>
        <v/>
      </c>
      <c r="FJ5124" s="36" t="str">
        <f>IF($FH5124="","",SUM($FN5124:$FN$7000))</f>
        <v/>
      </c>
      <c r="FK5124" s="36" t="str">
        <f>IF($FH5124="","",SUM($FN5124:$FN$7000))</f>
        <v/>
      </c>
    </row>
    <row r="5125" spans="164:167">
      <c r="FH5125" s="29" t="str">
        <f t="shared" si="134"/>
        <v/>
      </c>
      <c r="FJ5125" s="36" t="str">
        <f>IF($FH5125="","",SUM($FN5125:$FN$7000))</f>
        <v/>
      </c>
      <c r="FK5125" s="36" t="str">
        <f>IF($FH5125="","",SUM($FN5125:$FN$7000))</f>
        <v/>
      </c>
    </row>
    <row r="5126" spans="164:167">
      <c r="FH5126" s="29" t="str">
        <f t="shared" si="134"/>
        <v/>
      </c>
      <c r="FJ5126" s="36" t="str">
        <f>IF($FH5126="","",SUM($FN5126:$FN$7000))</f>
        <v/>
      </c>
      <c r="FK5126" s="36" t="str">
        <f>IF($FH5126="","",SUM($FN5126:$FN$7000))</f>
        <v/>
      </c>
    </row>
    <row r="5127" spans="164:167">
      <c r="FH5127" s="29" t="str">
        <f t="shared" si="134"/>
        <v/>
      </c>
      <c r="FJ5127" s="36" t="str">
        <f>IF($FH5127="","",SUM($FN5127:$FN$7000))</f>
        <v/>
      </c>
      <c r="FK5127" s="36" t="str">
        <f>IF($FH5127="","",SUM($FN5127:$FN$7000))</f>
        <v/>
      </c>
    </row>
    <row r="5128" spans="164:167">
      <c r="FH5128" s="29" t="str">
        <f t="shared" si="134"/>
        <v/>
      </c>
      <c r="FJ5128" s="36" t="str">
        <f>IF($FH5128="","",SUM($FN5128:$FN$7000))</f>
        <v/>
      </c>
      <c r="FK5128" s="36" t="str">
        <f>IF($FH5128="","",SUM($FN5128:$FN$7000))</f>
        <v/>
      </c>
    </row>
    <row r="5129" spans="164:167">
      <c r="FH5129" s="29" t="str">
        <f t="shared" si="134"/>
        <v/>
      </c>
      <c r="FJ5129" s="36" t="str">
        <f>IF($FH5129="","",SUM($FN5129:$FN$7000))</f>
        <v/>
      </c>
      <c r="FK5129" s="36" t="str">
        <f>IF($FH5129="","",SUM($FN5129:$FN$7000))</f>
        <v/>
      </c>
    </row>
    <row r="5130" spans="164:167">
      <c r="FH5130" s="29" t="str">
        <f t="shared" si="134"/>
        <v/>
      </c>
      <c r="FJ5130" s="36" t="str">
        <f>IF($FH5130="","",SUM($FN5130:$FN$7000))</f>
        <v/>
      </c>
      <c r="FK5130" s="36" t="str">
        <f>IF($FH5130="","",SUM($FN5130:$FN$7000))</f>
        <v/>
      </c>
    </row>
    <row r="5131" spans="164:167">
      <c r="FH5131" s="29" t="str">
        <f t="shared" ref="FH5131:FH5194" si="135">IF(FL5131="","",FL5131)</f>
        <v/>
      </c>
      <c r="FJ5131" s="36" t="str">
        <f>IF($FH5131="","",SUM($FN5131:$FN$7000))</f>
        <v/>
      </c>
      <c r="FK5131" s="36" t="str">
        <f>IF($FH5131="","",SUM($FN5131:$FN$7000))</f>
        <v/>
      </c>
    </row>
    <row r="5132" spans="164:167">
      <c r="FH5132" s="29" t="str">
        <f t="shared" si="135"/>
        <v/>
      </c>
      <c r="FJ5132" s="36" t="str">
        <f>IF($FH5132="","",SUM($FN5132:$FN$7000))</f>
        <v/>
      </c>
      <c r="FK5132" s="36" t="str">
        <f>IF($FH5132="","",SUM($FN5132:$FN$7000))</f>
        <v/>
      </c>
    </row>
    <row r="5133" spans="164:167">
      <c r="FH5133" s="29" t="str">
        <f t="shared" si="135"/>
        <v/>
      </c>
      <c r="FJ5133" s="36" t="str">
        <f>IF($FH5133="","",SUM($FN5133:$FN$7000))</f>
        <v/>
      </c>
      <c r="FK5133" s="36" t="str">
        <f>IF($FH5133="","",SUM($FN5133:$FN$7000))</f>
        <v/>
      </c>
    </row>
    <row r="5134" spans="164:167">
      <c r="FH5134" s="29" t="str">
        <f t="shared" si="135"/>
        <v/>
      </c>
      <c r="FJ5134" s="36" t="str">
        <f>IF($FH5134="","",SUM($FN5134:$FN$7000))</f>
        <v/>
      </c>
      <c r="FK5134" s="36" t="str">
        <f>IF($FH5134="","",SUM($FN5134:$FN$7000))</f>
        <v/>
      </c>
    </row>
    <row r="5135" spans="164:167">
      <c r="FH5135" s="29" t="str">
        <f t="shared" si="135"/>
        <v/>
      </c>
      <c r="FJ5135" s="36" t="str">
        <f>IF($FH5135="","",SUM($FN5135:$FN$7000))</f>
        <v/>
      </c>
      <c r="FK5135" s="36" t="str">
        <f>IF($FH5135="","",SUM($FN5135:$FN$7000))</f>
        <v/>
      </c>
    </row>
    <row r="5136" spans="164:167">
      <c r="FH5136" s="29" t="str">
        <f t="shared" si="135"/>
        <v/>
      </c>
      <c r="FJ5136" s="36" t="str">
        <f>IF($FH5136="","",SUM($FN5136:$FN$7000))</f>
        <v/>
      </c>
      <c r="FK5136" s="36" t="str">
        <f>IF($FH5136="","",SUM($FN5136:$FN$7000))</f>
        <v/>
      </c>
    </row>
    <row r="5137" spans="164:167">
      <c r="FH5137" s="29" t="str">
        <f t="shared" si="135"/>
        <v/>
      </c>
      <c r="FJ5137" s="36" t="str">
        <f>IF($FH5137="","",SUM($FN5137:$FN$7000))</f>
        <v/>
      </c>
      <c r="FK5137" s="36" t="str">
        <f>IF($FH5137="","",SUM($FN5137:$FN$7000))</f>
        <v/>
      </c>
    </row>
    <row r="5138" spans="164:167">
      <c r="FH5138" s="29" t="str">
        <f t="shared" si="135"/>
        <v/>
      </c>
      <c r="FJ5138" s="36" t="str">
        <f>IF($FH5138="","",SUM($FN5138:$FN$7000))</f>
        <v/>
      </c>
      <c r="FK5138" s="36" t="str">
        <f>IF($FH5138="","",SUM($FN5138:$FN$7000))</f>
        <v/>
      </c>
    </row>
    <row r="5139" spans="164:167">
      <c r="FH5139" s="29" t="str">
        <f t="shared" si="135"/>
        <v/>
      </c>
      <c r="FJ5139" s="36" t="str">
        <f>IF($FH5139="","",SUM($FN5139:$FN$7000))</f>
        <v/>
      </c>
      <c r="FK5139" s="36" t="str">
        <f>IF($FH5139="","",SUM($FN5139:$FN$7000))</f>
        <v/>
      </c>
    </row>
    <row r="5140" spans="164:167">
      <c r="FH5140" s="29" t="str">
        <f t="shared" si="135"/>
        <v/>
      </c>
      <c r="FJ5140" s="36" t="str">
        <f>IF($FH5140="","",SUM($FN5140:$FN$7000))</f>
        <v/>
      </c>
      <c r="FK5140" s="36" t="str">
        <f>IF($FH5140="","",SUM($FN5140:$FN$7000))</f>
        <v/>
      </c>
    </row>
    <row r="5141" spans="164:167">
      <c r="FH5141" s="29" t="str">
        <f t="shared" si="135"/>
        <v/>
      </c>
      <c r="FJ5141" s="36" t="str">
        <f>IF($FH5141="","",SUM($FN5141:$FN$7000))</f>
        <v/>
      </c>
      <c r="FK5141" s="36" t="str">
        <f>IF($FH5141="","",SUM($FN5141:$FN$7000))</f>
        <v/>
      </c>
    </row>
    <row r="5142" spans="164:167">
      <c r="FH5142" s="29" t="str">
        <f t="shared" si="135"/>
        <v/>
      </c>
      <c r="FJ5142" s="36" t="str">
        <f>IF($FH5142="","",SUM($FN5142:$FN$7000))</f>
        <v/>
      </c>
      <c r="FK5142" s="36" t="str">
        <f>IF($FH5142="","",SUM($FN5142:$FN$7000))</f>
        <v/>
      </c>
    </row>
    <row r="5143" spans="164:167">
      <c r="FH5143" s="29" t="str">
        <f t="shared" si="135"/>
        <v/>
      </c>
      <c r="FJ5143" s="36" t="str">
        <f>IF($FH5143="","",SUM($FN5143:$FN$7000))</f>
        <v/>
      </c>
      <c r="FK5143" s="36" t="str">
        <f>IF($FH5143="","",SUM($FN5143:$FN$7000))</f>
        <v/>
      </c>
    </row>
    <row r="5144" spans="164:167">
      <c r="FH5144" s="29" t="str">
        <f t="shared" si="135"/>
        <v/>
      </c>
      <c r="FJ5144" s="36" t="str">
        <f>IF($FH5144="","",SUM($FN5144:$FN$7000))</f>
        <v/>
      </c>
      <c r="FK5144" s="36" t="str">
        <f>IF($FH5144="","",SUM($FN5144:$FN$7000))</f>
        <v/>
      </c>
    </row>
    <row r="5145" spans="164:167">
      <c r="FH5145" s="29" t="str">
        <f t="shared" si="135"/>
        <v/>
      </c>
      <c r="FJ5145" s="36" t="str">
        <f>IF($FH5145="","",SUM($FN5145:$FN$7000))</f>
        <v/>
      </c>
      <c r="FK5145" s="36" t="str">
        <f>IF($FH5145="","",SUM($FN5145:$FN$7000))</f>
        <v/>
      </c>
    </row>
    <row r="5146" spans="164:167">
      <c r="FH5146" s="29" t="str">
        <f t="shared" si="135"/>
        <v/>
      </c>
      <c r="FJ5146" s="36" t="str">
        <f>IF($FH5146="","",SUM($FN5146:$FN$7000))</f>
        <v/>
      </c>
      <c r="FK5146" s="36" t="str">
        <f>IF($FH5146="","",SUM($FN5146:$FN$7000))</f>
        <v/>
      </c>
    </row>
    <row r="5147" spans="164:167">
      <c r="FH5147" s="29" t="str">
        <f t="shared" si="135"/>
        <v/>
      </c>
      <c r="FJ5147" s="36" t="str">
        <f>IF($FH5147="","",SUM($FN5147:$FN$7000))</f>
        <v/>
      </c>
      <c r="FK5147" s="36" t="str">
        <f>IF($FH5147="","",SUM($FN5147:$FN$7000))</f>
        <v/>
      </c>
    </row>
    <row r="5148" spans="164:167">
      <c r="FH5148" s="29" t="str">
        <f t="shared" si="135"/>
        <v/>
      </c>
      <c r="FJ5148" s="36" t="str">
        <f>IF($FH5148="","",SUM($FN5148:$FN$7000))</f>
        <v/>
      </c>
      <c r="FK5148" s="36" t="str">
        <f>IF($FH5148="","",SUM($FN5148:$FN$7000))</f>
        <v/>
      </c>
    </row>
    <row r="5149" spans="164:167">
      <c r="FH5149" s="29" t="str">
        <f t="shared" si="135"/>
        <v/>
      </c>
      <c r="FJ5149" s="36" t="str">
        <f>IF($FH5149="","",SUM($FN5149:$FN$7000))</f>
        <v/>
      </c>
      <c r="FK5149" s="36" t="str">
        <f>IF($FH5149="","",SUM($FN5149:$FN$7000))</f>
        <v/>
      </c>
    </row>
    <row r="5150" spans="164:167">
      <c r="FH5150" s="29" t="str">
        <f t="shared" si="135"/>
        <v/>
      </c>
      <c r="FJ5150" s="36" t="str">
        <f>IF($FH5150="","",SUM($FN5150:$FN$7000))</f>
        <v/>
      </c>
      <c r="FK5150" s="36" t="str">
        <f>IF($FH5150="","",SUM($FN5150:$FN$7000))</f>
        <v/>
      </c>
    </row>
    <row r="5151" spans="164:167">
      <c r="FH5151" s="29" t="str">
        <f t="shared" si="135"/>
        <v/>
      </c>
      <c r="FJ5151" s="36" t="str">
        <f>IF($FH5151="","",SUM($FN5151:$FN$7000))</f>
        <v/>
      </c>
      <c r="FK5151" s="36" t="str">
        <f>IF($FH5151="","",SUM($FN5151:$FN$7000))</f>
        <v/>
      </c>
    </row>
    <row r="5152" spans="164:167">
      <c r="FH5152" s="29" t="str">
        <f t="shared" si="135"/>
        <v/>
      </c>
      <c r="FJ5152" s="36" t="str">
        <f>IF($FH5152="","",SUM($FN5152:$FN$7000))</f>
        <v/>
      </c>
      <c r="FK5152" s="36" t="str">
        <f>IF($FH5152="","",SUM($FN5152:$FN$7000))</f>
        <v/>
      </c>
    </row>
    <row r="5153" spans="164:167">
      <c r="FH5153" s="29" t="str">
        <f t="shared" si="135"/>
        <v/>
      </c>
      <c r="FJ5153" s="36" t="str">
        <f>IF($FH5153="","",SUM($FN5153:$FN$7000))</f>
        <v/>
      </c>
      <c r="FK5153" s="36" t="str">
        <f>IF($FH5153="","",SUM($FN5153:$FN$7000))</f>
        <v/>
      </c>
    </row>
    <row r="5154" spans="164:167">
      <c r="FH5154" s="29" t="str">
        <f t="shared" si="135"/>
        <v/>
      </c>
      <c r="FJ5154" s="36" t="str">
        <f>IF($FH5154="","",SUM($FN5154:$FN$7000))</f>
        <v/>
      </c>
      <c r="FK5154" s="36" t="str">
        <f>IF($FH5154="","",SUM($FN5154:$FN$7000))</f>
        <v/>
      </c>
    </row>
    <row r="5155" spans="164:167">
      <c r="FH5155" s="29" t="str">
        <f t="shared" si="135"/>
        <v/>
      </c>
      <c r="FJ5155" s="36" t="str">
        <f>IF($FH5155="","",SUM($FN5155:$FN$7000))</f>
        <v/>
      </c>
      <c r="FK5155" s="36" t="str">
        <f>IF($FH5155="","",SUM($FN5155:$FN$7000))</f>
        <v/>
      </c>
    </row>
    <row r="5156" spans="164:167">
      <c r="FH5156" s="29" t="str">
        <f t="shared" si="135"/>
        <v/>
      </c>
      <c r="FJ5156" s="36" t="str">
        <f>IF($FH5156="","",SUM($FN5156:$FN$7000))</f>
        <v/>
      </c>
      <c r="FK5156" s="36" t="str">
        <f>IF($FH5156="","",SUM($FN5156:$FN$7000))</f>
        <v/>
      </c>
    </row>
    <row r="5157" spans="164:167">
      <c r="FH5157" s="29" t="str">
        <f t="shared" si="135"/>
        <v/>
      </c>
      <c r="FJ5157" s="36" t="str">
        <f>IF($FH5157="","",SUM($FN5157:$FN$7000))</f>
        <v/>
      </c>
      <c r="FK5157" s="36" t="str">
        <f>IF($FH5157="","",SUM($FN5157:$FN$7000))</f>
        <v/>
      </c>
    </row>
    <row r="5158" spans="164:167">
      <c r="FH5158" s="29" t="str">
        <f t="shared" si="135"/>
        <v/>
      </c>
      <c r="FJ5158" s="36" t="str">
        <f>IF($FH5158="","",SUM($FN5158:$FN$7000))</f>
        <v/>
      </c>
      <c r="FK5158" s="36" t="str">
        <f>IF($FH5158="","",SUM($FN5158:$FN$7000))</f>
        <v/>
      </c>
    </row>
    <row r="5159" spans="164:167">
      <c r="FH5159" s="29" t="str">
        <f t="shared" si="135"/>
        <v/>
      </c>
      <c r="FJ5159" s="36" t="str">
        <f>IF($FH5159="","",SUM($FN5159:$FN$7000))</f>
        <v/>
      </c>
      <c r="FK5159" s="36" t="str">
        <f>IF($FH5159="","",SUM($FN5159:$FN$7000))</f>
        <v/>
      </c>
    </row>
    <row r="5160" spans="164:167">
      <c r="FH5160" s="29" t="str">
        <f t="shared" si="135"/>
        <v/>
      </c>
      <c r="FJ5160" s="36" t="str">
        <f>IF($FH5160="","",SUM($FN5160:$FN$7000))</f>
        <v/>
      </c>
      <c r="FK5160" s="36" t="str">
        <f>IF($FH5160="","",SUM($FN5160:$FN$7000))</f>
        <v/>
      </c>
    </row>
    <row r="5161" spans="164:167">
      <c r="FH5161" s="29" t="str">
        <f t="shared" si="135"/>
        <v/>
      </c>
      <c r="FJ5161" s="36" t="str">
        <f>IF($FH5161="","",SUM($FN5161:$FN$7000))</f>
        <v/>
      </c>
      <c r="FK5161" s="36" t="str">
        <f>IF($FH5161="","",SUM($FN5161:$FN$7000))</f>
        <v/>
      </c>
    </row>
    <row r="5162" spans="164:167">
      <c r="FH5162" s="29" t="str">
        <f t="shared" si="135"/>
        <v/>
      </c>
      <c r="FJ5162" s="36" t="str">
        <f>IF($FH5162="","",SUM($FN5162:$FN$7000))</f>
        <v/>
      </c>
      <c r="FK5162" s="36" t="str">
        <f>IF($FH5162="","",SUM($FN5162:$FN$7000))</f>
        <v/>
      </c>
    </row>
    <row r="5163" spans="164:167">
      <c r="FH5163" s="29" t="str">
        <f t="shared" si="135"/>
        <v/>
      </c>
      <c r="FJ5163" s="36" t="str">
        <f>IF($FH5163="","",SUM($FN5163:$FN$7000))</f>
        <v/>
      </c>
      <c r="FK5163" s="36" t="str">
        <f>IF($FH5163="","",SUM($FN5163:$FN$7000))</f>
        <v/>
      </c>
    </row>
    <row r="5164" spans="164:167">
      <c r="FH5164" s="29" t="str">
        <f t="shared" si="135"/>
        <v/>
      </c>
      <c r="FJ5164" s="36" t="str">
        <f>IF($FH5164="","",SUM($FN5164:$FN$7000))</f>
        <v/>
      </c>
      <c r="FK5164" s="36" t="str">
        <f>IF($FH5164="","",SUM($FN5164:$FN$7000))</f>
        <v/>
      </c>
    </row>
    <row r="5165" spans="164:167">
      <c r="FH5165" s="29" t="str">
        <f t="shared" si="135"/>
        <v/>
      </c>
      <c r="FJ5165" s="36" t="str">
        <f>IF($FH5165="","",SUM($FN5165:$FN$7000))</f>
        <v/>
      </c>
      <c r="FK5165" s="36" t="str">
        <f>IF($FH5165="","",SUM($FN5165:$FN$7000))</f>
        <v/>
      </c>
    </row>
    <row r="5166" spans="164:167">
      <c r="FH5166" s="29" t="str">
        <f t="shared" si="135"/>
        <v/>
      </c>
      <c r="FJ5166" s="36" t="str">
        <f>IF($FH5166="","",SUM($FN5166:$FN$7000))</f>
        <v/>
      </c>
      <c r="FK5166" s="36" t="str">
        <f>IF($FH5166="","",SUM($FN5166:$FN$7000))</f>
        <v/>
      </c>
    </row>
    <row r="5167" spans="164:167">
      <c r="FH5167" s="29" t="str">
        <f t="shared" si="135"/>
        <v/>
      </c>
      <c r="FJ5167" s="36" t="str">
        <f>IF($FH5167="","",SUM($FN5167:$FN$7000))</f>
        <v/>
      </c>
      <c r="FK5167" s="36" t="str">
        <f>IF($FH5167="","",SUM($FN5167:$FN$7000))</f>
        <v/>
      </c>
    </row>
    <row r="5168" spans="164:167">
      <c r="FH5168" s="29" t="str">
        <f t="shared" si="135"/>
        <v/>
      </c>
      <c r="FJ5168" s="36" t="str">
        <f>IF($FH5168="","",SUM($FN5168:$FN$7000))</f>
        <v/>
      </c>
      <c r="FK5168" s="36" t="str">
        <f>IF($FH5168="","",SUM($FN5168:$FN$7000))</f>
        <v/>
      </c>
    </row>
    <row r="5169" spans="164:167">
      <c r="FH5169" s="29" t="str">
        <f t="shared" si="135"/>
        <v/>
      </c>
      <c r="FJ5169" s="36" t="str">
        <f>IF($FH5169="","",SUM($FN5169:$FN$7000))</f>
        <v/>
      </c>
      <c r="FK5169" s="36" t="str">
        <f>IF($FH5169="","",SUM($FN5169:$FN$7000))</f>
        <v/>
      </c>
    </row>
    <row r="5170" spans="164:167">
      <c r="FH5170" s="29" t="str">
        <f t="shared" si="135"/>
        <v/>
      </c>
      <c r="FJ5170" s="36" t="str">
        <f>IF($FH5170="","",SUM($FN5170:$FN$7000))</f>
        <v/>
      </c>
      <c r="FK5170" s="36" t="str">
        <f>IF($FH5170="","",SUM($FN5170:$FN$7000))</f>
        <v/>
      </c>
    </row>
    <row r="5171" spans="164:167">
      <c r="FH5171" s="29" t="str">
        <f t="shared" si="135"/>
        <v/>
      </c>
      <c r="FJ5171" s="36" t="str">
        <f>IF($FH5171="","",SUM($FN5171:$FN$7000))</f>
        <v/>
      </c>
      <c r="FK5171" s="36" t="str">
        <f>IF($FH5171="","",SUM($FN5171:$FN$7000))</f>
        <v/>
      </c>
    </row>
    <row r="5172" spans="164:167">
      <c r="FH5172" s="29" t="str">
        <f t="shared" si="135"/>
        <v/>
      </c>
      <c r="FJ5172" s="36" t="str">
        <f>IF($FH5172="","",SUM($FN5172:$FN$7000))</f>
        <v/>
      </c>
      <c r="FK5172" s="36" t="str">
        <f>IF($FH5172="","",SUM($FN5172:$FN$7000))</f>
        <v/>
      </c>
    </row>
    <row r="5173" spans="164:167">
      <c r="FH5173" s="29" t="str">
        <f t="shared" si="135"/>
        <v/>
      </c>
      <c r="FJ5173" s="36" t="str">
        <f>IF($FH5173="","",SUM($FN5173:$FN$7000))</f>
        <v/>
      </c>
      <c r="FK5173" s="36" t="str">
        <f>IF($FH5173="","",SUM($FN5173:$FN$7000))</f>
        <v/>
      </c>
    </row>
    <row r="5174" spans="164:167">
      <c r="FH5174" s="29" t="str">
        <f t="shared" si="135"/>
        <v/>
      </c>
      <c r="FJ5174" s="36" t="str">
        <f>IF($FH5174="","",SUM($FN5174:$FN$7000))</f>
        <v/>
      </c>
      <c r="FK5174" s="36" t="str">
        <f>IF($FH5174="","",SUM($FN5174:$FN$7000))</f>
        <v/>
      </c>
    </row>
    <row r="5175" spans="164:167">
      <c r="FH5175" s="29" t="str">
        <f t="shared" si="135"/>
        <v/>
      </c>
      <c r="FJ5175" s="36" t="str">
        <f>IF($FH5175="","",SUM($FN5175:$FN$7000))</f>
        <v/>
      </c>
      <c r="FK5175" s="36" t="str">
        <f>IF($FH5175="","",SUM($FN5175:$FN$7000))</f>
        <v/>
      </c>
    </row>
    <row r="5176" spans="164:167">
      <c r="FH5176" s="29" t="str">
        <f t="shared" si="135"/>
        <v/>
      </c>
      <c r="FJ5176" s="36" t="str">
        <f>IF($FH5176="","",SUM($FN5176:$FN$7000))</f>
        <v/>
      </c>
      <c r="FK5176" s="36" t="str">
        <f>IF($FH5176="","",SUM($FN5176:$FN$7000))</f>
        <v/>
      </c>
    </row>
    <row r="5177" spans="164:167">
      <c r="FH5177" s="29" t="str">
        <f t="shared" si="135"/>
        <v/>
      </c>
      <c r="FJ5177" s="36" t="str">
        <f>IF($FH5177="","",SUM($FN5177:$FN$7000))</f>
        <v/>
      </c>
      <c r="FK5177" s="36" t="str">
        <f>IF($FH5177="","",SUM($FN5177:$FN$7000))</f>
        <v/>
      </c>
    </row>
    <row r="5178" spans="164:167">
      <c r="FH5178" s="29" t="str">
        <f t="shared" si="135"/>
        <v/>
      </c>
      <c r="FJ5178" s="36" t="str">
        <f>IF($FH5178="","",SUM($FN5178:$FN$7000))</f>
        <v/>
      </c>
      <c r="FK5178" s="36" t="str">
        <f>IF($FH5178="","",SUM($FN5178:$FN$7000))</f>
        <v/>
      </c>
    </row>
    <row r="5179" spans="164:167">
      <c r="FH5179" s="29" t="str">
        <f t="shared" si="135"/>
        <v/>
      </c>
      <c r="FJ5179" s="36" t="str">
        <f>IF($FH5179="","",SUM($FN5179:$FN$7000))</f>
        <v/>
      </c>
      <c r="FK5179" s="36" t="str">
        <f>IF($FH5179="","",SUM($FN5179:$FN$7000))</f>
        <v/>
      </c>
    </row>
    <row r="5180" spans="164:167">
      <c r="FH5180" s="29" t="str">
        <f t="shared" si="135"/>
        <v/>
      </c>
      <c r="FJ5180" s="36" t="str">
        <f>IF($FH5180="","",SUM($FN5180:$FN$7000))</f>
        <v/>
      </c>
      <c r="FK5180" s="36" t="str">
        <f>IF($FH5180="","",SUM($FN5180:$FN$7000))</f>
        <v/>
      </c>
    </row>
    <row r="5181" spans="164:167">
      <c r="FH5181" s="29" t="str">
        <f t="shared" si="135"/>
        <v/>
      </c>
      <c r="FJ5181" s="36" t="str">
        <f>IF($FH5181="","",SUM($FN5181:$FN$7000))</f>
        <v/>
      </c>
      <c r="FK5181" s="36" t="str">
        <f>IF($FH5181="","",SUM($FN5181:$FN$7000))</f>
        <v/>
      </c>
    </row>
    <row r="5182" spans="164:167">
      <c r="FH5182" s="29" t="str">
        <f t="shared" si="135"/>
        <v/>
      </c>
      <c r="FJ5182" s="36" t="str">
        <f>IF($FH5182="","",SUM($FN5182:$FN$7000))</f>
        <v/>
      </c>
      <c r="FK5182" s="36" t="str">
        <f>IF($FH5182="","",SUM($FN5182:$FN$7000))</f>
        <v/>
      </c>
    </row>
    <row r="5183" spans="164:167">
      <c r="FH5183" s="29" t="str">
        <f t="shared" si="135"/>
        <v/>
      </c>
      <c r="FJ5183" s="36" t="str">
        <f>IF($FH5183="","",SUM($FN5183:$FN$7000))</f>
        <v/>
      </c>
      <c r="FK5183" s="36" t="str">
        <f>IF($FH5183="","",SUM($FN5183:$FN$7000))</f>
        <v/>
      </c>
    </row>
    <row r="5184" spans="164:167">
      <c r="FH5184" s="29" t="str">
        <f t="shared" si="135"/>
        <v/>
      </c>
      <c r="FJ5184" s="36" t="str">
        <f>IF($FH5184="","",SUM($FN5184:$FN$7000))</f>
        <v/>
      </c>
      <c r="FK5184" s="36" t="str">
        <f>IF($FH5184="","",SUM($FN5184:$FN$7000))</f>
        <v/>
      </c>
    </row>
    <row r="5185" spans="164:167">
      <c r="FH5185" s="29" t="str">
        <f t="shared" si="135"/>
        <v/>
      </c>
      <c r="FJ5185" s="36" t="str">
        <f>IF($FH5185="","",SUM($FN5185:$FN$7000))</f>
        <v/>
      </c>
      <c r="FK5185" s="36" t="str">
        <f>IF($FH5185="","",SUM($FN5185:$FN$7000))</f>
        <v/>
      </c>
    </row>
    <row r="5186" spans="164:167">
      <c r="FH5186" s="29" t="str">
        <f t="shared" si="135"/>
        <v/>
      </c>
      <c r="FJ5186" s="36" t="str">
        <f>IF($FH5186="","",SUM($FN5186:$FN$7000))</f>
        <v/>
      </c>
      <c r="FK5186" s="36" t="str">
        <f>IF($FH5186="","",SUM($FN5186:$FN$7000))</f>
        <v/>
      </c>
    </row>
    <row r="5187" spans="164:167">
      <c r="FH5187" s="29" t="str">
        <f t="shared" si="135"/>
        <v/>
      </c>
      <c r="FJ5187" s="36" t="str">
        <f>IF($FH5187="","",SUM($FN5187:$FN$7000))</f>
        <v/>
      </c>
      <c r="FK5187" s="36" t="str">
        <f>IF($FH5187="","",SUM($FN5187:$FN$7000))</f>
        <v/>
      </c>
    </row>
    <row r="5188" spans="164:167">
      <c r="FH5188" s="29" t="str">
        <f t="shared" si="135"/>
        <v/>
      </c>
      <c r="FJ5188" s="36" t="str">
        <f>IF($FH5188="","",SUM($FN5188:$FN$7000))</f>
        <v/>
      </c>
      <c r="FK5188" s="36" t="str">
        <f>IF($FH5188="","",SUM($FN5188:$FN$7000))</f>
        <v/>
      </c>
    </row>
    <row r="5189" spans="164:167">
      <c r="FH5189" s="29" t="str">
        <f t="shared" si="135"/>
        <v/>
      </c>
      <c r="FJ5189" s="36" t="str">
        <f>IF($FH5189="","",SUM($FN5189:$FN$7000))</f>
        <v/>
      </c>
      <c r="FK5189" s="36" t="str">
        <f>IF($FH5189="","",SUM($FN5189:$FN$7000))</f>
        <v/>
      </c>
    </row>
    <row r="5190" spans="164:167">
      <c r="FH5190" s="29" t="str">
        <f t="shared" si="135"/>
        <v/>
      </c>
      <c r="FJ5190" s="36" t="str">
        <f>IF($FH5190="","",SUM($FN5190:$FN$7000))</f>
        <v/>
      </c>
      <c r="FK5190" s="36" t="str">
        <f>IF($FH5190="","",SUM($FN5190:$FN$7000))</f>
        <v/>
      </c>
    </row>
    <row r="5191" spans="164:167">
      <c r="FH5191" s="29" t="str">
        <f t="shared" si="135"/>
        <v/>
      </c>
      <c r="FJ5191" s="36" t="str">
        <f>IF($FH5191="","",SUM($FN5191:$FN$7000))</f>
        <v/>
      </c>
      <c r="FK5191" s="36" t="str">
        <f>IF($FH5191="","",SUM($FN5191:$FN$7000))</f>
        <v/>
      </c>
    </row>
    <row r="5192" spans="164:167">
      <c r="FH5192" s="29" t="str">
        <f t="shared" si="135"/>
        <v/>
      </c>
      <c r="FJ5192" s="36" t="str">
        <f>IF($FH5192="","",SUM($FN5192:$FN$7000))</f>
        <v/>
      </c>
      <c r="FK5192" s="36" t="str">
        <f>IF($FH5192="","",SUM($FN5192:$FN$7000))</f>
        <v/>
      </c>
    </row>
    <row r="5193" spans="164:167">
      <c r="FH5193" s="29" t="str">
        <f t="shared" si="135"/>
        <v/>
      </c>
      <c r="FJ5193" s="36" t="str">
        <f>IF($FH5193="","",SUM($FN5193:$FN$7000))</f>
        <v/>
      </c>
      <c r="FK5193" s="36" t="str">
        <f>IF($FH5193="","",SUM($FN5193:$FN$7000))</f>
        <v/>
      </c>
    </row>
    <row r="5194" spans="164:167">
      <c r="FH5194" s="29" t="str">
        <f t="shared" si="135"/>
        <v/>
      </c>
      <c r="FJ5194" s="36" t="str">
        <f>IF($FH5194="","",SUM($FN5194:$FN$7000))</f>
        <v/>
      </c>
      <c r="FK5194" s="36" t="str">
        <f>IF($FH5194="","",SUM($FN5194:$FN$7000))</f>
        <v/>
      </c>
    </row>
    <row r="5195" spans="164:167">
      <c r="FH5195" s="29" t="str">
        <f t="shared" ref="FH5195:FH5258" si="136">IF(FL5195="","",FL5195)</f>
        <v/>
      </c>
      <c r="FJ5195" s="36" t="str">
        <f>IF($FH5195="","",SUM($FN5195:$FN$7000))</f>
        <v/>
      </c>
      <c r="FK5195" s="36" t="str">
        <f>IF($FH5195="","",SUM($FN5195:$FN$7000))</f>
        <v/>
      </c>
    </row>
    <row r="5196" spans="164:167">
      <c r="FH5196" s="29" t="str">
        <f t="shared" si="136"/>
        <v/>
      </c>
      <c r="FJ5196" s="36" t="str">
        <f>IF($FH5196="","",SUM($FN5196:$FN$7000))</f>
        <v/>
      </c>
      <c r="FK5196" s="36" t="str">
        <f>IF($FH5196="","",SUM($FN5196:$FN$7000))</f>
        <v/>
      </c>
    </row>
    <row r="5197" spans="164:167">
      <c r="FH5197" s="29" t="str">
        <f t="shared" si="136"/>
        <v/>
      </c>
      <c r="FJ5197" s="36" t="str">
        <f>IF($FH5197="","",SUM($FN5197:$FN$7000))</f>
        <v/>
      </c>
      <c r="FK5197" s="36" t="str">
        <f>IF($FH5197="","",SUM($FN5197:$FN$7000))</f>
        <v/>
      </c>
    </row>
    <row r="5198" spans="164:167">
      <c r="FH5198" s="29" t="str">
        <f t="shared" si="136"/>
        <v/>
      </c>
      <c r="FJ5198" s="36" t="str">
        <f>IF($FH5198="","",SUM($FN5198:$FN$7000))</f>
        <v/>
      </c>
      <c r="FK5198" s="36" t="str">
        <f>IF($FH5198="","",SUM($FN5198:$FN$7000))</f>
        <v/>
      </c>
    </row>
    <row r="5199" spans="164:167">
      <c r="FH5199" s="29" t="str">
        <f t="shared" si="136"/>
        <v/>
      </c>
      <c r="FJ5199" s="36" t="str">
        <f>IF($FH5199="","",SUM($FN5199:$FN$7000))</f>
        <v/>
      </c>
      <c r="FK5199" s="36" t="str">
        <f>IF($FH5199="","",SUM($FN5199:$FN$7000))</f>
        <v/>
      </c>
    </row>
    <row r="5200" spans="164:167">
      <c r="FH5200" s="29" t="str">
        <f t="shared" si="136"/>
        <v/>
      </c>
      <c r="FJ5200" s="36" t="str">
        <f>IF($FH5200="","",SUM($FN5200:$FN$7000))</f>
        <v/>
      </c>
      <c r="FK5200" s="36" t="str">
        <f>IF($FH5200="","",SUM($FN5200:$FN$7000))</f>
        <v/>
      </c>
    </row>
    <row r="5201" spans="164:167">
      <c r="FH5201" s="29" t="str">
        <f t="shared" si="136"/>
        <v/>
      </c>
      <c r="FJ5201" s="36" t="str">
        <f>IF($FH5201="","",SUM($FN5201:$FN$7000))</f>
        <v/>
      </c>
      <c r="FK5201" s="36" t="str">
        <f>IF($FH5201="","",SUM($FN5201:$FN$7000))</f>
        <v/>
      </c>
    </row>
    <row r="5202" spans="164:167">
      <c r="FH5202" s="29" t="str">
        <f t="shared" si="136"/>
        <v/>
      </c>
      <c r="FJ5202" s="36" t="str">
        <f>IF($FH5202="","",SUM($FN5202:$FN$7000))</f>
        <v/>
      </c>
      <c r="FK5202" s="36" t="str">
        <f>IF($FH5202="","",SUM($FN5202:$FN$7000))</f>
        <v/>
      </c>
    </row>
    <row r="5203" spans="164:167">
      <c r="FH5203" s="29" t="str">
        <f t="shared" si="136"/>
        <v/>
      </c>
      <c r="FJ5203" s="36" t="str">
        <f>IF($FH5203="","",SUM($FN5203:$FN$7000))</f>
        <v/>
      </c>
      <c r="FK5203" s="36" t="str">
        <f>IF($FH5203="","",SUM($FN5203:$FN$7000))</f>
        <v/>
      </c>
    </row>
    <row r="5204" spans="164:167">
      <c r="FH5204" s="29" t="str">
        <f t="shared" si="136"/>
        <v/>
      </c>
      <c r="FJ5204" s="36" t="str">
        <f>IF($FH5204="","",SUM($FN5204:$FN$7000))</f>
        <v/>
      </c>
      <c r="FK5204" s="36" t="str">
        <f>IF($FH5204="","",SUM($FN5204:$FN$7000))</f>
        <v/>
      </c>
    </row>
    <row r="5205" spans="164:167">
      <c r="FH5205" s="29" t="str">
        <f t="shared" si="136"/>
        <v/>
      </c>
      <c r="FJ5205" s="36" t="str">
        <f>IF($FH5205="","",SUM($FN5205:$FN$7000))</f>
        <v/>
      </c>
      <c r="FK5205" s="36" t="str">
        <f>IF($FH5205="","",SUM($FN5205:$FN$7000))</f>
        <v/>
      </c>
    </row>
    <row r="5206" spans="164:167">
      <c r="FH5206" s="29" t="str">
        <f t="shared" si="136"/>
        <v/>
      </c>
      <c r="FJ5206" s="36" t="str">
        <f>IF($FH5206="","",SUM($FN5206:$FN$7000))</f>
        <v/>
      </c>
      <c r="FK5206" s="36" t="str">
        <f>IF($FH5206="","",SUM($FN5206:$FN$7000))</f>
        <v/>
      </c>
    </row>
    <row r="5207" spans="164:167">
      <c r="FH5207" s="29" t="str">
        <f t="shared" si="136"/>
        <v/>
      </c>
      <c r="FJ5207" s="36" t="str">
        <f>IF($FH5207="","",SUM($FN5207:$FN$7000))</f>
        <v/>
      </c>
      <c r="FK5207" s="36" t="str">
        <f>IF($FH5207="","",SUM($FN5207:$FN$7000))</f>
        <v/>
      </c>
    </row>
    <row r="5208" spans="164:167">
      <c r="FH5208" s="29" t="str">
        <f t="shared" si="136"/>
        <v/>
      </c>
      <c r="FJ5208" s="36" t="str">
        <f>IF($FH5208="","",SUM($FN5208:$FN$7000))</f>
        <v/>
      </c>
      <c r="FK5208" s="36" t="str">
        <f>IF($FH5208="","",SUM($FN5208:$FN$7000))</f>
        <v/>
      </c>
    </row>
    <row r="5209" spans="164:167">
      <c r="FH5209" s="29" t="str">
        <f t="shared" si="136"/>
        <v/>
      </c>
      <c r="FJ5209" s="36" t="str">
        <f>IF($FH5209="","",SUM($FN5209:$FN$7000))</f>
        <v/>
      </c>
      <c r="FK5209" s="36" t="str">
        <f>IF($FH5209="","",SUM($FN5209:$FN$7000))</f>
        <v/>
      </c>
    </row>
    <row r="5210" spans="164:167">
      <c r="FH5210" s="29" t="str">
        <f t="shared" si="136"/>
        <v/>
      </c>
      <c r="FJ5210" s="36" t="str">
        <f>IF($FH5210="","",SUM($FN5210:$FN$7000))</f>
        <v/>
      </c>
      <c r="FK5210" s="36" t="str">
        <f>IF($FH5210="","",SUM($FN5210:$FN$7000))</f>
        <v/>
      </c>
    </row>
    <row r="5211" spans="164:167">
      <c r="FH5211" s="29" t="str">
        <f t="shared" si="136"/>
        <v/>
      </c>
      <c r="FJ5211" s="36" t="str">
        <f>IF($FH5211="","",SUM($FN5211:$FN$7000))</f>
        <v/>
      </c>
      <c r="FK5211" s="36" t="str">
        <f>IF($FH5211="","",SUM($FN5211:$FN$7000))</f>
        <v/>
      </c>
    </row>
    <row r="5212" spans="164:167">
      <c r="FH5212" s="29" t="str">
        <f t="shared" si="136"/>
        <v/>
      </c>
      <c r="FJ5212" s="36" t="str">
        <f>IF($FH5212="","",SUM($FN5212:$FN$7000))</f>
        <v/>
      </c>
      <c r="FK5212" s="36" t="str">
        <f>IF($FH5212="","",SUM($FN5212:$FN$7000))</f>
        <v/>
      </c>
    </row>
    <row r="5213" spans="164:167">
      <c r="FH5213" s="29" t="str">
        <f t="shared" si="136"/>
        <v/>
      </c>
      <c r="FJ5213" s="36" t="str">
        <f>IF($FH5213="","",SUM($FN5213:$FN$7000))</f>
        <v/>
      </c>
      <c r="FK5213" s="36" t="str">
        <f>IF($FH5213="","",SUM($FN5213:$FN$7000))</f>
        <v/>
      </c>
    </row>
    <row r="5214" spans="164:167">
      <c r="FH5214" s="29" t="str">
        <f t="shared" si="136"/>
        <v/>
      </c>
      <c r="FJ5214" s="36" t="str">
        <f>IF($FH5214="","",SUM($FN5214:$FN$7000))</f>
        <v/>
      </c>
      <c r="FK5214" s="36" t="str">
        <f>IF($FH5214="","",SUM($FN5214:$FN$7000))</f>
        <v/>
      </c>
    </row>
    <row r="5215" spans="164:167">
      <c r="FH5215" s="29" t="str">
        <f t="shared" si="136"/>
        <v/>
      </c>
      <c r="FJ5215" s="36" t="str">
        <f>IF($FH5215="","",SUM($FN5215:$FN$7000))</f>
        <v/>
      </c>
      <c r="FK5215" s="36" t="str">
        <f>IF($FH5215="","",SUM($FN5215:$FN$7000))</f>
        <v/>
      </c>
    </row>
    <row r="5216" spans="164:167">
      <c r="FH5216" s="29" t="str">
        <f t="shared" si="136"/>
        <v/>
      </c>
      <c r="FJ5216" s="36" t="str">
        <f>IF($FH5216="","",SUM($FN5216:$FN$7000))</f>
        <v/>
      </c>
      <c r="FK5216" s="36" t="str">
        <f>IF($FH5216="","",SUM($FN5216:$FN$7000))</f>
        <v/>
      </c>
    </row>
    <row r="5217" spans="164:167">
      <c r="FH5217" s="29" t="str">
        <f t="shared" si="136"/>
        <v/>
      </c>
      <c r="FJ5217" s="36" t="str">
        <f>IF($FH5217="","",SUM($FN5217:$FN$7000))</f>
        <v/>
      </c>
      <c r="FK5217" s="36" t="str">
        <f>IF($FH5217="","",SUM($FN5217:$FN$7000))</f>
        <v/>
      </c>
    </row>
    <row r="5218" spans="164:167">
      <c r="FH5218" s="29" t="str">
        <f t="shared" si="136"/>
        <v/>
      </c>
      <c r="FJ5218" s="36" t="str">
        <f>IF($FH5218="","",SUM($FN5218:$FN$7000))</f>
        <v/>
      </c>
      <c r="FK5218" s="36" t="str">
        <f>IF($FH5218="","",SUM($FN5218:$FN$7000))</f>
        <v/>
      </c>
    </row>
    <row r="5219" spans="164:167">
      <c r="FH5219" s="29" t="str">
        <f t="shared" si="136"/>
        <v/>
      </c>
      <c r="FJ5219" s="36" t="str">
        <f>IF($FH5219="","",SUM($FN5219:$FN$7000))</f>
        <v/>
      </c>
      <c r="FK5219" s="36" t="str">
        <f>IF($FH5219="","",SUM($FN5219:$FN$7000))</f>
        <v/>
      </c>
    </row>
    <row r="5220" spans="164:167">
      <c r="FH5220" s="29" t="str">
        <f t="shared" si="136"/>
        <v/>
      </c>
      <c r="FJ5220" s="36" t="str">
        <f>IF($FH5220="","",SUM($FN5220:$FN$7000))</f>
        <v/>
      </c>
      <c r="FK5220" s="36" t="str">
        <f>IF($FH5220="","",SUM($FN5220:$FN$7000))</f>
        <v/>
      </c>
    </row>
    <row r="5221" spans="164:167">
      <c r="FH5221" s="29" t="str">
        <f t="shared" si="136"/>
        <v/>
      </c>
      <c r="FJ5221" s="36" t="str">
        <f>IF($FH5221="","",SUM($FN5221:$FN$7000))</f>
        <v/>
      </c>
      <c r="FK5221" s="36" t="str">
        <f>IF($FH5221="","",SUM($FN5221:$FN$7000))</f>
        <v/>
      </c>
    </row>
    <row r="5222" spans="164:167">
      <c r="FH5222" s="29" t="str">
        <f t="shared" si="136"/>
        <v/>
      </c>
      <c r="FJ5222" s="36" t="str">
        <f>IF($FH5222="","",SUM($FN5222:$FN$7000))</f>
        <v/>
      </c>
      <c r="FK5222" s="36" t="str">
        <f>IF($FH5222="","",SUM($FN5222:$FN$7000))</f>
        <v/>
      </c>
    </row>
    <row r="5223" spans="164:167">
      <c r="FH5223" s="29" t="str">
        <f t="shared" si="136"/>
        <v/>
      </c>
      <c r="FJ5223" s="36" t="str">
        <f>IF($FH5223="","",SUM($FN5223:$FN$7000))</f>
        <v/>
      </c>
      <c r="FK5223" s="36" t="str">
        <f>IF($FH5223="","",SUM($FN5223:$FN$7000))</f>
        <v/>
      </c>
    </row>
    <row r="5224" spans="164:167">
      <c r="FH5224" s="29" t="str">
        <f t="shared" si="136"/>
        <v/>
      </c>
      <c r="FJ5224" s="36" t="str">
        <f>IF($FH5224="","",SUM($FN5224:$FN$7000))</f>
        <v/>
      </c>
      <c r="FK5224" s="36" t="str">
        <f>IF($FH5224="","",SUM($FN5224:$FN$7000))</f>
        <v/>
      </c>
    </row>
    <row r="5225" spans="164:167">
      <c r="FH5225" s="29" t="str">
        <f t="shared" si="136"/>
        <v/>
      </c>
      <c r="FJ5225" s="36" t="str">
        <f>IF($FH5225="","",SUM($FN5225:$FN$7000))</f>
        <v/>
      </c>
      <c r="FK5225" s="36" t="str">
        <f>IF($FH5225="","",SUM($FN5225:$FN$7000))</f>
        <v/>
      </c>
    </row>
    <row r="5226" spans="164:167">
      <c r="FH5226" s="29" t="str">
        <f t="shared" si="136"/>
        <v/>
      </c>
      <c r="FJ5226" s="36" t="str">
        <f>IF($FH5226="","",SUM($FN5226:$FN$7000))</f>
        <v/>
      </c>
      <c r="FK5226" s="36" t="str">
        <f>IF($FH5226="","",SUM($FN5226:$FN$7000))</f>
        <v/>
      </c>
    </row>
    <row r="5227" spans="164:167">
      <c r="FH5227" s="29" t="str">
        <f t="shared" si="136"/>
        <v/>
      </c>
      <c r="FJ5227" s="36" t="str">
        <f>IF($FH5227="","",SUM($FN5227:$FN$7000))</f>
        <v/>
      </c>
      <c r="FK5227" s="36" t="str">
        <f>IF($FH5227="","",SUM($FN5227:$FN$7000))</f>
        <v/>
      </c>
    </row>
    <row r="5228" spans="164:167">
      <c r="FH5228" s="29" t="str">
        <f t="shared" si="136"/>
        <v/>
      </c>
      <c r="FJ5228" s="36" t="str">
        <f>IF($FH5228="","",SUM($FN5228:$FN$7000))</f>
        <v/>
      </c>
      <c r="FK5228" s="36" t="str">
        <f>IF($FH5228="","",SUM($FN5228:$FN$7000))</f>
        <v/>
      </c>
    </row>
    <row r="5229" spans="164:167">
      <c r="FH5229" s="29" t="str">
        <f t="shared" si="136"/>
        <v/>
      </c>
      <c r="FJ5229" s="36" t="str">
        <f>IF($FH5229="","",SUM($FN5229:$FN$7000))</f>
        <v/>
      </c>
      <c r="FK5229" s="36" t="str">
        <f>IF($FH5229="","",SUM($FN5229:$FN$7000))</f>
        <v/>
      </c>
    </row>
    <row r="5230" spans="164:167">
      <c r="FH5230" s="29" t="str">
        <f t="shared" si="136"/>
        <v/>
      </c>
      <c r="FJ5230" s="36" t="str">
        <f>IF($FH5230="","",SUM($FN5230:$FN$7000))</f>
        <v/>
      </c>
      <c r="FK5230" s="36" t="str">
        <f>IF($FH5230="","",SUM($FN5230:$FN$7000))</f>
        <v/>
      </c>
    </row>
    <row r="5231" spans="164:167">
      <c r="FH5231" s="29" t="str">
        <f t="shared" si="136"/>
        <v/>
      </c>
      <c r="FJ5231" s="36" t="str">
        <f>IF($FH5231="","",SUM($FN5231:$FN$7000))</f>
        <v/>
      </c>
      <c r="FK5231" s="36" t="str">
        <f>IF($FH5231="","",SUM($FN5231:$FN$7000))</f>
        <v/>
      </c>
    </row>
    <row r="5232" spans="164:167">
      <c r="FH5232" s="29" t="str">
        <f t="shared" si="136"/>
        <v/>
      </c>
      <c r="FJ5232" s="36" t="str">
        <f>IF($FH5232="","",SUM($FN5232:$FN$7000))</f>
        <v/>
      </c>
      <c r="FK5232" s="36" t="str">
        <f>IF($FH5232="","",SUM($FN5232:$FN$7000))</f>
        <v/>
      </c>
    </row>
    <row r="5233" spans="164:167">
      <c r="FH5233" s="29" t="str">
        <f t="shared" si="136"/>
        <v/>
      </c>
      <c r="FJ5233" s="36" t="str">
        <f>IF($FH5233="","",SUM($FN5233:$FN$7000))</f>
        <v/>
      </c>
      <c r="FK5233" s="36" t="str">
        <f>IF($FH5233="","",SUM($FN5233:$FN$7000))</f>
        <v/>
      </c>
    </row>
    <row r="5234" spans="164:167">
      <c r="FH5234" s="29" t="str">
        <f t="shared" si="136"/>
        <v/>
      </c>
      <c r="FJ5234" s="36" t="str">
        <f>IF($FH5234="","",SUM($FN5234:$FN$7000))</f>
        <v/>
      </c>
      <c r="FK5234" s="36" t="str">
        <f>IF($FH5234="","",SUM($FN5234:$FN$7000))</f>
        <v/>
      </c>
    </row>
    <row r="5235" spans="164:167">
      <c r="FH5235" s="29" t="str">
        <f t="shared" si="136"/>
        <v/>
      </c>
      <c r="FJ5235" s="36" t="str">
        <f>IF($FH5235="","",SUM($FN5235:$FN$7000))</f>
        <v/>
      </c>
      <c r="FK5235" s="36" t="str">
        <f>IF($FH5235="","",SUM($FN5235:$FN$7000))</f>
        <v/>
      </c>
    </row>
    <row r="5236" spans="164:167">
      <c r="FH5236" s="29" t="str">
        <f t="shared" si="136"/>
        <v/>
      </c>
      <c r="FJ5236" s="36" t="str">
        <f>IF($FH5236="","",SUM($FN5236:$FN$7000))</f>
        <v/>
      </c>
      <c r="FK5236" s="36" t="str">
        <f>IF($FH5236="","",SUM($FN5236:$FN$7000))</f>
        <v/>
      </c>
    </row>
    <row r="5237" spans="164:167">
      <c r="FH5237" s="29" t="str">
        <f t="shared" si="136"/>
        <v/>
      </c>
      <c r="FJ5237" s="36" t="str">
        <f>IF($FH5237="","",SUM($FN5237:$FN$7000))</f>
        <v/>
      </c>
      <c r="FK5237" s="36" t="str">
        <f>IF($FH5237="","",SUM($FN5237:$FN$7000))</f>
        <v/>
      </c>
    </row>
    <row r="5238" spans="164:167">
      <c r="FH5238" s="29" t="str">
        <f t="shared" si="136"/>
        <v/>
      </c>
      <c r="FJ5238" s="36" t="str">
        <f>IF($FH5238="","",SUM($FN5238:$FN$7000))</f>
        <v/>
      </c>
      <c r="FK5238" s="36" t="str">
        <f>IF($FH5238="","",SUM($FN5238:$FN$7000))</f>
        <v/>
      </c>
    </row>
    <row r="5239" spans="164:167">
      <c r="FH5239" s="29" t="str">
        <f t="shared" si="136"/>
        <v/>
      </c>
      <c r="FJ5239" s="36" t="str">
        <f>IF($FH5239="","",SUM($FN5239:$FN$7000))</f>
        <v/>
      </c>
      <c r="FK5239" s="36" t="str">
        <f>IF($FH5239="","",SUM($FN5239:$FN$7000))</f>
        <v/>
      </c>
    </row>
    <row r="5240" spans="164:167">
      <c r="FH5240" s="29" t="str">
        <f t="shared" si="136"/>
        <v/>
      </c>
      <c r="FJ5240" s="36" t="str">
        <f>IF($FH5240="","",SUM($FN5240:$FN$7000))</f>
        <v/>
      </c>
      <c r="FK5240" s="36" t="str">
        <f>IF($FH5240="","",SUM($FN5240:$FN$7000))</f>
        <v/>
      </c>
    </row>
    <row r="5241" spans="164:167">
      <c r="FH5241" s="29" t="str">
        <f t="shared" si="136"/>
        <v/>
      </c>
      <c r="FJ5241" s="36" t="str">
        <f>IF($FH5241="","",SUM($FN5241:$FN$7000))</f>
        <v/>
      </c>
      <c r="FK5241" s="36" t="str">
        <f>IF($FH5241="","",SUM($FN5241:$FN$7000))</f>
        <v/>
      </c>
    </row>
    <row r="5242" spans="164:167">
      <c r="FH5242" s="29" t="str">
        <f t="shared" si="136"/>
        <v/>
      </c>
      <c r="FJ5242" s="36" t="str">
        <f>IF($FH5242="","",SUM($FN5242:$FN$7000))</f>
        <v/>
      </c>
      <c r="FK5242" s="36" t="str">
        <f>IF($FH5242="","",SUM($FN5242:$FN$7000))</f>
        <v/>
      </c>
    </row>
    <row r="5243" spans="164:167">
      <c r="FH5243" s="29" t="str">
        <f t="shared" si="136"/>
        <v/>
      </c>
      <c r="FJ5243" s="36" t="str">
        <f>IF($FH5243="","",SUM($FN5243:$FN$7000))</f>
        <v/>
      </c>
      <c r="FK5243" s="36" t="str">
        <f>IF($FH5243="","",SUM($FN5243:$FN$7000))</f>
        <v/>
      </c>
    </row>
    <row r="5244" spans="164:167">
      <c r="FH5244" s="29" t="str">
        <f t="shared" si="136"/>
        <v/>
      </c>
      <c r="FJ5244" s="36" t="str">
        <f>IF($FH5244="","",SUM($FN5244:$FN$7000))</f>
        <v/>
      </c>
      <c r="FK5244" s="36" t="str">
        <f>IF($FH5244="","",SUM($FN5244:$FN$7000))</f>
        <v/>
      </c>
    </row>
    <row r="5245" spans="164:167">
      <c r="FH5245" s="29" t="str">
        <f t="shared" si="136"/>
        <v/>
      </c>
      <c r="FJ5245" s="36" t="str">
        <f>IF($FH5245="","",SUM($FN5245:$FN$7000))</f>
        <v/>
      </c>
      <c r="FK5245" s="36" t="str">
        <f>IF($FH5245="","",SUM($FN5245:$FN$7000))</f>
        <v/>
      </c>
    </row>
    <row r="5246" spans="164:167">
      <c r="FH5246" s="29" t="str">
        <f t="shared" si="136"/>
        <v/>
      </c>
      <c r="FJ5246" s="36" t="str">
        <f>IF($FH5246="","",SUM($FN5246:$FN$7000))</f>
        <v/>
      </c>
      <c r="FK5246" s="36" t="str">
        <f>IF($FH5246="","",SUM($FN5246:$FN$7000))</f>
        <v/>
      </c>
    </row>
    <row r="5247" spans="164:167">
      <c r="FH5247" s="29" t="str">
        <f t="shared" si="136"/>
        <v/>
      </c>
      <c r="FJ5247" s="36" t="str">
        <f>IF($FH5247="","",SUM($FN5247:$FN$7000))</f>
        <v/>
      </c>
      <c r="FK5247" s="36" t="str">
        <f>IF($FH5247="","",SUM($FN5247:$FN$7000))</f>
        <v/>
      </c>
    </row>
    <row r="5248" spans="164:167">
      <c r="FH5248" s="29" t="str">
        <f t="shared" si="136"/>
        <v/>
      </c>
      <c r="FJ5248" s="36" t="str">
        <f>IF($FH5248="","",SUM($FN5248:$FN$7000))</f>
        <v/>
      </c>
      <c r="FK5248" s="36" t="str">
        <f>IF($FH5248="","",SUM($FN5248:$FN$7000))</f>
        <v/>
      </c>
    </row>
    <row r="5249" spans="164:167">
      <c r="FH5249" s="29" t="str">
        <f t="shared" si="136"/>
        <v/>
      </c>
      <c r="FJ5249" s="36" t="str">
        <f>IF($FH5249="","",SUM($FN5249:$FN$7000))</f>
        <v/>
      </c>
      <c r="FK5249" s="36" t="str">
        <f>IF($FH5249="","",SUM($FN5249:$FN$7000))</f>
        <v/>
      </c>
    </row>
    <row r="5250" spans="164:167">
      <c r="FH5250" s="29" t="str">
        <f t="shared" si="136"/>
        <v/>
      </c>
      <c r="FJ5250" s="36" t="str">
        <f>IF($FH5250="","",SUM($FN5250:$FN$7000))</f>
        <v/>
      </c>
      <c r="FK5250" s="36" t="str">
        <f>IF($FH5250="","",SUM($FN5250:$FN$7000))</f>
        <v/>
      </c>
    </row>
    <row r="5251" spans="164:167">
      <c r="FH5251" s="29" t="str">
        <f t="shared" si="136"/>
        <v/>
      </c>
      <c r="FJ5251" s="36" t="str">
        <f>IF($FH5251="","",SUM($FN5251:$FN$7000))</f>
        <v/>
      </c>
      <c r="FK5251" s="36" t="str">
        <f>IF($FH5251="","",SUM($FN5251:$FN$7000))</f>
        <v/>
      </c>
    </row>
    <row r="5252" spans="164:167">
      <c r="FH5252" s="29" t="str">
        <f t="shared" si="136"/>
        <v/>
      </c>
      <c r="FJ5252" s="36" t="str">
        <f>IF($FH5252="","",SUM($FN5252:$FN$7000))</f>
        <v/>
      </c>
      <c r="FK5252" s="36" t="str">
        <f>IF($FH5252="","",SUM($FN5252:$FN$7000))</f>
        <v/>
      </c>
    </row>
    <row r="5253" spans="164:167">
      <c r="FH5253" s="29" t="str">
        <f t="shared" si="136"/>
        <v/>
      </c>
      <c r="FJ5253" s="36" t="str">
        <f>IF($FH5253="","",SUM($FN5253:$FN$7000))</f>
        <v/>
      </c>
      <c r="FK5253" s="36" t="str">
        <f>IF($FH5253="","",SUM($FN5253:$FN$7000))</f>
        <v/>
      </c>
    </row>
    <row r="5254" spans="164:167">
      <c r="FH5254" s="29" t="str">
        <f t="shared" si="136"/>
        <v/>
      </c>
      <c r="FJ5254" s="36" t="str">
        <f>IF($FH5254="","",SUM($FN5254:$FN$7000))</f>
        <v/>
      </c>
      <c r="FK5254" s="36" t="str">
        <f>IF($FH5254="","",SUM($FN5254:$FN$7000))</f>
        <v/>
      </c>
    </row>
    <row r="5255" spans="164:167">
      <c r="FH5255" s="29" t="str">
        <f t="shared" si="136"/>
        <v/>
      </c>
      <c r="FJ5255" s="36" t="str">
        <f>IF($FH5255="","",SUM($FN5255:$FN$7000))</f>
        <v/>
      </c>
      <c r="FK5255" s="36" t="str">
        <f>IF($FH5255="","",SUM($FN5255:$FN$7000))</f>
        <v/>
      </c>
    </row>
    <row r="5256" spans="164:167">
      <c r="FH5256" s="29" t="str">
        <f t="shared" si="136"/>
        <v/>
      </c>
      <c r="FJ5256" s="36" t="str">
        <f>IF($FH5256="","",SUM($FN5256:$FN$7000))</f>
        <v/>
      </c>
      <c r="FK5256" s="36" t="str">
        <f>IF($FH5256="","",SUM($FN5256:$FN$7000))</f>
        <v/>
      </c>
    </row>
    <row r="5257" spans="164:167">
      <c r="FH5257" s="29" t="str">
        <f t="shared" si="136"/>
        <v/>
      </c>
      <c r="FJ5257" s="36" t="str">
        <f>IF($FH5257="","",SUM($FN5257:$FN$7000))</f>
        <v/>
      </c>
      <c r="FK5257" s="36" t="str">
        <f>IF($FH5257="","",SUM($FN5257:$FN$7000))</f>
        <v/>
      </c>
    </row>
    <row r="5258" spans="164:167">
      <c r="FH5258" s="29" t="str">
        <f t="shared" si="136"/>
        <v/>
      </c>
      <c r="FJ5258" s="36" t="str">
        <f>IF($FH5258="","",SUM($FN5258:$FN$7000))</f>
        <v/>
      </c>
      <c r="FK5258" s="36" t="str">
        <f>IF($FH5258="","",SUM($FN5258:$FN$7000))</f>
        <v/>
      </c>
    </row>
    <row r="5259" spans="164:167">
      <c r="FH5259" s="29" t="str">
        <f t="shared" ref="FH5259:FH5322" si="137">IF(FL5259="","",FL5259)</f>
        <v/>
      </c>
      <c r="FJ5259" s="36" t="str">
        <f>IF($FH5259="","",SUM($FN5259:$FN$7000))</f>
        <v/>
      </c>
      <c r="FK5259" s="36" t="str">
        <f>IF($FH5259="","",SUM($FN5259:$FN$7000))</f>
        <v/>
      </c>
    </row>
    <row r="5260" spans="164:167">
      <c r="FH5260" s="29" t="str">
        <f t="shared" si="137"/>
        <v/>
      </c>
      <c r="FJ5260" s="36" t="str">
        <f>IF($FH5260="","",SUM($FN5260:$FN$7000))</f>
        <v/>
      </c>
      <c r="FK5260" s="36" t="str">
        <f>IF($FH5260="","",SUM($FN5260:$FN$7000))</f>
        <v/>
      </c>
    </row>
    <row r="5261" spans="164:167">
      <c r="FH5261" s="29" t="str">
        <f t="shared" si="137"/>
        <v/>
      </c>
      <c r="FJ5261" s="36" t="str">
        <f>IF($FH5261="","",SUM($FN5261:$FN$7000))</f>
        <v/>
      </c>
      <c r="FK5261" s="36" t="str">
        <f>IF($FH5261="","",SUM($FN5261:$FN$7000))</f>
        <v/>
      </c>
    </row>
    <row r="5262" spans="164:167">
      <c r="FH5262" s="29" t="str">
        <f t="shared" si="137"/>
        <v/>
      </c>
      <c r="FJ5262" s="36" t="str">
        <f>IF($FH5262="","",SUM($FN5262:$FN$7000))</f>
        <v/>
      </c>
      <c r="FK5262" s="36" t="str">
        <f>IF($FH5262="","",SUM($FN5262:$FN$7000))</f>
        <v/>
      </c>
    </row>
    <row r="5263" spans="164:167">
      <c r="FH5263" s="29" t="str">
        <f t="shared" si="137"/>
        <v/>
      </c>
      <c r="FJ5263" s="36" t="str">
        <f>IF($FH5263="","",SUM($FN5263:$FN$7000))</f>
        <v/>
      </c>
      <c r="FK5263" s="36" t="str">
        <f>IF($FH5263="","",SUM($FN5263:$FN$7000))</f>
        <v/>
      </c>
    </row>
    <row r="5264" spans="164:167">
      <c r="FH5264" s="29" t="str">
        <f t="shared" si="137"/>
        <v/>
      </c>
      <c r="FJ5264" s="36" t="str">
        <f>IF($FH5264="","",SUM($FN5264:$FN$7000))</f>
        <v/>
      </c>
      <c r="FK5264" s="36" t="str">
        <f>IF($FH5264="","",SUM($FN5264:$FN$7000))</f>
        <v/>
      </c>
    </row>
    <row r="5265" spans="164:167">
      <c r="FH5265" s="29" t="str">
        <f t="shared" si="137"/>
        <v/>
      </c>
      <c r="FJ5265" s="36" t="str">
        <f>IF($FH5265="","",SUM($FN5265:$FN$7000))</f>
        <v/>
      </c>
      <c r="FK5265" s="36" t="str">
        <f>IF($FH5265="","",SUM($FN5265:$FN$7000))</f>
        <v/>
      </c>
    </row>
    <row r="5266" spans="164:167">
      <c r="FH5266" s="29" t="str">
        <f t="shared" si="137"/>
        <v/>
      </c>
      <c r="FJ5266" s="36" t="str">
        <f>IF($FH5266="","",SUM($FN5266:$FN$7000))</f>
        <v/>
      </c>
      <c r="FK5266" s="36" t="str">
        <f>IF($FH5266="","",SUM($FN5266:$FN$7000))</f>
        <v/>
      </c>
    </row>
    <row r="5267" spans="164:167">
      <c r="FH5267" s="29" t="str">
        <f t="shared" si="137"/>
        <v/>
      </c>
      <c r="FJ5267" s="36" t="str">
        <f>IF($FH5267="","",SUM($FN5267:$FN$7000))</f>
        <v/>
      </c>
      <c r="FK5267" s="36" t="str">
        <f>IF($FH5267="","",SUM($FN5267:$FN$7000))</f>
        <v/>
      </c>
    </row>
    <row r="5268" spans="164:167">
      <c r="FH5268" s="29" t="str">
        <f t="shared" si="137"/>
        <v/>
      </c>
      <c r="FJ5268" s="36" t="str">
        <f>IF($FH5268="","",SUM($FN5268:$FN$7000))</f>
        <v/>
      </c>
      <c r="FK5268" s="36" t="str">
        <f>IF($FH5268="","",SUM($FN5268:$FN$7000))</f>
        <v/>
      </c>
    </row>
    <row r="5269" spans="164:167">
      <c r="FH5269" s="29" t="str">
        <f t="shared" si="137"/>
        <v/>
      </c>
      <c r="FJ5269" s="36" t="str">
        <f>IF($FH5269="","",SUM($FN5269:$FN$7000))</f>
        <v/>
      </c>
      <c r="FK5269" s="36" t="str">
        <f>IF($FH5269="","",SUM($FN5269:$FN$7000))</f>
        <v/>
      </c>
    </row>
    <row r="5270" spans="164:167">
      <c r="FH5270" s="29" t="str">
        <f t="shared" si="137"/>
        <v/>
      </c>
      <c r="FJ5270" s="36" t="str">
        <f>IF($FH5270="","",SUM($FN5270:$FN$7000))</f>
        <v/>
      </c>
      <c r="FK5270" s="36" t="str">
        <f>IF($FH5270="","",SUM($FN5270:$FN$7000))</f>
        <v/>
      </c>
    </row>
    <row r="5271" spans="164:167">
      <c r="FH5271" s="29" t="str">
        <f t="shared" si="137"/>
        <v/>
      </c>
      <c r="FJ5271" s="36" t="str">
        <f>IF($FH5271="","",SUM($FN5271:$FN$7000))</f>
        <v/>
      </c>
      <c r="FK5271" s="36" t="str">
        <f>IF($FH5271="","",SUM($FN5271:$FN$7000))</f>
        <v/>
      </c>
    </row>
    <row r="5272" spans="164:167">
      <c r="FH5272" s="29" t="str">
        <f t="shared" si="137"/>
        <v/>
      </c>
      <c r="FJ5272" s="36" t="str">
        <f>IF($FH5272="","",SUM($FN5272:$FN$7000))</f>
        <v/>
      </c>
      <c r="FK5272" s="36" t="str">
        <f>IF($FH5272="","",SUM($FN5272:$FN$7000))</f>
        <v/>
      </c>
    </row>
    <row r="5273" spans="164:167">
      <c r="FH5273" s="29" t="str">
        <f t="shared" si="137"/>
        <v/>
      </c>
      <c r="FJ5273" s="36" t="str">
        <f>IF($FH5273="","",SUM($FN5273:$FN$7000))</f>
        <v/>
      </c>
      <c r="FK5273" s="36" t="str">
        <f>IF($FH5273="","",SUM($FN5273:$FN$7000))</f>
        <v/>
      </c>
    </row>
    <row r="5274" spans="164:167">
      <c r="FH5274" s="29" t="str">
        <f t="shared" si="137"/>
        <v/>
      </c>
      <c r="FJ5274" s="36" t="str">
        <f>IF($FH5274="","",SUM($FN5274:$FN$7000))</f>
        <v/>
      </c>
      <c r="FK5274" s="36" t="str">
        <f>IF($FH5274="","",SUM($FN5274:$FN$7000))</f>
        <v/>
      </c>
    </row>
    <row r="5275" spans="164:167">
      <c r="FH5275" s="29" t="str">
        <f t="shared" si="137"/>
        <v/>
      </c>
      <c r="FJ5275" s="36" t="str">
        <f>IF($FH5275="","",SUM($FN5275:$FN$7000))</f>
        <v/>
      </c>
      <c r="FK5275" s="36" t="str">
        <f>IF($FH5275="","",SUM($FN5275:$FN$7000))</f>
        <v/>
      </c>
    </row>
    <row r="5276" spans="164:167">
      <c r="FH5276" s="29" t="str">
        <f t="shared" si="137"/>
        <v/>
      </c>
      <c r="FJ5276" s="36" t="str">
        <f>IF($FH5276="","",SUM($FN5276:$FN$7000))</f>
        <v/>
      </c>
      <c r="FK5276" s="36" t="str">
        <f>IF($FH5276="","",SUM($FN5276:$FN$7000))</f>
        <v/>
      </c>
    </row>
    <row r="5277" spans="164:167">
      <c r="FH5277" s="29" t="str">
        <f t="shared" si="137"/>
        <v/>
      </c>
      <c r="FJ5277" s="36" t="str">
        <f>IF($FH5277="","",SUM($FN5277:$FN$7000))</f>
        <v/>
      </c>
      <c r="FK5277" s="36" t="str">
        <f>IF($FH5277="","",SUM($FN5277:$FN$7000))</f>
        <v/>
      </c>
    </row>
    <row r="5278" spans="164:167">
      <c r="FH5278" s="29" t="str">
        <f t="shared" si="137"/>
        <v/>
      </c>
      <c r="FJ5278" s="36" t="str">
        <f>IF($FH5278="","",SUM($FN5278:$FN$7000))</f>
        <v/>
      </c>
      <c r="FK5278" s="36" t="str">
        <f>IF($FH5278="","",SUM($FN5278:$FN$7000))</f>
        <v/>
      </c>
    </row>
    <row r="5279" spans="164:167">
      <c r="FH5279" s="29" t="str">
        <f t="shared" si="137"/>
        <v/>
      </c>
      <c r="FJ5279" s="36" t="str">
        <f>IF($FH5279="","",SUM($FN5279:$FN$7000))</f>
        <v/>
      </c>
      <c r="FK5279" s="36" t="str">
        <f>IF($FH5279="","",SUM($FN5279:$FN$7000))</f>
        <v/>
      </c>
    </row>
    <row r="5280" spans="164:167">
      <c r="FH5280" s="29" t="str">
        <f t="shared" si="137"/>
        <v/>
      </c>
      <c r="FJ5280" s="36" t="str">
        <f>IF($FH5280="","",SUM($FN5280:$FN$7000))</f>
        <v/>
      </c>
      <c r="FK5280" s="36" t="str">
        <f>IF($FH5280="","",SUM($FN5280:$FN$7000))</f>
        <v/>
      </c>
    </row>
    <row r="5281" spans="164:167">
      <c r="FH5281" s="29" t="str">
        <f t="shared" si="137"/>
        <v/>
      </c>
      <c r="FJ5281" s="36" t="str">
        <f>IF($FH5281="","",SUM($FN5281:$FN$7000))</f>
        <v/>
      </c>
      <c r="FK5281" s="36" t="str">
        <f>IF($FH5281="","",SUM($FN5281:$FN$7000))</f>
        <v/>
      </c>
    </row>
    <row r="5282" spans="164:167">
      <c r="FH5282" s="29" t="str">
        <f t="shared" si="137"/>
        <v/>
      </c>
      <c r="FJ5282" s="36" t="str">
        <f>IF($FH5282="","",SUM($FN5282:$FN$7000))</f>
        <v/>
      </c>
      <c r="FK5282" s="36" t="str">
        <f>IF($FH5282="","",SUM($FN5282:$FN$7000))</f>
        <v/>
      </c>
    </row>
    <row r="5283" spans="164:167">
      <c r="FH5283" s="29" t="str">
        <f t="shared" si="137"/>
        <v/>
      </c>
      <c r="FJ5283" s="36" t="str">
        <f>IF($FH5283="","",SUM($FN5283:$FN$7000))</f>
        <v/>
      </c>
      <c r="FK5283" s="36" t="str">
        <f>IF($FH5283="","",SUM($FN5283:$FN$7000))</f>
        <v/>
      </c>
    </row>
    <row r="5284" spans="164:167">
      <c r="FH5284" s="29" t="str">
        <f t="shared" si="137"/>
        <v/>
      </c>
      <c r="FJ5284" s="36" t="str">
        <f>IF($FH5284="","",SUM($FN5284:$FN$7000))</f>
        <v/>
      </c>
      <c r="FK5284" s="36" t="str">
        <f>IF($FH5284="","",SUM($FN5284:$FN$7000))</f>
        <v/>
      </c>
    </row>
    <row r="5285" spans="164:167">
      <c r="FH5285" s="29" t="str">
        <f t="shared" si="137"/>
        <v/>
      </c>
      <c r="FJ5285" s="36" t="str">
        <f>IF($FH5285="","",SUM($FN5285:$FN$7000))</f>
        <v/>
      </c>
      <c r="FK5285" s="36" t="str">
        <f>IF($FH5285="","",SUM($FN5285:$FN$7000))</f>
        <v/>
      </c>
    </row>
    <row r="5286" spans="164:167">
      <c r="FH5286" s="29" t="str">
        <f t="shared" si="137"/>
        <v/>
      </c>
      <c r="FJ5286" s="36" t="str">
        <f>IF($FH5286="","",SUM($FN5286:$FN$7000))</f>
        <v/>
      </c>
      <c r="FK5286" s="36" t="str">
        <f>IF($FH5286="","",SUM($FN5286:$FN$7000))</f>
        <v/>
      </c>
    </row>
    <row r="5287" spans="164:167">
      <c r="FH5287" s="29" t="str">
        <f t="shared" si="137"/>
        <v/>
      </c>
      <c r="FJ5287" s="36" t="str">
        <f>IF($FH5287="","",SUM($FN5287:$FN$7000))</f>
        <v/>
      </c>
      <c r="FK5287" s="36" t="str">
        <f>IF($FH5287="","",SUM($FN5287:$FN$7000))</f>
        <v/>
      </c>
    </row>
    <row r="5288" spans="164:167">
      <c r="FH5288" s="29" t="str">
        <f t="shared" si="137"/>
        <v/>
      </c>
      <c r="FJ5288" s="36" t="str">
        <f>IF($FH5288="","",SUM($FN5288:$FN$7000))</f>
        <v/>
      </c>
      <c r="FK5288" s="36" t="str">
        <f>IF($FH5288="","",SUM($FN5288:$FN$7000))</f>
        <v/>
      </c>
    </row>
    <row r="5289" spans="164:167">
      <c r="FH5289" s="29" t="str">
        <f t="shared" si="137"/>
        <v/>
      </c>
      <c r="FJ5289" s="36" t="str">
        <f>IF($FH5289="","",SUM($FN5289:$FN$7000))</f>
        <v/>
      </c>
      <c r="FK5289" s="36" t="str">
        <f>IF($FH5289="","",SUM($FN5289:$FN$7000))</f>
        <v/>
      </c>
    </row>
    <row r="5290" spans="164:167">
      <c r="FH5290" s="29" t="str">
        <f t="shared" si="137"/>
        <v/>
      </c>
      <c r="FJ5290" s="36" t="str">
        <f>IF($FH5290="","",SUM($FN5290:$FN$7000))</f>
        <v/>
      </c>
      <c r="FK5290" s="36" t="str">
        <f>IF($FH5290="","",SUM($FN5290:$FN$7000))</f>
        <v/>
      </c>
    </row>
    <row r="5291" spans="164:167">
      <c r="FH5291" s="29" t="str">
        <f t="shared" si="137"/>
        <v/>
      </c>
      <c r="FJ5291" s="36" t="str">
        <f>IF($FH5291="","",SUM($FN5291:$FN$7000))</f>
        <v/>
      </c>
      <c r="FK5291" s="36" t="str">
        <f>IF($FH5291="","",SUM($FN5291:$FN$7000))</f>
        <v/>
      </c>
    </row>
    <row r="5292" spans="164:167">
      <c r="FH5292" s="29" t="str">
        <f t="shared" si="137"/>
        <v/>
      </c>
      <c r="FJ5292" s="36" t="str">
        <f>IF($FH5292="","",SUM($FN5292:$FN$7000))</f>
        <v/>
      </c>
      <c r="FK5292" s="36" t="str">
        <f>IF($FH5292="","",SUM($FN5292:$FN$7000))</f>
        <v/>
      </c>
    </row>
    <row r="5293" spans="164:167">
      <c r="FH5293" s="29" t="str">
        <f t="shared" si="137"/>
        <v/>
      </c>
      <c r="FJ5293" s="36" t="str">
        <f>IF($FH5293="","",SUM($FN5293:$FN$7000))</f>
        <v/>
      </c>
      <c r="FK5293" s="36" t="str">
        <f>IF($FH5293="","",SUM($FN5293:$FN$7000))</f>
        <v/>
      </c>
    </row>
    <row r="5294" spans="164:167">
      <c r="FH5294" s="29" t="str">
        <f t="shared" si="137"/>
        <v/>
      </c>
      <c r="FJ5294" s="36" t="str">
        <f>IF($FH5294="","",SUM($FN5294:$FN$7000))</f>
        <v/>
      </c>
      <c r="FK5294" s="36" t="str">
        <f>IF($FH5294="","",SUM($FN5294:$FN$7000))</f>
        <v/>
      </c>
    </row>
    <row r="5295" spans="164:167">
      <c r="FH5295" s="29" t="str">
        <f t="shared" si="137"/>
        <v/>
      </c>
      <c r="FJ5295" s="36" t="str">
        <f>IF($FH5295="","",SUM($FN5295:$FN$7000))</f>
        <v/>
      </c>
      <c r="FK5295" s="36" t="str">
        <f>IF($FH5295="","",SUM($FN5295:$FN$7000))</f>
        <v/>
      </c>
    </row>
    <row r="5296" spans="164:167">
      <c r="FH5296" s="29" t="str">
        <f t="shared" si="137"/>
        <v/>
      </c>
      <c r="FJ5296" s="36" t="str">
        <f>IF($FH5296="","",SUM($FN5296:$FN$7000))</f>
        <v/>
      </c>
      <c r="FK5296" s="36" t="str">
        <f>IF($FH5296="","",SUM($FN5296:$FN$7000))</f>
        <v/>
      </c>
    </row>
    <row r="5297" spans="164:167">
      <c r="FH5297" s="29" t="str">
        <f t="shared" si="137"/>
        <v/>
      </c>
      <c r="FJ5297" s="36" t="str">
        <f>IF($FH5297="","",SUM($FN5297:$FN$7000))</f>
        <v/>
      </c>
      <c r="FK5297" s="36" t="str">
        <f>IF($FH5297="","",SUM($FN5297:$FN$7000))</f>
        <v/>
      </c>
    </row>
    <row r="5298" spans="164:167">
      <c r="FH5298" s="29" t="str">
        <f t="shared" si="137"/>
        <v/>
      </c>
      <c r="FJ5298" s="36" t="str">
        <f>IF($FH5298="","",SUM($FN5298:$FN$7000))</f>
        <v/>
      </c>
      <c r="FK5298" s="36" t="str">
        <f>IF($FH5298="","",SUM($FN5298:$FN$7000))</f>
        <v/>
      </c>
    </row>
    <row r="5299" spans="164:167">
      <c r="FH5299" s="29" t="str">
        <f t="shared" si="137"/>
        <v/>
      </c>
      <c r="FJ5299" s="36" t="str">
        <f>IF($FH5299="","",SUM($FN5299:$FN$7000))</f>
        <v/>
      </c>
      <c r="FK5299" s="36" t="str">
        <f>IF($FH5299="","",SUM($FN5299:$FN$7000))</f>
        <v/>
      </c>
    </row>
    <row r="5300" spans="164:167">
      <c r="FH5300" s="29" t="str">
        <f t="shared" si="137"/>
        <v/>
      </c>
      <c r="FJ5300" s="36" t="str">
        <f>IF($FH5300="","",SUM($FN5300:$FN$7000))</f>
        <v/>
      </c>
      <c r="FK5300" s="36" t="str">
        <f>IF($FH5300="","",SUM($FN5300:$FN$7000))</f>
        <v/>
      </c>
    </row>
    <row r="5301" spans="164:167">
      <c r="FH5301" s="29" t="str">
        <f t="shared" si="137"/>
        <v/>
      </c>
      <c r="FJ5301" s="36" t="str">
        <f>IF($FH5301="","",SUM($FN5301:$FN$7000))</f>
        <v/>
      </c>
      <c r="FK5301" s="36" t="str">
        <f>IF($FH5301="","",SUM($FN5301:$FN$7000))</f>
        <v/>
      </c>
    </row>
    <row r="5302" spans="164:167">
      <c r="FH5302" s="29" t="str">
        <f t="shared" si="137"/>
        <v/>
      </c>
      <c r="FJ5302" s="36" t="str">
        <f>IF($FH5302="","",SUM($FN5302:$FN$7000))</f>
        <v/>
      </c>
      <c r="FK5302" s="36" t="str">
        <f>IF($FH5302="","",SUM($FN5302:$FN$7000))</f>
        <v/>
      </c>
    </row>
    <row r="5303" spans="164:167">
      <c r="FH5303" s="29" t="str">
        <f t="shared" si="137"/>
        <v/>
      </c>
      <c r="FJ5303" s="36" t="str">
        <f>IF($FH5303="","",SUM($FN5303:$FN$7000))</f>
        <v/>
      </c>
      <c r="FK5303" s="36" t="str">
        <f>IF($FH5303="","",SUM($FN5303:$FN$7000))</f>
        <v/>
      </c>
    </row>
    <row r="5304" spans="164:167">
      <c r="FH5304" s="29" t="str">
        <f t="shared" si="137"/>
        <v/>
      </c>
      <c r="FJ5304" s="36" t="str">
        <f>IF($FH5304="","",SUM($FN5304:$FN$7000))</f>
        <v/>
      </c>
      <c r="FK5304" s="36" t="str">
        <f>IF($FH5304="","",SUM($FN5304:$FN$7000))</f>
        <v/>
      </c>
    </row>
    <row r="5305" spans="164:167">
      <c r="FH5305" s="29" t="str">
        <f t="shared" si="137"/>
        <v/>
      </c>
      <c r="FJ5305" s="36" t="str">
        <f>IF($FH5305="","",SUM($FN5305:$FN$7000))</f>
        <v/>
      </c>
      <c r="FK5305" s="36" t="str">
        <f>IF($FH5305="","",SUM($FN5305:$FN$7000))</f>
        <v/>
      </c>
    </row>
    <row r="5306" spans="164:167">
      <c r="FH5306" s="29" t="str">
        <f t="shared" si="137"/>
        <v/>
      </c>
      <c r="FJ5306" s="36" t="str">
        <f>IF($FH5306="","",SUM($FN5306:$FN$7000))</f>
        <v/>
      </c>
      <c r="FK5306" s="36" t="str">
        <f>IF($FH5306="","",SUM($FN5306:$FN$7000))</f>
        <v/>
      </c>
    </row>
    <row r="5307" spans="164:167">
      <c r="FH5307" s="29" t="str">
        <f t="shared" si="137"/>
        <v/>
      </c>
      <c r="FJ5307" s="36" t="str">
        <f>IF($FH5307="","",SUM($FN5307:$FN$7000))</f>
        <v/>
      </c>
      <c r="FK5307" s="36" t="str">
        <f>IF($FH5307="","",SUM($FN5307:$FN$7000))</f>
        <v/>
      </c>
    </row>
    <row r="5308" spans="164:167">
      <c r="FH5308" s="29" t="str">
        <f t="shared" si="137"/>
        <v/>
      </c>
      <c r="FJ5308" s="36" t="str">
        <f>IF($FH5308="","",SUM($FN5308:$FN$7000))</f>
        <v/>
      </c>
      <c r="FK5308" s="36" t="str">
        <f>IF($FH5308="","",SUM($FN5308:$FN$7000))</f>
        <v/>
      </c>
    </row>
    <row r="5309" spans="164:167">
      <c r="FH5309" s="29" t="str">
        <f t="shared" si="137"/>
        <v/>
      </c>
      <c r="FJ5309" s="36" t="str">
        <f>IF($FH5309="","",SUM($FN5309:$FN$7000))</f>
        <v/>
      </c>
      <c r="FK5309" s="36" t="str">
        <f>IF($FH5309="","",SUM($FN5309:$FN$7000))</f>
        <v/>
      </c>
    </row>
    <row r="5310" spans="164:167">
      <c r="FH5310" s="29" t="str">
        <f t="shared" si="137"/>
        <v/>
      </c>
      <c r="FJ5310" s="36" t="str">
        <f>IF($FH5310="","",SUM($FN5310:$FN$7000))</f>
        <v/>
      </c>
      <c r="FK5310" s="36" t="str">
        <f>IF($FH5310="","",SUM($FN5310:$FN$7000))</f>
        <v/>
      </c>
    </row>
    <row r="5311" spans="164:167">
      <c r="FH5311" s="29" t="str">
        <f t="shared" si="137"/>
        <v/>
      </c>
      <c r="FJ5311" s="36" t="str">
        <f>IF($FH5311="","",SUM($FN5311:$FN$7000))</f>
        <v/>
      </c>
      <c r="FK5311" s="36" t="str">
        <f>IF($FH5311="","",SUM($FN5311:$FN$7000))</f>
        <v/>
      </c>
    </row>
    <row r="5312" spans="164:167">
      <c r="FH5312" s="29" t="str">
        <f t="shared" si="137"/>
        <v/>
      </c>
      <c r="FJ5312" s="36" t="str">
        <f>IF($FH5312="","",SUM($FN5312:$FN$7000))</f>
        <v/>
      </c>
      <c r="FK5312" s="36" t="str">
        <f>IF($FH5312="","",SUM($FN5312:$FN$7000))</f>
        <v/>
      </c>
    </row>
    <row r="5313" spans="164:167">
      <c r="FH5313" s="29" t="str">
        <f t="shared" si="137"/>
        <v/>
      </c>
      <c r="FJ5313" s="36" t="str">
        <f>IF($FH5313="","",SUM($FN5313:$FN$7000))</f>
        <v/>
      </c>
      <c r="FK5313" s="36" t="str">
        <f>IF($FH5313="","",SUM($FN5313:$FN$7000))</f>
        <v/>
      </c>
    </row>
    <row r="5314" spans="164:167">
      <c r="FH5314" s="29" t="str">
        <f t="shared" si="137"/>
        <v/>
      </c>
      <c r="FJ5314" s="36" t="str">
        <f>IF($FH5314="","",SUM($FN5314:$FN$7000))</f>
        <v/>
      </c>
      <c r="FK5314" s="36" t="str">
        <f>IF($FH5314="","",SUM($FN5314:$FN$7000))</f>
        <v/>
      </c>
    </row>
    <row r="5315" spans="164:167">
      <c r="FH5315" s="29" t="str">
        <f t="shared" si="137"/>
        <v/>
      </c>
      <c r="FJ5315" s="36" t="str">
        <f>IF($FH5315="","",SUM($FN5315:$FN$7000))</f>
        <v/>
      </c>
      <c r="FK5315" s="36" t="str">
        <f>IF($FH5315="","",SUM($FN5315:$FN$7000))</f>
        <v/>
      </c>
    </row>
    <row r="5316" spans="164:167">
      <c r="FH5316" s="29" t="str">
        <f t="shared" si="137"/>
        <v/>
      </c>
      <c r="FJ5316" s="36" t="str">
        <f>IF($FH5316="","",SUM($FN5316:$FN$7000))</f>
        <v/>
      </c>
      <c r="FK5316" s="36" t="str">
        <f>IF($FH5316="","",SUM($FN5316:$FN$7000))</f>
        <v/>
      </c>
    </row>
    <row r="5317" spans="164:167">
      <c r="FH5317" s="29" t="str">
        <f t="shared" si="137"/>
        <v/>
      </c>
      <c r="FJ5317" s="36" t="str">
        <f>IF($FH5317="","",SUM($FN5317:$FN$7000))</f>
        <v/>
      </c>
      <c r="FK5317" s="36" t="str">
        <f>IF($FH5317="","",SUM($FN5317:$FN$7000))</f>
        <v/>
      </c>
    </row>
    <row r="5318" spans="164:167">
      <c r="FH5318" s="29" t="str">
        <f t="shared" si="137"/>
        <v/>
      </c>
      <c r="FJ5318" s="36" t="str">
        <f>IF($FH5318="","",SUM($FN5318:$FN$7000))</f>
        <v/>
      </c>
      <c r="FK5318" s="36" t="str">
        <f>IF($FH5318="","",SUM($FN5318:$FN$7000))</f>
        <v/>
      </c>
    </row>
    <row r="5319" spans="164:167">
      <c r="FH5319" s="29" t="str">
        <f t="shared" si="137"/>
        <v/>
      </c>
      <c r="FJ5319" s="36" t="str">
        <f>IF($FH5319="","",SUM($FN5319:$FN$7000))</f>
        <v/>
      </c>
      <c r="FK5319" s="36" t="str">
        <f>IF($FH5319="","",SUM($FN5319:$FN$7000))</f>
        <v/>
      </c>
    </row>
    <row r="5320" spans="164:167">
      <c r="FH5320" s="29" t="str">
        <f t="shared" si="137"/>
        <v/>
      </c>
      <c r="FJ5320" s="36" t="str">
        <f>IF($FH5320="","",SUM($FN5320:$FN$7000))</f>
        <v/>
      </c>
      <c r="FK5320" s="36" t="str">
        <f>IF($FH5320="","",SUM($FN5320:$FN$7000))</f>
        <v/>
      </c>
    </row>
    <row r="5321" spans="164:167">
      <c r="FH5321" s="29" t="str">
        <f t="shared" si="137"/>
        <v/>
      </c>
      <c r="FJ5321" s="36" t="str">
        <f>IF($FH5321="","",SUM($FN5321:$FN$7000))</f>
        <v/>
      </c>
      <c r="FK5321" s="36" t="str">
        <f>IF($FH5321="","",SUM($FN5321:$FN$7000))</f>
        <v/>
      </c>
    </row>
    <row r="5322" spans="164:167">
      <c r="FH5322" s="29" t="str">
        <f t="shared" si="137"/>
        <v/>
      </c>
      <c r="FJ5322" s="36" t="str">
        <f>IF($FH5322="","",SUM($FN5322:$FN$7000))</f>
        <v/>
      </c>
      <c r="FK5322" s="36" t="str">
        <f>IF($FH5322="","",SUM($FN5322:$FN$7000))</f>
        <v/>
      </c>
    </row>
    <row r="5323" spans="164:167">
      <c r="FH5323" s="29" t="str">
        <f t="shared" ref="FH5323:FH5386" si="138">IF(FL5323="","",FL5323)</f>
        <v/>
      </c>
      <c r="FJ5323" s="36" t="str">
        <f>IF($FH5323="","",SUM($FN5323:$FN$7000))</f>
        <v/>
      </c>
      <c r="FK5323" s="36" t="str">
        <f>IF($FH5323="","",SUM($FN5323:$FN$7000))</f>
        <v/>
      </c>
    </row>
    <row r="5324" spans="164:167">
      <c r="FH5324" s="29" t="str">
        <f t="shared" si="138"/>
        <v/>
      </c>
      <c r="FJ5324" s="36" t="str">
        <f>IF($FH5324="","",SUM($FN5324:$FN$7000))</f>
        <v/>
      </c>
      <c r="FK5324" s="36" t="str">
        <f>IF($FH5324="","",SUM($FN5324:$FN$7000))</f>
        <v/>
      </c>
    </row>
    <row r="5325" spans="164:167">
      <c r="FH5325" s="29" t="str">
        <f t="shared" si="138"/>
        <v/>
      </c>
      <c r="FJ5325" s="36" t="str">
        <f>IF($FH5325="","",SUM($FN5325:$FN$7000))</f>
        <v/>
      </c>
      <c r="FK5325" s="36" t="str">
        <f>IF($FH5325="","",SUM($FN5325:$FN$7000))</f>
        <v/>
      </c>
    </row>
    <row r="5326" spans="164:167">
      <c r="FH5326" s="29" t="str">
        <f t="shared" si="138"/>
        <v/>
      </c>
      <c r="FJ5326" s="36" t="str">
        <f>IF($FH5326="","",SUM($FN5326:$FN$7000))</f>
        <v/>
      </c>
      <c r="FK5326" s="36" t="str">
        <f>IF($FH5326="","",SUM($FN5326:$FN$7000))</f>
        <v/>
      </c>
    </row>
    <row r="5327" spans="164:167">
      <c r="FH5327" s="29" t="str">
        <f t="shared" si="138"/>
        <v/>
      </c>
      <c r="FJ5327" s="36" t="str">
        <f>IF($FH5327="","",SUM($FN5327:$FN$7000))</f>
        <v/>
      </c>
      <c r="FK5327" s="36" t="str">
        <f>IF($FH5327="","",SUM($FN5327:$FN$7000))</f>
        <v/>
      </c>
    </row>
    <row r="5328" spans="164:167">
      <c r="FH5328" s="29" t="str">
        <f t="shared" si="138"/>
        <v/>
      </c>
      <c r="FJ5328" s="36" t="str">
        <f>IF($FH5328="","",SUM($FN5328:$FN$7000))</f>
        <v/>
      </c>
      <c r="FK5328" s="36" t="str">
        <f>IF($FH5328="","",SUM($FN5328:$FN$7000))</f>
        <v/>
      </c>
    </row>
    <row r="5329" spans="164:167">
      <c r="FH5329" s="29" t="str">
        <f t="shared" si="138"/>
        <v/>
      </c>
      <c r="FJ5329" s="36" t="str">
        <f>IF($FH5329="","",SUM($FN5329:$FN$7000))</f>
        <v/>
      </c>
      <c r="FK5329" s="36" t="str">
        <f>IF($FH5329="","",SUM($FN5329:$FN$7000))</f>
        <v/>
      </c>
    </row>
    <row r="5330" spans="164:167">
      <c r="FH5330" s="29" t="str">
        <f t="shared" si="138"/>
        <v/>
      </c>
      <c r="FJ5330" s="36" t="str">
        <f>IF($FH5330="","",SUM($FN5330:$FN$7000))</f>
        <v/>
      </c>
      <c r="FK5330" s="36" t="str">
        <f>IF($FH5330="","",SUM($FN5330:$FN$7000))</f>
        <v/>
      </c>
    </row>
    <row r="5331" spans="164:167">
      <c r="FH5331" s="29" t="str">
        <f t="shared" si="138"/>
        <v/>
      </c>
      <c r="FJ5331" s="36" t="str">
        <f>IF($FH5331="","",SUM($FN5331:$FN$7000))</f>
        <v/>
      </c>
      <c r="FK5331" s="36" t="str">
        <f>IF($FH5331="","",SUM($FN5331:$FN$7000))</f>
        <v/>
      </c>
    </row>
    <row r="5332" spans="164:167">
      <c r="FH5332" s="29" t="str">
        <f t="shared" si="138"/>
        <v/>
      </c>
      <c r="FJ5332" s="36" t="str">
        <f>IF($FH5332="","",SUM($FN5332:$FN$7000))</f>
        <v/>
      </c>
      <c r="FK5332" s="36" t="str">
        <f>IF($FH5332="","",SUM($FN5332:$FN$7000))</f>
        <v/>
      </c>
    </row>
    <row r="5333" spans="164:167">
      <c r="FH5333" s="29" t="str">
        <f t="shared" si="138"/>
        <v/>
      </c>
      <c r="FJ5333" s="36" t="str">
        <f>IF($FH5333="","",SUM($FN5333:$FN$7000))</f>
        <v/>
      </c>
      <c r="FK5333" s="36" t="str">
        <f>IF($FH5333="","",SUM($FN5333:$FN$7000))</f>
        <v/>
      </c>
    </row>
    <row r="5334" spans="164:167">
      <c r="FH5334" s="29" t="str">
        <f t="shared" si="138"/>
        <v/>
      </c>
      <c r="FJ5334" s="36" t="str">
        <f>IF($FH5334="","",SUM($FN5334:$FN$7000))</f>
        <v/>
      </c>
      <c r="FK5334" s="36" t="str">
        <f>IF($FH5334="","",SUM($FN5334:$FN$7000))</f>
        <v/>
      </c>
    </row>
    <row r="5335" spans="164:167">
      <c r="FH5335" s="29" t="str">
        <f t="shared" si="138"/>
        <v/>
      </c>
      <c r="FJ5335" s="36" t="str">
        <f>IF($FH5335="","",SUM($FN5335:$FN$7000))</f>
        <v/>
      </c>
      <c r="FK5335" s="36" t="str">
        <f>IF($FH5335="","",SUM($FN5335:$FN$7000))</f>
        <v/>
      </c>
    </row>
    <row r="5336" spans="164:167">
      <c r="FH5336" s="29" t="str">
        <f t="shared" si="138"/>
        <v/>
      </c>
      <c r="FJ5336" s="36" t="str">
        <f>IF($FH5336="","",SUM($FN5336:$FN$7000))</f>
        <v/>
      </c>
      <c r="FK5336" s="36" t="str">
        <f>IF($FH5336="","",SUM($FN5336:$FN$7000))</f>
        <v/>
      </c>
    </row>
    <row r="5337" spans="164:167">
      <c r="FH5337" s="29" t="str">
        <f t="shared" si="138"/>
        <v/>
      </c>
      <c r="FJ5337" s="36" t="str">
        <f>IF($FH5337="","",SUM($FN5337:$FN$7000))</f>
        <v/>
      </c>
      <c r="FK5337" s="36" t="str">
        <f>IF($FH5337="","",SUM($FN5337:$FN$7000))</f>
        <v/>
      </c>
    </row>
    <row r="5338" spans="164:167">
      <c r="FH5338" s="29" t="str">
        <f t="shared" si="138"/>
        <v/>
      </c>
      <c r="FJ5338" s="36" t="str">
        <f>IF($FH5338="","",SUM($FN5338:$FN$7000))</f>
        <v/>
      </c>
      <c r="FK5338" s="36" t="str">
        <f>IF($FH5338="","",SUM($FN5338:$FN$7000))</f>
        <v/>
      </c>
    </row>
    <row r="5339" spans="164:167">
      <c r="FH5339" s="29" t="str">
        <f t="shared" si="138"/>
        <v/>
      </c>
      <c r="FJ5339" s="36" t="str">
        <f>IF($FH5339="","",SUM($FN5339:$FN$7000))</f>
        <v/>
      </c>
      <c r="FK5339" s="36" t="str">
        <f>IF($FH5339="","",SUM($FN5339:$FN$7000))</f>
        <v/>
      </c>
    </row>
    <row r="5340" spans="164:167">
      <c r="FH5340" s="29" t="str">
        <f t="shared" si="138"/>
        <v/>
      </c>
      <c r="FJ5340" s="36" t="str">
        <f>IF($FH5340="","",SUM($FN5340:$FN$7000))</f>
        <v/>
      </c>
      <c r="FK5340" s="36" t="str">
        <f>IF($FH5340="","",SUM($FN5340:$FN$7000))</f>
        <v/>
      </c>
    </row>
    <row r="5341" spans="164:167">
      <c r="FH5341" s="29" t="str">
        <f t="shared" si="138"/>
        <v/>
      </c>
      <c r="FJ5341" s="36" t="str">
        <f>IF($FH5341="","",SUM($FN5341:$FN$7000))</f>
        <v/>
      </c>
      <c r="FK5341" s="36" t="str">
        <f>IF($FH5341="","",SUM($FN5341:$FN$7000))</f>
        <v/>
      </c>
    </row>
    <row r="5342" spans="164:167">
      <c r="FH5342" s="29" t="str">
        <f t="shared" si="138"/>
        <v/>
      </c>
      <c r="FJ5342" s="36" t="str">
        <f>IF($FH5342="","",SUM($FN5342:$FN$7000))</f>
        <v/>
      </c>
      <c r="FK5342" s="36" t="str">
        <f>IF($FH5342="","",SUM($FN5342:$FN$7000))</f>
        <v/>
      </c>
    </row>
    <row r="5343" spans="164:167">
      <c r="FH5343" s="29" t="str">
        <f t="shared" si="138"/>
        <v/>
      </c>
      <c r="FJ5343" s="36" t="str">
        <f>IF($FH5343="","",SUM($FN5343:$FN$7000))</f>
        <v/>
      </c>
      <c r="FK5343" s="36" t="str">
        <f>IF($FH5343="","",SUM($FN5343:$FN$7000))</f>
        <v/>
      </c>
    </row>
    <row r="5344" spans="164:167">
      <c r="FH5344" s="29" t="str">
        <f t="shared" si="138"/>
        <v/>
      </c>
      <c r="FJ5344" s="36" t="str">
        <f>IF($FH5344="","",SUM($FN5344:$FN$7000))</f>
        <v/>
      </c>
      <c r="FK5344" s="36" t="str">
        <f>IF($FH5344="","",SUM($FN5344:$FN$7000))</f>
        <v/>
      </c>
    </row>
    <row r="5345" spans="164:167">
      <c r="FH5345" s="29" t="str">
        <f t="shared" si="138"/>
        <v/>
      </c>
      <c r="FJ5345" s="36" t="str">
        <f>IF($FH5345="","",SUM($FN5345:$FN$7000))</f>
        <v/>
      </c>
      <c r="FK5345" s="36" t="str">
        <f>IF($FH5345="","",SUM($FN5345:$FN$7000))</f>
        <v/>
      </c>
    </row>
    <row r="5346" spans="164:167">
      <c r="FH5346" s="29" t="str">
        <f t="shared" si="138"/>
        <v/>
      </c>
      <c r="FJ5346" s="36" t="str">
        <f>IF($FH5346="","",SUM($FN5346:$FN$7000))</f>
        <v/>
      </c>
      <c r="FK5346" s="36" t="str">
        <f>IF($FH5346="","",SUM($FN5346:$FN$7000))</f>
        <v/>
      </c>
    </row>
    <row r="5347" spans="164:167">
      <c r="FH5347" s="29" t="str">
        <f t="shared" si="138"/>
        <v/>
      </c>
      <c r="FJ5347" s="36" t="str">
        <f>IF($FH5347="","",SUM($FN5347:$FN$7000))</f>
        <v/>
      </c>
      <c r="FK5347" s="36" t="str">
        <f>IF($FH5347="","",SUM($FN5347:$FN$7000))</f>
        <v/>
      </c>
    </row>
    <row r="5348" spans="164:167">
      <c r="FH5348" s="29" t="str">
        <f t="shared" si="138"/>
        <v/>
      </c>
      <c r="FJ5348" s="36" t="str">
        <f>IF($FH5348="","",SUM($FN5348:$FN$7000))</f>
        <v/>
      </c>
      <c r="FK5348" s="36" t="str">
        <f>IF($FH5348="","",SUM($FN5348:$FN$7000))</f>
        <v/>
      </c>
    </row>
    <row r="5349" spans="164:167">
      <c r="FH5349" s="29" t="str">
        <f t="shared" si="138"/>
        <v/>
      </c>
      <c r="FJ5349" s="36" t="str">
        <f>IF($FH5349="","",SUM($FN5349:$FN$7000))</f>
        <v/>
      </c>
      <c r="FK5349" s="36" t="str">
        <f>IF($FH5349="","",SUM($FN5349:$FN$7000))</f>
        <v/>
      </c>
    </row>
    <row r="5350" spans="164:167">
      <c r="FH5350" s="29" t="str">
        <f t="shared" si="138"/>
        <v/>
      </c>
      <c r="FJ5350" s="36" t="str">
        <f>IF($FH5350="","",SUM($FN5350:$FN$7000))</f>
        <v/>
      </c>
      <c r="FK5350" s="36" t="str">
        <f>IF($FH5350="","",SUM($FN5350:$FN$7000))</f>
        <v/>
      </c>
    </row>
    <row r="5351" spans="164:167">
      <c r="FH5351" s="29" t="str">
        <f t="shared" si="138"/>
        <v/>
      </c>
      <c r="FJ5351" s="36" t="str">
        <f>IF($FH5351="","",SUM($FN5351:$FN$7000))</f>
        <v/>
      </c>
      <c r="FK5351" s="36" t="str">
        <f>IF($FH5351="","",SUM($FN5351:$FN$7000))</f>
        <v/>
      </c>
    </row>
    <row r="5352" spans="164:167">
      <c r="FH5352" s="29" t="str">
        <f t="shared" si="138"/>
        <v/>
      </c>
      <c r="FJ5352" s="36" t="str">
        <f>IF($FH5352="","",SUM($FN5352:$FN$7000))</f>
        <v/>
      </c>
      <c r="FK5352" s="36" t="str">
        <f>IF($FH5352="","",SUM($FN5352:$FN$7000))</f>
        <v/>
      </c>
    </row>
    <row r="5353" spans="164:167">
      <c r="FH5353" s="29" t="str">
        <f t="shared" si="138"/>
        <v/>
      </c>
      <c r="FJ5353" s="36" t="str">
        <f>IF($FH5353="","",SUM($FN5353:$FN$7000))</f>
        <v/>
      </c>
      <c r="FK5353" s="36" t="str">
        <f>IF($FH5353="","",SUM($FN5353:$FN$7000))</f>
        <v/>
      </c>
    </row>
    <row r="5354" spans="164:167">
      <c r="FH5354" s="29" t="str">
        <f t="shared" si="138"/>
        <v/>
      </c>
      <c r="FJ5354" s="36" t="str">
        <f>IF($FH5354="","",SUM($FN5354:$FN$7000))</f>
        <v/>
      </c>
      <c r="FK5354" s="36" t="str">
        <f>IF($FH5354="","",SUM($FN5354:$FN$7000))</f>
        <v/>
      </c>
    </row>
    <row r="5355" spans="164:167">
      <c r="FH5355" s="29" t="str">
        <f t="shared" si="138"/>
        <v/>
      </c>
      <c r="FJ5355" s="36" t="str">
        <f>IF($FH5355="","",SUM($FN5355:$FN$7000))</f>
        <v/>
      </c>
      <c r="FK5355" s="36" t="str">
        <f>IF($FH5355="","",SUM($FN5355:$FN$7000))</f>
        <v/>
      </c>
    </row>
    <row r="5356" spans="164:167">
      <c r="FH5356" s="29" t="str">
        <f t="shared" si="138"/>
        <v/>
      </c>
      <c r="FJ5356" s="36" t="str">
        <f>IF($FH5356="","",SUM($FN5356:$FN$7000))</f>
        <v/>
      </c>
      <c r="FK5356" s="36" t="str">
        <f>IF($FH5356="","",SUM($FN5356:$FN$7000))</f>
        <v/>
      </c>
    </row>
    <row r="5357" spans="164:167">
      <c r="FH5357" s="29" t="str">
        <f t="shared" si="138"/>
        <v/>
      </c>
      <c r="FJ5357" s="36" t="str">
        <f>IF($FH5357="","",SUM($FN5357:$FN$7000))</f>
        <v/>
      </c>
      <c r="FK5357" s="36" t="str">
        <f>IF($FH5357="","",SUM($FN5357:$FN$7000))</f>
        <v/>
      </c>
    </row>
    <row r="5358" spans="164:167">
      <c r="FH5358" s="29" t="str">
        <f t="shared" si="138"/>
        <v/>
      </c>
      <c r="FJ5358" s="36" t="str">
        <f>IF($FH5358="","",SUM($FN5358:$FN$7000))</f>
        <v/>
      </c>
      <c r="FK5358" s="36" t="str">
        <f>IF($FH5358="","",SUM($FN5358:$FN$7000))</f>
        <v/>
      </c>
    </row>
    <row r="5359" spans="164:167">
      <c r="FH5359" s="29" t="str">
        <f t="shared" si="138"/>
        <v/>
      </c>
      <c r="FJ5359" s="36" t="str">
        <f>IF($FH5359="","",SUM($FN5359:$FN$7000))</f>
        <v/>
      </c>
      <c r="FK5359" s="36" t="str">
        <f>IF($FH5359="","",SUM($FN5359:$FN$7000))</f>
        <v/>
      </c>
    </row>
    <row r="5360" spans="164:167">
      <c r="FH5360" s="29" t="str">
        <f t="shared" si="138"/>
        <v/>
      </c>
      <c r="FJ5360" s="36" t="str">
        <f>IF($FH5360="","",SUM($FN5360:$FN$7000))</f>
        <v/>
      </c>
      <c r="FK5360" s="36" t="str">
        <f>IF($FH5360="","",SUM($FN5360:$FN$7000))</f>
        <v/>
      </c>
    </row>
    <row r="5361" spans="164:167">
      <c r="FH5361" s="29" t="str">
        <f t="shared" si="138"/>
        <v/>
      </c>
      <c r="FJ5361" s="36" t="str">
        <f>IF($FH5361="","",SUM($FN5361:$FN$7000))</f>
        <v/>
      </c>
      <c r="FK5361" s="36" t="str">
        <f>IF($FH5361="","",SUM($FN5361:$FN$7000))</f>
        <v/>
      </c>
    </row>
    <row r="5362" spans="164:167">
      <c r="FH5362" s="29" t="str">
        <f t="shared" si="138"/>
        <v/>
      </c>
      <c r="FJ5362" s="36" t="str">
        <f>IF($FH5362="","",SUM($FN5362:$FN$7000))</f>
        <v/>
      </c>
      <c r="FK5362" s="36" t="str">
        <f>IF($FH5362="","",SUM($FN5362:$FN$7000))</f>
        <v/>
      </c>
    </row>
    <row r="5363" spans="164:167">
      <c r="FH5363" s="29" t="str">
        <f t="shared" si="138"/>
        <v/>
      </c>
      <c r="FJ5363" s="36" t="str">
        <f>IF($FH5363="","",SUM($FN5363:$FN$7000))</f>
        <v/>
      </c>
      <c r="FK5363" s="36" t="str">
        <f>IF($FH5363="","",SUM($FN5363:$FN$7000))</f>
        <v/>
      </c>
    </row>
    <row r="5364" spans="164:167">
      <c r="FH5364" s="29" t="str">
        <f t="shared" si="138"/>
        <v/>
      </c>
      <c r="FJ5364" s="36" t="str">
        <f>IF($FH5364="","",SUM($FN5364:$FN$7000))</f>
        <v/>
      </c>
      <c r="FK5364" s="36" t="str">
        <f>IF($FH5364="","",SUM($FN5364:$FN$7000))</f>
        <v/>
      </c>
    </row>
    <row r="5365" spans="164:167">
      <c r="FH5365" s="29" t="str">
        <f t="shared" si="138"/>
        <v/>
      </c>
      <c r="FJ5365" s="36" t="str">
        <f>IF($FH5365="","",SUM($FN5365:$FN$7000))</f>
        <v/>
      </c>
      <c r="FK5365" s="36" t="str">
        <f>IF($FH5365="","",SUM($FN5365:$FN$7000))</f>
        <v/>
      </c>
    </row>
    <row r="5366" spans="164:167">
      <c r="FH5366" s="29" t="str">
        <f t="shared" si="138"/>
        <v/>
      </c>
      <c r="FJ5366" s="36" t="str">
        <f>IF($FH5366="","",SUM($FN5366:$FN$7000))</f>
        <v/>
      </c>
      <c r="FK5366" s="36" t="str">
        <f>IF($FH5366="","",SUM($FN5366:$FN$7000))</f>
        <v/>
      </c>
    </row>
    <row r="5367" spans="164:167">
      <c r="FH5367" s="29" t="str">
        <f t="shared" si="138"/>
        <v/>
      </c>
      <c r="FJ5367" s="36" t="str">
        <f>IF($FH5367="","",SUM($FN5367:$FN$7000))</f>
        <v/>
      </c>
      <c r="FK5367" s="36" t="str">
        <f>IF($FH5367="","",SUM($FN5367:$FN$7000))</f>
        <v/>
      </c>
    </row>
    <row r="5368" spans="164:167">
      <c r="FH5368" s="29" t="str">
        <f t="shared" si="138"/>
        <v/>
      </c>
      <c r="FJ5368" s="36" t="str">
        <f>IF($FH5368="","",SUM($FN5368:$FN$7000))</f>
        <v/>
      </c>
      <c r="FK5368" s="36" t="str">
        <f>IF($FH5368="","",SUM($FN5368:$FN$7000))</f>
        <v/>
      </c>
    </row>
    <row r="5369" spans="164:167">
      <c r="FH5369" s="29" t="str">
        <f t="shared" si="138"/>
        <v/>
      </c>
      <c r="FJ5369" s="36" t="str">
        <f>IF($FH5369="","",SUM($FN5369:$FN$7000))</f>
        <v/>
      </c>
      <c r="FK5369" s="36" t="str">
        <f>IF($FH5369="","",SUM($FN5369:$FN$7000))</f>
        <v/>
      </c>
    </row>
    <row r="5370" spans="164:167">
      <c r="FH5370" s="29" t="str">
        <f t="shared" si="138"/>
        <v/>
      </c>
      <c r="FJ5370" s="36" t="str">
        <f>IF($FH5370="","",SUM($FN5370:$FN$7000))</f>
        <v/>
      </c>
      <c r="FK5370" s="36" t="str">
        <f>IF($FH5370="","",SUM($FN5370:$FN$7000))</f>
        <v/>
      </c>
    </row>
    <row r="5371" spans="164:167">
      <c r="FH5371" s="29" t="str">
        <f t="shared" si="138"/>
        <v/>
      </c>
      <c r="FJ5371" s="36" t="str">
        <f>IF($FH5371="","",SUM($FN5371:$FN$7000))</f>
        <v/>
      </c>
      <c r="FK5371" s="36" t="str">
        <f>IF($FH5371="","",SUM($FN5371:$FN$7000))</f>
        <v/>
      </c>
    </row>
    <row r="5372" spans="164:167">
      <c r="FH5372" s="29" t="str">
        <f t="shared" si="138"/>
        <v/>
      </c>
      <c r="FJ5372" s="36" t="str">
        <f>IF($FH5372="","",SUM($FN5372:$FN$7000))</f>
        <v/>
      </c>
      <c r="FK5372" s="36" t="str">
        <f>IF($FH5372="","",SUM($FN5372:$FN$7000))</f>
        <v/>
      </c>
    </row>
    <row r="5373" spans="164:167">
      <c r="FH5373" s="29" t="str">
        <f t="shared" si="138"/>
        <v/>
      </c>
      <c r="FJ5373" s="36" t="str">
        <f>IF($FH5373="","",SUM($FN5373:$FN$7000))</f>
        <v/>
      </c>
      <c r="FK5373" s="36" t="str">
        <f>IF($FH5373="","",SUM($FN5373:$FN$7000))</f>
        <v/>
      </c>
    </row>
    <row r="5374" spans="164:167">
      <c r="FH5374" s="29" t="str">
        <f t="shared" si="138"/>
        <v/>
      </c>
      <c r="FJ5374" s="36" t="str">
        <f>IF($FH5374="","",SUM($FN5374:$FN$7000))</f>
        <v/>
      </c>
      <c r="FK5374" s="36" t="str">
        <f>IF($FH5374="","",SUM($FN5374:$FN$7000))</f>
        <v/>
      </c>
    </row>
    <row r="5375" spans="164:167">
      <c r="FH5375" s="29" t="str">
        <f t="shared" si="138"/>
        <v/>
      </c>
      <c r="FJ5375" s="36" t="str">
        <f>IF($FH5375="","",SUM($FN5375:$FN$7000))</f>
        <v/>
      </c>
      <c r="FK5375" s="36" t="str">
        <f>IF($FH5375="","",SUM($FN5375:$FN$7000))</f>
        <v/>
      </c>
    </row>
    <row r="5376" spans="164:167">
      <c r="FH5376" s="29" t="str">
        <f t="shared" si="138"/>
        <v/>
      </c>
      <c r="FJ5376" s="36" t="str">
        <f>IF($FH5376="","",SUM($FN5376:$FN$7000))</f>
        <v/>
      </c>
      <c r="FK5376" s="36" t="str">
        <f>IF($FH5376="","",SUM($FN5376:$FN$7000))</f>
        <v/>
      </c>
    </row>
    <row r="5377" spans="164:167">
      <c r="FH5377" s="29" t="str">
        <f t="shared" si="138"/>
        <v/>
      </c>
      <c r="FJ5377" s="36" t="str">
        <f>IF($FH5377="","",SUM($FN5377:$FN$7000))</f>
        <v/>
      </c>
      <c r="FK5377" s="36" t="str">
        <f>IF($FH5377="","",SUM($FN5377:$FN$7000))</f>
        <v/>
      </c>
    </row>
    <row r="5378" spans="164:167">
      <c r="FH5378" s="29" t="str">
        <f t="shared" si="138"/>
        <v/>
      </c>
      <c r="FJ5378" s="36" t="str">
        <f>IF($FH5378="","",SUM($FN5378:$FN$7000))</f>
        <v/>
      </c>
      <c r="FK5378" s="36" t="str">
        <f>IF($FH5378="","",SUM($FN5378:$FN$7000))</f>
        <v/>
      </c>
    </row>
    <row r="5379" spans="164:167">
      <c r="FH5379" s="29" t="str">
        <f t="shared" si="138"/>
        <v/>
      </c>
      <c r="FJ5379" s="36" t="str">
        <f>IF($FH5379="","",SUM($FN5379:$FN$7000))</f>
        <v/>
      </c>
      <c r="FK5379" s="36" t="str">
        <f>IF($FH5379="","",SUM($FN5379:$FN$7000))</f>
        <v/>
      </c>
    </row>
    <row r="5380" spans="164:167">
      <c r="FH5380" s="29" t="str">
        <f t="shared" si="138"/>
        <v/>
      </c>
      <c r="FJ5380" s="36" t="str">
        <f>IF($FH5380="","",SUM($FN5380:$FN$7000))</f>
        <v/>
      </c>
      <c r="FK5380" s="36" t="str">
        <f>IF($FH5380="","",SUM($FN5380:$FN$7000))</f>
        <v/>
      </c>
    </row>
    <row r="5381" spans="164:167">
      <c r="FH5381" s="29" t="str">
        <f t="shared" si="138"/>
        <v/>
      </c>
      <c r="FJ5381" s="36" t="str">
        <f>IF($FH5381="","",SUM($FN5381:$FN$7000))</f>
        <v/>
      </c>
      <c r="FK5381" s="36" t="str">
        <f>IF($FH5381="","",SUM($FN5381:$FN$7000))</f>
        <v/>
      </c>
    </row>
    <row r="5382" spans="164:167">
      <c r="FH5382" s="29" t="str">
        <f t="shared" si="138"/>
        <v/>
      </c>
      <c r="FJ5382" s="36" t="str">
        <f>IF($FH5382="","",SUM($FN5382:$FN$7000))</f>
        <v/>
      </c>
      <c r="FK5382" s="36" t="str">
        <f>IF($FH5382="","",SUM($FN5382:$FN$7000))</f>
        <v/>
      </c>
    </row>
    <row r="5383" spans="164:167">
      <c r="FH5383" s="29" t="str">
        <f t="shared" si="138"/>
        <v/>
      </c>
      <c r="FJ5383" s="36" t="str">
        <f>IF($FH5383="","",SUM($FN5383:$FN$7000))</f>
        <v/>
      </c>
      <c r="FK5383" s="36" t="str">
        <f>IF($FH5383="","",SUM($FN5383:$FN$7000))</f>
        <v/>
      </c>
    </row>
    <row r="5384" spans="164:167">
      <c r="FH5384" s="29" t="str">
        <f t="shared" si="138"/>
        <v/>
      </c>
      <c r="FJ5384" s="36" t="str">
        <f>IF($FH5384="","",SUM($FN5384:$FN$7000))</f>
        <v/>
      </c>
      <c r="FK5384" s="36" t="str">
        <f>IF($FH5384="","",SUM($FN5384:$FN$7000))</f>
        <v/>
      </c>
    </row>
    <row r="5385" spans="164:167">
      <c r="FH5385" s="29" t="str">
        <f t="shared" si="138"/>
        <v/>
      </c>
      <c r="FJ5385" s="36" t="str">
        <f>IF($FH5385="","",SUM($FN5385:$FN$7000))</f>
        <v/>
      </c>
      <c r="FK5385" s="36" t="str">
        <f>IF($FH5385="","",SUM($FN5385:$FN$7000))</f>
        <v/>
      </c>
    </row>
    <row r="5386" spans="164:167">
      <c r="FH5386" s="29" t="str">
        <f t="shared" si="138"/>
        <v/>
      </c>
      <c r="FJ5386" s="36" t="str">
        <f>IF($FH5386="","",SUM($FN5386:$FN$7000))</f>
        <v/>
      </c>
      <c r="FK5386" s="36" t="str">
        <f>IF($FH5386="","",SUM($FN5386:$FN$7000))</f>
        <v/>
      </c>
    </row>
    <row r="5387" spans="164:167">
      <c r="FH5387" s="29" t="str">
        <f t="shared" ref="FH5387:FH5450" si="139">IF(FL5387="","",FL5387)</f>
        <v/>
      </c>
      <c r="FJ5387" s="36" t="str">
        <f>IF($FH5387="","",SUM($FN5387:$FN$7000))</f>
        <v/>
      </c>
      <c r="FK5387" s="36" t="str">
        <f>IF($FH5387="","",SUM($FN5387:$FN$7000))</f>
        <v/>
      </c>
    </row>
    <row r="5388" spans="164:167">
      <c r="FH5388" s="29" t="str">
        <f t="shared" si="139"/>
        <v/>
      </c>
      <c r="FJ5388" s="36" t="str">
        <f>IF($FH5388="","",SUM($FN5388:$FN$7000))</f>
        <v/>
      </c>
      <c r="FK5388" s="36" t="str">
        <f>IF($FH5388="","",SUM($FN5388:$FN$7000))</f>
        <v/>
      </c>
    </row>
    <row r="5389" spans="164:167">
      <c r="FH5389" s="29" t="str">
        <f t="shared" si="139"/>
        <v/>
      </c>
      <c r="FJ5389" s="36" t="str">
        <f>IF($FH5389="","",SUM($FN5389:$FN$7000))</f>
        <v/>
      </c>
      <c r="FK5389" s="36" t="str">
        <f>IF($FH5389="","",SUM($FN5389:$FN$7000))</f>
        <v/>
      </c>
    </row>
    <row r="5390" spans="164:167">
      <c r="FH5390" s="29" t="str">
        <f t="shared" si="139"/>
        <v/>
      </c>
      <c r="FJ5390" s="36" t="str">
        <f>IF($FH5390="","",SUM($FN5390:$FN$7000))</f>
        <v/>
      </c>
      <c r="FK5390" s="36" t="str">
        <f>IF($FH5390="","",SUM($FN5390:$FN$7000))</f>
        <v/>
      </c>
    </row>
    <row r="5391" spans="164:167">
      <c r="FH5391" s="29" t="str">
        <f t="shared" si="139"/>
        <v/>
      </c>
      <c r="FJ5391" s="36" t="str">
        <f>IF($FH5391="","",SUM($FN5391:$FN$7000))</f>
        <v/>
      </c>
      <c r="FK5391" s="36" t="str">
        <f>IF($FH5391="","",SUM($FN5391:$FN$7000))</f>
        <v/>
      </c>
    </row>
    <row r="5392" spans="164:167">
      <c r="FH5392" s="29" t="str">
        <f t="shared" si="139"/>
        <v/>
      </c>
      <c r="FJ5392" s="36" t="str">
        <f>IF($FH5392="","",SUM($FN5392:$FN$7000))</f>
        <v/>
      </c>
      <c r="FK5392" s="36" t="str">
        <f>IF($FH5392="","",SUM($FN5392:$FN$7000))</f>
        <v/>
      </c>
    </row>
    <row r="5393" spans="164:167">
      <c r="FH5393" s="29" t="str">
        <f t="shared" si="139"/>
        <v/>
      </c>
      <c r="FJ5393" s="36" t="str">
        <f>IF($FH5393="","",SUM($FN5393:$FN$7000))</f>
        <v/>
      </c>
      <c r="FK5393" s="36" t="str">
        <f>IF($FH5393="","",SUM($FN5393:$FN$7000))</f>
        <v/>
      </c>
    </row>
    <row r="5394" spans="164:167">
      <c r="FH5394" s="29" t="str">
        <f t="shared" si="139"/>
        <v/>
      </c>
      <c r="FJ5394" s="36" t="str">
        <f>IF($FH5394="","",SUM($FN5394:$FN$7000))</f>
        <v/>
      </c>
      <c r="FK5394" s="36" t="str">
        <f>IF($FH5394="","",SUM($FN5394:$FN$7000))</f>
        <v/>
      </c>
    </row>
    <row r="5395" spans="164:167">
      <c r="FH5395" s="29" t="str">
        <f t="shared" si="139"/>
        <v/>
      </c>
      <c r="FJ5395" s="36" t="str">
        <f>IF($FH5395="","",SUM($FN5395:$FN$7000))</f>
        <v/>
      </c>
      <c r="FK5395" s="36" t="str">
        <f>IF($FH5395="","",SUM($FN5395:$FN$7000))</f>
        <v/>
      </c>
    </row>
    <row r="5396" spans="164:167">
      <c r="FH5396" s="29" t="str">
        <f t="shared" si="139"/>
        <v/>
      </c>
      <c r="FJ5396" s="36" t="str">
        <f>IF($FH5396="","",SUM($FN5396:$FN$7000))</f>
        <v/>
      </c>
      <c r="FK5396" s="36" t="str">
        <f>IF($FH5396="","",SUM($FN5396:$FN$7000))</f>
        <v/>
      </c>
    </row>
    <row r="5397" spans="164:167">
      <c r="FH5397" s="29" t="str">
        <f t="shared" si="139"/>
        <v/>
      </c>
      <c r="FJ5397" s="36" t="str">
        <f>IF($FH5397="","",SUM($FN5397:$FN$7000))</f>
        <v/>
      </c>
      <c r="FK5397" s="36" t="str">
        <f>IF($FH5397="","",SUM($FN5397:$FN$7000))</f>
        <v/>
      </c>
    </row>
    <row r="5398" spans="164:167">
      <c r="FH5398" s="29" t="str">
        <f t="shared" si="139"/>
        <v/>
      </c>
      <c r="FJ5398" s="36" t="str">
        <f>IF($FH5398="","",SUM($FN5398:$FN$7000))</f>
        <v/>
      </c>
      <c r="FK5398" s="36" t="str">
        <f>IF($FH5398="","",SUM($FN5398:$FN$7000))</f>
        <v/>
      </c>
    </row>
    <row r="5399" spans="164:167">
      <c r="FH5399" s="29" t="str">
        <f t="shared" si="139"/>
        <v/>
      </c>
      <c r="FJ5399" s="36" t="str">
        <f>IF($FH5399="","",SUM($FN5399:$FN$7000))</f>
        <v/>
      </c>
      <c r="FK5399" s="36" t="str">
        <f>IF($FH5399="","",SUM($FN5399:$FN$7000))</f>
        <v/>
      </c>
    </row>
    <row r="5400" spans="164:167">
      <c r="FH5400" s="29" t="str">
        <f t="shared" si="139"/>
        <v/>
      </c>
      <c r="FJ5400" s="36" t="str">
        <f>IF($FH5400="","",SUM($FN5400:$FN$7000))</f>
        <v/>
      </c>
      <c r="FK5400" s="36" t="str">
        <f>IF($FH5400="","",SUM($FN5400:$FN$7000))</f>
        <v/>
      </c>
    </row>
    <row r="5401" spans="164:167">
      <c r="FH5401" s="29" t="str">
        <f t="shared" si="139"/>
        <v/>
      </c>
      <c r="FJ5401" s="36" t="str">
        <f>IF($FH5401="","",SUM($FN5401:$FN$7000))</f>
        <v/>
      </c>
      <c r="FK5401" s="36" t="str">
        <f>IF($FH5401="","",SUM($FN5401:$FN$7000))</f>
        <v/>
      </c>
    </row>
    <row r="5402" spans="164:167">
      <c r="FH5402" s="29" t="str">
        <f t="shared" si="139"/>
        <v/>
      </c>
      <c r="FJ5402" s="36" t="str">
        <f>IF($FH5402="","",SUM($FN5402:$FN$7000))</f>
        <v/>
      </c>
      <c r="FK5402" s="36" t="str">
        <f>IF($FH5402="","",SUM($FN5402:$FN$7000))</f>
        <v/>
      </c>
    </row>
    <row r="5403" spans="164:167">
      <c r="FH5403" s="29" t="str">
        <f t="shared" si="139"/>
        <v/>
      </c>
      <c r="FJ5403" s="36" t="str">
        <f>IF($FH5403="","",SUM($FN5403:$FN$7000))</f>
        <v/>
      </c>
      <c r="FK5403" s="36" t="str">
        <f>IF($FH5403="","",SUM($FN5403:$FN$7000))</f>
        <v/>
      </c>
    </row>
    <row r="5404" spans="164:167">
      <c r="FH5404" s="29" t="str">
        <f t="shared" si="139"/>
        <v/>
      </c>
      <c r="FJ5404" s="36" t="str">
        <f>IF($FH5404="","",SUM($FN5404:$FN$7000))</f>
        <v/>
      </c>
      <c r="FK5404" s="36" t="str">
        <f>IF($FH5404="","",SUM($FN5404:$FN$7000))</f>
        <v/>
      </c>
    </row>
    <row r="5405" spans="164:167">
      <c r="FH5405" s="29" t="str">
        <f t="shared" si="139"/>
        <v/>
      </c>
      <c r="FJ5405" s="36" t="str">
        <f>IF($FH5405="","",SUM($FN5405:$FN$7000))</f>
        <v/>
      </c>
      <c r="FK5405" s="36" t="str">
        <f>IF($FH5405="","",SUM($FN5405:$FN$7000))</f>
        <v/>
      </c>
    </row>
    <row r="5406" spans="164:167">
      <c r="FH5406" s="29" t="str">
        <f t="shared" si="139"/>
        <v/>
      </c>
      <c r="FJ5406" s="36" t="str">
        <f>IF($FH5406="","",SUM($FN5406:$FN$7000))</f>
        <v/>
      </c>
      <c r="FK5406" s="36" t="str">
        <f>IF($FH5406="","",SUM($FN5406:$FN$7000))</f>
        <v/>
      </c>
    </row>
    <row r="5407" spans="164:167">
      <c r="FH5407" s="29" t="str">
        <f t="shared" si="139"/>
        <v/>
      </c>
      <c r="FJ5407" s="36" t="str">
        <f>IF($FH5407="","",SUM($FN5407:$FN$7000))</f>
        <v/>
      </c>
      <c r="FK5407" s="36" t="str">
        <f>IF($FH5407="","",SUM($FN5407:$FN$7000))</f>
        <v/>
      </c>
    </row>
    <row r="5408" spans="164:167">
      <c r="FH5408" s="29" t="str">
        <f t="shared" si="139"/>
        <v/>
      </c>
      <c r="FJ5408" s="36" t="str">
        <f>IF($FH5408="","",SUM($FN5408:$FN$7000))</f>
        <v/>
      </c>
      <c r="FK5408" s="36" t="str">
        <f>IF($FH5408="","",SUM($FN5408:$FN$7000))</f>
        <v/>
      </c>
    </row>
    <row r="5409" spans="164:167">
      <c r="FH5409" s="29" t="str">
        <f t="shared" si="139"/>
        <v/>
      </c>
      <c r="FJ5409" s="36" t="str">
        <f>IF($FH5409="","",SUM($FN5409:$FN$7000))</f>
        <v/>
      </c>
      <c r="FK5409" s="36" t="str">
        <f>IF($FH5409="","",SUM($FN5409:$FN$7000))</f>
        <v/>
      </c>
    </row>
    <row r="5410" spans="164:167">
      <c r="FH5410" s="29" t="str">
        <f t="shared" si="139"/>
        <v/>
      </c>
      <c r="FJ5410" s="36" t="str">
        <f>IF($FH5410="","",SUM($FN5410:$FN$7000))</f>
        <v/>
      </c>
      <c r="FK5410" s="36" t="str">
        <f>IF($FH5410="","",SUM($FN5410:$FN$7000))</f>
        <v/>
      </c>
    </row>
    <row r="5411" spans="164:167">
      <c r="FH5411" s="29" t="str">
        <f t="shared" si="139"/>
        <v/>
      </c>
      <c r="FJ5411" s="36" t="str">
        <f>IF($FH5411="","",SUM($FN5411:$FN$7000))</f>
        <v/>
      </c>
      <c r="FK5411" s="36" t="str">
        <f>IF($FH5411="","",SUM($FN5411:$FN$7000))</f>
        <v/>
      </c>
    </row>
    <row r="5412" spans="164:167">
      <c r="FH5412" s="29" t="str">
        <f t="shared" si="139"/>
        <v/>
      </c>
      <c r="FJ5412" s="36" t="str">
        <f>IF($FH5412="","",SUM($FN5412:$FN$7000))</f>
        <v/>
      </c>
      <c r="FK5412" s="36" t="str">
        <f>IF($FH5412="","",SUM($FN5412:$FN$7000))</f>
        <v/>
      </c>
    </row>
    <row r="5413" spans="164:167">
      <c r="FH5413" s="29" t="str">
        <f t="shared" si="139"/>
        <v/>
      </c>
      <c r="FJ5413" s="36" t="str">
        <f>IF($FH5413="","",SUM($FN5413:$FN$7000))</f>
        <v/>
      </c>
      <c r="FK5413" s="36" t="str">
        <f>IF($FH5413="","",SUM($FN5413:$FN$7000))</f>
        <v/>
      </c>
    </row>
    <row r="5414" spans="164:167">
      <c r="FH5414" s="29" t="str">
        <f t="shared" si="139"/>
        <v/>
      </c>
      <c r="FJ5414" s="36" t="str">
        <f>IF($FH5414="","",SUM($FN5414:$FN$7000))</f>
        <v/>
      </c>
      <c r="FK5414" s="36" t="str">
        <f>IF($FH5414="","",SUM($FN5414:$FN$7000))</f>
        <v/>
      </c>
    </row>
    <row r="5415" spans="164:167">
      <c r="FH5415" s="29" t="str">
        <f t="shared" si="139"/>
        <v/>
      </c>
      <c r="FJ5415" s="36" t="str">
        <f>IF($FH5415="","",SUM($FN5415:$FN$7000))</f>
        <v/>
      </c>
      <c r="FK5415" s="36" t="str">
        <f>IF($FH5415="","",SUM($FN5415:$FN$7000))</f>
        <v/>
      </c>
    </row>
    <row r="5416" spans="164:167">
      <c r="FH5416" s="29" t="str">
        <f t="shared" si="139"/>
        <v/>
      </c>
      <c r="FJ5416" s="36" t="str">
        <f>IF($FH5416="","",SUM($FN5416:$FN$7000))</f>
        <v/>
      </c>
      <c r="FK5416" s="36" t="str">
        <f>IF($FH5416="","",SUM($FN5416:$FN$7000))</f>
        <v/>
      </c>
    </row>
    <row r="5417" spans="164:167">
      <c r="FH5417" s="29" t="str">
        <f t="shared" si="139"/>
        <v/>
      </c>
      <c r="FJ5417" s="36" t="str">
        <f>IF($FH5417="","",SUM($FN5417:$FN$7000))</f>
        <v/>
      </c>
      <c r="FK5417" s="36" t="str">
        <f>IF($FH5417="","",SUM($FN5417:$FN$7000))</f>
        <v/>
      </c>
    </row>
    <row r="5418" spans="164:167">
      <c r="FH5418" s="29" t="str">
        <f t="shared" si="139"/>
        <v/>
      </c>
      <c r="FJ5418" s="36" t="str">
        <f>IF($FH5418="","",SUM($FN5418:$FN$7000))</f>
        <v/>
      </c>
      <c r="FK5418" s="36" t="str">
        <f>IF($FH5418="","",SUM($FN5418:$FN$7000))</f>
        <v/>
      </c>
    </row>
    <row r="5419" spans="164:167">
      <c r="FH5419" s="29" t="str">
        <f t="shared" si="139"/>
        <v/>
      </c>
      <c r="FJ5419" s="36" t="str">
        <f>IF($FH5419="","",SUM($FN5419:$FN$7000))</f>
        <v/>
      </c>
      <c r="FK5419" s="36" t="str">
        <f>IF($FH5419="","",SUM($FN5419:$FN$7000))</f>
        <v/>
      </c>
    </row>
    <row r="5420" spans="164:167">
      <c r="FH5420" s="29" t="str">
        <f t="shared" si="139"/>
        <v/>
      </c>
      <c r="FJ5420" s="36" t="str">
        <f>IF($FH5420="","",SUM($FN5420:$FN$7000))</f>
        <v/>
      </c>
      <c r="FK5420" s="36" t="str">
        <f>IF($FH5420="","",SUM($FN5420:$FN$7000))</f>
        <v/>
      </c>
    </row>
    <row r="5421" spans="164:167">
      <c r="FH5421" s="29" t="str">
        <f t="shared" si="139"/>
        <v/>
      </c>
      <c r="FJ5421" s="36" t="str">
        <f>IF($FH5421="","",SUM($FN5421:$FN$7000))</f>
        <v/>
      </c>
      <c r="FK5421" s="36" t="str">
        <f>IF($FH5421="","",SUM($FN5421:$FN$7000))</f>
        <v/>
      </c>
    </row>
    <row r="5422" spans="164:167">
      <c r="FH5422" s="29" t="str">
        <f t="shared" si="139"/>
        <v/>
      </c>
      <c r="FJ5422" s="36" t="str">
        <f>IF($FH5422="","",SUM($FN5422:$FN$7000))</f>
        <v/>
      </c>
      <c r="FK5422" s="36" t="str">
        <f>IF($FH5422="","",SUM($FN5422:$FN$7000))</f>
        <v/>
      </c>
    </row>
    <row r="5423" spans="164:167">
      <c r="FH5423" s="29" t="str">
        <f t="shared" si="139"/>
        <v/>
      </c>
      <c r="FJ5423" s="36" t="str">
        <f>IF($FH5423="","",SUM($FN5423:$FN$7000))</f>
        <v/>
      </c>
      <c r="FK5423" s="36" t="str">
        <f>IF($FH5423="","",SUM($FN5423:$FN$7000))</f>
        <v/>
      </c>
    </row>
    <row r="5424" spans="164:167">
      <c r="FH5424" s="29" t="str">
        <f t="shared" si="139"/>
        <v/>
      </c>
      <c r="FJ5424" s="36" t="str">
        <f>IF($FH5424="","",SUM($FN5424:$FN$7000))</f>
        <v/>
      </c>
      <c r="FK5424" s="36" t="str">
        <f>IF($FH5424="","",SUM($FN5424:$FN$7000))</f>
        <v/>
      </c>
    </row>
    <row r="5425" spans="164:167">
      <c r="FH5425" s="29" t="str">
        <f t="shared" si="139"/>
        <v/>
      </c>
      <c r="FJ5425" s="36" t="str">
        <f>IF($FH5425="","",SUM($FN5425:$FN$7000))</f>
        <v/>
      </c>
      <c r="FK5425" s="36" t="str">
        <f>IF($FH5425="","",SUM($FN5425:$FN$7000))</f>
        <v/>
      </c>
    </row>
    <row r="5426" spans="164:167">
      <c r="FH5426" s="29" t="str">
        <f t="shared" si="139"/>
        <v/>
      </c>
      <c r="FJ5426" s="36" t="str">
        <f>IF($FH5426="","",SUM($FN5426:$FN$7000))</f>
        <v/>
      </c>
      <c r="FK5426" s="36" t="str">
        <f>IF($FH5426="","",SUM($FN5426:$FN$7000))</f>
        <v/>
      </c>
    </row>
    <row r="5427" spans="164:167">
      <c r="FH5427" s="29" t="str">
        <f t="shared" si="139"/>
        <v/>
      </c>
      <c r="FJ5427" s="36" t="str">
        <f>IF($FH5427="","",SUM($FN5427:$FN$7000))</f>
        <v/>
      </c>
      <c r="FK5427" s="36" t="str">
        <f>IF($FH5427="","",SUM($FN5427:$FN$7000))</f>
        <v/>
      </c>
    </row>
    <row r="5428" spans="164:167">
      <c r="FH5428" s="29" t="str">
        <f t="shared" si="139"/>
        <v/>
      </c>
      <c r="FJ5428" s="36" t="str">
        <f>IF($FH5428="","",SUM($FN5428:$FN$7000))</f>
        <v/>
      </c>
      <c r="FK5428" s="36" t="str">
        <f>IF($FH5428="","",SUM($FN5428:$FN$7000))</f>
        <v/>
      </c>
    </row>
    <row r="5429" spans="164:167">
      <c r="FH5429" s="29" t="str">
        <f t="shared" si="139"/>
        <v/>
      </c>
      <c r="FJ5429" s="36" t="str">
        <f>IF($FH5429="","",SUM($FN5429:$FN$7000))</f>
        <v/>
      </c>
      <c r="FK5429" s="36" t="str">
        <f>IF($FH5429="","",SUM($FN5429:$FN$7000))</f>
        <v/>
      </c>
    </row>
    <row r="5430" spans="164:167">
      <c r="FH5430" s="29" t="str">
        <f t="shared" si="139"/>
        <v/>
      </c>
      <c r="FJ5430" s="36" t="str">
        <f>IF($FH5430="","",SUM($FN5430:$FN$7000))</f>
        <v/>
      </c>
      <c r="FK5430" s="36" t="str">
        <f>IF($FH5430="","",SUM($FN5430:$FN$7000))</f>
        <v/>
      </c>
    </row>
    <row r="5431" spans="164:167">
      <c r="FH5431" s="29" t="str">
        <f t="shared" si="139"/>
        <v/>
      </c>
      <c r="FJ5431" s="36" t="str">
        <f>IF($FH5431="","",SUM($FN5431:$FN$7000))</f>
        <v/>
      </c>
      <c r="FK5431" s="36" t="str">
        <f>IF($FH5431="","",SUM($FN5431:$FN$7000))</f>
        <v/>
      </c>
    </row>
    <row r="5432" spans="164:167">
      <c r="FH5432" s="29" t="str">
        <f t="shared" si="139"/>
        <v/>
      </c>
      <c r="FJ5432" s="36" t="str">
        <f>IF($FH5432="","",SUM($FN5432:$FN$7000))</f>
        <v/>
      </c>
      <c r="FK5432" s="36" t="str">
        <f>IF($FH5432="","",SUM($FN5432:$FN$7000))</f>
        <v/>
      </c>
    </row>
    <row r="5433" spans="164:167">
      <c r="FH5433" s="29" t="str">
        <f t="shared" si="139"/>
        <v/>
      </c>
      <c r="FJ5433" s="36" t="str">
        <f>IF($FH5433="","",SUM($FN5433:$FN$7000))</f>
        <v/>
      </c>
      <c r="FK5433" s="36" t="str">
        <f>IF($FH5433="","",SUM($FN5433:$FN$7000))</f>
        <v/>
      </c>
    </row>
    <row r="5434" spans="164:167">
      <c r="FH5434" s="29" t="str">
        <f t="shared" si="139"/>
        <v/>
      </c>
      <c r="FJ5434" s="36" t="str">
        <f>IF($FH5434="","",SUM($FN5434:$FN$7000))</f>
        <v/>
      </c>
      <c r="FK5434" s="36" t="str">
        <f>IF($FH5434="","",SUM($FN5434:$FN$7000))</f>
        <v/>
      </c>
    </row>
    <row r="5435" spans="164:167">
      <c r="FH5435" s="29" t="str">
        <f t="shared" si="139"/>
        <v/>
      </c>
      <c r="FJ5435" s="36" t="str">
        <f>IF($FH5435="","",SUM($FN5435:$FN$7000))</f>
        <v/>
      </c>
      <c r="FK5435" s="36" t="str">
        <f>IF($FH5435="","",SUM($FN5435:$FN$7000))</f>
        <v/>
      </c>
    </row>
    <row r="5436" spans="164:167">
      <c r="FH5436" s="29" t="str">
        <f t="shared" si="139"/>
        <v/>
      </c>
      <c r="FJ5436" s="36" t="str">
        <f>IF($FH5436="","",SUM($FN5436:$FN$7000))</f>
        <v/>
      </c>
      <c r="FK5436" s="36" t="str">
        <f>IF($FH5436="","",SUM($FN5436:$FN$7000))</f>
        <v/>
      </c>
    </row>
    <row r="5437" spans="164:167">
      <c r="FH5437" s="29" t="str">
        <f t="shared" si="139"/>
        <v/>
      </c>
      <c r="FJ5437" s="36" t="str">
        <f>IF($FH5437="","",SUM($FN5437:$FN$7000))</f>
        <v/>
      </c>
      <c r="FK5437" s="36" t="str">
        <f>IF($FH5437="","",SUM($FN5437:$FN$7000))</f>
        <v/>
      </c>
    </row>
    <row r="5438" spans="164:167">
      <c r="FH5438" s="29" t="str">
        <f t="shared" si="139"/>
        <v/>
      </c>
      <c r="FJ5438" s="36" t="str">
        <f>IF($FH5438="","",SUM($FN5438:$FN$7000))</f>
        <v/>
      </c>
      <c r="FK5438" s="36" t="str">
        <f>IF($FH5438="","",SUM($FN5438:$FN$7000))</f>
        <v/>
      </c>
    </row>
    <row r="5439" spans="164:167">
      <c r="FH5439" s="29" t="str">
        <f t="shared" si="139"/>
        <v/>
      </c>
      <c r="FJ5439" s="36" t="str">
        <f>IF($FH5439="","",SUM($FN5439:$FN$7000))</f>
        <v/>
      </c>
      <c r="FK5439" s="36" t="str">
        <f>IF($FH5439="","",SUM($FN5439:$FN$7000))</f>
        <v/>
      </c>
    </row>
    <row r="5440" spans="164:167">
      <c r="FH5440" s="29" t="str">
        <f t="shared" si="139"/>
        <v/>
      </c>
      <c r="FJ5440" s="36" t="str">
        <f>IF($FH5440="","",SUM($FN5440:$FN$7000))</f>
        <v/>
      </c>
      <c r="FK5440" s="36" t="str">
        <f>IF($FH5440="","",SUM($FN5440:$FN$7000))</f>
        <v/>
      </c>
    </row>
    <row r="5441" spans="164:167">
      <c r="FH5441" s="29" t="str">
        <f t="shared" si="139"/>
        <v/>
      </c>
      <c r="FJ5441" s="36" t="str">
        <f>IF($FH5441="","",SUM($FN5441:$FN$7000))</f>
        <v/>
      </c>
      <c r="FK5441" s="36" t="str">
        <f>IF($FH5441="","",SUM($FN5441:$FN$7000))</f>
        <v/>
      </c>
    </row>
    <row r="5442" spans="164:167">
      <c r="FH5442" s="29" t="str">
        <f t="shared" si="139"/>
        <v/>
      </c>
      <c r="FJ5442" s="36" t="str">
        <f>IF($FH5442="","",SUM($FN5442:$FN$7000))</f>
        <v/>
      </c>
      <c r="FK5442" s="36" t="str">
        <f>IF($FH5442="","",SUM($FN5442:$FN$7000))</f>
        <v/>
      </c>
    </row>
    <row r="5443" spans="164:167">
      <c r="FH5443" s="29" t="str">
        <f t="shared" si="139"/>
        <v/>
      </c>
      <c r="FJ5443" s="36" t="str">
        <f>IF($FH5443="","",SUM($FN5443:$FN$7000))</f>
        <v/>
      </c>
      <c r="FK5443" s="36" t="str">
        <f>IF($FH5443="","",SUM($FN5443:$FN$7000))</f>
        <v/>
      </c>
    </row>
    <row r="5444" spans="164:167">
      <c r="FH5444" s="29" t="str">
        <f t="shared" si="139"/>
        <v/>
      </c>
      <c r="FJ5444" s="36" t="str">
        <f>IF($FH5444="","",SUM($FN5444:$FN$7000))</f>
        <v/>
      </c>
      <c r="FK5444" s="36" t="str">
        <f>IF($FH5444="","",SUM($FN5444:$FN$7000))</f>
        <v/>
      </c>
    </row>
    <row r="5445" spans="164:167">
      <c r="FH5445" s="29" t="str">
        <f t="shared" si="139"/>
        <v/>
      </c>
      <c r="FJ5445" s="36" t="str">
        <f>IF($FH5445="","",SUM($FN5445:$FN$7000))</f>
        <v/>
      </c>
      <c r="FK5445" s="36" t="str">
        <f>IF($FH5445="","",SUM($FN5445:$FN$7000))</f>
        <v/>
      </c>
    </row>
    <row r="5446" spans="164:167">
      <c r="FH5446" s="29" t="str">
        <f t="shared" si="139"/>
        <v/>
      </c>
      <c r="FJ5446" s="36" t="str">
        <f>IF($FH5446="","",SUM($FN5446:$FN$7000))</f>
        <v/>
      </c>
      <c r="FK5446" s="36" t="str">
        <f>IF($FH5446="","",SUM($FN5446:$FN$7000))</f>
        <v/>
      </c>
    </row>
    <row r="5447" spans="164:167">
      <c r="FH5447" s="29" t="str">
        <f t="shared" si="139"/>
        <v/>
      </c>
      <c r="FJ5447" s="36" t="str">
        <f>IF($FH5447="","",SUM($FN5447:$FN$7000))</f>
        <v/>
      </c>
      <c r="FK5447" s="36" t="str">
        <f>IF($FH5447="","",SUM($FN5447:$FN$7000))</f>
        <v/>
      </c>
    </row>
    <row r="5448" spans="164:167">
      <c r="FH5448" s="29" t="str">
        <f t="shared" si="139"/>
        <v/>
      </c>
      <c r="FJ5448" s="36" t="str">
        <f>IF($FH5448="","",SUM($FN5448:$FN$7000))</f>
        <v/>
      </c>
      <c r="FK5448" s="36" t="str">
        <f>IF($FH5448="","",SUM($FN5448:$FN$7000))</f>
        <v/>
      </c>
    </row>
    <row r="5449" spans="164:167">
      <c r="FH5449" s="29" t="str">
        <f t="shared" si="139"/>
        <v/>
      </c>
      <c r="FJ5449" s="36" t="str">
        <f>IF($FH5449="","",SUM($FN5449:$FN$7000))</f>
        <v/>
      </c>
      <c r="FK5449" s="36" t="str">
        <f>IF($FH5449="","",SUM($FN5449:$FN$7000))</f>
        <v/>
      </c>
    </row>
    <row r="5450" spans="164:167">
      <c r="FH5450" s="29" t="str">
        <f t="shared" si="139"/>
        <v/>
      </c>
      <c r="FJ5450" s="36" t="str">
        <f>IF($FH5450="","",SUM($FN5450:$FN$7000))</f>
        <v/>
      </c>
      <c r="FK5450" s="36" t="str">
        <f>IF($FH5450="","",SUM($FN5450:$FN$7000))</f>
        <v/>
      </c>
    </row>
    <row r="5451" spans="164:167">
      <c r="FH5451" s="29" t="str">
        <f t="shared" ref="FH5451:FH5514" si="140">IF(FL5451="","",FL5451)</f>
        <v/>
      </c>
      <c r="FJ5451" s="36" t="str">
        <f>IF($FH5451="","",SUM($FN5451:$FN$7000))</f>
        <v/>
      </c>
      <c r="FK5451" s="36" t="str">
        <f>IF($FH5451="","",SUM($FN5451:$FN$7000))</f>
        <v/>
      </c>
    </row>
    <row r="5452" spans="164:167">
      <c r="FH5452" s="29" t="str">
        <f t="shared" si="140"/>
        <v/>
      </c>
      <c r="FJ5452" s="36" t="str">
        <f>IF($FH5452="","",SUM($FN5452:$FN$7000))</f>
        <v/>
      </c>
      <c r="FK5452" s="36" t="str">
        <f>IF($FH5452="","",SUM($FN5452:$FN$7000))</f>
        <v/>
      </c>
    </row>
    <row r="5453" spans="164:167">
      <c r="FH5453" s="29" t="str">
        <f t="shared" si="140"/>
        <v/>
      </c>
      <c r="FJ5453" s="36" t="str">
        <f>IF($FH5453="","",SUM($FN5453:$FN$7000))</f>
        <v/>
      </c>
      <c r="FK5453" s="36" t="str">
        <f>IF($FH5453="","",SUM($FN5453:$FN$7000))</f>
        <v/>
      </c>
    </row>
    <row r="5454" spans="164:167">
      <c r="FH5454" s="29" t="str">
        <f t="shared" si="140"/>
        <v/>
      </c>
      <c r="FJ5454" s="36" t="str">
        <f>IF($FH5454="","",SUM($FN5454:$FN$7000))</f>
        <v/>
      </c>
      <c r="FK5454" s="36" t="str">
        <f>IF($FH5454="","",SUM($FN5454:$FN$7000))</f>
        <v/>
      </c>
    </row>
    <row r="5455" spans="164:167">
      <c r="FH5455" s="29" t="str">
        <f t="shared" si="140"/>
        <v/>
      </c>
      <c r="FJ5455" s="36" t="str">
        <f>IF($FH5455="","",SUM($FN5455:$FN$7000))</f>
        <v/>
      </c>
      <c r="FK5455" s="36" t="str">
        <f>IF($FH5455="","",SUM($FN5455:$FN$7000))</f>
        <v/>
      </c>
    </row>
    <row r="5456" spans="164:167">
      <c r="FH5456" s="29" t="str">
        <f t="shared" si="140"/>
        <v/>
      </c>
      <c r="FJ5456" s="36" t="str">
        <f>IF($FH5456="","",SUM($FN5456:$FN$7000))</f>
        <v/>
      </c>
      <c r="FK5456" s="36" t="str">
        <f>IF($FH5456="","",SUM($FN5456:$FN$7000))</f>
        <v/>
      </c>
    </row>
    <row r="5457" spans="164:167">
      <c r="FH5457" s="29" t="str">
        <f t="shared" si="140"/>
        <v/>
      </c>
      <c r="FJ5457" s="36" t="str">
        <f>IF($FH5457="","",SUM($FN5457:$FN$7000))</f>
        <v/>
      </c>
      <c r="FK5457" s="36" t="str">
        <f>IF($FH5457="","",SUM($FN5457:$FN$7000))</f>
        <v/>
      </c>
    </row>
    <row r="5458" spans="164:167">
      <c r="FH5458" s="29" t="str">
        <f t="shared" si="140"/>
        <v/>
      </c>
      <c r="FJ5458" s="36" t="str">
        <f>IF($FH5458="","",SUM($FN5458:$FN$7000))</f>
        <v/>
      </c>
      <c r="FK5458" s="36" t="str">
        <f>IF($FH5458="","",SUM($FN5458:$FN$7000))</f>
        <v/>
      </c>
    </row>
    <row r="5459" spans="164:167">
      <c r="FH5459" s="29" t="str">
        <f t="shared" si="140"/>
        <v/>
      </c>
      <c r="FJ5459" s="36" t="str">
        <f>IF($FH5459="","",SUM($FN5459:$FN$7000))</f>
        <v/>
      </c>
      <c r="FK5459" s="36" t="str">
        <f>IF($FH5459="","",SUM($FN5459:$FN$7000))</f>
        <v/>
      </c>
    </row>
    <row r="5460" spans="164:167">
      <c r="FH5460" s="29" t="str">
        <f t="shared" si="140"/>
        <v/>
      </c>
      <c r="FJ5460" s="36" t="str">
        <f>IF($FH5460="","",SUM($FN5460:$FN$7000))</f>
        <v/>
      </c>
      <c r="FK5460" s="36" t="str">
        <f>IF($FH5460="","",SUM($FN5460:$FN$7000))</f>
        <v/>
      </c>
    </row>
    <row r="5461" spans="164:167">
      <c r="FH5461" s="29" t="str">
        <f t="shared" si="140"/>
        <v/>
      </c>
      <c r="FJ5461" s="36" t="str">
        <f>IF($FH5461="","",SUM($FN5461:$FN$7000))</f>
        <v/>
      </c>
      <c r="FK5461" s="36" t="str">
        <f>IF($FH5461="","",SUM($FN5461:$FN$7000))</f>
        <v/>
      </c>
    </row>
    <row r="5462" spans="164:167">
      <c r="FH5462" s="29" t="str">
        <f t="shared" si="140"/>
        <v/>
      </c>
      <c r="FJ5462" s="36" t="str">
        <f>IF($FH5462="","",SUM($FN5462:$FN$7000))</f>
        <v/>
      </c>
      <c r="FK5462" s="36" t="str">
        <f>IF($FH5462="","",SUM($FN5462:$FN$7000))</f>
        <v/>
      </c>
    </row>
    <row r="5463" spans="164:167">
      <c r="FH5463" s="29" t="str">
        <f t="shared" si="140"/>
        <v/>
      </c>
      <c r="FJ5463" s="36" t="str">
        <f>IF($FH5463="","",SUM($FN5463:$FN$7000))</f>
        <v/>
      </c>
      <c r="FK5463" s="36" t="str">
        <f>IF($FH5463="","",SUM($FN5463:$FN$7000))</f>
        <v/>
      </c>
    </row>
    <row r="5464" spans="164:167">
      <c r="FH5464" s="29" t="str">
        <f t="shared" si="140"/>
        <v/>
      </c>
      <c r="FJ5464" s="36" t="str">
        <f>IF($FH5464="","",SUM($FN5464:$FN$7000))</f>
        <v/>
      </c>
      <c r="FK5464" s="36" t="str">
        <f>IF($FH5464="","",SUM($FN5464:$FN$7000))</f>
        <v/>
      </c>
    </row>
    <row r="5465" spans="164:167">
      <c r="FH5465" s="29" t="str">
        <f t="shared" si="140"/>
        <v/>
      </c>
      <c r="FJ5465" s="36" t="str">
        <f>IF($FH5465="","",SUM($FN5465:$FN$7000))</f>
        <v/>
      </c>
      <c r="FK5465" s="36" t="str">
        <f>IF($FH5465="","",SUM($FN5465:$FN$7000))</f>
        <v/>
      </c>
    </row>
    <row r="5466" spans="164:167">
      <c r="FH5466" s="29" t="str">
        <f t="shared" si="140"/>
        <v/>
      </c>
      <c r="FJ5466" s="36" t="str">
        <f>IF($FH5466="","",SUM($FN5466:$FN$7000))</f>
        <v/>
      </c>
      <c r="FK5466" s="36" t="str">
        <f>IF($FH5466="","",SUM($FN5466:$FN$7000))</f>
        <v/>
      </c>
    </row>
    <row r="5467" spans="164:167">
      <c r="FH5467" s="29" t="str">
        <f t="shared" si="140"/>
        <v/>
      </c>
      <c r="FJ5467" s="36" t="str">
        <f>IF($FH5467="","",SUM($FN5467:$FN$7000))</f>
        <v/>
      </c>
      <c r="FK5467" s="36" t="str">
        <f>IF($FH5467="","",SUM($FN5467:$FN$7000))</f>
        <v/>
      </c>
    </row>
    <row r="5468" spans="164:167">
      <c r="FH5468" s="29" t="str">
        <f t="shared" si="140"/>
        <v/>
      </c>
      <c r="FJ5468" s="36" t="str">
        <f>IF($FH5468="","",SUM($FN5468:$FN$7000))</f>
        <v/>
      </c>
      <c r="FK5468" s="36" t="str">
        <f>IF($FH5468="","",SUM($FN5468:$FN$7000))</f>
        <v/>
      </c>
    </row>
    <row r="5469" spans="164:167">
      <c r="FH5469" s="29" t="str">
        <f t="shared" si="140"/>
        <v/>
      </c>
      <c r="FJ5469" s="36" t="str">
        <f>IF($FH5469="","",SUM($FN5469:$FN$7000))</f>
        <v/>
      </c>
      <c r="FK5469" s="36" t="str">
        <f>IF($FH5469="","",SUM($FN5469:$FN$7000))</f>
        <v/>
      </c>
    </row>
    <row r="5470" spans="164:167">
      <c r="FH5470" s="29" t="str">
        <f t="shared" si="140"/>
        <v/>
      </c>
      <c r="FJ5470" s="36" t="str">
        <f>IF($FH5470="","",SUM($FN5470:$FN$7000))</f>
        <v/>
      </c>
      <c r="FK5470" s="36" t="str">
        <f>IF($FH5470="","",SUM($FN5470:$FN$7000))</f>
        <v/>
      </c>
    </row>
    <row r="5471" spans="164:167">
      <c r="FH5471" s="29" t="str">
        <f t="shared" si="140"/>
        <v/>
      </c>
      <c r="FJ5471" s="36" t="str">
        <f>IF($FH5471="","",SUM($FN5471:$FN$7000))</f>
        <v/>
      </c>
      <c r="FK5471" s="36" t="str">
        <f>IF($FH5471="","",SUM($FN5471:$FN$7000))</f>
        <v/>
      </c>
    </row>
    <row r="5472" spans="164:167">
      <c r="FH5472" s="29" t="str">
        <f t="shared" si="140"/>
        <v/>
      </c>
      <c r="FJ5472" s="36" t="str">
        <f>IF($FH5472="","",SUM($FN5472:$FN$7000))</f>
        <v/>
      </c>
      <c r="FK5472" s="36" t="str">
        <f>IF($FH5472="","",SUM($FN5472:$FN$7000))</f>
        <v/>
      </c>
    </row>
    <row r="5473" spans="164:167">
      <c r="FH5473" s="29" t="str">
        <f t="shared" si="140"/>
        <v/>
      </c>
      <c r="FJ5473" s="36" t="str">
        <f>IF($FH5473="","",SUM($FN5473:$FN$7000))</f>
        <v/>
      </c>
      <c r="FK5473" s="36" t="str">
        <f>IF($FH5473="","",SUM($FN5473:$FN$7000))</f>
        <v/>
      </c>
    </row>
    <row r="5474" spans="164:167">
      <c r="FH5474" s="29" t="str">
        <f t="shared" si="140"/>
        <v/>
      </c>
      <c r="FJ5474" s="36" t="str">
        <f>IF($FH5474="","",SUM($FN5474:$FN$7000))</f>
        <v/>
      </c>
      <c r="FK5474" s="36" t="str">
        <f>IF($FH5474="","",SUM($FN5474:$FN$7000))</f>
        <v/>
      </c>
    </row>
    <row r="5475" spans="164:167">
      <c r="FH5475" s="29" t="str">
        <f t="shared" si="140"/>
        <v/>
      </c>
      <c r="FJ5475" s="36" t="str">
        <f>IF($FH5475="","",SUM($FN5475:$FN$7000))</f>
        <v/>
      </c>
      <c r="FK5475" s="36" t="str">
        <f>IF($FH5475="","",SUM($FN5475:$FN$7000))</f>
        <v/>
      </c>
    </row>
    <row r="5476" spans="164:167">
      <c r="FH5476" s="29" t="str">
        <f t="shared" si="140"/>
        <v/>
      </c>
      <c r="FJ5476" s="36" t="str">
        <f>IF($FH5476="","",SUM($FN5476:$FN$7000))</f>
        <v/>
      </c>
      <c r="FK5476" s="36" t="str">
        <f>IF($FH5476="","",SUM($FN5476:$FN$7000))</f>
        <v/>
      </c>
    </row>
    <row r="5477" spans="164:167">
      <c r="FH5477" s="29" t="str">
        <f t="shared" si="140"/>
        <v/>
      </c>
      <c r="FJ5477" s="36" t="str">
        <f>IF($FH5477="","",SUM($FN5477:$FN$7000))</f>
        <v/>
      </c>
      <c r="FK5477" s="36" t="str">
        <f>IF($FH5477="","",SUM($FN5477:$FN$7000))</f>
        <v/>
      </c>
    </row>
    <row r="5478" spans="164:167">
      <c r="FH5478" s="29" t="str">
        <f t="shared" si="140"/>
        <v/>
      </c>
      <c r="FJ5478" s="36" t="str">
        <f>IF($FH5478="","",SUM($FN5478:$FN$7000))</f>
        <v/>
      </c>
      <c r="FK5478" s="36" t="str">
        <f>IF($FH5478="","",SUM($FN5478:$FN$7000))</f>
        <v/>
      </c>
    </row>
    <row r="5479" spans="164:167">
      <c r="FH5479" s="29" t="str">
        <f t="shared" si="140"/>
        <v/>
      </c>
      <c r="FJ5479" s="36" t="str">
        <f>IF($FH5479="","",SUM($FN5479:$FN$7000))</f>
        <v/>
      </c>
      <c r="FK5479" s="36" t="str">
        <f>IF($FH5479="","",SUM($FN5479:$FN$7000))</f>
        <v/>
      </c>
    </row>
    <row r="5480" spans="164:167">
      <c r="FH5480" s="29" t="str">
        <f t="shared" si="140"/>
        <v/>
      </c>
      <c r="FJ5480" s="36" t="str">
        <f>IF($FH5480="","",SUM($FN5480:$FN$7000))</f>
        <v/>
      </c>
      <c r="FK5480" s="36" t="str">
        <f>IF($FH5480="","",SUM($FN5480:$FN$7000))</f>
        <v/>
      </c>
    </row>
    <row r="5481" spans="164:167">
      <c r="FH5481" s="29" t="str">
        <f t="shared" si="140"/>
        <v/>
      </c>
      <c r="FJ5481" s="36" t="str">
        <f>IF($FH5481="","",SUM($FN5481:$FN$7000))</f>
        <v/>
      </c>
      <c r="FK5481" s="36" t="str">
        <f>IF($FH5481="","",SUM($FN5481:$FN$7000))</f>
        <v/>
      </c>
    </row>
    <row r="5482" spans="164:167">
      <c r="FH5482" s="29" t="str">
        <f t="shared" si="140"/>
        <v/>
      </c>
      <c r="FJ5482" s="36" t="str">
        <f>IF($FH5482="","",SUM($FN5482:$FN$7000))</f>
        <v/>
      </c>
      <c r="FK5482" s="36" t="str">
        <f>IF($FH5482="","",SUM($FN5482:$FN$7000))</f>
        <v/>
      </c>
    </row>
    <row r="5483" spans="164:167">
      <c r="FH5483" s="29" t="str">
        <f t="shared" si="140"/>
        <v/>
      </c>
      <c r="FJ5483" s="36" t="str">
        <f>IF($FH5483="","",SUM($FN5483:$FN$7000))</f>
        <v/>
      </c>
      <c r="FK5483" s="36" t="str">
        <f>IF($FH5483="","",SUM($FN5483:$FN$7000))</f>
        <v/>
      </c>
    </row>
    <row r="5484" spans="164:167">
      <c r="FH5484" s="29" t="str">
        <f t="shared" si="140"/>
        <v/>
      </c>
      <c r="FJ5484" s="36" t="str">
        <f>IF($FH5484="","",SUM($FN5484:$FN$7000))</f>
        <v/>
      </c>
      <c r="FK5484" s="36" t="str">
        <f>IF($FH5484="","",SUM($FN5484:$FN$7000))</f>
        <v/>
      </c>
    </row>
    <row r="5485" spans="164:167">
      <c r="FH5485" s="29" t="str">
        <f t="shared" si="140"/>
        <v/>
      </c>
      <c r="FJ5485" s="36" t="str">
        <f>IF($FH5485="","",SUM($FN5485:$FN$7000))</f>
        <v/>
      </c>
      <c r="FK5485" s="36" t="str">
        <f>IF($FH5485="","",SUM($FN5485:$FN$7000))</f>
        <v/>
      </c>
    </row>
    <row r="5486" spans="164:167">
      <c r="FH5486" s="29" t="str">
        <f t="shared" si="140"/>
        <v/>
      </c>
      <c r="FJ5486" s="36" t="str">
        <f>IF($FH5486="","",SUM($FN5486:$FN$7000))</f>
        <v/>
      </c>
      <c r="FK5486" s="36" t="str">
        <f>IF($FH5486="","",SUM($FN5486:$FN$7000))</f>
        <v/>
      </c>
    </row>
    <row r="5487" spans="164:167">
      <c r="FH5487" s="29" t="str">
        <f t="shared" si="140"/>
        <v/>
      </c>
      <c r="FJ5487" s="36" t="str">
        <f>IF($FH5487="","",SUM($FN5487:$FN$7000))</f>
        <v/>
      </c>
      <c r="FK5487" s="36" t="str">
        <f>IF($FH5487="","",SUM($FN5487:$FN$7000))</f>
        <v/>
      </c>
    </row>
    <row r="5488" spans="164:167">
      <c r="FH5488" s="29" t="str">
        <f t="shared" si="140"/>
        <v/>
      </c>
      <c r="FJ5488" s="36" t="str">
        <f>IF($FH5488="","",SUM($FN5488:$FN$7000))</f>
        <v/>
      </c>
      <c r="FK5488" s="36" t="str">
        <f>IF($FH5488="","",SUM($FN5488:$FN$7000))</f>
        <v/>
      </c>
    </row>
    <row r="5489" spans="164:167">
      <c r="FH5489" s="29" t="str">
        <f t="shared" si="140"/>
        <v/>
      </c>
      <c r="FJ5489" s="36" t="str">
        <f>IF($FH5489="","",SUM($FN5489:$FN$7000))</f>
        <v/>
      </c>
      <c r="FK5489" s="36" t="str">
        <f>IF($FH5489="","",SUM($FN5489:$FN$7000))</f>
        <v/>
      </c>
    </row>
    <row r="5490" spans="164:167">
      <c r="FH5490" s="29" t="str">
        <f t="shared" si="140"/>
        <v/>
      </c>
      <c r="FJ5490" s="36" t="str">
        <f>IF($FH5490="","",SUM($FN5490:$FN$7000))</f>
        <v/>
      </c>
      <c r="FK5490" s="36" t="str">
        <f>IF($FH5490="","",SUM($FN5490:$FN$7000))</f>
        <v/>
      </c>
    </row>
    <row r="5491" spans="164:167">
      <c r="FH5491" s="29" t="str">
        <f t="shared" si="140"/>
        <v/>
      </c>
      <c r="FJ5491" s="36" t="str">
        <f>IF($FH5491="","",SUM($FN5491:$FN$7000))</f>
        <v/>
      </c>
      <c r="FK5491" s="36" t="str">
        <f>IF($FH5491="","",SUM($FN5491:$FN$7000))</f>
        <v/>
      </c>
    </row>
    <row r="5492" spans="164:167">
      <c r="FH5492" s="29" t="str">
        <f t="shared" si="140"/>
        <v/>
      </c>
      <c r="FJ5492" s="36" t="str">
        <f>IF($FH5492="","",SUM($FN5492:$FN$7000))</f>
        <v/>
      </c>
      <c r="FK5492" s="36" t="str">
        <f>IF($FH5492="","",SUM($FN5492:$FN$7000))</f>
        <v/>
      </c>
    </row>
    <row r="5493" spans="164:167">
      <c r="FH5493" s="29" t="str">
        <f t="shared" si="140"/>
        <v/>
      </c>
      <c r="FJ5493" s="36" t="str">
        <f>IF($FH5493="","",SUM($FN5493:$FN$7000))</f>
        <v/>
      </c>
      <c r="FK5493" s="36" t="str">
        <f>IF($FH5493="","",SUM($FN5493:$FN$7000))</f>
        <v/>
      </c>
    </row>
    <row r="5494" spans="164:167">
      <c r="FH5494" s="29" t="str">
        <f t="shared" si="140"/>
        <v/>
      </c>
      <c r="FJ5494" s="36" t="str">
        <f>IF($FH5494="","",SUM($FN5494:$FN$7000))</f>
        <v/>
      </c>
      <c r="FK5494" s="36" t="str">
        <f>IF($FH5494="","",SUM($FN5494:$FN$7000))</f>
        <v/>
      </c>
    </row>
    <row r="5495" spans="164:167">
      <c r="FH5495" s="29" t="str">
        <f t="shared" si="140"/>
        <v/>
      </c>
      <c r="FJ5495" s="36" t="str">
        <f>IF($FH5495="","",SUM($FN5495:$FN$7000))</f>
        <v/>
      </c>
      <c r="FK5495" s="36" t="str">
        <f>IF($FH5495="","",SUM($FN5495:$FN$7000))</f>
        <v/>
      </c>
    </row>
    <row r="5496" spans="164:167">
      <c r="FH5496" s="29" t="str">
        <f t="shared" si="140"/>
        <v/>
      </c>
      <c r="FJ5496" s="36" t="str">
        <f>IF($FH5496="","",SUM($FN5496:$FN$7000))</f>
        <v/>
      </c>
      <c r="FK5496" s="36" t="str">
        <f>IF($FH5496="","",SUM($FN5496:$FN$7000))</f>
        <v/>
      </c>
    </row>
    <row r="5497" spans="164:167">
      <c r="FH5497" s="29" t="str">
        <f t="shared" si="140"/>
        <v/>
      </c>
      <c r="FJ5497" s="36" t="str">
        <f>IF($FH5497="","",SUM($FN5497:$FN$7000))</f>
        <v/>
      </c>
      <c r="FK5497" s="36" t="str">
        <f>IF($FH5497="","",SUM($FN5497:$FN$7000))</f>
        <v/>
      </c>
    </row>
    <row r="5498" spans="164:167">
      <c r="FH5498" s="29" t="str">
        <f t="shared" si="140"/>
        <v/>
      </c>
      <c r="FJ5498" s="36" t="str">
        <f>IF($FH5498="","",SUM($FN5498:$FN$7000))</f>
        <v/>
      </c>
      <c r="FK5498" s="36" t="str">
        <f>IF($FH5498="","",SUM($FN5498:$FN$7000))</f>
        <v/>
      </c>
    </row>
    <row r="5499" spans="164:167">
      <c r="FH5499" s="29" t="str">
        <f t="shared" si="140"/>
        <v/>
      </c>
      <c r="FJ5499" s="36" t="str">
        <f>IF($FH5499="","",SUM($FN5499:$FN$7000))</f>
        <v/>
      </c>
      <c r="FK5499" s="36" t="str">
        <f>IF($FH5499="","",SUM($FN5499:$FN$7000))</f>
        <v/>
      </c>
    </row>
    <row r="5500" spans="164:167">
      <c r="FH5500" s="29" t="str">
        <f t="shared" si="140"/>
        <v/>
      </c>
      <c r="FJ5500" s="36" t="str">
        <f>IF($FH5500="","",SUM($FN5500:$FN$7000))</f>
        <v/>
      </c>
      <c r="FK5500" s="36" t="str">
        <f>IF($FH5500="","",SUM($FN5500:$FN$7000))</f>
        <v/>
      </c>
    </row>
    <row r="5501" spans="164:167">
      <c r="FH5501" s="29" t="str">
        <f t="shared" si="140"/>
        <v/>
      </c>
      <c r="FJ5501" s="36" t="str">
        <f>IF($FH5501="","",SUM($FN5501:$FN$7000))</f>
        <v/>
      </c>
      <c r="FK5501" s="36" t="str">
        <f>IF($FH5501="","",SUM($FN5501:$FN$7000))</f>
        <v/>
      </c>
    </row>
    <row r="5502" spans="164:167">
      <c r="FH5502" s="29" t="str">
        <f t="shared" si="140"/>
        <v/>
      </c>
      <c r="FJ5502" s="36" t="str">
        <f>IF($FH5502="","",SUM($FN5502:$FN$7000))</f>
        <v/>
      </c>
      <c r="FK5502" s="36" t="str">
        <f>IF($FH5502="","",SUM($FN5502:$FN$7000))</f>
        <v/>
      </c>
    </row>
    <row r="5503" spans="164:167">
      <c r="FH5503" s="29" t="str">
        <f t="shared" si="140"/>
        <v/>
      </c>
      <c r="FJ5503" s="36" t="str">
        <f>IF($FH5503="","",SUM($FN5503:$FN$7000))</f>
        <v/>
      </c>
      <c r="FK5503" s="36" t="str">
        <f>IF($FH5503="","",SUM($FN5503:$FN$7000))</f>
        <v/>
      </c>
    </row>
    <row r="5504" spans="164:167">
      <c r="FH5504" s="29" t="str">
        <f t="shared" si="140"/>
        <v/>
      </c>
      <c r="FJ5504" s="36" t="str">
        <f>IF($FH5504="","",SUM($FN5504:$FN$7000))</f>
        <v/>
      </c>
      <c r="FK5504" s="36" t="str">
        <f>IF($FH5504="","",SUM($FN5504:$FN$7000))</f>
        <v/>
      </c>
    </row>
    <row r="5505" spans="164:167">
      <c r="FH5505" s="29" t="str">
        <f t="shared" si="140"/>
        <v/>
      </c>
      <c r="FJ5505" s="36" t="str">
        <f>IF($FH5505="","",SUM($FN5505:$FN$7000))</f>
        <v/>
      </c>
      <c r="FK5505" s="36" t="str">
        <f>IF($FH5505="","",SUM($FN5505:$FN$7000))</f>
        <v/>
      </c>
    </row>
    <row r="5506" spans="164:167">
      <c r="FH5506" s="29" t="str">
        <f t="shared" si="140"/>
        <v/>
      </c>
      <c r="FJ5506" s="36" t="str">
        <f>IF($FH5506="","",SUM($FN5506:$FN$7000))</f>
        <v/>
      </c>
      <c r="FK5506" s="36" t="str">
        <f>IF($FH5506="","",SUM($FN5506:$FN$7000))</f>
        <v/>
      </c>
    </row>
    <row r="5507" spans="164:167">
      <c r="FH5507" s="29" t="str">
        <f t="shared" si="140"/>
        <v/>
      </c>
      <c r="FJ5507" s="36" t="str">
        <f>IF($FH5507="","",SUM($FN5507:$FN$7000))</f>
        <v/>
      </c>
      <c r="FK5507" s="36" t="str">
        <f>IF($FH5507="","",SUM($FN5507:$FN$7000))</f>
        <v/>
      </c>
    </row>
    <row r="5508" spans="164:167">
      <c r="FH5508" s="29" t="str">
        <f t="shared" si="140"/>
        <v/>
      </c>
      <c r="FJ5508" s="36" t="str">
        <f>IF($FH5508="","",SUM($FN5508:$FN$7000))</f>
        <v/>
      </c>
      <c r="FK5508" s="36" t="str">
        <f>IF($FH5508="","",SUM($FN5508:$FN$7000))</f>
        <v/>
      </c>
    </row>
    <row r="5509" spans="164:167">
      <c r="FH5509" s="29" t="str">
        <f t="shared" si="140"/>
        <v/>
      </c>
      <c r="FJ5509" s="36" t="str">
        <f>IF($FH5509="","",SUM($FN5509:$FN$7000))</f>
        <v/>
      </c>
      <c r="FK5509" s="36" t="str">
        <f>IF($FH5509="","",SUM($FN5509:$FN$7000))</f>
        <v/>
      </c>
    </row>
    <row r="5510" spans="164:167">
      <c r="FH5510" s="29" t="str">
        <f t="shared" si="140"/>
        <v/>
      </c>
      <c r="FJ5510" s="36" t="str">
        <f>IF($FH5510="","",SUM($FN5510:$FN$7000))</f>
        <v/>
      </c>
      <c r="FK5510" s="36" t="str">
        <f>IF($FH5510="","",SUM($FN5510:$FN$7000))</f>
        <v/>
      </c>
    </row>
    <row r="5511" spans="164:167">
      <c r="FH5511" s="29" t="str">
        <f t="shared" si="140"/>
        <v/>
      </c>
      <c r="FJ5511" s="36" t="str">
        <f>IF($FH5511="","",SUM($FN5511:$FN$7000))</f>
        <v/>
      </c>
      <c r="FK5511" s="36" t="str">
        <f>IF($FH5511="","",SUM($FN5511:$FN$7000))</f>
        <v/>
      </c>
    </row>
    <row r="5512" spans="164:167">
      <c r="FH5512" s="29" t="str">
        <f t="shared" si="140"/>
        <v/>
      </c>
      <c r="FJ5512" s="36" t="str">
        <f>IF($FH5512="","",SUM($FN5512:$FN$7000))</f>
        <v/>
      </c>
      <c r="FK5512" s="36" t="str">
        <f>IF($FH5512="","",SUM($FN5512:$FN$7000))</f>
        <v/>
      </c>
    </row>
    <row r="5513" spans="164:167">
      <c r="FH5513" s="29" t="str">
        <f t="shared" si="140"/>
        <v/>
      </c>
      <c r="FJ5513" s="36" t="str">
        <f>IF($FH5513="","",SUM($FN5513:$FN$7000))</f>
        <v/>
      </c>
      <c r="FK5513" s="36" t="str">
        <f>IF($FH5513="","",SUM($FN5513:$FN$7000))</f>
        <v/>
      </c>
    </row>
    <row r="5514" spans="164:167">
      <c r="FH5514" s="29" t="str">
        <f t="shared" si="140"/>
        <v/>
      </c>
      <c r="FJ5514" s="36" t="str">
        <f>IF($FH5514="","",SUM($FN5514:$FN$7000))</f>
        <v/>
      </c>
      <c r="FK5514" s="36" t="str">
        <f>IF($FH5514="","",SUM($FN5514:$FN$7000))</f>
        <v/>
      </c>
    </row>
    <row r="5515" spans="164:167">
      <c r="FH5515" s="29" t="str">
        <f t="shared" ref="FH5515:FH5578" si="141">IF(FL5515="","",FL5515)</f>
        <v/>
      </c>
      <c r="FJ5515" s="36" t="str">
        <f>IF($FH5515="","",SUM($FN5515:$FN$7000))</f>
        <v/>
      </c>
      <c r="FK5515" s="36" t="str">
        <f>IF($FH5515="","",SUM($FN5515:$FN$7000))</f>
        <v/>
      </c>
    </row>
    <row r="5516" spans="164:167">
      <c r="FH5516" s="29" t="str">
        <f t="shared" si="141"/>
        <v/>
      </c>
      <c r="FJ5516" s="36" t="str">
        <f>IF($FH5516="","",SUM($FN5516:$FN$7000))</f>
        <v/>
      </c>
      <c r="FK5516" s="36" t="str">
        <f>IF($FH5516="","",SUM($FN5516:$FN$7000))</f>
        <v/>
      </c>
    </row>
    <row r="5517" spans="164:167">
      <c r="FH5517" s="29" t="str">
        <f t="shared" si="141"/>
        <v/>
      </c>
      <c r="FJ5517" s="36" t="str">
        <f>IF($FH5517="","",SUM($FN5517:$FN$7000))</f>
        <v/>
      </c>
      <c r="FK5517" s="36" t="str">
        <f>IF($FH5517="","",SUM($FN5517:$FN$7000))</f>
        <v/>
      </c>
    </row>
    <row r="5518" spans="164:167">
      <c r="FH5518" s="29" t="str">
        <f t="shared" si="141"/>
        <v/>
      </c>
      <c r="FJ5518" s="36" t="str">
        <f>IF($FH5518="","",SUM($FN5518:$FN$7000))</f>
        <v/>
      </c>
      <c r="FK5518" s="36" t="str">
        <f>IF($FH5518="","",SUM($FN5518:$FN$7000))</f>
        <v/>
      </c>
    </row>
    <row r="5519" spans="164:167">
      <c r="FH5519" s="29" t="str">
        <f t="shared" si="141"/>
        <v/>
      </c>
      <c r="FJ5519" s="36" t="str">
        <f>IF($FH5519="","",SUM($FN5519:$FN$7000))</f>
        <v/>
      </c>
      <c r="FK5519" s="36" t="str">
        <f>IF($FH5519="","",SUM($FN5519:$FN$7000))</f>
        <v/>
      </c>
    </row>
    <row r="5520" spans="164:167">
      <c r="FH5520" s="29" t="str">
        <f t="shared" si="141"/>
        <v/>
      </c>
      <c r="FJ5520" s="36" t="str">
        <f>IF($FH5520="","",SUM($FN5520:$FN$7000))</f>
        <v/>
      </c>
      <c r="FK5520" s="36" t="str">
        <f>IF($FH5520="","",SUM($FN5520:$FN$7000))</f>
        <v/>
      </c>
    </row>
    <row r="5521" spans="164:167">
      <c r="FH5521" s="29" t="str">
        <f t="shared" si="141"/>
        <v/>
      </c>
      <c r="FJ5521" s="36" t="str">
        <f>IF($FH5521="","",SUM($FN5521:$FN$7000))</f>
        <v/>
      </c>
      <c r="FK5521" s="36" t="str">
        <f>IF($FH5521="","",SUM($FN5521:$FN$7000))</f>
        <v/>
      </c>
    </row>
    <row r="5522" spans="164:167">
      <c r="FH5522" s="29" t="str">
        <f t="shared" si="141"/>
        <v/>
      </c>
      <c r="FJ5522" s="36" t="str">
        <f>IF($FH5522="","",SUM($FN5522:$FN$7000))</f>
        <v/>
      </c>
      <c r="FK5522" s="36" t="str">
        <f>IF($FH5522="","",SUM($FN5522:$FN$7000))</f>
        <v/>
      </c>
    </row>
    <row r="5523" spans="164:167">
      <c r="FH5523" s="29" t="str">
        <f t="shared" si="141"/>
        <v/>
      </c>
      <c r="FJ5523" s="36" t="str">
        <f>IF($FH5523="","",SUM($FN5523:$FN$7000))</f>
        <v/>
      </c>
      <c r="FK5523" s="36" t="str">
        <f>IF($FH5523="","",SUM($FN5523:$FN$7000))</f>
        <v/>
      </c>
    </row>
    <row r="5524" spans="164:167">
      <c r="FH5524" s="29" t="str">
        <f t="shared" si="141"/>
        <v/>
      </c>
      <c r="FJ5524" s="36" t="str">
        <f>IF($FH5524="","",SUM($FN5524:$FN$7000))</f>
        <v/>
      </c>
      <c r="FK5524" s="36" t="str">
        <f>IF($FH5524="","",SUM($FN5524:$FN$7000))</f>
        <v/>
      </c>
    </row>
    <row r="5525" spans="164:167">
      <c r="FH5525" s="29" t="str">
        <f t="shared" si="141"/>
        <v/>
      </c>
      <c r="FJ5525" s="36" t="str">
        <f>IF($FH5525="","",SUM($FN5525:$FN$7000))</f>
        <v/>
      </c>
      <c r="FK5525" s="36" t="str">
        <f>IF($FH5525="","",SUM($FN5525:$FN$7000))</f>
        <v/>
      </c>
    </row>
    <row r="5526" spans="164:167">
      <c r="FH5526" s="29" t="str">
        <f t="shared" si="141"/>
        <v/>
      </c>
      <c r="FJ5526" s="36" t="str">
        <f>IF($FH5526="","",SUM($FN5526:$FN$7000))</f>
        <v/>
      </c>
      <c r="FK5526" s="36" t="str">
        <f>IF($FH5526="","",SUM($FN5526:$FN$7000))</f>
        <v/>
      </c>
    </row>
    <row r="5527" spans="164:167">
      <c r="FH5527" s="29" t="str">
        <f t="shared" si="141"/>
        <v/>
      </c>
      <c r="FJ5527" s="36" t="str">
        <f>IF($FH5527="","",SUM($FN5527:$FN$7000))</f>
        <v/>
      </c>
      <c r="FK5527" s="36" t="str">
        <f>IF($FH5527="","",SUM($FN5527:$FN$7000))</f>
        <v/>
      </c>
    </row>
    <row r="5528" spans="164:167">
      <c r="FH5528" s="29" t="str">
        <f t="shared" si="141"/>
        <v/>
      </c>
      <c r="FJ5528" s="36" t="str">
        <f>IF($FH5528="","",SUM($FN5528:$FN$7000))</f>
        <v/>
      </c>
      <c r="FK5528" s="36" t="str">
        <f>IF($FH5528="","",SUM($FN5528:$FN$7000))</f>
        <v/>
      </c>
    </row>
    <row r="5529" spans="164:167">
      <c r="FH5529" s="29" t="str">
        <f t="shared" si="141"/>
        <v/>
      </c>
      <c r="FJ5529" s="36" t="str">
        <f>IF($FH5529="","",SUM($FN5529:$FN$7000))</f>
        <v/>
      </c>
      <c r="FK5529" s="36" t="str">
        <f>IF($FH5529="","",SUM($FN5529:$FN$7000))</f>
        <v/>
      </c>
    </row>
    <row r="5530" spans="164:167">
      <c r="FH5530" s="29" t="str">
        <f t="shared" si="141"/>
        <v/>
      </c>
      <c r="FJ5530" s="36" t="str">
        <f>IF($FH5530="","",SUM($FN5530:$FN$7000))</f>
        <v/>
      </c>
      <c r="FK5530" s="36" t="str">
        <f>IF($FH5530="","",SUM($FN5530:$FN$7000))</f>
        <v/>
      </c>
    </row>
    <row r="5531" spans="164:167">
      <c r="FH5531" s="29" t="str">
        <f t="shared" si="141"/>
        <v/>
      </c>
      <c r="FJ5531" s="36" t="str">
        <f>IF($FH5531="","",SUM($FN5531:$FN$7000))</f>
        <v/>
      </c>
      <c r="FK5531" s="36" t="str">
        <f>IF($FH5531="","",SUM($FN5531:$FN$7000))</f>
        <v/>
      </c>
    </row>
    <row r="5532" spans="164:167">
      <c r="FH5532" s="29" t="str">
        <f t="shared" si="141"/>
        <v/>
      </c>
      <c r="FJ5532" s="36" t="str">
        <f>IF($FH5532="","",SUM($FN5532:$FN$7000))</f>
        <v/>
      </c>
      <c r="FK5532" s="36" t="str">
        <f>IF($FH5532="","",SUM($FN5532:$FN$7000))</f>
        <v/>
      </c>
    </row>
    <row r="5533" spans="164:167">
      <c r="FH5533" s="29" t="str">
        <f t="shared" si="141"/>
        <v/>
      </c>
      <c r="FJ5533" s="36" t="str">
        <f>IF($FH5533="","",SUM($FN5533:$FN$7000))</f>
        <v/>
      </c>
      <c r="FK5533" s="36" t="str">
        <f>IF($FH5533="","",SUM($FN5533:$FN$7000))</f>
        <v/>
      </c>
    </row>
    <row r="5534" spans="164:167">
      <c r="FH5534" s="29" t="str">
        <f t="shared" si="141"/>
        <v/>
      </c>
      <c r="FJ5534" s="36" t="str">
        <f>IF($FH5534="","",SUM($FN5534:$FN$7000))</f>
        <v/>
      </c>
      <c r="FK5534" s="36" t="str">
        <f>IF($FH5534="","",SUM($FN5534:$FN$7000))</f>
        <v/>
      </c>
    </row>
    <row r="5535" spans="164:167">
      <c r="FH5535" s="29" t="str">
        <f t="shared" si="141"/>
        <v/>
      </c>
      <c r="FJ5535" s="36" t="str">
        <f>IF($FH5535="","",SUM($FN5535:$FN$7000))</f>
        <v/>
      </c>
      <c r="FK5535" s="36" t="str">
        <f>IF($FH5535="","",SUM($FN5535:$FN$7000))</f>
        <v/>
      </c>
    </row>
    <row r="5536" spans="164:167">
      <c r="FH5536" s="29" t="str">
        <f t="shared" si="141"/>
        <v/>
      </c>
      <c r="FJ5536" s="36" t="str">
        <f>IF($FH5536="","",SUM($FN5536:$FN$7000))</f>
        <v/>
      </c>
      <c r="FK5536" s="36" t="str">
        <f>IF($FH5536="","",SUM($FN5536:$FN$7000))</f>
        <v/>
      </c>
    </row>
    <row r="5537" spans="164:167">
      <c r="FH5537" s="29" t="str">
        <f t="shared" si="141"/>
        <v/>
      </c>
      <c r="FJ5537" s="36" t="str">
        <f>IF($FH5537="","",SUM($FN5537:$FN$7000))</f>
        <v/>
      </c>
      <c r="FK5537" s="36" t="str">
        <f>IF($FH5537="","",SUM($FN5537:$FN$7000))</f>
        <v/>
      </c>
    </row>
    <row r="5538" spans="164:167">
      <c r="FH5538" s="29" t="str">
        <f t="shared" si="141"/>
        <v/>
      </c>
      <c r="FJ5538" s="36" t="str">
        <f>IF($FH5538="","",SUM($FN5538:$FN$7000))</f>
        <v/>
      </c>
      <c r="FK5538" s="36" t="str">
        <f>IF($FH5538="","",SUM($FN5538:$FN$7000))</f>
        <v/>
      </c>
    </row>
    <row r="5539" spans="164:167">
      <c r="FH5539" s="29" t="str">
        <f t="shared" si="141"/>
        <v/>
      </c>
      <c r="FJ5539" s="36" t="str">
        <f>IF($FH5539="","",SUM($FN5539:$FN$7000))</f>
        <v/>
      </c>
      <c r="FK5539" s="36" t="str">
        <f>IF($FH5539="","",SUM($FN5539:$FN$7000))</f>
        <v/>
      </c>
    </row>
    <row r="5540" spans="164:167">
      <c r="FH5540" s="29" t="str">
        <f t="shared" si="141"/>
        <v/>
      </c>
      <c r="FJ5540" s="36" t="str">
        <f>IF($FH5540="","",SUM($FN5540:$FN$7000))</f>
        <v/>
      </c>
      <c r="FK5540" s="36" t="str">
        <f>IF($FH5540="","",SUM($FN5540:$FN$7000))</f>
        <v/>
      </c>
    </row>
    <row r="5541" spans="164:167">
      <c r="FH5541" s="29" t="str">
        <f t="shared" si="141"/>
        <v/>
      </c>
      <c r="FJ5541" s="36" t="str">
        <f>IF($FH5541="","",SUM($FN5541:$FN$7000))</f>
        <v/>
      </c>
      <c r="FK5541" s="36" t="str">
        <f>IF($FH5541="","",SUM($FN5541:$FN$7000))</f>
        <v/>
      </c>
    </row>
    <row r="5542" spans="164:167">
      <c r="FH5542" s="29" t="str">
        <f t="shared" si="141"/>
        <v/>
      </c>
      <c r="FJ5542" s="36" t="str">
        <f>IF($FH5542="","",SUM($FN5542:$FN$7000))</f>
        <v/>
      </c>
      <c r="FK5542" s="36" t="str">
        <f>IF($FH5542="","",SUM($FN5542:$FN$7000))</f>
        <v/>
      </c>
    </row>
    <row r="5543" spans="164:167">
      <c r="FH5543" s="29" t="str">
        <f t="shared" si="141"/>
        <v/>
      </c>
      <c r="FJ5543" s="36" t="str">
        <f>IF($FH5543="","",SUM($FN5543:$FN$7000))</f>
        <v/>
      </c>
      <c r="FK5543" s="36" t="str">
        <f>IF($FH5543="","",SUM($FN5543:$FN$7000))</f>
        <v/>
      </c>
    </row>
    <row r="5544" spans="164:167">
      <c r="FH5544" s="29" t="str">
        <f t="shared" si="141"/>
        <v/>
      </c>
      <c r="FJ5544" s="36" t="str">
        <f>IF($FH5544="","",SUM($FN5544:$FN$7000))</f>
        <v/>
      </c>
      <c r="FK5544" s="36" t="str">
        <f>IF($FH5544="","",SUM($FN5544:$FN$7000))</f>
        <v/>
      </c>
    </row>
    <row r="5545" spans="164:167">
      <c r="FH5545" s="29" t="str">
        <f t="shared" si="141"/>
        <v/>
      </c>
      <c r="FJ5545" s="36" t="str">
        <f>IF($FH5545="","",SUM($FN5545:$FN$7000))</f>
        <v/>
      </c>
      <c r="FK5545" s="36" t="str">
        <f>IF($FH5545="","",SUM($FN5545:$FN$7000))</f>
        <v/>
      </c>
    </row>
    <row r="5546" spans="164:167">
      <c r="FH5546" s="29" t="str">
        <f t="shared" si="141"/>
        <v/>
      </c>
      <c r="FJ5546" s="36" t="str">
        <f>IF($FH5546="","",SUM($FN5546:$FN$7000))</f>
        <v/>
      </c>
      <c r="FK5546" s="36" t="str">
        <f>IF($FH5546="","",SUM($FN5546:$FN$7000))</f>
        <v/>
      </c>
    </row>
    <row r="5547" spans="164:167">
      <c r="FH5547" s="29" t="str">
        <f t="shared" si="141"/>
        <v/>
      </c>
      <c r="FJ5547" s="36" t="str">
        <f>IF($FH5547="","",SUM($FN5547:$FN$7000))</f>
        <v/>
      </c>
      <c r="FK5547" s="36" t="str">
        <f>IF($FH5547="","",SUM($FN5547:$FN$7000))</f>
        <v/>
      </c>
    </row>
    <row r="5548" spans="164:167">
      <c r="FH5548" s="29" t="str">
        <f t="shared" si="141"/>
        <v/>
      </c>
      <c r="FJ5548" s="36" t="str">
        <f>IF($FH5548="","",SUM($FN5548:$FN$7000))</f>
        <v/>
      </c>
      <c r="FK5548" s="36" t="str">
        <f>IF($FH5548="","",SUM($FN5548:$FN$7000))</f>
        <v/>
      </c>
    </row>
    <row r="5549" spans="164:167">
      <c r="FH5549" s="29" t="str">
        <f t="shared" si="141"/>
        <v/>
      </c>
      <c r="FJ5549" s="36" t="str">
        <f>IF($FH5549="","",SUM($FN5549:$FN$7000))</f>
        <v/>
      </c>
      <c r="FK5549" s="36" t="str">
        <f>IF($FH5549="","",SUM($FN5549:$FN$7000))</f>
        <v/>
      </c>
    </row>
    <row r="5550" spans="164:167">
      <c r="FH5550" s="29" t="str">
        <f t="shared" si="141"/>
        <v/>
      </c>
      <c r="FJ5550" s="36" t="str">
        <f>IF($FH5550="","",SUM($FN5550:$FN$7000))</f>
        <v/>
      </c>
      <c r="FK5550" s="36" t="str">
        <f>IF($FH5550="","",SUM($FN5550:$FN$7000))</f>
        <v/>
      </c>
    </row>
    <row r="5551" spans="164:167">
      <c r="FH5551" s="29" t="str">
        <f t="shared" si="141"/>
        <v/>
      </c>
      <c r="FJ5551" s="36" t="str">
        <f>IF($FH5551="","",SUM($FN5551:$FN$7000))</f>
        <v/>
      </c>
      <c r="FK5551" s="36" t="str">
        <f>IF($FH5551="","",SUM($FN5551:$FN$7000))</f>
        <v/>
      </c>
    </row>
    <row r="5552" spans="164:167">
      <c r="FH5552" s="29" t="str">
        <f t="shared" si="141"/>
        <v/>
      </c>
      <c r="FJ5552" s="36" t="str">
        <f>IF($FH5552="","",SUM($FN5552:$FN$7000))</f>
        <v/>
      </c>
      <c r="FK5552" s="36" t="str">
        <f>IF($FH5552="","",SUM($FN5552:$FN$7000))</f>
        <v/>
      </c>
    </row>
    <row r="5553" spans="164:167">
      <c r="FH5553" s="29" t="str">
        <f t="shared" si="141"/>
        <v/>
      </c>
      <c r="FJ5553" s="36" t="str">
        <f>IF($FH5553="","",SUM($FN5553:$FN$7000))</f>
        <v/>
      </c>
      <c r="FK5553" s="36" t="str">
        <f>IF($FH5553="","",SUM($FN5553:$FN$7000))</f>
        <v/>
      </c>
    </row>
    <row r="5554" spans="164:167">
      <c r="FH5554" s="29" t="str">
        <f t="shared" si="141"/>
        <v/>
      </c>
      <c r="FJ5554" s="36" t="str">
        <f>IF($FH5554="","",SUM($FN5554:$FN$7000))</f>
        <v/>
      </c>
      <c r="FK5554" s="36" t="str">
        <f>IF($FH5554="","",SUM($FN5554:$FN$7000))</f>
        <v/>
      </c>
    </row>
    <row r="5555" spans="164:167">
      <c r="FH5555" s="29" t="str">
        <f t="shared" si="141"/>
        <v/>
      </c>
      <c r="FJ5555" s="36" t="str">
        <f>IF($FH5555="","",SUM($FN5555:$FN$7000))</f>
        <v/>
      </c>
      <c r="FK5555" s="36" t="str">
        <f>IF($FH5555="","",SUM($FN5555:$FN$7000))</f>
        <v/>
      </c>
    </row>
    <row r="5556" spans="164:167">
      <c r="FH5556" s="29" t="str">
        <f t="shared" si="141"/>
        <v/>
      </c>
      <c r="FJ5556" s="36" t="str">
        <f>IF($FH5556="","",SUM($FN5556:$FN$7000))</f>
        <v/>
      </c>
      <c r="FK5556" s="36" t="str">
        <f>IF($FH5556="","",SUM($FN5556:$FN$7000))</f>
        <v/>
      </c>
    </row>
    <row r="5557" spans="164:167">
      <c r="FH5557" s="29" t="str">
        <f t="shared" si="141"/>
        <v/>
      </c>
      <c r="FJ5557" s="36" t="str">
        <f>IF($FH5557="","",SUM($FN5557:$FN$7000))</f>
        <v/>
      </c>
      <c r="FK5557" s="36" t="str">
        <f>IF($FH5557="","",SUM($FN5557:$FN$7000))</f>
        <v/>
      </c>
    </row>
    <row r="5558" spans="164:167">
      <c r="FH5558" s="29" t="str">
        <f t="shared" si="141"/>
        <v/>
      </c>
      <c r="FJ5558" s="36" t="str">
        <f>IF($FH5558="","",SUM($FN5558:$FN$7000))</f>
        <v/>
      </c>
      <c r="FK5558" s="36" t="str">
        <f>IF($FH5558="","",SUM($FN5558:$FN$7000))</f>
        <v/>
      </c>
    </row>
    <row r="5559" spans="164:167">
      <c r="FH5559" s="29" t="str">
        <f t="shared" si="141"/>
        <v/>
      </c>
      <c r="FJ5559" s="36" t="str">
        <f>IF($FH5559="","",SUM($FN5559:$FN$7000))</f>
        <v/>
      </c>
      <c r="FK5559" s="36" t="str">
        <f>IF($FH5559="","",SUM($FN5559:$FN$7000))</f>
        <v/>
      </c>
    </row>
    <row r="5560" spans="164:167">
      <c r="FH5560" s="29" t="str">
        <f t="shared" si="141"/>
        <v/>
      </c>
      <c r="FJ5560" s="36" t="str">
        <f>IF($FH5560="","",SUM($FN5560:$FN$7000))</f>
        <v/>
      </c>
      <c r="FK5560" s="36" t="str">
        <f>IF($FH5560="","",SUM($FN5560:$FN$7000))</f>
        <v/>
      </c>
    </row>
    <row r="5561" spans="164:167">
      <c r="FH5561" s="29" t="str">
        <f t="shared" si="141"/>
        <v/>
      </c>
      <c r="FJ5561" s="36" t="str">
        <f>IF($FH5561="","",SUM($FN5561:$FN$7000))</f>
        <v/>
      </c>
      <c r="FK5561" s="36" t="str">
        <f>IF($FH5561="","",SUM($FN5561:$FN$7000))</f>
        <v/>
      </c>
    </row>
    <row r="5562" spans="164:167">
      <c r="FH5562" s="29" t="str">
        <f t="shared" si="141"/>
        <v/>
      </c>
      <c r="FJ5562" s="36" t="str">
        <f>IF($FH5562="","",SUM($FN5562:$FN$7000))</f>
        <v/>
      </c>
      <c r="FK5562" s="36" t="str">
        <f>IF($FH5562="","",SUM($FN5562:$FN$7000))</f>
        <v/>
      </c>
    </row>
    <row r="5563" spans="164:167">
      <c r="FH5563" s="29" t="str">
        <f t="shared" si="141"/>
        <v/>
      </c>
      <c r="FJ5563" s="36" t="str">
        <f>IF($FH5563="","",SUM($FN5563:$FN$7000))</f>
        <v/>
      </c>
      <c r="FK5563" s="36" t="str">
        <f>IF($FH5563="","",SUM($FN5563:$FN$7000))</f>
        <v/>
      </c>
    </row>
    <row r="5564" spans="164:167">
      <c r="FH5564" s="29" t="str">
        <f t="shared" si="141"/>
        <v/>
      </c>
      <c r="FJ5564" s="36" t="str">
        <f>IF($FH5564="","",SUM($FN5564:$FN$7000))</f>
        <v/>
      </c>
      <c r="FK5564" s="36" t="str">
        <f>IF($FH5564="","",SUM($FN5564:$FN$7000))</f>
        <v/>
      </c>
    </row>
    <row r="5565" spans="164:167">
      <c r="FH5565" s="29" t="str">
        <f t="shared" si="141"/>
        <v/>
      </c>
      <c r="FJ5565" s="36" t="str">
        <f>IF($FH5565="","",SUM($FN5565:$FN$7000))</f>
        <v/>
      </c>
      <c r="FK5565" s="36" t="str">
        <f>IF($FH5565="","",SUM($FN5565:$FN$7000))</f>
        <v/>
      </c>
    </row>
    <row r="5566" spans="164:167">
      <c r="FH5566" s="29" t="str">
        <f t="shared" si="141"/>
        <v/>
      </c>
      <c r="FJ5566" s="36" t="str">
        <f>IF($FH5566="","",SUM($FN5566:$FN$7000))</f>
        <v/>
      </c>
      <c r="FK5566" s="36" t="str">
        <f>IF($FH5566="","",SUM($FN5566:$FN$7000))</f>
        <v/>
      </c>
    </row>
    <row r="5567" spans="164:167">
      <c r="FH5567" s="29" t="str">
        <f t="shared" si="141"/>
        <v/>
      </c>
      <c r="FJ5567" s="36" t="str">
        <f>IF($FH5567="","",SUM($FN5567:$FN$7000))</f>
        <v/>
      </c>
      <c r="FK5567" s="36" t="str">
        <f>IF($FH5567="","",SUM($FN5567:$FN$7000))</f>
        <v/>
      </c>
    </row>
    <row r="5568" spans="164:167">
      <c r="FH5568" s="29" t="str">
        <f t="shared" si="141"/>
        <v/>
      </c>
      <c r="FJ5568" s="36" t="str">
        <f>IF($FH5568="","",SUM($FN5568:$FN$7000))</f>
        <v/>
      </c>
      <c r="FK5568" s="36" t="str">
        <f>IF($FH5568="","",SUM($FN5568:$FN$7000))</f>
        <v/>
      </c>
    </row>
    <row r="5569" spans="164:167">
      <c r="FH5569" s="29" t="str">
        <f t="shared" si="141"/>
        <v/>
      </c>
      <c r="FJ5569" s="36" t="str">
        <f>IF($FH5569="","",SUM($FN5569:$FN$7000))</f>
        <v/>
      </c>
      <c r="FK5569" s="36" t="str">
        <f>IF($FH5569="","",SUM($FN5569:$FN$7000))</f>
        <v/>
      </c>
    </row>
    <row r="5570" spans="164:167">
      <c r="FH5570" s="29" t="str">
        <f t="shared" si="141"/>
        <v/>
      </c>
      <c r="FJ5570" s="36" t="str">
        <f>IF($FH5570="","",SUM($FN5570:$FN$7000))</f>
        <v/>
      </c>
      <c r="FK5570" s="36" t="str">
        <f>IF($FH5570="","",SUM($FN5570:$FN$7000))</f>
        <v/>
      </c>
    </row>
    <row r="5571" spans="164:167">
      <c r="FH5571" s="29" t="str">
        <f t="shared" si="141"/>
        <v/>
      </c>
      <c r="FJ5571" s="36" t="str">
        <f>IF($FH5571="","",SUM($FN5571:$FN$7000))</f>
        <v/>
      </c>
      <c r="FK5571" s="36" t="str">
        <f>IF($FH5571="","",SUM($FN5571:$FN$7000))</f>
        <v/>
      </c>
    </row>
    <row r="5572" spans="164:167">
      <c r="FH5572" s="29" t="str">
        <f t="shared" si="141"/>
        <v/>
      </c>
      <c r="FJ5572" s="36" t="str">
        <f>IF($FH5572="","",SUM($FN5572:$FN$7000))</f>
        <v/>
      </c>
      <c r="FK5572" s="36" t="str">
        <f>IF($FH5572="","",SUM($FN5572:$FN$7000))</f>
        <v/>
      </c>
    </row>
    <row r="5573" spans="164:167">
      <c r="FH5573" s="29" t="str">
        <f t="shared" si="141"/>
        <v/>
      </c>
      <c r="FJ5573" s="36" t="str">
        <f>IF($FH5573="","",SUM($FN5573:$FN$7000))</f>
        <v/>
      </c>
      <c r="FK5573" s="36" t="str">
        <f>IF($FH5573="","",SUM($FN5573:$FN$7000))</f>
        <v/>
      </c>
    </row>
    <row r="5574" spans="164:167">
      <c r="FH5574" s="29" t="str">
        <f t="shared" si="141"/>
        <v/>
      </c>
      <c r="FJ5574" s="36" t="str">
        <f>IF($FH5574="","",SUM($FN5574:$FN$7000))</f>
        <v/>
      </c>
      <c r="FK5574" s="36" t="str">
        <f>IF($FH5574="","",SUM($FN5574:$FN$7000))</f>
        <v/>
      </c>
    </row>
    <row r="5575" spans="164:167">
      <c r="FH5575" s="29" t="str">
        <f t="shared" si="141"/>
        <v/>
      </c>
      <c r="FJ5575" s="36" t="str">
        <f>IF($FH5575="","",SUM($FN5575:$FN$7000))</f>
        <v/>
      </c>
      <c r="FK5575" s="36" t="str">
        <f>IF($FH5575="","",SUM($FN5575:$FN$7000))</f>
        <v/>
      </c>
    </row>
    <row r="5576" spans="164:167">
      <c r="FH5576" s="29" t="str">
        <f t="shared" si="141"/>
        <v/>
      </c>
      <c r="FJ5576" s="36" t="str">
        <f>IF($FH5576="","",SUM($FN5576:$FN$7000))</f>
        <v/>
      </c>
      <c r="FK5576" s="36" t="str">
        <f>IF($FH5576="","",SUM($FN5576:$FN$7000))</f>
        <v/>
      </c>
    </row>
    <row r="5577" spans="164:167">
      <c r="FH5577" s="29" t="str">
        <f t="shared" si="141"/>
        <v/>
      </c>
      <c r="FJ5577" s="36" t="str">
        <f>IF($FH5577="","",SUM($FN5577:$FN$7000))</f>
        <v/>
      </c>
      <c r="FK5577" s="36" t="str">
        <f>IF($FH5577="","",SUM($FN5577:$FN$7000))</f>
        <v/>
      </c>
    </row>
    <row r="5578" spans="164:167">
      <c r="FH5578" s="29" t="str">
        <f t="shared" si="141"/>
        <v/>
      </c>
      <c r="FJ5578" s="36" t="str">
        <f>IF($FH5578="","",SUM($FN5578:$FN$7000))</f>
        <v/>
      </c>
      <c r="FK5578" s="36" t="str">
        <f>IF($FH5578="","",SUM($FN5578:$FN$7000))</f>
        <v/>
      </c>
    </row>
    <row r="5579" spans="164:167">
      <c r="FH5579" s="29" t="str">
        <f t="shared" ref="FH5579:FH5642" si="142">IF(FL5579="","",FL5579)</f>
        <v/>
      </c>
      <c r="FJ5579" s="36" t="str">
        <f>IF($FH5579="","",SUM($FN5579:$FN$7000))</f>
        <v/>
      </c>
      <c r="FK5579" s="36" t="str">
        <f>IF($FH5579="","",SUM($FN5579:$FN$7000))</f>
        <v/>
      </c>
    </row>
    <row r="5580" spans="164:167">
      <c r="FH5580" s="29" t="str">
        <f t="shared" si="142"/>
        <v/>
      </c>
      <c r="FJ5580" s="36" t="str">
        <f>IF($FH5580="","",SUM($FN5580:$FN$7000))</f>
        <v/>
      </c>
      <c r="FK5580" s="36" t="str">
        <f>IF($FH5580="","",SUM($FN5580:$FN$7000))</f>
        <v/>
      </c>
    </row>
    <row r="5581" spans="164:167">
      <c r="FH5581" s="29" t="str">
        <f t="shared" si="142"/>
        <v/>
      </c>
      <c r="FJ5581" s="36" t="str">
        <f>IF($FH5581="","",SUM($FN5581:$FN$7000))</f>
        <v/>
      </c>
      <c r="FK5581" s="36" t="str">
        <f>IF($FH5581="","",SUM($FN5581:$FN$7000))</f>
        <v/>
      </c>
    </row>
    <row r="5582" spans="164:167">
      <c r="FH5582" s="29" t="str">
        <f t="shared" si="142"/>
        <v/>
      </c>
      <c r="FJ5582" s="36" t="str">
        <f>IF($FH5582="","",SUM($FN5582:$FN$7000))</f>
        <v/>
      </c>
      <c r="FK5582" s="36" t="str">
        <f>IF($FH5582="","",SUM($FN5582:$FN$7000))</f>
        <v/>
      </c>
    </row>
    <row r="5583" spans="164:167">
      <c r="FH5583" s="29" t="str">
        <f t="shared" si="142"/>
        <v/>
      </c>
      <c r="FJ5583" s="36" t="str">
        <f>IF($FH5583="","",SUM($FN5583:$FN$7000))</f>
        <v/>
      </c>
      <c r="FK5583" s="36" t="str">
        <f>IF($FH5583="","",SUM($FN5583:$FN$7000))</f>
        <v/>
      </c>
    </row>
    <row r="5584" spans="164:167">
      <c r="FH5584" s="29" t="str">
        <f t="shared" si="142"/>
        <v/>
      </c>
      <c r="FJ5584" s="36" t="str">
        <f>IF($FH5584="","",SUM($FN5584:$FN$7000))</f>
        <v/>
      </c>
      <c r="FK5584" s="36" t="str">
        <f>IF($FH5584="","",SUM($FN5584:$FN$7000))</f>
        <v/>
      </c>
    </row>
    <row r="5585" spans="164:167">
      <c r="FH5585" s="29" t="str">
        <f t="shared" si="142"/>
        <v/>
      </c>
      <c r="FJ5585" s="36" t="str">
        <f>IF($FH5585="","",SUM($FN5585:$FN$7000))</f>
        <v/>
      </c>
      <c r="FK5585" s="36" t="str">
        <f>IF($FH5585="","",SUM($FN5585:$FN$7000))</f>
        <v/>
      </c>
    </row>
    <row r="5586" spans="164:167">
      <c r="FH5586" s="29" t="str">
        <f t="shared" si="142"/>
        <v/>
      </c>
      <c r="FJ5586" s="36" t="str">
        <f>IF($FH5586="","",SUM($FN5586:$FN$7000))</f>
        <v/>
      </c>
      <c r="FK5586" s="36" t="str">
        <f>IF($FH5586="","",SUM($FN5586:$FN$7000))</f>
        <v/>
      </c>
    </row>
    <row r="5587" spans="164:167">
      <c r="FH5587" s="29" t="str">
        <f t="shared" si="142"/>
        <v/>
      </c>
      <c r="FJ5587" s="36" t="str">
        <f>IF($FH5587="","",SUM($FN5587:$FN$7000))</f>
        <v/>
      </c>
      <c r="FK5587" s="36" t="str">
        <f>IF($FH5587="","",SUM($FN5587:$FN$7000))</f>
        <v/>
      </c>
    </row>
    <row r="5588" spans="164:167">
      <c r="FH5588" s="29" t="str">
        <f t="shared" si="142"/>
        <v/>
      </c>
      <c r="FJ5588" s="36" t="str">
        <f>IF($FH5588="","",SUM($FN5588:$FN$7000))</f>
        <v/>
      </c>
      <c r="FK5588" s="36" t="str">
        <f>IF($FH5588="","",SUM($FN5588:$FN$7000))</f>
        <v/>
      </c>
    </row>
    <row r="5589" spans="164:167">
      <c r="FH5589" s="29" t="str">
        <f t="shared" si="142"/>
        <v/>
      </c>
      <c r="FJ5589" s="36" t="str">
        <f>IF($FH5589="","",SUM($FN5589:$FN$7000))</f>
        <v/>
      </c>
      <c r="FK5589" s="36" t="str">
        <f>IF($FH5589="","",SUM($FN5589:$FN$7000))</f>
        <v/>
      </c>
    </row>
    <row r="5590" spans="164:167">
      <c r="FH5590" s="29" t="str">
        <f t="shared" si="142"/>
        <v/>
      </c>
      <c r="FJ5590" s="36" t="str">
        <f>IF($FH5590="","",SUM($FN5590:$FN$7000))</f>
        <v/>
      </c>
      <c r="FK5590" s="36" t="str">
        <f>IF($FH5590="","",SUM($FN5590:$FN$7000))</f>
        <v/>
      </c>
    </row>
    <row r="5591" spans="164:167">
      <c r="FH5591" s="29" t="str">
        <f t="shared" si="142"/>
        <v/>
      </c>
      <c r="FJ5591" s="36" t="str">
        <f>IF($FH5591="","",SUM($FN5591:$FN$7000))</f>
        <v/>
      </c>
      <c r="FK5591" s="36" t="str">
        <f>IF($FH5591="","",SUM($FN5591:$FN$7000))</f>
        <v/>
      </c>
    </row>
    <row r="5592" spans="164:167">
      <c r="FH5592" s="29" t="str">
        <f t="shared" si="142"/>
        <v/>
      </c>
      <c r="FJ5592" s="36" t="str">
        <f>IF($FH5592="","",SUM($FN5592:$FN$7000))</f>
        <v/>
      </c>
      <c r="FK5592" s="36" t="str">
        <f>IF($FH5592="","",SUM($FN5592:$FN$7000))</f>
        <v/>
      </c>
    </row>
    <row r="5593" spans="164:167">
      <c r="FH5593" s="29" t="str">
        <f t="shared" si="142"/>
        <v/>
      </c>
      <c r="FJ5593" s="36" t="str">
        <f>IF($FH5593="","",SUM($FN5593:$FN$7000))</f>
        <v/>
      </c>
      <c r="FK5593" s="36" t="str">
        <f>IF($FH5593="","",SUM($FN5593:$FN$7000))</f>
        <v/>
      </c>
    </row>
    <row r="5594" spans="164:167">
      <c r="FH5594" s="29" t="str">
        <f t="shared" si="142"/>
        <v/>
      </c>
      <c r="FJ5594" s="36" t="str">
        <f>IF($FH5594="","",SUM($FN5594:$FN$7000))</f>
        <v/>
      </c>
      <c r="FK5594" s="36" t="str">
        <f>IF($FH5594="","",SUM($FN5594:$FN$7000))</f>
        <v/>
      </c>
    </row>
    <row r="5595" spans="164:167">
      <c r="FH5595" s="29" t="str">
        <f t="shared" si="142"/>
        <v/>
      </c>
      <c r="FJ5595" s="36" t="str">
        <f>IF($FH5595="","",SUM($FN5595:$FN$7000))</f>
        <v/>
      </c>
      <c r="FK5595" s="36" t="str">
        <f>IF($FH5595="","",SUM($FN5595:$FN$7000))</f>
        <v/>
      </c>
    </row>
    <row r="5596" spans="164:167">
      <c r="FH5596" s="29" t="str">
        <f t="shared" si="142"/>
        <v/>
      </c>
      <c r="FJ5596" s="36" t="str">
        <f>IF($FH5596="","",SUM($FN5596:$FN$7000))</f>
        <v/>
      </c>
      <c r="FK5596" s="36" t="str">
        <f>IF($FH5596="","",SUM($FN5596:$FN$7000))</f>
        <v/>
      </c>
    </row>
    <row r="5597" spans="164:167">
      <c r="FH5597" s="29" t="str">
        <f t="shared" si="142"/>
        <v/>
      </c>
      <c r="FJ5597" s="36" t="str">
        <f>IF($FH5597="","",SUM($FN5597:$FN$7000))</f>
        <v/>
      </c>
      <c r="FK5597" s="36" t="str">
        <f>IF($FH5597="","",SUM($FN5597:$FN$7000))</f>
        <v/>
      </c>
    </row>
    <row r="5598" spans="164:167">
      <c r="FH5598" s="29" t="str">
        <f t="shared" si="142"/>
        <v/>
      </c>
      <c r="FJ5598" s="36" t="str">
        <f>IF($FH5598="","",SUM($FN5598:$FN$7000))</f>
        <v/>
      </c>
      <c r="FK5598" s="36" t="str">
        <f>IF($FH5598="","",SUM($FN5598:$FN$7000))</f>
        <v/>
      </c>
    </row>
    <row r="5599" spans="164:167">
      <c r="FH5599" s="29" t="str">
        <f t="shared" si="142"/>
        <v/>
      </c>
      <c r="FJ5599" s="36" t="str">
        <f>IF($FH5599="","",SUM($FN5599:$FN$7000))</f>
        <v/>
      </c>
      <c r="FK5599" s="36" t="str">
        <f>IF($FH5599="","",SUM($FN5599:$FN$7000))</f>
        <v/>
      </c>
    </row>
    <row r="5600" spans="164:167">
      <c r="FH5600" s="29" t="str">
        <f t="shared" si="142"/>
        <v/>
      </c>
      <c r="FJ5600" s="36" t="str">
        <f>IF($FH5600="","",SUM($FN5600:$FN$7000))</f>
        <v/>
      </c>
      <c r="FK5600" s="36" t="str">
        <f>IF($FH5600="","",SUM($FN5600:$FN$7000))</f>
        <v/>
      </c>
    </row>
    <row r="5601" spans="164:167">
      <c r="FH5601" s="29" t="str">
        <f t="shared" si="142"/>
        <v/>
      </c>
      <c r="FJ5601" s="36" t="str">
        <f>IF($FH5601="","",SUM($FN5601:$FN$7000))</f>
        <v/>
      </c>
      <c r="FK5601" s="36" t="str">
        <f>IF($FH5601="","",SUM($FN5601:$FN$7000))</f>
        <v/>
      </c>
    </row>
    <row r="5602" spans="164:167">
      <c r="FH5602" s="29" t="str">
        <f t="shared" si="142"/>
        <v/>
      </c>
      <c r="FJ5602" s="36" t="str">
        <f>IF($FH5602="","",SUM($FN5602:$FN$7000))</f>
        <v/>
      </c>
      <c r="FK5602" s="36" t="str">
        <f>IF($FH5602="","",SUM($FN5602:$FN$7000))</f>
        <v/>
      </c>
    </row>
    <row r="5603" spans="164:167">
      <c r="FH5603" s="29" t="str">
        <f t="shared" si="142"/>
        <v/>
      </c>
      <c r="FJ5603" s="36" t="str">
        <f>IF($FH5603="","",SUM($FN5603:$FN$7000))</f>
        <v/>
      </c>
      <c r="FK5603" s="36" t="str">
        <f>IF($FH5603="","",SUM($FN5603:$FN$7000))</f>
        <v/>
      </c>
    </row>
    <row r="5604" spans="164:167">
      <c r="FH5604" s="29" t="str">
        <f t="shared" si="142"/>
        <v/>
      </c>
      <c r="FJ5604" s="36" t="str">
        <f>IF($FH5604="","",SUM($FN5604:$FN$7000))</f>
        <v/>
      </c>
      <c r="FK5604" s="36" t="str">
        <f>IF($FH5604="","",SUM($FN5604:$FN$7000))</f>
        <v/>
      </c>
    </row>
    <row r="5605" spans="164:167">
      <c r="FH5605" s="29" t="str">
        <f t="shared" si="142"/>
        <v/>
      </c>
      <c r="FJ5605" s="36" t="str">
        <f>IF($FH5605="","",SUM($FN5605:$FN$7000))</f>
        <v/>
      </c>
      <c r="FK5605" s="36" t="str">
        <f>IF($FH5605="","",SUM($FN5605:$FN$7000))</f>
        <v/>
      </c>
    </row>
    <row r="5606" spans="164:167">
      <c r="FH5606" s="29" t="str">
        <f t="shared" si="142"/>
        <v/>
      </c>
      <c r="FJ5606" s="36" t="str">
        <f>IF($FH5606="","",SUM($FN5606:$FN$7000))</f>
        <v/>
      </c>
      <c r="FK5606" s="36" t="str">
        <f>IF($FH5606="","",SUM($FN5606:$FN$7000))</f>
        <v/>
      </c>
    </row>
    <row r="5607" spans="164:167">
      <c r="FH5607" s="29" t="str">
        <f t="shared" si="142"/>
        <v/>
      </c>
      <c r="FJ5607" s="36" t="str">
        <f>IF($FH5607="","",SUM($FN5607:$FN$7000))</f>
        <v/>
      </c>
      <c r="FK5607" s="36" t="str">
        <f>IF($FH5607="","",SUM($FN5607:$FN$7000))</f>
        <v/>
      </c>
    </row>
    <row r="5608" spans="164:167">
      <c r="FH5608" s="29" t="str">
        <f t="shared" si="142"/>
        <v/>
      </c>
      <c r="FJ5608" s="36" t="str">
        <f>IF($FH5608="","",SUM($FN5608:$FN$7000))</f>
        <v/>
      </c>
      <c r="FK5608" s="36" t="str">
        <f>IF($FH5608="","",SUM($FN5608:$FN$7000))</f>
        <v/>
      </c>
    </row>
    <row r="5609" spans="164:167">
      <c r="FH5609" s="29" t="str">
        <f t="shared" si="142"/>
        <v/>
      </c>
      <c r="FJ5609" s="36" t="str">
        <f>IF($FH5609="","",SUM($FN5609:$FN$7000))</f>
        <v/>
      </c>
      <c r="FK5609" s="36" t="str">
        <f>IF($FH5609="","",SUM($FN5609:$FN$7000))</f>
        <v/>
      </c>
    </row>
    <row r="5610" spans="164:167">
      <c r="FH5610" s="29" t="str">
        <f t="shared" si="142"/>
        <v/>
      </c>
      <c r="FJ5610" s="36" t="str">
        <f>IF($FH5610="","",SUM($FN5610:$FN$7000))</f>
        <v/>
      </c>
      <c r="FK5610" s="36" t="str">
        <f>IF($FH5610="","",SUM($FN5610:$FN$7000))</f>
        <v/>
      </c>
    </row>
    <row r="5611" spans="164:167">
      <c r="FH5611" s="29" t="str">
        <f t="shared" si="142"/>
        <v/>
      </c>
      <c r="FJ5611" s="36" t="str">
        <f>IF($FH5611="","",SUM($FN5611:$FN$7000))</f>
        <v/>
      </c>
      <c r="FK5611" s="36" t="str">
        <f>IF($FH5611="","",SUM($FN5611:$FN$7000))</f>
        <v/>
      </c>
    </row>
    <row r="5612" spans="164:167">
      <c r="FH5612" s="29" t="str">
        <f t="shared" si="142"/>
        <v/>
      </c>
      <c r="FJ5612" s="36" t="str">
        <f>IF($FH5612="","",SUM($FN5612:$FN$7000))</f>
        <v/>
      </c>
      <c r="FK5612" s="36" t="str">
        <f>IF($FH5612="","",SUM($FN5612:$FN$7000))</f>
        <v/>
      </c>
    </row>
    <row r="5613" spans="164:167">
      <c r="FH5613" s="29" t="str">
        <f t="shared" si="142"/>
        <v/>
      </c>
      <c r="FJ5613" s="36" t="str">
        <f>IF($FH5613="","",SUM($FN5613:$FN$7000))</f>
        <v/>
      </c>
      <c r="FK5613" s="36" t="str">
        <f>IF($FH5613="","",SUM($FN5613:$FN$7000))</f>
        <v/>
      </c>
    </row>
    <row r="5614" spans="164:167">
      <c r="FH5614" s="29" t="str">
        <f t="shared" si="142"/>
        <v/>
      </c>
      <c r="FJ5614" s="36" t="str">
        <f>IF($FH5614="","",SUM($FN5614:$FN$7000))</f>
        <v/>
      </c>
      <c r="FK5614" s="36" t="str">
        <f>IF($FH5614="","",SUM($FN5614:$FN$7000))</f>
        <v/>
      </c>
    </row>
    <row r="5615" spans="164:167">
      <c r="FH5615" s="29" t="str">
        <f t="shared" si="142"/>
        <v/>
      </c>
      <c r="FJ5615" s="36" t="str">
        <f>IF($FH5615="","",SUM($FN5615:$FN$7000))</f>
        <v/>
      </c>
      <c r="FK5615" s="36" t="str">
        <f>IF($FH5615="","",SUM($FN5615:$FN$7000))</f>
        <v/>
      </c>
    </row>
    <row r="5616" spans="164:167">
      <c r="FH5616" s="29" t="str">
        <f t="shared" si="142"/>
        <v/>
      </c>
      <c r="FJ5616" s="36" t="str">
        <f>IF($FH5616="","",SUM($FN5616:$FN$7000))</f>
        <v/>
      </c>
      <c r="FK5616" s="36" t="str">
        <f>IF($FH5616="","",SUM($FN5616:$FN$7000))</f>
        <v/>
      </c>
    </row>
    <row r="5617" spans="164:167">
      <c r="FH5617" s="29" t="str">
        <f t="shared" si="142"/>
        <v/>
      </c>
      <c r="FJ5617" s="36" t="str">
        <f>IF($FH5617="","",SUM($FN5617:$FN$7000))</f>
        <v/>
      </c>
      <c r="FK5617" s="36" t="str">
        <f>IF($FH5617="","",SUM($FN5617:$FN$7000))</f>
        <v/>
      </c>
    </row>
    <row r="5618" spans="164:167">
      <c r="FH5618" s="29" t="str">
        <f t="shared" si="142"/>
        <v/>
      </c>
      <c r="FJ5618" s="36" t="str">
        <f>IF($FH5618="","",SUM($FN5618:$FN$7000))</f>
        <v/>
      </c>
      <c r="FK5618" s="36" t="str">
        <f>IF($FH5618="","",SUM($FN5618:$FN$7000))</f>
        <v/>
      </c>
    </row>
    <row r="5619" spans="164:167">
      <c r="FH5619" s="29" t="str">
        <f t="shared" si="142"/>
        <v/>
      </c>
      <c r="FJ5619" s="36" t="str">
        <f>IF($FH5619="","",SUM($FN5619:$FN$7000))</f>
        <v/>
      </c>
      <c r="FK5619" s="36" t="str">
        <f>IF($FH5619="","",SUM($FN5619:$FN$7000))</f>
        <v/>
      </c>
    </row>
    <row r="5620" spans="164:167">
      <c r="FH5620" s="29" t="str">
        <f t="shared" si="142"/>
        <v/>
      </c>
      <c r="FJ5620" s="36" t="str">
        <f>IF($FH5620="","",SUM($FN5620:$FN$7000))</f>
        <v/>
      </c>
      <c r="FK5620" s="36" t="str">
        <f>IF($FH5620="","",SUM($FN5620:$FN$7000))</f>
        <v/>
      </c>
    </row>
    <row r="5621" spans="164:167">
      <c r="FH5621" s="29" t="str">
        <f t="shared" si="142"/>
        <v/>
      </c>
      <c r="FJ5621" s="36" t="str">
        <f>IF($FH5621="","",SUM($FN5621:$FN$7000))</f>
        <v/>
      </c>
      <c r="FK5621" s="36" t="str">
        <f>IF($FH5621="","",SUM($FN5621:$FN$7000))</f>
        <v/>
      </c>
    </row>
    <row r="5622" spans="164:167">
      <c r="FH5622" s="29" t="str">
        <f t="shared" si="142"/>
        <v/>
      </c>
      <c r="FJ5622" s="36" t="str">
        <f>IF($FH5622="","",SUM($FN5622:$FN$7000))</f>
        <v/>
      </c>
      <c r="FK5622" s="36" t="str">
        <f>IF($FH5622="","",SUM($FN5622:$FN$7000))</f>
        <v/>
      </c>
    </row>
    <row r="5623" spans="164:167">
      <c r="FH5623" s="29" t="str">
        <f t="shared" si="142"/>
        <v/>
      </c>
      <c r="FJ5623" s="36" t="str">
        <f>IF($FH5623="","",SUM($FN5623:$FN$7000))</f>
        <v/>
      </c>
      <c r="FK5623" s="36" t="str">
        <f>IF($FH5623="","",SUM($FN5623:$FN$7000))</f>
        <v/>
      </c>
    </row>
    <row r="5624" spans="164:167">
      <c r="FH5624" s="29" t="str">
        <f t="shared" si="142"/>
        <v/>
      </c>
      <c r="FJ5624" s="36" t="str">
        <f>IF($FH5624="","",SUM($FN5624:$FN$7000))</f>
        <v/>
      </c>
      <c r="FK5624" s="36" t="str">
        <f>IF($FH5624="","",SUM($FN5624:$FN$7000))</f>
        <v/>
      </c>
    </row>
    <row r="5625" spans="164:167">
      <c r="FH5625" s="29" t="str">
        <f t="shared" si="142"/>
        <v/>
      </c>
      <c r="FJ5625" s="36" t="str">
        <f>IF($FH5625="","",SUM($FN5625:$FN$7000))</f>
        <v/>
      </c>
      <c r="FK5625" s="36" t="str">
        <f>IF($FH5625="","",SUM($FN5625:$FN$7000))</f>
        <v/>
      </c>
    </row>
    <row r="5626" spans="164:167">
      <c r="FH5626" s="29" t="str">
        <f t="shared" si="142"/>
        <v/>
      </c>
      <c r="FJ5626" s="36" t="str">
        <f>IF($FH5626="","",SUM($FN5626:$FN$7000))</f>
        <v/>
      </c>
      <c r="FK5626" s="36" t="str">
        <f>IF($FH5626="","",SUM($FN5626:$FN$7000))</f>
        <v/>
      </c>
    </row>
    <row r="5627" spans="164:167">
      <c r="FH5627" s="29" t="str">
        <f t="shared" si="142"/>
        <v/>
      </c>
      <c r="FJ5627" s="36" t="str">
        <f>IF($FH5627="","",SUM($FN5627:$FN$7000))</f>
        <v/>
      </c>
      <c r="FK5627" s="36" t="str">
        <f>IF($FH5627="","",SUM($FN5627:$FN$7000))</f>
        <v/>
      </c>
    </row>
    <row r="5628" spans="164:167">
      <c r="FH5628" s="29" t="str">
        <f t="shared" si="142"/>
        <v/>
      </c>
      <c r="FJ5628" s="36" t="str">
        <f>IF($FH5628="","",SUM($FN5628:$FN$7000))</f>
        <v/>
      </c>
      <c r="FK5628" s="36" t="str">
        <f>IF($FH5628="","",SUM($FN5628:$FN$7000))</f>
        <v/>
      </c>
    </row>
    <row r="5629" spans="164:167">
      <c r="FH5629" s="29" t="str">
        <f t="shared" si="142"/>
        <v/>
      </c>
      <c r="FJ5629" s="36" t="str">
        <f>IF($FH5629="","",SUM($FN5629:$FN$7000))</f>
        <v/>
      </c>
      <c r="FK5629" s="36" t="str">
        <f>IF($FH5629="","",SUM($FN5629:$FN$7000))</f>
        <v/>
      </c>
    </row>
    <row r="5630" spans="164:167">
      <c r="FH5630" s="29" t="str">
        <f t="shared" si="142"/>
        <v/>
      </c>
      <c r="FJ5630" s="36" t="str">
        <f>IF($FH5630="","",SUM($FN5630:$FN$7000))</f>
        <v/>
      </c>
      <c r="FK5630" s="36" t="str">
        <f>IF($FH5630="","",SUM($FN5630:$FN$7000))</f>
        <v/>
      </c>
    </row>
    <row r="5631" spans="164:167">
      <c r="FH5631" s="29" t="str">
        <f t="shared" si="142"/>
        <v/>
      </c>
      <c r="FJ5631" s="36" t="str">
        <f>IF($FH5631="","",SUM($FN5631:$FN$7000))</f>
        <v/>
      </c>
      <c r="FK5631" s="36" t="str">
        <f>IF($FH5631="","",SUM($FN5631:$FN$7000))</f>
        <v/>
      </c>
    </row>
    <row r="5632" spans="164:167">
      <c r="FH5632" s="29" t="str">
        <f t="shared" si="142"/>
        <v/>
      </c>
      <c r="FJ5632" s="36" t="str">
        <f>IF($FH5632="","",SUM($FN5632:$FN$7000))</f>
        <v/>
      </c>
      <c r="FK5632" s="36" t="str">
        <f>IF($FH5632="","",SUM($FN5632:$FN$7000))</f>
        <v/>
      </c>
    </row>
    <row r="5633" spans="164:167">
      <c r="FH5633" s="29" t="str">
        <f t="shared" si="142"/>
        <v/>
      </c>
      <c r="FJ5633" s="36" t="str">
        <f>IF($FH5633="","",SUM($FN5633:$FN$7000))</f>
        <v/>
      </c>
      <c r="FK5633" s="36" t="str">
        <f>IF($FH5633="","",SUM($FN5633:$FN$7000))</f>
        <v/>
      </c>
    </row>
    <row r="5634" spans="164:167">
      <c r="FH5634" s="29" t="str">
        <f t="shared" si="142"/>
        <v/>
      </c>
      <c r="FJ5634" s="36" t="str">
        <f>IF($FH5634="","",SUM($FN5634:$FN$7000))</f>
        <v/>
      </c>
      <c r="FK5634" s="36" t="str">
        <f>IF($FH5634="","",SUM($FN5634:$FN$7000))</f>
        <v/>
      </c>
    </row>
    <row r="5635" spans="164:167">
      <c r="FH5635" s="29" t="str">
        <f t="shared" si="142"/>
        <v/>
      </c>
      <c r="FJ5635" s="36" t="str">
        <f>IF($FH5635="","",SUM($FN5635:$FN$7000))</f>
        <v/>
      </c>
      <c r="FK5635" s="36" t="str">
        <f>IF($FH5635="","",SUM($FN5635:$FN$7000))</f>
        <v/>
      </c>
    </row>
    <row r="5636" spans="164:167">
      <c r="FH5636" s="29" t="str">
        <f t="shared" si="142"/>
        <v/>
      </c>
      <c r="FJ5636" s="36" t="str">
        <f>IF($FH5636="","",SUM($FN5636:$FN$7000))</f>
        <v/>
      </c>
      <c r="FK5636" s="36" t="str">
        <f>IF($FH5636="","",SUM($FN5636:$FN$7000))</f>
        <v/>
      </c>
    </row>
    <row r="5637" spans="164:167">
      <c r="FH5637" s="29" t="str">
        <f t="shared" si="142"/>
        <v/>
      </c>
      <c r="FJ5637" s="36" t="str">
        <f>IF($FH5637="","",SUM($FN5637:$FN$7000))</f>
        <v/>
      </c>
      <c r="FK5637" s="36" t="str">
        <f>IF($FH5637="","",SUM($FN5637:$FN$7000))</f>
        <v/>
      </c>
    </row>
    <row r="5638" spans="164:167">
      <c r="FH5638" s="29" t="str">
        <f t="shared" si="142"/>
        <v/>
      </c>
      <c r="FJ5638" s="36" t="str">
        <f>IF($FH5638="","",SUM($FN5638:$FN$7000))</f>
        <v/>
      </c>
      <c r="FK5638" s="36" t="str">
        <f>IF($FH5638="","",SUM($FN5638:$FN$7000))</f>
        <v/>
      </c>
    </row>
    <row r="5639" spans="164:167">
      <c r="FH5639" s="29" t="str">
        <f t="shared" si="142"/>
        <v/>
      </c>
      <c r="FJ5639" s="36" t="str">
        <f>IF($FH5639="","",SUM($FN5639:$FN$7000))</f>
        <v/>
      </c>
      <c r="FK5639" s="36" t="str">
        <f>IF($FH5639="","",SUM($FN5639:$FN$7000))</f>
        <v/>
      </c>
    </row>
    <row r="5640" spans="164:167">
      <c r="FH5640" s="29" t="str">
        <f t="shared" si="142"/>
        <v/>
      </c>
      <c r="FJ5640" s="36" t="str">
        <f>IF($FH5640="","",SUM($FN5640:$FN$7000))</f>
        <v/>
      </c>
      <c r="FK5640" s="36" t="str">
        <f>IF($FH5640="","",SUM($FN5640:$FN$7000))</f>
        <v/>
      </c>
    </row>
    <row r="5641" spans="164:167">
      <c r="FH5641" s="29" t="str">
        <f t="shared" si="142"/>
        <v/>
      </c>
      <c r="FJ5641" s="36" t="str">
        <f>IF($FH5641="","",SUM($FN5641:$FN$7000))</f>
        <v/>
      </c>
      <c r="FK5641" s="36" t="str">
        <f>IF($FH5641="","",SUM($FN5641:$FN$7000))</f>
        <v/>
      </c>
    </row>
    <row r="5642" spans="164:167">
      <c r="FH5642" s="29" t="str">
        <f t="shared" si="142"/>
        <v/>
      </c>
      <c r="FJ5642" s="36" t="str">
        <f>IF($FH5642="","",SUM($FN5642:$FN$7000))</f>
        <v/>
      </c>
      <c r="FK5642" s="36" t="str">
        <f>IF($FH5642="","",SUM($FN5642:$FN$7000))</f>
        <v/>
      </c>
    </row>
    <row r="5643" spans="164:167">
      <c r="FH5643" s="29" t="str">
        <f t="shared" ref="FH5643:FH5706" si="143">IF(FL5643="","",FL5643)</f>
        <v/>
      </c>
      <c r="FJ5643" s="36" t="str">
        <f>IF($FH5643="","",SUM($FN5643:$FN$7000))</f>
        <v/>
      </c>
      <c r="FK5643" s="36" t="str">
        <f>IF($FH5643="","",SUM($FN5643:$FN$7000))</f>
        <v/>
      </c>
    </row>
    <row r="5644" spans="164:167">
      <c r="FH5644" s="29" t="str">
        <f t="shared" si="143"/>
        <v/>
      </c>
      <c r="FJ5644" s="36" t="str">
        <f>IF($FH5644="","",SUM($FN5644:$FN$7000))</f>
        <v/>
      </c>
      <c r="FK5644" s="36" t="str">
        <f>IF($FH5644="","",SUM($FN5644:$FN$7000))</f>
        <v/>
      </c>
    </row>
    <row r="5645" spans="164:167">
      <c r="FH5645" s="29" t="str">
        <f t="shared" si="143"/>
        <v/>
      </c>
      <c r="FJ5645" s="36" t="str">
        <f>IF($FH5645="","",SUM($FN5645:$FN$7000))</f>
        <v/>
      </c>
      <c r="FK5645" s="36" t="str">
        <f>IF($FH5645="","",SUM($FN5645:$FN$7000))</f>
        <v/>
      </c>
    </row>
    <row r="5646" spans="164:167">
      <c r="FH5646" s="29" t="str">
        <f t="shared" si="143"/>
        <v/>
      </c>
      <c r="FJ5646" s="36" t="str">
        <f>IF($FH5646="","",SUM($FN5646:$FN$7000))</f>
        <v/>
      </c>
      <c r="FK5646" s="36" t="str">
        <f>IF($FH5646="","",SUM($FN5646:$FN$7000))</f>
        <v/>
      </c>
    </row>
    <row r="5647" spans="164:167">
      <c r="FH5647" s="29" t="str">
        <f t="shared" si="143"/>
        <v/>
      </c>
      <c r="FJ5647" s="36" t="str">
        <f>IF($FH5647="","",SUM($FN5647:$FN$7000))</f>
        <v/>
      </c>
      <c r="FK5647" s="36" t="str">
        <f>IF($FH5647="","",SUM($FN5647:$FN$7000))</f>
        <v/>
      </c>
    </row>
    <row r="5648" spans="164:167">
      <c r="FH5648" s="29" t="str">
        <f t="shared" si="143"/>
        <v/>
      </c>
      <c r="FJ5648" s="36" t="str">
        <f>IF($FH5648="","",SUM($FN5648:$FN$7000))</f>
        <v/>
      </c>
      <c r="FK5648" s="36" t="str">
        <f>IF($FH5648="","",SUM($FN5648:$FN$7000))</f>
        <v/>
      </c>
    </row>
    <row r="5649" spans="164:167">
      <c r="FH5649" s="29" t="str">
        <f t="shared" si="143"/>
        <v/>
      </c>
      <c r="FJ5649" s="36" t="str">
        <f>IF($FH5649="","",SUM($FN5649:$FN$7000))</f>
        <v/>
      </c>
      <c r="FK5649" s="36" t="str">
        <f>IF($FH5649="","",SUM($FN5649:$FN$7000))</f>
        <v/>
      </c>
    </row>
    <row r="5650" spans="164:167">
      <c r="FH5650" s="29" t="str">
        <f t="shared" si="143"/>
        <v/>
      </c>
      <c r="FJ5650" s="36" t="str">
        <f>IF($FH5650="","",SUM($FN5650:$FN$7000))</f>
        <v/>
      </c>
      <c r="FK5650" s="36" t="str">
        <f>IF($FH5650="","",SUM($FN5650:$FN$7000))</f>
        <v/>
      </c>
    </row>
    <row r="5651" spans="164:167">
      <c r="FH5651" s="29" t="str">
        <f t="shared" si="143"/>
        <v/>
      </c>
      <c r="FJ5651" s="36" t="str">
        <f>IF($FH5651="","",SUM($FN5651:$FN$7000))</f>
        <v/>
      </c>
      <c r="FK5651" s="36" t="str">
        <f>IF($FH5651="","",SUM($FN5651:$FN$7000))</f>
        <v/>
      </c>
    </row>
    <row r="5652" spans="164:167">
      <c r="FH5652" s="29" t="str">
        <f t="shared" si="143"/>
        <v/>
      </c>
      <c r="FJ5652" s="36" t="str">
        <f>IF($FH5652="","",SUM($FN5652:$FN$7000))</f>
        <v/>
      </c>
      <c r="FK5652" s="36" t="str">
        <f>IF($FH5652="","",SUM($FN5652:$FN$7000))</f>
        <v/>
      </c>
    </row>
    <row r="5653" spans="164:167">
      <c r="FH5653" s="29" t="str">
        <f t="shared" si="143"/>
        <v/>
      </c>
      <c r="FJ5653" s="36" t="str">
        <f>IF($FH5653="","",SUM($FN5653:$FN$7000))</f>
        <v/>
      </c>
      <c r="FK5653" s="36" t="str">
        <f>IF($FH5653="","",SUM($FN5653:$FN$7000))</f>
        <v/>
      </c>
    </row>
    <row r="5654" spans="164:167">
      <c r="FH5654" s="29" t="str">
        <f t="shared" si="143"/>
        <v/>
      </c>
      <c r="FJ5654" s="36" t="str">
        <f>IF($FH5654="","",SUM($FN5654:$FN$7000))</f>
        <v/>
      </c>
      <c r="FK5654" s="36" t="str">
        <f>IF($FH5654="","",SUM($FN5654:$FN$7000))</f>
        <v/>
      </c>
    </row>
    <row r="5655" spans="164:167">
      <c r="FH5655" s="29" t="str">
        <f t="shared" si="143"/>
        <v/>
      </c>
      <c r="FJ5655" s="36" t="str">
        <f>IF($FH5655="","",SUM($FN5655:$FN$7000))</f>
        <v/>
      </c>
      <c r="FK5655" s="36" t="str">
        <f>IF($FH5655="","",SUM($FN5655:$FN$7000))</f>
        <v/>
      </c>
    </row>
    <row r="5656" spans="164:167">
      <c r="FH5656" s="29" t="str">
        <f t="shared" si="143"/>
        <v/>
      </c>
      <c r="FJ5656" s="36" t="str">
        <f>IF($FH5656="","",SUM($FN5656:$FN$7000))</f>
        <v/>
      </c>
      <c r="FK5656" s="36" t="str">
        <f>IF($FH5656="","",SUM($FN5656:$FN$7000))</f>
        <v/>
      </c>
    </row>
    <row r="5657" spans="164:167">
      <c r="FH5657" s="29" t="str">
        <f t="shared" si="143"/>
        <v/>
      </c>
      <c r="FJ5657" s="36" t="str">
        <f>IF($FH5657="","",SUM($FN5657:$FN$7000))</f>
        <v/>
      </c>
      <c r="FK5657" s="36" t="str">
        <f>IF($FH5657="","",SUM($FN5657:$FN$7000))</f>
        <v/>
      </c>
    </row>
    <row r="5658" spans="164:167">
      <c r="FH5658" s="29" t="str">
        <f t="shared" si="143"/>
        <v/>
      </c>
      <c r="FJ5658" s="36" t="str">
        <f>IF($FH5658="","",SUM($FN5658:$FN$7000))</f>
        <v/>
      </c>
      <c r="FK5658" s="36" t="str">
        <f>IF($FH5658="","",SUM($FN5658:$FN$7000))</f>
        <v/>
      </c>
    </row>
    <row r="5659" spans="164:167">
      <c r="FH5659" s="29" t="str">
        <f t="shared" si="143"/>
        <v/>
      </c>
      <c r="FJ5659" s="36" t="str">
        <f>IF($FH5659="","",SUM($FN5659:$FN$7000))</f>
        <v/>
      </c>
      <c r="FK5659" s="36" t="str">
        <f>IF($FH5659="","",SUM($FN5659:$FN$7000))</f>
        <v/>
      </c>
    </row>
    <row r="5660" spans="164:167">
      <c r="FH5660" s="29" t="str">
        <f t="shared" si="143"/>
        <v/>
      </c>
      <c r="FJ5660" s="36" t="str">
        <f>IF($FH5660="","",SUM($FN5660:$FN$7000))</f>
        <v/>
      </c>
      <c r="FK5660" s="36" t="str">
        <f>IF($FH5660="","",SUM($FN5660:$FN$7000))</f>
        <v/>
      </c>
    </row>
    <row r="5661" spans="164:167">
      <c r="FH5661" s="29" t="str">
        <f t="shared" si="143"/>
        <v/>
      </c>
      <c r="FJ5661" s="36" t="str">
        <f>IF($FH5661="","",SUM($FN5661:$FN$7000))</f>
        <v/>
      </c>
      <c r="FK5661" s="36" t="str">
        <f>IF($FH5661="","",SUM($FN5661:$FN$7000))</f>
        <v/>
      </c>
    </row>
    <row r="5662" spans="164:167">
      <c r="FH5662" s="29" t="str">
        <f t="shared" si="143"/>
        <v/>
      </c>
      <c r="FJ5662" s="36" t="str">
        <f>IF($FH5662="","",SUM($FN5662:$FN$7000))</f>
        <v/>
      </c>
      <c r="FK5662" s="36" t="str">
        <f>IF($FH5662="","",SUM($FN5662:$FN$7000))</f>
        <v/>
      </c>
    </row>
    <row r="5663" spans="164:167">
      <c r="FH5663" s="29" t="str">
        <f t="shared" si="143"/>
        <v/>
      </c>
      <c r="FJ5663" s="36" t="str">
        <f>IF($FH5663="","",SUM($FN5663:$FN$7000))</f>
        <v/>
      </c>
      <c r="FK5663" s="36" t="str">
        <f>IF($FH5663="","",SUM($FN5663:$FN$7000))</f>
        <v/>
      </c>
    </row>
    <row r="5664" spans="164:167">
      <c r="FH5664" s="29" t="str">
        <f t="shared" si="143"/>
        <v/>
      </c>
      <c r="FJ5664" s="36" t="str">
        <f>IF($FH5664="","",SUM($FN5664:$FN$7000))</f>
        <v/>
      </c>
      <c r="FK5664" s="36" t="str">
        <f>IF($FH5664="","",SUM($FN5664:$FN$7000))</f>
        <v/>
      </c>
    </row>
    <row r="5665" spans="164:167">
      <c r="FH5665" s="29" t="str">
        <f t="shared" si="143"/>
        <v/>
      </c>
      <c r="FJ5665" s="36" t="str">
        <f>IF($FH5665="","",SUM($FN5665:$FN$7000))</f>
        <v/>
      </c>
      <c r="FK5665" s="36" t="str">
        <f>IF($FH5665="","",SUM($FN5665:$FN$7000))</f>
        <v/>
      </c>
    </row>
    <row r="5666" spans="164:167">
      <c r="FH5666" s="29" t="str">
        <f t="shared" si="143"/>
        <v/>
      </c>
      <c r="FJ5666" s="36" t="str">
        <f>IF($FH5666="","",SUM($FN5666:$FN$7000))</f>
        <v/>
      </c>
      <c r="FK5666" s="36" t="str">
        <f>IF($FH5666="","",SUM($FN5666:$FN$7000))</f>
        <v/>
      </c>
    </row>
    <row r="5667" spans="164:167">
      <c r="FH5667" s="29" t="str">
        <f t="shared" si="143"/>
        <v/>
      </c>
      <c r="FJ5667" s="36" t="str">
        <f>IF($FH5667="","",SUM($FN5667:$FN$7000))</f>
        <v/>
      </c>
      <c r="FK5667" s="36" t="str">
        <f>IF($FH5667="","",SUM($FN5667:$FN$7000))</f>
        <v/>
      </c>
    </row>
    <row r="5668" spans="164:167">
      <c r="FH5668" s="29" t="str">
        <f t="shared" si="143"/>
        <v/>
      </c>
      <c r="FJ5668" s="36" t="str">
        <f>IF($FH5668="","",SUM($FN5668:$FN$7000))</f>
        <v/>
      </c>
      <c r="FK5668" s="36" t="str">
        <f>IF($FH5668="","",SUM($FN5668:$FN$7000))</f>
        <v/>
      </c>
    </row>
    <row r="5669" spans="164:167">
      <c r="FH5669" s="29" t="str">
        <f t="shared" si="143"/>
        <v/>
      </c>
      <c r="FJ5669" s="36" t="str">
        <f>IF($FH5669="","",SUM($FN5669:$FN$7000))</f>
        <v/>
      </c>
      <c r="FK5669" s="36" t="str">
        <f>IF($FH5669="","",SUM($FN5669:$FN$7000))</f>
        <v/>
      </c>
    </row>
    <row r="5670" spans="164:167">
      <c r="FH5670" s="29" t="str">
        <f t="shared" si="143"/>
        <v/>
      </c>
      <c r="FJ5670" s="36" t="str">
        <f>IF($FH5670="","",SUM($FN5670:$FN$7000))</f>
        <v/>
      </c>
      <c r="FK5670" s="36" t="str">
        <f>IF($FH5670="","",SUM($FN5670:$FN$7000))</f>
        <v/>
      </c>
    </row>
    <row r="5671" spans="164:167">
      <c r="FH5671" s="29" t="str">
        <f t="shared" si="143"/>
        <v/>
      </c>
      <c r="FJ5671" s="36" t="str">
        <f>IF($FH5671="","",SUM($FN5671:$FN$7000))</f>
        <v/>
      </c>
      <c r="FK5671" s="36" t="str">
        <f>IF($FH5671="","",SUM($FN5671:$FN$7000))</f>
        <v/>
      </c>
    </row>
    <row r="5672" spans="164:167">
      <c r="FH5672" s="29" t="str">
        <f t="shared" si="143"/>
        <v/>
      </c>
      <c r="FJ5672" s="36" t="str">
        <f>IF($FH5672="","",SUM($FN5672:$FN$7000))</f>
        <v/>
      </c>
      <c r="FK5672" s="36" t="str">
        <f>IF($FH5672="","",SUM($FN5672:$FN$7000))</f>
        <v/>
      </c>
    </row>
    <row r="5673" spans="164:167">
      <c r="FH5673" s="29" t="str">
        <f t="shared" si="143"/>
        <v/>
      </c>
      <c r="FJ5673" s="36" t="str">
        <f>IF($FH5673="","",SUM($FN5673:$FN$7000))</f>
        <v/>
      </c>
      <c r="FK5673" s="36" t="str">
        <f>IF($FH5673="","",SUM($FN5673:$FN$7000))</f>
        <v/>
      </c>
    </row>
    <row r="5674" spans="164:167">
      <c r="FH5674" s="29" t="str">
        <f t="shared" si="143"/>
        <v/>
      </c>
      <c r="FJ5674" s="36" t="str">
        <f>IF($FH5674="","",SUM($FN5674:$FN$7000))</f>
        <v/>
      </c>
      <c r="FK5674" s="36" t="str">
        <f>IF($FH5674="","",SUM($FN5674:$FN$7000))</f>
        <v/>
      </c>
    </row>
    <row r="5675" spans="164:167">
      <c r="FH5675" s="29" t="str">
        <f t="shared" si="143"/>
        <v/>
      </c>
      <c r="FJ5675" s="36" t="str">
        <f>IF($FH5675="","",SUM($FN5675:$FN$7000))</f>
        <v/>
      </c>
      <c r="FK5675" s="36" t="str">
        <f>IF($FH5675="","",SUM($FN5675:$FN$7000))</f>
        <v/>
      </c>
    </row>
    <row r="5676" spans="164:167">
      <c r="FH5676" s="29" t="str">
        <f t="shared" si="143"/>
        <v/>
      </c>
      <c r="FJ5676" s="36" t="str">
        <f>IF($FH5676="","",SUM($FN5676:$FN$7000))</f>
        <v/>
      </c>
      <c r="FK5676" s="36" t="str">
        <f>IF($FH5676="","",SUM($FN5676:$FN$7000))</f>
        <v/>
      </c>
    </row>
    <row r="5677" spans="164:167">
      <c r="FH5677" s="29" t="str">
        <f t="shared" si="143"/>
        <v/>
      </c>
      <c r="FJ5677" s="36" t="str">
        <f>IF($FH5677="","",SUM($FN5677:$FN$7000))</f>
        <v/>
      </c>
      <c r="FK5677" s="36" t="str">
        <f>IF($FH5677="","",SUM($FN5677:$FN$7000))</f>
        <v/>
      </c>
    </row>
    <row r="5678" spans="164:167">
      <c r="FH5678" s="29" t="str">
        <f t="shared" si="143"/>
        <v/>
      </c>
      <c r="FJ5678" s="36" t="str">
        <f>IF($FH5678="","",SUM($FN5678:$FN$7000))</f>
        <v/>
      </c>
      <c r="FK5678" s="36" t="str">
        <f>IF($FH5678="","",SUM($FN5678:$FN$7000))</f>
        <v/>
      </c>
    </row>
    <row r="5679" spans="164:167">
      <c r="FH5679" s="29" t="str">
        <f t="shared" si="143"/>
        <v/>
      </c>
      <c r="FJ5679" s="36" t="str">
        <f>IF($FH5679="","",SUM($FN5679:$FN$7000))</f>
        <v/>
      </c>
      <c r="FK5679" s="36" t="str">
        <f>IF($FH5679="","",SUM($FN5679:$FN$7000))</f>
        <v/>
      </c>
    </row>
    <row r="5680" spans="164:167">
      <c r="FH5680" s="29" t="str">
        <f t="shared" si="143"/>
        <v/>
      </c>
      <c r="FJ5680" s="36" t="str">
        <f>IF($FH5680="","",SUM($FN5680:$FN$7000))</f>
        <v/>
      </c>
      <c r="FK5680" s="36" t="str">
        <f>IF($FH5680="","",SUM($FN5680:$FN$7000))</f>
        <v/>
      </c>
    </row>
    <row r="5681" spans="164:167">
      <c r="FH5681" s="29" t="str">
        <f t="shared" si="143"/>
        <v/>
      </c>
      <c r="FJ5681" s="36" t="str">
        <f>IF($FH5681="","",SUM($FN5681:$FN$7000))</f>
        <v/>
      </c>
      <c r="FK5681" s="36" t="str">
        <f>IF($FH5681="","",SUM($FN5681:$FN$7000))</f>
        <v/>
      </c>
    </row>
    <row r="5682" spans="164:167">
      <c r="FH5682" s="29" t="str">
        <f t="shared" si="143"/>
        <v/>
      </c>
      <c r="FJ5682" s="36" t="str">
        <f>IF($FH5682="","",SUM($FN5682:$FN$7000))</f>
        <v/>
      </c>
      <c r="FK5682" s="36" t="str">
        <f>IF($FH5682="","",SUM($FN5682:$FN$7000))</f>
        <v/>
      </c>
    </row>
    <row r="5683" spans="164:167">
      <c r="FH5683" s="29" t="str">
        <f t="shared" si="143"/>
        <v/>
      </c>
      <c r="FJ5683" s="36" t="str">
        <f>IF($FH5683="","",SUM($FN5683:$FN$7000))</f>
        <v/>
      </c>
      <c r="FK5683" s="36" t="str">
        <f>IF($FH5683="","",SUM($FN5683:$FN$7000))</f>
        <v/>
      </c>
    </row>
    <row r="5684" spans="164:167">
      <c r="FH5684" s="29" t="str">
        <f t="shared" si="143"/>
        <v/>
      </c>
      <c r="FJ5684" s="36" t="str">
        <f>IF($FH5684="","",SUM($FN5684:$FN$7000))</f>
        <v/>
      </c>
      <c r="FK5684" s="36" t="str">
        <f>IF($FH5684="","",SUM($FN5684:$FN$7000))</f>
        <v/>
      </c>
    </row>
    <row r="5685" spans="164:167">
      <c r="FH5685" s="29" t="str">
        <f t="shared" si="143"/>
        <v/>
      </c>
      <c r="FJ5685" s="36" t="str">
        <f>IF($FH5685="","",SUM($FN5685:$FN$7000))</f>
        <v/>
      </c>
      <c r="FK5685" s="36" t="str">
        <f>IF($FH5685="","",SUM($FN5685:$FN$7000))</f>
        <v/>
      </c>
    </row>
    <row r="5686" spans="164:167">
      <c r="FH5686" s="29" t="str">
        <f t="shared" si="143"/>
        <v/>
      </c>
      <c r="FJ5686" s="36" t="str">
        <f>IF($FH5686="","",SUM($FN5686:$FN$7000))</f>
        <v/>
      </c>
      <c r="FK5686" s="36" t="str">
        <f>IF($FH5686="","",SUM($FN5686:$FN$7000))</f>
        <v/>
      </c>
    </row>
    <row r="5687" spans="164:167">
      <c r="FH5687" s="29" t="str">
        <f t="shared" si="143"/>
        <v/>
      </c>
      <c r="FJ5687" s="36" t="str">
        <f>IF($FH5687="","",SUM($FN5687:$FN$7000))</f>
        <v/>
      </c>
      <c r="FK5687" s="36" t="str">
        <f>IF($FH5687="","",SUM($FN5687:$FN$7000))</f>
        <v/>
      </c>
    </row>
    <row r="5688" spans="164:167">
      <c r="FH5688" s="29" t="str">
        <f t="shared" si="143"/>
        <v/>
      </c>
      <c r="FJ5688" s="36" t="str">
        <f>IF($FH5688="","",SUM($FN5688:$FN$7000))</f>
        <v/>
      </c>
      <c r="FK5688" s="36" t="str">
        <f>IF($FH5688="","",SUM($FN5688:$FN$7000))</f>
        <v/>
      </c>
    </row>
    <row r="5689" spans="164:167">
      <c r="FH5689" s="29" t="str">
        <f t="shared" si="143"/>
        <v/>
      </c>
      <c r="FJ5689" s="36" t="str">
        <f>IF($FH5689="","",SUM($FN5689:$FN$7000))</f>
        <v/>
      </c>
      <c r="FK5689" s="36" t="str">
        <f>IF($FH5689="","",SUM($FN5689:$FN$7000))</f>
        <v/>
      </c>
    </row>
    <row r="5690" spans="164:167">
      <c r="FH5690" s="29" t="str">
        <f t="shared" si="143"/>
        <v/>
      </c>
      <c r="FJ5690" s="36" t="str">
        <f>IF($FH5690="","",SUM($FN5690:$FN$7000))</f>
        <v/>
      </c>
      <c r="FK5690" s="36" t="str">
        <f>IF($FH5690="","",SUM($FN5690:$FN$7000))</f>
        <v/>
      </c>
    </row>
    <row r="5691" spans="164:167">
      <c r="FH5691" s="29" t="str">
        <f t="shared" si="143"/>
        <v/>
      </c>
      <c r="FJ5691" s="36" t="str">
        <f>IF($FH5691="","",SUM($FN5691:$FN$7000))</f>
        <v/>
      </c>
      <c r="FK5691" s="36" t="str">
        <f>IF($FH5691="","",SUM($FN5691:$FN$7000))</f>
        <v/>
      </c>
    </row>
    <row r="5692" spans="164:167">
      <c r="FH5692" s="29" t="str">
        <f t="shared" si="143"/>
        <v/>
      </c>
      <c r="FJ5692" s="36" t="str">
        <f>IF($FH5692="","",SUM($FN5692:$FN$7000))</f>
        <v/>
      </c>
      <c r="FK5692" s="36" t="str">
        <f>IF($FH5692="","",SUM($FN5692:$FN$7000))</f>
        <v/>
      </c>
    </row>
    <row r="5693" spans="164:167">
      <c r="FH5693" s="29" t="str">
        <f t="shared" si="143"/>
        <v/>
      </c>
      <c r="FJ5693" s="36" t="str">
        <f>IF($FH5693="","",SUM($FN5693:$FN$7000))</f>
        <v/>
      </c>
      <c r="FK5693" s="36" t="str">
        <f>IF($FH5693="","",SUM($FN5693:$FN$7000))</f>
        <v/>
      </c>
    </row>
    <row r="5694" spans="164:167">
      <c r="FH5694" s="29" t="str">
        <f t="shared" si="143"/>
        <v/>
      </c>
      <c r="FJ5694" s="36" t="str">
        <f>IF($FH5694="","",SUM($FN5694:$FN$7000))</f>
        <v/>
      </c>
      <c r="FK5694" s="36" t="str">
        <f>IF($FH5694="","",SUM($FN5694:$FN$7000))</f>
        <v/>
      </c>
    </row>
    <row r="5695" spans="164:167">
      <c r="FH5695" s="29" t="str">
        <f t="shared" si="143"/>
        <v/>
      </c>
      <c r="FJ5695" s="36" t="str">
        <f>IF($FH5695="","",SUM($FN5695:$FN$7000))</f>
        <v/>
      </c>
      <c r="FK5695" s="36" t="str">
        <f>IF($FH5695="","",SUM($FN5695:$FN$7000))</f>
        <v/>
      </c>
    </row>
    <row r="5696" spans="164:167">
      <c r="FH5696" s="29" t="str">
        <f t="shared" si="143"/>
        <v/>
      </c>
      <c r="FJ5696" s="36" t="str">
        <f>IF($FH5696="","",SUM($FN5696:$FN$7000))</f>
        <v/>
      </c>
      <c r="FK5696" s="36" t="str">
        <f>IF($FH5696="","",SUM($FN5696:$FN$7000))</f>
        <v/>
      </c>
    </row>
    <row r="5697" spans="164:167">
      <c r="FH5697" s="29" t="str">
        <f t="shared" si="143"/>
        <v/>
      </c>
      <c r="FJ5697" s="36" t="str">
        <f>IF($FH5697="","",SUM($FN5697:$FN$7000))</f>
        <v/>
      </c>
      <c r="FK5697" s="36" t="str">
        <f>IF($FH5697="","",SUM($FN5697:$FN$7000))</f>
        <v/>
      </c>
    </row>
    <row r="5698" spans="164:167">
      <c r="FH5698" s="29" t="str">
        <f t="shared" si="143"/>
        <v/>
      </c>
      <c r="FJ5698" s="36" t="str">
        <f>IF($FH5698="","",SUM($FN5698:$FN$7000))</f>
        <v/>
      </c>
      <c r="FK5698" s="36" t="str">
        <f>IF($FH5698="","",SUM($FN5698:$FN$7000))</f>
        <v/>
      </c>
    </row>
    <row r="5699" spans="164:167">
      <c r="FH5699" s="29" t="str">
        <f t="shared" si="143"/>
        <v/>
      </c>
      <c r="FJ5699" s="36" t="str">
        <f>IF($FH5699="","",SUM($FN5699:$FN$7000))</f>
        <v/>
      </c>
      <c r="FK5699" s="36" t="str">
        <f>IF($FH5699="","",SUM($FN5699:$FN$7000))</f>
        <v/>
      </c>
    </row>
    <row r="5700" spans="164:167">
      <c r="FH5700" s="29" t="str">
        <f t="shared" si="143"/>
        <v/>
      </c>
      <c r="FJ5700" s="36" t="str">
        <f>IF($FH5700="","",SUM($FN5700:$FN$7000))</f>
        <v/>
      </c>
      <c r="FK5700" s="36" t="str">
        <f>IF($FH5700="","",SUM($FN5700:$FN$7000))</f>
        <v/>
      </c>
    </row>
    <row r="5701" spans="164:167">
      <c r="FH5701" s="29" t="str">
        <f t="shared" si="143"/>
        <v/>
      </c>
      <c r="FJ5701" s="36" t="str">
        <f>IF($FH5701="","",SUM($FN5701:$FN$7000))</f>
        <v/>
      </c>
      <c r="FK5701" s="36" t="str">
        <f>IF($FH5701="","",SUM($FN5701:$FN$7000))</f>
        <v/>
      </c>
    </row>
    <row r="5702" spans="164:167">
      <c r="FH5702" s="29" t="str">
        <f t="shared" si="143"/>
        <v/>
      </c>
      <c r="FJ5702" s="36" t="str">
        <f>IF($FH5702="","",SUM($FN5702:$FN$7000))</f>
        <v/>
      </c>
      <c r="FK5702" s="36" t="str">
        <f>IF($FH5702="","",SUM($FN5702:$FN$7000))</f>
        <v/>
      </c>
    </row>
    <row r="5703" spans="164:167">
      <c r="FH5703" s="29" t="str">
        <f t="shared" si="143"/>
        <v/>
      </c>
      <c r="FJ5703" s="36" t="str">
        <f>IF($FH5703="","",SUM($FN5703:$FN$7000))</f>
        <v/>
      </c>
      <c r="FK5703" s="36" t="str">
        <f>IF($FH5703="","",SUM($FN5703:$FN$7000))</f>
        <v/>
      </c>
    </row>
    <row r="5704" spans="164:167">
      <c r="FH5704" s="29" t="str">
        <f t="shared" si="143"/>
        <v/>
      </c>
      <c r="FJ5704" s="36" t="str">
        <f>IF($FH5704="","",SUM($FN5704:$FN$7000))</f>
        <v/>
      </c>
      <c r="FK5704" s="36" t="str">
        <f>IF($FH5704="","",SUM($FN5704:$FN$7000))</f>
        <v/>
      </c>
    </row>
    <row r="5705" spans="164:167">
      <c r="FH5705" s="29" t="str">
        <f t="shared" si="143"/>
        <v/>
      </c>
      <c r="FJ5705" s="36" t="str">
        <f>IF($FH5705="","",SUM($FN5705:$FN$7000))</f>
        <v/>
      </c>
      <c r="FK5705" s="36" t="str">
        <f>IF($FH5705="","",SUM($FN5705:$FN$7000))</f>
        <v/>
      </c>
    </row>
    <row r="5706" spans="164:167">
      <c r="FH5706" s="29" t="str">
        <f t="shared" si="143"/>
        <v/>
      </c>
      <c r="FJ5706" s="36" t="str">
        <f>IF($FH5706="","",SUM($FN5706:$FN$7000))</f>
        <v/>
      </c>
      <c r="FK5706" s="36" t="str">
        <f>IF($FH5706="","",SUM($FN5706:$FN$7000))</f>
        <v/>
      </c>
    </row>
    <row r="5707" spans="164:167">
      <c r="FH5707" s="29" t="str">
        <f t="shared" ref="FH5707:FH5770" si="144">IF(FL5707="","",FL5707)</f>
        <v/>
      </c>
      <c r="FJ5707" s="36" t="str">
        <f>IF($FH5707="","",SUM($FN5707:$FN$7000))</f>
        <v/>
      </c>
      <c r="FK5707" s="36" t="str">
        <f>IF($FH5707="","",SUM($FN5707:$FN$7000))</f>
        <v/>
      </c>
    </row>
    <row r="5708" spans="164:167">
      <c r="FH5708" s="29" t="str">
        <f t="shared" si="144"/>
        <v/>
      </c>
      <c r="FJ5708" s="36" t="str">
        <f>IF($FH5708="","",SUM($FN5708:$FN$7000))</f>
        <v/>
      </c>
      <c r="FK5708" s="36" t="str">
        <f>IF($FH5708="","",SUM($FN5708:$FN$7000))</f>
        <v/>
      </c>
    </row>
    <row r="5709" spans="164:167">
      <c r="FH5709" s="29" t="str">
        <f t="shared" si="144"/>
        <v/>
      </c>
      <c r="FJ5709" s="36" t="str">
        <f>IF($FH5709="","",SUM($FN5709:$FN$7000))</f>
        <v/>
      </c>
      <c r="FK5709" s="36" t="str">
        <f>IF($FH5709="","",SUM($FN5709:$FN$7000))</f>
        <v/>
      </c>
    </row>
    <row r="5710" spans="164:167">
      <c r="FH5710" s="29" t="str">
        <f t="shared" si="144"/>
        <v/>
      </c>
      <c r="FJ5710" s="36" t="str">
        <f>IF($FH5710="","",SUM($FN5710:$FN$7000))</f>
        <v/>
      </c>
      <c r="FK5710" s="36" t="str">
        <f>IF($FH5710="","",SUM($FN5710:$FN$7000))</f>
        <v/>
      </c>
    </row>
    <row r="5711" spans="164:167">
      <c r="FH5711" s="29" t="str">
        <f t="shared" si="144"/>
        <v/>
      </c>
      <c r="FJ5711" s="36" t="str">
        <f>IF($FH5711="","",SUM($FN5711:$FN$7000))</f>
        <v/>
      </c>
      <c r="FK5711" s="36" t="str">
        <f>IF($FH5711="","",SUM($FN5711:$FN$7000))</f>
        <v/>
      </c>
    </row>
    <row r="5712" spans="164:167">
      <c r="FH5712" s="29" t="str">
        <f t="shared" si="144"/>
        <v/>
      </c>
      <c r="FJ5712" s="36" t="str">
        <f>IF($FH5712="","",SUM($FN5712:$FN$7000))</f>
        <v/>
      </c>
      <c r="FK5712" s="36" t="str">
        <f>IF($FH5712="","",SUM($FN5712:$FN$7000))</f>
        <v/>
      </c>
    </row>
    <row r="5713" spans="164:167">
      <c r="FH5713" s="29" t="str">
        <f t="shared" si="144"/>
        <v/>
      </c>
      <c r="FJ5713" s="36" t="str">
        <f>IF($FH5713="","",SUM($FN5713:$FN$7000))</f>
        <v/>
      </c>
      <c r="FK5713" s="36" t="str">
        <f>IF($FH5713="","",SUM($FN5713:$FN$7000))</f>
        <v/>
      </c>
    </row>
    <row r="5714" spans="164:167">
      <c r="FH5714" s="29" t="str">
        <f t="shared" si="144"/>
        <v/>
      </c>
      <c r="FJ5714" s="36" t="str">
        <f>IF($FH5714="","",SUM($FN5714:$FN$7000))</f>
        <v/>
      </c>
      <c r="FK5714" s="36" t="str">
        <f>IF($FH5714="","",SUM($FN5714:$FN$7000))</f>
        <v/>
      </c>
    </row>
    <row r="5715" spans="164:167">
      <c r="FH5715" s="29" t="str">
        <f t="shared" si="144"/>
        <v/>
      </c>
      <c r="FJ5715" s="36" t="str">
        <f>IF($FH5715="","",SUM($FN5715:$FN$7000))</f>
        <v/>
      </c>
      <c r="FK5715" s="36" t="str">
        <f>IF($FH5715="","",SUM($FN5715:$FN$7000))</f>
        <v/>
      </c>
    </row>
    <row r="5716" spans="164:167">
      <c r="FH5716" s="29" t="str">
        <f t="shared" si="144"/>
        <v/>
      </c>
      <c r="FJ5716" s="36" t="str">
        <f>IF($FH5716="","",SUM($FN5716:$FN$7000))</f>
        <v/>
      </c>
      <c r="FK5716" s="36" t="str">
        <f>IF($FH5716="","",SUM($FN5716:$FN$7000))</f>
        <v/>
      </c>
    </row>
    <row r="5717" spans="164:167">
      <c r="FH5717" s="29" t="str">
        <f t="shared" si="144"/>
        <v/>
      </c>
      <c r="FJ5717" s="36" t="str">
        <f>IF($FH5717="","",SUM($FN5717:$FN$7000))</f>
        <v/>
      </c>
      <c r="FK5717" s="36" t="str">
        <f>IF($FH5717="","",SUM($FN5717:$FN$7000))</f>
        <v/>
      </c>
    </row>
    <row r="5718" spans="164:167">
      <c r="FH5718" s="29" t="str">
        <f t="shared" si="144"/>
        <v/>
      </c>
      <c r="FJ5718" s="36" t="str">
        <f>IF($FH5718="","",SUM($FN5718:$FN$7000))</f>
        <v/>
      </c>
      <c r="FK5718" s="36" t="str">
        <f>IF($FH5718="","",SUM($FN5718:$FN$7000))</f>
        <v/>
      </c>
    </row>
    <row r="5719" spans="164:167">
      <c r="FH5719" s="29" t="str">
        <f t="shared" si="144"/>
        <v/>
      </c>
      <c r="FJ5719" s="36" t="str">
        <f>IF($FH5719="","",SUM($FN5719:$FN$7000))</f>
        <v/>
      </c>
      <c r="FK5719" s="36" t="str">
        <f>IF($FH5719="","",SUM($FN5719:$FN$7000))</f>
        <v/>
      </c>
    </row>
    <row r="5720" spans="164:167">
      <c r="FH5720" s="29" t="str">
        <f t="shared" si="144"/>
        <v/>
      </c>
      <c r="FJ5720" s="36" t="str">
        <f>IF($FH5720="","",SUM($FN5720:$FN$7000))</f>
        <v/>
      </c>
      <c r="FK5720" s="36" t="str">
        <f>IF($FH5720="","",SUM($FN5720:$FN$7000))</f>
        <v/>
      </c>
    </row>
    <row r="5721" spans="164:167">
      <c r="FH5721" s="29" t="str">
        <f t="shared" si="144"/>
        <v/>
      </c>
      <c r="FJ5721" s="36" t="str">
        <f>IF($FH5721="","",SUM($FN5721:$FN$7000))</f>
        <v/>
      </c>
      <c r="FK5721" s="36" t="str">
        <f>IF($FH5721="","",SUM($FN5721:$FN$7000))</f>
        <v/>
      </c>
    </row>
    <row r="5722" spans="164:167">
      <c r="FH5722" s="29" t="str">
        <f t="shared" si="144"/>
        <v/>
      </c>
      <c r="FJ5722" s="36" t="str">
        <f>IF($FH5722="","",SUM($FN5722:$FN$7000))</f>
        <v/>
      </c>
      <c r="FK5722" s="36" t="str">
        <f>IF($FH5722="","",SUM($FN5722:$FN$7000))</f>
        <v/>
      </c>
    </row>
    <row r="5723" spans="164:167">
      <c r="FH5723" s="29" t="str">
        <f t="shared" si="144"/>
        <v/>
      </c>
      <c r="FJ5723" s="36" t="str">
        <f>IF($FH5723="","",SUM($FN5723:$FN$7000))</f>
        <v/>
      </c>
      <c r="FK5723" s="36" t="str">
        <f>IF($FH5723="","",SUM($FN5723:$FN$7000))</f>
        <v/>
      </c>
    </row>
    <row r="5724" spans="164:167">
      <c r="FH5724" s="29" t="str">
        <f t="shared" si="144"/>
        <v/>
      </c>
      <c r="FJ5724" s="36" t="str">
        <f>IF($FH5724="","",SUM($FN5724:$FN$7000))</f>
        <v/>
      </c>
      <c r="FK5724" s="36" t="str">
        <f>IF($FH5724="","",SUM($FN5724:$FN$7000))</f>
        <v/>
      </c>
    </row>
    <row r="5725" spans="164:167">
      <c r="FH5725" s="29" t="str">
        <f t="shared" si="144"/>
        <v/>
      </c>
      <c r="FJ5725" s="36" t="str">
        <f>IF($FH5725="","",SUM($FN5725:$FN$7000))</f>
        <v/>
      </c>
      <c r="FK5725" s="36" t="str">
        <f>IF($FH5725="","",SUM($FN5725:$FN$7000))</f>
        <v/>
      </c>
    </row>
    <row r="5726" spans="164:167">
      <c r="FH5726" s="29" t="str">
        <f t="shared" si="144"/>
        <v/>
      </c>
      <c r="FJ5726" s="36" t="str">
        <f>IF($FH5726="","",SUM($FN5726:$FN$7000))</f>
        <v/>
      </c>
      <c r="FK5726" s="36" t="str">
        <f>IF($FH5726="","",SUM($FN5726:$FN$7000))</f>
        <v/>
      </c>
    </row>
    <row r="5727" spans="164:167">
      <c r="FH5727" s="29" t="str">
        <f t="shared" si="144"/>
        <v/>
      </c>
      <c r="FJ5727" s="36" t="str">
        <f>IF($FH5727="","",SUM($FN5727:$FN$7000))</f>
        <v/>
      </c>
      <c r="FK5727" s="36" t="str">
        <f>IF($FH5727="","",SUM($FN5727:$FN$7000))</f>
        <v/>
      </c>
    </row>
    <row r="5728" spans="164:167">
      <c r="FH5728" s="29" t="str">
        <f t="shared" si="144"/>
        <v/>
      </c>
      <c r="FJ5728" s="36" t="str">
        <f>IF($FH5728="","",SUM($FN5728:$FN$7000))</f>
        <v/>
      </c>
      <c r="FK5728" s="36" t="str">
        <f>IF($FH5728="","",SUM($FN5728:$FN$7000))</f>
        <v/>
      </c>
    </row>
    <row r="5729" spans="164:167">
      <c r="FH5729" s="29" t="str">
        <f t="shared" si="144"/>
        <v/>
      </c>
      <c r="FJ5729" s="36" t="str">
        <f>IF($FH5729="","",SUM($FN5729:$FN$7000))</f>
        <v/>
      </c>
      <c r="FK5729" s="36" t="str">
        <f>IF($FH5729="","",SUM($FN5729:$FN$7000))</f>
        <v/>
      </c>
    </row>
    <row r="5730" spans="164:167">
      <c r="FH5730" s="29" t="str">
        <f t="shared" si="144"/>
        <v/>
      </c>
      <c r="FJ5730" s="36" t="str">
        <f>IF($FH5730="","",SUM($FN5730:$FN$7000))</f>
        <v/>
      </c>
      <c r="FK5730" s="36" t="str">
        <f>IF($FH5730="","",SUM($FN5730:$FN$7000))</f>
        <v/>
      </c>
    </row>
    <row r="5731" spans="164:167">
      <c r="FH5731" s="29" t="str">
        <f t="shared" si="144"/>
        <v/>
      </c>
      <c r="FJ5731" s="36" t="str">
        <f>IF($FH5731="","",SUM($FN5731:$FN$7000))</f>
        <v/>
      </c>
      <c r="FK5731" s="36" t="str">
        <f>IF($FH5731="","",SUM($FN5731:$FN$7000))</f>
        <v/>
      </c>
    </row>
    <row r="5732" spans="164:167">
      <c r="FH5732" s="29" t="str">
        <f t="shared" si="144"/>
        <v/>
      </c>
      <c r="FJ5732" s="36" t="str">
        <f>IF($FH5732="","",SUM($FN5732:$FN$7000))</f>
        <v/>
      </c>
      <c r="FK5732" s="36" t="str">
        <f>IF($FH5732="","",SUM($FN5732:$FN$7000))</f>
        <v/>
      </c>
    </row>
    <row r="5733" spans="164:167">
      <c r="FH5733" s="29" t="str">
        <f t="shared" si="144"/>
        <v/>
      </c>
      <c r="FJ5733" s="36" t="str">
        <f>IF($FH5733="","",SUM($FN5733:$FN$7000))</f>
        <v/>
      </c>
      <c r="FK5733" s="36" t="str">
        <f>IF($FH5733="","",SUM($FN5733:$FN$7000))</f>
        <v/>
      </c>
    </row>
    <row r="5734" spans="164:167">
      <c r="FH5734" s="29" t="str">
        <f t="shared" si="144"/>
        <v/>
      </c>
      <c r="FJ5734" s="36" t="str">
        <f>IF($FH5734="","",SUM($FN5734:$FN$7000))</f>
        <v/>
      </c>
      <c r="FK5734" s="36" t="str">
        <f>IF($FH5734="","",SUM($FN5734:$FN$7000))</f>
        <v/>
      </c>
    </row>
    <row r="5735" spans="164:167">
      <c r="FH5735" s="29" t="str">
        <f t="shared" si="144"/>
        <v/>
      </c>
      <c r="FJ5735" s="36" t="str">
        <f>IF($FH5735="","",SUM($FN5735:$FN$7000))</f>
        <v/>
      </c>
      <c r="FK5735" s="36" t="str">
        <f>IF($FH5735="","",SUM($FN5735:$FN$7000))</f>
        <v/>
      </c>
    </row>
    <row r="5736" spans="164:167">
      <c r="FH5736" s="29" t="str">
        <f t="shared" si="144"/>
        <v/>
      </c>
      <c r="FJ5736" s="36" t="str">
        <f>IF($FH5736="","",SUM($FN5736:$FN$7000))</f>
        <v/>
      </c>
      <c r="FK5736" s="36" t="str">
        <f>IF($FH5736="","",SUM($FN5736:$FN$7000))</f>
        <v/>
      </c>
    </row>
    <row r="5737" spans="164:167">
      <c r="FH5737" s="29" t="str">
        <f t="shared" si="144"/>
        <v/>
      </c>
      <c r="FJ5737" s="36" t="str">
        <f>IF($FH5737="","",SUM($FN5737:$FN$7000))</f>
        <v/>
      </c>
      <c r="FK5737" s="36" t="str">
        <f>IF($FH5737="","",SUM($FN5737:$FN$7000))</f>
        <v/>
      </c>
    </row>
    <row r="5738" spans="164:167">
      <c r="FH5738" s="29" t="str">
        <f t="shared" si="144"/>
        <v/>
      </c>
      <c r="FJ5738" s="36" t="str">
        <f>IF($FH5738="","",SUM($FN5738:$FN$7000))</f>
        <v/>
      </c>
      <c r="FK5738" s="36" t="str">
        <f>IF($FH5738="","",SUM($FN5738:$FN$7000))</f>
        <v/>
      </c>
    </row>
    <row r="5739" spans="164:167">
      <c r="FH5739" s="29" t="str">
        <f t="shared" si="144"/>
        <v/>
      </c>
      <c r="FJ5739" s="36" t="str">
        <f>IF($FH5739="","",SUM($FN5739:$FN$7000))</f>
        <v/>
      </c>
      <c r="FK5739" s="36" t="str">
        <f>IF($FH5739="","",SUM($FN5739:$FN$7000))</f>
        <v/>
      </c>
    </row>
    <row r="5740" spans="164:167">
      <c r="FH5740" s="29" t="str">
        <f t="shared" si="144"/>
        <v/>
      </c>
      <c r="FJ5740" s="36" t="str">
        <f>IF($FH5740="","",SUM($FN5740:$FN$7000))</f>
        <v/>
      </c>
      <c r="FK5740" s="36" t="str">
        <f>IF($FH5740="","",SUM($FN5740:$FN$7000))</f>
        <v/>
      </c>
    </row>
    <row r="5741" spans="164:167">
      <c r="FH5741" s="29" t="str">
        <f t="shared" si="144"/>
        <v/>
      </c>
      <c r="FJ5741" s="36" t="str">
        <f>IF($FH5741="","",SUM($FN5741:$FN$7000))</f>
        <v/>
      </c>
      <c r="FK5741" s="36" t="str">
        <f>IF($FH5741="","",SUM($FN5741:$FN$7000))</f>
        <v/>
      </c>
    </row>
    <row r="5742" spans="164:167">
      <c r="FH5742" s="29" t="str">
        <f t="shared" si="144"/>
        <v/>
      </c>
      <c r="FJ5742" s="36" t="str">
        <f>IF($FH5742="","",SUM($FN5742:$FN$7000))</f>
        <v/>
      </c>
      <c r="FK5742" s="36" t="str">
        <f>IF($FH5742="","",SUM($FN5742:$FN$7000))</f>
        <v/>
      </c>
    </row>
    <row r="5743" spans="164:167">
      <c r="FH5743" s="29" t="str">
        <f t="shared" si="144"/>
        <v/>
      </c>
      <c r="FJ5743" s="36" t="str">
        <f>IF($FH5743="","",SUM($FN5743:$FN$7000))</f>
        <v/>
      </c>
      <c r="FK5743" s="36" t="str">
        <f>IF($FH5743="","",SUM($FN5743:$FN$7000))</f>
        <v/>
      </c>
    </row>
    <row r="5744" spans="164:167">
      <c r="FH5744" s="29" t="str">
        <f t="shared" si="144"/>
        <v/>
      </c>
      <c r="FJ5744" s="36" t="str">
        <f>IF($FH5744="","",SUM($FN5744:$FN$7000))</f>
        <v/>
      </c>
      <c r="FK5744" s="36" t="str">
        <f>IF($FH5744="","",SUM($FN5744:$FN$7000))</f>
        <v/>
      </c>
    </row>
    <row r="5745" spans="164:167">
      <c r="FH5745" s="29" t="str">
        <f t="shared" si="144"/>
        <v/>
      </c>
      <c r="FJ5745" s="36" t="str">
        <f>IF($FH5745="","",SUM($FN5745:$FN$7000))</f>
        <v/>
      </c>
      <c r="FK5745" s="36" t="str">
        <f>IF($FH5745="","",SUM($FN5745:$FN$7000))</f>
        <v/>
      </c>
    </row>
    <row r="5746" spans="164:167">
      <c r="FH5746" s="29" t="str">
        <f t="shared" si="144"/>
        <v/>
      </c>
      <c r="FJ5746" s="36" t="str">
        <f>IF($FH5746="","",SUM($FN5746:$FN$7000))</f>
        <v/>
      </c>
      <c r="FK5746" s="36" t="str">
        <f>IF($FH5746="","",SUM($FN5746:$FN$7000))</f>
        <v/>
      </c>
    </row>
    <row r="5747" spans="164:167">
      <c r="FH5747" s="29" t="str">
        <f t="shared" si="144"/>
        <v/>
      </c>
      <c r="FJ5747" s="36" t="str">
        <f>IF($FH5747="","",SUM($FN5747:$FN$7000))</f>
        <v/>
      </c>
      <c r="FK5747" s="36" t="str">
        <f>IF($FH5747="","",SUM($FN5747:$FN$7000))</f>
        <v/>
      </c>
    </row>
    <row r="5748" spans="164:167">
      <c r="FH5748" s="29" t="str">
        <f t="shared" si="144"/>
        <v/>
      </c>
      <c r="FJ5748" s="36" t="str">
        <f>IF($FH5748="","",SUM($FN5748:$FN$7000))</f>
        <v/>
      </c>
      <c r="FK5748" s="36" t="str">
        <f>IF($FH5748="","",SUM($FN5748:$FN$7000))</f>
        <v/>
      </c>
    </row>
    <row r="5749" spans="164:167">
      <c r="FH5749" s="29" t="str">
        <f t="shared" si="144"/>
        <v/>
      </c>
      <c r="FJ5749" s="36" t="str">
        <f>IF($FH5749="","",SUM($FN5749:$FN$7000))</f>
        <v/>
      </c>
      <c r="FK5749" s="36" t="str">
        <f>IF($FH5749="","",SUM($FN5749:$FN$7000))</f>
        <v/>
      </c>
    </row>
    <row r="5750" spans="164:167">
      <c r="FH5750" s="29" t="str">
        <f t="shared" si="144"/>
        <v/>
      </c>
      <c r="FJ5750" s="36" t="str">
        <f>IF($FH5750="","",SUM($FN5750:$FN$7000))</f>
        <v/>
      </c>
      <c r="FK5750" s="36" t="str">
        <f>IF($FH5750="","",SUM($FN5750:$FN$7000))</f>
        <v/>
      </c>
    </row>
    <row r="5751" spans="164:167">
      <c r="FH5751" s="29" t="str">
        <f t="shared" si="144"/>
        <v/>
      </c>
      <c r="FJ5751" s="36" t="str">
        <f>IF($FH5751="","",SUM($FN5751:$FN$7000))</f>
        <v/>
      </c>
      <c r="FK5751" s="36" t="str">
        <f>IF($FH5751="","",SUM($FN5751:$FN$7000))</f>
        <v/>
      </c>
    </row>
    <row r="5752" spans="164:167">
      <c r="FH5752" s="29" t="str">
        <f t="shared" si="144"/>
        <v/>
      </c>
      <c r="FJ5752" s="36" t="str">
        <f>IF($FH5752="","",SUM($FN5752:$FN$7000))</f>
        <v/>
      </c>
      <c r="FK5752" s="36" t="str">
        <f>IF($FH5752="","",SUM($FN5752:$FN$7000))</f>
        <v/>
      </c>
    </row>
    <row r="5753" spans="164:167">
      <c r="FH5753" s="29" t="str">
        <f t="shared" si="144"/>
        <v/>
      </c>
      <c r="FJ5753" s="36" t="str">
        <f>IF($FH5753="","",SUM($FN5753:$FN$7000))</f>
        <v/>
      </c>
      <c r="FK5753" s="36" t="str">
        <f>IF($FH5753="","",SUM($FN5753:$FN$7000))</f>
        <v/>
      </c>
    </row>
    <row r="5754" spans="164:167">
      <c r="FH5754" s="29" t="str">
        <f t="shared" si="144"/>
        <v/>
      </c>
      <c r="FJ5754" s="36" t="str">
        <f>IF($FH5754="","",SUM($FN5754:$FN$7000))</f>
        <v/>
      </c>
      <c r="FK5754" s="36" t="str">
        <f>IF($FH5754="","",SUM($FN5754:$FN$7000))</f>
        <v/>
      </c>
    </row>
    <row r="5755" spans="164:167">
      <c r="FH5755" s="29" t="str">
        <f t="shared" si="144"/>
        <v/>
      </c>
      <c r="FJ5755" s="36" t="str">
        <f>IF($FH5755="","",SUM($FN5755:$FN$7000))</f>
        <v/>
      </c>
      <c r="FK5755" s="36" t="str">
        <f>IF($FH5755="","",SUM($FN5755:$FN$7000))</f>
        <v/>
      </c>
    </row>
    <row r="5756" spans="164:167">
      <c r="FH5756" s="29" t="str">
        <f t="shared" si="144"/>
        <v/>
      </c>
      <c r="FJ5756" s="36" t="str">
        <f>IF($FH5756="","",SUM($FN5756:$FN$7000))</f>
        <v/>
      </c>
      <c r="FK5756" s="36" t="str">
        <f>IF($FH5756="","",SUM($FN5756:$FN$7000))</f>
        <v/>
      </c>
    </row>
    <row r="5757" spans="164:167">
      <c r="FH5757" s="29" t="str">
        <f t="shared" si="144"/>
        <v/>
      </c>
      <c r="FJ5757" s="36" t="str">
        <f>IF($FH5757="","",SUM($FN5757:$FN$7000))</f>
        <v/>
      </c>
      <c r="FK5757" s="36" t="str">
        <f>IF($FH5757="","",SUM($FN5757:$FN$7000))</f>
        <v/>
      </c>
    </row>
    <row r="5758" spans="164:167">
      <c r="FH5758" s="29" t="str">
        <f t="shared" si="144"/>
        <v/>
      </c>
      <c r="FJ5758" s="36" t="str">
        <f>IF($FH5758="","",SUM($FN5758:$FN$7000))</f>
        <v/>
      </c>
      <c r="FK5758" s="36" t="str">
        <f>IF($FH5758="","",SUM($FN5758:$FN$7000))</f>
        <v/>
      </c>
    </row>
    <row r="5759" spans="164:167">
      <c r="FH5759" s="29" t="str">
        <f t="shared" si="144"/>
        <v/>
      </c>
      <c r="FJ5759" s="36" t="str">
        <f>IF($FH5759="","",SUM($FN5759:$FN$7000))</f>
        <v/>
      </c>
      <c r="FK5759" s="36" t="str">
        <f>IF($FH5759="","",SUM($FN5759:$FN$7000))</f>
        <v/>
      </c>
    </row>
    <row r="5760" spans="164:167">
      <c r="FH5760" s="29" t="str">
        <f t="shared" si="144"/>
        <v/>
      </c>
      <c r="FJ5760" s="36" t="str">
        <f>IF($FH5760="","",SUM($FN5760:$FN$7000))</f>
        <v/>
      </c>
      <c r="FK5760" s="36" t="str">
        <f>IF($FH5760="","",SUM($FN5760:$FN$7000))</f>
        <v/>
      </c>
    </row>
    <row r="5761" spans="164:167">
      <c r="FH5761" s="29" t="str">
        <f t="shared" si="144"/>
        <v/>
      </c>
      <c r="FJ5761" s="36" t="str">
        <f>IF($FH5761="","",SUM($FN5761:$FN$7000))</f>
        <v/>
      </c>
      <c r="FK5761" s="36" t="str">
        <f>IF($FH5761="","",SUM($FN5761:$FN$7000))</f>
        <v/>
      </c>
    </row>
    <row r="5762" spans="164:167">
      <c r="FH5762" s="29" t="str">
        <f t="shared" si="144"/>
        <v/>
      </c>
      <c r="FJ5762" s="36" t="str">
        <f>IF($FH5762="","",SUM($FN5762:$FN$7000))</f>
        <v/>
      </c>
      <c r="FK5762" s="36" t="str">
        <f>IF($FH5762="","",SUM($FN5762:$FN$7000))</f>
        <v/>
      </c>
    </row>
    <row r="5763" spans="164:167">
      <c r="FH5763" s="29" t="str">
        <f t="shared" si="144"/>
        <v/>
      </c>
      <c r="FJ5763" s="36" t="str">
        <f>IF($FH5763="","",SUM($FN5763:$FN$7000))</f>
        <v/>
      </c>
      <c r="FK5763" s="36" t="str">
        <f>IF($FH5763="","",SUM($FN5763:$FN$7000))</f>
        <v/>
      </c>
    </row>
    <row r="5764" spans="164:167">
      <c r="FH5764" s="29" t="str">
        <f t="shared" si="144"/>
        <v/>
      </c>
      <c r="FJ5764" s="36" t="str">
        <f>IF($FH5764="","",SUM($FN5764:$FN$7000))</f>
        <v/>
      </c>
      <c r="FK5764" s="36" t="str">
        <f>IF($FH5764="","",SUM($FN5764:$FN$7000))</f>
        <v/>
      </c>
    </row>
    <row r="5765" spans="164:167">
      <c r="FH5765" s="29" t="str">
        <f t="shared" si="144"/>
        <v/>
      </c>
      <c r="FJ5765" s="36" t="str">
        <f>IF($FH5765="","",SUM($FN5765:$FN$7000))</f>
        <v/>
      </c>
      <c r="FK5765" s="36" t="str">
        <f>IF($FH5765="","",SUM($FN5765:$FN$7000))</f>
        <v/>
      </c>
    </row>
    <row r="5766" spans="164:167">
      <c r="FH5766" s="29" t="str">
        <f t="shared" si="144"/>
        <v/>
      </c>
      <c r="FJ5766" s="36" t="str">
        <f>IF($FH5766="","",SUM($FN5766:$FN$7000))</f>
        <v/>
      </c>
      <c r="FK5766" s="36" t="str">
        <f>IF($FH5766="","",SUM($FN5766:$FN$7000))</f>
        <v/>
      </c>
    </row>
    <row r="5767" spans="164:167">
      <c r="FH5767" s="29" t="str">
        <f t="shared" si="144"/>
        <v/>
      </c>
      <c r="FJ5767" s="36" t="str">
        <f>IF($FH5767="","",SUM($FN5767:$FN$7000))</f>
        <v/>
      </c>
      <c r="FK5767" s="36" t="str">
        <f>IF($FH5767="","",SUM($FN5767:$FN$7000))</f>
        <v/>
      </c>
    </row>
    <row r="5768" spans="164:167">
      <c r="FH5768" s="29" t="str">
        <f t="shared" si="144"/>
        <v/>
      </c>
      <c r="FJ5768" s="36" t="str">
        <f>IF($FH5768="","",SUM($FN5768:$FN$7000))</f>
        <v/>
      </c>
      <c r="FK5768" s="36" t="str">
        <f>IF($FH5768="","",SUM($FN5768:$FN$7000))</f>
        <v/>
      </c>
    </row>
    <row r="5769" spans="164:167">
      <c r="FH5769" s="29" t="str">
        <f t="shared" si="144"/>
        <v/>
      </c>
      <c r="FJ5769" s="36" t="str">
        <f>IF($FH5769="","",SUM($FN5769:$FN$7000))</f>
        <v/>
      </c>
      <c r="FK5769" s="36" t="str">
        <f>IF($FH5769="","",SUM($FN5769:$FN$7000))</f>
        <v/>
      </c>
    </row>
    <row r="5770" spans="164:167">
      <c r="FH5770" s="29" t="str">
        <f t="shared" si="144"/>
        <v/>
      </c>
      <c r="FJ5770" s="36" t="str">
        <f>IF($FH5770="","",SUM($FN5770:$FN$7000))</f>
        <v/>
      </c>
      <c r="FK5770" s="36" t="str">
        <f>IF($FH5770="","",SUM($FN5770:$FN$7000))</f>
        <v/>
      </c>
    </row>
    <row r="5771" spans="164:167">
      <c r="FH5771" s="29" t="str">
        <f t="shared" ref="FH5771:FH5834" si="145">IF(FL5771="","",FL5771)</f>
        <v/>
      </c>
      <c r="FJ5771" s="36" t="str">
        <f>IF($FH5771="","",SUM($FN5771:$FN$7000))</f>
        <v/>
      </c>
      <c r="FK5771" s="36" t="str">
        <f>IF($FH5771="","",SUM($FN5771:$FN$7000))</f>
        <v/>
      </c>
    </row>
    <row r="5772" spans="164:167">
      <c r="FH5772" s="29" t="str">
        <f t="shared" si="145"/>
        <v/>
      </c>
      <c r="FJ5772" s="36" t="str">
        <f>IF($FH5772="","",SUM($FN5772:$FN$7000))</f>
        <v/>
      </c>
      <c r="FK5772" s="36" t="str">
        <f>IF($FH5772="","",SUM($FN5772:$FN$7000))</f>
        <v/>
      </c>
    </row>
    <row r="5773" spans="164:167">
      <c r="FH5773" s="29" t="str">
        <f t="shared" si="145"/>
        <v/>
      </c>
      <c r="FJ5773" s="36" t="str">
        <f>IF($FH5773="","",SUM($FN5773:$FN$7000))</f>
        <v/>
      </c>
      <c r="FK5773" s="36" t="str">
        <f>IF($FH5773="","",SUM($FN5773:$FN$7000))</f>
        <v/>
      </c>
    </row>
    <row r="5774" spans="164:167">
      <c r="FH5774" s="29" t="str">
        <f t="shared" si="145"/>
        <v/>
      </c>
      <c r="FJ5774" s="36" t="str">
        <f>IF($FH5774="","",SUM($FN5774:$FN$7000))</f>
        <v/>
      </c>
      <c r="FK5774" s="36" t="str">
        <f>IF($FH5774="","",SUM($FN5774:$FN$7000))</f>
        <v/>
      </c>
    </row>
    <row r="5775" spans="164:167">
      <c r="FH5775" s="29" t="str">
        <f t="shared" si="145"/>
        <v/>
      </c>
      <c r="FJ5775" s="36" t="str">
        <f>IF($FH5775="","",SUM($FN5775:$FN$7000))</f>
        <v/>
      </c>
      <c r="FK5775" s="36" t="str">
        <f>IF($FH5775="","",SUM($FN5775:$FN$7000))</f>
        <v/>
      </c>
    </row>
    <row r="5776" spans="164:167">
      <c r="FH5776" s="29" t="str">
        <f t="shared" si="145"/>
        <v/>
      </c>
      <c r="FJ5776" s="36" t="str">
        <f>IF($FH5776="","",SUM($FN5776:$FN$7000))</f>
        <v/>
      </c>
      <c r="FK5776" s="36" t="str">
        <f>IF($FH5776="","",SUM($FN5776:$FN$7000))</f>
        <v/>
      </c>
    </row>
    <row r="5777" spans="164:167">
      <c r="FH5777" s="29" t="str">
        <f t="shared" si="145"/>
        <v/>
      </c>
      <c r="FJ5777" s="36" t="str">
        <f>IF($FH5777="","",SUM($FN5777:$FN$7000))</f>
        <v/>
      </c>
      <c r="FK5777" s="36" t="str">
        <f>IF($FH5777="","",SUM($FN5777:$FN$7000))</f>
        <v/>
      </c>
    </row>
    <row r="5778" spans="164:167">
      <c r="FH5778" s="29" t="str">
        <f t="shared" si="145"/>
        <v/>
      </c>
      <c r="FJ5778" s="36" t="str">
        <f>IF($FH5778="","",SUM($FN5778:$FN$7000))</f>
        <v/>
      </c>
      <c r="FK5778" s="36" t="str">
        <f>IF($FH5778="","",SUM($FN5778:$FN$7000))</f>
        <v/>
      </c>
    </row>
    <row r="5779" spans="164:167">
      <c r="FH5779" s="29" t="str">
        <f t="shared" si="145"/>
        <v/>
      </c>
      <c r="FJ5779" s="36" t="str">
        <f>IF($FH5779="","",SUM($FN5779:$FN$7000))</f>
        <v/>
      </c>
      <c r="FK5779" s="36" t="str">
        <f>IF($FH5779="","",SUM($FN5779:$FN$7000))</f>
        <v/>
      </c>
    </row>
    <row r="5780" spans="164:167">
      <c r="FH5780" s="29" t="str">
        <f t="shared" si="145"/>
        <v/>
      </c>
      <c r="FJ5780" s="36" t="str">
        <f>IF($FH5780="","",SUM($FN5780:$FN$7000))</f>
        <v/>
      </c>
      <c r="FK5780" s="36" t="str">
        <f>IF($FH5780="","",SUM($FN5780:$FN$7000))</f>
        <v/>
      </c>
    </row>
    <row r="5781" spans="164:167">
      <c r="FH5781" s="29" t="str">
        <f t="shared" si="145"/>
        <v/>
      </c>
      <c r="FJ5781" s="36" t="str">
        <f>IF($FH5781="","",SUM($FN5781:$FN$7000))</f>
        <v/>
      </c>
      <c r="FK5781" s="36" t="str">
        <f>IF($FH5781="","",SUM($FN5781:$FN$7000))</f>
        <v/>
      </c>
    </row>
    <row r="5782" spans="164:167">
      <c r="FH5782" s="29" t="str">
        <f t="shared" si="145"/>
        <v/>
      </c>
      <c r="FJ5782" s="36" t="str">
        <f>IF($FH5782="","",SUM($FN5782:$FN$7000))</f>
        <v/>
      </c>
      <c r="FK5782" s="36" t="str">
        <f>IF($FH5782="","",SUM($FN5782:$FN$7000))</f>
        <v/>
      </c>
    </row>
    <row r="5783" spans="164:167">
      <c r="FH5783" s="29" t="str">
        <f t="shared" si="145"/>
        <v/>
      </c>
      <c r="FJ5783" s="36" t="str">
        <f>IF($FH5783="","",SUM($FN5783:$FN$7000))</f>
        <v/>
      </c>
      <c r="FK5783" s="36" t="str">
        <f>IF($FH5783="","",SUM($FN5783:$FN$7000))</f>
        <v/>
      </c>
    </row>
    <row r="5784" spans="164:167">
      <c r="FH5784" s="29" t="str">
        <f t="shared" si="145"/>
        <v/>
      </c>
      <c r="FJ5784" s="36" t="str">
        <f>IF($FH5784="","",SUM($FN5784:$FN$7000))</f>
        <v/>
      </c>
      <c r="FK5784" s="36" t="str">
        <f>IF($FH5784="","",SUM($FN5784:$FN$7000))</f>
        <v/>
      </c>
    </row>
    <row r="5785" spans="164:167">
      <c r="FH5785" s="29" t="str">
        <f t="shared" si="145"/>
        <v/>
      </c>
      <c r="FJ5785" s="36" t="str">
        <f>IF($FH5785="","",SUM($FN5785:$FN$7000))</f>
        <v/>
      </c>
      <c r="FK5785" s="36" t="str">
        <f>IF($FH5785="","",SUM($FN5785:$FN$7000))</f>
        <v/>
      </c>
    </row>
    <row r="5786" spans="164:167">
      <c r="FH5786" s="29" t="str">
        <f t="shared" si="145"/>
        <v/>
      </c>
      <c r="FJ5786" s="36" t="str">
        <f>IF($FH5786="","",SUM($FN5786:$FN$7000))</f>
        <v/>
      </c>
      <c r="FK5786" s="36" t="str">
        <f>IF($FH5786="","",SUM($FN5786:$FN$7000))</f>
        <v/>
      </c>
    </row>
    <row r="5787" spans="164:167">
      <c r="FH5787" s="29" t="str">
        <f t="shared" si="145"/>
        <v/>
      </c>
      <c r="FJ5787" s="36" t="str">
        <f>IF($FH5787="","",SUM($FN5787:$FN$7000))</f>
        <v/>
      </c>
      <c r="FK5787" s="36" t="str">
        <f>IF($FH5787="","",SUM($FN5787:$FN$7000))</f>
        <v/>
      </c>
    </row>
    <row r="5788" spans="164:167">
      <c r="FH5788" s="29" t="str">
        <f t="shared" si="145"/>
        <v/>
      </c>
      <c r="FJ5788" s="36" t="str">
        <f>IF($FH5788="","",SUM($FN5788:$FN$7000))</f>
        <v/>
      </c>
      <c r="FK5788" s="36" t="str">
        <f>IF($FH5788="","",SUM($FN5788:$FN$7000))</f>
        <v/>
      </c>
    </row>
    <row r="5789" spans="164:167">
      <c r="FH5789" s="29" t="str">
        <f t="shared" si="145"/>
        <v/>
      </c>
      <c r="FJ5789" s="36" t="str">
        <f>IF($FH5789="","",SUM($FN5789:$FN$7000))</f>
        <v/>
      </c>
      <c r="FK5789" s="36" t="str">
        <f>IF($FH5789="","",SUM($FN5789:$FN$7000))</f>
        <v/>
      </c>
    </row>
    <row r="5790" spans="164:167">
      <c r="FH5790" s="29" t="str">
        <f t="shared" si="145"/>
        <v/>
      </c>
      <c r="FJ5790" s="36" t="str">
        <f>IF($FH5790="","",SUM($FN5790:$FN$7000))</f>
        <v/>
      </c>
      <c r="FK5790" s="36" t="str">
        <f>IF($FH5790="","",SUM($FN5790:$FN$7000))</f>
        <v/>
      </c>
    </row>
    <row r="5791" spans="164:167">
      <c r="FH5791" s="29" t="str">
        <f t="shared" si="145"/>
        <v/>
      </c>
      <c r="FJ5791" s="36" t="str">
        <f>IF($FH5791="","",SUM($FN5791:$FN$7000))</f>
        <v/>
      </c>
      <c r="FK5791" s="36" t="str">
        <f>IF($FH5791="","",SUM($FN5791:$FN$7000))</f>
        <v/>
      </c>
    </row>
    <row r="5792" spans="164:167">
      <c r="FH5792" s="29" t="str">
        <f t="shared" si="145"/>
        <v/>
      </c>
      <c r="FJ5792" s="36" t="str">
        <f>IF($FH5792="","",SUM($FN5792:$FN$7000))</f>
        <v/>
      </c>
      <c r="FK5792" s="36" t="str">
        <f>IF($FH5792="","",SUM($FN5792:$FN$7000))</f>
        <v/>
      </c>
    </row>
    <row r="5793" spans="164:167">
      <c r="FH5793" s="29" t="str">
        <f t="shared" si="145"/>
        <v/>
      </c>
      <c r="FJ5793" s="36" t="str">
        <f>IF($FH5793="","",SUM($FN5793:$FN$7000))</f>
        <v/>
      </c>
      <c r="FK5793" s="36" t="str">
        <f>IF($FH5793="","",SUM($FN5793:$FN$7000))</f>
        <v/>
      </c>
    </row>
    <row r="5794" spans="164:167">
      <c r="FH5794" s="29" t="str">
        <f t="shared" si="145"/>
        <v/>
      </c>
      <c r="FJ5794" s="36" t="str">
        <f>IF($FH5794="","",SUM($FN5794:$FN$7000))</f>
        <v/>
      </c>
      <c r="FK5794" s="36" t="str">
        <f>IF($FH5794="","",SUM($FN5794:$FN$7000))</f>
        <v/>
      </c>
    </row>
    <row r="5795" spans="164:167">
      <c r="FH5795" s="29" t="str">
        <f t="shared" si="145"/>
        <v/>
      </c>
      <c r="FJ5795" s="36" t="str">
        <f>IF($FH5795="","",SUM($FN5795:$FN$7000))</f>
        <v/>
      </c>
      <c r="FK5795" s="36" t="str">
        <f>IF($FH5795="","",SUM($FN5795:$FN$7000))</f>
        <v/>
      </c>
    </row>
    <row r="5796" spans="164:167">
      <c r="FH5796" s="29" t="str">
        <f t="shared" si="145"/>
        <v/>
      </c>
      <c r="FJ5796" s="36" t="str">
        <f>IF($FH5796="","",SUM($FN5796:$FN$7000))</f>
        <v/>
      </c>
      <c r="FK5796" s="36" t="str">
        <f>IF($FH5796="","",SUM($FN5796:$FN$7000))</f>
        <v/>
      </c>
    </row>
    <row r="5797" spans="164:167">
      <c r="FH5797" s="29" t="str">
        <f t="shared" si="145"/>
        <v/>
      </c>
      <c r="FJ5797" s="36" t="str">
        <f>IF($FH5797="","",SUM($FN5797:$FN$7000))</f>
        <v/>
      </c>
      <c r="FK5797" s="36" t="str">
        <f>IF($FH5797="","",SUM($FN5797:$FN$7000))</f>
        <v/>
      </c>
    </row>
    <row r="5798" spans="164:167">
      <c r="FH5798" s="29" t="str">
        <f t="shared" si="145"/>
        <v/>
      </c>
      <c r="FJ5798" s="36" t="str">
        <f>IF($FH5798="","",SUM($FN5798:$FN$7000))</f>
        <v/>
      </c>
      <c r="FK5798" s="36" t="str">
        <f>IF($FH5798="","",SUM($FN5798:$FN$7000))</f>
        <v/>
      </c>
    </row>
    <row r="5799" spans="164:167">
      <c r="FH5799" s="29" t="str">
        <f t="shared" si="145"/>
        <v/>
      </c>
      <c r="FJ5799" s="36" t="str">
        <f>IF($FH5799="","",SUM($FN5799:$FN$7000))</f>
        <v/>
      </c>
      <c r="FK5799" s="36" t="str">
        <f>IF($FH5799="","",SUM($FN5799:$FN$7000))</f>
        <v/>
      </c>
    </row>
    <row r="5800" spans="164:167">
      <c r="FH5800" s="29" t="str">
        <f t="shared" si="145"/>
        <v/>
      </c>
      <c r="FJ5800" s="36" t="str">
        <f>IF($FH5800="","",SUM($FN5800:$FN$7000))</f>
        <v/>
      </c>
      <c r="FK5800" s="36" t="str">
        <f>IF($FH5800="","",SUM($FN5800:$FN$7000))</f>
        <v/>
      </c>
    </row>
    <row r="5801" spans="164:167">
      <c r="FH5801" s="29" t="str">
        <f t="shared" si="145"/>
        <v/>
      </c>
      <c r="FJ5801" s="36" t="str">
        <f>IF($FH5801="","",SUM($FN5801:$FN$7000))</f>
        <v/>
      </c>
      <c r="FK5801" s="36" t="str">
        <f>IF($FH5801="","",SUM($FN5801:$FN$7000))</f>
        <v/>
      </c>
    </row>
    <row r="5802" spans="164:167">
      <c r="FH5802" s="29" t="str">
        <f t="shared" si="145"/>
        <v/>
      </c>
      <c r="FJ5802" s="36" t="str">
        <f>IF($FH5802="","",SUM($FN5802:$FN$7000))</f>
        <v/>
      </c>
      <c r="FK5802" s="36" t="str">
        <f>IF($FH5802="","",SUM($FN5802:$FN$7000))</f>
        <v/>
      </c>
    </row>
    <row r="5803" spans="164:167">
      <c r="FH5803" s="29" t="str">
        <f t="shared" si="145"/>
        <v/>
      </c>
      <c r="FJ5803" s="36" t="str">
        <f>IF($FH5803="","",SUM($FN5803:$FN$7000))</f>
        <v/>
      </c>
      <c r="FK5803" s="36" t="str">
        <f>IF($FH5803="","",SUM($FN5803:$FN$7000))</f>
        <v/>
      </c>
    </row>
    <row r="5804" spans="164:167">
      <c r="FH5804" s="29" t="str">
        <f t="shared" si="145"/>
        <v/>
      </c>
      <c r="FJ5804" s="36" t="str">
        <f>IF($FH5804="","",SUM($FN5804:$FN$7000))</f>
        <v/>
      </c>
      <c r="FK5804" s="36" t="str">
        <f>IF($FH5804="","",SUM($FN5804:$FN$7000))</f>
        <v/>
      </c>
    </row>
    <row r="5805" spans="164:167">
      <c r="FH5805" s="29" t="str">
        <f t="shared" si="145"/>
        <v/>
      </c>
      <c r="FJ5805" s="36" t="str">
        <f>IF($FH5805="","",SUM($FN5805:$FN$7000))</f>
        <v/>
      </c>
      <c r="FK5805" s="36" t="str">
        <f>IF($FH5805="","",SUM($FN5805:$FN$7000))</f>
        <v/>
      </c>
    </row>
    <row r="5806" spans="164:167">
      <c r="FH5806" s="29" t="str">
        <f t="shared" si="145"/>
        <v/>
      </c>
      <c r="FJ5806" s="36" t="str">
        <f>IF($FH5806="","",SUM($FN5806:$FN$7000))</f>
        <v/>
      </c>
      <c r="FK5806" s="36" t="str">
        <f>IF($FH5806="","",SUM($FN5806:$FN$7000))</f>
        <v/>
      </c>
    </row>
    <row r="5807" spans="164:167">
      <c r="FH5807" s="29" t="str">
        <f t="shared" si="145"/>
        <v/>
      </c>
      <c r="FJ5807" s="36" t="str">
        <f>IF($FH5807="","",SUM($FN5807:$FN$7000))</f>
        <v/>
      </c>
      <c r="FK5807" s="36" t="str">
        <f>IF($FH5807="","",SUM($FN5807:$FN$7000))</f>
        <v/>
      </c>
    </row>
    <row r="5808" spans="164:167">
      <c r="FH5808" s="29" t="str">
        <f t="shared" si="145"/>
        <v/>
      </c>
      <c r="FJ5808" s="36" t="str">
        <f>IF($FH5808="","",SUM($FN5808:$FN$7000))</f>
        <v/>
      </c>
      <c r="FK5808" s="36" t="str">
        <f>IF($FH5808="","",SUM($FN5808:$FN$7000))</f>
        <v/>
      </c>
    </row>
    <row r="5809" spans="164:167">
      <c r="FH5809" s="29" t="str">
        <f t="shared" si="145"/>
        <v/>
      </c>
      <c r="FJ5809" s="36" t="str">
        <f>IF($FH5809="","",SUM($FN5809:$FN$7000))</f>
        <v/>
      </c>
      <c r="FK5809" s="36" t="str">
        <f>IF($FH5809="","",SUM($FN5809:$FN$7000))</f>
        <v/>
      </c>
    </row>
    <row r="5810" spans="164:167">
      <c r="FH5810" s="29" t="str">
        <f t="shared" si="145"/>
        <v/>
      </c>
      <c r="FJ5810" s="36" t="str">
        <f>IF($FH5810="","",SUM($FN5810:$FN$7000))</f>
        <v/>
      </c>
      <c r="FK5810" s="36" t="str">
        <f>IF($FH5810="","",SUM($FN5810:$FN$7000))</f>
        <v/>
      </c>
    </row>
    <row r="5811" spans="164:167">
      <c r="FH5811" s="29" t="str">
        <f t="shared" si="145"/>
        <v/>
      </c>
      <c r="FJ5811" s="36" t="str">
        <f>IF($FH5811="","",SUM($FN5811:$FN$7000))</f>
        <v/>
      </c>
      <c r="FK5811" s="36" t="str">
        <f>IF($FH5811="","",SUM($FN5811:$FN$7000))</f>
        <v/>
      </c>
    </row>
    <row r="5812" spans="164:167">
      <c r="FH5812" s="29" t="str">
        <f t="shared" si="145"/>
        <v/>
      </c>
      <c r="FJ5812" s="36" t="str">
        <f>IF($FH5812="","",SUM($FN5812:$FN$7000))</f>
        <v/>
      </c>
      <c r="FK5812" s="36" t="str">
        <f>IF($FH5812="","",SUM($FN5812:$FN$7000))</f>
        <v/>
      </c>
    </row>
    <row r="5813" spans="164:167">
      <c r="FH5813" s="29" t="str">
        <f t="shared" si="145"/>
        <v/>
      </c>
      <c r="FJ5813" s="36" t="str">
        <f>IF($FH5813="","",SUM($FN5813:$FN$7000))</f>
        <v/>
      </c>
      <c r="FK5813" s="36" t="str">
        <f>IF($FH5813="","",SUM($FN5813:$FN$7000))</f>
        <v/>
      </c>
    </row>
    <row r="5814" spans="164:167">
      <c r="FH5814" s="29" t="str">
        <f t="shared" si="145"/>
        <v/>
      </c>
      <c r="FJ5814" s="36" t="str">
        <f>IF($FH5814="","",SUM($FN5814:$FN$7000))</f>
        <v/>
      </c>
      <c r="FK5814" s="36" t="str">
        <f>IF($FH5814="","",SUM($FN5814:$FN$7000))</f>
        <v/>
      </c>
    </row>
    <row r="5815" spans="164:167">
      <c r="FH5815" s="29" t="str">
        <f t="shared" si="145"/>
        <v/>
      </c>
      <c r="FJ5815" s="36" t="str">
        <f>IF($FH5815="","",SUM($FN5815:$FN$7000))</f>
        <v/>
      </c>
      <c r="FK5815" s="36" t="str">
        <f>IF($FH5815="","",SUM($FN5815:$FN$7000))</f>
        <v/>
      </c>
    </row>
    <row r="5816" spans="164:167">
      <c r="FH5816" s="29" t="str">
        <f t="shared" si="145"/>
        <v/>
      </c>
      <c r="FJ5816" s="36" t="str">
        <f>IF($FH5816="","",SUM($FN5816:$FN$7000))</f>
        <v/>
      </c>
      <c r="FK5816" s="36" t="str">
        <f>IF($FH5816="","",SUM($FN5816:$FN$7000))</f>
        <v/>
      </c>
    </row>
    <row r="5817" spans="164:167">
      <c r="FH5817" s="29" t="str">
        <f t="shared" si="145"/>
        <v/>
      </c>
      <c r="FJ5817" s="36" t="str">
        <f>IF($FH5817="","",SUM($FN5817:$FN$7000))</f>
        <v/>
      </c>
      <c r="FK5817" s="36" t="str">
        <f>IF($FH5817="","",SUM($FN5817:$FN$7000))</f>
        <v/>
      </c>
    </row>
    <row r="5818" spans="164:167">
      <c r="FH5818" s="29" t="str">
        <f t="shared" si="145"/>
        <v/>
      </c>
      <c r="FJ5818" s="36" t="str">
        <f>IF($FH5818="","",SUM($FN5818:$FN$7000))</f>
        <v/>
      </c>
      <c r="FK5818" s="36" t="str">
        <f>IF($FH5818="","",SUM($FN5818:$FN$7000))</f>
        <v/>
      </c>
    </row>
    <row r="5819" spans="164:167">
      <c r="FH5819" s="29" t="str">
        <f t="shared" si="145"/>
        <v/>
      </c>
      <c r="FJ5819" s="36" t="str">
        <f>IF($FH5819="","",SUM($FN5819:$FN$7000))</f>
        <v/>
      </c>
      <c r="FK5819" s="36" t="str">
        <f>IF($FH5819="","",SUM($FN5819:$FN$7000))</f>
        <v/>
      </c>
    </row>
    <row r="5820" spans="164:167">
      <c r="FH5820" s="29" t="str">
        <f t="shared" si="145"/>
        <v/>
      </c>
      <c r="FJ5820" s="36" t="str">
        <f>IF($FH5820="","",SUM($FN5820:$FN$7000))</f>
        <v/>
      </c>
      <c r="FK5820" s="36" t="str">
        <f>IF($FH5820="","",SUM($FN5820:$FN$7000))</f>
        <v/>
      </c>
    </row>
    <row r="5821" spans="164:167">
      <c r="FH5821" s="29" t="str">
        <f t="shared" si="145"/>
        <v/>
      </c>
      <c r="FJ5821" s="36" t="str">
        <f>IF($FH5821="","",SUM($FN5821:$FN$7000))</f>
        <v/>
      </c>
      <c r="FK5821" s="36" t="str">
        <f>IF($FH5821="","",SUM($FN5821:$FN$7000))</f>
        <v/>
      </c>
    </row>
    <row r="5822" spans="164:167">
      <c r="FH5822" s="29" t="str">
        <f t="shared" si="145"/>
        <v/>
      </c>
      <c r="FJ5822" s="36" t="str">
        <f>IF($FH5822="","",SUM($FN5822:$FN$7000))</f>
        <v/>
      </c>
      <c r="FK5822" s="36" t="str">
        <f>IF($FH5822="","",SUM($FN5822:$FN$7000))</f>
        <v/>
      </c>
    </row>
    <row r="5823" spans="164:167">
      <c r="FH5823" s="29" t="str">
        <f t="shared" si="145"/>
        <v/>
      </c>
      <c r="FJ5823" s="36" t="str">
        <f>IF($FH5823="","",SUM($FN5823:$FN$7000))</f>
        <v/>
      </c>
      <c r="FK5823" s="36" t="str">
        <f>IF($FH5823="","",SUM($FN5823:$FN$7000))</f>
        <v/>
      </c>
    </row>
    <row r="5824" spans="164:167">
      <c r="FH5824" s="29" t="str">
        <f t="shared" si="145"/>
        <v/>
      </c>
      <c r="FJ5824" s="36" t="str">
        <f>IF($FH5824="","",SUM($FN5824:$FN$7000))</f>
        <v/>
      </c>
      <c r="FK5824" s="36" t="str">
        <f>IF($FH5824="","",SUM($FN5824:$FN$7000))</f>
        <v/>
      </c>
    </row>
    <row r="5825" spans="164:167">
      <c r="FH5825" s="29" t="str">
        <f t="shared" si="145"/>
        <v/>
      </c>
      <c r="FJ5825" s="36" t="str">
        <f>IF($FH5825="","",SUM($FN5825:$FN$7000))</f>
        <v/>
      </c>
      <c r="FK5825" s="36" t="str">
        <f>IF($FH5825="","",SUM($FN5825:$FN$7000))</f>
        <v/>
      </c>
    </row>
    <row r="5826" spans="164:167">
      <c r="FH5826" s="29" t="str">
        <f t="shared" si="145"/>
        <v/>
      </c>
      <c r="FJ5826" s="36" t="str">
        <f>IF($FH5826="","",SUM($FN5826:$FN$7000))</f>
        <v/>
      </c>
      <c r="FK5826" s="36" t="str">
        <f>IF($FH5826="","",SUM($FN5826:$FN$7000))</f>
        <v/>
      </c>
    </row>
    <row r="5827" spans="164:167">
      <c r="FH5827" s="29" t="str">
        <f t="shared" si="145"/>
        <v/>
      </c>
      <c r="FJ5827" s="36" t="str">
        <f>IF($FH5827="","",SUM($FN5827:$FN$7000))</f>
        <v/>
      </c>
      <c r="FK5827" s="36" t="str">
        <f>IF($FH5827="","",SUM($FN5827:$FN$7000))</f>
        <v/>
      </c>
    </row>
    <row r="5828" spans="164:167">
      <c r="FH5828" s="29" t="str">
        <f t="shared" si="145"/>
        <v/>
      </c>
      <c r="FJ5828" s="36" t="str">
        <f>IF($FH5828="","",SUM($FN5828:$FN$7000))</f>
        <v/>
      </c>
      <c r="FK5828" s="36" t="str">
        <f>IF($FH5828="","",SUM($FN5828:$FN$7000))</f>
        <v/>
      </c>
    </row>
    <row r="5829" spans="164:167">
      <c r="FH5829" s="29" t="str">
        <f t="shared" si="145"/>
        <v/>
      </c>
      <c r="FJ5829" s="36" t="str">
        <f>IF($FH5829="","",SUM($FN5829:$FN$7000))</f>
        <v/>
      </c>
      <c r="FK5829" s="36" t="str">
        <f>IF($FH5829="","",SUM($FN5829:$FN$7000))</f>
        <v/>
      </c>
    </row>
    <row r="5830" spans="164:167">
      <c r="FH5830" s="29" t="str">
        <f t="shared" si="145"/>
        <v/>
      </c>
      <c r="FJ5830" s="36" t="str">
        <f>IF($FH5830="","",SUM($FN5830:$FN$7000))</f>
        <v/>
      </c>
      <c r="FK5830" s="36" t="str">
        <f>IF($FH5830="","",SUM($FN5830:$FN$7000))</f>
        <v/>
      </c>
    </row>
    <row r="5831" spans="164:167">
      <c r="FH5831" s="29" t="str">
        <f t="shared" si="145"/>
        <v/>
      </c>
      <c r="FJ5831" s="36" t="str">
        <f>IF($FH5831="","",SUM($FN5831:$FN$7000))</f>
        <v/>
      </c>
      <c r="FK5831" s="36" t="str">
        <f>IF($FH5831="","",SUM($FN5831:$FN$7000))</f>
        <v/>
      </c>
    </row>
    <row r="5832" spans="164:167">
      <c r="FH5832" s="29" t="str">
        <f t="shared" si="145"/>
        <v/>
      </c>
      <c r="FJ5832" s="36" t="str">
        <f>IF($FH5832="","",SUM($FN5832:$FN$7000))</f>
        <v/>
      </c>
      <c r="FK5832" s="36" t="str">
        <f>IF($FH5832="","",SUM($FN5832:$FN$7000))</f>
        <v/>
      </c>
    </row>
    <row r="5833" spans="164:167">
      <c r="FH5833" s="29" t="str">
        <f t="shared" si="145"/>
        <v/>
      </c>
      <c r="FJ5833" s="36" t="str">
        <f>IF($FH5833="","",SUM($FN5833:$FN$7000))</f>
        <v/>
      </c>
      <c r="FK5833" s="36" t="str">
        <f>IF($FH5833="","",SUM($FN5833:$FN$7000))</f>
        <v/>
      </c>
    </row>
    <row r="5834" spans="164:167">
      <c r="FH5834" s="29" t="str">
        <f t="shared" si="145"/>
        <v/>
      </c>
      <c r="FJ5834" s="36" t="str">
        <f>IF($FH5834="","",SUM($FN5834:$FN$7000))</f>
        <v/>
      </c>
      <c r="FK5834" s="36" t="str">
        <f>IF($FH5834="","",SUM($FN5834:$FN$7000))</f>
        <v/>
      </c>
    </row>
    <row r="5835" spans="164:167">
      <c r="FH5835" s="29" t="str">
        <f t="shared" ref="FH5835:FH5898" si="146">IF(FL5835="","",FL5835)</f>
        <v/>
      </c>
      <c r="FJ5835" s="36" t="str">
        <f>IF($FH5835="","",SUM($FN5835:$FN$7000))</f>
        <v/>
      </c>
      <c r="FK5835" s="36" t="str">
        <f>IF($FH5835="","",SUM($FN5835:$FN$7000))</f>
        <v/>
      </c>
    </row>
    <row r="5836" spans="164:167">
      <c r="FH5836" s="29" t="str">
        <f t="shared" si="146"/>
        <v/>
      </c>
      <c r="FJ5836" s="36" t="str">
        <f>IF($FH5836="","",SUM($FN5836:$FN$7000))</f>
        <v/>
      </c>
      <c r="FK5836" s="36" t="str">
        <f>IF($FH5836="","",SUM($FN5836:$FN$7000))</f>
        <v/>
      </c>
    </row>
    <row r="5837" spans="164:167">
      <c r="FH5837" s="29" t="str">
        <f t="shared" si="146"/>
        <v/>
      </c>
      <c r="FJ5837" s="36" t="str">
        <f>IF($FH5837="","",SUM($FN5837:$FN$7000))</f>
        <v/>
      </c>
      <c r="FK5837" s="36" t="str">
        <f>IF($FH5837="","",SUM($FN5837:$FN$7000))</f>
        <v/>
      </c>
    </row>
    <row r="5838" spans="164:167">
      <c r="FH5838" s="29" t="str">
        <f t="shared" si="146"/>
        <v/>
      </c>
      <c r="FJ5838" s="36" t="str">
        <f>IF($FH5838="","",SUM($FN5838:$FN$7000))</f>
        <v/>
      </c>
      <c r="FK5838" s="36" t="str">
        <f>IF($FH5838="","",SUM($FN5838:$FN$7000))</f>
        <v/>
      </c>
    </row>
    <row r="5839" spans="164:167">
      <c r="FH5839" s="29" t="str">
        <f t="shared" si="146"/>
        <v/>
      </c>
      <c r="FJ5839" s="36" t="str">
        <f>IF($FH5839="","",SUM($FN5839:$FN$7000))</f>
        <v/>
      </c>
      <c r="FK5839" s="36" t="str">
        <f>IF($FH5839="","",SUM($FN5839:$FN$7000))</f>
        <v/>
      </c>
    </row>
    <row r="5840" spans="164:167">
      <c r="FH5840" s="29" t="str">
        <f t="shared" si="146"/>
        <v/>
      </c>
      <c r="FJ5840" s="36" t="str">
        <f>IF($FH5840="","",SUM($FN5840:$FN$7000))</f>
        <v/>
      </c>
      <c r="FK5840" s="36" t="str">
        <f>IF($FH5840="","",SUM($FN5840:$FN$7000))</f>
        <v/>
      </c>
    </row>
    <row r="5841" spans="164:167">
      <c r="FH5841" s="29" t="str">
        <f t="shared" si="146"/>
        <v/>
      </c>
      <c r="FJ5841" s="36" t="str">
        <f>IF($FH5841="","",SUM($FN5841:$FN$7000))</f>
        <v/>
      </c>
      <c r="FK5841" s="36" t="str">
        <f>IF($FH5841="","",SUM($FN5841:$FN$7000))</f>
        <v/>
      </c>
    </row>
    <row r="5842" spans="164:167">
      <c r="FH5842" s="29" t="str">
        <f t="shared" si="146"/>
        <v/>
      </c>
      <c r="FJ5842" s="36" t="str">
        <f>IF($FH5842="","",SUM($FN5842:$FN$7000))</f>
        <v/>
      </c>
      <c r="FK5842" s="36" t="str">
        <f>IF($FH5842="","",SUM($FN5842:$FN$7000))</f>
        <v/>
      </c>
    </row>
    <row r="5843" spans="164:167">
      <c r="FH5843" s="29" t="str">
        <f t="shared" si="146"/>
        <v/>
      </c>
      <c r="FJ5843" s="36" t="str">
        <f>IF($FH5843="","",SUM($FN5843:$FN$7000))</f>
        <v/>
      </c>
      <c r="FK5843" s="36" t="str">
        <f>IF($FH5843="","",SUM($FN5843:$FN$7000))</f>
        <v/>
      </c>
    </row>
    <row r="5844" spans="164:167">
      <c r="FH5844" s="29" t="str">
        <f t="shared" si="146"/>
        <v/>
      </c>
      <c r="FJ5844" s="36" t="str">
        <f>IF($FH5844="","",SUM($FN5844:$FN$7000))</f>
        <v/>
      </c>
      <c r="FK5844" s="36" t="str">
        <f>IF($FH5844="","",SUM($FN5844:$FN$7000))</f>
        <v/>
      </c>
    </row>
    <row r="5845" spans="164:167">
      <c r="FH5845" s="29" t="str">
        <f t="shared" si="146"/>
        <v/>
      </c>
      <c r="FJ5845" s="36" t="str">
        <f>IF($FH5845="","",SUM($FN5845:$FN$7000))</f>
        <v/>
      </c>
      <c r="FK5845" s="36" t="str">
        <f>IF($FH5845="","",SUM($FN5845:$FN$7000))</f>
        <v/>
      </c>
    </row>
    <row r="5846" spans="164:167">
      <c r="FH5846" s="29" t="str">
        <f t="shared" si="146"/>
        <v/>
      </c>
      <c r="FJ5846" s="36" t="str">
        <f>IF($FH5846="","",SUM($FN5846:$FN$7000))</f>
        <v/>
      </c>
      <c r="FK5846" s="36" t="str">
        <f>IF($FH5846="","",SUM($FN5846:$FN$7000))</f>
        <v/>
      </c>
    </row>
    <row r="5847" spans="164:167">
      <c r="FH5847" s="29" t="str">
        <f t="shared" si="146"/>
        <v/>
      </c>
      <c r="FJ5847" s="36" t="str">
        <f>IF($FH5847="","",SUM($FN5847:$FN$7000))</f>
        <v/>
      </c>
      <c r="FK5847" s="36" t="str">
        <f>IF($FH5847="","",SUM($FN5847:$FN$7000))</f>
        <v/>
      </c>
    </row>
    <row r="5848" spans="164:167">
      <c r="FH5848" s="29" t="str">
        <f t="shared" si="146"/>
        <v/>
      </c>
      <c r="FJ5848" s="36" t="str">
        <f>IF($FH5848="","",SUM($FN5848:$FN$7000))</f>
        <v/>
      </c>
      <c r="FK5848" s="36" t="str">
        <f>IF($FH5848="","",SUM($FN5848:$FN$7000))</f>
        <v/>
      </c>
    </row>
    <row r="5849" spans="164:167">
      <c r="FH5849" s="29" t="str">
        <f t="shared" si="146"/>
        <v/>
      </c>
      <c r="FJ5849" s="36" t="str">
        <f>IF($FH5849="","",SUM($FN5849:$FN$7000))</f>
        <v/>
      </c>
      <c r="FK5849" s="36" t="str">
        <f>IF($FH5849="","",SUM($FN5849:$FN$7000))</f>
        <v/>
      </c>
    </row>
    <row r="5850" spans="164:167">
      <c r="FH5850" s="29" t="str">
        <f t="shared" si="146"/>
        <v/>
      </c>
      <c r="FJ5850" s="36" t="str">
        <f>IF($FH5850="","",SUM($FN5850:$FN$7000))</f>
        <v/>
      </c>
      <c r="FK5850" s="36" t="str">
        <f>IF($FH5850="","",SUM($FN5850:$FN$7000))</f>
        <v/>
      </c>
    </row>
    <row r="5851" spans="164:167">
      <c r="FH5851" s="29" t="str">
        <f t="shared" si="146"/>
        <v/>
      </c>
      <c r="FJ5851" s="36" t="str">
        <f>IF($FH5851="","",SUM($FN5851:$FN$7000))</f>
        <v/>
      </c>
      <c r="FK5851" s="36" t="str">
        <f>IF($FH5851="","",SUM($FN5851:$FN$7000))</f>
        <v/>
      </c>
    </row>
    <row r="5852" spans="164:167">
      <c r="FH5852" s="29" t="str">
        <f t="shared" si="146"/>
        <v/>
      </c>
      <c r="FJ5852" s="36" t="str">
        <f>IF($FH5852="","",SUM($FN5852:$FN$7000))</f>
        <v/>
      </c>
      <c r="FK5852" s="36" t="str">
        <f>IF($FH5852="","",SUM($FN5852:$FN$7000))</f>
        <v/>
      </c>
    </row>
    <row r="5853" spans="164:167">
      <c r="FH5853" s="29" t="str">
        <f t="shared" si="146"/>
        <v/>
      </c>
      <c r="FJ5853" s="36" t="str">
        <f>IF($FH5853="","",SUM($FN5853:$FN$7000))</f>
        <v/>
      </c>
      <c r="FK5853" s="36" t="str">
        <f>IF($FH5853="","",SUM($FN5853:$FN$7000))</f>
        <v/>
      </c>
    </row>
    <row r="5854" spans="164:167">
      <c r="FH5854" s="29" t="str">
        <f t="shared" si="146"/>
        <v/>
      </c>
      <c r="FJ5854" s="36" t="str">
        <f>IF($FH5854="","",SUM($FN5854:$FN$7000))</f>
        <v/>
      </c>
      <c r="FK5854" s="36" t="str">
        <f>IF($FH5854="","",SUM($FN5854:$FN$7000))</f>
        <v/>
      </c>
    </row>
    <row r="5855" spans="164:167">
      <c r="FH5855" s="29" t="str">
        <f t="shared" si="146"/>
        <v/>
      </c>
      <c r="FJ5855" s="36" t="str">
        <f>IF($FH5855="","",SUM($FN5855:$FN$7000))</f>
        <v/>
      </c>
      <c r="FK5855" s="36" t="str">
        <f>IF($FH5855="","",SUM($FN5855:$FN$7000))</f>
        <v/>
      </c>
    </row>
    <row r="5856" spans="164:167">
      <c r="FH5856" s="29" t="str">
        <f t="shared" si="146"/>
        <v/>
      </c>
      <c r="FJ5856" s="36" t="str">
        <f>IF($FH5856="","",SUM($FN5856:$FN$7000))</f>
        <v/>
      </c>
      <c r="FK5856" s="36" t="str">
        <f>IF($FH5856="","",SUM($FN5856:$FN$7000))</f>
        <v/>
      </c>
    </row>
    <row r="5857" spans="164:167">
      <c r="FH5857" s="29" t="str">
        <f t="shared" si="146"/>
        <v/>
      </c>
      <c r="FJ5857" s="36" t="str">
        <f>IF($FH5857="","",SUM($FN5857:$FN$7000))</f>
        <v/>
      </c>
      <c r="FK5857" s="36" t="str">
        <f>IF($FH5857="","",SUM($FN5857:$FN$7000))</f>
        <v/>
      </c>
    </row>
    <row r="5858" spans="164:167">
      <c r="FH5858" s="29" t="str">
        <f t="shared" si="146"/>
        <v/>
      </c>
      <c r="FJ5858" s="36" t="str">
        <f>IF($FH5858="","",SUM($FN5858:$FN$7000))</f>
        <v/>
      </c>
      <c r="FK5858" s="36" t="str">
        <f>IF($FH5858="","",SUM($FN5858:$FN$7000))</f>
        <v/>
      </c>
    </row>
    <row r="5859" spans="164:167">
      <c r="FH5859" s="29" t="str">
        <f t="shared" si="146"/>
        <v/>
      </c>
      <c r="FJ5859" s="36" t="str">
        <f>IF($FH5859="","",SUM($FN5859:$FN$7000))</f>
        <v/>
      </c>
      <c r="FK5859" s="36" t="str">
        <f>IF($FH5859="","",SUM($FN5859:$FN$7000))</f>
        <v/>
      </c>
    </row>
    <row r="5860" spans="164:167">
      <c r="FH5860" s="29" t="str">
        <f t="shared" si="146"/>
        <v/>
      </c>
      <c r="FJ5860" s="36" t="str">
        <f>IF($FH5860="","",SUM($FN5860:$FN$7000))</f>
        <v/>
      </c>
      <c r="FK5860" s="36" t="str">
        <f>IF($FH5860="","",SUM($FN5860:$FN$7000))</f>
        <v/>
      </c>
    </row>
    <row r="5861" spans="164:167">
      <c r="FH5861" s="29" t="str">
        <f t="shared" si="146"/>
        <v/>
      </c>
      <c r="FJ5861" s="36" t="str">
        <f>IF($FH5861="","",SUM($FN5861:$FN$7000))</f>
        <v/>
      </c>
      <c r="FK5861" s="36" t="str">
        <f>IF($FH5861="","",SUM($FN5861:$FN$7000))</f>
        <v/>
      </c>
    </row>
    <row r="5862" spans="164:167">
      <c r="FH5862" s="29" t="str">
        <f t="shared" si="146"/>
        <v/>
      </c>
      <c r="FJ5862" s="36" t="str">
        <f>IF($FH5862="","",SUM($FN5862:$FN$7000))</f>
        <v/>
      </c>
      <c r="FK5862" s="36" t="str">
        <f>IF($FH5862="","",SUM($FN5862:$FN$7000))</f>
        <v/>
      </c>
    </row>
    <row r="5863" spans="164:167">
      <c r="FH5863" s="29" t="str">
        <f t="shared" si="146"/>
        <v/>
      </c>
      <c r="FJ5863" s="36" t="str">
        <f>IF($FH5863="","",SUM($FN5863:$FN$7000))</f>
        <v/>
      </c>
      <c r="FK5863" s="36" t="str">
        <f>IF($FH5863="","",SUM($FN5863:$FN$7000))</f>
        <v/>
      </c>
    </row>
    <row r="5864" spans="164:167">
      <c r="FH5864" s="29" t="str">
        <f t="shared" si="146"/>
        <v/>
      </c>
      <c r="FJ5864" s="36" t="str">
        <f>IF($FH5864="","",SUM($FN5864:$FN$7000))</f>
        <v/>
      </c>
      <c r="FK5864" s="36" t="str">
        <f>IF($FH5864="","",SUM($FN5864:$FN$7000))</f>
        <v/>
      </c>
    </row>
    <row r="5865" spans="164:167">
      <c r="FH5865" s="29" t="str">
        <f t="shared" si="146"/>
        <v/>
      </c>
      <c r="FJ5865" s="36" t="str">
        <f>IF($FH5865="","",SUM($FN5865:$FN$7000))</f>
        <v/>
      </c>
      <c r="FK5865" s="36" t="str">
        <f>IF($FH5865="","",SUM($FN5865:$FN$7000))</f>
        <v/>
      </c>
    </row>
    <row r="5866" spans="164:167">
      <c r="FH5866" s="29" t="str">
        <f t="shared" si="146"/>
        <v/>
      </c>
      <c r="FJ5866" s="36" t="str">
        <f>IF($FH5866="","",SUM($FN5866:$FN$7000))</f>
        <v/>
      </c>
      <c r="FK5866" s="36" t="str">
        <f>IF($FH5866="","",SUM($FN5866:$FN$7000))</f>
        <v/>
      </c>
    </row>
    <row r="5867" spans="164:167">
      <c r="FH5867" s="29" t="str">
        <f t="shared" si="146"/>
        <v/>
      </c>
      <c r="FJ5867" s="36" t="str">
        <f>IF($FH5867="","",SUM($FN5867:$FN$7000))</f>
        <v/>
      </c>
      <c r="FK5867" s="36" t="str">
        <f>IF($FH5867="","",SUM($FN5867:$FN$7000))</f>
        <v/>
      </c>
    </row>
    <row r="5868" spans="164:167">
      <c r="FH5868" s="29" t="str">
        <f t="shared" si="146"/>
        <v/>
      </c>
      <c r="FJ5868" s="36" t="str">
        <f>IF($FH5868="","",SUM($FN5868:$FN$7000))</f>
        <v/>
      </c>
      <c r="FK5868" s="36" t="str">
        <f>IF($FH5868="","",SUM($FN5868:$FN$7000))</f>
        <v/>
      </c>
    </row>
    <row r="5869" spans="164:167">
      <c r="FH5869" s="29" t="str">
        <f t="shared" si="146"/>
        <v/>
      </c>
      <c r="FJ5869" s="36" t="str">
        <f>IF($FH5869="","",SUM($FN5869:$FN$7000))</f>
        <v/>
      </c>
      <c r="FK5869" s="36" t="str">
        <f>IF($FH5869="","",SUM($FN5869:$FN$7000))</f>
        <v/>
      </c>
    </row>
    <row r="5870" spans="164:167">
      <c r="FH5870" s="29" t="str">
        <f t="shared" si="146"/>
        <v/>
      </c>
      <c r="FJ5870" s="36" t="str">
        <f>IF($FH5870="","",SUM($FN5870:$FN$7000))</f>
        <v/>
      </c>
      <c r="FK5870" s="36" t="str">
        <f>IF($FH5870="","",SUM($FN5870:$FN$7000))</f>
        <v/>
      </c>
    </row>
    <row r="5871" spans="164:167">
      <c r="FH5871" s="29" t="str">
        <f t="shared" si="146"/>
        <v/>
      </c>
      <c r="FJ5871" s="36" t="str">
        <f>IF($FH5871="","",SUM($FN5871:$FN$7000))</f>
        <v/>
      </c>
      <c r="FK5871" s="36" t="str">
        <f>IF($FH5871="","",SUM($FN5871:$FN$7000))</f>
        <v/>
      </c>
    </row>
    <row r="5872" spans="164:167">
      <c r="FH5872" s="29" t="str">
        <f t="shared" si="146"/>
        <v/>
      </c>
      <c r="FJ5872" s="36" t="str">
        <f>IF($FH5872="","",SUM($FN5872:$FN$7000))</f>
        <v/>
      </c>
      <c r="FK5872" s="36" t="str">
        <f>IF($FH5872="","",SUM($FN5872:$FN$7000))</f>
        <v/>
      </c>
    </row>
    <row r="5873" spans="164:167">
      <c r="FH5873" s="29" t="str">
        <f t="shared" si="146"/>
        <v/>
      </c>
      <c r="FJ5873" s="36" t="str">
        <f>IF($FH5873="","",SUM($FN5873:$FN$7000))</f>
        <v/>
      </c>
      <c r="FK5873" s="36" t="str">
        <f>IF($FH5873="","",SUM($FN5873:$FN$7000))</f>
        <v/>
      </c>
    </row>
    <row r="5874" spans="164:167">
      <c r="FH5874" s="29" t="str">
        <f t="shared" si="146"/>
        <v/>
      </c>
      <c r="FJ5874" s="36" t="str">
        <f>IF($FH5874="","",SUM($FN5874:$FN$7000))</f>
        <v/>
      </c>
      <c r="FK5874" s="36" t="str">
        <f>IF($FH5874="","",SUM($FN5874:$FN$7000))</f>
        <v/>
      </c>
    </row>
    <row r="5875" spans="164:167">
      <c r="FH5875" s="29" t="str">
        <f t="shared" si="146"/>
        <v/>
      </c>
      <c r="FJ5875" s="36" t="str">
        <f>IF($FH5875="","",SUM($FN5875:$FN$7000))</f>
        <v/>
      </c>
      <c r="FK5875" s="36" t="str">
        <f>IF($FH5875="","",SUM($FN5875:$FN$7000))</f>
        <v/>
      </c>
    </row>
    <row r="5876" spans="164:167">
      <c r="FH5876" s="29" t="str">
        <f t="shared" si="146"/>
        <v/>
      </c>
      <c r="FJ5876" s="36" t="str">
        <f>IF($FH5876="","",SUM($FN5876:$FN$7000))</f>
        <v/>
      </c>
      <c r="FK5876" s="36" t="str">
        <f>IF($FH5876="","",SUM($FN5876:$FN$7000))</f>
        <v/>
      </c>
    </row>
    <row r="5877" spans="164:167">
      <c r="FH5877" s="29" t="str">
        <f t="shared" si="146"/>
        <v/>
      </c>
      <c r="FJ5877" s="36" t="str">
        <f>IF($FH5877="","",SUM($FN5877:$FN$7000))</f>
        <v/>
      </c>
      <c r="FK5877" s="36" t="str">
        <f>IF($FH5877="","",SUM($FN5877:$FN$7000))</f>
        <v/>
      </c>
    </row>
    <row r="5878" spans="164:167">
      <c r="FH5878" s="29" t="str">
        <f t="shared" si="146"/>
        <v/>
      </c>
      <c r="FJ5878" s="36" t="str">
        <f>IF($FH5878="","",SUM($FN5878:$FN$7000))</f>
        <v/>
      </c>
      <c r="FK5878" s="36" t="str">
        <f>IF($FH5878="","",SUM($FN5878:$FN$7000))</f>
        <v/>
      </c>
    </row>
    <row r="5879" spans="164:167">
      <c r="FH5879" s="29" t="str">
        <f t="shared" si="146"/>
        <v/>
      </c>
      <c r="FJ5879" s="36" t="str">
        <f>IF($FH5879="","",SUM($FN5879:$FN$7000))</f>
        <v/>
      </c>
      <c r="FK5879" s="36" t="str">
        <f>IF($FH5879="","",SUM($FN5879:$FN$7000))</f>
        <v/>
      </c>
    </row>
    <row r="5880" spans="164:167">
      <c r="FH5880" s="29" t="str">
        <f t="shared" si="146"/>
        <v/>
      </c>
      <c r="FJ5880" s="36" t="str">
        <f>IF($FH5880="","",SUM($FN5880:$FN$7000))</f>
        <v/>
      </c>
      <c r="FK5880" s="36" t="str">
        <f>IF($FH5880="","",SUM($FN5880:$FN$7000))</f>
        <v/>
      </c>
    </row>
    <row r="5881" spans="164:167">
      <c r="FH5881" s="29" t="str">
        <f t="shared" si="146"/>
        <v/>
      </c>
      <c r="FJ5881" s="36" t="str">
        <f>IF($FH5881="","",SUM($FN5881:$FN$7000))</f>
        <v/>
      </c>
      <c r="FK5881" s="36" t="str">
        <f>IF($FH5881="","",SUM($FN5881:$FN$7000))</f>
        <v/>
      </c>
    </row>
    <row r="5882" spans="164:167">
      <c r="FH5882" s="29" t="str">
        <f t="shared" si="146"/>
        <v/>
      </c>
      <c r="FJ5882" s="36" t="str">
        <f>IF($FH5882="","",SUM($FN5882:$FN$7000))</f>
        <v/>
      </c>
      <c r="FK5882" s="36" t="str">
        <f>IF($FH5882="","",SUM($FN5882:$FN$7000))</f>
        <v/>
      </c>
    </row>
    <row r="5883" spans="164:167">
      <c r="FH5883" s="29" t="str">
        <f t="shared" si="146"/>
        <v/>
      </c>
      <c r="FJ5883" s="36" t="str">
        <f>IF($FH5883="","",SUM($FN5883:$FN$7000))</f>
        <v/>
      </c>
      <c r="FK5883" s="36" t="str">
        <f>IF($FH5883="","",SUM($FN5883:$FN$7000))</f>
        <v/>
      </c>
    </row>
    <row r="5884" spans="164:167">
      <c r="FH5884" s="29" t="str">
        <f t="shared" si="146"/>
        <v/>
      </c>
      <c r="FJ5884" s="36" t="str">
        <f>IF($FH5884="","",SUM($FN5884:$FN$7000))</f>
        <v/>
      </c>
      <c r="FK5884" s="36" t="str">
        <f>IF($FH5884="","",SUM($FN5884:$FN$7000))</f>
        <v/>
      </c>
    </row>
    <row r="5885" spans="164:167">
      <c r="FH5885" s="29" t="str">
        <f t="shared" si="146"/>
        <v/>
      </c>
      <c r="FJ5885" s="36" t="str">
        <f>IF($FH5885="","",SUM($FN5885:$FN$7000))</f>
        <v/>
      </c>
      <c r="FK5885" s="36" t="str">
        <f>IF($FH5885="","",SUM($FN5885:$FN$7000))</f>
        <v/>
      </c>
    </row>
    <row r="5886" spans="164:167">
      <c r="FH5886" s="29" t="str">
        <f t="shared" si="146"/>
        <v/>
      </c>
      <c r="FJ5886" s="36" t="str">
        <f>IF($FH5886="","",SUM($FN5886:$FN$7000))</f>
        <v/>
      </c>
      <c r="FK5886" s="36" t="str">
        <f>IF($FH5886="","",SUM($FN5886:$FN$7000))</f>
        <v/>
      </c>
    </row>
    <row r="5887" spans="164:167">
      <c r="FH5887" s="29" t="str">
        <f t="shared" si="146"/>
        <v/>
      </c>
      <c r="FJ5887" s="36" t="str">
        <f>IF($FH5887="","",SUM($FN5887:$FN$7000))</f>
        <v/>
      </c>
      <c r="FK5887" s="36" t="str">
        <f>IF($FH5887="","",SUM($FN5887:$FN$7000))</f>
        <v/>
      </c>
    </row>
    <row r="5888" spans="164:167">
      <c r="FH5888" s="29" t="str">
        <f t="shared" si="146"/>
        <v/>
      </c>
      <c r="FJ5888" s="36" t="str">
        <f>IF($FH5888="","",SUM($FN5888:$FN$7000))</f>
        <v/>
      </c>
      <c r="FK5888" s="36" t="str">
        <f>IF($FH5888="","",SUM($FN5888:$FN$7000))</f>
        <v/>
      </c>
    </row>
    <row r="5889" spans="164:167">
      <c r="FH5889" s="29" t="str">
        <f t="shared" si="146"/>
        <v/>
      </c>
      <c r="FJ5889" s="36" t="str">
        <f>IF($FH5889="","",SUM($FN5889:$FN$7000))</f>
        <v/>
      </c>
      <c r="FK5889" s="36" t="str">
        <f>IF($FH5889="","",SUM($FN5889:$FN$7000))</f>
        <v/>
      </c>
    </row>
    <row r="5890" spans="164:167">
      <c r="FH5890" s="29" t="str">
        <f t="shared" si="146"/>
        <v/>
      </c>
      <c r="FJ5890" s="36" t="str">
        <f>IF($FH5890="","",SUM($FN5890:$FN$7000))</f>
        <v/>
      </c>
      <c r="FK5890" s="36" t="str">
        <f>IF($FH5890="","",SUM($FN5890:$FN$7000))</f>
        <v/>
      </c>
    </row>
    <row r="5891" spans="164:167">
      <c r="FH5891" s="29" t="str">
        <f t="shared" si="146"/>
        <v/>
      </c>
      <c r="FJ5891" s="36" t="str">
        <f>IF($FH5891="","",SUM($FN5891:$FN$7000))</f>
        <v/>
      </c>
      <c r="FK5891" s="36" t="str">
        <f>IF($FH5891="","",SUM($FN5891:$FN$7000))</f>
        <v/>
      </c>
    </row>
    <row r="5892" spans="164:167">
      <c r="FH5892" s="29" t="str">
        <f t="shared" si="146"/>
        <v/>
      </c>
      <c r="FJ5892" s="36" t="str">
        <f>IF($FH5892="","",SUM($FN5892:$FN$7000))</f>
        <v/>
      </c>
      <c r="FK5892" s="36" t="str">
        <f>IF($FH5892="","",SUM($FN5892:$FN$7000))</f>
        <v/>
      </c>
    </row>
    <row r="5893" spans="164:167">
      <c r="FH5893" s="29" t="str">
        <f t="shared" si="146"/>
        <v/>
      </c>
      <c r="FJ5893" s="36" t="str">
        <f>IF($FH5893="","",SUM($FN5893:$FN$7000))</f>
        <v/>
      </c>
      <c r="FK5893" s="36" t="str">
        <f>IF($FH5893="","",SUM($FN5893:$FN$7000))</f>
        <v/>
      </c>
    </row>
    <row r="5894" spans="164:167">
      <c r="FH5894" s="29" t="str">
        <f t="shared" si="146"/>
        <v/>
      </c>
      <c r="FJ5894" s="36" t="str">
        <f>IF($FH5894="","",SUM($FN5894:$FN$7000))</f>
        <v/>
      </c>
      <c r="FK5894" s="36" t="str">
        <f>IF($FH5894="","",SUM($FN5894:$FN$7000))</f>
        <v/>
      </c>
    </row>
    <row r="5895" spans="164:167">
      <c r="FH5895" s="29" t="str">
        <f t="shared" si="146"/>
        <v/>
      </c>
      <c r="FJ5895" s="36" t="str">
        <f>IF($FH5895="","",SUM($FN5895:$FN$7000))</f>
        <v/>
      </c>
      <c r="FK5895" s="36" t="str">
        <f>IF($FH5895="","",SUM($FN5895:$FN$7000))</f>
        <v/>
      </c>
    </row>
    <row r="5896" spans="164:167">
      <c r="FH5896" s="29" t="str">
        <f t="shared" si="146"/>
        <v/>
      </c>
      <c r="FJ5896" s="36" t="str">
        <f>IF($FH5896="","",SUM($FN5896:$FN$7000))</f>
        <v/>
      </c>
      <c r="FK5896" s="36" t="str">
        <f>IF($FH5896="","",SUM($FN5896:$FN$7000))</f>
        <v/>
      </c>
    </row>
    <row r="5897" spans="164:167">
      <c r="FH5897" s="29" t="str">
        <f t="shared" si="146"/>
        <v/>
      </c>
      <c r="FJ5897" s="36" t="str">
        <f>IF($FH5897="","",SUM($FN5897:$FN$7000))</f>
        <v/>
      </c>
      <c r="FK5897" s="36" t="str">
        <f>IF($FH5897="","",SUM($FN5897:$FN$7000))</f>
        <v/>
      </c>
    </row>
    <row r="5898" spans="164:167">
      <c r="FH5898" s="29" t="str">
        <f t="shared" si="146"/>
        <v/>
      </c>
      <c r="FJ5898" s="36" t="str">
        <f>IF($FH5898="","",SUM($FN5898:$FN$7000))</f>
        <v/>
      </c>
      <c r="FK5898" s="36" t="str">
        <f>IF($FH5898="","",SUM($FN5898:$FN$7000))</f>
        <v/>
      </c>
    </row>
    <row r="5899" spans="164:167">
      <c r="FH5899" s="29" t="str">
        <f t="shared" ref="FH5899:FH5962" si="147">IF(FL5899="","",FL5899)</f>
        <v/>
      </c>
      <c r="FJ5899" s="36" t="str">
        <f>IF($FH5899="","",SUM($FN5899:$FN$7000))</f>
        <v/>
      </c>
      <c r="FK5899" s="36" t="str">
        <f>IF($FH5899="","",SUM($FN5899:$FN$7000))</f>
        <v/>
      </c>
    </row>
    <row r="5900" spans="164:167">
      <c r="FH5900" s="29" t="str">
        <f t="shared" si="147"/>
        <v/>
      </c>
      <c r="FJ5900" s="36" t="str">
        <f>IF($FH5900="","",SUM($FN5900:$FN$7000))</f>
        <v/>
      </c>
      <c r="FK5900" s="36" t="str">
        <f>IF($FH5900="","",SUM($FN5900:$FN$7000))</f>
        <v/>
      </c>
    </row>
    <row r="5901" spans="164:167">
      <c r="FH5901" s="29" t="str">
        <f t="shared" si="147"/>
        <v/>
      </c>
      <c r="FJ5901" s="36" t="str">
        <f>IF($FH5901="","",SUM($FN5901:$FN$7000))</f>
        <v/>
      </c>
      <c r="FK5901" s="36" t="str">
        <f>IF($FH5901="","",SUM($FN5901:$FN$7000))</f>
        <v/>
      </c>
    </row>
    <row r="5902" spans="164:167">
      <c r="FH5902" s="29" t="str">
        <f t="shared" si="147"/>
        <v/>
      </c>
      <c r="FJ5902" s="36" t="str">
        <f>IF($FH5902="","",SUM($FN5902:$FN$7000))</f>
        <v/>
      </c>
      <c r="FK5902" s="36" t="str">
        <f>IF($FH5902="","",SUM($FN5902:$FN$7000))</f>
        <v/>
      </c>
    </row>
    <row r="5903" spans="164:167">
      <c r="FH5903" s="29" t="str">
        <f t="shared" si="147"/>
        <v/>
      </c>
      <c r="FJ5903" s="36" t="str">
        <f>IF($FH5903="","",SUM($FN5903:$FN$7000))</f>
        <v/>
      </c>
      <c r="FK5903" s="36" t="str">
        <f>IF($FH5903="","",SUM($FN5903:$FN$7000))</f>
        <v/>
      </c>
    </row>
    <row r="5904" spans="164:167">
      <c r="FH5904" s="29" t="str">
        <f t="shared" si="147"/>
        <v/>
      </c>
      <c r="FJ5904" s="36" t="str">
        <f>IF($FH5904="","",SUM($FN5904:$FN$7000))</f>
        <v/>
      </c>
      <c r="FK5904" s="36" t="str">
        <f>IF($FH5904="","",SUM($FN5904:$FN$7000))</f>
        <v/>
      </c>
    </row>
    <row r="5905" spans="164:167">
      <c r="FH5905" s="29" t="str">
        <f t="shared" si="147"/>
        <v/>
      </c>
      <c r="FJ5905" s="36" t="str">
        <f>IF($FH5905="","",SUM($FN5905:$FN$7000))</f>
        <v/>
      </c>
      <c r="FK5905" s="36" t="str">
        <f>IF($FH5905="","",SUM($FN5905:$FN$7000))</f>
        <v/>
      </c>
    </row>
    <row r="5906" spans="164:167">
      <c r="FH5906" s="29" t="str">
        <f t="shared" si="147"/>
        <v/>
      </c>
      <c r="FJ5906" s="36" t="str">
        <f>IF($FH5906="","",SUM($FN5906:$FN$7000))</f>
        <v/>
      </c>
      <c r="FK5906" s="36" t="str">
        <f>IF($FH5906="","",SUM($FN5906:$FN$7000))</f>
        <v/>
      </c>
    </row>
    <row r="5907" spans="164:167">
      <c r="FH5907" s="29" t="str">
        <f t="shared" si="147"/>
        <v/>
      </c>
      <c r="FJ5907" s="36" t="str">
        <f>IF($FH5907="","",SUM($FN5907:$FN$7000))</f>
        <v/>
      </c>
      <c r="FK5907" s="36" t="str">
        <f>IF($FH5907="","",SUM($FN5907:$FN$7000))</f>
        <v/>
      </c>
    </row>
    <row r="5908" spans="164:167">
      <c r="FH5908" s="29" t="str">
        <f t="shared" si="147"/>
        <v/>
      </c>
      <c r="FJ5908" s="36" t="str">
        <f>IF($FH5908="","",SUM($FN5908:$FN$7000))</f>
        <v/>
      </c>
      <c r="FK5908" s="36" t="str">
        <f>IF($FH5908="","",SUM($FN5908:$FN$7000))</f>
        <v/>
      </c>
    </row>
    <row r="5909" spans="164:167">
      <c r="FH5909" s="29" t="str">
        <f t="shared" si="147"/>
        <v/>
      </c>
      <c r="FJ5909" s="36" t="str">
        <f>IF($FH5909="","",SUM($FN5909:$FN$7000))</f>
        <v/>
      </c>
      <c r="FK5909" s="36" t="str">
        <f>IF($FH5909="","",SUM($FN5909:$FN$7000))</f>
        <v/>
      </c>
    </row>
    <row r="5910" spans="164:167">
      <c r="FH5910" s="29" t="str">
        <f t="shared" si="147"/>
        <v/>
      </c>
      <c r="FJ5910" s="36" t="str">
        <f>IF($FH5910="","",SUM($FN5910:$FN$7000))</f>
        <v/>
      </c>
      <c r="FK5910" s="36" t="str">
        <f>IF($FH5910="","",SUM($FN5910:$FN$7000))</f>
        <v/>
      </c>
    </row>
    <row r="5911" spans="164:167">
      <c r="FH5911" s="29" t="str">
        <f t="shared" si="147"/>
        <v/>
      </c>
      <c r="FJ5911" s="36" t="str">
        <f>IF($FH5911="","",SUM($FN5911:$FN$7000))</f>
        <v/>
      </c>
      <c r="FK5911" s="36" t="str">
        <f>IF($FH5911="","",SUM($FN5911:$FN$7000))</f>
        <v/>
      </c>
    </row>
    <row r="5912" spans="164:167">
      <c r="FH5912" s="29" t="str">
        <f t="shared" si="147"/>
        <v/>
      </c>
      <c r="FJ5912" s="36" t="str">
        <f>IF($FH5912="","",SUM($FN5912:$FN$7000))</f>
        <v/>
      </c>
      <c r="FK5912" s="36" t="str">
        <f>IF($FH5912="","",SUM($FN5912:$FN$7000))</f>
        <v/>
      </c>
    </row>
    <row r="5913" spans="164:167">
      <c r="FH5913" s="29" t="str">
        <f t="shared" si="147"/>
        <v/>
      </c>
      <c r="FJ5913" s="36" t="str">
        <f>IF($FH5913="","",SUM($FN5913:$FN$7000))</f>
        <v/>
      </c>
      <c r="FK5913" s="36" t="str">
        <f>IF($FH5913="","",SUM($FN5913:$FN$7000))</f>
        <v/>
      </c>
    </row>
    <row r="5914" spans="164:167">
      <c r="FH5914" s="29" t="str">
        <f t="shared" si="147"/>
        <v/>
      </c>
      <c r="FJ5914" s="36" t="str">
        <f>IF($FH5914="","",SUM($FN5914:$FN$7000))</f>
        <v/>
      </c>
      <c r="FK5914" s="36" t="str">
        <f>IF($FH5914="","",SUM($FN5914:$FN$7000))</f>
        <v/>
      </c>
    </row>
    <row r="5915" spans="164:167">
      <c r="FH5915" s="29" t="str">
        <f t="shared" si="147"/>
        <v/>
      </c>
      <c r="FJ5915" s="36" t="str">
        <f>IF($FH5915="","",SUM($FN5915:$FN$7000))</f>
        <v/>
      </c>
      <c r="FK5915" s="36" t="str">
        <f>IF($FH5915="","",SUM($FN5915:$FN$7000))</f>
        <v/>
      </c>
    </row>
    <row r="5916" spans="164:167">
      <c r="FH5916" s="29" t="str">
        <f t="shared" si="147"/>
        <v/>
      </c>
      <c r="FJ5916" s="36" t="str">
        <f>IF($FH5916="","",SUM($FN5916:$FN$7000))</f>
        <v/>
      </c>
      <c r="FK5916" s="36" t="str">
        <f>IF($FH5916="","",SUM($FN5916:$FN$7000))</f>
        <v/>
      </c>
    </row>
    <row r="5917" spans="164:167">
      <c r="FH5917" s="29" t="str">
        <f t="shared" si="147"/>
        <v/>
      </c>
      <c r="FJ5917" s="36" t="str">
        <f>IF($FH5917="","",SUM($FN5917:$FN$7000))</f>
        <v/>
      </c>
      <c r="FK5917" s="36" t="str">
        <f>IF($FH5917="","",SUM($FN5917:$FN$7000))</f>
        <v/>
      </c>
    </row>
    <row r="5918" spans="164:167">
      <c r="FH5918" s="29" t="str">
        <f t="shared" si="147"/>
        <v/>
      </c>
      <c r="FJ5918" s="36" t="str">
        <f>IF($FH5918="","",SUM($FN5918:$FN$7000))</f>
        <v/>
      </c>
      <c r="FK5918" s="36" t="str">
        <f>IF($FH5918="","",SUM($FN5918:$FN$7000))</f>
        <v/>
      </c>
    </row>
    <row r="5919" spans="164:167">
      <c r="FH5919" s="29" t="str">
        <f t="shared" si="147"/>
        <v/>
      </c>
      <c r="FJ5919" s="36" t="str">
        <f>IF($FH5919="","",SUM($FN5919:$FN$7000))</f>
        <v/>
      </c>
      <c r="FK5919" s="36" t="str">
        <f>IF($FH5919="","",SUM($FN5919:$FN$7000))</f>
        <v/>
      </c>
    </row>
    <row r="5920" spans="164:167">
      <c r="FH5920" s="29" t="str">
        <f t="shared" si="147"/>
        <v/>
      </c>
      <c r="FJ5920" s="36" t="str">
        <f>IF($FH5920="","",SUM($FN5920:$FN$7000))</f>
        <v/>
      </c>
      <c r="FK5920" s="36" t="str">
        <f>IF($FH5920="","",SUM($FN5920:$FN$7000))</f>
        <v/>
      </c>
    </row>
    <row r="5921" spans="164:167">
      <c r="FH5921" s="29" t="str">
        <f t="shared" si="147"/>
        <v/>
      </c>
      <c r="FJ5921" s="36" t="str">
        <f>IF($FH5921="","",SUM($FN5921:$FN$7000))</f>
        <v/>
      </c>
      <c r="FK5921" s="36" t="str">
        <f>IF($FH5921="","",SUM($FN5921:$FN$7000))</f>
        <v/>
      </c>
    </row>
    <row r="5922" spans="164:167">
      <c r="FH5922" s="29" t="str">
        <f t="shared" si="147"/>
        <v/>
      </c>
      <c r="FJ5922" s="36" t="str">
        <f>IF($FH5922="","",SUM($FN5922:$FN$7000))</f>
        <v/>
      </c>
      <c r="FK5922" s="36" t="str">
        <f>IF($FH5922="","",SUM($FN5922:$FN$7000))</f>
        <v/>
      </c>
    </row>
    <row r="5923" spans="164:167">
      <c r="FH5923" s="29" t="str">
        <f t="shared" si="147"/>
        <v/>
      </c>
      <c r="FJ5923" s="36" t="str">
        <f>IF($FH5923="","",SUM($FN5923:$FN$7000))</f>
        <v/>
      </c>
      <c r="FK5923" s="36" t="str">
        <f>IF($FH5923="","",SUM($FN5923:$FN$7000))</f>
        <v/>
      </c>
    </row>
    <row r="5924" spans="164:167">
      <c r="FH5924" s="29" t="str">
        <f t="shared" si="147"/>
        <v/>
      </c>
      <c r="FJ5924" s="36" t="str">
        <f>IF($FH5924="","",SUM($FN5924:$FN$7000))</f>
        <v/>
      </c>
      <c r="FK5924" s="36" t="str">
        <f>IF($FH5924="","",SUM($FN5924:$FN$7000))</f>
        <v/>
      </c>
    </row>
    <row r="5925" spans="164:167">
      <c r="FH5925" s="29" t="str">
        <f t="shared" si="147"/>
        <v/>
      </c>
      <c r="FJ5925" s="36" t="str">
        <f>IF($FH5925="","",SUM($FN5925:$FN$7000))</f>
        <v/>
      </c>
      <c r="FK5925" s="36" t="str">
        <f>IF($FH5925="","",SUM($FN5925:$FN$7000))</f>
        <v/>
      </c>
    </row>
    <row r="5926" spans="164:167">
      <c r="FH5926" s="29" t="str">
        <f t="shared" si="147"/>
        <v/>
      </c>
      <c r="FJ5926" s="36" t="str">
        <f>IF($FH5926="","",SUM($FN5926:$FN$7000))</f>
        <v/>
      </c>
      <c r="FK5926" s="36" t="str">
        <f>IF($FH5926="","",SUM($FN5926:$FN$7000))</f>
        <v/>
      </c>
    </row>
    <row r="5927" spans="164:167">
      <c r="FH5927" s="29" t="str">
        <f t="shared" si="147"/>
        <v/>
      </c>
      <c r="FJ5927" s="36" t="str">
        <f>IF($FH5927="","",SUM($FN5927:$FN$7000))</f>
        <v/>
      </c>
      <c r="FK5927" s="36" t="str">
        <f>IF($FH5927="","",SUM($FN5927:$FN$7000))</f>
        <v/>
      </c>
    </row>
    <row r="5928" spans="164:167">
      <c r="FH5928" s="29" t="str">
        <f t="shared" si="147"/>
        <v/>
      </c>
      <c r="FJ5928" s="36" t="str">
        <f>IF($FH5928="","",SUM($FN5928:$FN$7000))</f>
        <v/>
      </c>
      <c r="FK5928" s="36" t="str">
        <f>IF($FH5928="","",SUM($FN5928:$FN$7000))</f>
        <v/>
      </c>
    </row>
    <row r="5929" spans="164:167">
      <c r="FH5929" s="29" t="str">
        <f t="shared" si="147"/>
        <v/>
      </c>
      <c r="FJ5929" s="36" t="str">
        <f>IF($FH5929="","",SUM($FN5929:$FN$7000))</f>
        <v/>
      </c>
      <c r="FK5929" s="36" t="str">
        <f>IF($FH5929="","",SUM($FN5929:$FN$7000))</f>
        <v/>
      </c>
    </row>
    <row r="5930" spans="164:167">
      <c r="FH5930" s="29" t="str">
        <f t="shared" si="147"/>
        <v/>
      </c>
      <c r="FJ5930" s="36" t="str">
        <f>IF($FH5930="","",SUM($FN5930:$FN$7000))</f>
        <v/>
      </c>
      <c r="FK5930" s="36" t="str">
        <f>IF($FH5930="","",SUM($FN5930:$FN$7000))</f>
        <v/>
      </c>
    </row>
    <row r="5931" spans="164:167">
      <c r="FH5931" s="29" t="str">
        <f t="shared" si="147"/>
        <v/>
      </c>
      <c r="FJ5931" s="36" t="str">
        <f>IF($FH5931="","",SUM($FN5931:$FN$7000))</f>
        <v/>
      </c>
      <c r="FK5931" s="36" t="str">
        <f>IF($FH5931="","",SUM($FN5931:$FN$7000))</f>
        <v/>
      </c>
    </row>
    <row r="5932" spans="164:167">
      <c r="FH5932" s="29" t="str">
        <f t="shared" si="147"/>
        <v/>
      </c>
      <c r="FJ5932" s="36" t="str">
        <f>IF($FH5932="","",SUM($FN5932:$FN$7000))</f>
        <v/>
      </c>
      <c r="FK5932" s="36" t="str">
        <f>IF($FH5932="","",SUM($FN5932:$FN$7000))</f>
        <v/>
      </c>
    </row>
    <row r="5933" spans="164:167">
      <c r="FH5933" s="29" t="str">
        <f t="shared" si="147"/>
        <v/>
      </c>
      <c r="FJ5933" s="36" t="str">
        <f>IF($FH5933="","",SUM($FN5933:$FN$7000))</f>
        <v/>
      </c>
      <c r="FK5933" s="36" t="str">
        <f>IF($FH5933="","",SUM($FN5933:$FN$7000))</f>
        <v/>
      </c>
    </row>
    <row r="5934" spans="164:167">
      <c r="FH5934" s="29" t="str">
        <f t="shared" si="147"/>
        <v/>
      </c>
      <c r="FJ5934" s="36" t="str">
        <f>IF($FH5934="","",SUM($FN5934:$FN$7000))</f>
        <v/>
      </c>
      <c r="FK5934" s="36" t="str">
        <f>IF($FH5934="","",SUM($FN5934:$FN$7000))</f>
        <v/>
      </c>
    </row>
    <row r="5935" spans="164:167">
      <c r="FH5935" s="29" t="str">
        <f t="shared" si="147"/>
        <v/>
      </c>
      <c r="FJ5935" s="36" t="str">
        <f>IF($FH5935="","",SUM($FN5935:$FN$7000))</f>
        <v/>
      </c>
      <c r="FK5935" s="36" t="str">
        <f>IF($FH5935="","",SUM($FN5935:$FN$7000))</f>
        <v/>
      </c>
    </row>
    <row r="5936" spans="164:167">
      <c r="FH5936" s="29" t="str">
        <f t="shared" si="147"/>
        <v/>
      </c>
      <c r="FJ5936" s="36" t="str">
        <f>IF($FH5936="","",SUM($FN5936:$FN$7000))</f>
        <v/>
      </c>
      <c r="FK5936" s="36" t="str">
        <f>IF($FH5936="","",SUM($FN5936:$FN$7000))</f>
        <v/>
      </c>
    </row>
    <row r="5937" spans="164:167">
      <c r="FH5937" s="29" t="str">
        <f t="shared" si="147"/>
        <v/>
      </c>
      <c r="FJ5937" s="36" t="str">
        <f>IF($FH5937="","",SUM($FN5937:$FN$7000))</f>
        <v/>
      </c>
      <c r="FK5937" s="36" t="str">
        <f>IF($FH5937="","",SUM($FN5937:$FN$7000))</f>
        <v/>
      </c>
    </row>
    <row r="5938" spans="164:167">
      <c r="FH5938" s="29" t="str">
        <f t="shared" si="147"/>
        <v/>
      </c>
      <c r="FJ5938" s="36" t="str">
        <f>IF($FH5938="","",SUM($FN5938:$FN$7000))</f>
        <v/>
      </c>
      <c r="FK5938" s="36" t="str">
        <f>IF($FH5938="","",SUM($FN5938:$FN$7000))</f>
        <v/>
      </c>
    </row>
    <row r="5939" spans="164:167">
      <c r="FH5939" s="29" t="str">
        <f t="shared" si="147"/>
        <v/>
      </c>
      <c r="FJ5939" s="36" t="str">
        <f>IF($FH5939="","",SUM($FN5939:$FN$7000))</f>
        <v/>
      </c>
      <c r="FK5939" s="36" t="str">
        <f>IF($FH5939="","",SUM($FN5939:$FN$7000))</f>
        <v/>
      </c>
    </row>
    <row r="5940" spans="164:167">
      <c r="FH5940" s="29" t="str">
        <f t="shared" si="147"/>
        <v/>
      </c>
      <c r="FJ5940" s="36" t="str">
        <f>IF($FH5940="","",SUM($FN5940:$FN$7000))</f>
        <v/>
      </c>
      <c r="FK5940" s="36" t="str">
        <f>IF($FH5940="","",SUM($FN5940:$FN$7000))</f>
        <v/>
      </c>
    </row>
    <row r="5941" spans="164:167">
      <c r="FH5941" s="29" t="str">
        <f t="shared" si="147"/>
        <v/>
      </c>
      <c r="FJ5941" s="36" t="str">
        <f>IF($FH5941="","",SUM($FN5941:$FN$7000))</f>
        <v/>
      </c>
      <c r="FK5941" s="36" t="str">
        <f>IF($FH5941="","",SUM($FN5941:$FN$7000))</f>
        <v/>
      </c>
    </row>
    <row r="5942" spans="164:167">
      <c r="FH5942" s="29" t="str">
        <f t="shared" si="147"/>
        <v/>
      </c>
      <c r="FJ5942" s="36" t="str">
        <f>IF($FH5942="","",SUM($FN5942:$FN$7000))</f>
        <v/>
      </c>
      <c r="FK5942" s="36" t="str">
        <f>IF($FH5942="","",SUM($FN5942:$FN$7000))</f>
        <v/>
      </c>
    </row>
    <row r="5943" spans="164:167">
      <c r="FH5943" s="29" t="str">
        <f t="shared" si="147"/>
        <v/>
      </c>
      <c r="FJ5943" s="36" t="str">
        <f>IF($FH5943="","",SUM($FN5943:$FN$7000))</f>
        <v/>
      </c>
      <c r="FK5943" s="36" t="str">
        <f>IF($FH5943="","",SUM($FN5943:$FN$7000))</f>
        <v/>
      </c>
    </row>
    <row r="5944" spans="164:167">
      <c r="FH5944" s="29" t="str">
        <f t="shared" si="147"/>
        <v/>
      </c>
      <c r="FJ5944" s="36" t="str">
        <f>IF($FH5944="","",SUM($FN5944:$FN$7000))</f>
        <v/>
      </c>
      <c r="FK5944" s="36" t="str">
        <f>IF($FH5944="","",SUM($FN5944:$FN$7000))</f>
        <v/>
      </c>
    </row>
    <row r="5945" spans="164:167">
      <c r="FH5945" s="29" t="str">
        <f t="shared" si="147"/>
        <v/>
      </c>
      <c r="FJ5945" s="36" t="str">
        <f>IF($FH5945="","",SUM($FN5945:$FN$7000))</f>
        <v/>
      </c>
      <c r="FK5945" s="36" t="str">
        <f>IF($FH5945="","",SUM($FN5945:$FN$7000))</f>
        <v/>
      </c>
    </row>
    <row r="5946" spans="164:167">
      <c r="FH5946" s="29" t="str">
        <f t="shared" si="147"/>
        <v/>
      </c>
      <c r="FJ5946" s="36" t="str">
        <f>IF($FH5946="","",SUM($FN5946:$FN$7000))</f>
        <v/>
      </c>
      <c r="FK5946" s="36" t="str">
        <f>IF($FH5946="","",SUM($FN5946:$FN$7000))</f>
        <v/>
      </c>
    </row>
    <row r="5947" spans="164:167">
      <c r="FH5947" s="29" t="str">
        <f t="shared" si="147"/>
        <v/>
      </c>
      <c r="FJ5947" s="36" t="str">
        <f>IF($FH5947="","",SUM($FN5947:$FN$7000))</f>
        <v/>
      </c>
      <c r="FK5947" s="36" t="str">
        <f>IF($FH5947="","",SUM($FN5947:$FN$7000))</f>
        <v/>
      </c>
    </row>
    <row r="5948" spans="164:167">
      <c r="FH5948" s="29" t="str">
        <f t="shared" si="147"/>
        <v/>
      </c>
      <c r="FJ5948" s="36" t="str">
        <f>IF($FH5948="","",SUM($FN5948:$FN$7000))</f>
        <v/>
      </c>
      <c r="FK5948" s="36" t="str">
        <f>IF($FH5948="","",SUM($FN5948:$FN$7000))</f>
        <v/>
      </c>
    </row>
    <row r="5949" spans="164:167">
      <c r="FH5949" s="29" t="str">
        <f t="shared" si="147"/>
        <v/>
      </c>
      <c r="FJ5949" s="36" t="str">
        <f>IF($FH5949="","",SUM($FN5949:$FN$7000))</f>
        <v/>
      </c>
      <c r="FK5949" s="36" t="str">
        <f>IF($FH5949="","",SUM($FN5949:$FN$7000))</f>
        <v/>
      </c>
    </row>
    <row r="5950" spans="164:167">
      <c r="FH5950" s="29" t="str">
        <f t="shared" si="147"/>
        <v/>
      </c>
      <c r="FJ5950" s="36" t="str">
        <f>IF($FH5950="","",SUM($FN5950:$FN$7000))</f>
        <v/>
      </c>
      <c r="FK5950" s="36" t="str">
        <f>IF($FH5950="","",SUM($FN5950:$FN$7000))</f>
        <v/>
      </c>
    </row>
    <row r="5951" spans="164:167">
      <c r="FH5951" s="29" t="str">
        <f t="shared" si="147"/>
        <v/>
      </c>
      <c r="FJ5951" s="36" t="str">
        <f>IF($FH5951="","",SUM($FN5951:$FN$7000))</f>
        <v/>
      </c>
      <c r="FK5951" s="36" t="str">
        <f>IF($FH5951="","",SUM($FN5951:$FN$7000))</f>
        <v/>
      </c>
    </row>
    <row r="5952" spans="164:167">
      <c r="FH5952" s="29" t="str">
        <f t="shared" si="147"/>
        <v/>
      </c>
      <c r="FJ5952" s="36" t="str">
        <f>IF($FH5952="","",SUM($FN5952:$FN$7000))</f>
        <v/>
      </c>
      <c r="FK5952" s="36" t="str">
        <f>IF($FH5952="","",SUM($FN5952:$FN$7000))</f>
        <v/>
      </c>
    </row>
    <row r="5953" spans="164:167">
      <c r="FH5953" s="29" t="str">
        <f t="shared" si="147"/>
        <v/>
      </c>
      <c r="FJ5953" s="36" t="str">
        <f>IF($FH5953="","",SUM($FN5953:$FN$7000))</f>
        <v/>
      </c>
      <c r="FK5953" s="36" t="str">
        <f>IF($FH5953="","",SUM($FN5953:$FN$7000))</f>
        <v/>
      </c>
    </row>
    <row r="5954" spans="164:167">
      <c r="FH5954" s="29" t="str">
        <f t="shared" si="147"/>
        <v/>
      </c>
      <c r="FJ5954" s="36" t="str">
        <f>IF($FH5954="","",SUM($FN5954:$FN$7000))</f>
        <v/>
      </c>
      <c r="FK5954" s="36" t="str">
        <f>IF($FH5954="","",SUM($FN5954:$FN$7000))</f>
        <v/>
      </c>
    </row>
    <row r="5955" spans="164:167">
      <c r="FH5955" s="29" t="str">
        <f t="shared" si="147"/>
        <v/>
      </c>
      <c r="FJ5955" s="36" t="str">
        <f>IF($FH5955="","",SUM($FN5955:$FN$7000))</f>
        <v/>
      </c>
      <c r="FK5955" s="36" t="str">
        <f>IF($FH5955="","",SUM($FN5955:$FN$7000))</f>
        <v/>
      </c>
    </row>
    <row r="5956" spans="164:167">
      <c r="FH5956" s="29" t="str">
        <f t="shared" si="147"/>
        <v/>
      </c>
      <c r="FJ5956" s="36" t="str">
        <f>IF($FH5956="","",SUM($FN5956:$FN$7000))</f>
        <v/>
      </c>
      <c r="FK5956" s="36" t="str">
        <f>IF($FH5956="","",SUM($FN5956:$FN$7000))</f>
        <v/>
      </c>
    </row>
    <row r="5957" spans="164:167">
      <c r="FH5957" s="29" t="str">
        <f t="shared" si="147"/>
        <v/>
      </c>
      <c r="FJ5957" s="36" t="str">
        <f>IF($FH5957="","",SUM($FN5957:$FN$7000))</f>
        <v/>
      </c>
      <c r="FK5957" s="36" t="str">
        <f>IF($FH5957="","",SUM($FN5957:$FN$7000))</f>
        <v/>
      </c>
    </row>
    <row r="5958" spans="164:167">
      <c r="FH5958" s="29" t="str">
        <f t="shared" si="147"/>
        <v/>
      </c>
      <c r="FJ5958" s="36" t="str">
        <f>IF($FH5958="","",SUM($FN5958:$FN$7000))</f>
        <v/>
      </c>
      <c r="FK5958" s="36" t="str">
        <f>IF($FH5958="","",SUM($FN5958:$FN$7000))</f>
        <v/>
      </c>
    </row>
    <row r="5959" spans="164:167">
      <c r="FH5959" s="29" t="str">
        <f t="shared" si="147"/>
        <v/>
      </c>
      <c r="FJ5959" s="36" t="str">
        <f>IF($FH5959="","",SUM($FN5959:$FN$7000))</f>
        <v/>
      </c>
      <c r="FK5959" s="36" t="str">
        <f>IF($FH5959="","",SUM($FN5959:$FN$7000))</f>
        <v/>
      </c>
    </row>
    <row r="5960" spans="164:167">
      <c r="FH5960" s="29" t="str">
        <f t="shared" si="147"/>
        <v/>
      </c>
      <c r="FJ5960" s="36" t="str">
        <f>IF($FH5960="","",SUM($FN5960:$FN$7000))</f>
        <v/>
      </c>
      <c r="FK5960" s="36" t="str">
        <f>IF($FH5960="","",SUM($FN5960:$FN$7000))</f>
        <v/>
      </c>
    </row>
    <row r="5961" spans="164:167">
      <c r="FH5961" s="29" t="str">
        <f t="shared" si="147"/>
        <v/>
      </c>
      <c r="FJ5961" s="36" t="str">
        <f>IF($FH5961="","",SUM($FN5961:$FN$7000))</f>
        <v/>
      </c>
      <c r="FK5961" s="36" t="str">
        <f>IF($FH5961="","",SUM($FN5961:$FN$7000))</f>
        <v/>
      </c>
    </row>
    <row r="5962" spans="164:167">
      <c r="FH5962" s="29" t="str">
        <f t="shared" si="147"/>
        <v/>
      </c>
      <c r="FJ5962" s="36" t="str">
        <f>IF($FH5962="","",SUM($FN5962:$FN$7000))</f>
        <v/>
      </c>
      <c r="FK5962" s="36" t="str">
        <f>IF($FH5962="","",SUM($FN5962:$FN$7000))</f>
        <v/>
      </c>
    </row>
    <row r="5963" spans="164:167">
      <c r="FH5963" s="29" t="str">
        <f t="shared" ref="FH5963:FH6026" si="148">IF(FL5963="","",FL5963)</f>
        <v/>
      </c>
      <c r="FJ5963" s="36" t="str">
        <f>IF($FH5963="","",SUM($FN5963:$FN$7000))</f>
        <v/>
      </c>
      <c r="FK5963" s="36" t="str">
        <f>IF($FH5963="","",SUM($FN5963:$FN$7000))</f>
        <v/>
      </c>
    </row>
    <row r="5964" spans="164:167">
      <c r="FH5964" s="29" t="str">
        <f t="shared" si="148"/>
        <v/>
      </c>
      <c r="FJ5964" s="36" t="str">
        <f>IF($FH5964="","",SUM($FN5964:$FN$7000))</f>
        <v/>
      </c>
      <c r="FK5964" s="36" t="str">
        <f>IF($FH5964="","",SUM($FN5964:$FN$7000))</f>
        <v/>
      </c>
    </row>
    <row r="5965" spans="164:167">
      <c r="FH5965" s="29" t="str">
        <f t="shared" si="148"/>
        <v/>
      </c>
      <c r="FJ5965" s="36" t="str">
        <f>IF($FH5965="","",SUM($FN5965:$FN$7000))</f>
        <v/>
      </c>
      <c r="FK5965" s="36" t="str">
        <f>IF($FH5965="","",SUM($FN5965:$FN$7000))</f>
        <v/>
      </c>
    </row>
    <row r="5966" spans="164:167">
      <c r="FH5966" s="29" t="str">
        <f t="shared" si="148"/>
        <v/>
      </c>
      <c r="FJ5966" s="36" t="str">
        <f>IF($FH5966="","",SUM($FN5966:$FN$7000))</f>
        <v/>
      </c>
      <c r="FK5966" s="36" t="str">
        <f>IF($FH5966="","",SUM($FN5966:$FN$7000))</f>
        <v/>
      </c>
    </row>
    <row r="5967" spans="164:167">
      <c r="FH5967" s="29" t="str">
        <f t="shared" si="148"/>
        <v/>
      </c>
      <c r="FJ5967" s="36" t="str">
        <f>IF($FH5967="","",SUM($FN5967:$FN$7000))</f>
        <v/>
      </c>
      <c r="FK5967" s="36" t="str">
        <f>IF($FH5967="","",SUM($FN5967:$FN$7000))</f>
        <v/>
      </c>
    </row>
    <row r="5968" spans="164:167">
      <c r="FH5968" s="29" t="str">
        <f t="shared" si="148"/>
        <v/>
      </c>
      <c r="FJ5968" s="36" t="str">
        <f>IF($FH5968="","",SUM($FN5968:$FN$7000))</f>
        <v/>
      </c>
      <c r="FK5968" s="36" t="str">
        <f>IF($FH5968="","",SUM($FN5968:$FN$7000))</f>
        <v/>
      </c>
    </row>
    <row r="5969" spans="164:167">
      <c r="FH5969" s="29" t="str">
        <f t="shared" si="148"/>
        <v/>
      </c>
      <c r="FJ5969" s="36" t="str">
        <f>IF($FH5969="","",SUM($FN5969:$FN$7000))</f>
        <v/>
      </c>
      <c r="FK5969" s="36" t="str">
        <f>IF($FH5969="","",SUM($FN5969:$FN$7000))</f>
        <v/>
      </c>
    </row>
    <row r="5970" spans="164:167">
      <c r="FH5970" s="29" t="str">
        <f t="shared" si="148"/>
        <v/>
      </c>
      <c r="FJ5970" s="36" t="str">
        <f>IF($FH5970="","",SUM($FN5970:$FN$7000))</f>
        <v/>
      </c>
      <c r="FK5970" s="36" t="str">
        <f>IF($FH5970="","",SUM($FN5970:$FN$7000))</f>
        <v/>
      </c>
    </row>
    <row r="5971" spans="164:167">
      <c r="FH5971" s="29" t="str">
        <f t="shared" si="148"/>
        <v/>
      </c>
      <c r="FJ5971" s="36" t="str">
        <f>IF($FH5971="","",SUM($FN5971:$FN$7000))</f>
        <v/>
      </c>
      <c r="FK5971" s="36" t="str">
        <f>IF($FH5971="","",SUM($FN5971:$FN$7000))</f>
        <v/>
      </c>
    </row>
    <row r="5972" spans="164:167">
      <c r="FH5972" s="29" t="str">
        <f t="shared" si="148"/>
        <v/>
      </c>
      <c r="FJ5972" s="36" t="str">
        <f>IF($FH5972="","",SUM($FN5972:$FN$7000))</f>
        <v/>
      </c>
      <c r="FK5972" s="36" t="str">
        <f>IF($FH5972="","",SUM($FN5972:$FN$7000))</f>
        <v/>
      </c>
    </row>
    <row r="5973" spans="164:167">
      <c r="FH5973" s="29" t="str">
        <f t="shared" si="148"/>
        <v/>
      </c>
      <c r="FJ5973" s="36" t="str">
        <f>IF($FH5973="","",SUM($FN5973:$FN$7000))</f>
        <v/>
      </c>
      <c r="FK5973" s="36" t="str">
        <f>IF($FH5973="","",SUM($FN5973:$FN$7000))</f>
        <v/>
      </c>
    </row>
    <row r="5974" spans="164:167">
      <c r="FH5974" s="29" t="str">
        <f t="shared" si="148"/>
        <v/>
      </c>
      <c r="FJ5974" s="36" t="str">
        <f>IF($FH5974="","",SUM($FN5974:$FN$7000))</f>
        <v/>
      </c>
      <c r="FK5974" s="36" t="str">
        <f>IF($FH5974="","",SUM($FN5974:$FN$7000))</f>
        <v/>
      </c>
    </row>
    <row r="5975" spans="164:167">
      <c r="FH5975" s="29" t="str">
        <f t="shared" si="148"/>
        <v/>
      </c>
      <c r="FJ5975" s="36" t="str">
        <f>IF($FH5975="","",SUM($FN5975:$FN$7000))</f>
        <v/>
      </c>
      <c r="FK5975" s="36" t="str">
        <f>IF($FH5975="","",SUM($FN5975:$FN$7000))</f>
        <v/>
      </c>
    </row>
    <row r="5976" spans="164:167">
      <c r="FH5976" s="29" t="str">
        <f t="shared" si="148"/>
        <v/>
      </c>
      <c r="FJ5976" s="36" t="str">
        <f>IF($FH5976="","",SUM($FN5976:$FN$7000))</f>
        <v/>
      </c>
      <c r="FK5976" s="36" t="str">
        <f>IF($FH5976="","",SUM($FN5976:$FN$7000))</f>
        <v/>
      </c>
    </row>
    <row r="5977" spans="164:167">
      <c r="FH5977" s="29" t="str">
        <f t="shared" si="148"/>
        <v/>
      </c>
      <c r="FJ5977" s="36" t="str">
        <f>IF($FH5977="","",SUM($FN5977:$FN$7000))</f>
        <v/>
      </c>
      <c r="FK5977" s="36" t="str">
        <f>IF($FH5977="","",SUM($FN5977:$FN$7000))</f>
        <v/>
      </c>
    </row>
    <row r="5978" spans="164:167">
      <c r="FH5978" s="29" t="str">
        <f t="shared" si="148"/>
        <v/>
      </c>
      <c r="FJ5978" s="36" t="str">
        <f>IF($FH5978="","",SUM($FN5978:$FN$7000))</f>
        <v/>
      </c>
      <c r="FK5978" s="36" t="str">
        <f>IF($FH5978="","",SUM($FN5978:$FN$7000))</f>
        <v/>
      </c>
    </row>
    <row r="5979" spans="164:167">
      <c r="FH5979" s="29" t="str">
        <f t="shared" si="148"/>
        <v/>
      </c>
      <c r="FJ5979" s="36" t="str">
        <f>IF($FH5979="","",SUM($FN5979:$FN$7000))</f>
        <v/>
      </c>
      <c r="FK5979" s="36" t="str">
        <f>IF($FH5979="","",SUM($FN5979:$FN$7000))</f>
        <v/>
      </c>
    </row>
    <row r="5980" spans="164:167">
      <c r="FH5980" s="29" t="str">
        <f t="shared" si="148"/>
        <v/>
      </c>
      <c r="FJ5980" s="36" t="str">
        <f>IF($FH5980="","",SUM($FN5980:$FN$7000))</f>
        <v/>
      </c>
      <c r="FK5980" s="36" t="str">
        <f>IF($FH5980="","",SUM($FN5980:$FN$7000))</f>
        <v/>
      </c>
    </row>
    <row r="5981" spans="164:167">
      <c r="FH5981" s="29" t="str">
        <f t="shared" si="148"/>
        <v/>
      </c>
      <c r="FJ5981" s="36" t="str">
        <f>IF($FH5981="","",SUM($FN5981:$FN$7000))</f>
        <v/>
      </c>
      <c r="FK5981" s="36" t="str">
        <f>IF($FH5981="","",SUM($FN5981:$FN$7000))</f>
        <v/>
      </c>
    </row>
    <row r="5982" spans="164:167">
      <c r="FH5982" s="29" t="str">
        <f t="shared" si="148"/>
        <v/>
      </c>
      <c r="FJ5982" s="36" t="str">
        <f>IF($FH5982="","",SUM($FN5982:$FN$7000))</f>
        <v/>
      </c>
      <c r="FK5982" s="36" t="str">
        <f>IF($FH5982="","",SUM($FN5982:$FN$7000))</f>
        <v/>
      </c>
    </row>
    <row r="5983" spans="164:167">
      <c r="FH5983" s="29" t="str">
        <f t="shared" si="148"/>
        <v/>
      </c>
      <c r="FJ5983" s="36" t="str">
        <f>IF($FH5983="","",SUM($FN5983:$FN$7000))</f>
        <v/>
      </c>
      <c r="FK5983" s="36" t="str">
        <f>IF($FH5983="","",SUM($FN5983:$FN$7000))</f>
        <v/>
      </c>
    </row>
    <row r="5984" spans="164:167">
      <c r="FH5984" s="29" t="str">
        <f t="shared" si="148"/>
        <v/>
      </c>
      <c r="FJ5984" s="36" t="str">
        <f>IF($FH5984="","",SUM($FN5984:$FN$7000))</f>
        <v/>
      </c>
      <c r="FK5984" s="36" t="str">
        <f>IF($FH5984="","",SUM($FN5984:$FN$7000))</f>
        <v/>
      </c>
    </row>
    <row r="5985" spans="164:167">
      <c r="FH5985" s="29" t="str">
        <f t="shared" si="148"/>
        <v/>
      </c>
      <c r="FJ5985" s="36" t="str">
        <f>IF($FH5985="","",SUM($FN5985:$FN$7000))</f>
        <v/>
      </c>
      <c r="FK5985" s="36" t="str">
        <f>IF($FH5985="","",SUM($FN5985:$FN$7000))</f>
        <v/>
      </c>
    </row>
    <row r="5986" spans="164:167">
      <c r="FH5986" s="29" t="str">
        <f t="shared" si="148"/>
        <v/>
      </c>
      <c r="FJ5986" s="36" t="str">
        <f>IF($FH5986="","",SUM($FN5986:$FN$7000))</f>
        <v/>
      </c>
      <c r="FK5986" s="36" t="str">
        <f>IF($FH5986="","",SUM($FN5986:$FN$7000))</f>
        <v/>
      </c>
    </row>
    <row r="5987" spans="164:167">
      <c r="FH5987" s="29" t="str">
        <f t="shared" si="148"/>
        <v/>
      </c>
      <c r="FJ5987" s="36" t="str">
        <f>IF($FH5987="","",SUM($FN5987:$FN$7000))</f>
        <v/>
      </c>
      <c r="FK5987" s="36" t="str">
        <f>IF($FH5987="","",SUM($FN5987:$FN$7000))</f>
        <v/>
      </c>
    </row>
    <row r="5988" spans="164:167">
      <c r="FH5988" s="29" t="str">
        <f t="shared" si="148"/>
        <v/>
      </c>
      <c r="FJ5988" s="36" t="str">
        <f>IF($FH5988="","",SUM($FN5988:$FN$7000))</f>
        <v/>
      </c>
      <c r="FK5988" s="36" t="str">
        <f>IF($FH5988="","",SUM($FN5988:$FN$7000))</f>
        <v/>
      </c>
    </row>
    <row r="5989" spans="164:167">
      <c r="FH5989" s="29" t="str">
        <f t="shared" si="148"/>
        <v/>
      </c>
      <c r="FJ5989" s="36" t="str">
        <f>IF($FH5989="","",SUM($FN5989:$FN$7000))</f>
        <v/>
      </c>
      <c r="FK5989" s="36" t="str">
        <f>IF($FH5989="","",SUM($FN5989:$FN$7000))</f>
        <v/>
      </c>
    </row>
    <row r="5990" spans="164:167">
      <c r="FH5990" s="29" t="str">
        <f t="shared" si="148"/>
        <v/>
      </c>
      <c r="FJ5990" s="36" t="str">
        <f>IF($FH5990="","",SUM($FN5990:$FN$7000))</f>
        <v/>
      </c>
      <c r="FK5990" s="36" t="str">
        <f>IF($FH5990="","",SUM($FN5990:$FN$7000))</f>
        <v/>
      </c>
    </row>
    <row r="5991" spans="164:167">
      <c r="FH5991" s="29" t="str">
        <f t="shared" si="148"/>
        <v/>
      </c>
      <c r="FJ5991" s="36" t="str">
        <f>IF($FH5991="","",SUM($FN5991:$FN$7000))</f>
        <v/>
      </c>
      <c r="FK5991" s="36" t="str">
        <f>IF($FH5991="","",SUM($FN5991:$FN$7000))</f>
        <v/>
      </c>
    </row>
    <row r="5992" spans="164:167">
      <c r="FH5992" s="29" t="str">
        <f t="shared" si="148"/>
        <v/>
      </c>
      <c r="FJ5992" s="36" t="str">
        <f>IF($FH5992="","",SUM($FN5992:$FN$7000))</f>
        <v/>
      </c>
      <c r="FK5992" s="36" t="str">
        <f>IF($FH5992="","",SUM($FN5992:$FN$7000))</f>
        <v/>
      </c>
    </row>
    <row r="5993" spans="164:167">
      <c r="FH5993" s="29" t="str">
        <f t="shared" si="148"/>
        <v/>
      </c>
      <c r="FJ5993" s="36" t="str">
        <f>IF($FH5993="","",SUM($FN5993:$FN$7000))</f>
        <v/>
      </c>
      <c r="FK5993" s="36" t="str">
        <f>IF($FH5993="","",SUM($FN5993:$FN$7000))</f>
        <v/>
      </c>
    </row>
    <row r="5994" spans="164:167">
      <c r="FH5994" s="29" t="str">
        <f t="shared" si="148"/>
        <v/>
      </c>
      <c r="FJ5994" s="36" t="str">
        <f>IF($FH5994="","",SUM($FN5994:$FN$7000))</f>
        <v/>
      </c>
      <c r="FK5994" s="36" t="str">
        <f>IF($FH5994="","",SUM($FN5994:$FN$7000))</f>
        <v/>
      </c>
    </row>
    <row r="5995" spans="164:167">
      <c r="FH5995" s="29" t="str">
        <f t="shared" si="148"/>
        <v/>
      </c>
      <c r="FJ5995" s="36" t="str">
        <f>IF($FH5995="","",SUM($FN5995:$FN$7000))</f>
        <v/>
      </c>
      <c r="FK5995" s="36" t="str">
        <f>IF($FH5995="","",SUM($FN5995:$FN$7000))</f>
        <v/>
      </c>
    </row>
    <row r="5996" spans="164:167">
      <c r="FH5996" s="29" t="str">
        <f t="shared" si="148"/>
        <v/>
      </c>
      <c r="FJ5996" s="36" t="str">
        <f>IF($FH5996="","",SUM($FN5996:$FN$7000))</f>
        <v/>
      </c>
      <c r="FK5996" s="36" t="str">
        <f>IF($FH5996="","",SUM($FN5996:$FN$7000))</f>
        <v/>
      </c>
    </row>
    <row r="5997" spans="164:167">
      <c r="FH5997" s="29" t="str">
        <f t="shared" si="148"/>
        <v/>
      </c>
      <c r="FJ5997" s="36" t="str">
        <f>IF($FH5997="","",SUM($FN5997:$FN$7000))</f>
        <v/>
      </c>
      <c r="FK5997" s="36" t="str">
        <f>IF($FH5997="","",SUM($FN5997:$FN$7000))</f>
        <v/>
      </c>
    </row>
    <row r="5998" spans="164:167">
      <c r="FH5998" s="29" t="str">
        <f t="shared" si="148"/>
        <v/>
      </c>
      <c r="FJ5998" s="36" t="str">
        <f>IF($FH5998="","",SUM($FN5998:$FN$7000))</f>
        <v/>
      </c>
      <c r="FK5998" s="36" t="str">
        <f>IF($FH5998="","",SUM($FN5998:$FN$7000))</f>
        <v/>
      </c>
    </row>
    <row r="5999" spans="164:167">
      <c r="FH5999" s="29" t="str">
        <f t="shared" si="148"/>
        <v/>
      </c>
      <c r="FJ5999" s="36" t="str">
        <f>IF($FH5999="","",SUM($FN5999:$FN$7000))</f>
        <v/>
      </c>
      <c r="FK5999" s="36" t="str">
        <f>IF($FH5999="","",SUM($FN5999:$FN$7000))</f>
        <v/>
      </c>
    </row>
    <row r="6000" spans="164:167">
      <c r="FH6000" s="29" t="str">
        <f t="shared" si="148"/>
        <v/>
      </c>
      <c r="FJ6000" s="36" t="str">
        <f>IF($FH6000="","",SUM($FN6000:$FN$7000))</f>
        <v/>
      </c>
      <c r="FK6000" s="36" t="str">
        <f>IF($FH6000="","",SUM($FN6000:$FN$7000))</f>
        <v/>
      </c>
    </row>
    <row r="6001" spans="164:167">
      <c r="FH6001" s="29" t="str">
        <f t="shared" si="148"/>
        <v/>
      </c>
      <c r="FJ6001" s="36" t="str">
        <f>IF($FH6001="","",SUM($FN6001:$FN$7000))</f>
        <v/>
      </c>
      <c r="FK6001" s="36" t="str">
        <f>IF($FH6001="","",SUM($FN6001:$FN$7000))</f>
        <v/>
      </c>
    </row>
    <row r="6002" spans="164:167">
      <c r="FH6002" s="29" t="str">
        <f t="shared" si="148"/>
        <v/>
      </c>
      <c r="FJ6002" s="36" t="str">
        <f>IF($FH6002="","",SUM($FN6002:$FN$7000))</f>
        <v/>
      </c>
      <c r="FK6002" s="36" t="str">
        <f>IF($FH6002="","",SUM($FN6002:$FN$7000))</f>
        <v/>
      </c>
    </row>
    <row r="6003" spans="164:167">
      <c r="FH6003" s="29" t="str">
        <f t="shared" si="148"/>
        <v/>
      </c>
      <c r="FJ6003" s="36" t="str">
        <f>IF($FH6003="","",SUM($FN6003:$FN$7000))</f>
        <v/>
      </c>
      <c r="FK6003" s="36" t="str">
        <f>IF($FH6003="","",SUM($FN6003:$FN$7000))</f>
        <v/>
      </c>
    </row>
    <row r="6004" spans="164:167">
      <c r="FH6004" s="29" t="str">
        <f t="shared" si="148"/>
        <v/>
      </c>
      <c r="FJ6004" s="36" t="str">
        <f>IF($FH6004="","",SUM($FN6004:$FN$7000))</f>
        <v/>
      </c>
      <c r="FK6004" s="36" t="str">
        <f>IF($FH6004="","",SUM($FN6004:$FN$7000))</f>
        <v/>
      </c>
    </row>
    <row r="6005" spans="164:167">
      <c r="FH6005" s="29" t="str">
        <f t="shared" si="148"/>
        <v/>
      </c>
      <c r="FJ6005" s="36" t="str">
        <f>IF($FH6005="","",SUM($FN6005:$FN$7000))</f>
        <v/>
      </c>
      <c r="FK6005" s="36" t="str">
        <f>IF($FH6005="","",SUM($FN6005:$FN$7000))</f>
        <v/>
      </c>
    </row>
    <row r="6006" spans="164:167">
      <c r="FH6006" s="29" t="str">
        <f t="shared" si="148"/>
        <v/>
      </c>
      <c r="FJ6006" s="36" t="str">
        <f>IF($FH6006="","",SUM($FN6006:$FN$7000))</f>
        <v/>
      </c>
      <c r="FK6006" s="36" t="str">
        <f>IF($FH6006="","",SUM($FN6006:$FN$7000))</f>
        <v/>
      </c>
    </row>
    <row r="6007" spans="164:167">
      <c r="FH6007" s="29" t="str">
        <f t="shared" si="148"/>
        <v/>
      </c>
      <c r="FJ6007" s="36" t="str">
        <f>IF($FH6007="","",SUM($FN6007:$FN$7000))</f>
        <v/>
      </c>
      <c r="FK6007" s="36" t="str">
        <f>IF($FH6007="","",SUM($FN6007:$FN$7000))</f>
        <v/>
      </c>
    </row>
    <row r="6008" spans="164:167">
      <c r="FH6008" s="29" t="str">
        <f t="shared" si="148"/>
        <v/>
      </c>
      <c r="FJ6008" s="36" t="str">
        <f>IF($FH6008="","",SUM($FN6008:$FN$7000))</f>
        <v/>
      </c>
      <c r="FK6008" s="36" t="str">
        <f>IF($FH6008="","",SUM($FN6008:$FN$7000))</f>
        <v/>
      </c>
    </row>
    <row r="6009" spans="164:167">
      <c r="FH6009" s="29" t="str">
        <f t="shared" si="148"/>
        <v/>
      </c>
      <c r="FJ6009" s="36" t="str">
        <f>IF($FH6009="","",SUM($FN6009:$FN$7000))</f>
        <v/>
      </c>
      <c r="FK6009" s="36" t="str">
        <f>IF($FH6009="","",SUM($FN6009:$FN$7000))</f>
        <v/>
      </c>
    </row>
    <row r="6010" spans="164:167">
      <c r="FH6010" s="29" t="str">
        <f t="shared" si="148"/>
        <v/>
      </c>
      <c r="FJ6010" s="36" t="str">
        <f>IF($FH6010="","",SUM($FN6010:$FN$7000))</f>
        <v/>
      </c>
      <c r="FK6010" s="36" t="str">
        <f>IF($FH6010="","",SUM($FN6010:$FN$7000))</f>
        <v/>
      </c>
    </row>
    <row r="6011" spans="164:167">
      <c r="FH6011" s="29" t="str">
        <f t="shared" si="148"/>
        <v/>
      </c>
      <c r="FJ6011" s="36" t="str">
        <f>IF($FH6011="","",SUM($FN6011:$FN$7000))</f>
        <v/>
      </c>
      <c r="FK6011" s="36" t="str">
        <f>IF($FH6011="","",SUM($FN6011:$FN$7000))</f>
        <v/>
      </c>
    </row>
    <row r="6012" spans="164:167">
      <c r="FH6012" s="29" t="str">
        <f t="shared" si="148"/>
        <v/>
      </c>
      <c r="FJ6012" s="36" t="str">
        <f>IF($FH6012="","",SUM($FN6012:$FN$7000))</f>
        <v/>
      </c>
      <c r="FK6012" s="36" t="str">
        <f>IF($FH6012="","",SUM($FN6012:$FN$7000))</f>
        <v/>
      </c>
    </row>
    <row r="6013" spans="164:167">
      <c r="FH6013" s="29" t="str">
        <f t="shared" si="148"/>
        <v/>
      </c>
      <c r="FJ6013" s="36" t="str">
        <f>IF($FH6013="","",SUM($FN6013:$FN$7000))</f>
        <v/>
      </c>
      <c r="FK6013" s="36" t="str">
        <f>IF($FH6013="","",SUM($FN6013:$FN$7000))</f>
        <v/>
      </c>
    </row>
    <row r="6014" spans="164:167">
      <c r="FH6014" s="29" t="str">
        <f t="shared" si="148"/>
        <v/>
      </c>
      <c r="FJ6014" s="36" t="str">
        <f>IF($FH6014="","",SUM($FN6014:$FN$7000))</f>
        <v/>
      </c>
      <c r="FK6014" s="36" t="str">
        <f>IF($FH6014="","",SUM($FN6014:$FN$7000))</f>
        <v/>
      </c>
    </row>
    <row r="6015" spans="164:167">
      <c r="FH6015" s="29" t="str">
        <f t="shared" si="148"/>
        <v/>
      </c>
      <c r="FJ6015" s="36" t="str">
        <f>IF($FH6015="","",SUM($FN6015:$FN$7000))</f>
        <v/>
      </c>
      <c r="FK6015" s="36" t="str">
        <f>IF($FH6015="","",SUM($FN6015:$FN$7000))</f>
        <v/>
      </c>
    </row>
    <row r="6016" spans="164:167">
      <c r="FH6016" s="29" t="str">
        <f t="shared" si="148"/>
        <v/>
      </c>
      <c r="FJ6016" s="36" t="str">
        <f>IF($FH6016="","",SUM($FN6016:$FN$7000))</f>
        <v/>
      </c>
      <c r="FK6016" s="36" t="str">
        <f>IF($FH6016="","",SUM($FN6016:$FN$7000))</f>
        <v/>
      </c>
    </row>
    <row r="6017" spans="164:167">
      <c r="FH6017" s="29" t="str">
        <f t="shared" si="148"/>
        <v/>
      </c>
      <c r="FJ6017" s="36" t="str">
        <f>IF($FH6017="","",SUM($FN6017:$FN$7000))</f>
        <v/>
      </c>
      <c r="FK6017" s="36" t="str">
        <f>IF($FH6017="","",SUM($FN6017:$FN$7000))</f>
        <v/>
      </c>
    </row>
    <row r="6018" spans="164:167">
      <c r="FH6018" s="29" t="str">
        <f t="shared" si="148"/>
        <v/>
      </c>
      <c r="FJ6018" s="36" t="str">
        <f>IF($FH6018="","",SUM($FN6018:$FN$7000))</f>
        <v/>
      </c>
      <c r="FK6018" s="36" t="str">
        <f>IF($FH6018="","",SUM($FN6018:$FN$7000))</f>
        <v/>
      </c>
    </row>
    <row r="6019" spans="164:167">
      <c r="FH6019" s="29" t="str">
        <f t="shared" si="148"/>
        <v/>
      </c>
      <c r="FJ6019" s="36" t="str">
        <f>IF($FH6019="","",SUM($FN6019:$FN$7000))</f>
        <v/>
      </c>
      <c r="FK6019" s="36" t="str">
        <f>IF($FH6019="","",SUM($FN6019:$FN$7000))</f>
        <v/>
      </c>
    </row>
    <row r="6020" spans="164:167">
      <c r="FH6020" s="29" t="str">
        <f t="shared" si="148"/>
        <v/>
      </c>
      <c r="FJ6020" s="36" t="str">
        <f>IF($FH6020="","",SUM($FN6020:$FN$7000))</f>
        <v/>
      </c>
      <c r="FK6020" s="36" t="str">
        <f>IF($FH6020="","",SUM($FN6020:$FN$7000))</f>
        <v/>
      </c>
    </row>
    <row r="6021" spans="164:167">
      <c r="FH6021" s="29" t="str">
        <f t="shared" si="148"/>
        <v/>
      </c>
      <c r="FJ6021" s="36" t="str">
        <f>IF($FH6021="","",SUM($FN6021:$FN$7000))</f>
        <v/>
      </c>
      <c r="FK6021" s="36" t="str">
        <f>IF($FH6021="","",SUM($FN6021:$FN$7000))</f>
        <v/>
      </c>
    </row>
    <row r="6022" spans="164:167">
      <c r="FH6022" s="29" t="str">
        <f t="shared" si="148"/>
        <v/>
      </c>
      <c r="FJ6022" s="36" t="str">
        <f>IF($FH6022="","",SUM($FN6022:$FN$7000))</f>
        <v/>
      </c>
      <c r="FK6022" s="36" t="str">
        <f>IF($FH6022="","",SUM($FN6022:$FN$7000))</f>
        <v/>
      </c>
    </row>
    <row r="6023" spans="164:167">
      <c r="FH6023" s="29" t="str">
        <f t="shared" si="148"/>
        <v/>
      </c>
      <c r="FJ6023" s="36" t="str">
        <f>IF($FH6023="","",SUM($FN6023:$FN$7000))</f>
        <v/>
      </c>
      <c r="FK6023" s="36" t="str">
        <f>IF($FH6023="","",SUM($FN6023:$FN$7000))</f>
        <v/>
      </c>
    </row>
    <row r="6024" spans="164:167">
      <c r="FH6024" s="29" t="str">
        <f t="shared" si="148"/>
        <v/>
      </c>
      <c r="FJ6024" s="36" t="str">
        <f>IF($FH6024="","",SUM($FN6024:$FN$7000))</f>
        <v/>
      </c>
      <c r="FK6024" s="36" t="str">
        <f>IF($FH6024="","",SUM($FN6024:$FN$7000))</f>
        <v/>
      </c>
    </row>
    <row r="6025" spans="164:167">
      <c r="FH6025" s="29" t="str">
        <f t="shared" si="148"/>
        <v/>
      </c>
      <c r="FJ6025" s="36" t="str">
        <f>IF($FH6025="","",SUM($FN6025:$FN$7000))</f>
        <v/>
      </c>
      <c r="FK6025" s="36" t="str">
        <f>IF($FH6025="","",SUM($FN6025:$FN$7000))</f>
        <v/>
      </c>
    </row>
    <row r="6026" spans="164:167">
      <c r="FH6026" s="29" t="str">
        <f t="shared" si="148"/>
        <v/>
      </c>
      <c r="FJ6026" s="36" t="str">
        <f>IF($FH6026="","",SUM($FN6026:$FN$7000))</f>
        <v/>
      </c>
      <c r="FK6026" s="36" t="str">
        <f>IF($FH6026="","",SUM($FN6026:$FN$7000))</f>
        <v/>
      </c>
    </row>
    <row r="6027" spans="164:167">
      <c r="FH6027" s="29" t="str">
        <f t="shared" ref="FH6027:FH6090" si="149">IF(FL6027="","",FL6027)</f>
        <v/>
      </c>
      <c r="FJ6027" s="36" t="str">
        <f>IF($FH6027="","",SUM($FN6027:$FN$7000))</f>
        <v/>
      </c>
      <c r="FK6027" s="36" t="str">
        <f>IF($FH6027="","",SUM($FN6027:$FN$7000))</f>
        <v/>
      </c>
    </row>
    <row r="6028" spans="164:167">
      <c r="FH6028" s="29" t="str">
        <f t="shared" si="149"/>
        <v/>
      </c>
      <c r="FJ6028" s="36" t="str">
        <f>IF($FH6028="","",SUM($FN6028:$FN$7000))</f>
        <v/>
      </c>
      <c r="FK6028" s="36" t="str">
        <f>IF($FH6028="","",SUM($FN6028:$FN$7000))</f>
        <v/>
      </c>
    </row>
    <row r="6029" spans="164:167">
      <c r="FH6029" s="29" t="str">
        <f t="shared" si="149"/>
        <v/>
      </c>
      <c r="FJ6029" s="36" t="str">
        <f>IF($FH6029="","",SUM($FN6029:$FN$7000))</f>
        <v/>
      </c>
      <c r="FK6029" s="36" t="str">
        <f>IF($FH6029="","",SUM($FN6029:$FN$7000))</f>
        <v/>
      </c>
    </row>
    <row r="6030" spans="164:167">
      <c r="FH6030" s="29" t="str">
        <f t="shared" si="149"/>
        <v/>
      </c>
      <c r="FJ6030" s="36" t="str">
        <f>IF($FH6030="","",SUM($FN6030:$FN$7000))</f>
        <v/>
      </c>
      <c r="FK6030" s="36" t="str">
        <f>IF($FH6030="","",SUM($FN6030:$FN$7000))</f>
        <v/>
      </c>
    </row>
    <row r="6031" spans="164:167">
      <c r="FH6031" s="29" t="str">
        <f t="shared" si="149"/>
        <v/>
      </c>
      <c r="FJ6031" s="36" t="str">
        <f>IF($FH6031="","",SUM($FN6031:$FN$7000))</f>
        <v/>
      </c>
      <c r="FK6031" s="36" t="str">
        <f>IF($FH6031="","",SUM($FN6031:$FN$7000))</f>
        <v/>
      </c>
    </row>
    <row r="6032" spans="164:167">
      <c r="FH6032" s="29" t="str">
        <f t="shared" si="149"/>
        <v/>
      </c>
      <c r="FJ6032" s="36" t="str">
        <f>IF($FH6032="","",SUM($FN6032:$FN$7000))</f>
        <v/>
      </c>
      <c r="FK6032" s="36" t="str">
        <f>IF($FH6032="","",SUM($FN6032:$FN$7000))</f>
        <v/>
      </c>
    </row>
    <row r="6033" spans="164:167">
      <c r="FH6033" s="29" t="str">
        <f t="shared" si="149"/>
        <v/>
      </c>
      <c r="FJ6033" s="36" t="str">
        <f>IF($FH6033="","",SUM($FN6033:$FN$7000))</f>
        <v/>
      </c>
      <c r="FK6033" s="36" t="str">
        <f>IF($FH6033="","",SUM($FN6033:$FN$7000))</f>
        <v/>
      </c>
    </row>
    <row r="6034" spans="164:167">
      <c r="FH6034" s="29" t="str">
        <f t="shared" si="149"/>
        <v/>
      </c>
      <c r="FJ6034" s="36" t="str">
        <f>IF($FH6034="","",SUM($FN6034:$FN$7000))</f>
        <v/>
      </c>
      <c r="FK6034" s="36" t="str">
        <f>IF($FH6034="","",SUM($FN6034:$FN$7000))</f>
        <v/>
      </c>
    </row>
    <row r="6035" spans="164:167">
      <c r="FH6035" s="29" t="str">
        <f t="shared" si="149"/>
        <v/>
      </c>
      <c r="FJ6035" s="36" t="str">
        <f>IF($FH6035="","",SUM($FN6035:$FN$7000))</f>
        <v/>
      </c>
      <c r="FK6035" s="36" t="str">
        <f>IF($FH6035="","",SUM($FN6035:$FN$7000))</f>
        <v/>
      </c>
    </row>
    <row r="6036" spans="164:167">
      <c r="FH6036" s="29" t="str">
        <f t="shared" si="149"/>
        <v/>
      </c>
      <c r="FJ6036" s="36" t="str">
        <f>IF($FH6036="","",SUM($FN6036:$FN$7000))</f>
        <v/>
      </c>
      <c r="FK6036" s="36" t="str">
        <f>IF($FH6036="","",SUM($FN6036:$FN$7000))</f>
        <v/>
      </c>
    </row>
    <row r="6037" spans="164:167">
      <c r="FH6037" s="29" t="str">
        <f t="shared" si="149"/>
        <v/>
      </c>
      <c r="FJ6037" s="36" t="str">
        <f>IF($FH6037="","",SUM($FN6037:$FN$7000))</f>
        <v/>
      </c>
      <c r="FK6037" s="36" t="str">
        <f>IF($FH6037="","",SUM($FN6037:$FN$7000))</f>
        <v/>
      </c>
    </row>
    <row r="6038" spans="164:167">
      <c r="FH6038" s="29" t="str">
        <f t="shared" si="149"/>
        <v/>
      </c>
      <c r="FJ6038" s="36" t="str">
        <f>IF($FH6038="","",SUM($FN6038:$FN$7000))</f>
        <v/>
      </c>
      <c r="FK6038" s="36" t="str">
        <f>IF($FH6038="","",SUM($FN6038:$FN$7000))</f>
        <v/>
      </c>
    </row>
    <row r="6039" spans="164:167">
      <c r="FH6039" s="29" t="str">
        <f t="shared" si="149"/>
        <v/>
      </c>
      <c r="FJ6039" s="36" t="str">
        <f>IF($FH6039="","",SUM($FN6039:$FN$7000))</f>
        <v/>
      </c>
      <c r="FK6039" s="36" t="str">
        <f>IF($FH6039="","",SUM($FN6039:$FN$7000))</f>
        <v/>
      </c>
    </row>
    <row r="6040" spans="164:167">
      <c r="FH6040" s="29" t="str">
        <f t="shared" si="149"/>
        <v/>
      </c>
      <c r="FJ6040" s="36" t="str">
        <f>IF($FH6040="","",SUM($FN6040:$FN$7000))</f>
        <v/>
      </c>
      <c r="FK6040" s="36" t="str">
        <f>IF($FH6040="","",SUM($FN6040:$FN$7000))</f>
        <v/>
      </c>
    </row>
    <row r="6041" spans="164:167">
      <c r="FH6041" s="29" t="str">
        <f t="shared" si="149"/>
        <v/>
      </c>
      <c r="FJ6041" s="36" t="str">
        <f>IF($FH6041="","",SUM($FN6041:$FN$7000))</f>
        <v/>
      </c>
      <c r="FK6041" s="36" t="str">
        <f>IF($FH6041="","",SUM($FN6041:$FN$7000))</f>
        <v/>
      </c>
    </row>
    <row r="6042" spans="164:167">
      <c r="FH6042" s="29" t="str">
        <f t="shared" si="149"/>
        <v/>
      </c>
      <c r="FJ6042" s="36" t="str">
        <f>IF($FH6042="","",SUM($FN6042:$FN$7000))</f>
        <v/>
      </c>
      <c r="FK6042" s="36" t="str">
        <f>IF($FH6042="","",SUM($FN6042:$FN$7000))</f>
        <v/>
      </c>
    </row>
    <row r="6043" spans="164:167">
      <c r="FH6043" s="29" t="str">
        <f t="shared" si="149"/>
        <v/>
      </c>
      <c r="FJ6043" s="36" t="str">
        <f>IF($FH6043="","",SUM($FN6043:$FN$7000))</f>
        <v/>
      </c>
      <c r="FK6043" s="36" t="str">
        <f>IF($FH6043="","",SUM($FN6043:$FN$7000))</f>
        <v/>
      </c>
    </row>
    <row r="6044" spans="164:167">
      <c r="FH6044" s="29" t="str">
        <f t="shared" si="149"/>
        <v/>
      </c>
      <c r="FJ6044" s="36" t="str">
        <f>IF($FH6044="","",SUM($FN6044:$FN$7000))</f>
        <v/>
      </c>
      <c r="FK6044" s="36" t="str">
        <f>IF($FH6044="","",SUM($FN6044:$FN$7000))</f>
        <v/>
      </c>
    </row>
    <row r="6045" spans="164:167">
      <c r="FH6045" s="29" t="str">
        <f t="shared" si="149"/>
        <v/>
      </c>
      <c r="FJ6045" s="36" t="str">
        <f>IF($FH6045="","",SUM($FN6045:$FN$7000))</f>
        <v/>
      </c>
      <c r="FK6045" s="36" t="str">
        <f>IF($FH6045="","",SUM($FN6045:$FN$7000))</f>
        <v/>
      </c>
    </row>
    <row r="6046" spans="164:167">
      <c r="FH6046" s="29" t="str">
        <f t="shared" si="149"/>
        <v/>
      </c>
      <c r="FJ6046" s="36" t="str">
        <f>IF($FH6046="","",SUM($FN6046:$FN$7000))</f>
        <v/>
      </c>
      <c r="FK6046" s="36" t="str">
        <f>IF($FH6046="","",SUM($FN6046:$FN$7000))</f>
        <v/>
      </c>
    </row>
    <row r="6047" spans="164:167">
      <c r="FH6047" s="29" t="str">
        <f t="shared" si="149"/>
        <v/>
      </c>
      <c r="FJ6047" s="36" t="str">
        <f>IF($FH6047="","",SUM($FN6047:$FN$7000))</f>
        <v/>
      </c>
      <c r="FK6047" s="36" t="str">
        <f>IF($FH6047="","",SUM($FN6047:$FN$7000))</f>
        <v/>
      </c>
    </row>
    <row r="6048" spans="164:167">
      <c r="FH6048" s="29" t="str">
        <f t="shared" si="149"/>
        <v/>
      </c>
      <c r="FJ6048" s="36" t="str">
        <f>IF($FH6048="","",SUM($FN6048:$FN$7000))</f>
        <v/>
      </c>
      <c r="FK6048" s="36" t="str">
        <f>IF($FH6048="","",SUM($FN6048:$FN$7000))</f>
        <v/>
      </c>
    </row>
    <row r="6049" spans="164:167">
      <c r="FH6049" s="29" t="str">
        <f t="shared" si="149"/>
        <v/>
      </c>
      <c r="FJ6049" s="36" t="str">
        <f>IF($FH6049="","",SUM($FN6049:$FN$7000))</f>
        <v/>
      </c>
      <c r="FK6049" s="36" t="str">
        <f>IF($FH6049="","",SUM($FN6049:$FN$7000))</f>
        <v/>
      </c>
    </row>
    <row r="6050" spans="164:167">
      <c r="FH6050" s="29" t="str">
        <f t="shared" si="149"/>
        <v/>
      </c>
      <c r="FJ6050" s="36" t="str">
        <f>IF($FH6050="","",SUM($FN6050:$FN$7000))</f>
        <v/>
      </c>
      <c r="FK6050" s="36" t="str">
        <f>IF($FH6050="","",SUM($FN6050:$FN$7000))</f>
        <v/>
      </c>
    </row>
    <row r="6051" spans="164:167">
      <c r="FH6051" s="29" t="str">
        <f t="shared" si="149"/>
        <v/>
      </c>
      <c r="FJ6051" s="36" t="str">
        <f>IF($FH6051="","",SUM($FN6051:$FN$7000))</f>
        <v/>
      </c>
      <c r="FK6051" s="36" t="str">
        <f>IF($FH6051="","",SUM($FN6051:$FN$7000))</f>
        <v/>
      </c>
    </row>
    <row r="6052" spans="164:167">
      <c r="FH6052" s="29" t="str">
        <f t="shared" si="149"/>
        <v/>
      </c>
      <c r="FJ6052" s="36" t="str">
        <f>IF($FH6052="","",SUM($FN6052:$FN$7000))</f>
        <v/>
      </c>
      <c r="FK6052" s="36" t="str">
        <f>IF($FH6052="","",SUM($FN6052:$FN$7000))</f>
        <v/>
      </c>
    </row>
    <row r="6053" spans="164:167">
      <c r="FH6053" s="29" t="str">
        <f t="shared" si="149"/>
        <v/>
      </c>
      <c r="FJ6053" s="36" t="str">
        <f>IF($FH6053="","",SUM($FN6053:$FN$7000))</f>
        <v/>
      </c>
      <c r="FK6053" s="36" t="str">
        <f>IF($FH6053="","",SUM($FN6053:$FN$7000))</f>
        <v/>
      </c>
    </row>
    <row r="6054" spans="164:167">
      <c r="FH6054" s="29" t="str">
        <f t="shared" si="149"/>
        <v/>
      </c>
      <c r="FJ6054" s="36" t="str">
        <f>IF($FH6054="","",SUM($FN6054:$FN$7000))</f>
        <v/>
      </c>
      <c r="FK6054" s="36" t="str">
        <f>IF($FH6054="","",SUM($FN6054:$FN$7000))</f>
        <v/>
      </c>
    </row>
    <row r="6055" spans="164:167">
      <c r="FH6055" s="29" t="str">
        <f t="shared" si="149"/>
        <v/>
      </c>
      <c r="FJ6055" s="36" t="str">
        <f>IF($FH6055="","",SUM($FN6055:$FN$7000))</f>
        <v/>
      </c>
      <c r="FK6055" s="36" t="str">
        <f>IF($FH6055="","",SUM($FN6055:$FN$7000))</f>
        <v/>
      </c>
    </row>
    <row r="6056" spans="164:167">
      <c r="FH6056" s="29" t="str">
        <f t="shared" si="149"/>
        <v/>
      </c>
      <c r="FJ6056" s="36" t="str">
        <f>IF($FH6056="","",SUM($FN6056:$FN$7000))</f>
        <v/>
      </c>
      <c r="FK6056" s="36" t="str">
        <f>IF($FH6056="","",SUM($FN6056:$FN$7000))</f>
        <v/>
      </c>
    </row>
    <row r="6057" spans="164:167">
      <c r="FH6057" s="29" t="str">
        <f t="shared" si="149"/>
        <v/>
      </c>
      <c r="FJ6057" s="36" t="str">
        <f>IF($FH6057="","",SUM($FN6057:$FN$7000))</f>
        <v/>
      </c>
      <c r="FK6057" s="36" t="str">
        <f>IF($FH6057="","",SUM($FN6057:$FN$7000))</f>
        <v/>
      </c>
    </row>
    <row r="6058" spans="164:167">
      <c r="FH6058" s="29" t="str">
        <f t="shared" si="149"/>
        <v/>
      </c>
      <c r="FJ6058" s="36" t="str">
        <f>IF($FH6058="","",SUM($FN6058:$FN$7000))</f>
        <v/>
      </c>
      <c r="FK6058" s="36" t="str">
        <f>IF($FH6058="","",SUM($FN6058:$FN$7000))</f>
        <v/>
      </c>
    </row>
    <row r="6059" spans="164:167">
      <c r="FH6059" s="29" t="str">
        <f t="shared" si="149"/>
        <v/>
      </c>
      <c r="FJ6059" s="36" t="str">
        <f>IF($FH6059="","",SUM($FN6059:$FN$7000))</f>
        <v/>
      </c>
      <c r="FK6059" s="36" t="str">
        <f>IF($FH6059="","",SUM($FN6059:$FN$7000))</f>
        <v/>
      </c>
    </row>
    <row r="6060" spans="164:167">
      <c r="FH6060" s="29" t="str">
        <f t="shared" si="149"/>
        <v/>
      </c>
      <c r="FJ6060" s="36" t="str">
        <f>IF($FH6060="","",SUM($FN6060:$FN$7000))</f>
        <v/>
      </c>
      <c r="FK6060" s="36" t="str">
        <f>IF($FH6060="","",SUM($FN6060:$FN$7000))</f>
        <v/>
      </c>
    </row>
    <row r="6061" spans="164:167">
      <c r="FH6061" s="29" t="str">
        <f t="shared" si="149"/>
        <v/>
      </c>
      <c r="FJ6061" s="36" t="str">
        <f>IF($FH6061="","",SUM($FN6061:$FN$7000))</f>
        <v/>
      </c>
      <c r="FK6061" s="36" t="str">
        <f>IF($FH6061="","",SUM($FN6061:$FN$7000))</f>
        <v/>
      </c>
    </row>
    <row r="6062" spans="164:167">
      <c r="FH6062" s="29" t="str">
        <f t="shared" si="149"/>
        <v/>
      </c>
      <c r="FJ6062" s="36" t="str">
        <f>IF($FH6062="","",SUM($FN6062:$FN$7000))</f>
        <v/>
      </c>
      <c r="FK6062" s="36" t="str">
        <f>IF($FH6062="","",SUM($FN6062:$FN$7000))</f>
        <v/>
      </c>
    </row>
    <row r="6063" spans="164:167">
      <c r="FH6063" s="29" t="str">
        <f t="shared" si="149"/>
        <v/>
      </c>
      <c r="FJ6063" s="36" t="str">
        <f>IF($FH6063="","",SUM($FN6063:$FN$7000))</f>
        <v/>
      </c>
      <c r="FK6063" s="36" t="str">
        <f>IF($FH6063="","",SUM($FN6063:$FN$7000))</f>
        <v/>
      </c>
    </row>
    <row r="6064" spans="164:167">
      <c r="FH6064" s="29" t="str">
        <f t="shared" si="149"/>
        <v/>
      </c>
      <c r="FJ6064" s="36" t="str">
        <f>IF($FH6064="","",SUM($FN6064:$FN$7000))</f>
        <v/>
      </c>
      <c r="FK6064" s="36" t="str">
        <f>IF($FH6064="","",SUM($FN6064:$FN$7000))</f>
        <v/>
      </c>
    </row>
    <row r="6065" spans="164:167">
      <c r="FH6065" s="29" t="str">
        <f t="shared" si="149"/>
        <v/>
      </c>
      <c r="FJ6065" s="36" t="str">
        <f>IF($FH6065="","",SUM($FN6065:$FN$7000))</f>
        <v/>
      </c>
      <c r="FK6065" s="36" t="str">
        <f>IF($FH6065="","",SUM($FN6065:$FN$7000))</f>
        <v/>
      </c>
    </row>
    <row r="6066" spans="164:167">
      <c r="FH6066" s="29" t="str">
        <f t="shared" si="149"/>
        <v/>
      </c>
      <c r="FJ6066" s="36" t="str">
        <f>IF($FH6066="","",SUM($FN6066:$FN$7000))</f>
        <v/>
      </c>
      <c r="FK6066" s="36" t="str">
        <f>IF($FH6066="","",SUM($FN6066:$FN$7000))</f>
        <v/>
      </c>
    </row>
    <row r="6067" spans="164:167">
      <c r="FH6067" s="29" t="str">
        <f t="shared" si="149"/>
        <v/>
      </c>
      <c r="FJ6067" s="36" t="str">
        <f>IF($FH6067="","",SUM($FN6067:$FN$7000))</f>
        <v/>
      </c>
      <c r="FK6067" s="36" t="str">
        <f>IF($FH6067="","",SUM($FN6067:$FN$7000))</f>
        <v/>
      </c>
    </row>
    <row r="6068" spans="164:167">
      <c r="FH6068" s="29" t="str">
        <f t="shared" si="149"/>
        <v/>
      </c>
      <c r="FJ6068" s="36" t="str">
        <f>IF($FH6068="","",SUM($FN6068:$FN$7000))</f>
        <v/>
      </c>
      <c r="FK6068" s="36" t="str">
        <f>IF($FH6068="","",SUM($FN6068:$FN$7000))</f>
        <v/>
      </c>
    </row>
    <row r="6069" spans="164:167">
      <c r="FH6069" s="29" t="str">
        <f t="shared" si="149"/>
        <v/>
      </c>
      <c r="FJ6069" s="36" t="str">
        <f>IF($FH6069="","",SUM($FN6069:$FN$7000))</f>
        <v/>
      </c>
      <c r="FK6069" s="36" t="str">
        <f>IF($FH6069="","",SUM($FN6069:$FN$7000))</f>
        <v/>
      </c>
    </row>
    <row r="6070" spans="164:167">
      <c r="FH6070" s="29" t="str">
        <f t="shared" si="149"/>
        <v/>
      </c>
      <c r="FJ6070" s="36" t="str">
        <f>IF($FH6070="","",SUM($FN6070:$FN$7000))</f>
        <v/>
      </c>
      <c r="FK6070" s="36" t="str">
        <f>IF($FH6070="","",SUM($FN6070:$FN$7000))</f>
        <v/>
      </c>
    </row>
    <row r="6071" spans="164:167">
      <c r="FH6071" s="29" t="str">
        <f t="shared" si="149"/>
        <v/>
      </c>
      <c r="FJ6071" s="36" t="str">
        <f>IF($FH6071="","",SUM($FN6071:$FN$7000))</f>
        <v/>
      </c>
      <c r="FK6071" s="36" t="str">
        <f>IF($FH6071="","",SUM($FN6071:$FN$7000))</f>
        <v/>
      </c>
    </row>
    <row r="6072" spans="164:167">
      <c r="FH6072" s="29" t="str">
        <f t="shared" si="149"/>
        <v/>
      </c>
      <c r="FJ6072" s="36" t="str">
        <f>IF($FH6072="","",SUM($FN6072:$FN$7000))</f>
        <v/>
      </c>
      <c r="FK6072" s="36" t="str">
        <f>IF($FH6072="","",SUM($FN6072:$FN$7000))</f>
        <v/>
      </c>
    </row>
    <row r="6073" spans="164:167">
      <c r="FH6073" s="29" t="str">
        <f t="shared" si="149"/>
        <v/>
      </c>
      <c r="FJ6073" s="36" t="str">
        <f>IF($FH6073="","",SUM($FN6073:$FN$7000))</f>
        <v/>
      </c>
      <c r="FK6073" s="36" t="str">
        <f>IF($FH6073="","",SUM($FN6073:$FN$7000))</f>
        <v/>
      </c>
    </row>
    <row r="6074" spans="164:167">
      <c r="FH6074" s="29" t="str">
        <f t="shared" si="149"/>
        <v/>
      </c>
      <c r="FJ6074" s="36" t="str">
        <f>IF($FH6074="","",SUM($FN6074:$FN$7000))</f>
        <v/>
      </c>
      <c r="FK6074" s="36" t="str">
        <f>IF($FH6074="","",SUM($FN6074:$FN$7000))</f>
        <v/>
      </c>
    </row>
    <row r="6075" spans="164:167">
      <c r="FH6075" s="29" t="str">
        <f t="shared" si="149"/>
        <v/>
      </c>
      <c r="FJ6075" s="36" t="str">
        <f>IF($FH6075="","",SUM($FN6075:$FN$7000))</f>
        <v/>
      </c>
      <c r="FK6075" s="36" t="str">
        <f>IF($FH6075="","",SUM($FN6075:$FN$7000))</f>
        <v/>
      </c>
    </row>
    <row r="6076" spans="164:167">
      <c r="FH6076" s="29" t="str">
        <f t="shared" si="149"/>
        <v/>
      </c>
      <c r="FJ6076" s="36" t="str">
        <f>IF($FH6076="","",SUM($FN6076:$FN$7000))</f>
        <v/>
      </c>
      <c r="FK6076" s="36" t="str">
        <f>IF($FH6076="","",SUM($FN6076:$FN$7000))</f>
        <v/>
      </c>
    </row>
    <row r="6077" spans="164:167">
      <c r="FH6077" s="29" t="str">
        <f t="shared" si="149"/>
        <v/>
      </c>
      <c r="FJ6077" s="36" t="str">
        <f>IF($FH6077="","",SUM($FN6077:$FN$7000))</f>
        <v/>
      </c>
      <c r="FK6077" s="36" t="str">
        <f>IF($FH6077="","",SUM($FN6077:$FN$7000))</f>
        <v/>
      </c>
    </row>
    <row r="6078" spans="164:167">
      <c r="FH6078" s="29" t="str">
        <f t="shared" si="149"/>
        <v/>
      </c>
      <c r="FJ6078" s="36" t="str">
        <f>IF($FH6078="","",SUM($FN6078:$FN$7000))</f>
        <v/>
      </c>
      <c r="FK6078" s="36" t="str">
        <f>IF($FH6078="","",SUM($FN6078:$FN$7000))</f>
        <v/>
      </c>
    </row>
    <row r="6079" spans="164:167">
      <c r="FH6079" s="29" t="str">
        <f t="shared" si="149"/>
        <v/>
      </c>
      <c r="FJ6079" s="36" t="str">
        <f>IF($FH6079="","",SUM($FN6079:$FN$7000))</f>
        <v/>
      </c>
      <c r="FK6079" s="36" t="str">
        <f>IF($FH6079="","",SUM($FN6079:$FN$7000))</f>
        <v/>
      </c>
    </row>
    <row r="6080" spans="164:167">
      <c r="FH6080" s="29" t="str">
        <f t="shared" si="149"/>
        <v/>
      </c>
      <c r="FJ6080" s="36" t="str">
        <f>IF($FH6080="","",SUM($FN6080:$FN$7000))</f>
        <v/>
      </c>
      <c r="FK6080" s="36" t="str">
        <f>IF($FH6080="","",SUM($FN6080:$FN$7000))</f>
        <v/>
      </c>
    </row>
    <row r="6081" spans="164:167">
      <c r="FH6081" s="29" t="str">
        <f t="shared" si="149"/>
        <v/>
      </c>
      <c r="FJ6081" s="36" t="str">
        <f>IF($FH6081="","",SUM($FN6081:$FN$7000))</f>
        <v/>
      </c>
      <c r="FK6081" s="36" t="str">
        <f>IF($FH6081="","",SUM($FN6081:$FN$7000))</f>
        <v/>
      </c>
    </row>
    <row r="6082" spans="164:167">
      <c r="FH6082" s="29" t="str">
        <f t="shared" si="149"/>
        <v/>
      </c>
      <c r="FJ6082" s="36" t="str">
        <f>IF($FH6082="","",SUM($FN6082:$FN$7000))</f>
        <v/>
      </c>
      <c r="FK6082" s="36" t="str">
        <f>IF($FH6082="","",SUM($FN6082:$FN$7000))</f>
        <v/>
      </c>
    </row>
    <row r="6083" spans="164:167">
      <c r="FH6083" s="29" t="str">
        <f t="shared" si="149"/>
        <v/>
      </c>
      <c r="FJ6083" s="36" t="str">
        <f>IF($FH6083="","",SUM($FN6083:$FN$7000))</f>
        <v/>
      </c>
      <c r="FK6083" s="36" t="str">
        <f>IF($FH6083="","",SUM($FN6083:$FN$7000))</f>
        <v/>
      </c>
    </row>
    <row r="6084" spans="164:167">
      <c r="FH6084" s="29" t="str">
        <f t="shared" si="149"/>
        <v/>
      </c>
      <c r="FJ6084" s="36" t="str">
        <f>IF($FH6084="","",SUM($FN6084:$FN$7000))</f>
        <v/>
      </c>
      <c r="FK6084" s="36" t="str">
        <f>IF($FH6084="","",SUM($FN6084:$FN$7000))</f>
        <v/>
      </c>
    </row>
    <row r="6085" spans="164:167">
      <c r="FH6085" s="29" t="str">
        <f t="shared" si="149"/>
        <v/>
      </c>
      <c r="FJ6085" s="36" t="str">
        <f>IF($FH6085="","",SUM($FN6085:$FN$7000))</f>
        <v/>
      </c>
      <c r="FK6085" s="36" t="str">
        <f>IF($FH6085="","",SUM($FN6085:$FN$7000))</f>
        <v/>
      </c>
    </row>
    <row r="6086" spans="164:167">
      <c r="FH6086" s="29" t="str">
        <f t="shared" si="149"/>
        <v/>
      </c>
      <c r="FJ6086" s="36" t="str">
        <f>IF($FH6086="","",SUM($FN6086:$FN$7000))</f>
        <v/>
      </c>
      <c r="FK6086" s="36" t="str">
        <f>IF($FH6086="","",SUM($FN6086:$FN$7000))</f>
        <v/>
      </c>
    </row>
    <row r="6087" spans="164:167">
      <c r="FH6087" s="29" t="str">
        <f t="shared" si="149"/>
        <v/>
      </c>
      <c r="FJ6087" s="36" t="str">
        <f>IF($FH6087="","",SUM($FN6087:$FN$7000))</f>
        <v/>
      </c>
      <c r="FK6087" s="36" t="str">
        <f>IF($FH6087="","",SUM($FN6087:$FN$7000))</f>
        <v/>
      </c>
    </row>
    <row r="6088" spans="164:167">
      <c r="FH6088" s="29" t="str">
        <f t="shared" si="149"/>
        <v/>
      </c>
      <c r="FJ6088" s="36" t="str">
        <f>IF($FH6088="","",SUM($FN6088:$FN$7000))</f>
        <v/>
      </c>
      <c r="FK6088" s="36" t="str">
        <f>IF($FH6088="","",SUM($FN6088:$FN$7000))</f>
        <v/>
      </c>
    </row>
    <row r="6089" spans="164:167">
      <c r="FH6089" s="29" t="str">
        <f t="shared" si="149"/>
        <v/>
      </c>
      <c r="FJ6089" s="36" t="str">
        <f>IF($FH6089="","",SUM($FN6089:$FN$7000))</f>
        <v/>
      </c>
      <c r="FK6089" s="36" t="str">
        <f>IF($FH6089="","",SUM($FN6089:$FN$7000))</f>
        <v/>
      </c>
    </row>
    <row r="6090" spans="164:167">
      <c r="FH6090" s="29" t="str">
        <f t="shared" si="149"/>
        <v/>
      </c>
      <c r="FJ6090" s="36" t="str">
        <f>IF($FH6090="","",SUM($FN6090:$FN$7000))</f>
        <v/>
      </c>
      <c r="FK6090" s="36" t="str">
        <f>IF($FH6090="","",SUM($FN6090:$FN$7000))</f>
        <v/>
      </c>
    </row>
    <row r="6091" spans="164:167">
      <c r="FH6091" s="29" t="str">
        <f t="shared" ref="FH6091:FH6154" si="150">IF(FL6091="","",FL6091)</f>
        <v/>
      </c>
      <c r="FJ6091" s="36" t="str">
        <f>IF($FH6091="","",SUM($FN6091:$FN$7000))</f>
        <v/>
      </c>
      <c r="FK6091" s="36" t="str">
        <f>IF($FH6091="","",SUM($FN6091:$FN$7000))</f>
        <v/>
      </c>
    </row>
    <row r="6092" spans="164:167">
      <c r="FH6092" s="29" t="str">
        <f t="shared" si="150"/>
        <v/>
      </c>
      <c r="FJ6092" s="36" t="str">
        <f>IF($FH6092="","",SUM($FN6092:$FN$7000))</f>
        <v/>
      </c>
      <c r="FK6092" s="36" t="str">
        <f>IF($FH6092="","",SUM($FN6092:$FN$7000))</f>
        <v/>
      </c>
    </row>
    <row r="6093" spans="164:167">
      <c r="FH6093" s="29" t="str">
        <f t="shared" si="150"/>
        <v/>
      </c>
      <c r="FJ6093" s="36" t="str">
        <f>IF($FH6093="","",SUM($FN6093:$FN$7000))</f>
        <v/>
      </c>
      <c r="FK6093" s="36" t="str">
        <f>IF($FH6093="","",SUM($FN6093:$FN$7000))</f>
        <v/>
      </c>
    </row>
    <row r="6094" spans="164:167">
      <c r="FH6094" s="29" t="str">
        <f t="shared" si="150"/>
        <v/>
      </c>
      <c r="FJ6094" s="36" t="str">
        <f>IF($FH6094="","",SUM($FN6094:$FN$7000))</f>
        <v/>
      </c>
      <c r="FK6094" s="36" t="str">
        <f>IF($FH6094="","",SUM($FN6094:$FN$7000))</f>
        <v/>
      </c>
    </row>
    <row r="6095" spans="164:167">
      <c r="FH6095" s="29" t="str">
        <f t="shared" si="150"/>
        <v/>
      </c>
      <c r="FJ6095" s="36" t="str">
        <f>IF($FH6095="","",SUM($FN6095:$FN$7000))</f>
        <v/>
      </c>
      <c r="FK6095" s="36" t="str">
        <f>IF($FH6095="","",SUM($FN6095:$FN$7000))</f>
        <v/>
      </c>
    </row>
    <row r="6096" spans="164:167">
      <c r="FH6096" s="29" t="str">
        <f t="shared" si="150"/>
        <v/>
      </c>
      <c r="FJ6096" s="36" t="str">
        <f>IF($FH6096="","",SUM($FN6096:$FN$7000))</f>
        <v/>
      </c>
      <c r="FK6096" s="36" t="str">
        <f>IF($FH6096="","",SUM($FN6096:$FN$7000))</f>
        <v/>
      </c>
    </row>
    <row r="6097" spans="164:167">
      <c r="FH6097" s="29" t="str">
        <f t="shared" si="150"/>
        <v/>
      </c>
      <c r="FJ6097" s="36" t="str">
        <f>IF($FH6097="","",SUM($FN6097:$FN$7000))</f>
        <v/>
      </c>
      <c r="FK6097" s="36" t="str">
        <f>IF($FH6097="","",SUM($FN6097:$FN$7000))</f>
        <v/>
      </c>
    </row>
    <row r="6098" spans="164:167">
      <c r="FH6098" s="29" t="str">
        <f t="shared" si="150"/>
        <v/>
      </c>
      <c r="FJ6098" s="36" t="str">
        <f>IF($FH6098="","",SUM($FN6098:$FN$7000))</f>
        <v/>
      </c>
      <c r="FK6098" s="36" t="str">
        <f>IF($FH6098="","",SUM($FN6098:$FN$7000))</f>
        <v/>
      </c>
    </row>
    <row r="6099" spans="164:167">
      <c r="FH6099" s="29" t="str">
        <f t="shared" si="150"/>
        <v/>
      </c>
      <c r="FJ6099" s="36" t="str">
        <f>IF($FH6099="","",SUM($FN6099:$FN$7000))</f>
        <v/>
      </c>
      <c r="FK6099" s="36" t="str">
        <f>IF($FH6099="","",SUM($FN6099:$FN$7000))</f>
        <v/>
      </c>
    </row>
    <row r="6100" spans="164:167">
      <c r="FH6100" s="29" t="str">
        <f t="shared" si="150"/>
        <v/>
      </c>
      <c r="FJ6100" s="36" t="str">
        <f>IF($FH6100="","",SUM($FN6100:$FN$7000))</f>
        <v/>
      </c>
      <c r="FK6100" s="36" t="str">
        <f>IF($FH6100="","",SUM($FN6100:$FN$7000))</f>
        <v/>
      </c>
    </row>
    <row r="6101" spans="164:167">
      <c r="FH6101" s="29" t="str">
        <f t="shared" si="150"/>
        <v/>
      </c>
      <c r="FJ6101" s="36" t="str">
        <f>IF($FH6101="","",SUM($FN6101:$FN$7000))</f>
        <v/>
      </c>
      <c r="FK6101" s="36" t="str">
        <f>IF($FH6101="","",SUM($FN6101:$FN$7000))</f>
        <v/>
      </c>
    </row>
    <row r="6102" spans="164:167">
      <c r="FH6102" s="29" t="str">
        <f t="shared" si="150"/>
        <v/>
      </c>
      <c r="FJ6102" s="36" t="str">
        <f>IF($FH6102="","",SUM($FN6102:$FN$7000))</f>
        <v/>
      </c>
      <c r="FK6102" s="36" t="str">
        <f>IF($FH6102="","",SUM($FN6102:$FN$7000))</f>
        <v/>
      </c>
    </row>
    <row r="6103" spans="164:167">
      <c r="FH6103" s="29" t="str">
        <f t="shared" si="150"/>
        <v/>
      </c>
      <c r="FJ6103" s="36" t="str">
        <f>IF($FH6103="","",SUM($FN6103:$FN$7000))</f>
        <v/>
      </c>
      <c r="FK6103" s="36" t="str">
        <f>IF($FH6103="","",SUM($FN6103:$FN$7000))</f>
        <v/>
      </c>
    </row>
    <row r="6104" spans="164:167">
      <c r="FH6104" s="29" t="str">
        <f t="shared" si="150"/>
        <v/>
      </c>
      <c r="FJ6104" s="36" t="str">
        <f>IF($FH6104="","",SUM($FN6104:$FN$7000))</f>
        <v/>
      </c>
      <c r="FK6104" s="36" t="str">
        <f>IF($FH6104="","",SUM($FN6104:$FN$7000))</f>
        <v/>
      </c>
    </row>
    <row r="6105" spans="164:167">
      <c r="FH6105" s="29" t="str">
        <f t="shared" si="150"/>
        <v/>
      </c>
      <c r="FJ6105" s="36" t="str">
        <f>IF($FH6105="","",SUM($FN6105:$FN$7000))</f>
        <v/>
      </c>
      <c r="FK6105" s="36" t="str">
        <f>IF($FH6105="","",SUM($FN6105:$FN$7000))</f>
        <v/>
      </c>
    </row>
    <row r="6106" spans="164:167">
      <c r="FH6106" s="29" t="str">
        <f t="shared" si="150"/>
        <v/>
      </c>
      <c r="FJ6106" s="36" t="str">
        <f>IF($FH6106="","",SUM($FN6106:$FN$7000))</f>
        <v/>
      </c>
      <c r="FK6106" s="36" t="str">
        <f>IF($FH6106="","",SUM($FN6106:$FN$7000))</f>
        <v/>
      </c>
    </row>
    <row r="6107" spans="164:167">
      <c r="FH6107" s="29" t="str">
        <f t="shared" si="150"/>
        <v/>
      </c>
      <c r="FJ6107" s="36" t="str">
        <f>IF($FH6107="","",SUM($FN6107:$FN$7000))</f>
        <v/>
      </c>
      <c r="FK6107" s="36" t="str">
        <f>IF($FH6107="","",SUM($FN6107:$FN$7000))</f>
        <v/>
      </c>
    </row>
    <row r="6108" spans="164:167">
      <c r="FH6108" s="29" t="str">
        <f t="shared" si="150"/>
        <v/>
      </c>
      <c r="FJ6108" s="36" t="str">
        <f>IF($FH6108="","",SUM($FN6108:$FN$7000))</f>
        <v/>
      </c>
      <c r="FK6108" s="36" t="str">
        <f>IF($FH6108="","",SUM($FN6108:$FN$7000))</f>
        <v/>
      </c>
    </row>
    <row r="6109" spans="164:167">
      <c r="FH6109" s="29" t="str">
        <f t="shared" si="150"/>
        <v/>
      </c>
      <c r="FJ6109" s="36" t="str">
        <f>IF($FH6109="","",SUM($FN6109:$FN$7000))</f>
        <v/>
      </c>
      <c r="FK6109" s="36" t="str">
        <f>IF($FH6109="","",SUM($FN6109:$FN$7000))</f>
        <v/>
      </c>
    </row>
    <row r="6110" spans="164:167">
      <c r="FH6110" s="29" t="str">
        <f t="shared" si="150"/>
        <v/>
      </c>
      <c r="FJ6110" s="36" t="str">
        <f>IF($FH6110="","",SUM($FN6110:$FN$7000))</f>
        <v/>
      </c>
      <c r="FK6110" s="36" t="str">
        <f>IF($FH6110="","",SUM($FN6110:$FN$7000))</f>
        <v/>
      </c>
    </row>
    <row r="6111" spans="164:167">
      <c r="FH6111" s="29" t="str">
        <f t="shared" si="150"/>
        <v/>
      </c>
      <c r="FJ6111" s="36" t="str">
        <f>IF($FH6111="","",SUM($FN6111:$FN$7000))</f>
        <v/>
      </c>
      <c r="FK6111" s="36" t="str">
        <f>IF($FH6111="","",SUM($FN6111:$FN$7000))</f>
        <v/>
      </c>
    </row>
    <row r="6112" spans="164:167">
      <c r="FH6112" s="29" t="str">
        <f t="shared" si="150"/>
        <v/>
      </c>
      <c r="FJ6112" s="36" t="str">
        <f>IF($FH6112="","",SUM($FN6112:$FN$7000))</f>
        <v/>
      </c>
      <c r="FK6112" s="36" t="str">
        <f>IF($FH6112="","",SUM($FN6112:$FN$7000))</f>
        <v/>
      </c>
    </row>
    <row r="6113" spans="164:167">
      <c r="FH6113" s="29" t="str">
        <f t="shared" si="150"/>
        <v/>
      </c>
      <c r="FJ6113" s="36" t="str">
        <f>IF($FH6113="","",SUM($FN6113:$FN$7000))</f>
        <v/>
      </c>
      <c r="FK6113" s="36" t="str">
        <f>IF($FH6113="","",SUM($FN6113:$FN$7000))</f>
        <v/>
      </c>
    </row>
    <row r="6114" spans="164:167">
      <c r="FH6114" s="29" t="str">
        <f t="shared" si="150"/>
        <v/>
      </c>
      <c r="FJ6114" s="36" t="str">
        <f>IF($FH6114="","",SUM($FN6114:$FN$7000))</f>
        <v/>
      </c>
      <c r="FK6114" s="36" t="str">
        <f>IF($FH6114="","",SUM($FN6114:$FN$7000))</f>
        <v/>
      </c>
    </row>
    <row r="6115" spans="164:167">
      <c r="FH6115" s="29" t="str">
        <f t="shared" si="150"/>
        <v/>
      </c>
      <c r="FJ6115" s="36" t="str">
        <f>IF($FH6115="","",SUM($FN6115:$FN$7000))</f>
        <v/>
      </c>
      <c r="FK6115" s="36" t="str">
        <f>IF($FH6115="","",SUM($FN6115:$FN$7000))</f>
        <v/>
      </c>
    </row>
    <row r="6116" spans="164:167">
      <c r="FH6116" s="29" t="str">
        <f t="shared" si="150"/>
        <v/>
      </c>
      <c r="FJ6116" s="36" t="str">
        <f>IF($FH6116="","",SUM($FN6116:$FN$7000))</f>
        <v/>
      </c>
      <c r="FK6116" s="36" t="str">
        <f>IF($FH6116="","",SUM($FN6116:$FN$7000))</f>
        <v/>
      </c>
    </row>
    <row r="6117" spans="164:167">
      <c r="FH6117" s="29" t="str">
        <f t="shared" si="150"/>
        <v/>
      </c>
      <c r="FJ6117" s="36" t="str">
        <f>IF($FH6117="","",SUM($FN6117:$FN$7000))</f>
        <v/>
      </c>
      <c r="FK6117" s="36" t="str">
        <f>IF($FH6117="","",SUM($FN6117:$FN$7000))</f>
        <v/>
      </c>
    </row>
    <row r="6118" spans="164:167">
      <c r="FH6118" s="29" t="str">
        <f t="shared" si="150"/>
        <v/>
      </c>
      <c r="FJ6118" s="36" t="str">
        <f>IF($FH6118="","",SUM($FN6118:$FN$7000))</f>
        <v/>
      </c>
      <c r="FK6118" s="36" t="str">
        <f>IF($FH6118="","",SUM($FN6118:$FN$7000))</f>
        <v/>
      </c>
    </row>
    <row r="6119" spans="164:167">
      <c r="FH6119" s="29" t="str">
        <f t="shared" si="150"/>
        <v/>
      </c>
      <c r="FJ6119" s="36" t="str">
        <f>IF($FH6119="","",SUM($FN6119:$FN$7000))</f>
        <v/>
      </c>
      <c r="FK6119" s="36" t="str">
        <f>IF($FH6119="","",SUM($FN6119:$FN$7000))</f>
        <v/>
      </c>
    </row>
    <row r="6120" spans="164:167">
      <c r="FH6120" s="29" t="str">
        <f t="shared" si="150"/>
        <v/>
      </c>
      <c r="FJ6120" s="36" t="str">
        <f>IF($FH6120="","",SUM($FN6120:$FN$7000))</f>
        <v/>
      </c>
      <c r="FK6120" s="36" t="str">
        <f>IF($FH6120="","",SUM($FN6120:$FN$7000))</f>
        <v/>
      </c>
    </row>
    <row r="6121" spans="164:167">
      <c r="FH6121" s="29" t="str">
        <f t="shared" si="150"/>
        <v/>
      </c>
      <c r="FJ6121" s="36" t="str">
        <f>IF($FH6121="","",SUM($FN6121:$FN$7000))</f>
        <v/>
      </c>
      <c r="FK6121" s="36" t="str">
        <f>IF($FH6121="","",SUM($FN6121:$FN$7000))</f>
        <v/>
      </c>
    </row>
    <row r="6122" spans="164:167">
      <c r="FH6122" s="29" t="str">
        <f t="shared" si="150"/>
        <v/>
      </c>
      <c r="FJ6122" s="36" t="str">
        <f>IF($FH6122="","",SUM($FN6122:$FN$7000))</f>
        <v/>
      </c>
      <c r="FK6122" s="36" t="str">
        <f>IF($FH6122="","",SUM($FN6122:$FN$7000))</f>
        <v/>
      </c>
    </row>
    <row r="6123" spans="164:167">
      <c r="FH6123" s="29" t="str">
        <f t="shared" si="150"/>
        <v/>
      </c>
      <c r="FJ6123" s="36" t="str">
        <f>IF($FH6123="","",SUM($FN6123:$FN$7000))</f>
        <v/>
      </c>
      <c r="FK6123" s="36" t="str">
        <f>IF($FH6123="","",SUM($FN6123:$FN$7000))</f>
        <v/>
      </c>
    </row>
    <row r="6124" spans="164:167">
      <c r="FH6124" s="29" t="str">
        <f t="shared" si="150"/>
        <v/>
      </c>
      <c r="FJ6124" s="36" t="str">
        <f>IF($FH6124="","",SUM($FN6124:$FN$7000))</f>
        <v/>
      </c>
      <c r="FK6124" s="36" t="str">
        <f>IF($FH6124="","",SUM($FN6124:$FN$7000))</f>
        <v/>
      </c>
    </row>
    <row r="6125" spans="164:167">
      <c r="FH6125" s="29" t="str">
        <f t="shared" si="150"/>
        <v/>
      </c>
      <c r="FJ6125" s="36" t="str">
        <f>IF($FH6125="","",SUM($FN6125:$FN$7000))</f>
        <v/>
      </c>
      <c r="FK6125" s="36" t="str">
        <f>IF($FH6125="","",SUM($FN6125:$FN$7000))</f>
        <v/>
      </c>
    </row>
    <row r="6126" spans="164:167">
      <c r="FH6126" s="29" t="str">
        <f t="shared" si="150"/>
        <v/>
      </c>
      <c r="FJ6126" s="36" t="str">
        <f>IF($FH6126="","",SUM($FN6126:$FN$7000))</f>
        <v/>
      </c>
      <c r="FK6126" s="36" t="str">
        <f>IF($FH6126="","",SUM($FN6126:$FN$7000))</f>
        <v/>
      </c>
    </row>
    <row r="6127" spans="164:167">
      <c r="FH6127" s="29" t="str">
        <f t="shared" si="150"/>
        <v/>
      </c>
      <c r="FJ6127" s="36" t="str">
        <f>IF($FH6127="","",SUM($FN6127:$FN$7000))</f>
        <v/>
      </c>
      <c r="FK6127" s="36" t="str">
        <f>IF($FH6127="","",SUM($FN6127:$FN$7000))</f>
        <v/>
      </c>
    </row>
    <row r="6128" spans="164:167">
      <c r="FH6128" s="29" t="str">
        <f t="shared" si="150"/>
        <v/>
      </c>
      <c r="FJ6128" s="36" t="str">
        <f>IF($FH6128="","",SUM($FN6128:$FN$7000))</f>
        <v/>
      </c>
      <c r="FK6128" s="36" t="str">
        <f>IF($FH6128="","",SUM($FN6128:$FN$7000))</f>
        <v/>
      </c>
    </row>
    <row r="6129" spans="164:167">
      <c r="FH6129" s="29" t="str">
        <f t="shared" si="150"/>
        <v/>
      </c>
      <c r="FJ6129" s="36" t="str">
        <f>IF($FH6129="","",SUM($FN6129:$FN$7000))</f>
        <v/>
      </c>
      <c r="FK6129" s="36" t="str">
        <f>IF($FH6129="","",SUM($FN6129:$FN$7000))</f>
        <v/>
      </c>
    </row>
    <row r="6130" spans="164:167">
      <c r="FH6130" s="29" t="str">
        <f t="shared" si="150"/>
        <v/>
      </c>
      <c r="FJ6130" s="36" t="str">
        <f>IF($FH6130="","",SUM($FN6130:$FN$7000))</f>
        <v/>
      </c>
      <c r="FK6130" s="36" t="str">
        <f>IF($FH6130="","",SUM($FN6130:$FN$7000))</f>
        <v/>
      </c>
    </row>
    <row r="6131" spans="164:167">
      <c r="FH6131" s="29" t="str">
        <f t="shared" si="150"/>
        <v/>
      </c>
      <c r="FJ6131" s="36" t="str">
        <f>IF($FH6131="","",SUM($FN6131:$FN$7000))</f>
        <v/>
      </c>
      <c r="FK6131" s="36" t="str">
        <f>IF($FH6131="","",SUM($FN6131:$FN$7000))</f>
        <v/>
      </c>
    </row>
    <row r="6132" spans="164:167">
      <c r="FH6132" s="29" t="str">
        <f t="shared" si="150"/>
        <v/>
      </c>
      <c r="FJ6132" s="36" t="str">
        <f>IF($FH6132="","",SUM($FN6132:$FN$7000))</f>
        <v/>
      </c>
      <c r="FK6132" s="36" t="str">
        <f>IF($FH6132="","",SUM($FN6132:$FN$7000))</f>
        <v/>
      </c>
    </row>
    <row r="6133" spans="164:167">
      <c r="FH6133" s="29" t="str">
        <f t="shared" si="150"/>
        <v/>
      </c>
      <c r="FJ6133" s="36" t="str">
        <f>IF($FH6133="","",SUM($FN6133:$FN$7000))</f>
        <v/>
      </c>
      <c r="FK6133" s="36" t="str">
        <f>IF($FH6133="","",SUM($FN6133:$FN$7000))</f>
        <v/>
      </c>
    </row>
    <row r="6134" spans="164:167">
      <c r="FH6134" s="29" t="str">
        <f t="shared" si="150"/>
        <v/>
      </c>
      <c r="FJ6134" s="36" t="str">
        <f>IF($FH6134="","",SUM($FN6134:$FN$7000))</f>
        <v/>
      </c>
      <c r="FK6134" s="36" t="str">
        <f>IF($FH6134="","",SUM($FN6134:$FN$7000))</f>
        <v/>
      </c>
    </row>
    <row r="6135" spans="164:167">
      <c r="FH6135" s="29" t="str">
        <f t="shared" si="150"/>
        <v/>
      </c>
      <c r="FJ6135" s="36" t="str">
        <f>IF($FH6135="","",SUM($FN6135:$FN$7000))</f>
        <v/>
      </c>
      <c r="FK6135" s="36" t="str">
        <f>IF($FH6135="","",SUM($FN6135:$FN$7000))</f>
        <v/>
      </c>
    </row>
    <row r="6136" spans="164:167">
      <c r="FH6136" s="29" t="str">
        <f t="shared" si="150"/>
        <v/>
      </c>
      <c r="FJ6136" s="36" t="str">
        <f>IF($FH6136="","",SUM($FN6136:$FN$7000))</f>
        <v/>
      </c>
      <c r="FK6136" s="36" t="str">
        <f>IF($FH6136="","",SUM($FN6136:$FN$7000))</f>
        <v/>
      </c>
    </row>
    <row r="6137" spans="164:167">
      <c r="FH6137" s="29" t="str">
        <f t="shared" si="150"/>
        <v/>
      </c>
      <c r="FJ6137" s="36" t="str">
        <f>IF($FH6137="","",SUM($FN6137:$FN$7000))</f>
        <v/>
      </c>
      <c r="FK6137" s="36" t="str">
        <f>IF($FH6137="","",SUM($FN6137:$FN$7000))</f>
        <v/>
      </c>
    </row>
    <row r="6138" spans="164:167">
      <c r="FH6138" s="29" t="str">
        <f t="shared" si="150"/>
        <v/>
      </c>
      <c r="FJ6138" s="36" t="str">
        <f>IF($FH6138="","",SUM($FN6138:$FN$7000))</f>
        <v/>
      </c>
      <c r="FK6138" s="36" t="str">
        <f>IF($FH6138="","",SUM($FN6138:$FN$7000))</f>
        <v/>
      </c>
    </row>
    <row r="6139" spans="164:167">
      <c r="FH6139" s="29" t="str">
        <f t="shared" si="150"/>
        <v/>
      </c>
      <c r="FJ6139" s="36" t="str">
        <f>IF($FH6139="","",SUM($FN6139:$FN$7000))</f>
        <v/>
      </c>
      <c r="FK6139" s="36" t="str">
        <f>IF($FH6139="","",SUM($FN6139:$FN$7000))</f>
        <v/>
      </c>
    </row>
    <row r="6140" spans="164:167">
      <c r="FH6140" s="29" t="str">
        <f t="shared" si="150"/>
        <v/>
      </c>
      <c r="FJ6140" s="36" t="str">
        <f>IF($FH6140="","",SUM($FN6140:$FN$7000))</f>
        <v/>
      </c>
      <c r="FK6140" s="36" t="str">
        <f>IF($FH6140="","",SUM($FN6140:$FN$7000))</f>
        <v/>
      </c>
    </row>
    <row r="6141" spans="164:167">
      <c r="FH6141" s="29" t="str">
        <f t="shared" si="150"/>
        <v/>
      </c>
      <c r="FJ6141" s="36" t="str">
        <f>IF($FH6141="","",SUM($FN6141:$FN$7000))</f>
        <v/>
      </c>
      <c r="FK6141" s="36" t="str">
        <f>IF($FH6141="","",SUM($FN6141:$FN$7000))</f>
        <v/>
      </c>
    </row>
    <row r="6142" spans="164:167">
      <c r="FH6142" s="29" t="str">
        <f t="shared" si="150"/>
        <v/>
      </c>
      <c r="FJ6142" s="36" t="str">
        <f>IF($FH6142="","",SUM($FN6142:$FN$7000))</f>
        <v/>
      </c>
      <c r="FK6142" s="36" t="str">
        <f>IF($FH6142="","",SUM($FN6142:$FN$7000))</f>
        <v/>
      </c>
    </row>
    <row r="6143" spans="164:167">
      <c r="FH6143" s="29" t="str">
        <f t="shared" si="150"/>
        <v/>
      </c>
      <c r="FJ6143" s="36" t="str">
        <f>IF($FH6143="","",SUM($FN6143:$FN$7000))</f>
        <v/>
      </c>
      <c r="FK6143" s="36" t="str">
        <f>IF($FH6143="","",SUM($FN6143:$FN$7000))</f>
        <v/>
      </c>
    </row>
    <row r="6144" spans="164:167">
      <c r="FH6144" s="29" t="str">
        <f t="shared" si="150"/>
        <v/>
      </c>
      <c r="FJ6144" s="36" t="str">
        <f>IF($FH6144="","",SUM($FN6144:$FN$7000))</f>
        <v/>
      </c>
      <c r="FK6144" s="36" t="str">
        <f>IF($FH6144="","",SUM($FN6144:$FN$7000))</f>
        <v/>
      </c>
    </row>
    <row r="6145" spans="164:167">
      <c r="FH6145" s="29" t="str">
        <f t="shared" si="150"/>
        <v/>
      </c>
      <c r="FJ6145" s="36" t="str">
        <f>IF($FH6145="","",SUM($FN6145:$FN$7000))</f>
        <v/>
      </c>
      <c r="FK6145" s="36" t="str">
        <f>IF($FH6145="","",SUM($FN6145:$FN$7000))</f>
        <v/>
      </c>
    </row>
    <row r="6146" spans="164:167">
      <c r="FH6146" s="29" t="str">
        <f t="shared" si="150"/>
        <v/>
      </c>
      <c r="FJ6146" s="36" t="str">
        <f>IF($FH6146="","",SUM($FN6146:$FN$7000))</f>
        <v/>
      </c>
      <c r="FK6146" s="36" t="str">
        <f>IF($FH6146="","",SUM($FN6146:$FN$7000))</f>
        <v/>
      </c>
    </row>
    <row r="6147" spans="164:167">
      <c r="FH6147" s="29" t="str">
        <f t="shared" si="150"/>
        <v/>
      </c>
      <c r="FJ6147" s="36" t="str">
        <f>IF($FH6147="","",SUM($FN6147:$FN$7000))</f>
        <v/>
      </c>
      <c r="FK6147" s="36" t="str">
        <f>IF($FH6147="","",SUM($FN6147:$FN$7000))</f>
        <v/>
      </c>
    </row>
    <row r="6148" spans="164:167">
      <c r="FH6148" s="29" t="str">
        <f t="shared" si="150"/>
        <v/>
      </c>
      <c r="FJ6148" s="36" t="str">
        <f>IF($FH6148="","",SUM($FN6148:$FN$7000))</f>
        <v/>
      </c>
      <c r="FK6148" s="36" t="str">
        <f>IF($FH6148="","",SUM($FN6148:$FN$7000))</f>
        <v/>
      </c>
    </row>
    <row r="6149" spans="164:167">
      <c r="FH6149" s="29" t="str">
        <f t="shared" si="150"/>
        <v/>
      </c>
      <c r="FJ6149" s="36" t="str">
        <f>IF($FH6149="","",SUM($FN6149:$FN$7000))</f>
        <v/>
      </c>
      <c r="FK6149" s="36" t="str">
        <f>IF($FH6149="","",SUM($FN6149:$FN$7000))</f>
        <v/>
      </c>
    </row>
    <row r="6150" spans="164:167">
      <c r="FH6150" s="29" t="str">
        <f t="shared" si="150"/>
        <v/>
      </c>
      <c r="FJ6150" s="36" t="str">
        <f>IF($FH6150="","",SUM($FN6150:$FN$7000))</f>
        <v/>
      </c>
      <c r="FK6150" s="36" t="str">
        <f>IF($FH6150="","",SUM($FN6150:$FN$7000))</f>
        <v/>
      </c>
    </row>
    <row r="6151" spans="164:167">
      <c r="FH6151" s="29" t="str">
        <f t="shared" si="150"/>
        <v/>
      </c>
      <c r="FJ6151" s="36" t="str">
        <f>IF($FH6151="","",SUM($FN6151:$FN$7000))</f>
        <v/>
      </c>
      <c r="FK6151" s="36" t="str">
        <f>IF($FH6151="","",SUM($FN6151:$FN$7000))</f>
        <v/>
      </c>
    </row>
    <row r="6152" spans="164:167">
      <c r="FH6152" s="29" t="str">
        <f t="shared" si="150"/>
        <v/>
      </c>
      <c r="FJ6152" s="36" t="str">
        <f>IF($FH6152="","",SUM($FN6152:$FN$7000))</f>
        <v/>
      </c>
      <c r="FK6152" s="36" t="str">
        <f>IF($FH6152="","",SUM($FN6152:$FN$7000))</f>
        <v/>
      </c>
    </row>
    <row r="6153" spans="164:167">
      <c r="FH6153" s="29" t="str">
        <f t="shared" si="150"/>
        <v/>
      </c>
      <c r="FJ6153" s="36" t="str">
        <f>IF($FH6153="","",SUM($FN6153:$FN$7000))</f>
        <v/>
      </c>
      <c r="FK6153" s="36" t="str">
        <f>IF($FH6153="","",SUM($FN6153:$FN$7000))</f>
        <v/>
      </c>
    </row>
    <row r="6154" spans="164:167">
      <c r="FH6154" s="29" t="str">
        <f t="shared" si="150"/>
        <v/>
      </c>
      <c r="FJ6154" s="36" t="str">
        <f>IF($FH6154="","",SUM($FN6154:$FN$7000))</f>
        <v/>
      </c>
      <c r="FK6154" s="36" t="str">
        <f>IF($FH6154="","",SUM($FN6154:$FN$7000))</f>
        <v/>
      </c>
    </row>
    <row r="6155" spans="164:167">
      <c r="FH6155" s="29" t="str">
        <f t="shared" ref="FH6155:FH6218" si="151">IF(FL6155="","",FL6155)</f>
        <v/>
      </c>
      <c r="FJ6155" s="36" t="str">
        <f>IF($FH6155="","",SUM($FN6155:$FN$7000))</f>
        <v/>
      </c>
      <c r="FK6155" s="36" t="str">
        <f>IF($FH6155="","",SUM($FN6155:$FN$7000))</f>
        <v/>
      </c>
    </row>
    <row r="6156" spans="164:167">
      <c r="FH6156" s="29" t="str">
        <f t="shared" si="151"/>
        <v/>
      </c>
      <c r="FJ6156" s="36" t="str">
        <f>IF($FH6156="","",SUM($FN6156:$FN$7000))</f>
        <v/>
      </c>
      <c r="FK6156" s="36" t="str">
        <f>IF($FH6156="","",SUM($FN6156:$FN$7000))</f>
        <v/>
      </c>
    </row>
    <row r="6157" spans="164:167">
      <c r="FH6157" s="29" t="str">
        <f t="shared" si="151"/>
        <v/>
      </c>
      <c r="FJ6157" s="36" t="str">
        <f>IF($FH6157="","",SUM($FN6157:$FN$7000))</f>
        <v/>
      </c>
      <c r="FK6157" s="36" t="str">
        <f>IF($FH6157="","",SUM($FN6157:$FN$7000))</f>
        <v/>
      </c>
    </row>
    <row r="6158" spans="164:167">
      <c r="FH6158" s="29" t="str">
        <f t="shared" si="151"/>
        <v/>
      </c>
      <c r="FJ6158" s="36" t="str">
        <f>IF($FH6158="","",SUM($FN6158:$FN$7000))</f>
        <v/>
      </c>
      <c r="FK6158" s="36" t="str">
        <f>IF($FH6158="","",SUM($FN6158:$FN$7000))</f>
        <v/>
      </c>
    </row>
    <row r="6159" spans="164:167">
      <c r="FH6159" s="29" t="str">
        <f t="shared" si="151"/>
        <v/>
      </c>
      <c r="FJ6159" s="36" t="str">
        <f>IF($FH6159="","",SUM($FN6159:$FN$7000))</f>
        <v/>
      </c>
      <c r="FK6159" s="36" t="str">
        <f>IF($FH6159="","",SUM($FN6159:$FN$7000))</f>
        <v/>
      </c>
    </row>
    <row r="6160" spans="164:167">
      <c r="FH6160" s="29" t="str">
        <f t="shared" si="151"/>
        <v/>
      </c>
      <c r="FJ6160" s="36" t="str">
        <f>IF($FH6160="","",SUM($FN6160:$FN$7000))</f>
        <v/>
      </c>
      <c r="FK6160" s="36" t="str">
        <f>IF($FH6160="","",SUM($FN6160:$FN$7000))</f>
        <v/>
      </c>
    </row>
    <row r="6161" spans="164:167">
      <c r="FH6161" s="29" t="str">
        <f t="shared" si="151"/>
        <v/>
      </c>
      <c r="FJ6161" s="36" t="str">
        <f>IF($FH6161="","",SUM($FN6161:$FN$7000))</f>
        <v/>
      </c>
      <c r="FK6161" s="36" t="str">
        <f>IF($FH6161="","",SUM($FN6161:$FN$7000))</f>
        <v/>
      </c>
    </row>
    <row r="6162" spans="164:167">
      <c r="FH6162" s="29" t="str">
        <f t="shared" si="151"/>
        <v/>
      </c>
      <c r="FJ6162" s="36" t="str">
        <f>IF($FH6162="","",SUM($FN6162:$FN$7000))</f>
        <v/>
      </c>
      <c r="FK6162" s="36" t="str">
        <f>IF($FH6162="","",SUM($FN6162:$FN$7000))</f>
        <v/>
      </c>
    </row>
    <row r="6163" spans="164:167">
      <c r="FH6163" s="29" t="str">
        <f t="shared" si="151"/>
        <v/>
      </c>
      <c r="FJ6163" s="36" t="str">
        <f>IF($FH6163="","",SUM($FN6163:$FN$7000))</f>
        <v/>
      </c>
      <c r="FK6163" s="36" t="str">
        <f>IF($FH6163="","",SUM($FN6163:$FN$7000))</f>
        <v/>
      </c>
    </row>
    <row r="6164" spans="164:167">
      <c r="FH6164" s="29" t="str">
        <f t="shared" si="151"/>
        <v/>
      </c>
      <c r="FJ6164" s="36" t="str">
        <f>IF($FH6164="","",SUM($FN6164:$FN$7000))</f>
        <v/>
      </c>
      <c r="FK6164" s="36" t="str">
        <f>IF($FH6164="","",SUM($FN6164:$FN$7000))</f>
        <v/>
      </c>
    </row>
    <row r="6165" spans="164:167">
      <c r="FH6165" s="29" t="str">
        <f t="shared" si="151"/>
        <v/>
      </c>
      <c r="FJ6165" s="36" t="str">
        <f>IF($FH6165="","",SUM($FN6165:$FN$7000))</f>
        <v/>
      </c>
      <c r="FK6165" s="36" t="str">
        <f>IF($FH6165="","",SUM($FN6165:$FN$7000))</f>
        <v/>
      </c>
    </row>
    <row r="6166" spans="164:167">
      <c r="FH6166" s="29" t="str">
        <f t="shared" si="151"/>
        <v/>
      </c>
      <c r="FJ6166" s="36" t="str">
        <f>IF($FH6166="","",SUM($FN6166:$FN$7000))</f>
        <v/>
      </c>
      <c r="FK6166" s="36" t="str">
        <f>IF($FH6166="","",SUM($FN6166:$FN$7000))</f>
        <v/>
      </c>
    </row>
    <row r="6167" spans="164:167">
      <c r="FH6167" s="29" t="str">
        <f t="shared" si="151"/>
        <v/>
      </c>
      <c r="FJ6167" s="36" t="str">
        <f>IF($FH6167="","",SUM($FN6167:$FN$7000))</f>
        <v/>
      </c>
      <c r="FK6167" s="36" t="str">
        <f>IF($FH6167="","",SUM($FN6167:$FN$7000))</f>
        <v/>
      </c>
    </row>
    <row r="6168" spans="164:167">
      <c r="FH6168" s="29" t="str">
        <f t="shared" si="151"/>
        <v/>
      </c>
      <c r="FJ6168" s="36" t="str">
        <f>IF($FH6168="","",SUM($FN6168:$FN$7000))</f>
        <v/>
      </c>
      <c r="FK6168" s="36" t="str">
        <f>IF($FH6168="","",SUM($FN6168:$FN$7000))</f>
        <v/>
      </c>
    </row>
    <row r="6169" spans="164:167">
      <c r="FH6169" s="29" t="str">
        <f t="shared" si="151"/>
        <v/>
      </c>
      <c r="FJ6169" s="36" t="str">
        <f>IF($FH6169="","",SUM($FN6169:$FN$7000))</f>
        <v/>
      </c>
      <c r="FK6169" s="36" t="str">
        <f>IF($FH6169="","",SUM($FN6169:$FN$7000))</f>
        <v/>
      </c>
    </row>
    <row r="6170" spans="164:167">
      <c r="FH6170" s="29" t="str">
        <f t="shared" si="151"/>
        <v/>
      </c>
      <c r="FJ6170" s="36" t="str">
        <f>IF($FH6170="","",SUM($FN6170:$FN$7000))</f>
        <v/>
      </c>
      <c r="FK6170" s="36" t="str">
        <f>IF($FH6170="","",SUM($FN6170:$FN$7000))</f>
        <v/>
      </c>
    </row>
    <row r="6171" spans="164:167">
      <c r="FH6171" s="29" t="str">
        <f t="shared" si="151"/>
        <v/>
      </c>
      <c r="FJ6171" s="36" t="str">
        <f>IF($FH6171="","",SUM($FN6171:$FN$7000))</f>
        <v/>
      </c>
      <c r="FK6171" s="36" t="str">
        <f>IF($FH6171="","",SUM($FN6171:$FN$7000))</f>
        <v/>
      </c>
    </row>
    <row r="6172" spans="164:167">
      <c r="FH6172" s="29" t="str">
        <f t="shared" si="151"/>
        <v/>
      </c>
      <c r="FJ6172" s="36" t="str">
        <f>IF($FH6172="","",SUM($FN6172:$FN$7000))</f>
        <v/>
      </c>
      <c r="FK6172" s="36" t="str">
        <f>IF($FH6172="","",SUM($FN6172:$FN$7000))</f>
        <v/>
      </c>
    </row>
    <row r="6173" spans="164:167">
      <c r="FH6173" s="29" t="str">
        <f t="shared" si="151"/>
        <v/>
      </c>
      <c r="FJ6173" s="36" t="str">
        <f>IF($FH6173="","",SUM($FN6173:$FN$7000))</f>
        <v/>
      </c>
      <c r="FK6173" s="36" t="str">
        <f>IF($FH6173="","",SUM($FN6173:$FN$7000))</f>
        <v/>
      </c>
    </row>
    <row r="6174" spans="164:167">
      <c r="FH6174" s="29" t="str">
        <f t="shared" si="151"/>
        <v/>
      </c>
      <c r="FJ6174" s="36" t="str">
        <f>IF($FH6174="","",SUM($FN6174:$FN$7000))</f>
        <v/>
      </c>
      <c r="FK6174" s="36" t="str">
        <f>IF($FH6174="","",SUM($FN6174:$FN$7000))</f>
        <v/>
      </c>
    </row>
    <row r="6175" spans="164:167">
      <c r="FH6175" s="29" t="str">
        <f t="shared" si="151"/>
        <v/>
      </c>
      <c r="FJ6175" s="36" t="str">
        <f>IF($FH6175="","",SUM($FN6175:$FN$7000))</f>
        <v/>
      </c>
      <c r="FK6175" s="36" t="str">
        <f>IF($FH6175="","",SUM($FN6175:$FN$7000))</f>
        <v/>
      </c>
    </row>
    <row r="6176" spans="164:167">
      <c r="FH6176" s="29" t="str">
        <f t="shared" si="151"/>
        <v/>
      </c>
      <c r="FJ6176" s="36" t="str">
        <f>IF($FH6176="","",SUM($FN6176:$FN$7000))</f>
        <v/>
      </c>
      <c r="FK6176" s="36" t="str">
        <f>IF($FH6176="","",SUM($FN6176:$FN$7000))</f>
        <v/>
      </c>
    </row>
    <row r="6177" spans="164:167">
      <c r="FH6177" s="29" t="str">
        <f t="shared" si="151"/>
        <v/>
      </c>
      <c r="FJ6177" s="36" t="str">
        <f>IF($FH6177="","",SUM($FN6177:$FN$7000))</f>
        <v/>
      </c>
      <c r="FK6177" s="36" t="str">
        <f>IF($FH6177="","",SUM($FN6177:$FN$7000))</f>
        <v/>
      </c>
    </row>
    <row r="6178" spans="164:167">
      <c r="FH6178" s="29" t="str">
        <f t="shared" si="151"/>
        <v/>
      </c>
      <c r="FJ6178" s="36" t="str">
        <f>IF($FH6178="","",SUM($FN6178:$FN$7000))</f>
        <v/>
      </c>
      <c r="FK6178" s="36" t="str">
        <f>IF($FH6178="","",SUM($FN6178:$FN$7000))</f>
        <v/>
      </c>
    </row>
    <row r="6179" spans="164:167">
      <c r="FH6179" s="29" t="str">
        <f t="shared" si="151"/>
        <v/>
      </c>
      <c r="FJ6179" s="36" t="str">
        <f>IF($FH6179="","",SUM($FN6179:$FN$7000))</f>
        <v/>
      </c>
      <c r="FK6179" s="36" t="str">
        <f>IF($FH6179="","",SUM($FN6179:$FN$7000))</f>
        <v/>
      </c>
    </row>
    <row r="6180" spans="164:167">
      <c r="FH6180" s="29" t="str">
        <f t="shared" si="151"/>
        <v/>
      </c>
      <c r="FJ6180" s="36" t="str">
        <f>IF($FH6180="","",SUM($FN6180:$FN$7000))</f>
        <v/>
      </c>
      <c r="FK6180" s="36" t="str">
        <f>IF($FH6180="","",SUM($FN6180:$FN$7000))</f>
        <v/>
      </c>
    </row>
    <row r="6181" spans="164:167">
      <c r="FH6181" s="29" t="str">
        <f t="shared" si="151"/>
        <v/>
      </c>
      <c r="FJ6181" s="36" t="str">
        <f>IF($FH6181="","",SUM($FN6181:$FN$7000))</f>
        <v/>
      </c>
      <c r="FK6181" s="36" t="str">
        <f>IF($FH6181="","",SUM($FN6181:$FN$7000))</f>
        <v/>
      </c>
    </row>
    <row r="6182" spans="164:167">
      <c r="FH6182" s="29" t="str">
        <f t="shared" si="151"/>
        <v/>
      </c>
      <c r="FJ6182" s="36" t="str">
        <f>IF($FH6182="","",SUM($FN6182:$FN$7000))</f>
        <v/>
      </c>
      <c r="FK6182" s="36" t="str">
        <f>IF($FH6182="","",SUM($FN6182:$FN$7000))</f>
        <v/>
      </c>
    </row>
    <row r="6183" spans="164:167">
      <c r="FH6183" s="29" t="str">
        <f t="shared" si="151"/>
        <v/>
      </c>
      <c r="FJ6183" s="36" t="str">
        <f>IF($FH6183="","",SUM($FN6183:$FN$7000))</f>
        <v/>
      </c>
      <c r="FK6183" s="36" t="str">
        <f>IF($FH6183="","",SUM($FN6183:$FN$7000))</f>
        <v/>
      </c>
    </row>
    <row r="6184" spans="164:167">
      <c r="FH6184" s="29" t="str">
        <f t="shared" si="151"/>
        <v/>
      </c>
      <c r="FJ6184" s="36" t="str">
        <f>IF($FH6184="","",SUM($FN6184:$FN$7000))</f>
        <v/>
      </c>
      <c r="FK6184" s="36" t="str">
        <f>IF($FH6184="","",SUM($FN6184:$FN$7000))</f>
        <v/>
      </c>
    </row>
    <row r="6185" spans="164:167">
      <c r="FH6185" s="29" t="str">
        <f t="shared" si="151"/>
        <v/>
      </c>
      <c r="FJ6185" s="36" t="str">
        <f>IF($FH6185="","",SUM($FN6185:$FN$7000))</f>
        <v/>
      </c>
      <c r="FK6185" s="36" t="str">
        <f>IF($FH6185="","",SUM($FN6185:$FN$7000))</f>
        <v/>
      </c>
    </row>
    <row r="6186" spans="164:167">
      <c r="FH6186" s="29" t="str">
        <f t="shared" si="151"/>
        <v/>
      </c>
      <c r="FJ6186" s="36" t="str">
        <f>IF($FH6186="","",SUM($FN6186:$FN$7000))</f>
        <v/>
      </c>
      <c r="FK6186" s="36" t="str">
        <f>IF($FH6186="","",SUM($FN6186:$FN$7000))</f>
        <v/>
      </c>
    </row>
    <row r="6187" spans="164:167">
      <c r="FH6187" s="29" t="str">
        <f t="shared" si="151"/>
        <v/>
      </c>
      <c r="FJ6187" s="36" t="str">
        <f>IF($FH6187="","",SUM($FN6187:$FN$7000))</f>
        <v/>
      </c>
      <c r="FK6187" s="36" t="str">
        <f>IF($FH6187="","",SUM($FN6187:$FN$7000))</f>
        <v/>
      </c>
    </row>
    <row r="6188" spans="164:167">
      <c r="FH6188" s="29" t="str">
        <f t="shared" si="151"/>
        <v/>
      </c>
      <c r="FJ6188" s="36" t="str">
        <f>IF($FH6188="","",SUM($FN6188:$FN$7000))</f>
        <v/>
      </c>
      <c r="FK6188" s="36" t="str">
        <f>IF($FH6188="","",SUM($FN6188:$FN$7000))</f>
        <v/>
      </c>
    </row>
    <row r="6189" spans="164:167">
      <c r="FH6189" s="29" t="str">
        <f t="shared" si="151"/>
        <v/>
      </c>
      <c r="FJ6189" s="36" t="str">
        <f>IF($FH6189="","",SUM($FN6189:$FN$7000))</f>
        <v/>
      </c>
      <c r="FK6189" s="36" t="str">
        <f>IF($FH6189="","",SUM($FN6189:$FN$7000))</f>
        <v/>
      </c>
    </row>
    <row r="6190" spans="164:167">
      <c r="FH6190" s="29" t="str">
        <f t="shared" si="151"/>
        <v/>
      </c>
      <c r="FJ6190" s="36" t="str">
        <f>IF($FH6190="","",SUM($FN6190:$FN$7000))</f>
        <v/>
      </c>
      <c r="FK6190" s="36" t="str">
        <f>IF($FH6190="","",SUM($FN6190:$FN$7000))</f>
        <v/>
      </c>
    </row>
    <row r="6191" spans="164:167">
      <c r="FH6191" s="29" t="str">
        <f t="shared" si="151"/>
        <v/>
      </c>
      <c r="FJ6191" s="36" t="str">
        <f>IF($FH6191="","",SUM($FN6191:$FN$7000))</f>
        <v/>
      </c>
      <c r="FK6191" s="36" t="str">
        <f>IF($FH6191="","",SUM($FN6191:$FN$7000))</f>
        <v/>
      </c>
    </row>
    <row r="6192" spans="164:167">
      <c r="FH6192" s="29" t="str">
        <f t="shared" si="151"/>
        <v/>
      </c>
      <c r="FJ6192" s="36" t="str">
        <f>IF($FH6192="","",SUM($FN6192:$FN$7000))</f>
        <v/>
      </c>
      <c r="FK6192" s="36" t="str">
        <f>IF($FH6192="","",SUM($FN6192:$FN$7000))</f>
        <v/>
      </c>
    </row>
    <row r="6193" spans="164:167">
      <c r="FH6193" s="29" t="str">
        <f t="shared" si="151"/>
        <v/>
      </c>
      <c r="FJ6193" s="36" t="str">
        <f>IF($FH6193="","",SUM($FN6193:$FN$7000))</f>
        <v/>
      </c>
      <c r="FK6193" s="36" t="str">
        <f>IF($FH6193="","",SUM($FN6193:$FN$7000))</f>
        <v/>
      </c>
    </row>
    <row r="6194" spans="164:167">
      <c r="FH6194" s="29" t="str">
        <f t="shared" si="151"/>
        <v/>
      </c>
      <c r="FJ6194" s="36" t="str">
        <f>IF($FH6194="","",SUM($FN6194:$FN$7000))</f>
        <v/>
      </c>
      <c r="FK6194" s="36" t="str">
        <f>IF($FH6194="","",SUM($FN6194:$FN$7000))</f>
        <v/>
      </c>
    </row>
    <row r="6195" spans="164:167">
      <c r="FH6195" s="29" t="str">
        <f t="shared" si="151"/>
        <v/>
      </c>
      <c r="FJ6195" s="36" t="str">
        <f>IF($FH6195="","",SUM($FN6195:$FN$7000))</f>
        <v/>
      </c>
      <c r="FK6195" s="36" t="str">
        <f>IF($FH6195="","",SUM($FN6195:$FN$7000))</f>
        <v/>
      </c>
    </row>
    <row r="6196" spans="164:167">
      <c r="FH6196" s="29" t="str">
        <f t="shared" si="151"/>
        <v/>
      </c>
      <c r="FJ6196" s="36" t="str">
        <f>IF($FH6196="","",SUM($FN6196:$FN$7000))</f>
        <v/>
      </c>
      <c r="FK6196" s="36" t="str">
        <f>IF($FH6196="","",SUM($FN6196:$FN$7000))</f>
        <v/>
      </c>
    </row>
    <row r="6197" spans="164:167">
      <c r="FH6197" s="29" t="str">
        <f t="shared" si="151"/>
        <v/>
      </c>
      <c r="FJ6197" s="36" t="str">
        <f>IF($FH6197="","",SUM($FN6197:$FN$7000))</f>
        <v/>
      </c>
      <c r="FK6197" s="36" t="str">
        <f>IF($FH6197="","",SUM($FN6197:$FN$7000))</f>
        <v/>
      </c>
    </row>
    <row r="6198" spans="164:167">
      <c r="FH6198" s="29" t="str">
        <f t="shared" si="151"/>
        <v/>
      </c>
      <c r="FJ6198" s="36" t="str">
        <f>IF($FH6198="","",SUM($FN6198:$FN$7000))</f>
        <v/>
      </c>
      <c r="FK6198" s="36" t="str">
        <f>IF($FH6198="","",SUM($FN6198:$FN$7000))</f>
        <v/>
      </c>
    </row>
    <row r="6199" spans="164:167">
      <c r="FH6199" s="29" t="str">
        <f t="shared" si="151"/>
        <v/>
      </c>
      <c r="FJ6199" s="36" t="str">
        <f>IF($FH6199="","",SUM($FN6199:$FN$7000))</f>
        <v/>
      </c>
      <c r="FK6199" s="36" t="str">
        <f>IF($FH6199="","",SUM($FN6199:$FN$7000))</f>
        <v/>
      </c>
    </row>
    <row r="6200" spans="164:167">
      <c r="FH6200" s="29" t="str">
        <f t="shared" si="151"/>
        <v/>
      </c>
      <c r="FJ6200" s="36" t="str">
        <f>IF($FH6200="","",SUM($FN6200:$FN$7000))</f>
        <v/>
      </c>
      <c r="FK6200" s="36" t="str">
        <f>IF($FH6200="","",SUM($FN6200:$FN$7000))</f>
        <v/>
      </c>
    </row>
    <row r="6201" spans="164:167">
      <c r="FH6201" s="29" t="str">
        <f t="shared" si="151"/>
        <v/>
      </c>
      <c r="FJ6201" s="36" t="str">
        <f>IF($FH6201="","",SUM($FN6201:$FN$7000))</f>
        <v/>
      </c>
      <c r="FK6201" s="36" t="str">
        <f>IF($FH6201="","",SUM($FN6201:$FN$7000))</f>
        <v/>
      </c>
    </row>
    <row r="6202" spans="164:167">
      <c r="FH6202" s="29" t="str">
        <f t="shared" si="151"/>
        <v/>
      </c>
      <c r="FJ6202" s="36" t="str">
        <f>IF($FH6202="","",SUM($FN6202:$FN$7000))</f>
        <v/>
      </c>
      <c r="FK6202" s="36" t="str">
        <f>IF($FH6202="","",SUM($FN6202:$FN$7000))</f>
        <v/>
      </c>
    </row>
    <row r="6203" spans="164:167">
      <c r="FH6203" s="29" t="str">
        <f t="shared" si="151"/>
        <v/>
      </c>
      <c r="FJ6203" s="36" t="str">
        <f>IF($FH6203="","",SUM($FN6203:$FN$7000))</f>
        <v/>
      </c>
      <c r="FK6203" s="36" t="str">
        <f>IF($FH6203="","",SUM($FN6203:$FN$7000))</f>
        <v/>
      </c>
    </row>
    <row r="6204" spans="164:167">
      <c r="FH6204" s="29" t="str">
        <f t="shared" si="151"/>
        <v/>
      </c>
      <c r="FJ6204" s="36" t="str">
        <f>IF($FH6204="","",SUM($FN6204:$FN$7000))</f>
        <v/>
      </c>
      <c r="FK6204" s="36" t="str">
        <f>IF($FH6204="","",SUM($FN6204:$FN$7000))</f>
        <v/>
      </c>
    </row>
    <row r="6205" spans="164:167">
      <c r="FH6205" s="29" t="str">
        <f t="shared" si="151"/>
        <v/>
      </c>
      <c r="FJ6205" s="36" t="str">
        <f>IF($FH6205="","",SUM($FN6205:$FN$7000))</f>
        <v/>
      </c>
      <c r="FK6205" s="36" t="str">
        <f>IF($FH6205="","",SUM($FN6205:$FN$7000))</f>
        <v/>
      </c>
    </row>
    <row r="6206" spans="164:167">
      <c r="FH6206" s="29" t="str">
        <f t="shared" si="151"/>
        <v/>
      </c>
      <c r="FJ6206" s="36" t="str">
        <f>IF($FH6206="","",SUM($FN6206:$FN$7000))</f>
        <v/>
      </c>
      <c r="FK6206" s="36" t="str">
        <f>IF($FH6206="","",SUM($FN6206:$FN$7000))</f>
        <v/>
      </c>
    </row>
    <row r="6207" spans="164:167">
      <c r="FH6207" s="29" t="str">
        <f t="shared" si="151"/>
        <v/>
      </c>
      <c r="FJ6207" s="36" t="str">
        <f>IF($FH6207="","",SUM($FN6207:$FN$7000))</f>
        <v/>
      </c>
      <c r="FK6207" s="36" t="str">
        <f>IF($FH6207="","",SUM($FN6207:$FN$7000))</f>
        <v/>
      </c>
    </row>
    <row r="6208" spans="164:167">
      <c r="FH6208" s="29" t="str">
        <f t="shared" si="151"/>
        <v/>
      </c>
      <c r="FJ6208" s="36" t="str">
        <f>IF($FH6208="","",SUM($FN6208:$FN$7000))</f>
        <v/>
      </c>
      <c r="FK6208" s="36" t="str">
        <f>IF($FH6208="","",SUM($FN6208:$FN$7000))</f>
        <v/>
      </c>
    </row>
    <row r="6209" spans="164:167">
      <c r="FH6209" s="29" t="str">
        <f t="shared" si="151"/>
        <v/>
      </c>
      <c r="FJ6209" s="36" t="str">
        <f>IF($FH6209="","",SUM($FN6209:$FN$7000))</f>
        <v/>
      </c>
      <c r="FK6209" s="36" t="str">
        <f>IF($FH6209="","",SUM($FN6209:$FN$7000))</f>
        <v/>
      </c>
    </row>
    <row r="6210" spans="164:167">
      <c r="FH6210" s="29" t="str">
        <f t="shared" si="151"/>
        <v/>
      </c>
      <c r="FJ6210" s="36" t="str">
        <f>IF($FH6210="","",SUM($FN6210:$FN$7000))</f>
        <v/>
      </c>
      <c r="FK6210" s="36" t="str">
        <f>IF($FH6210="","",SUM($FN6210:$FN$7000))</f>
        <v/>
      </c>
    </row>
    <row r="6211" spans="164:167">
      <c r="FH6211" s="29" t="str">
        <f t="shared" si="151"/>
        <v/>
      </c>
      <c r="FJ6211" s="36" t="str">
        <f>IF($FH6211="","",SUM($FN6211:$FN$7000))</f>
        <v/>
      </c>
      <c r="FK6211" s="36" t="str">
        <f>IF($FH6211="","",SUM($FN6211:$FN$7000))</f>
        <v/>
      </c>
    </row>
    <row r="6212" spans="164:167">
      <c r="FH6212" s="29" t="str">
        <f t="shared" si="151"/>
        <v/>
      </c>
      <c r="FJ6212" s="36" t="str">
        <f>IF($FH6212="","",SUM($FN6212:$FN$7000))</f>
        <v/>
      </c>
      <c r="FK6212" s="36" t="str">
        <f>IF($FH6212="","",SUM($FN6212:$FN$7000))</f>
        <v/>
      </c>
    </row>
    <row r="6213" spans="164:167">
      <c r="FH6213" s="29" t="str">
        <f t="shared" si="151"/>
        <v/>
      </c>
      <c r="FJ6213" s="36" t="str">
        <f>IF($FH6213="","",SUM($FN6213:$FN$7000))</f>
        <v/>
      </c>
      <c r="FK6213" s="36" t="str">
        <f>IF($FH6213="","",SUM($FN6213:$FN$7000))</f>
        <v/>
      </c>
    </row>
    <row r="6214" spans="164:167">
      <c r="FH6214" s="29" t="str">
        <f t="shared" si="151"/>
        <v/>
      </c>
      <c r="FJ6214" s="36" t="str">
        <f>IF($FH6214="","",SUM($FN6214:$FN$7000))</f>
        <v/>
      </c>
      <c r="FK6214" s="36" t="str">
        <f>IF($FH6214="","",SUM($FN6214:$FN$7000))</f>
        <v/>
      </c>
    </row>
    <row r="6215" spans="164:167">
      <c r="FH6215" s="29" t="str">
        <f t="shared" si="151"/>
        <v/>
      </c>
      <c r="FJ6215" s="36" t="str">
        <f>IF($FH6215="","",SUM($FN6215:$FN$7000))</f>
        <v/>
      </c>
      <c r="FK6215" s="36" t="str">
        <f>IF($FH6215="","",SUM($FN6215:$FN$7000))</f>
        <v/>
      </c>
    </row>
    <row r="6216" spans="164:167">
      <c r="FH6216" s="29" t="str">
        <f t="shared" si="151"/>
        <v/>
      </c>
      <c r="FJ6216" s="36" t="str">
        <f>IF($FH6216="","",SUM($FN6216:$FN$7000))</f>
        <v/>
      </c>
      <c r="FK6216" s="36" t="str">
        <f>IF($FH6216="","",SUM($FN6216:$FN$7000))</f>
        <v/>
      </c>
    </row>
    <row r="6217" spans="164:167">
      <c r="FH6217" s="29" t="str">
        <f t="shared" si="151"/>
        <v/>
      </c>
      <c r="FJ6217" s="36" t="str">
        <f>IF($FH6217="","",SUM($FN6217:$FN$7000))</f>
        <v/>
      </c>
      <c r="FK6217" s="36" t="str">
        <f>IF($FH6217="","",SUM($FN6217:$FN$7000))</f>
        <v/>
      </c>
    </row>
    <row r="6218" spans="164:167">
      <c r="FH6218" s="29" t="str">
        <f t="shared" si="151"/>
        <v/>
      </c>
      <c r="FJ6218" s="36" t="str">
        <f>IF($FH6218="","",SUM($FN6218:$FN$7000))</f>
        <v/>
      </c>
      <c r="FK6218" s="36" t="str">
        <f>IF($FH6218="","",SUM($FN6218:$FN$7000))</f>
        <v/>
      </c>
    </row>
    <row r="6219" spans="164:167">
      <c r="FH6219" s="29" t="str">
        <f t="shared" ref="FH6219:FH6282" si="152">IF(FL6219="","",FL6219)</f>
        <v/>
      </c>
      <c r="FJ6219" s="36" t="str">
        <f>IF($FH6219="","",SUM($FN6219:$FN$7000))</f>
        <v/>
      </c>
      <c r="FK6219" s="36" t="str">
        <f>IF($FH6219="","",SUM($FN6219:$FN$7000))</f>
        <v/>
      </c>
    </row>
    <row r="6220" spans="164:167">
      <c r="FH6220" s="29" t="str">
        <f t="shared" si="152"/>
        <v/>
      </c>
      <c r="FJ6220" s="36" t="str">
        <f>IF($FH6220="","",SUM($FN6220:$FN$7000))</f>
        <v/>
      </c>
      <c r="FK6220" s="36" t="str">
        <f>IF($FH6220="","",SUM($FN6220:$FN$7000))</f>
        <v/>
      </c>
    </row>
    <row r="6221" spans="164:167">
      <c r="FH6221" s="29" t="str">
        <f t="shared" si="152"/>
        <v/>
      </c>
      <c r="FJ6221" s="36" t="str">
        <f>IF($FH6221="","",SUM($FN6221:$FN$7000))</f>
        <v/>
      </c>
      <c r="FK6221" s="36" t="str">
        <f>IF($FH6221="","",SUM($FN6221:$FN$7000))</f>
        <v/>
      </c>
    </row>
    <row r="6222" spans="164:167">
      <c r="FH6222" s="29" t="str">
        <f t="shared" si="152"/>
        <v/>
      </c>
      <c r="FJ6222" s="36" t="str">
        <f>IF($FH6222="","",SUM($FN6222:$FN$7000))</f>
        <v/>
      </c>
      <c r="FK6222" s="36" t="str">
        <f>IF($FH6222="","",SUM($FN6222:$FN$7000))</f>
        <v/>
      </c>
    </row>
    <row r="6223" spans="164:167">
      <c r="FH6223" s="29" t="str">
        <f t="shared" si="152"/>
        <v/>
      </c>
      <c r="FJ6223" s="36" t="str">
        <f>IF($FH6223="","",SUM($FN6223:$FN$7000))</f>
        <v/>
      </c>
      <c r="FK6223" s="36" t="str">
        <f>IF($FH6223="","",SUM($FN6223:$FN$7000))</f>
        <v/>
      </c>
    </row>
    <row r="6224" spans="164:167">
      <c r="FH6224" s="29" t="str">
        <f t="shared" si="152"/>
        <v/>
      </c>
      <c r="FJ6224" s="36" t="str">
        <f>IF($FH6224="","",SUM($FN6224:$FN$7000))</f>
        <v/>
      </c>
      <c r="FK6224" s="36" t="str">
        <f>IF($FH6224="","",SUM($FN6224:$FN$7000))</f>
        <v/>
      </c>
    </row>
    <row r="6225" spans="164:167">
      <c r="FH6225" s="29" t="str">
        <f t="shared" si="152"/>
        <v/>
      </c>
      <c r="FJ6225" s="36" t="str">
        <f>IF($FH6225="","",SUM($FN6225:$FN$7000))</f>
        <v/>
      </c>
      <c r="FK6225" s="36" t="str">
        <f>IF($FH6225="","",SUM($FN6225:$FN$7000))</f>
        <v/>
      </c>
    </row>
    <row r="6226" spans="164:167">
      <c r="FH6226" s="29" t="str">
        <f t="shared" si="152"/>
        <v/>
      </c>
      <c r="FJ6226" s="36" t="str">
        <f>IF($FH6226="","",SUM($FN6226:$FN$7000))</f>
        <v/>
      </c>
      <c r="FK6226" s="36" t="str">
        <f>IF($FH6226="","",SUM($FN6226:$FN$7000))</f>
        <v/>
      </c>
    </row>
    <row r="6227" spans="164:167">
      <c r="FH6227" s="29" t="str">
        <f t="shared" si="152"/>
        <v/>
      </c>
      <c r="FJ6227" s="36" t="str">
        <f>IF($FH6227="","",SUM($FN6227:$FN$7000))</f>
        <v/>
      </c>
      <c r="FK6227" s="36" t="str">
        <f>IF($FH6227="","",SUM($FN6227:$FN$7000))</f>
        <v/>
      </c>
    </row>
    <row r="6228" spans="164:167">
      <c r="FH6228" s="29" t="str">
        <f t="shared" si="152"/>
        <v/>
      </c>
      <c r="FJ6228" s="36" t="str">
        <f>IF($FH6228="","",SUM($FN6228:$FN$7000))</f>
        <v/>
      </c>
      <c r="FK6228" s="36" t="str">
        <f>IF($FH6228="","",SUM($FN6228:$FN$7000))</f>
        <v/>
      </c>
    </row>
    <row r="6229" spans="164:167">
      <c r="FH6229" s="29" t="str">
        <f t="shared" si="152"/>
        <v/>
      </c>
      <c r="FJ6229" s="36" t="str">
        <f>IF($FH6229="","",SUM($FN6229:$FN$7000))</f>
        <v/>
      </c>
      <c r="FK6229" s="36" t="str">
        <f>IF($FH6229="","",SUM($FN6229:$FN$7000))</f>
        <v/>
      </c>
    </row>
    <row r="6230" spans="164:167">
      <c r="FH6230" s="29" t="str">
        <f t="shared" si="152"/>
        <v/>
      </c>
      <c r="FJ6230" s="36" t="str">
        <f>IF($FH6230="","",SUM($FN6230:$FN$7000))</f>
        <v/>
      </c>
      <c r="FK6230" s="36" t="str">
        <f>IF($FH6230="","",SUM($FN6230:$FN$7000))</f>
        <v/>
      </c>
    </row>
    <row r="6231" spans="164:167">
      <c r="FH6231" s="29" t="str">
        <f t="shared" si="152"/>
        <v/>
      </c>
      <c r="FJ6231" s="36" t="str">
        <f>IF($FH6231="","",SUM($FN6231:$FN$7000))</f>
        <v/>
      </c>
      <c r="FK6231" s="36" t="str">
        <f>IF($FH6231="","",SUM($FN6231:$FN$7000))</f>
        <v/>
      </c>
    </row>
    <row r="6232" spans="164:167">
      <c r="FH6232" s="29" t="str">
        <f t="shared" si="152"/>
        <v/>
      </c>
      <c r="FJ6232" s="36" t="str">
        <f>IF($FH6232="","",SUM($FN6232:$FN$7000))</f>
        <v/>
      </c>
      <c r="FK6232" s="36" t="str">
        <f>IF($FH6232="","",SUM($FN6232:$FN$7000))</f>
        <v/>
      </c>
    </row>
    <row r="6233" spans="164:167">
      <c r="FH6233" s="29" t="str">
        <f t="shared" si="152"/>
        <v/>
      </c>
      <c r="FJ6233" s="36" t="str">
        <f>IF($FH6233="","",SUM($FN6233:$FN$7000))</f>
        <v/>
      </c>
      <c r="FK6233" s="36" t="str">
        <f>IF($FH6233="","",SUM($FN6233:$FN$7000))</f>
        <v/>
      </c>
    </row>
    <row r="6234" spans="164:167">
      <c r="FH6234" s="29" t="str">
        <f t="shared" si="152"/>
        <v/>
      </c>
      <c r="FJ6234" s="36" t="str">
        <f>IF($FH6234="","",SUM($FN6234:$FN$7000))</f>
        <v/>
      </c>
      <c r="FK6234" s="36" t="str">
        <f>IF($FH6234="","",SUM($FN6234:$FN$7000))</f>
        <v/>
      </c>
    </row>
    <row r="6235" spans="164:167">
      <c r="FH6235" s="29" t="str">
        <f t="shared" si="152"/>
        <v/>
      </c>
      <c r="FJ6235" s="36" t="str">
        <f>IF($FH6235="","",SUM($FN6235:$FN$7000))</f>
        <v/>
      </c>
      <c r="FK6235" s="36" t="str">
        <f>IF($FH6235="","",SUM($FN6235:$FN$7000))</f>
        <v/>
      </c>
    </row>
    <row r="6236" spans="164:167">
      <c r="FH6236" s="29" t="str">
        <f t="shared" si="152"/>
        <v/>
      </c>
      <c r="FJ6236" s="36" t="str">
        <f>IF($FH6236="","",SUM($FN6236:$FN$7000))</f>
        <v/>
      </c>
      <c r="FK6236" s="36" t="str">
        <f>IF($FH6236="","",SUM($FN6236:$FN$7000))</f>
        <v/>
      </c>
    </row>
    <row r="6237" spans="164:167">
      <c r="FH6237" s="29" t="str">
        <f t="shared" si="152"/>
        <v/>
      </c>
      <c r="FJ6237" s="36" t="str">
        <f>IF($FH6237="","",SUM($FN6237:$FN$7000))</f>
        <v/>
      </c>
      <c r="FK6237" s="36" t="str">
        <f>IF($FH6237="","",SUM($FN6237:$FN$7000))</f>
        <v/>
      </c>
    </row>
    <row r="6238" spans="164:167">
      <c r="FH6238" s="29" t="str">
        <f t="shared" si="152"/>
        <v/>
      </c>
      <c r="FJ6238" s="36" t="str">
        <f>IF($FH6238="","",SUM($FN6238:$FN$7000))</f>
        <v/>
      </c>
      <c r="FK6238" s="36" t="str">
        <f>IF($FH6238="","",SUM($FN6238:$FN$7000))</f>
        <v/>
      </c>
    </row>
    <row r="6239" spans="164:167">
      <c r="FH6239" s="29" t="str">
        <f t="shared" si="152"/>
        <v/>
      </c>
      <c r="FJ6239" s="36" t="str">
        <f>IF($FH6239="","",SUM($FN6239:$FN$7000))</f>
        <v/>
      </c>
      <c r="FK6239" s="36" t="str">
        <f>IF($FH6239="","",SUM($FN6239:$FN$7000))</f>
        <v/>
      </c>
    </row>
    <row r="6240" spans="164:167">
      <c r="FH6240" s="29" t="str">
        <f t="shared" si="152"/>
        <v/>
      </c>
      <c r="FJ6240" s="36" t="str">
        <f>IF($FH6240="","",SUM($FN6240:$FN$7000))</f>
        <v/>
      </c>
      <c r="FK6240" s="36" t="str">
        <f>IF($FH6240="","",SUM($FN6240:$FN$7000))</f>
        <v/>
      </c>
    </row>
    <row r="6241" spans="164:167">
      <c r="FH6241" s="29" t="str">
        <f t="shared" si="152"/>
        <v/>
      </c>
      <c r="FJ6241" s="36" t="str">
        <f>IF($FH6241="","",SUM($FN6241:$FN$7000))</f>
        <v/>
      </c>
      <c r="FK6241" s="36" t="str">
        <f>IF($FH6241="","",SUM($FN6241:$FN$7000))</f>
        <v/>
      </c>
    </row>
    <row r="6242" spans="164:167">
      <c r="FH6242" s="29" t="str">
        <f t="shared" si="152"/>
        <v/>
      </c>
      <c r="FJ6242" s="36" t="str">
        <f>IF($FH6242="","",SUM($FN6242:$FN$7000))</f>
        <v/>
      </c>
      <c r="FK6242" s="36" t="str">
        <f>IF($FH6242="","",SUM($FN6242:$FN$7000))</f>
        <v/>
      </c>
    </row>
    <row r="6243" spans="164:167">
      <c r="FH6243" s="29" t="str">
        <f t="shared" si="152"/>
        <v/>
      </c>
      <c r="FJ6243" s="36" t="str">
        <f>IF($FH6243="","",SUM($FN6243:$FN$7000))</f>
        <v/>
      </c>
      <c r="FK6243" s="36" t="str">
        <f>IF($FH6243="","",SUM($FN6243:$FN$7000))</f>
        <v/>
      </c>
    </row>
    <row r="6244" spans="164:167">
      <c r="FH6244" s="29" t="str">
        <f t="shared" si="152"/>
        <v/>
      </c>
      <c r="FJ6244" s="36" t="str">
        <f>IF($FH6244="","",SUM($FN6244:$FN$7000))</f>
        <v/>
      </c>
      <c r="FK6244" s="36" t="str">
        <f>IF($FH6244="","",SUM($FN6244:$FN$7000))</f>
        <v/>
      </c>
    </row>
    <row r="6245" spans="164:167">
      <c r="FH6245" s="29" t="str">
        <f t="shared" si="152"/>
        <v/>
      </c>
      <c r="FJ6245" s="36" t="str">
        <f>IF($FH6245="","",SUM($FN6245:$FN$7000))</f>
        <v/>
      </c>
      <c r="FK6245" s="36" t="str">
        <f>IF($FH6245="","",SUM($FN6245:$FN$7000))</f>
        <v/>
      </c>
    </row>
    <row r="6246" spans="164:167">
      <c r="FH6246" s="29" t="str">
        <f t="shared" si="152"/>
        <v/>
      </c>
      <c r="FJ6246" s="36" t="str">
        <f>IF($FH6246="","",SUM($FN6246:$FN$7000))</f>
        <v/>
      </c>
      <c r="FK6246" s="36" t="str">
        <f>IF($FH6246="","",SUM($FN6246:$FN$7000))</f>
        <v/>
      </c>
    </row>
    <row r="6247" spans="164:167">
      <c r="FH6247" s="29" t="str">
        <f t="shared" si="152"/>
        <v/>
      </c>
      <c r="FJ6247" s="36" t="str">
        <f>IF($FH6247="","",SUM($FN6247:$FN$7000))</f>
        <v/>
      </c>
      <c r="FK6247" s="36" t="str">
        <f>IF($FH6247="","",SUM($FN6247:$FN$7000))</f>
        <v/>
      </c>
    </row>
    <row r="6248" spans="164:167">
      <c r="FH6248" s="29" t="str">
        <f t="shared" si="152"/>
        <v/>
      </c>
      <c r="FJ6248" s="36" t="str">
        <f>IF($FH6248="","",SUM($FN6248:$FN$7000))</f>
        <v/>
      </c>
      <c r="FK6248" s="36" t="str">
        <f>IF($FH6248="","",SUM($FN6248:$FN$7000))</f>
        <v/>
      </c>
    </row>
    <row r="6249" spans="164:167">
      <c r="FH6249" s="29" t="str">
        <f t="shared" si="152"/>
        <v/>
      </c>
      <c r="FJ6249" s="36" t="str">
        <f>IF($FH6249="","",SUM($FN6249:$FN$7000))</f>
        <v/>
      </c>
      <c r="FK6249" s="36" t="str">
        <f>IF($FH6249="","",SUM($FN6249:$FN$7000))</f>
        <v/>
      </c>
    </row>
    <row r="6250" spans="164:167">
      <c r="FH6250" s="29" t="str">
        <f t="shared" si="152"/>
        <v/>
      </c>
      <c r="FJ6250" s="36" t="str">
        <f>IF($FH6250="","",SUM($FN6250:$FN$7000))</f>
        <v/>
      </c>
      <c r="FK6250" s="36" t="str">
        <f>IF($FH6250="","",SUM($FN6250:$FN$7000))</f>
        <v/>
      </c>
    </row>
    <row r="6251" spans="164:167">
      <c r="FH6251" s="29" t="str">
        <f t="shared" si="152"/>
        <v/>
      </c>
      <c r="FJ6251" s="36" t="str">
        <f>IF($FH6251="","",SUM($FN6251:$FN$7000))</f>
        <v/>
      </c>
      <c r="FK6251" s="36" t="str">
        <f>IF($FH6251="","",SUM($FN6251:$FN$7000))</f>
        <v/>
      </c>
    </row>
    <row r="6252" spans="164:167">
      <c r="FH6252" s="29" t="str">
        <f t="shared" si="152"/>
        <v/>
      </c>
      <c r="FJ6252" s="36" t="str">
        <f>IF($FH6252="","",SUM($FN6252:$FN$7000))</f>
        <v/>
      </c>
      <c r="FK6252" s="36" t="str">
        <f>IF($FH6252="","",SUM($FN6252:$FN$7000))</f>
        <v/>
      </c>
    </row>
    <row r="6253" spans="164:167">
      <c r="FH6253" s="29" t="str">
        <f t="shared" si="152"/>
        <v/>
      </c>
      <c r="FJ6253" s="36" t="str">
        <f>IF($FH6253="","",SUM($FN6253:$FN$7000))</f>
        <v/>
      </c>
      <c r="FK6253" s="36" t="str">
        <f>IF($FH6253="","",SUM($FN6253:$FN$7000))</f>
        <v/>
      </c>
    </row>
    <row r="6254" spans="164:167">
      <c r="FH6254" s="29" t="str">
        <f t="shared" si="152"/>
        <v/>
      </c>
      <c r="FJ6254" s="36" t="str">
        <f>IF($FH6254="","",SUM($FN6254:$FN$7000))</f>
        <v/>
      </c>
      <c r="FK6254" s="36" t="str">
        <f>IF($FH6254="","",SUM($FN6254:$FN$7000))</f>
        <v/>
      </c>
    </row>
    <row r="6255" spans="164:167">
      <c r="FH6255" s="29" t="str">
        <f t="shared" si="152"/>
        <v/>
      </c>
      <c r="FJ6255" s="36" t="str">
        <f>IF($FH6255="","",SUM($FN6255:$FN$7000))</f>
        <v/>
      </c>
      <c r="FK6255" s="36" t="str">
        <f>IF($FH6255="","",SUM($FN6255:$FN$7000))</f>
        <v/>
      </c>
    </row>
    <row r="6256" spans="164:167">
      <c r="FH6256" s="29" t="str">
        <f t="shared" si="152"/>
        <v/>
      </c>
      <c r="FJ6256" s="36" t="str">
        <f>IF($FH6256="","",SUM($FN6256:$FN$7000))</f>
        <v/>
      </c>
      <c r="FK6256" s="36" t="str">
        <f>IF($FH6256="","",SUM($FN6256:$FN$7000))</f>
        <v/>
      </c>
    </row>
    <row r="6257" spans="164:167">
      <c r="FH6257" s="29" t="str">
        <f t="shared" si="152"/>
        <v/>
      </c>
      <c r="FJ6257" s="36" t="str">
        <f>IF($FH6257="","",SUM($FN6257:$FN$7000))</f>
        <v/>
      </c>
      <c r="FK6257" s="36" t="str">
        <f>IF($FH6257="","",SUM($FN6257:$FN$7000))</f>
        <v/>
      </c>
    </row>
    <row r="6258" spans="164:167">
      <c r="FH6258" s="29" t="str">
        <f t="shared" si="152"/>
        <v/>
      </c>
      <c r="FJ6258" s="36" t="str">
        <f>IF($FH6258="","",SUM($FN6258:$FN$7000))</f>
        <v/>
      </c>
      <c r="FK6258" s="36" t="str">
        <f>IF($FH6258="","",SUM($FN6258:$FN$7000))</f>
        <v/>
      </c>
    </row>
    <row r="6259" spans="164:167">
      <c r="FH6259" s="29" t="str">
        <f t="shared" si="152"/>
        <v/>
      </c>
      <c r="FJ6259" s="36" t="str">
        <f>IF($FH6259="","",SUM($FN6259:$FN$7000))</f>
        <v/>
      </c>
      <c r="FK6259" s="36" t="str">
        <f>IF($FH6259="","",SUM($FN6259:$FN$7000))</f>
        <v/>
      </c>
    </row>
    <row r="6260" spans="164:167">
      <c r="FH6260" s="29" t="str">
        <f t="shared" si="152"/>
        <v/>
      </c>
      <c r="FJ6260" s="36" t="str">
        <f>IF($FH6260="","",SUM($FN6260:$FN$7000))</f>
        <v/>
      </c>
      <c r="FK6260" s="36" t="str">
        <f>IF($FH6260="","",SUM($FN6260:$FN$7000))</f>
        <v/>
      </c>
    </row>
    <row r="6261" spans="164:167">
      <c r="FH6261" s="29" t="str">
        <f t="shared" si="152"/>
        <v/>
      </c>
      <c r="FJ6261" s="36" t="str">
        <f>IF($FH6261="","",SUM($FN6261:$FN$7000))</f>
        <v/>
      </c>
      <c r="FK6261" s="36" t="str">
        <f>IF($FH6261="","",SUM($FN6261:$FN$7000))</f>
        <v/>
      </c>
    </row>
    <row r="6262" spans="164:167">
      <c r="FH6262" s="29" t="str">
        <f t="shared" si="152"/>
        <v/>
      </c>
      <c r="FJ6262" s="36" t="str">
        <f>IF($FH6262="","",SUM($FN6262:$FN$7000))</f>
        <v/>
      </c>
      <c r="FK6262" s="36" t="str">
        <f>IF($FH6262="","",SUM($FN6262:$FN$7000))</f>
        <v/>
      </c>
    </row>
    <row r="6263" spans="164:167">
      <c r="FH6263" s="29" t="str">
        <f t="shared" si="152"/>
        <v/>
      </c>
      <c r="FJ6263" s="36" t="str">
        <f>IF($FH6263="","",SUM($FN6263:$FN$7000))</f>
        <v/>
      </c>
      <c r="FK6263" s="36" t="str">
        <f>IF($FH6263="","",SUM($FN6263:$FN$7000))</f>
        <v/>
      </c>
    </row>
    <row r="6264" spans="164:167">
      <c r="FH6264" s="29" t="str">
        <f t="shared" si="152"/>
        <v/>
      </c>
      <c r="FJ6264" s="36" t="str">
        <f>IF($FH6264="","",SUM($FN6264:$FN$7000))</f>
        <v/>
      </c>
      <c r="FK6264" s="36" t="str">
        <f>IF($FH6264="","",SUM($FN6264:$FN$7000))</f>
        <v/>
      </c>
    </row>
    <row r="6265" spans="164:167">
      <c r="FH6265" s="29" t="str">
        <f t="shared" si="152"/>
        <v/>
      </c>
      <c r="FJ6265" s="36" t="str">
        <f>IF($FH6265="","",SUM($FN6265:$FN$7000))</f>
        <v/>
      </c>
      <c r="FK6265" s="36" t="str">
        <f>IF($FH6265="","",SUM($FN6265:$FN$7000))</f>
        <v/>
      </c>
    </row>
    <row r="6266" spans="164:167">
      <c r="FH6266" s="29" t="str">
        <f t="shared" si="152"/>
        <v/>
      </c>
      <c r="FJ6266" s="36" t="str">
        <f>IF($FH6266="","",SUM($FN6266:$FN$7000))</f>
        <v/>
      </c>
      <c r="FK6266" s="36" t="str">
        <f>IF($FH6266="","",SUM($FN6266:$FN$7000))</f>
        <v/>
      </c>
    </row>
    <row r="6267" spans="164:167">
      <c r="FH6267" s="29" t="str">
        <f t="shared" si="152"/>
        <v/>
      </c>
      <c r="FJ6267" s="36" t="str">
        <f>IF($FH6267="","",SUM($FN6267:$FN$7000))</f>
        <v/>
      </c>
      <c r="FK6267" s="36" t="str">
        <f>IF($FH6267="","",SUM($FN6267:$FN$7000))</f>
        <v/>
      </c>
    </row>
    <row r="6268" spans="164:167">
      <c r="FH6268" s="29" t="str">
        <f t="shared" si="152"/>
        <v/>
      </c>
      <c r="FJ6268" s="36" t="str">
        <f>IF($FH6268="","",SUM($FN6268:$FN$7000))</f>
        <v/>
      </c>
      <c r="FK6268" s="36" t="str">
        <f>IF($FH6268="","",SUM($FN6268:$FN$7000))</f>
        <v/>
      </c>
    </row>
    <row r="6269" spans="164:167">
      <c r="FH6269" s="29" t="str">
        <f t="shared" si="152"/>
        <v/>
      </c>
      <c r="FJ6269" s="36" t="str">
        <f>IF($FH6269="","",SUM($FN6269:$FN$7000))</f>
        <v/>
      </c>
      <c r="FK6269" s="36" t="str">
        <f>IF($FH6269="","",SUM($FN6269:$FN$7000))</f>
        <v/>
      </c>
    </row>
    <row r="6270" spans="164:167">
      <c r="FH6270" s="29" t="str">
        <f t="shared" si="152"/>
        <v/>
      </c>
      <c r="FJ6270" s="36" t="str">
        <f>IF($FH6270="","",SUM($FN6270:$FN$7000))</f>
        <v/>
      </c>
      <c r="FK6270" s="36" t="str">
        <f>IF($FH6270="","",SUM($FN6270:$FN$7000))</f>
        <v/>
      </c>
    </row>
    <row r="6271" spans="164:167">
      <c r="FH6271" s="29" t="str">
        <f t="shared" si="152"/>
        <v/>
      </c>
      <c r="FJ6271" s="36" t="str">
        <f>IF($FH6271="","",SUM($FN6271:$FN$7000))</f>
        <v/>
      </c>
      <c r="FK6271" s="36" t="str">
        <f>IF($FH6271="","",SUM($FN6271:$FN$7000))</f>
        <v/>
      </c>
    </row>
    <row r="6272" spans="164:167">
      <c r="FH6272" s="29" t="str">
        <f t="shared" si="152"/>
        <v/>
      </c>
      <c r="FJ6272" s="36" t="str">
        <f>IF($FH6272="","",SUM($FN6272:$FN$7000))</f>
        <v/>
      </c>
      <c r="FK6272" s="36" t="str">
        <f>IF($FH6272="","",SUM($FN6272:$FN$7000))</f>
        <v/>
      </c>
    </row>
    <row r="6273" spans="164:167">
      <c r="FH6273" s="29" t="str">
        <f t="shared" si="152"/>
        <v/>
      </c>
      <c r="FJ6273" s="36" t="str">
        <f>IF($FH6273="","",SUM($FN6273:$FN$7000))</f>
        <v/>
      </c>
      <c r="FK6273" s="36" t="str">
        <f>IF($FH6273="","",SUM($FN6273:$FN$7000))</f>
        <v/>
      </c>
    </row>
    <row r="6274" spans="164:167">
      <c r="FH6274" s="29" t="str">
        <f t="shared" si="152"/>
        <v/>
      </c>
      <c r="FJ6274" s="36" t="str">
        <f>IF($FH6274="","",SUM($FN6274:$FN$7000))</f>
        <v/>
      </c>
      <c r="FK6274" s="36" t="str">
        <f>IF($FH6274="","",SUM($FN6274:$FN$7000))</f>
        <v/>
      </c>
    </row>
    <row r="6275" spans="164:167">
      <c r="FH6275" s="29" t="str">
        <f t="shared" si="152"/>
        <v/>
      </c>
      <c r="FJ6275" s="36" t="str">
        <f>IF($FH6275="","",SUM($FN6275:$FN$7000))</f>
        <v/>
      </c>
      <c r="FK6275" s="36" t="str">
        <f>IF($FH6275="","",SUM($FN6275:$FN$7000))</f>
        <v/>
      </c>
    </row>
    <row r="6276" spans="164:167">
      <c r="FH6276" s="29" t="str">
        <f t="shared" si="152"/>
        <v/>
      </c>
      <c r="FJ6276" s="36" t="str">
        <f>IF($FH6276="","",SUM($FN6276:$FN$7000))</f>
        <v/>
      </c>
      <c r="FK6276" s="36" t="str">
        <f>IF($FH6276="","",SUM($FN6276:$FN$7000))</f>
        <v/>
      </c>
    </row>
    <row r="6277" spans="164:167">
      <c r="FH6277" s="29" t="str">
        <f t="shared" si="152"/>
        <v/>
      </c>
      <c r="FJ6277" s="36" t="str">
        <f>IF($FH6277="","",SUM($FN6277:$FN$7000))</f>
        <v/>
      </c>
      <c r="FK6277" s="36" t="str">
        <f>IF($FH6277="","",SUM($FN6277:$FN$7000))</f>
        <v/>
      </c>
    </row>
    <row r="6278" spans="164:167">
      <c r="FH6278" s="29" t="str">
        <f t="shared" si="152"/>
        <v/>
      </c>
      <c r="FJ6278" s="36" t="str">
        <f>IF($FH6278="","",SUM($FN6278:$FN$7000))</f>
        <v/>
      </c>
      <c r="FK6278" s="36" t="str">
        <f>IF($FH6278="","",SUM($FN6278:$FN$7000))</f>
        <v/>
      </c>
    </row>
    <row r="6279" spans="164:167">
      <c r="FH6279" s="29" t="str">
        <f t="shared" si="152"/>
        <v/>
      </c>
      <c r="FJ6279" s="36" t="str">
        <f>IF($FH6279="","",SUM($FN6279:$FN$7000))</f>
        <v/>
      </c>
      <c r="FK6279" s="36" t="str">
        <f>IF($FH6279="","",SUM($FN6279:$FN$7000))</f>
        <v/>
      </c>
    </row>
    <row r="6280" spans="164:167">
      <c r="FH6280" s="29" t="str">
        <f t="shared" si="152"/>
        <v/>
      </c>
      <c r="FJ6280" s="36" t="str">
        <f>IF($FH6280="","",SUM($FN6280:$FN$7000))</f>
        <v/>
      </c>
      <c r="FK6280" s="36" t="str">
        <f>IF($FH6280="","",SUM($FN6280:$FN$7000))</f>
        <v/>
      </c>
    </row>
    <row r="6281" spans="164:167">
      <c r="FH6281" s="29" t="str">
        <f t="shared" si="152"/>
        <v/>
      </c>
      <c r="FJ6281" s="36" t="str">
        <f>IF($FH6281="","",SUM($FN6281:$FN$7000))</f>
        <v/>
      </c>
      <c r="FK6281" s="36" t="str">
        <f>IF($FH6281="","",SUM($FN6281:$FN$7000))</f>
        <v/>
      </c>
    </row>
    <row r="6282" spans="164:167">
      <c r="FH6282" s="29" t="str">
        <f t="shared" si="152"/>
        <v/>
      </c>
      <c r="FJ6282" s="36" t="str">
        <f>IF($FH6282="","",SUM($FN6282:$FN$7000))</f>
        <v/>
      </c>
      <c r="FK6282" s="36" t="str">
        <f>IF($FH6282="","",SUM($FN6282:$FN$7000))</f>
        <v/>
      </c>
    </row>
    <row r="6283" spans="164:167">
      <c r="FH6283" s="29" t="str">
        <f t="shared" ref="FH6283:FH6346" si="153">IF(FL6283="","",FL6283)</f>
        <v/>
      </c>
      <c r="FJ6283" s="36" t="str">
        <f>IF($FH6283="","",SUM($FN6283:$FN$7000))</f>
        <v/>
      </c>
      <c r="FK6283" s="36" t="str">
        <f>IF($FH6283="","",SUM($FN6283:$FN$7000))</f>
        <v/>
      </c>
    </row>
    <row r="6284" spans="164:167">
      <c r="FH6284" s="29" t="str">
        <f t="shared" si="153"/>
        <v/>
      </c>
      <c r="FJ6284" s="36" t="str">
        <f>IF($FH6284="","",SUM($FN6284:$FN$7000))</f>
        <v/>
      </c>
      <c r="FK6284" s="36" t="str">
        <f>IF($FH6284="","",SUM($FN6284:$FN$7000))</f>
        <v/>
      </c>
    </row>
    <row r="6285" spans="164:167">
      <c r="FH6285" s="29" t="str">
        <f t="shared" si="153"/>
        <v/>
      </c>
      <c r="FJ6285" s="36" t="str">
        <f>IF($FH6285="","",SUM($FN6285:$FN$7000))</f>
        <v/>
      </c>
      <c r="FK6285" s="36" t="str">
        <f>IF($FH6285="","",SUM($FN6285:$FN$7000))</f>
        <v/>
      </c>
    </row>
    <row r="6286" spans="164:167">
      <c r="FH6286" s="29" t="str">
        <f t="shared" si="153"/>
        <v/>
      </c>
      <c r="FJ6286" s="36" t="str">
        <f>IF($FH6286="","",SUM($FN6286:$FN$7000))</f>
        <v/>
      </c>
      <c r="FK6286" s="36" t="str">
        <f>IF($FH6286="","",SUM($FN6286:$FN$7000))</f>
        <v/>
      </c>
    </row>
    <row r="6287" spans="164:167">
      <c r="FH6287" s="29" t="str">
        <f t="shared" si="153"/>
        <v/>
      </c>
      <c r="FJ6287" s="36" t="str">
        <f>IF($FH6287="","",SUM($FN6287:$FN$7000))</f>
        <v/>
      </c>
      <c r="FK6287" s="36" t="str">
        <f>IF($FH6287="","",SUM($FN6287:$FN$7000))</f>
        <v/>
      </c>
    </row>
    <row r="6288" spans="164:167">
      <c r="FH6288" s="29" t="str">
        <f t="shared" si="153"/>
        <v/>
      </c>
      <c r="FJ6288" s="36" t="str">
        <f>IF($FH6288="","",SUM($FN6288:$FN$7000))</f>
        <v/>
      </c>
      <c r="FK6288" s="36" t="str">
        <f>IF($FH6288="","",SUM($FN6288:$FN$7000))</f>
        <v/>
      </c>
    </row>
    <row r="6289" spans="164:167">
      <c r="FH6289" s="29" t="str">
        <f t="shared" si="153"/>
        <v/>
      </c>
      <c r="FJ6289" s="36" t="str">
        <f>IF($FH6289="","",SUM($FN6289:$FN$7000))</f>
        <v/>
      </c>
      <c r="FK6289" s="36" t="str">
        <f>IF($FH6289="","",SUM($FN6289:$FN$7000))</f>
        <v/>
      </c>
    </row>
    <row r="6290" spans="164:167">
      <c r="FH6290" s="29" t="str">
        <f t="shared" si="153"/>
        <v/>
      </c>
      <c r="FJ6290" s="36" t="str">
        <f>IF($FH6290="","",SUM($FN6290:$FN$7000))</f>
        <v/>
      </c>
      <c r="FK6290" s="36" t="str">
        <f>IF($FH6290="","",SUM($FN6290:$FN$7000))</f>
        <v/>
      </c>
    </row>
    <row r="6291" spans="164:167">
      <c r="FH6291" s="29" t="str">
        <f t="shared" si="153"/>
        <v/>
      </c>
      <c r="FJ6291" s="36" t="str">
        <f>IF($FH6291="","",SUM($FN6291:$FN$7000))</f>
        <v/>
      </c>
      <c r="FK6291" s="36" t="str">
        <f>IF($FH6291="","",SUM($FN6291:$FN$7000))</f>
        <v/>
      </c>
    </row>
    <row r="6292" spans="164:167">
      <c r="FH6292" s="29" t="str">
        <f t="shared" si="153"/>
        <v/>
      </c>
      <c r="FJ6292" s="36" t="str">
        <f>IF($FH6292="","",SUM($FN6292:$FN$7000))</f>
        <v/>
      </c>
      <c r="FK6292" s="36" t="str">
        <f>IF($FH6292="","",SUM($FN6292:$FN$7000))</f>
        <v/>
      </c>
    </row>
    <row r="6293" spans="164:167">
      <c r="FH6293" s="29" t="str">
        <f t="shared" si="153"/>
        <v/>
      </c>
      <c r="FJ6293" s="36" t="str">
        <f>IF($FH6293="","",SUM($FN6293:$FN$7000))</f>
        <v/>
      </c>
      <c r="FK6293" s="36" t="str">
        <f>IF($FH6293="","",SUM($FN6293:$FN$7000))</f>
        <v/>
      </c>
    </row>
    <row r="6294" spans="164:167">
      <c r="FH6294" s="29" t="str">
        <f t="shared" si="153"/>
        <v/>
      </c>
      <c r="FJ6294" s="36" t="str">
        <f>IF($FH6294="","",SUM($FN6294:$FN$7000))</f>
        <v/>
      </c>
      <c r="FK6294" s="36" t="str">
        <f>IF($FH6294="","",SUM($FN6294:$FN$7000))</f>
        <v/>
      </c>
    </row>
    <row r="6295" spans="164:167">
      <c r="FH6295" s="29" t="str">
        <f t="shared" si="153"/>
        <v/>
      </c>
      <c r="FJ6295" s="36" t="str">
        <f>IF($FH6295="","",SUM($FN6295:$FN$7000))</f>
        <v/>
      </c>
      <c r="FK6295" s="36" t="str">
        <f>IF($FH6295="","",SUM($FN6295:$FN$7000))</f>
        <v/>
      </c>
    </row>
    <row r="6296" spans="164:167">
      <c r="FH6296" s="29" t="str">
        <f t="shared" si="153"/>
        <v/>
      </c>
      <c r="FJ6296" s="36" t="str">
        <f>IF($FH6296="","",SUM($FN6296:$FN$7000))</f>
        <v/>
      </c>
      <c r="FK6296" s="36" t="str">
        <f>IF($FH6296="","",SUM($FN6296:$FN$7000))</f>
        <v/>
      </c>
    </row>
    <row r="6297" spans="164:167">
      <c r="FH6297" s="29" t="str">
        <f t="shared" si="153"/>
        <v/>
      </c>
      <c r="FJ6297" s="36" t="str">
        <f>IF($FH6297="","",SUM($FN6297:$FN$7000))</f>
        <v/>
      </c>
      <c r="FK6297" s="36" t="str">
        <f>IF($FH6297="","",SUM($FN6297:$FN$7000))</f>
        <v/>
      </c>
    </row>
    <row r="6298" spans="164:167">
      <c r="FH6298" s="29" t="str">
        <f t="shared" si="153"/>
        <v/>
      </c>
      <c r="FJ6298" s="36" t="str">
        <f>IF($FH6298="","",SUM($FN6298:$FN$7000))</f>
        <v/>
      </c>
      <c r="FK6298" s="36" t="str">
        <f>IF($FH6298="","",SUM($FN6298:$FN$7000))</f>
        <v/>
      </c>
    </row>
    <row r="6299" spans="164:167">
      <c r="FH6299" s="29" t="str">
        <f t="shared" si="153"/>
        <v/>
      </c>
      <c r="FJ6299" s="36" t="str">
        <f>IF($FH6299="","",SUM($FN6299:$FN$7000))</f>
        <v/>
      </c>
      <c r="FK6299" s="36" t="str">
        <f>IF($FH6299="","",SUM($FN6299:$FN$7000))</f>
        <v/>
      </c>
    </row>
    <row r="6300" spans="164:167">
      <c r="FH6300" s="29" t="str">
        <f t="shared" si="153"/>
        <v/>
      </c>
      <c r="FJ6300" s="36" t="str">
        <f>IF($FH6300="","",SUM($FN6300:$FN$7000))</f>
        <v/>
      </c>
      <c r="FK6300" s="36" t="str">
        <f>IF($FH6300="","",SUM($FN6300:$FN$7000))</f>
        <v/>
      </c>
    </row>
    <row r="6301" spans="164:167">
      <c r="FH6301" s="29" t="str">
        <f t="shared" si="153"/>
        <v/>
      </c>
      <c r="FJ6301" s="36" t="str">
        <f>IF($FH6301="","",SUM($FN6301:$FN$7000))</f>
        <v/>
      </c>
      <c r="FK6301" s="36" t="str">
        <f>IF($FH6301="","",SUM($FN6301:$FN$7000))</f>
        <v/>
      </c>
    </row>
    <row r="6302" spans="164:167">
      <c r="FH6302" s="29" t="str">
        <f t="shared" si="153"/>
        <v/>
      </c>
      <c r="FJ6302" s="36" t="str">
        <f>IF($FH6302="","",SUM($FN6302:$FN$7000))</f>
        <v/>
      </c>
      <c r="FK6302" s="36" t="str">
        <f>IF($FH6302="","",SUM($FN6302:$FN$7000))</f>
        <v/>
      </c>
    </row>
    <row r="6303" spans="164:167">
      <c r="FH6303" s="29" t="str">
        <f t="shared" si="153"/>
        <v/>
      </c>
      <c r="FJ6303" s="36" t="str">
        <f>IF($FH6303="","",SUM($FN6303:$FN$7000))</f>
        <v/>
      </c>
      <c r="FK6303" s="36" t="str">
        <f>IF($FH6303="","",SUM($FN6303:$FN$7000))</f>
        <v/>
      </c>
    </row>
    <row r="6304" spans="164:167">
      <c r="FH6304" s="29" t="str">
        <f t="shared" si="153"/>
        <v/>
      </c>
      <c r="FJ6304" s="36" t="str">
        <f>IF($FH6304="","",SUM($FN6304:$FN$7000))</f>
        <v/>
      </c>
      <c r="FK6304" s="36" t="str">
        <f>IF($FH6304="","",SUM($FN6304:$FN$7000))</f>
        <v/>
      </c>
    </row>
    <row r="6305" spans="164:167">
      <c r="FH6305" s="29" t="str">
        <f t="shared" si="153"/>
        <v/>
      </c>
      <c r="FJ6305" s="36" t="str">
        <f>IF($FH6305="","",SUM($FN6305:$FN$7000))</f>
        <v/>
      </c>
      <c r="FK6305" s="36" t="str">
        <f>IF($FH6305="","",SUM($FN6305:$FN$7000))</f>
        <v/>
      </c>
    </row>
    <row r="6306" spans="164:167">
      <c r="FH6306" s="29" t="str">
        <f t="shared" si="153"/>
        <v/>
      </c>
      <c r="FJ6306" s="36" t="str">
        <f>IF($FH6306="","",SUM($FN6306:$FN$7000))</f>
        <v/>
      </c>
      <c r="FK6306" s="36" t="str">
        <f>IF($FH6306="","",SUM($FN6306:$FN$7000))</f>
        <v/>
      </c>
    </row>
    <row r="6307" spans="164:167">
      <c r="FH6307" s="29" t="str">
        <f t="shared" si="153"/>
        <v/>
      </c>
      <c r="FJ6307" s="36" t="str">
        <f>IF($FH6307="","",SUM($FN6307:$FN$7000))</f>
        <v/>
      </c>
      <c r="FK6307" s="36" t="str">
        <f>IF($FH6307="","",SUM($FN6307:$FN$7000))</f>
        <v/>
      </c>
    </row>
    <row r="6308" spans="164:167">
      <c r="FH6308" s="29" t="str">
        <f t="shared" si="153"/>
        <v/>
      </c>
      <c r="FJ6308" s="36" t="str">
        <f>IF($FH6308="","",SUM($FN6308:$FN$7000))</f>
        <v/>
      </c>
      <c r="FK6308" s="36" t="str">
        <f>IF($FH6308="","",SUM($FN6308:$FN$7000))</f>
        <v/>
      </c>
    </row>
    <row r="6309" spans="164:167">
      <c r="FH6309" s="29" t="str">
        <f t="shared" si="153"/>
        <v/>
      </c>
      <c r="FJ6309" s="36" t="str">
        <f>IF($FH6309="","",SUM($FN6309:$FN$7000))</f>
        <v/>
      </c>
      <c r="FK6309" s="36" t="str">
        <f>IF($FH6309="","",SUM($FN6309:$FN$7000))</f>
        <v/>
      </c>
    </row>
    <row r="6310" spans="164:167">
      <c r="FH6310" s="29" t="str">
        <f t="shared" si="153"/>
        <v/>
      </c>
      <c r="FJ6310" s="36" t="str">
        <f>IF($FH6310="","",SUM($FN6310:$FN$7000))</f>
        <v/>
      </c>
      <c r="FK6310" s="36" t="str">
        <f>IF($FH6310="","",SUM($FN6310:$FN$7000))</f>
        <v/>
      </c>
    </row>
    <row r="6311" spans="164:167">
      <c r="FH6311" s="29" t="str">
        <f t="shared" si="153"/>
        <v/>
      </c>
      <c r="FJ6311" s="36" t="str">
        <f>IF($FH6311="","",SUM($FN6311:$FN$7000))</f>
        <v/>
      </c>
      <c r="FK6311" s="36" t="str">
        <f>IF($FH6311="","",SUM($FN6311:$FN$7000))</f>
        <v/>
      </c>
    </row>
    <row r="6312" spans="164:167">
      <c r="FH6312" s="29" t="str">
        <f t="shared" si="153"/>
        <v/>
      </c>
      <c r="FJ6312" s="36" t="str">
        <f>IF($FH6312="","",SUM($FN6312:$FN$7000))</f>
        <v/>
      </c>
      <c r="FK6312" s="36" t="str">
        <f>IF($FH6312="","",SUM($FN6312:$FN$7000))</f>
        <v/>
      </c>
    </row>
    <row r="6313" spans="164:167">
      <c r="FH6313" s="29" t="str">
        <f t="shared" si="153"/>
        <v/>
      </c>
      <c r="FJ6313" s="36" t="str">
        <f>IF($FH6313="","",SUM($FN6313:$FN$7000))</f>
        <v/>
      </c>
      <c r="FK6313" s="36" t="str">
        <f>IF($FH6313="","",SUM($FN6313:$FN$7000))</f>
        <v/>
      </c>
    </row>
    <row r="6314" spans="164:167">
      <c r="FH6314" s="29" t="str">
        <f t="shared" si="153"/>
        <v/>
      </c>
      <c r="FJ6314" s="36" t="str">
        <f>IF($FH6314="","",SUM($FN6314:$FN$7000))</f>
        <v/>
      </c>
      <c r="FK6314" s="36" t="str">
        <f>IF($FH6314="","",SUM($FN6314:$FN$7000))</f>
        <v/>
      </c>
    </row>
    <row r="6315" spans="164:167">
      <c r="FH6315" s="29" t="str">
        <f t="shared" si="153"/>
        <v/>
      </c>
      <c r="FJ6315" s="36" t="str">
        <f>IF($FH6315="","",SUM($FN6315:$FN$7000))</f>
        <v/>
      </c>
      <c r="FK6315" s="36" t="str">
        <f>IF($FH6315="","",SUM($FN6315:$FN$7000))</f>
        <v/>
      </c>
    </row>
    <row r="6316" spans="164:167">
      <c r="FH6316" s="29" t="str">
        <f t="shared" si="153"/>
        <v/>
      </c>
      <c r="FJ6316" s="36" t="str">
        <f>IF($FH6316="","",SUM($FN6316:$FN$7000))</f>
        <v/>
      </c>
      <c r="FK6316" s="36" t="str">
        <f>IF($FH6316="","",SUM($FN6316:$FN$7000))</f>
        <v/>
      </c>
    </row>
    <row r="6317" spans="164:167">
      <c r="FH6317" s="29" t="str">
        <f t="shared" si="153"/>
        <v/>
      </c>
      <c r="FJ6317" s="36" t="str">
        <f>IF($FH6317="","",SUM($FN6317:$FN$7000))</f>
        <v/>
      </c>
      <c r="FK6317" s="36" t="str">
        <f>IF($FH6317="","",SUM($FN6317:$FN$7000))</f>
        <v/>
      </c>
    </row>
    <row r="6318" spans="164:167">
      <c r="FH6318" s="29" t="str">
        <f t="shared" si="153"/>
        <v/>
      </c>
      <c r="FJ6318" s="36" t="str">
        <f>IF($FH6318="","",SUM($FN6318:$FN$7000))</f>
        <v/>
      </c>
      <c r="FK6318" s="36" t="str">
        <f>IF($FH6318="","",SUM($FN6318:$FN$7000))</f>
        <v/>
      </c>
    </row>
    <row r="6319" spans="164:167">
      <c r="FH6319" s="29" t="str">
        <f t="shared" si="153"/>
        <v/>
      </c>
      <c r="FJ6319" s="36" t="str">
        <f>IF($FH6319="","",SUM($FN6319:$FN$7000))</f>
        <v/>
      </c>
      <c r="FK6319" s="36" t="str">
        <f>IF($FH6319="","",SUM($FN6319:$FN$7000))</f>
        <v/>
      </c>
    </row>
    <row r="6320" spans="164:167">
      <c r="FH6320" s="29" t="str">
        <f t="shared" si="153"/>
        <v/>
      </c>
      <c r="FJ6320" s="36" t="str">
        <f>IF($FH6320="","",SUM($FN6320:$FN$7000))</f>
        <v/>
      </c>
      <c r="FK6320" s="36" t="str">
        <f>IF($FH6320="","",SUM($FN6320:$FN$7000))</f>
        <v/>
      </c>
    </row>
    <row r="6321" spans="164:167">
      <c r="FH6321" s="29" t="str">
        <f t="shared" si="153"/>
        <v/>
      </c>
      <c r="FJ6321" s="36" t="str">
        <f>IF($FH6321="","",SUM($FN6321:$FN$7000))</f>
        <v/>
      </c>
      <c r="FK6321" s="36" t="str">
        <f>IF($FH6321="","",SUM($FN6321:$FN$7000))</f>
        <v/>
      </c>
    </row>
    <row r="6322" spans="164:167">
      <c r="FH6322" s="29" t="str">
        <f t="shared" si="153"/>
        <v/>
      </c>
      <c r="FJ6322" s="36" t="str">
        <f>IF($FH6322="","",SUM($FN6322:$FN$7000))</f>
        <v/>
      </c>
      <c r="FK6322" s="36" t="str">
        <f>IF($FH6322="","",SUM($FN6322:$FN$7000))</f>
        <v/>
      </c>
    </row>
    <row r="6323" spans="164:167">
      <c r="FH6323" s="29" t="str">
        <f t="shared" si="153"/>
        <v/>
      </c>
      <c r="FJ6323" s="36" t="str">
        <f>IF($FH6323="","",SUM($FN6323:$FN$7000))</f>
        <v/>
      </c>
      <c r="FK6323" s="36" t="str">
        <f>IF($FH6323="","",SUM($FN6323:$FN$7000))</f>
        <v/>
      </c>
    </row>
    <row r="6324" spans="164:167">
      <c r="FH6324" s="29" t="str">
        <f t="shared" si="153"/>
        <v/>
      </c>
      <c r="FJ6324" s="36" t="str">
        <f>IF($FH6324="","",SUM($FN6324:$FN$7000))</f>
        <v/>
      </c>
      <c r="FK6324" s="36" t="str">
        <f>IF($FH6324="","",SUM($FN6324:$FN$7000))</f>
        <v/>
      </c>
    </row>
    <row r="6325" spans="164:167">
      <c r="FH6325" s="29" t="str">
        <f t="shared" si="153"/>
        <v/>
      </c>
      <c r="FJ6325" s="36" t="str">
        <f>IF($FH6325="","",SUM($FN6325:$FN$7000))</f>
        <v/>
      </c>
      <c r="FK6325" s="36" t="str">
        <f>IF($FH6325="","",SUM($FN6325:$FN$7000))</f>
        <v/>
      </c>
    </row>
    <row r="6326" spans="164:167">
      <c r="FH6326" s="29" t="str">
        <f t="shared" si="153"/>
        <v/>
      </c>
      <c r="FJ6326" s="36" t="str">
        <f>IF($FH6326="","",SUM($FN6326:$FN$7000))</f>
        <v/>
      </c>
      <c r="FK6326" s="36" t="str">
        <f>IF($FH6326="","",SUM($FN6326:$FN$7000))</f>
        <v/>
      </c>
    </row>
    <row r="6327" spans="164:167">
      <c r="FH6327" s="29" t="str">
        <f t="shared" si="153"/>
        <v/>
      </c>
      <c r="FJ6327" s="36" t="str">
        <f>IF($FH6327="","",SUM($FN6327:$FN$7000))</f>
        <v/>
      </c>
      <c r="FK6327" s="36" t="str">
        <f>IF($FH6327="","",SUM($FN6327:$FN$7000))</f>
        <v/>
      </c>
    </row>
    <row r="6328" spans="164:167">
      <c r="FH6328" s="29" t="str">
        <f t="shared" si="153"/>
        <v/>
      </c>
      <c r="FJ6328" s="36" t="str">
        <f>IF($FH6328="","",SUM($FN6328:$FN$7000))</f>
        <v/>
      </c>
      <c r="FK6328" s="36" t="str">
        <f>IF($FH6328="","",SUM($FN6328:$FN$7000))</f>
        <v/>
      </c>
    </row>
    <row r="6329" spans="164:167">
      <c r="FH6329" s="29" t="str">
        <f t="shared" si="153"/>
        <v/>
      </c>
      <c r="FJ6329" s="36" t="str">
        <f>IF($FH6329="","",SUM($FN6329:$FN$7000))</f>
        <v/>
      </c>
      <c r="FK6329" s="36" t="str">
        <f>IF($FH6329="","",SUM($FN6329:$FN$7000))</f>
        <v/>
      </c>
    </row>
    <row r="6330" spans="164:167">
      <c r="FH6330" s="29" t="str">
        <f t="shared" si="153"/>
        <v/>
      </c>
      <c r="FJ6330" s="36" t="str">
        <f>IF($FH6330="","",SUM($FN6330:$FN$7000))</f>
        <v/>
      </c>
      <c r="FK6330" s="36" t="str">
        <f>IF($FH6330="","",SUM($FN6330:$FN$7000))</f>
        <v/>
      </c>
    </row>
    <row r="6331" spans="164:167">
      <c r="FH6331" s="29" t="str">
        <f t="shared" si="153"/>
        <v/>
      </c>
      <c r="FJ6331" s="36" t="str">
        <f>IF($FH6331="","",SUM($FN6331:$FN$7000))</f>
        <v/>
      </c>
      <c r="FK6331" s="36" t="str">
        <f>IF($FH6331="","",SUM($FN6331:$FN$7000))</f>
        <v/>
      </c>
    </row>
    <row r="6332" spans="164:167">
      <c r="FH6332" s="29" t="str">
        <f t="shared" si="153"/>
        <v/>
      </c>
      <c r="FJ6332" s="36" t="str">
        <f>IF($FH6332="","",SUM($FN6332:$FN$7000))</f>
        <v/>
      </c>
      <c r="FK6332" s="36" t="str">
        <f>IF($FH6332="","",SUM($FN6332:$FN$7000))</f>
        <v/>
      </c>
    </row>
    <row r="6333" spans="164:167">
      <c r="FH6333" s="29" t="str">
        <f t="shared" si="153"/>
        <v/>
      </c>
      <c r="FJ6333" s="36" t="str">
        <f>IF($FH6333="","",SUM($FN6333:$FN$7000))</f>
        <v/>
      </c>
      <c r="FK6333" s="36" t="str">
        <f>IF($FH6333="","",SUM($FN6333:$FN$7000))</f>
        <v/>
      </c>
    </row>
    <row r="6334" spans="164:167">
      <c r="FH6334" s="29" t="str">
        <f t="shared" si="153"/>
        <v/>
      </c>
      <c r="FJ6334" s="36" t="str">
        <f>IF($FH6334="","",SUM($FN6334:$FN$7000))</f>
        <v/>
      </c>
      <c r="FK6334" s="36" t="str">
        <f>IF($FH6334="","",SUM($FN6334:$FN$7000))</f>
        <v/>
      </c>
    </row>
    <row r="6335" spans="164:167">
      <c r="FH6335" s="29" t="str">
        <f t="shared" si="153"/>
        <v/>
      </c>
      <c r="FJ6335" s="36" t="str">
        <f>IF($FH6335="","",SUM($FN6335:$FN$7000))</f>
        <v/>
      </c>
      <c r="FK6335" s="36" t="str">
        <f>IF($FH6335="","",SUM($FN6335:$FN$7000))</f>
        <v/>
      </c>
    </row>
    <row r="6336" spans="164:167">
      <c r="FH6336" s="29" t="str">
        <f t="shared" si="153"/>
        <v/>
      </c>
      <c r="FJ6336" s="36" t="str">
        <f>IF($FH6336="","",SUM($FN6336:$FN$7000))</f>
        <v/>
      </c>
      <c r="FK6336" s="36" t="str">
        <f>IF($FH6336="","",SUM($FN6336:$FN$7000))</f>
        <v/>
      </c>
    </row>
    <row r="6337" spans="164:167">
      <c r="FH6337" s="29" t="str">
        <f t="shared" si="153"/>
        <v/>
      </c>
      <c r="FJ6337" s="36" t="str">
        <f>IF($FH6337="","",SUM($FN6337:$FN$7000))</f>
        <v/>
      </c>
      <c r="FK6337" s="36" t="str">
        <f>IF($FH6337="","",SUM($FN6337:$FN$7000))</f>
        <v/>
      </c>
    </row>
    <row r="6338" spans="164:167">
      <c r="FH6338" s="29" t="str">
        <f t="shared" si="153"/>
        <v/>
      </c>
      <c r="FJ6338" s="36" t="str">
        <f>IF($FH6338="","",SUM($FN6338:$FN$7000))</f>
        <v/>
      </c>
      <c r="FK6338" s="36" t="str">
        <f>IF($FH6338="","",SUM($FN6338:$FN$7000))</f>
        <v/>
      </c>
    </row>
    <row r="6339" spans="164:167">
      <c r="FH6339" s="29" t="str">
        <f t="shared" si="153"/>
        <v/>
      </c>
      <c r="FJ6339" s="36" t="str">
        <f>IF($FH6339="","",SUM($FN6339:$FN$7000))</f>
        <v/>
      </c>
      <c r="FK6339" s="36" t="str">
        <f>IF($FH6339="","",SUM($FN6339:$FN$7000))</f>
        <v/>
      </c>
    </row>
    <row r="6340" spans="164:167">
      <c r="FH6340" s="29" t="str">
        <f t="shared" si="153"/>
        <v/>
      </c>
      <c r="FJ6340" s="36" t="str">
        <f>IF($FH6340="","",SUM($FN6340:$FN$7000))</f>
        <v/>
      </c>
      <c r="FK6340" s="36" t="str">
        <f>IF($FH6340="","",SUM($FN6340:$FN$7000))</f>
        <v/>
      </c>
    </row>
    <row r="6341" spans="164:167">
      <c r="FH6341" s="29" t="str">
        <f t="shared" si="153"/>
        <v/>
      </c>
      <c r="FJ6341" s="36" t="str">
        <f>IF($FH6341="","",SUM($FN6341:$FN$7000))</f>
        <v/>
      </c>
      <c r="FK6341" s="36" t="str">
        <f>IF($FH6341="","",SUM($FN6341:$FN$7000))</f>
        <v/>
      </c>
    </row>
    <row r="6342" spans="164:167">
      <c r="FH6342" s="29" t="str">
        <f t="shared" si="153"/>
        <v/>
      </c>
      <c r="FJ6342" s="36" t="str">
        <f>IF($FH6342="","",SUM($FN6342:$FN$7000))</f>
        <v/>
      </c>
      <c r="FK6342" s="36" t="str">
        <f>IF($FH6342="","",SUM($FN6342:$FN$7000))</f>
        <v/>
      </c>
    </row>
    <row r="6343" spans="164:167">
      <c r="FH6343" s="29" t="str">
        <f t="shared" si="153"/>
        <v/>
      </c>
      <c r="FJ6343" s="36" t="str">
        <f>IF($FH6343="","",SUM($FN6343:$FN$7000))</f>
        <v/>
      </c>
      <c r="FK6343" s="36" t="str">
        <f>IF($FH6343="","",SUM($FN6343:$FN$7000))</f>
        <v/>
      </c>
    </row>
    <row r="6344" spans="164:167">
      <c r="FH6344" s="29" t="str">
        <f t="shared" si="153"/>
        <v/>
      </c>
      <c r="FJ6344" s="36" t="str">
        <f>IF($FH6344="","",SUM($FN6344:$FN$7000))</f>
        <v/>
      </c>
      <c r="FK6344" s="36" t="str">
        <f>IF($FH6344="","",SUM($FN6344:$FN$7000))</f>
        <v/>
      </c>
    </row>
    <row r="6345" spans="164:167">
      <c r="FH6345" s="29" t="str">
        <f t="shared" si="153"/>
        <v/>
      </c>
      <c r="FJ6345" s="36" t="str">
        <f>IF($FH6345="","",SUM($FN6345:$FN$7000))</f>
        <v/>
      </c>
      <c r="FK6345" s="36" t="str">
        <f>IF($FH6345="","",SUM($FN6345:$FN$7000))</f>
        <v/>
      </c>
    </row>
    <row r="6346" spans="164:167">
      <c r="FH6346" s="29" t="str">
        <f t="shared" si="153"/>
        <v/>
      </c>
      <c r="FJ6346" s="36" t="str">
        <f>IF($FH6346="","",SUM($FN6346:$FN$7000))</f>
        <v/>
      </c>
      <c r="FK6346" s="36" t="str">
        <f>IF($FH6346="","",SUM($FN6346:$FN$7000))</f>
        <v/>
      </c>
    </row>
    <row r="6347" spans="164:167">
      <c r="FH6347" s="29" t="str">
        <f t="shared" ref="FH6347:FH6410" si="154">IF(FL6347="","",FL6347)</f>
        <v/>
      </c>
      <c r="FJ6347" s="36" t="str">
        <f>IF($FH6347="","",SUM($FN6347:$FN$7000))</f>
        <v/>
      </c>
      <c r="FK6347" s="36" t="str">
        <f>IF($FH6347="","",SUM($FN6347:$FN$7000))</f>
        <v/>
      </c>
    </row>
    <row r="6348" spans="164:167">
      <c r="FH6348" s="29" t="str">
        <f t="shared" si="154"/>
        <v/>
      </c>
      <c r="FJ6348" s="36" t="str">
        <f>IF($FH6348="","",SUM($FN6348:$FN$7000))</f>
        <v/>
      </c>
      <c r="FK6348" s="36" t="str">
        <f>IF($FH6348="","",SUM($FN6348:$FN$7000))</f>
        <v/>
      </c>
    </row>
    <row r="6349" spans="164:167">
      <c r="FH6349" s="29" t="str">
        <f t="shared" si="154"/>
        <v/>
      </c>
      <c r="FJ6349" s="36" t="str">
        <f>IF($FH6349="","",SUM($FN6349:$FN$7000))</f>
        <v/>
      </c>
      <c r="FK6349" s="36" t="str">
        <f>IF($FH6349="","",SUM($FN6349:$FN$7000))</f>
        <v/>
      </c>
    </row>
    <row r="6350" spans="164:167">
      <c r="FH6350" s="29" t="str">
        <f t="shared" si="154"/>
        <v/>
      </c>
      <c r="FJ6350" s="36" t="str">
        <f>IF($FH6350="","",SUM($FN6350:$FN$7000))</f>
        <v/>
      </c>
      <c r="FK6350" s="36" t="str">
        <f>IF($FH6350="","",SUM($FN6350:$FN$7000))</f>
        <v/>
      </c>
    </row>
    <row r="6351" spans="164:167">
      <c r="FH6351" s="29" t="str">
        <f t="shared" si="154"/>
        <v/>
      </c>
      <c r="FJ6351" s="36" t="str">
        <f>IF($FH6351="","",SUM($FN6351:$FN$7000))</f>
        <v/>
      </c>
      <c r="FK6351" s="36" t="str">
        <f>IF($FH6351="","",SUM($FN6351:$FN$7000))</f>
        <v/>
      </c>
    </row>
    <row r="6352" spans="164:167">
      <c r="FH6352" s="29" t="str">
        <f t="shared" si="154"/>
        <v/>
      </c>
      <c r="FJ6352" s="36" t="str">
        <f>IF($FH6352="","",SUM($FN6352:$FN$7000))</f>
        <v/>
      </c>
      <c r="FK6352" s="36" t="str">
        <f>IF($FH6352="","",SUM($FN6352:$FN$7000))</f>
        <v/>
      </c>
    </row>
    <row r="6353" spans="164:167">
      <c r="FH6353" s="29" t="str">
        <f t="shared" si="154"/>
        <v/>
      </c>
      <c r="FJ6353" s="36" t="str">
        <f>IF($FH6353="","",SUM($FN6353:$FN$7000))</f>
        <v/>
      </c>
      <c r="FK6353" s="36" t="str">
        <f>IF($FH6353="","",SUM($FN6353:$FN$7000))</f>
        <v/>
      </c>
    </row>
    <row r="6354" spans="164:167">
      <c r="FH6354" s="29" t="str">
        <f t="shared" si="154"/>
        <v/>
      </c>
      <c r="FJ6354" s="36" t="str">
        <f>IF($FH6354="","",SUM($FN6354:$FN$7000))</f>
        <v/>
      </c>
      <c r="FK6354" s="36" t="str">
        <f>IF($FH6354="","",SUM($FN6354:$FN$7000))</f>
        <v/>
      </c>
    </row>
    <row r="6355" spans="164:167">
      <c r="FH6355" s="29" t="str">
        <f t="shared" si="154"/>
        <v/>
      </c>
      <c r="FJ6355" s="36" t="str">
        <f>IF($FH6355="","",SUM($FN6355:$FN$7000))</f>
        <v/>
      </c>
      <c r="FK6355" s="36" t="str">
        <f>IF($FH6355="","",SUM($FN6355:$FN$7000))</f>
        <v/>
      </c>
    </row>
    <row r="6356" spans="164:167">
      <c r="FH6356" s="29" t="str">
        <f t="shared" si="154"/>
        <v/>
      </c>
      <c r="FJ6356" s="36" t="str">
        <f>IF($FH6356="","",SUM($FN6356:$FN$7000))</f>
        <v/>
      </c>
      <c r="FK6356" s="36" t="str">
        <f>IF($FH6356="","",SUM($FN6356:$FN$7000))</f>
        <v/>
      </c>
    </row>
    <row r="6357" spans="164:167">
      <c r="FH6357" s="29" t="str">
        <f t="shared" si="154"/>
        <v/>
      </c>
      <c r="FJ6357" s="36" t="str">
        <f>IF($FH6357="","",SUM($FN6357:$FN$7000))</f>
        <v/>
      </c>
      <c r="FK6357" s="36" t="str">
        <f>IF($FH6357="","",SUM($FN6357:$FN$7000))</f>
        <v/>
      </c>
    </row>
    <row r="6358" spans="164:167">
      <c r="FH6358" s="29" t="str">
        <f t="shared" si="154"/>
        <v/>
      </c>
      <c r="FJ6358" s="36" t="str">
        <f>IF($FH6358="","",SUM($FN6358:$FN$7000))</f>
        <v/>
      </c>
      <c r="FK6358" s="36" t="str">
        <f>IF($FH6358="","",SUM($FN6358:$FN$7000))</f>
        <v/>
      </c>
    </row>
    <row r="6359" spans="164:167">
      <c r="FH6359" s="29" t="str">
        <f t="shared" si="154"/>
        <v/>
      </c>
      <c r="FJ6359" s="36" t="str">
        <f>IF($FH6359="","",SUM($FN6359:$FN$7000))</f>
        <v/>
      </c>
      <c r="FK6359" s="36" t="str">
        <f>IF($FH6359="","",SUM($FN6359:$FN$7000))</f>
        <v/>
      </c>
    </row>
    <row r="6360" spans="164:167">
      <c r="FH6360" s="29" t="str">
        <f t="shared" si="154"/>
        <v/>
      </c>
      <c r="FJ6360" s="36" t="str">
        <f>IF($FH6360="","",SUM($FN6360:$FN$7000))</f>
        <v/>
      </c>
      <c r="FK6360" s="36" t="str">
        <f>IF($FH6360="","",SUM($FN6360:$FN$7000))</f>
        <v/>
      </c>
    </row>
    <row r="6361" spans="164:167">
      <c r="FH6361" s="29" t="str">
        <f t="shared" si="154"/>
        <v/>
      </c>
      <c r="FJ6361" s="36" t="str">
        <f>IF($FH6361="","",SUM($FN6361:$FN$7000))</f>
        <v/>
      </c>
      <c r="FK6361" s="36" t="str">
        <f>IF($FH6361="","",SUM($FN6361:$FN$7000))</f>
        <v/>
      </c>
    </row>
    <row r="6362" spans="164:167">
      <c r="FH6362" s="29" t="str">
        <f t="shared" si="154"/>
        <v/>
      </c>
      <c r="FJ6362" s="36" t="str">
        <f>IF($FH6362="","",SUM($FN6362:$FN$7000))</f>
        <v/>
      </c>
      <c r="FK6362" s="36" t="str">
        <f>IF($FH6362="","",SUM($FN6362:$FN$7000))</f>
        <v/>
      </c>
    </row>
    <row r="6363" spans="164:167">
      <c r="FH6363" s="29" t="str">
        <f t="shared" si="154"/>
        <v/>
      </c>
      <c r="FJ6363" s="36" t="str">
        <f>IF($FH6363="","",SUM($FN6363:$FN$7000))</f>
        <v/>
      </c>
      <c r="FK6363" s="36" t="str">
        <f>IF($FH6363="","",SUM($FN6363:$FN$7000))</f>
        <v/>
      </c>
    </row>
    <row r="6364" spans="164:167">
      <c r="FH6364" s="29" t="str">
        <f t="shared" si="154"/>
        <v/>
      </c>
      <c r="FJ6364" s="36" t="str">
        <f>IF($FH6364="","",SUM($FN6364:$FN$7000))</f>
        <v/>
      </c>
      <c r="FK6364" s="36" t="str">
        <f>IF($FH6364="","",SUM($FN6364:$FN$7000))</f>
        <v/>
      </c>
    </row>
    <row r="6365" spans="164:167">
      <c r="FH6365" s="29" t="str">
        <f t="shared" si="154"/>
        <v/>
      </c>
      <c r="FJ6365" s="36" t="str">
        <f>IF($FH6365="","",SUM($FN6365:$FN$7000))</f>
        <v/>
      </c>
      <c r="FK6365" s="36" t="str">
        <f>IF($FH6365="","",SUM($FN6365:$FN$7000))</f>
        <v/>
      </c>
    </row>
    <row r="6366" spans="164:167">
      <c r="FH6366" s="29" t="str">
        <f t="shared" si="154"/>
        <v/>
      </c>
      <c r="FJ6366" s="36" t="str">
        <f>IF($FH6366="","",SUM($FN6366:$FN$7000))</f>
        <v/>
      </c>
      <c r="FK6366" s="36" t="str">
        <f>IF($FH6366="","",SUM($FN6366:$FN$7000))</f>
        <v/>
      </c>
    </row>
    <row r="6367" spans="164:167">
      <c r="FH6367" s="29" t="str">
        <f t="shared" si="154"/>
        <v/>
      </c>
      <c r="FJ6367" s="36" t="str">
        <f>IF($FH6367="","",SUM($FN6367:$FN$7000))</f>
        <v/>
      </c>
      <c r="FK6367" s="36" t="str">
        <f>IF($FH6367="","",SUM($FN6367:$FN$7000))</f>
        <v/>
      </c>
    </row>
    <row r="6368" spans="164:167">
      <c r="FH6368" s="29" t="str">
        <f t="shared" si="154"/>
        <v/>
      </c>
      <c r="FJ6368" s="36" t="str">
        <f>IF($FH6368="","",SUM($FN6368:$FN$7000))</f>
        <v/>
      </c>
      <c r="FK6368" s="36" t="str">
        <f>IF($FH6368="","",SUM($FN6368:$FN$7000))</f>
        <v/>
      </c>
    </row>
    <row r="6369" spans="164:167">
      <c r="FH6369" s="29" t="str">
        <f t="shared" si="154"/>
        <v/>
      </c>
      <c r="FJ6369" s="36" t="str">
        <f>IF($FH6369="","",SUM($FN6369:$FN$7000))</f>
        <v/>
      </c>
      <c r="FK6369" s="36" t="str">
        <f>IF($FH6369="","",SUM($FN6369:$FN$7000))</f>
        <v/>
      </c>
    </row>
    <row r="6370" spans="164:167">
      <c r="FH6370" s="29" t="str">
        <f t="shared" si="154"/>
        <v/>
      </c>
      <c r="FJ6370" s="36" t="str">
        <f>IF($FH6370="","",SUM($FN6370:$FN$7000))</f>
        <v/>
      </c>
      <c r="FK6370" s="36" t="str">
        <f>IF($FH6370="","",SUM($FN6370:$FN$7000))</f>
        <v/>
      </c>
    </row>
    <row r="6371" spans="164:167">
      <c r="FH6371" s="29" t="str">
        <f t="shared" si="154"/>
        <v/>
      </c>
      <c r="FJ6371" s="36" t="str">
        <f>IF($FH6371="","",SUM($FN6371:$FN$7000))</f>
        <v/>
      </c>
      <c r="FK6371" s="36" t="str">
        <f>IF($FH6371="","",SUM($FN6371:$FN$7000))</f>
        <v/>
      </c>
    </row>
    <row r="6372" spans="164:167">
      <c r="FH6372" s="29" t="str">
        <f t="shared" si="154"/>
        <v/>
      </c>
      <c r="FJ6372" s="36" t="str">
        <f>IF($FH6372="","",SUM($FN6372:$FN$7000))</f>
        <v/>
      </c>
      <c r="FK6372" s="36" t="str">
        <f>IF($FH6372="","",SUM($FN6372:$FN$7000))</f>
        <v/>
      </c>
    </row>
    <row r="6373" spans="164:167">
      <c r="FH6373" s="29" t="str">
        <f t="shared" si="154"/>
        <v/>
      </c>
      <c r="FJ6373" s="36" t="str">
        <f>IF($FH6373="","",SUM($FN6373:$FN$7000))</f>
        <v/>
      </c>
      <c r="FK6373" s="36" t="str">
        <f>IF($FH6373="","",SUM($FN6373:$FN$7000))</f>
        <v/>
      </c>
    </row>
    <row r="6374" spans="164:167">
      <c r="FH6374" s="29" t="str">
        <f t="shared" si="154"/>
        <v/>
      </c>
      <c r="FJ6374" s="36" t="str">
        <f>IF($FH6374="","",SUM($FN6374:$FN$7000))</f>
        <v/>
      </c>
      <c r="FK6374" s="36" t="str">
        <f>IF($FH6374="","",SUM($FN6374:$FN$7000))</f>
        <v/>
      </c>
    </row>
    <row r="6375" spans="164:167">
      <c r="FH6375" s="29" t="str">
        <f t="shared" si="154"/>
        <v/>
      </c>
      <c r="FJ6375" s="36" t="str">
        <f>IF($FH6375="","",SUM($FN6375:$FN$7000))</f>
        <v/>
      </c>
      <c r="FK6375" s="36" t="str">
        <f>IF($FH6375="","",SUM($FN6375:$FN$7000))</f>
        <v/>
      </c>
    </row>
    <row r="6376" spans="164:167">
      <c r="FH6376" s="29" t="str">
        <f t="shared" si="154"/>
        <v/>
      </c>
      <c r="FJ6376" s="36" t="str">
        <f>IF($FH6376="","",SUM($FN6376:$FN$7000))</f>
        <v/>
      </c>
      <c r="FK6376" s="36" t="str">
        <f>IF($FH6376="","",SUM($FN6376:$FN$7000))</f>
        <v/>
      </c>
    </row>
    <row r="6377" spans="164:167">
      <c r="FH6377" s="29" t="str">
        <f t="shared" si="154"/>
        <v/>
      </c>
      <c r="FJ6377" s="36" t="str">
        <f>IF($FH6377="","",SUM($FN6377:$FN$7000))</f>
        <v/>
      </c>
      <c r="FK6377" s="36" t="str">
        <f>IF($FH6377="","",SUM($FN6377:$FN$7000))</f>
        <v/>
      </c>
    </row>
    <row r="6378" spans="164:167">
      <c r="FH6378" s="29" t="str">
        <f t="shared" si="154"/>
        <v/>
      </c>
      <c r="FJ6378" s="36" t="str">
        <f>IF($FH6378="","",SUM($FN6378:$FN$7000))</f>
        <v/>
      </c>
      <c r="FK6378" s="36" t="str">
        <f>IF($FH6378="","",SUM($FN6378:$FN$7000))</f>
        <v/>
      </c>
    </row>
    <row r="6379" spans="164:167">
      <c r="FH6379" s="29" t="str">
        <f t="shared" si="154"/>
        <v/>
      </c>
      <c r="FJ6379" s="36" t="str">
        <f>IF($FH6379="","",SUM($FN6379:$FN$7000))</f>
        <v/>
      </c>
      <c r="FK6379" s="36" t="str">
        <f>IF($FH6379="","",SUM($FN6379:$FN$7000))</f>
        <v/>
      </c>
    </row>
    <row r="6380" spans="164:167">
      <c r="FH6380" s="29" t="str">
        <f t="shared" si="154"/>
        <v/>
      </c>
      <c r="FJ6380" s="36" t="str">
        <f>IF($FH6380="","",SUM($FN6380:$FN$7000))</f>
        <v/>
      </c>
      <c r="FK6380" s="36" t="str">
        <f>IF($FH6380="","",SUM($FN6380:$FN$7000))</f>
        <v/>
      </c>
    </row>
    <row r="6381" spans="164:167">
      <c r="FH6381" s="29" t="str">
        <f t="shared" si="154"/>
        <v/>
      </c>
      <c r="FJ6381" s="36" t="str">
        <f>IF($FH6381="","",SUM($FN6381:$FN$7000))</f>
        <v/>
      </c>
      <c r="FK6381" s="36" t="str">
        <f>IF($FH6381="","",SUM($FN6381:$FN$7000))</f>
        <v/>
      </c>
    </row>
    <row r="6382" spans="164:167">
      <c r="FH6382" s="29" t="str">
        <f t="shared" si="154"/>
        <v/>
      </c>
      <c r="FJ6382" s="36" t="str">
        <f>IF($FH6382="","",SUM($FN6382:$FN$7000))</f>
        <v/>
      </c>
      <c r="FK6382" s="36" t="str">
        <f>IF($FH6382="","",SUM($FN6382:$FN$7000))</f>
        <v/>
      </c>
    </row>
    <row r="6383" spans="164:167">
      <c r="FH6383" s="29" t="str">
        <f t="shared" si="154"/>
        <v/>
      </c>
      <c r="FJ6383" s="36" t="str">
        <f>IF($FH6383="","",SUM($FN6383:$FN$7000))</f>
        <v/>
      </c>
      <c r="FK6383" s="36" t="str">
        <f>IF($FH6383="","",SUM($FN6383:$FN$7000))</f>
        <v/>
      </c>
    </row>
    <row r="6384" spans="164:167">
      <c r="FH6384" s="29" t="str">
        <f t="shared" si="154"/>
        <v/>
      </c>
      <c r="FJ6384" s="36" t="str">
        <f>IF($FH6384="","",SUM($FN6384:$FN$7000))</f>
        <v/>
      </c>
      <c r="FK6384" s="36" t="str">
        <f>IF($FH6384="","",SUM($FN6384:$FN$7000))</f>
        <v/>
      </c>
    </row>
    <row r="6385" spans="164:167">
      <c r="FH6385" s="29" t="str">
        <f t="shared" si="154"/>
        <v/>
      </c>
      <c r="FJ6385" s="36" t="str">
        <f>IF($FH6385="","",SUM($FN6385:$FN$7000))</f>
        <v/>
      </c>
      <c r="FK6385" s="36" t="str">
        <f>IF($FH6385="","",SUM($FN6385:$FN$7000))</f>
        <v/>
      </c>
    </row>
    <row r="6386" spans="164:167">
      <c r="FH6386" s="29" t="str">
        <f t="shared" si="154"/>
        <v/>
      </c>
      <c r="FJ6386" s="36" t="str">
        <f>IF($FH6386="","",SUM($FN6386:$FN$7000))</f>
        <v/>
      </c>
      <c r="FK6386" s="36" t="str">
        <f>IF($FH6386="","",SUM($FN6386:$FN$7000))</f>
        <v/>
      </c>
    </row>
    <row r="6387" spans="164:167">
      <c r="FH6387" s="29" t="str">
        <f t="shared" si="154"/>
        <v/>
      </c>
      <c r="FJ6387" s="36" t="str">
        <f>IF($FH6387="","",SUM($FN6387:$FN$7000))</f>
        <v/>
      </c>
      <c r="FK6387" s="36" t="str">
        <f>IF($FH6387="","",SUM($FN6387:$FN$7000))</f>
        <v/>
      </c>
    </row>
    <row r="6388" spans="164:167">
      <c r="FH6388" s="29" t="str">
        <f t="shared" si="154"/>
        <v/>
      </c>
      <c r="FJ6388" s="36" t="str">
        <f>IF($FH6388="","",SUM($FN6388:$FN$7000))</f>
        <v/>
      </c>
      <c r="FK6388" s="36" t="str">
        <f>IF($FH6388="","",SUM($FN6388:$FN$7000))</f>
        <v/>
      </c>
    </row>
    <row r="6389" spans="164:167">
      <c r="FH6389" s="29" t="str">
        <f t="shared" si="154"/>
        <v/>
      </c>
      <c r="FJ6389" s="36" t="str">
        <f>IF($FH6389="","",SUM($FN6389:$FN$7000))</f>
        <v/>
      </c>
      <c r="FK6389" s="36" t="str">
        <f>IF($FH6389="","",SUM($FN6389:$FN$7000))</f>
        <v/>
      </c>
    </row>
    <row r="6390" spans="164:167">
      <c r="FH6390" s="29" t="str">
        <f t="shared" si="154"/>
        <v/>
      </c>
      <c r="FJ6390" s="36" t="str">
        <f>IF($FH6390="","",SUM($FN6390:$FN$7000))</f>
        <v/>
      </c>
      <c r="FK6390" s="36" t="str">
        <f>IF($FH6390="","",SUM($FN6390:$FN$7000))</f>
        <v/>
      </c>
    </row>
    <row r="6391" spans="164:167">
      <c r="FH6391" s="29" t="str">
        <f t="shared" si="154"/>
        <v/>
      </c>
      <c r="FJ6391" s="36" t="str">
        <f>IF($FH6391="","",SUM($FN6391:$FN$7000))</f>
        <v/>
      </c>
      <c r="FK6391" s="36" t="str">
        <f>IF($FH6391="","",SUM($FN6391:$FN$7000))</f>
        <v/>
      </c>
    </row>
    <row r="6392" spans="164:167">
      <c r="FH6392" s="29" t="str">
        <f t="shared" si="154"/>
        <v/>
      </c>
      <c r="FJ6392" s="36" t="str">
        <f>IF($FH6392="","",SUM($FN6392:$FN$7000))</f>
        <v/>
      </c>
      <c r="FK6392" s="36" t="str">
        <f>IF($FH6392="","",SUM($FN6392:$FN$7000))</f>
        <v/>
      </c>
    </row>
    <row r="6393" spans="164:167">
      <c r="FH6393" s="29" t="str">
        <f t="shared" si="154"/>
        <v/>
      </c>
      <c r="FJ6393" s="36" t="str">
        <f>IF($FH6393="","",SUM($FN6393:$FN$7000))</f>
        <v/>
      </c>
      <c r="FK6393" s="36" t="str">
        <f>IF($FH6393="","",SUM($FN6393:$FN$7000))</f>
        <v/>
      </c>
    </row>
    <row r="6394" spans="164:167">
      <c r="FH6394" s="29" t="str">
        <f t="shared" si="154"/>
        <v/>
      </c>
      <c r="FJ6394" s="36" t="str">
        <f>IF($FH6394="","",SUM($FN6394:$FN$7000))</f>
        <v/>
      </c>
      <c r="FK6394" s="36" t="str">
        <f>IF($FH6394="","",SUM($FN6394:$FN$7000))</f>
        <v/>
      </c>
    </row>
    <row r="6395" spans="164:167">
      <c r="FH6395" s="29" t="str">
        <f t="shared" si="154"/>
        <v/>
      </c>
      <c r="FJ6395" s="36" t="str">
        <f>IF($FH6395="","",SUM($FN6395:$FN$7000))</f>
        <v/>
      </c>
      <c r="FK6395" s="36" t="str">
        <f>IF($FH6395="","",SUM($FN6395:$FN$7000))</f>
        <v/>
      </c>
    </row>
    <row r="6396" spans="164:167">
      <c r="FH6396" s="29" t="str">
        <f t="shared" si="154"/>
        <v/>
      </c>
      <c r="FJ6396" s="36" t="str">
        <f>IF($FH6396="","",SUM($FN6396:$FN$7000))</f>
        <v/>
      </c>
      <c r="FK6396" s="36" t="str">
        <f>IF($FH6396="","",SUM($FN6396:$FN$7000))</f>
        <v/>
      </c>
    </row>
    <row r="6397" spans="164:167">
      <c r="FH6397" s="29" t="str">
        <f t="shared" si="154"/>
        <v/>
      </c>
      <c r="FJ6397" s="36" t="str">
        <f>IF($FH6397="","",SUM($FN6397:$FN$7000))</f>
        <v/>
      </c>
      <c r="FK6397" s="36" t="str">
        <f>IF($FH6397="","",SUM($FN6397:$FN$7000))</f>
        <v/>
      </c>
    </row>
    <row r="6398" spans="164:167">
      <c r="FH6398" s="29" t="str">
        <f t="shared" si="154"/>
        <v/>
      </c>
      <c r="FJ6398" s="36" t="str">
        <f>IF($FH6398="","",SUM($FN6398:$FN$7000))</f>
        <v/>
      </c>
      <c r="FK6398" s="36" t="str">
        <f>IF($FH6398="","",SUM($FN6398:$FN$7000))</f>
        <v/>
      </c>
    </row>
    <row r="6399" spans="164:167">
      <c r="FH6399" s="29" t="str">
        <f t="shared" si="154"/>
        <v/>
      </c>
      <c r="FJ6399" s="36" t="str">
        <f>IF($FH6399="","",SUM($FN6399:$FN$7000))</f>
        <v/>
      </c>
      <c r="FK6399" s="36" t="str">
        <f>IF($FH6399="","",SUM($FN6399:$FN$7000))</f>
        <v/>
      </c>
    </row>
    <row r="6400" spans="164:167">
      <c r="FH6400" s="29" t="str">
        <f t="shared" si="154"/>
        <v/>
      </c>
      <c r="FJ6400" s="36" t="str">
        <f>IF($FH6400="","",SUM($FN6400:$FN$7000))</f>
        <v/>
      </c>
      <c r="FK6400" s="36" t="str">
        <f>IF($FH6400="","",SUM($FN6400:$FN$7000))</f>
        <v/>
      </c>
    </row>
    <row r="6401" spans="164:167">
      <c r="FH6401" s="29" t="str">
        <f t="shared" si="154"/>
        <v/>
      </c>
      <c r="FJ6401" s="36" t="str">
        <f>IF($FH6401="","",SUM($FN6401:$FN$7000))</f>
        <v/>
      </c>
      <c r="FK6401" s="36" t="str">
        <f>IF($FH6401="","",SUM($FN6401:$FN$7000))</f>
        <v/>
      </c>
    </row>
    <row r="6402" spans="164:167">
      <c r="FH6402" s="29" t="str">
        <f t="shared" si="154"/>
        <v/>
      </c>
      <c r="FJ6402" s="36" t="str">
        <f>IF($FH6402="","",SUM($FN6402:$FN$7000))</f>
        <v/>
      </c>
      <c r="FK6402" s="36" t="str">
        <f>IF($FH6402="","",SUM($FN6402:$FN$7000))</f>
        <v/>
      </c>
    </row>
    <row r="6403" spans="164:167">
      <c r="FH6403" s="29" t="str">
        <f t="shared" si="154"/>
        <v/>
      </c>
      <c r="FJ6403" s="36" t="str">
        <f>IF($FH6403="","",SUM($FN6403:$FN$7000))</f>
        <v/>
      </c>
      <c r="FK6403" s="36" t="str">
        <f>IF($FH6403="","",SUM($FN6403:$FN$7000))</f>
        <v/>
      </c>
    </row>
    <row r="6404" spans="164:167">
      <c r="FH6404" s="29" t="str">
        <f t="shared" si="154"/>
        <v/>
      </c>
      <c r="FJ6404" s="36" t="str">
        <f>IF($FH6404="","",SUM($FN6404:$FN$7000))</f>
        <v/>
      </c>
      <c r="FK6404" s="36" t="str">
        <f>IF($FH6404="","",SUM($FN6404:$FN$7000))</f>
        <v/>
      </c>
    </row>
    <row r="6405" spans="164:167">
      <c r="FH6405" s="29" t="str">
        <f t="shared" si="154"/>
        <v/>
      </c>
      <c r="FJ6405" s="36" t="str">
        <f>IF($FH6405="","",SUM($FN6405:$FN$7000))</f>
        <v/>
      </c>
      <c r="FK6405" s="36" t="str">
        <f>IF($FH6405="","",SUM($FN6405:$FN$7000))</f>
        <v/>
      </c>
    </row>
    <row r="6406" spans="164:167">
      <c r="FH6406" s="29" t="str">
        <f t="shared" si="154"/>
        <v/>
      </c>
      <c r="FJ6406" s="36" t="str">
        <f>IF($FH6406="","",SUM($FN6406:$FN$7000))</f>
        <v/>
      </c>
      <c r="FK6406" s="36" t="str">
        <f>IF($FH6406="","",SUM($FN6406:$FN$7000))</f>
        <v/>
      </c>
    </row>
    <row r="6407" spans="164:167">
      <c r="FH6407" s="29" t="str">
        <f t="shared" si="154"/>
        <v/>
      </c>
      <c r="FJ6407" s="36" t="str">
        <f>IF($FH6407="","",SUM($FN6407:$FN$7000))</f>
        <v/>
      </c>
      <c r="FK6407" s="36" t="str">
        <f>IF($FH6407="","",SUM($FN6407:$FN$7000))</f>
        <v/>
      </c>
    </row>
    <row r="6408" spans="164:167">
      <c r="FH6408" s="29" t="str">
        <f t="shared" si="154"/>
        <v/>
      </c>
      <c r="FJ6408" s="36" t="str">
        <f>IF($FH6408="","",SUM($FN6408:$FN$7000))</f>
        <v/>
      </c>
      <c r="FK6408" s="36" t="str">
        <f>IF($FH6408="","",SUM($FN6408:$FN$7000))</f>
        <v/>
      </c>
    </row>
    <row r="6409" spans="164:167">
      <c r="FH6409" s="29" t="str">
        <f t="shared" si="154"/>
        <v/>
      </c>
      <c r="FJ6409" s="36" t="str">
        <f>IF($FH6409="","",SUM($FN6409:$FN$7000))</f>
        <v/>
      </c>
      <c r="FK6409" s="36" t="str">
        <f>IF($FH6409="","",SUM($FN6409:$FN$7000))</f>
        <v/>
      </c>
    </row>
    <row r="6410" spans="164:167">
      <c r="FH6410" s="29" t="str">
        <f t="shared" si="154"/>
        <v/>
      </c>
      <c r="FJ6410" s="36" t="str">
        <f>IF($FH6410="","",SUM($FN6410:$FN$7000))</f>
        <v/>
      </c>
      <c r="FK6410" s="36" t="str">
        <f>IF($FH6410="","",SUM($FN6410:$FN$7000))</f>
        <v/>
      </c>
    </row>
    <row r="6411" spans="164:167">
      <c r="FH6411" s="29" t="str">
        <f t="shared" ref="FH6411:FH6474" si="155">IF(FL6411="","",FL6411)</f>
        <v/>
      </c>
      <c r="FJ6411" s="36" t="str">
        <f>IF($FH6411="","",SUM($FN6411:$FN$7000))</f>
        <v/>
      </c>
      <c r="FK6411" s="36" t="str">
        <f>IF($FH6411="","",SUM($FN6411:$FN$7000))</f>
        <v/>
      </c>
    </row>
    <row r="6412" spans="164:167">
      <c r="FH6412" s="29" t="str">
        <f t="shared" si="155"/>
        <v/>
      </c>
      <c r="FJ6412" s="36" t="str">
        <f>IF($FH6412="","",SUM($FN6412:$FN$7000))</f>
        <v/>
      </c>
      <c r="FK6412" s="36" t="str">
        <f>IF($FH6412="","",SUM($FN6412:$FN$7000))</f>
        <v/>
      </c>
    </row>
    <row r="6413" spans="164:167">
      <c r="FH6413" s="29" t="str">
        <f t="shared" si="155"/>
        <v/>
      </c>
      <c r="FJ6413" s="36" t="str">
        <f>IF($FH6413="","",SUM($FN6413:$FN$7000))</f>
        <v/>
      </c>
      <c r="FK6413" s="36" t="str">
        <f>IF($FH6413="","",SUM($FN6413:$FN$7000))</f>
        <v/>
      </c>
    </row>
    <row r="6414" spans="164:167">
      <c r="FH6414" s="29" t="str">
        <f t="shared" si="155"/>
        <v/>
      </c>
      <c r="FJ6414" s="36" t="str">
        <f>IF($FH6414="","",SUM($FN6414:$FN$7000))</f>
        <v/>
      </c>
      <c r="FK6414" s="36" t="str">
        <f>IF($FH6414="","",SUM($FN6414:$FN$7000))</f>
        <v/>
      </c>
    </row>
    <row r="6415" spans="164:167">
      <c r="FH6415" s="29" t="str">
        <f t="shared" si="155"/>
        <v/>
      </c>
      <c r="FJ6415" s="36" t="str">
        <f>IF($FH6415="","",SUM($FN6415:$FN$7000))</f>
        <v/>
      </c>
      <c r="FK6415" s="36" t="str">
        <f>IF($FH6415="","",SUM($FN6415:$FN$7000))</f>
        <v/>
      </c>
    </row>
    <row r="6416" spans="164:167">
      <c r="FH6416" s="29" t="str">
        <f t="shared" si="155"/>
        <v/>
      </c>
      <c r="FJ6416" s="36" t="str">
        <f>IF($FH6416="","",SUM($FN6416:$FN$7000))</f>
        <v/>
      </c>
      <c r="FK6416" s="36" t="str">
        <f>IF($FH6416="","",SUM($FN6416:$FN$7000))</f>
        <v/>
      </c>
    </row>
    <row r="6417" spans="164:167">
      <c r="FH6417" s="29" t="str">
        <f t="shared" si="155"/>
        <v/>
      </c>
      <c r="FJ6417" s="36" t="str">
        <f>IF($FH6417="","",SUM($FN6417:$FN$7000))</f>
        <v/>
      </c>
      <c r="FK6417" s="36" t="str">
        <f>IF($FH6417="","",SUM($FN6417:$FN$7000))</f>
        <v/>
      </c>
    </row>
    <row r="6418" spans="164:167">
      <c r="FH6418" s="29" t="str">
        <f t="shared" si="155"/>
        <v/>
      </c>
      <c r="FJ6418" s="36" t="str">
        <f>IF($FH6418="","",SUM($FN6418:$FN$7000))</f>
        <v/>
      </c>
      <c r="FK6418" s="36" t="str">
        <f>IF($FH6418="","",SUM($FN6418:$FN$7000))</f>
        <v/>
      </c>
    </row>
    <row r="6419" spans="164:167">
      <c r="FH6419" s="29" t="str">
        <f t="shared" si="155"/>
        <v/>
      </c>
      <c r="FJ6419" s="36" t="str">
        <f>IF($FH6419="","",SUM($FN6419:$FN$7000))</f>
        <v/>
      </c>
      <c r="FK6419" s="36" t="str">
        <f>IF($FH6419="","",SUM($FN6419:$FN$7000))</f>
        <v/>
      </c>
    </row>
    <row r="6420" spans="164:167">
      <c r="FH6420" s="29" t="str">
        <f t="shared" si="155"/>
        <v/>
      </c>
      <c r="FJ6420" s="36" t="str">
        <f>IF($FH6420="","",SUM($FN6420:$FN$7000))</f>
        <v/>
      </c>
      <c r="FK6420" s="36" t="str">
        <f>IF($FH6420="","",SUM($FN6420:$FN$7000))</f>
        <v/>
      </c>
    </row>
    <row r="6421" spans="164:167">
      <c r="FH6421" s="29" t="str">
        <f t="shared" si="155"/>
        <v/>
      </c>
      <c r="FJ6421" s="36" t="str">
        <f>IF($FH6421="","",SUM($FN6421:$FN$7000))</f>
        <v/>
      </c>
      <c r="FK6421" s="36" t="str">
        <f>IF($FH6421="","",SUM($FN6421:$FN$7000))</f>
        <v/>
      </c>
    </row>
    <row r="6422" spans="164:167">
      <c r="FH6422" s="29" t="str">
        <f t="shared" si="155"/>
        <v/>
      </c>
      <c r="FJ6422" s="36" t="str">
        <f>IF($FH6422="","",SUM($FN6422:$FN$7000))</f>
        <v/>
      </c>
      <c r="FK6422" s="36" t="str">
        <f>IF($FH6422="","",SUM($FN6422:$FN$7000))</f>
        <v/>
      </c>
    </row>
    <row r="6423" spans="164:167">
      <c r="FH6423" s="29" t="str">
        <f t="shared" si="155"/>
        <v/>
      </c>
      <c r="FJ6423" s="36" t="str">
        <f>IF($FH6423="","",SUM($FN6423:$FN$7000))</f>
        <v/>
      </c>
      <c r="FK6423" s="36" t="str">
        <f>IF($FH6423="","",SUM($FN6423:$FN$7000))</f>
        <v/>
      </c>
    </row>
    <row r="6424" spans="164:167">
      <c r="FH6424" s="29" t="str">
        <f t="shared" si="155"/>
        <v/>
      </c>
      <c r="FJ6424" s="36" t="str">
        <f>IF($FH6424="","",SUM($FN6424:$FN$7000))</f>
        <v/>
      </c>
      <c r="FK6424" s="36" t="str">
        <f>IF($FH6424="","",SUM($FN6424:$FN$7000))</f>
        <v/>
      </c>
    </row>
    <row r="6425" spans="164:167">
      <c r="FH6425" s="29" t="str">
        <f t="shared" si="155"/>
        <v/>
      </c>
      <c r="FJ6425" s="36" t="str">
        <f>IF($FH6425="","",SUM($FN6425:$FN$7000))</f>
        <v/>
      </c>
      <c r="FK6425" s="36" t="str">
        <f>IF($FH6425="","",SUM($FN6425:$FN$7000))</f>
        <v/>
      </c>
    </row>
    <row r="6426" spans="164:167">
      <c r="FH6426" s="29" t="str">
        <f t="shared" si="155"/>
        <v/>
      </c>
      <c r="FJ6426" s="36" t="str">
        <f>IF($FH6426="","",SUM($FN6426:$FN$7000))</f>
        <v/>
      </c>
      <c r="FK6426" s="36" t="str">
        <f>IF($FH6426="","",SUM($FN6426:$FN$7000))</f>
        <v/>
      </c>
    </row>
    <row r="6427" spans="164:167">
      <c r="FH6427" s="29" t="str">
        <f t="shared" si="155"/>
        <v/>
      </c>
      <c r="FJ6427" s="36" t="str">
        <f>IF($FH6427="","",SUM($FN6427:$FN$7000))</f>
        <v/>
      </c>
      <c r="FK6427" s="36" t="str">
        <f>IF($FH6427="","",SUM($FN6427:$FN$7000))</f>
        <v/>
      </c>
    </row>
    <row r="6428" spans="164:167">
      <c r="FH6428" s="29" t="str">
        <f t="shared" si="155"/>
        <v/>
      </c>
      <c r="FJ6428" s="36" t="str">
        <f>IF($FH6428="","",SUM($FN6428:$FN$7000))</f>
        <v/>
      </c>
      <c r="FK6428" s="36" t="str">
        <f>IF($FH6428="","",SUM($FN6428:$FN$7000))</f>
        <v/>
      </c>
    </row>
    <row r="6429" spans="164:167">
      <c r="FH6429" s="29" t="str">
        <f t="shared" si="155"/>
        <v/>
      </c>
      <c r="FJ6429" s="36" t="str">
        <f>IF($FH6429="","",SUM($FN6429:$FN$7000))</f>
        <v/>
      </c>
      <c r="FK6429" s="36" t="str">
        <f>IF($FH6429="","",SUM($FN6429:$FN$7000))</f>
        <v/>
      </c>
    </row>
    <row r="6430" spans="164:167">
      <c r="FH6430" s="29" t="str">
        <f t="shared" si="155"/>
        <v/>
      </c>
      <c r="FJ6430" s="36" t="str">
        <f>IF($FH6430="","",SUM($FN6430:$FN$7000))</f>
        <v/>
      </c>
      <c r="FK6430" s="36" t="str">
        <f>IF($FH6430="","",SUM($FN6430:$FN$7000))</f>
        <v/>
      </c>
    </row>
    <row r="6431" spans="164:167">
      <c r="FH6431" s="29" t="str">
        <f t="shared" si="155"/>
        <v/>
      </c>
      <c r="FJ6431" s="36" t="str">
        <f>IF($FH6431="","",SUM($FN6431:$FN$7000))</f>
        <v/>
      </c>
      <c r="FK6431" s="36" t="str">
        <f>IF($FH6431="","",SUM($FN6431:$FN$7000))</f>
        <v/>
      </c>
    </row>
    <row r="6432" spans="164:167">
      <c r="FH6432" s="29" t="str">
        <f t="shared" si="155"/>
        <v/>
      </c>
      <c r="FJ6432" s="36" t="str">
        <f>IF($FH6432="","",SUM($FN6432:$FN$7000))</f>
        <v/>
      </c>
      <c r="FK6432" s="36" t="str">
        <f>IF($FH6432="","",SUM($FN6432:$FN$7000))</f>
        <v/>
      </c>
    </row>
    <row r="6433" spans="164:167">
      <c r="FH6433" s="29" t="str">
        <f t="shared" si="155"/>
        <v/>
      </c>
      <c r="FJ6433" s="36" t="str">
        <f>IF($FH6433="","",SUM($FN6433:$FN$7000))</f>
        <v/>
      </c>
      <c r="FK6433" s="36" t="str">
        <f>IF($FH6433="","",SUM($FN6433:$FN$7000))</f>
        <v/>
      </c>
    </row>
    <row r="6434" spans="164:167">
      <c r="FH6434" s="29" t="str">
        <f t="shared" si="155"/>
        <v/>
      </c>
      <c r="FJ6434" s="36" t="str">
        <f>IF($FH6434="","",SUM($FN6434:$FN$7000))</f>
        <v/>
      </c>
      <c r="FK6434" s="36" t="str">
        <f>IF($FH6434="","",SUM($FN6434:$FN$7000))</f>
        <v/>
      </c>
    </row>
    <row r="6435" spans="164:167">
      <c r="FH6435" s="29" t="str">
        <f t="shared" si="155"/>
        <v/>
      </c>
      <c r="FJ6435" s="36" t="str">
        <f>IF($FH6435="","",SUM($FN6435:$FN$7000))</f>
        <v/>
      </c>
      <c r="FK6435" s="36" t="str">
        <f>IF($FH6435="","",SUM($FN6435:$FN$7000))</f>
        <v/>
      </c>
    </row>
    <row r="6436" spans="164:167">
      <c r="FH6436" s="29" t="str">
        <f t="shared" si="155"/>
        <v/>
      </c>
      <c r="FJ6436" s="36" t="str">
        <f>IF($FH6436="","",SUM($FN6436:$FN$7000))</f>
        <v/>
      </c>
      <c r="FK6436" s="36" t="str">
        <f>IF($FH6436="","",SUM($FN6436:$FN$7000))</f>
        <v/>
      </c>
    </row>
    <row r="6437" spans="164:167">
      <c r="FH6437" s="29" t="str">
        <f t="shared" si="155"/>
        <v/>
      </c>
      <c r="FJ6437" s="36" t="str">
        <f>IF($FH6437="","",SUM($FN6437:$FN$7000))</f>
        <v/>
      </c>
      <c r="FK6437" s="36" t="str">
        <f>IF($FH6437="","",SUM($FN6437:$FN$7000))</f>
        <v/>
      </c>
    </row>
    <row r="6438" spans="164:167">
      <c r="FH6438" s="29" t="str">
        <f t="shared" si="155"/>
        <v/>
      </c>
      <c r="FJ6438" s="36" t="str">
        <f>IF($FH6438="","",SUM($FN6438:$FN$7000))</f>
        <v/>
      </c>
      <c r="FK6438" s="36" t="str">
        <f>IF($FH6438="","",SUM($FN6438:$FN$7000))</f>
        <v/>
      </c>
    </row>
    <row r="6439" spans="164:167">
      <c r="FH6439" s="29" t="str">
        <f t="shared" si="155"/>
        <v/>
      </c>
      <c r="FJ6439" s="36" t="str">
        <f>IF($FH6439="","",SUM($FN6439:$FN$7000))</f>
        <v/>
      </c>
      <c r="FK6439" s="36" t="str">
        <f>IF($FH6439="","",SUM($FN6439:$FN$7000))</f>
        <v/>
      </c>
    </row>
    <row r="6440" spans="164:167">
      <c r="FH6440" s="29" t="str">
        <f t="shared" si="155"/>
        <v/>
      </c>
      <c r="FJ6440" s="36" t="str">
        <f>IF($FH6440="","",SUM($FN6440:$FN$7000))</f>
        <v/>
      </c>
      <c r="FK6440" s="36" t="str">
        <f>IF($FH6440="","",SUM($FN6440:$FN$7000))</f>
        <v/>
      </c>
    </row>
    <row r="6441" spans="164:167">
      <c r="FH6441" s="29" t="str">
        <f t="shared" si="155"/>
        <v/>
      </c>
      <c r="FJ6441" s="36" t="str">
        <f>IF($FH6441="","",SUM($FN6441:$FN$7000))</f>
        <v/>
      </c>
      <c r="FK6441" s="36" t="str">
        <f>IF($FH6441="","",SUM($FN6441:$FN$7000))</f>
        <v/>
      </c>
    </row>
    <row r="6442" spans="164:167">
      <c r="FH6442" s="29" t="str">
        <f t="shared" si="155"/>
        <v/>
      </c>
      <c r="FJ6442" s="36" t="str">
        <f>IF($FH6442="","",SUM($FN6442:$FN$7000))</f>
        <v/>
      </c>
      <c r="FK6442" s="36" t="str">
        <f>IF($FH6442="","",SUM($FN6442:$FN$7000))</f>
        <v/>
      </c>
    </row>
    <row r="6443" spans="164:167">
      <c r="FH6443" s="29" t="str">
        <f t="shared" si="155"/>
        <v/>
      </c>
      <c r="FJ6443" s="36" t="str">
        <f>IF($FH6443="","",SUM($FN6443:$FN$7000))</f>
        <v/>
      </c>
      <c r="FK6443" s="36" t="str">
        <f>IF($FH6443="","",SUM($FN6443:$FN$7000))</f>
        <v/>
      </c>
    </row>
    <row r="6444" spans="164:167">
      <c r="FH6444" s="29" t="str">
        <f t="shared" si="155"/>
        <v/>
      </c>
      <c r="FJ6444" s="36" t="str">
        <f>IF($FH6444="","",SUM($FN6444:$FN$7000))</f>
        <v/>
      </c>
      <c r="FK6444" s="36" t="str">
        <f>IF($FH6444="","",SUM($FN6444:$FN$7000))</f>
        <v/>
      </c>
    </row>
    <row r="6445" spans="164:167">
      <c r="FH6445" s="29" t="str">
        <f t="shared" si="155"/>
        <v/>
      </c>
      <c r="FJ6445" s="36" t="str">
        <f>IF($FH6445="","",SUM($FN6445:$FN$7000))</f>
        <v/>
      </c>
      <c r="FK6445" s="36" t="str">
        <f>IF($FH6445="","",SUM($FN6445:$FN$7000))</f>
        <v/>
      </c>
    </row>
    <row r="6446" spans="164:167">
      <c r="FH6446" s="29" t="str">
        <f t="shared" si="155"/>
        <v/>
      </c>
      <c r="FJ6446" s="36" t="str">
        <f>IF($FH6446="","",SUM($FN6446:$FN$7000))</f>
        <v/>
      </c>
      <c r="FK6446" s="36" t="str">
        <f>IF($FH6446="","",SUM($FN6446:$FN$7000))</f>
        <v/>
      </c>
    </row>
    <row r="6447" spans="164:167">
      <c r="FH6447" s="29" t="str">
        <f t="shared" si="155"/>
        <v/>
      </c>
      <c r="FJ6447" s="36" t="str">
        <f>IF($FH6447="","",SUM($FN6447:$FN$7000))</f>
        <v/>
      </c>
      <c r="FK6447" s="36" t="str">
        <f>IF($FH6447="","",SUM($FN6447:$FN$7000))</f>
        <v/>
      </c>
    </row>
    <row r="6448" spans="164:167">
      <c r="FH6448" s="29" t="str">
        <f t="shared" si="155"/>
        <v/>
      </c>
      <c r="FJ6448" s="36" t="str">
        <f>IF($FH6448="","",SUM($FN6448:$FN$7000))</f>
        <v/>
      </c>
      <c r="FK6448" s="36" t="str">
        <f>IF($FH6448="","",SUM($FN6448:$FN$7000))</f>
        <v/>
      </c>
    </row>
    <row r="6449" spans="164:167">
      <c r="FH6449" s="29" t="str">
        <f t="shared" si="155"/>
        <v/>
      </c>
      <c r="FJ6449" s="36" t="str">
        <f>IF($FH6449="","",SUM($FN6449:$FN$7000))</f>
        <v/>
      </c>
      <c r="FK6449" s="36" t="str">
        <f>IF($FH6449="","",SUM($FN6449:$FN$7000))</f>
        <v/>
      </c>
    </row>
    <row r="6450" spans="164:167">
      <c r="FH6450" s="29" t="str">
        <f t="shared" si="155"/>
        <v/>
      </c>
      <c r="FJ6450" s="36" t="str">
        <f>IF($FH6450="","",SUM($FN6450:$FN$7000))</f>
        <v/>
      </c>
      <c r="FK6450" s="36" t="str">
        <f>IF($FH6450="","",SUM($FN6450:$FN$7000))</f>
        <v/>
      </c>
    </row>
    <row r="6451" spans="164:167">
      <c r="FH6451" s="29" t="str">
        <f t="shared" si="155"/>
        <v/>
      </c>
      <c r="FJ6451" s="36" t="str">
        <f>IF($FH6451="","",SUM($FN6451:$FN$7000))</f>
        <v/>
      </c>
      <c r="FK6451" s="36" t="str">
        <f>IF($FH6451="","",SUM($FN6451:$FN$7000))</f>
        <v/>
      </c>
    </row>
    <row r="6452" spans="164:167">
      <c r="FH6452" s="29" t="str">
        <f t="shared" si="155"/>
        <v/>
      </c>
      <c r="FJ6452" s="36" t="str">
        <f>IF($FH6452="","",SUM($FN6452:$FN$7000))</f>
        <v/>
      </c>
      <c r="FK6452" s="36" t="str">
        <f>IF($FH6452="","",SUM($FN6452:$FN$7000))</f>
        <v/>
      </c>
    </row>
    <row r="6453" spans="164:167">
      <c r="FH6453" s="29" t="str">
        <f t="shared" si="155"/>
        <v/>
      </c>
      <c r="FJ6453" s="36" t="str">
        <f>IF($FH6453="","",SUM($FN6453:$FN$7000))</f>
        <v/>
      </c>
      <c r="FK6453" s="36" t="str">
        <f>IF($FH6453="","",SUM($FN6453:$FN$7000))</f>
        <v/>
      </c>
    </row>
    <row r="6454" spans="164:167">
      <c r="FH6454" s="29" t="str">
        <f t="shared" si="155"/>
        <v/>
      </c>
      <c r="FJ6454" s="36" t="str">
        <f>IF($FH6454="","",SUM($FN6454:$FN$7000))</f>
        <v/>
      </c>
      <c r="FK6454" s="36" t="str">
        <f>IF($FH6454="","",SUM($FN6454:$FN$7000))</f>
        <v/>
      </c>
    </row>
    <row r="6455" spans="164:167">
      <c r="FH6455" s="29" t="str">
        <f t="shared" si="155"/>
        <v/>
      </c>
      <c r="FJ6455" s="36" t="str">
        <f>IF($FH6455="","",SUM($FN6455:$FN$7000))</f>
        <v/>
      </c>
      <c r="FK6455" s="36" t="str">
        <f>IF($FH6455="","",SUM($FN6455:$FN$7000))</f>
        <v/>
      </c>
    </row>
    <row r="6456" spans="164:167">
      <c r="FH6456" s="29" t="str">
        <f t="shared" si="155"/>
        <v/>
      </c>
      <c r="FJ6456" s="36" t="str">
        <f>IF($FH6456="","",SUM($FN6456:$FN$7000))</f>
        <v/>
      </c>
      <c r="FK6456" s="36" t="str">
        <f>IF($FH6456="","",SUM($FN6456:$FN$7000))</f>
        <v/>
      </c>
    </row>
    <row r="6457" spans="164:167">
      <c r="FH6457" s="29" t="str">
        <f t="shared" si="155"/>
        <v/>
      </c>
      <c r="FJ6457" s="36" t="str">
        <f>IF($FH6457="","",SUM($FN6457:$FN$7000))</f>
        <v/>
      </c>
      <c r="FK6457" s="36" t="str">
        <f>IF($FH6457="","",SUM($FN6457:$FN$7000))</f>
        <v/>
      </c>
    </row>
    <row r="6458" spans="164:167">
      <c r="FH6458" s="29" t="str">
        <f t="shared" si="155"/>
        <v/>
      </c>
      <c r="FJ6458" s="36" t="str">
        <f>IF($FH6458="","",SUM($FN6458:$FN$7000))</f>
        <v/>
      </c>
      <c r="FK6458" s="36" t="str">
        <f>IF($FH6458="","",SUM($FN6458:$FN$7000))</f>
        <v/>
      </c>
    </row>
    <row r="6459" spans="164:167">
      <c r="FH6459" s="29" t="str">
        <f t="shared" si="155"/>
        <v/>
      </c>
      <c r="FJ6459" s="36" t="str">
        <f>IF($FH6459="","",SUM($FN6459:$FN$7000))</f>
        <v/>
      </c>
      <c r="FK6459" s="36" t="str">
        <f>IF($FH6459="","",SUM($FN6459:$FN$7000))</f>
        <v/>
      </c>
    </row>
    <row r="6460" spans="164:167">
      <c r="FH6460" s="29" t="str">
        <f t="shared" si="155"/>
        <v/>
      </c>
      <c r="FJ6460" s="36" t="str">
        <f>IF($FH6460="","",SUM($FN6460:$FN$7000))</f>
        <v/>
      </c>
      <c r="FK6460" s="36" t="str">
        <f>IF($FH6460="","",SUM($FN6460:$FN$7000))</f>
        <v/>
      </c>
    </row>
    <row r="6461" spans="164:167">
      <c r="FH6461" s="29" t="str">
        <f t="shared" si="155"/>
        <v/>
      </c>
      <c r="FJ6461" s="36" t="str">
        <f>IF($FH6461="","",SUM($FN6461:$FN$7000))</f>
        <v/>
      </c>
      <c r="FK6461" s="36" t="str">
        <f>IF($FH6461="","",SUM($FN6461:$FN$7000))</f>
        <v/>
      </c>
    </row>
    <row r="6462" spans="164:167">
      <c r="FH6462" s="29" t="str">
        <f t="shared" si="155"/>
        <v/>
      </c>
      <c r="FJ6462" s="36" t="str">
        <f>IF($FH6462="","",SUM($FN6462:$FN$7000))</f>
        <v/>
      </c>
      <c r="FK6462" s="36" t="str">
        <f>IF($FH6462="","",SUM($FN6462:$FN$7000))</f>
        <v/>
      </c>
    </row>
    <row r="6463" spans="164:167">
      <c r="FH6463" s="29" t="str">
        <f t="shared" si="155"/>
        <v/>
      </c>
      <c r="FJ6463" s="36" t="str">
        <f>IF($FH6463="","",SUM($FN6463:$FN$7000))</f>
        <v/>
      </c>
      <c r="FK6463" s="36" t="str">
        <f>IF($FH6463="","",SUM($FN6463:$FN$7000))</f>
        <v/>
      </c>
    </row>
    <row r="6464" spans="164:167">
      <c r="FH6464" s="29" t="str">
        <f t="shared" si="155"/>
        <v/>
      </c>
      <c r="FJ6464" s="36" t="str">
        <f>IF($FH6464="","",SUM($FN6464:$FN$7000))</f>
        <v/>
      </c>
      <c r="FK6464" s="36" t="str">
        <f>IF($FH6464="","",SUM($FN6464:$FN$7000))</f>
        <v/>
      </c>
    </row>
    <row r="6465" spans="164:167">
      <c r="FH6465" s="29" t="str">
        <f t="shared" si="155"/>
        <v/>
      </c>
      <c r="FJ6465" s="36" t="str">
        <f>IF($FH6465="","",SUM($FN6465:$FN$7000))</f>
        <v/>
      </c>
      <c r="FK6465" s="36" t="str">
        <f>IF($FH6465="","",SUM($FN6465:$FN$7000))</f>
        <v/>
      </c>
    </row>
    <row r="6466" spans="164:167">
      <c r="FH6466" s="29" t="str">
        <f t="shared" si="155"/>
        <v/>
      </c>
      <c r="FJ6466" s="36" t="str">
        <f>IF($FH6466="","",SUM($FN6466:$FN$7000))</f>
        <v/>
      </c>
      <c r="FK6466" s="36" t="str">
        <f>IF($FH6466="","",SUM($FN6466:$FN$7000))</f>
        <v/>
      </c>
    </row>
    <row r="6467" spans="164:167">
      <c r="FH6467" s="29" t="str">
        <f t="shared" si="155"/>
        <v/>
      </c>
      <c r="FJ6467" s="36" t="str">
        <f>IF($FH6467="","",SUM($FN6467:$FN$7000))</f>
        <v/>
      </c>
      <c r="FK6467" s="36" t="str">
        <f>IF($FH6467="","",SUM($FN6467:$FN$7000))</f>
        <v/>
      </c>
    </row>
    <row r="6468" spans="164:167">
      <c r="FH6468" s="29" t="str">
        <f t="shared" si="155"/>
        <v/>
      </c>
      <c r="FJ6468" s="36" t="str">
        <f>IF($FH6468="","",SUM($FN6468:$FN$7000))</f>
        <v/>
      </c>
      <c r="FK6468" s="36" t="str">
        <f>IF($FH6468="","",SUM($FN6468:$FN$7000))</f>
        <v/>
      </c>
    </row>
    <row r="6469" spans="164:167">
      <c r="FH6469" s="29" t="str">
        <f t="shared" si="155"/>
        <v/>
      </c>
      <c r="FJ6469" s="36" t="str">
        <f>IF($FH6469="","",SUM($FN6469:$FN$7000))</f>
        <v/>
      </c>
      <c r="FK6469" s="36" t="str">
        <f>IF($FH6469="","",SUM($FN6469:$FN$7000))</f>
        <v/>
      </c>
    </row>
    <row r="6470" spans="164:167">
      <c r="FH6470" s="29" t="str">
        <f t="shared" si="155"/>
        <v/>
      </c>
      <c r="FJ6470" s="36" t="str">
        <f>IF($FH6470="","",SUM($FN6470:$FN$7000))</f>
        <v/>
      </c>
      <c r="FK6470" s="36" t="str">
        <f>IF($FH6470="","",SUM($FN6470:$FN$7000))</f>
        <v/>
      </c>
    </row>
    <row r="6471" spans="164:167">
      <c r="FH6471" s="29" t="str">
        <f t="shared" si="155"/>
        <v/>
      </c>
      <c r="FJ6471" s="36" t="str">
        <f>IF($FH6471="","",SUM($FN6471:$FN$7000))</f>
        <v/>
      </c>
      <c r="FK6471" s="36" t="str">
        <f>IF($FH6471="","",SUM($FN6471:$FN$7000))</f>
        <v/>
      </c>
    </row>
    <row r="6472" spans="164:167">
      <c r="FH6472" s="29" t="str">
        <f t="shared" si="155"/>
        <v/>
      </c>
      <c r="FJ6472" s="36" t="str">
        <f>IF($FH6472="","",SUM($FN6472:$FN$7000))</f>
        <v/>
      </c>
      <c r="FK6472" s="36" t="str">
        <f>IF($FH6472="","",SUM($FN6472:$FN$7000))</f>
        <v/>
      </c>
    </row>
    <row r="6473" spans="164:167">
      <c r="FH6473" s="29" t="str">
        <f t="shared" si="155"/>
        <v/>
      </c>
      <c r="FJ6473" s="36" t="str">
        <f>IF($FH6473="","",SUM($FN6473:$FN$7000))</f>
        <v/>
      </c>
      <c r="FK6473" s="36" t="str">
        <f>IF($FH6473="","",SUM($FN6473:$FN$7000))</f>
        <v/>
      </c>
    </row>
    <row r="6474" spans="164:167">
      <c r="FH6474" s="29" t="str">
        <f t="shared" si="155"/>
        <v/>
      </c>
      <c r="FJ6474" s="36" t="str">
        <f>IF($FH6474="","",SUM($FN6474:$FN$7000))</f>
        <v/>
      </c>
      <c r="FK6474" s="36" t="str">
        <f>IF($FH6474="","",SUM($FN6474:$FN$7000))</f>
        <v/>
      </c>
    </row>
    <row r="6475" spans="164:167">
      <c r="FH6475" s="29" t="str">
        <f t="shared" ref="FH6475:FH6538" si="156">IF(FL6475="","",FL6475)</f>
        <v/>
      </c>
      <c r="FJ6475" s="36" t="str">
        <f>IF($FH6475="","",SUM($FN6475:$FN$7000))</f>
        <v/>
      </c>
      <c r="FK6475" s="36" t="str">
        <f>IF($FH6475="","",SUM($FN6475:$FN$7000))</f>
        <v/>
      </c>
    </row>
    <row r="6476" spans="164:167">
      <c r="FH6476" s="29" t="str">
        <f t="shared" si="156"/>
        <v/>
      </c>
      <c r="FJ6476" s="36" t="str">
        <f>IF($FH6476="","",SUM($FN6476:$FN$7000))</f>
        <v/>
      </c>
      <c r="FK6476" s="36" t="str">
        <f>IF($FH6476="","",SUM($FN6476:$FN$7000))</f>
        <v/>
      </c>
    </row>
    <row r="6477" spans="164:167">
      <c r="FH6477" s="29" t="str">
        <f t="shared" si="156"/>
        <v/>
      </c>
      <c r="FJ6477" s="36" t="str">
        <f>IF($FH6477="","",SUM($FN6477:$FN$7000))</f>
        <v/>
      </c>
      <c r="FK6477" s="36" t="str">
        <f>IF($FH6477="","",SUM($FN6477:$FN$7000))</f>
        <v/>
      </c>
    </row>
    <row r="6478" spans="164:167">
      <c r="FH6478" s="29" t="str">
        <f t="shared" si="156"/>
        <v/>
      </c>
      <c r="FJ6478" s="36" t="str">
        <f>IF($FH6478="","",SUM($FN6478:$FN$7000))</f>
        <v/>
      </c>
      <c r="FK6478" s="36" t="str">
        <f>IF($FH6478="","",SUM($FN6478:$FN$7000))</f>
        <v/>
      </c>
    </row>
    <row r="6479" spans="164:167">
      <c r="FH6479" s="29" t="str">
        <f t="shared" si="156"/>
        <v/>
      </c>
      <c r="FJ6479" s="36" t="str">
        <f>IF($FH6479="","",SUM($FN6479:$FN$7000))</f>
        <v/>
      </c>
      <c r="FK6479" s="36" t="str">
        <f>IF($FH6479="","",SUM($FN6479:$FN$7000))</f>
        <v/>
      </c>
    </row>
    <row r="6480" spans="164:167">
      <c r="FH6480" s="29" t="str">
        <f t="shared" si="156"/>
        <v/>
      </c>
      <c r="FJ6480" s="36" t="str">
        <f>IF($FH6480="","",SUM($FN6480:$FN$7000))</f>
        <v/>
      </c>
      <c r="FK6480" s="36" t="str">
        <f>IF($FH6480="","",SUM($FN6480:$FN$7000))</f>
        <v/>
      </c>
    </row>
    <row r="6481" spans="164:167">
      <c r="FH6481" s="29" t="str">
        <f t="shared" si="156"/>
        <v/>
      </c>
      <c r="FJ6481" s="36" t="str">
        <f>IF($FH6481="","",SUM($FN6481:$FN$7000))</f>
        <v/>
      </c>
      <c r="FK6481" s="36" t="str">
        <f>IF($FH6481="","",SUM($FN6481:$FN$7000))</f>
        <v/>
      </c>
    </row>
    <row r="6482" spans="164:167">
      <c r="FH6482" s="29" t="str">
        <f t="shared" si="156"/>
        <v/>
      </c>
      <c r="FJ6482" s="36" t="str">
        <f>IF($FH6482="","",SUM($FN6482:$FN$7000))</f>
        <v/>
      </c>
      <c r="FK6482" s="36" t="str">
        <f>IF($FH6482="","",SUM($FN6482:$FN$7000))</f>
        <v/>
      </c>
    </row>
    <row r="6483" spans="164:167">
      <c r="FH6483" s="29" t="str">
        <f t="shared" si="156"/>
        <v/>
      </c>
      <c r="FJ6483" s="36" t="str">
        <f>IF($FH6483="","",SUM($FN6483:$FN$7000))</f>
        <v/>
      </c>
      <c r="FK6483" s="36" t="str">
        <f>IF($FH6483="","",SUM($FN6483:$FN$7000))</f>
        <v/>
      </c>
    </row>
    <row r="6484" spans="164:167">
      <c r="FH6484" s="29" t="str">
        <f t="shared" si="156"/>
        <v/>
      </c>
      <c r="FJ6484" s="36" t="str">
        <f>IF($FH6484="","",SUM($FN6484:$FN$7000))</f>
        <v/>
      </c>
      <c r="FK6484" s="36" t="str">
        <f>IF($FH6484="","",SUM($FN6484:$FN$7000))</f>
        <v/>
      </c>
    </row>
    <row r="6485" spans="164:167">
      <c r="FH6485" s="29" t="str">
        <f t="shared" si="156"/>
        <v/>
      </c>
      <c r="FJ6485" s="36" t="str">
        <f>IF($FH6485="","",SUM($FN6485:$FN$7000))</f>
        <v/>
      </c>
      <c r="FK6485" s="36" t="str">
        <f>IF($FH6485="","",SUM($FN6485:$FN$7000))</f>
        <v/>
      </c>
    </row>
    <row r="6486" spans="164:167">
      <c r="FH6486" s="29" t="str">
        <f t="shared" si="156"/>
        <v/>
      </c>
      <c r="FJ6486" s="36" t="str">
        <f>IF($FH6486="","",SUM($FN6486:$FN$7000))</f>
        <v/>
      </c>
      <c r="FK6486" s="36" t="str">
        <f>IF($FH6486="","",SUM($FN6486:$FN$7000))</f>
        <v/>
      </c>
    </row>
    <row r="6487" spans="164:167">
      <c r="FH6487" s="29" t="str">
        <f t="shared" si="156"/>
        <v/>
      </c>
      <c r="FJ6487" s="36" t="str">
        <f>IF($FH6487="","",SUM($FN6487:$FN$7000))</f>
        <v/>
      </c>
      <c r="FK6487" s="36" t="str">
        <f>IF($FH6487="","",SUM($FN6487:$FN$7000))</f>
        <v/>
      </c>
    </row>
    <row r="6488" spans="164:167">
      <c r="FH6488" s="29" t="str">
        <f t="shared" si="156"/>
        <v/>
      </c>
      <c r="FJ6488" s="36" t="str">
        <f>IF($FH6488="","",SUM($FN6488:$FN$7000))</f>
        <v/>
      </c>
      <c r="FK6488" s="36" t="str">
        <f>IF($FH6488="","",SUM($FN6488:$FN$7000))</f>
        <v/>
      </c>
    </row>
    <row r="6489" spans="164:167">
      <c r="FH6489" s="29" t="str">
        <f t="shared" si="156"/>
        <v/>
      </c>
      <c r="FJ6489" s="36" t="str">
        <f>IF($FH6489="","",SUM($FN6489:$FN$7000))</f>
        <v/>
      </c>
      <c r="FK6489" s="36" t="str">
        <f>IF($FH6489="","",SUM($FN6489:$FN$7000))</f>
        <v/>
      </c>
    </row>
    <row r="6490" spans="164:167">
      <c r="FH6490" s="29" t="str">
        <f t="shared" si="156"/>
        <v/>
      </c>
      <c r="FJ6490" s="36" t="str">
        <f>IF($FH6490="","",SUM($FN6490:$FN$7000))</f>
        <v/>
      </c>
      <c r="FK6490" s="36" t="str">
        <f>IF($FH6490="","",SUM($FN6490:$FN$7000))</f>
        <v/>
      </c>
    </row>
    <row r="6491" spans="164:167">
      <c r="FH6491" s="29" t="str">
        <f t="shared" si="156"/>
        <v/>
      </c>
      <c r="FJ6491" s="36" t="str">
        <f>IF($FH6491="","",SUM($FN6491:$FN$7000))</f>
        <v/>
      </c>
      <c r="FK6491" s="36" t="str">
        <f>IF($FH6491="","",SUM($FN6491:$FN$7000))</f>
        <v/>
      </c>
    </row>
    <row r="6492" spans="164:167">
      <c r="FH6492" s="29" t="str">
        <f t="shared" si="156"/>
        <v/>
      </c>
      <c r="FJ6492" s="36" t="str">
        <f>IF($FH6492="","",SUM($FN6492:$FN$7000))</f>
        <v/>
      </c>
      <c r="FK6492" s="36" t="str">
        <f>IF($FH6492="","",SUM($FN6492:$FN$7000))</f>
        <v/>
      </c>
    </row>
    <row r="6493" spans="164:167">
      <c r="FH6493" s="29" t="str">
        <f t="shared" si="156"/>
        <v/>
      </c>
      <c r="FJ6493" s="36" t="str">
        <f>IF($FH6493="","",SUM($FN6493:$FN$7000))</f>
        <v/>
      </c>
      <c r="FK6493" s="36" t="str">
        <f>IF($FH6493="","",SUM($FN6493:$FN$7000))</f>
        <v/>
      </c>
    </row>
    <row r="6494" spans="164:167">
      <c r="FH6494" s="29" t="str">
        <f t="shared" si="156"/>
        <v/>
      </c>
      <c r="FJ6494" s="36" t="str">
        <f>IF($FH6494="","",SUM($FN6494:$FN$7000))</f>
        <v/>
      </c>
      <c r="FK6494" s="36" t="str">
        <f>IF($FH6494="","",SUM($FN6494:$FN$7000))</f>
        <v/>
      </c>
    </row>
    <row r="6495" spans="164:167">
      <c r="FH6495" s="29" t="str">
        <f t="shared" si="156"/>
        <v/>
      </c>
      <c r="FJ6495" s="36" t="str">
        <f>IF($FH6495="","",SUM($FN6495:$FN$7000))</f>
        <v/>
      </c>
      <c r="FK6495" s="36" t="str">
        <f>IF($FH6495="","",SUM($FN6495:$FN$7000))</f>
        <v/>
      </c>
    </row>
    <row r="6496" spans="164:167">
      <c r="FH6496" s="29" t="str">
        <f t="shared" si="156"/>
        <v/>
      </c>
      <c r="FJ6496" s="36" t="str">
        <f>IF($FH6496="","",SUM($FN6496:$FN$7000))</f>
        <v/>
      </c>
      <c r="FK6496" s="36" t="str">
        <f>IF($FH6496="","",SUM($FN6496:$FN$7000))</f>
        <v/>
      </c>
    </row>
    <row r="6497" spans="164:167">
      <c r="FH6497" s="29" t="str">
        <f t="shared" si="156"/>
        <v/>
      </c>
      <c r="FJ6497" s="36" t="str">
        <f>IF($FH6497="","",SUM($FN6497:$FN$7000))</f>
        <v/>
      </c>
      <c r="FK6497" s="36" t="str">
        <f>IF($FH6497="","",SUM($FN6497:$FN$7000))</f>
        <v/>
      </c>
    </row>
    <row r="6498" spans="164:167">
      <c r="FH6498" s="29" t="str">
        <f t="shared" si="156"/>
        <v/>
      </c>
      <c r="FJ6498" s="36" t="str">
        <f>IF($FH6498="","",SUM($FN6498:$FN$7000))</f>
        <v/>
      </c>
      <c r="FK6498" s="36" t="str">
        <f>IF($FH6498="","",SUM($FN6498:$FN$7000))</f>
        <v/>
      </c>
    </row>
    <row r="6499" spans="164:167">
      <c r="FH6499" s="29" t="str">
        <f t="shared" si="156"/>
        <v/>
      </c>
      <c r="FJ6499" s="36" t="str">
        <f>IF($FH6499="","",SUM($FN6499:$FN$7000))</f>
        <v/>
      </c>
      <c r="FK6499" s="36" t="str">
        <f>IF($FH6499="","",SUM($FN6499:$FN$7000))</f>
        <v/>
      </c>
    </row>
    <row r="6500" spans="164:167">
      <c r="FH6500" s="29" t="str">
        <f t="shared" si="156"/>
        <v/>
      </c>
      <c r="FJ6500" s="36" t="str">
        <f>IF($FH6500="","",SUM($FN6500:$FN$7000))</f>
        <v/>
      </c>
      <c r="FK6500" s="36" t="str">
        <f>IF($FH6500="","",SUM($FN6500:$FN$7000))</f>
        <v/>
      </c>
    </row>
    <row r="6501" spans="164:167">
      <c r="FH6501" s="29" t="str">
        <f t="shared" si="156"/>
        <v/>
      </c>
      <c r="FJ6501" s="36" t="str">
        <f>IF($FH6501="","",SUM($FN6501:$FN$7000))</f>
        <v/>
      </c>
      <c r="FK6501" s="36" t="str">
        <f>IF($FH6501="","",SUM($FN6501:$FN$7000))</f>
        <v/>
      </c>
    </row>
    <row r="6502" spans="164:167">
      <c r="FH6502" s="29" t="str">
        <f t="shared" si="156"/>
        <v/>
      </c>
      <c r="FJ6502" s="36" t="str">
        <f>IF($FH6502="","",SUM($FN6502:$FN$7000))</f>
        <v/>
      </c>
      <c r="FK6502" s="36" t="str">
        <f>IF($FH6502="","",SUM($FN6502:$FN$7000))</f>
        <v/>
      </c>
    </row>
    <row r="6503" spans="164:167">
      <c r="FH6503" s="29" t="str">
        <f t="shared" si="156"/>
        <v/>
      </c>
      <c r="FJ6503" s="36" t="str">
        <f>IF($FH6503="","",SUM($FN6503:$FN$7000))</f>
        <v/>
      </c>
      <c r="FK6503" s="36" t="str">
        <f>IF($FH6503="","",SUM($FN6503:$FN$7000))</f>
        <v/>
      </c>
    </row>
    <row r="6504" spans="164:167">
      <c r="FH6504" s="29" t="str">
        <f t="shared" si="156"/>
        <v/>
      </c>
      <c r="FJ6504" s="36" t="str">
        <f>IF($FH6504="","",SUM($FN6504:$FN$7000))</f>
        <v/>
      </c>
      <c r="FK6504" s="36" t="str">
        <f>IF($FH6504="","",SUM($FN6504:$FN$7000))</f>
        <v/>
      </c>
    </row>
    <row r="6505" spans="164:167">
      <c r="FH6505" s="29" t="str">
        <f t="shared" si="156"/>
        <v/>
      </c>
      <c r="FJ6505" s="36" t="str">
        <f>IF($FH6505="","",SUM($FN6505:$FN$7000))</f>
        <v/>
      </c>
      <c r="FK6505" s="36" t="str">
        <f>IF($FH6505="","",SUM($FN6505:$FN$7000))</f>
        <v/>
      </c>
    </row>
    <row r="6506" spans="164:167">
      <c r="FH6506" s="29" t="str">
        <f t="shared" si="156"/>
        <v/>
      </c>
      <c r="FJ6506" s="36" t="str">
        <f>IF($FH6506="","",SUM($FN6506:$FN$7000))</f>
        <v/>
      </c>
      <c r="FK6506" s="36" t="str">
        <f>IF($FH6506="","",SUM($FN6506:$FN$7000))</f>
        <v/>
      </c>
    </row>
    <row r="6507" spans="164:167">
      <c r="FH6507" s="29" t="str">
        <f t="shared" si="156"/>
        <v/>
      </c>
      <c r="FJ6507" s="36" t="str">
        <f>IF($FH6507="","",SUM($FN6507:$FN$7000))</f>
        <v/>
      </c>
      <c r="FK6507" s="36" t="str">
        <f>IF($FH6507="","",SUM($FN6507:$FN$7000))</f>
        <v/>
      </c>
    </row>
    <row r="6508" spans="164:167">
      <c r="FH6508" s="29" t="str">
        <f t="shared" si="156"/>
        <v/>
      </c>
      <c r="FJ6508" s="36" t="str">
        <f>IF($FH6508="","",SUM($FN6508:$FN$7000))</f>
        <v/>
      </c>
      <c r="FK6508" s="36" t="str">
        <f>IF($FH6508="","",SUM($FN6508:$FN$7000))</f>
        <v/>
      </c>
    </row>
    <row r="6509" spans="164:167">
      <c r="FH6509" s="29" t="str">
        <f t="shared" si="156"/>
        <v/>
      </c>
      <c r="FJ6509" s="36" t="str">
        <f>IF($FH6509="","",SUM($FN6509:$FN$7000))</f>
        <v/>
      </c>
      <c r="FK6509" s="36" t="str">
        <f>IF($FH6509="","",SUM($FN6509:$FN$7000))</f>
        <v/>
      </c>
    </row>
    <row r="6510" spans="164:167">
      <c r="FH6510" s="29" t="str">
        <f t="shared" si="156"/>
        <v/>
      </c>
      <c r="FJ6510" s="36" t="str">
        <f>IF($FH6510="","",SUM($FN6510:$FN$7000))</f>
        <v/>
      </c>
      <c r="FK6510" s="36" t="str">
        <f>IF($FH6510="","",SUM($FN6510:$FN$7000))</f>
        <v/>
      </c>
    </row>
    <row r="6511" spans="164:167">
      <c r="FH6511" s="29" t="str">
        <f t="shared" si="156"/>
        <v/>
      </c>
      <c r="FJ6511" s="36" t="str">
        <f>IF($FH6511="","",SUM($FN6511:$FN$7000))</f>
        <v/>
      </c>
      <c r="FK6511" s="36" t="str">
        <f>IF($FH6511="","",SUM($FN6511:$FN$7000))</f>
        <v/>
      </c>
    </row>
    <row r="6512" spans="164:167">
      <c r="FH6512" s="29" t="str">
        <f t="shared" si="156"/>
        <v/>
      </c>
      <c r="FJ6512" s="36" t="str">
        <f>IF($FH6512="","",SUM($FN6512:$FN$7000))</f>
        <v/>
      </c>
      <c r="FK6512" s="36" t="str">
        <f>IF($FH6512="","",SUM($FN6512:$FN$7000))</f>
        <v/>
      </c>
    </row>
    <row r="6513" spans="164:167">
      <c r="FH6513" s="29" t="str">
        <f t="shared" si="156"/>
        <v/>
      </c>
      <c r="FJ6513" s="36" t="str">
        <f>IF($FH6513="","",SUM($FN6513:$FN$7000))</f>
        <v/>
      </c>
      <c r="FK6513" s="36" t="str">
        <f>IF($FH6513="","",SUM($FN6513:$FN$7000))</f>
        <v/>
      </c>
    </row>
    <row r="6514" spans="164:167">
      <c r="FH6514" s="29" t="str">
        <f t="shared" si="156"/>
        <v/>
      </c>
      <c r="FJ6514" s="36" t="str">
        <f>IF($FH6514="","",SUM($FN6514:$FN$7000))</f>
        <v/>
      </c>
      <c r="FK6514" s="36" t="str">
        <f>IF($FH6514="","",SUM($FN6514:$FN$7000))</f>
        <v/>
      </c>
    </row>
    <row r="6515" spans="164:167">
      <c r="FH6515" s="29" t="str">
        <f t="shared" si="156"/>
        <v/>
      </c>
      <c r="FJ6515" s="36" t="str">
        <f>IF($FH6515="","",SUM($FN6515:$FN$7000))</f>
        <v/>
      </c>
      <c r="FK6515" s="36" t="str">
        <f>IF($FH6515="","",SUM($FN6515:$FN$7000))</f>
        <v/>
      </c>
    </row>
    <row r="6516" spans="164:167">
      <c r="FH6516" s="29" t="str">
        <f t="shared" si="156"/>
        <v/>
      </c>
      <c r="FJ6516" s="36" t="str">
        <f>IF($FH6516="","",SUM($FN6516:$FN$7000))</f>
        <v/>
      </c>
      <c r="FK6516" s="36" t="str">
        <f>IF($FH6516="","",SUM($FN6516:$FN$7000))</f>
        <v/>
      </c>
    </row>
    <row r="6517" spans="164:167">
      <c r="FH6517" s="29" t="str">
        <f t="shared" si="156"/>
        <v/>
      </c>
      <c r="FJ6517" s="36" t="str">
        <f>IF($FH6517="","",SUM($FN6517:$FN$7000))</f>
        <v/>
      </c>
      <c r="FK6517" s="36" t="str">
        <f>IF($FH6517="","",SUM($FN6517:$FN$7000))</f>
        <v/>
      </c>
    </row>
    <row r="6518" spans="164:167">
      <c r="FH6518" s="29" t="str">
        <f t="shared" si="156"/>
        <v/>
      </c>
      <c r="FJ6518" s="36" t="str">
        <f>IF($FH6518="","",SUM($FN6518:$FN$7000))</f>
        <v/>
      </c>
      <c r="FK6518" s="36" t="str">
        <f>IF($FH6518="","",SUM($FN6518:$FN$7000))</f>
        <v/>
      </c>
    </row>
    <row r="6519" spans="164:167">
      <c r="FH6519" s="29" t="str">
        <f t="shared" si="156"/>
        <v/>
      </c>
      <c r="FJ6519" s="36" t="str">
        <f>IF($FH6519="","",SUM($FN6519:$FN$7000))</f>
        <v/>
      </c>
      <c r="FK6519" s="36" t="str">
        <f>IF($FH6519="","",SUM($FN6519:$FN$7000))</f>
        <v/>
      </c>
    </row>
    <row r="6520" spans="164:167">
      <c r="FH6520" s="29" t="str">
        <f t="shared" si="156"/>
        <v/>
      </c>
      <c r="FJ6520" s="36" t="str">
        <f>IF($FH6520="","",SUM($FN6520:$FN$7000))</f>
        <v/>
      </c>
      <c r="FK6520" s="36" t="str">
        <f>IF($FH6520="","",SUM($FN6520:$FN$7000))</f>
        <v/>
      </c>
    </row>
    <row r="6521" spans="164:167">
      <c r="FH6521" s="29" t="str">
        <f t="shared" si="156"/>
        <v/>
      </c>
      <c r="FJ6521" s="36" t="str">
        <f>IF($FH6521="","",SUM($FN6521:$FN$7000))</f>
        <v/>
      </c>
      <c r="FK6521" s="36" t="str">
        <f>IF($FH6521="","",SUM($FN6521:$FN$7000))</f>
        <v/>
      </c>
    </row>
    <row r="6522" spans="164:167">
      <c r="FH6522" s="29" t="str">
        <f t="shared" si="156"/>
        <v/>
      </c>
      <c r="FJ6522" s="36" t="str">
        <f>IF($FH6522="","",SUM($FN6522:$FN$7000))</f>
        <v/>
      </c>
      <c r="FK6522" s="36" t="str">
        <f>IF($FH6522="","",SUM($FN6522:$FN$7000))</f>
        <v/>
      </c>
    </row>
    <row r="6523" spans="164:167">
      <c r="FH6523" s="29" t="str">
        <f t="shared" si="156"/>
        <v/>
      </c>
      <c r="FJ6523" s="36" t="str">
        <f>IF($FH6523="","",SUM($FN6523:$FN$7000))</f>
        <v/>
      </c>
      <c r="FK6523" s="36" t="str">
        <f>IF($FH6523="","",SUM($FN6523:$FN$7000))</f>
        <v/>
      </c>
    </row>
    <row r="6524" spans="164:167">
      <c r="FH6524" s="29" t="str">
        <f t="shared" si="156"/>
        <v/>
      </c>
      <c r="FJ6524" s="36" t="str">
        <f>IF($FH6524="","",SUM($FN6524:$FN$7000))</f>
        <v/>
      </c>
      <c r="FK6524" s="36" t="str">
        <f>IF($FH6524="","",SUM($FN6524:$FN$7000))</f>
        <v/>
      </c>
    </row>
    <row r="6525" spans="164:167">
      <c r="FH6525" s="29" t="str">
        <f t="shared" si="156"/>
        <v/>
      </c>
      <c r="FJ6525" s="36" t="str">
        <f>IF($FH6525="","",SUM($FN6525:$FN$7000))</f>
        <v/>
      </c>
      <c r="FK6525" s="36" t="str">
        <f>IF($FH6525="","",SUM($FN6525:$FN$7000))</f>
        <v/>
      </c>
    </row>
    <row r="6526" spans="164:167">
      <c r="FH6526" s="29" t="str">
        <f t="shared" si="156"/>
        <v/>
      </c>
      <c r="FJ6526" s="36" t="str">
        <f>IF($FH6526="","",SUM($FN6526:$FN$7000))</f>
        <v/>
      </c>
      <c r="FK6526" s="36" t="str">
        <f>IF($FH6526="","",SUM($FN6526:$FN$7000))</f>
        <v/>
      </c>
    </row>
    <row r="6527" spans="164:167">
      <c r="FH6527" s="29" t="str">
        <f t="shared" si="156"/>
        <v/>
      </c>
      <c r="FJ6527" s="36" t="str">
        <f>IF($FH6527="","",SUM($FN6527:$FN$7000))</f>
        <v/>
      </c>
      <c r="FK6527" s="36" t="str">
        <f>IF($FH6527="","",SUM($FN6527:$FN$7000))</f>
        <v/>
      </c>
    </row>
    <row r="6528" spans="164:167">
      <c r="FH6528" s="29" t="str">
        <f t="shared" si="156"/>
        <v/>
      </c>
      <c r="FJ6528" s="36" t="str">
        <f>IF($FH6528="","",SUM($FN6528:$FN$7000))</f>
        <v/>
      </c>
      <c r="FK6528" s="36" t="str">
        <f>IF($FH6528="","",SUM($FN6528:$FN$7000))</f>
        <v/>
      </c>
    </row>
    <row r="6529" spans="164:167">
      <c r="FH6529" s="29" t="str">
        <f t="shared" si="156"/>
        <v/>
      </c>
      <c r="FJ6529" s="36" t="str">
        <f>IF($FH6529="","",SUM($FN6529:$FN$7000))</f>
        <v/>
      </c>
      <c r="FK6529" s="36" t="str">
        <f>IF($FH6529="","",SUM($FN6529:$FN$7000))</f>
        <v/>
      </c>
    </row>
    <row r="6530" spans="164:167">
      <c r="FH6530" s="29" t="str">
        <f t="shared" si="156"/>
        <v/>
      </c>
      <c r="FJ6530" s="36" t="str">
        <f>IF($FH6530="","",SUM($FN6530:$FN$7000))</f>
        <v/>
      </c>
      <c r="FK6530" s="36" t="str">
        <f>IF($FH6530="","",SUM($FN6530:$FN$7000))</f>
        <v/>
      </c>
    </row>
    <row r="6531" spans="164:167">
      <c r="FH6531" s="29" t="str">
        <f t="shared" si="156"/>
        <v/>
      </c>
      <c r="FJ6531" s="36" t="str">
        <f>IF($FH6531="","",SUM($FN6531:$FN$7000))</f>
        <v/>
      </c>
      <c r="FK6531" s="36" t="str">
        <f>IF($FH6531="","",SUM($FN6531:$FN$7000))</f>
        <v/>
      </c>
    </row>
    <row r="6532" spans="164:167">
      <c r="FH6532" s="29" t="str">
        <f t="shared" si="156"/>
        <v/>
      </c>
      <c r="FJ6532" s="36" t="str">
        <f>IF($FH6532="","",SUM($FN6532:$FN$7000))</f>
        <v/>
      </c>
      <c r="FK6532" s="36" t="str">
        <f>IF($FH6532="","",SUM($FN6532:$FN$7000))</f>
        <v/>
      </c>
    </row>
    <row r="6533" spans="164:167">
      <c r="FH6533" s="29" t="str">
        <f t="shared" si="156"/>
        <v/>
      </c>
      <c r="FJ6533" s="36" t="str">
        <f>IF($FH6533="","",SUM($FN6533:$FN$7000))</f>
        <v/>
      </c>
      <c r="FK6533" s="36" t="str">
        <f>IF($FH6533="","",SUM($FN6533:$FN$7000))</f>
        <v/>
      </c>
    </row>
    <row r="6534" spans="164:167">
      <c r="FH6534" s="29" t="str">
        <f t="shared" si="156"/>
        <v/>
      </c>
      <c r="FJ6534" s="36" t="str">
        <f>IF($FH6534="","",SUM($FN6534:$FN$7000))</f>
        <v/>
      </c>
      <c r="FK6534" s="36" t="str">
        <f>IF($FH6534="","",SUM($FN6534:$FN$7000))</f>
        <v/>
      </c>
    </row>
    <row r="6535" spans="164:167">
      <c r="FH6535" s="29" t="str">
        <f t="shared" si="156"/>
        <v/>
      </c>
      <c r="FJ6535" s="36" t="str">
        <f>IF($FH6535="","",SUM($FN6535:$FN$7000))</f>
        <v/>
      </c>
      <c r="FK6535" s="36" t="str">
        <f>IF($FH6535="","",SUM($FN6535:$FN$7000))</f>
        <v/>
      </c>
    </row>
    <row r="6536" spans="164:167">
      <c r="FH6536" s="29" t="str">
        <f t="shared" si="156"/>
        <v/>
      </c>
      <c r="FJ6536" s="36" t="str">
        <f>IF($FH6536="","",SUM($FN6536:$FN$7000))</f>
        <v/>
      </c>
      <c r="FK6536" s="36" t="str">
        <f>IF($FH6536="","",SUM($FN6536:$FN$7000))</f>
        <v/>
      </c>
    </row>
    <row r="6537" spans="164:167">
      <c r="FH6537" s="29" t="str">
        <f t="shared" si="156"/>
        <v/>
      </c>
      <c r="FJ6537" s="36" t="str">
        <f>IF($FH6537="","",SUM($FN6537:$FN$7000))</f>
        <v/>
      </c>
      <c r="FK6537" s="36" t="str">
        <f>IF($FH6537="","",SUM($FN6537:$FN$7000))</f>
        <v/>
      </c>
    </row>
    <row r="6538" spans="164:167">
      <c r="FH6538" s="29" t="str">
        <f t="shared" si="156"/>
        <v/>
      </c>
      <c r="FJ6538" s="36" t="str">
        <f>IF($FH6538="","",SUM($FN6538:$FN$7000))</f>
        <v/>
      </c>
      <c r="FK6538" s="36" t="str">
        <f>IF($FH6538="","",SUM($FN6538:$FN$7000))</f>
        <v/>
      </c>
    </row>
    <row r="6539" spans="164:167">
      <c r="FH6539" s="29" t="str">
        <f t="shared" ref="FH6539:FH6602" si="157">IF(FL6539="","",FL6539)</f>
        <v/>
      </c>
      <c r="FJ6539" s="36" t="str">
        <f>IF($FH6539="","",SUM($FN6539:$FN$7000))</f>
        <v/>
      </c>
      <c r="FK6539" s="36" t="str">
        <f>IF($FH6539="","",SUM($FN6539:$FN$7000))</f>
        <v/>
      </c>
    </row>
    <row r="6540" spans="164:167">
      <c r="FH6540" s="29" t="str">
        <f t="shared" si="157"/>
        <v/>
      </c>
      <c r="FJ6540" s="36" t="str">
        <f>IF($FH6540="","",SUM($FN6540:$FN$7000))</f>
        <v/>
      </c>
      <c r="FK6540" s="36" t="str">
        <f>IF($FH6540="","",SUM($FN6540:$FN$7000))</f>
        <v/>
      </c>
    </row>
    <row r="6541" spans="164:167">
      <c r="FH6541" s="29" t="str">
        <f t="shared" si="157"/>
        <v/>
      </c>
      <c r="FJ6541" s="36" t="str">
        <f>IF($FH6541="","",SUM($FN6541:$FN$7000))</f>
        <v/>
      </c>
      <c r="FK6541" s="36" t="str">
        <f>IF($FH6541="","",SUM($FN6541:$FN$7000))</f>
        <v/>
      </c>
    </row>
    <row r="6542" spans="164:167">
      <c r="FH6542" s="29" t="str">
        <f t="shared" si="157"/>
        <v/>
      </c>
      <c r="FJ6542" s="36" t="str">
        <f>IF($FH6542="","",SUM($FN6542:$FN$7000))</f>
        <v/>
      </c>
      <c r="FK6542" s="36" t="str">
        <f>IF($FH6542="","",SUM($FN6542:$FN$7000))</f>
        <v/>
      </c>
    </row>
    <row r="6543" spans="164:167">
      <c r="FH6543" s="29" t="str">
        <f t="shared" si="157"/>
        <v/>
      </c>
      <c r="FJ6543" s="36" t="str">
        <f>IF($FH6543="","",SUM($FN6543:$FN$7000))</f>
        <v/>
      </c>
      <c r="FK6543" s="36" t="str">
        <f>IF($FH6543="","",SUM($FN6543:$FN$7000))</f>
        <v/>
      </c>
    </row>
    <row r="6544" spans="164:167">
      <c r="FH6544" s="29" t="str">
        <f t="shared" si="157"/>
        <v/>
      </c>
      <c r="FJ6544" s="36" t="str">
        <f>IF($FH6544="","",SUM($FN6544:$FN$7000))</f>
        <v/>
      </c>
      <c r="FK6544" s="36" t="str">
        <f>IF($FH6544="","",SUM($FN6544:$FN$7000))</f>
        <v/>
      </c>
    </row>
    <row r="6545" spans="164:167">
      <c r="FH6545" s="29" t="str">
        <f t="shared" si="157"/>
        <v/>
      </c>
      <c r="FJ6545" s="36" t="str">
        <f>IF($FH6545="","",SUM($FN6545:$FN$7000))</f>
        <v/>
      </c>
      <c r="FK6545" s="36" t="str">
        <f>IF($FH6545="","",SUM($FN6545:$FN$7000))</f>
        <v/>
      </c>
    </row>
    <row r="6546" spans="164:167">
      <c r="FH6546" s="29" t="str">
        <f t="shared" si="157"/>
        <v/>
      </c>
      <c r="FJ6546" s="36" t="str">
        <f>IF($FH6546="","",SUM($FN6546:$FN$7000))</f>
        <v/>
      </c>
      <c r="FK6546" s="36" t="str">
        <f>IF($FH6546="","",SUM($FN6546:$FN$7000))</f>
        <v/>
      </c>
    </row>
    <row r="6547" spans="164:167">
      <c r="FH6547" s="29" t="str">
        <f t="shared" si="157"/>
        <v/>
      </c>
      <c r="FJ6547" s="36" t="str">
        <f>IF($FH6547="","",SUM($FN6547:$FN$7000))</f>
        <v/>
      </c>
      <c r="FK6547" s="36" t="str">
        <f>IF($FH6547="","",SUM($FN6547:$FN$7000))</f>
        <v/>
      </c>
    </row>
    <row r="6548" spans="164:167">
      <c r="FH6548" s="29" t="str">
        <f t="shared" si="157"/>
        <v/>
      </c>
      <c r="FJ6548" s="36" t="str">
        <f>IF($FH6548="","",SUM($FN6548:$FN$7000))</f>
        <v/>
      </c>
      <c r="FK6548" s="36" t="str">
        <f>IF($FH6548="","",SUM($FN6548:$FN$7000))</f>
        <v/>
      </c>
    </row>
    <row r="6549" spans="164:167">
      <c r="FH6549" s="29" t="str">
        <f t="shared" si="157"/>
        <v/>
      </c>
      <c r="FJ6549" s="36" t="str">
        <f>IF($FH6549="","",SUM($FN6549:$FN$7000))</f>
        <v/>
      </c>
      <c r="FK6549" s="36" t="str">
        <f>IF($FH6549="","",SUM($FN6549:$FN$7000))</f>
        <v/>
      </c>
    </row>
    <row r="6550" spans="164:167">
      <c r="FH6550" s="29" t="str">
        <f t="shared" si="157"/>
        <v/>
      </c>
      <c r="FJ6550" s="36" t="str">
        <f>IF($FH6550="","",SUM($FN6550:$FN$7000))</f>
        <v/>
      </c>
      <c r="FK6550" s="36" t="str">
        <f>IF($FH6550="","",SUM($FN6550:$FN$7000))</f>
        <v/>
      </c>
    </row>
    <row r="6551" spans="164:167">
      <c r="FH6551" s="29" t="str">
        <f t="shared" si="157"/>
        <v/>
      </c>
      <c r="FJ6551" s="36" t="str">
        <f>IF($FH6551="","",SUM($FN6551:$FN$7000))</f>
        <v/>
      </c>
      <c r="FK6551" s="36" t="str">
        <f>IF($FH6551="","",SUM($FN6551:$FN$7000))</f>
        <v/>
      </c>
    </row>
    <row r="6552" spans="164:167">
      <c r="FH6552" s="29" t="str">
        <f t="shared" si="157"/>
        <v/>
      </c>
      <c r="FJ6552" s="36" t="str">
        <f>IF($FH6552="","",SUM($FN6552:$FN$7000))</f>
        <v/>
      </c>
      <c r="FK6552" s="36" t="str">
        <f>IF($FH6552="","",SUM($FN6552:$FN$7000))</f>
        <v/>
      </c>
    </row>
    <row r="6553" spans="164:167">
      <c r="FH6553" s="29" t="str">
        <f t="shared" si="157"/>
        <v/>
      </c>
      <c r="FJ6553" s="36" t="str">
        <f>IF($FH6553="","",SUM($FN6553:$FN$7000))</f>
        <v/>
      </c>
      <c r="FK6553" s="36" t="str">
        <f>IF($FH6553="","",SUM($FN6553:$FN$7000))</f>
        <v/>
      </c>
    </row>
    <row r="6554" spans="164:167">
      <c r="FH6554" s="29" t="str">
        <f t="shared" si="157"/>
        <v/>
      </c>
      <c r="FJ6554" s="36" t="str">
        <f>IF($FH6554="","",SUM($FN6554:$FN$7000))</f>
        <v/>
      </c>
      <c r="FK6554" s="36" t="str">
        <f>IF($FH6554="","",SUM($FN6554:$FN$7000))</f>
        <v/>
      </c>
    </row>
    <row r="6555" spans="164:167">
      <c r="FH6555" s="29" t="str">
        <f t="shared" si="157"/>
        <v/>
      </c>
      <c r="FJ6555" s="36" t="str">
        <f>IF($FH6555="","",SUM($FN6555:$FN$7000))</f>
        <v/>
      </c>
      <c r="FK6555" s="36" t="str">
        <f>IF($FH6555="","",SUM($FN6555:$FN$7000))</f>
        <v/>
      </c>
    </row>
    <row r="6556" spans="164:167">
      <c r="FH6556" s="29" t="str">
        <f t="shared" si="157"/>
        <v/>
      </c>
      <c r="FJ6556" s="36" t="str">
        <f>IF($FH6556="","",SUM($FN6556:$FN$7000))</f>
        <v/>
      </c>
      <c r="FK6556" s="36" t="str">
        <f>IF($FH6556="","",SUM($FN6556:$FN$7000))</f>
        <v/>
      </c>
    </row>
    <row r="6557" spans="164:167">
      <c r="FH6557" s="29" t="str">
        <f t="shared" si="157"/>
        <v/>
      </c>
      <c r="FJ6557" s="36" t="str">
        <f>IF($FH6557="","",SUM($FN6557:$FN$7000))</f>
        <v/>
      </c>
      <c r="FK6557" s="36" t="str">
        <f>IF($FH6557="","",SUM($FN6557:$FN$7000))</f>
        <v/>
      </c>
    </row>
    <row r="6558" spans="164:167">
      <c r="FH6558" s="29" t="str">
        <f t="shared" si="157"/>
        <v/>
      </c>
      <c r="FJ6558" s="36" t="str">
        <f>IF($FH6558="","",SUM($FN6558:$FN$7000))</f>
        <v/>
      </c>
      <c r="FK6558" s="36" t="str">
        <f>IF($FH6558="","",SUM($FN6558:$FN$7000))</f>
        <v/>
      </c>
    </row>
    <row r="6559" spans="164:167">
      <c r="FH6559" s="29" t="str">
        <f t="shared" si="157"/>
        <v/>
      </c>
      <c r="FJ6559" s="36" t="str">
        <f>IF($FH6559="","",SUM($FN6559:$FN$7000))</f>
        <v/>
      </c>
      <c r="FK6559" s="36" t="str">
        <f>IF($FH6559="","",SUM($FN6559:$FN$7000))</f>
        <v/>
      </c>
    </row>
    <row r="6560" spans="164:167">
      <c r="FH6560" s="29" t="str">
        <f t="shared" si="157"/>
        <v/>
      </c>
      <c r="FJ6560" s="36" t="str">
        <f>IF($FH6560="","",SUM($FN6560:$FN$7000))</f>
        <v/>
      </c>
      <c r="FK6560" s="36" t="str">
        <f>IF($FH6560="","",SUM($FN6560:$FN$7000))</f>
        <v/>
      </c>
    </row>
    <row r="6561" spans="164:167">
      <c r="FH6561" s="29" t="str">
        <f t="shared" si="157"/>
        <v/>
      </c>
      <c r="FJ6561" s="36" t="str">
        <f>IF($FH6561="","",SUM($FN6561:$FN$7000))</f>
        <v/>
      </c>
      <c r="FK6561" s="36" t="str">
        <f>IF($FH6561="","",SUM($FN6561:$FN$7000))</f>
        <v/>
      </c>
    </row>
    <row r="6562" spans="164:167">
      <c r="FH6562" s="29" t="str">
        <f t="shared" si="157"/>
        <v/>
      </c>
      <c r="FJ6562" s="36" t="str">
        <f>IF($FH6562="","",SUM($FN6562:$FN$7000))</f>
        <v/>
      </c>
      <c r="FK6562" s="36" t="str">
        <f>IF($FH6562="","",SUM($FN6562:$FN$7000))</f>
        <v/>
      </c>
    </row>
    <row r="6563" spans="164:167">
      <c r="FH6563" s="29" t="str">
        <f t="shared" si="157"/>
        <v/>
      </c>
      <c r="FJ6563" s="36" t="str">
        <f>IF($FH6563="","",SUM($FN6563:$FN$7000))</f>
        <v/>
      </c>
      <c r="FK6563" s="36" t="str">
        <f>IF($FH6563="","",SUM($FN6563:$FN$7000))</f>
        <v/>
      </c>
    </row>
    <row r="6564" spans="164:167">
      <c r="FH6564" s="29" t="str">
        <f t="shared" si="157"/>
        <v/>
      </c>
      <c r="FJ6564" s="36" t="str">
        <f>IF($FH6564="","",SUM($FN6564:$FN$7000))</f>
        <v/>
      </c>
      <c r="FK6564" s="36" t="str">
        <f>IF($FH6564="","",SUM($FN6564:$FN$7000))</f>
        <v/>
      </c>
    </row>
    <row r="6565" spans="164:167">
      <c r="FH6565" s="29" t="str">
        <f t="shared" si="157"/>
        <v/>
      </c>
      <c r="FJ6565" s="36" t="str">
        <f>IF($FH6565="","",SUM($FN6565:$FN$7000))</f>
        <v/>
      </c>
      <c r="FK6565" s="36" t="str">
        <f>IF($FH6565="","",SUM($FN6565:$FN$7000))</f>
        <v/>
      </c>
    </row>
    <row r="6566" spans="164:167">
      <c r="FH6566" s="29" t="str">
        <f t="shared" si="157"/>
        <v/>
      </c>
      <c r="FJ6566" s="36" t="str">
        <f>IF($FH6566="","",SUM($FN6566:$FN$7000))</f>
        <v/>
      </c>
      <c r="FK6566" s="36" t="str">
        <f>IF($FH6566="","",SUM($FN6566:$FN$7000))</f>
        <v/>
      </c>
    </row>
    <row r="6567" spans="164:167">
      <c r="FH6567" s="29" t="str">
        <f t="shared" si="157"/>
        <v/>
      </c>
      <c r="FJ6567" s="36" t="str">
        <f>IF($FH6567="","",SUM($FN6567:$FN$7000))</f>
        <v/>
      </c>
      <c r="FK6567" s="36" t="str">
        <f>IF($FH6567="","",SUM($FN6567:$FN$7000))</f>
        <v/>
      </c>
    </row>
    <row r="6568" spans="164:167">
      <c r="FH6568" s="29" t="str">
        <f t="shared" si="157"/>
        <v/>
      </c>
      <c r="FJ6568" s="36" t="str">
        <f>IF($FH6568="","",SUM($FN6568:$FN$7000))</f>
        <v/>
      </c>
      <c r="FK6568" s="36" t="str">
        <f>IF($FH6568="","",SUM($FN6568:$FN$7000))</f>
        <v/>
      </c>
    </row>
    <row r="6569" spans="164:167">
      <c r="FH6569" s="29" t="str">
        <f t="shared" si="157"/>
        <v/>
      </c>
      <c r="FJ6569" s="36" t="str">
        <f>IF($FH6569="","",SUM($FN6569:$FN$7000))</f>
        <v/>
      </c>
      <c r="FK6569" s="36" t="str">
        <f>IF($FH6569="","",SUM($FN6569:$FN$7000))</f>
        <v/>
      </c>
    </row>
    <row r="6570" spans="164:167">
      <c r="FH6570" s="29" t="str">
        <f t="shared" si="157"/>
        <v/>
      </c>
      <c r="FJ6570" s="36" t="str">
        <f>IF($FH6570="","",SUM($FN6570:$FN$7000))</f>
        <v/>
      </c>
      <c r="FK6570" s="36" t="str">
        <f>IF($FH6570="","",SUM($FN6570:$FN$7000))</f>
        <v/>
      </c>
    </row>
    <row r="6571" spans="164:167">
      <c r="FH6571" s="29" t="str">
        <f t="shared" si="157"/>
        <v/>
      </c>
      <c r="FJ6571" s="36" t="str">
        <f>IF($FH6571="","",SUM($FN6571:$FN$7000))</f>
        <v/>
      </c>
      <c r="FK6571" s="36" t="str">
        <f>IF($FH6571="","",SUM($FN6571:$FN$7000))</f>
        <v/>
      </c>
    </row>
    <row r="6572" spans="164:167">
      <c r="FH6572" s="29" t="str">
        <f t="shared" si="157"/>
        <v/>
      </c>
      <c r="FJ6572" s="36" t="str">
        <f>IF($FH6572="","",SUM($FN6572:$FN$7000))</f>
        <v/>
      </c>
      <c r="FK6572" s="36" t="str">
        <f>IF($FH6572="","",SUM($FN6572:$FN$7000))</f>
        <v/>
      </c>
    </row>
    <row r="6573" spans="164:167">
      <c r="FH6573" s="29" t="str">
        <f t="shared" si="157"/>
        <v/>
      </c>
      <c r="FJ6573" s="36" t="str">
        <f>IF($FH6573="","",SUM($FN6573:$FN$7000))</f>
        <v/>
      </c>
      <c r="FK6573" s="36" t="str">
        <f>IF($FH6573="","",SUM($FN6573:$FN$7000))</f>
        <v/>
      </c>
    </row>
    <row r="6574" spans="164:167">
      <c r="FH6574" s="29" t="str">
        <f t="shared" si="157"/>
        <v/>
      </c>
      <c r="FJ6574" s="36" t="str">
        <f>IF($FH6574="","",SUM($FN6574:$FN$7000))</f>
        <v/>
      </c>
      <c r="FK6574" s="36" t="str">
        <f>IF($FH6574="","",SUM($FN6574:$FN$7000))</f>
        <v/>
      </c>
    </row>
    <row r="6575" spans="164:167">
      <c r="FH6575" s="29" t="str">
        <f t="shared" si="157"/>
        <v/>
      </c>
      <c r="FJ6575" s="36" t="str">
        <f>IF($FH6575="","",SUM($FN6575:$FN$7000))</f>
        <v/>
      </c>
      <c r="FK6575" s="36" t="str">
        <f>IF($FH6575="","",SUM($FN6575:$FN$7000))</f>
        <v/>
      </c>
    </row>
    <row r="6576" spans="164:167">
      <c r="FH6576" s="29" t="str">
        <f t="shared" si="157"/>
        <v/>
      </c>
      <c r="FJ6576" s="36" t="str">
        <f>IF($FH6576="","",SUM($FN6576:$FN$7000))</f>
        <v/>
      </c>
      <c r="FK6576" s="36" t="str">
        <f>IF($FH6576="","",SUM($FN6576:$FN$7000))</f>
        <v/>
      </c>
    </row>
    <row r="6577" spans="164:167">
      <c r="FH6577" s="29" t="str">
        <f t="shared" si="157"/>
        <v/>
      </c>
      <c r="FJ6577" s="36" t="str">
        <f>IF($FH6577="","",SUM($FN6577:$FN$7000))</f>
        <v/>
      </c>
      <c r="FK6577" s="36" t="str">
        <f>IF($FH6577="","",SUM($FN6577:$FN$7000))</f>
        <v/>
      </c>
    </row>
    <row r="6578" spans="164:167">
      <c r="FH6578" s="29" t="str">
        <f t="shared" si="157"/>
        <v/>
      </c>
      <c r="FJ6578" s="36" t="str">
        <f>IF($FH6578="","",SUM($FN6578:$FN$7000))</f>
        <v/>
      </c>
      <c r="FK6578" s="36" t="str">
        <f>IF($FH6578="","",SUM($FN6578:$FN$7000))</f>
        <v/>
      </c>
    </row>
    <row r="6579" spans="164:167">
      <c r="FH6579" s="29" t="str">
        <f t="shared" si="157"/>
        <v/>
      </c>
      <c r="FJ6579" s="36" t="str">
        <f>IF($FH6579="","",SUM($FN6579:$FN$7000))</f>
        <v/>
      </c>
      <c r="FK6579" s="36" t="str">
        <f>IF($FH6579="","",SUM($FN6579:$FN$7000))</f>
        <v/>
      </c>
    </row>
    <row r="6580" spans="164:167">
      <c r="FH6580" s="29" t="str">
        <f t="shared" si="157"/>
        <v/>
      </c>
      <c r="FJ6580" s="36" t="str">
        <f>IF($FH6580="","",SUM($FN6580:$FN$7000))</f>
        <v/>
      </c>
      <c r="FK6580" s="36" t="str">
        <f>IF($FH6580="","",SUM($FN6580:$FN$7000))</f>
        <v/>
      </c>
    </row>
    <row r="6581" spans="164:167">
      <c r="FH6581" s="29" t="str">
        <f t="shared" si="157"/>
        <v/>
      </c>
      <c r="FJ6581" s="36" t="str">
        <f>IF($FH6581="","",SUM($FN6581:$FN$7000))</f>
        <v/>
      </c>
      <c r="FK6581" s="36" t="str">
        <f>IF($FH6581="","",SUM($FN6581:$FN$7000))</f>
        <v/>
      </c>
    </row>
    <row r="6582" spans="164:167">
      <c r="FH6582" s="29" t="str">
        <f t="shared" si="157"/>
        <v/>
      </c>
      <c r="FJ6582" s="36" t="str">
        <f>IF($FH6582="","",SUM($FN6582:$FN$7000))</f>
        <v/>
      </c>
      <c r="FK6582" s="36" t="str">
        <f>IF($FH6582="","",SUM($FN6582:$FN$7000))</f>
        <v/>
      </c>
    </row>
    <row r="6583" spans="164:167">
      <c r="FH6583" s="29" t="str">
        <f t="shared" si="157"/>
        <v/>
      </c>
      <c r="FJ6583" s="36" t="str">
        <f>IF($FH6583="","",SUM($FN6583:$FN$7000))</f>
        <v/>
      </c>
      <c r="FK6583" s="36" t="str">
        <f>IF($FH6583="","",SUM($FN6583:$FN$7000))</f>
        <v/>
      </c>
    </row>
    <row r="6584" spans="164:167">
      <c r="FH6584" s="29" t="str">
        <f t="shared" si="157"/>
        <v/>
      </c>
      <c r="FJ6584" s="36" t="str">
        <f>IF($FH6584="","",SUM($FN6584:$FN$7000))</f>
        <v/>
      </c>
      <c r="FK6584" s="36" t="str">
        <f>IF($FH6584="","",SUM($FN6584:$FN$7000))</f>
        <v/>
      </c>
    </row>
    <row r="6585" spans="164:167">
      <c r="FH6585" s="29" t="str">
        <f t="shared" si="157"/>
        <v/>
      </c>
      <c r="FJ6585" s="36" t="str">
        <f>IF($FH6585="","",SUM($FN6585:$FN$7000))</f>
        <v/>
      </c>
      <c r="FK6585" s="36" t="str">
        <f>IF($FH6585="","",SUM($FN6585:$FN$7000))</f>
        <v/>
      </c>
    </row>
    <row r="6586" spans="164:167">
      <c r="FH6586" s="29" t="str">
        <f t="shared" si="157"/>
        <v/>
      </c>
      <c r="FJ6586" s="36" t="str">
        <f>IF($FH6586="","",SUM($FN6586:$FN$7000))</f>
        <v/>
      </c>
      <c r="FK6586" s="36" t="str">
        <f>IF($FH6586="","",SUM($FN6586:$FN$7000))</f>
        <v/>
      </c>
    </row>
    <row r="6587" spans="164:167">
      <c r="FH6587" s="29" t="str">
        <f t="shared" si="157"/>
        <v/>
      </c>
      <c r="FJ6587" s="36" t="str">
        <f>IF($FH6587="","",SUM($FN6587:$FN$7000))</f>
        <v/>
      </c>
      <c r="FK6587" s="36" t="str">
        <f>IF($FH6587="","",SUM($FN6587:$FN$7000))</f>
        <v/>
      </c>
    </row>
    <row r="6588" spans="164:167">
      <c r="FH6588" s="29" t="str">
        <f t="shared" si="157"/>
        <v/>
      </c>
      <c r="FJ6588" s="36" t="str">
        <f>IF($FH6588="","",SUM($FN6588:$FN$7000))</f>
        <v/>
      </c>
      <c r="FK6588" s="36" t="str">
        <f>IF($FH6588="","",SUM($FN6588:$FN$7000))</f>
        <v/>
      </c>
    </row>
    <row r="6589" spans="164:167">
      <c r="FH6589" s="29" t="str">
        <f t="shared" si="157"/>
        <v/>
      </c>
      <c r="FJ6589" s="36" t="str">
        <f>IF($FH6589="","",SUM($FN6589:$FN$7000))</f>
        <v/>
      </c>
      <c r="FK6589" s="36" t="str">
        <f>IF($FH6589="","",SUM($FN6589:$FN$7000))</f>
        <v/>
      </c>
    </row>
    <row r="6590" spans="164:167">
      <c r="FH6590" s="29" t="str">
        <f t="shared" si="157"/>
        <v/>
      </c>
      <c r="FJ6590" s="36" t="str">
        <f>IF($FH6590="","",SUM($FN6590:$FN$7000))</f>
        <v/>
      </c>
      <c r="FK6590" s="36" t="str">
        <f>IF($FH6590="","",SUM($FN6590:$FN$7000))</f>
        <v/>
      </c>
    </row>
    <row r="6591" spans="164:167">
      <c r="FH6591" s="29" t="str">
        <f t="shared" si="157"/>
        <v/>
      </c>
      <c r="FJ6591" s="36" t="str">
        <f>IF($FH6591="","",SUM($FN6591:$FN$7000))</f>
        <v/>
      </c>
      <c r="FK6591" s="36" t="str">
        <f>IF($FH6591="","",SUM($FN6591:$FN$7000))</f>
        <v/>
      </c>
    </row>
    <row r="6592" spans="164:167">
      <c r="FH6592" s="29" t="str">
        <f t="shared" si="157"/>
        <v/>
      </c>
      <c r="FJ6592" s="36" t="str">
        <f>IF($FH6592="","",SUM($FN6592:$FN$7000))</f>
        <v/>
      </c>
      <c r="FK6592" s="36" t="str">
        <f>IF($FH6592="","",SUM($FN6592:$FN$7000))</f>
        <v/>
      </c>
    </row>
    <row r="6593" spans="164:167">
      <c r="FH6593" s="29" t="str">
        <f t="shared" si="157"/>
        <v/>
      </c>
      <c r="FJ6593" s="36" t="str">
        <f>IF($FH6593="","",SUM($FN6593:$FN$7000))</f>
        <v/>
      </c>
      <c r="FK6593" s="36" t="str">
        <f>IF($FH6593="","",SUM($FN6593:$FN$7000))</f>
        <v/>
      </c>
    </row>
    <row r="6594" spans="164:167">
      <c r="FH6594" s="29" t="str">
        <f t="shared" si="157"/>
        <v/>
      </c>
      <c r="FJ6594" s="36" t="str">
        <f>IF($FH6594="","",SUM($FN6594:$FN$7000))</f>
        <v/>
      </c>
      <c r="FK6594" s="36" t="str">
        <f>IF($FH6594="","",SUM($FN6594:$FN$7000))</f>
        <v/>
      </c>
    </row>
    <row r="6595" spans="164:167">
      <c r="FH6595" s="29" t="str">
        <f t="shared" si="157"/>
        <v/>
      </c>
      <c r="FJ6595" s="36" t="str">
        <f>IF($FH6595="","",SUM($FN6595:$FN$7000))</f>
        <v/>
      </c>
      <c r="FK6595" s="36" t="str">
        <f>IF($FH6595="","",SUM($FN6595:$FN$7000))</f>
        <v/>
      </c>
    </row>
    <row r="6596" spans="164:167">
      <c r="FH6596" s="29" t="str">
        <f t="shared" si="157"/>
        <v/>
      </c>
      <c r="FJ6596" s="36" t="str">
        <f>IF($FH6596="","",SUM($FN6596:$FN$7000))</f>
        <v/>
      </c>
      <c r="FK6596" s="36" t="str">
        <f>IF($FH6596="","",SUM($FN6596:$FN$7000))</f>
        <v/>
      </c>
    </row>
    <row r="6597" spans="164:167">
      <c r="FH6597" s="29" t="str">
        <f t="shared" si="157"/>
        <v/>
      </c>
      <c r="FJ6597" s="36" t="str">
        <f>IF($FH6597="","",SUM($FN6597:$FN$7000))</f>
        <v/>
      </c>
      <c r="FK6597" s="36" t="str">
        <f>IF($FH6597="","",SUM($FN6597:$FN$7000))</f>
        <v/>
      </c>
    </row>
    <row r="6598" spans="164:167">
      <c r="FH6598" s="29" t="str">
        <f t="shared" si="157"/>
        <v/>
      </c>
      <c r="FJ6598" s="36" t="str">
        <f>IF($FH6598="","",SUM($FN6598:$FN$7000))</f>
        <v/>
      </c>
      <c r="FK6598" s="36" t="str">
        <f>IF($FH6598="","",SUM($FN6598:$FN$7000))</f>
        <v/>
      </c>
    </row>
    <row r="6599" spans="164:167">
      <c r="FH6599" s="29" t="str">
        <f t="shared" si="157"/>
        <v/>
      </c>
      <c r="FJ6599" s="36" t="str">
        <f>IF($FH6599="","",SUM($FN6599:$FN$7000))</f>
        <v/>
      </c>
      <c r="FK6599" s="36" t="str">
        <f>IF($FH6599="","",SUM($FN6599:$FN$7000))</f>
        <v/>
      </c>
    </row>
    <row r="6600" spans="164:167">
      <c r="FH6600" s="29" t="str">
        <f t="shared" si="157"/>
        <v/>
      </c>
      <c r="FJ6600" s="36" t="str">
        <f>IF($FH6600="","",SUM($FN6600:$FN$7000))</f>
        <v/>
      </c>
      <c r="FK6600" s="36" t="str">
        <f>IF($FH6600="","",SUM($FN6600:$FN$7000))</f>
        <v/>
      </c>
    </row>
    <row r="6601" spans="164:167">
      <c r="FH6601" s="29" t="str">
        <f t="shared" si="157"/>
        <v/>
      </c>
      <c r="FJ6601" s="36" t="str">
        <f>IF($FH6601="","",SUM($FN6601:$FN$7000))</f>
        <v/>
      </c>
      <c r="FK6601" s="36" t="str">
        <f>IF($FH6601="","",SUM($FN6601:$FN$7000))</f>
        <v/>
      </c>
    </row>
    <row r="6602" spans="164:167">
      <c r="FH6602" s="29" t="str">
        <f t="shared" si="157"/>
        <v/>
      </c>
      <c r="FJ6602" s="36" t="str">
        <f>IF($FH6602="","",SUM($FN6602:$FN$7000))</f>
        <v/>
      </c>
      <c r="FK6602" s="36" t="str">
        <f>IF($FH6602="","",SUM($FN6602:$FN$7000))</f>
        <v/>
      </c>
    </row>
    <row r="6603" spans="164:167">
      <c r="FH6603" s="29" t="str">
        <f t="shared" ref="FH6603:FH6666" si="158">IF(FL6603="","",FL6603)</f>
        <v/>
      </c>
      <c r="FJ6603" s="36" t="str">
        <f>IF($FH6603="","",SUM($FN6603:$FN$7000))</f>
        <v/>
      </c>
      <c r="FK6603" s="36" t="str">
        <f>IF($FH6603="","",SUM($FN6603:$FN$7000))</f>
        <v/>
      </c>
    </row>
    <row r="6604" spans="164:167">
      <c r="FH6604" s="29" t="str">
        <f t="shared" si="158"/>
        <v/>
      </c>
      <c r="FJ6604" s="36" t="str">
        <f>IF($FH6604="","",SUM($FN6604:$FN$7000))</f>
        <v/>
      </c>
      <c r="FK6604" s="36" t="str">
        <f>IF($FH6604="","",SUM($FN6604:$FN$7000))</f>
        <v/>
      </c>
    </row>
    <row r="6605" spans="164:167">
      <c r="FH6605" s="29" t="str">
        <f t="shared" si="158"/>
        <v/>
      </c>
      <c r="FJ6605" s="36" t="str">
        <f>IF($FH6605="","",SUM($FN6605:$FN$7000))</f>
        <v/>
      </c>
      <c r="FK6605" s="36" t="str">
        <f>IF($FH6605="","",SUM($FN6605:$FN$7000))</f>
        <v/>
      </c>
    </row>
    <row r="6606" spans="164:167">
      <c r="FH6606" s="29" t="str">
        <f t="shared" si="158"/>
        <v/>
      </c>
      <c r="FJ6606" s="36" t="str">
        <f>IF($FH6606="","",SUM($FN6606:$FN$7000))</f>
        <v/>
      </c>
      <c r="FK6606" s="36" t="str">
        <f>IF($FH6606="","",SUM($FN6606:$FN$7000))</f>
        <v/>
      </c>
    </row>
    <row r="6607" spans="164:167">
      <c r="FH6607" s="29" t="str">
        <f t="shared" si="158"/>
        <v/>
      </c>
      <c r="FJ6607" s="36" t="str">
        <f>IF($FH6607="","",SUM($FN6607:$FN$7000))</f>
        <v/>
      </c>
      <c r="FK6607" s="36" t="str">
        <f>IF($FH6607="","",SUM($FN6607:$FN$7000))</f>
        <v/>
      </c>
    </row>
    <row r="6608" spans="164:167">
      <c r="FH6608" s="29" t="str">
        <f t="shared" si="158"/>
        <v/>
      </c>
      <c r="FJ6608" s="36" t="str">
        <f>IF($FH6608="","",SUM($FN6608:$FN$7000))</f>
        <v/>
      </c>
      <c r="FK6608" s="36" t="str">
        <f>IF($FH6608="","",SUM($FN6608:$FN$7000))</f>
        <v/>
      </c>
    </row>
    <row r="6609" spans="164:167">
      <c r="FH6609" s="29" t="str">
        <f t="shared" si="158"/>
        <v/>
      </c>
      <c r="FJ6609" s="36" t="str">
        <f>IF($FH6609="","",SUM($FN6609:$FN$7000))</f>
        <v/>
      </c>
      <c r="FK6609" s="36" t="str">
        <f>IF($FH6609="","",SUM($FN6609:$FN$7000))</f>
        <v/>
      </c>
    </row>
    <row r="6610" spans="164:167">
      <c r="FH6610" s="29" t="str">
        <f t="shared" si="158"/>
        <v/>
      </c>
      <c r="FJ6610" s="36" t="str">
        <f>IF($FH6610="","",SUM($FN6610:$FN$7000))</f>
        <v/>
      </c>
      <c r="FK6610" s="36" t="str">
        <f>IF($FH6610="","",SUM($FN6610:$FN$7000))</f>
        <v/>
      </c>
    </row>
    <row r="6611" spans="164:167">
      <c r="FH6611" s="29" t="str">
        <f t="shared" si="158"/>
        <v/>
      </c>
      <c r="FJ6611" s="36" t="str">
        <f>IF($FH6611="","",SUM($FN6611:$FN$7000))</f>
        <v/>
      </c>
      <c r="FK6611" s="36" t="str">
        <f>IF($FH6611="","",SUM($FN6611:$FN$7000))</f>
        <v/>
      </c>
    </row>
    <row r="6612" spans="164:167">
      <c r="FH6612" s="29" t="str">
        <f t="shared" si="158"/>
        <v/>
      </c>
      <c r="FJ6612" s="36" t="str">
        <f>IF($FH6612="","",SUM($FN6612:$FN$7000))</f>
        <v/>
      </c>
      <c r="FK6612" s="36" t="str">
        <f>IF($FH6612="","",SUM($FN6612:$FN$7000))</f>
        <v/>
      </c>
    </row>
    <row r="6613" spans="164:167">
      <c r="FH6613" s="29" t="str">
        <f t="shared" si="158"/>
        <v/>
      </c>
      <c r="FJ6613" s="36" t="str">
        <f>IF($FH6613="","",SUM($FN6613:$FN$7000))</f>
        <v/>
      </c>
      <c r="FK6613" s="36" t="str">
        <f>IF($FH6613="","",SUM($FN6613:$FN$7000))</f>
        <v/>
      </c>
    </row>
    <row r="6614" spans="164:167">
      <c r="FH6614" s="29" t="str">
        <f t="shared" si="158"/>
        <v/>
      </c>
      <c r="FJ6614" s="36" t="str">
        <f>IF($FH6614="","",SUM($FN6614:$FN$7000))</f>
        <v/>
      </c>
      <c r="FK6614" s="36" t="str">
        <f>IF($FH6614="","",SUM($FN6614:$FN$7000))</f>
        <v/>
      </c>
    </row>
    <row r="6615" spans="164:167">
      <c r="FH6615" s="29" t="str">
        <f t="shared" si="158"/>
        <v/>
      </c>
      <c r="FJ6615" s="36" t="str">
        <f>IF($FH6615="","",SUM($FN6615:$FN$7000))</f>
        <v/>
      </c>
      <c r="FK6615" s="36" t="str">
        <f>IF($FH6615="","",SUM($FN6615:$FN$7000))</f>
        <v/>
      </c>
    </row>
    <row r="6616" spans="164:167">
      <c r="FH6616" s="29" t="str">
        <f t="shared" si="158"/>
        <v/>
      </c>
      <c r="FJ6616" s="36" t="str">
        <f>IF($FH6616="","",SUM($FN6616:$FN$7000))</f>
        <v/>
      </c>
      <c r="FK6616" s="36" t="str">
        <f>IF($FH6616="","",SUM($FN6616:$FN$7000))</f>
        <v/>
      </c>
    </row>
    <row r="6617" spans="164:167">
      <c r="FH6617" s="29" t="str">
        <f t="shared" si="158"/>
        <v/>
      </c>
      <c r="FJ6617" s="36" t="str">
        <f>IF($FH6617="","",SUM($FN6617:$FN$7000))</f>
        <v/>
      </c>
      <c r="FK6617" s="36" t="str">
        <f>IF($FH6617="","",SUM($FN6617:$FN$7000))</f>
        <v/>
      </c>
    </row>
    <row r="6618" spans="164:167">
      <c r="FH6618" s="29" t="str">
        <f t="shared" si="158"/>
        <v/>
      </c>
      <c r="FJ6618" s="36" t="str">
        <f>IF($FH6618="","",SUM($FN6618:$FN$7000))</f>
        <v/>
      </c>
      <c r="FK6618" s="36" t="str">
        <f>IF($FH6618="","",SUM($FN6618:$FN$7000))</f>
        <v/>
      </c>
    </row>
    <row r="6619" spans="164:167">
      <c r="FH6619" s="29" t="str">
        <f t="shared" si="158"/>
        <v/>
      </c>
      <c r="FJ6619" s="36" t="str">
        <f>IF($FH6619="","",SUM($FN6619:$FN$7000))</f>
        <v/>
      </c>
      <c r="FK6619" s="36" t="str">
        <f>IF($FH6619="","",SUM($FN6619:$FN$7000))</f>
        <v/>
      </c>
    </row>
    <row r="6620" spans="164:167">
      <c r="FH6620" s="29" t="str">
        <f t="shared" si="158"/>
        <v/>
      </c>
      <c r="FJ6620" s="36" t="str">
        <f>IF($FH6620="","",SUM($FN6620:$FN$7000))</f>
        <v/>
      </c>
      <c r="FK6620" s="36" t="str">
        <f>IF($FH6620="","",SUM($FN6620:$FN$7000))</f>
        <v/>
      </c>
    </row>
    <row r="6621" spans="164:167">
      <c r="FH6621" s="29" t="str">
        <f t="shared" si="158"/>
        <v/>
      </c>
      <c r="FJ6621" s="36" t="str">
        <f>IF($FH6621="","",SUM($FN6621:$FN$7000))</f>
        <v/>
      </c>
      <c r="FK6621" s="36" t="str">
        <f>IF($FH6621="","",SUM($FN6621:$FN$7000))</f>
        <v/>
      </c>
    </row>
    <row r="6622" spans="164:167">
      <c r="FH6622" s="29" t="str">
        <f t="shared" si="158"/>
        <v/>
      </c>
      <c r="FJ6622" s="36" t="str">
        <f>IF($FH6622="","",SUM($FN6622:$FN$7000))</f>
        <v/>
      </c>
      <c r="FK6622" s="36" t="str">
        <f>IF($FH6622="","",SUM($FN6622:$FN$7000))</f>
        <v/>
      </c>
    </row>
    <row r="6623" spans="164:167">
      <c r="FH6623" s="29" t="str">
        <f t="shared" si="158"/>
        <v/>
      </c>
      <c r="FJ6623" s="36" t="str">
        <f>IF($FH6623="","",SUM($FN6623:$FN$7000))</f>
        <v/>
      </c>
      <c r="FK6623" s="36" t="str">
        <f>IF($FH6623="","",SUM($FN6623:$FN$7000))</f>
        <v/>
      </c>
    </row>
    <row r="6624" spans="164:167">
      <c r="FH6624" s="29" t="str">
        <f t="shared" si="158"/>
        <v/>
      </c>
      <c r="FJ6624" s="36" t="str">
        <f>IF($FH6624="","",SUM($FN6624:$FN$7000))</f>
        <v/>
      </c>
      <c r="FK6624" s="36" t="str">
        <f>IF($FH6624="","",SUM($FN6624:$FN$7000))</f>
        <v/>
      </c>
    </row>
    <row r="6625" spans="164:167">
      <c r="FH6625" s="29" t="str">
        <f t="shared" si="158"/>
        <v/>
      </c>
      <c r="FJ6625" s="36" t="str">
        <f>IF($FH6625="","",SUM($FN6625:$FN$7000))</f>
        <v/>
      </c>
      <c r="FK6625" s="36" t="str">
        <f>IF($FH6625="","",SUM($FN6625:$FN$7000))</f>
        <v/>
      </c>
    </row>
    <row r="6626" spans="164:167">
      <c r="FH6626" s="29" t="str">
        <f t="shared" si="158"/>
        <v/>
      </c>
      <c r="FJ6626" s="36" t="str">
        <f>IF($FH6626="","",SUM($FN6626:$FN$7000))</f>
        <v/>
      </c>
      <c r="FK6626" s="36" t="str">
        <f>IF($FH6626="","",SUM($FN6626:$FN$7000))</f>
        <v/>
      </c>
    </row>
    <row r="6627" spans="164:167">
      <c r="FH6627" s="29" t="str">
        <f t="shared" si="158"/>
        <v/>
      </c>
      <c r="FJ6627" s="36" t="str">
        <f>IF($FH6627="","",SUM($FN6627:$FN$7000))</f>
        <v/>
      </c>
      <c r="FK6627" s="36" t="str">
        <f>IF($FH6627="","",SUM($FN6627:$FN$7000))</f>
        <v/>
      </c>
    </row>
    <row r="6628" spans="164:167">
      <c r="FH6628" s="29" t="str">
        <f t="shared" si="158"/>
        <v/>
      </c>
      <c r="FJ6628" s="36" t="str">
        <f>IF($FH6628="","",SUM($FN6628:$FN$7000))</f>
        <v/>
      </c>
      <c r="FK6628" s="36" t="str">
        <f>IF($FH6628="","",SUM($FN6628:$FN$7000))</f>
        <v/>
      </c>
    </row>
    <row r="6629" spans="164:167">
      <c r="FH6629" s="29" t="str">
        <f t="shared" si="158"/>
        <v/>
      </c>
      <c r="FJ6629" s="36" t="str">
        <f>IF($FH6629="","",SUM($FN6629:$FN$7000))</f>
        <v/>
      </c>
      <c r="FK6629" s="36" t="str">
        <f>IF($FH6629="","",SUM($FN6629:$FN$7000))</f>
        <v/>
      </c>
    </row>
    <row r="6630" spans="164:167">
      <c r="FH6630" s="29" t="str">
        <f t="shared" si="158"/>
        <v/>
      </c>
      <c r="FJ6630" s="36" t="str">
        <f>IF($FH6630="","",SUM($FN6630:$FN$7000))</f>
        <v/>
      </c>
      <c r="FK6630" s="36" t="str">
        <f>IF($FH6630="","",SUM($FN6630:$FN$7000))</f>
        <v/>
      </c>
    </row>
    <row r="6631" spans="164:167">
      <c r="FH6631" s="29" t="str">
        <f t="shared" si="158"/>
        <v/>
      </c>
      <c r="FJ6631" s="36" t="str">
        <f>IF($FH6631="","",SUM($FN6631:$FN$7000))</f>
        <v/>
      </c>
      <c r="FK6631" s="36" t="str">
        <f>IF($FH6631="","",SUM($FN6631:$FN$7000))</f>
        <v/>
      </c>
    </row>
    <row r="6632" spans="164:167">
      <c r="FH6632" s="29" t="str">
        <f t="shared" si="158"/>
        <v/>
      </c>
      <c r="FJ6632" s="36" t="str">
        <f>IF($FH6632="","",SUM($FN6632:$FN$7000))</f>
        <v/>
      </c>
      <c r="FK6632" s="36" t="str">
        <f>IF($FH6632="","",SUM($FN6632:$FN$7000))</f>
        <v/>
      </c>
    </row>
    <row r="6633" spans="164:167">
      <c r="FH6633" s="29" t="str">
        <f t="shared" si="158"/>
        <v/>
      </c>
      <c r="FJ6633" s="36" t="str">
        <f>IF($FH6633="","",SUM($FN6633:$FN$7000))</f>
        <v/>
      </c>
      <c r="FK6633" s="36" t="str">
        <f>IF($FH6633="","",SUM($FN6633:$FN$7000))</f>
        <v/>
      </c>
    </row>
    <row r="6634" spans="164:167">
      <c r="FH6634" s="29" t="str">
        <f t="shared" si="158"/>
        <v/>
      </c>
      <c r="FJ6634" s="36" t="str">
        <f>IF($FH6634="","",SUM($FN6634:$FN$7000))</f>
        <v/>
      </c>
      <c r="FK6634" s="36" t="str">
        <f>IF($FH6634="","",SUM($FN6634:$FN$7000))</f>
        <v/>
      </c>
    </row>
    <row r="6635" spans="164:167">
      <c r="FH6635" s="29" t="str">
        <f t="shared" si="158"/>
        <v/>
      </c>
      <c r="FJ6635" s="36" t="str">
        <f>IF($FH6635="","",SUM($FN6635:$FN$7000))</f>
        <v/>
      </c>
      <c r="FK6635" s="36" t="str">
        <f>IF($FH6635="","",SUM($FN6635:$FN$7000))</f>
        <v/>
      </c>
    </row>
    <row r="6636" spans="164:167">
      <c r="FH6636" s="29" t="str">
        <f t="shared" si="158"/>
        <v/>
      </c>
      <c r="FJ6636" s="36" t="str">
        <f>IF($FH6636="","",SUM($FN6636:$FN$7000))</f>
        <v/>
      </c>
      <c r="FK6636" s="36" t="str">
        <f>IF($FH6636="","",SUM($FN6636:$FN$7000))</f>
        <v/>
      </c>
    </row>
    <row r="6637" spans="164:167">
      <c r="FH6637" s="29" t="str">
        <f t="shared" si="158"/>
        <v/>
      </c>
      <c r="FJ6637" s="36" t="str">
        <f>IF($FH6637="","",SUM($FN6637:$FN$7000))</f>
        <v/>
      </c>
      <c r="FK6637" s="36" t="str">
        <f>IF($FH6637="","",SUM($FN6637:$FN$7000))</f>
        <v/>
      </c>
    </row>
    <row r="6638" spans="164:167">
      <c r="FH6638" s="29" t="str">
        <f t="shared" si="158"/>
        <v/>
      </c>
      <c r="FJ6638" s="36" t="str">
        <f>IF($FH6638="","",SUM($FN6638:$FN$7000))</f>
        <v/>
      </c>
      <c r="FK6638" s="36" t="str">
        <f>IF($FH6638="","",SUM($FN6638:$FN$7000))</f>
        <v/>
      </c>
    </row>
    <row r="6639" spans="164:167">
      <c r="FH6639" s="29" t="str">
        <f t="shared" si="158"/>
        <v/>
      </c>
      <c r="FJ6639" s="36" t="str">
        <f>IF($FH6639="","",SUM($FN6639:$FN$7000))</f>
        <v/>
      </c>
      <c r="FK6639" s="36" t="str">
        <f>IF($FH6639="","",SUM($FN6639:$FN$7000))</f>
        <v/>
      </c>
    </row>
    <row r="6640" spans="164:167">
      <c r="FH6640" s="29" t="str">
        <f t="shared" si="158"/>
        <v/>
      </c>
      <c r="FJ6640" s="36" t="str">
        <f>IF($FH6640="","",SUM($FN6640:$FN$7000))</f>
        <v/>
      </c>
      <c r="FK6640" s="36" t="str">
        <f>IF($FH6640="","",SUM($FN6640:$FN$7000))</f>
        <v/>
      </c>
    </row>
    <row r="6641" spans="164:167">
      <c r="FH6641" s="29" t="str">
        <f t="shared" si="158"/>
        <v/>
      </c>
      <c r="FJ6641" s="36" t="str">
        <f>IF($FH6641="","",SUM($FN6641:$FN$7000))</f>
        <v/>
      </c>
      <c r="FK6641" s="36" t="str">
        <f>IF($FH6641="","",SUM($FN6641:$FN$7000))</f>
        <v/>
      </c>
    </row>
    <row r="6642" spans="164:167">
      <c r="FH6642" s="29" t="str">
        <f t="shared" si="158"/>
        <v/>
      </c>
      <c r="FJ6642" s="36" t="str">
        <f>IF($FH6642="","",SUM($FN6642:$FN$7000))</f>
        <v/>
      </c>
      <c r="FK6642" s="36" t="str">
        <f>IF($FH6642="","",SUM($FN6642:$FN$7000))</f>
        <v/>
      </c>
    </row>
    <row r="6643" spans="164:167">
      <c r="FH6643" s="29" t="str">
        <f t="shared" si="158"/>
        <v/>
      </c>
      <c r="FJ6643" s="36" t="str">
        <f>IF($FH6643="","",SUM($FN6643:$FN$7000))</f>
        <v/>
      </c>
      <c r="FK6643" s="36" t="str">
        <f>IF($FH6643="","",SUM($FN6643:$FN$7000))</f>
        <v/>
      </c>
    </row>
    <row r="6644" spans="164:167">
      <c r="FH6644" s="29" t="str">
        <f t="shared" si="158"/>
        <v/>
      </c>
      <c r="FJ6644" s="36" t="str">
        <f>IF($FH6644="","",SUM($FN6644:$FN$7000))</f>
        <v/>
      </c>
      <c r="FK6644" s="36" t="str">
        <f>IF($FH6644="","",SUM($FN6644:$FN$7000))</f>
        <v/>
      </c>
    </row>
    <row r="6645" spans="164:167">
      <c r="FH6645" s="29" t="str">
        <f t="shared" si="158"/>
        <v/>
      </c>
      <c r="FJ6645" s="36" t="str">
        <f>IF($FH6645="","",SUM($FN6645:$FN$7000))</f>
        <v/>
      </c>
      <c r="FK6645" s="36" t="str">
        <f>IF($FH6645="","",SUM($FN6645:$FN$7000))</f>
        <v/>
      </c>
    </row>
    <row r="6646" spans="164:167">
      <c r="FH6646" s="29" t="str">
        <f t="shared" si="158"/>
        <v/>
      </c>
      <c r="FJ6646" s="36" t="str">
        <f>IF($FH6646="","",SUM($FN6646:$FN$7000))</f>
        <v/>
      </c>
      <c r="FK6646" s="36" t="str">
        <f>IF($FH6646="","",SUM($FN6646:$FN$7000))</f>
        <v/>
      </c>
    </row>
    <row r="6647" spans="164:167">
      <c r="FH6647" s="29" t="str">
        <f t="shared" si="158"/>
        <v/>
      </c>
      <c r="FJ6647" s="36" t="str">
        <f>IF($FH6647="","",SUM($FN6647:$FN$7000))</f>
        <v/>
      </c>
      <c r="FK6647" s="36" t="str">
        <f>IF($FH6647="","",SUM($FN6647:$FN$7000))</f>
        <v/>
      </c>
    </row>
    <row r="6648" spans="164:167">
      <c r="FH6648" s="29" t="str">
        <f t="shared" si="158"/>
        <v/>
      </c>
      <c r="FJ6648" s="36" t="str">
        <f>IF($FH6648="","",SUM($FN6648:$FN$7000))</f>
        <v/>
      </c>
      <c r="FK6648" s="36" t="str">
        <f>IF($FH6648="","",SUM($FN6648:$FN$7000))</f>
        <v/>
      </c>
    </row>
    <row r="6649" spans="164:167">
      <c r="FH6649" s="29" t="str">
        <f t="shared" si="158"/>
        <v/>
      </c>
      <c r="FJ6649" s="36" t="str">
        <f>IF($FH6649="","",SUM($FN6649:$FN$7000))</f>
        <v/>
      </c>
      <c r="FK6649" s="36" t="str">
        <f>IF($FH6649="","",SUM($FN6649:$FN$7000))</f>
        <v/>
      </c>
    </row>
    <row r="6650" spans="164:167">
      <c r="FH6650" s="29" t="str">
        <f t="shared" si="158"/>
        <v/>
      </c>
      <c r="FJ6650" s="36" t="str">
        <f>IF($FH6650="","",SUM($FN6650:$FN$7000))</f>
        <v/>
      </c>
      <c r="FK6650" s="36" t="str">
        <f>IF($FH6650="","",SUM($FN6650:$FN$7000))</f>
        <v/>
      </c>
    </row>
    <row r="6651" spans="164:167">
      <c r="FH6651" s="29" t="str">
        <f t="shared" si="158"/>
        <v/>
      </c>
      <c r="FJ6651" s="36" t="str">
        <f>IF($FH6651="","",SUM($FN6651:$FN$7000))</f>
        <v/>
      </c>
      <c r="FK6651" s="36" t="str">
        <f>IF($FH6651="","",SUM($FN6651:$FN$7000))</f>
        <v/>
      </c>
    </row>
    <row r="6652" spans="164:167">
      <c r="FH6652" s="29" t="str">
        <f t="shared" si="158"/>
        <v/>
      </c>
      <c r="FJ6652" s="36" t="str">
        <f>IF($FH6652="","",SUM($FN6652:$FN$7000))</f>
        <v/>
      </c>
      <c r="FK6652" s="36" t="str">
        <f>IF($FH6652="","",SUM($FN6652:$FN$7000))</f>
        <v/>
      </c>
    </row>
    <row r="6653" spans="164:167">
      <c r="FH6653" s="29" t="str">
        <f t="shared" si="158"/>
        <v/>
      </c>
      <c r="FJ6653" s="36" t="str">
        <f>IF($FH6653="","",SUM($FN6653:$FN$7000))</f>
        <v/>
      </c>
      <c r="FK6653" s="36" t="str">
        <f>IF($FH6653="","",SUM($FN6653:$FN$7000))</f>
        <v/>
      </c>
    </row>
    <row r="6654" spans="164:167">
      <c r="FH6654" s="29" t="str">
        <f t="shared" si="158"/>
        <v/>
      </c>
      <c r="FJ6654" s="36" t="str">
        <f>IF($FH6654="","",SUM($FN6654:$FN$7000))</f>
        <v/>
      </c>
      <c r="FK6654" s="36" t="str">
        <f>IF($FH6654="","",SUM($FN6654:$FN$7000))</f>
        <v/>
      </c>
    </row>
    <row r="6655" spans="164:167">
      <c r="FH6655" s="29" t="str">
        <f t="shared" si="158"/>
        <v/>
      </c>
      <c r="FJ6655" s="36" t="str">
        <f>IF($FH6655="","",SUM($FN6655:$FN$7000))</f>
        <v/>
      </c>
      <c r="FK6655" s="36" t="str">
        <f>IF($FH6655="","",SUM($FN6655:$FN$7000))</f>
        <v/>
      </c>
    </row>
    <row r="6656" spans="164:167">
      <c r="FH6656" s="29" t="str">
        <f t="shared" si="158"/>
        <v/>
      </c>
      <c r="FJ6656" s="36" t="str">
        <f>IF($FH6656="","",SUM($FN6656:$FN$7000))</f>
        <v/>
      </c>
      <c r="FK6656" s="36" t="str">
        <f>IF($FH6656="","",SUM($FN6656:$FN$7000))</f>
        <v/>
      </c>
    </row>
    <row r="6657" spans="164:167">
      <c r="FH6657" s="29" t="str">
        <f t="shared" si="158"/>
        <v/>
      </c>
      <c r="FJ6657" s="36" t="str">
        <f>IF($FH6657="","",SUM($FN6657:$FN$7000))</f>
        <v/>
      </c>
      <c r="FK6657" s="36" t="str">
        <f>IF($FH6657="","",SUM($FN6657:$FN$7000))</f>
        <v/>
      </c>
    </row>
    <row r="6658" spans="164:167">
      <c r="FH6658" s="29" t="str">
        <f t="shared" si="158"/>
        <v/>
      </c>
      <c r="FJ6658" s="36" t="str">
        <f>IF($FH6658="","",SUM($FN6658:$FN$7000))</f>
        <v/>
      </c>
      <c r="FK6658" s="36" t="str">
        <f>IF($FH6658="","",SUM($FN6658:$FN$7000))</f>
        <v/>
      </c>
    </row>
    <row r="6659" spans="164:167">
      <c r="FH6659" s="29" t="str">
        <f t="shared" si="158"/>
        <v/>
      </c>
      <c r="FJ6659" s="36" t="str">
        <f>IF($FH6659="","",SUM($FN6659:$FN$7000))</f>
        <v/>
      </c>
      <c r="FK6659" s="36" t="str">
        <f>IF($FH6659="","",SUM($FN6659:$FN$7000))</f>
        <v/>
      </c>
    </row>
    <row r="6660" spans="164:167">
      <c r="FH6660" s="29" t="str">
        <f t="shared" si="158"/>
        <v/>
      </c>
      <c r="FJ6660" s="36" t="str">
        <f>IF($FH6660="","",SUM($FN6660:$FN$7000))</f>
        <v/>
      </c>
      <c r="FK6660" s="36" t="str">
        <f>IF($FH6660="","",SUM($FN6660:$FN$7000))</f>
        <v/>
      </c>
    </row>
    <row r="6661" spans="164:167">
      <c r="FH6661" s="29" t="str">
        <f t="shared" si="158"/>
        <v/>
      </c>
      <c r="FJ6661" s="36" t="str">
        <f>IF($FH6661="","",SUM($FN6661:$FN$7000))</f>
        <v/>
      </c>
      <c r="FK6661" s="36" t="str">
        <f>IF($FH6661="","",SUM($FN6661:$FN$7000))</f>
        <v/>
      </c>
    </row>
    <row r="6662" spans="164:167">
      <c r="FH6662" s="29" t="str">
        <f t="shared" si="158"/>
        <v/>
      </c>
      <c r="FJ6662" s="36" t="str">
        <f>IF($FH6662="","",SUM($FN6662:$FN$7000))</f>
        <v/>
      </c>
      <c r="FK6662" s="36" t="str">
        <f>IF($FH6662="","",SUM($FN6662:$FN$7000))</f>
        <v/>
      </c>
    </row>
    <row r="6663" spans="164:167">
      <c r="FH6663" s="29" t="str">
        <f t="shared" si="158"/>
        <v/>
      </c>
      <c r="FJ6663" s="36" t="str">
        <f>IF($FH6663="","",SUM($FN6663:$FN$7000))</f>
        <v/>
      </c>
      <c r="FK6663" s="36" t="str">
        <f>IF($FH6663="","",SUM($FN6663:$FN$7000))</f>
        <v/>
      </c>
    </row>
    <row r="6664" spans="164:167">
      <c r="FH6664" s="29" t="str">
        <f t="shared" si="158"/>
        <v/>
      </c>
      <c r="FJ6664" s="36" t="str">
        <f>IF($FH6664="","",SUM($FN6664:$FN$7000))</f>
        <v/>
      </c>
      <c r="FK6664" s="36" t="str">
        <f>IF($FH6664="","",SUM($FN6664:$FN$7000))</f>
        <v/>
      </c>
    </row>
    <row r="6665" spans="164:167">
      <c r="FH6665" s="29" t="str">
        <f t="shared" si="158"/>
        <v/>
      </c>
      <c r="FJ6665" s="36" t="str">
        <f>IF($FH6665="","",SUM($FN6665:$FN$7000))</f>
        <v/>
      </c>
      <c r="FK6665" s="36" t="str">
        <f>IF($FH6665="","",SUM($FN6665:$FN$7000))</f>
        <v/>
      </c>
    </row>
    <row r="6666" spans="164:167">
      <c r="FH6666" s="29" t="str">
        <f t="shared" si="158"/>
        <v/>
      </c>
      <c r="FJ6666" s="36" t="str">
        <f>IF($FH6666="","",SUM($FN6666:$FN$7000))</f>
        <v/>
      </c>
      <c r="FK6666" s="36" t="str">
        <f>IF($FH6666="","",SUM($FN6666:$FN$7000))</f>
        <v/>
      </c>
    </row>
    <row r="6667" spans="164:167">
      <c r="FH6667" s="29" t="str">
        <f t="shared" ref="FH6667:FH6730" si="159">IF(FL6667="","",FL6667)</f>
        <v/>
      </c>
      <c r="FJ6667" s="36" t="str">
        <f>IF($FH6667="","",SUM($FN6667:$FN$7000))</f>
        <v/>
      </c>
      <c r="FK6667" s="36" t="str">
        <f>IF($FH6667="","",SUM($FN6667:$FN$7000))</f>
        <v/>
      </c>
    </row>
    <row r="6668" spans="164:167">
      <c r="FH6668" s="29" t="str">
        <f t="shared" si="159"/>
        <v/>
      </c>
      <c r="FJ6668" s="36" t="str">
        <f>IF($FH6668="","",SUM($FN6668:$FN$7000))</f>
        <v/>
      </c>
      <c r="FK6668" s="36" t="str">
        <f>IF($FH6668="","",SUM($FN6668:$FN$7000))</f>
        <v/>
      </c>
    </row>
    <row r="6669" spans="164:167">
      <c r="FH6669" s="29" t="str">
        <f t="shared" si="159"/>
        <v/>
      </c>
      <c r="FJ6669" s="36" t="str">
        <f>IF($FH6669="","",SUM($FN6669:$FN$7000))</f>
        <v/>
      </c>
      <c r="FK6669" s="36" t="str">
        <f>IF($FH6669="","",SUM($FN6669:$FN$7000))</f>
        <v/>
      </c>
    </row>
    <row r="6670" spans="164:167">
      <c r="FH6670" s="29" t="str">
        <f t="shared" si="159"/>
        <v/>
      </c>
      <c r="FJ6670" s="36" t="str">
        <f>IF($FH6670="","",SUM($FN6670:$FN$7000))</f>
        <v/>
      </c>
      <c r="FK6670" s="36" t="str">
        <f>IF($FH6670="","",SUM($FN6670:$FN$7000))</f>
        <v/>
      </c>
    </row>
    <row r="6671" spans="164:167">
      <c r="FH6671" s="29" t="str">
        <f t="shared" si="159"/>
        <v/>
      </c>
      <c r="FJ6671" s="36" t="str">
        <f>IF($FH6671="","",SUM($FN6671:$FN$7000))</f>
        <v/>
      </c>
      <c r="FK6671" s="36" t="str">
        <f>IF($FH6671="","",SUM($FN6671:$FN$7000))</f>
        <v/>
      </c>
    </row>
    <row r="6672" spans="164:167">
      <c r="FH6672" s="29" t="str">
        <f t="shared" si="159"/>
        <v/>
      </c>
      <c r="FJ6672" s="36" t="str">
        <f>IF($FH6672="","",SUM($FN6672:$FN$7000))</f>
        <v/>
      </c>
      <c r="FK6672" s="36" t="str">
        <f>IF($FH6672="","",SUM($FN6672:$FN$7000))</f>
        <v/>
      </c>
    </row>
    <row r="6673" spans="164:167">
      <c r="FH6673" s="29" t="str">
        <f t="shared" si="159"/>
        <v/>
      </c>
      <c r="FJ6673" s="36" t="str">
        <f>IF($FH6673="","",SUM($FN6673:$FN$7000))</f>
        <v/>
      </c>
      <c r="FK6673" s="36" t="str">
        <f>IF($FH6673="","",SUM($FN6673:$FN$7000))</f>
        <v/>
      </c>
    </row>
    <row r="6674" spans="164:167">
      <c r="FH6674" s="29" t="str">
        <f t="shared" si="159"/>
        <v/>
      </c>
      <c r="FJ6674" s="36" t="str">
        <f>IF($FH6674="","",SUM($FN6674:$FN$7000))</f>
        <v/>
      </c>
      <c r="FK6674" s="36" t="str">
        <f>IF($FH6674="","",SUM($FN6674:$FN$7000))</f>
        <v/>
      </c>
    </row>
    <row r="6675" spans="164:167">
      <c r="FH6675" s="29" t="str">
        <f t="shared" si="159"/>
        <v/>
      </c>
      <c r="FJ6675" s="36" t="str">
        <f>IF($FH6675="","",SUM($FN6675:$FN$7000))</f>
        <v/>
      </c>
      <c r="FK6675" s="36" t="str">
        <f>IF($FH6675="","",SUM($FN6675:$FN$7000))</f>
        <v/>
      </c>
    </row>
    <row r="6676" spans="164:167">
      <c r="FH6676" s="29" t="str">
        <f t="shared" si="159"/>
        <v/>
      </c>
      <c r="FJ6676" s="36" t="str">
        <f>IF($FH6676="","",SUM($FN6676:$FN$7000))</f>
        <v/>
      </c>
      <c r="FK6676" s="36" t="str">
        <f>IF($FH6676="","",SUM($FN6676:$FN$7000))</f>
        <v/>
      </c>
    </row>
    <row r="6677" spans="164:167">
      <c r="FH6677" s="29" t="str">
        <f t="shared" si="159"/>
        <v/>
      </c>
      <c r="FJ6677" s="36" t="str">
        <f>IF($FH6677="","",SUM($FN6677:$FN$7000))</f>
        <v/>
      </c>
      <c r="FK6677" s="36" t="str">
        <f>IF($FH6677="","",SUM($FN6677:$FN$7000))</f>
        <v/>
      </c>
    </row>
    <row r="6678" spans="164:167">
      <c r="FH6678" s="29" t="str">
        <f t="shared" si="159"/>
        <v/>
      </c>
      <c r="FJ6678" s="36" t="str">
        <f>IF($FH6678="","",SUM($FN6678:$FN$7000))</f>
        <v/>
      </c>
      <c r="FK6678" s="36" t="str">
        <f>IF($FH6678="","",SUM($FN6678:$FN$7000))</f>
        <v/>
      </c>
    </row>
    <row r="6679" spans="164:167">
      <c r="FH6679" s="29" t="str">
        <f t="shared" si="159"/>
        <v/>
      </c>
      <c r="FJ6679" s="36" t="str">
        <f>IF($FH6679="","",SUM($FN6679:$FN$7000))</f>
        <v/>
      </c>
      <c r="FK6679" s="36" t="str">
        <f>IF($FH6679="","",SUM($FN6679:$FN$7000))</f>
        <v/>
      </c>
    </row>
    <row r="6680" spans="164:167">
      <c r="FH6680" s="29" t="str">
        <f t="shared" si="159"/>
        <v/>
      </c>
      <c r="FJ6680" s="36" t="str">
        <f>IF($FH6680="","",SUM($FN6680:$FN$7000))</f>
        <v/>
      </c>
      <c r="FK6680" s="36" t="str">
        <f>IF($FH6680="","",SUM($FN6680:$FN$7000))</f>
        <v/>
      </c>
    </row>
    <row r="6681" spans="164:167">
      <c r="FH6681" s="29" t="str">
        <f t="shared" si="159"/>
        <v/>
      </c>
      <c r="FJ6681" s="36" t="str">
        <f>IF($FH6681="","",SUM($FN6681:$FN$7000))</f>
        <v/>
      </c>
      <c r="FK6681" s="36" t="str">
        <f>IF($FH6681="","",SUM($FN6681:$FN$7000))</f>
        <v/>
      </c>
    </row>
    <row r="6682" spans="164:167">
      <c r="FH6682" s="29" t="str">
        <f t="shared" si="159"/>
        <v/>
      </c>
      <c r="FJ6682" s="36" t="str">
        <f>IF($FH6682="","",SUM($FN6682:$FN$7000))</f>
        <v/>
      </c>
      <c r="FK6682" s="36" t="str">
        <f>IF($FH6682="","",SUM($FN6682:$FN$7000))</f>
        <v/>
      </c>
    </row>
    <row r="6683" spans="164:167">
      <c r="FH6683" s="29" t="str">
        <f t="shared" si="159"/>
        <v/>
      </c>
      <c r="FJ6683" s="36" t="str">
        <f>IF($FH6683="","",SUM($FN6683:$FN$7000))</f>
        <v/>
      </c>
      <c r="FK6683" s="36" t="str">
        <f>IF($FH6683="","",SUM($FN6683:$FN$7000))</f>
        <v/>
      </c>
    </row>
    <row r="6684" spans="164:167">
      <c r="FH6684" s="29" t="str">
        <f t="shared" si="159"/>
        <v/>
      </c>
      <c r="FJ6684" s="36" t="str">
        <f>IF($FH6684="","",SUM($FN6684:$FN$7000))</f>
        <v/>
      </c>
      <c r="FK6684" s="36" t="str">
        <f>IF($FH6684="","",SUM($FN6684:$FN$7000))</f>
        <v/>
      </c>
    </row>
    <row r="6685" spans="164:167">
      <c r="FH6685" s="29" t="str">
        <f t="shared" si="159"/>
        <v/>
      </c>
      <c r="FJ6685" s="36" t="str">
        <f>IF($FH6685="","",SUM($FN6685:$FN$7000))</f>
        <v/>
      </c>
      <c r="FK6685" s="36" t="str">
        <f>IF($FH6685="","",SUM($FN6685:$FN$7000))</f>
        <v/>
      </c>
    </row>
    <row r="6686" spans="164:167">
      <c r="FH6686" s="29" t="str">
        <f t="shared" si="159"/>
        <v/>
      </c>
      <c r="FJ6686" s="36" t="str">
        <f>IF($FH6686="","",SUM($FN6686:$FN$7000))</f>
        <v/>
      </c>
      <c r="FK6686" s="36" t="str">
        <f>IF($FH6686="","",SUM($FN6686:$FN$7000))</f>
        <v/>
      </c>
    </row>
    <row r="6687" spans="164:167">
      <c r="FH6687" s="29" t="str">
        <f t="shared" si="159"/>
        <v/>
      </c>
      <c r="FJ6687" s="36" t="str">
        <f>IF($FH6687="","",SUM($FN6687:$FN$7000))</f>
        <v/>
      </c>
      <c r="FK6687" s="36" t="str">
        <f>IF($FH6687="","",SUM($FN6687:$FN$7000))</f>
        <v/>
      </c>
    </row>
    <row r="6688" spans="164:167">
      <c r="FH6688" s="29" t="str">
        <f t="shared" si="159"/>
        <v/>
      </c>
      <c r="FJ6688" s="36" t="str">
        <f>IF($FH6688="","",SUM($FN6688:$FN$7000))</f>
        <v/>
      </c>
      <c r="FK6688" s="36" t="str">
        <f>IF($FH6688="","",SUM($FN6688:$FN$7000))</f>
        <v/>
      </c>
    </row>
    <row r="6689" spans="164:167">
      <c r="FH6689" s="29" t="str">
        <f t="shared" si="159"/>
        <v/>
      </c>
      <c r="FJ6689" s="36" t="str">
        <f>IF($FH6689="","",SUM($FN6689:$FN$7000))</f>
        <v/>
      </c>
      <c r="FK6689" s="36" t="str">
        <f>IF($FH6689="","",SUM($FN6689:$FN$7000))</f>
        <v/>
      </c>
    </row>
    <row r="6690" spans="164:167">
      <c r="FH6690" s="29" t="str">
        <f t="shared" si="159"/>
        <v/>
      </c>
      <c r="FJ6690" s="36" t="str">
        <f>IF($FH6690="","",SUM($FN6690:$FN$7000))</f>
        <v/>
      </c>
      <c r="FK6690" s="36" t="str">
        <f>IF($FH6690="","",SUM($FN6690:$FN$7000))</f>
        <v/>
      </c>
    </row>
    <row r="6691" spans="164:167">
      <c r="FH6691" s="29" t="str">
        <f t="shared" si="159"/>
        <v/>
      </c>
      <c r="FJ6691" s="36" t="str">
        <f>IF($FH6691="","",SUM($FN6691:$FN$7000))</f>
        <v/>
      </c>
      <c r="FK6691" s="36" t="str">
        <f>IF($FH6691="","",SUM($FN6691:$FN$7000))</f>
        <v/>
      </c>
    </row>
    <row r="6692" spans="164:167">
      <c r="FH6692" s="29" t="str">
        <f t="shared" si="159"/>
        <v/>
      </c>
      <c r="FJ6692" s="36" t="str">
        <f>IF($FH6692="","",SUM($FN6692:$FN$7000))</f>
        <v/>
      </c>
      <c r="FK6692" s="36" t="str">
        <f>IF($FH6692="","",SUM($FN6692:$FN$7000))</f>
        <v/>
      </c>
    </row>
    <row r="6693" spans="164:167">
      <c r="FH6693" s="29" t="str">
        <f t="shared" si="159"/>
        <v/>
      </c>
      <c r="FJ6693" s="36" t="str">
        <f>IF($FH6693="","",SUM($FN6693:$FN$7000))</f>
        <v/>
      </c>
      <c r="FK6693" s="36" t="str">
        <f>IF($FH6693="","",SUM($FN6693:$FN$7000))</f>
        <v/>
      </c>
    </row>
    <row r="6694" spans="164:167">
      <c r="FH6694" s="29" t="str">
        <f t="shared" si="159"/>
        <v/>
      </c>
      <c r="FJ6694" s="36" t="str">
        <f>IF($FH6694="","",SUM($FN6694:$FN$7000))</f>
        <v/>
      </c>
      <c r="FK6694" s="36" t="str">
        <f>IF($FH6694="","",SUM($FN6694:$FN$7000))</f>
        <v/>
      </c>
    </row>
    <row r="6695" spans="164:167">
      <c r="FH6695" s="29" t="str">
        <f t="shared" si="159"/>
        <v/>
      </c>
      <c r="FJ6695" s="36" t="str">
        <f>IF($FH6695="","",SUM($FN6695:$FN$7000))</f>
        <v/>
      </c>
      <c r="FK6695" s="36" t="str">
        <f>IF($FH6695="","",SUM($FN6695:$FN$7000))</f>
        <v/>
      </c>
    </row>
    <row r="6696" spans="164:167">
      <c r="FH6696" s="29" t="str">
        <f t="shared" si="159"/>
        <v/>
      </c>
      <c r="FJ6696" s="36" t="str">
        <f>IF($FH6696="","",SUM($FN6696:$FN$7000))</f>
        <v/>
      </c>
      <c r="FK6696" s="36" t="str">
        <f>IF($FH6696="","",SUM($FN6696:$FN$7000))</f>
        <v/>
      </c>
    </row>
    <row r="6697" spans="164:167">
      <c r="FH6697" s="29" t="str">
        <f t="shared" si="159"/>
        <v/>
      </c>
      <c r="FJ6697" s="36" t="str">
        <f>IF($FH6697="","",SUM($FN6697:$FN$7000))</f>
        <v/>
      </c>
      <c r="FK6697" s="36" t="str">
        <f>IF($FH6697="","",SUM($FN6697:$FN$7000))</f>
        <v/>
      </c>
    </row>
    <row r="6698" spans="164:167">
      <c r="FH6698" s="29" t="str">
        <f t="shared" si="159"/>
        <v/>
      </c>
      <c r="FJ6698" s="36" t="str">
        <f>IF($FH6698="","",SUM($FN6698:$FN$7000))</f>
        <v/>
      </c>
      <c r="FK6698" s="36" t="str">
        <f>IF($FH6698="","",SUM($FN6698:$FN$7000))</f>
        <v/>
      </c>
    </row>
    <row r="6699" spans="164:167">
      <c r="FH6699" s="29" t="str">
        <f t="shared" si="159"/>
        <v/>
      </c>
      <c r="FJ6699" s="36" t="str">
        <f>IF($FH6699="","",SUM($FN6699:$FN$7000))</f>
        <v/>
      </c>
      <c r="FK6699" s="36" t="str">
        <f>IF($FH6699="","",SUM($FN6699:$FN$7000))</f>
        <v/>
      </c>
    </row>
    <row r="6700" spans="164:167">
      <c r="FH6700" s="29" t="str">
        <f t="shared" si="159"/>
        <v/>
      </c>
      <c r="FJ6700" s="36" t="str">
        <f>IF($FH6700="","",SUM($FN6700:$FN$7000))</f>
        <v/>
      </c>
      <c r="FK6700" s="36" t="str">
        <f>IF($FH6700="","",SUM($FN6700:$FN$7000))</f>
        <v/>
      </c>
    </row>
    <row r="6701" spans="164:167">
      <c r="FH6701" s="29" t="str">
        <f t="shared" si="159"/>
        <v/>
      </c>
      <c r="FJ6701" s="36" t="str">
        <f>IF($FH6701="","",SUM($FN6701:$FN$7000))</f>
        <v/>
      </c>
      <c r="FK6701" s="36" t="str">
        <f>IF($FH6701="","",SUM($FN6701:$FN$7000))</f>
        <v/>
      </c>
    </row>
    <row r="6702" spans="164:167">
      <c r="FH6702" s="29" t="str">
        <f t="shared" si="159"/>
        <v/>
      </c>
      <c r="FJ6702" s="36" t="str">
        <f>IF($FH6702="","",SUM($FN6702:$FN$7000))</f>
        <v/>
      </c>
      <c r="FK6702" s="36" t="str">
        <f>IF($FH6702="","",SUM($FN6702:$FN$7000))</f>
        <v/>
      </c>
    </row>
    <row r="6703" spans="164:167">
      <c r="FH6703" s="29" t="str">
        <f t="shared" si="159"/>
        <v/>
      </c>
      <c r="FJ6703" s="36" t="str">
        <f>IF($FH6703="","",SUM($FN6703:$FN$7000))</f>
        <v/>
      </c>
      <c r="FK6703" s="36" t="str">
        <f>IF($FH6703="","",SUM($FN6703:$FN$7000))</f>
        <v/>
      </c>
    </row>
    <row r="6704" spans="164:167">
      <c r="FH6704" s="29" t="str">
        <f t="shared" si="159"/>
        <v/>
      </c>
      <c r="FJ6704" s="36" t="str">
        <f>IF($FH6704="","",SUM($FN6704:$FN$7000))</f>
        <v/>
      </c>
      <c r="FK6704" s="36" t="str">
        <f>IF($FH6704="","",SUM($FN6704:$FN$7000))</f>
        <v/>
      </c>
    </row>
    <row r="6705" spans="164:167">
      <c r="FH6705" s="29" t="str">
        <f t="shared" si="159"/>
        <v/>
      </c>
      <c r="FJ6705" s="36" t="str">
        <f>IF($FH6705="","",SUM($FN6705:$FN$7000))</f>
        <v/>
      </c>
      <c r="FK6705" s="36" t="str">
        <f>IF($FH6705="","",SUM($FN6705:$FN$7000))</f>
        <v/>
      </c>
    </row>
    <row r="6706" spans="164:167">
      <c r="FH6706" s="29" t="str">
        <f t="shared" si="159"/>
        <v/>
      </c>
      <c r="FJ6706" s="36" t="str">
        <f>IF($FH6706="","",SUM($FN6706:$FN$7000))</f>
        <v/>
      </c>
      <c r="FK6706" s="36" t="str">
        <f>IF($FH6706="","",SUM($FN6706:$FN$7000))</f>
        <v/>
      </c>
    </row>
    <row r="6707" spans="164:167">
      <c r="FH6707" s="29" t="str">
        <f t="shared" si="159"/>
        <v/>
      </c>
      <c r="FJ6707" s="36" t="str">
        <f>IF($FH6707="","",SUM($FN6707:$FN$7000))</f>
        <v/>
      </c>
      <c r="FK6707" s="36" t="str">
        <f>IF($FH6707="","",SUM($FN6707:$FN$7000))</f>
        <v/>
      </c>
    </row>
    <row r="6708" spans="164:167">
      <c r="FH6708" s="29" t="str">
        <f t="shared" si="159"/>
        <v/>
      </c>
      <c r="FJ6708" s="36" t="str">
        <f>IF($FH6708="","",SUM($FN6708:$FN$7000))</f>
        <v/>
      </c>
      <c r="FK6708" s="36" t="str">
        <f>IF($FH6708="","",SUM($FN6708:$FN$7000))</f>
        <v/>
      </c>
    </row>
    <row r="6709" spans="164:167">
      <c r="FH6709" s="29" t="str">
        <f t="shared" si="159"/>
        <v/>
      </c>
      <c r="FJ6709" s="36" t="str">
        <f>IF($FH6709="","",SUM($FN6709:$FN$7000))</f>
        <v/>
      </c>
      <c r="FK6709" s="36" t="str">
        <f>IF($FH6709="","",SUM($FN6709:$FN$7000))</f>
        <v/>
      </c>
    </row>
    <row r="6710" spans="164:167">
      <c r="FH6710" s="29" t="str">
        <f t="shared" si="159"/>
        <v/>
      </c>
      <c r="FJ6710" s="36" t="str">
        <f>IF($FH6710="","",SUM($FN6710:$FN$7000))</f>
        <v/>
      </c>
      <c r="FK6710" s="36" t="str">
        <f>IF($FH6710="","",SUM($FN6710:$FN$7000))</f>
        <v/>
      </c>
    </row>
    <row r="6711" spans="164:167">
      <c r="FH6711" s="29" t="str">
        <f t="shared" si="159"/>
        <v/>
      </c>
      <c r="FJ6711" s="36" t="str">
        <f>IF($FH6711="","",SUM($FN6711:$FN$7000))</f>
        <v/>
      </c>
      <c r="FK6711" s="36" t="str">
        <f>IF($FH6711="","",SUM($FN6711:$FN$7000))</f>
        <v/>
      </c>
    </row>
    <row r="6712" spans="164:167">
      <c r="FH6712" s="29" t="str">
        <f t="shared" si="159"/>
        <v/>
      </c>
      <c r="FJ6712" s="36" t="str">
        <f>IF($FH6712="","",SUM($FN6712:$FN$7000))</f>
        <v/>
      </c>
      <c r="FK6712" s="36" t="str">
        <f>IF($FH6712="","",SUM($FN6712:$FN$7000))</f>
        <v/>
      </c>
    </row>
    <row r="6713" spans="164:167">
      <c r="FH6713" s="29" t="str">
        <f t="shared" si="159"/>
        <v/>
      </c>
      <c r="FJ6713" s="36" t="str">
        <f>IF($FH6713="","",SUM($FN6713:$FN$7000))</f>
        <v/>
      </c>
      <c r="FK6713" s="36" t="str">
        <f>IF($FH6713="","",SUM($FN6713:$FN$7000))</f>
        <v/>
      </c>
    </row>
    <row r="6714" spans="164:167">
      <c r="FH6714" s="29" t="str">
        <f t="shared" si="159"/>
        <v/>
      </c>
      <c r="FJ6714" s="36" t="str">
        <f>IF($FH6714="","",SUM($FN6714:$FN$7000))</f>
        <v/>
      </c>
      <c r="FK6714" s="36" t="str">
        <f>IF($FH6714="","",SUM($FN6714:$FN$7000))</f>
        <v/>
      </c>
    </row>
    <row r="6715" spans="164:167">
      <c r="FH6715" s="29" t="str">
        <f t="shared" si="159"/>
        <v/>
      </c>
      <c r="FJ6715" s="36" t="str">
        <f>IF($FH6715="","",SUM($FN6715:$FN$7000))</f>
        <v/>
      </c>
      <c r="FK6715" s="36" t="str">
        <f>IF($FH6715="","",SUM($FN6715:$FN$7000))</f>
        <v/>
      </c>
    </row>
    <row r="6716" spans="164:167">
      <c r="FH6716" s="29" t="str">
        <f t="shared" si="159"/>
        <v/>
      </c>
      <c r="FJ6716" s="36" t="str">
        <f>IF($FH6716="","",SUM($FN6716:$FN$7000))</f>
        <v/>
      </c>
      <c r="FK6716" s="36" t="str">
        <f>IF($FH6716="","",SUM($FN6716:$FN$7000))</f>
        <v/>
      </c>
    </row>
    <row r="6717" spans="164:167">
      <c r="FH6717" s="29" t="str">
        <f t="shared" si="159"/>
        <v/>
      </c>
      <c r="FJ6717" s="36" t="str">
        <f>IF($FH6717="","",SUM($FN6717:$FN$7000))</f>
        <v/>
      </c>
      <c r="FK6717" s="36" t="str">
        <f>IF($FH6717="","",SUM($FN6717:$FN$7000))</f>
        <v/>
      </c>
    </row>
    <row r="6718" spans="164:167">
      <c r="FH6718" s="29" t="str">
        <f t="shared" si="159"/>
        <v/>
      </c>
      <c r="FJ6718" s="36" t="str">
        <f>IF($FH6718="","",SUM($FN6718:$FN$7000))</f>
        <v/>
      </c>
      <c r="FK6718" s="36" t="str">
        <f>IF($FH6718="","",SUM($FN6718:$FN$7000))</f>
        <v/>
      </c>
    </row>
    <row r="6719" spans="164:167">
      <c r="FH6719" s="29" t="str">
        <f t="shared" si="159"/>
        <v/>
      </c>
      <c r="FJ6719" s="36" t="str">
        <f>IF($FH6719="","",SUM($FN6719:$FN$7000))</f>
        <v/>
      </c>
      <c r="FK6719" s="36" t="str">
        <f>IF($FH6719="","",SUM($FN6719:$FN$7000))</f>
        <v/>
      </c>
    </row>
    <row r="6720" spans="164:167">
      <c r="FH6720" s="29" t="str">
        <f t="shared" si="159"/>
        <v/>
      </c>
      <c r="FJ6720" s="36" t="str">
        <f>IF($FH6720="","",SUM($FN6720:$FN$7000))</f>
        <v/>
      </c>
      <c r="FK6720" s="36" t="str">
        <f>IF($FH6720="","",SUM($FN6720:$FN$7000))</f>
        <v/>
      </c>
    </row>
    <row r="6721" spans="164:167">
      <c r="FH6721" s="29" t="str">
        <f t="shared" si="159"/>
        <v/>
      </c>
      <c r="FJ6721" s="36" t="str">
        <f>IF($FH6721="","",SUM($FN6721:$FN$7000))</f>
        <v/>
      </c>
      <c r="FK6721" s="36" t="str">
        <f>IF($FH6721="","",SUM($FN6721:$FN$7000))</f>
        <v/>
      </c>
    </row>
    <row r="6722" spans="164:167">
      <c r="FH6722" s="29" t="str">
        <f t="shared" si="159"/>
        <v/>
      </c>
      <c r="FJ6722" s="36" t="str">
        <f>IF($FH6722="","",SUM($FN6722:$FN$7000))</f>
        <v/>
      </c>
      <c r="FK6722" s="36" t="str">
        <f>IF($FH6722="","",SUM($FN6722:$FN$7000))</f>
        <v/>
      </c>
    </row>
    <row r="6723" spans="164:167">
      <c r="FH6723" s="29" t="str">
        <f t="shared" si="159"/>
        <v/>
      </c>
      <c r="FJ6723" s="36" t="str">
        <f>IF($FH6723="","",SUM($FN6723:$FN$7000))</f>
        <v/>
      </c>
      <c r="FK6723" s="36" t="str">
        <f>IF($FH6723="","",SUM($FN6723:$FN$7000))</f>
        <v/>
      </c>
    </row>
    <row r="6724" spans="164:167">
      <c r="FH6724" s="29" t="str">
        <f t="shared" si="159"/>
        <v/>
      </c>
      <c r="FJ6724" s="36" t="str">
        <f>IF($FH6724="","",SUM($FN6724:$FN$7000))</f>
        <v/>
      </c>
      <c r="FK6724" s="36" t="str">
        <f>IF($FH6724="","",SUM($FN6724:$FN$7000))</f>
        <v/>
      </c>
    </row>
    <row r="6725" spans="164:167">
      <c r="FH6725" s="29" t="str">
        <f t="shared" si="159"/>
        <v/>
      </c>
      <c r="FJ6725" s="36" t="str">
        <f>IF($FH6725="","",SUM($FN6725:$FN$7000))</f>
        <v/>
      </c>
      <c r="FK6725" s="36" t="str">
        <f>IF($FH6725="","",SUM($FN6725:$FN$7000))</f>
        <v/>
      </c>
    </row>
    <row r="6726" spans="164:167">
      <c r="FH6726" s="29" t="str">
        <f t="shared" si="159"/>
        <v/>
      </c>
      <c r="FJ6726" s="36" t="str">
        <f>IF($FH6726="","",SUM($FN6726:$FN$7000))</f>
        <v/>
      </c>
      <c r="FK6726" s="36" t="str">
        <f>IF($FH6726="","",SUM($FN6726:$FN$7000))</f>
        <v/>
      </c>
    </row>
    <row r="6727" spans="164:167">
      <c r="FH6727" s="29" t="str">
        <f t="shared" si="159"/>
        <v/>
      </c>
      <c r="FJ6727" s="36" t="str">
        <f>IF($FH6727="","",SUM($FN6727:$FN$7000))</f>
        <v/>
      </c>
      <c r="FK6727" s="36" t="str">
        <f>IF($FH6727="","",SUM($FN6727:$FN$7000))</f>
        <v/>
      </c>
    </row>
    <row r="6728" spans="164:167">
      <c r="FH6728" s="29" t="str">
        <f t="shared" si="159"/>
        <v/>
      </c>
      <c r="FJ6728" s="36" t="str">
        <f>IF($FH6728="","",SUM($FN6728:$FN$7000))</f>
        <v/>
      </c>
      <c r="FK6728" s="36" t="str">
        <f>IF($FH6728="","",SUM($FN6728:$FN$7000))</f>
        <v/>
      </c>
    </row>
    <row r="6729" spans="164:167">
      <c r="FH6729" s="29" t="str">
        <f t="shared" si="159"/>
        <v/>
      </c>
      <c r="FJ6729" s="36" t="str">
        <f>IF($FH6729="","",SUM($FN6729:$FN$7000))</f>
        <v/>
      </c>
      <c r="FK6729" s="36" t="str">
        <f>IF($FH6729="","",SUM($FN6729:$FN$7000))</f>
        <v/>
      </c>
    </row>
    <row r="6730" spans="164:167">
      <c r="FH6730" s="29" t="str">
        <f t="shared" si="159"/>
        <v/>
      </c>
      <c r="FJ6730" s="36" t="str">
        <f>IF($FH6730="","",SUM($FN6730:$FN$7000))</f>
        <v/>
      </c>
      <c r="FK6730" s="36" t="str">
        <f>IF($FH6730="","",SUM($FN6730:$FN$7000))</f>
        <v/>
      </c>
    </row>
    <row r="6731" spans="164:167">
      <c r="FH6731" s="29" t="str">
        <f t="shared" ref="FH6731:FH6794" si="160">IF(FL6731="","",FL6731)</f>
        <v/>
      </c>
      <c r="FJ6731" s="36" t="str">
        <f>IF($FH6731="","",SUM($FN6731:$FN$7000))</f>
        <v/>
      </c>
      <c r="FK6731" s="36" t="str">
        <f>IF($FH6731="","",SUM($FN6731:$FN$7000))</f>
        <v/>
      </c>
    </row>
    <row r="6732" spans="164:167">
      <c r="FH6732" s="29" t="str">
        <f t="shared" si="160"/>
        <v/>
      </c>
      <c r="FJ6732" s="36" t="str">
        <f>IF($FH6732="","",SUM($FN6732:$FN$7000))</f>
        <v/>
      </c>
      <c r="FK6732" s="36" t="str">
        <f>IF($FH6732="","",SUM($FN6732:$FN$7000))</f>
        <v/>
      </c>
    </row>
    <row r="6733" spans="164:167">
      <c r="FH6733" s="29" t="str">
        <f t="shared" si="160"/>
        <v/>
      </c>
      <c r="FJ6733" s="36" t="str">
        <f>IF($FH6733="","",SUM($FN6733:$FN$7000))</f>
        <v/>
      </c>
      <c r="FK6733" s="36" t="str">
        <f>IF($FH6733="","",SUM($FN6733:$FN$7000))</f>
        <v/>
      </c>
    </row>
    <row r="6734" spans="164:167">
      <c r="FH6734" s="29" t="str">
        <f t="shared" si="160"/>
        <v/>
      </c>
      <c r="FJ6734" s="36" t="str">
        <f>IF($FH6734="","",SUM($FN6734:$FN$7000))</f>
        <v/>
      </c>
      <c r="FK6734" s="36" t="str">
        <f>IF($FH6734="","",SUM($FN6734:$FN$7000))</f>
        <v/>
      </c>
    </row>
    <row r="6735" spans="164:167">
      <c r="FH6735" s="29" t="str">
        <f t="shared" si="160"/>
        <v/>
      </c>
      <c r="FJ6735" s="36" t="str">
        <f>IF($FH6735="","",SUM($FN6735:$FN$7000))</f>
        <v/>
      </c>
      <c r="FK6735" s="36" t="str">
        <f>IF($FH6735="","",SUM($FN6735:$FN$7000))</f>
        <v/>
      </c>
    </row>
    <row r="6736" spans="164:167">
      <c r="FH6736" s="29" t="str">
        <f t="shared" si="160"/>
        <v/>
      </c>
      <c r="FJ6736" s="36" t="str">
        <f>IF($FH6736="","",SUM($FN6736:$FN$7000))</f>
        <v/>
      </c>
      <c r="FK6736" s="36" t="str">
        <f>IF($FH6736="","",SUM($FN6736:$FN$7000))</f>
        <v/>
      </c>
    </row>
    <row r="6737" spans="164:167">
      <c r="FH6737" s="29" t="str">
        <f t="shared" si="160"/>
        <v/>
      </c>
      <c r="FJ6737" s="36" t="str">
        <f>IF($FH6737="","",SUM($FN6737:$FN$7000))</f>
        <v/>
      </c>
      <c r="FK6737" s="36" t="str">
        <f>IF($FH6737="","",SUM($FN6737:$FN$7000))</f>
        <v/>
      </c>
    </row>
    <row r="6738" spans="164:167">
      <c r="FH6738" s="29" t="str">
        <f t="shared" si="160"/>
        <v/>
      </c>
      <c r="FJ6738" s="36" t="str">
        <f>IF($FH6738="","",SUM($FN6738:$FN$7000))</f>
        <v/>
      </c>
      <c r="FK6738" s="36" t="str">
        <f>IF($FH6738="","",SUM($FN6738:$FN$7000))</f>
        <v/>
      </c>
    </row>
    <row r="6739" spans="164:167">
      <c r="FH6739" s="29" t="str">
        <f t="shared" si="160"/>
        <v/>
      </c>
      <c r="FJ6739" s="36" t="str">
        <f>IF($FH6739="","",SUM($FN6739:$FN$7000))</f>
        <v/>
      </c>
      <c r="FK6739" s="36" t="str">
        <f>IF($FH6739="","",SUM($FN6739:$FN$7000))</f>
        <v/>
      </c>
    </row>
    <row r="6740" spans="164:167">
      <c r="FH6740" s="29" t="str">
        <f t="shared" si="160"/>
        <v/>
      </c>
      <c r="FJ6740" s="36" t="str">
        <f>IF($FH6740="","",SUM($FN6740:$FN$7000))</f>
        <v/>
      </c>
      <c r="FK6740" s="36" t="str">
        <f>IF($FH6740="","",SUM($FN6740:$FN$7000))</f>
        <v/>
      </c>
    </row>
    <row r="6741" spans="164:167">
      <c r="FH6741" s="29" t="str">
        <f t="shared" si="160"/>
        <v/>
      </c>
      <c r="FJ6741" s="36" t="str">
        <f>IF($FH6741="","",SUM($FN6741:$FN$7000))</f>
        <v/>
      </c>
      <c r="FK6741" s="36" t="str">
        <f>IF($FH6741="","",SUM($FN6741:$FN$7000))</f>
        <v/>
      </c>
    </row>
    <row r="6742" spans="164:167">
      <c r="FH6742" s="29" t="str">
        <f t="shared" si="160"/>
        <v/>
      </c>
      <c r="FJ6742" s="36" t="str">
        <f>IF($FH6742="","",SUM($FN6742:$FN$7000))</f>
        <v/>
      </c>
      <c r="FK6742" s="36" t="str">
        <f>IF($FH6742="","",SUM($FN6742:$FN$7000))</f>
        <v/>
      </c>
    </row>
    <row r="6743" spans="164:167">
      <c r="FH6743" s="29" t="str">
        <f t="shared" si="160"/>
        <v/>
      </c>
      <c r="FJ6743" s="36" t="str">
        <f>IF($FH6743="","",SUM($FN6743:$FN$7000))</f>
        <v/>
      </c>
      <c r="FK6743" s="36" t="str">
        <f>IF($FH6743="","",SUM($FN6743:$FN$7000))</f>
        <v/>
      </c>
    </row>
    <row r="6744" spans="164:167">
      <c r="FH6744" s="29" t="str">
        <f t="shared" si="160"/>
        <v/>
      </c>
      <c r="FJ6744" s="36" t="str">
        <f>IF($FH6744="","",SUM($FN6744:$FN$7000))</f>
        <v/>
      </c>
      <c r="FK6744" s="36" t="str">
        <f>IF($FH6744="","",SUM($FN6744:$FN$7000))</f>
        <v/>
      </c>
    </row>
    <row r="6745" spans="164:167">
      <c r="FH6745" s="29" t="str">
        <f t="shared" si="160"/>
        <v/>
      </c>
      <c r="FJ6745" s="36" t="str">
        <f>IF($FH6745="","",SUM($FN6745:$FN$7000))</f>
        <v/>
      </c>
      <c r="FK6745" s="36" t="str">
        <f>IF($FH6745="","",SUM($FN6745:$FN$7000))</f>
        <v/>
      </c>
    </row>
    <row r="6746" spans="164:167">
      <c r="FH6746" s="29" t="str">
        <f t="shared" si="160"/>
        <v/>
      </c>
      <c r="FJ6746" s="36" t="str">
        <f>IF($FH6746="","",SUM($FN6746:$FN$7000))</f>
        <v/>
      </c>
      <c r="FK6746" s="36" t="str">
        <f>IF($FH6746="","",SUM($FN6746:$FN$7000))</f>
        <v/>
      </c>
    </row>
    <row r="6747" spans="164:167">
      <c r="FH6747" s="29" t="str">
        <f t="shared" si="160"/>
        <v/>
      </c>
      <c r="FJ6747" s="36" t="str">
        <f>IF($FH6747="","",SUM($FN6747:$FN$7000))</f>
        <v/>
      </c>
      <c r="FK6747" s="36" t="str">
        <f>IF($FH6747="","",SUM($FN6747:$FN$7000))</f>
        <v/>
      </c>
    </row>
    <row r="6748" spans="164:167">
      <c r="FH6748" s="29" t="str">
        <f t="shared" si="160"/>
        <v/>
      </c>
      <c r="FJ6748" s="36" t="str">
        <f>IF($FH6748="","",SUM($FN6748:$FN$7000))</f>
        <v/>
      </c>
      <c r="FK6748" s="36" t="str">
        <f>IF($FH6748="","",SUM($FN6748:$FN$7000))</f>
        <v/>
      </c>
    </row>
    <row r="6749" spans="164:167">
      <c r="FH6749" s="29" t="str">
        <f t="shared" si="160"/>
        <v/>
      </c>
      <c r="FJ6749" s="36" t="str">
        <f>IF($FH6749="","",SUM($FN6749:$FN$7000))</f>
        <v/>
      </c>
      <c r="FK6749" s="36" t="str">
        <f>IF($FH6749="","",SUM($FN6749:$FN$7000))</f>
        <v/>
      </c>
    </row>
    <row r="6750" spans="164:167">
      <c r="FH6750" s="29" t="str">
        <f t="shared" si="160"/>
        <v/>
      </c>
      <c r="FJ6750" s="36" t="str">
        <f>IF($FH6750="","",SUM($FN6750:$FN$7000))</f>
        <v/>
      </c>
      <c r="FK6750" s="36" t="str">
        <f>IF($FH6750="","",SUM($FN6750:$FN$7000))</f>
        <v/>
      </c>
    </row>
    <row r="6751" spans="164:167">
      <c r="FH6751" s="29" t="str">
        <f t="shared" si="160"/>
        <v/>
      </c>
      <c r="FJ6751" s="36" t="str">
        <f>IF($FH6751="","",SUM($FN6751:$FN$7000))</f>
        <v/>
      </c>
      <c r="FK6751" s="36" t="str">
        <f>IF($FH6751="","",SUM($FN6751:$FN$7000))</f>
        <v/>
      </c>
    </row>
    <row r="6752" spans="164:167">
      <c r="FH6752" s="29" t="str">
        <f t="shared" si="160"/>
        <v/>
      </c>
      <c r="FJ6752" s="36" t="str">
        <f>IF($FH6752="","",SUM($FN6752:$FN$7000))</f>
        <v/>
      </c>
      <c r="FK6752" s="36" t="str">
        <f>IF($FH6752="","",SUM($FN6752:$FN$7000))</f>
        <v/>
      </c>
    </row>
    <row r="6753" spans="164:167">
      <c r="FH6753" s="29" t="str">
        <f t="shared" si="160"/>
        <v/>
      </c>
      <c r="FJ6753" s="36" t="str">
        <f>IF($FH6753="","",SUM($FN6753:$FN$7000))</f>
        <v/>
      </c>
      <c r="FK6753" s="36" t="str">
        <f>IF($FH6753="","",SUM($FN6753:$FN$7000))</f>
        <v/>
      </c>
    </row>
    <row r="6754" spans="164:167">
      <c r="FH6754" s="29" t="str">
        <f t="shared" si="160"/>
        <v/>
      </c>
      <c r="FJ6754" s="36" t="str">
        <f>IF($FH6754="","",SUM($FN6754:$FN$7000))</f>
        <v/>
      </c>
      <c r="FK6754" s="36" t="str">
        <f>IF($FH6754="","",SUM($FN6754:$FN$7000))</f>
        <v/>
      </c>
    </row>
    <row r="6755" spans="164:167">
      <c r="FH6755" s="29" t="str">
        <f t="shared" si="160"/>
        <v/>
      </c>
      <c r="FJ6755" s="36" t="str">
        <f>IF($FH6755="","",SUM($FN6755:$FN$7000))</f>
        <v/>
      </c>
      <c r="FK6755" s="36" t="str">
        <f>IF($FH6755="","",SUM($FN6755:$FN$7000))</f>
        <v/>
      </c>
    </row>
    <row r="6756" spans="164:167">
      <c r="FH6756" s="29" t="str">
        <f t="shared" si="160"/>
        <v/>
      </c>
      <c r="FJ6756" s="36" t="str">
        <f>IF($FH6756="","",SUM($FN6756:$FN$7000))</f>
        <v/>
      </c>
      <c r="FK6756" s="36" t="str">
        <f>IF($FH6756="","",SUM($FN6756:$FN$7000))</f>
        <v/>
      </c>
    </row>
    <row r="6757" spans="164:167">
      <c r="FH6757" s="29" t="str">
        <f t="shared" si="160"/>
        <v/>
      </c>
      <c r="FJ6757" s="36" t="str">
        <f>IF($FH6757="","",SUM($FN6757:$FN$7000))</f>
        <v/>
      </c>
      <c r="FK6757" s="36" t="str">
        <f>IF($FH6757="","",SUM($FN6757:$FN$7000))</f>
        <v/>
      </c>
    </row>
    <row r="6758" spans="164:167">
      <c r="FH6758" s="29" t="str">
        <f t="shared" si="160"/>
        <v/>
      </c>
      <c r="FJ6758" s="36" t="str">
        <f>IF($FH6758="","",SUM($FN6758:$FN$7000))</f>
        <v/>
      </c>
      <c r="FK6758" s="36" t="str">
        <f>IF($FH6758="","",SUM($FN6758:$FN$7000))</f>
        <v/>
      </c>
    </row>
    <row r="6759" spans="164:167">
      <c r="FH6759" s="29" t="str">
        <f t="shared" si="160"/>
        <v/>
      </c>
      <c r="FJ6759" s="36" t="str">
        <f>IF($FH6759="","",SUM($FN6759:$FN$7000))</f>
        <v/>
      </c>
      <c r="FK6759" s="36" t="str">
        <f>IF($FH6759="","",SUM($FN6759:$FN$7000))</f>
        <v/>
      </c>
    </row>
    <row r="6760" spans="164:167">
      <c r="FH6760" s="29" t="str">
        <f t="shared" si="160"/>
        <v/>
      </c>
      <c r="FJ6760" s="36" t="str">
        <f>IF($FH6760="","",SUM($FN6760:$FN$7000))</f>
        <v/>
      </c>
      <c r="FK6760" s="36" t="str">
        <f>IF($FH6760="","",SUM($FN6760:$FN$7000))</f>
        <v/>
      </c>
    </row>
    <row r="6761" spans="164:167">
      <c r="FH6761" s="29" t="str">
        <f t="shared" si="160"/>
        <v/>
      </c>
      <c r="FJ6761" s="36" t="str">
        <f>IF($FH6761="","",SUM($FN6761:$FN$7000))</f>
        <v/>
      </c>
      <c r="FK6761" s="36" t="str">
        <f>IF($FH6761="","",SUM($FN6761:$FN$7000))</f>
        <v/>
      </c>
    </row>
    <row r="6762" spans="164:167">
      <c r="FH6762" s="29" t="str">
        <f t="shared" si="160"/>
        <v/>
      </c>
      <c r="FJ6762" s="36" t="str">
        <f>IF($FH6762="","",SUM($FN6762:$FN$7000))</f>
        <v/>
      </c>
      <c r="FK6762" s="36" t="str">
        <f>IF($FH6762="","",SUM($FN6762:$FN$7000))</f>
        <v/>
      </c>
    </row>
    <row r="6763" spans="164:167">
      <c r="FH6763" s="29" t="str">
        <f t="shared" si="160"/>
        <v/>
      </c>
      <c r="FJ6763" s="36" t="str">
        <f>IF($FH6763="","",SUM($FN6763:$FN$7000))</f>
        <v/>
      </c>
      <c r="FK6763" s="36" t="str">
        <f>IF($FH6763="","",SUM($FN6763:$FN$7000))</f>
        <v/>
      </c>
    </row>
    <row r="6764" spans="164:167">
      <c r="FH6764" s="29" t="str">
        <f t="shared" si="160"/>
        <v/>
      </c>
      <c r="FJ6764" s="36" t="str">
        <f>IF($FH6764="","",SUM($FN6764:$FN$7000))</f>
        <v/>
      </c>
      <c r="FK6764" s="36" t="str">
        <f>IF($FH6764="","",SUM($FN6764:$FN$7000))</f>
        <v/>
      </c>
    </row>
    <row r="6765" spans="164:167">
      <c r="FH6765" s="29" t="str">
        <f t="shared" si="160"/>
        <v/>
      </c>
      <c r="FJ6765" s="36" t="str">
        <f>IF($FH6765="","",SUM($FN6765:$FN$7000))</f>
        <v/>
      </c>
      <c r="FK6765" s="36" t="str">
        <f>IF($FH6765="","",SUM($FN6765:$FN$7000))</f>
        <v/>
      </c>
    </row>
    <row r="6766" spans="164:167">
      <c r="FH6766" s="29" t="str">
        <f t="shared" si="160"/>
        <v/>
      </c>
      <c r="FJ6766" s="36" t="str">
        <f>IF($FH6766="","",SUM($FN6766:$FN$7000))</f>
        <v/>
      </c>
      <c r="FK6766" s="36" t="str">
        <f>IF($FH6766="","",SUM($FN6766:$FN$7000))</f>
        <v/>
      </c>
    </row>
    <row r="6767" spans="164:167">
      <c r="FH6767" s="29" t="str">
        <f t="shared" si="160"/>
        <v/>
      </c>
      <c r="FJ6767" s="36" t="str">
        <f>IF($FH6767="","",SUM($FN6767:$FN$7000))</f>
        <v/>
      </c>
      <c r="FK6767" s="36" t="str">
        <f>IF($FH6767="","",SUM($FN6767:$FN$7000))</f>
        <v/>
      </c>
    </row>
    <row r="6768" spans="164:167">
      <c r="FH6768" s="29" t="str">
        <f t="shared" si="160"/>
        <v/>
      </c>
      <c r="FJ6768" s="36" t="str">
        <f>IF($FH6768="","",SUM($FN6768:$FN$7000))</f>
        <v/>
      </c>
      <c r="FK6768" s="36" t="str">
        <f>IF($FH6768="","",SUM($FN6768:$FN$7000))</f>
        <v/>
      </c>
    </row>
    <row r="6769" spans="164:167">
      <c r="FH6769" s="29" t="str">
        <f t="shared" si="160"/>
        <v/>
      </c>
      <c r="FJ6769" s="36" t="str">
        <f>IF($FH6769="","",SUM($FN6769:$FN$7000))</f>
        <v/>
      </c>
      <c r="FK6769" s="36" t="str">
        <f>IF($FH6769="","",SUM($FN6769:$FN$7000))</f>
        <v/>
      </c>
    </row>
    <row r="6770" spans="164:167">
      <c r="FH6770" s="29" t="str">
        <f t="shared" si="160"/>
        <v/>
      </c>
      <c r="FJ6770" s="36" t="str">
        <f>IF($FH6770="","",SUM($FN6770:$FN$7000))</f>
        <v/>
      </c>
      <c r="FK6770" s="36" t="str">
        <f>IF($FH6770="","",SUM($FN6770:$FN$7000))</f>
        <v/>
      </c>
    </row>
    <row r="6771" spans="164:167">
      <c r="FH6771" s="29" t="str">
        <f t="shared" si="160"/>
        <v/>
      </c>
      <c r="FJ6771" s="36" t="str">
        <f>IF($FH6771="","",SUM($FN6771:$FN$7000))</f>
        <v/>
      </c>
      <c r="FK6771" s="36" t="str">
        <f>IF($FH6771="","",SUM($FN6771:$FN$7000))</f>
        <v/>
      </c>
    </row>
    <row r="6772" spans="164:167">
      <c r="FH6772" s="29" t="str">
        <f t="shared" si="160"/>
        <v/>
      </c>
      <c r="FJ6772" s="36" t="str">
        <f>IF($FH6772="","",SUM($FN6772:$FN$7000))</f>
        <v/>
      </c>
      <c r="FK6772" s="36" t="str">
        <f>IF($FH6772="","",SUM($FN6772:$FN$7000))</f>
        <v/>
      </c>
    </row>
    <row r="6773" spans="164:167">
      <c r="FH6773" s="29" t="str">
        <f t="shared" si="160"/>
        <v/>
      </c>
      <c r="FJ6773" s="36" t="str">
        <f>IF($FH6773="","",SUM($FN6773:$FN$7000))</f>
        <v/>
      </c>
      <c r="FK6773" s="36" t="str">
        <f>IF($FH6773="","",SUM($FN6773:$FN$7000))</f>
        <v/>
      </c>
    </row>
    <row r="6774" spans="164:167">
      <c r="FH6774" s="29" t="str">
        <f t="shared" si="160"/>
        <v/>
      </c>
      <c r="FJ6774" s="36" t="str">
        <f>IF($FH6774="","",SUM($FN6774:$FN$7000))</f>
        <v/>
      </c>
      <c r="FK6774" s="36" t="str">
        <f>IF($FH6774="","",SUM($FN6774:$FN$7000))</f>
        <v/>
      </c>
    </row>
    <row r="6775" spans="164:167">
      <c r="FH6775" s="29" t="str">
        <f t="shared" si="160"/>
        <v/>
      </c>
      <c r="FJ6775" s="36" t="str">
        <f>IF($FH6775="","",SUM($FN6775:$FN$7000))</f>
        <v/>
      </c>
      <c r="FK6775" s="36" t="str">
        <f>IF($FH6775="","",SUM($FN6775:$FN$7000))</f>
        <v/>
      </c>
    </row>
    <row r="6776" spans="164:167">
      <c r="FH6776" s="29" t="str">
        <f t="shared" si="160"/>
        <v/>
      </c>
      <c r="FJ6776" s="36" t="str">
        <f>IF($FH6776="","",SUM($FN6776:$FN$7000))</f>
        <v/>
      </c>
      <c r="FK6776" s="36" t="str">
        <f>IF($FH6776="","",SUM($FN6776:$FN$7000))</f>
        <v/>
      </c>
    </row>
    <row r="6777" spans="164:167">
      <c r="FH6777" s="29" t="str">
        <f t="shared" si="160"/>
        <v/>
      </c>
      <c r="FJ6777" s="36" t="str">
        <f>IF($FH6777="","",SUM($FN6777:$FN$7000))</f>
        <v/>
      </c>
      <c r="FK6777" s="36" t="str">
        <f>IF($FH6777="","",SUM($FN6777:$FN$7000))</f>
        <v/>
      </c>
    </row>
    <row r="6778" spans="164:167">
      <c r="FH6778" s="29" t="str">
        <f t="shared" si="160"/>
        <v/>
      </c>
      <c r="FJ6778" s="36" t="str">
        <f>IF($FH6778="","",SUM($FN6778:$FN$7000))</f>
        <v/>
      </c>
      <c r="FK6778" s="36" t="str">
        <f>IF($FH6778="","",SUM($FN6778:$FN$7000))</f>
        <v/>
      </c>
    </row>
    <row r="6779" spans="164:167">
      <c r="FH6779" s="29" t="str">
        <f t="shared" si="160"/>
        <v/>
      </c>
      <c r="FJ6779" s="36" t="str">
        <f>IF($FH6779="","",SUM($FN6779:$FN$7000))</f>
        <v/>
      </c>
      <c r="FK6779" s="36" t="str">
        <f>IF($FH6779="","",SUM($FN6779:$FN$7000))</f>
        <v/>
      </c>
    </row>
    <row r="6780" spans="164:167">
      <c r="FH6780" s="29" t="str">
        <f t="shared" si="160"/>
        <v/>
      </c>
      <c r="FJ6780" s="36" t="str">
        <f>IF($FH6780="","",SUM($FN6780:$FN$7000))</f>
        <v/>
      </c>
      <c r="FK6780" s="36" t="str">
        <f>IF($FH6780="","",SUM($FN6780:$FN$7000))</f>
        <v/>
      </c>
    </row>
    <row r="6781" spans="164:167">
      <c r="FH6781" s="29" t="str">
        <f t="shared" si="160"/>
        <v/>
      </c>
      <c r="FJ6781" s="36" t="str">
        <f>IF($FH6781="","",SUM($FN6781:$FN$7000))</f>
        <v/>
      </c>
      <c r="FK6781" s="36" t="str">
        <f>IF($FH6781="","",SUM($FN6781:$FN$7000))</f>
        <v/>
      </c>
    </row>
    <row r="6782" spans="164:167">
      <c r="FH6782" s="29" t="str">
        <f t="shared" si="160"/>
        <v/>
      </c>
      <c r="FJ6782" s="36" t="str">
        <f>IF($FH6782="","",SUM($FN6782:$FN$7000))</f>
        <v/>
      </c>
      <c r="FK6782" s="36" t="str">
        <f>IF($FH6782="","",SUM($FN6782:$FN$7000))</f>
        <v/>
      </c>
    </row>
    <row r="6783" spans="164:167">
      <c r="FH6783" s="29" t="str">
        <f t="shared" si="160"/>
        <v/>
      </c>
      <c r="FJ6783" s="36" t="str">
        <f>IF($FH6783="","",SUM($FN6783:$FN$7000))</f>
        <v/>
      </c>
      <c r="FK6783" s="36" t="str">
        <f>IF($FH6783="","",SUM($FN6783:$FN$7000))</f>
        <v/>
      </c>
    </row>
    <row r="6784" spans="164:167">
      <c r="FH6784" s="29" t="str">
        <f t="shared" si="160"/>
        <v/>
      </c>
      <c r="FJ6784" s="36" t="str">
        <f>IF($FH6784="","",SUM($FN6784:$FN$7000))</f>
        <v/>
      </c>
      <c r="FK6784" s="36" t="str">
        <f>IF($FH6784="","",SUM($FN6784:$FN$7000))</f>
        <v/>
      </c>
    </row>
    <row r="6785" spans="164:167">
      <c r="FH6785" s="29" t="str">
        <f t="shared" si="160"/>
        <v/>
      </c>
      <c r="FJ6785" s="36" t="str">
        <f>IF($FH6785="","",SUM($FN6785:$FN$7000))</f>
        <v/>
      </c>
      <c r="FK6785" s="36" t="str">
        <f>IF($FH6785="","",SUM($FN6785:$FN$7000))</f>
        <v/>
      </c>
    </row>
    <row r="6786" spans="164:167">
      <c r="FH6786" s="29" t="str">
        <f t="shared" si="160"/>
        <v/>
      </c>
      <c r="FJ6786" s="36" t="str">
        <f>IF($FH6786="","",SUM($FN6786:$FN$7000))</f>
        <v/>
      </c>
      <c r="FK6786" s="36" t="str">
        <f>IF($FH6786="","",SUM($FN6786:$FN$7000))</f>
        <v/>
      </c>
    </row>
    <row r="6787" spans="164:167">
      <c r="FH6787" s="29" t="str">
        <f t="shared" si="160"/>
        <v/>
      </c>
      <c r="FJ6787" s="36" t="str">
        <f>IF($FH6787="","",SUM($FN6787:$FN$7000))</f>
        <v/>
      </c>
      <c r="FK6787" s="36" t="str">
        <f>IF($FH6787="","",SUM($FN6787:$FN$7000))</f>
        <v/>
      </c>
    </row>
    <row r="6788" spans="164:167">
      <c r="FH6788" s="29" t="str">
        <f t="shared" si="160"/>
        <v/>
      </c>
      <c r="FJ6788" s="36" t="str">
        <f>IF($FH6788="","",SUM($FN6788:$FN$7000))</f>
        <v/>
      </c>
      <c r="FK6788" s="36" t="str">
        <f>IF($FH6788="","",SUM($FN6788:$FN$7000))</f>
        <v/>
      </c>
    </row>
    <row r="6789" spans="164:167">
      <c r="FH6789" s="29" t="str">
        <f t="shared" si="160"/>
        <v/>
      </c>
      <c r="FJ6789" s="36" t="str">
        <f>IF($FH6789="","",SUM($FN6789:$FN$7000))</f>
        <v/>
      </c>
      <c r="FK6789" s="36" t="str">
        <f>IF($FH6789="","",SUM($FN6789:$FN$7000))</f>
        <v/>
      </c>
    </row>
    <row r="6790" spans="164:167">
      <c r="FH6790" s="29" t="str">
        <f t="shared" si="160"/>
        <v/>
      </c>
      <c r="FJ6790" s="36" t="str">
        <f>IF($FH6790="","",SUM($FN6790:$FN$7000))</f>
        <v/>
      </c>
      <c r="FK6790" s="36" t="str">
        <f>IF($FH6790="","",SUM($FN6790:$FN$7000))</f>
        <v/>
      </c>
    </row>
    <row r="6791" spans="164:167">
      <c r="FH6791" s="29" t="str">
        <f t="shared" si="160"/>
        <v/>
      </c>
      <c r="FJ6791" s="36" t="str">
        <f>IF($FH6791="","",SUM($FN6791:$FN$7000))</f>
        <v/>
      </c>
      <c r="FK6791" s="36" t="str">
        <f>IF($FH6791="","",SUM($FN6791:$FN$7000))</f>
        <v/>
      </c>
    </row>
    <row r="6792" spans="164:167">
      <c r="FH6792" s="29" t="str">
        <f t="shared" si="160"/>
        <v/>
      </c>
      <c r="FJ6792" s="36" t="str">
        <f>IF($FH6792="","",SUM($FN6792:$FN$7000))</f>
        <v/>
      </c>
      <c r="FK6792" s="36" t="str">
        <f>IF($FH6792="","",SUM($FN6792:$FN$7000))</f>
        <v/>
      </c>
    </row>
    <row r="6793" spans="164:167">
      <c r="FH6793" s="29" t="str">
        <f t="shared" si="160"/>
        <v/>
      </c>
      <c r="FJ6793" s="36" t="str">
        <f>IF($FH6793="","",SUM($FN6793:$FN$7000))</f>
        <v/>
      </c>
      <c r="FK6793" s="36" t="str">
        <f>IF($FH6793="","",SUM($FN6793:$FN$7000))</f>
        <v/>
      </c>
    </row>
    <row r="6794" spans="164:167">
      <c r="FH6794" s="29" t="str">
        <f t="shared" si="160"/>
        <v/>
      </c>
      <c r="FJ6794" s="36" t="str">
        <f>IF($FH6794="","",SUM($FN6794:$FN$7000))</f>
        <v/>
      </c>
      <c r="FK6794" s="36" t="str">
        <f>IF($FH6794="","",SUM($FN6794:$FN$7000))</f>
        <v/>
      </c>
    </row>
    <row r="6795" spans="164:167">
      <c r="FH6795" s="29" t="str">
        <f t="shared" ref="FH6795:FH6858" si="161">IF(FL6795="","",FL6795)</f>
        <v/>
      </c>
      <c r="FJ6795" s="36" t="str">
        <f>IF($FH6795="","",SUM($FN6795:$FN$7000))</f>
        <v/>
      </c>
      <c r="FK6795" s="36" t="str">
        <f>IF($FH6795="","",SUM($FN6795:$FN$7000))</f>
        <v/>
      </c>
    </row>
    <row r="6796" spans="164:167">
      <c r="FH6796" s="29" t="str">
        <f t="shared" si="161"/>
        <v/>
      </c>
      <c r="FJ6796" s="36" t="str">
        <f>IF($FH6796="","",SUM($FN6796:$FN$7000))</f>
        <v/>
      </c>
      <c r="FK6796" s="36" t="str">
        <f>IF($FH6796="","",SUM($FN6796:$FN$7000))</f>
        <v/>
      </c>
    </row>
    <row r="6797" spans="164:167">
      <c r="FH6797" s="29" t="str">
        <f t="shared" si="161"/>
        <v/>
      </c>
      <c r="FJ6797" s="36" t="str">
        <f>IF($FH6797="","",SUM($FN6797:$FN$7000))</f>
        <v/>
      </c>
      <c r="FK6797" s="36" t="str">
        <f>IF($FH6797="","",SUM($FN6797:$FN$7000))</f>
        <v/>
      </c>
    </row>
    <row r="6798" spans="164:167">
      <c r="FH6798" s="29" t="str">
        <f t="shared" si="161"/>
        <v/>
      </c>
      <c r="FJ6798" s="36" t="str">
        <f>IF($FH6798="","",SUM($FN6798:$FN$7000))</f>
        <v/>
      </c>
      <c r="FK6798" s="36" t="str">
        <f>IF($FH6798="","",SUM($FN6798:$FN$7000))</f>
        <v/>
      </c>
    </row>
    <row r="6799" spans="164:167">
      <c r="FH6799" s="29" t="str">
        <f t="shared" si="161"/>
        <v/>
      </c>
      <c r="FJ6799" s="36" t="str">
        <f>IF($FH6799="","",SUM($FN6799:$FN$7000))</f>
        <v/>
      </c>
      <c r="FK6799" s="36" t="str">
        <f>IF($FH6799="","",SUM($FN6799:$FN$7000))</f>
        <v/>
      </c>
    </row>
    <row r="6800" spans="164:167">
      <c r="FH6800" s="29" t="str">
        <f t="shared" si="161"/>
        <v/>
      </c>
      <c r="FJ6800" s="36" t="str">
        <f>IF($FH6800="","",SUM($FN6800:$FN$7000))</f>
        <v/>
      </c>
      <c r="FK6800" s="36" t="str">
        <f>IF($FH6800="","",SUM($FN6800:$FN$7000))</f>
        <v/>
      </c>
    </row>
    <row r="6801" spans="164:167">
      <c r="FH6801" s="29" t="str">
        <f t="shared" si="161"/>
        <v/>
      </c>
      <c r="FJ6801" s="36" t="str">
        <f>IF($FH6801="","",SUM($FN6801:$FN$7000))</f>
        <v/>
      </c>
      <c r="FK6801" s="36" t="str">
        <f>IF($FH6801="","",SUM($FN6801:$FN$7000))</f>
        <v/>
      </c>
    </row>
    <row r="6802" spans="164:167">
      <c r="FH6802" s="29" t="str">
        <f t="shared" si="161"/>
        <v/>
      </c>
      <c r="FJ6802" s="36" t="str">
        <f>IF($FH6802="","",SUM($FN6802:$FN$7000))</f>
        <v/>
      </c>
      <c r="FK6802" s="36" t="str">
        <f>IF($FH6802="","",SUM($FN6802:$FN$7000))</f>
        <v/>
      </c>
    </row>
    <row r="6803" spans="164:167">
      <c r="FH6803" s="29" t="str">
        <f t="shared" si="161"/>
        <v/>
      </c>
      <c r="FJ6803" s="36" t="str">
        <f>IF($FH6803="","",SUM($FN6803:$FN$7000))</f>
        <v/>
      </c>
      <c r="FK6803" s="36" t="str">
        <f>IF($FH6803="","",SUM($FN6803:$FN$7000))</f>
        <v/>
      </c>
    </row>
    <row r="6804" spans="164:167">
      <c r="FH6804" s="29" t="str">
        <f t="shared" si="161"/>
        <v/>
      </c>
      <c r="FJ6804" s="36" t="str">
        <f>IF($FH6804="","",SUM($FN6804:$FN$7000))</f>
        <v/>
      </c>
      <c r="FK6804" s="36" t="str">
        <f>IF($FH6804="","",SUM($FN6804:$FN$7000))</f>
        <v/>
      </c>
    </row>
    <row r="6805" spans="164:167">
      <c r="FH6805" s="29" t="str">
        <f t="shared" si="161"/>
        <v/>
      </c>
      <c r="FJ6805" s="36" t="str">
        <f>IF($FH6805="","",SUM($FN6805:$FN$7000))</f>
        <v/>
      </c>
      <c r="FK6805" s="36" t="str">
        <f>IF($FH6805="","",SUM($FN6805:$FN$7000))</f>
        <v/>
      </c>
    </row>
    <row r="6806" spans="164:167">
      <c r="FH6806" s="29" t="str">
        <f t="shared" si="161"/>
        <v/>
      </c>
      <c r="FJ6806" s="36" t="str">
        <f>IF($FH6806="","",SUM($FN6806:$FN$7000))</f>
        <v/>
      </c>
      <c r="FK6806" s="36" t="str">
        <f>IF($FH6806="","",SUM($FN6806:$FN$7000))</f>
        <v/>
      </c>
    </row>
    <row r="6807" spans="164:167">
      <c r="FH6807" s="29" t="str">
        <f t="shared" si="161"/>
        <v/>
      </c>
      <c r="FJ6807" s="36" t="str">
        <f>IF($FH6807="","",SUM($FN6807:$FN$7000))</f>
        <v/>
      </c>
      <c r="FK6807" s="36" t="str">
        <f>IF($FH6807="","",SUM($FN6807:$FN$7000))</f>
        <v/>
      </c>
    </row>
    <row r="6808" spans="164:167">
      <c r="FH6808" s="29" t="str">
        <f t="shared" si="161"/>
        <v/>
      </c>
      <c r="FJ6808" s="36" t="str">
        <f>IF($FH6808="","",SUM($FN6808:$FN$7000))</f>
        <v/>
      </c>
      <c r="FK6808" s="36" t="str">
        <f>IF($FH6808="","",SUM($FN6808:$FN$7000))</f>
        <v/>
      </c>
    </row>
    <row r="6809" spans="164:167">
      <c r="FH6809" s="29" t="str">
        <f t="shared" si="161"/>
        <v/>
      </c>
      <c r="FJ6809" s="36" t="str">
        <f>IF($FH6809="","",SUM($FN6809:$FN$7000))</f>
        <v/>
      </c>
      <c r="FK6809" s="36" t="str">
        <f>IF($FH6809="","",SUM($FN6809:$FN$7000))</f>
        <v/>
      </c>
    </row>
    <row r="6810" spans="164:167">
      <c r="FH6810" s="29" t="str">
        <f t="shared" si="161"/>
        <v/>
      </c>
      <c r="FJ6810" s="36" t="str">
        <f>IF($FH6810="","",SUM($FN6810:$FN$7000))</f>
        <v/>
      </c>
      <c r="FK6810" s="36" t="str">
        <f>IF($FH6810="","",SUM($FN6810:$FN$7000))</f>
        <v/>
      </c>
    </row>
    <row r="6811" spans="164:167">
      <c r="FH6811" s="29" t="str">
        <f t="shared" si="161"/>
        <v/>
      </c>
      <c r="FJ6811" s="36" t="str">
        <f>IF($FH6811="","",SUM($FN6811:$FN$7000))</f>
        <v/>
      </c>
      <c r="FK6811" s="36" t="str">
        <f>IF($FH6811="","",SUM($FN6811:$FN$7000))</f>
        <v/>
      </c>
    </row>
    <row r="6812" spans="164:167">
      <c r="FH6812" s="29" t="str">
        <f t="shared" si="161"/>
        <v/>
      </c>
      <c r="FJ6812" s="36" t="str">
        <f>IF($FH6812="","",SUM($FN6812:$FN$7000))</f>
        <v/>
      </c>
      <c r="FK6812" s="36" t="str">
        <f>IF($FH6812="","",SUM($FN6812:$FN$7000))</f>
        <v/>
      </c>
    </row>
    <row r="6813" spans="164:167">
      <c r="FH6813" s="29" t="str">
        <f t="shared" si="161"/>
        <v/>
      </c>
      <c r="FJ6813" s="36" t="str">
        <f>IF($FH6813="","",SUM($FN6813:$FN$7000))</f>
        <v/>
      </c>
      <c r="FK6813" s="36" t="str">
        <f>IF($FH6813="","",SUM($FN6813:$FN$7000))</f>
        <v/>
      </c>
    </row>
    <row r="6814" spans="164:167">
      <c r="FH6814" s="29" t="str">
        <f t="shared" si="161"/>
        <v/>
      </c>
      <c r="FJ6814" s="36" t="str">
        <f>IF($FH6814="","",SUM($FN6814:$FN$7000))</f>
        <v/>
      </c>
      <c r="FK6814" s="36" t="str">
        <f>IF($FH6814="","",SUM($FN6814:$FN$7000))</f>
        <v/>
      </c>
    </row>
    <row r="6815" spans="164:167">
      <c r="FH6815" s="29" t="str">
        <f t="shared" si="161"/>
        <v/>
      </c>
      <c r="FJ6815" s="36" t="str">
        <f>IF($FH6815="","",SUM($FN6815:$FN$7000))</f>
        <v/>
      </c>
      <c r="FK6815" s="36" t="str">
        <f>IF($FH6815="","",SUM($FN6815:$FN$7000))</f>
        <v/>
      </c>
    </row>
    <row r="6816" spans="164:167">
      <c r="FH6816" s="29" t="str">
        <f t="shared" si="161"/>
        <v/>
      </c>
      <c r="FJ6816" s="36" t="str">
        <f>IF($FH6816="","",SUM($FN6816:$FN$7000))</f>
        <v/>
      </c>
      <c r="FK6816" s="36" t="str">
        <f>IF($FH6816="","",SUM($FN6816:$FN$7000))</f>
        <v/>
      </c>
    </row>
    <row r="6817" spans="164:167">
      <c r="FH6817" s="29" t="str">
        <f t="shared" si="161"/>
        <v/>
      </c>
      <c r="FJ6817" s="36" t="str">
        <f>IF($FH6817="","",SUM($FN6817:$FN$7000))</f>
        <v/>
      </c>
      <c r="FK6817" s="36" t="str">
        <f>IF($FH6817="","",SUM($FN6817:$FN$7000))</f>
        <v/>
      </c>
    </row>
    <row r="6818" spans="164:167">
      <c r="FH6818" s="29" t="str">
        <f t="shared" si="161"/>
        <v/>
      </c>
      <c r="FJ6818" s="36" t="str">
        <f>IF($FH6818="","",SUM($FN6818:$FN$7000))</f>
        <v/>
      </c>
      <c r="FK6818" s="36" t="str">
        <f>IF($FH6818="","",SUM($FN6818:$FN$7000))</f>
        <v/>
      </c>
    </row>
    <row r="6819" spans="164:167">
      <c r="FH6819" s="29" t="str">
        <f t="shared" si="161"/>
        <v/>
      </c>
      <c r="FJ6819" s="36" t="str">
        <f>IF($FH6819="","",SUM($FN6819:$FN$7000))</f>
        <v/>
      </c>
      <c r="FK6819" s="36" t="str">
        <f>IF($FH6819="","",SUM($FN6819:$FN$7000))</f>
        <v/>
      </c>
    </row>
    <row r="6820" spans="164:167">
      <c r="FH6820" s="29" t="str">
        <f t="shared" si="161"/>
        <v/>
      </c>
      <c r="FJ6820" s="36" t="str">
        <f>IF($FH6820="","",SUM($FN6820:$FN$7000))</f>
        <v/>
      </c>
      <c r="FK6820" s="36" t="str">
        <f>IF($FH6820="","",SUM($FN6820:$FN$7000))</f>
        <v/>
      </c>
    </row>
    <row r="6821" spans="164:167">
      <c r="FH6821" s="29" t="str">
        <f t="shared" si="161"/>
        <v/>
      </c>
      <c r="FJ6821" s="36" t="str">
        <f>IF($FH6821="","",SUM($FN6821:$FN$7000))</f>
        <v/>
      </c>
      <c r="FK6821" s="36" t="str">
        <f>IF($FH6821="","",SUM($FN6821:$FN$7000))</f>
        <v/>
      </c>
    </row>
    <row r="6822" spans="164:167">
      <c r="FH6822" s="29" t="str">
        <f t="shared" si="161"/>
        <v/>
      </c>
      <c r="FJ6822" s="36" t="str">
        <f>IF($FH6822="","",SUM($FN6822:$FN$7000))</f>
        <v/>
      </c>
      <c r="FK6822" s="36" t="str">
        <f>IF($FH6822="","",SUM($FN6822:$FN$7000))</f>
        <v/>
      </c>
    </row>
    <row r="6823" spans="164:167">
      <c r="FH6823" s="29" t="str">
        <f t="shared" si="161"/>
        <v/>
      </c>
      <c r="FJ6823" s="36" t="str">
        <f>IF($FH6823="","",SUM($FN6823:$FN$7000))</f>
        <v/>
      </c>
      <c r="FK6823" s="36" t="str">
        <f>IF($FH6823="","",SUM($FN6823:$FN$7000))</f>
        <v/>
      </c>
    </row>
    <row r="6824" spans="164:167">
      <c r="FH6824" s="29" t="str">
        <f t="shared" si="161"/>
        <v/>
      </c>
      <c r="FJ6824" s="36" t="str">
        <f>IF($FH6824="","",SUM($FN6824:$FN$7000))</f>
        <v/>
      </c>
      <c r="FK6824" s="36" t="str">
        <f>IF($FH6824="","",SUM($FN6824:$FN$7000))</f>
        <v/>
      </c>
    </row>
    <row r="6825" spans="164:167">
      <c r="FH6825" s="29" t="str">
        <f t="shared" si="161"/>
        <v/>
      </c>
      <c r="FJ6825" s="36" t="str">
        <f>IF($FH6825="","",SUM($FN6825:$FN$7000))</f>
        <v/>
      </c>
      <c r="FK6825" s="36" t="str">
        <f>IF($FH6825="","",SUM($FN6825:$FN$7000))</f>
        <v/>
      </c>
    </row>
    <row r="6826" spans="164:167">
      <c r="FH6826" s="29" t="str">
        <f t="shared" si="161"/>
        <v/>
      </c>
      <c r="FJ6826" s="36" t="str">
        <f>IF($FH6826="","",SUM($FN6826:$FN$7000))</f>
        <v/>
      </c>
      <c r="FK6826" s="36" t="str">
        <f>IF($FH6826="","",SUM($FN6826:$FN$7000))</f>
        <v/>
      </c>
    </row>
    <row r="6827" spans="164:167">
      <c r="FH6827" s="29" t="str">
        <f t="shared" si="161"/>
        <v/>
      </c>
      <c r="FJ6827" s="36" t="str">
        <f>IF($FH6827="","",SUM($FN6827:$FN$7000))</f>
        <v/>
      </c>
      <c r="FK6827" s="36" t="str">
        <f>IF($FH6827="","",SUM($FN6827:$FN$7000))</f>
        <v/>
      </c>
    </row>
    <row r="6828" spans="164:167">
      <c r="FH6828" s="29" t="str">
        <f t="shared" si="161"/>
        <v/>
      </c>
      <c r="FJ6828" s="36" t="str">
        <f>IF($FH6828="","",SUM($FN6828:$FN$7000))</f>
        <v/>
      </c>
      <c r="FK6828" s="36" t="str">
        <f>IF($FH6828="","",SUM($FN6828:$FN$7000))</f>
        <v/>
      </c>
    </row>
    <row r="6829" spans="164:167">
      <c r="FH6829" s="29" t="str">
        <f t="shared" si="161"/>
        <v/>
      </c>
      <c r="FJ6829" s="36" t="str">
        <f>IF($FH6829="","",SUM($FN6829:$FN$7000))</f>
        <v/>
      </c>
      <c r="FK6829" s="36" t="str">
        <f>IF($FH6829="","",SUM($FN6829:$FN$7000))</f>
        <v/>
      </c>
    </row>
    <row r="6830" spans="164:167">
      <c r="FH6830" s="29" t="str">
        <f t="shared" si="161"/>
        <v/>
      </c>
      <c r="FJ6830" s="36" t="str">
        <f>IF($FH6830="","",SUM($FN6830:$FN$7000))</f>
        <v/>
      </c>
      <c r="FK6830" s="36" t="str">
        <f>IF($FH6830="","",SUM($FN6830:$FN$7000))</f>
        <v/>
      </c>
    </row>
    <row r="6831" spans="164:167">
      <c r="FH6831" s="29" t="str">
        <f t="shared" si="161"/>
        <v/>
      </c>
      <c r="FJ6831" s="36" t="str">
        <f>IF($FH6831="","",SUM($FN6831:$FN$7000))</f>
        <v/>
      </c>
      <c r="FK6831" s="36" t="str">
        <f>IF($FH6831="","",SUM($FN6831:$FN$7000))</f>
        <v/>
      </c>
    </row>
    <row r="6832" spans="164:167">
      <c r="FH6832" s="29" t="str">
        <f t="shared" si="161"/>
        <v/>
      </c>
      <c r="FJ6832" s="36" t="str">
        <f>IF($FH6832="","",SUM($FN6832:$FN$7000))</f>
        <v/>
      </c>
      <c r="FK6832" s="36" t="str">
        <f>IF($FH6832="","",SUM($FN6832:$FN$7000))</f>
        <v/>
      </c>
    </row>
    <row r="6833" spans="164:167">
      <c r="FH6833" s="29" t="str">
        <f t="shared" si="161"/>
        <v/>
      </c>
      <c r="FJ6833" s="36" t="str">
        <f>IF($FH6833="","",SUM($FN6833:$FN$7000))</f>
        <v/>
      </c>
      <c r="FK6833" s="36" t="str">
        <f>IF($FH6833="","",SUM($FN6833:$FN$7000))</f>
        <v/>
      </c>
    </row>
    <row r="6834" spans="164:167">
      <c r="FH6834" s="29" t="str">
        <f t="shared" si="161"/>
        <v/>
      </c>
      <c r="FJ6834" s="36" t="str">
        <f>IF($FH6834="","",SUM($FN6834:$FN$7000))</f>
        <v/>
      </c>
      <c r="FK6834" s="36" t="str">
        <f>IF($FH6834="","",SUM($FN6834:$FN$7000))</f>
        <v/>
      </c>
    </row>
    <row r="6835" spans="164:167">
      <c r="FH6835" s="29" t="str">
        <f t="shared" si="161"/>
        <v/>
      </c>
      <c r="FJ6835" s="36" t="str">
        <f>IF($FH6835="","",SUM($FN6835:$FN$7000))</f>
        <v/>
      </c>
      <c r="FK6835" s="36" t="str">
        <f>IF($FH6835="","",SUM($FN6835:$FN$7000))</f>
        <v/>
      </c>
    </row>
    <row r="6836" spans="164:167">
      <c r="FH6836" s="29" t="str">
        <f t="shared" si="161"/>
        <v/>
      </c>
      <c r="FJ6836" s="36" t="str">
        <f>IF($FH6836="","",SUM($FN6836:$FN$7000))</f>
        <v/>
      </c>
      <c r="FK6836" s="36" t="str">
        <f>IF($FH6836="","",SUM($FN6836:$FN$7000))</f>
        <v/>
      </c>
    </row>
    <row r="6837" spans="164:167">
      <c r="FH6837" s="29" t="str">
        <f t="shared" si="161"/>
        <v/>
      </c>
      <c r="FJ6837" s="36" t="str">
        <f>IF($FH6837="","",SUM($FN6837:$FN$7000))</f>
        <v/>
      </c>
      <c r="FK6837" s="36" t="str">
        <f>IF($FH6837="","",SUM($FN6837:$FN$7000))</f>
        <v/>
      </c>
    </row>
    <row r="6838" spans="164:167">
      <c r="FH6838" s="29" t="str">
        <f t="shared" si="161"/>
        <v/>
      </c>
      <c r="FJ6838" s="36" t="str">
        <f>IF($FH6838="","",SUM($FN6838:$FN$7000))</f>
        <v/>
      </c>
      <c r="FK6838" s="36" t="str">
        <f>IF($FH6838="","",SUM($FN6838:$FN$7000))</f>
        <v/>
      </c>
    </row>
    <row r="6839" spans="164:167">
      <c r="FH6839" s="29" t="str">
        <f t="shared" si="161"/>
        <v/>
      </c>
      <c r="FJ6839" s="36" t="str">
        <f>IF($FH6839="","",SUM($FN6839:$FN$7000))</f>
        <v/>
      </c>
      <c r="FK6839" s="36" t="str">
        <f>IF($FH6839="","",SUM($FN6839:$FN$7000))</f>
        <v/>
      </c>
    </row>
    <row r="6840" spans="164:167">
      <c r="FH6840" s="29" t="str">
        <f t="shared" si="161"/>
        <v/>
      </c>
      <c r="FJ6840" s="36" t="str">
        <f>IF($FH6840="","",SUM($FN6840:$FN$7000))</f>
        <v/>
      </c>
      <c r="FK6840" s="36" t="str">
        <f>IF($FH6840="","",SUM($FN6840:$FN$7000))</f>
        <v/>
      </c>
    </row>
    <row r="6841" spans="164:167">
      <c r="FH6841" s="29" t="str">
        <f t="shared" si="161"/>
        <v/>
      </c>
      <c r="FJ6841" s="36" t="str">
        <f>IF($FH6841="","",SUM($FN6841:$FN$7000))</f>
        <v/>
      </c>
      <c r="FK6841" s="36" t="str">
        <f>IF($FH6841="","",SUM($FN6841:$FN$7000))</f>
        <v/>
      </c>
    </row>
    <row r="6842" spans="164:167">
      <c r="FH6842" s="29" t="str">
        <f t="shared" si="161"/>
        <v/>
      </c>
      <c r="FJ6842" s="36" t="str">
        <f>IF($FH6842="","",SUM($FN6842:$FN$7000))</f>
        <v/>
      </c>
      <c r="FK6842" s="36" t="str">
        <f>IF($FH6842="","",SUM($FN6842:$FN$7000))</f>
        <v/>
      </c>
    </row>
    <row r="6843" spans="164:167">
      <c r="FH6843" s="29" t="str">
        <f t="shared" si="161"/>
        <v/>
      </c>
      <c r="FJ6843" s="36" t="str">
        <f>IF($FH6843="","",SUM($FN6843:$FN$7000))</f>
        <v/>
      </c>
      <c r="FK6843" s="36" t="str">
        <f>IF($FH6843="","",SUM($FN6843:$FN$7000))</f>
        <v/>
      </c>
    </row>
    <row r="6844" spans="164:167">
      <c r="FH6844" s="29" t="str">
        <f t="shared" si="161"/>
        <v/>
      </c>
      <c r="FJ6844" s="36" t="str">
        <f>IF($FH6844="","",SUM($FN6844:$FN$7000))</f>
        <v/>
      </c>
      <c r="FK6844" s="36" t="str">
        <f>IF($FH6844="","",SUM($FN6844:$FN$7000))</f>
        <v/>
      </c>
    </row>
    <row r="6845" spans="164:167">
      <c r="FH6845" s="29" t="str">
        <f t="shared" si="161"/>
        <v/>
      </c>
      <c r="FJ6845" s="36" t="str">
        <f>IF($FH6845="","",SUM($FN6845:$FN$7000))</f>
        <v/>
      </c>
      <c r="FK6845" s="36" t="str">
        <f>IF($FH6845="","",SUM($FN6845:$FN$7000))</f>
        <v/>
      </c>
    </row>
    <row r="6846" spans="164:167">
      <c r="FH6846" s="29" t="str">
        <f t="shared" si="161"/>
        <v/>
      </c>
      <c r="FJ6846" s="36" t="str">
        <f>IF($FH6846="","",SUM($FN6846:$FN$7000))</f>
        <v/>
      </c>
      <c r="FK6846" s="36" t="str">
        <f>IF($FH6846="","",SUM($FN6846:$FN$7000))</f>
        <v/>
      </c>
    </row>
    <row r="6847" spans="164:167">
      <c r="FH6847" s="29" t="str">
        <f t="shared" si="161"/>
        <v/>
      </c>
      <c r="FJ6847" s="36" t="str">
        <f>IF($FH6847="","",SUM($FN6847:$FN$7000))</f>
        <v/>
      </c>
      <c r="FK6847" s="36" t="str">
        <f>IF($FH6847="","",SUM($FN6847:$FN$7000))</f>
        <v/>
      </c>
    </row>
    <row r="6848" spans="164:167">
      <c r="FH6848" s="29" t="str">
        <f t="shared" si="161"/>
        <v/>
      </c>
      <c r="FJ6848" s="36" t="str">
        <f>IF($FH6848="","",SUM($FN6848:$FN$7000))</f>
        <v/>
      </c>
      <c r="FK6848" s="36" t="str">
        <f>IF($FH6848="","",SUM($FN6848:$FN$7000))</f>
        <v/>
      </c>
    </row>
    <row r="6849" spans="164:167">
      <c r="FH6849" s="29" t="str">
        <f t="shared" si="161"/>
        <v/>
      </c>
      <c r="FJ6849" s="36" t="str">
        <f>IF($FH6849="","",SUM($FN6849:$FN$7000))</f>
        <v/>
      </c>
      <c r="FK6849" s="36" t="str">
        <f>IF($FH6849="","",SUM($FN6849:$FN$7000))</f>
        <v/>
      </c>
    </row>
    <row r="6850" spans="164:167">
      <c r="FH6850" s="29" t="str">
        <f t="shared" si="161"/>
        <v/>
      </c>
      <c r="FJ6850" s="36" t="str">
        <f>IF($FH6850="","",SUM($FN6850:$FN$7000))</f>
        <v/>
      </c>
      <c r="FK6850" s="36" t="str">
        <f>IF($FH6850="","",SUM($FN6850:$FN$7000))</f>
        <v/>
      </c>
    </row>
    <row r="6851" spans="164:167">
      <c r="FH6851" s="29" t="str">
        <f t="shared" si="161"/>
        <v/>
      </c>
      <c r="FJ6851" s="36" t="str">
        <f>IF($FH6851="","",SUM($FN6851:$FN$7000))</f>
        <v/>
      </c>
      <c r="FK6851" s="36" t="str">
        <f>IF($FH6851="","",SUM($FN6851:$FN$7000))</f>
        <v/>
      </c>
    </row>
    <row r="6852" spans="164:167">
      <c r="FH6852" s="29" t="str">
        <f t="shared" si="161"/>
        <v/>
      </c>
      <c r="FJ6852" s="36" t="str">
        <f>IF($FH6852="","",SUM($FN6852:$FN$7000))</f>
        <v/>
      </c>
      <c r="FK6852" s="36" t="str">
        <f>IF($FH6852="","",SUM($FN6852:$FN$7000))</f>
        <v/>
      </c>
    </row>
    <row r="6853" spans="164:167">
      <c r="FH6853" s="29" t="str">
        <f t="shared" si="161"/>
        <v/>
      </c>
      <c r="FJ6853" s="36" t="str">
        <f>IF($FH6853="","",SUM($FN6853:$FN$7000))</f>
        <v/>
      </c>
      <c r="FK6853" s="36" t="str">
        <f>IF($FH6853="","",SUM($FN6853:$FN$7000))</f>
        <v/>
      </c>
    </row>
    <row r="6854" spans="164:167">
      <c r="FH6854" s="29" t="str">
        <f t="shared" si="161"/>
        <v/>
      </c>
      <c r="FJ6854" s="36" t="str">
        <f>IF($FH6854="","",SUM($FN6854:$FN$7000))</f>
        <v/>
      </c>
      <c r="FK6854" s="36" t="str">
        <f>IF($FH6854="","",SUM($FN6854:$FN$7000))</f>
        <v/>
      </c>
    </row>
    <row r="6855" spans="164:167">
      <c r="FH6855" s="29" t="str">
        <f t="shared" si="161"/>
        <v/>
      </c>
      <c r="FJ6855" s="36" t="str">
        <f>IF($FH6855="","",SUM($FN6855:$FN$7000))</f>
        <v/>
      </c>
      <c r="FK6855" s="36" t="str">
        <f>IF($FH6855="","",SUM($FN6855:$FN$7000))</f>
        <v/>
      </c>
    </row>
    <row r="6856" spans="164:167">
      <c r="FH6856" s="29" t="str">
        <f t="shared" si="161"/>
        <v/>
      </c>
      <c r="FJ6856" s="36" t="str">
        <f>IF($FH6856="","",SUM($FN6856:$FN$7000))</f>
        <v/>
      </c>
      <c r="FK6856" s="36" t="str">
        <f>IF($FH6856="","",SUM($FN6856:$FN$7000))</f>
        <v/>
      </c>
    </row>
    <row r="6857" spans="164:167">
      <c r="FH6857" s="29" t="str">
        <f t="shared" si="161"/>
        <v/>
      </c>
      <c r="FJ6857" s="36" t="str">
        <f>IF($FH6857="","",SUM($FN6857:$FN$7000))</f>
        <v/>
      </c>
      <c r="FK6857" s="36" t="str">
        <f>IF($FH6857="","",SUM($FN6857:$FN$7000))</f>
        <v/>
      </c>
    </row>
    <row r="6858" spans="164:167">
      <c r="FH6858" s="29" t="str">
        <f t="shared" si="161"/>
        <v/>
      </c>
      <c r="FJ6858" s="36" t="str">
        <f>IF($FH6858="","",SUM($FN6858:$FN$7000))</f>
        <v/>
      </c>
      <c r="FK6858" s="36" t="str">
        <f>IF($FH6858="","",SUM($FN6858:$FN$7000))</f>
        <v/>
      </c>
    </row>
    <row r="6859" spans="164:167">
      <c r="FH6859" s="29" t="str">
        <f t="shared" ref="FH6859:FH6922" si="162">IF(FL6859="","",FL6859)</f>
        <v/>
      </c>
      <c r="FJ6859" s="36" t="str">
        <f>IF($FH6859="","",SUM($FN6859:$FN$7000))</f>
        <v/>
      </c>
      <c r="FK6859" s="36" t="str">
        <f>IF($FH6859="","",SUM($FN6859:$FN$7000))</f>
        <v/>
      </c>
    </row>
    <row r="6860" spans="164:167">
      <c r="FH6860" s="29" t="str">
        <f t="shared" si="162"/>
        <v/>
      </c>
      <c r="FJ6860" s="36" t="str">
        <f>IF($FH6860="","",SUM($FN6860:$FN$7000))</f>
        <v/>
      </c>
      <c r="FK6860" s="36" t="str">
        <f>IF($FH6860="","",SUM($FN6860:$FN$7000))</f>
        <v/>
      </c>
    </row>
    <row r="6861" spans="164:167">
      <c r="FH6861" s="29" t="str">
        <f t="shared" si="162"/>
        <v/>
      </c>
      <c r="FJ6861" s="36" t="str">
        <f>IF($FH6861="","",SUM($FN6861:$FN$7000))</f>
        <v/>
      </c>
      <c r="FK6861" s="36" t="str">
        <f>IF($FH6861="","",SUM($FN6861:$FN$7000))</f>
        <v/>
      </c>
    </row>
    <row r="6862" spans="164:167">
      <c r="FH6862" s="29" t="str">
        <f t="shared" si="162"/>
        <v/>
      </c>
      <c r="FJ6862" s="36" t="str">
        <f>IF($FH6862="","",SUM($FN6862:$FN$7000))</f>
        <v/>
      </c>
      <c r="FK6862" s="36" t="str">
        <f>IF($FH6862="","",SUM($FN6862:$FN$7000))</f>
        <v/>
      </c>
    </row>
    <row r="6863" spans="164:167">
      <c r="FH6863" s="29" t="str">
        <f t="shared" si="162"/>
        <v/>
      </c>
      <c r="FJ6863" s="36" t="str">
        <f>IF($FH6863="","",SUM($FN6863:$FN$7000))</f>
        <v/>
      </c>
      <c r="FK6863" s="36" t="str">
        <f>IF($FH6863="","",SUM($FN6863:$FN$7000))</f>
        <v/>
      </c>
    </row>
    <row r="6864" spans="164:167">
      <c r="FH6864" s="29" t="str">
        <f t="shared" si="162"/>
        <v/>
      </c>
      <c r="FJ6864" s="36" t="str">
        <f>IF($FH6864="","",SUM($FN6864:$FN$7000))</f>
        <v/>
      </c>
      <c r="FK6864" s="36" t="str">
        <f>IF($FH6864="","",SUM($FN6864:$FN$7000))</f>
        <v/>
      </c>
    </row>
    <row r="6865" spans="164:167">
      <c r="FH6865" s="29" t="str">
        <f t="shared" si="162"/>
        <v/>
      </c>
      <c r="FJ6865" s="36" t="str">
        <f>IF($FH6865="","",SUM($FN6865:$FN$7000))</f>
        <v/>
      </c>
      <c r="FK6865" s="36" t="str">
        <f>IF($FH6865="","",SUM($FN6865:$FN$7000))</f>
        <v/>
      </c>
    </row>
    <row r="6866" spans="164:167">
      <c r="FH6866" s="29" t="str">
        <f t="shared" si="162"/>
        <v/>
      </c>
      <c r="FJ6866" s="36" t="str">
        <f>IF($FH6866="","",SUM($FN6866:$FN$7000))</f>
        <v/>
      </c>
      <c r="FK6866" s="36" t="str">
        <f>IF($FH6866="","",SUM($FN6866:$FN$7000))</f>
        <v/>
      </c>
    </row>
    <row r="6867" spans="164:167">
      <c r="FH6867" s="29" t="str">
        <f t="shared" si="162"/>
        <v/>
      </c>
      <c r="FJ6867" s="36" t="str">
        <f>IF($FH6867="","",SUM($FN6867:$FN$7000))</f>
        <v/>
      </c>
      <c r="FK6867" s="36" t="str">
        <f>IF($FH6867="","",SUM($FN6867:$FN$7000))</f>
        <v/>
      </c>
    </row>
    <row r="6868" spans="164:167">
      <c r="FH6868" s="29" t="str">
        <f t="shared" si="162"/>
        <v/>
      </c>
      <c r="FJ6868" s="36" t="str">
        <f>IF($FH6868="","",SUM($FN6868:$FN$7000))</f>
        <v/>
      </c>
      <c r="FK6868" s="36" t="str">
        <f>IF($FH6868="","",SUM($FN6868:$FN$7000))</f>
        <v/>
      </c>
    </row>
    <row r="6869" spans="164:167">
      <c r="FH6869" s="29" t="str">
        <f t="shared" si="162"/>
        <v/>
      </c>
      <c r="FJ6869" s="36" t="str">
        <f>IF($FH6869="","",SUM($FN6869:$FN$7000))</f>
        <v/>
      </c>
      <c r="FK6869" s="36" t="str">
        <f>IF($FH6869="","",SUM($FN6869:$FN$7000))</f>
        <v/>
      </c>
    </row>
    <row r="6870" spans="164:167">
      <c r="FH6870" s="29" t="str">
        <f t="shared" si="162"/>
        <v/>
      </c>
      <c r="FJ6870" s="36" t="str">
        <f>IF($FH6870="","",SUM($FN6870:$FN$7000))</f>
        <v/>
      </c>
      <c r="FK6870" s="36" t="str">
        <f>IF($FH6870="","",SUM($FN6870:$FN$7000))</f>
        <v/>
      </c>
    </row>
    <row r="6871" spans="164:167">
      <c r="FH6871" s="29" t="str">
        <f t="shared" si="162"/>
        <v/>
      </c>
      <c r="FJ6871" s="36" t="str">
        <f>IF($FH6871="","",SUM($FN6871:$FN$7000))</f>
        <v/>
      </c>
      <c r="FK6871" s="36" t="str">
        <f>IF($FH6871="","",SUM($FN6871:$FN$7000))</f>
        <v/>
      </c>
    </row>
    <row r="6872" spans="164:167">
      <c r="FH6872" s="29" t="str">
        <f t="shared" si="162"/>
        <v/>
      </c>
      <c r="FJ6872" s="36" t="str">
        <f>IF($FH6872="","",SUM($FN6872:$FN$7000))</f>
        <v/>
      </c>
      <c r="FK6872" s="36" t="str">
        <f>IF($FH6872="","",SUM($FN6872:$FN$7000))</f>
        <v/>
      </c>
    </row>
    <row r="6873" spans="164:167">
      <c r="FH6873" s="29" t="str">
        <f t="shared" si="162"/>
        <v/>
      </c>
      <c r="FJ6873" s="36" t="str">
        <f>IF($FH6873="","",SUM($FN6873:$FN$7000))</f>
        <v/>
      </c>
      <c r="FK6873" s="36" t="str">
        <f>IF($FH6873="","",SUM($FN6873:$FN$7000))</f>
        <v/>
      </c>
    </row>
    <row r="6874" spans="164:167">
      <c r="FH6874" s="29" t="str">
        <f t="shared" si="162"/>
        <v/>
      </c>
      <c r="FJ6874" s="36" t="str">
        <f>IF($FH6874="","",SUM($FN6874:$FN$7000))</f>
        <v/>
      </c>
      <c r="FK6874" s="36" t="str">
        <f>IF($FH6874="","",SUM($FN6874:$FN$7000))</f>
        <v/>
      </c>
    </row>
    <row r="6875" spans="164:167">
      <c r="FH6875" s="29" t="str">
        <f t="shared" si="162"/>
        <v/>
      </c>
      <c r="FJ6875" s="36" t="str">
        <f>IF($FH6875="","",SUM($FN6875:$FN$7000))</f>
        <v/>
      </c>
      <c r="FK6875" s="36" t="str">
        <f>IF($FH6875="","",SUM($FN6875:$FN$7000))</f>
        <v/>
      </c>
    </row>
    <row r="6876" spans="164:167">
      <c r="FH6876" s="29" t="str">
        <f t="shared" si="162"/>
        <v/>
      </c>
      <c r="FJ6876" s="36" t="str">
        <f>IF($FH6876="","",SUM($FN6876:$FN$7000))</f>
        <v/>
      </c>
      <c r="FK6876" s="36" t="str">
        <f>IF($FH6876="","",SUM($FN6876:$FN$7000))</f>
        <v/>
      </c>
    </row>
    <row r="6877" spans="164:167">
      <c r="FH6877" s="29" t="str">
        <f t="shared" si="162"/>
        <v/>
      </c>
      <c r="FJ6877" s="36" t="str">
        <f>IF($FH6877="","",SUM($FN6877:$FN$7000))</f>
        <v/>
      </c>
      <c r="FK6877" s="36" t="str">
        <f>IF($FH6877="","",SUM($FN6877:$FN$7000))</f>
        <v/>
      </c>
    </row>
    <row r="6878" spans="164:167">
      <c r="FH6878" s="29" t="str">
        <f t="shared" si="162"/>
        <v/>
      </c>
      <c r="FJ6878" s="36" t="str">
        <f>IF($FH6878="","",SUM($FN6878:$FN$7000))</f>
        <v/>
      </c>
      <c r="FK6878" s="36" t="str">
        <f>IF($FH6878="","",SUM($FN6878:$FN$7000))</f>
        <v/>
      </c>
    </row>
    <row r="6879" spans="164:167">
      <c r="FH6879" s="29" t="str">
        <f t="shared" si="162"/>
        <v/>
      </c>
      <c r="FJ6879" s="36" t="str">
        <f>IF($FH6879="","",SUM($FN6879:$FN$7000))</f>
        <v/>
      </c>
      <c r="FK6879" s="36" t="str">
        <f>IF($FH6879="","",SUM($FN6879:$FN$7000))</f>
        <v/>
      </c>
    </row>
    <row r="6880" spans="164:167">
      <c r="FH6880" s="29" t="str">
        <f t="shared" si="162"/>
        <v/>
      </c>
      <c r="FJ6880" s="36" t="str">
        <f>IF($FH6880="","",SUM($FN6880:$FN$7000))</f>
        <v/>
      </c>
      <c r="FK6880" s="36" t="str">
        <f>IF($FH6880="","",SUM($FN6880:$FN$7000))</f>
        <v/>
      </c>
    </row>
    <row r="6881" spans="164:167">
      <c r="FH6881" s="29" t="str">
        <f t="shared" si="162"/>
        <v/>
      </c>
      <c r="FJ6881" s="36" t="str">
        <f>IF($FH6881="","",SUM($FN6881:$FN$7000))</f>
        <v/>
      </c>
      <c r="FK6881" s="36" t="str">
        <f>IF($FH6881="","",SUM($FN6881:$FN$7000))</f>
        <v/>
      </c>
    </row>
    <row r="6882" spans="164:167">
      <c r="FH6882" s="29" t="str">
        <f t="shared" si="162"/>
        <v/>
      </c>
      <c r="FJ6882" s="36" t="str">
        <f>IF($FH6882="","",SUM($FN6882:$FN$7000))</f>
        <v/>
      </c>
      <c r="FK6882" s="36" t="str">
        <f>IF($FH6882="","",SUM($FN6882:$FN$7000))</f>
        <v/>
      </c>
    </row>
    <row r="6883" spans="164:167">
      <c r="FH6883" s="29" t="str">
        <f t="shared" si="162"/>
        <v/>
      </c>
      <c r="FJ6883" s="36" t="str">
        <f>IF($FH6883="","",SUM($FN6883:$FN$7000))</f>
        <v/>
      </c>
      <c r="FK6883" s="36" t="str">
        <f>IF($FH6883="","",SUM($FN6883:$FN$7000))</f>
        <v/>
      </c>
    </row>
    <row r="6884" spans="164:167">
      <c r="FH6884" s="29" t="str">
        <f t="shared" si="162"/>
        <v/>
      </c>
      <c r="FJ6884" s="36" t="str">
        <f>IF($FH6884="","",SUM($FN6884:$FN$7000))</f>
        <v/>
      </c>
      <c r="FK6884" s="36" t="str">
        <f>IF($FH6884="","",SUM($FN6884:$FN$7000))</f>
        <v/>
      </c>
    </row>
    <row r="6885" spans="164:167">
      <c r="FH6885" s="29" t="str">
        <f t="shared" si="162"/>
        <v/>
      </c>
      <c r="FJ6885" s="36" t="str">
        <f>IF($FH6885="","",SUM($FN6885:$FN$7000))</f>
        <v/>
      </c>
      <c r="FK6885" s="36" t="str">
        <f>IF($FH6885="","",SUM($FN6885:$FN$7000))</f>
        <v/>
      </c>
    </row>
    <row r="6886" spans="164:167">
      <c r="FH6886" s="29" t="str">
        <f t="shared" si="162"/>
        <v/>
      </c>
      <c r="FJ6886" s="36" t="str">
        <f>IF($FH6886="","",SUM($FN6886:$FN$7000))</f>
        <v/>
      </c>
      <c r="FK6886" s="36" t="str">
        <f>IF($FH6886="","",SUM($FN6886:$FN$7000))</f>
        <v/>
      </c>
    </row>
    <row r="6887" spans="164:167">
      <c r="FH6887" s="29" t="str">
        <f t="shared" si="162"/>
        <v/>
      </c>
      <c r="FJ6887" s="36" t="str">
        <f>IF($FH6887="","",SUM($FN6887:$FN$7000))</f>
        <v/>
      </c>
      <c r="FK6887" s="36" t="str">
        <f>IF($FH6887="","",SUM($FN6887:$FN$7000))</f>
        <v/>
      </c>
    </row>
    <row r="6888" spans="164:167">
      <c r="FH6888" s="29" t="str">
        <f t="shared" si="162"/>
        <v/>
      </c>
      <c r="FJ6888" s="36" t="str">
        <f>IF($FH6888="","",SUM($FN6888:$FN$7000))</f>
        <v/>
      </c>
      <c r="FK6888" s="36" t="str">
        <f>IF($FH6888="","",SUM($FN6888:$FN$7000))</f>
        <v/>
      </c>
    </row>
    <row r="6889" spans="164:167">
      <c r="FH6889" s="29" t="str">
        <f t="shared" si="162"/>
        <v/>
      </c>
      <c r="FJ6889" s="36" t="str">
        <f>IF($FH6889="","",SUM($FN6889:$FN$7000))</f>
        <v/>
      </c>
      <c r="FK6889" s="36" t="str">
        <f>IF($FH6889="","",SUM($FN6889:$FN$7000))</f>
        <v/>
      </c>
    </row>
    <row r="6890" spans="164:167">
      <c r="FH6890" s="29" t="str">
        <f t="shared" si="162"/>
        <v/>
      </c>
      <c r="FJ6890" s="36" t="str">
        <f>IF($FH6890="","",SUM($FN6890:$FN$7000))</f>
        <v/>
      </c>
      <c r="FK6890" s="36" t="str">
        <f>IF($FH6890="","",SUM($FN6890:$FN$7000))</f>
        <v/>
      </c>
    </row>
    <row r="6891" spans="164:167">
      <c r="FH6891" s="29" t="str">
        <f t="shared" si="162"/>
        <v/>
      </c>
      <c r="FJ6891" s="36" t="str">
        <f>IF($FH6891="","",SUM($FN6891:$FN$7000))</f>
        <v/>
      </c>
      <c r="FK6891" s="36" t="str">
        <f>IF($FH6891="","",SUM($FN6891:$FN$7000))</f>
        <v/>
      </c>
    </row>
    <row r="6892" spans="164:167">
      <c r="FH6892" s="29" t="str">
        <f t="shared" si="162"/>
        <v/>
      </c>
      <c r="FJ6892" s="36" t="str">
        <f>IF($FH6892="","",SUM($FN6892:$FN$7000))</f>
        <v/>
      </c>
      <c r="FK6892" s="36" t="str">
        <f>IF($FH6892="","",SUM($FN6892:$FN$7000))</f>
        <v/>
      </c>
    </row>
    <row r="6893" spans="164:167">
      <c r="FH6893" s="29" t="str">
        <f t="shared" si="162"/>
        <v/>
      </c>
      <c r="FJ6893" s="36" t="str">
        <f>IF($FH6893="","",SUM($FN6893:$FN$7000))</f>
        <v/>
      </c>
      <c r="FK6893" s="36" t="str">
        <f>IF($FH6893="","",SUM($FN6893:$FN$7000))</f>
        <v/>
      </c>
    </row>
    <row r="6894" spans="164:167">
      <c r="FH6894" s="29" t="str">
        <f t="shared" si="162"/>
        <v/>
      </c>
      <c r="FJ6894" s="36" t="str">
        <f>IF($FH6894="","",SUM($FN6894:$FN$7000))</f>
        <v/>
      </c>
      <c r="FK6894" s="36" t="str">
        <f>IF($FH6894="","",SUM($FN6894:$FN$7000))</f>
        <v/>
      </c>
    </row>
    <row r="6895" spans="164:167">
      <c r="FH6895" s="29" t="str">
        <f t="shared" si="162"/>
        <v/>
      </c>
      <c r="FJ6895" s="36" t="str">
        <f>IF($FH6895="","",SUM($FN6895:$FN$7000))</f>
        <v/>
      </c>
      <c r="FK6895" s="36" t="str">
        <f>IF($FH6895="","",SUM($FN6895:$FN$7000))</f>
        <v/>
      </c>
    </row>
    <row r="6896" spans="164:167">
      <c r="FH6896" s="29" t="str">
        <f t="shared" si="162"/>
        <v/>
      </c>
      <c r="FJ6896" s="36" t="str">
        <f>IF($FH6896="","",SUM($FN6896:$FN$7000))</f>
        <v/>
      </c>
      <c r="FK6896" s="36" t="str">
        <f>IF($FH6896="","",SUM($FN6896:$FN$7000))</f>
        <v/>
      </c>
    </row>
    <row r="6897" spans="164:167">
      <c r="FH6897" s="29" t="str">
        <f t="shared" si="162"/>
        <v/>
      </c>
      <c r="FJ6897" s="36" t="str">
        <f>IF($FH6897="","",SUM($FN6897:$FN$7000))</f>
        <v/>
      </c>
      <c r="FK6897" s="36" t="str">
        <f>IF($FH6897="","",SUM($FN6897:$FN$7000))</f>
        <v/>
      </c>
    </row>
    <row r="6898" spans="164:167">
      <c r="FH6898" s="29" t="str">
        <f t="shared" si="162"/>
        <v/>
      </c>
      <c r="FJ6898" s="36" t="str">
        <f>IF($FH6898="","",SUM($FN6898:$FN$7000))</f>
        <v/>
      </c>
      <c r="FK6898" s="36" t="str">
        <f>IF($FH6898="","",SUM($FN6898:$FN$7000))</f>
        <v/>
      </c>
    </row>
    <row r="6899" spans="164:167">
      <c r="FH6899" s="29" t="str">
        <f t="shared" si="162"/>
        <v/>
      </c>
      <c r="FJ6899" s="36" t="str">
        <f>IF($FH6899="","",SUM($FN6899:$FN$7000))</f>
        <v/>
      </c>
      <c r="FK6899" s="36" t="str">
        <f>IF($FH6899="","",SUM($FN6899:$FN$7000))</f>
        <v/>
      </c>
    </row>
    <row r="6900" spans="164:167">
      <c r="FH6900" s="29" t="str">
        <f t="shared" si="162"/>
        <v/>
      </c>
      <c r="FJ6900" s="36" t="str">
        <f>IF($FH6900="","",SUM($FN6900:$FN$7000))</f>
        <v/>
      </c>
      <c r="FK6900" s="36" t="str">
        <f>IF($FH6900="","",SUM($FN6900:$FN$7000))</f>
        <v/>
      </c>
    </row>
    <row r="6901" spans="164:167">
      <c r="FH6901" s="29" t="str">
        <f t="shared" si="162"/>
        <v/>
      </c>
      <c r="FJ6901" s="36" t="str">
        <f>IF($FH6901="","",SUM($FN6901:$FN$7000))</f>
        <v/>
      </c>
      <c r="FK6901" s="36" t="str">
        <f>IF($FH6901="","",SUM($FN6901:$FN$7000))</f>
        <v/>
      </c>
    </row>
    <row r="6902" spans="164:167">
      <c r="FH6902" s="29" t="str">
        <f t="shared" si="162"/>
        <v/>
      </c>
      <c r="FJ6902" s="36" t="str">
        <f>IF($FH6902="","",SUM($FN6902:$FN$7000))</f>
        <v/>
      </c>
      <c r="FK6902" s="36" t="str">
        <f>IF($FH6902="","",SUM($FN6902:$FN$7000))</f>
        <v/>
      </c>
    </row>
    <row r="6903" spans="164:167">
      <c r="FH6903" s="29" t="str">
        <f t="shared" si="162"/>
        <v/>
      </c>
      <c r="FJ6903" s="36" t="str">
        <f>IF($FH6903="","",SUM($FN6903:$FN$7000))</f>
        <v/>
      </c>
      <c r="FK6903" s="36" t="str">
        <f>IF($FH6903="","",SUM($FN6903:$FN$7000))</f>
        <v/>
      </c>
    </row>
    <row r="6904" spans="164:167">
      <c r="FH6904" s="29" t="str">
        <f t="shared" si="162"/>
        <v/>
      </c>
      <c r="FJ6904" s="36" t="str">
        <f>IF($FH6904="","",SUM($FN6904:$FN$7000))</f>
        <v/>
      </c>
      <c r="FK6904" s="36" t="str">
        <f>IF($FH6904="","",SUM($FN6904:$FN$7000))</f>
        <v/>
      </c>
    </row>
    <row r="6905" spans="164:167">
      <c r="FH6905" s="29" t="str">
        <f t="shared" si="162"/>
        <v/>
      </c>
      <c r="FJ6905" s="36" t="str">
        <f>IF($FH6905="","",SUM($FN6905:$FN$7000))</f>
        <v/>
      </c>
      <c r="FK6905" s="36" t="str">
        <f>IF($FH6905="","",SUM($FN6905:$FN$7000))</f>
        <v/>
      </c>
    </row>
    <row r="6906" spans="164:167">
      <c r="FH6906" s="29" t="str">
        <f t="shared" si="162"/>
        <v/>
      </c>
      <c r="FJ6906" s="36" t="str">
        <f>IF($FH6906="","",SUM($FN6906:$FN$7000))</f>
        <v/>
      </c>
      <c r="FK6906" s="36" t="str">
        <f>IF($FH6906="","",SUM($FN6906:$FN$7000))</f>
        <v/>
      </c>
    </row>
    <row r="6907" spans="164:167">
      <c r="FH6907" s="29" t="str">
        <f t="shared" si="162"/>
        <v/>
      </c>
      <c r="FJ6907" s="36" t="str">
        <f>IF($FH6907="","",SUM($FN6907:$FN$7000))</f>
        <v/>
      </c>
      <c r="FK6907" s="36" t="str">
        <f>IF($FH6907="","",SUM($FN6907:$FN$7000))</f>
        <v/>
      </c>
    </row>
    <row r="6908" spans="164:167">
      <c r="FH6908" s="29" t="str">
        <f t="shared" si="162"/>
        <v/>
      </c>
      <c r="FJ6908" s="36" t="str">
        <f>IF($FH6908="","",SUM($FN6908:$FN$7000))</f>
        <v/>
      </c>
      <c r="FK6908" s="36" t="str">
        <f>IF($FH6908="","",SUM($FN6908:$FN$7000))</f>
        <v/>
      </c>
    </row>
    <row r="6909" spans="164:167">
      <c r="FH6909" s="29" t="str">
        <f t="shared" si="162"/>
        <v/>
      </c>
      <c r="FJ6909" s="36" t="str">
        <f>IF($FH6909="","",SUM($FN6909:$FN$7000))</f>
        <v/>
      </c>
      <c r="FK6909" s="36" t="str">
        <f>IF($FH6909="","",SUM($FN6909:$FN$7000))</f>
        <v/>
      </c>
    </row>
    <row r="6910" spans="164:167">
      <c r="FH6910" s="29" t="str">
        <f t="shared" si="162"/>
        <v/>
      </c>
      <c r="FJ6910" s="36" t="str">
        <f>IF($FH6910="","",SUM($FN6910:$FN$7000))</f>
        <v/>
      </c>
      <c r="FK6910" s="36" t="str">
        <f>IF($FH6910="","",SUM($FN6910:$FN$7000))</f>
        <v/>
      </c>
    </row>
    <row r="6911" spans="164:167">
      <c r="FH6911" s="29" t="str">
        <f t="shared" si="162"/>
        <v/>
      </c>
      <c r="FJ6911" s="36" t="str">
        <f>IF($FH6911="","",SUM($FN6911:$FN$7000))</f>
        <v/>
      </c>
      <c r="FK6911" s="36" t="str">
        <f>IF($FH6911="","",SUM($FN6911:$FN$7000))</f>
        <v/>
      </c>
    </row>
    <row r="6912" spans="164:167">
      <c r="FH6912" s="29" t="str">
        <f t="shared" si="162"/>
        <v/>
      </c>
      <c r="FJ6912" s="36" t="str">
        <f>IF($FH6912="","",SUM($FN6912:$FN$7000))</f>
        <v/>
      </c>
      <c r="FK6912" s="36" t="str">
        <f>IF($FH6912="","",SUM($FN6912:$FN$7000))</f>
        <v/>
      </c>
    </row>
    <row r="6913" spans="164:167">
      <c r="FH6913" s="29" t="str">
        <f t="shared" si="162"/>
        <v/>
      </c>
      <c r="FJ6913" s="36" t="str">
        <f>IF($FH6913="","",SUM($FN6913:$FN$7000))</f>
        <v/>
      </c>
      <c r="FK6913" s="36" t="str">
        <f>IF($FH6913="","",SUM($FN6913:$FN$7000))</f>
        <v/>
      </c>
    </row>
    <row r="6914" spans="164:167">
      <c r="FH6914" s="29" t="str">
        <f t="shared" si="162"/>
        <v/>
      </c>
      <c r="FJ6914" s="36" t="str">
        <f>IF($FH6914="","",SUM($FN6914:$FN$7000))</f>
        <v/>
      </c>
      <c r="FK6914" s="36" t="str">
        <f>IF($FH6914="","",SUM($FN6914:$FN$7000))</f>
        <v/>
      </c>
    </row>
    <row r="6915" spans="164:167">
      <c r="FH6915" s="29" t="str">
        <f t="shared" si="162"/>
        <v/>
      </c>
      <c r="FJ6915" s="36" t="str">
        <f>IF($FH6915="","",SUM($FN6915:$FN$7000))</f>
        <v/>
      </c>
      <c r="FK6915" s="36" t="str">
        <f>IF($FH6915="","",SUM($FN6915:$FN$7000))</f>
        <v/>
      </c>
    </row>
    <row r="6916" spans="164:167">
      <c r="FH6916" s="29" t="str">
        <f t="shared" si="162"/>
        <v/>
      </c>
      <c r="FJ6916" s="36" t="str">
        <f>IF($FH6916="","",SUM($FN6916:$FN$7000))</f>
        <v/>
      </c>
      <c r="FK6916" s="36" t="str">
        <f>IF($FH6916="","",SUM($FN6916:$FN$7000))</f>
        <v/>
      </c>
    </row>
    <row r="6917" spans="164:167">
      <c r="FH6917" s="29" t="str">
        <f t="shared" si="162"/>
        <v/>
      </c>
      <c r="FJ6917" s="36" t="str">
        <f>IF($FH6917="","",SUM($FN6917:$FN$7000))</f>
        <v/>
      </c>
      <c r="FK6917" s="36" t="str">
        <f>IF($FH6917="","",SUM($FN6917:$FN$7000))</f>
        <v/>
      </c>
    </row>
    <row r="6918" spans="164:167">
      <c r="FH6918" s="29" t="str">
        <f t="shared" si="162"/>
        <v/>
      </c>
      <c r="FJ6918" s="36" t="str">
        <f>IF($FH6918="","",SUM($FN6918:$FN$7000))</f>
        <v/>
      </c>
      <c r="FK6918" s="36" t="str">
        <f>IF($FH6918="","",SUM($FN6918:$FN$7000))</f>
        <v/>
      </c>
    </row>
    <row r="6919" spans="164:167">
      <c r="FH6919" s="29" t="str">
        <f t="shared" si="162"/>
        <v/>
      </c>
      <c r="FJ6919" s="36" t="str">
        <f>IF($FH6919="","",SUM($FN6919:$FN$7000))</f>
        <v/>
      </c>
      <c r="FK6919" s="36" t="str">
        <f>IF($FH6919="","",SUM($FN6919:$FN$7000))</f>
        <v/>
      </c>
    </row>
    <row r="6920" spans="164:167">
      <c r="FH6920" s="29" t="str">
        <f t="shared" si="162"/>
        <v/>
      </c>
      <c r="FJ6920" s="36" t="str">
        <f>IF($FH6920="","",SUM($FN6920:$FN$7000))</f>
        <v/>
      </c>
      <c r="FK6920" s="36" t="str">
        <f>IF($FH6920="","",SUM($FN6920:$FN$7000))</f>
        <v/>
      </c>
    </row>
    <row r="6921" spans="164:167">
      <c r="FH6921" s="29" t="str">
        <f t="shared" si="162"/>
        <v/>
      </c>
      <c r="FJ6921" s="36" t="str">
        <f>IF($FH6921="","",SUM($FN6921:$FN$7000))</f>
        <v/>
      </c>
      <c r="FK6921" s="36" t="str">
        <f>IF($FH6921="","",SUM($FN6921:$FN$7000))</f>
        <v/>
      </c>
    </row>
    <row r="6922" spans="164:167">
      <c r="FH6922" s="29" t="str">
        <f t="shared" si="162"/>
        <v/>
      </c>
      <c r="FJ6922" s="36" t="str">
        <f>IF($FH6922="","",SUM($FN6922:$FN$7000))</f>
        <v/>
      </c>
      <c r="FK6922" s="36" t="str">
        <f>IF($FH6922="","",SUM($FN6922:$FN$7000))</f>
        <v/>
      </c>
    </row>
    <row r="6923" spans="164:167">
      <c r="FH6923" s="29" t="str">
        <f t="shared" ref="FH6923:FH6986" si="163">IF(FL6923="","",FL6923)</f>
        <v/>
      </c>
      <c r="FJ6923" s="36" t="str">
        <f>IF($FH6923="","",SUM($FN6923:$FN$7000))</f>
        <v/>
      </c>
      <c r="FK6923" s="36" t="str">
        <f>IF($FH6923="","",SUM($FN6923:$FN$7000))</f>
        <v/>
      </c>
    </row>
    <row r="6924" spans="164:167">
      <c r="FH6924" s="29" t="str">
        <f t="shared" si="163"/>
        <v/>
      </c>
      <c r="FJ6924" s="36" t="str">
        <f>IF($FH6924="","",SUM($FN6924:$FN$7000))</f>
        <v/>
      </c>
      <c r="FK6924" s="36" t="str">
        <f>IF($FH6924="","",SUM($FN6924:$FN$7000))</f>
        <v/>
      </c>
    </row>
    <row r="6925" spans="164:167">
      <c r="FH6925" s="29" t="str">
        <f t="shared" si="163"/>
        <v/>
      </c>
      <c r="FJ6925" s="36" t="str">
        <f>IF($FH6925="","",SUM($FN6925:$FN$7000))</f>
        <v/>
      </c>
      <c r="FK6925" s="36" t="str">
        <f>IF($FH6925="","",SUM($FN6925:$FN$7000))</f>
        <v/>
      </c>
    </row>
    <row r="6926" spans="164:167">
      <c r="FH6926" s="29" t="str">
        <f t="shared" si="163"/>
        <v/>
      </c>
      <c r="FJ6926" s="36" t="str">
        <f>IF($FH6926="","",SUM($FN6926:$FN$7000))</f>
        <v/>
      </c>
      <c r="FK6926" s="36" t="str">
        <f>IF($FH6926="","",SUM($FN6926:$FN$7000))</f>
        <v/>
      </c>
    </row>
    <row r="6927" spans="164:167">
      <c r="FH6927" s="29" t="str">
        <f t="shared" si="163"/>
        <v/>
      </c>
      <c r="FJ6927" s="36" t="str">
        <f>IF($FH6927="","",SUM($FN6927:$FN$7000))</f>
        <v/>
      </c>
      <c r="FK6927" s="36" t="str">
        <f>IF($FH6927="","",SUM($FN6927:$FN$7000))</f>
        <v/>
      </c>
    </row>
    <row r="6928" spans="164:167">
      <c r="FH6928" s="29" t="str">
        <f t="shared" si="163"/>
        <v/>
      </c>
      <c r="FJ6928" s="36" t="str">
        <f>IF($FH6928="","",SUM($FN6928:$FN$7000))</f>
        <v/>
      </c>
      <c r="FK6928" s="36" t="str">
        <f>IF($FH6928="","",SUM($FN6928:$FN$7000))</f>
        <v/>
      </c>
    </row>
    <row r="6929" spans="164:167">
      <c r="FH6929" s="29" t="str">
        <f t="shared" si="163"/>
        <v/>
      </c>
      <c r="FJ6929" s="36" t="str">
        <f>IF($FH6929="","",SUM($FN6929:$FN$7000))</f>
        <v/>
      </c>
      <c r="FK6929" s="36" t="str">
        <f>IF($FH6929="","",SUM($FN6929:$FN$7000))</f>
        <v/>
      </c>
    </row>
    <row r="6930" spans="164:167">
      <c r="FH6930" s="29" t="str">
        <f t="shared" si="163"/>
        <v/>
      </c>
      <c r="FJ6930" s="36" t="str">
        <f>IF($FH6930="","",SUM($FN6930:$FN$7000))</f>
        <v/>
      </c>
      <c r="FK6930" s="36" t="str">
        <f>IF($FH6930="","",SUM($FN6930:$FN$7000))</f>
        <v/>
      </c>
    </row>
    <row r="6931" spans="164:167">
      <c r="FH6931" s="29" t="str">
        <f t="shared" si="163"/>
        <v/>
      </c>
      <c r="FJ6931" s="36" t="str">
        <f>IF($FH6931="","",SUM($FN6931:$FN$7000))</f>
        <v/>
      </c>
      <c r="FK6931" s="36" t="str">
        <f>IF($FH6931="","",SUM($FN6931:$FN$7000))</f>
        <v/>
      </c>
    </row>
    <row r="6932" spans="164:167">
      <c r="FH6932" s="29" t="str">
        <f t="shared" si="163"/>
        <v/>
      </c>
      <c r="FJ6932" s="36" t="str">
        <f>IF($FH6932="","",SUM($FN6932:$FN$7000))</f>
        <v/>
      </c>
      <c r="FK6932" s="36" t="str">
        <f>IF($FH6932="","",SUM($FN6932:$FN$7000))</f>
        <v/>
      </c>
    </row>
    <row r="6933" spans="164:167">
      <c r="FH6933" s="29" t="str">
        <f t="shared" si="163"/>
        <v/>
      </c>
      <c r="FJ6933" s="36" t="str">
        <f>IF($FH6933="","",SUM($FN6933:$FN$7000))</f>
        <v/>
      </c>
      <c r="FK6933" s="36" t="str">
        <f>IF($FH6933="","",SUM($FN6933:$FN$7000))</f>
        <v/>
      </c>
    </row>
    <row r="6934" spans="164:167">
      <c r="FH6934" s="29" t="str">
        <f t="shared" si="163"/>
        <v/>
      </c>
      <c r="FJ6934" s="36" t="str">
        <f>IF($FH6934="","",SUM($FN6934:$FN$7000))</f>
        <v/>
      </c>
      <c r="FK6934" s="36" t="str">
        <f>IF($FH6934="","",SUM($FN6934:$FN$7000))</f>
        <v/>
      </c>
    </row>
    <row r="6935" spans="164:167">
      <c r="FH6935" s="29" t="str">
        <f t="shared" si="163"/>
        <v/>
      </c>
      <c r="FJ6935" s="36" t="str">
        <f>IF($FH6935="","",SUM($FN6935:$FN$7000))</f>
        <v/>
      </c>
      <c r="FK6935" s="36" t="str">
        <f>IF($FH6935="","",SUM($FN6935:$FN$7000))</f>
        <v/>
      </c>
    </row>
    <row r="6936" spans="164:167">
      <c r="FH6936" s="29" t="str">
        <f t="shared" si="163"/>
        <v/>
      </c>
      <c r="FJ6936" s="36" t="str">
        <f>IF($FH6936="","",SUM($FN6936:$FN$7000))</f>
        <v/>
      </c>
      <c r="FK6936" s="36" t="str">
        <f>IF($FH6936="","",SUM($FN6936:$FN$7000))</f>
        <v/>
      </c>
    </row>
    <row r="6937" spans="164:167">
      <c r="FH6937" s="29" t="str">
        <f t="shared" si="163"/>
        <v/>
      </c>
      <c r="FJ6937" s="36" t="str">
        <f>IF($FH6937="","",SUM($FN6937:$FN$7000))</f>
        <v/>
      </c>
      <c r="FK6937" s="36" t="str">
        <f>IF($FH6937="","",SUM($FN6937:$FN$7000))</f>
        <v/>
      </c>
    </row>
    <row r="6938" spans="164:167">
      <c r="FH6938" s="29" t="str">
        <f t="shared" si="163"/>
        <v/>
      </c>
      <c r="FJ6938" s="36" t="str">
        <f>IF($FH6938="","",SUM($FN6938:$FN$7000))</f>
        <v/>
      </c>
      <c r="FK6938" s="36" t="str">
        <f>IF($FH6938="","",SUM($FN6938:$FN$7000))</f>
        <v/>
      </c>
    </row>
    <row r="6939" spans="164:167">
      <c r="FH6939" s="29" t="str">
        <f t="shared" si="163"/>
        <v/>
      </c>
      <c r="FJ6939" s="36" t="str">
        <f>IF($FH6939="","",SUM($FN6939:$FN$7000))</f>
        <v/>
      </c>
      <c r="FK6939" s="36" t="str">
        <f>IF($FH6939="","",SUM($FN6939:$FN$7000))</f>
        <v/>
      </c>
    </row>
    <row r="6940" spans="164:167">
      <c r="FH6940" s="29" t="str">
        <f t="shared" si="163"/>
        <v/>
      </c>
      <c r="FJ6940" s="36" t="str">
        <f>IF($FH6940="","",SUM($FN6940:$FN$7000))</f>
        <v/>
      </c>
      <c r="FK6940" s="36" t="str">
        <f>IF($FH6940="","",SUM($FN6940:$FN$7000))</f>
        <v/>
      </c>
    </row>
    <row r="6941" spans="164:167">
      <c r="FH6941" s="29" t="str">
        <f t="shared" si="163"/>
        <v/>
      </c>
      <c r="FJ6941" s="36" t="str">
        <f>IF($FH6941="","",SUM($FN6941:$FN$7000))</f>
        <v/>
      </c>
      <c r="FK6941" s="36" t="str">
        <f>IF($FH6941="","",SUM($FN6941:$FN$7000))</f>
        <v/>
      </c>
    </row>
    <row r="6942" spans="164:167">
      <c r="FH6942" s="29" t="str">
        <f t="shared" si="163"/>
        <v/>
      </c>
      <c r="FJ6942" s="36" t="str">
        <f>IF($FH6942="","",SUM($FN6942:$FN$7000))</f>
        <v/>
      </c>
      <c r="FK6942" s="36" t="str">
        <f>IF($FH6942="","",SUM($FN6942:$FN$7000))</f>
        <v/>
      </c>
    </row>
    <row r="6943" spans="164:167">
      <c r="FH6943" s="29" t="str">
        <f t="shared" si="163"/>
        <v/>
      </c>
      <c r="FJ6943" s="36" t="str">
        <f>IF($FH6943="","",SUM($FN6943:$FN$7000))</f>
        <v/>
      </c>
      <c r="FK6943" s="36" t="str">
        <f>IF($FH6943="","",SUM($FN6943:$FN$7000))</f>
        <v/>
      </c>
    </row>
    <row r="6944" spans="164:167">
      <c r="FH6944" s="29" t="str">
        <f t="shared" si="163"/>
        <v/>
      </c>
      <c r="FJ6944" s="36" t="str">
        <f>IF($FH6944="","",SUM($FN6944:$FN$7000))</f>
        <v/>
      </c>
      <c r="FK6944" s="36" t="str">
        <f>IF($FH6944="","",SUM($FN6944:$FN$7000))</f>
        <v/>
      </c>
    </row>
    <row r="6945" spans="164:167">
      <c r="FH6945" s="29" t="str">
        <f t="shared" si="163"/>
        <v/>
      </c>
      <c r="FJ6945" s="36" t="str">
        <f>IF($FH6945="","",SUM($FN6945:$FN$7000))</f>
        <v/>
      </c>
      <c r="FK6945" s="36" t="str">
        <f>IF($FH6945="","",SUM($FN6945:$FN$7000))</f>
        <v/>
      </c>
    </row>
    <row r="6946" spans="164:167">
      <c r="FH6946" s="29" t="str">
        <f t="shared" si="163"/>
        <v/>
      </c>
      <c r="FJ6946" s="36" t="str">
        <f>IF($FH6946="","",SUM($FN6946:$FN$7000))</f>
        <v/>
      </c>
      <c r="FK6946" s="36" t="str">
        <f>IF($FH6946="","",SUM($FN6946:$FN$7000))</f>
        <v/>
      </c>
    </row>
    <row r="6947" spans="164:167">
      <c r="FH6947" s="29" t="str">
        <f t="shared" si="163"/>
        <v/>
      </c>
      <c r="FJ6947" s="36" t="str">
        <f>IF($FH6947="","",SUM($FN6947:$FN$7000))</f>
        <v/>
      </c>
      <c r="FK6947" s="36" t="str">
        <f>IF($FH6947="","",SUM($FN6947:$FN$7000))</f>
        <v/>
      </c>
    </row>
    <row r="6948" spans="164:167">
      <c r="FH6948" s="29" t="str">
        <f t="shared" si="163"/>
        <v/>
      </c>
      <c r="FJ6948" s="36" t="str">
        <f>IF($FH6948="","",SUM($FN6948:$FN$7000))</f>
        <v/>
      </c>
      <c r="FK6948" s="36" t="str">
        <f>IF($FH6948="","",SUM($FN6948:$FN$7000))</f>
        <v/>
      </c>
    </row>
    <row r="6949" spans="164:167">
      <c r="FH6949" s="29" t="str">
        <f t="shared" si="163"/>
        <v/>
      </c>
      <c r="FJ6949" s="36" t="str">
        <f>IF($FH6949="","",SUM($FN6949:$FN$7000))</f>
        <v/>
      </c>
      <c r="FK6949" s="36" t="str">
        <f>IF($FH6949="","",SUM($FN6949:$FN$7000))</f>
        <v/>
      </c>
    </row>
    <row r="6950" spans="164:167">
      <c r="FH6950" s="29" t="str">
        <f t="shared" si="163"/>
        <v/>
      </c>
      <c r="FJ6950" s="36" t="str">
        <f>IF($FH6950="","",SUM($FN6950:$FN$7000))</f>
        <v/>
      </c>
      <c r="FK6950" s="36" t="str">
        <f>IF($FH6950="","",SUM($FN6950:$FN$7000))</f>
        <v/>
      </c>
    </row>
    <row r="6951" spans="164:167">
      <c r="FH6951" s="29" t="str">
        <f t="shared" si="163"/>
        <v/>
      </c>
      <c r="FJ6951" s="36" t="str">
        <f>IF($FH6951="","",SUM($FN6951:$FN$7000))</f>
        <v/>
      </c>
      <c r="FK6951" s="36" t="str">
        <f>IF($FH6951="","",SUM($FN6951:$FN$7000))</f>
        <v/>
      </c>
    </row>
    <row r="6952" spans="164:167">
      <c r="FH6952" s="29" t="str">
        <f t="shared" si="163"/>
        <v/>
      </c>
      <c r="FJ6952" s="36" t="str">
        <f>IF($FH6952="","",SUM($FN6952:$FN$7000))</f>
        <v/>
      </c>
      <c r="FK6952" s="36" t="str">
        <f>IF($FH6952="","",SUM($FN6952:$FN$7000))</f>
        <v/>
      </c>
    </row>
    <row r="6953" spans="164:167">
      <c r="FH6953" s="29" t="str">
        <f t="shared" si="163"/>
        <v/>
      </c>
      <c r="FJ6953" s="36" t="str">
        <f>IF($FH6953="","",SUM($FN6953:$FN$7000))</f>
        <v/>
      </c>
      <c r="FK6953" s="36" t="str">
        <f>IF($FH6953="","",SUM($FN6953:$FN$7000))</f>
        <v/>
      </c>
    </row>
    <row r="6954" spans="164:167">
      <c r="FH6954" s="29" t="str">
        <f t="shared" si="163"/>
        <v/>
      </c>
      <c r="FJ6954" s="36" t="str">
        <f>IF($FH6954="","",SUM($FN6954:$FN$7000))</f>
        <v/>
      </c>
      <c r="FK6954" s="36" t="str">
        <f>IF($FH6954="","",SUM($FN6954:$FN$7000))</f>
        <v/>
      </c>
    </row>
    <row r="6955" spans="164:167">
      <c r="FH6955" s="29" t="str">
        <f t="shared" si="163"/>
        <v/>
      </c>
      <c r="FJ6955" s="36" t="str">
        <f>IF($FH6955="","",SUM($FN6955:$FN$7000))</f>
        <v/>
      </c>
      <c r="FK6955" s="36" t="str">
        <f>IF($FH6955="","",SUM($FN6955:$FN$7000))</f>
        <v/>
      </c>
    </row>
    <row r="6956" spans="164:167">
      <c r="FH6956" s="29" t="str">
        <f t="shared" si="163"/>
        <v/>
      </c>
      <c r="FJ6956" s="36" t="str">
        <f>IF($FH6956="","",SUM($FN6956:$FN$7000))</f>
        <v/>
      </c>
      <c r="FK6956" s="36" t="str">
        <f>IF($FH6956="","",SUM($FN6956:$FN$7000))</f>
        <v/>
      </c>
    </row>
    <row r="6957" spans="164:167">
      <c r="FH6957" s="29" t="str">
        <f t="shared" si="163"/>
        <v/>
      </c>
      <c r="FJ6957" s="36" t="str">
        <f>IF($FH6957="","",SUM($FN6957:$FN$7000))</f>
        <v/>
      </c>
      <c r="FK6957" s="36" t="str">
        <f>IF($FH6957="","",SUM($FN6957:$FN$7000))</f>
        <v/>
      </c>
    </row>
    <row r="6958" spans="164:167">
      <c r="FH6958" s="29" t="str">
        <f t="shared" si="163"/>
        <v/>
      </c>
      <c r="FJ6958" s="36" t="str">
        <f>IF($FH6958="","",SUM($FN6958:$FN$7000))</f>
        <v/>
      </c>
      <c r="FK6958" s="36" t="str">
        <f>IF($FH6958="","",SUM($FN6958:$FN$7000))</f>
        <v/>
      </c>
    </row>
    <row r="6959" spans="164:167">
      <c r="FH6959" s="29" t="str">
        <f t="shared" si="163"/>
        <v/>
      </c>
      <c r="FJ6959" s="36" t="str">
        <f>IF($FH6959="","",SUM($FN6959:$FN$7000))</f>
        <v/>
      </c>
      <c r="FK6959" s="36" t="str">
        <f>IF($FH6959="","",SUM($FN6959:$FN$7000))</f>
        <v/>
      </c>
    </row>
    <row r="6960" spans="164:167">
      <c r="FH6960" s="29" t="str">
        <f t="shared" si="163"/>
        <v/>
      </c>
      <c r="FJ6960" s="36" t="str">
        <f>IF($FH6960="","",SUM($FN6960:$FN$7000))</f>
        <v/>
      </c>
      <c r="FK6960" s="36" t="str">
        <f>IF($FH6960="","",SUM($FN6960:$FN$7000))</f>
        <v/>
      </c>
    </row>
    <row r="6961" spans="164:167">
      <c r="FH6961" s="29" t="str">
        <f t="shared" si="163"/>
        <v/>
      </c>
      <c r="FJ6961" s="36" t="str">
        <f>IF($FH6961="","",SUM($FN6961:$FN$7000))</f>
        <v/>
      </c>
      <c r="FK6961" s="36" t="str">
        <f>IF($FH6961="","",SUM($FN6961:$FN$7000))</f>
        <v/>
      </c>
    </row>
    <row r="6962" spans="164:167">
      <c r="FH6962" s="29" t="str">
        <f t="shared" si="163"/>
        <v/>
      </c>
      <c r="FJ6962" s="36" t="str">
        <f>IF($FH6962="","",SUM($FN6962:$FN$7000))</f>
        <v/>
      </c>
      <c r="FK6962" s="36" t="str">
        <f>IF($FH6962="","",SUM($FN6962:$FN$7000))</f>
        <v/>
      </c>
    </row>
    <row r="6963" spans="164:167">
      <c r="FH6963" s="29" t="str">
        <f t="shared" si="163"/>
        <v/>
      </c>
      <c r="FJ6963" s="36" t="str">
        <f>IF($FH6963="","",SUM($FN6963:$FN$7000))</f>
        <v/>
      </c>
      <c r="FK6963" s="36" t="str">
        <f>IF($FH6963="","",SUM($FN6963:$FN$7000))</f>
        <v/>
      </c>
    </row>
    <row r="6964" spans="164:167">
      <c r="FH6964" s="29" t="str">
        <f t="shared" si="163"/>
        <v/>
      </c>
      <c r="FJ6964" s="36" t="str">
        <f>IF($FH6964="","",SUM($FN6964:$FN$7000))</f>
        <v/>
      </c>
      <c r="FK6964" s="36" t="str">
        <f>IF($FH6964="","",SUM($FN6964:$FN$7000))</f>
        <v/>
      </c>
    </row>
    <row r="6965" spans="164:167">
      <c r="FH6965" s="29" t="str">
        <f t="shared" si="163"/>
        <v/>
      </c>
      <c r="FJ6965" s="36" t="str">
        <f>IF($FH6965="","",SUM($FN6965:$FN$7000))</f>
        <v/>
      </c>
      <c r="FK6965" s="36" t="str">
        <f>IF($FH6965="","",SUM($FN6965:$FN$7000))</f>
        <v/>
      </c>
    </row>
    <row r="6966" spans="164:167">
      <c r="FH6966" s="29" t="str">
        <f t="shared" si="163"/>
        <v/>
      </c>
      <c r="FJ6966" s="36" t="str">
        <f>IF($FH6966="","",SUM($FN6966:$FN$7000))</f>
        <v/>
      </c>
      <c r="FK6966" s="36" t="str">
        <f>IF($FH6966="","",SUM($FN6966:$FN$7000))</f>
        <v/>
      </c>
    </row>
    <row r="6967" spans="164:167">
      <c r="FH6967" s="29" t="str">
        <f t="shared" si="163"/>
        <v/>
      </c>
      <c r="FJ6967" s="36" t="str">
        <f>IF($FH6967="","",SUM($FN6967:$FN$7000))</f>
        <v/>
      </c>
      <c r="FK6967" s="36" t="str">
        <f>IF($FH6967="","",SUM($FN6967:$FN$7000))</f>
        <v/>
      </c>
    </row>
    <row r="6968" spans="164:167">
      <c r="FH6968" s="29" t="str">
        <f t="shared" si="163"/>
        <v/>
      </c>
      <c r="FJ6968" s="36" t="str">
        <f>IF($FH6968="","",SUM($FN6968:$FN$7000))</f>
        <v/>
      </c>
      <c r="FK6968" s="36" t="str">
        <f>IF($FH6968="","",SUM($FN6968:$FN$7000))</f>
        <v/>
      </c>
    </row>
    <row r="6969" spans="164:167">
      <c r="FH6969" s="29" t="str">
        <f t="shared" si="163"/>
        <v/>
      </c>
      <c r="FJ6969" s="36" t="str">
        <f>IF($FH6969="","",SUM($FN6969:$FN$7000))</f>
        <v/>
      </c>
      <c r="FK6969" s="36" t="str">
        <f>IF($FH6969="","",SUM($FN6969:$FN$7000))</f>
        <v/>
      </c>
    </row>
    <row r="6970" spans="164:167">
      <c r="FH6970" s="29" t="str">
        <f t="shared" si="163"/>
        <v/>
      </c>
      <c r="FJ6970" s="36" t="str">
        <f>IF($FH6970="","",SUM($FN6970:$FN$7000))</f>
        <v/>
      </c>
      <c r="FK6970" s="36" t="str">
        <f>IF($FH6970="","",SUM($FN6970:$FN$7000))</f>
        <v/>
      </c>
    </row>
    <row r="6971" spans="164:167">
      <c r="FH6971" s="29" t="str">
        <f t="shared" si="163"/>
        <v/>
      </c>
      <c r="FJ6971" s="36" t="str">
        <f>IF($FH6971="","",SUM($FN6971:$FN$7000))</f>
        <v/>
      </c>
      <c r="FK6971" s="36" t="str">
        <f>IF($FH6971="","",SUM($FN6971:$FN$7000))</f>
        <v/>
      </c>
    </row>
    <row r="6972" spans="164:167">
      <c r="FH6972" s="29" t="str">
        <f t="shared" si="163"/>
        <v/>
      </c>
      <c r="FJ6972" s="36" t="str">
        <f>IF($FH6972="","",SUM($FN6972:$FN$7000))</f>
        <v/>
      </c>
      <c r="FK6972" s="36" t="str">
        <f>IF($FH6972="","",SUM($FN6972:$FN$7000))</f>
        <v/>
      </c>
    </row>
    <row r="6973" spans="164:167">
      <c r="FH6973" s="29" t="str">
        <f t="shared" si="163"/>
        <v/>
      </c>
      <c r="FJ6973" s="36" t="str">
        <f>IF($FH6973="","",SUM($FN6973:$FN$7000))</f>
        <v/>
      </c>
      <c r="FK6973" s="36" t="str">
        <f>IF($FH6973="","",SUM($FN6973:$FN$7000))</f>
        <v/>
      </c>
    </row>
    <row r="6974" spans="164:167">
      <c r="FH6974" s="29" t="str">
        <f t="shared" si="163"/>
        <v/>
      </c>
      <c r="FJ6974" s="36" t="str">
        <f>IF($FH6974="","",SUM($FN6974:$FN$7000))</f>
        <v/>
      </c>
      <c r="FK6974" s="36" t="str">
        <f>IF($FH6974="","",SUM($FN6974:$FN$7000))</f>
        <v/>
      </c>
    </row>
    <row r="6975" spans="164:167">
      <c r="FH6975" s="29" t="str">
        <f t="shared" si="163"/>
        <v/>
      </c>
      <c r="FJ6975" s="36" t="str">
        <f>IF($FH6975="","",SUM($FN6975:$FN$7000))</f>
        <v/>
      </c>
      <c r="FK6975" s="36" t="str">
        <f>IF($FH6975="","",SUM($FN6975:$FN$7000))</f>
        <v/>
      </c>
    </row>
    <row r="6976" spans="164:167">
      <c r="FH6976" s="29" t="str">
        <f t="shared" si="163"/>
        <v/>
      </c>
      <c r="FJ6976" s="36" t="str">
        <f>IF($FH6976="","",SUM($FN6976:$FN$7000))</f>
        <v/>
      </c>
      <c r="FK6976" s="36" t="str">
        <f>IF($FH6976="","",SUM($FN6976:$FN$7000))</f>
        <v/>
      </c>
    </row>
    <row r="6977" spans="164:167">
      <c r="FH6977" s="29" t="str">
        <f t="shared" si="163"/>
        <v/>
      </c>
      <c r="FJ6977" s="36" t="str">
        <f>IF($FH6977="","",SUM($FN6977:$FN$7000))</f>
        <v/>
      </c>
      <c r="FK6977" s="36" t="str">
        <f>IF($FH6977="","",SUM($FN6977:$FN$7000))</f>
        <v/>
      </c>
    </row>
    <row r="6978" spans="164:167">
      <c r="FH6978" s="29" t="str">
        <f t="shared" si="163"/>
        <v/>
      </c>
      <c r="FJ6978" s="36" t="str">
        <f>IF($FH6978="","",SUM($FN6978:$FN$7000))</f>
        <v/>
      </c>
      <c r="FK6978" s="36" t="str">
        <f>IF($FH6978="","",SUM($FN6978:$FN$7000))</f>
        <v/>
      </c>
    </row>
    <row r="6979" spans="164:167">
      <c r="FH6979" s="29" t="str">
        <f t="shared" si="163"/>
        <v/>
      </c>
      <c r="FJ6979" s="36" t="str">
        <f>IF($FH6979="","",SUM($FN6979:$FN$7000))</f>
        <v/>
      </c>
      <c r="FK6979" s="36" t="str">
        <f>IF($FH6979="","",SUM($FN6979:$FN$7000))</f>
        <v/>
      </c>
    </row>
    <row r="6980" spans="164:167">
      <c r="FH6980" s="29" t="str">
        <f t="shared" si="163"/>
        <v/>
      </c>
      <c r="FJ6980" s="36" t="str">
        <f>IF($FH6980="","",SUM($FN6980:$FN$7000))</f>
        <v/>
      </c>
      <c r="FK6980" s="36" t="str">
        <f>IF($FH6980="","",SUM($FN6980:$FN$7000))</f>
        <v/>
      </c>
    </row>
    <row r="6981" spans="164:167">
      <c r="FH6981" s="29" t="str">
        <f t="shared" si="163"/>
        <v/>
      </c>
      <c r="FJ6981" s="36" t="str">
        <f>IF($FH6981="","",SUM($FN6981:$FN$7000))</f>
        <v/>
      </c>
      <c r="FK6981" s="36" t="str">
        <f>IF($FH6981="","",SUM($FN6981:$FN$7000))</f>
        <v/>
      </c>
    </row>
    <row r="6982" spans="164:167">
      <c r="FH6982" s="29" t="str">
        <f t="shared" si="163"/>
        <v/>
      </c>
      <c r="FJ6982" s="36" t="str">
        <f>IF($FH6982="","",SUM($FN6982:$FN$7000))</f>
        <v/>
      </c>
      <c r="FK6982" s="36" t="str">
        <f>IF($FH6982="","",SUM($FN6982:$FN$7000))</f>
        <v/>
      </c>
    </row>
    <row r="6983" spans="164:167">
      <c r="FH6983" s="29" t="str">
        <f t="shared" si="163"/>
        <v/>
      </c>
      <c r="FJ6983" s="36" t="str">
        <f>IF($FH6983="","",SUM($FN6983:$FN$7000))</f>
        <v/>
      </c>
      <c r="FK6983" s="36" t="str">
        <f>IF($FH6983="","",SUM($FN6983:$FN$7000))</f>
        <v/>
      </c>
    </row>
    <row r="6984" spans="164:167">
      <c r="FH6984" s="29" t="str">
        <f t="shared" si="163"/>
        <v/>
      </c>
      <c r="FJ6984" s="36" t="str">
        <f>IF($FH6984="","",SUM($FN6984:$FN$7000))</f>
        <v/>
      </c>
      <c r="FK6984" s="36" t="str">
        <f>IF($FH6984="","",SUM($FN6984:$FN$7000))</f>
        <v/>
      </c>
    </row>
    <row r="6985" spans="164:167">
      <c r="FH6985" s="29" t="str">
        <f t="shared" si="163"/>
        <v/>
      </c>
      <c r="FJ6985" s="36" t="str">
        <f>IF($FH6985="","",SUM($FN6985:$FN$7000))</f>
        <v/>
      </c>
      <c r="FK6985" s="36" t="str">
        <f>IF($FH6985="","",SUM($FN6985:$FN$7000))</f>
        <v/>
      </c>
    </row>
    <row r="6986" spans="164:167">
      <c r="FH6986" s="29" t="str">
        <f t="shared" si="163"/>
        <v/>
      </c>
      <c r="FJ6986" s="36" t="str">
        <f>IF($FH6986="","",SUM($FN6986:$FN$7000))</f>
        <v/>
      </c>
      <c r="FK6986" s="36" t="str">
        <f>IF($FH6986="","",SUM($FN6986:$FN$7000))</f>
        <v/>
      </c>
    </row>
    <row r="6987" spans="164:167">
      <c r="FH6987" s="29" t="str">
        <f t="shared" ref="FH6987:FH7000" si="164">IF(FL6987="","",FL6987)</f>
        <v/>
      </c>
      <c r="FJ6987" s="36" t="str">
        <f>IF($FH6987="","",SUM($FN6987:$FN$7000))</f>
        <v/>
      </c>
      <c r="FK6987" s="36" t="str">
        <f>IF($FH6987="","",SUM($FN6987:$FN$7000))</f>
        <v/>
      </c>
    </row>
    <row r="6988" spans="164:167">
      <c r="FH6988" s="29" t="str">
        <f t="shared" si="164"/>
        <v/>
      </c>
      <c r="FJ6988" s="36" t="str">
        <f>IF($FH6988="","",SUM($FN6988:$FN$7000))</f>
        <v/>
      </c>
      <c r="FK6988" s="36" t="str">
        <f>IF($FH6988="","",SUM($FN6988:$FN$7000))</f>
        <v/>
      </c>
    </row>
    <row r="6989" spans="164:167">
      <c r="FH6989" s="29" t="str">
        <f t="shared" si="164"/>
        <v/>
      </c>
      <c r="FJ6989" s="36" t="str">
        <f>IF($FH6989="","",SUM($FN6989:$FN$7000))</f>
        <v/>
      </c>
      <c r="FK6989" s="36" t="str">
        <f>IF($FH6989="","",SUM($FN6989:$FN$7000))</f>
        <v/>
      </c>
    </row>
    <row r="6990" spans="164:167">
      <c r="FH6990" s="29" t="str">
        <f t="shared" si="164"/>
        <v/>
      </c>
      <c r="FJ6990" s="36" t="str">
        <f>IF($FH6990="","",SUM($FN6990:$FN$7000))</f>
        <v/>
      </c>
      <c r="FK6990" s="36" t="str">
        <f>IF($FH6990="","",SUM($FN6990:$FN$7000))</f>
        <v/>
      </c>
    </row>
    <row r="6991" spans="164:167">
      <c r="FH6991" s="29" t="str">
        <f t="shared" si="164"/>
        <v/>
      </c>
      <c r="FJ6991" s="36" t="str">
        <f>IF($FH6991="","",SUM($FN6991:$FN$7000))</f>
        <v/>
      </c>
      <c r="FK6991" s="36" t="str">
        <f>IF($FH6991="","",SUM($FN6991:$FN$7000))</f>
        <v/>
      </c>
    </row>
    <row r="6992" spans="164:167">
      <c r="FH6992" s="29" t="str">
        <f t="shared" si="164"/>
        <v/>
      </c>
      <c r="FJ6992" s="36" t="str">
        <f>IF($FH6992="","",SUM($FN6992:$FN$7000))</f>
        <v/>
      </c>
      <c r="FK6992" s="36" t="str">
        <f>IF($FH6992="","",SUM($FN6992:$FN$7000))</f>
        <v/>
      </c>
    </row>
    <row r="6993" spans="164:167">
      <c r="FH6993" s="29" t="str">
        <f t="shared" si="164"/>
        <v/>
      </c>
      <c r="FJ6993" s="36" t="str">
        <f>IF($FH6993="","",SUM($FN6993:$FN$7000))</f>
        <v/>
      </c>
      <c r="FK6993" s="36" t="str">
        <f>IF($FH6993="","",SUM($FN6993:$FN$7000))</f>
        <v/>
      </c>
    </row>
    <row r="6994" spans="164:167">
      <c r="FH6994" s="29" t="str">
        <f t="shared" si="164"/>
        <v/>
      </c>
      <c r="FJ6994" s="36" t="str">
        <f>IF($FH6994="","",SUM($FN6994:$FN$7000))</f>
        <v/>
      </c>
      <c r="FK6994" s="36" t="str">
        <f>IF($FH6994="","",SUM($FN6994:$FN$7000))</f>
        <v/>
      </c>
    </row>
    <row r="6995" spans="164:167">
      <c r="FH6995" s="29" t="str">
        <f t="shared" si="164"/>
        <v/>
      </c>
      <c r="FJ6995" s="36" t="str">
        <f>IF($FH6995="","",SUM($FN6995:$FN$7000))</f>
        <v/>
      </c>
      <c r="FK6995" s="36" t="str">
        <f>IF($FH6995="","",SUM($FN6995:$FN$7000))</f>
        <v/>
      </c>
    </row>
    <row r="6996" spans="164:167">
      <c r="FH6996" s="29" t="str">
        <f t="shared" si="164"/>
        <v/>
      </c>
      <c r="FJ6996" s="36" t="str">
        <f>IF($FH6996="","",SUM($FN6996:$FN$7000))</f>
        <v/>
      </c>
      <c r="FK6996" s="36" t="str">
        <f>IF($FH6996="","",SUM($FN6996:$FN$7000))</f>
        <v/>
      </c>
    </row>
    <row r="6997" spans="164:167">
      <c r="FH6997" s="29" t="str">
        <f t="shared" si="164"/>
        <v/>
      </c>
      <c r="FJ6997" s="36" t="str">
        <f>IF($FH6997="","",SUM($FN6997:$FN$7000))</f>
        <v/>
      </c>
      <c r="FK6997" s="36" t="str">
        <f>IF($FH6997="","",SUM($FN6997:$FN$7000))</f>
        <v/>
      </c>
    </row>
    <row r="6998" spans="164:167">
      <c r="FH6998" s="29" t="str">
        <f t="shared" si="164"/>
        <v/>
      </c>
      <c r="FJ6998" s="36" t="str">
        <f>IF($FH6998="","",SUM($FN6998:$FN$7000))</f>
        <v/>
      </c>
      <c r="FK6998" s="36" t="str">
        <f>IF($FH6998="","",SUM($FN6998:$FN$7000))</f>
        <v/>
      </c>
    </row>
    <row r="6999" spans="164:167">
      <c r="FH6999" s="29" t="str">
        <f t="shared" si="164"/>
        <v/>
      </c>
      <c r="FJ6999" s="36" t="str">
        <f>IF($FH6999="","",SUM($FN6999:$FN$7000))</f>
        <v/>
      </c>
      <c r="FK6999" s="36" t="str">
        <f>IF($FH6999="","",SUM($FN6999:$FN$7000))</f>
        <v/>
      </c>
    </row>
    <row r="7000" spans="164:167">
      <c r="FH7000" s="29" t="str">
        <f t="shared" si="164"/>
        <v/>
      </c>
      <c r="FJ7000" s="36" t="str">
        <f>IF($FH7000="","",SUM($FN7000:$FN$7000))</f>
        <v/>
      </c>
      <c r="FK7000" s="36" t="str">
        <f>IF($FH7000="","",SUM($FN7000:$FN$7000))</f>
        <v/>
      </c>
    </row>
  </sheetData>
  <mergeCells count="319">
    <mergeCell ref="AG46:AJ46"/>
    <mergeCell ref="AG47:AJ47"/>
    <mergeCell ref="AG48:AJ48"/>
    <mergeCell ref="AG49:AJ49"/>
    <mergeCell ref="AK46:AN46"/>
    <mergeCell ref="AK47:AN47"/>
    <mergeCell ref="AK48:AN48"/>
    <mergeCell ref="AK49:AN49"/>
    <mergeCell ref="AG43:AJ44"/>
    <mergeCell ref="AK43:AN44"/>
    <mergeCell ref="K21:P21"/>
    <mergeCell ref="K22:P22"/>
    <mergeCell ref="K23:P23"/>
    <mergeCell ref="Q22:V22"/>
    <mergeCell ref="Q23:V23"/>
    <mergeCell ref="Q17:V17"/>
    <mergeCell ref="Q18:V18"/>
    <mergeCell ref="Q19:V19"/>
    <mergeCell ref="Q20:V20"/>
    <mergeCell ref="Q21:V21"/>
    <mergeCell ref="K20:P20"/>
    <mergeCell ref="Q8:V8"/>
    <mergeCell ref="Q9:V9"/>
    <mergeCell ref="Q10:V10"/>
    <mergeCell ref="Q11:V11"/>
    <mergeCell ref="AI7:AN7"/>
    <mergeCell ref="AI8:AN8"/>
    <mergeCell ref="FR67:FT67"/>
    <mergeCell ref="FR68:FT68"/>
    <mergeCell ref="Q12:V12"/>
    <mergeCell ref="Q13:V13"/>
    <mergeCell ref="W13:AB13"/>
    <mergeCell ref="W14:AB14"/>
    <mergeCell ref="W15:AB15"/>
    <mergeCell ref="W16:AB16"/>
    <mergeCell ref="W17:AB17"/>
    <mergeCell ref="AC12:AH12"/>
    <mergeCell ref="AC13:AH13"/>
    <mergeCell ref="AC14:AH14"/>
    <mergeCell ref="AC15:AH15"/>
    <mergeCell ref="AC16:AH16"/>
    <mergeCell ref="AC17:AH17"/>
    <mergeCell ref="AC18:AH18"/>
    <mergeCell ref="AC20:AH20"/>
    <mergeCell ref="E4:J4"/>
    <mergeCell ref="K12:P12"/>
    <mergeCell ref="K13:P13"/>
    <mergeCell ref="E7:J7"/>
    <mergeCell ref="K4:P4"/>
    <mergeCell ref="K7:P7"/>
    <mergeCell ref="K8:P8"/>
    <mergeCell ref="K9:P9"/>
    <mergeCell ref="E8:J8"/>
    <mergeCell ref="E9:J9"/>
    <mergeCell ref="E10:J10"/>
    <mergeCell ref="E11:J11"/>
    <mergeCell ref="E12:J12"/>
    <mergeCell ref="E13:J13"/>
    <mergeCell ref="E6:J6"/>
    <mergeCell ref="BJ6:BM6"/>
    <mergeCell ref="AX6:BA6"/>
    <mergeCell ref="BF6:BI6"/>
    <mergeCell ref="Q6:V6"/>
    <mergeCell ref="AC6:AH6"/>
    <mergeCell ref="AI6:AN6"/>
    <mergeCell ref="K6:P6"/>
    <mergeCell ref="AT6:AW6"/>
    <mergeCell ref="AP6:AS6"/>
    <mergeCell ref="BB6:BE6"/>
    <mergeCell ref="W6:AB6"/>
    <mergeCell ref="E19:J19"/>
    <mergeCell ref="E20:J20"/>
    <mergeCell ref="E21:J21"/>
    <mergeCell ref="E22:J22"/>
    <mergeCell ref="E23:J23"/>
    <mergeCell ref="E14:J14"/>
    <mergeCell ref="E15:J15"/>
    <mergeCell ref="E16:J16"/>
    <mergeCell ref="E17:J17"/>
    <mergeCell ref="E18:J18"/>
    <mergeCell ref="AC19:AH19"/>
    <mergeCell ref="K17:P17"/>
    <mergeCell ref="K18:P18"/>
    <mergeCell ref="K19:P19"/>
    <mergeCell ref="W7:AB7"/>
    <mergeCell ref="W8:AB8"/>
    <mergeCell ref="W9:AB9"/>
    <mergeCell ref="W10:AB10"/>
    <mergeCell ref="W11:AB11"/>
    <mergeCell ref="W12:AB12"/>
    <mergeCell ref="K14:P14"/>
    <mergeCell ref="K15:P15"/>
    <mergeCell ref="K10:P10"/>
    <mergeCell ref="K11:P11"/>
    <mergeCell ref="K16:P16"/>
    <mergeCell ref="Q14:V14"/>
    <mergeCell ref="Q15:V15"/>
    <mergeCell ref="Q16:V16"/>
    <mergeCell ref="AC7:AH7"/>
    <mergeCell ref="AC8:AH8"/>
    <mergeCell ref="AC9:AH9"/>
    <mergeCell ref="AC10:AH10"/>
    <mergeCell ref="AC11:AH11"/>
    <mergeCell ref="Q7:V7"/>
    <mergeCell ref="W23:AB23"/>
    <mergeCell ref="W18:AB18"/>
    <mergeCell ref="W19:AB19"/>
    <mergeCell ref="W20:AB20"/>
    <mergeCell ref="W21:AB21"/>
    <mergeCell ref="W22:AB22"/>
    <mergeCell ref="AI22:AN22"/>
    <mergeCell ref="AI23:AN23"/>
    <mergeCell ref="AI9:AN9"/>
    <mergeCell ref="AI10:AN10"/>
    <mergeCell ref="AI11:AN11"/>
    <mergeCell ref="AI12:AN12"/>
    <mergeCell ref="AI13:AN13"/>
    <mergeCell ref="AI14:AN14"/>
    <mergeCell ref="AI15:AN15"/>
    <mergeCell ref="AI16:AN16"/>
    <mergeCell ref="AI17:AN17"/>
    <mergeCell ref="AI18:AN18"/>
    <mergeCell ref="AI19:AN19"/>
    <mergeCell ref="AI20:AN20"/>
    <mergeCell ref="AI21:AN21"/>
    <mergeCell ref="AC21:AH21"/>
    <mergeCell ref="AC22:AH22"/>
    <mergeCell ref="AC23:AH23"/>
    <mergeCell ref="Q32:V32"/>
    <mergeCell ref="E25:J25"/>
    <mergeCell ref="E26:J26"/>
    <mergeCell ref="E27:J27"/>
    <mergeCell ref="E28:J28"/>
    <mergeCell ref="E29:J29"/>
    <mergeCell ref="E30:J30"/>
    <mergeCell ref="E32:J32"/>
    <mergeCell ref="K37:P37"/>
    <mergeCell ref="K32:P32"/>
    <mergeCell ref="K33:P33"/>
    <mergeCell ref="K34:P34"/>
    <mergeCell ref="K35:P35"/>
    <mergeCell ref="K36:P36"/>
    <mergeCell ref="K28:P28"/>
    <mergeCell ref="K29:P29"/>
    <mergeCell ref="K30:P30"/>
    <mergeCell ref="K25:P25"/>
    <mergeCell ref="K26:P26"/>
    <mergeCell ref="K27:P27"/>
    <mergeCell ref="E38:J38"/>
    <mergeCell ref="E39:J39"/>
    <mergeCell ref="E40:J40"/>
    <mergeCell ref="E41:J41"/>
    <mergeCell ref="Q33:V33"/>
    <mergeCell ref="Q34:V34"/>
    <mergeCell ref="Q35:V35"/>
    <mergeCell ref="Q36:V36"/>
    <mergeCell ref="Q37:V37"/>
    <mergeCell ref="Q38:V38"/>
    <mergeCell ref="Q39:V39"/>
    <mergeCell ref="Q40:V40"/>
    <mergeCell ref="Q41:V41"/>
    <mergeCell ref="E33:J33"/>
    <mergeCell ref="E34:J34"/>
    <mergeCell ref="E35:J35"/>
    <mergeCell ref="E36:J36"/>
    <mergeCell ref="E37:J37"/>
    <mergeCell ref="K38:P38"/>
    <mergeCell ref="K39:P39"/>
    <mergeCell ref="K40:P40"/>
    <mergeCell ref="K41:P41"/>
    <mergeCell ref="W37:AB37"/>
    <mergeCell ref="W38:AB38"/>
    <mergeCell ref="W39:AB39"/>
    <mergeCell ref="W40:AB40"/>
    <mergeCell ref="W41:AB41"/>
    <mergeCell ref="W32:AB32"/>
    <mergeCell ref="W33:AB33"/>
    <mergeCell ref="W34:AB34"/>
    <mergeCell ref="W35:AB35"/>
    <mergeCell ref="W36:AB36"/>
    <mergeCell ref="AF27:AH27"/>
    <mergeCell ref="AF28:AH28"/>
    <mergeCell ref="AF29:AH29"/>
    <mergeCell ref="W30:AB30"/>
    <mergeCell ref="Q25:V25"/>
    <mergeCell ref="Q26:V26"/>
    <mergeCell ref="Q27:V27"/>
    <mergeCell ref="Q28:V28"/>
    <mergeCell ref="Q29:V29"/>
    <mergeCell ref="Q30:V30"/>
    <mergeCell ref="W25:AB25"/>
    <mergeCell ref="W26:AB26"/>
    <mergeCell ref="W27:AB27"/>
    <mergeCell ref="W28:AB28"/>
    <mergeCell ref="W29:AB29"/>
    <mergeCell ref="AI40:AN40"/>
    <mergeCell ref="AI41:AN41"/>
    <mergeCell ref="AI32:AN32"/>
    <mergeCell ref="AI33:AN33"/>
    <mergeCell ref="AI34:AN34"/>
    <mergeCell ref="AI35:AN35"/>
    <mergeCell ref="AI36:AN36"/>
    <mergeCell ref="AC37:AH37"/>
    <mergeCell ref="AC38:AH38"/>
    <mergeCell ref="AC39:AH39"/>
    <mergeCell ref="AC40:AH40"/>
    <mergeCell ref="AC41:AH41"/>
    <mergeCell ref="AC32:AH32"/>
    <mergeCell ref="AC33:AH33"/>
    <mergeCell ref="AC34:AH34"/>
    <mergeCell ref="AC35:AH35"/>
    <mergeCell ref="AC36:AH36"/>
    <mergeCell ref="E24:P24"/>
    <mergeCell ref="Q24:AB24"/>
    <mergeCell ref="AC24:AN24"/>
    <mergeCell ref="E31:P31"/>
    <mergeCell ref="Q31:AB31"/>
    <mergeCell ref="AC31:AN31"/>
    <mergeCell ref="AI37:AN37"/>
    <mergeCell ref="AI38:AN38"/>
    <mergeCell ref="AI39:AN39"/>
    <mergeCell ref="AF30:AH30"/>
    <mergeCell ref="AL25:AN25"/>
    <mergeCell ref="AL26:AN26"/>
    <mergeCell ref="AL27:AN27"/>
    <mergeCell ref="AL28:AN28"/>
    <mergeCell ref="AL29:AN29"/>
    <mergeCell ref="AL30:AN30"/>
    <mergeCell ref="AI25:AK26"/>
    <mergeCell ref="AI27:AK28"/>
    <mergeCell ref="AI29:AK30"/>
    <mergeCell ref="AC25:AE26"/>
    <mergeCell ref="AC27:AE28"/>
    <mergeCell ref="AC29:AE30"/>
    <mergeCell ref="AF25:AH25"/>
    <mergeCell ref="AF26:AH26"/>
    <mergeCell ref="E49:H49"/>
    <mergeCell ref="E50:H50"/>
    <mergeCell ref="E52:H52"/>
    <mergeCell ref="E53:H53"/>
    <mergeCell ref="E54:H54"/>
    <mergeCell ref="E45:H45"/>
    <mergeCell ref="E44:H44"/>
    <mergeCell ref="E46:H46"/>
    <mergeCell ref="E47:H47"/>
    <mergeCell ref="E48:H48"/>
    <mergeCell ref="I43:L44"/>
    <mergeCell ref="E42:AN42"/>
    <mergeCell ref="M43:P44"/>
    <mergeCell ref="Q43:T44"/>
    <mergeCell ref="U43:X44"/>
    <mergeCell ref="AC43:AF44"/>
    <mergeCell ref="AC45:AF45"/>
    <mergeCell ref="AG45:AJ45"/>
    <mergeCell ref="AK45:AN45"/>
    <mergeCell ref="Y43:AB44"/>
    <mergeCell ref="Y45:AB45"/>
    <mergeCell ref="I50:AN50"/>
    <mergeCell ref="I51:L51"/>
    <mergeCell ref="M51:P51"/>
    <mergeCell ref="Q51:T51"/>
    <mergeCell ref="U51:X51"/>
    <mergeCell ref="Y51:AB51"/>
    <mergeCell ref="AC51:AF51"/>
    <mergeCell ref="AG51:AJ51"/>
    <mergeCell ref="AK51:AN51"/>
    <mergeCell ref="U49:X49"/>
    <mergeCell ref="AC49:AF49"/>
    <mergeCell ref="AC46:AF46"/>
    <mergeCell ref="I45:L45"/>
    <mergeCell ref="I46:L46"/>
    <mergeCell ref="M46:P46"/>
    <mergeCell ref="Q46:T46"/>
    <mergeCell ref="U46:X46"/>
    <mergeCell ref="M45:P45"/>
    <mergeCell ref="Q45:T45"/>
    <mergeCell ref="U45:X45"/>
    <mergeCell ref="Y46:AB46"/>
    <mergeCell ref="Y47:AB47"/>
    <mergeCell ref="Y48:AB48"/>
    <mergeCell ref="Y49:AB49"/>
    <mergeCell ref="AK52:AN52"/>
    <mergeCell ref="I53:L53"/>
    <mergeCell ref="M53:P53"/>
    <mergeCell ref="Q53:T53"/>
    <mergeCell ref="U53:X53"/>
    <mergeCell ref="Y53:AB53"/>
    <mergeCell ref="AC53:AF53"/>
    <mergeCell ref="AG53:AJ53"/>
    <mergeCell ref="AK53:AN53"/>
    <mergeCell ref="I52:L52"/>
    <mergeCell ref="M52:P52"/>
    <mergeCell ref="Q52:T52"/>
    <mergeCell ref="U52:X52"/>
    <mergeCell ref="Y52:AB52"/>
    <mergeCell ref="AP31:BT31"/>
    <mergeCell ref="AC54:AF54"/>
    <mergeCell ref="AG54:AJ54"/>
    <mergeCell ref="AK54:AN54"/>
    <mergeCell ref="I47:L47"/>
    <mergeCell ref="M47:P47"/>
    <mergeCell ref="Q47:T47"/>
    <mergeCell ref="U47:X47"/>
    <mergeCell ref="AC47:AF47"/>
    <mergeCell ref="I48:L48"/>
    <mergeCell ref="M48:P48"/>
    <mergeCell ref="Q48:T48"/>
    <mergeCell ref="U48:X48"/>
    <mergeCell ref="AC48:AF48"/>
    <mergeCell ref="I49:L49"/>
    <mergeCell ref="M49:P49"/>
    <mergeCell ref="Q49:T49"/>
    <mergeCell ref="I54:L54"/>
    <mergeCell ref="M54:P54"/>
    <mergeCell ref="Q54:T54"/>
    <mergeCell ref="U54:X54"/>
    <mergeCell ref="Y54:AB54"/>
    <mergeCell ref="AC52:AF52"/>
    <mergeCell ref="AG52:AJ52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Q65"/>
  <sheetViews>
    <sheetView showGridLines="0" workbookViewId="0"/>
  </sheetViews>
  <sheetFormatPr defaultRowHeight="13.5"/>
  <cols>
    <col min="1" max="1" width="1.85546875" style="8" customWidth="1"/>
    <col min="23" max="95" width="9.140625" style="27"/>
  </cols>
  <sheetData>
    <row r="1" spans="2:95" s="8" customFormat="1" ht="6.75" customHeight="1"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</row>
    <row r="2" spans="2:95" s="8" customFormat="1">
      <c r="B2" s="24" t="s">
        <v>324</v>
      </c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</row>
    <row r="3" spans="2:95" s="8" customFormat="1"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</row>
    <row r="4" spans="2:95" s="8" customFormat="1"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</row>
    <row r="5" spans="2:95" s="8" customFormat="1"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</row>
    <row r="6" spans="2:95" s="8" customFormat="1"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</row>
    <row r="7" spans="2:95" s="8" customFormat="1"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</row>
    <row r="8" spans="2:95" s="8" customFormat="1"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</row>
    <row r="9" spans="2:95" s="8" customFormat="1"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</row>
    <row r="10" spans="2:95" s="8" customFormat="1">
      <c r="C10" s="24"/>
      <c r="D10" s="24"/>
      <c r="E10" s="24"/>
      <c r="F10" s="24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</row>
    <row r="11" spans="2:95" s="8" customFormat="1">
      <c r="C11" s="24"/>
      <c r="D11" s="24"/>
      <c r="E11" s="24"/>
      <c r="F11" s="24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</row>
    <row r="12" spans="2:95" s="8" customFormat="1"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</row>
    <row r="13" spans="2:95" s="8" customFormat="1">
      <c r="B13" s="25"/>
      <c r="U13" s="26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</row>
    <row r="14" spans="2:95" s="8" customFormat="1">
      <c r="B14" s="25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</row>
    <row r="59" spans="1:6">
      <c r="A59" s="43"/>
      <c r="B59" s="44" t="s">
        <v>285</v>
      </c>
      <c r="C59" s="43"/>
      <c r="D59" s="43"/>
      <c r="E59" s="43"/>
      <c r="F59" s="43"/>
    </row>
    <row r="60" spans="1:6">
      <c r="A60" s="43"/>
      <c r="B60" s="44"/>
      <c r="C60" s="43"/>
      <c r="D60" s="43"/>
      <c r="E60" s="43"/>
      <c r="F60" s="43"/>
    </row>
    <row r="61" spans="1:6">
      <c r="A61" s="43"/>
      <c r="B61" s="44" t="s">
        <v>286</v>
      </c>
      <c r="C61" s="43"/>
      <c r="D61" s="43"/>
      <c r="E61" s="43"/>
      <c r="F61" s="43"/>
    </row>
    <row r="62" spans="1:6">
      <c r="A62" s="43"/>
      <c r="B62" s="44" t="s">
        <v>287</v>
      </c>
      <c r="C62" s="43"/>
      <c r="D62" s="43"/>
      <c r="E62" s="43"/>
      <c r="F62" s="43"/>
    </row>
    <row r="63" spans="1:6">
      <c r="A63" s="43"/>
      <c r="B63" s="44"/>
      <c r="C63" s="43"/>
      <c r="D63" s="43"/>
      <c r="E63" s="43"/>
      <c r="F63" s="43"/>
    </row>
    <row r="64" spans="1:6">
      <c r="A64" s="43"/>
      <c r="B64" s="44"/>
      <c r="C64" s="43"/>
      <c r="D64" s="43"/>
      <c r="E64" s="43"/>
      <c r="F64" s="43"/>
    </row>
    <row r="65" spans="1:6">
      <c r="A65" s="43"/>
      <c r="B65" s="44"/>
      <c r="C65" s="43"/>
      <c r="D65" s="43"/>
      <c r="E65" s="43"/>
      <c r="F65" s="4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개별종목정보</vt:lpstr>
      <vt:lpstr>도움말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2015-10-08T07:34:07Z</dcterms:created>
  <dcterms:modified xsi:type="dcterms:W3CDTF">2015-10-28T01:22:26Z</dcterms:modified>
</cp:coreProperties>
</file>