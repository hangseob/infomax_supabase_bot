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0승환\"/>
    </mc:Choice>
  </mc:AlternateContent>
  <xr:revisionPtr revIDLastSave="0" documentId="13_ncr:1_{2322FB35-1B1C-46D5-A53E-2D12D2D78348}" xr6:coauthVersionLast="47" xr6:coauthVersionMax="47" xr10:uidLastSave="{00000000-0000-0000-0000-000000000000}"/>
  <bookViews>
    <workbookView xWindow="-75" yWindow="165" windowWidth="28110" windowHeight="14955" xr2:uid="{589B239F-3527-4B82-80C8-E8EAEC224971}"/>
  </bookViews>
  <sheets>
    <sheet name="시가평가Matrix" sheetId="2" r:id="rId1"/>
    <sheet name="Yield Curve" sheetId="3" r:id="rId2"/>
    <sheet name="code" sheetId="1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7" i="3" l="1" a="1"/>
  <c r="AP17" i="3" s="1"/>
  <c r="AP16" i="3" a="1"/>
  <c r="AP16" i="3" s="1"/>
  <c r="AP15" i="3" a="1"/>
  <c r="AP15" i="3" s="1"/>
  <c r="AP14" i="3" a="1"/>
  <c r="AP14" i="3" s="1"/>
  <c r="AP13" i="3" a="1"/>
  <c r="AP13" i="3" s="1"/>
  <c r="AP12" i="3" a="1"/>
  <c r="AP12" i="3" s="1"/>
  <c r="AP11" i="3" a="1"/>
  <c r="AP11" i="3" s="1"/>
  <c r="AP10" i="3" a="1"/>
  <c r="AP10" i="3" s="1"/>
  <c r="AA81" i="2" a="1"/>
  <c r="AA81" i="2" s="1"/>
  <c r="AA80" i="2" a="1"/>
  <c r="AA80" i="2" s="1"/>
  <c r="AA79" i="2" a="1"/>
  <c r="AA79" i="2" s="1"/>
  <c r="AA78" i="2" a="1"/>
  <c r="AA78" i="2" s="1"/>
  <c r="AA77" i="2" a="1"/>
  <c r="AA77" i="2" s="1"/>
  <c r="AA76" i="2" a="1"/>
  <c r="AA76" i="2" s="1"/>
  <c r="AA75" i="2" a="1"/>
  <c r="AA75" i="2" s="1"/>
  <c r="AA74" i="2" a="1"/>
  <c r="AA74" i="2" s="1"/>
  <c r="AA73" i="2" a="1"/>
  <c r="AA73" i="2" s="1"/>
  <c r="AA72" i="2" a="1"/>
  <c r="AA72" i="2" s="1"/>
  <c r="AA71" i="2" a="1"/>
  <c r="AA71" i="2" s="1"/>
  <c r="AA70" i="2" a="1"/>
  <c r="AA70" i="2" s="1"/>
  <c r="AA69" i="2" a="1"/>
  <c r="AA69" i="2" s="1"/>
  <c r="AA68" i="2" a="1"/>
  <c r="AA68" i="2" s="1"/>
  <c r="AA67" i="2" a="1"/>
  <c r="AA67" i="2" s="1"/>
  <c r="AA66" i="2" a="1"/>
  <c r="AA66" i="2" s="1"/>
  <c r="AA65" i="2" a="1"/>
  <c r="AA65" i="2" s="1"/>
  <c r="AA64" i="2" a="1"/>
  <c r="AA64" i="2" s="1"/>
  <c r="AA63" i="2" a="1"/>
  <c r="AA63" i="2" s="1"/>
  <c r="AA62" i="2" a="1"/>
  <c r="AA62" i="2" s="1"/>
  <c r="AA61" i="2" a="1"/>
  <c r="AA61" i="2" s="1"/>
  <c r="AA60" i="2" a="1"/>
  <c r="AA60" i="2" s="1"/>
  <c r="AA59" i="2" a="1"/>
  <c r="AA59" i="2" s="1"/>
  <c r="AA58" i="2" a="1"/>
  <c r="AA58" i="2" s="1"/>
  <c r="AA57" i="2" a="1"/>
  <c r="AA57" i="2" s="1"/>
  <c r="AA56" i="2" a="1"/>
  <c r="AA56" i="2" s="1"/>
  <c r="AA55" i="2" a="1"/>
  <c r="AA55" i="2" s="1"/>
  <c r="AA54" i="2" a="1"/>
  <c r="AA54" i="2" s="1"/>
  <c r="AA53" i="2" a="1"/>
  <c r="AA53" i="2" s="1"/>
  <c r="AA52" i="2" a="1"/>
  <c r="AA52" i="2" s="1"/>
  <c r="AA51" i="2" a="1"/>
  <c r="AA51" i="2" s="1"/>
  <c r="AA50" i="2" a="1"/>
  <c r="AA50" i="2" s="1"/>
  <c r="AA49" i="2" a="1"/>
  <c r="AA49" i="2" s="1"/>
  <c r="AA48" i="2" a="1"/>
  <c r="AA48" i="2" s="1"/>
  <c r="AA47" i="2" a="1"/>
  <c r="AA47" i="2" s="1"/>
  <c r="AA46" i="2" a="1"/>
  <c r="AA46" i="2" s="1"/>
  <c r="AA45" i="2" a="1"/>
  <c r="AA45" i="2" s="1"/>
  <c r="AA44" i="2" a="1"/>
  <c r="AA44" i="2" s="1"/>
  <c r="AA43" i="2" a="1"/>
  <c r="AA43" i="2" s="1"/>
  <c r="AA42" i="2" a="1"/>
  <c r="AA42" i="2" s="1"/>
  <c r="AA41" i="2" a="1"/>
  <c r="AA41" i="2" s="1"/>
  <c r="AA40" i="2" a="1"/>
  <c r="AA40" i="2" s="1"/>
  <c r="AA39" i="2" a="1"/>
  <c r="AA39" i="2" s="1"/>
  <c r="AA38" i="2" a="1"/>
  <c r="AA38" i="2" s="1"/>
  <c r="AA37" i="2" a="1"/>
  <c r="AA37" i="2" s="1"/>
  <c r="AA36" i="2" a="1"/>
  <c r="AA36" i="2" s="1"/>
  <c r="AA35" i="2" a="1"/>
  <c r="AA35" i="2" s="1"/>
  <c r="AA34" i="2" a="1"/>
  <c r="AA34" i="2" s="1"/>
  <c r="AA33" i="2" a="1"/>
  <c r="AA33" i="2" s="1"/>
  <c r="AA32" i="2" a="1"/>
  <c r="AA32" i="2" s="1"/>
  <c r="AA31" i="2" a="1"/>
  <c r="AA31" i="2" s="1"/>
  <c r="AA30" i="2"/>
  <c r="AA30" i="2" a="1"/>
  <c r="AA29" i="2" a="1"/>
  <c r="AA29" i="2" s="1"/>
  <c r="AA28" i="2" a="1"/>
  <c r="AA28" i="2" s="1"/>
  <c r="AA27" i="2" a="1"/>
  <c r="AA27" i="2" s="1"/>
  <c r="AA26" i="2" a="1"/>
  <c r="AA26" i="2" s="1"/>
  <c r="AA25" i="2" a="1"/>
  <c r="AA25" i="2" s="1"/>
  <c r="AA24" i="2" a="1"/>
  <c r="AA24" i="2" s="1"/>
  <c r="AA23" i="2" a="1"/>
  <c r="AA23" i="2" s="1"/>
  <c r="AA22" i="2" a="1"/>
  <c r="AA22" i="2" s="1"/>
  <c r="AA21" i="2" a="1"/>
  <c r="AA21" i="2" s="1"/>
  <c r="AA20" i="2" a="1"/>
  <c r="AA20" i="2" s="1"/>
  <c r="AA19" i="2" a="1"/>
  <c r="AA19" i="2" s="1"/>
  <c r="AA18" i="2" a="1"/>
  <c r="AA18" i="2" s="1"/>
  <c r="AA17" i="2" a="1"/>
  <c r="AA17" i="2" s="1"/>
  <c r="AA16" i="2" a="1"/>
  <c r="AA16" i="2" s="1"/>
  <c r="AA15" i="2" a="1"/>
  <c r="AA15" i="2" s="1"/>
  <c r="AA14" i="2" a="1"/>
  <c r="AA14" i="2" s="1"/>
  <c r="AA13" i="2" a="1"/>
  <c r="AA13" i="2" s="1"/>
  <c r="AA12" i="2" a="1"/>
  <c r="AA12" i="2" s="1"/>
  <c r="AA11" i="2" a="1"/>
  <c r="AA11" i="2" s="1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C4" i="3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C8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F36" i="3" a="1"/>
  <c r="C36" i="3" a="1"/>
  <c r="L36" i="3" a="1"/>
  <c r="K36" i="3" a="1"/>
  <c r="J36" i="3" a="1"/>
  <c r="D36" i="3" a="1"/>
  <c r="M36" i="3" a="1"/>
  <c r="I36" i="3" a="1"/>
  <c r="N36" i="3" a="1"/>
  <c r="G36" i="3" a="1"/>
  <c r="H36" i="3" a="1"/>
  <c r="O36" i="3" a="1"/>
  <c r="R36" i="3" a="1"/>
  <c r="E36" i="3" a="1"/>
  <c r="Q36" i="3" a="1"/>
  <c r="P36" i="3" a="1"/>
  <c r="AA9" i="3" a="1"/>
  <c r="AA8" i="3" a="1"/>
  <c r="AD8" i="3" a="1"/>
  <c r="AE36" i="3" a="1"/>
  <c r="AE8" i="3" a="1"/>
  <c r="D9" i="3" a="1"/>
  <c r="AJ35" i="3" a="1"/>
  <c r="AI35" i="3" a="1"/>
  <c r="AF36" i="3" a="1"/>
  <c r="AD35" i="3" a="1"/>
  <c r="D8" i="3" a="1"/>
  <c r="M9" i="3" a="1"/>
  <c r="Y35" i="3" a="1"/>
  <c r="V36" i="3" a="1"/>
  <c r="Q9" i="3" a="1"/>
  <c r="X36" i="3" a="1"/>
  <c r="AJ36" i="3" a="1"/>
  <c r="L35" i="3" a="1"/>
  <c r="AH35" i="3" a="1"/>
  <c r="W35" i="3" a="1"/>
  <c r="AC36" i="3" a="1"/>
  <c r="Z9" i="3" a="1"/>
  <c r="AB9" i="3" a="1"/>
  <c r="AI9" i="3" a="1"/>
  <c r="X35" i="3" a="1"/>
  <c r="J35" i="3" a="1"/>
  <c r="AK36" i="3" a="1"/>
  <c r="C9" i="3" a="1"/>
  <c r="Y9" i="3" a="1"/>
  <c r="K35" i="3" a="1"/>
  <c r="W9" i="3" a="1"/>
  <c r="AA36" i="3" a="1"/>
  <c r="M8" i="3" a="1"/>
  <c r="L9" i="3" a="1"/>
  <c r="AH9" i="3" a="1"/>
  <c r="J9" i="3" a="1"/>
  <c r="AE35" i="3" a="1"/>
  <c r="Z36" i="3" a="1"/>
  <c r="AK8" i="3" a="1"/>
  <c r="W8" i="3" a="1"/>
  <c r="AK9" i="3" a="1"/>
  <c r="Y8" i="3" a="1"/>
  <c r="V9" i="3" a="1"/>
  <c r="H35" i="3" a="1"/>
  <c r="P9" i="3" a="1"/>
  <c r="AA35" i="3" a="1"/>
  <c r="D35" i="3" a="1"/>
  <c r="X9" i="3" a="1"/>
  <c r="M35" i="3" a="1"/>
  <c r="O9" i="3" a="1"/>
  <c r="I35" i="3" a="1"/>
  <c r="R35" i="3" a="1"/>
  <c r="K9" i="3" a="1"/>
  <c r="C8" i="3" a="1"/>
  <c r="AV10" i="3" a="1"/>
  <c r="AJ9" i="3" a="1"/>
  <c r="F8" i="3" a="1"/>
  <c r="AF8" i="3" a="1"/>
  <c r="AC8" i="3" a="1"/>
  <c r="N35" i="3" a="1"/>
  <c r="J8" i="3" a="1"/>
  <c r="Z35" i="3" a="1"/>
  <c r="AC35" i="3" a="1"/>
  <c r="AH36" i="3" a="1"/>
  <c r="L8" i="3" a="1"/>
  <c r="AJ8" i="3" a="1"/>
  <c r="R9" i="3" a="1"/>
  <c r="G35" i="3" a="1"/>
  <c r="P35" i="3" a="1"/>
  <c r="Y36" i="3" a="1"/>
  <c r="X8" i="3" a="1"/>
  <c r="AG35" i="3" a="1"/>
  <c r="P8" i="3" a="1"/>
  <c r="W36" i="3" a="1"/>
  <c r="AB35" i="3" a="1"/>
  <c r="AD36" i="3" a="1"/>
  <c r="C35" i="3" a="1"/>
  <c r="G8" i="3" a="1"/>
  <c r="F35" i="3" a="1"/>
  <c r="O35" i="3" a="1"/>
  <c r="N8" i="3" a="1"/>
  <c r="V8" i="3" a="1"/>
  <c r="K8" i="3" a="1"/>
  <c r="Q35" i="3" a="1"/>
  <c r="AH8" i="3" a="1"/>
  <c r="AI8" i="3" a="1"/>
  <c r="AG8" i="3" a="1"/>
  <c r="O8" i="3" a="1"/>
  <c r="E8" i="3" a="1"/>
  <c r="AC9" i="3" a="1"/>
  <c r="E35" i="3" a="1"/>
  <c r="H9" i="3" a="1"/>
  <c r="G9" i="3" a="1"/>
  <c r="AF35" i="3" a="1"/>
  <c r="I9" i="3" a="1"/>
  <c r="AD9" i="3" a="1"/>
  <c r="AB36" i="3" a="1"/>
  <c r="F9" i="3" a="1"/>
  <c r="E9" i="3" a="1"/>
  <c r="Z8" i="3" a="1"/>
  <c r="AG9" i="3" a="1"/>
  <c r="AE9" i="3" a="1"/>
  <c r="AB8" i="3" a="1"/>
  <c r="R8" i="3" a="1"/>
  <c r="V35" i="3" a="1"/>
  <c r="I8" i="3" a="1"/>
  <c r="AI36" i="3" a="1"/>
  <c r="AK35" i="3" a="1"/>
  <c r="AG36" i="3" a="1"/>
  <c r="H8" i="3" a="1"/>
  <c r="Q8" i="3" a="1"/>
  <c r="AF9" i="3" a="1"/>
  <c r="N9" i="3" a="1"/>
  <c r="BH77" i="2" a="1"/>
  <c r="AU81" i="2" a="1"/>
  <c r="BE79" i="2" a="1"/>
  <c r="BH75" i="2" a="1"/>
  <c r="AZ52" i="2" a="1"/>
  <c r="BD66" i="2" a="1"/>
  <c r="BF64" i="2" a="1"/>
  <c r="BG67" i="2" a="1"/>
  <c r="BF62" i="2" a="1"/>
  <c r="AY78" i="2" a="1"/>
  <c r="AW50" i="2" a="1"/>
  <c r="AS73" i="2" a="1"/>
  <c r="AZ81" i="2" a="1"/>
  <c r="AZ56" i="2" a="1"/>
  <c r="AT57" i="2" a="1"/>
  <c r="BB67" i="2" a="1"/>
  <c r="BA74" i="2" a="1"/>
  <c r="BB77" i="2" a="1"/>
  <c r="AS64" i="2" a="1"/>
  <c r="BD58" i="2" a="1"/>
  <c r="AZ30" i="2" a="1"/>
  <c r="BD40" i="2" a="1"/>
  <c r="BC50" i="2" a="1"/>
  <c r="AS27" i="2" a="1"/>
  <c r="AX51" i="2" a="1"/>
  <c r="BD38" i="2" a="1"/>
  <c r="AT50" i="2" a="1"/>
  <c r="AV35" i="2" a="1"/>
  <c r="BD45" i="2" a="1"/>
  <c r="BH43" i="2" a="1"/>
  <c r="AX32" i="2" a="1"/>
  <c r="BH20" i="2" a="1"/>
  <c r="BG18" i="2" a="1"/>
  <c r="BB26" i="2" a="1"/>
  <c r="BC47" i="2" a="1"/>
  <c r="BE46" i="2" a="1"/>
  <c r="BC52" i="2" a="1"/>
  <c r="AZ57" i="2" a="1"/>
  <c r="BA15" i="2" a="1"/>
  <c r="BD31" i="2" a="1"/>
  <c r="BH27" i="2" a="1"/>
  <c r="AS14" i="2" a="1"/>
  <c r="AS32" i="2" a="1"/>
  <c r="BG24" i="2" a="1"/>
  <c r="BF24" i="2" a="1"/>
  <c r="BB18" i="2" a="1"/>
  <c r="BE39" i="2" a="1"/>
  <c r="BG50" i="2" a="1"/>
  <c r="BC14" i="2" a="1"/>
  <c r="AV11" i="2" a="1"/>
  <c r="AZ24" i="2" a="1"/>
  <c r="AT23" i="2" a="1"/>
  <c r="AY22" i="2" a="1"/>
  <c r="AW26" i="2" a="1"/>
  <c r="BH68" i="2" a="1"/>
  <c r="AV30" i="2" a="1"/>
  <c r="BC11" i="2" a="1"/>
  <c r="AT64" i="2" a="1"/>
  <c r="BD81" i="2" a="1"/>
  <c r="AT67" i="2" a="1"/>
  <c r="AS62" i="2" a="1"/>
  <c r="BC77" i="2" a="1"/>
  <c r="AU49" i="2" a="1"/>
  <c r="AY72" i="2" a="1"/>
  <c r="AY81" i="2" a="1"/>
  <c r="BF55" i="2" a="1"/>
  <c r="AZ74" i="2" a="1"/>
  <c r="BF56" i="2" a="1"/>
  <c r="BA39" i="2" a="1"/>
  <c r="BE49" i="2" a="1"/>
  <c r="BE26" i="2" a="1"/>
  <c r="AY37" i="2" a="1"/>
  <c r="BH49" i="2" a="1"/>
  <c r="BD34" i="2" a="1"/>
  <c r="BG44" i="2" a="1"/>
  <c r="BF31" i="2" a="1"/>
  <c r="AX21" i="2" a="1"/>
  <c r="BG17" i="2" a="1"/>
  <c r="BG48" i="2" a="1"/>
  <c r="BF36" i="2" a="1"/>
  <c r="AT43" i="2" a="1"/>
  <c r="BH19" i="2" a="1"/>
  <c r="AS44" i="2" a="1"/>
  <c r="AV48" i="2" a="1"/>
  <c r="AU13" i="2" a="1"/>
  <c r="BH28" i="2" a="1"/>
  <c r="AZ12" i="2" a="1"/>
  <c r="BA25" i="2" a="1"/>
  <c r="BG20" i="2" a="1"/>
  <c r="BF20" i="2" a="1"/>
  <c r="AZ39" i="2" a="1"/>
  <c r="BF11" i="2" a="1"/>
  <c r="AT53" i="2" a="1"/>
  <c r="BA21" i="2" a="1"/>
  <c r="AV16" i="2" a="1"/>
  <c r="AU16" i="2" a="1"/>
  <c r="AT15" i="2" a="1"/>
  <c r="AT29" i="2" a="1"/>
  <c r="BF46" i="2" a="1"/>
  <c r="BH23" i="2" a="1"/>
  <c r="AX77" i="2" a="1"/>
  <c r="BH80" i="2" a="1"/>
  <c r="BD76" i="2" a="1"/>
  <c r="BD73" i="2" a="1"/>
  <c r="BC51" i="2" a="1"/>
  <c r="BA54" i="2" a="1"/>
  <c r="BB65" i="2" a="1"/>
  <c r="BA69" i="2" a="1"/>
  <c r="BF79" i="2" a="1"/>
  <c r="BB29" i="2" a="1"/>
  <c r="AX50" i="2" a="1"/>
  <c r="AY24" i="2" a="1"/>
  <c r="BH71" i="2" a="1"/>
  <c r="BH54" i="2" a="1"/>
  <c r="BA76" i="2" a="1"/>
  <c r="AX80" i="2" a="1"/>
  <c r="AY74" i="2" a="1"/>
  <c r="BH72" i="2" a="1"/>
  <c r="AS51" i="2" a="1"/>
  <c r="BB63" i="2" a="1"/>
  <c r="BC81" i="2" a="1"/>
  <c r="AZ66" i="2" a="1"/>
  <c r="BB61" i="2" a="1"/>
  <c r="BG76" i="2" a="1"/>
  <c r="BE48" i="2" a="1"/>
  <c r="AX68" i="2" a="1"/>
  <c r="AZ78" i="2" a="1"/>
  <c r="AS55" i="2" a="1"/>
  <c r="AW52" i="2" a="1"/>
  <c r="AX59" i="2" a="1"/>
  <c r="BA67" i="2" a="1"/>
  <c r="BF73" i="2" a="1"/>
  <c r="AT80" i="2" a="1"/>
  <c r="AW55" i="2" a="1"/>
  <c r="AS28" i="2" a="1"/>
  <c r="BD15" i="2" a="1"/>
  <c r="AU17" i="2" a="1"/>
  <c r="BD75" i="2" a="1"/>
  <c r="BA79" i="2" a="1"/>
  <c r="AZ71" i="2" a="1"/>
  <c r="AT72" i="2" a="1"/>
  <c r="BF50" i="2" a="1"/>
  <c r="AX62" i="2" a="1"/>
  <c r="AU80" i="2" a="1"/>
  <c r="BH65" i="2" a="1"/>
  <c r="BA81" i="2" a="1"/>
  <c r="AS76" i="2" a="1"/>
  <c r="BB47" i="2" a="1"/>
  <c r="AW66" i="2" a="1"/>
  <c r="BE74" i="2" a="1"/>
  <c r="AZ53" i="2" a="1"/>
  <c r="BG51" i="2" a="1"/>
  <c r="BC58" i="2" a="1"/>
  <c r="BA65" i="2" a="1"/>
  <c r="BA71" i="2" a="1"/>
  <c r="AU77" i="2" a="1"/>
  <c r="AS54" i="2" a="1"/>
  <c r="AT27" i="2" a="1"/>
  <c r="BH34" i="2" a="1"/>
  <c r="AV47" i="2" a="1"/>
  <c r="BE60" i="2" a="1"/>
  <c r="BF76" i="2" a="1"/>
  <c r="AS36" i="2" a="1"/>
  <c r="AT44" i="2" a="1"/>
  <c r="BE32" i="2" a="1"/>
  <c r="AW42" i="2" a="1"/>
  <c r="BA40" i="2" a="1"/>
  <c r="AT70" i="2" a="1"/>
  <c r="AW19" i="2" a="1"/>
  <c r="AZ14" i="2" a="1"/>
  <c r="BF22" i="2" a="1"/>
  <c r="BF43" i="2" a="1"/>
  <c r="AU31" i="2" a="1"/>
  <c r="BD39" i="2" a="1"/>
  <c r="AW57" i="2" a="1"/>
  <c r="BE12" i="2" a="1"/>
  <c r="AU26" i="2" a="1"/>
  <c r="AT75" i="2" a="1"/>
  <c r="BD78" i="2" a="1"/>
  <c r="AS70" i="2" a="1"/>
  <c r="AY71" i="2" a="1"/>
  <c r="AV50" i="2" a="1"/>
  <c r="BF61" i="2" a="1"/>
  <c r="AZ79" i="2" a="1"/>
  <c r="AU65" i="2" a="1"/>
  <c r="BF80" i="2" a="1"/>
  <c r="AX75" i="2" a="1"/>
  <c r="BC45" i="2" a="1"/>
  <c r="BC64" i="2" a="1"/>
  <c r="AW72" i="2" a="1"/>
  <c r="AV51" i="2" a="1"/>
  <c r="BD50" i="2" a="1"/>
  <c r="AX56" i="2" a="1"/>
  <c r="AV64" i="2" a="1"/>
  <c r="AZ67" i="2" a="1"/>
  <c r="BE76" i="2" a="1"/>
  <c r="BF51" i="2" a="1"/>
  <c r="BF26" i="2" a="1"/>
  <c r="AW34" i="2" a="1"/>
  <c r="BB46" i="2" a="1"/>
  <c r="AY56" i="2" a="1"/>
  <c r="BG65" i="2" a="1"/>
  <c r="BA35" i="2" a="1"/>
  <c r="AX43" i="2" a="1"/>
  <c r="BH26" i="2" a="1"/>
  <c r="AZ41" i="2" a="1"/>
  <c r="BE37" i="2" a="1"/>
  <c r="AU58" i="2" a="1"/>
  <c r="BH18" i="2" a="1"/>
  <c r="BC12" i="2" a="1"/>
  <c r="AS21" i="2" a="1"/>
  <c r="AU42" i="2" a="1"/>
  <c r="AU30" i="2" a="1"/>
  <c r="BF35" i="2" a="1"/>
  <c r="BG54" i="2" a="1"/>
  <c r="BB11" i="2" a="1"/>
  <c r="AY25" i="2" a="1"/>
  <c r="AW64" i="2" a="1"/>
  <c r="AU50" i="2" a="1"/>
  <c r="BA22" i="2" a="1"/>
  <c r="BC17" i="2" a="1"/>
  <c r="BC18" i="2" a="1"/>
  <c r="BG55" i="2" a="1"/>
  <c r="BE24" i="2" a="1"/>
  <c r="AZ32" i="2" a="1"/>
  <c r="AW44" i="2" a="1"/>
  <c r="AZ35" i="2" a="1"/>
  <c r="BF12" i="2" a="1"/>
  <c r="BG15" i="2" a="1"/>
  <c r="AT45" i="2" a="1"/>
  <c r="BF54" i="2" a="1"/>
  <c r="AY19" i="2" a="1"/>
  <c r="AV15" i="2" a="1"/>
  <c r="AU29" i="2" a="1"/>
  <c r="BB37" i="2" a="1"/>
  <c r="AU24" i="2" a="1"/>
  <c r="AS47" i="2" a="1"/>
  <c r="AX55" i="2" a="1"/>
  <c r="AT18" i="2" a="1"/>
  <c r="BH13" i="2" a="1"/>
  <c r="BD14" i="2" a="1"/>
  <c r="AU25" i="2" a="1"/>
  <c r="AW31" i="2" a="1"/>
  <c r="AT33" i="2" a="1"/>
  <c r="AU27" i="2" a="1"/>
  <c r="AY18" i="2" a="1"/>
  <c r="BB25" i="2" a="1"/>
  <c r="AS13" i="2" a="1"/>
  <c r="BA24" i="2" a="1"/>
  <c r="BC59" i="2" a="1"/>
  <c r="BA61" i="2" a="1"/>
  <c r="AT12" i="2" a="1"/>
  <c r="AY20" i="2" a="1"/>
  <c r="BD55" i="2" a="1"/>
  <c r="AU53" i="2" a="1"/>
  <c r="AY16" i="2" a="1"/>
  <c r="AT49" i="2" a="1"/>
  <c r="BC37" i="2" a="1"/>
  <c r="AW22" i="2" a="1"/>
  <c r="AU44" i="2" a="1"/>
  <c r="BG74" i="2" a="1"/>
  <c r="AT78" i="2" a="1"/>
  <c r="AY69" i="2" a="1"/>
  <c r="BE70" i="2" a="1"/>
  <c r="AY49" i="2" a="1"/>
  <c r="AT61" i="2" a="1"/>
  <c r="AY76" i="2" a="1"/>
  <c r="BG80" i="2" a="1"/>
  <c r="AS80" i="2" a="1"/>
  <c r="BG73" i="2" a="1"/>
  <c r="BD44" i="2" a="1"/>
  <c r="BA63" i="2" a="1"/>
  <c r="BF69" i="2" a="1"/>
  <c r="AS50" i="2" a="1"/>
  <c r="AY47" i="2" a="1"/>
  <c r="AX53" i="2" a="1"/>
  <c r="AT63" i="2" a="1"/>
  <c r="AS63" i="2" a="1"/>
  <c r="BA73" i="2" a="1"/>
  <c r="BE50" i="2" a="1"/>
  <c r="AW25" i="2" a="1"/>
  <c r="BH33" i="2" a="1"/>
  <c r="AU45" i="2" a="1"/>
  <c r="BE53" i="2" a="1"/>
  <c r="BE64" i="2" a="1"/>
  <c r="AU34" i="2" a="1"/>
  <c r="BA38" i="2" a="1"/>
  <c r="BG25" i="2" a="1"/>
  <c r="BB40" i="2" a="1"/>
  <c r="BA36" i="2" a="1"/>
  <c r="AW49" i="2" a="1"/>
  <c r="BH17" i="2" a="1"/>
  <c r="AT11" i="2" a="1"/>
  <c r="BD19" i="2" a="1"/>
  <c r="BF38" i="2" a="1"/>
  <c r="AZ27" i="2" a="1"/>
  <c r="BC34" i="2" a="1"/>
  <c r="AU51" i="2" a="1"/>
  <c r="AS57" i="2" a="1"/>
  <c r="BC21" i="2" a="1"/>
  <c r="AY58" i="2" a="1"/>
  <c r="AS45" i="2" a="1"/>
  <c r="AU19" i="2" a="1"/>
  <c r="BE15" i="2" a="1"/>
  <c r="BB16" i="2" a="1"/>
  <c r="BB52" i="2" a="1"/>
  <c r="AU22" i="2" a="1"/>
  <c r="BH29" i="2" a="1"/>
  <c r="BB35" i="2" a="1"/>
  <c r="AV31" i="2" a="1"/>
  <c r="BH47" i="2" a="1"/>
  <c r="AT13" i="2" a="1"/>
  <c r="BB41" i="2" a="1"/>
  <c r="AS49" i="2" a="1"/>
  <c r="AZ11" i="2" a="1"/>
  <c r="AX44" i="2" a="1"/>
  <c r="BD46" i="2" a="1"/>
  <c r="AV25" i="2" a="1"/>
  <c r="AS39" i="2" a="1"/>
  <c r="BC65" i="2" a="1"/>
  <c r="BF48" i="2" a="1"/>
  <c r="AW17" i="2" a="1"/>
  <c r="AY55" i="2" a="1"/>
  <c r="AS19" i="2" a="1"/>
  <c r="AZ33" i="2" a="1"/>
  <c r="AW71" i="2" a="1"/>
  <c r="AX20" i="2" a="1"/>
  <c r="BC29" i="2" a="1"/>
  <c r="AZ49" i="2" a="1"/>
  <c r="BB19" i="2" a="1"/>
  <c r="AW69" i="2" a="1"/>
  <c r="BC43" i="2" a="1"/>
  <c r="BA27" i="2" a="1"/>
  <c r="BA30" i="2" a="1"/>
  <c r="AW51" i="2" a="1"/>
  <c r="AY53" i="2" a="1"/>
  <c r="BE33" i="2" a="1"/>
  <c r="AW74" i="2" a="1"/>
  <c r="BG77" i="2" a="1"/>
  <c r="BF68" i="2" a="1"/>
  <c r="BE66" i="2" a="1"/>
  <c r="BB48" i="2" a="1"/>
  <c r="BC60" i="2" a="1"/>
  <c r="AT74" i="2" a="1"/>
  <c r="AX79" i="2" a="1"/>
  <c r="BF77" i="2" a="1"/>
  <c r="AT73" i="2" a="1"/>
  <c r="AU43" i="2" a="1"/>
  <c r="AY61" i="2" a="1"/>
  <c r="AX81" i="2" a="1"/>
  <c r="AW81" i="2" a="1"/>
  <c r="AX46" i="2" a="1"/>
  <c r="BG52" i="2" a="1"/>
  <c r="AU60" i="2" a="1"/>
  <c r="BH61" i="2" a="1"/>
  <c r="AS71" i="2" a="1"/>
  <c r="BF49" i="2" a="1"/>
  <c r="AZ23" i="2" a="1"/>
  <c r="AX31" i="2" a="1"/>
  <c r="AV43" i="2" a="1"/>
  <c r="BD52" i="2" a="1"/>
  <c r="BF63" i="2" a="1"/>
  <c r="BE31" i="2" a="1"/>
  <c r="BH37" i="2" a="1"/>
  <c r="BE21" i="2" a="1"/>
  <c r="BH25" i="2" a="1"/>
  <c r="BG43" i="2" a="1"/>
  <c r="BD47" i="2" a="1"/>
  <c r="BF37" i="2" a="1"/>
  <c r="AY11" i="2" a="1"/>
  <c r="AV29" i="2" a="1"/>
  <c r="AT55" i="2" a="1"/>
  <c r="BC33" i="2" a="1"/>
  <c r="AZ73" i="2" a="1"/>
  <c r="AW77" i="2" a="1"/>
  <c r="AY67" i="2" a="1"/>
  <c r="AY65" i="2" a="1"/>
  <c r="BE47" i="2" a="1"/>
  <c r="AY59" i="2" a="1"/>
  <c r="BB70" i="2" a="1"/>
  <c r="BB78" i="2" a="1"/>
  <c r="BA72" i="2" a="1"/>
  <c r="AX72" i="2" a="1"/>
  <c r="BG42" i="2" a="1"/>
  <c r="BA60" i="2" a="1"/>
  <c r="AW75" i="2" a="1"/>
  <c r="BE80" i="2" a="1"/>
  <c r="BA44" i="2" a="1"/>
  <c r="AT51" i="2" a="1"/>
  <c r="BC55" i="2" a="1"/>
  <c r="AW59" i="2" a="1"/>
  <c r="BG70" i="2" a="1"/>
  <c r="BH48" i="2" a="1"/>
  <c r="BD20" i="2" a="1"/>
  <c r="BC28" i="2" a="1"/>
  <c r="BC42" i="2" a="1"/>
  <c r="AU75" i="2" a="1"/>
  <c r="BG62" i="2" a="1"/>
  <c r="BE75" i="2" a="1"/>
  <c r="AU37" i="2" a="1"/>
  <c r="BG23" i="2" a="1"/>
  <c r="AS37" i="2" a="1"/>
  <c r="BE61" i="2" a="1"/>
  <c r="BB44" i="2" a="1"/>
  <c r="BH16" i="2" a="1"/>
  <c r="BB54" i="2" a="1"/>
  <c r="BD18" i="2" a="1"/>
  <c r="BF34" i="2" a="1"/>
  <c r="AY23" i="2" a="1"/>
  <c r="AT32" i="2" a="1"/>
  <c r="AW46" i="2" a="1"/>
  <c r="BA64" i="2" a="1"/>
  <c r="AV54" i="2" a="1"/>
  <c r="AV14" i="2" a="1"/>
  <c r="BG13" i="2" a="1"/>
  <c r="BG45" i="2" a="1"/>
  <c r="AS20" i="2" a="1"/>
  <c r="BE17" i="2" a="1"/>
  <c r="BH41" i="2" a="1"/>
  <c r="BE45" i="2" a="1"/>
  <c r="BF28" i="2" a="1"/>
  <c r="BD28" i="2" a="1"/>
  <c r="AT30" i="2" a="1"/>
  <c r="AV12" i="2" a="1"/>
  <c r="BH51" i="2" a="1"/>
  <c r="AZ44" i="2" a="1"/>
  <c r="BG16" i="2" a="1"/>
  <c r="AZ50" i="2" a="1"/>
  <c r="AU32" i="2" a="1"/>
  <c r="AV27" i="2" a="1"/>
  <c r="BA46" i="2" a="1"/>
  <c r="AT19" i="2" a="1"/>
  <c r="AX14" i="2" a="1"/>
  <c r="AT26" i="2" a="1"/>
  <c r="AS16" i="2" a="1"/>
  <c r="BC19" i="2" a="1"/>
  <c r="AX16" i="2" a="1"/>
  <c r="BC72" i="2" a="1"/>
  <c r="AZ76" i="2" a="1"/>
  <c r="BH64" i="2" a="1"/>
  <c r="BG64" i="2" a="1"/>
  <c r="AU47" i="2" a="1"/>
  <c r="BF57" i="2" a="1"/>
  <c r="AV69" i="2" a="1"/>
  <c r="AS77" i="2" a="1"/>
  <c r="BG71" i="2" a="1"/>
  <c r="AV79" i="2" a="1"/>
  <c r="AX41" i="2" a="1"/>
  <c r="BD59" i="2" a="1"/>
  <c r="BD74" i="2" a="1"/>
  <c r="AX78" i="2" a="1"/>
  <c r="BD42" i="2" a="1"/>
  <c r="BB49" i="2" a="1"/>
  <c r="AY54" i="2" a="1"/>
  <c r="BB58" i="2" a="1"/>
  <c r="AT69" i="2" a="1"/>
  <c r="AT48" i="2" a="1"/>
  <c r="BF19" i="2" a="1"/>
  <c r="BD27" i="2" a="1"/>
  <c r="BH36" i="2" a="1"/>
  <c r="AV68" i="2" a="1"/>
  <c r="AV60" i="2" a="1"/>
  <c r="BH70" i="2" a="1"/>
  <c r="AS68" i="2" a="1"/>
  <c r="AV23" i="2" a="1"/>
  <c r="BB36" i="2" a="1"/>
  <c r="BB59" i="2" a="1"/>
  <c r="BC39" i="2" a="1"/>
  <c r="AY15" i="2" a="1"/>
  <c r="BF45" i="2" a="1"/>
  <c r="AS18" i="2" a="1"/>
  <c r="BA31" i="2" a="1"/>
  <c r="BD22" i="2" a="1"/>
  <c r="AS31" i="2" a="1"/>
  <c r="BG41" i="2" a="1"/>
  <c r="BC67" i="2" a="1"/>
  <c r="BF17" i="2" a="1"/>
  <c r="BE44" i="2" a="1"/>
  <c r="AV24" i="2" a="1"/>
  <c r="AY13" i="2" a="1"/>
  <c r="AS72" i="2" a="1"/>
  <c r="BC75" i="2" a="1"/>
  <c r="BD63" i="2" a="1"/>
  <c r="AU64" i="2" a="1"/>
  <c r="BH46" i="2" a="1"/>
  <c r="BD56" i="2" a="1"/>
  <c r="BD64" i="2" a="1"/>
  <c r="AW76" i="2" a="1"/>
  <c r="AS69" i="2" a="1"/>
  <c r="BF78" i="2" a="1"/>
  <c r="BC38" i="2" a="1"/>
  <c r="AT58" i="2" a="1"/>
  <c r="AV72" i="2" a="1"/>
  <c r="BE77" i="2" a="1"/>
  <c r="AU41" i="2" a="1"/>
  <c r="AY48" i="2" a="1"/>
  <c r="AV53" i="2" a="1"/>
  <c r="BE57" i="2" a="1"/>
  <c r="BG68" i="2" a="1"/>
  <c r="AX47" i="2" a="1"/>
  <c r="AW18" i="2" a="1"/>
  <c r="AS79" i="2" a="1"/>
  <c r="AW36" i="2" a="1"/>
  <c r="BD80" i="2" a="1"/>
  <c r="BC57" i="2" a="1"/>
  <c r="AV65" i="2" a="1"/>
  <c r="BE63" i="2" a="1"/>
  <c r="BG22" i="2" a="1"/>
  <c r="BB74" i="2" a="1"/>
  <c r="AZ54" i="2" a="1"/>
  <c r="AU38" i="2" a="1"/>
  <c r="BB13" i="2" a="1"/>
  <c r="AV44" i="2" a="1"/>
  <c r="BD17" i="2" a="1"/>
  <c r="BD29" i="2" a="1"/>
  <c r="AV21" i="2" a="1"/>
  <c r="AX29" i="2" a="1"/>
  <c r="AY39" i="2" a="1"/>
  <c r="AZ64" i="2" a="1"/>
  <c r="BA16" i="2" a="1"/>
  <c r="BH40" i="2" a="1"/>
  <c r="AY21" i="2" a="1"/>
  <c r="BC70" i="2" a="1"/>
  <c r="BH44" i="2" a="1"/>
  <c r="AS61" i="2" a="1"/>
  <c r="AT39" i="2" a="1"/>
  <c r="BA17" i="2" a="1"/>
  <c r="AT40" i="2" a="1"/>
  <c r="BA13" i="2" a="1"/>
  <c r="AW38" i="2" a="1"/>
  <c r="BF27" i="2" a="1"/>
  <c r="BC26" i="2" a="1"/>
  <c r="BC20" i="2" a="1"/>
  <c r="AV26" i="2" a="1"/>
  <c r="AS40" i="2" a="1"/>
  <c r="AZ18" i="2" a="1"/>
  <c r="BD23" i="2" a="1"/>
  <c r="BG56" i="2" a="1"/>
  <c r="BG14" i="2" a="1"/>
  <c r="BF71" i="2" a="1"/>
  <c r="AS75" i="2" a="1"/>
  <c r="AY62" i="2" a="1"/>
  <c r="BC63" i="2" a="1"/>
  <c r="BG81" i="2" a="1"/>
  <c r="AW80" i="2" a="1"/>
  <c r="BH62" i="2" a="1"/>
  <c r="BA75" i="2" a="1"/>
  <c r="BE67" i="2" a="1"/>
  <c r="BB75" i="2" a="1"/>
  <c r="BD37" i="2" a="1"/>
  <c r="AX57" i="2" a="1"/>
  <c r="AU70" i="2" a="1"/>
  <c r="AV75" i="2" a="1"/>
  <c r="BG40" i="2" a="1"/>
  <c r="BG46" i="2" a="1"/>
  <c r="AU52" i="2" a="1"/>
  <c r="AW56" i="2" a="1"/>
  <c r="AT65" i="2" a="1"/>
  <c r="BC46" i="2" a="1"/>
  <c r="AZ77" i="2" a="1"/>
  <c r="AV77" i="2" a="1"/>
  <c r="BH35" i="2" a="1"/>
  <c r="AX73" i="2" a="1"/>
  <c r="AW65" i="2" a="1"/>
  <c r="BD62" i="2" a="1"/>
  <c r="AW62" i="2" a="1"/>
  <c r="AV22" i="2" a="1"/>
  <c r="AY63" i="2" a="1"/>
  <c r="AX52" i="2" a="1"/>
  <c r="AZ34" i="2" a="1"/>
  <c r="AS12" i="2" a="1"/>
  <c r="AY42" i="2" a="1"/>
  <c r="AS17" i="2" a="1"/>
  <c r="BE27" i="2" a="1"/>
  <c r="AX19" i="2" a="1"/>
  <c r="AX28" i="2" a="1"/>
  <c r="BG38" i="2" a="1"/>
  <c r="BA62" i="2" a="1"/>
  <c r="BF14" i="2" a="1"/>
  <c r="BB31" i="2" a="1"/>
  <c r="AV19" i="2" a="1"/>
  <c r="AV58" i="2" a="1"/>
  <c r="AX42" i="2" a="1"/>
  <c r="BH52" i="2" a="1"/>
  <c r="AZ36" i="2" a="1"/>
  <c r="BB15" i="2" a="1"/>
  <c r="AV36" i="2" a="1"/>
  <c r="AZ17" i="2" a="1"/>
  <c r="AS35" i="2" a="1"/>
  <c r="BD26" i="2" a="1"/>
  <c r="BD12" i="2" a="1"/>
  <c r="AZ15" i="2" a="1"/>
  <c r="BA20" i="2" a="1"/>
  <c r="BF18" i="2" a="1"/>
  <c r="AZ29" i="2" a="1"/>
  <c r="AT14" i="2" a="1"/>
  <c r="BD30" i="2" a="1"/>
  <c r="AT17" i="2" a="1"/>
  <c r="AU54" i="2" a="1"/>
  <c r="AT41" i="2" a="1"/>
  <c r="BD43" i="2" a="1"/>
  <c r="BC32" i="2" a="1"/>
  <c r="AW28" i="2" a="1"/>
  <c r="BE16" i="2" a="1"/>
  <c r="BC25" i="2" a="1"/>
  <c r="BC69" i="2" a="1"/>
  <c r="BB12" i="2" a="1"/>
  <c r="AX15" i="2" a="1"/>
  <c r="BA34" i="2" a="1"/>
  <c r="AS74" i="2" a="1"/>
  <c r="AV73" i="2" a="1"/>
  <c r="AZ60" i="2" a="1"/>
  <c r="AV70" i="2" a="1"/>
  <c r="BC53" i="2" a="1"/>
  <c r="AU74" i="2" a="1"/>
  <c r="BB43" i="2" a="1"/>
  <c r="BC30" i="2" a="1"/>
  <c r="BG59" i="2" a="1"/>
  <c r="BE35" i="2" a="1"/>
  <c r="BF15" i="2" a="1"/>
  <c r="BF23" i="2" a="1"/>
  <c r="AY14" i="2" a="1"/>
  <c r="BD35" i="2" a="1"/>
  <c r="BD13" i="2" a="1"/>
  <c r="AU15" i="2" a="1"/>
  <c r="AY40" i="2" a="1"/>
  <c r="BF66" i="2" a="1"/>
  <c r="BB27" i="2" a="1"/>
  <c r="AZ13" i="2" a="1"/>
  <c r="AU18" i="2" a="1"/>
  <c r="AX33" i="2" a="1"/>
  <c r="AW12" i="2" a="1"/>
  <c r="BC54" i="2" a="1"/>
  <c r="AT35" i="2" a="1"/>
  <c r="BC71" i="2" a="1"/>
  <c r="AS24" i="2" a="1"/>
  <c r="BG11" i="2" a="1"/>
  <c r="AT28" i="2" a="1"/>
  <c r="AS59" i="2" a="1"/>
  <c r="AT20" i="2" a="1"/>
  <c r="BB30" i="2" a="1"/>
  <c r="AT22" i="2" a="1"/>
  <c r="AV71" i="2" a="1"/>
  <c r="BF74" i="2" a="1"/>
  <c r="AU61" i="2" a="1"/>
  <c r="BG61" i="2" a="1"/>
  <c r="BH78" i="2" a="1"/>
  <c r="BC79" i="2" a="1"/>
  <c r="AY79" i="2" a="1"/>
  <c r="AW73" i="2" a="1"/>
  <c r="AX66" i="2" a="1"/>
  <c r="AX70" i="2" a="1"/>
  <c r="AU36" i="2" a="1"/>
  <c r="BE54" i="2" a="1"/>
  <c r="BE69" i="2" a="1"/>
  <c r="AU72" i="2" a="1"/>
  <c r="AV40" i="2" a="1"/>
  <c r="AX45" i="2" a="1"/>
  <c r="BE51" i="2" a="1"/>
  <c r="BA55" i="2" a="1"/>
  <c r="BC62" i="2" a="1"/>
  <c r="AV45" i="2" a="1"/>
  <c r="AZ72" i="2" a="1"/>
  <c r="BB68" i="2" a="1"/>
  <c r="AW35" i="2" a="1"/>
  <c r="AV80" i="2" a="1"/>
  <c r="BC61" i="2" a="1"/>
  <c r="BF72" i="2" a="1"/>
  <c r="BE55" i="2" a="1"/>
  <c r="BG21" i="2" a="1"/>
  <c r="AT62" i="2" a="1"/>
  <c r="BG47" i="2" a="1"/>
  <c r="BD32" i="2" a="1"/>
  <c r="BE11" i="2" a="1"/>
  <c r="AU39" i="2" a="1"/>
  <c r="AT16" i="2" a="1"/>
  <c r="AW24" i="2" a="1"/>
  <c r="BF16" i="2" a="1"/>
  <c r="BA26" i="2" a="1"/>
  <c r="AV37" i="2" a="1"/>
  <c r="BG58" i="2" a="1"/>
  <c r="BE13" i="2" a="1"/>
  <c r="BC23" i="2" a="1"/>
  <c r="BH74" i="2" a="1"/>
  <c r="BH58" i="2" a="1"/>
  <c r="BC35" i="2" a="1"/>
  <c r="AW29" i="2" a="1"/>
  <c r="AS34" i="2" a="1"/>
  <c r="AU63" i="2" a="1"/>
  <c r="AW13" i="2" a="1"/>
  <c r="AT24" i="2" a="1"/>
  <c r="BH30" i="2" a="1"/>
  <c r="AS46" i="2" a="1"/>
  <c r="AX64" i="2" a="1"/>
  <c r="BG28" i="2" a="1"/>
  <c r="BA12" i="2" a="1"/>
  <c r="AV39" i="2" a="1"/>
  <c r="BH42" i="2" a="1"/>
  <c r="AU23" i="2" a="1"/>
  <c r="AS52" i="2" a="1"/>
  <c r="AS33" i="2" a="1"/>
  <c r="BA19" i="2" a="1"/>
  <c r="BH11" i="2" a="1"/>
  <c r="BA11" i="2" a="1"/>
  <c r="AZ37" i="2" a="1"/>
  <c r="AY50" i="2" a="1"/>
  <c r="BA41" i="2" a="1"/>
  <c r="AZ40" i="2" a="1"/>
  <c r="BD24" i="2" a="1"/>
  <c r="AY32" i="2" a="1"/>
  <c r="AY31" i="2" a="1"/>
  <c r="AT46" i="2" a="1"/>
  <c r="AX26" i="2" a="1"/>
  <c r="AW30" i="2" a="1"/>
  <c r="BE18" i="2" a="1"/>
  <c r="BH15" i="2" a="1"/>
  <c r="BB34" i="2" a="1"/>
  <c r="AY70" i="2" a="1"/>
  <c r="AV74" i="2" a="1"/>
  <c r="BD60" i="2" a="1"/>
  <c r="AW58" i="2" a="1"/>
  <c r="AS78" i="2" a="1"/>
  <c r="BG78" i="2" a="1"/>
  <c r="AT77" i="2" a="1"/>
  <c r="AZ70" i="2" a="1"/>
  <c r="AS65" i="2" a="1"/>
  <c r="AY68" i="2" a="1"/>
  <c r="BG35" i="2" a="1"/>
  <c r="BB53" i="2" a="1"/>
  <c r="BD67" i="2" a="1"/>
  <c r="BD71" i="2" a="1"/>
  <c r="AX39" i="2" a="1"/>
  <c r="BA43" i="2" a="1"/>
  <c r="BB50" i="2" a="1"/>
  <c r="BF52" i="2" a="1"/>
  <c r="BD61" i="2" a="1"/>
  <c r="AW43" i="2" a="1"/>
  <c r="BC68" i="2" a="1"/>
  <c r="AW61" i="2" a="1"/>
  <c r="BG33" i="2" a="1"/>
  <c r="BE25" i="2" a="1"/>
  <c r="AX54" i="2" a="1"/>
  <c r="BF29" i="2" a="1"/>
  <c r="BD49" i="2" a="1"/>
  <c r="AV42" i="2" a="1"/>
  <c r="AT42" i="2" a="1"/>
  <c r="AX24" i="2" a="1"/>
  <c r="BE43" i="2" a="1"/>
  <c r="AX40" i="2" a="1"/>
  <c r="BG34" i="2" a="1"/>
  <c r="AY36" i="2" a="1"/>
  <c r="AX17" i="2" a="1"/>
  <c r="BH14" i="2" a="1"/>
  <c r="BG19" i="2" a="1"/>
  <c r="BB24" i="2" a="1"/>
  <c r="AY26" i="2" a="1"/>
  <c r="BB69" i="2" a="1"/>
  <c r="AY73" i="2" a="1"/>
  <c r="AZ59" i="2" a="1"/>
  <c r="AU57" i="2" a="1"/>
  <c r="BG75" i="2" a="1"/>
  <c r="BB76" i="2" a="1"/>
  <c r="AX76" i="2" a="1"/>
  <c r="BG69" i="2" a="1"/>
  <c r="BB64" i="2" a="1"/>
  <c r="AZ62" i="2" a="1"/>
  <c r="AX34" i="2" a="1"/>
  <c r="BA52" i="2" a="1"/>
  <c r="AU66" i="2" a="1"/>
  <c r="BD69" i="2" a="1"/>
  <c r="AW78" i="2" a="1"/>
  <c r="BD41" i="2" a="1"/>
  <c r="AW47" i="2" a="1"/>
  <c r="BA49" i="2" a="1"/>
  <c r="BG60" i="2" a="1"/>
  <c r="BB39" i="2" a="1"/>
  <c r="AU67" i="2" a="1"/>
  <c r="BF60" i="2" a="1"/>
  <c r="AV33" i="2" a="1"/>
  <c r="BF70" i="2" a="1"/>
  <c r="BH56" i="2" a="1"/>
  <c r="BG66" i="2" a="1"/>
  <c r="AZ51" i="2" a="1"/>
  <c r="BB66" i="2" a="1"/>
  <c r="AV66" i="2" a="1"/>
  <c r="BE42" i="2" a="1"/>
  <c r="BF81" i="2" a="1"/>
  <c r="BE68" i="2" a="1"/>
  <c r="BB72" i="2" a="1"/>
  <c r="AX58" i="2" a="1"/>
  <c r="BE56" i="2" a="1"/>
  <c r="AX74" i="2" a="1"/>
  <c r="BF75" i="2" a="1"/>
  <c r="BD72" i="2" a="1"/>
  <c r="AZ68" i="2" a="1"/>
  <c r="AW63" i="2" a="1"/>
  <c r="AZ61" i="2" a="1"/>
  <c r="BA32" i="2" a="1"/>
  <c r="BA78" i="2" a="1"/>
  <c r="BD65" i="2" a="1"/>
  <c r="AT68" i="2" a="1"/>
  <c r="BC74" i="2" a="1"/>
  <c r="AS41" i="2" a="1"/>
  <c r="AV46" i="2" a="1"/>
  <c r="AX48" i="2" a="1"/>
  <c r="AZ58" i="2" a="1"/>
  <c r="AY38" i="2" a="1"/>
  <c r="BB56" i="2" a="1"/>
  <c r="BA58" i="2" a="1"/>
  <c r="BG32" i="2" a="1"/>
  <c r="BG63" i="2" a="1"/>
  <c r="AV52" i="2" a="1"/>
  <c r="BH63" i="2" a="1"/>
  <c r="BG49" i="2" a="1"/>
  <c r="AV62" i="2" a="1"/>
  <c r="AT56" i="2" a="1"/>
  <c r="AU40" i="2" a="1"/>
  <c r="BE28" i="2" a="1"/>
  <c r="BA33" i="2" a="1"/>
  <c r="AU33" i="2" a="1"/>
  <c r="AY60" i="2" a="1"/>
  <c r="AV59" i="2" a="1"/>
  <c r="BG12" i="2" a="1"/>
  <c r="BB20" i="2" a="1"/>
  <c r="AS30" i="2" a="1"/>
  <c r="AZ45" i="2" a="1"/>
  <c r="AS53" i="2" a="1"/>
  <c r="AS26" i="2" a="1"/>
  <c r="AU73" i="2" a="1"/>
  <c r="AZ42" i="2" a="1"/>
  <c r="BA37" i="2" a="1"/>
  <c r="AT38" i="2" a="1"/>
  <c r="BF39" i="2" a="1"/>
  <c r="AZ31" i="2" a="1"/>
  <c r="BB23" i="2" a="1"/>
  <c r="BC16" i="2" a="1"/>
  <c r="BD16" i="2" a="1"/>
  <c r="BC22" i="2" a="1"/>
  <c r="AT47" i="2" a="1"/>
  <c r="AV81" i="2" a="1"/>
  <c r="AU68" i="2" a="1"/>
  <c r="BE71" i="2" a="1"/>
  <c r="BG57" i="2" a="1"/>
  <c r="BB55" i="2" a="1"/>
  <c r="BC73" i="2" a="1"/>
  <c r="BB73" i="2" a="1"/>
  <c r="AT71" i="2" a="1"/>
  <c r="BF67" i="2" a="1"/>
  <c r="BE62" i="2" a="1"/>
  <c r="BB60" i="2" a="1"/>
  <c r="BB81" i="2" a="1"/>
  <c r="AT76" i="2" a="1"/>
  <c r="AY64" i="2" a="1"/>
  <c r="AT66" i="2" a="1"/>
  <c r="AT81" i="2" a="1"/>
  <c r="BE40" i="2" a="1"/>
  <c r="BH45" i="2" a="1"/>
  <c r="BG79" i="2" a="1"/>
  <c r="AW79" i="2" a="1"/>
  <c r="AX36" i="2" a="1"/>
  <c r="BH53" i="2" a="1"/>
  <c r="BA56" i="2" a="1"/>
  <c r="AV32" i="2" a="1"/>
  <c r="AW60" i="2" a="1"/>
  <c r="BF47" i="2" a="1"/>
  <c r="AS60" i="2" a="1"/>
  <c r="BC48" i="2" a="1"/>
  <c r="AV56" i="2" a="1"/>
  <c r="AZ55" i="2" a="1"/>
  <c r="BE38" i="2" a="1"/>
  <c r="AX27" i="2" a="1"/>
  <c r="AT31" i="2" a="1"/>
  <c r="BC31" i="2" a="1"/>
  <c r="BH57" i="2" a="1"/>
  <c r="BD57" i="2" a="1"/>
  <c r="AS11" i="2" a="1"/>
  <c r="AY17" i="2" a="1"/>
  <c r="AV28" i="2" a="1"/>
  <c r="AS42" i="2" a="1"/>
  <c r="AY45" i="2" a="1"/>
  <c r="BE23" i="2" a="1"/>
  <c r="BH59" i="2" a="1"/>
  <c r="AV41" i="2" a="1"/>
  <c r="BE36" i="2" a="1"/>
  <c r="AW37" i="2" a="1"/>
  <c r="BH24" i="2" a="1"/>
  <c r="BF30" i="2" a="1"/>
  <c r="BH22" i="2" a="1"/>
  <c r="BA50" i="2" a="1"/>
  <c r="BH12" i="2" a="1"/>
  <c r="BB21" i="2" a="1"/>
  <c r="AY43" i="2" a="1"/>
  <c r="BB62" i="2" a="1"/>
  <c r="AU46" i="2" a="1"/>
  <c r="AT60" i="2" a="1"/>
  <c r="AU20" i="2" a="1"/>
  <c r="BA77" i="2" a="1"/>
  <c r="BD77" i="2" a="1"/>
  <c r="AX35" i="2" a="1"/>
  <c r="BD51" i="2" a="1"/>
  <c r="AU55" i="2" a="1"/>
  <c r="BH31" i="2" a="1"/>
  <c r="BF59" i="2" a="1"/>
  <c r="AZ43" i="2" a="1"/>
  <c r="BA47" i="2" a="1"/>
  <c r="AX30" i="2" a="1"/>
  <c r="BC36" i="2" a="1"/>
  <c r="AU21" i="2" a="1"/>
  <c r="BH39" i="2" a="1"/>
  <c r="BF40" i="2" a="1"/>
  <c r="AY12" i="2" a="1"/>
  <c r="BE20" i="2" a="1"/>
  <c r="AZ19" i="2" a="1"/>
  <c r="BF13" i="2" a="1"/>
  <c r="BG30" i="2" a="1"/>
  <c r="BG31" i="2" a="1"/>
  <c r="AY80" i="2" a="1"/>
  <c r="BH67" i="2" a="1"/>
  <c r="AU71" i="2" a="1"/>
  <c r="AS56" i="2" a="1"/>
  <c r="BD54" i="2" a="1"/>
  <c r="AX71" i="2" a="1"/>
  <c r="BG72" i="2" a="1"/>
  <c r="BA70" i="2" a="1"/>
  <c r="AS67" i="2" a="1"/>
  <c r="AT59" i="2" a="1"/>
  <c r="BE59" i="2" a="1"/>
  <c r="AU79" i="2" a="1"/>
  <c r="AW70" i="2" a="1"/>
  <c r="AU62" i="2" a="1"/>
  <c r="AV63" i="2" a="1"/>
  <c r="BC80" i="2" a="1"/>
  <c r="BG39" i="2" a="1"/>
  <c r="AY44" i="2" a="1"/>
  <c r="BE72" i="2" a="1"/>
  <c r="BB33" i="2" a="1"/>
  <c r="AZ28" i="2" a="1"/>
  <c r="AS38" i="2" a="1"/>
  <c r="BB79" i="2" a="1"/>
  <c r="AX67" i="2" a="1"/>
  <c r="BH81" i="2" a="1"/>
  <c r="BD79" i="2" a="1"/>
  <c r="AT54" i="2" a="1"/>
  <c r="AX69" i="2" a="1"/>
  <c r="BD70" i="2" a="1"/>
  <c r="BH69" i="2" a="1"/>
  <c r="AY66" i="2" a="1"/>
  <c r="BB57" i="2" a="1"/>
  <c r="AY57" i="2" a="1"/>
  <c r="BC78" i="2" a="1"/>
  <c r="AW68" i="2" a="1"/>
  <c r="AV61" i="2" a="1"/>
  <c r="AX60" i="2" a="1"/>
  <c r="AV78" i="2" a="1"/>
  <c r="AX38" i="2" a="1"/>
  <c r="BB42" i="2" a="1"/>
  <c r="AZ69" i="2" a="1"/>
  <c r="AV67" i="2" a="1"/>
  <c r="AW33" i="2" a="1"/>
  <c r="AS48" i="2" a="1"/>
  <c r="BF53" i="2" a="1"/>
  <c r="AY30" i="2" a="1"/>
  <c r="AS58" i="2" a="1"/>
  <c r="BA42" i="2" a="1"/>
  <c r="BH55" i="2" a="1"/>
  <c r="AZ38" i="2" a="1"/>
  <c r="BA53" i="2" a="1"/>
  <c r="BC49" i="2" a="1"/>
  <c r="BG36" i="2" a="1"/>
  <c r="BD25" i="2" a="1"/>
  <c r="AX22" i="2" a="1"/>
  <c r="AS29" i="2" a="1"/>
  <c r="AW54" i="2" a="1"/>
  <c r="AV49" i="2" a="1"/>
  <c r="BE65" i="2" a="1"/>
  <c r="BC15" i="2" a="1"/>
  <c r="BB22" i="2" a="1"/>
  <c r="BB38" i="2" a="1"/>
  <c r="AY35" i="2" a="1"/>
  <c r="AX18" i="2" a="1"/>
  <c r="AV38" i="2" a="1"/>
  <c r="AT52" i="2" a="1"/>
  <c r="AY29" i="2" a="1"/>
  <c r="BE19" i="2" a="1"/>
  <c r="AZ48" i="2" a="1"/>
  <c r="AY34" i="2" a="1"/>
  <c r="BE78" i="2" a="1"/>
  <c r="BA66" i="2" a="1"/>
  <c r="AS81" i="2" a="1"/>
  <c r="AY77" i="2" a="1"/>
  <c r="BG53" i="2" a="1"/>
  <c r="BD68" i="2" a="1"/>
  <c r="BC66" i="2" a="1"/>
  <c r="AU69" i="2" a="1"/>
  <c r="BF65" i="2" a="1"/>
  <c r="BH79" i="2" a="1"/>
  <c r="BC56" i="2" a="1"/>
  <c r="AU76" i="2" a="1"/>
  <c r="AZ63" i="2" a="1"/>
  <c r="BF58" i="2" a="1"/>
  <c r="BA59" i="2" a="1"/>
  <c r="BH73" i="2" a="1"/>
  <c r="BB80" i="2" a="1"/>
  <c r="BC41" i="2" a="1"/>
  <c r="BH66" i="2" a="1"/>
  <c r="AS66" i="2" a="1"/>
  <c r="BH32" i="2" a="1"/>
  <c r="BC44" i="2" a="1"/>
  <c r="BE52" i="2" a="1"/>
  <c r="BA29" i="2" a="1"/>
  <c r="AU56" i="2" a="1"/>
  <c r="BE41" i="2" a="1"/>
  <c r="BD53" i="2" a="1"/>
  <c r="BG37" i="2" a="1"/>
  <c r="BA48" i="2" a="1"/>
  <c r="AY46" i="2" a="1"/>
  <c r="AT36" i="2" a="1"/>
  <c r="BA23" i="2" a="1"/>
  <c r="BH21" i="2" a="1"/>
  <c r="AY28" i="2" a="1"/>
  <c r="BH50" i="2" a="1"/>
  <c r="AW48" i="2" a="1"/>
  <c r="AU59" i="2" a="1"/>
  <c r="AU12" i="2" a="1"/>
  <c r="AT21" i="2" a="1"/>
  <c r="BD36" i="2" a="1"/>
  <c r="AT34" i="2" a="1"/>
  <c r="AZ16" i="2" a="1"/>
  <c r="AU35" i="2" a="1"/>
  <c r="BD33" i="2" a="1"/>
  <c r="AZ26" i="2" a="1"/>
  <c r="AW23" i="2" a="1"/>
  <c r="AU11" i="2" a="1"/>
  <c r="BD21" i="2" a="1"/>
  <c r="BA18" i="2" a="1"/>
  <c r="AU14" i="2" a="1"/>
  <c r="BG26" i="2" a="1"/>
  <c r="BF41" i="2" a="1"/>
  <c r="AT25" i="2" a="1"/>
  <c r="BE29" i="2" a="1"/>
  <c r="AU28" i="2" a="1"/>
  <c r="BB14" i="2" a="1"/>
  <c r="BH38" i="2" a="1"/>
  <c r="BA28" i="2" a="1"/>
  <c r="BF21" i="2" a="1"/>
  <c r="BA45" i="2" a="1"/>
  <c r="BF25" i="2" a="1"/>
  <c r="AS23" i="2" a="1"/>
  <c r="AW27" i="2" a="1"/>
  <c r="AX11" i="2" a="1"/>
  <c r="AW15" i="2" a="1"/>
  <c r="AS43" i="2" a="1"/>
  <c r="AW20" i="2" a="1"/>
  <c r="AV18" i="2" a="1"/>
  <c r="AZ25" i="2" a="1"/>
  <c r="AX23" i="2" a="1"/>
  <c r="BB17" i="2" a="1"/>
  <c r="BF33" i="2" a="1"/>
  <c r="AW45" i="2" a="1"/>
  <c r="AV13" i="2" a="1"/>
  <c r="AX13" i="2" a="1"/>
  <c r="BE22" i="2" a="1"/>
  <c r="AZ22" i="2" a="1"/>
  <c r="AZ21" i="2" a="1"/>
  <c r="AZ20" i="2" a="1"/>
  <c r="AY75" i="2" a="1"/>
  <c r="AY33" i="2" a="1"/>
  <c r="AY41" i="2" a="1"/>
  <c r="AW16" i="2" a="1"/>
  <c r="AW40" i="2" a="1"/>
  <c r="BC24" i="2" a="1"/>
  <c r="BB32" i="2" a="1"/>
  <c r="AU78" i="2" a="1"/>
  <c r="BE81" i="2" a="1"/>
  <c r="AZ80" i="2" a="1"/>
  <c r="BC76" i="2" a="1"/>
  <c r="AW53" i="2" a="1"/>
  <c r="AW67" i="2" a="1"/>
  <c r="AX65" i="2" a="1"/>
  <c r="BA68" i="2" a="1"/>
  <c r="AX63" i="2" a="1"/>
  <c r="AT79" i="2" a="1"/>
  <c r="AV55" i="2" a="1"/>
  <c r="AZ75" i="2" a="1"/>
  <c r="AX61" i="2" a="1"/>
  <c r="AV57" i="2" a="1"/>
  <c r="BE58" i="2" a="1"/>
  <c r="BB71" i="2" a="1"/>
  <c r="BH76" i="2" a="1"/>
  <c r="BA80" i="2" a="1"/>
  <c r="AZ65" i="2" a="1"/>
  <c r="BH60" i="2" a="1"/>
  <c r="AW32" i="2" a="1"/>
  <c r="AW41" i="2" a="1"/>
  <c r="BB51" i="2" a="1"/>
  <c r="BB28" i="2" a="1"/>
  <c r="AY52" i="2" a="1"/>
  <c r="AW39" i="2" a="1"/>
  <c r="BA51" i="2" a="1"/>
  <c r="AT37" i="2" a="1"/>
  <c r="AZ46" i="2" a="1"/>
  <c r="BF44" i="2" a="1"/>
  <c r="AV34" i="2" a="1"/>
  <c r="AW21" i="2" a="1"/>
  <c r="AV20" i="2" a="1"/>
  <c r="BG27" i="2" a="1"/>
  <c r="AU48" i="2" a="1"/>
  <c r="AZ47" i="2" a="1"/>
  <c r="BA57" i="2" a="1"/>
  <c r="BD11" i="2" a="1"/>
  <c r="AV17" i="2" a="1"/>
  <c r="BF32" i="2" a="1"/>
  <c r="BG29" i="2" a="1"/>
  <c r="BE14" i="2" a="1"/>
  <c r="BE34" i="2" a="1"/>
  <c r="AS25" i="2" a="1"/>
  <c r="AX12" i="2" a="1"/>
  <c r="AS15" i="2" a="1"/>
  <c r="AW11" i="2" a="1"/>
  <c r="BC27" i="2" a="1"/>
  <c r="BC40" i="2" a="1"/>
  <c r="BB45" i="2" a="1"/>
  <c r="BF42" i="2" a="1"/>
  <c r="AY51" i="2" a="1"/>
  <c r="AV76" i="2" a="1"/>
  <c r="AW14" i="2" a="1"/>
  <c r="BE30" i="2" a="1"/>
  <c r="AX25" i="2" a="1"/>
  <c r="BC13" i="2" a="1"/>
  <c r="AY27" i="2" a="1"/>
  <c r="AS22" i="2" a="1"/>
  <c r="BA14" i="2" a="1"/>
  <c r="AX37" i="2" a="1"/>
  <c r="AX49" i="2" a="1"/>
  <c r="BD48" i="2" a="1"/>
  <c r="BE73" i="2" a="1"/>
  <c r="G35" i="3" l="1"/>
  <c r="H35" i="3"/>
  <c r="R35" i="3"/>
  <c r="AE35" i="3"/>
  <c r="F36" i="3"/>
  <c r="P36" i="3"/>
  <c r="AC36" i="3"/>
  <c r="AC37" i="3" s="1"/>
  <c r="Q9" i="3"/>
  <c r="AD35" i="3"/>
  <c r="AE8" i="3"/>
  <c r="AF8" i="3"/>
  <c r="AF9" i="3"/>
  <c r="I35" i="3"/>
  <c r="V35" i="3"/>
  <c r="AD36" i="3"/>
  <c r="J8" i="3"/>
  <c r="J10" i="3" s="1"/>
  <c r="AG35" i="3"/>
  <c r="G9" i="3"/>
  <c r="Q35" i="3"/>
  <c r="O36" i="3"/>
  <c r="R9" i="3"/>
  <c r="V9" i="3"/>
  <c r="W8" i="3"/>
  <c r="J9" i="3"/>
  <c r="W9" i="3"/>
  <c r="J35" i="3"/>
  <c r="W35" i="3"/>
  <c r="H36" i="3"/>
  <c r="H37" i="3" s="1"/>
  <c r="R36" i="3"/>
  <c r="R37" i="3" s="1"/>
  <c r="AE36" i="3"/>
  <c r="G8" i="3"/>
  <c r="Q8" i="3"/>
  <c r="AD9" i="3"/>
  <c r="E36" i="3"/>
  <c r="R8" i="3"/>
  <c r="R10" i="3" s="1"/>
  <c r="AE9" i="3"/>
  <c r="AE10" i="3" s="1"/>
  <c r="AF35" i="3"/>
  <c r="AI8" i="3"/>
  <c r="K8" i="3"/>
  <c r="X8" i="3"/>
  <c r="AJ8" i="3"/>
  <c r="K9" i="3"/>
  <c r="X9" i="3"/>
  <c r="AH9" i="3"/>
  <c r="K35" i="3"/>
  <c r="X35" i="3"/>
  <c r="AH35" i="3"/>
  <c r="AH37" i="3" s="1"/>
  <c r="V36" i="3"/>
  <c r="AF36" i="3"/>
  <c r="AD8" i="3"/>
  <c r="AB36" i="3"/>
  <c r="H8" i="3"/>
  <c r="I8" i="3"/>
  <c r="I9" i="3"/>
  <c r="Q36" i="3"/>
  <c r="AG9" i="3"/>
  <c r="AG10" i="3" s="1"/>
  <c r="I36" i="3"/>
  <c r="H9" i="3"/>
  <c r="V8" i="3"/>
  <c r="V10" i="3" s="1"/>
  <c r="G36" i="3"/>
  <c r="G37" i="3" s="1"/>
  <c r="L8" i="3"/>
  <c r="Y8" i="3"/>
  <c r="AK8" i="3"/>
  <c r="L9" i="3"/>
  <c r="L10" i="3" s="1"/>
  <c r="Y9" i="3"/>
  <c r="Y10" i="3" s="1"/>
  <c r="AI9" i="3"/>
  <c r="L35" i="3"/>
  <c r="Y35" i="3"/>
  <c r="AI35" i="3"/>
  <c r="J36" i="3"/>
  <c r="W36" i="3"/>
  <c r="AG36" i="3"/>
  <c r="Z35" i="3"/>
  <c r="C35" i="3"/>
  <c r="C37" i="3" s="1"/>
  <c r="AJ9" i="3"/>
  <c r="AJ10" i="3" s="1"/>
  <c r="Z8" i="3"/>
  <c r="M35" i="3"/>
  <c r="M37" i="3" s="1"/>
  <c r="K36" i="3"/>
  <c r="N8" i="3"/>
  <c r="Y36" i="3"/>
  <c r="AH36" i="3"/>
  <c r="AK9" i="3"/>
  <c r="D35" i="3"/>
  <c r="AA35" i="3"/>
  <c r="L36" i="3"/>
  <c r="AB9" i="3"/>
  <c r="AJ36" i="3"/>
  <c r="M9" i="3"/>
  <c r="M10" i="3" s="1"/>
  <c r="AJ35" i="3"/>
  <c r="AA8" i="3"/>
  <c r="N9" i="3"/>
  <c r="AK35" i="3"/>
  <c r="E8" i="3"/>
  <c r="O8" i="3"/>
  <c r="AB8" i="3"/>
  <c r="E9" i="3"/>
  <c r="E10" i="3" s="1"/>
  <c r="O9" i="3"/>
  <c r="E35" i="3"/>
  <c r="O35" i="3"/>
  <c r="AB35" i="3"/>
  <c r="C36" i="3"/>
  <c r="M36" i="3"/>
  <c r="Z36" i="3"/>
  <c r="M8" i="3"/>
  <c r="C9" i="3"/>
  <c r="Z9" i="3"/>
  <c r="X36" i="3"/>
  <c r="D8" i="3"/>
  <c r="D9" i="3"/>
  <c r="AA9" i="3"/>
  <c r="N35" i="3"/>
  <c r="AI36" i="3"/>
  <c r="F8" i="3"/>
  <c r="P8" i="3"/>
  <c r="AC8" i="3"/>
  <c r="F9" i="3"/>
  <c r="F10" i="3" s="1"/>
  <c r="P9" i="3"/>
  <c r="AC9" i="3"/>
  <c r="F35" i="3"/>
  <c r="P35" i="3"/>
  <c r="AC35" i="3"/>
  <c r="D36" i="3"/>
  <c r="N36" i="3"/>
  <c r="AA36" i="3"/>
  <c r="AK36" i="3"/>
  <c r="C8" i="3"/>
  <c r="AH8" i="3"/>
  <c r="AG8" i="3"/>
  <c r="AV10" i="3"/>
  <c r="AA10" i="3"/>
  <c r="AW51" i="2"/>
  <c r="BA46" i="2"/>
  <c r="BH51" i="2"/>
  <c r="AQ51" i="2" s="1" a="1"/>
  <c r="AQ51" i="2" s="1"/>
  <c r="AV29" i="2"/>
  <c r="BD46" i="2"/>
  <c r="AU29" i="2"/>
  <c r="BB34" i="2"/>
  <c r="BF46" i="2"/>
  <c r="BG17" i="2"/>
  <c r="AP17" i="2" s="1" a="1"/>
  <c r="BC11" i="2"/>
  <c r="AW15" i="2"/>
  <c r="BH38" i="2"/>
  <c r="AQ38" i="2" s="1" a="1"/>
  <c r="AY29" i="2"/>
  <c r="AZ18" i="2"/>
  <c r="AU20" i="2"/>
  <c r="BA11" i="2"/>
  <c r="BA19" i="2"/>
  <c r="BC35" i="2"/>
  <c r="AS74" i="2"/>
  <c r="AZ29" i="2"/>
  <c r="AX14" i="2"/>
  <c r="AY20" i="2"/>
  <c r="AV12" i="2"/>
  <c r="AU27" i="2"/>
  <c r="AX44" i="2"/>
  <c r="AV15" i="2"/>
  <c r="BG31" i="2"/>
  <c r="AP31" i="2" s="1" a="1"/>
  <c r="AT29" i="2"/>
  <c r="AZ20" i="2"/>
  <c r="AV30" i="2"/>
  <c r="BC40" i="2"/>
  <c r="BB14" i="2"/>
  <c r="AW30" i="2"/>
  <c r="BF40" i="2"/>
  <c r="AT60" i="2"/>
  <c r="AT28" i="2"/>
  <c r="AS33" i="2"/>
  <c r="BC54" i="2"/>
  <c r="BA34" i="2"/>
  <c r="BF18" i="2"/>
  <c r="AT19" i="2"/>
  <c r="BA30" i="2"/>
  <c r="AT30" i="2"/>
  <c r="AY11" i="2"/>
  <c r="AZ11" i="2"/>
  <c r="AY19" i="2"/>
  <c r="AY34" i="2"/>
  <c r="AT15" i="2"/>
  <c r="BA14" i="2"/>
  <c r="BH68" i="2"/>
  <c r="AQ68" i="2" s="1" a="1"/>
  <c r="AX11" i="2"/>
  <c r="AU28" i="2"/>
  <c r="AZ19" i="2"/>
  <c r="AY31" i="2"/>
  <c r="AU46" i="2"/>
  <c r="BG19" i="2"/>
  <c r="AP19" i="2" s="1" a="1"/>
  <c r="BG11" i="2"/>
  <c r="AW12" i="2"/>
  <c r="AX15" i="2"/>
  <c r="BA20" i="2"/>
  <c r="AV26" i="2"/>
  <c r="AV27" i="2"/>
  <c r="BD28" i="2"/>
  <c r="AT33" i="2"/>
  <c r="AS49" i="2"/>
  <c r="BF54" i="2"/>
  <c r="BG14" i="2"/>
  <c r="AP14" i="2" s="1" a="1"/>
  <c r="AP14" i="2" s="1"/>
  <c r="AU16" i="2"/>
  <c r="AX21" i="2"/>
  <c r="AW26" i="2"/>
  <c r="AW27" i="2"/>
  <c r="BE29" i="2"/>
  <c r="BC37" i="2"/>
  <c r="AT49" i="2"/>
  <c r="BB62" i="2"/>
  <c r="BH11" i="2"/>
  <c r="BH14" i="2"/>
  <c r="AQ14" i="2" s="1" a="1"/>
  <c r="AQ14" i="2" s="1"/>
  <c r="AX33" i="2"/>
  <c r="BB12" i="2"/>
  <c r="AZ15" i="2"/>
  <c r="BC20" i="2"/>
  <c r="BA27" i="2"/>
  <c r="BF28" i="2"/>
  <c r="BF37" i="2"/>
  <c r="BB41" i="2"/>
  <c r="AT45" i="2"/>
  <c r="BH54" i="2"/>
  <c r="AQ54" i="2" s="1" a="1"/>
  <c r="AV16" i="2"/>
  <c r="AZ21" i="2"/>
  <c r="AY22" i="2"/>
  <c r="AS23" i="2"/>
  <c r="AT25" i="2"/>
  <c r="AX26" i="2"/>
  <c r="BH39" i="2"/>
  <c r="AQ39" i="2" s="1" a="1"/>
  <c r="AY43" i="2"/>
  <c r="AT47" i="2"/>
  <c r="AS52" i="2"/>
  <c r="BH58" i="2"/>
  <c r="AQ58" i="2" s="1" a="1"/>
  <c r="AQ58" i="2" s="1"/>
  <c r="BC69" i="2"/>
  <c r="BD12" i="2"/>
  <c r="AM12" i="2" s="1" a="1"/>
  <c r="BC26" i="2"/>
  <c r="BC43" i="2"/>
  <c r="BE45" i="2"/>
  <c r="BD47" i="2"/>
  <c r="AT13" i="2"/>
  <c r="BG15" i="2"/>
  <c r="AP15" i="2" s="1" a="1"/>
  <c r="AX16" i="2"/>
  <c r="BA21" i="2"/>
  <c r="AZ22" i="2"/>
  <c r="AT23" i="2"/>
  <c r="BC27" i="2"/>
  <c r="BF41" i="2"/>
  <c r="AT52" i="2"/>
  <c r="AY16" i="2"/>
  <c r="BB21" i="2"/>
  <c r="BC22" i="2"/>
  <c r="AL22" i="2" s="1" a="1"/>
  <c r="AU23" i="2"/>
  <c r="AX24" i="2"/>
  <c r="BC25" i="2"/>
  <c r="BD26" i="2"/>
  <c r="BF27" i="2"/>
  <c r="AU32" i="2"/>
  <c r="BH41" i="2"/>
  <c r="AQ41" i="2" s="1" a="1"/>
  <c r="BG43" i="2"/>
  <c r="AP43" i="2" s="1" a="1"/>
  <c r="BH47" i="2"/>
  <c r="AQ47" i="2" s="1" a="1"/>
  <c r="AQ47" i="2" s="1"/>
  <c r="BF12" i="2"/>
  <c r="AO12" i="2" s="1" a="1"/>
  <c r="BH15" i="2"/>
  <c r="AQ15" i="2" s="1" a="1"/>
  <c r="AU17" i="2"/>
  <c r="BE22" i="2"/>
  <c r="AN22" i="2" s="1" a="1"/>
  <c r="AZ24" i="2"/>
  <c r="BF25" i="2"/>
  <c r="BG26" i="2"/>
  <c r="AP26" i="2" s="1" a="1"/>
  <c r="AP26" i="2" s="1"/>
  <c r="AS38" i="2"/>
  <c r="AY32" i="2"/>
  <c r="BH12" i="2"/>
  <c r="AQ12" i="2" s="1" a="1"/>
  <c r="BD16" i="2"/>
  <c r="AX17" i="2"/>
  <c r="AU18" i="2"/>
  <c r="BC23" i="2"/>
  <c r="AL23" i="2" s="1" a="1"/>
  <c r="AL23" i="2" s="1"/>
  <c r="AS35" i="2"/>
  <c r="AW38" i="2"/>
  <c r="AZ50" i="2"/>
  <c r="BC59" i="2"/>
  <c r="BH25" i="2"/>
  <c r="AQ25" i="2" s="1" a="1"/>
  <c r="AV31" i="2"/>
  <c r="AZ35" i="2"/>
  <c r="AU44" i="2"/>
  <c r="AT53" i="2"/>
  <c r="AX13" i="2"/>
  <c r="AV11" i="2"/>
  <c r="AW11" i="2"/>
  <c r="AU14" i="2"/>
  <c r="BD23" i="2"/>
  <c r="AM23" i="2" s="1" a="1"/>
  <c r="AM23" i="2" s="1"/>
  <c r="AS40" i="2"/>
  <c r="BA50" i="2"/>
  <c r="BC16" i="2"/>
  <c r="AY36" i="2"/>
  <c r="AZ13" i="2"/>
  <c r="BE16" i="2"/>
  <c r="AZ17" i="2"/>
  <c r="BA13" i="2"/>
  <c r="BG16" i="2"/>
  <c r="AP16" i="2" s="1" a="1"/>
  <c r="BE17" i="2"/>
  <c r="AW31" i="2"/>
  <c r="BB35" i="2"/>
  <c r="AW44" i="2"/>
  <c r="AZ48" i="2"/>
  <c r="BF11" i="2"/>
  <c r="AV13" i="2"/>
  <c r="BC14" i="2"/>
  <c r="AS15" i="2"/>
  <c r="BA18" i="2"/>
  <c r="BE20" i="2"/>
  <c r="AU21" i="2"/>
  <c r="BH22" i="2"/>
  <c r="AQ22" i="2" s="1" a="1"/>
  <c r="BB23" i="2"/>
  <c r="AK23" i="2" s="1" a="1"/>
  <c r="AK23" i="2" s="1"/>
  <c r="AS24" i="2"/>
  <c r="BB27" i="2"/>
  <c r="AW28" i="2"/>
  <c r="AV36" i="2"/>
  <c r="AT40" i="2"/>
  <c r="AW69" i="2"/>
  <c r="BA24" i="2"/>
  <c r="AU25" i="2"/>
  <c r="BH29" i="2"/>
  <c r="AQ29" i="2" s="1" a="1"/>
  <c r="AZ32" i="2"/>
  <c r="BE33" i="2"/>
  <c r="AZ39" i="2"/>
  <c r="AW45" i="2"/>
  <c r="BG50" i="2"/>
  <c r="AP50" i="2" s="1" a="1"/>
  <c r="AP50" i="2" s="1"/>
  <c r="AX12" i="2"/>
  <c r="BD21" i="2"/>
  <c r="AT22" i="2"/>
  <c r="BD24" i="2"/>
  <c r="BF30" i="2"/>
  <c r="AZ31" i="2"/>
  <c r="BG34" i="2"/>
  <c r="AP34" i="2" s="1" a="1"/>
  <c r="AP34" i="2" s="1"/>
  <c r="AT42" i="2"/>
  <c r="BE13" i="2"/>
  <c r="BB15" i="2"/>
  <c r="BA17" i="2"/>
  <c r="BB19" i="2"/>
  <c r="AS20" i="2"/>
  <c r="BE21" i="2"/>
  <c r="AU22" i="2"/>
  <c r="BE24" i="2"/>
  <c r="BG30" i="2"/>
  <c r="AP30" i="2" s="1" a="1"/>
  <c r="AP30" i="2" s="1"/>
  <c r="BB32" i="2"/>
  <c r="BF33" i="2"/>
  <c r="BE39" i="2"/>
  <c r="BA45" i="2"/>
  <c r="AU11" i="2"/>
  <c r="AY12" i="2"/>
  <c r="AT20" i="2"/>
  <c r="BH24" i="2"/>
  <c r="AQ24" i="2" s="1" a="1"/>
  <c r="BF39" i="2"/>
  <c r="BH42" i="2"/>
  <c r="AQ42" i="2" s="1" a="1"/>
  <c r="AQ42" i="2" s="1"/>
  <c r="BF66" i="2"/>
  <c r="BC32" i="2"/>
  <c r="AZ36" i="2"/>
  <c r="AT39" i="2"/>
  <c r="AZ44" i="2"/>
  <c r="BG45" i="2"/>
  <c r="AP45" i="2" s="1" a="1"/>
  <c r="AP45" i="2" s="1"/>
  <c r="AZ49" i="2"/>
  <c r="BB52" i="2"/>
  <c r="BG55" i="2"/>
  <c r="AP55" i="2" s="1" a="1"/>
  <c r="BF13" i="2"/>
  <c r="BD15" i="2"/>
  <c r="AM15" i="2" s="1" a="1"/>
  <c r="BB17" i="2"/>
  <c r="BB18" i="2"/>
  <c r="BF21" i="2"/>
  <c r="AW23" i="2"/>
  <c r="AZ28" i="2"/>
  <c r="BB33" i="2"/>
  <c r="AW37" i="2"/>
  <c r="AT38" i="2"/>
  <c r="AX40" i="2"/>
  <c r="AV42" i="2"/>
  <c r="BD43" i="2"/>
  <c r="BH52" i="2"/>
  <c r="AQ52" i="2" s="1" a="1"/>
  <c r="AQ52" i="2" s="1"/>
  <c r="AS61" i="2"/>
  <c r="AT12" i="2"/>
  <c r="BG13" i="2"/>
  <c r="AP13" i="2" s="1" a="1"/>
  <c r="BD14" i="2"/>
  <c r="BB16" i="2"/>
  <c r="BC18" i="2"/>
  <c r="BE19" i="2"/>
  <c r="BF20" i="2"/>
  <c r="AX23" i="2"/>
  <c r="BF24" i="2"/>
  <c r="AS25" i="2"/>
  <c r="AZ26" i="2"/>
  <c r="BB30" i="2"/>
  <c r="BC33" i="2"/>
  <c r="BE36" i="2"/>
  <c r="BA37" i="2"/>
  <c r="AV39" i="2"/>
  <c r="AY40" i="2"/>
  <c r="AT41" i="2"/>
  <c r="AX42" i="2"/>
  <c r="BH44" i="2"/>
  <c r="AQ44" i="2" s="1" a="1"/>
  <c r="AQ44" i="2" s="1"/>
  <c r="BA61" i="2"/>
  <c r="AS13" i="2"/>
  <c r="BH13" i="2"/>
  <c r="AQ13" i="2" s="1" a="1"/>
  <c r="BE15" i="2"/>
  <c r="AN15" i="2" s="1" a="1"/>
  <c r="BC17" i="2"/>
  <c r="BE18" i="2"/>
  <c r="BG20" i="2"/>
  <c r="AP20" i="2" s="1" a="1"/>
  <c r="AP20" i="2" s="1"/>
  <c r="AS22" i="2"/>
  <c r="BG24" i="2"/>
  <c r="AP24" i="2" s="1" a="1"/>
  <c r="BA28" i="2"/>
  <c r="BD33" i="2"/>
  <c r="AV38" i="2"/>
  <c r="AZ40" i="2"/>
  <c r="AV41" i="2"/>
  <c r="AZ42" i="2"/>
  <c r="BE43" i="2"/>
  <c r="BD49" i="2"/>
  <c r="AU54" i="2"/>
  <c r="AV58" i="2"/>
  <c r="BC70" i="2"/>
  <c r="AY13" i="2"/>
  <c r="AV14" i="2"/>
  <c r="AT18" i="2"/>
  <c r="AU19" i="2"/>
  <c r="BA22" i="2"/>
  <c r="AJ22" i="2" s="1" a="1"/>
  <c r="BH23" i="2"/>
  <c r="AQ23" i="2" s="1" a="1"/>
  <c r="AQ23" i="2" s="1"/>
  <c r="BA25" i="2"/>
  <c r="AY27" i="2"/>
  <c r="AS32" i="2"/>
  <c r="BE34" i="2"/>
  <c r="AU35" i="2"/>
  <c r="AT46" i="2"/>
  <c r="AU53" i="2"/>
  <c r="BH59" i="2"/>
  <c r="AQ59" i="2" s="1" a="1"/>
  <c r="AQ59" i="2" s="1"/>
  <c r="AU73" i="2"/>
  <c r="BA12" i="2"/>
  <c r="AU15" i="2"/>
  <c r="AT17" i="2"/>
  <c r="AV19" i="2"/>
  <c r="AY21" i="2"/>
  <c r="AV24" i="2"/>
  <c r="BB25" i="2"/>
  <c r="BC29" i="2"/>
  <c r="AS45" i="2"/>
  <c r="AU50" i="2"/>
  <c r="BG56" i="2"/>
  <c r="AP56" i="2" s="1" a="1"/>
  <c r="AZ12" i="2"/>
  <c r="BC13" i="2"/>
  <c r="AS14" i="2"/>
  <c r="BE14" i="2"/>
  <c r="AN14" i="2" s="1" a="1"/>
  <c r="AN14" i="2" s="1"/>
  <c r="AZ16" i="2"/>
  <c r="AX18" i="2"/>
  <c r="BC19" i="2"/>
  <c r="BE23" i="2"/>
  <c r="AN23" i="2" s="1" a="1"/>
  <c r="AN23" i="2" s="1"/>
  <c r="AS26" i="2"/>
  <c r="BG28" i="2"/>
  <c r="AP28" i="2" s="1" a="1"/>
  <c r="AP28" i="2" s="1"/>
  <c r="BF29" i="2"/>
  <c r="BD30" i="2"/>
  <c r="BB31" i="2"/>
  <c r="BH40" i="2"/>
  <c r="AQ40" i="2" s="1" a="1"/>
  <c r="BE44" i="2"/>
  <c r="AV54" i="2"/>
  <c r="AX55" i="2"/>
  <c r="AY58" i="2"/>
  <c r="AW64" i="2"/>
  <c r="AW22" i="2"/>
  <c r="BC24" i="2"/>
  <c r="AX25" i="2"/>
  <c r="BH27" i="2"/>
  <c r="AQ27" i="2" s="1" a="1"/>
  <c r="BG29" i="2"/>
  <c r="AP29" i="2" s="1" a="1"/>
  <c r="AT34" i="2"/>
  <c r="AY35" i="2"/>
  <c r="BC36" i="2"/>
  <c r="AY45" i="2"/>
  <c r="AS53" i="2"/>
  <c r="AX64" i="2"/>
  <c r="BD13" i="2"/>
  <c r="AT14" i="2"/>
  <c r="BF14" i="2"/>
  <c r="AO14" i="2" s="1" a="1"/>
  <c r="AO14" i="2" s="1"/>
  <c r="BA16" i="2"/>
  <c r="BF17" i="2"/>
  <c r="AY18" i="2"/>
  <c r="AX20" i="2"/>
  <c r="BC21" i="2"/>
  <c r="AY25" i="2"/>
  <c r="AU26" i="2"/>
  <c r="BH28" i="2"/>
  <c r="AQ28" i="2" s="1" a="1"/>
  <c r="AQ28" i="2" s="1"/>
  <c r="BE30" i="2"/>
  <c r="BD31" i="2"/>
  <c r="BF32" i="2"/>
  <c r="BD36" i="2"/>
  <c r="BB38" i="2"/>
  <c r="BA41" i="2"/>
  <c r="AS42" i="2"/>
  <c r="AZ45" i="2"/>
  <c r="AS46" i="2"/>
  <c r="AX54" i="2"/>
  <c r="BG58" i="2"/>
  <c r="AP58" i="2" s="1" a="1"/>
  <c r="AP58" i="2" s="1"/>
  <c r="BA62" i="2"/>
  <c r="AZ64" i="2"/>
  <c r="BC67" i="2"/>
  <c r="BA64" i="2"/>
  <c r="AW71" i="2"/>
  <c r="AS57" i="2"/>
  <c r="BB11" i="2"/>
  <c r="BE12" i="2"/>
  <c r="AN12" i="2" s="1" a="1"/>
  <c r="AU13" i="2"/>
  <c r="AW14" i="2"/>
  <c r="BA15" i="2"/>
  <c r="AV17" i="2"/>
  <c r="AT21" i="2"/>
  <c r="BB22" i="2"/>
  <c r="AK22" i="2" s="1" a="1"/>
  <c r="AY26" i="2"/>
  <c r="AV28" i="2"/>
  <c r="AS30" i="2"/>
  <c r="BH30" i="2"/>
  <c r="AQ30" i="2" s="1" a="1"/>
  <c r="AQ30" i="2" s="1"/>
  <c r="BD35" i="2"/>
  <c r="AV37" i="2"/>
  <c r="BG38" i="2"/>
  <c r="AP38" i="2" s="1" a="1"/>
  <c r="AY39" i="2"/>
  <c r="BG41" i="2"/>
  <c r="AP41" i="2" s="1" a="1"/>
  <c r="AW46" i="2"/>
  <c r="AS47" i="2"/>
  <c r="AU51" i="2"/>
  <c r="BG54" i="2"/>
  <c r="AP54" i="2" s="1" a="1"/>
  <c r="AW57" i="2"/>
  <c r="BH71" i="2"/>
  <c r="AQ71" i="2" s="1" a="1"/>
  <c r="AV76" i="2"/>
  <c r="AZ57" i="2"/>
  <c r="BD11" i="2"/>
  <c r="AU12" i="2"/>
  <c r="BC15" i="2"/>
  <c r="AS16" i="2"/>
  <c r="AY17" i="2"/>
  <c r="BB20" i="2"/>
  <c r="AT24" i="2"/>
  <c r="BE25" i="2"/>
  <c r="BA26" i="2"/>
  <c r="AX28" i="2"/>
  <c r="AX29" i="2"/>
  <c r="AS31" i="2"/>
  <c r="AT32" i="2"/>
  <c r="AZ33" i="2"/>
  <c r="BC34" i="2"/>
  <c r="BF35" i="2"/>
  <c r="BD39" i="2"/>
  <c r="AV48" i="2"/>
  <c r="AY51" i="2"/>
  <c r="BC52" i="2"/>
  <c r="BA57" i="2"/>
  <c r="AU59" i="2"/>
  <c r="BE65" i="2"/>
  <c r="BE72" i="2"/>
  <c r="AS11" i="2"/>
  <c r="BG12" i="2"/>
  <c r="AP12" i="2" s="1" a="1"/>
  <c r="AW13" i="2"/>
  <c r="AY14" i="2"/>
  <c r="BF16" i="2"/>
  <c r="AX19" i="2"/>
  <c r="AV21" i="2"/>
  <c r="BD22" i="2"/>
  <c r="AM22" i="2" s="1" a="1"/>
  <c r="AY23" i="2"/>
  <c r="AU24" i="2"/>
  <c r="AZ27" i="2"/>
  <c r="AU30" i="2"/>
  <c r="AU31" i="2"/>
  <c r="AW40" i="2"/>
  <c r="BF42" i="2"/>
  <c r="BE46" i="2"/>
  <c r="AZ47" i="2"/>
  <c r="AW48" i="2"/>
  <c r="AV49" i="2"/>
  <c r="AY50" i="2"/>
  <c r="BD57" i="2"/>
  <c r="AV59" i="2"/>
  <c r="AU63" i="2"/>
  <c r="BF23" i="2"/>
  <c r="AO23" i="2" s="1" a="1"/>
  <c r="AO23" i="2" s="1"/>
  <c r="AW24" i="2"/>
  <c r="BE27" i="2"/>
  <c r="BD29" i="2"/>
  <c r="BA31" i="2"/>
  <c r="BF34" i="2"/>
  <c r="BB37" i="2"/>
  <c r="BF38" i="2"/>
  <c r="AU42" i="2"/>
  <c r="BF43" i="2"/>
  <c r="AS44" i="2"/>
  <c r="BB45" i="2"/>
  <c r="BC47" i="2"/>
  <c r="AU48" i="2"/>
  <c r="BH50" i="2"/>
  <c r="AQ50" i="2" s="1" a="1"/>
  <c r="AQ50" i="2" s="1"/>
  <c r="AW54" i="2"/>
  <c r="AT55" i="2"/>
  <c r="BH57" i="2"/>
  <c r="AQ57" i="2" s="1" a="1"/>
  <c r="AY60" i="2"/>
  <c r="BC71" i="2"/>
  <c r="BF15" i="2"/>
  <c r="AO15" i="2" s="1" a="1"/>
  <c r="AT16" i="2"/>
  <c r="AS17" i="2"/>
  <c r="BD17" i="2"/>
  <c r="AS18" i="2"/>
  <c r="BD18" i="2"/>
  <c r="AS19" i="2"/>
  <c r="BD19" i="2"/>
  <c r="AS21" i="2"/>
  <c r="BF22" i="2"/>
  <c r="AO22" i="2" s="1" a="1"/>
  <c r="AY24" i="2"/>
  <c r="AZ25" i="2"/>
  <c r="BB26" i="2"/>
  <c r="BG27" i="2"/>
  <c r="AP27" i="2" s="1" a="1"/>
  <c r="AY28" i="2"/>
  <c r="AS29" i="2"/>
  <c r="AX30" i="2"/>
  <c r="BC31" i="2"/>
  <c r="AU33" i="2"/>
  <c r="AS34" i="2"/>
  <c r="BE35" i="2"/>
  <c r="AU39" i="2"/>
  <c r="AY42" i="2"/>
  <c r="AV44" i="2"/>
  <c r="BF45" i="2"/>
  <c r="BB54" i="2"/>
  <c r="AY55" i="2"/>
  <c r="AT11" i="2"/>
  <c r="BC12" i="2"/>
  <c r="AL12" i="2" s="1" a="1"/>
  <c r="AZ14" i="2"/>
  <c r="AW16" i="2"/>
  <c r="AV18" i="2"/>
  <c r="BG18" i="2"/>
  <c r="AV20" i="2"/>
  <c r="BH21" i="2"/>
  <c r="AQ21" i="2" s="1" a="1"/>
  <c r="AX22" i="2"/>
  <c r="BB24" i="2"/>
  <c r="AT31" i="2"/>
  <c r="BA33" i="2"/>
  <c r="AT35" i="2"/>
  <c r="BG59" i="2"/>
  <c r="AP59" i="2" s="1" a="1"/>
  <c r="AP59" i="2" s="1"/>
  <c r="BE11" i="2"/>
  <c r="AS12" i="2"/>
  <c r="BB13" i="2"/>
  <c r="AY15" i="2"/>
  <c r="BH16" i="2"/>
  <c r="AQ16" i="2" s="1" a="1"/>
  <c r="AW17" i="2"/>
  <c r="BH17" i="2"/>
  <c r="AQ17" i="2" s="1" a="1"/>
  <c r="BH18" i="2"/>
  <c r="AQ18" i="2" s="1" a="1"/>
  <c r="AW19" i="2"/>
  <c r="BH19" i="2"/>
  <c r="AQ19" i="2" s="1" a="1"/>
  <c r="AW20" i="2"/>
  <c r="BH20" i="2"/>
  <c r="AQ20" i="2" s="1" a="1"/>
  <c r="AQ20" i="2" s="1"/>
  <c r="AW21" i="2"/>
  <c r="BA23" i="2"/>
  <c r="AJ23" i="2" s="1" a="1"/>
  <c r="AJ23" i="2" s="1"/>
  <c r="BD25" i="2"/>
  <c r="AT26" i="2"/>
  <c r="AX27" i="2"/>
  <c r="BE28" i="2"/>
  <c r="AW29" i="2"/>
  <c r="BC30" i="2"/>
  <c r="BD32" i="2"/>
  <c r="AZ34" i="2"/>
  <c r="AU38" i="2"/>
  <c r="BC39" i="2"/>
  <c r="BB44" i="2"/>
  <c r="BF48" i="2"/>
  <c r="AW49" i="2"/>
  <c r="AU58" i="2"/>
  <c r="AT70" i="2"/>
  <c r="BE73" i="2"/>
  <c r="BF31" i="2"/>
  <c r="AX32" i="2"/>
  <c r="AV34" i="2"/>
  <c r="AT36" i="2"/>
  <c r="BG36" i="2"/>
  <c r="AP36" i="2" s="1" a="1"/>
  <c r="AZ37" i="2"/>
  <c r="BE38" i="2"/>
  <c r="AU40" i="2"/>
  <c r="BE42" i="2"/>
  <c r="BB43" i="2"/>
  <c r="BG47" i="2"/>
  <c r="AP47" i="2" s="1" a="1"/>
  <c r="AP47" i="2" s="1"/>
  <c r="AX52" i="2"/>
  <c r="AZ54" i="2"/>
  <c r="BB59" i="2"/>
  <c r="BE61" i="2"/>
  <c r="BC65" i="2"/>
  <c r="BA36" i="2"/>
  <c r="BE37" i="2"/>
  <c r="BA40" i="2"/>
  <c r="AY41" i="2"/>
  <c r="AS43" i="2"/>
  <c r="BH43" i="2"/>
  <c r="AQ43" i="2" s="1" a="1"/>
  <c r="BF44" i="2"/>
  <c r="AY46" i="2"/>
  <c r="BC49" i="2"/>
  <c r="AY53" i="2"/>
  <c r="AZ55" i="2"/>
  <c r="AT56" i="2"/>
  <c r="AV66" i="2"/>
  <c r="AU74" i="2"/>
  <c r="AT62" i="2"/>
  <c r="AY63" i="2"/>
  <c r="BB74" i="2"/>
  <c r="BB36" i="2"/>
  <c r="AS37" i="2"/>
  <c r="AS39" i="2"/>
  <c r="BB40" i="2"/>
  <c r="AZ41" i="2"/>
  <c r="AW42" i="2"/>
  <c r="AT43" i="2"/>
  <c r="BG44" i="2"/>
  <c r="AP44" i="2" s="1" a="1"/>
  <c r="AP44" i="2" s="1"/>
  <c r="BD45" i="2"/>
  <c r="AZ46" i="2"/>
  <c r="BA48" i="2"/>
  <c r="BA53" i="2"/>
  <c r="BD55" i="2"/>
  <c r="AV56" i="2"/>
  <c r="AV62" i="2"/>
  <c r="BB66" i="2"/>
  <c r="BH74" i="2"/>
  <c r="AQ74" i="2" s="1" a="1"/>
  <c r="AQ74" i="2" s="1"/>
  <c r="BG21" i="2"/>
  <c r="AP21" i="2" s="1" a="1"/>
  <c r="AV22" i="2"/>
  <c r="BG22" i="2"/>
  <c r="AP22" i="2" s="1" a="1"/>
  <c r="AV23" i="2"/>
  <c r="BG23" i="2"/>
  <c r="AP23" i="2" s="1" a="1"/>
  <c r="AP23" i="2" s="1"/>
  <c r="AV25" i="2"/>
  <c r="BG25" i="2"/>
  <c r="AP25" i="2" s="1" a="1"/>
  <c r="BH26" i="2"/>
  <c r="AQ26" i="2" s="1" a="1"/>
  <c r="AQ26" i="2" s="1"/>
  <c r="BE32" i="2"/>
  <c r="AY33" i="2"/>
  <c r="BD34" i="2"/>
  <c r="AV35" i="2"/>
  <c r="AT37" i="2"/>
  <c r="BG37" i="2"/>
  <c r="AP37" i="2" s="1" a="1"/>
  <c r="AZ38" i="2"/>
  <c r="BA47" i="2"/>
  <c r="BC48" i="2"/>
  <c r="BG49" i="2"/>
  <c r="AP49" i="2" s="1" a="1"/>
  <c r="AP49" i="2" s="1"/>
  <c r="AZ51" i="2"/>
  <c r="BC53" i="2"/>
  <c r="BE55" i="2"/>
  <c r="AW62" i="2"/>
  <c r="BE63" i="2"/>
  <c r="AS68" i="2"/>
  <c r="AU37" i="2"/>
  <c r="BH37" i="2"/>
  <c r="AQ37" i="2" s="1" a="1"/>
  <c r="BA38" i="2"/>
  <c r="AX43" i="2"/>
  <c r="AT44" i="2"/>
  <c r="BD48" i="2"/>
  <c r="BH49" i="2"/>
  <c r="AQ49" i="2" s="1" a="1"/>
  <c r="AQ49" i="2" s="1"/>
  <c r="AT50" i="2"/>
  <c r="BA51" i="2"/>
  <c r="BD53" i="2"/>
  <c r="BH55" i="2"/>
  <c r="AQ55" i="2" s="1" a="1"/>
  <c r="AS59" i="2"/>
  <c r="AS60" i="2"/>
  <c r="BH63" i="2"/>
  <c r="AQ63" i="2" s="1" a="1"/>
  <c r="BG66" i="2"/>
  <c r="AP66" i="2" s="1" a="1"/>
  <c r="AV70" i="2"/>
  <c r="BF72" i="2"/>
  <c r="BD62" i="2"/>
  <c r="AV65" i="2"/>
  <c r="BH70" i="2"/>
  <c r="AQ70" i="2" s="1" a="1"/>
  <c r="BE75" i="2"/>
  <c r="BE31" i="2"/>
  <c r="AU34" i="2"/>
  <c r="BA35" i="2"/>
  <c r="AS36" i="2"/>
  <c r="BF36" i="2"/>
  <c r="AY37" i="2"/>
  <c r="BD38" i="2"/>
  <c r="AW39" i="2"/>
  <c r="BE41" i="2"/>
  <c r="BA42" i="2"/>
  <c r="AZ43" i="2"/>
  <c r="BF47" i="2"/>
  <c r="AV52" i="2"/>
  <c r="BH56" i="2"/>
  <c r="AQ56" i="2" s="1" a="1"/>
  <c r="AZ60" i="2"/>
  <c r="BC61" i="2"/>
  <c r="AW65" i="2"/>
  <c r="BC57" i="2"/>
  <c r="AV60" i="2"/>
  <c r="BG62" i="2"/>
  <c r="AP62" i="2" s="1" a="1"/>
  <c r="BF63" i="2"/>
  <c r="BE64" i="2"/>
  <c r="BG65" i="2"/>
  <c r="AP65" i="2" s="1" a="1"/>
  <c r="BF76" i="2"/>
  <c r="AX49" i="2"/>
  <c r="AX50" i="2"/>
  <c r="AX51" i="2"/>
  <c r="AY52" i="2"/>
  <c r="AU56" i="2"/>
  <c r="AS58" i="2"/>
  <c r="BF59" i="2"/>
  <c r="AW60" i="2"/>
  <c r="BG63" i="2"/>
  <c r="AP63" i="2" s="1" a="1"/>
  <c r="BF70" i="2"/>
  <c r="AV73" i="2"/>
  <c r="AV80" i="2"/>
  <c r="AX73" i="2"/>
  <c r="BD80" i="2"/>
  <c r="AV68" i="2"/>
  <c r="AU75" i="2"/>
  <c r="BD52" i="2"/>
  <c r="BE53" i="2"/>
  <c r="AY56" i="2"/>
  <c r="BE60" i="2"/>
  <c r="AY75" i="2"/>
  <c r="BE26" i="2"/>
  <c r="AS27" i="2"/>
  <c r="BB28" i="2"/>
  <c r="BA29" i="2"/>
  <c r="AY30" i="2"/>
  <c r="BH31" i="2"/>
  <c r="AQ31" i="2" s="1" a="1"/>
  <c r="AV32" i="2"/>
  <c r="BG32" i="2"/>
  <c r="AP32" i="2" s="1" a="1"/>
  <c r="AP32" i="2" s="1"/>
  <c r="AV33" i="2"/>
  <c r="BG33" i="2"/>
  <c r="AP33" i="2" s="1" a="1"/>
  <c r="AW35" i="2"/>
  <c r="BH35" i="2"/>
  <c r="AQ35" i="2" s="1" a="1"/>
  <c r="AQ35" i="2" s="1"/>
  <c r="AW36" i="2"/>
  <c r="BH36" i="2"/>
  <c r="AQ36" i="2" s="1" a="1"/>
  <c r="BC42" i="2"/>
  <c r="AV43" i="2"/>
  <c r="AU45" i="2"/>
  <c r="BB46" i="2"/>
  <c r="AV47" i="2"/>
  <c r="BG48" i="2"/>
  <c r="AP48" i="2" s="1" a="1"/>
  <c r="AP48" i="2" s="1"/>
  <c r="BE49" i="2"/>
  <c r="BC50" i="2"/>
  <c r="BB51" i="2"/>
  <c r="BE52" i="2"/>
  <c r="BF53" i="2"/>
  <c r="AU55" i="2"/>
  <c r="BA56" i="2"/>
  <c r="BA58" i="2"/>
  <c r="BF60" i="2"/>
  <c r="AW61" i="2"/>
  <c r="BB68" i="2"/>
  <c r="AV77" i="2"/>
  <c r="AS79" i="2"/>
  <c r="BD27" i="2"/>
  <c r="BC28" i="2"/>
  <c r="AX31" i="2"/>
  <c r="BH33" i="2"/>
  <c r="AQ33" i="2" s="1" a="1"/>
  <c r="AW34" i="2"/>
  <c r="BH34" i="2"/>
  <c r="AQ34" i="2" s="1" a="1"/>
  <c r="AQ34" i="2" s="1"/>
  <c r="AX37" i="2"/>
  <c r="BA39" i="2"/>
  <c r="BD40" i="2"/>
  <c r="AW41" i="2"/>
  <c r="BC44" i="2"/>
  <c r="AS48" i="2"/>
  <c r="BD51" i="2"/>
  <c r="BH53" i="2"/>
  <c r="AQ53" i="2" s="1" a="1"/>
  <c r="AQ53" i="2" s="1"/>
  <c r="BB56" i="2"/>
  <c r="AU67" i="2"/>
  <c r="BC68" i="2"/>
  <c r="AZ72" i="2"/>
  <c r="AZ77" i="2"/>
  <c r="AW18" i="2"/>
  <c r="BF19" i="2"/>
  <c r="BD20" i="2"/>
  <c r="AZ23" i="2"/>
  <c r="AW25" i="2"/>
  <c r="BF26" i="2"/>
  <c r="AT27" i="2"/>
  <c r="AS28" i="2"/>
  <c r="BB29" i="2"/>
  <c r="AZ30" i="2"/>
  <c r="AW32" i="2"/>
  <c r="BH32" i="2"/>
  <c r="AQ32" i="2" s="1" a="1"/>
  <c r="AQ32" i="2" s="1"/>
  <c r="AW33" i="2"/>
  <c r="AX35" i="2"/>
  <c r="AX36" i="2"/>
  <c r="AY38" i="2"/>
  <c r="BB39" i="2"/>
  <c r="AW43" i="2"/>
  <c r="AV45" i="2"/>
  <c r="BC46" i="2"/>
  <c r="AX47" i="2"/>
  <c r="AT48" i="2"/>
  <c r="BH48" i="2"/>
  <c r="AQ48" i="2" s="1" a="1"/>
  <c r="AQ48" i="2" s="1"/>
  <c r="BF49" i="2"/>
  <c r="BE50" i="2"/>
  <c r="BF51" i="2"/>
  <c r="AS54" i="2"/>
  <c r="AW55" i="2"/>
  <c r="BF56" i="2"/>
  <c r="BD58" i="2"/>
  <c r="BH60" i="2"/>
  <c r="AQ60" i="2" s="1" a="1"/>
  <c r="AQ60" i="2" s="1"/>
  <c r="AS66" i="2"/>
  <c r="AV67" i="2"/>
  <c r="BD77" i="2"/>
  <c r="AW79" i="2"/>
  <c r="AZ58" i="2"/>
  <c r="BG60" i="2"/>
  <c r="AP60" i="2" s="1" a="1"/>
  <c r="AP60" i="2" s="1"/>
  <c r="BD61" i="2"/>
  <c r="BC62" i="2"/>
  <c r="AT65" i="2"/>
  <c r="BG68" i="2"/>
  <c r="AP68" i="2" s="1" a="1"/>
  <c r="AT69" i="2"/>
  <c r="BG70" i="2"/>
  <c r="AP70" i="2" s="1" a="1"/>
  <c r="AS71" i="2"/>
  <c r="BA73" i="2"/>
  <c r="BE76" i="2"/>
  <c r="AU77" i="2"/>
  <c r="AT80" i="2"/>
  <c r="BF79" i="2"/>
  <c r="AS64" i="2"/>
  <c r="AZ65" i="2"/>
  <c r="BH66" i="2"/>
  <c r="AQ66" i="2" s="1" a="1"/>
  <c r="AZ69" i="2"/>
  <c r="BA77" i="2"/>
  <c r="BG79" i="2"/>
  <c r="AP79" i="2" s="1" a="1"/>
  <c r="AP79" i="2" s="1"/>
  <c r="AX48" i="2"/>
  <c r="BA49" i="2"/>
  <c r="BF52" i="2"/>
  <c r="BA55" i="2"/>
  <c r="AW56" i="2"/>
  <c r="BE57" i="2"/>
  <c r="BB58" i="2"/>
  <c r="AW59" i="2"/>
  <c r="BH61" i="2"/>
  <c r="AQ61" i="2" s="1" a="1"/>
  <c r="AS63" i="2"/>
  <c r="AZ67" i="2"/>
  <c r="BA71" i="2"/>
  <c r="BF73" i="2"/>
  <c r="AZ74" i="2"/>
  <c r="BB77" i="2"/>
  <c r="BA80" i="2"/>
  <c r="BC41" i="2"/>
  <c r="BB42" i="2"/>
  <c r="AY44" i="2"/>
  <c r="BH45" i="2"/>
  <c r="AQ45" i="2" s="1" a="1"/>
  <c r="AQ45" i="2" s="1"/>
  <c r="AV46" i="2"/>
  <c r="AW47" i="2"/>
  <c r="BB50" i="2"/>
  <c r="BE51" i="2"/>
  <c r="AU52" i="2"/>
  <c r="AV53" i="2"/>
  <c r="AY54" i="2"/>
  <c r="BC55" i="2"/>
  <c r="AU60" i="2"/>
  <c r="AT63" i="2"/>
  <c r="AV64" i="2"/>
  <c r="BA65" i="2"/>
  <c r="BA67" i="2"/>
  <c r="BA69" i="2"/>
  <c r="BA74" i="2"/>
  <c r="BH76" i="2"/>
  <c r="AQ76" i="2" s="1" a="1"/>
  <c r="BB80" i="2"/>
  <c r="AX38" i="2"/>
  <c r="BG39" i="2"/>
  <c r="AP39" i="2" s="1" a="1"/>
  <c r="BE40" i="2"/>
  <c r="AS41" i="2"/>
  <c r="BD41" i="2"/>
  <c r="BA43" i="2"/>
  <c r="AX45" i="2"/>
  <c r="BG46" i="2"/>
  <c r="AP46" i="2" s="1" a="1"/>
  <c r="AP46" i="2" s="1"/>
  <c r="AY48" i="2"/>
  <c r="BB49" i="2"/>
  <c r="AT51" i="2"/>
  <c r="BG52" i="2"/>
  <c r="AP52" i="2" s="1" a="1"/>
  <c r="AP52" i="2" s="1"/>
  <c r="AX53" i="2"/>
  <c r="AX56" i="2"/>
  <c r="BC58" i="2"/>
  <c r="AX59" i="2"/>
  <c r="BB65" i="2"/>
  <c r="BB67" i="2"/>
  <c r="BB71" i="2"/>
  <c r="BH73" i="2"/>
  <c r="AQ73" i="2" s="1" a="1"/>
  <c r="AV78" i="2"/>
  <c r="BC80" i="2"/>
  <c r="AT81" i="2"/>
  <c r="BC74" i="2"/>
  <c r="AW78" i="2"/>
  <c r="AX39" i="2"/>
  <c r="AV40" i="2"/>
  <c r="BG40" i="2"/>
  <c r="AP40" i="2" s="1" a="1"/>
  <c r="AU41" i="2"/>
  <c r="BD42" i="2"/>
  <c r="BA44" i="2"/>
  <c r="AX46" i="2"/>
  <c r="AY47" i="2"/>
  <c r="BD50" i="2"/>
  <c r="BG51" i="2"/>
  <c r="AP51" i="2" s="1" a="1"/>
  <c r="AP51" i="2" s="1"/>
  <c r="AW52" i="2"/>
  <c r="BA54" i="2"/>
  <c r="AT57" i="2"/>
  <c r="BE58" i="2"/>
  <c r="BA59" i="2"/>
  <c r="AX60" i="2"/>
  <c r="AV63" i="2"/>
  <c r="AT66" i="2"/>
  <c r="AT68" i="2"/>
  <c r="BD69" i="2"/>
  <c r="BD71" i="2"/>
  <c r="AU72" i="2"/>
  <c r="AV75" i="2"/>
  <c r="BE77" i="2"/>
  <c r="AX78" i="2"/>
  <c r="BE80" i="2"/>
  <c r="AW81" i="2"/>
  <c r="AS50" i="2"/>
  <c r="AV51" i="2"/>
  <c r="AZ53" i="2"/>
  <c r="AS55" i="2"/>
  <c r="BF55" i="2"/>
  <c r="AZ56" i="2"/>
  <c r="AV57" i="2"/>
  <c r="BF58" i="2"/>
  <c r="AV61" i="2"/>
  <c r="AU62" i="2"/>
  <c r="AY64" i="2"/>
  <c r="BD65" i="2"/>
  <c r="AU66" i="2"/>
  <c r="BD67" i="2"/>
  <c r="BE69" i="2"/>
  <c r="AU70" i="2"/>
  <c r="AV72" i="2"/>
  <c r="BD74" i="2"/>
  <c r="AW75" i="2"/>
  <c r="AX81" i="2"/>
  <c r="BF69" i="2"/>
  <c r="AW72" i="2"/>
  <c r="BE74" i="2"/>
  <c r="AZ78" i="2"/>
  <c r="AY81" i="2"/>
  <c r="AZ81" i="2"/>
  <c r="AX61" i="2"/>
  <c r="AZ63" i="2"/>
  <c r="AW68" i="2"/>
  <c r="AW70" i="2"/>
  <c r="AT76" i="2"/>
  <c r="BA78" i="2"/>
  <c r="BA52" i="2"/>
  <c r="BB53" i="2"/>
  <c r="BE54" i="2"/>
  <c r="AX57" i="2"/>
  <c r="AT58" i="2"/>
  <c r="BD59" i="2"/>
  <c r="BA60" i="2"/>
  <c r="AY61" i="2"/>
  <c r="BA63" i="2"/>
  <c r="BC64" i="2"/>
  <c r="AW66" i="2"/>
  <c r="AX68" i="2"/>
  <c r="AY72" i="2"/>
  <c r="AS73" i="2"/>
  <c r="AZ75" i="2"/>
  <c r="AU76" i="2"/>
  <c r="BC78" i="2"/>
  <c r="AU79" i="2"/>
  <c r="BB81" i="2"/>
  <c r="BA32" i="2"/>
  <c r="AX34" i="2"/>
  <c r="BG35" i="2"/>
  <c r="AP35" i="2" s="1" a="1"/>
  <c r="AP35" i="2" s="1"/>
  <c r="AU36" i="2"/>
  <c r="BD37" i="2"/>
  <c r="BC38" i="2"/>
  <c r="AX41" i="2"/>
  <c r="BG42" i="2"/>
  <c r="AP42" i="2" s="1" a="1"/>
  <c r="AP42" i="2" s="1"/>
  <c r="AU43" i="2"/>
  <c r="BD44" i="2"/>
  <c r="BC45" i="2"/>
  <c r="BB47" i="2"/>
  <c r="BE48" i="2"/>
  <c r="AU49" i="2"/>
  <c r="AW50" i="2"/>
  <c r="AV55" i="2"/>
  <c r="BC56" i="2"/>
  <c r="AY57" i="2"/>
  <c r="BE59" i="2"/>
  <c r="BB60" i="2"/>
  <c r="AZ61" i="2"/>
  <c r="AZ62" i="2"/>
  <c r="AY68" i="2"/>
  <c r="AX70" i="2"/>
  <c r="BB75" i="2"/>
  <c r="BF78" i="2"/>
  <c r="AV79" i="2"/>
  <c r="AX72" i="2"/>
  <c r="AT73" i="2"/>
  <c r="BG73" i="2"/>
  <c r="AP73" i="2" s="1" a="1"/>
  <c r="AX75" i="2"/>
  <c r="AS76" i="2"/>
  <c r="BG76" i="2"/>
  <c r="AP76" i="2" s="1" a="1"/>
  <c r="BC77" i="2"/>
  <c r="AY78" i="2"/>
  <c r="AT79" i="2"/>
  <c r="BH79" i="2"/>
  <c r="AQ79" i="2" s="1" a="1"/>
  <c r="AQ79" i="2" s="1"/>
  <c r="BB57" i="2"/>
  <c r="AT59" i="2"/>
  <c r="BE62" i="2"/>
  <c r="AW63" i="2"/>
  <c r="BB64" i="2"/>
  <c r="AS65" i="2"/>
  <c r="AX66" i="2"/>
  <c r="BE67" i="2"/>
  <c r="AS69" i="2"/>
  <c r="BG71" i="2"/>
  <c r="AP71" i="2" s="1" a="1"/>
  <c r="BA72" i="2"/>
  <c r="BF77" i="2"/>
  <c r="AS80" i="2"/>
  <c r="BF80" i="2"/>
  <c r="BA81" i="2"/>
  <c r="BB61" i="2"/>
  <c r="AS62" i="2"/>
  <c r="BF62" i="2"/>
  <c r="AX63" i="2"/>
  <c r="BF65" i="2"/>
  <c r="AY66" i="2"/>
  <c r="AS67" i="2"/>
  <c r="BF67" i="2"/>
  <c r="AZ68" i="2"/>
  <c r="BG69" i="2"/>
  <c r="AP69" i="2" s="1" a="1"/>
  <c r="AZ70" i="2"/>
  <c r="AW73" i="2"/>
  <c r="BA75" i="2"/>
  <c r="AW76" i="2"/>
  <c r="AS77" i="2"/>
  <c r="BB78" i="2"/>
  <c r="AX79" i="2"/>
  <c r="BG80" i="2"/>
  <c r="AP80" i="2" s="1" a="1"/>
  <c r="AP80" i="2" s="1"/>
  <c r="AU65" i="2"/>
  <c r="BH65" i="2"/>
  <c r="AQ65" i="2" s="1" a="1"/>
  <c r="AZ66" i="2"/>
  <c r="AT67" i="2"/>
  <c r="BG67" i="2"/>
  <c r="AP67" i="2" s="1" a="1"/>
  <c r="BA68" i="2"/>
  <c r="AU69" i="2"/>
  <c r="BH69" i="2"/>
  <c r="AQ69" i="2" s="1" a="1"/>
  <c r="BA70" i="2"/>
  <c r="AT71" i="2"/>
  <c r="BD72" i="2"/>
  <c r="AX76" i="2"/>
  <c r="AT77" i="2"/>
  <c r="AY79" i="2"/>
  <c r="BH62" i="2"/>
  <c r="AQ62" i="2" s="1" a="1"/>
  <c r="BD64" i="2"/>
  <c r="AV69" i="2"/>
  <c r="BB70" i="2"/>
  <c r="AT74" i="2"/>
  <c r="AY76" i="2"/>
  <c r="AZ79" i="2"/>
  <c r="AU80" i="2"/>
  <c r="BC81" i="2"/>
  <c r="BD81" i="2"/>
  <c r="BF64" i="2"/>
  <c r="AX65" i="2"/>
  <c r="BC66" i="2"/>
  <c r="BD70" i="2"/>
  <c r="BG72" i="2"/>
  <c r="AP72" i="2" s="1" a="1"/>
  <c r="AP72" i="2" s="1"/>
  <c r="BB73" i="2"/>
  <c r="BF75" i="2"/>
  <c r="BB76" i="2"/>
  <c r="BG78" i="2"/>
  <c r="AP78" i="2" s="1" a="1"/>
  <c r="AP78" i="2" s="1"/>
  <c r="BC79" i="2"/>
  <c r="AW80" i="2"/>
  <c r="BD56" i="2"/>
  <c r="BF57" i="2"/>
  <c r="AY59" i="2"/>
  <c r="BC60" i="2"/>
  <c r="AT61" i="2"/>
  <c r="BF61" i="2"/>
  <c r="AX62" i="2"/>
  <c r="BB63" i="2"/>
  <c r="AT64" i="2"/>
  <c r="BD66" i="2"/>
  <c r="AW67" i="2"/>
  <c r="BD68" i="2"/>
  <c r="AX69" i="2"/>
  <c r="AX71" i="2"/>
  <c r="BC73" i="2"/>
  <c r="AX74" i="2"/>
  <c r="BG75" i="2"/>
  <c r="AP75" i="2" s="1" a="1"/>
  <c r="AS78" i="2"/>
  <c r="BH78" i="2"/>
  <c r="AQ78" i="2" s="1" a="1"/>
  <c r="AQ78" i="2" s="1"/>
  <c r="BG81" i="2"/>
  <c r="BH46" i="2"/>
  <c r="AQ46" i="2" s="1" a="1"/>
  <c r="AQ46" i="2" s="1"/>
  <c r="AU47" i="2"/>
  <c r="BE47" i="2"/>
  <c r="BB48" i="2"/>
  <c r="AY49" i="2"/>
  <c r="AV50" i="2"/>
  <c r="BF50" i="2"/>
  <c r="AS51" i="2"/>
  <c r="BC51" i="2"/>
  <c r="AZ52" i="2"/>
  <c r="AW53" i="2"/>
  <c r="BG53" i="2"/>
  <c r="AP53" i="2" s="1" a="1"/>
  <c r="AP53" i="2" s="1"/>
  <c r="AT54" i="2"/>
  <c r="BD54" i="2"/>
  <c r="BB55" i="2"/>
  <c r="BE56" i="2"/>
  <c r="AU57" i="2"/>
  <c r="AW58" i="2"/>
  <c r="BG61" i="2"/>
  <c r="AP61" i="2" s="1" a="1"/>
  <c r="BC63" i="2"/>
  <c r="AU64" i="2"/>
  <c r="BG64" i="2"/>
  <c r="AP64" i="2" s="1" a="1"/>
  <c r="AY65" i="2"/>
  <c r="BE66" i="2"/>
  <c r="BE70" i="2"/>
  <c r="AY71" i="2"/>
  <c r="AT72" i="2"/>
  <c r="BH72" i="2"/>
  <c r="AQ72" i="2" s="1" a="1"/>
  <c r="AQ72" i="2" s="1"/>
  <c r="BD73" i="2"/>
  <c r="BH75" i="2"/>
  <c r="AQ75" i="2" s="1" a="1"/>
  <c r="BC76" i="2"/>
  <c r="AY77" i="2"/>
  <c r="BD79" i="2"/>
  <c r="AS56" i="2"/>
  <c r="BG57" i="2"/>
  <c r="AP57" i="2" s="1" a="1"/>
  <c r="AX58" i="2"/>
  <c r="AZ59" i="2"/>
  <c r="BD60" i="2"/>
  <c r="AU61" i="2"/>
  <c r="AY62" i="2"/>
  <c r="BD63" i="2"/>
  <c r="BH64" i="2"/>
  <c r="AQ64" i="2" s="1" a="1"/>
  <c r="AY67" i="2"/>
  <c r="BF68" i="2"/>
  <c r="AY69" i="2"/>
  <c r="AS70" i="2"/>
  <c r="AZ71" i="2"/>
  <c r="AY74" i="2"/>
  <c r="BD76" i="2"/>
  <c r="BE79" i="2"/>
  <c r="AZ80" i="2"/>
  <c r="AS81" i="2"/>
  <c r="BH81" i="2"/>
  <c r="AQ81" i="2" s="1" a="1"/>
  <c r="AU71" i="2"/>
  <c r="BE71" i="2"/>
  <c r="BB72" i="2"/>
  <c r="AY73" i="2"/>
  <c r="AV74" i="2"/>
  <c r="BF74" i="2"/>
  <c r="AS75" i="2"/>
  <c r="BC75" i="2"/>
  <c r="AZ76" i="2"/>
  <c r="AW77" i="2"/>
  <c r="BG77" i="2"/>
  <c r="AP77" i="2" s="1" a="1"/>
  <c r="AT78" i="2"/>
  <c r="BD78" i="2"/>
  <c r="BA79" i="2"/>
  <c r="AX80" i="2"/>
  <c r="BH80" i="2"/>
  <c r="AQ80" i="2" s="1" a="1"/>
  <c r="AQ80" i="2" s="1"/>
  <c r="AU81" i="2"/>
  <c r="BE81" i="2"/>
  <c r="BA66" i="2"/>
  <c r="AX67" i="2"/>
  <c r="BH67" i="2"/>
  <c r="AQ67" i="2" s="1" a="1"/>
  <c r="AU68" i="2"/>
  <c r="BE68" i="2"/>
  <c r="BB69" i="2"/>
  <c r="AY70" i="2"/>
  <c r="AV71" i="2"/>
  <c r="BF71" i="2"/>
  <c r="AS72" i="2"/>
  <c r="BC72" i="2"/>
  <c r="AZ73" i="2"/>
  <c r="AW74" i="2"/>
  <c r="BG74" i="2"/>
  <c r="AP74" i="2" s="1" a="1"/>
  <c r="AP74" i="2" s="1"/>
  <c r="AT75" i="2"/>
  <c r="BD75" i="2"/>
  <c r="BA76" i="2"/>
  <c r="AX77" i="2"/>
  <c r="BH77" i="2"/>
  <c r="AQ77" i="2" s="1" a="1"/>
  <c r="AU78" i="2"/>
  <c r="BE78" i="2"/>
  <c r="BB79" i="2"/>
  <c r="AY80" i="2"/>
  <c r="AV81" i="2"/>
  <c r="BF81" i="2"/>
  <c r="AM19" i="2" a="1"/>
  <c r="AB50" i="2" a="1"/>
  <c r="AH49" i="2" a="1"/>
  <c r="AD51" i="2" a="1"/>
  <c r="AD26" i="2" a="1"/>
  <c r="AN64" i="2" a="1"/>
  <c r="AH69" i="2" a="1"/>
  <c r="AG43" i="2" a="1"/>
  <c r="AJ71" i="2" a="1"/>
  <c r="AI55" i="2" a="1"/>
  <c r="AO11" i="2" a="1"/>
  <c r="AI67" i="2" a="1"/>
  <c r="AI21" i="2" a="1"/>
  <c r="AI52" i="2" a="1"/>
  <c r="AO20" i="2" a="1"/>
  <c r="AH24" i="2" a="1"/>
  <c r="AE20" i="2" a="1"/>
  <c r="AI46" i="2" a="1"/>
  <c r="AG63" i="2" a="1"/>
  <c r="AO65" i="2" a="1"/>
  <c r="AB51" i="2" a="1"/>
  <c r="AB70" i="2" a="1"/>
  <c r="AL13" i="2" a="1"/>
  <c r="AD21" i="2" a="1"/>
  <c r="AD66" i="2" a="1"/>
  <c r="AF20" i="2" a="1"/>
  <c r="AG58" i="2" a="1"/>
  <c r="AD17" i="2" a="1"/>
  <c r="AO18" i="2" a="1"/>
  <c r="AB12" i="2" a="1"/>
  <c r="AD70" i="2" a="1"/>
  <c r="AL45" i="2" a="1"/>
  <c r="AJ17" i="2" a="1"/>
  <c r="AH21" i="2" a="1"/>
  <c r="AM17" i="2" a="1"/>
  <c r="AE65" i="2" a="1"/>
  <c r="AN57" i="2" a="1"/>
  <c r="AG64" i="2" a="1"/>
  <c r="AC12" i="2" a="1"/>
  <c r="AO17" i="2" a="1"/>
  <c r="AE60" i="2" a="1"/>
  <c r="AD58" i="2" a="1"/>
  <c r="AE64" i="2" a="1"/>
  <c r="AO61" i="2" a="1"/>
  <c r="AE50" i="2" a="1"/>
  <c r="AF49" i="2" a="1"/>
  <c r="AI14" i="2" a="1"/>
  <c r="AK24" i="2" a="1"/>
  <c r="AE16" i="2" a="1"/>
  <c r="AH56" i="2" a="1"/>
  <c r="AJ65" i="2" a="1"/>
  <c r="AG21" i="2" a="1"/>
  <c r="AE56" i="2" a="1"/>
  <c r="AN53" i="2" a="1"/>
  <c r="AF42" i="2" a="1"/>
  <c r="AI42" i="2" a="1"/>
  <c r="AO69" i="2" a="1"/>
  <c r="AB40" i="2" a="1"/>
  <c r="AF66" i="2" a="1"/>
  <c r="AC71" i="2" a="1"/>
  <c r="AJ47" i="2" a="1"/>
  <c r="AC13" i="2" a="1"/>
  <c r="AM11" i="2" a="1"/>
  <c r="AK28" i="2" a="1"/>
  <c r="AK71" i="2" a="1"/>
  <c r="AG61" i="2" a="1"/>
  <c r="AE55" i="2" a="1"/>
  <c r="AF67" i="2" a="1"/>
  <c r="AB59" i="2" a="1"/>
  <c r="AH71" i="2" a="1"/>
  <c r="AQ11" i="2" a="1"/>
  <c r="AL56" i="2" a="1"/>
  <c r="AC45" i="2" a="1"/>
  <c r="AK16" i="2" a="1"/>
  <c r="AF55" i="2" a="1"/>
  <c r="AE66" i="2" a="1"/>
  <c r="AM57" i="2" a="1"/>
  <c r="AH70" i="2" a="1"/>
  <c r="AL18" i="2" a="1"/>
  <c r="AG66" i="2" a="1"/>
  <c r="AI15" i="2" a="1"/>
  <c r="AE22" i="2" a="1"/>
  <c r="AH62" i="2" a="1"/>
  <c r="AI18" i="2" a="1"/>
  <c r="AC19" i="2" a="1"/>
  <c r="AJ16" i="2" a="1"/>
  <c r="AL57" i="2" a="1"/>
  <c r="AD41" i="2" a="1"/>
  <c r="AF16" i="2" a="1"/>
  <c r="AH20" i="2" a="1"/>
  <c r="AB18" i="2" a="1"/>
  <c r="AK58" i="2" a="1"/>
  <c r="AD47" i="2" a="1"/>
  <c r="AC43" i="2" a="1"/>
  <c r="AO43" i="2" a="1"/>
  <c r="AF19" i="2" a="1"/>
  <c r="AN60" i="2" a="1"/>
  <c r="AE47" i="2" a="1"/>
  <c r="AK47" i="2" a="1"/>
  <c r="AJ12" i="2" a="1"/>
  <c r="AM41" i="2" a="1"/>
  <c r="AK69" i="2" a="1"/>
  <c r="AD20" i="2" a="1"/>
  <c r="AN18" i="2" a="1"/>
  <c r="AM50" i="2" a="1"/>
  <c r="AF11" i="2" a="1"/>
  <c r="AK15" i="2" a="1"/>
  <c r="AJ62" i="2" a="1"/>
  <c r="AH63" i="2" a="1"/>
  <c r="AJ13" i="2" a="1"/>
  <c r="AB69" i="2" a="1"/>
  <c r="AD64" i="2" a="1"/>
  <c r="AL58" i="2" a="1"/>
  <c r="AH25" i="2" a="1"/>
  <c r="AJ61" i="2" a="1"/>
  <c r="AO45" i="2" a="1"/>
  <c r="AH54" i="2" a="1"/>
  <c r="AM59" i="2" a="1"/>
  <c r="AE48" i="2" a="1"/>
  <c r="AG49" i="2" a="1"/>
  <c r="AJ67" i="2" a="1"/>
  <c r="AB55" i="2" a="1"/>
  <c r="AG68" i="2" a="1"/>
  <c r="AN48" i="2" a="1"/>
  <c r="AK63" i="2" a="1"/>
  <c r="AD45" i="2" a="1"/>
  <c r="AO46" i="2" a="1"/>
  <c r="AI11" i="2" a="1"/>
  <c r="AJ25" i="2" a="1"/>
  <c r="AG56" i="2" a="1"/>
  <c r="AI22" i="2" a="1"/>
  <c r="AJ54" i="2" a="1"/>
  <c r="AB62" i="2" a="1"/>
  <c r="AN50" i="2" a="1"/>
  <c r="AC26" i="2" a="1"/>
  <c r="AO36" i="2" a="1"/>
  <c r="AK41" i="2" a="1"/>
  <c r="AG13" i="2" a="1"/>
  <c r="AI56" i="2" a="1"/>
  <c r="AO64" i="2" a="1"/>
  <c r="AJ11" i="2" a="1"/>
  <c r="AJ57" i="2" a="1"/>
  <c r="AD48" i="2" a="1"/>
  <c r="AF21" i="2" a="1"/>
  <c r="AN58" i="2" a="1"/>
  <c r="AE57" i="2" a="1"/>
  <c r="AJ68" i="2" a="1"/>
  <c r="AF53" i="2" a="1"/>
  <c r="AH47" i="2" a="1"/>
  <c r="AO54" i="2" a="1"/>
  <c r="AK17" i="2" a="1"/>
  <c r="AO58" i="2" a="1"/>
  <c r="AM54" i="2" a="1"/>
  <c r="AH19" i="2" a="1"/>
  <c r="AL71" i="2" a="1"/>
  <c r="AI51" i="2" a="1"/>
  <c r="AD67" i="2" a="1"/>
  <c r="AM48" i="2" a="1"/>
  <c r="AD46" i="2" a="1"/>
  <c r="AJ36" i="2" a="1"/>
  <c r="AD61" i="2" a="1"/>
  <c r="AN26" i="2" a="1"/>
  <c r="AF57" i="2" a="1"/>
  <c r="AM26" i="2" a="1"/>
  <c r="AE36" i="2" a="1"/>
  <c r="AE58" i="2" a="1"/>
  <c r="AG19" i="2" a="1"/>
  <c r="AC65" i="2" a="1"/>
  <c r="AD52" i="2" a="1"/>
  <c r="AG57" i="2" a="1"/>
  <c r="AM46" i="2" a="1"/>
  <c r="AF64" i="2" a="1"/>
  <c r="AL26" i="2" a="1"/>
  <c r="AC40" i="2" a="1"/>
  <c r="AG47" i="2" a="1"/>
  <c r="AM56" i="2" a="1"/>
  <c r="AO13" i="2" a="1"/>
  <c r="AI50" i="2" a="1"/>
  <c r="AE24" i="2" a="1"/>
  <c r="AL67" i="2" a="1"/>
  <c r="AK59" i="2" a="1"/>
  <c r="AC69" i="2" a="1"/>
  <c r="AI20" i="2" a="1"/>
  <c r="AJ14" i="2" a="1"/>
  <c r="AF45" i="2" a="1"/>
  <c r="AG25" i="2" a="1"/>
  <c r="AF14" i="2" a="1"/>
  <c r="AI25" i="2" a="1"/>
  <c r="AE18" i="2" a="1"/>
  <c r="AO56" i="2" a="1"/>
  <c r="AD49" i="2" a="1"/>
  <c r="AC53" i="2" a="1"/>
  <c r="AN70" i="2" a="1"/>
  <c r="AD13" i="2" a="1"/>
  <c r="AL64" i="2" a="1"/>
  <c r="AC15" i="2" a="1"/>
  <c r="AD68" i="2" a="1"/>
  <c r="AM58" i="2" a="1"/>
  <c r="AC57" i="2" a="1"/>
  <c r="AF50" i="2" a="1"/>
  <c r="AO62" i="2" a="1"/>
  <c r="AM66" i="2" a="1"/>
  <c r="AG53" i="2" a="1"/>
  <c r="AO55" i="2" a="1"/>
  <c r="AD65" i="2" a="1"/>
  <c r="AE13" i="2" a="1"/>
  <c r="AJ28" i="2" a="1"/>
  <c r="AJ51" i="2" a="1"/>
  <c r="AK51" i="2" a="1"/>
  <c r="AF41" i="2" a="1"/>
  <c r="AI65" i="2" a="1"/>
  <c r="AG65" i="2" a="1"/>
  <c r="AL66" i="2" a="1"/>
  <c r="AB22" i="2" a="1"/>
  <c r="AG23" i="2" a="1"/>
  <c r="AD19" i="2" a="1"/>
  <c r="AF27" i="2" a="1"/>
  <c r="AD23" i="2" a="1"/>
  <c r="AB46" i="2" a="1"/>
  <c r="AF13" i="2" a="1"/>
  <c r="AD63" i="2" a="1"/>
  <c r="AI62" i="2" a="1"/>
  <c r="AO51" i="2" a="1"/>
  <c r="AB65" i="2" a="1"/>
  <c r="AG50" i="2" a="1"/>
  <c r="AJ21" i="2" a="1"/>
  <c r="AG59" i="2" a="1"/>
  <c r="AI17" i="2" a="1"/>
  <c r="AG42" i="2" a="1"/>
  <c r="AN27" i="2" a="1"/>
  <c r="AM62" i="2" a="1"/>
  <c r="AL20" i="2" a="1"/>
  <c r="AJ27" i="2" a="1"/>
  <c r="AH15" i="2" a="1"/>
  <c r="AO19" i="2" a="1"/>
  <c r="AO57" i="2" a="1"/>
  <c r="AC63" i="2" a="1"/>
  <c r="AF26" i="2" a="1"/>
  <c r="AH22" i="2" a="1"/>
  <c r="AC23" i="2" a="1"/>
  <c r="AI24" i="2" a="1"/>
  <c r="AE11" i="2" a="1"/>
  <c r="AK18" i="2" a="1"/>
  <c r="AO24" i="2" a="1"/>
  <c r="AB14" i="2" a="1"/>
  <c r="AJ15" i="2" a="1"/>
  <c r="AI57" i="2" a="1"/>
  <c r="AL52" i="2" a="1"/>
  <c r="AN46" i="2" a="1"/>
  <c r="AL47" i="2" a="1"/>
  <c r="AK26" i="2" a="1"/>
  <c r="AP18" i="2" a="1"/>
  <c r="AM45" i="2" a="1"/>
  <c r="AC50" i="2" a="1"/>
  <c r="AG51" i="2" a="1"/>
  <c r="AB27" i="2" a="1"/>
  <c r="AL50" i="2" a="1"/>
  <c r="AM40" i="2" a="1"/>
  <c r="AB64" i="2" a="1"/>
  <c r="AK67" i="2" a="1"/>
  <c r="AI12" i="2" a="1"/>
  <c r="AE17" i="2" a="1"/>
  <c r="AI47" i="2" a="1"/>
  <c r="AH52" i="2" a="1"/>
  <c r="AB28" i="2" a="1"/>
  <c r="AD22" i="2" a="1"/>
  <c r="AH41" i="2" a="1"/>
  <c r="AF40" i="2" a="1"/>
  <c r="AJ59" i="2" a="1"/>
  <c r="AD69" i="2" a="1"/>
  <c r="AJ66" i="2" a="1"/>
  <c r="AK61" i="2" a="1"/>
  <c r="AH16" i="2" a="1"/>
  <c r="AM51" i="2" a="1"/>
  <c r="AH27" i="2" a="1"/>
  <c r="AH36" i="2" a="1"/>
  <c r="AO60" i="2" a="1"/>
  <c r="AJ49" i="2" a="1"/>
  <c r="AI59" i="2" a="1"/>
  <c r="AL27" i="2" a="1"/>
  <c r="AM60" i="2" a="1"/>
  <c r="AF52" i="2" a="1"/>
  <c r="AJ56" i="2" a="1"/>
  <c r="AE19" i="2" a="1"/>
  <c r="AG52" i="2" a="1"/>
  <c r="AN67" i="2" a="1"/>
  <c r="AG40" i="2" a="1"/>
  <c r="AO27" i="2" a="1"/>
  <c r="AI64" i="2" a="1"/>
  <c r="AE53" i="2" a="1"/>
  <c r="AM63" i="2" a="1"/>
  <c r="AL36" i="2" a="1"/>
  <c r="AH13" i="2" a="1"/>
  <c r="AE23" i="2" a="1"/>
  <c r="AK49" i="2" a="1"/>
  <c r="AI53" i="2" a="1"/>
  <c r="AL40" i="2" a="1"/>
  <c r="AG11" i="2" a="1"/>
  <c r="AB23" i="2" a="1"/>
  <c r="AB15" i="2" a="1"/>
  <c r="AG12" i="2" a="1"/>
  <c r="AJ45" i="2" a="1"/>
  <c r="AO21" i="2" a="1"/>
  <c r="AB25" i="2" a="1"/>
  <c r="AK14" i="2" a="1"/>
  <c r="AD28" i="2" a="1"/>
  <c r="AC25" i="2" a="1"/>
  <c r="AO41" i="2" a="1"/>
  <c r="AD14" i="2" a="1"/>
  <c r="AJ18" i="2" a="1"/>
  <c r="AM21" i="2" a="1"/>
  <c r="AD11" i="2" a="1"/>
  <c r="AF23" i="2" a="1"/>
  <c r="AI26" i="2" a="1"/>
  <c r="AI16" i="2" a="1"/>
  <c r="AM36" i="2" a="1"/>
  <c r="AC21" i="2" a="1"/>
  <c r="AD12" i="2" a="1"/>
  <c r="AD59" i="2" a="1"/>
  <c r="AH28" i="2" a="1"/>
  <c r="AC36" i="2" a="1"/>
  <c r="AH46" i="2" a="1"/>
  <c r="AM53" i="2" a="1"/>
  <c r="AN41" i="2" a="1"/>
  <c r="AD56" i="2" a="1"/>
  <c r="AN52" i="2" a="1"/>
  <c r="AB66" i="2" a="1"/>
  <c r="AL41" i="2" a="1"/>
  <c r="AI63" i="2" a="1"/>
  <c r="AM68" i="2" a="1"/>
  <c r="AO59" i="2" a="1"/>
  <c r="AC64" i="2" a="1"/>
  <c r="AL11" i="2" a="1"/>
  <c r="AG17" i="2" a="1"/>
  <c r="AK66" i="2" a="1"/>
  <c r="AJ52" i="2" a="1"/>
  <c r="AO25" i="2" a="1"/>
  <c r="AE71" i="2" a="1"/>
  <c r="AF65" i="2" a="1"/>
  <c r="AJ40" i="2" a="1"/>
  <c r="AK36" i="2" a="1"/>
  <c r="AG41" i="2" a="1"/>
  <c r="AL14" i="2" a="1"/>
  <c r="AI19" i="2" a="1"/>
  <c r="AG26" i="2" a="1"/>
  <c r="AC52" i="2" a="1"/>
  <c r="AN20" i="2" a="1"/>
  <c r="AC22" i="2" a="1"/>
  <c r="AH12" i="2" a="1"/>
  <c r="AI28" i="2" a="1"/>
  <c r="AC46" i="2" a="1"/>
  <c r="AG18" i="2" a="1"/>
  <c r="AL15" i="2" a="1"/>
  <c r="AN65" i="2" a="1"/>
  <c r="AF54" i="2" a="1"/>
  <c r="AG22" i="2" a="1"/>
  <c r="AM25" i="2" a="1"/>
  <c r="AL49" i="2" a="1"/>
  <c r="AJ53" i="2" a="1"/>
  <c r="AJ42" i="2" a="1"/>
  <c r="AB58" i="2" a="1"/>
  <c r="AO53" i="2" a="1"/>
  <c r="AB48" i="2" a="1"/>
  <c r="AE67" i="2" a="1"/>
  <c r="AI69" i="2" a="1"/>
  <c r="AK42" i="2" a="1"/>
  <c r="AG60" i="2" a="1"/>
  <c r="AE61" i="2" a="1"/>
  <c r="AF68" i="2" a="1"/>
  <c r="AH57" i="2" a="1"/>
  <c r="AK57" i="2" a="1"/>
  <c r="AH66" i="2" a="1"/>
  <c r="AM70" i="2" a="1"/>
  <c r="AG69" i="2" a="1"/>
  <c r="AC54" i="2" a="1"/>
  <c r="AG67" i="2" a="1"/>
  <c r="AD50" i="2" a="1"/>
  <c r="AI71" i="2" a="1"/>
  <c r="AB24" i="2" a="1"/>
  <c r="AO70" i="2" a="1"/>
  <c r="AC11" i="2" a="1"/>
  <c r="AF22" i="2" a="1"/>
  <c r="AJ20" i="2" a="1"/>
  <c r="AF25" i="2" a="1"/>
  <c r="AG14" i="2" a="1"/>
  <c r="AN63" i="2" a="1"/>
  <c r="AE68" i="2" a="1"/>
  <c r="AI43" i="2" a="1"/>
  <c r="AO40" i="2" a="1"/>
  <c r="AC49" i="2" a="1"/>
  <c r="AC20" i="2" a="1"/>
  <c r="AD53" i="2" a="1"/>
  <c r="AH26" i="2" a="1"/>
  <c r="AH50" i="2" a="1"/>
  <c r="AC55" i="2" a="1"/>
  <c r="AH53" i="2" a="1"/>
  <c r="AM55" i="2" a="1"/>
  <c r="AE63" i="2" a="1"/>
  <c r="AD62" i="2" a="1"/>
  <c r="AF70" i="2" a="1"/>
  <c r="AB67" i="2" a="1"/>
  <c r="AJ70" i="2" a="1"/>
  <c r="AB56" i="2" a="1"/>
  <c r="AD71" i="2" a="1"/>
  <c r="AD42" i="2" a="1"/>
  <c r="AH51" i="2" a="1"/>
  <c r="AN59" i="2" a="1"/>
  <c r="AL21" i="2" a="1"/>
  <c r="AG71" i="2" a="1"/>
  <c r="AD16" i="2" a="1"/>
  <c r="AB43" i="2" a="1"/>
  <c r="AL19" i="2" a="1"/>
  <c r="AJ58" i="2" a="1"/>
  <c r="AI58" i="2" a="1"/>
  <c r="AE46" i="2" a="1"/>
  <c r="AC68" i="2" a="1"/>
  <c r="AM65" i="2" a="1"/>
  <c r="AI61" i="2" a="1"/>
  <c r="AF63" i="2" a="1"/>
  <c r="AI68" i="2" a="1"/>
  <c r="AN56" i="2" a="1"/>
  <c r="AN68" i="2" a="1"/>
  <c r="AO26" i="2" a="1"/>
  <c r="AK45" i="2" a="1"/>
  <c r="AE28" i="2" a="1"/>
  <c r="AN36" i="2" a="1"/>
  <c r="AN19" i="2" a="1"/>
  <c r="AB52" i="2" a="1"/>
  <c r="AC24" i="2" a="1"/>
  <c r="AK64" i="2" a="1"/>
  <c r="AN24" i="2" a="1"/>
  <c r="AF58" i="2" a="1"/>
  <c r="AL17" i="2" a="1"/>
  <c r="AI36" i="2" a="1"/>
  <c r="AH42" i="2" a="1"/>
  <c r="AL46" i="2" a="1"/>
  <c r="AL63" i="2" a="1"/>
  <c r="AL24" i="2" a="1"/>
  <c r="AB61" i="2" a="1"/>
  <c r="AK13" i="2" a="1"/>
  <c r="AI54" i="2" a="1"/>
  <c r="AF36" i="2" a="1"/>
  <c r="AC60" i="2" a="1"/>
  <c r="AK62" i="2" a="1"/>
  <c r="AH43" i="2" a="1"/>
  <c r="AK21" i="2" a="1"/>
  <c r="AJ50" i="2" a="1"/>
  <c r="AE41" i="2" a="1"/>
  <c r="AH45" i="2" a="1"/>
  <c r="AH17" i="2" a="1"/>
  <c r="AB11" i="2" a="1"/>
  <c r="AB60" i="2" a="1"/>
  <c r="AO47" i="2" a="1"/>
  <c r="AF60" i="2" a="1"/>
  <c r="AG36" i="2" a="1"/>
  <c r="AN40" i="2" a="1"/>
  <c r="AC66" i="2" a="1"/>
  <c r="AH64" i="2" a="1"/>
  <c r="AK60" i="2" a="1"/>
  <c r="AN62" i="2" a="1"/>
  <c r="AO67" i="2" a="1"/>
  <c r="AN71" i="2" a="1"/>
  <c r="AK46" i="2" a="1"/>
  <c r="AO42" i="2" a="1"/>
  <c r="AC59" i="2" a="1"/>
  <c r="AB57" i="2" a="1"/>
  <c r="AE15" i="2" a="1"/>
  <c r="AG16" i="2" a="1"/>
  <c r="AC67" i="2" a="1"/>
  <c r="AF15" i="2" a="1"/>
  <c r="AE52" i="2" a="1"/>
  <c r="AI27" i="2" a="1"/>
  <c r="AN43" i="2" a="1"/>
  <c r="AN42" i="2" a="1"/>
  <c r="AF47" i="2" a="1"/>
  <c r="AM69" i="2" a="1"/>
  <c r="AD57" i="2" a="1"/>
  <c r="AI40" i="2" a="1"/>
  <c r="AI70" i="2" a="1"/>
  <c r="AG70" i="2" a="1"/>
  <c r="AE51" i="2" a="1"/>
  <c r="AK40" i="2" a="1"/>
  <c r="AG28" i="2" a="1"/>
  <c r="AF62" i="2" a="1"/>
  <c r="AN49" i="2" a="1"/>
  <c r="AC70" i="2" a="1"/>
  <c r="AE26" i="2" a="1"/>
  <c r="AL70" i="2" a="1"/>
  <c r="AE21" i="2" a="1"/>
  <c r="AF18" i="2" a="1"/>
  <c r="AC58" i="2" a="1"/>
  <c r="AM64" i="2" a="1"/>
  <c r="AB49" i="2" a="1"/>
  <c r="AB63" i="2" a="1"/>
  <c r="AL43" i="2" a="1"/>
  <c r="AF69" i="2" a="1"/>
  <c r="AB68" i="2" a="1"/>
  <c r="AB16" i="2" a="1"/>
  <c r="AC28" i="2" a="1"/>
  <c r="AC47" i="2" a="1"/>
  <c r="AM16" i="2" a="1"/>
  <c r="AL16" i="2" a="1"/>
  <c r="AB26" i="2" a="1"/>
  <c r="AB53" i="2" a="1"/>
  <c r="AK20" i="2" a="1"/>
  <c r="AE59" i="2" a="1"/>
  <c r="AH60" i="2" a="1"/>
  <c r="AN28" i="2" a="1"/>
  <c r="AD40" i="2" a="1"/>
  <c r="AC56" i="2" a="1"/>
  <c r="AE62" i="2" a="1"/>
  <c r="AK56" i="2" a="1"/>
  <c r="AG48" i="2" a="1"/>
  <c r="AB41" i="2" a="1"/>
  <c r="AJ19" i="2" a="1"/>
  <c r="AP11" i="2" a="1"/>
  <c r="AL54" i="2" a="1"/>
  <c r="AF12" i="2" a="1"/>
  <c r="AG24" i="2" a="1"/>
  <c r="AD18" i="2" a="1"/>
  <c r="AI13" i="2" a="1"/>
  <c r="AK27" i="2" a="1"/>
  <c r="AC42" i="2" a="1"/>
  <c r="AO66" i="2" a="1"/>
  <c r="AE42" i="2" a="1"/>
  <c r="AH40" i="2" a="1"/>
  <c r="AM49" i="2" a="1"/>
  <c r="AD15" i="2" a="1"/>
  <c r="AM13" i="2" a="1"/>
  <c r="AG54" i="2" a="1"/>
  <c r="AN25" i="2" a="1"/>
  <c r="AH14" i="2" a="1"/>
  <c r="AK43" i="2" a="1"/>
  <c r="AL53" i="2" a="1"/>
  <c r="AE70" i="2" a="1"/>
  <c r="AI60" i="2" a="1"/>
  <c r="AF61" i="2" a="1"/>
  <c r="AL68" i="2" a="1"/>
  <c r="AF43" i="2" a="1"/>
  <c r="AM61" i="2" a="1"/>
  <c r="AO52" i="2" a="1"/>
  <c r="AK50" i="2" a="1"/>
  <c r="AJ43" i="2" a="1"/>
  <c r="AM71" i="2" a="1"/>
  <c r="AM67" i="2" a="1"/>
  <c r="AK53" i="2" a="1"/>
  <c r="AH68" i="2" a="1"/>
  <c r="AC48" i="2" a="1"/>
  <c r="AM42" i="2" a="1"/>
  <c r="AK52" i="2" a="1"/>
  <c r="AB36" i="2" a="1"/>
  <c r="AG15" i="2" a="1"/>
  <c r="AK12" i="2" a="1"/>
  <c r="AL69" i="2" a="1"/>
  <c r="AL25" i="2" a="1"/>
  <c r="AN16" i="2" a="1"/>
  <c r="AF28" i="2" a="1"/>
  <c r="AN13" i="2" a="1"/>
  <c r="AM43" i="2" a="1"/>
  <c r="AC41" i="2" a="1"/>
  <c r="AD54" i="2" a="1"/>
  <c r="AC17" i="2" a="1"/>
  <c r="AC14" i="2" a="1"/>
  <c r="AJ26" i="2" a="1"/>
  <c r="AO16" i="2" a="1"/>
  <c r="AF24" i="2" a="1"/>
  <c r="AC16" i="2" a="1"/>
  <c r="AN11" i="2" a="1"/>
  <c r="AC62" i="2" a="1"/>
  <c r="AN55" i="2" a="1"/>
  <c r="AL61" i="2" a="1"/>
  <c r="AK68" i="2" a="1"/>
  <c r="AE45" i="2" a="1"/>
  <c r="AL62" i="2" a="1"/>
  <c r="AJ55" i="2" a="1"/>
  <c r="AN51" i="2" a="1"/>
  <c r="AG45" i="2" a="1"/>
  <c r="AE40" i="2" a="1"/>
  <c r="AN69" i="2" a="1"/>
  <c r="AN54" i="2" a="1"/>
  <c r="AD36" i="2" a="1"/>
  <c r="AB17" i="2" a="1"/>
  <c r="AF56" i="2" a="1"/>
  <c r="AO71" i="2" a="1"/>
  <c r="AF51" i="2" a="1"/>
  <c r="AL51" i="2" a="1"/>
  <c r="AJ46" i="2" a="1"/>
  <c r="AM27" i="2" a="1"/>
  <c r="AK11" i="2" a="1"/>
  <c r="AE12" i="2" a="1"/>
  <c r="AM28" i="2" a="1"/>
  <c r="AO28" i="2" a="1"/>
  <c r="AN45" i="2" a="1"/>
  <c r="AL59" i="2" a="1"/>
  <c r="AN17" i="2" a="1"/>
  <c r="AJ24" i="2" a="1"/>
  <c r="AB20" i="2" a="1"/>
  <c r="AB13" i="2" a="1"/>
  <c r="AE14" i="2" a="1"/>
  <c r="AK25" i="2" a="1"/>
  <c r="AE54" i="2" a="1"/>
  <c r="AH18" i="2" a="1"/>
  <c r="AJ64" i="2" a="1"/>
  <c r="AF46" i="2" a="1"/>
  <c r="AH23" i="2" a="1"/>
  <c r="AM18" i="2" a="1"/>
  <c r="AK54" i="2" a="1"/>
  <c r="AN61" i="2" a="1"/>
  <c r="AL42" i="2" a="1"/>
  <c r="AL28" i="2" a="1"/>
  <c r="AM20" i="2" a="1"/>
  <c r="AF59" i="2" a="1"/>
  <c r="AL55" i="2" a="1"/>
  <c r="AC51" i="2" a="1"/>
  <c r="AJ60" i="2" a="1"/>
  <c r="AK70" i="2" a="1"/>
  <c r="AH59" i="2" a="1"/>
  <c r="AN47" i="2" a="1"/>
  <c r="AH65" i="2" a="1"/>
  <c r="AH67" i="2" a="1"/>
  <c r="AB45" i="2" a="1"/>
  <c r="AO50" i="2" a="1"/>
  <c r="AJ48" i="2" a="1"/>
  <c r="AK65" i="2" a="1"/>
  <c r="AJ63" i="2" a="1"/>
  <c r="AB21" i="2" a="1"/>
  <c r="AC27" i="2" a="1"/>
  <c r="AI66" i="2" a="1"/>
  <c r="AD55" i="2" a="1"/>
  <c r="AD60" i="2" a="1"/>
  <c r="AG46" i="2" a="1"/>
  <c r="AH61" i="2" a="1"/>
  <c r="AD43" i="2" a="1"/>
  <c r="AL60" i="2" a="1"/>
  <c r="AK48" i="2" a="1"/>
  <c r="AN66" i="2" a="1"/>
  <c r="AO68" i="2" a="1"/>
  <c r="AH58" i="2" a="1"/>
  <c r="AI48" i="2" a="1"/>
  <c r="AE49" i="2" a="1"/>
  <c r="AJ41" i="2" a="1"/>
  <c r="AC61" i="2" a="1"/>
  <c r="AI41" i="2" a="1"/>
  <c r="AB54" i="2" a="1"/>
  <c r="AM24" i="2" a="1"/>
  <c r="AG27" i="2" a="1"/>
  <c r="AE27" i="2" a="1"/>
  <c r="AE69" i="2" a="1"/>
  <c r="AD27" i="2" a="1"/>
  <c r="AH11" i="2" a="1"/>
  <c r="AM47" i="2" a="1"/>
  <c r="AD25" i="2" a="1"/>
  <c r="AN21" i="2" a="1"/>
  <c r="AI49" i="2" a="1"/>
  <c r="AM14" i="2" a="1"/>
  <c r="AC18" i="2" a="1"/>
  <c r="AG55" i="2" a="1"/>
  <c r="AG20" i="2" a="1"/>
  <c r="AF71" i="2" a="1"/>
  <c r="AB47" i="2" a="1"/>
  <c r="AD24" i="2" a="1"/>
  <c r="AB19" i="2" a="1"/>
  <c r="AH55" i="2" a="1"/>
  <c r="AF17" i="2" a="1"/>
  <c r="AO48" i="2" a="1"/>
  <c r="AL65" i="2" a="1"/>
  <c r="AE25" i="2" a="1"/>
  <c r="AO63" i="2" a="1"/>
  <c r="AM52" i="2" a="1"/>
  <c r="AE43" i="2" a="1"/>
  <c r="AI23" i="2" a="1"/>
  <c r="AO49" i="2" a="1"/>
  <c r="AB71" i="2" a="1"/>
  <c r="AK19" i="2" a="1"/>
  <c r="AG62" i="2" a="1"/>
  <c r="AJ69" i="2" a="1"/>
  <c r="AB42" i="2" a="1"/>
  <c r="AI45" i="2" a="1"/>
  <c r="AK55" i="2" a="1"/>
  <c r="AL48" i="2" a="1"/>
  <c r="AF48" i="2" a="1"/>
  <c r="AH48" i="2" a="1"/>
  <c r="AM44" i="2" a="1"/>
  <c r="AN32" i="2" a="1"/>
  <c r="AD31" i="2" a="1"/>
  <c r="AL81" i="2" a="1"/>
  <c r="AK77" i="2" a="1"/>
  <c r="AG44" i="2" a="1"/>
  <c r="AG75" i="2" a="1"/>
  <c r="AL77" i="2" a="1"/>
  <c r="AL44" i="2" a="1"/>
  <c r="AK34" i="2" a="1"/>
  <c r="AL37" i="2" a="1"/>
  <c r="AI38" i="2" a="1"/>
  <c r="AK79" i="2" a="1"/>
  <c r="AM76" i="2" a="1"/>
  <c r="AD33" i="2" a="1"/>
  <c r="AH73" i="2" a="1"/>
  <c r="AC29" i="2" a="1"/>
  <c r="AI78" i="2" a="1"/>
  <c r="AM75" i="2" a="1"/>
  <c r="AI34" i="2" a="1"/>
  <c r="AE75" i="2" a="1"/>
  <c r="AM29" i="2" a="1"/>
  <c r="AI79" i="2" a="1"/>
  <c r="AK29" i="2" a="1"/>
  <c r="AJ35" i="2" a="1"/>
  <c r="AN76" i="2" a="1"/>
  <c r="AJ76" i="2" a="1"/>
  <c r="AB73" i="2" a="1"/>
  <c r="AD81" i="2" a="1"/>
  <c r="AN30" i="2" a="1"/>
  <c r="AM73" i="2" a="1"/>
  <c r="AH74" i="2" a="1"/>
  <c r="AO76" i="2" a="1"/>
  <c r="AN29" i="2" a="1"/>
  <c r="AB81" i="2" a="1"/>
  <c r="AJ73" i="2" a="1"/>
  <c r="AF30" i="2" a="1"/>
  <c r="AE38" i="2" a="1"/>
  <c r="AJ81" i="2" a="1"/>
  <c r="AE37" i="2" a="1"/>
  <c r="AF35" i="2" a="1"/>
  <c r="AN33" i="2" a="1"/>
  <c r="AB35" i="2" a="1"/>
  <c r="AK75" i="2" a="1"/>
  <c r="AO33" i="2" a="1"/>
  <c r="AC39" i="2" a="1"/>
  <c r="AG29" i="2" a="1"/>
  <c r="AK74" i="2" a="1"/>
  <c r="AK78" i="2" a="1"/>
  <c r="AH75" i="2" a="1"/>
  <c r="AJ79" i="2" a="1"/>
  <c r="AO38" i="2" a="1"/>
  <c r="AI35" i="2" a="1"/>
  <c r="AI81" i="2" a="1"/>
  <c r="AF44" i="2" a="1"/>
  <c r="AJ38" i="2" a="1"/>
  <c r="AM81" i="2" a="1"/>
  <c r="AM33" i="2" a="1"/>
  <c r="AJ29" i="2" a="1"/>
  <c r="AN78" i="2" a="1"/>
  <c r="AI37" i="2" a="1"/>
  <c r="AH29" i="2" a="1"/>
  <c r="AB38" i="2" a="1"/>
  <c r="AK38" i="2" a="1"/>
  <c r="AH30" i="2" a="1"/>
  <c r="AE78" i="2" a="1"/>
  <c r="AO35" i="2" a="1"/>
  <c r="AO75" i="2" a="1"/>
  <c r="AK73" i="2" a="1"/>
  <c r="AE74" i="2" a="1"/>
  <c r="AM38" i="2" a="1"/>
  <c r="AB74" i="2" a="1"/>
  <c r="AM30" i="2" a="1"/>
  <c r="AE31" i="2" a="1"/>
  <c r="AP81" i="2" a="1"/>
  <c r="AO79" i="2" a="1"/>
  <c r="AE44" i="2" a="1"/>
  <c r="AO78" i="2" a="1"/>
  <c r="AO77" i="2" a="1"/>
  <c r="AG37" i="2" a="1"/>
  <c r="AK32" i="2" a="1"/>
  <c r="AH33" i="2" a="1"/>
  <c r="AN74" i="2" a="1"/>
  <c r="AH37" i="2" a="1"/>
  <c r="AI30" i="2" a="1"/>
  <c r="AN73" i="2" a="1"/>
  <c r="AJ39" i="2" a="1"/>
  <c r="AD78" i="2" a="1"/>
  <c r="AC34" i="2" a="1"/>
  <c r="AD76" i="2" a="1"/>
  <c r="AD77" i="2" a="1"/>
  <c r="AH35" i="2" a="1"/>
  <c r="AF33" i="2" a="1"/>
  <c r="AG38" i="2" a="1"/>
  <c r="AL78" i="2" a="1"/>
  <c r="AH38" i="2" a="1"/>
  <c r="AJ78" i="2" a="1"/>
  <c r="AF34" i="2" a="1"/>
  <c r="AH31" i="2" a="1"/>
  <c r="AD39" i="2" a="1"/>
  <c r="AC44" i="2" a="1"/>
  <c r="AG73" i="2" a="1"/>
  <c r="AB30" i="2" a="1"/>
  <c r="AF76" i="2" a="1"/>
  <c r="AO30" i="2" a="1"/>
  <c r="AI39" i="2" a="1"/>
  <c r="AB44" i="2" a="1"/>
  <c r="AE30" i="2" a="1"/>
  <c r="AM31" i="2" a="1"/>
  <c r="AJ74" i="2" a="1"/>
  <c r="AH78" i="2" a="1"/>
  <c r="AN79" i="2" a="1"/>
  <c r="AG77" i="2" a="1"/>
  <c r="AD35" i="2" a="1"/>
  <c r="AH77" i="2" a="1"/>
  <c r="AK30" i="2" a="1"/>
  <c r="AH34" i="2" a="1"/>
  <c r="AM34" i="2" a="1"/>
  <c r="AM77" i="2" a="1"/>
  <c r="AM32" i="2" a="1"/>
  <c r="AF73" i="2" a="1"/>
  <c r="AD34" i="2" a="1"/>
  <c r="AK31" i="2" a="1"/>
  <c r="AB75" i="2" a="1"/>
  <c r="AH39" i="2" a="1"/>
  <c r="AB79" i="2" a="1"/>
  <c r="AN77" i="2" a="1"/>
  <c r="AN38" i="2" a="1"/>
  <c r="AO34" i="2" a="1"/>
  <c r="AF77" i="2" a="1"/>
  <c r="AN34" i="2" a="1"/>
  <c r="AO44" i="2" a="1"/>
  <c r="AC37" i="2" a="1"/>
  <c r="AF39" i="2" a="1"/>
  <c r="AI75" i="2" a="1"/>
  <c r="AC79" i="2" a="1"/>
  <c r="AL76" i="2" a="1"/>
  <c r="AN81" i="2" a="1"/>
  <c r="AI32" i="2" a="1"/>
  <c r="AK35" i="2" a="1"/>
  <c r="AB29" i="2" a="1"/>
  <c r="AM79" i="2" a="1"/>
  <c r="AE34" i="2" a="1"/>
  <c r="AO81" i="2" a="1"/>
  <c r="AG35" i="2" a="1"/>
  <c r="AH44" i="2" a="1"/>
  <c r="AO74" i="2" a="1"/>
  <c r="AM37" i="2" a="1"/>
  <c r="AL38" i="2" a="1"/>
  <c r="AL75" i="2" a="1"/>
  <c r="AD30" i="2" a="1"/>
  <c r="AD44" i="2" a="1"/>
  <c r="AO73" i="2" a="1"/>
  <c r="AD29" i="2" a="1"/>
  <c r="AC75" i="2" a="1"/>
  <c r="AJ77" i="2" a="1"/>
  <c r="AI31" i="2" a="1"/>
  <c r="AC38" i="2" a="1"/>
  <c r="AD73" i="2" a="1"/>
  <c r="AG74" i="2" a="1"/>
  <c r="AB76" i="2" a="1"/>
  <c r="AB78" i="2" a="1"/>
  <c r="AJ34" i="2" a="1"/>
  <c r="AL79" i="2" a="1"/>
  <c r="AI29" i="2" a="1"/>
  <c r="AE77" i="2" a="1"/>
  <c r="AD79" i="2" a="1"/>
  <c r="AF38" i="2" a="1"/>
  <c r="AK44" i="2" a="1"/>
  <c r="AL31" i="2" a="1"/>
  <c r="AF79" i="2" a="1"/>
  <c r="AC81" i="2" a="1"/>
  <c r="AC76" i="2" a="1"/>
  <c r="AK81" i="2" a="1"/>
  <c r="AO39" i="2" a="1"/>
  <c r="AJ37" i="2" a="1"/>
  <c r="AJ33" i="2" a="1"/>
  <c r="AL74" i="2" a="1"/>
  <c r="AH76" i="2" a="1"/>
  <c r="AK76" i="2" a="1"/>
  <c r="AL73" i="2" a="1"/>
  <c r="AH79" i="2" a="1"/>
  <c r="AJ75" i="2" a="1"/>
  <c r="AE81" i="2" a="1"/>
  <c r="AD38" i="2" a="1"/>
  <c r="AI74" i="2" a="1"/>
  <c r="AJ44" i="2" a="1"/>
  <c r="AB33" i="2" a="1"/>
  <c r="AE39" i="2" a="1"/>
  <c r="AB34" i="2" a="1"/>
  <c r="AC35" i="2" a="1"/>
  <c r="AF29" i="2" a="1"/>
  <c r="AE33" i="2" a="1"/>
  <c r="AK39" i="2" a="1"/>
  <c r="AF78" i="2" a="1"/>
  <c r="AG34" i="2" a="1"/>
  <c r="AG76" i="2" a="1"/>
  <c r="AL34" i="2" a="1"/>
  <c r="AO29" i="2" a="1"/>
  <c r="AM35" i="2" a="1"/>
  <c r="AN35" i="2" a="1"/>
  <c r="AL30" i="2" a="1"/>
  <c r="AD74" i="2" a="1"/>
  <c r="AE73" i="2" a="1"/>
  <c r="AG39" i="2" a="1"/>
  <c r="AC77" i="2" a="1"/>
  <c r="AJ30" i="2" a="1"/>
  <c r="AD32" i="2" a="1"/>
  <c r="AI44" i="2" a="1"/>
  <c r="AN44" i="2" a="1"/>
  <c r="AB31" i="2" a="1"/>
  <c r="AJ31" i="2" a="1"/>
  <c r="AL39" i="2" a="1"/>
  <c r="AG78" i="2" a="1"/>
  <c r="AM74" i="2" a="1"/>
  <c r="AE79" i="2" a="1"/>
  <c r="AB77" i="2" a="1"/>
  <c r="AI76" i="2" a="1"/>
  <c r="AN39" i="2" a="1"/>
  <c r="AC30" i="2" a="1"/>
  <c r="AE29" i="2" a="1"/>
  <c r="AC33" i="2" a="1"/>
  <c r="AO37" i="2" a="1"/>
  <c r="AF31" i="2" a="1"/>
  <c r="AL29" i="2" a="1"/>
  <c r="AI33" i="2" a="1"/>
  <c r="AK37" i="2" a="1"/>
  <c r="AN31" i="2" a="1"/>
  <c r="AF81" i="2" a="1"/>
  <c r="AG79" i="2" a="1"/>
  <c r="AC74" i="2" a="1"/>
  <c r="AF74" i="2" a="1"/>
  <c r="AM78" i="2" a="1"/>
  <c r="AB32" i="2" a="1"/>
  <c r="AN37" i="2" a="1"/>
  <c r="AM39" i="2" a="1"/>
  <c r="AL33" i="2" a="1"/>
  <c r="AI77" i="2" a="1"/>
  <c r="AC78" i="2" a="1"/>
  <c r="AE76" i="2" a="1"/>
  <c r="AO31" i="2" a="1"/>
  <c r="AG32" i="2" a="1"/>
  <c r="AE35" i="2" a="1"/>
  <c r="AH81" i="2" a="1"/>
  <c r="AK33" i="2" a="1"/>
  <c r="AC31" i="2" a="1"/>
  <c r="AF75" i="2" a="1"/>
  <c r="AI73" i="2" a="1"/>
  <c r="AG30" i="2" a="1"/>
  <c r="AF37" i="2" a="1"/>
  <c r="AL35" i="2" a="1"/>
  <c r="AG33" i="2" a="1"/>
  <c r="AB37" i="2" a="1"/>
  <c r="AD37" i="2" a="1"/>
  <c r="AN75" i="2" a="1"/>
  <c r="AD75" i="2" a="1"/>
  <c r="AB39" i="2" a="1"/>
  <c r="AG31" i="2" a="1"/>
  <c r="AG81" i="2" a="1"/>
  <c r="AC73" i="2" a="1"/>
  <c r="AH32" i="2" a="1"/>
  <c r="AF80" i="2" a="1"/>
  <c r="AI80" i="2" a="1"/>
  <c r="AI72" i="2" a="1"/>
  <c r="AH72" i="2" a="1"/>
  <c r="AN72" i="2" a="1"/>
  <c r="AL32" i="2" a="1"/>
  <c r="AL80" i="2" a="1"/>
  <c r="AB80" i="2" a="1"/>
  <c r="AM80" i="2" a="1"/>
  <c r="AB72" i="2" a="1"/>
  <c r="AO72" i="2" a="1"/>
  <c r="AL72" i="2" a="1"/>
  <c r="AO32" i="2" a="1"/>
  <c r="AJ80" i="2" a="1"/>
  <c r="AD80" i="2" a="1"/>
  <c r="AK80" i="2" a="1"/>
  <c r="AH80" i="2" a="1"/>
  <c r="AE80" i="2" a="1"/>
  <c r="AE32" i="2" a="1"/>
  <c r="AE72" i="2" a="1"/>
  <c r="AG80" i="2" a="1"/>
  <c r="AJ32" i="2" a="1"/>
  <c r="AM72" i="2" a="1"/>
  <c r="AK72" i="2" a="1"/>
  <c r="AN80" i="2" a="1"/>
  <c r="AD72" i="2" a="1"/>
  <c r="AC32" i="2" a="1"/>
  <c r="AG72" i="2" a="1"/>
  <c r="AJ72" i="2" a="1"/>
  <c r="AC72" i="2" a="1"/>
  <c r="AO80" i="2" a="1"/>
  <c r="AC80" i="2" a="1"/>
  <c r="AF72" i="2" a="1"/>
  <c r="AF32" i="2" a="1"/>
  <c r="AA37" i="3" l="1"/>
  <c r="X37" i="3"/>
  <c r="N37" i="3"/>
  <c r="W10" i="3"/>
  <c r="AK10" i="3"/>
  <c r="AD10" i="3"/>
  <c r="AE37" i="3"/>
  <c r="Q37" i="3"/>
  <c r="Z10" i="3"/>
  <c r="AH10" i="3"/>
  <c r="K10" i="3"/>
  <c r="P37" i="3"/>
  <c r="D37" i="3"/>
  <c r="AB37" i="3"/>
  <c r="O37" i="3"/>
  <c r="G10" i="3"/>
  <c r="P10" i="3"/>
  <c r="O10" i="3"/>
  <c r="I37" i="3"/>
  <c r="AD37" i="3"/>
  <c r="I10" i="3"/>
  <c r="AF10" i="3"/>
  <c r="D10" i="3"/>
  <c r="C10" i="3"/>
  <c r="AJ37" i="3"/>
  <c r="Q10" i="3"/>
  <c r="W37" i="3"/>
  <c r="AG45" i="2"/>
  <c r="J45" i="2" s="1"/>
  <c r="AM60" i="2"/>
  <c r="P60" i="2" s="1"/>
  <c r="AK50" i="2"/>
  <c r="N50" i="2" s="1"/>
  <c r="AL30" i="2"/>
  <c r="O30" i="2" s="1"/>
  <c r="AJ49" i="2"/>
  <c r="M49" i="2" s="1"/>
  <c r="AG74" i="2"/>
  <c r="J74" i="2" s="1"/>
  <c r="AN48" i="2"/>
  <c r="Q48" i="2" s="1"/>
  <c r="AG59" i="2"/>
  <c r="J59" i="2" s="1"/>
  <c r="AG49" i="2"/>
  <c r="J49" i="2" s="1"/>
  <c r="AD80" i="2"/>
  <c r="G80" i="2" s="1"/>
  <c r="AJ72" i="2"/>
  <c r="M72" i="2" s="1"/>
  <c r="AB72" i="2"/>
  <c r="E72" i="2" s="1"/>
  <c r="AO78" i="2"/>
  <c r="R78" i="2" s="1"/>
  <c r="AC58" i="2"/>
  <c r="F58" i="2" s="1"/>
  <c r="AE72" i="2"/>
  <c r="H72" i="2" s="1"/>
  <c r="AH48" i="2"/>
  <c r="K48" i="2" s="1"/>
  <c r="AE53" i="2"/>
  <c r="H53" i="2" s="1"/>
  <c r="AG47" i="2"/>
  <c r="J47" i="2" s="1"/>
  <c r="AB79" i="2"/>
  <c r="E79" i="2" s="1"/>
  <c r="AM80" i="2"/>
  <c r="P80" i="2" s="1"/>
  <c r="AK74" i="2"/>
  <c r="N74" i="2" s="1"/>
  <c r="AE44" i="2"/>
  <c r="H44" i="2" s="1"/>
  <c r="AL26" i="2"/>
  <c r="O26" i="2" s="1"/>
  <c r="AL20" i="2"/>
  <c r="O20" i="2" s="1"/>
  <c r="AE26" i="2"/>
  <c r="H26" i="2" s="1"/>
  <c r="AG14" i="2"/>
  <c r="J14" i="2" s="1"/>
  <c r="AF51" i="2"/>
  <c r="I51" i="2" s="1"/>
  <c r="AF28" i="2"/>
  <c r="I28" i="2" s="1"/>
  <c r="AJ58" i="2"/>
  <c r="M58" i="2" s="1"/>
  <c r="AK78" i="2"/>
  <c r="N78" i="2" s="1"/>
  <c r="AF80" i="2"/>
  <c r="I80" i="2" s="1"/>
  <c r="AD52" i="2"/>
  <c r="G52" i="2" s="1"/>
  <c r="AL46" i="2"/>
  <c r="O46" i="2" s="1"/>
  <c r="AG52" i="2"/>
  <c r="J52" i="2" s="1"/>
  <c r="AI34" i="2"/>
  <c r="L34" i="2" s="1"/>
  <c r="AH42" i="2"/>
  <c r="K42" i="2" s="1"/>
  <c r="AG28" i="2"/>
  <c r="J28" i="2" s="1"/>
  <c r="AE58" i="2"/>
  <c r="H58" i="2" s="1"/>
  <c r="AG42" i="2"/>
  <c r="J42" i="2" s="1"/>
  <c r="AB35" i="2"/>
  <c r="E35" i="2" s="1"/>
  <c r="AM26" i="2"/>
  <c r="P26" i="2" s="1"/>
  <c r="AJ20" i="2"/>
  <c r="M20" i="2" s="1"/>
  <c r="AB53" i="2"/>
  <c r="E53" i="2" s="1"/>
  <c r="AO47" i="2"/>
  <c r="R47" i="2" s="1"/>
  <c r="AJ50" i="2"/>
  <c r="M50" i="2" s="1"/>
  <c r="AD46" i="2"/>
  <c r="G46" i="2" s="1"/>
  <c r="AC60" i="2"/>
  <c r="F60" i="2" s="1"/>
  <c r="AD20" i="2"/>
  <c r="G20" i="2" s="1"/>
  <c r="AM35" i="2"/>
  <c r="P35" i="2" s="1"/>
  <c r="AD23" i="2"/>
  <c r="G23" i="2" s="1"/>
  <c r="AK72" i="2"/>
  <c r="N72" i="2" s="1"/>
  <c r="AJ78" i="2"/>
  <c r="M78" i="2" s="1"/>
  <c r="AE52" i="2"/>
  <c r="H52" i="2" s="1"/>
  <c r="AK20" i="2"/>
  <c r="N20" i="2" s="1"/>
  <c r="AB26" i="2"/>
  <c r="E26" i="2" s="1"/>
  <c r="AK60" i="2"/>
  <c r="N60" i="2" s="1"/>
  <c r="AF79" i="2"/>
  <c r="I79" i="2" s="1"/>
  <c r="AF60" i="2"/>
  <c r="I60" i="2" s="1"/>
  <c r="AB60" i="2"/>
  <c r="E60" i="2" s="1"/>
  <c r="AE28" i="2"/>
  <c r="H28" i="2" s="1"/>
  <c r="AO30" i="2"/>
  <c r="R30" i="2" s="1"/>
  <c r="AH80" i="2"/>
  <c r="K80" i="2" s="1"/>
  <c r="AC59" i="2"/>
  <c r="F59" i="2" s="1"/>
  <c r="AN59" i="2"/>
  <c r="Q59" i="2" s="1"/>
  <c r="AL80" i="2"/>
  <c r="O80" i="2" s="1"/>
  <c r="AH44" i="2"/>
  <c r="K44" i="2" s="1"/>
  <c r="AG35" i="2"/>
  <c r="J35" i="2" s="1"/>
  <c r="AM51" i="2"/>
  <c r="P51" i="2" s="1"/>
  <c r="AO59" i="2"/>
  <c r="R59" i="2" s="1"/>
  <c r="AB59" i="2"/>
  <c r="E59" i="2" s="1"/>
  <c r="AJ47" i="2"/>
  <c r="M47" i="2" s="1"/>
  <c r="AH53" i="2"/>
  <c r="K53" i="2" s="1"/>
  <c r="AC26" i="2"/>
  <c r="F26" i="2" s="1"/>
  <c r="AG30" i="2"/>
  <c r="J30" i="2" s="1"/>
  <c r="AH50" i="2"/>
  <c r="K50" i="2" s="1"/>
  <c r="AN72" i="2"/>
  <c r="Q72" i="2" s="1"/>
  <c r="AH26" i="2"/>
  <c r="K26" i="2" s="1"/>
  <c r="AD53" i="2"/>
  <c r="G53" i="2" s="1"/>
  <c r="AC20" i="2"/>
  <c r="F20" i="2" s="1"/>
  <c r="AH32" i="2"/>
  <c r="K32" i="2" s="1"/>
  <c r="AC49" i="2"/>
  <c r="F49" i="2" s="1"/>
  <c r="AC14" i="2"/>
  <c r="F14" i="2" s="1"/>
  <c r="AI58" i="2"/>
  <c r="L58" i="2" s="1"/>
  <c r="AE59" i="2"/>
  <c r="H59" i="2" s="1"/>
  <c r="AI45" i="2"/>
  <c r="L45" i="2" s="1"/>
  <c r="AI42" i="2"/>
  <c r="L42" i="2" s="1"/>
  <c r="AC47" i="2"/>
  <c r="F47" i="2" s="1"/>
  <c r="AE32" i="2"/>
  <c r="H32" i="2" s="1"/>
  <c r="AL48" i="2"/>
  <c r="O48" i="2" s="1"/>
  <c r="AB42" i="2"/>
  <c r="E42" i="2" s="1"/>
  <c r="AH45" i="2"/>
  <c r="K45" i="2" s="1"/>
  <c r="AD79" i="2"/>
  <c r="G79" i="2" s="1"/>
  <c r="AK79" i="2"/>
  <c r="N79" i="2" s="1"/>
  <c r="AM79" i="2"/>
  <c r="P79" i="2" s="1"/>
  <c r="AL78" i="2"/>
  <c r="O78" i="2" s="1"/>
  <c r="AG60" i="2"/>
  <c r="J60" i="2" s="1"/>
  <c r="AE78" i="2"/>
  <c r="H78" i="2" s="1"/>
  <c r="AK42" i="2"/>
  <c r="N42" i="2" s="1"/>
  <c r="AB48" i="2"/>
  <c r="E48" i="2" s="1"/>
  <c r="AO53" i="2"/>
  <c r="R53" i="2" s="1"/>
  <c r="AH30" i="2"/>
  <c r="K30" i="2" s="1"/>
  <c r="AB58" i="2"/>
  <c r="E58" i="2" s="1"/>
  <c r="AJ42" i="2"/>
  <c r="M42" i="2" s="1"/>
  <c r="AJ53" i="2"/>
  <c r="M53" i="2" s="1"/>
  <c r="AL49" i="2"/>
  <c r="O49" i="2" s="1"/>
  <c r="AE49" i="2"/>
  <c r="H49" i="2" s="1"/>
  <c r="AH35" i="2"/>
  <c r="K35" i="2" s="1"/>
  <c r="AC46" i="2"/>
  <c r="F46" i="2" s="1"/>
  <c r="AK30" i="2"/>
  <c r="N30" i="2" s="1"/>
  <c r="AI28" i="2"/>
  <c r="L28" i="2" s="1"/>
  <c r="AN20" i="2"/>
  <c r="Q20" i="2" s="1"/>
  <c r="AC52" i="2"/>
  <c r="F52" i="2" s="1"/>
  <c r="AG26" i="2"/>
  <c r="J26" i="2" s="1"/>
  <c r="AF30" i="2"/>
  <c r="I30" i="2" s="1"/>
  <c r="AH60" i="2"/>
  <c r="K60" i="2" s="1"/>
  <c r="AJ59" i="2"/>
  <c r="M59" i="2" s="1"/>
  <c r="AK80" i="2"/>
  <c r="N80" i="2" s="1"/>
  <c r="AL44" i="2"/>
  <c r="O44" i="2" s="1"/>
  <c r="AN52" i="2"/>
  <c r="Q52" i="2" s="1"/>
  <c r="AM53" i="2"/>
  <c r="P53" i="2" s="1"/>
  <c r="AJ48" i="2"/>
  <c r="M48" i="2" s="1"/>
  <c r="AH46" i="2"/>
  <c r="K46" i="2" s="1"/>
  <c r="AH28" i="2"/>
  <c r="K28" i="2" s="1"/>
  <c r="AF48" i="2"/>
  <c r="I48" i="2" s="1"/>
  <c r="AD59" i="2"/>
  <c r="G59" i="2" s="1"/>
  <c r="AC34" i="2"/>
  <c r="F34" i="2" s="1"/>
  <c r="AD35" i="2"/>
  <c r="G35" i="2" s="1"/>
  <c r="AI26" i="2"/>
  <c r="L26" i="2" s="1"/>
  <c r="AF23" i="2"/>
  <c r="I23" i="2" s="1"/>
  <c r="AD14" i="2"/>
  <c r="G14" i="2" s="1"/>
  <c r="AD28" i="2"/>
  <c r="G28" i="2" s="1"/>
  <c r="AK14" i="2"/>
  <c r="N14" i="2" s="1"/>
  <c r="AO44" i="2"/>
  <c r="R44" i="2" s="1"/>
  <c r="AE20" i="2"/>
  <c r="H20" i="2" s="1"/>
  <c r="AI47" i="2"/>
  <c r="L47" i="2" s="1"/>
  <c r="AN34" i="2"/>
  <c r="Q34" i="2" s="1"/>
  <c r="AJ28" i="2"/>
  <c r="M28" i="2" s="1"/>
  <c r="AJ45" i="2"/>
  <c r="M45" i="2" s="1"/>
  <c r="AB23" i="2"/>
  <c r="E23" i="2" s="1"/>
  <c r="AO74" i="2"/>
  <c r="R74" i="2" s="1"/>
  <c r="AO72" i="2"/>
  <c r="R72" i="2" s="1"/>
  <c r="AB78" i="2"/>
  <c r="E78" i="2" s="1"/>
  <c r="AI60" i="2"/>
  <c r="L60" i="2" s="1"/>
  <c r="AN35" i="2"/>
  <c r="Q35" i="2" s="1"/>
  <c r="AM49" i="2"/>
  <c r="P49" i="2" s="1"/>
  <c r="AI51" i="2"/>
  <c r="L51" i="2" s="1"/>
  <c r="AB46" i="2"/>
  <c r="E46" i="2" s="1"/>
  <c r="AB52" i="2"/>
  <c r="E52" i="2" s="1"/>
  <c r="AM72" i="2"/>
  <c r="P72" i="2" s="1"/>
  <c r="AG48" i="2"/>
  <c r="J48" i="2" s="1"/>
  <c r="AN78" i="2"/>
  <c r="Q78" i="2" s="1"/>
  <c r="AO58" i="2"/>
  <c r="R58" i="2" s="1"/>
  <c r="AD78" i="2"/>
  <c r="G78" i="2" s="1"/>
  <c r="AI80" i="2"/>
  <c r="L80" i="2" s="1"/>
  <c r="AF53" i="2"/>
  <c r="I53" i="2" s="1"/>
  <c r="AC79" i="2"/>
  <c r="F79" i="2" s="1"/>
  <c r="AN58" i="2"/>
  <c r="Q58" i="2" s="1"/>
  <c r="AJ80" i="2"/>
  <c r="M80" i="2" s="1"/>
  <c r="AF32" i="2"/>
  <c r="I32" i="2" s="1"/>
  <c r="AK51" i="2"/>
  <c r="N51" i="2" s="1"/>
  <c r="AK28" i="2"/>
  <c r="N28" i="2" s="1"/>
  <c r="AH52" i="2"/>
  <c r="K52" i="2" s="1"/>
  <c r="AJ51" i="2"/>
  <c r="M51" i="2" s="1"/>
  <c r="AI46" i="2"/>
  <c r="L46" i="2" s="1"/>
  <c r="AE34" i="2"/>
  <c r="H34" i="2" s="1"/>
  <c r="AD48" i="2"/>
  <c r="G48" i="2" s="1"/>
  <c r="AO32" i="2"/>
  <c r="R32" i="2" s="1"/>
  <c r="AN79" i="2"/>
  <c r="Q79" i="2" s="1"/>
  <c r="AI52" i="2"/>
  <c r="L52" i="2" s="1"/>
  <c r="AH78" i="2"/>
  <c r="K78" i="2" s="1"/>
  <c r="AF50" i="2"/>
  <c r="I50" i="2" s="1"/>
  <c r="AJ74" i="2"/>
  <c r="M74" i="2" s="1"/>
  <c r="AM58" i="2"/>
  <c r="P58" i="2" s="1"/>
  <c r="AI30" i="2"/>
  <c r="L30" i="2" s="1"/>
  <c r="AL50" i="2"/>
  <c r="O50" i="2" s="1"/>
  <c r="AG51" i="2"/>
  <c r="J51" i="2" s="1"/>
  <c r="AC50" i="2"/>
  <c r="F50" i="2" s="1"/>
  <c r="AE35" i="2"/>
  <c r="H35" i="2" s="1"/>
  <c r="AM45" i="2"/>
  <c r="P45" i="2" s="1"/>
  <c r="AG32" i="2"/>
  <c r="J32" i="2" s="1"/>
  <c r="AK26" i="2"/>
  <c r="N26" i="2" s="1"/>
  <c r="AL47" i="2"/>
  <c r="O47" i="2" s="1"/>
  <c r="AN46" i="2"/>
  <c r="Q46" i="2" s="1"/>
  <c r="AL52" i="2"/>
  <c r="O52" i="2" s="1"/>
  <c r="AB14" i="2"/>
  <c r="E14" i="2" s="1"/>
  <c r="AB32" i="2"/>
  <c r="E32" i="2" s="1"/>
  <c r="AL14" i="2"/>
  <c r="O14" i="2" s="1"/>
  <c r="AC23" i="2"/>
  <c r="F23" i="2" s="1"/>
  <c r="AF26" i="2"/>
  <c r="I26" i="2" s="1"/>
  <c r="AE30" i="2"/>
  <c r="H30" i="2" s="1"/>
  <c r="AI72" i="2"/>
  <c r="L72" i="2" s="1"/>
  <c r="AI59" i="2"/>
  <c r="L59" i="2" s="1"/>
  <c r="AL51" i="2"/>
  <c r="O51" i="2" s="1"/>
  <c r="AD49" i="2"/>
  <c r="G49" i="2" s="1"/>
  <c r="AH72" i="2"/>
  <c r="K72" i="2" s="1"/>
  <c r="AI74" i="2"/>
  <c r="L74" i="2" s="1"/>
  <c r="AO79" i="2"/>
  <c r="R79" i="2" s="1"/>
  <c r="AN49" i="2"/>
  <c r="Q49" i="2" s="1"/>
  <c r="AN26" i="2"/>
  <c r="Q26" i="2" s="1"/>
  <c r="AG50" i="2"/>
  <c r="J50" i="2" s="1"/>
  <c r="AM34" i="2"/>
  <c r="P34" i="2" s="1"/>
  <c r="AF20" i="2"/>
  <c r="I20" i="2" s="1"/>
  <c r="AK45" i="2"/>
  <c r="N45" i="2" s="1"/>
  <c r="AO42" i="2"/>
  <c r="R42" i="2" s="1"/>
  <c r="AH51" i="2"/>
  <c r="K51" i="2" s="1"/>
  <c r="AF14" i="2"/>
  <c r="I14" i="2" s="1"/>
  <c r="AN30" i="2"/>
  <c r="Q30" i="2" s="1"/>
  <c r="AG23" i="2"/>
  <c r="J23" i="2" s="1"/>
  <c r="AF45" i="2"/>
  <c r="I45" i="2" s="1"/>
  <c r="AJ14" i="2"/>
  <c r="M14" i="2" s="1"/>
  <c r="AI20" i="2"/>
  <c r="L20" i="2" s="1"/>
  <c r="AF78" i="2"/>
  <c r="I78" i="2" s="1"/>
  <c r="AB51" i="2"/>
  <c r="E51" i="2" s="1"/>
  <c r="AB28" i="2"/>
  <c r="E28" i="2" s="1"/>
  <c r="AE48" i="2"/>
  <c r="H48" i="2" s="1"/>
  <c r="AO20" i="2"/>
  <c r="R20" i="2" s="1"/>
  <c r="AK32" i="2"/>
  <c r="N32" i="2" s="1"/>
  <c r="AC53" i="2"/>
  <c r="F53" i="2" s="1"/>
  <c r="AO46" i="2"/>
  <c r="R46" i="2" s="1"/>
  <c r="AJ26" i="2"/>
  <c r="M26" i="2" s="1"/>
  <c r="AE74" i="2"/>
  <c r="H74" i="2" s="1"/>
  <c r="AN42" i="2"/>
  <c r="Q42" i="2" s="1"/>
  <c r="AB30" i="2"/>
  <c r="E30" i="2" s="1"/>
  <c r="AC44" i="2"/>
  <c r="F44" i="2" s="1"/>
  <c r="AF42" i="2"/>
  <c r="I42" i="2" s="1"/>
  <c r="AI14" i="2"/>
  <c r="L14" i="2" s="1"/>
  <c r="AD26" i="2"/>
  <c r="G26" i="2" s="1"/>
  <c r="AI48" i="2"/>
  <c r="L48" i="2" s="1"/>
  <c r="AD44" i="2"/>
  <c r="G44" i="2" s="1"/>
  <c r="AH34" i="2"/>
  <c r="K34" i="2" s="1"/>
  <c r="AK34" i="2"/>
  <c r="N34" i="2" s="1"/>
  <c r="AF35" i="2"/>
  <c r="I35" i="2" s="1"/>
  <c r="AM30" i="2"/>
  <c r="P30" i="2" s="1"/>
  <c r="AK53" i="2"/>
  <c r="N53" i="2" s="1"/>
  <c r="AD74" i="2"/>
  <c r="G74" i="2" s="1"/>
  <c r="AF47" i="2"/>
  <c r="I47" i="2" s="1"/>
  <c r="AL74" i="2"/>
  <c r="O74" i="2" s="1"/>
  <c r="AC28" i="2"/>
  <c r="F28" i="2" s="1"/>
  <c r="AH74" i="2"/>
  <c r="K74" i="2" s="1"/>
  <c r="AJ79" i="2"/>
  <c r="M79" i="2" s="1"/>
  <c r="AO50" i="2"/>
  <c r="R50" i="2" s="1"/>
  <c r="AK47" i="2"/>
  <c r="N47" i="2" s="1"/>
  <c r="AN74" i="2"/>
  <c r="Q74" i="2" s="1"/>
  <c r="AI53" i="2"/>
  <c r="L53" i="2" s="1"/>
  <c r="AL58" i="2"/>
  <c r="O58" i="2" s="1"/>
  <c r="AE47" i="2"/>
  <c r="H47" i="2" s="1"/>
  <c r="AN60" i="2"/>
  <c r="Q60" i="2" s="1"/>
  <c r="AN32" i="2"/>
  <c r="Q32" i="2" s="1"/>
  <c r="AM78" i="2"/>
  <c r="P78" i="2" s="1"/>
  <c r="AE50" i="2"/>
  <c r="H50" i="2" s="1"/>
  <c r="AI79" i="2"/>
  <c r="L79" i="2" s="1"/>
  <c r="AO80" i="2"/>
  <c r="R80" i="2" s="1"/>
  <c r="AL45" i="2"/>
  <c r="O45" i="2" s="1"/>
  <c r="AF72" i="2"/>
  <c r="I72" i="2" s="1"/>
  <c r="AE51" i="2"/>
  <c r="H51" i="2" s="1"/>
  <c r="AM50" i="2"/>
  <c r="P50" i="2" s="1"/>
  <c r="AO51" i="2"/>
  <c r="R51" i="2" s="1"/>
  <c r="AO26" i="2"/>
  <c r="R26" i="2" s="1"/>
  <c r="AF34" i="2"/>
  <c r="I34" i="2" s="1"/>
  <c r="AK46" i="2"/>
  <c r="N46" i="2" s="1"/>
  <c r="AJ35" i="2"/>
  <c r="M35" i="2" s="1"/>
  <c r="AD58" i="2"/>
  <c r="G58" i="2" s="1"/>
  <c r="AD42" i="2"/>
  <c r="G42" i="2" s="1"/>
  <c r="AD30" i="2"/>
  <c r="G30" i="2" s="1"/>
  <c r="AO35" i="2"/>
  <c r="R35" i="2" s="1"/>
  <c r="AD50" i="2"/>
  <c r="G50" i="2" s="1"/>
  <c r="AI32" i="2"/>
  <c r="L32" i="2" s="1"/>
  <c r="AF44" i="2"/>
  <c r="I44" i="2" s="1"/>
  <c r="AI35" i="2"/>
  <c r="L35" i="2" s="1"/>
  <c r="AC45" i="2"/>
  <c r="F45" i="2" s="1"/>
  <c r="AN51" i="2"/>
  <c r="Q51" i="2" s="1"/>
  <c r="AJ34" i="2"/>
  <c r="M34" i="2" s="1"/>
  <c r="AF58" i="2"/>
  <c r="I58" i="2" s="1"/>
  <c r="AL53" i="2"/>
  <c r="O53" i="2" s="1"/>
  <c r="AH14" i="2"/>
  <c r="K14" i="2" s="1"/>
  <c r="AC42" i="2"/>
  <c r="F42" i="2" s="1"/>
  <c r="AO60" i="2"/>
  <c r="R60" i="2" s="1"/>
  <c r="AC35" i="2"/>
  <c r="F35" i="2" s="1"/>
  <c r="AE46" i="2"/>
  <c r="H46" i="2" s="1"/>
  <c r="AC80" i="2"/>
  <c r="F80" i="2" s="1"/>
  <c r="AC72" i="2"/>
  <c r="F72" i="2" s="1"/>
  <c r="AC78" i="2"/>
  <c r="F78" i="2" s="1"/>
  <c r="AH49" i="2"/>
  <c r="K49" i="2" s="1"/>
  <c r="AB80" i="2"/>
  <c r="E80" i="2" s="1"/>
  <c r="AM44" i="2"/>
  <c r="P44" i="2" s="1"/>
  <c r="AH47" i="2"/>
  <c r="K47" i="2" s="1"/>
  <c r="AG53" i="2"/>
  <c r="J53" i="2" s="1"/>
  <c r="AN50" i="2"/>
  <c r="Q50" i="2" s="1"/>
  <c r="AD45" i="2"/>
  <c r="G45" i="2" s="1"/>
  <c r="AN53" i="2"/>
  <c r="Q53" i="2" s="1"/>
  <c r="AD34" i="2"/>
  <c r="G34" i="2" s="1"/>
  <c r="AF49" i="2"/>
  <c r="I49" i="2" s="1"/>
  <c r="AL34" i="2"/>
  <c r="O34" i="2" s="1"/>
  <c r="AD51" i="2"/>
  <c r="G51" i="2" s="1"/>
  <c r="AH58" i="2"/>
  <c r="K58" i="2" s="1"/>
  <c r="AB45" i="2"/>
  <c r="E45" i="2" s="1"/>
  <c r="AK52" i="2"/>
  <c r="N52" i="2" s="1"/>
  <c r="AK35" i="2"/>
  <c r="N35" i="2" s="1"/>
  <c r="AB49" i="2"/>
  <c r="E49" i="2" s="1"/>
  <c r="AG44" i="2"/>
  <c r="J44" i="2" s="1"/>
  <c r="AM46" i="2"/>
  <c r="P46" i="2" s="1"/>
  <c r="AL79" i="2"/>
  <c r="O79" i="2" s="1"/>
  <c r="AE45" i="2"/>
  <c r="H45" i="2" s="1"/>
  <c r="AE80" i="2"/>
  <c r="H80" i="2" s="1"/>
  <c r="AL32" i="2"/>
  <c r="O32" i="2" s="1"/>
  <c r="AB74" i="2"/>
  <c r="E74" i="2" s="1"/>
  <c r="AO52" i="2"/>
  <c r="R52" i="2" s="1"/>
  <c r="AL35" i="2"/>
  <c r="O35" i="2" s="1"/>
  <c r="AB34" i="2"/>
  <c r="E34" i="2" s="1"/>
  <c r="AG80" i="2"/>
  <c r="J80" i="2" s="1"/>
  <c r="AF52" i="2"/>
  <c r="I52" i="2" s="1"/>
  <c r="AB50" i="2"/>
  <c r="E50" i="2" s="1"/>
  <c r="AF74" i="2"/>
  <c r="I74" i="2" s="1"/>
  <c r="AK48" i="2"/>
  <c r="N48" i="2" s="1"/>
  <c r="AL60" i="2"/>
  <c r="O60" i="2" s="1"/>
  <c r="AC74" i="2"/>
  <c r="F74" i="2" s="1"/>
  <c r="AG79" i="2"/>
  <c r="J79" i="2" s="1"/>
  <c r="AG46" i="2"/>
  <c r="J46" i="2" s="1"/>
  <c r="AD60" i="2"/>
  <c r="G60" i="2" s="1"/>
  <c r="AO49" i="2"/>
  <c r="R49" i="2" s="1"/>
  <c r="AI23" i="2"/>
  <c r="L23" i="2" s="1"/>
  <c r="AM52" i="2"/>
  <c r="P52" i="2" s="1"/>
  <c r="AO48" i="2"/>
  <c r="R48" i="2" s="1"/>
  <c r="AB47" i="2"/>
  <c r="E47" i="2" s="1"/>
  <c r="AG20" i="2"/>
  <c r="J20" i="2" s="1"/>
  <c r="AM14" i="2"/>
  <c r="P14" i="2" s="1"/>
  <c r="AI49" i="2"/>
  <c r="L49" i="2" s="1"/>
  <c r="AM47" i="2"/>
  <c r="P47" i="2" s="1"/>
  <c r="AD72" i="2"/>
  <c r="G72" i="2" s="1"/>
  <c r="AJ52" i="2"/>
  <c r="M52" i="2" s="1"/>
  <c r="AJ32" i="2"/>
  <c r="M32" i="2" s="1"/>
  <c r="AN28" i="2"/>
  <c r="Q28" i="2" s="1"/>
  <c r="AB44" i="2"/>
  <c r="E44" i="2" s="1"/>
  <c r="AH59" i="2"/>
  <c r="K59" i="2" s="1"/>
  <c r="AG72" i="2"/>
  <c r="J72" i="2" s="1"/>
  <c r="AJ60" i="2"/>
  <c r="M60" i="2" s="1"/>
  <c r="AJ44" i="2"/>
  <c r="M44" i="2" s="1"/>
  <c r="AC51" i="2"/>
  <c r="F51" i="2" s="1"/>
  <c r="AF59" i="2"/>
  <c r="I59" i="2" s="1"/>
  <c r="AM20" i="2"/>
  <c r="P20" i="2" s="1"/>
  <c r="AL28" i="2"/>
  <c r="O28" i="2" s="1"/>
  <c r="AL42" i="2"/>
  <c r="O42" i="2" s="1"/>
  <c r="AK44" i="2"/>
  <c r="N44" i="2" s="1"/>
  <c r="AO34" i="2"/>
  <c r="R34" i="2" s="1"/>
  <c r="AH23" i="2"/>
  <c r="K23" i="2" s="1"/>
  <c r="AC32" i="2"/>
  <c r="F32" i="2" s="1"/>
  <c r="AF46" i="2"/>
  <c r="I46" i="2" s="1"/>
  <c r="AE14" i="2"/>
  <c r="H14" i="2" s="1"/>
  <c r="AB20" i="2"/>
  <c r="E20" i="2" s="1"/>
  <c r="AL59" i="2"/>
  <c r="O59" i="2" s="1"/>
  <c r="AN45" i="2"/>
  <c r="Q45" i="2" s="1"/>
  <c r="AO28" i="2"/>
  <c r="R28" i="2" s="1"/>
  <c r="AM28" i="2"/>
  <c r="P28" i="2" s="1"/>
  <c r="AC30" i="2"/>
  <c r="F30" i="2" s="1"/>
  <c r="AH79" i="2"/>
  <c r="K79" i="2" s="1"/>
  <c r="AM32" i="2"/>
  <c r="P32" i="2" s="1"/>
  <c r="AE42" i="2"/>
  <c r="H42" i="2" s="1"/>
  <c r="AG34" i="2"/>
  <c r="J34" i="2" s="1"/>
  <c r="AG58" i="2"/>
  <c r="J58" i="2" s="1"/>
  <c r="AI78" i="2"/>
  <c r="L78" i="2" s="1"/>
  <c r="AM48" i="2"/>
  <c r="P48" i="2" s="1"/>
  <c r="AN47" i="2"/>
  <c r="Q47" i="2" s="1"/>
  <c r="AN80" i="2"/>
  <c r="Q80" i="2" s="1"/>
  <c r="AL72" i="2"/>
  <c r="O72" i="2" s="1"/>
  <c r="AD47" i="2"/>
  <c r="G47" i="2" s="1"/>
  <c r="AE79" i="2"/>
  <c r="H79" i="2" s="1"/>
  <c r="AM59" i="2"/>
  <c r="P59" i="2" s="1"/>
  <c r="AM74" i="2"/>
  <c r="P74" i="2" s="1"/>
  <c r="AG78" i="2"/>
  <c r="J78" i="2" s="1"/>
  <c r="AM42" i="2"/>
  <c r="P42" i="2" s="1"/>
  <c r="AK49" i="2"/>
  <c r="N49" i="2" s="1"/>
  <c r="AK58" i="2"/>
  <c r="N58" i="2" s="1"/>
  <c r="AC48" i="2"/>
  <c r="F48" i="2" s="1"/>
  <c r="AE60" i="2"/>
  <c r="H60" i="2" s="1"/>
  <c r="AE23" i="2"/>
  <c r="H23" i="2" s="1"/>
  <c r="AK59" i="2"/>
  <c r="N59" i="2" s="1"/>
  <c r="AO45" i="2"/>
  <c r="R45" i="2" s="1"/>
  <c r="AN44" i="2"/>
  <c r="Q44" i="2" s="1"/>
  <c r="AI44" i="2"/>
  <c r="L44" i="2" s="1"/>
  <c r="AI50" i="2"/>
  <c r="L50" i="2" s="1"/>
  <c r="AD32" i="2"/>
  <c r="G32" i="2" s="1"/>
  <c r="AJ30" i="2"/>
  <c r="M30" i="2" s="1"/>
  <c r="AH20" i="2"/>
  <c r="K20" i="2" s="1"/>
  <c r="AJ46" i="2"/>
  <c r="M46" i="2" s="1"/>
  <c r="Y37" i="3"/>
  <c r="F37" i="3"/>
  <c r="AC10" i="3"/>
  <c r="E37" i="3"/>
  <c r="K37" i="3"/>
  <c r="H10" i="3"/>
  <c r="AI10" i="3"/>
  <c r="AI37" i="3"/>
  <c r="AG37" i="3"/>
  <c r="N10" i="3"/>
  <c r="J37" i="3"/>
  <c r="AF37" i="3"/>
  <c r="V37" i="3"/>
  <c r="AB10" i="3"/>
  <c r="AK37" i="3"/>
  <c r="L37" i="3"/>
  <c r="Z37" i="3"/>
  <c r="X10" i="3"/>
  <c r="AN56" i="2"/>
  <c r="Q56" i="2" s="1"/>
  <c r="AN71" i="2"/>
  <c r="Q71" i="2" s="1"/>
  <c r="AP57" i="2"/>
  <c r="S57" i="2" s="1"/>
  <c r="AO67" i="2"/>
  <c r="R67" i="2" s="1"/>
  <c r="AN62" i="2"/>
  <c r="Q62" i="2" s="1"/>
  <c r="AN40" i="2"/>
  <c r="Q40" i="2" s="1"/>
  <c r="AJ56" i="2"/>
  <c r="M56" i="2" s="1"/>
  <c r="AN38" i="2"/>
  <c r="Q38" i="2" s="1"/>
  <c r="AQ57" i="2"/>
  <c r="T57" i="2" s="1"/>
  <c r="AM57" i="2"/>
  <c r="P57" i="2" s="1"/>
  <c r="AN36" i="2"/>
  <c r="Q36" i="2" s="1"/>
  <c r="AQ24" i="2"/>
  <c r="T24" i="2" s="1"/>
  <c r="AQ22" i="2"/>
  <c r="T22" i="2" s="1"/>
  <c r="AQ12" i="2"/>
  <c r="T12" i="2" s="1"/>
  <c r="AO73" i="2"/>
  <c r="R73" i="2" s="1"/>
  <c r="AN68" i="2"/>
  <c r="Q68" i="2" s="1"/>
  <c r="AQ67" i="2"/>
  <c r="T67" i="2" s="1"/>
  <c r="AM54" i="2"/>
  <c r="P54" i="2" s="1"/>
  <c r="AP39" i="2"/>
  <c r="S39" i="2" s="1"/>
  <c r="AQ31" i="2"/>
  <c r="T31" i="2" s="1"/>
  <c r="AM55" i="2"/>
  <c r="P55" i="2" s="1"/>
  <c r="AQ39" i="2"/>
  <c r="T39" i="2" s="1"/>
  <c r="AO40" i="2"/>
  <c r="R40" i="2" s="1"/>
  <c r="AL56" i="2"/>
  <c r="O56" i="2" s="1"/>
  <c r="AP37" i="2"/>
  <c r="S37" i="2" s="1"/>
  <c r="AQ21" i="2"/>
  <c r="T21" i="2" s="1"/>
  <c r="AQ76" i="2"/>
  <c r="T76" i="2" s="1"/>
  <c r="AP27" i="2"/>
  <c r="S27" i="2" s="1"/>
  <c r="AJ57" i="2"/>
  <c r="M57" i="2" s="1"/>
  <c r="AP29" i="2"/>
  <c r="S29" i="2" s="1"/>
  <c r="AQ77" i="2"/>
  <c r="T77" i="2" s="1"/>
  <c r="AQ75" i="2"/>
  <c r="T75" i="2" s="1"/>
  <c r="AO64" i="2"/>
  <c r="R64" i="2" s="1"/>
  <c r="AP67" i="2"/>
  <c r="S67" i="2" s="1"/>
  <c r="AO62" i="2"/>
  <c r="R62" i="2" s="1"/>
  <c r="AQ43" i="2"/>
  <c r="T43" i="2" s="1"/>
  <c r="AP18" i="2"/>
  <c r="S18" i="2" s="1"/>
  <c r="AQ27" i="2"/>
  <c r="T27" i="2" s="1"/>
  <c r="AP24" i="2"/>
  <c r="S24" i="2" s="1"/>
  <c r="AN39" i="2"/>
  <c r="Q39" i="2" s="1"/>
  <c r="AQ68" i="2"/>
  <c r="T68" i="2" s="1"/>
  <c r="AK22" i="2"/>
  <c r="N22" i="2" s="1"/>
  <c r="AJ54" i="2"/>
  <c r="M54" i="2" s="1"/>
  <c r="AO56" i="2"/>
  <c r="R56" i="2" s="1"/>
  <c r="AN22" i="2"/>
  <c r="Q22" i="2" s="1"/>
  <c r="AO36" i="2"/>
  <c r="R36" i="2" s="1"/>
  <c r="AQ19" i="2"/>
  <c r="T19" i="2" s="1"/>
  <c r="AM15" i="2"/>
  <c r="P15" i="2" s="1"/>
  <c r="AQ54" i="2"/>
  <c r="T54" i="2" s="1"/>
  <c r="AP31" i="2"/>
  <c r="S31" i="2" s="1"/>
  <c r="AQ81" i="2"/>
  <c r="T81" i="2" s="1"/>
  <c r="AP36" i="2"/>
  <c r="S36" i="2" s="1"/>
  <c r="AO65" i="2"/>
  <c r="R65" i="2" s="1"/>
  <c r="AQ65" i="2"/>
  <c r="T65" i="2" s="1"/>
  <c r="AO76" i="2"/>
  <c r="R76" i="2" s="1"/>
  <c r="AO22" i="2"/>
  <c r="R22" i="2" s="1"/>
  <c r="AO43" i="2"/>
  <c r="R43" i="2" s="1"/>
  <c r="AN12" i="2"/>
  <c r="Q12" i="2" s="1"/>
  <c r="AP56" i="2"/>
  <c r="S56" i="2" s="1"/>
  <c r="AO13" i="2"/>
  <c r="R13" i="2" s="1"/>
  <c r="AQ15" i="2"/>
  <c r="T15" i="2" s="1"/>
  <c r="AO61" i="2"/>
  <c r="R61" i="2" s="1"/>
  <c r="AN76" i="2"/>
  <c r="Q76" i="2" s="1"/>
  <c r="AP65" i="2"/>
  <c r="S65" i="2" s="1"/>
  <c r="AN37" i="2"/>
  <c r="Q37" i="2" s="1"/>
  <c r="AQ18" i="2"/>
  <c r="T18" i="2" s="1"/>
  <c r="AL12" i="2"/>
  <c r="O12" i="2" s="1"/>
  <c r="AP54" i="2"/>
  <c r="S54" i="2" s="1"/>
  <c r="AJ22" i="2"/>
  <c r="M22" i="2" s="1"/>
  <c r="AP55" i="2"/>
  <c r="S55" i="2" s="1"/>
  <c r="AO12" i="2"/>
  <c r="R12" i="2" s="1"/>
  <c r="AP15" i="2"/>
  <c r="S15" i="2" s="1"/>
  <c r="AO54" i="2"/>
  <c r="R54" i="2" s="1"/>
  <c r="AQ66" i="2"/>
  <c r="T66" i="2" s="1"/>
  <c r="AO55" i="2"/>
  <c r="R55" i="2" s="1"/>
  <c r="AN70" i="2"/>
  <c r="Q70" i="2" s="1"/>
  <c r="AP73" i="2"/>
  <c r="S73" i="2" s="1"/>
  <c r="AO69" i="2"/>
  <c r="R69" i="2" s="1"/>
  <c r="AQ33" i="2"/>
  <c r="T33" i="2" s="1"/>
  <c r="AN64" i="2"/>
  <c r="Q64" i="2" s="1"/>
  <c r="AP25" i="2"/>
  <c r="S25" i="2" s="1"/>
  <c r="AQ17" i="2"/>
  <c r="T17" i="2" s="1"/>
  <c r="AO38" i="2"/>
  <c r="R38" i="2" s="1"/>
  <c r="AN15" i="2"/>
  <c r="Q15" i="2" s="1"/>
  <c r="AQ29" i="2"/>
  <c r="T29" i="2" s="1"/>
  <c r="AO68" i="2"/>
  <c r="R68" i="2" s="1"/>
  <c r="AO77" i="2"/>
  <c r="R77" i="2" s="1"/>
  <c r="AQ61" i="2"/>
  <c r="T61" i="2" s="1"/>
  <c r="AO63" i="2"/>
  <c r="R63" i="2" s="1"/>
  <c r="AQ37" i="2"/>
  <c r="T37" i="2" s="1"/>
  <c r="AQ13" i="2"/>
  <c r="T13" i="2" s="1"/>
  <c r="AQ25" i="2"/>
  <c r="T25" i="2" s="1"/>
  <c r="AP43" i="2"/>
  <c r="S43" i="2" s="1"/>
  <c r="AO37" i="2"/>
  <c r="R37" i="2" s="1"/>
  <c r="AQ69" i="2"/>
  <c r="T69" i="2" s="1"/>
  <c r="AN61" i="2"/>
  <c r="Q61" i="2" s="1"/>
  <c r="AP13" i="2"/>
  <c r="S13" i="2" s="1"/>
  <c r="AQ41" i="2"/>
  <c r="T41" i="2" s="1"/>
  <c r="AQ73" i="2"/>
  <c r="T73" i="2" s="1"/>
  <c r="AO41" i="2"/>
  <c r="R41" i="2" s="1"/>
  <c r="AP70" i="2"/>
  <c r="S70" i="2" s="1"/>
  <c r="AP62" i="2"/>
  <c r="S62" i="2" s="1"/>
  <c r="AQ64" i="2"/>
  <c r="T64" i="2" s="1"/>
  <c r="AP64" i="2"/>
  <c r="S64" i="2" s="1"/>
  <c r="AO57" i="2"/>
  <c r="R57" i="2" s="1"/>
  <c r="AP71" i="2"/>
  <c r="S71" i="2" s="1"/>
  <c r="AQ36" i="2"/>
  <c r="T36" i="2" s="1"/>
  <c r="AQ70" i="2"/>
  <c r="T70" i="2" s="1"/>
  <c r="AM22" i="2"/>
  <c r="P22" i="2" s="1"/>
  <c r="AP41" i="2"/>
  <c r="S41" i="2" s="1"/>
  <c r="AP16" i="2"/>
  <c r="S16" i="2" s="1"/>
  <c r="AL55" i="2"/>
  <c r="O55" i="2" s="1"/>
  <c r="AN75" i="2"/>
  <c r="Q75" i="2" s="1"/>
  <c r="AQ16" i="2"/>
  <c r="T16" i="2" s="1"/>
  <c r="AM56" i="2"/>
  <c r="P56" i="2" s="1"/>
  <c r="AN77" i="2"/>
  <c r="Q77" i="2" s="1"/>
  <c r="AN57" i="2"/>
  <c r="Q57" i="2" s="1"/>
  <c r="AP68" i="2"/>
  <c r="S68" i="2" s="1"/>
  <c r="AL57" i="2"/>
  <c r="O57" i="2" s="1"/>
  <c r="AN63" i="2"/>
  <c r="Q63" i="2" s="1"/>
  <c r="AP22" i="2"/>
  <c r="S22" i="2" s="1"/>
  <c r="AQ40" i="2"/>
  <c r="T40" i="2" s="1"/>
  <c r="AQ71" i="2"/>
  <c r="T71" i="2" s="1"/>
  <c r="AO71" i="2"/>
  <c r="R71" i="2" s="1"/>
  <c r="AN67" i="2"/>
  <c r="Q67" i="2" s="1"/>
  <c r="AP38" i="2"/>
  <c r="S38" i="2" s="1"/>
  <c r="AM12" i="2"/>
  <c r="P12" i="2" s="1"/>
  <c r="AQ55" i="2"/>
  <c r="T55" i="2" s="1"/>
  <c r="AN65" i="2"/>
  <c r="Q65" i="2" s="1"/>
  <c r="AN41" i="2"/>
  <c r="Q41" i="2" s="1"/>
  <c r="AQ38" i="2"/>
  <c r="AQ62" i="2"/>
  <c r="T62" i="2" s="1"/>
  <c r="AP40" i="2"/>
  <c r="S40" i="2" s="1"/>
  <c r="AP61" i="2"/>
  <c r="S61" i="2" s="1"/>
  <c r="AN54" i="2"/>
  <c r="Q54" i="2" s="1"/>
  <c r="AN69" i="2"/>
  <c r="Q69" i="2" s="1"/>
  <c r="AJ55" i="2"/>
  <c r="M55" i="2" s="1"/>
  <c r="AN55" i="2"/>
  <c r="Q55" i="2" s="1"/>
  <c r="AP21" i="2"/>
  <c r="S21" i="2" s="1"/>
  <c r="AO16" i="2"/>
  <c r="R16" i="2" s="1"/>
  <c r="AN13" i="2"/>
  <c r="Q13" i="2" s="1"/>
  <c r="AN16" i="2"/>
  <c r="Q16" i="2" s="1"/>
  <c r="AP76" i="2"/>
  <c r="S76" i="2" s="1"/>
  <c r="AN66" i="2"/>
  <c r="Q66" i="2" s="1"/>
  <c r="AP33" i="2"/>
  <c r="S33" i="2" s="1"/>
  <c r="AO15" i="2"/>
  <c r="R15" i="2" s="1"/>
  <c r="AO66" i="2"/>
  <c r="R66" i="2" s="1"/>
  <c r="AL54" i="2"/>
  <c r="O54" i="2" s="1"/>
  <c r="AP77" i="2"/>
  <c r="S77" i="2" s="1"/>
  <c r="AP75" i="2"/>
  <c r="S75" i="2" s="1"/>
  <c r="AP69" i="2"/>
  <c r="S69" i="2" s="1"/>
  <c r="AO70" i="2"/>
  <c r="R70" i="2" s="1"/>
  <c r="AQ56" i="2"/>
  <c r="T56" i="2" s="1"/>
  <c r="AP66" i="2"/>
  <c r="S66" i="2" s="1"/>
  <c r="AN43" i="2"/>
  <c r="Q43" i="2" s="1"/>
  <c r="AN73" i="2"/>
  <c r="Q73" i="2" s="1"/>
  <c r="AO75" i="2"/>
  <c r="R75" i="2" s="1"/>
  <c r="AP63" i="2"/>
  <c r="S63" i="2" s="1"/>
  <c r="AQ63" i="2"/>
  <c r="T63" i="2" s="1"/>
  <c r="AP12" i="2"/>
  <c r="S12" i="2" s="1"/>
  <c r="AO39" i="2"/>
  <c r="R39" i="2" s="1"/>
  <c r="AL16" i="2"/>
  <c r="O16" i="2" s="1"/>
  <c r="AM16" i="2"/>
  <c r="P16" i="2" s="1"/>
  <c r="AL22" i="2"/>
  <c r="O22" i="2" s="1"/>
  <c r="AP19" i="2"/>
  <c r="S19" i="2" s="1"/>
  <c r="AJ77" i="2"/>
  <c r="M77" i="2" s="1"/>
  <c r="AD21" i="2"/>
  <c r="G21" i="2" s="1"/>
  <c r="AB27" i="2"/>
  <c r="E27" i="2" s="1"/>
  <c r="AK18" i="2"/>
  <c r="N18" i="2" s="1"/>
  <c r="AI68" i="2"/>
  <c r="L68" i="2" s="1"/>
  <c r="AF63" i="2"/>
  <c r="I63" i="2" s="1"/>
  <c r="AI61" i="2"/>
  <c r="L61" i="2" s="1"/>
  <c r="AM65" i="2"/>
  <c r="P65" i="2" s="1"/>
  <c r="AC68" i="2"/>
  <c r="F68" i="2" s="1"/>
  <c r="AB41" i="2"/>
  <c r="E41" i="2" s="1"/>
  <c r="AH38" i="2"/>
  <c r="K38" i="2" s="1"/>
  <c r="AK56" i="2"/>
  <c r="N56" i="2" s="1"/>
  <c r="AE62" i="2"/>
  <c r="H62" i="2" s="1"/>
  <c r="AC56" i="2"/>
  <c r="F56" i="2" s="1"/>
  <c r="AD40" i="2"/>
  <c r="G40" i="2" s="1"/>
  <c r="AJ33" i="2"/>
  <c r="M33" i="2" s="1"/>
  <c r="AB56" i="2"/>
  <c r="E56" i="2" s="1"/>
  <c r="AE63" i="2"/>
  <c r="H63" i="2" s="1"/>
  <c r="AL33" i="2"/>
  <c r="O33" i="2" s="1"/>
  <c r="AH16" i="2"/>
  <c r="K16" i="2" s="1"/>
  <c r="AM66" i="2"/>
  <c r="P66" i="2" s="1"/>
  <c r="AK77" i="2"/>
  <c r="N77" i="2" s="1"/>
  <c r="AO81" i="2"/>
  <c r="R81" i="2" s="1"/>
  <c r="AD33" i="2"/>
  <c r="G33" i="2" s="1"/>
  <c r="AD73" i="2"/>
  <c r="G73" i="2" s="1"/>
  <c r="AJ37" i="2"/>
  <c r="M37" i="2" s="1"/>
  <c r="AC38" i="2"/>
  <c r="F38" i="2" s="1"/>
  <c r="AI31" i="2"/>
  <c r="L31" i="2" s="1"/>
  <c r="AQ11" i="2"/>
  <c r="T11" i="2" s="1"/>
  <c r="AJ11" i="2"/>
  <c r="M11" i="2" s="1"/>
  <c r="AE81" i="2"/>
  <c r="H81" i="2" s="1"/>
  <c r="AD68" i="2"/>
  <c r="G68" i="2" s="1"/>
  <c r="AK55" i="2"/>
  <c r="N55" i="2" s="1"/>
  <c r="AL73" i="2"/>
  <c r="O73" i="2" s="1"/>
  <c r="AK73" i="2"/>
  <c r="N73" i="2" s="1"/>
  <c r="AC71" i="2"/>
  <c r="F71" i="2" s="1"/>
  <c r="AK81" i="2"/>
  <c r="N81" i="2" s="1"/>
  <c r="AC76" i="2"/>
  <c r="F76" i="2" s="1"/>
  <c r="AH64" i="2"/>
  <c r="K64" i="2" s="1"/>
  <c r="AC66" i="2"/>
  <c r="F66" i="2" s="1"/>
  <c r="AC81" i="2"/>
  <c r="F81" i="2" s="1"/>
  <c r="AG36" i="2"/>
  <c r="J36" i="2" s="1"/>
  <c r="AE56" i="2"/>
  <c r="H56" i="2" s="1"/>
  <c r="AI55" i="2"/>
  <c r="L55" i="2" s="1"/>
  <c r="AG27" i="2"/>
  <c r="J27" i="2" s="1"/>
  <c r="AC31" i="2"/>
  <c r="F31" i="2" s="1"/>
  <c r="AL31" i="2"/>
  <c r="O31" i="2" s="1"/>
  <c r="AH17" i="2"/>
  <c r="K17" i="2" s="1"/>
  <c r="AE41" i="2"/>
  <c r="H41" i="2" s="1"/>
  <c r="AF37" i="2"/>
  <c r="I37" i="2" s="1"/>
  <c r="AK21" i="2"/>
  <c r="N21" i="2" s="1"/>
  <c r="AH43" i="2"/>
  <c r="K43" i="2" s="1"/>
  <c r="AK62" i="2"/>
  <c r="N62" i="2" s="1"/>
  <c r="AD55" i="2"/>
  <c r="G55" i="2" s="1"/>
  <c r="AB16" i="2"/>
  <c r="E16" i="2" s="1"/>
  <c r="AL36" i="2"/>
  <c r="O36" i="2" s="1"/>
  <c r="AI18" i="2"/>
  <c r="L18" i="2" s="1"/>
  <c r="AG67" i="2"/>
  <c r="J67" i="2" s="1"/>
  <c r="AC54" i="2"/>
  <c r="F54" i="2" s="1"/>
  <c r="AM70" i="2"/>
  <c r="P70" i="2" s="1"/>
  <c r="AE61" i="2"/>
  <c r="H61" i="2" s="1"/>
  <c r="AG38" i="2"/>
  <c r="J38" i="2" s="1"/>
  <c r="AI69" i="2"/>
  <c r="L69" i="2" s="1"/>
  <c r="AF33" i="2"/>
  <c r="I33" i="2" s="1"/>
  <c r="AI38" i="2"/>
  <c r="L38" i="2" s="1"/>
  <c r="AG22" i="2"/>
  <c r="J22" i="2" s="1"/>
  <c r="AF54" i="2"/>
  <c r="I54" i="2" s="1"/>
  <c r="AE38" i="2"/>
  <c r="H38" i="2" s="1"/>
  <c r="AL37" i="2"/>
  <c r="O37" i="2" s="1"/>
  <c r="AI19" i="2"/>
  <c r="L19" i="2" s="1"/>
  <c r="AH29" i="2"/>
  <c r="K29" i="2" s="1"/>
  <c r="AJ66" i="2"/>
  <c r="M66" i="2" s="1"/>
  <c r="AB81" i="2"/>
  <c r="E81" i="2" s="1"/>
  <c r="AH77" i="2"/>
  <c r="K77" i="2" s="1"/>
  <c r="AM68" i="2"/>
  <c r="P68" i="2" s="1"/>
  <c r="AL66" i="2"/>
  <c r="O66" i="2" s="1"/>
  <c r="AD69" i="2"/>
  <c r="G69" i="2" s="1"/>
  <c r="AD76" i="2"/>
  <c r="G76" i="2" s="1"/>
  <c r="AI63" i="2"/>
  <c r="L63" i="2" s="1"/>
  <c r="AL41" i="2"/>
  <c r="O41" i="2" s="1"/>
  <c r="AB66" i="2"/>
  <c r="E66" i="2" s="1"/>
  <c r="AJ29" i="2"/>
  <c r="M29" i="2" s="1"/>
  <c r="AD56" i="2"/>
  <c r="G56" i="2" s="1"/>
  <c r="AC36" i="2"/>
  <c r="F36" i="2" s="1"/>
  <c r="AD12" i="2"/>
  <c r="G12" i="2" s="1"/>
  <c r="AC21" i="2"/>
  <c r="F21" i="2" s="1"/>
  <c r="AM36" i="2"/>
  <c r="P36" i="2" s="1"/>
  <c r="AI16" i="2"/>
  <c r="L16" i="2" s="1"/>
  <c r="AM33" i="2"/>
  <c r="P33" i="2" s="1"/>
  <c r="AD11" i="2"/>
  <c r="G11" i="2" s="1"/>
  <c r="AM21" i="2"/>
  <c r="P21" i="2" s="1"/>
  <c r="AJ18" i="2"/>
  <c r="M18" i="2" s="1"/>
  <c r="AC25" i="2"/>
  <c r="F25" i="2" s="1"/>
  <c r="AN29" i="2"/>
  <c r="Q29" i="2" s="1"/>
  <c r="AG69" i="2"/>
  <c r="J69" i="2" s="1"/>
  <c r="AH66" i="2"/>
  <c r="K66" i="2" s="1"/>
  <c r="AK57" i="2"/>
  <c r="N57" i="2" s="1"/>
  <c r="AH57" i="2"/>
  <c r="K57" i="2" s="1"/>
  <c r="AF68" i="2"/>
  <c r="I68" i="2" s="1"/>
  <c r="AE67" i="2"/>
  <c r="H67" i="2" s="1"/>
  <c r="AM25" i="2"/>
  <c r="P25" i="2" s="1"/>
  <c r="AB29" i="2"/>
  <c r="E29" i="2" s="1"/>
  <c r="AL15" i="2"/>
  <c r="O15" i="2" s="1"/>
  <c r="AK38" i="2"/>
  <c r="N38" i="2" s="1"/>
  <c r="AG18" i="2"/>
  <c r="J18" i="2" s="1"/>
  <c r="AH12" i="2"/>
  <c r="K12" i="2" s="1"/>
  <c r="AC22" i="2"/>
  <c r="F22" i="2" s="1"/>
  <c r="AB38" i="2"/>
  <c r="E38" i="2" s="1"/>
  <c r="AN81" i="2"/>
  <c r="Q81" i="2" s="1"/>
  <c r="AL76" i="2"/>
  <c r="O76" i="2" s="1"/>
  <c r="AF67" i="2"/>
  <c r="I67" i="2" s="1"/>
  <c r="AG65" i="2"/>
  <c r="J65" i="2" s="1"/>
  <c r="AJ68" i="2"/>
  <c r="M68" i="2" s="1"/>
  <c r="AG63" i="2"/>
  <c r="J63" i="2" s="1"/>
  <c r="AE55" i="2"/>
  <c r="H55" i="2" s="1"/>
  <c r="AI75" i="2"/>
  <c r="L75" i="2" s="1"/>
  <c r="AG61" i="2"/>
  <c r="J61" i="2" s="1"/>
  <c r="AE57" i="2"/>
  <c r="H57" i="2" s="1"/>
  <c r="AK71" i="2"/>
  <c r="N71" i="2" s="1"/>
  <c r="AI65" i="2"/>
  <c r="L65" i="2" s="1"/>
  <c r="AF41" i="2"/>
  <c r="I41" i="2" s="1"/>
  <c r="AF39" i="2"/>
  <c r="I39" i="2" s="1"/>
  <c r="AC37" i="2"/>
  <c r="F37" i="2" s="1"/>
  <c r="AF21" i="2"/>
  <c r="I21" i="2" s="1"/>
  <c r="AM11" i="2"/>
  <c r="P11" i="2" s="1"/>
  <c r="AE17" i="2"/>
  <c r="H17" i="2" s="1"/>
  <c r="AB25" i="2"/>
  <c r="E25" i="2" s="1"/>
  <c r="AO21" i="2"/>
  <c r="R21" i="2" s="1"/>
  <c r="AG12" i="2"/>
  <c r="J12" i="2" s="1"/>
  <c r="AB15" i="2"/>
  <c r="E15" i="2" s="1"/>
  <c r="AF11" i="2"/>
  <c r="I11" i="2" s="1"/>
  <c r="AO25" i="2"/>
  <c r="R25" i="2" s="1"/>
  <c r="AL27" i="2"/>
  <c r="O27" i="2" s="1"/>
  <c r="AF27" i="2"/>
  <c r="I27" i="2" s="1"/>
  <c r="AG11" i="2"/>
  <c r="J11" i="2" s="1"/>
  <c r="AL40" i="2"/>
  <c r="O40" i="2" s="1"/>
  <c r="AF15" i="2"/>
  <c r="I15" i="2" s="1"/>
  <c r="AD71" i="2"/>
  <c r="G71" i="2" s="1"/>
  <c r="AD62" i="2"/>
  <c r="G62" i="2" s="1"/>
  <c r="AC55" i="2"/>
  <c r="F55" i="2" s="1"/>
  <c r="AL19" i="2"/>
  <c r="O19" i="2" s="1"/>
  <c r="AC57" i="2"/>
  <c r="F57" i="2" s="1"/>
  <c r="AM31" i="2"/>
  <c r="P31" i="2" s="1"/>
  <c r="AH27" i="2"/>
  <c r="K27" i="2" s="1"/>
  <c r="AB22" i="2"/>
  <c r="E22" i="2" s="1"/>
  <c r="AK17" i="2"/>
  <c r="N17" i="2" s="1"/>
  <c r="AO33" i="2"/>
  <c r="R33" i="2" s="1"/>
  <c r="AE13" i="2"/>
  <c r="H13" i="2" s="1"/>
  <c r="AG13" i="2"/>
  <c r="J13" i="2" s="1"/>
  <c r="AI22" i="2"/>
  <c r="L22" i="2" s="1"/>
  <c r="AI21" i="2"/>
  <c r="L21" i="2" s="1"/>
  <c r="AG21" i="2"/>
  <c r="J21" i="2" s="1"/>
  <c r="AP17" i="2"/>
  <c r="S17" i="2" s="1"/>
  <c r="AM24" i="2"/>
  <c r="P24" i="2" s="1"/>
  <c r="AD81" i="2"/>
  <c r="G81" i="2" s="1"/>
  <c r="AB73" i="2"/>
  <c r="E73" i="2" s="1"/>
  <c r="AH22" i="2"/>
  <c r="K22" i="2" s="1"/>
  <c r="AG77" i="2"/>
  <c r="J77" i="2" s="1"/>
  <c r="AM81" i="2"/>
  <c r="P81" i="2" s="1"/>
  <c r="AH37" i="2"/>
  <c r="K37" i="2" s="1"/>
  <c r="AG25" i="2"/>
  <c r="J25" i="2" s="1"/>
  <c r="AJ76" i="2"/>
  <c r="M76" i="2" s="1"/>
  <c r="AK63" i="2"/>
  <c r="N63" i="2" s="1"/>
  <c r="AL81" i="2"/>
  <c r="O81" i="2" s="1"/>
  <c r="AI66" i="2"/>
  <c r="L66" i="2" s="1"/>
  <c r="AJ67" i="2"/>
  <c r="M67" i="2" s="1"/>
  <c r="AH75" i="2"/>
  <c r="K75" i="2" s="1"/>
  <c r="AC43" i="2"/>
  <c r="F43" i="2" s="1"/>
  <c r="AF16" i="2"/>
  <c r="I16" i="2" s="1"/>
  <c r="AL24" i="2"/>
  <c r="O24" i="2" s="1"/>
  <c r="AD17" i="2"/>
  <c r="G17" i="2" s="1"/>
  <c r="AJ21" i="2"/>
  <c r="M21" i="2" s="1"/>
  <c r="AC29" i="2"/>
  <c r="F29" i="2" s="1"/>
  <c r="AM77" i="2"/>
  <c r="P77" i="2" s="1"/>
  <c r="AI40" i="2"/>
  <c r="L40" i="2" s="1"/>
  <c r="AM40" i="2"/>
  <c r="P40" i="2" s="1"/>
  <c r="AL11" i="2"/>
  <c r="O11" i="2" s="1"/>
  <c r="AM76" i="2"/>
  <c r="P76" i="2" s="1"/>
  <c r="AC67" i="2"/>
  <c r="F67" i="2" s="1"/>
  <c r="AL77" i="2"/>
  <c r="O77" i="2" s="1"/>
  <c r="AJ39" i="2"/>
  <c r="M39" i="2" s="1"/>
  <c r="AB43" i="2"/>
  <c r="E43" i="2" s="1"/>
  <c r="AO31" i="2"/>
  <c r="R31" i="2" s="1"/>
  <c r="AE18" i="2"/>
  <c r="H18" i="2" s="1"/>
  <c r="AE76" i="2"/>
  <c r="H76" i="2" s="1"/>
  <c r="AL13" i="2"/>
  <c r="O13" i="2" s="1"/>
  <c r="AG68" i="2"/>
  <c r="J68" i="2" s="1"/>
  <c r="AF55" i="2"/>
  <c r="I55" i="2" s="1"/>
  <c r="AG37" i="2"/>
  <c r="J37" i="2" s="1"/>
  <c r="AF40" i="2"/>
  <c r="I40" i="2" s="1"/>
  <c r="AI12" i="2"/>
  <c r="L12" i="2" s="1"/>
  <c r="AC15" i="2"/>
  <c r="F15" i="2" s="1"/>
  <c r="AM75" i="2"/>
  <c r="P75" i="2" s="1"/>
  <c r="AG62" i="2"/>
  <c r="J62" i="2" s="1"/>
  <c r="AJ81" i="2"/>
  <c r="M81" i="2" s="1"/>
  <c r="AB76" i="2"/>
  <c r="E76" i="2" s="1"/>
  <c r="AF66" i="2"/>
  <c r="I66" i="2" s="1"/>
  <c r="AJ65" i="2"/>
  <c r="M65" i="2" s="1"/>
  <c r="AJ71" i="2"/>
  <c r="M71" i="2" s="1"/>
  <c r="AD77" i="2"/>
  <c r="G77" i="2" s="1"/>
  <c r="AB54" i="2"/>
  <c r="E54" i="2" s="1"/>
  <c r="AC27" i="2"/>
  <c r="F27" i="2" s="1"/>
  <c r="AB36" i="2"/>
  <c r="E36" i="2" s="1"/>
  <c r="AJ40" i="2"/>
  <c r="M40" i="2" s="1"/>
  <c r="AC70" i="2"/>
  <c r="F70" i="2" s="1"/>
  <c r="AF19" i="2"/>
  <c r="I19" i="2" s="1"/>
  <c r="AD31" i="2"/>
  <c r="G31" i="2" s="1"/>
  <c r="AM39" i="2"/>
  <c r="P39" i="2" s="1"/>
  <c r="AF57" i="2"/>
  <c r="I57" i="2" s="1"/>
  <c r="AF22" i="2"/>
  <c r="I22" i="2" s="1"/>
  <c r="AN18" i="2"/>
  <c r="Q18" i="2" s="1"/>
  <c r="AN19" i="2"/>
  <c r="Q19" i="2" s="1"/>
  <c r="AN33" i="2"/>
  <c r="Q33" i="2" s="1"/>
  <c r="AG16" i="2"/>
  <c r="J16" i="2" s="1"/>
  <c r="AH31" i="2"/>
  <c r="K31" i="2" s="1"/>
  <c r="AD16" i="2"/>
  <c r="G16" i="2" s="1"/>
  <c r="AI71" i="2"/>
  <c r="L71" i="2" s="1"/>
  <c r="AC75" i="2"/>
  <c r="F75" i="2" s="1"/>
  <c r="AB70" i="2"/>
  <c r="E70" i="2" s="1"/>
  <c r="AH71" i="2"/>
  <c r="K71" i="2" s="1"/>
  <c r="AD65" i="2"/>
  <c r="G65" i="2" s="1"/>
  <c r="AG75" i="2"/>
  <c r="J75" i="2" s="1"/>
  <c r="AL64" i="2"/>
  <c r="O64" i="2" s="1"/>
  <c r="AG56" i="2"/>
  <c r="J56" i="2" s="1"/>
  <c r="AE64" i="2"/>
  <c r="H64" i="2" s="1"/>
  <c r="AI67" i="2"/>
  <c r="L67" i="2" s="1"/>
  <c r="AH56" i="2"/>
  <c r="K56" i="2" s="1"/>
  <c r="AG43" i="2"/>
  <c r="J43" i="2" s="1"/>
  <c r="AI41" i="2"/>
  <c r="L41" i="2" s="1"/>
  <c r="AB21" i="2"/>
  <c r="E21" i="2" s="1"/>
  <c r="AK11" i="2"/>
  <c r="N11" i="2" s="1"/>
  <c r="AH25" i="2"/>
  <c r="K25" i="2" s="1"/>
  <c r="AF64" i="2"/>
  <c r="I64" i="2" s="1"/>
  <c r="AL17" i="2"/>
  <c r="O17" i="2" s="1"/>
  <c r="AL18" i="2"/>
  <c r="O18" i="2" s="1"/>
  <c r="AN24" i="2"/>
  <c r="Q24" i="2" s="1"/>
  <c r="AH19" i="2"/>
  <c r="K19" i="2" s="1"/>
  <c r="AE15" i="2"/>
  <c r="H15" i="2" s="1"/>
  <c r="AD29" i="2"/>
  <c r="G29" i="2" s="1"/>
  <c r="AG71" i="2"/>
  <c r="J71" i="2" s="1"/>
  <c r="AI37" i="2"/>
  <c r="L37" i="2" s="1"/>
  <c r="AK33" i="2"/>
  <c r="N33" i="2" s="1"/>
  <c r="AM73" i="2"/>
  <c r="P73" i="2" s="1"/>
  <c r="AC64" i="2"/>
  <c r="F64" i="2" s="1"/>
  <c r="AB62" i="2"/>
  <c r="E62" i="2" s="1"/>
  <c r="AI25" i="2"/>
  <c r="L25" i="2" s="1"/>
  <c r="AK61" i="2"/>
  <c r="N61" i="2" s="1"/>
  <c r="AB55" i="2"/>
  <c r="E55" i="2" s="1"/>
  <c r="AH33" i="2"/>
  <c r="K33" i="2" s="1"/>
  <c r="AH41" i="2"/>
  <c r="K41" i="2" s="1"/>
  <c r="AH24" i="2"/>
  <c r="K24" i="2" s="1"/>
  <c r="AD13" i="2"/>
  <c r="G13" i="2" s="1"/>
  <c r="AJ25" i="2"/>
  <c r="M25" i="2" s="1"/>
  <c r="AI39" i="2"/>
  <c r="L39" i="2" s="1"/>
  <c r="AO11" i="2"/>
  <c r="R11" i="2" s="1"/>
  <c r="AE16" i="2"/>
  <c r="H16" i="2" s="1"/>
  <c r="AH69" i="2"/>
  <c r="K69" i="2" s="1"/>
  <c r="AC61" i="2"/>
  <c r="F61" i="2" s="1"/>
  <c r="AH76" i="2"/>
  <c r="K76" i="2" s="1"/>
  <c r="AJ63" i="2"/>
  <c r="M63" i="2" s="1"/>
  <c r="AC63" i="2"/>
  <c r="F63" i="2" s="1"/>
  <c r="AB63" i="2"/>
  <c r="E63" i="2" s="1"/>
  <c r="AJ73" i="2"/>
  <c r="M73" i="2" s="1"/>
  <c r="AF25" i="2"/>
  <c r="I25" i="2" s="1"/>
  <c r="AJ38" i="2"/>
  <c r="M38" i="2" s="1"/>
  <c r="AK40" i="2"/>
  <c r="N40" i="2" s="1"/>
  <c r="AJ36" i="2"/>
  <c r="M36" i="2" s="1"/>
  <c r="AC11" i="2"/>
  <c r="F11" i="2" s="1"/>
  <c r="AM19" i="2"/>
  <c r="P19" i="2" s="1"/>
  <c r="AI27" i="2"/>
  <c r="L27" i="2" s="1"/>
  <c r="AB57" i="2"/>
  <c r="E57" i="2" s="1"/>
  <c r="AL21" i="2"/>
  <c r="O21" i="2" s="1"/>
  <c r="AD19" i="2"/>
  <c r="G19" i="2" s="1"/>
  <c r="AK16" i="2"/>
  <c r="N16" i="2" s="1"/>
  <c r="AD22" i="2"/>
  <c r="G22" i="2" s="1"/>
  <c r="AE31" i="2"/>
  <c r="H31" i="2" s="1"/>
  <c r="AC13" i="2"/>
  <c r="F13" i="2" s="1"/>
  <c r="AK41" i="2"/>
  <c r="N41" i="2" s="1"/>
  <c r="AI11" i="2"/>
  <c r="L11" i="2" s="1"/>
  <c r="AB40" i="2"/>
  <c r="E40" i="2" s="1"/>
  <c r="AI24" i="2"/>
  <c r="L24" i="2" s="1"/>
  <c r="AC73" i="2"/>
  <c r="F73" i="2" s="1"/>
  <c r="AG81" i="2"/>
  <c r="J81" i="2" s="1"/>
  <c r="AE43" i="2"/>
  <c r="H43" i="2" s="1"/>
  <c r="AN31" i="2"/>
  <c r="Q31" i="2" s="1"/>
  <c r="AB39" i="2"/>
  <c r="E39" i="2" s="1"/>
  <c r="AB19" i="2"/>
  <c r="E19" i="2" s="1"/>
  <c r="AD24" i="2"/>
  <c r="G24" i="2" s="1"/>
  <c r="AF71" i="2"/>
  <c r="I71" i="2" s="1"/>
  <c r="AG55" i="2"/>
  <c r="J55" i="2" s="1"/>
  <c r="AL29" i="2"/>
  <c r="O29" i="2" s="1"/>
  <c r="AC18" i="2"/>
  <c r="F18" i="2" s="1"/>
  <c r="AN21" i="2"/>
  <c r="Q21" i="2" s="1"/>
  <c r="AD25" i="2"/>
  <c r="G25" i="2" s="1"/>
  <c r="AF31" i="2"/>
  <c r="I31" i="2" s="1"/>
  <c r="AC33" i="2"/>
  <c r="F33" i="2" s="1"/>
  <c r="AH11" i="2"/>
  <c r="K11" i="2" s="1"/>
  <c r="AD27" i="2"/>
  <c r="G27" i="2" s="1"/>
  <c r="AE29" i="2"/>
  <c r="H29" i="2" s="1"/>
  <c r="AJ70" i="2"/>
  <c r="M70" i="2" s="1"/>
  <c r="AK67" i="2"/>
  <c r="N67" i="2" s="1"/>
  <c r="AI57" i="2"/>
  <c r="L57" i="2" s="1"/>
  <c r="AH61" i="2"/>
  <c r="K61" i="2" s="1"/>
  <c r="AF81" i="2"/>
  <c r="I81" i="2" s="1"/>
  <c r="AB71" i="2"/>
  <c r="E71" i="2" s="1"/>
  <c r="AG31" i="2"/>
  <c r="J31" i="2" s="1"/>
  <c r="AE25" i="2"/>
  <c r="H25" i="2" s="1"/>
  <c r="AL65" i="2"/>
  <c r="O65" i="2" s="1"/>
  <c r="AF17" i="2"/>
  <c r="I17" i="2" s="1"/>
  <c r="AH55" i="2"/>
  <c r="K55" i="2" s="1"/>
  <c r="AK37" i="2"/>
  <c r="N37" i="2" s="1"/>
  <c r="AI33" i="2"/>
  <c r="L33" i="2" s="1"/>
  <c r="AI73" i="2"/>
  <c r="L73" i="2" s="1"/>
  <c r="AF77" i="2"/>
  <c r="I77" i="2" s="1"/>
  <c r="AH65" i="2"/>
  <c r="K65" i="2" s="1"/>
  <c r="AD75" i="2"/>
  <c r="G75" i="2" s="1"/>
  <c r="AD37" i="2"/>
  <c r="G37" i="2" s="1"/>
  <c r="AB37" i="2"/>
  <c r="E37" i="2" s="1"/>
  <c r="AK54" i="2"/>
  <c r="N54" i="2" s="1"/>
  <c r="AM18" i="2"/>
  <c r="P18" i="2" s="1"/>
  <c r="AJ64" i="2"/>
  <c r="M64" i="2" s="1"/>
  <c r="AH18" i="2"/>
  <c r="K18" i="2" s="1"/>
  <c r="AE54" i="2"/>
  <c r="H54" i="2" s="1"/>
  <c r="AK25" i="2"/>
  <c r="N25" i="2" s="1"/>
  <c r="AB13" i="2"/>
  <c r="E13" i="2" s="1"/>
  <c r="AJ24" i="2"/>
  <c r="M24" i="2" s="1"/>
  <c r="AN17" i="2"/>
  <c r="Q17" i="2" s="1"/>
  <c r="AE12" i="2"/>
  <c r="H12" i="2" s="1"/>
  <c r="AB67" i="2"/>
  <c r="E67" i="2" s="1"/>
  <c r="AE11" i="2"/>
  <c r="H11" i="2" s="1"/>
  <c r="AH81" i="2"/>
  <c r="K81" i="2" s="1"/>
  <c r="AD43" i="2"/>
  <c r="G43" i="2" s="1"/>
  <c r="AH67" i="2"/>
  <c r="K67" i="2" s="1"/>
  <c r="AK70" i="2"/>
  <c r="N70" i="2" s="1"/>
  <c r="AF75" i="2"/>
  <c r="I75" i="2" s="1"/>
  <c r="AI76" i="2"/>
  <c r="L76" i="2" s="1"/>
  <c r="AE69" i="2"/>
  <c r="H69" i="2" s="1"/>
  <c r="AB77" i="2"/>
  <c r="E77" i="2" s="1"/>
  <c r="AG41" i="2"/>
  <c r="J41" i="2" s="1"/>
  <c r="AH54" i="2"/>
  <c r="K54" i="2" s="1"/>
  <c r="AC69" i="2"/>
  <c r="F69" i="2" s="1"/>
  <c r="AO19" i="2"/>
  <c r="R19" i="2" s="1"/>
  <c r="AM27" i="2"/>
  <c r="P27" i="2" s="1"/>
  <c r="AE68" i="2"/>
  <c r="H68" i="2" s="1"/>
  <c r="AB68" i="2"/>
  <c r="E68" i="2" s="1"/>
  <c r="AK36" i="2"/>
  <c r="N36" i="2" s="1"/>
  <c r="AL39" i="2"/>
  <c r="O39" i="2" s="1"/>
  <c r="AH15" i="2"/>
  <c r="K15" i="2" s="1"/>
  <c r="AB18" i="2"/>
  <c r="E18" i="2" s="1"/>
  <c r="AJ31" i="2"/>
  <c r="M31" i="2" s="1"/>
  <c r="AB31" i="2"/>
  <c r="E31" i="2" s="1"/>
  <c r="AL67" i="2"/>
  <c r="O67" i="2" s="1"/>
  <c r="AO17" i="2"/>
  <c r="R17" i="2" s="1"/>
  <c r="AE24" i="2"/>
  <c r="H24" i="2" s="1"/>
  <c r="AH13" i="2"/>
  <c r="K13" i="2" s="1"/>
  <c r="AJ61" i="2"/>
  <c r="M61" i="2" s="1"/>
  <c r="AC12" i="2"/>
  <c r="F12" i="2" s="1"/>
  <c r="AK19" i="2"/>
  <c r="N19" i="2" s="1"/>
  <c r="AF69" i="2"/>
  <c r="I69" i="2" s="1"/>
  <c r="AL43" i="2"/>
  <c r="O43" i="2" s="1"/>
  <c r="AJ27" i="2"/>
  <c r="M27" i="2" s="1"/>
  <c r="AE27" i="2"/>
  <c r="H27" i="2" s="1"/>
  <c r="AK29" i="2"/>
  <c r="N29" i="2" s="1"/>
  <c r="AL75" i="2"/>
  <c r="O75" i="2" s="1"/>
  <c r="AF76" i="2"/>
  <c r="I76" i="2" s="1"/>
  <c r="AL38" i="2"/>
  <c r="O38" i="2" s="1"/>
  <c r="AD41" i="2"/>
  <c r="G41" i="2" s="1"/>
  <c r="AF36" i="2"/>
  <c r="I36" i="2" s="1"/>
  <c r="AE65" i="2"/>
  <c r="H65" i="2" s="1"/>
  <c r="AI54" i="2"/>
  <c r="L54" i="2" s="1"/>
  <c r="AD38" i="2"/>
  <c r="G38" i="2" s="1"/>
  <c r="AK13" i="2"/>
  <c r="N13" i="2" s="1"/>
  <c r="AM17" i="2"/>
  <c r="P17" i="2" s="1"/>
  <c r="AM29" i="2"/>
  <c r="P29" i="2" s="1"/>
  <c r="AE21" i="2"/>
  <c r="H21" i="2" s="1"/>
  <c r="AG29" i="2"/>
  <c r="J29" i="2" s="1"/>
  <c r="AH39" i="2"/>
  <c r="K39" i="2" s="1"/>
  <c r="AI64" i="2"/>
  <c r="L64" i="2" s="1"/>
  <c r="AH21" i="2"/>
  <c r="K21" i="2" s="1"/>
  <c r="AF38" i="2"/>
  <c r="I38" i="2" s="1"/>
  <c r="AF70" i="2"/>
  <c r="I70" i="2" s="1"/>
  <c r="AK24" i="2"/>
  <c r="N24" i="2" s="1"/>
  <c r="AI56" i="2"/>
  <c r="L56" i="2" s="1"/>
  <c r="AB64" i="2"/>
  <c r="E64" i="2" s="1"/>
  <c r="AJ69" i="2"/>
  <c r="M69" i="2" s="1"/>
  <c r="AM63" i="2"/>
  <c r="P63" i="2" s="1"/>
  <c r="AJ16" i="2"/>
  <c r="M16" i="2" s="1"/>
  <c r="AL70" i="2"/>
  <c r="O70" i="2" s="1"/>
  <c r="AB61" i="2"/>
  <c r="E61" i="2" s="1"/>
  <c r="AC39" i="2"/>
  <c r="F39" i="2" s="1"/>
  <c r="AJ17" i="2"/>
  <c r="M17" i="2" s="1"/>
  <c r="AC40" i="2"/>
  <c r="F40" i="2" s="1"/>
  <c r="AJ13" i="2"/>
  <c r="M13" i="2" s="1"/>
  <c r="AO27" i="2"/>
  <c r="R27" i="2" s="1"/>
  <c r="AC19" i="2"/>
  <c r="F19" i="2" s="1"/>
  <c r="AB75" i="2"/>
  <c r="E75" i="2" s="1"/>
  <c r="AH62" i="2"/>
  <c r="K62" i="2" s="1"/>
  <c r="AL63" i="2"/>
  <c r="O63" i="2" s="1"/>
  <c r="AP81" i="2"/>
  <c r="S81" i="2" s="1"/>
  <c r="AJ75" i="2"/>
  <c r="M75" i="2" s="1"/>
  <c r="AK75" i="2"/>
  <c r="N75" i="2" s="1"/>
  <c r="AM37" i="2"/>
  <c r="P37" i="2" s="1"/>
  <c r="AG57" i="2"/>
  <c r="J57" i="2" s="1"/>
  <c r="AD70" i="2"/>
  <c r="G70" i="2" s="1"/>
  <c r="AE75" i="2"/>
  <c r="H75" i="2" s="1"/>
  <c r="AF56" i="2"/>
  <c r="I56" i="2" s="1"/>
  <c r="AC65" i="2"/>
  <c r="F65" i="2" s="1"/>
  <c r="AI77" i="2"/>
  <c r="L77" i="2" s="1"/>
  <c r="AE77" i="2"/>
  <c r="H77" i="2" s="1"/>
  <c r="AG73" i="2"/>
  <c r="J73" i="2" s="1"/>
  <c r="AF65" i="2"/>
  <c r="I65" i="2" s="1"/>
  <c r="AM62" i="2"/>
  <c r="P62" i="2" s="1"/>
  <c r="AF62" i="2"/>
  <c r="I62" i="2" s="1"/>
  <c r="AE22" i="2"/>
  <c r="H22" i="2" s="1"/>
  <c r="AH63" i="2"/>
  <c r="K63" i="2" s="1"/>
  <c r="AB12" i="2"/>
  <c r="E12" i="2" s="1"/>
  <c r="AB17" i="2"/>
  <c r="E17" i="2" s="1"/>
  <c r="AN27" i="2"/>
  <c r="Q27" i="2" s="1"/>
  <c r="AG19" i="2"/>
  <c r="J19" i="2" s="1"/>
  <c r="AJ62" i="2"/>
  <c r="M62" i="2" s="1"/>
  <c r="AK31" i="2"/>
  <c r="N31" i="2" s="1"/>
  <c r="AE19" i="2"/>
  <c r="H19" i="2" s="1"/>
  <c r="AI36" i="2"/>
  <c r="L36" i="2" s="1"/>
  <c r="AK15" i="2"/>
  <c r="N15" i="2" s="1"/>
  <c r="AE36" i="2"/>
  <c r="H36" i="2" s="1"/>
  <c r="AI17" i="2"/>
  <c r="L17" i="2" s="1"/>
  <c r="AI15" i="2"/>
  <c r="L15" i="2" s="1"/>
  <c r="AO18" i="2"/>
  <c r="R18" i="2" s="1"/>
  <c r="AI29" i="2"/>
  <c r="L29" i="2" s="1"/>
  <c r="AJ41" i="2"/>
  <c r="M41" i="2" s="1"/>
  <c r="AM38" i="2"/>
  <c r="P38" i="2" s="1"/>
  <c r="AJ15" i="2"/>
  <c r="M15" i="2" s="1"/>
  <c r="AK65" i="2"/>
  <c r="N65" i="2" s="1"/>
  <c r="AD64" i="2"/>
  <c r="G64" i="2" s="1"/>
  <c r="AM64" i="2"/>
  <c r="P64" i="2" s="1"/>
  <c r="AB69" i="2"/>
  <c r="E69" i="2" s="1"/>
  <c r="AF18" i="2"/>
  <c r="I18" i="2" s="1"/>
  <c r="AE71" i="2"/>
  <c r="H71" i="2" s="1"/>
  <c r="AD61" i="2"/>
  <c r="G61" i="2" s="1"/>
  <c r="AF73" i="2"/>
  <c r="I73" i="2" s="1"/>
  <c r="AG66" i="2"/>
  <c r="J66" i="2" s="1"/>
  <c r="AG70" i="2"/>
  <c r="J70" i="2" s="1"/>
  <c r="AD36" i="2"/>
  <c r="G36" i="2" s="1"/>
  <c r="AE40" i="2"/>
  <c r="H40" i="2" s="1"/>
  <c r="AL62" i="2"/>
  <c r="O62" i="2" s="1"/>
  <c r="AK68" i="2"/>
  <c r="N68" i="2" s="1"/>
  <c r="AL61" i="2"/>
  <c r="O61" i="2" s="1"/>
  <c r="AC62" i="2"/>
  <c r="F62" i="2" s="1"/>
  <c r="AN11" i="2"/>
  <c r="Q11" i="2" s="1"/>
  <c r="AD39" i="2"/>
  <c r="G39" i="2" s="1"/>
  <c r="AC16" i="2"/>
  <c r="F16" i="2" s="1"/>
  <c r="AF24" i="2"/>
  <c r="I24" i="2" s="1"/>
  <c r="AE37" i="2"/>
  <c r="H37" i="2" s="1"/>
  <c r="AC17" i="2"/>
  <c r="F17" i="2" s="1"/>
  <c r="AD54" i="2"/>
  <c r="G54" i="2" s="1"/>
  <c r="AC41" i="2"/>
  <c r="F41" i="2" s="1"/>
  <c r="AM43" i="2"/>
  <c r="P43" i="2" s="1"/>
  <c r="AL25" i="2"/>
  <c r="O25" i="2" s="1"/>
  <c r="AL69" i="2"/>
  <c r="O69" i="2" s="1"/>
  <c r="AK12" i="2"/>
  <c r="N12" i="2" s="1"/>
  <c r="AG15" i="2"/>
  <c r="J15" i="2" s="1"/>
  <c r="AO29" i="2"/>
  <c r="R29" i="2" s="1"/>
  <c r="AD18" i="2"/>
  <c r="G18" i="2" s="1"/>
  <c r="AI43" i="2"/>
  <c r="L43" i="2" s="1"/>
  <c r="AI81" i="2"/>
  <c r="L81" i="2" s="1"/>
  <c r="AO24" i="2"/>
  <c r="R24" i="2" s="1"/>
  <c r="AH70" i="2"/>
  <c r="K70" i="2" s="1"/>
  <c r="AC77" i="2"/>
  <c r="F77" i="2" s="1"/>
  <c r="AI70" i="2"/>
  <c r="L70" i="2" s="1"/>
  <c r="AB65" i="2"/>
  <c r="E65" i="2" s="1"/>
  <c r="AH68" i="2"/>
  <c r="K68" i="2" s="1"/>
  <c r="AM67" i="2"/>
  <c r="P67" i="2" s="1"/>
  <c r="AM71" i="2"/>
  <c r="P71" i="2" s="1"/>
  <c r="AG39" i="2"/>
  <c r="J39" i="2" s="1"/>
  <c r="AJ43" i="2"/>
  <c r="M43" i="2" s="1"/>
  <c r="AM61" i="2"/>
  <c r="P61" i="2" s="1"/>
  <c r="AF43" i="2"/>
  <c r="I43" i="2" s="1"/>
  <c r="AL68" i="2"/>
  <c r="O68" i="2" s="1"/>
  <c r="AF61" i="2"/>
  <c r="I61" i="2" s="1"/>
  <c r="AE73" i="2"/>
  <c r="H73" i="2" s="1"/>
  <c r="AE70" i="2"/>
  <c r="H70" i="2" s="1"/>
  <c r="AK43" i="2"/>
  <c r="N43" i="2" s="1"/>
  <c r="AN25" i="2"/>
  <c r="Q25" i="2" s="1"/>
  <c r="AG54" i="2"/>
  <c r="J54" i="2" s="1"/>
  <c r="AM13" i="2"/>
  <c r="P13" i="2" s="1"/>
  <c r="AD15" i="2"/>
  <c r="G15" i="2" s="1"/>
  <c r="AH40" i="2"/>
  <c r="K40" i="2" s="1"/>
  <c r="AK27" i="2"/>
  <c r="N27" i="2" s="1"/>
  <c r="AI13" i="2"/>
  <c r="L13" i="2" s="1"/>
  <c r="AG24" i="2"/>
  <c r="J24" i="2" s="1"/>
  <c r="AG33" i="2"/>
  <c r="J33" i="2" s="1"/>
  <c r="AF12" i="2"/>
  <c r="I12" i="2" s="1"/>
  <c r="AK69" i="2"/>
  <c r="N69" i="2" s="1"/>
  <c r="AH73" i="2"/>
  <c r="K73" i="2" s="1"/>
  <c r="AD57" i="2"/>
  <c r="G57" i="2" s="1"/>
  <c r="AK76" i="2"/>
  <c r="N76" i="2" s="1"/>
  <c r="AG76" i="2"/>
  <c r="J76" i="2" s="1"/>
  <c r="AK64" i="2"/>
  <c r="N64" i="2" s="1"/>
  <c r="AI62" i="2"/>
  <c r="L62" i="2" s="1"/>
  <c r="AD66" i="2"/>
  <c r="G66" i="2" s="1"/>
  <c r="AM69" i="2"/>
  <c r="P69" i="2" s="1"/>
  <c r="AM41" i="2"/>
  <c r="P41" i="2" s="1"/>
  <c r="AK39" i="2"/>
  <c r="N39" i="2" s="1"/>
  <c r="AD67" i="2"/>
  <c r="G67" i="2" s="1"/>
  <c r="AE33" i="2"/>
  <c r="H33" i="2" s="1"/>
  <c r="AK66" i="2"/>
  <c r="N66" i="2" s="1"/>
  <c r="AE66" i="2"/>
  <c r="H66" i="2" s="1"/>
  <c r="AF29" i="2"/>
  <c r="I29" i="2" s="1"/>
  <c r="AL71" i="2"/>
  <c r="O71" i="2" s="1"/>
  <c r="AD63" i="2"/>
  <c r="G63" i="2" s="1"/>
  <c r="AF13" i="2"/>
  <c r="I13" i="2" s="1"/>
  <c r="AC24" i="2"/>
  <c r="F24" i="2" s="1"/>
  <c r="AG64" i="2"/>
  <c r="J64" i="2" s="1"/>
  <c r="AJ12" i="2"/>
  <c r="M12" i="2" s="1"/>
  <c r="AE39" i="2"/>
  <c r="H39" i="2" s="1"/>
  <c r="AG40" i="2"/>
  <c r="J40" i="2" s="1"/>
  <c r="AB24" i="2"/>
  <c r="E24" i="2" s="1"/>
  <c r="AH36" i="2"/>
  <c r="K36" i="2" s="1"/>
  <c r="AG17" i="2"/>
  <c r="J17" i="2" s="1"/>
  <c r="AP11" i="2"/>
  <c r="S11" i="2" s="1"/>
  <c r="AB33" i="2"/>
  <c r="E33" i="2" s="1"/>
  <c r="AJ19" i="2"/>
  <c r="M19" i="2" s="1"/>
  <c r="AB11" i="2"/>
  <c r="E11" i="2" s="1"/>
  <c r="T79" i="2"/>
  <c r="S26" i="2"/>
  <c r="T38" i="2"/>
  <c r="N23" i="2"/>
  <c r="T20" i="2"/>
  <c r="S50" i="2"/>
  <c r="T53" i="2"/>
  <c r="T32" i="2"/>
  <c r="T50" i="2"/>
  <c r="T80" i="2"/>
  <c r="T49" i="2"/>
  <c r="S44" i="2"/>
  <c r="P23" i="2"/>
  <c r="Q14" i="2"/>
  <c r="T72" i="2"/>
  <c r="S48" i="2"/>
  <c r="T28" i="2"/>
  <c r="S20" i="2"/>
  <c r="S79" i="2"/>
  <c r="S51" i="2"/>
  <c r="T34" i="2"/>
  <c r="T23" i="2"/>
  <c r="S30" i="2"/>
  <c r="S14" i="2"/>
  <c r="S72" i="2"/>
  <c r="M23" i="2"/>
  <c r="T60" i="2"/>
  <c r="T26" i="2"/>
  <c r="S52" i="2"/>
  <c r="S42" i="2"/>
  <c r="T48" i="2"/>
  <c r="S23" i="2"/>
  <c r="S45" i="2"/>
  <c r="T51" i="2"/>
  <c r="T45" i="2"/>
  <c r="S80" i="2"/>
  <c r="S74" i="2"/>
  <c r="T46" i="2"/>
  <c r="T44" i="2"/>
  <c r="S53" i="2"/>
  <c r="T47" i="2"/>
  <c r="S46" i="2"/>
  <c r="T35" i="2"/>
  <c r="R14" i="2"/>
  <c r="T52" i="2"/>
  <c r="Q23" i="2"/>
  <c r="S32" i="2"/>
  <c r="S49" i="2"/>
  <c r="O23" i="2"/>
  <c r="S78" i="2"/>
  <c r="S35" i="2"/>
  <c r="T74" i="2"/>
  <c r="S59" i="2"/>
  <c r="R23" i="2"/>
  <c r="T58" i="2"/>
  <c r="T59" i="2"/>
  <c r="T78" i="2"/>
  <c r="S47" i="2"/>
  <c r="S58" i="2"/>
  <c r="S60" i="2"/>
  <c r="T30" i="2"/>
  <c r="S28" i="2"/>
  <c r="T42" i="2"/>
  <c r="S34" i="2"/>
  <c r="T1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<sst xmlns="http://schemas.openxmlformats.org/spreadsheetml/2006/main" count="910" uniqueCount="691">
  <si>
    <t>3사평균</t>
  </si>
  <si>
    <t>4사평균</t>
  </si>
  <si>
    <t>KAP</t>
  </si>
  <si>
    <t>KIS</t>
  </si>
  <si>
    <t>NICE</t>
  </si>
  <si>
    <t>FN</t>
  </si>
  <si>
    <t>KOFIA</t>
  </si>
  <si>
    <t>국채</t>
  </si>
  <si>
    <t>국고채</t>
  </si>
  <si>
    <t>양곡,외평,재정</t>
  </si>
  <si>
    <t>국고채권</t>
  </si>
  <si>
    <t>BONDAVG01</t>
  </si>
  <si>
    <t>BONDAV401</t>
  </si>
  <si>
    <t>BONDKBPA100</t>
  </si>
  <si>
    <t>BONDKIS1013000</t>
  </si>
  <si>
    <t>BONDNIC1010000</t>
  </si>
  <si>
    <t>BONDFNP1010000</t>
  </si>
  <si>
    <t>BONDKSD1010000</t>
  </si>
  <si>
    <t>국민주택1종</t>
  </si>
  <si>
    <t>복리채</t>
  </si>
  <si>
    <t>BONDAVG02</t>
  </si>
  <si>
    <t>BONDAV402</t>
  </si>
  <si>
    <t>BONDKBPA300</t>
  </si>
  <si>
    <t>BONDKIS1030000</t>
  </si>
  <si>
    <t>BONDNIC1030000</t>
  </si>
  <si>
    <t>BONDFNP1030000</t>
  </si>
  <si>
    <t>BONDKSD1030000</t>
  </si>
  <si>
    <t>국민주택2종</t>
  </si>
  <si>
    <t>BONDAVG03</t>
  </si>
  <si>
    <t>BONDAV403</t>
  </si>
  <si>
    <t>BONDKBPA200</t>
  </si>
  <si>
    <t>BONDKIS1020000</t>
  </si>
  <si>
    <t>BONDNIC1020000</t>
  </si>
  <si>
    <t>BONDFNP1020000</t>
  </si>
  <si>
    <t>BONDKSD1020000</t>
  </si>
  <si>
    <t>국민주택3종</t>
  </si>
  <si>
    <t>BONDAVG04</t>
  </si>
  <si>
    <t>BONDAV404</t>
  </si>
  <si>
    <t>BONDKBPA400</t>
  </si>
  <si>
    <t>BONDNIC1015000</t>
  </si>
  <si>
    <t>지방채</t>
  </si>
  <si>
    <t>서울도시철도</t>
  </si>
  <si>
    <t>분할거치</t>
  </si>
  <si>
    <t>BONDAVG05</t>
  </si>
  <si>
    <t>BONDAV405</t>
  </si>
  <si>
    <t>BONDKBPB100</t>
  </si>
  <si>
    <t>BONDKIS2010000</t>
  </si>
  <si>
    <t>BONDNIC2010000</t>
  </si>
  <si>
    <t>BONDFNP2010000</t>
  </si>
  <si>
    <t>BONDKSD2010000</t>
  </si>
  <si>
    <t>지역개발채</t>
  </si>
  <si>
    <t>BONDAVG06</t>
  </si>
  <si>
    <t>BONDAV406</t>
  </si>
  <si>
    <t>BONDKBPB200</t>
  </si>
  <si>
    <t>BONDKIS2020000</t>
  </si>
  <si>
    <t>BONDNIC2020000</t>
  </si>
  <si>
    <t>BONDFNP2020000</t>
  </si>
  <si>
    <t>BONDKSD2020000</t>
  </si>
  <si>
    <t>공사/공단채</t>
  </si>
  <si>
    <t>정부보증</t>
  </si>
  <si>
    <t>공사채(정부보증)</t>
  </si>
  <si>
    <t>BONDAVG13</t>
  </si>
  <si>
    <t>BONDAV409</t>
  </si>
  <si>
    <t>BONDKBPC500</t>
  </si>
  <si>
    <t>BONDKIS3050000</t>
  </si>
  <si>
    <t>BONDNIC3050000</t>
  </si>
  <si>
    <t>BONDFNP3050000</t>
  </si>
  <si>
    <t>BONDKSD3030110</t>
  </si>
  <si>
    <t>AAA</t>
  </si>
  <si>
    <t>공사/공단채 AAA</t>
  </si>
  <si>
    <t>BONDAVG09</t>
  </si>
  <si>
    <t>BONDAV410</t>
  </si>
  <si>
    <t>BONDKBPC300</t>
  </si>
  <si>
    <t>BONDKIS3033110</t>
  </si>
  <si>
    <t>BONDNIC3030110</t>
  </si>
  <si>
    <t>BONDFNP3030110</t>
  </si>
  <si>
    <t>BONDKSD3040121</t>
  </si>
  <si>
    <t>AA+</t>
  </si>
  <si>
    <t>공사/공단채 AA+</t>
  </si>
  <si>
    <t>BONDAVG10</t>
  </si>
  <si>
    <t>BONDAV411</t>
  </si>
  <si>
    <t>BONDKBPC401</t>
  </si>
  <si>
    <t>BONDKIS3043121</t>
  </si>
  <si>
    <t>BONDNIC3040111</t>
  </si>
  <si>
    <t>BONDFNP3040121</t>
  </si>
  <si>
    <t>BONDKSD3040120</t>
  </si>
  <si>
    <t>AA0</t>
  </si>
  <si>
    <t>공사/공단채 AA</t>
  </si>
  <si>
    <t>BONDAVG11</t>
  </si>
  <si>
    <t>BONDAV412</t>
  </si>
  <si>
    <t>BONDKBPC400</t>
  </si>
  <si>
    <t>BONDKIS3043122</t>
  </si>
  <si>
    <t>BONDNIC3040112</t>
  </si>
  <si>
    <t>BONDFNP3040122</t>
  </si>
  <si>
    <t>AA-</t>
  </si>
  <si>
    <t>공사/공단채 AA-</t>
  </si>
  <si>
    <t>BONDAVG12</t>
  </si>
  <si>
    <t>BONDAV413</t>
  </si>
  <si>
    <t>BONDKBPC402</t>
  </si>
  <si>
    <t>BONDKIS3043123</t>
  </si>
  <si>
    <t>BONDNIC3040113</t>
  </si>
  <si>
    <t>BONDFNP3040123</t>
  </si>
  <si>
    <t>BONDKSD3070000</t>
  </si>
  <si>
    <t>통안증권</t>
  </si>
  <si>
    <t>이표채</t>
  </si>
  <si>
    <t>BONDAVG14</t>
  </si>
  <si>
    <t>BONDAV414</t>
  </si>
  <si>
    <t>BONDKBPD000</t>
  </si>
  <si>
    <t>BONDKIS4003000</t>
  </si>
  <si>
    <t>BONDNIC4000000</t>
  </si>
  <si>
    <t>BONDFNP4000000</t>
  </si>
  <si>
    <t>BONDKSD4000000</t>
  </si>
  <si>
    <t>할인채</t>
  </si>
  <si>
    <t>이표채외통안채</t>
  </si>
  <si>
    <t>BONDAVG15</t>
  </si>
  <si>
    <t>BONDAV415</t>
  </si>
  <si>
    <t>BONDKBPD001</t>
  </si>
  <si>
    <t>커버드본드</t>
  </si>
  <si>
    <t>BONDAVG84</t>
  </si>
  <si>
    <t>BONDAV484</t>
  </si>
  <si>
    <t>BONDKBPE13C</t>
  </si>
  <si>
    <t>BONDKIS4050000</t>
  </si>
  <si>
    <t>BONDNIC4050000</t>
  </si>
  <si>
    <t>BONDFNP4050000</t>
  </si>
  <si>
    <t>BONDKSD4050000</t>
  </si>
  <si>
    <t>금융채</t>
  </si>
  <si>
    <t>은행채</t>
  </si>
  <si>
    <t>AAA(산금-이표)</t>
  </si>
  <si>
    <t>금융채 산금채 AAA</t>
  </si>
  <si>
    <t>BONDAVG16</t>
  </si>
  <si>
    <t>BONDAV416</t>
  </si>
  <si>
    <t>BONDKBPE110</t>
  </si>
  <si>
    <t>BONDKIS5013110</t>
  </si>
  <si>
    <t>BONDNIC5010110</t>
  </si>
  <si>
    <t>BONDFNP5010110</t>
  </si>
  <si>
    <t>BONDKSD5010110</t>
  </si>
  <si>
    <t>AAA(산금-할인)</t>
  </si>
  <si>
    <t>금융채I-이표채외산금채</t>
  </si>
  <si>
    <t>BONDAVG17</t>
  </si>
  <si>
    <t>BONDAV417</t>
  </si>
  <si>
    <t>BONDKBPE111</t>
  </si>
  <si>
    <t>AAA(중금_이표)</t>
  </si>
  <si>
    <t>금융채 중금채 AAA</t>
  </si>
  <si>
    <t>BONDAVG18</t>
  </si>
  <si>
    <t>BONDAV418</t>
  </si>
  <si>
    <t>BONDKBPE120</t>
  </si>
  <si>
    <t>BONDKIS5023110</t>
  </si>
  <si>
    <t>BONDNIC5020110</t>
  </si>
  <si>
    <t>BONDFNP5020110</t>
  </si>
  <si>
    <t>BONDKSD5020110</t>
  </si>
  <si>
    <t>AAA(중금-할인)</t>
  </si>
  <si>
    <t>금융채I-이표채외중기채</t>
  </si>
  <si>
    <t>BONDAVG19</t>
  </si>
  <si>
    <t>BONDAV419</t>
  </si>
  <si>
    <t>BONDKBPE121</t>
  </si>
  <si>
    <t>금융채 은행채 AAA</t>
  </si>
  <si>
    <t>BONDAVG20</t>
  </si>
  <si>
    <t>BONDAV420</t>
  </si>
  <si>
    <t>BONDKBPE130</t>
  </si>
  <si>
    <t>BONDKIS5033110</t>
  </si>
  <si>
    <t>BONDNIC5030110</t>
  </si>
  <si>
    <t>BONDFNP5030110</t>
  </si>
  <si>
    <t>BONDKSD5030110</t>
  </si>
  <si>
    <t>금융채 은행채 AA+</t>
  </si>
  <si>
    <t>BONDAVG21</t>
  </si>
  <si>
    <t>BONDAV421</t>
  </si>
  <si>
    <t>BONDKBPE144</t>
  </si>
  <si>
    <t>BONDKIS5043121</t>
  </si>
  <si>
    <t>BONDNIC5040111</t>
  </si>
  <si>
    <t>BONDFNP5040121</t>
  </si>
  <si>
    <t>금융채 은행채 AA</t>
  </si>
  <si>
    <t>BONDAVG22</t>
  </si>
  <si>
    <t>BONDAV422</t>
  </si>
  <si>
    <t>BONDKBPE140</t>
  </si>
  <si>
    <t>BONDKIS5043122</t>
  </si>
  <si>
    <t>BONDNIC5040112</t>
  </si>
  <si>
    <t>BONDFNP5040122</t>
  </si>
  <si>
    <t>BONDKSD5040120</t>
  </si>
  <si>
    <t>금융채 은행채 AA-</t>
  </si>
  <si>
    <t>BONDAVG23</t>
  </si>
  <si>
    <t>BONDAV423</t>
  </si>
  <si>
    <t>BONDKBPE142</t>
  </si>
  <si>
    <t>BONDKIS5043123</t>
  </si>
  <si>
    <t>BONDNIC5040113</t>
  </si>
  <si>
    <t>BONDFNP5040123</t>
  </si>
  <si>
    <t>A+</t>
  </si>
  <si>
    <t>금융채 은행채 A+</t>
  </si>
  <si>
    <t>BONDAVG24</t>
  </si>
  <si>
    <t>BONDAV424</t>
  </si>
  <si>
    <t>BONDKBPE150</t>
  </si>
  <si>
    <t>BONDKIS5053131</t>
  </si>
  <si>
    <t>BONDNIC5050111</t>
  </si>
  <si>
    <t>BONDFNP5050131</t>
  </si>
  <si>
    <t>BONDKSD5050131</t>
  </si>
  <si>
    <t>A0</t>
  </si>
  <si>
    <t>금융채 은행채 A</t>
  </si>
  <si>
    <t>BONDAVG25</t>
  </si>
  <si>
    <t>BONDAV425</t>
  </si>
  <si>
    <t>BONDKIS5053132</t>
  </si>
  <si>
    <t>BONDNIC5050112</t>
  </si>
  <si>
    <t>BONDFNP5050132</t>
  </si>
  <si>
    <t>A-</t>
  </si>
  <si>
    <t>금융채 은행채 A-</t>
  </si>
  <si>
    <t>BONDAVG26</t>
  </si>
  <si>
    <t>BONDAV426</t>
  </si>
  <si>
    <t>BONDKIS5053133</t>
  </si>
  <si>
    <t>BONDNIC5050113</t>
  </si>
  <si>
    <t>BONDFNP5050133</t>
  </si>
  <si>
    <t>카드채</t>
  </si>
  <si>
    <t>금융채 카드채 AA+</t>
  </si>
  <si>
    <t>BONDAVG81</t>
  </si>
  <si>
    <t>BONDAV481</t>
  </si>
  <si>
    <t>BONDKBPE204</t>
  </si>
  <si>
    <t>BONDKIS9999119</t>
  </si>
  <si>
    <t>BONDNIC6040111</t>
  </si>
  <si>
    <t>BONDFNP6010121</t>
  </si>
  <si>
    <t>BONDKSD6010121</t>
  </si>
  <si>
    <t>금융채 카드채 AA</t>
  </si>
  <si>
    <t>BONDAVG27</t>
  </si>
  <si>
    <t>BONDAV427</t>
  </si>
  <si>
    <t>BONDKBPE202</t>
  </si>
  <si>
    <t>BONDKIS9999111</t>
  </si>
  <si>
    <t>BONDNIC6040112</t>
  </si>
  <si>
    <t>BONDFNP6010122</t>
  </si>
  <si>
    <t>BONDKSD6010122</t>
  </si>
  <si>
    <t>금융채 카드채 AA-</t>
  </si>
  <si>
    <t>BONDAVG28</t>
  </si>
  <si>
    <t>BONDAV428</t>
  </si>
  <si>
    <t>BONDKBPE200</t>
  </si>
  <si>
    <t>BONDKIS9999112</t>
  </si>
  <si>
    <t>BONDNIC6040113</t>
  </si>
  <si>
    <t>BONDFNP6010123</t>
  </si>
  <si>
    <t>BONDKSD6010123</t>
  </si>
  <si>
    <t>금융채 카드채 A+</t>
  </si>
  <si>
    <t>BONDAVG29</t>
  </si>
  <si>
    <t>BONDAV429</t>
  </si>
  <si>
    <t>BONDKBPE210</t>
  </si>
  <si>
    <t>BONDKIS9999113</t>
  </si>
  <si>
    <t>BONDNIC6050111</t>
  </si>
  <si>
    <t>BONDFNP6010131</t>
  </si>
  <si>
    <t>BONDKSD6010131</t>
  </si>
  <si>
    <t>금융채 카드채 A</t>
  </si>
  <si>
    <t>BONDAVG30</t>
  </si>
  <si>
    <t>BONDAV430</t>
  </si>
  <si>
    <t>BONDKBPE220</t>
  </si>
  <si>
    <t>BONDKIS9999114</t>
  </si>
  <si>
    <t>BONDNIC6050112</t>
  </si>
  <si>
    <t>BONDFNP6010132</t>
  </si>
  <si>
    <t>BONDKSD6010132</t>
  </si>
  <si>
    <t>금융채 카드채 A-</t>
  </si>
  <si>
    <t>BONDAVG31</t>
  </si>
  <si>
    <t>BONDAV431</t>
  </si>
  <si>
    <t>BONDKBPE230</t>
  </si>
  <si>
    <t>BONDKIS9999115</t>
  </si>
  <si>
    <t>BONDNIC6050113</t>
  </si>
  <si>
    <t>BONDFNP6010133</t>
  </si>
  <si>
    <t>BONDKSD6010133</t>
  </si>
  <si>
    <t>BBB+</t>
  </si>
  <si>
    <t>금융채 카드채 BBB+</t>
  </si>
  <si>
    <t>BONDAVG32</t>
  </si>
  <si>
    <t>BONDAV432</t>
  </si>
  <si>
    <t>BONDKIS9999116</t>
  </si>
  <si>
    <t>BONDNIC6060111</t>
  </si>
  <si>
    <t>BONDFNP6010211</t>
  </si>
  <si>
    <t>BBB0</t>
  </si>
  <si>
    <t>금융채 카드채 BBB0</t>
  </si>
  <si>
    <t>BONDAVG33</t>
  </si>
  <si>
    <t>BONDAV433</t>
  </si>
  <si>
    <t>BONDKIS9999117</t>
  </si>
  <si>
    <t>BONDNIC6060112</t>
  </si>
  <si>
    <t>BONDFNP6010212</t>
  </si>
  <si>
    <t>BONDKSD6010210</t>
  </si>
  <si>
    <t>BBB-</t>
  </si>
  <si>
    <t>금융채 카드채 BBB-</t>
  </si>
  <si>
    <t>BONDAVG34</t>
  </si>
  <si>
    <t>BONDAV434</t>
  </si>
  <si>
    <t>BONDKIS9999118</t>
  </si>
  <si>
    <t>BONDNIC6060113</t>
  </si>
  <si>
    <t>BONDFNP6010213</t>
  </si>
  <si>
    <t>기타금융채</t>
  </si>
  <si>
    <t>기타금융채AA+(3개월이표)</t>
  </si>
  <si>
    <t>BONDAVG82</t>
  </si>
  <si>
    <t>BONDAV482</t>
  </si>
  <si>
    <t>BONDKBPE304</t>
  </si>
  <si>
    <t>BONDKIS6013121</t>
  </si>
  <si>
    <t>BONDNIC9999118</t>
  </si>
  <si>
    <t>BONDFNP9999118</t>
  </si>
  <si>
    <t>기타금융채AA0(3개월이표)</t>
  </si>
  <si>
    <t>BONDAVG36</t>
  </si>
  <si>
    <t>BONDAV436</t>
  </si>
  <si>
    <t>BONDKBPE302</t>
  </si>
  <si>
    <t>BONDKIS6013122</t>
  </si>
  <si>
    <t>BONDNIC9999110</t>
  </si>
  <si>
    <t>BONDFNP9999110</t>
  </si>
  <si>
    <t>기타금융채AA-(3개월이표)</t>
  </si>
  <si>
    <t>BONDAVG37</t>
  </si>
  <si>
    <t>BONDAV437</t>
  </si>
  <si>
    <t>BONDKBPE300</t>
  </si>
  <si>
    <t>BONDKIS6013123</t>
  </si>
  <si>
    <t>BONDNIC9999111</t>
  </si>
  <si>
    <t>BONDFNP9999111</t>
  </si>
  <si>
    <t>기타금융채A+(3개월이표)</t>
  </si>
  <si>
    <t>BONDAVG38</t>
  </si>
  <si>
    <t>BONDAV438</t>
  </si>
  <si>
    <t>BONDKBPE310</t>
  </si>
  <si>
    <t>BONDKIS6013131</t>
  </si>
  <si>
    <t>BONDNIC9999112</t>
  </si>
  <si>
    <t>BONDFNP9999112</t>
  </si>
  <si>
    <t>기타금융채A0(3개월이표)</t>
  </si>
  <si>
    <t>BONDAVG39</t>
  </si>
  <si>
    <t>BONDAV439</t>
  </si>
  <si>
    <t>BONDKBPE320</t>
  </si>
  <si>
    <t>BONDKIS6013132</t>
  </si>
  <si>
    <t>BONDNIC9999113</t>
  </si>
  <si>
    <t>BONDFNP9999113</t>
  </si>
  <si>
    <t>기타금융채A-(3개월이표)</t>
  </si>
  <si>
    <t>BONDAVG40</t>
  </si>
  <si>
    <t>BONDAV440</t>
  </si>
  <si>
    <t>BONDKBPE330</t>
  </si>
  <si>
    <t>BONDKIS6013133</t>
  </si>
  <si>
    <t>BONDNIC9999114</t>
  </si>
  <si>
    <t>BONDFNP9999114</t>
  </si>
  <si>
    <t>기타금융채BBB+(3개월이표)</t>
  </si>
  <si>
    <t>BONDAVG41</t>
  </si>
  <si>
    <t>BONDAV441</t>
  </si>
  <si>
    <t>BONDKBPE342</t>
  </si>
  <si>
    <t>BONDKIS6013211</t>
  </si>
  <si>
    <t>BONDNIC9999115</t>
  </si>
  <si>
    <t>BONDFNP9999115</t>
  </si>
  <si>
    <t>기타금융채BBB0(3개월이표)</t>
  </si>
  <si>
    <t>BONDAVG42</t>
  </si>
  <si>
    <t>BONDAV442</t>
  </si>
  <si>
    <t>BONDKBPE340</t>
  </si>
  <si>
    <t>BONDKIS6013212</t>
  </si>
  <si>
    <t>BONDNIC9999116</t>
  </si>
  <si>
    <t>BONDFNP9999116</t>
  </si>
  <si>
    <t>기타금융채BBB-(3개월이표)</t>
  </si>
  <si>
    <t>BONDAVG43</t>
  </si>
  <si>
    <t>BONDAV443</t>
  </si>
  <si>
    <t>BONDKBPE350</t>
  </si>
  <si>
    <t>BONDKIS6013213</t>
  </si>
  <si>
    <t>BONDNIC9999117</t>
  </si>
  <si>
    <t>BONDFNP9999117</t>
  </si>
  <si>
    <t>회사채</t>
  </si>
  <si>
    <t>공모/보증</t>
  </si>
  <si>
    <t>특수,우량시중은행</t>
  </si>
  <si>
    <t>회사채 공모/보증 특수은행보증</t>
  </si>
  <si>
    <t>BONDAVG44</t>
  </si>
  <si>
    <t>BONDAV444</t>
  </si>
  <si>
    <t>BONDKBPF114</t>
  </si>
  <si>
    <t>BONDNIC7130110</t>
  </si>
  <si>
    <t>BONDFNP7020110</t>
  </si>
  <si>
    <t>BONDKSD7020110</t>
  </si>
  <si>
    <t>시중은행</t>
  </si>
  <si>
    <t>회사채 공모/보증 시중은행보증</t>
  </si>
  <si>
    <t>BONDAVG45</t>
  </si>
  <si>
    <t>BONDAV445</t>
  </si>
  <si>
    <t>BONDKBPF124</t>
  </si>
  <si>
    <t>BONDNIC7140112</t>
  </si>
  <si>
    <t>BONDFNP7020120</t>
  </si>
  <si>
    <t>BONDKSD7020120</t>
  </si>
  <si>
    <t>우량지방은행</t>
  </si>
  <si>
    <t>회사채 공모/보증 우량지방은행보증</t>
  </si>
  <si>
    <t>BONDAVG46</t>
  </si>
  <si>
    <t>BONDAV446</t>
  </si>
  <si>
    <t>BONDKBPF134</t>
  </si>
  <si>
    <t>BONDNIC7150111</t>
  </si>
  <si>
    <t>BONDFNP7020130</t>
  </si>
  <si>
    <t>BONDKSD7020130</t>
  </si>
  <si>
    <t>기타금융기관</t>
  </si>
  <si>
    <t>회사채 공모/보증 기타금융기관보증</t>
  </si>
  <si>
    <t>BONDAVG47</t>
  </si>
  <si>
    <t>BONDAV447</t>
  </si>
  <si>
    <t>BONDKBPF144</t>
  </si>
  <si>
    <t>BONDNIC7150113</t>
  </si>
  <si>
    <t>BONDFNP7020210</t>
  </si>
  <si>
    <t>BONDKSD7020210</t>
  </si>
  <si>
    <t>회사채 공모/보증 AA+</t>
  </si>
  <si>
    <t>BONDAVG49</t>
  </si>
  <si>
    <t>BONDAV449</t>
  </si>
  <si>
    <t>BONDNIC7140111</t>
  </si>
  <si>
    <t>회사채 공모/보증 AA-</t>
  </si>
  <si>
    <t>BONDAVG51</t>
  </si>
  <si>
    <t>BONDAV451</t>
  </si>
  <si>
    <t>BONDNIC7140113</t>
  </si>
  <si>
    <t>회사채 공모/보증 A</t>
  </si>
  <si>
    <t>BONDAVG53</t>
  </si>
  <si>
    <t>BONDAV453</t>
  </si>
  <si>
    <t>BONDNIC7150112</t>
  </si>
  <si>
    <t>공모/무보증</t>
  </si>
  <si>
    <t>회사채AAA(공모/무보증)</t>
  </si>
  <si>
    <t>BONDAVG55</t>
  </si>
  <si>
    <t>BONDAV455</t>
  </si>
  <si>
    <t>BONDKBPF212</t>
  </si>
  <si>
    <t>BONDKIS7010110</t>
  </si>
  <si>
    <t>BONDNIC7030110</t>
  </si>
  <si>
    <t>BONDFNP7010110</t>
  </si>
  <si>
    <t>BONDKSD7010110</t>
  </si>
  <si>
    <t>회사채AA+(공모/무보증)</t>
  </si>
  <si>
    <t>BONDAVG56</t>
  </si>
  <si>
    <t>BONDAV456</t>
  </si>
  <si>
    <t>BONDKBPF221</t>
  </si>
  <si>
    <t>BONDKIS7010121</t>
  </si>
  <si>
    <t>BONDNIC7040111</t>
  </si>
  <si>
    <t>BONDFNP7010121</t>
  </si>
  <si>
    <t>BONDKSD7010121</t>
  </si>
  <si>
    <t>회사채AA0(공모/무보증)</t>
  </si>
  <si>
    <t>BONDAVG57</t>
  </si>
  <si>
    <t>BONDAV457</t>
  </si>
  <si>
    <t>BONDKBPF222</t>
  </si>
  <si>
    <t>BONDKIS7010122</t>
  </si>
  <si>
    <t>BONDNIC7040112</t>
  </si>
  <si>
    <t>BONDFNP7010122</t>
  </si>
  <si>
    <t>BONDKSD7010122</t>
  </si>
  <si>
    <t>회사채AA-(공모/무보증)</t>
  </si>
  <si>
    <t>BONDAVG58</t>
  </si>
  <si>
    <t>BONDAV458</t>
  </si>
  <si>
    <t>BONDKBPF223</t>
  </si>
  <si>
    <t>BONDKIS7010123</t>
  </si>
  <si>
    <t>BONDNIC7040113</t>
  </si>
  <si>
    <t>BONDFNP7010123</t>
  </si>
  <si>
    <t>BONDKSD7010123</t>
  </si>
  <si>
    <t>회사채A+(공모/무보증)</t>
  </si>
  <si>
    <t>BONDAVG59</t>
  </si>
  <si>
    <t>BONDAV459</t>
  </si>
  <si>
    <t>BONDKBPF231</t>
  </si>
  <si>
    <t>BONDKIS7010131</t>
  </si>
  <si>
    <t>BONDNIC7050111</t>
  </si>
  <si>
    <t>BONDFNP7010131</t>
  </si>
  <si>
    <t>BONDKSD7010131</t>
  </si>
  <si>
    <t>회사채A0(공모/무보증)</t>
  </si>
  <si>
    <t>BONDAVG60</t>
  </si>
  <si>
    <t>BONDAV460</t>
  </si>
  <si>
    <t>BONDKBPF232</t>
  </si>
  <si>
    <t>BONDKIS7010132</t>
  </si>
  <si>
    <t>BONDNIC7050112</t>
  </si>
  <si>
    <t>BONDFNP7010132</t>
  </si>
  <si>
    <t>BONDKSD7010132</t>
  </si>
  <si>
    <t>회사채A-(공모/무보증)</t>
  </si>
  <si>
    <t>BONDAVG61</t>
  </si>
  <si>
    <t>BONDAV461</t>
  </si>
  <si>
    <t>BONDKBPF233</t>
  </si>
  <si>
    <t>BONDKIS7010133</t>
  </si>
  <si>
    <t>BONDNIC7050113</t>
  </si>
  <si>
    <t>BONDFNP7010133</t>
  </si>
  <si>
    <t>BONDKSD7010133</t>
  </si>
  <si>
    <t>회사채BBB+(공모/무보증)</t>
  </si>
  <si>
    <t>BONDAVG62</t>
  </si>
  <si>
    <t>BONDAV462</t>
  </si>
  <si>
    <t>BONDKBPF241</t>
  </si>
  <si>
    <t>BONDKIS7010211</t>
  </si>
  <si>
    <t>BONDNIC7060111</t>
  </si>
  <si>
    <t>BONDFNP7010211</t>
  </si>
  <si>
    <t>BONDKSD7010211</t>
  </si>
  <si>
    <t>회사채BBB0(공모/무보증)</t>
  </si>
  <si>
    <t>BONDAVG63</t>
  </si>
  <si>
    <t>BONDAV463</t>
  </si>
  <si>
    <t>BONDKBPF242</t>
  </si>
  <si>
    <t>BONDKIS7010212</t>
  </si>
  <si>
    <t>BONDNIC7060112</t>
  </si>
  <si>
    <t>BONDFNP7010212</t>
  </si>
  <si>
    <t>BONDKSD7010212</t>
  </si>
  <si>
    <t>회사채BBB-(공모/무보증)</t>
  </si>
  <si>
    <t>BONDAVG64</t>
  </si>
  <si>
    <t>BONDAV464</t>
  </si>
  <si>
    <t>BONDKBPF243</t>
  </si>
  <si>
    <t>BONDKIS7010213</t>
  </si>
  <si>
    <t>BONDNIC7060113</t>
  </si>
  <si>
    <t>BONDFNP7010213</t>
  </si>
  <si>
    <t>BONDKSD7010213</t>
  </si>
  <si>
    <t>사모/무보증</t>
  </si>
  <si>
    <t>회사채AAA(사모/무)</t>
  </si>
  <si>
    <t>BONDAVG69</t>
  </si>
  <si>
    <t>BONDAV469</t>
  </si>
  <si>
    <t>BONDKBPF312</t>
  </si>
  <si>
    <t>BONDKIS8010110</t>
  </si>
  <si>
    <t>BONDNIC8030110</t>
  </si>
  <si>
    <t>BONDFNP8010110</t>
  </si>
  <si>
    <t>BONDKSD8010110</t>
  </si>
  <si>
    <t>회사채AA+(사모/무)</t>
  </si>
  <si>
    <t>BONDAVG70</t>
  </si>
  <si>
    <t>BONDAV470</t>
  </si>
  <si>
    <t>BONDKBPF321</t>
  </si>
  <si>
    <t>BONDKIS8010121</t>
  </si>
  <si>
    <t>BONDNIC8040111</t>
  </si>
  <si>
    <t>BONDFNP8010121</t>
  </si>
  <si>
    <t>회사채AA0(사모/무)</t>
  </si>
  <si>
    <t>BONDAVG71</t>
  </si>
  <si>
    <t>BONDAV471</t>
  </si>
  <si>
    <t>BONDKBPF322</t>
  </si>
  <si>
    <t>BONDKIS8010122</t>
  </si>
  <si>
    <t>BONDNIC8040112</t>
  </si>
  <si>
    <t>BONDFNP8010122</t>
  </si>
  <si>
    <t>BONDKSD8010120</t>
  </si>
  <si>
    <t>회사채AA-(사모/무)</t>
  </si>
  <si>
    <t>BONDAVG72</t>
  </si>
  <si>
    <t>BONDAV472</t>
  </si>
  <si>
    <t>BONDKBPF323</t>
  </si>
  <si>
    <t>BONDKIS8010123</t>
  </si>
  <si>
    <t>BONDNIC8040113</t>
  </si>
  <si>
    <t>BONDFNP8010123</t>
  </si>
  <si>
    <t>회사채A+(사모/무)</t>
  </si>
  <si>
    <t>BONDAVG73</t>
  </si>
  <si>
    <t>BONDAV473</t>
  </si>
  <si>
    <t>BONDKBPF331</t>
  </si>
  <si>
    <t>BONDKIS8010131</t>
  </si>
  <si>
    <t>BONDNIC8050111</t>
  </si>
  <si>
    <t>BONDFNP8010131</t>
  </si>
  <si>
    <t>BONDKSD8010131</t>
  </si>
  <si>
    <t>회사채A0(사모/무)</t>
  </si>
  <si>
    <t>BONDAVG74</t>
  </si>
  <si>
    <t>BONDAV474</t>
  </si>
  <si>
    <t>BONDKBPF332</t>
  </si>
  <si>
    <t>BONDKIS8010132</t>
  </si>
  <si>
    <t>BONDNIC8050112</t>
  </si>
  <si>
    <t>BONDFNP8010132</t>
  </si>
  <si>
    <t>BONDKSD8010132</t>
  </si>
  <si>
    <t>회사채A-(사모/무)</t>
  </si>
  <si>
    <t>BONDAVG75</t>
  </si>
  <si>
    <t>BONDAV475</t>
  </si>
  <si>
    <t>BONDKBPF333</t>
  </si>
  <si>
    <t>BONDKIS8010133</t>
  </si>
  <si>
    <t>BONDNIC8050113</t>
  </si>
  <si>
    <t>BONDFNP8010133</t>
  </si>
  <si>
    <t>BONDKSD8010133</t>
  </si>
  <si>
    <t>회사채BBB+(사모/무)</t>
  </si>
  <si>
    <t>BONDAVG76</t>
  </si>
  <si>
    <t>BONDAV476</t>
  </si>
  <si>
    <t>BONDKBPF341</t>
  </si>
  <si>
    <t>BONDKIS8010211</t>
  </si>
  <si>
    <t>BONDNIC8060111</t>
  </si>
  <si>
    <t>BONDFNP8110211</t>
  </si>
  <si>
    <t>회사채BBB0(사모/무)</t>
  </si>
  <si>
    <t>BONDAVG77</t>
  </si>
  <si>
    <t>BONDAV477</t>
  </si>
  <si>
    <t>BONDKBPF342</t>
  </si>
  <si>
    <t>BONDKIS8010212</t>
  </si>
  <si>
    <t>BONDNIC8060112</t>
  </si>
  <si>
    <t>BONDFNP8110212</t>
  </si>
  <si>
    <t>회사채BBB-(사모/무)</t>
  </si>
  <si>
    <t>BONDAVG78</t>
  </si>
  <si>
    <t>BONDAV478</t>
  </si>
  <si>
    <t>BONDKBPF343</t>
  </si>
  <si>
    <t>BONDKIS8010213</t>
  </si>
  <si>
    <t>BONDNIC8060113</t>
  </si>
  <si>
    <t>BONDFNP8110213</t>
  </si>
  <si>
    <t>유동화증권</t>
  </si>
  <si>
    <t>KHFC MBS/SLBS</t>
  </si>
  <si>
    <t>유동화증권 KHFC MBS/SLBS AAA</t>
  </si>
  <si>
    <t>BONDAVG79</t>
  </si>
  <si>
    <t>BONDAV479</t>
  </si>
  <si>
    <t>BONDKBPZ001</t>
  </si>
  <si>
    <t>BONDKIS3060000</t>
  </si>
  <si>
    <t>BONDNIC7430110</t>
  </si>
  <si>
    <t>BONDFNP3060000</t>
  </si>
  <si>
    <t>BONDKSD3060000</t>
  </si>
  <si>
    <t>시가평가 Matrix</t>
    <phoneticPr fontId="0" type="noConversion"/>
  </si>
  <si>
    <t>3월이하(국고대비)</t>
  </si>
  <si>
    <t>6월이하(국고대비)</t>
  </si>
  <si>
    <t>9월이하(국고대비)</t>
  </si>
  <si>
    <t>1년이하(국고대비)</t>
  </si>
  <si>
    <t>1.5년이하(국고대비)</t>
  </si>
  <si>
    <t>2년이하(국고대비)</t>
  </si>
  <si>
    <t>2.5년이하(국고대비)</t>
  </si>
  <si>
    <t>3년이하(국고대비)</t>
  </si>
  <si>
    <t>4년이하(국고대비)</t>
  </si>
  <si>
    <t>5년이하(국고대비)</t>
  </si>
  <si>
    <t>7년이하(국고대비)</t>
  </si>
  <si>
    <t>10년이하(국고대비)</t>
  </si>
  <si>
    <t>15년이하(국고대비)</t>
  </si>
  <si>
    <t>20년이하(국고대비)</t>
  </si>
  <si>
    <t>30년이하(국고대비)</t>
  </si>
  <si>
    <t>50년이하(국고대비)</t>
    <phoneticPr fontId="0" type="noConversion"/>
  </si>
  <si>
    <t>3월이하(전일대비)</t>
  </si>
  <si>
    <t>6월이하(전일대비)</t>
  </si>
  <si>
    <t>9월이하(전일대비)</t>
  </si>
  <si>
    <t>1년이하(전일대비)</t>
  </si>
  <si>
    <t>1.5년이하(전일대비)</t>
  </si>
  <si>
    <t>2년이하(전일대비)</t>
  </si>
  <si>
    <t>2.5년이하(전일대비)</t>
  </si>
  <si>
    <t>3년이하(전일대비)</t>
  </si>
  <si>
    <t>4년이하(전일대비)</t>
  </si>
  <si>
    <t>5년이하(전일대비)</t>
  </si>
  <si>
    <t>7년이하(전일대비)</t>
  </si>
  <si>
    <t>10년이하(전일대비)</t>
  </si>
  <si>
    <t>15년이하(전일대비)</t>
  </si>
  <si>
    <t>20년이하(전일대비)</t>
  </si>
  <si>
    <t>30년이하(전일대비)</t>
  </si>
  <si>
    <t>50년이하(전일대비)</t>
    <phoneticPr fontId="0" type="noConversion"/>
  </si>
  <si>
    <t>3월이하(당일)</t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</si>
  <si>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</si>
  <si>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</si>
  <si>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</si>
  <si>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</si>
  <si>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</si>
  <si>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</si>
  <si>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</si>
  <si>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</si>
  <si>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</si>
  <si>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</si>
  <si>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</si>
  <si>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</si>
  <si>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</si>
  <si>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30년이하(당일)</t>
  </si>
  <si>
    <t>50년이하(당일)</t>
    <phoneticPr fontId="0" type="noConversion"/>
  </si>
  <si>
    <t>일자</t>
    <phoneticPr fontId="0" type="noConversion"/>
  </si>
  <si>
    <t>대분류</t>
    <phoneticPr fontId="0" type="noConversion"/>
  </si>
  <si>
    <t>중분류</t>
    <phoneticPr fontId="0" type="noConversion"/>
  </si>
  <si>
    <t>소분류</t>
    <phoneticPr fontId="0" type="noConversion"/>
  </si>
  <si>
    <t>3M</t>
    <phoneticPr fontId="0" type="noConversion"/>
  </si>
  <si>
    <t>6M</t>
    <phoneticPr fontId="0" type="noConversion"/>
  </si>
  <si>
    <t>9M</t>
    <phoneticPr fontId="0" type="noConversion"/>
  </si>
  <si>
    <t>1Y</t>
    <phoneticPr fontId="0" type="noConversion"/>
  </si>
  <si>
    <t>1.5Y</t>
    <phoneticPr fontId="0" type="noConversion"/>
  </si>
  <si>
    <t>2Y</t>
    <phoneticPr fontId="0" type="noConversion"/>
  </si>
  <si>
    <t>2.5Y</t>
    <phoneticPr fontId="0" type="noConversion"/>
  </si>
  <si>
    <t>3Y</t>
    <phoneticPr fontId="0" type="noConversion"/>
  </si>
  <si>
    <t>4Y</t>
    <phoneticPr fontId="0" type="noConversion"/>
  </si>
  <si>
    <t>5Y</t>
    <phoneticPr fontId="0" type="noConversion"/>
  </si>
  <si>
    <t>7Y</t>
    <phoneticPr fontId="0" type="noConversion"/>
  </si>
  <si>
    <t>10Y</t>
    <phoneticPr fontId="0" type="noConversion"/>
  </si>
  <si>
    <t>15Y</t>
    <phoneticPr fontId="0" type="noConversion"/>
  </si>
  <si>
    <t>20Y</t>
    <phoneticPr fontId="0" type="noConversion"/>
  </si>
  <si>
    <t>30Y</t>
    <phoneticPr fontId="0" type="noConversion"/>
  </si>
  <si>
    <t>50Y</t>
    <phoneticPr fontId="0" type="noConversion"/>
  </si>
  <si>
    <t>국고채</t>
    <phoneticPr fontId="0" type="noConversion"/>
  </si>
  <si>
    <t>양곡,외평,재정</t>
    <phoneticPr fontId="0" type="noConversion"/>
  </si>
  <si>
    <t>국민주택1종</t>
    <phoneticPr fontId="0" type="noConversion"/>
  </si>
  <si>
    <t>복리채</t>
    <phoneticPr fontId="0" type="noConversion"/>
  </si>
  <si>
    <t>국민주택2종</t>
    <phoneticPr fontId="0" type="noConversion"/>
  </si>
  <si>
    <t>국민주택3종</t>
    <phoneticPr fontId="0" type="noConversion"/>
  </si>
  <si>
    <t>지방채</t>
    <phoneticPr fontId="0" type="noConversion"/>
  </si>
  <si>
    <t>서울도시철도</t>
    <phoneticPr fontId="0" type="noConversion"/>
  </si>
  <si>
    <t>분할거치</t>
    <phoneticPr fontId="0" type="noConversion"/>
  </si>
  <si>
    <t>지역개발채</t>
    <phoneticPr fontId="0" type="noConversion"/>
  </si>
  <si>
    <t>정부보증</t>
    <phoneticPr fontId="0" type="noConversion"/>
  </si>
  <si>
    <t>AAA</t>
    <phoneticPr fontId="0" type="noConversion"/>
  </si>
  <si>
    <t>AA+</t>
    <phoneticPr fontId="0" type="noConversion"/>
  </si>
  <si>
    <t>AA0</t>
    <phoneticPr fontId="0" type="noConversion"/>
  </si>
  <si>
    <t>AA-</t>
    <phoneticPr fontId="0" type="noConversion"/>
  </si>
  <si>
    <t>통안증권</t>
    <phoneticPr fontId="0" type="noConversion"/>
  </si>
  <si>
    <t>이표채</t>
    <phoneticPr fontId="0" type="noConversion"/>
  </si>
  <si>
    <t>할인채</t>
    <phoneticPr fontId="0" type="noConversion"/>
  </si>
  <si>
    <t>금융채</t>
    <phoneticPr fontId="0" type="noConversion"/>
  </si>
  <si>
    <t>은행채</t>
    <phoneticPr fontId="0" type="noConversion"/>
  </si>
  <si>
    <t>AAA(산금-할인)</t>
    <phoneticPr fontId="0" type="noConversion"/>
  </si>
  <si>
    <t>AAA(중금_이표)</t>
    <phoneticPr fontId="0" type="noConversion"/>
  </si>
  <si>
    <t>AAA(중금-할인)</t>
    <phoneticPr fontId="0" type="noConversion"/>
  </si>
  <si>
    <t>A+</t>
    <phoneticPr fontId="0" type="noConversion"/>
  </si>
  <si>
    <t>A0</t>
    <phoneticPr fontId="0" type="noConversion"/>
  </si>
  <si>
    <t>A-</t>
    <phoneticPr fontId="0" type="noConversion"/>
  </si>
  <si>
    <t>BBB+</t>
    <phoneticPr fontId="0" type="noConversion"/>
  </si>
  <si>
    <t>BBB0</t>
    <phoneticPr fontId="0" type="noConversion"/>
  </si>
  <si>
    <t>BBB-</t>
    <phoneticPr fontId="0" type="noConversion"/>
  </si>
  <si>
    <t>회사채</t>
    <phoneticPr fontId="0" type="noConversion"/>
  </si>
  <si>
    <t>공모/보증</t>
    <phoneticPr fontId="0" type="noConversion"/>
  </si>
  <si>
    <t>특수,우량시중은행</t>
    <phoneticPr fontId="0" type="noConversion"/>
  </si>
  <si>
    <t>시중은행</t>
    <phoneticPr fontId="0" type="noConversion"/>
  </si>
  <si>
    <t>우량지방은행</t>
    <phoneticPr fontId="0" type="noConversion"/>
  </si>
  <si>
    <t>기타금융기관</t>
    <phoneticPr fontId="0" type="noConversion"/>
  </si>
  <si>
    <t>공모/무보증</t>
    <phoneticPr fontId="0" type="noConversion"/>
  </si>
  <si>
    <t>사모/무보증</t>
    <phoneticPr fontId="0" type="noConversion"/>
  </si>
  <si>
    <t>유동화증권</t>
    <phoneticPr fontId="0" type="noConversion"/>
  </si>
  <si>
    <t>KHFC MBS/SLBS</t>
    <phoneticPr fontId="0" type="noConversion"/>
  </si>
  <si>
    <t>3사평균</t>
    <phoneticPr fontId="0" type="noConversion"/>
  </si>
  <si>
    <t>수익률</t>
    <phoneticPr fontId="0" type="noConversion"/>
  </si>
  <si>
    <t>4사평균</t>
    <phoneticPr fontId="0" type="noConversion"/>
  </si>
  <si>
    <t>전일대비(bp)</t>
  </si>
  <si>
    <t>KAP</t>
    <phoneticPr fontId="0" type="noConversion"/>
  </si>
  <si>
    <t>국고대비(bp)</t>
  </si>
  <si>
    <t>KIS</t>
    <phoneticPr fontId="0" type="noConversion"/>
  </si>
  <si>
    <t>NICE</t>
    <phoneticPr fontId="0" type="noConversion"/>
  </si>
  <si>
    <t>FN</t>
    <phoneticPr fontId="0" type="noConversion"/>
  </si>
  <si>
    <t>KOFIA</t>
    <phoneticPr fontId="0" type="noConversion"/>
  </si>
  <si>
    <t>row</t>
    <phoneticPr fontId="0" type="noConversion"/>
  </si>
  <si>
    <t>Yield Curve</t>
    <phoneticPr fontId="0" type="noConversion"/>
  </si>
  <si>
    <t>기준</t>
  </si>
  <si>
    <t>상대</t>
  </si>
  <si>
    <t>기준</t>
    <phoneticPr fontId="0" type="noConversion"/>
  </si>
  <si>
    <t>상대</t>
    <phoneticPr fontId="0" type="noConversion"/>
  </si>
  <si>
    <t>30Y</t>
  </si>
  <si>
    <t>50Y</t>
  </si>
  <si>
    <t>대비</t>
    <phoneticPr fontId="0" type="noConversion"/>
  </si>
  <si>
    <t>기준1</t>
    <phoneticPr fontId="0" type="noConversion"/>
  </si>
  <si>
    <t>상대1</t>
    <phoneticPr fontId="0" type="noConversion"/>
  </si>
  <si>
    <t>기준2</t>
    <phoneticPr fontId="0" type="noConversion"/>
  </si>
  <si>
    <t>상대2</t>
    <phoneticPr fontId="0" type="noConversion"/>
  </si>
  <si>
    <t>기준3</t>
    <phoneticPr fontId="0" type="noConversion"/>
  </si>
  <si>
    <t>상대3</t>
    <phoneticPr fontId="0" type="noConversion"/>
  </si>
  <si>
    <t>기준4</t>
    <phoneticPr fontId="0" type="noConversion"/>
  </si>
  <si>
    <t>상대4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</si>
</sst>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0.0"/>
    <numFmt numFmtId="166" formatCode="0.000"/>
  </numFmts>
  <fonts count="13" x14ac:knownFonts="1">
    <font>
      <sz val="11"/>
      <color theme="1"/>
      <name val="맑은 고딕"/>
      <family val="2"/>
      <charset val="129"/>
    </font>
    <font>
      <b/>
      <sz val="16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20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FF3300"/>
      <name val="맑은 고딕"/>
      <family val="3"/>
      <charset val="129"/>
    </font>
    <font>
      <sz val="10"/>
      <color rgb="FF800000"/>
      <name val="맑은 고딕"/>
      <family val="3"/>
      <charset val="129"/>
    </font>
    <font>
      <sz val="10"/>
      <color rgb="FF336699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6699"/>
        <bgColor indexed="64"/>
      </patternFill>
    </fill>
  </fills>
  <borders count="4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dashed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theme="1"/>
      </right>
      <top style="dashed">
        <color auto="1"/>
      </top>
      <bottom style="dashed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dashed">
        <color auto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dashed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dashed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7" fillId="5" borderId="22" xfId="0" applyNumberFormat="1" applyFont="1" applyFill="1" applyBorder="1" applyAlignment="1">
      <alignment vertical="center"/>
    </xf>
    <xf numFmtId="0" fontId="7" fillId="5" borderId="22" xfId="0" applyFont="1" applyFill="1" applyBorder="1" applyAlignment="1">
      <alignment vertical="center"/>
    </xf>
    <xf numFmtId="49" fontId="6" fillId="5" borderId="22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164" fontId="8" fillId="0" borderId="8" xfId="0" applyNumberFormat="1" applyFont="1" applyBorder="1" applyAlignment="1">
      <alignment vertical="center"/>
    </xf>
    <xf numFmtId="164" fontId="8" fillId="0" borderId="9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22" xfId="0" applyFont="1" applyBorder="1" applyAlignment="1">
      <alignment vertical="center"/>
    </xf>
    <xf numFmtId="164" fontId="5" fillId="0" borderId="22" xfId="0" applyNumberFormat="1" applyFont="1" applyBorder="1" applyAlignment="1">
      <alignment vertical="center"/>
    </xf>
    <xf numFmtId="164" fontId="5" fillId="0" borderId="29" xfId="0" applyNumberFormat="1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vertical="center"/>
    </xf>
    <xf numFmtId="0" fontId="8" fillId="8" borderId="12" xfId="0" applyFont="1" applyFill="1" applyBorder="1" applyAlignment="1">
      <alignment vertical="center"/>
    </xf>
    <xf numFmtId="164" fontId="8" fillId="0" borderId="13" xfId="0" applyNumberFormat="1" applyFont="1" applyBorder="1" applyAlignment="1">
      <alignment vertical="center"/>
    </xf>
    <xf numFmtId="164" fontId="8" fillId="0" borderId="14" xfId="0" applyNumberFormat="1" applyFont="1" applyBorder="1" applyAlignment="1">
      <alignment vertical="center"/>
    </xf>
    <xf numFmtId="0" fontId="8" fillId="8" borderId="15" xfId="0" applyFont="1" applyFill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17" xfId="0" applyNumberFormat="1" applyFont="1" applyBorder="1" applyAlignment="1">
      <alignment vertical="center"/>
    </xf>
    <xf numFmtId="0" fontId="8" fillId="8" borderId="18" xfId="0" applyFont="1" applyFill="1" applyBorder="1" applyAlignment="1">
      <alignment vertical="center"/>
    </xf>
    <xf numFmtId="164" fontId="8" fillId="0" borderId="19" xfId="0" applyNumberFormat="1" applyFont="1" applyBorder="1" applyAlignment="1">
      <alignment vertical="center"/>
    </xf>
    <xf numFmtId="164" fontId="8" fillId="0" borderId="20" xfId="0" applyNumberFormat="1" applyFont="1" applyBorder="1" applyAlignment="1">
      <alignment vertical="center"/>
    </xf>
    <xf numFmtId="0" fontId="8" fillId="7" borderId="11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vertical="center"/>
    </xf>
    <xf numFmtId="164" fontId="8" fillId="0" borderId="22" xfId="0" applyNumberFormat="1" applyFont="1" applyBorder="1" applyAlignment="1">
      <alignment vertical="center"/>
    </xf>
    <xf numFmtId="164" fontId="8" fillId="0" borderId="23" xfId="0" applyNumberFormat="1" applyFont="1" applyBorder="1" applyAlignment="1">
      <alignment vertical="center"/>
    </xf>
    <xf numFmtId="0" fontId="8" fillId="8" borderId="18" xfId="0" applyFont="1" applyFill="1" applyBorder="1" applyAlignment="1">
      <alignment horizontal="left" vertical="center"/>
    </xf>
    <xf numFmtId="0" fontId="8" fillId="6" borderId="24" xfId="0" applyFont="1" applyFill="1" applyBorder="1" applyAlignment="1">
      <alignment vertical="center"/>
    </xf>
    <xf numFmtId="0" fontId="8" fillId="7" borderId="25" xfId="0" applyFont="1" applyFill="1" applyBorder="1" applyAlignment="1">
      <alignment vertical="center"/>
    </xf>
    <xf numFmtId="0" fontId="8" fillId="8" borderId="26" xfId="0" applyFont="1" applyFill="1" applyBorder="1" applyAlignment="1">
      <alignment vertical="center"/>
    </xf>
    <xf numFmtId="164" fontId="8" fillId="0" borderId="27" xfId="0" applyNumberFormat="1" applyFont="1" applyBorder="1" applyAlignment="1">
      <alignment vertical="center"/>
    </xf>
    <xf numFmtId="164" fontId="8" fillId="0" borderId="28" xfId="0" applyNumberFormat="1" applyFont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3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49" fontId="6" fillId="9" borderId="2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49" fontId="12" fillId="0" borderId="0" xfId="0" applyNumberFormat="1" applyFont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165" fontId="12" fillId="0" borderId="41" xfId="0" applyNumberFormat="1" applyFont="1" applyBorder="1" applyAlignment="1">
      <alignment vertical="center"/>
    </xf>
    <xf numFmtId="165" fontId="12" fillId="0" borderId="42" xfId="0" applyNumberFormat="1" applyFont="1" applyBorder="1" applyAlignment="1">
      <alignment vertical="center"/>
    </xf>
    <xf numFmtId="165" fontId="12" fillId="0" borderId="43" xfId="0" applyNumberFormat="1" applyFont="1" applyBorder="1" applyAlignment="1">
      <alignment vertical="center"/>
    </xf>
    <xf numFmtId="166" fontId="10" fillId="0" borderId="35" xfId="0" applyNumberFormat="1" applyFont="1" applyBorder="1" applyAlignment="1">
      <alignment vertical="center"/>
    </xf>
    <xf numFmtId="166" fontId="10" fillId="0" borderId="36" xfId="0" applyNumberFormat="1" applyFont="1" applyBorder="1" applyAlignment="1">
      <alignment vertical="center"/>
    </xf>
    <xf numFmtId="166" fontId="10" fillId="0" borderId="37" xfId="0" applyNumberFormat="1" applyFont="1" applyBorder="1" applyAlignment="1">
      <alignment vertical="center"/>
    </xf>
    <xf numFmtId="166" fontId="11" fillId="0" borderId="38" xfId="0" applyNumberFormat="1" applyFont="1" applyBorder="1" applyAlignment="1">
      <alignment vertical="center"/>
    </xf>
    <xf numFmtId="166" fontId="11" fillId="0" borderId="39" xfId="0" applyNumberFormat="1" applyFont="1" applyBorder="1" applyAlignment="1">
      <alignment vertical="center"/>
    </xf>
    <xf numFmtId="166" fontId="11" fillId="0" borderId="40" xfId="0" applyNumberFormat="1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4" fontId="3" fillId="4" borderId="3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P</stp>
        <stp>0</stp>
        <stp>IR</stp>
        <stp>BONDAVG25</stp>
        <stp>50년이하(당일)</stp>
        <stp>45520</stp>
        <stp/>
        <tr r="BH34" s="2"/>
      </tp>
      <tp>
        <v>4.9039999999999999</v>
        <stp/>
        <stp>P</stp>
        <stp>0</stp>
        <stp>IR</stp>
        <stp>BONDAVG25</stp>
        <stp>20년이하(당일)</stp>
        <stp>45520</stp>
        <stp/>
        <tr r="AO34" s="2"/>
        <tr r="BF34" s="2"/>
      </tp>
      <tp>
        <v>0</v>
        <stp/>
        <stp>P</stp>
        <stp>0</stp>
        <stp>IR</stp>
        <stp>BONDAVG25</stp>
        <stp>30년이하(당일)</stp>
        <stp>45520</stp>
        <stp/>
        <tr r="BG34" s="2"/>
      </tp>
      <tp>
        <v>4.6529999999999996</v>
        <stp/>
        <stp>P</stp>
        <stp>0</stp>
        <stp>IR</stp>
        <stp>BONDAVG25</stp>
        <stp>10년이하(당일)</stp>
        <stp>45520</stp>
        <stp/>
        <tr r="AM34" s="2"/>
        <tr r="BD34" s="2"/>
      </tp>
      <tp>
        <v>7.07</v>
        <stp/>
        <stp>P</stp>
        <stp>0</stp>
        <stp>IR</stp>
        <stp>BONDAVG75</stp>
        <stp>15년이하(당일)</stp>
        <stp>45520</stp>
        <stp/>
        <tr r="AN77" s="2"/>
        <tr r="BE77" s="2"/>
      </tp>
      <tp>
        <v>0</v>
        <stp/>
        <stp>P</stp>
        <stp>0</stp>
        <stp>IR</stp>
        <stp>BONDAVG24</stp>
        <stp>50년이하(당일)</stp>
        <stp>45520</stp>
        <stp/>
        <tr r="BH33" s="2"/>
      </tp>
      <tp>
        <v>4.7320000000000002</v>
        <stp/>
        <stp>P</stp>
        <stp>0</stp>
        <stp>IR</stp>
        <stp>BONDAVG24</stp>
        <stp>20년이하(당일)</stp>
        <stp>45520</stp>
        <stp/>
        <tr r="AO33" s="2"/>
        <tr r="BF33" s="2"/>
      </tp>
      <tp>
        <v>0</v>
        <stp/>
        <stp>P</stp>
        <stp>0</stp>
        <stp>IR</stp>
        <stp>BONDAVG24</stp>
        <stp>30년이하(당일)</stp>
        <stp>45520</stp>
        <stp/>
        <tr r="BG33" s="2"/>
      </tp>
      <tp>
        <v>4.4820000000000002</v>
        <stp/>
        <stp>P</stp>
        <stp>0</stp>
        <stp>IR</stp>
        <stp>BONDAVG24</stp>
        <stp>10년이하(당일)</stp>
        <stp>45520</stp>
        <stp/>
        <tr r="AM33" s="2"/>
        <tr r="BD33" s="2"/>
      </tp>
      <tp>
        <v>6.5430000000000001</v>
        <stp/>
        <stp>P</stp>
        <stp>0</stp>
        <stp>IR</stp>
        <stp>BONDAVG74</stp>
        <stp>15년이하(당일)</stp>
        <stp>45520</stp>
        <stp/>
        <tr r="AN76" s="2"/>
        <tr r="BE76" s="2"/>
      </tp>
      <tp>
        <v>0</v>
        <stp/>
        <stp>P</stp>
        <stp>0</stp>
        <stp>IR</stp>
        <stp>BONDAVG27</stp>
        <stp>50년이하(당일)</stp>
        <stp>45520</stp>
        <stp/>
        <tr r="BH37" s="2"/>
      </tp>
      <tp>
        <v>5.1180000000000003</v>
        <stp/>
        <stp>P</stp>
        <stp>0</stp>
        <stp>IR</stp>
        <stp>BONDAVG27</stp>
        <stp>20년이하(당일)</stp>
        <stp>45520</stp>
        <stp/>
        <tr r="AO37" s="2"/>
        <tr r="BF37" s="2"/>
      </tp>
      <tp>
        <v>0</v>
        <stp/>
        <stp>P</stp>
        <stp>0</stp>
        <stp>IR</stp>
        <stp>BONDAVG27</stp>
        <stp>30년이하(당일)</stp>
        <stp>45520</stp>
        <stp/>
        <tr r="BG37" s="2"/>
      </tp>
      <tp>
        <v>4.4969999999999999</v>
        <stp/>
        <stp>P</stp>
        <stp>0</stp>
        <stp>IR</stp>
        <stp>BONDAVG27</stp>
        <stp>10년이하(당일)</stp>
        <stp>45520</stp>
        <stp/>
        <tr r="AM37" s="2"/>
        <tr r="BD37" s="2"/>
      </tp>
      <tp>
        <v>9.8659999999999997</v>
        <stp/>
        <stp>P</stp>
        <stp>0</stp>
        <stp>IR</stp>
        <stp>BONDAVG77</stp>
        <stp>15년이하(당일)</stp>
        <stp>45520</stp>
        <stp/>
        <tr r="AN79" s="2"/>
        <tr r="BE79" s="2"/>
      </tp>
      <tp>
        <v>0</v>
        <stp/>
        <stp>P</stp>
        <stp>0</stp>
        <stp>IR</stp>
        <stp>BONDAVG26</stp>
        <stp>50년이하(당일)</stp>
        <stp>45520</stp>
        <stp/>
        <tr r="BH35" s="2"/>
      </tp>
      <tp>
        <v>5.0519999999999996</v>
        <stp/>
        <stp>P</stp>
        <stp>0</stp>
        <stp>IR</stp>
        <stp>BONDAVG26</stp>
        <stp>20년이하(당일)</stp>
        <stp>45520</stp>
        <stp/>
        <tr r="AO35" s="2"/>
        <tr r="BF35" s="2"/>
      </tp>
      <tp>
        <v>0</v>
        <stp/>
        <stp>P</stp>
        <stp>0</stp>
        <stp>IR</stp>
        <stp>BONDAVG26</stp>
        <stp>30년이하(당일)</stp>
        <stp>45520</stp>
        <stp/>
        <tr r="BG35" s="2"/>
      </tp>
      <tp>
        <v>4.7789999999999999</v>
        <stp/>
        <stp>P</stp>
        <stp>0</stp>
        <stp>IR</stp>
        <stp>BONDAVG26</stp>
        <stp>10년이하(당일)</stp>
        <stp>45520</stp>
        <stp/>
        <tr r="AM35" s="2"/>
        <tr r="BD35" s="2"/>
      </tp>
      <tp>
        <v>8.6709999999999994</v>
        <stp/>
        <stp>P</stp>
        <stp>0</stp>
        <stp>IR</stp>
        <stp>BONDAVG76</stp>
        <stp>15년이하(당일)</stp>
        <stp>45520</stp>
        <stp/>
        <tr r="AN78" s="2"/>
        <tr r="BE78" s="2"/>
      </tp>
      <tp>
        <v>0</v>
        <stp/>
        <stp>P</stp>
        <stp>0</stp>
        <stp>IR</stp>
        <stp>BONDAVG21</stp>
        <stp>50년이하(당일)</stp>
        <stp>45520</stp>
        <stp/>
        <tr r="BH30" s="2"/>
      </tp>
      <tp>
        <v>3.9430000000000001</v>
        <stp/>
        <stp>P</stp>
        <stp>0</stp>
        <stp>IR</stp>
        <stp>BONDAVG21</stp>
        <stp>20년이하(당일)</stp>
        <stp>45520</stp>
        <stp/>
        <tr r="AO30" s="2"/>
        <tr r="BF30" s="2"/>
      </tp>
      <tp>
        <v>0</v>
        <stp/>
        <stp>P</stp>
        <stp>0</stp>
        <stp>IR</stp>
        <stp>BONDAVG21</stp>
        <stp>30년이하(당일)</stp>
        <stp>45520</stp>
        <stp/>
        <tr r="BG30" s="2"/>
      </tp>
      <tp>
        <v>3.657</v>
        <stp/>
        <stp>P</stp>
        <stp>0</stp>
        <stp>IR</stp>
        <stp>BONDAVG21</stp>
        <stp>10년이하(당일)</stp>
        <stp>45520</stp>
        <stp/>
        <tr r="AM30" s="2"/>
        <tr r="BD30" s="2"/>
      </tp>
      <tp>
        <v>5.09</v>
        <stp/>
        <stp>P</stp>
        <stp>0</stp>
        <stp>IR</stp>
        <stp>BONDAVG71</stp>
        <stp>15년이하(당일)</stp>
        <stp>45520</stp>
        <stp/>
        <tr r="AN73" s="2"/>
        <tr r="BE73" s="2"/>
      </tp>
      <tp>
        <v>0</v>
        <stp/>
        <stp>P</stp>
        <stp>0</stp>
        <stp>IR</stp>
        <stp>BONDAVG20</stp>
        <stp>50년이하(당일)</stp>
        <stp>45520</stp>
        <stp/>
        <tr r="BH29" s="2"/>
      </tp>
      <tp>
        <v>3.7490000000000001</v>
        <stp/>
        <stp>P</stp>
        <stp>0</stp>
        <stp>IR</stp>
        <stp>BONDAVG20</stp>
        <stp>20년이하(당일)</stp>
        <stp>45520</stp>
        <stp/>
        <tr r="AO29" s="2"/>
        <tr r="BF29" s="2"/>
      </tp>
      <tp>
        <v>0</v>
        <stp/>
        <stp>P</stp>
        <stp>0</stp>
        <stp>IR</stp>
        <stp>BONDAVG20</stp>
        <stp>30년이하(당일)</stp>
        <stp>45520</stp>
        <stp/>
        <tr r="BG29" s="2"/>
      </tp>
      <tp>
        <v>3.5760000000000001</v>
        <stp/>
        <stp>P</stp>
        <stp>0</stp>
        <stp>IR</stp>
        <stp>BONDAVG20</stp>
        <stp>10년이하(당일)</stp>
        <stp>45520</stp>
        <stp/>
        <tr r="AM29" s="2"/>
        <tr r="BD29" s="2"/>
      </tp>
      <tp>
        <v>4.51</v>
        <stp/>
        <stp>P</stp>
        <stp>0</stp>
        <stp>IR</stp>
        <stp>BONDAVG70</stp>
        <stp>15년이하(당일)</stp>
        <stp>45520</stp>
        <stp/>
        <tr r="AN72" s="2"/>
        <tr r="BE72" s="2"/>
      </tp>
      <tp>
        <v>0</v>
        <stp/>
        <stp>P</stp>
        <stp>0</stp>
        <stp>IR</stp>
        <stp>BONDAVG23</stp>
        <stp>50년이하(당일)</stp>
        <stp>45520</stp>
        <stp/>
        <tr r="BH32" s="2"/>
      </tp>
      <tp>
        <v>4.524</v>
        <stp/>
        <stp>P</stp>
        <stp>0</stp>
        <stp>IR</stp>
        <stp>BONDAVG23</stp>
        <stp>20년이하(당일)</stp>
        <stp>45520</stp>
        <stp/>
        <tr r="AO32" s="2"/>
        <tr r="BF32" s="2"/>
      </tp>
      <tp>
        <v>0</v>
        <stp/>
        <stp>P</stp>
        <stp>0</stp>
        <stp>IR</stp>
        <stp>BONDAVG23</stp>
        <stp>30년이하(당일)</stp>
        <stp>45520</stp>
        <stp/>
        <tr r="BG32" s="2"/>
      </tp>
      <tp>
        <v>4.2839999999999998</v>
        <stp/>
        <stp>P</stp>
        <stp>0</stp>
        <stp>IR</stp>
        <stp>BONDAVG23</stp>
        <stp>10년이하(당일)</stp>
        <stp>45520</stp>
        <stp/>
        <tr r="AM32" s="2"/>
        <tr r="BD32" s="2"/>
      </tp>
      <tp>
        <v>6.1050000000000004</v>
        <stp/>
        <stp>P</stp>
        <stp>0</stp>
        <stp>IR</stp>
        <stp>BONDAVG73</stp>
        <stp>15년이하(당일)</stp>
        <stp>45520</stp>
        <stp/>
        <tr r="AN75" s="2"/>
        <tr r="BE75" s="2"/>
      </tp>
      <tp>
        <v>0</v>
        <stp/>
        <stp>P</stp>
        <stp>0</stp>
        <stp>IR</stp>
        <stp>BONDAVG22</stp>
        <stp>50년이하(당일)</stp>
        <stp>45520</stp>
        <stp/>
        <tr r="BH31" s="2"/>
      </tp>
      <tp>
        <v>4.3010000000000002</v>
        <stp/>
        <stp>P</stp>
        <stp>0</stp>
        <stp>IR</stp>
        <stp>BONDAVG22</stp>
        <stp>20년이하(당일)</stp>
        <stp>45520</stp>
        <stp/>
        <tr r="AO31" s="2"/>
        <tr r="BF31" s="2"/>
      </tp>
      <tp>
        <v>0</v>
        <stp/>
        <stp>P</stp>
        <stp>0</stp>
        <stp>IR</stp>
        <stp>BONDAVG22</stp>
        <stp>30년이하(당일)</stp>
        <stp>45520</stp>
        <stp/>
        <tr r="BG31" s="2"/>
      </tp>
      <tp>
        <v>4.0019999999999998</v>
        <stp/>
        <stp>P</stp>
        <stp>0</stp>
        <stp>IR</stp>
        <stp>BONDAVG22</stp>
        <stp>10년이하(당일)</stp>
        <stp>45520</stp>
        <stp/>
        <tr r="AM31" s="2"/>
        <tr r="BD31" s="2"/>
      </tp>
      <tp>
        <v>5.5830000000000002</v>
        <stp/>
        <stp>P</stp>
        <stp>0</stp>
        <stp>IR</stp>
        <stp>BONDAVG72</stp>
        <stp>15년이하(당일)</stp>
        <stp>45520</stp>
        <stp/>
        <tr r="AN74" s="2"/>
        <tr r="BE74" s="2"/>
      </tp>
      <tp>
        <v>0</v>
        <stp/>
        <stp>P</stp>
        <stp>0</stp>
        <stp>IR</stp>
        <stp>BONDAVG29</stp>
        <stp>50년이하(당일)</stp>
        <stp>45520</stp>
        <stp/>
        <tr r="BH39" s="2"/>
      </tp>
      <tp>
        <v>5.8109999999999999</v>
        <stp/>
        <stp>P</stp>
        <stp>0</stp>
        <stp>IR</stp>
        <stp>BONDAVG29</stp>
        <stp>20년이하(당일)</stp>
        <stp>45520</stp>
        <stp/>
        <tr r="AO39" s="2"/>
        <tr r="BF39" s="2"/>
      </tp>
      <tp>
        <v>0</v>
        <stp/>
        <stp>P</stp>
        <stp>0</stp>
        <stp>IR</stp>
        <stp>BONDAVG29</stp>
        <stp>30년이하(당일)</stp>
        <stp>45520</stp>
        <stp/>
        <tr r="BG39" s="2"/>
      </tp>
      <tp>
        <v>5.41</v>
        <stp/>
        <stp>P</stp>
        <stp>0</stp>
        <stp>IR</stp>
        <stp>BONDAVG29</stp>
        <stp>10년이하(당일)</stp>
        <stp>45520</stp>
        <stp/>
        <tr r="AM39" s="2"/>
        <tr r="BD39" s="2"/>
      </tp>
      <tp>
        <v>3.2160000000000002</v>
        <stp/>
        <stp>P</stp>
        <stp>0</stp>
        <stp>IR</stp>
        <stp>BONDAVG79</stp>
        <stp>15년이하(당일)</stp>
        <stp>45520</stp>
        <stp/>
        <tr r="AN81" s="2"/>
        <tr r="BE81" s="2"/>
      </tp>
      <tp>
        <v>0</v>
        <stp/>
        <stp>P</stp>
        <stp>0</stp>
        <stp>IR</stp>
        <stp>BONDAVG28</stp>
        <stp>50년이하(당일)</stp>
        <stp>45520</stp>
        <stp/>
        <tr r="BH38" s="2"/>
      </tp>
      <tp>
        <v>5.3730000000000002</v>
        <stp/>
        <stp>P</stp>
        <stp>0</stp>
        <stp>IR</stp>
        <stp>BONDAVG28</stp>
        <stp>20년이하(당일)</stp>
        <stp>45520</stp>
        <stp/>
        <tr r="AO38" s="2"/>
        <tr r="BF38" s="2"/>
      </tp>
      <tp>
        <v>0</v>
        <stp/>
        <stp>P</stp>
        <stp>0</stp>
        <stp>IR</stp>
        <stp>BONDAVG28</stp>
        <stp>30년이하(당일)</stp>
        <stp>45520</stp>
        <stp/>
        <tr r="BG38" s="2"/>
      </tp>
      <tp>
        <v>4.7190000000000003</v>
        <stp/>
        <stp>P</stp>
        <stp>0</stp>
        <stp>IR</stp>
        <stp>BONDAVG28</stp>
        <stp>10년이하(당일)</stp>
        <stp>45520</stp>
        <stp/>
        <tr r="AM38" s="2"/>
        <tr r="BD38" s="2"/>
      </tp>
      <tp>
        <v>11.590999999999999</v>
        <stp/>
        <stp>P</stp>
        <stp>0</stp>
        <stp>IR</stp>
        <stp>BONDAVG78</stp>
        <stp>15년이하(당일)</stp>
        <stp>45520</stp>
        <stp/>
        <tr r="AN80" s="2"/>
        <tr r="BE80" s="2"/>
      </tp>
      <tp>
        <v>0</v>
        <stp/>
        <stp>P</stp>
        <stp>0</stp>
        <stp>IR</stp>
        <stp>BONDAVG34</stp>
        <stp>50년이하(당일)</stp>
        <stp>45520</stp>
        <stp/>
        <tr r="BH44" s="2"/>
      </tp>
      <tp>
        <v>11.069000000000001</v>
        <stp/>
        <stp>P</stp>
        <stp>0</stp>
        <stp>IR</stp>
        <stp>BONDAVG34</stp>
        <stp>20년이하(당일)</stp>
        <stp>45520</stp>
        <stp/>
        <tr r="AO44" s="2"/>
        <tr r="BF44" s="2"/>
      </tp>
      <tp>
        <v>0</v>
        <stp/>
        <stp>P</stp>
        <stp>0</stp>
        <stp>IR</stp>
        <stp>BONDAVG34</stp>
        <stp>30년이하(당일)</stp>
        <stp>45520</stp>
        <stp/>
        <tr r="BG44" s="2"/>
      </tp>
      <tp>
        <v>10.432</v>
        <stp/>
        <stp>P</stp>
        <stp>0</stp>
        <stp>IR</stp>
        <stp>BONDAVG34</stp>
        <stp>10년이하(당일)</stp>
        <stp>45520</stp>
        <stp/>
        <tr r="AM44" s="2"/>
        <tr r="BD44" s="2"/>
      </tp>
      <tp>
        <v>10.590999999999999</v>
        <stp/>
        <stp>P</stp>
        <stp>0</stp>
        <stp>IR</stp>
        <stp>BONDAVG64</stp>
        <stp>15년이하(당일)</stp>
        <stp>45520</stp>
        <stp/>
        <tr r="AN70" s="2"/>
        <tr r="BE70" s="2"/>
      </tp>
      <tp>
        <v>0</v>
        <stp/>
        <stp>P</stp>
        <stp>0</stp>
        <stp>IR</stp>
        <stp>BONDAVG37</stp>
        <stp>50년이하(당일)</stp>
        <stp>45520</stp>
        <stp/>
        <tr r="BH47" s="2"/>
      </tp>
      <tp>
        <v>5.3730000000000002</v>
        <stp/>
        <stp>P</stp>
        <stp>0</stp>
        <stp>IR</stp>
        <stp>BONDAVG37</stp>
        <stp>20년이하(당일)</stp>
        <stp>45520</stp>
        <stp/>
        <tr r="AO47" s="2"/>
        <tr r="BF47" s="2"/>
      </tp>
      <tp>
        <v>0</v>
        <stp/>
        <stp>P</stp>
        <stp>0</stp>
        <stp>IR</stp>
        <stp>BONDAVG37</stp>
        <stp>30년이하(당일)</stp>
        <stp>45520</stp>
        <stp/>
        <tr r="BG47" s="2"/>
      </tp>
      <tp>
        <v>4.7190000000000003</v>
        <stp/>
        <stp>P</stp>
        <stp>0</stp>
        <stp>IR</stp>
        <stp>BONDAVG37</stp>
        <stp>10년이하(당일)</stp>
        <stp>45520</stp>
        <stp/>
        <tr r="AM47" s="2"/>
        <tr r="BD47" s="2"/>
      </tp>
      <tp>
        <v>0</v>
        <stp/>
        <stp>P</stp>
        <stp>0</stp>
        <stp>IR</stp>
        <stp>BONDAVG36</stp>
        <stp>50년이하(당일)</stp>
        <stp>45520</stp>
        <stp/>
        <tr r="BH46" s="2"/>
      </tp>
      <tp>
        <v>5.1180000000000003</v>
        <stp/>
        <stp>P</stp>
        <stp>0</stp>
        <stp>IR</stp>
        <stp>BONDAVG36</stp>
        <stp>20년이하(당일)</stp>
        <stp>45520</stp>
        <stp/>
        <tr r="AO46" s="2"/>
        <tr r="BF46" s="2"/>
      </tp>
      <tp>
        <v>0</v>
        <stp/>
        <stp>P</stp>
        <stp>0</stp>
        <stp>IR</stp>
        <stp>BONDAVG36</stp>
        <stp>30년이하(당일)</stp>
        <stp>45520</stp>
        <stp/>
        <tr r="BG46" s="2"/>
      </tp>
      <tp>
        <v>4.4969999999999999</v>
        <stp/>
        <stp>P</stp>
        <stp>0</stp>
        <stp>IR</stp>
        <stp>BONDAVG36</stp>
        <stp>10년이하(당일)</stp>
        <stp>45520</stp>
        <stp/>
        <tr r="AM46" s="2"/>
        <tr r="BD46" s="2"/>
      </tp>
      <tp>
        <v>0</v>
        <stp/>
        <stp>P</stp>
        <stp>0</stp>
        <stp>IR</stp>
        <stp>BONDAVG31</stp>
        <stp>50년이하(당일)</stp>
        <stp>45520</stp>
        <stp/>
        <tr r="BH41" s="2"/>
      </tp>
      <tp>
        <v>6.8129999999999997</v>
        <stp/>
        <stp>P</stp>
        <stp>0</stp>
        <stp>IR</stp>
        <stp>BONDAVG31</stp>
        <stp>20년이하(당일)</stp>
        <stp>45520</stp>
        <stp/>
        <tr r="AO41" s="2"/>
        <tr r="BF41" s="2"/>
      </tp>
      <tp>
        <v>0</v>
        <stp/>
        <stp>P</stp>
        <stp>0</stp>
        <stp>IR</stp>
        <stp>BONDAVG31</stp>
        <stp>30년이하(당일)</stp>
        <stp>45520</stp>
        <stp/>
        <tr r="BG41" s="2"/>
      </tp>
      <tp>
        <v>6.4790000000000001</v>
        <stp/>
        <stp>P</stp>
        <stp>0</stp>
        <stp>IR</stp>
        <stp>BONDAVG31</stp>
        <stp>10년이하(당일)</stp>
        <stp>45520</stp>
        <stp/>
        <tr r="AM41" s="2"/>
        <tr r="BD41" s="2"/>
      </tp>
      <tp>
        <v>6.508</v>
        <stp/>
        <stp>P</stp>
        <stp>0</stp>
        <stp>IR</stp>
        <stp>BONDAVG61</stp>
        <stp>15년이하(당일)</stp>
        <stp>45520</stp>
        <stp/>
        <tr r="AN67" s="2"/>
        <tr r="BE67" s="2"/>
      </tp>
      <tp>
        <v>0</v>
        <stp/>
        <stp>P</stp>
        <stp>0</stp>
        <stp>IR</stp>
        <stp>BONDAVG30</stp>
        <stp>50년이하(당일)</stp>
        <stp>45520</stp>
        <stp/>
        <tr r="BH40" s="2"/>
      </tp>
      <tp>
        <v>6.1529999999999996</v>
        <stp/>
        <stp>P</stp>
        <stp>0</stp>
        <stp>IR</stp>
        <stp>BONDAVG30</stp>
        <stp>20년이하(당일)</stp>
        <stp>45520</stp>
        <stp/>
        <tr r="AO40" s="2"/>
        <tr r="BF40" s="2"/>
      </tp>
      <tp>
        <v>0</v>
        <stp/>
        <stp>P</stp>
        <stp>0</stp>
        <stp>IR</stp>
        <stp>BONDAVG30</stp>
        <stp>30년이하(당일)</stp>
        <stp>45520</stp>
        <stp/>
        <tr r="BG40" s="2"/>
      </tp>
      <tp>
        <v>5.83</v>
        <stp/>
        <stp>P</stp>
        <stp>0</stp>
        <stp>IR</stp>
        <stp>BONDAVG30</stp>
        <stp>10년이하(당일)</stp>
        <stp>45520</stp>
        <stp/>
        <tr r="AM40" s="2"/>
        <tr r="BD40" s="2"/>
      </tp>
      <tp>
        <v>6.0019999999999998</v>
        <stp/>
        <stp>P</stp>
        <stp>0</stp>
        <stp>IR</stp>
        <stp>BONDAVG60</stp>
        <stp>15년이하(당일)</stp>
        <stp>45520</stp>
        <stp/>
        <tr r="AN66" s="2"/>
        <tr r="BE66" s="2"/>
      </tp>
      <tp>
        <v>0</v>
        <stp/>
        <stp>P</stp>
        <stp>0</stp>
        <stp>IR</stp>
        <stp>BONDAVG33</stp>
        <stp>50년이하(당일)</stp>
        <stp>45520</stp>
        <stp/>
        <tr r="BH43" s="2"/>
      </tp>
      <tp>
        <v>9.7490000000000006</v>
        <stp/>
        <stp>P</stp>
        <stp>0</stp>
        <stp>IR</stp>
        <stp>BONDAVG33</stp>
        <stp>20년이하(당일)</stp>
        <stp>45520</stp>
        <stp/>
        <tr r="AO43" s="2"/>
        <tr r="BF43" s="2"/>
      </tp>
      <tp>
        <v>0</v>
        <stp/>
        <stp>P</stp>
        <stp>0</stp>
        <stp>IR</stp>
        <stp>BONDAVG33</stp>
        <stp>30년이하(당일)</stp>
        <stp>45520</stp>
        <stp/>
        <tr r="BG43" s="2"/>
      </tp>
      <tp>
        <v>9.0540000000000003</v>
        <stp/>
        <stp>P</stp>
        <stp>0</stp>
        <stp>IR</stp>
        <stp>BONDAVG33</stp>
        <stp>10년이하(당일)</stp>
        <stp>45520</stp>
        <stp/>
        <tr r="AM43" s="2"/>
        <tr r="BD43" s="2"/>
      </tp>
      <tp>
        <v>9.1080000000000005</v>
        <stp/>
        <stp>P</stp>
        <stp>0</stp>
        <stp>IR</stp>
        <stp>BONDAVG63</stp>
        <stp>15년이하(당일)</stp>
        <stp>45520</stp>
        <stp/>
        <tr r="AN69" s="2"/>
        <tr r="BE69" s="2"/>
      </tp>
      <tp>
        <v>0</v>
        <stp/>
        <stp>P</stp>
        <stp>0</stp>
        <stp>IR</stp>
        <stp>BONDAVG32</stp>
        <stp>50년이하(당일)</stp>
        <stp>45520</stp>
        <stp/>
        <tr r="BH42" s="2"/>
      </tp>
      <tp>
        <v>8.2149999999999999</v>
        <stp/>
        <stp>P</stp>
        <stp>0</stp>
        <stp>IR</stp>
        <stp>BONDAVG32</stp>
        <stp>20년이하(당일)</stp>
        <stp>45520</stp>
        <stp/>
        <tr r="AO42" s="2"/>
        <tr r="BF42" s="2"/>
      </tp>
      <tp>
        <v>0</v>
        <stp/>
        <stp>P</stp>
        <stp>0</stp>
        <stp>IR</stp>
        <stp>BONDAVG32</stp>
        <stp>30년이하(당일)</stp>
        <stp>45520</stp>
        <stp/>
        <tr r="BG42" s="2"/>
      </tp>
      <tp>
        <v>7.7670000000000003</v>
        <stp/>
        <stp>P</stp>
        <stp>0</stp>
        <stp>IR</stp>
        <stp>BONDAVG32</stp>
        <stp>10년이하(당일)</stp>
        <stp>45520</stp>
        <stp/>
        <tr r="AM42" s="2"/>
        <tr r="BD42" s="2"/>
      </tp>
      <tp>
        <v>8.0079999999999991</v>
        <stp/>
        <stp>P</stp>
        <stp>0</stp>
        <stp>IR</stp>
        <stp>BONDAVG62</stp>
        <stp>15년이하(당일)</stp>
        <stp>45520</stp>
        <stp/>
        <tr r="AN68" s="2"/>
        <tr r="BE68" s="2"/>
      </tp>
      <tp>
        <v>0</v>
        <stp/>
        <stp>P</stp>
        <stp>0</stp>
        <stp>IR</stp>
        <stp>BONDAVG39</stp>
        <stp>50년이하(당일)</stp>
        <stp>45520</stp>
        <stp/>
        <tr r="BH49" s="2"/>
      </tp>
      <tp>
        <v>6.1529999999999996</v>
        <stp/>
        <stp>P</stp>
        <stp>0</stp>
        <stp>IR</stp>
        <stp>BONDAVG39</stp>
        <stp>20년이하(당일)</stp>
        <stp>45520</stp>
        <stp/>
        <tr r="AO49" s="2"/>
        <tr r="BF49" s="2"/>
      </tp>
      <tp>
        <v>0</v>
        <stp/>
        <stp>P</stp>
        <stp>0</stp>
        <stp>IR</stp>
        <stp>BONDAVG39</stp>
        <stp>30년이하(당일)</stp>
        <stp>45520</stp>
        <stp/>
        <tr r="BG49" s="2"/>
      </tp>
      <tp>
        <v>5.83</v>
        <stp/>
        <stp>P</stp>
        <stp>0</stp>
        <stp>IR</stp>
        <stp>BONDAVG39</stp>
        <stp>10년이하(당일)</stp>
        <stp>45520</stp>
        <stp/>
        <tr r="AM49" s="2"/>
        <tr r="BD49" s="2"/>
      </tp>
      <tp>
        <v>4.16</v>
        <stp/>
        <stp>P</stp>
        <stp>0</stp>
        <stp>IR</stp>
        <stp>BONDAVG69</stp>
        <stp>15년이하(당일)</stp>
        <stp>45520</stp>
        <stp/>
        <tr r="AN71" s="2"/>
        <tr r="BE71" s="2"/>
      </tp>
      <tp>
        <v>0</v>
        <stp/>
        <stp>P</stp>
        <stp>0</stp>
        <stp>IR</stp>
        <stp>BONDAVG38</stp>
        <stp>50년이하(당일)</stp>
        <stp>45520</stp>
        <stp/>
        <tr r="BH48" s="2"/>
      </tp>
      <tp>
        <v>5.8109999999999999</v>
        <stp/>
        <stp>P</stp>
        <stp>0</stp>
        <stp>IR</stp>
        <stp>BONDAVG38</stp>
        <stp>20년이하(당일)</stp>
        <stp>45520</stp>
        <stp/>
        <tr r="AO48" s="2"/>
        <tr r="BF48" s="2"/>
      </tp>
      <tp>
        <v>0</v>
        <stp/>
        <stp>P</stp>
        <stp>0</stp>
        <stp>IR</stp>
        <stp>BONDAVG38</stp>
        <stp>30년이하(당일)</stp>
        <stp>45520</stp>
        <stp/>
        <tr r="BG48" s="2"/>
      </tp>
      <tp>
        <v>5.41</v>
        <stp/>
        <stp>P</stp>
        <stp>0</stp>
        <stp>IR</stp>
        <stp>BONDAVG38</stp>
        <stp>10년이하(당일)</stp>
        <stp>45520</stp>
        <stp/>
        <tr r="AM48" s="2"/>
        <tr r="BD48" s="2"/>
      </tp>
      <tp>
        <v>0</v>
        <stp/>
        <stp>P</stp>
        <stp>0</stp>
        <stp>IR</stp>
        <stp>BONDAVG05</stp>
        <stp>50년이하(당일)</stp>
        <stp>45520</stp>
        <stp/>
        <tr r="BH15" s="2"/>
      </tp>
      <tp>
        <v>0</v>
        <stp/>
        <stp>P</stp>
        <stp>0</stp>
        <stp>IR</stp>
        <stp>BONDAVG05</stp>
        <stp>20년이하(당일)</stp>
        <stp>45520</stp>
        <stp/>
        <tr r="BF15" s="2"/>
      </tp>
      <tp>
        <v>0</v>
        <stp/>
        <stp>P</stp>
        <stp>0</stp>
        <stp>IR</stp>
        <stp>BONDAVG05</stp>
        <stp>30년이하(당일)</stp>
        <stp>45520</stp>
        <stp/>
        <tr r="BG15" s="2"/>
      </tp>
      <tp>
        <v>0</v>
        <stp/>
        <stp>P</stp>
        <stp>0</stp>
        <stp>IR</stp>
        <stp>BONDAVG05</stp>
        <stp>10년이하(당일)</stp>
        <stp>45520</stp>
        <stp/>
        <tr r="BD15" s="2"/>
      </tp>
      <tp>
        <v>3.8319999999999999</v>
        <stp/>
        <stp>P</stp>
        <stp>0</stp>
        <stp>IR</stp>
        <stp>BONDAVG55</stp>
        <stp>15년이하(당일)</stp>
        <stp>45520</stp>
        <stp/>
        <tr r="AN61" s="2"/>
        <tr r="BE61" s="2"/>
      </tp>
      <tp>
        <v>0</v>
        <stp/>
        <stp>P</stp>
        <stp>0</stp>
        <stp>IR</stp>
        <stp>BONDAVG04</stp>
        <stp>50년이하(당일)</stp>
        <stp>45520</stp>
        <stp/>
        <tr r="BH14" s="2"/>
      </tp>
      <tp>
        <v>0</v>
        <stp/>
        <stp>P</stp>
        <stp>0</stp>
        <stp>IR</stp>
        <stp>BONDAVG04</stp>
        <stp>20년이하(당일)</stp>
        <stp>45520</stp>
        <stp/>
        <tr r="BF14" s="2"/>
      </tp>
      <tp>
        <v>0</v>
        <stp/>
        <stp>P</stp>
        <stp>0</stp>
        <stp>IR</stp>
        <stp>BONDAVG04</stp>
        <stp>30년이하(당일)</stp>
        <stp>45520</stp>
        <stp/>
        <tr r="BG14" s="2"/>
      </tp>
      <tp>
        <v>2.7450000000000001</v>
        <stp/>
        <stp>P</stp>
        <stp>0</stp>
        <stp>IR</stp>
        <stp>BONDAVG04</stp>
        <stp>10년이하(당일)</stp>
        <stp>45520</stp>
        <stp/>
        <tr r="AM14" s="2"/>
        <tr r="BD14" s="2"/>
      </tp>
      <tp>
        <v>4.7450000000000001</v>
        <stp/>
        <stp>P</stp>
        <stp>0</stp>
        <stp>IR</stp>
        <stp>BONDAVG57</stp>
        <stp>15년이하(당일)</stp>
        <stp>45520</stp>
        <stp/>
        <tr r="AN63" s="2"/>
        <tr r="BE63" s="2"/>
      </tp>
      <tp>
        <v>0</v>
        <stp/>
        <stp>P</stp>
        <stp>0</stp>
        <stp>IR</stp>
        <stp>BONDAVG06</stp>
        <stp>50년이하(당일)</stp>
        <stp>45520</stp>
        <stp/>
        <tr r="BH16" s="2"/>
      </tp>
      <tp>
        <v>3.3849999999999998</v>
        <stp/>
        <stp>P</stp>
        <stp>0</stp>
        <stp>IR</stp>
        <stp>BONDAVG06</stp>
        <stp>20년이하(당일)</stp>
        <stp>45520</stp>
        <stp/>
        <tr r="AO16" s="2"/>
        <tr r="BF16" s="2"/>
      </tp>
      <tp>
        <v>0</v>
        <stp/>
        <stp>P</stp>
        <stp>0</stp>
        <stp>IR</stp>
        <stp>BONDAVG06</stp>
        <stp>30년이하(당일)</stp>
        <stp>45520</stp>
        <stp/>
        <tr r="BG16" s="2"/>
      </tp>
      <tp>
        <v>3.34</v>
        <stp/>
        <stp>P</stp>
        <stp>0</stp>
        <stp>IR</stp>
        <stp>BONDAVG06</stp>
        <stp>10년이하(당일)</stp>
        <stp>45520</stp>
        <stp/>
        <tr r="AM16" s="2"/>
        <tr r="BD16" s="2"/>
      </tp>
      <tp>
        <v>4.1740000000000004</v>
        <stp/>
        <stp>P</stp>
        <stp>0</stp>
        <stp>IR</stp>
        <stp>BONDAVG56</stp>
        <stp>15년이하(당일)</stp>
        <stp>45520</stp>
        <stp/>
        <tr r="AN62" s="2"/>
        <tr r="BE62" s="2"/>
      </tp>
      <tp>
        <v>2.7629999999999999</v>
        <stp/>
        <stp>P</stp>
        <stp>0</stp>
        <stp>IR</stp>
        <stp>BONDAVG01</stp>
        <stp>50년이하(당일)</stp>
        <stp>45520</stp>
        <stp/>
        <tr r="AQ11" s="2"/>
        <tr r="BH11" s="2"/>
      </tp>
      <tp>
        <v>2.952</v>
        <stp/>
        <stp>P</stp>
        <stp>0</stp>
        <stp>IR</stp>
        <stp>BONDAVG01</stp>
        <stp>20년이하(당일)</stp>
        <stp>45520</stp>
        <stp/>
        <tr r="AO11" s="2"/>
        <tr r="BF11" s="2"/>
      </tp>
      <tp>
        <v>2.8519999999999999</v>
        <stp/>
        <stp>P</stp>
        <stp>0</stp>
        <stp>IR</stp>
        <stp>BONDAVG01</stp>
        <stp>30년이하(당일)</stp>
        <stp>45520</stp>
        <stp/>
        <tr r="AP11" s="2"/>
        <tr r="BG11" s="2"/>
      </tp>
      <tp>
        <v>2.9750000000000001</v>
        <stp/>
        <stp>P</stp>
        <stp>0</stp>
        <stp>IR</stp>
        <stp>BONDAVG01</stp>
        <stp>10년이하(당일)</stp>
        <stp>45520</stp>
        <stp/>
        <tr r="AM11" s="2"/>
        <tr r="BD11" s="2"/>
      </tp>
      <tp>
        <v>5.2370000000000001</v>
        <stp/>
        <stp>P</stp>
        <stp>0</stp>
        <stp>IR</stp>
        <stp>BONDAVG51</stp>
        <stp>15년이하(당일)</stp>
        <stp>45520</stp>
        <stp/>
        <tr r="AN59" s="2"/>
        <tr r="BE59" s="2"/>
      </tp>
      <tp>
        <v>0</v>
        <stp/>
        <stp>P</stp>
        <stp>0</stp>
        <stp>IR</stp>
        <stp>BONDAVG03</stp>
        <stp>50년이하(당일)</stp>
        <stp>45520</stp>
        <stp/>
        <tr r="BH13" s="2"/>
      </tp>
      <tp>
        <v>3.198</v>
        <stp/>
        <stp>P</stp>
        <stp>0</stp>
        <stp>IR</stp>
        <stp>BONDAVG03</stp>
        <stp>20년이하(당일)</stp>
        <stp>45520</stp>
        <stp/>
        <tr r="AO13" s="2"/>
        <tr r="BF13" s="2"/>
      </tp>
      <tp>
        <v>0</v>
        <stp/>
        <stp>P</stp>
        <stp>0</stp>
        <stp>IR</stp>
        <stp>BONDAVG03</stp>
        <stp>30년이하(당일)</stp>
        <stp>45520</stp>
        <stp/>
        <tr r="BG13" s="2"/>
      </tp>
      <tp>
        <v>3.093</v>
        <stp/>
        <stp>P</stp>
        <stp>0</stp>
        <stp>IR</stp>
        <stp>BONDAVG03</stp>
        <stp>10년이하(당일)</stp>
        <stp>45520</stp>
        <stp/>
        <tr r="AM13" s="2"/>
        <tr r="BD13" s="2"/>
      </tp>
      <tp>
        <v>6.0069999999999997</v>
        <stp/>
        <stp>P</stp>
        <stp>0</stp>
        <stp>IR</stp>
        <stp>BONDAVG53</stp>
        <stp>15년이하(당일)</stp>
        <stp>45520</stp>
        <stp/>
        <tr r="AN60" s="2"/>
        <tr r="BE60" s="2"/>
      </tp>
      <tp>
        <v>0</v>
        <stp/>
        <stp>P</stp>
        <stp>0</stp>
        <stp>IR</stp>
        <stp>BONDAVG02</stp>
        <stp>50년이하(당일)</stp>
        <stp>45520</stp>
        <stp/>
        <tr r="BH12" s="2"/>
      </tp>
      <tp>
        <v>0</v>
        <stp/>
        <stp>P</stp>
        <stp>0</stp>
        <stp>IR</stp>
        <stp>BONDAVG02</stp>
        <stp>20년이하(당일)</stp>
        <stp>45520</stp>
        <stp/>
        <tr r="BF12" s="2"/>
      </tp>
      <tp>
        <v>0</v>
        <stp/>
        <stp>P</stp>
        <stp>0</stp>
        <stp>IR</stp>
        <stp>BONDAVG02</stp>
        <stp>30년이하(당일)</stp>
        <stp>45520</stp>
        <stp/>
        <tr r="BG12" s="2"/>
      </tp>
      <tp>
        <v>0</v>
        <stp/>
        <stp>P</stp>
        <stp>0</stp>
        <stp>IR</stp>
        <stp>BONDAVG02</stp>
        <stp>10년이하(당일)</stp>
        <stp>45520</stp>
        <stp/>
        <tr r="BD12" s="2"/>
      </tp>
      <tp>
        <v>0</v>
        <stp/>
        <stp>P</stp>
        <stp>0</stp>
        <stp>IR</stp>
        <stp>BONDAVG09</stp>
        <stp>50년이하(당일)</stp>
        <stp>45520</stp>
        <stp/>
        <tr r="BH18" s="2"/>
      </tp>
      <tp>
        <v>3.153</v>
        <stp/>
        <stp>P</stp>
        <stp>0</stp>
        <stp>IR</stp>
        <stp>BONDAVG09</stp>
        <stp>20년이하(당일)</stp>
        <stp>45520</stp>
        <stp/>
        <tr r="AO18" s="2"/>
        <tr r="BF18" s="2"/>
      </tp>
      <tp>
        <v>3.1680000000000001</v>
        <stp/>
        <stp>P</stp>
        <stp>0</stp>
        <stp>IR</stp>
        <stp>BONDAVG09</stp>
        <stp>30년이하(당일)</stp>
        <stp>45520</stp>
        <stp/>
        <tr r="AP18" s="2"/>
        <tr r="BG18" s="2"/>
      </tp>
      <tp>
        <v>3.1579999999999999</v>
        <stp/>
        <stp>P</stp>
        <stp>0</stp>
        <stp>IR</stp>
        <stp>BONDAVG09</stp>
        <stp>10년이하(당일)</stp>
        <stp>45520</stp>
        <stp/>
        <tr r="AM18" s="2"/>
        <tr r="BD18" s="2"/>
      </tp>
      <tp>
        <v>5.6050000000000004</v>
        <stp/>
        <stp>P</stp>
        <stp>0</stp>
        <stp>IR</stp>
        <stp>BONDAVG59</stp>
        <stp>15년이하(당일)</stp>
        <stp>45520</stp>
        <stp/>
        <tr r="AN65" s="2"/>
        <tr r="BE65" s="2"/>
      </tp>
      <tp>
        <v>5.2149999999999999</v>
        <stp/>
        <stp>P</stp>
        <stp>0</stp>
        <stp>IR</stp>
        <stp>BONDAVG58</stp>
        <stp>15년이하(당일)</stp>
        <stp>45520</stp>
        <stp/>
        <tr r="AN64" s="2"/>
        <tr r="BE64" s="2"/>
      </tp>
      <tp>
        <v>0</v>
        <stp/>
        <stp>P</stp>
        <stp>0</stp>
        <stp>IR</stp>
        <stp>BONDAVG15</stp>
        <stp>50년이하(당일)</stp>
        <stp>45520</stp>
        <stp/>
        <tr r="BH23" s="2"/>
      </tp>
      <tp>
        <v>0</v>
        <stp/>
        <stp>P</stp>
        <stp>0</stp>
        <stp>IR</stp>
        <stp>BONDAVG15</stp>
        <stp>20년이하(당일)</stp>
        <stp>45520</stp>
        <stp/>
        <tr r="BF23" s="2"/>
      </tp>
      <tp>
        <v>0</v>
        <stp/>
        <stp>P</stp>
        <stp>0</stp>
        <stp>IR</stp>
        <stp>BONDAVG15</stp>
        <stp>30년이하(당일)</stp>
        <stp>45520</stp>
        <stp/>
        <tr r="BG23" s="2"/>
      </tp>
      <tp>
        <v>0</v>
        <stp/>
        <stp>P</stp>
        <stp>0</stp>
        <stp>IR</stp>
        <stp>BONDAVG15</stp>
        <stp>10년이하(당일)</stp>
        <stp>45520</stp>
        <stp/>
        <tr r="BD23" s="2"/>
      </tp>
      <tp>
        <v>4.34</v>
        <stp/>
        <stp>P</stp>
        <stp>0</stp>
        <stp>IR</stp>
        <stp>BONDAVG45</stp>
        <stp>15년이하(당일)</stp>
        <stp>45520</stp>
        <stp/>
        <tr r="AN55" s="2"/>
        <tr r="BE55" s="2"/>
      </tp>
      <tp>
        <v>0</v>
        <stp/>
        <stp>P</stp>
        <stp>0</stp>
        <stp>IR</stp>
        <stp>BONDAVG14</stp>
        <stp>50년이하(당일)</stp>
        <stp>45520</stp>
        <stp/>
        <tr r="BH22" s="2"/>
      </tp>
      <tp>
        <v>0</v>
        <stp/>
        <stp>P</stp>
        <stp>0</stp>
        <stp>IR</stp>
        <stp>BONDAVG14</stp>
        <stp>20년이하(당일)</stp>
        <stp>45520</stp>
        <stp/>
        <tr r="BF22" s="2"/>
      </tp>
      <tp>
        <v>0</v>
        <stp/>
        <stp>P</stp>
        <stp>0</stp>
        <stp>IR</stp>
        <stp>BONDAVG14</stp>
        <stp>30년이하(당일)</stp>
        <stp>45520</stp>
        <stp/>
        <tr r="BG22" s="2"/>
      </tp>
      <tp>
        <v>0</v>
        <stp/>
        <stp>P</stp>
        <stp>0</stp>
        <stp>IR</stp>
        <stp>BONDAVG14</stp>
        <stp>10년이하(당일)</stp>
        <stp>45520</stp>
        <stp/>
        <tr r="BD22" s="2"/>
      </tp>
      <tp>
        <v>3.7759999999999998</v>
        <stp/>
        <stp>P</stp>
        <stp>0</stp>
        <stp>IR</stp>
        <stp>BONDAVG44</stp>
        <stp>15년이하(당일)</stp>
        <stp>45520</stp>
        <stp/>
        <tr r="AN54" s="2"/>
        <tr r="BE54" s="2"/>
      </tp>
      <tp>
        <v>0</v>
        <stp/>
        <stp>P</stp>
        <stp>0</stp>
        <stp>IR</stp>
        <stp>BONDAVG17</stp>
        <stp>50년이하(당일)</stp>
        <stp>45520</stp>
        <stp/>
        <tr r="BH26" s="2"/>
      </tp>
      <tp>
        <v>3.6819999999999999</v>
        <stp/>
        <stp>P</stp>
        <stp>0</stp>
        <stp>IR</stp>
        <stp>BONDAVG17</stp>
        <stp>20년이하(당일)</stp>
        <stp>45520</stp>
        <stp/>
        <tr r="AO26" s="2"/>
        <tr r="BF26" s="2"/>
      </tp>
      <tp>
        <v>0</v>
        <stp/>
        <stp>P</stp>
        <stp>0</stp>
        <stp>IR</stp>
        <stp>BONDAVG17</stp>
        <stp>30년이하(당일)</stp>
        <stp>45520</stp>
        <stp/>
        <tr r="BG26" s="2"/>
      </tp>
      <tp>
        <v>3.5190000000000001</v>
        <stp/>
        <stp>P</stp>
        <stp>0</stp>
        <stp>IR</stp>
        <stp>BONDAVG17</stp>
        <stp>10년이하(당일)</stp>
        <stp>45520</stp>
        <stp/>
        <tr r="AM26" s="2"/>
        <tr r="BD26" s="2"/>
      </tp>
      <tp>
        <v>5.8730000000000002</v>
        <stp/>
        <stp>P</stp>
        <stp>0</stp>
        <stp>IR</stp>
        <stp>BONDAVG47</stp>
        <stp>15년이하(당일)</stp>
        <stp>45520</stp>
        <stp/>
        <tr r="AN57" s="2"/>
        <tr r="BE57" s="2"/>
      </tp>
      <tp>
        <v>0</v>
        <stp/>
        <stp>P</stp>
        <stp>0</stp>
        <stp>IR</stp>
        <stp>BONDAVG16</stp>
        <stp>50년이하(당일)</stp>
        <stp>45520</stp>
        <stp/>
        <tr r="BH25" s="2"/>
      </tp>
      <tp>
        <v>3.6379999999999999</v>
        <stp/>
        <stp>P</stp>
        <stp>0</stp>
        <stp>IR</stp>
        <stp>BONDAVG16</stp>
        <stp>20년이하(당일)</stp>
        <stp>45520</stp>
        <stp/>
        <tr r="AO25" s="2"/>
        <tr r="BF25" s="2"/>
      </tp>
      <tp>
        <v>0</v>
        <stp/>
        <stp>P</stp>
        <stp>0</stp>
        <stp>IR</stp>
        <stp>BONDAVG16</stp>
        <stp>30년이하(당일)</stp>
        <stp>45520</stp>
        <stp/>
        <tr r="BG25" s="2"/>
      </tp>
      <tp>
        <v>3.4769999999999999</v>
        <stp/>
        <stp>P</stp>
        <stp>0</stp>
        <stp>IR</stp>
        <stp>BONDAVG16</stp>
        <stp>10년이하(당일)</stp>
        <stp>45520</stp>
        <stp/>
        <tr r="AM25" s="2"/>
        <tr r="BD25" s="2"/>
      </tp>
      <tp>
        <v>4.9770000000000003</v>
        <stp/>
        <stp>P</stp>
        <stp>0</stp>
        <stp>IR</stp>
        <stp>BONDAVG46</stp>
        <stp>15년이하(당일)</stp>
        <stp>45520</stp>
        <stp/>
        <tr r="AN56" s="2"/>
        <tr r="BE56" s="2"/>
      </tp>
      <tp>
        <v>0</v>
        <stp/>
        <stp>P</stp>
        <stp>0</stp>
        <stp>IR</stp>
        <stp>BONDAVG11</stp>
        <stp>50년이하(당일)</stp>
        <stp>45520</stp>
        <stp/>
        <tr r="BH20" s="2"/>
      </tp>
      <tp>
        <v>3.5609999999999999</v>
        <stp/>
        <stp>P</stp>
        <stp>0</stp>
        <stp>IR</stp>
        <stp>BONDAVG11</stp>
        <stp>20년이하(당일)</stp>
        <stp>45520</stp>
        <stp/>
        <tr r="AO20" s="2"/>
        <tr r="BF20" s="2"/>
      </tp>
      <tp>
        <v>0</v>
        <stp/>
        <stp>P</stp>
        <stp>0</stp>
        <stp>IR</stp>
        <stp>BONDAVG11</stp>
        <stp>30년이하(당일)</stp>
        <stp>45520</stp>
        <stp/>
        <tr r="BG20" s="2"/>
      </tp>
      <tp>
        <v>3.4910000000000001</v>
        <stp/>
        <stp>P</stp>
        <stp>0</stp>
        <stp>IR</stp>
        <stp>BONDAVG11</stp>
        <stp>10년이하(당일)</stp>
        <stp>45520</stp>
        <stp/>
        <tr r="AM20" s="2"/>
        <tr r="BD20" s="2"/>
      </tp>
      <tp>
        <v>8.1460000000000008</v>
        <stp/>
        <stp>P</stp>
        <stp>0</stp>
        <stp>IR</stp>
        <stp>BONDAVG41</stp>
        <stp>15년이하(당일)</stp>
        <stp>45520</stp>
        <stp/>
        <tr r="AN51" s="2"/>
        <tr r="BE51" s="2"/>
      </tp>
      <tp>
        <v>0</v>
        <stp/>
        <stp>P</stp>
        <stp>0</stp>
        <stp>IR</stp>
        <stp>BONDAVG10</stp>
        <stp>50년이하(당일)</stp>
        <stp>45520</stp>
        <stp/>
        <tr r="BH19" s="2"/>
      </tp>
      <tp>
        <v>3.399</v>
        <stp/>
        <stp>P</stp>
        <stp>0</stp>
        <stp>IR</stp>
        <stp>BONDAVG10</stp>
        <stp>20년이하(당일)</stp>
        <stp>45520</stp>
        <stp/>
        <tr r="AO19" s="2"/>
        <tr r="BF19" s="2"/>
      </tp>
      <tp>
        <v>0</v>
        <stp/>
        <stp>P</stp>
        <stp>0</stp>
        <stp>IR</stp>
        <stp>BONDAVG10</stp>
        <stp>30년이하(당일)</stp>
        <stp>45520</stp>
        <stp/>
        <tr r="BG19" s="2"/>
      </tp>
      <tp>
        <v>3.3439999999999999</v>
        <stp/>
        <stp>P</stp>
        <stp>0</stp>
        <stp>IR</stp>
        <stp>BONDAVG10</stp>
        <stp>10년이하(당일)</stp>
        <stp>45520</stp>
        <stp/>
        <tr r="AM19" s="2"/>
        <tr r="BD19" s="2"/>
      </tp>
      <tp>
        <v>6.7329999999999997</v>
        <stp/>
        <stp>P</stp>
        <stp>0</stp>
        <stp>IR</stp>
        <stp>BONDAVG40</stp>
        <stp>15년이하(당일)</stp>
        <stp>45520</stp>
        <stp/>
        <tr r="AN50" s="2"/>
        <tr r="BE50" s="2"/>
      </tp>
      <tp>
        <v>0</v>
        <stp/>
        <stp>P</stp>
        <stp>0</stp>
        <stp>IR</stp>
        <stp>BONDAVG13</stp>
        <stp>50년이하(당일)</stp>
        <stp>45520</stp>
        <stp/>
        <tr r="BH17" s="2"/>
      </tp>
      <tp>
        <v>3.0790000000000002</v>
        <stp/>
        <stp>P</stp>
        <stp>0</stp>
        <stp>IR</stp>
        <stp>BONDAVG13</stp>
        <stp>20년이하(당일)</stp>
        <stp>45520</stp>
        <stp/>
        <tr r="AO17" s="2"/>
        <tr r="BF17" s="2"/>
      </tp>
      <tp>
        <v>0</v>
        <stp/>
        <stp>P</stp>
        <stp>0</stp>
        <stp>IR</stp>
        <stp>BONDAVG13</stp>
        <stp>30년이하(당일)</stp>
        <stp>45520</stp>
        <stp/>
        <tr r="BG17" s="2"/>
      </tp>
      <tp>
        <v>3.093</v>
        <stp/>
        <stp>P</stp>
        <stp>0</stp>
        <stp>IR</stp>
        <stp>BONDAVG13</stp>
        <stp>10년이하(당일)</stp>
        <stp>45520</stp>
        <stp/>
        <tr r="AM17" s="2"/>
        <tr r="BD17" s="2"/>
      </tp>
      <tp>
        <v>10.861000000000001</v>
        <stp/>
        <stp>P</stp>
        <stp>0</stp>
        <stp>IR</stp>
        <stp>BONDAVG43</stp>
        <stp>15년이하(당일)</stp>
        <stp>45520</stp>
        <stp/>
        <tr r="AN53" s="2"/>
        <tr r="BE53" s="2"/>
      </tp>
      <tp>
        <v>0</v>
        <stp/>
        <stp>P</stp>
        <stp>0</stp>
        <stp>IR</stp>
        <stp>BONDAVG12</stp>
        <stp>50년이하(당일)</stp>
        <stp>45520</stp>
        <stp/>
        <tr r="BH21" s="2"/>
      </tp>
      <tp>
        <v>3.6749999999999998</v>
        <stp/>
        <stp>P</stp>
        <stp>0</stp>
        <stp>IR</stp>
        <stp>BONDAVG12</stp>
        <stp>20년이하(당일)</stp>
        <stp>45520</stp>
        <stp/>
        <tr r="AO21" s="2"/>
        <tr r="BF21" s="2"/>
      </tp>
      <tp>
        <v>0</v>
        <stp/>
        <stp>P</stp>
        <stp>0</stp>
        <stp>IR</stp>
        <stp>BONDAVG12</stp>
        <stp>30년이하(당일)</stp>
        <stp>45520</stp>
        <stp/>
        <tr r="BG21" s="2"/>
      </tp>
      <tp>
        <v>3.609</v>
        <stp/>
        <stp>P</stp>
        <stp>0</stp>
        <stp>IR</stp>
        <stp>BONDAVG12</stp>
        <stp>10년이하(당일)</stp>
        <stp>45520</stp>
        <stp/>
        <tr r="AM21" s="2"/>
        <tr r="BD21" s="2"/>
      </tp>
      <tp>
        <v>9.5619999999999994</v>
        <stp/>
        <stp>P</stp>
        <stp>0</stp>
        <stp>IR</stp>
        <stp>BONDAVG42</stp>
        <stp>15년이하(당일)</stp>
        <stp>45520</stp>
        <stp/>
        <tr r="AN52" s="2"/>
        <tr r="BE52" s="2"/>
      </tp>
      <tp>
        <v>0</v>
        <stp/>
        <stp>P</stp>
        <stp>0</stp>
        <stp>IR</stp>
        <stp>BONDAVG19</stp>
        <stp>50년이하(당일)</stp>
        <stp>45520</stp>
        <stp/>
        <tr r="BH28" s="2"/>
      </tp>
      <tp>
        <v>3.72</v>
        <stp/>
        <stp>P</stp>
        <stp>0</stp>
        <stp>IR</stp>
        <stp>BONDAVG19</stp>
        <stp>20년이하(당일)</stp>
        <stp>45520</stp>
        <stp/>
        <tr r="AO28" s="2"/>
        <tr r="BF28" s="2"/>
      </tp>
      <tp>
        <v>0</v>
        <stp/>
        <stp>P</stp>
        <stp>0</stp>
        <stp>IR</stp>
        <stp>BONDAVG19</stp>
        <stp>30년이하(당일)</stp>
        <stp>45520</stp>
        <stp/>
        <tr r="BG28" s="2"/>
      </tp>
      <tp>
        <v>3.5459999999999998</v>
        <stp/>
        <stp>P</stp>
        <stp>0</stp>
        <stp>IR</stp>
        <stp>BONDAVG19</stp>
        <stp>10년이하(당일)</stp>
        <stp>45520</stp>
        <stp/>
        <tr r="AM28" s="2"/>
        <tr r="BD28" s="2"/>
      </tp>
      <tp>
        <v>4.1849999999999996</v>
        <stp/>
        <stp>P</stp>
        <stp>0</stp>
        <stp>IR</stp>
        <stp>BONDAVG49</stp>
        <stp>15년이하(당일)</stp>
        <stp>45520</stp>
        <stp/>
        <tr r="AN58" s="2"/>
        <tr r="BE58" s="2"/>
      </tp>
      <tp>
        <v>0</v>
        <stp/>
        <stp>P</stp>
        <stp>0</stp>
        <stp>IR</stp>
        <stp>BONDAVG18</stp>
        <stp>50년이하(당일)</stp>
        <stp>45520</stp>
        <stp/>
        <tr r="BH27" s="2"/>
      </tp>
      <tp>
        <v>3.6720000000000002</v>
        <stp/>
        <stp>P</stp>
        <stp>0</stp>
        <stp>IR</stp>
        <stp>BONDAVG18</stp>
        <stp>20년이하(당일)</stp>
        <stp>45520</stp>
        <stp/>
        <tr r="AO27" s="2"/>
        <tr r="BF27" s="2"/>
      </tp>
      <tp>
        <v>0</v>
        <stp/>
        <stp>P</stp>
        <stp>0</stp>
        <stp>IR</stp>
        <stp>BONDAVG18</stp>
        <stp>30년이하(당일)</stp>
        <stp>45520</stp>
        <stp/>
        <tr r="BG27" s="2"/>
      </tp>
      <tp>
        <v>3.5030000000000001</v>
        <stp/>
        <stp>P</stp>
        <stp>0</stp>
        <stp>IR</stp>
        <stp>BONDAVG18</stp>
        <stp>10년이하(당일)</stp>
        <stp>45520</stp>
        <stp/>
        <tr r="AM27" s="2"/>
        <tr r="BD27" s="2"/>
      </tp>
      <tp>
        <v>0</v>
        <stp/>
        <stp>P</stp>
        <stp>0</stp>
        <stp>IR</stp>
        <stp>BONDAVG64</stp>
        <stp>50년이하(당일)</stp>
        <stp>45520</stp>
        <stp/>
        <tr r="BH70" s="2"/>
      </tp>
      <tp>
        <v>10.91</v>
        <stp/>
        <stp>P</stp>
        <stp>0</stp>
        <stp>IR</stp>
        <stp>BONDAVG64</stp>
        <stp>20년이하(당일)</stp>
        <stp>45520</stp>
        <stp/>
        <tr r="AO70" s="2"/>
        <tr r="BF70" s="2"/>
      </tp>
      <tp>
        <v>0</v>
        <stp/>
        <stp>P</stp>
        <stp>0</stp>
        <stp>IR</stp>
        <stp>BONDAVG64</stp>
        <stp>30년이하(당일)</stp>
        <stp>45520</stp>
        <stp/>
        <tr r="BG70" s="2"/>
      </tp>
      <tp>
        <v>10.762</v>
        <stp/>
        <stp>P</stp>
        <stp>0</stp>
        <stp>IR</stp>
        <stp>BONDAVG34</stp>
        <stp>15년이하(당일)</stp>
        <stp>45520</stp>
        <stp/>
        <tr r="AN44" s="2"/>
        <tr r="BE44" s="2"/>
      </tp>
      <tp>
        <v>10.208</v>
        <stp/>
        <stp>P</stp>
        <stp>0</stp>
        <stp>IR</stp>
        <stp>BONDAVG64</stp>
        <stp>10년이하(당일)</stp>
        <stp>45520</stp>
        <stp/>
        <tr r="AM70" s="2"/>
        <tr r="BD70" s="2"/>
      </tp>
      <tp>
        <v>5.1509999999999998</v>
        <stp/>
        <stp>P</stp>
        <stp>0</stp>
        <stp>IR</stp>
        <stp>BONDAVG37</stp>
        <stp>15년이하(당일)</stp>
        <stp>45520</stp>
        <stp/>
        <tr r="AN47" s="2"/>
        <tr r="BE47" s="2"/>
      </tp>
      <tp>
        <v>4.907</v>
        <stp/>
        <stp>P</stp>
        <stp>0</stp>
        <stp>IR</stp>
        <stp>BONDAVG36</stp>
        <stp>15년이하(당일)</stp>
        <stp>45520</stp>
        <stp/>
        <tr r="AN46" s="2"/>
        <tr r="BE46" s="2"/>
      </tp>
      <tp>
        <v>0</v>
        <stp/>
        <stp>P</stp>
        <stp>0</stp>
        <stp>IR</stp>
        <stp>BONDAVG61</stp>
        <stp>50년이하(당일)</stp>
        <stp>45520</stp>
        <stp/>
        <tr r="BH67" s="2"/>
      </tp>
      <tp>
        <v>6.8920000000000003</v>
        <stp/>
        <stp>P</stp>
        <stp>0</stp>
        <stp>IR</stp>
        <stp>BONDAVG61</stp>
        <stp>20년이하(당일)</stp>
        <stp>45520</stp>
        <stp/>
        <tr r="AO67" s="2"/>
        <tr r="BF67" s="2"/>
      </tp>
      <tp>
        <v>0</v>
        <stp/>
        <stp>P</stp>
        <stp>0</stp>
        <stp>IR</stp>
        <stp>BONDAVG61</stp>
        <stp>30년이하(당일)</stp>
        <stp>45520</stp>
        <stp/>
        <tr r="BG67" s="2"/>
      </tp>
      <tp>
        <v>6.7329999999999997</v>
        <stp/>
        <stp>P</stp>
        <stp>0</stp>
        <stp>IR</stp>
        <stp>BONDAVG31</stp>
        <stp>15년이하(당일)</stp>
        <stp>45520</stp>
        <stp/>
        <tr r="AN41" s="2"/>
        <tr r="BE41" s="2"/>
      </tp>
      <tp>
        <v>6.1219999999999999</v>
        <stp/>
        <stp>P</stp>
        <stp>0</stp>
        <stp>IR</stp>
        <stp>BONDAVG61</stp>
        <stp>10년이하(당일)</stp>
        <stp>45520</stp>
        <stp/>
        <tr r="AM67" s="2"/>
        <tr r="BD67" s="2"/>
      </tp>
      <tp>
        <v>0</v>
        <stp/>
        <stp>P</stp>
        <stp>0</stp>
        <stp>IR</stp>
        <stp>BONDAVG60</stp>
        <stp>50년이하(당일)</stp>
        <stp>45520</stp>
        <stp/>
        <tr r="BH66" s="2"/>
      </tp>
      <tp>
        <v>6.3129999999999997</v>
        <stp/>
        <stp>P</stp>
        <stp>0</stp>
        <stp>IR</stp>
        <stp>BONDAVG60</stp>
        <stp>20년이하(당일)</stp>
        <stp>45520</stp>
        <stp/>
        <tr r="AO66" s="2"/>
        <tr r="BF66" s="2"/>
      </tp>
      <tp>
        <v>0</v>
        <stp/>
        <stp>P</stp>
        <stp>0</stp>
        <stp>IR</stp>
        <stp>BONDAVG60</stp>
        <stp>30년이하(당일)</stp>
        <stp>45520</stp>
        <stp/>
        <tr r="BG66" s="2"/>
      </tp>
      <tp>
        <v>6.0620000000000003</v>
        <stp/>
        <stp>P</stp>
        <stp>0</stp>
        <stp>IR</stp>
        <stp>BONDAVG30</stp>
        <stp>15년이하(당일)</stp>
        <stp>45520</stp>
        <stp/>
        <tr r="AN40" s="2"/>
        <tr r="BE40" s="2"/>
      </tp>
      <tp>
        <v>5.6109999999999998</v>
        <stp/>
        <stp>P</stp>
        <stp>0</stp>
        <stp>IR</stp>
        <stp>BONDAVG60</stp>
        <stp>10년이하(당일)</stp>
        <stp>45520</stp>
        <stp/>
        <tr r="AM66" s="2"/>
        <tr r="BD66" s="2"/>
      </tp>
      <tp>
        <v>0</v>
        <stp/>
        <stp>P</stp>
        <stp>0</stp>
        <stp>IR</stp>
        <stp>BONDAVG63</stp>
        <stp>50년이하(당일)</stp>
        <stp>45520</stp>
        <stp/>
        <tr r="BH69" s="2"/>
      </tp>
      <tp>
        <v>9.4450000000000003</v>
        <stp/>
        <stp>P</stp>
        <stp>0</stp>
        <stp>IR</stp>
        <stp>BONDAVG63</stp>
        <stp>20년이하(당일)</stp>
        <stp>45520</stp>
        <stp/>
        <tr r="AO69" s="2"/>
        <tr r="BF69" s="2"/>
      </tp>
      <tp>
        <v>0</v>
        <stp/>
        <stp>P</stp>
        <stp>0</stp>
        <stp>IR</stp>
        <stp>BONDAVG63</stp>
        <stp>30년이하(당일)</stp>
        <stp>45520</stp>
        <stp/>
        <tr r="BG69" s="2"/>
      </tp>
      <tp>
        <v>9.4380000000000006</v>
        <stp/>
        <stp>P</stp>
        <stp>0</stp>
        <stp>IR</stp>
        <stp>BONDAVG33</stp>
        <stp>15년이하(당일)</stp>
        <stp>45520</stp>
        <stp/>
        <tr r="AN43" s="2"/>
        <tr r="BE43" s="2"/>
      </tp>
      <tp>
        <v>8.7759999999999998</v>
        <stp/>
        <stp>P</stp>
        <stp>0</stp>
        <stp>IR</stp>
        <stp>BONDAVG63</stp>
        <stp>10년이하(당일)</stp>
        <stp>45520</stp>
        <stp/>
        <tr r="AM69" s="2"/>
        <tr r="BD69" s="2"/>
      </tp>
      <tp>
        <v>0</v>
        <stp/>
        <stp>P</stp>
        <stp>0</stp>
        <stp>IR</stp>
        <stp>BONDAVG62</stp>
        <stp>50년이하(당일)</stp>
        <stp>45520</stp>
        <stp/>
        <tr r="BH68" s="2"/>
      </tp>
      <tp>
        <v>8.32</v>
        <stp/>
        <stp>P</stp>
        <stp>0</stp>
        <stp>IR</stp>
        <stp>BONDAVG62</stp>
        <stp>20년이하(당일)</stp>
        <stp>45520</stp>
        <stp/>
        <tr r="AO68" s="2"/>
        <tr r="BF68" s="2"/>
      </tp>
      <tp>
        <v>0</v>
        <stp/>
        <stp>P</stp>
        <stp>0</stp>
        <stp>IR</stp>
        <stp>BONDAVG62</stp>
        <stp>30년이하(당일)</stp>
        <stp>45520</stp>
        <stp/>
        <tr r="BG68" s="2"/>
      </tp>
      <tp>
        <v>8.0289999999999999</v>
        <stp/>
        <stp>P</stp>
        <stp>0</stp>
        <stp>IR</stp>
        <stp>BONDAVG32</stp>
        <stp>15년이하(당일)</stp>
        <stp>45520</stp>
        <stp/>
        <tr r="AN42" s="2"/>
        <tr r="BE42" s="2"/>
      </tp>
      <tp>
        <v>7.6849999999999996</v>
        <stp/>
        <stp>P</stp>
        <stp>0</stp>
        <stp>IR</stp>
        <stp>BONDAVG62</stp>
        <stp>10년이하(당일)</stp>
        <stp>45520</stp>
        <stp/>
        <tr r="AM68" s="2"/>
        <tr r="BD68" s="2"/>
      </tp>
      <tp>
        <v>0</v>
        <stp/>
        <stp>P</stp>
        <stp>0</stp>
        <stp>IR</stp>
        <stp>BONDAVG69</stp>
        <stp>50년이하(당일)</stp>
        <stp>45520</stp>
        <stp/>
        <tr r="BH71" s="2"/>
      </tp>
      <tp>
        <v>4.3140000000000001</v>
        <stp/>
        <stp>P</stp>
        <stp>0</stp>
        <stp>IR</stp>
        <stp>BONDAVG69</stp>
        <stp>20년이하(당일)</stp>
        <stp>45520</stp>
        <stp/>
        <tr r="AO71" s="2"/>
        <tr r="BF71" s="2"/>
      </tp>
      <tp>
        <v>0</v>
        <stp/>
        <stp>P</stp>
        <stp>0</stp>
        <stp>IR</stp>
        <stp>BONDAVG69</stp>
        <stp>30년이하(당일)</stp>
        <stp>45520</stp>
        <stp/>
        <tr r="BG71" s="2"/>
      </tp>
      <tp>
        <v>6.0620000000000003</v>
        <stp/>
        <stp>P</stp>
        <stp>0</stp>
        <stp>IR</stp>
        <stp>BONDAVG39</stp>
        <stp>15년이하(당일)</stp>
        <stp>45520</stp>
        <stp/>
        <tr r="AN49" s="2"/>
        <tr r="BE49" s="2"/>
      </tp>
      <tp>
        <v>3.8940000000000001</v>
        <stp/>
        <stp>P</stp>
        <stp>0</stp>
        <stp>IR</stp>
        <stp>BONDAVG69</stp>
        <stp>10년이하(당일)</stp>
        <stp>45520</stp>
        <stp/>
        <tr r="AM71" s="2"/>
        <tr r="BD71" s="2"/>
      </tp>
      <tp>
        <v>5.6840000000000002</v>
        <stp/>
        <stp>P</stp>
        <stp>0</stp>
        <stp>IR</stp>
        <stp>BONDAVG38</stp>
        <stp>15년이하(당일)</stp>
        <stp>45520</stp>
        <stp/>
        <tr r="AN48" s="2"/>
        <tr r="BE48" s="2"/>
      </tp>
      <tp>
        <v>0</v>
        <stp/>
        <stp>P</stp>
        <stp>0</stp>
        <stp>IR</stp>
        <stp>BONDAVG75</stp>
        <stp>50년이하(당일)</stp>
        <stp>45520</stp>
        <stp/>
        <tr r="BH77" s="2"/>
      </tp>
      <tp>
        <v>7.4509999999999996</v>
        <stp/>
        <stp>P</stp>
        <stp>0</stp>
        <stp>IR</stp>
        <stp>BONDAVG75</stp>
        <stp>20년이하(당일)</stp>
        <stp>45520</stp>
        <stp/>
        <tr r="AO77" s="2"/>
        <tr r="BF77" s="2"/>
      </tp>
      <tp>
        <v>0</v>
        <stp/>
        <stp>P</stp>
        <stp>0</stp>
        <stp>IR</stp>
        <stp>BONDAVG75</stp>
        <stp>30년이하(당일)</stp>
        <stp>45520</stp>
        <stp/>
        <tr r="BG77" s="2"/>
      </tp>
      <tp>
        <v>4.7839999999999998</v>
        <stp/>
        <stp>P</stp>
        <stp>0</stp>
        <stp>IR</stp>
        <stp>BONDAVG25</stp>
        <stp>15년이하(당일)</stp>
        <stp>45520</stp>
        <stp/>
        <tr r="AN34" s="2"/>
        <tr r="BE34" s="2"/>
      </tp>
      <tp>
        <v>6.65</v>
        <stp/>
        <stp>P</stp>
        <stp>0</stp>
        <stp>IR</stp>
        <stp>BONDAVG75</stp>
        <stp>10년이하(당일)</stp>
        <stp>45520</stp>
        <stp/>
        <tr r="AM77" s="2"/>
        <tr r="BD77" s="2"/>
      </tp>
      <tp>
        <v>0</v>
        <stp/>
        <stp>P</stp>
        <stp>0</stp>
        <stp>IR</stp>
        <stp>BONDAVG74</stp>
        <stp>50년이하(당일)</stp>
        <stp>45520</stp>
        <stp/>
        <tr r="BH76" s="2"/>
      </tp>
      <tp>
        <v>6.8650000000000002</v>
        <stp/>
        <stp>P</stp>
        <stp>0</stp>
        <stp>IR</stp>
        <stp>BONDAVG74</stp>
        <stp>20년이하(당일)</stp>
        <stp>45520</stp>
        <stp/>
        <tr r="AO76" s="2"/>
        <tr r="BF76" s="2"/>
      </tp>
      <tp>
        <v>0</v>
        <stp/>
        <stp>P</stp>
        <stp>0</stp>
        <stp>IR</stp>
        <stp>BONDAVG74</stp>
        <stp>30년이하(당일)</stp>
        <stp>45520</stp>
        <stp/>
        <tr r="BG76" s="2"/>
      </tp>
      <tp>
        <v>4.63</v>
        <stp/>
        <stp>P</stp>
        <stp>0</stp>
        <stp>IR</stp>
        <stp>BONDAVG24</stp>
        <stp>15년이하(당일)</stp>
        <stp>45520</stp>
        <stp/>
        <tr r="AN33" s="2"/>
        <tr r="BE33" s="2"/>
      </tp>
      <tp>
        <v>6.117</v>
        <stp/>
        <stp>P</stp>
        <stp>0</stp>
        <stp>IR</stp>
        <stp>BONDAVG74</stp>
        <stp>10년이하(당일)</stp>
        <stp>45520</stp>
        <stp/>
        <tr r="AM76" s="2"/>
        <tr r="BD76" s="2"/>
      </tp>
      <tp>
        <v>0</v>
        <stp/>
        <stp>P</stp>
        <stp>0</stp>
        <stp>IR</stp>
        <stp>BONDAVG77</stp>
        <stp>50년이하(당일)</stp>
        <stp>45520</stp>
        <stp/>
        <tr r="BH79" s="2"/>
      </tp>
      <tp>
        <v>10.211</v>
        <stp/>
        <stp>P</stp>
        <stp>0</stp>
        <stp>IR</stp>
        <stp>BONDAVG77</stp>
        <stp>20년이하(당일)</stp>
        <stp>45520</stp>
        <stp/>
        <tr r="AO79" s="2"/>
        <tr r="BF79" s="2"/>
      </tp>
      <tp>
        <v>0</v>
        <stp/>
        <stp>P</stp>
        <stp>0</stp>
        <stp>IR</stp>
        <stp>BONDAVG77</stp>
        <stp>30년이하(당일)</stp>
        <stp>45520</stp>
        <stp/>
        <tr r="BG79" s="2"/>
      </tp>
      <tp>
        <v>4.907</v>
        <stp/>
        <stp>P</stp>
        <stp>0</stp>
        <stp>IR</stp>
        <stp>BONDAVG27</stp>
        <stp>15년이하(당일)</stp>
        <stp>45520</stp>
        <stp/>
        <tr r="AN37" s="2"/>
        <tr r="BE37" s="2"/>
      </tp>
      <tp>
        <v>9.5120000000000005</v>
        <stp/>
        <stp>P</stp>
        <stp>0</stp>
        <stp>IR</stp>
        <stp>BONDAVG77</stp>
        <stp>10년이하(당일)</stp>
        <stp>45520</stp>
        <stp/>
        <tr r="AM79" s="2"/>
        <tr r="BD79" s="2"/>
      </tp>
      <tp>
        <v>0</v>
        <stp/>
        <stp>P</stp>
        <stp>0</stp>
        <stp>IR</stp>
        <stp>BONDAVG76</stp>
        <stp>50년이하(당일)</stp>
        <stp>45520</stp>
        <stp/>
        <tr r="BH78" s="2"/>
      </tp>
      <tp>
        <v>8.9849999999999994</v>
        <stp/>
        <stp>P</stp>
        <stp>0</stp>
        <stp>IR</stp>
        <stp>BONDAVG76</stp>
        <stp>20년이하(당일)</stp>
        <stp>45520</stp>
        <stp/>
        <tr r="AO78" s="2"/>
        <tr r="BF78" s="2"/>
      </tp>
      <tp>
        <v>0</v>
        <stp/>
        <stp>P</stp>
        <stp>0</stp>
        <stp>IR</stp>
        <stp>BONDAVG76</stp>
        <stp>30년이하(당일)</stp>
        <stp>45520</stp>
        <stp/>
        <tr r="BG78" s="2"/>
      </tp>
      <tp>
        <v>4.9219999999999997</v>
        <stp/>
        <stp>P</stp>
        <stp>0</stp>
        <stp>IR</stp>
        <stp>BONDAVG26</stp>
        <stp>15년이하(당일)</stp>
        <stp>45520</stp>
        <stp/>
        <tr r="AN35" s="2"/>
        <tr r="BE35" s="2"/>
      </tp>
      <tp>
        <v>8.32</v>
        <stp/>
        <stp>P</stp>
        <stp>0</stp>
        <stp>IR</stp>
        <stp>BONDAVG76</stp>
        <stp>10년이하(당일)</stp>
        <stp>45520</stp>
        <stp/>
        <tr r="AM78" s="2"/>
        <tr r="BD78" s="2"/>
      </tp>
      <tp>
        <v>0</v>
        <stp/>
        <stp>P</stp>
        <stp>0</stp>
        <stp>IR</stp>
        <stp>BONDAVG71</stp>
        <stp>50년이하(당일)</stp>
        <stp>45520</stp>
        <stp/>
        <tr r="BH73" s="2"/>
      </tp>
      <tp>
        <v>5.2850000000000001</v>
        <stp/>
        <stp>P</stp>
        <stp>0</stp>
        <stp>IR</stp>
        <stp>BONDAVG71</stp>
        <stp>20년이하(당일)</stp>
        <stp>45520</stp>
        <stp/>
        <tr r="AO73" s="2"/>
        <tr r="BF73" s="2"/>
      </tp>
      <tp>
        <v>0</v>
        <stp/>
        <stp>P</stp>
        <stp>0</stp>
        <stp>IR</stp>
        <stp>BONDAVG71</stp>
        <stp>30년이하(당일)</stp>
        <stp>45520</stp>
        <stp/>
        <tr r="BG73" s="2"/>
      </tp>
      <tp>
        <v>3.8370000000000002</v>
        <stp/>
        <stp>P</stp>
        <stp>0</stp>
        <stp>IR</stp>
        <stp>BONDAVG21</stp>
        <stp>15년이하(당일)</stp>
        <stp>45520</stp>
        <stp/>
        <tr r="AN30" s="2"/>
        <tr r="BE30" s="2"/>
      </tp>
      <tp>
        <v>4.5510000000000002</v>
        <stp/>
        <stp>P</stp>
        <stp>0</stp>
        <stp>IR</stp>
        <stp>BONDAVG71</stp>
        <stp>10년이하(당일)</stp>
        <stp>45520</stp>
        <stp/>
        <tr r="AM73" s="2"/>
        <tr r="BD73" s="2"/>
      </tp>
      <tp>
        <v>0</v>
        <stp/>
        <stp>P</stp>
        <stp>0</stp>
        <stp>IR</stp>
        <stp>BONDAVG70</stp>
        <stp>50년이하(당일)</stp>
        <stp>45520</stp>
        <stp/>
        <tr r="BH72" s="2"/>
      </tp>
      <tp>
        <v>4.6879999999999997</v>
        <stp/>
        <stp>P</stp>
        <stp>0</stp>
        <stp>IR</stp>
        <stp>BONDAVG70</stp>
        <stp>20년이하(당일)</stp>
        <stp>45520</stp>
        <stp/>
        <tr r="AO72" s="2"/>
        <tr r="BF72" s="2"/>
      </tp>
      <tp>
        <v>0</v>
        <stp/>
        <stp>P</stp>
        <stp>0</stp>
        <stp>IR</stp>
        <stp>BONDAVG70</stp>
        <stp>30년이하(당일)</stp>
        <stp>45520</stp>
        <stp/>
        <tr r="BG72" s="2"/>
      </tp>
      <tp>
        <v>3.6829999999999998</v>
        <stp/>
        <stp>P</stp>
        <stp>0</stp>
        <stp>IR</stp>
        <stp>BONDAVG20</stp>
        <stp>15년이하(당일)</stp>
        <stp>45520</stp>
        <stp/>
        <tr r="AN29" s="2"/>
        <tr r="BE29" s="2"/>
      </tp>
      <tp>
        <v>4.2009999999999996</v>
        <stp/>
        <stp>P</stp>
        <stp>0</stp>
        <stp>IR</stp>
        <stp>BONDAVG70</stp>
        <stp>10년이하(당일)</stp>
        <stp>45520</stp>
        <stp/>
        <tr r="AM72" s="2"/>
        <tr r="BD72" s="2"/>
      </tp>
      <tp>
        <v>0</v>
        <stp/>
        <stp>P</stp>
        <stp>0</stp>
        <stp>IR</stp>
        <stp>BONDAVG73</stp>
        <stp>50년이하(당일)</stp>
        <stp>45520</stp>
        <stp/>
        <tr r="BH75" s="2"/>
      </tp>
      <tp>
        <v>6.383</v>
        <stp/>
        <stp>P</stp>
        <stp>0</stp>
        <stp>IR</stp>
        <stp>BONDAVG73</stp>
        <stp>20년이하(당일)</stp>
        <stp>45520</stp>
        <stp/>
        <tr r="AO75" s="2"/>
        <tr r="BF75" s="2"/>
      </tp>
      <tp>
        <v>0</v>
        <stp/>
        <stp>P</stp>
        <stp>0</stp>
        <stp>IR</stp>
        <stp>BONDAVG73</stp>
        <stp>30년이하(당일)</stp>
        <stp>45520</stp>
        <stp/>
        <tr r="BG75" s="2"/>
      </tp>
      <tp>
        <v>4.4260000000000002</v>
        <stp/>
        <stp>P</stp>
        <stp>0</stp>
        <stp>IR</stp>
        <stp>BONDAVG23</stp>
        <stp>15년이하(당일)</stp>
        <stp>45520</stp>
        <stp/>
        <tr r="AN32" s="2"/>
        <tr r="BE32" s="2"/>
      </tp>
      <tp>
        <v>5.62</v>
        <stp/>
        <stp>P</stp>
        <stp>0</stp>
        <stp>IR</stp>
        <stp>BONDAVG73</stp>
        <stp>10년이하(당일)</stp>
        <stp>45520</stp>
        <stp/>
        <tr r="AM75" s="2"/>
        <tr r="BD75" s="2"/>
      </tp>
      <tp>
        <v>0</v>
        <stp/>
        <stp>P</stp>
        <stp>0</stp>
        <stp>IR</stp>
        <stp>BONDAVG72</stp>
        <stp>50년이하(당일)</stp>
        <stp>45520</stp>
        <stp/>
        <tr r="BH74" s="2"/>
      </tp>
      <tp>
        <v>5.8410000000000002</v>
        <stp/>
        <stp>P</stp>
        <stp>0</stp>
        <stp>IR</stp>
        <stp>BONDAVG72</stp>
        <stp>20년이하(당일)</stp>
        <stp>45520</stp>
        <stp/>
        <tr r="AO74" s="2"/>
        <tr r="BF74" s="2"/>
      </tp>
      <tp>
        <v>0</v>
        <stp/>
        <stp>P</stp>
        <stp>0</stp>
        <stp>IR</stp>
        <stp>BONDAVG72</stp>
        <stp>30년이하(당일)</stp>
        <stp>45520</stp>
        <stp/>
        <tr r="BG74" s="2"/>
      </tp>
      <tp>
        <v>4.1749999999999998</v>
        <stp/>
        <stp>P</stp>
        <stp>0</stp>
        <stp>IR</stp>
        <stp>BONDAVG22</stp>
        <stp>15년이하(당일)</stp>
        <stp>45520</stp>
        <stp/>
        <tr r="AN31" s="2"/>
        <tr r="BE31" s="2"/>
      </tp>
      <tp>
        <v>4.944</v>
        <stp/>
        <stp>P</stp>
        <stp>0</stp>
        <stp>IR</stp>
        <stp>BONDAVG72</stp>
        <stp>10년이하(당일)</stp>
        <stp>45520</stp>
        <stp/>
        <tr r="AM74" s="2"/>
        <tr r="BD74" s="2"/>
      </tp>
      <tp>
        <v>0</v>
        <stp/>
        <stp>P</stp>
        <stp>0</stp>
        <stp>IR</stp>
        <stp>BONDAVG79</stp>
        <stp>50년이하(당일)</stp>
        <stp>45520</stp>
        <stp/>
        <tr r="BH81" s="2"/>
      </tp>
      <tp>
        <v>3.1949999999999998</v>
        <stp/>
        <stp>P</stp>
        <stp>0</stp>
        <stp>IR</stp>
        <stp>BONDAVG79</stp>
        <stp>20년이하(당일)</stp>
        <stp>45520</stp>
        <stp/>
        <tr r="AO81" s="2"/>
        <tr r="BF81" s="2"/>
      </tp>
      <tp>
        <v>3.1970000000000001</v>
        <stp/>
        <stp>P</stp>
        <stp>0</stp>
        <stp>IR</stp>
        <stp>BONDAVG79</stp>
        <stp>30년이하(당일)</stp>
        <stp>45520</stp>
        <stp/>
        <tr r="AP81" s="2"/>
        <tr r="BG81" s="2"/>
      </tp>
      <tp>
        <v>5.6840000000000002</v>
        <stp/>
        <stp>P</stp>
        <stp>0</stp>
        <stp>IR</stp>
        <stp>BONDAVG29</stp>
        <stp>15년이하(당일)</stp>
        <stp>45520</stp>
        <stp/>
        <tr r="AN39" s="2"/>
        <tr r="BE39" s="2"/>
      </tp>
      <tp>
        <v>3.2069999999999999</v>
        <stp/>
        <stp>P</stp>
        <stp>0</stp>
        <stp>IR</stp>
        <stp>BONDAVG79</stp>
        <stp>10년이하(당일)</stp>
        <stp>45520</stp>
        <stp/>
        <tr r="AM81" s="2"/>
        <tr r="BD81" s="2"/>
      </tp>
      <tp>
        <v>0</v>
        <stp/>
        <stp>P</stp>
        <stp>0</stp>
        <stp>IR</stp>
        <stp>BONDAVG78</stp>
        <stp>50년이하(당일)</stp>
        <stp>45520</stp>
        <stp/>
        <tr r="BH80" s="2"/>
      </tp>
      <tp>
        <v>11.925000000000001</v>
        <stp/>
        <stp>P</stp>
        <stp>0</stp>
        <stp>IR</stp>
        <stp>BONDAVG78</stp>
        <stp>20년이하(당일)</stp>
        <stp>45520</stp>
        <stp/>
        <tr r="AO80" s="2"/>
        <tr r="BF80" s="2"/>
      </tp>
      <tp>
        <v>0</v>
        <stp/>
        <stp>P</stp>
        <stp>0</stp>
        <stp>IR</stp>
        <stp>BONDAVG78</stp>
        <stp>30년이하(당일)</stp>
        <stp>45520</stp>
        <stp/>
        <tr r="BG80" s="2"/>
      </tp>
      <tp>
        <v>5.1509999999999998</v>
        <stp/>
        <stp>P</stp>
        <stp>0</stp>
        <stp>IR</stp>
        <stp>BONDAVG28</stp>
        <stp>15년이하(당일)</stp>
        <stp>45520</stp>
        <stp/>
        <tr r="AN38" s="2"/>
        <tr r="BE38" s="2"/>
      </tp>
      <tp>
        <v>11.195</v>
        <stp/>
        <stp>P</stp>
        <stp>0</stp>
        <stp>IR</stp>
        <stp>BONDAVG78</stp>
        <stp>10년이하(당일)</stp>
        <stp>45520</stp>
        <stp/>
        <tr r="AM80" s="2"/>
        <tr r="BD80" s="2"/>
      </tp>
      <tp>
        <v>0</v>
        <stp/>
        <stp>P</stp>
        <stp>0</stp>
        <stp>IR</stp>
        <stp>BONDAVG45</stp>
        <stp>50년이하(당일)</stp>
        <stp>45520</stp>
        <stp/>
        <tr r="BH55" s="2"/>
      </tp>
      <tp>
        <v>4.6859999999999999</v>
        <stp/>
        <stp>P</stp>
        <stp>0</stp>
        <stp>IR</stp>
        <stp>BONDAVG45</stp>
        <stp>20년이하(당일)</stp>
        <stp>45520</stp>
        <stp/>
        <tr r="AO55" s="2"/>
        <tr r="BF55" s="2"/>
      </tp>
      <tp>
        <v>0</v>
        <stp/>
        <stp>P</stp>
        <stp>0</stp>
        <stp>IR</stp>
        <stp>BONDAVG45</stp>
        <stp>30년이하(당일)</stp>
        <stp>45520</stp>
        <stp/>
        <tr r="BG55" s="2"/>
      </tp>
      <tp>
        <v>0</v>
        <stp/>
        <stp>P</stp>
        <stp>0</stp>
        <stp>IR</stp>
        <stp>BONDAVG15</stp>
        <stp>15년이하(당일)</stp>
        <stp>45520</stp>
        <stp/>
        <tr r="BE23" s="2"/>
      </tp>
      <tp>
        <v>4.0119999999999996</v>
        <stp/>
        <stp>P</stp>
        <stp>0</stp>
        <stp>IR</stp>
        <stp>BONDAVG45</stp>
        <stp>10년이하(당일)</stp>
        <stp>45520</stp>
        <stp/>
        <tr r="AM55" s="2"/>
        <tr r="BD55" s="2"/>
      </tp>
      <tp>
        <v>0</v>
        <stp/>
        <stp>P</stp>
        <stp>0</stp>
        <stp>IR</stp>
        <stp>BONDAVG44</stp>
        <stp>50년이하(당일)</stp>
        <stp>45520</stp>
        <stp/>
        <tr r="BH54" s="2"/>
      </tp>
      <tp>
        <v>3.8879999999999999</v>
        <stp/>
        <stp>P</stp>
        <stp>0</stp>
        <stp>IR</stp>
        <stp>BONDAVG44</stp>
        <stp>20년이하(당일)</stp>
        <stp>45520</stp>
        <stp/>
        <tr r="AO54" s="2"/>
        <tr r="BF54" s="2"/>
      </tp>
      <tp>
        <v>0</v>
        <stp/>
        <stp>P</stp>
        <stp>0</stp>
        <stp>IR</stp>
        <stp>BONDAVG44</stp>
        <stp>30년이하(당일)</stp>
        <stp>45520</stp>
        <stp/>
        <tr r="BG54" s="2"/>
      </tp>
      <tp>
        <v>0</v>
        <stp/>
        <stp>P</stp>
        <stp>0</stp>
        <stp>IR</stp>
        <stp>BONDAVG14</stp>
        <stp>15년이하(당일)</stp>
        <stp>45520</stp>
        <stp/>
        <tr r="BE22" s="2"/>
      </tp>
      <tp>
        <v>3.6</v>
        <stp/>
        <stp>P</stp>
        <stp>0</stp>
        <stp>IR</stp>
        <stp>BONDAVG44</stp>
        <stp>10년이하(당일)</stp>
        <stp>45520</stp>
        <stp/>
        <tr r="AM54" s="2"/>
        <tr r="BD54" s="2"/>
      </tp>
      <tp>
        <v>0</v>
        <stp/>
        <stp>P</stp>
        <stp>0</stp>
        <stp>IR</stp>
        <stp>BONDAVG47</stp>
        <stp>50년이하(당일)</stp>
        <stp>45520</stp>
        <stp/>
        <tr r="BH57" s="2"/>
      </tp>
      <tp>
        <v>6.117</v>
        <stp/>
        <stp>P</stp>
        <stp>0</stp>
        <stp>IR</stp>
        <stp>BONDAVG47</stp>
        <stp>20년이하(당일)</stp>
        <stp>45520</stp>
        <stp/>
        <tr r="AO57" s="2"/>
        <tr r="BF57" s="2"/>
      </tp>
      <tp>
        <v>0</v>
        <stp/>
        <stp>P</stp>
        <stp>0</stp>
        <stp>IR</stp>
        <stp>BONDAVG47</stp>
        <stp>30년이하(당일)</stp>
        <stp>45520</stp>
        <stp/>
        <tr r="BG57" s="2"/>
      </tp>
      <tp>
        <v>3.6179999999999999</v>
        <stp/>
        <stp>P</stp>
        <stp>0</stp>
        <stp>IR</stp>
        <stp>BONDAVG17</stp>
        <stp>15년이하(당일)</stp>
        <stp>45520</stp>
        <stp/>
        <tr r="AN26" s="2"/>
        <tr r="BE26" s="2"/>
      </tp>
      <tp>
        <v>5.532</v>
        <stp/>
        <stp>P</stp>
        <stp>0</stp>
        <stp>IR</stp>
        <stp>BONDAVG47</stp>
        <stp>10년이하(당일)</stp>
        <stp>45520</stp>
        <stp/>
        <tr r="AM57" s="2"/>
        <tr r="BD57" s="2"/>
      </tp>
      <tp>
        <v>0</v>
        <stp/>
        <stp>P</stp>
        <stp>0</stp>
        <stp>IR</stp>
        <stp>BONDAVG46</stp>
        <stp>50년이하(당일)</stp>
        <stp>45520</stp>
        <stp/>
        <tr r="BH56" s="2"/>
      </tp>
      <tp>
        <v>5.3769999999999998</v>
        <stp/>
        <stp>P</stp>
        <stp>0</stp>
        <stp>IR</stp>
        <stp>BONDAVG46</stp>
        <stp>20년이하(당일)</stp>
        <stp>45520</stp>
        <stp/>
        <tr r="AO56" s="2"/>
        <tr r="BF56" s="2"/>
      </tp>
      <tp>
        <v>0</v>
        <stp/>
        <stp>P</stp>
        <stp>0</stp>
        <stp>IR</stp>
        <stp>BONDAVG46</stp>
        <stp>30년이하(당일)</stp>
        <stp>45520</stp>
        <stp/>
        <tr r="BG56" s="2"/>
      </tp>
      <tp>
        <v>3.5779999999999998</v>
        <stp/>
        <stp>P</stp>
        <stp>0</stp>
        <stp>IR</stp>
        <stp>BONDAVG16</stp>
        <stp>15년이하(당일)</stp>
        <stp>45520</stp>
        <stp/>
        <tr r="AN25" s="2"/>
        <tr r="BE25" s="2"/>
      </tp>
      <tp>
        <v>4.5389999999999997</v>
        <stp/>
        <stp>P</stp>
        <stp>0</stp>
        <stp>IR</stp>
        <stp>BONDAVG46</stp>
        <stp>10년이하(당일)</stp>
        <stp>45520</stp>
        <stp/>
        <tr r="AM56" s="2"/>
        <tr r="BD56" s="2"/>
      </tp>
      <tp>
        <v>0</v>
        <stp/>
        <stp>P</stp>
        <stp>0</stp>
        <stp>IR</stp>
        <stp>BONDAVG41</stp>
        <stp>50년이하(당일)</stp>
        <stp>45520</stp>
        <stp/>
        <tr r="BH51" s="2"/>
      </tp>
      <tp>
        <v>8.3260000000000005</v>
        <stp/>
        <stp>P</stp>
        <stp>0</stp>
        <stp>IR</stp>
        <stp>BONDAVG41</stp>
        <stp>20년이하(당일)</stp>
        <stp>45520</stp>
        <stp/>
        <tr r="AO51" s="2"/>
        <tr r="BF51" s="2"/>
      </tp>
      <tp>
        <v>0</v>
        <stp/>
        <stp>P</stp>
        <stp>0</stp>
        <stp>IR</stp>
        <stp>BONDAVG41</stp>
        <stp>30년이하(당일)</stp>
        <stp>45520</stp>
        <stp/>
        <tr r="BG51" s="2"/>
      </tp>
      <tp>
        <v>3.5449999999999999</v>
        <stp/>
        <stp>P</stp>
        <stp>0</stp>
        <stp>IR</stp>
        <stp>BONDAVG11</stp>
        <stp>15년이하(당일)</stp>
        <stp>45520</stp>
        <stp/>
        <tr r="AN20" s="2"/>
        <tr r="BE20" s="2"/>
      </tp>
      <tp>
        <v>7.7939999999999996</v>
        <stp/>
        <stp>P</stp>
        <stp>0</stp>
        <stp>IR</stp>
        <stp>BONDAVG41</stp>
        <stp>10년이하(당일)</stp>
        <stp>45520</stp>
        <stp/>
        <tr r="AM51" s="2"/>
        <tr r="BD51" s="2"/>
      </tp>
      <tp>
        <v>0</v>
        <stp/>
        <stp>P</stp>
        <stp>0</stp>
        <stp>IR</stp>
        <stp>BONDAVG40</stp>
        <stp>50년이하(당일)</stp>
        <stp>45520</stp>
        <stp/>
        <tr r="BH50" s="2"/>
      </tp>
      <tp>
        <v>6.8129999999999997</v>
        <stp/>
        <stp>P</stp>
        <stp>0</stp>
        <stp>IR</stp>
        <stp>BONDAVG40</stp>
        <stp>20년이하(당일)</stp>
        <stp>45520</stp>
        <stp/>
        <tr r="AO50" s="2"/>
        <tr r="BF50" s="2"/>
      </tp>
      <tp>
        <v>0</v>
        <stp/>
        <stp>P</stp>
        <stp>0</stp>
        <stp>IR</stp>
        <stp>BONDAVG40</stp>
        <stp>30년이하(당일)</stp>
        <stp>45520</stp>
        <stp/>
        <tr r="BG50" s="2"/>
      </tp>
      <tp>
        <v>3.3919999999999999</v>
        <stp/>
        <stp>P</stp>
        <stp>0</stp>
        <stp>IR</stp>
        <stp>BONDAVG10</stp>
        <stp>15년이하(당일)</stp>
        <stp>45520</stp>
        <stp/>
        <tr r="AN19" s="2"/>
        <tr r="BE19" s="2"/>
      </tp>
      <tp>
        <v>6.4790000000000001</v>
        <stp/>
        <stp>P</stp>
        <stp>0</stp>
        <stp>IR</stp>
        <stp>BONDAVG40</stp>
        <stp>10년이하(당일)</stp>
        <stp>45520</stp>
        <stp/>
        <tr r="AM50" s="2"/>
        <tr r="BD50" s="2"/>
      </tp>
      <tp>
        <v>0</v>
        <stp/>
        <stp>P</stp>
        <stp>0</stp>
        <stp>IR</stp>
        <stp>BONDAVG43</stp>
        <stp>50년이하(당일)</stp>
        <stp>45520</stp>
        <stp/>
        <tr r="BH53" s="2"/>
      </tp>
      <tp>
        <v>11.109</v>
        <stp/>
        <stp>P</stp>
        <stp>0</stp>
        <stp>IR</stp>
        <stp>BONDAVG43</stp>
        <stp>20년이하(당일)</stp>
        <stp>45520</stp>
        <stp/>
        <tr r="AO53" s="2"/>
        <tr r="BF53" s="2"/>
      </tp>
      <tp>
        <v>0</v>
        <stp/>
        <stp>P</stp>
        <stp>0</stp>
        <stp>IR</stp>
        <stp>BONDAVG43</stp>
        <stp>30년이하(당일)</stp>
        <stp>45520</stp>
        <stp/>
        <tr r="BG53" s="2"/>
      </tp>
      <tp>
        <v>3.1059999999999999</v>
        <stp/>
        <stp>P</stp>
        <stp>0</stp>
        <stp>IR</stp>
        <stp>BONDAVG13</stp>
        <stp>15년이하(당일)</stp>
        <stp>45520</stp>
        <stp/>
        <tr r="AN17" s="2"/>
        <tr r="BE17" s="2"/>
      </tp>
      <tp>
        <v>10.45</v>
        <stp/>
        <stp>P</stp>
        <stp>0</stp>
        <stp>IR</stp>
        <stp>BONDAVG43</stp>
        <stp>10년이하(당일)</stp>
        <stp>45520</stp>
        <stp/>
        <tr r="AM53" s="2"/>
        <tr r="BD53" s="2"/>
      </tp>
      <tp>
        <v>0</v>
        <stp/>
        <stp>P</stp>
        <stp>0</stp>
        <stp>IR</stp>
        <stp>BONDAVG42</stp>
        <stp>50년이하(당일)</stp>
        <stp>45520</stp>
        <stp/>
        <tr r="BH52" s="2"/>
      </tp>
      <tp>
        <v>9.8249999999999993</v>
        <stp/>
        <stp>P</stp>
        <stp>0</stp>
        <stp>IR</stp>
        <stp>BONDAVG42</stp>
        <stp>20년이하(당일)</stp>
        <stp>45520</stp>
        <stp/>
        <tr r="AO52" s="2"/>
        <tr r="BF52" s="2"/>
      </tp>
      <tp>
        <v>0</v>
        <stp/>
        <stp>P</stp>
        <stp>0</stp>
        <stp>IR</stp>
        <stp>BONDAVG42</stp>
        <stp>30년이하(당일)</stp>
        <stp>45520</stp>
        <stp/>
        <tr r="BG52" s="2"/>
      </tp>
      <tp>
        <v>3.661</v>
        <stp/>
        <stp>P</stp>
        <stp>0</stp>
        <stp>IR</stp>
        <stp>BONDAVG12</stp>
        <stp>15년이하(당일)</stp>
        <stp>45520</stp>
        <stp/>
        <tr r="AN21" s="2"/>
        <tr r="BE21" s="2"/>
      </tp>
      <tp>
        <v>9.1150000000000002</v>
        <stp/>
        <stp>P</stp>
        <stp>0</stp>
        <stp>IR</stp>
        <stp>BONDAVG42</stp>
        <stp>10년이하(당일)</stp>
        <stp>45520</stp>
        <stp/>
        <tr r="AM52" s="2"/>
        <tr r="BD52" s="2"/>
      </tp>
      <tp>
        <v>0</v>
        <stp/>
        <stp>P</stp>
        <stp>0</stp>
        <stp>IR</stp>
        <stp>BONDAVG49</stp>
        <stp>50년이하(당일)</stp>
        <stp>45520</stp>
        <stp/>
        <tr r="BH58" s="2"/>
      </tp>
      <tp>
        <v>4.3479999999999999</v>
        <stp/>
        <stp>P</stp>
        <stp>0</stp>
        <stp>IR</stp>
        <stp>BONDAVG49</stp>
        <stp>20년이하(당일)</stp>
        <stp>45520</stp>
        <stp/>
        <tr r="AO58" s="2"/>
        <tr r="BF58" s="2"/>
      </tp>
      <tp>
        <v>0</v>
        <stp/>
        <stp>P</stp>
        <stp>0</stp>
        <stp>IR</stp>
        <stp>BONDAVG49</stp>
        <stp>30년이하(당일)</stp>
        <stp>45520</stp>
        <stp/>
        <tr r="BG58" s="2"/>
      </tp>
      <tp>
        <v>3.645</v>
        <stp/>
        <stp>P</stp>
        <stp>0</stp>
        <stp>IR</stp>
        <stp>BONDAVG19</stp>
        <stp>15년이하(당일)</stp>
        <stp>45520</stp>
        <stp/>
        <tr r="AN28" s="2"/>
        <tr r="BE28" s="2"/>
      </tp>
      <tp>
        <v>3.911</v>
        <stp/>
        <stp>P</stp>
        <stp>0</stp>
        <stp>IR</stp>
        <stp>BONDAVG49</stp>
        <stp>10년이하(당일)</stp>
        <stp>45520</stp>
        <stp/>
        <tr r="AM58" s="2"/>
        <tr r="BD58" s="2"/>
      </tp>
      <tp>
        <v>3.6040000000000001</v>
        <stp/>
        <stp>P</stp>
        <stp>0</stp>
        <stp>IR</stp>
        <stp>BONDAVG18</stp>
        <stp>15년이하(당일)</stp>
        <stp>45520</stp>
        <stp/>
        <tr r="AN27" s="2"/>
        <tr r="BE27" s="2"/>
      </tp>
      <tp>
        <v>0</v>
        <stp/>
        <stp>P</stp>
        <stp>0</stp>
        <stp>IR</stp>
        <stp>BONDAVG55</stp>
        <stp>50년이하(당일)</stp>
        <stp>45520</stp>
        <stp/>
        <tr r="BH61" s="2"/>
      </tp>
      <tp>
        <v>3.964</v>
        <stp/>
        <stp>P</stp>
        <stp>0</stp>
        <stp>IR</stp>
        <stp>BONDAVG55</stp>
        <stp>20년이하(당일)</stp>
        <stp>45520</stp>
        <stp/>
        <tr r="AO61" s="2"/>
        <tr r="BF61" s="2"/>
      </tp>
      <tp>
        <v>0</v>
        <stp/>
        <stp>P</stp>
        <stp>0</stp>
        <stp>IR</stp>
        <stp>BONDAVG55</stp>
        <stp>30년이하(당일)</stp>
        <stp>45520</stp>
        <stp/>
        <tr r="BG61" s="2"/>
      </tp>
      <tp>
        <v>0</v>
        <stp/>
        <stp>P</stp>
        <stp>0</stp>
        <stp>IR</stp>
        <stp>BONDAVG05</stp>
        <stp>15년이하(당일)</stp>
        <stp>45520</stp>
        <stp/>
        <tr r="BE15" s="2"/>
      </tp>
      <tp>
        <v>3.6110000000000002</v>
        <stp/>
        <stp>P</stp>
        <stp>0</stp>
        <stp>IR</stp>
        <stp>BONDAVG55</stp>
        <stp>10년이하(당일)</stp>
        <stp>45520</stp>
        <stp/>
        <tr r="AM61" s="2"/>
        <tr r="BD61" s="2"/>
      </tp>
      <tp>
        <v>0</v>
        <stp/>
        <stp>P</stp>
        <stp>0</stp>
        <stp>IR</stp>
        <stp>BONDAVG04</stp>
        <stp>15년이하(당일)</stp>
        <stp>45520</stp>
        <stp/>
        <tr r="BE14" s="2"/>
      </tp>
      <tp>
        <v>0</v>
        <stp/>
        <stp>P</stp>
        <stp>0</stp>
        <stp>IR</stp>
        <stp>BONDAVG57</stp>
        <stp>50년이하(당일)</stp>
        <stp>45520</stp>
        <stp/>
        <tr r="BH63" s="2"/>
      </tp>
      <tp>
        <v>4.9269999999999996</v>
        <stp/>
        <stp>P</stp>
        <stp>0</stp>
        <stp>IR</stp>
        <stp>BONDAVG57</stp>
        <stp>20년이하(당일)</stp>
        <stp>45520</stp>
        <stp/>
        <tr r="AO63" s="2"/>
        <tr r="BF63" s="2"/>
      </tp>
      <tp>
        <v>0</v>
        <stp/>
        <stp>P</stp>
        <stp>0</stp>
        <stp>IR</stp>
        <stp>BONDAVG57</stp>
        <stp>30년이하(당일)</stp>
        <stp>45520</stp>
        <stp/>
        <tr r="BG63" s="2"/>
      </tp>
      <tp>
        <v>4.242</v>
        <stp/>
        <stp>P</stp>
        <stp>0</stp>
        <stp>IR</stp>
        <stp>BONDAVG57</stp>
        <stp>10년이하(당일)</stp>
        <stp>45520</stp>
        <stp/>
        <tr r="AM63" s="2"/>
        <tr r="BD63" s="2"/>
      </tp>
      <tp>
        <v>0</v>
        <stp/>
        <stp>P</stp>
        <stp>0</stp>
        <stp>IR</stp>
        <stp>BONDAVG56</stp>
        <stp>50년이하(당일)</stp>
        <stp>45520</stp>
        <stp/>
        <tr r="BH62" s="2"/>
      </tp>
      <tp>
        <v>4.34</v>
        <stp/>
        <stp>P</stp>
        <stp>0</stp>
        <stp>IR</stp>
        <stp>BONDAVG56</stp>
        <stp>20년이하(당일)</stp>
        <stp>45520</stp>
        <stp/>
        <tr r="AO62" s="2"/>
        <tr r="BF62" s="2"/>
      </tp>
      <tp>
        <v>0</v>
        <stp/>
        <stp>P</stp>
        <stp>0</stp>
        <stp>IR</stp>
        <stp>BONDAVG56</stp>
        <stp>30년이하(당일)</stp>
        <stp>45520</stp>
        <stp/>
        <tr r="BG62" s="2"/>
      </tp>
      <tp>
        <v>3.3090000000000002</v>
        <stp/>
        <stp>P</stp>
        <stp>0</stp>
        <stp>IR</stp>
        <stp>BONDAVG06</stp>
        <stp>15년이하(당일)</stp>
        <stp>45520</stp>
        <stp/>
        <tr r="AN16" s="2"/>
        <tr r="BE16" s="2"/>
      </tp>
      <tp>
        <v>3.895</v>
        <stp/>
        <stp>P</stp>
        <stp>0</stp>
        <stp>IR</stp>
        <stp>BONDAVG56</stp>
        <stp>10년이하(당일)</stp>
        <stp>45520</stp>
        <stp/>
        <tr r="AM62" s="2"/>
        <tr r="BD62" s="2"/>
      </tp>
      <tp>
        <v>0</v>
        <stp/>
        <stp>P</stp>
        <stp>0</stp>
        <stp>IR</stp>
        <stp>BONDAVG51</stp>
        <stp>50년이하(당일)</stp>
        <stp>45520</stp>
        <stp/>
        <tr r="BH59" s="2"/>
      </tp>
      <tp>
        <v>5.4690000000000003</v>
        <stp/>
        <stp>P</stp>
        <stp>0</stp>
        <stp>IR</stp>
        <stp>BONDAVG51</stp>
        <stp>20년이하(당일)</stp>
        <stp>45520</stp>
        <stp/>
        <tr r="AO59" s="2"/>
        <tr r="BF59" s="2"/>
      </tp>
      <tp>
        <v>0</v>
        <stp/>
        <stp>P</stp>
        <stp>0</stp>
        <stp>IR</stp>
        <stp>BONDAVG51</stp>
        <stp>30년이하(당일)</stp>
        <stp>45520</stp>
        <stp/>
        <tr r="BG59" s="2"/>
      </tp>
      <tp>
        <v>2.9820000000000002</v>
        <stp/>
        <stp>P</stp>
        <stp>0</stp>
        <stp>IR</stp>
        <stp>BONDAVG01</stp>
        <stp>15년이하(당일)</stp>
        <stp>45520</stp>
        <stp/>
        <tr r="AN11" s="2"/>
        <tr r="BE11" s="2"/>
      </tp>
      <tp>
        <v>4.6189999999999998</v>
        <stp/>
        <stp>P</stp>
        <stp>0</stp>
        <stp>IR</stp>
        <stp>BONDAVG51</stp>
        <stp>10년이하(당일)</stp>
        <stp>45520</stp>
        <stp/>
        <tr r="AM59" s="2"/>
        <tr r="BD59" s="2"/>
      </tp>
      <tp>
        <v>0</v>
        <stp/>
        <stp>P</stp>
        <stp>0</stp>
        <stp>IR</stp>
        <stp>BONDAVG53</stp>
        <stp>50년이하(당일)</stp>
        <stp>45520</stp>
        <stp/>
        <tr r="BH60" s="2"/>
      </tp>
      <tp>
        <v>6.2389999999999999</v>
        <stp/>
        <stp>P</stp>
        <stp>0</stp>
        <stp>IR</stp>
        <stp>BONDAVG53</stp>
        <stp>20년이하(당일)</stp>
        <stp>45520</stp>
        <stp/>
        <tr r="AO60" s="2"/>
        <tr r="BF60" s="2"/>
      </tp>
      <tp>
        <v>0</v>
        <stp/>
        <stp>P</stp>
        <stp>0</stp>
        <stp>IR</stp>
        <stp>BONDAVG53</stp>
        <stp>30년이하(당일)</stp>
        <stp>45520</stp>
        <stp/>
        <tr r="BG60" s="2"/>
      </tp>
      <tp>
        <v>3.12</v>
        <stp/>
        <stp>P</stp>
        <stp>0</stp>
        <stp>IR</stp>
        <stp>BONDAVG03</stp>
        <stp>15년이하(당일)</stp>
        <stp>45520</stp>
        <stp/>
        <tr r="AN13" s="2"/>
        <tr r="BE13" s="2"/>
      </tp>
      <tp>
        <v>5.6180000000000003</v>
        <stp/>
        <stp>P</stp>
        <stp>0</stp>
        <stp>IR</stp>
        <stp>BONDAVG53</stp>
        <stp>10년이하(당일)</stp>
        <stp>45520</stp>
        <stp/>
        <tr r="AM60" s="2"/>
        <tr r="BD60" s="2"/>
      </tp>
      <tp>
        <v>0</v>
        <stp/>
        <stp>P</stp>
        <stp>0</stp>
        <stp>IR</stp>
        <stp>BONDAVG02</stp>
        <stp>15년이하(당일)</stp>
        <stp>45520</stp>
        <stp/>
        <tr r="BE12" s="2"/>
      </tp>
      <tp>
        <v>0</v>
        <stp/>
        <stp>P</stp>
        <stp>0</stp>
        <stp>IR</stp>
        <stp>BONDAVG59</stp>
        <stp>50년이하(당일)</stp>
        <stp>45520</stp>
        <stp/>
        <tr r="BH65" s="2"/>
      </tp>
      <tp>
        <v>5.8680000000000003</v>
        <stp/>
        <stp>P</stp>
        <stp>0</stp>
        <stp>IR</stp>
        <stp>BONDAVG59</stp>
        <stp>20년이하(당일)</stp>
        <stp>45520</stp>
        <stp/>
        <tr r="AO65" s="2"/>
        <tr r="BF65" s="2"/>
      </tp>
      <tp>
        <v>0</v>
        <stp/>
        <stp>P</stp>
        <stp>0</stp>
        <stp>IR</stp>
        <stp>BONDAVG59</stp>
        <stp>30년이하(당일)</stp>
        <stp>45520</stp>
        <stp/>
        <tr r="BG65" s="2"/>
      </tp>
      <tp>
        <v>3.1789999999999998</v>
        <stp/>
        <stp>P</stp>
        <stp>0</stp>
        <stp>IR</stp>
        <stp>BONDAVG09</stp>
        <stp>15년이하(당일)</stp>
        <stp>45520</stp>
        <stp/>
        <tr r="AN18" s="2"/>
        <tr r="BE18" s="2"/>
      </tp>
      <tp>
        <v>5.1580000000000004</v>
        <stp/>
        <stp>P</stp>
        <stp>0</stp>
        <stp>IR</stp>
        <stp>BONDAVG59</stp>
        <stp>10년이하(당일)</stp>
        <stp>45520</stp>
        <stp/>
        <tr r="AM65" s="2"/>
        <tr r="BD65" s="2"/>
      </tp>
      <tp>
        <v>0</v>
        <stp/>
        <stp>P</stp>
        <stp>0</stp>
        <stp>IR</stp>
        <stp>BONDAVG58</stp>
        <stp>50년이하(당일)</stp>
        <stp>45520</stp>
        <stp/>
        <tr r="BH64" s="2"/>
      </tp>
      <tp>
        <v>5.4589999999999996</v>
        <stp/>
        <stp>P</stp>
        <stp>0</stp>
        <stp>IR</stp>
        <stp>BONDAVG58</stp>
        <stp>20년이하(당일)</stp>
        <stp>45520</stp>
        <stp/>
        <tr r="AO64" s="2"/>
        <tr r="BF64" s="2"/>
      </tp>
      <tp>
        <v>0</v>
        <stp/>
        <stp>P</stp>
        <stp>0</stp>
        <stp>IR</stp>
        <stp>BONDAVG58</stp>
        <stp>30년이하(당일)</stp>
        <stp>45520</stp>
        <stp/>
        <tr r="BG64" s="2"/>
      </tp>
      <tp>
        <v>4.601</v>
        <stp/>
        <stp>P</stp>
        <stp>0</stp>
        <stp>IR</stp>
        <stp>BONDAVG58</stp>
        <stp>10년이하(당일)</stp>
        <stp>45520</stp>
        <stp/>
        <tr r="AM64" s="2"/>
        <tr r="BD64" s="2"/>
      </tp>
      <tp>
        <v>0</v>
        <stp/>
        <stp>P</stp>
        <stp>0</stp>
        <stp>IR</stp>
        <stp>BONDAVG84</stp>
        <stp>50년이하(당일)</stp>
        <stp>45520</stp>
        <stp/>
        <tr r="BH24" s="2"/>
      </tp>
      <tp>
        <v>3.6819999999999999</v>
        <stp/>
        <stp>P</stp>
        <stp>0</stp>
        <stp>IR</stp>
        <stp>BONDAVG84</stp>
        <stp>20년이하(당일)</stp>
        <stp>45520</stp>
        <stp/>
        <tr r="AO24" s="2"/>
        <tr r="BF24" s="2"/>
      </tp>
      <tp>
        <v>0</v>
        <stp/>
        <stp>P</stp>
        <stp>0</stp>
        <stp>IR</stp>
        <stp>BONDAVG84</stp>
        <stp>30년이하(당일)</stp>
        <stp>45520</stp>
        <stp/>
        <tr r="BG24" s="2"/>
      </tp>
      <tp>
        <v>3.5049999999999999</v>
        <stp/>
        <stp>P</stp>
        <stp>0</stp>
        <stp>IR</stp>
        <stp>BONDAVG84</stp>
        <stp>10년이하(당일)</stp>
        <stp>45520</stp>
        <stp/>
        <tr r="AM24" s="2"/>
        <tr r="BD24" s="2"/>
      </tp>
      <tp>
        <v>0</v>
        <stp/>
        <stp>P</stp>
        <stp>0</stp>
        <stp>IR</stp>
        <stp>BONDAVG81</stp>
        <stp>50년이하(당일)</stp>
        <stp>45520</stp>
        <stp/>
        <tr r="BH36" s="2"/>
      </tp>
      <tp>
        <v>4.9279999999999999</v>
        <stp/>
        <stp>P</stp>
        <stp>0</stp>
        <stp>IR</stp>
        <stp>BONDAVG81</stp>
        <stp>20년이하(당일)</stp>
        <stp>45520</stp>
        <stp/>
        <tr r="AO36" s="2"/>
        <tr r="BF36" s="2"/>
      </tp>
      <tp>
        <v>0</v>
        <stp/>
        <stp>P</stp>
        <stp>0</stp>
        <stp>IR</stp>
        <stp>BONDAVG81</stp>
        <stp>30년이하(당일)</stp>
        <stp>45520</stp>
        <stp/>
        <tr r="BG36" s="2"/>
      </tp>
      <tp>
        <v>4.3220000000000001</v>
        <stp/>
        <stp>P</stp>
        <stp>0</stp>
        <stp>IR</stp>
        <stp>BONDAVG81</stp>
        <stp>10년이하(당일)</stp>
        <stp>45520</stp>
        <stp/>
        <tr r="AM36" s="2"/>
        <tr r="BD36" s="2"/>
      </tp>
      <tp>
        <v>0</v>
        <stp/>
        <stp>P</stp>
        <stp>0</stp>
        <stp>IR</stp>
        <stp>BONDAVG82</stp>
        <stp>50년이하(당일)</stp>
        <stp>45520</stp>
        <stp/>
        <tr r="BH45" s="2"/>
      </tp>
      <tp>
        <v>4.9279999999999999</v>
        <stp/>
        <stp>P</stp>
        <stp>0</stp>
        <stp>IR</stp>
        <stp>BONDAVG82</stp>
        <stp>20년이하(당일)</stp>
        <stp>45520</stp>
        <stp/>
        <tr r="AO45" s="2"/>
        <tr r="BF45" s="2"/>
      </tp>
      <tp>
        <v>0</v>
        <stp/>
        <stp>P</stp>
        <stp>0</stp>
        <stp>IR</stp>
        <stp>BONDAVG82</stp>
        <stp>30년이하(당일)</stp>
        <stp>45520</stp>
        <stp/>
        <tr r="BG45" s="2"/>
      </tp>
      <tp>
        <v>4.3220000000000001</v>
        <stp/>
        <stp>P</stp>
        <stp>0</stp>
        <stp>IR</stp>
        <stp>BONDAVG82</stp>
        <stp>10년이하(당일)</stp>
        <stp>45520</stp>
        <stp/>
        <tr r="AM45" s="2"/>
        <tr r="BD45" s="2"/>
      </tp>
      <tp>
        <v>3.621</v>
        <stp/>
        <stp>P</stp>
        <stp>0</stp>
        <stp>IR</stp>
        <stp>BONDAVG84</stp>
        <stp>15년이하(당일)</stp>
        <stp>45520</stp>
        <stp/>
        <tr r="AN24" s="2"/>
        <tr r="BE24" s="2"/>
      </tp>
      <tp>
        <v>4.7279999999999998</v>
        <stp/>
        <stp>P</stp>
        <stp>0</stp>
        <stp>IR</stp>
        <stp>BONDAVG81</stp>
        <stp>15년이하(당일)</stp>
        <stp>45520</stp>
        <stp/>
        <tr r="AN36" s="2"/>
        <tr r="BE36" s="2"/>
      </tp>
      <tp>
        <v>4.7279999999999998</v>
        <stp/>
        <stp>P</stp>
        <stp>0</stp>
        <stp>IR</stp>
        <stp>BONDAVG82</stp>
        <stp>15년이하(당일)</stp>
        <stp>45520</stp>
        <stp/>
        <tr r="AN45" s="2"/>
        <tr r="BE45" s="2"/>
      </tp>
      <tp>
        <v>4.0279999999999996</v>
        <stp/>
        <stp>P</stp>
        <stp>0</stp>
        <stp>IR</stp>
        <stp>BONDAVG74</stp>
        <stp>9월이하(당일)</stp>
        <stp>45520</stp>
        <stp/>
        <tr r="AD76" s="2"/>
        <tr r="AU76" s="2"/>
      </tp>
      <tp>
        <v>4.335</v>
        <stp/>
        <stp>P</stp>
        <stp>0</stp>
        <stp>IR</stp>
        <stp>BONDAVG75</stp>
        <stp>9월이하(당일)</stp>
        <stp>45520</stp>
        <stp/>
        <tr r="AD77" s="2"/>
        <tr r="AU77" s="2"/>
      </tp>
      <tp>
        <v>5.6369999999999996</v>
        <stp/>
        <stp>P</stp>
        <stp>0</stp>
        <stp>IR</stp>
        <stp>BONDAVG76</stp>
        <stp>9월이하(당일)</stp>
        <stp>45520</stp>
        <stp/>
        <tr r="AD78" s="2"/>
        <tr r="AU78" s="2"/>
      </tp>
      <tp>
        <v>6.2430000000000003</v>
        <stp/>
        <stp>P</stp>
        <stp>0</stp>
        <stp>IR</stp>
        <stp>BONDAVG77</stp>
        <stp>9월이하(당일)</stp>
        <stp>45520</stp>
        <stp/>
        <tr r="AD79" s="2"/>
        <tr r="AU79" s="2"/>
      </tp>
      <tp>
        <v>3.504</v>
        <stp/>
        <stp>P</stp>
        <stp>0</stp>
        <stp>IR</stp>
        <stp>BONDAVG70</stp>
        <stp>9월이하(당일)</stp>
        <stp>45520</stp>
        <stp/>
        <tr r="AD72" s="2"/>
        <tr r="AU72" s="2"/>
      </tp>
      <tp>
        <v>3.5379999999999998</v>
        <stp/>
        <stp>P</stp>
        <stp>0</stp>
        <stp>IR</stp>
        <stp>BONDAVG71</stp>
        <stp>9월이하(당일)</stp>
        <stp>45520</stp>
        <stp/>
        <tr r="AD73" s="2"/>
        <tr r="AU73" s="2"/>
      </tp>
      <tp>
        <v>3.5790000000000002</v>
        <stp/>
        <stp>P</stp>
        <stp>0</stp>
        <stp>IR</stp>
        <stp>BONDAVG72</stp>
        <stp>9월이하(당일)</stp>
        <stp>45520</stp>
        <stp/>
        <tr r="AD74" s="2"/>
        <tr r="AU74" s="2"/>
      </tp>
      <tp>
        <v>3.8319999999999999</v>
        <stp/>
        <stp>P</stp>
        <stp>0</stp>
        <stp>IR</stp>
        <stp>BONDAVG73</stp>
        <stp>9월이하(당일)</stp>
        <stp>45520</stp>
        <stp/>
        <tr r="AD75" s="2"/>
        <tr r="AU75" s="2"/>
      </tp>
      <tp>
        <v>7.4560000000000004</v>
        <stp/>
        <stp>P</stp>
        <stp>0</stp>
        <stp>IR</stp>
        <stp>BONDAVG78</stp>
        <stp>9월이하(당일)</stp>
        <stp>45520</stp>
        <stp/>
        <tr r="AD80" s="2"/>
        <tr r="AU80" s="2"/>
      </tp>
      <tp>
        <v>3.3069999999999999</v>
        <stp/>
        <stp>P</stp>
        <stp>0</stp>
        <stp>IR</stp>
        <stp>BONDAVG79</stp>
        <stp>9월이하(당일)</stp>
        <stp>45520</stp>
        <stp/>
        <tr r="AD81" s="2"/>
        <tr r="AU81" s="2"/>
      </tp>
      <tp>
        <v>6.7249999999999996</v>
        <stp/>
        <stp>P</stp>
        <stp>0</stp>
        <stp>IR</stp>
        <stp>BONDAVG64</stp>
        <stp>9월이하(당일)</stp>
        <stp>45520</stp>
        <stp/>
        <tr r="AD70" s="2"/>
        <tr r="AU70" s="2"/>
      </tp>
      <tp>
        <v>3.7349999999999999</v>
        <stp/>
        <stp>P</stp>
        <stp>0</stp>
        <stp>IR</stp>
        <stp>BONDAVG60</stp>
        <stp>9월이하(당일)</stp>
        <stp>45520</stp>
        <stp/>
        <tr r="AD66" s="2"/>
        <tr r="AU66" s="2"/>
      </tp>
      <tp>
        <v>3.9969999999999999</v>
        <stp/>
        <stp>P</stp>
        <stp>0</stp>
        <stp>IR</stp>
        <stp>BONDAVG61</stp>
        <stp>9월이하(당일)</stp>
        <stp>45520</stp>
        <stp/>
        <tr r="AD67" s="2"/>
        <tr r="AU67" s="2"/>
      </tp>
      <tp>
        <v>5.2039999999999997</v>
        <stp/>
        <stp>P</stp>
        <stp>0</stp>
        <stp>IR</stp>
        <stp>BONDAVG62</stp>
        <stp>9월이하(당일)</stp>
        <stp>45520</stp>
        <stp/>
        <tr r="AD68" s="2"/>
        <tr r="AU68" s="2"/>
      </tp>
      <tp>
        <v>5.79</v>
        <stp/>
        <stp>P</stp>
        <stp>0</stp>
        <stp>IR</stp>
        <stp>BONDAVG63</stp>
        <stp>9월이하(당일)</stp>
        <stp>45520</stp>
        <stp/>
        <tr r="AD69" s="2"/>
        <tr r="AU69" s="2"/>
      </tp>
      <tp>
        <v>3.4569999999999999</v>
        <stp/>
        <stp>P</stp>
        <stp>0</stp>
        <stp>IR</stp>
        <stp>BONDAVG69</stp>
        <stp>9월이하(당일)</stp>
        <stp>45520</stp>
        <stp/>
        <tr r="AD71" s="2"/>
        <tr r="AU71" s="2"/>
      </tp>
      <tp>
        <v>3.3340000000000001</v>
        <stp/>
        <stp>P</stp>
        <stp>0</stp>
        <stp>IR</stp>
        <stp>BONDAVG55</stp>
        <stp>9월이하(당일)</stp>
        <stp>45520</stp>
        <stp/>
        <tr r="AD61" s="2"/>
        <tr r="AU61" s="2"/>
      </tp>
      <tp>
        <v>3.3490000000000002</v>
        <stp/>
        <stp>P</stp>
        <stp>0</stp>
        <stp>IR</stp>
        <stp>BONDAVG56</stp>
        <stp>9월이하(당일)</stp>
        <stp>45520</stp>
        <stp/>
        <tr r="AD62" s="2"/>
        <tr r="AU62" s="2"/>
      </tp>
      <tp>
        <v>3.367</v>
        <stp/>
        <stp>P</stp>
        <stp>0</stp>
        <stp>IR</stp>
        <stp>BONDAVG57</stp>
        <stp>9월이하(당일)</stp>
        <stp>45520</stp>
        <stp/>
        <tr r="AD63" s="2"/>
        <tr r="AU63" s="2"/>
      </tp>
      <tp>
        <v>3.4209999999999998</v>
        <stp/>
        <stp>P</stp>
        <stp>0</stp>
        <stp>IR</stp>
        <stp>BONDAVG51</stp>
        <stp>9월이하(당일)</stp>
        <stp>45520</stp>
        <stp/>
        <tr r="AD59" s="2"/>
        <tr r="AU59" s="2"/>
      </tp>
      <tp>
        <v>3.7069999999999999</v>
        <stp/>
        <stp>P</stp>
        <stp>0</stp>
        <stp>IR</stp>
        <stp>BONDAVG53</stp>
        <stp>9월이하(당일)</stp>
        <stp>45520</stp>
        <stp/>
        <tr r="AD60" s="2"/>
        <tr r="AU60" s="2"/>
      </tp>
      <tp>
        <v>3.3929999999999998</v>
        <stp/>
        <stp>P</stp>
        <stp>0</stp>
        <stp>IR</stp>
        <stp>BONDAVG58</stp>
        <stp>9월이하(당일)</stp>
        <stp>45520</stp>
        <stp/>
        <tr r="AD64" s="2"/>
        <tr r="AU64" s="2"/>
      </tp>
      <tp>
        <v>3.569</v>
        <stp/>
        <stp>P</stp>
        <stp>0</stp>
        <stp>IR</stp>
        <stp>BONDAVG59</stp>
        <stp>9월이하(당일)</stp>
        <stp>45520</stp>
        <stp/>
        <tr r="AD65" s="2"/>
        <tr r="AU65" s="2"/>
      </tp>
      <tp>
        <v>3.343</v>
        <stp/>
        <stp>P</stp>
        <stp>0</stp>
        <stp>IR</stp>
        <stp>BONDAVG44</stp>
        <stp>9월이하(당일)</stp>
        <stp>45520</stp>
        <stp/>
        <tr r="AD54" s="2"/>
        <tr r="AU54" s="2"/>
      </tp>
      <tp>
        <v>3.379</v>
        <stp/>
        <stp>P</stp>
        <stp>0</stp>
        <stp>IR</stp>
        <stp>BONDAVG45</stp>
        <stp>9월이하(당일)</stp>
        <stp>45520</stp>
        <stp/>
        <tr r="AD55" s="2"/>
        <tr r="AU55" s="2"/>
      </tp>
      <tp>
        <v>3.524</v>
        <stp/>
        <stp>P</stp>
        <stp>0</stp>
        <stp>IR</stp>
        <stp>BONDAVG46</stp>
        <stp>9월이하(당일)</stp>
        <stp>45520</stp>
        <stp/>
        <tr r="AD56" s="2"/>
        <tr r="AU56" s="2"/>
      </tp>
      <tp>
        <v>3.9350000000000001</v>
        <stp/>
        <stp>P</stp>
        <stp>0</stp>
        <stp>IR</stp>
        <stp>BONDAVG47</stp>
        <stp>9월이하(당일)</stp>
        <stp>45520</stp>
        <stp/>
        <tr r="AD57" s="2"/>
        <tr r="AU57" s="2"/>
      </tp>
      <tp>
        <v>5.6470000000000002</v>
        <stp/>
        <stp>P</stp>
        <stp>0</stp>
        <stp>IR</stp>
        <stp>BONDAVG40</stp>
        <stp>9월이하(당일)</stp>
        <stp>45520</stp>
        <stp/>
        <tr r="AD50" s="2"/>
        <tr r="AU50" s="2"/>
      </tp>
      <tp>
        <v>6.7510000000000003</v>
        <stp/>
        <stp>P</stp>
        <stp>0</stp>
        <stp>IR</stp>
        <stp>BONDAVG41</stp>
        <stp>9월이하(당일)</stp>
        <stp>45520</stp>
        <stp/>
        <tr r="AD51" s="2"/>
        <tr r="AU51" s="2"/>
      </tp>
      <tp>
        <v>7.4829999999999997</v>
        <stp/>
        <stp>P</stp>
        <stp>0</stp>
        <stp>IR</stp>
        <stp>BONDAVG42</stp>
        <stp>9월이하(당일)</stp>
        <stp>45520</stp>
        <stp/>
        <tr r="AD52" s="2"/>
        <tr r="AU52" s="2"/>
      </tp>
      <tp>
        <v>8.8179999999999996</v>
        <stp/>
        <stp>P</stp>
        <stp>0</stp>
        <stp>IR</stp>
        <stp>BONDAVG43</stp>
        <stp>9월이하(당일)</stp>
        <stp>45520</stp>
        <stp/>
        <tr r="AD53" s="2"/>
        <tr r="AU53" s="2"/>
      </tp>
      <tp>
        <v>3.3769999999999998</v>
        <stp/>
        <stp>P</stp>
        <stp>0</stp>
        <stp>IR</stp>
        <stp>BONDAVG49</stp>
        <stp>9월이하(당일)</stp>
        <stp>45520</stp>
        <stp/>
        <tr r="AD58" s="2"/>
        <tr r="AU58" s="2"/>
      </tp>
      <tp>
        <v>8.9529999999999994</v>
        <stp/>
        <stp>P</stp>
        <stp>0</stp>
        <stp>IR</stp>
        <stp>BONDAVG34</stp>
        <stp>9월이하(당일)</stp>
        <stp>45520</stp>
        <stp/>
        <tr r="AD44" s="2"/>
        <tr r="AU44" s="2"/>
      </tp>
      <tp>
        <v>3.4129999999999998</v>
        <stp/>
        <stp>P</stp>
        <stp>0</stp>
        <stp>IR</stp>
        <stp>BONDAVG36</stp>
        <stp>9월이하(당일)</stp>
        <stp>45520</stp>
        <stp/>
        <tr r="AD46" s="2"/>
        <tr r="AU46" s="2"/>
      </tp>
      <tp>
        <v>3.468</v>
        <stp/>
        <stp>P</stp>
        <stp>0</stp>
        <stp>IR</stp>
        <stp>BONDAVG37</stp>
        <stp>9월이하(당일)</stp>
        <stp>45520</stp>
        <stp/>
        <tr r="AD47" s="2"/>
        <tr r="AU47" s="2"/>
      </tp>
      <tp>
        <v>5.0309999999999997</v>
        <stp/>
        <stp>P</stp>
        <stp>0</stp>
        <stp>IR</stp>
        <stp>BONDAVG30</stp>
        <stp>9월이하(당일)</stp>
        <stp>45520</stp>
        <stp/>
        <tr r="AD40" s="2"/>
        <tr r="AU40" s="2"/>
      </tp>
      <tp>
        <v>5.6470000000000002</v>
        <stp/>
        <stp>P</stp>
        <stp>0</stp>
        <stp>IR</stp>
        <stp>BONDAVG31</stp>
        <stp>9월이하(당일)</stp>
        <stp>45520</stp>
        <stp/>
        <tr r="AD41" s="2"/>
        <tr r="AU41" s="2"/>
      </tp>
      <tp>
        <v>6.8339999999999996</v>
        <stp/>
        <stp>P</stp>
        <stp>0</stp>
        <stp>IR</stp>
        <stp>BONDAVG32</stp>
        <stp>9월이하(당일)</stp>
        <stp>45520</stp>
        <stp/>
        <tr r="AD42" s="2"/>
        <tr r="AU42" s="2"/>
      </tp>
      <tp>
        <v>7.5739999999999998</v>
        <stp/>
        <stp>P</stp>
        <stp>0</stp>
        <stp>IR</stp>
        <stp>BONDAVG33</stp>
        <stp>9월이하(당일)</stp>
        <stp>45520</stp>
        <stp/>
        <tr r="AD43" s="2"/>
        <tr r="AU43" s="2"/>
      </tp>
      <tp>
        <v>4.3639999999999999</v>
        <stp/>
        <stp>P</stp>
        <stp>0</stp>
        <stp>IR</stp>
        <stp>BONDAVG38</stp>
        <stp>9월이하(당일)</stp>
        <stp>45520</stp>
        <stp/>
        <tr r="AD48" s="2"/>
        <tr r="AU48" s="2"/>
      </tp>
      <tp>
        <v>5.0309999999999997</v>
        <stp/>
        <stp>P</stp>
        <stp>0</stp>
        <stp>IR</stp>
        <stp>BONDAVG39</stp>
        <stp>9월이하(당일)</stp>
        <stp>45520</stp>
        <stp/>
        <tr r="AD49" s="2"/>
        <tr r="AU49" s="2"/>
      </tp>
      <tp>
        <v>3.903</v>
        <stp/>
        <stp>P</stp>
        <stp>0</stp>
        <stp>IR</stp>
        <stp>BONDAVG24</stp>
        <stp>9월이하(당일)</stp>
        <stp>45520</stp>
        <stp/>
        <tr r="AD33" s="2"/>
        <tr r="AU33" s="2"/>
      </tp>
      <tp>
        <v>3.9910000000000001</v>
        <stp/>
        <stp>P</stp>
        <stp>0</stp>
        <stp>IR</stp>
        <stp>BONDAVG25</stp>
        <stp>9월이하(당일)</stp>
        <stp>45520</stp>
        <stp/>
        <tr r="AD34" s="2"/>
        <tr r="AU34" s="2"/>
      </tp>
      <tp>
        <v>4.0789999999999997</v>
        <stp/>
        <stp>P</stp>
        <stp>0</stp>
        <stp>IR</stp>
        <stp>BONDAVG26</stp>
        <stp>9월이하(당일)</stp>
        <stp>45520</stp>
        <stp/>
        <tr r="AD35" s="2"/>
        <tr r="AU35" s="2"/>
      </tp>
      <tp>
        <v>3.4129999999999998</v>
        <stp/>
        <stp>P</stp>
        <stp>0</stp>
        <stp>IR</stp>
        <stp>BONDAVG27</stp>
        <stp>9월이하(당일)</stp>
        <stp>45520</stp>
        <stp/>
        <tr r="AD37" s="2"/>
        <tr r="AU37" s="2"/>
      </tp>
      <tp>
        <v>3.35</v>
        <stp/>
        <stp>P</stp>
        <stp>0</stp>
        <stp>IR</stp>
        <stp>BONDAVG20</stp>
        <stp>9월이하(당일)</stp>
        <stp>45520</stp>
        <stp/>
        <tr r="AD29" s="2"/>
        <tr r="AU29" s="2"/>
      </tp>
      <tp>
        <v>3.3919999999999999</v>
        <stp/>
        <stp>P</stp>
        <stp>0</stp>
        <stp>IR</stp>
        <stp>BONDAVG21</stp>
        <stp>9월이하(당일)</stp>
        <stp>45520</stp>
        <stp/>
        <tr r="AD30" s="2"/>
        <tr r="AU30" s="2"/>
      </tp>
      <tp>
        <v>3.5670000000000002</v>
        <stp/>
        <stp>P</stp>
        <stp>0</stp>
        <stp>IR</stp>
        <stp>BONDAVG22</stp>
        <stp>9월이하(당일)</stp>
        <stp>45520</stp>
        <stp/>
        <tr r="AD31" s="2"/>
        <tr r="AU31" s="2"/>
      </tp>
      <tp>
        <v>3.8119999999999998</v>
        <stp/>
        <stp>P</stp>
        <stp>0</stp>
        <stp>IR</stp>
        <stp>BONDAVG23</stp>
        <stp>9월이하(당일)</stp>
        <stp>45520</stp>
        <stp/>
        <tr r="AD32" s="2"/>
        <tr r="AU32" s="2"/>
      </tp>
      <tp>
        <v>3.468</v>
        <stp/>
        <stp>P</stp>
        <stp>0</stp>
        <stp>IR</stp>
        <stp>BONDAVG28</stp>
        <stp>9월이하(당일)</stp>
        <stp>45520</stp>
        <stp/>
        <tr r="AD38" s="2"/>
        <tr r="AU38" s="2"/>
      </tp>
      <tp>
        <v>4.3639999999999999</v>
        <stp/>
        <stp>P</stp>
        <stp>0</stp>
        <stp>IR</stp>
        <stp>BONDAVG29</stp>
        <stp>9월이하(당일)</stp>
        <stp>45520</stp>
        <stp/>
        <tr r="AD39" s="2"/>
        <tr r="AU39" s="2"/>
      </tp>
      <tp>
        <v>3.097</v>
        <stp/>
        <stp>P</stp>
        <stp>0</stp>
        <stp>IR</stp>
        <stp>BONDAVG14</stp>
        <stp>9월이하(당일)</stp>
        <stp>45520</stp>
        <stp/>
        <tr r="AD22" s="2"/>
        <tr r="AU22" s="2"/>
      </tp>
      <tp>
        <v>3.1110000000000002</v>
        <stp/>
        <stp>P</stp>
        <stp>0</stp>
        <stp>IR</stp>
        <stp>BONDAVG15</stp>
        <stp>9월이하(당일)</stp>
        <stp>45520</stp>
        <stp/>
        <tr r="AD23" s="2"/>
        <tr r="AU23" s="2"/>
      </tp>
      <tp>
        <v>3.323</v>
        <stp/>
        <stp>P</stp>
        <stp>0</stp>
        <stp>IR</stp>
        <stp>BONDAVG16</stp>
        <stp>9월이하(당일)</stp>
        <stp>45520</stp>
        <stp/>
        <tr r="AD25" s="2"/>
        <tr r="AU25" s="2"/>
      </tp>
      <tp>
        <v>3.3159999999999998</v>
        <stp/>
        <stp>P</stp>
        <stp>0</stp>
        <stp>IR</stp>
        <stp>BONDAVG17</stp>
        <stp>9월이하(당일)</stp>
        <stp>45520</stp>
        <stp/>
        <tr r="AD26" s="2"/>
        <tr r="AU26" s="2"/>
      </tp>
      <tp>
        <v>3.3559999999999999</v>
        <stp/>
        <stp>P</stp>
        <stp>0</stp>
        <stp>IR</stp>
        <stp>BONDAVG10</stp>
        <stp>9월이하(당일)</stp>
        <stp>45520</stp>
        <stp/>
        <tr r="AD19" s="2"/>
        <tr r="AU19" s="2"/>
      </tp>
      <tp>
        <v>3.4409999999999998</v>
        <stp/>
        <stp>P</stp>
        <stp>0</stp>
        <stp>IR</stp>
        <stp>BONDAVG11</stp>
        <stp>9월이하(당일)</stp>
        <stp>45520</stp>
        <stp/>
        <tr r="AD20" s="2"/>
        <tr r="AU20" s="2"/>
      </tp>
      <tp>
        <v>3.5739999999999998</v>
        <stp/>
        <stp>P</stp>
        <stp>0</stp>
        <stp>IR</stp>
        <stp>BONDAVG12</stp>
        <stp>9월이하(당일)</stp>
        <stp>45520</stp>
        <stp/>
        <tr r="AD21" s="2"/>
        <tr r="AU21" s="2"/>
      </tp>
      <tp>
        <v>3.2330000000000001</v>
        <stp/>
        <stp>P</stp>
        <stp>0</stp>
        <stp>IR</stp>
        <stp>BONDAVG13</stp>
        <stp>9월이하(당일)</stp>
        <stp>45520</stp>
        <stp/>
        <tr r="AD17" s="2"/>
        <tr r="AU17" s="2"/>
      </tp>
      <tp>
        <v>3.323</v>
        <stp/>
        <stp>P</stp>
        <stp>0</stp>
        <stp>IR</stp>
        <stp>BONDAVG18</stp>
        <stp>9월이하(당일)</stp>
        <stp>45520</stp>
        <stp/>
        <tr r="AD27" s="2"/>
        <tr r="AU27" s="2"/>
      </tp>
      <tp>
        <v>3.3159999999999998</v>
        <stp/>
        <stp>P</stp>
        <stp>0</stp>
        <stp>IR</stp>
        <stp>BONDAVG19</stp>
        <stp>9월이하(당일)</stp>
        <stp>45520</stp>
        <stp/>
        <tr r="AD28" s="2"/>
        <tr r="AU28" s="2"/>
      </tp>
      <tp>
        <v>2.6949999999999998</v>
        <stp/>
        <stp>P</stp>
        <stp>0</stp>
        <stp>IR</stp>
        <stp>BONDAVG04</stp>
        <stp>9월이하(당일)</stp>
        <stp>45520</stp>
        <stp/>
        <tr r="AD14" s="2"/>
        <tr r="AU14" s="2"/>
      </tp>
      <tp>
        <v>3.2559999999999998</v>
        <stp/>
        <stp>P</stp>
        <stp>0</stp>
        <stp>IR</stp>
        <stp>BONDAVG05</stp>
        <stp>9월이하(당일)</stp>
        <stp>45520</stp>
        <stp/>
        <tr r="AD15" s="2"/>
        <tr r="AU15" s="2"/>
      </tp>
      <tp>
        <v>3.2559999999999998</v>
        <stp/>
        <stp>P</stp>
        <stp>0</stp>
        <stp>IR</stp>
        <stp>BONDAVG06</stp>
        <stp>9월이하(당일)</stp>
        <stp>45520</stp>
        <stp/>
        <tr r="AD16" s="2"/>
        <tr r="AU16" s="2"/>
      </tp>
      <tp>
        <v>3.1120000000000001</v>
        <stp/>
        <stp>P</stp>
        <stp>0</stp>
        <stp>IR</stp>
        <stp>BONDAVG01</stp>
        <stp>9월이하(당일)</stp>
        <stp>45520</stp>
        <stp/>
        <tr r="AD11" s="2"/>
        <tr r="AU11" s="2"/>
      </tp>
      <tp>
        <v>3.1720000000000002</v>
        <stp/>
        <stp>P</stp>
        <stp>0</stp>
        <stp>IR</stp>
        <stp>BONDAVG02</stp>
        <stp>9월이하(당일)</stp>
        <stp>45520</stp>
        <stp/>
        <tr r="AD12" s="2"/>
        <tr r="AU12" s="2"/>
      </tp>
      <tp>
        <v>2.976</v>
        <stp/>
        <stp>P</stp>
        <stp>0</stp>
        <stp>IR</stp>
        <stp>BONDAVG03</stp>
        <stp>9월이하(당일)</stp>
        <stp>45520</stp>
        <stp/>
        <tr r="AD13" s="2"/>
        <tr r="AU13" s="2"/>
      </tp>
      <tp>
        <v>3.298</v>
        <stp/>
        <stp>P</stp>
        <stp>0</stp>
        <stp>IR</stp>
        <stp>BONDAVG09</stp>
        <stp>9월이하(당일)</stp>
        <stp>45520</stp>
        <stp/>
        <tr r="AD18" s="2"/>
        <tr r="AU18" s="2"/>
      </tp>
      <tp>
        <v>3.335</v>
        <stp/>
        <stp>P</stp>
        <stp>0</stp>
        <stp>IR</stp>
        <stp>BONDAVG84</stp>
        <stp>9월이하(당일)</stp>
        <stp>45520</stp>
        <stp/>
        <tr r="AD24" s="2"/>
        <tr r="AU24" s="2"/>
      </tp>
      <tp>
        <v>3.3860000000000001</v>
        <stp/>
        <stp>P</stp>
        <stp>0</stp>
        <stp>IR</stp>
        <stp>BONDAVG81</stp>
        <stp>9월이하(당일)</stp>
        <stp>45520</stp>
        <stp/>
        <tr r="AD36" s="2"/>
        <tr r="AU36" s="2"/>
      </tp>
      <tp>
        <v>3.3860000000000001</v>
        <stp/>
        <stp>P</stp>
        <stp>0</stp>
        <stp>IR</stp>
        <stp>BONDAVG82</stp>
        <stp>9월이하(당일)</stp>
        <stp>45520</stp>
        <stp/>
        <tr r="AD45" s="2"/>
        <tr r="AU45" s="2"/>
      </tp>
      <tp>
        <v>3.8519999999999999</v>
        <stp/>
        <stp>P</stp>
        <stp>0</stp>
        <stp>IR</stp>
        <stp>BONDAVG74</stp>
        <stp>3월이하(당일)</stp>
        <stp>45520</stp>
        <stp/>
        <tr r="AB76" s="2"/>
        <tr r="AS76" s="2"/>
      </tp>
      <tp>
        <v>4.1150000000000002</v>
        <stp/>
        <stp>P</stp>
        <stp>0</stp>
        <stp>IR</stp>
        <stp>BONDAVG75</stp>
        <stp>3월이하(당일)</stp>
        <stp>45520</stp>
        <stp/>
        <tr r="AB77" s="2"/>
        <tr r="AS77" s="2"/>
      </tp>
      <tp>
        <v>4.7290000000000001</v>
        <stp/>
        <stp>P</stp>
        <stp>0</stp>
        <stp>IR</stp>
        <stp>BONDAVG76</stp>
        <stp>3월이하(당일)</stp>
        <stp>45520</stp>
        <stp/>
        <tr r="AB78" s="2"/>
        <tr r="AS78" s="2"/>
      </tp>
      <tp>
        <v>5.1230000000000002</v>
        <stp/>
        <stp>P</stp>
        <stp>0</stp>
        <stp>IR</stp>
        <stp>BONDAVG77</stp>
        <stp>3월이하(당일)</stp>
        <stp>45520</stp>
        <stp/>
        <tr r="AB79" s="2"/>
        <tr r="AS79" s="2"/>
      </tp>
      <tp>
        <v>3.496</v>
        <stp/>
        <stp>P</stp>
        <stp>0</stp>
        <stp>IR</stp>
        <stp>BONDAVG70</stp>
        <stp>3월이하(당일)</stp>
        <stp>45520</stp>
        <stp/>
        <tr r="AB72" s="2"/>
        <tr r="AS72" s="2"/>
      </tp>
      <tp>
        <v>3.5219999999999998</v>
        <stp/>
        <stp>P</stp>
        <stp>0</stp>
        <stp>IR</stp>
        <stp>BONDAVG71</stp>
        <stp>3월이하(당일)</stp>
        <stp>45520</stp>
        <stp/>
        <tr r="AB73" s="2"/>
        <tr r="AS73" s="2"/>
      </tp>
      <tp>
        <v>3.5659999999999998</v>
        <stp/>
        <stp>P</stp>
        <stp>0</stp>
        <stp>IR</stp>
        <stp>BONDAVG72</stp>
        <stp>3월이하(당일)</stp>
        <stp>45520</stp>
        <stp/>
        <tr r="AB74" s="2"/>
        <tr r="AS74" s="2"/>
      </tp>
      <tp>
        <v>3.6909999999999998</v>
        <stp/>
        <stp>P</stp>
        <stp>0</stp>
        <stp>IR</stp>
        <stp>BONDAVG73</stp>
        <stp>3월이하(당일)</stp>
        <stp>45520</stp>
        <stp/>
        <tr r="AB75" s="2"/>
        <tr r="AS75" s="2"/>
      </tp>
      <tp>
        <v>6.1040000000000001</v>
        <stp/>
        <stp>P</stp>
        <stp>0</stp>
        <stp>IR</stp>
        <stp>BONDAVG78</stp>
        <stp>3월이하(당일)</stp>
        <stp>45520</stp>
        <stp/>
        <tr r="AB80" s="2"/>
        <tr r="AS80" s="2"/>
      </tp>
      <tp>
        <v>3.3769999999999998</v>
        <stp/>
        <stp>P</stp>
        <stp>0</stp>
        <stp>IR</stp>
        <stp>BONDAVG79</stp>
        <stp>3월이하(당일)</stp>
        <stp>45520</stp>
        <stp/>
        <tr r="AB81" s="2"/>
        <tr r="AS81" s="2"/>
      </tp>
      <tp>
        <v>5.51</v>
        <stp/>
        <stp>P</stp>
        <stp>0</stp>
        <stp>IR</stp>
        <stp>BONDAVG64</stp>
        <stp>3월이하(당일)</stp>
        <stp>45520</stp>
        <stp/>
        <tr r="AB70" s="2"/>
        <tr r="AS70" s="2"/>
      </tp>
      <tp>
        <v>3.6349999999999998</v>
        <stp/>
        <stp>P</stp>
        <stp>0</stp>
        <stp>IR</stp>
        <stp>BONDAVG60</stp>
        <stp>3월이하(당일)</stp>
        <stp>45520</stp>
        <stp/>
        <tr r="AB66" s="2"/>
        <tr r="AS66" s="2"/>
      </tp>
      <tp>
        <v>3.8620000000000001</v>
        <stp/>
        <stp>P</stp>
        <stp>0</stp>
        <stp>IR</stp>
        <stp>BONDAVG61</stp>
        <stp>3월이하(당일)</stp>
        <stp>45520</stp>
        <stp/>
        <tr r="AB67" s="2"/>
        <tr r="AS67" s="2"/>
      </tp>
      <tp>
        <v>4.4550000000000001</v>
        <stp/>
        <stp>P</stp>
        <stp>0</stp>
        <stp>IR</stp>
        <stp>BONDAVG62</stp>
        <stp>3월이하(당일)</stp>
        <stp>45520</stp>
        <stp/>
        <tr r="AB68" s="2"/>
        <tr r="AS68" s="2"/>
      </tp>
      <tp>
        <v>4.8310000000000004</v>
        <stp/>
        <stp>P</stp>
        <stp>0</stp>
        <stp>IR</stp>
        <stp>BONDAVG63</stp>
        <stp>3월이하(당일)</stp>
        <stp>45520</stp>
        <stp/>
        <tr r="AB69" s="2"/>
        <tr r="AS69" s="2"/>
      </tp>
      <tp>
        <v>3.4649999999999999</v>
        <stp/>
        <stp>P</stp>
        <stp>0</stp>
        <stp>IR</stp>
        <stp>BONDAVG69</stp>
        <stp>3월이하(당일)</stp>
        <stp>45520</stp>
        <stp/>
        <tr r="AB71" s="2"/>
        <tr r="AS71" s="2"/>
      </tp>
      <tp>
        <v>3.3969999999999998</v>
        <stp/>
        <stp>P</stp>
        <stp>0</stp>
        <stp>IR</stp>
        <stp>BONDAVG55</stp>
        <stp>3월이하(당일)</stp>
        <stp>45520</stp>
        <stp/>
        <tr r="AB61" s="2"/>
        <tr r="AS61" s="2"/>
      </tp>
      <tp>
        <v>3.415</v>
        <stp/>
        <stp>P</stp>
        <stp>0</stp>
        <stp>IR</stp>
        <stp>BONDAVG56</stp>
        <stp>3월이하(당일)</stp>
        <stp>45520</stp>
        <stp/>
        <tr r="AB62" s="2"/>
        <tr r="AS62" s="2"/>
      </tp>
      <tp>
        <v>3.4289999999999998</v>
        <stp/>
        <stp>P</stp>
        <stp>0</stp>
        <stp>IR</stp>
        <stp>BONDAVG57</stp>
        <stp>3월이하(당일)</stp>
        <stp>45520</stp>
        <stp/>
        <tr r="AB63" s="2"/>
        <tr r="AS63" s="2"/>
      </tp>
      <tp>
        <v>3.4670000000000001</v>
        <stp/>
        <stp>P</stp>
        <stp>0</stp>
        <stp>IR</stp>
        <stp>BONDAVG51</stp>
        <stp>3월이하(당일)</stp>
        <stp>45520</stp>
        <stp/>
        <tr r="AB59" s="2"/>
        <tr r="AS59" s="2"/>
      </tp>
      <tp>
        <v>3.6309999999999998</v>
        <stp/>
        <stp>P</stp>
        <stp>0</stp>
        <stp>IR</stp>
        <stp>BONDAVG53</stp>
        <stp>3월이하(당일)</stp>
        <stp>45520</stp>
        <stp/>
        <tr r="AB60" s="2"/>
        <tr r="AS60" s="2"/>
      </tp>
      <tp>
        <v>3.452</v>
        <stp/>
        <stp>P</stp>
        <stp>0</stp>
        <stp>IR</stp>
        <stp>BONDAVG58</stp>
        <stp>3월이하(당일)</stp>
        <stp>45520</stp>
        <stp/>
        <tr r="AB64" s="2"/>
        <tr r="AS64" s="2"/>
      </tp>
      <tp>
        <v>3.4940000000000002</v>
        <stp/>
        <stp>P</stp>
        <stp>0</stp>
        <stp>IR</stp>
        <stp>BONDAVG59</stp>
        <stp>3월이하(당일)</stp>
        <stp>45520</stp>
        <stp/>
        <tr r="AB65" s="2"/>
        <tr r="AS65" s="2"/>
      </tp>
      <tp>
        <v>3.4209999999999998</v>
        <stp/>
        <stp>P</stp>
        <stp>0</stp>
        <stp>IR</stp>
        <stp>BONDAVG44</stp>
        <stp>3월이하(당일)</stp>
        <stp>45520</stp>
        <stp/>
        <tr r="AB54" s="2"/>
        <tr r="AS54" s="2"/>
      </tp>
      <tp>
        <v>3.4369999999999998</v>
        <stp/>
        <stp>P</stp>
        <stp>0</stp>
        <stp>IR</stp>
        <stp>BONDAVG45</stp>
        <stp>3월이하(당일)</stp>
        <stp>45520</stp>
        <stp/>
        <tr r="AB55" s="2"/>
        <tr r="AS55" s="2"/>
      </tp>
      <tp>
        <v>3.5339999999999998</v>
        <stp/>
        <stp>P</stp>
        <stp>0</stp>
        <stp>IR</stp>
        <stp>BONDAVG46</stp>
        <stp>3월이하(당일)</stp>
        <stp>45520</stp>
        <stp/>
        <tr r="AB56" s="2"/>
        <tr r="AS56" s="2"/>
      </tp>
      <tp>
        <v>3.6829999999999998</v>
        <stp/>
        <stp>P</stp>
        <stp>0</stp>
        <stp>IR</stp>
        <stp>BONDAVG47</stp>
        <stp>3월이하(당일)</stp>
        <stp>45520</stp>
        <stp/>
        <tr r="AB57" s="2"/>
        <tr r="AS57" s="2"/>
      </tp>
      <tp>
        <v>5.09</v>
        <stp/>
        <stp>P</stp>
        <stp>0</stp>
        <stp>IR</stp>
        <stp>BONDAVG40</stp>
        <stp>3월이하(당일)</stp>
        <stp>45520</stp>
        <stp/>
        <tr r="AB50" s="2"/>
        <tr r="AS50" s="2"/>
      </tp>
      <tp>
        <v>5.875</v>
        <stp/>
        <stp>P</stp>
        <stp>0</stp>
        <stp>IR</stp>
        <stp>BONDAVG41</stp>
        <stp>3월이하(당일)</stp>
        <stp>45520</stp>
        <stp/>
        <tr r="AB51" s="2"/>
        <tr r="AS51" s="2"/>
      </tp>
      <tp>
        <v>6.5279999999999996</v>
        <stp/>
        <stp>P</stp>
        <stp>0</stp>
        <stp>IR</stp>
        <stp>BONDAVG42</stp>
        <stp>3월이하(당일)</stp>
        <stp>45520</stp>
        <stp/>
        <tr r="AB52" s="2"/>
        <tr r="AS52" s="2"/>
      </tp>
      <tp>
        <v>7.8140000000000001</v>
        <stp/>
        <stp>P</stp>
        <stp>0</stp>
        <stp>IR</stp>
        <stp>BONDAVG43</stp>
        <stp>3월이하(당일)</stp>
        <stp>45520</stp>
        <stp/>
        <tr r="AB53" s="2"/>
        <tr r="AS53" s="2"/>
      </tp>
      <tp>
        <v>3.4329999999999998</v>
        <stp/>
        <stp>P</stp>
        <stp>0</stp>
        <stp>IR</stp>
        <stp>BONDAVG49</stp>
        <stp>3월이하(당일)</stp>
        <stp>45520</stp>
        <stp/>
        <tr r="AB58" s="2"/>
        <tr r="AS58" s="2"/>
      </tp>
      <tp>
        <v>7.9580000000000002</v>
        <stp/>
        <stp>P</stp>
        <stp>0</stp>
        <stp>IR</stp>
        <stp>BONDAVG34</stp>
        <stp>3월이하(당일)</stp>
        <stp>45520</stp>
        <stp/>
        <tr r="AB44" s="2"/>
        <tr r="AS44" s="2"/>
      </tp>
      <tp>
        <v>3.4620000000000002</v>
        <stp/>
        <stp>P</stp>
        <stp>0</stp>
        <stp>IR</stp>
        <stp>BONDAVG36</stp>
        <stp>3월이하(당일)</stp>
        <stp>45520</stp>
        <stp/>
        <tr r="AB46" s="2"/>
        <tr r="AS46" s="2"/>
      </tp>
      <tp>
        <v>3.4860000000000002</v>
        <stp/>
        <stp>P</stp>
        <stp>0</stp>
        <stp>IR</stp>
        <stp>BONDAVG37</stp>
        <stp>3월이하(당일)</stp>
        <stp>45520</stp>
        <stp/>
        <tr r="AB47" s="2"/>
        <tr r="AS47" s="2"/>
      </tp>
      <tp>
        <v>4.5670000000000002</v>
        <stp/>
        <stp>P</stp>
        <stp>0</stp>
        <stp>IR</stp>
        <stp>BONDAVG30</stp>
        <stp>3월이하(당일)</stp>
        <stp>45520</stp>
        <stp/>
        <tr r="AB40" s="2"/>
        <tr r="AS40" s="2"/>
      </tp>
      <tp>
        <v>5.09</v>
        <stp/>
        <stp>P</stp>
        <stp>0</stp>
        <stp>IR</stp>
        <stp>BONDAVG31</stp>
        <stp>3월이하(당일)</stp>
        <stp>45520</stp>
        <stp/>
        <tr r="AB41" s="2"/>
        <tr r="AS41" s="2"/>
      </tp>
      <tp>
        <v>5.9329999999999998</v>
        <stp/>
        <stp>P</stp>
        <stp>0</stp>
        <stp>IR</stp>
        <stp>BONDAVG32</stp>
        <stp>3월이하(당일)</stp>
        <stp>45520</stp>
        <stp/>
        <tr r="AB42" s="2"/>
        <tr r="AS42" s="2"/>
      </tp>
      <tp>
        <v>6.58</v>
        <stp/>
        <stp>P</stp>
        <stp>0</stp>
        <stp>IR</stp>
        <stp>BONDAVG33</stp>
        <stp>3월이하(당일)</stp>
        <stp>45520</stp>
        <stp/>
        <tr r="AB43" s="2"/>
        <tr r="AS43" s="2"/>
      </tp>
      <tp>
        <v>4.008</v>
        <stp/>
        <stp>P</stp>
        <stp>0</stp>
        <stp>IR</stp>
        <stp>BONDAVG38</stp>
        <stp>3월이하(당일)</stp>
        <stp>45520</stp>
        <stp/>
        <tr r="AB48" s="2"/>
        <tr r="AS48" s="2"/>
      </tp>
      <tp>
        <v>4.5670000000000002</v>
        <stp/>
        <stp>P</stp>
        <stp>0</stp>
        <stp>IR</stp>
        <stp>BONDAVG39</stp>
        <stp>3월이하(당일)</stp>
        <stp>45520</stp>
        <stp/>
        <tr r="AB49" s="2"/>
        <tr r="AS49" s="2"/>
      </tp>
      <tp>
        <v>3.8639999999999999</v>
        <stp/>
        <stp>P</stp>
        <stp>0</stp>
        <stp>IR</stp>
        <stp>BONDAVG24</stp>
        <stp>3월이하(당일)</stp>
        <stp>45520</stp>
        <stp/>
        <tr r="AB33" s="2"/>
        <tr r="AS33" s="2"/>
      </tp>
      <tp>
        <v>3.952</v>
        <stp/>
        <stp>P</stp>
        <stp>0</stp>
        <stp>IR</stp>
        <stp>BONDAVG25</stp>
        <stp>3월이하(당일)</stp>
        <stp>45520</stp>
        <stp/>
        <tr r="AB34" s="2"/>
        <tr r="AS34" s="2"/>
      </tp>
      <tp>
        <v>4.0369999999999999</v>
        <stp/>
        <stp>P</stp>
        <stp>0</stp>
        <stp>IR</stp>
        <stp>BONDAVG26</stp>
        <stp>3월이하(당일)</stp>
        <stp>45520</stp>
        <stp/>
        <tr r="AB35" s="2"/>
        <tr r="AS35" s="2"/>
      </tp>
      <tp>
        <v>3.4620000000000002</v>
        <stp/>
        <stp>P</stp>
        <stp>0</stp>
        <stp>IR</stp>
        <stp>BONDAVG27</stp>
        <stp>3월이하(당일)</stp>
        <stp>45520</stp>
        <stp/>
        <tr r="AB37" s="2"/>
        <tr r="AS37" s="2"/>
      </tp>
      <tp>
        <v>3.4359999999999999</v>
        <stp/>
        <stp>P</stp>
        <stp>0</stp>
        <stp>IR</stp>
        <stp>BONDAVG20</stp>
        <stp>3월이하(당일)</stp>
        <stp>45520</stp>
        <stp/>
        <tr r="AB29" s="2"/>
        <tr r="AS29" s="2"/>
      </tp>
      <tp>
        <v>3.452</v>
        <stp/>
        <stp>P</stp>
        <stp>0</stp>
        <stp>IR</stp>
        <stp>BONDAVG21</stp>
        <stp>3월이하(당일)</stp>
        <stp>45520</stp>
        <stp/>
        <tr r="AB30" s="2"/>
        <tr r="AS30" s="2"/>
      </tp>
      <tp>
        <v>3.6240000000000001</v>
        <stp/>
        <stp>P</stp>
        <stp>0</stp>
        <stp>IR</stp>
        <stp>BONDAVG22</stp>
        <stp>3월이하(당일)</stp>
        <stp>45520</stp>
        <stp/>
        <tr r="AB31" s="2"/>
        <tr r="AS31" s="2"/>
      </tp>
      <tp>
        <v>3.7469999999999999</v>
        <stp/>
        <stp>P</stp>
        <stp>0</stp>
        <stp>IR</stp>
        <stp>BONDAVG23</stp>
        <stp>3월이하(당일)</stp>
        <stp>45520</stp>
        <stp/>
        <tr r="AB32" s="2"/>
        <tr r="AS32" s="2"/>
      </tp>
      <tp>
        <v>3.4860000000000002</v>
        <stp/>
        <stp>P</stp>
        <stp>0</stp>
        <stp>IR</stp>
        <stp>BONDAVG28</stp>
        <stp>3월이하(당일)</stp>
        <stp>45520</stp>
        <stp/>
        <tr r="AB38" s="2"/>
        <tr r="AS38" s="2"/>
      </tp>
      <tp>
        <v>4.008</v>
        <stp/>
        <stp>P</stp>
        <stp>0</stp>
        <stp>IR</stp>
        <stp>BONDAVG29</stp>
        <stp>3월이하(당일)</stp>
        <stp>45520</stp>
        <stp/>
        <tr r="AB39" s="2"/>
        <tr r="AS39" s="2"/>
      </tp>
      <tp>
        <v>3.2709999999999999</v>
        <stp/>
        <stp>P</stp>
        <stp>0</stp>
        <stp>IR</stp>
        <stp>BONDAVG14</stp>
        <stp>3월이하(당일)</stp>
        <stp>45520</stp>
        <stp/>
        <tr r="AB22" s="2"/>
        <tr r="AS22" s="2"/>
      </tp>
      <tp>
        <v>3.2869999999999999</v>
        <stp/>
        <stp>P</stp>
        <stp>0</stp>
        <stp>IR</stp>
        <stp>BONDAVG15</stp>
        <stp>3월이하(당일)</stp>
        <stp>45520</stp>
        <stp/>
        <tr r="AB23" s="2"/>
        <tr r="AS23" s="2"/>
      </tp>
      <tp>
        <v>3.4180000000000001</v>
        <stp/>
        <stp>P</stp>
        <stp>0</stp>
        <stp>IR</stp>
        <stp>BONDAVG16</stp>
        <stp>3월이하(당일)</stp>
        <stp>45520</stp>
        <stp/>
        <tr r="AB25" s="2"/>
        <tr r="AS25" s="2"/>
      </tp>
      <tp>
        <v>3.411</v>
        <stp/>
        <stp>P</stp>
        <stp>0</stp>
        <stp>IR</stp>
        <stp>BONDAVG17</stp>
        <stp>3월이하(당일)</stp>
        <stp>45520</stp>
        <stp/>
        <tr r="AB26" s="2"/>
        <tr r="AS26" s="2"/>
      </tp>
      <tp>
        <v>3.4180000000000001</v>
        <stp/>
        <stp>P</stp>
        <stp>0</stp>
        <stp>IR</stp>
        <stp>BONDAVG10</stp>
        <stp>3월이하(당일)</stp>
        <stp>45520</stp>
        <stp/>
        <tr r="AB19" s="2"/>
        <tr r="AS19" s="2"/>
      </tp>
      <tp>
        <v>3.4670000000000001</v>
        <stp/>
        <stp>P</stp>
        <stp>0</stp>
        <stp>IR</stp>
        <stp>BONDAVG11</stp>
        <stp>3월이하(당일)</stp>
        <stp>45520</stp>
        <stp/>
        <tr r="AB20" s="2"/>
        <tr r="AS20" s="2"/>
      </tp>
      <tp>
        <v>3.5819999999999999</v>
        <stp/>
        <stp>P</stp>
        <stp>0</stp>
        <stp>IR</stp>
        <stp>BONDAVG12</stp>
        <stp>3월이하(당일)</stp>
        <stp>45520</stp>
        <stp/>
        <tr r="AB21" s="2"/>
        <tr r="AS21" s="2"/>
      </tp>
      <tp>
        <v>3.3879999999999999</v>
        <stp/>
        <stp>P</stp>
        <stp>0</stp>
        <stp>IR</stp>
        <stp>BONDAVG13</stp>
        <stp>3월이하(당일)</stp>
        <stp>45520</stp>
        <stp/>
        <tr r="AB17" s="2"/>
        <tr r="AS17" s="2"/>
      </tp>
      <tp>
        <v>3.4180000000000001</v>
        <stp/>
        <stp>P</stp>
        <stp>0</stp>
        <stp>IR</stp>
        <stp>BONDAVG18</stp>
        <stp>3월이하(당일)</stp>
        <stp>45520</stp>
        <stp/>
        <tr r="AB27" s="2"/>
        <tr r="AS27" s="2"/>
      </tp>
      <tp>
        <v>3.411</v>
        <stp/>
        <stp>P</stp>
        <stp>0</stp>
        <stp>IR</stp>
        <stp>BONDAVG19</stp>
        <stp>3월이하(당일)</stp>
        <stp>45520</stp>
        <stp/>
        <tr r="AB28" s="2"/>
        <tr r="AS28" s="2"/>
      </tp>
      <tp>
        <v>2.875</v>
        <stp/>
        <stp>P</stp>
        <stp>0</stp>
        <stp>IR</stp>
        <stp>BONDAVG04</stp>
        <stp>3월이하(당일)</stp>
        <stp>45520</stp>
        <stp/>
        <tr r="AB14" s="2"/>
        <tr r="AS14" s="2"/>
      </tp>
      <tp>
        <v>3.4129999999999998</v>
        <stp/>
        <stp>P</stp>
        <stp>0</stp>
        <stp>IR</stp>
        <stp>BONDAVG05</stp>
        <stp>3월이하(당일)</stp>
        <stp>45520</stp>
        <stp/>
        <tr r="AB15" s="2"/>
        <tr r="AS15" s="2"/>
      </tp>
      <tp>
        <v>3.4129999999999998</v>
        <stp/>
        <stp>P</stp>
        <stp>0</stp>
        <stp>IR</stp>
        <stp>BONDAVG06</stp>
        <stp>3월이하(당일)</stp>
        <stp>45520</stp>
        <stp/>
        <tr r="AB16" s="2"/>
        <tr r="AS16" s="2"/>
      </tp>
      <tp>
        <v>3.3380000000000001</v>
        <stp/>
        <stp>P</stp>
        <stp>0</stp>
        <stp>IR</stp>
        <stp>BONDAVG01</stp>
        <stp>3월이하(당일)</stp>
        <stp>45520</stp>
        <stp/>
        <tr r="AB11" s="2"/>
        <tr r="AS11" s="2"/>
      </tp>
      <tp>
        <v>3.3460000000000001</v>
        <stp/>
        <stp>P</stp>
        <stp>0</stp>
        <stp>IR</stp>
        <stp>BONDAVG02</stp>
        <stp>3월이하(당일)</stp>
        <stp>45520</stp>
        <stp/>
        <tr r="AB12" s="2"/>
        <tr r="AS12" s="2"/>
      </tp>
      <tp>
        <v>3.129</v>
        <stp/>
        <stp>P</stp>
        <stp>0</stp>
        <stp>IR</stp>
        <stp>BONDAVG03</stp>
        <stp>3월이하(당일)</stp>
        <stp>45520</stp>
        <stp/>
        <tr r="AB13" s="2"/>
        <tr r="AS13" s="2"/>
      </tp>
      <tp>
        <v>3.3929999999999998</v>
        <stp/>
        <stp>P</stp>
        <stp>0</stp>
        <stp>IR</stp>
        <stp>BONDAVG09</stp>
        <stp>3월이하(당일)</stp>
        <stp>45520</stp>
        <stp/>
        <tr r="AB18" s="2"/>
        <tr r="AS18" s="2"/>
      </tp>
      <tp>
        <v>3.4249999999999998</v>
        <stp/>
        <stp>P</stp>
        <stp>0</stp>
        <stp>IR</stp>
        <stp>BONDAVG84</stp>
        <stp>3월이하(당일)</stp>
        <stp>45520</stp>
        <stp/>
        <tr r="AB24" s="2"/>
        <tr r="AS24" s="2"/>
      </tp>
      <tp>
        <v>3.4329999999999998</v>
        <stp/>
        <stp>P</stp>
        <stp>0</stp>
        <stp>IR</stp>
        <stp>BONDAVG81</stp>
        <stp>3월이하(당일)</stp>
        <stp>45520</stp>
        <stp/>
        <tr r="AB36" s="2"/>
        <tr r="AS36" s="2"/>
      </tp>
      <tp>
        <v>3.4329999999999998</v>
        <stp/>
        <stp>P</stp>
        <stp>0</stp>
        <stp>IR</stp>
        <stp>BONDAVG82</stp>
        <stp>3월이하(당일)</stp>
        <stp>45520</stp>
        <stp/>
        <tr r="AB45" s="2"/>
        <tr r="AS45" s="2"/>
      </tp>
      <tp>
        <v>3.9870000000000001</v>
        <stp/>
        <stp>P</stp>
        <stp>0</stp>
        <stp>IR</stp>
        <stp>BONDAVG74</stp>
        <stp>6월이하(당일)</stp>
        <stp>45520</stp>
        <stp/>
        <tr r="AC76" s="2"/>
        <tr r="AT76" s="2"/>
      </tp>
      <tp>
        <v>4.2679999999999998</v>
        <stp/>
        <stp>P</stp>
        <stp>0</stp>
        <stp>IR</stp>
        <stp>BONDAVG75</stp>
        <stp>6월이하(당일)</stp>
        <stp>45520</stp>
        <stp/>
        <tr r="AC77" s="2"/>
        <tr r="AT77" s="2"/>
      </tp>
      <tp>
        <v>5.1929999999999996</v>
        <stp/>
        <stp>P</stp>
        <stp>0</stp>
        <stp>IR</stp>
        <stp>BONDAVG76</stp>
        <stp>6월이하(당일)</stp>
        <stp>45520</stp>
        <stp/>
        <tr r="AC78" s="2"/>
        <tr r="AT78" s="2"/>
      </tp>
      <tp>
        <v>5.7329999999999997</v>
        <stp/>
        <stp>P</stp>
        <stp>0</stp>
        <stp>IR</stp>
        <stp>BONDAVG77</stp>
        <stp>6월이하(당일)</stp>
        <stp>45520</stp>
        <stp/>
        <tr r="AC79" s="2"/>
        <tr r="AT79" s="2"/>
      </tp>
      <tp>
        <v>3.5390000000000001</v>
        <stp/>
        <stp>P</stp>
        <stp>0</stp>
        <stp>IR</stp>
        <stp>BONDAVG70</stp>
        <stp>6월이하(당일)</stp>
        <stp>45520</stp>
        <stp/>
        <tr r="AC72" s="2"/>
        <tr r="AT72" s="2"/>
      </tp>
      <tp>
        <v>3.5750000000000002</v>
        <stp/>
        <stp>P</stp>
        <stp>0</stp>
        <stp>IR</stp>
        <stp>BONDAVG71</stp>
        <stp>6월이하(당일)</stp>
        <stp>45520</stp>
        <stp/>
        <tr r="AC73" s="2"/>
        <tr r="AT73" s="2"/>
      </tp>
      <tp>
        <v>3.613</v>
        <stp/>
        <stp>P</stp>
        <stp>0</stp>
        <stp>IR</stp>
        <stp>BONDAVG72</stp>
        <stp>6월이하(당일)</stp>
        <stp>45520</stp>
        <stp/>
        <tr r="AC74" s="2"/>
        <tr r="AT74" s="2"/>
      </tp>
      <tp>
        <v>3.8</v>
        <stp/>
        <stp>P</stp>
        <stp>0</stp>
        <stp>IR</stp>
        <stp>BONDAVG73</stp>
        <stp>6월이하(당일)</stp>
        <stp>45520</stp>
        <stp/>
        <tr r="AC75" s="2"/>
        <tr r="AT75" s="2"/>
      </tp>
      <tp>
        <v>6.8120000000000003</v>
        <stp/>
        <stp>P</stp>
        <stp>0</stp>
        <stp>IR</stp>
        <stp>BONDAVG78</stp>
        <stp>6월이하(당일)</stp>
        <stp>45520</stp>
        <stp/>
        <tr r="AC80" s="2"/>
        <tr r="AT80" s="2"/>
      </tp>
      <tp>
        <v>3.3639999999999999</v>
        <stp/>
        <stp>P</stp>
        <stp>0</stp>
        <stp>IR</stp>
        <stp>BONDAVG79</stp>
        <stp>6월이하(당일)</stp>
        <stp>45520</stp>
        <stp/>
        <tr r="AC81" s="2"/>
        <tr r="AT81" s="2"/>
      </tp>
      <tp>
        <v>6.157</v>
        <stp/>
        <stp>P</stp>
        <stp>0</stp>
        <stp>IR</stp>
        <stp>BONDAVG64</stp>
        <stp>6월이하(당일)</stp>
        <stp>45520</stp>
        <stp/>
        <tr r="AC70" s="2"/>
        <tr r="AT70" s="2"/>
      </tp>
      <tp>
        <v>3.7130000000000001</v>
        <stp/>
        <stp>P</stp>
        <stp>0</stp>
        <stp>IR</stp>
        <stp>BONDAVG60</stp>
        <stp>6월이하(당일)</stp>
        <stp>45520</stp>
        <stp/>
        <tr r="AC66" s="2"/>
        <tr r="AT66" s="2"/>
      </tp>
      <tp>
        <v>3.956</v>
        <stp/>
        <stp>P</stp>
        <stp>0</stp>
        <stp>IR</stp>
        <stp>BONDAVG61</stp>
        <stp>6월이하(당일)</stp>
        <stp>45520</stp>
        <stp/>
        <tr r="AC67" s="2"/>
        <tr r="AT67" s="2"/>
      </tp>
      <tp>
        <v>4.8449999999999998</v>
        <stp/>
        <stp>P</stp>
        <stp>0</stp>
        <stp>IR</stp>
        <stp>BONDAVG62</stp>
        <stp>6월이하(당일)</stp>
        <stp>45520</stp>
        <stp/>
        <tr r="AC68" s="2"/>
        <tr r="AT68" s="2"/>
      </tp>
      <tp>
        <v>5.3550000000000004</v>
        <stp/>
        <stp>P</stp>
        <stp>0</stp>
        <stp>IR</stp>
        <stp>BONDAVG63</stp>
        <stp>6월이하(당일)</stp>
        <stp>45520</stp>
        <stp/>
        <tr r="AC69" s="2"/>
        <tr r="AT69" s="2"/>
      </tp>
      <tp>
        <v>3.4969999999999999</v>
        <stp/>
        <stp>P</stp>
        <stp>0</stp>
        <stp>IR</stp>
        <stp>BONDAVG69</stp>
        <stp>6월이하(당일)</stp>
        <stp>45520</stp>
        <stp/>
        <tr r="AC71" s="2"/>
        <tr r="AT71" s="2"/>
      </tp>
      <tp>
        <v>3.3849999999999998</v>
        <stp/>
        <stp>P</stp>
        <stp>0</stp>
        <stp>IR</stp>
        <stp>BONDAVG55</stp>
        <stp>6월이하(당일)</stp>
        <stp>45520</stp>
        <stp/>
        <tr r="AC61" s="2"/>
        <tr r="AT61" s="2"/>
      </tp>
      <tp>
        <v>3.4039999999999999</v>
        <stp/>
        <stp>P</stp>
        <stp>0</stp>
        <stp>IR</stp>
        <stp>BONDAVG56</stp>
        <stp>6월이하(당일)</stp>
        <stp>45520</stp>
        <stp/>
        <tr r="AC62" s="2"/>
        <tr r="AT62" s="2"/>
      </tp>
      <tp>
        <v>3.419</v>
        <stp/>
        <stp>P</stp>
        <stp>0</stp>
        <stp>IR</stp>
        <stp>BONDAVG57</stp>
        <stp>6월이하(당일)</stp>
        <stp>45520</stp>
        <stp/>
        <tr r="AC63" s="2"/>
        <tr r="AT63" s="2"/>
      </tp>
      <tp>
        <v>3.4660000000000002</v>
        <stp/>
        <stp>P</stp>
        <stp>0</stp>
        <stp>IR</stp>
        <stp>BONDAVG51</stp>
        <stp>6월이하(당일)</stp>
        <stp>45520</stp>
        <stp/>
        <tr r="AC59" s="2"/>
        <tr r="AT59" s="2"/>
      </tp>
      <tp>
        <v>3.6840000000000002</v>
        <stp/>
        <stp>P</stp>
        <stp>0</stp>
        <stp>IR</stp>
        <stp>BONDAVG53</stp>
        <stp>6월이하(당일)</stp>
        <stp>45520</stp>
        <stp/>
        <tr r="AC60" s="2"/>
        <tr r="AT60" s="2"/>
      </tp>
      <tp>
        <v>3.444</v>
        <stp/>
        <stp>P</stp>
        <stp>0</stp>
        <stp>IR</stp>
        <stp>BONDAVG58</stp>
        <stp>6월이하(당일)</stp>
        <stp>45520</stp>
        <stp/>
        <tr r="AC64" s="2"/>
        <tr r="AT64" s="2"/>
      </tp>
      <tp>
        <v>3.5590000000000002</v>
        <stp/>
        <stp>P</stp>
        <stp>0</stp>
        <stp>IR</stp>
        <stp>BONDAVG59</stp>
        <stp>6월이하(당일)</stp>
        <stp>45520</stp>
        <stp/>
        <tr r="AC65" s="2"/>
        <tr r="AT65" s="2"/>
      </tp>
      <tp>
        <v>3.4039999999999999</v>
        <stp/>
        <stp>P</stp>
        <stp>0</stp>
        <stp>IR</stp>
        <stp>BONDAVG44</stp>
        <stp>6월이하(당일)</stp>
        <stp>45520</stp>
        <stp/>
        <tr r="AC54" s="2"/>
        <tr r="AT54" s="2"/>
      </tp>
      <tp>
        <v>3.4260000000000002</v>
        <stp/>
        <stp>P</stp>
        <stp>0</stp>
        <stp>IR</stp>
        <stp>BONDAVG45</stp>
        <stp>6월이하(당일)</stp>
        <stp>45520</stp>
        <stp/>
        <tr r="AC55" s="2"/>
        <tr r="AT55" s="2"/>
      </tp>
      <tp>
        <v>3.5419999999999998</v>
        <stp/>
        <stp>P</stp>
        <stp>0</stp>
        <stp>IR</stp>
        <stp>BONDAVG46</stp>
        <stp>6월이하(당일)</stp>
        <stp>45520</stp>
        <stp/>
        <tr r="AC56" s="2"/>
        <tr r="AT56" s="2"/>
      </tp>
      <tp>
        <v>3.8250000000000002</v>
        <stp/>
        <stp>P</stp>
        <stp>0</stp>
        <stp>IR</stp>
        <stp>BONDAVG47</stp>
        <stp>6월이하(당일)</stp>
        <stp>45520</stp>
        <stp/>
        <tr r="AC57" s="2"/>
        <tr r="AT57" s="2"/>
      </tp>
      <tp>
        <v>5.5209999999999999</v>
        <stp/>
        <stp>P</stp>
        <stp>0</stp>
        <stp>IR</stp>
        <stp>BONDAVG40</stp>
        <stp>6월이하(당일)</stp>
        <stp>45520</stp>
        <stp/>
        <tr r="AC50" s="2"/>
        <tr r="AT50" s="2"/>
      </tp>
      <tp>
        <v>6.5110000000000001</v>
        <stp/>
        <stp>P</stp>
        <stp>0</stp>
        <stp>IR</stp>
        <stp>BONDAVG41</stp>
        <stp>6월이하(당일)</stp>
        <stp>45520</stp>
        <stp/>
        <tr r="AC51" s="2"/>
        <tr r="AT51" s="2"/>
      </tp>
      <tp>
        <v>7.2270000000000003</v>
        <stp/>
        <stp>P</stp>
        <stp>0</stp>
        <stp>IR</stp>
        <stp>BONDAVG42</stp>
        <stp>6월이하(당일)</stp>
        <stp>45520</stp>
        <stp/>
        <tr r="AC52" s="2"/>
        <tr r="AT52" s="2"/>
      </tp>
      <tp>
        <v>8.5410000000000004</v>
        <stp/>
        <stp>P</stp>
        <stp>0</stp>
        <stp>IR</stp>
        <stp>BONDAVG43</stp>
        <stp>6월이하(당일)</stp>
        <stp>45520</stp>
        <stp/>
        <tr r="AC53" s="2"/>
        <tr r="AT53" s="2"/>
      </tp>
      <tp>
        <v>3.4249999999999998</v>
        <stp/>
        <stp>P</stp>
        <stp>0</stp>
        <stp>IR</stp>
        <stp>BONDAVG49</stp>
        <stp>6월이하(당일)</stp>
        <stp>45520</stp>
        <stp/>
        <tr r="AC58" s="2"/>
        <tr r="AT58" s="2"/>
      </tp>
      <tp>
        <v>8.6519999999999992</v>
        <stp/>
        <stp>P</stp>
        <stp>0</stp>
        <stp>IR</stp>
        <stp>BONDAVG34</stp>
        <stp>6월이하(당일)</stp>
        <stp>45520</stp>
        <stp/>
        <tr r="AC44" s="2"/>
        <tr r="AT44" s="2"/>
      </tp>
      <tp>
        <v>3.4449999999999998</v>
        <stp/>
        <stp>P</stp>
        <stp>0</stp>
        <stp>IR</stp>
        <stp>BONDAVG36</stp>
        <stp>6월이하(당일)</stp>
        <stp>45520</stp>
        <stp/>
        <tr r="AC46" s="2"/>
        <tr r="AT46" s="2"/>
      </tp>
      <tp>
        <v>3.476</v>
        <stp/>
        <stp>P</stp>
        <stp>0</stp>
        <stp>IR</stp>
        <stp>BONDAVG37</stp>
        <stp>6월이하(당일)</stp>
        <stp>45520</stp>
        <stp/>
        <tr r="AC47" s="2"/>
        <tr r="AT47" s="2"/>
      </tp>
      <tp>
        <v>4.8879999999999999</v>
        <stp/>
        <stp>P</stp>
        <stp>0</stp>
        <stp>IR</stp>
        <stp>BONDAVG30</stp>
        <stp>6월이하(당일)</stp>
        <stp>45520</stp>
        <stp/>
        <tr r="AC40" s="2"/>
        <tr r="AT40" s="2"/>
      </tp>
      <tp>
        <v>5.5209999999999999</v>
        <stp/>
        <stp>P</stp>
        <stp>0</stp>
        <stp>IR</stp>
        <stp>BONDAVG31</stp>
        <stp>6월이하(당일)</stp>
        <stp>45520</stp>
        <stp/>
        <tr r="AC41" s="2"/>
        <tr r="AT41" s="2"/>
      </tp>
      <tp>
        <v>6.5830000000000002</v>
        <stp/>
        <stp>P</stp>
        <stp>0</stp>
        <stp>IR</stp>
        <stp>BONDAVG32</stp>
        <stp>6월이하(당일)</stp>
        <stp>45520</stp>
        <stp/>
        <tr r="AC42" s="2"/>
        <tr r="AT42" s="2"/>
      </tp>
      <tp>
        <v>7.3070000000000004</v>
        <stp/>
        <stp>P</stp>
        <stp>0</stp>
        <stp>IR</stp>
        <stp>BONDAVG33</stp>
        <stp>6월이하(당일)</stp>
        <stp>45520</stp>
        <stp/>
        <tr r="AC43" s="2"/>
        <tr r="AT43" s="2"/>
      </tp>
      <tp>
        <v>4.2759999999999998</v>
        <stp/>
        <stp>P</stp>
        <stp>0</stp>
        <stp>IR</stp>
        <stp>BONDAVG38</stp>
        <stp>6월이하(당일)</stp>
        <stp>45520</stp>
        <stp/>
        <tr r="AC48" s="2"/>
        <tr r="AT48" s="2"/>
      </tp>
      <tp>
        <v>4.8879999999999999</v>
        <stp/>
        <stp>P</stp>
        <stp>0</stp>
        <stp>IR</stp>
        <stp>BONDAVG39</stp>
        <stp>6월이하(당일)</stp>
        <stp>45520</stp>
        <stp/>
        <tr r="AC49" s="2"/>
        <tr r="AT49" s="2"/>
      </tp>
      <tp>
        <v>3.919</v>
        <stp/>
        <stp>P</stp>
        <stp>0</stp>
        <stp>IR</stp>
        <stp>BONDAVG24</stp>
        <stp>6월이하(당일)</stp>
        <stp>45520</stp>
        <stp/>
        <tr r="AC33" s="2"/>
        <tr r="AT33" s="2"/>
      </tp>
      <tp>
        <v>3.99</v>
        <stp/>
        <stp>P</stp>
        <stp>0</stp>
        <stp>IR</stp>
        <stp>BONDAVG25</stp>
        <stp>6월이하(당일)</stp>
        <stp>45520</stp>
        <stp/>
        <tr r="AC34" s="2"/>
        <tr r="AT34" s="2"/>
      </tp>
      <tp>
        <v>4.0789999999999997</v>
        <stp/>
        <stp>P</stp>
        <stp>0</stp>
        <stp>IR</stp>
        <stp>BONDAVG26</stp>
        <stp>6월이하(당일)</stp>
        <stp>45520</stp>
        <stp/>
        <tr r="AC35" s="2"/>
        <tr r="AT35" s="2"/>
      </tp>
      <tp>
        <v>3.4449999999999998</v>
        <stp/>
        <stp>P</stp>
        <stp>0</stp>
        <stp>IR</stp>
        <stp>BONDAVG27</stp>
        <stp>6월이하(당일)</stp>
        <stp>45520</stp>
        <stp/>
        <tr r="AC37" s="2"/>
        <tr r="AT37" s="2"/>
      </tp>
      <tp>
        <v>3.42</v>
        <stp/>
        <stp>P</stp>
        <stp>0</stp>
        <stp>IR</stp>
        <stp>BONDAVG20</stp>
        <stp>6월이하(당일)</stp>
        <stp>45520</stp>
        <stp/>
        <tr r="AC29" s="2"/>
        <tr r="AT29" s="2"/>
      </tp>
      <tp>
        <v>3.4390000000000001</v>
        <stp/>
        <stp>P</stp>
        <stp>0</stp>
        <stp>IR</stp>
        <stp>BONDAVG21</stp>
        <stp>6월이하(당일)</stp>
        <stp>45520</stp>
        <stp/>
        <tr r="AC30" s="2"/>
        <tr r="AT30" s="2"/>
      </tp>
      <tp>
        <v>3.621</v>
        <stp/>
        <stp>P</stp>
        <stp>0</stp>
        <stp>IR</stp>
        <stp>BONDAVG22</stp>
        <stp>6월이하(당일)</stp>
        <stp>45520</stp>
        <stp/>
        <tr r="AC31" s="2"/>
        <tr r="AT31" s="2"/>
      </tp>
      <tp>
        <v>3.8279999999999998</v>
        <stp/>
        <stp>P</stp>
        <stp>0</stp>
        <stp>IR</stp>
        <stp>BONDAVG23</stp>
        <stp>6월이하(당일)</stp>
        <stp>45520</stp>
        <stp/>
        <tr r="AC32" s="2"/>
        <tr r="AT32" s="2"/>
      </tp>
      <tp>
        <v>3.476</v>
        <stp/>
        <stp>P</stp>
        <stp>0</stp>
        <stp>IR</stp>
        <stp>BONDAVG28</stp>
        <stp>6월이하(당일)</stp>
        <stp>45520</stp>
        <stp/>
        <tr r="AC38" s="2"/>
        <tr r="AT38" s="2"/>
      </tp>
      <tp>
        <v>4.2759999999999998</v>
        <stp/>
        <stp>P</stp>
        <stp>0</stp>
        <stp>IR</stp>
        <stp>BONDAVG29</stp>
        <stp>6월이하(당일)</stp>
        <stp>45520</stp>
        <stp/>
        <tr r="AC39" s="2"/>
        <tr r="AT39" s="2"/>
      </tp>
      <tp>
        <v>3.169</v>
        <stp/>
        <stp>P</stp>
        <stp>0</stp>
        <stp>IR</stp>
        <stp>BONDAVG14</stp>
        <stp>6월이하(당일)</stp>
        <stp>45520</stp>
        <stp/>
        <tr r="AC22" s="2"/>
        <tr r="AT22" s="2"/>
      </tp>
      <tp>
        <v>3.1829999999999998</v>
        <stp/>
        <stp>P</stp>
        <stp>0</stp>
        <stp>IR</stp>
        <stp>BONDAVG15</stp>
        <stp>6월이하(당일)</stp>
        <stp>45520</stp>
        <stp/>
        <tr r="AC23" s="2"/>
        <tr r="AT23" s="2"/>
      </tp>
      <tp>
        <v>3.3929999999999998</v>
        <stp/>
        <stp>P</stp>
        <stp>0</stp>
        <stp>IR</stp>
        <stp>BONDAVG16</stp>
        <stp>6월이하(당일)</stp>
        <stp>45520</stp>
        <stp/>
        <tr r="AC25" s="2"/>
        <tr r="AT25" s="2"/>
      </tp>
      <tp>
        <v>3.3940000000000001</v>
        <stp/>
        <stp>P</stp>
        <stp>0</stp>
        <stp>IR</stp>
        <stp>BONDAVG17</stp>
        <stp>6월이하(당일)</stp>
        <stp>45520</stp>
        <stp/>
        <tr r="AC26" s="2"/>
        <tr r="AT26" s="2"/>
      </tp>
      <tp>
        <v>3.4079999999999999</v>
        <stp/>
        <stp>P</stp>
        <stp>0</stp>
        <stp>IR</stp>
        <stp>BONDAVG10</stp>
        <stp>6월이하(당일)</stp>
        <stp>45520</stp>
        <stp/>
        <tr r="AC19" s="2"/>
        <tr r="AT19" s="2"/>
      </tp>
      <tp>
        <v>3.4769999999999999</v>
        <stp/>
        <stp>P</stp>
        <stp>0</stp>
        <stp>IR</stp>
        <stp>BONDAVG11</stp>
        <stp>6월이하(당일)</stp>
        <stp>45520</stp>
        <stp/>
        <tr r="AC20" s="2"/>
        <tr r="AT20" s="2"/>
      </tp>
      <tp>
        <v>3.5990000000000002</v>
        <stp/>
        <stp>P</stp>
        <stp>0</stp>
        <stp>IR</stp>
        <stp>BONDAVG12</stp>
        <stp>6월이하(당일)</stp>
        <stp>45520</stp>
        <stp/>
        <tr r="AC21" s="2"/>
        <tr r="AT21" s="2"/>
      </tp>
      <tp>
        <v>3.3130000000000002</v>
        <stp/>
        <stp>P</stp>
        <stp>0</stp>
        <stp>IR</stp>
        <stp>BONDAVG13</stp>
        <stp>6월이하(당일)</stp>
        <stp>45520</stp>
        <stp/>
        <tr r="AC17" s="2"/>
        <tr r="AT17" s="2"/>
      </tp>
      <tp>
        <v>3.3929999999999998</v>
        <stp/>
        <stp>P</stp>
        <stp>0</stp>
        <stp>IR</stp>
        <stp>BONDAVG18</stp>
        <stp>6월이하(당일)</stp>
        <stp>45520</stp>
        <stp/>
        <tr r="AC27" s="2"/>
        <tr r="AT27" s="2"/>
      </tp>
      <tp>
        <v>3.3940000000000001</v>
        <stp/>
        <stp>P</stp>
        <stp>0</stp>
        <stp>IR</stp>
        <stp>BONDAVG19</stp>
        <stp>6월이하(당일)</stp>
        <stp>45520</stp>
        <stp/>
        <tr r="AC28" s="2"/>
        <tr r="AT28" s="2"/>
      </tp>
      <tp>
        <v>2.7850000000000001</v>
        <stp/>
        <stp>P</stp>
        <stp>0</stp>
        <stp>IR</stp>
        <stp>BONDAVG04</stp>
        <stp>6월이하(당일)</stp>
        <stp>45520</stp>
        <stp/>
        <tr r="AC14" s="2"/>
        <tr r="AT14" s="2"/>
      </tp>
      <tp>
        <v>3.3410000000000002</v>
        <stp/>
        <stp>P</stp>
        <stp>0</stp>
        <stp>IR</stp>
        <stp>BONDAVG05</stp>
        <stp>6월이하(당일)</stp>
        <stp>45520</stp>
        <stp/>
        <tr r="AC15" s="2"/>
        <tr r="AT15" s="2"/>
      </tp>
      <tp>
        <v>3.3410000000000002</v>
        <stp/>
        <stp>P</stp>
        <stp>0</stp>
        <stp>IR</stp>
        <stp>BONDAVG06</stp>
        <stp>6월이하(당일)</stp>
        <stp>45520</stp>
        <stp/>
        <tr r="AC16" s="2"/>
        <tr r="AT16" s="2"/>
      </tp>
      <tp>
        <v>3.2029999999999998</v>
        <stp/>
        <stp>P</stp>
        <stp>0</stp>
        <stp>IR</stp>
        <stp>BONDAVG01</stp>
        <stp>6월이하(당일)</stp>
        <stp>45520</stp>
        <stp/>
        <tr r="AC11" s="2"/>
        <tr r="AT11" s="2"/>
      </tp>
      <tp>
        <v>3.254</v>
        <stp/>
        <stp>P</stp>
        <stp>0</stp>
        <stp>IR</stp>
        <stp>BONDAVG02</stp>
        <stp>6월이하(당일)</stp>
        <stp>45520</stp>
        <stp/>
        <tr r="AC12" s="2"/>
        <tr r="AT12" s="2"/>
      </tp>
      <tp>
        <v>3.0459999999999998</v>
        <stp/>
        <stp>P</stp>
        <stp>0</stp>
        <stp>IR</stp>
        <stp>BONDAVG03</stp>
        <stp>6월이하(당일)</stp>
        <stp>45520</stp>
        <stp/>
        <tr r="AC13" s="2"/>
        <tr r="AT13" s="2"/>
      </tp>
      <tp>
        <v>3.3610000000000002</v>
        <stp/>
        <stp>P</stp>
        <stp>0</stp>
        <stp>IR</stp>
        <stp>BONDAVG09</stp>
        <stp>6월이하(당일)</stp>
        <stp>45520</stp>
        <stp/>
        <tr r="AC18" s="2"/>
        <tr r="AT18" s="2"/>
      </tp>
      <tp>
        <v>3.4060000000000001</v>
        <stp/>
        <stp>P</stp>
        <stp>0</stp>
        <stp>IR</stp>
        <stp>BONDAVG84</stp>
        <stp>6월이하(당일)</stp>
        <stp>45520</stp>
        <stp/>
        <tr r="AC24" s="2"/>
        <tr r="AT24" s="2"/>
      </tp>
      <tp>
        <v>3.42</v>
        <stp/>
        <stp>P</stp>
        <stp>0</stp>
        <stp>IR</stp>
        <stp>BONDAVG81</stp>
        <stp>6월이하(당일)</stp>
        <stp>45520</stp>
        <stp/>
        <tr r="AC36" s="2"/>
        <tr r="AT36" s="2"/>
      </tp>
      <tp>
        <v>3.42</v>
        <stp/>
        <stp>P</stp>
        <stp>0</stp>
        <stp>IR</stp>
        <stp>BONDAVG82</stp>
        <stp>6월이하(당일)</stp>
        <stp>45520</stp>
        <stp/>
        <tr r="AC45" s="2"/>
        <tr r="AT45" s="2"/>
      </tp>
      <tp>
        <v>2.9430000000000001</v>
        <stp/>
        <stp>P</stp>
        <stp>0</stp>
        <stp>IR</stp>
        <stp>BONDAVG01</stp>
        <stp>4년이하(당일)</stp>
        <stp>일자</stp>
        <stp/>
        <tr r="AD35" s="3"/>
        <tr r="AD35" s="3"/>
        <tr r="K35" s="3"/>
        <tr r="K35" s="3"/>
        <tr r="AD8" s="3"/>
        <tr r="AD8" s="3"/>
        <tr r="K8" s="3"/>
        <tr r="K8" s="3"/>
      </tp>
      <tp>
        <v>2.93</v>
        <stp/>
        <stp>P</stp>
        <stp>0</stp>
        <stp>IR</stp>
        <stp>BONDAVG01</stp>
        <stp>5년이하(당일)</stp>
        <stp>일자</stp>
        <stp/>
        <tr r="AE35" s="3"/>
        <tr r="AE35" s="3"/>
        <tr r="L35" s="3"/>
        <tr r="L35" s="3"/>
        <tr r="AE8" s="3"/>
        <tr r="AE8" s="3"/>
        <tr r="L8" s="3"/>
        <tr r="L8" s="3"/>
      </tp>
      <tp>
        <v>2.9809999999999999</v>
        <stp/>
        <stp>P</stp>
        <stp>0</stp>
        <stp>IR</stp>
        <stp>BONDAVG01</stp>
        <stp>7년이하(당일)</stp>
        <stp>일자</stp>
        <stp/>
        <tr r="AF35" s="3"/>
        <tr r="AF35" s="3"/>
        <tr r="M35" s="3"/>
        <tr r="M35" s="3"/>
        <tr r="AF8" s="3"/>
        <tr r="AF8" s="3"/>
        <tr r="M8" s="3"/>
        <tr r="M8" s="3"/>
      </tp>
      <tp>
        <v>3.052</v>
        <stp/>
        <stp>P</stp>
        <stp>0</stp>
        <stp>IR</stp>
        <stp>BONDAVG01</stp>
        <stp>1년이하(당일)</stp>
        <stp>일자</stp>
        <stp/>
        <tr r="Y35" s="3"/>
        <tr r="Y35" s="3"/>
        <tr r="F35" s="3"/>
        <tr r="F35" s="3"/>
        <tr r="Y8" s="3"/>
        <tr r="Y8" s="3"/>
        <tr r="F8" s="3"/>
        <tr r="F8" s="3"/>
      </tp>
      <tp>
        <v>3.03</v>
        <stp/>
        <stp>P</stp>
        <stp>0</stp>
        <stp>IR</stp>
        <stp>BONDAVG01</stp>
        <stp>2년이하(당일)</stp>
        <stp>일자</stp>
        <stp/>
        <tr r="AA35" s="3"/>
        <tr r="AA35" s="3"/>
        <tr r="H35" s="3"/>
        <tr r="H35" s="3"/>
        <tr r="AA8" s="3"/>
        <tr r="AA8" s="3"/>
        <tr r="H8" s="3"/>
        <tr r="H8" s="3"/>
      </tp>
      <tp>
        <v>2.9220000000000002</v>
        <stp/>
        <stp>P</stp>
        <stp>0</stp>
        <stp>IR</stp>
        <stp>BONDAVG01</stp>
        <stp>3년이하(당일)</stp>
        <stp>일자</stp>
        <stp/>
        <tr r="AC35" s="3"/>
        <tr r="AC35" s="3"/>
        <tr r="J35" s="3"/>
        <tr r="J35" s="3"/>
        <tr r="AC8" s="3"/>
        <tr r="AC8" s="3"/>
        <tr r="J8" s="3"/>
        <tr r="J8" s="3"/>
      </tp>
      <tp>
        <v>3.0110000000000001</v>
        <stp/>
        <stp>P</stp>
        <stp>0</stp>
        <stp>IR</stp>
        <stp>BONDAVG02</stp>
        <stp>4년이하(당일)</stp>
        <stp>일자</stp>
        <stp/>
        <tr r="K9" s="3"/>
        <tr r="K9" s="3"/>
      </tp>
      <tp>
        <v>3.052</v>
        <stp/>
        <stp>P</stp>
        <stp>0</stp>
        <stp>IR</stp>
        <stp>BONDAVG02</stp>
        <stp>5년이하(당일)</stp>
        <stp>일자</stp>
        <stp/>
        <tr r="L9" s="3"/>
        <tr r="L9" s="3"/>
      </tp>
      <tp>
        <v>0</v>
        <stp/>
        <stp>P</stp>
        <stp>0</stp>
        <stp>IR</stp>
        <stp>BONDAVG02</stp>
        <stp>7년이하(당일)</stp>
        <stp>일자</stp>
        <stp/>
        <tr r="M9" s="3"/>
      </tp>
      <tp>
        <v>3.089</v>
        <stp/>
        <stp>P</stp>
        <stp>0</stp>
        <stp>IR</stp>
        <stp>BONDAVG02</stp>
        <stp>1년이하(당일)</stp>
        <stp>일자</stp>
        <stp/>
        <tr r="F9" s="3"/>
        <tr r="F9" s="3"/>
      </tp>
      <tp>
        <v>3.0539999999999998</v>
        <stp/>
        <stp>P</stp>
        <stp>0</stp>
        <stp>IR</stp>
        <stp>BONDAVG02</stp>
        <stp>2년이하(당일)</stp>
        <stp>일자</stp>
        <stp/>
        <tr r="H9" s="3"/>
        <tr r="H9" s="3"/>
      </tp>
      <tp>
        <v>3.01</v>
        <stp/>
        <stp>P</stp>
        <stp>0</stp>
        <stp>IR</stp>
        <stp>BONDAVG02</stp>
        <stp>3년이하(당일)</stp>
        <stp>일자</stp>
        <stp/>
        <tr r="J9" s="3"/>
        <tr r="J9" s="3"/>
      </tp>
      <tp>
        <v>3.1459999999999999</v>
        <stp/>
        <stp>P</stp>
        <stp>0</stp>
        <stp>IR</stp>
        <stp>BONDAVG09</stp>
        <stp>4년이하(당일)</stp>
        <stp>일자</stp>
        <stp/>
        <tr r="AD9" s="3"/>
        <tr r="AD9" s="3"/>
      </tp>
      <tp>
        <v>3.1459999999999999</v>
        <stp/>
        <stp>P</stp>
        <stp>0</stp>
        <stp>IR</stp>
        <stp>BONDAVG09</stp>
        <stp>5년이하(당일)</stp>
        <stp>일자</stp>
        <stp/>
        <tr r="AE9" s="3"/>
        <tr r="AE9" s="3"/>
      </tp>
      <tp>
        <v>3.1429999999999998</v>
        <stp/>
        <stp>P</stp>
        <stp>0</stp>
        <stp>IR</stp>
        <stp>BONDAVG09</stp>
        <stp>7년이하(당일)</stp>
        <stp>일자</stp>
        <stp/>
        <tr r="AF9" s="3"/>
        <tr r="AF9" s="3"/>
      </tp>
      <tp>
        <v>3.2589999999999999</v>
        <stp/>
        <stp>P</stp>
        <stp>0</stp>
        <stp>IR</stp>
        <stp>BONDAVG09</stp>
        <stp>1년이하(당일)</stp>
        <stp>일자</stp>
        <stp/>
        <tr r="Y9" s="3"/>
        <tr r="Y9" s="3"/>
      </tp>
      <tp>
        <v>3.1859999999999999</v>
        <stp/>
        <stp>P</stp>
        <stp>0</stp>
        <stp>IR</stp>
        <stp>BONDAVG09</stp>
        <stp>2년이하(당일)</stp>
        <stp>일자</stp>
        <stp/>
        <tr r="AA9" s="3"/>
        <tr r="AA9" s="3"/>
      </tp>
      <tp>
        <v>3.1539999999999999</v>
        <stp/>
        <stp>P</stp>
        <stp>0</stp>
        <stp>IR</stp>
        <stp>BONDAVG09</stp>
        <stp>3년이하(당일)</stp>
        <stp>일자</stp>
        <stp/>
        <tr r="AC9" s="3"/>
        <tr r="AC9" s="3"/>
      </tp>
      <tp>
        <v>3.2370000000000001</v>
        <stp/>
        <stp>P</stp>
        <stp>0</stp>
        <stp>IR</stp>
        <stp>BONDAVG44</stp>
        <stp>4년이하(당일)</stp>
        <stp>일자</stp>
        <stp/>
        <tr r="K36" s="3"/>
        <tr r="K36" s="3"/>
      </tp>
      <tp>
        <v>3.2429999999999999</v>
        <stp/>
        <stp>P</stp>
        <stp>0</stp>
        <stp>IR</stp>
        <stp>BONDAVG44</stp>
        <stp>5년이하(당일)</stp>
        <stp>일자</stp>
        <stp/>
        <tr r="L36" s="3"/>
        <tr r="L36" s="3"/>
      </tp>
      <tp>
        <v>3.3519999999999999</v>
        <stp/>
        <stp>P</stp>
        <stp>0</stp>
        <stp>IR</stp>
        <stp>BONDAVG44</stp>
        <stp>7년이하(당일)</stp>
        <stp>일자</stp>
        <stp/>
        <tr r="M36" s="3"/>
        <tr r="M36" s="3"/>
      </tp>
      <tp>
        <v>3.3029999999999999</v>
        <stp/>
        <stp>P</stp>
        <stp>0</stp>
        <stp>IR</stp>
        <stp>BONDAVG44</stp>
        <stp>1년이하(당일)</stp>
        <stp>일자</stp>
        <stp/>
        <tr r="F36" s="3"/>
        <tr r="F36" s="3"/>
      </tp>
      <tp>
        <v>3.2639999999999998</v>
        <stp/>
        <stp>P</stp>
        <stp>0</stp>
        <stp>IR</stp>
        <stp>BONDAVG44</stp>
        <stp>2년이하(당일)</stp>
        <stp>일자</stp>
        <stp/>
        <tr r="H36" s="3"/>
        <tr r="H36" s="3"/>
      </tp>
      <tp>
        <v>3.2450000000000001</v>
        <stp/>
        <stp>P</stp>
        <stp>0</stp>
        <stp>IR</stp>
        <stp>BONDAVG44</stp>
        <stp>3년이하(당일)</stp>
        <stp>일자</stp>
        <stp/>
        <tr r="J36" s="3"/>
        <tr r="J36" s="3"/>
      </tp>
      <tp>
        <v>9.657</v>
        <stp/>
        <stp>P</stp>
        <stp>0</stp>
        <stp>IR</stp>
        <stp>BONDAVG64</stp>
        <stp>4년이하(당일)</stp>
        <stp>일자</stp>
        <stp/>
        <tr r="AD36" s="3"/>
        <tr r="AD36" s="3"/>
      </tp>
      <tp>
        <v>9.7439999999999998</v>
        <stp/>
        <stp>P</stp>
        <stp>0</stp>
        <stp>IR</stp>
        <stp>BONDAVG64</stp>
        <stp>5년이하(당일)</stp>
        <stp>일자</stp>
        <stp/>
        <tr r="AE36" s="3"/>
        <tr r="AE36" s="3"/>
      </tp>
      <tp>
        <v>9.8260000000000005</v>
        <stp/>
        <stp>P</stp>
        <stp>0</stp>
        <stp>IR</stp>
        <stp>BONDAVG64</stp>
        <stp>7년이하(당일)</stp>
        <stp>일자</stp>
        <stp/>
        <tr r="AF36" s="3"/>
        <tr r="AF36" s="3"/>
      </tp>
      <tp>
        <v>7.0709999999999997</v>
        <stp/>
        <stp>P</stp>
        <stp>0</stp>
        <stp>IR</stp>
        <stp>BONDAVG64</stp>
        <stp>1년이하(당일)</stp>
        <stp>일자</stp>
        <stp/>
        <tr r="Y36" s="3"/>
        <tr r="Y36" s="3"/>
      </tp>
      <tp>
        <v>8.4580000000000002</v>
        <stp/>
        <stp>P</stp>
        <stp>0</stp>
        <stp>IR</stp>
        <stp>BONDAVG64</stp>
        <stp>2년이하(당일)</stp>
        <stp>일자</stp>
        <stp/>
        <tr r="AA36" s="3"/>
        <tr r="AA36" s="3"/>
      </tp>
      <tp>
        <v>9.3930000000000007</v>
        <stp/>
        <stp>P</stp>
        <stp>0</stp>
        <stp>IR</stp>
        <stp>BONDAVG64</stp>
        <stp>3년이하(당일)</stp>
        <stp>일자</stp>
        <stp/>
        <tr r="AC36" s="3"/>
        <tr r="AC36" s="3"/>
      </tp>
      <tp>
        <v>3.012</v>
        <stp/>
        <stp>P</stp>
        <stp>0</stp>
        <stp>IR</stp>
        <stp>BONDAVG02</stp>
        <stp>2.5년이하(당일)</stp>
        <stp>일자</stp>
        <stp/>
        <tr r="I9" s="3"/>
        <tr r="I9" s="3"/>
      </tp>
      <tp>
        <v>2.944</v>
        <stp/>
        <stp>P</stp>
        <stp>0</stp>
        <stp>IR</stp>
        <stp>BONDAVG01</stp>
        <stp>2.5년이하(당일)</stp>
        <stp>일자</stp>
        <stp/>
        <tr r="AB35" s="3"/>
        <tr r="AB35" s="3"/>
        <tr r="I35" s="3"/>
        <tr r="I35" s="3"/>
        <tr r="AB8" s="3"/>
        <tr r="AB8" s="3"/>
        <tr r="I8" s="3"/>
        <tr r="I8" s="3"/>
      </tp>
      <tp>
        <v>3.1560000000000001</v>
        <stp/>
        <stp>P</stp>
        <stp>0</stp>
        <stp>IR</stp>
        <stp>BONDAVG09</stp>
        <stp>2.5년이하(당일)</stp>
        <stp>일자</stp>
        <stp/>
        <tr r="AB9" s="3"/>
        <tr r="AB9" s="3"/>
      </tp>
      <tp>
        <v>3.2509999999999999</v>
        <stp/>
        <stp>P</stp>
        <stp>0</stp>
        <stp>IR</stp>
        <stp>BONDAVG44</stp>
        <stp>2.5년이하(당일)</stp>
        <stp>일자</stp>
        <stp/>
        <tr r="I36" s="3"/>
        <tr r="I36" s="3"/>
      </tp>
      <tp>
        <v>8.9809999999999999</v>
        <stp/>
        <stp>P</stp>
        <stp>0</stp>
        <stp>IR</stp>
        <stp>BONDAVG64</stp>
        <stp>2.5년이하(당일)</stp>
        <stp>일자</stp>
        <stp/>
        <tr r="AB36" s="3"/>
        <tr r="AB36" s="3"/>
      </tp>
      <tp>
        <v>3.077</v>
        <stp/>
        <stp>P</stp>
        <stp>0</stp>
        <stp>IR</stp>
        <stp>BONDAVG02</stp>
        <stp>1.5년이하(당일)</stp>
        <stp>일자</stp>
        <stp/>
        <tr r="G9" s="3"/>
        <tr r="G9" s="3"/>
      </tp>
      <tp>
        <v>3.0550000000000002</v>
        <stp/>
        <stp>P</stp>
        <stp>0</stp>
        <stp>IR</stp>
        <stp>BONDAVG01</stp>
        <stp>1.5년이하(당일)</stp>
        <stp>일자</stp>
        <stp/>
        <tr r="Z35" s="3"/>
        <tr r="Z35" s="3"/>
        <tr r="G35" s="3"/>
        <tr r="G35" s="3"/>
        <tr r="Z8" s="3"/>
        <tr r="Z8" s="3"/>
        <tr r="G8" s="3"/>
        <tr r="G8" s="3"/>
      </tp>
      <tp>
        <v>3.1970000000000001</v>
        <stp/>
        <stp>P</stp>
        <stp>0</stp>
        <stp>IR</stp>
        <stp>BONDAVG09</stp>
        <stp>1.5년이하(당일)</stp>
        <stp>일자</stp>
        <stp/>
        <tr r="Z9" s="3"/>
        <tr r="Z9" s="3"/>
      </tp>
      <tp>
        <v>3.2890000000000001</v>
        <stp/>
        <stp>P</stp>
        <stp>0</stp>
        <stp>IR</stp>
        <stp>BONDAVG44</stp>
        <stp>1.5년이하(당일)</stp>
        <stp>일자</stp>
        <stp/>
        <tr r="G36" s="3"/>
        <tr r="G36" s="3"/>
      </tp>
      <tp>
        <v>7.7320000000000002</v>
        <stp/>
        <stp>P</stp>
        <stp>0</stp>
        <stp>IR</stp>
        <stp>BONDAVG64</stp>
        <stp>1.5년이하(당일)</stp>
        <stp>일자</stp>
        <stp/>
        <tr r="Z36" s="3"/>
        <tr r="Z36" s="3"/>
      </tp>
      <tp>
        <v>3.1680000000000001</v>
        <stp/>
        <stp>P</stp>
        <stp>0</stp>
        <stp>IR</stp>
        <stp>BONDAVG09</stp>
        <stp>30년이하(당일)</stp>
        <stp>일자</stp>
        <stp/>
        <tr r="AJ9" s="3"/>
        <tr r="AJ9" s="3"/>
      </tp>
      <tp>
        <v>3.153</v>
        <stp/>
        <stp>P</stp>
        <stp>0</stp>
        <stp>IR</stp>
        <stp>BONDAVG09</stp>
        <stp>20년이하(당일)</stp>
        <stp>일자</stp>
        <stp/>
        <tr r="AI9" s="3"/>
        <tr r="AI9" s="3"/>
      </tp>
      <tp>
        <v>3.1579999999999999</v>
        <stp/>
        <stp>P</stp>
        <stp>0</stp>
        <stp>IR</stp>
        <stp>BONDAVG09</stp>
        <stp>10년이하(당일)</stp>
        <stp>일자</stp>
        <stp/>
        <tr r="AG9" s="3"/>
        <tr r="AG9" s="3"/>
      </tp>
      <tp>
        <v>3.1789999999999998</v>
        <stp/>
        <stp>P</stp>
        <stp>0</stp>
        <stp>IR</stp>
        <stp>BONDAVG09</stp>
        <stp>15년이하(당일)</stp>
        <stp>일자</stp>
        <stp/>
        <tr r="AH9" s="3"/>
        <tr r="AH9" s="3"/>
      </tp>
      <tp>
        <v>0</v>
        <stp/>
        <stp>P</stp>
        <stp>0</stp>
        <stp>IR</stp>
        <stp>BONDAVG09</stp>
        <stp>50년이하(당일)</stp>
        <stp>일자</stp>
        <stp/>
        <tr r="AK9" s="3"/>
      </tp>
      <tp>
        <v>0</v>
        <stp/>
        <stp>P</stp>
        <stp>0</stp>
        <stp>IR</stp>
        <stp>BONDAVG02</stp>
        <stp>30년이하(당일)</stp>
        <stp>일자</stp>
        <stp/>
        <tr r="Q9" s="3"/>
      </tp>
      <tp>
        <v>0</v>
        <stp/>
        <stp>P</stp>
        <stp>0</stp>
        <stp>IR</stp>
        <stp>BONDAVG02</stp>
        <stp>20년이하(당일)</stp>
        <stp>일자</stp>
        <stp/>
        <tr r="P9" s="3"/>
      </tp>
      <tp>
        <v>0</v>
        <stp/>
        <stp>P</stp>
        <stp>0</stp>
        <stp>IR</stp>
        <stp>BONDAVG02</stp>
        <stp>10년이하(당일)</stp>
        <stp>일자</stp>
        <stp/>
        <tr r="N9" s="3"/>
      </tp>
      <tp>
        <v>0</v>
        <stp/>
        <stp>P</stp>
        <stp>0</stp>
        <stp>IR</stp>
        <stp>BONDAVG02</stp>
        <stp>15년이하(당일)</stp>
        <stp>일자</stp>
        <stp/>
        <tr r="O9" s="3"/>
      </tp>
      <tp>
        <v>0</v>
        <stp/>
        <stp>P</stp>
        <stp>0</stp>
        <stp>IR</stp>
        <stp>BONDAVG02</stp>
        <stp>50년이하(당일)</stp>
        <stp>일자</stp>
        <stp/>
        <tr r="R9" s="3"/>
      </tp>
      <tp>
        <v>2.8519999999999999</v>
        <stp/>
        <stp>P</stp>
        <stp>0</stp>
        <stp>IR</stp>
        <stp>BONDAVG01</stp>
        <stp>30년이하(당일)</stp>
        <stp>일자</stp>
        <stp/>
        <tr r="AJ35" s="3"/>
        <tr r="AJ35" s="3"/>
        <tr r="Q35" s="3"/>
        <tr r="Q35" s="3"/>
        <tr r="AJ8" s="3"/>
        <tr r="AJ8" s="3"/>
        <tr r="Q8" s="3"/>
        <tr r="Q8" s="3"/>
      </tp>
      <tp>
        <v>2.952</v>
        <stp/>
        <stp>P</stp>
        <stp>0</stp>
        <stp>IR</stp>
        <stp>BONDAVG01</stp>
        <stp>20년이하(당일)</stp>
        <stp>일자</stp>
        <stp/>
        <tr r="AI35" s="3"/>
        <tr r="AI35" s="3"/>
        <tr r="P35" s="3"/>
        <tr r="P35" s="3"/>
        <tr r="AI8" s="3"/>
        <tr r="AI8" s="3"/>
        <tr r="P8" s="3"/>
        <tr r="P8" s="3"/>
      </tp>
      <tp>
        <v>2.9750000000000001</v>
        <stp/>
        <stp>P</stp>
        <stp>0</stp>
        <stp>IR</stp>
        <stp>BONDAVG01</stp>
        <stp>10년이하(당일)</stp>
        <stp>일자</stp>
        <stp/>
        <tr r="AG35" s="3"/>
        <tr r="AG35" s="3"/>
        <tr r="N35" s="3"/>
        <tr r="N35" s="3"/>
        <tr r="AG8" s="3"/>
        <tr r="AG8" s="3"/>
        <tr r="N8" s="3"/>
        <tr r="N8" s="3"/>
      </tp>
      <tp>
        <v>2.9820000000000002</v>
        <stp/>
        <stp>P</stp>
        <stp>0</stp>
        <stp>IR</stp>
        <stp>BONDAVG01</stp>
        <stp>15년이하(당일)</stp>
        <stp>일자</stp>
        <stp/>
        <tr r="AH35" s="3"/>
        <tr r="AH35" s="3"/>
        <tr r="O35" s="3"/>
        <tr r="O35" s="3"/>
        <tr r="AH8" s="3"/>
        <tr r="AH8" s="3"/>
        <tr r="AV10" s="3"/>
        <tr r="O8" s="3"/>
        <tr r="O8" s="3"/>
      </tp>
      <tp>
        <v>2.7629999999999999</v>
        <stp/>
        <stp>P</stp>
        <stp>0</stp>
        <stp>IR</stp>
        <stp>BONDAVG01</stp>
        <stp>50년이하(당일)</stp>
        <stp>일자</stp>
        <stp/>
        <tr r="AK35" s="3"/>
        <tr r="AK35" s="3"/>
        <tr r="R35" s="3"/>
        <tr r="R35" s="3"/>
        <tr r="AK8" s="3"/>
        <tr r="AK8" s="3"/>
        <tr r="R8" s="3"/>
        <tr r="R8" s="3"/>
      </tp>
      <tp>
        <v>0</v>
        <stp/>
        <stp>P</stp>
        <stp>0</stp>
        <stp>IR</stp>
        <stp>BONDAVG44</stp>
        <stp>30년이하(당일)</stp>
        <stp>일자</stp>
        <stp/>
        <tr r="Q36" s="3"/>
      </tp>
      <tp>
        <v>0</v>
        <stp/>
        <stp>P</stp>
        <stp>0</stp>
        <stp>IR</stp>
        <stp>BONDAVG64</stp>
        <stp>30년이하(당일)</stp>
        <stp>일자</stp>
        <stp/>
        <tr r="AJ36" s="3"/>
      </tp>
      <tp>
        <v>3.8879999999999999</v>
        <stp/>
        <stp>P</stp>
        <stp>0</stp>
        <stp>IR</stp>
        <stp>BONDAVG44</stp>
        <stp>20년이하(당일)</stp>
        <stp>일자</stp>
        <stp/>
        <tr r="P36" s="3"/>
        <tr r="P36" s="3"/>
      </tp>
      <tp>
        <v>10.91</v>
        <stp/>
        <stp>P</stp>
        <stp>0</stp>
        <stp>IR</stp>
        <stp>BONDAVG64</stp>
        <stp>20년이하(당일)</stp>
        <stp>일자</stp>
        <stp/>
        <tr r="AI36" s="3"/>
        <tr r="AI36" s="3"/>
      </tp>
      <tp>
        <v>3.7759999999999998</v>
        <stp/>
        <stp>P</stp>
        <stp>0</stp>
        <stp>IR</stp>
        <stp>BONDAVG44</stp>
        <stp>15년이하(당일)</stp>
        <stp>일자</stp>
        <stp/>
        <tr r="O36" s="3"/>
        <tr r="O36" s="3"/>
      </tp>
      <tp>
        <v>10.590999999999999</v>
        <stp/>
        <stp>P</stp>
        <stp>0</stp>
        <stp>IR</stp>
        <stp>BONDAVG64</stp>
        <stp>15년이하(당일)</stp>
        <stp>일자</stp>
        <stp/>
        <tr r="AH36" s="3"/>
        <tr r="AH36" s="3"/>
      </tp>
      <tp>
        <v>3.6</v>
        <stp/>
        <stp>P</stp>
        <stp>0</stp>
        <stp>IR</stp>
        <stp>BONDAVG44</stp>
        <stp>10년이하(당일)</stp>
        <stp>일자</stp>
        <stp/>
        <tr r="N36" s="3"/>
        <tr r="N36" s="3"/>
      </tp>
      <tp>
        <v>10.208</v>
        <stp/>
        <stp>P</stp>
        <stp>0</stp>
        <stp>IR</stp>
        <stp>BONDAVG64</stp>
        <stp>10년이하(당일)</stp>
        <stp>일자</stp>
        <stp/>
        <tr r="AG36" s="3"/>
        <tr r="AG36" s="3"/>
      </tp>
      <tp>
        <v>0</v>
        <stp/>
        <stp>P</stp>
        <stp>0</stp>
        <stp>IR</stp>
        <stp>BONDAVG44</stp>
        <stp>50년이하(당일)</stp>
        <stp>일자</stp>
        <stp/>
        <tr r="R36" s="3"/>
      </tp>
      <tp>
        <v>0</v>
        <stp/>
        <stp>P</stp>
        <stp>0</stp>
        <stp>IR</stp>
        <stp>BONDAVG64</stp>
        <stp>50년이하(당일)</stp>
        <stp>일자</stp>
        <stp/>
        <tr r="AK36" s="3"/>
      </tp>
      <tp>
        <v>5.41</v>
        <stp/>
        <stp>P</stp>
        <stp>0</stp>
        <stp>IR</stp>
        <stp>BONDAVG74</stp>
        <stp>7년이하(당일)</stp>
        <stp>45520</stp>
        <stp/>
        <tr r="AL76" s="2"/>
        <tr r="BC76" s="2"/>
      </tp>
      <tp>
        <v>5.9710000000000001</v>
        <stp/>
        <stp>P</stp>
        <stp>0</stp>
        <stp>IR</stp>
        <stp>BONDAVG75</stp>
        <stp>7년이하(당일)</stp>
        <stp>45520</stp>
        <stp/>
        <tr r="AL77" s="2"/>
        <tr r="BC77" s="2"/>
      </tp>
      <tp>
        <v>7.9589999999999996</v>
        <stp/>
        <stp>P</stp>
        <stp>0</stp>
        <stp>IR</stp>
        <stp>BONDAVG76</stp>
        <stp>7년이하(당일)</stp>
        <stp>45520</stp>
        <stp/>
        <tr r="AL78" s="2"/>
        <tr r="BC78" s="2"/>
      </tp>
      <tp>
        <v>9.109</v>
        <stp/>
        <stp>P</stp>
        <stp>0</stp>
        <stp>IR</stp>
        <stp>BONDAVG77</stp>
        <stp>7년이하(당일)</stp>
        <stp>45520</stp>
        <stp/>
        <tr r="AL79" s="2"/>
        <tr r="BC79" s="2"/>
      </tp>
      <tp>
        <v>3.7679999999999998</v>
        <stp/>
        <stp>P</stp>
        <stp>0</stp>
        <stp>IR</stp>
        <stp>BONDAVG70</stp>
        <stp>7년이하(당일)</stp>
        <stp>45520</stp>
        <stp/>
        <tr r="AL72" s="2"/>
        <tr r="BC72" s="2"/>
      </tp>
      <tp>
        <v>3.8929999999999998</v>
        <stp/>
        <stp>P</stp>
        <stp>0</stp>
        <stp>IR</stp>
        <stp>BONDAVG71</stp>
        <stp>7년이하(당일)</stp>
        <stp>45520</stp>
        <stp/>
        <tr r="AL73" s="2"/>
        <tr r="BC73" s="2"/>
      </tp>
      <tp>
        <v>4.1180000000000003</v>
        <stp/>
        <stp>P</stp>
        <stp>0</stp>
        <stp>IR</stp>
        <stp>BONDAVG72</stp>
        <stp>7년이하(당일)</stp>
        <stp>45520</stp>
        <stp/>
        <tr r="AL74" s="2"/>
        <tr r="BC74" s="2"/>
      </tp>
      <tp>
        <v>4.9400000000000004</v>
        <stp/>
        <stp>P</stp>
        <stp>0</stp>
        <stp>IR</stp>
        <stp>BONDAVG73</stp>
        <stp>7년이하(당일)</stp>
        <stp>45520</stp>
        <stp/>
        <tr r="AL75" s="2"/>
        <tr r="BC75" s="2"/>
      </tp>
      <tp>
        <v>10.803000000000001</v>
        <stp/>
        <stp>P</stp>
        <stp>0</stp>
        <stp>IR</stp>
        <stp>BONDAVG78</stp>
        <stp>7년이하(당일)</stp>
        <stp>45520</stp>
        <stp/>
        <tr r="AL80" s="2"/>
        <tr r="BC80" s="2"/>
      </tp>
      <tp>
        <v>3.1850000000000001</v>
        <stp/>
        <stp>P</stp>
        <stp>0</stp>
        <stp>IR</stp>
        <stp>BONDAVG79</stp>
        <stp>7년이하(당일)</stp>
        <stp>45520</stp>
        <stp/>
        <tr r="AL81" s="2"/>
        <tr r="BC81" s="2"/>
      </tp>
      <tp>
        <v>9.8260000000000005</v>
        <stp/>
        <stp>P</stp>
        <stp>0</stp>
        <stp>IR</stp>
        <stp>BONDAVG64</stp>
        <stp>7년이하(당일)</stp>
        <stp>45520</stp>
        <stp/>
        <tr r="AL70" s="2"/>
        <tr r="BC70" s="2"/>
      </tp>
      <tp>
        <v>4.931</v>
        <stp/>
        <stp>P</stp>
        <stp>0</stp>
        <stp>IR</stp>
        <stp>BONDAVG60</stp>
        <stp>7년이하(당일)</stp>
        <stp>45520</stp>
        <stp/>
        <tr r="AL66" s="2"/>
        <tr r="BC66" s="2"/>
      </tp>
      <tp>
        <v>5.4660000000000002</v>
        <stp/>
        <stp>P</stp>
        <stp>0</stp>
        <stp>IR</stp>
        <stp>BONDAVG61</stp>
        <stp>7년이하(당일)</stp>
        <stp>45520</stp>
        <stp/>
        <tr r="AL67" s="2"/>
        <tr r="BC67" s="2"/>
      </tp>
      <tp>
        <v>7.3520000000000003</v>
        <stp/>
        <stp>P</stp>
        <stp>0</stp>
        <stp>IR</stp>
        <stp>BONDAVG62</stp>
        <stp>7년이하(당일)</stp>
        <stp>45520</stp>
        <stp/>
        <tr r="AL68" s="2"/>
        <tr r="BC68" s="2"/>
      </tp>
      <tp>
        <v>8.4019999999999992</v>
        <stp/>
        <stp>P</stp>
        <stp>0</stp>
        <stp>IR</stp>
        <stp>BONDAVG63</stp>
        <stp>7년이하(당일)</stp>
        <stp>45520</stp>
        <stp/>
        <tr r="AL69" s="2"/>
        <tr r="BC69" s="2"/>
      </tp>
      <tp>
        <v>3.61</v>
        <stp/>
        <stp>P</stp>
        <stp>0</stp>
        <stp>IR</stp>
        <stp>BONDAVG69</stp>
        <stp>7년이하(당일)</stp>
        <stp>45520</stp>
        <stp/>
        <tr r="AL71" s="2"/>
        <tr r="BC71" s="2"/>
      </tp>
      <tp>
        <v>3.351</v>
        <stp/>
        <stp>P</stp>
        <stp>0</stp>
        <stp>IR</stp>
        <stp>BONDAVG55</stp>
        <stp>7년이하(당일)</stp>
        <stp>45520</stp>
        <stp/>
        <tr r="AL61" s="2"/>
        <tr r="BC61" s="2"/>
      </tp>
      <tp>
        <v>3.4860000000000002</v>
        <stp/>
        <stp>P</stp>
        <stp>0</stp>
        <stp>IR</stp>
        <stp>BONDAVG56</stp>
        <stp>7년이하(당일)</stp>
        <stp>45520</stp>
        <stp/>
        <tr r="AL62" s="2"/>
        <tr r="BC62" s="2"/>
      </tp>
      <tp>
        <v>3.5859999999999999</v>
        <stp/>
        <stp>P</stp>
        <stp>0</stp>
        <stp>IR</stp>
        <stp>BONDAVG57</stp>
        <stp>7년이하(당일)</stp>
        <stp>45520</stp>
        <stp/>
        <tr r="AL63" s="2"/>
        <tr r="BC63" s="2"/>
      </tp>
      <tp>
        <v>3.7749999999999999</v>
        <stp/>
        <stp>P</stp>
        <stp>0</stp>
        <stp>IR</stp>
        <stp>BONDAVG51</stp>
        <stp>7년이하(당일)</stp>
        <stp>45520</stp>
        <stp/>
        <tr r="AL59" s="2"/>
        <tr r="BC59" s="2"/>
      </tp>
      <tp>
        <v>4.9489999999999998</v>
        <stp/>
        <stp>P</stp>
        <stp>0</stp>
        <stp>IR</stp>
        <stp>BONDAVG53</stp>
        <stp>7년이하(당일)</stp>
        <stp>45520</stp>
        <stp/>
        <tr r="AL60" s="2"/>
        <tr r="BC60" s="2"/>
      </tp>
      <tp>
        <v>3.7829999999999999</v>
        <stp/>
        <stp>P</stp>
        <stp>0</stp>
        <stp>IR</stp>
        <stp>BONDAVG58</stp>
        <stp>7년이하(당일)</stp>
        <stp>45520</stp>
        <stp/>
        <tr r="AL64" s="2"/>
        <tr r="BC64" s="2"/>
      </tp>
      <tp>
        <v>4.4980000000000002</v>
        <stp/>
        <stp>P</stp>
        <stp>0</stp>
        <stp>IR</stp>
        <stp>BONDAVG59</stp>
        <stp>7년이하(당일)</stp>
        <stp>45520</stp>
        <stp/>
        <tr r="AL65" s="2"/>
        <tr r="BC65" s="2"/>
      </tp>
      <tp>
        <v>3.3519999999999999</v>
        <stp/>
        <stp>P</stp>
        <stp>0</stp>
        <stp>IR</stp>
        <stp>BONDAVG44</stp>
        <stp>7년이하(당일)</stp>
        <stp>45520</stp>
        <stp/>
        <tr r="AL54" s="2"/>
        <tr r="BC54" s="2"/>
      </tp>
      <tp>
        <v>3.5790000000000002</v>
        <stp/>
        <stp>P</stp>
        <stp>0</stp>
        <stp>IR</stp>
        <stp>BONDAVG45</stp>
        <stp>7년이하(당일)</stp>
        <stp>45520</stp>
        <stp/>
        <tr r="AL55" s="2"/>
        <tr r="BC55" s="2"/>
      </tp>
      <tp>
        <v>3.988</v>
        <stp/>
        <stp>P</stp>
        <stp>0</stp>
        <stp>IR</stp>
        <stp>BONDAVG46</stp>
        <stp>7년이하(당일)</stp>
        <stp>45520</stp>
        <stp/>
        <tr r="AL56" s="2"/>
        <tr r="BC56" s="2"/>
      </tp>
      <tp>
        <v>5.0990000000000002</v>
        <stp/>
        <stp>P</stp>
        <stp>0</stp>
        <stp>IR</stp>
        <stp>BONDAVG47</stp>
        <stp>7년이하(당일)</stp>
        <stp>45520</stp>
        <stp/>
        <tr r="AL57" s="2"/>
        <tr r="BC57" s="2"/>
      </tp>
      <tp>
        <v>6.2</v>
        <stp/>
        <stp>P</stp>
        <stp>0</stp>
        <stp>IR</stp>
        <stp>BONDAVG40</stp>
        <stp>7년이하(당일)</stp>
        <stp>45520</stp>
        <stp/>
        <tr r="AL50" s="2"/>
        <tr r="BC50" s="2"/>
      </tp>
      <tp>
        <v>7.4870000000000001</v>
        <stp/>
        <stp>P</stp>
        <stp>0</stp>
        <stp>IR</stp>
        <stp>BONDAVG41</stp>
        <stp>7년이하(당일)</stp>
        <stp>45520</stp>
        <stp/>
        <tr r="AL51" s="2"/>
        <tr r="BC51" s="2"/>
      </tp>
      <tp>
        <v>8.64</v>
        <stp/>
        <stp>P</stp>
        <stp>0</stp>
        <stp>IR</stp>
        <stp>BONDAVG42</stp>
        <stp>7년이하(당일)</stp>
        <stp>45520</stp>
        <stp/>
        <tr r="AL52" s="2"/>
        <tr r="BC52" s="2"/>
      </tp>
      <tp>
        <v>10.032</v>
        <stp/>
        <stp>P</stp>
        <stp>0</stp>
        <stp>IR</stp>
        <stp>BONDAVG43</stp>
        <stp>7년이하(당일)</stp>
        <stp>45520</stp>
        <stp/>
        <tr r="AL53" s="2"/>
        <tr r="BC53" s="2"/>
      </tp>
      <tp>
        <v>3.4780000000000002</v>
        <stp/>
        <stp>P</stp>
        <stp>0</stp>
        <stp>IR</stp>
        <stp>BONDAVG49</stp>
        <stp>7년이하(당일)</stp>
        <stp>45520</stp>
        <stp/>
        <tr r="AL58" s="2"/>
        <tr r="BC58" s="2"/>
      </tp>
      <tp>
        <v>10.041</v>
        <stp/>
        <stp>P</stp>
        <stp>0</stp>
        <stp>IR</stp>
        <stp>BONDAVG34</stp>
        <stp>7년이하(당일)</stp>
        <stp>45520</stp>
        <stp/>
        <tr r="AL44" s="2"/>
        <tr r="BC44" s="2"/>
      </tp>
      <tp>
        <v>3.9279999999999999</v>
        <stp/>
        <stp>P</stp>
        <stp>0</stp>
        <stp>IR</stp>
        <stp>BONDAVG36</stp>
        <stp>7년이하(당일)</stp>
        <stp>45520</stp>
        <stp/>
        <tr r="AL46" s="2"/>
        <tr r="BC46" s="2"/>
      </tp>
      <tp>
        <v>4.1319999999999997</v>
        <stp/>
        <stp>P</stp>
        <stp>0</stp>
        <stp>IR</stp>
        <stp>BONDAVG37</stp>
        <stp>7년이하(당일)</stp>
        <stp>45520</stp>
        <stp/>
        <tr r="AL47" s="2"/>
        <tr r="BC47" s="2"/>
      </tp>
      <tp>
        <v>5.5449999999999999</v>
        <stp/>
        <stp>P</stp>
        <stp>0</stp>
        <stp>IR</stp>
        <stp>BONDAVG30</stp>
        <stp>7년이하(당일)</stp>
        <stp>45520</stp>
        <stp/>
        <tr r="AL40" s="2"/>
        <tr r="BC40" s="2"/>
      </tp>
      <tp>
        <v>6.2</v>
        <stp/>
        <stp>P</stp>
        <stp>0</stp>
        <stp>IR</stp>
        <stp>BONDAVG31</stp>
        <stp>7년이하(당일)</stp>
        <stp>45520</stp>
        <stp/>
        <tr r="AL41" s="2"/>
        <tr r="BC41" s="2"/>
      </tp>
      <tp>
        <v>7.51</v>
        <stp/>
        <stp>P</stp>
        <stp>0</stp>
        <stp>IR</stp>
        <stp>BONDAVG32</stp>
        <stp>7년이하(당일)</stp>
        <stp>45520</stp>
        <stp/>
        <tr r="AL42" s="2"/>
        <tr r="BC42" s="2"/>
      </tp>
      <tp>
        <v>8.5779999999999994</v>
        <stp/>
        <stp>P</stp>
        <stp>0</stp>
        <stp>IR</stp>
        <stp>BONDAVG33</stp>
        <stp>7년이하(당일)</stp>
        <stp>45520</stp>
        <stp/>
        <tr r="AL43" s="2"/>
        <tr r="BC43" s="2"/>
      </tp>
      <tp>
        <v>5.0179999999999998</v>
        <stp/>
        <stp>P</stp>
        <stp>0</stp>
        <stp>IR</stp>
        <stp>BONDAVG38</stp>
        <stp>7년이하(당일)</stp>
        <stp>45520</stp>
        <stp/>
        <tr r="AL48" s="2"/>
        <tr r="BC48" s="2"/>
      </tp>
      <tp>
        <v>5.5449999999999999</v>
        <stp/>
        <stp>P</stp>
        <stp>0</stp>
        <stp>IR</stp>
        <stp>BONDAVG39</stp>
        <stp>7년이하(당일)</stp>
        <stp>45520</stp>
        <stp/>
        <tr r="AL49" s="2"/>
        <tr r="BC49" s="2"/>
      </tp>
      <tp>
        <v>4.141</v>
        <stp/>
        <stp>P</stp>
        <stp>0</stp>
        <stp>IR</stp>
        <stp>BONDAVG24</stp>
        <stp>7년이하(당일)</stp>
        <stp>45520</stp>
        <stp/>
        <tr r="AL33" s="2"/>
        <tr r="BC33" s="2"/>
      </tp>
      <tp>
        <v>4.2690000000000001</v>
        <stp/>
        <stp>P</stp>
        <stp>0</stp>
        <stp>IR</stp>
        <stp>BONDAVG25</stp>
        <stp>7년이하(당일)</stp>
        <stp>45520</stp>
        <stp/>
        <tr r="AL34" s="2"/>
        <tr r="BC34" s="2"/>
      </tp>
      <tp>
        <v>4.3789999999999996</v>
        <stp/>
        <stp>P</stp>
        <stp>0</stp>
        <stp>IR</stp>
        <stp>BONDAVG26</stp>
        <stp>7년이하(당일)</stp>
        <stp>45520</stp>
        <stp/>
        <tr r="AL35" s="2"/>
        <tr r="BC35" s="2"/>
      </tp>
      <tp>
        <v>3.9279999999999999</v>
        <stp/>
        <stp>P</stp>
        <stp>0</stp>
        <stp>IR</stp>
        <stp>BONDAVG27</stp>
        <stp>7년이하(당일)</stp>
        <stp>45520</stp>
        <stp/>
        <tr r="AL37" s="2"/>
        <tr r="BC37" s="2"/>
      </tp>
      <tp>
        <v>3.3530000000000002</v>
        <stp/>
        <stp>P</stp>
        <stp>0</stp>
        <stp>IR</stp>
        <stp>BONDAVG20</stp>
        <stp>7년이하(당일)</stp>
        <stp>45520</stp>
        <stp/>
        <tr r="AL29" s="2"/>
        <tr r="BC29" s="2"/>
      </tp>
      <tp>
        <v>3.4319999999999999</v>
        <stp/>
        <stp>P</stp>
        <stp>0</stp>
        <stp>IR</stp>
        <stp>BONDAVG21</stp>
        <stp>7년이하(당일)</stp>
        <stp>45520</stp>
        <stp/>
        <tr r="AL30" s="2"/>
        <tr r="BC30" s="2"/>
      </tp>
      <tp>
        <v>3.7330000000000001</v>
        <stp/>
        <stp>P</stp>
        <stp>0</stp>
        <stp>IR</stp>
        <stp>BONDAVG22</stp>
        <stp>7년이하(당일)</stp>
        <stp>45520</stp>
        <stp/>
        <tr r="AL31" s="2"/>
        <tr r="BC31" s="2"/>
      </tp>
      <tp>
        <v>3.9780000000000002</v>
        <stp/>
        <stp>P</stp>
        <stp>0</stp>
        <stp>IR</stp>
        <stp>BONDAVG23</stp>
        <stp>7년이하(당일)</stp>
        <stp>45520</stp>
        <stp/>
        <tr r="AL32" s="2"/>
        <tr r="BC32" s="2"/>
      </tp>
      <tp>
        <v>4.1319999999999997</v>
        <stp/>
        <stp>P</stp>
        <stp>0</stp>
        <stp>IR</stp>
        <stp>BONDAVG28</stp>
        <stp>7년이하(당일)</stp>
        <stp>45520</stp>
        <stp/>
        <tr r="AL38" s="2"/>
        <tr r="BC38" s="2"/>
      </tp>
      <tp>
        <v>5.0179999999999998</v>
        <stp/>
        <stp>P</stp>
        <stp>0</stp>
        <stp>IR</stp>
        <stp>BONDAVG29</stp>
        <stp>7년이하(당일)</stp>
        <stp>45520</stp>
        <stp/>
        <tr r="AL39" s="2"/>
        <tr r="BC39" s="2"/>
      </tp>
      <tp>
        <v>0</v>
        <stp/>
        <stp>P</stp>
        <stp>0</stp>
        <stp>IR</stp>
        <stp>BONDAVG14</stp>
        <stp>7년이하(당일)</stp>
        <stp>45520</stp>
        <stp/>
        <tr r="BC22" s="2"/>
      </tp>
      <tp>
        <v>0</v>
        <stp/>
        <stp>P</stp>
        <stp>0</stp>
        <stp>IR</stp>
        <stp>BONDAVG15</stp>
        <stp>7년이하(당일)</stp>
        <stp>45520</stp>
        <stp/>
        <tr r="BC23" s="2"/>
      </tp>
      <tp>
        <v>3.238</v>
        <stp/>
        <stp>P</stp>
        <stp>0</stp>
        <stp>IR</stp>
        <stp>BONDAVG16</stp>
        <stp>7년이하(당일)</stp>
        <stp>45520</stp>
        <stp/>
        <tr r="AL25" s="2"/>
        <tr r="BC25" s="2"/>
      </tp>
      <tp>
        <v>3.278</v>
        <stp/>
        <stp>P</stp>
        <stp>0</stp>
        <stp>IR</stp>
        <stp>BONDAVG17</stp>
        <stp>7년이하(당일)</stp>
        <stp>45520</stp>
        <stp/>
        <tr r="AL26" s="2"/>
        <tr r="BC26" s="2"/>
      </tp>
      <tp>
        <v>3.2930000000000001</v>
        <stp/>
        <stp>P</stp>
        <stp>0</stp>
        <stp>IR</stp>
        <stp>BONDAVG10</stp>
        <stp>7년이하(당일)</stp>
        <stp>45520</stp>
        <stp/>
        <tr r="AL19" s="2"/>
        <tr r="BC19" s="2"/>
      </tp>
      <tp>
        <v>3.4350000000000001</v>
        <stp/>
        <stp>P</stp>
        <stp>0</stp>
        <stp>IR</stp>
        <stp>BONDAVG11</stp>
        <stp>7년이하(당일)</stp>
        <stp>45520</stp>
        <stp/>
        <tr r="AL20" s="2"/>
        <tr r="BC20" s="2"/>
      </tp>
      <tp>
        <v>3.5630000000000002</v>
        <stp/>
        <stp>P</stp>
        <stp>0</stp>
        <stp>IR</stp>
        <stp>BONDAVG12</stp>
        <stp>7년이하(당일)</stp>
        <stp>45520</stp>
        <stp/>
        <tr r="AL21" s="2"/>
        <tr r="BC21" s="2"/>
      </tp>
      <tp>
        <v>3.081</v>
        <stp/>
        <stp>P</stp>
        <stp>0</stp>
        <stp>IR</stp>
        <stp>BONDAVG13</stp>
        <stp>7년이하(당일)</stp>
        <stp>45520</stp>
        <stp/>
        <tr r="AL17" s="2"/>
        <tr r="BC17" s="2"/>
      </tp>
      <tp>
        <v>3.2629999999999999</v>
        <stp/>
        <stp>P</stp>
        <stp>0</stp>
        <stp>IR</stp>
        <stp>BONDAVG18</stp>
        <stp>7년이하(당일)</stp>
        <stp>45520</stp>
        <stp/>
        <tr r="AL27" s="2"/>
        <tr r="BC27" s="2"/>
      </tp>
      <tp>
        <v>3.306</v>
        <stp/>
        <stp>P</stp>
        <stp>0</stp>
        <stp>IR</stp>
        <stp>BONDAVG19</stp>
        <stp>7년이하(당일)</stp>
        <stp>45520</stp>
        <stp/>
        <tr r="AL28" s="2"/>
        <tr r="BC28" s="2"/>
      </tp>
      <tp>
        <v>2.68</v>
        <stp/>
        <stp>P</stp>
        <stp>0</stp>
        <stp>IR</stp>
        <stp>BONDAVG04</stp>
        <stp>7년이하(당일)</stp>
        <stp>45520</stp>
        <stp/>
        <tr r="AL14" s="2"/>
        <tr r="BC14" s="2"/>
      </tp>
      <tp>
        <v>3.2869999999999999</v>
        <stp/>
        <stp>P</stp>
        <stp>0</stp>
        <stp>IR</stp>
        <stp>BONDAVG05</stp>
        <stp>7년이하(당일)</stp>
        <stp>45520</stp>
        <stp/>
        <tr r="AL15" s="2"/>
        <tr r="BC15" s="2"/>
      </tp>
      <tp>
        <v>3.2869999999999999</v>
        <stp/>
        <stp>P</stp>
        <stp>0</stp>
        <stp>IR</stp>
        <stp>BONDAVG06</stp>
        <stp>7년이하(당일)</stp>
        <stp>45520</stp>
        <stp/>
        <tr r="AL16" s="2"/>
        <tr r="BC16" s="2"/>
      </tp>
      <tp>
        <v>2.9809999999999999</v>
        <stp/>
        <stp>P</stp>
        <stp>0</stp>
        <stp>IR</stp>
        <stp>BONDAVG01</stp>
        <stp>7년이하(당일)</stp>
        <stp>45520</stp>
        <stp/>
        <tr r="AL11" s="2"/>
        <tr r="BC11" s="2"/>
      </tp>
      <tp>
        <v>0</v>
        <stp/>
        <stp>P</stp>
        <stp>0</stp>
        <stp>IR</stp>
        <stp>BONDAVG02</stp>
        <stp>7년이하(당일)</stp>
        <stp>45520</stp>
        <stp/>
        <tr r="BC12" s="2"/>
      </tp>
      <tp>
        <v>2.9729999999999999</v>
        <stp/>
        <stp>P</stp>
        <stp>0</stp>
        <stp>IR</stp>
        <stp>BONDAVG03</stp>
        <stp>7년이하(당일)</stp>
        <stp>45520</stp>
        <stp/>
        <tr r="AL13" s="2"/>
        <tr r="BC13" s="2"/>
      </tp>
      <tp>
        <v>3.1429999999999998</v>
        <stp/>
        <stp>P</stp>
        <stp>0</stp>
        <stp>IR</stp>
        <stp>BONDAVG09</stp>
        <stp>7년이하(당일)</stp>
        <stp>45520</stp>
        <stp/>
        <tr r="AL18" s="2"/>
        <tr r="BC18" s="2"/>
      </tp>
      <tp>
        <v>3.29</v>
        <stp/>
        <stp>P</stp>
        <stp>0</stp>
        <stp>IR</stp>
        <stp>BONDAVG84</stp>
        <stp>7년이하(당일)</stp>
        <stp>45520</stp>
        <stp/>
        <tr r="AL24" s="2"/>
        <tr r="BC24" s="2"/>
      </tp>
      <tp>
        <v>3.7320000000000002</v>
        <stp/>
        <stp>P</stp>
        <stp>0</stp>
        <stp>IR</stp>
        <stp>BONDAVG81</stp>
        <stp>7년이하(당일)</stp>
        <stp>45520</stp>
        <stp/>
        <tr r="AL36" s="2"/>
        <tr r="BC36" s="2"/>
      </tp>
      <tp>
        <v>3.7320000000000002</v>
        <stp/>
        <stp>P</stp>
        <stp>0</stp>
        <stp>IR</stp>
        <stp>BONDAVG82</stp>
        <stp>7년이하(당일)</stp>
        <stp>45520</stp>
        <stp/>
        <tr r="AL45" s="2"/>
        <tr r="BC45" s="2"/>
      </tp>
      <tp>
        <v>4.843</v>
        <stp/>
        <stp>P</stp>
        <stp>0</stp>
        <stp>IR</stp>
        <stp>BONDAVG74</stp>
        <stp>4년이하(당일)</stp>
        <stp>45520</stp>
        <stp/>
        <tr r="AJ76" s="2"/>
        <tr r="BA76" s="2"/>
      </tp>
      <tp>
        <v>5.3659999999999997</v>
        <stp/>
        <stp>P</stp>
        <stp>0</stp>
        <stp>IR</stp>
        <stp>BONDAVG75</stp>
        <stp>4년이하(당일)</stp>
        <stp>45520</stp>
        <stp/>
        <tr r="AJ77" s="2"/>
        <tr r="BA77" s="2"/>
      </tp>
      <tp>
        <v>7.76</v>
        <stp/>
        <stp>P</stp>
        <stp>0</stp>
        <stp>IR</stp>
        <stp>BONDAVG76</stp>
        <stp>4년이하(당일)</stp>
        <stp>45520</stp>
        <stp/>
        <tr r="AJ78" s="2"/>
        <tr r="BA78" s="2"/>
      </tp>
      <tp>
        <v>8.8919999999999995</v>
        <stp/>
        <stp>P</stp>
        <stp>0</stp>
        <stp>IR</stp>
        <stp>BONDAVG77</stp>
        <stp>4년이하(당일)</stp>
        <stp>45520</stp>
        <stp/>
        <tr r="AJ79" s="2"/>
        <tr r="BA79" s="2"/>
      </tp>
      <tp>
        <v>3.577</v>
        <stp/>
        <stp>P</stp>
        <stp>0</stp>
        <stp>IR</stp>
        <stp>BONDAVG70</stp>
        <stp>4년이하(당일)</stp>
        <stp>45520</stp>
        <stp/>
        <tr r="AJ72" s="2"/>
        <tr r="BA72" s="2"/>
      </tp>
      <tp>
        <v>3.64</v>
        <stp/>
        <stp>P</stp>
        <stp>0</stp>
        <stp>IR</stp>
        <stp>BONDAVG71</stp>
        <stp>4년이하(당일)</stp>
        <stp>45520</stp>
        <stp/>
        <tr r="AJ73" s="2"/>
        <tr r="BA73" s="2"/>
      </tp>
      <tp>
        <v>3.734</v>
        <stp/>
        <stp>P</stp>
        <stp>0</stp>
        <stp>IR</stp>
        <stp>BONDAVG72</stp>
        <stp>4년이하(당일)</stp>
        <stp>45520</stp>
        <stp/>
        <tr r="AJ74" s="2"/>
        <tr r="BA74" s="2"/>
      </tp>
      <tp>
        <v>4.4560000000000004</v>
        <stp/>
        <stp>P</stp>
        <stp>0</stp>
        <stp>IR</stp>
        <stp>BONDAVG73</stp>
        <stp>4년이하(당일)</stp>
        <stp>45520</stp>
        <stp/>
        <tr r="AJ75" s="2"/>
        <tr r="BA75" s="2"/>
      </tp>
      <tp>
        <v>10.597</v>
        <stp/>
        <stp>P</stp>
        <stp>0</stp>
        <stp>IR</stp>
        <stp>BONDAVG78</stp>
        <stp>4년이하(당일)</stp>
        <stp>45520</stp>
        <stp/>
        <tr r="AJ80" s="2"/>
        <tr r="BA80" s="2"/>
      </tp>
      <tp>
        <v>3.1850000000000001</v>
        <stp/>
        <stp>P</stp>
        <stp>0</stp>
        <stp>IR</stp>
        <stp>BONDAVG79</stp>
        <stp>4년이하(당일)</stp>
        <stp>45520</stp>
        <stp/>
        <tr r="AJ81" s="2"/>
        <tr r="BA81" s="2"/>
      </tp>
      <tp>
        <v>9.657</v>
        <stp/>
        <stp>P</stp>
        <stp>0</stp>
        <stp>IR</stp>
        <stp>BONDAVG64</stp>
        <stp>4년이하(당일)</stp>
        <stp>45520</stp>
        <stp/>
        <tr r="AJ70" s="2"/>
        <tr r="BA70" s="2"/>
      </tp>
      <tp>
        <v>4.415</v>
        <stp/>
        <stp>P</stp>
        <stp>0</stp>
        <stp>IR</stp>
        <stp>BONDAVG60</stp>
        <stp>4년이하(당일)</stp>
        <stp>45520</stp>
        <stp/>
        <tr r="AJ66" s="2"/>
        <tr r="BA66" s="2"/>
      </tp>
      <tp>
        <v>4.92</v>
        <stp/>
        <stp>P</stp>
        <stp>0</stp>
        <stp>IR</stp>
        <stp>BONDAVG61</stp>
        <stp>4년이하(당일)</stp>
        <stp>45520</stp>
        <stp/>
        <tr r="AJ67" s="2"/>
        <tr r="BA67" s="2"/>
      </tp>
      <tp>
        <v>7.19</v>
        <stp/>
        <stp>P</stp>
        <stp>0</stp>
        <stp>IR</stp>
        <stp>BONDAVG62</stp>
        <stp>4년이하(당일)</stp>
        <stp>45520</stp>
        <stp/>
        <tr r="AJ68" s="2"/>
        <tr r="BA68" s="2"/>
      </tp>
      <tp>
        <v>8.2330000000000005</v>
        <stp/>
        <stp>P</stp>
        <stp>0</stp>
        <stp>IR</stp>
        <stp>BONDAVG63</stp>
        <stp>4년이하(당일)</stp>
        <stp>45520</stp>
        <stp/>
        <tr r="AJ69" s="2"/>
        <tr r="BA69" s="2"/>
      </tp>
      <tp>
        <v>3.484</v>
        <stp/>
        <stp>P</stp>
        <stp>0</stp>
        <stp>IR</stp>
        <stp>BONDAVG69</stp>
        <stp>4년이하(당일)</stp>
        <stp>45520</stp>
        <stp/>
        <tr r="AJ71" s="2"/>
        <tr r="BA71" s="2"/>
      </tp>
      <tp>
        <v>3.2829999999999999</v>
        <stp/>
        <stp>P</stp>
        <stp>0</stp>
        <stp>IR</stp>
        <stp>BONDAVG55</stp>
        <stp>4년이하(당일)</stp>
        <stp>45520</stp>
        <stp/>
        <tr r="AJ61" s="2"/>
        <tr r="BA61" s="2"/>
      </tp>
      <tp>
        <v>3.3460000000000001</v>
        <stp/>
        <stp>P</stp>
        <stp>0</stp>
        <stp>IR</stp>
        <stp>BONDAVG56</stp>
        <stp>4년이하(당일)</stp>
        <stp>45520</stp>
        <stp/>
        <tr r="AJ62" s="2"/>
        <tr r="BA62" s="2"/>
      </tp>
      <tp>
        <v>3.387</v>
        <stp/>
        <stp>P</stp>
        <stp>0</stp>
        <stp>IR</stp>
        <stp>BONDAVG57</stp>
        <stp>4년이하(당일)</stp>
        <stp>45520</stp>
        <stp/>
        <tr r="AJ63" s="2"/>
        <tr r="BA63" s="2"/>
      </tp>
      <tp>
        <v>3.423</v>
        <stp/>
        <stp>P</stp>
        <stp>0</stp>
        <stp>IR</stp>
        <stp>BONDAVG51</stp>
        <stp>4년이하(당일)</stp>
        <stp>45520</stp>
        <stp/>
        <tr r="AJ59" s="2"/>
        <tr r="BA59" s="2"/>
      </tp>
      <tp>
        <v>4.4130000000000003</v>
        <stp/>
        <stp>P</stp>
        <stp>0</stp>
        <stp>IR</stp>
        <stp>BONDAVG53</stp>
        <stp>4년이하(당일)</stp>
        <stp>45520</stp>
        <stp/>
        <tr r="AJ60" s="2"/>
        <tr r="BA60" s="2"/>
      </tp>
      <tp>
        <v>3.45</v>
        <stp/>
        <stp>P</stp>
        <stp>0</stp>
        <stp>IR</stp>
        <stp>BONDAVG58</stp>
        <stp>4년이하(당일)</stp>
        <stp>45520</stp>
        <stp/>
        <tr r="AJ64" s="2"/>
        <tr r="BA64" s="2"/>
      </tp>
      <tp>
        <v>4.0739999999999998</v>
        <stp/>
        <stp>P</stp>
        <stp>0</stp>
        <stp>IR</stp>
        <stp>BONDAVG59</stp>
        <stp>4년이하(당일)</stp>
        <stp>45520</stp>
        <stp/>
        <tr r="AJ65" s="2"/>
        <tr r="BA65" s="2"/>
      </tp>
      <tp>
        <v>3.2370000000000001</v>
        <stp/>
        <stp>P</stp>
        <stp>0</stp>
        <stp>IR</stp>
        <stp>BONDAVG44</stp>
        <stp>4년이하(당일)</stp>
        <stp>45520</stp>
        <stp/>
        <tr r="AJ54" s="2"/>
        <tr r="BA54" s="2"/>
      </tp>
      <tp>
        <v>3.39</v>
        <stp/>
        <stp>P</stp>
        <stp>0</stp>
        <stp>IR</stp>
        <stp>BONDAVG45</stp>
        <stp>4년이하(당일)</stp>
        <stp>45520</stp>
        <stp/>
        <tr r="AJ55" s="2"/>
        <tr r="BA55" s="2"/>
      </tp>
      <tp>
        <v>3.7309999999999999</v>
        <stp/>
        <stp>P</stp>
        <stp>0</stp>
        <stp>IR</stp>
        <stp>BONDAVG46</stp>
        <stp>4년이하(당일)</stp>
        <stp>45520</stp>
        <stp/>
        <tr r="AJ56" s="2"/>
        <tr r="BA56" s="2"/>
      </tp>
      <tp>
        <v>4.819</v>
        <stp/>
        <stp>P</stp>
        <stp>0</stp>
        <stp>IR</stp>
        <stp>BONDAVG47</stp>
        <stp>4년이하(당일)</stp>
        <stp>45520</stp>
        <stp/>
        <tr r="AJ57" s="2"/>
        <tr r="BA57" s="2"/>
      </tp>
      <tp>
        <v>6.0839999999999996</v>
        <stp/>
        <stp>P</stp>
        <stp>0</stp>
        <stp>IR</stp>
        <stp>BONDAVG40</stp>
        <stp>4년이하(당일)</stp>
        <stp>45520</stp>
        <stp/>
        <tr r="AJ50" s="2"/>
        <tr r="BA50" s="2"/>
      </tp>
      <tp>
        <v>7.3970000000000002</v>
        <stp/>
        <stp>P</stp>
        <stp>0</stp>
        <stp>IR</stp>
        <stp>BONDAVG41</stp>
        <stp>4년이하(당일)</stp>
        <stp>45520</stp>
        <stp/>
        <tr r="AJ51" s="2"/>
        <tr r="BA51" s="2"/>
      </tp>
      <tp>
        <v>8.33</v>
        <stp/>
        <stp>P</stp>
        <stp>0</stp>
        <stp>IR</stp>
        <stp>BONDAVG42</stp>
        <stp>4년이하(당일)</stp>
        <stp>45520</stp>
        <stp/>
        <tr r="AJ52" s="2"/>
        <tr r="BA52" s="2"/>
      </tp>
      <tp>
        <v>9.6859999999999999</v>
        <stp/>
        <stp>P</stp>
        <stp>0</stp>
        <stp>IR</stp>
        <stp>BONDAVG43</stp>
        <stp>4년이하(당일)</stp>
        <stp>45520</stp>
        <stp/>
        <tr r="AJ53" s="2"/>
        <tr r="BA53" s="2"/>
      </tp>
      <tp>
        <v>3.3370000000000002</v>
        <stp/>
        <stp>P</stp>
        <stp>0</stp>
        <stp>IR</stp>
        <stp>BONDAVG49</stp>
        <stp>4년이하(당일)</stp>
        <stp>45520</stp>
        <stp/>
        <tr r="AJ58" s="2"/>
        <tr r="BA58" s="2"/>
      </tp>
      <tp>
        <v>9.7490000000000006</v>
        <stp/>
        <stp>P</stp>
        <stp>0</stp>
        <stp>IR</stp>
        <stp>BONDAVG34</stp>
        <stp>4년이하(당일)</stp>
        <stp>45520</stp>
        <stp/>
        <tr r="AJ44" s="2"/>
        <tr r="BA44" s="2"/>
      </tp>
      <tp>
        <v>3.44</v>
        <stp/>
        <stp>P</stp>
        <stp>0</stp>
        <stp>IR</stp>
        <stp>BONDAVG36</stp>
        <stp>4년이하(당일)</stp>
        <stp>45520</stp>
        <stp/>
        <tr r="AJ46" s="2"/>
        <tr r="BA46" s="2"/>
      </tp>
      <tp>
        <v>3.5529999999999999</v>
        <stp/>
        <stp>P</stp>
        <stp>0</stp>
        <stp>IR</stp>
        <stp>BONDAVG37</stp>
        <stp>4년이하(당일)</stp>
        <stp>45520</stp>
        <stp/>
        <tr r="AJ47" s="2"/>
        <tr r="BA47" s="2"/>
      </tp>
      <tp>
        <v>5.3920000000000003</v>
        <stp/>
        <stp>P</stp>
        <stp>0</stp>
        <stp>IR</stp>
        <stp>BONDAVG30</stp>
        <stp>4년이하(당일)</stp>
        <stp>45520</stp>
        <stp/>
        <tr r="AJ40" s="2"/>
        <tr r="BA40" s="2"/>
      </tp>
      <tp>
        <v>6.0839999999999996</v>
        <stp/>
        <stp>P</stp>
        <stp>0</stp>
        <stp>IR</stp>
        <stp>BONDAVG31</stp>
        <stp>4년이하(당일)</stp>
        <stp>45520</stp>
        <stp/>
        <tr r="AJ41" s="2"/>
        <tr r="BA41" s="2"/>
      </tp>
      <tp>
        <v>7.4160000000000004</v>
        <stp/>
        <stp>P</stp>
        <stp>0</stp>
        <stp>IR</stp>
        <stp>BONDAVG32</stp>
        <stp>4년이하(당일)</stp>
        <stp>45520</stp>
        <stp/>
        <tr r="AJ42" s="2"/>
        <tr r="BA42" s="2"/>
      </tp>
      <tp>
        <v>8.3409999999999993</v>
        <stp/>
        <stp>P</stp>
        <stp>0</stp>
        <stp>IR</stp>
        <stp>BONDAVG33</stp>
        <stp>4년이하(당일)</stp>
        <stp>45520</stp>
        <stp/>
        <tr r="AJ43" s="2"/>
        <tr r="BA43" s="2"/>
      </tp>
      <tp>
        <v>4.7069999999999999</v>
        <stp/>
        <stp>P</stp>
        <stp>0</stp>
        <stp>IR</stp>
        <stp>BONDAVG38</stp>
        <stp>4년이하(당일)</stp>
        <stp>45520</stp>
        <stp/>
        <tr r="AJ48" s="2"/>
        <tr r="BA48" s="2"/>
      </tp>
      <tp>
        <v>5.3920000000000003</v>
        <stp/>
        <stp>P</stp>
        <stp>0</stp>
        <stp>IR</stp>
        <stp>BONDAVG39</stp>
        <stp>4년이하(당일)</stp>
        <stp>45520</stp>
        <stp/>
        <tr r="AJ49" s="2"/>
        <tr r="BA49" s="2"/>
      </tp>
      <tp>
        <v>3.919</v>
        <stp/>
        <stp>P</stp>
        <stp>0</stp>
        <stp>IR</stp>
        <stp>BONDAVG24</stp>
        <stp>4년이하(당일)</stp>
        <stp>45520</stp>
        <stp/>
        <tr r="AJ33" s="2"/>
        <tr r="BA33" s="2"/>
      </tp>
      <tp>
        <v>4.0209999999999999</v>
        <stp/>
        <stp>P</stp>
        <stp>0</stp>
        <stp>IR</stp>
        <stp>BONDAVG25</stp>
        <stp>4년이하(당일)</stp>
        <stp>45520</stp>
        <stp/>
        <tr r="AJ34" s="2"/>
        <tr r="BA34" s="2"/>
      </tp>
      <tp>
        <v>4.1180000000000003</v>
        <stp/>
        <stp>P</stp>
        <stp>0</stp>
        <stp>IR</stp>
        <stp>BONDAVG26</stp>
        <stp>4년이하(당일)</stp>
        <stp>45520</stp>
        <stp/>
        <tr r="AJ35" s="2"/>
        <tr r="BA35" s="2"/>
      </tp>
      <tp>
        <v>3.44</v>
        <stp/>
        <stp>P</stp>
        <stp>0</stp>
        <stp>IR</stp>
        <stp>BONDAVG27</stp>
        <stp>4년이하(당일)</stp>
        <stp>45520</stp>
        <stp/>
        <tr r="AJ37" s="2"/>
        <tr r="BA37" s="2"/>
      </tp>
      <tp>
        <v>3.2090000000000001</v>
        <stp/>
        <stp>P</stp>
        <stp>0</stp>
        <stp>IR</stp>
        <stp>BONDAVG20</stp>
        <stp>4년이하(당일)</stp>
        <stp>45520</stp>
        <stp/>
        <tr r="AJ29" s="2"/>
        <tr r="BA29" s="2"/>
      </tp>
      <tp>
        <v>3.2850000000000001</v>
        <stp/>
        <stp>P</stp>
        <stp>0</stp>
        <stp>IR</stp>
        <stp>BONDAVG21</stp>
        <stp>4년이하(당일)</stp>
        <stp>45520</stp>
        <stp/>
        <tr r="AJ30" s="2"/>
        <tr r="BA30" s="2"/>
      </tp>
      <tp>
        <v>3.55</v>
        <stp/>
        <stp>P</stp>
        <stp>0</stp>
        <stp>IR</stp>
        <stp>BONDAVG22</stp>
        <stp>4년이하(당일)</stp>
        <stp>45520</stp>
        <stp/>
        <tr r="AJ31" s="2"/>
        <tr r="BA31" s="2"/>
      </tp>
      <tp>
        <v>3.782</v>
        <stp/>
        <stp>P</stp>
        <stp>0</stp>
        <stp>IR</stp>
        <stp>BONDAVG23</stp>
        <stp>4년이하(당일)</stp>
        <stp>45520</stp>
        <stp/>
        <tr r="AJ32" s="2"/>
        <tr r="BA32" s="2"/>
      </tp>
      <tp>
        <v>3.5529999999999999</v>
        <stp/>
        <stp>P</stp>
        <stp>0</stp>
        <stp>IR</stp>
        <stp>BONDAVG28</stp>
        <stp>4년이하(당일)</stp>
        <stp>45520</stp>
        <stp/>
        <tr r="AJ38" s="2"/>
        <tr r="BA38" s="2"/>
      </tp>
      <tp>
        <v>4.7069999999999999</v>
        <stp/>
        <stp>P</stp>
        <stp>0</stp>
        <stp>IR</stp>
        <stp>BONDAVG29</stp>
        <stp>4년이하(당일)</stp>
        <stp>45520</stp>
        <stp/>
        <tr r="AJ39" s="2"/>
        <tr r="BA39" s="2"/>
      </tp>
      <tp>
        <v>0</v>
        <stp/>
        <stp>P</stp>
        <stp>0</stp>
        <stp>IR</stp>
        <stp>BONDAVG14</stp>
        <stp>4년이하(당일)</stp>
        <stp>45520</stp>
        <stp/>
        <tr r="BA22" s="2"/>
      </tp>
      <tp>
        <v>0</v>
        <stp/>
        <stp>P</stp>
        <stp>0</stp>
        <stp>IR</stp>
        <stp>BONDAVG15</stp>
        <stp>4년이하(당일)</stp>
        <stp>45520</stp>
        <stp/>
        <tr r="BA23" s="2"/>
      </tp>
      <tp>
        <v>3.0739999999999998</v>
        <stp/>
        <stp>P</stp>
        <stp>0</stp>
        <stp>IR</stp>
        <stp>BONDAVG16</stp>
        <stp>4년이하(당일)</stp>
        <stp>45520</stp>
        <stp/>
        <tr r="AJ25" s="2"/>
        <tr r="BA25" s="2"/>
      </tp>
      <tp>
        <v>3.1179999999999999</v>
        <stp/>
        <stp>P</stp>
        <stp>0</stp>
        <stp>IR</stp>
        <stp>BONDAVG17</stp>
        <stp>4년이하(당일)</stp>
        <stp>45520</stp>
        <stp/>
        <tr r="AJ26" s="2"/>
        <tr r="BA26" s="2"/>
      </tp>
      <tp>
        <v>3.258</v>
        <stp/>
        <stp>P</stp>
        <stp>0</stp>
        <stp>IR</stp>
        <stp>BONDAVG10</stp>
        <stp>4년이하(당일)</stp>
        <stp>45520</stp>
        <stp/>
        <tr r="AJ19" s="2"/>
        <tr r="BA19" s="2"/>
      </tp>
      <tp>
        <v>3.4020000000000001</v>
        <stp/>
        <stp>P</stp>
        <stp>0</stp>
        <stp>IR</stp>
        <stp>BONDAVG11</stp>
        <stp>4년이하(당일)</stp>
        <stp>45520</stp>
        <stp/>
        <tr r="AJ20" s="2"/>
        <tr r="BA20" s="2"/>
      </tp>
      <tp>
        <v>3.5339999999999998</v>
        <stp/>
        <stp>P</stp>
        <stp>0</stp>
        <stp>IR</stp>
        <stp>BONDAVG12</stp>
        <stp>4년이하(당일)</stp>
        <stp>45520</stp>
        <stp/>
        <tr r="AJ21" s="2"/>
        <tr r="BA21" s="2"/>
      </tp>
      <tp>
        <v>3.0619999999999998</v>
        <stp/>
        <stp>P</stp>
        <stp>0</stp>
        <stp>IR</stp>
        <stp>BONDAVG13</stp>
        <stp>4년이하(당일)</stp>
        <stp>45520</stp>
        <stp/>
        <tr r="AJ17" s="2"/>
        <tr r="BA17" s="2"/>
      </tp>
      <tp>
        <v>3.081</v>
        <stp/>
        <stp>P</stp>
        <stp>0</stp>
        <stp>IR</stp>
        <stp>BONDAVG18</stp>
        <stp>4년이하(당일)</stp>
        <stp>45520</stp>
        <stp/>
        <tr r="AJ27" s="2"/>
        <tr r="BA27" s="2"/>
      </tp>
      <tp>
        <v>3.1230000000000002</v>
        <stp/>
        <stp>P</stp>
        <stp>0</stp>
        <stp>IR</stp>
        <stp>BONDAVG19</stp>
        <stp>4년이하(당일)</stp>
        <stp>45520</stp>
        <stp/>
        <tr r="AJ28" s="2"/>
        <tr r="BA28" s="2"/>
      </tp>
      <tp>
        <v>2.5419999999999998</v>
        <stp/>
        <stp>P</stp>
        <stp>0</stp>
        <stp>IR</stp>
        <stp>BONDAVG04</stp>
        <stp>4년이하(당일)</stp>
        <stp>45520</stp>
        <stp/>
        <tr r="AJ14" s="2"/>
        <tr r="BA14" s="2"/>
      </tp>
      <tp>
        <v>3.121</v>
        <stp/>
        <stp>P</stp>
        <stp>0</stp>
        <stp>IR</stp>
        <stp>BONDAVG05</stp>
        <stp>4년이하(당일)</stp>
        <stp>45520</stp>
        <stp/>
        <tr r="AJ15" s="2"/>
        <tr r="BA15" s="2"/>
      </tp>
      <tp>
        <v>3.121</v>
        <stp/>
        <stp>P</stp>
        <stp>0</stp>
        <stp>IR</stp>
        <stp>BONDAVG06</stp>
        <stp>4년이하(당일)</stp>
        <stp>45520</stp>
        <stp/>
        <tr r="AJ16" s="2"/>
        <tr r="BA16" s="2"/>
      </tp>
      <tp>
        <v>2.9430000000000001</v>
        <stp/>
        <stp>P</stp>
        <stp>0</stp>
        <stp>IR</stp>
        <stp>BONDAVG01</stp>
        <stp>4년이하(당일)</stp>
        <stp>45520</stp>
        <stp/>
        <tr r="AJ11" s="2"/>
        <tr r="BA11" s="2"/>
      </tp>
      <tp>
        <v>3.0110000000000001</v>
        <stp/>
        <stp>P</stp>
        <stp>0</stp>
        <stp>IR</stp>
        <stp>BONDAVG02</stp>
        <stp>4년이하(당일)</stp>
        <stp>45520</stp>
        <stp/>
        <tr r="AJ12" s="2"/>
        <tr r="BA12" s="2"/>
      </tp>
      <tp>
        <v>2.8370000000000002</v>
        <stp/>
        <stp>P</stp>
        <stp>0</stp>
        <stp>IR</stp>
        <stp>BONDAVG03</stp>
        <stp>4년이하(당일)</stp>
        <stp>45520</stp>
        <stp/>
        <tr r="AJ13" s="2"/>
        <tr r="BA13" s="2"/>
      </tp>
      <tp>
        <v>3.1459999999999999</v>
        <stp/>
        <stp>P</stp>
        <stp>0</stp>
        <stp>IR</stp>
        <stp>BONDAVG09</stp>
        <stp>4년이하(당일)</stp>
        <stp>45520</stp>
        <stp/>
        <tr r="AJ18" s="2"/>
        <tr r="BA18" s="2"/>
      </tp>
      <tp>
        <v>3.161</v>
        <stp/>
        <stp>P</stp>
        <stp>0</stp>
        <stp>IR</stp>
        <stp>BONDAVG84</stp>
        <stp>4년이하(당일)</stp>
        <stp>45520</stp>
        <stp/>
        <tr r="AJ24" s="2"/>
        <tr r="BA24" s="2"/>
      </tp>
      <tp>
        <v>3.3220000000000001</v>
        <stp/>
        <stp>P</stp>
        <stp>0</stp>
        <stp>IR</stp>
        <stp>BONDAVG81</stp>
        <stp>4년이하(당일)</stp>
        <stp>45520</stp>
        <stp/>
        <tr r="AJ36" s="2"/>
        <tr r="BA36" s="2"/>
      </tp>
      <tp>
        <v>3.3220000000000001</v>
        <stp/>
        <stp>P</stp>
        <stp>0</stp>
        <stp>IR</stp>
        <stp>BONDAVG82</stp>
        <stp>4년이하(당일)</stp>
        <stp>45520</stp>
        <stp/>
        <tr r="AJ45" s="2"/>
        <tr r="BA45" s="2"/>
      </tp>
      <tp>
        <v>5.1509999999999998</v>
        <stp/>
        <stp>P</stp>
        <stp>0</stp>
        <stp>IR</stp>
        <stp>BONDAVG74</stp>
        <stp>5년이하(당일)</stp>
        <stp>45520</stp>
        <stp/>
        <tr r="AK76" s="2"/>
        <tr r="BB76" s="2"/>
      </tp>
      <tp>
        <v>5.78</v>
        <stp/>
        <stp>P</stp>
        <stp>0</stp>
        <stp>IR</stp>
        <stp>BONDAVG75</stp>
        <stp>5년이하(당일)</stp>
        <stp>45520</stp>
        <stp/>
        <tr r="AK77" s="2"/>
        <tr r="BB77" s="2"/>
      </tp>
      <tp>
        <v>7.8630000000000004</v>
        <stp/>
        <stp>P</stp>
        <stp>0</stp>
        <stp>IR</stp>
        <stp>BONDAVG76</stp>
        <stp>5년이하(당일)</stp>
        <stp>45520</stp>
        <stp/>
        <tr r="AK78" s="2"/>
        <tr r="BB78" s="2"/>
      </tp>
      <tp>
        <v>9.0030000000000001</v>
        <stp/>
        <stp>P</stp>
        <stp>0</stp>
        <stp>IR</stp>
        <stp>BONDAVG77</stp>
        <stp>5년이하(당일)</stp>
        <stp>45520</stp>
        <stp/>
        <tr r="AK79" s="2"/>
        <tr r="BB79" s="2"/>
      </tp>
      <tp>
        <v>3.6179999999999999</v>
        <stp/>
        <stp>P</stp>
        <stp>0</stp>
        <stp>IR</stp>
        <stp>BONDAVG70</stp>
        <stp>5년이하(당일)</stp>
        <stp>45520</stp>
        <stp/>
        <tr r="AK72" s="2"/>
        <tr r="BB72" s="2"/>
      </tp>
      <tp>
        <v>3.7069999999999999</v>
        <stp/>
        <stp>P</stp>
        <stp>0</stp>
        <stp>IR</stp>
        <stp>BONDAVG71</stp>
        <stp>5년이하(당일)</stp>
        <stp>45520</stp>
        <stp/>
        <tr r="AK73" s="2"/>
        <tr r="BB73" s="2"/>
      </tp>
      <tp>
        <v>3.8370000000000002</v>
        <stp/>
        <stp>P</stp>
        <stp>0</stp>
        <stp>IR</stp>
        <stp>BONDAVG72</stp>
        <stp>5년이하(당일)</stp>
        <stp>45520</stp>
        <stp/>
        <tr r="AK74" s="2"/>
        <tr r="BB74" s="2"/>
      </tp>
      <tp>
        <v>4.6900000000000004</v>
        <stp/>
        <stp>P</stp>
        <stp>0</stp>
        <stp>IR</stp>
        <stp>BONDAVG73</stp>
        <stp>5년이하(당일)</stp>
        <stp>45520</stp>
        <stp/>
        <tr r="AK75" s="2"/>
        <tr r="BB75" s="2"/>
      </tp>
      <tp>
        <v>10.704000000000001</v>
        <stp/>
        <stp>P</stp>
        <stp>0</stp>
        <stp>IR</stp>
        <stp>BONDAVG78</stp>
        <stp>5년이하(당일)</stp>
        <stp>45520</stp>
        <stp/>
        <tr r="AK80" s="2"/>
        <tr r="BB80" s="2"/>
      </tp>
      <tp>
        <v>3.1869999999999998</v>
        <stp/>
        <stp>P</stp>
        <stp>0</stp>
        <stp>IR</stp>
        <stp>BONDAVG79</stp>
        <stp>5년이하(당일)</stp>
        <stp>45520</stp>
        <stp/>
        <tr r="AK81" s="2"/>
        <tr r="BB81" s="2"/>
      </tp>
      <tp>
        <v>9.7439999999999998</v>
        <stp/>
        <stp>P</stp>
        <stp>0</stp>
        <stp>IR</stp>
        <stp>BONDAVG64</stp>
        <stp>5년이하(당일)</stp>
        <stp>45520</stp>
        <stp/>
        <tr r="AK70" s="2"/>
        <tr r="BB70" s="2"/>
      </tp>
      <tp>
        <v>4.7060000000000004</v>
        <stp/>
        <stp>P</stp>
        <stp>0</stp>
        <stp>IR</stp>
        <stp>BONDAVG60</stp>
        <stp>5년이하(당일)</stp>
        <stp>45520</stp>
        <stp/>
        <tr r="AK66" s="2"/>
        <tr r="BB66" s="2"/>
      </tp>
      <tp>
        <v>5.3019999999999996</v>
        <stp/>
        <stp>P</stp>
        <stp>0</stp>
        <stp>IR</stp>
        <stp>BONDAVG61</stp>
        <stp>5년이하(당일)</stp>
        <stp>45520</stp>
        <stp/>
        <tr r="AK67" s="2"/>
        <tr r="BB67" s="2"/>
      </tp>
      <tp>
        <v>7.2709999999999999</v>
        <stp/>
        <stp>P</stp>
        <stp>0</stp>
        <stp>IR</stp>
        <stp>BONDAVG62</stp>
        <stp>5년이하(당일)</stp>
        <stp>45520</stp>
        <stp/>
        <tr r="AK68" s="2"/>
        <tr r="BB68" s="2"/>
      </tp>
      <tp>
        <v>8.3190000000000008</v>
        <stp/>
        <stp>P</stp>
        <stp>0</stp>
        <stp>IR</stp>
        <stp>BONDAVG63</stp>
        <stp>5년이하(당일)</stp>
        <stp>45520</stp>
        <stp/>
        <tr r="AK69" s="2"/>
        <tr r="BB69" s="2"/>
      </tp>
      <tp>
        <v>3.512</v>
        <stp/>
        <stp>P</stp>
        <stp>0</stp>
        <stp>IR</stp>
        <stp>BONDAVG69</stp>
        <stp>5년이하(당일)</stp>
        <stp>45520</stp>
        <stp/>
        <tr r="AK71" s="2"/>
        <tr r="BB71" s="2"/>
      </tp>
      <tp>
        <v>3.2839999999999998</v>
        <stp/>
        <stp>P</stp>
        <stp>0</stp>
        <stp>IR</stp>
        <stp>BONDAVG55</stp>
        <stp>5년이하(당일)</stp>
        <stp>45520</stp>
        <stp/>
        <tr r="AK61" s="2"/>
        <tr r="BB61" s="2"/>
      </tp>
      <tp>
        <v>3.363</v>
        <stp/>
        <stp>P</stp>
        <stp>0</stp>
        <stp>IR</stp>
        <stp>BONDAVG56</stp>
        <stp>5년이하(당일)</stp>
        <stp>45520</stp>
        <stp/>
        <tr r="AK62" s="2"/>
        <tr r="BB62" s="2"/>
      </tp>
      <tp>
        <v>3.427</v>
        <stp/>
        <stp>P</stp>
        <stp>0</stp>
        <stp>IR</stp>
        <stp>BONDAVG57</stp>
        <stp>5년이하(당일)</stp>
        <stp>45520</stp>
        <stp/>
        <tr r="AK63" s="2"/>
        <tr r="BB63" s="2"/>
      </tp>
      <tp>
        <v>3.5219999999999998</v>
        <stp/>
        <stp>P</stp>
        <stp>0</stp>
        <stp>IR</stp>
        <stp>BONDAVG51</stp>
        <stp>5년이하(당일)</stp>
        <stp>45520</stp>
        <stp/>
        <tr r="AK59" s="2"/>
        <tr r="BB59" s="2"/>
      </tp>
      <tp>
        <v>4.7080000000000002</v>
        <stp/>
        <stp>P</stp>
        <stp>0</stp>
        <stp>IR</stp>
        <stp>BONDAVG53</stp>
        <stp>5년이하(당일)</stp>
        <stp>45520</stp>
        <stp/>
        <tr r="AK60" s="2"/>
        <tr r="BB60" s="2"/>
      </tp>
      <tp>
        <v>3.5310000000000001</v>
        <stp/>
        <stp>P</stp>
        <stp>0</stp>
        <stp>IR</stp>
        <stp>BONDAVG58</stp>
        <stp>5년이하(당일)</stp>
        <stp>45520</stp>
        <stp/>
        <tr r="AK64" s="2"/>
        <tr r="BB64" s="2"/>
      </tp>
      <tp>
        <v>4.2880000000000003</v>
        <stp/>
        <stp>P</stp>
        <stp>0</stp>
        <stp>IR</stp>
        <stp>BONDAVG59</stp>
        <stp>5년이하(당일)</stp>
        <stp>45520</stp>
        <stp/>
        <tr r="AK65" s="2"/>
        <tr r="BB65" s="2"/>
      </tp>
      <tp>
        <v>3.2429999999999999</v>
        <stp/>
        <stp>P</stp>
        <stp>0</stp>
        <stp>IR</stp>
        <stp>BONDAVG44</stp>
        <stp>5년이하(당일)</stp>
        <stp>45520</stp>
        <stp/>
        <tr r="AK54" s="2"/>
        <tr r="BB54" s="2"/>
      </tp>
      <tp>
        <v>3.42</v>
        <stp/>
        <stp>P</stp>
        <stp>0</stp>
        <stp>IR</stp>
        <stp>BONDAVG45</stp>
        <stp>5년이하(당일)</stp>
        <stp>45520</stp>
        <stp/>
        <tr r="AK55" s="2"/>
        <tr r="BB55" s="2"/>
      </tp>
      <tp>
        <v>3.8359999999999999</v>
        <stp/>
        <stp>P</stp>
        <stp>0</stp>
        <stp>IR</stp>
        <stp>BONDAVG46</stp>
        <stp>5년이하(당일)</stp>
        <stp>45520</stp>
        <stp/>
        <tr r="AK56" s="2"/>
        <tr r="BB56" s="2"/>
      </tp>
      <tp>
        <v>4.9619999999999997</v>
        <stp/>
        <stp>P</stp>
        <stp>0</stp>
        <stp>IR</stp>
        <stp>BONDAVG47</stp>
        <stp>5년이하(당일)</stp>
        <stp>45520</stp>
        <stp/>
        <tr r="AK57" s="2"/>
        <tr r="BB57" s="2"/>
      </tp>
      <tp>
        <v>6.1379999999999999</v>
        <stp/>
        <stp>P</stp>
        <stp>0</stp>
        <stp>IR</stp>
        <stp>BONDAVG40</stp>
        <stp>5년이하(당일)</stp>
        <stp>45520</stp>
        <stp/>
        <tr r="AK50" s="2"/>
        <tr r="BB50" s="2"/>
      </tp>
      <tp>
        <v>7.44</v>
        <stp/>
        <stp>P</stp>
        <stp>0</stp>
        <stp>IR</stp>
        <stp>BONDAVG41</stp>
        <stp>5년이하(당일)</stp>
        <stp>45520</stp>
        <stp/>
        <tr r="AK51" s="2"/>
        <tr r="BB51" s="2"/>
      </tp>
      <tp>
        <v>8.4779999999999998</v>
        <stp/>
        <stp>P</stp>
        <stp>0</stp>
        <stp>IR</stp>
        <stp>BONDAVG42</stp>
        <stp>5년이하(당일)</stp>
        <stp>45520</stp>
        <stp/>
        <tr r="AK52" s="2"/>
        <tr r="BB52" s="2"/>
      </tp>
      <tp>
        <v>9.8759999999999994</v>
        <stp/>
        <stp>P</stp>
        <stp>0</stp>
        <stp>IR</stp>
        <stp>BONDAVG43</stp>
        <stp>5년이하(당일)</stp>
        <stp>45520</stp>
        <stp/>
        <tr r="AK53" s="2"/>
        <tr r="BB53" s="2"/>
      </tp>
      <tp>
        <v>3.3580000000000001</v>
        <stp/>
        <stp>P</stp>
        <stp>0</stp>
        <stp>IR</stp>
        <stp>BONDAVG49</stp>
        <stp>5년이하(당일)</stp>
        <stp>45520</stp>
        <stp/>
        <tr r="AK58" s="2"/>
        <tr r="BB58" s="2"/>
      </tp>
      <tp>
        <v>9.9610000000000003</v>
        <stp/>
        <stp>P</stp>
        <stp>0</stp>
        <stp>IR</stp>
        <stp>BONDAVG34</stp>
        <stp>5년이하(당일)</stp>
        <stp>45520</stp>
        <stp/>
        <tr r="AK44" s="2"/>
        <tr r="BB44" s="2"/>
      </tp>
      <tp>
        <v>3.5430000000000001</v>
        <stp/>
        <stp>P</stp>
        <stp>0</stp>
        <stp>IR</stp>
        <stp>BONDAVG36</stp>
        <stp>5년이하(당일)</stp>
        <stp>45520</stp>
        <stp/>
        <tr r="AK46" s="2"/>
        <tr r="BB46" s="2"/>
      </tp>
      <tp>
        <v>3.66</v>
        <stp/>
        <stp>P</stp>
        <stp>0</stp>
        <stp>IR</stp>
        <stp>BONDAVG37</stp>
        <stp>5년이하(당일)</stp>
        <stp>45520</stp>
        <stp/>
        <tr r="AK47" s="2"/>
        <tr r="BB47" s="2"/>
      </tp>
      <tp>
        <v>5.4740000000000002</v>
        <stp/>
        <stp>P</stp>
        <stp>0</stp>
        <stp>IR</stp>
        <stp>BONDAVG30</stp>
        <stp>5년이하(당일)</stp>
        <stp>45520</stp>
        <stp/>
        <tr r="AK40" s="2"/>
        <tr r="BB40" s="2"/>
      </tp>
      <tp>
        <v>6.1379999999999999</v>
        <stp/>
        <stp>P</stp>
        <stp>0</stp>
        <stp>IR</stp>
        <stp>BONDAVG31</stp>
        <stp>5년이하(당일)</stp>
        <stp>45520</stp>
        <stp/>
        <tr r="AK41" s="2"/>
        <tr r="BB41" s="2"/>
      </tp>
      <tp>
        <v>7.4669999999999996</v>
        <stp/>
        <stp>P</stp>
        <stp>0</stp>
        <stp>IR</stp>
        <stp>BONDAVG32</stp>
        <stp>5년이하(당일)</stp>
        <stp>45520</stp>
        <stp/>
        <tr r="AK42" s="2"/>
        <tr r="BB42" s="2"/>
      </tp>
      <tp>
        <v>8.4890000000000008</v>
        <stp/>
        <stp>P</stp>
        <stp>0</stp>
        <stp>IR</stp>
        <stp>BONDAVG33</stp>
        <stp>5년이하(당일)</stp>
        <stp>45520</stp>
        <stp/>
        <tr r="AK43" s="2"/>
        <tr r="BB43" s="2"/>
      </tp>
      <tp>
        <v>4.82</v>
        <stp/>
        <stp>P</stp>
        <stp>0</stp>
        <stp>IR</stp>
        <stp>BONDAVG38</stp>
        <stp>5년이하(당일)</stp>
        <stp>45520</stp>
        <stp/>
        <tr r="AK48" s="2"/>
        <tr r="BB48" s="2"/>
      </tp>
      <tp>
        <v>5.4740000000000002</v>
        <stp/>
        <stp>P</stp>
        <stp>0</stp>
        <stp>IR</stp>
        <stp>BONDAVG39</stp>
        <stp>5년이하(당일)</stp>
        <stp>45520</stp>
        <stp/>
        <tr r="AK49" s="2"/>
        <tr r="BB49" s="2"/>
      </tp>
      <tp>
        <v>3.9609999999999999</v>
        <stp/>
        <stp>P</stp>
        <stp>0</stp>
        <stp>IR</stp>
        <stp>BONDAVG24</stp>
        <stp>5년이하(당일)</stp>
        <stp>45520</stp>
        <stp/>
        <tr r="AK33" s="2"/>
        <tr r="BB33" s="2"/>
      </tp>
      <tp>
        <v>4.0780000000000003</v>
        <stp/>
        <stp>P</stp>
        <stp>0</stp>
        <stp>IR</stp>
        <stp>BONDAVG25</stp>
        <stp>5년이하(당일)</stp>
        <stp>45520</stp>
        <stp/>
        <tr r="AK34" s="2"/>
        <tr r="BB34" s="2"/>
      </tp>
      <tp>
        <v>4.1829999999999998</v>
        <stp/>
        <stp>P</stp>
        <stp>0</stp>
        <stp>IR</stp>
        <stp>BONDAVG26</stp>
        <stp>5년이하(당일)</stp>
        <stp>45520</stp>
        <stp/>
        <tr r="AK35" s="2"/>
        <tr r="BB35" s="2"/>
      </tp>
      <tp>
        <v>3.5430000000000001</v>
        <stp/>
        <stp>P</stp>
        <stp>0</stp>
        <stp>IR</stp>
        <stp>BONDAVG27</stp>
        <stp>5년이하(당일)</stp>
        <stp>45520</stp>
        <stp/>
        <tr r="AK37" s="2"/>
        <tr r="BB37" s="2"/>
      </tp>
      <tp>
        <v>3.2080000000000002</v>
        <stp/>
        <stp>P</stp>
        <stp>0</stp>
        <stp>IR</stp>
        <stp>BONDAVG20</stp>
        <stp>5년이하(당일)</stp>
        <stp>45520</stp>
        <stp/>
        <tr r="AK29" s="2"/>
        <tr r="BB29" s="2"/>
      </tp>
      <tp>
        <v>3.3159999999999998</v>
        <stp/>
        <stp>P</stp>
        <stp>0</stp>
        <stp>IR</stp>
        <stp>BONDAVG21</stp>
        <stp>5년이하(당일)</stp>
        <stp>45520</stp>
        <stp/>
        <tr r="AK30" s="2"/>
        <tr r="BB30" s="2"/>
      </tp>
      <tp>
        <v>3.5859999999999999</v>
        <stp/>
        <stp>P</stp>
        <stp>0</stp>
        <stp>IR</stp>
        <stp>BONDAVG22</stp>
        <stp>5년이하(당일)</stp>
        <stp>45520</stp>
        <stp/>
        <tr r="AK31" s="2"/>
        <tr r="BB31" s="2"/>
      </tp>
      <tp>
        <v>3.82</v>
        <stp/>
        <stp>P</stp>
        <stp>0</stp>
        <stp>IR</stp>
        <stp>BONDAVG23</stp>
        <stp>5년이하(당일)</stp>
        <stp>45520</stp>
        <stp/>
        <tr r="AK32" s="2"/>
        <tr r="BB32" s="2"/>
      </tp>
      <tp>
        <v>3.66</v>
        <stp/>
        <stp>P</stp>
        <stp>0</stp>
        <stp>IR</stp>
        <stp>BONDAVG28</stp>
        <stp>5년이하(당일)</stp>
        <stp>45520</stp>
        <stp/>
        <tr r="AK38" s="2"/>
        <tr r="BB38" s="2"/>
      </tp>
      <tp>
        <v>4.82</v>
        <stp/>
        <stp>P</stp>
        <stp>0</stp>
        <stp>IR</stp>
        <stp>BONDAVG29</stp>
        <stp>5년이하(당일)</stp>
        <stp>45520</stp>
        <stp/>
        <tr r="AK39" s="2"/>
        <tr r="BB39" s="2"/>
      </tp>
      <tp>
        <v>0</v>
        <stp/>
        <stp>P</stp>
        <stp>0</stp>
        <stp>IR</stp>
        <stp>BONDAVG14</stp>
        <stp>5년이하(당일)</stp>
        <stp>45520</stp>
        <stp/>
        <tr r="BB22" s="2"/>
      </tp>
      <tp>
        <v>0</v>
        <stp/>
        <stp>P</stp>
        <stp>0</stp>
        <stp>IR</stp>
        <stp>BONDAVG15</stp>
        <stp>5년이하(당일)</stp>
        <stp>45520</stp>
        <stp/>
        <tr r="BB23" s="2"/>
      </tp>
      <tp>
        <v>3.0870000000000002</v>
        <stp/>
        <stp>P</stp>
        <stp>0</stp>
        <stp>IR</stp>
        <stp>BONDAVG16</stp>
        <stp>5년이하(당일)</stp>
        <stp>45520</stp>
        <stp/>
        <tr r="AK25" s="2"/>
        <tr r="BB25" s="2"/>
      </tp>
      <tp>
        <v>3.13</v>
        <stp/>
        <stp>P</stp>
        <stp>0</stp>
        <stp>IR</stp>
        <stp>BONDAVG17</stp>
        <stp>5년이하(당일)</stp>
        <stp>45520</stp>
        <stp/>
        <tr r="AK26" s="2"/>
        <tr r="BB26" s="2"/>
      </tp>
      <tp>
        <v>3.2690000000000001</v>
        <stp/>
        <stp>P</stp>
        <stp>0</stp>
        <stp>IR</stp>
        <stp>BONDAVG10</stp>
        <stp>5년이하(당일)</stp>
        <stp>45520</stp>
        <stp/>
        <tr r="AK19" s="2"/>
        <tr r="BB19" s="2"/>
      </tp>
      <tp>
        <v>3.4140000000000001</v>
        <stp/>
        <stp>P</stp>
        <stp>0</stp>
        <stp>IR</stp>
        <stp>BONDAVG11</stp>
        <stp>5년이하(당일)</stp>
        <stp>45520</stp>
        <stp/>
        <tr r="AK20" s="2"/>
        <tr r="BB20" s="2"/>
      </tp>
      <tp>
        <v>3.548</v>
        <stp/>
        <stp>P</stp>
        <stp>0</stp>
        <stp>IR</stp>
        <stp>BONDAVG12</stp>
        <stp>5년이하(당일)</stp>
        <stp>45520</stp>
        <stp/>
        <tr r="AK21" s="2"/>
        <tr r="BB21" s="2"/>
      </tp>
      <tp>
        <v>3.0760000000000001</v>
        <stp/>
        <stp>P</stp>
        <stp>0</stp>
        <stp>IR</stp>
        <stp>BONDAVG13</stp>
        <stp>5년이하(당일)</stp>
        <stp>45520</stp>
        <stp/>
        <tr r="AK17" s="2"/>
        <tr r="BB17" s="2"/>
      </tp>
      <tp>
        <v>3.093</v>
        <stp/>
        <stp>P</stp>
        <stp>0</stp>
        <stp>IR</stp>
        <stp>BONDAVG18</stp>
        <stp>5년이하(당일)</stp>
        <stp>45520</stp>
        <stp/>
        <tr r="AK27" s="2"/>
        <tr r="BB27" s="2"/>
      </tp>
      <tp>
        <v>3.1349999999999998</v>
        <stp/>
        <stp>P</stp>
        <stp>0</stp>
        <stp>IR</stp>
        <stp>BONDAVG19</stp>
        <stp>5년이하(당일)</stp>
        <stp>45520</stp>
        <stp/>
        <tr r="AK28" s="2"/>
        <tr r="BB28" s="2"/>
      </tp>
      <tp>
        <v>2.5649999999999999</v>
        <stp/>
        <stp>P</stp>
        <stp>0</stp>
        <stp>IR</stp>
        <stp>BONDAVG04</stp>
        <stp>5년이하(당일)</stp>
        <stp>45520</stp>
        <stp/>
        <tr r="AK14" s="2"/>
        <tr r="BB14" s="2"/>
      </tp>
      <tp>
        <v>3.109</v>
        <stp/>
        <stp>P</stp>
        <stp>0</stp>
        <stp>IR</stp>
        <stp>BONDAVG05</stp>
        <stp>5년이하(당일)</stp>
        <stp>45520</stp>
        <stp/>
        <tr r="AK15" s="2"/>
        <tr r="BB15" s="2"/>
      </tp>
      <tp>
        <v>3.109</v>
        <stp/>
        <stp>P</stp>
        <stp>0</stp>
        <stp>IR</stp>
        <stp>BONDAVG06</stp>
        <stp>5년이하(당일)</stp>
        <stp>45520</stp>
        <stp/>
        <tr r="AK16" s="2"/>
        <tr r="BB16" s="2"/>
      </tp>
      <tp>
        <v>2.93</v>
        <stp/>
        <stp>P</stp>
        <stp>0</stp>
        <stp>IR</stp>
        <stp>BONDAVG01</stp>
        <stp>5년이하(당일)</stp>
        <stp>45520</stp>
        <stp/>
        <tr r="AK11" s="2"/>
        <tr r="BB11" s="2"/>
      </tp>
      <tp>
        <v>3.052</v>
        <stp/>
        <stp>P</stp>
        <stp>0</stp>
        <stp>IR</stp>
        <stp>BONDAVG02</stp>
        <stp>5년이하(당일)</stp>
        <stp>45520</stp>
        <stp/>
        <tr r="AK12" s="2"/>
        <tr r="BB12" s="2"/>
      </tp>
      <tp>
        <v>2.8279999999999998</v>
        <stp/>
        <stp>P</stp>
        <stp>0</stp>
        <stp>IR</stp>
        <stp>BONDAVG03</stp>
        <stp>5년이하(당일)</stp>
        <stp>45520</stp>
        <stp/>
        <tr r="AK13" s="2"/>
        <tr r="BB13" s="2"/>
      </tp>
      <tp>
        <v>3.1459999999999999</v>
        <stp/>
        <stp>P</stp>
        <stp>0</stp>
        <stp>IR</stp>
        <stp>BONDAVG09</stp>
        <stp>5년이하(당일)</stp>
        <stp>45520</stp>
        <stp/>
        <tr r="AK18" s="2"/>
        <tr r="BB18" s="2"/>
      </tp>
      <tp>
        <v>3.161</v>
        <stp/>
        <stp>P</stp>
        <stp>0</stp>
        <stp>IR</stp>
        <stp>BONDAVG84</stp>
        <stp>5년이하(당일)</stp>
        <stp>45520</stp>
        <stp/>
        <tr r="AK24" s="2"/>
        <tr r="BB24" s="2"/>
      </tp>
      <tp>
        <v>3.331</v>
        <stp/>
        <stp>P</stp>
        <stp>0</stp>
        <stp>IR</stp>
        <stp>BONDAVG81</stp>
        <stp>5년이하(당일)</stp>
        <stp>45520</stp>
        <stp/>
        <tr r="AK36" s="2"/>
        <tr r="BB36" s="2"/>
      </tp>
      <tp>
        <v>3.331</v>
        <stp/>
        <stp>P</stp>
        <stp>0</stp>
        <stp>IR</stp>
        <stp>BONDAVG82</stp>
        <stp>5년이하(당일)</stp>
        <stp>45520</stp>
        <stp/>
        <tr r="AK45" s="2"/>
        <tr r="BB45" s="2"/>
      </tp>
      <tp>
        <v>4.2240000000000002</v>
        <stp/>
        <stp>P</stp>
        <stp>0</stp>
        <stp>IR</stp>
        <stp>BONDAVG74</stp>
        <stp>2년이하(당일)</stp>
        <stp>45520</stp>
        <stp/>
        <tr r="AG76" s="2"/>
        <tr r="AX76" s="2"/>
      </tp>
      <tp>
        <v>4.5890000000000004</v>
        <stp/>
        <stp>P</stp>
        <stp>0</stp>
        <stp>IR</stp>
        <stp>BONDAVG75</stp>
        <stp>2년이하(당일)</stp>
        <stp>45520</stp>
        <stp/>
        <tr r="AG77" s="2"/>
        <tr r="AX77" s="2"/>
      </tp>
      <tp>
        <v>6.8330000000000002</v>
        <stp/>
        <stp>P</stp>
        <stp>0</stp>
        <stp>IR</stp>
        <stp>BONDAVG76</stp>
        <stp>2년이하(당일)</stp>
        <stp>45520</stp>
        <stp/>
        <tr r="AG78" s="2"/>
        <tr r="AX78" s="2"/>
      </tp>
      <tp>
        <v>7.843</v>
        <stp/>
        <stp>P</stp>
        <stp>0</stp>
        <stp>IR</stp>
        <stp>BONDAVG77</stp>
        <stp>2년이하(당일)</stp>
        <stp>45520</stp>
        <stp/>
        <tr r="AG79" s="2"/>
        <tr r="AX79" s="2"/>
      </tp>
      <tp>
        <v>3.5169999999999999</v>
        <stp/>
        <stp>P</stp>
        <stp>0</stp>
        <stp>IR</stp>
        <stp>BONDAVG70</stp>
        <stp>2년이하(당일)</stp>
        <stp>45520</stp>
        <stp/>
        <tr r="AG72" s="2"/>
        <tr r="AX72" s="2"/>
      </tp>
      <tp>
        <v>3.5649999999999999</v>
        <stp/>
        <stp>P</stp>
        <stp>0</stp>
        <stp>IR</stp>
        <stp>BONDAVG71</stp>
        <stp>2년이하(당일)</stp>
        <stp>45520</stp>
        <stp/>
        <tr r="AG73" s="2"/>
        <tr r="AX73" s="2"/>
      </tp>
      <tp>
        <v>3.621</v>
        <stp/>
        <stp>P</stp>
        <stp>0</stp>
        <stp>IR</stp>
        <stp>BONDAVG72</stp>
        <stp>2년이하(당일)</stp>
        <stp>45520</stp>
        <stp/>
        <tr r="AG74" s="2"/>
        <tr r="AX74" s="2"/>
      </tp>
      <tp>
        <v>4.0140000000000002</v>
        <stp/>
        <stp>P</stp>
        <stp>0</stp>
        <stp>IR</stp>
        <stp>BONDAVG73</stp>
        <stp>2년이하(당일)</stp>
        <stp>45520</stp>
        <stp/>
        <tr r="AG75" s="2"/>
        <tr r="AX75" s="2"/>
      </tp>
      <tp>
        <v>9.3109999999999999</v>
        <stp/>
        <stp>P</stp>
        <stp>0</stp>
        <stp>IR</stp>
        <stp>BONDAVG78</stp>
        <stp>2년이하(당일)</stp>
        <stp>45520</stp>
        <stp/>
        <tr r="AG80" s="2"/>
        <tr r="AX80" s="2"/>
      </tp>
      <tp>
        <v>3.2160000000000002</v>
        <stp/>
        <stp>P</stp>
        <stp>0</stp>
        <stp>IR</stp>
        <stp>BONDAVG79</stp>
        <stp>2년이하(당일)</stp>
        <stp>45520</stp>
        <stp/>
        <tr r="AG81" s="2"/>
        <tr r="AX81" s="2"/>
      </tp>
      <tp>
        <v>8.4580000000000002</v>
        <stp/>
        <stp>P</stp>
        <stp>0</stp>
        <stp>IR</stp>
        <stp>BONDAVG64</stp>
        <stp>2년이하(당일)</stp>
        <stp>45520</stp>
        <stp/>
        <tr r="AG70" s="2"/>
        <tr r="AX70" s="2"/>
      </tp>
      <tp>
        <v>3.87</v>
        <stp/>
        <stp>P</stp>
        <stp>0</stp>
        <stp>IR</stp>
        <stp>BONDAVG60</stp>
        <stp>2년이하(당일)</stp>
        <stp>45520</stp>
        <stp/>
        <tr r="AG66" s="2"/>
        <tr r="AX66" s="2"/>
      </tp>
      <tp>
        <v>4.1950000000000003</v>
        <stp/>
        <stp>P</stp>
        <stp>0</stp>
        <stp>IR</stp>
        <stp>BONDAVG61</stp>
        <stp>2년이하(당일)</stp>
        <stp>45520</stp>
        <stp/>
        <tr r="AG67" s="2"/>
        <tr r="AX67" s="2"/>
      </tp>
      <tp>
        <v>6.3449999999999998</v>
        <stp/>
        <stp>P</stp>
        <stp>0</stp>
        <stp>IR</stp>
        <stp>BONDAVG62</stp>
        <stp>2년이하(당일)</stp>
        <stp>45520</stp>
        <stp/>
        <tr r="AG68" s="2"/>
        <tr r="AX68" s="2"/>
      </tp>
      <tp>
        <v>7.2919999999999998</v>
        <stp/>
        <stp>P</stp>
        <stp>0</stp>
        <stp>IR</stp>
        <stp>BONDAVG63</stp>
        <stp>2년이하(당일)</stp>
        <stp>45520</stp>
        <stp/>
        <tr r="AG69" s="2"/>
        <tr r="AX69" s="2"/>
      </tp>
      <tp>
        <v>3.4510000000000001</v>
        <stp/>
        <stp>P</stp>
        <stp>0</stp>
        <stp>IR</stp>
        <stp>BONDAVG69</stp>
        <stp>2년이하(당일)</stp>
        <stp>45520</stp>
        <stp/>
        <tr r="AG71" s="2"/>
        <tr r="AX71" s="2"/>
      </tp>
      <tp>
        <v>3.2839999999999998</v>
        <stp/>
        <stp>P</stp>
        <stp>0</stp>
        <stp>IR</stp>
        <stp>BONDAVG55</stp>
        <stp>2년이하(당일)</stp>
        <stp>45520</stp>
        <stp/>
        <tr r="AG61" s="2"/>
        <tr r="AX61" s="2"/>
      </tp>
      <tp>
        <v>3.3220000000000001</v>
        <stp/>
        <stp>P</stp>
        <stp>0</stp>
        <stp>IR</stp>
        <stp>BONDAVG56</stp>
        <stp>2년이하(당일)</stp>
        <stp>45520</stp>
        <stp/>
        <tr r="AG62" s="2"/>
        <tr r="AX62" s="2"/>
      </tp>
      <tp>
        <v>3.35</v>
        <stp/>
        <stp>P</stp>
        <stp>0</stp>
        <stp>IR</stp>
        <stp>BONDAVG57</stp>
        <stp>2년이하(당일)</stp>
        <stp>45520</stp>
        <stp/>
        <tr r="AG63" s="2"/>
        <tr r="AX63" s="2"/>
      </tp>
      <tp>
        <v>3.3730000000000002</v>
        <stp/>
        <stp>P</stp>
        <stp>0</stp>
        <stp>IR</stp>
        <stp>BONDAVG51</stp>
        <stp>2년이하(당일)</stp>
        <stp>45520</stp>
        <stp/>
        <tr r="AG59" s="2"/>
        <tr r="AX59" s="2"/>
      </tp>
      <tp>
        <v>3.88</v>
        <stp/>
        <stp>P</stp>
        <stp>0</stp>
        <stp>IR</stp>
        <stp>BONDAVG53</stp>
        <stp>2년이하(당일)</stp>
        <stp>45520</stp>
        <stp/>
        <tr r="AG60" s="2"/>
        <tr r="AX60" s="2"/>
      </tp>
      <tp>
        <v>3.3820000000000001</v>
        <stp/>
        <stp>P</stp>
        <stp>0</stp>
        <stp>IR</stp>
        <stp>BONDAVG58</stp>
        <stp>2년이하(당일)</stp>
        <stp>45520</stp>
        <stp/>
        <tr r="AG64" s="2"/>
        <tr r="AX64" s="2"/>
      </tp>
      <tp>
        <v>3.6949999999999998</v>
        <stp/>
        <stp>P</stp>
        <stp>0</stp>
        <stp>IR</stp>
        <stp>BONDAVG59</stp>
        <stp>2년이하(당일)</stp>
        <stp>45520</stp>
        <stp/>
        <tr r="AG65" s="2"/>
        <tr r="AX65" s="2"/>
      </tp>
      <tp>
        <v>3.2639999999999998</v>
        <stp/>
        <stp>P</stp>
        <stp>0</stp>
        <stp>IR</stp>
        <stp>BONDAVG44</stp>
        <stp>2년이하(당일)</stp>
        <stp>45520</stp>
        <stp/>
        <tr r="AG54" s="2"/>
        <tr r="AX54" s="2"/>
      </tp>
      <tp>
        <v>3.3650000000000002</v>
        <stp/>
        <stp>P</stp>
        <stp>0</stp>
        <stp>IR</stp>
        <stp>BONDAVG45</stp>
        <stp>2년이하(당일)</stp>
        <stp>45520</stp>
        <stp/>
        <tr r="AG55" s="2"/>
        <tr r="AX55" s="2"/>
      </tp>
      <tp>
        <v>3.58</v>
        <stp/>
        <stp>P</stp>
        <stp>0</stp>
        <stp>IR</stp>
        <stp>BONDAVG46</stp>
        <stp>2년이하(당일)</stp>
        <stp>45520</stp>
        <stp/>
        <tr r="AG56" s="2"/>
        <tr r="AX56" s="2"/>
      </tp>
      <tp>
        <v>4.3419999999999996</v>
        <stp/>
        <stp>P</stp>
        <stp>0</stp>
        <stp>IR</stp>
        <stp>BONDAVG47</stp>
        <stp>2년이하(당일)</stp>
        <stp>45520</stp>
        <stp/>
        <tr r="AG57" s="2"/>
        <tr r="AX57" s="2"/>
      </tp>
      <tp>
        <v>5.843</v>
        <stp/>
        <stp>P</stp>
        <stp>0</stp>
        <stp>IR</stp>
        <stp>BONDAVG40</stp>
        <stp>2년이하(당일)</stp>
        <stp>45520</stp>
        <stp/>
        <tr r="AG50" s="2"/>
        <tr r="AX50" s="2"/>
      </tp>
      <tp>
        <v>7.2089999999999996</v>
        <stp/>
        <stp>P</stp>
        <stp>0</stp>
        <stp>IR</stp>
        <stp>BONDAVG41</stp>
        <stp>2년이하(당일)</stp>
        <stp>45520</stp>
        <stp/>
        <tr r="AG51" s="2"/>
        <tr r="AX51" s="2"/>
      </tp>
      <tp>
        <v>8.0489999999999995</v>
        <stp/>
        <stp>P</stp>
        <stp>0</stp>
        <stp>IR</stp>
        <stp>BONDAVG42</stp>
        <stp>2년이하(당일)</stp>
        <stp>45520</stp>
        <stp/>
        <tr r="AG52" s="2"/>
        <tr r="AX52" s="2"/>
      </tp>
      <tp>
        <v>9.3859999999999992</v>
        <stp/>
        <stp>P</stp>
        <stp>0</stp>
        <stp>IR</stp>
        <stp>BONDAVG43</stp>
        <stp>2년이하(당일)</stp>
        <stp>45520</stp>
        <stp/>
        <tr r="AG53" s="2"/>
        <tr r="AX53" s="2"/>
      </tp>
      <tp>
        <v>3.3029999999999999</v>
        <stp/>
        <stp>P</stp>
        <stp>0</stp>
        <stp>IR</stp>
        <stp>BONDAVG49</stp>
        <stp>2년이하(당일)</stp>
        <stp>45520</stp>
        <stp/>
        <tr r="AG58" s="2"/>
        <tr r="AX58" s="2"/>
      </tp>
      <tp>
        <v>9.4879999999999995</v>
        <stp/>
        <stp>P</stp>
        <stp>0</stp>
        <stp>IR</stp>
        <stp>BONDAVG34</stp>
        <stp>2년이하(당일)</stp>
        <stp>45520</stp>
        <stp/>
        <tr r="AG44" s="2"/>
        <tr r="AX44" s="2"/>
      </tp>
      <tp>
        <v>3.4609999999999999</v>
        <stp/>
        <stp>P</stp>
        <stp>0</stp>
        <stp>IR</stp>
        <stp>BONDAVG36</stp>
        <stp>2년이하(당일)</stp>
        <stp>45520</stp>
        <stp/>
        <tr r="AG46" s="2"/>
        <tr r="AX46" s="2"/>
      </tp>
      <tp>
        <v>3.5550000000000002</v>
        <stp/>
        <stp>P</stp>
        <stp>0</stp>
        <stp>IR</stp>
        <stp>BONDAVG37</stp>
        <stp>2년이하(당일)</stp>
        <stp>45520</stp>
        <stp/>
        <tr r="AG47" s="2"/>
        <tr r="AX47" s="2"/>
      </tp>
      <tp>
        <v>5.2590000000000003</v>
        <stp/>
        <stp>P</stp>
        <stp>0</stp>
        <stp>IR</stp>
        <stp>BONDAVG30</stp>
        <stp>2년이하(당일)</stp>
        <stp>45520</stp>
        <stp/>
        <tr r="AG40" s="2"/>
        <tr r="AX40" s="2"/>
      </tp>
      <tp>
        <v>5.843</v>
        <stp/>
        <stp>P</stp>
        <stp>0</stp>
        <stp>IR</stp>
        <stp>BONDAVG31</stp>
        <stp>2년이하(당일)</stp>
        <stp>45520</stp>
        <stp/>
        <tr r="AG41" s="2"/>
        <tr r="AX41" s="2"/>
      </tp>
      <tp>
        <v>7.26</v>
        <stp/>
        <stp>P</stp>
        <stp>0</stp>
        <stp>IR</stp>
        <stp>BONDAVG32</stp>
        <stp>2년이하(당일)</stp>
        <stp>45520</stp>
        <stp/>
        <tr r="AG42" s="2"/>
        <tr r="AX42" s="2"/>
      </tp>
      <tp>
        <v>8.1080000000000005</v>
        <stp/>
        <stp>P</stp>
        <stp>0</stp>
        <stp>IR</stp>
        <stp>BONDAVG33</stp>
        <stp>2년이하(당일)</stp>
        <stp>45520</stp>
        <stp/>
        <tr r="AG43" s="2"/>
        <tr r="AX43" s="2"/>
      </tp>
      <tp>
        <v>4.4340000000000002</v>
        <stp/>
        <stp>P</stp>
        <stp>0</stp>
        <stp>IR</stp>
        <stp>BONDAVG38</stp>
        <stp>2년이하(당일)</stp>
        <stp>45520</stp>
        <stp/>
        <tr r="AG48" s="2"/>
        <tr r="AX48" s="2"/>
      </tp>
      <tp>
        <v>5.2590000000000003</v>
        <stp/>
        <stp>P</stp>
        <stp>0</stp>
        <stp>IR</stp>
        <stp>BONDAVG39</stp>
        <stp>2년이하(당일)</stp>
        <stp>45520</stp>
        <stp/>
        <tr r="AG49" s="2"/>
        <tr r="AX49" s="2"/>
      </tp>
      <tp>
        <v>3.9220000000000002</v>
        <stp/>
        <stp>P</stp>
        <stp>0</stp>
        <stp>IR</stp>
        <stp>BONDAVG24</stp>
        <stp>2년이하(당일)</stp>
        <stp>45520</stp>
        <stp/>
        <tr r="AG33" s="2"/>
        <tr r="AX33" s="2"/>
      </tp>
      <tp>
        <v>4.0209999999999999</v>
        <stp/>
        <stp>P</stp>
        <stp>0</stp>
        <stp>IR</stp>
        <stp>BONDAVG25</stp>
        <stp>2년이하(당일)</stp>
        <stp>45520</stp>
        <stp/>
        <tr r="AG34" s="2"/>
        <tr r="AX34" s="2"/>
      </tp>
      <tp>
        <v>4.1109999999999998</v>
        <stp/>
        <stp>P</stp>
        <stp>0</stp>
        <stp>IR</stp>
        <stp>BONDAVG26</stp>
        <stp>2년이하(당일)</stp>
        <stp>45520</stp>
        <stp/>
        <tr r="AG35" s="2"/>
        <tr r="AX35" s="2"/>
      </tp>
      <tp>
        <v>3.4609999999999999</v>
        <stp/>
        <stp>P</stp>
        <stp>0</stp>
        <stp>IR</stp>
        <stp>BONDAVG27</stp>
        <stp>2년이하(당일)</stp>
        <stp>45520</stp>
        <stp/>
        <tr r="AG37" s="2"/>
        <tr r="AX37" s="2"/>
      </tp>
      <tp>
        <v>3.2269999999999999</v>
        <stp/>
        <stp>P</stp>
        <stp>0</stp>
        <stp>IR</stp>
        <stp>BONDAVG20</stp>
        <stp>2년이하(당일)</stp>
        <stp>45520</stp>
        <stp/>
        <tr r="AG29" s="2"/>
        <tr r="AX29" s="2"/>
      </tp>
      <tp>
        <v>3.3279999999999998</v>
        <stp/>
        <stp>P</stp>
        <stp>0</stp>
        <stp>IR</stp>
        <stp>BONDAVG21</stp>
        <stp>2년이하(당일)</stp>
        <stp>45520</stp>
        <stp/>
        <tr r="AG30" s="2"/>
        <tr r="AX30" s="2"/>
      </tp>
      <tp>
        <v>3.5529999999999999</v>
        <stp/>
        <stp>P</stp>
        <stp>0</stp>
        <stp>IR</stp>
        <stp>BONDAVG22</stp>
        <stp>2년이하(당일)</stp>
        <stp>45520</stp>
        <stp/>
        <tr r="AG31" s="2"/>
        <tr r="AX31" s="2"/>
      </tp>
      <tp>
        <v>3.8050000000000002</v>
        <stp/>
        <stp>P</stp>
        <stp>0</stp>
        <stp>IR</stp>
        <stp>BONDAVG23</stp>
        <stp>2년이하(당일)</stp>
        <stp>45520</stp>
        <stp/>
        <tr r="AG32" s="2"/>
        <tr r="AX32" s="2"/>
      </tp>
      <tp>
        <v>3.5550000000000002</v>
        <stp/>
        <stp>P</stp>
        <stp>0</stp>
        <stp>IR</stp>
        <stp>BONDAVG28</stp>
        <stp>2년이하(당일)</stp>
        <stp>45520</stp>
        <stp/>
        <tr r="AG38" s="2"/>
        <tr r="AX38" s="2"/>
      </tp>
      <tp>
        <v>4.4340000000000002</v>
        <stp/>
        <stp>P</stp>
        <stp>0</stp>
        <stp>IR</stp>
        <stp>BONDAVG29</stp>
        <stp>2년이하(당일)</stp>
        <stp>45520</stp>
        <stp/>
        <tr r="AG39" s="2"/>
        <tr r="AX39" s="2"/>
      </tp>
      <tp>
        <v>2.9870000000000001</v>
        <stp/>
        <stp>P</stp>
        <stp>0</stp>
        <stp>IR</stp>
        <stp>BONDAVG14</stp>
        <stp>2년이하(당일)</stp>
        <stp>45520</stp>
        <stp/>
        <tr r="AG22" s="2"/>
        <tr r="AX22" s="2"/>
      </tp>
      <tp>
        <v>2.9940000000000002</v>
        <stp/>
        <stp>P</stp>
        <stp>0</stp>
        <stp>IR</stp>
        <stp>BONDAVG15</stp>
        <stp>2년이하(당일)</stp>
        <stp>45520</stp>
        <stp/>
        <tr r="AG23" s="2"/>
        <tr r="AX23" s="2"/>
      </tp>
      <tp>
        <v>3.1850000000000001</v>
        <stp/>
        <stp>P</stp>
        <stp>0</stp>
        <stp>IR</stp>
        <stp>BONDAVG16</stp>
        <stp>2년이하(당일)</stp>
        <stp>45520</stp>
        <stp/>
        <tr r="AG25" s="2"/>
        <tr r="AX25" s="2"/>
      </tp>
      <tp>
        <v>3.198</v>
        <stp/>
        <stp>P</stp>
        <stp>0</stp>
        <stp>IR</stp>
        <stp>BONDAVG17</stp>
        <stp>2년이하(당일)</stp>
        <stp>45520</stp>
        <stp/>
        <tr r="AG26" s="2"/>
        <tr r="AX26" s="2"/>
      </tp>
      <tp>
        <v>3.2869999999999999</v>
        <stp/>
        <stp>P</stp>
        <stp>0</stp>
        <stp>IR</stp>
        <stp>BONDAVG10</stp>
        <stp>2년이하(당일)</stp>
        <stp>45520</stp>
        <stp/>
        <tr r="AG19" s="2"/>
        <tr r="AX19" s="2"/>
      </tp>
      <tp>
        <v>3.4119999999999999</v>
        <stp/>
        <stp>P</stp>
        <stp>0</stp>
        <stp>IR</stp>
        <stp>BONDAVG11</stp>
        <stp>2년이하(당일)</stp>
        <stp>45520</stp>
        <stp/>
        <tr r="AG20" s="2"/>
        <tr r="AX20" s="2"/>
      </tp>
      <tp>
        <v>3.5529999999999999</v>
        <stp/>
        <stp>P</stp>
        <stp>0</stp>
        <stp>IR</stp>
        <stp>BONDAVG12</stp>
        <stp>2년이하(당일)</stp>
        <stp>45520</stp>
        <stp/>
        <tr r="AG21" s="2"/>
        <tr r="AX21" s="2"/>
      </tp>
      <tp>
        <v>3.121</v>
        <stp/>
        <stp>P</stp>
        <stp>0</stp>
        <stp>IR</stp>
        <stp>BONDAVG13</stp>
        <stp>2년이하(당일)</stp>
        <stp>45520</stp>
        <stp/>
        <tr r="AG17" s="2"/>
        <tr r="AX17" s="2"/>
      </tp>
      <tp>
        <v>3.1850000000000001</v>
        <stp/>
        <stp>P</stp>
        <stp>0</stp>
        <stp>IR</stp>
        <stp>BONDAVG18</stp>
        <stp>2년이하(당일)</stp>
        <stp>45520</stp>
        <stp/>
        <tr r="AG27" s="2"/>
        <tr r="AX27" s="2"/>
      </tp>
      <tp>
        <v>3.198</v>
        <stp/>
        <stp>P</stp>
        <stp>0</stp>
        <stp>IR</stp>
        <stp>BONDAVG19</stp>
        <stp>2년이하(당일)</stp>
        <stp>45520</stp>
        <stp/>
        <tr r="AG28" s="2"/>
        <tr r="AX28" s="2"/>
      </tp>
      <tp>
        <v>2.577</v>
        <stp/>
        <stp>P</stp>
        <stp>0</stp>
        <stp>IR</stp>
        <stp>BONDAVG04</stp>
        <stp>2년이하(당일)</stp>
        <stp>45520</stp>
        <stp/>
        <tr r="AG14" s="2"/>
        <tr r="AX14" s="2"/>
      </tp>
      <tp>
        <v>3.1469999999999998</v>
        <stp/>
        <stp>P</stp>
        <stp>0</stp>
        <stp>IR</stp>
        <stp>BONDAVG05</stp>
        <stp>2년이하(당일)</stp>
        <stp>45520</stp>
        <stp/>
        <tr r="AG15" s="2"/>
        <tr r="AX15" s="2"/>
      </tp>
      <tp>
        <v>3.149</v>
        <stp/>
        <stp>P</stp>
        <stp>0</stp>
        <stp>IR</stp>
        <stp>BONDAVG06</stp>
        <stp>2년이하(당일)</stp>
        <stp>45520</stp>
        <stp/>
        <tr r="AG16" s="2"/>
        <tr r="AX16" s="2"/>
      </tp>
      <tp>
        <v>3.03</v>
        <stp/>
        <stp>P</stp>
        <stp>0</stp>
        <stp>IR</stp>
        <stp>BONDAVG01</stp>
        <stp>2년이하(당일)</stp>
        <stp>45520</stp>
        <stp/>
        <tr r="AG11" s="2"/>
        <tr r="AX11" s="2"/>
      </tp>
      <tp>
        <v>3.0539999999999998</v>
        <stp/>
        <stp>P</stp>
        <stp>0</stp>
        <stp>IR</stp>
        <stp>BONDAVG02</stp>
        <stp>2년이하(당일)</stp>
        <stp>45520</stp>
        <stp/>
        <tr r="AG12" s="2"/>
        <tr r="AX12" s="2"/>
      </tp>
      <tp>
        <v>2.8519999999999999</v>
        <stp/>
        <stp>P</stp>
        <stp>0</stp>
        <stp>IR</stp>
        <stp>BONDAVG03</stp>
        <stp>2년이하(당일)</stp>
        <stp>45520</stp>
        <stp/>
        <tr r="AG13" s="2"/>
        <tr r="AX13" s="2"/>
      </tp>
      <tp>
        <v>3.1859999999999999</v>
        <stp/>
        <stp>P</stp>
        <stp>0</stp>
        <stp>IR</stp>
        <stp>BONDAVG09</stp>
        <stp>2년이하(당일)</stp>
        <stp>45520</stp>
        <stp/>
        <tr r="AG18" s="2"/>
        <tr r="AX18" s="2"/>
      </tp>
      <tp>
        <v>3.2130000000000001</v>
        <stp/>
        <stp>P</stp>
        <stp>0</stp>
        <stp>IR</stp>
        <stp>BONDAVG84</stp>
        <stp>2년이하(당일)</stp>
        <stp>45520</stp>
        <stp/>
        <tr r="AG24" s="2"/>
        <tr r="AX24" s="2"/>
      </tp>
      <tp>
        <v>3.4180000000000001</v>
        <stp/>
        <stp>P</stp>
        <stp>0</stp>
        <stp>IR</stp>
        <stp>BONDAVG81</stp>
        <stp>2년이하(당일)</stp>
        <stp>45520</stp>
        <stp/>
        <tr r="AG36" s="2"/>
        <tr r="AX36" s="2"/>
      </tp>
      <tp>
        <v>3.4180000000000001</v>
        <stp/>
        <stp>P</stp>
        <stp>0</stp>
        <stp>IR</stp>
        <stp>BONDAVG82</stp>
        <stp>2년이하(당일)</stp>
        <stp>45520</stp>
        <stp/>
        <tr r="AG45" s="2"/>
        <tr r="AX45" s="2"/>
      </tp>
      <tp>
        <v>4.4740000000000002</v>
        <stp/>
        <stp>P</stp>
        <stp>0</stp>
        <stp>IR</stp>
        <stp>BONDAVG74</stp>
        <stp>3년이하(당일)</stp>
        <stp>45520</stp>
        <stp/>
        <tr r="AI76" s="2"/>
        <tr r="AZ76" s="2"/>
      </tp>
      <tp>
        <v>4.9649999999999999</v>
        <stp/>
        <stp>P</stp>
        <stp>0</stp>
        <stp>IR</stp>
        <stp>BONDAVG75</stp>
        <stp>3년이하(당일)</stp>
        <stp>45520</stp>
        <stp/>
        <tr r="AI77" s="2"/>
        <tr r="AZ77" s="2"/>
      </tp>
      <tp>
        <v>7.5270000000000001</v>
        <stp/>
        <stp>P</stp>
        <stp>0</stp>
        <stp>IR</stp>
        <stp>BONDAVG76</stp>
        <stp>3년이하(당일)</stp>
        <stp>45520</stp>
        <stp/>
        <tr r="AI78" s="2"/>
        <tr r="AZ78" s="2"/>
      </tp>
      <tp>
        <v>8.6370000000000005</v>
        <stp/>
        <stp>P</stp>
        <stp>0</stp>
        <stp>IR</stp>
        <stp>BONDAVG77</stp>
        <stp>3년이하(당일)</stp>
        <stp>45520</stp>
        <stp/>
        <tr r="AI79" s="2"/>
        <tr r="AZ79" s="2"/>
      </tp>
      <tp>
        <v>3.5590000000000002</v>
        <stp/>
        <stp>P</stp>
        <stp>0</stp>
        <stp>IR</stp>
        <stp>BONDAVG70</stp>
        <stp>3년이하(당일)</stp>
        <stp>45520</stp>
        <stp/>
        <tr r="AI72" s="2"/>
        <tr r="AZ72" s="2"/>
      </tp>
      <tp>
        <v>3.6230000000000002</v>
        <stp/>
        <stp>P</stp>
        <stp>0</stp>
        <stp>IR</stp>
        <stp>BONDAVG71</stp>
        <stp>3년이하(당일)</stp>
        <stp>45520</stp>
        <stp/>
        <tr r="AI73" s="2"/>
        <tr r="AZ73" s="2"/>
      </tp>
      <tp>
        <v>3.7</v>
        <stp/>
        <stp>P</stp>
        <stp>0</stp>
        <stp>IR</stp>
        <stp>BONDAVG72</stp>
        <stp>3년이하(당일)</stp>
        <stp>45520</stp>
        <stp/>
        <tr r="AI74" s="2"/>
        <tr r="AZ74" s="2"/>
      </tp>
      <tp>
        <v>4.1829999999999998</v>
        <stp/>
        <stp>P</stp>
        <stp>0</stp>
        <stp>IR</stp>
        <stp>BONDAVG73</stp>
        <stp>3년이하(당일)</stp>
        <stp>45520</stp>
        <stp/>
        <tr r="AI75" s="2"/>
        <tr r="AZ75" s="2"/>
      </tp>
      <tp>
        <v>10.313000000000001</v>
        <stp/>
        <stp>P</stp>
        <stp>0</stp>
        <stp>IR</stp>
        <stp>BONDAVG78</stp>
        <stp>3년이하(당일)</stp>
        <stp>45520</stp>
        <stp/>
        <tr r="AI80" s="2"/>
        <tr r="AZ80" s="2"/>
      </tp>
      <tp>
        <v>3.1970000000000001</v>
        <stp/>
        <stp>P</stp>
        <stp>0</stp>
        <stp>IR</stp>
        <stp>BONDAVG79</stp>
        <stp>3년이하(당일)</stp>
        <stp>45520</stp>
        <stp/>
        <tr r="AI81" s="2"/>
        <tr r="AZ81" s="2"/>
      </tp>
      <tp>
        <v>9.3930000000000007</v>
        <stp/>
        <stp>P</stp>
        <stp>0</stp>
        <stp>IR</stp>
        <stp>BONDAVG64</stp>
        <stp>3년이하(당일)</stp>
        <stp>45520</stp>
        <stp/>
        <tr r="AI70" s="2"/>
        <tr r="AZ70" s="2"/>
      </tp>
      <tp>
        <v>4.0759999999999996</v>
        <stp/>
        <stp>P</stp>
        <stp>0</stp>
        <stp>IR</stp>
        <stp>BONDAVG60</stp>
        <stp>3년이하(당일)</stp>
        <stp>45520</stp>
        <stp/>
        <tr r="AI66" s="2"/>
        <tr r="AZ66" s="2"/>
      </tp>
      <tp>
        <v>4.5229999999999997</v>
        <stp/>
        <stp>P</stp>
        <stp>0</stp>
        <stp>IR</stp>
        <stp>BONDAVG61</stp>
        <stp>3년이하(당일)</stp>
        <stp>45520</stp>
        <stp/>
        <tr r="AI67" s="2"/>
        <tr r="AZ67" s="2"/>
      </tp>
      <tp>
        <v>6.976</v>
        <stp/>
        <stp>P</stp>
        <stp>0</stp>
        <stp>IR</stp>
        <stp>BONDAVG62</stp>
        <stp>3년이하(당일)</stp>
        <stp>45520</stp>
        <stp/>
        <tr r="AI68" s="2"/>
        <tr r="AZ68" s="2"/>
      </tp>
      <tp>
        <v>8.0190000000000001</v>
        <stp/>
        <stp>P</stp>
        <stp>0</stp>
        <stp>IR</stp>
        <stp>BONDAVG63</stp>
        <stp>3년이하(당일)</stp>
        <stp>45520</stp>
        <stp/>
        <tr r="AI69" s="2"/>
        <tr r="AZ69" s="2"/>
      </tp>
      <tp>
        <v>3.4710000000000001</v>
        <stp/>
        <stp>P</stp>
        <stp>0</stp>
        <stp>IR</stp>
        <stp>BONDAVG69</stp>
        <stp>3년이하(당일)</stp>
        <stp>45520</stp>
        <stp/>
        <tr r="AI71" s="2"/>
        <tr r="AZ71" s="2"/>
      </tp>
      <tp>
        <v>3.2850000000000001</v>
        <stp/>
        <stp>P</stp>
        <stp>0</stp>
        <stp>IR</stp>
        <stp>BONDAVG55</stp>
        <stp>3년이하(당일)</stp>
        <stp>45520</stp>
        <stp/>
        <tr r="AI61" s="2"/>
        <tr r="AZ61" s="2"/>
      </tp>
      <tp>
        <v>3.3450000000000002</v>
        <stp/>
        <stp>P</stp>
        <stp>0</stp>
        <stp>IR</stp>
        <stp>BONDAVG56</stp>
        <stp>3년이하(당일)</stp>
        <stp>45520</stp>
        <stp/>
        <tr r="AI62" s="2"/>
        <tr r="AZ62" s="2"/>
      </tp>
      <tp>
        <v>3.383</v>
        <stp/>
        <stp>P</stp>
        <stp>0</stp>
        <stp>IR</stp>
        <stp>BONDAVG57</stp>
        <stp>3년이하(당일)</stp>
        <stp>45520</stp>
        <stp/>
        <tr r="AI63" s="2"/>
        <tr r="AZ63" s="2"/>
      </tp>
      <tp>
        <v>3.4129999999999998</v>
        <stp/>
        <stp>P</stp>
        <stp>0</stp>
        <stp>IR</stp>
        <stp>BONDAVG51</stp>
        <stp>3년이하(당일)</stp>
        <stp>45520</stp>
        <stp/>
        <tr r="AI59" s="2"/>
        <tr r="AZ59" s="2"/>
      </tp>
      <tp>
        <v>4.0549999999999997</v>
        <stp/>
        <stp>P</stp>
        <stp>0</stp>
        <stp>IR</stp>
        <stp>BONDAVG53</stp>
        <stp>3년이하(당일)</stp>
        <stp>45520</stp>
        <stp/>
        <tr r="AI60" s="2"/>
        <tr r="AZ60" s="2"/>
      </tp>
      <tp>
        <v>3.4279999999999999</v>
        <stp/>
        <stp>P</stp>
        <stp>0</stp>
        <stp>IR</stp>
        <stp>BONDAVG58</stp>
        <stp>3년이하(당일)</stp>
        <stp>45520</stp>
        <stp/>
        <tr r="AI64" s="2"/>
        <tr r="AZ64" s="2"/>
      </tp>
      <tp>
        <v>3.8149999999999999</v>
        <stp/>
        <stp>P</stp>
        <stp>0</stp>
        <stp>IR</stp>
        <stp>BONDAVG59</stp>
        <stp>3년이하(당일)</stp>
        <stp>45520</stp>
        <stp/>
        <tr r="AI65" s="2"/>
        <tr r="AZ65" s="2"/>
      </tp>
      <tp>
        <v>3.2450000000000001</v>
        <stp/>
        <stp>P</stp>
        <stp>0</stp>
        <stp>IR</stp>
        <stp>BONDAVG44</stp>
        <stp>3년이하(당일)</stp>
        <stp>45520</stp>
        <stp/>
        <tr r="AI54" s="2"/>
        <tr r="AZ54" s="2"/>
      </tp>
      <tp>
        <v>3.4009999999999998</v>
        <stp/>
        <stp>P</stp>
        <stp>0</stp>
        <stp>IR</stp>
        <stp>BONDAVG45</stp>
        <stp>3년이하(당일)</stp>
        <stp>45520</stp>
        <stp/>
        <tr r="AI55" s="2"/>
        <tr r="AZ55" s="2"/>
      </tp>
      <tp>
        <v>3.6429999999999998</v>
        <stp/>
        <stp>P</stp>
        <stp>0</stp>
        <stp>IR</stp>
        <stp>BONDAVG46</stp>
        <stp>3년이하(당일)</stp>
        <stp>45520</stp>
        <stp/>
        <tr r="AI56" s="2"/>
        <tr r="AZ56" s="2"/>
      </tp>
      <tp>
        <v>4.6210000000000004</v>
        <stp/>
        <stp>P</stp>
        <stp>0</stp>
        <stp>IR</stp>
        <stp>BONDAVG47</stp>
        <stp>3년이하(당일)</stp>
        <stp>45520</stp>
        <stp/>
        <tr r="AI57" s="2"/>
        <tr r="AZ57" s="2"/>
      </tp>
      <tp>
        <v>6.024</v>
        <stp/>
        <stp>P</stp>
        <stp>0</stp>
        <stp>IR</stp>
        <stp>BONDAVG40</stp>
        <stp>3년이하(당일)</stp>
        <stp>45520</stp>
        <stp/>
        <tr r="AI50" s="2"/>
        <tr r="AZ50" s="2"/>
      </tp>
      <tp>
        <v>7.383</v>
        <stp/>
        <stp>P</stp>
        <stp>0</stp>
        <stp>IR</stp>
        <stp>BONDAVG41</stp>
        <stp>3년이하(당일)</stp>
        <stp>45520</stp>
        <stp/>
        <tr r="AI51" s="2"/>
        <tr r="AZ51" s="2"/>
      </tp>
      <tp>
        <v>8.2889999999999997</v>
        <stp/>
        <stp>P</stp>
        <stp>0</stp>
        <stp>IR</stp>
        <stp>BONDAVG42</stp>
        <stp>3년이하(당일)</stp>
        <stp>45520</stp>
        <stp/>
        <tr r="AI52" s="2"/>
        <tr r="AZ52" s="2"/>
      </tp>
      <tp>
        <v>9.6430000000000007</v>
        <stp/>
        <stp>P</stp>
        <stp>0</stp>
        <stp>IR</stp>
        <stp>BONDAVG43</stp>
        <stp>3년이하(당일)</stp>
        <stp>45520</stp>
        <stp/>
        <tr r="AI53" s="2"/>
        <tr r="AZ53" s="2"/>
      </tp>
      <tp>
        <v>3.3319999999999999</v>
        <stp/>
        <stp>P</stp>
        <stp>0</stp>
        <stp>IR</stp>
        <stp>BONDAVG49</stp>
        <stp>3년이하(당일)</stp>
        <stp>45520</stp>
        <stp/>
        <tr r="AI58" s="2"/>
        <tr r="AZ58" s="2"/>
      </tp>
      <tp>
        <v>9.7149999999999999</v>
        <stp/>
        <stp>P</stp>
        <stp>0</stp>
        <stp>IR</stp>
        <stp>BONDAVG34</stp>
        <stp>3년이하(당일)</stp>
        <stp>45520</stp>
        <stp/>
        <tr r="AI44" s="2"/>
        <tr r="AZ44" s="2"/>
      </tp>
      <tp>
        <v>3.4260000000000002</v>
        <stp/>
        <stp>P</stp>
        <stp>0</stp>
        <stp>IR</stp>
        <stp>BONDAVG36</stp>
        <stp>3년이하(당일)</stp>
        <stp>45520</stp>
        <stp/>
        <tr r="AI46" s="2"/>
        <tr r="AZ46" s="2"/>
      </tp>
      <tp>
        <v>3.544</v>
        <stp/>
        <stp>P</stp>
        <stp>0</stp>
        <stp>IR</stp>
        <stp>BONDAVG37</stp>
        <stp>3년이하(당일)</stp>
        <stp>45520</stp>
        <stp/>
        <tr r="AI47" s="2"/>
        <tr r="AZ47" s="2"/>
      </tp>
      <tp>
        <v>5.3470000000000004</v>
        <stp/>
        <stp>P</stp>
        <stp>0</stp>
        <stp>IR</stp>
        <stp>BONDAVG30</stp>
        <stp>3년이하(당일)</stp>
        <stp>45520</stp>
        <stp/>
        <tr r="AI40" s="2"/>
        <tr r="AZ40" s="2"/>
      </tp>
      <tp>
        <v>6.024</v>
        <stp/>
        <stp>P</stp>
        <stp>0</stp>
        <stp>IR</stp>
        <stp>BONDAVG31</stp>
        <stp>3년이하(당일)</stp>
        <stp>45520</stp>
        <stp/>
        <tr r="AI41" s="2"/>
        <tr r="AZ41" s="2"/>
      </tp>
      <tp>
        <v>7.4039999999999999</v>
        <stp/>
        <stp>P</stp>
        <stp>0</stp>
        <stp>IR</stp>
        <stp>BONDAVG32</stp>
        <stp>3년이하(당일)</stp>
        <stp>45520</stp>
        <stp/>
        <tr r="AI42" s="2"/>
        <tr r="AZ42" s="2"/>
      </tp>
      <tp>
        <v>8.3079999999999998</v>
        <stp/>
        <stp>P</stp>
        <stp>0</stp>
        <stp>IR</stp>
        <stp>BONDAVG33</stp>
        <stp>3년이하(당일)</stp>
        <stp>45520</stp>
        <stp/>
        <tr r="AI43" s="2"/>
        <tr r="AZ43" s="2"/>
      </tp>
      <tp>
        <v>4.5659999999999998</v>
        <stp/>
        <stp>P</stp>
        <stp>0</stp>
        <stp>IR</stp>
        <stp>BONDAVG38</stp>
        <stp>3년이하(당일)</stp>
        <stp>45520</stp>
        <stp/>
        <tr r="AI48" s="2"/>
        <tr r="AZ48" s="2"/>
      </tp>
      <tp>
        <v>5.3470000000000004</v>
        <stp/>
        <stp>P</stp>
        <stp>0</stp>
        <stp>IR</stp>
        <stp>BONDAVG39</stp>
        <stp>3년이하(당일)</stp>
        <stp>45520</stp>
        <stp/>
        <tr r="AI49" s="2"/>
        <tr r="AZ49" s="2"/>
      </tp>
      <tp>
        <v>3.9169999999999998</v>
        <stp/>
        <stp>P</stp>
        <stp>0</stp>
        <stp>IR</stp>
        <stp>BONDAVG24</stp>
        <stp>3년이하(당일)</stp>
        <stp>45520</stp>
        <stp/>
        <tr r="AI33" s="2"/>
        <tr r="AZ33" s="2"/>
      </tp>
      <tp>
        <v>4.0190000000000001</v>
        <stp/>
        <stp>P</stp>
        <stp>0</stp>
        <stp>IR</stp>
        <stp>BONDAVG25</stp>
        <stp>3년이하(당일)</stp>
        <stp>45520</stp>
        <stp/>
        <tr r="AI34" s="2"/>
        <tr r="AZ34" s="2"/>
      </tp>
      <tp>
        <v>4.1109999999999998</v>
        <stp/>
        <stp>P</stp>
        <stp>0</stp>
        <stp>IR</stp>
        <stp>BONDAVG26</stp>
        <stp>3년이하(당일)</stp>
        <stp>45520</stp>
        <stp/>
        <tr r="AI35" s="2"/>
        <tr r="AZ35" s="2"/>
      </tp>
      <tp>
        <v>3.4260000000000002</v>
        <stp/>
        <stp>P</stp>
        <stp>0</stp>
        <stp>IR</stp>
        <stp>BONDAVG27</stp>
        <stp>3년이하(당일)</stp>
        <stp>45520</stp>
        <stp/>
        <tr r="AI37" s="2"/>
        <tr r="AZ37" s="2"/>
      </tp>
      <tp>
        <v>3.2109999999999999</v>
        <stp/>
        <stp>P</stp>
        <stp>0</stp>
        <stp>IR</stp>
        <stp>BONDAVG20</stp>
        <stp>3년이하(당일)</stp>
        <stp>45520</stp>
        <stp/>
        <tr r="AI29" s="2"/>
        <tr r="AZ29" s="2"/>
      </tp>
      <tp>
        <v>3.3029999999999999</v>
        <stp/>
        <stp>P</stp>
        <stp>0</stp>
        <stp>IR</stp>
        <stp>BONDAVG21</stp>
        <stp>3년이하(당일)</stp>
        <stp>45520</stp>
        <stp/>
        <tr r="AI30" s="2"/>
        <tr r="AZ30" s="2"/>
      </tp>
      <tp>
        <v>3.552</v>
        <stp/>
        <stp>P</stp>
        <stp>0</stp>
        <stp>IR</stp>
        <stp>BONDAVG22</stp>
        <stp>3년이하(당일)</stp>
        <stp>45520</stp>
        <stp/>
        <tr r="AI31" s="2"/>
        <tr r="AZ31" s="2"/>
      </tp>
      <tp>
        <v>3.7930000000000001</v>
        <stp/>
        <stp>P</stp>
        <stp>0</stp>
        <stp>IR</stp>
        <stp>BONDAVG23</stp>
        <stp>3년이하(당일)</stp>
        <stp>45520</stp>
        <stp/>
        <tr r="AI32" s="2"/>
        <tr r="AZ32" s="2"/>
      </tp>
      <tp>
        <v>3.544</v>
        <stp/>
        <stp>P</stp>
        <stp>0</stp>
        <stp>IR</stp>
        <stp>BONDAVG28</stp>
        <stp>3년이하(당일)</stp>
        <stp>45520</stp>
        <stp/>
        <tr r="AI38" s="2"/>
        <tr r="AZ38" s="2"/>
      </tp>
      <tp>
        <v>4.5659999999999998</v>
        <stp/>
        <stp>P</stp>
        <stp>0</stp>
        <stp>IR</stp>
        <stp>BONDAVG29</stp>
        <stp>3년이하(당일)</stp>
        <stp>45520</stp>
        <stp/>
        <tr r="AI39" s="2"/>
        <tr r="AZ39" s="2"/>
      </tp>
      <tp>
        <v>2.9940000000000002</v>
        <stp/>
        <stp>P</stp>
        <stp>0</stp>
        <stp>IR</stp>
        <stp>BONDAVG14</stp>
        <stp>3년이하(당일)</stp>
        <stp>45520</stp>
        <stp/>
        <tr r="AI22" s="2"/>
        <tr r="AZ22" s="2"/>
      </tp>
      <tp>
        <v>3.0030000000000001</v>
        <stp/>
        <stp>P</stp>
        <stp>0</stp>
        <stp>IR</stp>
        <stp>BONDAVG15</stp>
        <stp>3년이하(당일)</stp>
        <stp>45520</stp>
        <stp/>
        <tr r="AI23" s="2"/>
        <tr r="AZ23" s="2"/>
      </tp>
      <tp>
        <v>3.093</v>
        <stp/>
        <stp>P</stp>
        <stp>0</stp>
        <stp>IR</stp>
        <stp>BONDAVG16</stp>
        <stp>3년이하(당일)</stp>
        <stp>45520</stp>
        <stp/>
        <tr r="AI25" s="2"/>
        <tr r="AZ25" s="2"/>
      </tp>
      <tp>
        <v>3.1280000000000001</v>
        <stp/>
        <stp>P</stp>
        <stp>0</stp>
        <stp>IR</stp>
        <stp>BONDAVG17</stp>
        <stp>3년이하(당일)</stp>
        <stp>45520</stp>
        <stp/>
        <tr r="AI26" s="2"/>
        <tr r="AZ26" s="2"/>
      </tp>
      <tp>
        <v>3.246</v>
        <stp/>
        <stp>P</stp>
        <stp>0</stp>
        <stp>IR</stp>
        <stp>BONDAVG10</stp>
        <stp>3년이하(당일)</stp>
        <stp>45520</stp>
        <stp/>
        <tr r="AI19" s="2"/>
        <tr r="AZ19" s="2"/>
      </tp>
      <tp>
        <v>3.3980000000000001</v>
        <stp/>
        <stp>P</stp>
        <stp>0</stp>
        <stp>IR</stp>
        <stp>BONDAVG11</stp>
        <stp>3년이하(당일)</stp>
        <stp>45520</stp>
        <stp/>
        <tr r="AI20" s="2"/>
        <tr r="AZ20" s="2"/>
      </tp>
      <tp>
        <v>3.5339999999999998</v>
        <stp/>
        <stp>P</stp>
        <stp>0</stp>
        <stp>IR</stp>
        <stp>BONDAVG12</stp>
        <stp>3년이하(당일)</stp>
        <stp>45520</stp>
        <stp/>
        <tr r="AI21" s="2"/>
        <tr r="AZ21" s="2"/>
      </tp>
      <tp>
        <v>3.07</v>
        <stp/>
        <stp>P</stp>
        <stp>0</stp>
        <stp>IR</stp>
        <stp>BONDAVG13</stp>
        <stp>3년이하(당일)</stp>
        <stp>45520</stp>
        <stp/>
        <tr r="AI17" s="2"/>
        <tr r="AZ17" s="2"/>
      </tp>
      <tp>
        <v>3.093</v>
        <stp/>
        <stp>P</stp>
        <stp>0</stp>
        <stp>IR</stp>
        <stp>BONDAVG18</stp>
        <stp>3년이하(당일)</stp>
        <stp>45520</stp>
        <stp/>
        <tr r="AI27" s="2"/>
        <tr r="AZ27" s="2"/>
      </tp>
      <tp>
        <v>3.1280000000000001</v>
        <stp/>
        <stp>P</stp>
        <stp>0</stp>
        <stp>IR</stp>
        <stp>BONDAVG19</stp>
        <stp>3년이하(당일)</stp>
        <stp>45520</stp>
        <stp/>
        <tr r="AI28" s="2"/>
        <tr r="AZ28" s="2"/>
      </tp>
      <tp>
        <v>2.54</v>
        <stp/>
        <stp>P</stp>
        <stp>0</stp>
        <stp>IR</stp>
        <stp>BONDAVG04</stp>
        <stp>3년이하(당일)</stp>
        <stp>45520</stp>
        <stp/>
        <tr r="AI14" s="2"/>
        <tr r="AZ14" s="2"/>
      </tp>
      <tp>
        <v>3.1259999999999999</v>
        <stp/>
        <stp>P</stp>
        <stp>0</stp>
        <stp>IR</stp>
        <stp>BONDAVG05</stp>
        <stp>3년이하(당일)</stp>
        <stp>45520</stp>
        <stp/>
        <tr r="AI15" s="2"/>
        <tr r="AZ15" s="2"/>
      </tp>
      <tp>
        <v>3.1259999999999999</v>
        <stp/>
        <stp>P</stp>
        <stp>0</stp>
        <stp>IR</stp>
        <stp>BONDAVG06</stp>
        <stp>3년이하(당일)</stp>
        <stp>45520</stp>
        <stp/>
        <tr r="AI16" s="2"/>
        <tr r="AZ16" s="2"/>
      </tp>
      <tp>
        <v>2.9220000000000002</v>
        <stp/>
        <stp>P</stp>
        <stp>0</stp>
        <stp>IR</stp>
        <stp>BONDAVG01</stp>
        <stp>3년이하(당일)</stp>
        <stp>45520</stp>
        <stp/>
        <tr r="AI11" s="2"/>
        <tr r="AZ11" s="2"/>
      </tp>
      <tp>
        <v>3.01</v>
        <stp/>
        <stp>P</stp>
        <stp>0</stp>
        <stp>IR</stp>
        <stp>BONDAVG02</stp>
        <stp>3년이하(당일)</stp>
        <stp>45520</stp>
        <stp/>
        <tr r="AI12" s="2"/>
        <tr r="AZ12" s="2"/>
      </tp>
      <tp>
        <v>2.8220000000000001</v>
        <stp/>
        <stp>P</stp>
        <stp>0</stp>
        <stp>IR</stp>
        <stp>BONDAVG03</stp>
        <stp>3년이하(당일)</stp>
        <stp>45520</stp>
        <stp/>
        <tr r="AI13" s="2"/>
        <tr r="AZ13" s="2"/>
      </tp>
      <tp>
        <v>3.1539999999999999</v>
        <stp/>
        <stp>P</stp>
        <stp>0</stp>
        <stp>IR</stp>
        <stp>BONDAVG09</stp>
        <stp>3년이하(당일)</stp>
        <stp>45520</stp>
        <stp/>
        <tr r="AI18" s="2"/>
        <tr r="AZ18" s="2"/>
      </tp>
      <tp>
        <v>3.165</v>
        <stp/>
        <stp>P</stp>
        <stp>0</stp>
        <stp>IR</stp>
        <stp>BONDAVG84</stp>
        <stp>3년이하(당일)</stp>
        <stp>45520</stp>
        <stp/>
        <tr r="AI24" s="2"/>
        <tr r="AZ24" s="2"/>
      </tp>
      <tp>
        <v>3.3610000000000002</v>
        <stp/>
        <stp>P</stp>
        <stp>0</stp>
        <stp>IR</stp>
        <stp>BONDAVG81</stp>
        <stp>3년이하(당일)</stp>
        <stp>45520</stp>
        <stp/>
        <tr r="AI36" s="2"/>
        <tr r="AZ36" s="2"/>
      </tp>
      <tp>
        <v>3.3610000000000002</v>
        <stp/>
        <stp>P</stp>
        <stp>0</stp>
        <stp>IR</stp>
        <stp>BONDAVG82</stp>
        <stp>3년이하(당일)</stp>
        <stp>45520</stp>
        <stp/>
        <tr r="AI45" s="2"/>
        <tr r="AZ45" s="2"/>
      </tp>
      <tp>
        <v>4.0670000000000002</v>
        <stp/>
        <stp>P</stp>
        <stp>0</stp>
        <stp>IR</stp>
        <stp>BONDAVG74</stp>
        <stp>1년이하(당일)</stp>
        <stp>45520</stp>
        <stp/>
        <tr r="AE76" s="2"/>
        <tr r="AV76" s="2"/>
      </tp>
      <tp>
        <v>4.3780000000000001</v>
        <stp/>
        <stp>P</stp>
        <stp>0</stp>
        <stp>IR</stp>
        <stp>BONDAVG75</stp>
        <stp>1년이하(당일)</stp>
        <stp>45520</stp>
        <stp/>
        <tr r="AE77" s="2"/>
        <tr r="AV77" s="2"/>
      </tp>
      <tp>
        <v>5.8529999999999998</v>
        <stp/>
        <stp>P</stp>
        <stp>0</stp>
        <stp>IR</stp>
        <stp>BONDAVG76</stp>
        <stp>1년이하(당일)</stp>
        <stp>45520</stp>
        <stp/>
        <tr r="AE78" s="2"/>
        <tr r="AV78" s="2"/>
      </tp>
      <tp>
        <v>6.5940000000000003</v>
        <stp/>
        <stp>P</stp>
        <stp>0</stp>
        <stp>IR</stp>
        <stp>BONDAVG77</stp>
        <stp>1년이하(당일)</stp>
        <stp>45520</stp>
        <stp/>
        <tr r="AE79" s="2"/>
        <tr r="AV79" s="2"/>
      </tp>
      <tp>
        <v>3.472</v>
        <stp/>
        <stp>P</stp>
        <stp>0</stp>
        <stp>IR</stp>
        <stp>BONDAVG70</stp>
        <stp>1년이하(당일)</stp>
        <stp>45520</stp>
        <stp/>
        <tr r="AE72" s="2"/>
        <tr r="AV72" s="2"/>
      </tp>
      <tp>
        <v>3.5089999999999999</v>
        <stp/>
        <stp>P</stp>
        <stp>0</stp>
        <stp>IR</stp>
        <stp>BONDAVG71</stp>
        <stp>1년이하(당일)</stp>
        <stp>45520</stp>
        <stp/>
        <tr r="AE73" s="2"/>
        <tr r="AV73" s="2"/>
      </tp>
      <tp>
        <v>3.5579999999999998</v>
        <stp/>
        <stp>P</stp>
        <stp>0</stp>
        <stp>IR</stp>
        <stp>BONDAVG72</stp>
        <stp>1년이하(당일)</stp>
        <stp>45520</stp>
        <stp/>
        <tr r="AE74" s="2"/>
        <tr r="AV74" s="2"/>
      </tp>
      <tp>
        <v>3.8610000000000002</v>
        <stp/>
        <stp>P</stp>
        <stp>0</stp>
        <stp>IR</stp>
        <stp>BONDAVG73</stp>
        <stp>1년이하(당일)</stp>
        <stp>45520</stp>
        <stp/>
        <tr r="AE75" s="2"/>
        <tr r="AV75" s="2"/>
      </tp>
      <tp>
        <v>7.8559999999999999</v>
        <stp/>
        <stp>P</stp>
        <stp>0</stp>
        <stp>IR</stp>
        <stp>BONDAVG78</stp>
        <stp>1년이하(당일)</stp>
        <stp>45520</stp>
        <stp/>
        <tr r="AE80" s="2"/>
        <tr r="AV80" s="2"/>
      </tp>
      <tp>
        <v>3.2839999999999998</v>
        <stp/>
        <stp>P</stp>
        <stp>0</stp>
        <stp>IR</stp>
        <stp>BONDAVG79</stp>
        <stp>1년이하(당일)</stp>
        <stp>45520</stp>
        <stp/>
        <tr r="AE81" s="2"/>
        <tr r="AV81" s="2"/>
      </tp>
      <tp>
        <v>7.0709999999999997</v>
        <stp/>
        <stp>P</stp>
        <stp>0</stp>
        <stp>IR</stp>
        <stp>BONDAVG64</stp>
        <stp>1년이하(당일)</stp>
        <stp>45520</stp>
        <stp/>
        <tr r="AE70" s="2"/>
        <tr r="AV70" s="2"/>
      </tp>
      <tp>
        <v>3.7610000000000001</v>
        <stp/>
        <stp>P</stp>
        <stp>0</stp>
        <stp>IR</stp>
        <stp>BONDAVG60</stp>
        <stp>1년이하(당일)</stp>
        <stp>45520</stp>
        <stp/>
        <tr r="AE66" s="2"/>
        <tr r="AV66" s="2"/>
      </tp>
      <tp>
        <v>4.0259999999999998</v>
        <stp/>
        <stp>P</stp>
        <stp>0</stp>
        <stp>IR</stp>
        <stp>BONDAVG61</stp>
        <stp>1년이하(당일)</stp>
        <stp>45520</stp>
        <stp/>
        <tr r="AE67" s="2"/>
        <tr r="AV67" s="2"/>
      </tp>
      <tp>
        <v>5.3869999999999996</v>
        <stp/>
        <stp>P</stp>
        <stp>0</stp>
        <stp>IR</stp>
        <stp>BONDAVG62</stp>
        <stp>1년이하(당일)</stp>
        <stp>45520</stp>
        <stp/>
        <tr r="AE68" s="2"/>
        <tr r="AV68" s="2"/>
      </tp>
      <tp>
        <v>6.0730000000000004</v>
        <stp/>
        <stp>P</stp>
        <stp>0</stp>
        <stp>IR</stp>
        <stp>BONDAVG63</stp>
        <stp>1년이하(당일)</stp>
        <stp>45520</stp>
        <stp/>
        <tr r="AE69" s="2"/>
        <tr r="AV69" s="2"/>
      </tp>
      <tp>
        <v>3.4260000000000002</v>
        <stp/>
        <stp>P</stp>
        <stp>0</stp>
        <stp>IR</stp>
        <stp>BONDAVG69</stp>
        <stp>1년이하(당일)</stp>
        <stp>45520</stp>
        <stp/>
        <tr r="AE71" s="2"/>
        <tr r="AV71" s="2"/>
      </tp>
      <tp>
        <v>3.2890000000000001</v>
        <stp/>
        <stp>P</stp>
        <stp>0</stp>
        <stp>IR</stp>
        <stp>BONDAVG55</stp>
        <stp>1년이하(당일)</stp>
        <stp>45520</stp>
        <stp/>
        <tr r="AE61" s="2"/>
        <tr r="AV61" s="2"/>
      </tp>
      <tp>
        <v>3.3069999999999999</v>
        <stp/>
        <stp>P</stp>
        <stp>0</stp>
        <stp>IR</stp>
        <stp>BONDAVG56</stp>
        <stp>1년이하(당일)</stp>
        <stp>45520</stp>
        <stp/>
        <tr r="AE62" s="2"/>
        <tr r="AV62" s="2"/>
      </tp>
      <tp>
        <v>3.327</v>
        <stp/>
        <stp>P</stp>
        <stp>0</stp>
        <stp>IR</stp>
        <stp>BONDAVG57</stp>
        <stp>1년이하(당일)</stp>
        <stp>45520</stp>
        <stp/>
        <tr r="AE63" s="2"/>
        <tr r="AV63" s="2"/>
      </tp>
      <tp>
        <v>3.391</v>
        <stp/>
        <stp>P</stp>
        <stp>0</stp>
        <stp>IR</stp>
        <stp>BONDAVG51</stp>
        <stp>1년이하(당일)</stp>
        <stp>45520</stp>
        <stp/>
        <tr r="AE59" s="2"/>
        <tr r="AV59" s="2"/>
      </tp>
      <tp>
        <v>3.76</v>
        <stp/>
        <stp>P</stp>
        <stp>0</stp>
        <stp>IR</stp>
        <stp>BONDAVG53</stp>
        <stp>1년이하(당일)</stp>
        <stp>45520</stp>
        <stp/>
        <tr r="AE60" s="2"/>
        <tr r="AV60" s="2"/>
      </tp>
      <tp>
        <v>3.3570000000000002</v>
        <stp/>
        <stp>P</stp>
        <stp>0</stp>
        <stp>IR</stp>
        <stp>BONDAVG58</stp>
        <stp>1년이하(당일)</stp>
        <stp>45520</stp>
        <stp/>
        <tr r="AE64" s="2"/>
        <tr r="AV64" s="2"/>
      </tp>
      <tp>
        <v>3.5840000000000001</v>
        <stp/>
        <stp>P</stp>
        <stp>0</stp>
        <stp>IR</stp>
        <stp>BONDAVG59</stp>
        <stp>1년이하(당일)</stp>
        <stp>45520</stp>
        <stp/>
        <tr r="AE65" s="2"/>
        <tr r="AV65" s="2"/>
      </tp>
      <tp>
        <v>3.3029999999999999</v>
        <stp/>
        <stp>P</stp>
        <stp>0</stp>
        <stp>IR</stp>
        <stp>BONDAVG44</stp>
        <stp>1년이하(당일)</stp>
        <stp>45520</stp>
        <stp/>
        <tr r="AE54" s="2"/>
        <tr r="AV54" s="2"/>
      </tp>
      <tp>
        <v>3.3439999999999999</v>
        <stp/>
        <stp>P</stp>
        <stp>0</stp>
        <stp>IR</stp>
        <stp>BONDAVG45</stp>
        <stp>1년이하(당일)</stp>
        <stp>45520</stp>
        <stp/>
        <tr r="AE55" s="2"/>
        <tr r="AV55" s="2"/>
      </tp>
      <tp>
        <v>3.52</v>
        <stp/>
        <stp>P</stp>
        <stp>0</stp>
        <stp>IR</stp>
        <stp>BONDAVG46</stp>
        <stp>1년이하(당일)</stp>
        <stp>45520</stp>
        <stp/>
        <tr r="AE56" s="2"/>
        <tr r="AV56" s="2"/>
      </tp>
      <tp>
        <v>3.9889999999999999</v>
        <stp/>
        <stp>P</stp>
        <stp>0</stp>
        <stp>IR</stp>
        <stp>BONDAVG47</stp>
        <stp>1년이하(당일)</stp>
        <stp>45520</stp>
        <stp/>
        <tr r="AE57" s="2"/>
        <tr r="AV57" s="2"/>
      </tp>
      <tp>
        <v>5.69</v>
        <stp/>
        <stp>P</stp>
        <stp>0</stp>
        <stp>IR</stp>
        <stp>BONDAVG40</stp>
        <stp>1년이하(당일)</stp>
        <stp>45520</stp>
        <stp/>
        <tr r="AE50" s="2"/>
        <tr r="AV50" s="2"/>
      </tp>
      <tp>
        <v>6.8470000000000004</v>
        <stp/>
        <stp>P</stp>
        <stp>0</stp>
        <stp>IR</stp>
        <stp>BONDAVG41</stp>
        <stp>1년이하(당일)</stp>
        <stp>45520</stp>
        <stp/>
        <tr r="AE51" s="2"/>
        <tr r="AV51" s="2"/>
      </tp>
      <tp>
        <v>7.6340000000000003</v>
        <stp/>
        <stp>P</stp>
        <stp>0</stp>
        <stp>IR</stp>
        <stp>BONDAVG42</stp>
        <stp>1년이하(당일)</stp>
        <stp>45520</stp>
        <stp/>
        <tr r="AE52" s="2"/>
        <tr r="AV52" s="2"/>
      </tp>
      <tp>
        <v>8.9410000000000007</v>
        <stp/>
        <stp>P</stp>
        <stp>0</stp>
        <stp>IR</stp>
        <stp>BONDAVG43</stp>
        <stp>1년이하(당일)</stp>
        <stp>45520</stp>
        <stp/>
        <tr r="AE53" s="2"/>
        <tr r="AV53" s="2"/>
      </tp>
      <tp>
        <v>3.3380000000000001</v>
        <stp/>
        <stp>P</stp>
        <stp>0</stp>
        <stp>IR</stp>
        <stp>BONDAVG49</stp>
        <stp>1년이하(당일)</stp>
        <stp>45520</stp>
        <stp/>
        <tr r="AE58" s="2"/>
        <tr r="AV58" s="2"/>
      </tp>
      <tp>
        <v>9.0190000000000001</v>
        <stp/>
        <stp>P</stp>
        <stp>0</stp>
        <stp>IR</stp>
        <stp>BONDAVG34</stp>
        <stp>1년이하(당일)</stp>
        <stp>45520</stp>
        <stp/>
        <tr r="AE44" s="2"/>
        <tr r="AV44" s="2"/>
      </tp>
      <tp>
        <v>3.4289999999999998</v>
        <stp/>
        <stp>P</stp>
        <stp>0</stp>
        <stp>IR</stp>
        <stp>BONDAVG36</stp>
        <stp>1년이하(당일)</stp>
        <stp>45520</stp>
        <stp/>
        <tr r="AE46" s="2"/>
        <tr r="AV46" s="2"/>
      </tp>
      <tp>
        <v>3.5</v>
        <stp/>
        <stp>P</stp>
        <stp>0</stp>
        <stp>IR</stp>
        <stp>BONDAVG37</stp>
        <stp>1년이하(당일)</stp>
        <stp>45520</stp>
        <stp/>
        <tr r="AE47" s="2"/>
        <tr r="AV47" s="2"/>
      </tp>
      <tp>
        <v>5.133</v>
        <stp/>
        <stp>P</stp>
        <stp>0</stp>
        <stp>IR</stp>
        <stp>BONDAVG30</stp>
        <stp>1년이하(당일)</stp>
        <stp>45520</stp>
        <stp/>
        <tr r="AE40" s="2"/>
        <tr r="AV40" s="2"/>
      </tp>
      <tp>
        <v>5.69</v>
        <stp/>
        <stp>P</stp>
        <stp>0</stp>
        <stp>IR</stp>
        <stp>BONDAVG31</stp>
        <stp>1년이하(당일)</stp>
        <stp>45520</stp>
        <stp/>
        <tr r="AE41" s="2"/>
        <tr r="AV41" s="2"/>
      </tp>
      <tp>
        <v>6.8860000000000001</v>
        <stp/>
        <stp>P</stp>
        <stp>0</stp>
        <stp>IR</stp>
        <stp>BONDAVG32</stp>
        <stp>1년이하(당일)</stp>
        <stp>45520</stp>
        <stp/>
        <tr r="AE42" s="2"/>
        <tr r="AV42" s="2"/>
      </tp>
      <tp>
        <v>7.6840000000000002</v>
        <stp/>
        <stp>P</stp>
        <stp>0</stp>
        <stp>IR</stp>
        <stp>BONDAVG33</stp>
        <stp>1년이하(당일)</stp>
        <stp>45520</stp>
        <stp/>
        <tr r="AE43" s="2"/>
        <tr r="AV43" s="2"/>
      </tp>
      <tp>
        <v>4.3890000000000002</v>
        <stp/>
        <stp>P</stp>
        <stp>0</stp>
        <stp>IR</stp>
        <stp>BONDAVG38</stp>
        <stp>1년이하(당일)</stp>
        <stp>45520</stp>
        <stp/>
        <tr r="AE48" s="2"/>
        <tr r="AV48" s="2"/>
      </tp>
      <tp>
        <v>5.133</v>
        <stp/>
        <stp>P</stp>
        <stp>0</stp>
        <stp>IR</stp>
        <stp>BONDAVG39</stp>
        <stp>1년이하(당일)</stp>
        <stp>45520</stp>
        <stp/>
        <tr r="AE49" s="2"/>
        <tr r="AV49" s="2"/>
      </tp>
      <tp>
        <v>3.9140000000000001</v>
        <stp/>
        <stp>P</stp>
        <stp>0</stp>
        <stp>IR</stp>
        <stp>BONDAVG24</stp>
        <stp>1년이하(당일)</stp>
        <stp>45520</stp>
        <stp/>
        <tr r="AE33" s="2"/>
        <tr r="AV33" s="2"/>
      </tp>
      <tp>
        <v>4.0049999999999999</v>
        <stp/>
        <stp>P</stp>
        <stp>0</stp>
        <stp>IR</stp>
        <stp>BONDAVG25</stp>
        <stp>1년이하(당일)</stp>
        <stp>45520</stp>
        <stp/>
        <tr r="AE34" s="2"/>
        <tr r="AV34" s="2"/>
      </tp>
      <tp>
        <v>4.0949999999999998</v>
        <stp/>
        <stp>P</stp>
        <stp>0</stp>
        <stp>IR</stp>
        <stp>BONDAVG26</stp>
        <stp>1년이하(당일)</stp>
        <stp>45520</stp>
        <stp/>
        <tr r="AE35" s="2"/>
        <tr r="AV35" s="2"/>
      </tp>
      <tp>
        <v>3.4289999999999998</v>
        <stp/>
        <stp>P</stp>
        <stp>0</stp>
        <stp>IR</stp>
        <stp>BONDAVG27</stp>
        <stp>1년이하(당일)</stp>
        <stp>45520</stp>
        <stp/>
        <tr r="AE37" s="2"/>
        <tr r="AV37" s="2"/>
      </tp>
      <tp>
        <v>3.3109999999999999</v>
        <stp/>
        <stp>P</stp>
        <stp>0</stp>
        <stp>IR</stp>
        <stp>BONDAVG20</stp>
        <stp>1년이하(당일)</stp>
        <stp>45520</stp>
        <stp/>
        <tr r="AE29" s="2"/>
        <tr r="AV29" s="2"/>
      </tp>
      <tp>
        <v>3.3740000000000001</v>
        <stp/>
        <stp>P</stp>
        <stp>0</stp>
        <stp>IR</stp>
        <stp>BONDAVG21</stp>
        <stp>1년이하(당일)</stp>
        <stp>45520</stp>
        <stp/>
        <tr r="AE30" s="2"/>
        <tr r="AV30" s="2"/>
      </tp>
      <tp>
        <v>3.56</v>
        <stp/>
        <stp>P</stp>
        <stp>0</stp>
        <stp>IR</stp>
        <stp>BONDAVG22</stp>
        <stp>1년이하(당일)</stp>
        <stp>45520</stp>
        <stp/>
        <tr r="AE31" s="2"/>
        <tr r="AV31" s="2"/>
      </tp>
      <tp>
        <v>3.8180000000000001</v>
        <stp/>
        <stp>P</stp>
        <stp>0</stp>
        <stp>IR</stp>
        <stp>BONDAVG23</stp>
        <stp>1년이하(당일)</stp>
        <stp>45520</stp>
        <stp/>
        <tr r="AE32" s="2"/>
        <tr r="AV32" s="2"/>
      </tp>
      <tp>
        <v>3.5</v>
        <stp/>
        <stp>P</stp>
        <stp>0</stp>
        <stp>IR</stp>
        <stp>BONDAVG28</stp>
        <stp>1년이하(당일)</stp>
        <stp>45520</stp>
        <stp/>
        <tr r="AE38" s="2"/>
        <tr r="AV38" s="2"/>
      </tp>
      <tp>
        <v>4.3890000000000002</v>
        <stp/>
        <stp>P</stp>
        <stp>0</stp>
        <stp>IR</stp>
        <stp>BONDAVG29</stp>
        <stp>1년이하(당일)</stp>
        <stp>45520</stp>
        <stp/>
        <tr r="AE39" s="2"/>
        <tr r="AV39" s="2"/>
      </tp>
      <tp>
        <v>3.0249999999999999</v>
        <stp/>
        <stp>P</stp>
        <stp>0</stp>
        <stp>IR</stp>
        <stp>BONDAVG14</stp>
        <stp>1년이하(당일)</stp>
        <stp>45520</stp>
        <stp/>
        <tr r="AE22" s="2"/>
        <tr r="AV22" s="2"/>
      </tp>
      <tp>
        <v>3.0219999999999998</v>
        <stp/>
        <stp>P</stp>
        <stp>0</stp>
        <stp>IR</stp>
        <stp>BONDAVG15</stp>
        <stp>1년이하(당일)</stp>
        <stp>45520</stp>
        <stp/>
        <tr r="AE23" s="2"/>
        <tr r="AV23" s="2"/>
      </tp>
      <tp>
        <v>3.2839999999999998</v>
        <stp/>
        <stp>P</stp>
        <stp>0</stp>
        <stp>IR</stp>
        <stp>BONDAVG16</stp>
        <stp>1년이하(당일)</stp>
        <stp>45520</stp>
        <stp/>
        <tr r="AE25" s="2"/>
        <tr r="AV25" s="2"/>
      </tp>
      <tp>
        <v>3.274</v>
        <stp/>
        <stp>P</stp>
        <stp>0</stp>
        <stp>IR</stp>
        <stp>BONDAVG17</stp>
        <stp>1년이하(당일)</stp>
        <stp>45520</stp>
        <stp/>
        <tr r="AE26" s="2"/>
        <tr r="AV26" s="2"/>
      </tp>
      <tp>
        <v>3.3090000000000002</v>
        <stp/>
        <stp>P</stp>
        <stp>0</stp>
        <stp>IR</stp>
        <stp>BONDAVG10</stp>
        <stp>1년이하(당일)</stp>
        <stp>45520</stp>
        <stp/>
        <tr r="AE19" s="2"/>
        <tr r="AV19" s="2"/>
      </tp>
      <tp>
        <v>3.41</v>
        <stp/>
        <stp>P</stp>
        <stp>0</stp>
        <stp>IR</stp>
        <stp>BONDAVG11</stp>
        <stp>1년이하(당일)</stp>
        <stp>45520</stp>
        <stp/>
        <tr r="AE20" s="2"/>
        <tr r="AV20" s="2"/>
      </tp>
      <tp>
        <v>3.569</v>
        <stp/>
        <stp>P</stp>
        <stp>0</stp>
        <stp>IR</stp>
        <stp>BONDAVG12</stp>
        <stp>1년이하(당일)</stp>
        <stp>45520</stp>
        <stp/>
        <tr r="AE21" s="2"/>
        <tr r="AV21" s="2"/>
      </tp>
      <tp>
        <v>3.1819999999999999</v>
        <stp/>
        <stp>P</stp>
        <stp>0</stp>
        <stp>IR</stp>
        <stp>BONDAVG13</stp>
        <stp>1년이하(당일)</stp>
        <stp>45520</stp>
        <stp/>
        <tr r="AE17" s="2"/>
        <tr r="AV17" s="2"/>
      </tp>
      <tp>
        <v>3.2839999999999998</v>
        <stp/>
        <stp>P</stp>
        <stp>0</stp>
        <stp>IR</stp>
        <stp>BONDAVG18</stp>
        <stp>1년이하(당일)</stp>
        <stp>45520</stp>
        <stp/>
        <tr r="AE27" s="2"/>
        <tr r="AV27" s="2"/>
      </tp>
      <tp>
        <v>3.274</v>
        <stp/>
        <stp>P</stp>
        <stp>0</stp>
        <stp>IR</stp>
        <stp>BONDAVG19</stp>
        <stp>1년이하(당일)</stp>
        <stp>45520</stp>
        <stp/>
        <tr r="AE28" s="2"/>
        <tr r="AV28" s="2"/>
      </tp>
      <tp>
        <v>2.597</v>
        <stp/>
        <stp>P</stp>
        <stp>0</stp>
        <stp>IR</stp>
        <stp>BONDAVG04</stp>
        <stp>1년이하(당일)</stp>
        <stp>45520</stp>
        <stp/>
        <tr r="AE14" s="2"/>
        <tr r="AV14" s="2"/>
      </tp>
      <tp>
        <v>3.17</v>
        <stp/>
        <stp>P</stp>
        <stp>0</stp>
        <stp>IR</stp>
        <stp>BONDAVG05</stp>
        <stp>1년이하(당일)</stp>
        <stp>45520</stp>
        <stp/>
        <tr r="AE15" s="2"/>
        <tr r="AV15" s="2"/>
      </tp>
      <tp>
        <v>3.17</v>
        <stp/>
        <stp>P</stp>
        <stp>0</stp>
        <stp>IR</stp>
        <stp>BONDAVG06</stp>
        <stp>1년이하(당일)</stp>
        <stp>45520</stp>
        <stp/>
        <tr r="AE16" s="2"/>
        <tr r="AV16" s="2"/>
      </tp>
      <tp>
        <v>3.052</v>
        <stp/>
        <stp>P</stp>
        <stp>0</stp>
        <stp>IR</stp>
        <stp>BONDAVG01</stp>
        <stp>1년이하(당일)</stp>
        <stp>45520</stp>
        <stp/>
        <tr r="AE11" s="2"/>
        <tr r="AV11" s="2"/>
      </tp>
      <tp>
        <v>3.089</v>
        <stp/>
        <stp>P</stp>
        <stp>0</stp>
        <stp>IR</stp>
        <stp>BONDAVG02</stp>
        <stp>1년이하(당일)</stp>
        <stp>45520</stp>
        <stp/>
        <tr r="AE12" s="2"/>
        <tr r="AV12" s="2"/>
      </tp>
      <tp>
        <v>2.8860000000000001</v>
        <stp/>
        <stp>P</stp>
        <stp>0</stp>
        <stp>IR</stp>
        <stp>BONDAVG03</stp>
        <stp>1년이하(당일)</stp>
        <stp>45520</stp>
        <stp/>
        <tr r="AE13" s="2"/>
        <tr r="AV13" s="2"/>
      </tp>
      <tp>
        <v>3.2589999999999999</v>
        <stp/>
        <stp>P</stp>
        <stp>0</stp>
        <stp>IR</stp>
        <stp>BONDAVG09</stp>
        <stp>1년이하(당일)</stp>
        <stp>45520</stp>
        <stp/>
        <tr r="AE18" s="2"/>
        <tr r="AV18" s="2"/>
      </tp>
      <tp>
        <v>3.294</v>
        <stp/>
        <stp>P</stp>
        <stp>0</stp>
        <stp>IR</stp>
        <stp>BONDAVG84</stp>
        <stp>1년이하(당일)</stp>
        <stp>45520</stp>
        <stp/>
        <tr r="AE24" s="2"/>
        <tr r="AV24" s="2"/>
      </tp>
      <tp>
        <v>3.3959999999999999</v>
        <stp/>
        <stp>P</stp>
        <stp>0</stp>
        <stp>IR</stp>
        <stp>BONDAVG81</stp>
        <stp>1년이하(당일)</stp>
        <stp>45520</stp>
        <stp/>
        <tr r="AE36" s="2"/>
        <tr r="AV36" s="2"/>
      </tp>
      <tp>
        <v>3.3959999999999999</v>
        <stp/>
        <stp>P</stp>
        <stp>0</stp>
        <stp>IR</stp>
        <stp>BONDAVG82</stp>
        <stp>1년이하(당일)</stp>
        <stp>45520</stp>
        <stp/>
        <tr r="AE45" s="2"/>
        <tr r="AV45" s="2"/>
      </tp>
      <tp>
        <v>3.3820000000000001</v>
        <stp/>
        <stp>P</stp>
        <stp>0</stp>
        <stp>IR</stp>
        <stp>BONDAVG45</stp>
        <stp>2.5년이하(당일)</stp>
        <stp>45520</stp>
        <stp/>
        <tr r="AH55" s="2"/>
        <tr r="AY55" s="2"/>
      </tp>
      <tp>
        <v>3.2839999999999998</v>
        <stp/>
        <stp>P</stp>
        <stp>0</stp>
        <stp>IR</stp>
        <stp>BONDAVG55</stp>
        <stp>2.5년이하(당일)</stp>
        <stp>45520</stp>
        <stp/>
        <tr r="AH61" s="2"/>
        <tr r="AY61" s="2"/>
      </tp>
      <tp>
        <v>4.7619999999999996</v>
        <stp/>
        <stp>P</stp>
        <stp>0</stp>
        <stp>IR</stp>
        <stp>BONDAVG75</stp>
        <stp>2.5년이하(당일)</stp>
        <stp>45520</stp>
        <stp/>
        <tr r="AH77" s="2"/>
        <tr r="AY77" s="2"/>
      </tp>
      <tp>
        <v>3.113</v>
        <stp/>
        <stp>P</stp>
        <stp>0</stp>
        <stp>IR</stp>
        <stp>BONDAVG05</stp>
        <stp>2.5년이하(당일)</stp>
        <stp>45520</stp>
        <stp/>
        <tr r="AH15" s="2"/>
        <tr r="AY15" s="2"/>
      </tp>
      <tp>
        <v>3.0019999999999998</v>
        <stp/>
        <stp>P</stp>
        <stp>0</stp>
        <stp>IR</stp>
        <stp>BONDAVG15</stp>
        <stp>2.5년이하(당일)</stp>
        <stp>45520</stp>
        <stp/>
        <tr r="AH23" s="2"/>
        <tr r="AY23" s="2"/>
      </tp>
      <tp>
        <v>4.0199999999999996</v>
        <stp/>
        <stp>P</stp>
        <stp>0</stp>
        <stp>IR</stp>
        <stp>BONDAVG25</stp>
        <stp>2.5년이하(당일)</stp>
        <stp>45520</stp>
        <stp/>
        <tr r="AH34" s="2"/>
        <tr r="AY34" s="2"/>
      </tp>
      <tp>
        <v>3.355</v>
        <stp/>
        <stp>P</stp>
        <stp>0</stp>
        <stp>IR</stp>
        <stp>BONDAVG45</stp>
        <stp>1.5년이하(당일)</stp>
        <stp>45520</stp>
        <stp/>
        <tr r="AF55" s="2"/>
        <tr r="AW55" s="2"/>
      </tp>
      <tp>
        <v>3.2959999999999998</v>
        <stp/>
        <stp>P</stp>
        <stp>0</stp>
        <stp>IR</stp>
        <stp>BONDAVG55</stp>
        <stp>1.5년이하(당일)</stp>
        <stp>45520</stp>
        <stp/>
        <tr r="AF61" s="2"/>
        <tr r="AW61" s="2"/>
      </tp>
      <tp>
        <v>4.4980000000000002</v>
        <stp/>
        <stp>P</stp>
        <stp>0</stp>
        <stp>IR</stp>
        <stp>BONDAVG75</stp>
        <stp>1.5년이하(당일)</stp>
        <stp>45520</stp>
        <stp/>
        <tr r="AF77" s="2"/>
        <tr r="AW77" s="2"/>
      </tp>
      <tp>
        <v>3.1680000000000001</v>
        <stp/>
        <stp>P</stp>
        <stp>0</stp>
        <stp>IR</stp>
        <stp>BONDAVG05</stp>
        <stp>1.5년이하(당일)</stp>
        <stp>45520</stp>
        <stp/>
        <tr r="AF15" s="2"/>
        <tr r="AW15" s="2"/>
      </tp>
      <tp>
        <v>3.048</v>
        <stp/>
        <stp>P</stp>
        <stp>0</stp>
        <stp>IR</stp>
        <stp>BONDAVG15</stp>
        <stp>1.5년이하(당일)</stp>
        <stp>45520</stp>
        <stp/>
        <tr r="AF23" s="2"/>
        <tr r="AW23" s="2"/>
      </tp>
      <tp>
        <v>4.0119999999999996</v>
        <stp/>
        <stp>P</stp>
        <stp>0</stp>
        <stp>IR</stp>
        <stp>BONDAVG25</stp>
        <stp>1.5년이하(당일)</stp>
        <stp>45520</stp>
        <stp/>
        <tr r="AF34" s="2"/>
        <tr r="AW34" s="2"/>
      </tp>
      <tp>
        <v>3.2509999999999999</v>
        <stp/>
        <stp>P</stp>
        <stp>0</stp>
        <stp>IR</stp>
        <stp>BONDAVG44</stp>
        <stp>2.5년이하(당일)</stp>
        <stp>45520</stp>
        <stp/>
        <tr r="AH54" s="2"/>
        <tr r="AY54" s="2"/>
      </tp>
      <tp>
        <v>8.9809999999999999</v>
        <stp/>
        <stp>P</stp>
        <stp>0</stp>
        <stp>IR</stp>
        <stp>BONDAVG64</stp>
        <stp>2.5년이하(당일)</stp>
        <stp>45520</stp>
        <stp/>
        <tr r="AH70" s="2"/>
        <tr r="AY70" s="2"/>
      </tp>
      <tp>
        <v>4.3449999999999998</v>
        <stp/>
        <stp>P</stp>
        <stp>0</stp>
        <stp>IR</stp>
        <stp>BONDAVG74</stp>
        <stp>2.5년이하(당일)</stp>
        <stp>45520</stp>
        <stp/>
        <tr r="AH76" s="2"/>
        <tr r="AY76" s="2"/>
      </tp>
      <tp>
        <v>2.5169999999999999</v>
        <stp/>
        <stp>P</stp>
        <stp>0</stp>
        <stp>IR</stp>
        <stp>BONDAVG04</stp>
        <stp>2.5년이하(당일)</stp>
        <stp>45520</stp>
        <stp/>
        <tr r="AH14" s="2"/>
        <tr r="AY14" s="2"/>
      </tp>
      <tp>
        <v>2.9929999999999999</v>
        <stp/>
        <stp>P</stp>
        <stp>0</stp>
        <stp>IR</stp>
        <stp>BONDAVG14</stp>
        <stp>2.5년이하(당일)</stp>
        <stp>45520</stp>
        <stp/>
        <tr r="AH22" s="2"/>
        <tr r="AY22" s="2"/>
      </tp>
      <tp>
        <v>3.92</v>
        <stp/>
        <stp>P</stp>
        <stp>0</stp>
        <stp>IR</stp>
        <stp>BONDAVG24</stp>
        <stp>2.5년이하(당일)</stp>
        <stp>45520</stp>
        <stp/>
        <tr r="AH33" s="2"/>
        <tr r="AY33" s="2"/>
      </tp>
      <tp>
        <v>9.6649999999999991</v>
        <stp/>
        <stp>P</stp>
        <stp>0</stp>
        <stp>IR</stp>
        <stp>BONDAVG34</stp>
        <stp>2.5년이하(당일)</stp>
        <stp>45520</stp>
        <stp/>
        <tr r="AH44" s="2"/>
        <tr r="AY44" s="2"/>
      </tp>
      <tp>
        <v>3.1859999999999999</v>
        <stp/>
        <stp>P</stp>
        <stp>0</stp>
        <stp>IR</stp>
        <stp>BONDAVG84</stp>
        <stp>2.5년이하(당일)</stp>
        <stp>45520</stp>
        <stp/>
        <tr r="AH24" s="2"/>
        <tr r="AY24" s="2"/>
      </tp>
      <tp>
        <v>3.2890000000000001</v>
        <stp/>
        <stp>P</stp>
        <stp>0</stp>
        <stp>IR</stp>
        <stp>BONDAVG44</stp>
        <stp>1.5년이하(당일)</stp>
        <stp>45520</stp>
        <stp/>
        <tr r="AF54" s="2"/>
        <tr r="AW54" s="2"/>
      </tp>
      <tp>
        <v>7.7320000000000002</v>
        <stp/>
        <stp>P</stp>
        <stp>0</stp>
        <stp>IR</stp>
        <stp>BONDAVG64</stp>
        <stp>1.5년이하(당일)</stp>
        <stp>45520</stp>
        <stp/>
        <tr r="AF70" s="2"/>
        <tr r="AW70" s="2"/>
      </tp>
      <tp>
        <v>4.1559999999999997</v>
        <stp/>
        <stp>P</stp>
        <stp>0</stp>
        <stp>IR</stp>
        <stp>BONDAVG74</stp>
        <stp>1.5년이하(당일)</stp>
        <stp>45520</stp>
        <stp/>
        <tr r="AF76" s="2"/>
        <tr r="AW76" s="2"/>
      </tp>
      <tp>
        <v>2.6070000000000002</v>
        <stp/>
        <stp>P</stp>
        <stp>0</stp>
        <stp>IR</stp>
        <stp>BONDAVG04</stp>
        <stp>1.5년이하(당일)</stp>
        <stp>45520</stp>
        <stp/>
        <tr r="AF14" s="2"/>
        <tr r="AW14" s="2"/>
      </tp>
      <tp>
        <v>3.0430000000000001</v>
        <stp/>
        <stp>P</stp>
        <stp>0</stp>
        <stp>IR</stp>
        <stp>BONDAVG14</stp>
        <stp>1.5년이하(당일)</stp>
        <stp>45520</stp>
        <stp/>
        <tr r="AF22" s="2"/>
        <tr r="AW22" s="2"/>
      </tp>
      <tp>
        <v>3.9220000000000002</v>
        <stp/>
        <stp>P</stp>
        <stp>0</stp>
        <stp>IR</stp>
        <stp>BONDAVG24</stp>
        <stp>1.5년이하(당일)</stp>
        <stp>45520</stp>
        <stp/>
        <tr r="AF33" s="2"/>
        <tr r="AW33" s="2"/>
      </tp>
      <tp>
        <v>9.1</v>
        <stp/>
        <stp>P</stp>
        <stp>0</stp>
        <stp>IR</stp>
        <stp>BONDAVG34</stp>
        <stp>1.5년이하(당일)</stp>
        <stp>45520</stp>
        <stp/>
        <tr r="AF44" s="2"/>
        <tr r="AW44" s="2"/>
      </tp>
      <tp>
        <v>3.2519999999999998</v>
        <stp/>
        <stp>P</stp>
        <stp>0</stp>
        <stp>IR</stp>
        <stp>BONDAVG84</stp>
        <stp>1.5년이하(당일)</stp>
        <stp>45520</stp>
        <stp/>
        <tr r="AF24" s="2"/>
        <tr r="AW24" s="2"/>
      </tp>
      <tp>
        <v>4.4720000000000004</v>
        <stp/>
        <stp>P</stp>
        <stp>0</stp>
        <stp>IR</stp>
        <stp>BONDAVG47</stp>
        <stp>2.5년이하(당일)</stp>
        <stp>45520</stp>
        <stp/>
        <tr r="AH57" s="2"/>
        <tr r="AY57" s="2"/>
      </tp>
      <tp>
        <v>3.3679999999999999</v>
        <stp/>
        <stp>P</stp>
        <stp>0</stp>
        <stp>IR</stp>
        <stp>BONDAVG57</stp>
        <stp>2.5년이하(당일)</stp>
        <stp>45520</stp>
        <stp/>
        <tr r="AH63" s="2"/>
        <tr r="AY63" s="2"/>
      </tp>
      <tp>
        <v>8.3190000000000008</v>
        <stp/>
        <stp>P</stp>
        <stp>0</stp>
        <stp>IR</stp>
        <stp>BONDAVG77</stp>
        <stp>2.5년이하(당일)</stp>
        <stp>45520</stp>
        <stp/>
        <tr r="AH79" s="2"/>
        <tr r="AY79" s="2"/>
      </tp>
      <tp>
        <v>3.1520000000000001</v>
        <stp/>
        <stp>P</stp>
        <stp>0</stp>
        <stp>IR</stp>
        <stp>BONDAVG17</stp>
        <stp>2.5년이하(당일)</stp>
        <stp>45520</stp>
        <stp/>
        <tr r="AH26" s="2"/>
        <tr r="AY26" s="2"/>
      </tp>
      <tp>
        <v>3.43</v>
        <stp/>
        <stp>P</stp>
        <stp>0</stp>
        <stp>IR</stp>
        <stp>BONDAVG27</stp>
        <stp>2.5년이하(당일)</stp>
        <stp>45520</stp>
        <stp/>
        <tr r="AH37" s="2"/>
        <tr r="AY37" s="2"/>
      </tp>
      <tp>
        <v>3.5459999999999998</v>
        <stp/>
        <stp>P</stp>
        <stp>0</stp>
        <stp>IR</stp>
        <stp>BONDAVG37</stp>
        <stp>2.5년이하(당일)</stp>
        <stp>45520</stp>
        <stp/>
        <tr r="AH47" s="2"/>
        <tr r="AY47" s="2"/>
      </tp>
      <tp>
        <v>4.157</v>
        <stp/>
        <stp>P</stp>
        <stp>0</stp>
        <stp>IR</stp>
        <stp>BONDAVG47</stp>
        <stp>1.5년이하(당일)</stp>
        <stp>45520</stp>
        <stp/>
        <tr r="AF57" s="2"/>
        <tr r="AW57" s="2"/>
      </tp>
      <tp>
        <v>3.3570000000000002</v>
        <stp/>
        <stp>P</stp>
        <stp>0</stp>
        <stp>IR</stp>
        <stp>BONDAVG57</stp>
        <stp>1.5년이하(당일)</stp>
        <stp>45520</stp>
        <stp/>
        <tr r="AF63" s="2"/>
        <tr r="AW63" s="2"/>
      </tp>
      <tp>
        <v>7.14</v>
        <stp/>
        <stp>P</stp>
        <stp>0</stp>
        <stp>IR</stp>
        <stp>BONDAVG77</stp>
        <stp>1.5년이하(당일)</stp>
        <stp>45520</stp>
        <stp/>
        <tr r="AF79" s="2"/>
        <tr r="AW79" s="2"/>
      </tp>
      <tp>
        <v>3.24</v>
        <stp/>
        <stp>P</stp>
        <stp>0</stp>
        <stp>IR</stp>
        <stp>BONDAVG17</stp>
        <stp>1.5년이하(당일)</stp>
        <stp>45520</stp>
        <stp/>
        <tr r="AF26" s="2"/>
        <tr r="AW26" s="2"/>
      </tp>
      <tp>
        <v>3.488</v>
        <stp/>
        <stp>P</stp>
        <stp>0</stp>
        <stp>IR</stp>
        <stp>BONDAVG27</stp>
        <stp>1.5년이하(당일)</stp>
        <stp>45520</stp>
        <stp/>
        <tr r="AF37" s="2"/>
        <tr r="AW37" s="2"/>
      </tp>
      <tp>
        <v>3.5539999999999998</v>
        <stp/>
        <stp>P</stp>
        <stp>0</stp>
        <stp>IR</stp>
        <stp>BONDAVG37</stp>
        <stp>1.5년이하(당일)</stp>
        <stp>45520</stp>
        <stp/>
        <tr r="AF47" s="2"/>
        <tr r="AW47" s="2"/>
      </tp>
      <tp>
        <v>3.6110000000000002</v>
        <stp/>
        <stp>P</stp>
        <stp>0</stp>
        <stp>IR</stp>
        <stp>BONDAVG46</stp>
        <stp>2.5년이하(당일)</stp>
        <stp>45520</stp>
        <stp/>
        <tr r="AH56" s="2"/>
        <tr r="AY56" s="2"/>
      </tp>
      <tp>
        <v>3.3359999999999999</v>
        <stp/>
        <stp>P</stp>
        <stp>0</stp>
        <stp>IR</stp>
        <stp>BONDAVG56</stp>
        <stp>2.5년이하(당일)</stp>
        <stp>45520</stp>
        <stp/>
        <tr r="AH62" s="2"/>
        <tr r="AY62" s="2"/>
      </tp>
      <tp>
        <v>7.2249999999999996</v>
        <stp/>
        <stp>P</stp>
        <stp>0</stp>
        <stp>IR</stp>
        <stp>BONDAVG76</stp>
        <stp>2.5년이하(당일)</stp>
        <stp>45520</stp>
        <stp/>
        <tr r="AH78" s="2"/>
        <tr r="AY78" s="2"/>
      </tp>
      <tp>
        <v>3.113</v>
        <stp/>
        <stp>P</stp>
        <stp>0</stp>
        <stp>IR</stp>
        <stp>BONDAVG06</stp>
        <stp>2.5년이하(당일)</stp>
        <stp>45520</stp>
        <stp/>
        <tr r="AH16" s="2"/>
        <tr r="AY16" s="2"/>
      </tp>
      <tp>
        <v>3.1269999999999998</v>
        <stp/>
        <stp>P</stp>
        <stp>0</stp>
        <stp>IR</stp>
        <stp>BONDAVG16</stp>
        <stp>2.5년이하(당일)</stp>
        <stp>45520</stp>
        <stp/>
        <tr r="AH25" s="2"/>
        <tr r="AY25" s="2"/>
      </tp>
      <tp>
        <v>4.1130000000000004</v>
        <stp/>
        <stp>P</stp>
        <stp>0</stp>
        <stp>IR</stp>
        <stp>BONDAVG26</stp>
        <stp>2.5년이하(당일)</stp>
        <stp>45520</stp>
        <stp/>
        <tr r="AH35" s="2"/>
        <tr r="AY35" s="2"/>
      </tp>
      <tp>
        <v>3.43</v>
        <stp/>
        <stp>P</stp>
        <stp>0</stp>
        <stp>IR</stp>
        <stp>BONDAVG36</stp>
        <stp>2.5년이하(당일)</stp>
        <stp>45520</stp>
        <stp/>
        <tr r="AH46" s="2"/>
        <tr r="AY46" s="2"/>
      </tp>
      <tp>
        <v>3.569</v>
        <stp/>
        <stp>P</stp>
        <stp>0</stp>
        <stp>IR</stp>
        <stp>BONDAVG46</stp>
        <stp>1.5년이하(당일)</stp>
        <stp>45520</stp>
        <stp/>
        <tr r="AF56" s="2"/>
        <tr r="AW56" s="2"/>
      </tp>
      <tp>
        <v>3.33</v>
        <stp/>
        <stp>P</stp>
        <stp>0</stp>
        <stp>IR</stp>
        <stp>BONDAVG56</stp>
        <stp>1.5년이하(당일)</stp>
        <stp>45520</stp>
        <stp/>
        <tr r="AF62" s="2"/>
        <tr r="AW62" s="2"/>
      </tp>
      <tp>
        <v>6.2859999999999996</v>
        <stp/>
        <stp>P</stp>
        <stp>0</stp>
        <stp>IR</stp>
        <stp>BONDAVG76</stp>
        <stp>1.5년이하(당일)</stp>
        <stp>45520</stp>
        <stp/>
        <tr r="AF78" s="2"/>
        <tr r="AW78" s="2"/>
      </tp>
      <tp>
        <v>3.1680000000000001</v>
        <stp/>
        <stp>P</stp>
        <stp>0</stp>
        <stp>IR</stp>
        <stp>BONDAVG06</stp>
        <stp>1.5년이하(당일)</stp>
        <stp>45520</stp>
        <stp/>
        <tr r="AF16" s="2"/>
        <tr r="AW16" s="2"/>
      </tp>
      <tp>
        <v>3.2360000000000002</v>
        <stp/>
        <stp>P</stp>
        <stp>0</stp>
        <stp>IR</stp>
        <stp>BONDAVG16</stp>
        <stp>1.5년이하(당일)</stp>
        <stp>45520</stp>
        <stp/>
        <tr r="AF25" s="2"/>
        <tr r="AW25" s="2"/>
      </tp>
      <tp>
        <v>4.0990000000000002</v>
        <stp/>
        <stp>P</stp>
        <stp>0</stp>
        <stp>IR</stp>
        <stp>BONDAVG26</stp>
        <stp>1.5년이하(당일)</stp>
        <stp>45520</stp>
        <stp/>
        <tr r="AF35" s="2"/>
        <tr r="AW35" s="2"/>
      </tp>
      <tp>
        <v>3.488</v>
        <stp/>
        <stp>P</stp>
        <stp>0</stp>
        <stp>IR</stp>
        <stp>BONDAVG36</stp>
        <stp>1.5년이하(당일)</stp>
        <stp>45520</stp>
        <stp/>
        <tr r="AF46" s="2"/>
        <tr r="AW46" s="2"/>
      </tp>
      <tp>
        <v>7.3250000000000002</v>
        <stp/>
        <stp>P</stp>
        <stp>0</stp>
        <stp>IR</stp>
        <stp>BONDAVG41</stp>
        <stp>2.5년이하(당일)</stp>
        <stp>45520</stp>
        <stp/>
        <tr r="AH51" s="2"/>
        <tr r="AY51" s="2"/>
      </tp>
      <tp>
        <v>3.4</v>
        <stp/>
        <stp>P</stp>
        <stp>0</stp>
        <stp>IR</stp>
        <stp>BONDAVG51</stp>
        <stp>2.5년이하(당일)</stp>
        <stp>45520</stp>
        <stp/>
        <tr r="AH59" s="2"/>
        <tr r="AY59" s="2"/>
      </tp>
      <tp>
        <v>4.3449999999999998</v>
        <stp/>
        <stp>P</stp>
        <stp>0</stp>
        <stp>IR</stp>
        <stp>BONDAVG61</stp>
        <stp>2.5년이하(당일)</stp>
        <stp>45520</stp>
        <stp/>
        <tr r="AH67" s="2"/>
        <tr r="AY67" s="2"/>
      </tp>
      <tp>
        <v>3.593</v>
        <stp/>
        <stp>P</stp>
        <stp>0</stp>
        <stp>IR</stp>
        <stp>BONDAVG71</stp>
        <stp>2.5년이하(당일)</stp>
        <stp>45520</stp>
        <stp/>
        <tr r="AH73" s="2"/>
        <tr r="AY73" s="2"/>
      </tp>
      <tp>
        <v>2.944</v>
        <stp/>
        <stp>P</stp>
        <stp>0</stp>
        <stp>IR</stp>
        <stp>BONDAVG01</stp>
        <stp>2.5년이하(당일)</stp>
        <stp>45520</stp>
        <stp/>
        <tr r="AH11" s="2"/>
        <tr r="AY11" s="2"/>
      </tp>
      <tp>
        <v>3.3889999999999998</v>
        <stp/>
        <stp>P</stp>
        <stp>0</stp>
        <stp>IR</stp>
        <stp>BONDAVG11</stp>
        <stp>2.5년이하(당일)</stp>
        <stp>45520</stp>
        <stp/>
        <tr r="AH20" s="2"/>
        <tr r="AY20" s="2"/>
      </tp>
      <tp>
        <v>3.31</v>
        <stp/>
        <stp>P</stp>
        <stp>0</stp>
        <stp>IR</stp>
        <stp>BONDAVG21</stp>
        <stp>2.5년이하(당일)</stp>
        <stp>45520</stp>
        <stp/>
        <tr r="AH30" s="2"/>
        <tr r="AY30" s="2"/>
      </tp>
      <tp>
        <v>5.9359999999999999</v>
        <stp/>
        <stp>P</stp>
        <stp>0</stp>
        <stp>IR</stp>
        <stp>BONDAVG31</stp>
        <stp>2.5년이하(당일)</stp>
        <stp>45520</stp>
        <stp/>
        <tr r="AH41" s="2"/>
        <tr r="AY41" s="2"/>
      </tp>
      <tp>
        <v>3.375</v>
        <stp/>
        <stp>P</stp>
        <stp>0</stp>
        <stp>IR</stp>
        <stp>BONDAVG81</stp>
        <stp>2.5년이하(당일)</stp>
        <stp>45520</stp>
        <stp/>
        <tr r="AH36" s="2"/>
        <tr r="AY36" s="2"/>
      </tp>
      <tp>
        <v>6.9160000000000004</v>
        <stp/>
        <stp>P</stp>
        <stp>0</stp>
        <stp>IR</stp>
        <stp>BONDAVG41</stp>
        <stp>1.5년이하(당일)</stp>
        <stp>45520</stp>
        <stp/>
        <tr r="AF51" s="2"/>
        <tr r="AW51" s="2"/>
      </tp>
      <tp>
        <v>3.3969999999999998</v>
        <stp/>
        <stp>P</stp>
        <stp>0</stp>
        <stp>IR</stp>
        <stp>BONDAVG51</stp>
        <stp>1.5년이하(당일)</stp>
        <stp>45520</stp>
        <stp/>
        <tr r="AF59" s="2"/>
        <tr r="AW59" s="2"/>
      </tp>
      <tp>
        <v>4.1260000000000003</v>
        <stp/>
        <stp>P</stp>
        <stp>0</stp>
        <stp>IR</stp>
        <stp>BONDAVG61</stp>
        <stp>1.5년이하(당일)</stp>
        <stp>45520</stp>
        <stp/>
        <tr r="AF67" s="2"/>
        <tr r="AW67" s="2"/>
      </tp>
      <tp>
        <v>3.5590000000000002</v>
        <stp/>
        <stp>P</stp>
        <stp>0</stp>
        <stp>IR</stp>
        <stp>BONDAVG71</stp>
        <stp>1.5년이하(당일)</stp>
        <stp>45520</stp>
        <stp/>
        <tr r="AF73" s="2"/>
        <tr r="AW73" s="2"/>
      </tp>
      <tp>
        <v>3.0550000000000002</v>
        <stp/>
        <stp>P</stp>
        <stp>0</stp>
        <stp>IR</stp>
        <stp>BONDAVG01</stp>
        <stp>1.5년이하(당일)</stp>
        <stp>45520</stp>
        <stp/>
        <tr r="AF11" s="2"/>
        <tr r="AW11" s="2"/>
      </tp>
      <tp>
        <v>3.4039999999999999</v>
        <stp/>
        <stp>P</stp>
        <stp>0</stp>
        <stp>IR</stp>
        <stp>BONDAVG11</stp>
        <stp>1.5년이하(당일)</stp>
        <stp>45520</stp>
        <stp/>
        <tr r="AF20" s="2"/>
        <tr r="AW20" s="2"/>
      </tp>
      <tp>
        <v>3.36</v>
        <stp/>
        <stp>P</stp>
        <stp>0</stp>
        <stp>IR</stp>
        <stp>BONDAVG21</stp>
        <stp>1.5년이하(당일)</stp>
        <stp>45520</stp>
        <stp/>
        <tr r="AF30" s="2"/>
        <tr r="AW30" s="2"/>
      </tp>
      <tp>
        <v>5.7629999999999999</v>
        <stp/>
        <stp>P</stp>
        <stp>0</stp>
        <stp>IR</stp>
        <stp>BONDAVG31</stp>
        <stp>1.5년이하(당일)</stp>
        <stp>45520</stp>
        <stp/>
        <tr r="AF41" s="2"/>
        <tr r="AW41" s="2"/>
      </tp>
      <tp>
        <v>3.4470000000000001</v>
        <stp/>
        <stp>P</stp>
        <stp>0</stp>
        <stp>IR</stp>
        <stp>BONDAVG81</stp>
        <stp>1.5년이하(당일)</stp>
        <stp>45520</stp>
        <stp/>
        <tr r="AF36" s="2"/>
        <tr r="AW36" s="2"/>
      </tp>
      <tp>
        <v>5.9359999999999999</v>
        <stp/>
        <stp>P</stp>
        <stp>0</stp>
        <stp>IR</stp>
        <stp>BONDAVG40</stp>
        <stp>2.5년이하(당일)</stp>
        <stp>45520</stp>
        <stp/>
        <tr r="AH50" s="2"/>
        <tr r="AY50" s="2"/>
      </tp>
      <tp>
        <v>3.9580000000000002</v>
        <stp/>
        <stp>P</stp>
        <stp>0</stp>
        <stp>IR</stp>
        <stp>BONDAVG60</stp>
        <stp>2.5년이하(당일)</stp>
        <stp>45520</stp>
        <stp/>
        <tr r="AH66" s="2"/>
        <tr r="AY66" s="2"/>
      </tp>
      <tp>
        <v>3.5449999999999999</v>
        <stp/>
        <stp>P</stp>
        <stp>0</stp>
        <stp>IR</stp>
        <stp>BONDAVG70</stp>
        <stp>2.5년이하(당일)</stp>
        <stp>45520</stp>
        <stp/>
        <tr r="AH72" s="2"/>
        <tr r="AY72" s="2"/>
      </tp>
      <tp>
        <v>3.2549999999999999</v>
        <stp/>
        <stp>P</stp>
        <stp>0</stp>
        <stp>IR</stp>
        <stp>BONDAVG10</stp>
        <stp>2.5년이하(당일)</stp>
        <stp>45520</stp>
        <stp/>
        <tr r="AH19" s="2"/>
        <tr r="AY19" s="2"/>
      </tp>
      <tp>
        <v>3.2109999999999999</v>
        <stp/>
        <stp>P</stp>
        <stp>0</stp>
        <stp>IR</stp>
        <stp>BONDAVG20</stp>
        <stp>2.5년이하(당일)</stp>
        <stp>45520</stp>
        <stp/>
        <tr r="AH29" s="2"/>
        <tr r="AY29" s="2"/>
      </tp>
      <tp>
        <v>5.2789999999999999</v>
        <stp/>
        <stp>P</stp>
        <stp>0</stp>
        <stp>IR</stp>
        <stp>BONDAVG30</stp>
        <stp>2.5년이하(당일)</stp>
        <stp>45520</stp>
        <stp/>
        <tr r="AH40" s="2"/>
        <tr r="AY40" s="2"/>
      </tp>
      <tp>
        <v>5.7629999999999999</v>
        <stp/>
        <stp>P</stp>
        <stp>0</stp>
        <stp>IR</stp>
        <stp>BONDAVG40</stp>
        <stp>1.5년이하(당일)</stp>
        <stp>45520</stp>
        <stp/>
        <tr r="AF50" s="2"/>
        <tr r="AW50" s="2"/>
      </tp>
      <tp>
        <v>3.831</v>
        <stp/>
        <stp>P</stp>
        <stp>0</stp>
        <stp>IR</stp>
        <stp>BONDAVG60</stp>
        <stp>1.5년이하(당일)</stp>
        <stp>45520</stp>
        <stp/>
        <tr r="AF66" s="2"/>
        <tr r="AW66" s="2"/>
      </tp>
      <tp>
        <v>3.5110000000000001</v>
        <stp/>
        <stp>P</stp>
        <stp>0</stp>
        <stp>IR</stp>
        <stp>BONDAVG70</stp>
        <stp>1.5년이하(당일)</stp>
        <stp>45520</stp>
        <stp/>
        <tr r="AF72" s="2"/>
        <tr r="AW72" s="2"/>
      </tp>
      <tp>
        <v>3.2789999999999999</v>
        <stp/>
        <stp>P</stp>
        <stp>0</stp>
        <stp>IR</stp>
        <stp>BONDAVG10</stp>
        <stp>1.5년이하(당일)</stp>
        <stp>45520</stp>
        <stp/>
        <tr r="AF19" s="2"/>
        <tr r="AW19" s="2"/>
      </tp>
      <tp>
        <v>3.2589999999999999</v>
        <stp/>
        <stp>P</stp>
        <stp>0</stp>
        <stp>IR</stp>
        <stp>BONDAVG20</stp>
        <stp>1.5년이하(당일)</stp>
        <stp>45520</stp>
        <stp/>
        <tr r="AF29" s="2"/>
        <tr r="AW29" s="2"/>
      </tp>
      <tp>
        <v>5.21</v>
        <stp/>
        <stp>P</stp>
        <stp>0</stp>
        <stp>IR</stp>
        <stp>BONDAVG30</stp>
        <stp>1.5년이하(당일)</stp>
        <stp>45520</stp>
        <stp/>
        <tr r="AF40" s="2"/>
        <tr r="AW40" s="2"/>
      </tp>
      <tp>
        <v>9.5719999999999992</v>
        <stp/>
        <stp>P</stp>
        <stp>0</stp>
        <stp>IR</stp>
        <stp>BONDAVG43</stp>
        <stp>2.5년이하(당일)</stp>
        <stp>45520</stp>
        <stp/>
        <tr r="AH53" s="2"/>
        <tr r="AY53" s="2"/>
      </tp>
      <tp>
        <v>3.9420000000000002</v>
        <stp/>
        <stp>P</stp>
        <stp>0</stp>
        <stp>IR</stp>
        <stp>BONDAVG53</stp>
        <stp>2.5년이하(당일)</stp>
        <stp>45520</stp>
        <stp/>
        <tr r="AH60" s="2"/>
        <tr r="AY60" s="2"/>
      </tp>
      <tp>
        <v>7.7380000000000004</v>
        <stp/>
        <stp>P</stp>
        <stp>0</stp>
        <stp>IR</stp>
        <stp>BONDAVG63</stp>
        <stp>2.5년이하(당일)</stp>
        <stp>45520</stp>
        <stp/>
        <tr r="AH69" s="2"/>
        <tr r="AY69" s="2"/>
      </tp>
      <tp>
        <v>4.1219999999999999</v>
        <stp/>
        <stp>P</stp>
        <stp>0</stp>
        <stp>IR</stp>
        <stp>BONDAVG73</stp>
        <stp>2.5년이하(당일)</stp>
        <stp>45520</stp>
        <stp/>
        <tr r="AH75" s="2"/>
        <tr r="AY75" s="2"/>
      </tp>
      <tp>
        <v>2.81</v>
        <stp/>
        <stp>P</stp>
        <stp>0</stp>
        <stp>IR</stp>
        <stp>BONDAVG03</stp>
        <stp>2.5년이하(당일)</stp>
        <stp>45520</stp>
        <stp/>
        <tr r="AH13" s="2"/>
        <tr r="AY13" s="2"/>
      </tp>
      <tp>
        <v>3.0870000000000002</v>
        <stp/>
        <stp>P</stp>
        <stp>0</stp>
        <stp>IR</stp>
        <stp>BONDAVG13</stp>
        <stp>2.5년이하(당일)</stp>
        <stp>45520</stp>
        <stp/>
        <tr r="AH17" s="2"/>
        <tr r="AY17" s="2"/>
      </tp>
      <tp>
        <v>3.7989999999999999</v>
        <stp/>
        <stp>P</stp>
        <stp>0</stp>
        <stp>IR</stp>
        <stp>BONDAVG23</stp>
        <stp>2.5년이하(당일)</stp>
        <stp>45520</stp>
        <stp/>
        <tr r="AH32" s="2"/>
        <tr r="AY32" s="2"/>
      </tp>
      <tp>
        <v>8.2650000000000006</v>
        <stp/>
        <stp>P</stp>
        <stp>0</stp>
        <stp>IR</stp>
        <stp>BONDAVG33</stp>
        <stp>2.5년이하(당일)</stp>
        <stp>45520</stp>
        <stp/>
        <tr r="AH43" s="2"/>
        <tr r="AY43" s="2"/>
      </tp>
      <tp>
        <v>9.0370000000000008</v>
        <stp/>
        <stp>P</stp>
        <stp>0</stp>
        <stp>IR</stp>
        <stp>BONDAVG43</stp>
        <stp>1.5년이하(당일)</stp>
        <stp>45520</stp>
        <stp/>
        <tr r="AF53" s="2"/>
        <tr r="AW53" s="2"/>
      </tp>
      <tp>
        <v>3.8439999999999999</v>
        <stp/>
        <stp>P</stp>
        <stp>0</stp>
        <stp>IR</stp>
        <stp>BONDAVG53</stp>
        <stp>1.5년이하(당일)</stp>
        <stp>45520</stp>
        <stp/>
        <tr r="AF60" s="2"/>
        <tr r="AW60" s="2"/>
      </tp>
      <tp>
        <v>6.6079999999999997</v>
        <stp/>
        <stp>P</stp>
        <stp>0</stp>
        <stp>IR</stp>
        <stp>BONDAVG63</stp>
        <stp>1.5년이하(당일)</stp>
        <stp>45520</stp>
        <stp/>
        <tr r="AF69" s="2"/>
        <tr r="AW69" s="2"/>
      </tp>
      <tp>
        <v>3.9569999999999999</v>
        <stp/>
        <stp>P</stp>
        <stp>0</stp>
        <stp>IR</stp>
        <stp>BONDAVG73</stp>
        <stp>1.5년이하(당일)</stp>
        <stp>45520</stp>
        <stp/>
        <tr r="AF75" s="2"/>
        <tr r="AW75" s="2"/>
      </tp>
      <tp>
        <v>2.8759999999999999</v>
        <stp/>
        <stp>P</stp>
        <stp>0</stp>
        <stp>IR</stp>
        <stp>BONDAVG03</stp>
        <stp>1.5년이하(당일)</stp>
        <stp>45520</stp>
        <stp/>
        <tr r="AF13" s="2"/>
        <tr r="AW13" s="2"/>
      </tp>
      <tp>
        <v>3.1349999999999998</v>
        <stp/>
        <stp>P</stp>
        <stp>0</stp>
        <stp>IR</stp>
        <stp>BONDAVG13</stp>
        <stp>1.5년이하(당일)</stp>
        <stp>45520</stp>
        <stp/>
        <tr r="AF17" s="2"/>
        <tr r="AW17" s="2"/>
      </tp>
      <tp>
        <v>3.8109999999999999</v>
        <stp/>
        <stp>P</stp>
        <stp>0</stp>
        <stp>IR</stp>
        <stp>BONDAVG23</stp>
        <stp>1.5년이하(당일)</stp>
        <stp>45520</stp>
        <stp/>
        <tr r="AF32" s="2"/>
        <tr r="AW32" s="2"/>
      </tp>
      <tp>
        <v>7.7560000000000002</v>
        <stp/>
        <stp>P</stp>
        <stp>0</stp>
        <stp>IR</stp>
        <stp>BONDAVG33</stp>
        <stp>1.5년이하(당일)</stp>
        <stp>45520</stp>
        <stp/>
        <tr r="AF43" s="2"/>
        <tr r="AW43" s="2"/>
      </tp>
      <tp>
        <v>8.2219999999999995</v>
        <stp/>
        <stp>P</stp>
        <stp>0</stp>
        <stp>IR</stp>
        <stp>BONDAVG42</stp>
        <stp>2.5년이하(당일)</stp>
        <stp>45520</stp>
        <stp/>
        <tr r="AH52" s="2"/>
        <tr r="AY52" s="2"/>
      </tp>
      <tp>
        <v>6.7050000000000001</v>
        <stp/>
        <stp>P</stp>
        <stp>0</stp>
        <stp>IR</stp>
        <stp>BONDAVG62</stp>
        <stp>2.5년이하(당일)</stp>
        <stp>45520</stp>
        <stp/>
        <tr r="AH68" s="2"/>
        <tr r="AY68" s="2"/>
      </tp>
      <tp>
        <v>3.6589999999999998</v>
        <stp/>
        <stp>P</stp>
        <stp>0</stp>
        <stp>IR</stp>
        <stp>BONDAVG72</stp>
        <stp>2.5년이하(당일)</stp>
        <stp>45520</stp>
        <stp/>
        <tr r="AH74" s="2"/>
        <tr r="AY74" s="2"/>
      </tp>
      <tp>
        <v>3.012</v>
        <stp/>
        <stp>P</stp>
        <stp>0</stp>
        <stp>IR</stp>
        <stp>BONDAVG02</stp>
        <stp>2.5년이하(당일)</stp>
        <stp>45520</stp>
        <stp/>
        <tr r="AH12" s="2"/>
        <tr r="AY12" s="2"/>
      </tp>
      <tp>
        <v>3.5270000000000001</v>
        <stp/>
        <stp>P</stp>
        <stp>0</stp>
        <stp>IR</stp>
        <stp>BONDAVG12</stp>
        <stp>2.5년이하(당일)</stp>
        <stp>45520</stp>
        <stp/>
        <tr r="AH21" s="2"/>
        <tr r="AY21" s="2"/>
      </tp>
      <tp>
        <v>3.5569999999999999</v>
        <stp/>
        <stp>P</stp>
        <stp>0</stp>
        <stp>IR</stp>
        <stp>BONDAVG22</stp>
        <stp>2.5년이하(당일)</stp>
        <stp>45520</stp>
        <stp/>
        <tr r="AH31" s="2"/>
        <tr r="AY31" s="2"/>
      </tp>
      <tp>
        <v>7.3630000000000004</v>
        <stp/>
        <stp>P</stp>
        <stp>0</stp>
        <stp>IR</stp>
        <stp>BONDAVG32</stp>
        <stp>2.5년이하(당일)</stp>
        <stp>45520</stp>
        <stp/>
        <tr r="AH42" s="2"/>
        <tr r="AY42" s="2"/>
      </tp>
      <tp>
        <v>3.375</v>
        <stp/>
        <stp>P</stp>
        <stp>0</stp>
        <stp>IR</stp>
        <stp>BONDAVG82</stp>
        <stp>2.5년이하(당일)</stp>
        <stp>45520</stp>
        <stp/>
        <tr r="AH45" s="2"/>
        <tr r="AY45" s="2"/>
      </tp>
      <tp>
        <v>7.7240000000000002</v>
        <stp/>
        <stp>P</stp>
        <stp>0</stp>
        <stp>IR</stp>
        <stp>BONDAVG42</stp>
        <stp>1.5년이하(당일)</stp>
        <stp>45520</stp>
        <stp/>
        <tr r="AF52" s="2"/>
        <tr r="AW52" s="2"/>
      </tp>
      <tp>
        <v>5.7990000000000004</v>
        <stp/>
        <stp>P</stp>
        <stp>0</stp>
        <stp>IR</stp>
        <stp>BONDAVG62</stp>
        <stp>1.5년이하(당일)</stp>
        <stp>45520</stp>
        <stp/>
        <tr r="AF68" s="2"/>
        <tr r="AW68" s="2"/>
      </tp>
      <tp>
        <v>3.6040000000000001</v>
        <stp/>
        <stp>P</stp>
        <stp>0</stp>
        <stp>IR</stp>
        <stp>BONDAVG72</stp>
        <stp>1.5년이하(당일)</stp>
        <stp>45520</stp>
        <stp/>
        <tr r="AF74" s="2"/>
        <tr r="AW74" s="2"/>
      </tp>
      <tp>
        <v>3.077</v>
        <stp/>
        <stp>P</stp>
        <stp>0</stp>
        <stp>IR</stp>
        <stp>BONDAVG02</stp>
        <stp>1.5년이하(당일)</stp>
        <stp>45520</stp>
        <stp/>
        <tr r="AF12" s="2"/>
        <tr r="AW12" s="2"/>
      </tp>
      <tp>
        <v>3.544</v>
        <stp/>
        <stp>P</stp>
        <stp>0</stp>
        <stp>IR</stp>
        <stp>BONDAVG12</stp>
        <stp>1.5년이하(당일)</stp>
        <stp>45520</stp>
        <stp/>
        <tr r="AF21" s="2"/>
        <tr r="AW21" s="2"/>
      </tp>
      <tp>
        <v>3.5550000000000002</v>
        <stp/>
        <stp>P</stp>
        <stp>0</stp>
        <stp>IR</stp>
        <stp>BONDAVG22</stp>
        <stp>1.5년이하(당일)</stp>
        <stp>45520</stp>
        <stp/>
        <tr r="AF31" s="2"/>
        <tr r="AW31" s="2"/>
      </tp>
      <tp>
        <v>6.9560000000000004</v>
        <stp/>
        <stp>P</stp>
        <stp>0</stp>
        <stp>IR</stp>
        <stp>BONDAVG32</stp>
        <stp>1.5년이하(당일)</stp>
        <stp>45520</stp>
        <stp/>
        <tr r="AF42" s="2"/>
        <tr r="AW42" s="2"/>
      </tp>
      <tp>
        <v>3.4470000000000001</v>
        <stp/>
        <stp>P</stp>
        <stp>0</stp>
        <stp>IR</stp>
        <stp>BONDAVG82</stp>
        <stp>1.5년이하(당일)</stp>
        <stp>45520</stp>
        <stp/>
        <tr r="AF45" s="2"/>
        <tr r="AW45" s="2"/>
      </tp>
      <tp>
        <v>3.3250000000000002</v>
        <stp/>
        <stp>P</stp>
        <stp>0</stp>
        <stp>IR</stp>
        <stp>BONDAVG49</stp>
        <stp>2.5년이하(당일)</stp>
        <stp>45520</stp>
        <stp/>
        <tr r="AH58" s="2"/>
        <tr r="AY58" s="2"/>
      </tp>
      <tp>
        <v>3.7669999999999999</v>
        <stp/>
        <stp>P</stp>
        <stp>0</stp>
        <stp>IR</stp>
        <stp>BONDAVG59</stp>
        <stp>2.5년이하(당일)</stp>
        <stp>45520</stp>
        <stp/>
        <tr r="AH65" s="2"/>
        <tr r="AY65" s="2"/>
      </tp>
      <tp>
        <v>3.4630000000000001</v>
        <stp/>
        <stp>P</stp>
        <stp>0</stp>
        <stp>IR</stp>
        <stp>BONDAVG69</stp>
        <stp>2.5년이하(당일)</stp>
        <stp>45520</stp>
        <stp/>
        <tr r="AH71" s="2"/>
        <tr r="AY71" s="2"/>
      </tp>
      <tp>
        <v>3.1949999999999998</v>
        <stp/>
        <stp>P</stp>
        <stp>0</stp>
        <stp>IR</stp>
        <stp>BONDAVG79</stp>
        <stp>2.5년이하(당일)</stp>
        <stp>45520</stp>
        <stp/>
        <tr r="AH81" s="2"/>
        <tr r="AY81" s="2"/>
      </tp>
      <tp>
        <v>3.1560000000000001</v>
        <stp/>
        <stp>P</stp>
        <stp>0</stp>
        <stp>IR</stp>
        <stp>BONDAVG09</stp>
        <stp>2.5년이하(당일)</stp>
        <stp>45520</stp>
        <stp/>
        <tr r="AH18" s="2"/>
        <tr r="AY18" s="2"/>
      </tp>
      <tp>
        <v>3.1520000000000001</v>
        <stp/>
        <stp>P</stp>
        <stp>0</stp>
        <stp>IR</stp>
        <stp>BONDAVG19</stp>
        <stp>2.5년이하(당일)</stp>
        <stp>45520</stp>
        <stp/>
        <tr r="AH28" s="2"/>
        <tr r="AY28" s="2"/>
      </tp>
      <tp>
        <v>4.4930000000000003</v>
        <stp/>
        <stp>P</stp>
        <stp>0</stp>
        <stp>IR</stp>
        <stp>BONDAVG29</stp>
        <stp>2.5년이하(당일)</stp>
        <stp>45520</stp>
        <stp/>
        <tr r="AH39" s="2"/>
        <tr r="AY39" s="2"/>
      </tp>
      <tp>
        <v>5.2789999999999999</v>
        <stp/>
        <stp>P</stp>
        <stp>0</stp>
        <stp>IR</stp>
        <stp>BONDAVG39</stp>
        <stp>2.5년이하(당일)</stp>
        <stp>45520</stp>
        <stp/>
        <tr r="AH49" s="2"/>
        <tr r="AY49" s="2"/>
      </tp>
      <tp>
        <v>3.34</v>
        <stp/>
        <stp>P</stp>
        <stp>0</stp>
        <stp>IR</stp>
        <stp>BONDAVG49</stp>
        <stp>1.5년이하(당일)</stp>
        <stp>45520</stp>
        <stp/>
        <tr r="AF58" s="2"/>
        <tr r="AW58" s="2"/>
      </tp>
      <tp>
        <v>3.6579999999999999</v>
        <stp/>
        <stp>P</stp>
        <stp>0</stp>
        <stp>IR</stp>
        <stp>BONDAVG59</stp>
        <stp>1.5년이하(당일)</stp>
        <stp>45520</stp>
        <stp/>
        <tr r="AF65" s="2"/>
        <tr r="AW65" s="2"/>
      </tp>
      <tp>
        <v>3.45</v>
        <stp/>
        <stp>P</stp>
        <stp>0</stp>
        <stp>IR</stp>
        <stp>BONDAVG69</stp>
        <stp>1.5년이하(당일)</stp>
        <stp>45520</stp>
        <stp/>
        <tr r="AF71" s="2"/>
        <tr r="AW71" s="2"/>
      </tp>
      <tp>
        <v>3.2269999999999999</v>
        <stp/>
        <stp>P</stp>
        <stp>0</stp>
        <stp>IR</stp>
        <stp>BONDAVG79</stp>
        <stp>1.5년이하(당일)</stp>
        <stp>45520</stp>
        <stp/>
        <tr r="AF81" s="2"/>
        <tr r="AW81" s="2"/>
      </tp>
      <tp>
        <v>3.1970000000000001</v>
        <stp/>
        <stp>P</stp>
        <stp>0</stp>
        <stp>IR</stp>
        <stp>BONDAVG09</stp>
        <stp>1.5년이하(당일)</stp>
        <stp>45520</stp>
        <stp/>
        <tr r="AF18" s="2"/>
        <tr r="AW18" s="2"/>
      </tp>
      <tp>
        <v>3.24</v>
        <stp/>
        <stp>P</stp>
        <stp>0</stp>
        <stp>IR</stp>
        <stp>BONDAVG19</stp>
        <stp>1.5년이하(당일)</stp>
        <stp>45520</stp>
        <stp/>
        <tr r="AF28" s="2"/>
        <tr r="AW28" s="2"/>
      </tp>
      <tp>
        <v>4.4269999999999996</v>
        <stp/>
        <stp>P</stp>
        <stp>0</stp>
        <stp>IR</stp>
        <stp>BONDAVG29</stp>
        <stp>1.5년이하(당일)</stp>
        <stp>45520</stp>
        <stp/>
        <tr r="AF39" s="2"/>
        <tr r="AW39" s="2"/>
      </tp>
      <tp>
        <v>5.21</v>
        <stp/>
        <stp>P</stp>
        <stp>0</stp>
        <stp>IR</stp>
        <stp>BONDAVG39</stp>
        <stp>1.5년이하(당일)</stp>
        <stp>45520</stp>
        <stp/>
        <tr r="AF49" s="2"/>
        <tr r="AW49" s="2"/>
      </tp>
      <tp>
        <v>3.403</v>
        <stp/>
        <stp>P</stp>
        <stp>0</stp>
        <stp>IR</stp>
        <stp>BONDAVG58</stp>
        <stp>2.5년이하(당일)</stp>
        <stp>45520</stp>
        <stp/>
        <tr r="AH64" s="2"/>
        <tr r="AY64" s="2"/>
      </tp>
      <tp>
        <v>9.8659999999999997</v>
        <stp/>
        <stp>P</stp>
        <stp>0</stp>
        <stp>IR</stp>
        <stp>BONDAVG78</stp>
        <stp>2.5년이하(당일)</stp>
        <stp>45520</stp>
        <stp/>
        <tr r="AH80" s="2"/>
        <tr r="AY80" s="2"/>
      </tp>
      <tp>
        <v>3.1269999999999998</v>
        <stp/>
        <stp>P</stp>
        <stp>0</stp>
        <stp>IR</stp>
        <stp>BONDAVG18</stp>
        <stp>2.5년이하(당일)</stp>
        <stp>45520</stp>
        <stp/>
        <tr r="AH27" s="2"/>
        <tr r="AY27" s="2"/>
      </tp>
      <tp>
        <v>3.5459999999999998</v>
        <stp/>
        <stp>P</stp>
        <stp>0</stp>
        <stp>IR</stp>
        <stp>BONDAVG28</stp>
        <stp>2.5년이하(당일)</stp>
        <stp>45520</stp>
        <stp/>
        <tr r="AH38" s="2"/>
        <tr r="AY38" s="2"/>
      </tp>
      <tp>
        <v>4.4930000000000003</v>
        <stp/>
        <stp>P</stp>
        <stp>0</stp>
        <stp>IR</stp>
        <stp>BONDAVG38</stp>
        <stp>2.5년이하(당일)</stp>
        <stp>45520</stp>
        <stp/>
        <tr r="AH48" s="2"/>
        <tr r="AY48" s="2"/>
      </tp>
      <tp>
        <v>3.3820000000000001</v>
        <stp/>
        <stp>P</stp>
        <stp>0</stp>
        <stp>IR</stp>
        <stp>BONDAVG58</stp>
        <stp>1.5년이하(당일)</stp>
        <stp>45520</stp>
        <stp/>
        <tr r="AF64" s="2"/>
        <tr r="AW64" s="2"/>
      </tp>
      <tp>
        <v>8.5670000000000002</v>
        <stp/>
        <stp>P</stp>
        <stp>0</stp>
        <stp>IR</stp>
        <stp>BONDAVG78</stp>
        <stp>1.5년이하(당일)</stp>
        <stp>45520</stp>
        <stp/>
        <tr r="AF80" s="2"/>
        <tr r="AW80" s="2"/>
      </tp>
      <tp>
        <v>3.2360000000000002</v>
        <stp/>
        <stp>P</stp>
        <stp>0</stp>
        <stp>IR</stp>
        <stp>BONDAVG18</stp>
        <stp>1.5년이하(당일)</stp>
        <stp>45520</stp>
        <stp/>
        <tr r="AF27" s="2"/>
        <tr r="AW27" s="2"/>
      </tp>
      <tp>
        <v>3.5539999999999998</v>
        <stp/>
        <stp>P</stp>
        <stp>0</stp>
        <stp>IR</stp>
        <stp>BONDAVG28</stp>
        <stp>1.5년이하(당일)</stp>
        <stp>45520</stp>
        <stp/>
        <tr r="AF38" s="2"/>
        <tr r="AW38" s="2"/>
      </tp>
      <tp>
        <v>4.4269999999999996</v>
        <stp/>
        <stp>P</stp>
        <stp>0</stp>
        <stp>IR</stp>
        <stp>BONDAVG38</stp>
        <stp>1.5년이하(당일)</stp>
        <stp>45520</stp>
        <stp/>
        <tr r="AF48" s="2"/>
        <tr r="AW48" s="2"/>
      </tp>
      <tp>
        <v>3.1120000000000001</v>
        <stp/>
        <stp>P</stp>
        <stp>0</stp>
        <stp>IR</stp>
        <stp>BONDAVG01</stp>
        <stp>9월이하(당일)</stp>
        <stp>일자</stp>
        <stp/>
        <tr r="X35" s="3"/>
        <tr r="X35" s="3"/>
        <tr r="E35" s="3"/>
        <tr r="E35" s="3"/>
        <tr r="X8" s="3"/>
        <tr r="X8" s="3"/>
        <tr r="E8" s="3"/>
        <tr r="E8" s="3"/>
      </tp>
      <tp>
        <v>3.3380000000000001</v>
        <stp/>
        <stp>P</stp>
        <stp>0</stp>
        <stp>IR</stp>
        <stp>BONDAVG01</stp>
        <stp>3월이하(당일)</stp>
        <stp>일자</stp>
        <stp/>
        <tr r="V35" s="3"/>
        <tr r="V35" s="3"/>
        <tr r="C35" s="3"/>
        <tr r="C35" s="3"/>
        <tr r="V8" s="3"/>
        <tr r="V8" s="3"/>
        <tr r="C8" s="3"/>
        <tr r="C8" s="3"/>
      </tp>
      <tp>
        <v>3.2029999999999998</v>
        <stp/>
        <stp>P</stp>
        <stp>0</stp>
        <stp>IR</stp>
        <stp>BONDAVG01</stp>
        <stp>6월이하(당일)</stp>
        <stp>일자</stp>
        <stp/>
        <tr r="W35" s="3"/>
        <tr r="W35" s="3"/>
        <tr r="D35" s="3"/>
        <tr r="D35" s="3"/>
        <tr r="W8" s="3"/>
        <tr r="W8" s="3"/>
        <tr r="D8" s="3"/>
        <tr r="D8" s="3"/>
      </tp>
      <tp>
        <v>3.1720000000000002</v>
        <stp/>
        <stp>P</stp>
        <stp>0</stp>
        <stp>IR</stp>
        <stp>BONDAVG02</stp>
        <stp>9월이하(당일)</stp>
        <stp>일자</stp>
        <stp/>
        <tr r="E9" s="3"/>
        <tr r="E9" s="3"/>
      </tp>
      <tp>
        <v>3.3460000000000001</v>
        <stp/>
        <stp>P</stp>
        <stp>0</stp>
        <stp>IR</stp>
        <stp>BONDAVG02</stp>
        <stp>3월이하(당일)</stp>
        <stp>일자</stp>
        <stp/>
        <tr r="C9" s="3"/>
        <tr r="C9" s="3"/>
      </tp>
      <tp>
        <v>3.254</v>
        <stp/>
        <stp>P</stp>
        <stp>0</stp>
        <stp>IR</stp>
        <stp>BONDAVG02</stp>
        <stp>6월이하(당일)</stp>
        <stp>일자</stp>
        <stp/>
        <tr r="D9" s="3"/>
        <tr r="D9" s="3"/>
      </tp>
      <tp>
        <v>3.298</v>
        <stp/>
        <stp>P</stp>
        <stp>0</stp>
        <stp>IR</stp>
        <stp>BONDAVG09</stp>
        <stp>9월이하(당일)</stp>
        <stp>일자</stp>
        <stp/>
        <tr r="X9" s="3"/>
        <tr r="X9" s="3"/>
      </tp>
      <tp>
        <v>3.3929999999999998</v>
        <stp/>
        <stp>P</stp>
        <stp>0</stp>
        <stp>IR</stp>
        <stp>BONDAVG09</stp>
        <stp>3월이하(당일)</stp>
        <stp>일자</stp>
        <stp/>
        <tr r="V9" s="3"/>
        <tr r="V9" s="3"/>
      </tp>
      <tp>
        <v>3.3610000000000002</v>
        <stp/>
        <stp>P</stp>
        <stp>0</stp>
        <stp>IR</stp>
        <stp>BONDAVG09</stp>
        <stp>6월이하(당일)</stp>
        <stp>일자</stp>
        <stp/>
        <tr r="W9" s="3"/>
        <tr r="W9" s="3"/>
      </tp>
      <tp>
        <v>3.343</v>
        <stp/>
        <stp>P</stp>
        <stp>0</stp>
        <stp>IR</stp>
        <stp>BONDAVG44</stp>
        <stp>9월이하(당일)</stp>
        <stp>일자</stp>
        <stp/>
        <tr r="E36" s="3"/>
        <tr r="E36" s="3"/>
      </tp>
      <tp>
        <v>3.4209999999999998</v>
        <stp/>
        <stp>P</stp>
        <stp>0</stp>
        <stp>IR</stp>
        <stp>BONDAVG44</stp>
        <stp>3월이하(당일)</stp>
        <stp>일자</stp>
        <stp/>
        <tr r="C36" s="3"/>
        <tr r="C36" s="3"/>
      </tp>
      <tp>
        <v>3.4039999999999999</v>
        <stp/>
        <stp>P</stp>
        <stp>0</stp>
        <stp>IR</stp>
        <stp>BONDAVG44</stp>
        <stp>6월이하(당일)</stp>
        <stp>일자</stp>
        <stp/>
        <tr r="D36" s="3"/>
        <tr r="D36" s="3"/>
      </tp>
      <tp>
        <v>6.7249999999999996</v>
        <stp/>
        <stp>P</stp>
        <stp>0</stp>
        <stp>IR</stp>
        <stp>BONDAVG64</stp>
        <stp>9월이하(당일)</stp>
        <stp>일자</stp>
        <stp/>
        <tr r="X36" s="3"/>
        <tr r="X36" s="3"/>
      </tp>
      <tp>
        <v>5.51</v>
        <stp/>
        <stp>P</stp>
        <stp>0</stp>
        <stp>IR</stp>
        <stp>BONDAVG64</stp>
        <stp>3월이하(당일)</stp>
        <stp>일자</stp>
        <stp/>
        <tr r="V36" s="3"/>
        <tr r="V36" s="3"/>
      </tp>
      <tp>
        <v>6.157</v>
        <stp/>
        <stp>P</stp>
        <stp>0</stp>
        <stp>IR</stp>
        <stp>BONDAVG64</stp>
        <stp>6월이하(당일)</stp>
        <stp>일자</stp>
        <stp/>
        <tr r="W36" s="3"/>
        <tr r="W36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'[1]Yield Curve'!$B$10</c:f>
              <c:strCache>
                <c:ptCount val="1"/>
                <c:pt idx="0">
                  <c:v>대비</c:v>
                </c:pt>
              </c:strCache>
            </c:strRef>
          </c:tx>
          <c:invertIfNegative val="0"/>
          <c:cat>
            <c:strRef>
              <c:f>'[1]Yield Curve'!$C$7:$R$7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Curve'!$C$10:$R$10</c:f>
              <c:numCache>
                <c:formatCode>General</c:formatCode>
                <c:ptCount val="16"/>
                <c:pt idx="0">
                  <c:v>5.4999999999999716</c:v>
                </c:pt>
                <c:pt idx="1">
                  <c:v>15.800000000000036</c:v>
                </c:pt>
                <c:pt idx="2">
                  <c:v>18.599999999999994</c:v>
                </c:pt>
                <c:pt idx="3">
                  <c:v>20.699999999999985</c:v>
                </c:pt>
                <c:pt idx="4">
                  <c:v>14.19999999999999</c:v>
                </c:pt>
                <c:pt idx="5">
                  <c:v>15.600000000000014</c:v>
                </c:pt>
                <c:pt idx="6">
                  <c:v>21.200000000000017</c:v>
                </c:pt>
                <c:pt idx="7">
                  <c:v>23.199999999999974</c:v>
                </c:pt>
                <c:pt idx="8">
                  <c:v>20.299999999999983</c:v>
                </c:pt>
                <c:pt idx="9">
                  <c:v>21.599999999999973</c:v>
                </c:pt>
                <c:pt idx="10">
                  <c:v>16.199999999999992</c:v>
                </c:pt>
                <c:pt idx="11">
                  <c:v>18.299999999999983</c:v>
                </c:pt>
                <c:pt idx="12">
                  <c:v>19.69999999999996</c:v>
                </c:pt>
                <c:pt idx="13">
                  <c:v>20.100000000000009</c:v>
                </c:pt>
                <c:pt idx="14">
                  <c:v>31.60000000000003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F-4A1C-9BBB-1571CF57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49088"/>
        <c:axId val="177847296"/>
      </c:barChart>
      <c:lineChart>
        <c:grouping val="standard"/>
        <c:varyColors val="0"/>
        <c:ser>
          <c:idx val="0"/>
          <c:order val="0"/>
          <c:tx>
            <c:strRef>
              <c:f>'[1]Yield Curve'!$B$8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9933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Curve'!$C$7:$R$7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Curve'!$C$8:$R$8</c:f>
              <c:numCache>
                <c:formatCode>General</c:formatCode>
                <c:ptCount val="16"/>
                <c:pt idx="0">
                  <c:v>3.3380000000000001</c:v>
                </c:pt>
                <c:pt idx="1">
                  <c:v>3.2029999999999998</c:v>
                </c:pt>
                <c:pt idx="2">
                  <c:v>3.1120000000000001</c:v>
                </c:pt>
                <c:pt idx="3">
                  <c:v>3.052</c:v>
                </c:pt>
                <c:pt idx="4">
                  <c:v>3.0550000000000002</c:v>
                </c:pt>
                <c:pt idx="5">
                  <c:v>3.03</c:v>
                </c:pt>
                <c:pt idx="6">
                  <c:v>2.944</c:v>
                </c:pt>
                <c:pt idx="7">
                  <c:v>2.9220000000000002</c:v>
                </c:pt>
                <c:pt idx="8">
                  <c:v>2.9430000000000001</c:v>
                </c:pt>
                <c:pt idx="9">
                  <c:v>2.93</c:v>
                </c:pt>
                <c:pt idx="10">
                  <c:v>2.9809999999999999</c:v>
                </c:pt>
                <c:pt idx="11">
                  <c:v>2.9750000000000001</c:v>
                </c:pt>
                <c:pt idx="12">
                  <c:v>2.9820000000000002</c:v>
                </c:pt>
                <c:pt idx="13">
                  <c:v>2.952</c:v>
                </c:pt>
                <c:pt idx="14">
                  <c:v>2.8519999999999999</c:v>
                </c:pt>
                <c:pt idx="15">
                  <c:v>2.7629999999999999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F-4A1C-9BBB-1571CF57642F}"/>
            </c:ext>
          </c:extLst>
        </c:ser>
        <c:ser>
          <c:idx val="1"/>
          <c:order val="1"/>
          <c:tx>
            <c:strRef>
              <c:f>'[1]Yield Curve'!$B$9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336699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36699"/>
              </a:solidFill>
              <a:ln>
                <a:solidFill>
                  <a:srgbClr val="336699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Curve'!$C$7:$R$7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Curve'!$C$9:$R$9</c:f>
              <c:numCache>
                <c:formatCode>General</c:formatCode>
                <c:ptCount val="16"/>
                <c:pt idx="0">
                  <c:v>3.3929999999999998</c:v>
                </c:pt>
                <c:pt idx="1">
                  <c:v>3.3610000000000002</c:v>
                </c:pt>
                <c:pt idx="2">
                  <c:v>3.298</c:v>
                </c:pt>
                <c:pt idx="3">
                  <c:v>3.2589999999999999</c:v>
                </c:pt>
                <c:pt idx="4">
                  <c:v>3.1970000000000001</c:v>
                </c:pt>
                <c:pt idx="5">
                  <c:v>3.1859999999999999</c:v>
                </c:pt>
                <c:pt idx="6">
                  <c:v>3.1560000000000001</c:v>
                </c:pt>
                <c:pt idx="7">
                  <c:v>3.1539999999999999</c:v>
                </c:pt>
                <c:pt idx="8">
                  <c:v>3.1459999999999999</c:v>
                </c:pt>
                <c:pt idx="9">
                  <c:v>3.1459999999999999</c:v>
                </c:pt>
                <c:pt idx="10">
                  <c:v>3.1429999999999998</c:v>
                </c:pt>
                <c:pt idx="11">
                  <c:v>3.1579999999999999</c:v>
                </c:pt>
                <c:pt idx="12">
                  <c:v>3.1789999999999998</c:v>
                </c:pt>
                <c:pt idx="13">
                  <c:v>3.153</c:v>
                </c:pt>
                <c:pt idx="14">
                  <c:v>3.1680000000000001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5F-4A1C-9BBB-1571CF57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44224"/>
        <c:axId val="177845760"/>
      </c:lineChart>
      <c:catAx>
        <c:axId val="177844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7845760"/>
        <c:crosses val="autoZero"/>
        <c:auto val="1"/>
        <c:lblAlgn val="ctr"/>
        <c:lblOffset val="100"/>
        <c:noMultiLvlLbl val="0"/>
      </c:catAx>
      <c:valAx>
        <c:axId val="177845760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7844224"/>
        <c:crosses val="autoZero"/>
        <c:crossBetween val="between"/>
      </c:valAx>
      <c:valAx>
        <c:axId val="177847296"/>
        <c:scaling>
          <c:orientation val="minMax"/>
        </c:scaling>
        <c:delete val="0"/>
        <c:axPos val="r"/>
        <c:numFmt formatCode="0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7849088"/>
        <c:crosses val="max"/>
        <c:crossBetween val="between"/>
      </c:valAx>
      <c:catAx>
        <c:axId val="17784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784729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'[1]Yield Curve'!$U$10</c:f>
              <c:strCache>
                <c:ptCount val="1"/>
                <c:pt idx="0">
                  <c:v>대비</c:v>
                </c:pt>
              </c:strCache>
            </c:strRef>
          </c:tx>
          <c:invertIfNegative val="0"/>
          <c:cat>
            <c:strRef>
              <c:f>'[1]Yield Curve'!$V$7:$AK$7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Curve'!$V$10:$AK$10</c:f>
              <c:numCache>
                <c:formatCode>General</c:formatCode>
                <c:ptCount val="16"/>
                <c:pt idx="0">
                  <c:v>8.6999999999999744</c:v>
                </c:pt>
                <c:pt idx="1">
                  <c:v>20.300000000000029</c:v>
                </c:pt>
                <c:pt idx="2">
                  <c:v>22.299999999999986</c:v>
                </c:pt>
                <c:pt idx="3">
                  <c:v>24.2</c:v>
                </c:pt>
                <c:pt idx="4">
                  <c:v>19.69999999999996</c:v>
                </c:pt>
                <c:pt idx="5">
                  <c:v>18.300000000000026</c:v>
                </c:pt>
                <c:pt idx="6">
                  <c:v>24.2</c:v>
                </c:pt>
                <c:pt idx="7">
                  <c:v>24.29999999999999</c:v>
                </c:pt>
                <c:pt idx="8">
                  <c:v>21.799999999999997</c:v>
                </c:pt>
                <c:pt idx="9">
                  <c:v>23.099999999999987</c:v>
                </c:pt>
                <c:pt idx="10">
                  <c:v>30.900000000000016</c:v>
                </c:pt>
                <c:pt idx="11">
                  <c:v>52.999999999999979</c:v>
                </c:pt>
                <c:pt idx="12">
                  <c:v>63.899999999999977</c:v>
                </c:pt>
                <c:pt idx="13">
                  <c:v>73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A-4275-9F86-9B664A05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17664"/>
        <c:axId val="176816128"/>
      </c:barChart>
      <c:lineChart>
        <c:grouping val="standard"/>
        <c:varyColors val="0"/>
        <c:ser>
          <c:idx val="0"/>
          <c:order val="0"/>
          <c:tx>
            <c:strRef>
              <c:f>'[1]Yield Curve'!$U$8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9933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Curve'!$V$7:$AK$7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Curve'!$V$8:$AK$8</c:f>
              <c:numCache>
                <c:formatCode>General</c:formatCode>
                <c:ptCount val="16"/>
                <c:pt idx="0">
                  <c:v>3.3380000000000001</c:v>
                </c:pt>
                <c:pt idx="1">
                  <c:v>3.2029999999999998</c:v>
                </c:pt>
                <c:pt idx="2">
                  <c:v>3.1120000000000001</c:v>
                </c:pt>
                <c:pt idx="3">
                  <c:v>3.052</c:v>
                </c:pt>
                <c:pt idx="4">
                  <c:v>3.0550000000000002</c:v>
                </c:pt>
                <c:pt idx="5">
                  <c:v>3.03</c:v>
                </c:pt>
                <c:pt idx="6">
                  <c:v>2.944</c:v>
                </c:pt>
                <c:pt idx="7">
                  <c:v>2.9220000000000002</c:v>
                </c:pt>
                <c:pt idx="8">
                  <c:v>2.9430000000000001</c:v>
                </c:pt>
                <c:pt idx="9">
                  <c:v>2.93</c:v>
                </c:pt>
                <c:pt idx="10">
                  <c:v>2.9809999999999999</c:v>
                </c:pt>
                <c:pt idx="11">
                  <c:v>2.9750000000000001</c:v>
                </c:pt>
                <c:pt idx="12">
                  <c:v>2.9820000000000002</c:v>
                </c:pt>
                <c:pt idx="13">
                  <c:v>2.952</c:v>
                </c:pt>
                <c:pt idx="14">
                  <c:v>2.8519999999999999</c:v>
                </c:pt>
                <c:pt idx="15">
                  <c:v>2.7629999999999999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A-4275-9F86-9B664A05D216}"/>
            </c:ext>
          </c:extLst>
        </c:ser>
        <c:ser>
          <c:idx val="1"/>
          <c:order val="1"/>
          <c:tx>
            <c:strRef>
              <c:f>'[1]Yield Curve'!$U$9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336699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36699"/>
              </a:solidFill>
              <a:ln>
                <a:solidFill>
                  <a:srgbClr val="336699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Curve'!$V$7:$AK$7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Curve'!$V$9:$AK$9</c:f>
              <c:numCache>
                <c:formatCode>General</c:formatCode>
                <c:ptCount val="16"/>
                <c:pt idx="0">
                  <c:v>3.4249999999999998</c:v>
                </c:pt>
                <c:pt idx="1">
                  <c:v>3.4060000000000001</c:v>
                </c:pt>
                <c:pt idx="2">
                  <c:v>3.335</c:v>
                </c:pt>
                <c:pt idx="3">
                  <c:v>3.294</c:v>
                </c:pt>
                <c:pt idx="4">
                  <c:v>3.2519999999999998</c:v>
                </c:pt>
                <c:pt idx="5">
                  <c:v>3.2130000000000001</c:v>
                </c:pt>
                <c:pt idx="6">
                  <c:v>3.1859999999999999</c:v>
                </c:pt>
                <c:pt idx="7">
                  <c:v>3.165</c:v>
                </c:pt>
                <c:pt idx="8">
                  <c:v>3.161</c:v>
                </c:pt>
                <c:pt idx="9">
                  <c:v>3.161</c:v>
                </c:pt>
                <c:pt idx="10">
                  <c:v>3.29</c:v>
                </c:pt>
                <c:pt idx="11">
                  <c:v>3.5049999999999999</c:v>
                </c:pt>
                <c:pt idx="12">
                  <c:v>3.621</c:v>
                </c:pt>
                <c:pt idx="13">
                  <c:v>3.6819999999999999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A-4275-9F86-9B664A05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30720"/>
        <c:axId val="178432256"/>
      </c:lineChart>
      <c:catAx>
        <c:axId val="178430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8432256"/>
        <c:crosses val="autoZero"/>
        <c:auto val="1"/>
        <c:lblAlgn val="ctr"/>
        <c:lblOffset val="100"/>
        <c:noMultiLvlLbl val="0"/>
      </c:catAx>
      <c:valAx>
        <c:axId val="17843225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8430720"/>
        <c:crosses val="autoZero"/>
        <c:crossBetween val="between"/>
      </c:valAx>
      <c:valAx>
        <c:axId val="176816128"/>
        <c:scaling>
          <c:orientation val="minMax"/>
        </c:scaling>
        <c:delete val="0"/>
        <c:axPos val="r"/>
        <c:numFmt formatCode="0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6817664"/>
        <c:crosses val="max"/>
        <c:crossBetween val="between"/>
      </c:valAx>
      <c:catAx>
        <c:axId val="176817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68161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'[1]Yield Curve'!$B$33</c:f>
              <c:strCache>
                <c:ptCount val="1"/>
                <c:pt idx="0">
                  <c:v>대비</c:v>
                </c:pt>
              </c:strCache>
            </c:strRef>
          </c:tx>
          <c:invertIfNegative val="0"/>
          <c:cat>
            <c:strRef>
              <c:f>'[1]Yield Curve'!$C$30:$R$30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Curve'!$C$33:$R$33</c:f>
              <c:numCache>
                <c:formatCode>General</c:formatCode>
                <c:ptCount val="16"/>
                <c:pt idx="0">
                  <c:v>8.2999999999999741</c:v>
                </c:pt>
                <c:pt idx="1">
                  <c:v>20.100000000000009</c:v>
                </c:pt>
                <c:pt idx="2">
                  <c:v>23.099999999999987</c:v>
                </c:pt>
                <c:pt idx="3">
                  <c:v>25.099999999999987</c:v>
                </c:pt>
                <c:pt idx="4">
                  <c:v>23.4</c:v>
                </c:pt>
                <c:pt idx="5">
                  <c:v>23.4</c:v>
                </c:pt>
                <c:pt idx="6">
                  <c:v>30.699999999999996</c:v>
                </c:pt>
                <c:pt idx="7">
                  <c:v>32.299999999999997</c:v>
                </c:pt>
                <c:pt idx="8">
                  <c:v>29.400000000000006</c:v>
                </c:pt>
                <c:pt idx="9">
                  <c:v>31.299999999999972</c:v>
                </c:pt>
                <c:pt idx="10">
                  <c:v>37.1</c:v>
                </c:pt>
                <c:pt idx="11">
                  <c:v>62.5</c:v>
                </c:pt>
                <c:pt idx="12">
                  <c:v>79.399999999999963</c:v>
                </c:pt>
                <c:pt idx="13">
                  <c:v>93.6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6-4101-BE65-A216ED4F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79872"/>
        <c:axId val="176878336"/>
      </c:barChart>
      <c:lineChart>
        <c:grouping val="standard"/>
        <c:varyColors val="0"/>
        <c:ser>
          <c:idx val="0"/>
          <c:order val="0"/>
          <c:tx>
            <c:strRef>
              <c:f>'[1]Yield Curve'!$B$31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9933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Curve'!$C$30:$R$30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Curve'!$C$31:$R$31</c:f>
              <c:numCache>
                <c:formatCode>General</c:formatCode>
                <c:ptCount val="16"/>
                <c:pt idx="0">
                  <c:v>3.3380000000000001</c:v>
                </c:pt>
                <c:pt idx="1">
                  <c:v>3.2029999999999998</c:v>
                </c:pt>
                <c:pt idx="2">
                  <c:v>3.1120000000000001</c:v>
                </c:pt>
                <c:pt idx="3">
                  <c:v>3.052</c:v>
                </c:pt>
                <c:pt idx="4">
                  <c:v>3.0550000000000002</c:v>
                </c:pt>
                <c:pt idx="5">
                  <c:v>3.03</c:v>
                </c:pt>
                <c:pt idx="6">
                  <c:v>2.944</c:v>
                </c:pt>
                <c:pt idx="7">
                  <c:v>2.9220000000000002</c:v>
                </c:pt>
                <c:pt idx="8">
                  <c:v>2.9430000000000001</c:v>
                </c:pt>
                <c:pt idx="9">
                  <c:v>2.93</c:v>
                </c:pt>
                <c:pt idx="10">
                  <c:v>2.9809999999999999</c:v>
                </c:pt>
                <c:pt idx="11">
                  <c:v>2.9750000000000001</c:v>
                </c:pt>
                <c:pt idx="12">
                  <c:v>2.9820000000000002</c:v>
                </c:pt>
                <c:pt idx="13">
                  <c:v>2.952</c:v>
                </c:pt>
                <c:pt idx="14">
                  <c:v>2.8519999999999999</c:v>
                </c:pt>
                <c:pt idx="15">
                  <c:v>2.7629999999999999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6-4101-BE65-A216ED4F4865}"/>
            </c:ext>
          </c:extLst>
        </c:ser>
        <c:ser>
          <c:idx val="1"/>
          <c:order val="1"/>
          <c:tx>
            <c:strRef>
              <c:f>'[1]Yield Curve'!$B$32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336699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36699"/>
              </a:solidFill>
              <a:ln>
                <a:solidFill>
                  <a:srgbClr val="336699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Curve'!$C$30:$R$30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Curve'!$C$32:$R$32</c:f>
              <c:numCache>
                <c:formatCode>General</c:formatCode>
                <c:ptCount val="16"/>
                <c:pt idx="0">
                  <c:v>3.4209999999999998</c:v>
                </c:pt>
                <c:pt idx="1">
                  <c:v>3.4039999999999999</c:v>
                </c:pt>
                <c:pt idx="2">
                  <c:v>3.343</c:v>
                </c:pt>
                <c:pt idx="3">
                  <c:v>3.3029999999999999</c:v>
                </c:pt>
                <c:pt idx="4">
                  <c:v>3.2890000000000001</c:v>
                </c:pt>
                <c:pt idx="5">
                  <c:v>3.2639999999999998</c:v>
                </c:pt>
                <c:pt idx="6">
                  <c:v>3.2509999999999999</c:v>
                </c:pt>
                <c:pt idx="7">
                  <c:v>3.2450000000000001</c:v>
                </c:pt>
                <c:pt idx="8">
                  <c:v>3.2370000000000001</c:v>
                </c:pt>
                <c:pt idx="9">
                  <c:v>3.2429999999999999</c:v>
                </c:pt>
                <c:pt idx="10">
                  <c:v>3.3519999999999999</c:v>
                </c:pt>
                <c:pt idx="11">
                  <c:v>3.6</c:v>
                </c:pt>
                <c:pt idx="12">
                  <c:v>3.7759999999999998</c:v>
                </c:pt>
                <c:pt idx="13">
                  <c:v>3.8879999999999999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16-4101-BE65-A216ED4F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62720"/>
        <c:axId val="176864256"/>
      </c:lineChart>
      <c:catAx>
        <c:axId val="176862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6864256"/>
        <c:crosses val="autoZero"/>
        <c:auto val="1"/>
        <c:lblAlgn val="ctr"/>
        <c:lblOffset val="100"/>
        <c:noMultiLvlLbl val="0"/>
      </c:catAx>
      <c:valAx>
        <c:axId val="17686425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6862720"/>
        <c:crosses val="autoZero"/>
        <c:crossBetween val="between"/>
      </c:valAx>
      <c:valAx>
        <c:axId val="176878336"/>
        <c:scaling>
          <c:orientation val="minMax"/>
        </c:scaling>
        <c:delete val="0"/>
        <c:axPos val="r"/>
        <c:numFmt formatCode="0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6879872"/>
        <c:crosses val="max"/>
        <c:crossBetween val="between"/>
      </c:valAx>
      <c:catAx>
        <c:axId val="17687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687833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'[1]Yield Curve'!$U$33</c:f>
              <c:strCache>
                <c:ptCount val="1"/>
                <c:pt idx="0">
                  <c:v>대비</c:v>
                </c:pt>
              </c:strCache>
            </c:strRef>
          </c:tx>
          <c:invertIfNegative val="0"/>
          <c:cat>
            <c:strRef>
              <c:f>'[1]Yield Curve'!$V$30:$AK$30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Curve'!$V$33:$AK$33</c:f>
              <c:numCache>
                <c:formatCode>General</c:formatCode>
                <c:ptCount val="16"/>
                <c:pt idx="0">
                  <c:v>11.399999999999988</c:v>
                </c:pt>
                <c:pt idx="1">
                  <c:v>24.100000000000009</c:v>
                </c:pt>
                <c:pt idx="2">
                  <c:v>28.099999999999969</c:v>
                </c:pt>
                <c:pt idx="3">
                  <c:v>30.500000000000014</c:v>
                </c:pt>
                <c:pt idx="4">
                  <c:v>32.699999999999996</c:v>
                </c:pt>
                <c:pt idx="5">
                  <c:v>35.200000000000031</c:v>
                </c:pt>
                <c:pt idx="6">
                  <c:v>45.900000000000006</c:v>
                </c:pt>
                <c:pt idx="7">
                  <c:v>50.59999999999998</c:v>
                </c:pt>
                <c:pt idx="8">
                  <c:v>50.70000000000001</c:v>
                </c:pt>
                <c:pt idx="9">
                  <c:v>60.099999999999994</c:v>
                </c:pt>
                <c:pt idx="10">
                  <c:v>80.2</c:v>
                </c:pt>
                <c:pt idx="11">
                  <c:v>162.6</c:v>
                </c:pt>
                <c:pt idx="12">
                  <c:v>223.29999999999995</c:v>
                </c:pt>
                <c:pt idx="13">
                  <c:v>250.69999999999996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3-4BC7-BBF3-F9C17538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10848"/>
        <c:axId val="178509312"/>
      </c:barChart>
      <c:lineChart>
        <c:grouping val="standard"/>
        <c:varyColors val="0"/>
        <c:ser>
          <c:idx val="0"/>
          <c:order val="0"/>
          <c:tx>
            <c:strRef>
              <c:f>'[1]Yield Curve'!$U$31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9933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993300"/>
              </a:solidFill>
              <a:ln>
                <a:solidFill>
                  <a:srgbClr val="993300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Curve'!$V$30:$AK$30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Curve'!$V$31:$AK$31</c:f>
              <c:numCache>
                <c:formatCode>General</c:formatCode>
                <c:ptCount val="16"/>
                <c:pt idx="0">
                  <c:v>3.3380000000000001</c:v>
                </c:pt>
                <c:pt idx="1">
                  <c:v>3.2029999999999998</c:v>
                </c:pt>
                <c:pt idx="2">
                  <c:v>3.1120000000000001</c:v>
                </c:pt>
                <c:pt idx="3">
                  <c:v>3.052</c:v>
                </c:pt>
                <c:pt idx="4">
                  <c:v>3.0550000000000002</c:v>
                </c:pt>
                <c:pt idx="5">
                  <c:v>3.03</c:v>
                </c:pt>
                <c:pt idx="6">
                  <c:v>2.944</c:v>
                </c:pt>
                <c:pt idx="7">
                  <c:v>2.9220000000000002</c:v>
                </c:pt>
                <c:pt idx="8">
                  <c:v>2.9430000000000001</c:v>
                </c:pt>
                <c:pt idx="9">
                  <c:v>2.93</c:v>
                </c:pt>
                <c:pt idx="10">
                  <c:v>2.9809999999999999</c:v>
                </c:pt>
                <c:pt idx="11">
                  <c:v>2.9750000000000001</c:v>
                </c:pt>
                <c:pt idx="12">
                  <c:v>2.9820000000000002</c:v>
                </c:pt>
                <c:pt idx="13">
                  <c:v>2.952</c:v>
                </c:pt>
                <c:pt idx="14">
                  <c:v>2.8519999999999999</c:v>
                </c:pt>
                <c:pt idx="15">
                  <c:v>2.7629999999999999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3-4BC7-BBF3-F9C175389FFB}"/>
            </c:ext>
          </c:extLst>
        </c:ser>
        <c:ser>
          <c:idx val="1"/>
          <c:order val="1"/>
          <c:tx>
            <c:strRef>
              <c:f>'[1]Yield Curve'!$U$32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336699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336699"/>
              </a:solidFill>
              <a:ln>
                <a:solidFill>
                  <a:srgbClr val="336699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'[1]Yield Curve'!$V$30:$AK$30</c:f>
              <c:strCache>
                <c:ptCount val="1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  <c:pt idx="4">
                  <c:v>1.5Y</c:v>
                </c:pt>
                <c:pt idx="5">
                  <c:v>2Y</c:v>
                </c:pt>
                <c:pt idx="6">
                  <c:v>2.5Y</c:v>
                </c:pt>
                <c:pt idx="7">
                  <c:v>3Y</c:v>
                </c:pt>
                <c:pt idx="8">
                  <c:v>4Y</c:v>
                </c:pt>
                <c:pt idx="9">
                  <c:v>5Y</c:v>
                </c:pt>
                <c:pt idx="10">
                  <c:v>7Y</c:v>
                </c:pt>
                <c:pt idx="11">
                  <c:v>10Y</c:v>
                </c:pt>
                <c:pt idx="12">
                  <c:v>15Y</c:v>
                </c:pt>
                <c:pt idx="13">
                  <c:v>20Y</c:v>
                </c:pt>
                <c:pt idx="14">
                  <c:v>30Y</c:v>
                </c:pt>
                <c:pt idx="15">
                  <c:v>50Y</c:v>
                </c:pt>
              </c:strCache>
            </c:strRef>
          </c:cat>
          <c:val>
            <c:numRef>
              <c:f>'[1]Yield Curve'!$V$32:$AK$32</c:f>
              <c:numCache>
                <c:formatCode>General</c:formatCode>
                <c:ptCount val="16"/>
                <c:pt idx="0">
                  <c:v>3.452</c:v>
                </c:pt>
                <c:pt idx="1">
                  <c:v>3.444</c:v>
                </c:pt>
                <c:pt idx="2">
                  <c:v>3.3929999999999998</c:v>
                </c:pt>
                <c:pt idx="3">
                  <c:v>3.3570000000000002</c:v>
                </c:pt>
                <c:pt idx="4">
                  <c:v>3.3820000000000001</c:v>
                </c:pt>
                <c:pt idx="5">
                  <c:v>3.3820000000000001</c:v>
                </c:pt>
                <c:pt idx="6">
                  <c:v>3.403</c:v>
                </c:pt>
                <c:pt idx="7">
                  <c:v>3.4279999999999999</c:v>
                </c:pt>
                <c:pt idx="8">
                  <c:v>3.45</c:v>
                </c:pt>
                <c:pt idx="9">
                  <c:v>3.5310000000000001</c:v>
                </c:pt>
                <c:pt idx="10">
                  <c:v>3.7829999999999999</c:v>
                </c:pt>
                <c:pt idx="11">
                  <c:v>4.601</c:v>
                </c:pt>
                <c:pt idx="12">
                  <c:v>5.2149999999999999</c:v>
                </c:pt>
                <c:pt idx="13">
                  <c:v>5.4589999999999996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3-4BC7-BBF3-F9C17538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85504"/>
        <c:axId val="178507776"/>
      </c:lineChart>
      <c:catAx>
        <c:axId val="178485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8507776"/>
        <c:crosses val="autoZero"/>
        <c:auto val="1"/>
        <c:lblAlgn val="ctr"/>
        <c:lblOffset val="100"/>
        <c:noMultiLvlLbl val="0"/>
      </c:catAx>
      <c:valAx>
        <c:axId val="1785077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8485504"/>
        <c:crosses val="autoZero"/>
        <c:crossBetween val="between"/>
      </c:valAx>
      <c:valAx>
        <c:axId val="178509312"/>
        <c:scaling>
          <c:orientation val="minMax"/>
        </c:scaling>
        <c:delete val="0"/>
        <c:axPos val="r"/>
        <c:numFmt formatCode="000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178510848"/>
        <c:crosses val="max"/>
        <c:crossBetween val="between"/>
      </c:valAx>
      <c:catAx>
        <c:axId val="17851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850931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Drop" dropStyle="combo" dx="22" fmlaLink="$D$3" fmlaRange="$AB$3:$AB$9" sel="1" val="0"/>
</file>

<file path=xl/ctrlProps/ctrlProp2.xml><?xml version="1.0" encoding="utf-8"?>
<formControlPr xmlns="http://schemas.microsoft.com/office/spreadsheetml/2009/9/main" objectType="Drop" dropStyle="combo" dx="22" fmlaLink="$D$4" fmlaRange="$AC$3:$AC$5" sel="1" val="0"/>
</file>

<file path=xl/ctrlProps/ctrlProp3.xml><?xml version="1.0" encoding="utf-8"?>
<formControlPr xmlns="http://schemas.microsoft.com/office/spreadsheetml/2009/9/main" objectType="Drop" dropStyle="combo" dx="22" fmlaLink="$AO$10" fmlaRange="code!$D$2:$D$72" sel="1" val="0"/>
</file>

<file path=xl/ctrlProps/ctrlProp4.xml><?xml version="1.0" encoding="utf-8"?>
<formControlPr xmlns="http://schemas.microsoft.com/office/spreadsheetml/2009/9/main" objectType="Drop" dropStyle="combo" dx="22" fmlaLink="$AO$11" fmlaRange="code!$D$2:$D$72" sel="2" val="0"/>
</file>

<file path=xl/ctrlProps/ctrlProp5.xml><?xml version="1.0" encoding="utf-8"?>
<formControlPr xmlns="http://schemas.microsoft.com/office/spreadsheetml/2009/9/main" objectType="Drop" dropStyle="combo" dx="22" fmlaLink="$AO$12" fmlaRange="code!$D$2:$D$72" sel="1" val="0"/>
</file>

<file path=xl/ctrlProps/ctrlProp6.xml><?xml version="1.0" encoding="utf-8"?>
<formControlPr xmlns="http://schemas.microsoft.com/office/spreadsheetml/2009/9/main" objectType="Drop" dropStyle="combo" dx="22" fmlaLink="$AO$13" fmlaRange="code!$D$2:$D$72" sel="8" val="0"/>
</file>

<file path=xl/ctrlProps/ctrlProp7.xml><?xml version="1.0" encoding="utf-8"?>
<formControlPr xmlns="http://schemas.microsoft.com/office/spreadsheetml/2009/9/main" objectType="Drop" dropStyle="combo" dx="22" fmlaLink="$AO$14" fmlaRange="code!$D$2:$D$72" sel="1" val="0"/>
</file>

<file path=xl/ctrlProps/ctrlProp8.xml><?xml version="1.0" encoding="utf-8"?>
<formControlPr xmlns="http://schemas.microsoft.com/office/spreadsheetml/2009/9/main" objectType="Drop" dropStyle="combo" dx="22" fmlaLink="$AO$15" fmlaRange="code!$D$2:$D$72" sel="44" val="42"/>
</file>

<file path=xl/ctrlProps/ctrlProp9.xml><?xml version="1.0" encoding="utf-8"?>
<formControlPr xmlns="http://schemas.microsoft.com/office/spreadsheetml/2009/9/main" objectType="Drop" dropStyle="combo" dx="22" fmlaLink="$AO$16" fmlaRange="code!$D$2:$D$72" sel="1" val="0"/>
</file>

<file path=xl/ctrlProps/ctrlProp10.xml><?xml version="1.0" encoding="utf-8"?>
<formControlPr xmlns="http://schemas.microsoft.com/office/spreadsheetml/2009/9/main" objectType="Drop" dropStyle="combo" dx="22" fmlaLink="$AO$17" fmlaRange="code!$D$2:$D$72" sel="60" val="57"/>
</file>

<file path=xl/ctrlProps/ctrlProp11.xml><?xml version="1.0" encoding="utf-8"?>
<formControlPr xmlns="http://schemas.microsoft.com/office/spreadsheetml/2009/9/main" objectType="Drop" dropStyle="combo" dx="22" fmlaLink="$AN$9" fmlaRange="시가평가Matrix!$AB$3:$AB$9" sel="1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7</xdr:row>
          <xdr:rowOff>0</xdr:rowOff>
        </xdr:from>
        <xdr:to>
          <xdr:col>3</xdr:col>
          <xdr:colOff>1038225</xdr:colOff>
          <xdr:row>7</xdr:row>
          <xdr:rowOff>180975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7</xdr:row>
          <xdr:rowOff>0</xdr:rowOff>
        </xdr:from>
        <xdr:to>
          <xdr:col>5</xdr:col>
          <xdr:colOff>219075</xdr:colOff>
          <xdr:row>7</xdr:row>
          <xdr:rowOff>180975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10</xdr:row>
      <xdr:rowOff>47624</xdr:rowOff>
    </xdr:from>
    <xdr:to>
      <xdr:col>19</xdr:col>
      <xdr:colOff>17174</xdr:colOff>
      <xdr:row>28</xdr:row>
      <xdr:rowOff>21524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E5CDC-B9EA-4523-BFE0-3E6C729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9522</xdr:colOff>
      <xdr:row>10</xdr:row>
      <xdr:rowOff>47624</xdr:rowOff>
    </xdr:from>
    <xdr:to>
      <xdr:col>37</xdr:col>
      <xdr:colOff>417222</xdr:colOff>
      <xdr:row>28</xdr:row>
      <xdr:rowOff>21524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EBE13D2-CBC4-4B61-B300-19242431E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180971</xdr:colOff>
      <xdr:row>37</xdr:row>
      <xdr:rowOff>57149</xdr:rowOff>
    </xdr:from>
    <xdr:to>
      <xdr:col>18</xdr:col>
      <xdr:colOff>407696</xdr:colOff>
      <xdr:row>55</xdr:row>
      <xdr:rowOff>31049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06900ED-23EB-4F49-A570-6BA253724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180973</xdr:colOff>
      <xdr:row>37</xdr:row>
      <xdr:rowOff>57149</xdr:rowOff>
    </xdr:from>
    <xdr:to>
      <xdr:col>37</xdr:col>
      <xdr:colOff>407698</xdr:colOff>
      <xdr:row>55</xdr:row>
      <xdr:rowOff>31049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FEC90F3-24A0-4B28-A46F-2B1114E9A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</xdr:row>
          <xdr:rowOff>9525</xdr:rowOff>
        </xdr:from>
        <xdr:to>
          <xdr:col>7</xdr:col>
          <xdr:colOff>400050</xdr:colOff>
          <xdr:row>5</xdr:row>
          <xdr:rowOff>190500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5</xdr:row>
          <xdr:rowOff>0</xdr:rowOff>
        </xdr:from>
        <xdr:to>
          <xdr:col>13</xdr:col>
          <xdr:colOff>400050</xdr:colOff>
          <xdr:row>5</xdr:row>
          <xdr:rowOff>180975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5</xdr:row>
          <xdr:rowOff>9525</xdr:rowOff>
        </xdr:from>
        <xdr:to>
          <xdr:col>26</xdr:col>
          <xdr:colOff>361950</xdr:colOff>
          <xdr:row>5</xdr:row>
          <xdr:rowOff>190500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5</xdr:row>
          <xdr:rowOff>19050</xdr:rowOff>
        </xdr:from>
        <xdr:to>
          <xdr:col>32</xdr:col>
          <xdr:colOff>361950</xdr:colOff>
          <xdr:row>5</xdr:row>
          <xdr:rowOff>200025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</xdr:row>
          <xdr:rowOff>9525</xdr:rowOff>
        </xdr:from>
        <xdr:to>
          <xdr:col>7</xdr:col>
          <xdr:colOff>361950</xdr:colOff>
          <xdr:row>33</xdr:row>
          <xdr:rowOff>19050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32</xdr:row>
          <xdr:rowOff>9525</xdr:rowOff>
        </xdr:from>
        <xdr:to>
          <xdr:col>13</xdr:col>
          <xdr:colOff>371475</xdr:colOff>
          <xdr:row>33</xdr:row>
          <xdr:rowOff>19050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32</xdr:row>
          <xdr:rowOff>9525</xdr:rowOff>
        </xdr:from>
        <xdr:to>
          <xdr:col>26</xdr:col>
          <xdr:colOff>361950</xdr:colOff>
          <xdr:row>33</xdr:row>
          <xdr:rowOff>19050</xdr:rowOff>
        </xdr:to>
        <xdr:sp macro="" textlink="">
          <xdr:nvSpPr>
            <xdr:cNvPr id="3079" name="Drop Dow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28575</xdr:colOff>
          <xdr:row>32</xdr:row>
          <xdr:rowOff>0</xdr:rowOff>
        </xdr:from>
        <xdr:to>
          <xdr:col>32</xdr:col>
          <xdr:colOff>371475</xdr:colOff>
          <xdr:row>33</xdr:row>
          <xdr:rowOff>9525</xdr:rowOff>
        </xdr:to>
        <xdr:sp macro="" textlink="">
          <xdr:nvSpPr>
            <xdr:cNvPr id="3080" name="Drop Dow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</xdr:row>
          <xdr:rowOff>66675</xdr:rowOff>
        </xdr:from>
        <xdr:to>
          <xdr:col>6</xdr:col>
          <xdr:colOff>276225</xdr:colOff>
          <xdr:row>3</xdr:row>
          <xdr:rowOff>180975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snow\Downloads\4752__&#49884;&#44032;&#54217;&#44032;_Matrix.xlsx" TargetMode="External"/><Relationship Id="rId1" Type="http://schemas.openxmlformats.org/officeDocument/2006/relationships/externalLinkPath" Target="file:///C:\Users\dsnow\Downloads\4752__&#49884;&#44032;&#54217;&#44032;_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시가평가Matrix"/>
      <sheetName val="code"/>
      <sheetName val="Yield Curve"/>
    </sheetNames>
    <sheetDataSet>
      <sheetData sheetId="0"/>
      <sheetData sheetId="1"/>
      <sheetData sheetId="2">
        <row r="7">
          <cell r="C7" t="str">
            <v>3M</v>
          </cell>
          <cell r="D7" t="str">
            <v>6M</v>
          </cell>
          <cell r="E7" t="str">
            <v>9M</v>
          </cell>
          <cell r="F7" t="str">
            <v>1Y</v>
          </cell>
          <cell r="G7" t="str">
            <v>1.5Y</v>
          </cell>
          <cell r="H7" t="str">
            <v>2Y</v>
          </cell>
          <cell r="I7" t="str">
            <v>2.5Y</v>
          </cell>
          <cell r="J7" t="str">
            <v>3Y</v>
          </cell>
          <cell r="K7" t="str">
            <v>4Y</v>
          </cell>
          <cell r="L7" t="str">
            <v>5Y</v>
          </cell>
          <cell r="M7" t="str">
            <v>7Y</v>
          </cell>
          <cell r="N7" t="str">
            <v>10Y</v>
          </cell>
          <cell r="O7" t="str">
            <v>15Y</v>
          </cell>
          <cell r="P7" t="str">
            <v>20Y</v>
          </cell>
          <cell r="Q7" t="str">
            <v>30Y</v>
          </cell>
          <cell r="R7" t="str">
            <v>50Y</v>
          </cell>
          <cell r="V7" t="str">
            <v>3M</v>
          </cell>
          <cell r="W7" t="str">
            <v>6M</v>
          </cell>
          <cell r="X7" t="str">
            <v>9M</v>
          </cell>
          <cell r="Y7" t="str">
            <v>1Y</v>
          </cell>
          <cell r="Z7" t="str">
            <v>1.5Y</v>
          </cell>
          <cell r="AA7" t="str">
            <v>2Y</v>
          </cell>
          <cell r="AB7" t="str">
            <v>2.5Y</v>
          </cell>
          <cell r="AC7" t="str">
            <v>3Y</v>
          </cell>
          <cell r="AD7" t="str">
            <v>4Y</v>
          </cell>
          <cell r="AE7" t="str">
            <v>5Y</v>
          </cell>
          <cell r="AF7" t="str">
            <v>7Y</v>
          </cell>
          <cell r="AG7" t="str">
            <v>10Y</v>
          </cell>
          <cell r="AH7" t="str">
            <v>15Y</v>
          </cell>
          <cell r="AI7" t="str">
            <v>20Y</v>
          </cell>
          <cell r="AJ7" t="str">
            <v>30Y</v>
          </cell>
          <cell r="AK7" t="str">
            <v>50Y</v>
          </cell>
        </row>
        <row r="8">
          <cell r="B8" t="str">
            <v>기준</v>
          </cell>
          <cell r="C8">
            <v>3.3380000000000001</v>
          </cell>
          <cell r="D8">
            <v>3.2029999999999998</v>
          </cell>
          <cell r="E8">
            <v>3.1120000000000001</v>
          </cell>
          <cell r="F8">
            <v>3.052</v>
          </cell>
          <cell r="G8">
            <v>3.0550000000000002</v>
          </cell>
          <cell r="H8">
            <v>3.03</v>
          </cell>
          <cell r="I8">
            <v>2.944</v>
          </cell>
          <cell r="J8">
            <v>2.9220000000000002</v>
          </cell>
          <cell r="K8">
            <v>2.9430000000000001</v>
          </cell>
          <cell r="L8">
            <v>2.93</v>
          </cell>
          <cell r="M8">
            <v>2.9809999999999999</v>
          </cell>
          <cell r="N8">
            <v>2.9750000000000001</v>
          </cell>
          <cell r="O8">
            <v>2.9820000000000002</v>
          </cell>
          <cell r="P8">
            <v>2.952</v>
          </cell>
          <cell r="Q8">
            <v>2.8519999999999999</v>
          </cell>
          <cell r="R8">
            <v>2.7629999999999999</v>
          </cell>
          <cell r="U8" t="str">
            <v>기준</v>
          </cell>
          <cell r="V8">
            <v>3.3380000000000001</v>
          </cell>
          <cell r="W8">
            <v>3.2029999999999998</v>
          </cell>
          <cell r="X8">
            <v>3.1120000000000001</v>
          </cell>
          <cell r="Y8">
            <v>3.052</v>
          </cell>
          <cell r="Z8">
            <v>3.0550000000000002</v>
          </cell>
          <cell r="AA8">
            <v>3.03</v>
          </cell>
          <cell r="AB8">
            <v>2.944</v>
          </cell>
          <cell r="AC8">
            <v>2.9220000000000002</v>
          </cell>
          <cell r="AD8">
            <v>2.9430000000000001</v>
          </cell>
          <cell r="AE8">
            <v>2.93</v>
          </cell>
          <cell r="AF8">
            <v>2.9809999999999999</v>
          </cell>
          <cell r="AG8">
            <v>2.9750000000000001</v>
          </cell>
          <cell r="AH8">
            <v>2.9820000000000002</v>
          </cell>
          <cell r="AI8">
            <v>2.952</v>
          </cell>
          <cell r="AJ8">
            <v>2.8519999999999999</v>
          </cell>
          <cell r="AK8">
            <v>2.7629999999999999</v>
          </cell>
        </row>
        <row r="9">
          <cell r="B9" t="str">
            <v>상대</v>
          </cell>
          <cell r="C9">
            <v>3.3929999999999998</v>
          </cell>
          <cell r="D9">
            <v>3.3610000000000002</v>
          </cell>
          <cell r="E9">
            <v>3.298</v>
          </cell>
          <cell r="F9">
            <v>3.2589999999999999</v>
          </cell>
          <cell r="G9">
            <v>3.1970000000000001</v>
          </cell>
          <cell r="H9">
            <v>3.1859999999999999</v>
          </cell>
          <cell r="I9">
            <v>3.1560000000000001</v>
          </cell>
          <cell r="J9">
            <v>3.1539999999999999</v>
          </cell>
          <cell r="K9">
            <v>3.1459999999999999</v>
          </cell>
          <cell r="L9">
            <v>3.1459999999999999</v>
          </cell>
          <cell r="M9">
            <v>3.1429999999999998</v>
          </cell>
          <cell r="N9">
            <v>3.1579999999999999</v>
          </cell>
          <cell r="O9">
            <v>3.1789999999999998</v>
          </cell>
          <cell r="P9">
            <v>3.153</v>
          </cell>
          <cell r="Q9">
            <v>3.1680000000000001</v>
          </cell>
          <cell r="R9" t="e">
            <v>#N/A</v>
          </cell>
          <cell r="U9" t="str">
            <v>상대</v>
          </cell>
          <cell r="V9">
            <v>3.4249999999999998</v>
          </cell>
          <cell r="W9">
            <v>3.4060000000000001</v>
          </cell>
          <cell r="X9">
            <v>3.335</v>
          </cell>
          <cell r="Y9">
            <v>3.294</v>
          </cell>
          <cell r="Z9">
            <v>3.2519999999999998</v>
          </cell>
          <cell r="AA9">
            <v>3.2130000000000001</v>
          </cell>
          <cell r="AB9">
            <v>3.1859999999999999</v>
          </cell>
          <cell r="AC9">
            <v>3.165</v>
          </cell>
          <cell r="AD9">
            <v>3.161</v>
          </cell>
          <cell r="AE9">
            <v>3.161</v>
          </cell>
          <cell r="AF9">
            <v>3.29</v>
          </cell>
          <cell r="AG9">
            <v>3.5049999999999999</v>
          </cell>
          <cell r="AH9">
            <v>3.621</v>
          </cell>
          <cell r="AI9">
            <v>3.6819999999999999</v>
          </cell>
          <cell r="AJ9" t="e">
            <v>#N/A</v>
          </cell>
          <cell r="AK9" t="e">
            <v>#N/A</v>
          </cell>
        </row>
        <row r="10">
          <cell r="B10" t="str">
            <v>대비</v>
          </cell>
          <cell r="C10">
            <v>5.4999999999999716</v>
          </cell>
          <cell r="D10">
            <v>15.800000000000036</v>
          </cell>
          <cell r="E10">
            <v>18.599999999999994</v>
          </cell>
          <cell r="F10">
            <v>20.699999999999985</v>
          </cell>
          <cell r="G10">
            <v>14.19999999999999</v>
          </cell>
          <cell r="H10">
            <v>15.600000000000014</v>
          </cell>
          <cell r="I10">
            <v>21.200000000000017</v>
          </cell>
          <cell r="J10">
            <v>23.199999999999974</v>
          </cell>
          <cell r="K10">
            <v>20.299999999999983</v>
          </cell>
          <cell r="L10">
            <v>21.599999999999973</v>
          </cell>
          <cell r="M10">
            <v>16.199999999999992</v>
          </cell>
          <cell r="N10">
            <v>18.299999999999983</v>
          </cell>
          <cell r="O10">
            <v>19.69999999999996</v>
          </cell>
          <cell r="P10">
            <v>20.100000000000009</v>
          </cell>
          <cell r="Q10">
            <v>31.60000000000003</v>
          </cell>
          <cell r="R10" t="e">
            <v>#N/A</v>
          </cell>
          <cell r="U10" t="str">
            <v>대비</v>
          </cell>
          <cell r="V10">
            <v>8.6999999999999744</v>
          </cell>
          <cell r="W10">
            <v>20.300000000000029</v>
          </cell>
          <cell r="X10">
            <v>22.299999999999986</v>
          </cell>
          <cell r="Y10">
            <v>24.2</v>
          </cell>
          <cell r="Z10">
            <v>19.69999999999996</v>
          </cell>
          <cell r="AA10">
            <v>18.300000000000026</v>
          </cell>
          <cell r="AB10">
            <v>24.2</v>
          </cell>
          <cell r="AC10">
            <v>24.29999999999999</v>
          </cell>
          <cell r="AD10">
            <v>21.799999999999997</v>
          </cell>
          <cell r="AE10">
            <v>23.099999999999987</v>
          </cell>
          <cell r="AF10">
            <v>30.900000000000016</v>
          </cell>
          <cell r="AG10">
            <v>52.999999999999979</v>
          </cell>
          <cell r="AH10">
            <v>63.899999999999977</v>
          </cell>
          <cell r="AI10">
            <v>73</v>
          </cell>
          <cell r="AJ10" t="e">
            <v>#N/A</v>
          </cell>
          <cell r="AK10" t="e">
            <v>#N/A</v>
          </cell>
        </row>
        <row r="30">
          <cell r="C30" t="str">
            <v>3M</v>
          </cell>
          <cell r="D30" t="str">
            <v>6M</v>
          </cell>
          <cell r="E30" t="str">
            <v>9M</v>
          </cell>
          <cell r="F30" t="str">
            <v>1Y</v>
          </cell>
          <cell r="G30" t="str">
            <v>1.5Y</v>
          </cell>
          <cell r="H30" t="str">
            <v>2Y</v>
          </cell>
          <cell r="I30" t="str">
            <v>2.5Y</v>
          </cell>
          <cell r="J30" t="str">
            <v>3Y</v>
          </cell>
          <cell r="K30" t="str">
            <v>4Y</v>
          </cell>
          <cell r="L30" t="str">
            <v>5Y</v>
          </cell>
          <cell r="M30" t="str">
            <v>7Y</v>
          </cell>
          <cell r="N30" t="str">
            <v>10Y</v>
          </cell>
          <cell r="O30" t="str">
            <v>15Y</v>
          </cell>
          <cell r="P30" t="str">
            <v>20Y</v>
          </cell>
          <cell r="Q30" t="str">
            <v>30Y</v>
          </cell>
          <cell r="R30" t="str">
            <v>50Y</v>
          </cell>
          <cell r="V30" t="str">
            <v>3M</v>
          </cell>
          <cell r="W30" t="str">
            <v>6M</v>
          </cell>
          <cell r="X30" t="str">
            <v>9M</v>
          </cell>
          <cell r="Y30" t="str">
            <v>1Y</v>
          </cell>
          <cell r="Z30" t="str">
            <v>1.5Y</v>
          </cell>
          <cell r="AA30" t="str">
            <v>2Y</v>
          </cell>
          <cell r="AB30" t="str">
            <v>2.5Y</v>
          </cell>
          <cell r="AC30" t="str">
            <v>3Y</v>
          </cell>
          <cell r="AD30" t="str">
            <v>4Y</v>
          </cell>
          <cell r="AE30" t="str">
            <v>5Y</v>
          </cell>
          <cell r="AF30" t="str">
            <v>7Y</v>
          </cell>
          <cell r="AG30" t="str">
            <v>10Y</v>
          </cell>
          <cell r="AH30" t="str">
            <v>15Y</v>
          </cell>
          <cell r="AI30" t="str">
            <v>20Y</v>
          </cell>
          <cell r="AJ30" t="str">
            <v>30Y</v>
          </cell>
          <cell r="AK30" t="str">
            <v>50Y</v>
          </cell>
        </row>
        <row r="31">
          <cell r="B31" t="str">
            <v>기준</v>
          </cell>
          <cell r="C31">
            <v>3.3380000000000001</v>
          </cell>
          <cell r="D31">
            <v>3.2029999999999998</v>
          </cell>
          <cell r="E31">
            <v>3.1120000000000001</v>
          </cell>
          <cell r="F31">
            <v>3.052</v>
          </cell>
          <cell r="G31">
            <v>3.0550000000000002</v>
          </cell>
          <cell r="H31">
            <v>3.03</v>
          </cell>
          <cell r="I31">
            <v>2.944</v>
          </cell>
          <cell r="J31">
            <v>2.9220000000000002</v>
          </cell>
          <cell r="K31">
            <v>2.9430000000000001</v>
          </cell>
          <cell r="L31">
            <v>2.93</v>
          </cell>
          <cell r="M31">
            <v>2.9809999999999999</v>
          </cell>
          <cell r="N31">
            <v>2.9750000000000001</v>
          </cell>
          <cell r="O31">
            <v>2.9820000000000002</v>
          </cell>
          <cell r="P31">
            <v>2.952</v>
          </cell>
          <cell r="Q31">
            <v>2.8519999999999999</v>
          </cell>
          <cell r="R31">
            <v>2.7629999999999999</v>
          </cell>
          <cell r="U31" t="str">
            <v>기준</v>
          </cell>
          <cell r="V31">
            <v>3.3380000000000001</v>
          </cell>
          <cell r="W31">
            <v>3.2029999999999998</v>
          </cell>
          <cell r="X31">
            <v>3.1120000000000001</v>
          </cell>
          <cell r="Y31">
            <v>3.052</v>
          </cell>
          <cell r="Z31">
            <v>3.0550000000000002</v>
          </cell>
          <cell r="AA31">
            <v>3.03</v>
          </cell>
          <cell r="AB31">
            <v>2.944</v>
          </cell>
          <cell r="AC31">
            <v>2.9220000000000002</v>
          </cell>
          <cell r="AD31">
            <v>2.9430000000000001</v>
          </cell>
          <cell r="AE31">
            <v>2.93</v>
          </cell>
          <cell r="AF31">
            <v>2.9809999999999999</v>
          </cell>
          <cell r="AG31">
            <v>2.9750000000000001</v>
          </cell>
          <cell r="AH31">
            <v>2.9820000000000002</v>
          </cell>
          <cell r="AI31">
            <v>2.952</v>
          </cell>
          <cell r="AJ31">
            <v>2.8519999999999999</v>
          </cell>
          <cell r="AK31">
            <v>2.7629999999999999</v>
          </cell>
        </row>
        <row r="32">
          <cell r="B32" t="str">
            <v>상대</v>
          </cell>
          <cell r="C32">
            <v>3.4209999999999998</v>
          </cell>
          <cell r="D32">
            <v>3.4039999999999999</v>
          </cell>
          <cell r="E32">
            <v>3.343</v>
          </cell>
          <cell r="F32">
            <v>3.3029999999999999</v>
          </cell>
          <cell r="G32">
            <v>3.2890000000000001</v>
          </cell>
          <cell r="H32">
            <v>3.2639999999999998</v>
          </cell>
          <cell r="I32">
            <v>3.2509999999999999</v>
          </cell>
          <cell r="J32">
            <v>3.2450000000000001</v>
          </cell>
          <cell r="K32">
            <v>3.2370000000000001</v>
          </cell>
          <cell r="L32">
            <v>3.2429999999999999</v>
          </cell>
          <cell r="M32">
            <v>3.3519999999999999</v>
          </cell>
          <cell r="N32">
            <v>3.6</v>
          </cell>
          <cell r="O32">
            <v>3.7759999999999998</v>
          </cell>
          <cell r="P32">
            <v>3.8879999999999999</v>
          </cell>
          <cell r="Q32" t="e">
            <v>#N/A</v>
          </cell>
          <cell r="R32" t="e">
            <v>#N/A</v>
          </cell>
          <cell r="U32" t="str">
            <v>상대</v>
          </cell>
          <cell r="V32">
            <v>3.452</v>
          </cell>
          <cell r="W32">
            <v>3.444</v>
          </cell>
          <cell r="X32">
            <v>3.3929999999999998</v>
          </cell>
          <cell r="Y32">
            <v>3.3570000000000002</v>
          </cell>
          <cell r="Z32">
            <v>3.3820000000000001</v>
          </cell>
          <cell r="AA32">
            <v>3.3820000000000001</v>
          </cell>
          <cell r="AB32">
            <v>3.403</v>
          </cell>
          <cell r="AC32">
            <v>3.4279999999999999</v>
          </cell>
          <cell r="AD32">
            <v>3.45</v>
          </cell>
          <cell r="AE32">
            <v>3.5310000000000001</v>
          </cell>
          <cell r="AF32">
            <v>3.7829999999999999</v>
          </cell>
          <cell r="AG32">
            <v>4.601</v>
          </cell>
          <cell r="AH32">
            <v>5.2149999999999999</v>
          </cell>
          <cell r="AI32">
            <v>5.4589999999999996</v>
          </cell>
          <cell r="AJ32" t="e">
            <v>#N/A</v>
          </cell>
          <cell r="AK32" t="e">
            <v>#N/A</v>
          </cell>
        </row>
        <row r="33">
          <cell r="B33" t="str">
            <v>대비</v>
          </cell>
          <cell r="C33">
            <v>8.2999999999999741</v>
          </cell>
          <cell r="D33">
            <v>20.100000000000009</v>
          </cell>
          <cell r="E33">
            <v>23.099999999999987</v>
          </cell>
          <cell r="F33">
            <v>25.099999999999987</v>
          </cell>
          <cell r="G33">
            <v>23.4</v>
          </cell>
          <cell r="H33">
            <v>23.4</v>
          </cell>
          <cell r="I33">
            <v>30.699999999999996</v>
          </cell>
          <cell r="J33">
            <v>32.299999999999997</v>
          </cell>
          <cell r="K33">
            <v>29.400000000000006</v>
          </cell>
          <cell r="L33">
            <v>31.299999999999972</v>
          </cell>
          <cell r="M33">
            <v>37.1</v>
          </cell>
          <cell r="N33">
            <v>62.5</v>
          </cell>
          <cell r="O33">
            <v>79.399999999999963</v>
          </cell>
          <cell r="P33">
            <v>93.6</v>
          </cell>
          <cell r="Q33" t="e">
            <v>#N/A</v>
          </cell>
          <cell r="R33" t="e">
            <v>#N/A</v>
          </cell>
          <cell r="U33" t="str">
            <v>대비</v>
          </cell>
          <cell r="V33">
            <v>11.399999999999988</v>
          </cell>
          <cell r="W33">
            <v>24.100000000000009</v>
          </cell>
          <cell r="X33">
            <v>28.099999999999969</v>
          </cell>
          <cell r="Y33">
            <v>30.500000000000014</v>
          </cell>
          <cell r="Z33">
            <v>32.699999999999996</v>
          </cell>
          <cell r="AA33">
            <v>35.200000000000031</v>
          </cell>
          <cell r="AB33">
            <v>45.900000000000006</v>
          </cell>
          <cell r="AC33">
            <v>50.59999999999998</v>
          </cell>
          <cell r="AD33">
            <v>50.70000000000001</v>
          </cell>
          <cell r="AE33">
            <v>60.099999999999994</v>
          </cell>
          <cell r="AF33">
            <v>80.2</v>
          </cell>
          <cell r="AG33">
            <v>162.6</v>
          </cell>
          <cell r="AH33">
            <v>223.29999999999995</v>
          </cell>
          <cell r="AI33">
            <v>250.69999999999996</v>
          </cell>
          <cell r="AJ33" t="e">
            <v>#N/A</v>
          </cell>
          <cell r="AK33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ctrlProp" Target="../ctrlProps/ctrlProp3.xml"/><Relationship Id="rId7" Type="http://schemas.openxmlformats.org/officeDocument/2006/relationships/ctrlProp" Target="../ctrlProps/ctrlProp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5" Type="http://schemas.openxmlformats.org/officeDocument/2006/relationships/ctrlProp" Target="../ctrlProps/ctrlProp5.xml"/><Relationship Id="rId10" Type="http://schemas.openxmlformats.org/officeDocument/2006/relationships/ctrlProp" Target="../ctrlProps/ctrlProp10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FA3E-9C0F-4F0C-99F1-8163671DFB0A}">
  <dimension ref="A1:BH90"/>
  <sheetViews>
    <sheetView showGridLines="0" showRowColHeaders="0" tabSelected="1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ColWidth="0" defaultRowHeight="16.5" zeroHeight="1" x14ac:dyDescent="0.3"/>
  <cols>
    <col min="1" max="1" width="1.5" style="4" customWidth="1"/>
    <col min="2" max="2" width="11.5" style="4" customWidth="1"/>
    <col min="3" max="3" width="13.375" style="4" customWidth="1"/>
    <col min="4" max="4" width="15" style="4" customWidth="1"/>
    <col min="5" max="20" width="9" style="4" customWidth="1"/>
    <col min="21" max="22" width="2.625" style="4" customWidth="1"/>
    <col min="23" max="60" width="0" style="4" hidden="1" customWidth="1"/>
    <col min="61" max="16384" width="9" style="4" hidden="1"/>
  </cols>
  <sheetData>
    <row r="1" spans="2:60" ht="4.5" customHeight="1" x14ac:dyDescent="0.3"/>
    <row r="2" spans="2:60" ht="33" customHeight="1" x14ac:dyDescent="0.3">
      <c r="B2" s="1" t="s">
        <v>556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60" hidden="1" x14ac:dyDescent="0.3">
      <c r="B3" s="5"/>
      <c r="C3" s="5"/>
      <c r="D3" s="6">
        <v>1</v>
      </c>
      <c r="E3" s="7" t="s">
        <v>557</v>
      </c>
      <c r="F3" s="7" t="s">
        <v>558</v>
      </c>
      <c r="G3" s="7" t="s">
        <v>559</v>
      </c>
      <c r="H3" s="7" t="s">
        <v>560</v>
      </c>
      <c r="I3" s="7" t="s">
        <v>561</v>
      </c>
      <c r="J3" s="7" t="s">
        <v>562</v>
      </c>
      <c r="K3" s="7" t="s">
        <v>563</v>
      </c>
      <c r="L3" s="7" t="s">
        <v>564</v>
      </c>
      <c r="M3" s="7" t="s">
        <v>565</v>
      </c>
      <c r="N3" s="7" t="s">
        <v>566</v>
      </c>
      <c r="O3" s="7" t="s">
        <v>567</v>
      </c>
      <c r="P3" s="7" t="s">
        <v>568</v>
      </c>
      <c r="Q3" s="7" t="s">
        <v>569</v>
      </c>
      <c r="R3" s="7" t="s">
        <v>570</v>
      </c>
      <c r="S3" s="7" t="s">
        <v>571</v>
      </c>
      <c r="T3" s="7" t="s">
        <v>572</v>
      </c>
      <c r="U3" s="7"/>
      <c r="Z3" s="5"/>
      <c r="AA3" s="5">
        <v>1</v>
      </c>
      <c r="AB3" s="5" t="s">
        <v>664</v>
      </c>
      <c r="AC3" s="5" t="s">
        <v>665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spans="2:60" hidden="1" x14ac:dyDescent="0.3">
      <c r="B4" s="5"/>
      <c r="C4" s="5"/>
      <c r="D4" s="8">
        <v>1</v>
      </c>
      <c r="E4" s="7" t="s">
        <v>573</v>
      </c>
      <c r="F4" s="7" t="s">
        <v>574</v>
      </c>
      <c r="G4" s="7" t="s">
        <v>575</v>
      </c>
      <c r="H4" s="7" t="s">
        <v>576</v>
      </c>
      <c r="I4" s="7" t="s">
        <v>577</v>
      </c>
      <c r="J4" s="7" t="s">
        <v>578</v>
      </c>
      <c r="K4" s="7" t="s">
        <v>579</v>
      </c>
      <c r="L4" s="7" t="s">
        <v>580</v>
      </c>
      <c r="M4" s="7" t="s">
        <v>581</v>
      </c>
      <c r="N4" s="7" t="s">
        <v>582</v>
      </c>
      <c r="O4" s="7" t="s">
        <v>583</v>
      </c>
      <c r="P4" s="7" t="s">
        <v>584</v>
      </c>
      <c r="Q4" s="7" t="s">
        <v>585</v>
      </c>
      <c r="R4" s="7" t="s">
        <v>586</v>
      </c>
      <c r="S4" s="7" t="s">
        <v>587</v>
      </c>
      <c r="T4" s="7" t="s">
        <v>588</v>
      </c>
      <c r="U4" s="7"/>
      <c r="Z4" s="5"/>
      <c r="AA4" s="5">
        <v>2</v>
      </c>
      <c r="AB4" s="5" t="s">
        <v>666</v>
      </c>
      <c r="AC4" s="5" t="s">
        <v>667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2:60" hidden="1" x14ac:dyDescent="0.3">
      <c r="B5" s="5"/>
      <c r="C5" s="5"/>
      <c r="D5" s="6"/>
      <c r="E5" s="7" t="s">
        <v>589</v>
      </c>
      <c r="F5" s="7" t="s">
        <v>590</v>
      </c>
      <c r="G5" s="7" t="s">
        <v>591</v>
      </c>
      <c r="H5" s="7" t="s">
        <v>592</v>
      </c>
      <c r="I5" s="7" t="s">
        <v>593</v>
      </c>
      <c r="J5" s="7" t="s">
        <v>594</v>
      </c>
      <c r="K5" s="7" t="s">
        <v>595</v>
      </c>
      <c r="L5" s="7" t="s">
        <v>596</v>
      </c>
      <c r="M5" s="7" t="s">
        <v>597</v>
      </c>
      <c r="N5" s="7" t="s">
        <v>598</v>
      </c>
      <c r="O5" s="7" t="s">
        <v>599</v>
      </c>
      <c r="P5" s="7" t="s">
        <v>600</v>
      </c>
      <c r="Q5" s="7" t="s">
        <v>601</v>
      </c>
      <c r="R5" s="7" t="s">
        <v>602</v>
      </c>
      <c r="S5" s="7" t="s">
        <v>603</v>
      </c>
      <c r="T5" s="7" t="s">
        <v>604</v>
      </c>
      <c r="U5" s="7"/>
      <c r="Z5" s="5"/>
      <c r="AA5" s="5">
        <v>3</v>
      </c>
      <c r="AB5" s="5" t="s">
        <v>668</v>
      </c>
      <c r="AC5" s="5" t="s">
        <v>669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2:60" hidden="1" x14ac:dyDescent="0.3">
      <c r="B6" s="5"/>
      <c r="C6" s="5"/>
      <c r="D6" s="6"/>
      <c r="E6" s="5" t="str">
        <f t="shared" ref="E6:T6" si="0">IF($D$4=1,E$5,IF($D$4=2,E$4,E$3))</f>
        <v>3월이하(당일)</v>
      </c>
      <c r="F6" s="5" t="str">
        <f t="shared" si="0"/>
        <v>6월이하(당일)</v>
      </c>
      <c r="G6" s="5" t="str">
        <f t="shared" si="0"/>
        <v>9월이하(당일)</v>
      </c>
      <c r="H6" s="5" t="str">
        <f t="shared" si="0"/>
        <v>1년이하(당일)</v>
      </c>
      <c r="I6" s="5" t="str">
        <f t="shared" si="0"/>
        <v>1.5년이하(당일)</v>
      </c>
      <c r="J6" s="5" t="str">
        <f t="shared" si="0"/>
        <v>2년이하(당일)</v>
      </c>
      <c r="K6" s="5" t="str">
        <f t="shared" si="0"/>
        <v>2.5년이하(당일)</v>
      </c>
      <c r="L6" s="5" t="str">
        <f t="shared" si="0"/>
        <v>3년이하(당일)</v>
      </c>
      <c r="M6" s="5" t="str">
        <f t="shared" si="0"/>
        <v>4년이하(당일)</v>
      </c>
      <c r="N6" s="5" t="str">
        <f t="shared" si="0"/>
        <v>5년이하(당일)</v>
      </c>
      <c r="O6" s="5" t="str">
        <f t="shared" si="0"/>
        <v>7년이하(당일)</v>
      </c>
      <c r="P6" s="5" t="str">
        <f t="shared" si="0"/>
        <v>10년이하(당일)</v>
      </c>
      <c r="Q6" s="5" t="str">
        <f t="shared" si="0"/>
        <v>15년이하(당일)</v>
      </c>
      <c r="R6" s="5" t="str">
        <f t="shared" si="0"/>
        <v>20년이하(당일)</v>
      </c>
      <c r="S6" s="5" t="str">
        <f t="shared" si="0"/>
        <v>30년이하(당일)</v>
      </c>
      <c r="T6" s="5" t="str">
        <f t="shared" si="0"/>
        <v>50년이하(당일)</v>
      </c>
      <c r="U6" s="5"/>
      <c r="Z6" s="5"/>
      <c r="AA6" s="5">
        <v>4</v>
      </c>
      <c r="AB6" s="5" t="s">
        <v>670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spans="2:60" ht="4.5" customHeight="1" x14ac:dyDescent="0.3"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Z7" s="5"/>
      <c r="AA7" s="5">
        <v>5</v>
      </c>
      <c r="AB7" s="5" t="s">
        <v>671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 spans="2:60" x14ac:dyDescent="0.3">
      <c r="B8" s="9" t="s">
        <v>605</v>
      </c>
      <c r="C8" s="2">
        <f ca="1">WORKDAY(TODAY(),-1)</f>
        <v>45520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Z8" s="5"/>
      <c r="AA8" s="5">
        <v>6</v>
      </c>
      <c r="AB8" s="5" t="s">
        <v>672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 spans="2:60" ht="4.5" customHeight="1" thickBot="1" x14ac:dyDescent="0.35">
      <c r="B9" s="5"/>
      <c r="C9" s="5"/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Z9" s="5"/>
      <c r="AA9" s="5">
        <v>7</v>
      </c>
      <c r="AB9" s="5" t="s">
        <v>673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2:60" ht="21.75" customHeight="1" x14ac:dyDescent="0.3">
      <c r="B10" s="42" t="s">
        <v>606</v>
      </c>
      <c r="C10" s="43" t="s">
        <v>607</v>
      </c>
      <c r="D10" s="43" t="s">
        <v>608</v>
      </c>
      <c r="E10" s="44" t="s">
        <v>609</v>
      </c>
      <c r="F10" s="44" t="s">
        <v>610</v>
      </c>
      <c r="G10" s="44" t="s">
        <v>611</v>
      </c>
      <c r="H10" s="44" t="s">
        <v>612</v>
      </c>
      <c r="I10" s="44" t="s">
        <v>613</v>
      </c>
      <c r="J10" s="44" t="s">
        <v>614</v>
      </c>
      <c r="K10" s="44" t="s">
        <v>615</v>
      </c>
      <c r="L10" s="44" t="s">
        <v>616</v>
      </c>
      <c r="M10" s="44" t="s">
        <v>617</v>
      </c>
      <c r="N10" s="44" t="s">
        <v>618</v>
      </c>
      <c r="O10" s="44" t="s">
        <v>619</v>
      </c>
      <c r="P10" s="44" t="s">
        <v>620</v>
      </c>
      <c r="Q10" s="44" t="s">
        <v>621</v>
      </c>
      <c r="R10" s="44" t="s">
        <v>622</v>
      </c>
      <c r="S10" s="44" t="s">
        <v>623</v>
      </c>
      <c r="T10" s="45" t="s">
        <v>624</v>
      </c>
      <c r="U10" s="5"/>
      <c r="Z10" s="10" t="s">
        <v>674</v>
      </c>
      <c r="AA10" s="11"/>
      <c r="AB10" s="12" t="s">
        <v>609</v>
      </c>
      <c r="AC10" s="12" t="s">
        <v>610</v>
      </c>
      <c r="AD10" s="12" t="s">
        <v>611</v>
      </c>
      <c r="AE10" s="12" t="s">
        <v>612</v>
      </c>
      <c r="AF10" s="12" t="s">
        <v>613</v>
      </c>
      <c r="AG10" s="12" t="s">
        <v>614</v>
      </c>
      <c r="AH10" s="12" t="s">
        <v>615</v>
      </c>
      <c r="AI10" s="12" t="s">
        <v>616</v>
      </c>
      <c r="AJ10" s="12" t="s">
        <v>617</v>
      </c>
      <c r="AK10" s="12" t="s">
        <v>618</v>
      </c>
      <c r="AL10" s="12" t="s">
        <v>619</v>
      </c>
      <c r="AM10" s="12" t="s">
        <v>620</v>
      </c>
      <c r="AN10" s="12" t="s">
        <v>621</v>
      </c>
      <c r="AO10" s="12" t="s">
        <v>622</v>
      </c>
      <c r="AP10" s="12" t="s">
        <v>623</v>
      </c>
      <c r="AQ10" s="12" t="s">
        <v>624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 spans="2:60" ht="13.5" customHeight="1" x14ac:dyDescent="0.3">
      <c r="B11" s="72" t="s">
        <v>7</v>
      </c>
      <c r="C11" s="13" t="s">
        <v>625</v>
      </c>
      <c r="D11" s="14" t="s">
        <v>626</v>
      </c>
      <c r="E11" s="15">
        <f ca="1">IFERROR( IF( $D$4=2, AB11*100, AB11), "")</f>
        <v>3.3380000000000001</v>
      </c>
      <c r="F11" s="15">
        <f t="shared" ref="F11:T27" ca="1" si="1">IFERROR( IF( $D$4=2, AC11*100, AC11), "")</f>
        <v>3.2029999999999998</v>
      </c>
      <c r="G11" s="15">
        <f t="shared" ca="1" si="1"/>
        <v>3.1120000000000001</v>
      </c>
      <c r="H11" s="15">
        <f t="shared" ca="1" si="1"/>
        <v>3.052</v>
      </c>
      <c r="I11" s="15">
        <f t="shared" ca="1" si="1"/>
        <v>3.0550000000000002</v>
      </c>
      <c r="J11" s="15">
        <f t="shared" ca="1" si="1"/>
        <v>3.03</v>
      </c>
      <c r="K11" s="15">
        <f t="shared" ca="1" si="1"/>
        <v>2.944</v>
      </c>
      <c r="L11" s="15">
        <f t="shared" ca="1" si="1"/>
        <v>2.9220000000000002</v>
      </c>
      <c r="M11" s="15">
        <f t="shared" ca="1" si="1"/>
        <v>2.9430000000000001</v>
      </c>
      <c r="N11" s="15">
        <f t="shared" ca="1" si="1"/>
        <v>2.93</v>
      </c>
      <c r="O11" s="15">
        <f t="shared" ca="1" si="1"/>
        <v>2.9809999999999999</v>
      </c>
      <c r="P11" s="15">
        <f t="shared" ca="1" si="1"/>
        <v>2.9750000000000001</v>
      </c>
      <c r="Q11" s="15">
        <f t="shared" ca="1" si="1"/>
        <v>2.9820000000000002</v>
      </c>
      <c r="R11" s="15">
        <f t="shared" ca="1" si="1"/>
        <v>2.952</v>
      </c>
      <c r="S11" s="15">
        <f t="shared" ca="1" si="1"/>
        <v>2.8519999999999999</v>
      </c>
      <c r="T11" s="16">
        <f t="shared" ca="1" si="1"/>
        <v>2.7629999999999999</v>
      </c>
      <c r="U11" s="17"/>
      <c r="Z11" s="18">
        <f>ROWS($Z$11:Z11)</f>
        <v>1</v>
      </c>
      <c r="AA11" s="18" t="str" cm="1">
        <f t="array" ref="AA11">INDEX(code!$E$2:$K$72,시가평가Matrix!$Z11,$D$3)</f>
        <v>BONDAVG01</v>
      </c>
      <c r="AB11" s="19" cm="1">
        <f t="array" aca="1" ref="AB11" ca="1">IF( OR($AA11=0,AS11=0), "", _xll.IMDP("IR",$AA11,E$6,$C$8) )</f>
        <v>3.3380000000000001</v>
      </c>
      <c r="AC11" s="19" cm="1">
        <f t="array" aca="1" ref="AC11" ca="1">IF( OR($AA11=0,AT11=0), "", _xll.IMDP("IR",$AA11,F$6,$C$8) )</f>
        <v>3.2029999999999998</v>
      </c>
      <c r="AD11" s="19" cm="1">
        <f t="array" aca="1" ref="AD11" ca="1">IF( OR($AA11=0,AU11=0), "", _xll.IMDP("IR",$AA11,G$6,$C$8) )</f>
        <v>3.1120000000000001</v>
      </c>
      <c r="AE11" s="19" cm="1">
        <f t="array" aca="1" ref="AE11" ca="1">IF( OR($AA11=0,AV11=0), "", _xll.IMDP("IR",$AA11,H$6,$C$8) )</f>
        <v>3.052</v>
      </c>
      <c r="AF11" s="19" cm="1">
        <f t="array" aca="1" ref="AF11" ca="1">IF( OR($AA11=0,AW11=0), "", _xll.IMDP("IR",$AA11,I$6,$C$8) )</f>
        <v>3.0550000000000002</v>
      </c>
      <c r="AG11" s="19" cm="1">
        <f t="array" aca="1" ref="AG11" ca="1">IF( OR($AA11=0,AX11=0), "", _xll.IMDP("IR",$AA11,J$6,$C$8) )</f>
        <v>3.03</v>
      </c>
      <c r="AH11" s="19" cm="1">
        <f t="array" aca="1" ref="AH11" ca="1">IF( OR($AA11=0,AY11=0), "", _xll.IMDP("IR",$AA11,K$6,$C$8) )</f>
        <v>2.944</v>
      </c>
      <c r="AI11" s="19" cm="1">
        <f t="array" aca="1" ref="AI11" ca="1">IF( OR($AA11=0,AZ11=0), "", _xll.IMDP("IR",$AA11,L$6,$C$8) )</f>
        <v>2.9220000000000002</v>
      </c>
      <c r="AJ11" s="19" cm="1">
        <f t="array" aca="1" ref="AJ11" ca="1">IF( OR($AA11=0,BA11=0), "", _xll.IMDP("IR",$AA11,M$6,$C$8) )</f>
        <v>2.9430000000000001</v>
      </c>
      <c r="AK11" s="19" cm="1">
        <f t="array" aca="1" ref="AK11" ca="1">IF( OR($AA11=0,BB11=0), "", _xll.IMDP("IR",$AA11,N$6,$C$8) )</f>
        <v>2.93</v>
      </c>
      <c r="AL11" s="19" cm="1">
        <f t="array" aca="1" ref="AL11" ca="1">IF( OR($AA11=0,BC11=0), "", _xll.IMDP("IR",$AA11,O$6,$C$8) )</f>
        <v>2.9809999999999999</v>
      </c>
      <c r="AM11" s="19" cm="1">
        <f t="array" aca="1" ref="AM11" ca="1">IF( OR($AA11=0,BD11=0), "", _xll.IMDP("IR",$AA11,P$6,$C$8) )</f>
        <v>2.9750000000000001</v>
      </c>
      <c r="AN11" s="19" cm="1">
        <f t="array" aca="1" ref="AN11" ca="1">IF( OR($AA11=0,BE11=0), "", _xll.IMDP("IR",$AA11,Q$6,$C$8) )</f>
        <v>2.9820000000000002</v>
      </c>
      <c r="AO11" s="19" cm="1">
        <f t="array" aca="1" ref="AO11" ca="1">IF( OR($AA11=0,BF11=0), "", _xll.IMDP("IR",$AA11,R$6,$C$8) )</f>
        <v>2.952</v>
      </c>
      <c r="AP11" s="19" cm="1">
        <f t="array" aca="1" ref="AP11" ca="1">IF( OR($AA11=0,BG11=0), "", _xll.IMDP("IR",$AA11,S$6,$C$8) )</f>
        <v>2.8519999999999999</v>
      </c>
      <c r="AQ11" s="19" cm="1">
        <f t="array" aca="1" ref="AQ11" ca="1">IF( OR($AA11=0,BH11=0), "", _xll.IMDP("IR",$AA11,T$6,$C$8) )</f>
        <v>2.7629999999999999</v>
      </c>
      <c r="AR11" s="5"/>
      <c r="AS11" s="20" cm="1">
        <f t="array" aca="1" ref="AS11" ca="1">_xll.IMDP("IR",$AA11,E$5,$C$8)</f>
        <v>3.3380000000000001</v>
      </c>
      <c r="AT11" s="5" cm="1">
        <f t="array" aca="1" ref="AT11" ca="1">_xll.IMDP("IR",$AA11,F$5,$C$8)</f>
        <v>3.2029999999999998</v>
      </c>
      <c r="AU11" s="5" cm="1">
        <f t="array" aca="1" ref="AU11" ca="1">_xll.IMDP("IR",$AA11,G$5,$C$8)</f>
        <v>3.1120000000000001</v>
      </c>
      <c r="AV11" s="5" cm="1">
        <f t="array" aca="1" ref="AV11" ca="1">_xll.IMDP("IR",$AA11,H$5,$C$8)</f>
        <v>3.052</v>
      </c>
      <c r="AW11" s="5" cm="1">
        <f t="array" aca="1" ref="AW11" ca="1">_xll.IMDP("IR",$AA11,I$5,$C$8)</f>
        <v>3.0550000000000002</v>
      </c>
      <c r="AX11" s="5" cm="1">
        <f t="array" aca="1" ref="AX11" ca="1">_xll.IMDP("IR",$AA11,J$5,$C$8)</f>
        <v>3.03</v>
      </c>
      <c r="AY11" s="5" cm="1">
        <f t="array" aca="1" ref="AY11" ca="1">_xll.IMDP("IR",$AA11,K$5,$C$8)</f>
        <v>2.944</v>
      </c>
      <c r="AZ11" s="5" cm="1">
        <f t="array" aca="1" ref="AZ11" ca="1">_xll.IMDP("IR",$AA11,L$5,$C$8)</f>
        <v>2.9220000000000002</v>
      </c>
      <c r="BA11" s="5" cm="1">
        <f t="array" aca="1" ref="BA11" ca="1">_xll.IMDP("IR",$AA11,M$5,$C$8)</f>
        <v>2.9430000000000001</v>
      </c>
      <c r="BB11" s="5" cm="1">
        <f t="array" aca="1" ref="BB11" ca="1">_xll.IMDP("IR",$AA11,N$5,$C$8)</f>
        <v>2.93</v>
      </c>
      <c r="BC11" s="5" cm="1">
        <f t="array" aca="1" ref="BC11" ca="1">_xll.IMDP("IR",$AA11,O$5,$C$8)</f>
        <v>2.9809999999999999</v>
      </c>
      <c r="BD11" s="5" cm="1">
        <f t="array" aca="1" ref="BD11" ca="1">_xll.IMDP("IR",$AA11,P$5,$C$8)</f>
        <v>2.9750000000000001</v>
      </c>
      <c r="BE11" s="5" cm="1">
        <f t="array" aca="1" ref="BE11" ca="1">_xll.IMDP("IR",$AA11,Q$5,$C$8)</f>
        <v>2.9820000000000002</v>
      </c>
      <c r="BF11" s="5" cm="1">
        <f t="array" aca="1" ref="BF11" ca="1">_xll.IMDP("IR",$AA11,R$5,$C$8)</f>
        <v>2.952</v>
      </c>
      <c r="BG11" s="5" cm="1">
        <f t="array" aca="1" ref="BG11" ca="1">_xll.IMDP("IR",$AA11,S$5,$C$8)</f>
        <v>2.8519999999999999</v>
      </c>
      <c r="BH11" s="5" cm="1">
        <f t="array" aca="1" ref="BH11" ca="1">_xll.IMDP("IR",$AA11,T$5,$C$8)</f>
        <v>2.7629999999999999</v>
      </c>
    </row>
    <row r="12" spans="2:60" ht="13.5" customHeight="1" x14ac:dyDescent="0.3">
      <c r="B12" s="70"/>
      <c r="C12" s="22" t="s">
        <v>627</v>
      </c>
      <c r="D12" s="23" t="s">
        <v>628</v>
      </c>
      <c r="E12" s="24">
        <f t="shared" ref="E12:T42" ca="1" si="2">IFERROR( IF( $D$4=2, AB12*100, AB12), "")</f>
        <v>3.3460000000000001</v>
      </c>
      <c r="F12" s="24">
        <f t="shared" ca="1" si="1"/>
        <v>3.254</v>
      </c>
      <c r="G12" s="24">
        <f t="shared" ca="1" si="1"/>
        <v>3.1720000000000002</v>
      </c>
      <c r="H12" s="24">
        <f t="shared" ca="1" si="1"/>
        <v>3.089</v>
      </c>
      <c r="I12" s="24">
        <f t="shared" ca="1" si="1"/>
        <v>3.077</v>
      </c>
      <c r="J12" s="24">
        <f t="shared" ca="1" si="1"/>
        <v>3.0539999999999998</v>
      </c>
      <c r="K12" s="24">
        <f t="shared" ca="1" si="1"/>
        <v>3.012</v>
      </c>
      <c r="L12" s="24">
        <f t="shared" ca="1" si="1"/>
        <v>3.01</v>
      </c>
      <c r="M12" s="24">
        <f t="shared" ca="1" si="1"/>
        <v>3.0110000000000001</v>
      </c>
      <c r="N12" s="24">
        <f t="shared" ca="1" si="1"/>
        <v>3.052</v>
      </c>
      <c r="O12" s="24" t="str">
        <f t="shared" ca="1" si="1"/>
        <v/>
      </c>
      <c r="P12" s="24" t="str">
        <f t="shared" ca="1" si="1"/>
        <v/>
      </c>
      <c r="Q12" s="24" t="str">
        <f t="shared" ca="1" si="1"/>
        <v/>
      </c>
      <c r="R12" s="24" t="str">
        <f t="shared" ca="1" si="1"/>
        <v/>
      </c>
      <c r="S12" s="24" t="str">
        <f t="shared" ca="1" si="1"/>
        <v/>
      </c>
      <c r="T12" s="25" t="str">
        <f t="shared" ca="1" si="1"/>
        <v/>
      </c>
      <c r="U12" s="17"/>
      <c r="Z12" s="18">
        <f>ROWS($Z$11:Z12)</f>
        <v>2</v>
      </c>
      <c r="AA12" s="18" t="str" cm="1">
        <f t="array" ref="AA12">INDEX(code!$E$2:$K$72,시가평가Matrix!$Z12,$D$3)</f>
        <v>BONDAVG02</v>
      </c>
      <c r="AB12" s="19" cm="1">
        <f t="array" aca="1" ref="AB12" ca="1">IF( OR($AA12=0,AS12=0), "", _xll.IMDP("IR",$AA12,E$6,$C$8) )</f>
        <v>3.3460000000000001</v>
      </c>
      <c r="AC12" s="19" cm="1">
        <f t="array" aca="1" ref="AC12" ca="1">IF( OR($AA12=0,AT12=0), "", _xll.IMDP("IR",$AA12,F$6,$C$8) )</f>
        <v>3.254</v>
      </c>
      <c r="AD12" s="19" cm="1">
        <f t="array" aca="1" ref="AD12" ca="1">IF( OR($AA12=0,AU12=0), "", _xll.IMDP("IR",$AA12,G$6,$C$8) )</f>
        <v>3.1720000000000002</v>
      </c>
      <c r="AE12" s="19" cm="1">
        <f t="array" aca="1" ref="AE12" ca="1">IF( OR($AA12=0,AV12=0), "", _xll.IMDP("IR",$AA12,H$6,$C$8) )</f>
        <v>3.089</v>
      </c>
      <c r="AF12" s="19" cm="1">
        <f t="array" aca="1" ref="AF12" ca="1">IF( OR($AA12=0,AW12=0), "", _xll.IMDP("IR",$AA12,I$6,$C$8) )</f>
        <v>3.077</v>
      </c>
      <c r="AG12" s="19" cm="1">
        <f t="array" aca="1" ref="AG12" ca="1">IF( OR($AA12=0,AX12=0), "", _xll.IMDP("IR",$AA12,J$6,$C$8) )</f>
        <v>3.0539999999999998</v>
      </c>
      <c r="AH12" s="19" cm="1">
        <f t="array" aca="1" ref="AH12" ca="1">IF( OR($AA12=0,AY12=0), "", _xll.IMDP("IR",$AA12,K$6,$C$8) )</f>
        <v>3.012</v>
      </c>
      <c r="AI12" s="19" cm="1">
        <f t="array" aca="1" ref="AI12" ca="1">IF( OR($AA12=0,AZ12=0), "", _xll.IMDP("IR",$AA12,L$6,$C$8) )</f>
        <v>3.01</v>
      </c>
      <c r="AJ12" s="19" cm="1">
        <f t="array" aca="1" ref="AJ12" ca="1">IF( OR($AA12=0,BA12=0), "", _xll.IMDP("IR",$AA12,M$6,$C$8) )</f>
        <v>3.0110000000000001</v>
      </c>
      <c r="AK12" s="19" cm="1">
        <f t="array" aca="1" ref="AK12" ca="1">IF( OR($AA12=0,BB12=0), "", _xll.IMDP("IR",$AA12,N$6,$C$8) )</f>
        <v>3.052</v>
      </c>
      <c r="AL12" s="19" t="str" cm="1">
        <f t="array" aca="1" ref="AL12" ca="1">IF( OR($AA12=0,BC12=0), "", _xll.IMDP("IR",$AA12,O$6,$C$8) )</f>
        <v/>
      </c>
      <c r="AM12" s="19" t="str" cm="1">
        <f t="array" aca="1" ref="AM12" ca="1">IF( OR($AA12=0,BD12=0), "", _xll.IMDP("IR",$AA12,P$6,$C$8) )</f>
        <v/>
      </c>
      <c r="AN12" s="19" t="str" cm="1">
        <f t="array" aca="1" ref="AN12" ca="1">IF( OR($AA12=0,BE12=0), "", _xll.IMDP("IR",$AA12,Q$6,$C$8) )</f>
        <v/>
      </c>
      <c r="AO12" s="19" t="str" cm="1">
        <f t="array" aca="1" ref="AO12" ca="1">IF( OR($AA12=0,BF12=0), "", _xll.IMDP("IR",$AA12,R$6,$C$8) )</f>
        <v/>
      </c>
      <c r="AP12" s="19" t="str" cm="1">
        <f t="array" aca="1" ref="AP12" ca="1">IF( OR($AA12=0,BG12=0), "", _xll.IMDP("IR",$AA12,S$6,$C$8) )</f>
        <v/>
      </c>
      <c r="AQ12" s="19" t="str" cm="1">
        <f t="array" aca="1" ref="AQ12" ca="1">IF( OR($AA12=0,BH12=0), "", _xll.IMDP("IR",$AA12,T$6,$C$8) )</f>
        <v/>
      </c>
      <c r="AR12" s="5"/>
      <c r="AS12" s="20" cm="1">
        <f t="array" aca="1" ref="AS12" ca="1">_xll.IMDP("IR",$AA12,E$5,$C$8)</f>
        <v>3.3460000000000001</v>
      </c>
      <c r="AT12" s="5" cm="1">
        <f t="array" aca="1" ref="AT12" ca="1">_xll.IMDP("IR",$AA12,F$5,$C$8)</f>
        <v>3.254</v>
      </c>
      <c r="AU12" s="5" cm="1">
        <f t="array" aca="1" ref="AU12" ca="1">_xll.IMDP("IR",$AA12,G$5,$C$8)</f>
        <v>3.1720000000000002</v>
      </c>
      <c r="AV12" s="5" cm="1">
        <f t="array" aca="1" ref="AV12" ca="1">_xll.IMDP("IR",$AA12,H$5,$C$8)</f>
        <v>3.089</v>
      </c>
      <c r="AW12" s="5" cm="1">
        <f t="array" aca="1" ref="AW12" ca="1">_xll.IMDP("IR",$AA12,I$5,$C$8)</f>
        <v>3.077</v>
      </c>
      <c r="AX12" s="5" cm="1">
        <f t="array" aca="1" ref="AX12" ca="1">_xll.IMDP("IR",$AA12,J$5,$C$8)</f>
        <v>3.0539999999999998</v>
      </c>
      <c r="AY12" s="5" cm="1">
        <f t="array" aca="1" ref="AY12" ca="1">_xll.IMDP("IR",$AA12,K$5,$C$8)</f>
        <v>3.012</v>
      </c>
      <c r="AZ12" s="5" cm="1">
        <f t="array" aca="1" ref="AZ12" ca="1">_xll.IMDP("IR",$AA12,L$5,$C$8)</f>
        <v>3.01</v>
      </c>
      <c r="BA12" s="5" cm="1">
        <f t="array" aca="1" ref="BA12" ca="1">_xll.IMDP("IR",$AA12,M$5,$C$8)</f>
        <v>3.0110000000000001</v>
      </c>
      <c r="BB12" s="5" cm="1">
        <f t="array" aca="1" ref="BB12" ca="1">_xll.IMDP("IR",$AA12,N$5,$C$8)</f>
        <v>3.052</v>
      </c>
      <c r="BC12" s="5" cm="1">
        <f t="array" aca="1" ref="BC12" ca="1">_xll.IMDP("IR",$AA12,O$5,$C$8)</f>
        <v>0</v>
      </c>
      <c r="BD12" s="5" cm="1">
        <f t="array" aca="1" ref="BD12" ca="1">_xll.IMDP("IR",$AA12,P$5,$C$8)</f>
        <v>0</v>
      </c>
      <c r="BE12" s="5" cm="1">
        <f t="array" aca="1" ref="BE12" ca="1">_xll.IMDP("IR",$AA12,Q$5,$C$8)</f>
        <v>0</v>
      </c>
      <c r="BF12" s="5" cm="1">
        <f t="array" aca="1" ref="BF12" ca="1">_xll.IMDP("IR",$AA12,R$5,$C$8)</f>
        <v>0</v>
      </c>
      <c r="BG12" s="5" cm="1">
        <f t="array" aca="1" ref="BG12" ca="1">_xll.IMDP("IR",$AA12,S$5,$C$8)</f>
        <v>0</v>
      </c>
      <c r="BH12" s="5" cm="1">
        <f t="array" aca="1" ref="BH12" ca="1">_xll.IMDP("IR",$AA12,T$5,$C$8)</f>
        <v>0</v>
      </c>
    </row>
    <row r="13" spans="2:60" ht="13.5" customHeight="1" x14ac:dyDescent="0.3">
      <c r="B13" s="70"/>
      <c r="C13" s="22" t="s">
        <v>629</v>
      </c>
      <c r="D13" s="23" t="s">
        <v>628</v>
      </c>
      <c r="E13" s="24">
        <f t="shared" ca="1" si="2"/>
        <v>3.129</v>
      </c>
      <c r="F13" s="24">
        <f t="shared" ca="1" si="1"/>
        <v>3.0459999999999998</v>
      </c>
      <c r="G13" s="24">
        <f t="shared" ca="1" si="1"/>
        <v>2.976</v>
      </c>
      <c r="H13" s="24">
        <f t="shared" ca="1" si="1"/>
        <v>2.8860000000000001</v>
      </c>
      <c r="I13" s="24">
        <f t="shared" ca="1" si="1"/>
        <v>2.8759999999999999</v>
      </c>
      <c r="J13" s="24">
        <f t="shared" ca="1" si="1"/>
        <v>2.8519999999999999</v>
      </c>
      <c r="K13" s="24">
        <f t="shared" ca="1" si="1"/>
        <v>2.81</v>
      </c>
      <c r="L13" s="24">
        <f t="shared" ca="1" si="1"/>
        <v>2.8220000000000001</v>
      </c>
      <c r="M13" s="24">
        <f t="shared" ca="1" si="1"/>
        <v>2.8370000000000002</v>
      </c>
      <c r="N13" s="24">
        <f t="shared" ca="1" si="1"/>
        <v>2.8279999999999998</v>
      </c>
      <c r="O13" s="24">
        <f t="shared" ca="1" si="1"/>
        <v>2.9729999999999999</v>
      </c>
      <c r="P13" s="24">
        <f t="shared" ca="1" si="1"/>
        <v>3.093</v>
      </c>
      <c r="Q13" s="24">
        <f t="shared" ca="1" si="1"/>
        <v>3.12</v>
      </c>
      <c r="R13" s="24">
        <f t="shared" ca="1" si="1"/>
        <v>3.198</v>
      </c>
      <c r="S13" s="24" t="str">
        <f t="shared" ca="1" si="1"/>
        <v/>
      </c>
      <c r="T13" s="25" t="str">
        <f t="shared" ca="1" si="1"/>
        <v/>
      </c>
      <c r="U13" s="17"/>
      <c r="Z13" s="18">
        <f>ROWS($Z$11:Z13)</f>
        <v>3</v>
      </c>
      <c r="AA13" s="18" t="str" cm="1">
        <f t="array" ref="AA13">INDEX(code!$E$2:$K$72,시가평가Matrix!$Z13,$D$3)</f>
        <v>BONDAVG03</v>
      </c>
      <c r="AB13" s="19" cm="1">
        <f t="array" aca="1" ref="AB13" ca="1">IF( OR($AA13=0,AS13=0), "", _xll.IMDP("IR",$AA13,E$6,$C$8) )</f>
        <v>3.129</v>
      </c>
      <c r="AC13" s="19" cm="1">
        <f t="array" aca="1" ref="AC13" ca="1">IF( OR($AA13=0,AT13=0), "", _xll.IMDP("IR",$AA13,F$6,$C$8) )</f>
        <v>3.0459999999999998</v>
      </c>
      <c r="AD13" s="19" cm="1">
        <f t="array" aca="1" ref="AD13" ca="1">IF( OR($AA13=0,AU13=0), "", _xll.IMDP("IR",$AA13,G$6,$C$8) )</f>
        <v>2.976</v>
      </c>
      <c r="AE13" s="19" cm="1">
        <f t="array" aca="1" ref="AE13" ca="1">IF( OR($AA13=0,AV13=0), "", _xll.IMDP("IR",$AA13,H$6,$C$8) )</f>
        <v>2.8860000000000001</v>
      </c>
      <c r="AF13" s="19" cm="1">
        <f t="array" aca="1" ref="AF13" ca="1">IF( OR($AA13=0,AW13=0), "", _xll.IMDP("IR",$AA13,I$6,$C$8) )</f>
        <v>2.8759999999999999</v>
      </c>
      <c r="AG13" s="19" cm="1">
        <f t="array" aca="1" ref="AG13" ca="1">IF( OR($AA13=0,AX13=0), "", _xll.IMDP("IR",$AA13,J$6,$C$8) )</f>
        <v>2.8519999999999999</v>
      </c>
      <c r="AH13" s="19" cm="1">
        <f t="array" aca="1" ref="AH13" ca="1">IF( OR($AA13=0,AY13=0), "", _xll.IMDP("IR",$AA13,K$6,$C$8) )</f>
        <v>2.81</v>
      </c>
      <c r="AI13" s="19" cm="1">
        <f t="array" aca="1" ref="AI13" ca="1">IF( OR($AA13=0,AZ13=0), "", _xll.IMDP("IR",$AA13,L$6,$C$8) )</f>
        <v>2.8220000000000001</v>
      </c>
      <c r="AJ13" s="19" cm="1">
        <f t="array" aca="1" ref="AJ13" ca="1">IF( OR($AA13=0,BA13=0), "", _xll.IMDP("IR",$AA13,M$6,$C$8) )</f>
        <v>2.8370000000000002</v>
      </c>
      <c r="AK13" s="19" cm="1">
        <f t="array" aca="1" ref="AK13" ca="1">IF( OR($AA13=0,BB13=0), "", _xll.IMDP("IR",$AA13,N$6,$C$8) )</f>
        <v>2.8279999999999998</v>
      </c>
      <c r="AL13" s="19" cm="1">
        <f t="array" aca="1" ref="AL13" ca="1">IF( OR($AA13=0,BC13=0), "", _xll.IMDP("IR",$AA13,O$6,$C$8) )</f>
        <v>2.9729999999999999</v>
      </c>
      <c r="AM13" s="19" cm="1">
        <f t="array" aca="1" ref="AM13" ca="1">IF( OR($AA13=0,BD13=0), "", _xll.IMDP("IR",$AA13,P$6,$C$8) )</f>
        <v>3.093</v>
      </c>
      <c r="AN13" s="19" cm="1">
        <f t="array" aca="1" ref="AN13" ca="1">IF( OR($AA13=0,BE13=0), "", _xll.IMDP("IR",$AA13,Q$6,$C$8) )</f>
        <v>3.12</v>
      </c>
      <c r="AO13" s="19" cm="1">
        <f t="array" aca="1" ref="AO13" ca="1">IF( OR($AA13=0,BF13=0), "", _xll.IMDP("IR",$AA13,R$6,$C$8) )</f>
        <v>3.198</v>
      </c>
      <c r="AP13" s="19" t="str" cm="1">
        <f t="array" aca="1" ref="AP13" ca="1">IF( OR($AA13=0,BG13=0), "", _xll.IMDP("IR",$AA13,S$6,$C$8) )</f>
        <v/>
      </c>
      <c r="AQ13" s="19" t="str" cm="1">
        <f t="array" aca="1" ref="AQ13" ca="1">IF( OR($AA13=0,BH13=0), "", _xll.IMDP("IR",$AA13,T$6,$C$8) )</f>
        <v/>
      </c>
      <c r="AR13" s="5"/>
      <c r="AS13" s="20" cm="1">
        <f t="array" aca="1" ref="AS13" ca="1">_xll.IMDP("IR",$AA13,E$5,$C$8)</f>
        <v>3.129</v>
      </c>
      <c r="AT13" s="5" cm="1">
        <f t="array" aca="1" ref="AT13" ca="1">_xll.IMDP("IR",$AA13,F$5,$C$8)</f>
        <v>3.0459999999999998</v>
      </c>
      <c r="AU13" s="5" cm="1">
        <f t="array" aca="1" ref="AU13" ca="1">_xll.IMDP("IR",$AA13,G$5,$C$8)</f>
        <v>2.976</v>
      </c>
      <c r="AV13" s="5" cm="1">
        <f t="array" aca="1" ref="AV13" ca="1">_xll.IMDP("IR",$AA13,H$5,$C$8)</f>
        <v>2.8860000000000001</v>
      </c>
      <c r="AW13" s="5" cm="1">
        <f t="array" aca="1" ref="AW13" ca="1">_xll.IMDP("IR",$AA13,I$5,$C$8)</f>
        <v>2.8759999999999999</v>
      </c>
      <c r="AX13" s="5" cm="1">
        <f t="array" aca="1" ref="AX13" ca="1">_xll.IMDP("IR",$AA13,J$5,$C$8)</f>
        <v>2.8519999999999999</v>
      </c>
      <c r="AY13" s="5" cm="1">
        <f t="array" aca="1" ref="AY13" ca="1">_xll.IMDP("IR",$AA13,K$5,$C$8)</f>
        <v>2.81</v>
      </c>
      <c r="AZ13" s="5" cm="1">
        <f t="array" aca="1" ref="AZ13" ca="1">_xll.IMDP("IR",$AA13,L$5,$C$8)</f>
        <v>2.8220000000000001</v>
      </c>
      <c r="BA13" s="5" cm="1">
        <f t="array" aca="1" ref="BA13" ca="1">_xll.IMDP("IR",$AA13,M$5,$C$8)</f>
        <v>2.8370000000000002</v>
      </c>
      <c r="BB13" s="5" cm="1">
        <f t="array" aca="1" ref="BB13" ca="1">_xll.IMDP("IR",$AA13,N$5,$C$8)</f>
        <v>2.8279999999999998</v>
      </c>
      <c r="BC13" s="5" cm="1">
        <f t="array" aca="1" ref="BC13" ca="1">_xll.IMDP("IR",$AA13,O$5,$C$8)</f>
        <v>2.9729999999999999</v>
      </c>
      <c r="BD13" s="5" cm="1">
        <f t="array" aca="1" ref="BD13" ca="1">_xll.IMDP("IR",$AA13,P$5,$C$8)</f>
        <v>3.093</v>
      </c>
      <c r="BE13" s="5" cm="1">
        <f t="array" aca="1" ref="BE13" ca="1">_xll.IMDP("IR",$AA13,Q$5,$C$8)</f>
        <v>3.12</v>
      </c>
      <c r="BF13" s="5" cm="1">
        <f t="array" aca="1" ref="BF13" ca="1">_xll.IMDP("IR",$AA13,R$5,$C$8)</f>
        <v>3.198</v>
      </c>
      <c r="BG13" s="5" cm="1">
        <f t="array" aca="1" ref="BG13" ca="1">_xll.IMDP("IR",$AA13,S$5,$C$8)</f>
        <v>0</v>
      </c>
      <c r="BH13" s="5" cm="1">
        <f t="array" aca="1" ref="BH13" ca="1">_xll.IMDP("IR",$AA13,T$5,$C$8)</f>
        <v>0</v>
      </c>
    </row>
    <row r="14" spans="2:60" ht="13.5" customHeight="1" x14ac:dyDescent="0.3">
      <c r="B14" s="70"/>
      <c r="C14" s="22" t="s">
        <v>630</v>
      </c>
      <c r="D14" s="26" t="s">
        <v>628</v>
      </c>
      <c r="E14" s="27">
        <f t="shared" ca="1" si="2"/>
        <v>2.875</v>
      </c>
      <c r="F14" s="27">
        <f t="shared" ca="1" si="1"/>
        <v>2.7850000000000001</v>
      </c>
      <c r="G14" s="27">
        <f t="shared" ca="1" si="1"/>
        <v>2.6949999999999998</v>
      </c>
      <c r="H14" s="27">
        <f t="shared" ca="1" si="1"/>
        <v>2.597</v>
      </c>
      <c r="I14" s="27">
        <f t="shared" ca="1" si="1"/>
        <v>2.6070000000000002</v>
      </c>
      <c r="J14" s="27">
        <f t="shared" ca="1" si="1"/>
        <v>2.577</v>
      </c>
      <c r="K14" s="27">
        <f t="shared" ca="1" si="1"/>
        <v>2.5169999999999999</v>
      </c>
      <c r="L14" s="27">
        <f t="shared" ca="1" si="1"/>
        <v>2.54</v>
      </c>
      <c r="M14" s="27">
        <f t="shared" ca="1" si="1"/>
        <v>2.5419999999999998</v>
      </c>
      <c r="N14" s="27">
        <f t="shared" ca="1" si="1"/>
        <v>2.5649999999999999</v>
      </c>
      <c r="O14" s="27">
        <f t="shared" ca="1" si="1"/>
        <v>2.68</v>
      </c>
      <c r="P14" s="27">
        <f t="shared" ca="1" si="1"/>
        <v>2.7450000000000001</v>
      </c>
      <c r="Q14" s="27" t="str">
        <f t="shared" ca="1" si="1"/>
        <v/>
      </c>
      <c r="R14" s="27" t="str">
        <f t="shared" ca="1" si="1"/>
        <v/>
      </c>
      <c r="S14" s="27" t="str">
        <f t="shared" ca="1" si="1"/>
        <v/>
      </c>
      <c r="T14" s="28" t="str">
        <f t="shared" ca="1" si="1"/>
        <v/>
      </c>
      <c r="U14" s="17"/>
      <c r="Z14" s="18">
        <f>ROWS($Z$11:Z14)</f>
        <v>4</v>
      </c>
      <c r="AA14" s="18" t="str" cm="1">
        <f t="array" ref="AA14">INDEX(code!$E$2:$K$72,시가평가Matrix!$Z14,$D$3)</f>
        <v>BONDAVG04</v>
      </c>
      <c r="AB14" s="19" cm="1">
        <f t="array" aca="1" ref="AB14" ca="1">IF( OR($AA14=0,AS14=0), "", _xll.IMDP("IR",$AA14,E$6,$C$8) )</f>
        <v>2.875</v>
      </c>
      <c r="AC14" s="19" cm="1">
        <f t="array" aca="1" ref="AC14" ca="1">IF( OR($AA14=0,AT14=0), "", _xll.IMDP("IR",$AA14,F$6,$C$8) )</f>
        <v>2.7850000000000001</v>
      </c>
      <c r="AD14" s="19" cm="1">
        <f t="array" aca="1" ref="AD14" ca="1">IF( OR($AA14=0,AU14=0), "", _xll.IMDP("IR",$AA14,G$6,$C$8) )</f>
        <v>2.6949999999999998</v>
      </c>
      <c r="AE14" s="19" cm="1">
        <f t="array" aca="1" ref="AE14" ca="1">IF( OR($AA14=0,AV14=0), "", _xll.IMDP("IR",$AA14,H$6,$C$8) )</f>
        <v>2.597</v>
      </c>
      <c r="AF14" s="19" cm="1">
        <f t="array" aca="1" ref="AF14" ca="1">IF( OR($AA14=0,AW14=0), "", _xll.IMDP("IR",$AA14,I$6,$C$8) )</f>
        <v>2.6070000000000002</v>
      </c>
      <c r="AG14" s="19" cm="1">
        <f t="array" aca="1" ref="AG14" ca="1">IF( OR($AA14=0,AX14=0), "", _xll.IMDP("IR",$AA14,J$6,$C$8) )</f>
        <v>2.577</v>
      </c>
      <c r="AH14" s="19" cm="1">
        <f t="array" aca="1" ref="AH14" ca="1">IF( OR($AA14=0,AY14=0), "", _xll.IMDP("IR",$AA14,K$6,$C$8) )</f>
        <v>2.5169999999999999</v>
      </c>
      <c r="AI14" s="19" cm="1">
        <f t="array" aca="1" ref="AI14" ca="1">IF( OR($AA14=0,AZ14=0), "", _xll.IMDP("IR",$AA14,L$6,$C$8) )</f>
        <v>2.54</v>
      </c>
      <c r="AJ14" s="19" cm="1">
        <f t="array" aca="1" ref="AJ14" ca="1">IF( OR($AA14=0,BA14=0), "", _xll.IMDP("IR",$AA14,M$6,$C$8) )</f>
        <v>2.5419999999999998</v>
      </c>
      <c r="AK14" s="19" cm="1">
        <f t="array" aca="1" ref="AK14" ca="1">IF( OR($AA14=0,BB14=0), "", _xll.IMDP("IR",$AA14,N$6,$C$8) )</f>
        <v>2.5649999999999999</v>
      </c>
      <c r="AL14" s="19" cm="1">
        <f t="array" aca="1" ref="AL14" ca="1">IF( OR($AA14=0,BC14=0), "", _xll.IMDP("IR",$AA14,O$6,$C$8) )</f>
        <v>2.68</v>
      </c>
      <c r="AM14" s="19" cm="1">
        <f t="array" aca="1" ref="AM14" ca="1">IF( OR($AA14=0,BD14=0), "", _xll.IMDP("IR",$AA14,P$6,$C$8) )</f>
        <v>2.7450000000000001</v>
      </c>
      <c r="AN14" s="19" t="str" cm="1">
        <f t="array" aca="1" ref="AN14" ca="1">IF( OR($AA14=0,BE14=0), "", _xll.IMDP("IR",$AA14,Q$6,$C$8) )</f>
        <v/>
      </c>
      <c r="AO14" s="19" t="str" cm="1">
        <f t="array" aca="1" ref="AO14" ca="1">IF( OR($AA14=0,BF14=0), "", _xll.IMDP("IR",$AA14,R$6,$C$8) )</f>
        <v/>
      </c>
      <c r="AP14" s="19" t="str" cm="1">
        <f t="array" aca="1" ref="AP14" ca="1">IF( OR($AA14=0,BG14=0), "", _xll.IMDP("IR",$AA14,S$6,$C$8) )</f>
        <v/>
      </c>
      <c r="AQ14" s="19" t="str" cm="1">
        <f t="array" aca="1" ref="AQ14" ca="1">IF( OR($AA14=0,BH14=0), "", _xll.IMDP("IR",$AA14,T$6,$C$8) )</f>
        <v/>
      </c>
      <c r="AR14" s="5"/>
      <c r="AS14" s="20" cm="1">
        <f t="array" aca="1" ref="AS14" ca="1">_xll.IMDP("IR",$AA14,E$5,$C$8)</f>
        <v>2.875</v>
      </c>
      <c r="AT14" s="5" cm="1">
        <f t="array" aca="1" ref="AT14" ca="1">_xll.IMDP("IR",$AA14,F$5,$C$8)</f>
        <v>2.7850000000000001</v>
      </c>
      <c r="AU14" s="5" cm="1">
        <f t="array" aca="1" ref="AU14" ca="1">_xll.IMDP("IR",$AA14,G$5,$C$8)</f>
        <v>2.6949999999999998</v>
      </c>
      <c r="AV14" s="5" cm="1">
        <f t="array" aca="1" ref="AV14" ca="1">_xll.IMDP("IR",$AA14,H$5,$C$8)</f>
        <v>2.597</v>
      </c>
      <c r="AW14" s="5" cm="1">
        <f t="array" aca="1" ref="AW14" ca="1">_xll.IMDP("IR",$AA14,I$5,$C$8)</f>
        <v>2.6070000000000002</v>
      </c>
      <c r="AX14" s="5" cm="1">
        <f t="array" aca="1" ref="AX14" ca="1">_xll.IMDP("IR",$AA14,J$5,$C$8)</f>
        <v>2.577</v>
      </c>
      <c r="AY14" s="5" cm="1">
        <f t="array" aca="1" ref="AY14" ca="1">_xll.IMDP("IR",$AA14,K$5,$C$8)</f>
        <v>2.5169999999999999</v>
      </c>
      <c r="AZ14" s="5" cm="1">
        <f t="array" aca="1" ref="AZ14" ca="1">_xll.IMDP("IR",$AA14,L$5,$C$8)</f>
        <v>2.54</v>
      </c>
      <c r="BA14" s="5" cm="1">
        <f t="array" aca="1" ref="BA14" ca="1">_xll.IMDP("IR",$AA14,M$5,$C$8)</f>
        <v>2.5419999999999998</v>
      </c>
      <c r="BB14" s="5" cm="1">
        <f t="array" aca="1" ref="BB14" ca="1">_xll.IMDP("IR",$AA14,N$5,$C$8)</f>
        <v>2.5649999999999999</v>
      </c>
      <c r="BC14" s="5" cm="1">
        <f t="array" aca="1" ref="BC14" ca="1">_xll.IMDP("IR",$AA14,O$5,$C$8)</f>
        <v>2.68</v>
      </c>
      <c r="BD14" s="5" cm="1">
        <f t="array" aca="1" ref="BD14" ca="1">_xll.IMDP("IR",$AA14,P$5,$C$8)</f>
        <v>2.7450000000000001</v>
      </c>
      <c r="BE14" s="5" cm="1">
        <f t="array" aca="1" ref="BE14" ca="1">_xll.IMDP("IR",$AA14,Q$5,$C$8)</f>
        <v>0</v>
      </c>
      <c r="BF14" s="5" cm="1">
        <f t="array" aca="1" ref="BF14" ca="1">_xll.IMDP("IR",$AA14,R$5,$C$8)</f>
        <v>0</v>
      </c>
      <c r="BG14" s="5" cm="1">
        <f t="array" aca="1" ref="BG14" ca="1">_xll.IMDP("IR",$AA14,S$5,$C$8)</f>
        <v>0</v>
      </c>
      <c r="BH14" s="5" cm="1">
        <f t="array" aca="1" ref="BH14" ca="1">_xll.IMDP("IR",$AA14,T$5,$C$8)</f>
        <v>0</v>
      </c>
    </row>
    <row r="15" spans="2:60" ht="13.5" customHeight="1" x14ac:dyDescent="0.3">
      <c r="B15" s="70" t="s">
        <v>631</v>
      </c>
      <c r="C15" s="22" t="s">
        <v>632</v>
      </c>
      <c r="D15" s="29" t="s">
        <v>633</v>
      </c>
      <c r="E15" s="30">
        <f t="shared" ca="1" si="2"/>
        <v>3.4129999999999998</v>
      </c>
      <c r="F15" s="30">
        <f t="shared" ca="1" si="1"/>
        <v>3.3410000000000002</v>
      </c>
      <c r="G15" s="30">
        <f t="shared" ca="1" si="1"/>
        <v>3.2559999999999998</v>
      </c>
      <c r="H15" s="30">
        <f t="shared" ca="1" si="1"/>
        <v>3.17</v>
      </c>
      <c r="I15" s="30">
        <f t="shared" ca="1" si="1"/>
        <v>3.1680000000000001</v>
      </c>
      <c r="J15" s="30">
        <f t="shared" ca="1" si="1"/>
        <v>3.1469999999999998</v>
      </c>
      <c r="K15" s="30">
        <f t="shared" ca="1" si="1"/>
        <v>3.113</v>
      </c>
      <c r="L15" s="30">
        <f t="shared" ca="1" si="1"/>
        <v>3.1259999999999999</v>
      </c>
      <c r="M15" s="30">
        <f t="shared" ca="1" si="1"/>
        <v>3.121</v>
      </c>
      <c r="N15" s="30">
        <f t="shared" ca="1" si="1"/>
        <v>3.109</v>
      </c>
      <c r="O15" s="30">
        <f t="shared" ca="1" si="1"/>
        <v>3.2869999999999999</v>
      </c>
      <c r="P15" s="30" t="str">
        <f t="shared" ca="1" si="1"/>
        <v/>
      </c>
      <c r="Q15" s="30" t="str">
        <f t="shared" ca="1" si="1"/>
        <v/>
      </c>
      <c r="R15" s="30" t="str">
        <f t="shared" ca="1" si="1"/>
        <v/>
      </c>
      <c r="S15" s="30" t="str">
        <f t="shared" ca="1" si="1"/>
        <v/>
      </c>
      <c r="T15" s="31" t="str">
        <f t="shared" ca="1" si="1"/>
        <v/>
      </c>
      <c r="U15" s="17"/>
      <c r="Z15" s="18">
        <f>ROWS($Z$11:Z15)</f>
        <v>5</v>
      </c>
      <c r="AA15" s="18" t="str" cm="1">
        <f t="array" ref="AA15">INDEX(code!$E$2:$K$72,시가평가Matrix!$Z15,$D$3)</f>
        <v>BONDAVG05</v>
      </c>
      <c r="AB15" s="19" cm="1">
        <f t="array" aca="1" ref="AB15" ca="1">IF( OR($AA15=0,AS15=0), "", _xll.IMDP("IR",$AA15,E$6,$C$8) )</f>
        <v>3.4129999999999998</v>
      </c>
      <c r="AC15" s="19" cm="1">
        <f t="array" aca="1" ref="AC15" ca="1">IF( OR($AA15=0,AT15=0), "", _xll.IMDP("IR",$AA15,F$6,$C$8) )</f>
        <v>3.3410000000000002</v>
      </c>
      <c r="AD15" s="19" cm="1">
        <f t="array" aca="1" ref="AD15" ca="1">IF( OR($AA15=0,AU15=0), "", _xll.IMDP("IR",$AA15,G$6,$C$8) )</f>
        <v>3.2559999999999998</v>
      </c>
      <c r="AE15" s="19" cm="1">
        <f t="array" aca="1" ref="AE15" ca="1">IF( OR($AA15=0,AV15=0), "", _xll.IMDP("IR",$AA15,H$6,$C$8) )</f>
        <v>3.17</v>
      </c>
      <c r="AF15" s="19" cm="1">
        <f t="array" aca="1" ref="AF15" ca="1">IF( OR($AA15=0,AW15=0), "", _xll.IMDP("IR",$AA15,I$6,$C$8) )</f>
        <v>3.1680000000000001</v>
      </c>
      <c r="AG15" s="19" cm="1">
        <f t="array" aca="1" ref="AG15" ca="1">IF( OR($AA15=0,AX15=0), "", _xll.IMDP("IR",$AA15,J$6,$C$8) )</f>
        <v>3.1469999999999998</v>
      </c>
      <c r="AH15" s="19" cm="1">
        <f t="array" aca="1" ref="AH15" ca="1">IF( OR($AA15=0,AY15=0), "", _xll.IMDP("IR",$AA15,K$6,$C$8) )</f>
        <v>3.113</v>
      </c>
      <c r="AI15" s="19" cm="1">
        <f t="array" aca="1" ref="AI15" ca="1">IF( OR($AA15=0,AZ15=0), "", _xll.IMDP("IR",$AA15,L$6,$C$8) )</f>
        <v>3.1259999999999999</v>
      </c>
      <c r="AJ15" s="19" cm="1">
        <f t="array" aca="1" ref="AJ15" ca="1">IF( OR($AA15=0,BA15=0), "", _xll.IMDP("IR",$AA15,M$6,$C$8) )</f>
        <v>3.121</v>
      </c>
      <c r="AK15" s="19" cm="1">
        <f t="array" aca="1" ref="AK15" ca="1">IF( OR($AA15=0,BB15=0), "", _xll.IMDP("IR",$AA15,N$6,$C$8) )</f>
        <v>3.109</v>
      </c>
      <c r="AL15" s="19" cm="1">
        <f t="array" aca="1" ref="AL15" ca="1">IF( OR($AA15=0,BC15=0), "", _xll.IMDP("IR",$AA15,O$6,$C$8) )</f>
        <v>3.2869999999999999</v>
      </c>
      <c r="AM15" s="19" t="str" cm="1">
        <f t="array" aca="1" ref="AM15" ca="1">IF( OR($AA15=0,BD15=0), "", _xll.IMDP("IR",$AA15,P$6,$C$8) )</f>
        <v/>
      </c>
      <c r="AN15" s="19" t="str" cm="1">
        <f t="array" aca="1" ref="AN15" ca="1">IF( OR($AA15=0,BE15=0), "", _xll.IMDP("IR",$AA15,Q$6,$C$8) )</f>
        <v/>
      </c>
      <c r="AO15" s="19" t="str" cm="1">
        <f t="array" aca="1" ref="AO15" ca="1">IF( OR($AA15=0,BF15=0), "", _xll.IMDP("IR",$AA15,R$6,$C$8) )</f>
        <v/>
      </c>
      <c r="AP15" s="19" t="str" cm="1">
        <f t="array" aca="1" ref="AP15" ca="1">IF( OR($AA15=0,BG15=0), "", _xll.IMDP("IR",$AA15,S$6,$C$8) )</f>
        <v/>
      </c>
      <c r="AQ15" s="19" t="str" cm="1">
        <f t="array" aca="1" ref="AQ15" ca="1">IF( OR($AA15=0,BH15=0), "", _xll.IMDP("IR",$AA15,T$6,$C$8) )</f>
        <v/>
      </c>
      <c r="AR15" s="5"/>
      <c r="AS15" s="20" cm="1">
        <f t="array" aca="1" ref="AS15" ca="1">_xll.IMDP("IR",$AA15,E$5,$C$8)</f>
        <v>3.4129999999999998</v>
      </c>
      <c r="AT15" s="5" cm="1">
        <f t="array" aca="1" ref="AT15" ca="1">_xll.IMDP("IR",$AA15,F$5,$C$8)</f>
        <v>3.3410000000000002</v>
      </c>
      <c r="AU15" s="5" cm="1">
        <f t="array" aca="1" ref="AU15" ca="1">_xll.IMDP("IR",$AA15,G$5,$C$8)</f>
        <v>3.2559999999999998</v>
      </c>
      <c r="AV15" s="5" cm="1">
        <f t="array" aca="1" ref="AV15" ca="1">_xll.IMDP("IR",$AA15,H$5,$C$8)</f>
        <v>3.17</v>
      </c>
      <c r="AW15" s="5" cm="1">
        <f t="array" aca="1" ref="AW15" ca="1">_xll.IMDP("IR",$AA15,I$5,$C$8)</f>
        <v>3.1680000000000001</v>
      </c>
      <c r="AX15" s="5" cm="1">
        <f t="array" aca="1" ref="AX15" ca="1">_xll.IMDP("IR",$AA15,J$5,$C$8)</f>
        <v>3.1469999999999998</v>
      </c>
      <c r="AY15" s="5" cm="1">
        <f t="array" aca="1" ref="AY15" ca="1">_xll.IMDP("IR",$AA15,K$5,$C$8)</f>
        <v>3.113</v>
      </c>
      <c r="AZ15" s="5" cm="1">
        <f t="array" aca="1" ref="AZ15" ca="1">_xll.IMDP("IR",$AA15,L$5,$C$8)</f>
        <v>3.1259999999999999</v>
      </c>
      <c r="BA15" s="5" cm="1">
        <f t="array" aca="1" ref="BA15" ca="1">_xll.IMDP("IR",$AA15,M$5,$C$8)</f>
        <v>3.121</v>
      </c>
      <c r="BB15" s="5" cm="1">
        <f t="array" aca="1" ref="BB15" ca="1">_xll.IMDP("IR",$AA15,N$5,$C$8)</f>
        <v>3.109</v>
      </c>
      <c r="BC15" s="5" cm="1">
        <f t="array" aca="1" ref="BC15" ca="1">_xll.IMDP("IR",$AA15,O$5,$C$8)</f>
        <v>3.2869999999999999</v>
      </c>
      <c r="BD15" s="5" cm="1">
        <f t="array" aca="1" ref="BD15" ca="1">_xll.IMDP("IR",$AA15,P$5,$C$8)</f>
        <v>0</v>
      </c>
      <c r="BE15" s="5" cm="1">
        <f t="array" aca="1" ref="BE15" ca="1">_xll.IMDP("IR",$AA15,Q$5,$C$8)</f>
        <v>0</v>
      </c>
      <c r="BF15" s="5" cm="1">
        <f t="array" aca="1" ref="BF15" ca="1">_xll.IMDP("IR",$AA15,R$5,$C$8)</f>
        <v>0</v>
      </c>
      <c r="BG15" s="5" cm="1">
        <f t="array" aca="1" ref="BG15" ca="1">_xll.IMDP("IR",$AA15,S$5,$C$8)</f>
        <v>0</v>
      </c>
      <c r="BH15" s="5" cm="1">
        <f t="array" aca="1" ref="BH15" ca="1">_xll.IMDP("IR",$AA15,T$5,$C$8)</f>
        <v>0</v>
      </c>
    </row>
    <row r="16" spans="2:60" ht="13.5" customHeight="1" x14ac:dyDescent="0.3">
      <c r="B16" s="70"/>
      <c r="C16" s="22" t="s">
        <v>634</v>
      </c>
      <c r="D16" s="26" t="s">
        <v>628</v>
      </c>
      <c r="E16" s="27">
        <f t="shared" ca="1" si="2"/>
        <v>3.4129999999999998</v>
      </c>
      <c r="F16" s="27">
        <f t="shared" ca="1" si="1"/>
        <v>3.3410000000000002</v>
      </c>
      <c r="G16" s="27">
        <f t="shared" ca="1" si="1"/>
        <v>3.2559999999999998</v>
      </c>
      <c r="H16" s="27">
        <f t="shared" ca="1" si="1"/>
        <v>3.17</v>
      </c>
      <c r="I16" s="27">
        <f t="shared" ca="1" si="1"/>
        <v>3.1680000000000001</v>
      </c>
      <c r="J16" s="27">
        <f t="shared" ca="1" si="1"/>
        <v>3.149</v>
      </c>
      <c r="K16" s="27">
        <f t="shared" ca="1" si="1"/>
        <v>3.113</v>
      </c>
      <c r="L16" s="27">
        <f t="shared" ca="1" si="1"/>
        <v>3.1259999999999999</v>
      </c>
      <c r="M16" s="27">
        <f t="shared" ca="1" si="1"/>
        <v>3.121</v>
      </c>
      <c r="N16" s="27">
        <f t="shared" ca="1" si="1"/>
        <v>3.109</v>
      </c>
      <c r="O16" s="27">
        <f t="shared" ca="1" si="1"/>
        <v>3.2869999999999999</v>
      </c>
      <c r="P16" s="27">
        <f t="shared" ca="1" si="1"/>
        <v>3.34</v>
      </c>
      <c r="Q16" s="27">
        <f t="shared" ca="1" si="1"/>
        <v>3.3090000000000002</v>
      </c>
      <c r="R16" s="27">
        <f t="shared" ca="1" si="1"/>
        <v>3.3849999999999998</v>
      </c>
      <c r="S16" s="27" t="str">
        <f t="shared" ca="1" si="1"/>
        <v/>
      </c>
      <c r="T16" s="28" t="str">
        <f t="shared" ca="1" si="1"/>
        <v/>
      </c>
      <c r="U16" s="17"/>
      <c r="Z16" s="18">
        <f>ROWS($Z$11:Z16)</f>
        <v>6</v>
      </c>
      <c r="AA16" s="18" t="str" cm="1">
        <f t="array" ref="AA16">INDEX(code!$E$2:$K$72,시가평가Matrix!$Z16,$D$3)</f>
        <v>BONDAVG06</v>
      </c>
      <c r="AB16" s="19" cm="1">
        <f t="array" aca="1" ref="AB16" ca="1">IF( OR($AA16=0,AS16=0), "", _xll.IMDP("IR",$AA16,E$6,$C$8) )</f>
        <v>3.4129999999999998</v>
      </c>
      <c r="AC16" s="19" cm="1">
        <f t="array" aca="1" ref="AC16" ca="1">IF( OR($AA16=0,AT16=0), "", _xll.IMDP("IR",$AA16,F$6,$C$8) )</f>
        <v>3.3410000000000002</v>
      </c>
      <c r="AD16" s="19" cm="1">
        <f t="array" aca="1" ref="AD16" ca="1">IF( OR($AA16=0,AU16=0), "", _xll.IMDP("IR",$AA16,G$6,$C$8) )</f>
        <v>3.2559999999999998</v>
      </c>
      <c r="AE16" s="19" cm="1">
        <f t="array" aca="1" ref="AE16" ca="1">IF( OR($AA16=0,AV16=0), "", _xll.IMDP("IR",$AA16,H$6,$C$8) )</f>
        <v>3.17</v>
      </c>
      <c r="AF16" s="19" cm="1">
        <f t="array" aca="1" ref="AF16" ca="1">IF( OR($AA16=0,AW16=0), "", _xll.IMDP("IR",$AA16,I$6,$C$8) )</f>
        <v>3.1680000000000001</v>
      </c>
      <c r="AG16" s="19" cm="1">
        <f t="array" aca="1" ref="AG16" ca="1">IF( OR($AA16=0,AX16=0), "", _xll.IMDP("IR",$AA16,J$6,$C$8) )</f>
        <v>3.149</v>
      </c>
      <c r="AH16" s="19" cm="1">
        <f t="array" aca="1" ref="AH16" ca="1">IF( OR($AA16=0,AY16=0), "", _xll.IMDP("IR",$AA16,K$6,$C$8) )</f>
        <v>3.113</v>
      </c>
      <c r="AI16" s="19" cm="1">
        <f t="array" aca="1" ref="AI16" ca="1">IF( OR($AA16=0,AZ16=0), "", _xll.IMDP("IR",$AA16,L$6,$C$8) )</f>
        <v>3.1259999999999999</v>
      </c>
      <c r="AJ16" s="19" cm="1">
        <f t="array" aca="1" ref="AJ16" ca="1">IF( OR($AA16=0,BA16=0), "", _xll.IMDP("IR",$AA16,M$6,$C$8) )</f>
        <v>3.121</v>
      </c>
      <c r="AK16" s="19" cm="1">
        <f t="array" aca="1" ref="AK16" ca="1">IF( OR($AA16=0,BB16=0), "", _xll.IMDP("IR",$AA16,N$6,$C$8) )</f>
        <v>3.109</v>
      </c>
      <c r="AL16" s="19" cm="1">
        <f t="array" aca="1" ref="AL16" ca="1">IF( OR($AA16=0,BC16=0), "", _xll.IMDP("IR",$AA16,O$6,$C$8) )</f>
        <v>3.2869999999999999</v>
      </c>
      <c r="AM16" s="19" cm="1">
        <f t="array" aca="1" ref="AM16" ca="1">IF( OR($AA16=0,BD16=0), "", _xll.IMDP("IR",$AA16,P$6,$C$8) )</f>
        <v>3.34</v>
      </c>
      <c r="AN16" s="19" cm="1">
        <f t="array" aca="1" ref="AN16" ca="1">IF( OR($AA16=0,BE16=0), "", _xll.IMDP("IR",$AA16,Q$6,$C$8) )</f>
        <v>3.3090000000000002</v>
      </c>
      <c r="AO16" s="19" cm="1">
        <f t="array" aca="1" ref="AO16" ca="1">IF( OR($AA16=0,BF16=0), "", _xll.IMDP("IR",$AA16,R$6,$C$8) )</f>
        <v>3.3849999999999998</v>
      </c>
      <c r="AP16" s="19" t="str" cm="1">
        <f t="array" aca="1" ref="AP16" ca="1">IF( OR($AA16=0,BG16=0), "", _xll.IMDP("IR",$AA16,S$6,$C$8) )</f>
        <v/>
      </c>
      <c r="AQ16" s="19" t="str" cm="1">
        <f t="array" aca="1" ref="AQ16" ca="1">IF( OR($AA16=0,BH16=0), "", _xll.IMDP("IR",$AA16,T$6,$C$8) )</f>
        <v/>
      </c>
      <c r="AR16" s="5"/>
      <c r="AS16" s="20" cm="1">
        <f t="array" aca="1" ref="AS16" ca="1">_xll.IMDP("IR",$AA16,E$5,$C$8)</f>
        <v>3.4129999999999998</v>
      </c>
      <c r="AT16" s="5" cm="1">
        <f t="array" aca="1" ref="AT16" ca="1">_xll.IMDP("IR",$AA16,F$5,$C$8)</f>
        <v>3.3410000000000002</v>
      </c>
      <c r="AU16" s="5" cm="1">
        <f t="array" aca="1" ref="AU16" ca="1">_xll.IMDP("IR",$AA16,G$5,$C$8)</f>
        <v>3.2559999999999998</v>
      </c>
      <c r="AV16" s="5" cm="1">
        <f t="array" aca="1" ref="AV16" ca="1">_xll.IMDP("IR",$AA16,H$5,$C$8)</f>
        <v>3.17</v>
      </c>
      <c r="AW16" s="5" cm="1">
        <f t="array" aca="1" ref="AW16" ca="1">_xll.IMDP("IR",$AA16,I$5,$C$8)</f>
        <v>3.1680000000000001</v>
      </c>
      <c r="AX16" s="5" cm="1">
        <f t="array" aca="1" ref="AX16" ca="1">_xll.IMDP("IR",$AA16,J$5,$C$8)</f>
        <v>3.149</v>
      </c>
      <c r="AY16" s="5" cm="1">
        <f t="array" aca="1" ref="AY16" ca="1">_xll.IMDP("IR",$AA16,K$5,$C$8)</f>
        <v>3.113</v>
      </c>
      <c r="AZ16" s="5" cm="1">
        <f t="array" aca="1" ref="AZ16" ca="1">_xll.IMDP("IR",$AA16,L$5,$C$8)</f>
        <v>3.1259999999999999</v>
      </c>
      <c r="BA16" s="5" cm="1">
        <f t="array" aca="1" ref="BA16" ca="1">_xll.IMDP("IR",$AA16,M$5,$C$8)</f>
        <v>3.121</v>
      </c>
      <c r="BB16" s="5" cm="1">
        <f t="array" aca="1" ref="BB16" ca="1">_xll.IMDP("IR",$AA16,N$5,$C$8)</f>
        <v>3.109</v>
      </c>
      <c r="BC16" s="5" cm="1">
        <f t="array" aca="1" ref="BC16" ca="1">_xll.IMDP("IR",$AA16,O$5,$C$8)</f>
        <v>3.2869999999999999</v>
      </c>
      <c r="BD16" s="5" cm="1">
        <f t="array" aca="1" ref="BD16" ca="1">_xll.IMDP("IR",$AA16,P$5,$C$8)</f>
        <v>3.34</v>
      </c>
      <c r="BE16" s="5" cm="1">
        <f t="array" aca="1" ref="BE16" ca="1">_xll.IMDP("IR",$AA16,Q$5,$C$8)</f>
        <v>3.3090000000000002</v>
      </c>
      <c r="BF16" s="5" cm="1">
        <f t="array" aca="1" ref="BF16" ca="1">_xll.IMDP("IR",$AA16,R$5,$C$8)</f>
        <v>3.3849999999999998</v>
      </c>
      <c r="BG16" s="5" cm="1">
        <f t="array" aca="1" ref="BG16" ca="1">_xll.IMDP("IR",$AA16,S$5,$C$8)</f>
        <v>0</v>
      </c>
      <c r="BH16" s="5" cm="1">
        <f t="array" aca="1" ref="BH16" ca="1">_xll.IMDP("IR",$AA16,T$5,$C$8)</f>
        <v>0</v>
      </c>
    </row>
    <row r="17" spans="2:60" ht="13.5" customHeight="1" x14ac:dyDescent="0.3">
      <c r="B17" s="70" t="s">
        <v>58</v>
      </c>
      <c r="C17" s="71" t="s">
        <v>58</v>
      </c>
      <c r="D17" s="29" t="s">
        <v>635</v>
      </c>
      <c r="E17" s="30">
        <f t="shared" ca="1" si="2"/>
        <v>3.3879999999999999</v>
      </c>
      <c r="F17" s="30">
        <f t="shared" ca="1" si="1"/>
        <v>3.3130000000000002</v>
      </c>
      <c r="G17" s="30">
        <f t="shared" ca="1" si="1"/>
        <v>3.2330000000000001</v>
      </c>
      <c r="H17" s="30">
        <f t="shared" ca="1" si="1"/>
        <v>3.1819999999999999</v>
      </c>
      <c r="I17" s="30">
        <f t="shared" ca="1" si="1"/>
        <v>3.1349999999999998</v>
      </c>
      <c r="J17" s="30">
        <f t="shared" ca="1" si="1"/>
        <v>3.121</v>
      </c>
      <c r="K17" s="30">
        <f t="shared" ca="1" si="1"/>
        <v>3.0870000000000002</v>
      </c>
      <c r="L17" s="30">
        <f t="shared" ca="1" si="1"/>
        <v>3.07</v>
      </c>
      <c r="M17" s="30">
        <f t="shared" ca="1" si="1"/>
        <v>3.0619999999999998</v>
      </c>
      <c r="N17" s="30">
        <f t="shared" ca="1" si="1"/>
        <v>3.0760000000000001</v>
      </c>
      <c r="O17" s="30">
        <f t="shared" ca="1" si="1"/>
        <v>3.081</v>
      </c>
      <c r="P17" s="30">
        <f t="shared" ca="1" si="1"/>
        <v>3.093</v>
      </c>
      <c r="Q17" s="30">
        <f t="shared" ca="1" si="1"/>
        <v>3.1059999999999999</v>
      </c>
      <c r="R17" s="30">
        <f t="shared" ca="1" si="1"/>
        <v>3.0790000000000002</v>
      </c>
      <c r="S17" s="30" t="str">
        <f t="shared" ca="1" si="1"/>
        <v/>
      </c>
      <c r="T17" s="31" t="str">
        <f t="shared" ca="1" si="1"/>
        <v/>
      </c>
      <c r="U17" s="17"/>
      <c r="Z17" s="18">
        <f>ROWS($Z$11:Z17)</f>
        <v>7</v>
      </c>
      <c r="AA17" s="18" t="str" cm="1">
        <f t="array" ref="AA17">INDEX(code!$E$2:$K$72,시가평가Matrix!$Z17,$D$3)</f>
        <v>BONDAVG13</v>
      </c>
      <c r="AB17" s="19" cm="1">
        <f t="array" aca="1" ref="AB17" ca="1">IF( OR($AA17=0,AS17=0), "", _xll.IMDP("IR",$AA17,E$6,$C$8) )</f>
        <v>3.3879999999999999</v>
      </c>
      <c r="AC17" s="19" cm="1">
        <f t="array" aca="1" ref="AC17" ca="1">IF( OR($AA17=0,AT17=0), "", _xll.IMDP("IR",$AA17,F$6,$C$8) )</f>
        <v>3.3130000000000002</v>
      </c>
      <c r="AD17" s="19" cm="1">
        <f t="array" aca="1" ref="AD17" ca="1">IF( OR($AA17=0,AU17=0), "", _xll.IMDP("IR",$AA17,G$6,$C$8) )</f>
        <v>3.2330000000000001</v>
      </c>
      <c r="AE17" s="19" cm="1">
        <f t="array" aca="1" ref="AE17" ca="1">IF( OR($AA17=0,AV17=0), "", _xll.IMDP("IR",$AA17,H$6,$C$8) )</f>
        <v>3.1819999999999999</v>
      </c>
      <c r="AF17" s="19" cm="1">
        <f t="array" aca="1" ref="AF17" ca="1">IF( OR($AA17=0,AW17=0), "", _xll.IMDP("IR",$AA17,I$6,$C$8) )</f>
        <v>3.1349999999999998</v>
      </c>
      <c r="AG17" s="19" cm="1">
        <f t="array" aca="1" ref="AG17" ca="1">IF( OR($AA17=0,AX17=0), "", _xll.IMDP("IR",$AA17,J$6,$C$8) )</f>
        <v>3.121</v>
      </c>
      <c r="AH17" s="19" cm="1">
        <f t="array" aca="1" ref="AH17" ca="1">IF( OR($AA17=0,AY17=0), "", _xll.IMDP("IR",$AA17,K$6,$C$8) )</f>
        <v>3.0870000000000002</v>
      </c>
      <c r="AI17" s="19" cm="1">
        <f t="array" aca="1" ref="AI17" ca="1">IF( OR($AA17=0,AZ17=0), "", _xll.IMDP("IR",$AA17,L$6,$C$8) )</f>
        <v>3.07</v>
      </c>
      <c r="AJ17" s="19" cm="1">
        <f t="array" aca="1" ref="AJ17" ca="1">IF( OR($AA17=0,BA17=0), "", _xll.IMDP("IR",$AA17,M$6,$C$8) )</f>
        <v>3.0619999999999998</v>
      </c>
      <c r="AK17" s="19" cm="1">
        <f t="array" aca="1" ref="AK17" ca="1">IF( OR($AA17=0,BB17=0), "", _xll.IMDP("IR",$AA17,N$6,$C$8) )</f>
        <v>3.0760000000000001</v>
      </c>
      <c r="AL17" s="19" cm="1">
        <f t="array" aca="1" ref="AL17" ca="1">IF( OR($AA17=0,BC17=0), "", _xll.IMDP("IR",$AA17,O$6,$C$8) )</f>
        <v>3.081</v>
      </c>
      <c r="AM17" s="19" cm="1">
        <f t="array" aca="1" ref="AM17" ca="1">IF( OR($AA17=0,BD17=0), "", _xll.IMDP("IR",$AA17,P$6,$C$8) )</f>
        <v>3.093</v>
      </c>
      <c r="AN17" s="19" cm="1">
        <f t="array" aca="1" ref="AN17" ca="1">IF( OR($AA17=0,BE17=0), "", _xll.IMDP("IR",$AA17,Q$6,$C$8) )</f>
        <v>3.1059999999999999</v>
      </c>
      <c r="AO17" s="19" cm="1">
        <f t="array" aca="1" ref="AO17" ca="1">IF( OR($AA17=0,BF17=0), "", _xll.IMDP("IR",$AA17,R$6,$C$8) )</f>
        <v>3.0790000000000002</v>
      </c>
      <c r="AP17" s="19" t="str" cm="1">
        <f t="array" aca="1" ref="AP17" ca="1">IF( OR($AA17=0,BG17=0), "", _xll.IMDP("IR",$AA17,S$6,$C$8) )</f>
        <v/>
      </c>
      <c r="AQ17" s="19" t="str" cm="1">
        <f t="array" aca="1" ref="AQ17" ca="1">IF( OR($AA17=0,BH17=0), "", _xll.IMDP("IR",$AA17,T$6,$C$8) )</f>
        <v/>
      </c>
      <c r="AR17" s="5"/>
      <c r="AS17" s="20" cm="1">
        <f t="array" aca="1" ref="AS17" ca="1">_xll.IMDP("IR",$AA17,E$5,$C$8)</f>
        <v>3.3879999999999999</v>
      </c>
      <c r="AT17" s="5" cm="1">
        <f t="array" aca="1" ref="AT17" ca="1">_xll.IMDP("IR",$AA17,F$5,$C$8)</f>
        <v>3.3130000000000002</v>
      </c>
      <c r="AU17" s="5" cm="1">
        <f t="array" aca="1" ref="AU17" ca="1">_xll.IMDP("IR",$AA17,G$5,$C$8)</f>
        <v>3.2330000000000001</v>
      </c>
      <c r="AV17" s="5" cm="1">
        <f t="array" aca="1" ref="AV17" ca="1">_xll.IMDP("IR",$AA17,H$5,$C$8)</f>
        <v>3.1819999999999999</v>
      </c>
      <c r="AW17" s="5" cm="1">
        <f t="array" aca="1" ref="AW17" ca="1">_xll.IMDP("IR",$AA17,I$5,$C$8)</f>
        <v>3.1349999999999998</v>
      </c>
      <c r="AX17" s="5" cm="1">
        <f t="array" aca="1" ref="AX17" ca="1">_xll.IMDP("IR",$AA17,J$5,$C$8)</f>
        <v>3.121</v>
      </c>
      <c r="AY17" s="5" cm="1">
        <f t="array" aca="1" ref="AY17" ca="1">_xll.IMDP("IR",$AA17,K$5,$C$8)</f>
        <v>3.0870000000000002</v>
      </c>
      <c r="AZ17" s="5" cm="1">
        <f t="array" aca="1" ref="AZ17" ca="1">_xll.IMDP("IR",$AA17,L$5,$C$8)</f>
        <v>3.07</v>
      </c>
      <c r="BA17" s="5" cm="1">
        <f t="array" aca="1" ref="BA17" ca="1">_xll.IMDP("IR",$AA17,M$5,$C$8)</f>
        <v>3.0619999999999998</v>
      </c>
      <c r="BB17" s="5" cm="1">
        <f t="array" aca="1" ref="BB17" ca="1">_xll.IMDP("IR",$AA17,N$5,$C$8)</f>
        <v>3.0760000000000001</v>
      </c>
      <c r="BC17" s="5" cm="1">
        <f t="array" aca="1" ref="BC17" ca="1">_xll.IMDP("IR",$AA17,O$5,$C$8)</f>
        <v>3.081</v>
      </c>
      <c r="BD17" s="5" cm="1">
        <f t="array" aca="1" ref="BD17" ca="1">_xll.IMDP("IR",$AA17,P$5,$C$8)</f>
        <v>3.093</v>
      </c>
      <c r="BE17" s="5" cm="1">
        <f t="array" aca="1" ref="BE17" ca="1">_xll.IMDP("IR",$AA17,Q$5,$C$8)</f>
        <v>3.1059999999999999</v>
      </c>
      <c r="BF17" s="5" cm="1">
        <f t="array" aca="1" ref="BF17" ca="1">_xll.IMDP("IR",$AA17,R$5,$C$8)</f>
        <v>3.0790000000000002</v>
      </c>
      <c r="BG17" s="5" cm="1">
        <f t="array" aca="1" ref="BG17" ca="1">_xll.IMDP("IR",$AA17,S$5,$C$8)</f>
        <v>0</v>
      </c>
      <c r="BH17" s="5" cm="1">
        <f t="array" aca="1" ref="BH17" ca="1">_xll.IMDP("IR",$AA17,T$5,$C$8)</f>
        <v>0</v>
      </c>
    </row>
    <row r="18" spans="2:60" ht="13.5" customHeight="1" x14ac:dyDescent="0.3">
      <c r="B18" s="70"/>
      <c r="C18" s="71"/>
      <c r="D18" s="23" t="s">
        <v>636</v>
      </c>
      <c r="E18" s="24">
        <f t="shared" ca="1" si="2"/>
        <v>3.3929999999999998</v>
      </c>
      <c r="F18" s="24">
        <f t="shared" ca="1" si="1"/>
        <v>3.3610000000000002</v>
      </c>
      <c r="G18" s="24">
        <f t="shared" ca="1" si="1"/>
        <v>3.298</v>
      </c>
      <c r="H18" s="24">
        <f t="shared" ca="1" si="1"/>
        <v>3.2589999999999999</v>
      </c>
      <c r="I18" s="24">
        <f t="shared" ca="1" si="1"/>
        <v>3.1970000000000001</v>
      </c>
      <c r="J18" s="24">
        <f t="shared" ca="1" si="1"/>
        <v>3.1859999999999999</v>
      </c>
      <c r="K18" s="24">
        <f t="shared" ca="1" si="1"/>
        <v>3.1560000000000001</v>
      </c>
      <c r="L18" s="24">
        <f t="shared" ca="1" si="1"/>
        <v>3.1539999999999999</v>
      </c>
      <c r="M18" s="24">
        <f t="shared" ca="1" si="1"/>
        <v>3.1459999999999999</v>
      </c>
      <c r="N18" s="24">
        <f t="shared" ca="1" si="1"/>
        <v>3.1459999999999999</v>
      </c>
      <c r="O18" s="24">
        <f t="shared" ca="1" si="1"/>
        <v>3.1429999999999998</v>
      </c>
      <c r="P18" s="24">
        <f t="shared" ca="1" si="1"/>
        <v>3.1579999999999999</v>
      </c>
      <c r="Q18" s="24">
        <f t="shared" ca="1" si="1"/>
        <v>3.1789999999999998</v>
      </c>
      <c r="R18" s="24">
        <f t="shared" ca="1" si="1"/>
        <v>3.153</v>
      </c>
      <c r="S18" s="24">
        <f t="shared" ca="1" si="1"/>
        <v>3.1680000000000001</v>
      </c>
      <c r="T18" s="25" t="str">
        <f t="shared" ca="1" si="1"/>
        <v/>
      </c>
      <c r="U18" s="17"/>
      <c r="Z18" s="18">
        <f>ROWS($Z$11:Z18)</f>
        <v>8</v>
      </c>
      <c r="AA18" s="18" t="str" cm="1">
        <f t="array" ref="AA18">INDEX(code!$E$2:$K$72,시가평가Matrix!$Z18,$D$3)</f>
        <v>BONDAVG09</v>
      </c>
      <c r="AB18" s="19" cm="1">
        <f t="array" aca="1" ref="AB18" ca="1">IF( OR($AA18=0,AS18=0), "", _xll.IMDP("IR",$AA18,E$6,$C$8) )</f>
        <v>3.3929999999999998</v>
      </c>
      <c r="AC18" s="19" cm="1">
        <f t="array" aca="1" ref="AC18" ca="1">IF( OR($AA18=0,AT18=0), "", _xll.IMDP("IR",$AA18,F$6,$C$8) )</f>
        <v>3.3610000000000002</v>
      </c>
      <c r="AD18" s="19" cm="1">
        <f t="array" aca="1" ref="AD18" ca="1">IF( OR($AA18=0,AU18=0), "", _xll.IMDP("IR",$AA18,G$6,$C$8) )</f>
        <v>3.298</v>
      </c>
      <c r="AE18" s="19" cm="1">
        <f t="array" aca="1" ref="AE18" ca="1">IF( OR($AA18=0,AV18=0), "", _xll.IMDP("IR",$AA18,H$6,$C$8) )</f>
        <v>3.2589999999999999</v>
      </c>
      <c r="AF18" s="19" cm="1">
        <f t="array" aca="1" ref="AF18" ca="1">IF( OR($AA18=0,AW18=0), "", _xll.IMDP("IR",$AA18,I$6,$C$8) )</f>
        <v>3.1970000000000001</v>
      </c>
      <c r="AG18" s="19" cm="1">
        <f t="array" aca="1" ref="AG18" ca="1">IF( OR($AA18=0,AX18=0), "", _xll.IMDP("IR",$AA18,J$6,$C$8) )</f>
        <v>3.1859999999999999</v>
      </c>
      <c r="AH18" s="19" cm="1">
        <f t="array" aca="1" ref="AH18" ca="1">IF( OR($AA18=0,AY18=0), "", _xll.IMDP("IR",$AA18,K$6,$C$8) )</f>
        <v>3.1560000000000001</v>
      </c>
      <c r="AI18" s="19" cm="1">
        <f t="array" aca="1" ref="AI18" ca="1">IF( OR($AA18=0,AZ18=0), "", _xll.IMDP("IR",$AA18,L$6,$C$8) )</f>
        <v>3.1539999999999999</v>
      </c>
      <c r="AJ18" s="19" cm="1">
        <f t="array" aca="1" ref="AJ18" ca="1">IF( OR($AA18=0,BA18=0), "", _xll.IMDP("IR",$AA18,M$6,$C$8) )</f>
        <v>3.1459999999999999</v>
      </c>
      <c r="AK18" s="19" cm="1">
        <f t="array" aca="1" ref="AK18" ca="1">IF( OR($AA18=0,BB18=0), "", _xll.IMDP("IR",$AA18,N$6,$C$8) )</f>
        <v>3.1459999999999999</v>
      </c>
      <c r="AL18" s="19" cm="1">
        <f t="array" aca="1" ref="AL18" ca="1">IF( OR($AA18=0,BC18=0), "", _xll.IMDP("IR",$AA18,O$6,$C$8) )</f>
        <v>3.1429999999999998</v>
      </c>
      <c r="AM18" s="19" cm="1">
        <f t="array" aca="1" ref="AM18" ca="1">IF( OR($AA18=0,BD18=0), "", _xll.IMDP("IR",$AA18,P$6,$C$8) )</f>
        <v>3.1579999999999999</v>
      </c>
      <c r="AN18" s="19" cm="1">
        <f t="array" aca="1" ref="AN18" ca="1">IF( OR($AA18=0,BE18=0), "", _xll.IMDP("IR",$AA18,Q$6,$C$8) )</f>
        <v>3.1789999999999998</v>
      </c>
      <c r="AO18" s="19" cm="1">
        <f t="array" aca="1" ref="AO18" ca="1">IF( OR($AA18=0,BF18=0), "", _xll.IMDP("IR",$AA18,R$6,$C$8) )</f>
        <v>3.153</v>
      </c>
      <c r="AP18" s="19" cm="1">
        <f t="array" aca="1" ref="AP18" ca="1">IF( OR($AA18=0,BG18=0), "", _xll.IMDP("IR",$AA18,S$6,$C$8) )</f>
        <v>3.1680000000000001</v>
      </c>
      <c r="AQ18" s="19" t="str" cm="1">
        <f t="array" aca="1" ref="AQ18" ca="1">IF( OR($AA18=0,BH18=0), "", _xll.IMDP("IR",$AA18,T$6,$C$8) )</f>
        <v/>
      </c>
      <c r="AR18" s="5"/>
      <c r="AS18" s="20" cm="1">
        <f t="array" aca="1" ref="AS18" ca="1">_xll.IMDP("IR",$AA18,E$5,$C$8)</f>
        <v>3.3929999999999998</v>
      </c>
      <c r="AT18" s="5" cm="1">
        <f t="array" aca="1" ref="AT18" ca="1">_xll.IMDP("IR",$AA18,F$5,$C$8)</f>
        <v>3.3610000000000002</v>
      </c>
      <c r="AU18" s="5" cm="1">
        <f t="array" aca="1" ref="AU18" ca="1">_xll.IMDP("IR",$AA18,G$5,$C$8)</f>
        <v>3.298</v>
      </c>
      <c r="AV18" s="5" cm="1">
        <f t="array" aca="1" ref="AV18" ca="1">_xll.IMDP("IR",$AA18,H$5,$C$8)</f>
        <v>3.2589999999999999</v>
      </c>
      <c r="AW18" s="5" cm="1">
        <f t="array" aca="1" ref="AW18" ca="1">_xll.IMDP("IR",$AA18,I$5,$C$8)</f>
        <v>3.1970000000000001</v>
      </c>
      <c r="AX18" s="5" cm="1">
        <f t="array" aca="1" ref="AX18" ca="1">_xll.IMDP("IR",$AA18,J$5,$C$8)</f>
        <v>3.1859999999999999</v>
      </c>
      <c r="AY18" s="5" cm="1">
        <f t="array" aca="1" ref="AY18" ca="1">_xll.IMDP("IR",$AA18,K$5,$C$8)</f>
        <v>3.1560000000000001</v>
      </c>
      <c r="AZ18" s="5" cm="1">
        <f t="array" aca="1" ref="AZ18" ca="1">_xll.IMDP("IR",$AA18,L$5,$C$8)</f>
        <v>3.1539999999999999</v>
      </c>
      <c r="BA18" s="5" cm="1">
        <f t="array" aca="1" ref="BA18" ca="1">_xll.IMDP("IR",$AA18,M$5,$C$8)</f>
        <v>3.1459999999999999</v>
      </c>
      <c r="BB18" s="5" cm="1">
        <f t="array" aca="1" ref="BB18" ca="1">_xll.IMDP("IR",$AA18,N$5,$C$8)</f>
        <v>3.1459999999999999</v>
      </c>
      <c r="BC18" s="5" cm="1">
        <f t="array" aca="1" ref="BC18" ca="1">_xll.IMDP("IR",$AA18,O$5,$C$8)</f>
        <v>3.1429999999999998</v>
      </c>
      <c r="BD18" s="5" cm="1">
        <f t="array" aca="1" ref="BD18" ca="1">_xll.IMDP("IR",$AA18,P$5,$C$8)</f>
        <v>3.1579999999999999</v>
      </c>
      <c r="BE18" s="5" cm="1">
        <f t="array" aca="1" ref="BE18" ca="1">_xll.IMDP("IR",$AA18,Q$5,$C$8)</f>
        <v>3.1789999999999998</v>
      </c>
      <c r="BF18" s="5" cm="1">
        <f t="array" aca="1" ref="BF18" ca="1">_xll.IMDP("IR",$AA18,R$5,$C$8)</f>
        <v>3.153</v>
      </c>
      <c r="BG18" s="5" cm="1">
        <f t="array" aca="1" ref="BG18" ca="1">_xll.IMDP("IR",$AA18,S$5,$C$8)</f>
        <v>3.1680000000000001</v>
      </c>
      <c r="BH18" s="5" cm="1">
        <f t="array" aca="1" ref="BH18" ca="1">_xll.IMDP("IR",$AA18,T$5,$C$8)</f>
        <v>0</v>
      </c>
    </row>
    <row r="19" spans="2:60" ht="13.5" customHeight="1" x14ac:dyDescent="0.3">
      <c r="B19" s="70"/>
      <c r="C19" s="71"/>
      <c r="D19" s="23" t="s">
        <v>637</v>
      </c>
      <c r="E19" s="24">
        <f t="shared" ca="1" si="2"/>
        <v>3.4180000000000001</v>
      </c>
      <c r="F19" s="24">
        <f t="shared" ca="1" si="1"/>
        <v>3.4079999999999999</v>
      </c>
      <c r="G19" s="24">
        <f t="shared" ca="1" si="1"/>
        <v>3.3559999999999999</v>
      </c>
      <c r="H19" s="24">
        <f t="shared" ca="1" si="1"/>
        <v>3.3090000000000002</v>
      </c>
      <c r="I19" s="24">
        <f t="shared" ca="1" si="1"/>
        <v>3.2789999999999999</v>
      </c>
      <c r="J19" s="24">
        <f t="shared" ca="1" si="1"/>
        <v>3.2869999999999999</v>
      </c>
      <c r="K19" s="24">
        <f t="shared" ca="1" si="1"/>
        <v>3.2549999999999999</v>
      </c>
      <c r="L19" s="24">
        <f t="shared" ca="1" si="1"/>
        <v>3.246</v>
      </c>
      <c r="M19" s="24">
        <f t="shared" ca="1" si="1"/>
        <v>3.258</v>
      </c>
      <c r="N19" s="24">
        <f t="shared" ca="1" si="1"/>
        <v>3.2690000000000001</v>
      </c>
      <c r="O19" s="24">
        <f t="shared" ca="1" si="1"/>
        <v>3.2930000000000001</v>
      </c>
      <c r="P19" s="24">
        <f t="shared" ca="1" si="1"/>
        <v>3.3439999999999999</v>
      </c>
      <c r="Q19" s="24">
        <f t="shared" ca="1" si="1"/>
        <v>3.3919999999999999</v>
      </c>
      <c r="R19" s="24">
        <f t="shared" ca="1" si="1"/>
        <v>3.399</v>
      </c>
      <c r="S19" s="24" t="str">
        <f t="shared" ca="1" si="1"/>
        <v/>
      </c>
      <c r="T19" s="25" t="str">
        <f t="shared" ca="1" si="1"/>
        <v/>
      </c>
      <c r="U19" s="17"/>
      <c r="Z19" s="18">
        <f>ROWS($Z$11:Z19)</f>
        <v>9</v>
      </c>
      <c r="AA19" s="18" t="str" cm="1">
        <f t="array" ref="AA19">INDEX(code!$E$2:$K$72,시가평가Matrix!$Z19,$D$3)</f>
        <v>BONDAVG10</v>
      </c>
      <c r="AB19" s="19" cm="1">
        <f t="array" aca="1" ref="AB19" ca="1">IF( OR($AA19=0,AS19=0), "", _xll.IMDP("IR",$AA19,E$6,$C$8) )</f>
        <v>3.4180000000000001</v>
      </c>
      <c r="AC19" s="19" cm="1">
        <f t="array" aca="1" ref="AC19" ca="1">IF( OR($AA19=0,AT19=0), "", _xll.IMDP("IR",$AA19,F$6,$C$8) )</f>
        <v>3.4079999999999999</v>
      </c>
      <c r="AD19" s="19" cm="1">
        <f t="array" aca="1" ref="AD19" ca="1">IF( OR($AA19=0,AU19=0), "", _xll.IMDP("IR",$AA19,G$6,$C$8) )</f>
        <v>3.3559999999999999</v>
      </c>
      <c r="AE19" s="19" cm="1">
        <f t="array" aca="1" ref="AE19" ca="1">IF( OR($AA19=0,AV19=0), "", _xll.IMDP("IR",$AA19,H$6,$C$8) )</f>
        <v>3.3090000000000002</v>
      </c>
      <c r="AF19" s="19" cm="1">
        <f t="array" aca="1" ref="AF19" ca="1">IF( OR($AA19=0,AW19=0), "", _xll.IMDP("IR",$AA19,I$6,$C$8) )</f>
        <v>3.2789999999999999</v>
      </c>
      <c r="AG19" s="19" cm="1">
        <f t="array" aca="1" ref="AG19" ca="1">IF( OR($AA19=0,AX19=0), "", _xll.IMDP("IR",$AA19,J$6,$C$8) )</f>
        <v>3.2869999999999999</v>
      </c>
      <c r="AH19" s="19" cm="1">
        <f t="array" aca="1" ref="AH19" ca="1">IF( OR($AA19=0,AY19=0), "", _xll.IMDP("IR",$AA19,K$6,$C$8) )</f>
        <v>3.2549999999999999</v>
      </c>
      <c r="AI19" s="19" cm="1">
        <f t="array" aca="1" ref="AI19" ca="1">IF( OR($AA19=0,AZ19=0), "", _xll.IMDP("IR",$AA19,L$6,$C$8) )</f>
        <v>3.246</v>
      </c>
      <c r="AJ19" s="19" cm="1">
        <f t="array" aca="1" ref="AJ19" ca="1">IF( OR($AA19=0,BA19=0), "", _xll.IMDP("IR",$AA19,M$6,$C$8) )</f>
        <v>3.258</v>
      </c>
      <c r="AK19" s="19" cm="1">
        <f t="array" aca="1" ref="AK19" ca="1">IF( OR($AA19=0,BB19=0), "", _xll.IMDP("IR",$AA19,N$6,$C$8) )</f>
        <v>3.2690000000000001</v>
      </c>
      <c r="AL19" s="19" cm="1">
        <f t="array" aca="1" ref="AL19" ca="1">IF( OR($AA19=0,BC19=0), "", _xll.IMDP("IR",$AA19,O$6,$C$8) )</f>
        <v>3.2930000000000001</v>
      </c>
      <c r="AM19" s="19" cm="1">
        <f t="array" aca="1" ref="AM19" ca="1">IF( OR($AA19=0,BD19=0), "", _xll.IMDP("IR",$AA19,P$6,$C$8) )</f>
        <v>3.3439999999999999</v>
      </c>
      <c r="AN19" s="19" cm="1">
        <f t="array" aca="1" ref="AN19" ca="1">IF( OR($AA19=0,BE19=0), "", _xll.IMDP("IR",$AA19,Q$6,$C$8) )</f>
        <v>3.3919999999999999</v>
      </c>
      <c r="AO19" s="19" cm="1">
        <f t="array" aca="1" ref="AO19" ca="1">IF( OR($AA19=0,BF19=0), "", _xll.IMDP("IR",$AA19,R$6,$C$8) )</f>
        <v>3.399</v>
      </c>
      <c r="AP19" s="19" t="str" cm="1">
        <f t="array" aca="1" ref="AP19" ca="1">IF( OR($AA19=0,BG19=0), "", _xll.IMDP("IR",$AA19,S$6,$C$8) )</f>
        <v/>
      </c>
      <c r="AQ19" s="19" t="str" cm="1">
        <f t="array" aca="1" ref="AQ19" ca="1">IF( OR($AA19=0,BH19=0), "", _xll.IMDP("IR",$AA19,T$6,$C$8) )</f>
        <v/>
      </c>
      <c r="AR19" s="5"/>
      <c r="AS19" s="20" cm="1">
        <f t="array" aca="1" ref="AS19" ca="1">_xll.IMDP("IR",$AA19,E$5,$C$8)</f>
        <v>3.4180000000000001</v>
      </c>
      <c r="AT19" s="5" cm="1">
        <f t="array" aca="1" ref="AT19" ca="1">_xll.IMDP("IR",$AA19,F$5,$C$8)</f>
        <v>3.4079999999999999</v>
      </c>
      <c r="AU19" s="5" cm="1">
        <f t="array" aca="1" ref="AU19" ca="1">_xll.IMDP("IR",$AA19,G$5,$C$8)</f>
        <v>3.3559999999999999</v>
      </c>
      <c r="AV19" s="5" cm="1">
        <f t="array" aca="1" ref="AV19" ca="1">_xll.IMDP("IR",$AA19,H$5,$C$8)</f>
        <v>3.3090000000000002</v>
      </c>
      <c r="AW19" s="5" cm="1">
        <f t="array" aca="1" ref="AW19" ca="1">_xll.IMDP("IR",$AA19,I$5,$C$8)</f>
        <v>3.2789999999999999</v>
      </c>
      <c r="AX19" s="5" cm="1">
        <f t="array" aca="1" ref="AX19" ca="1">_xll.IMDP("IR",$AA19,J$5,$C$8)</f>
        <v>3.2869999999999999</v>
      </c>
      <c r="AY19" s="5" cm="1">
        <f t="array" aca="1" ref="AY19" ca="1">_xll.IMDP("IR",$AA19,K$5,$C$8)</f>
        <v>3.2549999999999999</v>
      </c>
      <c r="AZ19" s="5" cm="1">
        <f t="array" aca="1" ref="AZ19" ca="1">_xll.IMDP("IR",$AA19,L$5,$C$8)</f>
        <v>3.246</v>
      </c>
      <c r="BA19" s="5" cm="1">
        <f t="array" aca="1" ref="BA19" ca="1">_xll.IMDP("IR",$AA19,M$5,$C$8)</f>
        <v>3.258</v>
      </c>
      <c r="BB19" s="5" cm="1">
        <f t="array" aca="1" ref="BB19" ca="1">_xll.IMDP("IR",$AA19,N$5,$C$8)</f>
        <v>3.2690000000000001</v>
      </c>
      <c r="BC19" s="5" cm="1">
        <f t="array" aca="1" ref="BC19" ca="1">_xll.IMDP("IR",$AA19,O$5,$C$8)</f>
        <v>3.2930000000000001</v>
      </c>
      <c r="BD19" s="5" cm="1">
        <f t="array" aca="1" ref="BD19" ca="1">_xll.IMDP("IR",$AA19,P$5,$C$8)</f>
        <v>3.3439999999999999</v>
      </c>
      <c r="BE19" s="5" cm="1">
        <f t="array" aca="1" ref="BE19" ca="1">_xll.IMDP("IR",$AA19,Q$5,$C$8)</f>
        <v>3.3919999999999999</v>
      </c>
      <c r="BF19" s="5" cm="1">
        <f t="array" aca="1" ref="BF19" ca="1">_xll.IMDP("IR",$AA19,R$5,$C$8)</f>
        <v>3.399</v>
      </c>
      <c r="BG19" s="5" cm="1">
        <f t="array" aca="1" ref="BG19" ca="1">_xll.IMDP("IR",$AA19,S$5,$C$8)</f>
        <v>0</v>
      </c>
      <c r="BH19" s="5" cm="1">
        <f t="array" aca="1" ref="BH19" ca="1">_xll.IMDP("IR",$AA19,T$5,$C$8)</f>
        <v>0</v>
      </c>
    </row>
    <row r="20" spans="2:60" ht="13.5" customHeight="1" x14ac:dyDescent="0.3">
      <c r="B20" s="70"/>
      <c r="C20" s="71"/>
      <c r="D20" s="23" t="s">
        <v>638</v>
      </c>
      <c r="E20" s="24">
        <f t="shared" ca="1" si="2"/>
        <v>3.4670000000000001</v>
      </c>
      <c r="F20" s="24">
        <f t="shared" ca="1" si="1"/>
        <v>3.4769999999999999</v>
      </c>
      <c r="G20" s="24">
        <f t="shared" ca="1" si="1"/>
        <v>3.4409999999999998</v>
      </c>
      <c r="H20" s="24">
        <f t="shared" ca="1" si="1"/>
        <v>3.41</v>
      </c>
      <c r="I20" s="24">
        <f t="shared" ca="1" si="1"/>
        <v>3.4039999999999999</v>
      </c>
      <c r="J20" s="24">
        <f t="shared" ca="1" si="1"/>
        <v>3.4119999999999999</v>
      </c>
      <c r="K20" s="24">
        <f t="shared" ca="1" si="1"/>
        <v>3.3889999999999998</v>
      </c>
      <c r="L20" s="24">
        <f t="shared" ca="1" si="1"/>
        <v>3.3980000000000001</v>
      </c>
      <c r="M20" s="24">
        <f t="shared" ca="1" si="1"/>
        <v>3.4020000000000001</v>
      </c>
      <c r="N20" s="24">
        <f t="shared" ca="1" si="1"/>
        <v>3.4140000000000001</v>
      </c>
      <c r="O20" s="24">
        <f t="shared" ca="1" si="1"/>
        <v>3.4350000000000001</v>
      </c>
      <c r="P20" s="24">
        <f t="shared" ca="1" si="1"/>
        <v>3.4910000000000001</v>
      </c>
      <c r="Q20" s="24">
        <f t="shared" ca="1" si="1"/>
        <v>3.5449999999999999</v>
      </c>
      <c r="R20" s="24">
        <f t="shared" ca="1" si="1"/>
        <v>3.5609999999999999</v>
      </c>
      <c r="S20" s="24" t="str">
        <f t="shared" ca="1" si="1"/>
        <v/>
      </c>
      <c r="T20" s="25" t="str">
        <f t="shared" ca="1" si="1"/>
        <v/>
      </c>
      <c r="U20" s="17"/>
      <c r="Z20" s="18">
        <f>ROWS($Z$11:Z20)</f>
        <v>10</v>
      </c>
      <c r="AA20" s="18" t="str" cm="1">
        <f t="array" ref="AA20">INDEX(code!$E$2:$K$72,시가평가Matrix!$Z20,$D$3)</f>
        <v>BONDAVG11</v>
      </c>
      <c r="AB20" s="19" cm="1">
        <f t="array" aca="1" ref="AB20" ca="1">IF( OR($AA20=0,AS20=0), "", _xll.IMDP("IR",$AA20,E$6,$C$8) )</f>
        <v>3.4670000000000001</v>
      </c>
      <c r="AC20" s="19" cm="1">
        <f t="array" aca="1" ref="AC20" ca="1">IF( OR($AA20=0,AT20=0), "", _xll.IMDP("IR",$AA20,F$6,$C$8) )</f>
        <v>3.4769999999999999</v>
      </c>
      <c r="AD20" s="19" cm="1">
        <f t="array" aca="1" ref="AD20" ca="1">IF( OR($AA20=0,AU20=0), "", _xll.IMDP("IR",$AA20,G$6,$C$8) )</f>
        <v>3.4409999999999998</v>
      </c>
      <c r="AE20" s="19" cm="1">
        <f t="array" aca="1" ref="AE20" ca="1">IF( OR($AA20=0,AV20=0), "", _xll.IMDP("IR",$AA20,H$6,$C$8) )</f>
        <v>3.41</v>
      </c>
      <c r="AF20" s="19" cm="1">
        <f t="array" aca="1" ref="AF20" ca="1">IF( OR($AA20=0,AW20=0), "", _xll.IMDP("IR",$AA20,I$6,$C$8) )</f>
        <v>3.4039999999999999</v>
      </c>
      <c r="AG20" s="19" cm="1">
        <f t="array" aca="1" ref="AG20" ca="1">IF( OR($AA20=0,AX20=0), "", _xll.IMDP("IR",$AA20,J$6,$C$8) )</f>
        <v>3.4119999999999999</v>
      </c>
      <c r="AH20" s="19" cm="1">
        <f t="array" aca="1" ref="AH20" ca="1">IF( OR($AA20=0,AY20=0), "", _xll.IMDP("IR",$AA20,K$6,$C$8) )</f>
        <v>3.3889999999999998</v>
      </c>
      <c r="AI20" s="19" cm="1">
        <f t="array" aca="1" ref="AI20" ca="1">IF( OR($AA20=0,AZ20=0), "", _xll.IMDP("IR",$AA20,L$6,$C$8) )</f>
        <v>3.3980000000000001</v>
      </c>
      <c r="AJ20" s="19" cm="1">
        <f t="array" aca="1" ref="AJ20" ca="1">IF( OR($AA20=0,BA20=0), "", _xll.IMDP("IR",$AA20,M$6,$C$8) )</f>
        <v>3.4020000000000001</v>
      </c>
      <c r="AK20" s="19" cm="1">
        <f t="array" aca="1" ref="AK20" ca="1">IF( OR($AA20=0,BB20=0), "", _xll.IMDP("IR",$AA20,N$6,$C$8) )</f>
        <v>3.4140000000000001</v>
      </c>
      <c r="AL20" s="19" cm="1">
        <f t="array" aca="1" ref="AL20" ca="1">IF( OR($AA20=0,BC20=0), "", _xll.IMDP("IR",$AA20,O$6,$C$8) )</f>
        <v>3.4350000000000001</v>
      </c>
      <c r="AM20" s="19" cm="1">
        <f t="array" aca="1" ref="AM20" ca="1">IF( OR($AA20=0,BD20=0), "", _xll.IMDP("IR",$AA20,P$6,$C$8) )</f>
        <v>3.4910000000000001</v>
      </c>
      <c r="AN20" s="19" cm="1">
        <f t="array" aca="1" ref="AN20" ca="1">IF( OR($AA20=0,BE20=0), "", _xll.IMDP("IR",$AA20,Q$6,$C$8) )</f>
        <v>3.5449999999999999</v>
      </c>
      <c r="AO20" s="19" cm="1">
        <f t="array" aca="1" ref="AO20" ca="1">IF( OR($AA20=0,BF20=0), "", _xll.IMDP("IR",$AA20,R$6,$C$8) )</f>
        <v>3.5609999999999999</v>
      </c>
      <c r="AP20" s="19" t="str" cm="1">
        <f t="array" aca="1" ref="AP20" ca="1">IF( OR($AA20=0,BG20=0), "", _xll.IMDP("IR",$AA20,S$6,$C$8) )</f>
        <v/>
      </c>
      <c r="AQ20" s="19" t="str" cm="1">
        <f t="array" aca="1" ref="AQ20" ca="1">IF( OR($AA20=0,BH20=0), "", _xll.IMDP("IR",$AA20,T$6,$C$8) )</f>
        <v/>
      </c>
      <c r="AR20" s="5"/>
      <c r="AS20" s="20" cm="1">
        <f t="array" aca="1" ref="AS20" ca="1">_xll.IMDP("IR",$AA20,E$5,$C$8)</f>
        <v>3.4670000000000001</v>
      </c>
      <c r="AT20" s="5" cm="1">
        <f t="array" aca="1" ref="AT20" ca="1">_xll.IMDP("IR",$AA20,F$5,$C$8)</f>
        <v>3.4769999999999999</v>
      </c>
      <c r="AU20" s="5" cm="1">
        <f t="array" aca="1" ref="AU20" ca="1">_xll.IMDP("IR",$AA20,G$5,$C$8)</f>
        <v>3.4409999999999998</v>
      </c>
      <c r="AV20" s="5" cm="1">
        <f t="array" aca="1" ref="AV20" ca="1">_xll.IMDP("IR",$AA20,H$5,$C$8)</f>
        <v>3.41</v>
      </c>
      <c r="AW20" s="5" cm="1">
        <f t="array" aca="1" ref="AW20" ca="1">_xll.IMDP("IR",$AA20,I$5,$C$8)</f>
        <v>3.4039999999999999</v>
      </c>
      <c r="AX20" s="5" cm="1">
        <f t="array" aca="1" ref="AX20" ca="1">_xll.IMDP("IR",$AA20,J$5,$C$8)</f>
        <v>3.4119999999999999</v>
      </c>
      <c r="AY20" s="5" cm="1">
        <f t="array" aca="1" ref="AY20" ca="1">_xll.IMDP("IR",$AA20,K$5,$C$8)</f>
        <v>3.3889999999999998</v>
      </c>
      <c r="AZ20" s="5" cm="1">
        <f t="array" aca="1" ref="AZ20" ca="1">_xll.IMDP("IR",$AA20,L$5,$C$8)</f>
        <v>3.3980000000000001</v>
      </c>
      <c r="BA20" s="5" cm="1">
        <f t="array" aca="1" ref="BA20" ca="1">_xll.IMDP("IR",$AA20,M$5,$C$8)</f>
        <v>3.4020000000000001</v>
      </c>
      <c r="BB20" s="5" cm="1">
        <f t="array" aca="1" ref="BB20" ca="1">_xll.IMDP("IR",$AA20,N$5,$C$8)</f>
        <v>3.4140000000000001</v>
      </c>
      <c r="BC20" s="5" cm="1">
        <f t="array" aca="1" ref="BC20" ca="1">_xll.IMDP("IR",$AA20,O$5,$C$8)</f>
        <v>3.4350000000000001</v>
      </c>
      <c r="BD20" s="5" cm="1">
        <f t="array" aca="1" ref="BD20" ca="1">_xll.IMDP("IR",$AA20,P$5,$C$8)</f>
        <v>3.4910000000000001</v>
      </c>
      <c r="BE20" s="5" cm="1">
        <f t="array" aca="1" ref="BE20" ca="1">_xll.IMDP("IR",$AA20,Q$5,$C$8)</f>
        <v>3.5449999999999999</v>
      </c>
      <c r="BF20" s="5" cm="1">
        <f t="array" aca="1" ref="BF20" ca="1">_xll.IMDP("IR",$AA20,R$5,$C$8)</f>
        <v>3.5609999999999999</v>
      </c>
      <c r="BG20" s="5" cm="1">
        <f t="array" aca="1" ref="BG20" ca="1">_xll.IMDP("IR",$AA20,S$5,$C$8)</f>
        <v>0</v>
      </c>
      <c r="BH20" s="5" cm="1">
        <f t="array" aca="1" ref="BH20" ca="1">_xll.IMDP("IR",$AA20,T$5,$C$8)</f>
        <v>0</v>
      </c>
    </row>
    <row r="21" spans="2:60" ht="13.5" customHeight="1" x14ac:dyDescent="0.3">
      <c r="B21" s="70"/>
      <c r="C21" s="71"/>
      <c r="D21" s="26" t="s">
        <v>639</v>
      </c>
      <c r="E21" s="27">
        <f t="shared" ca="1" si="2"/>
        <v>3.5819999999999999</v>
      </c>
      <c r="F21" s="27">
        <f t="shared" ca="1" si="1"/>
        <v>3.5990000000000002</v>
      </c>
      <c r="G21" s="27">
        <f t="shared" ca="1" si="1"/>
        <v>3.5739999999999998</v>
      </c>
      <c r="H21" s="27">
        <f t="shared" ca="1" si="1"/>
        <v>3.569</v>
      </c>
      <c r="I21" s="27">
        <f t="shared" ca="1" si="1"/>
        <v>3.544</v>
      </c>
      <c r="J21" s="27">
        <f t="shared" ca="1" si="1"/>
        <v>3.5529999999999999</v>
      </c>
      <c r="K21" s="27">
        <f t="shared" ca="1" si="1"/>
        <v>3.5270000000000001</v>
      </c>
      <c r="L21" s="27">
        <f t="shared" ca="1" si="1"/>
        <v>3.5339999999999998</v>
      </c>
      <c r="M21" s="27">
        <f t="shared" ca="1" si="1"/>
        <v>3.5339999999999998</v>
      </c>
      <c r="N21" s="27">
        <f t="shared" ca="1" si="1"/>
        <v>3.548</v>
      </c>
      <c r="O21" s="27">
        <f t="shared" ca="1" si="1"/>
        <v>3.5630000000000002</v>
      </c>
      <c r="P21" s="27">
        <f t="shared" ca="1" si="1"/>
        <v>3.609</v>
      </c>
      <c r="Q21" s="27">
        <f t="shared" ca="1" si="1"/>
        <v>3.661</v>
      </c>
      <c r="R21" s="27">
        <f t="shared" ca="1" si="1"/>
        <v>3.6749999999999998</v>
      </c>
      <c r="S21" s="27" t="str">
        <f t="shared" ca="1" si="1"/>
        <v/>
      </c>
      <c r="T21" s="28" t="str">
        <f t="shared" ca="1" si="1"/>
        <v/>
      </c>
      <c r="U21" s="17"/>
      <c r="Z21" s="18">
        <f>ROWS($Z$11:Z21)</f>
        <v>11</v>
      </c>
      <c r="AA21" s="18" t="str" cm="1">
        <f t="array" ref="AA21">INDEX(code!$E$2:$K$72,시가평가Matrix!$Z21,$D$3)</f>
        <v>BONDAVG12</v>
      </c>
      <c r="AB21" s="19" cm="1">
        <f t="array" aca="1" ref="AB21" ca="1">IF( OR($AA21=0,AS21=0), "", _xll.IMDP("IR",$AA21,E$6,$C$8) )</f>
        <v>3.5819999999999999</v>
      </c>
      <c r="AC21" s="19" cm="1">
        <f t="array" aca="1" ref="AC21" ca="1">IF( OR($AA21=0,AT21=0), "", _xll.IMDP("IR",$AA21,F$6,$C$8) )</f>
        <v>3.5990000000000002</v>
      </c>
      <c r="AD21" s="19" cm="1">
        <f t="array" aca="1" ref="AD21" ca="1">IF( OR($AA21=0,AU21=0), "", _xll.IMDP("IR",$AA21,G$6,$C$8) )</f>
        <v>3.5739999999999998</v>
      </c>
      <c r="AE21" s="19" cm="1">
        <f t="array" aca="1" ref="AE21" ca="1">IF( OR($AA21=0,AV21=0), "", _xll.IMDP("IR",$AA21,H$6,$C$8) )</f>
        <v>3.569</v>
      </c>
      <c r="AF21" s="19" cm="1">
        <f t="array" aca="1" ref="AF21" ca="1">IF( OR($AA21=0,AW21=0), "", _xll.IMDP("IR",$AA21,I$6,$C$8) )</f>
        <v>3.544</v>
      </c>
      <c r="AG21" s="19" cm="1">
        <f t="array" aca="1" ref="AG21" ca="1">IF( OR($AA21=0,AX21=0), "", _xll.IMDP("IR",$AA21,J$6,$C$8) )</f>
        <v>3.5529999999999999</v>
      </c>
      <c r="AH21" s="19" cm="1">
        <f t="array" aca="1" ref="AH21" ca="1">IF( OR($AA21=0,AY21=0), "", _xll.IMDP("IR",$AA21,K$6,$C$8) )</f>
        <v>3.5270000000000001</v>
      </c>
      <c r="AI21" s="19" cm="1">
        <f t="array" aca="1" ref="AI21" ca="1">IF( OR($AA21=0,AZ21=0), "", _xll.IMDP("IR",$AA21,L$6,$C$8) )</f>
        <v>3.5339999999999998</v>
      </c>
      <c r="AJ21" s="19" cm="1">
        <f t="array" aca="1" ref="AJ21" ca="1">IF( OR($AA21=0,BA21=0), "", _xll.IMDP("IR",$AA21,M$6,$C$8) )</f>
        <v>3.5339999999999998</v>
      </c>
      <c r="AK21" s="19" cm="1">
        <f t="array" aca="1" ref="AK21" ca="1">IF( OR($AA21=0,BB21=0), "", _xll.IMDP("IR",$AA21,N$6,$C$8) )</f>
        <v>3.548</v>
      </c>
      <c r="AL21" s="19" cm="1">
        <f t="array" aca="1" ref="AL21" ca="1">IF( OR($AA21=0,BC21=0), "", _xll.IMDP("IR",$AA21,O$6,$C$8) )</f>
        <v>3.5630000000000002</v>
      </c>
      <c r="AM21" s="19" cm="1">
        <f t="array" aca="1" ref="AM21" ca="1">IF( OR($AA21=0,BD21=0), "", _xll.IMDP("IR",$AA21,P$6,$C$8) )</f>
        <v>3.609</v>
      </c>
      <c r="AN21" s="19" cm="1">
        <f t="array" aca="1" ref="AN21" ca="1">IF( OR($AA21=0,BE21=0), "", _xll.IMDP("IR",$AA21,Q$6,$C$8) )</f>
        <v>3.661</v>
      </c>
      <c r="AO21" s="19" cm="1">
        <f t="array" aca="1" ref="AO21" ca="1">IF( OR($AA21=0,BF21=0), "", _xll.IMDP("IR",$AA21,R$6,$C$8) )</f>
        <v>3.6749999999999998</v>
      </c>
      <c r="AP21" s="19" t="str" cm="1">
        <f t="array" aca="1" ref="AP21" ca="1">IF( OR($AA21=0,BG21=0), "", _xll.IMDP("IR",$AA21,S$6,$C$8) )</f>
        <v/>
      </c>
      <c r="AQ21" s="19" t="str" cm="1">
        <f t="array" aca="1" ref="AQ21" ca="1">IF( OR($AA21=0,BH21=0), "", _xll.IMDP("IR",$AA21,T$6,$C$8) )</f>
        <v/>
      </c>
      <c r="AR21" s="5"/>
      <c r="AS21" s="20" cm="1">
        <f t="array" aca="1" ref="AS21" ca="1">_xll.IMDP("IR",$AA21,E$5,$C$8)</f>
        <v>3.5819999999999999</v>
      </c>
      <c r="AT21" s="5" cm="1">
        <f t="array" aca="1" ref="AT21" ca="1">_xll.IMDP("IR",$AA21,F$5,$C$8)</f>
        <v>3.5990000000000002</v>
      </c>
      <c r="AU21" s="5" cm="1">
        <f t="array" aca="1" ref="AU21" ca="1">_xll.IMDP("IR",$AA21,G$5,$C$8)</f>
        <v>3.5739999999999998</v>
      </c>
      <c r="AV21" s="5" cm="1">
        <f t="array" aca="1" ref="AV21" ca="1">_xll.IMDP("IR",$AA21,H$5,$C$8)</f>
        <v>3.569</v>
      </c>
      <c r="AW21" s="5" cm="1">
        <f t="array" aca="1" ref="AW21" ca="1">_xll.IMDP("IR",$AA21,I$5,$C$8)</f>
        <v>3.544</v>
      </c>
      <c r="AX21" s="5" cm="1">
        <f t="array" aca="1" ref="AX21" ca="1">_xll.IMDP("IR",$AA21,J$5,$C$8)</f>
        <v>3.5529999999999999</v>
      </c>
      <c r="AY21" s="5" cm="1">
        <f t="array" aca="1" ref="AY21" ca="1">_xll.IMDP("IR",$AA21,K$5,$C$8)</f>
        <v>3.5270000000000001</v>
      </c>
      <c r="AZ21" s="5" cm="1">
        <f t="array" aca="1" ref="AZ21" ca="1">_xll.IMDP("IR",$AA21,L$5,$C$8)</f>
        <v>3.5339999999999998</v>
      </c>
      <c r="BA21" s="5" cm="1">
        <f t="array" aca="1" ref="BA21" ca="1">_xll.IMDP("IR",$AA21,M$5,$C$8)</f>
        <v>3.5339999999999998</v>
      </c>
      <c r="BB21" s="5" cm="1">
        <f t="array" aca="1" ref="BB21" ca="1">_xll.IMDP("IR",$AA21,N$5,$C$8)</f>
        <v>3.548</v>
      </c>
      <c r="BC21" s="5" cm="1">
        <f t="array" aca="1" ref="BC21" ca="1">_xll.IMDP("IR",$AA21,O$5,$C$8)</f>
        <v>3.5630000000000002</v>
      </c>
      <c r="BD21" s="5" cm="1">
        <f t="array" aca="1" ref="BD21" ca="1">_xll.IMDP("IR",$AA21,P$5,$C$8)</f>
        <v>3.609</v>
      </c>
      <c r="BE21" s="5" cm="1">
        <f t="array" aca="1" ref="BE21" ca="1">_xll.IMDP("IR",$AA21,Q$5,$C$8)</f>
        <v>3.661</v>
      </c>
      <c r="BF21" s="5" cm="1">
        <f t="array" aca="1" ref="BF21" ca="1">_xll.IMDP("IR",$AA21,R$5,$C$8)</f>
        <v>3.6749999999999998</v>
      </c>
      <c r="BG21" s="5" cm="1">
        <f t="array" aca="1" ref="BG21" ca="1">_xll.IMDP("IR",$AA21,S$5,$C$8)</f>
        <v>0</v>
      </c>
      <c r="BH21" s="5" cm="1">
        <f t="array" aca="1" ref="BH21" ca="1">_xll.IMDP("IR",$AA21,T$5,$C$8)</f>
        <v>0</v>
      </c>
    </row>
    <row r="22" spans="2:60" ht="13.5" customHeight="1" x14ac:dyDescent="0.3">
      <c r="B22" s="70" t="s">
        <v>640</v>
      </c>
      <c r="C22" s="71" t="s">
        <v>640</v>
      </c>
      <c r="D22" s="29" t="s">
        <v>641</v>
      </c>
      <c r="E22" s="30">
        <f t="shared" ca="1" si="2"/>
        <v>3.2709999999999999</v>
      </c>
      <c r="F22" s="30">
        <f t="shared" ca="1" si="1"/>
        <v>3.169</v>
      </c>
      <c r="G22" s="30">
        <f t="shared" ca="1" si="1"/>
        <v>3.097</v>
      </c>
      <c r="H22" s="30">
        <f t="shared" ca="1" si="1"/>
        <v>3.0249999999999999</v>
      </c>
      <c r="I22" s="30">
        <f t="shared" ca="1" si="1"/>
        <v>3.0430000000000001</v>
      </c>
      <c r="J22" s="30">
        <f t="shared" ca="1" si="1"/>
        <v>2.9870000000000001</v>
      </c>
      <c r="K22" s="30">
        <f t="shared" ca="1" si="1"/>
        <v>2.9929999999999999</v>
      </c>
      <c r="L22" s="30">
        <f t="shared" ca="1" si="1"/>
        <v>2.9940000000000002</v>
      </c>
      <c r="M22" s="30" t="str">
        <f t="shared" ca="1" si="1"/>
        <v/>
      </c>
      <c r="N22" s="30" t="str">
        <f t="shared" ca="1" si="1"/>
        <v/>
      </c>
      <c r="O22" s="30" t="str">
        <f t="shared" ca="1" si="1"/>
        <v/>
      </c>
      <c r="P22" s="30" t="str">
        <f t="shared" ca="1" si="1"/>
        <v/>
      </c>
      <c r="Q22" s="30" t="str">
        <f t="shared" ca="1" si="1"/>
        <v/>
      </c>
      <c r="R22" s="30" t="str">
        <f t="shared" ca="1" si="1"/>
        <v/>
      </c>
      <c r="S22" s="30" t="str">
        <f t="shared" ca="1" si="1"/>
        <v/>
      </c>
      <c r="T22" s="31" t="str">
        <f t="shared" ca="1" si="1"/>
        <v/>
      </c>
      <c r="U22" s="17"/>
      <c r="Z22" s="18">
        <f>ROWS($Z$11:Z22)</f>
        <v>12</v>
      </c>
      <c r="AA22" s="18" t="str" cm="1">
        <f t="array" ref="AA22">INDEX(code!$E$2:$K$72,시가평가Matrix!$Z22,$D$3)</f>
        <v>BONDAVG14</v>
      </c>
      <c r="AB22" s="19" cm="1">
        <f t="array" aca="1" ref="AB22" ca="1">IF( OR($AA22=0,AS22=0), "", _xll.IMDP("IR",$AA22,E$6,$C$8) )</f>
        <v>3.2709999999999999</v>
      </c>
      <c r="AC22" s="19" cm="1">
        <f t="array" aca="1" ref="AC22" ca="1">IF( OR($AA22=0,AT22=0), "", _xll.IMDP("IR",$AA22,F$6,$C$8) )</f>
        <v>3.169</v>
      </c>
      <c r="AD22" s="19" cm="1">
        <f t="array" aca="1" ref="AD22" ca="1">IF( OR($AA22=0,AU22=0), "", _xll.IMDP("IR",$AA22,G$6,$C$8) )</f>
        <v>3.097</v>
      </c>
      <c r="AE22" s="19" cm="1">
        <f t="array" aca="1" ref="AE22" ca="1">IF( OR($AA22=0,AV22=0), "", _xll.IMDP("IR",$AA22,H$6,$C$8) )</f>
        <v>3.0249999999999999</v>
      </c>
      <c r="AF22" s="19" cm="1">
        <f t="array" aca="1" ref="AF22" ca="1">IF( OR($AA22=0,AW22=0), "", _xll.IMDP("IR",$AA22,I$6,$C$8) )</f>
        <v>3.0430000000000001</v>
      </c>
      <c r="AG22" s="19" cm="1">
        <f t="array" aca="1" ref="AG22" ca="1">IF( OR($AA22=0,AX22=0), "", _xll.IMDP("IR",$AA22,J$6,$C$8) )</f>
        <v>2.9870000000000001</v>
      </c>
      <c r="AH22" s="19" cm="1">
        <f t="array" aca="1" ref="AH22" ca="1">IF( OR($AA22=0,AY22=0), "", _xll.IMDP("IR",$AA22,K$6,$C$8) )</f>
        <v>2.9929999999999999</v>
      </c>
      <c r="AI22" s="19" cm="1">
        <f t="array" aca="1" ref="AI22" ca="1">IF( OR($AA22=0,AZ22=0), "", _xll.IMDP("IR",$AA22,L$6,$C$8) )</f>
        <v>2.9940000000000002</v>
      </c>
      <c r="AJ22" s="19" t="str" cm="1">
        <f t="array" aca="1" ref="AJ22" ca="1">IF( OR($AA22=0,BA22=0), "", _xll.IMDP("IR",$AA22,M$6,$C$8) )</f>
        <v/>
      </c>
      <c r="AK22" s="19" t="str" cm="1">
        <f t="array" aca="1" ref="AK22" ca="1">IF( OR($AA22=0,BB22=0), "", _xll.IMDP("IR",$AA22,N$6,$C$8) )</f>
        <v/>
      </c>
      <c r="AL22" s="19" t="str" cm="1">
        <f t="array" aca="1" ref="AL22" ca="1">IF( OR($AA22=0,BC22=0), "", _xll.IMDP("IR",$AA22,O$6,$C$8) )</f>
        <v/>
      </c>
      <c r="AM22" s="19" t="str" cm="1">
        <f t="array" aca="1" ref="AM22" ca="1">IF( OR($AA22=0,BD22=0), "", _xll.IMDP("IR",$AA22,P$6,$C$8) )</f>
        <v/>
      </c>
      <c r="AN22" s="19" t="str" cm="1">
        <f t="array" aca="1" ref="AN22" ca="1">IF( OR($AA22=0,BE22=0), "", _xll.IMDP("IR",$AA22,Q$6,$C$8) )</f>
        <v/>
      </c>
      <c r="AO22" s="19" t="str" cm="1">
        <f t="array" aca="1" ref="AO22" ca="1">IF( OR($AA22=0,BF22=0), "", _xll.IMDP("IR",$AA22,R$6,$C$8) )</f>
        <v/>
      </c>
      <c r="AP22" s="19" t="str" cm="1">
        <f t="array" aca="1" ref="AP22" ca="1">IF( OR($AA22=0,BG22=0), "", _xll.IMDP("IR",$AA22,S$6,$C$8) )</f>
        <v/>
      </c>
      <c r="AQ22" s="19" t="str" cm="1">
        <f t="array" aca="1" ref="AQ22" ca="1">IF( OR($AA22=0,BH22=0), "", _xll.IMDP("IR",$AA22,T$6,$C$8) )</f>
        <v/>
      </c>
      <c r="AR22" s="5"/>
      <c r="AS22" s="20" cm="1">
        <f t="array" aca="1" ref="AS22" ca="1">_xll.IMDP("IR",$AA22,E$5,$C$8)</f>
        <v>3.2709999999999999</v>
      </c>
      <c r="AT22" s="5" cm="1">
        <f t="array" aca="1" ref="AT22" ca="1">_xll.IMDP("IR",$AA22,F$5,$C$8)</f>
        <v>3.169</v>
      </c>
      <c r="AU22" s="5" cm="1">
        <f t="array" aca="1" ref="AU22" ca="1">_xll.IMDP("IR",$AA22,G$5,$C$8)</f>
        <v>3.097</v>
      </c>
      <c r="AV22" s="5" cm="1">
        <f t="array" aca="1" ref="AV22" ca="1">_xll.IMDP("IR",$AA22,H$5,$C$8)</f>
        <v>3.0249999999999999</v>
      </c>
      <c r="AW22" s="5" cm="1">
        <f t="array" aca="1" ref="AW22" ca="1">_xll.IMDP("IR",$AA22,I$5,$C$8)</f>
        <v>3.0430000000000001</v>
      </c>
      <c r="AX22" s="5" cm="1">
        <f t="array" aca="1" ref="AX22" ca="1">_xll.IMDP("IR",$AA22,J$5,$C$8)</f>
        <v>2.9870000000000001</v>
      </c>
      <c r="AY22" s="5" cm="1">
        <f t="array" aca="1" ref="AY22" ca="1">_xll.IMDP("IR",$AA22,K$5,$C$8)</f>
        <v>2.9929999999999999</v>
      </c>
      <c r="AZ22" s="5" cm="1">
        <f t="array" aca="1" ref="AZ22" ca="1">_xll.IMDP("IR",$AA22,L$5,$C$8)</f>
        <v>2.9940000000000002</v>
      </c>
      <c r="BA22" s="5" cm="1">
        <f t="array" aca="1" ref="BA22" ca="1">_xll.IMDP("IR",$AA22,M$5,$C$8)</f>
        <v>0</v>
      </c>
      <c r="BB22" s="5" cm="1">
        <f t="array" aca="1" ref="BB22" ca="1">_xll.IMDP("IR",$AA22,N$5,$C$8)</f>
        <v>0</v>
      </c>
      <c r="BC22" s="5" cm="1">
        <f t="array" aca="1" ref="BC22" ca="1">_xll.IMDP("IR",$AA22,O$5,$C$8)</f>
        <v>0</v>
      </c>
      <c r="BD22" s="5" cm="1">
        <f t="array" aca="1" ref="BD22" ca="1">_xll.IMDP("IR",$AA22,P$5,$C$8)</f>
        <v>0</v>
      </c>
      <c r="BE22" s="5" cm="1">
        <f t="array" aca="1" ref="BE22" ca="1">_xll.IMDP("IR",$AA22,Q$5,$C$8)</f>
        <v>0</v>
      </c>
      <c r="BF22" s="5" cm="1">
        <f t="array" aca="1" ref="BF22" ca="1">_xll.IMDP("IR",$AA22,R$5,$C$8)</f>
        <v>0</v>
      </c>
      <c r="BG22" s="5" cm="1">
        <f t="array" aca="1" ref="BG22" ca="1">_xll.IMDP("IR",$AA22,S$5,$C$8)</f>
        <v>0</v>
      </c>
      <c r="BH22" s="5" cm="1">
        <f t="array" aca="1" ref="BH22" ca="1">_xll.IMDP("IR",$AA22,T$5,$C$8)</f>
        <v>0</v>
      </c>
    </row>
    <row r="23" spans="2:60" ht="13.5" customHeight="1" x14ac:dyDescent="0.3">
      <c r="B23" s="70"/>
      <c r="C23" s="71"/>
      <c r="D23" s="26" t="s">
        <v>642</v>
      </c>
      <c r="E23" s="27">
        <f t="shared" ca="1" si="2"/>
        <v>3.2869999999999999</v>
      </c>
      <c r="F23" s="27">
        <f t="shared" ca="1" si="1"/>
        <v>3.1829999999999998</v>
      </c>
      <c r="G23" s="27">
        <f t="shared" ca="1" si="1"/>
        <v>3.1110000000000002</v>
      </c>
      <c r="H23" s="27">
        <f t="shared" ca="1" si="1"/>
        <v>3.0219999999999998</v>
      </c>
      <c r="I23" s="27">
        <f t="shared" ca="1" si="1"/>
        <v>3.048</v>
      </c>
      <c r="J23" s="27">
        <f t="shared" ca="1" si="1"/>
        <v>2.9940000000000002</v>
      </c>
      <c r="K23" s="27">
        <f t="shared" ca="1" si="1"/>
        <v>3.0019999999999998</v>
      </c>
      <c r="L23" s="27">
        <f t="shared" ca="1" si="1"/>
        <v>3.0030000000000001</v>
      </c>
      <c r="M23" s="27" t="str">
        <f t="shared" ca="1" si="1"/>
        <v/>
      </c>
      <c r="N23" s="27" t="str">
        <f t="shared" ca="1" si="1"/>
        <v/>
      </c>
      <c r="O23" s="27" t="str">
        <f t="shared" ca="1" si="1"/>
        <v/>
      </c>
      <c r="P23" s="27" t="str">
        <f t="shared" ca="1" si="1"/>
        <v/>
      </c>
      <c r="Q23" s="27" t="str">
        <f t="shared" ca="1" si="1"/>
        <v/>
      </c>
      <c r="R23" s="27" t="str">
        <f t="shared" ca="1" si="1"/>
        <v/>
      </c>
      <c r="S23" s="27" t="str">
        <f t="shared" ca="1" si="1"/>
        <v/>
      </c>
      <c r="T23" s="28" t="str">
        <f t="shared" ca="1" si="1"/>
        <v/>
      </c>
      <c r="U23" s="17"/>
      <c r="Z23" s="18">
        <f>ROWS($Z$11:Z23)</f>
        <v>13</v>
      </c>
      <c r="AA23" s="18" t="str" cm="1">
        <f t="array" ref="AA23">INDEX(code!$E$2:$K$72,시가평가Matrix!$Z23,$D$3)</f>
        <v>BONDAVG15</v>
      </c>
      <c r="AB23" s="19" cm="1">
        <f t="array" aca="1" ref="AB23" ca="1">IF( OR($AA23=0,AS23=0), "", _xll.IMDP("IR",$AA23,E$6,$C$8) )</f>
        <v>3.2869999999999999</v>
      </c>
      <c r="AC23" s="19" cm="1">
        <f t="array" aca="1" ref="AC23" ca="1">IF( OR($AA23=0,AT23=0), "", _xll.IMDP("IR",$AA23,F$6,$C$8) )</f>
        <v>3.1829999999999998</v>
      </c>
      <c r="AD23" s="19" cm="1">
        <f t="array" aca="1" ref="AD23" ca="1">IF( OR($AA23=0,AU23=0), "", _xll.IMDP("IR",$AA23,G$6,$C$8) )</f>
        <v>3.1110000000000002</v>
      </c>
      <c r="AE23" s="19" cm="1">
        <f t="array" aca="1" ref="AE23" ca="1">IF( OR($AA23=0,AV23=0), "", _xll.IMDP("IR",$AA23,H$6,$C$8) )</f>
        <v>3.0219999999999998</v>
      </c>
      <c r="AF23" s="19" cm="1">
        <f t="array" aca="1" ref="AF23" ca="1">IF( OR($AA23=0,AW23=0), "", _xll.IMDP("IR",$AA23,I$6,$C$8) )</f>
        <v>3.048</v>
      </c>
      <c r="AG23" s="19" cm="1">
        <f t="array" aca="1" ref="AG23" ca="1">IF( OR($AA23=0,AX23=0), "", _xll.IMDP("IR",$AA23,J$6,$C$8) )</f>
        <v>2.9940000000000002</v>
      </c>
      <c r="AH23" s="19" cm="1">
        <f t="array" aca="1" ref="AH23" ca="1">IF( OR($AA23=0,AY23=0), "", _xll.IMDP("IR",$AA23,K$6,$C$8) )</f>
        <v>3.0019999999999998</v>
      </c>
      <c r="AI23" s="19" cm="1">
        <f t="array" aca="1" ref="AI23" ca="1">IF( OR($AA23=0,AZ23=0), "", _xll.IMDP("IR",$AA23,L$6,$C$8) )</f>
        <v>3.0030000000000001</v>
      </c>
      <c r="AJ23" s="19" t="str" cm="1">
        <f t="array" aca="1" ref="AJ23" ca="1">IF( OR($AA23=0,BA23=0), "", _xll.IMDP("IR",$AA23,M$6,$C$8) )</f>
        <v/>
      </c>
      <c r="AK23" s="19" t="str" cm="1">
        <f t="array" aca="1" ref="AK23" ca="1">IF( OR($AA23=0,BB23=0), "", _xll.IMDP("IR",$AA23,N$6,$C$8) )</f>
        <v/>
      </c>
      <c r="AL23" s="19" t="str" cm="1">
        <f t="array" aca="1" ref="AL23" ca="1">IF( OR($AA23=0,BC23=0), "", _xll.IMDP("IR",$AA23,O$6,$C$8) )</f>
        <v/>
      </c>
      <c r="AM23" s="19" t="str" cm="1">
        <f t="array" aca="1" ref="AM23" ca="1">IF( OR($AA23=0,BD23=0), "", _xll.IMDP("IR",$AA23,P$6,$C$8) )</f>
        <v/>
      </c>
      <c r="AN23" s="19" t="str" cm="1">
        <f t="array" aca="1" ref="AN23" ca="1">IF( OR($AA23=0,BE23=0), "", _xll.IMDP("IR",$AA23,Q$6,$C$8) )</f>
        <v/>
      </c>
      <c r="AO23" s="19" t="str" cm="1">
        <f t="array" aca="1" ref="AO23" ca="1">IF( OR($AA23=0,BF23=0), "", _xll.IMDP("IR",$AA23,R$6,$C$8) )</f>
        <v/>
      </c>
      <c r="AP23" s="19" t="str" cm="1">
        <f t="array" aca="1" ref="AP23" ca="1">IF( OR($AA23=0,BG23=0), "", _xll.IMDP("IR",$AA23,S$6,$C$8) )</f>
        <v/>
      </c>
      <c r="AQ23" s="19" t="str" cm="1">
        <f t="array" aca="1" ref="AQ23" ca="1">IF( OR($AA23=0,BH23=0), "", _xll.IMDP("IR",$AA23,T$6,$C$8) )</f>
        <v/>
      </c>
      <c r="AR23" s="5"/>
      <c r="AS23" s="20" cm="1">
        <f t="array" aca="1" ref="AS23" ca="1">_xll.IMDP("IR",$AA23,E$5,$C$8)</f>
        <v>3.2869999999999999</v>
      </c>
      <c r="AT23" s="5" cm="1">
        <f t="array" aca="1" ref="AT23" ca="1">_xll.IMDP("IR",$AA23,F$5,$C$8)</f>
        <v>3.1829999999999998</v>
      </c>
      <c r="AU23" s="5" cm="1">
        <f t="array" aca="1" ref="AU23" ca="1">_xll.IMDP("IR",$AA23,G$5,$C$8)</f>
        <v>3.1110000000000002</v>
      </c>
      <c r="AV23" s="5" cm="1">
        <f t="array" aca="1" ref="AV23" ca="1">_xll.IMDP("IR",$AA23,H$5,$C$8)</f>
        <v>3.0219999999999998</v>
      </c>
      <c r="AW23" s="5" cm="1">
        <f t="array" aca="1" ref="AW23" ca="1">_xll.IMDP("IR",$AA23,I$5,$C$8)</f>
        <v>3.048</v>
      </c>
      <c r="AX23" s="5" cm="1">
        <f t="array" aca="1" ref="AX23" ca="1">_xll.IMDP("IR",$AA23,J$5,$C$8)</f>
        <v>2.9940000000000002</v>
      </c>
      <c r="AY23" s="5" cm="1">
        <f t="array" aca="1" ref="AY23" ca="1">_xll.IMDP("IR",$AA23,K$5,$C$8)</f>
        <v>3.0019999999999998</v>
      </c>
      <c r="AZ23" s="5" cm="1">
        <f t="array" aca="1" ref="AZ23" ca="1">_xll.IMDP("IR",$AA23,L$5,$C$8)</f>
        <v>3.0030000000000001</v>
      </c>
      <c r="BA23" s="5" cm="1">
        <f t="array" aca="1" ref="BA23" ca="1">_xll.IMDP("IR",$AA23,M$5,$C$8)</f>
        <v>0</v>
      </c>
      <c r="BB23" s="5" cm="1">
        <f t="array" aca="1" ref="BB23" ca="1">_xll.IMDP("IR",$AA23,N$5,$C$8)</f>
        <v>0</v>
      </c>
      <c r="BC23" s="5" cm="1">
        <f t="array" aca="1" ref="BC23" ca="1">_xll.IMDP("IR",$AA23,O$5,$C$8)</f>
        <v>0</v>
      </c>
      <c r="BD23" s="5" cm="1">
        <f t="array" aca="1" ref="BD23" ca="1">_xll.IMDP("IR",$AA23,P$5,$C$8)</f>
        <v>0</v>
      </c>
      <c r="BE23" s="5" cm="1">
        <f t="array" aca="1" ref="BE23" ca="1">_xll.IMDP("IR",$AA23,Q$5,$C$8)</f>
        <v>0</v>
      </c>
      <c r="BF23" s="5" cm="1">
        <f t="array" aca="1" ref="BF23" ca="1">_xll.IMDP("IR",$AA23,R$5,$C$8)</f>
        <v>0</v>
      </c>
      <c r="BG23" s="5" cm="1">
        <f t="array" aca="1" ref="BG23" ca="1">_xll.IMDP("IR",$AA23,S$5,$C$8)</f>
        <v>0</v>
      </c>
      <c r="BH23" s="5" cm="1">
        <f t="array" aca="1" ref="BH23" ca="1">_xll.IMDP("IR",$AA23,T$5,$C$8)</f>
        <v>0</v>
      </c>
    </row>
    <row r="24" spans="2:60" ht="13.5" customHeight="1" x14ac:dyDescent="0.3">
      <c r="B24" s="21" t="s">
        <v>117</v>
      </c>
      <c r="C24" s="32" t="s">
        <v>117</v>
      </c>
      <c r="D24" s="33" t="s">
        <v>68</v>
      </c>
      <c r="E24" s="34">
        <f t="shared" ca="1" si="2"/>
        <v>3.4249999999999998</v>
      </c>
      <c r="F24" s="34">
        <f t="shared" ca="1" si="1"/>
        <v>3.4060000000000001</v>
      </c>
      <c r="G24" s="34">
        <f t="shared" ca="1" si="1"/>
        <v>3.335</v>
      </c>
      <c r="H24" s="34">
        <f t="shared" ca="1" si="1"/>
        <v>3.294</v>
      </c>
      <c r="I24" s="34">
        <f t="shared" ca="1" si="1"/>
        <v>3.2519999999999998</v>
      </c>
      <c r="J24" s="34">
        <f t="shared" ca="1" si="1"/>
        <v>3.2130000000000001</v>
      </c>
      <c r="K24" s="34">
        <f t="shared" ca="1" si="1"/>
        <v>3.1859999999999999</v>
      </c>
      <c r="L24" s="34">
        <f t="shared" ca="1" si="1"/>
        <v>3.165</v>
      </c>
      <c r="M24" s="34">
        <f t="shared" ca="1" si="1"/>
        <v>3.161</v>
      </c>
      <c r="N24" s="34">
        <f t="shared" ca="1" si="1"/>
        <v>3.161</v>
      </c>
      <c r="O24" s="34">
        <f t="shared" ca="1" si="1"/>
        <v>3.29</v>
      </c>
      <c r="P24" s="34">
        <f t="shared" ca="1" si="1"/>
        <v>3.5049999999999999</v>
      </c>
      <c r="Q24" s="34">
        <f t="shared" ca="1" si="1"/>
        <v>3.621</v>
      </c>
      <c r="R24" s="34">
        <f t="shared" ca="1" si="1"/>
        <v>3.6819999999999999</v>
      </c>
      <c r="S24" s="34" t="str">
        <f t="shared" ca="1" si="1"/>
        <v/>
      </c>
      <c r="T24" s="35" t="str">
        <f t="shared" ca="1" si="1"/>
        <v/>
      </c>
      <c r="U24" s="17"/>
      <c r="Z24" s="18">
        <f>ROWS($Z$11:Z24)</f>
        <v>14</v>
      </c>
      <c r="AA24" s="18" t="str" cm="1">
        <f t="array" ref="AA24">INDEX(code!$E$2:$K$72,시가평가Matrix!$Z24,$D$3)</f>
        <v>BONDAVG84</v>
      </c>
      <c r="AB24" s="19" cm="1">
        <f t="array" aca="1" ref="AB24" ca="1">IF( OR($AA24=0,AS24=0), "", _xll.IMDP("IR",$AA24,E$6,$C$8) )</f>
        <v>3.4249999999999998</v>
      </c>
      <c r="AC24" s="19" cm="1">
        <f t="array" aca="1" ref="AC24" ca="1">IF( OR($AA24=0,AT24=0), "", _xll.IMDP("IR",$AA24,F$6,$C$8) )</f>
        <v>3.4060000000000001</v>
      </c>
      <c r="AD24" s="19" cm="1">
        <f t="array" aca="1" ref="AD24" ca="1">IF( OR($AA24=0,AU24=0), "", _xll.IMDP("IR",$AA24,G$6,$C$8) )</f>
        <v>3.335</v>
      </c>
      <c r="AE24" s="19" cm="1">
        <f t="array" aca="1" ref="AE24" ca="1">IF( OR($AA24=0,AV24=0), "", _xll.IMDP("IR",$AA24,H$6,$C$8) )</f>
        <v>3.294</v>
      </c>
      <c r="AF24" s="19" cm="1">
        <f t="array" aca="1" ref="AF24" ca="1">IF( OR($AA24=0,AW24=0), "", _xll.IMDP("IR",$AA24,I$6,$C$8) )</f>
        <v>3.2519999999999998</v>
      </c>
      <c r="AG24" s="19" cm="1">
        <f t="array" aca="1" ref="AG24" ca="1">IF( OR($AA24=0,AX24=0), "", _xll.IMDP("IR",$AA24,J$6,$C$8) )</f>
        <v>3.2130000000000001</v>
      </c>
      <c r="AH24" s="19" cm="1">
        <f t="array" aca="1" ref="AH24" ca="1">IF( OR($AA24=0,AY24=0), "", _xll.IMDP("IR",$AA24,K$6,$C$8) )</f>
        <v>3.1859999999999999</v>
      </c>
      <c r="AI24" s="19" cm="1">
        <f t="array" aca="1" ref="AI24" ca="1">IF( OR($AA24=0,AZ24=0), "", _xll.IMDP("IR",$AA24,L$6,$C$8) )</f>
        <v>3.165</v>
      </c>
      <c r="AJ24" s="19" cm="1">
        <f t="array" aca="1" ref="AJ24" ca="1">IF( OR($AA24=0,BA24=0), "", _xll.IMDP("IR",$AA24,M$6,$C$8) )</f>
        <v>3.161</v>
      </c>
      <c r="AK24" s="19" cm="1">
        <f t="array" aca="1" ref="AK24" ca="1">IF( OR($AA24=0,BB24=0), "", _xll.IMDP("IR",$AA24,N$6,$C$8) )</f>
        <v>3.161</v>
      </c>
      <c r="AL24" s="19" cm="1">
        <f t="array" aca="1" ref="AL24" ca="1">IF( OR($AA24=0,BC24=0), "", _xll.IMDP("IR",$AA24,O$6,$C$8) )</f>
        <v>3.29</v>
      </c>
      <c r="AM24" s="19" cm="1">
        <f t="array" aca="1" ref="AM24" ca="1">IF( OR($AA24=0,BD24=0), "", _xll.IMDP("IR",$AA24,P$6,$C$8) )</f>
        <v>3.5049999999999999</v>
      </c>
      <c r="AN24" s="19" cm="1">
        <f t="array" aca="1" ref="AN24" ca="1">IF( OR($AA24=0,BE24=0), "", _xll.IMDP("IR",$AA24,Q$6,$C$8) )</f>
        <v>3.621</v>
      </c>
      <c r="AO24" s="19" cm="1">
        <f t="array" aca="1" ref="AO24" ca="1">IF( OR($AA24=0,BF24=0), "", _xll.IMDP("IR",$AA24,R$6,$C$8) )</f>
        <v>3.6819999999999999</v>
      </c>
      <c r="AP24" s="19" t="str" cm="1">
        <f t="array" aca="1" ref="AP24" ca="1">IF( OR($AA24=0,BG24=0), "", _xll.IMDP("IR",$AA24,S$6,$C$8) )</f>
        <v/>
      </c>
      <c r="AQ24" s="19" t="str" cm="1">
        <f t="array" aca="1" ref="AQ24" ca="1">IF( OR($AA24=0,BH24=0), "", _xll.IMDP("IR",$AA24,T$6,$C$8) )</f>
        <v/>
      </c>
      <c r="AR24" s="5"/>
      <c r="AS24" s="20" cm="1">
        <f t="array" aca="1" ref="AS24" ca="1">_xll.IMDP("IR",$AA24,E$5,$C$8)</f>
        <v>3.4249999999999998</v>
      </c>
      <c r="AT24" s="5" cm="1">
        <f t="array" aca="1" ref="AT24" ca="1">_xll.IMDP("IR",$AA24,F$5,$C$8)</f>
        <v>3.4060000000000001</v>
      </c>
      <c r="AU24" s="5" cm="1">
        <f t="array" aca="1" ref="AU24" ca="1">_xll.IMDP("IR",$AA24,G$5,$C$8)</f>
        <v>3.335</v>
      </c>
      <c r="AV24" s="5" cm="1">
        <f t="array" aca="1" ref="AV24" ca="1">_xll.IMDP("IR",$AA24,H$5,$C$8)</f>
        <v>3.294</v>
      </c>
      <c r="AW24" s="5" cm="1">
        <f t="array" aca="1" ref="AW24" ca="1">_xll.IMDP("IR",$AA24,I$5,$C$8)</f>
        <v>3.2519999999999998</v>
      </c>
      <c r="AX24" s="5" cm="1">
        <f t="array" aca="1" ref="AX24" ca="1">_xll.IMDP("IR",$AA24,J$5,$C$8)</f>
        <v>3.2130000000000001</v>
      </c>
      <c r="AY24" s="5" cm="1">
        <f t="array" aca="1" ref="AY24" ca="1">_xll.IMDP("IR",$AA24,K$5,$C$8)</f>
        <v>3.1859999999999999</v>
      </c>
      <c r="AZ24" s="5" cm="1">
        <f t="array" aca="1" ref="AZ24" ca="1">_xll.IMDP("IR",$AA24,L$5,$C$8)</f>
        <v>3.165</v>
      </c>
      <c r="BA24" s="5" cm="1">
        <f t="array" aca="1" ref="BA24" ca="1">_xll.IMDP("IR",$AA24,M$5,$C$8)</f>
        <v>3.161</v>
      </c>
      <c r="BB24" s="5" cm="1">
        <f t="array" aca="1" ref="BB24" ca="1">_xll.IMDP("IR",$AA24,N$5,$C$8)</f>
        <v>3.161</v>
      </c>
      <c r="BC24" s="5" cm="1">
        <f t="array" aca="1" ref="BC24" ca="1">_xll.IMDP("IR",$AA24,O$5,$C$8)</f>
        <v>3.29</v>
      </c>
      <c r="BD24" s="5" cm="1">
        <f t="array" aca="1" ref="BD24" ca="1">_xll.IMDP("IR",$AA24,P$5,$C$8)</f>
        <v>3.5049999999999999</v>
      </c>
      <c r="BE24" s="5" cm="1">
        <f t="array" aca="1" ref="BE24" ca="1">_xll.IMDP("IR",$AA24,Q$5,$C$8)</f>
        <v>3.621</v>
      </c>
      <c r="BF24" s="5" cm="1">
        <f t="array" aca="1" ref="BF24" ca="1">_xll.IMDP("IR",$AA24,R$5,$C$8)</f>
        <v>3.6819999999999999</v>
      </c>
      <c r="BG24" s="5" cm="1">
        <f t="array" aca="1" ref="BG24" ca="1">_xll.IMDP("IR",$AA24,S$5,$C$8)</f>
        <v>0</v>
      </c>
      <c r="BH24" s="5" cm="1">
        <f t="array" aca="1" ref="BH24" ca="1">_xll.IMDP("IR",$AA24,T$5,$C$8)</f>
        <v>0</v>
      </c>
    </row>
    <row r="25" spans="2:60" ht="13.5" customHeight="1" x14ac:dyDescent="0.3">
      <c r="B25" s="70" t="s">
        <v>643</v>
      </c>
      <c r="C25" s="71" t="s">
        <v>644</v>
      </c>
      <c r="D25" s="29" t="s">
        <v>127</v>
      </c>
      <c r="E25" s="30">
        <f t="shared" ca="1" si="2"/>
        <v>3.4180000000000001</v>
      </c>
      <c r="F25" s="30">
        <f t="shared" ca="1" si="1"/>
        <v>3.3929999999999998</v>
      </c>
      <c r="G25" s="30">
        <f t="shared" ca="1" si="1"/>
        <v>3.323</v>
      </c>
      <c r="H25" s="30">
        <f t="shared" ca="1" si="1"/>
        <v>3.2839999999999998</v>
      </c>
      <c r="I25" s="30">
        <f t="shared" ca="1" si="1"/>
        <v>3.2360000000000002</v>
      </c>
      <c r="J25" s="30">
        <f t="shared" ca="1" si="1"/>
        <v>3.1850000000000001</v>
      </c>
      <c r="K25" s="30">
        <f t="shared" ca="1" si="1"/>
        <v>3.1269999999999998</v>
      </c>
      <c r="L25" s="30">
        <f t="shared" ca="1" si="1"/>
        <v>3.093</v>
      </c>
      <c r="M25" s="30">
        <f t="shared" ca="1" si="1"/>
        <v>3.0739999999999998</v>
      </c>
      <c r="N25" s="30">
        <f t="shared" ca="1" si="1"/>
        <v>3.0870000000000002</v>
      </c>
      <c r="O25" s="30">
        <f t="shared" ca="1" si="1"/>
        <v>3.238</v>
      </c>
      <c r="P25" s="30">
        <f t="shared" ca="1" si="1"/>
        <v>3.4769999999999999</v>
      </c>
      <c r="Q25" s="30">
        <f t="shared" ca="1" si="1"/>
        <v>3.5779999999999998</v>
      </c>
      <c r="R25" s="30">
        <f t="shared" ca="1" si="1"/>
        <v>3.6379999999999999</v>
      </c>
      <c r="S25" s="30" t="str">
        <f t="shared" ca="1" si="1"/>
        <v/>
      </c>
      <c r="T25" s="31" t="str">
        <f t="shared" ca="1" si="1"/>
        <v/>
      </c>
      <c r="U25" s="17"/>
      <c r="Z25" s="18">
        <f>ROWS($Z$11:Z25)</f>
        <v>15</v>
      </c>
      <c r="AA25" s="18" t="str" cm="1">
        <f t="array" ref="AA25">INDEX(code!$E$2:$K$72,시가평가Matrix!$Z25,$D$3)</f>
        <v>BONDAVG16</v>
      </c>
      <c r="AB25" s="19" cm="1">
        <f t="array" aca="1" ref="AB25" ca="1">IF( OR($AA25=0,AS25=0), "", _xll.IMDP("IR",$AA25,E$6,$C$8) )</f>
        <v>3.4180000000000001</v>
      </c>
      <c r="AC25" s="19" cm="1">
        <f t="array" aca="1" ref="AC25" ca="1">IF( OR($AA25=0,AT25=0), "", _xll.IMDP("IR",$AA25,F$6,$C$8) )</f>
        <v>3.3929999999999998</v>
      </c>
      <c r="AD25" s="19" cm="1">
        <f t="array" aca="1" ref="AD25" ca="1">IF( OR($AA25=0,AU25=0), "", _xll.IMDP("IR",$AA25,G$6,$C$8) )</f>
        <v>3.323</v>
      </c>
      <c r="AE25" s="19" cm="1">
        <f t="array" aca="1" ref="AE25" ca="1">IF( OR($AA25=0,AV25=0), "", _xll.IMDP("IR",$AA25,H$6,$C$8) )</f>
        <v>3.2839999999999998</v>
      </c>
      <c r="AF25" s="19" cm="1">
        <f t="array" aca="1" ref="AF25" ca="1">IF( OR($AA25=0,AW25=0), "", _xll.IMDP("IR",$AA25,I$6,$C$8) )</f>
        <v>3.2360000000000002</v>
      </c>
      <c r="AG25" s="19" cm="1">
        <f t="array" aca="1" ref="AG25" ca="1">IF( OR($AA25=0,AX25=0), "", _xll.IMDP("IR",$AA25,J$6,$C$8) )</f>
        <v>3.1850000000000001</v>
      </c>
      <c r="AH25" s="19" cm="1">
        <f t="array" aca="1" ref="AH25" ca="1">IF( OR($AA25=0,AY25=0), "", _xll.IMDP("IR",$AA25,K$6,$C$8) )</f>
        <v>3.1269999999999998</v>
      </c>
      <c r="AI25" s="19" cm="1">
        <f t="array" aca="1" ref="AI25" ca="1">IF( OR($AA25=0,AZ25=0), "", _xll.IMDP("IR",$AA25,L$6,$C$8) )</f>
        <v>3.093</v>
      </c>
      <c r="AJ25" s="19" cm="1">
        <f t="array" aca="1" ref="AJ25" ca="1">IF( OR($AA25=0,BA25=0), "", _xll.IMDP("IR",$AA25,M$6,$C$8) )</f>
        <v>3.0739999999999998</v>
      </c>
      <c r="AK25" s="19" cm="1">
        <f t="array" aca="1" ref="AK25" ca="1">IF( OR($AA25=0,BB25=0), "", _xll.IMDP("IR",$AA25,N$6,$C$8) )</f>
        <v>3.0870000000000002</v>
      </c>
      <c r="AL25" s="19" cm="1">
        <f t="array" aca="1" ref="AL25" ca="1">IF( OR($AA25=0,BC25=0), "", _xll.IMDP("IR",$AA25,O$6,$C$8) )</f>
        <v>3.238</v>
      </c>
      <c r="AM25" s="19" cm="1">
        <f t="array" aca="1" ref="AM25" ca="1">IF( OR($AA25=0,BD25=0), "", _xll.IMDP("IR",$AA25,P$6,$C$8) )</f>
        <v>3.4769999999999999</v>
      </c>
      <c r="AN25" s="19" cm="1">
        <f t="array" aca="1" ref="AN25" ca="1">IF( OR($AA25=0,BE25=0), "", _xll.IMDP("IR",$AA25,Q$6,$C$8) )</f>
        <v>3.5779999999999998</v>
      </c>
      <c r="AO25" s="19" cm="1">
        <f t="array" aca="1" ref="AO25" ca="1">IF( OR($AA25=0,BF25=0), "", _xll.IMDP("IR",$AA25,R$6,$C$8) )</f>
        <v>3.6379999999999999</v>
      </c>
      <c r="AP25" s="19" t="str" cm="1">
        <f t="array" aca="1" ref="AP25" ca="1">IF( OR($AA25=0,BG25=0), "", _xll.IMDP("IR",$AA25,S$6,$C$8) )</f>
        <v/>
      </c>
      <c r="AQ25" s="19" t="str" cm="1">
        <f t="array" aca="1" ref="AQ25" ca="1">IF( OR($AA25=0,BH25=0), "", _xll.IMDP("IR",$AA25,T$6,$C$8) )</f>
        <v/>
      </c>
      <c r="AR25" s="5"/>
      <c r="AS25" s="20" cm="1">
        <f t="array" aca="1" ref="AS25" ca="1">_xll.IMDP("IR",$AA25,E$5,$C$8)</f>
        <v>3.4180000000000001</v>
      </c>
      <c r="AT25" s="5" cm="1">
        <f t="array" aca="1" ref="AT25" ca="1">_xll.IMDP("IR",$AA25,F$5,$C$8)</f>
        <v>3.3929999999999998</v>
      </c>
      <c r="AU25" s="5" cm="1">
        <f t="array" aca="1" ref="AU25" ca="1">_xll.IMDP("IR",$AA25,G$5,$C$8)</f>
        <v>3.323</v>
      </c>
      <c r="AV25" s="5" cm="1">
        <f t="array" aca="1" ref="AV25" ca="1">_xll.IMDP("IR",$AA25,H$5,$C$8)</f>
        <v>3.2839999999999998</v>
      </c>
      <c r="AW25" s="5" cm="1">
        <f t="array" aca="1" ref="AW25" ca="1">_xll.IMDP("IR",$AA25,I$5,$C$8)</f>
        <v>3.2360000000000002</v>
      </c>
      <c r="AX25" s="5" cm="1">
        <f t="array" aca="1" ref="AX25" ca="1">_xll.IMDP("IR",$AA25,J$5,$C$8)</f>
        <v>3.1850000000000001</v>
      </c>
      <c r="AY25" s="5" cm="1">
        <f t="array" aca="1" ref="AY25" ca="1">_xll.IMDP("IR",$AA25,K$5,$C$8)</f>
        <v>3.1269999999999998</v>
      </c>
      <c r="AZ25" s="5" cm="1">
        <f t="array" aca="1" ref="AZ25" ca="1">_xll.IMDP("IR",$AA25,L$5,$C$8)</f>
        <v>3.093</v>
      </c>
      <c r="BA25" s="5" cm="1">
        <f t="array" aca="1" ref="BA25" ca="1">_xll.IMDP("IR",$AA25,M$5,$C$8)</f>
        <v>3.0739999999999998</v>
      </c>
      <c r="BB25" s="5" cm="1">
        <f t="array" aca="1" ref="BB25" ca="1">_xll.IMDP("IR",$AA25,N$5,$C$8)</f>
        <v>3.0870000000000002</v>
      </c>
      <c r="BC25" s="5" cm="1">
        <f t="array" aca="1" ref="BC25" ca="1">_xll.IMDP("IR",$AA25,O$5,$C$8)</f>
        <v>3.238</v>
      </c>
      <c r="BD25" s="5" cm="1">
        <f t="array" aca="1" ref="BD25" ca="1">_xll.IMDP("IR",$AA25,P$5,$C$8)</f>
        <v>3.4769999999999999</v>
      </c>
      <c r="BE25" s="5" cm="1">
        <f t="array" aca="1" ref="BE25" ca="1">_xll.IMDP("IR",$AA25,Q$5,$C$8)</f>
        <v>3.5779999999999998</v>
      </c>
      <c r="BF25" s="5" cm="1">
        <f t="array" aca="1" ref="BF25" ca="1">_xll.IMDP("IR",$AA25,R$5,$C$8)</f>
        <v>3.6379999999999999</v>
      </c>
      <c r="BG25" s="5" cm="1">
        <f t="array" aca="1" ref="BG25" ca="1">_xll.IMDP("IR",$AA25,S$5,$C$8)</f>
        <v>0</v>
      </c>
      <c r="BH25" s="5" cm="1">
        <f t="array" aca="1" ref="BH25" ca="1">_xll.IMDP("IR",$AA25,T$5,$C$8)</f>
        <v>0</v>
      </c>
    </row>
    <row r="26" spans="2:60" ht="13.5" customHeight="1" x14ac:dyDescent="0.3">
      <c r="B26" s="70"/>
      <c r="C26" s="71"/>
      <c r="D26" s="23" t="s">
        <v>645</v>
      </c>
      <c r="E26" s="24">
        <f t="shared" ca="1" si="2"/>
        <v>3.411</v>
      </c>
      <c r="F26" s="24">
        <f t="shared" ca="1" si="1"/>
        <v>3.3940000000000001</v>
      </c>
      <c r="G26" s="24">
        <f t="shared" ca="1" si="1"/>
        <v>3.3159999999999998</v>
      </c>
      <c r="H26" s="24">
        <f t="shared" ca="1" si="1"/>
        <v>3.274</v>
      </c>
      <c r="I26" s="24">
        <f t="shared" ca="1" si="1"/>
        <v>3.24</v>
      </c>
      <c r="J26" s="24">
        <f t="shared" ca="1" si="1"/>
        <v>3.198</v>
      </c>
      <c r="K26" s="24">
        <f t="shared" ca="1" si="1"/>
        <v>3.1520000000000001</v>
      </c>
      <c r="L26" s="24">
        <f t="shared" ca="1" si="1"/>
        <v>3.1280000000000001</v>
      </c>
      <c r="M26" s="24">
        <f t="shared" ca="1" si="1"/>
        <v>3.1179999999999999</v>
      </c>
      <c r="N26" s="24">
        <f t="shared" ca="1" si="1"/>
        <v>3.13</v>
      </c>
      <c r="O26" s="24">
        <f t="shared" ca="1" si="1"/>
        <v>3.278</v>
      </c>
      <c r="P26" s="24">
        <f t="shared" ca="1" si="1"/>
        <v>3.5190000000000001</v>
      </c>
      <c r="Q26" s="24">
        <f t="shared" ca="1" si="1"/>
        <v>3.6179999999999999</v>
      </c>
      <c r="R26" s="24">
        <f t="shared" ca="1" si="1"/>
        <v>3.6819999999999999</v>
      </c>
      <c r="S26" s="24" t="str">
        <f t="shared" ca="1" si="1"/>
        <v/>
      </c>
      <c r="T26" s="25" t="str">
        <f t="shared" ca="1" si="1"/>
        <v/>
      </c>
      <c r="U26" s="17"/>
      <c r="Z26" s="18">
        <f>ROWS($Z$11:Z26)</f>
        <v>16</v>
      </c>
      <c r="AA26" s="18" t="str" cm="1">
        <f t="array" ref="AA26">INDEX(code!$E$2:$K$72,시가평가Matrix!$Z26,$D$3)</f>
        <v>BONDAVG17</v>
      </c>
      <c r="AB26" s="19" cm="1">
        <f t="array" aca="1" ref="AB26" ca="1">IF( OR($AA26=0,AS26=0), "", _xll.IMDP("IR",$AA26,E$6,$C$8) )</f>
        <v>3.411</v>
      </c>
      <c r="AC26" s="19" cm="1">
        <f t="array" aca="1" ref="AC26" ca="1">IF( OR($AA26=0,AT26=0), "", _xll.IMDP("IR",$AA26,F$6,$C$8) )</f>
        <v>3.3940000000000001</v>
      </c>
      <c r="AD26" s="19" cm="1">
        <f t="array" aca="1" ref="AD26" ca="1">IF( OR($AA26=0,AU26=0), "", _xll.IMDP("IR",$AA26,G$6,$C$8) )</f>
        <v>3.3159999999999998</v>
      </c>
      <c r="AE26" s="19" cm="1">
        <f t="array" aca="1" ref="AE26" ca="1">IF( OR($AA26=0,AV26=0), "", _xll.IMDP("IR",$AA26,H$6,$C$8) )</f>
        <v>3.274</v>
      </c>
      <c r="AF26" s="19" cm="1">
        <f t="array" aca="1" ref="AF26" ca="1">IF( OR($AA26=0,AW26=0), "", _xll.IMDP("IR",$AA26,I$6,$C$8) )</f>
        <v>3.24</v>
      </c>
      <c r="AG26" s="19" cm="1">
        <f t="array" aca="1" ref="AG26" ca="1">IF( OR($AA26=0,AX26=0), "", _xll.IMDP("IR",$AA26,J$6,$C$8) )</f>
        <v>3.198</v>
      </c>
      <c r="AH26" s="19" cm="1">
        <f t="array" aca="1" ref="AH26" ca="1">IF( OR($AA26=0,AY26=0), "", _xll.IMDP("IR",$AA26,K$6,$C$8) )</f>
        <v>3.1520000000000001</v>
      </c>
      <c r="AI26" s="19" cm="1">
        <f t="array" aca="1" ref="AI26" ca="1">IF( OR($AA26=0,AZ26=0), "", _xll.IMDP("IR",$AA26,L$6,$C$8) )</f>
        <v>3.1280000000000001</v>
      </c>
      <c r="AJ26" s="19" cm="1">
        <f t="array" aca="1" ref="AJ26" ca="1">IF( OR($AA26=0,BA26=0), "", _xll.IMDP("IR",$AA26,M$6,$C$8) )</f>
        <v>3.1179999999999999</v>
      </c>
      <c r="AK26" s="19" cm="1">
        <f t="array" aca="1" ref="AK26" ca="1">IF( OR($AA26=0,BB26=0), "", _xll.IMDP("IR",$AA26,N$6,$C$8) )</f>
        <v>3.13</v>
      </c>
      <c r="AL26" s="19" cm="1">
        <f t="array" aca="1" ref="AL26" ca="1">IF( OR($AA26=0,BC26=0), "", _xll.IMDP("IR",$AA26,O$6,$C$8) )</f>
        <v>3.278</v>
      </c>
      <c r="AM26" s="19" cm="1">
        <f t="array" aca="1" ref="AM26" ca="1">IF( OR($AA26=0,BD26=0), "", _xll.IMDP("IR",$AA26,P$6,$C$8) )</f>
        <v>3.5190000000000001</v>
      </c>
      <c r="AN26" s="19" cm="1">
        <f t="array" aca="1" ref="AN26" ca="1">IF( OR($AA26=0,BE26=0), "", _xll.IMDP("IR",$AA26,Q$6,$C$8) )</f>
        <v>3.6179999999999999</v>
      </c>
      <c r="AO26" s="19" cm="1">
        <f t="array" aca="1" ref="AO26" ca="1">IF( OR($AA26=0,BF26=0), "", _xll.IMDP("IR",$AA26,R$6,$C$8) )</f>
        <v>3.6819999999999999</v>
      </c>
      <c r="AP26" s="19" t="str" cm="1">
        <f t="array" aca="1" ref="AP26" ca="1">IF( OR($AA26=0,BG26=0), "", _xll.IMDP("IR",$AA26,S$6,$C$8) )</f>
        <v/>
      </c>
      <c r="AQ26" s="19" t="str" cm="1">
        <f t="array" aca="1" ref="AQ26" ca="1">IF( OR($AA26=0,BH26=0), "", _xll.IMDP("IR",$AA26,T$6,$C$8) )</f>
        <v/>
      </c>
      <c r="AR26" s="5"/>
      <c r="AS26" s="20" cm="1">
        <f t="array" aca="1" ref="AS26" ca="1">_xll.IMDP("IR",$AA26,E$5,$C$8)</f>
        <v>3.411</v>
      </c>
      <c r="AT26" s="5" cm="1">
        <f t="array" aca="1" ref="AT26" ca="1">_xll.IMDP("IR",$AA26,F$5,$C$8)</f>
        <v>3.3940000000000001</v>
      </c>
      <c r="AU26" s="5" cm="1">
        <f t="array" aca="1" ref="AU26" ca="1">_xll.IMDP("IR",$AA26,G$5,$C$8)</f>
        <v>3.3159999999999998</v>
      </c>
      <c r="AV26" s="5" cm="1">
        <f t="array" aca="1" ref="AV26" ca="1">_xll.IMDP("IR",$AA26,H$5,$C$8)</f>
        <v>3.274</v>
      </c>
      <c r="AW26" s="5" cm="1">
        <f t="array" aca="1" ref="AW26" ca="1">_xll.IMDP("IR",$AA26,I$5,$C$8)</f>
        <v>3.24</v>
      </c>
      <c r="AX26" s="5" cm="1">
        <f t="array" aca="1" ref="AX26" ca="1">_xll.IMDP("IR",$AA26,J$5,$C$8)</f>
        <v>3.198</v>
      </c>
      <c r="AY26" s="5" cm="1">
        <f t="array" aca="1" ref="AY26" ca="1">_xll.IMDP("IR",$AA26,K$5,$C$8)</f>
        <v>3.1520000000000001</v>
      </c>
      <c r="AZ26" s="5" cm="1">
        <f t="array" aca="1" ref="AZ26" ca="1">_xll.IMDP("IR",$AA26,L$5,$C$8)</f>
        <v>3.1280000000000001</v>
      </c>
      <c r="BA26" s="5" cm="1">
        <f t="array" aca="1" ref="BA26" ca="1">_xll.IMDP("IR",$AA26,M$5,$C$8)</f>
        <v>3.1179999999999999</v>
      </c>
      <c r="BB26" s="5" cm="1">
        <f t="array" aca="1" ref="BB26" ca="1">_xll.IMDP("IR",$AA26,N$5,$C$8)</f>
        <v>3.13</v>
      </c>
      <c r="BC26" s="5" cm="1">
        <f t="array" aca="1" ref="BC26" ca="1">_xll.IMDP("IR",$AA26,O$5,$C$8)</f>
        <v>3.278</v>
      </c>
      <c r="BD26" s="5" cm="1">
        <f t="array" aca="1" ref="BD26" ca="1">_xll.IMDP("IR",$AA26,P$5,$C$8)</f>
        <v>3.5190000000000001</v>
      </c>
      <c r="BE26" s="5" cm="1">
        <f t="array" aca="1" ref="BE26" ca="1">_xll.IMDP("IR",$AA26,Q$5,$C$8)</f>
        <v>3.6179999999999999</v>
      </c>
      <c r="BF26" s="5" cm="1">
        <f t="array" aca="1" ref="BF26" ca="1">_xll.IMDP("IR",$AA26,R$5,$C$8)</f>
        <v>3.6819999999999999</v>
      </c>
      <c r="BG26" s="5" cm="1">
        <f t="array" aca="1" ref="BG26" ca="1">_xll.IMDP("IR",$AA26,S$5,$C$8)</f>
        <v>0</v>
      </c>
      <c r="BH26" s="5" cm="1">
        <f t="array" aca="1" ref="BH26" ca="1">_xll.IMDP("IR",$AA26,T$5,$C$8)</f>
        <v>0</v>
      </c>
    </row>
    <row r="27" spans="2:60" ht="13.5" customHeight="1" x14ac:dyDescent="0.3">
      <c r="B27" s="70"/>
      <c r="C27" s="71"/>
      <c r="D27" s="23" t="s">
        <v>646</v>
      </c>
      <c r="E27" s="24">
        <f t="shared" ca="1" si="2"/>
        <v>3.4180000000000001</v>
      </c>
      <c r="F27" s="24">
        <f t="shared" ca="1" si="1"/>
        <v>3.3929999999999998</v>
      </c>
      <c r="G27" s="24">
        <f t="shared" ca="1" si="1"/>
        <v>3.323</v>
      </c>
      <c r="H27" s="24">
        <f t="shared" ca="1" si="1"/>
        <v>3.2839999999999998</v>
      </c>
      <c r="I27" s="24">
        <f t="shared" ca="1" si="1"/>
        <v>3.2360000000000002</v>
      </c>
      <c r="J27" s="24">
        <f t="shared" ca="1" si="1"/>
        <v>3.1850000000000001</v>
      </c>
      <c r="K27" s="24">
        <f t="shared" ca="1" si="1"/>
        <v>3.1269999999999998</v>
      </c>
      <c r="L27" s="24">
        <f t="shared" ca="1" si="1"/>
        <v>3.093</v>
      </c>
      <c r="M27" s="24">
        <f t="shared" ca="1" si="1"/>
        <v>3.081</v>
      </c>
      <c r="N27" s="24">
        <f t="shared" ca="1" si="1"/>
        <v>3.093</v>
      </c>
      <c r="O27" s="24">
        <f t="shared" ca="1" si="1"/>
        <v>3.2629999999999999</v>
      </c>
      <c r="P27" s="24">
        <f t="shared" ca="1" si="1"/>
        <v>3.5030000000000001</v>
      </c>
      <c r="Q27" s="24">
        <f t="shared" ca="1" si="1"/>
        <v>3.6040000000000001</v>
      </c>
      <c r="R27" s="24">
        <f t="shared" ca="1" si="1"/>
        <v>3.6720000000000002</v>
      </c>
      <c r="S27" s="24" t="str">
        <f t="shared" ca="1" si="1"/>
        <v/>
      </c>
      <c r="T27" s="25" t="str">
        <f t="shared" ca="1" si="1"/>
        <v/>
      </c>
      <c r="U27" s="17"/>
      <c r="Z27" s="18">
        <f>ROWS($Z$11:Z27)</f>
        <v>17</v>
      </c>
      <c r="AA27" s="18" t="str" cm="1">
        <f t="array" ref="AA27">INDEX(code!$E$2:$K$72,시가평가Matrix!$Z27,$D$3)</f>
        <v>BONDAVG18</v>
      </c>
      <c r="AB27" s="19" cm="1">
        <f t="array" aca="1" ref="AB27" ca="1">IF( OR($AA27=0,AS27=0), "", _xll.IMDP("IR",$AA27,E$6,$C$8) )</f>
        <v>3.4180000000000001</v>
      </c>
      <c r="AC27" s="19" cm="1">
        <f t="array" aca="1" ref="AC27" ca="1">IF( OR($AA27=0,AT27=0), "", _xll.IMDP("IR",$AA27,F$6,$C$8) )</f>
        <v>3.3929999999999998</v>
      </c>
      <c r="AD27" s="19" cm="1">
        <f t="array" aca="1" ref="AD27" ca="1">IF( OR($AA27=0,AU27=0), "", _xll.IMDP("IR",$AA27,G$6,$C$8) )</f>
        <v>3.323</v>
      </c>
      <c r="AE27" s="19" cm="1">
        <f t="array" aca="1" ref="AE27" ca="1">IF( OR($AA27=0,AV27=0), "", _xll.IMDP("IR",$AA27,H$6,$C$8) )</f>
        <v>3.2839999999999998</v>
      </c>
      <c r="AF27" s="19" cm="1">
        <f t="array" aca="1" ref="AF27" ca="1">IF( OR($AA27=0,AW27=0), "", _xll.IMDP("IR",$AA27,I$6,$C$8) )</f>
        <v>3.2360000000000002</v>
      </c>
      <c r="AG27" s="19" cm="1">
        <f t="array" aca="1" ref="AG27" ca="1">IF( OR($AA27=0,AX27=0), "", _xll.IMDP("IR",$AA27,J$6,$C$8) )</f>
        <v>3.1850000000000001</v>
      </c>
      <c r="AH27" s="19" cm="1">
        <f t="array" aca="1" ref="AH27" ca="1">IF( OR($AA27=0,AY27=0), "", _xll.IMDP("IR",$AA27,K$6,$C$8) )</f>
        <v>3.1269999999999998</v>
      </c>
      <c r="AI27" s="19" cm="1">
        <f t="array" aca="1" ref="AI27" ca="1">IF( OR($AA27=0,AZ27=0), "", _xll.IMDP("IR",$AA27,L$6,$C$8) )</f>
        <v>3.093</v>
      </c>
      <c r="AJ27" s="19" cm="1">
        <f t="array" aca="1" ref="AJ27" ca="1">IF( OR($AA27=0,BA27=0), "", _xll.IMDP("IR",$AA27,M$6,$C$8) )</f>
        <v>3.081</v>
      </c>
      <c r="AK27" s="19" cm="1">
        <f t="array" aca="1" ref="AK27" ca="1">IF( OR($AA27=0,BB27=0), "", _xll.IMDP("IR",$AA27,N$6,$C$8) )</f>
        <v>3.093</v>
      </c>
      <c r="AL27" s="19" cm="1">
        <f t="array" aca="1" ref="AL27" ca="1">IF( OR($AA27=0,BC27=0), "", _xll.IMDP("IR",$AA27,O$6,$C$8) )</f>
        <v>3.2629999999999999</v>
      </c>
      <c r="AM27" s="19" cm="1">
        <f t="array" aca="1" ref="AM27" ca="1">IF( OR($AA27=0,BD27=0), "", _xll.IMDP("IR",$AA27,P$6,$C$8) )</f>
        <v>3.5030000000000001</v>
      </c>
      <c r="AN27" s="19" cm="1">
        <f t="array" aca="1" ref="AN27" ca="1">IF( OR($AA27=0,BE27=0), "", _xll.IMDP("IR",$AA27,Q$6,$C$8) )</f>
        <v>3.6040000000000001</v>
      </c>
      <c r="AO27" s="19" cm="1">
        <f t="array" aca="1" ref="AO27" ca="1">IF( OR($AA27=0,BF27=0), "", _xll.IMDP("IR",$AA27,R$6,$C$8) )</f>
        <v>3.6720000000000002</v>
      </c>
      <c r="AP27" s="19" t="str" cm="1">
        <f t="array" aca="1" ref="AP27" ca="1">IF( OR($AA27=0,BG27=0), "", _xll.IMDP("IR",$AA27,S$6,$C$8) )</f>
        <v/>
      </c>
      <c r="AQ27" s="19" t="str" cm="1">
        <f t="array" aca="1" ref="AQ27" ca="1">IF( OR($AA27=0,BH27=0), "", _xll.IMDP("IR",$AA27,T$6,$C$8) )</f>
        <v/>
      </c>
      <c r="AR27" s="5"/>
      <c r="AS27" s="20" cm="1">
        <f t="array" aca="1" ref="AS27" ca="1">_xll.IMDP("IR",$AA27,E$5,$C$8)</f>
        <v>3.4180000000000001</v>
      </c>
      <c r="AT27" s="5" cm="1">
        <f t="array" aca="1" ref="AT27" ca="1">_xll.IMDP("IR",$AA27,F$5,$C$8)</f>
        <v>3.3929999999999998</v>
      </c>
      <c r="AU27" s="5" cm="1">
        <f t="array" aca="1" ref="AU27" ca="1">_xll.IMDP("IR",$AA27,G$5,$C$8)</f>
        <v>3.323</v>
      </c>
      <c r="AV27" s="5" cm="1">
        <f t="array" aca="1" ref="AV27" ca="1">_xll.IMDP("IR",$AA27,H$5,$C$8)</f>
        <v>3.2839999999999998</v>
      </c>
      <c r="AW27" s="5" cm="1">
        <f t="array" aca="1" ref="AW27" ca="1">_xll.IMDP("IR",$AA27,I$5,$C$8)</f>
        <v>3.2360000000000002</v>
      </c>
      <c r="AX27" s="5" cm="1">
        <f t="array" aca="1" ref="AX27" ca="1">_xll.IMDP("IR",$AA27,J$5,$C$8)</f>
        <v>3.1850000000000001</v>
      </c>
      <c r="AY27" s="5" cm="1">
        <f t="array" aca="1" ref="AY27" ca="1">_xll.IMDP("IR",$AA27,K$5,$C$8)</f>
        <v>3.1269999999999998</v>
      </c>
      <c r="AZ27" s="5" cm="1">
        <f t="array" aca="1" ref="AZ27" ca="1">_xll.IMDP("IR",$AA27,L$5,$C$8)</f>
        <v>3.093</v>
      </c>
      <c r="BA27" s="5" cm="1">
        <f t="array" aca="1" ref="BA27" ca="1">_xll.IMDP("IR",$AA27,M$5,$C$8)</f>
        <v>3.081</v>
      </c>
      <c r="BB27" s="5" cm="1">
        <f t="array" aca="1" ref="BB27" ca="1">_xll.IMDP("IR",$AA27,N$5,$C$8)</f>
        <v>3.093</v>
      </c>
      <c r="BC27" s="5" cm="1">
        <f t="array" aca="1" ref="BC27" ca="1">_xll.IMDP("IR",$AA27,O$5,$C$8)</f>
        <v>3.2629999999999999</v>
      </c>
      <c r="BD27" s="5" cm="1">
        <f t="array" aca="1" ref="BD27" ca="1">_xll.IMDP("IR",$AA27,P$5,$C$8)</f>
        <v>3.5030000000000001</v>
      </c>
      <c r="BE27" s="5" cm="1">
        <f t="array" aca="1" ref="BE27" ca="1">_xll.IMDP("IR",$AA27,Q$5,$C$8)</f>
        <v>3.6040000000000001</v>
      </c>
      <c r="BF27" s="5" cm="1">
        <f t="array" aca="1" ref="BF27" ca="1">_xll.IMDP("IR",$AA27,R$5,$C$8)</f>
        <v>3.6720000000000002</v>
      </c>
      <c r="BG27" s="5" cm="1">
        <f t="array" aca="1" ref="BG27" ca="1">_xll.IMDP("IR",$AA27,S$5,$C$8)</f>
        <v>0</v>
      </c>
      <c r="BH27" s="5" cm="1">
        <f t="array" aca="1" ref="BH27" ca="1">_xll.IMDP("IR",$AA27,T$5,$C$8)</f>
        <v>0</v>
      </c>
    </row>
    <row r="28" spans="2:60" ht="13.5" customHeight="1" x14ac:dyDescent="0.3">
      <c r="B28" s="70"/>
      <c r="C28" s="71"/>
      <c r="D28" s="23" t="s">
        <v>647</v>
      </c>
      <c r="E28" s="24">
        <f t="shared" ca="1" si="2"/>
        <v>3.411</v>
      </c>
      <c r="F28" s="24">
        <f t="shared" ca="1" si="2"/>
        <v>3.3940000000000001</v>
      </c>
      <c r="G28" s="24">
        <f t="shared" ca="1" si="2"/>
        <v>3.3159999999999998</v>
      </c>
      <c r="H28" s="24">
        <f t="shared" ca="1" si="2"/>
        <v>3.274</v>
      </c>
      <c r="I28" s="24">
        <f t="shared" ca="1" si="2"/>
        <v>3.24</v>
      </c>
      <c r="J28" s="24">
        <f t="shared" ca="1" si="2"/>
        <v>3.198</v>
      </c>
      <c r="K28" s="24">
        <f t="shared" ca="1" si="2"/>
        <v>3.1520000000000001</v>
      </c>
      <c r="L28" s="24">
        <f t="shared" ca="1" si="2"/>
        <v>3.1280000000000001</v>
      </c>
      <c r="M28" s="24">
        <f t="shared" ca="1" si="2"/>
        <v>3.1230000000000002</v>
      </c>
      <c r="N28" s="24">
        <f t="shared" ca="1" si="2"/>
        <v>3.1349999999999998</v>
      </c>
      <c r="O28" s="24">
        <f t="shared" ca="1" si="2"/>
        <v>3.306</v>
      </c>
      <c r="P28" s="24">
        <f t="shared" ca="1" si="2"/>
        <v>3.5459999999999998</v>
      </c>
      <c r="Q28" s="24">
        <f t="shared" ca="1" si="2"/>
        <v>3.645</v>
      </c>
      <c r="R28" s="24">
        <f t="shared" ca="1" si="2"/>
        <v>3.72</v>
      </c>
      <c r="S28" s="24" t="str">
        <f t="shared" ca="1" si="2"/>
        <v/>
      </c>
      <c r="T28" s="25" t="str">
        <f t="shared" ca="1" si="2"/>
        <v/>
      </c>
      <c r="U28" s="17"/>
      <c r="Z28" s="18">
        <f>ROWS($Z$11:Z28)</f>
        <v>18</v>
      </c>
      <c r="AA28" s="18" t="str" cm="1">
        <f t="array" ref="AA28">INDEX(code!$E$2:$K$72,시가평가Matrix!$Z28,$D$3)</f>
        <v>BONDAVG19</v>
      </c>
      <c r="AB28" s="19" cm="1">
        <f t="array" aca="1" ref="AB28" ca="1">IF( OR($AA28=0,AS28=0), "", _xll.IMDP("IR",$AA28,E$6,$C$8) )</f>
        <v>3.411</v>
      </c>
      <c r="AC28" s="19" cm="1">
        <f t="array" aca="1" ref="AC28" ca="1">IF( OR($AA28=0,AT28=0), "", _xll.IMDP("IR",$AA28,F$6,$C$8) )</f>
        <v>3.3940000000000001</v>
      </c>
      <c r="AD28" s="19" cm="1">
        <f t="array" aca="1" ref="AD28" ca="1">IF( OR($AA28=0,AU28=0), "", _xll.IMDP("IR",$AA28,G$6,$C$8) )</f>
        <v>3.3159999999999998</v>
      </c>
      <c r="AE28" s="19" cm="1">
        <f t="array" aca="1" ref="AE28" ca="1">IF( OR($AA28=0,AV28=0), "", _xll.IMDP("IR",$AA28,H$6,$C$8) )</f>
        <v>3.274</v>
      </c>
      <c r="AF28" s="19" cm="1">
        <f t="array" aca="1" ref="AF28" ca="1">IF( OR($AA28=0,AW28=0), "", _xll.IMDP("IR",$AA28,I$6,$C$8) )</f>
        <v>3.24</v>
      </c>
      <c r="AG28" s="19" cm="1">
        <f t="array" aca="1" ref="AG28" ca="1">IF( OR($AA28=0,AX28=0), "", _xll.IMDP("IR",$AA28,J$6,$C$8) )</f>
        <v>3.198</v>
      </c>
      <c r="AH28" s="19" cm="1">
        <f t="array" aca="1" ref="AH28" ca="1">IF( OR($AA28=0,AY28=0), "", _xll.IMDP("IR",$AA28,K$6,$C$8) )</f>
        <v>3.1520000000000001</v>
      </c>
      <c r="AI28" s="19" cm="1">
        <f t="array" aca="1" ref="AI28" ca="1">IF( OR($AA28=0,AZ28=0), "", _xll.IMDP("IR",$AA28,L$6,$C$8) )</f>
        <v>3.1280000000000001</v>
      </c>
      <c r="AJ28" s="19" cm="1">
        <f t="array" aca="1" ref="AJ28" ca="1">IF( OR($AA28=0,BA28=0), "", _xll.IMDP("IR",$AA28,M$6,$C$8) )</f>
        <v>3.1230000000000002</v>
      </c>
      <c r="AK28" s="19" cm="1">
        <f t="array" aca="1" ref="AK28" ca="1">IF( OR($AA28=0,BB28=0), "", _xll.IMDP("IR",$AA28,N$6,$C$8) )</f>
        <v>3.1349999999999998</v>
      </c>
      <c r="AL28" s="19" cm="1">
        <f t="array" aca="1" ref="AL28" ca="1">IF( OR($AA28=0,BC28=0), "", _xll.IMDP("IR",$AA28,O$6,$C$8) )</f>
        <v>3.306</v>
      </c>
      <c r="AM28" s="19" cm="1">
        <f t="array" aca="1" ref="AM28" ca="1">IF( OR($AA28=0,BD28=0), "", _xll.IMDP("IR",$AA28,P$6,$C$8) )</f>
        <v>3.5459999999999998</v>
      </c>
      <c r="AN28" s="19" cm="1">
        <f t="array" aca="1" ref="AN28" ca="1">IF( OR($AA28=0,BE28=0), "", _xll.IMDP("IR",$AA28,Q$6,$C$8) )</f>
        <v>3.645</v>
      </c>
      <c r="AO28" s="19" cm="1">
        <f t="array" aca="1" ref="AO28" ca="1">IF( OR($AA28=0,BF28=0), "", _xll.IMDP("IR",$AA28,R$6,$C$8) )</f>
        <v>3.72</v>
      </c>
      <c r="AP28" s="19" t="str" cm="1">
        <f t="array" aca="1" ref="AP28" ca="1">IF( OR($AA28=0,BG28=0), "", _xll.IMDP("IR",$AA28,S$6,$C$8) )</f>
        <v/>
      </c>
      <c r="AQ28" s="19" t="str" cm="1">
        <f t="array" aca="1" ref="AQ28" ca="1">IF( OR($AA28=0,BH28=0), "", _xll.IMDP("IR",$AA28,T$6,$C$8) )</f>
        <v/>
      </c>
      <c r="AR28" s="5"/>
      <c r="AS28" s="20" cm="1">
        <f t="array" aca="1" ref="AS28" ca="1">_xll.IMDP("IR",$AA28,E$5,$C$8)</f>
        <v>3.411</v>
      </c>
      <c r="AT28" s="5" cm="1">
        <f t="array" aca="1" ref="AT28" ca="1">_xll.IMDP("IR",$AA28,F$5,$C$8)</f>
        <v>3.3940000000000001</v>
      </c>
      <c r="AU28" s="5" cm="1">
        <f t="array" aca="1" ref="AU28" ca="1">_xll.IMDP("IR",$AA28,G$5,$C$8)</f>
        <v>3.3159999999999998</v>
      </c>
      <c r="AV28" s="5" cm="1">
        <f t="array" aca="1" ref="AV28" ca="1">_xll.IMDP("IR",$AA28,H$5,$C$8)</f>
        <v>3.274</v>
      </c>
      <c r="AW28" s="5" cm="1">
        <f t="array" aca="1" ref="AW28" ca="1">_xll.IMDP("IR",$AA28,I$5,$C$8)</f>
        <v>3.24</v>
      </c>
      <c r="AX28" s="5" cm="1">
        <f t="array" aca="1" ref="AX28" ca="1">_xll.IMDP("IR",$AA28,J$5,$C$8)</f>
        <v>3.198</v>
      </c>
      <c r="AY28" s="5" cm="1">
        <f t="array" aca="1" ref="AY28" ca="1">_xll.IMDP("IR",$AA28,K$5,$C$8)</f>
        <v>3.1520000000000001</v>
      </c>
      <c r="AZ28" s="5" cm="1">
        <f t="array" aca="1" ref="AZ28" ca="1">_xll.IMDP("IR",$AA28,L$5,$C$8)</f>
        <v>3.1280000000000001</v>
      </c>
      <c r="BA28" s="5" cm="1">
        <f t="array" aca="1" ref="BA28" ca="1">_xll.IMDP("IR",$AA28,M$5,$C$8)</f>
        <v>3.1230000000000002</v>
      </c>
      <c r="BB28" s="5" cm="1">
        <f t="array" aca="1" ref="BB28" ca="1">_xll.IMDP("IR",$AA28,N$5,$C$8)</f>
        <v>3.1349999999999998</v>
      </c>
      <c r="BC28" s="5" cm="1">
        <f t="array" aca="1" ref="BC28" ca="1">_xll.IMDP("IR",$AA28,O$5,$C$8)</f>
        <v>3.306</v>
      </c>
      <c r="BD28" s="5" cm="1">
        <f t="array" aca="1" ref="BD28" ca="1">_xll.IMDP("IR",$AA28,P$5,$C$8)</f>
        <v>3.5459999999999998</v>
      </c>
      <c r="BE28" s="5" cm="1">
        <f t="array" aca="1" ref="BE28" ca="1">_xll.IMDP("IR",$AA28,Q$5,$C$8)</f>
        <v>3.645</v>
      </c>
      <c r="BF28" s="5" cm="1">
        <f t="array" aca="1" ref="BF28" ca="1">_xll.IMDP("IR",$AA28,R$5,$C$8)</f>
        <v>3.72</v>
      </c>
      <c r="BG28" s="5" cm="1">
        <f t="array" aca="1" ref="BG28" ca="1">_xll.IMDP("IR",$AA28,S$5,$C$8)</f>
        <v>0</v>
      </c>
      <c r="BH28" s="5" cm="1">
        <f t="array" aca="1" ref="BH28" ca="1">_xll.IMDP("IR",$AA28,T$5,$C$8)</f>
        <v>0</v>
      </c>
    </row>
    <row r="29" spans="2:60" ht="13.5" customHeight="1" x14ac:dyDescent="0.3">
      <c r="B29" s="70"/>
      <c r="C29" s="71"/>
      <c r="D29" s="23" t="s">
        <v>636</v>
      </c>
      <c r="E29" s="24">
        <f t="shared" ca="1" si="2"/>
        <v>3.4359999999999999</v>
      </c>
      <c r="F29" s="24">
        <f t="shared" ca="1" si="2"/>
        <v>3.42</v>
      </c>
      <c r="G29" s="24">
        <f t="shared" ca="1" si="2"/>
        <v>3.35</v>
      </c>
      <c r="H29" s="24">
        <f t="shared" ca="1" si="2"/>
        <v>3.3109999999999999</v>
      </c>
      <c r="I29" s="24">
        <f t="shared" ca="1" si="2"/>
        <v>3.2589999999999999</v>
      </c>
      <c r="J29" s="24">
        <f t="shared" ca="1" si="2"/>
        <v>3.2269999999999999</v>
      </c>
      <c r="K29" s="24">
        <f t="shared" ca="1" si="2"/>
        <v>3.2109999999999999</v>
      </c>
      <c r="L29" s="24">
        <f t="shared" ca="1" si="2"/>
        <v>3.2109999999999999</v>
      </c>
      <c r="M29" s="24">
        <f t="shared" ca="1" si="2"/>
        <v>3.2090000000000001</v>
      </c>
      <c r="N29" s="24">
        <f t="shared" ca="1" si="2"/>
        <v>3.2080000000000002</v>
      </c>
      <c r="O29" s="24">
        <f t="shared" ca="1" si="2"/>
        <v>3.3530000000000002</v>
      </c>
      <c r="P29" s="24">
        <f t="shared" ca="1" si="2"/>
        <v>3.5760000000000001</v>
      </c>
      <c r="Q29" s="24">
        <f t="shared" ca="1" si="2"/>
        <v>3.6829999999999998</v>
      </c>
      <c r="R29" s="24">
        <f t="shared" ca="1" si="2"/>
        <v>3.7490000000000001</v>
      </c>
      <c r="S29" s="24" t="str">
        <f t="shared" ca="1" si="2"/>
        <v/>
      </c>
      <c r="T29" s="25" t="str">
        <f t="shared" ca="1" si="2"/>
        <v/>
      </c>
      <c r="U29" s="17"/>
      <c r="Z29" s="18">
        <f>ROWS($Z$11:Z29)</f>
        <v>19</v>
      </c>
      <c r="AA29" s="18" t="str" cm="1">
        <f t="array" ref="AA29">INDEX(code!$E$2:$K$72,시가평가Matrix!$Z29,$D$3)</f>
        <v>BONDAVG20</v>
      </c>
      <c r="AB29" s="19" cm="1">
        <f t="array" aca="1" ref="AB29" ca="1">IF( OR($AA29=0,AS29=0), "", _xll.IMDP("IR",$AA29,E$6,$C$8) )</f>
        <v>3.4359999999999999</v>
      </c>
      <c r="AC29" s="19" cm="1">
        <f t="array" aca="1" ref="AC29" ca="1">IF( OR($AA29=0,AT29=0), "", _xll.IMDP("IR",$AA29,F$6,$C$8) )</f>
        <v>3.42</v>
      </c>
      <c r="AD29" s="19" cm="1">
        <f t="array" aca="1" ref="AD29" ca="1">IF( OR($AA29=0,AU29=0), "", _xll.IMDP("IR",$AA29,G$6,$C$8) )</f>
        <v>3.35</v>
      </c>
      <c r="AE29" s="19" cm="1">
        <f t="array" aca="1" ref="AE29" ca="1">IF( OR($AA29=0,AV29=0), "", _xll.IMDP("IR",$AA29,H$6,$C$8) )</f>
        <v>3.3109999999999999</v>
      </c>
      <c r="AF29" s="19" cm="1">
        <f t="array" aca="1" ref="AF29" ca="1">IF( OR($AA29=0,AW29=0), "", _xll.IMDP("IR",$AA29,I$6,$C$8) )</f>
        <v>3.2589999999999999</v>
      </c>
      <c r="AG29" s="19" cm="1">
        <f t="array" aca="1" ref="AG29" ca="1">IF( OR($AA29=0,AX29=0), "", _xll.IMDP("IR",$AA29,J$6,$C$8) )</f>
        <v>3.2269999999999999</v>
      </c>
      <c r="AH29" s="19" cm="1">
        <f t="array" aca="1" ref="AH29" ca="1">IF( OR($AA29=0,AY29=0), "", _xll.IMDP("IR",$AA29,K$6,$C$8) )</f>
        <v>3.2109999999999999</v>
      </c>
      <c r="AI29" s="19" cm="1">
        <f t="array" aca="1" ref="AI29" ca="1">IF( OR($AA29=0,AZ29=0), "", _xll.IMDP("IR",$AA29,L$6,$C$8) )</f>
        <v>3.2109999999999999</v>
      </c>
      <c r="AJ29" s="19" cm="1">
        <f t="array" aca="1" ref="AJ29" ca="1">IF( OR($AA29=0,BA29=0), "", _xll.IMDP("IR",$AA29,M$6,$C$8) )</f>
        <v>3.2090000000000001</v>
      </c>
      <c r="AK29" s="19" cm="1">
        <f t="array" aca="1" ref="AK29" ca="1">IF( OR($AA29=0,BB29=0), "", _xll.IMDP("IR",$AA29,N$6,$C$8) )</f>
        <v>3.2080000000000002</v>
      </c>
      <c r="AL29" s="19" cm="1">
        <f t="array" aca="1" ref="AL29" ca="1">IF( OR($AA29=0,BC29=0), "", _xll.IMDP("IR",$AA29,O$6,$C$8) )</f>
        <v>3.3530000000000002</v>
      </c>
      <c r="AM29" s="19" cm="1">
        <f t="array" aca="1" ref="AM29" ca="1">IF( OR($AA29=0,BD29=0), "", _xll.IMDP("IR",$AA29,P$6,$C$8) )</f>
        <v>3.5760000000000001</v>
      </c>
      <c r="AN29" s="19" cm="1">
        <f t="array" aca="1" ref="AN29" ca="1">IF( OR($AA29=0,BE29=0), "", _xll.IMDP("IR",$AA29,Q$6,$C$8) )</f>
        <v>3.6829999999999998</v>
      </c>
      <c r="AO29" s="19" cm="1">
        <f t="array" aca="1" ref="AO29" ca="1">IF( OR($AA29=0,BF29=0), "", _xll.IMDP("IR",$AA29,R$6,$C$8) )</f>
        <v>3.7490000000000001</v>
      </c>
      <c r="AP29" s="19" t="str" cm="1">
        <f t="array" aca="1" ref="AP29" ca="1">IF( OR($AA29=0,BG29=0), "", _xll.IMDP("IR",$AA29,S$6,$C$8) )</f>
        <v/>
      </c>
      <c r="AQ29" s="19" t="str" cm="1">
        <f t="array" aca="1" ref="AQ29" ca="1">IF( OR($AA29=0,BH29=0), "", _xll.IMDP("IR",$AA29,T$6,$C$8) )</f>
        <v/>
      </c>
      <c r="AR29" s="5"/>
      <c r="AS29" s="20" cm="1">
        <f t="array" aca="1" ref="AS29" ca="1">_xll.IMDP("IR",$AA29,E$5,$C$8)</f>
        <v>3.4359999999999999</v>
      </c>
      <c r="AT29" s="5" cm="1">
        <f t="array" aca="1" ref="AT29" ca="1">_xll.IMDP("IR",$AA29,F$5,$C$8)</f>
        <v>3.42</v>
      </c>
      <c r="AU29" s="5" cm="1">
        <f t="array" aca="1" ref="AU29" ca="1">_xll.IMDP("IR",$AA29,G$5,$C$8)</f>
        <v>3.35</v>
      </c>
      <c r="AV29" s="5" cm="1">
        <f t="array" aca="1" ref="AV29" ca="1">_xll.IMDP("IR",$AA29,H$5,$C$8)</f>
        <v>3.3109999999999999</v>
      </c>
      <c r="AW29" s="5" cm="1">
        <f t="array" aca="1" ref="AW29" ca="1">_xll.IMDP("IR",$AA29,I$5,$C$8)</f>
        <v>3.2589999999999999</v>
      </c>
      <c r="AX29" s="5" cm="1">
        <f t="array" aca="1" ref="AX29" ca="1">_xll.IMDP("IR",$AA29,J$5,$C$8)</f>
        <v>3.2269999999999999</v>
      </c>
      <c r="AY29" s="5" cm="1">
        <f t="array" aca="1" ref="AY29" ca="1">_xll.IMDP("IR",$AA29,K$5,$C$8)</f>
        <v>3.2109999999999999</v>
      </c>
      <c r="AZ29" s="5" cm="1">
        <f t="array" aca="1" ref="AZ29" ca="1">_xll.IMDP("IR",$AA29,L$5,$C$8)</f>
        <v>3.2109999999999999</v>
      </c>
      <c r="BA29" s="5" cm="1">
        <f t="array" aca="1" ref="BA29" ca="1">_xll.IMDP("IR",$AA29,M$5,$C$8)</f>
        <v>3.2090000000000001</v>
      </c>
      <c r="BB29" s="5" cm="1">
        <f t="array" aca="1" ref="BB29" ca="1">_xll.IMDP("IR",$AA29,N$5,$C$8)</f>
        <v>3.2080000000000002</v>
      </c>
      <c r="BC29" s="5" cm="1">
        <f t="array" aca="1" ref="BC29" ca="1">_xll.IMDP("IR",$AA29,O$5,$C$8)</f>
        <v>3.3530000000000002</v>
      </c>
      <c r="BD29" s="5" cm="1">
        <f t="array" aca="1" ref="BD29" ca="1">_xll.IMDP("IR",$AA29,P$5,$C$8)</f>
        <v>3.5760000000000001</v>
      </c>
      <c r="BE29" s="5" cm="1">
        <f t="array" aca="1" ref="BE29" ca="1">_xll.IMDP("IR",$AA29,Q$5,$C$8)</f>
        <v>3.6829999999999998</v>
      </c>
      <c r="BF29" s="5" cm="1">
        <f t="array" aca="1" ref="BF29" ca="1">_xll.IMDP("IR",$AA29,R$5,$C$8)</f>
        <v>3.7490000000000001</v>
      </c>
      <c r="BG29" s="5" cm="1">
        <f t="array" aca="1" ref="BG29" ca="1">_xll.IMDP("IR",$AA29,S$5,$C$8)</f>
        <v>0</v>
      </c>
      <c r="BH29" s="5" cm="1">
        <f t="array" aca="1" ref="BH29" ca="1">_xll.IMDP("IR",$AA29,T$5,$C$8)</f>
        <v>0</v>
      </c>
    </row>
    <row r="30" spans="2:60" ht="13.5" customHeight="1" x14ac:dyDescent="0.3">
      <c r="B30" s="70"/>
      <c r="C30" s="71"/>
      <c r="D30" s="23" t="s">
        <v>637</v>
      </c>
      <c r="E30" s="24">
        <f t="shared" ca="1" si="2"/>
        <v>3.452</v>
      </c>
      <c r="F30" s="24">
        <f t="shared" ca="1" si="2"/>
        <v>3.4390000000000001</v>
      </c>
      <c r="G30" s="24">
        <f t="shared" ca="1" si="2"/>
        <v>3.3919999999999999</v>
      </c>
      <c r="H30" s="24">
        <f t="shared" ca="1" si="2"/>
        <v>3.3740000000000001</v>
      </c>
      <c r="I30" s="24">
        <f t="shared" ca="1" si="2"/>
        <v>3.36</v>
      </c>
      <c r="J30" s="24">
        <f t="shared" ca="1" si="2"/>
        <v>3.3279999999999998</v>
      </c>
      <c r="K30" s="24">
        <f t="shared" ca="1" si="2"/>
        <v>3.31</v>
      </c>
      <c r="L30" s="24">
        <f t="shared" ca="1" si="2"/>
        <v>3.3029999999999999</v>
      </c>
      <c r="M30" s="24">
        <f t="shared" ca="1" si="2"/>
        <v>3.2850000000000001</v>
      </c>
      <c r="N30" s="24">
        <f t="shared" ca="1" si="2"/>
        <v>3.3159999999999998</v>
      </c>
      <c r="O30" s="24">
        <f t="shared" ca="1" si="2"/>
        <v>3.4319999999999999</v>
      </c>
      <c r="P30" s="24">
        <f t="shared" ca="1" si="2"/>
        <v>3.657</v>
      </c>
      <c r="Q30" s="24">
        <f t="shared" ca="1" si="2"/>
        <v>3.8370000000000002</v>
      </c>
      <c r="R30" s="24">
        <f t="shared" ca="1" si="2"/>
        <v>3.9430000000000001</v>
      </c>
      <c r="S30" s="24" t="str">
        <f t="shared" ca="1" si="2"/>
        <v/>
      </c>
      <c r="T30" s="25" t="str">
        <f t="shared" ca="1" si="2"/>
        <v/>
      </c>
      <c r="U30" s="17"/>
      <c r="Z30" s="18">
        <f>ROWS($Z$11:Z30)</f>
        <v>20</v>
      </c>
      <c r="AA30" s="18" t="str" cm="1">
        <f t="array" ref="AA30">INDEX(code!$E$2:$K$72,시가평가Matrix!$Z30,$D$3)</f>
        <v>BONDAVG21</v>
      </c>
      <c r="AB30" s="19" cm="1">
        <f t="array" aca="1" ref="AB30" ca="1">IF( OR($AA30=0,AS30=0), "", _xll.IMDP("IR",$AA30,E$6,$C$8) )</f>
        <v>3.452</v>
      </c>
      <c r="AC30" s="19" cm="1">
        <f t="array" aca="1" ref="AC30" ca="1">IF( OR($AA30=0,AT30=0), "", _xll.IMDP("IR",$AA30,F$6,$C$8) )</f>
        <v>3.4390000000000001</v>
      </c>
      <c r="AD30" s="19" cm="1">
        <f t="array" aca="1" ref="AD30" ca="1">IF( OR($AA30=0,AU30=0), "", _xll.IMDP("IR",$AA30,G$6,$C$8) )</f>
        <v>3.3919999999999999</v>
      </c>
      <c r="AE30" s="19" cm="1">
        <f t="array" aca="1" ref="AE30" ca="1">IF( OR($AA30=0,AV30=0), "", _xll.IMDP("IR",$AA30,H$6,$C$8) )</f>
        <v>3.3740000000000001</v>
      </c>
      <c r="AF30" s="19" cm="1">
        <f t="array" aca="1" ref="AF30" ca="1">IF( OR($AA30=0,AW30=0), "", _xll.IMDP("IR",$AA30,I$6,$C$8) )</f>
        <v>3.36</v>
      </c>
      <c r="AG30" s="19" cm="1">
        <f t="array" aca="1" ref="AG30" ca="1">IF( OR($AA30=0,AX30=0), "", _xll.IMDP("IR",$AA30,J$6,$C$8) )</f>
        <v>3.3279999999999998</v>
      </c>
      <c r="AH30" s="19" cm="1">
        <f t="array" aca="1" ref="AH30" ca="1">IF( OR($AA30=0,AY30=0), "", _xll.IMDP("IR",$AA30,K$6,$C$8) )</f>
        <v>3.31</v>
      </c>
      <c r="AI30" s="19" cm="1">
        <f t="array" aca="1" ref="AI30" ca="1">IF( OR($AA30=0,AZ30=0), "", _xll.IMDP("IR",$AA30,L$6,$C$8) )</f>
        <v>3.3029999999999999</v>
      </c>
      <c r="AJ30" s="19" cm="1">
        <f t="array" aca="1" ref="AJ30" ca="1">IF( OR($AA30=0,BA30=0), "", _xll.IMDP("IR",$AA30,M$6,$C$8) )</f>
        <v>3.2850000000000001</v>
      </c>
      <c r="AK30" s="19" cm="1">
        <f t="array" aca="1" ref="AK30" ca="1">IF( OR($AA30=0,BB30=0), "", _xll.IMDP("IR",$AA30,N$6,$C$8) )</f>
        <v>3.3159999999999998</v>
      </c>
      <c r="AL30" s="19" cm="1">
        <f t="array" aca="1" ref="AL30" ca="1">IF( OR($AA30=0,BC30=0), "", _xll.IMDP("IR",$AA30,O$6,$C$8) )</f>
        <v>3.4319999999999999</v>
      </c>
      <c r="AM30" s="19" cm="1">
        <f t="array" aca="1" ref="AM30" ca="1">IF( OR($AA30=0,BD30=0), "", _xll.IMDP("IR",$AA30,P$6,$C$8) )</f>
        <v>3.657</v>
      </c>
      <c r="AN30" s="19" cm="1">
        <f t="array" aca="1" ref="AN30" ca="1">IF( OR($AA30=0,BE30=0), "", _xll.IMDP("IR",$AA30,Q$6,$C$8) )</f>
        <v>3.8370000000000002</v>
      </c>
      <c r="AO30" s="19" cm="1">
        <f t="array" aca="1" ref="AO30" ca="1">IF( OR($AA30=0,BF30=0), "", _xll.IMDP("IR",$AA30,R$6,$C$8) )</f>
        <v>3.9430000000000001</v>
      </c>
      <c r="AP30" s="19" t="str" cm="1">
        <f t="array" aca="1" ref="AP30" ca="1">IF( OR($AA30=0,BG30=0), "", _xll.IMDP("IR",$AA30,S$6,$C$8) )</f>
        <v/>
      </c>
      <c r="AQ30" s="19" t="str" cm="1">
        <f t="array" aca="1" ref="AQ30" ca="1">IF( OR($AA30=0,BH30=0), "", _xll.IMDP("IR",$AA30,T$6,$C$8) )</f>
        <v/>
      </c>
      <c r="AR30" s="5"/>
      <c r="AS30" s="20" cm="1">
        <f t="array" aca="1" ref="AS30" ca="1">_xll.IMDP("IR",$AA30,E$5,$C$8)</f>
        <v>3.452</v>
      </c>
      <c r="AT30" s="5" cm="1">
        <f t="array" aca="1" ref="AT30" ca="1">_xll.IMDP("IR",$AA30,F$5,$C$8)</f>
        <v>3.4390000000000001</v>
      </c>
      <c r="AU30" s="5" cm="1">
        <f t="array" aca="1" ref="AU30" ca="1">_xll.IMDP("IR",$AA30,G$5,$C$8)</f>
        <v>3.3919999999999999</v>
      </c>
      <c r="AV30" s="5" cm="1">
        <f t="array" aca="1" ref="AV30" ca="1">_xll.IMDP("IR",$AA30,H$5,$C$8)</f>
        <v>3.3740000000000001</v>
      </c>
      <c r="AW30" s="5" cm="1">
        <f t="array" aca="1" ref="AW30" ca="1">_xll.IMDP("IR",$AA30,I$5,$C$8)</f>
        <v>3.36</v>
      </c>
      <c r="AX30" s="5" cm="1">
        <f t="array" aca="1" ref="AX30" ca="1">_xll.IMDP("IR",$AA30,J$5,$C$8)</f>
        <v>3.3279999999999998</v>
      </c>
      <c r="AY30" s="5" cm="1">
        <f t="array" aca="1" ref="AY30" ca="1">_xll.IMDP("IR",$AA30,K$5,$C$8)</f>
        <v>3.31</v>
      </c>
      <c r="AZ30" s="5" cm="1">
        <f t="array" aca="1" ref="AZ30" ca="1">_xll.IMDP("IR",$AA30,L$5,$C$8)</f>
        <v>3.3029999999999999</v>
      </c>
      <c r="BA30" s="5" cm="1">
        <f t="array" aca="1" ref="BA30" ca="1">_xll.IMDP("IR",$AA30,M$5,$C$8)</f>
        <v>3.2850000000000001</v>
      </c>
      <c r="BB30" s="5" cm="1">
        <f t="array" aca="1" ref="BB30" ca="1">_xll.IMDP("IR",$AA30,N$5,$C$8)</f>
        <v>3.3159999999999998</v>
      </c>
      <c r="BC30" s="5" cm="1">
        <f t="array" aca="1" ref="BC30" ca="1">_xll.IMDP("IR",$AA30,O$5,$C$8)</f>
        <v>3.4319999999999999</v>
      </c>
      <c r="BD30" s="5" cm="1">
        <f t="array" aca="1" ref="BD30" ca="1">_xll.IMDP("IR",$AA30,P$5,$C$8)</f>
        <v>3.657</v>
      </c>
      <c r="BE30" s="5" cm="1">
        <f t="array" aca="1" ref="BE30" ca="1">_xll.IMDP("IR",$AA30,Q$5,$C$8)</f>
        <v>3.8370000000000002</v>
      </c>
      <c r="BF30" s="5" cm="1">
        <f t="array" aca="1" ref="BF30" ca="1">_xll.IMDP("IR",$AA30,R$5,$C$8)</f>
        <v>3.9430000000000001</v>
      </c>
      <c r="BG30" s="5" cm="1">
        <f t="array" aca="1" ref="BG30" ca="1">_xll.IMDP("IR",$AA30,S$5,$C$8)</f>
        <v>0</v>
      </c>
      <c r="BH30" s="5" cm="1">
        <f t="array" aca="1" ref="BH30" ca="1">_xll.IMDP("IR",$AA30,T$5,$C$8)</f>
        <v>0</v>
      </c>
    </row>
    <row r="31" spans="2:60" ht="13.5" customHeight="1" x14ac:dyDescent="0.3">
      <c r="B31" s="70"/>
      <c r="C31" s="71"/>
      <c r="D31" s="23" t="s">
        <v>638</v>
      </c>
      <c r="E31" s="24">
        <f t="shared" ca="1" si="2"/>
        <v>3.6240000000000001</v>
      </c>
      <c r="F31" s="24">
        <f t="shared" ca="1" si="2"/>
        <v>3.621</v>
      </c>
      <c r="G31" s="24">
        <f t="shared" ca="1" si="2"/>
        <v>3.5670000000000002</v>
      </c>
      <c r="H31" s="24">
        <f t="shared" ca="1" si="2"/>
        <v>3.56</v>
      </c>
      <c r="I31" s="24">
        <f t="shared" ca="1" si="2"/>
        <v>3.5550000000000002</v>
      </c>
      <c r="J31" s="24">
        <f t="shared" ca="1" si="2"/>
        <v>3.5529999999999999</v>
      </c>
      <c r="K31" s="24">
        <f t="shared" ca="1" si="2"/>
        <v>3.5569999999999999</v>
      </c>
      <c r="L31" s="24">
        <f t="shared" ca="1" si="2"/>
        <v>3.552</v>
      </c>
      <c r="M31" s="24">
        <f t="shared" ca="1" si="2"/>
        <v>3.55</v>
      </c>
      <c r="N31" s="24">
        <f t="shared" ca="1" si="2"/>
        <v>3.5859999999999999</v>
      </c>
      <c r="O31" s="24">
        <f t="shared" ca="1" si="2"/>
        <v>3.7330000000000001</v>
      </c>
      <c r="P31" s="24">
        <f t="shared" ca="1" si="2"/>
        <v>4.0019999999999998</v>
      </c>
      <c r="Q31" s="24">
        <f t="shared" ca="1" si="2"/>
        <v>4.1749999999999998</v>
      </c>
      <c r="R31" s="24">
        <f t="shared" ca="1" si="2"/>
        <v>4.3010000000000002</v>
      </c>
      <c r="S31" s="24" t="str">
        <f t="shared" ca="1" si="2"/>
        <v/>
      </c>
      <c r="T31" s="25" t="str">
        <f t="shared" ca="1" si="2"/>
        <v/>
      </c>
      <c r="U31" s="17"/>
      <c r="Z31" s="18">
        <f>ROWS($Z$11:Z31)</f>
        <v>21</v>
      </c>
      <c r="AA31" s="18" t="str" cm="1">
        <f t="array" ref="AA31">INDEX(code!$E$2:$K$72,시가평가Matrix!$Z31,$D$3)</f>
        <v>BONDAVG22</v>
      </c>
      <c r="AB31" s="19" cm="1">
        <f t="array" aca="1" ref="AB31" ca="1">IF( OR($AA31=0,AS31=0), "", _xll.IMDP("IR",$AA31,E$6,$C$8) )</f>
        <v>3.6240000000000001</v>
      </c>
      <c r="AC31" s="19" cm="1">
        <f t="array" aca="1" ref="AC31" ca="1">IF( OR($AA31=0,AT31=0), "", _xll.IMDP("IR",$AA31,F$6,$C$8) )</f>
        <v>3.621</v>
      </c>
      <c r="AD31" s="19" cm="1">
        <f t="array" aca="1" ref="AD31" ca="1">IF( OR($AA31=0,AU31=0), "", _xll.IMDP("IR",$AA31,G$6,$C$8) )</f>
        <v>3.5670000000000002</v>
      </c>
      <c r="AE31" s="19" cm="1">
        <f t="array" aca="1" ref="AE31" ca="1">IF( OR($AA31=0,AV31=0), "", _xll.IMDP("IR",$AA31,H$6,$C$8) )</f>
        <v>3.56</v>
      </c>
      <c r="AF31" s="19" cm="1">
        <f t="array" aca="1" ref="AF31" ca="1">IF( OR($AA31=0,AW31=0), "", _xll.IMDP("IR",$AA31,I$6,$C$8) )</f>
        <v>3.5550000000000002</v>
      </c>
      <c r="AG31" s="19" cm="1">
        <f t="array" aca="1" ref="AG31" ca="1">IF( OR($AA31=0,AX31=0), "", _xll.IMDP("IR",$AA31,J$6,$C$8) )</f>
        <v>3.5529999999999999</v>
      </c>
      <c r="AH31" s="19" cm="1">
        <f t="array" aca="1" ref="AH31" ca="1">IF( OR($AA31=0,AY31=0), "", _xll.IMDP("IR",$AA31,K$6,$C$8) )</f>
        <v>3.5569999999999999</v>
      </c>
      <c r="AI31" s="19" cm="1">
        <f t="array" aca="1" ref="AI31" ca="1">IF( OR($AA31=0,AZ31=0), "", _xll.IMDP("IR",$AA31,L$6,$C$8) )</f>
        <v>3.552</v>
      </c>
      <c r="AJ31" s="19" cm="1">
        <f t="array" aca="1" ref="AJ31" ca="1">IF( OR($AA31=0,BA31=0), "", _xll.IMDP("IR",$AA31,M$6,$C$8) )</f>
        <v>3.55</v>
      </c>
      <c r="AK31" s="19" cm="1">
        <f t="array" aca="1" ref="AK31" ca="1">IF( OR($AA31=0,BB31=0), "", _xll.IMDP("IR",$AA31,N$6,$C$8) )</f>
        <v>3.5859999999999999</v>
      </c>
      <c r="AL31" s="19" cm="1">
        <f t="array" aca="1" ref="AL31" ca="1">IF( OR($AA31=0,BC31=0), "", _xll.IMDP("IR",$AA31,O$6,$C$8) )</f>
        <v>3.7330000000000001</v>
      </c>
      <c r="AM31" s="19" cm="1">
        <f t="array" aca="1" ref="AM31" ca="1">IF( OR($AA31=0,BD31=0), "", _xll.IMDP("IR",$AA31,P$6,$C$8) )</f>
        <v>4.0019999999999998</v>
      </c>
      <c r="AN31" s="19" cm="1">
        <f t="array" aca="1" ref="AN31" ca="1">IF( OR($AA31=0,BE31=0), "", _xll.IMDP("IR",$AA31,Q$6,$C$8) )</f>
        <v>4.1749999999999998</v>
      </c>
      <c r="AO31" s="19" cm="1">
        <f t="array" aca="1" ref="AO31" ca="1">IF( OR($AA31=0,BF31=0), "", _xll.IMDP("IR",$AA31,R$6,$C$8) )</f>
        <v>4.3010000000000002</v>
      </c>
      <c r="AP31" s="19" t="str" cm="1">
        <f t="array" aca="1" ref="AP31" ca="1">IF( OR($AA31=0,BG31=0), "", _xll.IMDP("IR",$AA31,S$6,$C$8) )</f>
        <v/>
      </c>
      <c r="AQ31" s="19" t="str" cm="1">
        <f t="array" aca="1" ref="AQ31" ca="1">IF( OR($AA31=0,BH31=0), "", _xll.IMDP("IR",$AA31,T$6,$C$8) )</f>
        <v/>
      </c>
      <c r="AR31" s="5"/>
      <c r="AS31" s="20" cm="1">
        <f t="array" aca="1" ref="AS31" ca="1">_xll.IMDP("IR",$AA31,E$5,$C$8)</f>
        <v>3.6240000000000001</v>
      </c>
      <c r="AT31" s="5" cm="1">
        <f t="array" aca="1" ref="AT31" ca="1">_xll.IMDP("IR",$AA31,F$5,$C$8)</f>
        <v>3.621</v>
      </c>
      <c r="AU31" s="5" cm="1">
        <f t="array" aca="1" ref="AU31" ca="1">_xll.IMDP("IR",$AA31,G$5,$C$8)</f>
        <v>3.5670000000000002</v>
      </c>
      <c r="AV31" s="5" cm="1">
        <f t="array" aca="1" ref="AV31" ca="1">_xll.IMDP("IR",$AA31,H$5,$C$8)</f>
        <v>3.56</v>
      </c>
      <c r="AW31" s="5" cm="1">
        <f t="array" aca="1" ref="AW31" ca="1">_xll.IMDP("IR",$AA31,I$5,$C$8)</f>
        <v>3.5550000000000002</v>
      </c>
      <c r="AX31" s="5" cm="1">
        <f t="array" aca="1" ref="AX31" ca="1">_xll.IMDP("IR",$AA31,J$5,$C$8)</f>
        <v>3.5529999999999999</v>
      </c>
      <c r="AY31" s="5" cm="1">
        <f t="array" aca="1" ref="AY31" ca="1">_xll.IMDP("IR",$AA31,K$5,$C$8)</f>
        <v>3.5569999999999999</v>
      </c>
      <c r="AZ31" s="5" cm="1">
        <f t="array" aca="1" ref="AZ31" ca="1">_xll.IMDP("IR",$AA31,L$5,$C$8)</f>
        <v>3.552</v>
      </c>
      <c r="BA31" s="5" cm="1">
        <f t="array" aca="1" ref="BA31" ca="1">_xll.IMDP("IR",$AA31,M$5,$C$8)</f>
        <v>3.55</v>
      </c>
      <c r="BB31" s="5" cm="1">
        <f t="array" aca="1" ref="BB31" ca="1">_xll.IMDP("IR",$AA31,N$5,$C$8)</f>
        <v>3.5859999999999999</v>
      </c>
      <c r="BC31" s="5" cm="1">
        <f t="array" aca="1" ref="BC31" ca="1">_xll.IMDP("IR",$AA31,O$5,$C$8)</f>
        <v>3.7330000000000001</v>
      </c>
      <c r="BD31" s="5" cm="1">
        <f t="array" aca="1" ref="BD31" ca="1">_xll.IMDP("IR",$AA31,P$5,$C$8)</f>
        <v>4.0019999999999998</v>
      </c>
      <c r="BE31" s="5" cm="1">
        <f t="array" aca="1" ref="BE31" ca="1">_xll.IMDP("IR",$AA31,Q$5,$C$8)</f>
        <v>4.1749999999999998</v>
      </c>
      <c r="BF31" s="5" cm="1">
        <f t="array" aca="1" ref="BF31" ca="1">_xll.IMDP("IR",$AA31,R$5,$C$8)</f>
        <v>4.3010000000000002</v>
      </c>
      <c r="BG31" s="5" cm="1">
        <f t="array" aca="1" ref="BG31" ca="1">_xll.IMDP("IR",$AA31,S$5,$C$8)</f>
        <v>0</v>
      </c>
      <c r="BH31" s="5" cm="1">
        <f t="array" aca="1" ref="BH31" ca="1">_xll.IMDP("IR",$AA31,T$5,$C$8)</f>
        <v>0</v>
      </c>
    </row>
    <row r="32" spans="2:60" ht="13.5" customHeight="1" x14ac:dyDescent="0.3">
      <c r="B32" s="70"/>
      <c r="C32" s="71"/>
      <c r="D32" s="23" t="s">
        <v>639</v>
      </c>
      <c r="E32" s="24">
        <f t="shared" ca="1" si="2"/>
        <v>3.7469999999999999</v>
      </c>
      <c r="F32" s="24">
        <f t="shared" ca="1" si="2"/>
        <v>3.8279999999999998</v>
      </c>
      <c r="G32" s="24">
        <f t="shared" ca="1" si="2"/>
        <v>3.8119999999999998</v>
      </c>
      <c r="H32" s="24">
        <f t="shared" ca="1" si="2"/>
        <v>3.8180000000000001</v>
      </c>
      <c r="I32" s="24">
        <f t="shared" ca="1" si="2"/>
        <v>3.8109999999999999</v>
      </c>
      <c r="J32" s="24">
        <f t="shared" ca="1" si="2"/>
        <v>3.8050000000000002</v>
      </c>
      <c r="K32" s="24">
        <f t="shared" ca="1" si="2"/>
        <v>3.7989999999999999</v>
      </c>
      <c r="L32" s="24">
        <f t="shared" ca="1" si="2"/>
        <v>3.7930000000000001</v>
      </c>
      <c r="M32" s="24">
        <f t="shared" ca="1" si="2"/>
        <v>3.782</v>
      </c>
      <c r="N32" s="24">
        <f t="shared" ca="1" si="2"/>
        <v>3.82</v>
      </c>
      <c r="O32" s="24">
        <f t="shared" ca="1" si="2"/>
        <v>3.9780000000000002</v>
      </c>
      <c r="P32" s="24">
        <f t="shared" ca="1" si="2"/>
        <v>4.2839999999999998</v>
      </c>
      <c r="Q32" s="24">
        <f t="shared" ca="1" si="2"/>
        <v>4.4260000000000002</v>
      </c>
      <c r="R32" s="24">
        <f t="shared" ca="1" si="2"/>
        <v>4.524</v>
      </c>
      <c r="S32" s="24" t="str">
        <f t="shared" ca="1" si="2"/>
        <v/>
      </c>
      <c r="T32" s="25" t="str">
        <f t="shared" ca="1" si="2"/>
        <v/>
      </c>
      <c r="U32" s="17"/>
      <c r="Z32" s="18">
        <f>ROWS($Z$11:Z32)</f>
        <v>22</v>
      </c>
      <c r="AA32" s="18" t="str" cm="1">
        <f t="array" ref="AA32">INDEX(code!$E$2:$K$72,시가평가Matrix!$Z32,$D$3)</f>
        <v>BONDAVG23</v>
      </c>
      <c r="AB32" s="19" cm="1">
        <f t="array" aca="1" ref="AB32" ca="1">IF( OR($AA32=0,AS32=0), "", _xll.IMDP("IR",$AA32,E$6,$C$8) )</f>
        <v>3.7469999999999999</v>
      </c>
      <c r="AC32" s="19" cm="1">
        <f t="array" aca="1" ref="AC32" ca="1">IF( OR($AA32=0,AT32=0), "", _xll.IMDP("IR",$AA32,F$6,$C$8) )</f>
        <v>3.8279999999999998</v>
      </c>
      <c r="AD32" s="19" cm="1">
        <f t="array" aca="1" ref="AD32" ca="1">IF( OR($AA32=0,AU32=0), "", _xll.IMDP("IR",$AA32,G$6,$C$8) )</f>
        <v>3.8119999999999998</v>
      </c>
      <c r="AE32" s="19" cm="1">
        <f t="array" aca="1" ref="AE32" ca="1">IF( OR($AA32=0,AV32=0), "", _xll.IMDP("IR",$AA32,H$6,$C$8) )</f>
        <v>3.8180000000000001</v>
      </c>
      <c r="AF32" s="19" cm="1">
        <f t="array" aca="1" ref="AF32" ca="1">IF( OR($AA32=0,AW32=0), "", _xll.IMDP("IR",$AA32,I$6,$C$8) )</f>
        <v>3.8109999999999999</v>
      </c>
      <c r="AG32" s="19" cm="1">
        <f t="array" aca="1" ref="AG32" ca="1">IF( OR($AA32=0,AX32=0), "", _xll.IMDP("IR",$AA32,J$6,$C$8) )</f>
        <v>3.8050000000000002</v>
      </c>
      <c r="AH32" s="19" cm="1">
        <f t="array" aca="1" ref="AH32" ca="1">IF( OR($AA32=0,AY32=0), "", _xll.IMDP("IR",$AA32,K$6,$C$8) )</f>
        <v>3.7989999999999999</v>
      </c>
      <c r="AI32" s="19" cm="1">
        <f t="array" aca="1" ref="AI32" ca="1">IF( OR($AA32=0,AZ32=0), "", _xll.IMDP("IR",$AA32,L$6,$C$8) )</f>
        <v>3.7930000000000001</v>
      </c>
      <c r="AJ32" s="19" cm="1">
        <f t="array" aca="1" ref="AJ32" ca="1">IF( OR($AA32=0,BA32=0), "", _xll.IMDP("IR",$AA32,M$6,$C$8) )</f>
        <v>3.782</v>
      </c>
      <c r="AK32" s="19" cm="1">
        <f t="array" aca="1" ref="AK32" ca="1">IF( OR($AA32=0,BB32=0), "", _xll.IMDP("IR",$AA32,N$6,$C$8) )</f>
        <v>3.82</v>
      </c>
      <c r="AL32" s="19" cm="1">
        <f t="array" aca="1" ref="AL32" ca="1">IF( OR($AA32=0,BC32=0), "", _xll.IMDP("IR",$AA32,O$6,$C$8) )</f>
        <v>3.9780000000000002</v>
      </c>
      <c r="AM32" s="19" cm="1">
        <f t="array" aca="1" ref="AM32" ca="1">IF( OR($AA32=0,BD32=0), "", _xll.IMDP("IR",$AA32,P$6,$C$8) )</f>
        <v>4.2839999999999998</v>
      </c>
      <c r="AN32" s="19" cm="1">
        <f t="array" aca="1" ref="AN32" ca="1">IF( OR($AA32=0,BE32=0), "", _xll.IMDP("IR",$AA32,Q$6,$C$8) )</f>
        <v>4.4260000000000002</v>
      </c>
      <c r="AO32" s="19" cm="1">
        <f t="array" aca="1" ref="AO32" ca="1">IF( OR($AA32=0,BF32=0), "", _xll.IMDP("IR",$AA32,R$6,$C$8) )</f>
        <v>4.524</v>
      </c>
      <c r="AP32" s="19" t="str" cm="1">
        <f t="array" aca="1" ref="AP32" ca="1">IF( OR($AA32=0,BG32=0), "", _xll.IMDP("IR",$AA32,S$6,$C$8) )</f>
        <v/>
      </c>
      <c r="AQ32" s="19" t="str" cm="1">
        <f t="array" aca="1" ref="AQ32" ca="1">IF( OR($AA32=0,BH32=0), "", _xll.IMDP("IR",$AA32,T$6,$C$8) )</f>
        <v/>
      </c>
      <c r="AR32" s="5"/>
      <c r="AS32" s="20" cm="1">
        <f t="array" aca="1" ref="AS32" ca="1">_xll.IMDP("IR",$AA32,E$5,$C$8)</f>
        <v>3.7469999999999999</v>
      </c>
      <c r="AT32" s="5" cm="1">
        <f t="array" aca="1" ref="AT32" ca="1">_xll.IMDP("IR",$AA32,F$5,$C$8)</f>
        <v>3.8279999999999998</v>
      </c>
      <c r="AU32" s="5" cm="1">
        <f t="array" aca="1" ref="AU32" ca="1">_xll.IMDP("IR",$AA32,G$5,$C$8)</f>
        <v>3.8119999999999998</v>
      </c>
      <c r="AV32" s="5" cm="1">
        <f t="array" aca="1" ref="AV32" ca="1">_xll.IMDP("IR",$AA32,H$5,$C$8)</f>
        <v>3.8180000000000001</v>
      </c>
      <c r="AW32" s="5" cm="1">
        <f t="array" aca="1" ref="AW32" ca="1">_xll.IMDP("IR",$AA32,I$5,$C$8)</f>
        <v>3.8109999999999999</v>
      </c>
      <c r="AX32" s="5" cm="1">
        <f t="array" aca="1" ref="AX32" ca="1">_xll.IMDP("IR",$AA32,J$5,$C$8)</f>
        <v>3.8050000000000002</v>
      </c>
      <c r="AY32" s="5" cm="1">
        <f t="array" aca="1" ref="AY32" ca="1">_xll.IMDP("IR",$AA32,K$5,$C$8)</f>
        <v>3.7989999999999999</v>
      </c>
      <c r="AZ32" s="5" cm="1">
        <f t="array" aca="1" ref="AZ32" ca="1">_xll.IMDP("IR",$AA32,L$5,$C$8)</f>
        <v>3.7930000000000001</v>
      </c>
      <c r="BA32" s="5" cm="1">
        <f t="array" aca="1" ref="BA32" ca="1">_xll.IMDP("IR",$AA32,M$5,$C$8)</f>
        <v>3.782</v>
      </c>
      <c r="BB32" s="5" cm="1">
        <f t="array" aca="1" ref="BB32" ca="1">_xll.IMDP("IR",$AA32,N$5,$C$8)</f>
        <v>3.82</v>
      </c>
      <c r="BC32" s="5" cm="1">
        <f t="array" aca="1" ref="BC32" ca="1">_xll.IMDP("IR",$AA32,O$5,$C$8)</f>
        <v>3.9780000000000002</v>
      </c>
      <c r="BD32" s="5" cm="1">
        <f t="array" aca="1" ref="BD32" ca="1">_xll.IMDP("IR",$AA32,P$5,$C$8)</f>
        <v>4.2839999999999998</v>
      </c>
      <c r="BE32" s="5" cm="1">
        <f t="array" aca="1" ref="BE32" ca="1">_xll.IMDP("IR",$AA32,Q$5,$C$8)</f>
        <v>4.4260000000000002</v>
      </c>
      <c r="BF32" s="5" cm="1">
        <f t="array" aca="1" ref="BF32" ca="1">_xll.IMDP("IR",$AA32,R$5,$C$8)</f>
        <v>4.524</v>
      </c>
      <c r="BG32" s="5" cm="1">
        <f t="array" aca="1" ref="BG32" ca="1">_xll.IMDP("IR",$AA32,S$5,$C$8)</f>
        <v>0</v>
      </c>
      <c r="BH32" s="5" cm="1">
        <f t="array" aca="1" ref="BH32" ca="1">_xll.IMDP("IR",$AA32,T$5,$C$8)</f>
        <v>0</v>
      </c>
    </row>
    <row r="33" spans="2:60" ht="13.5" customHeight="1" x14ac:dyDescent="0.3">
      <c r="B33" s="70"/>
      <c r="C33" s="71"/>
      <c r="D33" s="23" t="s">
        <v>648</v>
      </c>
      <c r="E33" s="24">
        <f t="shared" ca="1" si="2"/>
        <v>3.8639999999999999</v>
      </c>
      <c r="F33" s="24">
        <f t="shared" ca="1" si="2"/>
        <v>3.919</v>
      </c>
      <c r="G33" s="24">
        <f t="shared" ca="1" si="2"/>
        <v>3.903</v>
      </c>
      <c r="H33" s="24">
        <f t="shared" ca="1" si="2"/>
        <v>3.9140000000000001</v>
      </c>
      <c r="I33" s="24">
        <f t="shared" ca="1" si="2"/>
        <v>3.9220000000000002</v>
      </c>
      <c r="J33" s="24">
        <f t="shared" ca="1" si="2"/>
        <v>3.9220000000000002</v>
      </c>
      <c r="K33" s="24">
        <f t="shared" ca="1" si="2"/>
        <v>3.92</v>
      </c>
      <c r="L33" s="24">
        <f t="shared" ca="1" si="2"/>
        <v>3.9169999999999998</v>
      </c>
      <c r="M33" s="24">
        <f t="shared" ca="1" si="2"/>
        <v>3.919</v>
      </c>
      <c r="N33" s="24">
        <f t="shared" ca="1" si="2"/>
        <v>3.9609999999999999</v>
      </c>
      <c r="O33" s="24">
        <f t="shared" ca="1" si="2"/>
        <v>4.141</v>
      </c>
      <c r="P33" s="24">
        <f t="shared" ca="1" si="2"/>
        <v>4.4820000000000002</v>
      </c>
      <c r="Q33" s="24">
        <f t="shared" ca="1" si="2"/>
        <v>4.63</v>
      </c>
      <c r="R33" s="24">
        <f t="shared" ca="1" si="2"/>
        <v>4.7320000000000002</v>
      </c>
      <c r="S33" s="24" t="str">
        <f t="shared" ca="1" si="2"/>
        <v/>
      </c>
      <c r="T33" s="25" t="str">
        <f t="shared" ca="1" si="2"/>
        <v/>
      </c>
      <c r="U33" s="17"/>
      <c r="Z33" s="18">
        <f>ROWS($Z$11:Z33)</f>
        <v>23</v>
      </c>
      <c r="AA33" s="18" t="str" cm="1">
        <f t="array" ref="AA33">INDEX(code!$E$2:$K$72,시가평가Matrix!$Z33,$D$3)</f>
        <v>BONDAVG24</v>
      </c>
      <c r="AB33" s="19" cm="1">
        <f t="array" aca="1" ref="AB33" ca="1">IF( OR($AA33=0,AS33=0), "", _xll.IMDP("IR",$AA33,E$6,$C$8) )</f>
        <v>3.8639999999999999</v>
      </c>
      <c r="AC33" s="19" cm="1">
        <f t="array" aca="1" ref="AC33" ca="1">IF( OR($AA33=0,AT33=0), "", _xll.IMDP("IR",$AA33,F$6,$C$8) )</f>
        <v>3.919</v>
      </c>
      <c r="AD33" s="19" cm="1">
        <f t="array" aca="1" ref="AD33" ca="1">IF( OR($AA33=0,AU33=0), "", _xll.IMDP("IR",$AA33,G$6,$C$8) )</f>
        <v>3.903</v>
      </c>
      <c r="AE33" s="19" cm="1">
        <f t="array" aca="1" ref="AE33" ca="1">IF( OR($AA33=0,AV33=0), "", _xll.IMDP("IR",$AA33,H$6,$C$8) )</f>
        <v>3.9140000000000001</v>
      </c>
      <c r="AF33" s="19" cm="1">
        <f t="array" aca="1" ref="AF33" ca="1">IF( OR($AA33=0,AW33=0), "", _xll.IMDP("IR",$AA33,I$6,$C$8) )</f>
        <v>3.9220000000000002</v>
      </c>
      <c r="AG33" s="19" cm="1">
        <f t="array" aca="1" ref="AG33" ca="1">IF( OR($AA33=0,AX33=0), "", _xll.IMDP("IR",$AA33,J$6,$C$8) )</f>
        <v>3.9220000000000002</v>
      </c>
      <c r="AH33" s="19" cm="1">
        <f t="array" aca="1" ref="AH33" ca="1">IF( OR($AA33=0,AY33=0), "", _xll.IMDP("IR",$AA33,K$6,$C$8) )</f>
        <v>3.92</v>
      </c>
      <c r="AI33" s="19" cm="1">
        <f t="array" aca="1" ref="AI33" ca="1">IF( OR($AA33=0,AZ33=0), "", _xll.IMDP("IR",$AA33,L$6,$C$8) )</f>
        <v>3.9169999999999998</v>
      </c>
      <c r="AJ33" s="19" cm="1">
        <f t="array" aca="1" ref="AJ33" ca="1">IF( OR($AA33=0,BA33=0), "", _xll.IMDP("IR",$AA33,M$6,$C$8) )</f>
        <v>3.919</v>
      </c>
      <c r="AK33" s="19" cm="1">
        <f t="array" aca="1" ref="AK33" ca="1">IF( OR($AA33=0,BB33=0), "", _xll.IMDP("IR",$AA33,N$6,$C$8) )</f>
        <v>3.9609999999999999</v>
      </c>
      <c r="AL33" s="19" cm="1">
        <f t="array" aca="1" ref="AL33" ca="1">IF( OR($AA33=0,BC33=0), "", _xll.IMDP("IR",$AA33,O$6,$C$8) )</f>
        <v>4.141</v>
      </c>
      <c r="AM33" s="19" cm="1">
        <f t="array" aca="1" ref="AM33" ca="1">IF( OR($AA33=0,BD33=0), "", _xll.IMDP("IR",$AA33,P$6,$C$8) )</f>
        <v>4.4820000000000002</v>
      </c>
      <c r="AN33" s="19" cm="1">
        <f t="array" aca="1" ref="AN33" ca="1">IF( OR($AA33=0,BE33=0), "", _xll.IMDP("IR",$AA33,Q$6,$C$8) )</f>
        <v>4.63</v>
      </c>
      <c r="AO33" s="19" cm="1">
        <f t="array" aca="1" ref="AO33" ca="1">IF( OR($AA33=0,BF33=0), "", _xll.IMDP("IR",$AA33,R$6,$C$8) )</f>
        <v>4.7320000000000002</v>
      </c>
      <c r="AP33" s="19" t="str" cm="1">
        <f t="array" aca="1" ref="AP33" ca="1">IF( OR($AA33=0,BG33=0), "", _xll.IMDP("IR",$AA33,S$6,$C$8) )</f>
        <v/>
      </c>
      <c r="AQ33" s="19" t="str" cm="1">
        <f t="array" aca="1" ref="AQ33" ca="1">IF( OR($AA33=0,BH33=0), "", _xll.IMDP("IR",$AA33,T$6,$C$8) )</f>
        <v/>
      </c>
      <c r="AR33" s="5"/>
      <c r="AS33" s="20" cm="1">
        <f t="array" aca="1" ref="AS33" ca="1">_xll.IMDP("IR",$AA33,E$5,$C$8)</f>
        <v>3.8639999999999999</v>
      </c>
      <c r="AT33" s="5" cm="1">
        <f t="array" aca="1" ref="AT33" ca="1">_xll.IMDP("IR",$AA33,F$5,$C$8)</f>
        <v>3.919</v>
      </c>
      <c r="AU33" s="5" cm="1">
        <f t="array" aca="1" ref="AU33" ca="1">_xll.IMDP("IR",$AA33,G$5,$C$8)</f>
        <v>3.903</v>
      </c>
      <c r="AV33" s="5" cm="1">
        <f t="array" aca="1" ref="AV33" ca="1">_xll.IMDP("IR",$AA33,H$5,$C$8)</f>
        <v>3.9140000000000001</v>
      </c>
      <c r="AW33" s="5" cm="1">
        <f t="array" aca="1" ref="AW33" ca="1">_xll.IMDP("IR",$AA33,I$5,$C$8)</f>
        <v>3.9220000000000002</v>
      </c>
      <c r="AX33" s="5" cm="1">
        <f t="array" aca="1" ref="AX33" ca="1">_xll.IMDP("IR",$AA33,J$5,$C$8)</f>
        <v>3.9220000000000002</v>
      </c>
      <c r="AY33" s="5" cm="1">
        <f t="array" aca="1" ref="AY33" ca="1">_xll.IMDP("IR",$AA33,K$5,$C$8)</f>
        <v>3.92</v>
      </c>
      <c r="AZ33" s="5" cm="1">
        <f t="array" aca="1" ref="AZ33" ca="1">_xll.IMDP("IR",$AA33,L$5,$C$8)</f>
        <v>3.9169999999999998</v>
      </c>
      <c r="BA33" s="5" cm="1">
        <f t="array" aca="1" ref="BA33" ca="1">_xll.IMDP("IR",$AA33,M$5,$C$8)</f>
        <v>3.919</v>
      </c>
      <c r="BB33" s="5" cm="1">
        <f t="array" aca="1" ref="BB33" ca="1">_xll.IMDP("IR",$AA33,N$5,$C$8)</f>
        <v>3.9609999999999999</v>
      </c>
      <c r="BC33" s="5" cm="1">
        <f t="array" aca="1" ref="BC33" ca="1">_xll.IMDP("IR",$AA33,O$5,$C$8)</f>
        <v>4.141</v>
      </c>
      <c r="BD33" s="5" cm="1">
        <f t="array" aca="1" ref="BD33" ca="1">_xll.IMDP("IR",$AA33,P$5,$C$8)</f>
        <v>4.4820000000000002</v>
      </c>
      <c r="BE33" s="5" cm="1">
        <f t="array" aca="1" ref="BE33" ca="1">_xll.IMDP("IR",$AA33,Q$5,$C$8)</f>
        <v>4.63</v>
      </c>
      <c r="BF33" s="5" cm="1">
        <f t="array" aca="1" ref="BF33" ca="1">_xll.IMDP("IR",$AA33,R$5,$C$8)</f>
        <v>4.7320000000000002</v>
      </c>
      <c r="BG33" s="5" cm="1">
        <f t="array" aca="1" ref="BG33" ca="1">_xll.IMDP("IR",$AA33,S$5,$C$8)</f>
        <v>0</v>
      </c>
      <c r="BH33" s="5" cm="1">
        <f t="array" aca="1" ref="BH33" ca="1">_xll.IMDP("IR",$AA33,T$5,$C$8)</f>
        <v>0</v>
      </c>
    </row>
    <row r="34" spans="2:60" ht="13.5" customHeight="1" x14ac:dyDescent="0.3">
      <c r="B34" s="70"/>
      <c r="C34" s="71"/>
      <c r="D34" s="23" t="s">
        <v>649</v>
      </c>
      <c r="E34" s="24">
        <f t="shared" ca="1" si="2"/>
        <v>3.952</v>
      </c>
      <c r="F34" s="24">
        <f t="shared" ca="1" si="2"/>
        <v>3.99</v>
      </c>
      <c r="G34" s="24">
        <f t="shared" ca="1" si="2"/>
        <v>3.9910000000000001</v>
      </c>
      <c r="H34" s="24">
        <f t="shared" ca="1" si="2"/>
        <v>4.0049999999999999</v>
      </c>
      <c r="I34" s="24">
        <f t="shared" ca="1" si="2"/>
        <v>4.0119999999999996</v>
      </c>
      <c r="J34" s="24">
        <f t="shared" ca="1" si="2"/>
        <v>4.0209999999999999</v>
      </c>
      <c r="K34" s="24">
        <f t="shared" ca="1" si="2"/>
        <v>4.0199999999999996</v>
      </c>
      <c r="L34" s="24">
        <f t="shared" ca="1" si="2"/>
        <v>4.0190000000000001</v>
      </c>
      <c r="M34" s="24">
        <f t="shared" ca="1" si="2"/>
        <v>4.0209999999999999</v>
      </c>
      <c r="N34" s="24">
        <f t="shared" ca="1" si="2"/>
        <v>4.0780000000000003</v>
      </c>
      <c r="O34" s="24">
        <f t="shared" ca="1" si="2"/>
        <v>4.2690000000000001</v>
      </c>
      <c r="P34" s="24">
        <f t="shared" ca="1" si="2"/>
        <v>4.6529999999999996</v>
      </c>
      <c r="Q34" s="24">
        <f t="shared" ca="1" si="2"/>
        <v>4.7839999999999998</v>
      </c>
      <c r="R34" s="24">
        <f t="shared" ca="1" si="2"/>
        <v>4.9039999999999999</v>
      </c>
      <c r="S34" s="24" t="str">
        <f t="shared" ca="1" si="2"/>
        <v/>
      </c>
      <c r="T34" s="25" t="str">
        <f t="shared" ca="1" si="2"/>
        <v/>
      </c>
      <c r="U34" s="17"/>
      <c r="Z34" s="18">
        <f>ROWS($Z$11:Z34)</f>
        <v>24</v>
      </c>
      <c r="AA34" s="18" t="str" cm="1">
        <f t="array" ref="AA34">INDEX(code!$E$2:$K$72,시가평가Matrix!$Z34,$D$3)</f>
        <v>BONDAVG25</v>
      </c>
      <c r="AB34" s="19" cm="1">
        <f t="array" aca="1" ref="AB34" ca="1">IF( OR($AA34=0,AS34=0), "", _xll.IMDP("IR",$AA34,E$6,$C$8) )</f>
        <v>3.952</v>
      </c>
      <c r="AC34" s="19" cm="1">
        <f t="array" aca="1" ref="AC34" ca="1">IF( OR($AA34=0,AT34=0), "", _xll.IMDP("IR",$AA34,F$6,$C$8) )</f>
        <v>3.99</v>
      </c>
      <c r="AD34" s="19" cm="1">
        <f t="array" aca="1" ref="AD34" ca="1">IF( OR($AA34=0,AU34=0), "", _xll.IMDP("IR",$AA34,G$6,$C$8) )</f>
        <v>3.9910000000000001</v>
      </c>
      <c r="AE34" s="19" cm="1">
        <f t="array" aca="1" ref="AE34" ca="1">IF( OR($AA34=0,AV34=0), "", _xll.IMDP("IR",$AA34,H$6,$C$8) )</f>
        <v>4.0049999999999999</v>
      </c>
      <c r="AF34" s="19" cm="1">
        <f t="array" aca="1" ref="AF34" ca="1">IF( OR($AA34=0,AW34=0), "", _xll.IMDP("IR",$AA34,I$6,$C$8) )</f>
        <v>4.0119999999999996</v>
      </c>
      <c r="AG34" s="19" cm="1">
        <f t="array" aca="1" ref="AG34" ca="1">IF( OR($AA34=0,AX34=0), "", _xll.IMDP("IR",$AA34,J$6,$C$8) )</f>
        <v>4.0209999999999999</v>
      </c>
      <c r="AH34" s="19" cm="1">
        <f t="array" aca="1" ref="AH34" ca="1">IF( OR($AA34=0,AY34=0), "", _xll.IMDP("IR",$AA34,K$6,$C$8) )</f>
        <v>4.0199999999999996</v>
      </c>
      <c r="AI34" s="19" cm="1">
        <f t="array" aca="1" ref="AI34" ca="1">IF( OR($AA34=0,AZ34=0), "", _xll.IMDP("IR",$AA34,L$6,$C$8) )</f>
        <v>4.0190000000000001</v>
      </c>
      <c r="AJ34" s="19" cm="1">
        <f t="array" aca="1" ref="AJ34" ca="1">IF( OR($AA34=0,BA34=0), "", _xll.IMDP("IR",$AA34,M$6,$C$8) )</f>
        <v>4.0209999999999999</v>
      </c>
      <c r="AK34" s="19" cm="1">
        <f t="array" aca="1" ref="AK34" ca="1">IF( OR($AA34=0,BB34=0), "", _xll.IMDP("IR",$AA34,N$6,$C$8) )</f>
        <v>4.0780000000000003</v>
      </c>
      <c r="AL34" s="19" cm="1">
        <f t="array" aca="1" ref="AL34" ca="1">IF( OR($AA34=0,BC34=0), "", _xll.IMDP("IR",$AA34,O$6,$C$8) )</f>
        <v>4.2690000000000001</v>
      </c>
      <c r="AM34" s="19" cm="1">
        <f t="array" aca="1" ref="AM34" ca="1">IF( OR($AA34=0,BD34=0), "", _xll.IMDP("IR",$AA34,P$6,$C$8) )</f>
        <v>4.6529999999999996</v>
      </c>
      <c r="AN34" s="19" cm="1">
        <f t="array" aca="1" ref="AN34" ca="1">IF( OR($AA34=0,BE34=0), "", _xll.IMDP("IR",$AA34,Q$6,$C$8) )</f>
        <v>4.7839999999999998</v>
      </c>
      <c r="AO34" s="19" cm="1">
        <f t="array" aca="1" ref="AO34" ca="1">IF( OR($AA34=0,BF34=0), "", _xll.IMDP("IR",$AA34,R$6,$C$8) )</f>
        <v>4.9039999999999999</v>
      </c>
      <c r="AP34" s="19" t="str" cm="1">
        <f t="array" aca="1" ref="AP34" ca="1">IF( OR($AA34=0,BG34=0), "", _xll.IMDP("IR",$AA34,S$6,$C$8) )</f>
        <v/>
      </c>
      <c r="AQ34" s="19" t="str" cm="1">
        <f t="array" aca="1" ref="AQ34" ca="1">IF( OR($AA34=0,BH34=0), "", _xll.IMDP("IR",$AA34,T$6,$C$8) )</f>
        <v/>
      </c>
      <c r="AR34" s="5"/>
      <c r="AS34" s="20" cm="1">
        <f t="array" aca="1" ref="AS34" ca="1">_xll.IMDP("IR",$AA34,E$5,$C$8)</f>
        <v>3.952</v>
      </c>
      <c r="AT34" s="5" cm="1">
        <f t="array" aca="1" ref="AT34" ca="1">_xll.IMDP("IR",$AA34,F$5,$C$8)</f>
        <v>3.99</v>
      </c>
      <c r="AU34" s="5" cm="1">
        <f t="array" aca="1" ref="AU34" ca="1">_xll.IMDP("IR",$AA34,G$5,$C$8)</f>
        <v>3.9910000000000001</v>
      </c>
      <c r="AV34" s="5" cm="1">
        <f t="array" aca="1" ref="AV34" ca="1">_xll.IMDP("IR",$AA34,H$5,$C$8)</f>
        <v>4.0049999999999999</v>
      </c>
      <c r="AW34" s="5" cm="1">
        <f t="array" aca="1" ref="AW34" ca="1">_xll.IMDP("IR",$AA34,I$5,$C$8)</f>
        <v>4.0119999999999996</v>
      </c>
      <c r="AX34" s="5" cm="1">
        <f t="array" aca="1" ref="AX34" ca="1">_xll.IMDP("IR",$AA34,J$5,$C$8)</f>
        <v>4.0209999999999999</v>
      </c>
      <c r="AY34" s="5" cm="1">
        <f t="array" aca="1" ref="AY34" ca="1">_xll.IMDP("IR",$AA34,K$5,$C$8)</f>
        <v>4.0199999999999996</v>
      </c>
      <c r="AZ34" s="5" cm="1">
        <f t="array" aca="1" ref="AZ34" ca="1">_xll.IMDP("IR",$AA34,L$5,$C$8)</f>
        <v>4.0190000000000001</v>
      </c>
      <c r="BA34" s="5" cm="1">
        <f t="array" aca="1" ref="BA34" ca="1">_xll.IMDP("IR",$AA34,M$5,$C$8)</f>
        <v>4.0209999999999999</v>
      </c>
      <c r="BB34" s="5" cm="1">
        <f t="array" aca="1" ref="BB34" ca="1">_xll.IMDP("IR",$AA34,N$5,$C$8)</f>
        <v>4.0780000000000003</v>
      </c>
      <c r="BC34" s="5" cm="1">
        <f t="array" aca="1" ref="BC34" ca="1">_xll.IMDP("IR",$AA34,O$5,$C$8)</f>
        <v>4.2690000000000001</v>
      </c>
      <c r="BD34" s="5" cm="1">
        <f t="array" aca="1" ref="BD34" ca="1">_xll.IMDP("IR",$AA34,P$5,$C$8)</f>
        <v>4.6529999999999996</v>
      </c>
      <c r="BE34" s="5" cm="1">
        <f t="array" aca="1" ref="BE34" ca="1">_xll.IMDP("IR",$AA34,Q$5,$C$8)</f>
        <v>4.7839999999999998</v>
      </c>
      <c r="BF34" s="5" cm="1">
        <f t="array" aca="1" ref="BF34" ca="1">_xll.IMDP("IR",$AA34,R$5,$C$8)</f>
        <v>4.9039999999999999</v>
      </c>
      <c r="BG34" s="5" cm="1">
        <f t="array" aca="1" ref="BG34" ca="1">_xll.IMDP("IR",$AA34,S$5,$C$8)</f>
        <v>0</v>
      </c>
      <c r="BH34" s="5" cm="1">
        <f t="array" aca="1" ref="BH34" ca="1">_xll.IMDP("IR",$AA34,T$5,$C$8)</f>
        <v>0</v>
      </c>
    </row>
    <row r="35" spans="2:60" ht="13.5" customHeight="1" x14ac:dyDescent="0.3">
      <c r="B35" s="70"/>
      <c r="C35" s="71"/>
      <c r="D35" s="26" t="s">
        <v>650</v>
      </c>
      <c r="E35" s="27">
        <f t="shared" ca="1" si="2"/>
        <v>4.0369999999999999</v>
      </c>
      <c r="F35" s="27">
        <f t="shared" ca="1" si="2"/>
        <v>4.0789999999999997</v>
      </c>
      <c r="G35" s="27">
        <f t="shared" ca="1" si="2"/>
        <v>4.0789999999999997</v>
      </c>
      <c r="H35" s="27">
        <f t="shared" ca="1" si="2"/>
        <v>4.0949999999999998</v>
      </c>
      <c r="I35" s="27">
        <f t="shared" ca="1" si="2"/>
        <v>4.0990000000000002</v>
      </c>
      <c r="J35" s="27">
        <f t="shared" ca="1" si="2"/>
        <v>4.1109999999999998</v>
      </c>
      <c r="K35" s="27">
        <f t="shared" ca="1" si="2"/>
        <v>4.1130000000000004</v>
      </c>
      <c r="L35" s="27">
        <f t="shared" ca="1" si="2"/>
        <v>4.1109999999999998</v>
      </c>
      <c r="M35" s="27">
        <f t="shared" ca="1" si="2"/>
        <v>4.1180000000000003</v>
      </c>
      <c r="N35" s="27">
        <f t="shared" ca="1" si="2"/>
        <v>4.1829999999999998</v>
      </c>
      <c r="O35" s="27">
        <f t="shared" ca="1" si="2"/>
        <v>4.3789999999999996</v>
      </c>
      <c r="P35" s="27">
        <f t="shared" ca="1" si="2"/>
        <v>4.7789999999999999</v>
      </c>
      <c r="Q35" s="27">
        <f t="shared" ca="1" si="2"/>
        <v>4.9219999999999997</v>
      </c>
      <c r="R35" s="27">
        <f t="shared" ca="1" si="2"/>
        <v>5.0519999999999996</v>
      </c>
      <c r="S35" s="27" t="str">
        <f t="shared" ca="1" si="2"/>
        <v/>
      </c>
      <c r="T35" s="28" t="str">
        <f t="shared" ca="1" si="2"/>
        <v/>
      </c>
      <c r="U35" s="17"/>
      <c r="Z35" s="18">
        <f>ROWS($Z$11:Z35)</f>
        <v>25</v>
      </c>
      <c r="AA35" s="18" t="str" cm="1">
        <f t="array" ref="AA35">INDEX(code!$E$2:$K$72,시가평가Matrix!$Z35,$D$3)</f>
        <v>BONDAVG26</v>
      </c>
      <c r="AB35" s="19" cm="1">
        <f t="array" aca="1" ref="AB35" ca="1">IF( OR($AA35=0,AS35=0), "", _xll.IMDP("IR",$AA35,E$6,$C$8) )</f>
        <v>4.0369999999999999</v>
      </c>
      <c r="AC35" s="19" cm="1">
        <f t="array" aca="1" ref="AC35" ca="1">IF( OR($AA35=0,AT35=0), "", _xll.IMDP("IR",$AA35,F$6,$C$8) )</f>
        <v>4.0789999999999997</v>
      </c>
      <c r="AD35" s="19" cm="1">
        <f t="array" aca="1" ref="AD35" ca="1">IF( OR($AA35=0,AU35=0), "", _xll.IMDP("IR",$AA35,G$6,$C$8) )</f>
        <v>4.0789999999999997</v>
      </c>
      <c r="AE35" s="19" cm="1">
        <f t="array" aca="1" ref="AE35" ca="1">IF( OR($AA35=0,AV35=0), "", _xll.IMDP("IR",$AA35,H$6,$C$8) )</f>
        <v>4.0949999999999998</v>
      </c>
      <c r="AF35" s="19" cm="1">
        <f t="array" aca="1" ref="AF35" ca="1">IF( OR($AA35=0,AW35=0), "", _xll.IMDP("IR",$AA35,I$6,$C$8) )</f>
        <v>4.0990000000000002</v>
      </c>
      <c r="AG35" s="19" cm="1">
        <f t="array" aca="1" ref="AG35" ca="1">IF( OR($AA35=0,AX35=0), "", _xll.IMDP("IR",$AA35,J$6,$C$8) )</f>
        <v>4.1109999999999998</v>
      </c>
      <c r="AH35" s="19" cm="1">
        <f t="array" aca="1" ref="AH35" ca="1">IF( OR($AA35=0,AY35=0), "", _xll.IMDP("IR",$AA35,K$6,$C$8) )</f>
        <v>4.1130000000000004</v>
      </c>
      <c r="AI35" s="19" cm="1">
        <f t="array" aca="1" ref="AI35" ca="1">IF( OR($AA35=0,AZ35=0), "", _xll.IMDP("IR",$AA35,L$6,$C$8) )</f>
        <v>4.1109999999999998</v>
      </c>
      <c r="AJ35" s="19" cm="1">
        <f t="array" aca="1" ref="AJ35" ca="1">IF( OR($AA35=0,BA35=0), "", _xll.IMDP("IR",$AA35,M$6,$C$8) )</f>
        <v>4.1180000000000003</v>
      </c>
      <c r="AK35" s="19" cm="1">
        <f t="array" aca="1" ref="AK35" ca="1">IF( OR($AA35=0,BB35=0), "", _xll.IMDP("IR",$AA35,N$6,$C$8) )</f>
        <v>4.1829999999999998</v>
      </c>
      <c r="AL35" s="19" cm="1">
        <f t="array" aca="1" ref="AL35" ca="1">IF( OR($AA35=0,BC35=0), "", _xll.IMDP("IR",$AA35,O$6,$C$8) )</f>
        <v>4.3789999999999996</v>
      </c>
      <c r="AM35" s="19" cm="1">
        <f t="array" aca="1" ref="AM35" ca="1">IF( OR($AA35=0,BD35=0), "", _xll.IMDP("IR",$AA35,P$6,$C$8) )</f>
        <v>4.7789999999999999</v>
      </c>
      <c r="AN35" s="19" cm="1">
        <f t="array" aca="1" ref="AN35" ca="1">IF( OR($AA35=0,BE35=0), "", _xll.IMDP("IR",$AA35,Q$6,$C$8) )</f>
        <v>4.9219999999999997</v>
      </c>
      <c r="AO35" s="19" cm="1">
        <f t="array" aca="1" ref="AO35" ca="1">IF( OR($AA35=0,BF35=0), "", _xll.IMDP("IR",$AA35,R$6,$C$8) )</f>
        <v>5.0519999999999996</v>
      </c>
      <c r="AP35" s="19" t="str" cm="1">
        <f t="array" aca="1" ref="AP35" ca="1">IF( OR($AA35=0,BG35=0), "", _xll.IMDP("IR",$AA35,S$6,$C$8) )</f>
        <v/>
      </c>
      <c r="AQ35" s="19" t="str" cm="1">
        <f t="array" aca="1" ref="AQ35" ca="1">IF( OR($AA35=0,BH35=0), "", _xll.IMDP("IR",$AA35,T$6,$C$8) )</f>
        <v/>
      </c>
      <c r="AR35" s="5"/>
      <c r="AS35" s="20" cm="1">
        <f t="array" aca="1" ref="AS35" ca="1">_xll.IMDP("IR",$AA35,E$5,$C$8)</f>
        <v>4.0369999999999999</v>
      </c>
      <c r="AT35" s="5" cm="1">
        <f t="array" aca="1" ref="AT35" ca="1">_xll.IMDP("IR",$AA35,F$5,$C$8)</f>
        <v>4.0789999999999997</v>
      </c>
      <c r="AU35" s="5" cm="1">
        <f t="array" aca="1" ref="AU35" ca="1">_xll.IMDP("IR",$AA35,G$5,$C$8)</f>
        <v>4.0789999999999997</v>
      </c>
      <c r="AV35" s="5" cm="1">
        <f t="array" aca="1" ref="AV35" ca="1">_xll.IMDP("IR",$AA35,H$5,$C$8)</f>
        <v>4.0949999999999998</v>
      </c>
      <c r="AW35" s="5" cm="1">
        <f t="array" aca="1" ref="AW35" ca="1">_xll.IMDP("IR",$AA35,I$5,$C$8)</f>
        <v>4.0990000000000002</v>
      </c>
      <c r="AX35" s="5" cm="1">
        <f t="array" aca="1" ref="AX35" ca="1">_xll.IMDP("IR",$AA35,J$5,$C$8)</f>
        <v>4.1109999999999998</v>
      </c>
      <c r="AY35" s="5" cm="1">
        <f t="array" aca="1" ref="AY35" ca="1">_xll.IMDP("IR",$AA35,K$5,$C$8)</f>
        <v>4.1130000000000004</v>
      </c>
      <c r="AZ35" s="5" cm="1">
        <f t="array" aca="1" ref="AZ35" ca="1">_xll.IMDP("IR",$AA35,L$5,$C$8)</f>
        <v>4.1109999999999998</v>
      </c>
      <c r="BA35" s="5" cm="1">
        <f t="array" aca="1" ref="BA35" ca="1">_xll.IMDP("IR",$AA35,M$5,$C$8)</f>
        <v>4.1180000000000003</v>
      </c>
      <c r="BB35" s="5" cm="1">
        <f t="array" aca="1" ref="BB35" ca="1">_xll.IMDP("IR",$AA35,N$5,$C$8)</f>
        <v>4.1829999999999998</v>
      </c>
      <c r="BC35" s="5" cm="1">
        <f t="array" aca="1" ref="BC35" ca="1">_xll.IMDP("IR",$AA35,O$5,$C$8)</f>
        <v>4.3789999999999996</v>
      </c>
      <c r="BD35" s="5" cm="1">
        <f t="array" aca="1" ref="BD35" ca="1">_xll.IMDP("IR",$AA35,P$5,$C$8)</f>
        <v>4.7789999999999999</v>
      </c>
      <c r="BE35" s="5" cm="1">
        <f t="array" aca="1" ref="BE35" ca="1">_xll.IMDP("IR",$AA35,Q$5,$C$8)</f>
        <v>4.9219999999999997</v>
      </c>
      <c r="BF35" s="5" cm="1">
        <f t="array" aca="1" ref="BF35" ca="1">_xll.IMDP("IR",$AA35,R$5,$C$8)</f>
        <v>5.0519999999999996</v>
      </c>
      <c r="BG35" s="5" cm="1">
        <f t="array" aca="1" ref="BG35" ca="1">_xll.IMDP("IR",$AA35,S$5,$C$8)</f>
        <v>0</v>
      </c>
      <c r="BH35" s="5" cm="1">
        <f t="array" aca="1" ref="BH35" ca="1">_xll.IMDP("IR",$AA35,T$5,$C$8)</f>
        <v>0</v>
      </c>
    </row>
    <row r="36" spans="2:60" ht="13.5" customHeight="1" x14ac:dyDescent="0.3">
      <c r="B36" s="70"/>
      <c r="C36" s="71" t="s">
        <v>208</v>
      </c>
      <c r="D36" s="29" t="s">
        <v>637</v>
      </c>
      <c r="E36" s="30">
        <f t="shared" ca="1" si="2"/>
        <v>3.4329999999999998</v>
      </c>
      <c r="F36" s="30">
        <f t="shared" ca="1" si="2"/>
        <v>3.42</v>
      </c>
      <c r="G36" s="30">
        <f t="shared" ca="1" si="2"/>
        <v>3.3860000000000001</v>
      </c>
      <c r="H36" s="30">
        <f t="shared" ca="1" si="2"/>
        <v>3.3959999999999999</v>
      </c>
      <c r="I36" s="30">
        <f t="shared" ca="1" si="2"/>
        <v>3.4470000000000001</v>
      </c>
      <c r="J36" s="30">
        <f t="shared" ca="1" si="2"/>
        <v>3.4180000000000001</v>
      </c>
      <c r="K36" s="30">
        <f t="shared" ca="1" si="2"/>
        <v>3.375</v>
      </c>
      <c r="L36" s="30">
        <f t="shared" ca="1" si="2"/>
        <v>3.3610000000000002</v>
      </c>
      <c r="M36" s="30">
        <f t="shared" ca="1" si="2"/>
        <v>3.3220000000000001</v>
      </c>
      <c r="N36" s="30">
        <f t="shared" ca="1" si="2"/>
        <v>3.331</v>
      </c>
      <c r="O36" s="30">
        <f t="shared" ca="1" si="2"/>
        <v>3.7320000000000002</v>
      </c>
      <c r="P36" s="30">
        <f t="shared" ca="1" si="2"/>
        <v>4.3220000000000001</v>
      </c>
      <c r="Q36" s="30">
        <f t="shared" ca="1" si="2"/>
        <v>4.7279999999999998</v>
      </c>
      <c r="R36" s="30">
        <f t="shared" ca="1" si="2"/>
        <v>4.9279999999999999</v>
      </c>
      <c r="S36" s="30" t="str">
        <f t="shared" ca="1" si="2"/>
        <v/>
      </c>
      <c r="T36" s="31" t="str">
        <f t="shared" ca="1" si="2"/>
        <v/>
      </c>
      <c r="U36" s="17"/>
      <c r="Z36" s="18">
        <f>ROWS($Z$11:Z36)</f>
        <v>26</v>
      </c>
      <c r="AA36" s="18" t="str" cm="1">
        <f t="array" ref="AA36">INDEX(code!$E$2:$K$72,시가평가Matrix!$Z36,$D$3)</f>
        <v>BONDAVG81</v>
      </c>
      <c r="AB36" s="19" cm="1">
        <f t="array" aca="1" ref="AB36" ca="1">IF( OR($AA36=0,AS36=0), "", _xll.IMDP("IR",$AA36,E$6,$C$8) )</f>
        <v>3.4329999999999998</v>
      </c>
      <c r="AC36" s="19" cm="1">
        <f t="array" aca="1" ref="AC36" ca="1">IF( OR($AA36=0,AT36=0), "", _xll.IMDP("IR",$AA36,F$6,$C$8) )</f>
        <v>3.42</v>
      </c>
      <c r="AD36" s="19" cm="1">
        <f t="array" aca="1" ref="AD36" ca="1">IF( OR($AA36=0,AU36=0), "", _xll.IMDP("IR",$AA36,G$6,$C$8) )</f>
        <v>3.3860000000000001</v>
      </c>
      <c r="AE36" s="19" cm="1">
        <f t="array" aca="1" ref="AE36" ca="1">IF( OR($AA36=0,AV36=0), "", _xll.IMDP("IR",$AA36,H$6,$C$8) )</f>
        <v>3.3959999999999999</v>
      </c>
      <c r="AF36" s="19" cm="1">
        <f t="array" aca="1" ref="AF36" ca="1">IF( OR($AA36=0,AW36=0), "", _xll.IMDP("IR",$AA36,I$6,$C$8) )</f>
        <v>3.4470000000000001</v>
      </c>
      <c r="AG36" s="19" cm="1">
        <f t="array" aca="1" ref="AG36" ca="1">IF( OR($AA36=0,AX36=0), "", _xll.IMDP("IR",$AA36,J$6,$C$8) )</f>
        <v>3.4180000000000001</v>
      </c>
      <c r="AH36" s="19" cm="1">
        <f t="array" aca="1" ref="AH36" ca="1">IF( OR($AA36=0,AY36=0), "", _xll.IMDP("IR",$AA36,K$6,$C$8) )</f>
        <v>3.375</v>
      </c>
      <c r="AI36" s="19" cm="1">
        <f t="array" aca="1" ref="AI36" ca="1">IF( OR($AA36=0,AZ36=0), "", _xll.IMDP("IR",$AA36,L$6,$C$8) )</f>
        <v>3.3610000000000002</v>
      </c>
      <c r="AJ36" s="19" cm="1">
        <f t="array" aca="1" ref="AJ36" ca="1">IF( OR($AA36=0,BA36=0), "", _xll.IMDP("IR",$AA36,M$6,$C$8) )</f>
        <v>3.3220000000000001</v>
      </c>
      <c r="AK36" s="19" cm="1">
        <f t="array" aca="1" ref="AK36" ca="1">IF( OR($AA36=0,BB36=0), "", _xll.IMDP("IR",$AA36,N$6,$C$8) )</f>
        <v>3.331</v>
      </c>
      <c r="AL36" s="19" cm="1">
        <f t="array" aca="1" ref="AL36" ca="1">IF( OR($AA36=0,BC36=0), "", _xll.IMDP("IR",$AA36,O$6,$C$8) )</f>
        <v>3.7320000000000002</v>
      </c>
      <c r="AM36" s="19" cm="1">
        <f t="array" aca="1" ref="AM36" ca="1">IF( OR($AA36=0,BD36=0), "", _xll.IMDP("IR",$AA36,P$6,$C$8) )</f>
        <v>4.3220000000000001</v>
      </c>
      <c r="AN36" s="19" cm="1">
        <f t="array" aca="1" ref="AN36" ca="1">IF( OR($AA36=0,BE36=0), "", _xll.IMDP("IR",$AA36,Q$6,$C$8) )</f>
        <v>4.7279999999999998</v>
      </c>
      <c r="AO36" s="19" cm="1">
        <f t="array" aca="1" ref="AO36" ca="1">IF( OR($AA36=0,BF36=0), "", _xll.IMDP("IR",$AA36,R$6,$C$8) )</f>
        <v>4.9279999999999999</v>
      </c>
      <c r="AP36" s="19" t="str" cm="1">
        <f t="array" aca="1" ref="AP36" ca="1">IF( OR($AA36=0,BG36=0), "", _xll.IMDP("IR",$AA36,S$6,$C$8) )</f>
        <v/>
      </c>
      <c r="AQ36" s="19" t="str" cm="1">
        <f t="array" aca="1" ref="AQ36" ca="1">IF( OR($AA36=0,BH36=0), "", _xll.IMDP("IR",$AA36,T$6,$C$8) )</f>
        <v/>
      </c>
      <c r="AR36" s="5"/>
      <c r="AS36" s="20" cm="1">
        <f t="array" aca="1" ref="AS36" ca="1">_xll.IMDP("IR",$AA36,E$5,$C$8)</f>
        <v>3.4329999999999998</v>
      </c>
      <c r="AT36" s="5" cm="1">
        <f t="array" aca="1" ref="AT36" ca="1">_xll.IMDP("IR",$AA36,F$5,$C$8)</f>
        <v>3.42</v>
      </c>
      <c r="AU36" s="5" cm="1">
        <f t="array" aca="1" ref="AU36" ca="1">_xll.IMDP("IR",$AA36,G$5,$C$8)</f>
        <v>3.3860000000000001</v>
      </c>
      <c r="AV36" s="5" cm="1">
        <f t="array" aca="1" ref="AV36" ca="1">_xll.IMDP("IR",$AA36,H$5,$C$8)</f>
        <v>3.3959999999999999</v>
      </c>
      <c r="AW36" s="5" cm="1">
        <f t="array" aca="1" ref="AW36" ca="1">_xll.IMDP("IR",$AA36,I$5,$C$8)</f>
        <v>3.4470000000000001</v>
      </c>
      <c r="AX36" s="5" cm="1">
        <f t="array" aca="1" ref="AX36" ca="1">_xll.IMDP("IR",$AA36,J$5,$C$8)</f>
        <v>3.4180000000000001</v>
      </c>
      <c r="AY36" s="5" cm="1">
        <f t="array" aca="1" ref="AY36" ca="1">_xll.IMDP("IR",$AA36,K$5,$C$8)</f>
        <v>3.375</v>
      </c>
      <c r="AZ36" s="5" cm="1">
        <f t="array" aca="1" ref="AZ36" ca="1">_xll.IMDP("IR",$AA36,L$5,$C$8)</f>
        <v>3.3610000000000002</v>
      </c>
      <c r="BA36" s="5" cm="1">
        <f t="array" aca="1" ref="BA36" ca="1">_xll.IMDP("IR",$AA36,M$5,$C$8)</f>
        <v>3.3220000000000001</v>
      </c>
      <c r="BB36" s="5" cm="1">
        <f t="array" aca="1" ref="BB36" ca="1">_xll.IMDP("IR",$AA36,N$5,$C$8)</f>
        <v>3.331</v>
      </c>
      <c r="BC36" s="5" cm="1">
        <f t="array" aca="1" ref="BC36" ca="1">_xll.IMDP("IR",$AA36,O$5,$C$8)</f>
        <v>3.7320000000000002</v>
      </c>
      <c r="BD36" s="5" cm="1">
        <f t="array" aca="1" ref="BD36" ca="1">_xll.IMDP("IR",$AA36,P$5,$C$8)</f>
        <v>4.3220000000000001</v>
      </c>
      <c r="BE36" s="5" cm="1">
        <f t="array" aca="1" ref="BE36" ca="1">_xll.IMDP("IR",$AA36,Q$5,$C$8)</f>
        <v>4.7279999999999998</v>
      </c>
      <c r="BF36" s="5" cm="1">
        <f t="array" aca="1" ref="BF36" ca="1">_xll.IMDP("IR",$AA36,R$5,$C$8)</f>
        <v>4.9279999999999999</v>
      </c>
      <c r="BG36" s="5" cm="1">
        <f t="array" aca="1" ref="BG36" ca="1">_xll.IMDP("IR",$AA36,S$5,$C$8)</f>
        <v>0</v>
      </c>
      <c r="BH36" s="5" cm="1">
        <f t="array" aca="1" ref="BH36" ca="1">_xll.IMDP("IR",$AA36,T$5,$C$8)</f>
        <v>0</v>
      </c>
    </row>
    <row r="37" spans="2:60" ht="13.5" customHeight="1" x14ac:dyDescent="0.3">
      <c r="B37" s="70"/>
      <c r="C37" s="71"/>
      <c r="D37" s="23" t="s">
        <v>638</v>
      </c>
      <c r="E37" s="24">
        <f t="shared" ca="1" si="2"/>
        <v>3.4620000000000002</v>
      </c>
      <c r="F37" s="24">
        <f t="shared" ca="1" si="2"/>
        <v>3.4449999999999998</v>
      </c>
      <c r="G37" s="24">
        <f t="shared" ca="1" si="2"/>
        <v>3.4129999999999998</v>
      </c>
      <c r="H37" s="24">
        <f t="shared" ca="1" si="2"/>
        <v>3.4289999999999998</v>
      </c>
      <c r="I37" s="24">
        <f t="shared" ca="1" si="2"/>
        <v>3.488</v>
      </c>
      <c r="J37" s="24">
        <f t="shared" ca="1" si="2"/>
        <v>3.4609999999999999</v>
      </c>
      <c r="K37" s="24">
        <f t="shared" ca="1" si="2"/>
        <v>3.43</v>
      </c>
      <c r="L37" s="24">
        <f t="shared" ca="1" si="2"/>
        <v>3.4260000000000002</v>
      </c>
      <c r="M37" s="24">
        <f t="shared" ca="1" si="2"/>
        <v>3.44</v>
      </c>
      <c r="N37" s="24">
        <f t="shared" ca="1" si="2"/>
        <v>3.5430000000000001</v>
      </c>
      <c r="O37" s="24">
        <f t="shared" ca="1" si="2"/>
        <v>3.9279999999999999</v>
      </c>
      <c r="P37" s="24">
        <f t="shared" ca="1" si="2"/>
        <v>4.4969999999999999</v>
      </c>
      <c r="Q37" s="24">
        <f t="shared" ca="1" si="2"/>
        <v>4.907</v>
      </c>
      <c r="R37" s="24">
        <f t="shared" ca="1" si="2"/>
        <v>5.1180000000000003</v>
      </c>
      <c r="S37" s="24" t="str">
        <f t="shared" ca="1" si="2"/>
        <v/>
      </c>
      <c r="T37" s="25" t="str">
        <f t="shared" ca="1" si="2"/>
        <v/>
      </c>
      <c r="U37" s="17"/>
      <c r="Z37" s="18">
        <f>ROWS($Z$11:Z37)</f>
        <v>27</v>
      </c>
      <c r="AA37" s="18" t="str" cm="1">
        <f t="array" ref="AA37">INDEX(code!$E$2:$K$72,시가평가Matrix!$Z37,$D$3)</f>
        <v>BONDAVG27</v>
      </c>
      <c r="AB37" s="19" cm="1">
        <f t="array" aca="1" ref="AB37" ca="1">IF( OR($AA37=0,AS37=0), "", _xll.IMDP("IR",$AA37,E$6,$C$8) )</f>
        <v>3.4620000000000002</v>
      </c>
      <c r="AC37" s="19" cm="1">
        <f t="array" aca="1" ref="AC37" ca="1">IF( OR($AA37=0,AT37=0), "", _xll.IMDP("IR",$AA37,F$6,$C$8) )</f>
        <v>3.4449999999999998</v>
      </c>
      <c r="AD37" s="19" cm="1">
        <f t="array" aca="1" ref="AD37" ca="1">IF( OR($AA37=0,AU37=0), "", _xll.IMDP("IR",$AA37,G$6,$C$8) )</f>
        <v>3.4129999999999998</v>
      </c>
      <c r="AE37" s="19" cm="1">
        <f t="array" aca="1" ref="AE37" ca="1">IF( OR($AA37=0,AV37=0), "", _xll.IMDP("IR",$AA37,H$6,$C$8) )</f>
        <v>3.4289999999999998</v>
      </c>
      <c r="AF37" s="19" cm="1">
        <f t="array" aca="1" ref="AF37" ca="1">IF( OR($AA37=0,AW37=0), "", _xll.IMDP("IR",$AA37,I$6,$C$8) )</f>
        <v>3.488</v>
      </c>
      <c r="AG37" s="19" cm="1">
        <f t="array" aca="1" ref="AG37" ca="1">IF( OR($AA37=0,AX37=0), "", _xll.IMDP("IR",$AA37,J$6,$C$8) )</f>
        <v>3.4609999999999999</v>
      </c>
      <c r="AH37" s="19" cm="1">
        <f t="array" aca="1" ref="AH37" ca="1">IF( OR($AA37=0,AY37=0), "", _xll.IMDP("IR",$AA37,K$6,$C$8) )</f>
        <v>3.43</v>
      </c>
      <c r="AI37" s="19" cm="1">
        <f t="array" aca="1" ref="AI37" ca="1">IF( OR($AA37=0,AZ37=0), "", _xll.IMDP("IR",$AA37,L$6,$C$8) )</f>
        <v>3.4260000000000002</v>
      </c>
      <c r="AJ37" s="19" cm="1">
        <f t="array" aca="1" ref="AJ37" ca="1">IF( OR($AA37=0,BA37=0), "", _xll.IMDP("IR",$AA37,M$6,$C$8) )</f>
        <v>3.44</v>
      </c>
      <c r="AK37" s="19" cm="1">
        <f t="array" aca="1" ref="AK37" ca="1">IF( OR($AA37=0,BB37=0), "", _xll.IMDP("IR",$AA37,N$6,$C$8) )</f>
        <v>3.5430000000000001</v>
      </c>
      <c r="AL37" s="19" cm="1">
        <f t="array" aca="1" ref="AL37" ca="1">IF( OR($AA37=0,BC37=0), "", _xll.IMDP("IR",$AA37,O$6,$C$8) )</f>
        <v>3.9279999999999999</v>
      </c>
      <c r="AM37" s="19" cm="1">
        <f t="array" aca="1" ref="AM37" ca="1">IF( OR($AA37=0,BD37=0), "", _xll.IMDP("IR",$AA37,P$6,$C$8) )</f>
        <v>4.4969999999999999</v>
      </c>
      <c r="AN37" s="19" cm="1">
        <f t="array" aca="1" ref="AN37" ca="1">IF( OR($AA37=0,BE37=0), "", _xll.IMDP("IR",$AA37,Q$6,$C$8) )</f>
        <v>4.907</v>
      </c>
      <c r="AO37" s="19" cm="1">
        <f t="array" aca="1" ref="AO37" ca="1">IF( OR($AA37=0,BF37=0), "", _xll.IMDP("IR",$AA37,R$6,$C$8) )</f>
        <v>5.1180000000000003</v>
      </c>
      <c r="AP37" s="19" t="str" cm="1">
        <f t="array" aca="1" ref="AP37" ca="1">IF( OR($AA37=0,BG37=0), "", _xll.IMDP("IR",$AA37,S$6,$C$8) )</f>
        <v/>
      </c>
      <c r="AQ37" s="19" t="str" cm="1">
        <f t="array" aca="1" ref="AQ37" ca="1">IF( OR($AA37=0,BH37=0), "", _xll.IMDP("IR",$AA37,T$6,$C$8) )</f>
        <v/>
      </c>
      <c r="AR37" s="5"/>
      <c r="AS37" s="20" cm="1">
        <f t="array" aca="1" ref="AS37" ca="1">_xll.IMDP("IR",$AA37,E$5,$C$8)</f>
        <v>3.4620000000000002</v>
      </c>
      <c r="AT37" s="5" cm="1">
        <f t="array" aca="1" ref="AT37" ca="1">_xll.IMDP("IR",$AA37,F$5,$C$8)</f>
        <v>3.4449999999999998</v>
      </c>
      <c r="AU37" s="5" cm="1">
        <f t="array" aca="1" ref="AU37" ca="1">_xll.IMDP("IR",$AA37,G$5,$C$8)</f>
        <v>3.4129999999999998</v>
      </c>
      <c r="AV37" s="5" cm="1">
        <f t="array" aca="1" ref="AV37" ca="1">_xll.IMDP("IR",$AA37,H$5,$C$8)</f>
        <v>3.4289999999999998</v>
      </c>
      <c r="AW37" s="5" cm="1">
        <f t="array" aca="1" ref="AW37" ca="1">_xll.IMDP("IR",$AA37,I$5,$C$8)</f>
        <v>3.488</v>
      </c>
      <c r="AX37" s="5" cm="1">
        <f t="array" aca="1" ref="AX37" ca="1">_xll.IMDP("IR",$AA37,J$5,$C$8)</f>
        <v>3.4609999999999999</v>
      </c>
      <c r="AY37" s="5" cm="1">
        <f t="array" aca="1" ref="AY37" ca="1">_xll.IMDP("IR",$AA37,K$5,$C$8)</f>
        <v>3.43</v>
      </c>
      <c r="AZ37" s="5" cm="1">
        <f t="array" aca="1" ref="AZ37" ca="1">_xll.IMDP("IR",$AA37,L$5,$C$8)</f>
        <v>3.4260000000000002</v>
      </c>
      <c r="BA37" s="5" cm="1">
        <f t="array" aca="1" ref="BA37" ca="1">_xll.IMDP("IR",$AA37,M$5,$C$8)</f>
        <v>3.44</v>
      </c>
      <c r="BB37" s="5" cm="1">
        <f t="array" aca="1" ref="BB37" ca="1">_xll.IMDP("IR",$AA37,N$5,$C$8)</f>
        <v>3.5430000000000001</v>
      </c>
      <c r="BC37" s="5" cm="1">
        <f t="array" aca="1" ref="BC37" ca="1">_xll.IMDP("IR",$AA37,O$5,$C$8)</f>
        <v>3.9279999999999999</v>
      </c>
      <c r="BD37" s="5" cm="1">
        <f t="array" aca="1" ref="BD37" ca="1">_xll.IMDP("IR",$AA37,P$5,$C$8)</f>
        <v>4.4969999999999999</v>
      </c>
      <c r="BE37" s="5" cm="1">
        <f t="array" aca="1" ref="BE37" ca="1">_xll.IMDP("IR",$AA37,Q$5,$C$8)</f>
        <v>4.907</v>
      </c>
      <c r="BF37" s="5" cm="1">
        <f t="array" aca="1" ref="BF37" ca="1">_xll.IMDP("IR",$AA37,R$5,$C$8)</f>
        <v>5.1180000000000003</v>
      </c>
      <c r="BG37" s="5" cm="1">
        <f t="array" aca="1" ref="BG37" ca="1">_xll.IMDP("IR",$AA37,S$5,$C$8)</f>
        <v>0</v>
      </c>
      <c r="BH37" s="5" cm="1">
        <f t="array" aca="1" ref="BH37" ca="1">_xll.IMDP("IR",$AA37,T$5,$C$8)</f>
        <v>0</v>
      </c>
    </row>
    <row r="38" spans="2:60" ht="13.5" customHeight="1" x14ac:dyDescent="0.3">
      <c r="B38" s="70"/>
      <c r="C38" s="71"/>
      <c r="D38" s="23" t="s">
        <v>639</v>
      </c>
      <c r="E38" s="24">
        <f t="shared" ca="1" si="2"/>
        <v>3.4860000000000002</v>
      </c>
      <c r="F38" s="24">
        <f t="shared" ca="1" si="2"/>
        <v>3.476</v>
      </c>
      <c r="G38" s="24">
        <f t="shared" ca="1" si="2"/>
        <v>3.468</v>
      </c>
      <c r="H38" s="24">
        <f t="shared" ca="1" si="2"/>
        <v>3.5</v>
      </c>
      <c r="I38" s="24">
        <f t="shared" ca="1" si="2"/>
        <v>3.5539999999999998</v>
      </c>
      <c r="J38" s="24">
        <f t="shared" ca="1" si="2"/>
        <v>3.5550000000000002</v>
      </c>
      <c r="K38" s="24">
        <f t="shared" ca="1" si="2"/>
        <v>3.5459999999999998</v>
      </c>
      <c r="L38" s="24">
        <f t="shared" ca="1" si="2"/>
        <v>3.544</v>
      </c>
      <c r="M38" s="24">
        <f t="shared" ca="1" si="2"/>
        <v>3.5529999999999999</v>
      </c>
      <c r="N38" s="24">
        <f t="shared" ca="1" si="2"/>
        <v>3.66</v>
      </c>
      <c r="O38" s="24">
        <f t="shared" ca="1" si="2"/>
        <v>4.1319999999999997</v>
      </c>
      <c r="P38" s="24">
        <f t="shared" ca="1" si="2"/>
        <v>4.7190000000000003</v>
      </c>
      <c r="Q38" s="24">
        <f t="shared" ca="1" si="2"/>
        <v>5.1509999999999998</v>
      </c>
      <c r="R38" s="24">
        <f t="shared" ca="1" si="2"/>
        <v>5.3730000000000002</v>
      </c>
      <c r="S38" s="24" t="str">
        <f t="shared" ca="1" si="2"/>
        <v/>
      </c>
      <c r="T38" s="25" t="str">
        <f t="shared" ca="1" si="2"/>
        <v/>
      </c>
      <c r="U38" s="17"/>
      <c r="Z38" s="18">
        <f>ROWS($Z$11:Z38)</f>
        <v>28</v>
      </c>
      <c r="AA38" s="18" t="str" cm="1">
        <f t="array" ref="AA38">INDEX(code!$E$2:$K$72,시가평가Matrix!$Z38,$D$3)</f>
        <v>BONDAVG28</v>
      </c>
      <c r="AB38" s="19" cm="1">
        <f t="array" aca="1" ref="AB38" ca="1">IF( OR($AA38=0,AS38=0), "", _xll.IMDP("IR",$AA38,E$6,$C$8) )</f>
        <v>3.4860000000000002</v>
      </c>
      <c r="AC38" s="19" cm="1">
        <f t="array" aca="1" ref="AC38" ca="1">IF( OR($AA38=0,AT38=0), "", _xll.IMDP("IR",$AA38,F$6,$C$8) )</f>
        <v>3.476</v>
      </c>
      <c r="AD38" s="19" cm="1">
        <f t="array" aca="1" ref="AD38" ca="1">IF( OR($AA38=0,AU38=0), "", _xll.IMDP("IR",$AA38,G$6,$C$8) )</f>
        <v>3.468</v>
      </c>
      <c r="AE38" s="19" cm="1">
        <f t="array" aca="1" ref="AE38" ca="1">IF( OR($AA38=0,AV38=0), "", _xll.IMDP("IR",$AA38,H$6,$C$8) )</f>
        <v>3.5</v>
      </c>
      <c r="AF38" s="19" cm="1">
        <f t="array" aca="1" ref="AF38" ca="1">IF( OR($AA38=0,AW38=0), "", _xll.IMDP("IR",$AA38,I$6,$C$8) )</f>
        <v>3.5539999999999998</v>
      </c>
      <c r="AG38" s="19" cm="1">
        <f t="array" aca="1" ref="AG38" ca="1">IF( OR($AA38=0,AX38=0), "", _xll.IMDP("IR",$AA38,J$6,$C$8) )</f>
        <v>3.5550000000000002</v>
      </c>
      <c r="AH38" s="19" cm="1">
        <f t="array" aca="1" ref="AH38" ca="1">IF( OR($AA38=0,AY38=0), "", _xll.IMDP("IR",$AA38,K$6,$C$8) )</f>
        <v>3.5459999999999998</v>
      </c>
      <c r="AI38" s="19" cm="1">
        <f t="array" aca="1" ref="AI38" ca="1">IF( OR($AA38=0,AZ38=0), "", _xll.IMDP("IR",$AA38,L$6,$C$8) )</f>
        <v>3.544</v>
      </c>
      <c r="AJ38" s="19" cm="1">
        <f t="array" aca="1" ref="AJ38" ca="1">IF( OR($AA38=0,BA38=0), "", _xll.IMDP("IR",$AA38,M$6,$C$8) )</f>
        <v>3.5529999999999999</v>
      </c>
      <c r="AK38" s="19" cm="1">
        <f t="array" aca="1" ref="AK38" ca="1">IF( OR($AA38=0,BB38=0), "", _xll.IMDP("IR",$AA38,N$6,$C$8) )</f>
        <v>3.66</v>
      </c>
      <c r="AL38" s="19" cm="1">
        <f t="array" aca="1" ref="AL38" ca="1">IF( OR($AA38=0,BC38=0), "", _xll.IMDP("IR",$AA38,O$6,$C$8) )</f>
        <v>4.1319999999999997</v>
      </c>
      <c r="AM38" s="19" cm="1">
        <f t="array" aca="1" ref="AM38" ca="1">IF( OR($AA38=0,BD38=0), "", _xll.IMDP("IR",$AA38,P$6,$C$8) )</f>
        <v>4.7190000000000003</v>
      </c>
      <c r="AN38" s="19" cm="1">
        <f t="array" aca="1" ref="AN38" ca="1">IF( OR($AA38=0,BE38=0), "", _xll.IMDP("IR",$AA38,Q$6,$C$8) )</f>
        <v>5.1509999999999998</v>
      </c>
      <c r="AO38" s="19" cm="1">
        <f t="array" aca="1" ref="AO38" ca="1">IF( OR($AA38=0,BF38=0), "", _xll.IMDP("IR",$AA38,R$6,$C$8) )</f>
        <v>5.3730000000000002</v>
      </c>
      <c r="AP38" s="19" t="str" cm="1">
        <f t="array" aca="1" ref="AP38" ca="1">IF( OR($AA38=0,BG38=0), "", _xll.IMDP("IR",$AA38,S$6,$C$8) )</f>
        <v/>
      </c>
      <c r="AQ38" s="19" t="str" cm="1">
        <f t="array" aca="1" ref="AQ38" ca="1">IF( OR($AA38=0,BH38=0), "", _xll.IMDP("IR",$AA38,T$6,$C$8) )</f>
        <v/>
      </c>
      <c r="AR38" s="5"/>
      <c r="AS38" s="20" cm="1">
        <f t="array" aca="1" ref="AS38" ca="1">_xll.IMDP("IR",$AA38,E$5,$C$8)</f>
        <v>3.4860000000000002</v>
      </c>
      <c r="AT38" s="5" cm="1">
        <f t="array" aca="1" ref="AT38" ca="1">_xll.IMDP("IR",$AA38,F$5,$C$8)</f>
        <v>3.476</v>
      </c>
      <c r="AU38" s="5" cm="1">
        <f t="array" aca="1" ref="AU38" ca="1">_xll.IMDP("IR",$AA38,G$5,$C$8)</f>
        <v>3.468</v>
      </c>
      <c r="AV38" s="5" cm="1">
        <f t="array" aca="1" ref="AV38" ca="1">_xll.IMDP("IR",$AA38,H$5,$C$8)</f>
        <v>3.5</v>
      </c>
      <c r="AW38" s="5" cm="1">
        <f t="array" aca="1" ref="AW38" ca="1">_xll.IMDP("IR",$AA38,I$5,$C$8)</f>
        <v>3.5539999999999998</v>
      </c>
      <c r="AX38" s="5" cm="1">
        <f t="array" aca="1" ref="AX38" ca="1">_xll.IMDP("IR",$AA38,J$5,$C$8)</f>
        <v>3.5550000000000002</v>
      </c>
      <c r="AY38" s="5" cm="1">
        <f t="array" aca="1" ref="AY38" ca="1">_xll.IMDP("IR",$AA38,K$5,$C$8)</f>
        <v>3.5459999999999998</v>
      </c>
      <c r="AZ38" s="5" cm="1">
        <f t="array" aca="1" ref="AZ38" ca="1">_xll.IMDP("IR",$AA38,L$5,$C$8)</f>
        <v>3.544</v>
      </c>
      <c r="BA38" s="5" cm="1">
        <f t="array" aca="1" ref="BA38" ca="1">_xll.IMDP("IR",$AA38,M$5,$C$8)</f>
        <v>3.5529999999999999</v>
      </c>
      <c r="BB38" s="5" cm="1">
        <f t="array" aca="1" ref="BB38" ca="1">_xll.IMDP("IR",$AA38,N$5,$C$8)</f>
        <v>3.66</v>
      </c>
      <c r="BC38" s="5" cm="1">
        <f t="array" aca="1" ref="BC38" ca="1">_xll.IMDP("IR",$AA38,O$5,$C$8)</f>
        <v>4.1319999999999997</v>
      </c>
      <c r="BD38" s="5" cm="1">
        <f t="array" aca="1" ref="BD38" ca="1">_xll.IMDP("IR",$AA38,P$5,$C$8)</f>
        <v>4.7190000000000003</v>
      </c>
      <c r="BE38" s="5" cm="1">
        <f t="array" aca="1" ref="BE38" ca="1">_xll.IMDP("IR",$AA38,Q$5,$C$8)</f>
        <v>5.1509999999999998</v>
      </c>
      <c r="BF38" s="5" cm="1">
        <f t="array" aca="1" ref="BF38" ca="1">_xll.IMDP("IR",$AA38,R$5,$C$8)</f>
        <v>5.3730000000000002</v>
      </c>
      <c r="BG38" s="5" cm="1">
        <f t="array" aca="1" ref="BG38" ca="1">_xll.IMDP("IR",$AA38,S$5,$C$8)</f>
        <v>0</v>
      </c>
      <c r="BH38" s="5" cm="1">
        <f t="array" aca="1" ref="BH38" ca="1">_xll.IMDP("IR",$AA38,T$5,$C$8)</f>
        <v>0</v>
      </c>
    </row>
    <row r="39" spans="2:60" ht="13.5" customHeight="1" x14ac:dyDescent="0.3">
      <c r="B39" s="70"/>
      <c r="C39" s="71"/>
      <c r="D39" s="23" t="s">
        <v>648</v>
      </c>
      <c r="E39" s="24">
        <f t="shared" ca="1" si="2"/>
        <v>4.008</v>
      </c>
      <c r="F39" s="24">
        <f t="shared" ca="1" si="2"/>
        <v>4.2759999999999998</v>
      </c>
      <c r="G39" s="24">
        <f t="shared" ca="1" si="2"/>
        <v>4.3639999999999999</v>
      </c>
      <c r="H39" s="24">
        <f t="shared" ca="1" si="2"/>
        <v>4.3890000000000002</v>
      </c>
      <c r="I39" s="24">
        <f t="shared" ca="1" si="2"/>
        <v>4.4269999999999996</v>
      </c>
      <c r="J39" s="24">
        <f t="shared" ca="1" si="2"/>
        <v>4.4340000000000002</v>
      </c>
      <c r="K39" s="24">
        <f t="shared" ca="1" si="2"/>
        <v>4.4930000000000003</v>
      </c>
      <c r="L39" s="24">
        <f t="shared" ca="1" si="2"/>
        <v>4.5659999999999998</v>
      </c>
      <c r="M39" s="24">
        <f t="shared" ca="1" si="2"/>
        <v>4.7069999999999999</v>
      </c>
      <c r="N39" s="24">
        <f t="shared" ca="1" si="2"/>
        <v>4.82</v>
      </c>
      <c r="O39" s="24">
        <f t="shared" ca="1" si="2"/>
        <v>5.0179999999999998</v>
      </c>
      <c r="P39" s="24">
        <f t="shared" ca="1" si="2"/>
        <v>5.41</v>
      </c>
      <c r="Q39" s="24">
        <f t="shared" ca="1" si="2"/>
        <v>5.6840000000000002</v>
      </c>
      <c r="R39" s="24">
        <f t="shared" ca="1" si="2"/>
        <v>5.8109999999999999</v>
      </c>
      <c r="S39" s="24" t="str">
        <f t="shared" ca="1" si="2"/>
        <v/>
      </c>
      <c r="T39" s="25" t="str">
        <f t="shared" ca="1" si="2"/>
        <v/>
      </c>
      <c r="U39" s="17"/>
      <c r="Z39" s="18">
        <f>ROWS($Z$11:Z39)</f>
        <v>29</v>
      </c>
      <c r="AA39" s="18" t="str" cm="1">
        <f t="array" ref="AA39">INDEX(code!$E$2:$K$72,시가평가Matrix!$Z39,$D$3)</f>
        <v>BONDAVG29</v>
      </c>
      <c r="AB39" s="19" cm="1">
        <f t="array" aca="1" ref="AB39" ca="1">IF( OR($AA39=0,AS39=0), "", _xll.IMDP("IR",$AA39,E$6,$C$8) )</f>
        <v>4.008</v>
      </c>
      <c r="AC39" s="19" cm="1">
        <f t="array" aca="1" ref="AC39" ca="1">IF( OR($AA39=0,AT39=0), "", _xll.IMDP("IR",$AA39,F$6,$C$8) )</f>
        <v>4.2759999999999998</v>
      </c>
      <c r="AD39" s="19" cm="1">
        <f t="array" aca="1" ref="AD39" ca="1">IF( OR($AA39=0,AU39=0), "", _xll.IMDP("IR",$AA39,G$6,$C$8) )</f>
        <v>4.3639999999999999</v>
      </c>
      <c r="AE39" s="19" cm="1">
        <f t="array" aca="1" ref="AE39" ca="1">IF( OR($AA39=0,AV39=0), "", _xll.IMDP("IR",$AA39,H$6,$C$8) )</f>
        <v>4.3890000000000002</v>
      </c>
      <c r="AF39" s="19" cm="1">
        <f t="array" aca="1" ref="AF39" ca="1">IF( OR($AA39=0,AW39=0), "", _xll.IMDP("IR",$AA39,I$6,$C$8) )</f>
        <v>4.4269999999999996</v>
      </c>
      <c r="AG39" s="19" cm="1">
        <f t="array" aca="1" ref="AG39" ca="1">IF( OR($AA39=0,AX39=0), "", _xll.IMDP("IR",$AA39,J$6,$C$8) )</f>
        <v>4.4340000000000002</v>
      </c>
      <c r="AH39" s="19" cm="1">
        <f t="array" aca="1" ref="AH39" ca="1">IF( OR($AA39=0,AY39=0), "", _xll.IMDP("IR",$AA39,K$6,$C$8) )</f>
        <v>4.4930000000000003</v>
      </c>
      <c r="AI39" s="19" cm="1">
        <f t="array" aca="1" ref="AI39" ca="1">IF( OR($AA39=0,AZ39=0), "", _xll.IMDP("IR",$AA39,L$6,$C$8) )</f>
        <v>4.5659999999999998</v>
      </c>
      <c r="AJ39" s="19" cm="1">
        <f t="array" aca="1" ref="AJ39" ca="1">IF( OR($AA39=0,BA39=0), "", _xll.IMDP("IR",$AA39,M$6,$C$8) )</f>
        <v>4.7069999999999999</v>
      </c>
      <c r="AK39" s="19" cm="1">
        <f t="array" aca="1" ref="AK39" ca="1">IF( OR($AA39=0,BB39=0), "", _xll.IMDP("IR",$AA39,N$6,$C$8) )</f>
        <v>4.82</v>
      </c>
      <c r="AL39" s="19" cm="1">
        <f t="array" aca="1" ref="AL39" ca="1">IF( OR($AA39=0,BC39=0), "", _xll.IMDP("IR",$AA39,O$6,$C$8) )</f>
        <v>5.0179999999999998</v>
      </c>
      <c r="AM39" s="19" cm="1">
        <f t="array" aca="1" ref="AM39" ca="1">IF( OR($AA39=0,BD39=0), "", _xll.IMDP("IR",$AA39,P$6,$C$8) )</f>
        <v>5.41</v>
      </c>
      <c r="AN39" s="19" cm="1">
        <f t="array" aca="1" ref="AN39" ca="1">IF( OR($AA39=0,BE39=0), "", _xll.IMDP("IR",$AA39,Q$6,$C$8) )</f>
        <v>5.6840000000000002</v>
      </c>
      <c r="AO39" s="19" cm="1">
        <f t="array" aca="1" ref="AO39" ca="1">IF( OR($AA39=0,BF39=0), "", _xll.IMDP("IR",$AA39,R$6,$C$8) )</f>
        <v>5.8109999999999999</v>
      </c>
      <c r="AP39" s="19" t="str" cm="1">
        <f t="array" aca="1" ref="AP39" ca="1">IF( OR($AA39=0,BG39=0), "", _xll.IMDP("IR",$AA39,S$6,$C$8) )</f>
        <v/>
      </c>
      <c r="AQ39" s="19" t="str" cm="1">
        <f t="array" aca="1" ref="AQ39" ca="1">IF( OR($AA39=0,BH39=0), "", _xll.IMDP("IR",$AA39,T$6,$C$8) )</f>
        <v/>
      </c>
      <c r="AR39" s="5"/>
      <c r="AS39" s="20" cm="1">
        <f t="array" aca="1" ref="AS39" ca="1">_xll.IMDP("IR",$AA39,E$5,$C$8)</f>
        <v>4.008</v>
      </c>
      <c r="AT39" s="5" cm="1">
        <f t="array" aca="1" ref="AT39" ca="1">_xll.IMDP("IR",$AA39,F$5,$C$8)</f>
        <v>4.2759999999999998</v>
      </c>
      <c r="AU39" s="5" cm="1">
        <f t="array" aca="1" ref="AU39" ca="1">_xll.IMDP("IR",$AA39,G$5,$C$8)</f>
        <v>4.3639999999999999</v>
      </c>
      <c r="AV39" s="5" cm="1">
        <f t="array" aca="1" ref="AV39" ca="1">_xll.IMDP("IR",$AA39,H$5,$C$8)</f>
        <v>4.3890000000000002</v>
      </c>
      <c r="AW39" s="5" cm="1">
        <f t="array" aca="1" ref="AW39" ca="1">_xll.IMDP("IR",$AA39,I$5,$C$8)</f>
        <v>4.4269999999999996</v>
      </c>
      <c r="AX39" s="5" cm="1">
        <f t="array" aca="1" ref="AX39" ca="1">_xll.IMDP("IR",$AA39,J$5,$C$8)</f>
        <v>4.4340000000000002</v>
      </c>
      <c r="AY39" s="5" cm="1">
        <f t="array" aca="1" ref="AY39" ca="1">_xll.IMDP("IR",$AA39,K$5,$C$8)</f>
        <v>4.4930000000000003</v>
      </c>
      <c r="AZ39" s="5" cm="1">
        <f t="array" aca="1" ref="AZ39" ca="1">_xll.IMDP("IR",$AA39,L$5,$C$8)</f>
        <v>4.5659999999999998</v>
      </c>
      <c r="BA39" s="5" cm="1">
        <f t="array" aca="1" ref="BA39" ca="1">_xll.IMDP("IR",$AA39,M$5,$C$8)</f>
        <v>4.7069999999999999</v>
      </c>
      <c r="BB39" s="5" cm="1">
        <f t="array" aca="1" ref="BB39" ca="1">_xll.IMDP("IR",$AA39,N$5,$C$8)</f>
        <v>4.82</v>
      </c>
      <c r="BC39" s="5" cm="1">
        <f t="array" aca="1" ref="BC39" ca="1">_xll.IMDP("IR",$AA39,O$5,$C$8)</f>
        <v>5.0179999999999998</v>
      </c>
      <c r="BD39" s="5" cm="1">
        <f t="array" aca="1" ref="BD39" ca="1">_xll.IMDP("IR",$AA39,P$5,$C$8)</f>
        <v>5.41</v>
      </c>
      <c r="BE39" s="5" cm="1">
        <f t="array" aca="1" ref="BE39" ca="1">_xll.IMDP("IR",$AA39,Q$5,$C$8)</f>
        <v>5.6840000000000002</v>
      </c>
      <c r="BF39" s="5" cm="1">
        <f t="array" aca="1" ref="BF39" ca="1">_xll.IMDP("IR",$AA39,R$5,$C$8)</f>
        <v>5.8109999999999999</v>
      </c>
      <c r="BG39" s="5" cm="1">
        <f t="array" aca="1" ref="BG39" ca="1">_xll.IMDP("IR",$AA39,S$5,$C$8)</f>
        <v>0</v>
      </c>
      <c r="BH39" s="5" cm="1">
        <f t="array" aca="1" ref="BH39" ca="1">_xll.IMDP("IR",$AA39,T$5,$C$8)</f>
        <v>0</v>
      </c>
    </row>
    <row r="40" spans="2:60" ht="13.5" customHeight="1" x14ac:dyDescent="0.3">
      <c r="B40" s="70"/>
      <c r="C40" s="71"/>
      <c r="D40" s="23" t="s">
        <v>649</v>
      </c>
      <c r="E40" s="24">
        <f t="shared" ca="1" si="2"/>
        <v>4.5670000000000002</v>
      </c>
      <c r="F40" s="24">
        <f t="shared" ca="1" si="2"/>
        <v>4.8879999999999999</v>
      </c>
      <c r="G40" s="24">
        <f t="shared" ca="1" si="2"/>
        <v>5.0309999999999997</v>
      </c>
      <c r="H40" s="24">
        <f t="shared" ca="1" si="2"/>
        <v>5.133</v>
      </c>
      <c r="I40" s="24">
        <f t="shared" ca="1" si="2"/>
        <v>5.21</v>
      </c>
      <c r="J40" s="24">
        <f t="shared" ca="1" si="2"/>
        <v>5.2590000000000003</v>
      </c>
      <c r="K40" s="24">
        <f t="shared" ca="1" si="2"/>
        <v>5.2789999999999999</v>
      </c>
      <c r="L40" s="24">
        <f t="shared" ca="1" si="2"/>
        <v>5.3470000000000004</v>
      </c>
      <c r="M40" s="24">
        <f t="shared" ca="1" si="2"/>
        <v>5.3920000000000003</v>
      </c>
      <c r="N40" s="24">
        <f t="shared" ca="1" si="2"/>
        <v>5.4740000000000002</v>
      </c>
      <c r="O40" s="24">
        <f t="shared" ca="1" si="2"/>
        <v>5.5449999999999999</v>
      </c>
      <c r="P40" s="24">
        <f t="shared" ca="1" si="2"/>
        <v>5.83</v>
      </c>
      <c r="Q40" s="24">
        <f t="shared" ca="1" si="2"/>
        <v>6.0620000000000003</v>
      </c>
      <c r="R40" s="24">
        <f t="shared" ca="1" si="2"/>
        <v>6.1529999999999996</v>
      </c>
      <c r="S40" s="24" t="str">
        <f t="shared" ca="1" si="2"/>
        <v/>
      </c>
      <c r="T40" s="25" t="str">
        <f t="shared" ca="1" si="2"/>
        <v/>
      </c>
      <c r="U40" s="17"/>
      <c r="Z40" s="18">
        <f>ROWS($Z$11:Z40)</f>
        <v>30</v>
      </c>
      <c r="AA40" s="18" t="str" cm="1">
        <f t="array" ref="AA40">INDEX(code!$E$2:$K$72,시가평가Matrix!$Z40,$D$3)</f>
        <v>BONDAVG30</v>
      </c>
      <c r="AB40" s="19" cm="1">
        <f t="array" aca="1" ref="AB40" ca="1">IF( OR($AA40=0,AS40=0), "", _xll.IMDP("IR",$AA40,E$6,$C$8) )</f>
        <v>4.5670000000000002</v>
      </c>
      <c r="AC40" s="19" cm="1">
        <f t="array" aca="1" ref="AC40" ca="1">IF( OR($AA40=0,AT40=0), "", _xll.IMDP("IR",$AA40,F$6,$C$8) )</f>
        <v>4.8879999999999999</v>
      </c>
      <c r="AD40" s="19" cm="1">
        <f t="array" aca="1" ref="AD40" ca="1">IF( OR($AA40=0,AU40=0), "", _xll.IMDP("IR",$AA40,G$6,$C$8) )</f>
        <v>5.0309999999999997</v>
      </c>
      <c r="AE40" s="19" cm="1">
        <f t="array" aca="1" ref="AE40" ca="1">IF( OR($AA40=0,AV40=0), "", _xll.IMDP("IR",$AA40,H$6,$C$8) )</f>
        <v>5.133</v>
      </c>
      <c r="AF40" s="19" cm="1">
        <f t="array" aca="1" ref="AF40" ca="1">IF( OR($AA40=0,AW40=0), "", _xll.IMDP("IR",$AA40,I$6,$C$8) )</f>
        <v>5.21</v>
      </c>
      <c r="AG40" s="19" cm="1">
        <f t="array" aca="1" ref="AG40" ca="1">IF( OR($AA40=0,AX40=0), "", _xll.IMDP("IR",$AA40,J$6,$C$8) )</f>
        <v>5.2590000000000003</v>
      </c>
      <c r="AH40" s="19" cm="1">
        <f t="array" aca="1" ref="AH40" ca="1">IF( OR($AA40=0,AY40=0), "", _xll.IMDP("IR",$AA40,K$6,$C$8) )</f>
        <v>5.2789999999999999</v>
      </c>
      <c r="AI40" s="19" cm="1">
        <f t="array" aca="1" ref="AI40" ca="1">IF( OR($AA40=0,AZ40=0), "", _xll.IMDP("IR",$AA40,L$6,$C$8) )</f>
        <v>5.3470000000000004</v>
      </c>
      <c r="AJ40" s="19" cm="1">
        <f t="array" aca="1" ref="AJ40" ca="1">IF( OR($AA40=0,BA40=0), "", _xll.IMDP("IR",$AA40,M$6,$C$8) )</f>
        <v>5.3920000000000003</v>
      </c>
      <c r="AK40" s="19" cm="1">
        <f t="array" aca="1" ref="AK40" ca="1">IF( OR($AA40=0,BB40=0), "", _xll.IMDP("IR",$AA40,N$6,$C$8) )</f>
        <v>5.4740000000000002</v>
      </c>
      <c r="AL40" s="19" cm="1">
        <f t="array" aca="1" ref="AL40" ca="1">IF( OR($AA40=0,BC40=0), "", _xll.IMDP("IR",$AA40,O$6,$C$8) )</f>
        <v>5.5449999999999999</v>
      </c>
      <c r="AM40" s="19" cm="1">
        <f t="array" aca="1" ref="AM40" ca="1">IF( OR($AA40=0,BD40=0), "", _xll.IMDP("IR",$AA40,P$6,$C$8) )</f>
        <v>5.83</v>
      </c>
      <c r="AN40" s="19" cm="1">
        <f t="array" aca="1" ref="AN40" ca="1">IF( OR($AA40=0,BE40=0), "", _xll.IMDP("IR",$AA40,Q$6,$C$8) )</f>
        <v>6.0620000000000003</v>
      </c>
      <c r="AO40" s="19" cm="1">
        <f t="array" aca="1" ref="AO40" ca="1">IF( OR($AA40=0,BF40=0), "", _xll.IMDP("IR",$AA40,R$6,$C$8) )</f>
        <v>6.1529999999999996</v>
      </c>
      <c r="AP40" s="19" t="str" cm="1">
        <f t="array" aca="1" ref="AP40" ca="1">IF( OR($AA40=0,BG40=0), "", _xll.IMDP("IR",$AA40,S$6,$C$8) )</f>
        <v/>
      </c>
      <c r="AQ40" s="19" t="str" cm="1">
        <f t="array" aca="1" ref="AQ40" ca="1">IF( OR($AA40=0,BH40=0), "", _xll.IMDP("IR",$AA40,T$6,$C$8) )</f>
        <v/>
      </c>
      <c r="AR40" s="5"/>
      <c r="AS40" s="20" cm="1">
        <f t="array" aca="1" ref="AS40" ca="1">_xll.IMDP("IR",$AA40,E$5,$C$8)</f>
        <v>4.5670000000000002</v>
      </c>
      <c r="AT40" s="5" cm="1">
        <f t="array" aca="1" ref="AT40" ca="1">_xll.IMDP("IR",$AA40,F$5,$C$8)</f>
        <v>4.8879999999999999</v>
      </c>
      <c r="AU40" s="5" cm="1">
        <f t="array" aca="1" ref="AU40" ca="1">_xll.IMDP("IR",$AA40,G$5,$C$8)</f>
        <v>5.0309999999999997</v>
      </c>
      <c r="AV40" s="5" cm="1">
        <f t="array" aca="1" ref="AV40" ca="1">_xll.IMDP("IR",$AA40,H$5,$C$8)</f>
        <v>5.133</v>
      </c>
      <c r="AW40" s="5" cm="1">
        <f t="array" aca="1" ref="AW40" ca="1">_xll.IMDP("IR",$AA40,I$5,$C$8)</f>
        <v>5.21</v>
      </c>
      <c r="AX40" s="5" cm="1">
        <f t="array" aca="1" ref="AX40" ca="1">_xll.IMDP("IR",$AA40,J$5,$C$8)</f>
        <v>5.2590000000000003</v>
      </c>
      <c r="AY40" s="5" cm="1">
        <f t="array" aca="1" ref="AY40" ca="1">_xll.IMDP("IR",$AA40,K$5,$C$8)</f>
        <v>5.2789999999999999</v>
      </c>
      <c r="AZ40" s="5" cm="1">
        <f t="array" aca="1" ref="AZ40" ca="1">_xll.IMDP("IR",$AA40,L$5,$C$8)</f>
        <v>5.3470000000000004</v>
      </c>
      <c r="BA40" s="5" cm="1">
        <f t="array" aca="1" ref="BA40" ca="1">_xll.IMDP("IR",$AA40,M$5,$C$8)</f>
        <v>5.3920000000000003</v>
      </c>
      <c r="BB40" s="5" cm="1">
        <f t="array" aca="1" ref="BB40" ca="1">_xll.IMDP("IR",$AA40,N$5,$C$8)</f>
        <v>5.4740000000000002</v>
      </c>
      <c r="BC40" s="5" cm="1">
        <f t="array" aca="1" ref="BC40" ca="1">_xll.IMDP("IR",$AA40,O$5,$C$8)</f>
        <v>5.5449999999999999</v>
      </c>
      <c r="BD40" s="5" cm="1">
        <f t="array" aca="1" ref="BD40" ca="1">_xll.IMDP("IR",$AA40,P$5,$C$8)</f>
        <v>5.83</v>
      </c>
      <c r="BE40" s="5" cm="1">
        <f t="array" aca="1" ref="BE40" ca="1">_xll.IMDP("IR",$AA40,Q$5,$C$8)</f>
        <v>6.0620000000000003</v>
      </c>
      <c r="BF40" s="5" cm="1">
        <f t="array" aca="1" ref="BF40" ca="1">_xll.IMDP("IR",$AA40,R$5,$C$8)</f>
        <v>6.1529999999999996</v>
      </c>
      <c r="BG40" s="5" cm="1">
        <f t="array" aca="1" ref="BG40" ca="1">_xll.IMDP("IR",$AA40,S$5,$C$8)</f>
        <v>0</v>
      </c>
      <c r="BH40" s="5" cm="1">
        <f t="array" aca="1" ref="BH40" ca="1">_xll.IMDP("IR",$AA40,T$5,$C$8)</f>
        <v>0</v>
      </c>
    </row>
    <row r="41" spans="2:60" ht="13.5" customHeight="1" x14ac:dyDescent="0.3">
      <c r="B41" s="70"/>
      <c r="C41" s="71"/>
      <c r="D41" s="23" t="s">
        <v>650</v>
      </c>
      <c r="E41" s="24">
        <f t="shared" ca="1" si="2"/>
        <v>5.09</v>
      </c>
      <c r="F41" s="24">
        <f t="shared" ca="1" si="2"/>
        <v>5.5209999999999999</v>
      </c>
      <c r="G41" s="24">
        <f t="shared" ca="1" si="2"/>
        <v>5.6470000000000002</v>
      </c>
      <c r="H41" s="24">
        <f t="shared" ca="1" si="2"/>
        <v>5.69</v>
      </c>
      <c r="I41" s="24">
        <f t="shared" ca="1" si="2"/>
        <v>5.7629999999999999</v>
      </c>
      <c r="J41" s="24">
        <f t="shared" ca="1" si="2"/>
        <v>5.843</v>
      </c>
      <c r="K41" s="24">
        <f t="shared" ca="1" si="2"/>
        <v>5.9359999999999999</v>
      </c>
      <c r="L41" s="24">
        <f t="shared" ca="1" si="2"/>
        <v>6.024</v>
      </c>
      <c r="M41" s="24">
        <f t="shared" ca="1" si="2"/>
        <v>6.0839999999999996</v>
      </c>
      <c r="N41" s="24">
        <f t="shared" ca="1" si="2"/>
        <v>6.1379999999999999</v>
      </c>
      <c r="O41" s="24">
        <f t="shared" ca="1" si="2"/>
        <v>6.2</v>
      </c>
      <c r="P41" s="24">
        <f t="shared" ca="1" si="2"/>
        <v>6.4790000000000001</v>
      </c>
      <c r="Q41" s="24">
        <f t="shared" ca="1" si="2"/>
        <v>6.7329999999999997</v>
      </c>
      <c r="R41" s="24">
        <f t="shared" ca="1" si="2"/>
        <v>6.8129999999999997</v>
      </c>
      <c r="S41" s="24" t="str">
        <f t="shared" ca="1" si="2"/>
        <v/>
      </c>
      <c r="T41" s="25" t="str">
        <f t="shared" ca="1" si="2"/>
        <v/>
      </c>
      <c r="U41" s="17"/>
      <c r="Z41" s="18">
        <f>ROWS($Z$11:Z41)</f>
        <v>31</v>
      </c>
      <c r="AA41" s="18" t="str" cm="1">
        <f t="array" ref="AA41">INDEX(code!$E$2:$K$72,시가평가Matrix!$Z41,$D$3)</f>
        <v>BONDAVG31</v>
      </c>
      <c r="AB41" s="19" cm="1">
        <f t="array" aca="1" ref="AB41" ca="1">IF( OR($AA41=0,AS41=0), "", _xll.IMDP("IR",$AA41,E$6,$C$8) )</f>
        <v>5.09</v>
      </c>
      <c r="AC41" s="19" cm="1">
        <f t="array" aca="1" ref="AC41" ca="1">IF( OR($AA41=0,AT41=0), "", _xll.IMDP("IR",$AA41,F$6,$C$8) )</f>
        <v>5.5209999999999999</v>
      </c>
      <c r="AD41" s="19" cm="1">
        <f t="array" aca="1" ref="AD41" ca="1">IF( OR($AA41=0,AU41=0), "", _xll.IMDP("IR",$AA41,G$6,$C$8) )</f>
        <v>5.6470000000000002</v>
      </c>
      <c r="AE41" s="19" cm="1">
        <f t="array" aca="1" ref="AE41" ca="1">IF( OR($AA41=0,AV41=0), "", _xll.IMDP("IR",$AA41,H$6,$C$8) )</f>
        <v>5.69</v>
      </c>
      <c r="AF41" s="19" cm="1">
        <f t="array" aca="1" ref="AF41" ca="1">IF( OR($AA41=0,AW41=0), "", _xll.IMDP("IR",$AA41,I$6,$C$8) )</f>
        <v>5.7629999999999999</v>
      </c>
      <c r="AG41" s="19" cm="1">
        <f t="array" aca="1" ref="AG41" ca="1">IF( OR($AA41=0,AX41=0), "", _xll.IMDP("IR",$AA41,J$6,$C$8) )</f>
        <v>5.843</v>
      </c>
      <c r="AH41" s="19" cm="1">
        <f t="array" aca="1" ref="AH41" ca="1">IF( OR($AA41=0,AY41=0), "", _xll.IMDP("IR",$AA41,K$6,$C$8) )</f>
        <v>5.9359999999999999</v>
      </c>
      <c r="AI41" s="19" cm="1">
        <f t="array" aca="1" ref="AI41" ca="1">IF( OR($AA41=0,AZ41=0), "", _xll.IMDP("IR",$AA41,L$6,$C$8) )</f>
        <v>6.024</v>
      </c>
      <c r="AJ41" s="19" cm="1">
        <f t="array" aca="1" ref="AJ41" ca="1">IF( OR($AA41=0,BA41=0), "", _xll.IMDP("IR",$AA41,M$6,$C$8) )</f>
        <v>6.0839999999999996</v>
      </c>
      <c r="AK41" s="19" cm="1">
        <f t="array" aca="1" ref="AK41" ca="1">IF( OR($AA41=0,BB41=0), "", _xll.IMDP("IR",$AA41,N$6,$C$8) )</f>
        <v>6.1379999999999999</v>
      </c>
      <c r="AL41" s="19" cm="1">
        <f t="array" aca="1" ref="AL41" ca="1">IF( OR($AA41=0,BC41=0), "", _xll.IMDP("IR",$AA41,O$6,$C$8) )</f>
        <v>6.2</v>
      </c>
      <c r="AM41" s="19" cm="1">
        <f t="array" aca="1" ref="AM41" ca="1">IF( OR($AA41=0,BD41=0), "", _xll.IMDP("IR",$AA41,P$6,$C$8) )</f>
        <v>6.4790000000000001</v>
      </c>
      <c r="AN41" s="19" cm="1">
        <f t="array" aca="1" ref="AN41" ca="1">IF( OR($AA41=0,BE41=0), "", _xll.IMDP("IR",$AA41,Q$6,$C$8) )</f>
        <v>6.7329999999999997</v>
      </c>
      <c r="AO41" s="19" cm="1">
        <f t="array" aca="1" ref="AO41" ca="1">IF( OR($AA41=0,BF41=0), "", _xll.IMDP("IR",$AA41,R$6,$C$8) )</f>
        <v>6.8129999999999997</v>
      </c>
      <c r="AP41" s="19" t="str" cm="1">
        <f t="array" aca="1" ref="AP41" ca="1">IF( OR($AA41=0,BG41=0), "", _xll.IMDP("IR",$AA41,S$6,$C$8) )</f>
        <v/>
      </c>
      <c r="AQ41" s="19" t="str" cm="1">
        <f t="array" aca="1" ref="AQ41" ca="1">IF( OR($AA41=0,BH41=0), "", _xll.IMDP("IR",$AA41,T$6,$C$8) )</f>
        <v/>
      </c>
      <c r="AR41" s="5"/>
      <c r="AS41" s="20" cm="1">
        <f t="array" aca="1" ref="AS41" ca="1">_xll.IMDP("IR",$AA41,E$5,$C$8)</f>
        <v>5.09</v>
      </c>
      <c r="AT41" s="5" cm="1">
        <f t="array" aca="1" ref="AT41" ca="1">_xll.IMDP("IR",$AA41,F$5,$C$8)</f>
        <v>5.5209999999999999</v>
      </c>
      <c r="AU41" s="5" cm="1">
        <f t="array" aca="1" ref="AU41" ca="1">_xll.IMDP("IR",$AA41,G$5,$C$8)</f>
        <v>5.6470000000000002</v>
      </c>
      <c r="AV41" s="5" cm="1">
        <f t="array" aca="1" ref="AV41" ca="1">_xll.IMDP("IR",$AA41,H$5,$C$8)</f>
        <v>5.69</v>
      </c>
      <c r="AW41" s="5" cm="1">
        <f t="array" aca="1" ref="AW41" ca="1">_xll.IMDP("IR",$AA41,I$5,$C$8)</f>
        <v>5.7629999999999999</v>
      </c>
      <c r="AX41" s="5" cm="1">
        <f t="array" aca="1" ref="AX41" ca="1">_xll.IMDP("IR",$AA41,J$5,$C$8)</f>
        <v>5.843</v>
      </c>
      <c r="AY41" s="5" cm="1">
        <f t="array" aca="1" ref="AY41" ca="1">_xll.IMDP("IR",$AA41,K$5,$C$8)</f>
        <v>5.9359999999999999</v>
      </c>
      <c r="AZ41" s="5" cm="1">
        <f t="array" aca="1" ref="AZ41" ca="1">_xll.IMDP("IR",$AA41,L$5,$C$8)</f>
        <v>6.024</v>
      </c>
      <c r="BA41" s="5" cm="1">
        <f t="array" aca="1" ref="BA41" ca="1">_xll.IMDP("IR",$AA41,M$5,$C$8)</f>
        <v>6.0839999999999996</v>
      </c>
      <c r="BB41" s="5" cm="1">
        <f t="array" aca="1" ref="BB41" ca="1">_xll.IMDP("IR",$AA41,N$5,$C$8)</f>
        <v>6.1379999999999999</v>
      </c>
      <c r="BC41" s="5" cm="1">
        <f t="array" aca="1" ref="BC41" ca="1">_xll.IMDP("IR",$AA41,O$5,$C$8)</f>
        <v>6.2</v>
      </c>
      <c r="BD41" s="5" cm="1">
        <f t="array" aca="1" ref="BD41" ca="1">_xll.IMDP("IR",$AA41,P$5,$C$8)</f>
        <v>6.4790000000000001</v>
      </c>
      <c r="BE41" s="5" cm="1">
        <f t="array" aca="1" ref="BE41" ca="1">_xll.IMDP("IR",$AA41,Q$5,$C$8)</f>
        <v>6.7329999999999997</v>
      </c>
      <c r="BF41" s="5" cm="1">
        <f t="array" aca="1" ref="BF41" ca="1">_xll.IMDP("IR",$AA41,R$5,$C$8)</f>
        <v>6.8129999999999997</v>
      </c>
      <c r="BG41" s="5" cm="1">
        <f t="array" aca="1" ref="BG41" ca="1">_xll.IMDP("IR",$AA41,S$5,$C$8)</f>
        <v>0</v>
      </c>
      <c r="BH41" s="5" cm="1">
        <f t="array" aca="1" ref="BH41" ca="1">_xll.IMDP("IR",$AA41,T$5,$C$8)</f>
        <v>0</v>
      </c>
    </row>
    <row r="42" spans="2:60" ht="13.5" customHeight="1" x14ac:dyDescent="0.3">
      <c r="B42" s="70"/>
      <c r="C42" s="71"/>
      <c r="D42" s="23" t="s">
        <v>651</v>
      </c>
      <c r="E42" s="24">
        <f t="shared" ca="1" si="2"/>
        <v>5.9329999999999998</v>
      </c>
      <c r="F42" s="24">
        <f t="shared" ca="1" si="2"/>
        <v>6.5830000000000002</v>
      </c>
      <c r="G42" s="24">
        <f t="shared" ca="1" si="2"/>
        <v>6.8339999999999996</v>
      </c>
      <c r="H42" s="24">
        <f t="shared" ca="1" si="2"/>
        <v>6.8860000000000001</v>
      </c>
      <c r="I42" s="24">
        <f t="shared" ca="1" si="2"/>
        <v>6.9560000000000004</v>
      </c>
      <c r="J42" s="24">
        <f t="shared" ca="1" si="2"/>
        <v>7.26</v>
      </c>
      <c r="K42" s="24">
        <f t="shared" ca="1" si="2"/>
        <v>7.3630000000000004</v>
      </c>
      <c r="L42" s="24">
        <f t="shared" ca="1" si="2"/>
        <v>7.4039999999999999</v>
      </c>
      <c r="M42" s="24">
        <f t="shared" ca="1" si="2"/>
        <v>7.4160000000000004</v>
      </c>
      <c r="N42" s="24">
        <f t="shared" ca="1" si="2"/>
        <v>7.4669999999999996</v>
      </c>
      <c r="O42" s="24">
        <f t="shared" ca="1" si="2"/>
        <v>7.51</v>
      </c>
      <c r="P42" s="24">
        <f t="shared" ca="1" si="2"/>
        <v>7.7670000000000003</v>
      </c>
      <c r="Q42" s="24">
        <f t="shared" ca="1" si="2"/>
        <v>8.0289999999999999</v>
      </c>
      <c r="R42" s="24">
        <f t="shared" ca="1" si="2"/>
        <v>8.2149999999999999</v>
      </c>
      <c r="S42" s="24" t="str">
        <f t="shared" ca="1" si="2"/>
        <v/>
      </c>
      <c r="T42" s="25" t="str">
        <f t="shared" ref="T42:T81" ca="1" si="3">IFERROR( IF( $D$4=2, AQ42*100, AQ42), "")</f>
        <v/>
      </c>
      <c r="U42" s="17"/>
      <c r="Z42" s="18">
        <f>ROWS($Z$11:Z42)</f>
        <v>32</v>
      </c>
      <c r="AA42" s="18" t="str" cm="1">
        <f t="array" ref="AA42">INDEX(code!$E$2:$K$72,시가평가Matrix!$Z42,$D$3)</f>
        <v>BONDAVG32</v>
      </c>
      <c r="AB42" s="19" cm="1">
        <f t="array" aca="1" ref="AB42" ca="1">IF( OR($AA42=0,AS42=0), "", _xll.IMDP("IR",$AA42,E$6,$C$8) )</f>
        <v>5.9329999999999998</v>
      </c>
      <c r="AC42" s="19" cm="1">
        <f t="array" aca="1" ref="AC42" ca="1">IF( OR($AA42=0,AT42=0), "", _xll.IMDP("IR",$AA42,F$6,$C$8) )</f>
        <v>6.5830000000000002</v>
      </c>
      <c r="AD42" s="19" cm="1">
        <f t="array" aca="1" ref="AD42" ca="1">IF( OR($AA42=0,AU42=0), "", _xll.IMDP("IR",$AA42,G$6,$C$8) )</f>
        <v>6.8339999999999996</v>
      </c>
      <c r="AE42" s="19" cm="1">
        <f t="array" aca="1" ref="AE42" ca="1">IF( OR($AA42=0,AV42=0), "", _xll.IMDP("IR",$AA42,H$6,$C$8) )</f>
        <v>6.8860000000000001</v>
      </c>
      <c r="AF42" s="19" cm="1">
        <f t="array" aca="1" ref="AF42" ca="1">IF( OR($AA42=0,AW42=0), "", _xll.IMDP("IR",$AA42,I$6,$C$8) )</f>
        <v>6.9560000000000004</v>
      </c>
      <c r="AG42" s="19" cm="1">
        <f t="array" aca="1" ref="AG42" ca="1">IF( OR($AA42=0,AX42=0), "", _xll.IMDP("IR",$AA42,J$6,$C$8) )</f>
        <v>7.26</v>
      </c>
      <c r="AH42" s="19" cm="1">
        <f t="array" aca="1" ref="AH42" ca="1">IF( OR($AA42=0,AY42=0), "", _xll.IMDP("IR",$AA42,K$6,$C$8) )</f>
        <v>7.3630000000000004</v>
      </c>
      <c r="AI42" s="19" cm="1">
        <f t="array" aca="1" ref="AI42" ca="1">IF( OR($AA42=0,AZ42=0), "", _xll.IMDP("IR",$AA42,L$6,$C$8) )</f>
        <v>7.4039999999999999</v>
      </c>
      <c r="AJ42" s="19" cm="1">
        <f t="array" aca="1" ref="AJ42" ca="1">IF( OR($AA42=0,BA42=0), "", _xll.IMDP("IR",$AA42,M$6,$C$8) )</f>
        <v>7.4160000000000004</v>
      </c>
      <c r="AK42" s="19" cm="1">
        <f t="array" aca="1" ref="AK42" ca="1">IF( OR($AA42=0,BB42=0), "", _xll.IMDP("IR",$AA42,N$6,$C$8) )</f>
        <v>7.4669999999999996</v>
      </c>
      <c r="AL42" s="19" cm="1">
        <f t="array" aca="1" ref="AL42" ca="1">IF( OR($AA42=0,BC42=0), "", _xll.IMDP("IR",$AA42,O$6,$C$8) )</f>
        <v>7.51</v>
      </c>
      <c r="AM42" s="19" cm="1">
        <f t="array" aca="1" ref="AM42" ca="1">IF( OR($AA42=0,BD42=0), "", _xll.IMDP("IR",$AA42,P$6,$C$8) )</f>
        <v>7.7670000000000003</v>
      </c>
      <c r="AN42" s="19" cm="1">
        <f t="array" aca="1" ref="AN42" ca="1">IF( OR($AA42=0,BE42=0), "", _xll.IMDP("IR",$AA42,Q$6,$C$8) )</f>
        <v>8.0289999999999999</v>
      </c>
      <c r="AO42" s="19" cm="1">
        <f t="array" aca="1" ref="AO42" ca="1">IF( OR($AA42=0,BF42=0), "", _xll.IMDP("IR",$AA42,R$6,$C$8) )</f>
        <v>8.2149999999999999</v>
      </c>
      <c r="AP42" s="19" t="str" cm="1">
        <f t="array" aca="1" ref="AP42" ca="1">IF( OR($AA42=0,BG42=0), "", _xll.IMDP("IR",$AA42,S$6,$C$8) )</f>
        <v/>
      </c>
      <c r="AQ42" s="19" t="str" cm="1">
        <f t="array" aca="1" ref="AQ42" ca="1">IF( OR($AA42=0,BH42=0), "", _xll.IMDP("IR",$AA42,T$6,$C$8) )</f>
        <v/>
      </c>
      <c r="AR42" s="5"/>
      <c r="AS42" s="20" cm="1">
        <f t="array" aca="1" ref="AS42" ca="1">_xll.IMDP("IR",$AA42,E$5,$C$8)</f>
        <v>5.9329999999999998</v>
      </c>
      <c r="AT42" s="5" cm="1">
        <f t="array" aca="1" ref="AT42" ca="1">_xll.IMDP("IR",$AA42,F$5,$C$8)</f>
        <v>6.5830000000000002</v>
      </c>
      <c r="AU42" s="5" cm="1">
        <f t="array" aca="1" ref="AU42" ca="1">_xll.IMDP("IR",$AA42,G$5,$C$8)</f>
        <v>6.8339999999999996</v>
      </c>
      <c r="AV42" s="5" cm="1">
        <f t="array" aca="1" ref="AV42" ca="1">_xll.IMDP("IR",$AA42,H$5,$C$8)</f>
        <v>6.8860000000000001</v>
      </c>
      <c r="AW42" s="5" cm="1">
        <f t="array" aca="1" ref="AW42" ca="1">_xll.IMDP("IR",$AA42,I$5,$C$8)</f>
        <v>6.9560000000000004</v>
      </c>
      <c r="AX42" s="5" cm="1">
        <f t="array" aca="1" ref="AX42" ca="1">_xll.IMDP("IR",$AA42,J$5,$C$8)</f>
        <v>7.26</v>
      </c>
      <c r="AY42" s="5" cm="1">
        <f t="array" aca="1" ref="AY42" ca="1">_xll.IMDP("IR",$AA42,K$5,$C$8)</f>
        <v>7.3630000000000004</v>
      </c>
      <c r="AZ42" s="5" cm="1">
        <f t="array" aca="1" ref="AZ42" ca="1">_xll.IMDP("IR",$AA42,L$5,$C$8)</f>
        <v>7.4039999999999999</v>
      </c>
      <c r="BA42" s="5" cm="1">
        <f t="array" aca="1" ref="BA42" ca="1">_xll.IMDP("IR",$AA42,M$5,$C$8)</f>
        <v>7.4160000000000004</v>
      </c>
      <c r="BB42" s="5" cm="1">
        <f t="array" aca="1" ref="BB42" ca="1">_xll.IMDP("IR",$AA42,N$5,$C$8)</f>
        <v>7.4669999999999996</v>
      </c>
      <c r="BC42" s="5" cm="1">
        <f t="array" aca="1" ref="BC42" ca="1">_xll.IMDP("IR",$AA42,O$5,$C$8)</f>
        <v>7.51</v>
      </c>
      <c r="BD42" s="5" cm="1">
        <f t="array" aca="1" ref="BD42" ca="1">_xll.IMDP("IR",$AA42,P$5,$C$8)</f>
        <v>7.7670000000000003</v>
      </c>
      <c r="BE42" s="5" cm="1">
        <f t="array" aca="1" ref="BE42" ca="1">_xll.IMDP("IR",$AA42,Q$5,$C$8)</f>
        <v>8.0289999999999999</v>
      </c>
      <c r="BF42" s="5" cm="1">
        <f t="array" aca="1" ref="BF42" ca="1">_xll.IMDP("IR",$AA42,R$5,$C$8)</f>
        <v>8.2149999999999999</v>
      </c>
      <c r="BG42" s="5" cm="1">
        <f t="array" aca="1" ref="BG42" ca="1">_xll.IMDP("IR",$AA42,S$5,$C$8)</f>
        <v>0</v>
      </c>
      <c r="BH42" s="5" cm="1">
        <f t="array" aca="1" ref="BH42" ca="1">_xll.IMDP("IR",$AA42,T$5,$C$8)</f>
        <v>0</v>
      </c>
    </row>
    <row r="43" spans="2:60" ht="13.5" customHeight="1" x14ac:dyDescent="0.3">
      <c r="B43" s="70"/>
      <c r="C43" s="71"/>
      <c r="D43" s="23" t="s">
        <v>652</v>
      </c>
      <c r="E43" s="24">
        <f t="shared" ref="E43:S59" ca="1" si="4">IFERROR( IF( $D$4=2, AB43*100, AB43), "")</f>
        <v>6.58</v>
      </c>
      <c r="F43" s="24">
        <f t="shared" ca="1" si="4"/>
        <v>7.3070000000000004</v>
      </c>
      <c r="G43" s="24">
        <f t="shared" ca="1" si="4"/>
        <v>7.5739999999999998</v>
      </c>
      <c r="H43" s="24">
        <f t="shared" ca="1" si="4"/>
        <v>7.6840000000000002</v>
      </c>
      <c r="I43" s="24">
        <f t="shared" ca="1" si="4"/>
        <v>7.7560000000000002</v>
      </c>
      <c r="J43" s="24">
        <f t="shared" ca="1" si="4"/>
        <v>8.1080000000000005</v>
      </c>
      <c r="K43" s="24">
        <f t="shared" ca="1" si="4"/>
        <v>8.2650000000000006</v>
      </c>
      <c r="L43" s="24">
        <f t="shared" ca="1" si="4"/>
        <v>8.3079999999999998</v>
      </c>
      <c r="M43" s="24">
        <f t="shared" ca="1" si="4"/>
        <v>8.3409999999999993</v>
      </c>
      <c r="N43" s="24">
        <f t="shared" ca="1" si="4"/>
        <v>8.4890000000000008</v>
      </c>
      <c r="O43" s="24">
        <f t="shared" ca="1" si="4"/>
        <v>8.5779999999999994</v>
      </c>
      <c r="P43" s="24">
        <f t="shared" ca="1" si="4"/>
        <v>9.0540000000000003</v>
      </c>
      <c r="Q43" s="24">
        <f t="shared" ca="1" si="4"/>
        <v>9.4380000000000006</v>
      </c>
      <c r="R43" s="24">
        <f t="shared" ca="1" si="4"/>
        <v>9.7490000000000006</v>
      </c>
      <c r="S43" s="24" t="str">
        <f t="shared" ca="1" si="4"/>
        <v/>
      </c>
      <c r="T43" s="25" t="str">
        <f t="shared" ca="1" si="3"/>
        <v/>
      </c>
      <c r="U43" s="17"/>
      <c r="Z43" s="18">
        <f>ROWS($Z$11:Z43)</f>
        <v>33</v>
      </c>
      <c r="AA43" s="18" t="str" cm="1">
        <f t="array" ref="AA43">INDEX(code!$E$2:$K$72,시가평가Matrix!$Z43,$D$3)</f>
        <v>BONDAVG33</v>
      </c>
      <c r="AB43" s="19" cm="1">
        <f t="array" aca="1" ref="AB43" ca="1">IF( OR($AA43=0,AS43=0), "", _xll.IMDP("IR",$AA43,E$6,$C$8) )</f>
        <v>6.58</v>
      </c>
      <c r="AC43" s="19" cm="1">
        <f t="array" aca="1" ref="AC43" ca="1">IF( OR($AA43=0,AT43=0), "", _xll.IMDP("IR",$AA43,F$6,$C$8) )</f>
        <v>7.3070000000000004</v>
      </c>
      <c r="AD43" s="19" cm="1">
        <f t="array" aca="1" ref="AD43" ca="1">IF( OR($AA43=0,AU43=0), "", _xll.IMDP("IR",$AA43,G$6,$C$8) )</f>
        <v>7.5739999999999998</v>
      </c>
      <c r="AE43" s="19" cm="1">
        <f t="array" aca="1" ref="AE43" ca="1">IF( OR($AA43=0,AV43=0), "", _xll.IMDP("IR",$AA43,H$6,$C$8) )</f>
        <v>7.6840000000000002</v>
      </c>
      <c r="AF43" s="19" cm="1">
        <f t="array" aca="1" ref="AF43" ca="1">IF( OR($AA43=0,AW43=0), "", _xll.IMDP("IR",$AA43,I$6,$C$8) )</f>
        <v>7.7560000000000002</v>
      </c>
      <c r="AG43" s="19" cm="1">
        <f t="array" aca="1" ref="AG43" ca="1">IF( OR($AA43=0,AX43=0), "", _xll.IMDP("IR",$AA43,J$6,$C$8) )</f>
        <v>8.1080000000000005</v>
      </c>
      <c r="AH43" s="19" cm="1">
        <f t="array" aca="1" ref="AH43" ca="1">IF( OR($AA43=0,AY43=0), "", _xll.IMDP("IR",$AA43,K$6,$C$8) )</f>
        <v>8.2650000000000006</v>
      </c>
      <c r="AI43" s="19" cm="1">
        <f t="array" aca="1" ref="AI43" ca="1">IF( OR($AA43=0,AZ43=0), "", _xll.IMDP("IR",$AA43,L$6,$C$8) )</f>
        <v>8.3079999999999998</v>
      </c>
      <c r="AJ43" s="19" cm="1">
        <f t="array" aca="1" ref="AJ43" ca="1">IF( OR($AA43=0,BA43=0), "", _xll.IMDP("IR",$AA43,M$6,$C$8) )</f>
        <v>8.3409999999999993</v>
      </c>
      <c r="AK43" s="19" cm="1">
        <f t="array" aca="1" ref="AK43" ca="1">IF( OR($AA43=0,BB43=0), "", _xll.IMDP("IR",$AA43,N$6,$C$8) )</f>
        <v>8.4890000000000008</v>
      </c>
      <c r="AL43" s="19" cm="1">
        <f t="array" aca="1" ref="AL43" ca="1">IF( OR($AA43=0,BC43=0), "", _xll.IMDP("IR",$AA43,O$6,$C$8) )</f>
        <v>8.5779999999999994</v>
      </c>
      <c r="AM43" s="19" cm="1">
        <f t="array" aca="1" ref="AM43" ca="1">IF( OR($AA43=0,BD43=0), "", _xll.IMDP("IR",$AA43,P$6,$C$8) )</f>
        <v>9.0540000000000003</v>
      </c>
      <c r="AN43" s="19" cm="1">
        <f t="array" aca="1" ref="AN43" ca="1">IF( OR($AA43=0,BE43=0), "", _xll.IMDP("IR",$AA43,Q$6,$C$8) )</f>
        <v>9.4380000000000006</v>
      </c>
      <c r="AO43" s="19" cm="1">
        <f t="array" aca="1" ref="AO43" ca="1">IF( OR($AA43=0,BF43=0), "", _xll.IMDP("IR",$AA43,R$6,$C$8) )</f>
        <v>9.7490000000000006</v>
      </c>
      <c r="AP43" s="19" t="str" cm="1">
        <f t="array" aca="1" ref="AP43" ca="1">IF( OR($AA43=0,BG43=0), "", _xll.IMDP("IR",$AA43,S$6,$C$8) )</f>
        <v/>
      </c>
      <c r="AQ43" s="19" t="str" cm="1">
        <f t="array" aca="1" ref="AQ43" ca="1">IF( OR($AA43=0,BH43=0), "", _xll.IMDP("IR",$AA43,T$6,$C$8) )</f>
        <v/>
      </c>
      <c r="AR43" s="5"/>
      <c r="AS43" s="20" cm="1">
        <f t="array" aca="1" ref="AS43" ca="1">_xll.IMDP("IR",$AA43,E$5,$C$8)</f>
        <v>6.58</v>
      </c>
      <c r="AT43" s="5" cm="1">
        <f t="array" aca="1" ref="AT43" ca="1">_xll.IMDP("IR",$AA43,F$5,$C$8)</f>
        <v>7.3070000000000004</v>
      </c>
      <c r="AU43" s="5" cm="1">
        <f t="array" aca="1" ref="AU43" ca="1">_xll.IMDP("IR",$AA43,G$5,$C$8)</f>
        <v>7.5739999999999998</v>
      </c>
      <c r="AV43" s="5" cm="1">
        <f t="array" aca="1" ref="AV43" ca="1">_xll.IMDP("IR",$AA43,H$5,$C$8)</f>
        <v>7.6840000000000002</v>
      </c>
      <c r="AW43" s="5" cm="1">
        <f t="array" aca="1" ref="AW43" ca="1">_xll.IMDP("IR",$AA43,I$5,$C$8)</f>
        <v>7.7560000000000002</v>
      </c>
      <c r="AX43" s="5" cm="1">
        <f t="array" aca="1" ref="AX43" ca="1">_xll.IMDP("IR",$AA43,J$5,$C$8)</f>
        <v>8.1080000000000005</v>
      </c>
      <c r="AY43" s="5" cm="1">
        <f t="array" aca="1" ref="AY43" ca="1">_xll.IMDP("IR",$AA43,K$5,$C$8)</f>
        <v>8.2650000000000006</v>
      </c>
      <c r="AZ43" s="5" cm="1">
        <f t="array" aca="1" ref="AZ43" ca="1">_xll.IMDP("IR",$AA43,L$5,$C$8)</f>
        <v>8.3079999999999998</v>
      </c>
      <c r="BA43" s="5" cm="1">
        <f t="array" aca="1" ref="BA43" ca="1">_xll.IMDP("IR",$AA43,M$5,$C$8)</f>
        <v>8.3409999999999993</v>
      </c>
      <c r="BB43" s="5" cm="1">
        <f t="array" aca="1" ref="BB43" ca="1">_xll.IMDP("IR",$AA43,N$5,$C$8)</f>
        <v>8.4890000000000008</v>
      </c>
      <c r="BC43" s="5" cm="1">
        <f t="array" aca="1" ref="BC43" ca="1">_xll.IMDP("IR",$AA43,O$5,$C$8)</f>
        <v>8.5779999999999994</v>
      </c>
      <c r="BD43" s="5" cm="1">
        <f t="array" aca="1" ref="BD43" ca="1">_xll.IMDP("IR",$AA43,P$5,$C$8)</f>
        <v>9.0540000000000003</v>
      </c>
      <c r="BE43" s="5" cm="1">
        <f t="array" aca="1" ref="BE43" ca="1">_xll.IMDP("IR",$AA43,Q$5,$C$8)</f>
        <v>9.4380000000000006</v>
      </c>
      <c r="BF43" s="5" cm="1">
        <f t="array" aca="1" ref="BF43" ca="1">_xll.IMDP("IR",$AA43,R$5,$C$8)</f>
        <v>9.7490000000000006</v>
      </c>
      <c r="BG43" s="5" cm="1">
        <f t="array" aca="1" ref="BG43" ca="1">_xll.IMDP("IR",$AA43,S$5,$C$8)</f>
        <v>0</v>
      </c>
      <c r="BH43" s="5" cm="1">
        <f t="array" aca="1" ref="BH43" ca="1">_xll.IMDP("IR",$AA43,T$5,$C$8)</f>
        <v>0</v>
      </c>
    </row>
    <row r="44" spans="2:60" ht="13.5" customHeight="1" x14ac:dyDescent="0.3">
      <c r="B44" s="70"/>
      <c r="C44" s="71"/>
      <c r="D44" s="26" t="s">
        <v>653</v>
      </c>
      <c r="E44" s="27">
        <f t="shared" ca="1" si="4"/>
        <v>7.9580000000000002</v>
      </c>
      <c r="F44" s="27">
        <f t="shared" ca="1" si="4"/>
        <v>8.6519999999999992</v>
      </c>
      <c r="G44" s="27">
        <f t="shared" ca="1" si="4"/>
        <v>8.9529999999999994</v>
      </c>
      <c r="H44" s="27">
        <f t="shared" ca="1" si="4"/>
        <v>9.0190000000000001</v>
      </c>
      <c r="I44" s="27">
        <f t="shared" ca="1" si="4"/>
        <v>9.1</v>
      </c>
      <c r="J44" s="27">
        <f t="shared" ca="1" si="4"/>
        <v>9.4879999999999995</v>
      </c>
      <c r="K44" s="27">
        <f t="shared" ca="1" si="4"/>
        <v>9.6649999999999991</v>
      </c>
      <c r="L44" s="27">
        <f t="shared" ca="1" si="4"/>
        <v>9.7149999999999999</v>
      </c>
      <c r="M44" s="27">
        <f t="shared" ca="1" si="4"/>
        <v>9.7490000000000006</v>
      </c>
      <c r="N44" s="27">
        <f t="shared" ca="1" si="4"/>
        <v>9.9610000000000003</v>
      </c>
      <c r="O44" s="27">
        <f t="shared" ca="1" si="4"/>
        <v>10.041</v>
      </c>
      <c r="P44" s="27">
        <f t="shared" ca="1" si="4"/>
        <v>10.432</v>
      </c>
      <c r="Q44" s="27">
        <f t="shared" ca="1" si="4"/>
        <v>10.762</v>
      </c>
      <c r="R44" s="27">
        <f t="shared" ca="1" si="4"/>
        <v>11.069000000000001</v>
      </c>
      <c r="S44" s="27" t="str">
        <f t="shared" ca="1" si="4"/>
        <v/>
      </c>
      <c r="T44" s="28" t="str">
        <f t="shared" ca="1" si="3"/>
        <v/>
      </c>
      <c r="U44" s="17"/>
      <c r="Z44" s="18">
        <f>ROWS($Z$11:Z44)</f>
        <v>34</v>
      </c>
      <c r="AA44" s="18" t="str" cm="1">
        <f t="array" ref="AA44">INDEX(code!$E$2:$K$72,시가평가Matrix!$Z44,$D$3)</f>
        <v>BONDAVG34</v>
      </c>
      <c r="AB44" s="19" cm="1">
        <f t="array" aca="1" ref="AB44" ca="1">IF( OR($AA44=0,AS44=0), "", _xll.IMDP("IR",$AA44,E$6,$C$8) )</f>
        <v>7.9580000000000002</v>
      </c>
      <c r="AC44" s="19" cm="1">
        <f t="array" aca="1" ref="AC44" ca="1">IF( OR($AA44=0,AT44=0), "", _xll.IMDP("IR",$AA44,F$6,$C$8) )</f>
        <v>8.6519999999999992</v>
      </c>
      <c r="AD44" s="19" cm="1">
        <f t="array" aca="1" ref="AD44" ca="1">IF( OR($AA44=0,AU44=0), "", _xll.IMDP("IR",$AA44,G$6,$C$8) )</f>
        <v>8.9529999999999994</v>
      </c>
      <c r="AE44" s="19" cm="1">
        <f t="array" aca="1" ref="AE44" ca="1">IF( OR($AA44=0,AV44=0), "", _xll.IMDP("IR",$AA44,H$6,$C$8) )</f>
        <v>9.0190000000000001</v>
      </c>
      <c r="AF44" s="19" cm="1">
        <f t="array" aca="1" ref="AF44" ca="1">IF( OR($AA44=0,AW44=0), "", _xll.IMDP("IR",$AA44,I$6,$C$8) )</f>
        <v>9.1</v>
      </c>
      <c r="AG44" s="19" cm="1">
        <f t="array" aca="1" ref="AG44" ca="1">IF( OR($AA44=0,AX44=0), "", _xll.IMDP("IR",$AA44,J$6,$C$8) )</f>
        <v>9.4879999999999995</v>
      </c>
      <c r="AH44" s="19" cm="1">
        <f t="array" aca="1" ref="AH44" ca="1">IF( OR($AA44=0,AY44=0), "", _xll.IMDP("IR",$AA44,K$6,$C$8) )</f>
        <v>9.6649999999999991</v>
      </c>
      <c r="AI44" s="19" cm="1">
        <f t="array" aca="1" ref="AI44" ca="1">IF( OR($AA44=0,AZ44=0), "", _xll.IMDP("IR",$AA44,L$6,$C$8) )</f>
        <v>9.7149999999999999</v>
      </c>
      <c r="AJ44" s="19" cm="1">
        <f t="array" aca="1" ref="AJ44" ca="1">IF( OR($AA44=0,BA44=0), "", _xll.IMDP("IR",$AA44,M$6,$C$8) )</f>
        <v>9.7490000000000006</v>
      </c>
      <c r="AK44" s="19" cm="1">
        <f t="array" aca="1" ref="AK44" ca="1">IF( OR($AA44=0,BB44=0), "", _xll.IMDP("IR",$AA44,N$6,$C$8) )</f>
        <v>9.9610000000000003</v>
      </c>
      <c r="AL44" s="19" cm="1">
        <f t="array" aca="1" ref="AL44" ca="1">IF( OR($AA44=0,BC44=0), "", _xll.IMDP("IR",$AA44,O$6,$C$8) )</f>
        <v>10.041</v>
      </c>
      <c r="AM44" s="19" cm="1">
        <f t="array" aca="1" ref="AM44" ca="1">IF( OR($AA44=0,BD44=0), "", _xll.IMDP("IR",$AA44,P$6,$C$8) )</f>
        <v>10.432</v>
      </c>
      <c r="AN44" s="19" cm="1">
        <f t="array" aca="1" ref="AN44" ca="1">IF( OR($AA44=0,BE44=0), "", _xll.IMDP("IR",$AA44,Q$6,$C$8) )</f>
        <v>10.762</v>
      </c>
      <c r="AO44" s="19" cm="1">
        <f t="array" aca="1" ref="AO44" ca="1">IF( OR($AA44=0,BF44=0), "", _xll.IMDP("IR",$AA44,R$6,$C$8) )</f>
        <v>11.069000000000001</v>
      </c>
      <c r="AP44" s="19" t="str" cm="1">
        <f t="array" aca="1" ref="AP44" ca="1">IF( OR($AA44=0,BG44=0), "", _xll.IMDP("IR",$AA44,S$6,$C$8) )</f>
        <v/>
      </c>
      <c r="AQ44" s="19" t="str" cm="1">
        <f t="array" aca="1" ref="AQ44" ca="1">IF( OR($AA44=0,BH44=0), "", _xll.IMDP("IR",$AA44,T$6,$C$8) )</f>
        <v/>
      </c>
      <c r="AR44" s="5"/>
      <c r="AS44" s="20" cm="1">
        <f t="array" aca="1" ref="AS44" ca="1">_xll.IMDP("IR",$AA44,E$5,$C$8)</f>
        <v>7.9580000000000002</v>
      </c>
      <c r="AT44" s="5" cm="1">
        <f t="array" aca="1" ref="AT44" ca="1">_xll.IMDP("IR",$AA44,F$5,$C$8)</f>
        <v>8.6519999999999992</v>
      </c>
      <c r="AU44" s="5" cm="1">
        <f t="array" aca="1" ref="AU44" ca="1">_xll.IMDP("IR",$AA44,G$5,$C$8)</f>
        <v>8.9529999999999994</v>
      </c>
      <c r="AV44" s="5" cm="1">
        <f t="array" aca="1" ref="AV44" ca="1">_xll.IMDP("IR",$AA44,H$5,$C$8)</f>
        <v>9.0190000000000001</v>
      </c>
      <c r="AW44" s="5" cm="1">
        <f t="array" aca="1" ref="AW44" ca="1">_xll.IMDP("IR",$AA44,I$5,$C$8)</f>
        <v>9.1</v>
      </c>
      <c r="AX44" s="5" cm="1">
        <f t="array" aca="1" ref="AX44" ca="1">_xll.IMDP("IR",$AA44,J$5,$C$8)</f>
        <v>9.4879999999999995</v>
      </c>
      <c r="AY44" s="5" cm="1">
        <f t="array" aca="1" ref="AY44" ca="1">_xll.IMDP("IR",$AA44,K$5,$C$8)</f>
        <v>9.6649999999999991</v>
      </c>
      <c r="AZ44" s="5" cm="1">
        <f t="array" aca="1" ref="AZ44" ca="1">_xll.IMDP("IR",$AA44,L$5,$C$8)</f>
        <v>9.7149999999999999</v>
      </c>
      <c r="BA44" s="5" cm="1">
        <f t="array" aca="1" ref="BA44" ca="1">_xll.IMDP("IR",$AA44,M$5,$C$8)</f>
        <v>9.7490000000000006</v>
      </c>
      <c r="BB44" s="5" cm="1">
        <f t="array" aca="1" ref="BB44" ca="1">_xll.IMDP("IR",$AA44,N$5,$C$8)</f>
        <v>9.9610000000000003</v>
      </c>
      <c r="BC44" s="5" cm="1">
        <f t="array" aca="1" ref="BC44" ca="1">_xll.IMDP("IR",$AA44,O$5,$C$8)</f>
        <v>10.041</v>
      </c>
      <c r="BD44" s="5" cm="1">
        <f t="array" aca="1" ref="BD44" ca="1">_xll.IMDP("IR",$AA44,P$5,$C$8)</f>
        <v>10.432</v>
      </c>
      <c r="BE44" s="5" cm="1">
        <f t="array" aca="1" ref="BE44" ca="1">_xll.IMDP("IR",$AA44,Q$5,$C$8)</f>
        <v>10.762</v>
      </c>
      <c r="BF44" s="5" cm="1">
        <f t="array" aca="1" ref="BF44" ca="1">_xll.IMDP("IR",$AA44,R$5,$C$8)</f>
        <v>11.069000000000001</v>
      </c>
      <c r="BG44" s="5" cm="1">
        <f t="array" aca="1" ref="BG44" ca="1">_xll.IMDP("IR",$AA44,S$5,$C$8)</f>
        <v>0</v>
      </c>
      <c r="BH44" s="5" cm="1">
        <f t="array" aca="1" ref="BH44" ca="1">_xll.IMDP("IR",$AA44,T$5,$C$8)</f>
        <v>0</v>
      </c>
    </row>
    <row r="45" spans="2:60" ht="13.5" customHeight="1" x14ac:dyDescent="0.3">
      <c r="B45" s="70"/>
      <c r="C45" s="71" t="s">
        <v>279</v>
      </c>
      <c r="D45" s="29" t="s">
        <v>637</v>
      </c>
      <c r="E45" s="30">
        <f t="shared" ca="1" si="4"/>
        <v>3.4329999999999998</v>
      </c>
      <c r="F45" s="30">
        <f t="shared" ca="1" si="4"/>
        <v>3.42</v>
      </c>
      <c r="G45" s="30">
        <f t="shared" ca="1" si="4"/>
        <v>3.3860000000000001</v>
      </c>
      <c r="H45" s="30">
        <f t="shared" ca="1" si="4"/>
        <v>3.3959999999999999</v>
      </c>
      <c r="I45" s="30">
        <f t="shared" ca="1" si="4"/>
        <v>3.4470000000000001</v>
      </c>
      <c r="J45" s="30">
        <f t="shared" ca="1" si="4"/>
        <v>3.4180000000000001</v>
      </c>
      <c r="K45" s="30">
        <f t="shared" ca="1" si="4"/>
        <v>3.375</v>
      </c>
      <c r="L45" s="30">
        <f t="shared" ca="1" si="4"/>
        <v>3.3610000000000002</v>
      </c>
      <c r="M45" s="30">
        <f t="shared" ca="1" si="4"/>
        <v>3.3220000000000001</v>
      </c>
      <c r="N45" s="30">
        <f t="shared" ca="1" si="4"/>
        <v>3.331</v>
      </c>
      <c r="O45" s="30">
        <f t="shared" ca="1" si="4"/>
        <v>3.7320000000000002</v>
      </c>
      <c r="P45" s="30">
        <f t="shared" ca="1" si="4"/>
        <v>4.3220000000000001</v>
      </c>
      <c r="Q45" s="30">
        <f t="shared" ca="1" si="4"/>
        <v>4.7279999999999998</v>
      </c>
      <c r="R45" s="30">
        <f t="shared" ca="1" si="4"/>
        <v>4.9279999999999999</v>
      </c>
      <c r="S45" s="30" t="str">
        <f t="shared" ca="1" si="4"/>
        <v/>
      </c>
      <c r="T45" s="31" t="str">
        <f t="shared" ca="1" si="3"/>
        <v/>
      </c>
      <c r="U45" s="17"/>
      <c r="Z45" s="18">
        <f>ROWS($Z$11:Z45)</f>
        <v>35</v>
      </c>
      <c r="AA45" s="18" t="str" cm="1">
        <f t="array" ref="AA45">INDEX(code!$E$2:$K$72,시가평가Matrix!$Z45,$D$3)</f>
        <v>BONDAVG82</v>
      </c>
      <c r="AB45" s="19" cm="1">
        <f t="array" aca="1" ref="AB45" ca="1">IF( OR($AA45=0,AS45=0), "", _xll.IMDP("IR",$AA45,E$6,$C$8) )</f>
        <v>3.4329999999999998</v>
      </c>
      <c r="AC45" s="19" cm="1">
        <f t="array" aca="1" ref="AC45" ca="1">IF( OR($AA45=0,AT45=0), "", _xll.IMDP("IR",$AA45,F$6,$C$8) )</f>
        <v>3.42</v>
      </c>
      <c r="AD45" s="19" cm="1">
        <f t="array" aca="1" ref="AD45" ca="1">IF( OR($AA45=0,AU45=0), "", _xll.IMDP("IR",$AA45,G$6,$C$8) )</f>
        <v>3.3860000000000001</v>
      </c>
      <c r="AE45" s="19" cm="1">
        <f t="array" aca="1" ref="AE45" ca="1">IF( OR($AA45=0,AV45=0), "", _xll.IMDP("IR",$AA45,H$6,$C$8) )</f>
        <v>3.3959999999999999</v>
      </c>
      <c r="AF45" s="19" cm="1">
        <f t="array" aca="1" ref="AF45" ca="1">IF( OR($AA45=0,AW45=0), "", _xll.IMDP("IR",$AA45,I$6,$C$8) )</f>
        <v>3.4470000000000001</v>
      </c>
      <c r="AG45" s="19" cm="1">
        <f t="array" aca="1" ref="AG45" ca="1">IF( OR($AA45=0,AX45=0), "", _xll.IMDP("IR",$AA45,J$6,$C$8) )</f>
        <v>3.4180000000000001</v>
      </c>
      <c r="AH45" s="19" cm="1">
        <f t="array" aca="1" ref="AH45" ca="1">IF( OR($AA45=0,AY45=0), "", _xll.IMDP("IR",$AA45,K$6,$C$8) )</f>
        <v>3.375</v>
      </c>
      <c r="AI45" s="19" cm="1">
        <f t="array" aca="1" ref="AI45" ca="1">IF( OR($AA45=0,AZ45=0), "", _xll.IMDP("IR",$AA45,L$6,$C$8) )</f>
        <v>3.3610000000000002</v>
      </c>
      <c r="AJ45" s="19" cm="1">
        <f t="array" aca="1" ref="AJ45" ca="1">IF( OR($AA45=0,BA45=0), "", _xll.IMDP("IR",$AA45,M$6,$C$8) )</f>
        <v>3.3220000000000001</v>
      </c>
      <c r="AK45" s="19" cm="1">
        <f t="array" aca="1" ref="AK45" ca="1">IF( OR($AA45=0,BB45=0), "", _xll.IMDP("IR",$AA45,N$6,$C$8) )</f>
        <v>3.331</v>
      </c>
      <c r="AL45" s="19" cm="1">
        <f t="array" aca="1" ref="AL45" ca="1">IF( OR($AA45=0,BC45=0), "", _xll.IMDP("IR",$AA45,O$6,$C$8) )</f>
        <v>3.7320000000000002</v>
      </c>
      <c r="AM45" s="19" cm="1">
        <f t="array" aca="1" ref="AM45" ca="1">IF( OR($AA45=0,BD45=0), "", _xll.IMDP("IR",$AA45,P$6,$C$8) )</f>
        <v>4.3220000000000001</v>
      </c>
      <c r="AN45" s="19" cm="1">
        <f t="array" aca="1" ref="AN45" ca="1">IF( OR($AA45=0,BE45=0), "", _xll.IMDP("IR",$AA45,Q$6,$C$8) )</f>
        <v>4.7279999999999998</v>
      </c>
      <c r="AO45" s="19" cm="1">
        <f t="array" aca="1" ref="AO45" ca="1">IF( OR($AA45=0,BF45=0), "", _xll.IMDP("IR",$AA45,R$6,$C$8) )</f>
        <v>4.9279999999999999</v>
      </c>
      <c r="AP45" s="19" t="str" cm="1">
        <f t="array" aca="1" ref="AP45" ca="1">IF( OR($AA45=0,BG45=0), "", _xll.IMDP("IR",$AA45,S$6,$C$8) )</f>
        <v/>
      </c>
      <c r="AQ45" s="19" t="str" cm="1">
        <f t="array" aca="1" ref="AQ45" ca="1">IF( OR($AA45=0,BH45=0), "", _xll.IMDP("IR",$AA45,T$6,$C$8) )</f>
        <v/>
      </c>
      <c r="AR45" s="5"/>
      <c r="AS45" s="20" cm="1">
        <f t="array" aca="1" ref="AS45" ca="1">_xll.IMDP("IR",$AA45,E$5,$C$8)</f>
        <v>3.4329999999999998</v>
      </c>
      <c r="AT45" s="5" cm="1">
        <f t="array" aca="1" ref="AT45" ca="1">_xll.IMDP("IR",$AA45,F$5,$C$8)</f>
        <v>3.42</v>
      </c>
      <c r="AU45" s="5" cm="1">
        <f t="array" aca="1" ref="AU45" ca="1">_xll.IMDP("IR",$AA45,G$5,$C$8)</f>
        <v>3.3860000000000001</v>
      </c>
      <c r="AV45" s="5" cm="1">
        <f t="array" aca="1" ref="AV45" ca="1">_xll.IMDP("IR",$AA45,H$5,$C$8)</f>
        <v>3.3959999999999999</v>
      </c>
      <c r="AW45" s="5" cm="1">
        <f t="array" aca="1" ref="AW45" ca="1">_xll.IMDP("IR",$AA45,I$5,$C$8)</f>
        <v>3.4470000000000001</v>
      </c>
      <c r="AX45" s="5" cm="1">
        <f t="array" aca="1" ref="AX45" ca="1">_xll.IMDP("IR",$AA45,J$5,$C$8)</f>
        <v>3.4180000000000001</v>
      </c>
      <c r="AY45" s="5" cm="1">
        <f t="array" aca="1" ref="AY45" ca="1">_xll.IMDP("IR",$AA45,K$5,$C$8)</f>
        <v>3.375</v>
      </c>
      <c r="AZ45" s="5" cm="1">
        <f t="array" aca="1" ref="AZ45" ca="1">_xll.IMDP("IR",$AA45,L$5,$C$8)</f>
        <v>3.3610000000000002</v>
      </c>
      <c r="BA45" s="5" cm="1">
        <f t="array" aca="1" ref="BA45" ca="1">_xll.IMDP("IR",$AA45,M$5,$C$8)</f>
        <v>3.3220000000000001</v>
      </c>
      <c r="BB45" s="5" cm="1">
        <f t="array" aca="1" ref="BB45" ca="1">_xll.IMDP("IR",$AA45,N$5,$C$8)</f>
        <v>3.331</v>
      </c>
      <c r="BC45" s="5" cm="1">
        <f t="array" aca="1" ref="BC45" ca="1">_xll.IMDP("IR",$AA45,O$5,$C$8)</f>
        <v>3.7320000000000002</v>
      </c>
      <c r="BD45" s="5" cm="1">
        <f t="array" aca="1" ref="BD45" ca="1">_xll.IMDP("IR",$AA45,P$5,$C$8)</f>
        <v>4.3220000000000001</v>
      </c>
      <c r="BE45" s="5" cm="1">
        <f t="array" aca="1" ref="BE45" ca="1">_xll.IMDP("IR",$AA45,Q$5,$C$8)</f>
        <v>4.7279999999999998</v>
      </c>
      <c r="BF45" s="5" cm="1">
        <f t="array" aca="1" ref="BF45" ca="1">_xll.IMDP("IR",$AA45,R$5,$C$8)</f>
        <v>4.9279999999999999</v>
      </c>
      <c r="BG45" s="5" cm="1">
        <f t="array" aca="1" ref="BG45" ca="1">_xll.IMDP("IR",$AA45,S$5,$C$8)</f>
        <v>0</v>
      </c>
      <c r="BH45" s="5" cm="1">
        <f t="array" aca="1" ref="BH45" ca="1">_xll.IMDP("IR",$AA45,T$5,$C$8)</f>
        <v>0</v>
      </c>
    </row>
    <row r="46" spans="2:60" ht="13.5" customHeight="1" x14ac:dyDescent="0.3">
      <c r="B46" s="70"/>
      <c r="C46" s="71"/>
      <c r="D46" s="23" t="s">
        <v>638</v>
      </c>
      <c r="E46" s="24">
        <f t="shared" ca="1" si="4"/>
        <v>3.4620000000000002</v>
      </c>
      <c r="F46" s="24">
        <f t="shared" ca="1" si="4"/>
        <v>3.4449999999999998</v>
      </c>
      <c r="G46" s="24">
        <f t="shared" ca="1" si="4"/>
        <v>3.4129999999999998</v>
      </c>
      <c r="H46" s="24">
        <f t="shared" ca="1" si="4"/>
        <v>3.4289999999999998</v>
      </c>
      <c r="I46" s="24">
        <f t="shared" ca="1" si="4"/>
        <v>3.488</v>
      </c>
      <c r="J46" s="24">
        <f t="shared" ca="1" si="4"/>
        <v>3.4609999999999999</v>
      </c>
      <c r="K46" s="24">
        <f t="shared" ca="1" si="4"/>
        <v>3.43</v>
      </c>
      <c r="L46" s="24">
        <f t="shared" ca="1" si="4"/>
        <v>3.4260000000000002</v>
      </c>
      <c r="M46" s="24">
        <f t="shared" ca="1" si="4"/>
        <v>3.44</v>
      </c>
      <c r="N46" s="24">
        <f t="shared" ca="1" si="4"/>
        <v>3.5430000000000001</v>
      </c>
      <c r="O46" s="24">
        <f t="shared" ca="1" si="4"/>
        <v>3.9279999999999999</v>
      </c>
      <c r="P46" s="24">
        <f t="shared" ca="1" si="4"/>
        <v>4.4969999999999999</v>
      </c>
      <c r="Q46" s="24">
        <f t="shared" ca="1" si="4"/>
        <v>4.907</v>
      </c>
      <c r="R46" s="24">
        <f t="shared" ca="1" si="4"/>
        <v>5.1180000000000003</v>
      </c>
      <c r="S46" s="24" t="str">
        <f t="shared" ca="1" si="4"/>
        <v/>
      </c>
      <c r="T46" s="25" t="str">
        <f t="shared" ca="1" si="3"/>
        <v/>
      </c>
      <c r="U46" s="17"/>
      <c r="Z46" s="18">
        <f>ROWS($Z$11:Z46)</f>
        <v>36</v>
      </c>
      <c r="AA46" s="18" t="str" cm="1">
        <f t="array" ref="AA46">INDEX(code!$E$2:$K$72,시가평가Matrix!$Z46,$D$3)</f>
        <v>BONDAVG36</v>
      </c>
      <c r="AB46" s="19" cm="1">
        <f t="array" aca="1" ref="AB46" ca="1">IF( OR($AA46=0,AS46=0), "", _xll.IMDP("IR",$AA46,E$6,$C$8) )</f>
        <v>3.4620000000000002</v>
      </c>
      <c r="AC46" s="19" cm="1">
        <f t="array" aca="1" ref="AC46" ca="1">IF( OR($AA46=0,AT46=0), "", _xll.IMDP("IR",$AA46,F$6,$C$8) )</f>
        <v>3.4449999999999998</v>
      </c>
      <c r="AD46" s="19" cm="1">
        <f t="array" aca="1" ref="AD46" ca="1">IF( OR($AA46=0,AU46=0), "", _xll.IMDP("IR",$AA46,G$6,$C$8) )</f>
        <v>3.4129999999999998</v>
      </c>
      <c r="AE46" s="19" cm="1">
        <f t="array" aca="1" ref="AE46" ca="1">IF( OR($AA46=0,AV46=0), "", _xll.IMDP("IR",$AA46,H$6,$C$8) )</f>
        <v>3.4289999999999998</v>
      </c>
      <c r="AF46" s="19" cm="1">
        <f t="array" aca="1" ref="AF46" ca="1">IF( OR($AA46=0,AW46=0), "", _xll.IMDP("IR",$AA46,I$6,$C$8) )</f>
        <v>3.488</v>
      </c>
      <c r="AG46" s="19" cm="1">
        <f t="array" aca="1" ref="AG46" ca="1">IF( OR($AA46=0,AX46=0), "", _xll.IMDP("IR",$AA46,J$6,$C$8) )</f>
        <v>3.4609999999999999</v>
      </c>
      <c r="AH46" s="19" cm="1">
        <f t="array" aca="1" ref="AH46" ca="1">IF( OR($AA46=0,AY46=0), "", _xll.IMDP("IR",$AA46,K$6,$C$8) )</f>
        <v>3.43</v>
      </c>
      <c r="AI46" s="19" cm="1">
        <f t="array" aca="1" ref="AI46" ca="1">IF( OR($AA46=0,AZ46=0), "", _xll.IMDP("IR",$AA46,L$6,$C$8) )</f>
        <v>3.4260000000000002</v>
      </c>
      <c r="AJ46" s="19" cm="1">
        <f t="array" aca="1" ref="AJ46" ca="1">IF( OR($AA46=0,BA46=0), "", _xll.IMDP("IR",$AA46,M$6,$C$8) )</f>
        <v>3.44</v>
      </c>
      <c r="AK46" s="19" cm="1">
        <f t="array" aca="1" ref="AK46" ca="1">IF( OR($AA46=0,BB46=0), "", _xll.IMDP("IR",$AA46,N$6,$C$8) )</f>
        <v>3.5430000000000001</v>
      </c>
      <c r="AL46" s="19" cm="1">
        <f t="array" aca="1" ref="AL46" ca="1">IF( OR($AA46=0,BC46=0), "", _xll.IMDP("IR",$AA46,O$6,$C$8) )</f>
        <v>3.9279999999999999</v>
      </c>
      <c r="AM46" s="19" cm="1">
        <f t="array" aca="1" ref="AM46" ca="1">IF( OR($AA46=0,BD46=0), "", _xll.IMDP("IR",$AA46,P$6,$C$8) )</f>
        <v>4.4969999999999999</v>
      </c>
      <c r="AN46" s="19" cm="1">
        <f t="array" aca="1" ref="AN46" ca="1">IF( OR($AA46=0,BE46=0), "", _xll.IMDP("IR",$AA46,Q$6,$C$8) )</f>
        <v>4.907</v>
      </c>
      <c r="AO46" s="19" cm="1">
        <f t="array" aca="1" ref="AO46" ca="1">IF( OR($AA46=0,BF46=0), "", _xll.IMDP("IR",$AA46,R$6,$C$8) )</f>
        <v>5.1180000000000003</v>
      </c>
      <c r="AP46" s="19" t="str" cm="1">
        <f t="array" aca="1" ref="AP46" ca="1">IF( OR($AA46=0,BG46=0), "", _xll.IMDP("IR",$AA46,S$6,$C$8) )</f>
        <v/>
      </c>
      <c r="AQ46" s="19" t="str" cm="1">
        <f t="array" aca="1" ref="AQ46" ca="1">IF( OR($AA46=0,BH46=0), "", _xll.IMDP("IR",$AA46,T$6,$C$8) )</f>
        <v/>
      </c>
      <c r="AR46" s="5"/>
      <c r="AS46" s="20" cm="1">
        <f t="array" aca="1" ref="AS46" ca="1">_xll.IMDP("IR",$AA46,E$5,$C$8)</f>
        <v>3.4620000000000002</v>
      </c>
      <c r="AT46" s="5" cm="1">
        <f t="array" aca="1" ref="AT46" ca="1">_xll.IMDP("IR",$AA46,F$5,$C$8)</f>
        <v>3.4449999999999998</v>
      </c>
      <c r="AU46" s="5" cm="1">
        <f t="array" aca="1" ref="AU46" ca="1">_xll.IMDP("IR",$AA46,G$5,$C$8)</f>
        <v>3.4129999999999998</v>
      </c>
      <c r="AV46" s="5" cm="1">
        <f t="array" aca="1" ref="AV46" ca="1">_xll.IMDP("IR",$AA46,H$5,$C$8)</f>
        <v>3.4289999999999998</v>
      </c>
      <c r="AW46" s="5" cm="1">
        <f t="array" aca="1" ref="AW46" ca="1">_xll.IMDP("IR",$AA46,I$5,$C$8)</f>
        <v>3.488</v>
      </c>
      <c r="AX46" s="5" cm="1">
        <f t="array" aca="1" ref="AX46" ca="1">_xll.IMDP("IR",$AA46,J$5,$C$8)</f>
        <v>3.4609999999999999</v>
      </c>
      <c r="AY46" s="5" cm="1">
        <f t="array" aca="1" ref="AY46" ca="1">_xll.IMDP("IR",$AA46,K$5,$C$8)</f>
        <v>3.43</v>
      </c>
      <c r="AZ46" s="5" cm="1">
        <f t="array" aca="1" ref="AZ46" ca="1">_xll.IMDP("IR",$AA46,L$5,$C$8)</f>
        <v>3.4260000000000002</v>
      </c>
      <c r="BA46" s="5" cm="1">
        <f t="array" aca="1" ref="BA46" ca="1">_xll.IMDP("IR",$AA46,M$5,$C$8)</f>
        <v>3.44</v>
      </c>
      <c r="BB46" s="5" cm="1">
        <f t="array" aca="1" ref="BB46" ca="1">_xll.IMDP("IR",$AA46,N$5,$C$8)</f>
        <v>3.5430000000000001</v>
      </c>
      <c r="BC46" s="5" cm="1">
        <f t="array" aca="1" ref="BC46" ca="1">_xll.IMDP("IR",$AA46,O$5,$C$8)</f>
        <v>3.9279999999999999</v>
      </c>
      <c r="BD46" s="5" cm="1">
        <f t="array" aca="1" ref="BD46" ca="1">_xll.IMDP("IR",$AA46,P$5,$C$8)</f>
        <v>4.4969999999999999</v>
      </c>
      <c r="BE46" s="5" cm="1">
        <f t="array" aca="1" ref="BE46" ca="1">_xll.IMDP("IR",$AA46,Q$5,$C$8)</f>
        <v>4.907</v>
      </c>
      <c r="BF46" s="5" cm="1">
        <f t="array" aca="1" ref="BF46" ca="1">_xll.IMDP("IR",$AA46,R$5,$C$8)</f>
        <v>5.1180000000000003</v>
      </c>
      <c r="BG46" s="5" cm="1">
        <f t="array" aca="1" ref="BG46" ca="1">_xll.IMDP("IR",$AA46,S$5,$C$8)</f>
        <v>0</v>
      </c>
      <c r="BH46" s="5" cm="1">
        <f t="array" aca="1" ref="BH46" ca="1">_xll.IMDP("IR",$AA46,T$5,$C$8)</f>
        <v>0</v>
      </c>
    </row>
    <row r="47" spans="2:60" ht="13.5" customHeight="1" x14ac:dyDescent="0.3">
      <c r="B47" s="70"/>
      <c r="C47" s="71"/>
      <c r="D47" s="23" t="s">
        <v>639</v>
      </c>
      <c r="E47" s="24">
        <f t="shared" ca="1" si="4"/>
        <v>3.4860000000000002</v>
      </c>
      <c r="F47" s="24">
        <f t="shared" ca="1" si="4"/>
        <v>3.476</v>
      </c>
      <c r="G47" s="24">
        <f t="shared" ca="1" si="4"/>
        <v>3.468</v>
      </c>
      <c r="H47" s="24">
        <f t="shared" ca="1" si="4"/>
        <v>3.5</v>
      </c>
      <c r="I47" s="24">
        <f t="shared" ca="1" si="4"/>
        <v>3.5539999999999998</v>
      </c>
      <c r="J47" s="24">
        <f t="shared" ca="1" si="4"/>
        <v>3.5550000000000002</v>
      </c>
      <c r="K47" s="24">
        <f t="shared" ca="1" si="4"/>
        <v>3.5459999999999998</v>
      </c>
      <c r="L47" s="24">
        <f t="shared" ca="1" si="4"/>
        <v>3.544</v>
      </c>
      <c r="M47" s="24">
        <f t="shared" ca="1" si="4"/>
        <v>3.5529999999999999</v>
      </c>
      <c r="N47" s="24">
        <f t="shared" ca="1" si="4"/>
        <v>3.66</v>
      </c>
      <c r="O47" s="24">
        <f t="shared" ca="1" si="4"/>
        <v>4.1319999999999997</v>
      </c>
      <c r="P47" s="24">
        <f t="shared" ca="1" si="4"/>
        <v>4.7190000000000003</v>
      </c>
      <c r="Q47" s="24">
        <f t="shared" ca="1" si="4"/>
        <v>5.1509999999999998</v>
      </c>
      <c r="R47" s="24">
        <f t="shared" ca="1" si="4"/>
        <v>5.3730000000000002</v>
      </c>
      <c r="S47" s="24" t="str">
        <f t="shared" ca="1" si="4"/>
        <v/>
      </c>
      <c r="T47" s="25" t="str">
        <f t="shared" ca="1" si="3"/>
        <v/>
      </c>
      <c r="U47" s="17"/>
      <c r="Z47" s="18">
        <f>ROWS($Z$11:Z47)</f>
        <v>37</v>
      </c>
      <c r="AA47" s="18" t="str" cm="1">
        <f t="array" ref="AA47">INDEX(code!$E$2:$K$72,시가평가Matrix!$Z47,$D$3)</f>
        <v>BONDAVG37</v>
      </c>
      <c r="AB47" s="19" cm="1">
        <f t="array" aca="1" ref="AB47" ca="1">IF( OR($AA47=0,AS47=0), "", _xll.IMDP("IR",$AA47,E$6,$C$8) )</f>
        <v>3.4860000000000002</v>
      </c>
      <c r="AC47" s="19" cm="1">
        <f t="array" aca="1" ref="AC47" ca="1">IF( OR($AA47=0,AT47=0), "", _xll.IMDP("IR",$AA47,F$6,$C$8) )</f>
        <v>3.476</v>
      </c>
      <c r="AD47" s="19" cm="1">
        <f t="array" aca="1" ref="AD47" ca="1">IF( OR($AA47=0,AU47=0), "", _xll.IMDP("IR",$AA47,G$6,$C$8) )</f>
        <v>3.468</v>
      </c>
      <c r="AE47" s="19" cm="1">
        <f t="array" aca="1" ref="AE47" ca="1">IF( OR($AA47=0,AV47=0), "", _xll.IMDP("IR",$AA47,H$6,$C$8) )</f>
        <v>3.5</v>
      </c>
      <c r="AF47" s="19" cm="1">
        <f t="array" aca="1" ref="AF47" ca="1">IF( OR($AA47=0,AW47=0), "", _xll.IMDP("IR",$AA47,I$6,$C$8) )</f>
        <v>3.5539999999999998</v>
      </c>
      <c r="AG47" s="19" cm="1">
        <f t="array" aca="1" ref="AG47" ca="1">IF( OR($AA47=0,AX47=0), "", _xll.IMDP("IR",$AA47,J$6,$C$8) )</f>
        <v>3.5550000000000002</v>
      </c>
      <c r="AH47" s="19" cm="1">
        <f t="array" aca="1" ref="AH47" ca="1">IF( OR($AA47=0,AY47=0), "", _xll.IMDP("IR",$AA47,K$6,$C$8) )</f>
        <v>3.5459999999999998</v>
      </c>
      <c r="AI47" s="19" cm="1">
        <f t="array" aca="1" ref="AI47" ca="1">IF( OR($AA47=0,AZ47=0), "", _xll.IMDP("IR",$AA47,L$6,$C$8) )</f>
        <v>3.544</v>
      </c>
      <c r="AJ47" s="19" cm="1">
        <f t="array" aca="1" ref="AJ47" ca="1">IF( OR($AA47=0,BA47=0), "", _xll.IMDP("IR",$AA47,M$6,$C$8) )</f>
        <v>3.5529999999999999</v>
      </c>
      <c r="AK47" s="19" cm="1">
        <f t="array" aca="1" ref="AK47" ca="1">IF( OR($AA47=0,BB47=0), "", _xll.IMDP("IR",$AA47,N$6,$C$8) )</f>
        <v>3.66</v>
      </c>
      <c r="AL47" s="19" cm="1">
        <f t="array" aca="1" ref="AL47" ca="1">IF( OR($AA47=0,BC47=0), "", _xll.IMDP("IR",$AA47,O$6,$C$8) )</f>
        <v>4.1319999999999997</v>
      </c>
      <c r="AM47" s="19" cm="1">
        <f t="array" aca="1" ref="AM47" ca="1">IF( OR($AA47=0,BD47=0), "", _xll.IMDP("IR",$AA47,P$6,$C$8) )</f>
        <v>4.7190000000000003</v>
      </c>
      <c r="AN47" s="19" cm="1">
        <f t="array" aca="1" ref="AN47" ca="1">IF( OR($AA47=0,BE47=0), "", _xll.IMDP("IR",$AA47,Q$6,$C$8) )</f>
        <v>5.1509999999999998</v>
      </c>
      <c r="AO47" s="19" cm="1">
        <f t="array" aca="1" ref="AO47" ca="1">IF( OR($AA47=0,BF47=0), "", _xll.IMDP("IR",$AA47,R$6,$C$8) )</f>
        <v>5.3730000000000002</v>
      </c>
      <c r="AP47" s="19" t="str" cm="1">
        <f t="array" aca="1" ref="AP47" ca="1">IF( OR($AA47=0,BG47=0), "", _xll.IMDP("IR",$AA47,S$6,$C$8) )</f>
        <v/>
      </c>
      <c r="AQ47" s="19" t="str" cm="1">
        <f t="array" aca="1" ref="AQ47" ca="1">IF( OR($AA47=0,BH47=0), "", _xll.IMDP("IR",$AA47,T$6,$C$8) )</f>
        <v/>
      </c>
      <c r="AR47" s="5"/>
      <c r="AS47" s="20" cm="1">
        <f t="array" aca="1" ref="AS47" ca="1">_xll.IMDP("IR",$AA47,E$5,$C$8)</f>
        <v>3.4860000000000002</v>
      </c>
      <c r="AT47" s="5" cm="1">
        <f t="array" aca="1" ref="AT47" ca="1">_xll.IMDP("IR",$AA47,F$5,$C$8)</f>
        <v>3.476</v>
      </c>
      <c r="AU47" s="5" cm="1">
        <f t="array" aca="1" ref="AU47" ca="1">_xll.IMDP("IR",$AA47,G$5,$C$8)</f>
        <v>3.468</v>
      </c>
      <c r="AV47" s="5" cm="1">
        <f t="array" aca="1" ref="AV47" ca="1">_xll.IMDP("IR",$AA47,H$5,$C$8)</f>
        <v>3.5</v>
      </c>
      <c r="AW47" s="5" cm="1">
        <f t="array" aca="1" ref="AW47" ca="1">_xll.IMDP("IR",$AA47,I$5,$C$8)</f>
        <v>3.5539999999999998</v>
      </c>
      <c r="AX47" s="5" cm="1">
        <f t="array" aca="1" ref="AX47" ca="1">_xll.IMDP("IR",$AA47,J$5,$C$8)</f>
        <v>3.5550000000000002</v>
      </c>
      <c r="AY47" s="5" cm="1">
        <f t="array" aca="1" ref="AY47" ca="1">_xll.IMDP("IR",$AA47,K$5,$C$8)</f>
        <v>3.5459999999999998</v>
      </c>
      <c r="AZ47" s="5" cm="1">
        <f t="array" aca="1" ref="AZ47" ca="1">_xll.IMDP("IR",$AA47,L$5,$C$8)</f>
        <v>3.544</v>
      </c>
      <c r="BA47" s="5" cm="1">
        <f t="array" aca="1" ref="BA47" ca="1">_xll.IMDP("IR",$AA47,M$5,$C$8)</f>
        <v>3.5529999999999999</v>
      </c>
      <c r="BB47" s="5" cm="1">
        <f t="array" aca="1" ref="BB47" ca="1">_xll.IMDP("IR",$AA47,N$5,$C$8)</f>
        <v>3.66</v>
      </c>
      <c r="BC47" s="5" cm="1">
        <f t="array" aca="1" ref="BC47" ca="1">_xll.IMDP("IR",$AA47,O$5,$C$8)</f>
        <v>4.1319999999999997</v>
      </c>
      <c r="BD47" s="5" cm="1">
        <f t="array" aca="1" ref="BD47" ca="1">_xll.IMDP("IR",$AA47,P$5,$C$8)</f>
        <v>4.7190000000000003</v>
      </c>
      <c r="BE47" s="5" cm="1">
        <f t="array" aca="1" ref="BE47" ca="1">_xll.IMDP("IR",$AA47,Q$5,$C$8)</f>
        <v>5.1509999999999998</v>
      </c>
      <c r="BF47" s="5" cm="1">
        <f t="array" aca="1" ref="BF47" ca="1">_xll.IMDP("IR",$AA47,R$5,$C$8)</f>
        <v>5.3730000000000002</v>
      </c>
      <c r="BG47" s="5" cm="1">
        <f t="array" aca="1" ref="BG47" ca="1">_xll.IMDP("IR",$AA47,S$5,$C$8)</f>
        <v>0</v>
      </c>
      <c r="BH47" s="5" cm="1">
        <f t="array" aca="1" ref="BH47" ca="1">_xll.IMDP("IR",$AA47,T$5,$C$8)</f>
        <v>0</v>
      </c>
    </row>
    <row r="48" spans="2:60" ht="13.5" customHeight="1" x14ac:dyDescent="0.3">
      <c r="B48" s="70"/>
      <c r="C48" s="71"/>
      <c r="D48" s="23" t="s">
        <v>648</v>
      </c>
      <c r="E48" s="24">
        <f t="shared" ca="1" si="4"/>
        <v>4.008</v>
      </c>
      <c r="F48" s="24">
        <f t="shared" ca="1" si="4"/>
        <v>4.2759999999999998</v>
      </c>
      <c r="G48" s="24">
        <f t="shared" ca="1" si="4"/>
        <v>4.3639999999999999</v>
      </c>
      <c r="H48" s="24">
        <f t="shared" ca="1" si="4"/>
        <v>4.3890000000000002</v>
      </c>
      <c r="I48" s="24">
        <f t="shared" ca="1" si="4"/>
        <v>4.4269999999999996</v>
      </c>
      <c r="J48" s="24">
        <f t="shared" ca="1" si="4"/>
        <v>4.4340000000000002</v>
      </c>
      <c r="K48" s="24">
        <f t="shared" ca="1" si="4"/>
        <v>4.4930000000000003</v>
      </c>
      <c r="L48" s="24">
        <f t="shared" ca="1" si="4"/>
        <v>4.5659999999999998</v>
      </c>
      <c r="M48" s="24">
        <f t="shared" ca="1" si="4"/>
        <v>4.7069999999999999</v>
      </c>
      <c r="N48" s="24">
        <f t="shared" ca="1" si="4"/>
        <v>4.82</v>
      </c>
      <c r="O48" s="24">
        <f t="shared" ca="1" si="4"/>
        <v>5.0179999999999998</v>
      </c>
      <c r="P48" s="24">
        <f t="shared" ca="1" si="4"/>
        <v>5.41</v>
      </c>
      <c r="Q48" s="24">
        <f t="shared" ca="1" si="4"/>
        <v>5.6840000000000002</v>
      </c>
      <c r="R48" s="24">
        <f t="shared" ca="1" si="4"/>
        <v>5.8109999999999999</v>
      </c>
      <c r="S48" s="24" t="str">
        <f t="shared" ca="1" si="4"/>
        <v/>
      </c>
      <c r="T48" s="25" t="str">
        <f t="shared" ca="1" si="3"/>
        <v/>
      </c>
      <c r="U48" s="17"/>
      <c r="Z48" s="18">
        <f>ROWS($Z$11:Z48)</f>
        <v>38</v>
      </c>
      <c r="AA48" s="18" t="str" cm="1">
        <f t="array" ref="AA48">INDEX(code!$E$2:$K$72,시가평가Matrix!$Z48,$D$3)</f>
        <v>BONDAVG38</v>
      </c>
      <c r="AB48" s="19" cm="1">
        <f t="array" aca="1" ref="AB48" ca="1">IF( OR($AA48=0,AS48=0), "", _xll.IMDP("IR",$AA48,E$6,$C$8) )</f>
        <v>4.008</v>
      </c>
      <c r="AC48" s="19" cm="1">
        <f t="array" aca="1" ref="AC48" ca="1">IF( OR($AA48=0,AT48=0), "", _xll.IMDP("IR",$AA48,F$6,$C$8) )</f>
        <v>4.2759999999999998</v>
      </c>
      <c r="AD48" s="19" cm="1">
        <f t="array" aca="1" ref="AD48" ca="1">IF( OR($AA48=0,AU48=0), "", _xll.IMDP("IR",$AA48,G$6,$C$8) )</f>
        <v>4.3639999999999999</v>
      </c>
      <c r="AE48" s="19" cm="1">
        <f t="array" aca="1" ref="AE48" ca="1">IF( OR($AA48=0,AV48=0), "", _xll.IMDP("IR",$AA48,H$6,$C$8) )</f>
        <v>4.3890000000000002</v>
      </c>
      <c r="AF48" s="19" cm="1">
        <f t="array" aca="1" ref="AF48" ca="1">IF( OR($AA48=0,AW48=0), "", _xll.IMDP("IR",$AA48,I$6,$C$8) )</f>
        <v>4.4269999999999996</v>
      </c>
      <c r="AG48" s="19" cm="1">
        <f t="array" aca="1" ref="AG48" ca="1">IF( OR($AA48=0,AX48=0), "", _xll.IMDP("IR",$AA48,J$6,$C$8) )</f>
        <v>4.4340000000000002</v>
      </c>
      <c r="AH48" s="19" cm="1">
        <f t="array" aca="1" ref="AH48" ca="1">IF( OR($AA48=0,AY48=0), "", _xll.IMDP("IR",$AA48,K$6,$C$8) )</f>
        <v>4.4930000000000003</v>
      </c>
      <c r="AI48" s="19" cm="1">
        <f t="array" aca="1" ref="AI48" ca="1">IF( OR($AA48=0,AZ48=0), "", _xll.IMDP("IR",$AA48,L$6,$C$8) )</f>
        <v>4.5659999999999998</v>
      </c>
      <c r="AJ48" s="19" cm="1">
        <f t="array" aca="1" ref="AJ48" ca="1">IF( OR($AA48=0,BA48=0), "", _xll.IMDP("IR",$AA48,M$6,$C$8) )</f>
        <v>4.7069999999999999</v>
      </c>
      <c r="AK48" s="19" cm="1">
        <f t="array" aca="1" ref="AK48" ca="1">IF( OR($AA48=0,BB48=0), "", _xll.IMDP("IR",$AA48,N$6,$C$8) )</f>
        <v>4.82</v>
      </c>
      <c r="AL48" s="19" cm="1">
        <f t="array" aca="1" ref="AL48" ca="1">IF( OR($AA48=0,BC48=0), "", _xll.IMDP("IR",$AA48,O$6,$C$8) )</f>
        <v>5.0179999999999998</v>
      </c>
      <c r="AM48" s="19" cm="1">
        <f t="array" aca="1" ref="AM48" ca="1">IF( OR($AA48=0,BD48=0), "", _xll.IMDP("IR",$AA48,P$6,$C$8) )</f>
        <v>5.41</v>
      </c>
      <c r="AN48" s="19" cm="1">
        <f t="array" aca="1" ref="AN48" ca="1">IF( OR($AA48=0,BE48=0), "", _xll.IMDP("IR",$AA48,Q$6,$C$8) )</f>
        <v>5.6840000000000002</v>
      </c>
      <c r="AO48" s="19" cm="1">
        <f t="array" aca="1" ref="AO48" ca="1">IF( OR($AA48=0,BF48=0), "", _xll.IMDP("IR",$AA48,R$6,$C$8) )</f>
        <v>5.8109999999999999</v>
      </c>
      <c r="AP48" s="19" t="str" cm="1">
        <f t="array" aca="1" ref="AP48" ca="1">IF( OR($AA48=0,BG48=0), "", _xll.IMDP("IR",$AA48,S$6,$C$8) )</f>
        <v/>
      </c>
      <c r="AQ48" s="19" t="str" cm="1">
        <f t="array" aca="1" ref="AQ48" ca="1">IF( OR($AA48=0,BH48=0), "", _xll.IMDP("IR",$AA48,T$6,$C$8) )</f>
        <v/>
      </c>
      <c r="AR48" s="5"/>
      <c r="AS48" s="20" cm="1">
        <f t="array" aca="1" ref="AS48" ca="1">_xll.IMDP("IR",$AA48,E$5,$C$8)</f>
        <v>4.008</v>
      </c>
      <c r="AT48" s="5" cm="1">
        <f t="array" aca="1" ref="AT48" ca="1">_xll.IMDP("IR",$AA48,F$5,$C$8)</f>
        <v>4.2759999999999998</v>
      </c>
      <c r="AU48" s="5" cm="1">
        <f t="array" aca="1" ref="AU48" ca="1">_xll.IMDP("IR",$AA48,G$5,$C$8)</f>
        <v>4.3639999999999999</v>
      </c>
      <c r="AV48" s="5" cm="1">
        <f t="array" aca="1" ref="AV48" ca="1">_xll.IMDP("IR",$AA48,H$5,$C$8)</f>
        <v>4.3890000000000002</v>
      </c>
      <c r="AW48" s="5" cm="1">
        <f t="array" aca="1" ref="AW48" ca="1">_xll.IMDP("IR",$AA48,I$5,$C$8)</f>
        <v>4.4269999999999996</v>
      </c>
      <c r="AX48" s="5" cm="1">
        <f t="array" aca="1" ref="AX48" ca="1">_xll.IMDP("IR",$AA48,J$5,$C$8)</f>
        <v>4.4340000000000002</v>
      </c>
      <c r="AY48" s="5" cm="1">
        <f t="array" aca="1" ref="AY48" ca="1">_xll.IMDP("IR",$AA48,K$5,$C$8)</f>
        <v>4.4930000000000003</v>
      </c>
      <c r="AZ48" s="5" cm="1">
        <f t="array" aca="1" ref="AZ48" ca="1">_xll.IMDP("IR",$AA48,L$5,$C$8)</f>
        <v>4.5659999999999998</v>
      </c>
      <c r="BA48" s="5" cm="1">
        <f t="array" aca="1" ref="BA48" ca="1">_xll.IMDP("IR",$AA48,M$5,$C$8)</f>
        <v>4.7069999999999999</v>
      </c>
      <c r="BB48" s="5" cm="1">
        <f t="array" aca="1" ref="BB48" ca="1">_xll.IMDP("IR",$AA48,N$5,$C$8)</f>
        <v>4.82</v>
      </c>
      <c r="BC48" s="5" cm="1">
        <f t="array" aca="1" ref="BC48" ca="1">_xll.IMDP("IR",$AA48,O$5,$C$8)</f>
        <v>5.0179999999999998</v>
      </c>
      <c r="BD48" s="5" cm="1">
        <f t="array" aca="1" ref="BD48" ca="1">_xll.IMDP("IR",$AA48,P$5,$C$8)</f>
        <v>5.41</v>
      </c>
      <c r="BE48" s="5" cm="1">
        <f t="array" aca="1" ref="BE48" ca="1">_xll.IMDP("IR",$AA48,Q$5,$C$8)</f>
        <v>5.6840000000000002</v>
      </c>
      <c r="BF48" s="5" cm="1">
        <f t="array" aca="1" ref="BF48" ca="1">_xll.IMDP("IR",$AA48,R$5,$C$8)</f>
        <v>5.8109999999999999</v>
      </c>
      <c r="BG48" s="5" cm="1">
        <f t="array" aca="1" ref="BG48" ca="1">_xll.IMDP("IR",$AA48,S$5,$C$8)</f>
        <v>0</v>
      </c>
      <c r="BH48" s="5" cm="1">
        <f t="array" aca="1" ref="BH48" ca="1">_xll.IMDP("IR",$AA48,T$5,$C$8)</f>
        <v>0</v>
      </c>
    </row>
    <row r="49" spans="2:60" ht="13.5" customHeight="1" x14ac:dyDescent="0.3">
      <c r="B49" s="70"/>
      <c r="C49" s="71"/>
      <c r="D49" s="23" t="s">
        <v>649</v>
      </c>
      <c r="E49" s="24">
        <f t="shared" ca="1" si="4"/>
        <v>4.5670000000000002</v>
      </c>
      <c r="F49" s="24">
        <f t="shared" ca="1" si="4"/>
        <v>4.8879999999999999</v>
      </c>
      <c r="G49" s="24">
        <f t="shared" ca="1" si="4"/>
        <v>5.0309999999999997</v>
      </c>
      <c r="H49" s="24">
        <f t="shared" ca="1" si="4"/>
        <v>5.133</v>
      </c>
      <c r="I49" s="24">
        <f t="shared" ca="1" si="4"/>
        <v>5.21</v>
      </c>
      <c r="J49" s="24">
        <f t="shared" ca="1" si="4"/>
        <v>5.2590000000000003</v>
      </c>
      <c r="K49" s="24">
        <f t="shared" ca="1" si="4"/>
        <v>5.2789999999999999</v>
      </c>
      <c r="L49" s="24">
        <f t="shared" ca="1" si="4"/>
        <v>5.3470000000000004</v>
      </c>
      <c r="M49" s="24">
        <f t="shared" ca="1" si="4"/>
        <v>5.3920000000000003</v>
      </c>
      <c r="N49" s="24">
        <f t="shared" ca="1" si="4"/>
        <v>5.4740000000000002</v>
      </c>
      <c r="O49" s="24">
        <f t="shared" ca="1" si="4"/>
        <v>5.5449999999999999</v>
      </c>
      <c r="P49" s="24">
        <f t="shared" ca="1" si="4"/>
        <v>5.83</v>
      </c>
      <c r="Q49" s="24">
        <f t="shared" ca="1" si="4"/>
        <v>6.0620000000000003</v>
      </c>
      <c r="R49" s="24">
        <f t="shared" ca="1" si="4"/>
        <v>6.1529999999999996</v>
      </c>
      <c r="S49" s="24" t="str">
        <f t="shared" ca="1" si="4"/>
        <v/>
      </c>
      <c r="T49" s="25" t="str">
        <f t="shared" ca="1" si="3"/>
        <v/>
      </c>
      <c r="U49" s="17"/>
      <c r="Z49" s="18">
        <f>ROWS($Z$11:Z49)</f>
        <v>39</v>
      </c>
      <c r="AA49" s="18" t="str" cm="1">
        <f t="array" ref="AA49">INDEX(code!$E$2:$K$72,시가평가Matrix!$Z49,$D$3)</f>
        <v>BONDAVG39</v>
      </c>
      <c r="AB49" s="19" cm="1">
        <f t="array" aca="1" ref="AB49" ca="1">IF( OR($AA49=0,AS49=0), "", _xll.IMDP("IR",$AA49,E$6,$C$8) )</f>
        <v>4.5670000000000002</v>
      </c>
      <c r="AC49" s="19" cm="1">
        <f t="array" aca="1" ref="AC49" ca="1">IF( OR($AA49=0,AT49=0), "", _xll.IMDP("IR",$AA49,F$6,$C$8) )</f>
        <v>4.8879999999999999</v>
      </c>
      <c r="AD49" s="19" cm="1">
        <f t="array" aca="1" ref="AD49" ca="1">IF( OR($AA49=0,AU49=0), "", _xll.IMDP("IR",$AA49,G$6,$C$8) )</f>
        <v>5.0309999999999997</v>
      </c>
      <c r="AE49" s="19" cm="1">
        <f t="array" aca="1" ref="AE49" ca="1">IF( OR($AA49=0,AV49=0), "", _xll.IMDP("IR",$AA49,H$6,$C$8) )</f>
        <v>5.133</v>
      </c>
      <c r="AF49" s="19" cm="1">
        <f t="array" aca="1" ref="AF49" ca="1">IF( OR($AA49=0,AW49=0), "", _xll.IMDP("IR",$AA49,I$6,$C$8) )</f>
        <v>5.21</v>
      </c>
      <c r="AG49" s="19" cm="1">
        <f t="array" aca="1" ref="AG49" ca="1">IF( OR($AA49=0,AX49=0), "", _xll.IMDP("IR",$AA49,J$6,$C$8) )</f>
        <v>5.2590000000000003</v>
      </c>
      <c r="AH49" s="19" cm="1">
        <f t="array" aca="1" ref="AH49" ca="1">IF( OR($AA49=0,AY49=0), "", _xll.IMDP("IR",$AA49,K$6,$C$8) )</f>
        <v>5.2789999999999999</v>
      </c>
      <c r="AI49" s="19" cm="1">
        <f t="array" aca="1" ref="AI49" ca="1">IF( OR($AA49=0,AZ49=0), "", _xll.IMDP("IR",$AA49,L$6,$C$8) )</f>
        <v>5.3470000000000004</v>
      </c>
      <c r="AJ49" s="19" cm="1">
        <f t="array" aca="1" ref="AJ49" ca="1">IF( OR($AA49=0,BA49=0), "", _xll.IMDP("IR",$AA49,M$6,$C$8) )</f>
        <v>5.3920000000000003</v>
      </c>
      <c r="AK49" s="19" cm="1">
        <f t="array" aca="1" ref="AK49" ca="1">IF( OR($AA49=0,BB49=0), "", _xll.IMDP("IR",$AA49,N$6,$C$8) )</f>
        <v>5.4740000000000002</v>
      </c>
      <c r="AL49" s="19" cm="1">
        <f t="array" aca="1" ref="AL49" ca="1">IF( OR($AA49=0,BC49=0), "", _xll.IMDP("IR",$AA49,O$6,$C$8) )</f>
        <v>5.5449999999999999</v>
      </c>
      <c r="AM49" s="19" cm="1">
        <f t="array" aca="1" ref="AM49" ca="1">IF( OR($AA49=0,BD49=0), "", _xll.IMDP("IR",$AA49,P$6,$C$8) )</f>
        <v>5.83</v>
      </c>
      <c r="AN49" s="19" cm="1">
        <f t="array" aca="1" ref="AN49" ca="1">IF( OR($AA49=0,BE49=0), "", _xll.IMDP("IR",$AA49,Q$6,$C$8) )</f>
        <v>6.0620000000000003</v>
      </c>
      <c r="AO49" s="19" cm="1">
        <f t="array" aca="1" ref="AO49" ca="1">IF( OR($AA49=0,BF49=0), "", _xll.IMDP("IR",$AA49,R$6,$C$8) )</f>
        <v>6.1529999999999996</v>
      </c>
      <c r="AP49" s="19" t="str" cm="1">
        <f t="array" aca="1" ref="AP49" ca="1">IF( OR($AA49=0,BG49=0), "", _xll.IMDP("IR",$AA49,S$6,$C$8) )</f>
        <v/>
      </c>
      <c r="AQ49" s="19" t="str" cm="1">
        <f t="array" aca="1" ref="AQ49" ca="1">IF( OR($AA49=0,BH49=0), "", _xll.IMDP("IR",$AA49,T$6,$C$8) )</f>
        <v/>
      </c>
      <c r="AR49" s="5"/>
      <c r="AS49" s="20" cm="1">
        <f t="array" aca="1" ref="AS49" ca="1">_xll.IMDP("IR",$AA49,E$5,$C$8)</f>
        <v>4.5670000000000002</v>
      </c>
      <c r="AT49" s="5" cm="1">
        <f t="array" aca="1" ref="AT49" ca="1">_xll.IMDP("IR",$AA49,F$5,$C$8)</f>
        <v>4.8879999999999999</v>
      </c>
      <c r="AU49" s="5" cm="1">
        <f t="array" aca="1" ref="AU49" ca="1">_xll.IMDP("IR",$AA49,G$5,$C$8)</f>
        <v>5.0309999999999997</v>
      </c>
      <c r="AV49" s="5" cm="1">
        <f t="array" aca="1" ref="AV49" ca="1">_xll.IMDP("IR",$AA49,H$5,$C$8)</f>
        <v>5.133</v>
      </c>
      <c r="AW49" s="5" cm="1">
        <f t="array" aca="1" ref="AW49" ca="1">_xll.IMDP("IR",$AA49,I$5,$C$8)</f>
        <v>5.21</v>
      </c>
      <c r="AX49" s="5" cm="1">
        <f t="array" aca="1" ref="AX49" ca="1">_xll.IMDP("IR",$AA49,J$5,$C$8)</f>
        <v>5.2590000000000003</v>
      </c>
      <c r="AY49" s="5" cm="1">
        <f t="array" aca="1" ref="AY49" ca="1">_xll.IMDP("IR",$AA49,K$5,$C$8)</f>
        <v>5.2789999999999999</v>
      </c>
      <c r="AZ49" s="5" cm="1">
        <f t="array" aca="1" ref="AZ49" ca="1">_xll.IMDP("IR",$AA49,L$5,$C$8)</f>
        <v>5.3470000000000004</v>
      </c>
      <c r="BA49" s="5" cm="1">
        <f t="array" aca="1" ref="BA49" ca="1">_xll.IMDP("IR",$AA49,M$5,$C$8)</f>
        <v>5.3920000000000003</v>
      </c>
      <c r="BB49" s="5" cm="1">
        <f t="array" aca="1" ref="BB49" ca="1">_xll.IMDP("IR",$AA49,N$5,$C$8)</f>
        <v>5.4740000000000002</v>
      </c>
      <c r="BC49" s="5" cm="1">
        <f t="array" aca="1" ref="BC49" ca="1">_xll.IMDP("IR",$AA49,O$5,$C$8)</f>
        <v>5.5449999999999999</v>
      </c>
      <c r="BD49" s="5" cm="1">
        <f t="array" aca="1" ref="BD49" ca="1">_xll.IMDP("IR",$AA49,P$5,$C$8)</f>
        <v>5.83</v>
      </c>
      <c r="BE49" s="5" cm="1">
        <f t="array" aca="1" ref="BE49" ca="1">_xll.IMDP("IR",$AA49,Q$5,$C$8)</f>
        <v>6.0620000000000003</v>
      </c>
      <c r="BF49" s="5" cm="1">
        <f t="array" aca="1" ref="BF49" ca="1">_xll.IMDP("IR",$AA49,R$5,$C$8)</f>
        <v>6.1529999999999996</v>
      </c>
      <c r="BG49" s="5" cm="1">
        <f t="array" aca="1" ref="BG49" ca="1">_xll.IMDP("IR",$AA49,S$5,$C$8)</f>
        <v>0</v>
      </c>
      <c r="BH49" s="5" cm="1">
        <f t="array" aca="1" ref="BH49" ca="1">_xll.IMDP("IR",$AA49,T$5,$C$8)</f>
        <v>0</v>
      </c>
    </row>
    <row r="50" spans="2:60" ht="13.5" customHeight="1" x14ac:dyDescent="0.3">
      <c r="B50" s="70"/>
      <c r="C50" s="71"/>
      <c r="D50" s="23" t="s">
        <v>650</v>
      </c>
      <c r="E50" s="24">
        <f t="shared" ca="1" si="4"/>
        <v>5.09</v>
      </c>
      <c r="F50" s="24">
        <f t="shared" ca="1" si="4"/>
        <v>5.5209999999999999</v>
      </c>
      <c r="G50" s="24">
        <f t="shared" ca="1" si="4"/>
        <v>5.6470000000000002</v>
      </c>
      <c r="H50" s="24">
        <f t="shared" ca="1" si="4"/>
        <v>5.69</v>
      </c>
      <c r="I50" s="24">
        <f t="shared" ca="1" si="4"/>
        <v>5.7629999999999999</v>
      </c>
      <c r="J50" s="24">
        <f t="shared" ca="1" si="4"/>
        <v>5.843</v>
      </c>
      <c r="K50" s="24">
        <f t="shared" ca="1" si="4"/>
        <v>5.9359999999999999</v>
      </c>
      <c r="L50" s="24">
        <f t="shared" ca="1" si="4"/>
        <v>6.024</v>
      </c>
      <c r="M50" s="24">
        <f t="shared" ca="1" si="4"/>
        <v>6.0839999999999996</v>
      </c>
      <c r="N50" s="24">
        <f t="shared" ca="1" si="4"/>
        <v>6.1379999999999999</v>
      </c>
      <c r="O50" s="24">
        <f t="shared" ca="1" si="4"/>
        <v>6.2</v>
      </c>
      <c r="P50" s="24">
        <f t="shared" ca="1" si="4"/>
        <v>6.4790000000000001</v>
      </c>
      <c r="Q50" s="24">
        <f t="shared" ca="1" si="4"/>
        <v>6.7329999999999997</v>
      </c>
      <c r="R50" s="24">
        <f t="shared" ca="1" si="4"/>
        <v>6.8129999999999997</v>
      </c>
      <c r="S50" s="24" t="str">
        <f t="shared" ca="1" si="4"/>
        <v/>
      </c>
      <c r="T50" s="25" t="str">
        <f t="shared" ca="1" si="3"/>
        <v/>
      </c>
      <c r="U50" s="17"/>
      <c r="Z50" s="18">
        <f>ROWS($Z$11:Z50)</f>
        <v>40</v>
      </c>
      <c r="AA50" s="18" t="str" cm="1">
        <f t="array" ref="AA50">INDEX(code!$E$2:$K$72,시가평가Matrix!$Z50,$D$3)</f>
        <v>BONDAVG40</v>
      </c>
      <c r="AB50" s="19" cm="1">
        <f t="array" aca="1" ref="AB50" ca="1">IF( OR($AA50=0,AS50=0), "", _xll.IMDP("IR",$AA50,E$6,$C$8) )</f>
        <v>5.09</v>
      </c>
      <c r="AC50" s="19" cm="1">
        <f t="array" aca="1" ref="AC50" ca="1">IF( OR($AA50=0,AT50=0), "", _xll.IMDP("IR",$AA50,F$6,$C$8) )</f>
        <v>5.5209999999999999</v>
      </c>
      <c r="AD50" s="19" cm="1">
        <f t="array" aca="1" ref="AD50" ca="1">IF( OR($AA50=0,AU50=0), "", _xll.IMDP("IR",$AA50,G$6,$C$8) )</f>
        <v>5.6470000000000002</v>
      </c>
      <c r="AE50" s="19" cm="1">
        <f t="array" aca="1" ref="AE50" ca="1">IF( OR($AA50=0,AV50=0), "", _xll.IMDP("IR",$AA50,H$6,$C$8) )</f>
        <v>5.69</v>
      </c>
      <c r="AF50" s="19" cm="1">
        <f t="array" aca="1" ref="AF50" ca="1">IF( OR($AA50=0,AW50=0), "", _xll.IMDP("IR",$AA50,I$6,$C$8) )</f>
        <v>5.7629999999999999</v>
      </c>
      <c r="AG50" s="19" cm="1">
        <f t="array" aca="1" ref="AG50" ca="1">IF( OR($AA50=0,AX50=0), "", _xll.IMDP("IR",$AA50,J$6,$C$8) )</f>
        <v>5.843</v>
      </c>
      <c r="AH50" s="19" cm="1">
        <f t="array" aca="1" ref="AH50" ca="1">IF( OR($AA50=0,AY50=0), "", _xll.IMDP("IR",$AA50,K$6,$C$8) )</f>
        <v>5.9359999999999999</v>
      </c>
      <c r="AI50" s="19" cm="1">
        <f t="array" aca="1" ref="AI50" ca="1">IF( OR($AA50=0,AZ50=0), "", _xll.IMDP("IR",$AA50,L$6,$C$8) )</f>
        <v>6.024</v>
      </c>
      <c r="AJ50" s="19" cm="1">
        <f t="array" aca="1" ref="AJ50" ca="1">IF( OR($AA50=0,BA50=0), "", _xll.IMDP("IR",$AA50,M$6,$C$8) )</f>
        <v>6.0839999999999996</v>
      </c>
      <c r="AK50" s="19" cm="1">
        <f t="array" aca="1" ref="AK50" ca="1">IF( OR($AA50=0,BB50=0), "", _xll.IMDP("IR",$AA50,N$6,$C$8) )</f>
        <v>6.1379999999999999</v>
      </c>
      <c r="AL50" s="19" cm="1">
        <f t="array" aca="1" ref="AL50" ca="1">IF( OR($AA50=0,BC50=0), "", _xll.IMDP("IR",$AA50,O$6,$C$8) )</f>
        <v>6.2</v>
      </c>
      <c r="AM50" s="19" cm="1">
        <f t="array" aca="1" ref="AM50" ca="1">IF( OR($AA50=0,BD50=0), "", _xll.IMDP("IR",$AA50,P$6,$C$8) )</f>
        <v>6.4790000000000001</v>
      </c>
      <c r="AN50" s="19" cm="1">
        <f t="array" aca="1" ref="AN50" ca="1">IF( OR($AA50=0,BE50=0), "", _xll.IMDP("IR",$AA50,Q$6,$C$8) )</f>
        <v>6.7329999999999997</v>
      </c>
      <c r="AO50" s="19" cm="1">
        <f t="array" aca="1" ref="AO50" ca="1">IF( OR($AA50=0,BF50=0), "", _xll.IMDP("IR",$AA50,R$6,$C$8) )</f>
        <v>6.8129999999999997</v>
      </c>
      <c r="AP50" s="19" t="str" cm="1">
        <f t="array" aca="1" ref="AP50" ca="1">IF( OR($AA50=0,BG50=0), "", _xll.IMDP("IR",$AA50,S$6,$C$8) )</f>
        <v/>
      </c>
      <c r="AQ50" s="19" t="str" cm="1">
        <f t="array" aca="1" ref="AQ50" ca="1">IF( OR($AA50=0,BH50=0), "", _xll.IMDP("IR",$AA50,T$6,$C$8) )</f>
        <v/>
      </c>
      <c r="AR50" s="5"/>
      <c r="AS50" s="20" cm="1">
        <f t="array" aca="1" ref="AS50" ca="1">_xll.IMDP("IR",$AA50,E$5,$C$8)</f>
        <v>5.09</v>
      </c>
      <c r="AT50" s="5" cm="1">
        <f t="array" aca="1" ref="AT50" ca="1">_xll.IMDP("IR",$AA50,F$5,$C$8)</f>
        <v>5.5209999999999999</v>
      </c>
      <c r="AU50" s="5" cm="1">
        <f t="array" aca="1" ref="AU50" ca="1">_xll.IMDP("IR",$AA50,G$5,$C$8)</f>
        <v>5.6470000000000002</v>
      </c>
      <c r="AV50" s="5" cm="1">
        <f t="array" aca="1" ref="AV50" ca="1">_xll.IMDP("IR",$AA50,H$5,$C$8)</f>
        <v>5.69</v>
      </c>
      <c r="AW50" s="5" cm="1">
        <f t="array" aca="1" ref="AW50" ca="1">_xll.IMDP("IR",$AA50,I$5,$C$8)</f>
        <v>5.7629999999999999</v>
      </c>
      <c r="AX50" s="5" cm="1">
        <f t="array" aca="1" ref="AX50" ca="1">_xll.IMDP("IR",$AA50,J$5,$C$8)</f>
        <v>5.843</v>
      </c>
      <c r="AY50" s="5" cm="1">
        <f t="array" aca="1" ref="AY50" ca="1">_xll.IMDP("IR",$AA50,K$5,$C$8)</f>
        <v>5.9359999999999999</v>
      </c>
      <c r="AZ50" s="5" cm="1">
        <f t="array" aca="1" ref="AZ50" ca="1">_xll.IMDP("IR",$AA50,L$5,$C$8)</f>
        <v>6.024</v>
      </c>
      <c r="BA50" s="5" cm="1">
        <f t="array" aca="1" ref="BA50" ca="1">_xll.IMDP("IR",$AA50,M$5,$C$8)</f>
        <v>6.0839999999999996</v>
      </c>
      <c r="BB50" s="5" cm="1">
        <f t="array" aca="1" ref="BB50" ca="1">_xll.IMDP("IR",$AA50,N$5,$C$8)</f>
        <v>6.1379999999999999</v>
      </c>
      <c r="BC50" s="5" cm="1">
        <f t="array" aca="1" ref="BC50" ca="1">_xll.IMDP("IR",$AA50,O$5,$C$8)</f>
        <v>6.2</v>
      </c>
      <c r="BD50" s="5" cm="1">
        <f t="array" aca="1" ref="BD50" ca="1">_xll.IMDP("IR",$AA50,P$5,$C$8)</f>
        <v>6.4790000000000001</v>
      </c>
      <c r="BE50" s="5" cm="1">
        <f t="array" aca="1" ref="BE50" ca="1">_xll.IMDP("IR",$AA50,Q$5,$C$8)</f>
        <v>6.7329999999999997</v>
      </c>
      <c r="BF50" s="5" cm="1">
        <f t="array" aca="1" ref="BF50" ca="1">_xll.IMDP("IR",$AA50,R$5,$C$8)</f>
        <v>6.8129999999999997</v>
      </c>
      <c r="BG50" s="5" cm="1">
        <f t="array" aca="1" ref="BG50" ca="1">_xll.IMDP("IR",$AA50,S$5,$C$8)</f>
        <v>0</v>
      </c>
      <c r="BH50" s="5" cm="1">
        <f t="array" aca="1" ref="BH50" ca="1">_xll.IMDP("IR",$AA50,T$5,$C$8)</f>
        <v>0</v>
      </c>
    </row>
    <row r="51" spans="2:60" ht="13.5" customHeight="1" x14ac:dyDescent="0.3">
      <c r="B51" s="70"/>
      <c r="C51" s="71"/>
      <c r="D51" s="23" t="s">
        <v>651</v>
      </c>
      <c r="E51" s="24">
        <f t="shared" ca="1" si="4"/>
        <v>5.875</v>
      </c>
      <c r="F51" s="24">
        <f t="shared" ca="1" si="4"/>
        <v>6.5110000000000001</v>
      </c>
      <c r="G51" s="24">
        <f t="shared" ca="1" si="4"/>
        <v>6.7510000000000003</v>
      </c>
      <c r="H51" s="24">
        <f t="shared" ca="1" si="4"/>
        <v>6.8470000000000004</v>
      </c>
      <c r="I51" s="24">
        <f t="shared" ca="1" si="4"/>
        <v>6.9160000000000004</v>
      </c>
      <c r="J51" s="24">
        <f t="shared" ca="1" si="4"/>
        <v>7.2089999999999996</v>
      </c>
      <c r="K51" s="24">
        <f t="shared" ca="1" si="4"/>
        <v>7.3250000000000002</v>
      </c>
      <c r="L51" s="24">
        <f t="shared" ca="1" si="4"/>
        <v>7.383</v>
      </c>
      <c r="M51" s="24">
        <f t="shared" ca="1" si="4"/>
        <v>7.3970000000000002</v>
      </c>
      <c r="N51" s="24">
        <f t="shared" ca="1" si="4"/>
        <v>7.44</v>
      </c>
      <c r="O51" s="24">
        <f t="shared" ca="1" si="4"/>
        <v>7.4870000000000001</v>
      </c>
      <c r="P51" s="24">
        <f t="shared" ca="1" si="4"/>
        <v>7.7939999999999996</v>
      </c>
      <c r="Q51" s="24">
        <f t="shared" ca="1" si="4"/>
        <v>8.1460000000000008</v>
      </c>
      <c r="R51" s="24">
        <f t="shared" ca="1" si="4"/>
        <v>8.3260000000000005</v>
      </c>
      <c r="S51" s="24" t="str">
        <f t="shared" ca="1" si="4"/>
        <v/>
      </c>
      <c r="T51" s="25" t="str">
        <f t="shared" ca="1" si="3"/>
        <v/>
      </c>
      <c r="U51" s="17"/>
      <c r="Z51" s="18">
        <f>ROWS($Z$11:Z51)</f>
        <v>41</v>
      </c>
      <c r="AA51" s="18" t="str" cm="1">
        <f t="array" ref="AA51">INDEX(code!$E$2:$K$72,시가평가Matrix!$Z51,$D$3)</f>
        <v>BONDAVG41</v>
      </c>
      <c r="AB51" s="19" cm="1">
        <f t="array" aca="1" ref="AB51" ca="1">IF( OR($AA51=0,AS51=0), "", _xll.IMDP("IR",$AA51,E$6,$C$8) )</f>
        <v>5.875</v>
      </c>
      <c r="AC51" s="19" cm="1">
        <f t="array" aca="1" ref="AC51" ca="1">IF( OR($AA51=0,AT51=0), "", _xll.IMDP("IR",$AA51,F$6,$C$8) )</f>
        <v>6.5110000000000001</v>
      </c>
      <c r="AD51" s="19" cm="1">
        <f t="array" aca="1" ref="AD51" ca="1">IF( OR($AA51=0,AU51=0), "", _xll.IMDP("IR",$AA51,G$6,$C$8) )</f>
        <v>6.7510000000000003</v>
      </c>
      <c r="AE51" s="19" cm="1">
        <f t="array" aca="1" ref="AE51" ca="1">IF( OR($AA51=0,AV51=0), "", _xll.IMDP("IR",$AA51,H$6,$C$8) )</f>
        <v>6.8470000000000004</v>
      </c>
      <c r="AF51" s="19" cm="1">
        <f t="array" aca="1" ref="AF51" ca="1">IF( OR($AA51=0,AW51=0), "", _xll.IMDP("IR",$AA51,I$6,$C$8) )</f>
        <v>6.9160000000000004</v>
      </c>
      <c r="AG51" s="19" cm="1">
        <f t="array" aca="1" ref="AG51" ca="1">IF( OR($AA51=0,AX51=0), "", _xll.IMDP("IR",$AA51,J$6,$C$8) )</f>
        <v>7.2089999999999996</v>
      </c>
      <c r="AH51" s="19" cm="1">
        <f t="array" aca="1" ref="AH51" ca="1">IF( OR($AA51=0,AY51=0), "", _xll.IMDP("IR",$AA51,K$6,$C$8) )</f>
        <v>7.3250000000000002</v>
      </c>
      <c r="AI51" s="19" cm="1">
        <f t="array" aca="1" ref="AI51" ca="1">IF( OR($AA51=0,AZ51=0), "", _xll.IMDP("IR",$AA51,L$6,$C$8) )</f>
        <v>7.383</v>
      </c>
      <c r="AJ51" s="19" cm="1">
        <f t="array" aca="1" ref="AJ51" ca="1">IF( OR($AA51=0,BA51=0), "", _xll.IMDP("IR",$AA51,M$6,$C$8) )</f>
        <v>7.3970000000000002</v>
      </c>
      <c r="AK51" s="19" cm="1">
        <f t="array" aca="1" ref="AK51" ca="1">IF( OR($AA51=0,BB51=0), "", _xll.IMDP("IR",$AA51,N$6,$C$8) )</f>
        <v>7.44</v>
      </c>
      <c r="AL51" s="19" cm="1">
        <f t="array" aca="1" ref="AL51" ca="1">IF( OR($AA51=0,BC51=0), "", _xll.IMDP("IR",$AA51,O$6,$C$8) )</f>
        <v>7.4870000000000001</v>
      </c>
      <c r="AM51" s="19" cm="1">
        <f t="array" aca="1" ref="AM51" ca="1">IF( OR($AA51=0,BD51=0), "", _xll.IMDP("IR",$AA51,P$6,$C$8) )</f>
        <v>7.7939999999999996</v>
      </c>
      <c r="AN51" s="19" cm="1">
        <f t="array" aca="1" ref="AN51" ca="1">IF( OR($AA51=0,BE51=0), "", _xll.IMDP("IR",$AA51,Q$6,$C$8) )</f>
        <v>8.1460000000000008</v>
      </c>
      <c r="AO51" s="19" cm="1">
        <f t="array" aca="1" ref="AO51" ca="1">IF( OR($AA51=0,BF51=0), "", _xll.IMDP("IR",$AA51,R$6,$C$8) )</f>
        <v>8.3260000000000005</v>
      </c>
      <c r="AP51" s="19" t="str" cm="1">
        <f t="array" aca="1" ref="AP51" ca="1">IF( OR($AA51=0,BG51=0), "", _xll.IMDP("IR",$AA51,S$6,$C$8) )</f>
        <v/>
      </c>
      <c r="AQ51" s="19" t="str" cm="1">
        <f t="array" aca="1" ref="AQ51" ca="1">IF( OR($AA51=0,BH51=0), "", _xll.IMDP("IR",$AA51,T$6,$C$8) )</f>
        <v/>
      </c>
      <c r="AR51" s="5"/>
      <c r="AS51" s="20" cm="1">
        <f t="array" aca="1" ref="AS51" ca="1">_xll.IMDP("IR",$AA51,E$5,$C$8)</f>
        <v>5.875</v>
      </c>
      <c r="AT51" s="5" cm="1">
        <f t="array" aca="1" ref="AT51" ca="1">_xll.IMDP("IR",$AA51,F$5,$C$8)</f>
        <v>6.5110000000000001</v>
      </c>
      <c r="AU51" s="5" cm="1">
        <f t="array" aca="1" ref="AU51" ca="1">_xll.IMDP("IR",$AA51,G$5,$C$8)</f>
        <v>6.7510000000000003</v>
      </c>
      <c r="AV51" s="5" cm="1">
        <f t="array" aca="1" ref="AV51" ca="1">_xll.IMDP("IR",$AA51,H$5,$C$8)</f>
        <v>6.8470000000000004</v>
      </c>
      <c r="AW51" s="5" cm="1">
        <f t="array" aca="1" ref="AW51" ca="1">_xll.IMDP("IR",$AA51,I$5,$C$8)</f>
        <v>6.9160000000000004</v>
      </c>
      <c r="AX51" s="5" cm="1">
        <f t="array" aca="1" ref="AX51" ca="1">_xll.IMDP("IR",$AA51,J$5,$C$8)</f>
        <v>7.2089999999999996</v>
      </c>
      <c r="AY51" s="5" cm="1">
        <f t="array" aca="1" ref="AY51" ca="1">_xll.IMDP("IR",$AA51,K$5,$C$8)</f>
        <v>7.3250000000000002</v>
      </c>
      <c r="AZ51" s="5" cm="1">
        <f t="array" aca="1" ref="AZ51" ca="1">_xll.IMDP("IR",$AA51,L$5,$C$8)</f>
        <v>7.383</v>
      </c>
      <c r="BA51" s="5" cm="1">
        <f t="array" aca="1" ref="BA51" ca="1">_xll.IMDP("IR",$AA51,M$5,$C$8)</f>
        <v>7.3970000000000002</v>
      </c>
      <c r="BB51" s="5" cm="1">
        <f t="array" aca="1" ref="BB51" ca="1">_xll.IMDP("IR",$AA51,N$5,$C$8)</f>
        <v>7.44</v>
      </c>
      <c r="BC51" s="5" cm="1">
        <f t="array" aca="1" ref="BC51" ca="1">_xll.IMDP("IR",$AA51,O$5,$C$8)</f>
        <v>7.4870000000000001</v>
      </c>
      <c r="BD51" s="5" cm="1">
        <f t="array" aca="1" ref="BD51" ca="1">_xll.IMDP("IR",$AA51,P$5,$C$8)</f>
        <v>7.7939999999999996</v>
      </c>
      <c r="BE51" s="5" cm="1">
        <f t="array" aca="1" ref="BE51" ca="1">_xll.IMDP("IR",$AA51,Q$5,$C$8)</f>
        <v>8.1460000000000008</v>
      </c>
      <c r="BF51" s="5" cm="1">
        <f t="array" aca="1" ref="BF51" ca="1">_xll.IMDP("IR",$AA51,R$5,$C$8)</f>
        <v>8.3260000000000005</v>
      </c>
      <c r="BG51" s="5" cm="1">
        <f t="array" aca="1" ref="BG51" ca="1">_xll.IMDP("IR",$AA51,S$5,$C$8)</f>
        <v>0</v>
      </c>
      <c r="BH51" s="5" cm="1">
        <f t="array" aca="1" ref="BH51" ca="1">_xll.IMDP("IR",$AA51,T$5,$C$8)</f>
        <v>0</v>
      </c>
    </row>
    <row r="52" spans="2:60" ht="13.5" customHeight="1" x14ac:dyDescent="0.3">
      <c r="B52" s="70"/>
      <c r="C52" s="71"/>
      <c r="D52" s="23" t="s">
        <v>652</v>
      </c>
      <c r="E52" s="24">
        <f t="shared" ca="1" si="4"/>
        <v>6.5279999999999996</v>
      </c>
      <c r="F52" s="24">
        <f t="shared" ca="1" si="4"/>
        <v>7.2270000000000003</v>
      </c>
      <c r="G52" s="24">
        <f t="shared" ca="1" si="4"/>
        <v>7.4829999999999997</v>
      </c>
      <c r="H52" s="24">
        <f t="shared" ca="1" si="4"/>
        <v>7.6340000000000003</v>
      </c>
      <c r="I52" s="24">
        <f t="shared" ca="1" si="4"/>
        <v>7.7240000000000002</v>
      </c>
      <c r="J52" s="24">
        <f t="shared" ca="1" si="4"/>
        <v>8.0489999999999995</v>
      </c>
      <c r="K52" s="24">
        <f t="shared" ca="1" si="4"/>
        <v>8.2219999999999995</v>
      </c>
      <c r="L52" s="24">
        <f t="shared" ca="1" si="4"/>
        <v>8.2889999999999997</v>
      </c>
      <c r="M52" s="24">
        <f t="shared" ca="1" si="4"/>
        <v>8.33</v>
      </c>
      <c r="N52" s="24">
        <f t="shared" ca="1" si="4"/>
        <v>8.4779999999999998</v>
      </c>
      <c r="O52" s="24">
        <f t="shared" ca="1" si="4"/>
        <v>8.64</v>
      </c>
      <c r="P52" s="24">
        <f t="shared" ca="1" si="4"/>
        <v>9.1150000000000002</v>
      </c>
      <c r="Q52" s="24">
        <f t="shared" ca="1" si="4"/>
        <v>9.5619999999999994</v>
      </c>
      <c r="R52" s="24">
        <f t="shared" ca="1" si="4"/>
        <v>9.8249999999999993</v>
      </c>
      <c r="S52" s="24" t="str">
        <f t="shared" ca="1" si="4"/>
        <v/>
      </c>
      <c r="T52" s="25" t="str">
        <f t="shared" ca="1" si="3"/>
        <v/>
      </c>
      <c r="U52" s="17"/>
      <c r="Z52" s="18">
        <f>ROWS($Z$11:Z52)</f>
        <v>42</v>
      </c>
      <c r="AA52" s="18" t="str" cm="1">
        <f t="array" ref="AA52">INDEX(code!$E$2:$K$72,시가평가Matrix!$Z52,$D$3)</f>
        <v>BONDAVG42</v>
      </c>
      <c r="AB52" s="19" cm="1">
        <f t="array" aca="1" ref="AB52" ca="1">IF( OR($AA52=0,AS52=0), "", _xll.IMDP("IR",$AA52,E$6,$C$8) )</f>
        <v>6.5279999999999996</v>
      </c>
      <c r="AC52" s="19" cm="1">
        <f t="array" aca="1" ref="AC52" ca="1">IF( OR($AA52=0,AT52=0), "", _xll.IMDP("IR",$AA52,F$6,$C$8) )</f>
        <v>7.2270000000000003</v>
      </c>
      <c r="AD52" s="19" cm="1">
        <f t="array" aca="1" ref="AD52" ca="1">IF( OR($AA52=0,AU52=0), "", _xll.IMDP("IR",$AA52,G$6,$C$8) )</f>
        <v>7.4829999999999997</v>
      </c>
      <c r="AE52" s="19" cm="1">
        <f t="array" aca="1" ref="AE52" ca="1">IF( OR($AA52=0,AV52=0), "", _xll.IMDP("IR",$AA52,H$6,$C$8) )</f>
        <v>7.6340000000000003</v>
      </c>
      <c r="AF52" s="19" cm="1">
        <f t="array" aca="1" ref="AF52" ca="1">IF( OR($AA52=0,AW52=0), "", _xll.IMDP("IR",$AA52,I$6,$C$8) )</f>
        <v>7.7240000000000002</v>
      </c>
      <c r="AG52" s="19" cm="1">
        <f t="array" aca="1" ref="AG52" ca="1">IF( OR($AA52=0,AX52=0), "", _xll.IMDP("IR",$AA52,J$6,$C$8) )</f>
        <v>8.0489999999999995</v>
      </c>
      <c r="AH52" s="19" cm="1">
        <f t="array" aca="1" ref="AH52" ca="1">IF( OR($AA52=0,AY52=0), "", _xll.IMDP("IR",$AA52,K$6,$C$8) )</f>
        <v>8.2219999999999995</v>
      </c>
      <c r="AI52" s="19" cm="1">
        <f t="array" aca="1" ref="AI52" ca="1">IF( OR($AA52=0,AZ52=0), "", _xll.IMDP("IR",$AA52,L$6,$C$8) )</f>
        <v>8.2889999999999997</v>
      </c>
      <c r="AJ52" s="19" cm="1">
        <f t="array" aca="1" ref="AJ52" ca="1">IF( OR($AA52=0,BA52=0), "", _xll.IMDP("IR",$AA52,M$6,$C$8) )</f>
        <v>8.33</v>
      </c>
      <c r="AK52" s="19" cm="1">
        <f t="array" aca="1" ref="AK52" ca="1">IF( OR($AA52=0,BB52=0), "", _xll.IMDP("IR",$AA52,N$6,$C$8) )</f>
        <v>8.4779999999999998</v>
      </c>
      <c r="AL52" s="19" cm="1">
        <f t="array" aca="1" ref="AL52" ca="1">IF( OR($AA52=0,BC52=0), "", _xll.IMDP("IR",$AA52,O$6,$C$8) )</f>
        <v>8.64</v>
      </c>
      <c r="AM52" s="19" cm="1">
        <f t="array" aca="1" ref="AM52" ca="1">IF( OR($AA52=0,BD52=0), "", _xll.IMDP("IR",$AA52,P$6,$C$8) )</f>
        <v>9.1150000000000002</v>
      </c>
      <c r="AN52" s="19" cm="1">
        <f t="array" aca="1" ref="AN52" ca="1">IF( OR($AA52=0,BE52=0), "", _xll.IMDP("IR",$AA52,Q$6,$C$8) )</f>
        <v>9.5619999999999994</v>
      </c>
      <c r="AO52" s="19" cm="1">
        <f t="array" aca="1" ref="AO52" ca="1">IF( OR($AA52=0,BF52=0), "", _xll.IMDP("IR",$AA52,R$6,$C$8) )</f>
        <v>9.8249999999999993</v>
      </c>
      <c r="AP52" s="19" t="str" cm="1">
        <f t="array" aca="1" ref="AP52" ca="1">IF( OR($AA52=0,BG52=0), "", _xll.IMDP("IR",$AA52,S$6,$C$8) )</f>
        <v/>
      </c>
      <c r="AQ52" s="19" t="str" cm="1">
        <f t="array" aca="1" ref="AQ52" ca="1">IF( OR($AA52=0,BH52=0), "", _xll.IMDP("IR",$AA52,T$6,$C$8) )</f>
        <v/>
      </c>
      <c r="AR52" s="5"/>
      <c r="AS52" s="20" cm="1">
        <f t="array" aca="1" ref="AS52" ca="1">_xll.IMDP("IR",$AA52,E$5,$C$8)</f>
        <v>6.5279999999999996</v>
      </c>
      <c r="AT52" s="5" cm="1">
        <f t="array" aca="1" ref="AT52" ca="1">_xll.IMDP("IR",$AA52,F$5,$C$8)</f>
        <v>7.2270000000000003</v>
      </c>
      <c r="AU52" s="5" cm="1">
        <f t="array" aca="1" ref="AU52" ca="1">_xll.IMDP("IR",$AA52,G$5,$C$8)</f>
        <v>7.4829999999999997</v>
      </c>
      <c r="AV52" s="5" cm="1">
        <f t="array" aca="1" ref="AV52" ca="1">_xll.IMDP("IR",$AA52,H$5,$C$8)</f>
        <v>7.6340000000000003</v>
      </c>
      <c r="AW52" s="5" cm="1">
        <f t="array" aca="1" ref="AW52" ca="1">_xll.IMDP("IR",$AA52,I$5,$C$8)</f>
        <v>7.7240000000000002</v>
      </c>
      <c r="AX52" s="5" cm="1">
        <f t="array" aca="1" ref="AX52" ca="1">_xll.IMDP("IR",$AA52,J$5,$C$8)</f>
        <v>8.0489999999999995</v>
      </c>
      <c r="AY52" s="5" cm="1">
        <f t="array" aca="1" ref="AY52" ca="1">_xll.IMDP("IR",$AA52,K$5,$C$8)</f>
        <v>8.2219999999999995</v>
      </c>
      <c r="AZ52" s="5" cm="1">
        <f t="array" aca="1" ref="AZ52" ca="1">_xll.IMDP("IR",$AA52,L$5,$C$8)</f>
        <v>8.2889999999999997</v>
      </c>
      <c r="BA52" s="5" cm="1">
        <f t="array" aca="1" ref="BA52" ca="1">_xll.IMDP("IR",$AA52,M$5,$C$8)</f>
        <v>8.33</v>
      </c>
      <c r="BB52" s="5" cm="1">
        <f t="array" aca="1" ref="BB52" ca="1">_xll.IMDP("IR",$AA52,N$5,$C$8)</f>
        <v>8.4779999999999998</v>
      </c>
      <c r="BC52" s="5" cm="1">
        <f t="array" aca="1" ref="BC52" ca="1">_xll.IMDP("IR",$AA52,O$5,$C$8)</f>
        <v>8.64</v>
      </c>
      <c r="BD52" s="5" cm="1">
        <f t="array" aca="1" ref="BD52" ca="1">_xll.IMDP("IR",$AA52,P$5,$C$8)</f>
        <v>9.1150000000000002</v>
      </c>
      <c r="BE52" s="5" cm="1">
        <f t="array" aca="1" ref="BE52" ca="1">_xll.IMDP("IR",$AA52,Q$5,$C$8)</f>
        <v>9.5619999999999994</v>
      </c>
      <c r="BF52" s="5" cm="1">
        <f t="array" aca="1" ref="BF52" ca="1">_xll.IMDP("IR",$AA52,R$5,$C$8)</f>
        <v>9.8249999999999993</v>
      </c>
      <c r="BG52" s="5" cm="1">
        <f t="array" aca="1" ref="BG52" ca="1">_xll.IMDP("IR",$AA52,S$5,$C$8)</f>
        <v>0</v>
      </c>
      <c r="BH52" s="5" cm="1">
        <f t="array" aca="1" ref="BH52" ca="1">_xll.IMDP("IR",$AA52,T$5,$C$8)</f>
        <v>0</v>
      </c>
    </row>
    <row r="53" spans="2:60" ht="13.5" customHeight="1" x14ac:dyDescent="0.3">
      <c r="B53" s="70"/>
      <c r="C53" s="71"/>
      <c r="D53" s="26" t="s">
        <v>653</v>
      </c>
      <c r="E53" s="27">
        <f t="shared" ca="1" si="4"/>
        <v>7.8140000000000001</v>
      </c>
      <c r="F53" s="27">
        <f t="shared" ca="1" si="4"/>
        <v>8.5410000000000004</v>
      </c>
      <c r="G53" s="27">
        <f t="shared" ca="1" si="4"/>
        <v>8.8179999999999996</v>
      </c>
      <c r="H53" s="27">
        <f t="shared" ca="1" si="4"/>
        <v>8.9410000000000007</v>
      </c>
      <c r="I53" s="27">
        <f t="shared" ca="1" si="4"/>
        <v>9.0370000000000008</v>
      </c>
      <c r="J53" s="27">
        <f t="shared" ca="1" si="4"/>
        <v>9.3859999999999992</v>
      </c>
      <c r="K53" s="27">
        <f t="shared" ca="1" si="4"/>
        <v>9.5719999999999992</v>
      </c>
      <c r="L53" s="27">
        <f t="shared" ca="1" si="4"/>
        <v>9.6430000000000007</v>
      </c>
      <c r="M53" s="27">
        <f t="shared" ca="1" si="4"/>
        <v>9.6859999999999999</v>
      </c>
      <c r="N53" s="27">
        <f t="shared" ca="1" si="4"/>
        <v>9.8759999999999994</v>
      </c>
      <c r="O53" s="27">
        <f t="shared" ca="1" si="4"/>
        <v>10.032</v>
      </c>
      <c r="P53" s="27">
        <f t="shared" ca="1" si="4"/>
        <v>10.45</v>
      </c>
      <c r="Q53" s="27">
        <f t="shared" ca="1" si="4"/>
        <v>10.861000000000001</v>
      </c>
      <c r="R53" s="27">
        <f t="shared" ca="1" si="4"/>
        <v>11.109</v>
      </c>
      <c r="S53" s="27" t="str">
        <f t="shared" ca="1" si="4"/>
        <v/>
      </c>
      <c r="T53" s="28" t="str">
        <f t="shared" ca="1" si="3"/>
        <v/>
      </c>
      <c r="U53" s="17"/>
      <c r="Z53" s="18">
        <f>ROWS($Z$11:Z53)</f>
        <v>43</v>
      </c>
      <c r="AA53" s="18" t="str" cm="1">
        <f t="array" ref="AA53">INDEX(code!$E$2:$K$72,시가평가Matrix!$Z53,$D$3)</f>
        <v>BONDAVG43</v>
      </c>
      <c r="AB53" s="19" cm="1">
        <f t="array" aca="1" ref="AB53" ca="1">IF( OR($AA53=0,AS53=0), "", _xll.IMDP("IR",$AA53,E$6,$C$8) )</f>
        <v>7.8140000000000001</v>
      </c>
      <c r="AC53" s="19" cm="1">
        <f t="array" aca="1" ref="AC53" ca="1">IF( OR($AA53=0,AT53=0), "", _xll.IMDP("IR",$AA53,F$6,$C$8) )</f>
        <v>8.5410000000000004</v>
      </c>
      <c r="AD53" s="19" cm="1">
        <f t="array" aca="1" ref="AD53" ca="1">IF( OR($AA53=0,AU53=0), "", _xll.IMDP("IR",$AA53,G$6,$C$8) )</f>
        <v>8.8179999999999996</v>
      </c>
      <c r="AE53" s="19" cm="1">
        <f t="array" aca="1" ref="AE53" ca="1">IF( OR($AA53=0,AV53=0), "", _xll.IMDP("IR",$AA53,H$6,$C$8) )</f>
        <v>8.9410000000000007</v>
      </c>
      <c r="AF53" s="19" cm="1">
        <f t="array" aca="1" ref="AF53" ca="1">IF( OR($AA53=0,AW53=0), "", _xll.IMDP("IR",$AA53,I$6,$C$8) )</f>
        <v>9.0370000000000008</v>
      </c>
      <c r="AG53" s="19" cm="1">
        <f t="array" aca="1" ref="AG53" ca="1">IF( OR($AA53=0,AX53=0), "", _xll.IMDP("IR",$AA53,J$6,$C$8) )</f>
        <v>9.3859999999999992</v>
      </c>
      <c r="AH53" s="19" cm="1">
        <f t="array" aca="1" ref="AH53" ca="1">IF( OR($AA53=0,AY53=0), "", _xll.IMDP("IR",$AA53,K$6,$C$8) )</f>
        <v>9.5719999999999992</v>
      </c>
      <c r="AI53" s="19" cm="1">
        <f t="array" aca="1" ref="AI53" ca="1">IF( OR($AA53=0,AZ53=0), "", _xll.IMDP("IR",$AA53,L$6,$C$8) )</f>
        <v>9.6430000000000007</v>
      </c>
      <c r="AJ53" s="19" cm="1">
        <f t="array" aca="1" ref="AJ53" ca="1">IF( OR($AA53=0,BA53=0), "", _xll.IMDP("IR",$AA53,M$6,$C$8) )</f>
        <v>9.6859999999999999</v>
      </c>
      <c r="AK53" s="19" cm="1">
        <f t="array" aca="1" ref="AK53" ca="1">IF( OR($AA53=0,BB53=0), "", _xll.IMDP("IR",$AA53,N$6,$C$8) )</f>
        <v>9.8759999999999994</v>
      </c>
      <c r="AL53" s="19" cm="1">
        <f t="array" aca="1" ref="AL53" ca="1">IF( OR($AA53=0,BC53=0), "", _xll.IMDP("IR",$AA53,O$6,$C$8) )</f>
        <v>10.032</v>
      </c>
      <c r="AM53" s="19" cm="1">
        <f t="array" aca="1" ref="AM53" ca="1">IF( OR($AA53=0,BD53=0), "", _xll.IMDP("IR",$AA53,P$6,$C$8) )</f>
        <v>10.45</v>
      </c>
      <c r="AN53" s="19" cm="1">
        <f t="array" aca="1" ref="AN53" ca="1">IF( OR($AA53=0,BE53=0), "", _xll.IMDP("IR",$AA53,Q$6,$C$8) )</f>
        <v>10.861000000000001</v>
      </c>
      <c r="AO53" s="19" cm="1">
        <f t="array" aca="1" ref="AO53" ca="1">IF( OR($AA53=0,BF53=0), "", _xll.IMDP("IR",$AA53,R$6,$C$8) )</f>
        <v>11.109</v>
      </c>
      <c r="AP53" s="19" t="str" cm="1">
        <f t="array" aca="1" ref="AP53" ca="1">IF( OR($AA53=0,BG53=0), "", _xll.IMDP("IR",$AA53,S$6,$C$8) )</f>
        <v/>
      </c>
      <c r="AQ53" s="19" t="str" cm="1">
        <f t="array" aca="1" ref="AQ53" ca="1">IF( OR($AA53=0,BH53=0), "", _xll.IMDP("IR",$AA53,T$6,$C$8) )</f>
        <v/>
      </c>
      <c r="AR53" s="5"/>
      <c r="AS53" s="20" cm="1">
        <f t="array" aca="1" ref="AS53" ca="1">_xll.IMDP("IR",$AA53,E$5,$C$8)</f>
        <v>7.8140000000000001</v>
      </c>
      <c r="AT53" s="5" cm="1">
        <f t="array" aca="1" ref="AT53" ca="1">_xll.IMDP("IR",$AA53,F$5,$C$8)</f>
        <v>8.5410000000000004</v>
      </c>
      <c r="AU53" s="5" cm="1">
        <f t="array" aca="1" ref="AU53" ca="1">_xll.IMDP("IR",$AA53,G$5,$C$8)</f>
        <v>8.8179999999999996</v>
      </c>
      <c r="AV53" s="5" cm="1">
        <f t="array" aca="1" ref="AV53" ca="1">_xll.IMDP("IR",$AA53,H$5,$C$8)</f>
        <v>8.9410000000000007</v>
      </c>
      <c r="AW53" s="5" cm="1">
        <f t="array" aca="1" ref="AW53" ca="1">_xll.IMDP("IR",$AA53,I$5,$C$8)</f>
        <v>9.0370000000000008</v>
      </c>
      <c r="AX53" s="5" cm="1">
        <f t="array" aca="1" ref="AX53" ca="1">_xll.IMDP("IR",$AA53,J$5,$C$8)</f>
        <v>9.3859999999999992</v>
      </c>
      <c r="AY53" s="5" cm="1">
        <f t="array" aca="1" ref="AY53" ca="1">_xll.IMDP("IR",$AA53,K$5,$C$8)</f>
        <v>9.5719999999999992</v>
      </c>
      <c r="AZ53" s="5" cm="1">
        <f t="array" aca="1" ref="AZ53" ca="1">_xll.IMDP("IR",$AA53,L$5,$C$8)</f>
        <v>9.6430000000000007</v>
      </c>
      <c r="BA53" s="5" cm="1">
        <f t="array" aca="1" ref="BA53" ca="1">_xll.IMDP("IR",$AA53,M$5,$C$8)</f>
        <v>9.6859999999999999</v>
      </c>
      <c r="BB53" s="5" cm="1">
        <f t="array" aca="1" ref="BB53" ca="1">_xll.IMDP("IR",$AA53,N$5,$C$8)</f>
        <v>9.8759999999999994</v>
      </c>
      <c r="BC53" s="5" cm="1">
        <f t="array" aca="1" ref="BC53" ca="1">_xll.IMDP("IR",$AA53,O$5,$C$8)</f>
        <v>10.032</v>
      </c>
      <c r="BD53" s="5" cm="1">
        <f t="array" aca="1" ref="BD53" ca="1">_xll.IMDP("IR",$AA53,P$5,$C$8)</f>
        <v>10.45</v>
      </c>
      <c r="BE53" s="5" cm="1">
        <f t="array" aca="1" ref="BE53" ca="1">_xll.IMDP("IR",$AA53,Q$5,$C$8)</f>
        <v>10.861000000000001</v>
      </c>
      <c r="BF53" s="5" cm="1">
        <f t="array" aca="1" ref="BF53" ca="1">_xll.IMDP("IR",$AA53,R$5,$C$8)</f>
        <v>11.109</v>
      </c>
      <c r="BG53" s="5" cm="1">
        <f t="array" aca="1" ref="BG53" ca="1">_xll.IMDP("IR",$AA53,S$5,$C$8)</f>
        <v>0</v>
      </c>
      <c r="BH53" s="5" cm="1">
        <f t="array" aca="1" ref="BH53" ca="1">_xll.IMDP("IR",$AA53,T$5,$C$8)</f>
        <v>0</v>
      </c>
    </row>
    <row r="54" spans="2:60" ht="13.5" customHeight="1" x14ac:dyDescent="0.3">
      <c r="B54" s="70" t="s">
        <v>654</v>
      </c>
      <c r="C54" s="71" t="s">
        <v>655</v>
      </c>
      <c r="D54" s="36" t="s">
        <v>656</v>
      </c>
      <c r="E54" s="30">
        <f t="shared" ca="1" si="4"/>
        <v>3.4209999999999998</v>
      </c>
      <c r="F54" s="30">
        <f t="shared" ca="1" si="4"/>
        <v>3.4039999999999999</v>
      </c>
      <c r="G54" s="30">
        <f t="shared" ca="1" si="4"/>
        <v>3.343</v>
      </c>
      <c r="H54" s="30">
        <f t="shared" ca="1" si="4"/>
        <v>3.3029999999999999</v>
      </c>
      <c r="I54" s="30">
        <f t="shared" ca="1" si="4"/>
        <v>3.2890000000000001</v>
      </c>
      <c r="J54" s="30">
        <f t="shared" ca="1" si="4"/>
        <v>3.2639999999999998</v>
      </c>
      <c r="K54" s="30">
        <f t="shared" ca="1" si="4"/>
        <v>3.2509999999999999</v>
      </c>
      <c r="L54" s="30">
        <f t="shared" ca="1" si="4"/>
        <v>3.2450000000000001</v>
      </c>
      <c r="M54" s="30">
        <f t="shared" ca="1" si="4"/>
        <v>3.2370000000000001</v>
      </c>
      <c r="N54" s="30">
        <f t="shared" ca="1" si="4"/>
        <v>3.2429999999999999</v>
      </c>
      <c r="O54" s="30">
        <f t="shared" ca="1" si="4"/>
        <v>3.3519999999999999</v>
      </c>
      <c r="P54" s="30">
        <f t="shared" ca="1" si="4"/>
        <v>3.6</v>
      </c>
      <c r="Q54" s="30">
        <f t="shared" ca="1" si="4"/>
        <v>3.7759999999999998</v>
      </c>
      <c r="R54" s="30">
        <f t="shared" ca="1" si="4"/>
        <v>3.8879999999999999</v>
      </c>
      <c r="S54" s="30" t="str">
        <f t="shared" ca="1" si="4"/>
        <v/>
      </c>
      <c r="T54" s="31" t="str">
        <f t="shared" ca="1" si="3"/>
        <v/>
      </c>
      <c r="U54" s="17"/>
      <c r="Z54" s="18">
        <f>ROWS($Z$11:Z54)</f>
        <v>44</v>
      </c>
      <c r="AA54" s="18" t="str" cm="1">
        <f t="array" ref="AA54">INDEX(code!$E$2:$K$72,시가평가Matrix!$Z54,$D$3)</f>
        <v>BONDAVG44</v>
      </c>
      <c r="AB54" s="19" cm="1">
        <f t="array" aca="1" ref="AB54" ca="1">IF( OR($AA54=0,AS54=0), "", _xll.IMDP("IR",$AA54,E$6,$C$8) )</f>
        <v>3.4209999999999998</v>
      </c>
      <c r="AC54" s="19" cm="1">
        <f t="array" aca="1" ref="AC54" ca="1">IF( OR($AA54=0,AT54=0), "", _xll.IMDP("IR",$AA54,F$6,$C$8) )</f>
        <v>3.4039999999999999</v>
      </c>
      <c r="AD54" s="19" cm="1">
        <f t="array" aca="1" ref="AD54" ca="1">IF( OR($AA54=0,AU54=0), "", _xll.IMDP("IR",$AA54,G$6,$C$8) )</f>
        <v>3.343</v>
      </c>
      <c r="AE54" s="19" cm="1">
        <f t="array" aca="1" ref="AE54" ca="1">IF( OR($AA54=0,AV54=0), "", _xll.IMDP("IR",$AA54,H$6,$C$8) )</f>
        <v>3.3029999999999999</v>
      </c>
      <c r="AF54" s="19" cm="1">
        <f t="array" aca="1" ref="AF54" ca="1">IF( OR($AA54=0,AW54=0), "", _xll.IMDP("IR",$AA54,I$6,$C$8) )</f>
        <v>3.2890000000000001</v>
      </c>
      <c r="AG54" s="19" cm="1">
        <f t="array" aca="1" ref="AG54" ca="1">IF( OR($AA54=0,AX54=0), "", _xll.IMDP("IR",$AA54,J$6,$C$8) )</f>
        <v>3.2639999999999998</v>
      </c>
      <c r="AH54" s="19" cm="1">
        <f t="array" aca="1" ref="AH54" ca="1">IF( OR($AA54=0,AY54=0), "", _xll.IMDP("IR",$AA54,K$6,$C$8) )</f>
        <v>3.2509999999999999</v>
      </c>
      <c r="AI54" s="19" cm="1">
        <f t="array" aca="1" ref="AI54" ca="1">IF( OR($AA54=0,AZ54=0), "", _xll.IMDP("IR",$AA54,L$6,$C$8) )</f>
        <v>3.2450000000000001</v>
      </c>
      <c r="AJ54" s="19" cm="1">
        <f t="array" aca="1" ref="AJ54" ca="1">IF( OR($AA54=0,BA54=0), "", _xll.IMDP("IR",$AA54,M$6,$C$8) )</f>
        <v>3.2370000000000001</v>
      </c>
      <c r="AK54" s="19" cm="1">
        <f t="array" aca="1" ref="AK54" ca="1">IF( OR($AA54=0,BB54=0), "", _xll.IMDP("IR",$AA54,N$6,$C$8) )</f>
        <v>3.2429999999999999</v>
      </c>
      <c r="AL54" s="19" cm="1">
        <f t="array" aca="1" ref="AL54" ca="1">IF( OR($AA54=0,BC54=0), "", _xll.IMDP("IR",$AA54,O$6,$C$8) )</f>
        <v>3.3519999999999999</v>
      </c>
      <c r="AM54" s="19" cm="1">
        <f t="array" aca="1" ref="AM54" ca="1">IF( OR($AA54=0,BD54=0), "", _xll.IMDP("IR",$AA54,P$6,$C$8) )</f>
        <v>3.6</v>
      </c>
      <c r="AN54" s="19" cm="1">
        <f t="array" aca="1" ref="AN54" ca="1">IF( OR($AA54=0,BE54=0), "", _xll.IMDP("IR",$AA54,Q$6,$C$8) )</f>
        <v>3.7759999999999998</v>
      </c>
      <c r="AO54" s="19" cm="1">
        <f t="array" aca="1" ref="AO54" ca="1">IF( OR($AA54=0,BF54=0), "", _xll.IMDP("IR",$AA54,R$6,$C$8) )</f>
        <v>3.8879999999999999</v>
      </c>
      <c r="AP54" s="19" t="str" cm="1">
        <f t="array" aca="1" ref="AP54" ca="1">IF( OR($AA54=0,BG54=0), "", _xll.IMDP("IR",$AA54,S$6,$C$8) )</f>
        <v/>
      </c>
      <c r="AQ54" s="19" t="str" cm="1">
        <f t="array" aca="1" ref="AQ54" ca="1">IF( OR($AA54=0,BH54=0), "", _xll.IMDP("IR",$AA54,T$6,$C$8) )</f>
        <v/>
      </c>
      <c r="AR54" s="5"/>
      <c r="AS54" s="20" cm="1">
        <f t="array" aca="1" ref="AS54" ca="1">_xll.IMDP("IR",$AA54,E$5,$C$8)</f>
        <v>3.4209999999999998</v>
      </c>
      <c r="AT54" s="5" cm="1">
        <f t="array" aca="1" ref="AT54" ca="1">_xll.IMDP("IR",$AA54,F$5,$C$8)</f>
        <v>3.4039999999999999</v>
      </c>
      <c r="AU54" s="5" cm="1">
        <f t="array" aca="1" ref="AU54" ca="1">_xll.IMDP("IR",$AA54,G$5,$C$8)</f>
        <v>3.343</v>
      </c>
      <c r="AV54" s="5" cm="1">
        <f t="array" aca="1" ref="AV54" ca="1">_xll.IMDP("IR",$AA54,H$5,$C$8)</f>
        <v>3.3029999999999999</v>
      </c>
      <c r="AW54" s="5" cm="1">
        <f t="array" aca="1" ref="AW54" ca="1">_xll.IMDP("IR",$AA54,I$5,$C$8)</f>
        <v>3.2890000000000001</v>
      </c>
      <c r="AX54" s="5" cm="1">
        <f t="array" aca="1" ref="AX54" ca="1">_xll.IMDP("IR",$AA54,J$5,$C$8)</f>
        <v>3.2639999999999998</v>
      </c>
      <c r="AY54" s="5" cm="1">
        <f t="array" aca="1" ref="AY54" ca="1">_xll.IMDP("IR",$AA54,K$5,$C$8)</f>
        <v>3.2509999999999999</v>
      </c>
      <c r="AZ54" s="5" cm="1">
        <f t="array" aca="1" ref="AZ54" ca="1">_xll.IMDP("IR",$AA54,L$5,$C$8)</f>
        <v>3.2450000000000001</v>
      </c>
      <c r="BA54" s="5" cm="1">
        <f t="array" aca="1" ref="BA54" ca="1">_xll.IMDP("IR",$AA54,M$5,$C$8)</f>
        <v>3.2370000000000001</v>
      </c>
      <c r="BB54" s="5" cm="1">
        <f t="array" aca="1" ref="BB54" ca="1">_xll.IMDP("IR",$AA54,N$5,$C$8)</f>
        <v>3.2429999999999999</v>
      </c>
      <c r="BC54" s="5" cm="1">
        <f t="array" aca="1" ref="BC54" ca="1">_xll.IMDP("IR",$AA54,O$5,$C$8)</f>
        <v>3.3519999999999999</v>
      </c>
      <c r="BD54" s="5" cm="1">
        <f t="array" aca="1" ref="BD54" ca="1">_xll.IMDP("IR",$AA54,P$5,$C$8)</f>
        <v>3.6</v>
      </c>
      <c r="BE54" s="5" cm="1">
        <f t="array" aca="1" ref="BE54" ca="1">_xll.IMDP("IR",$AA54,Q$5,$C$8)</f>
        <v>3.7759999999999998</v>
      </c>
      <c r="BF54" s="5" cm="1">
        <f t="array" aca="1" ref="BF54" ca="1">_xll.IMDP("IR",$AA54,R$5,$C$8)</f>
        <v>3.8879999999999999</v>
      </c>
      <c r="BG54" s="5" cm="1">
        <f t="array" aca="1" ref="BG54" ca="1">_xll.IMDP("IR",$AA54,S$5,$C$8)</f>
        <v>0</v>
      </c>
      <c r="BH54" s="5" cm="1">
        <f t="array" aca="1" ref="BH54" ca="1">_xll.IMDP("IR",$AA54,T$5,$C$8)</f>
        <v>0</v>
      </c>
    </row>
    <row r="55" spans="2:60" ht="13.5" customHeight="1" x14ac:dyDescent="0.3">
      <c r="B55" s="70"/>
      <c r="C55" s="71"/>
      <c r="D55" s="23" t="s">
        <v>657</v>
      </c>
      <c r="E55" s="24">
        <f t="shared" ca="1" si="4"/>
        <v>3.4369999999999998</v>
      </c>
      <c r="F55" s="24">
        <f t="shared" ca="1" si="4"/>
        <v>3.4260000000000002</v>
      </c>
      <c r="G55" s="24">
        <f t="shared" ca="1" si="4"/>
        <v>3.379</v>
      </c>
      <c r="H55" s="24">
        <f t="shared" ca="1" si="4"/>
        <v>3.3439999999999999</v>
      </c>
      <c r="I55" s="24">
        <f t="shared" ca="1" si="4"/>
        <v>3.355</v>
      </c>
      <c r="J55" s="24">
        <f t="shared" ca="1" si="4"/>
        <v>3.3650000000000002</v>
      </c>
      <c r="K55" s="24">
        <f t="shared" ca="1" si="4"/>
        <v>3.3820000000000001</v>
      </c>
      <c r="L55" s="24">
        <f t="shared" ca="1" si="4"/>
        <v>3.4009999999999998</v>
      </c>
      <c r="M55" s="24">
        <f t="shared" ca="1" si="4"/>
        <v>3.39</v>
      </c>
      <c r="N55" s="24">
        <f t="shared" ca="1" si="4"/>
        <v>3.42</v>
      </c>
      <c r="O55" s="24">
        <f t="shared" ca="1" si="4"/>
        <v>3.5790000000000002</v>
      </c>
      <c r="P55" s="24">
        <f t="shared" ca="1" si="4"/>
        <v>4.0119999999999996</v>
      </c>
      <c r="Q55" s="24">
        <f t="shared" ca="1" si="4"/>
        <v>4.34</v>
      </c>
      <c r="R55" s="24">
        <f t="shared" ca="1" si="4"/>
        <v>4.6859999999999999</v>
      </c>
      <c r="S55" s="24" t="str">
        <f t="shared" ca="1" si="4"/>
        <v/>
      </c>
      <c r="T55" s="25" t="str">
        <f t="shared" ca="1" si="3"/>
        <v/>
      </c>
      <c r="U55" s="17"/>
      <c r="Z55" s="18">
        <f>ROWS($Z$11:Z55)</f>
        <v>45</v>
      </c>
      <c r="AA55" s="18" t="str" cm="1">
        <f t="array" ref="AA55">INDEX(code!$E$2:$K$72,시가평가Matrix!$Z55,$D$3)</f>
        <v>BONDAVG45</v>
      </c>
      <c r="AB55" s="19" cm="1">
        <f t="array" aca="1" ref="AB55" ca="1">IF( OR($AA55=0,AS55=0), "", _xll.IMDP("IR",$AA55,E$6,$C$8) )</f>
        <v>3.4369999999999998</v>
      </c>
      <c r="AC55" s="19" cm="1">
        <f t="array" aca="1" ref="AC55" ca="1">IF( OR($AA55=0,AT55=0), "", _xll.IMDP("IR",$AA55,F$6,$C$8) )</f>
        <v>3.4260000000000002</v>
      </c>
      <c r="AD55" s="19" cm="1">
        <f t="array" aca="1" ref="AD55" ca="1">IF( OR($AA55=0,AU55=0), "", _xll.IMDP("IR",$AA55,G$6,$C$8) )</f>
        <v>3.379</v>
      </c>
      <c r="AE55" s="19" cm="1">
        <f t="array" aca="1" ref="AE55" ca="1">IF( OR($AA55=0,AV55=0), "", _xll.IMDP("IR",$AA55,H$6,$C$8) )</f>
        <v>3.3439999999999999</v>
      </c>
      <c r="AF55" s="19" cm="1">
        <f t="array" aca="1" ref="AF55" ca="1">IF( OR($AA55=0,AW55=0), "", _xll.IMDP("IR",$AA55,I$6,$C$8) )</f>
        <v>3.355</v>
      </c>
      <c r="AG55" s="19" cm="1">
        <f t="array" aca="1" ref="AG55" ca="1">IF( OR($AA55=0,AX55=0), "", _xll.IMDP("IR",$AA55,J$6,$C$8) )</f>
        <v>3.3650000000000002</v>
      </c>
      <c r="AH55" s="19" cm="1">
        <f t="array" aca="1" ref="AH55" ca="1">IF( OR($AA55=0,AY55=0), "", _xll.IMDP("IR",$AA55,K$6,$C$8) )</f>
        <v>3.3820000000000001</v>
      </c>
      <c r="AI55" s="19" cm="1">
        <f t="array" aca="1" ref="AI55" ca="1">IF( OR($AA55=0,AZ55=0), "", _xll.IMDP("IR",$AA55,L$6,$C$8) )</f>
        <v>3.4009999999999998</v>
      </c>
      <c r="AJ55" s="19" cm="1">
        <f t="array" aca="1" ref="AJ55" ca="1">IF( OR($AA55=0,BA55=0), "", _xll.IMDP("IR",$AA55,M$6,$C$8) )</f>
        <v>3.39</v>
      </c>
      <c r="AK55" s="19" cm="1">
        <f t="array" aca="1" ref="AK55" ca="1">IF( OR($AA55=0,BB55=0), "", _xll.IMDP("IR",$AA55,N$6,$C$8) )</f>
        <v>3.42</v>
      </c>
      <c r="AL55" s="19" cm="1">
        <f t="array" aca="1" ref="AL55" ca="1">IF( OR($AA55=0,BC55=0), "", _xll.IMDP("IR",$AA55,O$6,$C$8) )</f>
        <v>3.5790000000000002</v>
      </c>
      <c r="AM55" s="19" cm="1">
        <f t="array" aca="1" ref="AM55" ca="1">IF( OR($AA55=0,BD55=0), "", _xll.IMDP("IR",$AA55,P$6,$C$8) )</f>
        <v>4.0119999999999996</v>
      </c>
      <c r="AN55" s="19" cm="1">
        <f t="array" aca="1" ref="AN55" ca="1">IF( OR($AA55=0,BE55=0), "", _xll.IMDP("IR",$AA55,Q$6,$C$8) )</f>
        <v>4.34</v>
      </c>
      <c r="AO55" s="19" cm="1">
        <f t="array" aca="1" ref="AO55" ca="1">IF( OR($AA55=0,BF55=0), "", _xll.IMDP("IR",$AA55,R$6,$C$8) )</f>
        <v>4.6859999999999999</v>
      </c>
      <c r="AP55" s="19" t="str" cm="1">
        <f t="array" aca="1" ref="AP55" ca="1">IF( OR($AA55=0,BG55=0), "", _xll.IMDP("IR",$AA55,S$6,$C$8) )</f>
        <v/>
      </c>
      <c r="AQ55" s="19" t="str" cm="1">
        <f t="array" aca="1" ref="AQ55" ca="1">IF( OR($AA55=0,BH55=0), "", _xll.IMDP("IR",$AA55,T$6,$C$8) )</f>
        <v/>
      </c>
      <c r="AR55" s="5"/>
      <c r="AS55" s="20" cm="1">
        <f t="array" aca="1" ref="AS55" ca="1">_xll.IMDP("IR",$AA55,E$5,$C$8)</f>
        <v>3.4369999999999998</v>
      </c>
      <c r="AT55" s="5" cm="1">
        <f t="array" aca="1" ref="AT55" ca="1">_xll.IMDP("IR",$AA55,F$5,$C$8)</f>
        <v>3.4260000000000002</v>
      </c>
      <c r="AU55" s="5" cm="1">
        <f t="array" aca="1" ref="AU55" ca="1">_xll.IMDP("IR",$AA55,G$5,$C$8)</f>
        <v>3.379</v>
      </c>
      <c r="AV55" s="5" cm="1">
        <f t="array" aca="1" ref="AV55" ca="1">_xll.IMDP("IR",$AA55,H$5,$C$8)</f>
        <v>3.3439999999999999</v>
      </c>
      <c r="AW55" s="5" cm="1">
        <f t="array" aca="1" ref="AW55" ca="1">_xll.IMDP("IR",$AA55,I$5,$C$8)</f>
        <v>3.355</v>
      </c>
      <c r="AX55" s="5" cm="1">
        <f t="array" aca="1" ref="AX55" ca="1">_xll.IMDP("IR",$AA55,J$5,$C$8)</f>
        <v>3.3650000000000002</v>
      </c>
      <c r="AY55" s="5" cm="1">
        <f t="array" aca="1" ref="AY55" ca="1">_xll.IMDP("IR",$AA55,K$5,$C$8)</f>
        <v>3.3820000000000001</v>
      </c>
      <c r="AZ55" s="5" cm="1">
        <f t="array" aca="1" ref="AZ55" ca="1">_xll.IMDP("IR",$AA55,L$5,$C$8)</f>
        <v>3.4009999999999998</v>
      </c>
      <c r="BA55" s="5" cm="1">
        <f t="array" aca="1" ref="BA55" ca="1">_xll.IMDP("IR",$AA55,M$5,$C$8)</f>
        <v>3.39</v>
      </c>
      <c r="BB55" s="5" cm="1">
        <f t="array" aca="1" ref="BB55" ca="1">_xll.IMDP("IR",$AA55,N$5,$C$8)</f>
        <v>3.42</v>
      </c>
      <c r="BC55" s="5" cm="1">
        <f t="array" aca="1" ref="BC55" ca="1">_xll.IMDP("IR",$AA55,O$5,$C$8)</f>
        <v>3.5790000000000002</v>
      </c>
      <c r="BD55" s="5" cm="1">
        <f t="array" aca="1" ref="BD55" ca="1">_xll.IMDP("IR",$AA55,P$5,$C$8)</f>
        <v>4.0119999999999996</v>
      </c>
      <c r="BE55" s="5" cm="1">
        <f t="array" aca="1" ref="BE55" ca="1">_xll.IMDP("IR",$AA55,Q$5,$C$8)</f>
        <v>4.34</v>
      </c>
      <c r="BF55" s="5" cm="1">
        <f t="array" aca="1" ref="BF55" ca="1">_xll.IMDP("IR",$AA55,R$5,$C$8)</f>
        <v>4.6859999999999999</v>
      </c>
      <c r="BG55" s="5" cm="1">
        <f t="array" aca="1" ref="BG55" ca="1">_xll.IMDP("IR",$AA55,S$5,$C$8)</f>
        <v>0</v>
      </c>
      <c r="BH55" s="5" cm="1">
        <f t="array" aca="1" ref="BH55" ca="1">_xll.IMDP("IR",$AA55,T$5,$C$8)</f>
        <v>0</v>
      </c>
    </row>
    <row r="56" spans="2:60" ht="13.5" customHeight="1" x14ac:dyDescent="0.3">
      <c r="B56" s="70"/>
      <c r="C56" s="71"/>
      <c r="D56" s="23" t="s">
        <v>658</v>
      </c>
      <c r="E56" s="24">
        <f t="shared" ca="1" si="4"/>
        <v>3.5339999999999998</v>
      </c>
      <c r="F56" s="24">
        <f t="shared" ca="1" si="4"/>
        <v>3.5419999999999998</v>
      </c>
      <c r="G56" s="24">
        <f t="shared" ca="1" si="4"/>
        <v>3.524</v>
      </c>
      <c r="H56" s="24">
        <f t="shared" ca="1" si="4"/>
        <v>3.52</v>
      </c>
      <c r="I56" s="24">
        <f t="shared" ca="1" si="4"/>
        <v>3.569</v>
      </c>
      <c r="J56" s="24">
        <f t="shared" ca="1" si="4"/>
        <v>3.58</v>
      </c>
      <c r="K56" s="24">
        <f t="shared" ca="1" si="4"/>
        <v>3.6110000000000002</v>
      </c>
      <c r="L56" s="24">
        <f t="shared" ca="1" si="4"/>
        <v>3.6429999999999998</v>
      </c>
      <c r="M56" s="24">
        <f t="shared" ca="1" si="4"/>
        <v>3.7309999999999999</v>
      </c>
      <c r="N56" s="24">
        <f t="shared" ca="1" si="4"/>
        <v>3.8359999999999999</v>
      </c>
      <c r="O56" s="24">
        <f t="shared" ca="1" si="4"/>
        <v>3.988</v>
      </c>
      <c r="P56" s="24">
        <f t="shared" ca="1" si="4"/>
        <v>4.5389999999999997</v>
      </c>
      <c r="Q56" s="24">
        <f t="shared" ca="1" si="4"/>
        <v>4.9770000000000003</v>
      </c>
      <c r="R56" s="24">
        <f t="shared" ca="1" si="4"/>
        <v>5.3769999999999998</v>
      </c>
      <c r="S56" s="24" t="str">
        <f t="shared" ca="1" si="4"/>
        <v/>
      </c>
      <c r="T56" s="25" t="str">
        <f t="shared" ca="1" si="3"/>
        <v/>
      </c>
      <c r="U56" s="17"/>
      <c r="Z56" s="18">
        <f>ROWS($Z$11:Z56)</f>
        <v>46</v>
      </c>
      <c r="AA56" s="18" t="str" cm="1">
        <f t="array" ref="AA56">INDEX(code!$E$2:$K$72,시가평가Matrix!$Z56,$D$3)</f>
        <v>BONDAVG46</v>
      </c>
      <c r="AB56" s="19" cm="1">
        <f t="array" aca="1" ref="AB56" ca="1">IF( OR($AA56=0,AS56=0), "", _xll.IMDP("IR",$AA56,E$6,$C$8) )</f>
        <v>3.5339999999999998</v>
      </c>
      <c r="AC56" s="19" cm="1">
        <f t="array" aca="1" ref="AC56" ca="1">IF( OR($AA56=0,AT56=0), "", _xll.IMDP("IR",$AA56,F$6,$C$8) )</f>
        <v>3.5419999999999998</v>
      </c>
      <c r="AD56" s="19" cm="1">
        <f t="array" aca="1" ref="AD56" ca="1">IF( OR($AA56=0,AU56=0), "", _xll.IMDP("IR",$AA56,G$6,$C$8) )</f>
        <v>3.524</v>
      </c>
      <c r="AE56" s="19" cm="1">
        <f t="array" aca="1" ref="AE56" ca="1">IF( OR($AA56=0,AV56=0), "", _xll.IMDP("IR",$AA56,H$6,$C$8) )</f>
        <v>3.52</v>
      </c>
      <c r="AF56" s="19" cm="1">
        <f t="array" aca="1" ref="AF56" ca="1">IF( OR($AA56=0,AW56=0), "", _xll.IMDP("IR",$AA56,I$6,$C$8) )</f>
        <v>3.569</v>
      </c>
      <c r="AG56" s="19" cm="1">
        <f t="array" aca="1" ref="AG56" ca="1">IF( OR($AA56=0,AX56=0), "", _xll.IMDP("IR",$AA56,J$6,$C$8) )</f>
        <v>3.58</v>
      </c>
      <c r="AH56" s="19" cm="1">
        <f t="array" aca="1" ref="AH56" ca="1">IF( OR($AA56=0,AY56=0), "", _xll.IMDP("IR",$AA56,K$6,$C$8) )</f>
        <v>3.6110000000000002</v>
      </c>
      <c r="AI56" s="19" cm="1">
        <f t="array" aca="1" ref="AI56" ca="1">IF( OR($AA56=0,AZ56=0), "", _xll.IMDP("IR",$AA56,L$6,$C$8) )</f>
        <v>3.6429999999999998</v>
      </c>
      <c r="AJ56" s="19" cm="1">
        <f t="array" aca="1" ref="AJ56" ca="1">IF( OR($AA56=0,BA56=0), "", _xll.IMDP("IR",$AA56,M$6,$C$8) )</f>
        <v>3.7309999999999999</v>
      </c>
      <c r="AK56" s="19" cm="1">
        <f t="array" aca="1" ref="AK56" ca="1">IF( OR($AA56=0,BB56=0), "", _xll.IMDP("IR",$AA56,N$6,$C$8) )</f>
        <v>3.8359999999999999</v>
      </c>
      <c r="AL56" s="19" cm="1">
        <f t="array" aca="1" ref="AL56" ca="1">IF( OR($AA56=0,BC56=0), "", _xll.IMDP("IR",$AA56,O$6,$C$8) )</f>
        <v>3.988</v>
      </c>
      <c r="AM56" s="19" cm="1">
        <f t="array" aca="1" ref="AM56" ca="1">IF( OR($AA56=0,BD56=0), "", _xll.IMDP("IR",$AA56,P$6,$C$8) )</f>
        <v>4.5389999999999997</v>
      </c>
      <c r="AN56" s="19" cm="1">
        <f t="array" aca="1" ref="AN56" ca="1">IF( OR($AA56=0,BE56=0), "", _xll.IMDP("IR",$AA56,Q$6,$C$8) )</f>
        <v>4.9770000000000003</v>
      </c>
      <c r="AO56" s="19" cm="1">
        <f t="array" aca="1" ref="AO56" ca="1">IF( OR($AA56=0,BF56=0), "", _xll.IMDP("IR",$AA56,R$6,$C$8) )</f>
        <v>5.3769999999999998</v>
      </c>
      <c r="AP56" s="19" t="str" cm="1">
        <f t="array" aca="1" ref="AP56" ca="1">IF( OR($AA56=0,BG56=0), "", _xll.IMDP("IR",$AA56,S$6,$C$8) )</f>
        <v/>
      </c>
      <c r="AQ56" s="19" t="str" cm="1">
        <f t="array" aca="1" ref="AQ56" ca="1">IF( OR($AA56=0,BH56=0), "", _xll.IMDP("IR",$AA56,T$6,$C$8) )</f>
        <v/>
      </c>
      <c r="AR56" s="5"/>
      <c r="AS56" s="20" cm="1">
        <f t="array" aca="1" ref="AS56" ca="1">_xll.IMDP("IR",$AA56,E$5,$C$8)</f>
        <v>3.5339999999999998</v>
      </c>
      <c r="AT56" s="5" cm="1">
        <f t="array" aca="1" ref="AT56" ca="1">_xll.IMDP("IR",$AA56,F$5,$C$8)</f>
        <v>3.5419999999999998</v>
      </c>
      <c r="AU56" s="5" cm="1">
        <f t="array" aca="1" ref="AU56" ca="1">_xll.IMDP("IR",$AA56,G$5,$C$8)</f>
        <v>3.524</v>
      </c>
      <c r="AV56" s="5" cm="1">
        <f t="array" aca="1" ref="AV56" ca="1">_xll.IMDP("IR",$AA56,H$5,$C$8)</f>
        <v>3.52</v>
      </c>
      <c r="AW56" s="5" cm="1">
        <f t="array" aca="1" ref="AW56" ca="1">_xll.IMDP("IR",$AA56,I$5,$C$8)</f>
        <v>3.569</v>
      </c>
      <c r="AX56" s="5" cm="1">
        <f t="array" aca="1" ref="AX56" ca="1">_xll.IMDP("IR",$AA56,J$5,$C$8)</f>
        <v>3.58</v>
      </c>
      <c r="AY56" s="5" cm="1">
        <f t="array" aca="1" ref="AY56" ca="1">_xll.IMDP("IR",$AA56,K$5,$C$8)</f>
        <v>3.6110000000000002</v>
      </c>
      <c r="AZ56" s="5" cm="1">
        <f t="array" aca="1" ref="AZ56" ca="1">_xll.IMDP("IR",$AA56,L$5,$C$8)</f>
        <v>3.6429999999999998</v>
      </c>
      <c r="BA56" s="5" cm="1">
        <f t="array" aca="1" ref="BA56" ca="1">_xll.IMDP("IR",$AA56,M$5,$C$8)</f>
        <v>3.7309999999999999</v>
      </c>
      <c r="BB56" s="5" cm="1">
        <f t="array" aca="1" ref="BB56" ca="1">_xll.IMDP("IR",$AA56,N$5,$C$8)</f>
        <v>3.8359999999999999</v>
      </c>
      <c r="BC56" s="5" cm="1">
        <f t="array" aca="1" ref="BC56" ca="1">_xll.IMDP("IR",$AA56,O$5,$C$8)</f>
        <v>3.988</v>
      </c>
      <c r="BD56" s="5" cm="1">
        <f t="array" aca="1" ref="BD56" ca="1">_xll.IMDP("IR",$AA56,P$5,$C$8)</f>
        <v>4.5389999999999997</v>
      </c>
      <c r="BE56" s="5" cm="1">
        <f t="array" aca="1" ref="BE56" ca="1">_xll.IMDP("IR",$AA56,Q$5,$C$8)</f>
        <v>4.9770000000000003</v>
      </c>
      <c r="BF56" s="5" cm="1">
        <f t="array" aca="1" ref="BF56" ca="1">_xll.IMDP("IR",$AA56,R$5,$C$8)</f>
        <v>5.3769999999999998</v>
      </c>
      <c r="BG56" s="5" cm="1">
        <f t="array" aca="1" ref="BG56" ca="1">_xll.IMDP("IR",$AA56,S$5,$C$8)</f>
        <v>0</v>
      </c>
      <c r="BH56" s="5" cm="1">
        <f t="array" aca="1" ref="BH56" ca="1">_xll.IMDP("IR",$AA56,T$5,$C$8)</f>
        <v>0</v>
      </c>
    </row>
    <row r="57" spans="2:60" ht="13.5" customHeight="1" x14ac:dyDescent="0.3">
      <c r="B57" s="70"/>
      <c r="C57" s="71"/>
      <c r="D57" s="23" t="s">
        <v>659</v>
      </c>
      <c r="E57" s="24">
        <f t="shared" ca="1" si="4"/>
        <v>3.6829999999999998</v>
      </c>
      <c r="F57" s="24">
        <f t="shared" ca="1" si="4"/>
        <v>3.8250000000000002</v>
      </c>
      <c r="G57" s="24">
        <f t="shared" ca="1" si="4"/>
        <v>3.9350000000000001</v>
      </c>
      <c r="H57" s="24">
        <f t="shared" ca="1" si="4"/>
        <v>3.9889999999999999</v>
      </c>
      <c r="I57" s="24">
        <f t="shared" ca="1" si="4"/>
        <v>4.157</v>
      </c>
      <c r="J57" s="24">
        <f t="shared" ca="1" si="4"/>
        <v>4.3419999999999996</v>
      </c>
      <c r="K57" s="24">
        <f t="shared" ca="1" si="4"/>
        <v>4.4720000000000004</v>
      </c>
      <c r="L57" s="24">
        <f t="shared" ca="1" si="4"/>
        <v>4.6210000000000004</v>
      </c>
      <c r="M57" s="24">
        <f t="shared" ca="1" si="4"/>
        <v>4.819</v>
      </c>
      <c r="N57" s="24">
        <f t="shared" ca="1" si="4"/>
        <v>4.9619999999999997</v>
      </c>
      <c r="O57" s="24">
        <f t="shared" ca="1" si="4"/>
        <v>5.0990000000000002</v>
      </c>
      <c r="P57" s="24">
        <f t="shared" ca="1" si="4"/>
        <v>5.532</v>
      </c>
      <c r="Q57" s="24">
        <f t="shared" ca="1" si="4"/>
        <v>5.8730000000000002</v>
      </c>
      <c r="R57" s="24">
        <f t="shared" ca="1" si="4"/>
        <v>6.117</v>
      </c>
      <c r="S57" s="24" t="str">
        <f t="shared" ca="1" si="4"/>
        <v/>
      </c>
      <c r="T57" s="25" t="str">
        <f t="shared" ca="1" si="3"/>
        <v/>
      </c>
      <c r="U57" s="17"/>
      <c r="Z57" s="18">
        <f>ROWS($Z$11:Z57)</f>
        <v>47</v>
      </c>
      <c r="AA57" s="18" t="str" cm="1">
        <f t="array" ref="AA57">INDEX(code!$E$2:$K$72,시가평가Matrix!$Z57,$D$3)</f>
        <v>BONDAVG47</v>
      </c>
      <c r="AB57" s="19" cm="1">
        <f t="array" aca="1" ref="AB57" ca="1">IF( OR($AA57=0,AS57=0), "", _xll.IMDP("IR",$AA57,E$6,$C$8) )</f>
        <v>3.6829999999999998</v>
      </c>
      <c r="AC57" s="19" cm="1">
        <f t="array" aca="1" ref="AC57" ca="1">IF( OR($AA57=0,AT57=0), "", _xll.IMDP("IR",$AA57,F$6,$C$8) )</f>
        <v>3.8250000000000002</v>
      </c>
      <c r="AD57" s="19" cm="1">
        <f t="array" aca="1" ref="AD57" ca="1">IF( OR($AA57=0,AU57=0), "", _xll.IMDP("IR",$AA57,G$6,$C$8) )</f>
        <v>3.9350000000000001</v>
      </c>
      <c r="AE57" s="19" cm="1">
        <f t="array" aca="1" ref="AE57" ca="1">IF( OR($AA57=0,AV57=0), "", _xll.IMDP("IR",$AA57,H$6,$C$8) )</f>
        <v>3.9889999999999999</v>
      </c>
      <c r="AF57" s="19" cm="1">
        <f t="array" aca="1" ref="AF57" ca="1">IF( OR($AA57=0,AW57=0), "", _xll.IMDP("IR",$AA57,I$6,$C$8) )</f>
        <v>4.157</v>
      </c>
      <c r="AG57" s="19" cm="1">
        <f t="array" aca="1" ref="AG57" ca="1">IF( OR($AA57=0,AX57=0), "", _xll.IMDP("IR",$AA57,J$6,$C$8) )</f>
        <v>4.3419999999999996</v>
      </c>
      <c r="AH57" s="19" cm="1">
        <f t="array" aca="1" ref="AH57" ca="1">IF( OR($AA57=0,AY57=0), "", _xll.IMDP("IR",$AA57,K$6,$C$8) )</f>
        <v>4.4720000000000004</v>
      </c>
      <c r="AI57" s="19" cm="1">
        <f t="array" aca="1" ref="AI57" ca="1">IF( OR($AA57=0,AZ57=0), "", _xll.IMDP("IR",$AA57,L$6,$C$8) )</f>
        <v>4.6210000000000004</v>
      </c>
      <c r="AJ57" s="19" cm="1">
        <f t="array" aca="1" ref="AJ57" ca="1">IF( OR($AA57=0,BA57=0), "", _xll.IMDP("IR",$AA57,M$6,$C$8) )</f>
        <v>4.819</v>
      </c>
      <c r="AK57" s="19" cm="1">
        <f t="array" aca="1" ref="AK57" ca="1">IF( OR($AA57=0,BB57=0), "", _xll.IMDP("IR",$AA57,N$6,$C$8) )</f>
        <v>4.9619999999999997</v>
      </c>
      <c r="AL57" s="19" cm="1">
        <f t="array" aca="1" ref="AL57" ca="1">IF( OR($AA57=0,BC57=0), "", _xll.IMDP("IR",$AA57,O$6,$C$8) )</f>
        <v>5.0990000000000002</v>
      </c>
      <c r="AM57" s="19" cm="1">
        <f t="array" aca="1" ref="AM57" ca="1">IF( OR($AA57=0,BD57=0), "", _xll.IMDP("IR",$AA57,P$6,$C$8) )</f>
        <v>5.532</v>
      </c>
      <c r="AN57" s="19" cm="1">
        <f t="array" aca="1" ref="AN57" ca="1">IF( OR($AA57=0,BE57=0), "", _xll.IMDP("IR",$AA57,Q$6,$C$8) )</f>
        <v>5.8730000000000002</v>
      </c>
      <c r="AO57" s="19" cm="1">
        <f t="array" aca="1" ref="AO57" ca="1">IF( OR($AA57=0,BF57=0), "", _xll.IMDP("IR",$AA57,R$6,$C$8) )</f>
        <v>6.117</v>
      </c>
      <c r="AP57" s="19" t="str" cm="1">
        <f t="array" aca="1" ref="AP57" ca="1">IF( OR($AA57=0,BG57=0), "", _xll.IMDP("IR",$AA57,S$6,$C$8) )</f>
        <v/>
      </c>
      <c r="AQ57" s="19" t="str" cm="1">
        <f t="array" aca="1" ref="AQ57" ca="1">IF( OR($AA57=0,BH57=0), "", _xll.IMDP("IR",$AA57,T$6,$C$8) )</f>
        <v/>
      </c>
      <c r="AR57" s="5"/>
      <c r="AS57" s="20" cm="1">
        <f t="array" aca="1" ref="AS57" ca="1">_xll.IMDP("IR",$AA57,E$5,$C$8)</f>
        <v>3.6829999999999998</v>
      </c>
      <c r="AT57" s="5" cm="1">
        <f t="array" aca="1" ref="AT57" ca="1">_xll.IMDP("IR",$AA57,F$5,$C$8)</f>
        <v>3.8250000000000002</v>
      </c>
      <c r="AU57" s="5" cm="1">
        <f t="array" aca="1" ref="AU57" ca="1">_xll.IMDP("IR",$AA57,G$5,$C$8)</f>
        <v>3.9350000000000001</v>
      </c>
      <c r="AV57" s="5" cm="1">
        <f t="array" aca="1" ref="AV57" ca="1">_xll.IMDP("IR",$AA57,H$5,$C$8)</f>
        <v>3.9889999999999999</v>
      </c>
      <c r="AW57" s="5" cm="1">
        <f t="array" aca="1" ref="AW57" ca="1">_xll.IMDP("IR",$AA57,I$5,$C$8)</f>
        <v>4.157</v>
      </c>
      <c r="AX57" s="5" cm="1">
        <f t="array" aca="1" ref="AX57" ca="1">_xll.IMDP("IR",$AA57,J$5,$C$8)</f>
        <v>4.3419999999999996</v>
      </c>
      <c r="AY57" s="5" cm="1">
        <f t="array" aca="1" ref="AY57" ca="1">_xll.IMDP("IR",$AA57,K$5,$C$8)</f>
        <v>4.4720000000000004</v>
      </c>
      <c r="AZ57" s="5" cm="1">
        <f t="array" aca="1" ref="AZ57" ca="1">_xll.IMDP("IR",$AA57,L$5,$C$8)</f>
        <v>4.6210000000000004</v>
      </c>
      <c r="BA57" s="5" cm="1">
        <f t="array" aca="1" ref="BA57" ca="1">_xll.IMDP("IR",$AA57,M$5,$C$8)</f>
        <v>4.819</v>
      </c>
      <c r="BB57" s="5" cm="1">
        <f t="array" aca="1" ref="BB57" ca="1">_xll.IMDP("IR",$AA57,N$5,$C$8)</f>
        <v>4.9619999999999997</v>
      </c>
      <c r="BC57" s="5" cm="1">
        <f t="array" aca="1" ref="BC57" ca="1">_xll.IMDP("IR",$AA57,O$5,$C$8)</f>
        <v>5.0990000000000002</v>
      </c>
      <c r="BD57" s="5" cm="1">
        <f t="array" aca="1" ref="BD57" ca="1">_xll.IMDP("IR",$AA57,P$5,$C$8)</f>
        <v>5.532</v>
      </c>
      <c r="BE57" s="5" cm="1">
        <f t="array" aca="1" ref="BE57" ca="1">_xll.IMDP("IR",$AA57,Q$5,$C$8)</f>
        <v>5.8730000000000002</v>
      </c>
      <c r="BF57" s="5" cm="1">
        <f t="array" aca="1" ref="BF57" ca="1">_xll.IMDP("IR",$AA57,R$5,$C$8)</f>
        <v>6.117</v>
      </c>
      <c r="BG57" s="5" cm="1">
        <f t="array" aca="1" ref="BG57" ca="1">_xll.IMDP("IR",$AA57,S$5,$C$8)</f>
        <v>0</v>
      </c>
      <c r="BH57" s="5" cm="1">
        <f t="array" aca="1" ref="BH57" ca="1">_xll.IMDP("IR",$AA57,T$5,$C$8)</f>
        <v>0</v>
      </c>
    </row>
    <row r="58" spans="2:60" ht="13.5" customHeight="1" x14ac:dyDescent="0.3">
      <c r="B58" s="70"/>
      <c r="C58" s="71"/>
      <c r="D58" s="23" t="s">
        <v>637</v>
      </c>
      <c r="E58" s="24">
        <f t="shared" ca="1" si="4"/>
        <v>3.4329999999999998</v>
      </c>
      <c r="F58" s="24">
        <f t="shared" ca="1" si="4"/>
        <v>3.4249999999999998</v>
      </c>
      <c r="G58" s="24">
        <f t="shared" ca="1" si="4"/>
        <v>3.3769999999999998</v>
      </c>
      <c r="H58" s="24">
        <f t="shared" ca="1" si="4"/>
        <v>3.3380000000000001</v>
      </c>
      <c r="I58" s="24">
        <f t="shared" ca="1" si="4"/>
        <v>3.34</v>
      </c>
      <c r="J58" s="24">
        <f t="shared" ca="1" si="4"/>
        <v>3.3029999999999999</v>
      </c>
      <c r="K58" s="24">
        <f t="shared" ca="1" si="4"/>
        <v>3.3250000000000002</v>
      </c>
      <c r="L58" s="24">
        <f t="shared" ca="1" si="4"/>
        <v>3.3319999999999999</v>
      </c>
      <c r="M58" s="24">
        <f t="shared" ca="1" si="4"/>
        <v>3.3370000000000002</v>
      </c>
      <c r="N58" s="24">
        <f t="shared" ca="1" si="4"/>
        <v>3.3580000000000001</v>
      </c>
      <c r="O58" s="24">
        <f t="shared" ca="1" si="4"/>
        <v>3.4780000000000002</v>
      </c>
      <c r="P58" s="24">
        <f t="shared" ca="1" si="4"/>
        <v>3.911</v>
      </c>
      <c r="Q58" s="24">
        <f t="shared" ca="1" si="4"/>
        <v>4.1849999999999996</v>
      </c>
      <c r="R58" s="24">
        <f t="shared" ca="1" si="4"/>
        <v>4.3479999999999999</v>
      </c>
      <c r="S58" s="24" t="str">
        <f t="shared" ca="1" si="4"/>
        <v/>
      </c>
      <c r="T58" s="25" t="str">
        <f t="shared" ca="1" si="3"/>
        <v/>
      </c>
      <c r="U58" s="17"/>
      <c r="Z58" s="18">
        <f>ROWS($Z$11:Z58)</f>
        <v>48</v>
      </c>
      <c r="AA58" s="18" t="str" cm="1">
        <f t="array" ref="AA58">INDEX(code!$E$2:$K$72,시가평가Matrix!$Z58,$D$3)</f>
        <v>BONDAVG49</v>
      </c>
      <c r="AB58" s="19" cm="1">
        <f t="array" aca="1" ref="AB58" ca="1">IF( OR($AA58=0,AS58=0), "", _xll.IMDP("IR",$AA58,E$6,$C$8) )</f>
        <v>3.4329999999999998</v>
      </c>
      <c r="AC58" s="19" cm="1">
        <f t="array" aca="1" ref="AC58" ca="1">IF( OR($AA58=0,AT58=0), "", _xll.IMDP("IR",$AA58,F$6,$C$8) )</f>
        <v>3.4249999999999998</v>
      </c>
      <c r="AD58" s="19" cm="1">
        <f t="array" aca="1" ref="AD58" ca="1">IF( OR($AA58=0,AU58=0), "", _xll.IMDP("IR",$AA58,G$6,$C$8) )</f>
        <v>3.3769999999999998</v>
      </c>
      <c r="AE58" s="19" cm="1">
        <f t="array" aca="1" ref="AE58" ca="1">IF( OR($AA58=0,AV58=0), "", _xll.IMDP("IR",$AA58,H$6,$C$8) )</f>
        <v>3.3380000000000001</v>
      </c>
      <c r="AF58" s="19" cm="1">
        <f t="array" aca="1" ref="AF58" ca="1">IF( OR($AA58=0,AW58=0), "", _xll.IMDP("IR",$AA58,I$6,$C$8) )</f>
        <v>3.34</v>
      </c>
      <c r="AG58" s="19" cm="1">
        <f t="array" aca="1" ref="AG58" ca="1">IF( OR($AA58=0,AX58=0), "", _xll.IMDP("IR",$AA58,J$6,$C$8) )</f>
        <v>3.3029999999999999</v>
      </c>
      <c r="AH58" s="19" cm="1">
        <f t="array" aca="1" ref="AH58" ca="1">IF( OR($AA58=0,AY58=0), "", _xll.IMDP("IR",$AA58,K$6,$C$8) )</f>
        <v>3.3250000000000002</v>
      </c>
      <c r="AI58" s="19" cm="1">
        <f t="array" aca="1" ref="AI58" ca="1">IF( OR($AA58=0,AZ58=0), "", _xll.IMDP("IR",$AA58,L$6,$C$8) )</f>
        <v>3.3319999999999999</v>
      </c>
      <c r="AJ58" s="19" cm="1">
        <f t="array" aca="1" ref="AJ58" ca="1">IF( OR($AA58=0,BA58=0), "", _xll.IMDP("IR",$AA58,M$6,$C$8) )</f>
        <v>3.3370000000000002</v>
      </c>
      <c r="AK58" s="19" cm="1">
        <f t="array" aca="1" ref="AK58" ca="1">IF( OR($AA58=0,BB58=0), "", _xll.IMDP("IR",$AA58,N$6,$C$8) )</f>
        <v>3.3580000000000001</v>
      </c>
      <c r="AL58" s="19" cm="1">
        <f t="array" aca="1" ref="AL58" ca="1">IF( OR($AA58=0,BC58=0), "", _xll.IMDP("IR",$AA58,O$6,$C$8) )</f>
        <v>3.4780000000000002</v>
      </c>
      <c r="AM58" s="19" cm="1">
        <f t="array" aca="1" ref="AM58" ca="1">IF( OR($AA58=0,BD58=0), "", _xll.IMDP("IR",$AA58,P$6,$C$8) )</f>
        <v>3.911</v>
      </c>
      <c r="AN58" s="19" cm="1">
        <f t="array" aca="1" ref="AN58" ca="1">IF( OR($AA58=0,BE58=0), "", _xll.IMDP("IR",$AA58,Q$6,$C$8) )</f>
        <v>4.1849999999999996</v>
      </c>
      <c r="AO58" s="19" cm="1">
        <f t="array" aca="1" ref="AO58" ca="1">IF( OR($AA58=0,BF58=0), "", _xll.IMDP("IR",$AA58,R$6,$C$8) )</f>
        <v>4.3479999999999999</v>
      </c>
      <c r="AP58" s="19" t="str" cm="1">
        <f t="array" aca="1" ref="AP58" ca="1">IF( OR($AA58=0,BG58=0), "", _xll.IMDP("IR",$AA58,S$6,$C$8) )</f>
        <v/>
      </c>
      <c r="AQ58" s="19" t="str" cm="1">
        <f t="array" aca="1" ref="AQ58" ca="1">IF( OR($AA58=0,BH58=0), "", _xll.IMDP("IR",$AA58,T$6,$C$8) )</f>
        <v/>
      </c>
      <c r="AR58" s="5"/>
      <c r="AS58" s="20" cm="1">
        <f t="array" aca="1" ref="AS58" ca="1">_xll.IMDP("IR",$AA58,E$5,$C$8)</f>
        <v>3.4329999999999998</v>
      </c>
      <c r="AT58" s="5" cm="1">
        <f t="array" aca="1" ref="AT58" ca="1">_xll.IMDP("IR",$AA58,F$5,$C$8)</f>
        <v>3.4249999999999998</v>
      </c>
      <c r="AU58" s="5" cm="1">
        <f t="array" aca="1" ref="AU58" ca="1">_xll.IMDP("IR",$AA58,G$5,$C$8)</f>
        <v>3.3769999999999998</v>
      </c>
      <c r="AV58" s="5" cm="1">
        <f t="array" aca="1" ref="AV58" ca="1">_xll.IMDP("IR",$AA58,H$5,$C$8)</f>
        <v>3.3380000000000001</v>
      </c>
      <c r="AW58" s="5" cm="1">
        <f t="array" aca="1" ref="AW58" ca="1">_xll.IMDP("IR",$AA58,I$5,$C$8)</f>
        <v>3.34</v>
      </c>
      <c r="AX58" s="5" cm="1">
        <f t="array" aca="1" ref="AX58" ca="1">_xll.IMDP("IR",$AA58,J$5,$C$8)</f>
        <v>3.3029999999999999</v>
      </c>
      <c r="AY58" s="5" cm="1">
        <f t="array" aca="1" ref="AY58" ca="1">_xll.IMDP("IR",$AA58,K$5,$C$8)</f>
        <v>3.3250000000000002</v>
      </c>
      <c r="AZ58" s="5" cm="1">
        <f t="array" aca="1" ref="AZ58" ca="1">_xll.IMDP("IR",$AA58,L$5,$C$8)</f>
        <v>3.3319999999999999</v>
      </c>
      <c r="BA58" s="5" cm="1">
        <f t="array" aca="1" ref="BA58" ca="1">_xll.IMDP("IR",$AA58,M$5,$C$8)</f>
        <v>3.3370000000000002</v>
      </c>
      <c r="BB58" s="5" cm="1">
        <f t="array" aca="1" ref="BB58" ca="1">_xll.IMDP("IR",$AA58,N$5,$C$8)</f>
        <v>3.3580000000000001</v>
      </c>
      <c r="BC58" s="5" cm="1">
        <f t="array" aca="1" ref="BC58" ca="1">_xll.IMDP("IR",$AA58,O$5,$C$8)</f>
        <v>3.4780000000000002</v>
      </c>
      <c r="BD58" s="5" cm="1">
        <f t="array" aca="1" ref="BD58" ca="1">_xll.IMDP("IR",$AA58,P$5,$C$8)</f>
        <v>3.911</v>
      </c>
      <c r="BE58" s="5" cm="1">
        <f t="array" aca="1" ref="BE58" ca="1">_xll.IMDP("IR",$AA58,Q$5,$C$8)</f>
        <v>4.1849999999999996</v>
      </c>
      <c r="BF58" s="5" cm="1">
        <f t="array" aca="1" ref="BF58" ca="1">_xll.IMDP("IR",$AA58,R$5,$C$8)</f>
        <v>4.3479999999999999</v>
      </c>
      <c r="BG58" s="5" cm="1">
        <f t="array" aca="1" ref="BG58" ca="1">_xll.IMDP("IR",$AA58,S$5,$C$8)</f>
        <v>0</v>
      </c>
      <c r="BH58" s="5" cm="1">
        <f t="array" aca="1" ref="BH58" ca="1">_xll.IMDP("IR",$AA58,T$5,$C$8)</f>
        <v>0</v>
      </c>
    </row>
    <row r="59" spans="2:60" ht="13.5" customHeight="1" x14ac:dyDescent="0.3">
      <c r="B59" s="70"/>
      <c r="C59" s="71"/>
      <c r="D59" s="23" t="s">
        <v>639</v>
      </c>
      <c r="E59" s="24">
        <f t="shared" ca="1" si="4"/>
        <v>3.4670000000000001</v>
      </c>
      <c r="F59" s="24">
        <f t="shared" ca="1" si="4"/>
        <v>3.4660000000000002</v>
      </c>
      <c r="G59" s="24">
        <f t="shared" ca="1" si="4"/>
        <v>3.4209999999999998</v>
      </c>
      <c r="H59" s="24">
        <f t="shared" ca="1" si="4"/>
        <v>3.391</v>
      </c>
      <c r="I59" s="24">
        <f t="shared" ca="1" si="4"/>
        <v>3.3969999999999998</v>
      </c>
      <c r="J59" s="24">
        <f t="shared" ca="1" si="4"/>
        <v>3.3730000000000002</v>
      </c>
      <c r="K59" s="24">
        <f t="shared" ca="1" si="4"/>
        <v>3.4</v>
      </c>
      <c r="L59" s="24">
        <f t="shared" ca="1" si="4"/>
        <v>3.4129999999999998</v>
      </c>
      <c r="M59" s="24">
        <f t="shared" ca="1" si="4"/>
        <v>3.423</v>
      </c>
      <c r="N59" s="24">
        <f t="shared" ca="1" si="4"/>
        <v>3.5219999999999998</v>
      </c>
      <c r="O59" s="24">
        <f t="shared" ca="1" si="4"/>
        <v>3.7749999999999999</v>
      </c>
      <c r="P59" s="24">
        <f t="shared" ca="1" si="4"/>
        <v>4.6189999999999998</v>
      </c>
      <c r="Q59" s="24">
        <f t="shared" ca="1" si="4"/>
        <v>5.2370000000000001</v>
      </c>
      <c r="R59" s="24">
        <f t="shared" ca="1" si="4"/>
        <v>5.4690000000000003</v>
      </c>
      <c r="S59" s="24" t="str">
        <f t="shared" ca="1" si="4"/>
        <v/>
      </c>
      <c r="T59" s="25" t="str">
        <f t="shared" ca="1" si="3"/>
        <v/>
      </c>
      <c r="U59" s="17"/>
      <c r="Z59" s="18">
        <f>ROWS($Z$11:Z59)</f>
        <v>49</v>
      </c>
      <c r="AA59" s="18" t="str" cm="1">
        <f t="array" ref="AA59">INDEX(code!$E$2:$K$72,시가평가Matrix!$Z59,$D$3)</f>
        <v>BONDAVG51</v>
      </c>
      <c r="AB59" s="19" cm="1">
        <f t="array" aca="1" ref="AB59" ca="1">IF( OR($AA59=0,AS59=0), "", _xll.IMDP("IR",$AA59,E$6,$C$8) )</f>
        <v>3.4670000000000001</v>
      </c>
      <c r="AC59" s="19" cm="1">
        <f t="array" aca="1" ref="AC59" ca="1">IF( OR($AA59=0,AT59=0), "", _xll.IMDP("IR",$AA59,F$6,$C$8) )</f>
        <v>3.4660000000000002</v>
      </c>
      <c r="AD59" s="19" cm="1">
        <f t="array" aca="1" ref="AD59" ca="1">IF( OR($AA59=0,AU59=0), "", _xll.IMDP("IR",$AA59,G$6,$C$8) )</f>
        <v>3.4209999999999998</v>
      </c>
      <c r="AE59" s="19" cm="1">
        <f t="array" aca="1" ref="AE59" ca="1">IF( OR($AA59=0,AV59=0), "", _xll.IMDP("IR",$AA59,H$6,$C$8) )</f>
        <v>3.391</v>
      </c>
      <c r="AF59" s="19" cm="1">
        <f t="array" aca="1" ref="AF59" ca="1">IF( OR($AA59=0,AW59=0), "", _xll.IMDP("IR",$AA59,I$6,$C$8) )</f>
        <v>3.3969999999999998</v>
      </c>
      <c r="AG59" s="19" cm="1">
        <f t="array" aca="1" ref="AG59" ca="1">IF( OR($AA59=0,AX59=0), "", _xll.IMDP("IR",$AA59,J$6,$C$8) )</f>
        <v>3.3730000000000002</v>
      </c>
      <c r="AH59" s="19" cm="1">
        <f t="array" aca="1" ref="AH59" ca="1">IF( OR($AA59=0,AY59=0), "", _xll.IMDP("IR",$AA59,K$6,$C$8) )</f>
        <v>3.4</v>
      </c>
      <c r="AI59" s="19" cm="1">
        <f t="array" aca="1" ref="AI59" ca="1">IF( OR($AA59=0,AZ59=0), "", _xll.IMDP("IR",$AA59,L$6,$C$8) )</f>
        <v>3.4129999999999998</v>
      </c>
      <c r="AJ59" s="19" cm="1">
        <f t="array" aca="1" ref="AJ59" ca="1">IF( OR($AA59=0,BA59=0), "", _xll.IMDP("IR",$AA59,M$6,$C$8) )</f>
        <v>3.423</v>
      </c>
      <c r="AK59" s="19" cm="1">
        <f t="array" aca="1" ref="AK59" ca="1">IF( OR($AA59=0,BB59=0), "", _xll.IMDP("IR",$AA59,N$6,$C$8) )</f>
        <v>3.5219999999999998</v>
      </c>
      <c r="AL59" s="19" cm="1">
        <f t="array" aca="1" ref="AL59" ca="1">IF( OR($AA59=0,BC59=0), "", _xll.IMDP("IR",$AA59,O$6,$C$8) )</f>
        <v>3.7749999999999999</v>
      </c>
      <c r="AM59" s="19" cm="1">
        <f t="array" aca="1" ref="AM59" ca="1">IF( OR($AA59=0,BD59=0), "", _xll.IMDP("IR",$AA59,P$6,$C$8) )</f>
        <v>4.6189999999999998</v>
      </c>
      <c r="AN59" s="19" cm="1">
        <f t="array" aca="1" ref="AN59" ca="1">IF( OR($AA59=0,BE59=0), "", _xll.IMDP("IR",$AA59,Q$6,$C$8) )</f>
        <v>5.2370000000000001</v>
      </c>
      <c r="AO59" s="19" cm="1">
        <f t="array" aca="1" ref="AO59" ca="1">IF( OR($AA59=0,BF59=0), "", _xll.IMDP("IR",$AA59,R$6,$C$8) )</f>
        <v>5.4690000000000003</v>
      </c>
      <c r="AP59" s="19" t="str" cm="1">
        <f t="array" aca="1" ref="AP59" ca="1">IF( OR($AA59=0,BG59=0), "", _xll.IMDP("IR",$AA59,S$6,$C$8) )</f>
        <v/>
      </c>
      <c r="AQ59" s="19" t="str" cm="1">
        <f t="array" aca="1" ref="AQ59" ca="1">IF( OR($AA59=0,BH59=0), "", _xll.IMDP("IR",$AA59,T$6,$C$8) )</f>
        <v/>
      </c>
      <c r="AR59" s="5"/>
      <c r="AS59" s="20" cm="1">
        <f t="array" aca="1" ref="AS59" ca="1">_xll.IMDP("IR",$AA59,E$5,$C$8)</f>
        <v>3.4670000000000001</v>
      </c>
      <c r="AT59" s="5" cm="1">
        <f t="array" aca="1" ref="AT59" ca="1">_xll.IMDP("IR",$AA59,F$5,$C$8)</f>
        <v>3.4660000000000002</v>
      </c>
      <c r="AU59" s="5" cm="1">
        <f t="array" aca="1" ref="AU59" ca="1">_xll.IMDP("IR",$AA59,G$5,$C$8)</f>
        <v>3.4209999999999998</v>
      </c>
      <c r="AV59" s="5" cm="1">
        <f t="array" aca="1" ref="AV59" ca="1">_xll.IMDP("IR",$AA59,H$5,$C$8)</f>
        <v>3.391</v>
      </c>
      <c r="AW59" s="5" cm="1">
        <f t="array" aca="1" ref="AW59" ca="1">_xll.IMDP("IR",$AA59,I$5,$C$8)</f>
        <v>3.3969999999999998</v>
      </c>
      <c r="AX59" s="5" cm="1">
        <f t="array" aca="1" ref="AX59" ca="1">_xll.IMDP("IR",$AA59,J$5,$C$8)</f>
        <v>3.3730000000000002</v>
      </c>
      <c r="AY59" s="5" cm="1">
        <f t="array" aca="1" ref="AY59" ca="1">_xll.IMDP("IR",$AA59,K$5,$C$8)</f>
        <v>3.4</v>
      </c>
      <c r="AZ59" s="5" cm="1">
        <f t="array" aca="1" ref="AZ59" ca="1">_xll.IMDP("IR",$AA59,L$5,$C$8)</f>
        <v>3.4129999999999998</v>
      </c>
      <c r="BA59" s="5" cm="1">
        <f t="array" aca="1" ref="BA59" ca="1">_xll.IMDP("IR",$AA59,M$5,$C$8)</f>
        <v>3.423</v>
      </c>
      <c r="BB59" s="5" cm="1">
        <f t="array" aca="1" ref="BB59" ca="1">_xll.IMDP("IR",$AA59,N$5,$C$8)</f>
        <v>3.5219999999999998</v>
      </c>
      <c r="BC59" s="5" cm="1">
        <f t="array" aca="1" ref="BC59" ca="1">_xll.IMDP("IR",$AA59,O$5,$C$8)</f>
        <v>3.7749999999999999</v>
      </c>
      <c r="BD59" s="5" cm="1">
        <f t="array" aca="1" ref="BD59" ca="1">_xll.IMDP("IR",$AA59,P$5,$C$8)</f>
        <v>4.6189999999999998</v>
      </c>
      <c r="BE59" s="5" cm="1">
        <f t="array" aca="1" ref="BE59" ca="1">_xll.IMDP("IR",$AA59,Q$5,$C$8)</f>
        <v>5.2370000000000001</v>
      </c>
      <c r="BF59" s="5" cm="1">
        <f t="array" aca="1" ref="BF59" ca="1">_xll.IMDP("IR",$AA59,R$5,$C$8)</f>
        <v>5.4690000000000003</v>
      </c>
      <c r="BG59" s="5" cm="1">
        <f t="array" aca="1" ref="BG59" ca="1">_xll.IMDP("IR",$AA59,S$5,$C$8)</f>
        <v>0</v>
      </c>
      <c r="BH59" s="5" cm="1">
        <f t="array" aca="1" ref="BH59" ca="1">_xll.IMDP("IR",$AA59,T$5,$C$8)</f>
        <v>0</v>
      </c>
    </row>
    <row r="60" spans="2:60" ht="13.5" customHeight="1" x14ac:dyDescent="0.3">
      <c r="B60" s="70"/>
      <c r="C60" s="71"/>
      <c r="D60" s="26" t="s">
        <v>649</v>
      </c>
      <c r="E60" s="27">
        <f t="shared" ref="E60:S76" ca="1" si="5">IFERROR( IF( $D$4=2, AB60*100, AB60), "")</f>
        <v>3.6309999999999998</v>
      </c>
      <c r="F60" s="27">
        <f t="shared" ca="1" si="5"/>
        <v>3.6840000000000002</v>
      </c>
      <c r="G60" s="27">
        <f t="shared" ca="1" si="5"/>
        <v>3.7069999999999999</v>
      </c>
      <c r="H60" s="27">
        <f t="shared" ca="1" si="5"/>
        <v>3.76</v>
      </c>
      <c r="I60" s="27">
        <f t="shared" ca="1" si="5"/>
        <v>3.8439999999999999</v>
      </c>
      <c r="J60" s="27">
        <f t="shared" ca="1" si="5"/>
        <v>3.88</v>
      </c>
      <c r="K60" s="27">
        <f t="shared" ca="1" si="5"/>
        <v>3.9420000000000002</v>
      </c>
      <c r="L60" s="27">
        <f t="shared" ca="1" si="5"/>
        <v>4.0549999999999997</v>
      </c>
      <c r="M60" s="27">
        <f t="shared" ca="1" si="5"/>
        <v>4.4130000000000003</v>
      </c>
      <c r="N60" s="27">
        <f t="shared" ca="1" si="5"/>
        <v>4.7080000000000002</v>
      </c>
      <c r="O60" s="27">
        <f t="shared" ca="1" si="5"/>
        <v>4.9489999999999998</v>
      </c>
      <c r="P60" s="27">
        <f t="shared" ca="1" si="5"/>
        <v>5.6180000000000003</v>
      </c>
      <c r="Q60" s="27">
        <f t="shared" ca="1" si="5"/>
        <v>6.0069999999999997</v>
      </c>
      <c r="R60" s="27">
        <f t="shared" ca="1" si="5"/>
        <v>6.2389999999999999</v>
      </c>
      <c r="S60" s="27" t="str">
        <f t="shared" ca="1" si="5"/>
        <v/>
      </c>
      <c r="T60" s="28" t="str">
        <f t="shared" ca="1" si="3"/>
        <v/>
      </c>
      <c r="U60" s="17"/>
      <c r="Z60" s="18">
        <f>ROWS($Z$11:Z60)</f>
        <v>50</v>
      </c>
      <c r="AA60" s="18" t="str" cm="1">
        <f t="array" ref="AA60">INDEX(code!$E$2:$K$72,시가평가Matrix!$Z60,$D$3)</f>
        <v>BONDAVG53</v>
      </c>
      <c r="AB60" s="19" cm="1">
        <f t="array" aca="1" ref="AB60" ca="1">IF( OR($AA60=0,AS60=0), "", _xll.IMDP("IR",$AA60,E$6,$C$8) )</f>
        <v>3.6309999999999998</v>
      </c>
      <c r="AC60" s="19" cm="1">
        <f t="array" aca="1" ref="AC60" ca="1">IF( OR($AA60=0,AT60=0), "", _xll.IMDP("IR",$AA60,F$6,$C$8) )</f>
        <v>3.6840000000000002</v>
      </c>
      <c r="AD60" s="19" cm="1">
        <f t="array" aca="1" ref="AD60" ca="1">IF( OR($AA60=0,AU60=0), "", _xll.IMDP("IR",$AA60,G$6,$C$8) )</f>
        <v>3.7069999999999999</v>
      </c>
      <c r="AE60" s="19" cm="1">
        <f t="array" aca="1" ref="AE60" ca="1">IF( OR($AA60=0,AV60=0), "", _xll.IMDP("IR",$AA60,H$6,$C$8) )</f>
        <v>3.76</v>
      </c>
      <c r="AF60" s="19" cm="1">
        <f t="array" aca="1" ref="AF60" ca="1">IF( OR($AA60=0,AW60=0), "", _xll.IMDP("IR",$AA60,I$6,$C$8) )</f>
        <v>3.8439999999999999</v>
      </c>
      <c r="AG60" s="19" cm="1">
        <f t="array" aca="1" ref="AG60" ca="1">IF( OR($AA60=0,AX60=0), "", _xll.IMDP("IR",$AA60,J$6,$C$8) )</f>
        <v>3.88</v>
      </c>
      <c r="AH60" s="19" cm="1">
        <f t="array" aca="1" ref="AH60" ca="1">IF( OR($AA60=0,AY60=0), "", _xll.IMDP("IR",$AA60,K$6,$C$8) )</f>
        <v>3.9420000000000002</v>
      </c>
      <c r="AI60" s="19" cm="1">
        <f t="array" aca="1" ref="AI60" ca="1">IF( OR($AA60=0,AZ60=0), "", _xll.IMDP("IR",$AA60,L$6,$C$8) )</f>
        <v>4.0549999999999997</v>
      </c>
      <c r="AJ60" s="19" cm="1">
        <f t="array" aca="1" ref="AJ60" ca="1">IF( OR($AA60=0,BA60=0), "", _xll.IMDP("IR",$AA60,M$6,$C$8) )</f>
        <v>4.4130000000000003</v>
      </c>
      <c r="AK60" s="19" cm="1">
        <f t="array" aca="1" ref="AK60" ca="1">IF( OR($AA60=0,BB60=0), "", _xll.IMDP("IR",$AA60,N$6,$C$8) )</f>
        <v>4.7080000000000002</v>
      </c>
      <c r="AL60" s="19" cm="1">
        <f t="array" aca="1" ref="AL60" ca="1">IF( OR($AA60=0,BC60=0), "", _xll.IMDP("IR",$AA60,O$6,$C$8) )</f>
        <v>4.9489999999999998</v>
      </c>
      <c r="AM60" s="19" cm="1">
        <f t="array" aca="1" ref="AM60" ca="1">IF( OR($AA60=0,BD60=0), "", _xll.IMDP("IR",$AA60,P$6,$C$8) )</f>
        <v>5.6180000000000003</v>
      </c>
      <c r="AN60" s="19" cm="1">
        <f t="array" aca="1" ref="AN60" ca="1">IF( OR($AA60=0,BE60=0), "", _xll.IMDP("IR",$AA60,Q$6,$C$8) )</f>
        <v>6.0069999999999997</v>
      </c>
      <c r="AO60" s="19" cm="1">
        <f t="array" aca="1" ref="AO60" ca="1">IF( OR($AA60=0,BF60=0), "", _xll.IMDP("IR",$AA60,R$6,$C$8) )</f>
        <v>6.2389999999999999</v>
      </c>
      <c r="AP60" s="19" t="str" cm="1">
        <f t="array" aca="1" ref="AP60" ca="1">IF( OR($AA60=0,BG60=0), "", _xll.IMDP("IR",$AA60,S$6,$C$8) )</f>
        <v/>
      </c>
      <c r="AQ60" s="19" t="str" cm="1">
        <f t="array" aca="1" ref="AQ60" ca="1">IF( OR($AA60=0,BH60=0), "", _xll.IMDP("IR",$AA60,T$6,$C$8) )</f>
        <v/>
      </c>
      <c r="AR60" s="5"/>
      <c r="AS60" s="20" cm="1">
        <f t="array" aca="1" ref="AS60" ca="1">_xll.IMDP("IR",$AA60,E$5,$C$8)</f>
        <v>3.6309999999999998</v>
      </c>
      <c r="AT60" s="5" cm="1">
        <f t="array" aca="1" ref="AT60" ca="1">_xll.IMDP("IR",$AA60,F$5,$C$8)</f>
        <v>3.6840000000000002</v>
      </c>
      <c r="AU60" s="5" cm="1">
        <f t="array" aca="1" ref="AU60" ca="1">_xll.IMDP("IR",$AA60,G$5,$C$8)</f>
        <v>3.7069999999999999</v>
      </c>
      <c r="AV60" s="5" cm="1">
        <f t="array" aca="1" ref="AV60" ca="1">_xll.IMDP("IR",$AA60,H$5,$C$8)</f>
        <v>3.76</v>
      </c>
      <c r="AW60" s="5" cm="1">
        <f t="array" aca="1" ref="AW60" ca="1">_xll.IMDP("IR",$AA60,I$5,$C$8)</f>
        <v>3.8439999999999999</v>
      </c>
      <c r="AX60" s="5" cm="1">
        <f t="array" aca="1" ref="AX60" ca="1">_xll.IMDP("IR",$AA60,J$5,$C$8)</f>
        <v>3.88</v>
      </c>
      <c r="AY60" s="5" cm="1">
        <f t="array" aca="1" ref="AY60" ca="1">_xll.IMDP("IR",$AA60,K$5,$C$8)</f>
        <v>3.9420000000000002</v>
      </c>
      <c r="AZ60" s="5" cm="1">
        <f t="array" aca="1" ref="AZ60" ca="1">_xll.IMDP("IR",$AA60,L$5,$C$8)</f>
        <v>4.0549999999999997</v>
      </c>
      <c r="BA60" s="5" cm="1">
        <f t="array" aca="1" ref="BA60" ca="1">_xll.IMDP("IR",$AA60,M$5,$C$8)</f>
        <v>4.4130000000000003</v>
      </c>
      <c r="BB60" s="5" cm="1">
        <f t="array" aca="1" ref="BB60" ca="1">_xll.IMDP("IR",$AA60,N$5,$C$8)</f>
        <v>4.7080000000000002</v>
      </c>
      <c r="BC60" s="5" cm="1">
        <f t="array" aca="1" ref="BC60" ca="1">_xll.IMDP("IR",$AA60,O$5,$C$8)</f>
        <v>4.9489999999999998</v>
      </c>
      <c r="BD60" s="5" cm="1">
        <f t="array" aca="1" ref="BD60" ca="1">_xll.IMDP("IR",$AA60,P$5,$C$8)</f>
        <v>5.6180000000000003</v>
      </c>
      <c r="BE60" s="5" cm="1">
        <f t="array" aca="1" ref="BE60" ca="1">_xll.IMDP("IR",$AA60,Q$5,$C$8)</f>
        <v>6.0069999999999997</v>
      </c>
      <c r="BF60" s="5" cm="1">
        <f t="array" aca="1" ref="BF60" ca="1">_xll.IMDP("IR",$AA60,R$5,$C$8)</f>
        <v>6.2389999999999999</v>
      </c>
      <c r="BG60" s="5" cm="1">
        <f t="array" aca="1" ref="BG60" ca="1">_xll.IMDP("IR",$AA60,S$5,$C$8)</f>
        <v>0</v>
      </c>
      <c r="BH60" s="5" cm="1">
        <f t="array" aca="1" ref="BH60" ca="1">_xll.IMDP("IR",$AA60,T$5,$C$8)</f>
        <v>0</v>
      </c>
    </row>
    <row r="61" spans="2:60" ht="13.5" customHeight="1" x14ac:dyDescent="0.3">
      <c r="B61" s="70"/>
      <c r="C61" s="71" t="s">
        <v>660</v>
      </c>
      <c r="D61" s="29" t="s">
        <v>636</v>
      </c>
      <c r="E61" s="30">
        <f t="shared" ca="1" si="5"/>
        <v>3.3969999999999998</v>
      </c>
      <c r="F61" s="30">
        <f t="shared" ca="1" si="5"/>
        <v>3.3849999999999998</v>
      </c>
      <c r="G61" s="30">
        <f t="shared" ca="1" si="5"/>
        <v>3.3340000000000001</v>
      </c>
      <c r="H61" s="30">
        <f t="shared" ca="1" si="5"/>
        <v>3.2890000000000001</v>
      </c>
      <c r="I61" s="30">
        <f t="shared" ca="1" si="5"/>
        <v>3.2959999999999998</v>
      </c>
      <c r="J61" s="30">
        <f t="shared" ca="1" si="5"/>
        <v>3.2839999999999998</v>
      </c>
      <c r="K61" s="30">
        <f t="shared" ca="1" si="5"/>
        <v>3.2839999999999998</v>
      </c>
      <c r="L61" s="30">
        <f t="shared" ca="1" si="5"/>
        <v>3.2850000000000001</v>
      </c>
      <c r="M61" s="30">
        <f t="shared" ca="1" si="5"/>
        <v>3.2829999999999999</v>
      </c>
      <c r="N61" s="30">
        <f t="shared" ca="1" si="5"/>
        <v>3.2839999999999998</v>
      </c>
      <c r="O61" s="30">
        <f t="shared" ca="1" si="5"/>
        <v>3.351</v>
      </c>
      <c r="P61" s="30">
        <f t="shared" ca="1" si="5"/>
        <v>3.6110000000000002</v>
      </c>
      <c r="Q61" s="30">
        <f t="shared" ca="1" si="5"/>
        <v>3.8319999999999999</v>
      </c>
      <c r="R61" s="30">
        <f t="shared" ca="1" si="5"/>
        <v>3.964</v>
      </c>
      <c r="S61" s="30" t="str">
        <f t="shared" ca="1" si="5"/>
        <v/>
      </c>
      <c r="T61" s="31" t="str">
        <f t="shared" ca="1" si="3"/>
        <v/>
      </c>
      <c r="U61" s="17"/>
      <c r="Z61" s="18">
        <f>ROWS($Z$11:Z61)</f>
        <v>51</v>
      </c>
      <c r="AA61" s="18" t="str" cm="1">
        <f t="array" ref="AA61">INDEX(code!$E$2:$K$72,시가평가Matrix!$Z61,$D$3)</f>
        <v>BONDAVG55</v>
      </c>
      <c r="AB61" s="19" cm="1">
        <f t="array" aca="1" ref="AB61" ca="1">IF( OR($AA61=0,AS61=0), "", _xll.IMDP("IR",$AA61,E$6,$C$8) )</f>
        <v>3.3969999999999998</v>
      </c>
      <c r="AC61" s="19" cm="1">
        <f t="array" aca="1" ref="AC61" ca="1">IF( OR($AA61=0,AT61=0), "", _xll.IMDP("IR",$AA61,F$6,$C$8) )</f>
        <v>3.3849999999999998</v>
      </c>
      <c r="AD61" s="19" cm="1">
        <f t="array" aca="1" ref="AD61" ca="1">IF( OR($AA61=0,AU61=0), "", _xll.IMDP("IR",$AA61,G$6,$C$8) )</f>
        <v>3.3340000000000001</v>
      </c>
      <c r="AE61" s="19" cm="1">
        <f t="array" aca="1" ref="AE61" ca="1">IF( OR($AA61=0,AV61=0), "", _xll.IMDP("IR",$AA61,H$6,$C$8) )</f>
        <v>3.2890000000000001</v>
      </c>
      <c r="AF61" s="19" cm="1">
        <f t="array" aca="1" ref="AF61" ca="1">IF( OR($AA61=0,AW61=0), "", _xll.IMDP("IR",$AA61,I$6,$C$8) )</f>
        <v>3.2959999999999998</v>
      </c>
      <c r="AG61" s="19" cm="1">
        <f t="array" aca="1" ref="AG61" ca="1">IF( OR($AA61=0,AX61=0), "", _xll.IMDP("IR",$AA61,J$6,$C$8) )</f>
        <v>3.2839999999999998</v>
      </c>
      <c r="AH61" s="19" cm="1">
        <f t="array" aca="1" ref="AH61" ca="1">IF( OR($AA61=0,AY61=0), "", _xll.IMDP("IR",$AA61,K$6,$C$8) )</f>
        <v>3.2839999999999998</v>
      </c>
      <c r="AI61" s="19" cm="1">
        <f t="array" aca="1" ref="AI61" ca="1">IF( OR($AA61=0,AZ61=0), "", _xll.IMDP("IR",$AA61,L$6,$C$8) )</f>
        <v>3.2850000000000001</v>
      </c>
      <c r="AJ61" s="19" cm="1">
        <f t="array" aca="1" ref="AJ61" ca="1">IF( OR($AA61=0,BA61=0), "", _xll.IMDP("IR",$AA61,M$6,$C$8) )</f>
        <v>3.2829999999999999</v>
      </c>
      <c r="AK61" s="19" cm="1">
        <f t="array" aca="1" ref="AK61" ca="1">IF( OR($AA61=0,BB61=0), "", _xll.IMDP("IR",$AA61,N$6,$C$8) )</f>
        <v>3.2839999999999998</v>
      </c>
      <c r="AL61" s="19" cm="1">
        <f t="array" aca="1" ref="AL61" ca="1">IF( OR($AA61=0,BC61=0), "", _xll.IMDP("IR",$AA61,O$6,$C$8) )</f>
        <v>3.351</v>
      </c>
      <c r="AM61" s="19" cm="1">
        <f t="array" aca="1" ref="AM61" ca="1">IF( OR($AA61=0,BD61=0), "", _xll.IMDP("IR",$AA61,P$6,$C$8) )</f>
        <v>3.6110000000000002</v>
      </c>
      <c r="AN61" s="19" cm="1">
        <f t="array" aca="1" ref="AN61" ca="1">IF( OR($AA61=0,BE61=0), "", _xll.IMDP("IR",$AA61,Q$6,$C$8) )</f>
        <v>3.8319999999999999</v>
      </c>
      <c r="AO61" s="19" cm="1">
        <f t="array" aca="1" ref="AO61" ca="1">IF( OR($AA61=0,BF61=0), "", _xll.IMDP("IR",$AA61,R$6,$C$8) )</f>
        <v>3.964</v>
      </c>
      <c r="AP61" s="19" t="str" cm="1">
        <f t="array" aca="1" ref="AP61" ca="1">IF( OR($AA61=0,BG61=0), "", _xll.IMDP("IR",$AA61,S$6,$C$8) )</f>
        <v/>
      </c>
      <c r="AQ61" s="19" t="str" cm="1">
        <f t="array" aca="1" ref="AQ61" ca="1">IF( OR($AA61=0,BH61=0), "", _xll.IMDP("IR",$AA61,T$6,$C$8) )</f>
        <v/>
      </c>
      <c r="AR61" s="5"/>
      <c r="AS61" s="20" cm="1">
        <f t="array" aca="1" ref="AS61" ca="1">_xll.IMDP("IR",$AA61,E$5,$C$8)</f>
        <v>3.3969999999999998</v>
      </c>
      <c r="AT61" s="5" cm="1">
        <f t="array" aca="1" ref="AT61" ca="1">_xll.IMDP("IR",$AA61,F$5,$C$8)</f>
        <v>3.3849999999999998</v>
      </c>
      <c r="AU61" s="5" cm="1">
        <f t="array" aca="1" ref="AU61" ca="1">_xll.IMDP("IR",$AA61,G$5,$C$8)</f>
        <v>3.3340000000000001</v>
      </c>
      <c r="AV61" s="5" cm="1">
        <f t="array" aca="1" ref="AV61" ca="1">_xll.IMDP("IR",$AA61,H$5,$C$8)</f>
        <v>3.2890000000000001</v>
      </c>
      <c r="AW61" s="5" cm="1">
        <f t="array" aca="1" ref="AW61" ca="1">_xll.IMDP("IR",$AA61,I$5,$C$8)</f>
        <v>3.2959999999999998</v>
      </c>
      <c r="AX61" s="5" cm="1">
        <f t="array" aca="1" ref="AX61" ca="1">_xll.IMDP("IR",$AA61,J$5,$C$8)</f>
        <v>3.2839999999999998</v>
      </c>
      <c r="AY61" s="5" cm="1">
        <f t="array" aca="1" ref="AY61" ca="1">_xll.IMDP("IR",$AA61,K$5,$C$8)</f>
        <v>3.2839999999999998</v>
      </c>
      <c r="AZ61" s="5" cm="1">
        <f t="array" aca="1" ref="AZ61" ca="1">_xll.IMDP("IR",$AA61,L$5,$C$8)</f>
        <v>3.2850000000000001</v>
      </c>
      <c r="BA61" s="5" cm="1">
        <f t="array" aca="1" ref="BA61" ca="1">_xll.IMDP("IR",$AA61,M$5,$C$8)</f>
        <v>3.2829999999999999</v>
      </c>
      <c r="BB61" s="5" cm="1">
        <f t="array" aca="1" ref="BB61" ca="1">_xll.IMDP("IR",$AA61,N$5,$C$8)</f>
        <v>3.2839999999999998</v>
      </c>
      <c r="BC61" s="5" cm="1">
        <f t="array" aca="1" ref="BC61" ca="1">_xll.IMDP("IR",$AA61,O$5,$C$8)</f>
        <v>3.351</v>
      </c>
      <c r="BD61" s="5" cm="1">
        <f t="array" aca="1" ref="BD61" ca="1">_xll.IMDP("IR",$AA61,P$5,$C$8)</f>
        <v>3.6110000000000002</v>
      </c>
      <c r="BE61" s="5" cm="1">
        <f t="array" aca="1" ref="BE61" ca="1">_xll.IMDP("IR",$AA61,Q$5,$C$8)</f>
        <v>3.8319999999999999</v>
      </c>
      <c r="BF61" s="5" cm="1">
        <f t="array" aca="1" ref="BF61" ca="1">_xll.IMDP("IR",$AA61,R$5,$C$8)</f>
        <v>3.964</v>
      </c>
      <c r="BG61" s="5" cm="1">
        <f t="array" aca="1" ref="BG61" ca="1">_xll.IMDP("IR",$AA61,S$5,$C$8)</f>
        <v>0</v>
      </c>
      <c r="BH61" s="5" cm="1">
        <f t="array" aca="1" ref="BH61" ca="1">_xll.IMDP("IR",$AA61,T$5,$C$8)</f>
        <v>0</v>
      </c>
    </row>
    <row r="62" spans="2:60" ht="13.5" customHeight="1" x14ac:dyDescent="0.3">
      <c r="B62" s="70"/>
      <c r="C62" s="71"/>
      <c r="D62" s="23" t="s">
        <v>637</v>
      </c>
      <c r="E62" s="24">
        <f t="shared" ca="1" si="5"/>
        <v>3.415</v>
      </c>
      <c r="F62" s="24">
        <f t="shared" ca="1" si="5"/>
        <v>3.4039999999999999</v>
      </c>
      <c r="G62" s="24">
        <f t="shared" ca="1" si="5"/>
        <v>3.3490000000000002</v>
      </c>
      <c r="H62" s="24">
        <f t="shared" ca="1" si="5"/>
        <v>3.3069999999999999</v>
      </c>
      <c r="I62" s="24">
        <f t="shared" ca="1" si="5"/>
        <v>3.33</v>
      </c>
      <c r="J62" s="24">
        <f t="shared" ca="1" si="5"/>
        <v>3.3220000000000001</v>
      </c>
      <c r="K62" s="24">
        <f t="shared" ca="1" si="5"/>
        <v>3.3359999999999999</v>
      </c>
      <c r="L62" s="24">
        <f t="shared" ca="1" si="5"/>
        <v>3.3450000000000002</v>
      </c>
      <c r="M62" s="24">
        <f t="shared" ca="1" si="5"/>
        <v>3.3460000000000001</v>
      </c>
      <c r="N62" s="24">
        <f t="shared" ca="1" si="5"/>
        <v>3.363</v>
      </c>
      <c r="O62" s="24">
        <f t="shared" ca="1" si="5"/>
        <v>3.4860000000000002</v>
      </c>
      <c r="P62" s="24">
        <f t="shared" ca="1" si="5"/>
        <v>3.895</v>
      </c>
      <c r="Q62" s="24">
        <f t="shared" ca="1" si="5"/>
        <v>4.1740000000000004</v>
      </c>
      <c r="R62" s="24">
        <f t="shared" ca="1" si="5"/>
        <v>4.34</v>
      </c>
      <c r="S62" s="24" t="str">
        <f t="shared" ca="1" si="5"/>
        <v/>
      </c>
      <c r="T62" s="25" t="str">
        <f t="shared" ca="1" si="3"/>
        <v/>
      </c>
      <c r="U62" s="17"/>
      <c r="Z62" s="18">
        <f>ROWS($Z$11:Z62)</f>
        <v>52</v>
      </c>
      <c r="AA62" s="18" t="str" cm="1">
        <f t="array" ref="AA62">INDEX(code!$E$2:$K$72,시가평가Matrix!$Z62,$D$3)</f>
        <v>BONDAVG56</v>
      </c>
      <c r="AB62" s="19" cm="1">
        <f t="array" aca="1" ref="AB62" ca="1">IF( OR($AA62=0,AS62=0), "", _xll.IMDP("IR",$AA62,E$6,$C$8) )</f>
        <v>3.415</v>
      </c>
      <c r="AC62" s="19" cm="1">
        <f t="array" aca="1" ref="AC62" ca="1">IF( OR($AA62=0,AT62=0), "", _xll.IMDP("IR",$AA62,F$6,$C$8) )</f>
        <v>3.4039999999999999</v>
      </c>
      <c r="AD62" s="19" cm="1">
        <f t="array" aca="1" ref="AD62" ca="1">IF( OR($AA62=0,AU62=0), "", _xll.IMDP("IR",$AA62,G$6,$C$8) )</f>
        <v>3.3490000000000002</v>
      </c>
      <c r="AE62" s="19" cm="1">
        <f t="array" aca="1" ref="AE62" ca="1">IF( OR($AA62=0,AV62=0), "", _xll.IMDP("IR",$AA62,H$6,$C$8) )</f>
        <v>3.3069999999999999</v>
      </c>
      <c r="AF62" s="19" cm="1">
        <f t="array" aca="1" ref="AF62" ca="1">IF( OR($AA62=0,AW62=0), "", _xll.IMDP("IR",$AA62,I$6,$C$8) )</f>
        <v>3.33</v>
      </c>
      <c r="AG62" s="19" cm="1">
        <f t="array" aca="1" ref="AG62" ca="1">IF( OR($AA62=0,AX62=0), "", _xll.IMDP("IR",$AA62,J$6,$C$8) )</f>
        <v>3.3220000000000001</v>
      </c>
      <c r="AH62" s="19" cm="1">
        <f t="array" aca="1" ref="AH62" ca="1">IF( OR($AA62=0,AY62=0), "", _xll.IMDP("IR",$AA62,K$6,$C$8) )</f>
        <v>3.3359999999999999</v>
      </c>
      <c r="AI62" s="19" cm="1">
        <f t="array" aca="1" ref="AI62" ca="1">IF( OR($AA62=0,AZ62=0), "", _xll.IMDP("IR",$AA62,L$6,$C$8) )</f>
        <v>3.3450000000000002</v>
      </c>
      <c r="AJ62" s="19" cm="1">
        <f t="array" aca="1" ref="AJ62" ca="1">IF( OR($AA62=0,BA62=0), "", _xll.IMDP("IR",$AA62,M$6,$C$8) )</f>
        <v>3.3460000000000001</v>
      </c>
      <c r="AK62" s="19" cm="1">
        <f t="array" aca="1" ref="AK62" ca="1">IF( OR($AA62=0,BB62=0), "", _xll.IMDP("IR",$AA62,N$6,$C$8) )</f>
        <v>3.363</v>
      </c>
      <c r="AL62" s="19" cm="1">
        <f t="array" aca="1" ref="AL62" ca="1">IF( OR($AA62=0,BC62=0), "", _xll.IMDP("IR",$AA62,O$6,$C$8) )</f>
        <v>3.4860000000000002</v>
      </c>
      <c r="AM62" s="19" cm="1">
        <f t="array" aca="1" ref="AM62" ca="1">IF( OR($AA62=0,BD62=0), "", _xll.IMDP("IR",$AA62,P$6,$C$8) )</f>
        <v>3.895</v>
      </c>
      <c r="AN62" s="19" cm="1">
        <f t="array" aca="1" ref="AN62" ca="1">IF( OR($AA62=0,BE62=0), "", _xll.IMDP("IR",$AA62,Q$6,$C$8) )</f>
        <v>4.1740000000000004</v>
      </c>
      <c r="AO62" s="19" cm="1">
        <f t="array" aca="1" ref="AO62" ca="1">IF( OR($AA62=0,BF62=0), "", _xll.IMDP("IR",$AA62,R$6,$C$8) )</f>
        <v>4.34</v>
      </c>
      <c r="AP62" s="19" t="str" cm="1">
        <f t="array" aca="1" ref="AP62" ca="1">IF( OR($AA62=0,BG62=0), "", _xll.IMDP("IR",$AA62,S$6,$C$8) )</f>
        <v/>
      </c>
      <c r="AQ62" s="19" t="str" cm="1">
        <f t="array" aca="1" ref="AQ62" ca="1">IF( OR($AA62=0,BH62=0), "", _xll.IMDP("IR",$AA62,T$6,$C$8) )</f>
        <v/>
      </c>
      <c r="AR62" s="5"/>
      <c r="AS62" s="20" cm="1">
        <f t="array" aca="1" ref="AS62" ca="1">_xll.IMDP("IR",$AA62,E$5,$C$8)</f>
        <v>3.415</v>
      </c>
      <c r="AT62" s="5" cm="1">
        <f t="array" aca="1" ref="AT62" ca="1">_xll.IMDP("IR",$AA62,F$5,$C$8)</f>
        <v>3.4039999999999999</v>
      </c>
      <c r="AU62" s="5" cm="1">
        <f t="array" aca="1" ref="AU62" ca="1">_xll.IMDP("IR",$AA62,G$5,$C$8)</f>
        <v>3.3490000000000002</v>
      </c>
      <c r="AV62" s="5" cm="1">
        <f t="array" aca="1" ref="AV62" ca="1">_xll.IMDP("IR",$AA62,H$5,$C$8)</f>
        <v>3.3069999999999999</v>
      </c>
      <c r="AW62" s="5" cm="1">
        <f t="array" aca="1" ref="AW62" ca="1">_xll.IMDP("IR",$AA62,I$5,$C$8)</f>
        <v>3.33</v>
      </c>
      <c r="AX62" s="5" cm="1">
        <f t="array" aca="1" ref="AX62" ca="1">_xll.IMDP("IR",$AA62,J$5,$C$8)</f>
        <v>3.3220000000000001</v>
      </c>
      <c r="AY62" s="5" cm="1">
        <f t="array" aca="1" ref="AY62" ca="1">_xll.IMDP("IR",$AA62,K$5,$C$8)</f>
        <v>3.3359999999999999</v>
      </c>
      <c r="AZ62" s="5" cm="1">
        <f t="array" aca="1" ref="AZ62" ca="1">_xll.IMDP("IR",$AA62,L$5,$C$8)</f>
        <v>3.3450000000000002</v>
      </c>
      <c r="BA62" s="5" cm="1">
        <f t="array" aca="1" ref="BA62" ca="1">_xll.IMDP("IR",$AA62,M$5,$C$8)</f>
        <v>3.3460000000000001</v>
      </c>
      <c r="BB62" s="5" cm="1">
        <f t="array" aca="1" ref="BB62" ca="1">_xll.IMDP("IR",$AA62,N$5,$C$8)</f>
        <v>3.363</v>
      </c>
      <c r="BC62" s="5" cm="1">
        <f t="array" aca="1" ref="BC62" ca="1">_xll.IMDP("IR",$AA62,O$5,$C$8)</f>
        <v>3.4860000000000002</v>
      </c>
      <c r="BD62" s="5" cm="1">
        <f t="array" aca="1" ref="BD62" ca="1">_xll.IMDP("IR",$AA62,P$5,$C$8)</f>
        <v>3.895</v>
      </c>
      <c r="BE62" s="5" cm="1">
        <f t="array" aca="1" ref="BE62" ca="1">_xll.IMDP("IR",$AA62,Q$5,$C$8)</f>
        <v>4.1740000000000004</v>
      </c>
      <c r="BF62" s="5" cm="1">
        <f t="array" aca="1" ref="BF62" ca="1">_xll.IMDP("IR",$AA62,R$5,$C$8)</f>
        <v>4.34</v>
      </c>
      <c r="BG62" s="5" cm="1">
        <f t="array" aca="1" ref="BG62" ca="1">_xll.IMDP("IR",$AA62,S$5,$C$8)</f>
        <v>0</v>
      </c>
      <c r="BH62" s="5" cm="1">
        <f t="array" aca="1" ref="BH62" ca="1">_xll.IMDP("IR",$AA62,T$5,$C$8)</f>
        <v>0</v>
      </c>
    </row>
    <row r="63" spans="2:60" ht="13.5" customHeight="1" x14ac:dyDescent="0.3">
      <c r="B63" s="70"/>
      <c r="C63" s="71"/>
      <c r="D63" s="23" t="s">
        <v>638</v>
      </c>
      <c r="E63" s="24">
        <f t="shared" ca="1" si="5"/>
        <v>3.4289999999999998</v>
      </c>
      <c r="F63" s="24">
        <f t="shared" ca="1" si="5"/>
        <v>3.419</v>
      </c>
      <c r="G63" s="24">
        <f t="shared" ca="1" si="5"/>
        <v>3.367</v>
      </c>
      <c r="H63" s="24">
        <f t="shared" ca="1" si="5"/>
        <v>3.327</v>
      </c>
      <c r="I63" s="24">
        <f t="shared" ca="1" si="5"/>
        <v>3.3570000000000002</v>
      </c>
      <c r="J63" s="24">
        <f t="shared" ca="1" si="5"/>
        <v>3.35</v>
      </c>
      <c r="K63" s="24">
        <f t="shared" ca="1" si="5"/>
        <v>3.3679999999999999</v>
      </c>
      <c r="L63" s="24">
        <f t="shared" ca="1" si="5"/>
        <v>3.383</v>
      </c>
      <c r="M63" s="24">
        <f t="shared" ca="1" si="5"/>
        <v>3.387</v>
      </c>
      <c r="N63" s="24">
        <f t="shared" ca="1" si="5"/>
        <v>3.427</v>
      </c>
      <c r="O63" s="24">
        <f t="shared" ca="1" si="5"/>
        <v>3.5859999999999999</v>
      </c>
      <c r="P63" s="24">
        <f t="shared" ca="1" si="5"/>
        <v>4.242</v>
      </c>
      <c r="Q63" s="24">
        <f t="shared" ca="1" si="5"/>
        <v>4.7450000000000001</v>
      </c>
      <c r="R63" s="24">
        <f t="shared" ca="1" si="5"/>
        <v>4.9269999999999996</v>
      </c>
      <c r="S63" s="24" t="str">
        <f t="shared" ca="1" si="5"/>
        <v/>
      </c>
      <c r="T63" s="25" t="str">
        <f t="shared" ca="1" si="3"/>
        <v/>
      </c>
      <c r="U63" s="17"/>
      <c r="Z63" s="18">
        <f>ROWS($Z$11:Z63)</f>
        <v>53</v>
      </c>
      <c r="AA63" s="18" t="str" cm="1">
        <f t="array" ref="AA63">INDEX(code!$E$2:$K$72,시가평가Matrix!$Z63,$D$3)</f>
        <v>BONDAVG57</v>
      </c>
      <c r="AB63" s="19" cm="1">
        <f t="array" aca="1" ref="AB63" ca="1">IF( OR($AA63=0,AS63=0), "", _xll.IMDP("IR",$AA63,E$6,$C$8) )</f>
        <v>3.4289999999999998</v>
      </c>
      <c r="AC63" s="19" cm="1">
        <f t="array" aca="1" ref="AC63" ca="1">IF( OR($AA63=0,AT63=0), "", _xll.IMDP("IR",$AA63,F$6,$C$8) )</f>
        <v>3.419</v>
      </c>
      <c r="AD63" s="19" cm="1">
        <f t="array" aca="1" ref="AD63" ca="1">IF( OR($AA63=0,AU63=0), "", _xll.IMDP("IR",$AA63,G$6,$C$8) )</f>
        <v>3.367</v>
      </c>
      <c r="AE63" s="19" cm="1">
        <f t="array" aca="1" ref="AE63" ca="1">IF( OR($AA63=0,AV63=0), "", _xll.IMDP("IR",$AA63,H$6,$C$8) )</f>
        <v>3.327</v>
      </c>
      <c r="AF63" s="19" cm="1">
        <f t="array" aca="1" ref="AF63" ca="1">IF( OR($AA63=0,AW63=0), "", _xll.IMDP("IR",$AA63,I$6,$C$8) )</f>
        <v>3.3570000000000002</v>
      </c>
      <c r="AG63" s="19" cm="1">
        <f t="array" aca="1" ref="AG63" ca="1">IF( OR($AA63=0,AX63=0), "", _xll.IMDP("IR",$AA63,J$6,$C$8) )</f>
        <v>3.35</v>
      </c>
      <c r="AH63" s="19" cm="1">
        <f t="array" aca="1" ref="AH63" ca="1">IF( OR($AA63=0,AY63=0), "", _xll.IMDP("IR",$AA63,K$6,$C$8) )</f>
        <v>3.3679999999999999</v>
      </c>
      <c r="AI63" s="19" cm="1">
        <f t="array" aca="1" ref="AI63" ca="1">IF( OR($AA63=0,AZ63=0), "", _xll.IMDP("IR",$AA63,L$6,$C$8) )</f>
        <v>3.383</v>
      </c>
      <c r="AJ63" s="19" cm="1">
        <f t="array" aca="1" ref="AJ63" ca="1">IF( OR($AA63=0,BA63=0), "", _xll.IMDP("IR",$AA63,M$6,$C$8) )</f>
        <v>3.387</v>
      </c>
      <c r="AK63" s="19" cm="1">
        <f t="array" aca="1" ref="AK63" ca="1">IF( OR($AA63=0,BB63=0), "", _xll.IMDP("IR",$AA63,N$6,$C$8) )</f>
        <v>3.427</v>
      </c>
      <c r="AL63" s="19" cm="1">
        <f t="array" aca="1" ref="AL63" ca="1">IF( OR($AA63=0,BC63=0), "", _xll.IMDP("IR",$AA63,O$6,$C$8) )</f>
        <v>3.5859999999999999</v>
      </c>
      <c r="AM63" s="19" cm="1">
        <f t="array" aca="1" ref="AM63" ca="1">IF( OR($AA63=0,BD63=0), "", _xll.IMDP("IR",$AA63,P$6,$C$8) )</f>
        <v>4.242</v>
      </c>
      <c r="AN63" s="19" cm="1">
        <f t="array" aca="1" ref="AN63" ca="1">IF( OR($AA63=0,BE63=0), "", _xll.IMDP("IR",$AA63,Q$6,$C$8) )</f>
        <v>4.7450000000000001</v>
      </c>
      <c r="AO63" s="19" cm="1">
        <f t="array" aca="1" ref="AO63" ca="1">IF( OR($AA63=0,BF63=0), "", _xll.IMDP("IR",$AA63,R$6,$C$8) )</f>
        <v>4.9269999999999996</v>
      </c>
      <c r="AP63" s="19" t="str" cm="1">
        <f t="array" aca="1" ref="AP63" ca="1">IF( OR($AA63=0,BG63=0), "", _xll.IMDP("IR",$AA63,S$6,$C$8) )</f>
        <v/>
      </c>
      <c r="AQ63" s="19" t="str" cm="1">
        <f t="array" aca="1" ref="AQ63" ca="1">IF( OR($AA63=0,BH63=0), "", _xll.IMDP("IR",$AA63,T$6,$C$8) )</f>
        <v/>
      </c>
      <c r="AR63" s="5"/>
      <c r="AS63" s="20" cm="1">
        <f t="array" aca="1" ref="AS63" ca="1">_xll.IMDP("IR",$AA63,E$5,$C$8)</f>
        <v>3.4289999999999998</v>
      </c>
      <c r="AT63" s="5" cm="1">
        <f t="array" aca="1" ref="AT63" ca="1">_xll.IMDP("IR",$AA63,F$5,$C$8)</f>
        <v>3.419</v>
      </c>
      <c r="AU63" s="5" cm="1">
        <f t="array" aca="1" ref="AU63" ca="1">_xll.IMDP("IR",$AA63,G$5,$C$8)</f>
        <v>3.367</v>
      </c>
      <c r="AV63" s="5" cm="1">
        <f t="array" aca="1" ref="AV63" ca="1">_xll.IMDP("IR",$AA63,H$5,$C$8)</f>
        <v>3.327</v>
      </c>
      <c r="AW63" s="5" cm="1">
        <f t="array" aca="1" ref="AW63" ca="1">_xll.IMDP("IR",$AA63,I$5,$C$8)</f>
        <v>3.3570000000000002</v>
      </c>
      <c r="AX63" s="5" cm="1">
        <f t="array" aca="1" ref="AX63" ca="1">_xll.IMDP("IR",$AA63,J$5,$C$8)</f>
        <v>3.35</v>
      </c>
      <c r="AY63" s="5" cm="1">
        <f t="array" aca="1" ref="AY63" ca="1">_xll.IMDP("IR",$AA63,K$5,$C$8)</f>
        <v>3.3679999999999999</v>
      </c>
      <c r="AZ63" s="5" cm="1">
        <f t="array" aca="1" ref="AZ63" ca="1">_xll.IMDP("IR",$AA63,L$5,$C$8)</f>
        <v>3.383</v>
      </c>
      <c r="BA63" s="5" cm="1">
        <f t="array" aca="1" ref="BA63" ca="1">_xll.IMDP("IR",$AA63,M$5,$C$8)</f>
        <v>3.387</v>
      </c>
      <c r="BB63" s="5" cm="1">
        <f t="array" aca="1" ref="BB63" ca="1">_xll.IMDP("IR",$AA63,N$5,$C$8)</f>
        <v>3.427</v>
      </c>
      <c r="BC63" s="5" cm="1">
        <f t="array" aca="1" ref="BC63" ca="1">_xll.IMDP("IR",$AA63,O$5,$C$8)</f>
        <v>3.5859999999999999</v>
      </c>
      <c r="BD63" s="5" cm="1">
        <f t="array" aca="1" ref="BD63" ca="1">_xll.IMDP("IR",$AA63,P$5,$C$8)</f>
        <v>4.242</v>
      </c>
      <c r="BE63" s="5" cm="1">
        <f t="array" aca="1" ref="BE63" ca="1">_xll.IMDP("IR",$AA63,Q$5,$C$8)</f>
        <v>4.7450000000000001</v>
      </c>
      <c r="BF63" s="5" cm="1">
        <f t="array" aca="1" ref="BF63" ca="1">_xll.IMDP("IR",$AA63,R$5,$C$8)</f>
        <v>4.9269999999999996</v>
      </c>
      <c r="BG63" s="5" cm="1">
        <f t="array" aca="1" ref="BG63" ca="1">_xll.IMDP("IR",$AA63,S$5,$C$8)</f>
        <v>0</v>
      </c>
      <c r="BH63" s="5" cm="1">
        <f t="array" aca="1" ref="BH63" ca="1">_xll.IMDP("IR",$AA63,T$5,$C$8)</f>
        <v>0</v>
      </c>
    </row>
    <row r="64" spans="2:60" ht="13.5" customHeight="1" x14ac:dyDescent="0.3">
      <c r="B64" s="70"/>
      <c r="C64" s="71"/>
      <c r="D64" s="23" t="s">
        <v>639</v>
      </c>
      <c r="E64" s="24">
        <f t="shared" ca="1" si="5"/>
        <v>3.452</v>
      </c>
      <c r="F64" s="24">
        <f t="shared" ca="1" si="5"/>
        <v>3.444</v>
      </c>
      <c r="G64" s="24">
        <f t="shared" ca="1" si="5"/>
        <v>3.3929999999999998</v>
      </c>
      <c r="H64" s="24">
        <f t="shared" ca="1" si="5"/>
        <v>3.3570000000000002</v>
      </c>
      <c r="I64" s="24">
        <f t="shared" ca="1" si="5"/>
        <v>3.3820000000000001</v>
      </c>
      <c r="J64" s="24">
        <f t="shared" ca="1" si="5"/>
        <v>3.3820000000000001</v>
      </c>
      <c r="K64" s="24">
        <f t="shared" ca="1" si="5"/>
        <v>3.403</v>
      </c>
      <c r="L64" s="24">
        <f t="shared" ca="1" si="5"/>
        <v>3.4279999999999999</v>
      </c>
      <c r="M64" s="24">
        <f t="shared" ca="1" si="5"/>
        <v>3.45</v>
      </c>
      <c r="N64" s="24">
        <f t="shared" ca="1" si="5"/>
        <v>3.5310000000000001</v>
      </c>
      <c r="O64" s="24">
        <f t="shared" ca="1" si="5"/>
        <v>3.7829999999999999</v>
      </c>
      <c r="P64" s="24">
        <f t="shared" ca="1" si="5"/>
        <v>4.601</v>
      </c>
      <c r="Q64" s="24">
        <f t="shared" ca="1" si="5"/>
        <v>5.2149999999999999</v>
      </c>
      <c r="R64" s="24">
        <f t="shared" ca="1" si="5"/>
        <v>5.4589999999999996</v>
      </c>
      <c r="S64" s="24" t="str">
        <f t="shared" ca="1" si="5"/>
        <v/>
      </c>
      <c r="T64" s="25" t="str">
        <f t="shared" ca="1" si="3"/>
        <v/>
      </c>
      <c r="U64" s="17"/>
      <c r="Z64" s="18">
        <f>ROWS($Z$11:Z64)</f>
        <v>54</v>
      </c>
      <c r="AA64" s="18" t="str" cm="1">
        <f t="array" ref="AA64">INDEX(code!$E$2:$K$72,시가평가Matrix!$Z64,$D$3)</f>
        <v>BONDAVG58</v>
      </c>
      <c r="AB64" s="19" cm="1">
        <f t="array" aca="1" ref="AB64" ca="1">IF( OR($AA64=0,AS64=0), "", _xll.IMDP("IR",$AA64,E$6,$C$8) )</f>
        <v>3.452</v>
      </c>
      <c r="AC64" s="19" cm="1">
        <f t="array" aca="1" ref="AC64" ca="1">IF( OR($AA64=0,AT64=0), "", _xll.IMDP("IR",$AA64,F$6,$C$8) )</f>
        <v>3.444</v>
      </c>
      <c r="AD64" s="19" cm="1">
        <f t="array" aca="1" ref="AD64" ca="1">IF( OR($AA64=0,AU64=0), "", _xll.IMDP("IR",$AA64,G$6,$C$8) )</f>
        <v>3.3929999999999998</v>
      </c>
      <c r="AE64" s="19" cm="1">
        <f t="array" aca="1" ref="AE64" ca="1">IF( OR($AA64=0,AV64=0), "", _xll.IMDP("IR",$AA64,H$6,$C$8) )</f>
        <v>3.3570000000000002</v>
      </c>
      <c r="AF64" s="19" cm="1">
        <f t="array" aca="1" ref="AF64" ca="1">IF( OR($AA64=0,AW64=0), "", _xll.IMDP("IR",$AA64,I$6,$C$8) )</f>
        <v>3.3820000000000001</v>
      </c>
      <c r="AG64" s="19" cm="1">
        <f t="array" aca="1" ref="AG64" ca="1">IF( OR($AA64=0,AX64=0), "", _xll.IMDP("IR",$AA64,J$6,$C$8) )</f>
        <v>3.3820000000000001</v>
      </c>
      <c r="AH64" s="19" cm="1">
        <f t="array" aca="1" ref="AH64" ca="1">IF( OR($AA64=0,AY64=0), "", _xll.IMDP("IR",$AA64,K$6,$C$8) )</f>
        <v>3.403</v>
      </c>
      <c r="AI64" s="19" cm="1">
        <f t="array" aca="1" ref="AI64" ca="1">IF( OR($AA64=0,AZ64=0), "", _xll.IMDP("IR",$AA64,L$6,$C$8) )</f>
        <v>3.4279999999999999</v>
      </c>
      <c r="AJ64" s="19" cm="1">
        <f t="array" aca="1" ref="AJ64" ca="1">IF( OR($AA64=0,BA64=0), "", _xll.IMDP("IR",$AA64,M$6,$C$8) )</f>
        <v>3.45</v>
      </c>
      <c r="AK64" s="19" cm="1">
        <f t="array" aca="1" ref="AK64" ca="1">IF( OR($AA64=0,BB64=0), "", _xll.IMDP("IR",$AA64,N$6,$C$8) )</f>
        <v>3.5310000000000001</v>
      </c>
      <c r="AL64" s="19" cm="1">
        <f t="array" aca="1" ref="AL64" ca="1">IF( OR($AA64=0,BC64=0), "", _xll.IMDP("IR",$AA64,O$6,$C$8) )</f>
        <v>3.7829999999999999</v>
      </c>
      <c r="AM64" s="19" cm="1">
        <f t="array" aca="1" ref="AM64" ca="1">IF( OR($AA64=0,BD64=0), "", _xll.IMDP("IR",$AA64,P$6,$C$8) )</f>
        <v>4.601</v>
      </c>
      <c r="AN64" s="19" cm="1">
        <f t="array" aca="1" ref="AN64" ca="1">IF( OR($AA64=0,BE64=0), "", _xll.IMDP("IR",$AA64,Q$6,$C$8) )</f>
        <v>5.2149999999999999</v>
      </c>
      <c r="AO64" s="19" cm="1">
        <f t="array" aca="1" ref="AO64" ca="1">IF( OR($AA64=0,BF64=0), "", _xll.IMDP("IR",$AA64,R$6,$C$8) )</f>
        <v>5.4589999999999996</v>
      </c>
      <c r="AP64" s="19" t="str" cm="1">
        <f t="array" aca="1" ref="AP64" ca="1">IF( OR($AA64=0,BG64=0), "", _xll.IMDP("IR",$AA64,S$6,$C$8) )</f>
        <v/>
      </c>
      <c r="AQ64" s="19" t="str" cm="1">
        <f t="array" aca="1" ref="AQ64" ca="1">IF( OR($AA64=0,BH64=0), "", _xll.IMDP("IR",$AA64,T$6,$C$8) )</f>
        <v/>
      </c>
      <c r="AR64" s="5"/>
      <c r="AS64" s="20" cm="1">
        <f t="array" aca="1" ref="AS64" ca="1">_xll.IMDP("IR",$AA64,E$5,$C$8)</f>
        <v>3.452</v>
      </c>
      <c r="AT64" s="5" cm="1">
        <f t="array" aca="1" ref="AT64" ca="1">_xll.IMDP("IR",$AA64,F$5,$C$8)</f>
        <v>3.444</v>
      </c>
      <c r="AU64" s="5" cm="1">
        <f t="array" aca="1" ref="AU64" ca="1">_xll.IMDP("IR",$AA64,G$5,$C$8)</f>
        <v>3.3929999999999998</v>
      </c>
      <c r="AV64" s="5" cm="1">
        <f t="array" aca="1" ref="AV64" ca="1">_xll.IMDP("IR",$AA64,H$5,$C$8)</f>
        <v>3.3570000000000002</v>
      </c>
      <c r="AW64" s="5" cm="1">
        <f t="array" aca="1" ref="AW64" ca="1">_xll.IMDP("IR",$AA64,I$5,$C$8)</f>
        <v>3.3820000000000001</v>
      </c>
      <c r="AX64" s="5" cm="1">
        <f t="array" aca="1" ref="AX64" ca="1">_xll.IMDP("IR",$AA64,J$5,$C$8)</f>
        <v>3.3820000000000001</v>
      </c>
      <c r="AY64" s="5" cm="1">
        <f t="array" aca="1" ref="AY64" ca="1">_xll.IMDP("IR",$AA64,K$5,$C$8)</f>
        <v>3.403</v>
      </c>
      <c r="AZ64" s="5" cm="1">
        <f t="array" aca="1" ref="AZ64" ca="1">_xll.IMDP("IR",$AA64,L$5,$C$8)</f>
        <v>3.4279999999999999</v>
      </c>
      <c r="BA64" s="5" cm="1">
        <f t="array" aca="1" ref="BA64" ca="1">_xll.IMDP("IR",$AA64,M$5,$C$8)</f>
        <v>3.45</v>
      </c>
      <c r="BB64" s="5" cm="1">
        <f t="array" aca="1" ref="BB64" ca="1">_xll.IMDP("IR",$AA64,N$5,$C$8)</f>
        <v>3.5310000000000001</v>
      </c>
      <c r="BC64" s="5" cm="1">
        <f t="array" aca="1" ref="BC64" ca="1">_xll.IMDP("IR",$AA64,O$5,$C$8)</f>
        <v>3.7829999999999999</v>
      </c>
      <c r="BD64" s="5" cm="1">
        <f t="array" aca="1" ref="BD64" ca="1">_xll.IMDP("IR",$AA64,P$5,$C$8)</f>
        <v>4.601</v>
      </c>
      <c r="BE64" s="5" cm="1">
        <f t="array" aca="1" ref="BE64" ca="1">_xll.IMDP("IR",$AA64,Q$5,$C$8)</f>
        <v>5.2149999999999999</v>
      </c>
      <c r="BF64" s="5" cm="1">
        <f t="array" aca="1" ref="BF64" ca="1">_xll.IMDP("IR",$AA64,R$5,$C$8)</f>
        <v>5.4589999999999996</v>
      </c>
      <c r="BG64" s="5" cm="1">
        <f t="array" aca="1" ref="BG64" ca="1">_xll.IMDP("IR",$AA64,S$5,$C$8)</f>
        <v>0</v>
      </c>
      <c r="BH64" s="5" cm="1">
        <f t="array" aca="1" ref="BH64" ca="1">_xll.IMDP("IR",$AA64,T$5,$C$8)</f>
        <v>0</v>
      </c>
    </row>
    <row r="65" spans="2:60" ht="13.5" customHeight="1" x14ac:dyDescent="0.3">
      <c r="B65" s="70"/>
      <c r="C65" s="71"/>
      <c r="D65" s="23" t="s">
        <v>648</v>
      </c>
      <c r="E65" s="24">
        <f t="shared" ca="1" si="5"/>
        <v>3.4940000000000002</v>
      </c>
      <c r="F65" s="24">
        <f t="shared" ca="1" si="5"/>
        <v>3.5590000000000002</v>
      </c>
      <c r="G65" s="24">
        <f t="shared" ca="1" si="5"/>
        <v>3.569</v>
      </c>
      <c r="H65" s="24">
        <f t="shared" ca="1" si="5"/>
        <v>3.5840000000000001</v>
      </c>
      <c r="I65" s="24">
        <f t="shared" ca="1" si="5"/>
        <v>3.6579999999999999</v>
      </c>
      <c r="J65" s="24">
        <f t="shared" ca="1" si="5"/>
        <v>3.6949999999999998</v>
      </c>
      <c r="K65" s="24">
        <f t="shared" ca="1" si="5"/>
        <v>3.7669999999999999</v>
      </c>
      <c r="L65" s="24">
        <f t="shared" ca="1" si="5"/>
        <v>3.8149999999999999</v>
      </c>
      <c r="M65" s="24">
        <f t="shared" ca="1" si="5"/>
        <v>4.0739999999999998</v>
      </c>
      <c r="N65" s="24">
        <f t="shared" ca="1" si="5"/>
        <v>4.2880000000000003</v>
      </c>
      <c r="O65" s="24">
        <f t="shared" ca="1" si="5"/>
        <v>4.4980000000000002</v>
      </c>
      <c r="P65" s="24">
        <f t="shared" ca="1" si="5"/>
        <v>5.1580000000000004</v>
      </c>
      <c r="Q65" s="24">
        <f t="shared" ca="1" si="5"/>
        <v>5.6050000000000004</v>
      </c>
      <c r="R65" s="24">
        <f t="shared" ca="1" si="5"/>
        <v>5.8680000000000003</v>
      </c>
      <c r="S65" s="24" t="str">
        <f t="shared" ca="1" si="5"/>
        <v/>
      </c>
      <c r="T65" s="25" t="str">
        <f t="shared" ca="1" si="3"/>
        <v/>
      </c>
      <c r="U65" s="17"/>
      <c r="Z65" s="18">
        <f>ROWS($Z$11:Z65)</f>
        <v>55</v>
      </c>
      <c r="AA65" s="18" t="str" cm="1">
        <f t="array" ref="AA65">INDEX(code!$E$2:$K$72,시가평가Matrix!$Z65,$D$3)</f>
        <v>BONDAVG59</v>
      </c>
      <c r="AB65" s="19" cm="1">
        <f t="array" aca="1" ref="AB65" ca="1">IF( OR($AA65=0,AS65=0), "", _xll.IMDP("IR",$AA65,E$6,$C$8) )</f>
        <v>3.4940000000000002</v>
      </c>
      <c r="AC65" s="19" cm="1">
        <f t="array" aca="1" ref="AC65" ca="1">IF( OR($AA65=0,AT65=0), "", _xll.IMDP("IR",$AA65,F$6,$C$8) )</f>
        <v>3.5590000000000002</v>
      </c>
      <c r="AD65" s="19" cm="1">
        <f t="array" aca="1" ref="AD65" ca="1">IF( OR($AA65=0,AU65=0), "", _xll.IMDP("IR",$AA65,G$6,$C$8) )</f>
        <v>3.569</v>
      </c>
      <c r="AE65" s="19" cm="1">
        <f t="array" aca="1" ref="AE65" ca="1">IF( OR($AA65=0,AV65=0), "", _xll.IMDP("IR",$AA65,H$6,$C$8) )</f>
        <v>3.5840000000000001</v>
      </c>
      <c r="AF65" s="19" cm="1">
        <f t="array" aca="1" ref="AF65" ca="1">IF( OR($AA65=0,AW65=0), "", _xll.IMDP("IR",$AA65,I$6,$C$8) )</f>
        <v>3.6579999999999999</v>
      </c>
      <c r="AG65" s="19" cm="1">
        <f t="array" aca="1" ref="AG65" ca="1">IF( OR($AA65=0,AX65=0), "", _xll.IMDP("IR",$AA65,J$6,$C$8) )</f>
        <v>3.6949999999999998</v>
      </c>
      <c r="AH65" s="19" cm="1">
        <f t="array" aca="1" ref="AH65" ca="1">IF( OR($AA65=0,AY65=0), "", _xll.IMDP("IR",$AA65,K$6,$C$8) )</f>
        <v>3.7669999999999999</v>
      </c>
      <c r="AI65" s="19" cm="1">
        <f t="array" aca="1" ref="AI65" ca="1">IF( OR($AA65=0,AZ65=0), "", _xll.IMDP("IR",$AA65,L$6,$C$8) )</f>
        <v>3.8149999999999999</v>
      </c>
      <c r="AJ65" s="19" cm="1">
        <f t="array" aca="1" ref="AJ65" ca="1">IF( OR($AA65=0,BA65=0), "", _xll.IMDP("IR",$AA65,M$6,$C$8) )</f>
        <v>4.0739999999999998</v>
      </c>
      <c r="AK65" s="19" cm="1">
        <f t="array" aca="1" ref="AK65" ca="1">IF( OR($AA65=0,BB65=0), "", _xll.IMDP("IR",$AA65,N$6,$C$8) )</f>
        <v>4.2880000000000003</v>
      </c>
      <c r="AL65" s="19" cm="1">
        <f t="array" aca="1" ref="AL65" ca="1">IF( OR($AA65=0,BC65=0), "", _xll.IMDP("IR",$AA65,O$6,$C$8) )</f>
        <v>4.4980000000000002</v>
      </c>
      <c r="AM65" s="19" cm="1">
        <f t="array" aca="1" ref="AM65" ca="1">IF( OR($AA65=0,BD65=0), "", _xll.IMDP("IR",$AA65,P$6,$C$8) )</f>
        <v>5.1580000000000004</v>
      </c>
      <c r="AN65" s="19" cm="1">
        <f t="array" aca="1" ref="AN65" ca="1">IF( OR($AA65=0,BE65=0), "", _xll.IMDP("IR",$AA65,Q$6,$C$8) )</f>
        <v>5.6050000000000004</v>
      </c>
      <c r="AO65" s="19" cm="1">
        <f t="array" aca="1" ref="AO65" ca="1">IF( OR($AA65=0,BF65=0), "", _xll.IMDP("IR",$AA65,R$6,$C$8) )</f>
        <v>5.8680000000000003</v>
      </c>
      <c r="AP65" s="19" t="str" cm="1">
        <f t="array" aca="1" ref="AP65" ca="1">IF( OR($AA65=0,BG65=0), "", _xll.IMDP("IR",$AA65,S$6,$C$8) )</f>
        <v/>
      </c>
      <c r="AQ65" s="19" t="str" cm="1">
        <f t="array" aca="1" ref="AQ65" ca="1">IF( OR($AA65=0,BH65=0), "", _xll.IMDP("IR",$AA65,T$6,$C$8) )</f>
        <v/>
      </c>
      <c r="AR65" s="5"/>
      <c r="AS65" s="20" cm="1">
        <f t="array" aca="1" ref="AS65" ca="1">_xll.IMDP("IR",$AA65,E$5,$C$8)</f>
        <v>3.4940000000000002</v>
      </c>
      <c r="AT65" s="5" cm="1">
        <f t="array" aca="1" ref="AT65" ca="1">_xll.IMDP("IR",$AA65,F$5,$C$8)</f>
        <v>3.5590000000000002</v>
      </c>
      <c r="AU65" s="5" cm="1">
        <f t="array" aca="1" ref="AU65" ca="1">_xll.IMDP("IR",$AA65,G$5,$C$8)</f>
        <v>3.569</v>
      </c>
      <c r="AV65" s="5" cm="1">
        <f t="array" aca="1" ref="AV65" ca="1">_xll.IMDP("IR",$AA65,H$5,$C$8)</f>
        <v>3.5840000000000001</v>
      </c>
      <c r="AW65" s="5" cm="1">
        <f t="array" aca="1" ref="AW65" ca="1">_xll.IMDP("IR",$AA65,I$5,$C$8)</f>
        <v>3.6579999999999999</v>
      </c>
      <c r="AX65" s="5" cm="1">
        <f t="array" aca="1" ref="AX65" ca="1">_xll.IMDP("IR",$AA65,J$5,$C$8)</f>
        <v>3.6949999999999998</v>
      </c>
      <c r="AY65" s="5" cm="1">
        <f t="array" aca="1" ref="AY65" ca="1">_xll.IMDP("IR",$AA65,K$5,$C$8)</f>
        <v>3.7669999999999999</v>
      </c>
      <c r="AZ65" s="5" cm="1">
        <f t="array" aca="1" ref="AZ65" ca="1">_xll.IMDP("IR",$AA65,L$5,$C$8)</f>
        <v>3.8149999999999999</v>
      </c>
      <c r="BA65" s="5" cm="1">
        <f t="array" aca="1" ref="BA65" ca="1">_xll.IMDP("IR",$AA65,M$5,$C$8)</f>
        <v>4.0739999999999998</v>
      </c>
      <c r="BB65" s="5" cm="1">
        <f t="array" aca="1" ref="BB65" ca="1">_xll.IMDP("IR",$AA65,N$5,$C$8)</f>
        <v>4.2880000000000003</v>
      </c>
      <c r="BC65" s="5" cm="1">
        <f t="array" aca="1" ref="BC65" ca="1">_xll.IMDP("IR",$AA65,O$5,$C$8)</f>
        <v>4.4980000000000002</v>
      </c>
      <c r="BD65" s="5" cm="1">
        <f t="array" aca="1" ref="BD65" ca="1">_xll.IMDP("IR",$AA65,P$5,$C$8)</f>
        <v>5.1580000000000004</v>
      </c>
      <c r="BE65" s="5" cm="1">
        <f t="array" aca="1" ref="BE65" ca="1">_xll.IMDP("IR",$AA65,Q$5,$C$8)</f>
        <v>5.6050000000000004</v>
      </c>
      <c r="BF65" s="5" cm="1">
        <f t="array" aca="1" ref="BF65" ca="1">_xll.IMDP("IR",$AA65,R$5,$C$8)</f>
        <v>5.8680000000000003</v>
      </c>
      <c r="BG65" s="5" cm="1">
        <f t="array" aca="1" ref="BG65" ca="1">_xll.IMDP("IR",$AA65,S$5,$C$8)</f>
        <v>0</v>
      </c>
      <c r="BH65" s="5" cm="1">
        <f t="array" aca="1" ref="BH65" ca="1">_xll.IMDP("IR",$AA65,T$5,$C$8)</f>
        <v>0</v>
      </c>
    </row>
    <row r="66" spans="2:60" ht="13.5" customHeight="1" x14ac:dyDescent="0.3">
      <c r="B66" s="70"/>
      <c r="C66" s="71"/>
      <c r="D66" s="23" t="s">
        <v>649</v>
      </c>
      <c r="E66" s="24">
        <f t="shared" ca="1" si="5"/>
        <v>3.6349999999999998</v>
      </c>
      <c r="F66" s="24">
        <f t="shared" ca="1" si="5"/>
        <v>3.7130000000000001</v>
      </c>
      <c r="G66" s="24">
        <f t="shared" ca="1" si="5"/>
        <v>3.7349999999999999</v>
      </c>
      <c r="H66" s="24">
        <f t="shared" ca="1" si="5"/>
        <v>3.7610000000000001</v>
      </c>
      <c r="I66" s="24">
        <f t="shared" ca="1" si="5"/>
        <v>3.831</v>
      </c>
      <c r="J66" s="24">
        <f t="shared" ca="1" si="5"/>
        <v>3.87</v>
      </c>
      <c r="K66" s="24">
        <f t="shared" ca="1" si="5"/>
        <v>3.9580000000000002</v>
      </c>
      <c r="L66" s="24">
        <f t="shared" ca="1" si="5"/>
        <v>4.0759999999999996</v>
      </c>
      <c r="M66" s="24">
        <f t="shared" ca="1" si="5"/>
        <v>4.415</v>
      </c>
      <c r="N66" s="24">
        <f t="shared" ca="1" si="5"/>
        <v>4.7060000000000004</v>
      </c>
      <c r="O66" s="24">
        <f t="shared" ca="1" si="5"/>
        <v>4.931</v>
      </c>
      <c r="P66" s="24">
        <f t="shared" ca="1" si="5"/>
        <v>5.6109999999999998</v>
      </c>
      <c r="Q66" s="24">
        <f t="shared" ca="1" si="5"/>
        <v>6.0019999999999998</v>
      </c>
      <c r="R66" s="24">
        <f t="shared" ca="1" si="5"/>
        <v>6.3129999999999997</v>
      </c>
      <c r="S66" s="24" t="str">
        <f t="shared" ca="1" si="5"/>
        <v/>
      </c>
      <c r="T66" s="25" t="str">
        <f t="shared" ca="1" si="3"/>
        <v/>
      </c>
      <c r="U66" s="17"/>
      <c r="Z66" s="18">
        <f>ROWS($Z$11:Z66)</f>
        <v>56</v>
      </c>
      <c r="AA66" s="18" t="str" cm="1">
        <f t="array" ref="AA66">INDEX(code!$E$2:$K$72,시가평가Matrix!$Z66,$D$3)</f>
        <v>BONDAVG60</v>
      </c>
      <c r="AB66" s="19" cm="1">
        <f t="array" aca="1" ref="AB66" ca="1">IF( OR($AA66=0,AS66=0), "", _xll.IMDP("IR",$AA66,E$6,$C$8) )</f>
        <v>3.6349999999999998</v>
      </c>
      <c r="AC66" s="19" cm="1">
        <f t="array" aca="1" ref="AC66" ca="1">IF( OR($AA66=0,AT66=0), "", _xll.IMDP("IR",$AA66,F$6,$C$8) )</f>
        <v>3.7130000000000001</v>
      </c>
      <c r="AD66" s="19" cm="1">
        <f t="array" aca="1" ref="AD66" ca="1">IF( OR($AA66=0,AU66=0), "", _xll.IMDP("IR",$AA66,G$6,$C$8) )</f>
        <v>3.7349999999999999</v>
      </c>
      <c r="AE66" s="19" cm="1">
        <f t="array" aca="1" ref="AE66" ca="1">IF( OR($AA66=0,AV66=0), "", _xll.IMDP("IR",$AA66,H$6,$C$8) )</f>
        <v>3.7610000000000001</v>
      </c>
      <c r="AF66" s="19" cm="1">
        <f t="array" aca="1" ref="AF66" ca="1">IF( OR($AA66=0,AW66=0), "", _xll.IMDP("IR",$AA66,I$6,$C$8) )</f>
        <v>3.831</v>
      </c>
      <c r="AG66" s="19" cm="1">
        <f t="array" aca="1" ref="AG66" ca="1">IF( OR($AA66=0,AX66=0), "", _xll.IMDP("IR",$AA66,J$6,$C$8) )</f>
        <v>3.87</v>
      </c>
      <c r="AH66" s="19" cm="1">
        <f t="array" aca="1" ref="AH66" ca="1">IF( OR($AA66=0,AY66=0), "", _xll.IMDP("IR",$AA66,K$6,$C$8) )</f>
        <v>3.9580000000000002</v>
      </c>
      <c r="AI66" s="19" cm="1">
        <f t="array" aca="1" ref="AI66" ca="1">IF( OR($AA66=0,AZ66=0), "", _xll.IMDP("IR",$AA66,L$6,$C$8) )</f>
        <v>4.0759999999999996</v>
      </c>
      <c r="AJ66" s="19" cm="1">
        <f t="array" aca="1" ref="AJ66" ca="1">IF( OR($AA66=0,BA66=0), "", _xll.IMDP("IR",$AA66,M$6,$C$8) )</f>
        <v>4.415</v>
      </c>
      <c r="AK66" s="19" cm="1">
        <f t="array" aca="1" ref="AK66" ca="1">IF( OR($AA66=0,BB66=0), "", _xll.IMDP("IR",$AA66,N$6,$C$8) )</f>
        <v>4.7060000000000004</v>
      </c>
      <c r="AL66" s="19" cm="1">
        <f t="array" aca="1" ref="AL66" ca="1">IF( OR($AA66=0,BC66=0), "", _xll.IMDP("IR",$AA66,O$6,$C$8) )</f>
        <v>4.931</v>
      </c>
      <c r="AM66" s="19" cm="1">
        <f t="array" aca="1" ref="AM66" ca="1">IF( OR($AA66=0,BD66=0), "", _xll.IMDP("IR",$AA66,P$6,$C$8) )</f>
        <v>5.6109999999999998</v>
      </c>
      <c r="AN66" s="19" cm="1">
        <f t="array" aca="1" ref="AN66" ca="1">IF( OR($AA66=0,BE66=0), "", _xll.IMDP("IR",$AA66,Q$6,$C$8) )</f>
        <v>6.0019999999999998</v>
      </c>
      <c r="AO66" s="19" cm="1">
        <f t="array" aca="1" ref="AO66" ca="1">IF( OR($AA66=0,BF66=0), "", _xll.IMDP("IR",$AA66,R$6,$C$8) )</f>
        <v>6.3129999999999997</v>
      </c>
      <c r="AP66" s="19" t="str" cm="1">
        <f t="array" aca="1" ref="AP66" ca="1">IF( OR($AA66=0,BG66=0), "", _xll.IMDP("IR",$AA66,S$6,$C$8) )</f>
        <v/>
      </c>
      <c r="AQ66" s="19" t="str" cm="1">
        <f t="array" aca="1" ref="AQ66" ca="1">IF( OR($AA66=0,BH66=0), "", _xll.IMDP("IR",$AA66,T$6,$C$8) )</f>
        <v/>
      </c>
      <c r="AR66" s="5"/>
      <c r="AS66" s="20" cm="1">
        <f t="array" aca="1" ref="AS66" ca="1">_xll.IMDP("IR",$AA66,E$5,$C$8)</f>
        <v>3.6349999999999998</v>
      </c>
      <c r="AT66" s="5" cm="1">
        <f t="array" aca="1" ref="AT66" ca="1">_xll.IMDP("IR",$AA66,F$5,$C$8)</f>
        <v>3.7130000000000001</v>
      </c>
      <c r="AU66" s="5" cm="1">
        <f t="array" aca="1" ref="AU66" ca="1">_xll.IMDP("IR",$AA66,G$5,$C$8)</f>
        <v>3.7349999999999999</v>
      </c>
      <c r="AV66" s="5" cm="1">
        <f t="array" aca="1" ref="AV66" ca="1">_xll.IMDP("IR",$AA66,H$5,$C$8)</f>
        <v>3.7610000000000001</v>
      </c>
      <c r="AW66" s="5" cm="1">
        <f t="array" aca="1" ref="AW66" ca="1">_xll.IMDP("IR",$AA66,I$5,$C$8)</f>
        <v>3.831</v>
      </c>
      <c r="AX66" s="5" cm="1">
        <f t="array" aca="1" ref="AX66" ca="1">_xll.IMDP("IR",$AA66,J$5,$C$8)</f>
        <v>3.87</v>
      </c>
      <c r="AY66" s="5" cm="1">
        <f t="array" aca="1" ref="AY66" ca="1">_xll.IMDP("IR",$AA66,K$5,$C$8)</f>
        <v>3.9580000000000002</v>
      </c>
      <c r="AZ66" s="5" cm="1">
        <f t="array" aca="1" ref="AZ66" ca="1">_xll.IMDP("IR",$AA66,L$5,$C$8)</f>
        <v>4.0759999999999996</v>
      </c>
      <c r="BA66" s="5" cm="1">
        <f t="array" aca="1" ref="BA66" ca="1">_xll.IMDP("IR",$AA66,M$5,$C$8)</f>
        <v>4.415</v>
      </c>
      <c r="BB66" s="5" cm="1">
        <f t="array" aca="1" ref="BB66" ca="1">_xll.IMDP("IR",$AA66,N$5,$C$8)</f>
        <v>4.7060000000000004</v>
      </c>
      <c r="BC66" s="5" cm="1">
        <f t="array" aca="1" ref="BC66" ca="1">_xll.IMDP("IR",$AA66,O$5,$C$8)</f>
        <v>4.931</v>
      </c>
      <c r="BD66" s="5" cm="1">
        <f t="array" aca="1" ref="BD66" ca="1">_xll.IMDP("IR",$AA66,P$5,$C$8)</f>
        <v>5.6109999999999998</v>
      </c>
      <c r="BE66" s="5" cm="1">
        <f t="array" aca="1" ref="BE66" ca="1">_xll.IMDP("IR",$AA66,Q$5,$C$8)</f>
        <v>6.0019999999999998</v>
      </c>
      <c r="BF66" s="5" cm="1">
        <f t="array" aca="1" ref="BF66" ca="1">_xll.IMDP("IR",$AA66,R$5,$C$8)</f>
        <v>6.3129999999999997</v>
      </c>
      <c r="BG66" s="5" cm="1">
        <f t="array" aca="1" ref="BG66" ca="1">_xll.IMDP("IR",$AA66,S$5,$C$8)</f>
        <v>0</v>
      </c>
      <c r="BH66" s="5" cm="1">
        <f t="array" aca="1" ref="BH66" ca="1">_xll.IMDP("IR",$AA66,T$5,$C$8)</f>
        <v>0</v>
      </c>
    </row>
    <row r="67" spans="2:60" ht="13.5" customHeight="1" x14ac:dyDescent="0.3">
      <c r="B67" s="70"/>
      <c r="C67" s="71"/>
      <c r="D67" s="23" t="s">
        <v>650</v>
      </c>
      <c r="E67" s="24">
        <f t="shared" ca="1" si="5"/>
        <v>3.8620000000000001</v>
      </c>
      <c r="F67" s="24">
        <f t="shared" ca="1" si="5"/>
        <v>3.956</v>
      </c>
      <c r="G67" s="24">
        <f t="shared" ca="1" si="5"/>
        <v>3.9969999999999999</v>
      </c>
      <c r="H67" s="24">
        <f t="shared" ca="1" si="5"/>
        <v>4.0259999999999998</v>
      </c>
      <c r="I67" s="24">
        <f t="shared" ca="1" si="5"/>
        <v>4.1260000000000003</v>
      </c>
      <c r="J67" s="24">
        <f t="shared" ca="1" si="5"/>
        <v>4.1950000000000003</v>
      </c>
      <c r="K67" s="24">
        <f t="shared" ca="1" si="5"/>
        <v>4.3449999999999998</v>
      </c>
      <c r="L67" s="24">
        <f t="shared" ca="1" si="5"/>
        <v>4.5229999999999997</v>
      </c>
      <c r="M67" s="24">
        <f t="shared" ca="1" si="5"/>
        <v>4.92</v>
      </c>
      <c r="N67" s="24">
        <f t="shared" ca="1" si="5"/>
        <v>5.3019999999999996</v>
      </c>
      <c r="O67" s="24">
        <f t="shared" ca="1" si="5"/>
        <v>5.4660000000000002</v>
      </c>
      <c r="P67" s="24">
        <f t="shared" ca="1" si="5"/>
        <v>6.1219999999999999</v>
      </c>
      <c r="Q67" s="24">
        <f t="shared" ca="1" si="5"/>
        <v>6.508</v>
      </c>
      <c r="R67" s="24">
        <f t="shared" ca="1" si="5"/>
        <v>6.8920000000000003</v>
      </c>
      <c r="S67" s="24" t="str">
        <f t="shared" ca="1" si="5"/>
        <v/>
      </c>
      <c r="T67" s="25" t="str">
        <f t="shared" ca="1" si="3"/>
        <v/>
      </c>
      <c r="U67" s="17"/>
      <c r="Z67" s="18">
        <f>ROWS($Z$11:Z67)</f>
        <v>57</v>
      </c>
      <c r="AA67" s="18" t="str" cm="1">
        <f t="array" ref="AA67">INDEX(code!$E$2:$K$72,시가평가Matrix!$Z67,$D$3)</f>
        <v>BONDAVG61</v>
      </c>
      <c r="AB67" s="19" cm="1">
        <f t="array" aca="1" ref="AB67" ca="1">IF( OR($AA67=0,AS67=0), "", _xll.IMDP("IR",$AA67,E$6,$C$8) )</f>
        <v>3.8620000000000001</v>
      </c>
      <c r="AC67" s="19" cm="1">
        <f t="array" aca="1" ref="AC67" ca="1">IF( OR($AA67=0,AT67=0), "", _xll.IMDP("IR",$AA67,F$6,$C$8) )</f>
        <v>3.956</v>
      </c>
      <c r="AD67" s="19" cm="1">
        <f t="array" aca="1" ref="AD67" ca="1">IF( OR($AA67=0,AU67=0), "", _xll.IMDP("IR",$AA67,G$6,$C$8) )</f>
        <v>3.9969999999999999</v>
      </c>
      <c r="AE67" s="19" cm="1">
        <f t="array" aca="1" ref="AE67" ca="1">IF( OR($AA67=0,AV67=0), "", _xll.IMDP("IR",$AA67,H$6,$C$8) )</f>
        <v>4.0259999999999998</v>
      </c>
      <c r="AF67" s="19" cm="1">
        <f t="array" aca="1" ref="AF67" ca="1">IF( OR($AA67=0,AW67=0), "", _xll.IMDP("IR",$AA67,I$6,$C$8) )</f>
        <v>4.1260000000000003</v>
      </c>
      <c r="AG67" s="19" cm="1">
        <f t="array" aca="1" ref="AG67" ca="1">IF( OR($AA67=0,AX67=0), "", _xll.IMDP("IR",$AA67,J$6,$C$8) )</f>
        <v>4.1950000000000003</v>
      </c>
      <c r="AH67" s="19" cm="1">
        <f t="array" aca="1" ref="AH67" ca="1">IF( OR($AA67=0,AY67=0), "", _xll.IMDP("IR",$AA67,K$6,$C$8) )</f>
        <v>4.3449999999999998</v>
      </c>
      <c r="AI67" s="19" cm="1">
        <f t="array" aca="1" ref="AI67" ca="1">IF( OR($AA67=0,AZ67=0), "", _xll.IMDP("IR",$AA67,L$6,$C$8) )</f>
        <v>4.5229999999999997</v>
      </c>
      <c r="AJ67" s="19" cm="1">
        <f t="array" aca="1" ref="AJ67" ca="1">IF( OR($AA67=0,BA67=0), "", _xll.IMDP("IR",$AA67,M$6,$C$8) )</f>
        <v>4.92</v>
      </c>
      <c r="AK67" s="19" cm="1">
        <f t="array" aca="1" ref="AK67" ca="1">IF( OR($AA67=0,BB67=0), "", _xll.IMDP("IR",$AA67,N$6,$C$8) )</f>
        <v>5.3019999999999996</v>
      </c>
      <c r="AL67" s="19" cm="1">
        <f t="array" aca="1" ref="AL67" ca="1">IF( OR($AA67=0,BC67=0), "", _xll.IMDP("IR",$AA67,O$6,$C$8) )</f>
        <v>5.4660000000000002</v>
      </c>
      <c r="AM67" s="19" cm="1">
        <f t="array" aca="1" ref="AM67" ca="1">IF( OR($AA67=0,BD67=0), "", _xll.IMDP("IR",$AA67,P$6,$C$8) )</f>
        <v>6.1219999999999999</v>
      </c>
      <c r="AN67" s="19" cm="1">
        <f t="array" aca="1" ref="AN67" ca="1">IF( OR($AA67=0,BE67=0), "", _xll.IMDP("IR",$AA67,Q$6,$C$8) )</f>
        <v>6.508</v>
      </c>
      <c r="AO67" s="19" cm="1">
        <f t="array" aca="1" ref="AO67" ca="1">IF( OR($AA67=0,BF67=0), "", _xll.IMDP("IR",$AA67,R$6,$C$8) )</f>
        <v>6.8920000000000003</v>
      </c>
      <c r="AP67" s="19" t="str" cm="1">
        <f t="array" aca="1" ref="AP67" ca="1">IF( OR($AA67=0,BG67=0), "", _xll.IMDP("IR",$AA67,S$6,$C$8) )</f>
        <v/>
      </c>
      <c r="AQ67" s="19" t="str" cm="1">
        <f t="array" aca="1" ref="AQ67" ca="1">IF( OR($AA67=0,BH67=0), "", _xll.IMDP("IR",$AA67,T$6,$C$8) )</f>
        <v/>
      </c>
      <c r="AR67" s="5"/>
      <c r="AS67" s="20" cm="1">
        <f t="array" aca="1" ref="AS67" ca="1">_xll.IMDP("IR",$AA67,E$5,$C$8)</f>
        <v>3.8620000000000001</v>
      </c>
      <c r="AT67" s="5" cm="1">
        <f t="array" aca="1" ref="AT67" ca="1">_xll.IMDP("IR",$AA67,F$5,$C$8)</f>
        <v>3.956</v>
      </c>
      <c r="AU67" s="5" cm="1">
        <f t="array" aca="1" ref="AU67" ca="1">_xll.IMDP("IR",$AA67,G$5,$C$8)</f>
        <v>3.9969999999999999</v>
      </c>
      <c r="AV67" s="5" cm="1">
        <f t="array" aca="1" ref="AV67" ca="1">_xll.IMDP("IR",$AA67,H$5,$C$8)</f>
        <v>4.0259999999999998</v>
      </c>
      <c r="AW67" s="5" cm="1">
        <f t="array" aca="1" ref="AW67" ca="1">_xll.IMDP("IR",$AA67,I$5,$C$8)</f>
        <v>4.1260000000000003</v>
      </c>
      <c r="AX67" s="5" cm="1">
        <f t="array" aca="1" ref="AX67" ca="1">_xll.IMDP("IR",$AA67,J$5,$C$8)</f>
        <v>4.1950000000000003</v>
      </c>
      <c r="AY67" s="5" cm="1">
        <f t="array" aca="1" ref="AY67" ca="1">_xll.IMDP("IR",$AA67,K$5,$C$8)</f>
        <v>4.3449999999999998</v>
      </c>
      <c r="AZ67" s="5" cm="1">
        <f t="array" aca="1" ref="AZ67" ca="1">_xll.IMDP("IR",$AA67,L$5,$C$8)</f>
        <v>4.5229999999999997</v>
      </c>
      <c r="BA67" s="5" cm="1">
        <f t="array" aca="1" ref="BA67" ca="1">_xll.IMDP("IR",$AA67,M$5,$C$8)</f>
        <v>4.92</v>
      </c>
      <c r="BB67" s="5" cm="1">
        <f t="array" aca="1" ref="BB67" ca="1">_xll.IMDP("IR",$AA67,N$5,$C$8)</f>
        <v>5.3019999999999996</v>
      </c>
      <c r="BC67" s="5" cm="1">
        <f t="array" aca="1" ref="BC67" ca="1">_xll.IMDP("IR",$AA67,O$5,$C$8)</f>
        <v>5.4660000000000002</v>
      </c>
      <c r="BD67" s="5" cm="1">
        <f t="array" aca="1" ref="BD67" ca="1">_xll.IMDP("IR",$AA67,P$5,$C$8)</f>
        <v>6.1219999999999999</v>
      </c>
      <c r="BE67" s="5" cm="1">
        <f t="array" aca="1" ref="BE67" ca="1">_xll.IMDP("IR",$AA67,Q$5,$C$8)</f>
        <v>6.508</v>
      </c>
      <c r="BF67" s="5" cm="1">
        <f t="array" aca="1" ref="BF67" ca="1">_xll.IMDP("IR",$AA67,R$5,$C$8)</f>
        <v>6.8920000000000003</v>
      </c>
      <c r="BG67" s="5" cm="1">
        <f t="array" aca="1" ref="BG67" ca="1">_xll.IMDP("IR",$AA67,S$5,$C$8)</f>
        <v>0</v>
      </c>
      <c r="BH67" s="5" cm="1">
        <f t="array" aca="1" ref="BH67" ca="1">_xll.IMDP("IR",$AA67,T$5,$C$8)</f>
        <v>0</v>
      </c>
    </row>
    <row r="68" spans="2:60" ht="13.5" customHeight="1" x14ac:dyDescent="0.3">
      <c r="B68" s="70"/>
      <c r="C68" s="71"/>
      <c r="D68" s="23" t="s">
        <v>651</v>
      </c>
      <c r="E68" s="24">
        <f t="shared" ca="1" si="5"/>
        <v>4.4550000000000001</v>
      </c>
      <c r="F68" s="24">
        <f t="shared" ca="1" si="5"/>
        <v>4.8449999999999998</v>
      </c>
      <c r="G68" s="24">
        <f t="shared" ca="1" si="5"/>
        <v>5.2039999999999997</v>
      </c>
      <c r="H68" s="24">
        <f t="shared" ca="1" si="5"/>
        <v>5.3869999999999996</v>
      </c>
      <c r="I68" s="24">
        <f t="shared" ca="1" si="5"/>
        <v>5.7990000000000004</v>
      </c>
      <c r="J68" s="24">
        <f t="shared" ca="1" si="5"/>
        <v>6.3449999999999998</v>
      </c>
      <c r="K68" s="24">
        <f t="shared" ca="1" si="5"/>
        <v>6.7050000000000001</v>
      </c>
      <c r="L68" s="24">
        <f t="shared" ca="1" si="5"/>
        <v>6.976</v>
      </c>
      <c r="M68" s="24">
        <f t="shared" ca="1" si="5"/>
        <v>7.19</v>
      </c>
      <c r="N68" s="24">
        <f t="shared" ca="1" si="5"/>
        <v>7.2709999999999999</v>
      </c>
      <c r="O68" s="24">
        <f t="shared" ca="1" si="5"/>
        <v>7.3520000000000003</v>
      </c>
      <c r="P68" s="24">
        <f t="shared" ca="1" si="5"/>
        <v>7.6849999999999996</v>
      </c>
      <c r="Q68" s="24">
        <f t="shared" ca="1" si="5"/>
        <v>8.0079999999999991</v>
      </c>
      <c r="R68" s="24">
        <f t="shared" ca="1" si="5"/>
        <v>8.32</v>
      </c>
      <c r="S68" s="24" t="str">
        <f t="shared" ca="1" si="5"/>
        <v/>
      </c>
      <c r="T68" s="25" t="str">
        <f t="shared" ca="1" si="3"/>
        <v/>
      </c>
      <c r="U68" s="17"/>
      <c r="Z68" s="18">
        <f>ROWS($Z$11:Z68)</f>
        <v>58</v>
      </c>
      <c r="AA68" s="18" t="str" cm="1">
        <f t="array" ref="AA68">INDEX(code!$E$2:$K$72,시가평가Matrix!$Z68,$D$3)</f>
        <v>BONDAVG62</v>
      </c>
      <c r="AB68" s="19" cm="1">
        <f t="array" aca="1" ref="AB68" ca="1">IF( OR($AA68=0,AS68=0), "", _xll.IMDP("IR",$AA68,E$6,$C$8) )</f>
        <v>4.4550000000000001</v>
      </c>
      <c r="AC68" s="19" cm="1">
        <f t="array" aca="1" ref="AC68" ca="1">IF( OR($AA68=0,AT68=0), "", _xll.IMDP("IR",$AA68,F$6,$C$8) )</f>
        <v>4.8449999999999998</v>
      </c>
      <c r="AD68" s="19" cm="1">
        <f t="array" aca="1" ref="AD68" ca="1">IF( OR($AA68=0,AU68=0), "", _xll.IMDP("IR",$AA68,G$6,$C$8) )</f>
        <v>5.2039999999999997</v>
      </c>
      <c r="AE68" s="19" cm="1">
        <f t="array" aca="1" ref="AE68" ca="1">IF( OR($AA68=0,AV68=0), "", _xll.IMDP("IR",$AA68,H$6,$C$8) )</f>
        <v>5.3869999999999996</v>
      </c>
      <c r="AF68" s="19" cm="1">
        <f t="array" aca="1" ref="AF68" ca="1">IF( OR($AA68=0,AW68=0), "", _xll.IMDP("IR",$AA68,I$6,$C$8) )</f>
        <v>5.7990000000000004</v>
      </c>
      <c r="AG68" s="19" cm="1">
        <f t="array" aca="1" ref="AG68" ca="1">IF( OR($AA68=0,AX68=0), "", _xll.IMDP("IR",$AA68,J$6,$C$8) )</f>
        <v>6.3449999999999998</v>
      </c>
      <c r="AH68" s="19" cm="1">
        <f t="array" aca="1" ref="AH68" ca="1">IF( OR($AA68=0,AY68=0), "", _xll.IMDP("IR",$AA68,K$6,$C$8) )</f>
        <v>6.7050000000000001</v>
      </c>
      <c r="AI68" s="19" cm="1">
        <f t="array" aca="1" ref="AI68" ca="1">IF( OR($AA68=0,AZ68=0), "", _xll.IMDP("IR",$AA68,L$6,$C$8) )</f>
        <v>6.976</v>
      </c>
      <c r="AJ68" s="19" cm="1">
        <f t="array" aca="1" ref="AJ68" ca="1">IF( OR($AA68=0,BA68=0), "", _xll.IMDP("IR",$AA68,M$6,$C$8) )</f>
        <v>7.19</v>
      </c>
      <c r="AK68" s="19" cm="1">
        <f t="array" aca="1" ref="AK68" ca="1">IF( OR($AA68=0,BB68=0), "", _xll.IMDP("IR",$AA68,N$6,$C$8) )</f>
        <v>7.2709999999999999</v>
      </c>
      <c r="AL68" s="19" cm="1">
        <f t="array" aca="1" ref="AL68" ca="1">IF( OR($AA68=0,BC68=0), "", _xll.IMDP("IR",$AA68,O$6,$C$8) )</f>
        <v>7.3520000000000003</v>
      </c>
      <c r="AM68" s="19" cm="1">
        <f t="array" aca="1" ref="AM68" ca="1">IF( OR($AA68=0,BD68=0), "", _xll.IMDP("IR",$AA68,P$6,$C$8) )</f>
        <v>7.6849999999999996</v>
      </c>
      <c r="AN68" s="19" cm="1">
        <f t="array" aca="1" ref="AN68" ca="1">IF( OR($AA68=0,BE68=0), "", _xll.IMDP("IR",$AA68,Q$6,$C$8) )</f>
        <v>8.0079999999999991</v>
      </c>
      <c r="AO68" s="19" cm="1">
        <f t="array" aca="1" ref="AO68" ca="1">IF( OR($AA68=0,BF68=0), "", _xll.IMDP("IR",$AA68,R$6,$C$8) )</f>
        <v>8.32</v>
      </c>
      <c r="AP68" s="19" t="str" cm="1">
        <f t="array" aca="1" ref="AP68" ca="1">IF( OR($AA68=0,BG68=0), "", _xll.IMDP("IR",$AA68,S$6,$C$8) )</f>
        <v/>
      </c>
      <c r="AQ68" s="19" t="str" cm="1">
        <f t="array" aca="1" ref="AQ68" ca="1">IF( OR($AA68=0,BH68=0), "", _xll.IMDP("IR",$AA68,T$6,$C$8) )</f>
        <v/>
      </c>
      <c r="AR68" s="5"/>
      <c r="AS68" s="20" cm="1">
        <f t="array" aca="1" ref="AS68" ca="1">_xll.IMDP("IR",$AA68,E$5,$C$8)</f>
        <v>4.4550000000000001</v>
      </c>
      <c r="AT68" s="5" cm="1">
        <f t="array" aca="1" ref="AT68" ca="1">_xll.IMDP("IR",$AA68,F$5,$C$8)</f>
        <v>4.8449999999999998</v>
      </c>
      <c r="AU68" s="5" cm="1">
        <f t="array" aca="1" ref="AU68" ca="1">_xll.IMDP("IR",$AA68,G$5,$C$8)</f>
        <v>5.2039999999999997</v>
      </c>
      <c r="AV68" s="5" cm="1">
        <f t="array" aca="1" ref="AV68" ca="1">_xll.IMDP("IR",$AA68,H$5,$C$8)</f>
        <v>5.3869999999999996</v>
      </c>
      <c r="AW68" s="5" cm="1">
        <f t="array" aca="1" ref="AW68" ca="1">_xll.IMDP("IR",$AA68,I$5,$C$8)</f>
        <v>5.7990000000000004</v>
      </c>
      <c r="AX68" s="5" cm="1">
        <f t="array" aca="1" ref="AX68" ca="1">_xll.IMDP("IR",$AA68,J$5,$C$8)</f>
        <v>6.3449999999999998</v>
      </c>
      <c r="AY68" s="5" cm="1">
        <f t="array" aca="1" ref="AY68" ca="1">_xll.IMDP("IR",$AA68,K$5,$C$8)</f>
        <v>6.7050000000000001</v>
      </c>
      <c r="AZ68" s="5" cm="1">
        <f t="array" aca="1" ref="AZ68" ca="1">_xll.IMDP("IR",$AA68,L$5,$C$8)</f>
        <v>6.976</v>
      </c>
      <c r="BA68" s="5" cm="1">
        <f t="array" aca="1" ref="BA68" ca="1">_xll.IMDP("IR",$AA68,M$5,$C$8)</f>
        <v>7.19</v>
      </c>
      <c r="BB68" s="5" cm="1">
        <f t="array" aca="1" ref="BB68" ca="1">_xll.IMDP("IR",$AA68,N$5,$C$8)</f>
        <v>7.2709999999999999</v>
      </c>
      <c r="BC68" s="5" cm="1">
        <f t="array" aca="1" ref="BC68" ca="1">_xll.IMDP("IR",$AA68,O$5,$C$8)</f>
        <v>7.3520000000000003</v>
      </c>
      <c r="BD68" s="5" cm="1">
        <f t="array" aca="1" ref="BD68" ca="1">_xll.IMDP("IR",$AA68,P$5,$C$8)</f>
        <v>7.6849999999999996</v>
      </c>
      <c r="BE68" s="5" cm="1">
        <f t="array" aca="1" ref="BE68" ca="1">_xll.IMDP("IR",$AA68,Q$5,$C$8)</f>
        <v>8.0079999999999991</v>
      </c>
      <c r="BF68" s="5" cm="1">
        <f t="array" aca="1" ref="BF68" ca="1">_xll.IMDP("IR",$AA68,R$5,$C$8)</f>
        <v>8.32</v>
      </c>
      <c r="BG68" s="5" cm="1">
        <f t="array" aca="1" ref="BG68" ca="1">_xll.IMDP("IR",$AA68,S$5,$C$8)</f>
        <v>0</v>
      </c>
      <c r="BH68" s="5" cm="1">
        <f t="array" aca="1" ref="BH68" ca="1">_xll.IMDP("IR",$AA68,T$5,$C$8)</f>
        <v>0</v>
      </c>
    </row>
    <row r="69" spans="2:60" ht="13.5" customHeight="1" x14ac:dyDescent="0.3">
      <c r="B69" s="70"/>
      <c r="C69" s="71"/>
      <c r="D69" s="23" t="s">
        <v>652</v>
      </c>
      <c r="E69" s="24">
        <f t="shared" ca="1" si="5"/>
        <v>4.8310000000000004</v>
      </c>
      <c r="F69" s="24">
        <f t="shared" ca="1" si="5"/>
        <v>5.3550000000000004</v>
      </c>
      <c r="G69" s="24">
        <f t="shared" ca="1" si="5"/>
        <v>5.79</v>
      </c>
      <c r="H69" s="24">
        <f t="shared" ca="1" si="5"/>
        <v>6.0730000000000004</v>
      </c>
      <c r="I69" s="24">
        <f t="shared" ca="1" si="5"/>
        <v>6.6079999999999997</v>
      </c>
      <c r="J69" s="24">
        <f t="shared" ca="1" si="5"/>
        <v>7.2919999999999998</v>
      </c>
      <c r="K69" s="24">
        <f t="shared" ca="1" si="5"/>
        <v>7.7380000000000004</v>
      </c>
      <c r="L69" s="24">
        <f t="shared" ca="1" si="5"/>
        <v>8.0190000000000001</v>
      </c>
      <c r="M69" s="24">
        <f t="shared" ca="1" si="5"/>
        <v>8.2330000000000005</v>
      </c>
      <c r="N69" s="24">
        <f t="shared" ca="1" si="5"/>
        <v>8.3190000000000008</v>
      </c>
      <c r="O69" s="24">
        <f t="shared" ca="1" si="5"/>
        <v>8.4019999999999992</v>
      </c>
      <c r="P69" s="24">
        <f t="shared" ca="1" si="5"/>
        <v>8.7759999999999998</v>
      </c>
      <c r="Q69" s="24">
        <f t="shared" ca="1" si="5"/>
        <v>9.1080000000000005</v>
      </c>
      <c r="R69" s="24">
        <f t="shared" ca="1" si="5"/>
        <v>9.4450000000000003</v>
      </c>
      <c r="S69" s="24" t="str">
        <f t="shared" ca="1" si="5"/>
        <v/>
      </c>
      <c r="T69" s="25" t="str">
        <f t="shared" ca="1" si="3"/>
        <v/>
      </c>
      <c r="U69" s="17"/>
      <c r="Z69" s="18">
        <f>ROWS($Z$11:Z69)</f>
        <v>59</v>
      </c>
      <c r="AA69" s="18" t="str" cm="1">
        <f t="array" ref="AA69">INDEX(code!$E$2:$K$72,시가평가Matrix!$Z69,$D$3)</f>
        <v>BONDAVG63</v>
      </c>
      <c r="AB69" s="19" cm="1">
        <f t="array" aca="1" ref="AB69" ca="1">IF( OR($AA69=0,AS69=0), "", _xll.IMDP("IR",$AA69,E$6,$C$8) )</f>
        <v>4.8310000000000004</v>
      </c>
      <c r="AC69" s="19" cm="1">
        <f t="array" aca="1" ref="AC69" ca="1">IF( OR($AA69=0,AT69=0), "", _xll.IMDP("IR",$AA69,F$6,$C$8) )</f>
        <v>5.3550000000000004</v>
      </c>
      <c r="AD69" s="19" cm="1">
        <f t="array" aca="1" ref="AD69" ca="1">IF( OR($AA69=0,AU69=0), "", _xll.IMDP("IR",$AA69,G$6,$C$8) )</f>
        <v>5.79</v>
      </c>
      <c r="AE69" s="19" cm="1">
        <f t="array" aca="1" ref="AE69" ca="1">IF( OR($AA69=0,AV69=0), "", _xll.IMDP("IR",$AA69,H$6,$C$8) )</f>
        <v>6.0730000000000004</v>
      </c>
      <c r="AF69" s="19" cm="1">
        <f t="array" aca="1" ref="AF69" ca="1">IF( OR($AA69=0,AW69=0), "", _xll.IMDP("IR",$AA69,I$6,$C$8) )</f>
        <v>6.6079999999999997</v>
      </c>
      <c r="AG69" s="19" cm="1">
        <f t="array" aca="1" ref="AG69" ca="1">IF( OR($AA69=0,AX69=0), "", _xll.IMDP("IR",$AA69,J$6,$C$8) )</f>
        <v>7.2919999999999998</v>
      </c>
      <c r="AH69" s="19" cm="1">
        <f t="array" aca="1" ref="AH69" ca="1">IF( OR($AA69=0,AY69=0), "", _xll.IMDP("IR",$AA69,K$6,$C$8) )</f>
        <v>7.7380000000000004</v>
      </c>
      <c r="AI69" s="19" cm="1">
        <f t="array" aca="1" ref="AI69" ca="1">IF( OR($AA69=0,AZ69=0), "", _xll.IMDP("IR",$AA69,L$6,$C$8) )</f>
        <v>8.0190000000000001</v>
      </c>
      <c r="AJ69" s="19" cm="1">
        <f t="array" aca="1" ref="AJ69" ca="1">IF( OR($AA69=0,BA69=0), "", _xll.IMDP("IR",$AA69,M$6,$C$8) )</f>
        <v>8.2330000000000005</v>
      </c>
      <c r="AK69" s="19" cm="1">
        <f t="array" aca="1" ref="AK69" ca="1">IF( OR($AA69=0,BB69=0), "", _xll.IMDP("IR",$AA69,N$6,$C$8) )</f>
        <v>8.3190000000000008</v>
      </c>
      <c r="AL69" s="19" cm="1">
        <f t="array" aca="1" ref="AL69" ca="1">IF( OR($AA69=0,BC69=0), "", _xll.IMDP("IR",$AA69,O$6,$C$8) )</f>
        <v>8.4019999999999992</v>
      </c>
      <c r="AM69" s="19" cm="1">
        <f t="array" aca="1" ref="AM69" ca="1">IF( OR($AA69=0,BD69=0), "", _xll.IMDP("IR",$AA69,P$6,$C$8) )</f>
        <v>8.7759999999999998</v>
      </c>
      <c r="AN69" s="19" cm="1">
        <f t="array" aca="1" ref="AN69" ca="1">IF( OR($AA69=0,BE69=0), "", _xll.IMDP("IR",$AA69,Q$6,$C$8) )</f>
        <v>9.1080000000000005</v>
      </c>
      <c r="AO69" s="19" cm="1">
        <f t="array" aca="1" ref="AO69" ca="1">IF( OR($AA69=0,BF69=0), "", _xll.IMDP("IR",$AA69,R$6,$C$8) )</f>
        <v>9.4450000000000003</v>
      </c>
      <c r="AP69" s="19" t="str" cm="1">
        <f t="array" aca="1" ref="AP69" ca="1">IF( OR($AA69=0,BG69=0), "", _xll.IMDP("IR",$AA69,S$6,$C$8) )</f>
        <v/>
      </c>
      <c r="AQ69" s="19" t="str" cm="1">
        <f t="array" aca="1" ref="AQ69" ca="1">IF( OR($AA69=0,BH69=0), "", _xll.IMDP("IR",$AA69,T$6,$C$8) )</f>
        <v/>
      </c>
      <c r="AR69" s="5"/>
      <c r="AS69" s="20" cm="1">
        <f t="array" aca="1" ref="AS69" ca="1">_xll.IMDP("IR",$AA69,E$5,$C$8)</f>
        <v>4.8310000000000004</v>
      </c>
      <c r="AT69" s="5" cm="1">
        <f t="array" aca="1" ref="AT69" ca="1">_xll.IMDP("IR",$AA69,F$5,$C$8)</f>
        <v>5.3550000000000004</v>
      </c>
      <c r="AU69" s="5" cm="1">
        <f t="array" aca="1" ref="AU69" ca="1">_xll.IMDP("IR",$AA69,G$5,$C$8)</f>
        <v>5.79</v>
      </c>
      <c r="AV69" s="5" cm="1">
        <f t="array" aca="1" ref="AV69" ca="1">_xll.IMDP("IR",$AA69,H$5,$C$8)</f>
        <v>6.0730000000000004</v>
      </c>
      <c r="AW69" s="5" cm="1">
        <f t="array" aca="1" ref="AW69" ca="1">_xll.IMDP("IR",$AA69,I$5,$C$8)</f>
        <v>6.6079999999999997</v>
      </c>
      <c r="AX69" s="5" cm="1">
        <f t="array" aca="1" ref="AX69" ca="1">_xll.IMDP("IR",$AA69,J$5,$C$8)</f>
        <v>7.2919999999999998</v>
      </c>
      <c r="AY69" s="5" cm="1">
        <f t="array" aca="1" ref="AY69" ca="1">_xll.IMDP("IR",$AA69,K$5,$C$8)</f>
        <v>7.7380000000000004</v>
      </c>
      <c r="AZ69" s="5" cm="1">
        <f t="array" aca="1" ref="AZ69" ca="1">_xll.IMDP("IR",$AA69,L$5,$C$8)</f>
        <v>8.0190000000000001</v>
      </c>
      <c r="BA69" s="5" cm="1">
        <f t="array" aca="1" ref="BA69" ca="1">_xll.IMDP("IR",$AA69,M$5,$C$8)</f>
        <v>8.2330000000000005</v>
      </c>
      <c r="BB69" s="5" cm="1">
        <f t="array" aca="1" ref="BB69" ca="1">_xll.IMDP("IR",$AA69,N$5,$C$8)</f>
        <v>8.3190000000000008</v>
      </c>
      <c r="BC69" s="5" cm="1">
        <f t="array" aca="1" ref="BC69" ca="1">_xll.IMDP("IR",$AA69,O$5,$C$8)</f>
        <v>8.4019999999999992</v>
      </c>
      <c r="BD69" s="5" cm="1">
        <f t="array" aca="1" ref="BD69" ca="1">_xll.IMDP("IR",$AA69,P$5,$C$8)</f>
        <v>8.7759999999999998</v>
      </c>
      <c r="BE69" s="5" cm="1">
        <f t="array" aca="1" ref="BE69" ca="1">_xll.IMDP("IR",$AA69,Q$5,$C$8)</f>
        <v>9.1080000000000005</v>
      </c>
      <c r="BF69" s="5" cm="1">
        <f t="array" aca="1" ref="BF69" ca="1">_xll.IMDP("IR",$AA69,R$5,$C$8)</f>
        <v>9.4450000000000003</v>
      </c>
      <c r="BG69" s="5" cm="1">
        <f t="array" aca="1" ref="BG69" ca="1">_xll.IMDP("IR",$AA69,S$5,$C$8)</f>
        <v>0</v>
      </c>
      <c r="BH69" s="5" cm="1">
        <f t="array" aca="1" ref="BH69" ca="1">_xll.IMDP("IR",$AA69,T$5,$C$8)</f>
        <v>0</v>
      </c>
    </row>
    <row r="70" spans="2:60" ht="13.5" customHeight="1" x14ac:dyDescent="0.3">
      <c r="B70" s="70"/>
      <c r="C70" s="71"/>
      <c r="D70" s="26" t="s">
        <v>653</v>
      </c>
      <c r="E70" s="27">
        <f t="shared" ca="1" si="5"/>
        <v>5.51</v>
      </c>
      <c r="F70" s="27">
        <f t="shared" ca="1" si="5"/>
        <v>6.157</v>
      </c>
      <c r="G70" s="27">
        <f t="shared" ca="1" si="5"/>
        <v>6.7249999999999996</v>
      </c>
      <c r="H70" s="27">
        <f t="shared" ca="1" si="5"/>
        <v>7.0709999999999997</v>
      </c>
      <c r="I70" s="27">
        <f t="shared" ca="1" si="5"/>
        <v>7.7320000000000002</v>
      </c>
      <c r="J70" s="27">
        <f t="shared" ca="1" si="5"/>
        <v>8.4580000000000002</v>
      </c>
      <c r="K70" s="27">
        <f t="shared" ca="1" si="5"/>
        <v>8.9809999999999999</v>
      </c>
      <c r="L70" s="27">
        <f t="shared" ca="1" si="5"/>
        <v>9.3930000000000007</v>
      </c>
      <c r="M70" s="27">
        <f t="shared" ca="1" si="5"/>
        <v>9.657</v>
      </c>
      <c r="N70" s="27">
        <f t="shared" ca="1" si="5"/>
        <v>9.7439999999999998</v>
      </c>
      <c r="O70" s="27">
        <f t="shared" ca="1" si="5"/>
        <v>9.8260000000000005</v>
      </c>
      <c r="P70" s="27">
        <f t="shared" ca="1" si="5"/>
        <v>10.208</v>
      </c>
      <c r="Q70" s="27">
        <f t="shared" ca="1" si="5"/>
        <v>10.590999999999999</v>
      </c>
      <c r="R70" s="27">
        <f t="shared" ca="1" si="5"/>
        <v>10.91</v>
      </c>
      <c r="S70" s="27" t="str">
        <f t="shared" ca="1" si="5"/>
        <v/>
      </c>
      <c r="T70" s="28" t="str">
        <f t="shared" ca="1" si="3"/>
        <v/>
      </c>
      <c r="U70" s="17"/>
      <c r="Z70" s="18">
        <f>ROWS($Z$11:Z70)</f>
        <v>60</v>
      </c>
      <c r="AA70" s="18" t="str" cm="1">
        <f t="array" ref="AA70">INDEX(code!$E$2:$K$72,시가평가Matrix!$Z70,$D$3)</f>
        <v>BONDAVG64</v>
      </c>
      <c r="AB70" s="19" cm="1">
        <f t="array" aca="1" ref="AB70" ca="1">IF( OR($AA70=0,AS70=0), "", _xll.IMDP("IR",$AA70,E$6,$C$8) )</f>
        <v>5.51</v>
      </c>
      <c r="AC70" s="19" cm="1">
        <f t="array" aca="1" ref="AC70" ca="1">IF( OR($AA70=0,AT70=0), "", _xll.IMDP("IR",$AA70,F$6,$C$8) )</f>
        <v>6.157</v>
      </c>
      <c r="AD70" s="19" cm="1">
        <f t="array" aca="1" ref="AD70" ca="1">IF( OR($AA70=0,AU70=0), "", _xll.IMDP("IR",$AA70,G$6,$C$8) )</f>
        <v>6.7249999999999996</v>
      </c>
      <c r="AE70" s="19" cm="1">
        <f t="array" aca="1" ref="AE70" ca="1">IF( OR($AA70=0,AV70=0), "", _xll.IMDP("IR",$AA70,H$6,$C$8) )</f>
        <v>7.0709999999999997</v>
      </c>
      <c r="AF70" s="19" cm="1">
        <f t="array" aca="1" ref="AF70" ca="1">IF( OR($AA70=0,AW70=0), "", _xll.IMDP("IR",$AA70,I$6,$C$8) )</f>
        <v>7.7320000000000002</v>
      </c>
      <c r="AG70" s="19" cm="1">
        <f t="array" aca="1" ref="AG70" ca="1">IF( OR($AA70=0,AX70=0), "", _xll.IMDP("IR",$AA70,J$6,$C$8) )</f>
        <v>8.4580000000000002</v>
      </c>
      <c r="AH70" s="19" cm="1">
        <f t="array" aca="1" ref="AH70" ca="1">IF( OR($AA70=0,AY70=0), "", _xll.IMDP("IR",$AA70,K$6,$C$8) )</f>
        <v>8.9809999999999999</v>
      </c>
      <c r="AI70" s="19" cm="1">
        <f t="array" aca="1" ref="AI70" ca="1">IF( OR($AA70=0,AZ70=0), "", _xll.IMDP("IR",$AA70,L$6,$C$8) )</f>
        <v>9.3930000000000007</v>
      </c>
      <c r="AJ70" s="19" cm="1">
        <f t="array" aca="1" ref="AJ70" ca="1">IF( OR($AA70=0,BA70=0), "", _xll.IMDP("IR",$AA70,M$6,$C$8) )</f>
        <v>9.657</v>
      </c>
      <c r="AK70" s="19" cm="1">
        <f t="array" aca="1" ref="AK70" ca="1">IF( OR($AA70=0,BB70=0), "", _xll.IMDP("IR",$AA70,N$6,$C$8) )</f>
        <v>9.7439999999999998</v>
      </c>
      <c r="AL70" s="19" cm="1">
        <f t="array" aca="1" ref="AL70" ca="1">IF( OR($AA70=0,BC70=0), "", _xll.IMDP("IR",$AA70,O$6,$C$8) )</f>
        <v>9.8260000000000005</v>
      </c>
      <c r="AM70" s="19" cm="1">
        <f t="array" aca="1" ref="AM70" ca="1">IF( OR($AA70=0,BD70=0), "", _xll.IMDP("IR",$AA70,P$6,$C$8) )</f>
        <v>10.208</v>
      </c>
      <c r="AN70" s="19" cm="1">
        <f t="array" aca="1" ref="AN70" ca="1">IF( OR($AA70=0,BE70=0), "", _xll.IMDP("IR",$AA70,Q$6,$C$8) )</f>
        <v>10.590999999999999</v>
      </c>
      <c r="AO70" s="19" cm="1">
        <f t="array" aca="1" ref="AO70" ca="1">IF( OR($AA70=0,BF70=0), "", _xll.IMDP("IR",$AA70,R$6,$C$8) )</f>
        <v>10.91</v>
      </c>
      <c r="AP70" s="19" t="str" cm="1">
        <f t="array" aca="1" ref="AP70" ca="1">IF( OR($AA70=0,BG70=0), "", _xll.IMDP("IR",$AA70,S$6,$C$8) )</f>
        <v/>
      </c>
      <c r="AQ70" s="19" t="str" cm="1">
        <f t="array" aca="1" ref="AQ70" ca="1">IF( OR($AA70=0,BH70=0), "", _xll.IMDP("IR",$AA70,T$6,$C$8) )</f>
        <v/>
      </c>
      <c r="AR70" s="5"/>
      <c r="AS70" s="20" cm="1">
        <f t="array" aca="1" ref="AS70" ca="1">_xll.IMDP("IR",$AA70,E$5,$C$8)</f>
        <v>5.51</v>
      </c>
      <c r="AT70" s="5" cm="1">
        <f t="array" aca="1" ref="AT70" ca="1">_xll.IMDP("IR",$AA70,F$5,$C$8)</f>
        <v>6.157</v>
      </c>
      <c r="AU70" s="5" cm="1">
        <f t="array" aca="1" ref="AU70" ca="1">_xll.IMDP("IR",$AA70,G$5,$C$8)</f>
        <v>6.7249999999999996</v>
      </c>
      <c r="AV70" s="5" cm="1">
        <f t="array" aca="1" ref="AV70" ca="1">_xll.IMDP("IR",$AA70,H$5,$C$8)</f>
        <v>7.0709999999999997</v>
      </c>
      <c r="AW70" s="5" cm="1">
        <f t="array" aca="1" ref="AW70" ca="1">_xll.IMDP("IR",$AA70,I$5,$C$8)</f>
        <v>7.7320000000000002</v>
      </c>
      <c r="AX70" s="5" cm="1">
        <f t="array" aca="1" ref="AX70" ca="1">_xll.IMDP("IR",$AA70,J$5,$C$8)</f>
        <v>8.4580000000000002</v>
      </c>
      <c r="AY70" s="5" cm="1">
        <f t="array" aca="1" ref="AY70" ca="1">_xll.IMDP("IR",$AA70,K$5,$C$8)</f>
        <v>8.9809999999999999</v>
      </c>
      <c r="AZ70" s="5" cm="1">
        <f t="array" aca="1" ref="AZ70" ca="1">_xll.IMDP("IR",$AA70,L$5,$C$8)</f>
        <v>9.3930000000000007</v>
      </c>
      <c r="BA70" s="5" cm="1">
        <f t="array" aca="1" ref="BA70" ca="1">_xll.IMDP("IR",$AA70,M$5,$C$8)</f>
        <v>9.657</v>
      </c>
      <c r="BB70" s="5" cm="1">
        <f t="array" aca="1" ref="BB70" ca="1">_xll.IMDP("IR",$AA70,N$5,$C$8)</f>
        <v>9.7439999999999998</v>
      </c>
      <c r="BC70" s="5" cm="1">
        <f t="array" aca="1" ref="BC70" ca="1">_xll.IMDP("IR",$AA70,O$5,$C$8)</f>
        <v>9.8260000000000005</v>
      </c>
      <c r="BD70" s="5" cm="1">
        <f t="array" aca="1" ref="BD70" ca="1">_xll.IMDP("IR",$AA70,P$5,$C$8)</f>
        <v>10.208</v>
      </c>
      <c r="BE70" s="5" cm="1">
        <f t="array" aca="1" ref="BE70" ca="1">_xll.IMDP("IR",$AA70,Q$5,$C$8)</f>
        <v>10.590999999999999</v>
      </c>
      <c r="BF70" s="5" cm="1">
        <f t="array" aca="1" ref="BF70" ca="1">_xll.IMDP("IR",$AA70,R$5,$C$8)</f>
        <v>10.91</v>
      </c>
      <c r="BG70" s="5" cm="1">
        <f t="array" aca="1" ref="BG70" ca="1">_xll.IMDP("IR",$AA70,S$5,$C$8)</f>
        <v>0</v>
      </c>
      <c r="BH70" s="5" cm="1">
        <f t="array" aca="1" ref="BH70" ca="1">_xll.IMDP("IR",$AA70,T$5,$C$8)</f>
        <v>0</v>
      </c>
    </row>
    <row r="71" spans="2:60" ht="13.5" customHeight="1" x14ac:dyDescent="0.3">
      <c r="B71" s="70"/>
      <c r="C71" s="71" t="s">
        <v>661</v>
      </c>
      <c r="D71" s="29" t="s">
        <v>636</v>
      </c>
      <c r="E71" s="30">
        <f t="shared" ca="1" si="5"/>
        <v>3.4649999999999999</v>
      </c>
      <c r="F71" s="30">
        <f t="shared" ca="1" si="5"/>
        <v>3.4969999999999999</v>
      </c>
      <c r="G71" s="30">
        <f t="shared" ca="1" si="5"/>
        <v>3.4569999999999999</v>
      </c>
      <c r="H71" s="30">
        <f t="shared" ca="1" si="5"/>
        <v>3.4260000000000002</v>
      </c>
      <c r="I71" s="30">
        <f t="shared" ca="1" si="5"/>
        <v>3.45</v>
      </c>
      <c r="J71" s="30">
        <f t="shared" ca="1" si="5"/>
        <v>3.4510000000000001</v>
      </c>
      <c r="K71" s="30">
        <f t="shared" ca="1" si="5"/>
        <v>3.4630000000000001</v>
      </c>
      <c r="L71" s="30">
        <f t="shared" ca="1" si="5"/>
        <v>3.4710000000000001</v>
      </c>
      <c r="M71" s="30">
        <f t="shared" ca="1" si="5"/>
        <v>3.484</v>
      </c>
      <c r="N71" s="30">
        <f t="shared" ca="1" si="5"/>
        <v>3.512</v>
      </c>
      <c r="O71" s="30">
        <f t="shared" ca="1" si="5"/>
        <v>3.61</v>
      </c>
      <c r="P71" s="30">
        <f t="shared" ca="1" si="5"/>
        <v>3.8940000000000001</v>
      </c>
      <c r="Q71" s="30">
        <f t="shared" ca="1" si="5"/>
        <v>4.16</v>
      </c>
      <c r="R71" s="30">
        <f t="shared" ca="1" si="5"/>
        <v>4.3140000000000001</v>
      </c>
      <c r="S71" s="30" t="str">
        <f t="shared" ca="1" si="5"/>
        <v/>
      </c>
      <c r="T71" s="31" t="str">
        <f t="shared" ca="1" si="3"/>
        <v/>
      </c>
      <c r="U71" s="17"/>
      <c r="Z71" s="18">
        <f>ROWS($Z$11:Z71)</f>
        <v>61</v>
      </c>
      <c r="AA71" s="18" t="str" cm="1">
        <f t="array" ref="AA71">INDEX(code!$E$2:$K$72,시가평가Matrix!$Z71,$D$3)</f>
        <v>BONDAVG69</v>
      </c>
      <c r="AB71" s="19" cm="1">
        <f t="array" aca="1" ref="AB71" ca="1">IF( OR($AA71=0,AS71=0), "", _xll.IMDP("IR",$AA71,E$6,$C$8) )</f>
        <v>3.4649999999999999</v>
      </c>
      <c r="AC71" s="19" cm="1">
        <f t="array" aca="1" ref="AC71" ca="1">IF( OR($AA71=0,AT71=0), "", _xll.IMDP("IR",$AA71,F$6,$C$8) )</f>
        <v>3.4969999999999999</v>
      </c>
      <c r="AD71" s="19" cm="1">
        <f t="array" aca="1" ref="AD71" ca="1">IF( OR($AA71=0,AU71=0), "", _xll.IMDP("IR",$AA71,G$6,$C$8) )</f>
        <v>3.4569999999999999</v>
      </c>
      <c r="AE71" s="19" cm="1">
        <f t="array" aca="1" ref="AE71" ca="1">IF( OR($AA71=0,AV71=0), "", _xll.IMDP("IR",$AA71,H$6,$C$8) )</f>
        <v>3.4260000000000002</v>
      </c>
      <c r="AF71" s="19" cm="1">
        <f t="array" aca="1" ref="AF71" ca="1">IF( OR($AA71=0,AW71=0), "", _xll.IMDP("IR",$AA71,I$6,$C$8) )</f>
        <v>3.45</v>
      </c>
      <c r="AG71" s="19" cm="1">
        <f t="array" aca="1" ref="AG71" ca="1">IF( OR($AA71=0,AX71=0), "", _xll.IMDP("IR",$AA71,J$6,$C$8) )</f>
        <v>3.4510000000000001</v>
      </c>
      <c r="AH71" s="19" cm="1">
        <f t="array" aca="1" ref="AH71" ca="1">IF( OR($AA71=0,AY71=0), "", _xll.IMDP("IR",$AA71,K$6,$C$8) )</f>
        <v>3.4630000000000001</v>
      </c>
      <c r="AI71" s="19" cm="1">
        <f t="array" aca="1" ref="AI71" ca="1">IF( OR($AA71=0,AZ71=0), "", _xll.IMDP("IR",$AA71,L$6,$C$8) )</f>
        <v>3.4710000000000001</v>
      </c>
      <c r="AJ71" s="19" cm="1">
        <f t="array" aca="1" ref="AJ71" ca="1">IF( OR($AA71=0,BA71=0), "", _xll.IMDP("IR",$AA71,M$6,$C$8) )</f>
        <v>3.484</v>
      </c>
      <c r="AK71" s="19" cm="1">
        <f t="array" aca="1" ref="AK71" ca="1">IF( OR($AA71=0,BB71=0), "", _xll.IMDP("IR",$AA71,N$6,$C$8) )</f>
        <v>3.512</v>
      </c>
      <c r="AL71" s="19" cm="1">
        <f t="array" aca="1" ref="AL71" ca="1">IF( OR($AA71=0,BC71=0), "", _xll.IMDP("IR",$AA71,O$6,$C$8) )</f>
        <v>3.61</v>
      </c>
      <c r="AM71" s="19" cm="1">
        <f t="array" aca="1" ref="AM71" ca="1">IF( OR($AA71=0,BD71=0), "", _xll.IMDP("IR",$AA71,P$6,$C$8) )</f>
        <v>3.8940000000000001</v>
      </c>
      <c r="AN71" s="19" cm="1">
        <f t="array" aca="1" ref="AN71" ca="1">IF( OR($AA71=0,BE71=0), "", _xll.IMDP("IR",$AA71,Q$6,$C$8) )</f>
        <v>4.16</v>
      </c>
      <c r="AO71" s="19" cm="1">
        <f t="array" aca="1" ref="AO71" ca="1">IF( OR($AA71=0,BF71=0), "", _xll.IMDP("IR",$AA71,R$6,$C$8) )</f>
        <v>4.3140000000000001</v>
      </c>
      <c r="AP71" s="19" t="str" cm="1">
        <f t="array" aca="1" ref="AP71" ca="1">IF( OR($AA71=0,BG71=0), "", _xll.IMDP("IR",$AA71,S$6,$C$8) )</f>
        <v/>
      </c>
      <c r="AQ71" s="19" t="str" cm="1">
        <f t="array" aca="1" ref="AQ71" ca="1">IF( OR($AA71=0,BH71=0), "", _xll.IMDP("IR",$AA71,T$6,$C$8) )</f>
        <v/>
      </c>
      <c r="AR71" s="5"/>
      <c r="AS71" s="20" cm="1">
        <f t="array" aca="1" ref="AS71" ca="1">_xll.IMDP("IR",$AA71,E$5,$C$8)</f>
        <v>3.4649999999999999</v>
      </c>
      <c r="AT71" s="5" cm="1">
        <f t="array" aca="1" ref="AT71" ca="1">_xll.IMDP("IR",$AA71,F$5,$C$8)</f>
        <v>3.4969999999999999</v>
      </c>
      <c r="AU71" s="5" cm="1">
        <f t="array" aca="1" ref="AU71" ca="1">_xll.IMDP("IR",$AA71,G$5,$C$8)</f>
        <v>3.4569999999999999</v>
      </c>
      <c r="AV71" s="5" cm="1">
        <f t="array" aca="1" ref="AV71" ca="1">_xll.IMDP("IR",$AA71,H$5,$C$8)</f>
        <v>3.4260000000000002</v>
      </c>
      <c r="AW71" s="5" cm="1">
        <f t="array" aca="1" ref="AW71" ca="1">_xll.IMDP("IR",$AA71,I$5,$C$8)</f>
        <v>3.45</v>
      </c>
      <c r="AX71" s="5" cm="1">
        <f t="array" aca="1" ref="AX71" ca="1">_xll.IMDP("IR",$AA71,J$5,$C$8)</f>
        <v>3.4510000000000001</v>
      </c>
      <c r="AY71" s="5" cm="1">
        <f t="array" aca="1" ref="AY71" ca="1">_xll.IMDP("IR",$AA71,K$5,$C$8)</f>
        <v>3.4630000000000001</v>
      </c>
      <c r="AZ71" s="5" cm="1">
        <f t="array" aca="1" ref="AZ71" ca="1">_xll.IMDP("IR",$AA71,L$5,$C$8)</f>
        <v>3.4710000000000001</v>
      </c>
      <c r="BA71" s="5" cm="1">
        <f t="array" aca="1" ref="BA71" ca="1">_xll.IMDP("IR",$AA71,M$5,$C$8)</f>
        <v>3.484</v>
      </c>
      <c r="BB71" s="5" cm="1">
        <f t="array" aca="1" ref="BB71" ca="1">_xll.IMDP("IR",$AA71,N$5,$C$8)</f>
        <v>3.512</v>
      </c>
      <c r="BC71" s="5" cm="1">
        <f t="array" aca="1" ref="BC71" ca="1">_xll.IMDP("IR",$AA71,O$5,$C$8)</f>
        <v>3.61</v>
      </c>
      <c r="BD71" s="5" cm="1">
        <f t="array" aca="1" ref="BD71" ca="1">_xll.IMDP("IR",$AA71,P$5,$C$8)</f>
        <v>3.8940000000000001</v>
      </c>
      <c r="BE71" s="5" cm="1">
        <f t="array" aca="1" ref="BE71" ca="1">_xll.IMDP("IR",$AA71,Q$5,$C$8)</f>
        <v>4.16</v>
      </c>
      <c r="BF71" s="5" cm="1">
        <f t="array" aca="1" ref="BF71" ca="1">_xll.IMDP("IR",$AA71,R$5,$C$8)</f>
        <v>4.3140000000000001</v>
      </c>
      <c r="BG71" s="5" cm="1">
        <f t="array" aca="1" ref="BG71" ca="1">_xll.IMDP("IR",$AA71,S$5,$C$8)</f>
        <v>0</v>
      </c>
      <c r="BH71" s="5" cm="1">
        <f t="array" aca="1" ref="BH71" ca="1">_xll.IMDP("IR",$AA71,T$5,$C$8)</f>
        <v>0</v>
      </c>
    </row>
    <row r="72" spans="2:60" ht="13.5" customHeight="1" x14ac:dyDescent="0.3">
      <c r="B72" s="70"/>
      <c r="C72" s="71"/>
      <c r="D72" s="23" t="s">
        <v>637</v>
      </c>
      <c r="E72" s="24">
        <f t="shared" ca="1" si="5"/>
        <v>3.496</v>
      </c>
      <c r="F72" s="24">
        <f t="shared" ca="1" si="5"/>
        <v>3.5390000000000001</v>
      </c>
      <c r="G72" s="24">
        <f t="shared" ca="1" si="5"/>
        <v>3.504</v>
      </c>
      <c r="H72" s="24">
        <f t="shared" ca="1" si="5"/>
        <v>3.472</v>
      </c>
      <c r="I72" s="24">
        <f t="shared" ca="1" si="5"/>
        <v>3.5110000000000001</v>
      </c>
      <c r="J72" s="24">
        <f t="shared" ca="1" si="5"/>
        <v>3.5169999999999999</v>
      </c>
      <c r="K72" s="24">
        <f t="shared" ca="1" si="5"/>
        <v>3.5449999999999999</v>
      </c>
      <c r="L72" s="24">
        <f t="shared" ca="1" si="5"/>
        <v>3.5590000000000002</v>
      </c>
      <c r="M72" s="24">
        <f t="shared" ca="1" si="5"/>
        <v>3.577</v>
      </c>
      <c r="N72" s="24">
        <f t="shared" ca="1" si="5"/>
        <v>3.6179999999999999</v>
      </c>
      <c r="O72" s="24">
        <f t="shared" ca="1" si="5"/>
        <v>3.7679999999999998</v>
      </c>
      <c r="P72" s="24">
        <f t="shared" ca="1" si="5"/>
        <v>4.2009999999999996</v>
      </c>
      <c r="Q72" s="24">
        <f t="shared" ca="1" si="5"/>
        <v>4.51</v>
      </c>
      <c r="R72" s="24">
        <f t="shared" ca="1" si="5"/>
        <v>4.6879999999999997</v>
      </c>
      <c r="S72" s="24" t="str">
        <f t="shared" ca="1" si="5"/>
        <v/>
      </c>
      <c r="T72" s="25" t="str">
        <f t="shared" ca="1" si="3"/>
        <v/>
      </c>
      <c r="U72" s="17"/>
      <c r="Z72" s="18">
        <f>ROWS($Z$11:Z72)</f>
        <v>62</v>
      </c>
      <c r="AA72" s="18" t="str" cm="1">
        <f t="array" ref="AA72">INDEX(code!$E$2:$K$72,시가평가Matrix!$Z72,$D$3)</f>
        <v>BONDAVG70</v>
      </c>
      <c r="AB72" s="19" cm="1">
        <f t="array" aca="1" ref="AB72" ca="1">IF( OR($AA72=0,AS72=0), "", _xll.IMDP("IR",$AA72,E$6,$C$8) )</f>
        <v>3.496</v>
      </c>
      <c r="AC72" s="19" cm="1">
        <f t="array" aca="1" ref="AC72" ca="1">IF( OR($AA72=0,AT72=0), "", _xll.IMDP("IR",$AA72,F$6,$C$8) )</f>
        <v>3.5390000000000001</v>
      </c>
      <c r="AD72" s="19" cm="1">
        <f t="array" aca="1" ref="AD72" ca="1">IF( OR($AA72=0,AU72=0), "", _xll.IMDP("IR",$AA72,G$6,$C$8) )</f>
        <v>3.504</v>
      </c>
      <c r="AE72" s="19" cm="1">
        <f t="array" aca="1" ref="AE72" ca="1">IF( OR($AA72=0,AV72=0), "", _xll.IMDP("IR",$AA72,H$6,$C$8) )</f>
        <v>3.472</v>
      </c>
      <c r="AF72" s="19" cm="1">
        <f t="array" aca="1" ref="AF72" ca="1">IF( OR($AA72=0,AW72=0), "", _xll.IMDP("IR",$AA72,I$6,$C$8) )</f>
        <v>3.5110000000000001</v>
      </c>
      <c r="AG72" s="19" cm="1">
        <f t="array" aca="1" ref="AG72" ca="1">IF( OR($AA72=0,AX72=0), "", _xll.IMDP("IR",$AA72,J$6,$C$8) )</f>
        <v>3.5169999999999999</v>
      </c>
      <c r="AH72" s="19" cm="1">
        <f t="array" aca="1" ref="AH72" ca="1">IF( OR($AA72=0,AY72=0), "", _xll.IMDP("IR",$AA72,K$6,$C$8) )</f>
        <v>3.5449999999999999</v>
      </c>
      <c r="AI72" s="19" cm="1">
        <f t="array" aca="1" ref="AI72" ca="1">IF( OR($AA72=0,AZ72=0), "", _xll.IMDP("IR",$AA72,L$6,$C$8) )</f>
        <v>3.5590000000000002</v>
      </c>
      <c r="AJ72" s="19" cm="1">
        <f t="array" aca="1" ref="AJ72" ca="1">IF( OR($AA72=0,BA72=0), "", _xll.IMDP("IR",$AA72,M$6,$C$8) )</f>
        <v>3.577</v>
      </c>
      <c r="AK72" s="19" cm="1">
        <f t="array" aca="1" ref="AK72" ca="1">IF( OR($AA72=0,BB72=0), "", _xll.IMDP("IR",$AA72,N$6,$C$8) )</f>
        <v>3.6179999999999999</v>
      </c>
      <c r="AL72" s="19" cm="1">
        <f t="array" aca="1" ref="AL72" ca="1">IF( OR($AA72=0,BC72=0), "", _xll.IMDP("IR",$AA72,O$6,$C$8) )</f>
        <v>3.7679999999999998</v>
      </c>
      <c r="AM72" s="19" cm="1">
        <f t="array" aca="1" ref="AM72" ca="1">IF( OR($AA72=0,BD72=0), "", _xll.IMDP("IR",$AA72,P$6,$C$8) )</f>
        <v>4.2009999999999996</v>
      </c>
      <c r="AN72" s="19" cm="1">
        <f t="array" aca="1" ref="AN72" ca="1">IF( OR($AA72=0,BE72=0), "", _xll.IMDP("IR",$AA72,Q$6,$C$8) )</f>
        <v>4.51</v>
      </c>
      <c r="AO72" s="19" cm="1">
        <f t="array" aca="1" ref="AO72" ca="1">IF( OR($AA72=0,BF72=0), "", _xll.IMDP("IR",$AA72,R$6,$C$8) )</f>
        <v>4.6879999999999997</v>
      </c>
      <c r="AP72" s="19" t="str" cm="1">
        <f t="array" aca="1" ref="AP72" ca="1">IF( OR($AA72=0,BG72=0), "", _xll.IMDP("IR",$AA72,S$6,$C$8) )</f>
        <v/>
      </c>
      <c r="AQ72" s="19" t="str" cm="1">
        <f t="array" aca="1" ref="AQ72" ca="1">IF( OR($AA72=0,BH72=0), "", _xll.IMDP("IR",$AA72,T$6,$C$8) )</f>
        <v/>
      </c>
      <c r="AR72" s="5"/>
      <c r="AS72" s="20" cm="1">
        <f t="array" aca="1" ref="AS72" ca="1">_xll.IMDP("IR",$AA72,E$5,$C$8)</f>
        <v>3.496</v>
      </c>
      <c r="AT72" s="5" cm="1">
        <f t="array" aca="1" ref="AT72" ca="1">_xll.IMDP("IR",$AA72,F$5,$C$8)</f>
        <v>3.5390000000000001</v>
      </c>
      <c r="AU72" s="5" cm="1">
        <f t="array" aca="1" ref="AU72" ca="1">_xll.IMDP("IR",$AA72,G$5,$C$8)</f>
        <v>3.504</v>
      </c>
      <c r="AV72" s="5" cm="1">
        <f t="array" aca="1" ref="AV72" ca="1">_xll.IMDP("IR",$AA72,H$5,$C$8)</f>
        <v>3.472</v>
      </c>
      <c r="AW72" s="5" cm="1">
        <f t="array" aca="1" ref="AW72" ca="1">_xll.IMDP("IR",$AA72,I$5,$C$8)</f>
        <v>3.5110000000000001</v>
      </c>
      <c r="AX72" s="5" cm="1">
        <f t="array" aca="1" ref="AX72" ca="1">_xll.IMDP("IR",$AA72,J$5,$C$8)</f>
        <v>3.5169999999999999</v>
      </c>
      <c r="AY72" s="5" cm="1">
        <f t="array" aca="1" ref="AY72" ca="1">_xll.IMDP("IR",$AA72,K$5,$C$8)</f>
        <v>3.5449999999999999</v>
      </c>
      <c r="AZ72" s="5" cm="1">
        <f t="array" aca="1" ref="AZ72" ca="1">_xll.IMDP("IR",$AA72,L$5,$C$8)</f>
        <v>3.5590000000000002</v>
      </c>
      <c r="BA72" s="5" cm="1">
        <f t="array" aca="1" ref="BA72" ca="1">_xll.IMDP("IR",$AA72,M$5,$C$8)</f>
        <v>3.577</v>
      </c>
      <c r="BB72" s="5" cm="1">
        <f t="array" aca="1" ref="BB72" ca="1">_xll.IMDP("IR",$AA72,N$5,$C$8)</f>
        <v>3.6179999999999999</v>
      </c>
      <c r="BC72" s="5" cm="1">
        <f t="array" aca="1" ref="BC72" ca="1">_xll.IMDP("IR",$AA72,O$5,$C$8)</f>
        <v>3.7679999999999998</v>
      </c>
      <c r="BD72" s="5" cm="1">
        <f t="array" aca="1" ref="BD72" ca="1">_xll.IMDP("IR",$AA72,P$5,$C$8)</f>
        <v>4.2009999999999996</v>
      </c>
      <c r="BE72" s="5" cm="1">
        <f t="array" aca="1" ref="BE72" ca="1">_xll.IMDP("IR",$AA72,Q$5,$C$8)</f>
        <v>4.51</v>
      </c>
      <c r="BF72" s="5" cm="1">
        <f t="array" aca="1" ref="BF72" ca="1">_xll.IMDP("IR",$AA72,R$5,$C$8)</f>
        <v>4.6879999999999997</v>
      </c>
      <c r="BG72" s="5" cm="1">
        <f t="array" aca="1" ref="BG72" ca="1">_xll.IMDP("IR",$AA72,S$5,$C$8)</f>
        <v>0</v>
      </c>
      <c r="BH72" s="5" cm="1">
        <f t="array" aca="1" ref="BH72" ca="1">_xll.IMDP("IR",$AA72,T$5,$C$8)</f>
        <v>0</v>
      </c>
    </row>
    <row r="73" spans="2:60" ht="13.5" customHeight="1" x14ac:dyDescent="0.3">
      <c r="B73" s="70"/>
      <c r="C73" s="71"/>
      <c r="D73" s="23" t="s">
        <v>638</v>
      </c>
      <c r="E73" s="24">
        <f t="shared" ca="1" si="5"/>
        <v>3.5219999999999998</v>
      </c>
      <c r="F73" s="24">
        <f t="shared" ca="1" si="5"/>
        <v>3.5750000000000002</v>
      </c>
      <c r="G73" s="24">
        <f t="shared" ca="1" si="5"/>
        <v>3.5379999999999998</v>
      </c>
      <c r="H73" s="24">
        <f t="shared" ca="1" si="5"/>
        <v>3.5089999999999999</v>
      </c>
      <c r="I73" s="24">
        <f t="shared" ca="1" si="5"/>
        <v>3.5590000000000002</v>
      </c>
      <c r="J73" s="24">
        <f t="shared" ca="1" si="5"/>
        <v>3.5649999999999999</v>
      </c>
      <c r="K73" s="24">
        <f t="shared" ca="1" si="5"/>
        <v>3.593</v>
      </c>
      <c r="L73" s="24">
        <f t="shared" ca="1" si="5"/>
        <v>3.6230000000000002</v>
      </c>
      <c r="M73" s="24">
        <f t="shared" ca="1" si="5"/>
        <v>3.64</v>
      </c>
      <c r="N73" s="24">
        <f t="shared" ca="1" si="5"/>
        <v>3.7069999999999999</v>
      </c>
      <c r="O73" s="24">
        <f t="shared" ca="1" si="5"/>
        <v>3.8929999999999998</v>
      </c>
      <c r="P73" s="24">
        <f t="shared" ca="1" si="5"/>
        <v>4.5510000000000002</v>
      </c>
      <c r="Q73" s="24">
        <f t="shared" ca="1" si="5"/>
        <v>5.09</v>
      </c>
      <c r="R73" s="24">
        <f t="shared" ca="1" si="5"/>
        <v>5.2850000000000001</v>
      </c>
      <c r="S73" s="24" t="str">
        <f t="shared" ca="1" si="5"/>
        <v/>
      </c>
      <c r="T73" s="25" t="str">
        <f t="shared" ca="1" si="3"/>
        <v/>
      </c>
      <c r="U73" s="17"/>
      <c r="Z73" s="18">
        <f>ROWS($Z$11:Z73)</f>
        <v>63</v>
      </c>
      <c r="AA73" s="18" t="str" cm="1">
        <f t="array" ref="AA73">INDEX(code!$E$2:$K$72,시가평가Matrix!$Z73,$D$3)</f>
        <v>BONDAVG71</v>
      </c>
      <c r="AB73" s="19" cm="1">
        <f t="array" aca="1" ref="AB73" ca="1">IF( OR($AA73=0,AS73=0), "", _xll.IMDP("IR",$AA73,E$6,$C$8) )</f>
        <v>3.5219999999999998</v>
      </c>
      <c r="AC73" s="19" cm="1">
        <f t="array" aca="1" ref="AC73" ca="1">IF( OR($AA73=0,AT73=0), "", _xll.IMDP("IR",$AA73,F$6,$C$8) )</f>
        <v>3.5750000000000002</v>
      </c>
      <c r="AD73" s="19" cm="1">
        <f t="array" aca="1" ref="AD73" ca="1">IF( OR($AA73=0,AU73=0), "", _xll.IMDP("IR",$AA73,G$6,$C$8) )</f>
        <v>3.5379999999999998</v>
      </c>
      <c r="AE73" s="19" cm="1">
        <f t="array" aca="1" ref="AE73" ca="1">IF( OR($AA73=0,AV73=0), "", _xll.IMDP("IR",$AA73,H$6,$C$8) )</f>
        <v>3.5089999999999999</v>
      </c>
      <c r="AF73" s="19" cm="1">
        <f t="array" aca="1" ref="AF73" ca="1">IF( OR($AA73=0,AW73=0), "", _xll.IMDP("IR",$AA73,I$6,$C$8) )</f>
        <v>3.5590000000000002</v>
      </c>
      <c r="AG73" s="19" cm="1">
        <f t="array" aca="1" ref="AG73" ca="1">IF( OR($AA73=0,AX73=0), "", _xll.IMDP("IR",$AA73,J$6,$C$8) )</f>
        <v>3.5649999999999999</v>
      </c>
      <c r="AH73" s="19" cm="1">
        <f t="array" aca="1" ref="AH73" ca="1">IF( OR($AA73=0,AY73=0), "", _xll.IMDP("IR",$AA73,K$6,$C$8) )</f>
        <v>3.593</v>
      </c>
      <c r="AI73" s="19" cm="1">
        <f t="array" aca="1" ref="AI73" ca="1">IF( OR($AA73=0,AZ73=0), "", _xll.IMDP("IR",$AA73,L$6,$C$8) )</f>
        <v>3.6230000000000002</v>
      </c>
      <c r="AJ73" s="19" cm="1">
        <f t="array" aca="1" ref="AJ73" ca="1">IF( OR($AA73=0,BA73=0), "", _xll.IMDP("IR",$AA73,M$6,$C$8) )</f>
        <v>3.64</v>
      </c>
      <c r="AK73" s="19" cm="1">
        <f t="array" aca="1" ref="AK73" ca="1">IF( OR($AA73=0,BB73=0), "", _xll.IMDP("IR",$AA73,N$6,$C$8) )</f>
        <v>3.7069999999999999</v>
      </c>
      <c r="AL73" s="19" cm="1">
        <f t="array" aca="1" ref="AL73" ca="1">IF( OR($AA73=0,BC73=0), "", _xll.IMDP("IR",$AA73,O$6,$C$8) )</f>
        <v>3.8929999999999998</v>
      </c>
      <c r="AM73" s="19" cm="1">
        <f t="array" aca="1" ref="AM73" ca="1">IF( OR($AA73=0,BD73=0), "", _xll.IMDP("IR",$AA73,P$6,$C$8) )</f>
        <v>4.5510000000000002</v>
      </c>
      <c r="AN73" s="19" cm="1">
        <f t="array" aca="1" ref="AN73" ca="1">IF( OR($AA73=0,BE73=0), "", _xll.IMDP("IR",$AA73,Q$6,$C$8) )</f>
        <v>5.09</v>
      </c>
      <c r="AO73" s="19" cm="1">
        <f t="array" aca="1" ref="AO73" ca="1">IF( OR($AA73=0,BF73=0), "", _xll.IMDP("IR",$AA73,R$6,$C$8) )</f>
        <v>5.2850000000000001</v>
      </c>
      <c r="AP73" s="19" t="str" cm="1">
        <f t="array" aca="1" ref="AP73" ca="1">IF( OR($AA73=0,BG73=0), "", _xll.IMDP("IR",$AA73,S$6,$C$8) )</f>
        <v/>
      </c>
      <c r="AQ73" s="19" t="str" cm="1">
        <f t="array" aca="1" ref="AQ73" ca="1">IF( OR($AA73=0,BH73=0), "", _xll.IMDP("IR",$AA73,T$6,$C$8) )</f>
        <v/>
      </c>
      <c r="AR73" s="5"/>
      <c r="AS73" s="20" cm="1">
        <f t="array" aca="1" ref="AS73" ca="1">_xll.IMDP("IR",$AA73,E$5,$C$8)</f>
        <v>3.5219999999999998</v>
      </c>
      <c r="AT73" s="5" cm="1">
        <f t="array" aca="1" ref="AT73" ca="1">_xll.IMDP("IR",$AA73,F$5,$C$8)</f>
        <v>3.5750000000000002</v>
      </c>
      <c r="AU73" s="5" cm="1">
        <f t="array" aca="1" ref="AU73" ca="1">_xll.IMDP("IR",$AA73,G$5,$C$8)</f>
        <v>3.5379999999999998</v>
      </c>
      <c r="AV73" s="5" cm="1">
        <f t="array" aca="1" ref="AV73" ca="1">_xll.IMDP("IR",$AA73,H$5,$C$8)</f>
        <v>3.5089999999999999</v>
      </c>
      <c r="AW73" s="5" cm="1">
        <f t="array" aca="1" ref="AW73" ca="1">_xll.IMDP("IR",$AA73,I$5,$C$8)</f>
        <v>3.5590000000000002</v>
      </c>
      <c r="AX73" s="5" cm="1">
        <f t="array" aca="1" ref="AX73" ca="1">_xll.IMDP("IR",$AA73,J$5,$C$8)</f>
        <v>3.5649999999999999</v>
      </c>
      <c r="AY73" s="5" cm="1">
        <f t="array" aca="1" ref="AY73" ca="1">_xll.IMDP("IR",$AA73,K$5,$C$8)</f>
        <v>3.593</v>
      </c>
      <c r="AZ73" s="5" cm="1">
        <f t="array" aca="1" ref="AZ73" ca="1">_xll.IMDP("IR",$AA73,L$5,$C$8)</f>
        <v>3.6230000000000002</v>
      </c>
      <c r="BA73" s="5" cm="1">
        <f t="array" aca="1" ref="BA73" ca="1">_xll.IMDP("IR",$AA73,M$5,$C$8)</f>
        <v>3.64</v>
      </c>
      <c r="BB73" s="5" cm="1">
        <f t="array" aca="1" ref="BB73" ca="1">_xll.IMDP("IR",$AA73,N$5,$C$8)</f>
        <v>3.7069999999999999</v>
      </c>
      <c r="BC73" s="5" cm="1">
        <f t="array" aca="1" ref="BC73" ca="1">_xll.IMDP("IR",$AA73,O$5,$C$8)</f>
        <v>3.8929999999999998</v>
      </c>
      <c r="BD73" s="5" cm="1">
        <f t="array" aca="1" ref="BD73" ca="1">_xll.IMDP("IR",$AA73,P$5,$C$8)</f>
        <v>4.5510000000000002</v>
      </c>
      <c r="BE73" s="5" cm="1">
        <f t="array" aca="1" ref="BE73" ca="1">_xll.IMDP("IR",$AA73,Q$5,$C$8)</f>
        <v>5.09</v>
      </c>
      <c r="BF73" s="5" cm="1">
        <f t="array" aca="1" ref="BF73" ca="1">_xll.IMDP("IR",$AA73,R$5,$C$8)</f>
        <v>5.2850000000000001</v>
      </c>
      <c r="BG73" s="5" cm="1">
        <f t="array" aca="1" ref="BG73" ca="1">_xll.IMDP("IR",$AA73,S$5,$C$8)</f>
        <v>0</v>
      </c>
      <c r="BH73" s="5" cm="1">
        <f t="array" aca="1" ref="BH73" ca="1">_xll.IMDP("IR",$AA73,T$5,$C$8)</f>
        <v>0</v>
      </c>
    </row>
    <row r="74" spans="2:60" ht="13.5" customHeight="1" x14ac:dyDescent="0.3">
      <c r="B74" s="70"/>
      <c r="C74" s="71"/>
      <c r="D74" s="23" t="s">
        <v>639</v>
      </c>
      <c r="E74" s="24">
        <f t="shared" ca="1" si="5"/>
        <v>3.5659999999999998</v>
      </c>
      <c r="F74" s="24">
        <f t="shared" ca="1" si="5"/>
        <v>3.613</v>
      </c>
      <c r="G74" s="24">
        <f t="shared" ca="1" si="5"/>
        <v>3.5790000000000002</v>
      </c>
      <c r="H74" s="24">
        <f t="shared" ca="1" si="5"/>
        <v>3.5579999999999998</v>
      </c>
      <c r="I74" s="24">
        <f t="shared" ca="1" si="5"/>
        <v>3.6040000000000001</v>
      </c>
      <c r="J74" s="24">
        <f t="shared" ca="1" si="5"/>
        <v>3.621</v>
      </c>
      <c r="K74" s="24">
        <f t="shared" ca="1" si="5"/>
        <v>3.6589999999999998</v>
      </c>
      <c r="L74" s="24">
        <f t="shared" ca="1" si="5"/>
        <v>3.7</v>
      </c>
      <c r="M74" s="24">
        <f t="shared" ca="1" si="5"/>
        <v>3.734</v>
      </c>
      <c r="N74" s="24">
        <f t="shared" ca="1" si="5"/>
        <v>3.8370000000000002</v>
      </c>
      <c r="O74" s="24">
        <f t="shared" ca="1" si="5"/>
        <v>4.1180000000000003</v>
      </c>
      <c r="P74" s="24">
        <f t="shared" ca="1" si="5"/>
        <v>4.944</v>
      </c>
      <c r="Q74" s="24">
        <f t="shared" ca="1" si="5"/>
        <v>5.5830000000000002</v>
      </c>
      <c r="R74" s="24">
        <f t="shared" ca="1" si="5"/>
        <v>5.8410000000000002</v>
      </c>
      <c r="S74" s="24" t="str">
        <f t="shared" ca="1" si="5"/>
        <v/>
      </c>
      <c r="T74" s="25" t="str">
        <f t="shared" ca="1" si="3"/>
        <v/>
      </c>
      <c r="U74" s="17"/>
      <c r="Z74" s="18">
        <f>ROWS($Z$11:Z74)</f>
        <v>64</v>
      </c>
      <c r="AA74" s="18" t="str" cm="1">
        <f t="array" ref="AA74">INDEX(code!$E$2:$K$72,시가평가Matrix!$Z74,$D$3)</f>
        <v>BONDAVG72</v>
      </c>
      <c r="AB74" s="19" cm="1">
        <f t="array" aca="1" ref="AB74" ca="1">IF( OR($AA74=0,AS74=0), "", _xll.IMDP("IR",$AA74,E$6,$C$8) )</f>
        <v>3.5659999999999998</v>
      </c>
      <c r="AC74" s="19" cm="1">
        <f t="array" aca="1" ref="AC74" ca="1">IF( OR($AA74=0,AT74=0), "", _xll.IMDP("IR",$AA74,F$6,$C$8) )</f>
        <v>3.613</v>
      </c>
      <c r="AD74" s="19" cm="1">
        <f t="array" aca="1" ref="AD74" ca="1">IF( OR($AA74=0,AU74=0), "", _xll.IMDP("IR",$AA74,G$6,$C$8) )</f>
        <v>3.5790000000000002</v>
      </c>
      <c r="AE74" s="19" cm="1">
        <f t="array" aca="1" ref="AE74" ca="1">IF( OR($AA74=0,AV74=0), "", _xll.IMDP("IR",$AA74,H$6,$C$8) )</f>
        <v>3.5579999999999998</v>
      </c>
      <c r="AF74" s="19" cm="1">
        <f t="array" aca="1" ref="AF74" ca="1">IF( OR($AA74=0,AW74=0), "", _xll.IMDP("IR",$AA74,I$6,$C$8) )</f>
        <v>3.6040000000000001</v>
      </c>
      <c r="AG74" s="19" cm="1">
        <f t="array" aca="1" ref="AG74" ca="1">IF( OR($AA74=0,AX74=0), "", _xll.IMDP("IR",$AA74,J$6,$C$8) )</f>
        <v>3.621</v>
      </c>
      <c r="AH74" s="19" cm="1">
        <f t="array" aca="1" ref="AH74" ca="1">IF( OR($AA74=0,AY74=0), "", _xll.IMDP("IR",$AA74,K$6,$C$8) )</f>
        <v>3.6589999999999998</v>
      </c>
      <c r="AI74" s="19" cm="1">
        <f t="array" aca="1" ref="AI74" ca="1">IF( OR($AA74=0,AZ74=0), "", _xll.IMDP("IR",$AA74,L$6,$C$8) )</f>
        <v>3.7</v>
      </c>
      <c r="AJ74" s="19" cm="1">
        <f t="array" aca="1" ref="AJ74" ca="1">IF( OR($AA74=0,BA74=0), "", _xll.IMDP("IR",$AA74,M$6,$C$8) )</f>
        <v>3.734</v>
      </c>
      <c r="AK74" s="19" cm="1">
        <f t="array" aca="1" ref="AK74" ca="1">IF( OR($AA74=0,BB74=0), "", _xll.IMDP("IR",$AA74,N$6,$C$8) )</f>
        <v>3.8370000000000002</v>
      </c>
      <c r="AL74" s="19" cm="1">
        <f t="array" aca="1" ref="AL74" ca="1">IF( OR($AA74=0,BC74=0), "", _xll.IMDP("IR",$AA74,O$6,$C$8) )</f>
        <v>4.1180000000000003</v>
      </c>
      <c r="AM74" s="19" cm="1">
        <f t="array" aca="1" ref="AM74" ca="1">IF( OR($AA74=0,BD74=0), "", _xll.IMDP("IR",$AA74,P$6,$C$8) )</f>
        <v>4.944</v>
      </c>
      <c r="AN74" s="19" cm="1">
        <f t="array" aca="1" ref="AN74" ca="1">IF( OR($AA74=0,BE74=0), "", _xll.IMDP("IR",$AA74,Q$6,$C$8) )</f>
        <v>5.5830000000000002</v>
      </c>
      <c r="AO74" s="19" cm="1">
        <f t="array" aca="1" ref="AO74" ca="1">IF( OR($AA74=0,BF74=0), "", _xll.IMDP("IR",$AA74,R$6,$C$8) )</f>
        <v>5.8410000000000002</v>
      </c>
      <c r="AP74" s="19" t="str" cm="1">
        <f t="array" aca="1" ref="AP74" ca="1">IF( OR($AA74=0,BG74=0), "", _xll.IMDP("IR",$AA74,S$6,$C$8) )</f>
        <v/>
      </c>
      <c r="AQ74" s="19" t="str" cm="1">
        <f t="array" aca="1" ref="AQ74" ca="1">IF( OR($AA74=0,BH74=0), "", _xll.IMDP("IR",$AA74,T$6,$C$8) )</f>
        <v/>
      </c>
      <c r="AR74" s="5"/>
      <c r="AS74" s="20" cm="1">
        <f t="array" aca="1" ref="AS74" ca="1">_xll.IMDP("IR",$AA74,E$5,$C$8)</f>
        <v>3.5659999999999998</v>
      </c>
      <c r="AT74" s="5" cm="1">
        <f t="array" aca="1" ref="AT74" ca="1">_xll.IMDP("IR",$AA74,F$5,$C$8)</f>
        <v>3.613</v>
      </c>
      <c r="AU74" s="5" cm="1">
        <f t="array" aca="1" ref="AU74" ca="1">_xll.IMDP("IR",$AA74,G$5,$C$8)</f>
        <v>3.5790000000000002</v>
      </c>
      <c r="AV74" s="5" cm="1">
        <f t="array" aca="1" ref="AV74" ca="1">_xll.IMDP("IR",$AA74,H$5,$C$8)</f>
        <v>3.5579999999999998</v>
      </c>
      <c r="AW74" s="5" cm="1">
        <f t="array" aca="1" ref="AW74" ca="1">_xll.IMDP("IR",$AA74,I$5,$C$8)</f>
        <v>3.6040000000000001</v>
      </c>
      <c r="AX74" s="5" cm="1">
        <f t="array" aca="1" ref="AX74" ca="1">_xll.IMDP("IR",$AA74,J$5,$C$8)</f>
        <v>3.621</v>
      </c>
      <c r="AY74" s="5" cm="1">
        <f t="array" aca="1" ref="AY74" ca="1">_xll.IMDP("IR",$AA74,K$5,$C$8)</f>
        <v>3.6589999999999998</v>
      </c>
      <c r="AZ74" s="5" cm="1">
        <f t="array" aca="1" ref="AZ74" ca="1">_xll.IMDP("IR",$AA74,L$5,$C$8)</f>
        <v>3.7</v>
      </c>
      <c r="BA74" s="5" cm="1">
        <f t="array" aca="1" ref="BA74" ca="1">_xll.IMDP("IR",$AA74,M$5,$C$8)</f>
        <v>3.734</v>
      </c>
      <c r="BB74" s="5" cm="1">
        <f t="array" aca="1" ref="BB74" ca="1">_xll.IMDP("IR",$AA74,N$5,$C$8)</f>
        <v>3.8370000000000002</v>
      </c>
      <c r="BC74" s="5" cm="1">
        <f t="array" aca="1" ref="BC74" ca="1">_xll.IMDP("IR",$AA74,O$5,$C$8)</f>
        <v>4.1180000000000003</v>
      </c>
      <c r="BD74" s="5" cm="1">
        <f t="array" aca="1" ref="BD74" ca="1">_xll.IMDP("IR",$AA74,P$5,$C$8)</f>
        <v>4.944</v>
      </c>
      <c r="BE74" s="5" cm="1">
        <f t="array" aca="1" ref="BE74" ca="1">_xll.IMDP("IR",$AA74,Q$5,$C$8)</f>
        <v>5.5830000000000002</v>
      </c>
      <c r="BF74" s="5" cm="1">
        <f t="array" aca="1" ref="BF74" ca="1">_xll.IMDP("IR",$AA74,R$5,$C$8)</f>
        <v>5.8410000000000002</v>
      </c>
      <c r="BG74" s="5" cm="1">
        <f t="array" aca="1" ref="BG74" ca="1">_xll.IMDP("IR",$AA74,S$5,$C$8)</f>
        <v>0</v>
      </c>
      <c r="BH74" s="5" cm="1">
        <f t="array" aca="1" ref="BH74" ca="1">_xll.IMDP("IR",$AA74,T$5,$C$8)</f>
        <v>0</v>
      </c>
    </row>
    <row r="75" spans="2:60" ht="13.5" customHeight="1" x14ac:dyDescent="0.3">
      <c r="B75" s="70"/>
      <c r="C75" s="71"/>
      <c r="D75" s="23" t="s">
        <v>648</v>
      </c>
      <c r="E75" s="24">
        <f t="shared" ca="1" si="5"/>
        <v>3.6909999999999998</v>
      </c>
      <c r="F75" s="24">
        <f t="shared" ca="1" si="5"/>
        <v>3.8</v>
      </c>
      <c r="G75" s="24">
        <f t="shared" ca="1" si="5"/>
        <v>3.8319999999999999</v>
      </c>
      <c r="H75" s="24">
        <f t="shared" ca="1" si="5"/>
        <v>3.8610000000000002</v>
      </c>
      <c r="I75" s="24">
        <f t="shared" ca="1" si="5"/>
        <v>3.9569999999999999</v>
      </c>
      <c r="J75" s="24">
        <f t="shared" ca="1" si="5"/>
        <v>4.0140000000000002</v>
      </c>
      <c r="K75" s="24">
        <f t="shared" ca="1" si="5"/>
        <v>4.1219999999999999</v>
      </c>
      <c r="L75" s="24">
        <f t="shared" ca="1" si="5"/>
        <v>4.1829999999999998</v>
      </c>
      <c r="M75" s="24">
        <f t="shared" ca="1" si="5"/>
        <v>4.4560000000000004</v>
      </c>
      <c r="N75" s="24">
        <f t="shared" ca="1" si="5"/>
        <v>4.6900000000000004</v>
      </c>
      <c r="O75" s="24">
        <f t="shared" ca="1" si="5"/>
        <v>4.9400000000000004</v>
      </c>
      <c r="P75" s="24">
        <f t="shared" ca="1" si="5"/>
        <v>5.62</v>
      </c>
      <c r="Q75" s="24">
        <f t="shared" ca="1" si="5"/>
        <v>6.1050000000000004</v>
      </c>
      <c r="R75" s="24">
        <f t="shared" ca="1" si="5"/>
        <v>6.383</v>
      </c>
      <c r="S75" s="24" t="str">
        <f t="shared" ca="1" si="5"/>
        <v/>
      </c>
      <c r="T75" s="25" t="str">
        <f t="shared" ca="1" si="3"/>
        <v/>
      </c>
      <c r="U75" s="17"/>
      <c r="Z75" s="18">
        <f>ROWS($Z$11:Z75)</f>
        <v>65</v>
      </c>
      <c r="AA75" s="18" t="str" cm="1">
        <f t="array" ref="AA75">INDEX(code!$E$2:$K$72,시가평가Matrix!$Z75,$D$3)</f>
        <v>BONDAVG73</v>
      </c>
      <c r="AB75" s="19" cm="1">
        <f t="array" aca="1" ref="AB75" ca="1">IF( OR($AA75=0,AS75=0), "", _xll.IMDP("IR",$AA75,E$6,$C$8) )</f>
        <v>3.6909999999999998</v>
      </c>
      <c r="AC75" s="19" cm="1">
        <f t="array" aca="1" ref="AC75" ca="1">IF( OR($AA75=0,AT75=0), "", _xll.IMDP("IR",$AA75,F$6,$C$8) )</f>
        <v>3.8</v>
      </c>
      <c r="AD75" s="19" cm="1">
        <f t="array" aca="1" ref="AD75" ca="1">IF( OR($AA75=0,AU75=0), "", _xll.IMDP("IR",$AA75,G$6,$C$8) )</f>
        <v>3.8319999999999999</v>
      </c>
      <c r="AE75" s="19" cm="1">
        <f t="array" aca="1" ref="AE75" ca="1">IF( OR($AA75=0,AV75=0), "", _xll.IMDP("IR",$AA75,H$6,$C$8) )</f>
        <v>3.8610000000000002</v>
      </c>
      <c r="AF75" s="19" cm="1">
        <f t="array" aca="1" ref="AF75" ca="1">IF( OR($AA75=0,AW75=0), "", _xll.IMDP("IR",$AA75,I$6,$C$8) )</f>
        <v>3.9569999999999999</v>
      </c>
      <c r="AG75" s="19" cm="1">
        <f t="array" aca="1" ref="AG75" ca="1">IF( OR($AA75=0,AX75=0), "", _xll.IMDP("IR",$AA75,J$6,$C$8) )</f>
        <v>4.0140000000000002</v>
      </c>
      <c r="AH75" s="19" cm="1">
        <f t="array" aca="1" ref="AH75" ca="1">IF( OR($AA75=0,AY75=0), "", _xll.IMDP("IR",$AA75,K$6,$C$8) )</f>
        <v>4.1219999999999999</v>
      </c>
      <c r="AI75" s="19" cm="1">
        <f t="array" aca="1" ref="AI75" ca="1">IF( OR($AA75=0,AZ75=0), "", _xll.IMDP("IR",$AA75,L$6,$C$8) )</f>
        <v>4.1829999999999998</v>
      </c>
      <c r="AJ75" s="19" cm="1">
        <f t="array" aca="1" ref="AJ75" ca="1">IF( OR($AA75=0,BA75=0), "", _xll.IMDP("IR",$AA75,M$6,$C$8) )</f>
        <v>4.4560000000000004</v>
      </c>
      <c r="AK75" s="19" cm="1">
        <f t="array" aca="1" ref="AK75" ca="1">IF( OR($AA75=0,BB75=0), "", _xll.IMDP("IR",$AA75,N$6,$C$8) )</f>
        <v>4.6900000000000004</v>
      </c>
      <c r="AL75" s="19" cm="1">
        <f t="array" aca="1" ref="AL75" ca="1">IF( OR($AA75=0,BC75=0), "", _xll.IMDP("IR",$AA75,O$6,$C$8) )</f>
        <v>4.9400000000000004</v>
      </c>
      <c r="AM75" s="19" cm="1">
        <f t="array" aca="1" ref="AM75" ca="1">IF( OR($AA75=0,BD75=0), "", _xll.IMDP("IR",$AA75,P$6,$C$8) )</f>
        <v>5.62</v>
      </c>
      <c r="AN75" s="19" cm="1">
        <f t="array" aca="1" ref="AN75" ca="1">IF( OR($AA75=0,BE75=0), "", _xll.IMDP("IR",$AA75,Q$6,$C$8) )</f>
        <v>6.1050000000000004</v>
      </c>
      <c r="AO75" s="19" cm="1">
        <f t="array" aca="1" ref="AO75" ca="1">IF( OR($AA75=0,BF75=0), "", _xll.IMDP("IR",$AA75,R$6,$C$8) )</f>
        <v>6.383</v>
      </c>
      <c r="AP75" s="19" t="str" cm="1">
        <f t="array" aca="1" ref="AP75" ca="1">IF( OR($AA75=0,BG75=0), "", _xll.IMDP("IR",$AA75,S$6,$C$8) )</f>
        <v/>
      </c>
      <c r="AQ75" s="19" t="str" cm="1">
        <f t="array" aca="1" ref="AQ75" ca="1">IF( OR($AA75=0,BH75=0), "", _xll.IMDP("IR",$AA75,T$6,$C$8) )</f>
        <v/>
      </c>
      <c r="AR75" s="5"/>
      <c r="AS75" s="20" cm="1">
        <f t="array" aca="1" ref="AS75" ca="1">_xll.IMDP("IR",$AA75,E$5,$C$8)</f>
        <v>3.6909999999999998</v>
      </c>
      <c r="AT75" s="5" cm="1">
        <f t="array" aca="1" ref="AT75" ca="1">_xll.IMDP("IR",$AA75,F$5,$C$8)</f>
        <v>3.8</v>
      </c>
      <c r="AU75" s="5" cm="1">
        <f t="array" aca="1" ref="AU75" ca="1">_xll.IMDP("IR",$AA75,G$5,$C$8)</f>
        <v>3.8319999999999999</v>
      </c>
      <c r="AV75" s="5" cm="1">
        <f t="array" aca="1" ref="AV75" ca="1">_xll.IMDP("IR",$AA75,H$5,$C$8)</f>
        <v>3.8610000000000002</v>
      </c>
      <c r="AW75" s="5" cm="1">
        <f t="array" aca="1" ref="AW75" ca="1">_xll.IMDP("IR",$AA75,I$5,$C$8)</f>
        <v>3.9569999999999999</v>
      </c>
      <c r="AX75" s="5" cm="1">
        <f t="array" aca="1" ref="AX75" ca="1">_xll.IMDP("IR",$AA75,J$5,$C$8)</f>
        <v>4.0140000000000002</v>
      </c>
      <c r="AY75" s="5" cm="1">
        <f t="array" aca="1" ref="AY75" ca="1">_xll.IMDP("IR",$AA75,K$5,$C$8)</f>
        <v>4.1219999999999999</v>
      </c>
      <c r="AZ75" s="5" cm="1">
        <f t="array" aca="1" ref="AZ75" ca="1">_xll.IMDP("IR",$AA75,L$5,$C$8)</f>
        <v>4.1829999999999998</v>
      </c>
      <c r="BA75" s="5" cm="1">
        <f t="array" aca="1" ref="BA75" ca="1">_xll.IMDP("IR",$AA75,M$5,$C$8)</f>
        <v>4.4560000000000004</v>
      </c>
      <c r="BB75" s="5" cm="1">
        <f t="array" aca="1" ref="BB75" ca="1">_xll.IMDP("IR",$AA75,N$5,$C$8)</f>
        <v>4.6900000000000004</v>
      </c>
      <c r="BC75" s="5" cm="1">
        <f t="array" aca="1" ref="BC75" ca="1">_xll.IMDP("IR",$AA75,O$5,$C$8)</f>
        <v>4.9400000000000004</v>
      </c>
      <c r="BD75" s="5" cm="1">
        <f t="array" aca="1" ref="BD75" ca="1">_xll.IMDP("IR",$AA75,P$5,$C$8)</f>
        <v>5.62</v>
      </c>
      <c r="BE75" s="5" cm="1">
        <f t="array" aca="1" ref="BE75" ca="1">_xll.IMDP("IR",$AA75,Q$5,$C$8)</f>
        <v>6.1050000000000004</v>
      </c>
      <c r="BF75" s="5" cm="1">
        <f t="array" aca="1" ref="BF75" ca="1">_xll.IMDP("IR",$AA75,R$5,$C$8)</f>
        <v>6.383</v>
      </c>
      <c r="BG75" s="5" cm="1">
        <f t="array" aca="1" ref="BG75" ca="1">_xll.IMDP("IR",$AA75,S$5,$C$8)</f>
        <v>0</v>
      </c>
      <c r="BH75" s="5" cm="1">
        <f t="array" aca="1" ref="BH75" ca="1">_xll.IMDP("IR",$AA75,T$5,$C$8)</f>
        <v>0</v>
      </c>
    </row>
    <row r="76" spans="2:60" ht="13.5" customHeight="1" x14ac:dyDescent="0.3">
      <c r="B76" s="70"/>
      <c r="C76" s="71"/>
      <c r="D76" s="23" t="s">
        <v>649</v>
      </c>
      <c r="E76" s="24">
        <f t="shared" ca="1" si="5"/>
        <v>3.8519999999999999</v>
      </c>
      <c r="F76" s="24">
        <f t="shared" ca="1" si="5"/>
        <v>3.9870000000000001</v>
      </c>
      <c r="G76" s="24">
        <f t="shared" ca="1" si="5"/>
        <v>4.0279999999999996</v>
      </c>
      <c r="H76" s="24">
        <f t="shared" ca="1" si="5"/>
        <v>4.0670000000000002</v>
      </c>
      <c r="I76" s="24">
        <f t="shared" ca="1" si="5"/>
        <v>4.1559999999999997</v>
      </c>
      <c r="J76" s="24">
        <f t="shared" ca="1" si="5"/>
        <v>4.2240000000000002</v>
      </c>
      <c r="K76" s="24">
        <f t="shared" ca="1" si="5"/>
        <v>4.3449999999999998</v>
      </c>
      <c r="L76" s="24">
        <f t="shared" ca="1" si="5"/>
        <v>4.4740000000000002</v>
      </c>
      <c r="M76" s="24">
        <f t="shared" ca="1" si="5"/>
        <v>4.843</v>
      </c>
      <c r="N76" s="24">
        <f t="shared" ca="1" si="5"/>
        <v>5.1509999999999998</v>
      </c>
      <c r="O76" s="24">
        <f t="shared" ca="1" si="5"/>
        <v>5.41</v>
      </c>
      <c r="P76" s="24">
        <f t="shared" ca="1" si="5"/>
        <v>6.117</v>
      </c>
      <c r="Q76" s="24">
        <f t="shared" ca="1" si="5"/>
        <v>6.5430000000000001</v>
      </c>
      <c r="R76" s="24">
        <f t="shared" ca="1" si="5"/>
        <v>6.8650000000000002</v>
      </c>
      <c r="S76" s="24" t="str">
        <f t="shared" ca="1" si="5"/>
        <v/>
      </c>
      <c r="T76" s="25" t="str">
        <f t="shared" ca="1" si="3"/>
        <v/>
      </c>
      <c r="U76" s="17"/>
      <c r="Z76" s="18">
        <f>ROWS($Z$11:Z76)</f>
        <v>66</v>
      </c>
      <c r="AA76" s="18" t="str" cm="1">
        <f t="array" ref="AA76">INDEX(code!$E$2:$K$72,시가평가Matrix!$Z76,$D$3)</f>
        <v>BONDAVG74</v>
      </c>
      <c r="AB76" s="19" cm="1">
        <f t="array" aca="1" ref="AB76" ca="1">IF( OR($AA76=0,AS76=0), "", _xll.IMDP("IR",$AA76,E$6,$C$8) )</f>
        <v>3.8519999999999999</v>
      </c>
      <c r="AC76" s="19" cm="1">
        <f t="array" aca="1" ref="AC76" ca="1">IF( OR($AA76=0,AT76=0), "", _xll.IMDP("IR",$AA76,F$6,$C$8) )</f>
        <v>3.9870000000000001</v>
      </c>
      <c r="AD76" s="19" cm="1">
        <f t="array" aca="1" ref="AD76" ca="1">IF( OR($AA76=0,AU76=0), "", _xll.IMDP("IR",$AA76,G$6,$C$8) )</f>
        <v>4.0279999999999996</v>
      </c>
      <c r="AE76" s="19" cm="1">
        <f t="array" aca="1" ref="AE76" ca="1">IF( OR($AA76=0,AV76=0), "", _xll.IMDP("IR",$AA76,H$6,$C$8) )</f>
        <v>4.0670000000000002</v>
      </c>
      <c r="AF76" s="19" cm="1">
        <f t="array" aca="1" ref="AF76" ca="1">IF( OR($AA76=0,AW76=0), "", _xll.IMDP("IR",$AA76,I$6,$C$8) )</f>
        <v>4.1559999999999997</v>
      </c>
      <c r="AG76" s="19" cm="1">
        <f t="array" aca="1" ref="AG76" ca="1">IF( OR($AA76=0,AX76=0), "", _xll.IMDP("IR",$AA76,J$6,$C$8) )</f>
        <v>4.2240000000000002</v>
      </c>
      <c r="AH76" s="19" cm="1">
        <f t="array" aca="1" ref="AH76" ca="1">IF( OR($AA76=0,AY76=0), "", _xll.IMDP("IR",$AA76,K$6,$C$8) )</f>
        <v>4.3449999999999998</v>
      </c>
      <c r="AI76" s="19" cm="1">
        <f t="array" aca="1" ref="AI76" ca="1">IF( OR($AA76=0,AZ76=0), "", _xll.IMDP("IR",$AA76,L$6,$C$8) )</f>
        <v>4.4740000000000002</v>
      </c>
      <c r="AJ76" s="19" cm="1">
        <f t="array" aca="1" ref="AJ76" ca="1">IF( OR($AA76=0,BA76=0), "", _xll.IMDP("IR",$AA76,M$6,$C$8) )</f>
        <v>4.843</v>
      </c>
      <c r="AK76" s="19" cm="1">
        <f t="array" aca="1" ref="AK76" ca="1">IF( OR($AA76=0,BB76=0), "", _xll.IMDP("IR",$AA76,N$6,$C$8) )</f>
        <v>5.1509999999999998</v>
      </c>
      <c r="AL76" s="19" cm="1">
        <f t="array" aca="1" ref="AL76" ca="1">IF( OR($AA76=0,BC76=0), "", _xll.IMDP("IR",$AA76,O$6,$C$8) )</f>
        <v>5.41</v>
      </c>
      <c r="AM76" s="19" cm="1">
        <f t="array" aca="1" ref="AM76" ca="1">IF( OR($AA76=0,BD76=0), "", _xll.IMDP("IR",$AA76,P$6,$C$8) )</f>
        <v>6.117</v>
      </c>
      <c r="AN76" s="19" cm="1">
        <f t="array" aca="1" ref="AN76" ca="1">IF( OR($AA76=0,BE76=0), "", _xll.IMDP("IR",$AA76,Q$6,$C$8) )</f>
        <v>6.5430000000000001</v>
      </c>
      <c r="AO76" s="19" cm="1">
        <f t="array" aca="1" ref="AO76" ca="1">IF( OR($AA76=0,BF76=0), "", _xll.IMDP("IR",$AA76,R$6,$C$8) )</f>
        <v>6.8650000000000002</v>
      </c>
      <c r="AP76" s="19" t="str" cm="1">
        <f t="array" aca="1" ref="AP76" ca="1">IF( OR($AA76=0,BG76=0), "", _xll.IMDP("IR",$AA76,S$6,$C$8) )</f>
        <v/>
      </c>
      <c r="AQ76" s="19" t="str" cm="1">
        <f t="array" aca="1" ref="AQ76" ca="1">IF( OR($AA76=0,BH76=0), "", _xll.IMDP("IR",$AA76,T$6,$C$8) )</f>
        <v/>
      </c>
      <c r="AR76" s="5"/>
      <c r="AS76" s="20" cm="1">
        <f t="array" aca="1" ref="AS76" ca="1">_xll.IMDP("IR",$AA76,E$5,$C$8)</f>
        <v>3.8519999999999999</v>
      </c>
      <c r="AT76" s="5" cm="1">
        <f t="array" aca="1" ref="AT76" ca="1">_xll.IMDP("IR",$AA76,F$5,$C$8)</f>
        <v>3.9870000000000001</v>
      </c>
      <c r="AU76" s="5" cm="1">
        <f t="array" aca="1" ref="AU76" ca="1">_xll.IMDP("IR",$AA76,G$5,$C$8)</f>
        <v>4.0279999999999996</v>
      </c>
      <c r="AV76" s="5" cm="1">
        <f t="array" aca="1" ref="AV76" ca="1">_xll.IMDP("IR",$AA76,H$5,$C$8)</f>
        <v>4.0670000000000002</v>
      </c>
      <c r="AW76" s="5" cm="1">
        <f t="array" aca="1" ref="AW76" ca="1">_xll.IMDP("IR",$AA76,I$5,$C$8)</f>
        <v>4.1559999999999997</v>
      </c>
      <c r="AX76" s="5" cm="1">
        <f t="array" aca="1" ref="AX76" ca="1">_xll.IMDP("IR",$AA76,J$5,$C$8)</f>
        <v>4.2240000000000002</v>
      </c>
      <c r="AY76" s="5" cm="1">
        <f t="array" aca="1" ref="AY76" ca="1">_xll.IMDP("IR",$AA76,K$5,$C$8)</f>
        <v>4.3449999999999998</v>
      </c>
      <c r="AZ76" s="5" cm="1">
        <f t="array" aca="1" ref="AZ76" ca="1">_xll.IMDP("IR",$AA76,L$5,$C$8)</f>
        <v>4.4740000000000002</v>
      </c>
      <c r="BA76" s="5" cm="1">
        <f t="array" aca="1" ref="BA76" ca="1">_xll.IMDP("IR",$AA76,M$5,$C$8)</f>
        <v>4.843</v>
      </c>
      <c r="BB76" s="5" cm="1">
        <f t="array" aca="1" ref="BB76" ca="1">_xll.IMDP("IR",$AA76,N$5,$C$8)</f>
        <v>5.1509999999999998</v>
      </c>
      <c r="BC76" s="5" cm="1">
        <f t="array" aca="1" ref="BC76" ca="1">_xll.IMDP("IR",$AA76,O$5,$C$8)</f>
        <v>5.41</v>
      </c>
      <c r="BD76" s="5" cm="1">
        <f t="array" aca="1" ref="BD76" ca="1">_xll.IMDP("IR",$AA76,P$5,$C$8)</f>
        <v>6.117</v>
      </c>
      <c r="BE76" s="5" cm="1">
        <f t="array" aca="1" ref="BE76" ca="1">_xll.IMDP("IR",$AA76,Q$5,$C$8)</f>
        <v>6.5430000000000001</v>
      </c>
      <c r="BF76" s="5" cm="1">
        <f t="array" aca="1" ref="BF76" ca="1">_xll.IMDP("IR",$AA76,R$5,$C$8)</f>
        <v>6.8650000000000002</v>
      </c>
      <c r="BG76" s="5" cm="1">
        <f t="array" aca="1" ref="BG76" ca="1">_xll.IMDP("IR",$AA76,S$5,$C$8)</f>
        <v>0</v>
      </c>
      <c r="BH76" s="5" cm="1">
        <f t="array" aca="1" ref="BH76" ca="1">_xll.IMDP("IR",$AA76,T$5,$C$8)</f>
        <v>0</v>
      </c>
    </row>
    <row r="77" spans="2:60" ht="13.5" customHeight="1" x14ac:dyDescent="0.3">
      <c r="B77" s="70"/>
      <c r="C77" s="71"/>
      <c r="D77" s="23" t="s">
        <v>650</v>
      </c>
      <c r="E77" s="24">
        <f t="shared" ref="E77:S81" ca="1" si="6">IFERROR( IF( $D$4=2, AB77*100, AB77), "")</f>
        <v>4.1150000000000002</v>
      </c>
      <c r="F77" s="24">
        <f t="shared" ca="1" si="6"/>
        <v>4.2679999999999998</v>
      </c>
      <c r="G77" s="24">
        <f t="shared" ca="1" si="6"/>
        <v>4.335</v>
      </c>
      <c r="H77" s="24">
        <f t="shared" ca="1" si="6"/>
        <v>4.3780000000000001</v>
      </c>
      <c r="I77" s="24">
        <f t="shared" ca="1" si="6"/>
        <v>4.4980000000000002</v>
      </c>
      <c r="J77" s="24">
        <f t="shared" ca="1" si="6"/>
        <v>4.5890000000000004</v>
      </c>
      <c r="K77" s="24">
        <f t="shared" ca="1" si="6"/>
        <v>4.7619999999999996</v>
      </c>
      <c r="L77" s="24">
        <f t="shared" ca="1" si="6"/>
        <v>4.9649999999999999</v>
      </c>
      <c r="M77" s="24">
        <f t="shared" ca="1" si="6"/>
        <v>5.3659999999999997</v>
      </c>
      <c r="N77" s="24">
        <f t="shared" ca="1" si="6"/>
        <v>5.78</v>
      </c>
      <c r="O77" s="24">
        <f t="shared" ca="1" si="6"/>
        <v>5.9710000000000001</v>
      </c>
      <c r="P77" s="24">
        <f t="shared" ca="1" si="6"/>
        <v>6.65</v>
      </c>
      <c r="Q77" s="24">
        <f t="shared" ca="1" si="6"/>
        <v>7.07</v>
      </c>
      <c r="R77" s="24">
        <f t="shared" ca="1" si="6"/>
        <v>7.4509999999999996</v>
      </c>
      <c r="S77" s="24" t="str">
        <f t="shared" ca="1" si="6"/>
        <v/>
      </c>
      <c r="T77" s="25" t="str">
        <f t="shared" ca="1" si="3"/>
        <v/>
      </c>
      <c r="U77" s="17"/>
      <c r="Z77" s="18">
        <f>ROWS($Z$11:Z77)</f>
        <v>67</v>
      </c>
      <c r="AA77" s="18" t="str" cm="1">
        <f t="array" ref="AA77">INDEX(code!$E$2:$K$72,시가평가Matrix!$Z77,$D$3)</f>
        <v>BONDAVG75</v>
      </c>
      <c r="AB77" s="19" cm="1">
        <f t="array" aca="1" ref="AB77" ca="1">IF( OR($AA77=0,AS77=0), "", _xll.IMDP("IR",$AA77,E$6,$C$8) )</f>
        <v>4.1150000000000002</v>
      </c>
      <c r="AC77" s="19" cm="1">
        <f t="array" aca="1" ref="AC77" ca="1">IF( OR($AA77=0,AT77=0), "", _xll.IMDP("IR",$AA77,F$6,$C$8) )</f>
        <v>4.2679999999999998</v>
      </c>
      <c r="AD77" s="19" cm="1">
        <f t="array" aca="1" ref="AD77" ca="1">IF( OR($AA77=0,AU77=0), "", _xll.IMDP("IR",$AA77,G$6,$C$8) )</f>
        <v>4.335</v>
      </c>
      <c r="AE77" s="19" cm="1">
        <f t="array" aca="1" ref="AE77" ca="1">IF( OR($AA77=0,AV77=0), "", _xll.IMDP("IR",$AA77,H$6,$C$8) )</f>
        <v>4.3780000000000001</v>
      </c>
      <c r="AF77" s="19" cm="1">
        <f t="array" aca="1" ref="AF77" ca="1">IF( OR($AA77=0,AW77=0), "", _xll.IMDP("IR",$AA77,I$6,$C$8) )</f>
        <v>4.4980000000000002</v>
      </c>
      <c r="AG77" s="19" cm="1">
        <f t="array" aca="1" ref="AG77" ca="1">IF( OR($AA77=0,AX77=0), "", _xll.IMDP("IR",$AA77,J$6,$C$8) )</f>
        <v>4.5890000000000004</v>
      </c>
      <c r="AH77" s="19" cm="1">
        <f t="array" aca="1" ref="AH77" ca="1">IF( OR($AA77=0,AY77=0), "", _xll.IMDP("IR",$AA77,K$6,$C$8) )</f>
        <v>4.7619999999999996</v>
      </c>
      <c r="AI77" s="19" cm="1">
        <f t="array" aca="1" ref="AI77" ca="1">IF( OR($AA77=0,AZ77=0), "", _xll.IMDP("IR",$AA77,L$6,$C$8) )</f>
        <v>4.9649999999999999</v>
      </c>
      <c r="AJ77" s="19" cm="1">
        <f t="array" aca="1" ref="AJ77" ca="1">IF( OR($AA77=0,BA77=0), "", _xll.IMDP("IR",$AA77,M$6,$C$8) )</f>
        <v>5.3659999999999997</v>
      </c>
      <c r="AK77" s="19" cm="1">
        <f t="array" aca="1" ref="AK77" ca="1">IF( OR($AA77=0,BB77=0), "", _xll.IMDP("IR",$AA77,N$6,$C$8) )</f>
        <v>5.78</v>
      </c>
      <c r="AL77" s="19" cm="1">
        <f t="array" aca="1" ref="AL77" ca="1">IF( OR($AA77=0,BC77=0), "", _xll.IMDP("IR",$AA77,O$6,$C$8) )</f>
        <v>5.9710000000000001</v>
      </c>
      <c r="AM77" s="19" cm="1">
        <f t="array" aca="1" ref="AM77" ca="1">IF( OR($AA77=0,BD77=0), "", _xll.IMDP("IR",$AA77,P$6,$C$8) )</f>
        <v>6.65</v>
      </c>
      <c r="AN77" s="19" cm="1">
        <f t="array" aca="1" ref="AN77" ca="1">IF( OR($AA77=0,BE77=0), "", _xll.IMDP("IR",$AA77,Q$6,$C$8) )</f>
        <v>7.07</v>
      </c>
      <c r="AO77" s="19" cm="1">
        <f t="array" aca="1" ref="AO77" ca="1">IF( OR($AA77=0,BF77=0), "", _xll.IMDP("IR",$AA77,R$6,$C$8) )</f>
        <v>7.4509999999999996</v>
      </c>
      <c r="AP77" s="19" t="str" cm="1">
        <f t="array" aca="1" ref="AP77" ca="1">IF( OR($AA77=0,BG77=0), "", _xll.IMDP("IR",$AA77,S$6,$C$8) )</f>
        <v/>
      </c>
      <c r="AQ77" s="19" t="str" cm="1">
        <f t="array" aca="1" ref="AQ77" ca="1">IF( OR($AA77=0,BH77=0), "", _xll.IMDP("IR",$AA77,T$6,$C$8) )</f>
        <v/>
      </c>
      <c r="AR77" s="5"/>
      <c r="AS77" s="20" cm="1">
        <f t="array" aca="1" ref="AS77" ca="1">_xll.IMDP("IR",$AA77,E$5,$C$8)</f>
        <v>4.1150000000000002</v>
      </c>
      <c r="AT77" s="5" cm="1">
        <f t="array" aca="1" ref="AT77" ca="1">_xll.IMDP("IR",$AA77,F$5,$C$8)</f>
        <v>4.2679999999999998</v>
      </c>
      <c r="AU77" s="5" cm="1">
        <f t="array" aca="1" ref="AU77" ca="1">_xll.IMDP("IR",$AA77,G$5,$C$8)</f>
        <v>4.335</v>
      </c>
      <c r="AV77" s="5" cm="1">
        <f t="array" aca="1" ref="AV77" ca="1">_xll.IMDP("IR",$AA77,H$5,$C$8)</f>
        <v>4.3780000000000001</v>
      </c>
      <c r="AW77" s="5" cm="1">
        <f t="array" aca="1" ref="AW77" ca="1">_xll.IMDP("IR",$AA77,I$5,$C$8)</f>
        <v>4.4980000000000002</v>
      </c>
      <c r="AX77" s="5" cm="1">
        <f t="array" aca="1" ref="AX77" ca="1">_xll.IMDP("IR",$AA77,J$5,$C$8)</f>
        <v>4.5890000000000004</v>
      </c>
      <c r="AY77" s="5" cm="1">
        <f t="array" aca="1" ref="AY77" ca="1">_xll.IMDP("IR",$AA77,K$5,$C$8)</f>
        <v>4.7619999999999996</v>
      </c>
      <c r="AZ77" s="5" cm="1">
        <f t="array" aca="1" ref="AZ77" ca="1">_xll.IMDP("IR",$AA77,L$5,$C$8)</f>
        <v>4.9649999999999999</v>
      </c>
      <c r="BA77" s="5" cm="1">
        <f t="array" aca="1" ref="BA77" ca="1">_xll.IMDP("IR",$AA77,M$5,$C$8)</f>
        <v>5.3659999999999997</v>
      </c>
      <c r="BB77" s="5" cm="1">
        <f t="array" aca="1" ref="BB77" ca="1">_xll.IMDP("IR",$AA77,N$5,$C$8)</f>
        <v>5.78</v>
      </c>
      <c r="BC77" s="5" cm="1">
        <f t="array" aca="1" ref="BC77" ca="1">_xll.IMDP("IR",$AA77,O$5,$C$8)</f>
        <v>5.9710000000000001</v>
      </c>
      <c r="BD77" s="5" cm="1">
        <f t="array" aca="1" ref="BD77" ca="1">_xll.IMDP("IR",$AA77,P$5,$C$8)</f>
        <v>6.65</v>
      </c>
      <c r="BE77" s="5" cm="1">
        <f t="array" aca="1" ref="BE77" ca="1">_xll.IMDP("IR",$AA77,Q$5,$C$8)</f>
        <v>7.07</v>
      </c>
      <c r="BF77" s="5" cm="1">
        <f t="array" aca="1" ref="BF77" ca="1">_xll.IMDP("IR",$AA77,R$5,$C$8)</f>
        <v>7.4509999999999996</v>
      </c>
      <c r="BG77" s="5" cm="1">
        <f t="array" aca="1" ref="BG77" ca="1">_xll.IMDP("IR",$AA77,S$5,$C$8)</f>
        <v>0</v>
      </c>
      <c r="BH77" s="5" cm="1">
        <f t="array" aca="1" ref="BH77" ca="1">_xll.IMDP("IR",$AA77,T$5,$C$8)</f>
        <v>0</v>
      </c>
    </row>
    <row r="78" spans="2:60" ht="13.5" customHeight="1" x14ac:dyDescent="0.3">
      <c r="B78" s="70"/>
      <c r="C78" s="71"/>
      <c r="D78" s="23" t="s">
        <v>651</v>
      </c>
      <c r="E78" s="24">
        <f t="shared" ca="1" si="6"/>
        <v>4.7290000000000001</v>
      </c>
      <c r="F78" s="24">
        <f t="shared" ca="1" si="6"/>
        <v>5.1929999999999996</v>
      </c>
      <c r="G78" s="24">
        <f t="shared" ca="1" si="6"/>
        <v>5.6369999999999996</v>
      </c>
      <c r="H78" s="24">
        <f t="shared" ca="1" si="6"/>
        <v>5.8529999999999998</v>
      </c>
      <c r="I78" s="24">
        <f t="shared" ca="1" si="6"/>
        <v>6.2859999999999996</v>
      </c>
      <c r="J78" s="24">
        <f t="shared" ca="1" si="6"/>
        <v>6.8330000000000002</v>
      </c>
      <c r="K78" s="24">
        <f t="shared" ca="1" si="6"/>
        <v>7.2249999999999996</v>
      </c>
      <c r="L78" s="24">
        <f t="shared" ca="1" si="6"/>
        <v>7.5270000000000001</v>
      </c>
      <c r="M78" s="24">
        <f t="shared" ca="1" si="6"/>
        <v>7.76</v>
      </c>
      <c r="N78" s="24">
        <f t="shared" ca="1" si="6"/>
        <v>7.8630000000000004</v>
      </c>
      <c r="O78" s="24">
        <f t="shared" ca="1" si="6"/>
        <v>7.9589999999999996</v>
      </c>
      <c r="P78" s="24">
        <f t="shared" ca="1" si="6"/>
        <v>8.32</v>
      </c>
      <c r="Q78" s="24">
        <f t="shared" ca="1" si="6"/>
        <v>8.6709999999999994</v>
      </c>
      <c r="R78" s="24">
        <f t="shared" ca="1" si="6"/>
        <v>8.9849999999999994</v>
      </c>
      <c r="S78" s="24" t="str">
        <f t="shared" ca="1" si="6"/>
        <v/>
      </c>
      <c r="T78" s="25" t="str">
        <f t="shared" ca="1" si="3"/>
        <v/>
      </c>
      <c r="U78" s="17"/>
      <c r="Z78" s="18">
        <f>ROWS($Z$11:Z78)</f>
        <v>68</v>
      </c>
      <c r="AA78" s="18" t="str" cm="1">
        <f t="array" ref="AA78">INDEX(code!$E$2:$K$72,시가평가Matrix!$Z78,$D$3)</f>
        <v>BONDAVG76</v>
      </c>
      <c r="AB78" s="19" cm="1">
        <f t="array" aca="1" ref="AB78" ca="1">IF( OR($AA78=0,AS78=0), "", _xll.IMDP("IR",$AA78,E$6,$C$8) )</f>
        <v>4.7290000000000001</v>
      </c>
      <c r="AC78" s="19" cm="1">
        <f t="array" aca="1" ref="AC78" ca="1">IF( OR($AA78=0,AT78=0), "", _xll.IMDP("IR",$AA78,F$6,$C$8) )</f>
        <v>5.1929999999999996</v>
      </c>
      <c r="AD78" s="19" cm="1">
        <f t="array" aca="1" ref="AD78" ca="1">IF( OR($AA78=0,AU78=0), "", _xll.IMDP("IR",$AA78,G$6,$C$8) )</f>
        <v>5.6369999999999996</v>
      </c>
      <c r="AE78" s="19" cm="1">
        <f t="array" aca="1" ref="AE78" ca="1">IF( OR($AA78=0,AV78=0), "", _xll.IMDP("IR",$AA78,H$6,$C$8) )</f>
        <v>5.8529999999999998</v>
      </c>
      <c r="AF78" s="19" cm="1">
        <f t="array" aca="1" ref="AF78" ca="1">IF( OR($AA78=0,AW78=0), "", _xll.IMDP("IR",$AA78,I$6,$C$8) )</f>
        <v>6.2859999999999996</v>
      </c>
      <c r="AG78" s="19" cm="1">
        <f t="array" aca="1" ref="AG78" ca="1">IF( OR($AA78=0,AX78=0), "", _xll.IMDP("IR",$AA78,J$6,$C$8) )</f>
        <v>6.8330000000000002</v>
      </c>
      <c r="AH78" s="19" cm="1">
        <f t="array" aca="1" ref="AH78" ca="1">IF( OR($AA78=0,AY78=0), "", _xll.IMDP("IR",$AA78,K$6,$C$8) )</f>
        <v>7.2249999999999996</v>
      </c>
      <c r="AI78" s="19" cm="1">
        <f t="array" aca="1" ref="AI78" ca="1">IF( OR($AA78=0,AZ78=0), "", _xll.IMDP("IR",$AA78,L$6,$C$8) )</f>
        <v>7.5270000000000001</v>
      </c>
      <c r="AJ78" s="19" cm="1">
        <f t="array" aca="1" ref="AJ78" ca="1">IF( OR($AA78=0,BA78=0), "", _xll.IMDP("IR",$AA78,M$6,$C$8) )</f>
        <v>7.76</v>
      </c>
      <c r="AK78" s="19" cm="1">
        <f t="array" aca="1" ref="AK78" ca="1">IF( OR($AA78=0,BB78=0), "", _xll.IMDP("IR",$AA78,N$6,$C$8) )</f>
        <v>7.8630000000000004</v>
      </c>
      <c r="AL78" s="19" cm="1">
        <f t="array" aca="1" ref="AL78" ca="1">IF( OR($AA78=0,BC78=0), "", _xll.IMDP("IR",$AA78,O$6,$C$8) )</f>
        <v>7.9589999999999996</v>
      </c>
      <c r="AM78" s="19" cm="1">
        <f t="array" aca="1" ref="AM78" ca="1">IF( OR($AA78=0,BD78=0), "", _xll.IMDP("IR",$AA78,P$6,$C$8) )</f>
        <v>8.32</v>
      </c>
      <c r="AN78" s="19" cm="1">
        <f t="array" aca="1" ref="AN78" ca="1">IF( OR($AA78=0,BE78=0), "", _xll.IMDP("IR",$AA78,Q$6,$C$8) )</f>
        <v>8.6709999999999994</v>
      </c>
      <c r="AO78" s="19" cm="1">
        <f t="array" aca="1" ref="AO78" ca="1">IF( OR($AA78=0,BF78=0), "", _xll.IMDP("IR",$AA78,R$6,$C$8) )</f>
        <v>8.9849999999999994</v>
      </c>
      <c r="AP78" s="19" t="str" cm="1">
        <f t="array" aca="1" ref="AP78" ca="1">IF( OR($AA78=0,BG78=0), "", _xll.IMDP("IR",$AA78,S$6,$C$8) )</f>
        <v/>
      </c>
      <c r="AQ78" s="19" t="str" cm="1">
        <f t="array" aca="1" ref="AQ78" ca="1">IF( OR($AA78=0,BH78=0), "", _xll.IMDP("IR",$AA78,T$6,$C$8) )</f>
        <v/>
      </c>
      <c r="AR78" s="5"/>
      <c r="AS78" s="20" cm="1">
        <f t="array" aca="1" ref="AS78" ca="1">_xll.IMDP("IR",$AA78,E$5,$C$8)</f>
        <v>4.7290000000000001</v>
      </c>
      <c r="AT78" s="5" cm="1">
        <f t="array" aca="1" ref="AT78" ca="1">_xll.IMDP("IR",$AA78,F$5,$C$8)</f>
        <v>5.1929999999999996</v>
      </c>
      <c r="AU78" s="5" cm="1">
        <f t="array" aca="1" ref="AU78" ca="1">_xll.IMDP("IR",$AA78,G$5,$C$8)</f>
        <v>5.6369999999999996</v>
      </c>
      <c r="AV78" s="5" cm="1">
        <f t="array" aca="1" ref="AV78" ca="1">_xll.IMDP("IR",$AA78,H$5,$C$8)</f>
        <v>5.8529999999999998</v>
      </c>
      <c r="AW78" s="5" cm="1">
        <f t="array" aca="1" ref="AW78" ca="1">_xll.IMDP("IR",$AA78,I$5,$C$8)</f>
        <v>6.2859999999999996</v>
      </c>
      <c r="AX78" s="5" cm="1">
        <f t="array" aca="1" ref="AX78" ca="1">_xll.IMDP("IR",$AA78,J$5,$C$8)</f>
        <v>6.8330000000000002</v>
      </c>
      <c r="AY78" s="5" cm="1">
        <f t="array" aca="1" ref="AY78" ca="1">_xll.IMDP("IR",$AA78,K$5,$C$8)</f>
        <v>7.2249999999999996</v>
      </c>
      <c r="AZ78" s="5" cm="1">
        <f t="array" aca="1" ref="AZ78" ca="1">_xll.IMDP("IR",$AA78,L$5,$C$8)</f>
        <v>7.5270000000000001</v>
      </c>
      <c r="BA78" s="5" cm="1">
        <f t="array" aca="1" ref="BA78" ca="1">_xll.IMDP("IR",$AA78,M$5,$C$8)</f>
        <v>7.76</v>
      </c>
      <c r="BB78" s="5" cm="1">
        <f t="array" aca="1" ref="BB78" ca="1">_xll.IMDP("IR",$AA78,N$5,$C$8)</f>
        <v>7.8630000000000004</v>
      </c>
      <c r="BC78" s="5" cm="1">
        <f t="array" aca="1" ref="BC78" ca="1">_xll.IMDP("IR",$AA78,O$5,$C$8)</f>
        <v>7.9589999999999996</v>
      </c>
      <c r="BD78" s="5" cm="1">
        <f t="array" aca="1" ref="BD78" ca="1">_xll.IMDP("IR",$AA78,P$5,$C$8)</f>
        <v>8.32</v>
      </c>
      <c r="BE78" s="5" cm="1">
        <f t="array" aca="1" ref="BE78" ca="1">_xll.IMDP("IR",$AA78,Q$5,$C$8)</f>
        <v>8.6709999999999994</v>
      </c>
      <c r="BF78" s="5" cm="1">
        <f t="array" aca="1" ref="BF78" ca="1">_xll.IMDP("IR",$AA78,R$5,$C$8)</f>
        <v>8.9849999999999994</v>
      </c>
      <c r="BG78" s="5" cm="1">
        <f t="array" aca="1" ref="BG78" ca="1">_xll.IMDP("IR",$AA78,S$5,$C$8)</f>
        <v>0</v>
      </c>
      <c r="BH78" s="5" cm="1">
        <f t="array" aca="1" ref="BH78" ca="1">_xll.IMDP("IR",$AA78,T$5,$C$8)</f>
        <v>0</v>
      </c>
    </row>
    <row r="79" spans="2:60" ht="13.5" customHeight="1" x14ac:dyDescent="0.3">
      <c r="B79" s="70"/>
      <c r="C79" s="71"/>
      <c r="D79" s="23" t="s">
        <v>652</v>
      </c>
      <c r="E79" s="24">
        <f t="shared" ca="1" si="6"/>
        <v>5.1230000000000002</v>
      </c>
      <c r="F79" s="24">
        <f t="shared" ca="1" si="6"/>
        <v>5.7329999999999997</v>
      </c>
      <c r="G79" s="24">
        <f t="shared" ca="1" si="6"/>
        <v>6.2430000000000003</v>
      </c>
      <c r="H79" s="24">
        <f t="shared" ca="1" si="6"/>
        <v>6.5940000000000003</v>
      </c>
      <c r="I79" s="24">
        <f t="shared" ca="1" si="6"/>
        <v>7.14</v>
      </c>
      <c r="J79" s="24">
        <f t="shared" ca="1" si="6"/>
        <v>7.843</v>
      </c>
      <c r="K79" s="24">
        <f t="shared" ca="1" si="6"/>
        <v>8.3190000000000008</v>
      </c>
      <c r="L79" s="24">
        <f t="shared" ca="1" si="6"/>
        <v>8.6370000000000005</v>
      </c>
      <c r="M79" s="24">
        <f t="shared" ca="1" si="6"/>
        <v>8.8919999999999995</v>
      </c>
      <c r="N79" s="24">
        <f t="shared" ca="1" si="6"/>
        <v>9.0030000000000001</v>
      </c>
      <c r="O79" s="24">
        <f t="shared" ca="1" si="6"/>
        <v>9.109</v>
      </c>
      <c r="P79" s="24">
        <f t="shared" ca="1" si="6"/>
        <v>9.5120000000000005</v>
      </c>
      <c r="Q79" s="24">
        <f t="shared" ca="1" si="6"/>
        <v>9.8659999999999997</v>
      </c>
      <c r="R79" s="24">
        <f t="shared" ca="1" si="6"/>
        <v>10.211</v>
      </c>
      <c r="S79" s="24" t="str">
        <f t="shared" ca="1" si="6"/>
        <v/>
      </c>
      <c r="T79" s="25" t="str">
        <f t="shared" ca="1" si="3"/>
        <v/>
      </c>
      <c r="U79" s="17"/>
      <c r="Z79" s="18">
        <f>ROWS($Z$11:Z79)</f>
        <v>69</v>
      </c>
      <c r="AA79" s="18" t="str" cm="1">
        <f t="array" ref="AA79">INDEX(code!$E$2:$K$72,시가평가Matrix!$Z79,$D$3)</f>
        <v>BONDAVG77</v>
      </c>
      <c r="AB79" s="19" cm="1">
        <f t="array" aca="1" ref="AB79" ca="1">IF( OR($AA79=0,AS79=0), "", _xll.IMDP("IR",$AA79,E$6,$C$8) )</f>
        <v>5.1230000000000002</v>
      </c>
      <c r="AC79" s="19" cm="1">
        <f t="array" aca="1" ref="AC79" ca="1">IF( OR($AA79=0,AT79=0), "", _xll.IMDP("IR",$AA79,F$6,$C$8) )</f>
        <v>5.7329999999999997</v>
      </c>
      <c r="AD79" s="19" cm="1">
        <f t="array" aca="1" ref="AD79" ca="1">IF( OR($AA79=0,AU79=0), "", _xll.IMDP("IR",$AA79,G$6,$C$8) )</f>
        <v>6.2430000000000003</v>
      </c>
      <c r="AE79" s="19" cm="1">
        <f t="array" aca="1" ref="AE79" ca="1">IF( OR($AA79=0,AV79=0), "", _xll.IMDP("IR",$AA79,H$6,$C$8) )</f>
        <v>6.5940000000000003</v>
      </c>
      <c r="AF79" s="19" cm="1">
        <f t="array" aca="1" ref="AF79" ca="1">IF( OR($AA79=0,AW79=0), "", _xll.IMDP("IR",$AA79,I$6,$C$8) )</f>
        <v>7.14</v>
      </c>
      <c r="AG79" s="19" cm="1">
        <f t="array" aca="1" ref="AG79" ca="1">IF( OR($AA79=0,AX79=0), "", _xll.IMDP("IR",$AA79,J$6,$C$8) )</f>
        <v>7.843</v>
      </c>
      <c r="AH79" s="19" cm="1">
        <f t="array" aca="1" ref="AH79" ca="1">IF( OR($AA79=0,AY79=0), "", _xll.IMDP("IR",$AA79,K$6,$C$8) )</f>
        <v>8.3190000000000008</v>
      </c>
      <c r="AI79" s="19" cm="1">
        <f t="array" aca="1" ref="AI79" ca="1">IF( OR($AA79=0,AZ79=0), "", _xll.IMDP("IR",$AA79,L$6,$C$8) )</f>
        <v>8.6370000000000005</v>
      </c>
      <c r="AJ79" s="19" cm="1">
        <f t="array" aca="1" ref="AJ79" ca="1">IF( OR($AA79=0,BA79=0), "", _xll.IMDP("IR",$AA79,M$6,$C$8) )</f>
        <v>8.8919999999999995</v>
      </c>
      <c r="AK79" s="19" cm="1">
        <f t="array" aca="1" ref="AK79" ca="1">IF( OR($AA79=0,BB79=0), "", _xll.IMDP("IR",$AA79,N$6,$C$8) )</f>
        <v>9.0030000000000001</v>
      </c>
      <c r="AL79" s="19" cm="1">
        <f t="array" aca="1" ref="AL79" ca="1">IF( OR($AA79=0,BC79=0), "", _xll.IMDP("IR",$AA79,O$6,$C$8) )</f>
        <v>9.109</v>
      </c>
      <c r="AM79" s="19" cm="1">
        <f t="array" aca="1" ref="AM79" ca="1">IF( OR($AA79=0,BD79=0), "", _xll.IMDP("IR",$AA79,P$6,$C$8) )</f>
        <v>9.5120000000000005</v>
      </c>
      <c r="AN79" s="19" cm="1">
        <f t="array" aca="1" ref="AN79" ca="1">IF( OR($AA79=0,BE79=0), "", _xll.IMDP("IR",$AA79,Q$6,$C$8) )</f>
        <v>9.8659999999999997</v>
      </c>
      <c r="AO79" s="19" cm="1">
        <f t="array" aca="1" ref="AO79" ca="1">IF( OR($AA79=0,BF79=0), "", _xll.IMDP("IR",$AA79,R$6,$C$8) )</f>
        <v>10.211</v>
      </c>
      <c r="AP79" s="19" t="str" cm="1">
        <f t="array" aca="1" ref="AP79" ca="1">IF( OR($AA79=0,BG79=0), "", _xll.IMDP("IR",$AA79,S$6,$C$8) )</f>
        <v/>
      </c>
      <c r="AQ79" s="19" t="str" cm="1">
        <f t="array" aca="1" ref="AQ79" ca="1">IF( OR($AA79=0,BH79=0), "", _xll.IMDP("IR",$AA79,T$6,$C$8) )</f>
        <v/>
      </c>
      <c r="AR79" s="5"/>
      <c r="AS79" s="20" cm="1">
        <f t="array" aca="1" ref="AS79" ca="1">_xll.IMDP("IR",$AA79,E$5,$C$8)</f>
        <v>5.1230000000000002</v>
      </c>
      <c r="AT79" s="5" cm="1">
        <f t="array" aca="1" ref="AT79" ca="1">_xll.IMDP("IR",$AA79,F$5,$C$8)</f>
        <v>5.7329999999999997</v>
      </c>
      <c r="AU79" s="5" cm="1">
        <f t="array" aca="1" ref="AU79" ca="1">_xll.IMDP("IR",$AA79,G$5,$C$8)</f>
        <v>6.2430000000000003</v>
      </c>
      <c r="AV79" s="5" cm="1">
        <f t="array" aca="1" ref="AV79" ca="1">_xll.IMDP("IR",$AA79,H$5,$C$8)</f>
        <v>6.5940000000000003</v>
      </c>
      <c r="AW79" s="5" cm="1">
        <f t="array" aca="1" ref="AW79" ca="1">_xll.IMDP("IR",$AA79,I$5,$C$8)</f>
        <v>7.14</v>
      </c>
      <c r="AX79" s="5" cm="1">
        <f t="array" aca="1" ref="AX79" ca="1">_xll.IMDP("IR",$AA79,J$5,$C$8)</f>
        <v>7.843</v>
      </c>
      <c r="AY79" s="5" cm="1">
        <f t="array" aca="1" ref="AY79" ca="1">_xll.IMDP("IR",$AA79,K$5,$C$8)</f>
        <v>8.3190000000000008</v>
      </c>
      <c r="AZ79" s="5" cm="1">
        <f t="array" aca="1" ref="AZ79" ca="1">_xll.IMDP("IR",$AA79,L$5,$C$8)</f>
        <v>8.6370000000000005</v>
      </c>
      <c r="BA79" s="5" cm="1">
        <f t="array" aca="1" ref="BA79" ca="1">_xll.IMDP("IR",$AA79,M$5,$C$8)</f>
        <v>8.8919999999999995</v>
      </c>
      <c r="BB79" s="5" cm="1">
        <f t="array" aca="1" ref="BB79" ca="1">_xll.IMDP("IR",$AA79,N$5,$C$8)</f>
        <v>9.0030000000000001</v>
      </c>
      <c r="BC79" s="5" cm="1">
        <f t="array" aca="1" ref="BC79" ca="1">_xll.IMDP("IR",$AA79,O$5,$C$8)</f>
        <v>9.109</v>
      </c>
      <c r="BD79" s="5" cm="1">
        <f t="array" aca="1" ref="BD79" ca="1">_xll.IMDP("IR",$AA79,P$5,$C$8)</f>
        <v>9.5120000000000005</v>
      </c>
      <c r="BE79" s="5" cm="1">
        <f t="array" aca="1" ref="BE79" ca="1">_xll.IMDP("IR",$AA79,Q$5,$C$8)</f>
        <v>9.8659999999999997</v>
      </c>
      <c r="BF79" s="5" cm="1">
        <f t="array" aca="1" ref="BF79" ca="1">_xll.IMDP("IR",$AA79,R$5,$C$8)</f>
        <v>10.211</v>
      </c>
      <c r="BG79" s="5" cm="1">
        <f t="array" aca="1" ref="BG79" ca="1">_xll.IMDP("IR",$AA79,S$5,$C$8)</f>
        <v>0</v>
      </c>
      <c r="BH79" s="5" cm="1">
        <f t="array" aca="1" ref="BH79" ca="1">_xll.IMDP("IR",$AA79,T$5,$C$8)</f>
        <v>0</v>
      </c>
    </row>
    <row r="80" spans="2:60" ht="13.5" customHeight="1" x14ac:dyDescent="0.3">
      <c r="B80" s="70"/>
      <c r="C80" s="71"/>
      <c r="D80" s="26" t="s">
        <v>653</v>
      </c>
      <c r="E80" s="27">
        <f t="shared" ca="1" si="6"/>
        <v>6.1040000000000001</v>
      </c>
      <c r="F80" s="27">
        <f t="shared" ca="1" si="6"/>
        <v>6.8120000000000003</v>
      </c>
      <c r="G80" s="27">
        <f t="shared" ca="1" si="6"/>
        <v>7.4560000000000004</v>
      </c>
      <c r="H80" s="27">
        <f t="shared" ca="1" si="6"/>
        <v>7.8559999999999999</v>
      </c>
      <c r="I80" s="27">
        <f t="shared" ca="1" si="6"/>
        <v>8.5670000000000002</v>
      </c>
      <c r="J80" s="27">
        <f t="shared" ca="1" si="6"/>
        <v>9.3109999999999999</v>
      </c>
      <c r="K80" s="27">
        <f t="shared" ca="1" si="6"/>
        <v>9.8659999999999997</v>
      </c>
      <c r="L80" s="27">
        <f t="shared" ca="1" si="6"/>
        <v>10.313000000000001</v>
      </c>
      <c r="M80" s="27">
        <f t="shared" ca="1" si="6"/>
        <v>10.597</v>
      </c>
      <c r="N80" s="27">
        <f t="shared" ca="1" si="6"/>
        <v>10.704000000000001</v>
      </c>
      <c r="O80" s="27">
        <f t="shared" ca="1" si="6"/>
        <v>10.803000000000001</v>
      </c>
      <c r="P80" s="27">
        <f t="shared" ca="1" si="6"/>
        <v>11.195</v>
      </c>
      <c r="Q80" s="27">
        <f t="shared" ca="1" si="6"/>
        <v>11.590999999999999</v>
      </c>
      <c r="R80" s="27">
        <f t="shared" ca="1" si="6"/>
        <v>11.925000000000001</v>
      </c>
      <c r="S80" s="27" t="str">
        <f t="shared" ca="1" si="6"/>
        <v/>
      </c>
      <c r="T80" s="28" t="str">
        <f t="shared" ca="1" si="3"/>
        <v/>
      </c>
      <c r="U80" s="17"/>
      <c r="Z80" s="18">
        <f>ROWS($Z$11:Z80)</f>
        <v>70</v>
      </c>
      <c r="AA80" s="18" t="str" cm="1">
        <f t="array" ref="AA80">INDEX(code!$E$2:$K$72,시가평가Matrix!$Z80,$D$3)</f>
        <v>BONDAVG78</v>
      </c>
      <c r="AB80" s="19" cm="1">
        <f t="array" aca="1" ref="AB80" ca="1">IF( OR($AA80=0,AS80=0), "", _xll.IMDP("IR",$AA80,E$6,$C$8) )</f>
        <v>6.1040000000000001</v>
      </c>
      <c r="AC80" s="19" cm="1">
        <f t="array" aca="1" ref="AC80" ca="1">IF( OR($AA80=0,AT80=0), "", _xll.IMDP("IR",$AA80,F$6,$C$8) )</f>
        <v>6.8120000000000003</v>
      </c>
      <c r="AD80" s="19" cm="1">
        <f t="array" aca="1" ref="AD80" ca="1">IF( OR($AA80=0,AU80=0), "", _xll.IMDP("IR",$AA80,G$6,$C$8) )</f>
        <v>7.4560000000000004</v>
      </c>
      <c r="AE80" s="19" cm="1">
        <f t="array" aca="1" ref="AE80" ca="1">IF( OR($AA80=0,AV80=0), "", _xll.IMDP("IR",$AA80,H$6,$C$8) )</f>
        <v>7.8559999999999999</v>
      </c>
      <c r="AF80" s="19" cm="1">
        <f t="array" aca="1" ref="AF80" ca="1">IF( OR($AA80=0,AW80=0), "", _xll.IMDP("IR",$AA80,I$6,$C$8) )</f>
        <v>8.5670000000000002</v>
      </c>
      <c r="AG80" s="19" cm="1">
        <f t="array" aca="1" ref="AG80" ca="1">IF( OR($AA80=0,AX80=0), "", _xll.IMDP("IR",$AA80,J$6,$C$8) )</f>
        <v>9.3109999999999999</v>
      </c>
      <c r="AH80" s="19" cm="1">
        <f t="array" aca="1" ref="AH80" ca="1">IF( OR($AA80=0,AY80=0), "", _xll.IMDP("IR",$AA80,K$6,$C$8) )</f>
        <v>9.8659999999999997</v>
      </c>
      <c r="AI80" s="19" cm="1">
        <f t="array" aca="1" ref="AI80" ca="1">IF( OR($AA80=0,AZ80=0), "", _xll.IMDP("IR",$AA80,L$6,$C$8) )</f>
        <v>10.313000000000001</v>
      </c>
      <c r="AJ80" s="19" cm="1">
        <f t="array" aca="1" ref="AJ80" ca="1">IF( OR($AA80=0,BA80=0), "", _xll.IMDP("IR",$AA80,M$6,$C$8) )</f>
        <v>10.597</v>
      </c>
      <c r="AK80" s="19" cm="1">
        <f t="array" aca="1" ref="AK80" ca="1">IF( OR($AA80=0,BB80=0), "", _xll.IMDP("IR",$AA80,N$6,$C$8) )</f>
        <v>10.704000000000001</v>
      </c>
      <c r="AL80" s="19" cm="1">
        <f t="array" aca="1" ref="AL80" ca="1">IF( OR($AA80=0,BC80=0), "", _xll.IMDP("IR",$AA80,O$6,$C$8) )</f>
        <v>10.803000000000001</v>
      </c>
      <c r="AM80" s="19" cm="1">
        <f t="array" aca="1" ref="AM80" ca="1">IF( OR($AA80=0,BD80=0), "", _xll.IMDP("IR",$AA80,P$6,$C$8) )</f>
        <v>11.195</v>
      </c>
      <c r="AN80" s="19" cm="1">
        <f t="array" aca="1" ref="AN80" ca="1">IF( OR($AA80=0,BE80=0), "", _xll.IMDP("IR",$AA80,Q$6,$C$8) )</f>
        <v>11.590999999999999</v>
      </c>
      <c r="AO80" s="19" cm="1">
        <f t="array" aca="1" ref="AO80" ca="1">IF( OR($AA80=0,BF80=0), "", _xll.IMDP("IR",$AA80,R$6,$C$8) )</f>
        <v>11.925000000000001</v>
      </c>
      <c r="AP80" s="19" t="str" cm="1">
        <f t="array" aca="1" ref="AP80" ca="1">IF( OR($AA80=0,BG80=0), "", _xll.IMDP("IR",$AA80,S$6,$C$8) )</f>
        <v/>
      </c>
      <c r="AQ80" s="19" t="str" cm="1">
        <f t="array" aca="1" ref="AQ80" ca="1">IF( OR($AA80=0,BH80=0), "", _xll.IMDP("IR",$AA80,T$6,$C$8) )</f>
        <v/>
      </c>
      <c r="AR80" s="5"/>
      <c r="AS80" s="20" cm="1">
        <f t="array" aca="1" ref="AS80" ca="1">_xll.IMDP("IR",$AA80,E$5,$C$8)</f>
        <v>6.1040000000000001</v>
      </c>
      <c r="AT80" s="5" cm="1">
        <f t="array" aca="1" ref="AT80" ca="1">_xll.IMDP("IR",$AA80,F$5,$C$8)</f>
        <v>6.8120000000000003</v>
      </c>
      <c r="AU80" s="5" cm="1">
        <f t="array" aca="1" ref="AU80" ca="1">_xll.IMDP("IR",$AA80,G$5,$C$8)</f>
        <v>7.4560000000000004</v>
      </c>
      <c r="AV80" s="5" cm="1">
        <f t="array" aca="1" ref="AV80" ca="1">_xll.IMDP("IR",$AA80,H$5,$C$8)</f>
        <v>7.8559999999999999</v>
      </c>
      <c r="AW80" s="5" cm="1">
        <f t="array" aca="1" ref="AW80" ca="1">_xll.IMDP("IR",$AA80,I$5,$C$8)</f>
        <v>8.5670000000000002</v>
      </c>
      <c r="AX80" s="5" cm="1">
        <f t="array" aca="1" ref="AX80" ca="1">_xll.IMDP("IR",$AA80,J$5,$C$8)</f>
        <v>9.3109999999999999</v>
      </c>
      <c r="AY80" s="5" cm="1">
        <f t="array" aca="1" ref="AY80" ca="1">_xll.IMDP("IR",$AA80,K$5,$C$8)</f>
        <v>9.8659999999999997</v>
      </c>
      <c r="AZ80" s="5" cm="1">
        <f t="array" aca="1" ref="AZ80" ca="1">_xll.IMDP("IR",$AA80,L$5,$C$8)</f>
        <v>10.313000000000001</v>
      </c>
      <c r="BA80" s="5" cm="1">
        <f t="array" aca="1" ref="BA80" ca="1">_xll.IMDP("IR",$AA80,M$5,$C$8)</f>
        <v>10.597</v>
      </c>
      <c r="BB80" s="5" cm="1">
        <f t="array" aca="1" ref="BB80" ca="1">_xll.IMDP("IR",$AA80,N$5,$C$8)</f>
        <v>10.704000000000001</v>
      </c>
      <c r="BC80" s="5" cm="1">
        <f t="array" aca="1" ref="BC80" ca="1">_xll.IMDP("IR",$AA80,O$5,$C$8)</f>
        <v>10.803000000000001</v>
      </c>
      <c r="BD80" s="5" cm="1">
        <f t="array" aca="1" ref="BD80" ca="1">_xll.IMDP("IR",$AA80,P$5,$C$8)</f>
        <v>11.195</v>
      </c>
      <c r="BE80" s="5" cm="1">
        <f t="array" aca="1" ref="BE80" ca="1">_xll.IMDP("IR",$AA80,Q$5,$C$8)</f>
        <v>11.590999999999999</v>
      </c>
      <c r="BF80" s="5" cm="1">
        <f t="array" aca="1" ref="BF80" ca="1">_xll.IMDP("IR",$AA80,R$5,$C$8)</f>
        <v>11.925000000000001</v>
      </c>
      <c r="BG80" s="5" cm="1">
        <f t="array" aca="1" ref="BG80" ca="1">_xll.IMDP("IR",$AA80,S$5,$C$8)</f>
        <v>0</v>
      </c>
      <c r="BH80" s="5" cm="1">
        <f t="array" aca="1" ref="BH80" ca="1">_xll.IMDP("IR",$AA80,T$5,$C$8)</f>
        <v>0</v>
      </c>
    </row>
    <row r="81" spans="2:60" ht="13.5" customHeight="1" x14ac:dyDescent="0.3">
      <c r="B81" s="37" t="s">
        <v>662</v>
      </c>
      <c r="C81" s="38" t="s">
        <v>663</v>
      </c>
      <c r="D81" s="39" t="s">
        <v>636</v>
      </c>
      <c r="E81" s="40">
        <f t="shared" ca="1" si="6"/>
        <v>3.3769999999999998</v>
      </c>
      <c r="F81" s="40">
        <f t="shared" ca="1" si="6"/>
        <v>3.3639999999999999</v>
      </c>
      <c r="G81" s="40">
        <f t="shared" ca="1" si="6"/>
        <v>3.3069999999999999</v>
      </c>
      <c r="H81" s="40">
        <f t="shared" ca="1" si="6"/>
        <v>3.2839999999999998</v>
      </c>
      <c r="I81" s="40">
        <f t="shared" ca="1" si="6"/>
        <v>3.2269999999999999</v>
      </c>
      <c r="J81" s="40">
        <f t="shared" ca="1" si="6"/>
        <v>3.2160000000000002</v>
      </c>
      <c r="K81" s="40">
        <f t="shared" ca="1" si="6"/>
        <v>3.1949999999999998</v>
      </c>
      <c r="L81" s="40">
        <f t="shared" ca="1" si="6"/>
        <v>3.1970000000000001</v>
      </c>
      <c r="M81" s="40">
        <f t="shared" ca="1" si="6"/>
        <v>3.1850000000000001</v>
      </c>
      <c r="N81" s="40">
        <f t="shared" ca="1" si="6"/>
        <v>3.1869999999999998</v>
      </c>
      <c r="O81" s="40">
        <f t="shared" ca="1" si="6"/>
        <v>3.1850000000000001</v>
      </c>
      <c r="P81" s="40">
        <f t="shared" ca="1" si="6"/>
        <v>3.2069999999999999</v>
      </c>
      <c r="Q81" s="40">
        <f t="shared" ca="1" si="6"/>
        <v>3.2160000000000002</v>
      </c>
      <c r="R81" s="40">
        <f t="shared" ca="1" si="6"/>
        <v>3.1949999999999998</v>
      </c>
      <c r="S81" s="40">
        <f t="shared" ca="1" si="6"/>
        <v>3.1970000000000001</v>
      </c>
      <c r="T81" s="41" t="str">
        <f t="shared" ca="1" si="3"/>
        <v/>
      </c>
      <c r="U81" s="17"/>
      <c r="Z81" s="18">
        <f>ROWS($Z$11:Z81)</f>
        <v>71</v>
      </c>
      <c r="AA81" s="18" t="str" cm="1">
        <f t="array" ref="AA81">INDEX(code!$E$2:$K$72,시가평가Matrix!$Z81,$D$3)</f>
        <v>BONDAVG79</v>
      </c>
      <c r="AB81" s="19" cm="1">
        <f t="array" aca="1" ref="AB81" ca="1">IF( OR($AA81=0,AS81=0), "", _xll.IMDP("IR",$AA81,E$6,$C$8) )</f>
        <v>3.3769999999999998</v>
      </c>
      <c r="AC81" s="19" cm="1">
        <f t="array" aca="1" ref="AC81" ca="1">IF( OR($AA81=0,AT81=0), "", _xll.IMDP("IR",$AA81,F$6,$C$8) )</f>
        <v>3.3639999999999999</v>
      </c>
      <c r="AD81" s="19" cm="1">
        <f t="array" aca="1" ref="AD81" ca="1">IF( OR($AA81=0,AU81=0), "", _xll.IMDP("IR",$AA81,G$6,$C$8) )</f>
        <v>3.3069999999999999</v>
      </c>
      <c r="AE81" s="19" cm="1">
        <f t="array" aca="1" ref="AE81" ca="1">IF( OR($AA81=0,AV81=0), "", _xll.IMDP("IR",$AA81,H$6,$C$8) )</f>
        <v>3.2839999999999998</v>
      </c>
      <c r="AF81" s="19" cm="1">
        <f t="array" aca="1" ref="AF81" ca="1">IF( OR($AA81=0,AW81=0), "", _xll.IMDP("IR",$AA81,I$6,$C$8) )</f>
        <v>3.2269999999999999</v>
      </c>
      <c r="AG81" s="19" cm="1">
        <f t="array" aca="1" ref="AG81" ca="1">IF( OR($AA81=0,AX81=0), "", _xll.IMDP("IR",$AA81,J$6,$C$8) )</f>
        <v>3.2160000000000002</v>
      </c>
      <c r="AH81" s="19" cm="1">
        <f t="array" aca="1" ref="AH81" ca="1">IF( OR($AA81=0,AY81=0), "", _xll.IMDP("IR",$AA81,K$6,$C$8) )</f>
        <v>3.1949999999999998</v>
      </c>
      <c r="AI81" s="19" cm="1">
        <f t="array" aca="1" ref="AI81" ca="1">IF( OR($AA81=0,AZ81=0), "", _xll.IMDP("IR",$AA81,L$6,$C$8) )</f>
        <v>3.1970000000000001</v>
      </c>
      <c r="AJ81" s="19" cm="1">
        <f t="array" aca="1" ref="AJ81" ca="1">IF( OR($AA81=0,BA81=0), "", _xll.IMDP("IR",$AA81,M$6,$C$8) )</f>
        <v>3.1850000000000001</v>
      </c>
      <c r="AK81" s="19" cm="1">
        <f t="array" aca="1" ref="AK81" ca="1">IF( OR($AA81=0,BB81=0), "", _xll.IMDP("IR",$AA81,N$6,$C$8) )</f>
        <v>3.1869999999999998</v>
      </c>
      <c r="AL81" s="19" cm="1">
        <f t="array" aca="1" ref="AL81" ca="1">IF( OR($AA81=0,BC81=0), "", _xll.IMDP("IR",$AA81,O$6,$C$8) )</f>
        <v>3.1850000000000001</v>
      </c>
      <c r="AM81" s="19" cm="1">
        <f t="array" aca="1" ref="AM81" ca="1">IF( OR($AA81=0,BD81=0), "", _xll.IMDP("IR",$AA81,P$6,$C$8) )</f>
        <v>3.2069999999999999</v>
      </c>
      <c r="AN81" s="19" cm="1">
        <f t="array" aca="1" ref="AN81" ca="1">IF( OR($AA81=0,BE81=0), "", _xll.IMDP("IR",$AA81,Q$6,$C$8) )</f>
        <v>3.2160000000000002</v>
      </c>
      <c r="AO81" s="19" cm="1">
        <f t="array" aca="1" ref="AO81" ca="1">IF( OR($AA81=0,BF81=0), "", _xll.IMDP("IR",$AA81,R$6,$C$8) )</f>
        <v>3.1949999999999998</v>
      </c>
      <c r="AP81" s="19" cm="1">
        <f t="array" aca="1" ref="AP81" ca="1">IF( OR($AA81=0,BG81=0), "", _xll.IMDP("IR",$AA81,S$6,$C$8) )</f>
        <v>3.1970000000000001</v>
      </c>
      <c r="AQ81" s="19" t="str" cm="1">
        <f t="array" aca="1" ref="AQ81" ca="1">IF( OR($AA81=0,BH81=0), "", _xll.IMDP("IR",$AA81,T$6,$C$8) )</f>
        <v/>
      </c>
      <c r="AR81" s="5"/>
      <c r="AS81" s="20" cm="1">
        <f t="array" aca="1" ref="AS81" ca="1">_xll.IMDP("IR",$AA81,E$5,$C$8)</f>
        <v>3.3769999999999998</v>
      </c>
      <c r="AT81" s="5" cm="1">
        <f t="array" aca="1" ref="AT81" ca="1">_xll.IMDP("IR",$AA81,F$5,$C$8)</f>
        <v>3.3639999999999999</v>
      </c>
      <c r="AU81" s="5" cm="1">
        <f t="array" aca="1" ref="AU81" ca="1">_xll.IMDP("IR",$AA81,G$5,$C$8)</f>
        <v>3.3069999999999999</v>
      </c>
      <c r="AV81" s="5" cm="1">
        <f t="array" aca="1" ref="AV81" ca="1">_xll.IMDP("IR",$AA81,H$5,$C$8)</f>
        <v>3.2839999999999998</v>
      </c>
      <c r="AW81" s="5" cm="1">
        <f t="array" aca="1" ref="AW81" ca="1">_xll.IMDP("IR",$AA81,I$5,$C$8)</f>
        <v>3.2269999999999999</v>
      </c>
      <c r="AX81" s="5" cm="1">
        <f t="array" aca="1" ref="AX81" ca="1">_xll.IMDP("IR",$AA81,J$5,$C$8)</f>
        <v>3.2160000000000002</v>
      </c>
      <c r="AY81" s="5" cm="1">
        <f t="array" aca="1" ref="AY81" ca="1">_xll.IMDP("IR",$AA81,K$5,$C$8)</f>
        <v>3.1949999999999998</v>
      </c>
      <c r="AZ81" s="5" cm="1">
        <f t="array" aca="1" ref="AZ81" ca="1">_xll.IMDP("IR",$AA81,L$5,$C$8)</f>
        <v>3.1970000000000001</v>
      </c>
      <c r="BA81" s="5" cm="1">
        <f t="array" aca="1" ref="BA81" ca="1">_xll.IMDP("IR",$AA81,M$5,$C$8)</f>
        <v>3.1850000000000001</v>
      </c>
      <c r="BB81" s="5" cm="1">
        <f t="array" aca="1" ref="BB81" ca="1">_xll.IMDP("IR",$AA81,N$5,$C$8)</f>
        <v>3.1869999999999998</v>
      </c>
      <c r="BC81" s="5" cm="1">
        <f t="array" aca="1" ref="BC81" ca="1">_xll.IMDP("IR",$AA81,O$5,$C$8)</f>
        <v>3.1850000000000001</v>
      </c>
      <c r="BD81" s="5" cm="1">
        <f t="array" aca="1" ref="BD81" ca="1">_xll.IMDP("IR",$AA81,P$5,$C$8)</f>
        <v>3.2069999999999999</v>
      </c>
      <c r="BE81" s="5" cm="1">
        <f t="array" aca="1" ref="BE81" ca="1">_xll.IMDP("IR",$AA81,Q$5,$C$8)</f>
        <v>3.2160000000000002</v>
      </c>
      <c r="BF81" s="5" cm="1">
        <f t="array" aca="1" ref="BF81" ca="1">_xll.IMDP("IR",$AA81,R$5,$C$8)</f>
        <v>3.1949999999999998</v>
      </c>
      <c r="BG81" s="5" cm="1">
        <f t="array" aca="1" ref="BG81" ca="1">_xll.IMDP("IR",$AA81,S$5,$C$8)</f>
        <v>3.1970000000000001</v>
      </c>
      <c r="BH81" s="5" cm="1">
        <f t="array" aca="1" ref="BH81" ca="1">_xll.IMDP("IR",$AA81,T$5,$C$8)</f>
        <v>0</v>
      </c>
    </row>
    <row r="82" spans="2:60" x14ac:dyDescent="0.3"/>
    <row r="83" spans="2:60" x14ac:dyDescent="0.3"/>
    <row r="84" spans="2:60" x14ac:dyDescent="0.3"/>
    <row r="85" spans="2:60" x14ac:dyDescent="0.3"/>
    <row r="86" spans="2:60" x14ac:dyDescent="0.3"/>
    <row r="87" spans="2:60" x14ac:dyDescent="0.3"/>
    <row r="88" spans="2:60" x14ac:dyDescent="0.3"/>
    <row r="89" spans="2:60" x14ac:dyDescent="0.3"/>
    <row r="90" spans="2:60" x14ac:dyDescent="0.3"/>
  </sheetData>
  <mergeCells count="14">
    <mergeCell ref="B11:B14"/>
    <mergeCell ref="B15:B16"/>
    <mergeCell ref="B17:B21"/>
    <mergeCell ref="C17:C21"/>
    <mergeCell ref="B22:B23"/>
    <mergeCell ref="C22:C23"/>
    <mergeCell ref="B25:B53"/>
    <mergeCell ref="C25:C35"/>
    <mergeCell ref="C36:C44"/>
    <mergeCell ref="C45:C53"/>
    <mergeCell ref="B54:B80"/>
    <mergeCell ref="C54:C60"/>
    <mergeCell ref="C61:C70"/>
    <mergeCell ref="C71:C8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3</xdr:col>
                    <xdr:colOff>104775</xdr:colOff>
                    <xdr:row>7</xdr:row>
                    <xdr:rowOff>0</xdr:rowOff>
                  </from>
                  <to>
                    <xdr:col>3</xdr:col>
                    <xdr:colOff>1038225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95250</xdr:colOff>
                    <xdr:row>7</xdr:row>
                    <xdr:rowOff>0</xdr:rowOff>
                  </from>
                  <to>
                    <xdr:col>5</xdr:col>
                    <xdr:colOff>219075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9647-1C34-4409-9466-4FE37AB45B38}">
  <dimension ref="A1:BC61"/>
  <sheetViews>
    <sheetView showGridLines="0" showRowColHeaders="0" workbookViewId="0">
      <pane ySplit="4" topLeftCell="A5" activePane="bottomLeft" state="frozen"/>
      <selection pane="bottomLeft"/>
    </sheetView>
  </sheetViews>
  <sheetFormatPr defaultColWidth="0" defaultRowHeight="13.5" zeroHeight="1" x14ac:dyDescent="0.25"/>
  <cols>
    <col min="1" max="1" width="2.375" style="56" customWidth="1"/>
    <col min="2" max="2" width="5.5" style="56" customWidth="1"/>
    <col min="3" max="18" width="5.375" style="56" customWidth="1"/>
    <col min="19" max="19" width="5.5" style="56" customWidth="1"/>
    <col min="20" max="20" width="2.375" style="56" customWidth="1"/>
    <col min="21" max="21" width="5.5" style="56" customWidth="1"/>
    <col min="22" max="37" width="5.375" style="56" customWidth="1"/>
    <col min="38" max="38" width="5.5" style="56" customWidth="1"/>
    <col min="39" max="39" width="9" style="56" customWidth="1"/>
    <col min="40" max="55" width="0" style="56" hidden="1" customWidth="1"/>
    <col min="56" max="16384" width="9" style="56" hidden="1"/>
  </cols>
  <sheetData>
    <row r="1" spans="2:55" s="4" customFormat="1" ht="6.75" customHeight="1" x14ac:dyDescent="0.3"/>
    <row r="2" spans="2:55" s="4" customFormat="1" ht="31.5" x14ac:dyDescent="0.3">
      <c r="B2" s="3" t="s">
        <v>675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5"/>
    </row>
    <row r="3" spans="2:55" s="4" customFormat="1" ht="6.75" customHeight="1" x14ac:dyDescent="0.3">
      <c r="B3" s="5"/>
      <c r="C3" s="46"/>
      <c r="D3" s="4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2:55" s="4" customFormat="1" ht="16.5" x14ac:dyDescent="0.3">
      <c r="B4" s="47" t="s">
        <v>605</v>
      </c>
      <c r="C4" s="73">
        <f ca="1">WORKDAY(TODAY(),-1)</f>
        <v>45520</v>
      </c>
      <c r="D4" s="73">
        <v>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2:55" s="4" customFormat="1" ht="10.5" customHeight="1" x14ac:dyDescent="0.3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2:55" s="4" customFormat="1" ht="16.5" x14ac:dyDescent="0.3">
      <c r="B6" s="5"/>
      <c r="C6" s="48" t="s">
        <v>676</v>
      </c>
      <c r="D6" s="49"/>
      <c r="E6" s="50"/>
      <c r="F6" s="50"/>
      <c r="G6" s="50"/>
      <c r="H6" s="51"/>
      <c r="I6" s="48" t="s">
        <v>677</v>
      </c>
      <c r="J6" s="49"/>
      <c r="K6" s="50"/>
      <c r="L6" s="50"/>
      <c r="M6" s="50"/>
      <c r="N6" s="51"/>
      <c r="O6" s="5"/>
      <c r="P6" s="5"/>
      <c r="Q6" s="5"/>
      <c r="R6" s="5"/>
      <c r="S6" s="5"/>
      <c r="T6" s="5"/>
      <c r="U6" s="5"/>
      <c r="V6" s="48" t="s">
        <v>678</v>
      </c>
      <c r="W6" s="49"/>
      <c r="X6" s="50"/>
      <c r="Y6" s="50"/>
      <c r="Z6" s="50"/>
      <c r="AA6" s="51"/>
      <c r="AB6" s="48" t="s">
        <v>679</v>
      </c>
      <c r="AC6" s="49"/>
      <c r="AD6" s="50"/>
      <c r="AE6" s="50"/>
      <c r="AF6" s="50"/>
      <c r="AG6" s="51"/>
      <c r="AH6" s="5"/>
      <c r="AI6" s="5"/>
      <c r="AJ6" s="5"/>
      <c r="AK6" s="5"/>
      <c r="AL6" s="5"/>
      <c r="AM6" s="5"/>
    </row>
    <row r="7" spans="2:55" x14ac:dyDescent="0.25">
      <c r="B7" s="55"/>
      <c r="C7" s="52" t="s">
        <v>609</v>
      </c>
      <c r="D7" s="52" t="s">
        <v>610</v>
      </c>
      <c r="E7" s="52" t="s">
        <v>611</v>
      </c>
      <c r="F7" s="52" t="s">
        <v>612</v>
      </c>
      <c r="G7" s="52" t="s">
        <v>613</v>
      </c>
      <c r="H7" s="52" t="s">
        <v>614</v>
      </c>
      <c r="I7" s="52" t="s">
        <v>615</v>
      </c>
      <c r="J7" s="52" t="s">
        <v>616</v>
      </c>
      <c r="K7" s="52" t="s">
        <v>617</v>
      </c>
      <c r="L7" s="52" t="s">
        <v>618</v>
      </c>
      <c r="M7" s="52" t="s">
        <v>619</v>
      </c>
      <c r="N7" s="52" t="s">
        <v>620</v>
      </c>
      <c r="O7" s="52" t="s">
        <v>621</v>
      </c>
      <c r="P7" s="52" t="s">
        <v>622</v>
      </c>
      <c r="Q7" s="52" t="s">
        <v>680</v>
      </c>
      <c r="R7" s="52" t="s">
        <v>681</v>
      </c>
      <c r="S7" s="55"/>
      <c r="T7" s="55"/>
      <c r="U7" s="55"/>
      <c r="V7" s="53" t="s">
        <v>609</v>
      </c>
      <c r="W7" s="53" t="s">
        <v>610</v>
      </c>
      <c r="X7" s="53" t="s">
        <v>611</v>
      </c>
      <c r="Y7" s="53" t="s">
        <v>612</v>
      </c>
      <c r="Z7" s="53" t="s">
        <v>613</v>
      </c>
      <c r="AA7" s="53" t="s">
        <v>614</v>
      </c>
      <c r="AB7" s="52" t="s">
        <v>615</v>
      </c>
      <c r="AC7" s="52" t="s">
        <v>616</v>
      </c>
      <c r="AD7" s="52" t="s">
        <v>617</v>
      </c>
      <c r="AE7" s="52" t="s">
        <v>618</v>
      </c>
      <c r="AF7" s="52" t="s">
        <v>619</v>
      </c>
      <c r="AG7" s="52" t="s">
        <v>620</v>
      </c>
      <c r="AH7" s="52" t="s">
        <v>621</v>
      </c>
      <c r="AI7" s="52" t="s">
        <v>622</v>
      </c>
      <c r="AJ7" s="52" t="s">
        <v>680</v>
      </c>
      <c r="AK7" s="52" t="s">
        <v>681</v>
      </c>
      <c r="AL7" s="55"/>
      <c r="AM7" s="55"/>
    </row>
    <row r="8" spans="2:55" x14ac:dyDescent="0.25">
      <c r="B8" s="54" t="s">
        <v>678</v>
      </c>
      <c r="C8" s="64" cm="1">
        <f t="array" ref="C8">IFERROR( ROUNDDOWN(IF( _xll.IMDP("IR",$AP$10,AN$8,$B$4)=0, NA(), _xll.IMDP("IR",$AP$10,AN$8,$B$4)),3), NA())</f>
        <v>3.3380000000000001</v>
      </c>
      <c r="D8" s="65" cm="1">
        <f t="array" ref="D8">IFERROR( ROUNDDOWN(IF( _xll.IMDP("IR",$AP$10,AO$8,$B$4)=0, NA(), _xll.IMDP("IR",$AP$10,AO$8,$B$4)),3), NA())</f>
        <v>3.2029999999999998</v>
      </c>
      <c r="E8" s="65" cm="1">
        <f t="array" ref="E8">IFERROR( ROUNDDOWN(IF( _xll.IMDP("IR",$AP$10,AP$8,$B$4)=0, NA(), _xll.IMDP("IR",$AP$10,AP$8,$B$4)),3), NA())</f>
        <v>3.1120000000000001</v>
      </c>
      <c r="F8" s="65" cm="1">
        <f t="array" ref="F8">IFERROR( ROUNDDOWN(IF( _xll.IMDP("IR",$AP$10,AQ$8,$B$4)=0, NA(), _xll.IMDP("IR",$AP$10,AQ$8,$B$4)),3), NA())</f>
        <v>3.052</v>
      </c>
      <c r="G8" s="65" cm="1">
        <f t="array" ref="G8">IFERROR( ROUNDDOWN(IF( _xll.IMDP("IR",$AP$10,AR$8,$B$4)=0, NA(), _xll.IMDP("IR",$AP$10,AR$8,$B$4)),3), NA())</f>
        <v>3.0550000000000002</v>
      </c>
      <c r="H8" s="65" cm="1">
        <f t="array" ref="H8">IFERROR( ROUNDDOWN(IF( _xll.IMDP("IR",$AP$10,AS$8,$B$4)=0, NA(), _xll.IMDP("IR",$AP$10,AS$8,$B$4)),3), NA())</f>
        <v>3.03</v>
      </c>
      <c r="I8" s="65" cm="1">
        <f t="array" ref="I8">IFERROR( ROUNDDOWN(IF( _xll.IMDP("IR",$AP$10,AT$8,$B$4)=0, NA(), _xll.IMDP("IR",$AP$10,AT$8,$B$4)),3), NA())</f>
        <v>2.944</v>
      </c>
      <c r="J8" s="65" cm="1">
        <f t="array" ref="J8">IFERROR( ROUNDDOWN(IF( _xll.IMDP("IR",$AP$10,AU$8,$B$4)=0, NA(), _xll.IMDP("IR",$AP$10,AU$8,$B$4)),3), NA())</f>
        <v>2.9220000000000002</v>
      </c>
      <c r="K8" s="65" cm="1">
        <f t="array" ref="K8">IFERROR( ROUNDDOWN(IF( _xll.IMDP("IR",$AP$10,AV$8,$B$4)=0, NA(), _xll.IMDP("IR",$AP$10,AV$8,$B$4)),3), NA())</f>
        <v>2.9430000000000001</v>
      </c>
      <c r="L8" s="65" cm="1">
        <f t="array" ref="L8">IFERROR( ROUNDDOWN(IF( _xll.IMDP("IR",$AP$10,AW$8,$B$4)=0, NA(), _xll.IMDP("IR",$AP$10,AW$8,$B$4)),3), NA())</f>
        <v>2.93</v>
      </c>
      <c r="M8" s="65" cm="1">
        <f t="array" ref="M8">IFERROR( ROUNDDOWN(IF( _xll.IMDP("IR",$AP$10,AX$8,$B$4)=0, NA(), _xll.IMDP("IR",$AP$10,AX$8,$B$4)),3), NA())</f>
        <v>2.9809999999999999</v>
      </c>
      <c r="N8" s="65" cm="1">
        <f t="array" ref="N8">IFERROR( ROUNDDOWN(IF( _xll.IMDP("IR",$AP$10,AY$8,$B$4)=0, NA(), _xll.IMDP("IR",$AP$10,AY$8,$B$4)),3), NA())</f>
        <v>2.9750000000000001</v>
      </c>
      <c r="O8" s="65" cm="1">
        <f t="array" ref="O8">IFERROR( ROUNDDOWN(IF( _xll.IMDP("IR",$AP$10,AZ$8,$B$4)=0, NA(), _xll.IMDP("IR",$AP$10,AZ$8,$B$4)),3), NA())</f>
        <v>2.9820000000000002</v>
      </c>
      <c r="P8" s="65" cm="1">
        <f t="array" ref="P8">IFERROR( ROUNDDOWN(IF( _xll.IMDP("IR",$AP$10,BA$8,$B$4)=0, NA(), _xll.IMDP("IR",$AP$10,BA$8,$B$4)),3), NA())</f>
        <v>2.952</v>
      </c>
      <c r="Q8" s="65" cm="1">
        <f t="array" ref="Q8">IFERROR( ROUNDDOWN(IF( _xll.IMDP("IR",$AP$10,BB$8,$B$4)=0, NA(), _xll.IMDP("IR",$AP$10,BB$8,$B$4)),3), NA())</f>
        <v>2.8519999999999999</v>
      </c>
      <c r="R8" s="66" cm="1">
        <f t="array" ref="R8">IFERROR( ROUNDDOWN(IF( _xll.IMDP("IR",$AP$10,BC$8,$B$4)=0, NA(), _xll.IMDP("IR",$AP$10,BC$8,$B$4)),3), NA())</f>
        <v>2.7629999999999999</v>
      </c>
      <c r="S8" s="54" t="s">
        <v>678</v>
      </c>
      <c r="T8" s="55"/>
      <c r="U8" s="54" t="s">
        <v>678</v>
      </c>
      <c r="V8" s="64" cm="1">
        <f t="array" ref="V8">IFERROR( ROUNDDOWN( IF(_xll.IMDP("IR",$AP$12,AN$8,$B$4)=0,NA(), _xll.IMDP("IR",$AP$12,AN$8,$B$4)),3), NA())</f>
        <v>3.3380000000000001</v>
      </c>
      <c r="W8" s="65" cm="1">
        <f t="array" ref="W8">IFERROR( ROUNDDOWN( IF(_xll.IMDP("IR",$AP$12,AO$8,$B$4)=0,NA(), _xll.IMDP("IR",$AP$12,AO$8,$B$4)),3), NA())</f>
        <v>3.2029999999999998</v>
      </c>
      <c r="X8" s="65" cm="1">
        <f t="array" ref="X8">IFERROR( ROUNDDOWN( IF(_xll.IMDP("IR",$AP$12,AP$8,$B$4)=0,NA(), _xll.IMDP("IR",$AP$12,AP$8,$B$4)),3), NA())</f>
        <v>3.1120000000000001</v>
      </c>
      <c r="Y8" s="65" cm="1">
        <f t="array" ref="Y8">IFERROR( ROUNDDOWN( IF(_xll.IMDP("IR",$AP$12,AQ$8,$B$4)=0,NA(), _xll.IMDP("IR",$AP$12,AQ$8,$B$4)),3), NA())</f>
        <v>3.052</v>
      </c>
      <c r="Z8" s="65" cm="1">
        <f t="array" ref="Z8">IFERROR( ROUNDDOWN( IF(_xll.IMDP("IR",$AP$12,AR$8,$B$4)=0,NA(), _xll.IMDP("IR",$AP$12,AR$8,$B$4)),3), NA())</f>
        <v>3.0550000000000002</v>
      </c>
      <c r="AA8" s="65" cm="1">
        <f t="array" ref="AA8">IFERROR( ROUNDDOWN( IF(_xll.IMDP("IR",$AP$12,AS$8,$B$4)=0,NA(), _xll.IMDP("IR",$AP$12,AS$8,$B$4)),3), NA())</f>
        <v>3.03</v>
      </c>
      <c r="AB8" s="65" cm="1">
        <f t="array" ref="AB8">IFERROR( ROUNDDOWN( IF(_xll.IMDP("IR",$AP$12,AT$8,$B$4)=0,NA(), _xll.IMDP("IR",$AP$12,AT$8,$B$4)),3), NA())</f>
        <v>2.944</v>
      </c>
      <c r="AC8" s="65" cm="1">
        <f t="array" ref="AC8">IFERROR( ROUNDDOWN( IF(_xll.IMDP("IR",$AP$12,AU$8,$B$4)=0,NA(), _xll.IMDP("IR",$AP$12,AU$8,$B$4)),3), NA())</f>
        <v>2.9220000000000002</v>
      </c>
      <c r="AD8" s="65" cm="1">
        <f t="array" ref="AD8">IFERROR( ROUNDDOWN( IF(_xll.IMDP("IR",$AP$12,AV$8,$B$4)=0,NA(), _xll.IMDP("IR",$AP$12,AV$8,$B$4)),3), NA())</f>
        <v>2.9430000000000001</v>
      </c>
      <c r="AE8" s="65" cm="1">
        <f t="array" ref="AE8">IFERROR( ROUNDDOWN( IF(_xll.IMDP("IR",$AP$12,AW$8,$B$4)=0,NA(), _xll.IMDP("IR",$AP$12,AW$8,$B$4)),3), NA())</f>
        <v>2.93</v>
      </c>
      <c r="AF8" s="65" cm="1">
        <f t="array" ref="AF8">IFERROR( ROUNDDOWN( IF(_xll.IMDP("IR",$AP$12,AX$8,$B$4)=0,NA(), _xll.IMDP("IR",$AP$12,AX$8,$B$4)),3), NA())</f>
        <v>2.9809999999999999</v>
      </c>
      <c r="AG8" s="65" cm="1">
        <f t="array" ref="AG8">IFERROR( ROUNDDOWN( IF( _xll.IMDP("IR",$AP$12,AY$8,$B$4)=0,NA(), _xll.IMDP("IR",$AP$12,AY$8,$B$4)),3), NA())</f>
        <v>2.9750000000000001</v>
      </c>
      <c r="AH8" s="65" cm="1">
        <f t="array" ref="AH8">IFERROR( ROUNDDOWN( IF( _xll.IMDP("IR",$AP$12,AZ$8,$B$4)=0,NA(), _xll.IMDP("IR",$AP$12,AZ$8,$B$4)),3), NA())</f>
        <v>2.9820000000000002</v>
      </c>
      <c r="AI8" s="65" cm="1">
        <f t="array" ref="AI8">IFERROR( ROUNDDOWN( IF(_xll.IMDP("IR",$AP$12,BA$8,$B$4)=0,NA(), _xll.IMDP("IR",$AP$12,BA$8,$B$4)),3), NA())</f>
        <v>2.952</v>
      </c>
      <c r="AJ8" s="65" cm="1">
        <f t="array" ref="AJ8">IFERROR( ROUNDDOWN( IF(_xll.IMDP("IR",$AP$12,BB$8,$B$4)=0,NA(), _xll.IMDP("IR",$AP$12,BB$8,$B$4)),3), NA())</f>
        <v>2.8519999999999999</v>
      </c>
      <c r="AK8" s="66" cm="1">
        <f t="array" ref="AK8">IFERROR( ROUNDDOWN( IF(_xll.IMDP("IR",$AP$12,BC$8,$B$4)=0,NA(), _xll.IMDP("IR",$AP$12,BC$8,$B$4)),3), NA())</f>
        <v>2.7629999999999999</v>
      </c>
      <c r="AL8" s="54" t="s">
        <v>678</v>
      </c>
      <c r="AM8" s="55"/>
      <c r="AN8" s="57" t="str">
        <f>시가평가Matrix!E5</f>
        <v>3월이하(당일)</v>
      </c>
      <c r="AO8" s="57" t="str">
        <f>시가평가Matrix!F5</f>
        <v>6월이하(당일)</v>
      </c>
      <c r="AP8" s="57" t="str">
        <f>시가평가Matrix!G5</f>
        <v>9월이하(당일)</v>
      </c>
      <c r="AQ8" s="57" t="str">
        <f>시가평가Matrix!H5</f>
        <v>1년이하(당일)</v>
      </c>
      <c r="AR8" s="57" t="str">
        <f>시가평가Matrix!I5</f>
        <v>1.5년이하(당일)</v>
      </c>
      <c r="AS8" s="57" t="str">
        <f>시가평가Matrix!J5</f>
        <v>2년이하(당일)</v>
      </c>
      <c r="AT8" s="57" t="str">
        <f>시가평가Matrix!K5</f>
        <v>2.5년이하(당일)</v>
      </c>
      <c r="AU8" s="57" t="str">
        <f>시가평가Matrix!L5</f>
        <v>3년이하(당일)</v>
      </c>
      <c r="AV8" s="57" t="str">
        <f>시가평가Matrix!M5</f>
        <v>4년이하(당일)</v>
      </c>
      <c r="AW8" s="57" t="str">
        <f>시가평가Matrix!N5</f>
        <v>5년이하(당일)</v>
      </c>
      <c r="AX8" s="57" t="str">
        <f>시가평가Matrix!O5</f>
        <v>7년이하(당일)</v>
      </c>
      <c r="AY8" s="57" t="str">
        <f>시가평가Matrix!P5</f>
        <v>10년이하(당일)</v>
      </c>
      <c r="AZ8" s="57" t="str">
        <f>시가평가Matrix!Q5</f>
        <v>15년이하(당일)</v>
      </c>
      <c r="BA8" s="57" t="str">
        <f>시가평가Matrix!R5</f>
        <v>20년이하(당일)</v>
      </c>
      <c r="BB8" s="57" t="str">
        <f>시가평가Matrix!S5</f>
        <v>30년이하(당일)</v>
      </c>
      <c r="BC8" s="57" t="str">
        <f>시가평가Matrix!T5</f>
        <v>50년이하(당일)</v>
      </c>
    </row>
    <row r="9" spans="2:55" x14ac:dyDescent="0.25">
      <c r="B9" s="54" t="s">
        <v>679</v>
      </c>
      <c r="C9" s="67" cm="1">
        <f t="array" ref="C9">IFERROR( ROUNDDOWN( IF( _xll.IMDP("IR",$AP$11,AN$8,$B$4)=0, NA(), _xll.IMDP("IR",$AP$11,AN$8,$B$4) ),3), NA())</f>
        <v>3.3460000000000001</v>
      </c>
      <c r="D9" s="68" cm="1">
        <f t="array" ref="D9">IFERROR( ROUNDDOWN( IF( _xll.IMDP("IR",$AP$11,AO$8,$B$4)=0, NA(), _xll.IMDP("IR",$AP$11,AO$8,$B$4) ),3), NA())</f>
        <v>3.254</v>
      </c>
      <c r="E9" s="68" cm="1">
        <f t="array" ref="E9">IFERROR( ROUNDDOWN( IF( _xll.IMDP("IR",$AP$11,AP$8,$B$4)=0, NA(), _xll.IMDP("IR",$AP$11,AP$8,$B$4) ),3), NA())</f>
        <v>3.1720000000000002</v>
      </c>
      <c r="F9" s="68" cm="1">
        <f t="array" ref="F9">IFERROR( ROUNDDOWN( IF( _xll.IMDP("IR",$AP$11,AQ$8,$B$4)=0, NA(), _xll.IMDP("IR",$AP$11,AQ$8,$B$4) ),3), NA())</f>
        <v>3.089</v>
      </c>
      <c r="G9" s="68" cm="1">
        <f t="array" ref="G9">IFERROR( ROUNDDOWN( IF( _xll.IMDP("IR",$AP$11,AR$8,$B$4)=0, NA(), _xll.IMDP("IR",$AP$11,AR$8,$B$4) ),3), NA())</f>
        <v>3.077</v>
      </c>
      <c r="H9" s="68" cm="1">
        <f t="array" ref="H9">IFERROR( ROUNDDOWN( IF( _xll.IMDP("IR",$AP$11,AS$8,$B$4)=0, NA(), _xll.IMDP("IR",$AP$11,AS$8,$B$4) ),3), NA())</f>
        <v>3.0539999999999998</v>
      </c>
      <c r="I9" s="68" cm="1">
        <f t="array" ref="I9">IFERROR( ROUNDDOWN( IF( _xll.IMDP("IR",$AP$11,AT$8,$B$4)=0, NA(), _xll.IMDP("IR",$AP$11,AT$8,$B$4) ),3), NA())</f>
        <v>3.012</v>
      </c>
      <c r="J9" s="68" cm="1">
        <f t="array" ref="J9">IFERROR( ROUNDDOWN( IF( _xll.IMDP("IR",$AP$11,AU$8,$B$4)=0, NA(), _xll.IMDP("IR",$AP$11,AU$8,$B$4) ),3), NA())</f>
        <v>3.01</v>
      </c>
      <c r="K9" s="68" cm="1">
        <f t="array" ref="K9">IFERROR( ROUNDDOWN( IF( _xll.IMDP("IR",$AP$11,AV$8,$B$4)=0, NA(), _xll.IMDP("IR",$AP$11,AV$8,$B$4) ),3), NA())</f>
        <v>3.0110000000000001</v>
      </c>
      <c r="L9" s="68" cm="1">
        <f t="array" ref="L9">IFERROR( ROUNDDOWN( IF( _xll.IMDP("IR",$AP$11,AW$8,$B$4)=0, NA(), _xll.IMDP("IR",$AP$11,AW$8,$B$4) ),3), NA())</f>
        <v>3.052</v>
      </c>
      <c r="M9" s="68" t="e" cm="1">
        <f t="array" ref="M9">IFERROR( ROUNDDOWN( IF( _xll.IMDP("IR",$AP$11,AX$8,$B$4)=0, NA(), _xll.IMDP("IR",$AP$11,AX$8,$B$4) ),3), NA())</f>
        <v>#N/A</v>
      </c>
      <c r="N9" s="68" t="e" cm="1">
        <f t="array" ref="N9">IFERROR( ROUNDDOWN( IF( _xll.IMDP("IR",$AP$11,AY$8,$B$4)=0, NA(), _xll.IMDP("IR",$AP$11,AY$8,$B$4) ),3), NA())</f>
        <v>#N/A</v>
      </c>
      <c r="O9" s="68" t="e" cm="1">
        <f t="array" ref="O9">IFERROR( ROUNDDOWN( IF( _xll.IMDP("IR",$AP$11,AZ$8,$B$4)=0, NA(), _xll.IMDP("IR",$AP$11,AZ$8,$B$4) ),3), NA())</f>
        <v>#N/A</v>
      </c>
      <c r="P9" s="68" t="e" cm="1">
        <f t="array" ref="P9">IFERROR( ROUNDDOWN( IF( _xll.IMDP("IR",$AP$11,BA$8,$B$4)=0, NA(), _xll.IMDP("IR",$AP$11,BA$8,$B$4) ),3), NA())</f>
        <v>#N/A</v>
      </c>
      <c r="Q9" s="68" t="e" cm="1">
        <f t="array" ref="Q9">IFERROR( ROUNDDOWN( IF( _xll.IMDP("IR",$AP$11,BB$8,$B$4)=0, NA(), _xll.IMDP("IR",$AP$11,BB$8,$B$4) ),3), NA())</f>
        <v>#N/A</v>
      </c>
      <c r="R9" s="69" t="e" cm="1">
        <f t="array" ref="R9">IFERROR( ROUNDDOWN( IF( _xll.IMDP("IR",$AP$11,BC$8,$B$4)=0, NA(), _xll.IMDP("IR",$AP$11,BC$8,$B$4) ),3), NA())</f>
        <v>#N/A</v>
      </c>
      <c r="S9" s="54" t="s">
        <v>679</v>
      </c>
      <c r="T9" s="55"/>
      <c r="U9" s="54" t="s">
        <v>679</v>
      </c>
      <c r="V9" s="67" cm="1">
        <f t="array" ref="V9">IFERROR( ROUNDDOWN( IF(_xll.IMDP("IR",$AP$13,AN$8,$B$4)=0, NA(), _xll.IMDP("IR",$AP$13,AN$8,$B$4)),3), NA())</f>
        <v>3.3929999999999998</v>
      </c>
      <c r="W9" s="68" cm="1">
        <f t="array" ref="W9">IFERROR( ROUNDDOWN( IF(_xll.IMDP("IR",$AP$13,AO$8,$B$4)=0, NA(), _xll.IMDP("IR",$AP$13,AO$8,$B$4)),3), NA())</f>
        <v>3.3610000000000002</v>
      </c>
      <c r="X9" s="68" cm="1">
        <f t="array" ref="X9">IFERROR( ROUNDDOWN( IF(_xll.IMDP("IR",$AP$13,AP$8,$B$4)=0, NA(), _xll.IMDP("IR",$AP$13,AP$8,$B$4)),3), NA())</f>
        <v>3.298</v>
      </c>
      <c r="Y9" s="68" cm="1">
        <f t="array" ref="Y9">IFERROR( ROUNDDOWN( IF(_xll.IMDP("IR",$AP$13,AQ$8,$B$4)=0, NA(), _xll.IMDP("IR",$AP$13,AQ$8,$B$4)),3), NA())</f>
        <v>3.2589999999999999</v>
      </c>
      <c r="Z9" s="68" cm="1">
        <f t="array" ref="Z9">IFERROR( ROUNDDOWN( IF(_xll.IMDP("IR",$AP$13,AR$8,$B$4)=0, NA(), _xll.IMDP("IR",$AP$13,AR$8,$B$4)),3), NA())</f>
        <v>3.1970000000000001</v>
      </c>
      <c r="AA9" s="68" cm="1">
        <f t="array" ref="AA9">IFERROR( ROUNDDOWN( IF(_xll.IMDP("IR",$AP$13,AS$8,$B$4)=0, NA(), _xll.IMDP("IR",$AP$13,AS$8,$B$4)),3), NA())</f>
        <v>3.1859999999999999</v>
      </c>
      <c r="AB9" s="68" cm="1">
        <f t="array" ref="AB9">IFERROR( ROUNDDOWN( IF(_xll.IMDP("IR",$AP$13,AT$8,$B$4)=0, NA(), _xll.IMDP("IR",$AP$13,AT$8,$B$4)),3), NA())</f>
        <v>3.1560000000000001</v>
      </c>
      <c r="AC9" s="68" cm="1">
        <f t="array" ref="AC9">IFERROR( ROUNDDOWN( IF(_xll.IMDP("IR",$AP$13,AU$8,$B$4)=0, NA(), _xll.IMDP("IR",$AP$13,AU$8,$B$4)),3), NA())</f>
        <v>3.1539999999999999</v>
      </c>
      <c r="AD9" s="68" cm="1">
        <f t="array" ref="AD9">IFERROR( ROUNDDOWN( IF(_xll.IMDP("IR",$AP$13,AV$8,$B$4)=0, NA(), _xll.IMDP("IR",$AP$13,AV$8,$B$4)),3), NA())</f>
        <v>3.1459999999999999</v>
      </c>
      <c r="AE9" s="68" cm="1">
        <f t="array" ref="AE9">IFERROR( ROUNDDOWN( IF(_xll.IMDP("IR",$AP$13,AW$8,$B$4)=0, NA(), _xll.IMDP("IR",$AP$13,AW$8,$B$4)),3), NA())</f>
        <v>3.1459999999999999</v>
      </c>
      <c r="AF9" s="68" cm="1">
        <f t="array" ref="AF9">IFERROR( ROUNDDOWN( IF(_xll.IMDP("IR",$AP$13,AX$8,$B$4)=0, NA(), _xll.IMDP("IR",$AP$13,AX$8,$B$4)),3), NA())</f>
        <v>3.1429999999999998</v>
      </c>
      <c r="AG9" s="68" cm="1">
        <f t="array" ref="AG9">IFERROR( ROUNDDOWN( IF(_xll.IMDP("IR",$AP$13,AY$8,$B$4)=0, NA(), _xll.IMDP("IR",$AP$13,AY$8,$B$4)),3), NA())</f>
        <v>3.1579999999999999</v>
      </c>
      <c r="AH9" s="68" cm="1">
        <f t="array" ref="AH9">IFERROR( ROUNDDOWN( IF(_xll.IMDP("IR",$AP$13,AZ$8,$B$4)=0, NA(), _xll.IMDP("IR",$AP$13,AZ$8,$B$4)),3), NA())</f>
        <v>3.1789999999999998</v>
      </c>
      <c r="AI9" s="68" cm="1">
        <f t="array" ref="AI9">IFERROR( ROUNDDOWN( IF(_xll.IMDP("IR",$AP$13,BA$8,$B$4)=0, NA(), _xll.IMDP("IR",$AP$13,BA$8,$B$4)),3), NA())</f>
        <v>3.153</v>
      </c>
      <c r="AJ9" s="68" cm="1">
        <f t="array" ref="AJ9">IFERROR( ROUNDDOWN( IF(_xll.IMDP("IR",$AP$13,BB$8,$B$4)=0, NA(), _xll.IMDP("IR",$AP$13,BB$8,$B$4)),3), NA())</f>
        <v>3.1680000000000001</v>
      </c>
      <c r="AK9" s="69" t="e" cm="1">
        <f t="array" ref="AK9">IFERROR( ROUNDDOWN( IF(_xll.IMDP("IR",$AP$13,BC$8,$B$4)=0, NA(), _xll.IMDP("IR",$AP$13,BC$8,$B$4)),3), NA())</f>
        <v>#N/A</v>
      </c>
      <c r="AL9" s="54" t="s">
        <v>679</v>
      </c>
      <c r="AM9" s="55"/>
      <c r="AN9" s="55">
        <v>1</v>
      </c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2:55" x14ac:dyDescent="0.25">
      <c r="B10" s="54" t="s">
        <v>682</v>
      </c>
      <c r="C10" s="61">
        <f t="shared" ref="C10:R10" si="0">(C9-C8)*100</f>
        <v>0.80000000000000071</v>
      </c>
      <c r="D10" s="62">
        <f t="shared" si="0"/>
        <v>5.1000000000000156</v>
      </c>
      <c r="E10" s="62">
        <f t="shared" si="0"/>
        <v>6.0000000000000053</v>
      </c>
      <c r="F10" s="62">
        <f t="shared" si="0"/>
        <v>3.6999999999999922</v>
      </c>
      <c r="G10" s="62">
        <f t="shared" si="0"/>
        <v>2.1999999999999797</v>
      </c>
      <c r="H10" s="62">
        <f t="shared" si="0"/>
        <v>2.4000000000000021</v>
      </c>
      <c r="I10" s="62">
        <f t="shared" si="0"/>
        <v>6.800000000000006</v>
      </c>
      <c r="J10" s="62">
        <f t="shared" si="0"/>
        <v>8.7999999999999634</v>
      </c>
      <c r="K10" s="62">
        <f t="shared" si="0"/>
        <v>6.800000000000006</v>
      </c>
      <c r="L10" s="62">
        <f t="shared" si="0"/>
        <v>12.199999999999989</v>
      </c>
      <c r="M10" s="62" t="e">
        <f t="shared" si="0"/>
        <v>#N/A</v>
      </c>
      <c r="N10" s="62" t="e">
        <f t="shared" si="0"/>
        <v>#N/A</v>
      </c>
      <c r="O10" s="62" t="e">
        <f t="shared" si="0"/>
        <v>#N/A</v>
      </c>
      <c r="P10" s="62" t="e">
        <f t="shared" si="0"/>
        <v>#N/A</v>
      </c>
      <c r="Q10" s="62" t="e">
        <f t="shared" si="0"/>
        <v>#N/A</v>
      </c>
      <c r="R10" s="63" t="e">
        <f t="shared" si="0"/>
        <v>#N/A</v>
      </c>
      <c r="S10" s="54" t="s">
        <v>682</v>
      </c>
      <c r="T10" s="55"/>
      <c r="U10" s="54" t="s">
        <v>682</v>
      </c>
      <c r="V10" s="61">
        <f t="shared" ref="V10:AK10" si="1">(V9-V8)*100</f>
        <v>5.4999999999999716</v>
      </c>
      <c r="W10" s="62">
        <f t="shared" si="1"/>
        <v>15.800000000000036</v>
      </c>
      <c r="X10" s="62">
        <f t="shared" si="1"/>
        <v>18.599999999999994</v>
      </c>
      <c r="Y10" s="62">
        <f t="shared" si="1"/>
        <v>20.699999999999985</v>
      </c>
      <c r="Z10" s="62">
        <f t="shared" si="1"/>
        <v>14.19999999999999</v>
      </c>
      <c r="AA10" s="62">
        <f t="shared" si="1"/>
        <v>15.600000000000014</v>
      </c>
      <c r="AB10" s="62">
        <f t="shared" si="1"/>
        <v>21.200000000000017</v>
      </c>
      <c r="AC10" s="62">
        <f t="shared" si="1"/>
        <v>23.199999999999974</v>
      </c>
      <c r="AD10" s="62">
        <f t="shared" si="1"/>
        <v>20.299999999999983</v>
      </c>
      <c r="AE10" s="62">
        <f t="shared" si="1"/>
        <v>21.599999999999973</v>
      </c>
      <c r="AF10" s="62">
        <f t="shared" si="1"/>
        <v>16.199999999999992</v>
      </c>
      <c r="AG10" s="62">
        <f t="shared" si="1"/>
        <v>18.299999999999983</v>
      </c>
      <c r="AH10" s="62">
        <f t="shared" si="1"/>
        <v>19.69999999999996</v>
      </c>
      <c r="AI10" s="62">
        <f t="shared" si="1"/>
        <v>20.100000000000009</v>
      </c>
      <c r="AJ10" s="62">
        <f t="shared" si="1"/>
        <v>31.60000000000003</v>
      </c>
      <c r="AK10" s="63" t="e">
        <f t="shared" si="1"/>
        <v>#N/A</v>
      </c>
      <c r="AL10" s="54" t="s">
        <v>682</v>
      </c>
      <c r="AM10" s="55"/>
      <c r="AN10" s="55" t="s">
        <v>683</v>
      </c>
      <c r="AO10" s="55">
        <v>1</v>
      </c>
      <c r="AP10" s="55" t="str" cm="1">
        <f t="array" ref="AP10">INDEX(code!$E$2:$K$72, $AO10, $AN$9)</f>
        <v>BONDAVG01</v>
      </c>
      <c r="AQ10" s="55"/>
      <c r="AR10" s="55"/>
      <c r="AS10" s="55"/>
      <c r="AT10" s="55"/>
      <c r="AU10" s="55"/>
      <c r="AV10" s="55" cm="1">
        <f t="array" ref="AV10">_xll.IMDP("IR",$AP$12,AZ$8,$B$4)</f>
        <v>2.9820000000000002</v>
      </c>
      <c r="AW10" s="55"/>
      <c r="AX10" s="55"/>
      <c r="AY10" s="55"/>
      <c r="AZ10" s="55"/>
      <c r="BA10" s="55"/>
      <c r="BB10" s="55"/>
      <c r="BC10" s="55"/>
    </row>
    <row r="11" spans="2:55" x14ac:dyDescent="0.25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 t="s">
        <v>684</v>
      </c>
      <c r="AO11" s="55">
        <v>2</v>
      </c>
      <c r="AP11" s="55" t="str" cm="1">
        <f t="array" ref="AP11">INDEX(code!$E$2:$K$72, $AO11, $AN$9)</f>
        <v>BONDAVG02</v>
      </c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2:55" x14ac:dyDescent="0.25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 t="s">
        <v>685</v>
      </c>
      <c r="AO12" s="55">
        <v>1</v>
      </c>
      <c r="AP12" s="55" t="str" cm="1">
        <f t="array" ref="AP12">INDEX(code!$E$2:$K$72, $AO12, $AN$9)</f>
        <v>BONDAVG01</v>
      </c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2:55" x14ac:dyDescent="0.25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 t="s">
        <v>686</v>
      </c>
      <c r="AO13" s="55">
        <v>8</v>
      </c>
      <c r="AP13" s="55" t="str" cm="1">
        <f t="array" ref="AP13">INDEX(code!$E$2:$K$72, $AO13, $AN$9)</f>
        <v>BONDAVG09</v>
      </c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2:55" x14ac:dyDescent="0.25"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 t="s">
        <v>687</v>
      </c>
      <c r="AO14" s="55">
        <v>1</v>
      </c>
      <c r="AP14" s="55" t="str" cm="1">
        <f t="array" ref="AP14">INDEX(code!$E$2:$K$72, $AO14, $AN$9)</f>
        <v>BONDAVG01</v>
      </c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2:55" x14ac:dyDescent="0.25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 t="s">
        <v>688</v>
      </c>
      <c r="AO15" s="55">
        <v>44</v>
      </c>
      <c r="AP15" s="55" t="str" cm="1">
        <f t="array" ref="AP15">INDEX(code!$E$2:$K$72, $AO15, $AN$9)</f>
        <v>BONDAVG44</v>
      </c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2:55" x14ac:dyDescent="0.25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 t="s">
        <v>689</v>
      </c>
      <c r="AO16" s="55">
        <v>1</v>
      </c>
      <c r="AP16" s="55" t="str" cm="1">
        <f t="array" ref="AP16">INDEX(code!$E$2:$K$72, $AO16, $AN$9)</f>
        <v>BONDAVG01</v>
      </c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2:55" x14ac:dyDescent="0.25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 t="s">
        <v>690</v>
      </c>
      <c r="AO17" s="55">
        <v>60</v>
      </c>
      <c r="AP17" s="55" t="str" cm="1">
        <f t="array" ref="AP17">INDEX(code!$E$2:$K$72, $AO17, $AN$9)</f>
        <v>BONDAVG64</v>
      </c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2:55" x14ac:dyDescent="0.25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</row>
    <row r="19" spans="2:55" x14ac:dyDescent="0.25"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</row>
    <row r="20" spans="2:55" x14ac:dyDescent="0.25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</row>
    <row r="21" spans="2:55" x14ac:dyDescent="0.25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</row>
    <row r="22" spans="2:55" x14ac:dyDescent="0.25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</row>
    <row r="23" spans="2:55" x14ac:dyDescent="0.25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</row>
    <row r="24" spans="2:55" x14ac:dyDescent="0.25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</row>
    <row r="25" spans="2:55" x14ac:dyDescent="0.25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</row>
    <row r="26" spans="2:55" x14ac:dyDescent="0.25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</row>
    <row r="27" spans="2:55" x14ac:dyDescent="0.25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</row>
    <row r="28" spans="2:55" x14ac:dyDescent="0.25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</row>
    <row r="29" spans="2:55" x14ac:dyDescent="0.25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</row>
    <row r="30" spans="2:55" x14ac:dyDescent="0.25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</row>
    <row r="31" spans="2:55" x14ac:dyDescent="0.25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</row>
    <row r="32" spans="2:55" x14ac:dyDescent="0.25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</row>
    <row r="33" spans="2:39" x14ac:dyDescent="0.25">
      <c r="B33" s="55"/>
      <c r="C33" s="48" t="s">
        <v>676</v>
      </c>
      <c r="D33" s="58"/>
      <c r="E33" s="59"/>
      <c r="F33" s="59"/>
      <c r="G33" s="59"/>
      <c r="H33" s="60"/>
      <c r="I33" s="48" t="s">
        <v>677</v>
      </c>
      <c r="J33" s="58"/>
      <c r="K33" s="59"/>
      <c r="L33" s="59"/>
      <c r="M33" s="59"/>
      <c r="N33" s="60"/>
      <c r="O33" s="55"/>
      <c r="P33" s="55"/>
      <c r="Q33" s="55"/>
      <c r="R33" s="55"/>
      <c r="S33" s="55"/>
      <c r="T33" s="55"/>
      <c r="U33" s="55"/>
      <c r="V33" s="48" t="s">
        <v>676</v>
      </c>
      <c r="W33" s="58"/>
      <c r="X33" s="59"/>
      <c r="Y33" s="59"/>
      <c r="Z33" s="59"/>
      <c r="AA33" s="60"/>
      <c r="AB33" s="48" t="s">
        <v>677</v>
      </c>
      <c r="AC33" s="58"/>
      <c r="AD33" s="59"/>
      <c r="AE33" s="59"/>
      <c r="AF33" s="59"/>
      <c r="AG33" s="60"/>
      <c r="AH33" s="55"/>
      <c r="AI33" s="55"/>
      <c r="AJ33" s="55"/>
      <c r="AK33" s="55"/>
      <c r="AL33" s="55"/>
      <c r="AM33" s="55"/>
    </row>
    <row r="34" spans="2:39" x14ac:dyDescent="0.25">
      <c r="B34" s="55"/>
      <c r="C34" s="52" t="s">
        <v>609</v>
      </c>
      <c r="D34" s="52" t="s">
        <v>610</v>
      </c>
      <c r="E34" s="52" t="s">
        <v>611</v>
      </c>
      <c r="F34" s="52" t="s">
        <v>612</v>
      </c>
      <c r="G34" s="52" t="s">
        <v>613</v>
      </c>
      <c r="H34" s="52" t="s">
        <v>614</v>
      </c>
      <c r="I34" s="52" t="s">
        <v>615</v>
      </c>
      <c r="J34" s="52" t="s">
        <v>616</v>
      </c>
      <c r="K34" s="52" t="s">
        <v>617</v>
      </c>
      <c r="L34" s="52" t="s">
        <v>618</v>
      </c>
      <c r="M34" s="52" t="s">
        <v>619</v>
      </c>
      <c r="N34" s="52" t="s">
        <v>620</v>
      </c>
      <c r="O34" s="52" t="s">
        <v>621</v>
      </c>
      <c r="P34" s="52" t="s">
        <v>622</v>
      </c>
      <c r="Q34" s="52" t="s">
        <v>680</v>
      </c>
      <c r="R34" s="52" t="s">
        <v>681</v>
      </c>
      <c r="S34" s="55"/>
      <c r="T34" s="55"/>
      <c r="U34" s="55"/>
      <c r="V34" s="52" t="s">
        <v>609</v>
      </c>
      <c r="W34" s="52" t="s">
        <v>610</v>
      </c>
      <c r="X34" s="52" t="s">
        <v>611</v>
      </c>
      <c r="Y34" s="52" t="s">
        <v>612</v>
      </c>
      <c r="Z34" s="52" t="s">
        <v>613</v>
      </c>
      <c r="AA34" s="52" t="s">
        <v>614</v>
      </c>
      <c r="AB34" s="52" t="s">
        <v>615</v>
      </c>
      <c r="AC34" s="52" t="s">
        <v>616</v>
      </c>
      <c r="AD34" s="52" t="s">
        <v>617</v>
      </c>
      <c r="AE34" s="52" t="s">
        <v>618</v>
      </c>
      <c r="AF34" s="52" t="s">
        <v>619</v>
      </c>
      <c r="AG34" s="52" t="s">
        <v>620</v>
      </c>
      <c r="AH34" s="52" t="s">
        <v>621</v>
      </c>
      <c r="AI34" s="52" t="s">
        <v>622</v>
      </c>
      <c r="AJ34" s="52" t="s">
        <v>680</v>
      </c>
      <c r="AK34" s="52" t="s">
        <v>681</v>
      </c>
      <c r="AL34" s="55"/>
      <c r="AM34" s="55"/>
    </row>
    <row r="35" spans="2:39" x14ac:dyDescent="0.25">
      <c r="B35" s="54" t="s">
        <v>678</v>
      </c>
      <c r="C35" s="64" cm="1">
        <f t="array" ref="C35">IFERROR( ROUNDDOWN( IF(_xll.IMDP("IR",$AP$14,AN$8,$B$4)=0, NA(), _xll.IMDP("IR",$AP$14,AN$8,$B$4)),3), NA())</f>
        <v>3.3380000000000001</v>
      </c>
      <c r="D35" s="65" cm="1">
        <f t="array" ref="D35">IFERROR( ROUNDDOWN( IF(_xll.IMDP("IR",$AP$14,AO$8,$B$4)=0, NA(), _xll.IMDP("IR",$AP$14,AO$8,$B$4)),3), NA())</f>
        <v>3.2029999999999998</v>
      </c>
      <c r="E35" s="65" cm="1">
        <f t="array" ref="E35">IFERROR( ROUNDDOWN( IF(_xll.IMDP("IR",$AP$14,AP$8,$B$4)=0, NA(), _xll.IMDP("IR",$AP$14,AP$8,$B$4)),3), NA())</f>
        <v>3.1120000000000001</v>
      </c>
      <c r="F35" s="65" cm="1">
        <f t="array" ref="F35">IFERROR( ROUNDDOWN( IF(_xll.IMDP("IR",$AP$14,AQ$8,$B$4)=0, NA(), _xll.IMDP("IR",$AP$14,AQ$8,$B$4)),3), NA())</f>
        <v>3.052</v>
      </c>
      <c r="G35" s="65" cm="1">
        <f t="array" ref="G35">IFERROR( ROUNDDOWN( IF(_xll.IMDP("IR",$AP$14,AR$8,$B$4)=0, NA(), _xll.IMDP("IR",$AP$14,AR$8,$B$4)),3), NA())</f>
        <v>3.0550000000000002</v>
      </c>
      <c r="H35" s="65" cm="1">
        <f t="array" ref="H35">IFERROR( ROUNDDOWN( IF(_xll.IMDP("IR",$AP$14,AS$8,$B$4)=0, NA(), _xll.IMDP("IR",$AP$14,AS$8,$B$4)),3), NA())</f>
        <v>3.03</v>
      </c>
      <c r="I35" s="65" cm="1">
        <f t="array" ref="I35">IFERROR( ROUNDDOWN( IF(_xll.IMDP("IR",$AP$14,AT$8,$B$4)=0, NA(), _xll.IMDP("IR",$AP$14,AT$8,$B$4)),3), NA())</f>
        <v>2.944</v>
      </c>
      <c r="J35" s="65" cm="1">
        <f t="array" ref="J35">IFERROR( ROUNDDOWN( IF(_xll.IMDP("IR",$AP$14,AU$8,$B$4)=0, NA(), _xll.IMDP("IR",$AP$14,AU$8,$B$4)),3), NA())</f>
        <v>2.9220000000000002</v>
      </c>
      <c r="K35" s="65" cm="1">
        <f t="array" ref="K35">IFERROR( ROUNDDOWN( IF(_xll.IMDP("IR",$AP$14,AV$8,$B$4)=0, NA(), _xll.IMDP("IR",$AP$14,AV$8,$B$4)),3), NA())</f>
        <v>2.9430000000000001</v>
      </c>
      <c r="L35" s="65" cm="1">
        <f t="array" ref="L35">IFERROR( ROUNDDOWN( IF(_xll.IMDP("IR",$AP$14,AW$8,$B$4)=0, NA(), _xll.IMDP("IR",$AP$14,AW$8,$B$4)),3), NA())</f>
        <v>2.93</v>
      </c>
      <c r="M35" s="65" cm="1">
        <f t="array" ref="M35">IFERROR( ROUNDDOWN( IF(_xll.IMDP("IR",$AP$14,AX$8,$B$4)=0, NA(), _xll.IMDP("IR",$AP$14,AX$8,$B$4)),3), NA())</f>
        <v>2.9809999999999999</v>
      </c>
      <c r="N35" s="65" cm="1">
        <f t="array" ref="N35">IFERROR( ROUNDDOWN( IF(_xll.IMDP("IR",$AP$14,AY$8,$B$4)=0, NA(), _xll.IMDP("IR",$AP$14,AY$8,$B$4)),3), NA())</f>
        <v>2.9750000000000001</v>
      </c>
      <c r="O35" s="65" cm="1">
        <f t="array" ref="O35">IFERROR( ROUNDDOWN( IF(_xll.IMDP("IR",$AP$14,AZ$8,$B$4)=0, NA(), _xll.IMDP("IR",$AP$14,AZ$8,$B$4)),3), NA())</f>
        <v>2.9820000000000002</v>
      </c>
      <c r="P35" s="65" cm="1">
        <f t="array" ref="P35">IFERROR( ROUNDDOWN( IF(_xll.IMDP("IR",$AP$14,BA$8,$B$4)=0, NA(), _xll.IMDP("IR",$AP$14,BA$8,$B$4)),3), NA())</f>
        <v>2.952</v>
      </c>
      <c r="Q35" s="65" cm="1">
        <f t="array" ref="Q35">IFERROR( ROUNDDOWN( IF(_xll.IMDP("IR",$AP$14,BB$8,$B$4)=0, NA(), _xll.IMDP("IR",$AP$14,BB$8,$B$4)),3), NA())</f>
        <v>2.8519999999999999</v>
      </c>
      <c r="R35" s="66" cm="1">
        <f t="array" ref="R35">IFERROR( ROUNDDOWN( IF(_xll.IMDP("IR",$AP$14,BC$8,$B$4)=0, NA(), _xll.IMDP("IR",$AP$14,BC$8,$B$4)),3), NA())</f>
        <v>2.7629999999999999</v>
      </c>
      <c r="S35" s="54" t="s">
        <v>678</v>
      </c>
      <c r="T35" s="55"/>
      <c r="U35" s="54" t="s">
        <v>678</v>
      </c>
      <c r="V35" s="64" cm="1">
        <f t="array" ref="V35">IFERROR( ROUNDDOWN( IF(_xll.IMDP("IR",$AP$16,AN$8,$B$4)=0, NA(), _xll.IMDP("IR",$AP$16,AN$8,$B$4)),3), NA())</f>
        <v>3.3380000000000001</v>
      </c>
      <c r="W35" s="65" cm="1">
        <f t="array" ref="W35">IFERROR( ROUNDDOWN( IF(_xll.IMDP("IR",$AP$16,AO$8,$B$4)=0, NA(), _xll.IMDP("IR",$AP$16,AO$8,$B$4)),3), NA())</f>
        <v>3.2029999999999998</v>
      </c>
      <c r="X35" s="65" cm="1">
        <f t="array" ref="X35">IFERROR( ROUNDDOWN( IF(_xll.IMDP("IR",$AP$16,AP$8,$B$4)=0, NA(), _xll.IMDP("IR",$AP$16,AP$8,$B$4)),3), NA())</f>
        <v>3.1120000000000001</v>
      </c>
      <c r="Y35" s="65" cm="1">
        <f t="array" ref="Y35">IFERROR( ROUNDDOWN( IF(_xll.IMDP("IR",$AP$16,AQ$8,$B$4)=0, NA(), _xll.IMDP("IR",$AP$16,AQ$8,$B$4)),3), NA())</f>
        <v>3.052</v>
      </c>
      <c r="Z35" s="65" cm="1">
        <f t="array" ref="Z35">IFERROR( ROUNDDOWN( IF(_xll.IMDP("IR",$AP$16,AR$8,$B$4)=0, NA(), _xll.IMDP("IR",$AP$16,AR$8,$B$4)),3), NA())</f>
        <v>3.0550000000000002</v>
      </c>
      <c r="AA35" s="65" cm="1">
        <f t="array" ref="AA35">IFERROR( ROUNDDOWN( IF(_xll.IMDP("IR",$AP$16,AS$8,$B$4)=0, NA(), _xll.IMDP("IR",$AP$16,AS$8,$B$4)),3), NA())</f>
        <v>3.03</v>
      </c>
      <c r="AB35" s="65" cm="1">
        <f t="array" ref="AB35">IFERROR( ROUNDDOWN( IF(_xll.IMDP("IR",$AP$16,AT$8,$B$4)=0, NA(), _xll.IMDP("IR",$AP$16,AT$8,$B$4)),3), NA())</f>
        <v>2.944</v>
      </c>
      <c r="AC35" s="65" cm="1">
        <f t="array" ref="AC35">IFERROR( ROUNDDOWN( IF(_xll.IMDP("IR",$AP$16,AU$8,$B$4)=0, NA(), _xll.IMDP("IR",$AP$16,AU$8,$B$4)),3), NA())</f>
        <v>2.9220000000000002</v>
      </c>
      <c r="AD35" s="65" cm="1">
        <f t="array" ref="AD35">IFERROR( ROUNDDOWN( IF(_xll.IMDP("IR",$AP$16,AV$8,$B$4)=0, NA(), _xll.IMDP("IR",$AP$16,AV$8,$B$4)),3), NA())</f>
        <v>2.9430000000000001</v>
      </c>
      <c r="AE35" s="65" cm="1">
        <f t="array" ref="AE35">IFERROR( ROUNDDOWN( IF(_xll.IMDP("IR",$AP$16,AW$8,$B$4)=0, NA(), _xll.IMDP("IR",$AP$16,AW$8,$B$4)),3), NA())</f>
        <v>2.93</v>
      </c>
      <c r="AF35" s="65" cm="1">
        <f t="array" ref="AF35">IFERROR( ROUNDDOWN( IF(_xll.IMDP("IR",$AP$16,AX$8,$B$4)=0, NA(), _xll.IMDP("IR",$AP$16,AX$8,$B$4)),3), NA())</f>
        <v>2.9809999999999999</v>
      </c>
      <c r="AG35" s="65" cm="1">
        <f t="array" ref="AG35">IFERROR( ROUNDDOWN( IF(_xll.IMDP("IR",$AP$16,AY$8,$B$4)=0, NA(), _xll.IMDP("IR",$AP$16,AY$8,$B$4)),3), NA())</f>
        <v>2.9750000000000001</v>
      </c>
      <c r="AH35" s="65" cm="1">
        <f t="array" ref="AH35">IFERROR( ROUNDDOWN( IF(_xll.IMDP("IR",$AP$16,AZ$8,$B$4)=0, NA(), _xll.IMDP("IR",$AP$16,AZ$8,$B$4)),3), NA())</f>
        <v>2.9820000000000002</v>
      </c>
      <c r="AI35" s="65" cm="1">
        <f t="array" ref="AI35">IFERROR( ROUNDDOWN( IF(_xll.IMDP("IR",$AP$16,BA$8,$B$4)=0, NA(), _xll.IMDP("IR",$AP$16,BA$8,$B$4)),3), NA())</f>
        <v>2.952</v>
      </c>
      <c r="AJ35" s="65" cm="1">
        <f t="array" ref="AJ35">IFERROR( ROUNDDOWN( IF(_xll.IMDP("IR",$AP$16,BB$8,$B$4)=0, NA(), _xll.IMDP("IR",$AP$16,BB$8,$B$4)),3), NA())</f>
        <v>2.8519999999999999</v>
      </c>
      <c r="AK35" s="66" cm="1">
        <f t="array" ref="AK35">IFERROR( ROUNDDOWN( IF(_xll.IMDP("IR",$AP$16,BC$8,$B$4)=0, NA(), _xll.IMDP("IR",$AP$16,BC$8,$B$4)),3), NA())</f>
        <v>2.7629999999999999</v>
      </c>
      <c r="AL35" s="54" t="s">
        <v>678</v>
      </c>
      <c r="AM35" s="55"/>
    </row>
    <row r="36" spans="2:39" x14ac:dyDescent="0.25">
      <c r="B36" s="54" t="s">
        <v>679</v>
      </c>
      <c r="C36" s="67" cm="1">
        <f t="array" ref="C36">IFERROR(ROUNDDOWN( IF(_xll.IMDP("IR",$AP$15,AN$8,$B$4)=0, NA(), _xll.IMDP("IR",$AP$15,AN$8,$B$4)),3), NA())</f>
        <v>3.4209999999999998</v>
      </c>
      <c r="D36" s="68" cm="1">
        <f t="array" ref="D36">IFERROR(ROUNDDOWN( IF(_xll.IMDP("IR",$AP$15,AO$8,$B$4)=0, NA(), _xll.IMDP("IR",$AP$15,AO$8,$B$4)),3), NA())</f>
        <v>3.4039999999999999</v>
      </c>
      <c r="E36" s="68" cm="1">
        <f t="array" ref="E36">IFERROR(ROUNDDOWN( IF(_xll.IMDP("IR",$AP$15,AP$8,$B$4)=0, NA(), _xll.IMDP("IR",$AP$15,AP$8,$B$4)),3), NA())</f>
        <v>3.343</v>
      </c>
      <c r="F36" s="68" cm="1">
        <f t="array" ref="F36">IFERROR(ROUNDDOWN( IF(_xll.IMDP("IR",$AP$15,AQ$8,$B$4)=0, NA(), _xll.IMDP("IR",$AP$15,AQ$8,$B$4)),3), NA())</f>
        <v>3.3029999999999999</v>
      </c>
      <c r="G36" s="68" cm="1">
        <f t="array" ref="G36">IFERROR(ROUNDDOWN( IF(_xll.IMDP("IR",$AP$15,AR$8,$B$4)=0, NA(), _xll.IMDP("IR",$AP$15,AR$8,$B$4)),3), NA())</f>
        <v>3.2890000000000001</v>
      </c>
      <c r="H36" s="68" cm="1">
        <f t="array" ref="H36">IFERROR(ROUNDDOWN( IF(_xll.IMDP("IR",$AP$15,AS$8,$B$4)=0, NA(), _xll.IMDP("IR",$AP$15,AS$8,$B$4)),3), NA())</f>
        <v>3.2639999999999998</v>
      </c>
      <c r="I36" s="68" cm="1">
        <f t="array" ref="I36">IFERROR(ROUNDDOWN( IF(_xll.IMDP("IR",$AP$15,AT$8,$B$4)=0, NA(), _xll.IMDP("IR",$AP$15,AT$8,$B$4)),3), NA())</f>
        <v>3.2509999999999999</v>
      </c>
      <c r="J36" s="68" cm="1">
        <f t="array" ref="J36">IFERROR(ROUNDDOWN( IF(_xll.IMDP("IR",$AP$15,AU$8,$B$4)=0, NA(), _xll.IMDP("IR",$AP$15,AU$8,$B$4)),3), NA())</f>
        <v>3.2450000000000001</v>
      </c>
      <c r="K36" s="68" cm="1">
        <f t="array" ref="K36">IFERROR(ROUNDDOWN( IF(_xll.IMDP("IR",$AP$15,AV$8,$B$4)=0, NA(), _xll.IMDP("IR",$AP$15,AV$8,$B$4)),3), NA())</f>
        <v>3.2370000000000001</v>
      </c>
      <c r="L36" s="68" cm="1">
        <f t="array" ref="L36">IFERROR(ROUNDDOWN( IF(_xll.IMDP("IR",$AP$15,AW$8,$B$4)=0, NA(), _xll.IMDP("IR",$AP$15,AW$8,$B$4)),3), NA())</f>
        <v>3.2429999999999999</v>
      </c>
      <c r="M36" s="68" cm="1">
        <f t="array" ref="M36">IFERROR(ROUNDDOWN( IF(_xll.IMDP("IR",$AP$15,AX$8,$B$4)=0, NA(), _xll.IMDP("IR",$AP$15,AX$8,$B$4)),3), NA())</f>
        <v>3.3519999999999999</v>
      </c>
      <c r="N36" s="68" cm="1">
        <f t="array" ref="N36">IFERROR(ROUNDDOWN( IF(_xll.IMDP("IR",$AP$15,AY$8,$B$4)=0, NA(), _xll.IMDP("IR",$AP$15,AY$8,$B$4)),3), NA())</f>
        <v>3.6</v>
      </c>
      <c r="O36" s="68" cm="1">
        <f t="array" ref="O36">IFERROR(ROUNDDOWN( IF(_xll.IMDP("IR",$AP$15,AZ$8,$B$4)=0, NA(), _xll.IMDP("IR",$AP$15,AZ$8,$B$4)),3), NA())</f>
        <v>3.7759999999999998</v>
      </c>
      <c r="P36" s="68" cm="1">
        <f t="array" ref="P36">IFERROR(ROUNDDOWN( IF(_xll.IMDP("IR",$AP$15,BA$8,$B$4)=0, NA(), _xll.IMDP("IR",$AP$15,BA$8,$B$4)),3), NA())</f>
        <v>3.8879999999999999</v>
      </c>
      <c r="Q36" s="68" t="e" cm="1">
        <f t="array" ref="Q36">IFERROR(ROUNDDOWN( IF(_xll.IMDP("IR",$AP$15,BB$8,$B$4)=0, NA(), _xll.IMDP("IR",$AP$15,BB$8,$B$4)),3), NA())</f>
        <v>#N/A</v>
      </c>
      <c r="R36" s="69" t="e" cm="1">
        <f t="array" ref="R36">IFERROR(ROUNDDOWN( IF(_xll.IMDP("IR",$AP$15,BC$8,$B$4)=0, NA(), _xll.IMDP("IR",$AP$15,BC$8,$B$4)),3), NA())</f>
        <v>#N/A</v>
      </c>
      <c r="S36" s="54" t="s">
        <v>679</v>
      </c>
      <c r="T36" s="55"/>
      <c r="U36" s="54" t="s">
        <v>679</v>
      </c>
      <c r="V36" s="67" cm="1">
        <f t="array" ref="V36">IFERROR( ROUNDDOWN( IF(_xll.IMDP("IR",$AP$17,AN$8,$B$4)=0, NA(), _xll.IMDP("IR",$AP$17,AN$8,$B$4)),3), NA())</f>
        <v>5.51</v>
      </c>
      <c r="W36" s="68" cm="1">
        <f t="array" ref="W36">IFERROR( ROUNDDOWN( IF(_xll.IMDP("IR",$AP$17,AO$8,$B$4)=0, NA(), _xll.IMDP("IR",$AP$17,AO$8,$B$4)),3), NA())</f>
        <v>6.157</v>
      </c>
      <c r="X36" s="68" cm="1">
        <f t="array" ref="X36">IFERROR( ROUNDDOWN( IF(_xll.IMDP("IR",$AP$17,AP$8,$B$4)=0, NA(), _xll.IMDP("IR",$AP$17,AP$8,$B$4)),3), NA())</f>
        <v>6.7249999999999996</v>
      </c>
      <c r="Y36" s="68" cm="1">
        <f t="array" ref="Y36">IFERROR( ROUNDDOWN( IF(_xll.IMDP("IR",$AP$17,AQ$8,$B$4)=0, NA(), _xll.IMDP("IR",$AP$17,AQ$8,$B$4)),3), NA())</f>
        <v>7.0709999999999997</v>
      </c>
      <c r="Z36" s="68" cm="1">
        <f t="array" ref="Z36">IFERROR( ROUNDDOWN( IF(_xll.IMDP("IR",$AP$17,AR$8,$B$4)=0, NA(), _xll.IMDP("IR",$AP$17,AR$8,$B$4)),3), NA())</f>
        <v>7.7320000000000002</v>
      </c>
      <c r="AA36" s="68" cm="1">
        <f t="array" ref="AA36">IFERROR( ROUNDDOWN( IF(_xll.IMDP("IR",$AP$17,AS$8,$B$4)=0, NA(), _xll.IMDP("IR",$AP$17,AS$8,$B$4)),3), NA())</f>
        <v>8.4580000000000002</v>
      </c>
      <c r="AB36" s="68" cm="1">
        <f t="array" ref="AB36">IFERROR( ROUNDDOWN( IF(_xll.IMDP("IR",$AP$17,AT$8,$B$4)=0, NA(), _xll.IMDP("IR",$AP$17,AT$8,$B$4)),3), NA())</f>
        <v>8.9809999999999999</v>
      </c>
      <c r="AC36" s="68" cm="1">
        <f t="array" ref="AC36">IFERROR( ROUNDDOWN( IF(_xll.IMDP("IR",$AP$17,AU$8,$B$4)=0, NA(), _xll.IMDP("IR",$AP$17,AU$8,$B$4)),3), NA())</f>
        <v>9.3930000000000007</v>
      </c>
      <c r="AD36" s="68" cm="1">
        <f t="array" ref="AD36">IFERROR( ROUNDDOWN( IF(_xll.IMDP("IR",$AP$17,AV$8,$B$4)=0, NA(), _xll.IMDP("IR",$AP$17,AV$8,$B$4)),3), NA())</f>
        <v>9.657</v>
      </c>
      <c r="AE36" s="68" cm="1">
        <f t="array" ref="AE36">IFERROR( ROUNDDOWN( IF(_xll.IMDP("IR",$AP$17,AW$8,$B$4)=0, NA(), _xll.IMDP("IR",$AP$17,AW$8,$B$4)),3), NA())</f>
        <v>9.7439999999999998</v>
      </c>
      <c r="AF36" s="68" cm="1">
        <f t="array" ref="AF36">IFERROR( ROUNDDOWN( IF(_xll.IMDP("IR",$AP$17,AX$8,$B$4)=0, NA(), _xll.IMDP("IR",$AP$17,AX$8,$B$4)),3), NA())</f>
        <v>9.8260000000000005</v>
      </c>
      <c r="AG36" s="68" cm="1">
        <f t="array" ref="AG36">IFERROR( ROUNDDOWN( IF(_xll.IMDP("IR",$AP$17,AY$8,$B$4)=0, NA(), _xll.IMDP("IR",$AP$17,AY$8,$B$4)),3), NA())</f>
        <v>10.208</v>
      </c>
      <c r="AH36" s="68" cm="1">
        <f t="array" ref="AH36">IFERROR( ROUNDDOWN( IF(_xll.IMDP("IR",$AP$17,AZ$8,$B$4)=0, NA(), _xll.IMDP("IR",$AP$17,AZ$8,$B$4)),3), NA())</f>
        <v>10.590999999999999</v>
      </c>
      <c r="AI36" s="68" cm="1">
        <f t="array" ref="AI36">IFERROR( ROUNDDOWN( IF(_xll.IMDP("IR",$AP$17,BA$8,$B$4)=0, NA(), _xll.IMDP("IR",$AP$17,BA$8,$B$4)),3), NA())</f>
        <v>10.91</v>
      </c>
      <c r="AJ36" s="68" t="e" cm="1">
        <f t="array" ref="AJ36">IFERROR( ROUNDDOWN( IF(_xll.IMDP("IR",$AP$17,BB$8,$B$4)=0, NA(), _xll.IMDP("IR",$AP$17,BB$8,$B$4)),3), NA())</f>
        <v>#N/A</v>
      </c>
      <c r="AK36" s="69" t="e" cm="1">
        <f t="array" ref="AK36">IFERROR( ROUNDDOWN( IF(_xll.IMDP("IR",$AP$17,BC$8,$B$4)=0, NA(), _xll.IMDP("IR",$AP$17,BC$8,$B$4)),3), NA())</f>
        <v>#N/A</v>
      </c>
      <c r="AL36" s="54" t="s">
        <v>679</v>
      </c>
      <c r="AM36" s="55"/>
    </row>
    <row r="37" spans="2:39" x14ac:dyDescent="0.25">
      <c r="B37" s="54" t="s">
        <v>682</v>
      </c>
      <c r="C37" s="61">
        <f t="shared" ref="C37:R37" si="2">(C36-C35)*100</f>
        <v>8.2999999999999741</v>
      </c>
      <c r="D37" s="62">
        <f t="shared" si="2"/>
        <v>20.100000000000009</v>
      </c>
      <c r="E37" s="62">
        <f t="shared" si="2"/>
        <v>23.099999999999987</v>
      </c>
      <c r="F37" s="62">
        <f t="shared" si="2"/>
        <v>25.099999999999987</v>
      </c>
      <c r="G37" s="62">
        <f t="shared" si="2"/>
        <v>23.4</v>
      </c>
      <c r="H37" s="62">
        <f t="shared" si="2"/>
        <v>23.4</v>
      </c>
      <c r="I37" s="62">
        <f t="shared" si="2"/>
        <v>30.699999999999996</v>
      </c>
      <c r="J37" s="62">
        <f t="shared" si="2"/>
        <v>32.299999999999997</v>
      </c>
      <c r="K37" s="62">
        <f t="shared" si="2"/>
        <v>29.400000000000006</v>
      </c>
      <c r="L37" s="62">
        <f t="shared" si="2"/>
        <v>31.299999999999972</v>
      </c>
      <c r="M37" s="62">
        <f t="shared" si="2"/>
        <v>37.1</v>
      </c>
      <c r="N37" s="62">
        <f t="shared" si="2"/>
        <v>62.5</v>
      </c>
      <c r="O37" s="62">
        <f t="shared" si="2"/>
        <v>79.399999999999963</v>
      </c>
      <c r="P37" s="62">
        <f t="shared" si="2"/>
        <v>93.6</v>
      </c>
      <c r="Q37" s="62" t="e">
        <f t="shared" si="2"/>
        <v>#N/A</v>
      </c>
      <c r="R37" s="63" t="e">
        <f t="shared" si="2"/>
        <v>#N/A</v>
      </c>
      <c r="S37" s="54" t="s">
        <v>682</v>
      </c>
      <c r="T37" s="55"/>
      <c r="U37" s="54" t="s">
        <v>682</v>
      </c>
      <c r="V37" s="61">
        <f t="shared" ref="V37:AK37" si="3">(V36-V35)*100</f>
        <v>217.19999999999996</v>
      </c>
      <c r="W37" s="62">
        <f t="shared" si="3"/>
        <v>295.40000000000003</v>
      </c>
      <c r="X37" s="62">
        <f t="shared" si="3"/>
        <v>361.29999999999995</v>
      </c>
      <c r="Y37" s="62">
        <f t="shared" si="3"/>
        <v>401.90000000000003</v>
      </c>
      <c r="Z37" s="62">
        <f t="shared" si="3"/>
        <v>467.69999999999993</v>
      </c>
      <c r="AA37" s="62">
        <f t="shared" si="3"/>
        <v>542.80000000000007</v>
      </c>
      <c r="AB37" s="62">
        <f t="shared" si="3"/>
        <v>603.70000000000005</v>
      </c>
      <c r="AC37" s="62">
        <f t="shared" si="3"/>
        <v>647.1</v>
      </c>
      <c r="AD37" s="62">
        <f t="shared" si="3"/>
        <v>671.40000000000009</v>
      </c>
      <c r="AE37" s="62">
        <f t="shared" si="3"/>
        <v>681.4</v>
      </c>
      <c r="AF37" s="62">
        <f t="shared" si="3"/>
        <v>684.50000000000011</v>
      </c>
      <c r="AG37" s="62">
        <f t="shared" si="3"/>
        <v>723.30000000000007</v>
      </c>
      <c r="AH37" s="62">
        <f t="shared" si="3"/>
        <v>760.89999999999986</v>
      </c>
      <c r="AI37" s="62">
        <f t="shared" si="3"/>
        <v>795.80000000000007</v>
      </c>
      <c r="AJ37" s="62" t="e">
        <f t="shared" si="3"/>
        <v>#N/A</v>
      </c>
      <c r="AK37" s="63" t="e">
        <f t="shared" si="3"/>
        <v>#N/A</v>
      </c>
      <c r="AL37" s="54" t="s">
        <v>682</v>
      </c>
      <c r="AM37" s="55"/>
    </row>
    <row r="38" spans="2:39" x14ac:dyDescent="0.25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</row>
    <row r="39" spans="2:39" x14ac:dyDescent="0.25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</row>
    <row r="40" spans="2:39" x14ac:dyDescent="0.25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</row>
    <row r="41" spans="2:39" x14ac:dyDescent="0.25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</row>
    <row r="42" spans="2:39" x14ac:dyDescent="0.25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3" spans="2:39" x14ac:dyDescent="0.25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</row>
    <row r="44" spans="2:39" x14ac:dyDescent="0.25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</row>
    <row r="45" spans="2:39" x14ac:dyDescent="0.25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</row>
    <row r="46" spans="2:39" x14ac:dyDescent="0.25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</row>
    <row r="47" spans="2:39" x14ac:dyDescent="0.25"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</row>
    <row r="48" spans="2:39" x14ac:dyDescent="0.25"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</row>
    <row r="49" spans="2:39" x14ac:dyDescent="0.25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</row>
    <row r="50" spans="2:39" x14ac:dyDescent="0.25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</row>
    <row r="51" spans="2:39" x14ac:dyDescent="0.25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</row>
    <row r="52" spans="2:39" x14ac:dyDescent="0.25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</row>
    <row r="53" spans="2:39" x14ac:dyDescent="0.25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</row>
    <row r="54" spans="2:39" x14ac:dyDescent="0.25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</row>
    <row r="55" spans="2:39" x14ac:dyDescent="0.25"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</row>
    <row r="56" spans="2:39" x14ac:dyDescent="0.25"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</row>
    <row r="57" spans="2:39" x14ac:dyDescent="0.25"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</row>
    <row r="58" spans="2:39" x14ac:dyDescent="0.25"/>
    <row r="59" spans="2:39" x14ac:dyDescent="0.25"/>
    <row r="60" spans="2:39" x14ac:dyDescent="0.25"/>
    <row r="61" spans="2:39" x14ac:dyDescent="0.25"/>
  </sheetData>
  <mergeCells count="1">
    <mergeCell ref="C4:D4"/>
  </mergeCells>
  <conditionalFormatting sqref="C8:R10 V8:AK10 C35:R37 V35:AK37">
    <cfRule type="containsErrors" dxfId="0" priority="1">
      <formula>ISERROR(C8)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3</xdr:col>
                    <xdr:colOff>57150</xdr:colOff>
                    <xdr:row>5</xdr:row>
                    <xdr:rowOff>9525</xdr:rowOff>
                  </from>
                  <to>
                    <xdr:col>7</xdr:col>
                    <xdr:colOff>400050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9</xdr:col>
                    <xdr:colOff>57150</xdr:colOff>
                    <xdr:row>5</xdr:row>
                    <xdr:rowOff>0</xdr:rowOff>
                  </from>
                  <to>
                    <xdr:col>13</xdr:col>
                    <xdr:colOff>400050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Drop Down 3">
              <controlPr defaultSize="0" autoLine="0" autoPict="0">
                <anchor moveWithCells="1">
                  <from>
                    <xdr:col>22</xdr:col>
                    <xdr:colOff>19050</xdr:colOff>
                    <xdr:row>5</xdr:row>
                    <xdr:rowOff>9525</xdr:rowOff>
                  </from>
                  <to>
                    <xdr:col>26</xdr:col>
                    <xdr:colOff>361950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Drop Down 4">
              <controlPr defaultSize="0" autoLine="0" autoPict="0">
                <anchor moveWithCells="1">
                  <from>
                    <xdr:col>28</xdr:col>
                    <xdr:colOff>19050</xdr:colOff>
                    <xdr:row>5</xdr:row>
                    <xdr:rowOff>19050</xdr:rowOff>
                  </from>
                  <to>
                    <xdr:col>32</xdr:col>
                    <xdr:colOff>361950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Drop Down 5">
              <controlPr defaultSize="0" autoLine="0" autoPict="0">
                <anchor moveWithCells="1">
                  <from>
                    <xdr:col>3</xdr:col>
                    <xdr:colOff>19050</xdr:colOff>
                    <xdr:row>32</xdr:row>
                    <xdr:rowOff>9525</xdr:rowOff>
                  </from>
                  <to>
                    <xdr:col>7</xdr:col>
                    <xdr:colOff>361950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Drop Down 6">
              <controlPr defaultSize="0" autoLine="0" autoPict="0">
                <anchor moveWithCells="1">
                  <from>
                    <xdr:col>9</xdr:col>
                    <xdr:colOff>28575</xdr:colOff>
                    <xdr:row>32</xdr:row>
                    <xdr:rowOff>9525</xdr:rowOff>
                  </from>
                  <to>
                    <xdr:col>13</xdr:col>
                    <xdr:colOff>371475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Drop Down 7">
              <controlPr defaultSize="0" autoLine="0" autoPict="0">
                <anchor moveWithCells="1">
                  <from>
                    <xdr:col>22</xdr:col>
                    <xdr:colOff>19050</xdr:colOff>
                    <xdr:row>32</xdr:row>
                    <xdr:rowOff>9525</xdr:rowOff>
                  </from>
                  <to>
                    <xdr:col>26</xdr:col>
                    <xdr:colOff>361950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Drop Down 8">
              <controlPr defaultSize="0" autoLine="0" autoPict="0">
                <anchor moveWithCells="1">
                  <from>
                    <xdr:col>28</xdr:col>
                    <xdr:colOff>28575</xdr:colOff>
                    <xdr:row>32</xdr:row>
                    <xdr:rowOff>0</xdr:rowOff>
                  </from>
                  <to>
                    <xdr:col>32</xdr:col>
                    <xdr:colOff>371475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Drop Down 9">
              <controlPr defaultSize="0" autoLine="0" autoPict="0">
                <anchor moveWithCells="1">
                  <from>
                    <xdr:col>4</xdr:col>
                    <xdr:colOff>76200</xdr:colOff>
                    <xdr:row>2</xdr:row>
                    <xdr:rowOff>66675</xdr:rowOff>
                  </from>
                  <to>
                    <xdr:col>6</xdr:col>
                    <xdr:colOff>276225</xdr:colOff>
                    <xdr:row>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E0B1-2B39-4265-873A-42E0B2145807}">
  <dimension ref="A1:K72"/>
  <sheetViews>
    <sheetView workbookViewId="0">
      <selection activeCell="K2" sqref="K2"/>
    </sheetView>
  </sheetViews>
  <sheetFormatPr defaultRowHeight="16.5" x14ac:dyDescent="0.3"/>
  <sheetData>
    <row r="1" spans="1:11" x14ac:dyDescent="0.3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B3" t="s">
        <v>18</v>
      </c>
      <c r="C3" t="s">
        <v>19</v>
      </c>
      <c r="D3" t="s">
        <v>18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">
      <c r="B4" t="s">
        <v>27</v>
      </c>
      <c r="C4" t="s">
        <v>19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3">
      <c r="B5" t="s">
        <v>35</v>
      </c>
      <c r="C5" t="s">
        <v>19</v>
      </c>
      <c r="D5" t="s">
        <v>35</v>
      </c>
      <c r="E5" t="s">
        <v>36</v>
      </c>
      <c r="F5" t="s">
        <v>37</v>
      </c>
      <c r="G5" t="s">
        <v>38</v>
      </c>
      <c r="I5" t="s">
        <v>39</v>
      </c>
    </row>
    <row r="6" spans="1:11" x14ac:dyDescent="0.3">
      <c r="A6" t="s">
        <v>40</v>
      </c>
      <c r="B6" t="s">
        <v>41</v>
      </c>
      <c r="C6" t="s">
        <v>42</v>
      </c>
      <c r="D6" t="s">
        <v>41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3">
      <c r="B7" t="s">
        <v>50</v>
      </c>
      <c r="C7" t="s">
        <v>19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</row>
    <row r="8" spans="1:11" x14ac:dyDescent="0.3">
      <c r="A8" t="s">
        <v>58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</row>
    <row r="9" spans="1:11" x14ac:dyDescent="0.3"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</row>
    <row r="10" spans="1:11" x14ac:dyDescent="0.3"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1" x14ac:dyDescent="0.3"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</row>
    <row r="12" spans="1:11" x14ac:dyDescent="0.3"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3">
      <c r="A13" t="s">
        <v>103</v>
      </c>
      <c r="B13" t="s">
        <v>103</v>
      </c>
      <c r="C13" t="s">
        <v>104</v>
      </c>
      <c r="D13" t="s">
        <v>103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3">
      <c r="C14" t="s">
        <v>112</v>
      </c>
      <c r="D14" t="s">
        <v>113</v>
      </c>
      <c r="E14" t="s">
        <v>114</v>
      </c>
      <c r="F14" t="s">
        <v>115</v>
      </c>
      <c r="G14" t="s">
        <v>116</v>
      </c>
    </row>
    <row r="15" spans="1:11" x14ac:dyDescent="0.3">
      <c r="A15" t="s">
        <v>117</v>
      </c>
      <c r="B15" t="s">
        <v>117</v>
      </c>
      <c r="C15" t="s">
        <v>68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</row>
    <row r="16" spans="1:11" x14ac:dyDescent="0.3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</row>
    <row r="17" spans="2:11" x14ac:dyDescent="0.3">
      <c r="C17" t="s">
        <v>136</v>
      </c>
      <c r="D17" t="s">
        <v>137</v>
      </c>
      <c r="E17" t="s">
        <v>138</v>
      </c>
      <c r="F17" t="s">
        <v>139</v>
      </c>
      <c r="G17" t="s">
        <v>140</v>
      </c>
    </row>
    <row r="18" spans="2:11" x14ac:dyDescent="0.3"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147</v>
      </c>
      <c r="J18" t="s">
        <v>148</v>
      </c>
      <c r="K18" t="s">
        <v>149</v>
      </c>
    </row>
    <row r="19" spans="2:11" x14ac:dyDescent="0.3">
      <c r="C19" t="s">
        <v>150</v>
      </c>
      <c r="D19" t="s">
        <v>151</v>
      </c>
      <c r="E19" t="s">
        <v>152</v>
      </c>
      <c r="F19" t="s">
        <v>153</v>
      </c>
      <c r="G19" t="s">
        <v>154</v>
      </c>
    </row>
    <row r="20" spans="2:11" x14ac:dyDescent="0.3">
      <c r="C20" t="s">
        <v>68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  <c r="J20" t="s">
        <v>161</v>
      </c>
      <c r="K20" t="s">
        <v>162</v>
      </c>
    </row>
    <row r="21" spans="2:11" x14ac:dyDescent="0.3">
      <c r="C21" t="s">
        <v>77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</row>
    <row r="22" spans="2:11" x14ac:dyDescent="0.3">
      <c r="C22" t="s">
        <v>86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</row>
    <row r="23" spans="2:11" x14ac:dyDescent="0.3">
      <c r="C23" t="s">
        <v>94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  <c r="J23" t="s">
        <v>184</v>
      </c>
    </row>
    <row r="24" spans="2:11" x14ac:dyDescent="0.3"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  <c r="J24" t="s">
        <v>192</v>
      </c>
      <c r="K24" t="s">
        <v>193</v>
      </c>
    </row>
    <row r="25" spans="2:11" x14ac:dyDescent="0.3">
      <c r="C25" t="s">
        <v>194</v>
      </c>
      <c r="D25" t="s">
        <v>195</v>
      </c>
      <c r="E25" t="s">
        <v>196</v>
      </c>
      <c r="F25" t="s">
        <v>197</v>
      </c>
      <c r="H25" t="s">
        <v>198</v>
      </c>
      <c r="I25" t="s">
        <v>199</v>
      </c>
      <c r="J25" t="s">
        <v>200</v>
      </c>
    </row>
    <row r="26" spans="2:11" x14ac:dyDescent="0.3">
      <c r="C26" t="s">
        <v>201</v>
      </c>
      <c r="D26" t="s">
        <v>202</v>
      </c>
      <c r="E26" t="s">
        <v>203</v>
      </c>
      <c r="F26" t="s">
        <v>204</v>
      </c>
      <c r="H26" t="s">
        <v>205</v>
      </c>
      <c r="I26" t="s">
        <v>206</v>
      </c>
      <c r="J26" t="s">
        <v>207</v>
      </c>
    </row>
    <row r="27" spans="2:11" x14ac:dyDescent="0.3">
      <c r="B27" t="s">
        <v>208</v>
      </c>
      <c r="C27" t="s">
        <v>77</v>
      </c>
      <c r="D27" t="s">
        <v>209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K27" t="s">
        <v>216</v>
      </c>
    </row>
    <row r="28" spans="2:11" x14ac:dyDescent="0.3">
      <c r="C28" t="s">
        <v>86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K28" t="s">
        <v>224</v>
      </c>
    </row>
    <row r="29" spans="2:11" x14ac:dyDescent="0.3">
      <c r="C29" t="s">
        <v>94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</row>
    <row r="30" spans="2:11" x14ac:dyDescent="0.3">
      <c r="C30" t="s">
        <v>185</v>
      </c>
      <c r="D30" t="s">
        <v>233</v>
      </c>
      <c r="E30" t="s">
        <v>234</v>
      </c>
      <c r="F30" t="s">
        <v>235</v>
      </c>
      <c r="G30" t="s">
        <v>236</v>
      </c>
      <c r="H30" t="s">
        <v>237</v>
      </c>
      <c r="I30" t="s">
        <v>238</v>
      </c>
      <c r="J30" t="s">
        <v>239</v>
      </c>
      <c r="K30" t="s">
        <v>240</v>
      </c>
    </row>
    <row r="31" spans="2:11" x14ac:dyDescent="0.3">
      <c r="C31" t="s">
        <v>194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  <c r="J31" t="s">
        <v>247</v>
      </c>
      <c r="K31" t="s">
        <v>248</v>
      </c>
    </row>
    <row r="32" spans="2:11" x14ac:dyDescent="0.3">
      <c r="C32" t="s">
        <v>201</v>
      </c>
      <c r="D32" t="s">
        <v>249</v>
      </c>
      <c r="E32" t="s">
        <v>250</v>
      </c>
      <c r="F32" t="s">
        <v>251</v>
      </c>
      <c r="G32" t="s">
        <v>252</v>
      </c>
      <c r="H32" t="s">
        <v>253</v>
      </c>
      <c r="I32" t="s">
        <v>254</v>
      </c>
      <c r="J32" t="s">
        <v>255</v>
      </c>
      <c r="K32" t="s">
        <v>256</v>
      </c>
    </row>
    <row r="33" spans="1:11" x14ac:dyDescent="0.3">
      <c r="C33" t="s">
        <v>257</v>
      </c>
      <c r="D33" t="s">
        <v>258</v>
      </c>
      <c r="E33" t="s">
        <v>259</v>
      </c>
      <c r="F33" t="s">
        <v>260</v>
      </c>
      <c r="H33" t="s">
        <v>261</v>
      </c>
      <c r="I33" t="s">
        <v>262</v>
      </c>
      <c r="J33" t="s">
        <v>263</v>
      </c>
    </row>
    <row r="34" spans="1:11" x14ac:dyDescent="0.3">
      <c r="C34" t="s">
        <v>264</v>
      </c>
      <c r="D34" t="s">
        <v>265</v>
      </c>
      <c r="E34" t="s">
        <v>266</v>
      </c>
      <c r="F34" t="s">
        <v>267</v>
      </c>
      <c r="H34" t="s">
        <v>268</v>
      </c>
      <c r="I34" t="s">
        <v>269</v>
      </c>
      <c r="J34" t="s">
        <v>270</v>
      </c>
      <c r="K34" t="s">
        <v>271</v>
      </c>
    </row>
    <row r="35" spans="1:11" x14ac:dyDescent="0.3">
      <c r="C35" t="s">
        <v>272</v>
      </c>
      <c r="D35" t="s">
        <v>273</v>
      </c>
      <c r="E35" t="s">
        <v>274</v>
      </c>
      <c r="F35" t="s">
        <v>275</v>
      </c>
      <c r="H35" t="s">
        <v>276</v>
      </c>
      <c r="I35" t="s">
        <v>277</v>
      </c>
      <c r="J35" t="s">
        <v>278</v>
      </c>
    </row>
    <row r="36" spans="1:11" x14ac:dyDescent="0.3">
      <c r="B36" t="s">
        <v>279</v>
      </c>
      <c r="C36" t="s">
        <v>77</v>
      </c>
      <c r="D36" t="s">
        <v>280</v>
      </c>
      <c r="E36" t="s">
        <v>281</v>
      </c>
      <c r="F36" t="s">
        <v>282</v>
      </c>
      <c r="G36" t="s">
        <v>283</v>
      </c>
      <c r="H36" t="s">
        <v>284</v>
      </c>
      <c r="I36" t="s">
        <v>285</v>
      </c>
      <c r="J36" t="s">
        <v>286</v>
      </c>
    </row>
    <row r="37" spans="1:11" x14ac:dyDescent="0.3">
      <c r="C37" t="s">
        <v>86</v>
      </c>
      <c r="D37" t="s">
        <v>287</v>
      </c>
      <c r="E37" t="s">
        <v>288</v>
      </c>
      <c r="F37" t="s">
        <v>289</v>
      </c>
      <c r="G37" t="s">
        <v>290</v>
      </c>
      <c r="H37" t="s">
        <v>291</v>
      </c>
      <c r="I37" t="s">
        <v>292</v>
      </c>
      <c r="J37" t="s">
        <v>293</v>
      </c>
    </row>
    <row r="38" spans="1:11" x14ac:dyDescent="0.3">
      <c r="C38" t="s">
        <v>94</v>
      </c>
      <c r="D38" t="s">
        <v>294</v>
      </c>
      <c r="E38" t="s">
        <v>295</v>
      </c>
      <c r="F38" t="s">
        <v>296</v>
      </c>
      <c r="G38" t="s">
        <v>297</v>
      </c>
      <c r="H38" t="s">
        <v>298</v>
      </c>
      <c r="I38" t="s">
        <v>299</v>
      </c>
      <c r="J38" t="s">
        <v>300</v>
      </c>
    </row>
    <row r="39" spans="1:11" x14ac:dyDescent="0.3">
      <c r="C39" t="s">
        <v>185</v>
      </c>
      <c r="D39" t="s">
        <v>301</v>
      </c>
      <c r="E39" t="s">
        <v>302</v>
      </c>
      <c r="F39" t="s">
        <v>303</v>
      </c>
      <c r="G39" t="s">
        <v>304</v>
      </c>
      <c r="H39" t="s">
        <v>305</v>
      </c>
      <c r="I39" t="s">
        <v>306</v>
      </c>
      <c r="J39" t="s">
        <v>307</v>
      </c>
    </row>
    <row r="40" spans="1:11" x14ac:dyDescent="0.3">
      <c r="C40" t="s">
        <v>194</v>
      </c>
      <c r="D40" t="s">
        <v>308</v>
      </c>
      <c r="E40" t="s">
        <v>309</v>
      </c>
      <c r="F40" t="s">
        <v>310</v>
      </c>
      <c r="G40" t="s">
        <v>311</v>
      </c>
      <c r="H40" t="s">
        <v>312</v>
      </c>
      <c r="I40" t="s">
        <v>313</v>
      </c>
      <c r="J40" t="s">
        <v>314</v>
      </c>
    </row>
    <row r="41" spans="1:11" x14ac:dyDescent="0.3">
      <c r="C41" t="s">
        <v>201</v>
      </c>
      <c r="D41" t="s">
        <v>315</v>
      </c>
      <c r="E41" t="s">
        <v>316</v>
      </c>
      <c r="F41" t="s">
        <v>317</v>
      </c>
      <c r="G41" t="s">
        <v>318</v>
      </c>
      <c r="H41" t="s">
        <v>319</v>
      </c>
      <c r="I41" t="s">
        <v>320</v>
      </c>
      <c r="J41" t="s">
        <v>321</v>
      </c>
    </row>
    <row r="42" spans="1:11" x14ac:dyDescent="0.3">
      <c r="C42" t="s">
        <v>257</v>
      </c>
      <c r="D42" t="s">
        <v>322</v>
      </c>
      <c r="E42" t="s">
        <v>323</v>
      </c>
      <c r="F42" t="s">
        <v>324</v>
      </c>
      <c r="G42" t="s">
        <v>325</v>
      </c>
      <c r="H42" t="s">
        <v>326</v>
      </c>
      <c r="I42" t="s">
        <v>327</v>
      </c>
      <c r="J42" t="s">
        <v>328</v>
      </c>
    </row>
    <row r="43" spans="1:11" x14ac:dyDescent="0.3">
      <c r="C43" t="s">
        <v>264</v>
      </c>
      <c r="D43" t="s">
        <v>329</v>
      </c>
      <c r="E43" t="s">
        <v>330</v>
      </c>
      <c r="F43" t="s">
        <v>331</v>
      </c>
      <c r="G43" t="s">
        <v>332</v>
      </c>
      <c r="H43" t="s">
        <v>333</v>
      </c>
      <c r="I43" t="s">
        <v>334</v>
      </c>
      <c r="J43" t="s">
        <v>335</v>
      </c>
    </row>
    <row r="44" spans="1:11" x14ac:dyDescent="0.3">
      <c r="C44" t="s">
        <v>272</v>
      </c>
      <c r="D44" t="s">
        <v>336</v>
      </c>
      <c r="E44" t="s">
        <v>337</v>
      </c>
      <c r="F44" t="s">
        <v>338</v>
      </c>
      <c r="G44" t="s">
        <v>339</v>
      </c>
      <c r="H44" t="s">
        <v>340</v>
      </c>
      <c r="I44" t="s">
        <v>341</v>
      </c>
      <c r="J44" t="s">
        <v>342</v>
      </c>
    </row>
    <row r="45" spans="1:11" x14ac:dyDescent="0.3">
      <c r="A45" t="s">
        <v>343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G45" t="s">
        <v>349</v>
      </c>
      <c r="I45" t="s">
        <v>350</v>
      </c>
      <c r="J45" t="s">
        <v>351</v>
      </c>
      <c r="K45" t="s">
        <v>352</v>
      </c>
    </row>
    <row r="46" spans="1:11" x14ac:dyDescent="0.3">
      <c r="C46" t="s">
        <v>353</v>
      </c>
      <c r="D46" t="s">
        <v>354</v>
      </c>
      <c r="E46" t="s">
        <v>355</v>
      </c>
      <c r="F46" t="s">
        <v>356</v>
      </c>
      <c r="G46" t="s">
        <v>357</v>
      </c>
      <c r="I46" t="s">
        <v>358</v>
      </c>
      <c r="J46" t="s">
        <v>359</v>
      </c>
      <c r="K46" t="s">
        <v>360</v>
      </c>
    </row>
    <row r="47" spans="1:11" x14ac:dyDescent="0.3">
      <c r="C47" t="s">
        <v>361</v>
      </c>
      <c r="D47" t="s">
        <v>362</v>
      </c>
      <c r="E47" t="s">
        <v>363</v>
      </c>
      <c r="F47" t="s">
        <v>364</v>
      </c>
      <c r="G47" t="s">
        <v>365</v>
      </c>
      <c r="I47" t="s">
        <v>366</v>
      </c>
      <c r="J47" t="s">
        <v>367</v>
      </c>
      <c r="K47" t="s">
        <v>368</v>
      </c>
    </row>
    <row r="48" spans="1:11" x14ac:dyDescent="0.3">
      <c r="C48" t="s">
        <v>369</v>
      </c>
      <c r="D48" t="s">
        <v>370</v>
      </c>
      <c r="E48" t="s">
        <v>371</v>
      </c>
      <c r="F48" t="s">
        <v>372</v>
      </c>
      <c r="G48" t="s">
        <v>373</v>
      </c>
      <c r="I48" t="s">
        <v>374</v>
      </c>
      <c r="J48" t="s">
        <v>375</v>
      </c>
      <c r="K48" t="s">
        <v>376</v>
      </c>
    </row>
    <row r="49" spans="2:11" x14ac:dyDescent="0.3">
      <c r="C49" t="s">
        <v>77</v>
      </c>
      <c r="D49" t="s">
        <v>377</v>
      </c>
      <c r="E49" t="s">
        <v>378</v>
      </c>
      <c r="F49" t="s">
        <v>379</v>
      </c>
      <c r="I49" t="s">
        <v>380</v>
      </c>
    </row>
    <row r="50" spans="2:11" x14ac:dyDescent="0.3">
      <c r="C50" t="s">
        <v>94</v>
      </c>
      <c r="D50" t="s">
        <v>381</v>
      </c>
      <c r="E50" t="s">
        <v>382</v>
      </c>
      <c r="F50" t="s">
        <v>383</v>
      </c>
      <c r="I50" t="s">
        <v>384</v>
      </c>
    </row>
    <row r="51" spans="2:11" x14ac:dyDescent="0.3">
      <c r="C51" t="s">
        <v>194</v>
      </c>
      <c r="D51" t="s">
        <v>385</v>
      </c>
      <c r="E51" t="s">
        <v>386</v>
      </c>
      <c r="F51" t="s">
        <v>387</v>
      </c>
      <c r="I51" t="s">
        <v>388</v>
      </c>
    </row>
    <row r="52" spans="2:11" x14ac:dyDescent="0.3">
      <c r="B52" t="s">
        <v>389</v>
      </c>
      <c r="C52" t="s">
        <v>68</v>
      </c>
      <c r="D52" t="s">
        <v>390</v>
      </c>
      <c r="E52" t="s">
        <v>391</v>
      </c>
      <c r="F52" t="s">
        <v>392</v>
      </c>
      <c r="G52" t="s">
        <v>393</v>
      </c>
      <c r="H52" t="s">
        <v>394</v>
      </c>
      <c r="I52" t="s">
        <v>395</v>
      </c>
      <c r="J52" t="s">
        <v>396</v>
      </c>
      <c r="K52" t="s">
        <v>397</v>
      </c>
    </row>
    <row r="53" spans="2:11" x14ac:dyDescent="0.3">
      <c r="C53" t="s">
        <v>77</v>
      </c>
      <c r="D53" t="s">
        <v>398</v>
      </c>
      <c r="E53" t="s">
        <v>399</v>
      </c>
      <c r="F53" t="s">
        <v>400</v>
      </c>
      <c r="G53" t="s">
        <v>401</v>
      </c>
      <c r="H53" t="s">
        <v>402</v>
      </c>
      <c r="I53" t="s">
        <v>403</v>
      </c>
      <c r="J53" t="s">
        <v>404</v>
      </c>
      <c r="K53" t="s">
        <v>405</v>
      </c>
    </row>
    <row r="54" spans="2:11" x14ac:dyDescent="0.3">
      <c r="C54" t="s">
        <v>86</v>
      </c>
      <c r="D54" t="s">
        <v>406</v>
      </c>
      <c r="E54" t="s">
        <v>407</v>
      </c>
      <c r="F54" t="s">
        <v>408</v>
      </c>
      <c r="G54" t="s">
        <v>409</v>
      </c>
      <c r="H54" t="s">
        <v>410</v>
      </c>
      <c r="I54" t="s">
        <v>411</v>
      </c>
      <c r="J54" t="s">
        <v>412</v>
      </c>
      <c r="K54" t="s">
        <v>413</v>
      </c>
    </row>
    <row r="55" spans="2:11" x14ac:dyDescent="0.3">
      <c r="C55" t="s">
        <v>94</v>
      </c>
      <c r="D55" t="s">
        <v>414</v>
      </c>
      <c r="E55" t="s">
        <v>415</v>
      </c>
      <c r="F55" t="s">
        <v>416</v>
      </c>
      <c r="G55" t="s">
        <v>417</v>
      </c>
      <c r="H55" t="s">
        <v>418</v>
      </c>
      <c r="I55" t="s">
        <v>419</v>
      </c>
      <c r="J55" t="s">
        <v>420</v>
      </c>
      <c r="K55" t="s">
        <v>421</v>
      </c>
    </row>
    <row r="56" spans="2:11" x14ac:dyDescent="0.3">
      <c r="C56" t="s">
        <v>185</v>
      </c>
      <c r="D56" t="s">
        <v>422</v>
      </c>
      <c r="E56" t="s">
        <v>423</v>
      </c>
      <c r="F56" t="s">
        <v>424</v>
      </c>
      <c r="G56" t="s">
        <v>425</v>
      </c>
      <c r="H56" t="s">
        <v>426</v>
      </c>
      <c r="I56" t="s">
        <v>427</v>
      </c>
      <c r="J56" t="s">
        <v>428</v>
      </c>
      <c r="K56" t="s">
        <v>429</v>
      </c>
    </row>
    <row r="57" spans="2:11" x14ac:dyDescent="0.3">
      <c r="C57" t="s">
        <v>194</v>
      </c>
      <c r="D57" t="s">
        <v>430</v>
      </c>
      <c r="E57" t="s">
        <v>431</v>
      </c>
      <c r="F57" t="s">
        <v>432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</row>
    <row r="58" spans="2:11" x14ac:dyDescent="0.3">
      <c r="C58" t="s">
        <v>201</v>
      </c>
      <c r="D58" t="s">
        <v>438</v>
      </c>
      <c r="E58" t="s">
        <v>439</v>
      </c>
      <c r="F58" t="s">
        <v>440</v>
      </c>
      <c r="G58" t="s">
        <v>441</v>
      </c>
      <c r="H58" t="s">
        <v>442</v>
      </c>
      <c r="I58" t="s">
        <v>443</v>
      </c>
      <c r="J58" t="s">
        <v>444</v>
      </c>
      <c r="K58" t="s">
        <v>445</v>
      </c>
    </row>
    <row r="59" spans="2:11" x14ac:dyDescent="0.3">
      <c r="C59" t="s">
        <v>257</v>
      </c>
      <c r="D59" t="s">
        <v>446</v>
      </c>
      <c r="E59" t="s">
        <v>447</v>
      </c>
      <c r="F59" t="s">
        <v>448</v>
      </c>
      <c r="G59" t="s">
        <v>449</v>
      </c>
      <c r="H59" t="s">
        <v>450</v>
      </c>
      <c r="I59" t="s">
        <v>451</v>
      </c>
      <c r="J59" t="s">
        <v>452</v>
      </c>
      <c r="K59" t="s">
        <v>453</v>
      </c>
    </row>
    <row r="60" spans="2:11" x14ac:dyDescent="0.3">
      <c r="C60" t="s">
        <v>264</v>
      </c>
      <c r="D60" t="s">
        <v>454</v>
      </c>
      <c r="E60" t="s">
        <v>455</v>
      </c>
      <c r="F60" t="s">
        <v>456</v>
      </c>
      <c r="G60" t="s">
        <v>457</v>
      </c>
      <c r="H60" t="s">
        <v>458</v>
      </c>
      <c r="I60" t="s">
        <v>459</v>
      </c>
      <c r="J60" t="s">
        <v>460</v>
      </c>
      <c r="K60" t="s">
        <v>461</v>
      </c>
    </row>
    <row r="61" spans="2:11" x14ac:dyDescent="0.3">
      <c r="C61" t="s">
        <v>272</v>
      </c>
      <c r="D61" t="s">
        <v>462</v>
      </c>
      <c r="E61" t="s">
        <v>463</v>
      </c>
      <c r="F61" t="s">
        <v>464</v>
      </c>
      <c r="G61" t="s">
        <v>465</v>
      </c>
      <c r="H61" t="s">
        <v>466</v>
      </c>
      <c r="I61" t="s">
        <v>467</v>
      </c>
      <c r="J61" t="s">
        <v>468</v>
      </c>
      <c r="K61" t="s">
        <v>469</v>
      </c>
    </row>
    <row r="62" spans="2:11" x14ac:dyDescent="0.3">
      <c r="B62" t="s">
        <v>470</v>
      </c>
      <c r="C62" t="s">
        <v>68</v>
      </c>
      <c r="D62" t="s">
        <v>471</v>
      </c>
      <c r="E62" t="s">
        <v>472</v>
      </c>
      <c r="F62" t="s">
        <v>473</v>
      </c>
      <c r="G62" t="s">
        <v>474</v>
      </c>
      <c r="H62" t="s">
        <v>475</v>
      </c>
      <c r="I62" t="s">
        <v>476</v>
      </c>
      <c r="J62" t="s">
        <v>477</v>
      </c>
      <c r="K62" t="s">
        <v>478</v>
      </c>
    </row>
    <row r="63" spans="2:11" x14ac:dyDescent="0.3">
      <c r="C63" t="s">
        <v>77</v>
      </c>
      <c r="D63" t="s">
        <v>479</v>
      </c>
      <c r="E63" t="s">
        <v>480</v>
      </c>
      <c r="F63" t="s">
        <v>481</v>
      </c>
      <c r="G63" t="s">
        <v>482</v>
      </c>
      <c r="H63" t="s">
        <v>483</v>
      </c>
      <c r="I63" t="s">
        <v>484</v>
      </c>
      <c r="J63" t="s">
        <v>485</v>
      </c>
    </row>
    <row r="64" spans="2:11" x14ac:dyDescent="0.3">
      <c r="C64" t="s">
        <v>86</v>
      </c>
      <c r="D64" t="s">
        <v>486</v>
      </c>
      <c r="E64" t="s">
        <v>487</v>
      </c>
      <c r="F64" t="s">
        <v>488</v>
      </c>
      <c r="G64" t="s">
        <v>489</v>
      </c>
      <c r="H64" t="s">
        <v>490</v>
      </c>
      <c r="I64" t="s">
        <v>491</v>
      </c>
      <c r="J64" t="s">
        <v>492</v>
      </c>
      <c r="K64" t="s">
        <v>493</v>
      </c>
    </row>
    <row r="65" spans="1:11" x14ac:dyDescent="0.3">
      <c r="C65" t="s">
        <v>94</v>
      </c>
      <c r="D65" t="s">
        <v>494</v>
      </c>
      <c r="E65" t="s">
        <v>495</v>
      </c>
      <c r="F65" t="s">
        <v>496</v>
      </c>
      <c r="G65" t="s">
        <v>497</v>
      </c>
      <c r="H65" t="s">
        <v>498</v>
      </c>
      <c r="I65" t="s">
        <v>499</v>
      </c>
      <c r="J65" t="s">
        <v>500</v>
      </c>
    </row>
    <row r="66" spans="1:11" x14ac:dyDescent="0.3">
      <c r="C66" t="s">
        <v>185</v>
      </c>
      <c r="D66" t="s">
        <v>501</v>
      </c>
      <c r="E66" t="s">
        <v>502</v>
      </c>
      <c r="F66" t="s">
        <v>503</v>
      </c>
      <c r="G66" t="s">
        <v>504</v>
      </c>
      <c r="H66" t="s">
        <v>505</v>
      </c>
      <c r="I66" t="s">
        <v>506</v>
      </c>
      <c r="J66" t="s">
        <v>507</v>
      </c>
      <c r="K66" t="s">
        <v>508</v>
      </c>
    </row>
    <row r="67" spans="1:11" x14ac:dyDescent="0.3">
      <c r="C67" t="s">
        <v>194</v>
      </c>
      <c r="D67" t="s">
        <v>509</v>
      </c>
      <c r="E67" t="s">
        <v>510</v>
      </c>
      <c r="F67" t="s">
        <v>511</v>
      </c>
      <c r="G67" t="s">
        <v>512</v>
      </c>
      <c r="H67" t="s">
        <v>513</v>
      </c>
      <c r="I67" t="s">
        <v>514</v>
      </c>
      <c r="J67" t="s">
        <v>515</v>
      </c>
      <c r="K67" t="s">
        <v>516</v>
      </c>
    </row>
    <row r="68" spans="1:11" x14ac:dyDescent="0.3">
      <c r="C68" t="s">
        <v>201</v>
      </c>
      <c r="D68" t="s">
        <v>517</v>
      </c>
      <c r="E68" t="s">
        <v>518</v>
      </c>
      <c r="F68" t="s">
        <v>519</v>
      </c>
      <c r="G68" t="s">
        <v>520</v>
      </c>
      <c r="H68" t="s">
        <v>521</v>
      </c>
      <c r="I68" t="s">
        <v>522</v>
      </c>
      <c r="J68" t="s">
        <v>523</v>
      </c>
      <c r="K68" t="s">
        <v>524</v>
      </c>
    </row>
    <row r="69" spans="1:11" x14ac:dyDescent="0.3">
      <c r="C69" t="s">
        <v>257</v>
      </c>
      <c r="D69" t="s">
        <v>525</v>
      </c>
      <c r="E69" t="s">
        <v>526</v>
      </c>
      <c r="F69" t="s">
        <v>527</v>
      </c>
      <c r="G69" t="s">
        <v>528</v>
      </c>
      <c r="H69" t="s">
        <v>529</v>
      </c>
      <c r="I69" t="s">
        <v>530</v>
      </c>
      <c r="J69" t="s">
        <v>531</v>
      </c>
    </row>
    <row r="70" spans="1:11" x14ac:dyDescent="0.3">
      <c r="C70" t="s">
        <v>264</v>
      </c>
      <c r="D70" t="s">
        <v>532</v>
      </c>
      <c r="E70" t="s">
        <v>533</v>
      </c>
      <c r="F70" t="s">
        <v>534</v>
      </c>
      <c r="G70" t="s">
        <v>535</v>
      </c>
      <c r="H70" t="s">
        <v>536</v>
      </c>
      <c r="I70" t="s">
        <v>537</v>
      </c>
      <c r="J70" t="s">
        <v>538</v>
      </c>
    </row>
    <row r="71" spans="1:11" x14ac:dyDescent="0.3">
      <c r="C71" t="s">
        <v>272</v>
      </c>
      <c r="D71" t="s">
        <v>539</v>
      </c>
      <c r="E71" t="s">
        <v>540</v>
      </c>
      <c r="F71" t="s">
        <v>541</v>
      </c>
      <c r="G71" t="s">
        <v>542</v>
      </c>
      <c r="H71" t="s">
        <v>543</v>
      </c>
      <c r="I71" t="s">
        <v>544</v>
      </c>
      <c r="J71" t="s">
        <v>545</v>
      </c>
    </row>
    <row r="72" spans="1:11" x14ac:dyDescent="0.3">
      <c r="A72" t="s">
        <v>546</v>
      </c>
      <c r="B72" t="s">
        <v>547</v>
      </c>
      <c r="C72" t="s">
        <v>68</v>
      </c>
      <c r="D72" t="s">
        <v>548</v>
      </c>
      <c r="E72" t="s">
        <v>549</v>
      </c>
      <c r="F72" t="s">
        <v>550</v>
      </c>
      <c r="G72" t="s">
        <v>551</v>
      </c>
      <c r="H72" t="s">
        <v>552</v>
      </c>
      <c r="I72" t="s">
        <v>553</v>
      </c>
      <c r="J72" t="s">
        <v>554</v>
      </c>
      <c r="K72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시가평가Matrix</vt:lpstr>
      <vt:lpstr>Yield Curve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2024-08-19T07:33:21Z</dcterms:created>
  <dcterms:modified xsi:type="dcterms:W3CDTF">2024-08-19T07:58:02Z</dcterms:modified>
</cp:coreProperties>
</file>